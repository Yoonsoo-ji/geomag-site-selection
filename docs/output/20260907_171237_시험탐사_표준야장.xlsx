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입규약" sheetId="1" state="visible" r:id="rId1"/>
    <sheet xmlns:r="http://schemas.openxmlformats.org/officeDocument/2006/relationships" name="② 대상 50점" sheetId="2" state="visible" r:id="rId2"/>
    <sheet xmlns:r="http://schemas.openxmlformats.org/officeDocument/2006/relationships" name="③ 점정보·좌표" sheetId="3" state="visible" r:id="rId3"/>
    <sheet xmlns:r="http://schemas.openxmlformats.org/officeDocument/2006/relationships" name="④ §13② 이격거리" sheetId="4" state="visible" r:id="rId4"/>
    <sheet xmlns:r="http://schemas.openxmlformats.org/officeDocument/2006/relationships" name="⑤ 기존점 대조가능성" sheetId="5" state="visible" r:id="rId5"/>
    <sheet xmlns:r="http://schemas.openxmlformats.org/officeDocument/2006/relationships" name="⑥ 방위표지·참방위각" sheetId="6" state="visible" r:id="rId6"/>
    <sheet xmlns:r="http://schemas.openxmlformats.org/officeDocument/2006/relationships" name="⑦ 장비·검교정" sheetId="7" state="visible" r:id="rId7"/>
    <sheet xmlns:r="http://schemas.openxmlformats.org/officeDocument/2006/relationships" name="⑧ 관측조건·변동관측" sheetId="8" state="visible" r:id="rId8"/>
    <sheet xmlns:r="http://schemas.openxmlformats.org/officeDocument/2006/relationships" name="⑨ 수평 자기구배" sheetId="9" state="visible" r:id="rId9"/>
    <sheet xmlns:r="http://schemas.openxmlformats.org/officeDocument/2006/relationships" name="⑩ 수직 자기구배" sheetId="10" state="visible" r:id="rId10"/>
    <sheet xmlns:r="http://schemas.openxmlformats.org/officeDocument/2006/relationships" name="⑪ 중심점 최종선정" sheetId="11" state="visible" r:id="rId11"/>
    <sheet xmlns:r="http://schemas.openxmlformats.org/officeDocument/2006/relationships" name="⑫ 게이트 점검" sheetId="12" state="visible" r:id="rId12"/>
    <sheet xmlns:r="http://schemas.openxmlformats.org/officeDocument/2006/relationships" name="⑬ 지표·판정" sheetId="13" state="visible" r:id="rId13"/>
    <sheet xmlns:r="http://schemas.openxmlformats.org/officeDocument/2006/relationships" name="⑭ 검토 반영·작업량" sheetId="14" state="visible" r:id="rId14"/>
    <sheet xmlns:r="http://schemas.openxmlformats.org/officeDocument/2006/relationships" name="⑮ 결정·확인 필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"/>
    <numFmt numFmtId="166" formatCode="yyyy-mm-dd"/>
    <numFmt numFmtId="167" formatCode="0.000"/>
    <numFmt numFmtId="168" formatCode="0.0000"/>
    <numFmt numFmtId="169" formatCode="#,##0.0"/>
    <numFmt numFmtId="170" formatCode="yyyy-mm-dd 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555555"/>
      <sz val="9"/>
    </font>
    <font>
      <name val="맑은 고딕"/>
      <b val="1"/>
      <color rgb="00B2182B"/>
      <sz val="9"/>
    </font>
    <font>
      <name val="맑은 고딕"/>
      <b val="1"/>
      <color rgb="00FFFFFF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  <fill>
      <patternFill patternType="solid">
        <fgColor rgb="00E8F0E8"/>
      </patternFill>
    </fill>
    <fill>
      <patternFill patternType="solid">
        <fgColor rgb="00FFF8E1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68" fontId="6" fillId="10" borderId="1" applyAlignment="1" pivotButton="0" quotePrefix="0" xfId="0">
      <alignment horizontal="center" vertical="center" wrapText="1"/>
    </xf>
    <xf numFmtId="169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1" borderId="1" applyAlignment="1" pivotButton="0" quotePrefix="0" xfId="0">
      <alignment horizontal="center" vertical="center" wrapText="1"/>
    </xf>
    <xf numFmtId="1" fontId="6" fillId="11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170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지자기 시험 탐사 표준 야장 (자기교란 확인표) — 기입규약</t>
        </is>
      </c>
    </row>
    <row r="2" ht="47" customHeight="1">
      <c r="A2" s="2" t="inlineStr">
        <is>
          <t>측정 설계·판정기준은 「20260825_중간보고회_초안_v3_수정.pptx」에 확정된 것을 그대로 쓴다. 현행 규정과의 관계: 현행 규정(§13 도상선점 · §14 선점실시 · §15 위치도 및 조서 작성)은 주변 자기장 측정의 «필요성»은 규정하나 측정방향·간격·반복횟수·판정방법이 없다. IAGA 절차를 참고해 구체화하는 것이 이 야장의 목적이다.</t>
        </is>
      </c>
    </row>
    <row r="3" ht="33" customHeight="1">
      <c r="A3" s="3" t="inlineStr">
        <is>
          <t>야장에 칸이 없으면 그 값은 나중에 어떤 방법으로도 되살릴 수 없습니다. 실제로 과거 야장 68개를 전부 열어 보았더니 F 측정일시가 한 건도 적혀 있지 않았고, 그 때문에 세션별 외부장 보정을 아예 할 수 없게 되었습니다. 이 양식이 이렇게 꼼꼼한 이유가 여기에 있습니다.</t>
        </is>
      </c>
    </row>
    <row r="5">
      <c r="A5" s="4" t="inlineStr">
        <is>
          <t>기록양식 3종 중 이 야장의 자리 (원 자료 23면)</t>
        </is>
      </c>
    </row>
    <row r="6" ht="20" customHeight="1">
      <c r="A6" s="5" t="inlineStr">
        <is>
          <t>1. 도상선점</t>
        </is>
      </c>
      <c r="B6" s="6" t="inlineStr">
        <is>
          <t>위치·접근성·기존점·자기교란시설 사전검토 → 「도상선점표」 · 완료(103점)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2. 현황조사</t>
        </is>
      </c>
      <c r="B7" s="6" t="inlineStr">
        <is>
          <t>현장사진·접근성·시설물·상공장애·방위표지 확인 → 「지자기점 현황조사표」 · 완료(34점 도출)</t>
        </is>
      </c>
      <c r="C7" s="7" t="n"/>
      <c r="D7" s="7" t="n"/>
      <c r="E7" s="7" t="n"/>
      <c r="F7" s="7" t="n"/>
      <c r="G7" s="7" t="n"/>
      <c r="H7" s="7" t="n"/>
    </row>
    <row r="8" ht="20" customHeight="1">
      <c r="A8" s="5" t="inlineStr">
        <is>
          <t>3. 자기환경 측정·평가</t>
        </is>
      </c>
      <c r="B8" s="6" t="inlineStr">
        <is>
          <t>중심점 반복관측·교차 프로파일·수평·수직 자기구배 → 「자기교란 확인표」 · ← 이 야장</t>
        </is>
      </c>
      <c r="C8" s="7" t="n"/>
      <c r="D8" s="7" t="n"/>
      <c r="E8" s="7" t="n"/>
      <c r="F8" s="7" t="n"/>
      <c r="G8" s="7" t="n"/>
      <c r="H8" s="7" t="n"/>
    </row>
    <row r="10">
      <c r="A10" s="4" t="inlineStr">
        <is>
          <t>측정 설계 — Guide for Magnetic Repeat Station Surveys §4.2 (IAGA, 1996)</t>
        </is>
      </c>
    </row>
    <row r="11" ht="20" customHeight="1">
      <c r="A11" s="5" t="inlineStr">
        <is>
          <t>장비 기준</t>
        </is>
      </c>
      <c r="B11" s="6" t="inlineStr">
        <is>
          <t>PPM(GSM-19T) **1대**. 자력계가 하나뿐이라 위치와 시각이 함께 움직인다 — 그래서 중심점 전·후 반복관측이 필수다.</t>
        </is>
      </c>
      <c r="C11" s="7" t="n"/>
      <c r="D11" s="7" t="n"/>
      <c r="E11" s="7" t="n"/>
      <c r="F11" s="7" t="n"/>
      <c r="G11" s="7" t="n"/>
      <c r="H11" s="7" t="n"/>
    </row>
    <row r="12" ht="20" customHeight="1">
      <c r="A12" s="5" t="inlineStr">
        <is>
          <t>수평</t>
        </is>
      </c>
      <c r="B12" s="6" t="inlineStr">
        <is>
          <t>P0 → 방향별 측정 → P0 재측정. 한 방향 0.5, 1, 2, 3, 4, 5, 6, 7, 8, 9, 10 m → 동·서·남·북 네 방향 반복.</t>
        </is>
      </c>
      <c r="C12" s="7" t="n"/>
      <c r="D12" s="7" t="n"/>
      <c r="E12" s="7" t="n"/>
      <c r="F12" s="7" t="n"/>
      <c r="G12" s="7" t="n"/>
      <c r="H12" s="7" t="n"/>
    </row>
    <row r="13" ht="20" customHeight="1">
      <c r="A13" s="5" t="inlineStr">
        <is>
          <t>수직</t>
        </is>
      </c>
      <c r="B13" s="6" t="inlineStr">
        <is>
          <t>중심점(P0)에서 지상 20~200 cm 를 20 cm 간격으로 순차 측정.</t>
        </is>
      </c>
      <c r="C13" s="7" t="n"/>
      <c r="D13" s="7" t="n"/>
      <c r="E13" s="7" t="n"/>
      <c r="F13" s="7" t="n"/>
      <c r="G13" s="7" t="n"/>
      <c r="H13" s="7" t="n"/>
    </row>
    <row r="14" ht="34" customHeight="1">
      <c r="A14" s="5" t="inlineStr">
        <is>
          <t>시간변화 보정</t>
        </is>
      </c>
      <c r="B14" s="6" t="inlineStr">
        <is>
          <t>P0추정(t) = F0 + (F1−F0)·(t−t0)/(t1−t0) · ΔF = F측정 − P0추정 · 변화율 = ΔF ÷ 거리.  중심점 자기장이 측정시간 동안 «선형적으로» 변한다고 가정한 근사 보정이다. 가정이 깨지는 교란시에는 성립하지 않는다.</t>
        </is>
      </c>
      <c r="C14" s="7" t="n"/>
      <c r="D14" s="7" t="n"/>
      <c r="E14" s="7" t="n"/>
      <c r="F14" s="7" t="n"/>
      <c r="G14" s="7" t="n"/>
      <c r="H14" s="7" t="n"/>
    </row>
    <row r="15" ht="34" customHeight="1">
      <c r="A15" s="5" t="inlineStr">
        <is>
          <t>원 계획 예시</t>
        </is>
      </c>
      <c r="B15" s="6" t="inlineStr">
        <is>
          <t>P0 100 nT(10:00) → 동쪽 **거리 2 m** 지점 106 nT(10:02) → P0 105 nT(10:04) ⇒ P0추정 102.5 · ΔF 3.5 · 변화율 **1.75 nT/m**. 보정하지 않으면 3.0 nT/m 로 71 % 과대평가된다.</t>
        </is>
      </c>
      <c r="C15" s="7" t="n"/>
      <c r="D15" s="7" t="n"/>
      <c r="E15" s="7" t="n"/>
      <c r="F15" s="7" t="n"/>
      <c r="G15" s="7" t="n"/>
      <c r="H15" s="7" t="n"/>
    </row>
    <row r="16" ht="34" customHeight="1">
      <c r="A16" s="5" t="inlineStr">
        <is>
          <t>⚠ Set 검증</t>
        </is>
      </c>
      <c r="B16" s="6" t="inlineStr">
        <is>
          <t>유효한 P0(전)·P0(후)가 «각각 정확히 1개»이고 측정시각이 그 사이일 때만 계산한다. 아니면 수치 대신 오류 사유가 뜬다 — 다른 방향의 P0 를 물거나 중복 P0 를 합산하는 사고를 구조적으로 막는다.</t>
        </is>
      </c>
      <c r="C16" s="7" t="n"/>
      <c r="D16" s="7" t="n"/>
      <c r="E16" s="7" t="n"/>
      <c r="F16" s="7" t="n"/>
      <c r="G16" s="7" t="n"/>
      <c r="H16" s="7" t="n"/>
    </row>
    <row r="18">
      <c r="A18" s="4" t="inlineStr">
        <is>
          <t>판정기준 — 국제 권고이며 **국내 기준은 확정되지 않았다**</t>
        </is>
      </c>
    </row>
    <row r="19" ht="34" customHeight="1">
      <c r="A19" s="5" t="inlineStr">
        <is>
          <t>총자기장 변화</t>
        </is>
      </c>
      <c r="B19" s="6" t="inlineStr">
        <is>
          <t>IAGA 「Guide for Magnetic Repeat Station Surveys」 §4.2 — 반경 10 m 내 총자기장 변화가 약 50 nT 를 초과하면 다른 후보지 검토</t>
        </is>
      </c>
      <c r="C19" s="7" t="n"/>
      <c r="D19" s="7" t="n"/>
      <c r="E19" s="7" t="n"/>
      <c r="F19" s="7" t="n"/>
      <c r="G19" s="7" t="n"/>
      <c r="H19" s="7" t="n"/>
    </row>
    <row r="20" ht="34" customHeight="1">
      <c r="A20" s="5" t="inlineStr">
        <is>
          <t>자기구배</t>
        </is>
      </c>
      <c r="B20" s="6" t="inlineStr">
        <is>
          <t>유럽 「Recommendations for European Magnetic Repeat Station Surveys」 p.3 — 자기구배 3 nT/m 미만, PPM 교차 프로파일 확인 및 수직 자기구배 점검</t>
        </is>
      </c>
      <c r="C20" s="7" t="n"/>
      <c r="D20" s="7" t="n"/>
      <c r="E20" s="7" t="n"/>
      <c r="F20" s="7" t="n"/>
      <c r="G20" s="7" t="n"/>
      <c r="H20" s="7" t="n"/>
    </row>
    <row r="21" ht="34" customHeight="1">
      <c r="A21" s="5" t="inlineStr">
        <is>
          <t>⚠ 공간 범위</t>
        </is>
      </c>
      <c r="B21" s="6" t="inlineStr">
        <is>
          <t>4방향 측선은 원 내부의 «일부 선»만 잰다. 측선 사이와 대각선은 관측하지 않으므로 「반경 10 m 전체가 50 nT 이내」라고 말할 수 없다. 「반경 10 m 내 4개 방위 측선의 관측점에서 확인된 변화」로 적는다.</t>
        </is>
      </c>
      <c r="C21" s="7" t="n"/>
      <c r="D21" s="7" t="n"/>
      <c r="E21" s="7" t="n"/>
      <c r="F21" s="7" t="n"/>
      <c r="G21" s="7" t="n"/>
      <c r="H21" s="7" t="n"/>
    </row>
    <row r="22" ht="34" customHeight="1">
      <c r="A22" s="5" t="inlineStr">
        <is>
          <t>⚠ 연산 미확정</t>
        </is>
      </c>
      <c r="B22" s="6" t="inlineStr">
        <is>
          <t>50 nT 를 max|F−P0| 로 볼지 관측값 max−min 으로 볼지, 지점 대표 구배를 최대·중앙·특정 거리 중 무엇으로 할지 «정해지지 않았다». 야장은 셋 다 산출해 두고 확정은 국내 적용방안에 맡긴다.</t>
        </is>
      </c>
      <c r="C22" s="7" t="n"/>
      <c r="D22" s="7" t="n"/>
      <c r="E22" s="7" t="n"/>
      <c r="F22" s="7" t="n"/>
      <c r="G22" s="7" t="n"/>
      <c r="H22" s="7" t="n"/>
    </row>
    <row r="23" ht="34" customHeight="1">
      <c r="A23" s="5" t="inlineStr">
        <is>
          <t>⚠ 현실성</t>
        </is>
      </c>
      <c r="B23" s="6" t="inlineStr">
        <is>
          <t>시범관측 두 곳이 이미 네 방향 모두 3 nT/m 를 넘었다(이원 여의저수지 최대 250.7 · 다른 기존점 최대 38.5, 1 m 기준). 두 지점만으로는 「임계가 비현실적」·「1 m 가 전제와 다름」·「그 점이 실제 부적합」 셋을 구분할 수 없다 — 자동 탈락시키지 말 것.</t>
        </is>
      </c>
      <c r="C23" s="7" t="n"/>
      <c r="D23" s="7" t="n"/>
      <c r="E23" s="7" t="n"/>
      <c r="F23" s="7" t="n"/>
      <c r="G23" s="7" t="n"/>
      <c r="H23" s="7" t="n"/>
    </row>
    <row r="24" ht="34" customHeight="1">
      <c r="A24" s="5" t="inlineStr">
        <is>
          <t>산출물</t>
        </is>
      </c>
      <c r="B24" s="6" t="inlineStr">
        <is>
          <t>합격/불합격만이 아니다. 함양 임도처럼 **중심점을 가장 균질한 지점으로 조정**하는 것이 목적의 하나다(⑩). 옮겼으면 새 중심에서 재측정할지를 명시해야 한다 — 옛 중심 자료가 새 중심을 입증하지는 않는다.</t>
        </is>
      </c>
      <c r="C24" s="7" t="n"/>
      <c r="D24" s="7" t="n"/>
      <c r="E24" s="7" t="n"/>
      <c r="F24" s="7" t="n"/>
      <c r="G24" s="7" t="n"/>
      <c r="H24" s="7" t="n"/>
    </row>
    <row r="26">
      <c r="A26" s="4" t="inlineStr">
        <is>
          <t>단위 — 논쟁 없이 고정한다</t>
        </is>
      </c>
    </row>
    <row r="27" ht="20" customHeight="1">
      <c r="A27" s="5" t="inlineStr">
        <is>
          <t>각도(현장 원시)</t>
        </is>
      </c>
      <c r="B27" s="6" t="inlineStr">
        <is>
          <t>곤 gon (1회전 400 · 대척 200 gon). 도(°) 환산은 읽기전용 계산 칸.</t>
        </is>
      </c>
      <c r="C27" s="7" t="n"/>
      <c r="D27" s="7" t="n"/>
      <c r="E27" s="7" t="n"/>
      <c r="F27" s="7" t="n"/>
      <c r="G27" s="7" t="n"/>
      <c r="H27" s="7" t="n"/>
    </row>
    <row r="28" ht="20" customHeight="1">
      <c r="A28" s="5" t="inlineStr">
        <is>
          <t>총자력 F</t>
        </is>
      </c>
      <c r="B28" s="6" t="inlineStr">
        <is>
          <t>nT, 소수 1자리 (§17 0.1 nT 판독)</t>
        </is>
      </c>
      <c r="C28" s="7" t="n"/>
      <c r="D28" s="7" t="n"/>
      <c r="E28" s="7" t="n"/>
      <c r="F28" s="7" t="n"/>
      <c r="G28" s="7" t="n"/>
      <c r="H28" s="7" t="n"/>
    </row>
    <row r="29" ht="20" customHeight="1">
      <c r="A29" s="5" t="inlineStr">
        <is>
          <t>좌표</t>
        </is>
      </c>
      <c r="B29" s="6" t="inlineStr">
        <is>
          <t>십진도. 위도·경도를 각각 다른 열에 숫자로 + 좌표계·취득방법·정확도</t>
        </is>
      </c>
      <c r="C29" s="7" t="n"/>
      <c r="D29" s="7" t="n"/>
      <c r="E29" s="7" t="n"/>
      <c r="F29" s="7" t="n"/>
      <c r="G29" s="7" t="n"/>
      <c r="H29" s="7" t="n"/>
    </row>
    <row r="30" ht="20" customHeight="1">
      <c r="A30" s="5" t="inlineStr">
        <is>
          <t>거리·높이</t>
        </is>
      </c>
      <c r="B30" s="6" t="inlineStr">
        <is>
          <t>수평 거리 m, 수직 높이 cm. **명목값과 실측값을 따로** 적는다</t>
        </is>
      </c>
      <c r="C30" s="7" t="n"/>
      <c r="D30" s="7" t="n"/>
      <c r="E30" s="7" t="n"/>
      <c r="F30" s="7" t="n"/>
      <c r="G30" s="7" t="n"/>
      <c r="H30" s="7" t="n"/>
    </row>
    <row r="31" ht="20" customHeight="1">
      <c r="A31" s="5" t="inlineStr">
        <is>
          <t>부호</t>
        </is>
      </c>
      <c r="B31" s="6" t="inlineStr">
        <is>
          <t>ΔF·변화율은 **부호를 보존**한다. 절댓값은 별도 열이다</t>
        </is>
      </c>
      <c r="C31" s="7" t="n"/>
      <c r="D31" s="7" t="n"/>
      <c r="E31" s="7" t="n"/>
      <c r="F31" s="7" t="n"/>
      <c r="G31" s="7" t="n"/>
      <c r="H31" s="7" t="n"/>
    </row>
    <row r="33">
      <c r="A33" s="4" t="inlineStr">
        <is>
          <t>시각</t>
        </is>
      </c>
    </row>
    <row r="34" ht="20" customHeight="1">
      <c r="A34" s="5" t="inlineStr">
        <is>
          <t>기입</t>
        </is>
      </c>
      <c r="B34" s="6" t="inlineStr">
        <is>
          <t>날짜 + 시:분:초 (예 2026-10-14 13:24:05). 분까지만 적으면 선형보간이 깨진다.</t>
        </is>
      </c>
      <c r="C34" s="7" t="n"/>
      <c r="D34" s="7" t="n"/>
      <c r="E34" s="7" t="n"/>
      <c r="F34" s="7" t="n"/>
      <c r="G34" s="7" t="n"/>
      <c r="H34" s="7" t="n"/>
    </row>
    <row r="35" ht="20" customHeight="1">
      <c r="A35" s="5" t="inlineStr">
        <is>
          <t>시간대</t>
        </is>
      </c>
      <c r="B35" s="6" t="inlineStr">
        <is>
          <t>야장은 KST. CYG·Kp 는 UT, KASA 캐시는 KST. UTC 환산은 계산 칸이 만든다.</t>
        </is>
      </c>
      <c r="C35" s="7" t="n"/>
      <c r="D35" s="7" t="n"/>
      <c r="E35" s="7" t="n"/>
      <c r="F35" s="7" t="n"/>
      <c r="G35" s="7" t="n"/>
      <c r="H35" s="7" t="n"/>
    </row>
    <row r="37">
      <c r="A37" s="4" t="inlineStr">
        <is>
          <t>방위각 — 정·역 혼동이 29쌍 있었다</t>
        </is>
      </c>
    </row>
    <row r="38" ht="20" customHeight="1">
      <c r="A38" s="5" t="inlineStr">
        <is>
          <t>규약</t>
        </is>
      </c>
      <c r="B38" s="6" t="inlineStr">
        <is>
          <t>진북 기준 · 북 = 0° · 시계방향 · **FROM = 기준점, TO = 방위표지**</t>
        </is>
      </c>
      <c r="C38" s="7" t="n"/>
      <c r="D38" s="7" t="n"/>
      <c r="E38" s="7" t="n"/>
      <c r="F38" s="7" t="n"/>
      <c r="G38" s="7" t="n"/>
      <c r="H38" s="7" t="n"/>
    </row>
    <row r="39" ht="20" customHeight="1">
      <c r="A39" s="5" t="inlineStr">
        <is>
          <t>참방위각</t>
        </is>
      </c>
      <c r="B39" s="6" t="inlineStr">
        <is>
          <t>결정방법·근거좌표·정확도와 **이전 확정값 대비 차이·재결정 사유** — 재방문 잔여 RMS 33.7′ 의 원인이 이것이다.</t>
        </is>
      </c>
      <c r="C39" s="7" t="n"/>
      <c r="D39" s="7" t="n"/>
      <c r="E39" s="7" t="n"/>
      <c r="F39" s="7" t="n"/>
      <c r="G39" s="7" t="n"/>
      <c r="H39" s="7" t="n"/>
    </row>
    <row r="41">
      <c r="A41" s="4" t="inlineStr">
        <is>
          <t>관측 조건 (원 자료 31면)</t>
        </is>
      </c>
    </row>
    <row r="42" ht="20" customHeight="1">
      <c r="A42" s="5" t="inlineStr">
        <is>
          <t>1</t>
        </is>
      </c>
      <c r="B42" s="6" t="inlineStr">
        <is>
          <t>[절대관측 단계 — 이번 범위 밖] 일변화가 안정적인 야간 시간대에 절대관측 수행</t>
        </is>
      </c>
      <c r="C42" s="7" t="n"/>
      <c r="D42" s="7" t="n"/>
      <c r="E42" s="7" t="n"/>
      <c r="F42" s="7" t="n"/>
      <c r="G42" s="7" t="n"/>
      <c r="H42" s="7" t="n"/>
    </row>
    <row r="43" ht="20" customHeight="1">
      <c r="A43" s="5" t="inlineStr">
        <is>
          <t>2</t>
        </is>
      </c>
      <c r="B43" s="6" t="inlineStr">
        <is>
          <t>우주기상 예보와 Kp 지수를 «기록»한다 — 배제 기준은 아직 없다</t>
        </is>
      </c>
      <c r="C43" s="7" t="n"/>
      <c r="D43" s="7" t="n"/>
      <c r="E43" s="7" t="n"/>
      <c r="F43" s="7" t="n"/>
      <c r="G43" s="7" t="n"/>
      <c r="H43" s="7" t="n"/>
    </row>
    <row r="44" ht="20" customHeight="1">
      <c r="A44" s="5" t="inlineStr">
        <is>
          <t>3</t>
        </is>
      </c>
      <c r="B44" s="6" t="inlineStr">
        <is>
          <t>현장측량 기간 동안 이동식 Variometer 연속관측</t>
        </is>
      </c>
      <c r="C44" s="7" t="n"/>
      <c r="D44" s="7" t="n"/>
      <c r="E44" s="7" t="n"/>
      <c r="F44" s="7" t="n"/>
      <c r="G44" s="7" t="n"/>
      <c r="H44" s="7" t="n"/>
    </row>
    <row r="45" ht="20" customHeight="1">
      <c r="A45" s="5" t="inlineStr">
        <is>
          <t>4</t>
        </is>
      </c>
      <c r="B45" s="6" t="inlineStr">
        <is>
          <t>자기교란이 뚜렷하면 그 구간을 빼거나 다시 잰다 (판단 기준은 파일럿에서 확정)</t>
        </is>
      </c>
      <c r="C45" s="7" t="n"/>
      <c r="D45" s="7" t="n"/>
      <c r="E45" s="7" t="n"/>
      <c r="F45" s="7" t="n"/>
      <c r="G45" s="7" t="n"/>
      <c r="H45" s="7" t="n"/>
    </row>
    <row r="46" ht="20" customHeight="1">
      <c r="A46" s="5" t="inlineStr">
        <is>
          <t>5</t>
        </is>
      </c>
      <c r="B46" s="6" t="inlineStr">
        <is>
          <t>타 기관 상시관측자료와 교차검증</t>
        </is>
      </c>
      <c r="C46" s="7" t="n"/>
      <c r="D46" s="7" t="n"/>
      <c r="E46" s="7" t="n"/>
      <c r="F46" s="7" t="n"/>
      <c r="G46" s="7" t="n"/>
      <c r="H46" s="7" t="n"/>
    </row>
    <row r="47" ht="20" customHeight="1">
      <c r="A47" s="5" t="inlineStr">
        <is>
          <t>6</t>
        </is>
      </c>
      <c r="B47" s="6" t="inlineStr">
        <is>
          <t>[시험 탐사] **야간 관측은 하지 않는다**. 개시·중단 조건은 미확정</t>
        </is>
      </c>
      <c r="C47" s="7" t="n"/>
      <c r="D47" s="7" t="n"/>
      <c r="E47" s="7" t="n"/>
      <c r="F47" s="7" t="n"/>
      <c r="G47" s="7" t="n"/>
      <c r="H47" s="7" t="n"/>
    </row>
    <row r="49">
      <c r="A49" s="4" t="inlineStr">
        <is>
          <t>상태코드 — 빈칸을 0 으로 세지 않기 위해</t>
        </is>
      </c>
    </row>
    <row r="50" ht="20" customHeight="1">
      <c r="A50" s="5" t="inlineStr">
        <is>
          <t>NOT AVAILABLE</t>
        </is>
      </c>
      <c r="B50" s="6" t="inlineStr">
        <is>
          <t>자료가 존재하지 않음(예: 항공자력 미측선)</t>
        </is>
      </c>
      <c r="C50" s="7" t="n"/>
      <c r="D50" s="7" t="n"/>
      <c r="E50" s="7" t="n"/>
      <c r="F50" s="7" t="n"/>
      <c r="G50" s="7" t="n"/>
      <c r="H50" s="7" t="n"/>
    </row>
    <row r="51" ht="20" customHeight="1">
      <c r="A51" s="5" t="inlineStr">
        <is>
          <t>NOT OBSERVED</t>
        </is>
      </c>
      <c r="B51" s="6" t="inlineStr">
        <is>
          <t>관측 미실시</t>
        </is>
      </c>
      <c r="C51" s="7" t="n"/>
      <c r="D51" s="7" t="n"/>
      <c r="E51" s="7" t="n"/>
      <c r="F51" s="7" t="n"/>
      <c r="G51" s="7" t="n"/>
      <c r="H51" s="7" t="n"/>
    </row>
    <row r="52" ht="20" customHeight="1">
      <c r="A52" s="5" t="inlineStr">
        <is>
          <t>INVALID</t>
        </is>
      </c>
      <c r="B52" s="6" t="inlineStr">
        <is>
          <t>관측했으나 무효 — 사유 필수</t>
        </is>
      </c>
      <c r="C52" s="7" t="n"/>
      <c r="D52" s="7" t="n"/>
      <c r="E52" s="7" t="n"/>
      <c r="F52" s="7" t="n"/>
      <c r="G52" s="7" t="n"/>
      <c r="H52" s="7" t="n"/>
    </row>
    <row r="53" ht="20" customHeight="1">
      <c r="A53" s="5" t="inlineStr">
        <is>
          <t>NOT APPLICABLE</t>
        </is>
      </c>
      <c r="B53" s="6" t="inlineStr">
        <is>
          <t>그 점에는 해당 없음</t>
        </is>
      </c>
      <c r="C53" s="7" t="n"/>
      <c r="D53" s="7" t="n"/>
      <c r="E53" s="7" t="n"/>
      <c r="F53" s="7" t="n"/>
      <c r="G53" s="7" t="n"/>
      <c r="H53" s="7" t="n"/>
    </row>
    <row r="54" ht="20" customHeight="1">
      <c r="A54" s="5" t="inlineStr">
        <is>
          <t>PENDING</t>
        </is>
      </c>
      <c r="B54" s="6" t="inlineStr">
        <is>
          <t>확인 대기</t>
        </is>
      </c>
      <c r="C54" s="7" t="n"/>
      <c r="D54" s="7" t="n"/>
      <c r="E54" s="7" t="n"/>
      <c r="F54" s="7" t="n"/>
      <c r="G54" s="7" t="n"/>
      <c r="H54" s="7" t="n"/>
    </row>
    <row r="55" ht="20" customHeight="1">
      <c r="A55" s="5" t="inlineStr">
        <is>
          <t>공통</t>
        </is>
      </c>
      <c r="B55" s="6" t="inlineStr">
        <is>
          <t>상태코드에는 «사유·입력자·입력시각»을 반드시 함께 적는다. 같은 코드도 장비오류·접근불가·기상·조사자 판단으로 원인이 다르다.</t>
        </is>
      </c>
      <c r="C55" s="7" t="n"/>
      <c r="D55" s="7" t="n"/>
      <c r="E55" s="7" t="n"/>
      <c r="F55" s="7" t="n"/>
      <c r="G55" s="7" t="n"/>
      <c r="H55" s="7" t="n"/>
    </row>
    <row r="57">
      <c r="A57" s="4" t="inlineStr">
        <is>
          <t>색 규약</t>
        </is>
      </c>
    </row>
    <row r="58" ht="20" customHeight="1">
      <c r="A58" s="5" t="inlineStr">
        <is>
          <t>연한 노랑</t>
        </is>
      </c>
      <c r="B58" s="6" t="inlineStr">
        <is>
          <t>현장 기입란</t>
        </is>
      </c>
      <c r="C58" s="7" t="n"/>
      <c r="D58" s="7" t="n"/>
      <c r="E58" s="7" t="n"/>
      <c r="F58" s="7" t="n"/>
      <c r="G58" s="7" t="n"/>
      <c r="H58" s="7" t="n"/>
    </row>
    <row r="59" ht="20" customHeight="1">
      <c r="A59" s="5" t="inlineStr">
        <is>
          <t>연한 초록</t>
        </is>
      </c>
      <c r="B59" s="6" t="inlineStr">
        <is>
          <t>사전 채움·계산값</t>
        </is>
      </c>
      <c r="C59" s="7" t="n"/>
      <c r="D59" s="7" t="n"/>
      <c r="E59" s="7" t="n"/>
      <c r="F59" s="7" t="n"/>
      <c r="G59" s="7" t="n"/>
      <c r="H59" s="7" t="n"/>
    </row>
    <row r="60" ht="20" customHeight="1">
      <c r="A60" s="5" t="inlineStr">
        <is>
          <t>연한 파랑</t>
        </is>
      </c>
      <c r="B60" s="6" t="inlineStr">
        <is>
          <t>중심점(P0) 반복관측 행</t>
        </is>
      </c>
      <c r="C60" s="7" t="n"/>
      <c r="D60" s="7" t="n"/>
      <c r="E60" s="7" t="n"/>
      <c r="F60" s="7" t="n"/>
      <c r="G60" s="7" t="n"/>
      <c r="H60" s="7" t="n"/>
    </row>
    <row r="61" ht="20" customHeight="1">
      <c r="A61" s="5" t="inlineStr">
        <is>
          <t>회색</t>
        </is>
      </c>
      <c r="B61" s="6" t="inlineStr">
        <is>
          <t>편집 금지</t>
        </is>
      </c>
      <c r="C61" s="7" t="n"/>
      <c r="D61" s="7" t="n"/>
      <c r="E61" s="7" t="n"/>
      <c r="F61" s="7" t="n"/>
      <c r="G61" s="7" t="n"/>
      <c r="H61" s="7" t="n"/>
    </row>
    <row r="62" ht="20" customHeight="1">
      <c r="A62" s="5" t="inlineStr">
        <is>
          <t>연한 적색</t>
        </is>
      </c>
      <c r="B62" s="6" t="inlineStr">
        <is>
          <t>주의·경고</t>
        </is>
      </c>
      <c r="C62" s="7" t="n"/>
      <c r="D62" s="7" t="n"/>
      <c r="E62" s="7" t="n"/>
      <c r="F62" s="7" t="n"/>
      <c r="G62" s="7" t="n"/>
      <c r="H62" s="7" t="n"/>
    </row>
  </sheetData>
  <mergeCells count="53">
    <mergeCell ref="B55:H55"/>
    <mergeCell ref="B6:H6"/>
    <mergeCell ref="B24:H24"/>
    <mergeCell ref="B30:H30"/>
    <mergeCell ref="A49:H49"/>
    <mergeCell ref="B15:H15"/>
    <mergeCell ref="A1:H1"/>
    <mergeCell ref="B51:H51"/>
    <mergeCell ref="B20:H20"/>
    <mergeCell ref="B45:H45"/>
    <mergeCell ref="B50:H50"/>
    <mergeCell ref="B35:H35"/>
    <mergeCell ref="A41:H41"/>
    <mergeCell ref="B16:H16"/>
    <mergeCell ref="B47:H47"/>
    <mergeCell ref="B54:H54"/>
    <mergeCell ref="B7:H7"/>
    <mergeCell ref="B62:H62"/>
    <mergeCell ref="A37:H37"/>
    <mergeCell ref="B59:H59"/>
    <mergeCell ref="B31:H31"/>
    <mergeCell ref="B46:H46"/>
    <mergeCell ref="A18:H18"/>
    <mergeCell ref="B22:H22"/>
    <mergeCell ref="A3:H3"/>
    <mergeCell ref="A26:H26"/>
    <mergeCell ref="B27:H27"/>
    <mergeCell ref="B58:H58"/>
    <mergeCell ref="B52:H52"/>
    <mergeCell ref="B21:H21"/>
    <mergeCell ref="A2:H2"/>
    <mergeCell ref="B43:H43"/>
    <mergeCell ref="B12:H12"/>
    <mergeCell ref="B39:H39"/>
    <mergeCell ref="A57:H57"/>
    <mergeCell ref="A33:H33"/>
    <mergeCell ref="A5:H5"/>
    <mergeCell ref="B11:H11"/>
    <mergeCell ref="B42:H42"/>
    <mergeCell ref="B60:H60"/>
    <mergeCell ref="B23:H23"/>
    <mergeCell ref="B61:H61"/>
    <mergeCell ref="B8:H8"/>
    <mergeCell ref="B14:H14"/>
    <mergeCell ref="B13:H13"/>
    <mergeCell ref="B44:H44"/>
    <mergeCell ref="B53:H53"/>
    <mergeCell ref="A10:H10"/>
    <mergeCell ref="B38:H38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16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30" customWidth="1" min="12" max="12"/>
    <col width="12" customWidth="1" min="13" max="13"/>
    <col width="13" customWidth="1" min="14" max="14"/>
    <col width="9" customWidth="1" min="15" max="15"/>
    <col width="9" customWidth="1" min="16" max="16"/>
    <col width="14" customWidth="1" min="17" max="17"/>
    <col width="9" customWidth="1" min="18" max="18"/>
    <col width="18" customWidth="1" min="19" max="19"/>
    <col width="34" customWidth="1" min="20" max="20"/>
  </cols>
  <sheetData>
    <row r="1" ht="26" customHeight="1">
      <c r="A1" s="1" t="inlineStr">
        <is>
          <t>시험 탐사 대상 50점 — 등급 A 5 · B 도엽대표 29 · 기존점 16</t>
        </is>
      </c>
    </row>
    <row r="2" ht="19" customHeight="1">
      <c r="A2" s="2" t="inlineStr">
        <is>
          <t>선점 검토 결과 그대로다(export_selection_50 단일 출처). Site ID 는 이 야장 전체의 연결키이며 다른 시트가 그대로 쓴다.</t>
        </is>
      </c>
    </row>
    <row r="3" ht="47" customHeight="1">
      <c r="A3" s="3" t="inlineStr">
        <is>
          <t>「예측 |∇ΔT|」는 KIGAM 항공자력 1.5분(약 2.8 km) 격자에서 계산한 값이라, 현장에서 수 m 간격으로 재는 값과는 물리적으로 다른 양입니다. 그래서 합격 기준으로 쓰지 않고 사전 참고용으로만 둡니다. 오호·문산·강화·포천·화천 다섯 곳은 항공자력 측선이 지나가지 않아 예측값이 아예 없는데, 이 경우 NOT AVAILABLE 로 두시면 됩니다. 값이 없다고 감점하거나 이웃 값으로 채워 넣지는 마세요.</t>
        </is>
      </c>
    </row>
    <row r="4" ht="36" customHeight="1">
      <c r="A4" s="8" t="inlineStr">
        <is>
          <t>Site ID</t>
        </is>
      </c>
      <c r="B4" s="9" t="inlineStr">
        <is>
          <t>연번</t>
        </is>
      </c>
      <c r="C4" s="9" t="inlineStr">
        <is>
          <t>구분</t>
        </is>
      </c>
      <c r="D4" s="9" t="inlineStr">
        <is>
          <t>원 번호</t>
        </is>
      </c>
      <c r="E4" s="9" t="inlineStr">
        <is>
          <t>지점명</t>
        </is>
      </c>
      <c r="F4" s="9" t="inlineStr">
        <is>
          <t>관할본부</t>
        </is>
      </c>
      <c r="G4" s="9" t="inlineStr">
        <is>
          <t>도엽번호</t>
        </is>
      </c>
      <c r="H4" s="9" t="inlineStr">
        <is>
          <t>도엽명</t>
        </is>
      </c>
      <c r="I4" s="9" t="inlineStr">
        <is>
          <t>위도(십진)</t>
        </is>
      </c>
      <c r="J4" s="9" t="inlineStr">
        <is>
          <t>경도(십진)</t>
        </is>
      </c>
      <c r="K4" s="9" t="inlineStr">
        <is>
          <t>표고(m)</t>
        </is>
      </c>
      <c r="L4" s="9" t="inlineStr">
        <is>
          <t>소재지</t>
        </is>
      </c>
      <c r="M4" s="9" t="inlineStr">
        <is>
          <t>예측 |∇ΔT|
(nT/km)
※판정 미사용</t>
        </is>
      </c>
      <c r="N4" s="9" t="inlineStr">
        <is>
          <t>예측 상태</t>
        </is>
      </c>
      <c r="O4" s="9" t="inlineStr">
        <is>
          <t>최근접
관측소</t>
        </is>
      </c>
      <c r="P4" s="9" t="inlineStr">
        <is>
          <t>관측소
거리(km)</t>
        </is>
      </c>
      <c r="Q4" s="9" t="inlineStr">
        <is>
          <t>표지1 방위각
(기재값)</t>
        </is>
      </c>
      <c r="R4" s="9" t="inlineStr">
        <is>
          <t>표지1
거리(m)</t>
        </is>
      </c>
      <c r="S4" s="9" t="inlineStr">
        <is>
          <t>원 계획 유의사항</t>
        </is>
      </c>
      <c r="T4" s="9" t="inlineStr">
        <is>
          <t>HOLD 범위</t>
        </is>
      </c>
    </row>
    <row r="5">
      <c r="A5" s="10" t="inlineStr">
        <is>
          <t>S01</t>
        </is>
      </c>
      <c r="B5" s="10" t="n">
        <v>1</v>
      </c>
      <c r="C5" s="10" t="inlineStr">
        <is>
          <t>A</t>
        </is>
      </c>
      <c r="D5" s="10" t="inlineStr">
        <is>
          <t>DS-008</t>
        </is>
      </c>
      <c r="E5" s="10" t="inlineStr">
        <is>
          <t>태백 신규점</t>
        </is>
      </c>
      <c r="F5" s="10" t="inlineStr">
        <is>
          <t>대구경북 본부</t>
        </is>
      </c>
      <c r="G5" s="10" t="inlineStr">
        <is>
          <t>NJ52-8-28</t>
        </is>
      </c>
      <c r="H5" s="10" t="inlineStr">
        <is>
          <t>태백</t>
        </is>
      </c>
      <c r="I5" s="11" t="n">
        <v>37.020705</v>
      </c>
      <c r="J5" s="11" t="n">
        <v>128.98393</v>
      </c>
      <c r="K5" s="12" t="n">
        <v>872</v>
      </c>
      <c r="L5" s="13" t="inlineStr">
        <is>
          <t>경북 봉화군 소천면 고선리 산 1</t>
        </is>
      </c>
      <c r="M5" s="12" t="n">
        <v>15.6</v>
      </c>
      <c r="N5" s="10" t="inlineStr">
        <is>
          <t>OK</t>
        </is>
      </c>
      <c r="O5" s="10" t="inlineStr">
        <is>
          <t>강릉</t>
        </is>
      </c>
      <c r="P5" s="10" t="n">
        <v>83</v>
      </c>
      <c r="Q5" s="10" t="inlineStr">
        <is>
          <t>178° 31' 53″</t>
        </is>
      </c>
      <c r="R5" s="12" t="n">
        <v>69</v>
      </c>
      <c r="S5" s="13" t="inlineStr"/>
      <c r="T5" s="13" t="inlineStr">
        <is>
          <t>없음 — 전 항목 진행</t>
        </is>
      </c>
    </row>
    <row r="6">
      <c r="A6" s="10" t="inlineStr">
        <is>
          <t>S02</t>
        </is>
      </c>
      <c r="B6" s="10" t="n">
        <v>2</v>
      </c>
      <c r="C6" s="10" t="inlineStr">
        <is>
          <t>A</t>
        </is>
      </c>
      <c r="D6" s="10" t="inlineStr">
        <is>
          <t>DS-015</t>
        </is>
      </c>
      <c r="E6" s="10" t="inlineStr">
        <is>
          <t>임계 신규점1</t>
        </is>
      </c>
      <c r="F6" s="10" t="inlineStr">
        <is>
          <t>강원 본부</t>
        </is>
      </c>
      <c r="G6" s="10" t="inlineStr">
        <is>
          <t>NJ52-8-20</t>
        </is>
      </c>
      <c r="H6" s="10" t="inlineStr">
        <is>
          <t>임계</t>
        </is>
      </c>
      <c r="I6" s="11" t="n">
        <v>37.359346</v>
      </c>
      <c r="J6" s="11" t="n">
        <v>128.973865</v>
      </c>
      <c r="K6" s="12" t="n">
        <v>844</v>
      </c>
      <c r="L6" s="13" t="inlineStr">
        <is>
          <t>강원특별자치도 삼척시 하장면 숙암리 산 11-1</t>
        </is>
      </c>
      <c r="M6" s="12" t="n">
        <v>24.3</v>
      </c>
      <c r="N6" s="10" t="inlineStr">
        <is>
          <t>OK</t>
        </is>
      </c>
      <c r="O6" s="10" t="inlineStr">
        <is>
          <t>강릉</t>
        </is>
      </c>
      <c r="P6" s="10" t="n">
        <v>46</v>
      </c>
      <c r="Q6" s="10" t="inlineStr">
        <is>
          <t>177°43′54″</t>
        </is>
      </c>
      <c r="R6" s="12" t="n">
        <v>79</v>
      </c>
      <c r="S6" s="13" t="inlineStr"/>
      <c r="T6" s="13" t="inlineStr">
        <is>
          <t>없음 — 전 항목 진행</t>
        </is>
      </c>
    </row>
    <row r="7">
      <c r="A7" s="10" t="inlineStr">
        <is>
          <t>S03</t>
        </is>
      </c>
      <c r="B7" s="10" t="n">
        <v>3</v>
      </c>
      <c r="C7" s="10" t="inlineStr">
        <is>
          <t>A</t>
        </is>
      </c>
      <c r="D7" s="10" t="inlineStr">
        <is>
          <t>DS-076</t>
        </is>
      </c>
      <c r="E7" s="10" t="inlineStr">
        <is>
          <t>예산 신규점2</t>
        </is>
      </c>
      <c r="F7" s="10" t="inlineStr">
        <is>
          <t>대전세종충남 본부</t>
        </is>
      </c>
      <c r="G7" s="10" t="inlineStr">
        <is>
          <t>NJ52-10-12</t>
        </is>
      </c>
      <c r="H7" s="10" t="inlineStr">
        <is>
          <t>예산</t>
        </is>
      </c>
      <c r="I7" s="11" t="n">
        <v>36.534085</v>
      </c>
      <c r="J7" s="11" t="n">
        <v>126.936269</v>
      </c>
      <c r="K7" s="12" t="n">
        <v>116</v>
      </c>
      <c r="L7" s="13" t="inlineStr">
        <is>
          <t>충남 공주시 신풍면 산정리 산 3</t>
        </is>
      </c>
      <c r="M7" s="12" t="n">
        <v>9.300000000000001</v>
      </c>
      <c r="N7" s="10" t="inlineStr">
        <is>
          <t>OK</t>
        </is>
      </c>
      <c r="O7" s="10" t="inlineStr">
        <is>
          <t>청양</t>
        </is>
      </c>
      <c r="P7" s="10" t="n">
        <v>20</v>
      </c>
      <c r="Q7" s="10" t="inlineStr">
        <is>
          <t>273°56′32″</t>
        </is>
      </c>
      <c r="R7" s="12" t="n">
        <v>134</v>
      </c>
      <c r="S7" s="13" t="inlineStr"/>
      <c r="T7" s="13" t="inlineStr">
        <is>
          <t>없음 — 전 항목 진행</t>
        </is>
      </c>
    </row>
    <row r="8">
      <c r="A8" s="10" t="inlineStr">
        <is>
          <t>S04</t>
        </is>
      </c>
      <c r="B8" s="10" t="n">
        <v>4</v>
      </c>
      <c r="C8" s="10" t="inlineStr">
        <is>
          <t>A</t>
        </is>
      </c>
      <c r="D8" s="10" t="inlineStr">
        <is>
          <t>DS-081</t>
        </is>
      </c>
      <c r="E8" s="10" t="inlineStr">
        <is>
          <t>진안 신규점1</t>
        </is>
      </c>
      <c r="F8" s="10" t="inlineStr">
        <is>
          <t>전북 본부</t>
        </is>
      </c>
      <c r="G8" s="10" t="inlineStr">
        <is>
          <t>NI52-1-06</t>
        </is>
      </c>
      <c r="H8" s="10" t="inlineStr">
        <is>
          <t>진안</t>
        </is>
      </c>
      <c r="I8" s="11" t="n">
        <v>35.891309</v>
      </c>
      <c r="J8" s="11" t="n">
        <v>127.309017</v>
      </c>
      <c r="K8" s="12" t="n">
        <v>297</v>
      </c>
      <c r="L8" s="13" t="inlineStr">
        <is>
          <t>전북특별자치도 완주군 동상면 사봉리 산 107-2</t>
        </is>
      </c>
      <c r="M8" s="12" t="n">
        <v>20.1</v>
      </c>
      <c r="N8" s="10" t="inlineStr">
        <is>
          <t>OK</t>
        </is>
      </c>
      <c r="O8" s="10" t="inlineStr">
        <is>
          <t>청양</t>
        </is>
      </c>
      <c r="P8" s="10" t="n">
        <v>67</v>
      </c>
      <c r="Q8" s="10" t="inlineStr">
        <is>
          <t>328° 19' 19.77</t>
        </is>
      </c>
      <c r="R8" s="12" t="n">
        <v>101</v>
      </c>
      <c r="S8" s="13" t="inlineStr"/>
      <c r="T8" s="13" t="inlineStr">
        <is>
          <t>없음 — 전 항목 진행</t>
        </is>
      </c>
    </row>
    <row r="9">
      <c r="A9" s="10" t="inlineStr">
        <is>
          <t>S05</t>
        </is>
      </c>
      <c r="B9" s="10" t="n">
        <v>5</v>
      </c>
      <c r="C9" s="10" t="inlineStr">
        <is>
          <t>A</t>
        </is>
      </c>
      <c r="D9" s="10" t="inlineStr">
        <is>
          <t>DS-083</t>
        </is>
      </c>
      <c r="E9" s="10" t="inlineStr">
        <is>
          <t>무풍 신규점1</t>
        </is>
      </c>
      <c r="F9" s="10" t="inlineStr">
        <is>
          <t>전북 본부</t>
        </is>
      </c>
      <c r="G9" s="10" t="inlineStr">
        <is>
          <t>NI52-1-08</t>
        </is>
      </c>
      <c r="H9" s="10" t="inlineStr">
        <is>
          <t>무풍</t>
        </is>
      </c>
      <c r="I9" s="11" t="n">
        <v>35.945212</v>
      </c>
      <c r="J9" s="11" t="n">
        <v>127.800855</v>
      </c>
      <c r="K9" s="12" t="n">
        <v>584</v>
      </c>
      <c r="L9" s="13" t="inlineStr">
        <is>
          <t>전북특별자치도 무주군 설천면 두길리 165</t>
        </is>
      </c>
      <c r="M9" s="12" t="n">
        <v>26.6</v>
      </c>
      <c r="N9" s="10" t="inlineStr">
        <is>
          <t>OK</t>
        </is>
      </c>
      <c r="O9" s="10" t="inlineStr">
        <is>
          <t>청양</t>
        </is>
      </c>
      <c r="P9" s="10" t="n">
        <v>98</v>
      </c>
      <c r="Q9" s="10" t="inlineStr">
        <is>
          <t>246° 16′ 35.46</t>
        </is>
      </c>
      <c r="R9" s="12" t="n">
        <v>67</v>
      </c>
      <c r="S9" s="13" t="inlineStr"/>
      <c r="T9" s="13" t="inlineStr">
        <is>
          <t>없음 — 전 항목 진행</t>
        </is>
      </c>
    </row>
    <row r="10">
      <c r="A10" s="14" t="inlineStr">
        <is>
          <t>S06</t>
        </is>
      </c>
      <c r="B10" s="14" t="n">
        <v>6</v>
      </c>
      <c r="C10" s="14" t="inlineStr">
        <is>
          <t>B</t>
        </is>
      </c>
      <c r="D10" s="14" t="inlineStr">
        <is>
          <t>DS-003</t>
        </is>
      </c>
      <c r="E10" s="14" t="inlineStr">
        <is>
          <t>길담 신규점</t>
        </is>
      </c>
      <c r="F10" s="14" t="inlineStr">
        <is>
          <t>전북 본부</t>
        </is>
      </c>
      <c r="G10" s="14" t="inlineStr">
        <is>
          <t>NI52-1-13</t>
        </is>
      </c>
      <c r="H10" s="14" t="inlineStr">
        <is>
          <t>갈담</t>
        </is>
      </c>
      <c r="I10" s="15" t="n">
        <v>35.604653</v>
      </c>
      <c r="J10" s="15" t="n">
        <v>127.230237</v>
      </c>
      <c r="K10" s="16" t="n">
        <v>281</v>
      </c>
      <c r="L10" s="17" t="inlineStr">
        <is>
          <t>전북특별자치도 임실군 임실읍 신안리 산 87-1</t>
        </is>
      </c>
      <c r="M10" s="16" t="n">
        <v>8.4</v>
      </c>
      <c r="N10" s="14" t="inlineStr">
        <is>
          <t>OK</t>
        </is>
      </c>
      <c r="O10" s="14" t="inlineStr">
        <is>
          <t>청양</t>
        </is>
      </c>
      <c r="P10" s="14" t="n">
        <v>91</v>
      </c>
      <c r="Q10" s="14" t="inlineStr">
        <is>
          <t>351˚ 50´ 02˝</t>
        </is>
      </c>
      <c r="R10" s="16" t="n">
        <v>64</v>
      </c>
      <c r="S10" s="17" t="inlineStr"/>
      <c r="T10" s="17" t="inlineStr">
        <is>
          <t>없음 — 전 항목 진행</t>
        </is>
      </c>
    </row>
    <row r="11">
      <c r="A11" s="14" t="inlineStr">
        <is>
          <t>S07</t>
        </is>
      </c>
      <c r="B11" s="14" t="n">
        <v>7</v>
      </c>
      <c r="C11" s="14" t="inlineStr">
        <is>
          <t>B</t>
        </is>
      </c>
      <c r="D11" s="14" t="inlineStr">
        <is>
          <t>DS-004</t>
        </is>
      </c>
      <c r="E11" s="14" t="inlineStr">
        <is>
          <t>남해 신규점1</t>
        </is>
      </c>
      <c r="F11" s="14" t="inlineStr">
        <is>
          <t>경남 본부</t>
        </is>
      </c>
      <c r="G11" s="14" t="inlineStr">
        <is>
          <t>NI52-4-08</t>
        </is>
      </c>
      <c r="H11" s="14" t="inlineStr">
        <is>
          <t>남해</t>
        </is>
      </c>
      <c r="I11" s="15" t="n">
        <v>34.852281</v>
      </c>
      <c r="J11" s="15" t="n">
        <v>127.981473</v>
      </c>
      <c r="K11" s="16" t="n">
        <v>262</v>
      </c>
      <c r="L11" s="17" t="inlineStr">
        <is>
          <t>경남 남해군 창선면 지족리 산 115</t>
        </is>
      </c>
      <c r="M11" s="16" t="n">
        <v>5.4</v>
      </c>
      <c r="N11" s="14" t="inlineStr">
        <is>
          <t>OK</t>
        </is>
      </c>
      <c r="O11" s="14" t="inlineStr">
        <is>
          <t>청양</t>
        </is>
      </c>
      <c r="P11" s="14" t="n">
        <v>197</v>
      </c>
      <c r="Q11" s="14" t="inlineStr">
        <is>
          <t>114°34′47″</t>
        </is>
      </c>
      <c r="R11" s="16" t="n">
        <v>70</v>
      </c>
      <c r="S11" s="17" t="inlineStr"/>
      <c r="T11" s="17" t="inlineStr">
        <is>
          <t>없음 — 전 항목 진행</t>
        </is>
      </c>
    </row>
    <row r="12">
      <c r="A12" s="14" t="inlineStr">
        <is>
          <t>S08</t>
        </is>
      </c>
      <c r="B12" s="14" t="n">
        <v>8</v>
      </c>
      <c r="C12" s="14" t="inlineStr">
        <is>
          <t>B</t>
        </is>
      </c>
      <c r="D12" s="14" t="inlineStr">
        <is>
          <t>DS-013</t>
        </is>
      </c>
      <c r="E12" s="14" t="inlineStr">
        <is>
          <t>청일 신규점2</t>
        </is>
      </c>
      <c r="F12" s="14" t="inlineStr">
        <is>
          <t>강원 본부</t>
        </is>
      </c>
      <c r="G12" s="14" t="inlineStr">
        <is>
          <t>NJ52-8-09</t>
        </is>
      </c>
      <c r="H12" s="14" t="inlineStr">
        <is>
          <t>청일</t>
        </is>
      </c>
      <c r="I12" s="15" t="n">
        <v>37.618578</v>
      </c>
      <c r="J12" s="15" t="n">
        <v>128.1698</v>
      </c>
      <c r="K12" s="16" t="n">
        <v>372</v>
      </c>
      <c r="L12" s="17" t="inlineStr">
        <is>
          <t>강원특별자치도 횡성군 청일면 춘당리 산 1</t>
        </is>
      </c>
      <c r="M12" s="16" t="n">
        <v>7.6</v>
      </c>
      <c r="N12" s="14" t="inlineStr">
        <is>
          <t>OK</t>
        </is>
      </c>
      <c r="O12" s="14" t="inlineStr">
        <is>
          <t>강릉</t>
        </is>
      </c>
      <c r="P12" s="14" t="n">
        <v>64</v>
      </c>
      <c r="Q12" s="14" t="inlineStr">
        <is>
          <t>162° 55′ 36.41″</t>
        </is>
      </c>
      <c r="R12" s="16" t="n">
        <v>63</v>
      </c>
      <c r="S12" s="17" t="inlineStr"/>
      <c r="T12" s="17" t="inlineStr">
        <is>
          <t>없음 — 전 항목 진행</t>
        </is>
      </c>
    </row>
    <row r="13">
      <c r="A13" s="14" t="inlineStr">
        <is>
          <t>S09</t>
        </is>
      </c>
      <c r="B13" s="14" t="n">
        <v>9</v>
      </c>
      <c r="C13" s="14" t="inlineStr">
        <is>
          <t>B</t>
        </is>
      </c>
      <c r="D13" s="14" t="inlineStr">
        <is>
          <t>DS-014</t>
        </is>
      </c>
      <c r="E13" s="14" t="inlineStr">
        <is>
          <t>어론 신규점</t>
        </is>
      </c>
      <c r="F13" s="14" t="inlineStr">
        <is>
          <t>강원 본부</t>
        </is>
      </c>
      <c r="G13" s="14" t="inlineStr">
        <is>
          <t>NJ52-8-01</t>
        </is>
      </c>
      <c r="H13" s="14" t="inlineStr">
        <is>
          <t>어론</t>
        </is>
      </c>
      <c r="I13" s="15" t="n">
        <v>37.776326</v>
      </c>
      <c r="J13" s="15" t="n">
        <v>128.075858</v>
      </c>
      <c r="K13" s="16" t="n">
        <v>532</v>
      </c>
      <c r="L13" s="17" t="inlineStr">
        <is>
          <t>강원특별자치도 홍천군 내촌면 화상대리 산 108-2</t>
        </is>
      </c>
      <c r="M13" s="16" t="n">
        <v>4.7</v>
      </c>
      <c r="N13" s="14" t="inlineStr">
        <is>
          <t>OK</t>
        </is>
      </c>
      <c r="O13" s="14" t="inlineStr">
        <is>
          <t>강릉</t>
        </is>
      </c>
      <c r="P13" s="14" t="n">
        <v>70</v>
      </c>
      <c r="Q13" s="14" t="inlineStr">
        <is>
          <t>278°9′11″</t>
        </is>
      </c>
      <c r="R13" s="16" t="n">
        <v>37</v>
      </c>
      <c r="S13" s="17" t="inlineStr"/>
      <c r="T13" s="17" t="inlineStr">
        <is>
          <t>없음 — 전 항목 진행</t>
        </is>
      </c>
    </row>
    <row r="14">
      <c r="A14" s="14" t="inlineStr">
        <is>
          <t>S10</t>
        </is>
      </c>
      <c r="B14" s="14" t="n">
        <v>10</v>
      </c>
      <c r="C14" s="14" t="inlineStr">
        <is>
          <t>B</t>
        </is>
      </c>
      <c r="D14" s="14" t="inlineStr">
        <is>
          <t>DS-020</t>
        </is>
      </c>
      <c r="E14" s="14" t="inlineStr">
        <is>
          <t>예안 신규점1</t>
        </is>
      </c>
      <c r="F14" s="14" t="inlineStr">
        <is>
          <t>대구경북 본부</t>
        </is>
      </c>
      <c r="G14" s="14" t="inlineStr">
        <is>
          <t>NJ52-11-12</t>
        </is>
      </c>
      <c r="H14" s="14" t="inlineStr">
        <is>
          <t>예안</t>
        </is>
      </c>
      <c r="I14" s="15" t="n">
        <v>36.745399</v>
      </c>
      <c r="J14" s="15" t="n">
        <v>128.853559</v>
      </c>
      <c r="K14" s="16" t="n">
        <v>293</v>
      </c>
      <c r="L14" s="17" t="inlineStr">
        <is>
          <t>경북 안동시 도산면 토계리 350</t>
        </is>
      </c>
      <c r="M14" s="16" t="n">
        <v>7.5</v>
      </c>
      <c r="N14" s="14" t="inlineStr">
        <is>
          <t>OK</t>
        </is>
      </c>
      <c r="O14" s="14" t="inlineStr">
        <is>
          <t>강릉</t>
        </is>
      </c>
      <c r="P14" s="14" t="n">
        <v>113</v>
      </c>
      <c r="Q14" s="14" t="inlineStr">
        <is>
          <t>45°25′27</t>
        </is>
      </c>
      <c r="R14" s="16" t="n">
        <v>28</v>
      </c>
      <c r="S14" s="17" t="inlineStr"/>
      <c r="T14" s="17" t="inlineStr">
        <is>
          <t>없음 — 전 항목 진행</t>
        </is>
      </c>
    </row>
    <row r="15">
      <c r="A15" s="14" t="inlineStr">
        <is>
          <t>S11</t>
        </is>
      </c>
      <c r="B15" s="14" t="n">
        <v>11</v>
      </c>
      <c r="C15" s="14" t="inlineStr">
        <is>
          <t>B</t>
        </is>
      </c>
      <c r="D15" s="14" t="inlineStr">
        <is>
          <t>DS-025</t>
        </is>
      </c>
      <c r="E15" s="14" t="inlineStr">
        <is>
          <t>소천 신규점4</t>
        </is>
      </c>
      <c r="F15" s="14" t="inlineStr">
        <is>
          <t>대구경북 본부</t>
        </is>
      </c>
      <c r="G15" s="14" t="inlineStr">
        <is>
          <t>NJ52-11-05</t>
        </is>
      </c>
      <c r="H15" s="14" t="inlineStr">
        <is>
          <t>소천</t>
        </is>
      </c>
      <c r="I15" s="15" t="n">
        <v>36.765848</v>
      </c>
      <c r="J15" s="15" t="n">
        <v>129.154341</v>
      </c>
      <c r="K15" s="16" t="n">
        <v>380</v>
      </c>
      <c r="L15" s="17" t="inlineStr">
        <is>
          <t>경북 영양군 일월면 문암리 산 59-2</t>
        </is>
      </c>
      <c r="M15" s="16" t="n">
        <v>34.9</v>
      </c>
      <c r="N15" s="14" t="inlineStr">
        <is>
          <t>OK</t>
        </is>
      </c>
      <c r="O15" s="14" t="inlineStr">
        <is>
          <t>강릉</t>
        </is>
      </c>
      <c r="P15" s="14" t="n">
        <v>114</v>
      </c>
      <c r="Q15" s="14" t="inlineStr">
        <is>
          <t>251°54'10"</t>
        </is>
      </c>
      <c r="R15" s="16" t="n">
        <v>38</v>
      </c>
      <c r="S15" s="17" t="inlineStr"/>
      <c r="T15" s="17" t="inlineStr">
        <is>
          <t>없음 — 전 항목 진행</t>
        </is>
      </c>
    </row>
    <row r="16">
      <c r="A16" s="14" t="inlineStr">
        <is>
          <t>S12</t>
        </is>
      </c>
      <c r="B16" s="14" t="n">
        <v>12</v>
      </c>
      <c r="C16" s="14" t="inlineStr">
        <is>
          <t>B</t>
        </is>
      </c>
      <c r="D16" s="14" t="inlineStr">
        <is>
          <t>DS-030</t>
        </is>
      </c>
      <c r="E16" s="14" t="inlineStr">
        <is>
          <t>순창 신규점</t>
        </is>
      </c>
      <c r="F16" s="14" t="inlineStr">
        <is>
          <t>광주전남 본부</t>
        </is>
      </c>
      <c r="G16" s="14" t="inlineStr">
        <is>
          <t>NI52-1-21</t>
        </is>
      </c>
      <c r="H16" s="14" t="inlineStr">
        <is>
          <t>순창</t>
        </is>
      </c>
      <c r="I16" s="15" t="n">
        <v>35.284821</v>
      </c>
      <c r="J16" s="15" t="n">
        <v>127.092148</v>
      </c>
      <c r="K16" s="16" t="n">
        <v>219</v>
      </c>
      <c r="L16" s="17" t="inlineStr">
        <is>
          <t>전남광주통합특별시 곡성군 오산면 운곡리 산 73-1</t>
        </is>
      </c>
      <c r="M16" s="16" t="n">
        <v>23.1</v>
      </c>
      <c r="N16" s="14" t="inlineStr">
        <is>
          <t>OK</t>
        </is>
      </c>
      <c r="O16" s="14" t="inlineStr">
        <is>
          <t>청양</t>
        </is>
      </c>
      <c r="P16" s="14" t="n">
        <v>122</v>
      </c>
      <c r="Q16" s="14" t="inlineStr">
        <is>
          <t>206°53′16″</t>
        </is>
      </c>
      <c r="R16" s="16" t="n">
        <v>57</v>
      </c>
      <c r="S16" s="17" t="inlineStr"/>
      <c r="T16" s="17" t="inlineStr">
        <is>
          <t>없음 — 전 항목 진행</t>
        </is>
      </c>
    </row>
    <row r="17">
      <c r="A17" s="14" t="inlineStr">
        <is>
          <t>S13</t>
        </is>
      </c>
      <c r="B17" s="14" t="n">
        <v>13</v>
      </c>
      <c r="C17" s="14" t="inlineStr">
        <is>
          <t>B</t>
        </is>
      </c>
      <c r="D17" s="14" t="inlineStr">
        <is>
          <t>DS-031</t>
        </is>
      </c>
      <c r="E17" s="14" t="inlineStr">
        <is>
          <t>순천 신규점</t>
        </is>
      </c>
      <c r="F17" s="14" t="inlineStr">
        <is>
          <t>광주전남 본부</t>
        </is>
      </c>
      <c r="G17" s="14" t="inlineStr">
        <is>
          <t>NI52-4-06</t>
        </is>
      </c>
      <c r="H17" s="14" t="inlineStr">
        <is>
          <t>순천</t>
        </is>
      </c>
      <c r="I17" s="15" t="n">
        <v>34.904713</v>
      </c>
      <c r="J17" s="15" t="n">
        <v>127.294737</v>
      </c>
      <c r="K17" s="16" t="n">
        <v>301</v>
      </c>
      <c r="L17" s="17" t="inlineStr">
        <is>
          <t>전남광주통합특별시 순천시 외서면 신덕리 산 185-2</t>
        </is>
      </c>
      <c r="M17" s="16" t="n">
        <v>4.8</v>
      </c>
      <c r="N17" s="14" t="inlineStr">
        <is>
          <t>OK</t>
        </is>
      </c>
      <c r="O17" s="14" t="inlineStr">
        <is>
          <t>청양</t>
        </is>
      </c>
      <c r="P17" s="14" t="n">
        <v>167</v>
      </c>
      <c r="Q17" s="14" t="inlineStr">
        <is>
          <t>108° 51' 19</t>
        </is>
      </c>
      <c r="R17" s="16" t="n">
        <v>17</v>
      </c>
      <c r="S17" s="17" t="inlineStr"/>
      <c r="T17" s="17" t="inlineStr">
        <is>
          <t>없음 — 전 항목 진행</t>
        </is>
      </c>
    </row>
    <row r="18">
      <c r="A18" s="14" t="inlineStr">
        <is>
          <t>S14</t>
        </is>
      </c>
      <c r="B18" s="14" t="n">
        <v>14</v>
      </c>
      <c r="C18" s="14" t="inlineStr">
        <is>
          <t>B</t>
        </is>
      </c>
      <c r="D18" s="14" t="inlineStr">
        <is>
          <t>DS-033</t>
        </is>
      </c>
      <c r="E18" s="14" t="inlineStr">
        <is>
          <t>청송 신규점1</t>
        </is>
      </c>
      <c r="F18" s="14" t="inlineStr">
        <is>
          <t>대구경북 본부</t>
        </is>
      </c>
      <c r="G18" s="14" t="inlineStr">
        <is>
          <t>NJ52-11-21</t>
        </is>
      </c>
      <c r="H18" s="14" t="inlineStr">
        <is>
          <t>청송</t>
        </is>
      </c>
      <c r="I18" s="15" t="n">
        <v>36.382888</v>
      </c>
      <c r="J18" s="15" t="n">
        <v>129.145795</v>
      </c>
      <c r="K18" s="16" t="n">
        <v>313</v>
      </c>
      <c r="L18" s="17" t="inlineStr">
        <is>
          <t>경북 청송군 주왕산면 상의리 876</t>
        </is>
      </c>
      <c r="M18" s="16" t="n">
        <v>36.9</v>
      </c>
      <c r="N18" s="14" t="inlineStr">
        <is>
          <t>OK</t>
        </is>
      </c>
      <c r="O18" s="14" t="inlineStr">
        <is>
          <t>강릉</t>
        </is>
      </c>
      <c r="P18" s="14" t="n">
        <v>155</v>
      </c>
      <c r="Q18" s="14" t="inlineStr">
        <is>
          <t>121°33'54"</t>
        </is>
      </c>
      <c r="R18" s="16" t="n">
        <v>43</v>
      </c>
      <c r="S18" s="17" t="inlineStr"/>
      <c r="T18" s="17" t="inlineStr">
        <is>
          <t>없음 — 전 항목 진행</t>
        </is>
      </c>
    </row>
    <row r="19">
      <c r="A19" s="14" t="inlineStr">
        <is>
          <t>S15</t>
        </is>
      </c>
      <c r="B19" s="14" t="n">
        <v>15</v>
      </c>
      <c r="C19" s="14" t="inlineStr">
        <is>
          <t>B</t>
        </is>
      </c>
      <c r="D19" s="14" t="inlineStr">
        <is>
          <t>DS-035</t>
        </is>
      </c>
      <c r="E19" s="14" t="inlineStr">
        <is>
          <t>의성 신규점</t>
        </is>
      </c>
      <c r="F19" s="14" t="inlineStr">
        <is>
          <t>대구경북 본부</t>
        </is>
      </c>
      <c r="G19" s="14" t="inlineStr">
        <is>
          <t>NJ52-11-19</t>
        </is>
      </c>
      <c r="H19" s="14" t="inlineStr">
        <is>
          <t>의성</t>
        </is>
      </c>
      <c r="I19" s="15" t="n">
        <v>36.4767</v>
      </c>
      <c r="J19" s="15" t="n">
        <v>128.508751</v>
      </c>
      <c r="K19" s="16" t="n">
        <v>179</v>
      </c>
      <c r="L19" s="17" t="inlineStr">
        <is>
          <t>경북 의성군 신평면 교안리 산 31-1</t>
        </is>
      </c>
      <c r="M19" s="16" t="n">
        <v>5.7</v>
      </c>
      <c r="N19" s="14" t="inlineStr">
        <is>
          <t>OK</t>
        </is>
      </c>
      <c r="O19" s="14" t="inlineStr">
        <is>
          <t>이천</t>
        </is>
      </c>
      <c r="P19" s="14" t="n">
        <v>114</v>
      </c>
      <c r="Q19" s="14" t="inlineStr">
        <is>
          <t>44˚ 41´ 38.53˝</t>
        </is>
      </c>
      <c r="R19" s="16" t="n">
        <v>60</v>
      </c>
      <c r="S19" s="17" t="inlineStr"/>
      <c r="T19" s="17" t="inlineStr">
        <is>
          <t>없음 — 전 항목 진행</t>
        </is>
      </c>
    </row>
    <row r="20">
      <c r="A20" s="14" t="inlineStr">
        <is>
          <t>S16</t>
        </is>
      </c>
      <c r="B20" s="14" t="n">
        <v>16</v>
      </c>
      <c r="C20" s="14" t="inlineStr">
        <is>
          <t>B</t>
        </is>
      </c>
      <c r="D20" s="14" t="inlineStr">
        <is>
          <t>DS-036</t>
        </is>
      </c>
      <c r="E20" s="14" t="inlineStr">
        <is>
          <t>예천 신규점</t>
        </is>
      </c>
      <c r="F20" s="14" t="inlineStr">
        <is>
          <t>대구경북 본부</t>
        </is>
      </c>
      <c r="G20" s="14" t="inlineStr">
        <is>
          <t>NJ52-11-10</t>
        </is>
      </c>
      <c r="H20" s="14" t="inlineStr">
        <is>
          <t>예천</t>
        </is>
      </c>
      <c r="I20" s="15" t="n">
        <v>36.50939</v>
      </c>
      <c r="J20" s="15" t="n">
        <v>128.494519</v>
      </c>
      <c r="K20" s="16" t="n">
        <v>160</v>
      </c>
      <c r="L20" s="17" t="inlineStr">
        <is>
          <t>경북 의성군 신평면 중율리 산 9</t>
        </is>
      </c>
      <c r="M20" s="16" t="n">
        <v>10.3</v>
      </c>
      <c r="N20" s="14" t="inlineStr">
        <is>
          <t>OK</t>
        </is>
      </c>
      <c r="O20" s="14" t="inlineStr">
        <is>
          <t>이천</t>
        </is>
      </c>
      <c r="P20" s="14" t="n">
        <v>111</v>
      </c>
      <c r="Q20" s="14" t="inlineStr">
        <is>
          <t>352° 25′ 12.86˝</t>
        </is>
      </c>
      <c r="R20" s="16" t="n">
        <v>42</v>
      </c>
      <c r="S20" s="17" t="inlineStr"/>
      <c r="T20" s="17" t="inlineStr">
        <is>
          <t>없음 — 전 항목 진행</t>
        </is>
      </c>
    </row>
    <row r="21">
      <c r="A21" s="14" t="inlineStr">
        <is>
          <t>S17</t>
        </is>
      </c>
      <c r="B21" s="14" t="n">
        <v>17</v>
      </c>
      <c r="C21" s="14" t="inlineStr">
        <is>
          <t>B</t>
        </is>
      </c>
      <c r="D21" s="14" t="inlineStr">
        <is>
          <t>DS-040</t>
        </is>
      </c>
      <c r="E21" s="14" t="inlineStr">
        <is>
          <t>영양 신규점4</t>
        </is>
      </c>
      <c r="F21" s="14" t="inlineStr">
        <is>
          <t>대구경북 본부</t>
        </is>
      </c>
      <c r="G21" s="14" t="inlineStr">
        <is>
          <t>NJ52-11-13</t>
        </is>
      </c>
      <c r="H21" s="14" t="inlineStr">
        <is>
          <t>영양</t>
        </is>
      </c>
      <c r="I21" s="15" t="n">
        <v>36.743626</v>
      </c>
      <c r="J21" s="15" t="n">
        <v>129.181307</v>
      </c>
      <c r="K21" s="16" t="n">
        <v>512</v>
      </c>
      <c r="L21" s="17" t="inlineStr">
        <is>
          <t>경북 영양군 수비면 오기리 산 208-1</t>
        </is>
      </c>
      <c r="M21" s="16" t="n">
        <v>14.3</v>
      </c>
      <c r="N21" s="14" t="inlineStr">
        <is>
          <t>OK</t>
        </is>
      </c>
      <c r="O21" s="14" t="inlineStr">
        <is>
          <t>강릉</t>
        </is>
      </c>
      <c r="P21" s="14" t="n">
        <v>117</v>
      </c>
      <c r="Q21" s="14" t="inlineStr">
        <is>
          <t>173°51'05"</t>
        </is>
      </c>
      <c r="R21" s="16" t="n">
        <v>52</v>
      </c>
      <c r="S21" s="17" t="inlineStr"/>
      <c r="T21" s="17" t="inlineStr">
        <is>
          <t>없음 — 전 항목 진행</t>
        </is>
      </c>
    </row>
    <row r="22">
      <c r="A22" s="14" t="inlineStr">
        <is>
          <t>S18</t>
        </is>
      </c>
      <c r="B22" s="14" t="n">
        <v>18</v>
      </c>
      <c r="C22" s="14" t="inlineStr">
        <is>
          <t>B</t>
        </is>
      </c>
      <c r="D22" s="14" t="inlineStr">
        <is>
          <t>DS-045</t>
        </is>
      </c>
      <c r="E22" s="14" t="inlineStr">
        <is>
          <t>통영 신규점</t>
        </is>
      </c>
      <c r="F22" s="14" t="inlineStr">
        <is>
          <t>경남 본부</t>
        </is>
      </c>
      <c r="G22" s="14" t="inlineStr">
        <is>
          <t>NI52-5-02</t>
        </is>
      </c>
      <c r="H22" s="14" t="inlineStr">
        <is>
          <t>통영</t>
        </is>
      </c>
      <c r="I22" s="15" t="n">
        <v>34.792976</v>
      </c>
      <c r="J22" s="15" t="n">
        <v>128.393827</v>
      </c>
      <c r="K22" s="16" t="n">
        <v>79</v>
      </c>
      <c r="L22" s="17" t="inlineStr">
        <is>
          <t>경남 통영시 산양읍 연화리 584</t>
        </is>
      </c>
      <c r="M22" s="16" t="n">
        <v>140.1</v>
      </c>
      <c r="N22" s="14" t="inlineStr">
        <is>
          <t>OK</t>
        </is>
      </c>
      <c r="O22" s="14" t="inlineStr">
        <is>
          <t>청양</t>
        </is>
      </c>
      <c r="P22" s="14" t="n">
        <v>223</v>
      </c>
      <c r="Q22" s="14" t="inlineStr">
        <is>
          <t>304°50'44"</t>
        </is>
      </c>
      <c r="R22" s="16" t="n">
        <v>26</v>
      </c>
      <c r="S22" s="17" t="inlineStr"/>
      <c r="T22" s="17" t="inlineStr">
        <is>
          <t>없음 — 전 항목 진행</t>
        </is>
      </c>
    </row>
    <row r="23">
      <c r="A23" s="14" t="inlineStr">
        <is>
          <t>S19</t>
        </is>
      </c>
      <c r="B23" s="14" t="n">
        <v>19</v>
      </c>
      <c r="C23" s="14" t="inlineStr">
        <is>
          <t>B</t>
        </is>
      </c>
      <c r="D23" s="14" t="inlineStr">
        <is>
          <t>DS-046</t>
        </is>
      </c>
      <c r="E23" s="14" t="inlineStr">
        <is>
          <t>오호 신규점</t>
        </is>
      </c>
      <c r="F23" s="14" t="inlineStr">
        <is>
          <t>강원 본부</t>
        </is>
      </c>
      <c r="G23" s="14" t="inlineStr">
        <is>
          <t>NJ52-5-19</t>
        </is>
      </c>
      <c r="H23" s="14" t="inlineStr">
        <is>
          <t>오호</t>
        </is>
      </c>
      <c r="I23" s="15" t="n">
        <v>38.318869</v>
      </c>
      <c r="J23" s="15" t="n">
        <v>128.521755</v>
      </c>
      <c r="K23" s="16" t="n">
        <v>21</v>
      </c>
      <c r="L23" s="17" t="inlineStr">
        <is>
          <t>강원특별자치도 고성군 죽왕면 삼포리 산 5</t>
        </is>
      </c>
      <c r="M23" s="16" t="n"/>
      <c r="N23" s="18" t="inlineStr">
        <is>
          <t>NOT AVAILABLE</t>
        </is>
      </c>
      <c r="O23" s="14" t="inlineStr">
        <is>
          <t>강릉</t>
        </is>
      </c>
      <c r="P23" s="14" t="n">
        <v>68</v>
      </c>
      <c r="Q23" s="14" t="inlineStr">
        <is>
          <t>252°09′33.58"</t>
        </is>
      </c>
      <c r="R23" s="16" t="n">
        <v>36</v>
      </c>
      <c r="S23" s="17" t="inlineStr"/>
      <c r="T23" s="17" t="inlineStr">
        <is>
          <t>없음 — 전 항목 진행</t>
        </is>
      </c>
    </row>
    <row r="24">
      <c r="A24" s="14" t="inlineStr">
        <is>
          <t>S20</t>
        </is>
      </c>
      <c r="B24" s="14" t="n">
        <v>20</v>
      </c>
      <c r="C24" s="14" t="inlineStr">
        <is>
          <t>B</t>
        </is>
      </c>
      <c r="D24" s="14" t="inlineStr">
        <is>
          <t>DS-049</t>
        </is>
      </c>
      <c r="E24" s="14" t="inlineStr">
        <is>
          <t>보령 신규점2</t>
        </is>
      </c>
      <c r="F24" s="14" t="inlineStr">
        <is>
          <t>대전세종충남 본부</t>
        </is>
      </c>
      <c r="G24" s="14" t="inlineStr">
        <is>
          <t>NJ52-10-19</t>
        </is>
      </c>
      <c r="H24" s="14" t="inlineStr">
        <is>
          <t>보령</t>
        </is>
      </c>
      <c r="I24" s="15" t="n">
        <v>36.266844</v>
      </c>
      <c r="J24" s="15" t="n">
        <v>126.706961</v>
      </c>
      <c r="K24" s="16" t="n">
        <v>277</v>
      </c>
      <c r="L24" s="17" t="inlineStr">
        <is>
          <t>충남 부여군 외산면 가덕리 산 11-1</t>
        </is>
      </c>
      <c r="M24" s="16" t="n">
        <v>4.4</v>
      </c>
      <c r="N24" s="14" t="inlineStr">
        <is>
          <t>OK</t>
        </is>
      </c>
      <c r="O24" s="14" t="inlineStr">
        <is>
          <t>청양</t>
        </is>
      </c>
      <c r="P24" s="14" t="n">
        <v>17</v>
      </c>
      <c r="Q24" s="14" t="inlineStr">
        <is>
          <t>5° 15' 3.36</t>
        </is>
      </c>
      <c r="R24" s="16" t="n">
        <v>75</v>
      </c>
      <c r="S24" s="17" t="inlineStr"/>
      <c r="T24" s="17" t="inlineStr">
        <is>
          <t>없음 — 전 항목 진행</t>
        </is>
      </c>
    </row>
    <row r="25">
      <c r="A25" s="14" t="inlineStr">
        <is>
          <t>S21</t>
        </is>
      </c>
      <c r="B25" s="14" t="n">
        <v>21</v>
      </c>
      <c r="C25" s="14" t="inlineStr">
        <is>
          <t>B</t>
        </is>
      </c>
      <c r="D25" s="14" t="inlineStr">
        <is>
          <t>DS-051</t>
        </is>
      </c>
      <c r="E25" s="14" t="inlineStr">
        <is>
          <t>담양 신규점2</t>
        </is>
      </c>
      <c r="F25" s="14" t="inlineStr">
        <is>
          <t>전북 본부</t>
        </is>
      </c>
      <c r="G25" s="14" t="inlineStr">
        <is>
          <t>NI52-1-20</t>
        </is>
      </c>
      <c r="H25" s="14" t="inlineStr">
        <is>
          <t>담양</t>
        </is>
      </c>
      <c r="I25" s="15" t="n">
        <v>35.456101</v>
      </c>
      <c r="J25" s="15" t="n">
        <v>126.962054</v>
      </c>
      <c r="K25" s="16" t="n">
        <v>350</v>
      </c>
      <c r="L25" s="17" t="inlineStr">
        <is>
          <t>전북특별자치도 순창군 복흥면 하리 산 27</t>
        </is>
      </c>
      <c r="M25" s="16" t="n">
        <v>35.3</v>
      </c>
      <c r="N25" s="14" t="inlineStr">
        <is>
          <t>OK</t>
        </is>
      </c>
      <c r="O25" s="14" t="inlineStr">
        <is>
          <t>청양</t>
        </is>
      </c>
      <c r="P25" s="14" t="n">
        <v>102</v>
      </c>
      <c r="Q25" s="14" t="inlineStr">
        <is>
          <t>227˚ 00´ 55˝</t>
        </is>
      </c>
      <c r="R25" s="16" t="n">
        <v>44</v>
      </c>
      <c r="S25" s="17" t="inlineStr"/>
      <c r="T25" s="17" t="inlineStr">
        <is>
          <t>없음 — 전 항목 진행</t>
        </is>
      </c>
    </row>
    <row r="26">
      <c r="A26" s="14" t="inlineStr">
        <is>
          <t>S22</t>
        </is>
      </c>
      <c r="B26" s="14" t="n">
        <v>22</v>
      </c>
      <c r="C26" s="14" t="inlineStr">
        <is>
          <t>B</t>
        </is>
      </c>
      <c r="D26" s="14" t="inlineStr">
        <is>
          <t>DS-055</t>
        </is>
      </c>
      <c r="E26" s="14" t="inlineStr">
        <is>
          <t>완도 신규점</t>
        </is>
      </c>
      <c r="F26" s="14" t="inlineStr">
        <is>
          <t>광주전남 본부</t>
        </is>
      </c>
      <c r="G26" s="14" t="inlineStr">
        <is>
          <t>NI52-4-19</t>
        </is>
      </c>
      <c r="H26" s="14" t="inlineStr">
        <is>
          <t>완도</t>
        </is>
      </c>
      <c r="I26" s="15" t="n">
        <v>34.328826</v>
      </c>
      <c r="J26" s="15" t="n">
        <v>126.543215</v>
      </c>
      <c r="K26" s="16" t="n">
        <v>131</v>
      </c>
      <c r="L26" s="17" t="inlineStr">
        <is>
          <t>전남광주통합특별시 해남군 송지면 송호리 산 178-3</t>
        </is>
      </c>
      <c r="M26" s="16" t="n">
        <v>48.2</v>
      </c>
      <c r="N26" s="14" t="inlineStr">
        <is>
          <t>OK</t>
        </is>
      </c>
      <c r="O26" s="14" t="inlineStr">
        <is>
          <t>제주</t>
        </is>
      </c>
      <c r="P26" s="14" t="n">
        <v>102</v>
      </c>
      <c r="Q26" s="14" t="inlineStr">
        <is>
          <t>122º 46' 29</t>
        </is>
      </c>
      <c r="R26" s="16" t="n">
        <v>38</v>
      </c>
      <c r="S26" s="17" t="inlineStr"/>
      <c r="T26" s="17" t="inlineStr">
        <is>
          <t>없음 — 전 항목 진행</t>
        </is>
      </c>
    </row>
    <row r="27">
      <c r="A27" s="14" t="inlineStr">
        <is>
          <t>S23</t>
        </is>
      </c>
      <c r="B27" s="14" t="n">
        <v>23</v>
      </c>
      <c r="C27" s="14" t="inlineStr">
        <is>
          <t>B</t>
        </is>
      </c>
      <c r="D27" s="14" t="inlineStr">
        <is>
          <t>DS-057</t>
        </is>
      </c>
      <c r="E27" s="14" t="inlineStr">
        <is>
          <t>덕산 신규점1</t>
        </is>
      </c>
      <c r="F27" s="14" t="inlineStr">
        <is>
          <t>충북 본부</t>
        </is>
      </c>
      <c r="G27" s="14" t="inlineStr">
        <is>
          <t>NJ52-11-01</t>
        </is>
      </c>
      <c r="H27" s="14" t="inlineStr">
        <is>
          <t>덕산</t>
        </is>
      </c>
      <c r="I27" s="15" t="n">
        <v>36.888529</v>
      </c>
      <c r="J27" s="15" t="n">
        <v>128.192739</v>
      </c>
      <c r="K27" s="16" t="n">
        <v>388</v>
      </c>
      <c r="L27" s="17" t="inlineStr">
        <is>
          <t>충북 제천시 덕산면 선고리 산 28-8</t>
        </is>
      </c>
      <c r="M27" s="16" t="n">
        <v>9.9</v>
      </c>
      <c r="N27" s="14" t="inlineStr">
        <is>
          <t>OK</t>
        </is>
      </c>
      <c r="O27" s="14" t="inlineStr">
        <is>
          <t>이천</t>
        </is>
      </c>
      <c r="P27" s="14" t="n">
        <v>65</v>
      </c>
      <c r="Q27" s="14" t="inlineStr">
        <is>
          <t>52˚41'47"</t>
        </is>
      </c>
      <c r="R27" s="16" t="n">
        <v>29</v>
      </c>
      <c r="S27" s="17" t="inlineStr"/>
      <c r="T27" s="17" t="inlineStr">
        <is>
          <t>없음 — 전 항목 진행</t>
        </is>
      </c>
    </row>
    <row r="28">
      <c r="A28" s="14" t="inlineStr">
        <is>
          <t>S24</t>
        </is>
      </c>
      <c r="B28" s="14" t="n">
        <v>24</v>
      </c>
      <c r="C28" s="14" t="inlineStr">
        <is>
          <t>B</t>
        </is>
      </c>
      <c r="D28" s="14" t="inlineStr">
        <is>
          <t>DS-060</t>
        </is>
      </c>
      <c r="E28" s="14" t="inlineStr">
        <is>
          <t>회천 신규점2</t>
        </is>
      </c>
      <c r="F28" s="14" t="inlineStr">
        <is>
          <t>광주전남 본부</t>
        </is>
      </c>
      <c r="G28" s="14" t="inlineStr">
        <is>
          <t>NI52-4-13</t>
        </is>
      </c>
      <c r="H28" s="14" t="inlineStr">
        <is>
          <t>회천</t>
        </is>
      </c>
      <c r="I28" s="15" t="n">
        <v>34.680805</v>
      </c>
      <c r="J28" s="15" t="n">
        <v>127.04766</v>
      </c>
      <c r="K28" s="16" t="n">
        <v>99</v>
      </c>
      <c r="L28" s="17" t="inlineStr">
        <is>
          <t>전남광주통합특별시 보성군 회천면 회령리 산 155</t>
        </is>
      </c>
      <c r="M28" s="16" t="n">
        <v>10.1</v>
      </c>
      <c r="N28" s="14" t="inlineStr">
        <is>
          <t>OK</t>
        </is>
      </c>
      <c r="O28" s="14" t="inlineStr">
        <is>
          <t>제주</t>
        </is>
      </c>
      <c r="P28" s="14" t="n">
        <v>155</v>
      </c>
      <c r="Q28" s="14" t="inlineStr">
        <is>
          <t>326° 39' 52</t>
        </is>
      </c>
      <c r="R28" s="16" t="n">
        <v>27</v>
      </c>
      <c r="S28" s="17" t="inlineStr"/>
      <c r="T28" s="17" t="inlineStr">
        <is>
          <t>없음 — 전 항목 진행</t>
        </is>
      </c>
    </row>
    <row r="29">
      <c r="A29" s="14" t="inlineStr">
        <is>
          <t>S25</t>
        </is>
      </c>
      <c r="B29" s="14" t="n">
        <v>25</v>
      </c>
      <c r="C29" s="14" t="inlineStr">
        <is>
          <t>B</t>
        </is>
      </c>
      <c r="D29" s="14" t="inlineStr">
        <is>
          <t>DS-068</t>
        </is>
      </c>
      <c r="E29" s="14" t="inlineStr">
        <is>
          <t>관리 신규점3</t>
        </is>
      </c>
      <c r="F29" s="14" t="inlineStr">
        <is>
          <t>대구경북 본부</t>
        </is>
      </c>
      <c r="G29" s="14" t="inlineStr">
        <is>
          <t>NJ52-10-24</t>
        </is>
      </c>
      <c r="H29" s="14" t="inlineStr">
        <is>
          <t>관기</t>
        </is>
      </c>
      <c r="I29" s="15" t="n">
        <v>36.325755</v>
      </c>
      <c r="J29" s="15" t="n">
        <v>127.905982</v>
      </c>
      <c r="K29" s="16" t="n">
        <v>383</v>
      </c>
      <c r="L29" s="17" t="inlineStr">
        <is>
          <t>경북 상주시 모서면 득수리 산 146</t>
        </is>
      </c>
      <c r="M29" s="16" t="n">
        <v>54.9</v>
      </c>
      <c r="N29" s="14" t="inlineStr">
        <is>
          <t>OK</t>
        </is>
      </c>
      <c r="O29" s="14" t="inlineStr">
        <is>
          <t>청양</t>
        </is>
      </c>
      <c r="P29" s="14" t="n">
        <v>95</v>
      </c>
      <c r="Q29" s="14" t="inlineStr">
        <is>
          <t>141° 02’ 02</t>
        </is>
      </c>
      <c r="R29" s="16" t="n">
        <v>60</v>
      </c>
      <c r="S29" s="17" t="inlineStr"/>
      <c r="T29" s="17" t="inlineStr">
        <is>
          <t>없음 — 전 항목 진행</t>
        </is>
      </c>
    </row>
    <row r="30">
      <c r="A30" s="14" t="inlineStr">
        <is>
          <t>S26</t>
        </is>
      </c>
      <c r="B30" s="14" t="n">
        <v>26</v>
      </c>
      <c r="C30" s="14" t="inlineStr">
        <is>
          <t>B</t>
        </is>
      </c>
      <c r="D30" s="14" t="inlineStr">
        <is>
          <t>DS-075</t>
        </is>
      </c>
      <c r="E30" s="14" t="inlineStr">
        <is>
          <t>고남 신규점2</t>
        </is>
      </c>
      <c r="F30" s="14" t="inlineStr">
        <is>
          <t>대전세종충남 본부</t>
        </is>
      </c>
      <c r="G30" s="14" t="inlineStr">
        <is>
          <t>NJ52-10-18</t>
        </is>
      </c>
      <c r="H30" s="14" t="inlineStr">
        <is>
          <t>고남</t>
        </is>
      </c>
      <c r="I30" s="15" t="n">
        <v>36.452304</v>
      </c>
      <c r="J30" s="15" t="n">
        <v>126.395802</v>
      </c>
      <c r="K30" s="16" t="n">
        <v>38</v>
      </c>
      <c r="L30" s="17" t="inlineStr">
        <is>
          <t>충남 태안군 고남면 누동리 산 6-514</t>
        </is>
      </c>
      <c r="M30" s="16" t="n">
        <v>2.9</v>
      </c>
      <c r="N30" s="14" t="inlineStr">
        <is>
          <t>OK</t>
        </is>
      </c>
      <c r="O30" s="14" t="inlineStr">
        <is>
          <t>청양</t>
        </is>
      </c>
      <c r="P30" s="14" t="n">
        <v>42</v>
      </c>
      <c r="Q30" s="14" t="inlineStr">
        <is>
          <t>29° 8' 15.13</t>
        </is>
      </c>
      <c r="R30" s="16" t="n">
        <v>70</v>
      </c>
      <c r="S30" s="17" t="inlineStr"/>
      <c r="T30" s="17" t="inlineStr">
        <is>
          <t>없음 — 전 항목 진행</t>
        </is>
      </c>
    </row>
    <row r="31">
      <c r="A31" s="14" t="inlineStr">
        <is>
          <t>S27</t>
        </is>
      </c>
      <c r="B31" s="14" t="n">
        <v>27</v>
      </c>
      <c r="C31" s="14" t="inlineStr">
        <is>
          <t>B</t>
        </is>
      </c>
      <c r="D31" s="14" t="inlineStr">
        <is>
          <t>DS-078</t>
        </is>
      </c>
      <c r="E31" s="14" t="inlineStr">
        <is>
          <t>전의 신규점</t>
        </is>
      </c>
      <c r="F31" s="14" t="inlineStr">
        <is>
          <t>대전세종충남 본부</t>
        </is>
      </c>
      <c r="G31" s="14" t="inlineStr">
        <is>
          <t>NJ52-10-13</t>
        </is>
      </c>
      <c r="H31" s="14" t="inlineStr">
        <is>
          <t>전의</t>
        </is>
      </c>
      <c r="I31" s="15" t="n">
        <v>36.579379</v>
      </c>
      <c r="J31" s="15" t="n">
        <v>127.068702</v>
      </c>
      <c r="K31" s="16" t="n">
        <v>372</v>
      </c>
      <c r="L31" s="17" t="inlineStr">
        <is>
          <t>충남 공주시 사곡면 월가리 산 10-1</t>
        </is>
      </c>
      <c r="M31" s="16" t="n">
        <v>2.9</v>
      </c>
      <c r="N31" s="14" t="inlineStr">
        <is>
          <t>OK</t>
        </is>
      </c>
      <c r="O31" s="14" t="inlineStr">
        <is>
          <t>청양</t>
        </is>
      </c>
      <c r="P31" s="14" t="n">
        <v>30</v>
      </c>
      <c r="Q31" s="14" t="inlineStr">
        <is>
          <t>307°8′47″</t>
        </is>
      </c>
      <c r="R31" s="16" t="n">
        <v>54</v>
      </c>
      <c r="S31" s="17" t="inlineStr"/>
      <c r="T31" s="17" t="inlineStr">
        <is>
          <t>없음 — 전 항목 진행</t>
        </is>
      </c>
    </row>
    <row r="32">
      <c r="A32" s="14" t="inlineStr">
        <is>
          <t>S28</t>
        </is>
      </c>
      <c r="B32" s="14" t="n">
        <v>28</v>
      </c>
      <c r="C32" s="14" t="inlineStr">
        <is>
          <t>B</t>
        </is>
      </c>
      <c r="D32" s="14" t="inlineStr">
        <is>
          <t>DS-080</t>
        </is>
      </c>
      <c r="E32" s="14" t="inlineStr">
        <is>
          <t>이원 신규점</t>
        </is>
      </c>
      <c r="F32" s="14" t="inlineStr">
        <is>
          <t>대전세종충남 본부</t>
        </is>
      </c>
      <c r="G32" s="14" t="inlineStr">
        <is>
          <t>NJ52-10-31</t>
        </is>
      </c>
      <c r="H32" s="14" t="inlineStr">
        <is>
          <t>이원</t>
        </is>
      </c>
      <c r="I32" s="15" t="n">
        <v>36.16662</v>
      </c>
      <c r="J32" s="15" t="n">
        <v>127.583121</v>
      </c>
      <c r="K32" s="16" t="n">
        <v>300</v>
      </c>
      <c r="L32" s="17" t="inlineStr">
        <is>
          <t>충남 금산군 제원면 신안리 산 4-1</t>
        </is>
      </c>
      <c r="M32" s="16" t="n">
        <v>12</v>
      </c>
      <c r="N32" s="14" t="inlineStr">
        <is>
          <t>OK</t>
        </is>
      </c>
      <c r="O32" s="14" t="inlineStr">
        <is>
          <t>청양</t>
        </is>
      </c>
      <c r="P32" s="14" t="n">
        <v>70</v>
      </c>
      <c r="Q32" s="14" t="inlineStr">
        <is>
          <t>157°40′41″</t>
        </is>
      </c>
      <c r="R32" s="16" t="n">
        <v>42</v>
      </c>
      <c r="S32" s="17" t="inlineStr"/>
      <c r="T32" s="17" t="inlineStr">
        <is>
          <t>없음 — 전 항목 진행</t>
        </is>
      </c>
    </row>
    <row r="33">
      <c r="A33" s="14" t="inlineStr">
        <is>
          <t>S29</t>
        </is>
      </c>
      <c r="B33" s="14" t="n">
        <v>29</v>
      </c>
      <c r="C33" s="14" t="inlineStr">
        <is>
          <t>B</t>
        </is>
      </c>
      <c r="D33" s="14" t="inlineStr">
        <is>
          <t>DS-084</t>
        </is>
      </c>
      <c r="E33" s="14" t="inlineStr">
        <is>
          <t>가야 신규점1</t>
        </is>
      </c>
      <c r="F33" s="14" t="inlineStr">
        <is>
          <t>경남 본부</t>
        </is>
      </c>
      <c r="G33" s="14" t="inlineStr">
        <is>
          <t>NI52-2-01</t>
        </is>
      </c>
      <c r="H33" s="14" t="inlineStr">
        <is>
          <t>가야</t>
        </is>
      </c>
      <c r="I33" s="15" t="n">
        <v>35.777986</v>
      </c>
      <c r="J33" s="15" t="n">
        <v>128.036833</v>
      </c>
      <c r="K33" s="16" t="n">
        <v>825</v>
      </c>
      <c r="L33" s="17" t="inlineStr">
        <is>
          <t>경남 거창군 가북면 우혜리 산 3</t>
        </is>
      </c>
      <c r="M33" s="16" t="n">
        <v>26.8</v>
      </c>
      <c r="N33" s="14" t="inlineStr">
        <is>
          <t>OK</t>
        </is>
      </c>
      <c r="O33" s="14" t="inlineStr">
        <is>
          <t>청양</t>
        </is>
      </c>
      <c r="P33" s="14" t="n">
        <v>125</v>
      </c>
      <c r="Q33" s="14" t="inlineStr">
        <is>
          <t>115° 14' 22"</t>
        </is>
      </c>
      <c r="R33" s="16" t="n">
        <v>21</v>
      </c>
      <c r="S33" s="17" t="inlineStr"/>
      <c r="T33" s="17" t="inlineStr">
        <is>
          <t>없음 — 전 항목 진행</t>
        </is>
      </c>
    </row>
    <row r="34">
      <c r="A34" s="14" t="inlineStr">
        <is>
          <t>S30</t>
        </is>
      </c>
      <c r="B34" s="14" t="n">
        <v>30</v>
      </c>
      <c r="C34" s="14" t="inlineStr">
        <is>
          <t>B</t>
        </is>
      </c>
      <c r="D34" s="14" t="inlineStr">
        <is>
          <t>DS-086</t>
        </is>
      </c>
      <c r="E34" s="14" t="inlineStr">
        <is>
          <t>창녕 신규점</t>
        </is>
      </c>
      <c r="F34" s="14" t="inlineStr">
        <is>
          <t>대구경북 본부</t>
        </is>
      </c>
      <c r="G34" s="14" t="inlineStr">
        <is>
          <t>NI52-2-10</t>
        </is>
      </c>
      <c r="H34" s="14" t="inlineStr">
        <is>
          <t>창녕</t>
        </is>
      </c>
      <c r="I34" s="15" t="n">
        <v>35.662586</v>
      </c>
      <c r="J34" s="15" t="n">
        <v>128.298099</v>
      </c>
      <c r="K34" s="16" t="n">
        <v>179</v>
      </c>
      <c r="L34" s="17" t="inlineStr">
        <is>
          <t>경북 고령군 쌍림면 평지리 산 63</t>
        </is>
      </c>
      <c r="M34" s="16" t="n">
        <v>22.7</v>
      </c>
      <c r="N34" s="14" t="inlineStr">
        <is>
          <t>OK</t>
        </is>
      </c>
      <c r="O34" s="14" t="inlineStr">
        <is>
          <t>청양</t>
        </is>
      </c>
      <c r="P34" s="14" t="n">
        <v>152</v>
      </c>
      <c r="Q34" s="14" t="inlineStr">
        <is>
          <t>297° 30' 11</t>
        </is>
      </c>
      <c r="R34" s="16" t="n">
        <v>23</v>
      </c>
      <c r="S34" s="17" t="inlineStr"/>
      <c r="T34" s="17" t="inlineStr">
        <is>
          <t>없음 — 전 항목 진행</t>
        </is>
      </c>
    </row>
    <row r="35">
      <c r="A35" s="14" t="inlineStr">
        <is>
          <t>S31</t>
        </is>
      </c>
      <c r="B35" s="14" t="n">
        <v>31</v>
      </c>
      <c r="C35" s="14" t="inlineStr">
        <is>
          <t>B</t>
        </is>
      </c>
      <c r="D35" s="14" t="inlineStr">
        <is>
          <t>DS-089</t>
        </is>
      </c>
      <c r="E35" s="14" t="inlineStr">
        <is>
          <t>언양 신규점3</t>
        </is>
      </c>
      <c r="F35" s="14" t="inlineStr">
        <is>
          <t>대구경북 본부</t>
        </is>
      </c>
      <c r="G35" s="14" t="inlineStr">
        <is>
          <t>NI52-2-13</t>
        </is>
      </c>
      <c r="H35" s="14" t="inlineStr">
        <is>
          <t>언양</t>
        </is>
      </c>
      <c r="I35" s="15" t="n">
        <v>35.742364</v>
      </c>
      <c r="J35" s="15" t="n">
        <v>129.029824</v>
      </c>
      <c r="K35" s="16" t="n">
        <v>234</v>
      </c>
      <c r="L35" s="17" t="inlineStr">
        <is>
          <t>경북 경주시 산내면 외칠리 산 183</t>
        </is>
      </c>
      <c r="M35" s="16" t="n">
        <v>24.2</v>
      </c>
      <c r="N35" s="14" t="inlineStr">
        <is>
          <t>OK</t>
        </is>
      </c>
      <c r="O35" s="14" t="inlineStr">
        <is>
          <t>이천</t>
        </is>
      </c>
      <c r="P35" s="14" t="n">
        <v>205</v>
      </c>
      <c r="Q35" s="14" t="inlineStr">
        <is>
          <t>352°5′13″</t>
        </is>
      </c>
      <c r="R35" s="16" t="n">
        <v>33</v>
      </c>
      <c r="S35" s="17" t="inlineStr"/>
      <c r="T35" s="17" t="inlineStr">
        <is>
          <t>없음 — 전 항목 진행</t>
        </is>
      </c>
    </row>
    <row r="36">
      <c r="A36" s="14" t="inlineStr">
        <is>
          <t>S32</t>
        </is>
      </c>
      <c r="B36" s="14" t="n">
        <v>32</v>
      </c>
      <c r="C36" s="14" t="inlineStr">
        <is>
          <t>B</t>
        </is>
      </c>
      <c r="D36" s="14" t="inlineStr">
        <is>
          <t>DS-096</t>
        </is>
      </c>
      <c r="E36" s="14" t="inlineStr">
        <is>
          <t>함양 신규점</t>
        </is>
      </c>
      <c r="F36" s="14" t="inlineStr">
        <is>
          <t>전북 본부</t>
        </is>
      </c>
      <c r="G36" s="14" t="inlineStr">
        <is>
          <t>NI52-1-15</t>
        </is>
      </c>
      <c r="H36" s="14" t="inlineStr">
        <is>
          <t>함양</t>
        </is>
      </c>
      <c r="I36" s="15" t="n">
        <v>35.586243</v>
      </c>
      <c r="J36" s="15" t="n">
        <v>127.574659</v>
      </c>
      <c r="K36" s="16" t="n">
        <v>478</v>
      </c>
      <c r="L36" s="17" t="inlineStr">
        <is>
          <t>전북특별자치도 장수군 번암면 지지리 산 55</t>
        </is>
      </c>
      <c r="M36" s="16" t="n">
        <v>16.5</v>
      </c>
      <c r="N36" s="14" t="inlineStr">
        <is>
          <t>OK</t>
        </is>
      </c>
      <c r="O36" s="14" t="inlineStr">
        <is>
          <t>청양</t>
        </is>
      </c>
      <c r="P36" s="14" t="n">
        <v>108</v>
      </c>
      <c r="Q36" s="14" t="inlineStr">
        <is>
          <t>132º 38' 54</t>
        </is>
      </c>
      <c r="R36" s="16" t="n">
        <v>34</v>
      </c>
      <c r="S36" s="17" t="inlineStr"/>
      <c r="T36" s="17" t="inlineStr">
        <is>
          <t>없음 — 전 항목 진행</t>
        </is>
      </c>
    </row>
    <row r="37">
      <c r="A37" s="14" t="inlineStr">
        <is>
          <t>S33</t>
        </is>
      </c>
      <c r="B37" s="14" t="n">
        <v>33</v>
      </c>
      <c r="C37" s="14" t="inlineStr">
        <is>
          <t>B</t>
        </is>
      </c>
      <c r="D37" s="14" t="inlineStr">
        <is>
          <t>DS-098</t>
        </is>
      </c>
      <c r="E37" s="14" t="inlineStr">
        <is>
          <t>문산 신규점</t>
        </is>
      </c>
      <c r="F37" s="14" t="inlineStr">
        <is>
          <t>서울경기북부 본부</t>
        </is>
      </c>
      <c r="G37" s="14" t="inlineStr">
        <is>
          <t>NJ52-7-04</t>
        </is>
      </c>
      <c r="H37" s="14" t="inlineStr">
        <is>
          <t>문산</t>
        </is>
      </c>
      <c r="I37" s="15" t="n">
        <v>37.927676</v>
      </c>
      <c r="J37" s="15" t="n">
        <v>126.870305</v>
      </c>
      <c r="K37" s="16" t="n">
        <v>83</v>
      </c>
      <c r="L37" s="17" t="inlineStr">
        <is>
          <t>경기 파주시 파평면 덕천리 산 40-3</t>
        </is>
      </c>
      <c r="M37" s="16" t="n"/>
      <c r="N37" s="18" t="inlineStr">
        <is>
          <t>NOT AVAILABLE</t>
        </is>
      </c>
      <c r="O37" s="14" t="inlineStr">
        <is>
          <t>이천</t>
        </is>
      </c>
      <c r="P37" s="14" t="n">
        <v>105</v>
      </c>
      <c r="Q37" s="14" t="inlineStr">
        <is>
          <t>333° 29 '40.75</t>
        </is>
      </c>
      <c r="R37" s="16" t="n">
        <v>94</v>
      </c>
      <c r="S37" s="17" t="inlineStr"/>
      <c r="T37" s="17" t="inlineStr">
        <is>
          <t>없음 — 전 항목 진행</t>
        </is>
      </c>
    </row>
    <row r="38">
      <c r="A38" s="14" t="inlineStr">
        <is>
          <t>S34</t>
        </is>
      </c>
      <c r="B38" s="14" t="n">
        <v>34</v>
      </c>
      <c r="C38" s="14" t="inlineStr">
        <is>
          <t>B</t>
        </is>
      </c>
      <c r="D38" s="14" t="inlineStr">
        <is>
          <t>DS-102</t>
        </is>
      </c>
      <c r="E38" s="14" t="inlineStr">
        <is>
          <t>부안 신규점</t>
        </is>
      </c>
      <c r="F38" s="14" t="inlineStr">
        <is>
          <t>전북 본부</t>
        </is>
      </c>
      <c r="G38" s="14" t="inlineStr">
        <is>
          <t>NI52-1-11</t>
        </is>
      </c>
      <c r="H38" s="14" t="inlineStr">
        <is>
          <t>부안</t>
        </is>
      </c>
      <c r="I38" s="15" t="n">
        <v>35.541753</v>
      </c>
      <c r="J38" s="15" t="n">
        <v>126.645582</v>
      </c>
      <c r="K38" s="16" t="n">
        <v>112</v>
      </c>
      <c r="L38" s="17" t="inlineStr">
        <is>
          <t>전북특별자치도 고창군 부안면 수앙리 산 79-8</t>
        </is>
      </c>
      <c r="M38" s="16" t="n">
        <v>17</v>
      </c>
      <c r="N38" s="14" t="inlineStr">
        <is>
          <t>OK</t>
        </is>
      </c>
      <c r="O38" s="14" t="inlineStr">
        <is>
          <t>청양</t>
        </is>
      </c>
      <c r="P38" s="14" t="n">
        <v>93</v>
      </c>
      <c r="Q38" s="14" t="inlineStr">
        <is>
          <t>115° 56' 52</t>
        </is>
      </c>
      <c r="R38" s="16" t="n">
        <v>73</v>
      </c>
      <c r="S38" s="17" t="inlineStr"/>
      <c r="T38" s="17" t="inlineStr">
        <is>
          <t>없음 — 전 항목 진행</t>
        </is>
      </c>
    </row>
    <row r="39">
      <c r="A39" s="19" t="inlineStr">
        <is>
          <t>S35</t>
        </is>
      </c>
      <c r="B39" s="19" t="n">
        <v>35</v>
      </c>
      <c r="C39" s="19" t="inlineStr">
        <is>
          <t>기존점</t>
        </is>
      </c>
      <c r="D39" s="19" t="inlineStr">
        <is>
          <t>1-12-2</t>
        </is>
      </c>
      <c r="E39" s="19" t="inlineStr">
        <is>
          <t>상주</t>
        </is>
      </c>
      <c r="F39" s="19" t="inlineStr"/>
      <c r="G39" s="19" t="inlineStr">
        <is>
          <t>NJ52-14-16</t>
        </is>
      </c>
      <c r="H39" s="19" t="inlineStr">
        <is>
          <t>상주</t>
        </is>
      </c>
      <c r="I39" s="20" t="n">
        <v>36.35528841666667</v>
      </c>
      <c r="J39" s="20" t="n">
        <v>128.1104806944444</v>
      </c>
      <c r="K39" s="21" t="n">
        <v>92.568</v>
      </c>
      <c r="L39" s="22" t="inlineStr">
        <is>
          <t>경상북도 상주시 청리면 율리 436-2 밤깟마을(상주23)</t>
        </is>
      </c>
      <c r="M39" s="21" t="n">
        <v>43.6</v>
      </c>
      <c r="N39" s="19" t="inlineStr">
        <is>
          <t>OK</t>
        </is>
      </c>
      <c r="O39" s="19" t="inlineStr">
        <is>
          <t>이천</t>
        </is>
      </c>
      <c r="P39" s="19" t="n">
        <v>101</v>
      </c>
      <c r="Q39" s="19" t="inlineStr">
        <is>
          <t>NOT APPLICABLE</t>
        </is>
      </c>
      <c r="R39" s="21" t="n"/>
      <c r="S39" s="22" t="inlineStr"/>
      <c r="T39" s="22" t="inlineStr">
        <is>
          <t>없음 — 전 항목 진행</t>
        </is>
      </c>
    </row>
    <row r="40">
      <c r="A40" s="19" t="inlineStr">
        <is>
          <t>S36</t>
        </is>
      </c>
      <c r="B40" s="19" t="n">
        <v>36</v>
      </c>
      <c r="C40" s="19" t="inlineStr">
        <is>
          <t>기존점</t>
        </is>
      </c>
      <c r="D40" s="19" t="inlineStr">
        <is>
          <t>1-13-2</t>
        </is>
      </c>
      <c r="E40" s="19" t="inlineStr">
        <is>
          <t>미원</t>
        </is>
      </c>
      <c r="F40" s="19" t="inlineStr"/>
      <c r="G40" s="19" t="inlineStr">
        <is>
          <t>NJ52-13-14</t>
        </is>
      </c>
      <c r="H40" s="19" t="inlineStr">
        <is>
          <t>미원</t>
        </is>
      </c>
      <c r="I40" s="20" t="n">
        <v>36.72502777777778</v>
      </c>
      <c r="J40" s="20" t="n">
        <v>127.5862222222222</v>
      </c>
      <c r="K40" s="21" t="n">
        <v>97.952</v>
      </c>
      <c r="L40" s="22" t="inlineStr">
        <is>
          <t>충청북도 청주시 청원구 북이면 영하리 산13-1(미원409)</t>
        </is>
      </c>
      <c r="M40" s="21" t="n">
        <v>5.4</v>
      </c>
      <c r="N40" s="19" t="inlineStr">
        <is>
          <t>OK</t>
        </is>
      </c>
      <c r="O40" s="19" t="inlineStr">
        <is>
          <t>이천</t>
        </is>
      </c>
      <c r="P40" s="19" t="n">
        <v>46</v>
      </c>
      <c r="Q40" s="19" t="inlineStr">
        <is>
          <t>NOT APPLICABLE</t>
        </is>
      </c>
      <c r="R40" s="21" t="n"/>
      <c r="S40" s="22" t="inlineStr"/>
      <c r="T40" s="23" t="inlineStr">
        <is>
          <t>과거대조 보류 — '10~'19 성과표와 2019 야장 좌표가 353 m 어긋난다. 현 표석에서의 신규 측정은 별도 Location ID 로 진행하되, 과거 성과와의 대조는 표석 동일성 확인 전까지 보류.</t>
        </is>
      </c>
    </row>
    <row r="41">
      <c r="A41" s="19" t="inlineStr">
        <is>
          <t>S37</t>
        </is>
      </c>
      <c r="B41" s="19" t="n">
        <v>37</v>
      </c>
      <c r="C41" s="19" t="inlineStr">
        <is>
          <t>기존점</t>
        </is>
      </c>
      <c r="D41" s="19" t="inlineStr">
        <is>
          <t>1-17-2</t>
        </is>
      </c>
      <c r="E41" s="19" t="inlineStr">
        <is>
          <t>부안</t>
        </is>
      </c>
      <c r="F41" s="19" t="inlineStr"/>
      <c r="G41" s="19" t="inlineStr">
        <is>
          <t>NJ52-01-10</t>
        </is>
      </c>
      <c r="H41" s="19" t="inlineStr">
        <is>
          <t>부안</t>
        </is>
      </c>
      <c r="I41" s="20" t="n">
        <v>35.58775</v>
      </c>
      <c r="J41" s="20" t="n">
        <v>126.7161388888889</v>
      </c>
      <c r="K41" s="21" t="n">
        <v>33.5</v>
      </c>
      <c r="L41" s="22" t="inlineStr">
        <is>
          <t>전라북도 부안군 줄포면 난산리 440-2 목중새마을(부안423)</t>
        </is>
      </c>
      <c r="M41" s="21" t="n">
        <v>23.8</v>
      </c>
      <c r="N41" s="19" t="inlineStr">
        <is>
          <t>OK</t>
        </is>
      </c>
      <c r="O41" s="19" t="inlineStr">
        <is>
          <t>청양</t>
        </is>
      </c>
      <c r="P41" s="19" t="n">
        <v>87</v>
      </c>
      <c r="Q41" s="19" t="inlineStr">
        <is>
          <t>NOT APPLICABLE</t>
        </is>
      </c>
      <c r="R41" s="21" t="n"/>
      <c r="S41" s="24" t="inlineStr">
        <is>
          <t>주변 태양광 위치</t>
        </is>
      </c>
      <c r="T41" s="22" t="inlineStr">
        <is>
          <t>없음 — 전 항목 진행</t>
        </is>
      </c>
    </row>
    <row r="42">
      <c r="A42" s="19" t="inlineStr">
        <is>
          <t>S38</t>
        </is>
      </c>
      <c r="B42" s="19" t="n">
        <v>38</v>
      </c>
      <c r="C42" s="19" t="inlineStr">
        <is>
          <t>기존점</t>
        </is>
      </c>
      <c r="D42" s="19" t="inlineStr">
        <is>
          <t>1-2-3</t>
        </is>
      </c>
      <c r="E42" s="19" t="inlineStr">
        <is>
          <t>강화</t>
        </is>
      </c>
      <c r="F42" s="19" t="inlineStr"/>
      <c r="G42" s="19" t="inlineStr">
        <is>
          <t>NJ52-09-09</t>
        </is>
      </c>
      <c r="H42" s="19" t="inlineStr">
        <is>
          <t>강화</t>
        </is>
      </c>
      <c r="I42" s="20" t="n">
        <v>37.66612411111111</v>
      </c>
      <c r="J42" s="20" t="n">
        <v>126.4787752222222</v>
      </c>
      <c r="K42" s="21" t="n">
        <v>100.524</v>
      </c>
      <c r="L42" s="22" t="inlineStr">
        <is>
          <t>인천광역시 강화군 길상면 길직리 산 148-6</t>
        </is>
      </c>
      <c r="M42" s="21" t="n"/>
      <c r="N42" s="25" t="inlineStr">
        <is>
          <t>NOT AVAILABLE</t>
        </is>
      </c>
      <c r="O42" s="19" t="inlineStr">
        <is>
          <t>이천</t>
        </is>
      </c>
      <c r="P42" s="19" t="n">
        <v>110</v>
      </c>
      <c r="Q42" s="19" t="inlineStr">
        <is>
          <t>NOT APPLICABLE</t>
        </is>
      </c>
      <c r="R42" s="21" t="n"/>
      <c r="S42" s="22" t="inlineStr"/>
      <c r="T42" s="22" t="inlineStr">
        <is>
          <t>없음 — 전 항목 진행</t>
        </is>
      </c>
    </row>
    <row r="43">
      <c r="A43" s="19" t="inlineStr">
        <is>
          <t>S39</t>
        </is>
      </c>
      <c r="B43" s="19" t="n">
        <v>39</v>
      </c>
      <c r="C43" s="19" t="inlineStr">
        <is>
          <t>기존점</t>
        </is>
      </c>
      <c r="D43" s="19" t="inlineStr">
        <is>
          <t>1-23-1</t>
        </is>
      </c>
      <c r="E43" s="19" t="inlineStr">
        <is>
          <t>언양</t>
        </is>
      </c>
      <c r="F43" s="19" t="inlineStr"/>
      <c r="G43" s="19" t="inlineStr">
        <is>
          <t>NI52-2-13</t>
        </is>
      </c>
      <c r="H43" s="19" t="inlineStr">
        <is>
          <t>언양</t>
        </is>
      </c>
      <c r="I43" s="20" t="n">
        <v>35.67619994444444</v>
      </c>
      <c r="J43" s="20" t="n">
        <v>129.1908721388889</v>
      </c>
      <c r="K43" s="21" t="n">
        <v>226.101</v>
      </c>
      <c r="L43" s="22" t="inlineStr">
        <is>
          <t>울산광역시 울주군 두서면 미호리 산3(삼언양417)</t>
        </is>
      </c>
      <c r="M43" s="21" t="n">
        <v>38.3</v>
      </c>
      <c r="N43" s="19" t="inlineStr">
        <is>
          <t>OK</t>
        </is>
      </c>
      <c r="O43" s="19" t="inlineStr">
        <is>
          <t>이천</t>
        </is>
      </c>
      <c r="P43" s="19" t="n">
        <v>220</v>
      </c>
      <c r="Q43" s="19" t="inlineStr">
        <is>
          <t>NOT APPLICABLE</t>
        </is>
      </c>
      <c r="R43" s="21" t="n"/>
      <c r="S43" s="24" t="inlineStr">
        <is>
          <t>도로 접근성 나쁨</t>
        </is>
      </c>
      <c r="T43" s="22" t="inlineStr">
        <is>
          <t>없음 — 전 항목 진행</t>
        </is>
      </c>
    </row>
    <row r="44">
      <c r="A44" s="19" t="inlineStr">
        <is>
          <t>S40</t>
        </is>
      </c>
      <c r="B44" s="19" t="n">
        <v>40</v>
      </c>
      <c r="C44" s="19" t="inlineStr">
        <is>
          <t>기존점</t>
        </is>
      </c>
      <c r="D44" s="19" t="inlineStr">
        <is>
          <t>1-24-3</t>
        </is>
      </c>
      <c r="E44" s="19" t="inlineStr">
        <is>
          <t>남지</t>
        </is>
      </c>
      <c r="F44" s="19" t="inlineStr"/>
      <c r="G44" s="19" t="inlineStr">
        <is>
          <t>NJ52-01-14</t>
        </is>
      </c>
      <c r="H44" s="19" t="inlineStr">
        <is>
          <t>남지</t>
        </is>
      </c>
      <c r="I44" s="20" t="n">
        <v>35.43616666666667</v>
      </c>
      <c r="J44" s="20" t="n">
        <v>128.4737777777778</v>
      </c>
      <c r="K44" s="21" t="n"/>
      <c r="L44" s="22" t="inlineStr">
        <is>
          <t>창녕군 장마면 유리 1705-1 봉산지뚝</t>
        </is>
      </c>
      <c r="M44" s="21" t="n">
        <v>9.4</v>
      </c>
      <c r="N44" s="19" t="inlineStr">
        <is>
          <t>OK</t>
        </is>
      </c>
      <c r="O44" s="19" t="inlineStr">
        <is>
          <t>청양</t>
        </is>
      </c>
      <c r="P44" s="19" t="n">
        <v>179</v>
      </c>
      <c r="Q44" s="19" t="inlineStr">
        <is>
          <t>NOT APPLICABLE</t>
        </is>
      </c>
      <c r="R44" s="21" t="n"/>
      <c r="S44" s="22" t="inlineStr"/>
      <c r="T44" s="22" t="inlineStr">
        <is>
          <t>없음 — 전 항목 진행</t>
        </is>
      </c>
    </row>
    <row r="45">
      <c r="A45" s="19" t="inlineStr">
        <is>
          <t>S41</t>
        </is>
      </c>
      <c r="B45" s="19" t="n">
        <v>41</v>
      </c>
      <c r="C45" s="19" t="inlineStr">
        <is>
          <t>기존점</t>
        </is>
      </c>
      <c r="D45" s="19" t="inlineStr">
        <is>
          <t>1-25-2</t>
        </is>
      </c>
      <c r="E45" s="19" t="inlineStr">
        <is>
          <t>거제</t>
        </is>
      </c>
      <c r="F45" s="19" t="inlineStr"/>
      <c r="G45" s="19" t="inlineStr">
        <is>
          <t>NJ52-06-07</t>
        </is>
      </c>
      <c r="H45" s="19" t="inlineStr">
        <is>
          <t>거제</t>
        </is>
      </c>
      <c r="I45" s="20" t="n">
        <v>34.87031108333333</v>
      </c>
      <c r="J45" s="20" t="n">
        <v>128.5928611111111</v>
      </c>
      <c r="K45" s="21" t="n">
        <v>91.014</v>
      </c>
      <c r="L45" s="22" t="inlineStr">
        <is>
          <t>경상남도 거제시 거제면 옥산리 산83-6</t>
        </is>
      </c>
      <c r="M45" s="21" t="n">
        <v>28.9</v>
      </c>
      <c r="N45" s="19" t="inlineStr">
        <is>
          <t>OK</t>
        </is>
      </c>
      <c r="O45" s="19" t="inlineStr">
        <is>
          <t>청양</t>
        </is>
      </c>
      <c r="P45" s="19" t="n">
        <v>229</v>
      </c>
      <c r="Q45" s="19" t="inlineStr">
        <is>
          <t>NOT APPLICABLE</t>
        </is>
      </c>
      <c r="R45" s="21" t="n"/>
      <c r="S45" s="22" t="inlineStr"/>
      <c r="T45" s="22" t="inlineStr">
        <is>
          <t>없음 — 전 항목 진행</t>
        </is>
      </c>
    </row>
    <row r="46">
      <c r="A46" s="19" t="inlineStr">
        <is>
          <t>S42</t>
        </is>
      </c>
      <c r="B46" s="19" t="n">
        <v>42</v>
      </c>
      <c r="C46" s="19" t="inlineStr">
        <is>
          <t>기존점</t>
        </is>
      </c>
      <c r="D46" s="19" t="inlineStr">
        <is>
          <t>1-29-2</t>
        </is>
      </c>
      <c r="E46" s="19" t="inlineStr">
        <is>
          <t>조도</t>
        </is>
      </c>
      <c r="F46" s="19" t="inlineStr"/>
      <c r="G46" s="19" t="inlineStr">
        <is>
          <t>NJ52-05-21</t>
        </is>
      </c>
      <c r="H46" s="19" t="inlineStr">
        <is>
          <t>조도</t>
        </is>
      </c>
      <c r="I46" s="20" t="n">
        <v>34.43191666666667</v>
      </c>
      <c r="J46" s="20" t="n">
        <v>126.2238055555556</v>
      </c>
      <c r="K46" s="21" t="n"/>
      <c r="L46" s="22" t="inlineStr">
        <is>
          <t>진도군 임회면 삼막리 광전교인근</t>
        </is>
      </c>
      <c r="M46" s="21" t="n">
        <v>100.2</v>
      </c>
      <c r="N46" s="19" t="inlineStr">
        <is>
          <t>OK</t>
        </is>
      </c>
      <c r="O46" s="19" t="inlineStr">
        <is>
          <t>제주</t>
        </is>
      </c>
      <c r="P46" s="19" t="n">
        <v>111</v>
      </c>
      <c r="Q46" s="19" t="inlineStr">
        <is>
          <t>NOT APPLICABLE</t>
        </is>
      </c>
      <c r="R46" s="21" t="n"/>
      <c r="S46" s="24" t="inlineStr">
        <is>
          <t>하천(제방)</t>
        </is>
      </c>
      <c r="T46" s="22" t="inlineStr">
        <is>
          <t>없음 — 전 항목 진행</t>
        </is>
      </c>
    </row>
    <row r="47">
      <c r="A47" s="19" t="inlineStr">
        <is>
          <t>S43</t>
        </is>
      </c>
      <c r="B47" s="19" t="n">
        <v>43</v>
      </c>
      <c r="C47" s="19" t="inlineStr">
        <is>
          <t>기존점</t>
        </is>
      </c>
      <c r="D47" s="19" t="inlineStr">
        <is>
          <t>1-3-3</t>
        </is>
      </c>
      <c r="E47" s="19" t="inlineStr">
        <is>
          <t>포천</t>
        </is>
      </c>
      <c r="F47" s="19" t="inlineStr"/>
      <c r="G47" s="19" t="inlineStr">
        <is>
          <t>NJ 52-09-5</t>
        </is>
      </c>
      <c r="H47" s="19" t="inlineStr">
        <is>
          <t>포천</t>
        </is>
      </c>
      <c r="I47" s="20" t="n">
        <v>37.99090344444445</v>
      </c>
      <c r="J47" s="20" t="n">
        <v>127.1346283611111</v>
      </c>
      <c r="K47" s="21" t="n">
        <v>423.872</v>
      </c>
      <c r="L47" s="22" t="inlineStr">
        <is>
          <t>경기도 연천군 청산면 대전리 산83</t>
        </is>
      </c>
      <c r="M47" s="21" t="n"/>
      <c r="N47" s="25" t="inlineStr">
        <is>
          <t>NOT AVAILABLE</t>
        </is>
      </c>
      <c r="O47" s="19" t="inlineStr">
        <is>
          <t>이천</t>
        </is>
      </c>
      <c r="P47" s="19" t="n">
        <v>100</v>
      </c>
      <c r="Q47" s="19" t="inlineStr">
        <is>
          <t>NOT APPLICABLE</t>
        </is>
      </c>
      <c r="R47" s="21" t="n"/>
      <c r="S47" s="22" t="inlineStr"/>
      <c r="T47" s="22" t="inlineStr">
        <is>
          <t>없음 — 전 항목 진행</t>
        </is>
      </c>
    </row>
    <row r="48">
      <c r="A48" s="19" t="inlineStr">
        <is>
          <t>S44</t>
        </is>
      </c>
      <c r="B48" s="19" t="n">
        <v>44</v>
      </c>
      <c r="C48" s="19" t="inlineStr">
        <is>
          <t>기존점</t>
        </is>
      </c>
      <c r="D48" s="19" t="inlineStr">
        <is>
          <t>1-30-2</t>
        </is>
      </c>
      <c r="E48" s="19" t="inlineStr">
        <is>
          <t>성산</t>
        </is>
      </c>
      <c r="F48" s="19" t="inlineStr"/>
      <c r="G48" s="19" t="inlineStr">
        <is>
          <t>NJ52-09-18</t>
        </is>
      </c>
      <c r="H48" s="19" t="inlineStr">
        <is>
          <t>성산</t>
        </is>
      </c>
      <c r="I48" s="20" t="n">
        <v>33.52447991666666</v>
      </c>
      <c r="J48" s="20" t="n">
        <v>126.8941619722222</v>
      </c>
      <c r="K48" s="21" t="n">
        <v>8.08</v>
      </c>
      <c r="L48" s="22" t="inlineStr">
        <is>
          <t>제주특별자치도 제주시 구좌읍 하도리425</t>
        </is>
      </c>
      <c r="M48" s="21" t="n">
        <v>46.7</v>
      </c>
      <c r="N48" s="19" t="inlineStr">
        <is>
          <t>OK</t>
        </is>
      </c>
      <c r="O48" s="19" t="inlineStr">
        <is>
          <t>제주</t>
        </is>
      </c>
      <c r="P48" s="19" t="n">
        <v>56</v>
      </c>
      <c r="Q48" s="19" t="inlineStr">
        <is>
          <t>NOT APPLICABLE</t>
        </is>
      </c>
      <c r="R48" s="21" t="n"/>
      <c r="S48" s="22" t="inlineStr"/>
      <c r="T48" s="22" t="inlineStr">
        <is>
          <t>없음 — 전 항목 진행</t>
        </is>
      </c>
    </row>
    <row r="49">
      <c r="A49" s="19" t="inlineStr">
        <is>
          <t>S45</t>
        </is>
      </c>
      <c r="B49" s="19" t="n">
        <v>45</v>
      </c>
      <c r="C49" s="19" t="inlineStr">
        <is>
          <t>기존점</t>
        </is>
      </c>
      <c r="D49" s="19" t="inlineStr">
        <is>
          <t>1-4-4</t>
        </is>
      </c>
      <c r="E49" s="19" t="inlineStr">
        <is>
          <t>여주</t>
        </is>
      </c>
      <c r="F49" s="19" t="inlineStr"/>
      <c r="G49" s="19" t="inlineStr">
        <is>
          <t>NJ52-09-21</t>
        </is>
      </c>
      <c r="H49" s="19" t="inlineStr">
        <is>
          <t>여주</t>
        </is>
      </c>
      <c r="I49" s="20" t="n">
        <v>37.445381</v>
      </c>
      <c r="J49" s="20" t="n">
        <v>127.5733216944444</v>
      </c>
      <c r="K49" s="21" t="n">
        <v>177.03</v>
      </c>
      <c r="L49" s="22" t="inlineStr">
        <is>
          <t>경기도 양평군 개군면 내리 산12</t>
        </is>
      </c>
      <c r="M49" s="21" t="n">
        <v>10.7</v>
      </c>
      <c r="N49" s="19" t="inlineStr">
        <is>
          <t>OK</t>
        </is>
      </c>
      <c r="O49" s="19" t="inlineStr">
        <is>
          <t>이천</t>
        </is>
      </c>
      <c r="P49" s="19" t="n">
        <v>34</v>
      </c>
      <c r="Q49" s="19" t="inlineStr">
        <is>
          <t>NOT APPLICABLE</t>
        </is>
      </c>
      <c r="R49" s="21" t="n"/>
      <c r="S49" s="22" t="inlineStr"/>
      <c r="T49" s="22" t="inlineStr">
        <is>
          <t>없음 — 전 항목 진행</t>
        </is>
      </c>
    </row>
    <row r="50">
      <c r="A50" s="19" t="inlineStr">
        <is>
          <t>S46</t>
        </is>
      </c>
      <c r="B50" s="19" t="n">
        <v>46</v>
      </c>
      <c r="C50" s="19" t="inlineStr">
        <is>
          <t>기존점</t>
        </is>
      </c>
      <c r="D50" s="19" t="inlineStr">
        <is>
          <t>1-5-2</t>
        </is>
      </c>
      <c r="E50" s="19" t="inlineStr">
        <is>
          <t>화천</t>
        </is>
      </c>
      <c r="F50" s="19" t="inlineStr"/>
      <c r="G50" s="19" t="inlineStr">
        <is>
          <t>NJ52-05-28</t>
        </is>
      </c>
      <c r="H50" s="19" t="inlineStr">
        <is>
          <t>화천</t>
        </is>
      </c>
      <c r="I50" s="20" t="n">
        <v>38.11566666666667</v>
      </c>
      <c r="J50" s="20" t="n">
        <v>127.6867222222222</v>
      </c>
      <c r="K50" s="21" t="n">
        <v>155</v>
      </c>
      <c r="L50" s="22" t="inlineStr">
        <is>
          <t>화천군 화천읍 상리 산6</t>
        </is>
      </c>
      <c r="M50" s="21" t="n"/>
      <c r="N50" s="25" t="inlineStr">
        <is>
          <t>NOT AVAILABLE</t>
        </is>
      </c>
      <c r="O50" s="19" t="inlineStr">
        <is>
          <t>이천</t>
        </is>
      </c>
      <c r="P50" s="19" t="n">
        <v>109</v>
      </c>
      <c r="Q50" s="19" t="inlineStr">
        <is>
          <t>NOT APPLICABLE</t>
        </is>
      </c>
      <c r="R50" s="21" t="n"/>
      <c r="S50" s="22" t="inlineStr"/>
      <c r="T50" s="22" t="inlineStr">
        <is>
          <t>없음 — 전 항목 진행</t>
        </is>
      </c>
    </row>
    <row r="51">
      <c r="A51" s="19" t="inlineStr">
        <is>
          <t>S47</t>
        </is>
      </c>
      <c r="B51" s="19" t="n">
        <v>47</v>
      </c>
      <c r="C51" s="19" t="inlineStr">
        <is>
          <t>기존점</t>
        </is>
      </c>
      <c r="D51" s="19" t="inlineStr">
        <is>
          <t>1-7-2</t>
        </is>
      </c>
      <c r="E51" s="19" t="inlineStr">
        <is>
          <t>봉평</t>
        </is>
      </c>
      <c r="F51" s="19" t="inlineStr"/>
      <c r="G51" s="19" t="inlineStr">
        <is>
          <t>NJ52-10-10</t>
        </is>
      </c>
      <c r="H51" s="19" t="inlineStr">
        <is>
          <t>봉평</t>
        </is>
      </c>
      <c r="I51" s="20" t="n">
        <v>37.61237222222223</v>
      </c>
      <c r="J51" s="20" t="n">
        <v>128.395802</v>
      </c>
      <c r="K51" s="21" t="n">
        <v>695.73</v>
      </c>
      <c r="L51" s="22" t="inlineStr">
        <is>
          <t>평창군 봉평면 평촌2리 김병찬씨 뒷산</t>
        </is>
      </c>
      <c r="M51" s="21" t="n">
        <v>6.7</v>
      </c>
      <c r="N51" s="19" t="inlineStr">
        <is>
          <t>OK</t>
        </is>
      </c>
      <c r="O51" s="19" t="inlineStr">
        <is>
          <t>강릉</t>
        </is>
      </c>
      <c r="P51" s="19" t="n">
        <v>45</v>
      </c>
      <c r="Q51" s="19" t="inlineStr">
        <is>
          <t>NOT APPLICABLE</t>
        </is>
      </c>
      <c r="R51" s="21" t="n"/>
      <c r="S51" s="24" t="inlineStr">
        <is>
          <t>주변 송신탑 위치</t>
        </is>
      </c>
      <c r="T51" s="22" t="inlineStr">
        <is>
          <t>없음 — 전 항목 진행</t>
        </is>
      </c>
    </row>
    <row r="52">
      <c r="A52" s="19" t="inlineStr">
        <is>
          <t>S48</t>
        </is>
      </c>
      <c r="B52" s="19" t="n">
        <v>48</v>
      </c>
      <c r="C52" s="19" t="inlineStr">
        <is>
          <t>기존점</t>
        </is>
      </c>
      <c r="D52" s="19" t="inlineStr">
        <is>
          <t>1-8-4</t>
        </is>
      </c>
      <c r="E52" s="19" t="inlineStr">
        <is>
          <t>삼척</t>
        </is>
      </c>
      <c r="F52" s="19" t="inlineStr"/>
      <c r="G52" s="19" t="inlineStr">
        <is>
          <t>NJ52-10-20</t>
        </is>
      </c>
      <c r="H52" s="19" t="inlineStr">
        <is>
          <t>삼척</t>
        </is>
      </c>
      <c r="I52" s="20" t="n">
        <v>37.38471708333334</v>
      </c>
      <c r="J52" s="20" t="n">
        <v>129.2032259444444</v>
      </c>
      <c r="K52" s="21" t="n">
        <v>27.791</v>
      </c>
      <c r="L52" s="22" t="inlineStr">
        <is>
          <t>강원도 삼척시 근덕면 하맹방리 774-2, 초당저수지</t>
        </is>
      </c>
      <c r="M52" s="21" t="n">
        <v>1.3</v>
      </c>
      <c r="N52" s="19" t="inlineStr">
        <is>
          <t>OK</t>
        </is>
      </c>
      <c r="O52" s="19" t="inlineStr">
        <is>
          <t>강릉</t>
        </is>
      </c>
      <c r="P52" s="19" t="n">
        <v>52</v>
      </c>
      <c r="Q52" s="19" t="inlineStr">
        <is>
          <t>NOT APPLICABLE</t>
        </is>
      </c>
      <c r="R52" s="21" t="n"/>
      <c r="S52" s="22" t="inlineStr"/>
      <c r="T52" s="22" t="inlineStr">
        <is>
          <t>없음 — 전 항목 진행</t>
        </is>
      </c>
    </row>
    <row r="53">
      <c r="A53" s="19" t="inlineStr">
        <is>
          <t>S49</t>
        </is>
      </c>
      <c r="B53" s="19" t="n">
        <v>49</v>
      </c>
      <c r="C53" s="19" t="inlineStr">
        <is>
          <t>기존점</t>
        </is>
      </c>
      <c r="D53" s="19" t="inlineStr">
        <is>
          <t>1-9-2</t>
        </is>
      </c>
      <c r="E53" s="19" t="inlineStr">
        <is>
          <t>제천</t>
        </is>
      </c>
      <c r="F53" s="19" t="inlineStr"/>
      <c r="G53" s="19" t="inlineStr">
        <is>
          <t>NJ52-10-23</t>
        </is>
      </c>
      <c r="H53" s="19" t="inlineStr">
        <is>
          <t>제천</t>
        </is>
      </c>
      <c r="I53" s="20" t="n">
        <v>37.07463888888889</v>
      </c>
      <c r="J53" s="20" t="n">
        <v>128.2114444444444</v>
      </c>
      <c r="K53" s="21" t="n"/>
      <c r="L53" s="22" t="inlineStr">
        <is>
          <t>제천시 백운면 방학리 백마저수지뚝 가운데</t>
        </is>
      </c>
      <c r="M53" s="21" t="n">
        <v>13.7</v>
      </c>
      <c r="N53" s="19" t="inlineStr">
        <is>
          <t>OK</t>
        </is>
      </c>
      <c r="O53" s="19" t="inlineStr">
        <is>
          <t>이천</t>
        </is>
      </c>
      <c r="P53" s="19" t="n">
        <v>61</v>
      </c>
      <c r="Q53" s="19" t="inlineStr">
        <is>
          <t>NOT APPLICABLE</t>
        </is>
      </c>
      <c r="R53" s="21" t="n"/>
      <c r="S53" s="22" t="inlineStr"/>
      <c r="T53" s="22" t="inlineStr">
        <is>
          <t>없음 — 전 항목 진행</t>
        </is>
      </c>
    </row>
    <row r="54">
      <c r="A54" s="19" t="inlineStr">
        <is>
          <t>S50</t>
        </is>
      </c>
      <c r="B54" s="19" t="n">
        <v>50</v>
      </c>
      <c r="C54" s="19" t="inlineStr">
        <is>
          <t>기존점</t>
        </is>
      </c>
      <c r="D54" s="19" t="inlineStr">
        <is>
          <t>1-20-3</t>
        </is>
      </c>
      <c r="E54" s="19" t="inlineStr">
        <is>
          <t>함양</t>
        </is>
      </c>
      <c r="F54" s="19" t="inlineStr"/>
      <c r="G54" s="19" t="inlineStr">
        <is>
          <t>NJ52-02-17</t>
        </is>
      </c>
      <c r="H54" s="19" t="inlineStr">
        <is>
          <t>함양</t>
        </is>
      </c>
      <c r="I54" s="20" t="n">
        <v>35.54250855555556</v>
      </c>
      <c r="J54" s="20" t="n">
        <v>127.6229688333333</v>
      </c>
      <c r="K54" s="21" t="n">
        <v>415.62</v>
      </c>
      <c r="L54" s="22" t="inlineStr">
        <is>
          <t>경남 함양군 백전면 구산리 166 구산제(구산저수지)</t>
        </is>
      </c>
      <c r="M54" s="21" t="n">
        <v>23.9</v>
      </c>
      <c r="N54" s="19" t="inlineStr">
        <is>
          <t>OK</t>
        </is>
      </c>
      <c r="O54" s="19" t="inlineStr">
        <is>
          <t>청양</t>
        </is>
      </c>
      <c r="P54" s="19" t="n">
        <v>115</v>
      </c>
      <c r="Q54" s="19" t="inlineStr">
        <is>
          <t>NOT APPLICABLE</t>
        </is>
      </c>
      <c r="R54" s="21" t="n"/>
      <c r="S54" s="22" t="inlineStr"/>
      <c r="T54" s="22" t="inlineStr">
        <is>
          <t>없음 — 전 항목 진행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8" customWidth="1" min="12" max="12"/>
    <col width="16" customWidth="1" min="13" max="13"/>
  </cols>
  <sheetData>
    <row r="1" ht="26" customHeight="1">
      <c r="A1" s="1" t="inlineStr">
        <is>
          <t>점 정보 · 좌표 검증</t>
        </is>
      </c>
    </row>
    <row r="2" ht="33" customHeight="1">
      <c r="A2" s="2" t="inlineStr">
        <is>
          <t>좌표는 «십진도 숫자»로 위도·경도를 각각 적고 좌표계·취득방법·정확도·출처를 함께 남긴다. 자릿수만 맞추면 허위 정밀도가 생기고 위·경도 뒤바뀜도 못 막는다. 선점 절차: GNSS 수신기 — 좌표·방위각 확인 → 오버하우저 — 자기구배 확인 → 중심점 선정 및 표지 설치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구분</t>
        </is>
      </c>
      <c r="D4" s="9" t="inlineStr">
        <is>
          <t>사전 위도</t>
        </is>
      </c>
      <c r="E4" s="9" t="inlineStr">
        <is>
          <t>사전 경도</t>
        </is>
      </c>
      <c r="F4" s="9" t="inlineStr">
        <is>
          <t>현장 실측 위도</t>
        </is>
      </c>
      <c r="G4" s="9" t="inlineStr">
        <is>
          <t>현장 실측 경도</t>
        </is>
      </c>
      <c r="H4" s="9" t="inlineStr">
        <is>
          <t>좌표계</t>
        </is>
      </c>
      <c r="I4" s="9" t="inlineStr">
        <is>
          <t>측지기준</t>
        </is>
      </c>
      <c r="J4" s="9" t="inlineStr">
        <is>
          <t>취득방법</t>
        </is>
      </c>
      <c r="K4" s="9" t="inlineStr">
        <is>
          <t>수평정확도(m)</t>
        </is>
      </c>
      <c r="L4" s="9" t="inlineStr">
        <is>
          <t>좌표 출처</t>
        </is>
      </c>
      <c r="M4" s="9" t="inlineStr">
        <is>
          <t>좌표 검증상태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A</t>
        </is>
      </c>
      <c r="D5" s="27" t="n">
        <v>37.020705</v>
      </c>
      <c r="E5" s="27" t="n">
        <v>128.98393</v>
      </c>
      <c r="F5" s="28" t="n"/>
      <c r="G5" s="28" t="n"/>
      <c r="H5" s="29" t="n"/>
      <c r="I5" s="29" t="n"/>
      <c r="J5" s="29" t="n"/>
      <c r="K5" s="30" t="n"/>
      <c r="L5" s="29" t="n"/>
      <c r="M5" s="29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A</t>
        </is>
      </c>
      <c r="D6" s="27" t="n">
        <v>37.359346</v>
      </c>
      <c r="E6" s="27" t="n">
        <v>128.973865</v>
      </c>
      <c r="F6" s="28" t="n"/>
      <c r="G6" s="28" t="n"/>
      <c r="H6" s="29" t="n"/>
      <c r="I6" s="29" t="n"/>
      <c r="J6" s="29" t="n"/>
      <c r="K6" s="30" t="n"/>
      <c r="L6" s="29" t="n"/>
      <c r="M6" s="29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A</t>
        </is>
      </c>
      <c r="D7" s="27" t="n">
        <v>36.534085</v>
      </c>
      <c r="E7" s="27" t="n">
        <v>126.936269</v>
      </c>
      <c r="F7" s="28" t="n"/>
      <c r="G7" s="28" t="n"/>
      <c r="H7" s="29" t="n"/>
      <c r="I7" s="29" t="n"/>
      <c r="J7" s="29" t="n"/>
      <c r="K7" s="30" t="n"/>
      <c r="L7" s="29" t="n"/>
      <c r="M7" s="29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A</t>
        </is>
      </c>
      <c r="D8" s="27" t="n">
        <v>35.891309</v>
      </c>
      <c r="E8" s="27" t="n">
        <v>127.309017</v>
      </c>
      <c r="F8" s="28" t="n"/>
      <c r="G8" s="28" t="n"/>
      <c r="H8" s="29" t="n"/>
      <c r="I8" s="29" t="n"/>
      <c r="J8" s="29" t="n"/>
      <c r="K8" s="30" t="n"/>
      <c r="L8" s="29" t="n"/>
      <c r="M8" s="29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A</t>
        </is>
      </c>
      <c r="D9" s="27" t="n">
        <v>35.945212</v>
      </c>
      <c r="E9" s="27" t="n">
        <v>127.800855</v>
      </c>
      <c r="F9" s="28" t="n"/>
      <c r="G9" s="28" t="n"/>
      <c r="H9" s="29" t="n"/>
      <c r="I9" s="29" t="n"/>
      <c r="J9" s="29" t="n"/>
      <c r="K9" s="30" t="n"/>
      <c r="L9" s="29" t="n"/>
      <c r="M9" s="29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B</t>
        </is>
      </c>
      <c r="D10" s="27" t="n">
        <v>35.604653</v>
      </c>
      <c r="E10" s="27" t="n">
        <v>127.230237</v>
      </c>
      <c r="F10" s="28" t="n"/>
      <c r="G10" s="28" t="n"/>
      <c r="H10" s="29" t="n"/>
      <c r="I10" s="29" t="n"/>
      <c r="J10" s="29" t="n"/>
      <c r="K10" s="30" t="n"/>
      <c r="L10" s="29" t="n"/>
      <c r="M10" s="29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B</t>
        </is>
      </c>
      <c r="D11" s="27" t="n">
        <v>34.852281</v>
      </c>
      <c r="E11" s="27" t="n">
        <v>127.981473</v>
      </c>
      <c r="F11" s="28" t="n"/>
      <c r="G11" s="28" t="n"/>
      <c r="H11" s="29" t="n"/>
      <c r="I11" s="29" t="n"/>
      <c r="J11" s="29" t="n"/>
      <c r="K11" s="30" t="n"/>
      <c r="L11" s="29" t="n"/>
      <c r="M11" s="29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B</t>
        </is>
      </c>
      <c r="D12" s="27" t="n">
        <v>37.618578</v>
      </c>
      <c r="E12" s="27" t="n">
        <v>128.1698</v>
      </c>
      <c r="F12" s="28" t="n"/>
      <c r="G12" s="28" t="n"/>
      <c r="H12" s="29" t="n"/>
      <c r="I12" s="29" t="n"/>
      <c r="J12" s="29" t="n"/>
      <c r="K12" s="30" t="n"/>
      <c r="L12" s="29" t="n"/>
      <c r="M12" s="29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B</t>
        </is>
      </c>
      <c r="D13" s="27" t="n">
        <v>37.776326</v>
      </c>
      <c r="E13" s="27" t="n">
        <v>128.075858</v>
      </c>
      <c r="F13" s="28" t="n"/>
      <c r="G13" s="28" t="n"/>
      <c r="H13" s="29" t="n"/>
      <c r="I13" s="29" t="n"/>
      <c r="J13" s="29" t="n"/>
      <c r="K13" s="30" t="n"/>
      <c r="L13" s="29" t="n"/>
      <c r="M13" s="29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B</t>
        </is>
      </c>
      <c r="D14" s="27" t="n">
        <v>36.745399</v>
      </c>
      <c r="E14" s="27" t="n">
        <v>128.853559</v>
      </c>
      <c r="F14" s="28" t="n"/>
      <c r="G14" s="28" t="n"/>
      <c r="H14" s="29" t="n"/>
      <c r="I14" s="29" t="n"/>
      <c r="J14" s="29" t="n"/>
      <c r="K14" s="30" t="n"/>
      <c r="L14" s="29" t="n"/>
      <c r="M14" s="29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B</t>
        </is>
      </c>
      <c r="D15" s="27" t="n">
        <v>36.765848</v>
      </c>
      <c r="E15" s="27" t="n">
        <v>129.154341</v>
      </c>
      <c r="F15" s="28" t="n"/>
      <c r="G15" s="28" t="n"/>
      <c r="H15" s="29" t="n"/>
      <c r="I15" s="29" t="n"/>
      <c r="J15" s="29" t="n"/>
      <c r="K15" s="30" t="n"/>
      <c r="L15" s="29" t="n"/>
      <c r="M15" s="29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B</t>
        </is>
      </c>
      <c r="D16" s="27" t="n">
        <v>35.284821</v>
      </c>
      <c r="E16" s="27" t="n">
        <v>127.092148</v>
      </c>
      <c r="F16" s="28" t="n"/>
      <c r="G16" s="28" t="n"/>
      <c r="H16" s="29" t="n"/>
      <c r="I16" s="29" t="n"/>
      <c r="J16" s="29" t="n"/>
      <c r="K16" s="30" t="n"/>
      <c r="L16" s="29" t="n"/>
      <c r="M16" s="29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B</t>
        </is>
      </c>
      <c r="D17" s="27" t="n">
        <v>34.904713</v>
      </c>
      <c r="E17" s="27" t="n">
        <v>127.294737</v>
      </c>
      <c r="F17" s="28" t="n"/>
      <c r="G17" s="28" t="n"/>
      <c r="H17" s="29" t="n"/>
      <c r="I17" s="29" t="n"/>
      <c r="J17" s="29" t="n"/>
      <c r="K17" s="30" t="n"/>
      <c r="L17" s="29" t="n"/>
      <c r="M17" s="29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B</t>
        </is>
      </c>
      <c r="D18" s="27" t="n">
        <v>36.382888</v>
      </c>
      <c r="E18" s="27" t="n">
        <v>129.145795</v>
      </c>
      <c r="F18" s="28" t="n"/>
      <c r="G18" s="28" t="n"/>
      <c r="H18" s="29" t="n"/>
      <c r="I18" s="29" t="n"/>
      <c r="J18" s="29" t="n"/>
      <c r="K18" s="30" t="n"/>
      <c r="L18" s="29" t="n"/>
      <c r="M18" s="29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B</t>
        </is>
      </c>
      <c r="D19" s="27" t="n">
        <v>36.4767</v>
      </c>
      <c r="E19" s="27" t="n">
        <v>128.508751</v>
      </c>
      <c r="F19" s="28" t="n"/>
      <c r="G19" s="28" t="n"/>
      <c r="H19" s="29" t="n"/>
      <c r="I19" s="29" t="n"/>
      <c r="J19" s="29" t="n"/>
      <c r="K19" s="30" t="n"/>
      <c r="L19" s="29" t="n"/>
      <c r="M19" s="29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B</t>
        </is>
      </c>
      <c r="D20" s="27" t="n">
        <v>36.50939</v>
      </c>
      <c r="E20" s="27" t="n">
        <v>128.494519</v>
      </c>
      <c r="F20" s="28" t="n"/>
      <c r="G20" s="28" t="n"/>
      <c r="H20" s="29" t="n"/>
      <c r="I20" s="29" t="n"/>
      <c r="J20" s="29" t="n"/>
      <c r="K20" s="30" t="n"/>
      <c r="L20" s="29" t="n"/>
      <c r="M20" s="29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B</t>
        </is>
      </c>
      <c r="D21" s="27" t="n">
        <v>36.743626</v>
      </c>
      <c r="E21" s="27" t="n">
        <v>129.181307</v>
      </c>
      <c r="F21" s="28" t="n"/>
      <c r="G21" s="28" t="n"/>
      <c r="H21" s="29" t="n"/>
      <c r="I21" s="29" t="n"/>
      <c r="J21" s="29" t="n"/>
      <c r="K21" s="30" t="n"/>
      <c r="L21" s="29" t="n"/>
      <c r="M21" s="29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B</t>
        </is>
      </c>
      <c r="D22" s="27" t="n">
        <v>34.792976</v>
      </c>
      <c r="E22" s="27" t="n">
        <v>128.393827</v>
      </c>
      <c r="F22" s="28" t="n"/>
      <c r="G22" s="28" t="n"/>
      <c r="H22" s="29" t="n"/>
      <c r="I22" s="29" t="n"/>
      <c r="J22" s="29" t="n"/>
      <c r="K22" s="30" t="n"/>
      <c r="L22" s="29" t="n"/>
      <c r="M22" s="29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B</t>
        </is>
      </c>
      <c r="D23" s="27" t="n">
        <v>38.318869</v>
      </c>
      <c r="E23" s="27" t="n">
        <v>128.521755</v>
      </c>
      <c r="F23" s="28" t="n"/>
      <c r="G23" s="28" t="n"/>
      <c r="H23" s="29" t="n"/>
      <c r="I23" s="29" t="n"/>
      <c r="J23" s="29" t="n"/>
      <c r="K23" s="30" t="n"/>
      <c r="L23" s="29" t="n"/>
      <c r="M23" s="29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B</t>
        </is>
      </c>
      <c r="D24" s="27" t="n">
        <v>36.266844</v>
      </c>
      <c r="E24" s="27" t="n">
        <v>126.706961</v>
      </c>
      <c r="F24" s="28" t="n"/>
      <c r="G24" s="28" t="n"/>
      <c r="H24" s="29" t="n"/>
      <c r="I24" s="29" t="n"/>
      <c r="J24" s="29" t="n"/>
      <c r="K24" s="30" t="n"/>
      <c r="L24" s="29" t="n"/>
      <c r="M24" s="29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B</t>
        </is>
      </c>
      <c r="D25" s="27" t="n">
        <v>35.456101</v>
      </c>
      <c r="E25" s="27" t="n">
        <v>126.962054</v>
      </c>
      <c r="F25" s="28" t="n"/>
      <c r="G25" s="28" t="n"/>
      <c r="H25" s="29" t="n"/>
      <c r="I25" s="29" t="n"/>
      <c r="J25" s="29" t="n"/>
      <c r="K25" s="30" t="n"/>
      <c r="L25" s="29" t="n"/>
      <c r="M25" s="29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B</t>
        </is>
      </c>
      <c r="D26" s="27" t="n">
        <v>34.328826</v>
      </c>
      <c r="E26" s="27" t="n">
        <v>126.543215</v>
      </c>
      <c r="F26" s="28" t="n"/>
      <c r="G26" s="28" t="n"/>
      <c r="H26" s="29" t="n"/>
      <c r="I26" s="29" t="n"/>
      <c r="J26" s="29" t="n"/>
      <c r="K26" s="30" t="n"/>
      <c r="L26" s="29" t="n"/>
      <c r="M26" s="29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B</t>
        </is>
      </c>
      <c r="D27" s="27" t="n">
        <v>36.888529</v>
      </c>
      <c r="E27" s="27" t="n">
        <v>128.192739</v>
      </c>
      <c r="F27" s="28" t="n"/>
      <c r="G27" s="28" t="n"/>
      <c r="H27" s="29" t="n"/>
      <c r="I27" s="29" t="n"/>
      <c r="J27" s="29" t="n"/>
      <c r="K27" s="30" t="n"/>
      <c r="L27" s="29" t="n"/>
      <c r="M27" s="29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B</t>
        </is>
      </c>
      <c r="D28" s="27" t="n">
        <v>34.680805</v>
      </c>
      <c r="E28" s="27" t="n">
        <v>127.04766</v>
      </c>
      <c r="F28" s="28" t="n"/>
      <c r="G28" s="28" t="n"/>
      <c r="H28" s="29" t="n"/>
      <c r="I28" s="29" t="n"/>
      <c r="J28" s="29" t="n"/>
      <c r="K28" s="30" t="n"/>
      <c r="L28" s="29" t="n"/>
      <c r="M28" s="29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B</t>
        </is>
      </c>
      <c r="D29" s="27" t="n">
        <v>36.325755</v>
      </c>
      <c r="E29" s="27" t="n">
        <v>127.905982</v>
      </c>
      <c r="F29" s="28" t="n"/>
      <c r="G29" s="28" t="n"/>
      <c r="H29" s="29" t="n"/>
      <c r="I29" s="29" t="n"/>
      <c r="J29" s="29" t="n"/>
      <c r="K29" s="30" t="n"/>
      <c r="L29" s="29" t="n"/>
      <c r="M29" s="29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B</t>
        </is>
      </c>
      <c r="D30" s="27" t="n">
        <v>36.452304</v>
      </c>
      <c r="E30" s="27" t="n">
        <v>126.395802</v>
      </c>
      <c r="F30" s="28" t="n"/>
      <c r="G30" s="28" t="n"/>
      <c r="H30" s="29" t="n"/>
      <c r="I30" s="29" t="n"/>
      <c r="J30" s="29" t="n"/>
      <c r="K30" s="30" t="n"/>
      <c r="L30" s="29" t="n"/>
      <c r="M30" s="29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B</t>
        </is>
      </c>
      <c r="D31" s="27" t="n">
        <v>36.579379</v>
      </c>
      <c r="E31" s="27" t="n">
        <v>127.068702</v>
      </c>
      <c r="F31" s="28" t="n"/>
      <c r="G31" s="28" t="n"/>
      <c r="H31" s="29" t="n"/>
      <c r="I31" s="29" t="n"/>
      <c r="J31" s="29" t="n"/>
      <c r="K31" s="30" t="n"/>
      <c r="L31" s="29" t="n"/>
      <c r="M31" s="29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B</t>
        </is>
      </c>
      <c r="D32" s="27" t="n">
        <v>36.16662</v>
      </c>
      <c r="E32" s="27" t="n">
        <v>127.583121</v>
      </c>
      <c r="F32" s="28" t="n"/>
      <c r="G32" s="28" t="n"/>
      <c r="H32" s="29" t="n"/>
      <c r="I32" s="29" t="n"/>
      <c r="J32" s="29" t="n"/>
      <c r="K32" s="30" t="n"/>
      <c r="L32" s="29" t="n"/>
      <c r="M32" s="29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B</t>
        </is>
      </c>
      <c r="D33" s="27" t="n">
        <v>35.777986</v>
      </c>
      <c r="E33" s="27" t="n">
        <v>128.036833</v>
      </c>
      <c r="F33" s="28" t="n"/>
      <c r="G33" s="28" t="n"/>
      <c r="H33" s="29" t="n"/>
      <c r="I33" s="29" t="n"/>
      <c r="J33" s="29" t="n"/>
      <c r="K33" s="30" t="n"/>
      <c r="L33" s="29" t="n"/>
      <c r="M33" s="29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B</t>
        </is>
      </c>
      <c r="D34" s="27" t="n">
        <v>35.662586</v>
      </c>
      <c r="E34" s="27" t="n">
        <v>128.298099</v>
      </c>
      <c r="F34" s="28" t="n"/>
      <c r="G34" s="28" t="n"/>
      <c r="H34" s="29" t="n"/>
      <c r="I34" s="29" t="n"/>
      <c r="J34" s="29" t="n"/>
      <c r="K34" s="30" t="n"/>
      <c r="L34" s="29" t="n"/>
      <c r="M34" s="29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B</t>
        </is>
      </c>
      <c r="D35" s="27" t="n">
        <v>35.742364</v>
      </c>
      <c r="E35" s="27" t="n">
        <v>129.029824</v>
      </c>
      <c r="F35" s="28" t="n"/>
      <c r="G35" s="28" t="n"/>
      <c r="H35" s="29" t="n"/>
      <c r="I35" s="29" t="n"/>
      <c r="J35" s="29" t="n"/>
      <c r="K35" s="30" t="n"/>
      <c r="L35" s="29" t="n"/>
      <c r="M35" s="29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B</t>
        </is>
      </c>
      <c r="D36" s="27" t="n">
        <v>35.586243</v>
      </c>
      <c r="E36" s="27" t="n">
        <v>127.574659</v>
      </c>
      <c r="F36" s="28" t="n"/>
      <c r="G36" s="28" t="n"/>
      <c r="H36" s="29" t="n"/>
      <c r="I36" s="29" t="n"/>
      <c r="J36" s="29" t="n"/>
      <c r="K36" s="30" t="n"/>
      <c r="L36" s="29" t="n"/>
      <c r="M36" s="29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B</t>
        </is>
      </c>
      <c r="D37" s="27" t="n">
        <v>37.927676</v>
      </c>
      <c r="E37" s="27" t="n">
        <v>126.870305</v>
      </c>
      <c r="F37" s="28" t="n"/>
      <c r="G37" s="28" t="n"/>
      <c r="H37" s="29" t="n"/>
      <c r="I37" s="29" t="n"/>
      <c r="J37" s="29" t="n"/>
      <c r="K37" s="30" t="n"/>
      <c r="L37" s="29" t="n"/>
      <c r="M37" s="29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B</t>
        </is>
      </c>
      <c r="D38" s="27" t="n">
        <v>35.541753</v>
      </c>
      <c r="E38" s="27" t="n">
        <v>126.645582</v>
      </c>
      <c r="F38" s="28" t="n"/>
      <c r="G38" s="28" t="n"/>
      <c r="H38" s="29" t="n"/>
      <c r="I38" s="29" t="n"/>
      <c r="J38" s="29" t="n"/>
      <c r="K38" s="30" t="n"/>
      <c r="L38" s="29" t="n"/>
      <c r="M38" s="29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기존점</t>
        </is>
      </c>
      <c r="D39" s="27" t="n">
        <v>36.35528841666667</v>
      </c>
      <c r="E39" s="27" t="n">
        <v>128.1104806944444</v>
      </c>
      <c r="F39" s="28" t="n"/>
      <c r="G39" s="28" t="n"/>
      <c r="H39" s="29" t="n"/>
      <c r="I39" s="29" t="n"/>
      <c r="J39" s="29" t="n"/>
      <c r="K39" s="30" t="n"/>
      <c r="L39" s="29" t="n"/>
      <c r="M39" s="29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기존점</t>
        </is>
      </c>
      <c r="D40" s="27" t="n">
        <v>36.72502777777778</v>
      </c>
      <c r="E40" s="27" t="n">
        <v>127.5862222222222</v>
      </c>
      <c r="F40" s="28" t="n"/>
      <c r="G40" s="28" t="n"/>
      <c r="H40" s="29" t="n"/>
      <c r="I40" s="29" t="n"/>
      <c r="J40" s="29" t="n"/>
      <c r="K40" s="30" t="n"/>
      <c r="L40" s="29" t="n"/>
      <c r="M40" s="29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기존점</t>
        </is>
      </c>
      <c r="D41" s="27" t="n">
        <v>35.58775</v>
      </c>
      <c r="E41" s="27" t="n">
        <v>126.7161388888889</v>
      </c>
      <c r="F41" s="28" t="n"/>
      <c r="G41" s="28" t="n"/>
      <c r="H41" s="29" t="n"/>
      <c r="I41" s="29" t="n"/>
      <c r="J41" s="29" t="n"/>
      <c r="K41" s="30" t="n"/>
      <c r="L41" s="29" t="n"/>
      <c r="M41" s="29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기존점</t>
        </is>
      </c>
      <c r="D42" s="27" t="n">
        <v>37.66612411111111</v>
      </c>
      <c r="E42" s="27" t="n">
        <v>126.4787752222222</v>
      </c>
      <c r="F42" s="28" t="n"/>
      <c r="G42" s="28" t="n"/>
      <c r="H42" s="29" t="n"/>
      <c r="I42" s="29" t="n"/>
      <c r="J42" s="29" t="n"/>
      <c r="K42" s="30" t="n"/>
      <c r="L42" s="29" t="n"/>
      <c r="M42" s="29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기존점</t>
        </is>
      </c>
      <c r="D43" s="27" t="n">
        <v>35.67619994444444</v>
      </c>
      <c r="E43" s="27" t="n">
        <v>129.1908721388889</v>
      </c>
      <c r="F43" s="28" t="n"/>
      <c r="G43" s="28" t="n"/>
      <c r="H43" s="29" t="n"/>
      <c r="I43" s="29" t="n"/>
      <c r="J43" s="29" t="n"/>
      <c r="K43" s="30" t="n"/>
      <c r="L43" s="29" t="n"/>
      <c r="M43" s="29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기존점</t>
        </is>
      </c>
      <c r="D44" s="27" t="n">
        <v>35.43616666666667</v>
      </c>
      <c r="E44" s="27" t="n">
        <v>128.4737777777778</v>
      </c>
      <c r="F44" s="28" t="n"/>
      <c r="G44" s="28" t="n"/>
      <c r="H44" s="29" t="n"/>
      <c r="I44" s="29" t="n"/>
      <c r="J44" s="29" t="n"/>
      <c r="K44" s="30" t="n"/>
      <c r="L44" s="29" t="n"/>
      <c r="M44" s="29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기존점</t>
        </is>
      </c>
      <c r="D45" s="27" t="n">
        <v>34.87031108333333</v>
      </c>
      <c r="E45" s="27" t="n">
        <v>128.5928611111111</v>
      </c>
      <c r="F45" s="28" t="n"/>
      <c r="G45" s="28" t="n"/>
      <c r="H45" s="29" t="n"/>
      <c r="I45" s="29" t="n"/>
      <c r="J45" s="29" t="n"/>
      <c r="K45" s="30" t="n"/>
      <c r="L45" s="29" t="n"/>
      <c r="M45" s="29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기존점</t>
        </is>
      </c>
      <c r="D46" s="27" t="n">
        <v>34.43191666666667</v>
      </c>
      <c r="E46" s="27" t="n">
        <v>126.2238055555556</v>
      </c>
      <c r="F46" s="28" t="n"/>
      <c r="G46" s="28" t="n"/>
      <c r="H46" s="29" t="n"/>
      <c r="I46" s="29" t="n"/>
      <c r="J46" s="29" t="n"/>
      <c r="K46" s="30" t="n"/>
      <c r="L46" s="29" t="n"/>
      <c r="M46" s="29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기존점</t>
        </is>
      </c>
      <c r="D47" s="27" t="n">
        <v>37.99090344444445</v>
      </c>
      <c r="E47" s="27" t="n">
        <v>127.1346283611111</v>
      </c>
      <c r="F47" s="28" t="n"/>
      <c r="G47" s="28" t="n"/>
      <c r="H47" s="29" t="n"/>
      <c r="I47" s="29" t="n"/>
      <c r="J47" s="29" t="n"/>
      <c r="K47" s="30" t="n"/>
      <c r="L47" s="29" t="n"/>
      <c r="M47" s="29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기존점</t>
        </is>
      </c>
      <c r="D48" s="27" t="n">
        <v>33.52447991666666</v>
      </c>
      <c r="E48" s="27" t="n">
        <v>126.8941619722222</v>
      </c>
      <c r="F48" s="28" t="n"/>
      <c r="G48" s="28" t="n"/>
      <c r="H48" s="29" t="n"/>
      <c r="I48" s="29" t="n"/>
      <c r="J48" s="29" t="n"/>
      <c r="K48" s="30" t="n"/>
      <c r="L48" s="29" t="n"/>
      <c r="M48" s="29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기존점</t>
        </is>
      </c>
      <c r="D49" s="27" t="n">
        <v>37.445381</v>
      </c>
      <c r="E49" s="27" t="n">
        <v>127.5733216944444</v>
      </c>
      <c r="F49" s="28" t="n"/>
      <c r="G49" s="28" t="n"/>
      <c r="H49" s="29" t="n"/>
      <c r="I49" s="29" t="n"/>
      <c r="J49" s="29" t="n"/>
      <c r="K49" s="30" t="n"/>
      <c r="L49" s="29" t="n"/>
      <c r="M49" s="29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기존점</t>
        </is>
      </c>
      <c r="D50" s="27" t="n">
        <v>38.11566666666667</v>
      </c>
      <c r="E50" s="27" t="n">
        <v>127.6867222222222</v>
      </c>
      <c r="F50" s="28" t="n"/>
      <c r="G50" s="28" t="n"/>
      <c r="H50" s="29" t="n"/>
      <c r="I50" s="29" t="n"/>
      <c r="J50" s="29" t="n"/>
      <c r="K50" s="30" t="n"/>
      <c r="L50" s="29" t="n"/>
      <c r="M50" s="29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기존점</t>
        </is>
      </c>
      <c r="D51" s="27" t="n">
        <v>37.61237222222223</v>
      </c>
      <c r="E51" s="27" t="n">
        <v>128.395802</v>
      </c>
      <c r="F51" s="28" t="n"/>
      <c r="G51" s="28" t="n"/>
      <c r="H51" s="29" t="n"/>
      <c r="I51" s="29" t="n"/>
      <c r="J51" s="29" t="n"/>
      <c r="K51" s="30" t="n"/>
      <c r="L51" s="29" t="n"/>
      <c r="M51" s="29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기존점</t>
        </is>
      </c>
      <c r="D52" s="27" t="n">
        <v>37.38471708333334</v>
      </c>
      <c r="E52" s="27" t="n">
        <v>129.2032259444444</v>
      </c>
      <c r="F52" s="28" t="n"/>
      <c r="G52" s="28" t="n"/>
      <c r="H52" s="29" t="n"/>
      <c r="I52" s="29" t="n"/>
      <c r="J52" s="29" t="n"/>
      <c r="K52" s="30" t="n"/>
      <c r="L52" s="29" t="n"/>
      <c r="M52" s="29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기존점</t>
        </is>
      </c>
      <c r="D53" s="27" t="n">
        <v>37.07463888888889</v>
      </c>
      <c r="E53" s="27" t="n">
        <v>128.2114444444444</v>
      </c>
      <c r="F53" s="28" t="n"/>
      <c r="G53" s="28" t="n"/>
      <c r="H53" s="29" t="n"/>
      <c r="I53" s="29" t="n"/>
      <c r="J53" s="29" t="n"/>
      <c r="K53" s="30" t="n"/>
      <c r="L53" s="29" t="n"/>
      <c r="M53" s="29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기존점</t>
        </is>
      </c>
      <c r="D54" s="27" t="n">
        <v>35.54250855555556</v>
      </c>
      <c r="E54" s="27" t="n">
        <v>127.6229688333333</v>
      </c>
      <c r="F54" s="28" t="n"/>
      <c r="G54" s="28" t="n"/>
      <c r="H54" s="29" t="n"/>
      <c r="I54" s="29" t="n"/>
      <c r="J54" s="29" t="n"/>
      <c r="K54" s="30" t="n"/>
      <c r="L54" s="29" t="n"/>
      <c r="M54" s="29" t="n"/>
    </row>
  </sheetData>
  <mergeCells count="2">
    <mergeCell ref="A2:M2"/>
    <mergeCell ref="A1:M1"/>
  </mergeCells>
  <dataValidations count="5">
    <dataValidation sqref="H5:H54" showDropDown="0" showInputMessage="0" showErrorMessage="0" allowBlank="1" type="list">
      <formula1>"WGS84,KGD2002,Bessel1841,PENDING"</formula1>
    </dataValidation>
    <dataValidation sqref="J5:J54" showDropDown="0" showInputMessage="0" showErrorMessage="0" allowBlank="1" type="list">
      <formula1>"RTK-GNSS,네트워크RTK,정적GNSS,휴대GNSS,기존 성과 인용,PENDING"</formula1>
    </dataValidation>
    <dataValidation sqref="M5:M54" showDropDown="0" showInputMessage="0" showErrorMessage="0" allowBlank="1" type="list">
      <formula1>"검증완료 — 사전값과 일치,검증완료 — 사전값 정정,불일치 — HOLD,PENDING"</formula1>
    </dataValidation>
    <dataValidation sqref="F5:F54" showDropDown="0" showInputMessage="0" showErrorMessage="1" allowBlank="1" errorTitle="예상 범위 밖" error="한반도 위도 범위 밖이다. 위·경도를 바꿔 적지 않았는지." type="decimal" errorStyle="warning" operator="between">
      <formula1>33</formula1>
      <formula2>39.5</formula2>
    </dataValidation>
    <dataValidation sqref="G5:G54" showDropDown="0" showInputMessage="0" showErrorMessage="1" allowBlank="1" errorTitle="예상 범위 밖" error="한반도 경도 범위 밖이다. 위·경도를 바꿔 적지 않았는지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9" customWidth="1" min="4" max="4"/>
    <col width="15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8" customWidth="1" min="14" max="14"/>
    <col width="10" customWidth="1" min="15" max="15"/>
    <col width="11" customWidth="1" min="16" max="16"/>
    <col width="24" customWidth="1" min="17" max="17"/>
  </cols>
  <sheetData>
    <row r="1" ht="26" customHeight="1">
      <c r="A1" s="1" t="inlineStr">
        <is>
          <t>§13② 이격거리 — 시설 유형마다 한 행</t>
        </is>
      </c>
    </row>
    <row r="2" ht="19" customHeight="1">
      <c r="A2" s="2" t="inlineStr">
        <is>
          <t>법정 기준: 직류철도 5.0 km · 교류·일반철도 2.0 km · 고압철탑 1.0 km · 송전탑 0.5 km</t>
        </is>
      </c>
    </row>
    <row r="3" ht="33" customHeight="1">
      <c r="A3" s="3" t="inlineStr">
        <is>
          <t>⚠ 도상 확인만으로 확정하지 않는다. 시설 분류·자료 기준일·거리 산정점·최근 설치 여부에 따라 결과가 달라지므로 시설 ID·출처·좌표·현장 확인값·확인방법·사진·확인자를 각각 남긴다. 분류가 불명확하면 임의 판정하지 말고 PENDING.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8" t="inlineStr">
        <is>
          <t>시설 유형</t>
        </is>
      </c>
      <c r="D4" s="9" t="inlineStr">
        <is>
          <t>기준(km)</t>
        </is>
      </c>
      <c r="E4" s="9" t="inlineStr">
        <is>
          <t>최근접 시설 ID</t>
        </is>
      </c>
      <c r="F4" s="9" t="inlineStr">
        <is>
          <t>시설 명칭</t>
        </is>
      </c>
      <c r="G4" s="9" t="inlineStr">
        <is>
          <t>자료 출처</t>
        </is>
      </c>
      <c r="H4" s="9" t="inlineStr">
        <is>
          <t>자료 기준일</t>
        </is>
      </c>
      <c r="I4" s="9" t="inlineStr">
        <is>
          <t>시설 위도</t>
        </is>
      </c>
      <c r="J4" s="9" t="inlineStr">
        <is>
          <t>시설 경도</t>
        </is>
      </c>
      <c r="K4" s="9" t="inlineStr">
        <is>
          <t>도상거리(km)</t>
        </is>
      </c>
      <c r="L4" s="9" t="inlineStr">
        <is>
          <t>현장 확인거리(km)</t>
        </is>
      </c>
      <c r="M4" s="9" t="inlineStr">
        <is>
          <t>확인 방법</t>
        </is>
      </c>
      <c r="N4" s="9" t="inlineStr">
        <is>
          <t>사진 파일명</t>
        </is>
      </c>
      <c r="O4" s="9" t="inlineStr">
        <is>
          <t>판정</t>
        </is>
      </c>
      <c r="P4" s="9" t="inlineStr">
        <is>
          <t>확인자</t>
        </is>
      </c>
      <c r="Q4" s="9" t="inlineStr">
        <is>
          <t>비고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직류철도</t>
        </is>
      </c>
      <c r="D5" s="31" t="n">
        <v>5</v>
      </c>
      <c r="E5" s="29" t="n"/>
      <c r="F5" s="32" t="n"/>
      <c r="G5" s="29" t="n"/>
      <c r="H5" s="33" t="n"/>
      <c r="I5" s="28" t="n"/>
      <c r="J5" s="28" t="n"/>
      <c r="K5" s="34" t="n"/>
      <c r="L5" s="34" t="n"/>
      <c r="M5" s="29" t="n"/>
      <c r="N5" s="29" t="n"/>
      <c r="O5" s="29" t="n"/>
      <c r="P5" s="29" t="n"/>
      <c r="Q5" s="32" t="n"/>
    </row>
    <row r="6">
      <c r="A6" s="26" t="inlineStr">
        <is>
          <t>S01</t>
        </is>
      </c>
      <c r="B6" s="26" t="inlineStr">
        <is>
          <t>태백 신규점</t>
        </is>
      </c>
      <c r="C6" s="26" t="inlineStr">
        <is>
          <t>교류·일반철도</t>
        </is>
      </c>
      <c r="D6" s="31" t="n">
        <v>2</v>
      </c>
      <c r="E6" s="29" t="n"/>
      <c r="F6" s="32" t="n"/>
      <c r="G6" s="29" t="n"/>
      <c r="H6" s="33" t="n"/>
      <c r="I6" s="28" t="n"/>
      <c r="J6" s="28" t="n"/>
      <c r="K6" s="34" t="n"/>
      <c r="L6" s="34" t="n"/>
      <c r="M6" s="29" t="n"/>
      <c r="N6" s="29" t="n"/>
      <c r="O6" s="29" t="n"/>
      <c r="P6" s="29" t="n"/>
      <c r="Q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고압철탑</t>
        </is>
      </c>
      <c r="D7" s="31" t="n">
        <v>1</v>
      </c>
      <c r="E7" s="29" t="n"/>
      <c r="F7" s="32" t="n"/>
      <c r="G7" s="29" t="n"/>
      <c r="H7" s="33" t="n"/>
      <c r="I7" s="28" t="n"/>
      <c r="J7" s="28" t="n"/>
      <c r="K7" s="34" t="n"/>
      <c r="L7" s="34" t="n"/>
      <c r="M7" s="29" t="n"/>
      <c r="N7" s="29" t="n"/>
      <c r="O7" s="29" t="n"/>
      <c r="P7" s="29" t="n"/>
      <c r="Q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송전탑</t>
        </is>
      </c>
      <c r="D8" s="31" t="n">
        <v>0.5</v>
      </c>
      <c r="E8" s="29" t="n"/>
      <c r="F8" s="32" t="n"/>
      <c r="G8" s="29" t="n"/>
      <c r="H8" s="33" t="n"/>
      <c r="I8" s="28" t="n"/>
      <c r="J8" s="28" t="n"/>
      <c r="K8" s="34" t="n"/>
      <c r="L8" s="34" t="n"/>
      <c r="M8" s="29" t="n"/>
      <c r="N8" s="29" t="n"/>
      <c r="O8" s="29" t="n"/>
      <c r="P8" s="29" t="n"/>
      <c r="Q8" s="32" t="n"/>
    </row>
    <row r="9">
      <c r="A9" s="26" t="inlineStr">
        <is>
          <t>S02</t>
        </is>
      </c>
      <c r="B9" s="26" t="inlineStr">
        <is>
          <t>임계 신규점1</t>
        </is>
      </c>
      <c r="C9" s="26" t="inlineStr">
        <is>
          <t>직류철도</t>
        </is>
      </c>
      <c r="D9" s="31" t="n">
        <v>5</v>
      </c>
      <c r="E9" s="29" t="n"/>
      <c r="F9" s="32" t="n"/>
      <c r="G9" s="29" t="n"/>
      <c r="H9" s="33" t="n"/>
      <c r="I9" s="28" t="n"/>
      <c r="J9" s="28" t="n"/>
      <c r="K9" s="34" t="n"/>
      <c r="L9" s="34" t="n"/>
      <c r="M9" s="29" t="n"/>
      <c r="N9" s="29" t="n"/>
      <c r="O9" s="29" t="n"/>
      <c r="P9" s="29" t="n"/>
      <c r="Q9" s="32" t="n"/>
    </row>
    <row r="10">
      <c r="A10" s="26" t="inlineStr">
        <is>
          <t>S02</t>
        </is>
      </c>
      <c r="B10" s="26" t="inlineStr">
        <is>
          <t>임계 신규점1</t>
        </is>
      </c>
      <c r="C10" s="26" t="inlineStr">
        <is>
          <t>교류·일반철도</t>
        </is>
      </c>
      <c r="D10" s="31" t="n">
        <v>2</v>
      </c>
      <c r="E10" s="29" t="n"/>
      <c r="F10" s="32" t="n"/>
      <c r="G10" s="29" t="n"/>
      <c r="H10" s="33" t="n"/>
      <c r="I10" s="28" t="n"/>
      <c r="J10" s="28" t="n"/>
      <c r="K10" s="34" t="n"/>
      <c r="L10" s="34" t="n"/>
      <c r="M10" s="29" t="n"/>
      <c r="N10" s="29" t="n"/>
      <c r="O10" s="29" t="n"/>
      <c r="P10" s="29" t="n"/>
      <c r="Q10" s="32" t="n"/>
    </row>
    <row r="11">
      <c r="A11" s="26" t="inlineStr">
        <is>
          <t>S02</t>
        </is>
      </c>
      <c r="B11" s="26" t="inlineStr">
        <is>
          <t>임계 신규점1</t>
        </is>
      </c>
      <c r="C11" s="26" t="inlineStr">
        <is>
          <t>고압철탑</t>
        </is>
      </c>
      <c r="D11" s="31" t="n">
        <v>1</v>
      </c>
      <c r="E11" s="29" t="n"/>
      <c r="F11" s="32" t="n"/>
      <c r="G11" s="29" t="n"/>
      <c r="H11" s="33" t="n"/>
      <c r="I11" s="28" t="n"/>
      <c r="J11" s="28" t="n"/>
      <c r="K11" s="34" t="n"/>
      <c r="L11" s="34" t="n"/>
      <c r="M11" s="29" t="n"/>
      <c r="N11" s="29" t="n"/>
      <c r="O11" s="29" t="n"/>
      <c r="P11" s="29" t="n"/>
      <c r="Q11" s="32" t="n"/>
    </row>
    <row r="12">
      <c r="A12" s="26" t="inlineStr">
        <is>
          <t>S02</t>
        </is>
      </c>
      <c r="B12" s="26" t="inlineStr">
        <is>
          <t>임계 신규점1</t>
        </is>
      </c>
      <c r="C12" s="26" t="inlineStr">
        <is>
          <t>송전탑</t>
        </is>
      </c>
      <c r="D12" s="31" t="n">
        <v>0.5</v>
      </c>
      <c r="E12" s="29" t="n"/>
      <c r="F12" s="32" t="n"/>
      <c r="G12" s="29" t="n"/>
      <c r="H12" s="33" t="n"/>
      <c r="I12" s="28" t="n"/>
      <c r="J12" s="28" t="n"/>
      <c r="K12" s="34" t="n"/>
      <c r="L12" s="34" t="n"/>
      <c r="M12" s="29" t="n"/>
      <c r="N12" s="29" t="n"/>
      <c r="O12" s="29" t="n"/>
      <c r="P12" s="29" t="n"/>
      <c r="Q12" s="32" t="n"/>
    </row>
    <row r="13">
      <c r="A13" s="26" t="inlineStr">
        <is>
          <t>S03</t>
        </is>
      </c>
      <c r="B13" s="26" t="inlineStr">
        <is>
          <t>예산 신규점2</t>
        </is>
      </c>
      <c r="C13" s="26" t="inlineStr">
        <is>
          <t>직류철도</t>
        </is>
      </c>
      <c r="D13" s="31" t="n">
        <v>5</v>
      </c>
      <c r="E13" s="29" t="n"/>
      <c r="F13" s="32" t="n"/>
      <c r="G13" s="29" t="n"/>
      <c r="H13" s="33" t="n"/>
      <c r="I13" s="28" t="n"/>
      <c r="J13" s="28" t="n"/>
      <c r="K13" s="34" t="n"/>
      <c r="L13" s="34" t="n"/>
      <c r="M13" s="29" t="n"/>
      <c r="N13" s="29" t="n"/>
      <c r="O13" s="29" t="n"/>
      <c r="P13" s="29" t="n"/>
      <c r="Q13" s="32" t="n"/>
    </row>
    <row r="14">
      <c r="A14" s="26" t="inlineStr">
        <is>
          <t>S03</t>
        </is>
      </c>
      <c r="B14" s="26" t="inlineStr">
        <is>
          <t>예산 신규점2</t>
        </is>
      </c>
      <c r="C14" s="26" t="inlineStr">
        <is>
          <t>교류·일반철도</t>
        </is>
      </c>
      <c r="D14" s="31" t="n">
        <v>2</v>
      </c>
      <c r="E14" s="29" t="n"/>
      <c r="F14" s="32" t="n"/>
      <c r="G14" s="29" t="n"/>
      <c r="H14" s="33" t="n"/>
      <c r="I14" s="28" t="n"/>
      <c r="J14" s="28" t="n"/>
      <c r="K14" s="34" t="n"/>
      <c r="L14" s="34" t="n"/>
      <c r="M14" s="29" t="n"/>
      <c r="N14" s="29" t="n"/>
      <c r="O14" s="29" t="n"/>
      <c r="P14" s="29" t="n"/>
      <c r="Q14" s="32" t="n"/>
    </row>
    <row r="15">
      <c r="A15" s="26" t="inlineStr">
        <is>
          <t>S03</t>
        </is>
      </c>
      <c r="B15" s="26" t="inlineStr">
        <is>
          <t>예산 신규점2</t>
        </is>
      </c>
      <c r="C15" s="26" t="inlineStr">
        <is>
          <t>고압철탑</t>
        </is>
      </c>
      <c r="D15" s="31" t="n">
        <v>1</v>
      </c>
      <c r="E15" s="29" t="n"/>
      <c r="F15" s="32" t="n"/>
      <c r="G15" s="29" t="n"/>
      <c r="H15" s="33" t="n"/>
      <c r="I15" s="28" t="n"/>
      <c r="J15" s="28" t="n"/>
      <c r="K15" s="34" t="n"/>
      <c r="L15" s="34" t="n"/>
      <c r="M15" s="29" t="n"/>
      <c r="N15" s="29" t="n"/>
      <c r="O15" s="29" t="n"/>
      <c r="P15" s="29" t="n"/>
      <c r="Q15" s="32" t="n"/>
    </row>
    <row r="16">
      <c r="A16" s="26" t="inlineStr">
        <is>
          <t>S03</t>
        </is>
      </c>
      <c r="B16" s="26" t="inlineStr">
        <is>
          <t>예산 신규점2</t>
        </is>
      </c>
      <c r="C16" s="26" t="inlineStr">
        <is>
          <t>송전탑</t>
        </is>
      </c>
      <c r="D16" s="31" t="n">
        <v>0.5</v>
      </c>
      <c r="E16" s="29" t="n"/>
      <c r="F16" s="32" t="n"/>
      <c r="G16" s="29" t="n"/>
      <c r="H16" s="33" t="n"/>
      <c r="I16" s="28" t="n"/>
      <c r="J16" s="28" t="n"/>
      <c r="K16" s="34" t="n"/>
      <c r="L16" s="34" t="n"/>
      <c r="M16" s="29" t="n"/>
      <c r="N16" s="29" t="n"/>
      <c r="O16" s="29" t="n"/>
      <c r="P16" s="29" t="n"/>
      <c r="Q16" s="32" t="n"/>
    </row>
    <row r="17">
      <c r="A17" s="26" t="inlineStr">
        <is>
          <t>S04</t>
        </is>
      </c>
      <c r="B17" s="26" t="inlineStr">
        <is>
          <t>진안 신규점1</t>
        </is>
      </c>
      <c r="C17" s="26" t="inlineStr">
        <is>
          <t>직류철도</t>
        </is>
      </c>
      <c r="D17" s="31" t="n">
        <v>5</v>
      </c>
      <c r="E17" s="29" t="n"/>
      <c r="F17" s="32" t="n"/>
      <c r="G17" s="29" t="n"/>
      <c r="H17" s="33" t="n"/>
      <c r="I17" s="28" t="n"/>
      <c r="J17" s="28" t="n"/>
      <c r="K17" s="34" t="n"/>
      <c r="L17" s="34" t="n"/>
      <c r="M17" s="29" t="n"/>
      <c r="N17" s="29" t="n"/>
      <c r="O17" s="29" t="n"/>
      <c r="P17" s="29" t="n"/>
      <c r="Q17" s="32" t="n"/>
    </row>
    <row r="18">
      <c r="A18" s="26" t="inlineStr">
        <is>
          <t>S04</t>
        </is>
      </c>
      <c r="B18" s="26" t="inlineStr">
        <is>
          <t>진안 신규점1</t>
        </is>
      </c>
      <c r="C18" s="26" t="inlineStr">
        <is>
          <t>교류·일반철도</t>
        </is>
      </c>
      <c r="D18" s="31" t="n">
        <v>2</v>
      </c>
      <c r="E18" s="29" t="n"/>
      <c r="F18" s="32" t="n"/>
      <c r="G18" s="29" t="n"/>
      <c r="H18" s="33" t="n"/>
      <c r="I18" s="28" t="n"/>
      <c r="J18" s="28" t="n"/>
      <c r="K18" s="34" t="n"/>
      <c r="L18" s="34" t="n"/>
      <c r="M18" s="29" t="n"/>
      <c r="N18" s="29" t="n"/>
      <c r="O18" s="29" t="n"/>
      <c r="P18" s="29" t="n"/>
      <c r="Q18" s="32" t="n"/>
    </row>
    <row r="19">
      <c r="A19" s="26" t="inlineStr">
        <is>
          <t>S04</t>
        </is>
      </c>
      <c r="B19" s="26" t="inlineStr">
        <is>
          <t>진안 신규점1</t>
        </is>
      </c>
      <c r="C19" s="26" t="inlineStr">
        <is>
          <t>고압철탑</t>
        </is>
      </c>
      <c r="D19" s="31" t="n">
        <v>1</v>
      </c>
      <c r="E19" s="29" t="n"/>
      <c r="F19" s="32" t="n"/>
      <c r="G19" s="29" t="n"/>
      <c r="H19" s="33" t="n"/>
      <c r="I19" s="28" t="n"/>
      <c r="J19" s="28" t="n"/>
      <c r="K19" s="34" t="n"/>
      <c r="L19" s="34" t="n"/>
      <c r="M19" s="29" t="n"/>
      <c r="N19" s="29" t="n"/>
      <c r="O19" s="29" t="n"/>
      <c r="P19" s="29" t="n"/>
      <c r="Q19" s="32" t="n"/>
    </row>
    <row r="20">
      <c r="A20" s="26" t="inlineStr">
        <is>
          <t>S04</t>
        </is>
      </c>
      <c r="B20" s="26" t="inlineStr">
        <is>
          <t>진안 신규점1</t>
        </is>
      </c>
      <c r="C20" s="26" t="inlineStr">
        <is>
          <t>송전탑</t>
        </is>
      </c>
      <c r="D20" s="31" t="n">
        <v>0.5</v>
      </c>
      <c r="E20" s="29" t="n"/>
      <c r="F20" s="32" t="n"/>
      <c r="G20" s="29" t="n"/>
      <c r="H20" s="33" t="n"/>
      <c r="I20" s="28" t="n"/>
      <c r="J20" s="28" t="n"/>
      <c r="K20" s="34" t="n"/>
      <c r="L20" s="34" t="n"/>
      <c r="M20" s="29" t="n"/>
      <c r="N20" s="29" t="n"/>
      <c r="O20" s="29" t="n"/>
      <c r="P20" s="29" t="n"/>
      <c r="Q20" s="32" t="n"/>
    </row>
    <row r="21">
      <c r="A21" s="26" t="inlineStr">
        <is>
          <t>S05</t>
        </is>
      </c>
      <c r="B21" s="26" t="inlineStr">
        <is>
          <t>무풍 신규점1</t>
        </is>
      </c>
      <c r="C21" s="26" t="inlineStr">
        <is>
          <t>직류철도</t>
        </is>
      </c>
      <c r="D21" s="31" t="n">
        <v>5</v>
      </c>
      <c r="E21" s="29" t="n"/>
      <c r="F21" s="32" t="n"/>
      <c r="G21" s="29" t="n"/>
      <c r="H21" s="33" t="n"/>
      <c r="I21" s="28" t="n"/>
      <c r="J21" s="28" t="n"/>
      <c r="K21" s="34" t="n"/>
      <c r="L21" s="34" t="n"/>
      <c r="M21" s="29" t="n"/>
      <c r="N21" s="29" t="n"/>
      <c r="O21" s="29" t="n"/>
      <c r="P21" s="29" t="n"/>
      <c r="Q21" s="32" t="n"/>
    </row>
    <row r="22">
      <c r="A22" s="26" t="inlineStr">
        <is>
          <t>S05</t>
        </is>
      </c>
      <c r="B22" s="26" t="inlineStr">
        <is>
          <t>무풍 신규점1</t>
        </is>
      </c>
      <c r="C22" s="26" t="inlineStr">
        <is>
          <t>교류·일반철도</t>
        </is>
      </c>
      <c r="D22" s="31" t="n">
        <v>2</v>
      </c>
      <c r="E22" s="29" t="n"/>
      <c r="F22" s="32" t="n"/>
      <c r="G22" s="29" t="n"/>
      <c r="H22" s="33" t="n"/>
      <c r="I22" s="28" t="n"/>
      <c r="J22" s="28" t="n"/>
      <c r="K22" s="34" t="n"/>
      <c r="L22" s="34" t="n"/>
      <c r="M22" s="29" t="n"/>
      <c r="N22" s="29" t="n"/>
      <c r="O22" s="29" t="n"/>
      <c r="P22" s="29" t="n"/>
      <c r="Q22" s="32" t="n"/>
    </row>
    <row r="23">
      <c r="A23" s="26" t="inlineStr">
        <is>
          <t>S05</t>
        </is>
      </c>
      <c r="B23" s="26" t="inlineStr">
        <is>
          <t>무풍 신규점1</t>
        </is>
      </c>
      <c r="C23" s="26" t="inlineStr">
        <is>
          <t>고압철탑</t>
        </is>
      </c>
      <c r="D23" s="31" t="n">
        <v>1</v>
      </c>
      <c r="E23" s="29" t="n"/>
      <c r="F23" s="32" t="n"/>
      <c r="G23" s="29" t="n"/>
      <c r="H23" s="33" t="n"/>
      <c r="I23" s="28" t="n"/>
      <c r="J23" s="28" t="n"/>
      <c r="K23" s="34" t="n"/>
      <c r="L23" s="34" t="n"/>
      <c r="M23" s="29" t="n"/>
      <c r="N23" s="29" t="n"/>
      <c r="O23" s="29" t="n"/>
      <c r="P23" s="29" t="n"/>
      <c r="Q23" s="32" t="n"/>
    </row>
    <row r="24">
      <c r="A24" s="26" t="inlineStr">
        <is>
          <t>S05</t>
        </is>
      </c>
      <c r="B24" s="26" t="inlineStr">
        <is>
          <t>무풍 신규점1</t>
        </is>
      </c>
      <c r="C24" s="26" t="inlineStr">
        <is>
          <t>송전탑</t>
        </is>
      </c>
      <c r="D24" s="31" t="n">
        <v>0.5</v>
      </c>
      <c r="E24" s="29" t="n"/>
      <c r="F24" s="32" t="n"/>
      <c r="G24" s="29" t="n"/>
      <c r="H24" s="33" t="n"/>
      <c r="I24" s="28" t="n"/>
      <c r="J24" s="28" t="n"/>
      <c r="K24" s="34" t="n"/>
      <c r="L24" s="34" t="n"/>
      <c r="M24" s="29" t="n"/>
      <c r="N24" s="29" t="n"/>
      <c r="O24" s="29" t="n"/>
      <c r="P24" s="29" t="n"/>
      <c r="Q24" s="32" t="n"/>
    </row>
    <row r="25">
      <c r="A25" s="26" t="inlineStr">
        <is>
          <t>S06</t>
        </is>
      </c>
      <c r="B25" s="26" t="inlineStr">
        <is>
          <t>길담 신규점</t>
        </is>
      </c>
      <c r="C25" s="26" t="inlineStr">
        <is>
          <t>직류철도</t>
        </is>
      </c>
      <c r="D25" s="31" t="n">
        <v>5</v>
      </c>
      <c r="E25" s="29" t="n"/>
      <c r="F25" s="32" t="n"/>
      <c r="G25" s="29" t="n"/>
      <c r="H25" s="33" t="n"/>
      <c r="I25" s="28" t="n"/>
      <c r="J25" s="28" t="n"/>
      <c r="K25" s="34" t="n"/>
      <c r="L25" s="34" t="n"/>
      <c r="M25" s="29" t="n"/>
      <c r="N25" s="29" t="n"/>
      <c r="O25" s="29" t="n"/>
      <c r="P25" s="29" t="n"/>
      <c r="Q25" s="32" t="n"/>
    </row>
    <row r="26">
      <c r="A26" s="26" t="inlineStr">
        <is>
          <t>S06</t>
        </is>
      </c>
      <c r="B26" s="26" t="inlineStr">
        <is>
          <t>길담 신규점</t>
        </is>
      </c>
      <c r="C26" s="26" t="inlineStr">
        <is>
          <t>교류·일반철도</t>
        </is>
      </c>
      <c r="D26" s="31" t="n">
        <v>2</v>
      </c>
      <c r="E26" s="29" t="n"/>
      <c r="F26" s="32" t="n"/>
      <c r="G26" s="29" t="n"/>
      <c r="H26" s="33" t="n"/>
      <c r="I26" s="28" t="n"/>
      <c r="J26" s="28" t="n"/>
      <c r="K26" s="34" t="n"/>
      <c r="L26" s="34" t="n"/>
      <c r="M26" s="29" t="n"/>
      <c r="N26" s="29" t="n"/>
      <c r="O26" s="29" t="n"/>
      <c r="P26" s="29" t="n"/>
      <c r="Q26" s="32" t="n"/>
    </row>
    <row r="27">
      <c r="A27" s="26" t="inlineStr">
        <is>
          <t>S06</t>
        </is>
      </c>
      <c r="B27" s="26" t="inlineStr">
        <is>
          <t>길담 신규점</t>
        </is>
      </c>
      <c r="C27" s="26" t="inlineStr">
        <is>
          <t>고압철탑</t>
        </is>
      </c>
      <c r="D27" s="31" t="n">
        <v>1</v>
      </c>
      <c r="E27" s="29" t="n"/>
      <c r="F27" s="32" t="n"/>
      <c r="G27" s="29" t="n"/>
      <c r="H27" s="33" t="n"/>
      <c r="I27" s="28" t="n"/>
      <c r="J27" s="28" t="n"/>
      <c r="K27" s="34" t="n"/>
      <c r="L27" s="34" t="n"/>
      <c r="M27" s="29" t="n"/>
      <c r="N27" s="29" t="n"/>
      <c r="O27" s="29" t="n"/>
      <c r="P27" s="29" t="n"/>
      <c r="Q27" s="32" t="n"/>
    </row>
    <row r="28">
      <c r="A28" s="26" t="inlineStr">
        <is>
          <t>S06</t>
        </is>
      </c>
      <c r="B28" s="26" t="inlineStr">
        <is>
          <t>길담 신규점</t>
        </is>
      </c>
      <c r="C28" s="26" t="inlineStr">
        <is>
          <t>송전탑</t>
        </is>
      </c>
      <c r="D28" s="31" t="n">
        <v>0.5</v>
      </c>
      <c r="E28" s="29" t="n"/>
      <c r="F28" s="32" t="n"/>
      <c r="G28" s="29" t="n"/>
      <c r="H28" s="33" t="n"/>
      <c r="I28" s="28" t="n"/>
      <c r="J28" s="28" t="n"/>
      <c r="K28" s="34" t="n"/>
      <c r="L28" s="34" t="n"/>
      <c r="M28" s="29" t="n"/>
      <c r="N28" s="29" t="n"/>
      <c r="O28" s="29" t="n"/>
      <c r="P28" s="29" t="n"/>
      <c r="Q28" s="32" t="n"/>
    </row>
    <row r="29">
      <c r="A29" s="26" t="inlineStr">
        <is>
          <t>S07</t>
        </is>
      </c>
      <c r="B29" s="26" t="inlineStr">
        <is>
          <t>남해 신규점1</t>
        </is>
      </c>
      <c r="C29" s="26" t="inlineStr">
        <is>
          <t>직류철도</t>
        </is>
      </c>
      <c r="D29" s="31" t="n">
        <v>5</v>
      </c>
      <c r="E29" s="29" t="n"/>
      <c r="F29" s="32" t="n"/>
      <c r="G29" s="29" t="n"/>
      <c r="H29" s="33" t="n"/>
      <c r="I29" s="28" t="n"/>
      <c r="J29" s="28" t="n"/>
      <c r="K29" s="34" t="n"/>
      <c r="L29" s="34" t="n"/>
      <c r="M29" s="29" t="n"/>
      <c r="N29" s="29" t="n"/>
      <c r="O29" s="29" t="n"/>
      <c r="P29" s="29" t="n"/>
      <c r="Q29" s="32" t="n"/>
    </row>
    <row r="30">
      <c r="A30" s="26" t="inlineStr">
        <is>
          <t>S07</t>
        </is>
      </c>
      <c r="B30" s="26" t="inlineStr">
        <is>
          <t>남해 신규점1</t>
        </is>
      </c>
      <c r="C30" s="26" t="inlineStr">
        <is>
          <t>교류·일반철도</t>
        </is>
      </c>
      <c r="D30" s="31" t="n">
        <v>2</v>
      </c>
      <c r="E30" s="29" t="n"/>
      <c r="F30" s="32" t="n"/>
      <c r="G30" s="29" t="n"/>
      <c r="H30" s="33" t="n"/>
      <c r="I30" s="28" t="n"/>
      <c r="J30" s="28" t="n"/>
      <c r="K30" s="34" t="n"/>
      <c r="L30" s="34" t="n"/>
      <c r="M30" s="29" t="n"/>
      <c r="N30" s="29" t="n"/>
      <c r="O30" s="29" t="n"/>
      <c r="P30" s="29" t="n"/>
      <c r="Q30" s="32" t="n"/>
    </row>
    <row r="31">
      <c r="A31" s="26" t="inlineStr">
        <is>
          <t>S07</t>
        </is>
      </c>
      <c r="B31" s="26" t="inlineStr">
        <is>
          <t>남해 신규점1</t>
        </is>
      </c>
      <c r="C31" s="26" t="inlineStr">
        <is>
          <t>고압철탑</t>
        </is>
      </c>
      <c r="D31" s="31" t="n">
        <v>1</v>
      </c>
      <c r="E31" s="29" t="n"/>
      <c r="F31" s="32" t="n"/>
      <c r="G31" s="29" t="n"/>
      <c r="H31" s="33" t="n"/>
      <c r="I31" s="28" t="n"/>
      <c r="J31" s="28" t="n"/>
      <c r="K31" s="34" t="n"/>
      <c r="L31" s="34" t="n"/>
      <c r="M31" s="29" t="n"/>
      <c r="N31" s="29" t="n"/>
      <c r="O31" s="29" t="n"/>
      <c r="P31" s="29" t="n"/>
      <c r="Q31" s="32" t="n"/>
    </row>
    <row r="32">
      <c r="A32" s="26" t="inlineStr">
        <is>
          <t>S07</t>
        </is>
      </c>
      <c r="B32" s="26" t="inlineStr">
        <is>
          <t>남해 신규점1</t>
        </is>
      </c>
      <c r="C32" s="26" t="inlineStr">
        <is>
          <t>송전탑</t>
        </is>
      </c>
      <c r="D32" s="31" t="n">
        <v>0.5</v>
      </c>
      <c r="E32" s="29" t="n"/>
      <c r="F32" s="32" t="n"/>
      <c r="G32" s="29" t="n"/>
      <c r="H32" s="33" t="n"/>
      <c r="I32" s="28" t="n"/>
      <c r="J32" s="28" t="n"/>
      <c r="K32" s="34" t="n"/>
      <c r="L32" s="34" t="n"/>
      <c r="M32" s="29" t="n"/>
      <c r="N32" s="29" t="n"/>
      <c r="O32" s="29" t="n"/>
      <c r="P32" s="29" t="n"/>
      <c r="Q32" s="32" t="n"/>
    </row>
    <row r="33">
      <c r="A33" s="26" t="inlineStr">
        <is>
          <t>S08</t>
        </is>
      </c>
      <c r="B33" s="26" t="inlineStr">
        <is>
          <t>청일 신규점2</t>
        </is>
      </c>
      <c r="C33" s="26" t="inlineStr">
        <is>
          <t>직류철도</t>
        </is>
      </c>
      <c r="D33" s="31" t="n">
        <v>5</v>
      </c>
      <c r="E33" s="29" t="n"/>
      <c r="F33" s="32" t="n"/>
      <c r="G33" s="29" t="n"/>
      <c r="H33" s="33" t="n"/>
      <c r="I33" s="28" t="n"/>
      <c r="J33" s="28" t="n"/>
      <c r="K33" s="34" t="n"/>
      <c r="L33" s="34" t="n"/>
      <c r="M33" s="29" t="n"/>
      <c r="N33" s="29" t="n"/>
      <c r="O33" s="29" t="n"/>
      <c r="P33" s="29" t="n"/>
      <c r="Q33" s="32" t="n"/>
    </row>
    <row r="34">
      <c r="A34" s="26" t="inlineStr">
        <is>
          <t>S08</t>
        </is>
      </c>
      <c r="B34" s="26" t="inlineStr">
        <is>
          <t>청일 신규점2</t>
        </is>
      </c>
      <c r="C34" s="26" t="inlineStr">
        <is>
          <t>교류·일반철도</t>
        </is>
      </c>
      <c r="D34" s="31" t="n">
        <v>2</v>
      </c>
      <c r="E34" s="29" t="n"/>
      <c r="F34" s="32" t="n"/>
      <c r="G34" s="29" t="n"/>
      <c r="H34" s="33" t="n"/>
      <c r="I34" s="28" t="n"/>
      <c r="J34" s="28" t="n"/>
      <c r="K34" s="34" t="n"/>
      <c r="L34" s="34" t="n"/>
      <c r="M34" s="29" t="n"/>
      <c r="N34" s="29" t="n"/>
      <c r="O34" s="29" t="n"/>
      <c r="P34" s="29" t="n"/>
      <c r="Q34" s="32" t="n"/>
    </row>
    <row r="35">
      <c r="A35" s="26" t="inlineStr">
        <is>
          <t>S08</t>
        </is>
      </c>
      <c r="B35" s="26" t="inlineStr">
        <is>
          <t>청일 신규점2</t>
        </is>
      </c>
      <c r="C35" s="26" t="inlineStr">
        <is>
          <t>고압철탑</t>
        </is>
      </c>
      <c r="D35" s="31" t="n">
        <v>1</v>
      </c>
      <c r="E35" s="29" t="n"/>
      <c r="F35" s="32" t="n"/>
      <c r="G35" s="29" t="n"/>
      <c r="H35" s="33" t="n"/>
      <c r="I35" s="28" t="n"/>
      <c r="J35" s="28" t="n"/>
      <c r="K35" s="34" t="n"/>
      <c r="L35" s="34" t="n"/>
      <c r="M35" s="29" t="n"/>
      <c r="N35" s="29" t="n"/>
      <c r="O35" s="29" t="n"/>
      <c r="P35" s="29" t="n"/>
      <c r="Q35" s="32" t="n"/>
    </row>
    <row r="36">
      <c r="A36" s="26" t="inlineStr">
        <is>
          <t>S08</t>
        </is>
      </c>
      <c r="B36" s="26" t="inlineStr">
        <is>
          <t>청일 신규점2</t>
        </is>
      </c>
      <c r="C36" s="26" t="inlineStr">
        <is>
          <t>송전탑</t>
        </is>
      </c>
      <c r="D36" s="31" t="n">
        <v>0.5</v>
      </c>
      <c r="E36" s="29" t="n"/>
      <c r="F36" s="32" t="n"/>
      <c r="G36" s="29" t="n"/>
      <c r="H36" s="33" t="n"/>
      <c r="I36" s="28" t="n"/>
      <c r="J36" s="28" t="n"/>
      <c r="K36" s="34" t="n"/>
      <c r="L36" s="34" t="n"/>
      <c r="M36" s="29" t="n"/>
      <c r="N36" s="29" t="n"/>
      <c r="O36" s="29" t="n"/>
      <c r="P36" s="29" t="n"/>
      <c r="Q36" s="32" t="n"/>
    </row>
    <row r="37">
      <c r="A37" s="26" t="inlineStr">
        <is>
          <t>S09</t>
        </is>
      </c>
      <c r="B37" s="26" t="inlineStr">
        <is>
          <t>어론 신규점</t>
        </is>
      </c>
      <c r="C37" s="26" t="inlineStr">
        <is>
          <t>직류철도</t>
        </is>
      </c>
      <c r="D37" s="31" t="n">
        <v>5</v>
      </c>
      <c r="E37" s="29" t="n"/>
      <c r="F37" s="32" t="n"/>
      <c r="G37" s="29" t="n"/>
      <c r="H37" s="33" t="n"/>
      <c r="I37" s="28" t="n"/>
      <c r="J37" s="28" t="n"/>
      <c r="K37" s="34" t="n"/>
      <c r="L37" s="34" t="n"/>
      <c r="M37" s="29" t="n"/>
      <c r="N37" s="29" t="n"/>
      <c r="O37" s="29" t="n"/>
      <c r="P37" s="29" t="n"/>
      <c r="Q37" s="32" t="n"/>
    </row>
    <row r="38">
      <c r="A38" s="26" t="inlineStr">
        <is>
          <t>S09</t>
        </is>
      </c>
      <c r="B38" s="26" t="inlineStr">
        <is>
          <t>어론 신규점</t>
        </is>
      </c>
      <c r="C38" s="26" t="inlineStr">
        <is>
          <t>교류·일반철도</t>
        </is>
      </c>
      <c r="D38" s="31" t="n">
        <v>2</v>
      </c>
      <c r="E38" s="29" t="n"/>
      <c r="F38" s="32" t="n"/>
      <c r="G38" s="29" t="n"/>
      <c r="H38" s="33" t="n"/>
      <c r="I38" s="28" t="n"/>
      <c r="J38" s="28" t="n"/>
      <c r="K38" s="34" t="n"/>
      <c r="L38" s="34" t="n"/>
      <c r="M38" s="29" t="n"/>
      <c r="N38" s="29" t="n"/>
      <c r="O38" s="29" t="n"/>
      <c r="P38" s="29" t="n"/>
      <c r="Q38" s="32" t="n"/>
    </row>
    <row r="39">
      <c r="A39" s="26" t="inlineStr">
        <is>
          <t>S09</t>
        </is>
      </c>
      <c r="B39" s="26" t="inlineStr">
        <is>
          <t>어론 신규점</t>
        </is>
      </c>
      <c r="C39" s="26" t="inlineStr">
        <is>
          <t>고압철탑</t>
        </is>
      </c>
      <c r="D39" s="31" t="n">
        <v>1</v>
      </c>
      <c r="E39" s="29" t="n"/>
      <c r="F39" s="32" t="n"/>
      <c r="G39" s="29" t="n"/>
      <c r="H39" s="33" t="n"/>
      <c r="I39" s="28" t="n"/>
      <c r="J39" s="28" t="n"/>
      <c r="K39" s="34" t="n"/>
      <c r="L39" s="34" t="n"/>
      <c r="M39" s="29" t="n"/>
      <c r="N39" s="29" t="n"/>
      <c r="O39" s="29" t="n"/>
      <c r="P39" s="29" t="n"/>
      <c r="Q39" s="32" t="n"/>
    </row>
    <row r="40">
      <c r="A40" s="26" t="inlineStr">
        <is>
          <t>S09</t>
        </is>
      </c>
      <c r="B40" s="26" t="inlineStr">
        <is>
          <t>어론 신규점</t>
        </is>
      </c>
      <c r="C40" s="26" t="inlineStr">
        <is>
          <t>송전탑</t>
        </is>
      </c>
      <c r="D40" s="31" t="n">
        <v>0.5</v>
      </c>
      <c r="E40" s="29" t="n"/>
      <c r="F40" s="32" t="n"/>
      <c r="G40" s="29" t="n"/>
      <c r="H40" s="33" t="n"/>
      <c r="I40" s="28" t="n"/>
      <c r="J40" s="28" t="n"/>
      <c r="K40" s="34" t="n"/>
      <c r="L40" s="34" t="n"/>
      <c r="M40" s="29" t="n"/>
      <c r="N40" s="29" t="n"/>
      <c r="O40" s="29" t="n"/>
      <c r="P40" s="29" t="n"/>
      <c r="Q40" s="32" t="n"/>
    </row>
    <row r="41">
      <c r="A41" s="26" t="inlineStr">
        <is>
          <t>S10</t>
        </is>
      </c>
      <c r="B41" s="26" t="inlineStr">
        <is>
          <t>예안 신규점1</t>
        </is>
      </c>
      <c r="C41" s="26" t="inlineStr">
        <is>
          <t>직류철도</t>
        </is>
      </c>
      <c r="D41" s="31" t="n">
        <v>5</v>
      </c>
      <c r="E41" s="29" t="n"/>
      <c r="F41" s="32" t="n"/>
      <c r="G41" s="29" t="n"/>
      <c r="H41" s="33" t="n"/>
      <c r="I41" s="28" t="n"/>
      <c r="J41" s="28" t="n"/>
      <c r="K41" s="34" t="n"/>
      <c r="L41" s="34" t="n"/>
      <c r="M41" s="29" t="n"/>
      <c r="N41" s="29" t="n"/>
      <c r="O41" s="29" t="n"/>
      <c r="P41" s="29" t="n"/>
      <c r="Q41" s="32" t="n"/>
    </row>
    <row r="42">
      <c r="A42" s="26" t="inlineStr">
        <is>
          <t>S10</t>
        </is>
      </c>
      <c r="B42" s="26" t="inlineStr">
        <is>
          <t>예안 신규점1</t>
        </is>
      </c>
      <c r="C42" s="26" t="inlineStr">
        <is>
          <t>교류·일반철도</t>
        </is>
      </c>
      <c r="D42" s="31" t="n">
        <v>2</v>
      </c>
      <c r="E42" s="29" t="n"/>
      <c r="F42" s="32" t="n"/>
      <c r="G42" s="29" t="n"/>
      <c r="H42" s="33" t="n"/>
      <c r="I42" s="28" t="n"/>
      <c r="J42" s="28" t="n"/>
      <c r="K42" s="34" t="n"/>
      <c r="L42" s="34" t="n"/>
      <c r="M42" s="29" t="n"/>
      <c r="N42" s="29" t="n"/>
      <c r="O42" s="29" t="n"/>
      <c r="P42" s="29" t="n"/>
      <c r="Q42" s="32" t="n"/>
    </row>
    <row r="43">
      <c r="A43" s="26" t="inlineStr">
        <is>
          <t>S10</t>
        </is>
      </c>
      <c r="B43" s="26" t="inlineStr">
        <is>
          <t>예안 신규점1</t>
        </is>
      </c>
      <c r="C43" s="26" t="inlineStr">
        <is>
          <t>고압철탑</t>
        </is>
      </c>
      <c r="D43" s="31" t="n">
        <v>1</v>
      </c>
      <c r="E43" s="29" t="n"/>
      <c r="F43" s="32" t="n"/>
      <c r="G43" s="29" t="n"/>
      <c r="H43" s="33" t="n"/>
      <c r="I43" s="28" t="n"/>
      <c r="J43" s="28" t="n"/>
      <c r="K43" s="34" t="n"/>
      <c r="L43" s="34" t="n"/>
      <c r="M43" s="29" t="n"/>
      <c r="N43" s="29" t="n"/>
      <c r="O43" s="29" t="n"/>
      <c r="P43" s="29" t="n"/>
      <c r="Q43" s="32" t="n"/>
    </row>
    <row r="44">
      <c r="A44" s="26" t="inlineStr">
        <is>
          <t>S10</t>
        </is>
      </c>
      <c r="B44" s="26" t="inlineStr">
        <is>
          <t>예안 신규점1</t>
        </is>
      </c>
      <c r="C44" s="26" t="inlineStr">
        <is>
          <t>송전탑</t>
        </is>
      </c>
      <c r="D44" s="31" t="n">
        <v>0.5</v>
      </c>
      <c r="E44" s="29" t="n"/>
      <c r="F44" s="32" t="n"/>
      <c r="G44" s="29" t="n"/>
      <c r="H44" s="33" t="n"/>
      <c r="I44" s="28" t="n"/>
      <c r="J44" s="28" t="n"/>
      <c r="K44" s="34" t="n"/>
      <c r="L44" s="34" t="n"/>
      <c r="M44" s="29" t="n"/>
      <c r="N44" s="29" t="n"/>
      <c r="O44" s="29" t="n"/>
      <c r="P44" s="29" t="n"/>
      <c r="Q44" s="32" t="n"/>
    </row>
    <row r="45">
      <c r="A45" s="26" t="inlineStr">
        <is>
          <t>S11</t>
        </is>
      </c>
      <c r="B45" s="26" t="inlineStr">
        <is>
          <t>소천 신규점4</t>
        </is>
      </c>
      <c r="C45" s="26" t="inlineStr">
        <is>
          <t>직류철도</t>
        </is>
      </c>
      <c r="D45" s="31" t="n">
        <v>5</v>
      </c>
      <c r="E45" s="29" t="n"/>
      <c r="F45" s="32" t="n"/>
      <c r="G45" s="29" t="n"/>
      <c r="H45" s="33" t="n"/>
      <c r="I45" s="28" t="n"/>
      <c r="J45" s="28" t="n"/>
      <c r="K45" s="34" t="n"/>
      <c r="L45" s="34" t="n"/>
      <c r="M45" s="29" t="n"/>
      <c r="N45" s="29" t="n"/>
      <c r="O45" s="29" t="n"/>
      <c r="P45" s="29" t="n"/>
      <c r="Q45" s="32" t="n"/>
    </row>
    <row r="46">
      <c r="A46" s="26" t="inlineStr">
        <is>
          <t>S11</t>
        </is>
      </c>
      <c r="B46" s="26" t="inlineStr">
        <is>
          <t>소천 신규점4</t>
        </is>
      </c>
      <c r="C46" s="26" t="inlineStr">
        <is>
          <t>교류·일반철도</t>
        </is>
      </c>
      <c r="D46" s="31" t="n">
        <v>2</v>
      </c>
      <c r="E46" s="29" t="n"/>
      <c r="F46" s="32" t="n"/>
      <c r="G46" s="29" t="n"/>
      <c r="H46" s="33" t="n"/>
      <c r="I46" s="28" t="n"/>
      <c r="J46" s="28" t="n"/>
      <c r="K46" s="34" t="n"/>
      <c r="L46" s="34" t="n"/>
      <c r="M46" s="29" t="n"/>
      <c r="N46" s="29" t="n"/>
      <c r="O46" s="29" t="n"/>
      <c r="P46" s="29" t="n"/>
      <c r="Q46" s="32" t="n"/>
    </row>
    <row r="47">
      <c r="A47" s="26" t="inlineStr">
        <is>
          <t>S11</t>
        </is>
      </c>
      <c r="B47" s="26" t="inlineStr">
        <is>
          <t>소천 신규점4</t>
        </is>
      </c>
      <c r="C47" s="26" t="inlineStr">
        <is>
          <t>고압철탑</t>
        </is>
      </c>
      <c r="D47" s="31" t="n">
        <v>1</v>
      </c>
      <c r="E47" s="29" t="n"/>
      <c r="F47" s="32" t="n"/>
      <c r="G47" s="29" t="n"/>
      <c r="H47" s="33" t="n"/>
      <c r="I47" s="28" t="n"/>
      <c r="J47" s="28" t="n"/>
      <c r="K47" s="34" t="n"/>
      <c r="L47" s="34" t="n"/>
      <c r="M47" s="29" t="n"/>
      <c r="N47" s="29" t="n"/>
      <c r="O47" s="29" t="n"/>
      <c r="P47" s="29" t="n"/>
      <c r="Q47" s="32" t="n"/>
    </row>
    <row r="48">
      <c r="A48" s="26" t="inlineStr">
        <is>
          <t>S11</t>
        </is>
      </c>
      <c r="B48" s="26" t="inlineStr">
        <is>
          <t>소천 신규점4</t>
        </is>
      </c>
      <c r="C48" s="26" t="inlineStr">
        <is>
          <t>송전탑</t>
        </is>
      </c>
      <c r="D48" s="31" t="n">
        <v>0.5</v>
      </c>
      <c r="E48" s="29" t="n"/>
      <c r="F48" s="32" t="n"/>
      <c r="G48" s="29" t="n"/>
      <c r="H48" s="33" t="n"/>
      <c r="I48" s="28" t="n"/>
      <c r="J48" s="28" t="n"/>
      <c r="K48" s="34" t="n"/>
      <c r="L48" s="34" t="n"/>
      <c r="M48" s="29" t="n"/>
      <c r="N48" s="29" t="n"/>
      <c r="O48" s="29" t="n"/>
      <c r="P48" s="29" t="n"/>
      <c r="Q48" s="32" t="n"/>
    </row>
    <row r="49">
      <c r="A49" s="26" t="inlineStr">
        <is>
          <t>S12</t>
        </is>
      </c>
      <c r="B49" s="26" t="inlineStr">
        <is>
          <t>순창 신규점</t>
        </is>
      </c>
      <c r="C49" s="26" t="inlineStr">
        <is>
          <t>직류철도</t>
        </is>
      </c>
      <c r="D49" s="31" t="n">
        <v>5</v>
      </c>
      <c r="E49" s="29" t="n"/>
      <c r="F49" s="32" t="n"/>
      <c r="G49" s="29" t="n"/>
      <c r="H49" s="33" t="n"/>
      <c r="I49" s="28" t="n"/>
      <c r="J49" s="28" t="n"/>
      <c r="K49" s="34" t="n"/>
      <c r="L49" s="34" t="n"/>
      <c r="M49" s="29" t="n"/>
      <c r="N49" s="29" t="n"/>
      <c r="O49" s="29" t="n"/>
      <c r="P49" s="29" t="n"/>
      <c r="Q49" s="32" t="n"/>
    </row>
    <row r="50">
      <c r="A50" s="26" t="inlineStr">
        <is>
          <t>S12</t>
        </is>
      </c>
      <c r="B50" s="26" t="inlineStr">
        <is>
          <t>순창 신규점</t>
        </is>
      </c>
      <c r="C50" s="26" t="inlineStr">
        <is>
          <t>교류·일반철도</t>
        </is>
      </c>
      <c r="D50" s="31" t="n">
        <v>2</v>
      </c>
      <c r="E50" s="29" t="n"/>
      <c r="F50" s="32" t="n"/>
      <c r="G50" s="29" t="n"/>
      <c r="H50" s="33" t="n"/>
      <c r="I50" s="28" t="n"/>
      <c r="J50" s="28" t="n"/>
      <c r="K50" s="34" t="n"/>
      <c r="L50" s="34" t="n"/>
      <c r="M50" s="29" t="n"/>
      <c r="N50" s="29" t="n"/>
      <c r="O50" s="29" t="n"/>
      <c r="P50" s="29" t="n"/>
      <c r="Q50" s="32" t="n"/>
    </row>
    <row r="51">
      <c r="A51" s="26" t="inlineStr">
        <is>
          <t>S12</t>
        </is>
      </c>
      <c r="B51" s="26" t="inlineStr">
        <is>
          <t>순창 신규점</t>
        </is>
      </c>
      <c r="C51" s="26" t="inlineStr">
        <is>
          <t>고압철탑</t>
        </is>
      </c>
      <c r="D51" s="31" t="n">
        <v>1</v>
      </c>
      <c r="E51" s="29" t="n"/>
      <c r="F51" s="32" t="n"/>
      <c r="G51" s="29" t="n"/>
      <c r="H51" s="33" t="n"/>
      <c r="I51" s="28" t="n"/>
      <c r="J51" s="28" t="n"/>
      <c r="K51" s="34" t="n"/>
      <c r="L51" s="34" t="n"/>
      <c r="M51" s="29" t="n"/>
      <c r="N51" s="29" t="n"/>
      <c r="O51" s="29" t="n"/>
      <c r="P51" s="29" t="n"/>
      <c r="Q51" s="32" t="n"/>
    </row>
    <row r="52">
      <c r="A52" s="26" t="inlineStr">
        <is>
          <t>S12</t>
        </is>
      </c>
      <c r="B52" s="26" t="inlineStr">
        <is>
          <t>순창 신규점</t>
        </is>
      </c>
      <c r="C52" s="26" t="inlineStr">
        <is>
          <t>송전탑</t>
        </is>
      </c>
      <c r="D52" s="31" t="n">
        <v>0.5</v>
      </c>
      <c r="E52" s="29" t="n"/>
      <c r="F52" s="32" t="n"/>
      <c r="G52" s="29" t="n"/>
      <c r="H52" s="33" t="n"/>
      <c r="I52" s="28" t="n"/>
      <c r="J52" s="28" t="n"/>
      <c r="K52" s="34" t="n"/>
      <c r="L52" s="34" t="n"/>
      <c r="M52" s="29" t="n"/>
      <c r="N52" s="29" t="n"/>
      <c r="O52" s="29" t="n"/>
      <c r="P52" s="29" t="n"/>
      <c r="Q52" s="32" t="n"/>
    </row>
    <row r="53">
      <c r="A53" s="26" t="inlineStr">
        <is>
          <t>S13</t>
        </is>
      </c>
      <c r="B53" s="26" t="inlineStr">
        <is>
          <t>순천 신규점</t>
        </is>
      </c>
      <c r="C53" s="26" t="inlineStr">
        <is>
          <t>직류철도</t>
        </is>
      </c>
      <c r="D53" s="31" t="n">
        <v>5</v>
      </c>
      <c r="E53" s="29" t="n"/>
      <c r="F53" s="32" t="n"/>
      <c r="G53" s="29" t="n"/>
      <c r="H53" s="33" t="n"/>
      <c r="I53" s="28" t="n"/>
      <c r="J53" s="28" t="n"/>
      <c r="K53" s="34" t="n"/>
      <c r="L53" s="34" t="n"/>
      <c r="M53" s="29" t="n"/>
      <c r="N53" s="29" t="n"/>
      <c r="O53" s="29" t="n"/>
      <c r="P53" s="29" t="n"/>
      <c r="Q53" s="32" t="n"/>
    </row>
    <row r="54">
      <c r="A54" s="26" t="inlineStr">
        <is>
          <t>S13</t>
        </is>
      </c>
      <c r="B54" s="26" t="inlineStr">
        <is>
          <t>순천 신규점</t>
        </is>
      </c>
      <c r="C54" s="26" t="inlineStr">
        <is>
          <t>교류·일반철도</t>
        </is>
      </c>
      <c r="D54" s="31" t="n">
        <v>2</v>
      </c>
      <c r="E54" s="29" t="n"/>
      <c r="F54" s="32" t="n"/>
      <c r="G54" s="29" t="n"/>
      <c r="H54" s="33" t="n"/>
      <c r="I54" s="28" t="n"/>
      <c r="J54" s="28" t="n"/>
      <c r="K54" s="34" t="n"/>
      <c r="L54" s="34" t="n"/>
      <c r="M54" s="29" t="n"/>
      <c r="N54" s="29" t="n"/>
      <c r="O54" s="29" t="n"/>
      <c r="P54" s="29" t="n"/>
      <c r="Q54" s="32" t="n"/>
    </row>
    <row r="55">
      <c r="A55" s="26" t="inlineStr">
        <is>
          <t>S13</t>
        </is>
      </c>
      <c r="B55" s="26" t="inlineStr">
        <is>
          <t>순천 신규점</t>
        </is>
      </c>
      <c r="C55" s="26" t="inlineStr">
        <is>
          <t>고압철탑</t>
        </is>
      </c>
      <c r="D55" s="31" t="n">
        <v>1</v>
      </c>
      <c r="E55" s="29" t="n"/>
      <c r="F55" s="32" t="n"/>
      <c r="G55" s="29" t="n"/>
      <c r="H55" s="33" t="n"/>
      <c r="I55" s="28" t="n"/>
      <c r="J55" s="28" t="n"/>
      <c r="K55" s="34" t="n"/>
      <c r="L55" s="34" t="n"/>
      <c r="M55" s="29" t="n"/>
      <c r="N55" s="29" t="n"/>
      <c r="O55" s="29" t="n"/>
      <c r="P55" s="29" t="n"/>
      <c r="Q55" s="32" t="n"/>
    </row>
    <row r="56">
      <c r="A56" s="26" t="inlineStr">
        <is>
          <t>S13</t>
        </is>
      </c>
      <c r="B56" s="26" t="inlineStr">
        <is>
          <t>순천 신규점</t>
        </is>
      </c>
      <c r="C56" s="26" t="inlineStr">
        <is>
          <t>송전탑</t>
        </is>
      </c>
      <c r="D56" s="31" t="n">
        <v>0.5</v>
      </c>
      <c r="E56" s="29" t="n"/>
      <c r="F56" s="32" t="n"/>
      <c r="G56" s="29" t="n"/>
      <c r="H56" s="33" t="n"/>
      <c r="I56" s="28" t="n"/>
      <c r="J56" s="28" t="n"/>
      <c r="K56" s="34" t="n"/>
      <c r="L56" s="34" t="n"/>
      <c r="M56" s="29" t="n"/>
      <c r="N56" s="29" t="n"/>
      <c r="O56" s="29" t="n"/>
      <c r="P56" s="29" t="n"/>
      <c r="Q56" s="32" t="n"/>
    </row>
    <row r="57">
      <c r="A57" s="26" t="inlineStr">
        <is>
          <t>S14</t>
        </is>
      </c>
      <c r="B57" s="26" t="inlineStr">
        <is>
          <t>청송 신규점1</t>
        </is>
      </c>
      <c r="C57" s="26" t="inlineStr">
        <is>
          <t>직류철도</t>
        </is>
      </c>
      <c r="D57" s="31" t="n">
        <v>5</v>
      </c>
      <c r="E57" s="29" t="n"/>
      <c r="F57" s="32" t="n"/>
      <c r="G57" s="29" t="n"/>
      <c r="H57" s="33" t="n"/>
      <c r="I57" s="28" t="n"/>
      <c r="J57" s="28" t="n"/>
      <c r="K57" s="34" t="n"/>
      <c r="L57" s="34" t="n"/>
      <c r="M57" s="29" t="n"/>
      <c r="N57" s="29" t="n"/>
      <c r="O57" s="29" t="n"/>
      <c r="P57" s="29" t="n"/>
      <c r="Q57" s="32" t="n"/>
    </row>
    <row r="58">
      <c r="A58" s="26" t="inlineStr">
        <is>
          <t>S14</t>
        </is>
      </c>
      <c r="B58" s="26" t="inlineStr">
        <is>
          <t>청송 신규점1</t>
        </is>
      </c>
      <c r="C58" s="26" t="inlineStr">
        <is>
          <t>교류·일반철도</t>
        </is>
      </c>
      <c r="D58" s="31" t="n">
        <v>2</v>
      </c>
      <c r="E58" s="29" t="n"/>
      <c r="F58" s="32" t="n"/>
      <c r="G58" s="29" t="n"/>
      <c r="H58" s="33" t="n"/>
      <c r="I58" s="28" t="n"/>
      <c r="J58" s="28" t="n"/>
      <c r="K58" s="34" t="n"/>
      <c r="L58" s="34" t="n"/>
      <c r="M58" s="29" t="n"/>
      <c r="N58" s="29" t="n"/>
      <c r="O58" s="29" t="n"/>
      <c r="P58" s="29" t="n"/>
      <c r="Q58" s="32" t="n"/>
    </row>
    <row r="59">
      <c r="A59" s="26" t="inlineStr">
        <is>
          <t>S14</t>
        </is>
      </c>
      <c r="B59" s="26" t="inlineStr">
        <is>
          <t>청송 신규점1</t>
        </is>
      </c>
      <c r="C59" s="26" t="inlineStr">
        <is>
          <t>고압철탑</t>
        </is>
      </c>
      <c r="D59" s="31" t="n">
        <v>1</v>
      </c>
      <c r="E59" s="29" t="n"/>
      <c r="F59" s="32" t="n"/>
      <c r="G59" s="29" t="n"/>
      <c r="H59" s="33" t="n"/>
      <c r="I59" s="28" t="n"/>
      <c r="J59" s="28" t="n"/>
      <c r="K59" s="34" t="n"/>
      <c r="L59" s="34" t="n"/>
      <c r="M59" s="29" t="n"/>
      <c r="N59" s="29" t="n"/>
      <c r="O59" s="29" t="n"/>
      <c r="P59" s="29" t="n"/>
      <c r="Q59" s="32" t="n"/>
    </row>
    <row r="60">
      <c r="A60" s="26" t="inlineStr">
        <is>
          <t>S14</t>
        </is>
      </c>
      <c r="B60" s="26" t="inlineStr">
        <is>
          <t>청송 신규점1</t>
        </is>
      </c>
      <c r="C60" s="26" t="inlineStr">
        <is>
          <t>송전탑</t>
        </is>
      </c>
      <c r="D60" s="31" t="n">
        <v>0.5</v>
      </c>
      <c r="E60" s="29" t="n"/>
      <c r="F60" s="32" t="n"/>
      <c r="G60" s="29" t="n"/>
      <c r="H60" s="33" t="n"/>
      <c r="I60" s="28" t="n"/>
      <c r="J60" s="28" t="n"/>
      <c r="K60" s="34" t="n"/>
      <c r="L60" s="34" t="n"/>
      <c r="M60" s="29" t="n"/>
      <c r="N60" s="29" t="n"/>
      <c r="O60" s="29" t="n"/>
      <c r="P60" s="29" t="n"/>
      <c r="Q60" s="32" t="n"/>
    </row>
    <row r="61">
      <c r="A61" s="26" t="inlineStr">
        <is>
          <t>S15</t>
        </is>
      </c>
      <c r="B61" s="26" t="inlineStr">
        <is>
          <t>의성 신규점</t>
        </is>
      </c>
      <c r="C61" s="26" t="inlineStr">
        <is>
          <t>직류철도</t>
        </is>
      </c>
      <c r="D61" s="31" t="n">
        <v>5</v>
      </c>
      <c r="E61" s="29" t="n"/>
      <c r="F61" s="32" t="n"/>
      <c r="G61" s="29" t="n"/>
      <c r="H61" s="33" t="n"/>
      <c r="I61" s="28" t="n"/>
      <c r="J61" s="28" t="n"/>
      <c r="K61" s="34" t="n"/>
      <c r="L61" s="34" t="n"/>
      <c r="M61" s="29" t="n"/>
      <c r="N61" s="29" t="n"/>
      <c r="O61" s="29" t="n"/>
      <c r="P61" s="29" t="n"/>
      <c r="Q61" s="32" t="n"/>
    </row>
    <row r="62">
      <c r="A62" s="26" t="inlineStr">
        <is>
          <t>S15</t>
        </is>
      </c>
      <c r="B62" s="26" t="inlineStr">
        <is>
          <t>의성 신규점</t>
        </is>
      </c>
      <c r="C62" s="26" t="inlineStr">
        <is>
          <t>교류·일반철도</t>
        </is>
      </c>
      <c r="D62" s="31" t="n">
        <v>2</v>
      </c>
      <c r="E62" s="29" t="n"/>
      <c r="F62" s="32" t="n"/>
      <c r="G62" s="29" t="n"/>
      <c r="H62" s="33" t="n"/>
      <c r="I62" s="28" t="n"/>
      <c r="J62" s="28" t="n"/>
      <c r="K62" s="34" t="n"/>
      <c r="L62" s="34" t="n"/>
      <c r="M62" s="29" t="n"/>
      <c r="N62" s="29" t="n"/>
      <c r="O62" s="29" t="n"/>
      <c r="P62" s="29" t="n"/>
      <c r="Q62" s="32" t="n"/>
    </row>
    <row r="63">
      <c r="A63" s="26" t="inlineStr">
        <is>
          <t>S15</t>
        </is>
      </c>
      <c r="B63" s="26" t="inlineStr">
        <is>
          <t>의성 신규점</t>
        </is>
      </c>
      <c r="C63" s="26" t="inlineStr">
        <is>
          <t>고압철탑</t>
        </is>
      </c>
      <c r="D63" s="31" t="n">
        <v>1</v>
      </c>
      <c r="E63" s="29" t="n"/>
      <c r="F63" s="32" t="n"/>
      <c r="G63" s="29" t="n"/>
      <c r="H63" s="33" t="n"/>
      <c r="I63" s="28" t="n"/>
      <c r="J63" s="28" t="n"/>
      <c r="K63" s="34" t="n"/>
      <c r="L63" s="34" t="n"/>
      <c r="M63" s="29" t="n"/>
      <c r="N63" s="29" t="n"/>
      <c r="O63" s="29" t="n"/>
      <c r="P63" s="29" t="n"/>
      <c r="Q63" s="32" t="n"/>
    </row>
    <row r="64">
      <c r="A64" s="26" t="inlineStr">
        <is>
          <t>S15</t>
        </is>
      </c>
      <c r="B64" s="26" t="inlineStr">
        <is>
          <t>의성 신규점</t>
        </is>
      </c>
      <c r="C64" s="26" t="inlineStr">
        <is>
          <t>송전탑</t>
        </is>
      </c>
      <c r="D64" s="31" t="n">
        <v>0.5</v>
      </c>
      <c r="E64" s="29" t="n"/>
      <c r="F64" s="32" t="n"/>
      <c r="G64" s="29" t="n"/>
      <c r="H64" s="33" t="n"/>
      <c r="I64" s="28" t="n"/>
      <c r="J64" s="28" t="n"/>
      <c r="K64" s="34" t="n"/>
      <c r="L64" s="34" t="n"/>
      <c r="M64" s="29" t="n"/>
      <c r="N64" s="29" t="n"/>
      <c r="O64" s="29" t="n"/>
      <c r="P64" s="29" t="n"/>
      <c r="Q64" s="32" t="n"/>
    </row>
    <row r="65">
      <c r="A65" s="26" t="inlineStr">
        <is>
          <t>S16</t>
        </is>
      </c>
      <c r="B65" s="26" t="inlineStr">
        <is>
          <t>예천 신규점</t>
        </is>
      </c>
      <c r="C65" s="26" t="inlineStr">
        <is>
          <t>직류철도</t>
        </is>
      </c>
      <c r="D65" s="31" t="n">
        <v>5</v>
      </c>
      <c r="E65" s="29" t="n"/>
      <c r="F65" s="32" t="n"/>
      <c r="G65" s="29" t="n"/>
      <c r="H65" s="33" t="n"/>
      <c r="I65" s="28" t="n"/>
      <c r="J65" s="28" t="n"/>
      <c r="K65" s="34" t="n"/>
      <c r="L65" s="34" t="n"/>
      <c r="M65" s="29" t="n"/>
      <c r="N65" s="29" t="n"/>
      <c r="O65" s="29" t="n"/>
      <c r="P65" s="29" t="n"/>
      <c r="Q65" s="32" t="n"/>
    </row>
    <row r="66">
      <c r="A66" s="26" t="inlineStr">
        <is>
          <t>S16</t>
        </is>
      </c>
      <c r="B66" s="26" t="inlineStr">
        <is>
          <t>예천 신규점</t>
        </is>
      </c>
      <c r="C66" s="26" t="inlineStr">
        <is>
          <t>교류·일반철도</t>
        </is>
      </c>
      <c r="D66" s="31" t="n">
        <v>2</v>
      </c>
      <c r="E66" s="29" t="n"/>
      <c r="F66" s="32" t="n"/>
      <c r="G66" s="29" t="n"/>
      <c r="H66" s="33" t="n"/>
      <c r="I66" s="28" t="n"/>
      <c r="J66" s="28" t="n"/>
      <c r="K66" s="34" t="n"/>
      <c r="L66" s="34" t="n"/>
      <c r="M66" s="29" t="n"/>
      <c r="N66" s="29" t="n"/>
      <c r="O66" s="29" t="n"/>
      <c r="P66" s="29" t="n"/>
      <c r="Q66" s="32" t="n"/>
    </row>
    <row r="67">
      <c r="A67" s="26" t="inlineStr">
        <is>
          <t>S16</t>
        </is>
      </c>
      <c r="B67" s="26" t="inlineStr">
        <is>
          <t>예천 신규점</t>
        </is>
      </c>
      <c r="C67" s="26" t="inlineStr">
        <is>
          <t>고압철탑</t>
        </is>
      </c>
      <c r="D67" s="31" t="n">
        <v>1</v>
      </c>
      <c r="E67" s="29" t="n"/>
      <c r="F67" s="32" t="n"/>
      <c r="G67" s="29" t="n"/>
      <c r="H67" s="33" t="n"/>
      <c r="I67" s="28" t="n"/>
      <c r="J67" s="28" t="n"/>
      <c r="K67" s="34" t="n"/>
      <c r="L67" s="34" t="n"/>
      <c r="M67" s="29" t="n"/>
      <c r="N67" s="29" t="n"/>
      <c r="O67" s="29" t="n"/>
      <c r="P67" s="29" t="n"/>
      <c r="Q67" s="32" t="n"/>
    </row>
    <row r="68">
      <c r="A68" s="26" t="inlineStr">
        <is>
          <t>S16</t>
        </is>
      </c>
      <c r="B68" s="26" t="inlineStr">
        <is>
          <t>예천 신규점</t>
        </is>
      </c>
      <c r="C68" s="26" t="inlineStr">
        <is>
          <t>송전탑</t>
        </is>
      </c>
      <c r="D68" s="31" t="n">
        <v>0.5</v>
      </c>
      <c r="E68" s="29" t="n"/>
      <c r="F68" s="32" t="n"/>
      <c r="G68" s="29" t="n"/>
      <c r="H68" s="33" t="n"/>
      <c r="I68" s="28" t="n"/>
      <c r="J68" s="28" t="n"/>
      <c r="K68" s="34" t="n"/>
      <c r="L68" s="34" t="n"/>
      <c r="M68" s="29" t="n"/>
      <c r="N68" s="29" t="n"/>
      <c r="O68" s="29" t="n"/>
      <c r="P68" s="29" t="n"/>
      <c r="Q68" s="32" t="n"/>
    </row>
    <row r="69">
      <c r="A69" s="26" t="inlineStr">
        <is>
          <t>S17</t>
        </is>
      </c>
      <c r="B69" s="26" t="inlineStr">
        <is>
          <t>영양 신규점4</t>
        </is>
      </c>
      <c r="C69" s="26" t="inlineStr">
        <is>
          <t>직류철도</t>
        </is>
      </c>
      <c r="D69" s="31" t="n">
        <v>5</v>
      </c>
      <c r="E69" s="29" t="n"/>
      <c r="F69" s="32" t="n"/>
      <c r="G69" s="29" t="n"/>
      <c r="H69" s="33" t="n"/>
      <c r="I69" s="28" t="n"/>
      <c r="J69" s="28" t="n"/>
      <c r="K69" s="34" t="n"/>
      <c r="L69" s="34" t="n"/>
      <c r="M69" s="29" t="n"/>
      <c r="N69" s="29" t="n"/>
      <c r="O69" s="29" t="n"/>
      <c r="P69" s="29" t="n"/>
      <c r="Q69" s="32" t="n"/>
    </row>
    <row r="70">
      <c r="A70" s="26" t="inlineStr">
        <is>
          <t>S17</t>
        </is>
      </c>
      <c r="B70" s="26" t="inlineStr">
        <is>
          <t>영양 신규점4</t>
        </is>
      </c>
      <c r="C70" s="26" t="inlineStr">
        <is>
          <t>교류·일반철도</t>
        </is>
      </c>
      <c r="D70" s="31" t="n">
        <v>2</v>
      </c>
      <c r="E70" s="29" t="n"/>
      <c r="F70" s="32" t="n"/>
      <c r="G70" s="29" t="n"/>
      <c r="H70" s="33" t="n"/>
      <c r="I70" s="28" t="n"/>
      <c r="J70" s="28" t="n"/>
      <c r="K70" s="34" t="n"/>
      <c r="L70" s="34" t="n"/>
      <c r="M70" s="29" t="n"/>
      <c r="N70" s="29" t="n"/>
      <c r="O70" s="29" t="n"/>
      <c r="P70" s="29" t="n"/>
      <c r="Q70" s="32" t="n"/>
    </row>
    <row r="71">
      <c r="A71" s="26" t="inlineStr">
        <is>
          <t>S17</t>
        </is>
      </c>
      <c r="B71" s="26" t="inlineStr">
        <is>
          <t>영양 신규점4</t>
        </is>
      </c>
      <c r="C71" s="26" t="inlineStr">
        <is>
          <t>고압철탑</t>
        </is>
      </c>
      <c r="D71" s="31" t="n">
        <v>1</v>
      </c>
      <c r="E71" s="29" t="n"/>
      <c r="F71" s="32" t="n"/>
      <c r="G71" s="29" t="n"/>
      <c r="H71" s="33" t="n"/>
      <c r="I71" s="28" t="n"/>
      <c r="J71" s="28" t="n"/>
      <c r="K71" s="34" t="n"/>
      <c r="L71" s="34" t="n"/>
      <c r="M71" s="29" t="n"/>
      <c r="N71" s="29" t="n"/>
      <c r="O71" s="29" t="n"/>
      <c r="P71" s="29" t="n"/>
      <c r="Q71" s="32" t="n"/>
    </row>
    <row r="72">
      <c r="A72" s="26" t="inlineStr">
        <is>
          <t>S17</t>
        </is>
      </c>
      <c r="B72" s="26" t="inlineStr">
        <is>
          <t>영양 신규점4</t>
        </is>
      </c>
      <c r="C72" s="26" t="inlineStr">
        <is>
          <t>송전탑</t>
        </is>
      </c>
      <c r="D72" s="31" t="n">
        <v>0.5</v>
      </c>
      <c r="E72" s="29" t="n"/>
      <c r="F72" s="32" t="n"/>
      <c r="G72" s="29" t="n"/>
      <c r="H72" s="33" t="n"/>
      <c r="I72" s="28" t="n"/>
      <c r="J72" s="28" t="n"/>
      <c r="K72" s="34" t="n"/>
      <c r="L72" s="34" t="n"/>
      <c r="M72" s="29" t="n"/>
      <c r="N72" s="29" t="n"/>
      <c r="O72" s="29" t="n"/>
      <c r="P72" s="29" t="n"/>
      <c r="Q72" s="32" t="n"/>
    </row>
    <row r="73">
      <c r="A73" s="26" t="inlineStr">
        <is>
          <t>S18</t>
        </is>
      </c>
      <c r="B73" s="26" t="inlineStr">
        <is>
          <t>통영 신규점</t>
        </is>
      </c>
      <c r="C73" s="26" t="inlineStr">
        <is>
          <t>직류철도</t>
        </is>
      </c>
      <c r="D73" s="31" t="n">
        <v>5</v>
      </c>
      <c r="E73" s="29" t="n"/>
      <c r="F73" s="32" t="n"/>
      <c r="G73" s="29" t="n"/>
      <c r="H73" s="33" t="n"/>
      <c r="I73" s="28" t="n"/>
      <c r="J73" s="28" t="n"/>
      <c r="K73" s="34" t="n"/>
      <c r="L73" s="34" t="n"/>
      <c r="M73" s="29" t="n"/>
      <c r="N73" s="29" t="n"/>
      <c r="O73" s="29" t="n"/>
      <c r="P73" s="29" t="n"/>
      <c r="Q73" s="32" t="n"/>
    </row>
    <row r="74">
      <c r="A74" s="26" t="inlineStr">
        <is>
          <t>S18</t>
        </is>
      </c>
      <c r="B74" s="26" t="inlineStr">
        <is>
          <t>통영 신규점</t>
        </is>
      </c>
      <c r="C74" s="26" t="inlineStr">
        <is>
          <t>교류·일반철도</t>
        </is>
      </c>
      <c r="D74" s="31" t="n">
        <v>2</v>
      </c>
      <c r="E74" s="29" t="n"/>
      <c r="F74" s="32" t="n"/>
      <c r="G74" s="29" t="n"/>
      <c r="H74" s="33" t="n"/>
      <c r="I74" s="28" t="n"/>
      <c r="J74" s="28" t="n"/>
      <c r="K74" s="34" t="n"/>
      <c r="L74" s="34" t="n"/>
      <c r="M74" s="29" t="n"/>
      <c r="N74" s="29" t="n"/>
      <c r="O74" s="29" t="n"/>
      <c r="P74" s="29" t="n"/>
      <c r="Q74" s="32" t="n"/>
    </row>
    <row r="75">
      <c r="A75" s="26" t="inlineStr">
        <is>
          <t>S18</t>
        </is>
      </c>
      <c r="B75" s="26" t="inlineStr">
        <is>
          <t>통영 신규점</t>
        </is>
      </c>
      <c r="C75" s="26" t="inlineStr">
        <is>
          <t>고압철탑</t>
        </is>
      </c>
      <c r="D75" s="31" t="n">
        <v>1</v>
      </c>
      <c r="E75" s="29" t="n"/>
      <c r="F75" s="32" t="n"/>
      <c r="G75" s="29" t="n"/>
      <c r="H75" s="33" t="n"/>
      <c r="I75" s="28" t="n"/>
      <c r="J75" s="28" t="n"/>
      <c r="K75" s="34" t="n"/>
      <c r="L75" s="34" t="n"/>
      <c r="M75" s="29" t="n"/>
      <c r="N75" s="29" t="n"/>
      <c r="O75" s="29" t="n"/>
      <c r="P75" s="29" t="n"/>
      <c r="Q75" s="32" t="n"/>
    </row>
    <row r="76">
      <c r="A76" s="26" t="inlineStr">
        <is>
          <t>S18</t>
        </is>
      </c>
      <c r="B76" s="26" t="inlineStr">
        <is>
          <t>통영 신규점</t>
        </is>
      </c>
      <c r="C76" s="26" t="inlineStr">
        <is>
          <t>송전탑</t>
        </is>
      </c>
      <c r="D76" s="31" t="n">
        <v>0.5</v>
      </c>
      <c r="E76" s="29" t="n"/>
      <c r="F76" s="32" t="n"/>
      <c r="G76" s="29" t="n"/>
      <c r="H76" s="33" t="n"/>
      <c r="I76" s="28" t="n"/>
      <c r="J76" s="28" t="n"/>
      <c r="K76" s="34" t="n"/>
      <c r="L76" s="34" t="n"/>
      <c r="M76" s="29" t="n"/>
      <c r="N76" s="29" t="n"/>
      <c r="O76" s="29" t="n"/>
      <c r="P76" s="29" t="n"/>
      <c r="Q76" s="32" t="n"/>
    </row>
    <row r="77">
      <c r="A77" s="26" t="inlineStr">
        <is>
          <t>S19</t>
        </is>
      </c>
      <c r="B77" s="26" t="inlineStr">
        <is>
          <t>오호 신규점</t>
        </is>
      </c>
      <c r="C77" s="26" t="inlineStr">
        <is>
          <t>직류철도</t>
        </is>
      </c>
      <c r="D77" s="31" t="n">
        <v>5</v>
      </c>
      <c r="E77" s="29" t="n"/>
      <c r="F77" s="32" t="n"/>
      <c r="G77" s="29" t="n"/>
      <c r="H77" s="33" t="n"/>
      <c r="I77" s="28" t="n"/>
      <c r="J77" s="28" t="n"/>
      <c r="K77" s="34" t="n"/>
      <c r="L77" s="34" t="n"/>
      <c r="M77" s="29" t="n"/>
      <c r="N77" s="29" t="n"/>
      <c r="O77" s="29" t="n"/>
      <c r="P77" s="29" t="n"/>
      <c r="Q77" s="32" t="n"/>
    </row>
    <row r="78">
      <c r="A78" s="26" t="inlineStr">
        <is>
          <t>S19</t>
        </is>
      </c>
      <c r="B78" s="26" t="inlineStr">
        <is>
          <t>오호 신규점</t>
        </is>
      </c>
      <c r="C78" s="26" t="inlineStr">
        <is>
          <t>교류·일반철도</t>
        </is>
      </c>
      <c r="D78" s="31" t="n">
        <v>2</v>
      </c>
      <c r="E78" s="29" t="n"/>
      <c r="F78" s="32" t="n"/>
      <c r="G78" s="29" t="n"/>
      <c r="H78" s="33" t="n"/>
      <c r="I78" s="28" t="n"/>
      <c r="J78" s="28" t="n"/>
      <c r="K78" s="34" t="n"/>
      <c r="L78" s="34" t="n"/>
      <c r="M78" s="29" t="n"/>
      <c r="N78" s="29" t="n"/>
      <c r="O78" s="29" t="n"/>
      <c r="P78" s="29" t="n"/>
      <c r="Q78" s="32" t="n"/>
    </row>
    <row r="79">
      <c r="A79" s="26" t="inlineStr">
        <is>
          <t>S19</t>
        </is>
      </c>
      <c r="B79" s="26" t="inlineStr">
        <is>
          <t>오호 신규점</t>
        </is>
      </c>
      <c r="C79" s="26" t="inlineStr">
        <is>
          <t>고압철탑</t>
        </is>
      </c>
      <c r="D79" s="31" t="n">
        <v>1</v>
      </c>
      <c r="E79" s="29" t="n"/>
      <c r="F79" s="32" t="n"/>
      <c r="G79" s="29" t="n"/>
      <c r="H79" s="33" t="n"/>
      <c r="I79" s="28" t="n"/>
      <c r="J79" s="28" t="n"/>
      <c r="K79" s="34" t="n"/>
      <c r="L79" s="34" t="n"/>
      <c r="M79" s="29" t="n"/>
      <c r="N79" s="29" t="n"/>
      <c r="O79" s="29" t="n"/>
      <c r="P79" s="29" t="n"/>
      <c r="Q79" s="32" t="n"/>
    </row>
    <row r="80">
      <c r="A80" s="26" t="inlineStr">
        <is>
          <t>S19</t>
        </is>
      </c>
      <c r="B80" s="26" t="inlineStr">
        <is>
          <t>오호 신규점</t>
        </is>
      </c>
      <c r="C80" s="26" t="inlineStr">
        <is>
          <t>송전탑</t>
        </is>
      </c>
      <c r="D80" s="31" t="n">
        <v>0.5</v>
      </c>
      <c r="E80" s="29" t="n"/>
      <c r="F80" s="32" t="n"/>
      <c r="G80" s="29" t="n"/>
      <c r="H80" s="33" t="n"/>
      <c r="I80" s="28" t="n"/>
      <c r="J80" s="28" t="n"/>
      <c r="K80" s="34" t="n"/>
      <c r="L80" s="34" t="n"/>
      <c r="M80" s="29" t="n"/>
      <c r="N80" s="29" t="n"/>
      <c r="O80" s="29" t="n"/>
      <c r="P80" s="29" t="n"/>
      <c r="Q80" s="32" t="n"/>
    </row>
    <row r="81">
      <c r="A81" s="26" t="inlineStr">
        <is>
          <t>S20</t>
        </is>
      </c>
      <c r="B81" s="26" t="inlineStr">
        <is>
          <t>보령 신규점2</t>
        </is>
      </c>
      <c r="C81" s="26" t="inlineStr">
        <is>
          <t>직류철도</t>
        </is>
      </c>
      <c r="D81" s="31" t="n">
        <v>5</v>
      </c>
      <c r="E81" s="29" t="n"/>
      <c r="F81" s="32" t="n"/>
      <c r="G81" s="29" t="n"/>
      <c r="H81" s="33" t="n"/>
      <c r="I81" s="28" t="n"/>
      <c r="J81" s="28" t="n"/>
      <c r="K81" s="34" t="n"/>
      <c r="L81" s="34" t="n"/>
      <c r="M81" s="29" t="n"/>
      <c r="N81" s="29" t="n"/>
      <c r="O81" s="29" t="n"/>
      <c r="P81" s="29" t="n"/>
      <c r="Q81" s="32" t="n"/>
    </row>
    <row r="82">
      <c r="A82" s="26" t="inlineStr">
        <is>
          <t>S20</t>
        </is>
      </c>
      <c r="B82" s="26" t="inlineStr">
        <is>
          <t>보령 신규점2</t>
        </is>
      </c>
      <c r="C82" s="26" t="inlineStr">
        <is>
          <t>교류·일반철도</t>
        </is>
      </c>
      <c r="D82" s="31" t="n">
        <v>2</v>
      </c>
      <c r="E82" s="29" t="n"/>
      <c r="F82" s="32" t="n"/>
      <c r="G82" s="29" t="n"/>
      <c r="H82" s="33" t="n"/>
      <c r="I82" s="28" t="n"/>
      <c r="J82" s="28" t="n"/>
      <c r="K82" s="34" t="n"/>
      <c r="L82" s="34" t="n"/>
      <c r="M82" s="29" t="n"/>
      <c r="N82" s="29" t="n"/>
      <c r="O82" s="29" t="n"/>
      <c r="P82" s="29" t="n"/>
      <c r="Q82" s="32" t="n"/>
    </row>
    <row r="83">
      <c r="A83" s="26" t="inlineStr">
        <is>
          <t>S20</t>
        </is>
      </c>
      <c r="B83" s="26" t="inlineStr">
        <is>
          <t>보령 신규점2</t>
        </is>
      </c>
      <c r="C83" s="26" t="inlineStr">
        <is>
          <t>고압철탑</t>
        </is>
      </c>
      <c r="D83" s="31" t="n">
        <v>1</v>
      </c>
      <c r="E83" s="29" t="n"/>
      <c r="F83" s="32" t="n"/>
      <c r="G83" s="29" t="n"/>
      <c r="H83" s="33" t="n"/>
      <c r="I83" s="28" t="n"/>
      <c r="J83" s="28" t="n"/>
      <c r="K83" s="34" t="n"/>
      <c r="L83" s="34" t="n"/>
      <c r="M83" s="29" t="n"/>
      <c r="N83" s="29" t="n"/>
      <c r="O83" s="29" t="n"/>
      <c r="P83" s="29" t="n"/>
      <c r="Q83" s="32" t="n"/>
    </row>
    <row r="84">
      <c r="A84" s="26" t="inlineStr">
        <is>
          <t>S20</t>
        </is>
      </c>
      <c r="B84" s="26" t="inlineStr">
        <is>
          <t>보령 신규점2</t>
        </is>
      </c>
      <c r="C84" s="26" t="inlineStr">
        <is>
          <t>송전탑</t>
        </is>
      </c>
      <c r="D84" s="31" t="n">
        <v>0.5</v>
      </c>
      <c r="E84" s="29" t="n"/>
      <c r="F84" s="32" t="n"/>
      <c r="G84" s="29" t="n"/>
      <c r="H84" s="33" t="n"/>
      <c r="I84" s="28" t="n"/>
      <c r="J84" s="28" t="n"/>
      <c r="K84" s="34" t="n"/>
      <c r="L84" s="34" t="n"/>
      <c r="M84" s="29" t="n"/>
      <c r="N84" s="29" t="n"/>
      <c r="O84" s="29" t="n"/>
      <c r="P84" s="29" t="n"/>
      <c r="Q84" s="32" t="n"/>
    </row>
    <row r="85">
      <c r="A85" s="26" t="inlineStr">
        <is>
          <t>S21</t>
        </is>
      </c>
      <c r="B85" s="26" t="inlineStr">
        <is>
          <t>담양 신규점2</t>
        </is>
      </c>
      <c r="C85" s="26" t="inlineStr">
        <is>
          <t>직류철도</t>
        </is>
      </c>
      <c r="D85" s="31" t="n">
        <v>5</v>
      </c>
      <c r="E85" s="29" t="n"/>
      <c r="F85" s="32" t="n"/>
      <c r="G85" s="29" t="n"/>
      <c r="H85" s="33" t="n"/>
      <c r="I85" s="28" t="n"/>
      <c r="J85" s="28" t="n"/>
      <c r="K85" s="34" t="n"/>
      <c r="L85" s="34" t="n"/>
      <c r="M85" s="29" t="n"/>
      <c r="N85" s="29" t="n"/>
      <c r="O85" s="29" t="n"/>
      <c r="P85" s="29" t="n"/>
      <c r="Q85" s="32" t="n"/>
    </row>
    <row r="86">
      <c r="A86" s="26" t="inlineStr">
        <is>
          <t>S21</t>
        </is>
      </c>
      <c r="B86" s="26" t="inlineStr">
        <is>
          <t>담양 신규점2</t>
        </is>
      </c>
      <c r="C86" s="26" t="inlineStr">
        <is>
          <t>교류·일반철도</t>
        </is>
      </c>
      <c r="D86" s="31" t="n">
        <v>2</v>
      </c>
      <c r="E86" s="29" t="n"/>
      <c r="F86" s="32" t="n"/>
      <c r="G86" s="29" t="n"/>
      <c r="H86" s="33" t="n"/>
      <c r="I86" s="28" t="n"/>
      <c r="J86" s="28" t="n"/>
      <c r="K86" s="34" t="n"/>
      <c r="L86" s="34" t="n"/>
      <c r="M86" s="29" t="n"/>
      <c r="N86" s="29" t="n"/>
      <c r="O86" s="29" t="n"/>
      <c r="P86" s="29" t="n"/>
      <c r="Q86" s="32" t="n"/>
    </row>
    <row r="87">
      <c r="A87" s="26" t="inlineStr">
        <is>
          <t>S21</t>
        </is>
      </c>
      <c r="B87" s="26" t="inlineStr">
        <is>
          <t>담양 신규점2</t>
        </is>
      </c>
      <c r="C87" s="26" t="inlineStr">
        <is>
          <t>고압철탑</t>
        </is>
      </c>
      <c r="D87" s="31" t="n">
        <v>1</v>
      </c>
      <c r="E87" s="29" t="n"/>
      <c r="F87" s="32" t="n"/>
      <c r="G87" s="29" t="n"/>
      <c r="H87" s="33" t="n"/>
      <c r="I87" s="28" t="n"/>
      <c r="J87" s="28" t="n"/>
      <c r="K87" s="34" t="n"/>
      <c r="L87" s="34" t="n"/>
      <c r="M87" s="29" t="n"/>
      <c r="N87" s="29" t="n"/>
      <c r="O87" s="29" t="n"/>
      <c r="P87" s="29" t="n"/>
      <c r="Q87" s="32" t="n"/>
    </row>
    <row r="88">
      <c r="A88" s="26" t="inlineStr">
        <is>
          <t>S21</t>
        </is>
      </c>
      <c r="B88" s="26" t="inlineStr">
        <is>
          <t>담양 신규점2</t>
        </is>
      </c>
      <c r="C88" s="26" t="inlineStr">
        <is>
          <t>송전탑</t>
        </is>
      </c>
      <c r="D88" s="31" t="n">
        <v>0.5</v>
      </c>
      <c r="E88" s="29" t="n"/>
      <c r="F88" s="32" t="n"/>
      <c r="G88" s="29" t="n"/>
      <c r="H88" s="33" t="n"/>
      <c r="I88" s="28" t="n"/>
      <c r="J88" s="28" t="n"/>
      <c r="K88" s="34" t="n"/>
      <c r="L88" s="34" t="n"/>
      <c r="M88" s="29" t="n"/>
      <c r="N88" s="29" t="n"/>
      <c r="O88" s="29" t="n"/>
      <c r="P88" s="29" t="n"/>
      <c r="Q88" s="32" t="n"/>
    </row>
    <row r="89">
      <c r="A89" s="26" t="inlineStr">
        <is>
          <t>S22</t>
        </is>
      </c>
      <c r="B89" s="26" t="inlineStr">
        <is>
          <t>완도 신규점</t>
        </is>
      </c>
      <c r="C89" s="26" t="inlineStr">
        <is>
          <t>직류철도</t>
        </is>
      </c>
      <c r="D89" s="31" t="n">
        <v>5</v>
      </c>
      <c r="E89" s="29" t="n"/>
      <c r="F89" s="32" t="n"/>
      <c r="G89" s="29" t="n"/>
      <c r="H89" s="33" t="n"/>
      <c r="I89" s="28" t="n"/>
      <c r="J89" s="28" t="n"/>
      <c r="K89" s="34" t="n"/>
      <c r="L89" s="34" t="n"/>
      <c r="M89" s="29" t="n"/>
      <c r="N89" s="29" t="n"/>
      <c r="O89" s="29" t="n"/>
      <c r="P89" s="29" t="n"/>
      <c r="Q89" s="32" t="n"/>
    </row>
    <row r="90">
      <c r="A90" s="26" t="inlineStr">
        <is>
          <t>S22</t>
        </is>
      </c>
      <c r="B90" s="26" t="inlineStr">
        <is>
          <t>완도 신규점</t>
        </is>
      </c>
      <c r="C90" s="26" t="inlineStr">
        <is>
          <t>교류·일반철도</t>
        </is>
      </c>
      <c r="D90" s="31" t="n">
        <v>2</v>
      </c>
      <c r="E90" s="29" t="n"/>
      <c r="F90" s="32" t="n"/>
      <c r="G90" s="29" t="n"/>
      <c r="H90" s="33" t="n"/>
      <c r="I90" s="28" t="n"/>
      <c r="J90" s="28" t="n"/>
      <c r="K90" s="34" t="n"/>
      <c r="L90" s="34" t="n"/>
      <c r="M90" s="29" t="n"/>
      <c r="N90" s="29" t="n"/>
      <c r="O90" s="29" t="n"/>
      <c r="P90" s="29" t="n"/>
      <c r="Q90" s="32" t="n"/>
    </row>
    <row r="91">
      <c r="A91" s="26" t="inlineStr">
        <is>
          <t>S22</t>
        </is>
      </c>
      <c r="B91" s="26" t="inlineStr">
        <is>
          <t>완도 신규점</t>
        </is>
      </c>
      <c r="C91" s="26" t="inlineStr">
        <is>
          <t>고압철탑</t>
        </is>
      </c>
      <c r="D91" s="31" t="n">
        <v>1</v>
      </c>
      <c r="E91" s="29" t="n"/>
      <c r="F91" s="32" t="n"/>
      <c r="G91" s="29" t="n"/>
      <c r="H91" s="33" t="n"/>
      <c r="I91" s="28" t="n"/>
      <c r="J91" s="28" t="n"/>
      <c r="K91" s="34" t="n"/>
      <c r="L91" s="34" t="n"/>
      <c r="M91" s="29" t="n"/>
      <c r="N91" s="29" t="n"/>
      <c r="O91" s="29" t="n"/>
      <c r="P91" s="29" t="n"/>
      <c r="Q91" s="32" t="n"/>
    </row>
    <row r="92">
      <c r="A92" s="26" t="inlineStr">
        <is>
          <t>S22</t>
        </is>
      </c>
      <c r="B92" s="26" t="inlineStr">
        <is>
          <t>완도 신규점</t>
        </is>
      </c>
      <c r="C92" s="26" t="inlineStr">
        <is>
          <t>송전탑</t>
        </is>
      </c>
      <c r="D92" s="31" t="n">
        <v>0.5</v>
      </c>
      <c r="E92" s="29" t="n"/>
      <c r="F92" s="32" t="n"/>
      <c r="G92" s="29" t="n"/>
      <c r="H92" s="33" t="n"/>
      <c r="I92" s="28" t="n"/>
      <c r="J92" s="28" t="n"/>
      <c r="K92" s="34" t="n"/>
      <c r="L92" s="34" t="n"/>
      <c r="M92" s="29" t="n"/>
      <c r="N92" s="29" t="n"/>
      <c r="O92" s="29" t="n"/>
      <c r="P92" s="29" t="n"/>
      <c r="Q92" s="32" t="n"/>
    </row>
    <row r="93">
      <c r="A93" s="26" t="inlineStr">
        <is>
          <t>S23</t>
        </is>
      </c>
      <c r="B93" s="26" t="inlineStr">
        <is>
          <t>덕산 신규점1</t>
        </is>
      </c>
      <c r="C93" s="26" t="inlineStr">
        <is>
          <t>직류철도</t>
        </is>
      </c>
      <c r="D93" s="31" t="n">
        <v>5</v>
      </c>
      <c r="E93" s="29" t="n"/>
      <c r="F93" s="32" t="n"/>
      <c r="G93" s="29" t="n"/>
      <c r="H93" s="33" t="n"/>
      <c r="I93" s="28" t="n"/>
      <c r="J93" s="28" t="n"/>
      <c r="K93" s="34" t="n"/>
      <c r="L93" s="34" t="n"/>
      <c r="M93" s="29" t="n"/>
      <c r="N93" s="29" t="n"/>
      <c r="O93" s="29" t="n"/>
      <c r="P93" s="29" t="n"/>
      <c r="Q93" s="32" t="n"/>
    </row>
    <row r="94">
      <c r="A94" s="26" t="inlineStr">
        <is>
          <t>S23</t>
        </is>
      </c>
      <c r="B94" s="26" t="inlineStr">
        <is>
          <t>덕산 신규점1</t>
        </is>
      </c>
      <c r="C94" s="26" t="inlineStr">
        <is>
          <t>교류·일반철도</t>
        </is>
      </c>
      <c r="D94" s="31" t="n">
        <v>2</v>
      </c>
      <c r="E94" s="29" t="n"/>
      <c r="F94" s="32" t="n"/>
      <c r="G94" s="29" t="n"/>
      <c r="H94" s="33" t="n"/>
      <c r="I94" s="28" t="n"/>
      <c r="J94" s="28" t="n"/>
      <c r="K94" s="34" t="n"/>
      <c r="L94" s="34" t="n"/>
      <c r="M94" s="29" t="n"/>
      <c r="N94" s="29" t="n"/>
      <c r="O94" s="29" t="n"/>
      <c r="P94" s="29" t="n"/>
      <c r="Q94" s="32" t="n"/>
    </row>
    <row r="95">
      <c r="A95" s="26" t="inlineStr">
        <is>
          <t>S23</t>
        </is>
      </c>
      <c r="B95" s="26" t="inlineStr">
        <is>
          <t>덕산 신규점1</t>
        </is>
      </c>
      <c r="C95" s="26" t="inlineStr">
        <is>
          <t>고압철탑</t>
        </is>
      </c>
      <c r="D95" s="31" t="n">
        <v>1</v>
      </c>
      <c r="E95" s="29" t="n"/>
      <c r="F95" s="32" t="n"/>
      <c r="G95" s="29" t="n"/>
      <c r="H95" s="33" t="n"/>
      <c r="I95" s="28" t="n"/>
      <c r="J95" s="28" t="n"/>
      <c r="K95" s="34" t="n"/>
      <c r="L95" s="34" t="n"/>
      <c r="M95" s="29" t="n"/>
      <c r="N95" s="29" t="n"/>
      <c r="O95" s="29" t="n"/>
      <c r="P95" s="29" t="n"/>
      <c r="Q95" s="32" t="n"/>
    </row>
    <row r="96">
      <c r="A96" s="26" t="inlineStr">
        <is>
          <t>S23</t>
        </is>
      </c>
      <c r="B96" s="26" t="inlineStr">
        <is>
          <t>덕산 신규점1</t>
        </is>
      </c>
      <c r="C96" s="26" t="inlineStr">
        <is>
          <t>송전탑</t>
        </is>
      </c>
      <c r="D96" s="31" t="n">
        <v>0.5</v>
      </c>
      <c r="E96" s="29" t="n"/>
      <c r="F96" s="32" t="n"/>
      <c r="G96" s="29" t="n"/>
      <c r="H96" s="33" t="n"/>
      <c r="I96" s="28" t="n"/>
      <c r="J96" s="28" t="n"/>
      <c r="K96" s="34" t="n"/>
      <c r="L96" s="34" t="n"/>
      <c r="M96" s="29" t="n"/>
      <c r="N96" s="29" t="n"/>
      <c r="O96" s="29" t="n"/>
      <c r="P96" s="29" t="n"/>
      <c r="Q96" s="32" t="n"/>
    </row>
    <row r="97">
      <c r="A97" s="26" t="inlineStr">
        <is>
          <t>S24</t>
        </is>
      </c>
      <c r="B97" s="26" t="inlineStr">
        <is>
          <t>회천 신규점2</t>
        </is>
      </c>
      <c r="C97" s="26" t="inlineStr">
        <is>
          <t>직류철도</t>
        </is>
      </c>
      <c r="D97" s="31" t="n">
        <v>5</v>
      </c>
      <c r="E97" s="29" t="n"/>
      <c r="F97" s="32" t="n"/>
      <c r="G97" s="29" t="n"/>
      <c r="H97" s="33" t="n"/>
      <c r="I97" s="28" t="n"/>
      <c r="J97" s="28" t="n"/>
      <c r="K97" s="34" t="n"/>
      <c r="L97" s="34" t="n"/>
      <c r="M97" s="29" t="n"/>
      <c r="N97" s="29" t="n"/>
      <c r="O97" s="29" t="n"/>
      <c r="P97" s="29" t="n"/>
      <c r="Q97" s="32" t="n"/>
    </row>
    <row r="98">
      <c r="A98" s="26" t="inlineStr">
        <is>
          <t>S24</t>
        </is>
      </c>
      <c r="B98" s="26" t="inlineStr">
        <is>
          <t>회천 신규점2</t>
        </is>
      </c>
      <c r="C98" s="26" t="inlineStr">
        <is>
          <t>교류·일반철도</t>
        </is>
      </c>
      <c r="D98" s="31" t="n">
        <v>2</v>
      </c>
      <c r="E98" s="29" t="n"/>
      <c r="F98" s="32" t="n"/>
      <c r="G98" s="29" t="n"/>
      <c r="H98" s="33" t="n"/>
      <c r="I98" s="28" t="n"/>
      <c r="J98" s="28" t="n"/>
      <c r="K98" s="34" t="n"/>
      <c r="L98" s="34" t="n"/>
      <c r="M98" s="29" t="n"/>
      <c r="N98" s="29" t="n"/>
      <c r="O98" s="29" t="n"/>
      <c r="P98" s="29" t="n"/>
      <c r="Q98" s="32" t="n"/>
    </row>
    <row r="99">
      <c r="A99" s="26" t="inlineStr">
        <is>
          <t>S24</t>
        </is>
      </c>
      <c r="B99" s="26" t="inlineStr">
        <is>
          <t>회천 신규점2</t>
        </is>
      </c>
      <c r="C99" s="26" t="inlineStr">
        <is>
          <t>고압철탑</t>
        </is>
      </c>
      <c r="D99" s="31" t="n">
        <v>1</v>
      </c>
      <c r="E99" s="29" t="n"/>
      <c r="F99" s="32" t="n"/>
      <c r="G99" s="29" t="n"/>
      <c r="H99" s="33" t="n"/>
      <c r="I99" s="28" t="n"/>
      <c r="J99" s="28" t="n"/>
      <c r="K99" s="34" t="n"/>
      <c r="L99" s="34" t="n"/>
      <c r="M99" s="29" t="n"/>
      <c r="N99" s="29" t="n"/>
      <c r="O99" s="29" t="n"/>
      <c r="P99" s="29" t="n"/>
      <c r="Q99" s="32" t="n"/>
    </row>
    <row r="100">
      <c r="A100" s="26" t="inlineStr">
        <is>
          <t>S24</t>
        </is>
      </c>
      <c r="B100" s="26" t="inlineStr">
        <is>
          <t>회천 신규점2</t>
        </is>
      </c>
      <c r="C100" s="26" t="inlineStr">
        <is>
          <t>송전탑</t>
        </is>
      </c>
      <c r="D100" s="31" t="n">
        <v>0.5</v>
      </c>
      <c r="E100" s="29" t="n"/>
      <c r="F100" s="32" t="n"/>
      <c r="G100" s="29" t="n"/>
      <c r="H100" s="33" t="n"/>
      <c r="I100" s="28" t="n"/>
      <c r="J100" s="28" t="n"/>
      <c r="K100" s="34" t="n"/>
      <c r="L100" s="34" t="n"/>
      <c r="M100" s="29" t="n"/>
      <c r="N100" s="29" t="n"/>
      <c r="O100" s="29" t="n"/>
      <c r="P100" s="29" t="n"/>
      <c r="Q100" s="32" t="n"/>
    </row>
    <row r="101">
      <c r="A101" s="26" t="inlineStr">
        <is>
          <t>S25</t>
        </is>
      </c>
      <c r="B101" s="26" t="inlineStr">
        <is>
          <t>관리 신규점3</t>
        </is>
      </c>
      <c r="C101" s="26" t="inlineStr">
        <is>
          <t>직류철도</t>
        </is>
      </c>
      <c r="D101" s="31" t="n">
        <v>5</v>
      </c>
      <c r="E101" s="29" t="n"/>
      <c r="F101" s="32" t="n"/>
      <c r="G101" s="29" t="n"/>
      <c r="H101" s="33" t="n"/>
      <c r="I101" s="28" t="n"/>
      <c r="J101" s="28" t="n"/>
      <c r="K101" s="34" t="n"/>
      <c r="L101" s="34" t="n"/>
      <c r="M101" s="29" t="n"/>
      <c r="N101" s="29" t="n"/>
      <c r="O101" s="29" t="n"/>
      <c r="P101" s="29" t="n"/>
      <c r="Q101" s="32" t="n"/>
    </row>
    <row r="102">
      <c r="A102" s="26" t="inlineStr">
        <is>
          <t>S25</t>
        </is>
      </c>
      <c r="B102" s="26" t="inlineStr">
        <is>
          <t>관리 신규점3</t>
        </is>
      </c>
      <c r="C102" s="26" t="inlineStr">
        <is>
          <t>교류·일반철도</t>
        </is>
      </c>
      <c r="D102" s="31" t="n">
        <v>2</v>
      </c>
      <c r="E102" s="29" t="n"/>
      <c r="F102" s="32" t="n"/>
      <c r="G102" s="29" t="n"/>
      <c r="H102" s="33" t="n"/>
      <c r="I102" s="28" t="n"/>
      <c r="J102" s="28" t="n"/>
      <c r="K102" s="34" t="n"/>
      <c r="L102" s="34" t="n"/>
      <c r="M102" s="29" t="n"/>
      <c r="N102" s="29" t="n"/>
      <c r="O102" s="29" t="n"/>
      <c r="P102" s="29" t="n"/>
      <c r="Q102" s="32" t="n"/>
    </row>
    <row r="103">
      <c r="A103" s="26" t="inlineStr">
        <is>
          <t>S25</t>
        </is>
      </c>
      <c r="B103" s="26" t="inlineStr">
        <is>
          <t>관리 신규점3</t>
        </is>
      </c>
      <c r="C103" s="26" t="inlineStr">
        <is>
          <t>고압철탑</t>
        </is>
      </c>
      <c r="D103" s="31" t="n">
        <v>1</v>
      </c>
      <c r="E103" s="29" t="n"/>
      <c r="F103" s="32" t="n"/>
      <c r="G103" s="29" t="n"/>
      <c r="H103" s="33" t="n"/>
      <c r="I103" s="28" t="n"/>
      <c r="J103" s="28" t="n"/>
      <c r="K103" s="34" t="n"/>
      <c r="L103" s="34" t="n"/>
      <c r="M103" s="29" t="n"/>
      <c r="N103" s="29" t="n"/>
      <c r="O103" s="29" t="n"/>
      <c r="P103" s="29" t="n"/>
      <c r="Q103" s="32" t="n"/>
    </row>
    <row r="104">
      <c r="A104" s="26" t="inlineStr">
        <is>
          <t>S25</t>
        </is>
      </c>
      <c r="B104" s="26" t="inlineStr">
        <is>
          <t>관리 신규점3</t>
        </is>
      </c>
      <c r="C104" s="26" t="inlineStr">
        <is>
          <t>송전탑</t>
        </is>
      </c>
      <c r="D104" s="31" t="n">
        <v>0.5</v>
      </c>
      <c r="E104" s="29" t="n"/>
      <c r="F104" s="32" t="n"/>
      <c r="G104" s="29" t="n"/>
      <c r="H104" s="33" t="n"/>
      <c r="I104" s="28" t="n"/>
      <c r="J104" s="28" t="n"/>
      <c r="K104" s="34" t="n"/>
      <c r="L104" s="34" t="n"/>
      <c r="M104" s="29" t="n"/>
      <c r="N104" s="29" t="n"/>
      <c r="O104" s="29" t="n"/>
      <c r="P104" s="29" t="n"/>
      <c r="Q104" s="32" t="n"/>
    </row>
    <row r="105">
      <c r="A105" s="26" t="inlineStr">
        <is>
          <t>S26</t>
        </is>
      </c>
      <c r="B105" s="26" t="inlineStr">
        <is>
          <t>고남 신규점2</t>
        </is>
      </c>
      <c r="C105" s="26" t="inlineStr">
        <is>
          <t>직류철도</t>
        </is>
      </c>
      <c r="D105" s="31" t="n">
        <v>5</v>
      </c>
      <c r="E105" s="29" t="n"/>
      <c r="F105" s="32" t="n"/>
      <c r="G105" s="29" t="n"/>
      <c r="H105" s="33" t="n"/>
      <c r="I105" s="28" t="n"/>
      <c r="J105" s="28" t="n"/>
      <c r="K105" s="34" t="n"/>
      <c r="L105" s="34" t="n"/>
      <c r="M105" s="29" t="n"/>
      <c r="N105" s="29" t="n"/>
      <c r="O105" s="29" t="n"/>
      <c r="P105" s="29" t="n"/>
      <c r="Q105" s="32" t="n"/>
    </row>
    <row r="106">
      <c r="A106" s="26" t="inlineStr">
        <is>
          <t>S26</t>
        </is>
      </c>
      <c r="B106" s="26" t="inlineStr">
        <is>
          <t>고남 신규점2</t>
        </is>
      </c>
      <c r="C106" s="26" t="inlineStr">
        <is>
          <t>교류·일반철도</t>
        </is>
      </c>
      <c r="D106" s="31" t="n">
        <v>2</v>
      </c>
      <c r="E106" s="29" t="n"/>
      <c r="F106" s="32" t="n"/>
      <c r="G106" s="29" t="n"/>
      <c r="H106" s="33" t="n"/>
      <c r="I106" s="28" t="n"/>
      <c r="J106" s="28" t="n"/>
      <c r="K106" s="34" t="n"/>
      <c r="L106" s="34" t="n"/>
      <c r="M106" s="29" t="n"/>
      <c r="N106" s="29" t="n"/>
      <c r="O106" s="29" t="n"/>
      <c r="P106" s="29" t="n"/>
      <c r="Q106" s="32" t="n"/>
    </row>
    <row r="107">
      <c r="A107" s="26" t="inlineStr">
        <is>
          <t>S26</t>
        </is>
      </c>
      <c r="B107" s="26" t="inlineStr">
        <is>
          <t>고남 신규점2</t>
        </is>
      </c>
      <c r="C107" s="26" t="inlineStr">
        <is>
          <t>고압철탑</t>
        </is>
      </c>
      <c r="D107" s="31" t="n">
        <v>1</v>
      </c>
      <c r="E107" s="29" t="n"/>
      <c r="F107" s="32" t="n"/>
      <c r="G107" s="29" t="n"/>
      <c r="H107" s="33" t="n"/>
      <c r="I107" s="28" t="n"/>
      <c r="J107" s="28" t="n"/>
      <c r="K107" s="34" t="n"/>
      <c r="L107" s="34" t="n"/>
      <c r="M107" s="29" t="n"/>
      <c r="N107" s="29" t="n"/>
      <c r="O107" s="29" t="n"/>
      <c r="P107" s="29" t="n"/>
      <c r="Q107" s="32" t="n"/>
    </row>
    <row r="108">
      <c r="A108" s="26" t="inlineStr">
        <is>
          <t>S26</t>
        </is>
      </c>
      <c r="B108" s="26" t="inlineStr">
        <is>
          <t>고남 신규점2</t>
        </is>
      </c>
      <c r="C108" s="26" t="inlineStr">
        <is>
          <t>송전탑</t>
        </is>
      </c>
      <c r="D108" s="31" t="n">
        <v>0.5</v>
      </c>
      <c r="E108" s="29" t="n"/>
      <c r="F108" s="32" t="n"/>
      <c r="G108" s="29" t="n"/>
      <c r="H108" s="33" t="n"/>
      <c r="I108" s="28" t="n"/>
      <c r="J108" s="28" t="n"/>
      <c r="K108" s="34" t="n"/>
      <c r="L108" s="34" t="n"/>
      <c r="M108" s="29" t="n"/>
      <c r="N108" s="29" t="n"/>
      <c r="O108" s="29" t="n"/>
      <c r="P108" s="29" t="n"/>
      <c r="Q108" s="32" t="n"/>
    </row>
    <row r="109">
      <c r="A109" s="26" t="inlineStr">
        <is>
          <t>S27</t>
        </is>
      </c>
      <c r="B109" s="26" t="inlineStr">
        <is>
          <t>전의 신규점</t>
        </is>
      </c>
      <c r="C109" s="26" t="inlineStr">
        <is>
          <t>직류철도</t>
        </is>
      </c>
      <c r="D109" s="31" t="n">
        <v>5</v>
      </c>
      <c r="E109" s="29" t="n"/>
      <c r="F109" s="32" t="n"/>
      <c r="G109" s="29" t="n"/>
      <c r="H109" s="33" t="n"/>
      <c r="I109" s="28" t="n"/>
      <c r="J109" s="28" t="n"/>
      <c r="K109" s="34" t="n"/>
      <c r="L109" s="34" t="n"/>
      <c r="M109" s="29" t="n"/>
      <c r="N109" s="29" t="n"/>
      <c r="O109" s="29" t="n"/>
      <c r="P109" s="29" t="n"/>
      <c r="Q109" s="32" t="n"/>
    </row>
    <row r="110">
      <c r="A110" s="26" t="inlineStr">
        <is>
          <t>S27</t>
        </is>
      </c>
      <c r="B110" s="26" t="inlineStr">
        <is>
          <t>전의 신규점</t>
        </is>
      </c>
      <c r="C110" s="26" t="inlineStr">
        <is>
          <t>교류·일반철도</t>
        </is>
      </c>
      <c r="D110" s="31" t="n">
        <v>2</v>
      </c>
      <c r="E110" s="29" t="n"/>
      <c r="F110" s="32" t="n"/>
      <c r="G110" s="29" t="n"/>
      <c r="H110" s="33" t="n"/>
      <c r="I110" s="28" t="n"/>
      <c r="J110" s="28" t="n"/>
      <c r="K110" s="34" t="n"/>
      <c r="L110" s="34" t="n"/>
      <c r="M110" s="29" t="n"/>
      <c r="N110" s="29" t="n"/>
      <c r="O110" s="29" t="n"/>
      <c r="P110" s="29" t="n"/>
      <c r="Q110" s="32" t="n"/>
    </row>
    <row r="111">
      <c r="A111" s="26" t="inlineStr">
        <is>
          <t>S27</t>
        </is>
      </c>
      <c r="B111" s="26" t="inlineStr">
        <is>
          <t>전의 신규점</t>
        </is>
      </c>
      <c r="C111" s="26" t="inlineStr">
        <is>
          <t>고압철탑</t>
        </is>
      </c>
      <c r="D111" s="31" t="n">
        <v>1</v>
      </c>
      <c r="E111" s="29" t="n"/>
      <c r="F111" s="32" t="n"/>
      <c r="G111" s="29" t="n"/>
      <c r="H111" s="33" t="n"/>
      <c r="I111" s="28" t="n"/>
      <c r="J111" s="28" t="n"/>
      <c r="K111" s="34" t="n"/>
      <c r="L111" s="34" t="n"/>
      <c r="M111" s="29" t="n"/>
      <c r="N111" s="29" t="n"/>
      <c r="O111" s="29" t="n"/>
      <c r="P111" s="29" t="n"/>
      <c r="Q111" s="32" t="n"/>
    </row>
    <row r="112">
      <c r="A112" s="26" t="inlineStr">
        <is>
          <t>S27</t>
        </is>
      </c>
      <c r="B112" s="26" t="inlineStr">
        <is>
          <t>전의 신규점</t>
        </is>
      </c>
      <c r="C112" s="26" t="inlineStr">
        <is>
          <t>송전탑</t>
        </is>
      </c>
      <c r="D112" s="31" t="n">
        <v>0.5</v>
      </c>
      <c r="E112" s="29" t="n"/>
      <c r="F112" s="32" t="n"/>
      <c r="G112" s="29" t="n"/>
      <c r="H112" s="33" t="n"/>
      <c r="I112" s="28" t="n"/>
      <c r="J112" s="28" t="n"/>
      <c r="K112" s="34" t="n"/>
      <c r="L112" s="34" t="n"/>
      <c r="M112" s="29" t="n"/>
      <c r="N112" s="29" t="n"/>
      <c r="O112" s="29" t="n"/>
      <c r="P112" s="29" t="n"/>
      <c r="Q112" s="32" t="n"/>
    </row>
    <row r="113">
      <c r="A113" s="26" t="inlineStr">
        <is>
          <t>S28</t>
        </is>
      </c>
      <c r="B113" s="26" t="inlineStr">
        <is>
          <t>이원 신규점</t>
        </is>
      </c>
      <c r="C113" s="26" t="inlineStr">
        <is>
          <t>직류철도</t>
        </is>
      </c>
      <c r="D113" s="31" t="n">
        <v>5</v>
      </c>
      <c r="E113" s="29" t="n"/>
      <c r="F113" s="32" t="n"/>
      <c r="G113" s="29" t="n"/>
      <c r="H113" s="33" t="n"/>
      <c r="I113" s="28" t="n"/>
      <c r="J113" s="28" t="n"/>
      <c r="K113" s="34" t="n"/>
      <c r="L113" s="34" t="n"/>
      <c r="M113" s="29" t="n"/>
      <c r="N113" s="29" t="n"/>
      <c r="O113" s="29" t="n"/>
      <c r="P113" s="29" t="n"/>
      <c r="Q113" s="32" t="n"/>
    </row>
    <row r="114">
      <c r="A114" s="26" t="inlineStr">
        <is>
          <t>S28</t>
        </is>
      </c>
      <c r="B114" s="26" t="inlineStr">
        <is>
          <t>이원 신규점</t>
        </is>
      </c>
      <c r="C114" s="26" t="inlineStr">
        <is>
          <t>교류·일반철도</t>
        </is>
      </c>
      <c r="D114" s="31" t="n">
        <v>2</v>
      </c>
      <c r="E114" s="29" t="n"/>
      <c r="F114" s="32" t="n"/>
      <c r="G114" s="29" t="n"/>
      <c r="H114" s="33" t="n"/>
      <c r="I114" s="28" t="n"/>
      <c r="J114" s="28" t="n"/>
      <c r="K114" s="34" t="n"/>
      <c r="L114" s="34" t="n"/>
      <c r="M114" s="29" t="n"/>
      <c r="N114" s="29" t="n"/>
      <c r="O114" s="29" t="n"/>
      <c r="P114" s="29" t="n"/>
      <c r="Q114" s="32" t="n"/>
    </row>
    <row r="115">
      <c r="A115" s="26" t="inlineStr">
        <is>
          <t>S28</t>
        </is>
      </c>
      <c r="B115" s="26" t="inlineStr">
        <is>
          <t>이원 신규점</t>
        </is>
      </c>
      <c r="C115" s="26" t="inlineStr">
        <is>
          <t>고압철탑</t>
        </is>
      </c>
      <c r="D115" s="31" t="n">
        <v>1</v>
      </c>
      <c r="E115" s="29" t="n"/>
      <c r="F115" s="32" t="n"/>
      <c r="G115" s="29" t="n"/>
      <c r="H115" s="33" t="n"/>
      <c r="I115" s="28" t="n"/>
      <c r="J115" s="28" t="n"/>
      <c r="K115" s="34" t="n"/>
      <c r="L115" s="34" t="n"/>
      <c r="M115" s="29" t="n"/>
      <c r="N115" s="29" t="n"/>
      <c r="O115" s="29" t="n"/>
      <c r="P115" s="29" t="n"/>
      <c r="Q115" s="32" t="n"/>
    </row>
    <row r="116">
      <c r="A116" s="26" t="inlineStr">
        <is>
          <t>S28</t>
        </is>
      </c>
      <c r="B116" s="26" t="inlineStr">
        <is>
          <t>이원 신규점</t>
        </is>
      </c>
      <c r="C116" s="26" t="inlineStr">
        <is>
          <t>송전탑</t>
        </is>
      </c>
      <c r="D116" s="31" t="n">
        <v>0.5</v>
      </c>
      <c r="E116" s="29" t="n"/>
      <c r="F116" s="32" t="n"/>
      <c r="G116" s="29" t="n"/>
      <c r="H116" s="33" t="n"/>
      <c r="I116" s="28" t="n"/>
      <c r="J116" s="28" t="n"/>
      <c r="K116" s="34" t="n"/>
      <c r="L116" s="34" t="n"/>
      <c r="M116" s="29" t="n"/>
      <c r="N116" s="29" t="n"/>
      <c r="O116" s="29" t="n"/>
      <c r="P116" s="29" t="n"/>
      <c r="Q116" s="32" t="n"/>
    </row>
    <row r="117">
      <c r="A117" s="26" t="inlineStr">
        <is>
          <t>S29</t>
        </is>
      </c>
      <c r="B117" s="26" t="inlineStr">
        <is>
          <t>가야 신규점1</t>
        </is>
      </c>
      <c r="C117" s="26" t="inlineStr">
        <is>
          <t>직류철도</t>
        </is>
      </c>
      <c r="D117" s="31" t="n">
        <v>5</v>
      </c>
      <c r="E117" s="29" t="n"/>
      <c r="F117" s="32" t="n"/>
      <c r="G117" s="29" t="n"/>
      <c r="H117" s="33" t="n"/>
      <c r="I117" s="28" t="n"/>
      <c r="J117" s="28" t="n"/>
      <c r="K117" s="34" t="n"/>
      <c r="L117" s="34" t="n"/>
      <c r="M117" s="29" t="n"/>
      <c r="N117" s="29" t="n"/>
      <c r="O117" s="29" t="n"/>
      <c r="P117" s="29" t="n"/>
      <c r="Q117" s="32" t="n"/>
    </row>
    <row r="118">
      <c r="A118" s="26" t="inlineStr">
        <is>
          <t>S29</t>
        </is>
      </c>
      <c r="B118" s="26" t="inlineStr">
        <is>
          <t>가야 신규점1</t>
        </is>
      </c>
      <c r="C118" s="26" t="inlineStr">
        <is>
          <t>교류·일반철도</t>
        </is>
      </c>
      <c r="D118" s="31" t="n">
        <v>2</v>
      </c>
      <c r="E118" s="29" t="n"/>
      <c r="F118" s="32" t="n"/>
      <c r="G118" s="29" t="n"/>
      <c r="H118" s="33" t="n"/>
      <c r="I118" s="28" t="n"/>
      <c r="J118" s="28" t="n"/>
      <c r="K118" s="34" t="n"/>
      <c r="L118" s="34" t="n"/>
      <c r="M118" s="29" t="n"/>
      <c r="N118" s="29" t="n"/>
      <c r="O118" s="29" t="n"/>
      <c r="P118" s="29" t="n"/>
      <c r="Q118" s="32" t="n"/>
    </row>
    <row r="119">
      <c r="A119" s="26" t="inlineStr">
        <is>
          <t>S29</t>
        </is>
      </c>
      <c r="B119" s="26" t="inlineStr">
        <is>
          <t>가야 신규점1</t>
        </is>
      </c>
      <c r="C119" s="26" t="inlineStr">
        <is>
          <t>고압철탑</t>
        </is>
      </c>
      <c r="D119" s="31" t="n">
        <v>1</v>
      </c>
      <c r="E119" s="29" t="n"/>
      <c r="F119" s="32" t="n"/>
      <c r="G119" s="29" t="n"/>
      <c r="H119" s="33" t="n"/>
      <c r="I119" s="28" t="n"/>
      <c r="J119" s="28" t="n"/>
      <c r="K119" s="34" t="n"/>
      <c r="L119" s="34" t="n"/>
      <c r="M119" s="29" t="n"/>
      <c r="N119" s="29" t="n"/>
      <c r="O119" s="29" t="n"/>
      <c r="P119" s="29" t="n"/>
      <c r="Q119" s="32" t="n"/>
    </row>
    <row r="120">
      <c r="A120" s="26" t="inlineStr">
        <is>
          <t>S29</t>
        </is>
      </c>
      <c r="B120" s="26" t="inlineStr">
        <is>
          <t>가야 신규점1</t>
        </is>
      </c>
      <c r="C120" s="26" t="inlineStr">
        <is>
          <t>송전탑</t>
        </is>
      </c>
      <c r="D120" s="31" t="n">
        <v>0.5</v>
      </c>
      <c r="E120" s="29" t="n"/>
      <c r="F120" s="32" t="n"/>
      <c r="G120" s="29" t="n"/>
      <c r="H120" s="33" t="n"/>
      <c r="I120" s="28" t="n"/>
      <c r="J120" s="28" t="n"/>
      <c r="K120" s="34" t="n"/>
      <c r="L120" s="34" t="n"/>
      <c r="M120" s="29" t="n"/>
      <c r="N120" s="29" t="n"/>
      <c r="O120" s="29" t="n"/>
      <c r="P120" s="29" t="n"/>
      <c r="Q120" s="32" t="n"/>
    </row>
    <row r="121">
      <c r="A121" s="26" t="inlineStr">
        <is>
          <t>S30</t>
        </is>
      </c>
      <c r="B121" s="26" t="inlineStr">
        <is>
          <t>창녕 신규점</t>
        </is>
      </c>
      <c r="C121" s="26" t="inlineStr">
        <is>
          <t>직류철도</t>
        </is>
      </c>
      <c r="D121" s="31" t="n">
        <v>5</v>
      </c>
      <c r="E121" s="29" t="n"/>
      <c r="F121" s="32" t="n"/>
      <c r="G121" s="29" t="n"/>
      <c r="H121" s="33" t="n"/>
      <c r="I121" s="28" t="n"/>
      <c r="J121" s="28" t="n"/>
      <c r="K121" s="34" t="n"/>
      <c r="L121" s="34" t="n"/>
      <c r="M121" s="29" t="n"/>
      <c r="N121" s="29" t="n"/>
      <c r="O121" s="29" t="n"/>
      <c r="P121" s="29" t="n"/>
      <c r="Q121" s="32" t="n"/>
    </row>
    <row r="122">
      <c r="A122" s="26" t="inlineStr">
        <is>
          <t>S30</t>
        </is>
      </c>
      <c r="B122" s="26" t="inlineStr">
        <is>
          <t>창녕 신규점</t>
        </is>
      </c>
      <c r="C122" s="26" t="inlineStr">
        <is>
          <t>교류·일반철도</t>
        </is>
      </c>
      <c r="D122" s="31" t="n">
        <v>2</v>
      </c>
      <c r="E122" s="29" t="n"/>
      <c r="F122" s="32" t="n"/>
      <c r="G122" s="29" t="n"/>
      <c r="H122" s="33" t="n"/>
      <c r="I122" s="28" t="n"/>
      <c r="J122" s="28" t="n"/>
      <c r="K122" s="34" t="n"/>
      <c r="L122" s="34" t="n"/>
      <c r="M122" s="29" t="n"/>
      <c r="N122" s="29" t="n"/>
      <c r="O122" s="29" t="n"/>
      <c r="P122" s="29" t="n"/>
      <c r="Q122" s="32" t="n"/>
    </row>
    <row r="123">
      <c r="A123" s="26" t="inlineStr">
        <is>
          <t>S30</t>
        </is>
      </c>
      <c r="B123" s="26" t="inlineStr">
        <is>
          <t>창녕 신규점</t>
        </is>
      </c>
      <c r="C123" s="26" t="inlineStr">
        <is>
          <t>고압철탑</t>
        </is>
      </c>
      <c r="D123" s="31" t="n">
        <v>1</v>
      </c>
      <c r="E123" s="29" t="n"/>
      <c r="F123" s="32" t="n"/>
      <c r="G123" s="29" t="n"/>
      <c r="H123" s="33" t="n"/>
      <c r="I123" s="28" t="n"/>
      <c r="J123" s="28" t="n"/>
      <c r="K123" s="34" t="n"/>
      <c r="L123" s="34" t="n"/>
      <c r="M123" s="29" t="n"/>
      <c r="N123" s="29" t="n"/>
      <c r="O123" s="29" t="n"/>
      <c r="P123" s="29" t="n"/>
      <c r="Q123" s="32" t="n"/>
    </row>
    <row r="124">
      <c r="A124" s="26" t="inlineStr">
        <is>
          <t>S30</t>
        </is>
      </c>
      <c r="B124" s="26" t="inlineStr">
        <is>
          <t>창녕 신규점</t>
        </is>
      </c>
      <c r="C124" s="26" t="inlineStr">
        <is>
          <t>송전탑</t>
        </is>
      </c>
      <c r="D124" s="31" t="n">
        <v>0.5</v>
      </c>
      <c r="E124" s="29" t="n"/>
      <c r="F124" s="32" t="n"/>
      <c r="G124" s="29" t="n"/>
      <c r="H124" s="33" t="n"/>
      <c r="I124" s="28" t="n"/>
      <c r="J124" s="28" t="n"/>
      <c r="K124" s="34" t="n"/>
      <c r="L124" s="34" t="n"/>
      <c r="M124" s="29" t="n"/>
      <c r="N124" s="29" t="n"/>
      <c r="O124" s="29" t="n"/>
      <c r="P124" s="29" t="n"/>
      <c r="Q124" s="32" t="n"/>
    </row>
    <row r="125">
      <c r="A125" s="26" t="inlineStr">
        <is>
          <t>S31</t>
        </is>
      </c>
      <c r="B125" s="26" t="inlineStr">
        <is>
          <t>언양 신규점3</t>
        </is>
      </c>
      <c r="C125" s="26" t="inlineStr">
        <is>
          <t>직류철도</t>
        </is>
      </c>
      <c r="D125" s="31" t="n">
        <v>5</v>
      </c>
      <c r="E125" s="29" t="n"/>
      <c r="F125" s="32" t="n"/>
      <c r="G125" s="29" t="n"/>
      <c r="H125" s="33" t="n"/>
      <c r="I125" s="28" t="n"/>
      <c r="J125" s="28" t="n"/>
      <c r="K125" s="34" t="n"/>
      <c r="L125" s="34" t="n"/>
      <c r="M125" s="29" t="n"/>
      <c r="N125" s="29" t="n"/>
      <c r="O125" s="29" t="n"/>
      <c r="P125" s="29" t="n"/>
      <c r="Q125" s="32" t="n"/>
    </row>
    <row r="126">
      <c r="A126" s="26" t="inlineStr">
        <is>
          <t>S31</t>
        </is>
      </c>
      <c r="B126" s="26" t="inlineStr">
        <is>
          <t>언양 신규점3</t>
        </is>
      </c>
      <c r="C126" s="26" t="inlineStr">
        <is>
          <t>교류·일반철도</t>
        </is>
      </c>
      <c r="D126" s="31" t="n">
        <v>2</v>
      </c>
      <c r="E126" s="29" t="n"/>
      <c r="F126" s="32" t="n"/>
      <c r="G126" s="29" t="n"/>
      <c r="H126" s="33" t="n"/>
      <c r="I126" s="28" t="n"/>
      <c r="J126" s="28" t="n"/>
      <c r="K126" s="34" t="n"/>
      <c r="L126" s="34" t="n"/>
      <c r="M126" s="29" t="n"/>
      <c r="N126" s="29" t="n"/>
      <c r="O126" s="29" t="n"/>
      <c r="P126" s="29" t="n"/>
      <c r="Q126" s="32" t="n"/>
    </row>
    <row r="127">
      <c r="A127" s="26" t="inlineStr">
        <is>
          <t>S31</t>
        </is>
      </c>
      <c r="B127" s="26" t="inlineStr">
        <is>
          <t>언양 신규점3</t>
        </is>
      </c>
      <c r="C127" s="26" t="inlineStr">
        <is>
          <t>고압철탑</t>
        </is>
      </c>
      <c r="D127" s="31" t="n">
        <v>1</v>
      </c>
      <c r="E127" s="29" t="n"/>
      <c r="F127" s="32" t="n"/>
      <c r="G127" s="29" t="n"/>
      <c r="H127" s="33" t="n"/>
      <c r="I127" s="28" t="n"/>
      <c r="J127" s="28" t="n"/>
      <c r="K127" s="34" t="n"/>
      <c r="L127" s="34" t="n"/>
      <c r="M127" s="29" t="n"/>
      <c r="N127" s="29" t="n"/>
      <c r="O127" s="29" t="n"/>
      <c r="P127" s="29" t="n"/>
      <c r="Q127" s="32" t="n"/>
    </row>
    <row r="128">
      <c r="A128" s="26" t="inlineStr">
        <is>
          <t>S31</t>
        </is>
      </c>
      <c r="B128" s="26" t="inlineStr">
        <is>
          <t>언양 신규점3</t>
        </is>
      </c>
      <c r="C128" s="26" t="inlineStr">
        <is>
          <t>송전탑</t>
        </is>
      </c>
      <c r="D128" s="31" t="n">
        <v>0.5</v>
      </c>
      <c r="E128" s="29" t="n"/>
      <c r="F128" s="32" t="n"/>
      <c r="G128" s="29" t="n"/>
      <c r="H128" s="33" t="n"/>
      <c r="I128" s="28" t="n"/>
      <c r="J128" s="28" t="n"/>
      <c r="K128" s="34" t="n"/>
      <c r="L128" s="34" t="n"/>
      <c r="M128" s="29" t="n"/>
      <c r="N128" s="29" t="n"/>
      <c r="O128" s="29" t="n"/>
      <c r="P128" s="29" t="n"/>
      <c r="Q128" s="32" t="n"/>
    </row>
    <row r="129">
      <c r="A129" s="26" t="inlineStr">
        <is>
          <t>S32</t>
        </is>
      </c>
      <c r="B129" s="26" t="inlineStr">
        <is>
          <t>함양 신규점</t>
        </is>
      </c>
      <c r="C129" s="26" t="inlineStr">
        <is>
          <t>직류철도</t>
        </is>
      </c>
      <c r="D129" s="31" t="n">
        <v>5</v>
      </c>
      <c r="E129" s="29" t="n"/>
      <c r="F129" s="32" t="n"/>
      <c r="G129" s="29" t="n"/>
      <c r="H129" s="33" t="n"/>
      <c r="I129" s="28" t="n"/>
      <c r="J129" s="28" t="n"/>
      <c r="K129" s="34" t="n"/>
      <c r="L129" s="34" t="n"/>
      <c r="M129" s="29" t="n"/>
      <c r="N129" s="29" t="n"/>
      <c r="O129" s="29" t="n"/>
      <c r="P129" s="29" t="n"/>
      <c r="Q129" s="32" t="n"/>
    </row>
    <row r="130">
      <c r="A130" s="26" t="inlineStr">
        <is>
          <t>S32</t>
        </is>
      </c>
      <c r="B130" s="26" t="inlineStr">
        <is>
          <t>함양 신규점</t>
        </is>
      </c>
      <c r="C130" s="26" t="inlineStr">
        <is>
          <t>교류·일반철도</t>
        </is>
      </c>
      <c r="D130" s="31" t="n">
        <v>2</v>
      </c>
      <c r="E130" s="29" t="n"/>
      <c r="F130" s="32" t="n"/>
      <c r="G130" s="29" t="n"/>
      <c r="H130" s="33" t="n"/>
      <c r="I130" s="28" t="n"/>
      <c r="J130" s="28" t="n"/>
      <c r="K130" s="34" t="n"/>
      <c r="L130" s="34" t="n"/>
      <c r="M130" s="29" t="n"/>
      <c r="N130" s="29" t="n"/>
      <c r="O130" s="29" t="n"/>
      <c r="P130" s="29" t="n"/>
      <c r="Q130" s="32" t="n"/>
    </row>
    <row r="131">
      <c r="A131" s="26" t="inlineStr">
        <is>
          <t>S32</t>
        </is>
      </c>
      <c r="B131" s="26" t="inlineStr">
        <is>
          <t>함양 신규점</t>
        </is>
      </c>
      <c r="C131" s="26" t="inlineStr">
        <is>
          <t>고압철탑</t>
        </is>
      </c>
      <c r="D131" s="31" t="n">
        <v>1</v>
      </c>
      <c r="E131" s="29" t="n"/>
      <c r="F131" s="32" t="n"/>
      <c r="G131" s="29" t="n"/>
      <c r="H131" s="33" t="n"/>
      <c r="I131" s="28" t="n"/>
      <c r="J131" s="28" t="n"/>
      <c r="K131" s="34" t="n"/>
      <c r="L131" s="34" t="n"/>
      <c r="M131" s="29" t="n"/>
      <c r="N131" s="29" t="n"/>
      <c r="O131" s="29" t="n"/>
      <c r="P131" s="29" t="n"/>
      <c r="Q131" s="32" t="n"/>
    </row>
    <row r="132">
      <c r="A132" s="26" t="inlineStr">
        <is>
          <t>S32</t>
        </is>
      </c>
      <c r="B132" s="26" t="inlineStr">
        <is>
          <t>함양 신규점</t>
        </is>
      </c>
      <c r="C132" s="26" t="inlineStr">
        <is>
          <t>송전탑</t>
        </is>
      </c>
      <c r="D132" s="31" t="n">
        <v>0.5</v>
      </c>
      <c r="E132" s="29" t="n"/>
      <c r="F132" s="32" t="n"/>
      <c r="G132" s="29" t="n"/>
      <c r="H132" s="33" t="n"/>
      <c r="I132" s="28" t="n"/>
      <c r="J132" s="28" t="n"/>
      <c r="K132" s="34" t="n"/>
      <c r="L132" s="34" t="n"/>
      <c r="M132" s="29" t="n"/>
      <c r="N132" s="29" t="n"/>
      <c r="O132" s="29" t="n"/>
      <c r="P132" s="29" t="n"/>
      <c r="Q132" s="32" t="n"/>
    </row>
    <row r="133">
      <c r="A133" s="26" t="inlineStr">
        <is>
          <t>S33</t>
        </is>
      </c>
      <c r="B133" s="26" t="inlineStr">
        <is>
          <t>문산 신규점</t>
        </is>
      </c>
      <c r="C133" s="26" t="inlineStr">
        <is>
          <t>직류철도</t>
        </is>
      </c>
      <c r="D133" s="31" t="n">
        <v>5</v>
      </c>
      <c r="E133" s="29" t="n"/>
      <c r="F133" s="32" t="n"/>
      <c r="G133" s="29" t="n"/>
      <c r="H133" s="33" t="n"/>
      <c r="I133" s="28" t="n"/>
      <c r="J133" s="28" t="n"/>
      <c r="K133" s="34" t="n"/>
      <c r="L133" s="34" t="n"/>
      <c r="M133" s="29" t="n"/>
      <c r="N133" s="29" t="n"/>
      <c r="O133" s="29" t="n"/>
      <c r="P133" s="29" t="n"/>
      <c r="Q133" s="32" t="n"/>
    </row>
    <row r="134">
      <c r="A134" s="26" t="inlineStr">
        <is>
          <t>S33</t>
        </is>
      </c>
      <c r="B134" s="26" t="inlineStr">
        <is>
          <t>문산 신규점</t>
        </is>
      </c>
      <c r="C134" s="26" t="inlineStr">
        <is>
          <t>교류·일반철도</t>
        </is>
      </c>
      <c r="D134" s="31" t="n">
        <v>2</v>
      </c>
      <c r="E134" s="29" t="n"/>
      <c r="F134" s="32" t="n"/>
      <c r="G134" s="29" t="n"/>
      <c r="H134" s="33" t="n"/>
      <c r="I134" s="28" t="n"/>
      <c r="J134" s="28" t="n"/>
      <c r="K134" s="34" t="n"/>
      <c r="L134" s="34" t="n"/>
      <c r="M134" s="29" t="n"/>
      <c r="N134" s="29" t="n"/>
      <c r="O134" s="29" t="n"/>
      <c r="P134" s="29" t="n"/>
      <c r="Q134" s="32" t="n"/>
    </row>
    <row r="135">
      <c r="A135" s="26" t="inlineStr">
        <is>
          <t>S33</t>
        </is>
      </c>
      <c r="B135" s="26" t="inlineStr">
        <is>
          <t>문산 신규점</t>
        </is>
      </c>
      <c r="C135" s="26" t="inlineStr">
        <is>
          <t>고압철탑</t>
        </is>
      </c>
      <c r="D135" s="31" t="n">
        <v>1</v>
      </c>
      <c r="E135" s="29" t="n"/>
      <c r="F135" s="32" t="n"/>
      <c r="G135" s="29" t="n"/>
      <c r="H135" s="33" t="n"/>
      <c r="I135" s="28" t="n"/>
      <c r="J135" s="28" t="n"/>
      <c r="K135" s="34" t="n"/>
      <c r="L135" s="34" t="n"/>
      <c r="M135" s="29" t="n"/>
      <c r="N135" s="29" t="n"/>
      <c r="O135" s="29" t="n"/>
      <c r="P135" s="29" t="n"/>
      <c r="Q135" s="32" t="n"/>
    </row>
    <row r="136">
      <c r="A136" s="26" t="inlineStr">
        <is>
          <t>S33</t>
        </is>
      </c>
      <c r="B136" s="26" t="inlineStr">
        <is>
          <t>문산 신규점</t>
        </is>
      </c>
      <c r="C136" s="26" t="inlineStr">
        <is>
          <t>송전탑</t>
        </is>
      </c>
      <c r="D136" s="31" t="n">
        <v>0.5</v>
      </c>
      <c r="E136" s="29" t="n"/>
      <c r="F136" s="32" t="n"/>
      <c r="G136" s="29" t="n"/>
      <c r="H136" s="33" t="n"/>
      <c r="I136" s="28" t="n"/>
      <c r="J136" s="28" t="n"/>
      <c r="K136" s="34" t="n"/>
      <c r="L136" s="34" t="n"/>
      <c r="M136" s="29" t="n"/>
      <c r="N136" s="29" t="n"/>
      <c r="O136" s="29" t="n"/>
      <c r="P136" s="29" t="n"/>
      <c r="Q136" s="32" t="n"/>
    </row>
    <row r="137">
      <c r="A137" s="26" t="inlineStr">
        <is>
          <t>S34</t>
        </is>
      </c>
      <c r="B137" s="26" t="inlineStr">
        <is>
          <t>부안 신규점</t>
        </is>
      </c>
      <c r="C137" s="26" t="inlineStr">
        <is>
          <t>직류철도</t>
        </is>
      </c>
      <c r="D137" s="31" t="n">
        <v>5</v>
      </c>
      <c r="E137" s="29" t="n"/>
      <c r="F137" s="32" t="n"/>
      <c r="G137" s="29" t="n"/>
      <c r="H137" s="33" t="n"/>
      <c r="I137" s="28" t="n"/>
      <c r="J137" s="28" t="n"/>
      <c r="K137" s="34" t="n"/>
      <c r="L137" s="34" t="n"/>
      <c r="M137" s="29" t="n"/>
      <c r="N137" s="29" t="n"/>
      <c r="O137" s="29" t="n"/>
      <c r="P137" s="29" t="n"/>
      <c r="Q137" s="32" t="n"/>
    </row>
    <row r="138">
      <c r="A138" s="26" t="inlineStr">
        <is>
          <t>S34</t>
        </is>
      </c>
      <c r="B138" s="26" t="inlineStr">
        <is>
          <t>부안 신규점</t>
        </is>
      </c>
      <c r="C138" s="26" t="inlineStr">
        <is>
          <t>교류·일반철도</t>
        </is>
      </c>
      <c r="D138" s="31" t="n">
        <v>2</v>
      </c>
      <c r="E138" s="29" t="n"/>
      <c r="F138" s="32" t="n"/>
      <c r="G138" s="29" t="n"/>
      <c r="H138" s="33" t="n"/>
      <c r="I138" s="28" t="n"/>
      <c r="J138" s="28" t="n"/>
      <c r="K138" s="34" t="n"/>
      <c r="L138" s="34" t="n"/>
      <c r="M138" s="29" t="n"/>
      <c r="N138" s="29" t="n"/>
      <c r="O138" s="29" t="n"/>
      <c r="P138" s="29" t="n"/>
      <c r="Q138" s="32" t="n"/>
    </row>
    <row r="139">
      <c r="A139" s="26" t="inlineStr">
        <is>
          <t>S34</t>
        </is>
      </c>
      <c r="B139" s="26" t="inlineStr">
        <is>
          <t>부안 신규점</t>
        </is>
      </c>
      <c r="C139" s="26" t="inlineStr">
        <is>
          <t>고압철탑</t>
        </is>
      </c>
      <c r="D139" s="31" t="n">
        <v>1</v>
      </c>
      <c r="E139" s="29" t="n"/>
      <c r="F139" s="32" t="n"/>
      <c r="G139" s="29" t="n"/>
      <c r="H139" s="33" t="n"/>
      <c r="I139" s="28" t="n"/>
      <c r="J139" s="28" t="n"/>
      <c r="K139" s="34" t="n"/>
      <c r="L139" s="34" t="n"/>
      <c r="M139" s="29" t="n"/>
      <c r="N139" s="29" t="n"/>
      <c r="O139" s="29" t="n"/>
      <c r="P139" s="29" t="n"/>
      <c r="Q139" s="32" t="n"/>
    </row>
    <row r="140">
      <c r="A140" s="26" t="inlineStr">
        <is>
          <t>S34</t>
        </is>
      </c>
      <c r="B140" s="26" t="inlineStr">
        <is>
          <t>부안 신규점</t>
        </is>
      </c>
      <c r="C140" s="26" t="inlineStr">
        <is>
          <t>송전탑</t>
        </is>
      </c>
      <c r="D140" s="31" t="n">
        <v>0.5</v>
      </c>
      <c r="E140" s="29" t="n"/>
      <c r="F140" s="32" t="n"/>
      <c r="G140" s="29" t="n"/>
      <c r="H140" s="33" t="n"/>
      <c r="I140" s="28" t="n"/>
      <c r="J140" s="28" t="n"/>
      <c r="K140" s="34" t="n"/>
      <c r="L140" s="34" t="n"/>
      <c r="M140" s="29" t="n"/>
      <c r="N140" s="29" t="n"/>
      <c r="O140" s="29" t="n"/>
      <c r="P140" s="29" t="n"/>
      <c r="Q140" s="32" t="n"/>
    </row>
    <row r="141">
      <c r="A141" s="26" t="inlineStr">
        <is>
          <t>S35</t>
        </is>
      </c>
      <c r="B141" s="26" t="inlineStr">
        <is>
          <t>상주</t>
        </is>
      </c>
      <c r="C141" s="26" t="inlineStr">
        <is>
          <t>직류철도</t>
        </is>
      </c>
      <c r="D141" s="31" t="n">
        <v>5</v>
      </c>
      <c r="E141" s="29" t="n"/>
      <c r="F141" s="32" t="n"/>
      <c r="G141" s="29" t="n"/>
      <c r="H141" s="33" t="n"/>
      <c r="I141" s="28" t="n"/>
      <c r="J141" s="28" t="n"/>
      <c r="K141" s="34" t="n"/>
      <c r="L141" s="34" t="n"/>
      <c r="M141" s="29" t="n"/>
      <c r="N141" s="29" t="n"/>
      <c r="O141" s="29" t="n"/>
      <c r="P141" s="29" t="n"/>
      <c r="Q141" s="32" t="n"/>
    </row>
    <row r="142">
      <c r="A142" s="26" t="inlineStr">
        <is>
          <t>S35</t>
        </is>
      </c>
      <c r="B142" s="26" t="inlineStr">
        <is>
          <t>상주</t>
        </is>
      </c>
      <c r="C142" s="26" t="inlineStr">
        <is>
          <t>교류·일반철도</t>
        </is>
      </c>
      <c r="D142" s="31" t="n">
        <v>2</v>
      </c>
      <c r="E142" s="29" t="n"/>
      <c r="F142" s="32" t="n"/>
      <c r="G142" s="29" t="n"/>
      <c r="H142" s="33" t="n"/>
      <c r="I142" s="28" t="n"/>
      <c r="J142" s="28" t="n"/>
      <c r="K142" s="34" t="n"/>
      <c r="L142" s="34" t="n"/>
      <c r="M142" s="29" t="n"/>
      <c r="N142" s="29" t="n"/>
      <c r="O142" s="29" t="n"/>
      <c r="P142" s="29" t="n"/>
      <c r="Q142" s="32" t="n"/>
    </row>
    <row r="143">
      <c r="A143" s="26" t="inlineStr">
        <is>
          <t>S35</t>
        </is>
      </c>
      <c r="B143" s="26" t="inlineStr">
        <is>
          <t>상주</t>
        </is>
      </c>
      <c r="C143" s="26" t="inlineStr">
        <is>
          <t>고압철탑</t>
        </is>
      </c>
      <c r="D143" s="31" t="n">
        <v>1</v>
      </c>
      <c r="E143" s="29" t="n"/>
      <c r="F143" s="32" t="n"/>
      <c r="G143" s="29" t="n"/>
      <c r="H143" s="33" t="n"/>
      <c r="I143" s="28" t="n"/>
      <c r="J143" s="28" t="n"/>
      <c r="K143" s="34" t="n"/>
      <c r="L143" s="34" t="n"/>
      <c r="M143" s="29" t="n"/>
      <c r="N143" s="29" t="n"/>
      <c r="O143" s="29" t="n"/>
      <c r="P143" s="29" t="n"/>
      <c r="Q143" s="32" t="n"/>
    </row>
    <row r="144">
      <c r="A144" s="26" t="inlineStr">
        <is>
          <t>S35</t>
        </is>
      </c>
      <c r="B144" s="26" t="inlineStr">
        <is>
          <t>상주</t>
        </is>
      </c>
      <c r="C144" s="26" t="inlineStr">
        <is>
          <t>송전탑</t>
        </is>
      </c>
      <c r="D144" s="31" t="n">
        <v>0.5</v>
      </c>
      <c r="E144" s="29" t="n"/>
      <c r="F144" s="32" t="n"/>
      <c r="G144" s="29" t="n"/>
      <c r="H144" s="33" t="n"/>
      <c r="I144" s="28" t="n"/>
      <c r="J144" s="28" t="n"/>
      <c r="K144" s="34" t="n"/>
      <c r="L144" s="34" t="n"/>
      <c r="M144" s="29" t="n"/>
      <c r="N144" s="29" t="n"/>
      <c r="O144" s="29" t="n"/>
      <c r="P144" s="29" t="n"/>
      <c r="Q144" s="32" t="n"/>
    </row>
    <row r="145">
      <c r="A145" s="26" t="inlineStr">
        <is>
          <t>S36</t>
        </is>
      </c>
      <c r="B145" s="26" t="inlineStr">
        <is>
          <t>미원</t>
        </is>
      </c>
      <c r="C145" s="26" t="inlineStr">
        <is>
          <t>직류철도</t>
        </is>
      </c>
      <c r="D145" s="31" t="n">
        <v>5</v>
      </c>
      <c r="E145" s="29" t="n"/>
      <c r="F145" s="32" t="n"/>
      <c r="G145" s="29" t="n"/>
      <c r="H145" s="33" t="n"/>
      <c r="I145" s="28" t="n"/>
      <c r="J145" s="28" t="n"/>
      <c r="K145" s="34" t="n"/>
      <c r="L145" s="34" t="n"/>
      <c r="M145" s="29" t="n"/>
      <c r="N145" s="29" t="n"/>
      <c r="O145" s="29" t="n"/>
      <c r="P145" s="29" t="n"/>
      <c r="Q145" s="32" t="n"/>
    </row>
    <row r="146">
      <c r="A146" s="26" t="inlineStr">
        <is>
          <t>S36</t>
        </is>
      </c>
      <c r="B146" s="26" t="inlineStr">
        <is>
          <t>미원</t>
        </is>
      </c>
      <c r="C146" s="26" t="inlineStr">
        <is>
          <t>교류·일반철도</t>
        </is>
      </c>
      <c r="D146" s="31" t="n">
        <v>2</v>
      </c>
      <c r="E146" s="29" t="n"/>
      <c r="F146" s="32" t="n"/>
      <c r="G146" s="29" t="n"/>
      <c r="H146" s="33" t="n"/>
      <c r="I146" s="28" t="n"/>
      <c r="J146" s="28" t="n"/>
      <c r="K146" s="34" t="n"/>
      <c r="L146" s="34" t="n"/>
      <c r="M146" s="29" t="n"/>
      <c r="N146" s="29" t="n"/>
      <c r="O146" s="29" t="n"/>
      <c r="P146" s="29" t="n"/>
      <c r="Q146" s="32" t="n"/>
    </row>
    <row r="147">
      <c r="A147" s="26" t="inlineStr">
        <is>
          <t>S36</t>
        </is>
      </c>
      <c r="B147" s="26" t="inlineStr">
        <is>
          <t>미원</t>
        </is>
      </c>
      <c r="C147" s="26" t="inlineStr">
        <is>
          <t>고압철탑</t>
        </is>
      </c>
      <c r="D147" s="31" t="n">
        <v>1</v>
      </c>
      <c r="E147" s="29" t="n"/>
      <c r="F147" s="32" t="n"/>
      <c r="G147" s="29" t="n"/>
      <c r="H147" s="33" t="n"/>
      <c r="I147" s="28" t="n"/>
      <c r="J147" s="28" t="n"/>
      <c r="K147" s="34" t="n"/>
      <c r="L147" s="34" t="n"/>
      <c r="M147" s="29" t="n"/>
      <c r="N147" s="29" t="n"/>
      <c r="O147" s="29" t="n"/>
      <c r="P147" s="29" t="n"/>
      <c r="Q147" s="32" t="n"/>
    </row>
    <row r="148">
      <c r="A148" s="26" t="inlineStr">
        <is>
          <t>S36</t>
        </is>
      </c>
      <c r="B148" s="26" t="inlineStr">
        <is>
          <t>미원</t>
        </is>
      </c>
      <c r="C148" s="26" t="inlineStr">
        <is>
          <t>송전탑</t>
        </is>
      </c>
      <c r="D148" s="31" t="n">
        <v>0.5</v>
      </c>
      <c r="E148" s="29" t="n"/>
      <c r="F148" s="32" t="n"/>
      <c r="G148" s="29" t="n"/>
      <c r="H148" s="33" t="n"/>
      <c r="I148" s="28" t="n"/>
      <c r="J148" s="28" t="n"/>
      <c r="K148" s="34" t="n"/>
      <c r="L148" s="34" t="n"/>
      <c r="M148" s="29" t="n"/>
      <c r="N148" s="29" t="n"/>
      <c r="O148" s="29" t="n"/>
      <c r="P148" s="29" t="n"/>
      <c r="Q148" s="32" t="n"/>
    </row>
    <row r="149">
      <c r="A149" s="26" t="inlineStr">
        <is>
          <t>S37</t>
        </is>
      </c>
      <c r="B149" s="26" t="inlineStr">
        <is>
          <t>부안</t>
        </is>
      </c>
      <c r="C149" s="26" t="inlineStr">
        <is>
          <t>직류철도</t>
        </is>
      </c>
      <c r="D149" s="31" t="n">
        <v>5</v>
      </c>
      <c r="E149" s="29" t="n"/>
      <c r="F149" s="32" t="n"/>
      <c r="G149" s="29" t="n"/>
      <c r="H149" s="33" t="n"/>
      <c r="I149" s="28" t="n"/>
      <c r="J149" s="28" t="n"/>
      <c r="K149" s="34" t="n"/>
      <c r="L149" s="34" t="n"/>
      <c r="M149" s="29" t="n"/>
      <c r="N149" s="29" t="n"/>
      <c r="O149" s="29" t="n"/>
      <c r="P149" s="29" t="n"/>
      <c r="Q149" s="32" t="n"/>
    </row>
    <row r="150">
      <c r="A150" s="26" t="inlineStr">
        <is>
          <t>S37</t>
        </is>
      </c>
      <c r="B150" s="26" t="inlineStr">
        <is>
          <t>부안</t>
        </is>
      </c>
      <c r="C150" s="26" t="inlineStr">
        <is>
          <t>교류·일반철도</t>
        </is>
      </c>
      <c r="D150" s="31" t="n">
        <v>2</v>
      </c>
      <c r="E150" s="29" t="n"/>
      <c r="F150" s="32" t="n"/>
      <c r="G150" s="29" t="n"/>
      <c r="H150" s="33" t="n"/>
      <c r="I150" s="28" t="n"/>
      <c r="J150" s="28" t="n"/>
      <c r="K150" s="34" t="n"/>
      <c r="L150" s="34" t="n"/>
      <c r="M150" s="29" t="n"/>
      <c r="N150" s="29" t="n"/>
      <c r="O150" s="29" t="n"/>
      <c r="P150" s="29" t="n"/>
      <c r="Q150" s="32" t="n"/>
    </row>
    <row r="151">
      <c r="A151" s="26" t="inlineStr">
        <is>
          <t>S37</t>
        </is>
      </c>
      <c r="B151" s="26" t="inlineStr">
        <is>
          <t>부안</t>
        </is>
      </c>
      <c r="C151" s="26" t="inlineStr">
        <is>
          <t>고압철탑</t>
        </is>
      </c>
      <c r="D151" s="31" t="n">
        <v>1</v>
      </c>
      <c r="E151" s="29" t="n"/>
      <c r="F151" s="32" t="n"/>
      <c r="G151" s="29" t="n"/>
      <c r="H151" s="33" t="n"/>
      <c r="I151" s="28" t="n"/>
      <c r="J151" s="28" t="n"/>
      <c r="K151" s="34" t="n"/>
      <c r="L151" s="34" t="n"/>
      <c r="M151" s="29" t="n"/>
      <c r="N151" s="29" t="n"/>
      <c r="O151" s="29" t="n"/>
      <c r="P151" s="29" t="n"/>
      <c r="Q151" s="32" t="n"/>
    </row>
    <row r="152">
      <c r="A152" s="26" t="inlineStr">
        <is>
          <t>S37</t>
        </is>
      </c>
      <c r="B152" s="26" t="inlineStr">
        <is>
          <t>부안</t>
        </is>
      </c>
      <c r="C152" s="26" t="inlineStr">
        <is>
          <t>송전탑</t>
        </is>
      </c>
      <c r="D152" s="31" t="n">
        <v>0.5</v>
      </c>
      <c r="E152" s="29" t="n"/>
      <c r="F152" s="32" t="n"/>
      <c r="G152" s="29" t="n"/>
      <c r="H152" s="33" t="n"/>
      <c r="I152" s="28" t="n"/>
      <c r="J152" s="28" t="n"/>
      <c r="K152" s="34" t="n"/>
      <c r="L152" s="34" t="n"/>
      <c r="M152" s="29" t="n"/>
      <c r="N152" s="29" t="n"/>
      <c r="O152" s="29" t="n"/>
      <c r="P152" s="29" t="n"/>
      <c r="Q152" s="32" t="n"/>
    </row>
    <row r="153">
      <c r="A153" s="26" t="inlineStr">
        <is>
          <t>S38</t>
        </is>
      </c>
      <c r="B153" s="26" t="inlineStr">
        <is>
          <t>강화</t>
        </is>
      </c>
      <c r="C153" s="26" t="inlineStr">
        <is>
          <t>직류철도</t>
        </is>
      </c>
      <c r="D153" s="31" t="n">
        <v>5</v>
      </c>
      <c r="E153" s="29" t="n"/>
      <c r="F153" s="32" t="n"/>
      <c r="G153" s="29" t="n"/>
      <c r="H153" s="33" t="n"/>
      <c r="I153" s="28" t="n"/>
      <c r="J153" s="28" t="n"/>
      <c r="K153" s="34" t="n"/>
      <c r="L153" s="34" t="n"/>
      <c r="M153" s="29" t="n"/>
      <c r="N153" s="29" t="n"/>
      <c r="O153" s="29" t="n"/>
      <c r="P153" s="29" t="n"/>
      <c r="Q153" s="32" t="n"/>
    </row>
    <row r="154">
      <c r="A154" s="26" t="inlineStr">
        <is>
          <t>S38</t>
        </is>
      </c>
      <c r="B154" s="26" t="inlineStr">
        <is>
          <t>강화</t>
        </is>
      </c>
      <c r="C154" s="26" t="inlineStr">
        <is>
          <t>교류·일반철도</t>
        </is>
      </c>
      <c r="D154" s="31" t="n">
        <v>2</v>
      </c>
      <c r="E154" s="29" t="n"/>
      <c r="F154" s="32" t="n"/>
      <c r="G154" s="29" t="n"/>
      <c r="H154" s="33" t="n"/>
      <c r="I154" s="28" t="n"/>
      <c r="J154" s="28" t="n"/>
      <c r="K154" s="34" t="n"/>
      <c r="L154" s="34" t="n"/>
      <c r="M154" s="29" t="n"/>
      <c r="N154" s="29" t="n"/>
      <c r="O154" s="29" t="n"/>
      <c r="P154" s="29" t="n"/>
      <c r="Q154" s="32" t="n"/>
    </row>
    <row r="155">
      <c r="A155" s="26" t="inlineStr">
        <is>
          <t>S38</t>
        </is>
      </c>
      <c r="B155" s="26" t="inlineStr">
        <is>
          <t>강화</t>
        </is>
      </c>
      <c r="C155" s="26" t="inlineStr">
        <is>
          <t>고압철탑</t>
        </is>
      </c>
      <c r="D155" s="31" t="n">
        <v>1</v>
      </c>
      <c r="E155" s="29" t="n"/>
      <c r="F155" s="32" t="n"/>
      <c r="G155" s="29" t="n"/>
      <c r="H155" s="33" t="n"/>
      <c r="I155" s="28" t="n"/>
      <c r="J155" s="28" t="n"/>
      <c r="K155" s="34" t="n"/>
      <c r="L155" s="34" t="n"/>
      <c r="M155" s="29" t="n"/>
      <c r="N155" s="29" t="n"/>
      <c r="O155" s="29" t="n"/>
      <c r="P155" s="29" t="n"/>
      <c r="Q155" s="32" t="n"/>
    </row>
    <row r="156">
      <c r="A156" s="26" t="inlineStr">
        <is>
          <t>S38</t>
        </is>
      </c>
      <c r="B156" s="26" t="inlineStr">
        <is>
          <t>강화</t>
        </is>
      </c>
      <c r="C156" s="26" t="inlineStr">
        <is>
          <t>송전탑</t>
        </is>
      </c>
      <c r="D156" s="31" t="n">
        <v>0.5</v>
      </c>
      <c r="E156" s="29" t="n"/>
      <c r="F156" s="32" t="n"/>
      <c r="G156" s="29" t="n"/>
      <c r="H156" s="33" t="n"/>
      <c r="I156" s="28" t="n"/>
      <c r="J156" s="28" t="n"/>
      <c r="K156" s="34" t="n"/>
      <c r="L156" s="34" t="n"/>
      <c r="M156" s="29" t="n"/>
      <c r="N156" s="29" t="n"/>
      <c r="O156" s="29" t="n"/>
      <c r="P156" s="29" t="n"/>
      <c r="Q156" s="32" t="n"/>
    </row>
    <row r="157">
      <c r="A157" s="26" t="inlineStr">
        <is>
          <t>S39</t>
        </is>
      </c>
      <c r="B157" s="26" t="inlineStr">
        <is>
          <t>언양</t>
        </is>
      </c>
      <c r="C157" s="26" t="inlineStr">
        <is>
          <t>직류철도</t>
        </is>
      </c>
      <c r="D157" s="31" t="n">
        <v>5</v>
      </c>
      <c r="E157" s="29" t="n"/>
      <c r="F157" s="32" t="n"/>
      <c r="G157" s="29" t="n"/>
      <c r="H157" s="33" t="n"/>
      <c r="I157" s="28" t="n"/>
      <c r="J157" s="28" t="n"/>
      <c r="K157" s="34" t="n"/>
      <c r="L157" s="34" t="n"/>
      <c r="M157" s="29" t="n"/>
      <c r="N157" s="29" t="n"/>
      <c r="O157" s="29" t="n"/>
      <c r="P157" s="29" t="n"/>
      <c r="Q157" s="32" t="n"/>
    </row>
    <row r="158">
      <c r="A158" s="26" t="inlineStr">
        <is>
          <t>S39</t>
        </is>
      </c>
      <c r="B158" s="26" t="inlineStr">
        <is>
          <t>언양</t>
        </is>
      </c>
      <c r="C158" s="26" t="inlineStr">
        <is>
          <t>교류·일반철도</t>
        </is>
      </c>
      <c r="D158" s="31" t="n">
        <v>2</v>
      </c>
      <c r="E158" s="29" t="n"/>
      <c r="F158" s="32" t="n"/>
      <c r="G158" s="29" t="n"/>
      <c r="H158" s="33" t="n"/>
      <c r="I158" s="28" t="n"/>
      <c r="J158" s="28" t="n"/>
      <c r="K158" s="34" t="n"/>
      <c r="L158" s="34" t="n"/>
      <c r="M158" s="29" t="n"/>
      <c r="N158" s="29" t="n"/>
      <c r="O158" s="29" t="n"/>
      <c r="P158" s="29" t="n"/>
      <c r="Q158" s="32" t="n"/>
    </row>
    <row r="159">
      <c r="A159" s="26" t="inlineStr">
        <is>
          <t>S39</t>
        </is>
      </c>
      <c r="B159" s="26" t="inlineStr">
        <is>
          <t>언양</t>
        </is>
      </c>
      <c r="C159" s="26" t="inlineStr">
        <is>
          <t>고압철탑</t>
        </is>
      </c>
      <c r="D159" s="31" t="n">
        <v>1</v>
      </c>
      <c r="E159" s="29" t="n"/>
      <c r="F159" s="32" t="n"/>
      <c r="G159" s="29" t="n"/>
      <c r="H159" s="33" t="n"/>
      <c r="I159" s="28" t="n"/>
      <c r="J159" s="28" t="n"/>
      <c r="K159" s="34" t="n"/>
      <c r="L159" s="34" t="n"/>
      <c r="M159" s="29" t="n"/>
      <c r="N159" s="29" t="n"/>
      <c r="O159" s="29" t="n"/>
      <c r="P159" s="29" t="n"/>
      <c r="Q159" s="32" t="n"/>
    </row>
    <row r="160">
      <c r="A160" s="26" t="inlineStr">
        <is>
          <t>S39</t>
        </is>
      </c>
      <c r="B160" s="26" t="inlineStr">
        <is>
          <t>언양</t>
        </is>
      </c>
      <c r="C160" s="26" t="inlineStr">
        <is>
          <t>송전탑</t>
        </is>
      </c>
      <c r="D160" s="31" t="n">
        <v>0.5</v>
      </c>
      <c r="E160" s="29" t="n"/>
      <c r="F160" s="32" t="n"/>
      <c r="G160" s="29" t="n"/>
      <c r="H160" s="33" t="n"/>
      <c r="I160" s="28" t="n"/>
      <c r="J160" s="28" t="n"/>
      <c r="K160" s="34" t="n"/>
      <c r="L160" s="34" t="n"/>
      <c r="M160" s="29" t="n"/>
      <c r="N160" s="29" t="n"/>
      <c r="O160" s="29" t="n"/>
      <c r="P160" s="29" t="n"/>
      <c r="Q160" s="32" t="n"/>
    </row>
    <row r="161">
      <c r="A161" s="26" t="inlineStr">
        <is>
          <t>S40</t>
        </is>
      </c>
      <c r="B161" s="26" t="inlineStr">
        <is>
          <t>남지</t>
        </is>
      </c>
      <c r="C161" s="26" t="inlineStr">
        <is>
          <t>직류철도</t>
        </is>
      </c>
      <c r="D161" s="31" t="n">
        <v>5</v>
      </c>
      <c r="E161" s="29" t="n"/>
      <c r="F161" s="32" t="n"/>
      <c r="G161" s="29" t="n"/>
      <c r="H161" s="33" t="n"/>
      <c r="I161" s="28" t="n"/>
      <c r="J161" s="28" t="n"/>
      <c r="K161" s="34" t="n"/>
      <c r="L161" s="34" t="n"/>
      <c r="M161" s="29" t="n"/>
      <c r="N161" s="29" t="n"/>
      <c r="O161" s="29" t="n"/>
      <c r="P161" s="29" t="n"/>
      <c r="Q161" s="32" t="n"/>
    </row>
    <row r="162">
      <c r="A162" s="26" t="inlineStr">
        <is>
          <t>S40</t>
        </is>
      </c>
      <c r="B162" s="26" t="inlineStr">
        <is>
          <t>남지</t>
        </is>
      </c>
      <c r="C162" s="26" t="inlineStr">
        <is>
          <t>교류·일반철도</t>
        </is>
      </c>
      <c r="D162" s="31" t="n">
        <v>2</v>
      </c>
      <c r="E162" s="29" t="n"/>
      <c r="F162" s="32" t="n"/>
      <c r="G162" s="29" t="n"/>
      <c r="H162" s="33" t="n"/>
      <c r="I162" s="28" t="n"/>
      <c r="J162" s="28" t="n"/>
      <c r="K162" s="34" t="n"/>
      <c r="L162" s="34" t="n"/>
      <c r="M162" s="29" t="n"/>
      <c r="N162" s="29" t="n"/>
      <c r="O162" s="29" t="n"/>
      <c r="P162" s="29" t="n"/>
      <c r="Q162" s="32" t="n"/>
    </row>
    <row r="163">
      <c r="A163" s="26" t="inlineStr">
        <is>
          <t>S40</t>
        </is>
      </c>
      <c r="B163" s="26" t="inlineStr">
        <is>
          <t>남지</t>
        </is>
      </c>
      <c r="C163" s="26" t="inlineStr">
        <is>
          <t>고압철탑</t>
        </is>
      </c>
      <c r="D163" s="31" t="n">
        <v>1</v>
      </c>
      <c r="E163" s="29" t="n"/>
      <c r="F163" s="32" t="n"/>
      <c r="G163" s="29" t="n"/>
      <c r="H163" s="33" t="n"/>
      <c r="I163" s="28" t="n"/>
      <c r="J163" s="28" t="n"/>
      <c r="K163" s="34" t="n"/>
      <c r="L163" s="34" t="n"/>
      <c r="M163" s="29" t="n"/>
      <c r="N163" s="29" t="n"/>
      <c r="O163" s="29" t="n"/>
      <c r="P163" s="29" t="n"/>
      <c r="Q163" s="32" t="n"/>
    </row>
    <row r="164">
      <c r="A164" s="26" t="inlineStr">
        <is>
          <t>S40</t>
        </is>
      </c>
      <c r="B164" s="26" t="inlineStr">
        <is>
          <t>남지</t>
        </is>
      </c>
      <c r="C164" s="26" t="inlineStr">
        <is>
          <t>송전탑</t>
        </is>
      </c>
      <c r="D164" s="31" t="n">
        <v>0.5</v>
      </c>
      <c r="E164" s="29" t="n"/>
      <c r="F164" s="32" t="n"/>
      <c r="G164" s="29" t="n"/>
      <c r="H164" s="33" t="n"/>
      <c r="I164" s="28" t="n"/>
      <c r="J164" s="28" t="n"/>
      <c r="K164" s="34" t="n"/>
      <c r="L164" s="34" t="n"/>
      <c r="M164" s="29" t="n"/>
      <c r="N164" s="29" t="n"/>
      <c r="O164" s="29" t="n"/>
      <c r="P164" s="29" t="n"/>
      <c r="Q164" s="32" t="n"/>
    </row>
    <row r="165">
      <c r="A165" s="26" t="inlineStr">
        <is>
          <t>S41</t>
        </is>
      </c>
      <c r="B165" s="26" t="inlineStr">
        <is>
          <t>거제</t>
        </is>
      </c>
      <c r="C165" s="26" t="inlineStr">
        <is>
          <t>직류철도</t>
        </is>
      </c>
      <c r="D165" s="31" t="n">
        <v>5</v>
      </c>
      <c r="E165" s="29" t="n"/>
      <c r="F165" s="32" t="n"/>
      <c r="G165" s="29" t="n"/>
      <c r="H165" s="33" t="n"/>
      <c r="I165" s="28" t="n"/>
      <c r="J165" s="28" t="n"/>
      <c r="K165" s="34" t="n"/>
      <c r="L165" s="34" t="n"/>
      <c r="M165" s="29" t="n"/>
      <c r="N165" s="29" t="n"/>
      <c r="O165" s="29" t="n"/>
      <c r="P165" s="29" t="n"/>
      <c r="Q165" s="32" t="n"/>
    </row>
    <row r="166">
      <c r="A166" s="26" t="inlineStr">
        <is>
          <t>S41</t>
        </is>
      </c>
      <c r="B166" s="26" t="inlineStr">
        <is>
          <t>거제</t>
        </is>
      </c>
      <c r="C166" s="26" t="inlineStr">
        <is>
          <t>교류·일반철도</t>
        </is>
      </c>
      <c r="D166" s="31" t="n">
        <v>2</v>
      </c>
      <c r="E166" s="29" t="n"/>
      <c r="F166" s="32" t="n"/>
      <c r="G166" s="29" t="n"/>
      <c r="H166" s="33" t="n"/>
      <c r="I166" s="28" t="n"/>
      <c r="J166" s="28" t="n"/>
      <c r="K166" s="34" t="n"/>
      <c r="L166" s="34" t="n"/>
      <c r="M166" s="29" t="n"/>
      <c r="N166" s="29" t="n"/>
      <c r="O166" s="29" t="n"/>
      <c r="P166" s="29" t="n"/>
      <c r="Q166" s="32" t="n"/>
    </row>
    <row r="167">
      <c r="A167" s="26" t="inlineStr">
        <is>
          <t>S41</t>
        </is>
      </c>
      <c r="B167" s="26" t="inlineStr">
        <is>
          <t>거제</t>
        </is>
      </c>
      <c r="C167" s="26" t="inlineStr">
        <is>
          <t>고압철탑</t>
        </is>
      </c>
      <c r="D167" s="31" t="n">
        <v>1</v>
      </c>
      <c r="E167" s="29" t="n"/>
      <c r="F167" s="32" t="n"/>
      <c r="G167" s="29" t="n"/>
      <c r="H167" s="33" t="n"/>
      <c r="I167" s="28" t="n"/>
      <c r="J167" s="28" t="n"/>
      <c r="K167" s="34" t="n"/>
      <c r="L167" s="34" t="n"/>
      <c r="M167" s="29" t="n"/>
      <c r="N167" s="29" t="n"/>
      <c r="O167" s="29" t="n"/>
      <c r="P167" s="29" t="n"/>
      <c r="Q167" s="32" t="n"/>
    </row>
    <row r="168">
      <c r="A168" s="26" t="inlineStr">
        <is>
          <t>S41</t>
        </is>
      </c>
      <c r="B168" s="26" t="inlineStr">
        <is>
          <t>거제</t>
        </is>
      </c>
      <c r="C168" s="26" t="inlineStr">
        <is>
          <t>송전탑</t>
        </is>
      </c>
      <c r="D168" s="31" t="n">
        <v>0.5</v>
      </c>
      <c r="E168" s="29" t="n"/>
      <c r="F168" s="32" t="n"/>
      <c r="G168" s="29" t="n"/>
      <c r="H168" s="33" t="n"/>
      <c r="I168" s="28" t="n"/>
      <c r="J168" s="28" t="n"/>
      <c r="K168" s="34" t="n"/>
      <c r="L168" s="34" t="n"/>
      <c r="M168" s="29" t="n"/>
      <c r="N168" s="29" t="n"/>
      <c r="O168" s="29" t="n"/>
      <c r="P168" s="29" t="n"/>
      <c r="Q168" s="32" t="n"/>
    </row>
    <row r="169">
      <c r="A169" s="26" t="inlineStr">
        <is>
          <t>S42</t>
        </is>
      </c>
      <c r="B169" s="26" t="inlineStr">
        <is>
          <t>조도</t>
        </is>
      </c>
      <c r="C169" s="26" t="inlineStr">
        <is>
          <t>직류철도</t>
        </is>
      </c>
      <c r="D169" s="31" t="n">
        <v>5</v>
      </c>
      <c r="E169" s="29" t="n"/>
      <c r="F169" s="32" t="n"/>
      <c r="G169" s="29" t="n"/>
      <c r="H169" s="33" t="n"/>
      <c r="I169" s="28" t="n"/>
      <c r="J169" s="28" t="n"/>
      <c r="K169" s="34" t="n"/>
      <c r="L169" s="34" t="n"/>
      <c r="M169" s="29" t="n"/>
      <c r="N169" s="29" t="n"/>
      <c r="O169" s="29" t="n"/>
      <c r="P169" s="29" t="n"/>
      <c r="Q169" s="32" t="n"/>
    </row>
    <row r="170">
      <c r="A170" s="26" t="inlineStr">
        <is>
          <t>S42</t>
        </is>
      </c>
      <c r="B170" s="26" t="inlineStr">
        <is>
          <t>조도</t>
        </is>
      </c>
      <c r="C170" s="26" t="inlineStr">
        <is>
          <t>교류·일반철도</t>
        </is>
      </c>
      <c r="D170" s="31" t="n">
        <v>2</v>
      </c>
      <c r="E170" s="29" t="n"/>
      <c r="F170" s="32" t="n"/>
      <c r="G170" s="29" t="n"/>
      <c r="H170" s="33" t="n"/>
      <c r="I170" s="28" t="n"/>
      <c r="J170" s="28" t="n"/>
      <c r="K170" s="34" t="n"/>
      <c r="L170" s="34" t="n"/>
      <c r="M170" s="29" t="n"/>
      <c r="N170" s="29" t="n"/>
      <c r="O170" s="29" t="n"/>
      <c r="P170" s="29" t="n"/>
      <c r="Q170" s="32" t="n"/>
    </row>
    <row r="171">
      <c r="A171" s="26" t="inlineStr">
        <is>
          <t>S42</t>
        </is>
      </c>
      <c r="B171" s="26" t="inlineStr">
        <is>
          <t>조도</t>
        </is>
      </c>
      <c r="C171" s="26" t="inlineStr">
        <is>
          <t>고압철탑</t>
        </is>
      </c>
      <c r="D171" s="31" t="n">
        <v>1</v>
      </c>
      <c r="E171" s="29" t="n"/>
      <c r="F171" s="32" t="n"/>
      <c r="G171" s="29" t="n"/>
      <c r="H171" s="33" t="n"/>
      <c r="I171" s="28" t="n"/>
      <c r="J171" s="28" t="n"/>
      <c r="K171" s="34" t="n"/>
      <c r="L171" s="34" t="n"/>
      <c r="M171" s="29" t="n"/>
      <c r="N171" s="29" t="n"/>
      <c r="O171" s="29" t="n"/>
      <c r="P171" s="29" t="n"/>
      <c r="Q171" s="32" t="n"/>
    </row>
    <row r="172">
      <c r="A172" s="26" t="inlineStr">
        <is>
          <t>S42</t>
        </is>
      </c>
      <c r="B172" s="26" t="inlineStr">
        <is>
          <t>조도</t>
        </is>
      </c>
      <c r="C172" s="26" t="inlineStr">
        <is>
          <t>송전탑</t>
        </is>
      </c>
      <c r="D172" s="31" t="n">
        <v>0.5</v>
      </c>
      <c r="E172" s="29" t="n"/>
      <c r="F172" s="32" t="n"/>
      <c r="G172" s="29" t="n"/>
      <c r="H172" s="33" t="n"/>
      <c r="I172" s="28" t="n"/>
      <c r="J172" s="28" t="n"/>
      <c r="K172" s="34" t="n"/>
      <c r="L172" s="34" t="n"/>
      <c r="M172" s="29" t="n"/>
      <c r="N172" s="29" t="n"/>
      <c r="O172" s="29" t="n"/>
      <c r="P172" s="29" t="n"/>
      <c r="Q172" s="32" t="n"/>
    </row>
    <row r="173">
      <c r="A173" s="26" t="inlineStr">
        <is>
          <t>S43</t>
        </is>
      </c>
      <c r="B173" s="26" t="inlineStr">
        <is>
          <t>포천</t>
        </is>
      </c>
      <c r="C173" s="26" t="inlineStr">
        <is>
          <t>직류철도</t>
        </is>
      </c>
      <c r="D173" s="31" t="n">
        <v>5</v>
      </c>
      <c r="E173" s="29" t="n"/>
      <c r="F173" s="32" t="n"/>
      <c r="G173" s="29" t="n"/>
      <c r="H173" s="33" t="n"/>
      <c r="I173" s="28" t="n"/>
      <c r="J173" s="28" t="n"/>
      <c r="K173" s="34" t="n"/>
      <c r="L173" s="34" t="n"/>
      <c r="M173" s="29" t="n"/>
      <c r="N173" s="29" t="n"/>
      <c r="O173" s="29" t="n"/>
      <c r="P173" s="29" t="n"/>
      <c r="Q173" s="32" t="n"/>
    </row>
    <row r="174">
      <c r="A174" s="26" t="inlineStr">
        <is>
          <t>S43</t>
        </is>
      </c>
      <c r="B174" s="26" t="inlineStr">
        <is>
          <t>포천</t>
        </is>
      </c>
      <c r="C174" s="26" t="inlineStr">
        <is>
          <t>교류·일반철도</t>
        </is>
      </c>
      <c r="D174" s="31" t="n">
        <v>2</v>
      </c>
      <c r="E174" s="29" t="n"/>
      <c r="F174" s="32" t="n"/>
      <c r="G174" s="29" t="n"/>
      <c r="H174" s="33" t="n"/>
      <c r="I174" s="28" t="n"/>
      <c r="J174" s="28" t="n"/>
      <c r="K174" s="34" t="n"/>
      <c r="L174" s="34" t="n"/>
      <c r="M174" s="29" t="n"/>
      <c r="N174" s="29" t="n"/>
      <c r="O174" s="29" t="n"/>
      <c r="P174" s="29" t="n"/>
      <c r="Q174" s="32" t="n"/>
    </row>
    <row r="175">
      <c r="A175" s="26" t="inlineStr">
        <is>
          <t>S43</t>
        </is>
      </c>
      <c r="B175" s="26" t="inlineStr">
        <is>
          <t>포천</t>
        </is>
      </c>
      <c r="C175" s="26" t="inlineStr">
        <is>
          <t>고압철탑</t>
        </is>
      </c>
      <c r="D175" s="31" t="n">
        <v>1</v>
      </c>
      <c r="E175" s="29" t="n"/>
      <c r="F175" s="32" t="n"/>
      <c r="G175" s="29" t="n"/>
      <c r="H175" s="33" t="n"/>
      <c r="I175" s="28" t="n"/>
      <c r="J175" s="28" t="n"/>
      <c r="K175" s="34" t="n"/>
      <c r="L175" s="34" t="n"/>
      <c r="M175" s="29" t="n"/>
      <c r="N175" s="29" t="n"/>
      <c r="O175" s="29" t="n"/>
      <c r="P175" s="29" t="n"/>
      <c r="Q175" s="32" t="n"/>
    </row>
    <row r="176">
      <c r="A176" s="26" t="inlineStr">
        <is>
          <t>S43</t>
        </is>
      </c>
      <c r="B176" s="26" t="inlineStr">
        <is>
          <t>포천</t>
        </is>
      </c>
      <c r="C176" s="26" t="inlineStr">
        <is>
          <t>송전탑</t>
        </is>
      </c>
      <c r="D176" s="31" t="n">
        <v>0.5</v>
      </c>
      <c r="E176" s="29" t="n"/>
      <c r="F176" s="32" t="n"/>
      <c r="G176" s="29" t="n"/>
      <c r="H176" s="33" t="n"/>
      <c r="I176" s="28" t="n"/>
      <c r="J176" s="28" t="n"/>
      <c r="K176" s="34" t="n"/>
      <c r="L176" s="34" t="n"/>
      <c r="M176" s="29" t="n"/>
      <c r="N176" s="29" t="n"/>
      <c r="O176" s="29" t="n"/>
      <c r="P176" s="29" t="n"/>
      <c r="Q176" s="32" t="n"/>
    </row>
    <row r="177">
      <c r="A177" s="26" t="inlineStr">
        <is>
          <t>S44</t>
        </is>
      </c>
      <c r="B177" s="26" t="inlineStr">
        <is>
          <t>성산</t>
        </is>
      </c>
      <c r="C177" s="26" t="inlineStr">
        <is>
          <t>직류철도</t>
        </is>
      </c>
      <c r="D177" s="31" t="n">
        <v>5</v>
      </c>
      <c r="E177" s="29" t="n"/>
      <c r="F177" s="32" t="n"/>
      <c r="G177" s="29" t="n"/>
      <c r="H177" s="33" t="n"/>
      <c r="I177" s="28" t="n"/>
      <c r="J177" s="28" t="n"/>
      <c r="K177" s="34" t="n"/>
      <c r="L177" s="34" t="n"/>
      <c r="M177" s="29" t="n"/>
      <c r="N177" s="29" t="n"/>
      <c r="O177" s="29" t="n"/>
      <c r="P177" s="29" t="n"/>
      <c r="Q177" s="32" t="n"/>
    </row>
    <row r="178">
      <c r="A178" s="26" t="inlineStr">
        <is>
          <t>S44</t>
        </is>
      </c>
      <c r="B178" s="26" t="inlineStr">
        <is>
          <t>성산</t>
        </is>
      </c>
      <c r="C178" s="26" t="inlineStr">
        <is>
          <t>교류·일반철도</t>
        </is>
      </c>
      <c r="D178" s="31" t="n">
        <v>2</v>
      </c>
      <c r="E178" s="29" t="n"/>
      <c r="F178" s="32" t="n"/>
      <c r="G178" s="29" t="n"/>
      <c r="H178" s="33" t="n"/>
      <c r="I178" s="28" t="n"/>
      <c r="J178" s="28" t="n"/>
      <c r="K178" s="34" t="n"/>
      <c r="L178" s="34" t="n"/>
      <c r="M178" s="29" t="n"/>
      <c r="N178" s="29" t="n"/>
      <c r="O178" s="29" t="n"/>
      <c r="P178" s="29" t="n"/>
      <c r="Q178" s="32" t="n"/>
    </row>
    <row r="179">
      <c r="A179" s="26" t="inlineStr">
        <is>
          <t>S44</t>
        </is>
      </c>
      <c r="B179" s="26" t="inlineStr">
        <is>
          <t>성산</t>
        </is>
      </c>
      <c r="C179" s="26" t="inlineStr">
        <is>
          <t>고압철탑</t>
        </is>
      </c>
      <c r="D179" s="31" t="n">
        <v>1</v>
      </c>
      <c r="E179" s="29" t="n"/>
      <c r="F179" s="32" t="n"/>
      <c r="G179" s="29" t="n"/>
      <c r="H179" s="33" t="n"/>
      <c r="I179" s="28" t="n"/>
      <c r="J179" s="28" t="n"/>
      <c r="K179" s="34" t="n"/>
      <c r="L179" s="34" t="n"/>
      <c r="M179" s="29" t="n"/>
      <c r="N179" s="29" t="n"/>
      <c r="O179" s="29" t="n"/>
      <c r="P179" s="29" t="n"/>
      <c r="Q179" s="32" t="n"/>
    </row>
    <row r="180">
      <c r="A180" s="26" t="inlineStr">
        <is>
          <t>S44</t>
        </is>
      </c>
      <c r="B180" s="26" t="inlineStr">
        <is>
          <t>성산</t>
        </is>
      </c>
      <c r="C180" s="26" t="inlineStr">
        <is>
          <t>송전탑</t>
        </is>
      </c>
      <c r="D180" s="31" t="n">
        <v>0.5</v>
      </c>
      <c r="E180" s="29" t="n"/>
      <c r="F180" s="32" t="n"/>
      <c r="G180" s="29" t="n"/>
      <c r="H180" s="33" t="n"/>
      <c r="I180" s="28" t="n"/>
      <c r="J180" s="28" t="n"/>
      <c r="K180" s="34" t="n"/>
      <c r="L180" s="34" t="n"/>
      <c r="M180" s="29" t="n"/>
      <c r="N180" s="29" t="n"/>
      <c r="O180" s="29" t="n"/>
      <c r="P180" s="29" t="n"/>
      <c r="Q180" s="32" t="n"/>
    </row>
    <row r="181">
      <c r="A181" s="26" t="inlineStr">
        <is>
          <t>S45</t>
        </is>
      </c>
      <c r="B181" s="26" t="inlineStr">
        <is>
          <t>여주</t>
        </is>
      </c>
      <c r="C181" s="26" t="inlineStr">
        <is>
          <t>직류철도</t>
        </is>
      </c>
      <c r="D181" s="31" t="n">
        <v>5</v>
      </c>
      <c r="E181" s="29" t="n"/>
      <c r="F181" s="32" t="n"/>
      <c r="G181" s="29" t="n"/>
      <c r="H181" s="33" t="n"/>
      <c r="I181" s="28" t="n"/>
      <c r="J181" s="28" t="n"/>
      <c r="K181" s="34" t="n"/>
      <c r="L181" s="34" t="n"/>
      <c r="M181" s="29" t="n"/>
      <c r="N181" s="29" t="n"/>
      <c r="O181" s="29" t="n"/>
      <c r="P181" s="29" t="n"/>
      <c r="Q181" s="32" t="n"/>
    </row>
    <row r="182">
      <c r="A182" s="26" t="inlineStr">
        <is>
          <t>S45</t>
        </is>
      </c>
      <c r="B182" s="26" t="inlineStr">
        <is>
          <t>여주</t>
        </is>
      </c>
      <c r="C182" s="26" t="inlineStr">
        <is>
          <t>교류·일반철도</t>
        </is>
      </c>
      <c r="D182" s="31" t="n">
        <v>2</v>
      </c>
      <c r="E182" s="29" t="n"/>
      <c r="F182" s="32" t="n"/>
      <c r="G182" s="29" t="n"/>
      <c r="H182" s="33" t="n"/>
      <c r="I182" s="28" t="n"/>
      <c r="J182" s="28" t="n"/>
      <c r="K182" s="34" t="n"/>
      <c r="L182" s="34" t="n"/>
      <c r="M182" s="29" t="n"/>
      <c r="N182" s="29" t="n"/>
      <c r="O182" s="29" t="n"/>
      <c r="P182" s="29" t="n"/>
      <c r="Q182" s="32" t="n"/>
    </row>
    <row r="183">
      <c r="A183" s="26" t="inlineStr">
        <is>
          <t>S45</t>
        </is>
      </c>
      <c r="B183" s="26" t="inlineStr">
        <is>
          <t>여주</t>
        </is>
      </c>
      <c r="C183" s="26" t="inlineStr">
        <is>
          <t>고압철탑</t>
        </is>
      </c>
      <c r="D183" s="31" t="n">
        <v>1</v>
      </c>
      <c r="E183" s="29" t="n"/>
      <c r="F183" s="32" t="n"/>
      <c r="G183" s="29" t="n"/>
      <c r="H183" s="33" t="n"/>
      <c r="I183" s="28" t="n"/>
      <c r="J183" s="28" t="n"/>
      <c r="K183" s="34" t="n"/>
      <c r="L183" s="34" t="n"/>
      <c r="M183" s="29" t="n"/>
      <c r="N183" s="29" t="n"/>
      <c r="O183" s="29" t="n"/>
      <c r="P183" s="29" t="n"/>
      <c r="Q183" s="32" t="n"/>
    </row>
    <row r="184">
      <c r="A184" s="26" t="inlineStr">
        <is>
          <t>S45</t>
        </is>
      </c>
      <c r="B184" s="26" t="inlineStr">
        <is>
          <t>여주</t>
        </is>
      </c>
      <c r="C184" s="26" t="inlineStr">
        <is>
          <t>송전탑</t>
        </is>
      </c>
      <c r="D184" s="31" t="n">
        <v>0.5</v>
      </c>
      <c r="E184" s="29" t="n"/>
      <c r="F184" s="32" t="n"/>
      <c r="G184" s="29" t="n"/>
      <c r="H184" s="33" t="n"/>
      <c r="I184" s="28" t="n"/>
      <c r="J184" s="28" t="n"/>
      <c r="K184" s="34" t="n"/>
      <c r="L184" s="34" t="n"/>
      <c r="M184" s="29" t="n"/>
      <c r="N184" s="29" t="n"/>
      <c r="O184" s="29" t="n"/>
      <c r="P184" s="29" t="n"/>
      <c r="Q184" s="32" t="n"/>
    </row>
    <row r="185">
      <c r="A185" s="26" t="inlineStr">
        <is>
          <t>S46</t>
        </is>
      </c>
      <c r="B185" s="26" t="inlineStr">
        <is>
          <t>화천</t>
        </is>
      </c>
      <c r="C185" s="26" t="inlineStr">
        <is>
          <t>직류철도</t>
        </is>
      </c>
      <c r="D185" s="31" t="n">
        <v>5</v>
      </c>
      <c r="E185" s="29" t="n"/>
      <c r="F185" s="32" t="n"/>
      <c r="G185" s="29" t="n"/>
      <c r="H185" s="33" t="n"/>
      <c r="I185" s="28" t="n"/>
      <c r="J185" s="28" t="n"/>
      <c r="K185" s="34" t="n"/>
      <c r="L185" s="34" t="n"/>
      <c r="M185" s="29" t="n"/>
      <c r="N185" s="29" t="n"/>
      <c r="O185" s="29" t="n"/>
      <c r="P185" s="29" t="n"/>
      <c r="Q185" s="32" t="n"/>
    </row>
    <row r="186">
      <c r="A186" s="26" t="inlineStr">
        <is>
          <t>S46</t>
        </is>
      </c>
      <c r="B186" s="26" t="inlineStr">
        <is>
          <t>화천</t>
        </is>
      </c>
      <c r="C186" s="26" t="inlineStr">
        <is>
          <t>교류·일반철도</t>
        </is>
      </c>
      <c r="D186" s="31" t="n">
        <v>2</v>
      </c>
      <c r="E186" s="29" t="n"/>
      <c r="F186" s="32" t="n"/>
      <c r="G186" s="29" t="n"/>
      <c r="H186" s="33" t="n"/>
      <c r="I186" s="28" t="n"/>
      <c r="J186" s="28" t="n"/>
      <c r="K186" s="34" t="n"/>
      <c r="L186" s="34" t="n"/>
      <c r="M186" s="29" t="n"/>
      <c r="N186" s="29" t="n"/>
      <c r="O186" s="29" t="n"/>
      <c r="P186" s="29" t="n"/>
      <c r="Q186" s="32" t="n"/>
    </row>
    <row r="187">
      <c r="A187" s="26" t="inlineStr">
        <is>
          <t>S46</t>
        </is>
      </c>
      <c r="B187" s="26" t="inlineStr">
        <is>
          <t>화천</t>
        </is>
      </c>
      <c r="C187" s="26" t="inlineStr">
        <is>
          <t>고압철탑</t>
        </is>
      </c>
      <c r="D187" s="31" t="n">
        <v>1</v>
      </c>
      <c r="E187" s="29" t="n"/>
      <c r="F187" s="32" t="n"/>
      <c r="G187" s="29" t="n"/>
      <c r="H187" s="33" t="n"/>
      <c r="I187" s="28" t="n"/>
      <c r="J187" s="28" t="n"/>
      <c r="K187" s="34" t="n"/>
      <c r="L187" s="34" t="n"/>
      <c r="M187" s="29" t="n"/>
      <c r="N187" s="29" t="n"/>
      <c r="O187" s="29" t="n"/>
      <c r="P187" s="29" t="n"/>
      <c r="Q187" s="32" t="n"/>
    </row>
    <row r="188">
      <c r="A188" s="26" t="inlineStr">
        <is>
          <t>S46</t>
        </is>
      </c>
      <c r="B188" s="26" t="inlineStr">
        <is>
          <t>화천</t>
        </is>
      </c>
      <c r="C188" s="26" t="inlineStr">
        <is>
          <t>송전탑</t>
        </is>
      </c>
      <c r="D188" s="31" t="n">
        <v>0.5</v>
      </c>
      <c r="E188" s="29" t="n"/>
      <c r="F188" s="32" t="n"/>
      <c r="G188" s="29" t="n"/>
      <c r="H188" s="33" t="n"/>
      <c r="I188" s="28" t="n"/>
      <c r="J188" s="28" t="n"/>
      <c r="K188" s="34" t="n"/>
      <c r="L188" s="34" t="n"/>
      <c r="M188" s="29" t="n"/>
      <c r="N188" s="29" t="n"/>
      <c r="O188" s="29" t="n"/>
      <c r="P188" s="29" t="n"/>
      <c r="Q188" s="32" t="n"/>
    </row>
    <row r="189">
      <c r="A189" s="26" t="inlineStr">
        <is>
          <t>S47</t>
        </is>
      </c>
      <c r="B189" s="26" t="inlineStr">
        <is>
          <t>봉평</t>
        </is>
      </c>
      <c r="C189" s="26" t="inlineStr">
        <is>
          <t>직류철도</t>
        </is>
      </c>
      <c r="D189" s="31" t="n">
        <v>5</v>
      </c>
      <c r="E189" s="29" t="n"/>
      <c r="F189" s="32" t="n"/>
      <c r="G189" s="29" t="n"/>
      <c r="H189" s="33" t="n"/>
      <c r="I189" s="28" t="n"/>
      <c r="J189" s="28" t="n"/>
      <c r="K189" s="34" t="n"/>
      <c r="L189" s="34" t="n"/>
      <c r="M189" s="29" t="n"/>
      <c r="N189" s="29" t="n"/>
      <c r="O189" s="29" t="n"/>
      <c r="P189" s="29" t="n"/>
      <c r="Q189" s="32" t="n"/>
    </row>
    <row r="190">
      <c r="A190" s="26" t="inlineStr">
        <is>
          <t>S47</t>
        </is>
      </c>
      <c r="B190" s="26" t="inlineStr">
        <is>
          <t>봉평</t>
        </is>
      </c>
      <c r="C190" s="26" t="inlineStr">
        <is>
          <t>교류·일반철도</t>
        </is>
      </c>
      <c r="D190" s="31" t="n">
        <v>2</v>
      </c>
      <c r="E190" s="29" t="n"/>
      <c r="F190" s="32" t="n"/>
      <c r="G190" s="29" t="n"/>
      <c r="H190" s="33" t="n"/>
      <c r="I190" s="28" t="n"/>
      <c r="J190" s="28" t="n"/>
      <c r="K190" s="34" t="n"/>
      <c r="L190" s="34" t="n"/>
      <c r="M190" s="29" t="n"/>
      <c r="N190" s="29" t="n"/>
      <c r="O190" s="29" t="n"/>
      <c r="P190" s="29" t="n"/>
      <c r="Q190" s="32" t="n"/>
    </row>
    <row r="191">
      <c r="A191" s="26" t="inlineStr">
        <is>
          <t>S47</t>
        </is>
      </c>
      <c r="B191" s="26" t="inlineStr">
        <is>
          <t>봉평</t>
        </is>
      </c>
      <c r="C191" s="26" t="inlineStr">
        <is>
          <t>고압철탑</t>
        </is>
      </c>
      <c r="D191" s="31" t="n">
        <v>1</v>
      </c>
      <c r="E191" s="29" t="n"/>
      <c r="F191" s="32" t="n"/>
      <c r="G191" s="29" t="n"/>
      <c r="H191" s="33" t="n"/>
      <c r="I191" s="28" t="n"/>
      <c r="J191" s="28" t="n"/>
      <c r="K191" s="34" t="n"/>
      <c r="L191" s="34" t="n"/>
      <c r="M191" s="29" t="n"/>
      <c r="N191" s="29" t="n"/>
      <c r="O191" s="29" t="n"/>
      <c r="P191" s="29" t="n"/>
      <c r="Q191" s="32" t="n"/>
    </row>
    <row r="192">
      <c r="A192" s="26" t="inlineStr">
        <is>
          <t>S47</t>
        </is>
      </c>
      <c r="B192" s="26" t="inlineStr">
        <is>
          <t>봉평</t>
        </is>
      </c>
      <c r="C192" s="26" t="inlineStr">
        <is>
          <t>송전탑</t>
        </is>
      </c>
      <c r="D192" s="31" t="n">
        <v>0.5</v>
      </c>
      <c r="E192" s="29" t="n"/>
      <c r="F192" s="32" t="n"/>
      <c r="G192" s="29" t="n"/>
      <c r="H192" s="33" t="n"/>
      <c r="I192" s="28" t="n"/>
      <c r="J192" s="28" t="n"/>
      <c r="K192" s="34" t="n"/>
      <c r="L192" s="34" t="n"/>
      <c r="M192" s="29" t="n"/>
      <c r="N192" s="29" t="n"/>
      <c r="O192" s="29" t="n"/>
      <c r="P192" s="29" t="n"/>
      <c r="Q192" s="32" t="n"/>
    </row>
    <row r="193">
      <c r="A193" s="26" t="inlineStr">
        <is>
          <t>S48</t>
        </is>
      </c>
      <c r="B193" s="26" t="inlineStr">
        <is>
          <t>삼척</t>
        </is>
      </c>
      <c r="C193" s="26" t="inlineStr">
        <is>
          <t>직류철도</t>
        </is>
      </c>
      <c r="D193" s="31" t="n">
        <v>5</v>
      </c>
      <c r="E193" s="29" t="n"/>
      <c r="F193" s="32" t="n"/>
      <c r="G193" s="29" t="n"/>
      <c r="H193" s="33" t="n"/>
      <c r="I193" s="28" t="n"/>
      <c r="J193" s="28" t="n"/>
      <c r="K193" s="34" t="n"/>
      <c r="L193" s="34" t="n"/>
      <c r="M193" s="29" t="n"/>
      <c r="N193" s="29" t="n"/>
      <c r="O193" s="29" t="n"/>
      <c r="P193" s="29" t="n"/>
      <c r="Q193" s="32" t="n"/>
    </row>
    <row r="194">
      <c r="A194" s="26" t="inlineStr">
        <is>
          <t>S48</t>
        </is>
      </c>
      <c r="B194" s="26" t="inlineStr">
        <is>
          <t>삼척</t>
        </is>
      </c>
      <c r="C194" s="26" t="inlineStr">
        <is>
          <t>교류·일반철도</t>
        </is>
      </c>
      <c r="D194" s="31" t="n">
        <v>2</v>
      </c>
      <c r="E194" s="29" t="n"/>
      <c r="F194" s="32" t="n"/>
      <c r="G194" s="29" t="n"/>
      <c r="H194" s="33" t="n"/>
      <c r="I194" s="28" t="n"/>
      <c r="J194" s="28" t="n"/>
      <c r="K194" s="34" t="n"/>
      <c r="L194" s="34" t="n"/>
      <c r="M194" s="29" t="n"/>
      <c r="N194" s="29" t="n"/>
      <c r="O194" s="29" t="n"/>
      <c r="P194" s="29" t="n"/>
      <c r="Q194" s="32" t="n"/>
    </row>
    <row r="195">
      <c r="A195" s="26" t="inlineStr">
        <is>
          <t>S48</t>
        </is>
      </c>
      <c r="B195" s="26" t="inlineStr">
        <is>
          <t>삼척</t>
        </is>
      </c>
      <c r="C195" s="26" t="inlineStr">
        <is>
          <t>고압철탑</t>
        </is>
      </c>
      <c r="D195" s="31" t="n">
        <v>1</v>
      </c>
      <c r="E195" s="29" t="n"/>
      <c r="F195" s="32" t="n"/>
      <c r="G195" s="29" t="n"/>
      <c r="H195" s="33" t="n"/>
      <c r="I195" s="28" t="n"/>
      <c r="J195" s="28" t="n"/>
      <c r="K195" s="34" t="n"/>
      <c r="L195" s="34" t="n"/>
      <c r="M195" s="29" t="n"/>
      <c r="N195" s="29" t="n"/>
      <c r="O195" s="29" t="n"/>
      <c r="P195" s="29" t="n"/>
      <c r="Q195" s="32" t="n"/>
    </row>
    <row r="196">
      <c r="A196" s="26" t="inlineStr">
        <is>
          <t>S48</t>
        </is>
      </c>
      <c r="B196" s="26" t="inlineStr">
        <is>
          <t>삼척</t>
        </is>
      </c>
      <c r="C196" s="26" t="inlineStr">
        <is>
          <t>송전탑</t>
        </is>
      </c>
      <c r="D196" s="31" t="n">
        <v>0.5</v>
      </c>
      <c r="E196" s="29" t="n"/>
      <c r="F196" s="32" t="n"/>
      <c r="G196" s="29" t="n"/>
      <c r="H196" s="33" t="n"/>
      <c r="I196" s="28" t="n"/>
      <c r="J196" s="28" t="n"/>
      <c r="K196" s="34" t="n"/>
      <c r="L196" s="34" t="n"/>
      <c r="M196" s="29" t="n"/>
      <c r="N196" s="29" t="n"/>
      <c r="O196" s="29" t="n"/>
      <c r="P196" s="29" t="n"/>
      <c r="Q196" s="32" t="n"/>
    </row>
    <row r="197">
      <c r="A197" s="26" t="inlineStr">
        <is>
          <t>S49</t>
        </is>
      </c>
      <c r="B197" s="26" t="inlineStr">
        <is>
          <t>제천</t>
        </is>
      </c>
      <c r="C197" s="26" t="inlineStr">
        <is>
          <t>직류철도</t>
        </is>
      </c>
      <c r="D197" s="31" t="n">
        <v>5</v>
      </c>
      <c r="E197" s="29" t="n"/>
      <c r="F197" s="32" t="n"/>
      <c r="G197" s="29" t="n"/>
      <c r="H197" s="33" t="n"/>
      <c r="I197" s="28" t="n"/>
      <c r="J197" s="28" t="n"/>
      <c r="K197" s="34" t="n"/>
      <c r="L197" s="34" t="n"/>
      <c r="M197" s="29" t="n"/>
      <c r="N197" s="29" t="n"/>
      <c r="O197" s="29" t="n"/>
      <c r="P197" s="29" t="n"/>
      <c r="Q197" s="32" t="n"/>
    </row>
    <row r="198">
      <c r="A198" s="26" t="inlineStr">
        <is>
          <t>S49</t>
        </is>
      </c>
      <c r="B198" s="26" t="inlineStr">
        <is>
          <t>제천</t>
        </is>
      </c>
      <c r="C198" s="26" t="inlineStr">
        <is>
          <t>교류·일반철도</t>
        </is>
      </c>
      <c r="D198" s="31" t="n">
        <v>2</v>
      </c>
      <c r="E198" s="29" t="n"/>
      <c r="F198" s="32" t="n"/>
      <c r="G198" s="29" t="n"/>
      <c r="H198" s="33" t="n"/>
      <c r="I198" s="28" t="n"/>
      <c r="J198" s="28" t="n"/>
      <c r="K198" s="34" t="n"/>
      <c r="L198" s="34" t="n"/>
      <c r="M198" s="29" t="n"/>
      <c r="N198" s="29" t="n"/>
      <c r="O198" s="29" t="n"/>
      <c r="P198" s="29" t="n"/>
      <c r="Q198" s="32" t="n"/>
    </row>
    <row r="199">
      <c r="A199" s="26" t="inlineStr">
        <is>
          <t>S49</t>
        </is>
      </c>
      <c r="B199" s="26" t="inlineStr">
        <is>
          <t>제천</t>
        </is>
      </c>
      <c r="C199" s="26" t="inlineStr">
        <is>
          <t>고압철탑</t>
        </is>
      </c>
      <c r="D199" s="31" t="n">
        <v>1</v>
      </c>
      <c r="E199" s="29" t="n"/>
      <c r="F199" s="32" t="n"/>
      <c r="G199" s="29" t="n"/>
      <c r="H199" s="33" t="n"/>
      <c r="I199" s="28" t="n"/>
      <c r="J199" s="28" t="n"/>
      <c r="K199" s="34" t="n"/>
      <c r="L199" s="34" t="n"/>
      <c r="M199" s="29" t="n"/>
      <c r="N199" s="29" t="n"/>
      <c r="O199" s="29" t="n"/>
      <c r="P199" s="29" t="n"/>
      <c r="Q199" s="32" t="n"/>
    </row>
    <row r="200">
      <c r="A200" s="26" t="inlineStr">
        <is>
          <t>S49</t>
        </is>
      </c>
      <c r="B200" s="26" t="inlineStr">
        <is>
          <t>제천</t>
        </is>
      </c>
      <c r="C200" s="26" t="inlineStr">
        <is>
          <t>송전탑</t>
        </is>
      </c>
      <c r="D200" s="31" t="n">
        <v>0.5</v>
      </c>
      <c r="E200" s="29" t="n"/>
      <c r="F200" s="32" t="n"/>
      <c r="G200" s="29" t="n"/>
      <c r="H200" s="33" t="n"/>
      <c r="I200" s="28" t="n"/>
      <c r="J200" s="28" t="n"/>
      <c r="K200" s="34" t="n"/>
      <c r="L200" s="34" t="n"/>
      <c r="M200" s="29" t="n"/>
      <c r="N200" s="29" t="n"/>
      <c r="O200" s="29" t="n"/>
      <c r="P200" s="29" t="n"/>
      <c r="Q200" s="32" t="n"/>
    </row>
    <row r="201">
      <c r="A201" s="26" t="inlineStr">
        <is>
          <t>S50</t>
        </is>
      </c>
      <c r="B201" s="26" t="inlineStr">
        <is>
          <t>함양</t>
        </is>
      </c>
      <c r="C201" s="26" t="inlineStr">
        <is>
          <t>직류철도</t>
        </is>
      </c>
      <c r="D201" s="31" t="n">
        <v>5</v>
      </c>
      <c r="E201" s="29" t="n"/>
      <c r="F201" s="32" t="n"/>
      <c r="G201" s="29" t="n"/>
      <c r="H201" s="33" t="n"/>
      <c r="I201" s="28" t="n"/>
      <c r="J201" s="28" t="n"/>
      <c r="K201" s="34" t="n"/>
      <c r="L201" s="34" t="n"/>
      <c r="M201" s="29" t="n"/>
      <c r="N201" s="29" t="n"/>
      <c r="O201" s="29" t="n"/>
      <c r="P201" s="29" t="n"/>
      <c r="Q201" s="32" t="n"/>
    </row>
    <row r="202">
      <c r="A202" s="26" t="inlineStr">
        <is>
          <t>S50</t>
        </is>
      </c>
      <c r="B202" s="26" t="inlineStr">
        <is>
          <t>함양</t>
        </is>
      </c>
      <c r="C202" s="26" t="inlineStr">
        <is>
          <t>교류·일반철도</t>
        </is>
      </c>
      <c r="D202" s="31" t="n">
        <v>2</v>
      </c>
      <c r="E202" s="29" t="n"/>
      <c r="F202" s="32" t="n"/>
      <c r="G202" s="29" t="n"/>
      <c r="H202" s="33" t="n"/>
      <c r="I202" s="28" t="n"/>
      <c r="J202" s="28" t="n"/>
      <c r="K202" s="34" t="n"/>
      <c r="L202" s="34" t="n"/>
      <c r="M202" s="29" t="n"/>
      <c r="N202" s="29" t="n"/>
      <c r="O202" s="29" t="n"/>
      <c r="P202" s="29" t="n"/>
      <c r="Q202" s="32" t="n"/>
    </row>
    <row r="203">
      <c r="A203" s="26" t="inlineStr">
        <is>
          <t>S50</t>
        </is>
      </c>
      <c r="B203" s="26" t="inlineStr">
        <is>
          <t>함양</t>
        </is>
      </c>
      <c r="C203" s="26" t="inlineStr">
        <is>
          <t>고압철탑</t>
        </is>
      </c>
      <c r="D203" s="31" t="n">
        <v>1</v>
      </c>
      <c r="E203" s="29" t="n"/>
      <c r="F203" s="32" t="n"/>
      <c r="G203" s="29" t="n"/>
      <c r="H203" s="33" t="n"/>
      <c r="I203" s="28" t="n"/>
      <c r="J203" s="28" t="n"/>
      <c r="K203" s="34" t="n"/>
      <c r="L203" s="34" t="n"/>
      <c r="M203" s="29" t="n"/>
      <c r="N203" s="29" t="n"/>
      <c r="O203" s="29" t="n"/>
      <c r="P203" s="29" t="n"/>
      <c r="Q203" s="32" t="n"/>
    </row>
    <row r="204">
      <c r="A204" s="26" t="inlineStr">
        <is>
          <t>S50</t>
        </is>
      </c>
      <c r="B204" s="26" t="inlineStr">
        <is>
          <t>함양</t>
        </is>
      </c>
      <c r="C204" s="26" t="inlineStr">
        <is>
          <t>송전탑</t>
        </is>
      </c>
      <c r="D204" s="31" t="n">
        <v>0.5</v>
      </c>
      <c r="E204" s="29" t="n"/>
      <c r="F204" s="32" t="n"/>
      <c r="G204" s="29" t="n"/>
      <c r="H204" s="33" t="n"/>
      <c r="I204" s="28" t="n"/>
      <c r="J204" s="28" t="n"/>
      <c r="K204" s="34" t="n"/>
      <c r="L204" s="34" t="n"/>
      <c r="M204" s="29" t="n"/>
      <c r="N204" s="29" t="n"/>
      <c r="O204" s="29" t="n"/>
      <c r="P204" s="29" t="n"/>
      <c r="Q204" s="32" t="n"/>
    </row>
  </sheetData>
  <mergeCells count="3">
    <mergeCell ref="A3:N3"/>
    <mergeCell ref="A2:N2"/>
    <mergeCell ref="A1:N1"/>
  </mergeCells>
  <dataValidations count="2">
    <dataValidation sqref="M5:M204" showDropDown="0" showInputMessage="0" showErrorMessage="0" allowBlank="1" type="list">
      <formula1>"도상만,현장 실측,지자체 확인,PENDING"</formula1>
    </dataValidation>
    <dataValidation sqref="O5:O204" showDropDown="0" showInputMessage="0" showErrorMessage="0" allowBlank="1" type="list">
      <formula1>"적합,부적합,PENDING,NOT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2" customWidth="1" min="17" max="17"/>
  </cols>
  <sheetData>
    <row r="1" ht="26" customHeight="1">
      <c r="A1" s="1" t="inlineStr">
        <is>
          <t>기존 관측점 16점 — 과거 성과와의 «성분별» 대조 가능성</t>
        </is>
      </c>
    </row>
    <row r="2" ht="47" customHeight="1">
      <c r="A2" s="3" t="inlineStr">
        <is>
          <t>기존 성과가 남아 있다는 것과 그 값을 지금 값과 견줄 수 있다는 것은 다른 이야기입니다. 과거 기록에는 방문할 때마다 달라진 마크 방위각(재방문 잔여 RMS 33.7분), 아예 적히지 않은 F 측정시각, 정반대로 적힌 방위 방향이 섞여 있습니다. 그래서 편각 D 와, 시간보정이 필요한 F 는 그냥 빼서 비교할 수가 없습니다.</t>
        </is>
      </c>
    </row>
    <row r="3" ht="33" customHeight="1">
      <c r="A3" s="2" t="inlineStr">
        <is>
          <t>HOLD 는 범위를 나눈다 — 「현 물리점 식별」이 안 되면 전부 보류지만, 현 표석이 확실하고 과거 좌표와의 연결만 불명확하면 **신규 측정은 별도 Location ID 로 진행**하고 과거 대조만 보류한다.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지점코드</t>
        </is>
      </c>
      <c r="D4" s="9" t="inlineStr">
        <is>
          <t>종전 성과 연도</t>
        </is>
      </c>
      <c r="E4" s="9" t="inlineStr">
        <is>
          <t>종전 편각(°)</t>
        </is>
      </c>
      <c r="F4" s="9" t="inlineStr">
        <is>
          <t>종전 복각(°)</t>
        </is>
      </c>
      <c r="G4" s="9" t="inlineStr">
        <is>
          <t>종전 총자력(nT)</t>
        </is>
      </c>
      <c r="H4" s="9" t="inlineStr">
        <is>
          <t>종전 관측장비</t>
        </is>
      </c>
      <c r="I4" s="9" t="inlineStr">
        <is>
          <t>현 물리점 식별</t>
        </is>
      </c>
      <c r="J4" s="9" t="inlineStr">
        <is>
          <t>공식 좌표 확인</t>
        </is>
      </c>
      <c r="K4" s="9" t="inlineStr">
        <is>
          <t>과거점 동일성</t>
        </is>
      </c>
      <c r="L4" s="9" t="inlineStr">
        <is>
          <t>동일 표석</t>
        </is>
      </c>
      <c r="M4" s="9" t="inlineStr">
        <is>
          <t>동일 표지</t>
        </is>
      </c>
      <c r="N4" s="9" t="inlineStr">
        <is>
          <t>D 대조가능</t>
        </is>
      </c>
      <c r="O4" s="9" t="inlineStr">
        <is>
          <t>I 대조가능</t>
        </is>
      </c>
      <c r="P4" s="9" t="inlineStr">
        <is>
          <t>F 대조가능</t>
        </is>
      </c>
      <c r="Q4" s="9" t="inlineStr">
        <is>
          <t>근거·비고</t>
        </is>
      </c>
    </row>
    <row r="5">
      <c r="A5" s="26" t="inlineStr">
        <is>
          <t>S35</t>
        </is>
      </c>
      <c r="B5" s="26" t="inlineStr">
        <is>
          <t>상주</t>
        </is>
      </c>
      <c r="C5" s="26" t="inlineStr">
        <is>
          <t>1-12-2</t>
        </is>
      </c>
      <c r="D5" s="26" t="inlineStr">
        <is>
          <t>2025.09.24.</t>
        </is>
      </c>
      <c r="E5" s="35" t="n">
        <v>-8.193992</v>
      </c>
      <c r="F5" s="35" t="n">
        <v>52.758553</v>
      </c>
      <c r="G5" s="36" t="n">
        <v>50560</v>
      </c>
      <c r="H5" s="26" t="inlineStr">
        <is>
          <t>MAG-02H</t>
        </is>
      </c>
      <c r="I5" s="29" t="n"/>
      <c r="J5" s="29" t="n"/>
      <c r="K5" s="29" t="n"/>
      <c r="L5" s="29" t="n"/>
      <c r="M5" s="29" t="n"/>
      <c r="N5" s="29" t="n"/>
      <c r="O5" s="29" t="n"/>
      <c r="P5" s="29" t="n"/>
      <c r="Q5" s="32" t="n"/>
    </row>
    <row r="6">
      <c r="A6" s="26" t="inlineStr">
        <is>
          <t>S36</t>
        </is>
      </c>
      <c r="B6" s="26" t="inlineStr">
        <is>
          <t>미원</t>
        </is>
      </c>
      <c r="C6" s="26" t="inlineStr">
        <is>
          <t>1-13-2</t>
        </is>
      </c>
      <c r="D6" s="26" t="inlineStr">
        <is>
          <t>2024.05.01.</t>
        </is>
      </c>
      <c r="E6" s="35" t="n">
        <v>-9.122263999999999</v>
      </c>
      <c r="F6" s="35" t="n">
        <v>53.412156</v>
      </c>
      <c r="G6" s="36" t="n">
        <v>50709.3</v>
      </c>
      <c r="H6" s="26" t="inlineStr">
        <is>
          <t>MAG-02H</t>
        </is>
      </c>
      <c r="I6" s="29" t="n"/>
      <c r="J6" s="29" t="n"/>
      <c r="K6" s="37" t="inlineStr">
        <is>
          <t>HOLD</t>
        </is>
      </c>
      <c r="L6" s="37" t="inlineStr">
        <is>
          <t>HOLD</t>
        </is>
      </c>
      <c r="M6" s="37" t="inlineStr">
        <is>
          <t>HOLD</t>
        </is>
      </c>
      <c r="N6" s="37" t="inlineStr">
        <is>
          <t>HOLD</t>
        </is>
      </c>
      <c r="O6" s="37" t="inlineStr">
        <is>
          <t>HOLD</t>
        </is>
      </c>
      <c r="P6" s="37" t="inlineStr">
        <is>
          <t>HOLD</t>
        </is>
      </c>
      <c r="Q6" s="32" t="inlineStr">
        <is>
          <t>'10~'19 성과표와 2019 야장 좌표가 353 m 어긋난다. 현 표석에서의 신규 측정은 별도 Location ID 로 진행하되, 과거 성과와의 대조는 표석 동일성 확인 전까지 보류.</t>
        </is>
      </c>
    </row>
    <row r="7">
      <c r="A7" s="26" t="inlineStr">
        <is>
          <t>S37</t>
        </is>
      </c>
      <c r="B7" s="26" t="inlineStr">
        <is>
          <t>부안</t>
        </is>
      </c>
      <c r="C7" s="26" t="inlineStr">
        <is>
          <t>1-17-2</t>
        </is>
      </c>
      <c r="D7" s="26" t="inlineStr">
        <is>
          <t>2025.11.04.</t>
        </is>
      </c>
      <c r="E7" s="35" t="n">
        <v>-8.473328</v>
      </c>
      <c r="F7" s="35" t="n">
        <v>52.376639</v>
      </c>
      <c r="G7" s="36" t="n">
        <v>50678.1</v>
      </c>
      <c r="H7" s="26" t="inlineStr">
        <is>
          <t>MAG-02H</t>
        </is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32" t="n"/>
    </row>
    <row r="8">
      <c r="A8" s="26" t="inlineStr">
        <is>
          <t>S38</t>
        </is>
      </c>
      <c r="B8" s="26" t="inlineStr">
        <is>
          <t>강화</t>
        </is>
      </c>
      <c r="C8" s="26" t="inlineStr">
        <is>
          <t>1-2-3</t>
        </is>
      </c>
      <c r="D8" s="26" t="inlineStr">
        <is>
          <t>2024.04.17</t>
        </is>
      </c>
      <c r="E8" s="35" t="n">
        <v>-8.659731000000001</v>
      </c>
      <c r="F8" s="35" t="n">
        <v>54.765217</v>
      </c>
      <c r="G8" s="36" t="n">
        <v>51531.2</v>
      </c>
      <c r="H8" s="26" t="inlineStr">
        <is>
          <t>MAG-02H</t>
        </is>
      </c>
      <c r="I8" s="29" t="n"/>
      <c r="J8" s="29" t="n"/>
      <c r="K8" s="29" t="n"/>
      <c r="L8" s="29" t="n"/>
      <c r="M8" s="29" t="n"/>
      <c r="N8" s="29" t="n"/>
      <c r="O8" s="29" t="n"/>
      <c r="P8" s="29" t="n"/>
      <c r="Q8" s="32" t="n"/>
    </row>
    <row r="9">
      <c r="A9" s="26" t="inlineStr">
        <is>
          <t>S39</t>
        </is>
      </c>
      <c r="B9" s="26" t="inlineStr">
        <is>
          <t>언양</t>
        </is>
      </c>
      <c r="C9" s="26" t="inlineStr">
        <is>
          <t>1-23-1</t>
        </is>
      </c>
      <c r="D9" s="26" t="inlineStr">
        <is>
          <t>2024.10.17</t>
        </is>
      </c>
      <c r="E9" s="35" t="n">
        <v>-9.003038999999999</v>
      </c>
      <c r="F9" s="35" t="n">
        <v>51.749664</v>
      </c>
      <c r="G9" s="36" t="n">
        <v>49597.3</v>
      </c>
      <c r="H9" s="26" t="inlineStr">
        <is>
          <t>MAG-01H</t>
        </is>
      </c>
      <c r="I9" s="29" t="n"/>
      <c r="J9" s="29" t="n"/>
      <c r="K9" s="29" t="n"/>
      <c r="L9" s="29" t="n"/>
      <c r="M9" s="29" t="n"/>
      <c r="N9" s="29" t="n"/>
      <c r="O9" s="29" t="n"/>
      <c r="P9" s="29" t="n"/>
      <c r="Q9" s="32" t="n"/>
    </row>
    <row r="10">
      <c r="A10" s="26" t="inlineStr">
        <is>
          <t>S40</t>
        </is>
      </c>
      <c r="B10" s="26" t="inlineStr">
        <is>
          <t>남지</t>
        </is>
      </c>
      <c r="C10" s="26" t="inlineStr">
        <is>
          <t>1-24-3</t>
        </is>
      </c>
      <c r="D10" s="26" t="inlineStr">
        <is>
          <t>2019.06.24</t>
        </is>
      </c>
      <c r="E10" s="35" t="n">
        <v>-7.60285</v>
      </c>
      <c r="F10" s="35" t="n">
        <v>51.288442</v>
      </c>
      <c r="G10" s="36" t="n">
        <v>49481.8</v>
      </c>
      <c r="H10" s="26" t="inlineStr">
        <is>
          <t>MAG-01H</t>
        </is>
      </c>
      <c r="I10" s="29" t="n"/>
      <c r="J10" s="29" t="n"/>
      <c r="K10" s="29" t="n"/>
      <c r="L10" s="29" t="n"/>
      <c r="M10" s="29" t="n"/>
      <c r="N10" s="29" t="n"/>
      <c r="O10" s="29" t="n"/>
      <c r="P10" s="29" t="n"/>
      <c r="Q10" s="32" t="n"/>
    </row>
    <row r="11">
      <c r="A11" s="26" t="inlineStr">
        <is>
          <t>S41</t>
        </is>
      </c>
      <c r="B11" s="26" t="inlineStr">
        <is>
          <t>거제</t>
        </is>
      </c>
      <c r="C11" s="26" t="inlineStr">
        <is>
          <t>1-25-2</t>
        </is>
      </c>
      <c r="D11" s="26" t="inlineStr">
        <is>
          <t>2024.10.24.</t>
        </is>
      </c>
      <c r="E11" s="35" t="n">
        <v>-8.147074999999999</v>
      </c>
      <c r="F11" s="35" t="n">
        <v>51.198997</v>
      </c>
      <c r="G11" s="36" t="n">
        <v>49335.5</v>
      </c>
      <c r="H11" s="26" t="inlineStr">
        <is>
          <t>MAG-02H</t>
        </is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32" t="n"/>
    </row>
    <row r="12">
      <c r="A12" s="26" t="inlineStr">
        <is>
          <t>S42</t>
        </is>
      </c>
      <c r="B12" s="26" t="inlineStr">
        <is>
          <t>조도</t>
        </is>
      </c>
      <c r="C12" s="26" t="inlineStr">
        <is>
          <t>1-29-2</t>
        </is>
      </c>
      <c r="D12" s="26" t="inlineStr">
        <is>
          <t>2010연구성과</t>
        </is>
      </c>
      <c r="E12" s="35" t="n">
        <v>-6.046111111111111</v>
      </c>
      <c r="F12" s="35" t="n">
        <v>50.36833333333333</v>
      </c>
      <c r="G12" s="36" t="n">
        <v>49534</v>
      </c>
      <c r="H12" s="26" t="inlineStr">
        <is>
          <t>연구성과보고서</t>
        </is>
      </c>
      <c r="I12" s="29" t="n"/>
      <c r="J12" s="29" t="n"/>
      <c r="K12" s="29" t="n"/>
      <c r="L12" s="29" t="n"/>
      <c r="M12" s="29" t="n"/>
      <c r="N12" s="29" t="n"/>
      <c r="O12" s="29" t="n"/>
      <c r="P12" s="29" t="n"/>
      <c r="Q12" s="32" t="n"/>
    </row>
    <row r="13">
      <c r="A13" s="26" t="inlineStr">
        <is>
          <t>S43</t>
        </is>
      </c>
      <c r="B13" s="26" t="inlineStr">
        <is>
          <t>포천</t>
        </is>
      </c>
      <c r="C13" s="26" t="inlineStr">
        <is>
          <t>1-3-3</t>
        </is>
      </c>
      <c r="D13" s="26" t="inlineStr">
        <is>
          <t>2025.05.27.</t>
        </is>
      </c>
      <c r="E13" s="35" t="n">
        <v>-9.245017000000001</v>
      </c>
      <c r="F13" s="35" t="n">
        <v>55.042983</v>
      </c>
      <c r="G13" s="36" t="n">
        <v>51495.3</v>
      </c>
      <c r="H13" s="26" t="inlineStr">
        <is>
          <t>MAG-02H</t>
        </is>
      </c>
      <c r="I13" s="29" t="n"/>
      <c r="J13" s="29" t="n"/>
      <c r="K13" s="29" t="n"/>
      <c r="L13" s="29" t="n"/>
      <c r="M13" s="29" t="n"/>
      <c r="N13" s="29" t="n"/>
      <c r="O13" s="29" t="n"/>
      <c r="P13" s="29" t="n"/>
      <c r="Q13" s="32" t="n"/>
    </row>
    <row r="14">
      <c r="A14" s="26" t="inlineStr">
        <is>
          <t>S44</t>
        </is>
      </c>
      <c r="B14" s="26" t="inlineStr">
        <is>
          <t>성산</t>
        </is>
      </c>
      <c r="C14" s="26" t="inlineStr">
        <is>
          <t>1-30-2</t>
        </is>
      </c>
      <c r="D14" s="26" t="inlineStr">
        <is>
          <t>2025.05.15</t>
        </is>
      </c>
      <c r="E14" s="35" t="n">
        <v>-8.658168999999999</v>
      </c>
      <c r="F14" s="35" t="n">
        <v>50.120781</v>
      </c>
      <c r="G14" s="36" t="n">
        <v>48909.9</v>
      </c>
      <c r="H14" s="26" t="inlineStr">
        <is>
          <t>MAG-03H</t>
        </is>
      </c>
      <c r="I14" s="29" t="n"/>
      <c r="J14" s="29" t="n"/>
      <c r="K14" s="29" t="n"/>
      <c r="L14" s="29" t="n"/>
      <c r="M14" s="29" t="n"/>
      <c r="N14" s="29" t="n"/>
      <c r="O14" s="29" t="n"/>
      <c r="P14" s="29" t="n"/>
      <c r="Q14" s="32" t="n"/>
    </row>
    <row r="15">
      <c r="A15" s="26" t="inlineStr">
        <is>
          <t>S45</t>
        </is>
      </c>
      <c r="B15" s="26" t="inlineStr">
        <is>
          <t>여주</t>
        </is>
      </c>
      <c r="C15" s="26" t="inlineStr">
        <is>
          <t>1-4-4</t>
        </is>
      </c>
      <c r="D15" s="26" t="inlineStr">
        <is>
          <t>2023.09.07</t>
        </is>
      </c>
      <c r="E15" s="35" t="n">
        <v>-9.267430555555556</v>
      </c>
      <c r="F15" s="35" t="n">
        <v>54.423825</v>
      </c>
      <c r="G15" s="36" t="n">
        <v>51174.98</v>
      </c>
      <c r="H15" s="26" t="inlineStr">
        <is>
          <t>MAG-01H</t>
        </is>
      </c>
      <c r="I15" s="29" t="n"/>
      <c r="J15" s="29" t="n"/>
      <c r="K15" s="29" t="n"/>
      <c r="L15" s="29" t="n"/>
      <c r="M15" s="29" t="n"/>
      <c r="N15" s="29" t="n"/>
      <c r="O15" s="29" t="n"/>
      <c r="P15" s="29" t="n"/>
      <c r="Q15" s="32" t="n"/>
    </row>
    <row r="16">
      <c r="A16" s="26" t="inlineStr">
        <is>
          <t>S46</t>
        </is>
      </c>
      <c r="B16" s="26" t="inlineStr">
        <is>
          <t>화천</t>
        </is>
      </c>
      <c r="C16" s="26" t="inlineStr">
        <is>
          <t>1-5-2</t>
        </is>
      </c>
      <c r="D16" s="26" t="inlineStr">
        <is>
          <t>2018.5.23</t>
        </is>
      </c>
      <c r="E16" s="35" t="n">
        <v>-8.933944</v>
      </c>
      <c r="F16" s="35" t="n">
        <v>54.944778</v>
      </c>
      <c r="G16" s="36" t="n">
        <v>51499.4</v>
      </c>
      <c r="H16" s="26" t="inlineStr">
        <is>
          <t>MAG-01H</t>
        </is>
      </c>
      <c r="I16" s="29" t="n"/>
      <c r="J16" s="29" t="n"/>
      <c r="K16" s="29" t="n"/>
      <c r="L16" s="29" t="n"/>
      <c r="M16" s="29" t="n"/>
      <c r="N16" s="29" t="n"/>
      <c r="O16" s="29" t="n"/>
      <c r="P16" s="29" t="n"/>
      <c r="Q16" s="32" t="n"/>
    </row>
    <row r="17">
      <c r="A17" s="26" t="inlineStr">
        <is>
          <t>S47</t>
        </is>
      </c>
      <c r="B17" s="26" t="inlineStr">
        <is>
          <t>봉평</t>
        </is>
      </c>
      <c r="C17" s="26" t="inlineStr">
        <is>
          <t>1-7-2</t>
        </is>
      </c>
      <c r="D17" s="26" t="inlineStr">
        <is>
          <t>2015</t>
        </is>
      </c>
      <c r="E17" s="35" t="n">
        <v>-8.446667</v>
      </c>
      <c r="F17" s="35" t="n">
        <v>54.1425</v>
      </c>
      <c r="G17" s="36" t="n">
        <v>50634</v>
      </c>
      <c r="H17" s="26" t="inlineStr">
        <is>
          <t>MAG-04H</t>
        </is>
      </c>
      <c r="I17" s="29" t="n"/>
      <c r="J17" s="29" t="n"/>
      <c r="K17" s="29" t="n"/>
      <c r="L17" s="29" t="n"/>
      <c r="M17" s="29" t="n"/>
      <c r="N17" s="29" t="n"/>
      <c r="O17" s="29" t="n"/>
      <c r="P17" s="29" t="n"/>
      <c r="Q17" s="32" t="n"/>
    </row>
    <row r="18">
      <c r="A18" s="26" t="inlineStr">
        <is>
          <t>S48</t>
        </is>
      </c>
      <c r="B18" s="26" t="inlineStr">
        <is>
          <t>삼척</t>
        </is>
      </c>
      <c r="C18" s="26" t="inlineStr">
        <is>
          <t>1-8-4</t>
        </is>
      </c>
      <c r="D18" s="26" t="inlineStr">
        <is>
          <t>2024.08.29.</t>
        </is>
      </c>
      <c r="E18" s="35" t="n">
        <v>-8.223682999999999</v>
      </c>
      <c r="F18" s="35" t="n">
        <v>54.325956</v>
      </c>
      <c r="G18" s="36" t="n">
        <v>50647.4</v>
      </c>
      <c r="H18" s="26" t="inlineStr">
        <is>
          <t>MAG-07H</t>
        </is>
      </c>
      <c r="I18" s="29" t="n"/>
      <c r="J18" s="29" t="n"/>
      <c r="K18" s="29" t="n"/>
      <c r="L18" s="29" t="n"/>
      <c r="M18" s="29" t="n"/>
      <c r="N18" s="29" t="n"/>
      <c r="O18" s="29" t="n"/>
      <c r="P18" s="29" t="n"/>
      <c r="Q18" s="32" t="n"/>
    </row>
    <row r="19">
      <c r="A19" s="26" t="inlineStr">
        <is>
          <t>S49</t>
        </is>
      </c>
      <c r="B19" s="26" t="inlineStr">
        <is>
          <t>제천</t>
        </is>
      </c>
      <c r="C19" s="26" t="inlineStr">
        <is>
          <t>1-9-2</t>
        </is>
      </c>
      <c r="D19" s="26" t="inlineStr">
        <is>
          <t>2015</t>
        </is>
      </c>
      <c r="E19" s="35" t="n">
        <v>-7.575278</v>
      </c>
      <c r="F19" s="35" t="n">
        <v>53.646944</v>
      </c>
      <c r="G19" s="36" t="n">
        <v>50410</v>
      </c>
      <c r="H19" s="26" t="inlineStr">
        <is>
          <t>MAG-09H</t>
        </is>
      </c>
      <c r="I19" s="29" t="n"/>
      <c r="J19" s="29" t="n"/>
      <c r="K19" s="29" t="n"/>
      <c r="L19" s="29" t="n"/>
      <c r="M19" s="29" t="n"/>
      <c r="N19" s="29" t="n"/>
      <c r="O19" s="29" t="n"/>
      <c r="P19" s="29" t="n"/>
      <c r="Q19" s="32" t="n"/>
    </row>
    <row r="20">
      <c r="A20" s="26" t="inlineStr">
        <is>
          <t>S50</t>
        </is>
      </c>
      <c r="B20" s="26" t="inlineStr">
        <is>
          <t>함양</t>
        </is>
      </c>
      <c r="C20" s="26" t="inlineStr">
        <is>
          <t>1-20-3</t>
        </is>
      </c>
      <c r="D20" s="26" t="inlineStr">
        <is>
          <t>2025.10.29.</t>
        </is>
      </c>
      <c r="E20" s="35" t="n">
        <v>-7.629208</v>
      </c>
      <c r="F20" s="35" t="n">
        <v>52.017197</v>
      </c>
      <c r="G20" s="36" t="n">
        <v>49779.9</v>
      </c>
      <c r="H20" s="26" t="inlineStr">
        <is>
          <t>MAG-02H</t>
        </is>
      </c>
      <c r="I20" s="29" t="n"/>
      <c r="J20" s="29" t="n"/>
      <c r="K20" s="29" t="n"/>
      <c r="L20" s="29" t="n"/>
      <c r="M20" s="29" t="n"/>
      <c r="N20" s="29" t="n"/>
      <c r="O20" s="29" t="n"/>
      <c r="P20" s="29" t="n"/>
      <c r="Q20" s="32" t="n"/>
    </row>
  </sheetData>
  <mergeCells count="3">
    <mergeCell ref="A3:Q3"/>
    <mergeCell ref="A2:Q2"/>
    <mergeCell ref="A1:Q1"/>
  </mergeCells>
  <dataValidations count="3">
    <dataValidation sqref="I5:K20" showDropDown="0" showInputMessage="0" showErrorMessage="0" allowBlank="1" type="list">
      <formula1>"확인,불일치,PENDING,HOLD"</formula1>
    </dataValidation>
    <dataValidation sqref="L5:M20" showDropDown="0" showInputMessage="0" showErrorMessage="0" allowBlank="1" type="list">
      <formula1>"확인,불일치,PENDING,HOLD"</formula1>
    </dataValidation>
    <dataValidation sqref="N5:P20" showDropDown="0" showInputMessage="0" showErrorMessage="0" allowBlank="1" type="list">
      <formula1>"대조가능,조건부,불가,PENDING,HOLD"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3" customWidth="1" min="13" max="13"/>
    <col width="13" customWidth="1" min="14" max="14"/>
    <col width="13" customWidth="1" min="15" max="15"/>
    <col width="16" customWidth="1" min="16" max="16"/>
    <col width="14" customWidth="1" min="17" max="17"/>
    <col width="15" customWidth="1" min="18" max="18"/>
    <col width="14" customWidth="1" min="19" max="19"/>
    <col width="30" customWidth="1" min="20" max="20"/>
  </cols>
  <sheetData>
    <row r="1" ht="26" customHeight="1">
      <c r="A1" s="1" t="inlineStr">
        <is>
          <t>방위표지 · 참방위각 결정 — 편각 30′ 잔차의 주범</t>
        </is>
      </c>
    </row>
    <row r="2" ht="47" customHeight="1">
      <c r="A2" s="3" t="inlineStr">
        <is>
          <t>방위각은 진북을 기준으로 북쪽이 0도, 시계 방향으로 잽니다. 방향은 언제나 기준점에서 방위표지를 본 쪽입니다(FROM 기준점 · TO 표지). 현장 원시각은 곤(gon)이라 한 바퀴가 400 이고 반대쪽이 200 인데, 여기에 도 단위의 180 이 섞여 들어오면 어느 쪽이 반대 방향인지 알 수 없게 되어 대규모 오류로 이어집니다.</t>
        </is>
      </c>
    </row>
    <row r="3" ht="33" customHeight="1">
      <c r="A3" s="2" t="inlineStr">
        <is>
          <t>재방문 16구간 전부에서 마크 참방위각이 60″ 넘게 변했다. 마크를 바꾸는 것 자체는 오류가 아니지만 바뀐 마크의 참방위각이 틀리면 그 방문의 편각이 통째로 틀어진다 — 「이전값 대비 차」와 「재결정 사유」가 필수다.</t>
        </is>
      </c>
    </row>
    <row r="4" ht="36" customHeight="1">
      <c r="A4" s="8" t="inlineStr">
        <is>
          <t>Site ID</t>
        </is>
      </c>
      <c r="B4" s="8" t="inlineStr">
        <is>
          <t>Mark ID</t>
        </is>
      </c>
      <c r="C4" s="9" t="inlineStr">
        <is>
          <t>지점명</t>
        </is>
      </c>
      <c r="D4" s="9" t="inlineStr">
        <is>
          <t>표지 구분</t>
        </is>
      </c>
      <c r="E4" s="9" t="inlineStr">
        <is>
          <t>표지 위도</t>
        </is>
      </c>
      <c r="F4" s="9" t="inlineStr">
        <is>
          <t>표지 경도</t>
        </is>
      </c>
      <c r="G4" s="9" t="inlineStr">
        <is>
          <t>시준 지점(표지의 어디)</t>
        </is>
      </c>
      <c r="H4" s="9" t="inlineStr">
        <is>
          <t>FROM</t>
        </is>
      </c>
      <c r="I4" s="9" t="inlineStr">
        <is>
          <t>TO</t>
        </is>
      </c>
      <c r="J4" s="9" t="inlineStr">
        <is>
          <t>정 시준 원시각(gon)</t>
        </is>
      </c>
      <c r="K4" s="9" t="inlineStr">
        <is>
          <t>반 시준 원시각(gon)</t>
        </is>
      </c>
      <c r="L4" s="9" t="inlineStr">
        <is>
          <t>폐합차(gon)
계산</t>
        </is>
      </c>
      <c r="M4" s="9" t="inlineStr">
        <is>
          <t>참방위각(gon)</t>
        </is>
      </c>
      <c r="N4" s="9" t="inlineStr">
        <is>
          <t>참방위각(°)
계산</t>
        </is>
      </c>
      <c r="O4" s="9" t="inlineStr">
        <is>
          <t>역방위(°)
계산</t>
        </is>
      </c>
      <c r="P4" s="9" t="inlineStr">
        <is>
          <t>결정방법</t>
        </is>
      </c>
      <c r="Q4" s="9" t="inlineStr">
        <is>
          <t>근거좌표 정확도(m)</t>
        </is>
      </c>
      <c r="R4" s="9" t="inlineStr">
        <is>
          <t>이전 확정 방위각(°)</t>
        </is>
      </c>
      <c r="S4" s="9" t="inlineStr">
        <is>
          <t>이전값 대비 차(″)
계산</t>
        </is>
      </c>
      <c r="T4" s="9" t="inlineStr">
        <is>
          <t>재결정 사유</t>
        </is>
      </c>
    </row>
    <row r="5">
      <c r="A5" s="26" t="inlineStr">
        <is>
          <t>S01</t>
        </is>
      </c>
      <c r="B5" s="26" t="inlineStr">
        <is>
          <t>S01-M1</t>
        </is>
      </c>
      <c r="C5" s="26" t="inlineStr">
        <is>
          <t>태백 신규점</t>
        </is>
      </c>
      <c r="D5" s="26" t="inlineStr">
        <is>
          <t>방위표지1</t>
        </is>
      </c>
      <c r="E5" s="27" t="n">
        <v>37.02000693333333</v>
      </c>
      <c r="F5" s="27" t="n">
        <v>128.9839214583333</v>
      </c>
      <c r="G5" s="29" t="n"/>
      <c r="H5" s="38" t="inlineStr">
        <is>
          <t>기준점</t>
        </is>
      </c>
      <c r="I5" s="38" t="inlineStr">
        <is>
          <t>방위표지</t>
        </is>
      </c>
      <c r="J5" s="39" t="n"/>
      <c r="K5" s="39" t="n"/>
      <c r="L5" s="35">
        <f>IF(COUNT(J5:K5)=2,ABS(ABS(K5-J5)-200),"")</f>
        <v/>
      </c>
      <c r="M5" s="39" t="n"/>
      <c r="N5" s="35">
        <f>IF(ISNUMBER(M5),M5*0.9,"")</f>
        <v/>
      </c>
      <c r="O5" s="35">
        <f>IF(ISNUMBER(M5),MOD(M5*0.9+180,360),"")</f>
        <v/>
      </c>
      <c r="P5" s="29" t="n"/>
      <c r="Q5" s="30" t="n"/>
      <c r="R5" s="30" t="n"/>
      <c r="S5" s="31">
        <f>IF(AND(ISNUMBER(M5),ISNUMBER(R5)),(M5*0.9-R5)*3600,"")</f>
        <v/>
      </c>
      <c r="T5" s="29" t="n"/>
    </row>
    <row r="6">
      <c r="A6" s="26" t="inlineStr">
        <is>
          <t>S01</t>
        </is>
      </c>
      <c r="B6" s="26" t="inlineStr">
        <is>
          <t>S01-M2</t>
        </is>
      </c>
      <c r="C6" s="26" t="inlineStr">
        <is>
          <t>태백 신규점</t>
        </is>
      </c>
      <c r="D6" s="26" t="inlineStr">
        <is>
          <t>방위표지2</t>
        </is>
      </c>
      <c r="E6" s="27" t="n">
        <v>37.02171640277778</v>
      </c>
      <c r="F6" s="27" t="n">
        <v>128.9834711361111</v>
      </c>
      <c r="G6" s="29" t="n"/>
      <c r="H6" s="38" t="inlineStr">
        <is>
          <t>기준점</t>
        </is>
      </c>
      <c r="I6" s="38" t="inlineStr">
        <is>
          <t>방위표지</t>
        </is>
      </c>
      <c r="J6" s="39" t="n"/>
      <c r="K6" s="39" t="n"/>
      <c r="L6" s="35">
        <f>IF(COUNT(J6:K6)=2,ABS(ABS(K6-J6)-200),"")</f>
        <v/>
      </c>
      <c r="M6" s="39" t="n"/>
      <c r="N6" s="35">
        <f>IF(ISNUMBER(M6),M6*0.9,"")</f>
        <v/>
      </c>
      <c r="O6" s="35">
        <f>IF(ISNUMBER(M6),MOD(M6*0.9+180,360),"")</f>
        <v/>
      </c>
      <c r="P6" s="29" t="n"/>
      <c r="Q6" s="30" t="n"/>
      <c r="R6" s="30" t="n"/>
      <c r="S6" s="31">
        <f>IF(AND(ISNUMBER(M6),ISNUMBER(R6)),(M6*0.9-R6)*3600,"")</f>
        <v/>
      </c>
      <c r="T6" s="29" t="n"/>
    </row>
    <row r="7">
      <c r="A7" s="26" t="inlineStr">
        <is>
          <t>S02</t>
        </is>
      </c>
      <c r="B7" s="26" t="inlineStr">
        <is>
          <t>S02-M1</t>
        </is>
      </c>
      <c r="C7" s="26" t="inlineStr">
        <is>
          <t>임계 신규점1</t>
        </is>
      </c>
      <c r="D7" s="26" t="inlineStr">
        <is>
          <t>방위표지1</t>
        </is>
      </c>
      <c r="E7" s="27" t="n">
        <v>37.35869970833333</v>
      </c>
      <c r="F7" s="27" t="n">
        <v>128.9739014888889</v>
      </c>
      <c r="G7" s="29" t="n"/>
      <c r="H7" s="38" t="inlineStr">
        <is>
          <t>기준점</t>
        </is>
      </c>
      <c r="I7" s="38" t="inlineStr">
        <is>
          <t>방위표지</t>
        </is>
      </c>
      <c r="J7" s="39" t="n"/>
      <c r="K7" s="39" t="n"/>
      <c r="L7" s="35">
        <f>IF(COUNT(J7:K7)=2,ABS(ABS(K7-J7)-200),"")</f>
        <v/>
      </c>
      <c r="M7" s="39" t="n"/>
      <c r="N7" s="35">
        <f>IF(ISNUMBER(M7),M7*0.9,"")</f>
        <v/>
      </c>
      <c r="O7" s="35">
        <f>IF(ISNUMBER(M7),MOD(M7*0.9+180,360),"")</f>
        <v/>
      </c>
      <c r="P7" s="29" t="n"/>
      <c r="Q7" s="30" t="n"/>
      <c r="R7" s="30" t="n"/>
      <c r="S7" s="31">
        <f>IF(AND(ISNUMBER(M7),ISNUMBER(R7)),(M7*0.9-R7)*3600,"")</f>
        <v/>
      </c>
      <c r="T7" s="29" t="n"/>
    </row>
    <row r="8">
      <c r="A8" s="26" t="inlineStr">
        <is>
          <t>S02</t>
        </is>
      </c>
      <c r="B8" s="26" t="inlineStr">
        <is>
          <t>S02-M2</t>
        </is>
      </c>
      <c r="C8" s="26" t="inlineStr">
        <is>
          <t>임계 신규점1</t>
        </is>
      </c>
      <c r="D8" s="26" t="inlineStr">
        <is>
          <t>방위표지2</t>
        </is>
      </c>
      <c r="E8" s="27" t="n">
        <v>37.35852910555555</v>
      </c>
      <c r="F8" s="27" t="n">
        <v>128.9747658583333</v>
      </c>
      <c r="G8" s="29" t="n"/>
      <c r="H8" s="38" t="inlineStr">
        <is>
          <t>기준점</t>
        </is>
      </c>
      <c r="I8" s="38" t="inlineStr">
        <is>
          <t>방위표지</t>
        </is>
      </c>
      <c r="J8" s="39" t="n"/>
      <c r="K8" s="39" t="n"/>
      <c r="L8" s="35">
        <f>IF(COUNT(J8:K8)=2,ABS(ABS(K8-J8)-200),"")</f>
        <v/>
      </c>
      <c r="M8" s="39" t="n"/>
      <c r="N8" s="35">
        <f>IF(ISNUMBER(M8),M8*0.9,"")</f>
        <v/>
      </c>
      <c r="O8" s="35">
        <f>IF(ISNUMBER(M8),MOD(M8*0.9+180,360),"")</f>
        <v/>
      </c>
      <c r="P8" s="29" t="n"/>
      <c r="Q8" s="30" t="n"/>
      <c r="R8" s="30" t="n"/>
      <c r="S8" s="31">
        <f>IF(AND(ISNUMBER(M8),ISNUMBER(R8)),(M8*0.9-R8)*3600,"")</f>
        <v/>
      </c>
      <c r="T8" s="29" t="n"/>
    </row>
    <row r="9">
      <c r="A9" s="26" t="inlineStr">
        <is>
          <t>S03</t>
        </is>
      </c>
      <c r="B9" s="26" t="inlineStr">
        <is>
          <t>S03-M1</t>
        </is>
      </c>
      <c r="C9" s="26" t="inlineStr">
        <is>
          <t>예산 신규점2</t>
        </is>
      </c>
      <c r="D9" s="26" t="inlineStr">
        <is>
          <t>방위표지1</t>
        </is>
      </c>
      <c r="E9" s="27" t="n">
        <v>36.53409415277778</v>
      </c>
      <c r="F9" s="27" t="n">
        <v>126.9348136944444</v>
      </c>
      <c r="G9" s="29" t="n"/>
      <c r="H9" s="38" t="inlineStr">
        <is>
          <t>기준점</t>
        </is>
      </c>
      <c r="I9" s="38" t="inlineStr">
        <is>
          <t>방위표지</t>
        </is>
      </c>
      <c r="J9" s="39" t="n"/>
      <c r="K9" s="39" t="n"/>
      <c r="L9" s="35">
        <f>IF(COUNT(J9:K9)=2,ABS(ABS(K9-J9)-200),"")</f>
        <v/>
      </c>
      <c r="M9" s="39" t="n"/>
      <c r="N9" s="35">
        <f>IF(ISNUMBER(M9),M9*0.9,"")</f>
        <v/>
      </c>
      <c r="O9" s="35">
        <f>IF(ISNUMBER(M9),MOD(M9*0.9+180,360),"")</f>
        <v/>
      </c>
      <c r="P9" s="29" t="n"/>
      <c r="Q9" s="30" t="n"/>
      <c r="R9" s="30" t="n"/>
      <c r="S9" s="31">
        <f>IF(AND(ISNUMBER(M9),ISNUMBER(R9)),(M9*0.9-R9)*3600,"")</f>
        <v/>
      </c>
      <c r="T9" s="29" t="n"/>
    </row>
    <row r="10">
      <c r="A10" s="26" t="inlineStr">
        <is>
          <t>S03</t>
        </is>
      </c>
      <c r="B10" s="26" t="inlineStr">
        <is>
          <t>S03-M2</t>
        </is>
      </c>
      <c r="C10" s="26" t="inlineStr">
        <is>
          <t>예산 신규점2</t>
        </is>
      </c>
      <c r="D10" s="26" t="inlineStr">
        <is>
          <t>방위표지2</t>
        </is>
      </c>
      <c r="E10" s="27" t="n">
        <v>36.53369888611111</v>
      </c>
      <c r="F10" s="27" t="n">
        <v>126.9379807166667</v>
      </c>
      <c r="G10" s="29" t="n"/>
      <c r="H10" s="38" t="inlineStr">
        <is>
          <t>기준점</t>
        </is>
      </c>
      <c r="I10" s="38" t="inlineStr">
        <is>
          <t>방위표지</t>
        </is>
      </c>
      <c r="J10" s="39" t="n"/>
      <c r="K10" s="39" t="n"/>
      <c r="L10" s="35">
        <f>IF(COUNT(J10:K10)=2,ABS(ABS(K10-J10)-200),"")</f>
        <v/>
      </c>
      <c r="M10" s="39" t="n"/>
      <c r="N10" s="35">
        <f>IF(ISNUMBER(M10),M10*0.9,"")</f>
        <v/>
      </c>
      <c r="O10" s="35">
        <f>IF(ISNUMBER(M10),MOD(M10*0.9+180,360),"")</f>
        <v/>
      </c>
      <c r="P10" s="29" t="n"/>
      <c r="Q10" s="30" t="n"/>
      <c r="R10" s="30" t="n"/>
      <c r="S10" s="31">
        <f>IF(AND(ISNUMBER(M10),ISNUMBER(R10)),(M10*0.9-R10)*3600,"")</f>
        <v/>
      </c>
      <c r="T10" s="29" t="n"/>
    </row>
    <row r="11">
      <c r="A11" s="26" t="inlineStr">
        <is>
          <t>S04</t>
        </is>
      </c>
      <c r="B11" s="26" t="inlineStr">
        <is>
          <t>S04-M1</t>
        </is>
      </c>
      <c r="C11" s="26" t="inlineStr">
        <is>
          <t>진안 신규점1</t>
        </is>
      </c>
      <c r="D11" s="26" t="inlineStr">
        <is>
          <t>방위표지1</t>
        </is>
      </c>
      <c r="E11" s="27" t="n">
        <v>35.89187639722222</v>
      </c>
      <c r="F11" s="27" t="n">
        <v>127.3084895805556</v>
      </c>
      <c r="G11" s="29" t="n"/>
      <c r="H11" s="38" t="inlineStr">
        <is>
          <t>기준점</t>
        </is>
      </c>
      <c r="I11" s="38" t="inlineStr">
        <is>
          <t>방위표지</t>
        </is>
      </c>
      <c r="J11" s="39" t="n"/>
      <c r="K11" s="39" t="n"/>
      <c r="L11" s="35">
        <f>IF(COUNT(J11:K11)=2,ABS(ABS(K11-J11)-200),"")</f>
        <v/>
      </c>
      <c r="M11" s="39" t="n"/>
      <c r="N11" s="35">
        <f>IF(ISNUMBER(M11),M11*0.9,"")</f>
        <v/>
      </c>
      <c r="O11" s="35">
        <f>IF(ISNUMBER(M11),MOD(M11*0.9+180,360),"")</f>
        <v/>
      </c>
      <c r="P11" s="29" t="n"/>
      <c r="Q11" s="30" t="n"/>
      <c r="R11" s="30" t="n"/>
      <c r="S11" s="31">
        <f>IF(AND(ISNUMBER(M11),ISNUMBER(R11)),(M11*0.9-R11)*3600,"")</f>
        <v/>
      </c>
      <c r="T11" s="29" t="n"/>
    </row>
    <row r="12">
      <c r="A12" s="26" t="inlineStr">
        <is>
          <t>S04</t>
        </is>
      </c>
      <c r="B12" s="26" t="inlineStr">
        <is>
          <t>S04-M2</t>
        </is>
      </c>
      <c r="C12" s="26" t="inlineStr">
        <is>
          <t>진안 신규점1</t>
        </is>
      </c>
      <c r="D12" s="26" t="inlineStr">
        <is>
          <t>방위표지2</t>
        </is>
      </c>
      <c r="E12" s="27" t="n">
        <v>35.89031036388889</v>
      </c>
      <c r="F12" s="27" t="n">
        <v>127.3087851305555</v>
      </c>
      <c r="G12" s="29" t="n"/>
      <c r="H12" s="38" t="inlineStr">
        <is>
          <t>기준점</t>
        </is>
      </c>
      <c r="I12" s="38" t="inlineStr">
        <is>
          <t>방위표지</t>
        </is>
      </c>
      <c r="J12" s="39" t="n"/>
      <c r="K12" s="39" t="n"/>
      <c r="L12" s="35">
        <f>IF(COUNT(J12:K12)=2,ABS(ABS(K12-J12)-200),"")</f>
        <v/>
      </c>
      <c r="M12" s="39" t="n"/>
      <c r="N12" s="35">
        <f>IF(ISNUMBER(M12),M12*0.9,"")</f>
        <v/>
      </c>
      <c r="O12" s="35">
        <f>IF(ISNUMBER(M12),MOD(M12*0.9+180,360),"")</f>
        <v/>
      </c>
      <c r="P12" s="29" t="n"/>
      <c r="Q12" s="30" t="n"/>
      <c r="R12" s="30" t="n"/>
      <c r="S12" s="31">
        <f>IF(AND(ISNUMBER(M12),ISNUMBER(R12)),(M12*0.9-R12)*3600,"")</f>
        <v/>
      </c>
      <c r="T12" s="29" t="n"/>
    </row>
    <row r="13">
      <c r="A13" s="26" t="inlineStr">
        <is>
          <t>S05</t>
        </is>
      </c>
      <c r="B13" s="26" t="inlineStr">
        <is>
          <t>S05-M1</t>
        </is>
      </c>
      <c r="C13" s="26" t="inlineStr">
        <is>
          <t>무풍 신규점1</t>
        </is>
      </c>
      <c r="D13" s="26" t="inlineStr">
        <is>
          <t>방위표지1</t>
        </is>
      </c>
      <c r="E13" s="27" t="n">
        <v>35.94505332888888</v>
      </c>
      <c r="F13" s="27" t="n">
        <v>127.8005402961111</v>
      </c>
      <c r="G13" s="29" t="n"/>
      <c r="H13" s="38" t="inlineStr">
        <is>
          <t>기준점</t>
        </is>
      </c>
      <c r="I13" s="38" t="inlineStr">
        <is>
          <t>방위표지</t>
        </is>
      </c>
      <c r="J13" s="39" t="n"/>
      <c r="K13" s="39" t="n"/>
      <c r="L13" s="35">
        <f>IF(COUNT(J13:K13)=2,ABS(ABS(K13-J13)-200),"")</f>
        <v/>
      </c>
      <c r="M13" s="39" t="n"/>
      <c r="N13" s="35">
        <f>IF(ISNUMBER(M13),M13*0.9,"")</f>
        <v/>
      </c>
      <c r="O13" s="35">
        <f>IF(ISNUMBER(M13),MOD(M13*0.9+180,360),"")</f>
        <v/>
      </c>
      <c r="P13" s="29" t="n"/>
      <c r="Q13" s="30" t="n"/>
      <c r="R13" s="30" t="n"/>
      <c r="S13" s="31">
        <f>IF(AND(ISNUMBER(M13),ISNUMBER(R13)),(M13*0.9-R13)*3600,"")</f>
        <v/>
      </c>
      <c r="T13" s="29" t="n"/>
    </row>
    <row r="14">
      <c r="A14" s="26" t="inlineStr">
        <is>
          <t>S05</t>
        </is>
      </c>
      <c r="B14" s="26" t="inlineStr">
        <is>
          <t>S05-M2</t>
        </is>
      </c>
      <c r="C14" s="26" t="inlineStr">
        <is>
          <t>무풍 신규점1</t>
        </is>
      </c>
      <c r="D14" s="26" t="inlineStr">
        <is>
          <t>방위표지2</t>
        </is>
      </c>
      <c r="E14" s="27" t="n">
        <v>35.94630698</v>
      </c>
      <c r="F14" s="27" t="n">
        <v>127.8024070330556</v>
      </c>
      <c r="G14" s="29" t="n"/>
      <c r="H14" s="38" t="inlineStr">
        <is>
          <t>기준점</t>
        </is>
      </c>
      <c r="I14" s="38" t="inlineStr">
        <is>
          <t>방위표지</t>
        </is>
      </c>
      <c r="J14" s="39" t="n"/>
      <c r="K14" s="39" t="n"/>
      <c r="L14" s="35">
        <f>IF(COUNT(J14:K14)=2,ABS(ABS(K14-J14)-200),"")</f>
        <v/>
      </c>
      <c r="M14" s="39" t="n"/>
      <c r="N14" s="35">
        <f>IF(ISNUMBER(M14),M14*0.9,"")</f>
        <v/>
      </c>
      <c r="O14" s="35">
        <f>IF(ISNUMBER(M14),MOD(M14*0.9+180,360),"")</f>
        <v/>
      </c>
      <c r="P14" s="29" t="n"/>
      <c r="Q14" s="30" t="n"/>
      <c r="R14" s="30" t="n"/>
      <c r="S14" s="31">
        <f>IF(AND(ISNUMBER(M14),ISNUMBER(R14)),(M14*0.9-R14)*3600,"")</f>
        <v/>
      </c>
      <c r="T14" s="29" t="n"/>
    </row>
    <row r="15">
      <c r="A15" s="26" t="inlineStr">
        <is>
          <t>S06</t>
        </is>
      </c>
      <c r="B15" s="26" t="inlineStr">
        <is>
          <t>S06-M1</t>
        </is>
      </c>
      <c r="C15" s="26" t="inlineStr">
        <is>
          <t>길담 신규점</t>
        </is>
      </c>
      <c r="D15" s="26" t="inlineStr">
        <is>
          <t>방위표지1</t>
        </is>
      </c>
      <c r="E15" s="27" t="n">
        <v>35.60522805</v>
      </c>
      <c r="F15" s="27" t="n">
        <v>127.2301382</v>
      </c>
      <c r="G15" s="29" t="n"/>
      <c r="H15" s="38" t="inlineStr">
        <is>
          <t>기준점</t>
        </is>
      </c>
      <c r="I15" s="38" t="inlineStr">
        <is>
          <t>방위표지</t>
        </is>
      </c>
      <c r="J15" s="39" t="n"/>
      <c r="K15" s="39" t="n"/>
      <c r="L15" s="35">
        <f>IF(COUNT(J15:K15)=2,ABS(ABS(K15-J15)-200),"")</f>
        <v/>
      </c>
      <c r="M15" s="39" t="n"/>
      <c r="N15" s="35">
        <f>IF(ISNUMBER(M15),M15*0.9,"")</f>
        <v/>
      </c>
      <c r="O15" s="35">
        <f>IF(ISNUMBER(M15),MOD(M15*0.9+180,360),"")</f>
        <v/>
      </c>
      <c r="P15" s="29" t="n"/>
      <c r="Q15" s="30" t="n"/>
      <c r="R15" s="30" t="n"/>
      <c r="S15" s="31">
        <f>IF(AND(ISNUMBER(M15),ISNUMBER(R15)),(M15*0.9-R15)*3600,"")</f>
        <v/>
      </c>
      <c r="T15" s="29" t="n"/>
    </row>
    <row r="16">
      <c r="A16" s="26" t="inlineStr">
        <is>
          <t>S06</t>
        </is>
      </c>
      <c r="B16" s="26" t="inlineStr">
        <is>
          <t>S06-M2</t>
        </is>
      </c>
      <c r="C16" s="26" t="inlineStr">
        <is>
          <t>길담 신규점</t>
        </is>
      </c>
      <c r="D16" s="26" t="inlineStr">
        <is>
          <t>방위표지2</t>
        </is>
      </c>
      <c r="E16" s="27" t="n">
        <v>35.60412521944445</v>
      </c>
      <c r="F16" s="27" t="n">
        <v>127.2301907</v>
      </c>
      <c r="G16" s="29" t="n"/>
      <c r="H16" s="38" t="inlineStr">
        <is>
          <t>기준점</t>
        </is>
      </c>
      <c r="I16" s="38" t="inlineStr">
        <is>
          <t>방위표지</t>
        </is>
      </c>
      <c r="J16" s="39" t="n"/>
      <c r="K16" s="39" t="n"/>
      <c r="L16" s="35">
        <f>IF(COUNT(J16:K16)=2,ABS(ABS(K16-J16)-200),"")</f>
        <v/>
      </c>
      <c r="M16" s="39" t="n"/>
      <c r="N16" s="35">
        <f>IF(ISNUMBER(M16),M16*0.9,"")</f>
        <v/>
      </c>
      <c r="O16" s="35">
        <f>IF(ISNUMBER(M16),MOD(M16*0.9+180,360),"")</f>
        <v/>
      </c>
      <c r="P16" s="29" t="n"/>
      <c r="Q16" s="30" t="n"/>
      <c r="R16" s="30" t="n"/>
      <c r="S16" s="31">
        <f>IF(AND(ISNUMBER(M16),ISNUMBER(R16)),(M16*0.9-R16)*3600,"")</f>
        <v/>
      </c>
      <c r="T16" s="29" t="n"/>
    </row>
    <row r="17">
      <c r="A17" s="26" t="inlineStr">
        <is>
          <t>S07</t>
        </is>
      </c>
      <c r="B17" s="26" t="inlineStr">
        <is>
          <t>S07-M1</t>
        </is>
      </c>
      <c r="C17" s="26" t="inlineStr">
        <is>
          <t>남해 신규점1</t>
        </is>
      </c>
      <c r="D17" s="26" t="inlineStr">
        <is>
          <t>방위표지1</t>
        </is>
      </c>
      <c r="E17" s="27" t="n">
        <v>34.85201180833334</v>
      </c>
      <c r="F17" s="27" t="n">
        <v>127.9821716472222</v>
      </c>
      <c r="G17" s="29" t="n"/>
      <c r="H17" s="38" t="inlineStr">
        <is>
          <t>기준점</t>
        </is>
      </c>
      <c r="I17" s="38" t="inlineStr">
        <is>
          <t>방위표지</t>
        </is>
      </c>
      <c r="J17" s="39" t="n"/>
      <c r="K17" s="39" t="n"/>
      <c r="L17" s="35">
        <f>IF(COUNT(J17:K17)=2,ABS(ABS(K17-J17)-200),"")</f>
        <v/>
      </c>
      <c r="M17" s="39" t="n"/>
      <c r="N17" s="35">
        <f>IF(ISNUMBER(M17),M17*0.9,"")</f>
        <v/>
      </c>
      <c r="O17" s="35">
        <f>IF(ISNUMBER(M17),MOD(M17*0.9+180,360),"")</f>
        <v/>
      </c>
      <c r="P17" s="29" t="n"/>
      <c r="Q17" s="30" t="n"/>
      <c r="R17" s="30" t="n"/>
      <c r="S17" s="31">
        <f>IF(AND(ISNUMBER(M17),ISNUMBER(R17)),(M17*0.9-R17)*3600,"")</f>
        <v/>
      </c>
      <c r="T17" s="29" t="n"/>
    </row>
    <row r="18">
      <c r="A18" s="26" t="inlineStr">
        <is>
          <t>S07</t>
        </is>
      </c>
      <c r="B18" s="26" t="inlineStr">
        <is>
          <t>S07-M2</t>
        </is>
      </c>
      <c r="C18" s="26" t="inlineStr">
        <is>
          <t>남해 신규점1</t>
        </is>
      </c>
      <c r="D18" s="26" t="inlineStr">
        <is>
          <t>방위표지2</t>
        </is>
      </c>
      <c r="E18" s="27" t="n">
        <v>34.851693275</v>
      </c>
      <c r="F18" s="27" t="n">
        <v>127.9813727194445</v>
      </c>
      <c r="G18" s="29" t="n"/>
      <c r="H18" s="38" t="inlineStr">
        <is>
          <t>기준점</t>
        </is>
      </c>
      <c r="I18" s="38" t="inlineStr">
        <is>
          <t>방위표지</t>
        </is>
      </c>
      <c r="J18" s="39" t="n"/>
      <c r="K18" s="39" t="n"/>
      <c r="L18" s="35">
        <f>IF(COUNT(J18:K18)=2,ABS(ABS(K18-J18)-200),"")</f>
        <v/>
      </c>
      <c r="M18" s="39" t="n"/>
      <c r="N18" s="35">
        <f>IF(ISNUMBER(M18),M18*0.9,"")</f>
        <v/>
      </c>
      <c r="O18" s="35">
        <f>IF(ISNUMBER(M18),MOD(M18*0.9+180,360),"")</f>
        <v/>
      </c>
      <c r="P18" s="29" t="n"/>
      <c r="Q18" s="30" t="n"/>
      <c r="R18" s="30" t="n"/>
      <c r="S18" s="31">
        <f>IF(AND(ISNUMBER(M18),ISNUMBER(R18)),(M18*0.9-R18)*3600,"")</f>
        <v/>
      </c>
      <c r="T18" s="29" t="n"/>
    </row>
    <row r="19">
      <c r="A19" s="26" t="inlineStr">
        <is>
          <t>S08</t>
        </is>
      </c>
      <c r="B19" s="26" t="inlineStr">
        <is>
          <t>S08-M1</t>
        </is>
      </c>
      <c r="C19" s="26" t="inlineStr">
        <is>
          <t>청일 신규점2</t>
        </is>
      </c>
      <c r="D19" s="26" t="inlineStr">
        <is>
          <t>방위표지1</t>
        </is>
      </c>
      <c r="E19" s="27" t="n">
        <v>37.61797608333333</v>
      </c>
      <c r="F19" s="27" t="n">
        <v>128.1697351388889</v>
      </c>
      <c r="G19" s="29" t="n"/>
      <c r="H19" s="38" t="inlineStr">
        <is>
          <t>기준점</t>
        </is>
      </c>
      <c r="I19" s="38" t="inlineStr">
        <is>
          <t>방위표지</t>
        </is>
      </c>
      <c r="J19" s="39" t="n"/>
      <c r="K19" s="39" t="n"/>
      <c r="L19" s="35">
        <f>IF(COUNT(J19:K19)=2,ABS(ABS(K19-J19)-200),"")</f>
        <v/>
      </c>
      <c r="M19" s="39" t="n"/>
      <c r="N19" s="35">
        <f>IF(ISNUMBER(M19),M19*0.9,"")</f>
        <v/>
      </c>
      <c r="O19" s="35">
        <f>IF(ISNUMBER(M19),MOD(M19*0.9+180,360),"")</f>
        <v/>
      </c>
      <c r="P19" s="29" t="n"/>
      <c r="Q19" s="30" t="n"/>
      <c r="R19" s="30" t="n"/>
      <c r="S19" s="31">
        <f>IF(AND(ISNUMBER(M19),ISNUMBER(R19)),(M19*0.9-R19)*3600,"")</f>
        <v/>
      </c>
      <c r="T19" s="29" t="n"/>
    </row>
    <row r="20">
      <c r="A20" s="26" t="inlineStr">
        <is>
          <t>S08</t>
        </is>
      </c>
      <c r="B20" s="26" t="inlineStr">
        <is>
          <t>S08-M2</t>
        </is>
      </c>
      <c r="C20" s="26" t="inlineStr">
        <is>
          <t>청일 신규점2</t>
        </is>
      </c>
      <c r="D20" s="26" t="inlineStr">
        <is>
          <t>방위표지2</t>
        </is>
      </c>
      <c r="E20" s="27" t="n">
        <v>37.61877277777778</v>
      </c>
      <c r="F20" s="27" t="n">
        <v>128.1701220833333</v>
      </c>
      <c r="G20" s="29" t="n"/>
      <c r="H20" s="38" t="inlineStr">
        <is>
          <t>기준점</t>
        </is>
      </c>
      <c r="I20" s="38" t="inlineStr">
        <is>
          <t>방위표지</t>
        </is>
      </c>
      <c r="J20" s="39" t="n"/>
      <c r="K20" s="39" t="n"/>
      <c r="L20" s="35">
        <f>IF(COUNT(J20:K20)=2,ABS(ABS(K20-J20)-200),"")</f>
        <v/>
      </c>
      <c r="M20" s="39" t="n"/>
      <c r="N20" s="35">
        <f>IF(ISNUMBER(M20),M20*0.9,"")</f>
        <v/>
      </c>
      <c r="O20" s="35">
        <f>IF(ISNUMBER(M20),MOD(M20*0.9+180,360),"")</f>
        <v/>
      </c>
      <c r="P20" s="29" t="n"/>
      <c r="Q20" s="30" t="n"/>
      <c r="R20" s="30" t="n"/>
      <c r="S20" s="31">
        <f>IF(AND(ISNUMBER(M20),ISNUMBER(R20)),(M20*0.9-R20)*3600,"")</f>
        <v/>
      </c>
      <c r="T20" s="29" t="n"/>
    </row>
    <row r="21">
      <c r="A21" s="26" t="inlineStr">
        <is>
          <t>S09</t>
        </is>
      </c>
      <c r="B21" s="26" t="inlineStr">
        <is>
          <t>S09-M1</t>
        </is>
      </c>
      <c r="C21" s="26" t="inlineStr">
        <is>
          <t>어론 신규점</t>
        </is>
      </c>
      <c r="D21" s="26" t="inlineStr">
        <is>
          <t>방위표지1</t>
        </is>
      </c>
      <c r="E21" s="27" t="n">
        <v>37.77636436111111</v>
      </c>
      <c r="F21" s="27" t="n">
        <v>128.0754613833333</v>
      </c>
      <c r="G21" s="29" t="n"/>
      <c r="H21" s="38" t="inlineStr">
        <is>
          <t>기준점</t>
        </is>
      </c>
      <c r="I21" s="38" t="inlineStr">
        <is>
          <t>방위표지</t>
        </is>
      </c>
      <c r="J21" s="39" t="n"/>
      <c r="K21" s="39" t="n"/>
      <c r="L21" s="35">
        <f>IF(COUNT(J21:K21)=2,ABS(ABS(K21-J21)-200),"")</f>
        <v/>
      </c>
      <c r="M21" s="39" t="n"/>
      <c r="N21" s="35">
        <f>IF(ISNUMBER(M21),M21*0.9,"")</f>
        <v/>
      </c>
      <c r="O21" s="35">
        <f>IF(ISNUMBER(M21),MOD(M21*0.9+180,360),"")</f>
        <v/>
      </c>
      <c r="P21" s="29" t="n"/>
      <c r="Q21" s="30" t="n"/>
      <c r="R21" s="30" t="n"/>
      <c r="S21" s="31">
        <f>IF(AND(ISNUMBER(M21),ISNUMBER(R21)),(M21*0.9-R21)*3600,"")</f>
        <v/>
      </c>
      <c r="T21" s="29" t="n"/>
    </row>
    <row r="22">
      <c r="A22" s="26" t="inlineStr">
        <is>
          <t>S09</t>
        </is>
      </c>
      <c r="B22" s="26" t="inlineStr">
        <is>
          <t>S09-M2</t>
        </is>
      </c>
      <c r="C22" s="26" t="inlineStr">
        <is>
          <t>어론 신규점</t>
        </is>
      </c>
      <c r="D22" s="26" t="inlineStr">
        <is>
          <t>방위표지2</t>
        </is>
      </c>
      <c r="E22" s="27" t="n">
        <v>37.77592578888889</v>
      </c>
      <c r="F22" s="27" t="n">
        <v>128.0757999888889</v>
      </c>
      <c r="G22" s="29" t="n"/>
      <c r="H22" s="38" t="inlineStr">
        <is>
          <t>기준점</t>
        </is>
      </c>
      <c r="I22" s="38" t="inlineStr">
        <is>
          <t>방위표지</t>
        </is>
      </c>
      <c r="J22" s="39" t="n"/>
      <c r="K22" s="39" t="n"/>
      <c r="L22" s="35">
        <f>IF(COUNT(J22:K22)=2,ABS(ABS(K22-J22)-200),"")</f>
        <v/>
      </c>
      <c r="M22" s="39" t="n"/>
      <c r="N22" s="35">
        <f>IF(ISNUMBER(M22),M22*0.9,"")</f>
        <v/>
      </c>
      <c r="O22" s="35">
        <f>IF(ISNUMBER(M22),MOD(M22*0.9+180,360),"")</f>
        <v/>
      </c>
      <c r="P22" s="29" t="n"/>
      <c r="Q22" s="30" t="n"/>
      <c r="R22" s="30" t="n"/>
      <c r="S22" s="31">
        <f>IF(AND(ISNUMBER(M22),ISNUMBER(R22)),(M22*0.9-R22)*3600,"")</f>
        <v/>
      </c>
      <c r="T22" s="29" t="n"/>
    </row>
    <row r="23">
      <c r="A23" s="26" t="inlineStr">
        <is>
          <t>S10</t>
        </is>
      </c>
      <c r="B23" s="26" t="inlineStr">
        <is>
          <t>S10-M1</t>
        </is>
      </c>
      <c r="C23" s="26" t="inlineStr">
        <is>
          <t>예안 신규점1</t>
        </is>
      </c>
      <c r="D23" s="26" t="inlineStr">
        <is>
          <t>방위표지1</t>
        </is>
      </c>
      <c r="E23" s="27" t="n">
        <v>36.74535440277778</v>
      </c>
      <c r="F23" s="27" t="n">
        <v>128.8535571722222</v>
      </c>
      <c r="G23" s="29" t="n"/>
      <c r="H23" s="38" t="inlineStr">
        <is>
          <t>기준점</t>
        </is>
      </c>
      <c r="I23" s="38" t="inlineStr">
        <is>
          <t>방위표지</t>
        </is>
      </c>
      <c r="J23" s="39" t="n"/>
      <c r="K23" s="39" t="n"/>
      <c r="L23" s="35">
        <f>IF(COUNT(J23:K23)=2,ABS(ABS(K23-J23)-200),"")</f>
        <v/>
      </c>
      <c r="M23" s="39" t="n"/>
      <c r="N23" s="35">
        <f>IF(ISNUMBER(M23),M23*0.9,"")</f>
        <v/>
      </c>
      <c r="O23" s="35">
        <f>IF(ISNUMBER(M23),MOD(M23*0.9+180,360),"")</f>
        <v/>
      </c>
      <c r="P23" s="29" t="n"/>
      <c r="Q23" s="30" t="n"/>
      <c r="R23" s="30" t="n"/>
      <c r="S23" s="31">
        <f>IF(AND(ISNUMBER(M23),ISNUMBER(R23)),(M23*0.9-R23)*3600,"")</f>
        <v/>
      </c>
      <c r="T23" s="29" t="n"/>
    </row>
    <row r="24">
      <c r="A24" s="26" t="inlineStr">
        <is>
          <t>S10</t>
        </is>
      </c>
      <c r="B24" s="26" t="inlineStr">
        <is>
          <t>S10-M2</t>
        </is>
      </c>
      <c r="C24" s="26" t="inlineStr">
        <is>
          <t>예안 신규점1</t>
        </is>
      </c>
      <c r="D24" s="26" t="inlineStr">
        <is>
          <t>방위표지2</t>
        </is>
      </c>
      <c r="E24" s="27" t="n">
        <v>36.74491753888889</v>
      </c>
      <c r="F24" s="27" t="n">
        <v>128.8532282277778</v>
      </c>
      <c r="G24" s="29" t="n"/>
      <c r="H24" s="38" t="inlineStr">
        <is>
          <t>기준점</t>
        </is>
      </c>
      <c r="I24" s="38" t="inlineStr">
        <is>
          <t>방위표지</t>
        </is>
      </c>
      <c r="J24" s="39" t="n"/>
      <c r="K24" s="39" t="n"/>
      <c r="L24" s="35">
        <f>IF(COUNT(J24:K24)=2,ABS(ABS(K24-J24)-200),"")</f>
        <v/>
      </c>
      <c r="M24" s="39" t="n"/>
      <c r="N24" s="35">
        <f>IF(ISNUMBER(M24),M24*0.9,"")</f>
        <v/>
      </c>
      <c r="O24" s="35">
        <f>IF(ISNUMBER(M24),MOD(M24*0.9+180,360),"")</f>
        <v/>
      </c>
      <c r="P24" s="29" t="n"/>
      <c r="Q24" s="30" t="n"/>
      <c r="R24" s="30" t="n"/>
      <c r="S24" s="31">
        <f>IF(AND(ISNUMBER(M24),ISNUMBER(R24)),(M24*0.9-R24)*3600,"")</f>
        <v/>
      </c>
      <c r="T24" s="29" t="n"/>
    </row>
    <row r="25">
      <c r="A25" s="26" t="inlineStr">
        <is>
          <t>S11</t>
        </is>
      </c>
      <c r="B25" s="26" t="inlineStr">
        <is>
          <t>S11-M1</t>
        </is>
      </c>
      <c r="C25" s="26" t="inlineStr">
        <is>
          <t>소천 신규점4</t>
        </is>
      </c>
      <c r="D25" s="26" t="inlineStr">
        <is>
          <t>방위표지1</t>
        </is>
      </c>
      <c r="E25" s="27" t="n">
        <v>36.76564758611111</v>
      </c>
      <c r="F25" s="27" t="n">
        <v>129.1538573666667</v>
      </c>
      <c r="G25" s="29" t="n"/>
      <c r="H25" s="38" t="inlineStr">
        <is>
          <t>기준점</t>
        </is>
      </c>
      <c r="I25" s="38" t="inlineStr">
        <is>
          <t>방위표지</t>
        </is>
      </c>
      <c r="J25" s="39" t="n"/>
      <c r="K25" s="39" t="n"/>
      <c r="L25" s="35">
        <f>IF(COUNT(J25:K25)=2,ABS(ABS(K25-J25)-200),"")</f>
        <v/>
      </c>
      <c r="M25" s="39" t="n"/>
      <c r="N25" s="35">
        <f>IF(ISNUMBER(M25),M25*0.9,"")</f>
        <v/>
      </c>
      <c r="O25" s="35">
        <f>IF(ISNUMBER(M25),MOD(M25*0.9+180,360),"")</f>
        <v/>
      </c>
      <c r="P25" s="29" t="n"/>
      <c r="Q25" s="30" t="n"/>
      <c r="R25" s="30" t="n"/>
      <c r="S25" s="31">
        <f>IF(AND(ISNUMBER(M25),ISNUMBER(R25)),(M25*0.9-R25)*3600,"")</f>
        <v/>
      </c>
      <c r="T25" s="29" t="n"/>
    </row>
    <row r="26">
      <c r="A26" s="26" t="inlineStr">
        <is>
          <t>S11</t>
        </is>
      </c>
      <c r="B26" s="26" t="inlineStr">
        <is>
          <t>S11-M2</t>
        </is>
      </c>
      <c r="C26" s="26" t="inlineStr">
        <is>
          <t>소천 신규점4</t>
        </is>
      </c>
      <c r="D26" s="26" t="inlineStr">
        <is>
          <t>방위표지2</t>
        </is>
      </c>
      <c r="E26" s="27" t="n">
        <v>36.76601024444444</v>
      </c>
      <c r="F26" s="27" t="n">
        <v>129.15444195</v>
      </c>
      <c r="G26" s="29" t="n"/>
      <c r="H26" s="38" t="inlineStr">
        <is>
          <t>기준점</t>
        </is>
      </c>
      <c r="I26" s="38" t="inlineStr">
        <is>
          <t>방위표지</t>
        </is>
      </c>
      <c r="J26" s="39" t="n"/>
      <c r="K26" s="39" t="n"/>
      <c r="L26" s="35">
        <f>IF(COUNT(J26:K26)=2,ABS(ABS(K26-J26)-200),"")</f>
        <v/>
      </c>
      <c r="M26" s="39" t="n"/>
      <c r="N26" s="35">
        <f>IF(ISNUMBER(M26),M26*0.9,"")</f>
        <v/>
      </c>
      <c r="O26" s="35">
        <f>IF(ISNUMBER(M26),MOD(M26*0.9+180,360),"")</f>
        <v/>
      </c>
      <c r="P26" s="29" t="n"/>
      <c r="Q26" s="30" t="n"/>
      <c r="R26" s="30" t="n"/>
      <c r="S26" s="31">
        <f>IF(AND(ISNUMBER(M26),ISNUMBER(R26)),(M26*0.9-R26)*3600,"")</f>
        <v/>
      </c>
      <c r="T26" s="29" t="n"/>
    </row>
    <row r="27">
      <c r="A27" s="26" t="inlineStr">
        <is>
          <t>S12</t>
        </is>
      </c>
      <c r="B27" s="26" t="inlineStr">
        <is>
          <t>S12-M1</t>
        </is>
      </c>
      <c r="C27" s="26" t="inlineStr">
        <is>
          <t>순창 신규점</t>
        </is>
      </c>
      <c r="D27" s="26" t="inlineStr">
        <is>
          <t>방위표지1</t>
        </is>
      </c>
      <c r="E27" s="27" t="n">
        <v>35.28499025555556</v>
      </c>
      <c r="F27" s="27" t="n">
        <v>127.0942923083333</v>
      </c>
      <c r="G27" s="29" t="n"/>
      <c r="H27" s="38" t="inlineStr">
        <is>
          <t>기준점</t>
        </is>
      </c>
      <c r="I27" s="38" t="inlineStr">
        <is>
          <t>방위표지</t>
        </is>
      </c>
      <c r="J27" s="39" t="n"/>
      <c r="K27" s="39" t="n"/>
      <c r="L27" s="35">
        <f>IF(COUNT(J27:K27)=2,ABS(ABS(K27-J27)-200),"")</f>
        <v/>
      </c>
      <c r="M27" s="39" t="n"/>
      <c r="N27" s="35">
        <f>IF(ISNUMBER(M27),M27*0.9,"")</f>
        <v/>
      </c>
      <c r="O27" s="35">
        <f>IF(ISNUMBER(M27),MOD(M27*0.9+180,360),"")</f>
        <v/>
      </c>
      <c r="P27" s="29" t="n"/>
      <c r="Q27" s="30" t="n"/>
      <c r="R27" s="30" t="n"/>
      <c r="S27" s="31">
        <f>IF(AND(ISNUMBER(M27),ISNUMBER(R27)),(M27*0.9-R27)*3600,"")</f>
        <v/>
      </c>
      <c r="T27" s="29" t="n"/>
    </row>
    <row r="28">
      <c r="A28" s="26" t="inlineStr">
        <is>
          <t>S12</t>
        </is>
      </c>
      <c r="B28" s="26" t="inlineStr">
        <is>
          <t>S12-M2</t>
        </is>
      </c>
      <c r="C28" s="26" t="inlineStr">
        <is>
          <t>순창 신규점</t>
        </is>
      </c>
      <c r="D28" s="26" t="inlineStr">
        <is>
          <t>방위표지2</t>
        </is>
      </c>
      <c r="E28" s="27" t="n">
        <v>35.28498230555555</v>
      </c>
      <c r="F28" s="27" t="n">
        <v>127.0952196972222</v>
      </c>
      <c r="G28" s="29" t="n"/>
      <c r="H28" s="38" t="inlineStr">
        <is>
          <t>기준점</t>
        </is>
      </c>
      <c r="I28" s="38" t="inlineStr">
        <is>
          <t>방위표지</t>
        </is>
      </c>
      <c r="J28" s="39" t="n"/>
      <c r="K28" s="39" t="n"/>
      <c r="L28" s="35">
        <f>IF(COUNT(J28:K28)=2,ABS(ABS(K28-J28)-200),"")</f>
        <v/>
      </c>
      <c r="M28" s="39" t="n"/>
      <c r="N28" s="35">
        <f>IF(ISNUMBER(M28),M28*0.9,"")</f>
        <v/>
      </c>
      <c r="O28" s="35">
        <f>IF(ISNUMBER(M28),MOD(M28*0.9+180,360),"")</f>
        <v/>
      </c>
      <c r="P28" s="29" t="n"/>
      <c r="Q28" s="30" t="n"/>
      <c r="R28" s="30" t="n"/>
      <c r="S28" s="31">
        <f>IF(AND(ISNUMBER(M28),ISNUMBER(R28)),(M28*0.9-R28)*3600,"")</f>
        <v/>
      </c>
      <c r="T28" s="29" t="n"/>
    </row>
    <row r="29">
      <c r="A29" s="26" t="inlineStr">
        <is>
          <t>S13</t>
        </is>
      </c>
      <c r="B29" s="26" t="inlineStr">
        <is>
          <t>S13-M1</t>
        </is>
      </c>
      <c r="C29" s="26" t="inlineStr">
        <is>
          <t>순천 신규점</t>
        </is>
      </c>
      <c r="D29" s="26" t="inlineStr">
        <is>
          <t>방위표지1</t>
        </is>
      </c>
      <c r="E29" s="27" t="n">
        <v>34.90458620277778</v>
      </c>
      <c r="F29" s="27" t="n">
        <v>127.2947059805555</v>
      </c>
      <c r="G29" s="29" t="n"/>
      <c r="H29" s="38" t="inlineStr">
        <is>
          <t>기준점</t>
        </is>
      </c>
      <c r="I29" s="38" t="inlineStr">
        <is>
          <t>방위표지</t>
        </is>
      </c>
      <c r="J29" s="39" t="n"/>
      <c r="K29" s="39" t="n"/>
      <c r="L29" s="35">
        <f>IF(COUNT(J29:K29)=2,ABS(ABS(K29-J29)-200),"")</f>
        <v/>
      </c>
      <c r="M29" s="39" t="n"/>
      <c r="N29" s="35">
        <f>IF(ISNUMBER(M29),M29*0.9,"")</f>
        <v/>
      </c>
      <c r="O29" s="35">
        <f>IF(ISNUMBER(M29),MOD(M29*0.9+180,360),"")</f>
        <v/>
      </c>
      <c r="P29" s="29" t="n"/>
      <c r="Q29" s="30" t="n"/>
      <c r="R29" s="30" t="n"/>
      <c r="S29" s="31">
        <f>IF(AND(ISNUMBER(M29),ISNUMBER(R29)),(M29*0.9-R29)*3600,"")</f>
        <v/>
      </c>
      <c r="T29" s="29" t="n"/>
    </row>
    <row r="30">
      <c r="A30" s="26" t="inlineStr">
        <is>
          <t>S13</t>
        </is>
      </c>
      <c r="B30" s="26" t="inlineStr">
        <is>
          <t>S13-M2</t>
        </is>
      </c>
      <c r="C30" s="26" t="inlineStr">
        <is>
          <t>순천 신규점</t>
        </is>
      </c>
      <c r="D30" s="26" t="inlineStr">
        <is>
          <t>방위표지2</t>
        </is>
      </c>
      <c r="E30" s="27" t="n">
        <v>34.90464454722222</v>
      </c>
      <c r="F30" s="27" t="n">
        <v>127.2944240916667</v>
      </c>
      <c r="G30" s="29" t="n"/>
      <c r="H30" s="38" t="inlineStr">
        <is>
          <t>기준점</t>
        </is>
      </c>
      <c r="I30" s="38" t="inlineStr">
        <is>
          <t>방위표지</t>
        </is>
      </c>
      <c r="J30" s="39" t="n"/>
      <c r="K30" s="39" t="n"/>
      <c r="L30" s="35">
        <f>IF(COUNT(J30:K30)=2,ABS(ABS(K30-J30)-200),"")</f>
        <v/>
      </c>
      <c r="M30" s="39" t="n"/>
      <c r="N30" s="35">
        <f>IF(ISNUMBER(M30),M30*0.9,"")</f>
        <v/>
      </c>
      <c r="O30" s="35">
        <f>IF(ISNUMBER(M30),MOD(M30*0.9+180,360),"")</f>
        <v/>
      </c>
      <c r="P30" s="29" t="n"/>
      <c r="Q30" s="30" t="n"/>
      <c r="R30" s="30" t="n"/>
      <c r="S30" s="31">
        <f>IF(AND(ISNUMBER(M30),ISNUMBER(R30)),(M30*0.9-R30)*3600,"")</f>
        <v/>
      </c>
      <c r="T30" s="29" t="n"/>
    </row>
    <row r="31">
      <c r="A31" s="26" t="inlineStr">
        <is>
          <t>S14</t>
        </is>
      </c>
      <c r="B31" s="26" t="inlineStr">
        <is>
          <t>S14-M1</t>
        </is>
      </c>
      <c r="C31" s="26" t="inlineStr">
        <is>
          <t>청송 신규점1</t>
        </is>
      </c>
      <c r="D31" s="26" t="inlineStr">
        <is>
          <t>방위표지1</t>
        </is>
      </c>
      <c r="E31" s="27" t="n">
        <v>36.38259309444445</v>
      </c>
      <c r="F31" s="27" t="n">
        <v>129.1462726638889</v>
      </c>
      <c r="G31" s="29" t="n"/>
      <c r="H31" s="38" t="inlineStr">
        <is>
          <t>기준점</t>
        </is>
      </c>
      <c r="I31" s="38" t="inlineStr">
        <is>
          <t>방위표지</t>
        </is>
      </c>
      <c r="J31" s="39" t="n"/>
      <c r="K31" s="39" t="n"/>
      <c r="L31" s="35">
        <f>IF(COUNT(J31:K31)=2,ABS(ABS(K31-J31)-200),"")</f>
        <v/>
      </c>
      <c r="M31" s="39" t="n"/>
      <c r="N31" s="35">
        <f>IF(ISNUMBER(M31),M31*0.9,"")</f>
        <v/>
      </c>
      <c r="O31" s="35">
        <f>IF(ISNUMBER(M31),MOD(M31*0.9+180,360),"")</f>
        <v/>
      </c>
      <c r="P31" s="29" t="n"/>
      <c r="Q31" s="30" t="n"/>
      <c r="R31" s="30" t="n"/>
      <c r="S31" s="31">
        <f>IF(AND(ISNUMBER(M31),ISNUMBER(R31)),(M31*0.9-R31)*3600,"")</f>
        <v/>
      </c>
      <c r="T31" s="29" t="n"/>
    </row>
    <row r="32">
      <c r="A32" s="26" t="inlineStr">
        <is>
          <t>S14</t>
        </is>
      </c>
      <c r="B32" s="26" t="inlineStr">
        <is>
          <t>S14-M2</t>
        </is>
      </c>
      <c r="C32" s="26" t="inlineStr">
        <is>
          <t>청송 신규점1</t>
        </is>
      </c>
      <c r="D32" s="26" t="inlineStr">
        <is>
          <t>방위표지2</t>
        </is>
      </c>
      <c r="E32" s="27" t="n">
        <v>36.38278041111111</v>
      </c>
      <c r="F32" s="27" t="n">
        <v>129.1454675861111</v>
      </c>
      <c r="G32" s="29" t="n"/>
      <c r="H32" s="38" t="inlineStr">
        <is>
          <t>기준점</t>
        </is>
      </c>
      <c r="I32" s="38" t="inlineStr">
        <is>
          <t>방위표지</t>
        </is>
      </c>
      <c r="J32" s="39" t="n"/>
      <c r="K32" s="39" t="n"/>
      <c r="L32" s="35">
        <f>IF(COUNT(J32:K32)=2,ABS(ABS(K32-J32)-200),"")</f>
        <v/>
      </c>
      <c r="M32" s="39" t="n"/>
      <c r="N32" s="35">
        <f>IF(ISNUMBER(M32),M32*0.9,"")</f>
        <v/>
      </c>
      <c r="O32" s="35">
        <f>IF(ISNUMBER(M32),MOD(M32*0.9+180,360),"")</f>
        <v/>
      </c>
      <c r="P32" s="29" t="n"/>
      <c r="Q32" s="30" t="n"/>
      <c r="R32" s="30" t="n"/>
      <c r="S32" s="31">
        <f>IF(AND(ISNUMBER(M32),ISNUMBER(R32)),(M32*0.9-R32)*3600,"")</f>
        <v/>
      </c>
      <c r="T32" s="29" t="n"/>
    </row>
    <row r="33">
      <c r="A33" s="26" t="inlineStr">
        <is>
          <t>S15</t>
        </is>
      </c>
      <c r="B33" s="26" t="inlineStr">
        <is>
          <t>S15-M1</t>
        </is>
      </c>
      <c r="C33" s="26" t="inlineStr">
        <is>
          <t>의성 신규점</t>
        </is>
      </c>
      <c r="D33" s="26" t="inlineStr">
        <is>
          <t>방위표지1</t>
        </is>
      </c>
      <c r="E33" s="27" t="n">
        <v>36.47714171666667</v>
      </c>
      <c r="F33" s="27" t="n">
        <v>128.5092024361111</v>
      </c>
      <c r="G33" s="29" t="n"/>
      <c r="H33" s="38" t="inlineStr">
        <is>
          <t>기준점</t>
        </is>
      </c>
      <c r="I33" s="38" t="inlineStr">
        <is>
          <t>방위표지</t>
        </is>
      </c>
      <c r="J33" s="39" t="n"/>
      <c r="K33" s="39" t="n"/>
      <c r="L33" s="35">
        <f>IF(COUNT(J33:K33)=2,ABS(ABS(K33-J33)-200),"")</f>
        <v/>
      </c>
      <c r="M33" s="39" t="n"/>
      <c r="N33" s="35">
        <f>IF(ISNUMBER(M33),M33*0.9,"")</f>
        <v/>
      </c>
      <c r="O33" s="35">
        <f>IF(ISNUMBER(M33),MOD(M33*0.9+180,360),"")</f>
        <v/>
      </c>
      <c r="P33" s="29" t="n"/>
      <c r="Q33" s="30" t="n"/>
      <c r="R33" s="30" t="n"/>
      <c r="S33" s="31">
        <f>IF(AND(ISNUMBER(M33),ISNUMBER(R33)),(M33*0.9-R33)*3600,"")</f>
        <v/>
      </c>
      <c r="T33" s="29" t="n"/>
    </row>
    <row r="34">
      <c r="A34" s="26" t="inlineStr">
        <is>
          <t>S15</t>
        </is>
      </c>
      <c r="B34" s="26" t="inlineStr">
        <is>
          <t>S15-M2</t>
        </is>
      </c>
      <c r="C34" s="26" t="inlineStr">
        <is>
          <t>의성 신규점</t>
        </is>
      </c>
      <c r="D34" s="26" t="inlineStr">
        <is>
          <t>방위표지2</t>
        </is>
      </c>
      <c r="E34" s="27" t="n">
        <v>36.47623722222222</v>
      </c>
      <c r="F34" s="27" t="n">
        <v>128.5080580638889</v>
      </c>
      <c r="G34" s="29" t="n"/>
      <c r="H34" s="38" t="inlineStr">
        <is>
          <t>기준점</t>
        </is>
      </c>
      <c r="I34" s="38" t="inlineStr">
        <is>
          <t>방위표지</t>
        </is>
      </c>
      <c r="J34" s="39" t="n"/>
      <c r="K34" s="39" t="n"/>
      <c r="L34" s="35">
        <f>IF(COUNT(J34:K34)=2,ABS(ABS(K34-J34)-200),"")</f>
        <v/>
      </c>
      <c r="M34" s="39" t="n"/>
      <c r="N34" s="35">
        <f>IF(ISNUMBER(M34),M34*0.9,"")</f>
        <v/>
      </c>
      <c r="O34" s="35">
        <f>IF(ISNUMBER(M34),MOD(M34*0.9+180,360),"")</f>
        <v/>
      </c>
      <c r="P34" s="29" t="n"/>
      <c r="Q34" s="30" t="n"/>
      <c r="R34" s="30" t="n"/>
      <c r="S34" s="31">
        <f>IF(AND(ISNUMBER(M34),ISNUMBER(R34)),(M34*0.9-R34)*3600,"")</f>
        <v/>
      </c>
      <c r="T34" s="29" t="n"/>
    </row>
    <row r="35">
      <c r="A35" s="26" t="inlineStr">
        <is>
          <t>S16</t>
        </is>
      </c>
      <c r="B35" s="26" t="inlineStr">
        <is>
          <t>S16-M1</t>
        </is>
      </c>
      <c r="C35" s="26" t="inlineStr">
        <is>
          <t>예천 신규점</t>
        </is>
      </c>
      <c r="D35" s="26" t="inlineStr">
        <is>
          <t>방위표지1</t>
        </is>
      </c>
      <c r="E35" s="27" t="n">
        <v>36.50982223611111</v>
      </c>
      <c r="F35" s="27" t="n">
        <v>128.4944747027778</v>
      </c>
      <c r="G35" s="29" t="n"/>
      <c r="H35" s="38" t="inlineStr">
        <is>
          <t>기준점</t>
        </is>
      </c>
      <c r="I35" s="38" t="inlineStr">
        <is>
          <t>방위표지</t>
        </is>
      </c>
      <c r="J35" s="39" t="n"/>
      <c r="K35" s="39" t="n"/>
      <c r="L35" s="35">
        <f>IF(COUNT(J35:K35)=2,ABS(ABS(K35-J35)-200),"")</f>
        <v/>
      </c>
      <c r="M35" s="39" t="n"/>
      <c r="N35" s="35">
        <f>IF(ISNUMBER(M35),M35*0.9,"")</f>
        <v/>
      </c>
      <c r="O35" s="35">
        <f>IF(ISNUMBER(M35),MOD(M35*0.9+180,360),"")</f>
        <v/>
      </c>
      <c r="P35" s="29" t="n"/>
      <c r="Q35" s="30" t="n"/>
      <c r="R35" s="30" t="n"/>
      <c r="S35" s="31">
        <f>IF(AND(ISNUMBER(M35),ISNUMBER(R35)),(M35*0.9-R35)*3600,"")</f>
        <v/>
      </c>
      <c r="T35" s="29" t="n"/>
    </row>
    <row r="36">
      <c r="A36" s="26" t="inlineStr">
        <is>
          <t>S16</t>
        </is>
      </c>
      <c r="B36" s="26" t="inlineStr">
        <is>
          <t>S16-M2</t>
        </is>
      </c>
      <c r="C36" s="26" t="inlineStr">
        <is>
          <t>예천 신규점</t>
        </is>
      </c>
      <c r="D36" s="26" t="inlineStr">
        <is>
          <t>방위표지2</t>
        </is>
      </c>
      <c r="E36" s="27" t="n">
        <v>36.50860930833333</v>
      </c>
      <c r="F36" s="27" t="n">
        <v>128.4948398027778</v>
      </c>
      <c r="G36" s="29" t="n"/>
      <c r="H36" s="38" t="inlineStr">
        <is>
          <t>기준점</t>
        </is>
      </c>
      <c r="I36" s="38" t="inlineStr">
        <is>
          <t>방위표지</t>
        </is>
      </c>
      <c r="J36" s="39" t="n"/>
      <c r="K36" s="39" t="n"/>
      <c r="L36" s="35">
        <f>IF(COUNT(J36:K36)=2,ABS(ABS(K36-J36)-200),"")</f>
        <v/>
      </c>
      <c r="M36" s="39" t="n"/>
      <c r="N36" s="35">
        <f>IF(ISNUMBER(M36),M36*0.9,"")</f>
        <v/>
      </c>
      <c r="O36" s="35">
        <f>IF(ISNUMBER(M36),MOD(M36*0.9+180,360),"")</f>
        <v/>
      </c>
      <c r="P36" s="29" t="n"/>
      <c r="Q36" s="30" t="n"/>
      <c r="R36" s="30" t="n"/>
      <c r="S36" s="31">
        <f>IF(AND(ISNUMBER(M36),ISNUMBER(R36)),(M36*0.9-R36)*3600,"")</f>
        <v/>
      </c>
      <c r="T36" s="29" t="n"/>
    </row>
    <row r="37">
      <c r="A37" s="26" t="inlineStr">
        <is>
          <t>S17</t>
        </is>
      </c>
      <c r="B37" s="26" t="inlineStr">
        <is>
          <t>S17-M1</t>
        </is>
      </c>
      <c r="C37" s="26" t="inlineStr">
        <is>
          <t>영양 신규점4</t>
        </is>
      </c>
      <c r="D37" s="26" t="inlineStr">
        <is>
          <t>방위표지1</t>
        </is>
      </c>
      <c r="E37" s="27" t="n">
        <v>36.74274781111111</v>
      </c>
      <c r="F37" s="27" t="n">
        <v>129.1822400194444</v>
      </c>
      <c r="G37" s="29" t="n"/>
      <c r="H37" s="38" t="inlineStr">
        <is>
          <t>기준점</t>
        </is>
      </c>
      <c r="I37" s="38" t="inlineStr">
        <is>
          <t>방위표지</t>
        </is>
      </c>
      <c r="J37" s="39" t="n"/>
      <c r="K37" s="39" t="n"/>
      <c r="L37" s="35">
        <f>IF(COUNT(J37:K37)=2,ABS(ABS(K37-J37)-200),"")</f>
        <v/>
      </c>
      <c r="M37" s="39" t="n"/>
      <c r="N37" s="35">
        <f>IF(ISNUMBER(M37),M37*0.9,"")</f>
        <v/>
      </c>
      <c r="O37" s="35">
        <f>IF(ISNUMBER(M37),MOD(M37*0.9+180,360),"")</f>
        <v/>
      </c>
      <c r="P37" s="29" t="n"/>
      <c r="Q37" s="30" t="n"/>
      <c r="R37" s="30" t="n"/>
      <c r="S37" s="31">
        <f>IF(AND(ISNUMBER(M37),ISNUMBER(R37)),(M37*0.9-R37)*3600,"")</f>
        <v/>
      </c>
      <c r="T37" s="29" t="n"/>
    </row>
    <row r="38">
      <c r="A38" s="26" t="inlineStr">
        <is>
          <t>S17</t>
        </is>
      </c>
      <c r="B38" s="26" t="inlineStr">
        <is>
          <t>S17-M2</t>
        </is>
      </c>
      <c r="C38" s="26" t="inlineStr">
        <is>
          <t>영양 신규점4</t>
        </is>
      </c>
      <c r="D38" s="26" t="inlineStr">
        <is>
          <t>방위표지2</t>
        </is>
      </c>
      <c r="E38" s="27" t="n">
        <v>36.74337451388889</v>
      </c>
      <c r="F38" s="27" t="n">
        <v>129.1815866805555</v>
      </c>
      <c r="G38" s="29" t="n"/>
      <c r="H38" s="38" t="inlineStr">
        <is>
          <t>기준점</t>
        </is>
      </c>
      <c r="I38" s="38" t="inlineStr">
        <is>
          <t>방위표지</t>
        </is>
      </c>
      <c r="J38" s="39" t="n"/>
      <c r="K38" s="39" t="n"/>
      <c r="L38" s="35">
        <f>IF(COUNT(J38:K38)=2,ABS(ABS(K38-J38)-200),"")</f>
        <v/>
      </c>
      <c r="M38" s="39" t="n"/>
      <c r="N38" s="35">
        <f>IF(ISNUMBER(M38),M38*0.9,"")</f>
        <v/>
      </c>
      <c r="O38" s="35">
        <f>IF(ISNUMBER(M38),MOD(M38*0.9+180,360),"")</f>
        <v/>
      </c>
      <c r="P38" s="29" t="n"/>
      <c r="Q38" s="30" t="n"/>
      <c r="R38" s="30" t="n"/>
      <c r="S38" s="31">
        <f>IF(AND(ISNUMBER(M38),ISNUMBER(R38)),(M38*0.9-R38)*3600,"")</f>
        <v/>
      </c>
      <c r="T38" s="29" t="n"/>
    </row>
    <row r="39">
      <c r="A39" s="26" t="inlineStr">
        <is>
          <t>S18</t>
        </is>
      </c>
      <c r="B39" s="26" t="inlineStr">
        <is>
          <t>S18-M1</t>
        </is>
      </c>
      <c r="C39" s="26" t="inlineStr">
        <is>
          <t>통영 신규점</t>
        </is>
      </c>
      <c r="D39" s="26" t="inlineStr">
        <is>
          <t>방위표지1</t>
        </is>
      </c>
      <c r="E39" s="27" t="n">
        <v>34.79323658333333</v>
      </c>
      <c r="F39" s="27" t="n">
        <v>128.3937161666666</v>
      </c>
      <c r="G39" s="29" t="n"/>
      <c r="H39" s="38" t="inlineStr">
        <is>
          <t>기준점</t>
        </is>
      </c>
      <c r="I39" s="38" t="inlineStr">
        <is>
          <t>방위표지</t>
        </is>
      </c>
      <c r="J39" s="39" t="n"/>
      <c r="K39" s="39" t="n"/>
      <c r="L39" s="35">
        <f>IF(COUNT(J39:K39)=2,ABS(ABS(K39-J39)-200),"")</f>
        <v/>
      </c>
      <c r="M39" s="39" t="n"/>
      <c r="N39" s="35">
        <f>IF(ISNUMBER(M39),M39*0.9,"")</f>
        <v/>
      </c>
      <c r="O39" s="35">
        <f>IF(ISNUMBER(M39),MOD(M39*0.9+180,360),"")</f>
        <v/>
      </c>
      <c r="P39" s="29" t="n"/>
      <c r="Q39" s="30" t="n"/>
      <c r="R39" s="30" t="n"/>
      <c r="S39" s="31">
        <f>IF(AND(ISNUMBER(M39),ISNUMBER(R39)),(M39*0.9-R39)*3600,"")</f>
        <v/>
      </c>
      <c r="T39" s="29" t="n"/>
    </row>
    <row r="40">
      <c r="A40" s="26" t="inlineStr">
        <is>
          <t>S18</t>
        </is>
      </c>
      <c r="B40" s="26" t="inlineStr">
        <is>
          <t>S18-M2</t>
        </is>
      </c>
      <c r="C40" s="26" t="inlineStr">
        <is>
          <t>통영 신규점</t>
        </is>
      </c>
      <c r="D40" s="26" t="inlineStr">
        <is>
          <t>방위표지2</t>
        </is>
      </c>
      <c r="E40" s="27" t="n">
        <v>34.79294247222222</v>
      </c>
      <c r="F40" s="27" t="n">
        <v>128.3939980833333</v>
      </c>
      <c r="G40" s="29" t="n"/>
      <c r="H40" s="38" t="inlineStr">
        <is>
          <t>기준점</t>
        </is>
      </c>
      <c r="I40" s="38" t="inlineStr">
        <is>
          <t>방위표지</t>
        </is>
      </c>
      <c r="J40" s="39" t="n"/>
      <c r="K40" s="39" t="n"/>
      <c r="L40" s="35">
        <f>IF(COUNT(J40:K40)=2,ABS(ABS(K40-J40)-200),"")</f>
        <v/>
      </c>
      <c r="M40" s="39" t="n"/>
      <c r="N40" s="35">
        <f>IF(ISNUMBER(M40),M40*0.9,"")</f>
        <v/>
      </c>
      <c r="O40" s="35">
        <f>IF(ISNUMBER(M40),MOD(M40*0.9+180,360),"")</f>
        <v/>
      </c>
      <c r="P40" s="29" t="n"/>
      <c r="Q40" s="30" t="n"/>
      <c r="R40" s="30" t="n"/>
      <c r="S40" s="31">
        <f>IF(AND(ISNUMBER(M40),ISNUMBER(R40)),(M40*0.9-R40)*3600,"")</f>
        <v/>
      </c>
      <c r="T40" s="29" t="n"/>
    </row>
    <row r="41">
      <c r="A41" s="26" t="inlineStr">
        <is>
          <t>S19</t>
        </is>
      </c>
      <c r="B41" s="26" t="inlineStr">
        <is>
          <t>S19-M1</t>
        </is>
      </c>
      <c r="C41" s="26" t="inlineStr">
        <is>
          <t>오호 신규점</t>
        </is>
      </c>
      <c r="D41" s="26" t="inlineStr">
        <is>
          <t>방위표지1</t>
        </is>
      </c>
      <c r="E41" s="27" t="n">
        <v>38.31886791666667</v>
      </c>
      <c r="F41" s="27" t="n">
        <v>128.5214078888889</v>
      </c>
      <c r="G41" s="29" t="n"/>
      <c r="H41" s="38" t="inlineStr">
        <is>
          <t>기준점</t>
        </is>
      </c>
      <c r="I41" s="38" t="inlineStr">
        <is>
          <t>방위표지</t>
        </is>
      </c>
      <c r="J41" s="39" t="n"/>
      <c r="K41" s="39" t="n"/>
      <c r="L41" s="35">
        <f>IF(COUNT(J41:K41)=2,ABS(ABS(K41-J41)-200),"")</f>
        <v/>
      </c>
      <c r="M41" s="39" t="n"/>
      <c r="N41" s="35">
        <f>IF(ISNUMBER(M41),M41*0.9,"")</f>
        <v/>
      </c>
      <c r="O41" s="35">
        <f>IF(ISNUMBER(M41),MOD(M41*0.9+180,360),"")</f>
        <v/>
      </c>
      <c r="P41" s="29" t="n"/>
      <c r="Q41" s="30" t="n"/>
      <c r="R41" s="30" t="n"/>
      <c r="S41" s="31">
        <f>IF(AND(ISNUMBER(M41),ISNUMBER(R41)),(M41*0.9-R41)*3600,"")</f>
        <v/>
      </c>
      <c r="T41" s="29" t="n"/>
    </row>
    <row r="42">
      <c r="A42" s="26" t="inlineStr">
        <is>
          <t>S19</t>
        </is>
      </c>
      <c r="B42" s="26" t="inlineStr">
        <is>
          <t>S19-M2</t>
        </is>
      </c>
      <c r="C42" s="26" t="inlineStr">
        <is>
          <t>오호 신규점</t>
        </is>
      </c>
      <c r="D42" s="26" t="inlineStr">
        <is>
          <t>방위표지2</t>
        </is>
      </c>
      <c r="E42" s="27" t="n">
        <v>38.31926597222223</v>
      </c>
      <c r="F42" s="27" t="n">
        <v>128.5219848888889</v>
      </c>
      <c r="G42" s="29" t="n"/>
      <c r="H42" s="38" t="inlineStr">
        <is>
          <t>기준점</t>
        </is>
      </c>
      <c r="I42" s="38" t="inlineStr">
        <is>
          <t>방위표지</t>
        </is>
      </c>
      <c r="J42" s="39" t="n"/>
      <c r="K42" s="39" t="n"/>
      <c r="L42" s="35">
        <f>IF(COUNT(J42:K42)=2,ABS(ABS(K42-J42)-200),"")</f>
        <v/>
      </c>
      <c r="M42" s="39" t="n"/>
      <c r="N42" s="35">
        <f>IF(ISNUMBER(M42),M42*0.9,"")</f>
        <v/>
      </c>
      <c r="O42" s="35">
        <f>IF(ISNUMBER(M42),MOD(M42*0.9+180,360),"")</f>
        <v/>
      </c>
      <c r="P42" s="29" t="n"/>
      <c r="Q42" s="30" t="n"/>
      <c r="R42" s="30" t="n"/>
      <c r="S42" s="31">
        <f>IF(AND(ISNUMBER(M42),ISNUMBER(R42)),(M42*0.9-R42)*3600,"")</f>
        <v/>
      </c>
      <c r="T42" s="29" t="n"/>
    </row>
    <row r="43">
      <c r="A43" s="26" t="inlineStr">
        <is>
          <t>S20</t>
        </is>
      </c>
      <c r="B43" s="26" t="inlineStr">
        <is>
          <t>S20-M1</t>
        </is>
      </c>
      <c r="C43" s="26" t="inlineStr">
        <is>
          <t>보령 신규점2</t>
        </is>
      </c>
      <c r="D43" s="26" t="inlineStr">
        <is>
          <t>방위표지1</t>
        </is>
      </c>
      <c r="E43" s="27" t="n">
        <v>36.26744262777778</v>
      </c>
      <c r="F43" s="27" t="n">
        <v>126.7070338055556</v>
      </c>
      <c r="G43" s="29" t="n"/>
      <c r="H43" s="38" t="inlineStr">
        <is>
          <t>기준점</t>
        </is>
      </c>
      <c r="I43" s="38" t="inlineStr">
        <is>
          <t>방위표지</t>
        </is>
      </c>
      <c r="J43" s="39" t="n"/>
      <c r="K43" s="39" t="n"/>
      <c r="L43" s="35">
        <f>IF(COUNT(J43:K43)=2,ABS(ABS(K43-J43)-200),"")</f>
        <v/>
      </c>
      <c r="M43" s="39" t="n"/>
      <c r="N43" s="35">
        <f>IF(ISNUMBER(M43),M43*0.9,"")</f>
        <v/>
      </c>
      <c r="O43" s="35">
        <f>IF(ISNUMBER(M43),MOD(M43*0.9+180,360),"")</f>
        <v/>
      </c>
      <c r="P43" s="29" t="n"/>
      <c r="Q43" s="30" t="n"/>
      <c r="R43" s="30" t="n"/>
      <c r="S43" s="31">
        <f>IF(AND(ISNUMBER(M43),ISNUMBER(R43)),(M43*0.9-R43)*3600,"")</f>
        <v/>
      </c>
      <c r="T43" s="29" t="n"/>
    </row>
    <row r="44">
      <c r="A44" s="26" t="inlineStr">
        <is>
          <t>S20</t>
        </is>
      </c>
      <c r="B44" s="26" t="inlineStr">
        <is>
          <t>S20-M2</t>
        </is>
      </c>
      <c r="C44" s="26" t="inlineStr">
        <is>
          <t>보령 신규점2</t>
        </is>
      </c>
      <c r="D44" s="26" t="inlineStr">
        <is>
          <t>방위표지2</t>
        </is>
      </c>
      <c r="E44" s="27" t="n">
        <v>36.26662340277777</v>
      </c>
      <c r="F44" s="27" t="n">
        <v>126.7077012166667</v>
      </c>
      <c r="G44" s="29" t="n"/>
      <c r="H44" s="38" t="inlineStr">
        <is>
          <t>기준점</t>
        </is>
      </c>
      <c r="I44" s="38" t="inlineStr">
        <is>
          <t>방위표지</t>
        </is>
      </c>
      <c r="J44" s="39" t="n"/>
      <c r="K44" s="39" t="n"/>
      <c r="L44" s="35">
        <f>IF(COUNT(J44:K44)=2,ABS(ABS(K44-J44)-200),"")</f>
        <v/>
      </c>
      <c r="M44" s="39" t="n"/>
      <c r="N44" s="35">
        <f>IF(ISNUMBER(M44),M44*0.9,"")</f>
        <v/>
      </c>
      <c r="O44" s="35">
        <f>IF(ISNUMBER(M44),MOD(M44*0.9+180,360),"")</f>
        <v/>
      </c>
      <c r="P44" s="29" t="n"/>
      <c r="Q44" s="30" t="n"/>
      <c r="R44" s="30" t="n"/>
      <c r="S44" s="31">
        <f>IF(AND(ISNUMBER(M44),ISNUMBER(R44)),(M44*0.9-R44)*3600,"")</f>
        <v/>
      </c>
      <c r="T44" s="29" t="n"/>
    </row>
    <row r="45">
      <c r="A45" s="26" t="inlineStr">
        <is>
          <t>S21</t>
        </is>
      </c>
      <c r="B45" s="26" t="inlineStr">
        <is>
          <t>S21-M1</t>
        </is>
      </c>
      <c r="C45" s="26" t="inlineStr">
        <is>
          <t>담양 신규점2</t>
        </is>
      </c>
      <c r="D45" s="26" t="inlineStr">
        <is>
          <t>방위표지1</t>
        </is>
      </c>
      <c r="E45" s="27" t="n">
        <v>35.45721812777778</v>
      </c>
      <c r="F45" s="27" t="n">
        <v>126.9627115333333</v>
      </c>
      <c r="G45" s="29" t="n"/>
      <c r="H45" s="38" t="inlineStr">
        <is>
          <t>기준점</t>
        </is>
      </c>
      <c r="I45" s="38" t="inlineStr">
        <is>
          <t>방위표지</t>
        </is>
      </c>
      <c r="J45" s="39" t="n"/>
      <c r="K45" s="39" t="n"/>
      <c r="L45" s="35">
        <f>IF(COUNT(J45:K45)=2,ABS(ABS(K45-J45)-200),"")</f>
        <v/>
      </c>
      <c r="M45" s="39" t="n"/>
      <c r="N45" s="35">
        <f>IF(ISNUMBER(M45),M45*0.9,"")</f>
        <v/>
      </c>
      <c r="O45" s="35">
        <f>IF(ISNUMBER(M45),MOD(M45*0.9+180,360),"")</f>
        <v/>
      </c>
      <c r="P45" s="29" t="n"/>
      <c r="Q45" s="30" t="n"/>
      <c r="R45" s="30" t="n"/>
      <c r="S45" s="31">
        <f>IF(AND(ISNUMBER(M45),ISNUMBER(R45)),(M45*0.9-R45)*3600,"")</f>
        <v/>
      </c>
      <c r="T45" s="29" t="n"/>
    </row>
    <row r="46">
      <c r="A46" s="26" t="inlineStr">
        <is>
          <t>S21</t>
        </is>
      </c>
      <c r="B46" s="26" t="inlineStr">
        <is>
          <t>S21-M2</t>
        </is>
      </c>
      <c r="C46" s="26" t="inlineStr">
        <is>
          <t>담양 신규점2</t>
        </is>
      </c>
      <c r="D46" s="26" t="inlineStr">
        <is>
          <t>방위표지2</t>
        </is>
      </c>
      <c r="E46" s="27" t="n">
        <v>35.45783280000001</v>
      </c>
      <c r="F46" s="27" t="n">
        <v>126.9635998555556</v>
      </c>
      <c r="G46" s="29" t="n"/>
      <c r="H46" s="38" t="inlineStr">
        <is>
          <t>기준점</t>
        </is>
      </c>
      <c r="I46" s="38" t="inlineStr">
        <is>
          <t>방위표지</t>
        </is>
      </c>
      <c r="J46" s="39" t="n"/>
      <c r="K46" s="39" t="n"/>
      <c r="L46" s="35">
        <f>IF(COUNT(J46:K46)=2,ABS(ABS(K46-J46)-200),"")</f>
        <v/>
      </c>
      <c r="M46" s="39" t="n"/>
      <c r="N46" s="35">
        <f>IF(ISNUMBER(M46),M46*0.9,"")</f>
        <v/>
      </c>
      <c r="O46" s="35">
        <f>IF(ISNUMBER(M46),MOD(M46*0.9+180,360),"")</f>
        <v/>
      </c>
      <c r="P46" s="29" t="n"/>
      <c r="Q46" s="30" t="n"/>
      <c r="R46" s="30" t="n"/>
      <c r="S46" s="31">
        <f>IF(AND(ISNUMBER(M46),ISNUMBER(R46)),(M46*0.9-R46)*3600,"")</f>
        <v/>
      </c>
      <c r="T46" s="29" t="n"/>
    </row>
    <row r="47">
      <c r="A47" s="26" t="inlineStr">
        <is>
          <t>S22</t>
        </is>
      </c>
      <c r="B47" s="26" t="inlineStr">
        <is>
          <t>S22-M1</t>
        </is>
      </c>
      <c r="C47" s="26" t="inlineStr">
        <is>
          <t>완도 신규점</t>
        </is>
      </c>
      <c r="D47" s="26" t="inlineStr">
        <is>
          <t>방위표지1</t>
        </is>
      </c>
      <c r="E47" s="27" t="n">
        <v>34.32863245555556</v>
      </c>
      <c r="F47" s="27" t="n">
        <v>126.5434784972222</v>
      </c>
      <c r="G47" s="29" t="n"/>
      <c r="H47" s="38" t="inlineStr">
        <is>
          <t>기준점</t>
        </is>
      </c>
      <c r="I47" s="38" t="inlineStr">
        <is>
          <t>방위표지</t>
        </is>
      </c>
      <c r="J47" s="39" t="n"/>
      <c r="K47" s="39" t="n"/>
      <c r="L47" s="35">
        <f>IF(COUNT(J47:K47)=2,ABS(ABS(K47-J47)-200),"")</f>
        <v/>
      </c>
      <c r="M47" s="39" t="n"/>
      <c r="N47" s="35">
        <f>IF(ISNUMBER(M47),M47*0.9,"")</f>
        <v/>
      </c>
      <c r="O47" s="35">
        <f>IF(ISNUMBER(M47),MOD(M47*0.9+180,360),"")</f>
        <v/>
      </c>
      <c r="P47" s="29" t="n"/>
      <c r="Q47" s="30" t="n"/>
      <c r="R47" s="30" t="n"/>
      <c r="S47" s="31">
        <f>IF(AND(ISNUMBER(M47),ISNUMBER(R47)),(M47*0.9-R47)*3600,"")</f>
        <v/>
      </c>
      <c r="T47" s="29" t="n"/>
    </row>
    <row r="48">
      <c r="A48" s="26" t="inlineStr">
        <is>
          <t>S22</t>
        </is>
      </c>
      <c r="B48" s="26" t="inlineStr">
        <is>
          <t>S22-M2</t>
        </is>
      </c>
      <c r="C48" s="26" t="inlineStr">
        <is>
          <t>완도 신규점</t>
        </is>
      </c>
      <c r="D48" s="26" t="inlineStr">
        <is>
          <t>방위표지2</t>
        </is>
      </c>
      <c r="E48" s="27" t="n">
        <v>34.32910643611111</v>
      </c>
      <c r="F48" s="27" t="n">
        <v>126.5433582611111</v>
      </c>
      <c r="G48" s="29" t="n"/>
      <c r="H48" s="38" t="inlineStr">
        <is>
          <t>기준점</t>
        </is>
      </c>
      <c r="I48" s="38" t="inlineStr">
        <is>
          <t>방위표지</t>
        </is>
      </c>
      <c r="J48" s="39" t="n"/>
      <c r="K48" s="39" t="n"/>
      <c r="L48" s="35">
        <f>IF(COUNT(J48:K48)=2,ABS(ABS(K48-J48)-200),"")</f>
        <v/>
      </c>
      <c r="M48" s="39" t="n"/>
      <c r="N48" s="35">
        <f>IF(ISNUMBER(M48),M48*0.9,"")</f>
        <v/>
      </c>
      <c r="O48" s="35">
        <f>IF(ISNUMBER(M48),MOD(M48*0.9+180,360),"")</f>
        <v/>
      </c>
      <c r="P48" s="29" t="n"/>
      <c r="Q48" s="30" t="n"/>
      <c r="R48" s="30" t="n"/>
      <c r="S48" s="31">
        <f>IF(AND(ISNUMBER(M48),ISNUMBER(R48)),(M48*0.9-R48)*3600,"")</f>
        <v/>
      </c>
      <c r="T48" s="29" t="n"/>
    </row>
    <row r="49">
      <c r="A49" s="26" t="inlineStr">
        <is>
          <t>S23</t>
        </is>
      </c>
      <c r="B49" s="26" t="inlineStr">
        <is>
          <t>S23-M1</t>
        </is>
      </c>
      <c r="C49" s="26" t="inlineStr">
        <is>
          <t>덕산 신규점1</t>
        </is>
      </c>
      <c r="D49" s="26" t="inlineStr">
        <is>
          <t>방위표지1</t>
        </is>
      </c>
      <c r="E49" s="27" t="n">
        <v>36.88794938055555</v>
      </c>
      <c r="F49" s="27" t="n">
        <v>128.1924044888889</v>
      </c>
      <c r="G49" s="29" t="n"/>
      <c r="H49" s="38" t="inlineStr">
        <is>
          <t>기준점</t>
        </is>
      </c>
      <c r="I49" s="38" t="inlineStr">
        <is>
          <t>방위표지</t>
        </is>
      </c>
      <c r="J49" s="39" t="n"/>
      <c r="K49" s="39" t="n"/>
      <c r="L49" s="35">
        <f>IF(COUNT(J49:K49)=2,ABS(ABS(K49-J49)-200),"")</f>
        <v/>
      </c>
      <c r="M49" s="39" t="n"/>
      <c r="N49" s="35">
        <f>IF(ISNUMBER(M49),M49*0.9,"")</f>
        <v/>
      </c>
      <c r="O49" s="35">
        <f>IF(ISNUMBER(M49),MOD(M49*0.9+180,360),"")</f>
        <v/>
      </c>
      <c r="P49" s="29" t="n"/>
      <c r="Q49" s="30" t="n"/>
      <c r="R49" s="30" t="n"/>
      <c r="S49" s="31">
        <f>IF(AND(ISNUMBER(M49),ISNUMBER(R49)),(M49*0.9-R49)*3600,"")</f>
        <v/>
      </c>
      <c r="T49" s="29" t="n"/>
    </row>
    <row r="50">
      <c r="A50" s="26" t="inlineStr">
        <is>
          <t>S23</t>
        </is>
      </c>
      <c r="B50" s="26" t="inlineStr">
        <is>
          <t>S23-M2</t>
        </is>
      </c>
      <c r="C50" s="26" t="inlineStr">
        <is>
          <t>덕산 신규점1</t>
        </is>
      </c>
      <c r="D50" s="26" t="inlineStr">
        <is>
          <t>방위표지2</t>
        </is>
      </c>
      <c r="E50" s="27" t="n">
        <v>36.88754781944444</v>
      </c>
      <c r="F50" s="27" t="n">
        <v>128.1915143777778</v>
      </c>
      <c r="G50" s="29" t="n"/>
      <c r="H50" s="38" t="inlineStr">
        <is>
          <t>기준점</t>
        </is>
      </c>
      <c r="I50" s="38" t="inlineStr">
        <is>
          <t>방위표지</t>
        </is>
      </c>
      <c r="J50" s="39" t="n"/>
      <c r="K50" s="39" t="n"/>
      <c r="L50" s="35">
        <f>IF(COUNT(J50:K50)=2,ABS(ABS(K50-J50)-200),"")</f>
        <v/>
      </c>
      <c r="M50" s="39" t="n"/>
      <c r="N50" s="35">
        <f>IF(ISNUMBER(M50),M50*0.9,"")</f>
        <v/>
      </c>
      <c r="O50" s="35">
        <f>IF(ISNUMBER(M50),MOD(M50*0.9+180,360),"")</f>
        <v/>
      </c>
      <c r="P50" s="29" t="n"/>
      <c r="Q50" s="30" t="n"/>
      <c r="R50" s="30" t="n"/>
      <c r="S50" s="31">
        <f>IF(AND(ISNUMBER(M50),ISNUMBER(R50)),(M50*0.9-R50)*3600,"")</f>
        <v/>
      </c>
      <c r="T50" s="29" t="n"/>
    </row>
    <row r="51">
      <c r="A51" s="26" t="inlineStr">
        <is>
          <t>S24</t>
        </is>
      </c>
      <c r="B51" s="26" t="inlineStr">
        <is>
          <t>S24-M1</t>
        </is>
      </c>
      <c r="C51" s="26" t="inlineStr">
        <is>
          <t>회천 신규점2</t>
        </is>
      </c>
      <c r="D51" s="26" t="inlineStr">
        <is>
          <t>방위표지1</t>
        </is>
      </c>
      <c r="E51" s="27" t="n">
        <v>34.68041006111111</v>
      </c>
      <c r="F51" s="27" t="n">
        <v>127.0476548055556</v>
      </c>
      <c r="G51" s="29" t="n"/>
      <c r="H51" s="38" t="inlineStr">
        <is>
          <t>기준점</t>
        </is>
      </c>
      <c r="I51" s="38" t="inlineStr">
        <is>
          <t>방위표지</t>
        </is>
      </c>
      <c r="J51" s="39" t="n"/>
      <c r="K51" s="39" t="n"/>
      <c r="L51" s="35">
        <f>IF(COUNT(J51:K51)=2,ABS(ABS(K51-J51)-200),"")</f>
        <v/>
      </c>
      <c r="M51" s="39" t="n"/>
      <c r="N51" s="35">
        <f>IF(ISNUMBER(M51),M51*0.9,"")</f>
        <v/>
      </c>
      <c r="O51" s="35">
        <f>IF(ISNUMBER(M51),MOD(M51*0.9+180,360),"")</f>
        <v/>
      </c>
      <c r="P51" s="29" t="n"/>
      <c r="Q51" s="30" t="n"/>
      <c r="R51" s="30" t="n"/>
      <c r="S51" s="31">
        <f>IF(AND(ISNUMBER(M51),ISNUMBER(R51)),(M51*0.9-R51)*3600,"")</f>
        <v/>
      </c>
      <c r="T51" s="29" t="n"/>
    </row>
    <row r="52">
      <c r="A52" s="26" t="inlineStr">
        <is>
          <t>S24</t>
        </is>
      </c>
      <c r="B52" s="26" t="inlineStr">
        <is>
          <t>S24-M2</t>
        </is>
      </c>
      <c r="C52" s="26" t="inlineStr">
        <is>
          <t>회천 신규점2</t>
        </is>
      </c>
      <c r="D52" s="26" t="inlineStr">
        <is>
          <t>방위표지2</t>
        </is>
      </c>
      <c r="E52" s="27" t="n">
        <v>34.68004149444445</v>
      </c>
      <c r="F52" s="27" t="n">
        <v>127.0478311027778</v>
      </c>
      <c r="G52" s="29" t="n"/>
      <c r="H52" s="38" t="inlineStr">
        <is>
          <t>기준점</t>
        </is>
      </c>
      <c r="I52" s="38" t="inlineStr">
        <is>
          <t>방위표지</t>
        </is>
      </c>
      <c r="J52" s="39" t="n"/>
      <c r="K52" s="39" t="n"/>
      <c r="L52" s="35">
        <f>IF(COUNT(J52:K52)=2,ABS(ABS(K52-J52)-200),"")</f>
        <v/>
      </c>
      <c r="M52" s="39" t="n"/>
      <c r="N52" s="35">
        <f>IF(ISNUMBER(M52),M52*0.9,"")</f>
        <v/>
      </c>
      <c r="O52" s="35">
        <f>IF(ISNUMBER(M52),MOD(M52*0.9+180,360),"")</f>
        <v/>
      </c>
      <c r="P52" s="29" t="n"/>
      <c r="Q52" s="30" t="n"/>
      <c r="R52" s="30" t="n"/>
      <c r="S52" s="31">
        <f>IF(AND(ISNUMBER(M52),ISNUMBER(R52)),(M52*0.9-R52)*3600,"")</f>
        <v/>
      </c>
      <c r="T52" s="29" t="n"/>
    </row>
    <row r="53">
      <c r="A53" s="26" t="inlineStr">
        <is>
          <t>S25</t>
        </is>
      </c>
      <c r="B53" s="26" t="inlineStr">
        <is>
          <t>S25-M1</t>
        </is>
      </c>
      <c r="C53" s="26" t="inlineStr">
        <is>
          <t>관리 신규점3</t>
        </is>
      </c>
      <c r="D53" s="26" t="inlineStr">
        <is>
          <t>방위표지1</t>
        </is>
      </c>
      <c r="E53" s="27" t="n">
        <v>36.32529493611111</v>
      </c>
      <c r="F53" s="27" t="n">
        <v>127.9063972722222</v>
      </c>
      <c r="G53" s="29" t="n"/>
      <c r="H53" s="38" t="inlineStr">
        <is>
          <t>기준점</t>
        </is>
      </c>
      <c r="I53" s="38" t="inlineStr">
        <is>
          <t>방위표지</t>
        </is>
      </c>
      <c r="J53" s="39" t="n"/>
      <c r="K53" s="39" t="n"/>
      <c r="L53" s="35">
        <f>IF(COUNT(J53:K53)=2,ABS(ABS(K53-J53)-200),"")</f>
        <v/>
      </c>
      <c r="M53" s="39" t="n"/>
      <c r="N53" s="35">
        <f>IF(ISNUMBER(M53),M53*0.9,"")</f>
        <v/>
      </c>
      <c r="O53" s="35">
        <f>IF(ISNUMBER(M53),MOD(M53*0.9+180,360),"")</f>
        <v/>
      </c>
      <c r="P53" s="29" t="n"/>
      <c r="Q53" s="30" t="n"/>
      <c r="R53" s="30" t="n"/>
      <c r="S53" s="31">
        <f>IF(AND(ISNUMBER(M53),ISNUMBER(R53)),(M53*0.9-R53)*3600,"")</f>
        <v/>
      </c>
      <c r="T53" s="29" t="n"/>
    </row>
    <row r="54">
      <c r="A54" s="26" t="inlineStr">
        <is>
          <t>S25</t>
        </is>
      </c>
      <c r="B54" s="26" t="inlineStr">
        <is>
          <t>S25-M2</t>
        </is>
      </c>
      <c r="C54" s="26" t="inlineStr">
        <is>
          <t>관리 신규점3</t>
        </is>
      </c>
      <c r="D54" s="26" t="inlineStr">
        <is>
          <t>방위표지2</t>
        </is>
      </c>
      <c r="E54" s="27" t="n">
        <v>36.32622315833333</v>
      </c>
      <c r="F54" s="27" t="n">
        <v>127.9067672388889</v>
      </c>
      <c r="G54" s="29" t="n"/>
      <c r="H54" s="38" t="inlineStr">
        <is>
          <t>기준점</t>
        </is>
      </c>
      <c r="I54" s="38" t="inlineStr">
        <is>
          <t>방위표지</t>
        </is>
      </c>
      <c r="J54" s="39" t="n"/>
      <c r="K54" s="39" t="n"/>
      <c r="L54" s="35">
        <f>IF(COUNT(J54:K54)=2,ABS(ABS(K54-J54)-200),"")</f>
        <v/>
      </c>
      <c r="M54" s="39" t="n"/>
      <c r="N54" s="35">
        <f>IF(ISNUMBER(M54),M54*0.9,"")</f>
        <v/>
      </c>
      <c r="O54" s="35">
        <f>IF(ISNUMBER(M54),MOD(M54*0.9+180,360),"")</f>
        <v/>
      </c>
      <c r="P54" s="29" t="n"/>
      <c r="Q54" s="30" t="n"/>
      <c r="R54" s="30" t="n"/>
      <c r="S54" s="31">
        <f>IF(AND(ISNUMBER(M54),ISNUMBER(R54)),(M54*0.9-R54)*3600,"")</f>
        <v/>
      </c>
      <c r="T54" s="29" t="n"/>
    </row>
    <row r="55">
      <c r="A55" s="26" t="inlineStr">
        <is>
          <t>S26</t>
        </is>
      </c>
      <c r="B55" s="26" t="inlineStr">
        <is>
          <t>S26-M1</t>
        </is>
      </c>
      <c r="C55" s="26" t="inlineStr">
        <is>
          <t>고남 신규점2</t>
        </is>
      </c>
      <c r="D55" s="26" t="inlineStr">
        <is>
          <t>방위표지1</t>
        </is>
      </c>
      <c r="E55" s="27" t="n">
        <v>36.45300476666667</v>
      </c>
      <c r="F55" s="27" t="n">
        <v>126.39622445</v>
      </c>
      <c r="G55" s="29" t="n"/>
      <c r="H55" s="38" t="inlineStr">
        <is>
          <t>기준점</t>
        </is>
      </c>
      <c r="I55" s="38" t="inlineStr">
        <is>
          <t>방위표지</t>
        </is>
      </c>
      <c r="J55" s="39" t="n"/>
      <c r="K55" s="39" t="n"/>
      <c r="L55" s="35">
        <f>IF(COUNT(J55:K55)=2,ABS(ABS(K55-J55)-200),"")</f>
        <v/>
      </c>
      <c r="M55" s="39" t="n"/>
      <c r="N55" s="35">
        <f>IF(ISNUMBER(M55),M55*0.9,"")</f>
        <v/>
      </c>
      <c r="O55" s="35">
        <f>IF(ISNUMBER(M55),MOD(M55*0.9+180,360),"")</f>
        <v/>
      </c>
      <c r="P55" s="29" t="n"/>
      <c r="Q55" s="30" t="n"/>
      <c r="R55" s="30" t="n"/>
      <c r="S55" s="31">
        <f>IF(AND(ISNUMBER(M55),ISNUMBER(R55)),(M55*0.9-R55)*3600,"")</f>
        <v/>
      </c>
      <c r="T55" s="29" t="n"/>
    </row>
    <row r="56">
      <c r="A56" s="26" t="inlineStr">
        <is>
          <t>S26</t>
        </is>
      </c>
      <c r="B56" s="26" t="inlineStr">
        <is>
          <t>S26-M2</t>
        </is>
      </c>
      <c r="C56" s="26" t="inlineStr">
        <is>
          <t>고남 신규점2</t>
        </is>
      </c>
      <c r="D56" s="26" t="inlineStr">
        <is>
          <t>방위표지2</t>
        </is>
      </c>
      <c r="E56" s="27" t="n">
        <v>36.45190164722222</v>
      </c>
      <c r="F56" s="27" t="n">
        <v>126.3956203666667</v>
      </c>
      <c r="G56" s="29" t="n"/>
      <c r="H56" s="38" t="inlineStr">
        <is>
          <t>기준점</t>
        </is>
      </c>
      <c r="I56" s="38" t="inlineStr">
        <is>
          <t>방위표지</t>
        </is>
      </c>
      <c r="J56" s="39" t="n"/>
      <c r="K56" s="39" t="n"/>
      <c r="L56" s="35">
        <f>IF(COUNT(J56:K56)=2,ABS(ABS(K56-J56)-200),"")</f>
        <v/>
      </c>
      <c r="M56" s="39" t="n"/>
      <c r="N56" s="35">
        <f>IF(ISNUMBER(M56),M56*0.9,"")</f>
        <v/>
      </c>
      <c r="O56" s="35">
        <f>IF(ISNUMBER(M56),MOD(M56*0.9+180,360),"")</f>
        <v/>
      </c>
      <c r="P56" s="29" t="n"/>
      <c r="Q56" s="30" t="n"/>
      <c r="R56" s="30" t="n"/>
      <c r="S56" s="31">
        <f>IF(AND(ISNUMBER(M56),ISNUMBER(R56)),(M56*0.9-R56)*3600,"")</f>
        <v/>
      </c>
      <c r="T56" s="29" t="n"/>
    </row>
    <row r="57">
      <c r="A57" s="26" t="inlineStr">
        <is>
          <t>S27</t>
        </is>
      </c>
      <c r="B57" s="26" t="inlineStr">
        <is>
          <t>S27-M1</t>
        </is>
      </c>
      <c r="C57" s="26" t="inlineStr">
        <is>
          <t>전의 신규점</t>
        </is>
      </c>
      <c r="D57" s="26" t="inlineStr">
        <is>
          <t>방위표지1</t>
        </is>
      </c>
      <c r="E57" s="27" t="n">
        <v>36.57988551111112</v>
      </c>
      <c r="F57" s="27" t="n">
        <v>127.0679051638889</v>
      </c>
      <c r="G57" s="29" t="n"/>
      <c r="H57" s="38" t="inlineStr">
        <is>
          <t>기준점</t>
        </is>
      </c>
      <c r="I57" s="38" t="inlineStr">
        <is>
          <t>방위표지</t>
        </is>
      </c>
      <c r="J57" s="39" t="n"/>
      <c r="K57" s="39" t="n"/>
      <c r="L57" s="35">
        <f>IF(COUNT(J57:K57)=2,ABS(ABS(K57-J57)-200),"")</f>
        <v/>
      </c>
      <c r="M57" s="39" t="n"/>
      <c r="N57" s="35">
        <f>IF(ISNUMBER(M57),M57*0.9,"")</f>
        <v/>
      </c>
      <c r="O57" s="35">
        <f>IF(ISNUMBER(M57),MOD(M57*0.9+180,360),"")</f>
        <v/>
      </c>
      <c r="P57" s="29" t="n"/>
      <c r="Q57" s="30" t="n"/>
      <c r="R57" s="30" t="n"/>
      <c r="S57" s="31">
        <f>IF(AND(ISNUMBER(M57),ISNUMBER(R57)),(M57*0.9-R57)*3600,"")</f>
        <v/>
      </c>
      <c r="T57" s="29" t="n"/>
    </row>
    <row r="58">
      <c r="A58" s="26" t="inlineStr">
        <is>
          <t>S27</t>
        </is>
      </c>
      <c r="B58" s="26" t="inlineStr">
        <is>
          <t>S27-M2</t>
        </is>
      </c>
      <c r="C58" s="26" t="inlineStr">
        <is>
          <t>전의 신규점</t>
        </is>
      </c>
      <c r="D58" s="26" t="inlineStr">
        <is>
          <t>방위표지2</t>
        </is>
      </c>
      <c r="E58" s="27" t="n">
        <v>36.57941415555556</v>
      </c>
      <c r="F58" s="27" t="n">
        <v>127.0686793722222</v>
      </c>
      <c r="G58" s="29" t="n"/>
      <c r="H58" s="38" t="inlineStr">
        <is>
          <t>기준점</t>
        </is>
      </c>
      <c r="I58" s="38" t="inlineStr">
        <is>
          <t>방위표지</t>
        </is>
      </c>
      <c r="J58" s="39" t="n"/>
      <c r="K58" s="39" t="n"/>
      <c r="L58" s="35">
        <f>IF(COUNT(J58:K58)=2,ABS(ABS(K58-J58)-200),"")</f>
        <v/>
      </c>
      <c r="M58" s="39" t="n"/>
      <c r="N58" s="35">
        <f>IF(ISNUMBER(M58),M58*0.9,"")</f>
        <v/>
      </c>
      <c r="O58" s="35">
        <f>IF(ISNUMBER(M58),MOD(M58*0.9+180,360),"")</f>
        <v/>
      </c>
      <c r="P58" s="29" t="n"/>
      <c r="Q58" s="30" t="n"/>
      <c r="R58" s="30" t="n"/>
      <c r="S58" s="31">
        <f>IF(AND(ISNUMBER(M58),ISNUMBER(R58)),(M58*0.9-R58)*3600,"")</f>
        <v/>
      </c>
      <c r="T58" s="29" t="n"/>
    </row>
    <row r="59">
      <c r="A59" s="26" t="inlineStr">
        <is>
          <t>S28</t>
        </is>
      </c>
      <c r="B59" s="26" t="inlineStr">
        <is>
          <t>S28-M1</t>
        </is>
      </c>
      <c r="C59" s="26" t="inlineStr">
        <is>
          <t>이원 신규점</t>
        </is>
      </c>
      <c r="D59" s="26" t="inlineStr">
        <is>
          <t>방위표지1</t>
        </is>
      </c>
      <c r="E59" s="27" t="n">
        <v>36.16622559722222</v>
      </c>
      <c r="F59" s="27" t="n">
        <v>127.5833975027778</v>
      </c>
      <c r="G59" s="29" t="n"/>
      <c r="H59" s="38" t="inlineStr">
        <is>
          <t>기준점</t>
        </is>
      </c>
      <c r="I59" s="38" t="inlineStr">
        <is>
          <t>방위표지</t>
        </is>
      </c>
      <c r="J59" s="39" t="n"/>
      <c r="K59" s="39" t="n"/>
      <c r="L59" s="35">
        <f>IF(COUNT(J59:K59)=2,ABS(ABS(K59-J59)-200),"")</f>
        <v/>
      </c>
      <c r="M59" s="39" t="n"/>
      <c r="N59" s="35">
        <f>IF(ISNUMBER(M59),M59*0.9,"")</f>
        <v/>
      </c>
      <c r="O59" s="35">
        <f>IF(ISNUMBER(M59),MOD(M59*0.9+180,360),"")</f>
        <v/>
      </c>
      <c r="P59" s="29" t="n"/>
      <c r="Q59" s="30" t="n"/>
      <c r="R59" s="30" t="n"/>
      <c r="S59" s="31">
        <f>IF(AND(ISNUMBER(M59),ISNUMBER(R59)),(M59*0.9-R59)*3600,"")</f>
        <v/>
      </c>
      <c r="T59" s="29" t="n"/>
    </row>
    <row r="60">
      <c r="A60" s="26" t="inlineStr">
        <is>
          <t>S28</t>
        </is>
      </c>
      <c r="B60" s="26" t="inlineStr">
        <is>
          <t>S28-M2</t>
        </is>
      </c>
      <c r="C60" s="26" t="inlineStr">
        <is>
          <t>이원 신규점</t>
        </is>
      </c>
      <c r="D60" s="26" t="inlineStr">
        <is>
          <t>방위표지2</t>
        </is>
      </c>
      <c r="E60" s="27" t="n">
        <v>36.16659431666667</v>
      </c>
      <c r="F60" s="27" t="n">
        <v>127.5827973611111</v>
      </c>
      <c r="G60" s="29" t="n"/>
      <c r="H60" s="38" t="inlineStr">
        <is>
          <t>기준점</t>
        </is>
      </c>
      <c r="I60" s="38" t="inlineStr">
        <is>
          <t>방위표지</t>
        </is>
      </c>
      <c r="J60" s="39" t="n"/>
      <c r="K60" s="39" t="n"/>
      <c r="L60" s="35">
        <f>IF(COUNT(J60:K60)=2,ABS(ABS(K60-J60)-200),"")</f>
        <v/>
      </c>
      <c r="M60" s="39" t="n"/>
      <c r="N60" s="35">
        <f>IF(ISNUMBER(M60),M60*0.9,"")</f>
        <v/>
      </c>
      <c r="O60" s="35">
        <f>IF(ISNUMBER(M60),MOD(M60*0.9+180,360),"")</f>
        <v/>
      </c>
      <c r="P60" s="29" t="n"/>
      <c r="Q60" s="30" t="n"/>
      <c r="R60" s="30" t="n"/>
      <c r="S60" s="31">
        <f>IF(AND(ISNUMBER(M60),ISNUMBER(R60)),(M60*0.9-R60)*3600,"")</f>
        <v/>
      </c>
      <c r="T60" s="29" t="n"/>
    </row>
    <row r="61">
      <c r="A61" s="26" t="inlineStr">
        <is>
          <t>S29</t>
        </is>
      </c>
      <c r="B61" s="26" t="inlineStr">
        <is>
          <t>S29-M1</t>
        </is>
      </c>
      <c r="C61" s="26" t="inlineStr">
        <is>
          <t>가야 신규점1</t>
        </is>
      </c>
      <c r="D61" s="26" t="inlineStr">
        <is>
          <t>방위표지1</t>
        </is>
      </c>
      <c r="E61" s="27" t="n">
        <v>35.77790352777777</v>
      </c>
      <c r="F61" s="27" t="n">
        <v>128.0370350277778</v>
      </c>
      <c r="G61" s="29" t="n"/>
      <c r="H61" s="38" t="inlineStr">
        <is>
          <t>기준점</t>
        </is>
      </c>
      <c r="I61" s="38" t="inlineStr">
        <is>
          <t>방위표지</t>
        </is>
      </c>
      <c r="J61" s="39" t="n"/>
      <c r="K61" s="39" t="n"/>
      <c r="L61" s="35">
        <f>IF(COUNT(J61:K61)=2,ABS(ABS(K61-J61)-200),"")</f>
        <v/>
      </c>
      <c r="M61" s="39" t="n"/>
      <c r="N61" s="35">
        <f>IF(ISNUMBER(M61),M61*0.9,"")</f>
        <v/>
      </c>
      <c r="O61" s="35">
        <f>IF(ISNUMBER(M61),MOD(M61*0.9+180,360),"")</f>
        <v/>
      </c>
      <c r="P61" s="29" t="n"/>
      <c r="Q61" s="30" t="n"/>
      <c r="R61" s="30" t="n"/>
      <c r="S61" s="31">
        <f>IF(AND(ISNUMBER(M61),ISNUMBER(R61)),(M61*0.9-R61)*3600,"")</f>
        <v/>
      </c>
      <c r="T61" s="29" t="n"/>
    </row>
    <row r="62">
      <c r="A62" s="26" t="inlineStr">
        <is>
          <t>S29</t>
        </is>
      </c>
      <c r="B62" s="26" t="inlineStr">
        <is>
          <t>S29-M2</t>
        </is>
      </c>
      <c r="C62" s="26" t="inlineStr">
        <is>
          <t>가야 신규점1</t>
        </is>
      </c>
      <c r="D62" s="26" t="inlineStr">
        <is>
          <t>방위표지2</t>
        </is>
      </c>
      <c r="E62" s="27" t="n">
        <v>35.77756333333333</v>
      </c>
      <c r="F62" s="27" t="n">
        <v>128.0367176666667</v>
      </c>
      <c r="G62" s="29" t="n"/>
      <c r="H62" s="38" t="inlineStr">
        <is>
          <t>기준점</t>
        </is>
      </c>
      <c r="I62" s="38" t="inlineStr">
        <is>
          <t>방위표지</t>
        </is>
      </c>
      <c r="J62" s="39" t="n"/>
      <c r="K62" s="39" t="n"/>
      <c r="L62" s="35">
        <f>IF(COUNT(J62:K62)=2,ABS(ABS(K62-J62)-200),"")</f>
        <v/>
      </c>
      <c r="M62" s="39" t="n"/>
      <c r="N62" s="35">
        <f>IF(ISNUMBER(M62),M62*0.9,"")</f>
        <v/>
      </c>
      <c r="O62" s="35">
        <f>IF(ISNUMBER(M62),MOD(M62*0.9+180,360),"")</f>
        <v/>
      </c>
      <c r="P62" s="29" t="n"/>
      <c r="Q62" s="30" t="n"/>
      <c r="R62" s="30" t="n"/>
      <c r="S62" s="31">
        <f>IF(AND(ISNUMBER(M62),ISNUMBER(R62)),(M62*0.9-R62)*3600,"")</f>
        <v/>
      </c>
      <c r="T62" s="29" t="n"/>
    </row>
    <row r="63">
      <c r="A63" s="26" t="inlineStr">
        <is>
          <t>S30</t>
        </is>
      </c>
      <c r="B63" s="26" t="inlineStr">
        <is>
          <t>S30-M1</t>
        </is>
      </c>
      <c r="C63" s="26" t="inlineStr">
        <is>
          <t>창녕 신규점</t>
        </is>
      </c>
      <c r="D63" s="26" t="inlineStr">
        <is>
          <t>방위표지1</t>
        </is>
      </c>
      <c r="E63" s="27" t="n">
        <v>35.66247446666667</v>
      </c>
      <c r="F63" s="27" t="n">
        <v>128.2979756861111</v>
      </c>
      <c r="G63" s="29" t="n"/>
      <c r="H63" s="38" t="inlineStr">
        <is>
          <t>기준점</t>
        </is>
      </c>
      <c r="I63" s="38" t="inlineStr">
        <is>
          <t>방위표지</t>
        </is>
      </c>
      <c r="J63" s="39" t="n"/>
      <c r="K63" s="39" t="n"/>
      <c r="L63" s="35">
        <f>IF(COUNT(J63:K63)=2,ABS(ABS(K63-J63)-200),"")</f>
        <v/>
      </c>
      <c r="M63" s="39" t="n"/>
      <c r="N63" s="35">
        <f>IF(ISNUMBER(M63),M63*0.9,"")</f>
        <v/>
      </c>
      <c r="O63" s="35">
        <f>IF(ISNUMBER(M63),MOD(M63*0.9+180,360),"")</f>
        <v/>
      </c>
      <c r="P63" s="29" t="n"/>
      <c r="Q63" s="30" t="n"/>
      <c r="R63" s="30" t="n"/>
      <c r="S63" s="31">
        <f>IF(AND(ISNUMBER(M63),ISNUMBER(R63)),(M63*0.9-R63)*3600,"")</f>
        <v/>
      </c>
      <c r="T63" s="29" t="n"/>
    </row>
    <row r="64">
      <c r="A64" s="26" t="inlineStr">
        <is>
          <t>S30</t>
        </is>
      </c>
      <c r="B64" s="26" t="inlineStr">
        <is>
          <t>S30-M2</t>
        </is>
      </c>
      <c r="C64" s="26" t="inlineStr">
        <is>
          <t>창녕 신규점</t>
        </is>
      </c>
      <c r="D64" s="26" t="inlineStr">
        <is>
          <t>방위표지2</t>
        </is>
      </c>
      <c r="E64" s="27" t="n">
        <v>35.66235456388889</v>
      </c>
      <c r="F64" s="27" t="n">
        <v>128.2983300361111</v>
      </c>
      <c r="G64" s="29" t="n"/>
      <c r="H64" s="38" t="inlineStr">
        <is>
          <t>기준점</t>
        </is>
      </c>
      <c r="I64" s="38" t="inlineStr">
        <is>
          <t>방위표지</t>
        </is>
      </c>
      <c r="J64" s="39" t="n"/>
      <c r="K64" s="39" t="n"/>
      <c r="L64" s="35">
        <f>IF(COUNT(J64:K64)=2,ABS(ABS(K64-J64)-200),"")</f>
        <v/>
      </c>
      <c r="M64" s="39" t="n"/>
      <c r="N64" s="35">
        <f>IF(ISNUMBER(M64),M64*0.9,"")</f>
        <v/>
      </c>
      <c r="O64" s="35">
        <f>IF(ISNUMBER(M64),MOD(M64*0.9+180,360),"")</f>
        <v/>
      </c>
      <c r="P64" s="29" t="n"/>
      <c r="Q64" s="30" t="n"/>
      <c r="R64" s="30" t="n"/>
      <c r="S64" s="31">
        <f>IF(AND(ISNUMBER(M64),ISNUMBER(R64)),(M64*0.9-R64)*3600,"")</f>
        <v/>
      </c>
      <c r="T64" s="29" t="n"/>
    </row>
    <row r="65">
      <c r="A65" s="26" t="inlineStr">
        <is>
          <t>S31</t>
        </is>
      </c>
      <c r="B65" s="26" t="inlineStr">
        <is>
          <t>S31-M1</t>
        </is>
      </c>
      <c r="C65" s="26" t="inlineStr">
        <is>
          <t>언양 신규점3</t>
        </is>
      </c>
      <c r="D65" s="26" t="inlineStr">
        <is>
          <t>방위표지1</t>
        </is>
      </c>
      <c r="E65" s="27" t="n">
        <v>35.74275622222223</v>
      </c>
      <c r="F65" s="27" t="n">
        <v>129.0301785833333</v>
      </c>
      <c r="G65" s="29" t="n"/>
      <c r="H65" s="38" t="inlineStr">
        <is>
          <t>기준점</t>
        </is>
      </c>
      <c r="I65" s="38" t="inlineStr">
        <is>
          <t>방위표지</t>
        </is>
      </c>
      <c r="J65" s="39" t="n"/>
      <c r="K65" s="39" t="n"/>
      <c r="L65" s="35">
        <f>IF(COUNT(J65:K65)=2,ABS(ABS(K65-J65)-200),"")</f>
        <v/>
      </c>
      <c r="M65" s="39" t="n"/>
      <c r="N65" s="35">
        <f>IF(ISNUMBER(M65),M65*0.9,"")</f>
        <v/>
      </c>
      <c r="O65" s="35">
        <f>IF(ISNUMBER(M65),MOD(M65*0.9+180,360),"")</f>
        <v/>
      </c>
      <c r="P65" s="29" t="n"/>
      <c r="Q65" s="30" t="n"/>
      <c r="R65" s="30" t="n"/>
      <c r="S65" s="31">
        <f>IF(AND(ISNUMBER(M65),ISNUMBER(R65)),(M65*0.9-R65)*3600,"")</f>
        <v/>
      </c>
      <c r="T65" s="29" t="n"/>
    </row>
    <row r="66">
      <c r="A66" s="26" t="inlineStr">
        <is>
          <t>S31</t>
        </is>
      </c>
      <c r="B66" s="26" t="inlineStr">
        <is>
          <t>S31-M2</t>
        </is>
      </c>
      <c r="C66" s="26" t="inlineStr">
        <is>
          <t>언양 신규점3</t>
        </is>
      </c>
      <c r="D66" s="26" t="inlineStr">
        <is>
          <t>방위표지2</t>
        </is>
      </c>
      <c r="E66" s="27" t="n">
        <v>35.742551</v>
      </c>
      <c r="F66" s="27" t="n">
        <v>129.0299160277778</v>
      </c>
      <c r="G66" s="29" t="n"/>
      <c r="H66" s="38" t="inlineStr">
        <is>
          <t>기준점</t>
        </is>
      </c>
      <c r="I66" s="38" t="inlineStr">
        <is>
          <t>방위표지</t>
        </is>
      </c>
      <c r="J66" s="39" t="n"/>
      <c r="K66" s="39" t="n"/>
      <c r="L66" s="35">
        <f>IF(COUNT(J66:K66)=2,ABS(ABS(K66-J66)-200),"")</f>
        <v/>
      </c>
      <c r="M66" s="39" t="n"/>
      <c r="N66" s="35">
        <f>IF(ISNUMBER(M66),M66*0.9,"")</f>
        <v/>
      </c>
      <c r="O66" s="35">
        <f>IF(ISNUMBER(M66),MOD(M66*0.9+180,360),"")</f>
        <v/>
      </c>
      <c r="P66" s="29" t="n"/>
      <c r="Q66" s="30" t="n"/>
      <c r="R66" s="30" t="n"/>
      <c r="S66" s="31">
        <f>IF(AND(ISNUMBER(M66),ISNUMBER(R66)),(M66*0.9-R66)*3600,"")</f>
        <v/>
      </c>
      <c r="T66" s="29" t="n"/>
    </row>
    <row r="67">
      <c r="A67" s="26" t="inlineStr">
        <is>
          <t>S32</t>
        </is>
      </c>
      <c r="B67" s="26" t="inlineStr">
        <is>
          <t>S32-M1</t>
        </is>
      </c>
      <c r="C67" s="26" t="inlineStr">
        <is>
          <t>함양 신규점</t>
        </is>
      </c>
      <c r="D67" s="26" t="inlineStr">
        <is>
          <t>방위표지1</t>
        </is>
      </c>
      <c r="E67" s="27" t="n">
        <v>35.5859508</v>
      </c>
      <c r="F67" s="27" t="n">
        <v>127.5747908</v>
      </c>
      <c r="G67" s="29" t="n"/>
      <c r="H67" s="38" t="inlineStr">
        <is>
          <t>기준점</t>
        </is>
      </c>
      <c r="I67" s="38" t="inlineStr">
        <is>
          <t>방위표지</t>
        </is>
      </c>
      <c r="J67" s="39" t="n"/>
      <c r="K67" s="39" t="n"/>
      <c r="L67" s="35">
        <f>IF(COUNT(J67:K67)=2,ABS(ABS(K67-J67)-200),"")</f>
        <v/>
      </c>
      <c r="M67" s="39" t="n"/>
      <c r="N67" s="35">
        <f>IF(ISNUMBER(M67),M67*0.9,"")</f>
        <v/>
      </c>
      <c r="O67" s="35">
        <f>IF(ISNUMBER(M67),MOD(M67*0.9+180,360),"")</f>
        <v/>
      </c>
      <c r="P67" s="29" t="n"/>
      <c r="Q67" s="30" t="n"/>
      <c r="R67" s="30" t="n"/>
      <c r="S67" s="31">
        <f>IF(AND(ISNUMBER(M67),ISNUMBER(R67)),(M67*0.9-R67)*3600,"")</f>
        <v/>
      </c>
      <c r="T67" s="29" t="n"/>
    </row>
    <row r="68">
      <c r="A68" s="26" t="inlineStr">
        <is>
          <t>S32</t>
        </is>
      </c>
      <c r="B68" s="26" t="inlineStr">
        <is>
          <t>S32-M2</t>
        </is>
      </c>
      <c r="C68" s="26" t="inlineStr">
        <is>
          <t>함양 신규점</t>
        </is>
      </c>
      <c r="D68" s="26" t="inlineStr">
        <is>
          <t>방위표지2</t>
        </is>
      </c>
      <c r="E68" s="27" t="n">
        <v>35.58639289</v>
      </c>
      <c r="F68" s="27" t="n">
        <v>127.5742091</v>
      </c>
      <c r="G68" s="29" t="n"/>
      <c r="H68" s="38" t="inlineStr">
        <is>
          <t>기준점</t>
        </is>
      </c>
      <c r="I68" s="38" t="inlineStr">
        <is>
          <t>방위표지</t>
        </is>
      </c>
      <c r="J68" s="39" t="n"/>
      <c r="K68" s="39" t="n"/>
      <c r="L68" s="35">
        <f>IF(COUNT(J68:K68)=2,ABS(ABS(K68-J68)-200),"")</f>
        <v/>
      </c>
      <c r="M68" s="39" t="n"/>
      <c r="N68" s="35">
        <f>IF(ISNUMBER(M68),M68*0.9,"")</f>
        <v/>
      </c>
      <c r="O68" s="35">
        <f>IF(ISNUMBER(M68),MOD(M68*0.9+180,360),"")</f>
        <v/>
      </c>
      <c r="P68" s="29" t="n"/>
      <c r="Q68" s="30" t="n"/>
      <c r="R68" s="30" t="n"/>
      <c r="S68" s="31">
        <f>IF(AND(ISNUMBER(M68),ISNUMBER(R68)),(M68*0.9-R68)*3600,"")</f>
        <v/>
      </c>
      <c r="T68" s="29" t="n"/>
    </row>
    <row r="69">
      <c r="A69" s="26" t="inlineStr">
        <is>
          <t>S33</t>
        </is>
      </c>
      <c r="B69" s="26" t="inlineStr">
        <is>
          <t>S33-M1</t>
        </is>
      </c>
      <c r="C69" s="26" t="inlineStr">
        <is>
          <t>문산 신규점</t>
        </is>
      </c>
      <c r="D69" s="26" t="inlineStr">
        <is>
          <t>방위표지1</t>
        </is>
      </c>
      <c r="E69" s="27" t="n">
        <v>37.92835582777778</v>
      </c>
      <c r="F69" s="27" t="n">
        <v>126.8695256111111</v>
      </c>
      <c r="G69" s="29" t="n"/>
      <c r="H69" s="38" t="inlineStr">
        <is>
          <t>기준점</t>
        </is>
      </c>
      <c r="I69" s="38" t="inlineStr">
        <is>
          <t>방위표지</t>
        </is>
      </c>
      <c r="J69" s="39" t="n"/>
      <c r="K69" s="39" t="n"/>
      <c r="L69" s="35">
        <f>IF(COUNT(J69:K69)=2,ABS(ABS(K69-J69)-200),"")</f>
        <v/>
      </c>
      <c r="M69" s="39" t="n"/>
      <c r="N69" s="35">
        <f>IF(ISNUMBER(M69),M69*0.9,"")</f>
        <v/>
      </c>
      <c r="O69" s="35">
        <f>IF(ISNUMBER(M69),MOD(M69*0.9+180,360),"")</f>
        <v/>
      </c>
      <c r="P69" s="29" t="n"/>
      <c r="Q69" s="30" t="n"/>
      <c r="R69" s="30" t="n"/>
      <c r="S69" s="31">
        <f>IF(AND(ISNUMBER(M69),ISNUMBER(R69)),(M69*0.9-R69)*3600,"")</f>
        <v/>
      </c>
      <c r="T69" s="29" t="n"/>
    </row>
    <row r="70">
      <c r="A70" s="26" t="inlineStr">
        <is>
          <t>S33</t>
        </is>
      </c>
      <c r="B70" s="26" t="inlineStr">
        <is>
          <t>S33-M2</t>
        </is>
      </c>
      <c r="C70" s="26" t="inlineStr">
        <is>
          <t>문산 신규점</t>
        </is>
      </c>
      <c r="D70" s="26" t="inlineStr">
        <is>
          <t>방위표지2</t>
        </is>
      </c>
      <c r="E70" s="27" t="n">
        <v>37.92751204166667</v>
      </c>
      <c r="F70" s="27" t="n">
        <v>126.8704798111111</v>
      </c>
      <c r="G70" s="29" t="n"/>
      <c r="H70" s="38" t="inlineStr">
        <is>
          <t>기준점</t>
        </is>
      </c>
      <c r="I70" s="38" t="inlineStr">
        <is>
          <t>방위표지</t>
        </is>
      </c>
      <c r="J70" s="39" t="n"/>
      <c r="K70" s="39" t="n"/>
      <c r="L70" s="35">
        <f>IF(COUNT(J70:K70)=2,ABS(ABS(K70-J70)-200),"")</f>
        <v/>
      </c>
      <c r="M70" s="39" t="n"/>
      <c r="N70" s="35">
        <f>IF(ISNUMBER(M70),M70*0.9,"")</f>
        <v/>
      </c>
      <c r="O70" s="35">
        <f>IF(ISNUMBER(M70),MOD(M70*0.9+180,360),"")</f>
        <v/>
      </c>
      <c r="P70" s="29" t="n"/>
      <c r="Q70" s="30" t="n"/>
      <c r="R70" s="30" t="n"/>
      <c r="S70" s="31">
        <f>IF(AND(ISNUMBER(M70),ISNUMBER(R70)),(M70*0.9-R70)*3600,"")</f>
        <v/>
      </c>
      <c r="T70" s="29" t="n"/>
    </row>
    <row r="71">
      <c r="A71" s="26" t="inlineStr">
        <is>
          <t>S34</t>
        </is>
      </c>
      <c r="B71" s="26" t="inlineStr">
        <is>
          <t>S34-M1</t>
        </is>
      </c>
      <c r="C71" s="26" t="inlineStr">
        <is>
          <t>부안 신규점</t>
        </is>
      </c>
      <c r="D71" s="26" t="inlineStr">
        <is>
          <t>방위표지1</t>
        </is>
      </c>
      <c r="E71" s="27" t="n">
        <v>35.54168809722222</v>
      </c>
      <c r="F71" s="27" t="n">
        <v>126.6455125722222</v>
      </c>
      <c r="G71" s="29" t="n"/>
      <c r="H71" s="38" t="inlineStr">
        <is>
          <t>기준점</t>
        </is>
      </c>
      <c r="I71" s="38" t="inlineStr">
        <is>
          <t>방위표지</t>
        </is>
      </c>
      <c r="J71" s="39" t="n"/>
      <c r="K71" s="39" t="n"/>
      <c r="L71" s="35">
        <f>IF(COUNT(J71:K71)=2,ABS(ABS(K71-J71)-200),"")</f>
        <v/>
      </c>
      <c r="M71" s="39" t="n"/>
      <c r="N71" s="35">
        <f>IF(ISNUMBER(M71),M71*0.9,"")</f>
        <v/>
      </c>
      <c r="O71" s="35">
        <f>IF(ISNUMBER(M71),MOD(M71*0.9+180,360),"")</f>
        <v/>
      </c>
      <c r="P71" s="29" t="n"/>
      <c r="Q71" s="30" t="n"/>
      <c r="R71" s="30" t="n"/>
      <c r="S71" s="31">
        <f>IF(AND(ISNUMBER(M71),ISNUMBER(R71)),(M71*0.9-R71)*3600,"")</f>
        <v/>
      </c>
      <c r="T71" s="29" t="n"/>
    </row>
    <row r="72">
      <c r="A72" s="26" t="inlineStr">
        <is>
          <t>S34</t>
        </is>
      </c>
      <c r="B72" s="26" t="inlineStr">
        <is>
          <t>S34-M2</t>
        </is>
      </c>
      <c r="C72" s="26" t="inlineStr">
        <is>
          <t>부안 신규점</t>
        </is>
      </c>
      <c r="D72" s="26" t="inlineStr">
        <is>
          <t>방위표지2</t>
        </is>
      </c>
      <c r="E72" s="27" t="n">
        <v>35.5424344</v>
      </c>
      <c r="F72" s="27" t="n">
        <v>126.6443657833333</v>
      </c>
      <c r="G72" s="29" t="n"/>
      <c r="H72" s="38" t="inlineStr">
        <is>
          <t>기준점</t>
        </is>
      </c>
      <c r="I72" s="38" t="inlineStr">
        <is>
          <t>방위표지</t>
        </is>
      </c>
      <c r="J72" s="39" t="n"/>
      <c r="K72" s="39" t="n"/>
      <c r="L72" s="35">
        <f>IF(COUNT(J72:K72)=2,ABS(ABS(K72-J72)-200),"")</f>
        <v/>
      </c>
      <c r="M72" s="39" t="n"/>
      <c r="N72" s="35">
        <f>IF(ISNUMBER(M72),M72*0.9,"")</f>
        <v/>
      </c>
      <c r="O72" s="35">
        <f>IF(ISNUMBER(M72),MOD(M72*0.9+180,360),"")</f>
        <v/>
      </c>
      <c r="P72" s="29" t="n"/>
      <c r="Q72" s="30" t="n"/>
      <c r="R72" s="30" t="n"/>
      <c r="S72" s="31">
        <f>IF(AND(ISNUMBER(M72),ISNUMBER(R72)),(M72*0.9-R72)*3600,"")</f>
        <v/>
      </c>
      <c r="T72" s="29" t="n"/>
    </row>
    <row r="73">
      <c r="A73" s="26" t="inlineStr">
        <is>
          <t>S35</t>
        </is>
      </c>
      <c r="B73" s="26" t="inlineStr">
        <is>
          <t>S35-M1</t>
        </is>
      </c>
      <c r="C73" s="26" t="inlineStr">
        <is>
          <t>상주</t>
        </is>
      </c>
      <c r="D73" s="26" t="inlineStr">
        <is>
          <t>방위표지1</t>
        </is>
      </c>
      <c r="E73" s="26" t="n"/>
      <c r="F73" s="26" t="n"/>
      <c r="G73" s="29" t="n"/>
      <c r="H73" s="38" t="inlineStr">
        <is>
          <t>기준점</t>
        </is>
      </c>
      <c r="I73" s="38" t="inlineStr">
        <is>
          <t>방위표지</t>
        </is>
      </c>
      <c r="J73" s="39" t="n"/>
      <c r="K73" s="39" t="n"/>
      <c r="L73" s="35">
        <f>IF(COUNT(J73:K73)=2,ABS(ABS(K73-J73)-200),"")</f>
        <v/>
      </c>
      <c r="M73" s="39" t="n"/>
      <c r="N73" s="35">
        <f>IF(ISNUMBER(M73),M73*0.9,"")</f>
        <v/>
      </c>
      <c r="O73" s="35">
        <f>IF(ISNUMBER(M73),MOD(M73*0.9+180,360),"")</f>
        <v/>
      </c>
      <c r="P73" s="29" t="n"/>
      <c r="Q73" s="30" t="n"/>
      <c r="R73" s="30" t="n"/>
      <c r="S73" s="31">
        <f>IF(AND(ISNUMBER(M73),ISNUMBER(R73)),(M73*0.9-R73)*3600,"")</f>
        <v/>
      </c>
      <c r="T73" s="29" t="n"/>
    </row>
    <row r="74">
      <c r="A74" s="26" t="inlineStr">
        <is>
          <t>S35</t>
        </is>
      </c>
      <c r="B74" s="26" t="inlineStr">
        <is>
          <t>S35-M2</t>
        </is>
      </c>
      <c r="C74" s="26" t="inlineStr">
        <is>
          <t>상주</t>
        </is>
      </c>
      <c r="D74" s="26" t="inlineStr">
        <is>
          <t>방위표지2</t>
        </is>
      </c>
      <c r="E74" s="26" t="n"/>
      <c r="F74" s="26" t="n"/>
      <c r="G74" s="29" t="n"/>
      <c r="H74" s="38" t="inlineStr">
        <is>
          <t>기준점</t>
        </is>
      </c>
      <c r="I74" s="38" t="inlineStr">
        <is>
          <t>방위표지</t>
        </is>
      </c>
      <c r="J74" s="39" t="n"/>
      <c r="K74" s="39" t="n"/>
      <c r="L74" s="35">
        <f>IF(COUNT(J74:K74)=2,ABS(ABS(K74-J74)-200),"")</f>
        <v/>
      </c>
      <c r="M74" s="39" t="n"/>
      <c r="N74" s="35">
        <f>IF(ISNUMBER(M74),M74*0.9,"")</f>
        <v/>
      </c>
      <c r="O74" s="35">
        <f>IF(ISNUMBER(M74),MOD(M74*0.9+180,360),"")</f>
        <v/>
      </c>
      <c r="P74" s="29" t="n"/>
      <c r="Q74" s="30" t="n"/>
      <c r="R74" s="30" t="n"/>
      <c r="S74" s="31">
        <f>IF(AND(ISNUMBER(M74),ISNUMBER(R74)),(M74*0.9-R74)*3600,"")</f>
        <v/>
      </c>
      <c r="T74" s="29" t="n"/>
    </row>
    <row r="75">
      <c r="A75" s="26" t="inlineStr">
        <is>
          <t>S36</t>
        </is>
      </c>
      <c r="B75" s="26" t="inlineStr">
        <is>
          <t>S36-M1</t>
        </is>
      </c>
      <c r="C75" s="26" t="inlineStr">
        <is>
          <t>미원</t>
        </is>
      </c>
      <c r="D75" s="26" t="inlineStr">
        <is>
          <t>방위표지1</t>
        </is>
      </c>
      <c r="E75" s="26" t="n"/>
      <c r="F75" s="26" t="n"/>
      <c r="G75" s="29" t="n"/>
      <c r="H75" s="38" t="inlineStr">
        <is>
          <t>기준점</t>
        </is>
      </c>
      <c r="I75" s="38" t="inlineStr">
        <is>
          <t>방위표지</t>
        </is>
      </c>
      <c r="J75" s="39" t="n"/>
      <c r="K75" s="39" t="n"/>
      <c r="L75" s="35">
        <f>IF(COUNT(J75:K75)=2,ABS(ABS(K75-J75)-200),"")</f>
        <v/>
      </c>
      <c r="M75" s="39" t="n"/>
      <c r="N75" s="35">
        <f>IF(ISNUMBER(M75),M75*0.9,"")</f>
        <v/>
      </c>
      <c r="O75" s="35">
        <f>IF(ISNUMBER(M75),MOD(M75*0.9+180,360),"")</f>
        <v/>
      </c>
      <c r="P75" s="29" t="n"/>
      <c r="Q75" s="30" t="n"/>
      <c r="R75" s="30" t="n"/>
      <c r="S75" s="31">
        <f>IF(AND(ISNUMBER(M75),ISNUMBER(R75)),(M75*0.9-R75)*3600,"")</f>
        <v/>
      </c>
      <c r="T75" s="29" t="n"/>
    </row>
    <row r="76">
      <c r="A76" s="26" t="inlineStr">
        <is>
          <t>S36</t>
        </is>
      </c>
      <c r="B76" s="26" t="inlineStr">
        <is>
          <t>S36-M2</t>
        </is>
      </c>
      <c r="C76" s="26" t="inlineStr">
        <is>
          <t>미원</t>
        </is>
      </c>
      <c r="D76" s="26" t="inlineStr">
        <is>
          <t>방위표지2</t>
        </is>
      </c>
      <c r="E76" s="26" t="n"/>
      <c r="F76" s="26" t="n"/>
      <c r="G76" s="29" t="n"/>
      <c r="H76" s="38" t="inlineStr">
        <is>
          <t>기준점</t>
        </is>
      </c>
      <c r="I76" s="38" t="inlineStr">
        <is>
          <t>방위표지</t>
        </is>
      </c>
      <c r="J76" s="39" t="n"/>
      <c r="K76" s="39" t="n"/>
      <c r="L76" s="35">
        <f>IF(COUNT(J76:K76)=2,ABS(ABS(K76-J76)-200),"")</f>
        <v/>
      </c>
      <c r="M76" s="39" t="n"/>
      <c r="N76" s="35">
        <f>IF(ISNUMBER(M76),M76*0.9,"")</f>
        <v/>
      </c>
      <c r="O76" s="35">
        <f>IF(ISNUMBER(M76),MOD(M76*0.9+180,360),"")</f>
        <v/>
      </c>
      <c r="P76" s="29" t="n"/>
      <c r="Q76" s="30" t="n"/>
      <c r="R76" s="30" t="n"/>
      <c r="S76" s="31">
        <f>IF(AND(ISNUMBER(M76),ISNUMBER(R76)),(M76*0.9-R76)*3600,"")</f>
        <v/>
      </c>
      <c r="T76" s="29" t="n"/>
    </row>
    <row r="77">
      <c r="A77" s="26" t="inlineStr">
        <is>
          <t>S37</t>
        </is>
      </c>
      <c r="B77" s="26" t="inlineStr">
        <is>
          <t>S37-M1</t>
        </is>
      </c>
      <c r="C77" s="26" t="inlineStr">
        <is>
          <t>부안</t>
        </is>
      </c>
      <c r="D77" s="26" t="inlineStr">
        <is>
          <t>방위표지1</t>
        </is>
      </c>
      <c r="E77" s="26" t="n"/>
      <c r="F77" s="26" t="n"/>
      <c r="G77" s="29" t="n"/>
      <c r="H77" s="38" t="inlineStr">
        <is>
          <t>기준점</t>
        </is>
      </c>
      <c r="I77" s="38" t="inlineStr">
        <is>
          <t>방위표지</t>
        </is>
      </c>
      <c r="J77" s="39" t="n"/>
      <c r="K77" s="39" t="n"/>
      <c r="L77" s="35">
        <f>IF(COUNT(J77:K77)=2,ABS(ABS(K77-J77)-200),"")</f>
        <v/>
      </c>
      <c r="M77" s="39" t="n"/>
      <c r="N77" s="35">
        <f>IF(ISNUMBER(M77),M77*0.9,"")</f>
        <v/>
      </c>
      <c r="O77" s="35">
        <f>IF(ISNUMBER(M77),MOD(M77*0.9+180,360),"")</f>
        <v/>
      </c>
      <c r="P77" s="29" t="n"/>
      <c r="Q77" s="30" t="n"/>
      <c r="R77" s="30" t="n"/>
      <c r="S77" s="31">
        <f>IF(AND(ISNUMBER(M77),ISNUMBER(R77)),(M77*0.9-R77)*3600,"")</f>
        <v/>
      </c>
      <c r="T77" s="29" t="n"/>
    </row>
    <row r="78">
      <c r="A78" s="26" t="inlineStr">
        <is>
          <t>S37</t>
        </is>
      </c>
      <c r="B78" s="26" t="inlineStr">
        <is>
          <t>S37-M2</t>
        </is>
      </c>
      <c r="C78" s="26" t="inlineStr">
        <is>
          <t>부안</t>
        </is>
      </c>
      <c r="D78" s="26" t="inlineStr">
        <is>
          <t>방위표지2</t>
        </is>
      </c>
      <c r="E78" s="26" t="n"/>
      <c r="F78" s="26" t="n"/>
      <c r="G78" s="29" t="n"/>
      <c r="H78" s="38" t="inlineStr">
        <is>
          <t>기준점</t>
        </is>
      </c>
      <c r="I78" s="38" t="inlineStr">
        <is>
          <t>방위표지</t>
        </is>
      </c>
      <c r="J78" s="39" t="n"/>
      <c r="K78" s="39" t="n"/>
      <c r="L78" s="35">
        <f>IF(COUNT(J78:K78)=2,ABS(ABS(K78-J78)-200),"")</f>
        <v/>
      </c>
      <c r="M78" s="39" t="n"/>
      <c r="N78" s="35">
        <f>IF(ISNUMBER(M78),M78*0.9,"")</f>
        <v/>
      </c>
      <c r="O78" s="35">
        <f>IF(ISNUMBER(M78),MOD(M78*0.9+180,360),"")</f>
        <v/>
      </c>
      <c r="P78" s="29" t="n"/>
      <c r="Q78" s="30" t="n"/>
      <c r="R78" s="30" t="n"/>
      <c r="S78" s="31">
        <f>IF(AND(ISNUMBER(M78),ISNUMBER(R78)),(M78*0.9-R78)*3600,"")</f>
        <v/>
      </c>
      <c r="T78" s="29" t="n"/>
    </row>
    <row r="79">
      <c r="A79" s="26" t="inlineStr">
        <is>
          <t>S38</t>
        </is>
      </c>
      <c r="B79" s="26" t="inlineStr">
        <is>
          <t>S38-M1</t>
        </is>
      </c>
      <c r="C79" s="26" t="inlineStr">
        <is>
          <t>강화</t>
        </is>
      </c>
      <c r="D79" s="26" t="inlineStr">
        <is>
          <t>방위표지1</t>
        </is>
      </c>
      <c r="E79" s="26" t="n"/>
      <c r="F79" s="26" t="n"/>
      <c r="G79" s="29" t="n"/>
      <c r="H79" s="38" t="inlineStr">
        <is>
          <t>기준점</t>
        </is>
      </c>
      <c r="I79" s="38" t="inlineStr">
        <is>
          <t>방위표지</t>
        </is>
      </c>
      <c r="J79" s="39" t="n"/>
      <c r="K79" s="39" t="n"/>
      <c r="L79" s="35">
        <f>IF(COUNT(J79:K79)=2,ABS(ABS(K79-J79)-200),"")</f>
        <v/>
      </c>
      <c r="M79" s="39" t="n"/>
      <c r="N79" s="35">
        <f>IF(ISNUMBER(M79),M79*0.9,"")</f>
        <v/>
      </c>
      <c r="O79" s="35">
        <f>IF(ISNUMBER(M79),MOD(M79*0.9+180,360),"")</f>
        <v/>
      </c>
      <c r="P79" s="29" t="n"/>
      <c r="Q79" s="30" t="n"/>
      <c r="R79" s="30" t="n"/>
      <c r="S79" s="31">
        <f>IF(AND(ISNUMBER(M79),ISNUMBER(R79)),(M79*0.9-R79)*3600,"")</f>
        <v/>
      </c>
      <c r="T79" s="29" t="n"/>
    </row>
    <row r="80">
      <c r="A80" s="26" t="inlineStr">
        <is>
          <t>S38</t>
        </is>
      </c>
      <c r="B80" s="26" t="inlineStr">
        <is>
          <t>S38-M2</t>
        </is>
      </c>
      <c r="C80" s="26" t="inlineStr">
        <is>
          <t>강화</t>
        </is>
      </c>
      <c r="D80" s="26" t="inlineStr">
        <is>
          <t>방위표지2</t>
        </is>
      </c>
      <c r="E80" s="26" t="n"/>
      <c r="F80" s="26" t="n"/>
      <c r="G80" s="29" t="n"/>
      <c r="H80" s="38" t="inlineStr">
        <is>
          <t>기준점</t>
        </is>
      </c>
      <c r="I80" s="38" t="inlineStr">
        <is>
          <t>방위표지</t>
        </is>
      </c>
      <c r="J80" s="39" t="n"/>
      <c r="K80" s="39" t="n"/>
      <c r="L80" s="35">
        <f>IF(COUNT(J80:K80)=2,ABS(ABS(K80-J80)-200),"")</f>
        <v/>
      </c>
      <c r="M80" s="39" t="n"/>
      <c r="N80" s="35">
        <f>IF(ISNUMBER(M80),M80*0.9,"")</f>
        <v/>
      </c>
      <c r="O80" s="35">
        <f>IF(ISNUMBER(M80),MOD(M80*0.9+180,360),"")</f>
        <v/>
      </c>
      <c r="P80" s="29" t="n"/>
      <c r="Q80" s="30" t="n"/>
      <c r="R80" s="30" t="n"/>
      <c r="S80" s="31">
        <f>IF(AND(ISNUMBER(M80),ISNUMBER(R80)),(M80*0.9-R80)*3600,"")</f>
        <v/>
      </c>
      <c r="T80" s="29" t="n"/>
    </row>
    <row r="81">
      <c r="A81" s="26" t="inlineStr">
        <is>
          <t>S39</t>
        </is>
      </c>
      <c r="B81" s="26" t="inlineStr">
        <is>
          <t>S39-M1</t>
        </is>
      </c>
      <c r="C81" s="26" t="inlineStr">
        <is>
          <t>언양</t>
        </is>
      </c>
      <c r="D81" s="26" t="inlineStr">
        <is>
          <t>방위표지1</t>
        </is>
      </c>
      <c r="E81" s="26" t="n"/>
      <c r="F81" s="26" t="n"/>
      <c r="G81" s="29" t="n"/>
      <c r="H81" s="38" t="inlineStr">
        <is>
          <t>기준점</t>
        </is>
      </c>
      <c r="I81" s="38" t="inlineStr">
        <is>
          <t>방위표지</t>
        </is>
      </c>
      <c r="J81" s="39" t="n"/>
      <c r="K81" s="39" t="n"/>
      <c r="L81" s="35">
        <f>IF(COUNT(J81:K81)=2,ABS(ABS(K81-J81)-200),"")</f>
        <v/>
      </c>
      <c r="M81" s="39" t="n"/>
      <c r="N81" s="35">
        <f>IF(ISNUMBER(M81),M81*0.9,"")</f>
        <v/>
      </c>
      <c r="O81" s="35">
        <f>IF(ISNUMBER(M81),MOD(M81*0.9+180,360),"")</f>
        <v/>
      </c>
      <c r="P81" s="29" t="n"/>
      <c r="Q81" s="30" t="n"/>
      <c r="R81" s="30" t="n"/>
      <c r="S81" s="31">
        <f>IF(AND(ISNUMBER(M81),ISNUMBER(R81)),(M81*0.9-R81)*3600,"")</f>
        <v/>
      </c>
      <c r="T81" s="29" t="n"/>
    </row>
    <row r="82">
      <c r="A82" s="26" t="inlineStr">
        <is>
          <t>S39</t>
        </is>
      </c>
      <c r="B82" s="26" t="inlineStr">
        <is>
          <t>S39-M2</t>
        </is>
      </c>
      <c r="C82" s="26" t="inlineStr">
        <is>
          <t>언양</t>
        </is>
      </c>
      <c r="D82" s="26" t="inlineStr">
        <is>
          <t>방위표지2</t>
        </is>
      </c>
      <c r="E82" s="26" t="n"/>
      <c r="F82" s="26" t="n"/>
      <c r="G82" s="29" t="n"/>
      <c r="H82" s="38" t="inlineStr">
        <is>
          <t>기준점</t>
        </is>
      </c>
      <c r="I82" s="38" t="inlineStr">
        <is>
          <t>방위표지</t>
        </is>
      </c>
      <c r="J82" s="39" t="n"/>
      <c r="K82" s="39" t="n"/>
      <c r="L82" s="35">
        <f>IF(COUNT(J82:K82)=2,ABS(ABS(K82-J82)-200),"")</f>
        <v/>
      </c>
      <c r="M82" s="39" t="n"/>
      <c r="N82" s="35">
        <f>IF(ISNUMBER(M82),M82*0.9,"")</f>
        <v/>
      </c>
      <c r="O82" s="35">
        <f>IF(ISNUMBER(M82),MOD(M82*0.9+180,360),"")</f>
        <v/>
      </c>
      <c r="P82" s="29" t="n"/>
      <c r="Q82" s="30" t="n"/>
      <c r="R82" s="30" t="n"/>
      <c r="S82" s="31">
        <f>IF(AND(ISNUMBER(M82),ISNUMBER(R82)),(M82*0.9-R82)*3600,"")</f>
        <v/>
      </c>
      <c r="T82" s="29" t="n"/>
    </row>
    <row r="83">
      <c r="A83" s="26" t="inlineStr">
        <is>
          <t>S40</t>
        </is>
      </c>
      <c r="B83" s="26" t="inlineStr">
        <is>
          <t>S40-M1</t>
        </is>
      </c>
      <c r="C83" s="26" t="inlineStr">
        <is>
          <t>남지</t>
        </is>
      </c>
      <c r="D83" s="26" t="inlineStr">
        <is>
          <t>방위표지1</t>
        </is>
      </c>
      <c r="E83" s="26" t="n"/>
      <c r="F83" s="26" t="n"/>
      <c r="G83" s="29" t="n"/>
      <c r="H83" s="38" t="inlineStr">
        <is>
          <t>기준점</t>
        </is>
      </c>
      <c r="I83" s="38" t="inlineStr">
        <is>
          <t>방위표지</t>
        </is>
      </c>
      <c r="J83" s="39" t="n"/>
      <c r="K83" s="39" t="n"/>
      <c r="L83" s="35">
        <f>IF(COUNT(J83:K83)=2,ABS(ABS(K83-J83)-200),"")</f>
        <v/>
      </c>
      <c r="M83" s="39" t="n"/>
      <c r="N83" s="35">
        <f>IF(ISNUMBER(M83),M83*0.9,"")</f>
        <v/>
      </c>
      <c r="O83" s="35">
        <f>IF(ISNUMBER(M83),MOD(M83*0.9+180,360),"")</f>
        <v/>
      </c>
      <c r="P83" s="29" t="n"/>
      <c r="Q83" s="30" t="n"/>
      <c r="R83" s="30" t="n"/>
      <c r="S83" s="31">
        <f>IF(AND(ISNUMBER(M83),ISNUMBER(R83)),(M83*0.9-R83)*3600,"")</f>
        <v/>
      </c>
      <c r="T83" s="29" t="n"/>
    </row>
    <row r="84">
      <c r="A84" s="26" t="inlineStr">
        <is>
          <t>S40</t>
        </is>
      </c>
      <c r="B84" s="26" t="inlineStr">
        <is>
          <t>S40-M2</t>
        </is>
      </c>
      <c r="C84" s="26" t="inlineStr">
        <is>
          <t>남지</t>
        </is>
      </c>
      <c r="D84" s="26" t="inlineStr">
        <is>
          <t>방위표지2</t>
        </is>
      </c>
      <c r="E84" s="26" t="n"/>
      <c r="F84" s="26" t="n"/>
      <c r="G84" s="29" t="n"/>
      <c r="H84" s="38" t="inlineStr">
        <is>
          <t>기준점</t>
        </is>
      </c>
      <c r="I84" s="38" t="inlineStr">
        <is>
          <t>방위표지</t>
        </is>
      </c>
      <c r="J84" s="39" t="n"/>
      <c r="K84" s="39" t="n"/>
      <c r="L84" s="35">
        <f>IF(COUNT(J84:K84)=2,ABS(ABS(K84-J84)-200),"")</f>
        <v/>
      </c>
      <c r="M84" s="39" t="n"/>
      <c r="N84" s="35">
        <f>IF(ISNUMBER(M84),M84*0.9,"")</f>
        <v/>
      </c>
      <c r="O84" s="35">
        <f>IF(ISNUMBER(M84),MOD(M84*0.9+180,360),"")</f>
        <v/>
      </c>
      <c r="P84" s="29" t="n"/>
      <c r="Q84" s="30" t="n"/>
      <c r="R84" s="30" t="n"/>
      <c r="S84" s="31">
        <f>IF(AND(ISNUMBER(M84),ISNUMBER(R84)),(M84*0.9-R84)*3600,"")</f>
        <v/>
      </c>
      <c r="T84" s="29" t="n"/>
    </row>
    <row r="85">
      <c r="A85" s="26" t="inlineStr">
        <is>
          <t>S41</t>
        </is>
      </c>
      <c r="B85" s="26" t="inlineStr">
        <is>
          <t>S41-M1</t>
        </is>
      </c>
      <c r="C85" s="26" t="inlineStr">
        <is>
          <t>거제</t>
        </is>
      </c>
      <c r="D85" s="26" t="inlineStr">
        <is>
          <t>방위표지1</t>
        </is>
      </c>
      <c r="E85" s="26" t="n"/>
      <c r="F85" s="26" t="n"/>
      <c r="G85" s="29" t="n"/>
      <c r="H85" s="38" t="inlineStr">
        <is>
          <t>기준점</t>
        </is>
      </c>
      <c r="I85" s="38" t="inlineStr">
        <is>
          <t>방위표지</t>
        </is>
      </c>
      <c r="J85" s="39" t="n"/>
      <c r="K85" s="39" t="n"/>
      <c r="L85" s="35">
        <f>IF(COUNT(J85:K85)=2,ABS(ABS(K85-J85)-200),"")</f>
        <v/>
      </c>
      <c r="M85" s="39" t="n"/>
      <c r="N85" s="35">
        <f>IF(ISNUMBER(M85),M85*0.9,"")</f>
        <v/>
      </c>
      <c r="O85" s="35">
        <f>IF(ISNUMBER(M85),MOD(M85*0.9+180,360),"")</f>
        <v/>
      </c>
      <c r="P85" s="29" t="n"/>
      <c r="Q85" s="30" t="n"/>
      <c r="R85" s="30" t="n"/>
      <c r="S85" s="31">
        <f>IF(AND(ISNUMBER(M85),ISNUMBER(R85)),(M85*0.9-R85)*3600,"")</f>
        <v/>
      </c>
      <c r="T85" s="29" t="n"/>
    </row>
    <row r="86">
      <c r="A86" s="26" t="inlineStr">
        <is>
          <t>S41</t>
        </is>
      </c>
      <c r="B86" s="26" t="inlineStr">
        <is>
          <t>S41-M2</t>
        </is>
      </c>
      <c r="C86" s="26" t="inlineStr">
        <is>
          <t>거제</t>
        </is>
      </c>
      <c r="D86" s="26" t="inlineStr">
        <is>
          <t>방위표지2</t>
        </is>
      </c>
      <c r="E86" s="26" t="n"/>
      <c r="F86" s="26" t="n"/>
      <c r="G86" s="29" t="n"/>
      <c r="H86" s="38" t="inlineStr">
        <is>
          <t>기준점</t>
        </is>
      </c>
      <c r="I86" s="38" t="inlineStr">
        <is>
          <t>방위표지</t>
        </is>
      </c>
      <c r="J86" s="39" t="n"/>
      <c r="K86" s="39" t="n"/>
      <c r="L86" s="35">
        <f>IF(COUNT(J86:K86)=2,ABS(ABS(K86-J86)-200),"")</f>
        <v/>
      </c>
      <c r="M86" s="39" t="n"/>
      <c r="N86" s="35">
        <f>IF(ISNUMBER(M86),M86*0.9,"")</f>
        <v/>
      </c>
      <c r="O86" s="35">
        <f>IF(ISNUMBER(M86),MOD(M86*0.9+180,360),"")</f>
        <v/>
      </c>
      <c r="P86" s="29" t="n"/>
      <c r="Q86" s="30" t="n"/>
      <c r="R86" s="30" t="n"/>
      <c r="S86" s="31">
        <f>IF(AND(ISNUMBER(M86),ISNUMBER(R86)),(M86*0.9-R86)*3600,"")</f>
        <v/>
      </c>
      <c r="T86" s="29" t="n"/>
    </row>
    <row r="87">
      <c r="A87" s="26" t="inlineStr">
        <is>
          <t>S42</t>
        </is>
      </c>
      <c r="B87" s="26" t="inlineStr">
        <is>
          <t>S42-M1</t>
        </is>
      </c>
      <c r="C87" s="26" t="inlineStr">
        <is>
          <t>조도</t>
        </is>
      </c>
      <c r="D87" s="26" t="inlineStr">
        <is>
          <t>방위표지1</t>
        </is>
      </c>
      <c r="E87" s="26" t="n"/>
      <c r="F87" s="26" t="n"/>
      <c r="G87" s="29" t="n"/>
      <c r="H87" s="38" t="inlineStr">
        <is>
          <t>기준점</t>
        </is>
      </c>
      <c r="I87" s="38" t="inlineStr">
        <is>
          <t>방위표지</t>
        </is>
      </c>
      <c r="J87" s="39" t="n"/>
      <c r="K87" s="39" t="n"/>
      <c r="L87" s="35">
        <f>IF(COUNT(J87:K87)=2,ABS(ABS(K87-J87)-200),"")</f>
        <v/>
      </c>
      <c r="M87" s="39" t="n"/>
      <c r="N87" s="35">
        <f>IF(ISNUMBER(M87),M87*0.9,"")</f>
        <v/>
      </c>
      <c r="O87" s="35">
        <f>IF(ISNUMBER(M87),MOD(M87*0.9+180,360),"")</f>
        <v/>
      </c>
      <c r="P87" s="29" t="n"/>
      <c r="Q87" s="30" t="n"/>
      <c r="R87" s="30" t="n"/>
      <c r="S87" s="31">
        <f>IF(AND(ISNUMBER(M87),ISNUMBER(R87)),(M87*0.9-R87)*3600,"")</f>
        <v/>
      </c>
      <c r="T87" s="29" t="n"/>
    </row>
    <row r="88">
      <c r="A88" s="26" t="inlineStr">
        <is>
          <t>S42</t>
        </is>
      </c>
      <c r="B88" s="26" t="inlineStr">
        <is>
          <t>S42-M2</t>
        </is>
      </c>
      <c r="C88" s="26" t="inlineStr">
        <is>
          <t>조도</t>
        </is>
      </c>
      <c r="D88" s="26" t="inlineStr">
        <is>
          <t>방위표지2</t>
        </is>
      </c>
      <c r="E88" s="26" t="n"/>
      <c r="F88" s="26" t="n"/>
      <c r="G88" s="29" t="n"/>
      <c r="H88" s="38" t="inlineStr">
        <is>
          <t>기준점</t>
        </is>
      </c>
      <c r="I88" s="38" t="inlineStr">
        <is>
          <t>방위표지</t>
        </is>
      </c>
      <c r="J88" s="39" t="n"/>
      <c r="K88" s="39" t="n"/>
      <c r="L88" s="35">
        <f>IF(COUNT(J88:K88)=2,ABS(ABS(K88-J88)-200),"")</f>
        <v/>
      </c>
      <c r="M88" s="39" t="n"/>
      <c r="N88" s="35">
        <f>IF(ISNUMBER(M88),M88*0.9,"")</f>
        <v/>
      </c>
      <c r="O88" s="35">
        <f>IF(ISNUMBER(M88),MOD(M88*0.9+180,360),"")</f>
        <v/>
      </c>
      <c r="P88" s="29" t="n"/>
      <c r="Q88" s="30" t="n"/>
      <c r="R88" s="30" t="n"/>
      <c r="S88" s="31">
        <f>IF(AND(ISNUMBER(M88),ISNUMBER(R88)),(M88*0.9-R88)*3600,"")</f>
        <v/>
      </c>
      <c r="T88" s="29" t="n"/>
    </row>
    <row r="89">
      <c r="A89" s="26" t="inlineStr">
        <is>
          <t>S43</t>
        </is>
      </c>
      <c r="B89" s="26" t="inlineStr">
        <is>
          <t>S43-M1</t>
        </is>
      </c>
      <c r="C89" s="26" t="inlineStr">
        <is>
          <t>포천</t>
        </is>
      </c>
      <c r="D89" s="26" t="inlineStr">
        <is>
          <t>방위표지1</t>
        </is>
      </c>
      <c r="E89" s="26" t="n"/>
      <c r="F89" s="26" t="n"/>
      <c r="G89" s="29" t="n"/>
      <c r="H89" s="38" t="inlineStr">
        <is>
          <t>기준점</t>
        </is>
      </c>
      <c r="I89" s="38" t="inlineStr">
        <is>
          <t>방위표지</t>
        </is>
      </c>
      <c r="J89" s="39" t="n"/>
      <c r="K89" s="39" t="n"/>
      <c r="L89" s="35">
        <f>IF(COUNT(J89:K89)=2,ABS(ABS(K89-J89)-200),"")</f>
        <v/>
      </c>
      <c r="M89" s="39" t="n"/>
      <c r="N89" s="35">
        <f>IF(ISNUMBER(M89),M89*0.9,"")</f>
        <v/>
      </c>
      <c r="O89" s="35">
        <f>IF(ISNUMBER(M89),MOD(M89*0.9+180,360),"")</f>
        <v/>
      </c>
      <c r="P89" s="29" t="n"/>
      <c r="Q89" s="30" t="n"/>
      <c r="R89" s="30" t="n"/>
      <c r="S89" s="31">
        <f>IF(AND(ISNUMBER(M89),ISNUMBER(R89)),(M89*0.9-R89)*3600,"")</f>
        <v/>
      </c>
      <c r="T89" s="29" t="n"/>
    </row>
    <row r="90">
      <c r="A90" s="26" t="inlineStr">
        <is>
          <t>S43</t>
        </is>
      </c>
      <c r="B90" s="26" t="inlineStr">
        <is>
          <t>S43-M2</t>
        </is>
      </c>
      <c r="C90" s="26" t="inlineStr">
        <is>
          <t>포천</t>
        </is>
      </c>
      <c r="D90" s="26" t="inlineStr">
        <is>
          <t>방위표지2</t>
        </is>
      </c>
      <c r="E90" s="26" t="n"/>
      <c r="F90" s="26" t="n"/>
      <c r="G90" s="29" t="n"/>
      <c r="H90" s="38" t="inlineStr">
        <is>
          <t>기준점</t>
        </is>
      </c>
      <c r="I90" s="38" t="inlineStr">
        <is>
          <t>방위표지</t>
        </is>
      </c>
      <c r="J90" s="39" t="n"/>
      <c r="K90" s="39" t="n"/>
      <c r="L90" s="35">
        <f>IF(COUNT(J90:K90)=2,ABS(ABS(K90-J90)-200),"")</f>
        <v/>
      </c>
      <c r="M90" s="39" t="n"/>
      <c r="N90" s="35">
        <f>IF(ISNUMBER(M90),M90*0.9,"")</f>
        <v/>
      </c>
      <c r="O90" s="35">
        <f>IF(ISNUMBER(M90),MOD(M90*0.9+180,360),"")</f>
        <v/>
      </c>
      <c r="P90" s="29" t="n"/>
      <c r="Q90" s="30" t="n"/>
      <c r="R90" s="30" t="n"/>
      <c r="S90" s="31">
        <f>IF(AND(ISNUMBER(M90),ISNUMBER(R90)),(M90*0.9-R90)*3600,"")</f>
        <v/>
      </c>
      <c r="T90" s="29" t="n"/>
    </row>
    <row r="91">
      <c r="A91" s="26" t="inlineStr">
        <is>
          <t>S44</t>
        </is>
      </c>
      <c r="B91" s="26" t="inlineStr">
        <is>
          <t>S44-M1</t>
        </is>
      </c>
      <c r="C91" s="26" t="inlineStr">
        <is>
          <t>성산</t>
        </is>
      </c>
      <c r="D91" s="26" t="inlineStr">
        <is>
          <t>방위표지1</t>
        </is>
      </c>
      <c r="E91" s="26" t="n"/>
      <c r="F91" s="26" t="n"/>
      <c r="G91" s="29" t="n"/>
      <c r="H91" s="38" t="inlineStr">
        <is>
          <t>기준점</t>
        </is>
      </c>
      <c r="I91" s="38" t="inlineStr">
        <is>
          <t>방위표지</t>
        </is>
      </c>
      <c r="J91" s="39" t="n"/>
      <c r="K91" s="39" t="n"/>
      <c r="L91" s="35">
        <f>IF(COUNT(J91:K91)=2,ABS(ABS(K91-J91)-200),"")</f>
        <v/>
      </c>
      <c r="M91" s="39" t="n"/>
      <c r="N91" s="35">
        <f>IF(ISNUMBER(M91),M91*0.9,"")</f>
        <v/>
      </c>
      <c r="O91" s="35">
        <f>IF(ISNUMBER(M91),MOD(M91*0.9+180,360),"")</f>
        <v/>
      </c>
      <c r="P91" s="29" t="n"/>
      <c r="Q91" s="30" t="n"/>
      <c r="R91" s="30" t="n"/>
      <c r="S91" s="31">
        <f>IF(AND(ISNUMBER(M91),ISNUMBER(R91)),(M91*0.9-R91)*3600,"")</f>
        <v/>
      </c>
      <c r="T91" s="29" t="n"/>
    </row>
    <row r="92">
      <c r="A92" s="26" t="inlineStr">
        <is>
          <t>S44</t>
        </is>
      </c>
      <c r="B92" s="26" t="inlineStr">
        <is>
          <t>S44-M2</t>
        </is>
      </c>
      <c r="C92" s="26" t="inlineStr">
        <is>
          <t>성산</t>
        </is>
      </c>
      <c r="D92" s="26" t="inlineStr">
        <is>
          <t>방위표지2</t>
        </is>
      </c>
      <c r="E92" s="26" t="n"/>
      <c r="F92" s="26" t="n"/>
      <c r="G92" s="29" t="n"/>
      <c r="H92" s="38" t="inlineStr">
        <is>
          <t>기준점</t>
        </is>
      </c>
      <c r="I92" s="38" t="inlineStr">
        <is>
          <t>방위표지</t>
        </is>
      </c>
      <c r="J92" s="39" t="n"/>
      <c r="K92" s="39" t="n"/>
      <c r="L92" s="35">
        <f>IF(COUNT(J92:K92)=2,ABS(ABS(K92-J92)-200),"")</f>
        <v/>
      </c>
      <c r="M92" s="39" t="n"/>
      <c r="N92" s="35">
        <f>IF(ISNUMBER(M92),M92*0.9,"")</f>
        <v/>
      </c>
      <c r="O92" s="35">
        <f>IF(ISNUMBER(M92),MOD(M92*0.9+180,360),"")</f>
        <v/>
      </c>
      <c r="P92" s="29" t="n"/>
      <c r="Q92" s="30" t="n"/>
      <c r="R92" s="30" t="n"/>
      <c r="S92" s="31">
        <f>IF(AND(ISNUMBER(M92),ISNUMBER(R92)),(M92*0.9-R92)*3600,"")</f>
        <v/>
      </c>
      <c r="T92" s="29" t="n"/>
    </row>
    <row r="93">
      <c r="A93" s="26" t="inlineStr">
        <is>
          <t>S45</t>
        </is>
      </c>
      <c r="B93" s="26" t="inlineStr">
        <is>
          <t>S45-M1</t>
        </is>
      </c>
      <c r="C93" s="26" t="inlineStr">
        <is>
          <t>여주</t>
        </is>
      </c>
      <c r="D93" s="26" t="inlineStr">
        <is>
          <t>방위표지1</t>
        </is>
      </c>
      <c r="E93" s="26" t="n"/>
      <c r="F93" s="26" t="n"/>
      <c r="G93" s="29" t="n"/>
      <c r="H93" s="38" t="inlineStr">
        <is>
          <t>기준점</t>
        </is>
      </c>
      <c r="I93" s="38" t="inlineStr">
        <is>
          <t>방위표지</t>
        </is>
      </c>
      <c r="J93" s="39" t="n"/>
      <c r="K93" s="39" t="n"/>
      <c r="L93" s="35">
        <f>IF(COUNT(J93:K93)=2,ABS(ABS(K93-J93)-200),"")</f>
        <v/>
      </c>
      <c r="M93" s="39" t="n"/>
      <c r="N93" s="35">
        <f>IF(ISNUMBER(M93),M93*0.9,"")</f>
        <v/>
      </c>
      <c r="O93" s="35">
        <f>IF(ISNUMBER(M93),MOD(M93*0.9+180,360),"")</f>
        <v/>
      </c>
      <c r="P93" s="29" t="n"/>
      <c r="Q93" s="30" t="n"/>
      <c r="R93" s="30" t="n"/>
      <c r="S93" s="31">
        <f>IF(AND(ISNUMBER(M93),ISNUMBER(R93)),(M93*0.9-R93)*3600,"")</f>
        <v/>
      </c>
      <c r="T93" s="29" t="n"/>
    </row>
    <row r="94">
      <c r="A94" s="26" t="inlineStr">
        <is>
          <t>S45</t>
        </is>
      </c>
      <c r="B94" s="26" t="inlineStr">
        <is>
          <t>S45-M2</t>
        </is>
      </c>
      <c r="C94" s="26" t="inlineStr">
        <is>
          <t>여주</t>
        </is>
      </c>
      <c r="D94" s="26" t="inlineStr">
        <is>
          <t>방위표지2</t>
        </is>
      </c>
      <c r="E94" s="26" t="n"/>
      <c r="F94" s="26" t="n"/>
      <c r="G94" s="29" t="n"/>
      <c r="H94" s="38" t="inlineStr">
        <is>
          <t>기준점</t>
        </is>
      </c>
      <c r="I94" s="38" t="inlineStr">
        <is>
          <t>방위표지</t>
        </is>
      </c>
      <c r="J94" s="39" t="n"/>
      <c r="K94" s="39" t="n"/>
      <c r="L94" s="35">
        <f>IF(COUNT(J94:K94)=2,ABS(ABS(K94-J94)-200),"")</f>
        <v/>
      </c>
      <c r="M94" s="39" t="n"/>
      <c r="N94" s="35">
        <f>IF(ISNUMBER(M94),M94*0.9,"")</f>
        <v/>
      </c>
      <c r="O94" s="35">
        <f>IF(ISNUMBER(M94),MOD(M94*0.9+180,360),"")</f>
        <v/>
      </c>
      <c r="P94" s="29" t="n"/>
      <c r="Q94" s="30" t="n"/>
      <c r="R94" s="30" t="n"/>
      <c r="S94" s="31">
        <f>IF(AND(ISNUMBER(M94),ISNUMBER(R94)),(M94*0.9-R94)*3600,"")</f>
        <v/>
      </c>
      <c r="T94" s="29" t="n"/>
    </row>
    <row r="95">
      <c r="A95" s="26" t="inlineStr">
        <is>
          <t>S46</t>
        </is>
      </c>
      <c r="B95" s="26" t="inlineStr">
        <is>
          <t>S46-M1</t>
        </is>
      </c>
      <c r="C95" s="26" t="inlineStr">
        <is>
          <t>화천</t>
        </is>
      </c>
      <c r="D95" s="26" t="inlineStr">
        <is>
          <t>방위표지1</t>
        </is>
      </c>
      <c r="E95" s="26" t="n"/>
      <c r="F95" s="26" t="n"/>
      <c r="G95" s="29" t="n"/>
      <c r="H95" s="38" t="inlineStr">
        <is>
          <t>기준점</t>
        </is>
      </c>
      <c r="I95" s="38" t="inlineStr">
        <is>
          <t>방위표지</t>
        </is>
      </c>
      <c r="J95" s="39" t="n"/>
      <c r="K95" s="39" t="n"/>
      <c r="L95" s="35">
        <f>IF(COUNT(J95:K95)=2,ABS(ABS(K95-J95)-200),"")</f>
        <v/>
      </c>
      <c r="M95" s="39" t="n"/>
      <c r="N95" s="35">
        <f>IF(ISNUMBER(M95),M95*0.9,"")</f>
        <v/>
      </c>
      <c r="O95" s="35">
        <f>IF(ISNUMBER(M95),MOD(M95*0.9+180,360),"")</f>
        <v/>
      </c>
      <c r="P95" s="29" t="n"/>
      <c r="Q95" s="30" t="n"/>
      <c r="R95" s="30" t="n"/>
      <c r="S95" s="31">
        <f>IF(AND(ISNUMBER(M95),ISNUMBER(R95)),(M95*0.9-R95)*3600,"")</f>
        <v/>
      </c>
      <c r="T95" s="29" t="n"/>
    </row>
    <row r="96">
      <c r="A96" s="26" t="inlineStr">
        <is>
          <t>S46</t>
        </is>
      </c>
      <c r="B96" s="26" t="inlineStr">
        <is>
          <t>S46-M2</t>
        </is>
      </c>
      <c r="C96" s="26" t="inlineStr">
        <is>
          <t>화천</t>
        </is>
      </c>
      <c r="D96" s="26" t="inlineStr">
        <is>
          <t>방위표지2</t>
        </is>
      </c>
      <c r="E96" s="26" t="n"/>
      <c r="F96" s="26" t="n"/>
      <c r="G96" s="29" t="n"/>
      <c r="H96" s="38" t="inlineStr">
        <is>
          <t>기준점</t>
        </is>
      </c>
      <c r="I96" s="38" t="inlineStr">
        <is>
          <t>방위표지</t>
        </is>
      </c>
      <c r="J96" s="39" t="n"/>
      <c r="K96" s="39" t="n"/>
      <c r="L96" s="35">
        <f>IF(COUNT(J96:K96)=2,ABS(ABS(K96-J96)-200),"")</f>
        <v/>
      </c>
      <c r="M96" s="39" t="n"/>
      <c r="N96" s="35">
        <f>IF(ISNUMBER(M96),M96*0.9,"")</f>
        <v/>
      </c>
      <c r="O96" s="35">
        <f>IF(ISNUMBER(M96),MOD(M96*0.9+180,360),"")</f>
        <v/>
      </c>
      <c r="P96" s="29" t="n"/>
      <c r="Q96" s="30" t="n"/>
      <c r="R96" s="30" t="n"/>
      <c r="S96" s="31">
        <f>IF(AND(ISNUMBER(M96),ISNUMBER(R96)),(M96*0.9-R96)*3600,"")</f>
        <v/>
      </c>
      <c r="T96" s="29" t="n"/>
    </row>
    <row r="97">
      <c r="A97" s="26" t="inlineStr">
        <is>
          <t>S47</t>
        </is>
      </c>
      <c r="B97" s="26" t="inlineStr">
        <is>
          <t>S47-M1</t>
        </is>
      </c>
      <c r="C97" s="26" t="inlineStr">
        <is>
          <t>봉평</t>
        </is>
      </c>
      <c r="D97" s="26" t="inlineStr">
        <is>
          <t>방위표지1</t>
        </is>
      </c>
      <c r="E97" s="26" t="n"/>
      <c r="F97" s="26" t="n"/>
      <c r="G97" s="29" t="n"/>
      <c r="H97" s="38" t="inlineStr">
        <is>
          <t>기준점</t>
        </is>
      </c>
      <c r="I97" s="38" t="inlineStr">
        <is>
          <t>방위표지</t>
        </is>
      </c>
      <c r="J97" s="39" t="n"/>
      <c r="K97" s="39" t="n"/>
      <c r="L97" s="35">
        <f>IF(COUNT(J97:K97)=2,ABS(ABS(K97-J97)-200),"")</f>
        <v/>
      </c>
      <c r="M97" s="39" t="n"/>
      <c r="N97" s="35">
        <f>IF(ISNUMBER(M97),M97*0.9,"")</f>
        <v/>
      </c>
      <c r="O97" s="35">
        <f>IF(ISNUMBER(M97),MOD(M97*0.9+180,360),"")</f>
        <v/>
      </c>
      <c r="P97" s="29" t="n"/>
      <c r="Q97" s="30" t="n"/>
      <c r="R97" s="30" t="n"/>
      <c r="S97" s="31">
        <f>IF(AND(ISNUMBER(M97),ISNUMBER(R97)),(M97*0.9-R97)*3600,"")</f>
        <v/>
      </c>
      <c r="T97" s="29" t="n"/>
    </row>
    <row r="98">
      <c r="A98" s="26" t="inlineStr">
        <is>
          <t>S47</t>
        </is>
      </c>
      <c r="B98" s="26" t="inlineStr">
        <is>
          <t>S47-M2</t>
        </is>
      </c>
      <c r="C98" s="26" t="inlineStr">
        <is>
          <t>봉평</t>
        </is>
      </c>
      <c r="D98" s="26" t="inlineStr">
        <is>
          <t>방위표지2</t>
        </is>
      </c>
      <c r="E98" s="26" t="n"/>
      <c r="F98" s="26" t="n"/>
      <c r="G98" s="29" t="n"/>
      <c r="H98" s="38" t="inlineStr">
        <is>
          <t>기준점</t>
        </is>
      </c>
      <c r="I98" s="38" t="inlineStr">
        <is>
          <t>방위표지</t>
        </is>
      </c>
      <c r="J98" s="39" t="n"/>
      <c r="K98" s="39" t="n"/>
      <c r="L98" s="35">
        <f>IF(COUNT(J98:K98)=2,ABS(ABS(K98-J98)-200),"")</f>
        <v/>
      </c>
      <c r="M98" s="39" t="n"/>
      <c r="N98" s="35">
        <f>IF(ISNUMBER(M98),M98*0.9,"")</f>
        <v/>
      </c>
      <c r="O98" s="35">
        <f>IF(ISNUMBER(M98),MOD(M98*0.9+180,360),"")</f>
        <v/>
      </c>
      <c r="P98" s="29" t="n"/>
      <c r="Q98" s="30" t="n"/>
      <c r="R98" s="30" t="n"/>
      <c r="S98" s="31">
        <f>IF(AND(ISNUMBER(M98),ISNUMBER(R98)),(M98*0.9-R98)*3600,"")</f>
        <v/>
      </c>
      <c r="T98" s="29" t="n"/>
    </row>
    <row r="99">
      <c r="A99" s="26" t="inlineStr">
        <is>
          <t>S48</t>
        </is>
      </c>
      <c r="B99" s="26" t="inlineStr">
        <is>
          <t>S48-M1</t>
        </is>
      </c>
      <c r="C99" s="26" t="inlineStr">
        <is>
          <t>삼척</t>
        </is>
      </c>
      <c r="D99" s="26" t="inlineStr">
        <is>
          <t>방위표지1</t>
        </is>
      </c>
      <c r="E99" s="26" t="n"/>
      <c r="F99" s="26" t="n"/>
      <c r="G99" s="29" t="n"/>
      <c r="H99" s="38" t="inlineStr">
        <is>
          <t>기준점</t>
        </is>
      </c>
      <c r="I99" s="38" t="inlineStr">
        <is>
          <t>방위표지</t>
        </is>
      </c>
      <c r="J99" s="39" t="n"/>
      <c r="K99" s="39" t="n"/>
      <c r="L99" s="35">
        <f>IF(COUNT(J99:K99)=2,ABS(ABS(K99-J99)-200),"")</f>
        <v/>
      </c>
      <c r="M99" s="39" t="n"/>
      <c r="N99" s="35">
        <f>IF(ISNUMBER(M99),M99*0.9,"")</f>
        <v/>
      </c>
      <c r="O99" s="35">
        <f>IF(ISNUMBER(M99),MOD(M99*0.9+180,360),"")</f>
        <v/>
      </c>
      <c r="P99" s="29" t="n"/>
      <c r="Q99" s="30" t="n"/>
      <c r="R99" s="30" t="n"/>
      <c r="S99" s="31">
        <f>IF(AND(ISNUMBER(M99),ISNUMBER(R99)),(M99*0.9-R99)*3600,"")</f>
        <v/>
      </c>
      <c r="T99" s="29" t="n"/>
    </row>
    <row r="100">
      <c r="A100" s="26" t="inlineStr">
        <is>
          <t>S48</t>
        </is>
      </c>
      <c r="B100" s="26" t="inlineStr">
        <is>
          <t>S48-M2</t>
        </is>
      </c>
      <c r="C100" s="26" t="inlineStr">
        <is>
          <t>삼척</t>
        </is>
      </c>
      <c r="D100" s="26" t="inlineStr">
        <is>
          <t>방위표지2</t>
        </is>
      </c>
      <c r="E100" s="26" t="n"/>
      <c r="F100" s="26" t="n"/>
      <c r="G100" s="29" t="n"/>
      <c r="H100" s="38" t="inlineStr">
        <is>
          <t>기준점</t>
        </is>
      </c>
      <c r="I100" s="38" t="inlineStr">
        <is>
          <t>방위표지</t>
        </is>
      </c>
      <c r="J100" s="39" t="n"/>
      <c r="K100" s="39" t="n"/>
      <c r="L100" s="35">
        <f>IF(COUNT(J100:K100)=2,ABS(ABS(K100-J100)-200),"")</f>
        <v/>
      </c>
      <c r="M100" s="39" t="n"/>
      <c r="N100" s="35">
        <f>IF(ISNUMBER(M100),M100*0.9,"")</f>
        <v/>
      </c>
      <c r="O100" s="35">
        <f>IF(ISNUMBER(M100),MOD(M100*0.9+180,360),"")</f>
        <v/>
      </c>
      <c r="P100" s="29" t="n"/>
      <c r="Q100" s="30" t="n"/>
      <c r="R100" s="30" t="n"/>
      <c r="S100" s="31">
        <f>IF(AND(ISNUMBER(M100),ISNUMBER(R100)),(M100*0.9-R100)*3600,"")</f>
        <v/>
      </c>
      <c r="T100" s="29" t="n"/>
    </row>
    <row r="101">
      <c r="A101" s="26" t="inlineStr">
        <is>
          <t>S49</t>
        </is>
      </c>
      <c r="B101" s="26" t="inlineStr">
        <is>
          <t>S49-M1</t>
        </is>
      </c>
      <c r="C101" s="26" t="inlineStr">
        <is>
          <t>제천</t>
        </is>
      </c>
      <c r="D101" s="26" t="inlineStr">
        <is>
          <t>방위표지1</t>
        </is>
      </c>
      <c r="E101" s="26" t="n"/>
      <c r="F101" s="26" t="n"/>
      <c r="G101" s="29" t="n"/>
      <c r="H101" s="38" t="inlineStr">
        <is>
          <t>기준점</t>
        </is>
      </c>
      <c r="I101" s="38" t="inlineStr">
        <is>
          <t>방위표지</t>
        </is>
      </c>
      <c r="J101" s="39" t="n"/>
      <c r="K101" s="39" t="n"/>
      <c r="L101" s="35">
        <f>IF(COUNT(J101:K101)=2,ABS(ABS(K101-J101)-200),"")</f>
        <v/>
      </c>
      <c r="M101" s="39" t="n"/>
      <c r="N101" s="35">
        <f>IF(ISNUMBER(M101),M101*0.9,"")</f>
        <v/>
      </c>
      <c r="O101" s="35">
        <f>IF(ISNUMBER(M101),MOD(M101*0.9+180,360),"")</f>
        <v/>
      </c>
      <c r="P101" s="29" t="n"/>
      <c r="Q101" s="30" t="n"/>
      <c r="R101" s="30" t="n"/>
      <c r="S101" s="31">
        <f>IF(AND(ISNUMBER(M101),ISNUMBER(R101)),(M101*0.9-R101)*3600,"")</f>
        <v/>
      </c>
      <c r="T101" s="29" t="n"/>
    </row>
    <row r="102">
      <c r="A102" s="26" t="inlineStr">
        <is>
          <t>S49</t>
        </is>
      </c>
      <c r="B102" s="26" t="inlineStr">
        <is>
          <t>S49-M2</t>
        </is>
      </c>
      <c r="C102" s="26" t="inlineStr">
        <is>
          <t>제천</t>
        </is>
      </c>
      <c r="D102" s="26" t="inlineStr">
        <is>
          <t>방위표지2</t>
        </is>
      </c>
      <c r="E102" s="26" t="n"/>
      <c r="F102" s="26" t="n"/>
      <c r="G102" s="29" t="n"/>
      <c r="H102" s="38" t="inlineStr">
        <is>
          <t>기준점</t>
        </is>
      </c>
      <c r="I102" s="38" t="inlineStr">
        <is>
          <t>방위표지</t>
        </is>
      </c>
      <c r="J102" s="39" t="n"/>
      <c r="K102" s="39" t="n"/>
      <c r="L102" s="35">
        <f>IF(COUNT(J102:K102)=2,ABS(ABS(K102-J102)-200),"")</f>
        <v/>
      </c>
      <c r="M102" s="39" t="n"/>
      <c r="N102" s="35">
        <f>IF(ISNUMBER(M102),M102*0.9,"")</f>
        <v/>
      </c>
      <c r="O102" s="35">
        <f>IF(ISNUMBER(M102),MOD(M102*0.9+180,360),"")</f>
        <v/>
      </c>
      <c r="P102" s="29" t="n"/>
      <c r="Q102" s="30" t="n"/>
      <c r="R102" s="30" t="n"/>
      <c r="S102" s="31">
        <f>IF(AND(ISNUMBER(M102),ISNUMBER(R102)),(M102*0.9-R102)*3600,"")</f>
        <v/>
      </c>
      <c r="T102" s="29" t="n"/>
    </row>
    <row r="103">
      <c r="A103" s="26" t="inlineStr">
        <is>
          <t>S50</t>
        </is>
      </c>
      <c r="B103" s="26" t="inlineStr">
        <is>
          <t>S50-M1</t>
        </is>
      </c>
      <c r="C103" s="26" t="inlineStr">
        <is>
          <t>함양</t>
        </is>
      </c>
      <c r="D103" s="26" t="inlineStr">
        <is>
          <t>방위표지1</t>
        </is>
      </c>
      <c r="E103" s="26" t="n"/>
      <c r="F103" s="26" t="n"/>
      <c r="G103" s="29" t="n"/>
      <c r="H103" s="38" t="inlineStr">
        <is>
          <t>기준점</t>
        </is>
      </c>
      <c r="I103" s="38" t="inlineStr">
        <is>
          <t>방위표지</t>
        </is>
      </c>
      <c r="J103" s="39" t="n"/>
      <c r="K103" s="39" t="n"/>
      <c r="L103" s="35">
        <f>IF(COUNT(J103:K103)=2,ABS(ABS(K103-J103)-200),"")</f>
        <v/>
      </c>
      <c r="M103" s="39" t="n"/>
      <c r="N103" s="35">
        <f>IF(ISNUMBER(M103),M103*0.9,"")</f>
        <v/>
      </c>
      <c r="O103" s="35">
        <f>IF(ISNUMBER(M103),MOD(M103*0.9+180,360),"")</f>
        <v/>
      </c>
      <c r="P103" s="29" t="n"/>
      <c r="Q103" s="30" t="n"/>
      <c r="R103" s="30" t="n"/>
      <c r="S103" s="31">
        <f>IF(AND(ISNUMBER(M103),ISNUMBER(R103)),(M103*0.9-R103)*3600,"")</f>
        <v/>
      </c>
      <c r="T103" s="29" t="n"/>
    </row>
    <row r="104">
      <c r="A104" s="26" t="inlineStr">
        <is>
          <t>S50</t>
        </is>
      </c>
      <c r="B104" s="26" t="inlineStr">
        <is>
          <t>S50-M2</t>
        </is>
      </c>
      <c r="C104" s="26" t="inlineStr">
        <is>
          <t>함양</t>
        </is>
      </c>
      <c r="D104" s="26" t="inlineStr">
        <is>
          <t>방위표지2</t>
        </is>
      </c>
      <c r="E104" s="26" t="n"/>
      <c r="F104" s="26" t="n"/>
      <c r="G104" s="29" t="n"/>
      <c r="H104" s="38" t="inlineStr">
        <is>
          <t>기준점</t>
        </is>
      </c>
      <c r="I104" s="38" t="inlineStr">
        <is>
          <t>방위표지</t>
        </is>
      </c>
      <c r="J104" s="39" t="n"/>
      <c r="K104" s="39" t="n"/>
      <c r="L104" s="35">
        <f>IF(COUNT(J104:K104)=2,ABS(ABS(K104-J104)-200),"")</f>
        <v/>
      </c>
      <c r="M104" s="39" t="n"/>
      <c r="N104" s="35">
        <f>IF(ISNUMBER(M104),M104*0.9,"")</f>
        <v/>
      </c>
      <c r="O104" s="35">
        <f>IF(ISNUMBER(M104),MOD(M104*0.9+180,360),"")</f>
        <v/>
      </c>
      <c r="P104" s="29" t="n"/>
      <c r="Q104" s="30" t="n"/>
      <c r="R104" s="30" t="n"/>
      <c r="S104" s="31">
        <f>IF(AND(ISNUMBER(M104),ISNUMBER(R104)),(M104*0.9-R104)*3600,"")</f>
        <v/>
      </c>
      <c r="T104" s="29" t="n"/>
    </row>
  </sheetData>
  <mergeCells count="3">
    <mergeCell ref="A1:T1"/>
    <mergeCell ref="A3:T3"/>
    <mergeCell ref="A2:T2"/>
  </mergeCells>
  <dataValidations count="2">
    <dataValidation sqref="P5:P104" showDropDown="0" showInputMessage="0" showErrorMessage="0" allowBlank="1" type="list">
      <formula1>"천문관측,자이로,RTK 장기선,좌표계산,기존 성과 인용,PENDING"</formula1>
    </dataValidation>
    <dataValidation sqref="L5:L104" showDropDown="0" showInputMessage="0" showErrorMessage="1" allowBlank="1" errorTitle="예상 범위 밖" error="마크 폐합차가 0.02 gon(약 65″)을 넘는다. 시준 재확인." type="decimal" errorStyle="warning" operator="between">
      <formula1>0</formula1>
      <formula2>0.02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6" customWidth="1" min="10" max="10"/>
  </cols>
  <sheetData>
    <row r="1" ht="26" customHeight="1">
      <c r="A1" s="1" t="inlineStr">
        <is>
          <t>관측 장비 · 검교정 이력</t>
        </is>
      </c>
    </row>
    <row r="2" ht="33" customHeight="1">
      <c r="A2" s="2" t="inlineStr">
        <is>
          <t>검교정 주기는 KOLAS-G-008 고시(국가표준기본법 §14) 기준이다. 성적서 번호와 유효기간을 적지 않으면 그 관측의 신뢰성을 사후에 입증할 수 없다.</t>
        </is>
      </c>
    </row>
    <row r="3" ht="33" customHeight="1">
      <c r="A3" s="3" t="inlineStr">
        <is>
          <t>⚠ 이동 자력계는 GSM-19T **1대**가 전제다. 두 번째 PPM 을 요구하는 절차(교차배치 등)는 «2대 확보 시에만» 수행하며 미확보 시 NOT APPLICABLE 로 남긴다.</t>
        </is>
      </c>
    </row>
    <row r="4">
      <c r="A4" s="4" t="inlineStr">
        <is>
          <t>■ 보유 장비 (원 자료 31면)</t>
        </is>
      </c>
    </row>
    <row r="5" ht="36" customHeight="1">
      <c r="A5" s="9" t="inlineStr">
        <is>
          <t>구분</t>
        </is>
      </c>
      <c r="B5" s="9" t="inlineStr">
        <is>
          <t>모델</t>
        </is>
      </c>
      <c r="C5" s="9" t="inlineStr">
        <is>
          <t>용도</t>
        </is>
      </c>
      <c r="D5" s="9" t="inlineStr">
        <is>
          <t>유의사항</t>
        </is>
      </c>
      <c r="E5" s="9" t="inlineStr">
        <is>
          <t>기기번호</t>
        </is>
      </c>
      <c r="F5" s="9" t="inlineStr">
        <is>
          <t>검정일</t>
        </is>
      </c>
      <c r="G5" s="9" t="inlineStr">
        <is>
          <t>유효기간</t>
        </is>
      </c>
      <c r="H5" s="9" t="inlineStr">
        <is>
          <t>검정기관</t>
        </is>
      </c>
      <c r="I5" s="9" t="inlineStr">
        <is>
          <t>성적서 번호</t>
        </is>
      </c>
      <c r="J5" s="9" t="inlineStr">
        <is>
          <t>시험 탐사 범위</t>
        </is>
      </c>
    </row>
    <row r="6" ht="32" customHeight="1">
      <c r="A6" s="26" t="inlineStr">
        <is>
          <t>오버하우저</t>
        </is>
      </c>
      <c r="B6" s="26" t="inlineStr">
        <is>
          <t>GSM-19T</t>
        </is>
      </c>
      <c r="C6" s="40" t="inlineStr">
        <is>
          <t>전자력(F) 측정 · 자기구배 확인</t>
        </is>
      </c>
      <c r="D6" s="40" t="inlineStr">
        <is>
          <t>한국표준과학연구원(KRISS)</t>
        </is>
      </c>
      <c r="E6" s="29" t="n"/>
      <c r="F6" s="33" t="n"/>
      <c r="G6" s="33" t="n"/>
      <c r="H6" s="29" t="n"/>
      <c r="I6" s="29" t="n"/>
      <c r="J6" s="40" t="inlineStr">
        <is>
          <t>시험 탐사 투입</t>
        </is>
      </c>
    </row>
    <row r="7" ht="32" customHeight="1">
      <c r="A7" s="26" t="inlineStr">
        <is>
          <t>이동식 Variometer</t>
        </is>
      </c>
      <c r="B7" s="26" t="inlineStr"/>
      <c r="C7" s="40" t="inlineStr">
        <is>
          <t>측량기간 중 자기장 시간변화 연속기록</t>
        </is>
      </c>
      <c r="D7" s="40" t="inlineStr">
        <is>
          <t>P0 선형보간의 선형성을 검증할 유일한 수단</t>
        </is>
      </c>
      <c r="E7" s="29" t="n"/>
      <c r="F7" s="33" t="n"/>
      <c r="G7" s="33" t="n"/>
      <c r="H7" s="29" t="n"/>
      <c r="I7" s="29" t="n"/>
      <c r="J7" s="40" t="inlineStr">
        <is>
          <t>시험 탐사 투입</t>
        </is>
      </c>
    </row>
    <row r="8" ht="32" customHeight="1">
      <c r="A8" s="26" t="inlineStr">
        <is>
          <t>GNSS 수신기</t>
        </is>
      </c>
      <c r="B8" s="26" t="inlineStr"/>
      <c r="C8" s="40" t="inlineStr">
        <is>
          <t>좌표·방위각 확인</t>
        </is>
      </c>
      <c r="D8" s="40" t="inlineStr"/>
      <c r="E8" s="29" t="n"/>
      <c r="F8" s="33" t="n"/>
      <c r="G8" s="33" t="n"/>
      <c r="H8" s="29" t="n"/>
      <c r="I8" s="29" t="n"/>
      <c r="J8" s="40" t="inlineStr">
        <is>
          <t>시험 탐사 투입</t>
        </is>
      </c>
    </row>
    <row r="9" ht="32" customHeight="1">
      <c r="A9" s="26" t="inlineStr">
        <is>
          <t>DI-flux</t>
        </is>
      </c>
      <c r="B9" s="26" t="inlineStr">
        <is>
          <t>MinGeo 010B</t>
        </is>
      </c>
      <c r="C9" s="40" t="inlineStr">
        <is>
          <t>편각(D)·복각(I) 절대관측</t>
        </is>
      </c>
      <c r="D9" s="40" t="inlineStr">
        <is>
          <t>제조사(헝가리) — 해외 발송 장기화·예비장비 부재 시 측정 공백</t>
        </is>
      </c>
      <c r="E9" s="29" t="n"/>
      <c r="F9" s="33" t="n"/>
      <c r="G9" s="33" t="n"/>
      <c r="H9" s="29" t="n"/>
      <c r="I9" s="29" t="n"/>
      <c r="J9" s="23" t="inlineStr">
        <is>
          <t>범위 밖 — 절대관측 단계</t>
        </is>
      </c>
    </row>
    <row r="11">
      <c r="A11" s="4" t="inlineStr">
        <is>
          <t>■ 검교정 주기 — KOLAS-G-008 고시 · 국가표준기본법 §14</t>
        </is>
      </c>
    </row>
    <row r="12" ht="36" customHeight="1">
      <c r="A12" s="9" t="inlineStr">
        <is>
          <t>장비 분류</t>
        </is>
      </c>
      <c r="B12" s="9" t="inlineStr">
        <is>
          <t>분류번호</t>
        </is>
      </c>
      <c r="C12" s="9" t="inlineStr">
        <is>
          <t>주기</t>
        </is>
      </c>
      <c r="D12" s="9" t="inlineStr">
        <is>
          <t>적용 기기번호</t>
        </is>
      </c>
      <c r="E12" s="9" t="inlineStr">
        <is>
          <t>직전 검정일</t>
        </is>
      </c>
      <c r="F12" s="9" t="inlineStr">
        <is>
          <t>다음 예정일</t>
        </is>
      </c>
      <c r="G12" s="9" t="inlineStr">
        <is>
          <t>상태</t>
        </is>
      </c>
      <c r="H12" s="9" t="inlineStr"/>
      <c r="I12" s="9" t="inlineStr"/>
      <c r="J12" s="9" t="inlineStr"/>
    </row>
    <row r="13">
      <c r="A13" s="26" t="inlineStr">
        <is>
          <t>저자기장 측정기</t>
        </is>
      </c>
      <c r="B13" s="26" t="inlineStr">
        <is>
          <t>404505</t>
        </is>
      </c>
      <c r="C13" s="26" t="inlineStr">
        <is>
          <t>1년</t>
        </is>
      </c>
      <c r="D13" s="29" t="n"/>
      <c r="E13" s="33" t="n"/>
      <c r="F13" s="33" t="n"/>
      <c r="G13" s="29" t="n"/>
    </row>
    <row r="14">
      <c r="A14" s="26" t="inlineStr">
        <is>
          <t>마그네토미터</t>
        </is>
      </c>
      <c r="B14" s="26" t="inlineStr">
        <is>
          <t>404508</t>
        </is>
      </c>
      <c r="C14" s="26" t="inlineStr">
        <is>
          <t>1년</t>
        </is>
      </c>
      <c r="D14" s="29" t="n"/>
      <c r="E14" s="33" t="n"/>
      <c r="F14" s="33" t="n"/>
      <c r="G14" s="29" t="n"/>
    </row>
    <row r="15">
      <c r="A15" s="26" t="inlineStr">
        <is>
          <t>데오도라이트·트랜지트</t>
        </is>
      </c>
      <c r="B15" s="26" t="inlineStr">
        <is>
          <t>10321</t>
        </is>
      </c>
      <c r="C15" s="26" t="inlineStr">
        <is>
          <t>2년</t>
        </is>
      </c>
      <c r="D15" s="29" t="n"/>
      <c r="E15" s="33" t="n"/>
      <c r="F15" s="33" t="n"/>
      <c r="G15" s="29" t="n"/>
    </row>
  </sheetData>
  <mergeCells count="5">
    <mergeCell ref="A1:J1"/>
    <mergeCell ref="A3:J3"/>
    <mergeCell ref="A4:J4"/>
    <mergeCell ref="A2:J2"/>
    <mergeCell ref="A11:J11"/>
  </mergeCells>
  <dataValidations count="1">
    <dataValidation sqref="G13:G15" showDropDown="0" showInputMessage="0" showErrorMessage="0" allowBlank="1" type="list">
      <formula1>"유효,만료 임박,만료,PENDING"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1" customWidth="1" min="5" max="5"/>
    <col width="15" customWidth="1" min="6" max="6"/>
    <col width="18" customWidth="1" min="7" max="7"/>
    <col width="12" customWidth="1" min="8" max="8"/>
    <col width="11" customWidth="1" min="9" max="9"/>
    <col width="11" customWidth="1" min="10" max="10"/>
    <col width="11" customWidth="1" min="11" max="11"/>
    <col width="19" customWidth="1" min="12" max="12"/>
    <col width="19" customWidth="1" min="13" max="13"/>
    <col width="20" customWidth="1" min="14" max="14"/>
    <col width="18" customWidth="1" min="15" max="15"/>
    <col width="12" customWidth="1" min="16" max="16"/>
  </cols>
  <sheetData>
    <row r="1" ht="26" customHeight="1">
      <c r="A1" s="1" t="inlineStr">
        <is>
          <t>관측 조건 · 이동식 Variometer 연속기록</t>
        </is>
      </c>
    </row>
    <row r="2" ht="47" customHeight="1">
      <c r="A2" s="3" t="inlineStr">
        <is>
          <t>P0 를 앞뒤로 재어 그 사이를 직선으로 잇는 방식은, 재는 동안 중심점 자기장이 고르게 변했다고 «가정»하는 것입니다. 양 끝 두 점만 가지고는 중간에 휘었는지, 순간적으로 튀었는지를 알아낼 방법이 없습니다. Variometer 로 연속기록을 남겨야 그 가정이 맞았는지 확인할 수 있어서, 연속기록이 없는 세트는 ⑬에서 「선형성 미검증」으로 따로 표시합니다.</t>
        </is>
      </c>
    </row>
    <row r="3" ht="61" customHeight="1">
      <c r="A3" s="2" t="inlineStr">
        <is>
          <t>최근접 상시관측소는 중앙 101 km · 최대 229 km(거제)이고, 그 거리에서 「외부장이 전역 균일」 근사가 깨짐을 이 프로젝트가 실증했다. 관측 조건: [절대관측 단계 — 이번 범위 밖] 일변화가 안정적인 야간 시간대에 절대관측 수행 / 우주기상 예보와 Kp 지수를 «기록»한다 — 배제 기준은 아직 없다 / 현장측량 기간 동안 이동식 Variometer 연속관측 / 자기교란이 뚜렷하면 그 구간을 빼거나 다시 잰다 (판단 기준은 파일럿에서 확정) / 타 기관 상시관측자료와 교차검증 / [시험 탐사] **야간 관측은 하지 않는다**. 개시·중단 조건은 미확정</t>
        </is>
      </c>
    </row>
    <row r="4" ht="36" customHeight="1">
      <c r="A4" s="8" t="inlineStr">
        <is>
          <t>Site ID</t>
        </is>
      </c>
      <c r="B4" s="8" t="inlineStr">
        <is>
          <t>Visit ID</t>
        </is>
      </c>
      <c r="C4" s="9" t="inlineStr">
        <is>
          <t>관측일자</t>
        </is>
      </c>
      <c r="D4" s="9" t="inlineStr">
        <is>
          <t>야간 관측 여부</t>
        </is>
      </c>
      <c r="E4" s="9" t="inlineStr">
        <is>
          <t>Kp 확인값</t>
        </is>
      </c>
      <c r="F4" s="9" t="inlineStr">
        <is>
          <t>우주기상 예보 확인</t>
        </is>
      </c>
      <c r="G4" s="8" t="inlineStr">
        <is>
          <t>Variometer 파일 ID</t>
        </is>
      </c>
      <c r="H4" s="9" t="inlineStr">
        <is>
          <t>위치 ID</t>
        </is>
      </c>
      <c r="I4" s="9" t="inlineStr">
        <is>
          <t>위도</t>
        </is>
      </c>
      <c r="J4" s="9" t="inlineStr">
        <is>
          <t>경도</t>
        </is>
      </c>
      <c r="K4" s="9" t="inlineStr">
        <is>
          <t>기록 간격(s)</t>
        </is>
      </c>
      <c r="L4" s="9" t="inlineStr">
        <is>
          <t>기록 시작(KST)</t>
        </is>
      </c>
      <c r="M4" s="9" t="inlineStr">
        <is>
          <t>기록 종료(KST)</t>
        </is>
      </c>
      <c r="N4" s="9" t="inlineStr">
        <is>
          <t>자료공백 구간</t>
        </is>
      </c>
      <c r="O4" s="9" t="inlineStr">
        <is>
          <t>시계 동기 방법</t>
        </is>
      </c>
      <c r="P4" s="9" t="inlineStr">
        <is>
          <t>동기 오차(s)</t>
        </is>
      </c>
    </row>
    <row r="5">
      <c r="A5" s="29" t="n"/>
      <c r="B5" s="29" t="n"/>
      <c r="C5" s="33" t="n"/>
      <c r="D5" s="29" t="n"/>
      <c r="E5" s="41" t="n"/>
      <c r="F5" s="29" t="n"/>
      <c r="G5" s="29" t="n"/>
      <c r="H5" s="29" t="n"/>
      <c r="I5" s="28" t="n"/>
      <c r="J5" s="28" t="n"/>
      <c r="K5" s="42" t="n"/>
      <c r="L5" s="43" t="n"/>
      <c r="M5" s="43" t="n"/>
      <c r="N5" s="29" t="n"/>
      <c r="O5" s="29" t="n"/>
      <c r="P5" s="41" t="n"/>
    </row>
    <row r="6">
      <c r="A6" s="29" t="n"/>
      <c r="B6" s="29" t="n"/>
      <c r="C6" s="33" t="n"/>
      <c r="D6" s="29" t="n"/>
      <c r="E6" s="41" t="n"/>
      <c r="F6" s="29" t="n"/>
      <c r="G6" s="29" t="n"/>
      <c r="H6" s="29" t="n"/>
      <c r="I6" s="28" t="n"/>
      <c r="J6" s="28" t="n"/>
      <c r="K6" s="42" t="n"/>
      <c r="L6" s="43" t="n"/>
      <c r="M6" s="43" t="n"/>
      <c r="N6" s="29" t="n"/>
      <c r="O6" s="29" t="n"/>
      <c r="P6" s="41" t="n"/>
    </row>
    <row r="7">
      <c r="A7" s="29" t="n"/>
      <c r="B7" s="29" t="n"/>
      <c r="C7" s="33" t="n"/>
      <c r="D7" s="29" t="n"/>
      <c r="E7" s="41" t="n"/>
      <c r="F7" s="29" t="n"/>
      <c r="G7" s="29" t="n"/>
      <c r="H7" s="29" t="n"/>
      <c r="I7" s="28" t="n"/>
      <c r="J7" s="28" t="n"/>
      <c r="K7" s="42" t="n"/>
      <c r="L7" s="43" t="n"/>
      <c r="M7" s="43" t="n"/>
      <c r="N7" s="29" t="n"/>
      <c r="O7" s="29" t="n"/>
      <c r="P7" s="41" t="n"/>
    </row>
    <row r="8">
      <c r="A8" s="29" t="n"/>
      <c r="B8" s="29" t="n"/>
      <c r="C8" s="33" t="n"/>
      <c r="D8" s="29" t="n"/>
      <c r="E8" s="41" t="n"/>
      <c r="F8" s="29" t="n"/>
      <c r="G8" s="29" t="n"/>
      <c r="H8" s="29" t="n"/>
      <c r="I8" s="28" t="n"/>
      <c r="J8" s="28" t="n"/>
      <c r="K8" s="42" t="n"/>
      <c r="L8" s="43" t="n"/>
      <c r="M8" s="43" t="n"/>
      <c r="N8" s="29" t="n"/>
      <c r="O8" s="29" t="n"/>
      <c r="P8" s="41" t="n"/>
    </row>
    <row r="9">
      <c r="A9" s="29" t="n"/>
      <c r="B9" s="29" t="n"/>
      <c r="C9" s="33" t="n"/>
      <c r="D9" s="29" t="n"/>
      <c r="E9" s="41" t="n"/>
      <c r="F9" s="29" t="n"/>
      <c r="G9" s="29" t="n"/>
      <c r="H9" s="29" t="n"/>
      <c r="I9" s="28" t="n"/>
      <c r="J9" s="28" t="n"/>
      <c r="K9" s="42" t="n"/>
      <c r="L9" s="43" t="n"/>
      <c r="M9" s="43" t="n"/>
      <c r="N9" s="29" t="n"/>
      <c r="O9" s="29" t="n"/>
      <c r="P9" s="41" t="n"/>
    </row>
    <row r="10">
      <c r="A10" s="29" t="n"/>
      <c r="B10" s="29" t="n"/>
      <c r="C10" s="33" t="n"/>
      <c r="D10" s="29" t="n"/>
      <c r="E10" s="41" t="n"/>
      <c r="F10" s="29" t="n"/>
      <c r="G10" s="29" t="n"/>
      <c r="H10" s="29" t="n"/>
      <c r="I10" s="28" t="n"/>
      <c r="J10" s="28" t="n"/>
      <c r="K10" s="42" t="n"/>
      <c r="L10" s="43" t="n"/>
      <c r="M10" s="43" t="n"/>
      <c r="N10" s="29" t="n"/>
      <c r="O10" s="29" t="n"/>
      <c r="P10" s="41" t="n"/>
    </row>
    <row r="11">
      <c r="A11" s="29" t="n"/>
      <c r="B11" s="29" t="n"/>
      <c r="C11" s="33" t="n"/>
      <c r="D11" s="29" t="n"/>
      <c r="E11" s="41" t="n"/>
      <c r="F11" s="29" t="n"/>
      <c r="G11" s="29" t="n"/>
      <c r="H11" s="29" t="n"/>
      <c r="I11" s="28" t="n"/>
      <c r="J11" s="28" t="n"/>
      <c r="K11" s="42" t="n"/>
      <c r="L11" s="43" t="n"/>
      <c r="M11" s="43" t="n"/>
      <c r="N11" s="29" t="n"/>
      <c r="O11" s="29" t="n"/>
      <c r="P11" s="41" t="n"/>
    </row>
    <row r="12">
      <c r="A12" s="29" t="n"/>
      <c r="B12" s="29" t="n"/>
      <c r="C12" s="33" t="n"/>
      <c r="D12" s="29" t="n"/>
      <c r="E12" s="41" t="n"/>
      <c r="F12" s="29" t="n"/>
      <c r="G12" s="29" t="n"/>
      <c r="H12" s="29" t="n"/>
      <c r="I12" s="28" t="n"/>
      <c r="J12" s="28" t="n"/>
      <c r="K12" s="42" t="n"/>
      <c r="L12" s="43" t="n"/>
      <c r="M12" s="43" t="n"/>
      <c r="N12" s="29" t="n"/>
      <c r="O12" s="29" t="n"/>
      <c r="P12" s="41" t="n"/>
    </row>
    <row r="13">
      <c r="A13" s="29" t="n"/>
      <c r="B13" s="29" t="n"/>
      <c r="C13" s="33" t="n"/>
      <c r="D13" s="29" t="n"/>
      <c r="E13" s="41" t="n"/>
      <c r="F13" s="29" t="n"/>
      <c r="G13" s="29" t="n"/>
      <c r="H13" s="29" t="n"/>
      <c r="I13" s="28" t="n"/>
      <c r="J13" s="28" t="n"/>
      <c r="K13" s="42" t="n"/>
      <c r="L13" s="43" t="n"/>
      <c r="M13" s="43" t="n"/>
      <c r="N13" s="29" t="n"/>
      <c r="O13" s="29" t="n"/>
      <c r="P13" s="41" t="n"/>
    </row>
    <row r="14">
      <c r="A14" s="29" t="n"/>
      <c r="B14" s="29" t="n"/>
      <c r="C14" s="33" t="n"/>
      <c r="D14" s="29" t="n"/>
      <c r="E14" s="41" t="n"/>
      <c r="F14" s="29" t="n"/>
      <c r="G14" s="29" t="n"/>
      <c r="H14" s="29" t="n"/>
      <c r="I14" s="28" t="n"/>
      <c r="J14" s="28" t="n"/>
      <c r="K14" s="42" t="n"/>
      <c r="L14" s="43" t="n"/>
      <c r="M14" s="43" t="n"/>
      <c r="N14" s="29" t="n"/>
      <c r="O14" s="29" t="n"/>
      <c r="P14" s="41" t="n"/>
    </row>
    <row r="15">
      <c r="A15" s="29" t="n"/>
      <c r="B15" s="29" t="n"/>
      <c r="C15" s="33" t="n"/>
      <c r="D15" s="29" t="n"/>
      <c r="E15" s="41" t="n"/>
      <c r="F15" s="29" t="n"/>
      <c r="G15" s="29" t="n"/>
      <c r="H15" s="29" t="n"/>
      <c r="I15" s="28" t="n"/>
      <c r="J15" s="28" t="n"/>
      <c r="K15" s="42" t="n"/>
      <c r="L15" s="43" t="n"/>
      <c r="M15" s="43" t="n"/>
      <c r="N15" s="29" t="n"/>
      <c r="O15" s="29" t="n"/>
      <c r="P15" s="41" t="n"/>
    </row>
    <row r="16">
      <c r="A16" s="29" t="n"/>
      <c r="B16" s="29" t="n"/>
      <c r="C16" s="33" t="n"/>
      <c r="D16" s="29" t="n"/>
      <c r="E16" s="41" t="n"/>
      <c r="F16" s="29" t="n"/>
      <c r="G16" s="29" t="n"/>
      <c r="H16" s="29" t="n"/>
      <c r="I16" s="28" t="n"/>
      <c r="J16" s="28" t="n"/>
      <c r="K16" s="42" t="n"/>
      <c r="L16" s="43" t="n"/>
      <c r="M16" s="43" t="n"/>
      <c r="N16" s="29" t="n"/>
      <c r="O16" s="29" t="n"/>
      <c r="P16" s="41" t="n"/>
    </row>
    <row r="17">
      <c r="A17" s="29" t="n"/>
      <c r="B17" s="29" t="n"/>
      <c r="C17" s="33" t="n"/>
      <c r="D17" s="29" t="n"/>
      <c r="E17" s="41" t="n"/>
      <c r="F17" s="29" t="n"/>
      <c r="G17" s="29" t="n"/>
      <c r="H17" s="29" t="n"/>
      <c r="I17" s="28" t="n"/>
      <c r="J17" s="28" t="n"/>
      <c r="K17" s="42" t="n"/>
      <c r="L17" s="43" t="n"/>
      <c r="M17" s="43" t="n"/>
      <c r="N17" s="29" t="n"/>
      <c r="O17" s="29" t="n"/>
      <c r="P17" s="41" t="n"/>
    </row>
    <row r="18">
      <c r="A18" s="29" t="n"/>
      <c r="B18" s="29" t="n"/>
      <c r="C18" s="33" t="n"/>
      <c r="D18" s="29" t="n"/>
      <c r="E18" s="41" t="n"/>
      <c r="F18" s="29" t="n"/>
      <c r="G18" s="29" t="n"/>
      <c r="H18" s="29" t="n"/>
      <c r="I18" s="28" t="n"/>
      <c r="J18" s="28" t="n"/>
      <c r="K18" s="42" t="n"/>
      <c r="L18" s="43" t="n"/>
      <c r="M18" s="43" t="n"/>
      <c r="N18" s="29" t="n"/>
      <c r="O18" s="29" t="n"/>
      <c r="P18" s="41" t="n"/>
    </row>
    <row r="19">
      <c r="A19" s="29" t="n"/>
      <c r="B19" s="29" t="n"/>
      <c r="C19" s="33" t="n"/>
      <c r="D19" s="29" t="n"/>
      <c r="E19" s="41" t="n"/>
      <c r="F19" s="29" t="n"/>
      <c r="G19" s="29" t="n"/>
      <c r="H19" s="29" t="n"/>
      <c r="I19" s="28" t="n"/>
      <c r="J19" s="28" t="n"/>
      <c r="K19" s="42" t="n"/>
      <c r="L19" s="43" t="n"/>
      <c r="M19" s="43" t="n"/>
      <c r="N19" s="29" t="n"/>
      <c r="O19" s="29" t="n"/>
      <c r="P19" s="41" t="n"/>
    </row>
    <row r="20">
      <c r="A20" s="29" t="n"/>
      <c r="B20" s="29" t="n"/>
      <c r="C20" s="33" t="n"/>
      <c r="D20" s="29" t="n"/>
      <c r="E20" s="41" t="n"/>
      <c r="F20" s="29" t="n"/>
      <c r="G20" s="29" t="n"/>
      <c r="H20" s="29" t="n"/>
      <c r="I20" s="28" t="n"/>
      <c r="J20" s="28" t="n"/>
      <c r="K20" s="42" t="n"/>
      <c r="L20" s="43" t="n"/>
      <c r="M20" s="43" t="n"/>
      <c r="N20" s="29" t="n"/>
      <c r="O20" s="29" t="n"/>
      <c r="P20" s="41" t="n"/>
    </row>
    <row r="21">
      <c r="A21" s="29" t="n"/>
      <c r="B21" s="29" t="n"/>
      <c r="C21" s="33" t="n"/>
      <c r="D21" s="29" t="n"/>
      <c r="E21" s="41" t="n"/>
      <c r="F21" s="29" t="n"/>
      <c r="G21" s="29" t="n"/>
      <c r="H21" s="29" t="n"/>
      <c r="I21" s="28" t="n"/>
      <c r="J21" s="28" t="n"/>
      <c r="K21" s="42" t="n"/>
      <c r="L21" s="43" t="n"/>
      <c r="M21" s="43" t="n"/>
      <c r="N21" s="29" t="n"/>
      <c r="O21" s="29" t="n"/>
      <c r="P21" s="41" t="n"/>
    </row>
    <row r="22">
      <c r="A22" s="29" t="n"/>
      <c r="B22" s="29" t="n"/>
      <c r="C22" s="33" t="n"/>
      <c r="D22" s="29" t="n"/>
      <c r="E22" s="41" t="n"/>
      <c r="F22" s="29" t="n"/>
      <c r="G22" s="29" t="n"/>
      <c r="H22" s="29" t="n"/>
      <c r="I22" s="28" t="n"/>
      <c r="J22" s="28" t="n"/>
      <c r="K22" s="42" t="n"/>
      <c r="L22" s="43" t="n"/>
      <c r="M22" s="43" t="n"/>
      <c r="N22" s="29" t="n"/>
      <c r="O22" s="29" t="n"/>
      <c r="P22" s="41" t="n"/>
    </row>
    <row r="23">
      <c r="A23" s="29" t="n"/>
      <c r="B23" s="29" t="n"/>
      <c r="C23" s="33" t="n"/>
      <c r="D23" s="29" t="n"/>
      <c r="E23" s="41" t="n"/>
      <c r="F23" s="29" t="n"/>
      <c r="G23" s="29" t="n"/>
      <c r="H23" s="29" t="n"/>
      <c r="I23" s="28" t="n"/>
      <c r="J23" s="28" t="n"/>
      <c r="K23" s="42" t="n"/>
      <c r="L23" s="43" t="n"/>
      <c r="M23" s="43" t="n"/>
      <c r="N23" s="29" t="n"/>
      <c r="O23" s="29" t="n"/>
      <c r="P23" s="41" t="n"/>
    </row>
    <row r="24">
      <c r="A24" s="29" t="n"/>
      <c r="B24" s="29" t="n"/>
      <c r="C24" s="33" t="n"/>
      <c r="D24" s="29" t="n"/>
      <c r="E24" s="41" t="n"/>
      <c r="F24" s="29" t="n"/>
      <c r="G24" s="29" t="n"/>
      <c r="H24" s="29" t="n"/>
      <c r="I24" s="28" t="n"/>
      <c r="J24" s="28" t="n"/>
      <c r="K24" s="42" t="n"/>
      <c r="L24" s="43" t="n"/>
      <c r="M24" s="43" t="n"/>
      <c r="N24" s="29" t="n"/>
      <c r="O24" s="29" t="n"/>
      <c r="P24" s="41" t="n"/>
    </row>
    <row r="25">
      <c r="A25" s="29" t="n"/>
      <c r="B25" s="29" t="n"/>
      <c r="C25" s="33" t="n"/>
      <c r="D25" s="29" t="n"/>
      <c r="E25" s="41" t="n"/>
      <c r="F25" s="29" t="n"/>
      <c r="G25" s="29" t="n"/>
      <c r="H25" s="29" t="n"/>
      <c r="I25" s="28" t="n"/>
      <c r="J25" s="28" t="n"/>
      <c r="K25" s="42" t="n"/>
      <c r="L25" s="43" t="n"/>
      <c r="M25" s="43" t="n"/>
      <c r="N25" s="29" t="n"/>
      <c r="O25" s="29" t="n"/>
      <c r="P25" s="41" t="n"/>
    </row>
    <row r="26">
      <c r="A26" s="29" t="n"/>
      <c r="B26" s="29" t="n"/>
      <c r="C26" s="33" t="n"/>
      <c r="D26" s="29" t="n"/>
      <c r="E26" s="41" t="n"/>
      <c r="F26" s="29" t="n"/>
      <c r="G26" s="29" t="n"/>
      <c r="H26" s="29" t="n"/>
      <c r="I26" s="28" t="n"/>
      <c r="J26" s="28" t="n"/>
      <c r="K26" s="42" t="n"/>
      <c r="L26" s="43" t="n"/>
      <c r="M26" s="43" t="n"/>
      <c r="N26" s="29" t="n"/>
      <c r="O26" s="29" t="n"/>
      <c r="P26" s="41" t="n"/>
    </row>
    <row r="27">
      <c r="A27" s="29" t="n"/>
      <c r="B27" s="29" t="n"/>
      <c r="C27" s="33" t="n"/>
      <c r="D27" s="29" t="n"/>
      <c r="E27" s="41" t="n"/>
      <c r="F27" s="29" t="n"/>
      <c r="G27" s="29" t="n"/>
      <c r="H27" s="29" t="n"/>
      <c r="I27" s="28" t="n"/>
      <c r="J27" s="28" t="n"/>
      <c r="K27" s="42" t="n"/>
      <c r="L27" s="43" t="n"/>
      <c r="M27" s="43" t="n"/>
      <c r="N27" s="29" t="n"/>
      <c r="O27" s="29" t="n"/>
      <c r="P27" s="41" t="n"/>
    </row>
    <row r="28">
      <c r="A28" s="29" t="n"/>
      <c r="B28" s="29" t="n"/>
      <c r="C28" s="33" t="n"/>
      <c r="D28" s="29" t="n"/>
      <c r="E28" s="41" t="n"/>
      <c r="F28" s="29" t="n"/>
      <c r="G28" s="29" t="n"/>
      <c r="H28" s="29" t="n"/>
      <c r="I28" s="28" t="n"/>
      <c r="J28" s="28" t="n"/>
      <c r="K28" s="42" t="n"/>
      <c r="L28" s="43" t="n"/>
      <c r="M28" s="43" t="n"/>
      <c r="N28" s="29" t="n"/>
      <c r="O28" s="29" t="n"/>
      <c r="P28" s="41" t="n"/>
    </row>
    <row r="29">
      <c r="A29" s="29" t="n"/>
      <c r="B29" s="29" t="n"/>
      <c r="C29" s="33" t="n"/>
      <c r="D29" s="29" t="n"/>
      <c r="E29" s="41" t="n"/>
      <c r="F29" s="29" t="n"/>
      <c r="G29" s="29" t="n"/>
      <c r="H29" s="29" t="n"/>
      <c r="I29" s="28" t="n"/>
      <c r="J29" s="28" t="n"/>
      <c r="K29" s="42" t="n"/>
      <c r="L29" s="43" t="n"/>
      <c r="M29" s="43" t="n"/>
      <c r="N29" s="29" t="n"/>
      <c r="O29" s="29" t="n"/>
      <c r="P29" s="41" t="n"/>
    </row>
    <row r="30">
      <c r="A30" s="29" t="n"/>
      <c r="B30" s="29" t="n"/>
      <c r="C30" s="33" t="n"/>
      <c r="D30" s="29" t="n"/>
      <c r="E30" s="41" t="n"/>
      <c r="F30" s="29" t="n"/>
      <c r="G30" s="29" t="n"/>
      <c r="H30" s="29" t="n"/>
      <c r="I30" s="28" t="n"/>
      <c r="J30" s="28" t="n"/>
      <c r="K30" s="42" t="n"/>
      <c r="L30" s="43" t="n"/>
      <c r="M30" s="43" t="n"/>
      <c r="N30" s="29" t="n"/>
      <c r="O30" s="29" t="n"/>
      <c r="P30" s="41" t="n"/>
    </row>
    <row r="31">
      <c r="A31" s="29" t="n"/>
      <c r="B31" s="29" t="n"/>
      <c r="C31" s="33" t="n"/>
      <c r="D31" s="29" t="n"/>
      <c r="E31" s="41" t="n"/>
      <c r="F31" s="29" t="n"/>
      <c r="G31" s="29" t="n"/>
      <c r="H31" s="29" t="n"/>
      <c r="I31" s="28" t="n"/>
      <c r="J31" s="28" t="n"/>
      <c r="K31" s="42" t="n"/>
      <c r="L31" s="43" t="n"/>
      <c r="M31" s="43" t="n"/>
      <c r="N31" s="29" t="n"/>
      <c r="O31" s="29" t="n"/>
      <c r="P31" s="41" t="n"/>
    </row>
    <row r="32">
      <c r="A32" s="29" t="n"/>
      <c r="B32" s="29" t="n"/>
      <c r="C32" s="33" t="n"/>
      <c r="D32" s="29" t="n"/>
      <c r="E32" s="41" t="n"/>
      <c r="F32" s="29" t="n"/>
      <c r="G32" s="29" t="n"/>
      <c r="H32" s="29" t="n"/>
      <c r="I32" s="28" t="n"/>
      <c r="J32" s="28" t="n"/>
      <c r="K32" s="42" t="n"/>
      <c r="L32" s="43" t="n"/>
      <c r="M32" s="43" t="n"/>
      <c r="N32" s="29" t="n"/>
      <c r="O32" s="29" t="n"/>
      <c r="P32" s="41" t="n"/>
    </row>
    <row r="33">
      <c r="A33" s="29" t="n"/>
      <c r="B33" s="29" t="n"/>
      <c r="C33" s="33" t="n"/>
      <c r="D33" s="29" t="n"/>
      <c r="E33" s="41" t="n"/>
      <c r="F33" s="29" t="n"/>
      <c r="G33" s="29" t="n"/>
      <c r="H33" s="29" t="n"/>
      <c r="I33" s="28" t="n"/>
      <c r="J33" s="28" t="n"/>
      <c r="K33" s="42" t="n"/>
      <c r="L33" s="43" t="n"/>
      <c r="M33" s="43" t="n"/>
      <c r="N33" s="29" t="n"/>
      <c r="O33" s="29" t="n"/>
      <c r="P33" s="41" t="n"/>
    </row>
    <row r="34">
      <c r="A34" s="29" t="n"/>
      <c r="B34" s="29" t="n"/>
      <c r="C34" s="33" t="n"/>
      <c r="D34" s="29" t="n"/>
      <c r="E34" s="41" t="n"/>
      <c r="F34" s="29" t="n"/>
      <c r="G34" s="29" t="n"/>
      <c r="H34" s="29" t="n"/>
      <c r="I34" s="28" t="n"/>
      <c r="J34" s="28" t="n"/>
      <c r="K34" s="42" t="n"/>
      <c r="L34" s="43" t="n"/>
      <c r="M34" s="43" t="n"/>
      <c r="N34" s="29" t="n"/>
      <c r="O34" s="29" t="n"/>
      <c r="P34" s="41" t="n"/>
    </row>
    <row r="35">
      <c r="A35" s="29" t="n"/>
      <c r="B35" s="29" t="n"/>
      <c r="C35" s="33" t="n"/>
      <c r="D35" s="29" t="n"/>
      <c r="E35" s="41" t="n"/>
      <c r="F35" s="29" t="n"/>
      <c r="G35" s="29" t="n"/>
      <c r="H35" s="29" t="n"/>
      <c r="I35" s="28" t="n"/>
      <c r="J35" s="28" t="n"/>
      <c r="K35" s="42" t="n"/>
      <c r="L35" s="43" t="n"/>
      <c r="M35" s="43" t="n"/>
      <c r="N35" s="29" t="n"/>
      <c r="O35" s="29" t="n"/>
      <c r="P35" s="41" t="n"/>
    </row>
    <row r="36">
      <c r="A36" s="29" t="n"/>
      <c r="B36" s="29" t="n"/>
      <c r="C36" s="33" t="n"/>
      <c r="D36" s="29" t="n"/>
      <c r="E36" s="41" t="n"/>
      <c r="F36" s="29" t="n"/>
      <c r="G36" s="29" t="n"/>
      <c r="H36" s="29" t="n"/>
      <c r="I36" s="28" t="n"/>
      <c r="J36" s="28" t="n"/>
      <c r="K36" s="42" t="n"/>
      <c r="L36" s="43" t="n"/>
      <c r="M36" s="43" t="n"/>
      <c r="N36" s="29" t="n"/>
      <c r="O36" s="29" t="n"/>
      <c r="P36" s="41" t="n"/>
    </row>
    <row r="37">
      <c r="A37" s="29" t="n"/>
      <c r="B37" s="29" t="n"/>
      <c r="C37" s="33" t="n"/>
      <c r="D37" s="29" t="n"/>
      <c r="E37" s="41" t="n"/>
      <c r="F37" s="29" t="n"/>
      <c r="G37" s="29" t="n"/>
      <c r="H37" s="29" t="n"/>
      <c r="I37" s="28" t="n"/>
      <c r="J37" s="28" t="n"/>
      <c r="K37" s="42" t="n"/>
      <c r="L37" s="43" t="n"/>
      <c r="M37" s="43" t="n"/>
      <c r="N37" s="29" t="n"/>
      <c r="O37" s="29" t="n"/>
      <c r="P37" s="41" t="n"/>
    </row>
    <row r="38">
      <c r="A38" s="29" t="n"/>
      <c r="B38" s="29" t="n"/>
      <c r="C38" s="33" t="n"/>
      <c r="D38" s="29" t="n"/>
      <c r="E38" s="41" t="n"/>
      <c r="F38" s="29" t="n"/>
      <c r="G38" s="29" t="n"/>
      <c r="H38" s="29" t="n"/>
      <c r="I38" s="28" t="n"/>
      <c r="J38" s="28" t="n"/>
      <c r="K38" s="42" t="n"/>
      <c r="L38" s="43" t="n"/>
      <c r="M38" s="43" t="n"/>
      <c r="N38" s="29" t="n"/>
      <c r="O38" s="29" t="n"/>
      <c r="P38" s="41" t="n"/>
    </row>
    <row r="39">
      <c r="A39" s="29" t="n"/>
      <c r="B39" s="29" t="n"/>
      <c r="C39" s="33" t="n"/>
      <c r="D39" s="29" t="n"/>
      <c r="E39" s="41" t="n"/>
      <c r="F39" s="29" t="n"/>
      <c r="G39" s="29" t="n"/>
      <c r="H39" s="29" t="n"/>
      <c r="I39" s="28" t="n"/>
      <c r="J39" s="28" t="n"/>
      <c r="K39" s="42" t="n"/>
      <c r="L39" s="43" t="n"/>
      <c r="M39" s="43" t="n"/>
      <c r="N39" s="29" t="n"/>
      <c r="O39" s="29" t="n"/>
      <c r="P39" s="41" t="n"/>
    </row>
    <row r="40">
      <c r="A40" s="29" t="n"/>
      <c r="B40" s="29" t="n"/>
      <c r="C40" s="33" t="n"/>
      <c r="D40" s="29" t="n"/>
      <c r="E40" s="41" t="n"/>
      <c r="F40" s="29" t="n"/>
      <c r="G40" s="29" t="n"/>
      <c r="H40" s="29" t="n"/>
      <c r="I40" s="28" t="n"/>
      <c r="J40" s="28" t="n"/>
      <c r="K40" s="42" t="n"/>
      <c r="L40" s="43" t="n"/>
      <c r="M40" s="43" t="n"/>
      <c r="N40" s="29" t="n"/>
      <c r="O40" s="29" t="n"/>
      <c r="P40" s="41" t="n"/>
    </row>
    <row r="41">
      <c r="A41" s="29" t="n"/>
      <c r="B41" s="29" t="n"/>
      <c r="C41" s="33" t="n"/>
      <c r="D41" s="29" t="n"/>
      <c r="E41" s="41" t="n"/>
      <c r="F41" s="29" t="n"/>
      <c r="G41" s="29" t="n"/>
      <c r="H41" s="29" t="n"/>
      <c r="I41" s="28" t="n"/>
      <c r="J41" s="28" t="n"/>
      <c r="K41" s="42" t="n"/>
      <c r="L41" s="43" t="n"/>
      <c r="M41" s="43" t="n"/>
      <c r="N41" s="29" t="n"/>
      <c r="O41" s="29" t="n"/>
      <c r="P41" s="41" t="n"/>
    </row>
    <row r="42">
      <c r="A42" s="29" t="n"/>
      <c r="B42" s="29" t="n"/>
      <c r="C42" s="33" t="n"/>
      <c r="D42" s="29" t="n"/>
      <c r="E42" s="41" t="n"/>
      <c r="F42" s="29" t="n"/>
      <c r="G42" s="29" t="n"/>
      <c r="H42" s="29" t="n"/>
      <c r="I42" s="28" t="n"/>
      <c r="J42" s="28" t="n"/>
      <c r="K42" s="42" t="n"/>
      <c r="L42" s="43" t="n"/>
      <c r="M42" s="43" t="n"/>
      <c r="N42" s="29" t="n"/>
      <c r="O42" s="29" t="n"/>
      <c r="P42" s="41" t="n"/>
    </row>
    <row r="43">
      <c r="A43" s="29" t="n"/>
      <c r="B43" s="29" t="n"/>
      <c r="C43" s="33" t="n"/>
      <c r="D43" s="29" t="n"/>
      <c r="E43" s="41" t="n"/>
      <c r="F43" s="29" t="n"/>
      <c r="G43" s="29" t="n"/>
      <c r="H43" s="29" t="n"/>
      <c r="I43" s="28" t="n"/>
      <c r="J43" s="28" t="n"/>
      <c r="K43" s="42" t="n"/>
      <c r="L43" s="43" t="n"/>
      <c r="M43" s="43" t="n"/>
      <c r="N43" s="29" t="n"/>
      <c r="O43" s="29" t="n"/>
      <c r="P43" s="41" t="n"/>
    </row>
    <row r="44">
      <c r="A44" s="29" t="n"/>
      <c r="B44" s="29" t="n"/>
      <c r="C44" s="33" t="n"/>
      <c r="D44" s="29" t="n"/>
      <c r="E44" s="41" t="n"/>
      <c r="F44" s="29" t="n"/>
      <c r="G44" s="29" t="n"/>
      <c r="H44" s="29" t="n"/>
      <c r="I44" s="28" t="n"/>
      <c r="J44" s="28" t="n"/>
      <c r="K44" s="42" t="n"/>
      <c r="L44" s="43" t="n"/>
      <c r="M44" s="43" t="n"/>
      <c r="N44" s="29" t="n"/>
      <c r="O44" s="29" t="n"/>
      <c r="P44" s="41" t="n"/>
    </row>
    <row r="45">
      <c r="A45" s="29" t="n"/>
      <c r="B45" s="29" t="n"/>
      <c r="C45" s="33" t="n"/>
      <c r="D45" s="29" t="n"/>
      <c r="E45" s="41" t="n"/>
      <c r="F45" s="29" t="n"/>
      <c r="G45" s="29" t="n"/>
      <c r="H45" s="29" t="n"/>
      <c r="I45" s="28" t="n"/>
      <c r="J45" s="28" t="n"/>
      <c r="K45" s="42" t="n"/>
      <c r="L45" s="43" t="n"/>
      <c r="M45" s="43" t="n"/>
      <c r="N45" s="29" t="n"/>
      <c r="O45" s="29" t="n"/>
      <c r="P45" s="41" t="n"/>
    </row>
    <row r="46">
      <c r="A46" s="29" t="n"/>
      <c r="B46" s="29" t="n"/>
      <c r="C46" s="33" t="n"/>
      <c r="D46" s="29" t="n"/>
      <c r="E46" s="41" t="n"/>
      <c r="F46" s="29" t="n"/>
      <c r="G46" s="29" t="n"/>
      <c r="H46" s="29" t="n"/>
      <c r="I46" s="28" t="n"/>
      <c r="J46" s="28" t="n"/>
      <c r="K46" s="42" t="n"/>
      <c r="L46" s="43" t="n"/>
      <c r="M46" s="43" t="n"/>
      <c r="N46" s="29" t="n"/>
      <c r="O46" s="29" t="n"/>
      <c r="P46" s="41" t="n"/>
    </row>
    <row r="47">
      <c r="A47" s="29" t="n"/>
      <c r="B47" s="29" t="n"/>
      <c r="C47" s="33" t="n"/>
      <c r="D47" s="29" t="n"/>
      <c r="E47" s="41" t="n"/>
      <c r="F47" s="29" t="n"/>
      <c r="G47" s="29" t="n"/>
      <c r="H47" s="29" t="n"/>
      <c r="I47" s="28" t="n"/>
      <c r="J47" s="28" t="n"/>
      <c r="K47" s="42" t="n"/>
      <c r="L47" s="43" t="n"/>
      <c r="M47" s="43" t="n"/>
      <c r="N47" s="29" t="n"/>
      <c r="O47" s="29" t="n"/>
      <c r="P47" s="41" t="n"/>
    </row>
    <row r="48">
      <c r="A48" s="29" t="n"/>
      <c r="B48" s="29" t="n"/>
      <c r="C48" s="33" t="n"/>
      <c r="D48" s="29" t="n"/>
      <c r="E48" s="41" t="n"/>
      <c r="F48" s="29" t="n"/>
      <c r="G48" s="29" t="n"/>
      <c r="H48" s="29" t="n"/>
      <c r="I48" s="28" t="n"/>
      <c r="J48" s="28" t="n"/>
      <c r="K48" s="42" t="n"/>
      <c r="L48" s="43" t="n"/>
      <c r="M48" s="43" t="n"/>
      <c r="N48" s="29" t="n"/>
      <c r="O48" s="29" t="n"/>
      <c r="P48" s="41" t="n"/>
    </row>
    <row r="49">
      <c r="A49" s="29" t="n"/>
      <c r="B49" s="29" t="n"/>
      <c r="C49" s="33" t="n"/>
      <c r="D49" s="29" t="n"/>
      <c r="E49" s="41" t="n"/>
      <c r="F49" s="29" t="n"/>
      <c r="G49" s="29" t="n"/>
      <c r="H49" s="29" t="n"/>
      <c r="I49" s="28" t="n"/>
      <c r="J49" s="28" t="n"/>
      <c r="K49" s="42" t="n"/>
      <c r="L49" s="43" t="n"/>
      <c r="M49" s="43" t="n"/>
      <c r="N49" s="29" t="n"/>
      <c r="O49" s="29" t="n"/>
      <c r="P49" s="41" t="n"/>
    </row>
    <row r="50">
      <c r="A50" s="29" t="n"/>
      <c r="B50" s="29" t="n"/>
      <c r="C50" s="33" t="n"/>
      <c r="D50" s="29" t="n"/>
      <c r="E50" s="41" t="n"/>
      <c r="F50" s="29" t="n"/>
      <c r="G50" s="29" t="n"/>
      <c r="H50" s="29" t="n"/>
      <c r="I50" s="28" t="n"/>
      <c r="J50" s="28" t="n"/>
      <c r="K50" s="42" t="n"/>
      <c r="L50" s="43" t="n"/>
      <c r="M50" s="43" t="n"/>
      <c r="N50" s="29" t="n"/>
      <c r="O50" s="29" t="n"/>
      <c r="P50" s="41" t="n"/>
    </row>
    <row r="51">
      <c r="A51" s="29" t="n"/>
      <c r="B51" s="29" t="n"/>
      <c r="C51" s="33" t="n"/>
      <c r="D51" s="29" t="n"/>
      <c r="E51" s="41" t="n"/>
      <c r="F51" s="29" t="n"/>
      <c r="G51" s="29" t="n"/>
      <c r="H51" s="29" t="n"/>
      <c r="I51" s="28" t="n"/>
      <c r="J51" s="28" t="n"/>
      <c r="K51" s="42" t="n"/>
      <c r="L51" s="43" t="n"/>
      <c r="M51" s="43" t="n"/>
      <c r="N51" s="29" t="n"/>
      <c r="O51" s="29" t="n"/>
      <c r="P51" s="41" t="n"/>
    </row>
    <row r="52">
      <c r="A52" s="29" t="n"/>
      <c r="B52" s="29" t="n"/>
      <c r="C52" s="33" t="n"/>
      <c r="D52" s="29" t="n"/>
      <c r="E52" s="41" t="n"/>
      <c r="F52" s="29" t="n"/>
      <c r="G52" s="29" t="n"/>
      <c r="H52" s="29" t="n"/>
      <c r="I52" s="28" t="n"/>
      <c r="J52" s="28" t="n"/>
      <c r="K52" s="42" t="n"/>
      <c r="L52" s="43" t="n"/>
      <c r="M52" s="43" t="n"/>
      <c r="N52" s="29" t="n"/>
      <c r="O52" s="29" t="n"/>
      <c r="P52" s="41" t="n"/>
    </row>
    <row r="53">
      <c r="A53" s="29" t="n"/>
      <c r="B53" s="29" t="n"/>
      <c r="C53" s="33" t="n"/>
      <c r="D53" s="29" t="n"/>
      <c r="E53" s="41" t="n"/>
      <c r="F53" s="29" t="n"/>
      <c r="G53" s="29" t="n"/>
      <c r="H53" s="29" t="n"/>
      <c r="I53" s="28" t="n"/>
      <c r="J53" s="28" t="n"/>
      <c r="K53" s="42" t="n"/>
      <c r="L53" s="43" t="n"/>
      <c r="M53" s="43" t="n"/>
      <c r="N53" s="29" t="n"/>
      <c r="O53" s="29" t="n"/>
      <c r="P53" s="41" t="n"/>
    </row>
    <row r="54">
      <c r="A54" s="29" t="n"/>
      <c r="B54" s="29" t="n"/>
      <c r="C54" s="33" t="n"/>
      <c r="D54" s="29" t="n"/>
      <c r="E54" s="41" t="n"/>
      <c r="F54" s="29" t="n"/>
      <c r="G54" s="29" t="n"/>
      <c r="H54" s="29" t="n"/>
      <c r="I54" s="28" t="n"/>
      <c r="J54" s="28" t="n"/>
      <c r="K54" s="42" t="n"/>
      <c r="L54" s="43" t="n"/>
      <c r="M54" s="43" t="n"/>
      <c r="N54" s="29" t="n"/>
      <c r="O54" s="29" t="n"/>
      <c r="P54" s="41" t="n"/>
    </row>
    <row r="55">
      <c r="A55" s="29" t="n"/>
      <c r="B55" s="29" t="n"/>
      <c r="C55" s="33" t="n"/>
      <c r="D55" s="29" t="n"/>
      <c r="E55" s="41" t="n"/>
      <c r="F55" s="29" t="n"/>
      <c r="G55" s="29" t="n"/>
      <c r="H55" s="29" t="n"/>
      <c r="I55" s="28" t="n"/>
      <c r="J55" s="28" t="n"/>
      <c r="K55" s="42" t="n"/>
      <c r="L55" s="43" t="n"/>
      <c r="M55" s="43" t="n"/>
      <c r="N55" s="29" t="n"/>
      <c r="O55" s="29" t="n"/>
      <c r="P55" s="41" t="n"/>
    </row>
    <row r="56">
      <c r="A56" s="29" t="n"/>
      <c r="B56" s="29" t="n"/>
      <c r="C56" s="33" t="n"/>
      <c r="D56" s="29" t="n"/>
      <c r="E56" s="41" t="n"/>
      <c r="F56" s="29" t="n"/>
      <c r="G56" s="29" t="n"/>
      <c r="H56" s="29" t="n"/>
      <c r="I56" s="28" t="n"/>
      <c r="J56" s="28" t="n"/>
      <c r="K56" s="42" t="n"/>
      <c r="L56" s="43" t="n"/>
      <c r="M56" s="43" t="n"/>
      <c r="N56" s="29" t="n"/>
      <c r="O56" s="29" t="n"/>
      <c r="P56" s="41" t="n"/>
    </row>
    <row r="57">
      <c r="A57" s="29" t="n"/>
      <c r="B57" s="29" t="n"/>
      <c r="C57" s="33" t="n"/>
      <c r="D57" s="29" t="n"/>
      <c r="E57" s="41" t="n"/>
      <c r="F57" s="29" t="n"/>
      <c r="G57" s="29" t="n"/>
      <c r="H57" s="29" t="n"/>
      <c r="I57" s="28" t="n"/>
      <c r="J57" s="28" t="n"/>
      <c r="K57" s="42" t="n"/>
      <c r="L57" s="43" t="n"/>
      <c r="M57" s="43" t="n"/>
      <c r="N57" s="29" t="n"/>
      <c r="O57" s="29" t="n"/>
      <c r="P57" s="41" t="n"/>
    </row>
    <row r="58">
      <c r="A58" s="29" t="n"/>
      <c r="B58" s="29" t="n"/>
      <c r="C58" s="33" t="n"/>
      <c r="D58" s="29" t="n"/>
      <c r="E58" s="41" t="n"/>
      <c r="F58" s="29" t="n"/>
      <c r="G58" s="29" t="n"/>
      <c r="H58" s="29" t="n"/>
      <c r="I58" s="28" t="n"/>
      <c r="J58" s="28" t="n"/>
      <c r="K58" s="42" t="n"/>
      <c r="L58" s="43" t="n"/>
      <c r="M58" s="43" t="n"/>
      <c r="N58" s="29" t="n"/>
      <c r="O58" s="29" t="n"/>
      <c r="P58" s="41" t="n"/>
    </row>
    <row r="59">
      <c r="A59" s="29" t="n"/>
      <c r="B59" s="29" t="n"/>
      <c r="C59" s="33" t="n"/>
      <c r="D59" s="29" t="n"/>
      <c r="E59" s="41" t="n"/>
      <c r="F59" s="29" t="n"/>
      <c r="G59" s="29" t="n"/>
      <c r="H59" s="29" t="n"/>
      <c r="I59" s="28" t="n"/>
      <c r="J59" s="28" t="n"/>
      <c r="K59" s="42" t="n"/>
      <c r="L59" s="43" t="n"/>
      <c r="M59" s="43" t="n"/>
      <c r="N59" s="29" t="n"/>
      <c r="O59" s="29" t="n"/>
      <c r="P59" s="41" t="n"/>
    </row>
    <row r="60">
      <c r="A60" s="29" t="n"/>
      <c r="B60" s="29" t="n"/>
      <c r="C60" s="33" t="n"/>
      <c r="D60" s="29" t="n"/>
      <c r="E60" s="41" t="n"/>
      <c r="F60" s="29" t="n"/>
      <c r="G60" s="29" t="n"/>
      <c r="H60" s="29" t="n"/>
      <c r="I60" s="28" t="n"/>
      <c r="J60" s="28" t="n"/>
      <c r="K60" s="42" t="n"/>
      <c r="L60" s="43" t="n"/>
      <c r="M60" s="43" t="n"/>
      <c r="N60" s="29" t="n"/>
      <c r="O60" s="29" t="n"/>
      <c r="P60" s="41" t="n"/>
    </row>
    <row r="61">
      <c r="A61" s="29" t="n"/>
      <c r="B61" s="29" t="n"/>
      <c r="C61" s="33" t="n"/>
      <c r="D61" s="29" t="n"/>
      <c r="E61" s="41" t="n"/>
      <c r="F61" s="29" t="n"/>
      <c r="G61" s="29" t="n"/>
      <c r="H61" s="29" t="n"/>
      <c r="I61" s="28" t="n"/>
      <c r="J61" s="28" t="n"/>
      <c r="K61" s="42" t="n"/>
      <c r="L61" s="43" t="n"/>
      <c r="M61" s="43" t="n"/>
      <c r="N61" s="29" t="n"/>
      <c r="O61" s="29" t="n"/>
      <c r="P61" s="41" t="n"/>
    </row>
    <row r="62">
      <c r="A62" s="29" t="n"/>
      <c r="B62" s="29" t="n"/>
      <c r="C62" s="33" t="n"/>
      <c r="D62" s="29" t="n"/>
      <c r="E62" s="41" t="n"/>
      <c r="F62" s="29" t="n"/>
      <c r="G62" s="29" t="n"/>
      <c r="H62" s="29" t="n"/>
      <c r="I62" s="28" t="n"/>
      <c r="J62" s="28" t="n"/>
      <c r="K62" s="42" t="n"/>
      <c r="L62" s="43" t="n"/>
      <c r="M62" s="43" t="n"/>
      <c r="N62" s="29" t="n"/>
      <c r="O62" s="29" t="n"/>
      <c r="P62" s="41" t="n"/>
    </row>
    <row r="63">
      <c r="A63" s="29" t="n"/>
      <c r="B63" s="29" t="n"/>
      <c r="C63" s="33" t="n"/>
      <c r="D63" s="29" t="n"/>
      <c r="E63" s="41" t="n"/>
      <c r="F63" s="29" t="n"/>
      <c r="G63" s="29" t="n"/>
      <c r="H63" s="29" t="n"/>
      <c r="I63" s="28" t="n"/>
      <c r="J63" s="28" t="n"/>
      <c r="K63" s="42" t="n"/>
      <c r="L63" s="43" t="n"/>
      <c r="M63" s="43" t="n"/>
      <c r="N63" s="29" t="n"/>
      <c r="O63" s="29" t="n"/>
      <c r="P63" s="41" t="n"/>
    </row>
    <row r="64">
      <c r="A64" s="29" t="n"/>
      <c r="B64" s="29" t="n"/>
      <c r="C64" s="33" t="n"/>
      <c r="D64" s="29" t="n"/>
      <c r="E64" s="41" t="n"/>
      <c r="F64" s="29" t="n"/>
      <c r="G64" s="29" t="n"/>
      <c r="H64" s="29" t="n"/>
      <c r="I64" s="28" t="n"/>
      <c r="J64" s="28" t="n"/>
      <c r="K64" s="42" t="n"/>
      <c r="L64" s="43" t="n"/>
      <c r="M64" s="43" t="n"/>
      <c r="N64" s="29" t="n"/>
      <c r="O64" s="29" t="n"/>
      <c r="P64" s="41" t="n"/>
    </row>
    <row r="65">
      <c r="A65" s="29" t="n"/>
      <c r="B65" s="29" t="n"/>
      <c r="C65" s="33" t="n"/>
      <c r="D65" s="29" t="n"/>
      <c r="E65" s="41" t="n"/>
      <c r="F65" s="29" t="n"/>
      <c r="G65" s="29" t="n"/>
      <c r="H65" s="29" t="n"/>
      <c r="I65" s="28" t="n"/>
      <c r="J65" s="28" t="n"/>
      <c r="K65" s="42" t="n"/>
      <c r="L65" s="43" t="n"/>
      <c r="M65" s="43" t="n"/>
      <c r="N65" s="29" t="n"/>
      <c r="O65" s="29" t="n"/>
      <c r="P65" s="41" t="n"/>
    </row>
    <row r="66">
      <c r="A66" s="29" t="n"/>
      <c r="B66" s="29" t="n"/>
      <c r="C66" s="33" t="n"/>
      <c r="D66" s="29" t="n"/>
      <c r="E66" s="41" t="n"/>
      <c r="F66" s="29" t="n"/>
      <c r="G66" s="29" t="n"/>
      <c r="H66" s="29" t="n"/>
      <c r="I66" s="28" t="n"/>
      <c r="J66" s="28" t="n"/>
      <c r="K66" s="42" t="n"/>
      <c r="L66" s="43" t="n"/>
      <c r="M66" s="43" t="n"/>
      <c r="N66" s="29" t="n"/>
      <c r="O66" s="29" t="n"/>
      <c r="P66" s="41" t="n"/>
    </row>
    <row r="67">
      <c r="A67" s="29" t="n"/>
      <c r="B67" s="29" t="n"/>
      <c r="C67" s="33" t="n"/>
      <c r="D67" s="29" t="n"/>
      <c r="E67" s="41" t="n"/>
      <c r="F67" s="29" t="n"/>
      <c r="G67" s="29" t="n"/>
      <c r="H67" s="29" t="n"/>
      <c r="I67" s="28" t="n"/>
      <c r="J67" s="28" t="n"/>
      <c r="K67" s="42" t="n"/>
      <c r="L67" s="43" t="n"/>
      <c r="M67" s="43" t="n"/>
      <c r="N67" s="29" t="n"/>
      <c r="O67" s="29" t="n"/>
      <c r="P67" s="41" t="n"/>
    </row>
    <row r="68">
      <c r="A68" s="29" t="n"/>
      <c r="B68" s="29" t="n"/>
      <c r="C68" s="33" t="n"/>
      <c r="D68" s="29" t="n"/>
      <c r="E68" s="41" t="n"/>
      <c r="F68" s="29" t="n"/>
      <c r="G68" s="29" t="n"/>
      <c r="H68" s="29" t="n"/>
      <c r="I68" s="28" t="n"/>
      <c r="J68" s="28" t="n"/>
      <c r="K68" s="42" t="n"/>
      <c r="L68" s="43" t="n"/>
      <c r="M68" s="43" t="n"/>
      <c r="N68" s="29" t="n"/>
      <c r="O68" s="29" t="n"/>
      <c r="P68" s="41" t="n"/>
    </row>
    <row r="69">
      <c r="A69" s="29" t="n"/>
      <c r="B69" s="29" t="n"/>
      <c r="C69" s="33" t="n"/>
      <c r="D69" s="29" t="n"/>
      <c r="E69" s="41" t="n"/>
      <c r="F69" s="29" t="n"/>
      <c r="G69" s="29" t="n"/>
      <c r="H69" s="29" t="n"/>
      <c r="I69" s="28" t="n"/>
      <c r="J69" s="28" t="n"/>
      <c r="K69" s="42" t="n"/>
      <c r="L69" s="43" t="n"/>
      <c r="M69" s="43" t="n"/>
      <c r="N69" s="29" t="n"/>
      <c r="O69" s="29" t="n"/>
      <c r="P69" s="41" t="n"/>
    </row>
    <row r="70">
      <c r="A70" s="29" t="n"/>
      <c r="B70" s="29" t="n"/>
      <c r="C70" s="33" t="n"/>
      <c r="D70" s="29" t="n"/>
      <c r="E70" s="41" t="n"/>
      <c r="F70" s="29" t="n"/>
      <c r="G70" s="29" t="n"/>
      <c r="H70" s="29" t="n"/>
      <c r="I70" s="28" t="n"/>
      <c r="J70" s="28" t="n"/>
      <c r="K70" s="42" t="n"/>
      <c r="L70" s="43" t="n"/>
      <c r="M70" s="43" t="n"/>
      <c r="N70" s="29" t="n"/>
      <c r="O70" s="29" t="n"/>
      <c r="P70" s="41" t="n"/>
    </row>
    <row r="71">
      <c r="A71" s="29" t="n"/>
      <c r="B71" s="29" t="n"/>
      <c r="C71" s="33" t="n"/>
      <c r="D71" s="29" t="n"/>
      <c r="E71" s="41" t="n"/>
      <c r="F71" s="29" t="n"/>
      <c r="G71" s="29" t="n"/>
      <c r="H71" s="29" t="n"/>
      <c r="I71" s="28" t="n"/>
      <c r="J71" s="28" t="n"/>
      <c r="K71" s="42" t="n"/>
      <c r="L71" s="43" t="n"/>
      <c r="M71" s="43" t="n"/>
      <c r="N71" s="29" t="n"/>
      <c r="O71" s="29" t="n"/>
      <c r="P71" s="41" t="n"/>
    </row>
    <row r="72">
      <c r="A72" s="29" t="n"/>
      <c r="B72" s="29" t="n"/>
      <c r="C72" s="33" t="n"/>
      <c r="D72" s="29" t="n"/>
      <c r="E72" s="41" t="n"/>
      <c r="F72" s="29" t="n"/>
      <c r="G72" s="29" t="n"/>
      <c r="H72" s="29" t="n"/>
      <c r="I72" s="28" t="n"/>
      <c r="J72" s="28" t="n"/>
      <c r="K72" s="42" t="n"/>
      <c r="L72" s="43" t="n"/>
      <c r="M72" s="43" t="n"/>
      <c r="N72" s="29" t="n"/>
      <c r="O72" s="29" t="n"/>
      <c r="P72" s="41" t="n"/>
    </row>
    <row r="73">
      <c r="A73" s="29" t="n"/>
      <c r="B73" s="29" t="n"/>
      <c r="C73" s="33" t="n"/>
      <c r="D73" s="29" t="n"/>
      <c r="E73" s="41" t="n"/>
      <c r="F73" s="29" t="n"/>
      <c r="G73" s="29" t="n"/>
      <c r="H73" s="29" t="n"/>
      <c r="I73" s="28" t="n"/>
      <c r="J73" s="28" t="n"/>
      <c r="K73" s="42" t="n"/>
      <c r="L73" s="43" t="n"/>
      <c r="M73" s="43" t="n"/>
      <c r="N73" s="29" t="n"/>
      <c r="O73" s="29" t="n"/>
      <c r="P73" s="41" t="n"/>
    </row>
    <row r="74">
      <c r="A74" s="29" t="n"/>
      <c r="B74" s="29" t="n"/>
      <c r="C74" s="33" t="n"/>
      <c r="D74" s="29" t="n"/>
      <c r="E74" s="41" t="n"/>
      <c r="F74" s="29" t="n"/>
      <c r="G74" s="29" t="n"/>
      <c r="H74" s="29" t="n"/>
      <c r="I74" s="28" t="n"/>
      <c r="J74" s="28" t="n"/>
      <c r="K74" s="42" t="n"/>
      <c r="L74" s="43" t="n"/>
      <c r="M74" s="43" t="n"/>
      <c r="N74" s="29" t="n"/>
      <c r="O74" s="29" t="n"/>
      <c r="P74" s="41" t="n"/>
    </row>
    <row r="75">
      <c r="A75" s="29" t="n"/>
      <c r="B75" s="29" t="n"/>
      <c r="C75" s="33" t="n"/>
      <c r="D75" s="29" t="n"/>
      <c r="E75" s="41" t="n"/>
      <c r="F75" s="29" t="n"/>
      <c r="G75" s="29" t="n"/>
      <c r="H75" s="29" t="n"/>
      <c r="I75" s="28" t="n"/>
      <c r="J75" s="28" t="n"/>
      <c r="K75" s="42" t="n"/>
      <c r="L75" s="43" t="n"/>
      <c r="M75" s="43" t="n"/>
      <c r="N75" s="29" t="n"/>
      <c r="O75" s="29" t="n"/>
      <c r="P75" s="41" t="n"/>
    </row>
    <row r="76">
      <c r="A76" s="29" t="n"/>
      <c r="B76" s="29" t="n"/>
      <c r="C76" s="33" t="n"/>
      <c r="D76" s="29" t="n"/>
      <c r="E76" s="41" t="n"/>
      <c r="F76" s="29" t="n"/>
      <c r="G76" s="29" t="n"/>
      <c r="H76" s="29" t="n"/>
      <c r="I76" s="28" t="n"/>
      <c r="J76" s="28" t="n"/>
      <c r="K76" s="42" t="n"/>
      <c r="L76" s="43" t="n"/>
      <c r="M76" s="43" t="n"/>
      <c r="N76" s="29" t="n"/>
      <c r="O76" s="29" t="n"/>
      <c r="P76" s="41" t="n"/>
    </row>
    <row r="77">
      <c r="A77" s="29" t="n"/>
      <c r="B77" s="29" t="n"/>
      <c r="C77" s="33" t="n"/>
      <c r="D77" s="29" t="n"/>
      <c r="E77" s="41" t="n"/>
      <c r="F77" s="29" t="n"/>
      <c r="G77" s="29" t="n"/>
      <c r="H77" s="29" t="n"/>
      <c r="I77" s="28" t="n"/>
      <c r="J77" s="28" t="n"/>
      <c r="K77" s="42" t="n"/>
      <c r="L77" s="43" t="n"/>
      <c r="M77" s="43" t="n"/>
      <c r="N77" s="29" t="n"/>
      <c r="O77" s="29" t="n"/>
      <c r="P77" s="41" t="n"/>
    </row>
    <row r="78">
      <c r="A78" s="29" t="n"/>
      <c r="B78" s="29" t="n"/>
      <c r="C78" s="33" t="n"/>
      <c r="D78" s="29" t="n"/>
      <c r="E78" s="41" t="n"/>
      <c r="F78" s="29" t="n"/>
      <c r="G78" s="29" t="n"/>
      <c r="H78" s="29" t="n"/>
      <c r="I78" s="28" t="n"/>
      <c r="J78" s="28" t="n"/>
      <c r="K78" s="42" t="n"/>
      <c r="L78" s="43" t="n"/>
      <c r="M78" s="43" t="n"/>
      <c r="N78" s="29" t="n"/>
      <c r="O78" s="29" t="n"/>
      <c r="P78" s="41" t="n"/>
    </row>
    <row r="79">
      <c r="A79" s="29" t="n"/>
      <c r="B79" s="29" t="n"/>
      <c r="C79" s="33" t="n"/>
      <c r="D79" s="29" t="n"/>
      <c r="E79" s="41" t="n"/>
      <c r="F79" s="29" t="n"/>
      <c r="G79" s="29" t="n"/>
      <c r="H79" s="29" t="n"/>
      <c r="I79" s="28" t="n"/>
      <c r="J79" s="28" t="n"/>
      <c r="K79" s="42" t="n"/>
      <c r="L79" s="43" t="n"/>
      <c r="M79" s="43" t="n"/>
      <c r="N79" s="29" t="n"/>
      <c r="O79" s="29" t="n"/>
      <c r="P79" s="41" t="n"/>
    </row>
    <row r="80">
      <c r="A80" s="29" t="n"/>
      <c r="B80" s="29" t="n"/>
      <c r="C80" s="33" t="n"/>
      <c r="D80" s="29" t="n"/>
      <c r="E80" s="41" t="n"/>
      <c r="F80" s="29" t="n"/>
      <c r="G80" s="29" t="n"/>
      <c r="H80" s="29" t="n"/>
      <c r="I80" s="28" t="n"/>
      <c r="J80" s="28" t="n"/>
      <c r="K80" s="42" t="n"/>
      <c r="L80" s="43" t="n"/>
      <c r="M80" s="43" t="n"/>
      <c r="N80" s="29" t="n"/>
      <c r="O80" s="29" t="n"/>
      <c r="P80" s="41" t="n"/>
    </row>
    <row r="81">
      <c r="A81" s="29" t="n"/>
      <c r="B81" s="29" t="n"/>
      <c r="C81" s="33" t="n"/>
      <c r="D81" s="29" t="n"/>
      <c r="E81" s="41" t="n"/>
      <c r="F81" s="29" t="n"/>
      <c r="G81" s="29" t="n"/>
      <c r="H81" s="29" t="n"/>
      <c r="I81" s="28" t="n"/>
      <c r="J81" s="28" t="n"/>
      <c r="K81" s="42" t="n"/>
      <c r="L81" s="43" t="n"/>
      <c r="M81" s="43" t="n"/>
      <c r="N81" s="29" t="n"/>
      <c r="O81" s="29" t="n"/>
      <c r="P81" s="41" t="n"/>
    </row>
    <row r="82">
      <c r="A82" s="29" t="n"/>
      <c r="B82" s="29" t="n"/>
      <c r="C82" s="33" t="n"/>
      <c r="D82" s="29" t="n"/>
      <c r="E82" s="41" t="n"/>
      <c r="F82" s="29" t="n"/>
      <c r="G82" s="29" t="n"/>
      <c r="H82" s="29" t="n"/>
      <c r="I82" s="28" t="n"/>
      <c r="J82" s="28" t="n"/>
      <c r="K82" s="42" t="n"/>
      <c r="L82" s="43" t="n"/>
      <c r="M82" s="43" t="n"/>
      <c r="N82" s="29" t="n"/>
      <c r="O82" s="29" t="n"/>
      <c r="P82" s="41" t="n"/>
    </row>
    <row r="83">
      <c r="A83" s="29" t="n"/>
      <c r="B83" s="29" t="n"/>
      <c r="C83" s="33" t="n"/>
      <c r="D83" s="29" t="n"/>
      <c r="E83" s="41" t="n"/>
      <c r="F83" s="29" t="n"/>
      <c r="G83" s="29" t="n"/>
      <c r="H83" s="29" t="n"/>
      <c r="I83" s="28" t="n"/>
      <c r="J83" s="28" t="n"/>
      <c r="K83" s="42" t="n"/>
      <c r="L83" s="43" t="n"/>
      <c r="M83" s="43" t="n"/>
      <c r="N83" s="29" t="n"/>
      <c r="O83" s="29" t="n"/>
      <c r="P83" s="41" t="n"/>
    </row>
    <row r="84">
      <c r="A84" s="29" t="n"/>
      <c r="B84" s="29" t="n"/>
      <c r="C84" s="33" t="n"/>
      <c r="D84" s="29" t="n"/>
      <c r="E84" s="41" t="n"/>
      <c r="F84" s="29" t="n"/>
      <c r="G84" s="29" t="n"/>
      <c r="H84" s="29" t="n"/>
      <c r="I84" s="28" t="n"/>
      <c r="J84" s="28" t="n"/>
      <c r="K84" s="42" t="n"/>
      <c r="L84" s="43" t="n"/>
      <c r="M84" s="43" t="n"/>
      <c r="N84" s="29" t="n"/>
      <c r="O84" s="29" t="n"/>
      <c r="P84" s="41" t="n"/>
    </row>
  </sheetData>
  <mergeCells count="3">
    <mergeCell ref="A1:P1"/>
    <mergeCell ref="A3:P3"/>
    <mergeCell ref="A2:P2"/>
  </mergeCells>
  <dataValidations count="3">
    <dataValidation sqref="D5:D84" showDropDown="0" showInputMessage="0" showErrorMessage="0" allowBlank="1" type="list">
      <formula1>"야간,주간,혼합"</formula1>
    </dataValidation>
    <dataValidation sqref="F5:F84" showDropDown="0" showInputMessage="0" showErrorMessage="0" allowBlank="1" type="list">
      <formula1>"확인 — 정온,확인 — 교란 예보,미확인"</formula1>
    </dataValidation>
    <dataValidation sqref="O5:O84" showDropDown="0" showInputMessage="0" showErrorMessage="0" allowBlank="1" type="list">
      <formula1>"GNSS 시각 동기,NTP 동기,수동 대조(오차 기록),미동기 — INVALID,NOT OBSERVED"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6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7" customWidth="1" min="4" max="4"/>
    <col width="10" customWidth="1" min="5" max="5"/>
    <col width="7" customWidth="1" min="6" max="6"/>
    <col width="10" customWidth="1" min="7" max="7"/>
    <col width="10" customWidth="1" min="8" max="8"/>
    <col width="19" customWidth="1" min="9" max="9"/>
    <col width="12" customWidth="1" min="10" max="10"/>
    <col width="11" customWidth="1" min="11" max="11"/>
    <col width="11" customWidth="1" min="12" max="12"/>
    <col width="11" customWidth="1" min="13" max="13"/>
    <col width="16" customWidth="1" min="14" max="14"/>
    <col width="17" customWidth="1" min="15" max="15"/>
    <col width="11" customWidth="1" min="16" max="16"/>
    <col width="17" customWidth="1" min="17" max="17"/>
    <col width="11" customWidth="1" min="18" max="18"/>
    <col width="12" customWidth="1" min="19" max="19"/>
    <col width="11" customWidth="1" min="20" max="20"/>
    <col width="13" customWidth="1" min="21" max="21"/>
    <col width="11" customWidth="1" min="22" max="22"/>
    <col width="13" customWidth="1" min="23" max="23"/>
    <col width="12" customWidth="1" min="24" max="24"/>
    <col width="11" customWidth="1" min="25" max="25"/>
    <col width="14" customWidth="1" min="26" max="26"/>
    <col width="13" customWidth="1" min="27" max="27"/>
    <col width="22" customWidth="1" min="28" max="28"/>
    <col width="24" customWidth="1" min="29" max="29"/>
  </cols>
  <sheetData>
    <row r="1" ht="26" customHeight="1">
      <c r="A1" s="1" t="inlineStr">
        <is>
          <t>수평 자기구배 — Guide for Magnetic Repeat Station Surveys §4.2 (IAGA, 1996)</t>
        </is>
      </c>
    </row>
    <row r="2" ht="33" customHeight="1">
      <c r="A2" s="2" t="inlineStr">
        <is>
          <t>P0 → 방향별 측정 → P0 재측정. 한 방향 0.5, 1, 2, 3, 4, 5, 6, 7, 8, 9, 10 m 를 재고 동·서·남·북 네 방향을 반복한다. 방향마다 P0(전)·P0(후) 행이 따로 있고 그 둘의 «선형보간»으로 각 측정 시각의 중심점을 추정한다.</t>
        </is>
      </c>
    </row>
    <row r="3" ht="61" customHeight="1">
      <c r="A3" s="3" t="inlineStr">
        <is>
          <t>오른쪽 계산 칸은 「Set 검증」이 OK 로 나올 때만 값을 냅니다. 같은 Set ID·같은 차수 안에 유효한 P0 가 앞뒤로 각각 하나씩 있어야 하고 측정시각이 그 사이에 들어와야 하는데, 하나라도 어긋나면 숫자 대신 무엇이 잘못됐는지가 표시됩니다. ΔF 와 변화율은 부호를 그대로 두었고 절댓값은 옆 칸에 따로 두었습니다. 「중심점기준 변화율」은 중심점과 그 측점 사이의 평균 기울기이고 「인접구간 변화율」은 이웃한 두 측점 사이의 기울기라, 서로 다른 값이니 섞어 쓰지 마세요.</t>
        </is>
      </c>
    </row>
    <row r="4" ht="33" customHeight="1">
      <c r="A4" s="3" t="inlineStr">
        <is>
          <t>현장에서 그 방향을 다시 쟀다면 차수를 2, 3 으로 올려 «행을 새로 추가»해 주세요. 1차 행을 고쳐 쓰지 않는 것이 중요합니다. 차수를 비워 두고 같은 Set ID 로 행만 늘리면 P0 가 두 벌이 되어 1차 계산까지 함께 막힙니다.</t>
        </is>
      </c>
    </row>
    <row r="5" ht="36" customHeight="1">
      <c r="A5" s="8" t="inlineStr">
        <is>
          <t>Site ID</t>
        </is>
      </c>
      <c r="B5" s="9" t="inlineStr">
        <is>
          <t>지점명</t>
        </is>
      </c>
      <c r="C5" s="8" t="inlineStr">
        <is>
          <t>Set ID</t>
        </is>
      </c>
      <c r="D5" s="8" t="inlineStr">
        <is>
          <t>차수</t>
        </is>
      </c>
      <c r="E5" s="8" t="inlineStr">
        <is>
          <t>구분</t>
        </is>
      </c>
      <c r="F5" s="9" t="inlineStr">
        <is>
          <t>방향</t>
        </is>
      </c>
      <c r="G5" s="9" t="inlineStr">
        <is>
          <t>명목거리(m)</t>
        </is>
      </c>
      <c r="H5" s="9" t="inlineStr">
        <is>
          <t>실측거리(m)</t>
        </is>
      </c>
      <c r="I5" s="9" t="inlineStr">
        <is>
          <t>측정 시각(KST)</t>
        </is>
      </c>
      <c r="J5" s="9" t="inlineStr">
        <is>
          <t>F 판독1(nT)</t>
        </is>
      </c>
      <c r="K5" s="9" t="inlineStr">
        <is>
          <t>F 판독2</t>
        </is>
      </c>
      <c r="L5" s="9" t="inlineStr">
        <is>
          <t>F 판독3</t>
        </is>
      </c>
      <c r="M5" s="9" t="inlineStr">
        <is>
          <t>중앙값
계산</t>
        </is>
      </c>
      <c r="N5" s="9" t="inlineStr">
        <is>
          <t>Set 검증
계산</t>
        </is>
      </c>
      <c r="O5" s="9" t="inlineStr">
        <is>
          <t>P0전 시각
계산</t>
        </is>
      </c>
      <c r="P5" s="9" t="inlineStr">
        <is>
          <t>P0전 F
계산</t>
        </is>
      </c>
      <c r="Q5" s="9" t="inlineStr">
        <is>
          <t>P0후 시각
계산</t>
        </is>
      </c>
      <c r="R5" s="9" t="inlineStr">
        <is>
          <t>P0후 F
계산</t>
        </is>
      </c>
      <c r="S5" s="9" t="inlineStr">
        <is>
          <t>P0 추정값
계산</t>
        </is>
      </c>
      <c r="T5" s="9" t="inlineStr">
        <is>
          <t>ΔF(nT)
계산</t>
        </is>
      </c>
      <c r="U5" s="9" t="inlineStr">
        <is>
          <t>중심점기준
변화율(nT/m)
계산</t>
        </is>
      </c>
      <c r="V5" s="9" t="inlineStr">
        <is>
          <t>|변화율|
계산</t>
        </is>
      </c>
      <c r="W5" s="9" t="inlineStr">
        <is>
          <t>인접구간
변화율(nT/m)
계산</t>
        </is>
      </c>
      <c r="X5" s="9" t="inlineStr">
        <is>
          <t>Set 지속(분)
계산</t>
        </is>
      </c>
      <c r="Y5" s="9" t="inlineStr">
        <is>
          <t>기기번호</t>
        </is>
      </c>
      <c r="Z5" s="9" t="inlineStr">
        <is>
          <t>Variometer
파일 ID</t>
        </is>
      </c>
      <c r="AA5" s="9" t="inlineStr">
        <is>
          <t>Set 상태</t>
        </is>
      </c>
      <c r="AB5" s="9" t="inlineStr">
        <is>
          <t>중단 시각·사유</t>
        </is>
      </c>
      <c r="AC5" s="9" t="inlineStr">
        <is>
          <t>상태·비고</t>
        </is>
      </c>
    </row>
    <row r="6">
      <c r="A6" s="44" t="inlineStr">
        <is>
          <t>S01</t>
        </is>
      </c>
      <c r="B6" s="44" t="inlineStr">
        <is>
          <t>태백 신규점</t>
        </is>
      </c>
      <c r="C6" s="44" t="inlineStr">
        <is>
          <t>S01-H동</t>
        </is>
      </c>
      <c r="D6" s="45" t="n">
        <v>1</v>
      </c>
      <c r="E6" s="44" t="inlineStr">
        <is>
          <t>P0(전)</t>
        </is>
      </c>
      <c r="F6" s="44" t="inlineStr">
        <is>
          <t>동</t>
        </is>
      </c>
      <c r="G6" s="46" t="n"/>
      <c r="H6" s="30" t="n"/>
      <c r="I6" s="43" t="n"/>
      <c r="J6" s="41" t="n"/>
      <c r="K6" s="41" t="n"/>
      <c r="L6" s="41" t="n"/>
      <c r="M6" s="31">
        <f>IF(COUNT(J6:L6)=0,"",MEDIAN(J6:L6))</f>
        <v/>
      </c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29" t="n"/>
      <c r="Z6" s="29" t="n"/>
      <c r="AA6" s="29" t="n"/>
      <c r="AB6" s="32" t="n"/>
      <c r="AC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S01-H동</t>
        </is>
      </c>
      <c r="D7" s="47" t="n">
        <v>1</v>
      </c>
      <c r="E7" s="26" t="inlineStr">
        <is>
          <t>측정</t>
        </is>
      </c>
      <c r="F7" s="26" t="inlineStr">
        <is>
          <t>동</t>
        </is>
      </c>
      <c r="G7" s="31" t="n">
        <v>0.5</v>
      </c>
      <c r="H7" s="30" t="n"/>
      <c r="I7" s="43" t="n"/>
      <c r="J7" s="41" t="n"/>
      <c r="K7" s="41" t="n"/>
      <c r="L7" s="41" t="n"/>
      <c r="M7" s="31">
        <f>IF(COUNT(J7:L7)=0,"",MEDIAN(J7:L7))</f>
        <v/>
      </c>
      <c r="N7" s="26">
        <f>IF(COUNTIFS($C:$C,$C7,$D:$D,$D7,$E:$E,"P0(전)",$M:$M,"&gt;0")&lt;&gt;1,"P0(전) 유효 1개 아님",IF(COUNTIFS($C:$C,$C7,$D:$D,$D7,$E:$E,"P0(후)",$M:$M,"&gt;0")&lt;&gt;1,"P0(후) 유효 1개 아님",IF(NOT(AND(ISNUMBER(O7),ISNUMBER(Q7),ISNUMBER(I7))),"시각 결측",IF(Q7&lt;=O7,"P0 시각 역전",IF(OR(I7&lt;O7,I7&gt;Q7),"측정시각 구간 밖","OK")))))</f>
        <v/>
      </c>
      <c r="O7" s="48">
        <f>IF(COUNTIFS($C:$C,$C7,$D:$D,$D7,$E:$E,"P0(전)",$M:$M,"&gt;0")&lt;&gt;1,"",SUMIFS($I:$I,$C:$C,$C7,$D:$D,$D7,$E:$E,"P0(전)"))</f>
        <v/>
      </c>
      <c r="P7" s="31">
        <f>IF(COUNTIFS($C:$C,$C7,$D:$D,$D7,$E:$E,"P0(전)",$M:$M,"&gt;0")&lt;&gt;1,"",SUMIFS($M:$M,$C:$C,$C7,$D:$D,$D7,$E:$E,"P0(전)"))</f>
        <v/>
      </c>
      <c r="Q7" s="48">
        <f>IF(COUNTIFS($C:$C,$C7,$D:$D,$D7,$E:$E,"P0(후)",$M:$M,"&gt;0")&lt;&gt;1,"",SUMIFS($I:$I,$C:$C,$C7,$D:$D,$D7,$E:$E,"P0(후)"))</f>
        <v/>
      </c>
      <c r="R7" s="31">
        <f>IF(COUNTIFS($C:$C,$C7,$D:$D,$D7,$E:$E,"P0(후)",$M:$M,"&gt;0")&lt;&gt;1,"",SUMIFS($M:$M,$C:$C,$C7,$D:$D,$D7,$E:$E,"P0(후)"))</f>
        <v/>
      </c>
      <c r="S7" s="31">
        <f>IF(N7&lt;&gt;"OK","",P7+(R7-P7)*(I7-O7)/(Q7-O7))</f>
        <v/>
      </c>
      <c r="T7" s="31">
        <f>IF(OR(N7&lt;&gt;"OK",NOT(ISNUMBER(M7))),"",M7-S7)</f>
        <v/>
      </c>
      <c r="U7" s="49">
        <f>IF(OR(NOT(ISNUMBER(T7)),IF(ISNUMBER(H7),H7,G7)=0),"",T7/IF(ISNUMBER(H7),H7,G7))</f>
        <v/>
      </c>
      <c r="V7" s="49">
        <f>IF(ISNUMBER(U7),ABS(U7),"")</f>
        <v/>
      </c>
      <c r="W7" s="49">
        <f>IF(OR($E6&lt;&gt;"측정",$C6&lt;&gt;$C7,$D6&lt;&gt;$D7,NOT(ISNUMBER(M7)),NOT(ISNUMBER(M6)),(IF(ISNUMBER(H7),H7,G7)-IF(ISNUMBER(H6),H6,G6))=0),"",(M7-M6)/(IF(ISNUMBER(H7),H7,G7)-IF(ISNUMBER(H6),H6,G6)))</f>
        <v/>
      </c>
      <c r="X7" s="31">
        <f>IF(NOT(AND(ISNUMBER(O7),ISNUMBER(Q7))),"",(Q7-O7)*1440)</f>
        <v/>
      </c>
      <c r="Y7" s="29" t="n"/>
      <c r="Z7" s="29" t="n"/>
      <c r="AA7" s="29" t="n"/>
      <c r="AB7" s="32" t="n"/>
      <c r="AC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S01-H동</t>
        </is>
      </c>
      <c r="D8" s="47" t="n">
        <v>1</v>
      </c>
      <c r="E8" s="26" t="inlineStr">
        <is>
          <t>측정</t>
        </is>
      </c>
      <c r="F8" s="26" t="inlineStr">
        <is>
          <t>동</t>
        </is>
      </c>
      <c r="G8" s="31" t="n">
        <v>1</v>
      </c>
      <c r="H8" s="30" t="n"/>
      <c r="I8" s="43" t="n"/>
      <c r="J8" s="41" t="n"/>
      <c r="K8" s="41" t="n"/>
      <c r="L8" s="41" t="n"/>
      <c r="M8" s="31">
        <f>IF(COUNT(J8:L8)=0,"",MEDIAN(J8:L8))</f>
        <v/>
      </c>
      <c r="N8" s="26">
        <f>IF(COUNTIFS($C:$C,$C8,$D:$D,$D8,$E:$E,"P0(전)",$M:$M,"&gt;0")&lt;&gt;1,"P0(전) 유효 1개 아님",IF(COUNTIFS($C:$C,$C8,$D:$D,$D8,$E:$E,"P0(후)",$M:$M,"&gt;0")&lt;&gt;1,"P0(후) 유효 1개 아님",IF(NOT(AND(ISNUMBER(O8),ISNUMBER(Q8),ISNUMBER(I8))),"시각 결측",IF(Q8&lt;=O8,"P0 시각 역전",IF(OR(I8&lt;O8,I8&gt;Q8),"측정시각 구간 밖","OK")))))</f>
        <v/>
      </c>
      <c r="O8" s="48">
        <f>IF(COUNTIFS($C:$C,$C8,$D:$D,$D8,$E:$E,"P0(전)",$M:$M,"&gt;0")&lt;&gt;1,"",SUMIFS($I:$I,$C:$C,$C8,$D:$D,$D8,$E:$E,"P0(전)"))</f>
        <v/>
      </c>
      <c r="P8" s="31">
        <f>IF(COUNTIFS($C:$C,$C8,$D:$D,$D8,$E:$E,"P0(전)",$M:$M,"&gt;0")&lt;&gt;1,"",SUMIFS($M:$M,$C:$C,$C8,$D:$D,$D8,$E:$E,"P0(전)"))</f>
        <v/>
      </c>
      <c r="Q8" s="48">
        <f>IF(COUNTIFS($C:$C,$C8,$D:$D,$D8,$E:$E,"P0(후)",$M:$M,"&gt;0")&lt;&gt;1,"",SUMIFS($I:$I,$C:$C,$C8,$D:$D,$D8,$E:$E,"P0(후)"))</f>
        <v/>
      </c>
      <c r="R8" s="31">
        <f>IF(COUNTIFS($C:$C,$C8,$D:$D,$D8,$E:$E,"P0(후)",$M:$M,"&gt;0")&lt;&gt;1,"",SUMIFS($M:$M,$C:$C,$C8,$D:$D,$D8,$E:$E,"P0(후)"))</f>
        <v/>
      </c>
      <c r="S8" s="31">
        <f>IF(N8&lt;&gt;"OK","",P8+(R8-P8)*(I8-O8)/(Q8-O8))</f>
        <v/>
      </c>
      <c r="T8" s="31">
        <f>IF(OR(N8&lt;&gt;"OK",NOT(ISNUMBER(M8))),"",M8-S8)</f>
        <v/>
      </c>
      <c r="U8" s="49">
        <f>IF(OR(NOT(ISNUMBER(T8)),IF(ISNUMBER(H8),H8,G8)=0),"",T8/IF(ISNUMBER(H8),H8,G8))</f>
        <v/>
      </c>
      <c r="V8" s="49">
        <f>IF(ISNUMBER(U8),ABS(U8),"")</f>
        <v/>
      </c>
      <c r="W8" s="49">
        <f>IF(OR($E7&lt;&gt;"측정",$C7&lt;&gt;$C8,$D7&lt;&gt;$D8,NOT(ISNUMBER(M8)),NOT(ISNUMBER(M7)),(IF(ISNUMBER(H8),H8,G8)-IF(ISNUMBER(H7),H7,G7))=0),"",(M8-M7)/(IF(ISNUMBER(H8),H8,G8)-IF(ISNUMBER(H7),H7,G7)))</f>
        <v/>
      </c>
      <c r="X8" s="31">
        <f>IF(NOT(AND(ISNUMBER(O8),ISNUMBER(Q8))),"",(Q8-O8)*1440)</f>
        <v/>
      </c>
      <c r="Y8" s="29" t="n"/>
      <c r="Z8" s="29" t="n"/>
      <c r="AA8" s="29" t="n"/>
      <c r="AB8" s="32" t="n"/>
      <c r="AC8" s="32" t="n"/>
    </row>
    <row r="9">
      <c r="A9" s="26" t="inlineStr">
        <is>
          <t>S01</t>
        </is>
      </c>
      <c r="B9" s="26" t="inlineStr">
        <is>
          <t>태백 신규점</t>
        </is>
      </c>
      <c r="C9" s="26" t="inlineStr">
        <is>
          <t>S01-H동</t>
        </is>
      </c>
      <c r="D9" s="47" t="n">
        <v>1</v>
      </c>
      <c r="E9" s="26" t="inlineStr">
        <is>
          <t>측정</t>
        </is>
      </c>
      <c r="F9" s="26" t="inlineStr">
        <is>
          <t>동</t>
        </is>
      </c>
      <c r="G9" s="31" t="n">
        <v>2</v>
      </c>
      <c r="H9" s="30" t="n"/>
      <c r="I9" s="43" t="n"/>
      <c r="J9" s="41" t="n"/>
      <c r="K9" s="41" t="n"/>
      <c r="L9" s="41" t="n"/>
      <c r="M9" s="31">
        <f>IF(COUNT(J9:L9)=0,"",MEDIAN(J9:L9))</f>
        <v/>
      </c>
      <c r="N9" s="26">
        <f>IF(COUNTIFS($C:$C,$C9,$D:$D,$D9,$E:$E,"P0(전)",$M:$M,"&gt;0")&lt;&gt;1,"P0(전) 유효 1개 아님",IF(COUNTIFS($C:$C,$C9,$D:$D,$D9,$E:$E,"P0(후)",$M:$M,"&gt;0")&lt;&gt;1,"P0(후) 유효 1개 아님",IF(NOT(AND(ISNUMBER(O9),ISNUMBER(Q9),ISNUMBER(I9))),"시각 결측",IF(Q9&lt;=O9,"P0 시각 역전",IF(OR(I9&lt;O9,I9&gt;Q9),"측정시각 구간 밖","OK")))))</f>
        <v/>
      </c>
      <c r="O9" s="48">
        <f>IF(COUNTIFS($C:$C,$C9,$D:$D,$D9,$E:$E,"P0(전)",$M:$M,"&gt;0")&lt;&gt;1,"",SUMIFS($I:$I,$C:$C,$C9,$D:$D,$D9,$E:$E,"P0(전)"))</f>
        <v/>
      </c>
      <c r="P9" s="31">
        <f>IF(COUNTIFS($C:$C,$C9,$D:$D,$D9,$E:$E,"P0(전)",$M:$M,"&gt;0")&lt;&gt;1,"",SUMIFS($M:$M,$C:$C,$C9,$D:$D,$D9,$E:$E,"P0(전)"))</f>
        <v/>
      </c>
      <c r="Q9" s="48">
        <f>IF(COUNTIFS($C:$C,$C9,$D:$D,$D9,$E:$E,"P0(후)",$M:$M,"&gt;0")&lt;&gt;1,"",SUMIFS($I:$I,$C:$C,$C9,$D:$D,$D9,$E:$E,"P0(후)"))</f>
        <v/>
      </c>
      <c r="R9" s="31">
        <f>IF(COUNTIFS($C:$C,$C9,$D:$D,$D9,$E:$E,"P0(후)",$M:$M,"&gt;0")&lt;&gt;1,"",SUMIFS($M:$M,$C:$C,$C9,$D:$D,$D9,$E:$E,"P0(후)"))</f>
        <v/>
      </c>
      <c r="S9" s="31">
        <f>IF(N9&lt;&gt;"OK","",P9+(R9-P9)*(I9-O9)/(Q9-O9))</f>
        <v/>
      </c>
      <c r="T9" s="31">
        <f>IF(OR(N9&lt;&gt;"OK",NOT(ISNUMBER(M9))),"",M9-S9)</f>
        <v/>
      </c>
      <c r="U9" s="49">
        <f>IF(OR(NOT(ISNUMBER(T9)),IF(ISNUMBER(H9),H9,G9)=0),"",T9/IF(ISNUMBER(H9),H9,G9))</f>
        <v/>
      </c>
      <c r="V9" s="49">
        <f>IF(ISNUMBER(U9),ABS(U9),"")</f>
        <v/>
      </c>
      <c r="W9" s="49">
        <f>IF(OR($E8&lt;&gt;"측정",$C8&lt;&gt;$C9,$D8&lt;&gt;$D9,NOT(ISNUMBER(M9)),NOT(ISNUMBER(M8)),(IF(ISNUMBER(H9),H9,G9)-IF(ISNUMBER(H8),H8,G8))=0),"",(M9-M8)/(IF(ISNUMBER(H9),H9,G9)-IF(ISNUMBER(H8),H8,G8)))</f>
        <v/>
      </c>
      <c r="X9" s="31">
        <f>IF(NOT(AND(ISNUMBER(O9),ISNUMBER(Q9))),"",(Q9-O9)*1440)</f>
        <v/>
      </c>
      <c r="Y9" s="29" t="n"/>
      <c r="Z9" s="29" t="n"/>
      <c r="AA9" s="29" t="n"/>
      <c r="AB9" s="32" t="n"/>
      <c r="AC9" s="32" t="n"/>
    </row>
    <row r="10">
      <c r="A10" s="26" t="inlineStr">
        <is>
          <t>S01</t>
        </is>
      </c>
      <c r="B10" s="26" t="inlineStr">
        <is>
          <t>태백 신규점</t>
        </is>
      </c>
      <c r="C10" s="26" t="inlineStr">
        <is>
          <t>S01-H동</t>
        </is>
      </c>
      <c r="D10" s="47" t="n">
        <v>1</v>
      </c>
      <c r="E10" s="26" t="inlineStr">
        <is>
          <t>측정</t>
        </is>
      </c>
      <c r="F10" s="26" t="inlineStr">
        <is>
          <t>동</t>
        </is>
      </c>
      <c r="G10" s="31" t="n">
        <v>3</v>
      </c>
      <c r="H10" s="30" t="n"/>
      <c r="I10" s="43" t="n"/>
      <c r="J10" s="41" t="n"/>
      <c r="K10" s="41" t="n"/>
      <c r="L10" s="41" t="n"/>
      <c r="M10" s="31">
        <f>IF(COUNT(J10:L10)=0,"",MEDIAN(J10:L10))</f>
        <v/>
      </c>
      <c r="N10" s="26">
        <f>IF(COUNTIFS($C:$C,$C10,$D:$D,$D10,$E:$E,"P0(전)",$M:$M,"&gt;0")&lt;&gt;1,"P0(전) 유효 1개 아님",IF(COUNTIFS($C:$C,$C10,$D:$D,$D10,$E:$E,"P0(후)",$M:$M,"&gt;0")&lt;&gt;1,"P0(후) 유효 1개 아님",IF(NOT(AND(ISNUMBER(O10),ISNUMBER(Q10),ISNUMBER(I10))),"시각 결측",IF(Q10&lt;=O10,"P0 시각 역전",IF(OR(I10&lt;O10,I10&gt;Q10),"측정시각 구간 밖","OK")))))</f>
        <v/>
      </c>
      <c r="O10" s="48">
        <f>IF(COUNTIFS($C:$C,$C10,$D:$D,$D10,$E:$E,"P0(전)",$M:$M,"&gt;0")&lt;&gt;1,"",SUMIFS($I:$I,$C:$C,$C10,$D:$D,$D10,$E:$E,"P0(전)"))</f>
        <v/>
      </c>
      <c r="P10" s="31">
        <f>IF(COUNTIFS($C:$C,$C10,$D:$D,$D10,$E:$E,"P0(전)",$M:$M,"&gt;0")&lt;&gt;1,"",SUMIFS($M:$M,$C:$C,$C10,$D:$D,$D10,$E:$E,"P0(전)"))</f>
        <v/>
      </c>
      <c r="Q10" s="48">
        <f>IF(COUNTIFS($C:$C,$C10,$D:$D,$D10,$E:$E,"P0(후)",$M:$M,"&gt;0")&lt;&gt;1,"",SUMIFS($I:$I,$C:$C,$C10,$D:$D,$D10,$E:$E,"P0(후)"))</f>
        <v/>
      </c>
      <c r="R10" s="31">
        <f>IF(COUNTIFS($C:$C,$C10,$D:$D,$D10,$E:$E,"P0(후)",$M:$M,"&gt;0")&lt;&gt;1,"",SUMIFS($M:$M,$C:$C,$C10,$D:$D,$D10,$E:$E,"P0(후)"))</f>
        <v/>
      </c>
      <c r="S10" s="31">
        <f>IF(N10&lt;&gt;"OK","",P10+(R10-P10)*(I10-O10)/(Q10-O10))</f>
        <v/>
      </c>
      <c r="T10" s="31">
        <f>IF(OR(N10&lt;&gt;"OK",NOT(ISNUMBER(M10))),"",M10-S10)</f>
        <v/>
      </c>
      <c r="U10" s="49">
        <f>IF(OR(NOT(ISNUMBER(T10)),IF(ISNUMBER(H10),H10,G10)=0),"",T10/IF(ISNUMBER(H10),H10,G10))</f>
        <v/>
      </c>
      <c r="V10" s="49">
        <f>IF(ISNUMBER(U10),ABS(U10),"")</f>
        <v/>
      </c>
      <c r="W10" s="49">
        <f>IF(OR($E9&lt;&gt;"측정",$C9&lt;&gt;$C10,$D9&lt;&gt;$D10,NOT(ISNUMBER(M10)),NOT(ISNUMBER(M9)),(IF(ISNUMBER(H10),H10,G10)-IF(ISNUMBER(H9),H9,G9))=0),"",(M10-M9)/(IF(ISNUMBER(H10),H10,G10)-IF(ISNUMBER(H9),H9,G9)))</f>
        <v/>
      </c>
      <c r="X10" s="31">
        <f>IF(NOT(AND(ISNUMBER(O10),ISNUMBER(Q10))),"",(Q10-O10)*1440)</f>
        <v/>
      </c>
      <c r="Y10" s="29" t="n"/>
      <c r="Z10" s="29" t="n"/>
      <c r="AA10" s="29" t="n"/>
      <c r="AB10" s="32" t="n"/>
      <c r="AC10" s="32" t="n"/>
    </row>
    <row r="11">
      <c r="A11" s="26" t="inlineStr">
        <is>
          <t>S01</t>
        </is>
      </c>
      <c r="B11" s="26" t="inlineStr">
        <is>
          <t>태백 신규점</t>
        </is>
      </c>
      <c r="C11" s="26" t="inlineStr">
        <is>
          <t>S01-H동</t>
        </is>
      </c>
      <c r="D11" s="47" t="n">
        <v>1</v>
      </c>
      <c r="E11" s="26" t="inlineStr">
        <is>
          <t>측정</t>
        </is>
      </c>
      <c r="F11" s="26" t="inlineStr">
        <is>
          <t>동</t>
        </is>
      </c>
      <c r="G11" s="31" t="n">
        <v>4</v>
      </c>
      <c r="H11" s="30" t="n"/>
      <c r="I11" s="43" t="n"/>
      <c r="J11" s="41" t="n"/>
      <c r="K11" s="41" t="n"/>
      <c r="L11" s="41" t="n"/>
      <c r="M11" s="31">
        <f>IF(COUNT(J11:L11)=0,"",MEDIAN(J11:L11))</f>
        <v/>
      </c>
      <c r="N11" s="26">
        <f>IF(COUNTIFS($C:$C,$C11,$D:$D,$D11,$E:$E,"P0(전)",$M:$M,"&gt;0")&lt;&gt;1,"P0(전) 유효 1개 아님",IF(COUNTIFS($C:$C,$C11,$D:$D,$D11,$E:$E,"P0(후)",$M:$M,"&gt;0")&lt;&gt;1,"P0(후) 유효 1개 아님",IF(NOT(AND(ISNUMBER(O11),ISNUMBER(Q11),ISNUMBER(I11))),"시각 결측",IF(Q11&lt;=O11,"P0 시각 역전",IF(OR(I11&lt;O11,I11&gt;Q11),"측정시각 구간 밖","OK")))))</f>
        <v/>
      </c>
      <c r="O11" s="48">
        <f>IF(COUNTIFS($C:$C,$C11,$D:$D,$D11,$E:$E,"P0(전)",$M:$M,"&gt;0")&lt;&gt;1,"",SUMIFS($I:$I,$C:$C,$C11,$D:$D,$D11,$E:$E,"P0(전)"))</f>
        <v/>
      </c>
      <c r="P11" s="31">
        <f>IF(COUNTIFS($C:$C,$C11,$D:$D,$D11,$E:$E,"P0(전)",$M:$M,"&gt;0")&lt;&gt;1,"",SUMIFS($M:$M,$C:$C,$C11,$D:$D,$D11,$E:$E,"P0(전)"))</f>
        <v/>
      </c>
      <c r="Q11" s="48">
        <f>IF(COUNTIFS($C:$C,$C11,$D:$D,$D11,$E:$E,"P0(후)",$M:$M,"&gt;0")&lt;&gt;1,"",SUMIFS($I:$I,$C:$C,$C11,$D:$D,$D11,$E:$E,"P0(후)"))</f>
        <v/>
      </c>
      <c r="R11" s="31">
        <f>IF(COUNTIFS($C:$C,$C11,$D:$D,$D11,$E:$E,"P0(후)",$M:$M,"&gt;0")&lt;&gt;1,"",SUMIFS($M:$M,$C:$C,$C11,$D:$D,$D11,$E:$E,"P0(후)"))</f>
        <v/>
      </c>
      <c r="S11" s="31">
        <f>IF(N11&lt;&gt;"OK","",P11+(R11-P11)*(I11-O11)/(Q11-O11))</f>
        <v/>
      </c>
      <c r="T11" s="31">
        <f>IF(OR(N11&lt;&gt;"OK",NOT(ISNUMBER(M11))),"",M11-S11)</f>
        <v/>
      </c>
      <c r="U11" s="49">
        <f>IF(OR(NOT(ISNUMBER(T11)),IF(ISNUMBER(H11),H11,G11)=0),"",T11/IF(ISNUMBER(H11),H11,G11))</f>
        <v/>
      </c>
      <c r="V11" s="49">
        <f>IF(ISNUMBER(U11),ABS(U11),"")</f>
        <v/>
      </c>
      <c r="W11" s="49">
        <f>IF(OR($E10&lt;&gt;"측정",$C10&lt;&gt;$C11,$D10&lt;&gt;$D11,NOT(ISNUMBER(M11)),NOT(ISNUMBER(M10)),(IF(ISNUMBER(H11),H11,G11)-IF(ISNUMBER(H10),H10,G10))=0),"",(M11-M10)/(IF(ISNUMBER(H11),H11,G11)-IF(ISNUMBER(H10),H10,G10)))</f>
        <v/>
      </c>
      <c r="X11" s="31">
        <f>IF(NOT(AND(ISNUMBER(O11),ISNUMBER(Q11))),"",(Q11-O11)*1440)</f>
        <v/>
      </c>
      <c r="Y11" s="29" t="n"/>
      <c r="Z11" s="29" t="n"/>
      <c r="AA11" s="29" t="n"/>
      <c r="AB11" s="32" t="n"/>
      <c r="AC11" s="32" t="n"/>
    </row>
    <row r="12">
      <c r="A12" s="26" t="inlineStr">
        <is>
          <t>S01</t>
        </is>
      </c>
      <c r="B12" s="26" t="inlineStr">
        <is>
          <t>태백 신규점</t>
        </is>
      </c>
      <c r="C12" s="26" t="inlineStr">
        <is>
          <t>S01-H동</t>
        </is>
      </c>
      <c r="D12" s="47" t="n">
        <v>1</v>
      </c>
      <c r="E12" s="26" t="inlineStr">
        <is>
          <t>측정</t>
        </is>
      </c>
      <c r="F12" s="26" t="inlineStr">
        <is>
          <t>동</t>
        </is>
      </c>
      <c r="G12" s="31" t="n">
        <v>5</v>
      </c>
      <c r="H12" s="30" t="n"/>
      <c r="I12" s="43" t="n"/>
      <c r="J12" s="41" t="n"/>
      <c r="K12" s="41" t="n"/>
      <c r="L12" s="41" t="n"/>
      <c r="M12" s="31">
        <f>IF(COUNT(J12:L12)=0,"",MEDIAN(J12:L12))</f>
        <v/>
      </c>
      <c r="N12" s="26">
        <f>IF(COUNTIFS($C:$C,$C12,$D:$D,$D12,$E:$E,"P0(전)",$M:$M,"&gt;0")&lt;&gt;1,"P0(전) 유효 1개 아님",IF(COUNTIFS($C:$C,$C12,$D:$D,$D12,$E:$E,"P0(후)",$M:$M,"&gt;0")&lt;&gt;1,"P0(후) 유효 1개 아님",IF(NOT(AND(ISNUMBER(O12),ISNUMBER(Q12),ISNUMBER(I12))),"시각 결측",IF(Q12&lt;=O12,"P0 시각 역전",IF(OR(I12&lt;O12,I12&gt;Q12),"측정시각 구간 밖","OK")))))</f>
        <v/>
      </c>
      <c r="O12" s="48">
        <f>IF(COUNTIFS($C:$C,$C12,$D:$D,$D12,$E:$E,"P0(전)",$M:$M,"&gt;0")&lt;&gt;1,"",SUMIFS($I:$I,$C:$C,$C12,$D:$D,$D12,$E:$E,"P0(전)"))</f>
        <v/>
      </c>
      <c r="P12" s="31">
        <f>IF(COUNTIFS($C:$C,$C12,$D:$D,$D12,$E:$E,"P0(전)",$M:$M,"&gt;0")&lt;&gt;1,"",SUMIFS($M:$M,$C:$C,$C12,$D:$D,$D12,$E:$E,"P0(전)"))</f>
        <v/>
      </c>
      <c r="Q12" s="48">
        <f>IF(COUNTIFS($C:$C,$C12,$D:$D,$D12,$E:$E,"P0(후)",$M:$M,"&gt;0")&lt;&gt;1,"",SUMIFS($I:$I,$C:$C,$C12,$D:$D,$D12,$E:$E,"P0(후)"))</f>
        <v/>
      </c>
      <c r="R12" s="31">
        <f>IF(COUNTIFS($C:$C,$C12,$D:$D,$D12,$E:$E,"P0(후)",$M:$M,"&gt;0")&lt;&gt;1,"",SUMIFS($M:$M,$C:$C,$C12,$D:$D,$D12,$E:$E,"P0(후)"))</f>
        <v/>
      </c>
      <c r="S12" s="31">
        <f>IF(N12&lt;&gt;"OK","",P12+(R12-P12)*(I12-O12)/(Q12-O12))</f>
        <v/>
      </c>
      <c r="T12" s="31">
        <f>IF(OR(N12&lt;&gt;"OK",NOT(ISNUMBER(M12))),"",M12-S12)</f>
        <v/>
      </c>
      <c r="U12" s="49">
        <f>IF(OR(NOT(ISNUMBER(T12)),IF(ISNUMBER(H12),H12,G12)=0),"",T12/IF(ISNUMBER(H12),H12,G12))</f>
        <v/>
      </c>
      <c r="V12" s="49">
        <f>IF(ISNUMBER(U12),ABS(U12),"")</f>
        <v/>
      </c>
      <c r="W12" s="49">
        <f>IF(OR($E11&lt;&gt;"측정",$C11&lt;&gt;$C12,$D11&lt;&gt;$D12,NOT(ISNUMBER(M12)),NOT(ISNUMBER(M11)),(IF(ISNUMBER(H12),H12,G12)-IF(ISNUMBER(H11),H11,G11))=0),"",(M12-M11)/(IF(ISNUMBER(H12),H12,G12)-IF(ISNUMBER(H11),H11,G11)))</f>
        <v/>
      </c>
      <c r="X12" s="31">
        <f>IF(NOT(AND(ISNUMBER(O12),ISNUMBER(Q12))),"",(Q12-O12)*1440)</f>
        <v/>
      </c>
      <c r="Y12" s="29" t="n"/>
      <c r="Z12" s="29" t="n"/>
      <c r="AA12" s="29" t="n"/>
      <c r="AB12" s="32" t="n"/>
      <c r="AC12" s="32" t="n"/>
    </row>
    <row r="13">
      <c r="A13" s="26" t="inlineStr">
        <is>
          <t>S01</t>
        </is>
      </c>
      <c r="B13" s="26" t="inlineStr">
        <is>
          <t>태백 신규점</t>
        </is>
      </c>
      <c r="C13" s="26" t="inlineStr">
        <is>
          <t>S01-H동</t>
        </is>
      </c>
      <c r="D13" s="47" t="n">
        <v>1</v>
      </c>
      <c r="E13" s="26" t="inlineStr">
        <is>
          <t>측정</t>
        </is>
      </c>
      <c r="F13" s="26" t="inlineStr">
        <is>
          <t>동</t>
        </is>
      </c>
      <c r="G13" s="31" t="n">
        <v>6</v>
      </c>
      <c r="H13" s="30" t="n"/>
      <c r="I13" s="43" t="n"/>
      <c r="J13" s="41" t="n"/>
      <c r="K13" s="41" t="n"/>
      <c r="L13" s="41" t="n"/>
      <c r="M13" s="31">
        <f>IF(COUNT(J13:L13)=0,"",MEDIAN(J13:L13))</f>
        <v/>
      </c>
      <c r="N13" s="26">
        <f>IF(COUNTIFS($C:$C,$C13,$D:$D,$D13,$E:$E,"P0(전)",$M:$M,"&gt;0")&lt;&gt;1,"P0(전) 유효 1개 아님",IF(COUNTIFS($C:$C,$C13,$D:$D,$D13,$E:$E,"P0(후)",$M:$M,"&gt;0")&lt;&gt;1,"P0(후) 유효 1개 아님",IF(NOT(AND(ISNUMBER(O13),ISNUMBER(Q13),ISNUMBER(I13))),"시각 결측",IF(Q13&lt;=O13,"P0 시각 역전",IF(OR(I13&lt;O13,I13&gt;Q13),"측정시각 구간 밖","OK")))))</f>
        <v/>
      </c>
      <c r="O13" s="48">
        <f>IF(COUNTIFS($C:$C,$C13,$D:$D,$D13,$E:$E,"P0(전)",$M:$M,"&gt;0")&lt;&gt;1,"",SUMIFS($I:$I,$C:$C,$C13,$D:$D,$D13,$E:$E,"P0(전)"))</f>
        <v/>
      </c>
      <c r="P13" s="31">
        <f>IF(COUNTIFS($C:$C,$C13,$D:$D,$D13,$E:$E,"P0(전)",$M:$M,"&gt;0")&lt;&gt;1,"",SUMIFS($M:$M,$C:$C,$C13,$D:$D,$D13,$E:$E,"P0(전)"))</f>
        <v/>
      </c>
      <c r="Q13" s="48">
        <f>IF(COUNTIFS($C:$C,$C13,$D:$D,$D13,$E:$E,"P0(후)",$M:$M,"&gt;0")&lt;&gt;1,"",SUMIFS($I:$I,$C:$C,$C13,$D:$D,$D13,$E:$E,"P0(후)"))</f>
        <v/>
      </c>
      <c r="R13" s="31">
        <f>IF(COUNTIFS($C:$C,$C13,$D:$D,$D13,$E:$E,"P0(후)",$M:$M,"&gt;0")&lt;&gt;1,"",SUMIFS($M:$M,$C:$C,$C13,$D:$D,$D13,$E:$E,"P0(후)"))</f>
        <v/>
      </c>
      <c r="S13" s="31">
        <f>IF(N13&lt;&gt;"OK","",P13+(R13-P13)*(I13-O13)/(Q13-O13))</f>
        <v/>
      </c>
      <c r="T13" s="31">
        <f>IF(OR(N13&lt;&gt;"OK",NOT(ISNUMBER(M13))),"",M13-S13)</f>
        <v/>
      </c>
      <c r="U13" s="49">
        <f>IF(OR(NOT(ISNUMBER(T13)),IF(ISNUMBER(H13),H13,G13)=0),"",T13/IF(ISNUMBER(H13),H13,G13))</f>
        <v/>
      </c>
      <c r="V13" s="49">
        <f>IF(ISNUMBER(U13),ABS(U13),"")</f>
        <v/>
      </c>
      <c r="W13" s="49">
        <f>IF(OR($E12&lt;&gt;"측정",$C12&lt;&gt;$C13,$D12&lt;&gt;$D13,NOT(ISNUMBER(M13)),NOT(ISNUMBER(M12)),(IF(ISNUMBER(H13),H13,G13)-IF(ISNUMBER(H12),H12,G12))=0),"",(M13-M12)/(IF(ISNUMBER(H13),H13,G13)-IF(ISNUMBER(H12),H12,G12)))</f>
        <v/>
      </c>
      <c r="X13" s="31">
        <f>IF(NOT(AND(ISNUMBER(O13),ISNUMBER(Q13))),"",(Q13-O13)*1440)</f>
        <v/>
      </c>
      <c r="Y13" s="29" t="n"/>
      <c r="Z13" s="29" t="n"/>
      <c r="AA13" s="29" t="n"/>
      <c r="AB13" s="32" t="n"/>
      <c r="AC13" s="32" t="n"/>
    </row>
    <row r="14">
      <c r="A14" s="26" t="inlineStr">
        <is>
          <t>S01</t>
        </is>
      </c>
      <c r="B14" s="26" t="inlineStr">
        <is>
          <t>태백 신규점</t>
        </is>
      </c>
      <c r="C14" s="26" t="inlineStr">
        <is>
          <t>S01-H동</t>
        </is>
      </c>
      <c r="D14" s="47" t="n">
        <v>1</v>
      </c>
      <c r="E14" s="26" t="inlineStr">
        <is>
          <t>측정</t>
        </is>
      </c>
      <c r="F14" s="26" t="inlineStr">
        <is>
          <t>동</t>
        </is>
      </c>
      <c r="G14" s="31" t="n">
        <v>7</v>
      </c>
      <c r="H14" s="30" t="n"/>
      <c r="I14" s="43" t="n"/>
      <c r="J14" s="41" t="n"/>
      <c r="K14" s="41" t="n"/>
      <c r="L14" s="41" t="n"/>
      <c r="M14" s="31">
        <f>IF(COUNT(J14:L14)=0,"",MEDIAN(J14:L14))</f>
        <v/>
      </c>
      <c r="N14" s="26">
        <f>IF(COUNTIFS($C:$C,$C14,$D:$D,$D14,$E:$E,"P0(전)",$M:$M,"&gt;0")&lt;&gt;1,"P0(전) 유효 1개 아님",IF(COUNTIFS($C:$C,$C14,$D:$D,$D14,$E:$E,"P0(후)",$M:$M,"&gt;0")&lt;&gt;1,"P0(후) 유효 1개 아님",IF(NOT(AND(ISNUMBER(O14),ISNUMBER(Q14),ISNUMBER(I14))),"시각 결측",IF(Q14&lt;=O14,"P0 시각 역전",IF(OR(I14&lt;O14,I14&gt;Q14),"측정시각 구간 밖","OK")))))</f>
        <v/>
      </c>
      <c r="O14" s="48">
        <f>IF(COUNTIFS($C:$C,$C14,$D:$D,$D14,$E:$E,"P0(전)",$M:$M,"&gt;0")&lt;&gt;1,"",SUMIFS($I:$I,$C:$C,$C14,$D:$D,$D14,$E:$E,"P0(전)"))</f>
        <v/>
      </c>
      <c r="P14" s="31">
        <f>IF(COUNTIFS($C:$C,$C14,$D:$D,$D14,$E:$E,"P0(전)",$M:$M,"&gt;0")&lt;&gt;1,"",SUMIFS($M:$M,$C:$C,$C14,$D:$D,$D14,$E:$E,"P0(전)"))</f>
        <v/>
      </c>
      <c r="Q14" s="48">
        <f>IF(COUNTIFS($C:$C,$C14,$D:$D,$D14,$E:$E,"P0(후)",$M:$M,"&gt;0")&lt;&gt;1,"",SUMIFS($I:$I,$C:$C,$C14,$D:$D,$D14,$E:$E,"P0(후)"))</f>
        <v/>
      </c>
      <c r="R14" s="31">
        <f>IF(COUNTIFS($C:$C,$C14,$D:$D,$D14,$E:$E,"P0(후)",$M:$M,"&gt;0")&lt;&gt;1,"",SUMIFS($M:$M,$C:$C,$C14,$D:$D,$D14,$E:$E,"P0(후)"))</f>
        <v/>
      </c>
      <c r="S14" s="31">
        <f>IF(N14&lt;&gt;"OK","",P14+(R14-P14)*(I14-O14)/(Q14-O14))</f>
        <v/>
      </c>
      <c r="T14" s="31">
        <f>IF(OR(N14&lt;&gt;"OK",NOT(ISNUMBER(M14))),"",M14-S14)</f>
        <v/>
      </c>
      <c r="U14" s="49">
        <f>IF(OR(NOT(ISNUMBER(T14)),IF(ISNUMBER(H14),H14,G14)=0),"",T14/IF(ISNUMBER(H14),H14,G14))</f>
        <v/>
      </c>
      <c r="V14" s="49">
        <f>IF(ISNUMBER(U14),ABS(U14),"")</f>
        <v/>
      </c>
      <c r="W14" s="49">
        <f>IF(OR($E13&lt;&gt;"측정",$C13&lt;&gt;$C14,$D13&lt;&gt;$D14,NOT(ISNUMBER(M14)),NOT(ISNUMBER(M13)),(IF(ISNUMBER(H14),H14,G14)-IF(ISNUMBER(H13),H13,G13))=0),"",(M14-M13)/(IF(ISNUMBER(H14),H14,G14)-IF(ISNUMBER(H13),H13,G13)))</f>
        <v/>
      </c>
      <c r="X14" s="31">
        <f>IF(NOT(AND(ISNUMBER(O14),ISNUMBER(Q14))),"",(Q14-O14)*1440)</f>
        <v/>
      </c>
      <c r="Y14" s="29" t="n"/>
      <c r="Z14" s="29" t="n"/>
      <c r="AA14" s="29" t="n"/>
      <c r="AB14" s="32" t="n"/>
      <c r="AC14" s="32" t="n"/>
    </row>
    <row r="15">
      <c r="A15" s="26" t="inlineStr">
        <is>
          <t>S01</t>
        </is>
      </c>
      <c r="B15" s="26" t="inlineStr">
        <is>
          <t>태백 신규점</t>
        </is>
      </c>
      <c r="C15" s="26" t="inlineStr">
        <is>
          <t>S01-H동</t>
        </is>
      </c>
      <c r="D15" s="47" t="n">
        <v>1</v>
      </c>
      <c r="E15" s="26" t="inlineStr">
        <is>
          <t>측정</t>
        </is>
      </c>
      <c r="F15" s="26" t="inlineStr">
        <is>
          <t>동</t>
        </is>
      </c>
      <c r="G15" s="31" t="n">
        <v>8</v>
      </c>
      <c r="H15" s="30" t="n"/>
      <c r="I15" s="43" t="n"/>
      <c r="J15" s="41" t="n"/>
      <c r="K15" s="41" t="n"/>
      <c r="L15" s="41" t="n"/>
      <c r="M15" s="31">
        <f>IF(COUNT(J15:L15)=0,"",MEDIAN(J15:L15))</f>
        <v/>
      </c>
      <c r="N15" s="26">
        <f>IF(COUNTIFS($C:$C,$C15,$D:$D,$D15,$E:$E,"P0(전)",$M:$M,"&gt;0")&lt;&gt;1,"P0(전) 유효 1개 아님",IF(COUNTIFS($C:$C,$C15,$D:$D,$D15,$E:$E,"P0(후)",$M:$M,"&gt;0")&lt;&gt;1,"P0(후) 유효 1개 아님",IF(NOT(AND(ISNUMBER(O15),ISNUMBER(Q15),ISNUMBER(I15))),"시각 결측",IF(Q15&lt;=O15,"P0 시각 역전",IF(OR(I15&lt;O15,I15&gt;Q15),"측정시각 구간 밖","OK")))))</f>
        <v/>
      </c>
      <c r="O15" s="48">
        <f>IF(COUNTIFS($C:$C,$C15,$D:$D,$D15,$E:$E,"P0(전)",$M:$M,"&gt;0")&lt;&gt;1,"",SUMIFS($I:$I,$C:$C,$C15,$D:$D,$D15,$E:$E,"P0(전)"))</f>
        <v/>
      </c>
      <c r="P15" s="31">
        <f>IF(COUNTIFS($C:$C,$C15,$D:$D,$D15,$E:$E,"P0(전)",$M:$M,"&gt;0")&lt;&gt;1,"",SUMIFS($M:$M,$C:$C,$C15,$D:$D,$D15,$E:$E,"P0(전)"))</f>
        <v/>
      </c>
      <c r="Q15" s="48">
        <f>IF(COUNTIFS($C:$C,$C15,$D:$D,$D15,$E:$E,"P0(후)",$M:$M,"&gt;0")&lt;&gt;1,"",SUMIFS($I:$I,$C:$C,$C15,$D:$D,$D15,$E:$E,"P0(후)"))</f>
        <v/>
      </c>
      <c r="R15" s="31">
        <f>IF(COUNTIFS($C:$C,$C15,$D:$D,$D15,$E:$E,"P0(후)",$M:$M,"&gt;0")&lt;&gt;1,"",SUMIFS($M:$M,$C:$C,$C15,$D:$D,$D15,$E:$E,"P0(후)"))</f>
        <v/>
      </c>
      <c r="S15" s="31">
        <f>IF(N15&lt;&gt;"OK","",P15+(R15-P15)*(I15-O15)/(Q15-O15))</f>
        <v/>
      </c>
      <c r="T15" s="31">
        <f>IF(OR(N15&lt;&gt;"OK",NOT(ISNUMBER(M15))),"",M15-S15)</f>
        <v/>
      </c>
      <c r="U15" s="49">
        <f>IF(OR(NOT(ISNUMBER(T15)),IF(ISNUMBER(H15),H15,G15)=0),"",T15/IF(ISNUMBER(H15),H15,G15))</f>
        <v/>
      </c>
      <c r="V15" s="49">
        <f>IF(ISNUMBER(U15),ABS(U15),"")</f>
        <v/>
      </c>
      <c r="W15" s="49">
        <f>IF(OR($E14&lt;&gt;"측정",$C14&lt;&gt;$C15,$D14&lt;&gt;$D15,NOT(ISNUMBER(M15)),NOT(ISNUMBER(M14)),(IF(ISNUMBER(H15),H15,G15)-IF(ISNUMBER(H14),H14,G14))=0),"",(M15-M14)/(IF(ISNUMBER(H15),H15,G15)-IF(ISNUMBER(H14),H14,G14)))</f>
        <v/>
      </c>
      <c r="X15" s="31">
        <f>IF(NOT(AND(ISNUMBER(O15),ISNUMBER(Q15))),"",(Q15-O15)*1440)</f>
        <v/>
      </c>
      <c r="Y15" s="29" t="n"/>
      <c r="Z15" s="29" t="n"/>
      <c r="AA15" s="29" t="n"/>
      <c r="AB15" s="32" t="n"/>
      <c r="AC15" s="32" t="n"/>
    </row>
    <row r="16">
      <c r="A16" s="26" t="inlineStr">
        <is>
          <t>S01</t>
        </is>
      </c>
      <c r="B16" s="26" t="inlineStr">
        <is>
          <t>태백 신규점</t>
        </is>
      </c>
      <c r="C16" s="26" t="inlineStr">
        <is>
          <t>S01-H동</t>
        </is>
      </c>
      <c r="D16" s="47" t="n">
        <v>1</v>
      </c>
      <c r="E16" s="26" t="inlineStr">
        <is>
          <t>측정</t>
        </is>
      </c>
      <c r="F16" s="26" t="inlineStr">
        <is>
          <t>동</t>
        </is>
      </c>
      <c r="G16" s="31" t="n">
        <v>9</v>
      </c>
      <c r="H16" s="30" t="n"/>
      <c r="I16" s="43" t="n"/>
      <c r="J16" s="41" t="n"/>
      <c r="K16" s="41" t="n"/>
      <c r="L16" s="41" t="n"/>
      <c r="M16" s="31">
        <f>IF(COUNT(J16:L16)=0,"",MEDIAN(J16:L16))</f>
        <v/>
      </c>
      <c r="N16" s="26">
        <f>IF(COUNTIFS($C:$C,$C16,$D:$D,$D16,$E:$E,"P0(전)",$M:$M,"&gt;0")&lt;&gt;1,"P0(전) 유효 1개 아님",IF(COUNTIFS($C:$C,$C16,$D:$D,$D16,$E:$E,"P0(후)",$M:$M,"&gt;0")&lt;&gt;1,"P0(후) 유효 1개 아님",IF(NOT(AND(ISNUMBER(O16),ISNUMBER(Q16),ISNUMBER(I16))),"시각 결측",IF(Q16&lt;=O16,"P0 시각 역전",IF(OR(I16&lt;O16,I16&gt;Q16),"측정시각 구간 밖","OK")))))</f>
        <v/>
      </c>
      <c r="O16" s="48">
        <f>IF(COUNTIFS($C:$C,$C16,$D:$D,$D16,$E:$E,"P0(전)",$M:$M,"&gt;0")&lt;&gt;1,"",SUMIFS($I:$I,$C:$C,$C16,$D:$D,$D16,$E:$E,"P0(전)"))</f>
        <v/>
      </c>
      <c r="P16" s="31">
        <f>IF(COUNTIFS($C:$C,$C16,$D:$D,$D16,$E:$E,"P0(전)",$M:$M,"&gt;0")&lt;&gt;1,"",SUMIFS($M:$M,$C:$C,$C16,$D:$D,$D16,$E:$E,"P0(전)"))</f>
        <v/>
      </c>
      <c r="Q16" s="48">
        <f>IF(COUNTIFS($C:$C,$C16,$D:$D,$D16,$E:$E,"P0(후)",$M:$M,"&gt;0")&lt;&gt;1,"",SUMIFS($I:$I,$C:$C,$C16,$D:$D,$D16,$E:$E,"P0(후)"))</f>
        <v/>
      </c>
      <c r="R16" s="31">
        <f>IF(COUNTIFS($C:$C,$C16,$D:$D,$D16,$E:$E,"P0(후)",$M:$M,"&gt;0")&lt;&gt;1,"",SUMIFS($M:$M,$C:$C,$C16,$D:$D,$D16,$E:$E,"P0(후)"))</f>
        <v/>
      </c>
      <c r="S16" s="31">
        <f>IF(N16&lt;&gt;"OK","",P16+(R16-P16)*(I16-O16)/(Q16-O16))</f>
        <v/>
      </c>
      <c r="T16" s="31">
        <f>IF(OR(N16&lt;&gt;"OK",NOT(ISNUMBER(M16))),"",M16-S16)</f>
        <v/>
      </c>
      <c r="U16" s="49">
        <f>IF(OR(NOT(ISNUMBER(T16)),IF(ISNUMBER(H16),H16,G16)=0),"",T16/IF(ISNUMBER(H16),H16,G16))</f>
        <v/>
      </c>
      <c r="V16" s="49">
        <f>IF(ISNUMBER(U16),ABS(U16),"")</f>
        <v/>
      </c>
      <c r="W16" s="49">
        <f>IF(OR($E15&lt;&gt;"측정",$C15&lt;&gt;$C16,$D15&lt;&gt;$D16,NOT(ISNUMBER(M16)),NOT(ISNUMBER(M15)),(IF(ISNUMBER(H16),H16,G16)-IF(ISNUMBER(H15),H15,G15))=0),"",(M16-M15)/(IF(ISNUMBER(H16),H16,G16)-IF(ISNUMBER(H15),H15,G15)))</f>
        <v/>
      </c>
      <c r="X16" s="31">
        <f>IF(NOT(AND(ISNUMBER(O16),ISNUMBER(Q16))),"",(Q16-O16)*1440)</f>
        <v/>
      </c>
      <c r="Y16" s="29" t="n"/>
      <c r="Z16" s="29" t="n"/>
      <c r="AA16" s="29" t="n"/>
      <c r="AB16" s="32" t="n"/>
      <c r="AC16" s="32" t="n"/>
    </row>
    <row r="17">
      <c r="A17" s="26" t="inlineStr">
        <is>
          <t>S01</t>
        </is>
      </c>
      <c r="B17" s="26" t="inlineStr">
        <is>
          <t>태백 신규점</t>
        </is>
      </c>
      <c r="C17" s="26" t="inlineStr">
        <is>
          <t>S01-H동</t>
        </is>
      </c>
      <c r="D17" s="47" t="n">
        <v>1</v>
      </c>
      <c r="E17" s="26" t="inlineStr">
        <is>
          <t>측정</t>
        </is>
      </c>
      <c r="F17" s="26" t="inlineStr">
        <is>
          <t>동</t>
        </is>
      </c>
      <c r="G17" s="31" t="n">
        <v>10</v>
      </c>
      <c r="H17" s="30" t="n"/>
      <c r="I17" s="43" t="n"/>
      <c r="J17" s="41" t="n"/>
      <c r="K17" s="41" t="n"/>
      <c r="L17" s="41" t="n"/>
      <c r="M17" s="31">
        <f>IF(COUNT(J17:L17)=0,"",MEDIAN(J17:L17))</f>
        <v/>
      </c>
      <c r="N17" s="26">
        <f>IF(COUNTIFS($C:$C,$C17,$D:$D,$D17,$E:$E,"P0(전)",$M:$M,"&gt;0")&lt;&gt;1,"P0(전) 유효 1개 아님",IF(COUNTIFS($C:$C,$C17,$D:$D,$D17,$E:$E,"P0(후)",$M:$M,"&gt;0")&lt;&gt;1,"P0(후) 유효 1개 아님",IF(NOT(AND(ISNUMBER(O17),ISNUMBER(Q17),ISNUMBER(I17))),"시각 결측",IF(Q17&lt;=O17,"P0 시각 역전",IF(OR(I17&lt;O17,I17&gt;Q17),"측정시각 구간 밖","OK")))))</f>
        <v/>
      </c>
      <c r="O17" s="48">
        <f>IF(COUNTIFS($C:$C,$C17,$D:$D,$D17,$E:$E,"P0(전)",$M:$M,"&gt;0")&lt;&gt;1,"",SUMIFS($I:$I,$C:$C,$C17,$D:$D,$D17,$E:$E,"P0(전)"))</f>
        <v/>
      </c>
      <c r="P17" s="31">
        <f>IF(COUNTIFS($C:$C,$C17,$D:$D,$D17,$E:$E,"P0(전)",$M:$M,"&gt;0")&lt;&gt;1,"",SUMIFS($M:$M,$C:$C,$C17,$D:$D,$D17,$E:$E,"P0(전)"))</f>
        <v/>
      </c>
      <c r="Q17" s="48">
        <f>IF(COUNTIFS($C:$C,$C17,$D:$D,$D17,$E:$E,"P0(후)",$M:$M,"&gt;0")&lt;&gt;1,"",SUMIFS($I:$I,$C:$C,$C17,$D:$D,$D17,$E:$E,"P0(후)"))</f>
        <v/>
      </c>
      <c r="R17" s="31">
        <f>IF(COUNTIFS($C:$C,$C17,$D:$D,$D17,$E:$E,"P0(후)",$M:$M,"&gt;0")&lt;&gt;1,"",SUMIFS($M:$M,$C:$C,$C17,$D:$D,$D17,$E:$E,"P0(후)"))</f>
        <v/>
      </c>
      <c r="S17" s="31">
        <f>IF(N17&lt;&gt;"OK","",P17+(R17-P17)*(I17-O17)/(Q17-O17))</f>
        <v/>
      </c>
      <c r="T17" s="31">
        <f>IF(OR(N17&lt;&gt;"OK",NOT(ISNUMBER(M17))),"",M17-S17)</f>
        <v/>
      </c>
      <c r="U17" s="49">
        <f>IF(OR(NOT(ISNUMBER(T17)),IF(ISNUMBER(H17),H17,G17)=0),"",T17/IF(ISNUMBER(H17),H17,G17))</f>
        <v/>
      </c>
      <c r="V17" s="49">
        <f>IF(ISNUMBER(U17),ABS(U17),"")</f>
        <v/>
      </c>
      <c r="W17" s="49">
        <f>IF(OR($E16&lt;&gt;"측정",$C16&lt;&gt;$C17,$D16&lt;&gt;$D17,NOT(ISNUMBER(M17)),NOT(ISNUMBER(M16)),(IF(ISNUMBER(H17),H17,G17)-IF(ISNUMBER(H16),H16,G16))=0),"",(M17-M16)/(IF(ISNUMBER(H17),H17,G17)-IF(ISNUMBER(H16),H16,G16)))</f>
        <v/>
      </c>
      <c r="X17" s="31">
        <f>IF(NOT(AND(ISNUMBER(O17),ISNUMBER(Q17))),"",(Q17-O17)*1440)</f>
        <v/>
      </c>
      <c r="Y17" s="29" t="n"/>
      <c r="Z17" s="29" t="n"/>
      <c r="AA17" s="29" t="n"/>
      <c r="AB17" s="32" t="n"/>
      <c r="AC17" s="32" t="n"/>
    </row>
    <row r="18">
      <c r="A18" s="44" t="inlineStr">
        <is>
          <t>S01</t>
        </is>
      </c>
      <c r="B18" s="44" t="inlineStr">
        <is>
          <t>태백 신규점</t>
        </is>
      </c>
      <c r="C18" s="44" t="inlineStr">
        <is>
          <t>S01-H동</t>
        </is>
      </c>
      <c r="D18" s="45" t="n">
        <v>1</v>
      </c>
      <c r="E18" s="44" t="inlineStr">
        <is>
          <t>P0(후)</t>
        </is>
      </c>
      <c r="F18" s="44" t="inlineStr">
        <is>
          <t>동</t>
        </is>
      </c>
      <c r="G18" s="46" t="n"/>
      <c r="H18" s="30" t="n"/>
      <c r="I18" s="43" t="n"/>
      <c r="J18" s="41" t="n"/>
      <c r="K18" s="41" t="n"/>
      <c r="L18" s="41" t="n"/>
      <c r="M18" s="31">
        <f>IF(COUNT(J18:L18)=0,"",MEDIAN(J18:L18))</f>
        <v/>
      </c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29" t="n"/>
      <c r="Z18" s="29" t="n"/>
      <c r="AA18" s="29" t="n"/>
      <c r="AB18" s="32" t="n"/>
      <c r="AC18" s="32" t="n"/>
    </row>
    <row r="19">
      <c r="A19" s="44" t="inlineStr">
        <is>
          <t>S01</t>
        </is>
      </c>
      <c r="B19" s="44" t="inlineStr">
        <is>
          <t>태백 신규점</t>
        </is>
      </c>
      <c r="C19" s="44" t="inlineStr">
        <is>
          <t>S01-H서</t>
        </is>
      </c>
      <c r="D19" s="45" t="n">
        <v>1</v>
      </c>
      <c r="E19" s="44" t="inlineStr">
        <is>
          <t>P0(전)</t>
        </is>
      </c>
      <c r="F19" s="44" t="inlineStr">
        <is>
          <t>서</t>
        </is>
      </c>
      <c r="G19" s="46" t="n"/>
      <c r="H19" s="30" t="n"/>
      <c r="I19" s="43" t="n"/>
      <c r="J19" s="41" t="n"/>
      <c r="K19" s="41" t="n"/>
      <c r="L19" s="41" t="n"/>
      <c r="M19" s="31">
        <f>IF(COUNT(J19:L19)=0,"",MEDIAN(J19:L19))</f>
        <v/>
      </c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29" t="n"/>
      <c r="Z19" s="29" t="n"/>
      <c r="AA19" s="29" t="n"/>
      <c r="AB19" s="32" t="n"/>
      <c r="AC19" s="32" t="n"/>
    </row>
    <row r="20">
      <c r="A20" s="26" t="inlineStr">
        <is>
          <t>S01</t>
        </is>
      </c>
      <c r="B20" s="26" t="inlineStr">
        <is>
          <t>태백 신규점</t>
        </is>
      </c>
      <c r="C20" s="26" t="inlineStr">
        <is>
          <t>S01-H서</t>
        </is>
      </c>
      <c r="D20" s="47" t="n">
        <v>1</v>
      </c>
      <c r="E20" s="26" t="inlineStr">
        <is>
          <t>측정</t>
        </is>
      </c>
      <c r="F20" s="26" t="inlineStr">
        <is>
          <t>서</t>
        </is>
      </c>
      <c r="G20" s="31" t="n">
        <v>0.5</v>
      </c>
      <c r="H20" s="30" t="n"/>
      <c r="I20" s="43" t="n"/>
      <c r="J20" s="41" t="n"/>
      <c r="K20" s="41" t="n"/>
      <c r="L20" s="41" t="n"/>
      <c r="M20" s="31">
        <f>IF(COUNT(J20:L20)=0,"",MEDIAN(J20:L20))</f>
        <v/>
      </c>
      <c r="N20" s="26">
        <f>IF(COUNTIFS($C:$C,$C20,$D:$D,$D20,$E:$E,"P0(전)",$M:$M,"&gt;0")&lt;&gt;1,"P0(전) 유효 1개 아님",IF(COUNTIFS($C:$C,$C20,$D:$D,$D20,$E:$E,"P0(후)",$M:$M,"&gt;0")&lt;&gt;1,"P0(후) 유효 1개 아님",IF(NOT(AND(ISNUMBER(O20),ISNUMBER(Q20),ISNUMBER(I20))),"시각 결측",IF(Q20&lt;=O20,"P0 시각 역전",IF(OR(I20&lt;O20,I20&gt;Q20),"측정시각 구간 밖","OK")))))</f>
        <v/>
      </c>
      <c r="O20" s="48">
        <f>IF(COUNTIFS($C:$C,$C20,$D:$D,$D20,$E:$E,"P0(전)",$M:$M,"&gt;0")&lt;&gt;1,"",SUMIFS($I:$I,$C:$C,$C20,$D:$D,$D20,$E:$E,"P0(전)"))</f>
        <v/>
      </c>
      <c r="P20" s="31">
        <f>IF(COUNTIFS($C:$C,$C20,$D:$D,$D20,$E:$E,"P0(전)",$M:$M,"&gt;0")&lt;&gt;1,"",SUMIFS($M:$M,$C:$C,$C20,$D:$D,$D20,$E:$E,"P0(전)"))</f>
        <v/>
      </c>
      <c r="Q20" s="48">
        <f>IF(COUNTIFS($C:$C,$C20,$D:$D,$D20,$E:$E,"P0(후)",$M:$M,"&gt;0")&lt;&gt;1,"",SUMIFS($I:$I,$C:$C,$C20,$D:$D,$D20,$E:$E,"P0(후)"))</f>
        <v/>
      </c>
      <c r="R20" s="31">
        <f>IF(COUNTIFS($C:$C,$C20,$D:$D,$D20,$E:$E,"P0(후)",$M:$M,"&gt;0")&lt;&gt;1,"",SUMIFS($M:$M,$C:$C,$C20,$D:$D,$D20,$E:$E,"P0(후)"))</f>
        <v/>
      </c>
      <c r="S20" s="31">
        <f>IF(N20&lt;&gt;"OK","",P20+(R20-P20)*(I20-O20)/(Q20-O20))</f>
        <v/>
      </c>
      <c r="T20" s="31">
        <f>IF(OR(N20&lt;&gt;"OK",NOT(ISNUMBER(M20))),"",M20-S20)</f>
        <v/>
      </c>
      <c r="U20" s="49">
        <f>IF(OR(NOT(ISNUMBER(T20)),IF(ISNUMBER(H20),H20,G20)=0),"",T20/IF(ISNUMBER(H20),H20,G20))</f>
        <v/>
      </c>
      <c r="V20" s="49">
        <f>IF(ISNUMBER(U20),ABS(U20),"")</f>
        <v/>
      </c>
      <c r="W20" s="49">
        <f>IF(OR($E19&lt;&gt;"측정",$C19&lt;&gt;$C20,$D19&lt;&gt;$D20,NOT(ISNUMBER(M20)),NOT(ISNUMBER(M19)),(IF(ISNUMBER(H20),H20,G20)-IF(ISNUMBER(H19),H19,G19))=0),"",(M20-M19)/(IF(ISNUMBER(H20),H20,G20)-IF(ISNUMBER(H19),H19,G19)))</f>
        <v/>
      </c>
      <c r="X20" s="31">
        <f>IF(NOT(AND(ISNUMBER(O20),ISNUMBER(Q20))),"",(Q20-O20)*1440)</f>
        <v/>
      </c>
      <c r="Y20" s="29" t="n"/>
      <c r="Z20" s="29" t="n"/>
      <c r="AA20" s="29" t="n"/>
      <c r="AB20" s="32" t="n"/>
      <c r="AC20" s="32" t="n"/>
    </row>
    <row r="21">
      <c r="A21" s="26" t="inlineStr">
        <is>
          <t>S01</t>
        </is>
      </c>
      <c r="B21" s="26" t="inlineStr">
        <is>
          <t>태백 신규점</t>
        </is>
      </c>
      <c r="C21" s="26" t="inlineStr">
        <is>
          <t>S01-H서</t>
        </is>
      </c>
      <c r="D21" s="47" t="n">
        <v>1</v>
      </c>
      <c r="E21" s="26" t="inlineStr">
        <is>
          <t>측정</t>
        </is>
      </c>
      <c r="F21" s="26" t="inlineStr">
        <is>
          <t>서</t>
        </is>
      </c>
      <c r="G21" s="31" t="n">
        <v>1</v>
      </c>
      <c r="H21" s="30" t="n"/>
      <c r="I21" s="43" t="n"/>
      <c r="J21" s="41" t="n"/>
      <c r="K21" s="41" t="n"/>
      <c r="L21" s="41" t="n"/>
      <c r="M21" s="31">
        <f>IF(COUNT(J21:L21)=0,"",MEDIAN(J21:L21))</f>
        <v/>
      </c>
      <c r="N21" s="26">
        <f>IF(COUNTIFS($C:$C,$C21,$D:$D,$D21,$E:$E,"P0(전)",$M:$M,"&gt;0")&lt;&gt;1,"P0(전) 유효 1개 아님",IF(COUNTIFS($C:$C,$C21,$D:$D,$D21,$E:$E,"P0(후)",$M:$M,"&gt;0")&lt;&gt;1,"P0(후) 유효 1개 아님",IF(NOT(AND(ISNUMBER(O21),ISNUMBER(Q21),ISNUMBER(I21))),"시각 결측",IF(Q21&lt;=O21,"P0 시각 역전",IF(OR(I21&lt;O21,I21&gt;Q21),"측정시각 구간 밖","OK")))))</f>
        <v/>
      </c>
      <c r="O21" s="48">
        <f>IF(COUNTIFS($C:$C,$C21,$D:$D,$D21,$E:$E,"P0(전)",$M:$M,"&gt;0")&lt;&gt;1,"",SUMIFS($I:$I,$C:$C,$C21,$D:$D,$D21,$E:$E,"P0(전)"))</f>
        <v/>
      </c>
      <c r="P21" s="31">
        <f>IF(COUNTIFS($C:$C,$C21,$D:$D,$D21,$E:$E,"P0(전)",$M:$M,"&gt;0")&lt;&gt;1,"",SUMIFS($M:$M,$C:$C,$C21,$D:$D,$D21,$E:$E,"P0(전)"))</f>
        <v/>
      </c>
      <c r="Q21" s="48">
        <f>IF(COUNTIFS($C:$C,$C21,$D:$D,$D21,$E:$E,"P0(후)",$M:$M,"&gt;0")&lt;&gt;1,"",SUMIFS($I:$I,$C:$C,$C21,$D:$D,$D21,$E:$E,"P0(후)"))</f>
        <v/>
      </c>
      <c r="R21" s="31">
        <f>IF(COUNTIFS($C:$C,$C21,$D:$D,$D21,$E:$E,"P0(후)",$M:$M,"&gt;0")&lt;&gt;1,"",SUMIFS($M:$M,$C:$C,$C21,$D:$D,$D21,$E:$E,"P0(후)"))</f>
        <v/>
      </c>
      <c r="S21" s="31">
        <f>IF(N21&lt;&gt;"OK","",P21+(R21-P21)*(I21-O21)/(Q21-O21))</f>
        <v/>
      </c>
      <c r="T21" s="31">
        <f>IF(OR(N21&lt;&gt;"OK",NOT(ISNUMBER(M21))),"",M21-S21)</f>
        <v/>
      </c>
      <c r="U21" s="49">
        <f>IF(OR(NOT(ISNUMBER(T21)),IF(ISNUMBER(H21),H21,G21)=0),"",T21/IF(ISNUMBER(H21),H21,G21))</f>
        <v/>
      </c>
      <c r="V21" s="49">
        <f>IF(ISNUMBER(U21),ABS(U21),"")</f>
        <v/>
      </c>
      <c r="W21" s="49">
        <f>IF(OR($E20&lt;&gt;"측정",$C20&lt;&gt;$C21,$D20&lt;&gt;$D21,NOT(ISNUMBER(M21)),NOT(ISNUMBER(M20)),(IF(ISNUMBER(H21),H21,G21)-IF(ISNUMBER(H20),H20,G20))=0),"",(M21-M20)/(IF(ISNUMBER(H21),H21,G21)-IF(ISNUMBER(H20),H20,G20)))</f>
        <v/>
      </c>
      <c r="X21" s="31">
        <f>IF(NOT(AND(ISNUMBER(O21),ISNUMBER(Q21))),"",(Q21-O21)*1440)</f>
        <v/>
      </c>
      <c r="Y21" s="29" t="n"/>
      <c r="Z21" s="29" t="n"/>
      <c r="AA21" s="29" t="n"/>
      <c r="AB21" s="32" t="n"/>
      <c r="AC21" s="32" t="n"/>
    </row>
    <row r="22">
      <c r="A22" s="26" t="inlineStr">
        <is>
          <t>S01</t>
        </is>
      </c>
      <c r="B22" s="26" t="inlineStr">
        <is>
          <t>태백 신규점</t>
        </is>
      </c>
      <c r="C22" s="26" t="inlineStr">
        <is>
          <t>S01-H서</t>
        </is>
      </c>
      <c r="D22" s="47" t="n">
        <v>1</v>
      </c>
      <c r="E22" s="26" t="inlineStr">
        <is>
          <t>측정</t>
        </is>
      </c>
      <c r="F22" s="26" t="inlineStr">
        <is>
          <t>서</t>
        </is>
      </c>
      <c r="G22" s="31" t="n">
        <v>2</v>
      </c>
      <c r="H22" s="30" t="n"/>
      <c r="I22" s="43" t="n"/>
      <c r="J22" s="41" t="n"/>
      <c r="K22" s="41" t="n"/>
      <c r="L22" s="41" t="n"/>
      <c r="M22" s="31">
        <f>IF(COUNT(J22:L22)=0,"",MEDIAN(J22:L22))</f>
        <v/>
      </c>
      <c r="N22" s="26">
        <f>IF(COUNTIFS($C:$C,$C22,$D:$D,$D22,$E:$E,"P0(전)",$M:$M,"&gt;0")&lt;&gt;1,"P0(전) 유효 1개 아님",IF(COUNTIFS($C:$C,$C22,$D:$D,$D22,$E:$E,"P0(후)",$M:$M,"&gt;0")&lt;&gt;1,"P0(후) 유효 1개 아님",IF(NOT(AND(ISNUMBER(O22),ISNUMBER(Q22),ISNUMBER(I22))),"시각 결측",IF(Q22&lt;=O22,"P0 시각 역전",IF(OR(I22&lt;O22,I22&gt;Q22),"측정시각 구간 밖","OK")))))</f>
        <v/>
      </c>
      <c r="O22" s="48">
        <f>IF(COUNTIFS($C:$C,$C22,$D:$D,$D22,$E:$E,"P0(전)",$M:$M,"&gt;0")&lt;&gt;1,"",SUMIFS($I:$I,$C:$C,$C22,$D:$D,$D22,$E:$E,"P0(전)"))</f>
        <v/>
      </c>
      <c r="P22" s="31">
        <f>IF(COUNTIFS($C:$C,$C22,$D:$D,$D22,$E:$E,"P0(전)",$M:$M,"&gt;0")&lt;&gt;1,"",SUMIFS($M:$M,$C:$C,$C22,$D:$D,$D22,$E:$E,"P0(전)"))</f>
        <v/>
      </c>
      <c r="Q22" s="48">
        <f>IF(COUNTIFS($C:$C,$C22,$D:$D,$D22,$E:$E,"P0(후)",$M:$M,"&gt;0")&lt;&gt;1,"",SUMIFS($I:$I,$C:$C,$C22,$D:$D,$D22,$E:$E,"P0(후)"))</f>
        <v/>
      </c>
      <c r="R22" s="31">
        <f>IF(COUNTIFS($C:$C,$C22,$D:$D,$D22,$E:$E,"P0(후)",$M:$M,"&gt;0")&lt;&gt;1,"",SUMIFS($M:$M,$C:$C,$C22,$D:$D,$D22,$E:$E,"P0(후)"))</f>
        <v/>
      </c>
      <c r="S22" s="31">
        <f>IF(N22&lt;&gt;"OK","",P22+(R22-P22)*(I22-O22)/(Q22-O22))</f>
        <v/>
      </c>
      <c r="T22" s="31">
        <f>IF(OR(N22&lt;&gt;"OK",NOT(ISNUMBER(M22))),"",M22-S22)</f>
        <v/>
      </c>
      <c r="U22" s="49">
        <f>IF(OR(NOT(ISNUMBER(T22)),IF(ISNUMBER(H22),H22,G22)=0),"",T22/IF(ISNUMBER(H22),H22,G22))</f>
        <v/>
      </c>
      <c r="V22" s="49">
        <f>IF(ISNUMBER(U22),ABS(U22),"")</f>
        <v/>
      </c>
      <c r="W22" s="49">
        <f>IF(OR($E21&lt;&gt;"측정",$C21&lt;&gt;$C22,$D21&lt;&gt;$D22,NOT(ISNUMBER(M22)),NOT(ISNUMBER(M21)),(IF(ISNUMBER(H22),H22,G22)-IF(ISNUMBER(H21),H21,G21))=0),"",(M22-M21)/(IF(ISNUMBER(H22),H22,G22)-IF(ISNUMBER(H21),H21,G21)))</f>
        <v/>
      </c>
      <c r="X22" s="31">
        <f>IF(NOT(AND(ISNUMBER(O22),ISNUMBER(Q22))),"",(Q22-O22)*1440)</f>
        <v/>
      </c>
      <c r="Y22" s="29" t="n"/>
      <c r="Z22" s="29" t="n"/>
      <c r="AA22" s="29" t="n"/>
      <c r="AB22" s="32" t="n"/>
      <c r="AC22" s="32" t="n"/>
    </row>
    <row r="23">
      <c r="A23" s="26" t="inlineStr">
        <is>
          <t>S01</t>
        </is>
      </c>
      <c r="B23" s="26" t="inlineStr">
        <is>
          <t>태백 신규점</t>
        </is>
      </c>
      <c r="C23" s="26" t="inlineStr">
        <is>
          <t>S01-H서</t>
        </is>
      </c>
      <c r="D23" s="47" t="n">
        <v>1</v>
      </c>
      <c r="E23" s="26" t="inlineStr">
        <is>
          <t>측정</t>
        </is>
      </c>
      <c r="F23" s="26" t="inlineStr">
        <is>
          <t>서</t>
        </is>
      </c>
      <c r="G23" s="31" t="n">
        <v>3</v>
      </c>
      <c r="H23" s="30" t="n"/>
      <c r="I23" s="43" t="n"/>
      <c r="J23" s="41" t="n"/>
      <c r="K23" s="41" t="n"/>
      <c r="L23" s="41" t="n"/>
      <c r="M23" s="31">
        <f>IF(COUNT(J23:L23)=0,"",MEDIAN(J23:L23))</f>
        <v/>
      </c>
      <c r="N23" s="26">
        <f>IF(COUNTIFS($C:$C,$C23,$D:$D,$D23,$E:$E,"P0(전)",$M:$M,"&gt;0")&lt;&gt;1,"P0(전) 유효 1개 아님",IF(COUNTIFS($C:$C,$C23,$D:$D,$D23,$E:$E,"P0(후)",$M:$M,"&gt;0")&lt;&gt;1,"P0(후) 유효 1개 아님",IF(NOT(AND(ISNUMBER(O23),ISNUMBER(Q23),ISNUMBER(I23))),"시각 결측",IF(Q23&lt;=O23,"P0 시각 역전",IF(OR(I23&lt;O23,I23&gt;Q23),"측정시각 구간 밖","OK")))))</f>
        <v/>
      </c>
      <c r="O23" s="48">
        <f>IF(COUNTIFS($C:$C,$C23,$D:$D,$D23,$E:$E,"P0(전)",$M:$M,"&gt;0")&lt;&gt;1,"",SUMIFS($I:$I,$C:$C,$C23,$D:$D,$D23,$E:$E,"P0(전)"))</f>
        <v/>
      </c>
      <c r="P23" s="31">
        <f>IF(COUNTIFS($C:$C,$C23,$D:$D,$D23,$E:$E,"P0(전)",$M:$M,"&gt;0")&lt;&gt;1,"",SUMIFS($M:$M,$C:$C,$C23,$D:$D,$D23,$E:$E,"P0(전)"))</f>
        <v/>
      </c>
      <c r="Q23" s="48">
        <f>IF(COUNTIFS($C:$C,$C23,$D:$D,$D23,$E:$E,"P0(후)",$M:$M,"&gt;0")&lt;&gt;1,"",SUMIFS($I:$I,$C:$C,$C23,$D:$D,$D23,$E:$E,"P0(후)"))</f>
        <v/>
      </c>
      <c r="R23" s="31">
        <f>IF(COUNTIFS($C:$C,$C23,$D:$D,$D23,$E:$E,"P0(후)",$M:$M,"&gt;0")&lt;&gt;1,"",SUMIFS($M:$M,$C:$C,$C23,$D:$D,$D23,$E:$E,"P0(후)"))</f>
        <v/>
      </c>
      <c r="S23" s="31">
        <f>IF(N23&lt;&gt;"OK","",P23+(R23-P23)*(I23-O23)/(Q23-O23))</f>
        <v/>
      </c>
      <c r="T23" s="31">
        <f>IF(OR(N23&lt;&gt;"OK",NOT(ISNUMBER(M23))),"",M23-S23)</f>
        <v/>
      </c>
      <c r="U23" s="49">
        <f>IF(OR(NOT(ISNUMBER(T23)),IF(ISNUMBER(H23),H23,G23)=0),"",T23/IF(ISNUMBER(H23),H23,G23))</f>
        <v/>
      </c>
      <c r="V23" s="49">
        <f>IF(ISNUMBER(U23),ABS(U23),"")</f>
        <v/>
      </c>
      <c r="W23" s="49">
        <f>IF(OR($E22&lt;&gt;"측정",$C22&lt;&gt;$C23,$D22&lt;&gt;$D23,NOT(ISNUMBER(M23)),NOT(ISNUMBER(M22)),(IF(ISNUMBER(H23),H23,G23)-IF(ISNUMBER(H22),H22,G22))=0),"",(M23-M22)/(IF(ISNUMBER(H23),H23,G23)-IF(ISNUMBER(H22),H22,G22)))</f>
        <v/>
      </c>
      <c r="X23" s="31">
        <f>IF(NOT(AND(ISNUMBER(O23),ISNUMBER(Q23))),"",(Q23-O23)*1440)</f>
        <v/>
      </c>
      <c r="Y23" s="29" t="n"/>
      <c r="Z23" s="29" t="n"/>
      <c r="AA23" s="29" t="n"/>
      <c r="AB23" s="32" t="n"/>
      <c r="AC23" s="32" t="n"/>
    </row>
    <row r="24">
      <c r="A24" s="26" t="inlineStr">
        <is>
          <t>S01</t>
        </is>
      </c>
      <c r="B24" s="26" t="inlineStr">
        <is>
          <t>태백 신규점</t>
        </is>
      </c>
      <c r="C24" s="26" t="inlineStr">
        <is>
          <t>S01-H서</t>
        </is>
      </c>
      <c r="D24" s="47" t="n">
        <v>1</v>
      </c>
      <c r="E24" s="26" t="inlineStr">
        <is>
          <t>측정</t>
        </is>
      </c>
      <c r="F24" s="26" t="inlineStr">
        <is>
          <t>서</t>
        </is>
      </c>
      <c r="G24" s="31" t="n">
        <v>4</v>
      </c>
      <c r="H24" s="30" t="n"/>
      <c r="I24" s="43" t="n"/>
      <c r="J24" s="41" t="n"/>
      <c r="K24" s="41" t="n"/>
      <c r="L24" s="41" t="n"/>
      <c r="M24" s="31">
        <f>IF(COUNT(J24:L24)=0,"",MEDIAN(J24:L24))</f>
        <v/>
      </c>
      <c r="N24" s="26">
        <f>IF(COUNTIFS($C:$C,$C24,$D:$D,$D24,$E:$E,"P0(전)",$M:$M,"&gt;0")&lt;&gt;1,"P0(전) 유효 1개 아님",IF(COUNTIFS($C:$C,$C24,$D:$D,$D24,$E:$E,"P0(후)",$M:$M,"&gt;0")&lt;&gt;1,"P0(후) 유효 1개 아님",IF(NOT(AND(ISNUMBER(O24),ISNUMBER(Q24),ISNUMBER(I24))),"시각 결측",IF(Q24&lt;=O24,"P0 시각 역전",IF(OR(I24&lt;O24,I24&gt;Q24),"측정시각 구간 밖","OK")))))</f>
        <v/>
      </c>
      <c r="O24" s="48">
        <f>IF(COUNTIFS($C:$C,$C24,$D:$D,$D24,$E:$E,"P0(전)",$M:$M,"&gt;0")&lt;&gt;1,"",SUMIFS($I:$I,$C:$C,$C24,$D:$D,$D24,$E:$E,"P0(전)"))</f>
        <v/>
      </c>
      <c r="P24" s="31">
        <f>IF(COUNTIFS($C:$C,$C24,$D:$D,$D24,$E:$E,"P0(전)",$M:$M,"&gt;0")&lt;&gt;1,"",SUMIFS($M:$M,$C:$C,$C24,$D:$D,$D24,$E:$E,"P0(전)"))</f>
        <v/>
      </c>
      <c r="Q24" s="48">
        <f>IF(COUNTIFS($C:$C,$C24,$D:$D,$D24,$E:$E,"P0(후)",$M:$M,"&gt;0")&lt;&gt;1,"",SUMIFS($I:$I,$C:$C,$C24,$D:$D,$D24,$E:$E,"P0(후)"))</f>
        <v/>
      </c>
      <c r="R24" s="31">
        <f>IF(COUNTIFS($C:$C,$C24,$D:$D,$D24,$E:$E,"P0(후)",$M:$M,"&gt;0")&lt;&gt;1,"",SUMIFS($M:$M,$C:$C,$C24,$D:$D,$D24,$E:$E,"P0(후)"))</f>
        <v/>
      </c>
      <c r="S24" s="31">
        <f>IF(N24&lt;&gt;"OK","",P24+(R24-P24)*(I24-O24)/(Q24-O24))</f>
        <v/>
      </c>
      <c r="T24" s="31">
        <f>IF(OR(N24&lt;&gt;"OK",NOT(ISNUMBER(M24))),"",M24-S24)</f>
        <v/>
      </c>
      <c r="U24" s="49">
        <f>IF(OR(NOT(ISNUMBER(T24)),IF(ISNUMBER(H24),H24,G24)=0),"",T24/IF(ISNUMBER(H24),H24,G24))</f>
        <v/>
      </c>
      <c r="V24" s="49">
        <f>IF(ISNUMBER(U24),ABS(U24),"")</f>
        <v/>
      </c>
      <c r="W24" s="49">
        <f>IF(OR($E23&lt;&gt;"측정",$C23&lt;&gt;$C24,$D23&lt;&gt;$D24,NOT(ISNUMBER(M24)),NOT(ISNUMBER(M23)),(IF(ISNUMBER(H24),H24,G24)-IF(ISNUMBER(H23),H23,G23))=0),"",(M24-M23)/(IF(ISNUMBER(H24),H24,G24)-IF(ISNUMBER(H23),H23,G23)))</f>
        <v/>
      </c>
      <c r="X24" s="31">
        <f>IF(NOT(AND(ISNUMBER(O24),ISNUMBER(Q24))),"",(Q24-O24)*1440)</f>
        <v/>
      </c>
      <c r="Y24" s="29" t="n"/>
      <c r="Z24" s="29" t="n"/>
      <c r="AA24" s="29" t="n"/>
      <c r="AB24" s="32" t="n"/>
      <c r="AC24" s="32" t="n"/>
    </row>
    <row r="25">
      <c r="A25" s="26" t="inlineStr">
        <is>
          <t>S01</t>
        </is>
      </c>
      <c r="B25" s="26" t="inlineStr">
        <is>
          <t>태백 신규점</t>
        </is>
      </c>
      <c r="C25" s="26" t="inlineStr">
        <is>
          <t>S01-H서</t>
        </is>
      </c>
      <c r="D25" s="47" t="n">
        <v>1</v>
      </c>
      <c r="E25" s="26" t="inlineStr">
        <is>
          <t>측정</t>
        </is>
      </c>
      <c r="F25" s="26" t="inlineStr">
        <is>
          <t>서</t>
        </is>
      </c>
      <c r="G25" s="31" t="n">
        <v>5</v>
      </c>
      <c r="H25" s="30" t="n"/>
      <c r="I25" s="43" t="n"/>
      <c r="J25" s="41" t="n"/>
      <c r="K25" s="41" t="n"/>
      <c r="L25" s="41" t="n"/>
      <c r="M25" s="31">
        <f>IF(COUNT(J25:L25)=0,"",MEDIAN(J25:L25))</f>
        <v/>
      </c>
      <c r="N25" s="26">
        <f>IF(COUNTIFS($C:$C,$C25,$D:$D,$D25,$E:$E,"P0(전)",$M:$M,"&gt;0")&lt;&gt;1,"P0(전) 유효 1개 아님",IF(COUNTIFS($C:$C,$C25,$D:$D,$D25,$E:$E,"P0(후)",$M:$M,"&gt;0")&lt;&gt;1,"P0(후) 유효 1개 아님",IF(NOT(AND(ISNUMBER(O25),ISNUMBER(Q25),ISNUMBER(I25))),"시각 결측",IF(Q25&lt;=O25,"P0 시각 역전",IF(OR(I25&lt;O25,I25&gt;Q25),"측정시각 구간 밖","OK")))))</f>
        <v/>
      </c>
      <c r="O25" s="48">
        <f>IF(COUNTIFS($C:$C,$C25,$D:$D,$D25,$E:$E,"P0(전)",$M:$M,"&gt;0")&lt;&gt;1,"",SUMIFS($I:$I,$C:$C,$C25,$D:$D,$D25,$E:$E,"P0(전)"))</f>
        <v/>
      </c>
      <c r="P25" s="31">
        <f>IF(COUNTIFS($C:$C,$C25,$D:$D,$D25,$E:$E,"P0(전)",$M:$M,"&gt;0")&lt;&gt;1,"",SUMIFS($M:$M,$C:$C,$C25,$D:$D,$D25,$E:$E,"P0(전)"))</f>
        <v/>
      </c>
      <c r="Q25" s="48">
        <f>IF(COUNTIFS($C:$C,$C25,$D:$D,$D25,$E:$E,"P0(후)",$M:$M,"&gt;0")&lt;&gt;1,"",SUMIFS($I:$I,$C:$C,$C25,$D:$D,$D25,$E:$E,"P0(후)"))</f>
        <v/>
      </c>
      <c r="R25" s="31">
        <f>IF(COUNTIFS($C:$C,$C25,$D:$D,$D25,$E:$E,"P0(후)",$M:$M,"&gt;0")&lt;&gt;1,"",SUMIFS($M:$M,$C:$C,$C25,$D:$D,$D25,$E:$E,"P0(후)"))</f>
        <v/>
      </c>
      <c r="S25" s="31">
        <f>IF(N25&lt;&gt;"OK","",P25+(R25-P25)*(I25-O25)/(Q25-O25))</f>
        <v/>
      </c>
      <c r="T25" s="31">
        <f>IF(OR(N25&lt;&gt;"OK",NOT(ISNUMBER(M25))),"",M25-S25)</f>
        <v/>
      </c>
      <c r="U25" s="49">
        <f>IF(OR(NOT(ISNUMBER(T25)),IF(ISNUMBER(H25),H25,G25)=0),"",T25/IF(ISNUMBER(H25),H25,G25))</f>
        <v/>
      </c>
      <c r="V25" s="49">
        <f>IF(ISNUMBER(U25),ABS(U25),"")</f>
        <v/>
      </c>
      <c r="W25" s="49">
        <f>IF(OR($E24&lt;&gt;"측정",$C24&lt;&gt;$C25,$D24&lt;&gt;$D25,NOT(ISNUMBER(M25)),NOT(ISNUMBER(M24)),(IF(ISNUMBER(H25),H25,G25)-IF(ISNUMBER(H24),H24,G24))=0),"",(M25-M24)/(IF(ISNUMBER(H25),H25,G25)-IF(ISNUMBER(H24),H24,G24)))</f>
        <v/>
      </c>
      <c r="X25" s="31">
        <f>IF(NOT(AND(ISNUMBER(O25),ISNUMBER(Q25))),"",(Q25-O25)*1440)</f>
        <v/>
      </c>
      <c r="Y25" s="29" t="n"/>
      <c r="Z25" s="29" t="n"/>
      <c r="AA25" s="29" t="n"/>
      <c r="AB25" s="32" t="n"/>
      <c r="AC25" s="32" t="n"/>
    </row>
    <row r="26">
      <c r="A26" s="26" t="inlineStr">
        <is>
          <t>S01</t>
        </is>
      </c>
      <c r="B26" s="26" t="inlineStr">
        <is>
          <t>태백 신규점</t>
        </is>
      </c>
      <c r="C26" s="26" t="inlineStr">
        <is>
          <t>S01-H서</t>
        </is>
      </c>
      <c r="D26" s="47" t="n">
        <v>1</v>
      </c>
      <c r="E26" s="26" t="inlineStr">
        <is>
          <t>측정</t>
        </is>
      </c>
      <c r="F26" s="26" t="inlineStr">
        <is>
          <t>서</t>
        </is>
      </c>
      <c r="G26" s="31" t="n">
        <v>6</v>
      </c>
      <c r="H26" s="30" t="n"/>
      <c r="I26" s="43" t="n"/>
      <c r="J26" s="41" t="n"/>
      <c r="K26" s="41" t="n"/>
      <c r="L26" s="41" t="n"/>
      <c r="M26" s="31">
        <f>IF(COUNT(J26:L26)=0,"",MEDIAN(J26:L26))</f>
        <v/>
      </c>
      <c r="N26" s="26">
        <f>IF(COUNTIFS($C:$C,$C26,$D:$D,$D26,$E:$E,"P0(전)",$M:$M,"&gt;0")&lt;&gt;1,"P0(전) 유효 1개 아님",IF(COUNTIFS($C:$C,$C26,$D:$D,$D26,$E:$E,"P0(후)",$M:$M,"&gt;0")&lt;&gt;1,"P0(후) 유효 1개 아님",IF(NOT(AND(ISNUMBER(O26),ISNUMBER(Q26),ISNUMBER(I26))),"시각 결측",IF(Q26&lt;=O26,"P0 시각 역전",IF(OR(I26&lt;O26,I26&gt;Q26),"측정시각 구간 밖","OK")))))</f>
        <v/>
      </c>
      <c r="O26" s="48">
        <f>IF(COUNTIFS($C:$C,$C26,$D:$D,$D26,$E:$E,"P0(전)",$M:$M,"&gt;0")&lt;&gt;1,"",SUMIFS($I:$I,$C:$C,$C26,$D:$D,$D26,$E:$E,"P0(전)"))</f>
        <v/>
      </c>
      <c r="P26" s="31">
        <f>IF(COUNTIFS($C:$C,$C26,$D:$D,$D26,$E:$E,"P0(전)",$M:$M,"&gt;0")&lt;&gt;1,"",SUMIFS($M:$M,$C:$C,$C26,$D:$D,$D26,$E:$E,"P0(전)"))</f>
        <v/>
      </c>
      <c r="Q26" s="48">
        <f>IF(COUNTIFS($C:$C,$C26,$D:$D,$D26,$E:$E,"P0(후)",$M:$M,"&gt;0")&lt;&gt;1,"",SUMIFS($I:$I,$C:$C,$C26,$D:$D,$D26,$E:$E,"P0(후)"))</f>
        <v/>
      </c>
      <c r="R26" s="31">
        <f>IF(COUNTIFS($C:$C,$C26,$D:$D,$D26,$E:$E,"P0(후)",$M:$M,"&gt;0")&lt;&gt;1,"",SUMIFS($M:$M,$C:$C,$C26,$D:$D,$D26,$E:$E,"P0(후)"))</f>
        <v/>
      </c>
      <c r="S26" s="31">
        <f>IF(N26&lt;&gt;"OK","",P26+(R26-P26)*(I26-O26)/(Q26-O26))</f>
        <v/>
      </c>
      <c r="T26" s="31">
        <f>IF(OR(N26&lt;&gt;"OK",NOT(ISNUMBER(M26))),"",M26-S26)</f>
        <v/>
      </c>
      <c r="U26" s="49">
        <f>IF(OR(NOT(ISNUMBER(T26)),IF(ISNUMBER(H26),H26,G26)=0),"",T26/IF(ISNUMBER(H26),H26,G26))</f>
        <v/>
      </c>
      <c r="V26" s="49">
        <f>IF(ISNUMBER(U26),ABS(U26),"")</f>
        <v/>
      </c>
      <c r="W26" s="49">
        <f>IF(OR($E25&lt;&gt;"측정",$C25&lt;&gt;$C26,$D25&lt;&gt;$D26,NOT(ISNUMBER(M26)),NOT(ISNUMBER(M25)),(IF(ISNUMBER(H26),H26,G26)-IF(ISNUMBER(H25),H25,G25))=0),"",(M26-M25)/(IF(ISNUMBER(H26),H26,G26)-IF(ISNUMBER(H25),H25,G25)))</f>
        <v/>
      </c>
      <c r="X26" s="31">
        <f>IF(NOT(AND(ISNUMBER(O26),ISNUMBER(Q26))),"",(Q26-O26)*1440)</f>
        <v/>
      </c>
      <c r="Y26" s="29" t="n"/>
      <c r="Z26" s="29" t="n"/>
      <c r="AA26" s="29" t="n"/>
      <c r="AB26" s="32" t="n"/>
      <c r="AC26" s="32" t="n"/>
    </row>
    <row r="27">
      <c r="A27" s="26" t="inlineStr">
        <is>
          <t>S01</t>
        </is>
      </c>
      <c r="B27" s="26" t="inlineStr">
        <is>
          <t>태백 신규점</t>
        </is>
      </c>
      <c r="C27" s="26" t="inlineStr">
        <is>
          <t>S01-H서</t>
        </is>
      </c>
      <c r="D27" s="47" t="n">
        <v>1</v>
      </c>
      <c r="E27" s="26" t="inlineStr">
        <is>
          <t>측정</t>
        </is>
      </c>
      <c r="F27" s="26" t="inlineStr">
        <is>
          <t>서</t>
        </is>
      </c>
      <c r="G27" s="31" t="n">
        <v>7</v>
      </c>
      <c r="H27" s="30" t="n"/>
      <c r="I27" s="43" t="n"/>
      <c r="J27" s="41" t="n"/>
      <c r="K27" s="41" t="n"/>
      <c r="L27" s="41" t="n"/>
      <c r="M27" s="31">
        <f>IF(COUNT(J27:L27)=0,"",MEDIAN(J27:L27))</f>
        <v/>
      </c>
      <c r="N27" s="26">
        <f>IF(COUNTIFS($C:$C,$C27,$D:$D,$D27,$E:$E,"P0(전)",$M:$M,"&gt;0")&lt;&gt;1,"P0(전) 유효 1개 아님",IF(COUNTIFS($C:$C,$C27,$D:$D,$D27,$E:$E,"P0(후)",$M:$M,"&gt;0")&lt;&gt;1,"P0(후) 유효 1개 아님",IF(NOT(AND(ISNUMBER(O27),ISNUMBER(Q27),ISNUMBER(I27))),"시각 결측",IF(Q27&lt;=O27,"P0 시각 역전",IF(OR(I27&lt;O27,I27&gt;Q27),"측정시각 구간 밖","OK")))))</f>
        <v/>
      </c>
      <c r="O27" s="48">
        <f>IF(COUNTIFS($C:$C,$C27,$D:$D,$D27,$E:$E,"P0(전)",$M:$M,"&gt;0")&lt;&gt;1,"",SUMIFS($I:$I,$C:$C,$C27,$D:$D,$D27,$E:$E,"P0(전)"))</f>
        <v/>
      </c>
      <c r="P27" s="31">
        <f>IF(COUNTIFS($C:$C,$C27,$D:$D,$D27,$E:$E,"P0(전)",$M:$M,"&gt;0")&lt;&gt;1,"",SUMIFS($M:$M,$C:$C,$C27,$D:$D,$D27,$E:$E,"P0(전)"))</f>
        <v/>
      </c>
      <c r="Q27" s="48">
        <f>IF(COUNTIFS($C:$C,$C27,$D:$D,$D27,$E:$E,"P0(후)",$M:$M,"&gt;0")&lt;&gt;1,"",SUMIFS($I:$I,$C:$C,$C27,$D:$D,$D27,$E:$E,"P0(후)"))</f>
        <v/>
      </c>
      <c r="R27" s="31">
        <f>IF(COUNTIFS($C:$C,$C27,$D:$D,$D27,$E:$E,"P0(후)",$M:$M,"&gt;0")&lt;&gt;1,"",SUMIFS($M:$M,$C:$C,$C27,$D:$D,$D27,$E:$E,"P0(후)"))</f>
        <v/>
      </c>
      <c r="S27" s="31">
        <f>IF(N27&lt;&gt;"OK","",P27+(R27-P27)*(I27-O27)/(Q27-O27))</f>
        <v/>
      </c>
      <c r="T27" s="31">
        <f>IF(OR(N27&lt;&gt;"OK",NOT(ISNUMBER(M27))),"",M27-S27)</f>
        <v/>
      </c>
      <c r="U27" s="49">
        <f>IF(OR(NOT(ISNUMBER(T27)),IF(ISNUMBER(H27),H27,G27)=0),"",T27/IF(ISNUMBER(H27),H27,G27))</f>
        <v/>
      </c>
      <c r="V27" s="49">
        <f>IF(ISNUMBER(U27),ABS(U27),"")</f>
        <v/>
      </c>
      <c r="W27" s="49">
        <f>IF(OR($E26&lt;&gt;"측정",$C26&lt;&gt;$C27,$D26&lt;&gt;$D27,NOT(ISNUMBER(M27)),NOT(ISNUMBER(M26)),(IF(ISNUMBER(H27),H27,G27)-IF(ISNUMBER(H26),H26,G26))=0),"",(M27-M26)/(IF(ISNUMBER(H27),H27,G27)-IF(ISNUMBER(H26),H26,G26)))</f>
        <v/>
      </c>
      <c r="X27" s="31">
        <f>IF(NOT(AND(ISNUMBER(O27),ISNUMBER(Q27))),"",(Q27-O27)*1440)</f>
        <v/>
      </c>
      <c r="Y27" s="29" t="n"/>
      <c r="Z27" s="29" t="n"/>
      <c r="AA27" s="29" t="n"/>
      <c r="AB27" s="32" t="n"/>
      <c r="AC27" s="32" t="n"/>
    </row>
    <row r="28">
      <c r="A28" s="26" t="inlineStr">
        <is>
          <t>S01</t>
        </is>
      </c>
      <c r="B28" s="26" t="inlineStr">
        <is>
          <t>태백 신규점</t>
        </is>
      </c>
      <c r="C28" s="26" t="inlineStr">
        <is>
          <t>S01-H서</t>
        </is>
      </c>
      <c r="D28" s="47" t="n">
        <v>1</v>
      </c>
      <c r="E28" s="26" t="inlineStr">
        <is>
          <t>측정</t>
        </is>
      </c>
      <c r="F28" s="26" t="inlineStr">
        <is>
          <t>서</t>
        </is>
      </c>
      <c r="G28" s="31" t="n">
        <v>8</v>
      </c>
      <c r="H28" s="30" t="n"/>
      <c r="I28" s="43" t="n"/>
      <c r="J28" s="41" t="n"/>
      <c r="K28" s="41" t="n"/>
      <c r="L28" s="41" t="n"/>
      <c r="M28" s="31">
        <f>IF(COUNT(J28:L28)=0,"",MEDIAN(J28:L28))</f>
        <v/>
      </c>
      <c r="N28" s="26">
        <f>IF(COUNTIFS($C:$C,$C28,$D:$D,$D28,$E:$E,"P0(전)",$M:$M,"&gt;0")&lt;&gt;1,"P0(전) 유효 1개 아님",IF(COUNTIFS($C:$C,$C28,$D:$D,$D28,$E:$E,"P0(후)",$M:$M,"&gt;0")&lt;&gt;1,"P0(후) 유효 1개 아님",IF(NOT(AND(ISNUMBER(O28),ISNUMBER(Q28),ISNUMBER(I28))),"시각 결측",IF(Q28&lt;=O28,"P0 시각 역전",IF(OR(I28&lt;O28,I28&gt;Q28),"측정시각 구간 밖","OK")))))</f>
        <v/>
      </c>
      <c r="O28" s="48">
        <f>IF(COUNTIFS($C:$C,$C28,$D:$D,$D28,$E:$E,"P0(전)",$M:$M,"&gt;0")&lt;&gt;1,"",SUMIFS($I:$I,$C:$C,$C28,$D:$D,$D28,$E:$E,"P0(전)"))</f>
        <v/>
      </c>
      <c r="P28" s="31">
        <f>IF(COUNTIFS($C:$C,$C28,$D:$D,$D28,$E:$E,"P0(전)",$M:$M,"&gt;0")&lt;&gt;1,"",SUMIFS($M:$M,$C:$C,$C28,$D:$D,$D28,$E:$E,"P0(전)"))</f>
        <v/>
      </c>
      <c r="Q28" s="48">
        <f>IF(COUNTIFS($C:$C,$C28,$D:$D,$D28,$E:$E,"P0(후)",$M:$M,"&gt;0")&lt;&gt;1,"",SUMIFS($I:$I,$C:$C,$C28,$D:$D,$D28,$E:$E,"P0(후)"))</f>
        <v/>
      </c>
      <c r="R28" s="31">
        <f>IF(COUNTIFS($C:$C,$C28,$D:$D,$D28,$E:$E,"P0(후)",$M:$M,"&gt;0")&lt;&gt;1,"",SUMIFS($M:$M,$C:$C,$C28,$D:$D,$D28,$E:$E,"P0(후)"))</f>
        <v/>
      </c>
      <c r="S28" s="31">
        <f>IF(N28&lt;&gt;"OK","",P28+(R28-P28)*(I28-O28)/(Q28-O28))</f>
        <v/>
      </c>
      <c r="T28" s="31">
        <f>IF(OR(N28&lt;&gt;"OK",NOT(ISNUMBER(M28))),"",M28-S28)</f>
        <v/>
      </c>
      <c r="U28" s="49">
        <f>IF(OR(NOT(ISNUMBER(T28)),IF(ISNUMBER(H28),H28,G28)=0),"",T28/IF(ISNUMBER(H28),H28,G28))</f>
        <v/>
      </c>
      <c r="V28" s="49">
        <f>IF(ISNUMBER(U28),ABS(U28),"")</f>
        <v/>
      </c>
      <c r="W28" s="49">
        <f>IF(OR($E27&lt;&gt;"측정",$C27&lt;&gt;$C28,$D27&lt;&gt;$D28,NOT(ISNUMBER(M28)),NOT(ISNUMBER(M27)),(IF(ISNUMBER(H28),H28,G28)-IF(ISNUMBER(H27),H27,G27))=0),"",(M28-M27)/(IF(ISNUMBER(H28),H28,G28)-IF(ISNUMBER(H27),H27,G27)))</f>
        <v/>
      </c>
      <c r="X28" s="31">
        <f>IF(NOT(AND(ISNUMBER(O28),ISNUMBER(Q28))),"",(Q28-O28)*1440)</f>
        <v/>
      </c>
      <c r="Y28" s="29" t="n"/>
      <c r="Z28" s="29" t="n"/>
      <c r="AA28" s="29" t="n"/>
      <c r="AB28" s="32" t="n"/>
      <c r="AC28" s="32" t="n"/>
    </row>
    <row r="29">
      <c r="A29" s="26" t="inlineStr">
        <is>
          <t>S01</t>
        </is>
      </c>
      <c r="B29" s="26" t="inlineStr">
        <is>
          <t>태백 신규점</t>
        </is>
      </c>
      <c r="C29" s="26" t="inlineStr">
        <is>
          <t>S01-H서</t>
        </is>
      </c>
      <c r="D29" s="47" t="n">
        <v>1</v>
      </c>
      <c r="E29" s="26" t="inlineStr">
        <is>
          <t>측정</t>
        </is>
      </c>
      <c r="F29" s="26" t="inlineStr">
        <is>
          <t>서</t>
        </is>
      </c>
      <c r="G29" s="31" t="n">
        <v>9</v>
      </c>
      <c r="H29" s="30" t="n"/>
      <c r="I29" s="43" t="n"/>
      <c r="J29" s="41" t="n"/>
      <c r="K29" s="41" t="n"/>
      <c r="L29" s="41" t="n"/>
      <c r="M29" s="31">
        <f>IF(COUNT(J29:L29)=0,"",MEDIAN(J29:L29))</f>
        <v/>
      </c>
      <c r="N29" s="26">
        <f>IF(COUNTIFS($C:$C,$C29,$D:$D,$D29,$E:$E,"P0(전)",$M:$M,"&gt;0")&lt;&gt;1,"P0(전) 유효 1개 아님",IF(COUNTIFS($C:$C,$C29,$D:$D,$D29,$E:$E,"P0(후)",$M:$M,"&gt;0")&lt;&gt;1,"P0(후) 유효 1개 아님",IF(NOT(AND(ISNUMBER(O29),ISNUMBER(Q29),ISNUMBER(I29))),"시각 결측",IF(Q29&lt;=O29,"P0 시각 역전",IF(OR(I29&lt;O29,I29&gt;Q29),"측정시각 구간 밖","OK")))))</f>
        <v/>
      </c>
      <c r="O29" s="48">
        <f>IF(COUNTIFS($C:$C,$C29,$D:$D,$D29,$E:$E,"P0(전)",$M:$M,"&gt;0")&lt;&gt;1,"",SUMIFS($I:$I,$C:$C,$C29,$D:$D,$D29,$E:$E,"P0(전)"))</f>
        <v/>
      </c>
      <c r="P29" s="31">
        <f>IF(COUNTIFS($C:$C,$C29,$D:$D,$D29,$E:$E,"P0(전)",$M:$M,"&gt;0")&lt;&gt;1,"",SUMIFS($M:$M,$C:$C,$C29,$D:$D,$D29,$E:$E,"P0(전)"))</f>
        <v/>
      </c>
      <c r="Q29" s="48">
        <f>IF(COUNTIFS($C:$C,$C29,$D:$D,$D29,$E:$E,"P0(후)",$M:$M,"&gt;0")&lt;&gt;1,"",SUMIFS($I:$I,$C:$C,$C29,$D:$D,$D29,$E:$E,"P0(후)"))</f>
        <v/>
      </c>
      <c r="R29" s="31">
        <f>IF(COUNTIFS($C:$C,$C29,$D:$D,$D29,$E:$E,"P0(후)",$M:$M,"&gt;0")&lt;&gt;1,"",SUMIFS($M:$M,$C:$C,$C29,$D:$D,$D29,$E:$E,"P0(후)"))</f>
        <v/>
      </c>
      <c r="S29" s="31">
        <f>IF(N29&lt;&gt;"OK","",P29+(R29-P29)*(I29-O29)/(Q29-O29))</f>
        <v/>
      </c>
      <c r="T29" s="31">
        <f>IF(OR(N29&lt;&gt;"OK",NOT(ISNUMBER(M29))),"",M29-S29)</f>
        <v/>
      </c>
      <c r="U29" s="49">
        <f>IF(OR(NOT(ISNUMBER(T29)),IF(ISNUMBER(H29),H29,G29)=0),"",T29/IF(ISNUMBER(H29),H29,G29))</f>
        <v/>
      </c>
      <c r="V29" s="49">
        <f>IF(ISNUMBER(U29),ABS(U29),"")</f>
        <v/>
      </c>
      <c r="W29" s="49">
        <f>IF(OR($E28&lt;&gt;"측정",$C28&lt;&gt;$C29,$D28&lt;&gt;$D29,NOT(ISNUMBER(M29)),NOT(ISNUMBER(M28)),(IF(ISNUMBER(H29),H29,G29)-IF(ISNUMBER(H28),H28,G28))=0),"",(M29-M28)/(IF(ISNUMBER(H29),H29,G29)-IF(ISNUMBER(H28),H28,G28)))</f>
        <v/>
      </c>
      <c r="X29" s="31">
        <f>IF(NOT(AND(ISNUMBER(O29),ISNUMBER(Q29))),"",(Q29-O29)*1440)</f>
        <v/>
      </c>
      <c r="Y29" s="29" t="n"/>
      <c r="Z29" s="29" t="n"/>
      <c r="AA29" s="29" t="n"/>
      <c r="AB29" s="32" t="n"/>
      <c r="AC29" s="32" t="n"/>
    </row>
    <row r="30">
      <c r="A30" s="26" t="inlineStr">
        <is>
          <t>S01</t>
        </is>
      </c>
      <c r="B30" s="26" t="inlineStr">
        <is>
          <t>태백 신규점</t>
        </is>
      </c>
      <c r="C30" s="26" t="inlineStr">
        <is>
          <t>S01-H서</t>
        </is>
      </c>
      <c r="D30" s="47" t="n">
        <v>1</v>
      </c>
      <c r="E30" s="26" t="inlineStr">
        <is>
          <t>측정</t>
        </is>
      </c>
      <c r="F30" s="26" t="inlineStr">
        <is>
          <t>서</t>
        </is>
      </c>
      <c r="G30" s="31" t="n">
        <v>10</v>
      </c>
      <c r="H30" s="30" t="n"/>
      <c r="I30" s="43" t="n"/>
      <c r="J30" s="41" t="n"/>
      <c r="K30" s="41" t="n"/>
      <c r="L30" s="41" t="n"/>
      <c r="M30" s="31">
        <f>IF(COUNT(J30:L30)=0,"",MEDIAN(J30:L30))</f>
        <v/>
      </c>
      <c r="N30" s="26">
        <f>IF(COUNTIFS($C:$C,$C30,$D:$D,$D30,$E:$E,"P0(전)",$M:$M,"&gt;0")&lt;&gt;1,"P0(전) 유효 1개 아님",IF(COUNTIFS($C:$C,$C30,$D:$D,$D30,$E:$E,"P0(후)",$M:$M,"&gt;0")&lt;&gt;1,"P0(후) 유효 1개 아님",IF(NOT(AND(ISNUMBER(O30),ISNUMBER(Q30),ISNUMBER(I30))),"시각 결측",IF(Q30&lt;=O30,"P0 시각 역전",IF(OR(I30&lt;O30,I30&gt;Q30),"측정시각 구간 밖","OK")))))</f>
        <v/>
      </c>
      <c r="O30" s="48">
        <f>IF(COUNTIFS($C:$C,$C30,$D:$D,$D30,$E:$E,"P0(전)",$M:$M,"&gt;0")&lt;&gt;1,"",SUMIFS($I:$I,$C:$C,$C30,$D:$D,$D30,$E:$E,"P0(전)"))</f>
        <v/>
      </c>
      <c r="P30" s="31">
        <f>IF(COUNTIFS($C:$C,$C30,$D:$D,$D30,$E:$E,"P0(전)",$M:$M,"&gt;0")&lt;&gt;1,"",SUMIFS($M:$M,$C:$C,$C30,$D:$D,$D30,$E:$E,"P0(전)"))</f>
        <v/>
      </c>
      <c r="Q30" s="48">
        <f>IF(COUNTIFS($C:$C,$C30,$D:$D,$D30,$E:$E,"P0(후)",$M:$M,"&gt;0")&lt;&gt;1,"",SUMIFS($I:$I,$C:$C,$C30,$D:$D,$D30,$E:$E,"P0(후)"))</f>
        <v/>
      </c>
      <c r="R30" s="31">
        <f>IF(COUNTIFS($C:$C,$C30,$D:$D,$D30,$E:$E,"P0(후)",$M:$M,"&gt;0")&lt;&gt;1,"",SUMIFS($M:$M,$C:$C,$C30,$D:$D,$D30,$E:$E,"P0(후)"))</f>
        <v/>
      </c>
      <c r="S30" s="31">
        <f>IF(N30&lt;&gt;"OK","",P30+(R30-P30)*(I30-O30)/(Q30-O30))</f>
        <v/>
      </c>
      <c r="T30" s="31">
        <f>IF(OR(N30&lt;&gt;"OK",NOT(ISNUMBER(M30))),"",M30-S30)</f>
        <v/>
      </c>
      <c r="U30" s="49">
        <f>IF(OR(NOT(ISNUMBER(T30)),IF(ISNUMBER(H30),H30,G30)=0),"",T30/IF(ISNUMBER(H30),H30,G30))</f>
        <v/>
      </c>
      <c r="V30" s="49">
        <f>IF(ISNUMBER(U30),ABS(U30),"")</f>
        <v/>
      </c>
      <c r="W30" s="49">
        <f>IF(OR($E29&lt;&gt;"측정",$C29&lt;&gt;$C30,$D29&lt;&gt;$D30,NOT(ISNUMBER(M30)),NOT(ISNUMBER(M29)),(IF(ISNUMBER(H30),H30,G30)-IF(ISNUMBER(H29),H29,G29))=0),"",(M30-M29)/(IF(ISNUMBER(H30),H30,G30)-IF(ISNUMBER(H29),H29,G29)))</f>
        <v/>
      </c>
      <c r="X30" s="31">
        <f>IF(NOT(AND(ISNUMBER(O30),ISNUMBER(Q30))),"",(Q30-O30)*1440)</f>
        <v/>
      </c>
      <c r="Y30" s="29" t="n"/>
      <c r="Z30" s="29" t="n"/>
      <c r="AA30" s="29" t="n"/>
      <c r="AB30" s="32" t="n"/>
      <c r="AC30" s="32" t="n"/>
    </row>
    <row r="31">
      <c r="A31" s="44" t="inlineStr">
        <is>
          <t>S01</t>
        </is>
      </c>
      <c r="B31" s="44" t="inlineStr">
        <is>
          <t>태백 신규점</t>
        </is>
      </c>
      <c r="C31" s="44" t="inlineStr">
        <is>
          <t>S01-H서</t>
        </is>
      </c>
      <c r="D31" s="45" t="n">
        <v>1</v>
      </c>
      <c r="E31" s="44" t="inlineStr">
        <is>
          <t>P0(후)</t>
        </is>
      </c>
      <c r="F31" s="44" t="inlineStr">
        <is>
          <t>서</t>
        </is>
      </c>
      <c r="G31" s="46" t="n"/>
      <c r="H31" s="30" t="n"/>
      <c r="I31" s="43" t="n"/>
      <c r="J31" s="41" t="n"/>
      <c r="K31" s="41" t="n"/>
      <c r="L31" s="41" t="n"/>
      <c r="M31" s="31">
        <f>IF(COUNT(J31:L31)=0,"",MEDIAN(J31:L31))</f>
        <v/>
      </c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29" t="n"/>
      <c r="Z31" s="29" t="n"/>
      <c r="AA31" s="29" t="n"/>
      <c r="AB31" s="32" t="n"/>
      <c r="AC31" s="32" t="n"/>
    </row>
    <row r="32">
      <c r="A32" s="44" t="inlineStr">
        <is>
          <t>S01</t>
        </is>
      </c>
      <c r="B32" s="44" t="inlineStr">
        <is>
          <t>태백 신규점</t>
        </is>
      </c>
      <c r="C32" s="44" t="inlineStr">
        <is>
          <t>S01-H남</t>
        </is>
      </c>
      <c r="D32" s="45" t="n">
        <v>1</v>
      </c>
      <c r="E32" s="44" t="inlineStr">
        <is>
          <t>P0(전)</t>
        </is>
      </c>
      <c r="F32" s="44" t="inlineStr">
        <is>
          <t>남</t>
        </is>
      </c>
      <c r="G32" s="46" t="n"/>
      <c r="H32" s="30" t="n"/>
      <c r="I32" s="43" t="n"/>
      <c r="J32" s="41" t="n"/>
      <c r="K32" s="41" t="n"/>
      <c r="L32" s="41" t="n"/>
      <c r="M32" s="31">
        <f>IF(COUNT(J32:L32)=0,"",MEDIAN(J32:L32))</f>
        <v/>
      </c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29" t="n"/>
      <c r="Z32" s="29" t="n"/>
      <c r="AA32" s="29" t="n"/>
      <c r="AB32" s="32" t="n"/>
      <c r="AC32" s="32" t="n"/>
    </row>
    <row r="33">
      <c r="A33" s="26" t="inlineStr">
        <is>
          <t>S01</t>
        </is>
      </c>
      <c r="B33" s="26" t="inlineStr">
        <is>
          <t>태백 신규점</t>
        </is>
      </c>
      <c r="C33" s="26" t="inlineStr">
        <is>
          <t>S01-H남</t>
        </is>
      </c>
      <c r="D33" s="47" t="n">
        <v>1</v>
      </c>
      <c r="E33" s="26" t="inlineStr">
        <is>
          <t>측정</t>
        </is>
      </c>
      <c r="F33" s="26" t="inlineStr">
        <is>
          <t>남</t>
        </is>
      </c>
      <c r="G33" s="31" t="n">
        <v>0.5</v>
      </c>
      <c r="H33" s="30" t="n"/>
      <c r="I33" s="43" t="n"/>
      <c r="J33" s="41" t="n"/>
      <c r="K33" s="41" t="n"/>
      <c r="L33" s="41" t="n"/>
      <c r="M33" s="31">
        <f>IF(COUNT(J33:L33)=0,"",MEDIAN(J33:L33))</f>
        <v/>
      </c>
      <c r="N33" s="26">
        <f>IF(COUNTIFS($C:$C,$C33,$D:$D,$D33,$E:$E,"P0(전)",$M:$M,"&gt;0")&lt;&gt;1,"P0(전) 유효 1개 아님",IF(COUNTIFS($C:$C,$C33,$D:$D,$D33,$E:$E,"P0(후)",$M:$M,"&gt;0")&lt;&gt;1,"P0(후) 유효 1개 아님",IF(NOT(AND(ISNUMBER(O33),ISNUMBER(Q33),ISNUMBER(I33))),"시각 결측",IF(Q33&lt;=O33,"P0 시각 역전",IF(OR(I33&lt;O33,I33&gt;Q33),"측정시각 구간 밖","OK")))))</f>
        <v/>
      </c>
      <c r="O33" s="48">
        <f>IF(COUNTIFS($C:$C,$C33,$D:$D,$D33,$E:$E,"P0(전)",$M:$M,"&gt;0")&lt;&gt;1,"",SUMIFS($I:$I,$C:$C,$C33,$D:$D,$D33,$E:$E,"P0(전)"))</f>
        <v/>
      </c>
      <c r="P33" s="31">
        <f>IF(COUNTIFS($C:$C,$C33,$D:$D,$D33,$E:$E,"P0(전)",$M:$M,"&gt;0")&lt;&gt;1,"",SUMIFS($M:$M,$C:$C,$C33,$D:$D,$D33,$E:$E,"P0(전)"))</f>
        <v/>
      </c>
      <c r="Q33" s="48">
        <f>IF(COUNTIFS($C:$C,$C33,$D:$D,$D33,$E:$E,"P0(후)",$M:$M,"&gt;0")&lt;&gt;1,"",SUMIFS($I:$I,$C:$C,$C33,$D:$D,$D33,$E:$E,"P0(후)"))</f>
        <v/>
      </c>
      <c r="R33" s="31">
        <f>IF(COUNTIFS($C:$C,$C33,$D:$D,$D33,$E:$E,"P0(후)",$M:$M,"&gt;0")&lt;&gt;1,"",SUMIFS($M:$M,$C:$C,$C33,$D:$D,$D33,$E:$E,"P0(후)"))</f>
        <v/>
      </c>
      <c r="S33" s="31">
        <f>IF(N33&lt;&gt;"OK","",P33+(R33-P33)*(I33-O33)/(Q33-O33))</f>
        <v/>
      </c>
      <c r="T33" s="31">
        <f>IF(OR(N33&lt;&gt;"OK",NOT(ISNUMBER(M33))),"",M33-S33)</f>
        <v/>
      </c>
      <c r="U33" s="49">
        <f>IF(OR(NOT(ISNUMBER(T33)),IF(ISNUMBER(H33),H33,G33)=0),"",T33/IF(ISNUMBER(H33),H33,G33))</f>
        <v/>
      </c>
      <c r="V33" s="49">
        <f>IF(ISNUMBER(U33),ABS(U33),"")</f>
        <v/>
      </c>
      <c r="W33" s="49">
        <f>IF(OR($E32&lt;&gt;"측정",$C32&lt;&gt;$C33,$D32&lt;&gt;$D33,NOT(ISNUMBER(M33)),NOT(ISNUMBER(M32)),(IF(ISNUMBER(H33),H33,G33)-IF(ISNUMBER(H32),H32,G32))=0),"",(M33-M32)/(IF(ISNUMBER(H33),H33,G33)-IF(ISNUMBER(H32),H32,G32)))</f>
        <v/>
      </c>
      <c r="X33" s="31">
        <f>IF(NOT(AND(ISNUMBER(O33),ISNUMBER(Q33))),"",(Q33-O33)*1440)</f>
        <v/>
      </c>
      <c r="Y33" s="29" t="n"/>
      <c r="Z33" s="29" t="n"/>
      <c r="AA33" s="29" t="n"/>
      <c r="AB33" s="32" t="n"/>
      <c r="AC33" s="32" t="n"/>
    </row>
    <row r="34">
      <c r="A34" s="26" t="inlineStr">
        <is>
          <t>S01</t>
        </is>
      </c>
      <c r="B34" s="26" t="inlineStr">
        <is>
          <t>태백 신규점</t>
        </is>
      </c>
      <c r="C34" s="26" t="inlineStr">
        <is>
          <t>S01-H남</t>
        </is>
      </c>
      <c r="D34" s="47" t="n">
        <v>1</v>
      </c>
      <c r="E34" s="26" t="inlineStr">
        <is>
          <t>측정</t>
        </is>
      </c>
      <c r="F34" s="26" t="inlineStr">
        <is>
          <t>남</t>
        </is>
      </c>
      <c r="G34" s="31" t="n">
        <v>1</v>
      </c>
      <c r="H34" s="30" t="n"/>
      <c r="I34" s="43" t="n"/>
      <c r="J34" s="41" t="n"/>
      <c r="K34" s="41" t="n"/>
      <c r="L34" s="41" t="n"/>
      <c r="M34" s="31">
        <f>IF(COUNT(J34:L34)=0,"",MEDIAN(J34:L34))</f>
        <v/>
      </c>
      <c r="N34" s="26">
        <f>IF(COUNTIFS($C:$C,$C34,$D:$D,$D34,$E:$E,"P0(전)",$M:$M,"&gt;0")&lt;&gt;1,"P0(전) 유효 1개 아님",IF(COUNTIFS($C:$C,$C34,$D:$D,$D34,$E:$E,"P0(후)",$M:$M,"&gt;0")&lt;&gt;1,"P0(후) 유효 1개 아님",IF(NOT(AND(ISNUMBER(O34),ISNUMBER(Q34),ISNUMBER(I34))),"시각 결측",IF(Q34&lt;=O34,"P0 시각 역전",IF(OR(I34&lt;O34,I34&gt;Q34),"측정시각 구간 밖","OK")))))</f>
        <v/>
      </c>
      <c r="O34" s="48">
        <f>IF(COUNTIFS($C:$C,$C34,$D:$D,$D34,$E:$E,"P0(전)",$M:$M,"&gt;0")&lt;&gt;1,"",SUMIFS($I:$I,$C:$C,$C34,$D:$D,$D34,$E:$E,"P0(전)"))</f>
        <v/>
      </c>
      <c r="P34" s="31">
        <f>IF(COUNTIFS($C:$C,$C34,$D:$D,$D34,$E:$E,"P0(전)",$M:$M,"&gt;0")&lt;&gt;1,"",SUMIFS($M:$M,$C:$C,$C34,$D:$D,$D34,$E:$E,"P0(전)"))</f>
        <v/>
      </c>
      <c r="Q34" s="48">
        <f>IF(COUNTIFS($C:$C,$C34,$D:$D,$D34,$E:$E,"P0(후)",$M:$M,"&gt;0")&lt;&gt;1,"",SUMIFS($I:$I,$C:$C,$C34,$D:$D,$D34,$E:$E,"P0(후)"))</f>
        <v/>
      </c>
      <c r="R34" s="31">
        <f>IF(COUNTIFS($C:$C,$C34,$D:$D,$D34,$E:$E,"P0(후)",$M:$M,"&gt;0")&lt;&gt;1,"",SUMIFS($M:$M,$C:$C,$C34,$D:$D,$D34,$E:$E,"P0(후)"))</f>
        <v/>
      </c>
      <c r="S34" s="31">
        <f>IF(N34&lt;&gt;"OK","",P34+(R34-P34)*(I34-O34)/(Q34-O34))</f>
        <v/>
      </c>
      <c r="T34" s="31">
        <f>IF(OR(N34&lt;&gt;"OK",NOT(ISNUMBER(M34))),"",M34-S34)</f>
        <v/>
      </c>
      <c r="U34" s="49">
        <f>IF(OR(NOT(ISNUMBER(T34)),IF(ISNUMBER(H34),H34,G34)=0),"",T34/IF(ISNUMBER(H34),H34,G34))</f>
        <v/>
      </c>
      <c r="V34" s="49">
        <f>IF(ISNUMBER(U34),ABS(U34),"")</f>
        <v/>
      </c>
      <c r="W34" s="49">
        <f>IF(OR($E33&lt;&gt;"측정",$C33&lt;&gt;$C34,$D33&lt;&gt;$D34,NOT(ISNUMBER(M34)),NOT(ISNUMBER(M33)),(IF(ISNUMBER(H34),H34,G34)-IF(ISNUMBER(H33),H33,G33))=0),"",(M34-M33)/(IF(ISNUMBER(H34),H34,G34)-IF(ISNUMBER(H33),H33,G33)))</f>
        <v/>
      </c>
      <c r="X34" s="31">
        <f>IF(NOT(AND(ISNUMBER(O34),ISNUMBER(Q34))),"",(Q34-O34)*1440)</f>
        <v/>
      </c>
      <c r="Y34" s="29" t="n"/>
      <c r="Z34" s="29" t="n"/>
      <c r="AA34" s="29" t="n"/>
      <c r="AB34" s="32" t="n"/>
      <c r="AC34" s="32" t="n"/>
    </row>
    <row r="35">
      <c r="A35" s="26" t="inlineStr">
        <is>
          <t>S01</t>
        </is>
      </c>
      <c r="B35" s="26" t="inlineStr">
        <is>
          <t>태백 신규점</t>
        </is>
      </c>
      <c r="C35" s="26" t="inlineStr">
        <is>
          <t>S01-H남</t>
        </is>
      </c>
      <c r="D35" s="47" t="n">
        <v>1</v>
      </c>
      <c r="E35" s="26" t="inlineStr">
        <is>
          <t>측정</t>
        </is>
      </c>
      <c r="F35" s="26" t="inlineStr">
        <is>
          <t>남</t>
        </is>
      </c>
      <c r="G35" s="31" t="n">
        <v>2</v>
      </c>
      <c r="H35" s="30" t="n"/>
      <c r="I35" s="43" t="n"/>
      <c r="J35" s="41" t="n"/>
      <c r="K35" s="41" t="n"/>
      <c r="L35" s="41" t="n"/>
      <c r="M35" s="31">
        <f>IF(COUNT(J35:L35)=0,"",MEDIAN(J35:L35))</f>
        <v/>
      </c>
      <c r="N35" s="26">
        <f>IF(COUNTIFS($C:$C,$C35,$D:$D,$D35,$E:$E,"P0(전)",$M:$M,"&gt;0")&lt;&gt;1,"P0(전) 유효 1개 아님",IF(COUNTIFS($C:$C,$C35,$D:$D,$D35,$E:$E,"P0(후)",$M:$M,"&gt;0")&lt;&gt;1,"P0(후) 유효 1개 아님",IF(NOT(AND(ISNUMBER(O35),ISNUMBER(Q35),ISNUMBER(I35))),"시각 결측",IF(Q35&lt;=O35,"P0 시각 역전",IF(OR(I35&lt;O35,I35&gt;Q35),"측정시각 구간 밖","OK")))))</f>
        <v/>
      </c>
      <c r="O35" s="48">
        <f>IF(COUNTIFS($C:$C,$C35,$D:$D,$D35,$E:$E,"P0(전)",$M:$M,"&gt;0")&lt;&gt;1,"",SUMIFS($I:$I,$C:$C,$C35,$D:$D,$D35,$E:$E,"P0(전)"))</f>
        <v/>
      </c>
      <c r="P35" s="31">
        <f>IF(COUNTIFS($C:$C,$C35,$D:$D,$D35,$E:$E,"P0(전)",$M:$M,"&gt;0")&lt;&gt;1,"",SUMIFS($M:$M,$C:$C,$C35,$D:$D,$D35,$E:$E,"P0(전)"))</f>
        <v/>
      </c>
      <c r="Q35" s="48">
        <f>IF(COUNTIFS($C:$C,$C35,$D:$D,$D35,$E:$E,"P0(후)",$M:$M,"&gt;0")&lt;&gt;1,"",SUMIFS($I:$I,$C:$C,$C35,$D:$D,$D35,$E:$E,"P0(후)"))</f>
        <v/>
      </c>
      <c r="R35" s="31">
        <f>IF(COUNTIFS($C:$C,$C35,$D:$D,$D35,$E:$E,"P0(후)",$M:$M,"&gt;0")&lt;&gt;1,"",SUMIFS($M:$M,$C:$C,$C35,$D:$D,$D35,$E:$E,"P0(후)"))</f>
        <v/>
      </c>
      <c r="S35" s="31">
        <f>IF(N35&lt;&gt;"OK","",P35+(R35-P35)*(I35-O35)/(Q35-O35))</f>
        <v/>
      </c>
      <c r="T35" s="31">
        <f>IF(OR(N35&lt;&gt;"OK",NOT(ISNUMBER(M35))),"",M35-S35)</f>
        <v/>
      </c>
      <c r="U35" s="49">
        <f>IF(OR(NOT(ISNUMBER(T35)),IF(ISNUMBER(H35),H35,G35)=0),"",T35/IF(ISNUMBER(H35),H35,G35))</f>
        <v/>
      </c>
      <c r="V35" s="49">
        <f>IF(ISNUMBER(U35),ABS(U35),"")</f>
        <v/>
      </c>
      <c r="W35" s="49">
        <f>IF(OR($E34&lt;&gt;"측정",$C34&lt;&gt;$C35,$D34&lt;&gt;$D35,NOT(ISNUMBER(M35)),NOT(ISNUMBER(M34)),(IF(ISNUMBER(H35),H35,G35)-IF(ISNUMBER(H34),H34,G34))=0),"",(M35-M34)/(IF(ISNUMBER(H35),H35,G35)-IF(ISNUMBER(H34),H34,G34)))</f>
        <v/>
      </c>
      <c r="X35" s="31">
        <f>IF(NOT(AND(ISNUMBER(O35),ISNUMBER(Q35))),"",(Q35-O35)*1440)</f>
        <v/>
      </c>
      <c r="Y35" s="29" t="n"/>
      <c r="Z35" s="29" t="n"/>
      <c r="AA35" s="29" t="n"/>
      <c r="AB35" s="32" t="n"/>
      <c r="AC35" s="32" t="n"/>
    </row>
    <row r="36">
      <c r="A36" s="26" t="inlineStr">
        <is>
          <t>S01</t>
        </is>
      </c>
      <c r="B36" s="26" t="inlineStr">
        <is>
          <t>태백 신규점</t>
        </is>
      </c>
      <c r="C36" s="26" t="inlineStr">
        <is>
          <t>S01-H남</t>
        </is>
      </c>
      <c r="D36" s="47" t="n">
        <v>1</v>
      </c>
      <c r="E36" s="26" t="inlineStr">
        <is>
          <t>측정</t>
        </is>
      </c>
      <c r="F36" s="26" t="inlineStr">
        <is>
          <t>남</t>
        </is>
      </c>
      <c r="G36" s="31" t="n">
        <v>3</v>
      </c>
      <c r="H36" s="30" t="n"/>
      <c r="I36" s="43" t="n"/>
      <c r="J36" s="41" t="n"/>
      <c r="K36" s="41" t="n"/>
      <c r="L36" s="41" t="n"/>
      <c r="M36" s="31">
        <f>IF(COUNT(J36:L36)=0,"",MEDIAN(J36:L36))</f>
        <v/>
      </c>
      <c r="N36" s="26">
        <f>IF(COUNTIFS($C:$C,$C36,$D:$D,$D36,$E:$E,"P0(전)",$M:$M,"&gt;0")&lt;&gt;1,"P0(전) 유효 1개 아님",IF(COUNTIFS($C:$C,$C36,$D:$D,$D36,$E:$E,"P0(후)",$M:$M,"&gt;0")&lt;&gt;1,"P0(후) 유효 1개 아님",IF(NOT(AND(ISNUMBER(O36),ISNUMBER(Q36),ISNUMBER(I36))),"시각 결측",IF(Q36&lt;=O36,"P0 시각 역전",IF(OR(I36&lt;O36,I36&gt;Q36),"측정시각 구간 밖","OK")))))</f>
        <v/>
      </c>
      <c r="O36" s="48">
        <f>IF(COUNTIFS($C:$C,$C36,$D:$D,$D36,$E:$E,"P0(전)",$M:$M,"&gt;0")&lt;&gt;1,"",SUMIFS($I:$I,$C:$C,$C36,$D:$D,$D36,$E:$E,"P0(전)"))</f>
        <v/>
      </c>
      <c r="P36" s="31">
        <f>IF(COUNTIFS($C:$C,$C36,$D:$D,$D36,$E:$E,"P0(전)",$M:$M,"&gt;0")&lt;&gt;1,"",SUMIFS($M:$M,$C:$C,$C36,$D:$D,$D36,$E:$E,"P0(전)"))</f>
        <v/>
      </c>
      <c r="Q36" s="48">
        <f>IF(COUNTIFS($C:$C,$C36,$D:$D,$D36,$E:$E,"P0(후)",$M:$M,"&gt;0")&lt;&gt;1,"",SUMIFS($I:$I,$C:$C,$C36,$D:$D,$D36,$E:$E,"P0(후)"))</f>
        <v/>
      </c>
      <c r="R36" s="31">
        <f>IF(COUNTIFS($C:$C,$C36,$D:$D,$D36,$E:$E,"P0(후)",$M:$M,"&gt;0")&lt;&gt;1,"",SUMIFS($M:$M,$C:$C,$C36,$D:$D,$D36,$E:$E,"P0(후)"))</f>
        <v/>
      </c>
      <c r="S36" s="31">
        <f>IF(N36&lt;&gt;"OK","",P36+(R36-P36)*(I36-O36)/(Q36-O36))</f>
        <v/>
      </c>
      <c r="T36" s="31">
        <f>IF(OR(N36&lt;&gt;"OK",NOT(ISNUMBER(M36))),"",M36-S36)</f>
        <v/>
      </c>
      <c r="U36" s="49">
        <f>IF(OR(NOT(ISNUMBER(T36)),IF(ISNUMBER(H36),H36,G36)=0),"",T36/IF(ISNUMBER(H36),H36,G36))</f>
        <v/>
      </c>
      <c r="V36" s="49">
        <f>IF(ISNUMBER(U36),ABS(U36),"")</f>
        <v/>
      </c>
      <c r="W36" s="49">
        <f>IF(OR($E35&lt;&gt;"측정",$C35&lt;&gt;$C36,$D35&lt;&gt;$D36,NOT(ISNUMBER(M36)),NOT(ISNUMBER(M35)),(IF(ISNUMBER(H36),H36,G36)-IF(ISNUMBER(H35),H35,G35))=0),"",(M36-M35)/(IF(ISNUMBER(H36),H36,G36)-IF(ISNUMBER(H35),H35,G35)))</f>
        <v/>
      </c>
      <c r="X36" s="31">
        <f>IF(NOT(AND(ISNUMBER(O36),ISNUMBER(Q36))),"",(Q36-O36)*1440)</f>
        <v/>
      </c>
      <c r="Y36" s="29" t="n"/>
      <c r="Z36" s="29" t="n"/>
      <c r="AA36" s="29" t="n"/>
      <c r="AB36" s="32" t="n"/>
      <c r="AC36" s="32" t="n"/>
    </row>
    <row r="37">
      <c r="A37" s="26" t="inlineStr">
        <is>
          <t>S01</t>
        </is>
      </c>
      <c r="B37" s="26" t="inlineStr">
        <is>
          <t>태백 신규점</t>
        </is>
      </c>
      <c r="C37" s="26" t="inlineStr">
        <is>
          <t>S01-H남</t>
        </is>
      </c>
      <c r="D37" s="47" t="n">
        <v>1</v>
      </c>
      <c r="E37" s="26" t="inlineStr">
        <is>
          <t>측정</t>
        </is>
      </c>
      <c r="F37" s="26" t="inlineStr">
        <is>
          <t>남</t>
        </is>
      </c>
      <c r="G37" s="31" t="n">
        <v>4</v>
      </c>
      <c r="H37" s="30" t="n"/>
      <c r="I37" s="43" t="n"/>
      <c r="J37" s="41" t="n"/>
      <c r="K37" s="41" t="n"/>
      <c r="L37" s="41" t="n"/>
      <c r="M37" s="31">
        <f>IF(COUNT(J37:L37)=0,"",MEDIAN(J37:L37))</f>
        <v/>
      </c>
      <c r="N37" s="26">
        <f>IF(COUNTIFS($C:$C,$C37,$D:$D,$D37,$E:$E,"P0(전)",$M:$M,"&gt;0")&lt;&gt;1,"P0(전) 유효 1개 아님",IF(COUNTIFS($C:$C,$C37,$D:$D,$D37,$E:$E,"P0(후)",$M:$M,"&gt;0")&lt;&gt;1,"P0(후) 유효 1개 아님",IF(NOT(AND(ISNUMBER(O37),ISNUMBER(Q37),ISNUMBER(I37))),"시각 결측",IF(Q37&lt;=O37,"P0 시각 역전",IF(OR(I37&lt;O37,I37&gt;Q37),"측정시각 구간 밖","OK")))))</f>
        <v/>
      </c>
      <c r="O37" s="48">
        <f>IF(COUNTIFS($C:$C,$C37,$D:$D,$D37,$E:$E,"P0(전)",$M:$M,"&gt;0")&lt;&gt;1,"",SUMIFS($I:$I,$C:$C,$C37,$D:$D,$D37,$E:$E,"P0(전)"))</f>
        <v/>
      </c>
      <c r="P37" s="31">
        <f>IF(COUNTIFS($C:$C,$C37,$D:$D,$D37,$E:$E,"P0(전)",$M:$M,"&gt;0")&lt;&gt;1,"",SUMIFS($M:$M,$C:$C,$C37,$D:$D,$D37,$E:$E,"P0(전)"))</f>
        <v/>
      </c>
      <c r="Q37" s="48">
        <f>IF(COUNTIFS($C:$C,$C37,$D:$D,$D37,$E:$E,"P0(후)",$M:$M,"&gt;0")&lt;&gt;1,"",SUMIFS($I:$I,$C:$C,$C37,$D:$D,$D37,$E:$E,"P0(후)"))</f>
        <v/>
      </c>
      <c r="R37" s="31">
        <f>IF(COUNTIFS($C:$C,$C37,$D:$D,$D37,$E:$E,"P0(후)",$M:$M,"&gt;0")&lt;&gt;1,"",SUMIFS($M:$M,$C:$C,$C37,$D:$D,$D37,$E:$E,"P0(후)"))</f>
        <v/>
      </c>
      <c r="S37" s="31">
        <f>IF(N37&lt;&gt;"OK","",P37+(R37-P37)*(I37-O37)/(Q37-O37))</f>
        <v/>
      </c>
      <c r="T37" s="31">
        <f>IF(OR(N37&lt;&gt;"OK",NOT(ISNUMBER(M37))),"",M37-S37)</f>
        <v/>
      </c>
      <c r="U37" s="49">
        <f>IF(OR(NOT(ISNUMBER(T37)),IF(ISNUMBER(H37),H37,G37)=0),"",T37/IF(ISNUMBER(H37),H37,G37))</f>
        <v/>
      </c>
      <c r="V37" s="49">
        <f>IF(ISNUMBER(U37),ABS(U37),"")</f>
        <v/>
      </c>
      <c r="W37" s="49">
        <f>IF(OR($E36&lt;&gt;"측정",$C36&lt;&gt;$C37,$D36&lt;&gt;$D37,NOT(ISNUMBER(M37)),NOT(ISNUMBER(M36)),(IF(ISNUMBER(H37),H37,G37)-IF(ISNUMBER(H36),H36,G36))=0),"",(M37-M36)/(IF(ISNUMBER(H37),H37,G37)-IF(ISNUMBER(H36),H36,G36)))</f>
        <v/>
      </c>
      <c r="X37" s="31">
        <f>IF(NOT(AND(ISNUMBER(O37),ISNUMBER(Q37))),"",(Q37-O37)*1440)</f>
        <v/>
      </c>
      <c r="Y37" s="29" t="n"/>
      <c r="Z37" s="29" t="n"/>
      <c r="AA37" s="29" t="n"/>
      <c r="AB37" s="32" t="n"/>
      <c r="AC37" s="32" t="n"/>
    </row>
    <row r="38">
      <c r="A38" s="26" t="inlineStr">
        <is>
          <t>S01</t>
        </is>
      </c>
      <c r="B38" s="26" t="inlineStr">
        <is>
          <t>태백 신규점</t>
        </is>
      </c>
      <c r="C38" s="26" t="inlineStr">
        <is>
          <t>S01-H남</t>
        </is>
      </c>
      <c r="D38" s="47" t="n">
        <v>1</v>
      </c>
      <c r="E38" s="26" t="inlineStr">
        <is>
          <t>측정</t>
        </is>
      </c>
      <c r="F38" s="26" t="inlineStr">
        <is>
          <t>남</t>
        </is>
      </c>
      <c r="G38" s="31" t="n">
        <v>5</v>
      </c>
      <c r="H38" s="30" t="n"/>
      <c r="I38" s="43" t="n"/>
      <c r="J38" s="41" t="n"/>
      <c r="K38" s="41" t="n"/>
      <c r="L38" s="41" t="n"/>
      <c r="M38" s="31">
        <f>IF(COUNT(J38:L38)=0,"",MEDIAN(J38:L38))</f>
        <v/>
      </c>
      <c r="N38" s="26">
        <f>IF(COUNTIFS($C:$C,$C38,$D:$D,$D38,$E:$E,"P0(전)",$M:$M,"&gt;0")&lt;&gt;1,"P0(전) 유효 1개 아님",IF(COUNTIFS($C:$C,$C38,$D:$D,$D38,$E:$E,"P0(후)",$M:$M,"&gt;0")&lt;&gt;1,"P0(후) 유효 1개 아님",IF(NOT(AND(ISNUMBER(O38),ISNUMBER(Q38),ISNUMBER(I38))),"시각 결측",IF(Q38&lt;=O38,"P0 시각 역전",IF(OR(I38&lt;O38,I38&gt;Q38),"측정시각 구간 밖","OK")))))</f>
        <v/>
      </c>
      <c r="O38" s="48">
        <f>IF(COUNTIFS($C:$C,$C38,$D:$D,$D38,$E:$E,"P0(전)",$M:$M,"&gt;0")&lt;&gt;1,"",SUMIFS($I:$I,$C:$C,$C38,$D:$D,$D38,$E:$E,"P0(전)"))</f>
        <v/>
      </c>
      <c r="P38" s="31">
        <f>IF(COUNTIFS($C:$C,$C38,$D:$D,$D38,$E:$E,"P0(전)",$M:$M,"&gt;0")&lt;&gt;1,"",SUMIFS($M:$M,$C:$C,$C38,$D:$D,$D38,$E:$E,"P0(전)"))</f>
        <v/>
      </c>
      <c r="Q38" s="48">
        <f>IF(COUNTIFS($C:$C,$C38,$D:$D,$D38,$E:$E,"P0(후)",$M:$M,"&gt;0")&lt;&gt;1,"",SUMIFS($I:$I,$C:$C,$C38,$D:$D,$D38,$E:$E,"P0(후)"))</f>
        <v/>
      </c>
      <c r="R38" s="31">
        <f>IF(COUNTIFS($C:$C,$C38,$D:$D,$D38,$E:$E,"P0(후)",$M:$M,"&gt;0")&lt;&gt;1,"",SUMIFS($M:$M,$C:$C,$C38,$D:$D,$D38,$E:$E,"P0(후)"))</f>
        <v/>
      </c>
      <c r="S38" s="31">
        <f>IF(N38&lt;&gt;"OK","",P38+(R38-P38)*(I38-O38)/(Q38-O38))</f>
        <v/>
      </c>
      <c r="T38" s="31">
        <f>IF(OR(N38&lt;&gt;"OK",NOT(ISNUMBER(M38))),"",M38-S38)</f>
        <v/>
      </c>
      <c r="U38" s="49">
        <f>IF(OR(NOT(ISNUMBER(T38)),IF(ISNUMBER(H38),H38,G38)=0),"",T38/IF(ISNUMBER(H38),H38,G38))</f>
        <v/>
      </c>
      <c r="V38" s="49">
        <f>IF(ISNUMBER(U38),ABS(U38),"")</f>
        <v/>
      </c>
      <c r="W38" s="49">
        <f>IF(OR($E37&lt;&gt;"측정",$C37&lt;&gt;$C38,$D37&lt;&gt;$D38,NOT(ISNUMBER(M38)),NOT(ISNUMBER(M37)),(IF(ISNUMBER(H38),H38,G38)-IF(ISNUMBER(H37),H37,G37))=0),"",(M38-M37)/(IF(ISNUMBER(H38),H38,G38)-IF(ISNUMBER(H37),H37,G37)))</f>
        <v/>
      </c>
      <c r="X38" s="31">
        <f>IF(NOT(AND(ISNUMBER(O38),ISNUMBER(Q38))),"",(Q38-O38)*1440)</f>
        <v/>
      </c>
      <c r="Y38" s="29" t="n"/>
      <c r="Z38" s="29" t="n"/>
      <c r="AA38" s="29" t="n"/>
      <c r="AB38" s="32" t="n"/>
      <c r="AC38" s="32" t="n"/>
    </row>
    <row r="39">
      <c r="A39" s="26" t="inlineStr">
        <is>
          <t>S01</t>
        </is>
      </c>
      <c r="B39" s="26" t="inlineStr">
        <is>
          <t>태백 신규점</t>
        </is>
      </c>
      <c r="C39" s="26" t="inlineStr">
        <is>
          <t>S01-H남</t>
        </is>
      </c>
      <c r="D39" s="47" t="n">
        <v>1</v>
      </c>
      <c r="E39" s="26" t="inlineStr">
        <is>
          <t>측정</t>
        </is>
      </c>
      <c r="F39" s="26" t="inlineStr">
        <is>
          <t>남</t>
        </is>
      </c>
      <c r="G39" s="31" t="n">
        <v>6</v>
      </c>
      <c r="H39" s="30" t="n"/>
      <c r="I39" s="43" t="n"/>
      <c r="J39" s="41" t="n"/>
      <c r="K39" s="41" t="n"/>
      <c r="L39" s="41" t="n"/>
      <c r="M39" s="31">
        <f>IF(COUNT(J39:L39)=0,"",MEDIAN(J39:L39))</f>
        <v/>
      </c>
      <c r="N39" s="26">
        <f>IF(COUNTIFS($C:$C,$C39,$D:$D,$D39,$E:$E,"P0(전)",$M:$M,"&gt;0")&lt;&gt;1,"P0(전) 유효 1개 아님",IF(COUNTIFS($C:$C,$C39,$D:$D,$D39,$E:$E,"P0(후)",$M:$M,"&gt;0")&lt;&gt;1,"P0(후) 유효 1개 아님",IF(NOT(AND(ISNUMBER(O39),ISNUMBER(Q39),ISNUMBER(I39))),"시각 결측",IF(Q39&lt;=O39,"P0 시각 역전",IF(OR(I39&lt;O39,I39&gt;Q39),"측정시각 구간 밖","OK")))))</f>
        <v/>
      </c>
      <c r="O39" s="48">
        <f>IF(COUNTIFS($C:$C,$C39,$D:$D,$D39,$E:$E,"P0(전)",$M:$M,"&gt;0")&lt;&gt;1,"",SUMIFS($I:$I,$C:$C,$C39,$D:$D,$D39,$E:$E,"P0(전)"))</f>
        <v/>
      </c>
      <c r="P39" s="31">
        <f>IF(COUNTIFS($C:$C,$C39,$D:$D,$D39,$E:$E,"P0(전)",$M:$M,"&gt;0")&lt;&gt;1,"",SUMIFS($M:$M,$C:$C,$C39,$D:$D,$D39,$E:$E,"P0(전)"))</f>
        <v/>
      </c>
      <c r="Q39" s="48">
        <f>IF(COUNTIFS($C:$C,$C39,$D:$D,$D39,$E:$E,"P0(후)",$M:$M,"&gt;0")&lt;&gt;1,"",SUMIFS($I:$I,$C:$C,$C39,$D:$D,$D39,$E:$E,"P0(후)"))</f>
        <v/>
      </c>
      <c r="R39" s="31">
        <f>IF(COUNTIFS($C:$C,$C39,$D:$D,$D39,$E:$E,"P0(후)",$M:$M,"&gt;0")&lt;&gt;1,"",SUMIFS($M:$M,$C:$C,$C39,$D:$D,$D39,$E:$E,"P0(후)"))</f>
        <v/>
      </c>
      <c r="S39" s="31">
        <f>IF(N39&lt;&gt;"OK","",P39+(R39-P39)*(I39-O39)/(Q39-O39))</f>
        <v/>
      </c>
      <c r="T39" s="31">
        <f>IF(OR(N39&lt;&gt;"OK",NOT(ISNUMBER(M39))),"",M39-S39)</f>
        <v/>
      </c>
      <c r="U39" s="49">
        <f>IF(OR(NOT(ISNUMBER(T39)),IF(ISNUMBER(H39),H39,G39)=0),"",T39/IF(ISNUMBER(H39),H39,G39))</f>
        <v/>
      </c>
      <c r="V39" s="49">
        <f>IF(ISNUMBER(U39),ABS(U39),"")</f>
        <v/>
      </c>
      <c r="W39" s="49">
        <f>IF(OR($E38&lt;&gt;"측정",$C38&lt;&gt;$C39,$D38&lt;&gt;$D39,NOT(ISNUMBER(M39)),NOT(ISNUMBER(M38)),(IF(ISNUMBER(H39),H39,G39)-IF(ISNUMBER(H38),H38,G38))=0),"",(M39-M38)/(IF(ISNUMBER(H39),H39,G39)-IF(ISNUMBER(H38),H38,G38)))</f>
        <v/>
      </c>
      <c r="X39" s="31">
        <f>IF(NOT(AND(ISNUMBER(O39),ISNUMBER(Q39))),"",(Q39-O39)*1440)</f>
        <v/>
      </c>
      <c r="Y39" s="29" t="n"/>
      <c r="Z39" s="29" t="n"/>
      <c r="AA39" s="29" t="n"/>
      <c r="AB39" s="32" t="n"/>
      <c r="AC39" s="32" t="n"/>
    </row>
    <row r="40">
      <c r="A40" s="26" t="inlineStr">
        <is>
          <t>S01</t>
        </is>
      </c>
      <c r="B40" s="26" t="inlineStr">
        <is>
          <t>태백 신규점</t>
        </is>
      </c>
      <c r="C40" s="26" t="inlineStr">
        <is>
          <t>S01-H남</t>
        </is>
      </c>
      <c r="D40" s="47" t="n">
        <v>1</v>
      </c>
      <c r="E40" s="26" t="inlineStr">
        <is>
          <t>측정</t>
        </is>
      </c>
      <c r="F40" s="26" t="inlineStr">
        <is>
          <t>남</t>
        </is>
      </c>
      <c r="G40" s="31" t="n">
        <v>7</v>
      </c>
      <c r="H40" s="30" t="n"/>
      <c r="I40" s="43" t="n"/>
      <c r="J40" s="41" t="n"/>
      <c r="K40" s="41" t="n"/>
      <c r="L40" s="41" t="n"/>
      <c r="M40" s="31">
        <f>IF(COUNT(J40:L40)=0,"",MEDIAN(J40:L40))</f>
        <v/>
      </c>
      <c r="N40" s="26">
        <f>IF(COUNTIFS($C:$C,$C40,$D:$D,$D40,$E:$E,"P0(전)",$M:$M,"&gt;0")&lt;&gt;1,"P0(전) 유효 1개 아님",IF(COUNTIFS($C:$C,$C40,$D:$D,$D40,$E:$E,"P0(후)",$M:$M,"&gt;0")&lt;&gt;1,"P0(후) 유효 1개 아님",IF(NOT(AND(ISNUMBER(O40),ISNUMBER(Q40),ISNUMBER(I40))),"시각 결측",IF(Q40&lt;=O40,"P0 시각 역전",IF(OR(I40&lt;O40,I40&gt;Q40),"측정시각 구간 밖","OK")))))</f>
        <v/>
      </c>
      <c r="O40" s="48">
        <f>IF(COUNTIFS($C:$C,$C40,$D:$D,$D40,$E:$E,"P0(전)",$M:$M,"&gt;0")&lt;&gt;1,"",SUMIFS($I:$I,$C:$C,$C40,$D:$D,$D40,$E:$E,"P0(전)"))</f>
        <v/>
      </c>
      <c r="P40" s="31">
        <f>IF(COUNTIFS($C:$C,$C40,$D:$D,$D40,$E:$E,"P0(전)",$M:$M,"&gt;0")&lt;&gt;1,"",SUMIFS($M:$M,$C:$C,$C40,$D:$D,$D40,$E:$E,"P0(전)"))</f>
        <v/>
      </c>
      <c r="Q40" s="48">
        <f>IF(COUNTIFS($C:$C,$C40,$D:$D,$D40,$E:$E,"P0(후)",$M:$M,"&gt;0")&lt;&gt;1,"",SUMIFS($I:$I,$C:$C,$C40,$D:$D,$D40,$E:$E,"P0(후)"))</f>
        <v/>
      </c>
      <c r="R40" s="31">
        <f>IF(COUNTIFS($C:$C,$C40,$D:$D,$D40,$E:$E,"P0(후)",$M:$M,"&gt;0")&lt;&gt;1,"",SUMIFS($M:$M,$C:$C,$C40,$D:$D,$D40,$E:$E,"P0(후)"))</f>
        <v/>
      </c>
      <c r="S40" s="31">
        <f>IF(N40&lt;&gt;"OK","",P40+(R40-P40)*(I40-O40)/(Q40-O40))</f>
        <v/>
      </c>
      <c r="T40" s="31">
        <f>IF(OR(N40&lt;&gt;"OK",NOT(ISNUMBER(M40))),"",M40-S40)</f>
        <v/>
      </c>
      <c r="U40" s="49">
        <f>IF(OR(NOT(ISNUMBER(T40)),IF(ISNUMBER(H40),H40,G40)=0),"",T40/IF(ISNUMBER(H40),H40,G40))</f>
        <v/>
      </c>
      <c r="V40" s="49">
        <f>IF(ISNUMBER(U40),ABS(U40),"")</f>
        <v/>
      </c>
      <c r="W40" s="49">
        <f>IF(OR($E39&lt;&gt;"측정",$C39&lt;&gt;$C40,$D39&lt;&gt;$D40,NOT(ISNUMBER(M40)),NOT(ISNUMBER(M39)),(IF(ISNUMBER(H40),H40,G40)-IF(ISNUMBER(H39),H39,G39))=0),"",(M40-M39)/(IF(ISNUMBER(H40),H40,G40)-IF(ISNUMBER(H39),H39,G39)))</f>
        <v/>
      </c>
      <c r="X40" s="31">
        <f>IF(NOT(AND(ISNUMBER(O40),ISNUMBER(Q40))),"",(Q40-O40)*1440)</f>
        <v/>
      </c>
      <c r="Y40" s="29" t="n"/>
      <c r="Z40" s="29" t="n"/>
      <c r="AA40" s="29" t="n"/>
      <c r="AB40" s="32" t="n"/>
      <c r="AC40" s="32" t="n"/>
    </row>
    <row r="41">
      <c r="A41" s="26" t="inlineStr">
        <is>
          <t>S01</t>
        </is>
      </c>
      <c r="B41" s="26" t="inlineStr">
        <is>
          <t>태백 신규점</t>
        </is>
      </c>
      <c r="C41" s="26" t="inlineStr">
        <is>
          <t>S01-H남</t>
        </is>
      </c>
      <c r="D41" s="47" t="n">
        <v>1</v>
      </c>
      <c r="E41" s="26" t="inlineStr">
        <is>
          <t>측정</t>
        </is>
      </c>
      <c r="F41" s="26" t="inlineStr">
        <is>
          <t>남</t>
        </is>
      </c>
      <c r="G41" s="31" t="n">
        <v>8</v>
      </c>
      <c r="H41" s="30" t="n"/>
      <c r="I41" s="43" t="n"/>
      <c r="J41" s="41" t="n"/>
      <c r="K41" s="41" t="n"/>
      <c r="L41" s="41" t="n"/>
      <c r="M41" s="31">
        <f>IF(COUNT(J41:L41)=0,"",MEDIAN(J41:L41))</f>
        <v/>
      </c>
      <c r="N41" s="26">
        <f>IF(COUNTIFS($C:$C,$C41,$D:$D,$D41,$E:$E,"P0(전)",$M:$M,"&gt;0")&lt;&gt;1,"P0(전) 유효 1개 아님",IF(COUNTIFS($C:$C,$C41,$D:$D,$D41,$E:$E,"P0(후)",$M:$M,"&gt;0")&lt;&gt;1,"P0(후) 유효 1개 아님",IF(NOT(AND(ISNUMBER(O41),ISNUMBER(Q41),ISNUMBER(I41))),"시각 결측",IF(Q41&lt;=O41,"P0 시각 역전",IF(OR(I41&lt;O41,I41&gt;Q41),"측정시각 구간 밖","OK")))))</f>
        <v/>
      </c>
      <c r="O41" s="48">
        <f>IF(COUNTIFS($C:$C,$C41,$D:$D,$D41,$E:$E,"P0(전)",$M:$M,"&gt;0")&lt;&gt;1,"",SUMIFS($I:$I,$C:$C,$C41,$D:$D,$D41,$E:$E,"P0(전)"))</f>
        <v/>
      </c>
      <c r="P41" s="31">
        <f>IF(COUNTIFS($C:$C,$C41,$D:$D,$D41,$E:$E,"P0(전)",$M:$M,"&gt;0")&lt;&gt;1,"",SUMIFS($M:$M,$C:$C,$C41,$D:$D,$D41,$E:$E,"P0(전)"))</f>
        <v/>
      </c>
      <c r="Q41" s="48">
        <f>IF(COUNTIFS($C:$C,$C41,$D:$D,$D41,$E:$E,"P0(후)",$M:$M,"&gt;0")&lt;&gt;1,"",SUMIFS($I:$I,$C:$C,$C41,$D:$D,$D41,$E:$E,"P0(후)"))</f>
        <v/>
      </c>
      <c r="R41" s="31">
        <f>IF(COUNTIFS($C:$C,$C41,$D:$D,$D41,$E:$E,"P0(후)",$M:$M,"&gt;0")&lt;&gt;1,"",SUMIFS($M:$M,$C:$C,$C41,$D:$D,$D41,$E:$E,"P0(후)"))</f>
        <v/>
      </c>
      <c r="S41" s="31">
        <f>IF(N41&lt;&gt;"OK","",P41+(R41-P41)*(I41-O41)/(Q41-O41))</f>
        <v/>
      </c>
      <c r="T41" s="31">
        <f>IF(OR(N41&lt;&gt;"OK",NOT(ISNUMBER(M41))),"",M41-S41)</f>
        <v/>
      </c>
      <c r="U41" s="49">
        <f>IF(OR(NOT(ISNUMBER(T41)),IF(ISNUMBER(H41),H41,G41)=0),"",T41/IF(ISNUMBER(H41),H41,G41))</f>
        <v/>
      </c>
      <c r="V41" s="49">
        <f>IF(ISNUMBER(U41),ABS(U41),"")</f>
        <v/>
      </c>
      <c r="W41" s="49">
        <f>IF(OR($E40&lt;&gt;"측정",$C40&lt;&gt;$C41,$D40&lt;&gt;$D41,NOT(ISNUMBER(M41)),NOT(ISNUMBER(M40)),(IF(ISNUMBER(H41),H41,G41)-IF(ISNUMBER(H40),H40,G40))=0),"",(M41-M40)/(IF(ISNUMBER(H41),H41,G41)-IF(ISNUMBER(H40),H40,G40)))</f>
        <v/>
      </c>
      <c r="X41" s="31">
        <f>IF(NOT(AND(ISNUMBER(O41),ISNUMBER(Q41))),"",(Q41-O41)*1440)</f>
        <v/>
      </c>
      <c r="Y41" s="29" t="n"/>
      <c r="Z41" s="29" t="n"/>
      <c r="AA41" s="29" t="n"/>
      <c r="AB41" s="32" t="n"/>
      <c r="AC41" s="32" t="n"/>
    </row>
    <row r="42">
      <c r="A42" s="26" t="inlineStr">
        <is>
          <t>S01</t>
        </is>
      </c>
      <c r="B42" s="26" t="inlineStr">
        <is>
          <t>태백 신규점</t>
        </is>
      </c>
      <c r="C42" s="26" t="inlineStr">
        <is>
          <t>S01-H남</t>
        </is>
      </c>
      <c r="D42" s="47" t="n">
        <v>1</v>
      </c>
      <c r="E42" s="26" t="inlineStr">
        <is>
          <t>측정</t>
        </is>
      </c>
      <c r="F42" s="26" t="inlineStr">
        <is>
          <t>남</t>
        </is>
      </c>
      <c r="G42" s="31" t="n">
        <v>9</v>
      </c>
      <c r="H42" s="30" t="n"/>
      <c r="I42" s="43" t="n"/>
      <c r="J42" s="41" t="n"/>
      <c r="K42" s="41" t="n"/>
      <c r="L42" s="41" t="n"/>
      <c r="M42" s="31">
        <f>IF(COUNT(J42:L42)=0,"",MEDIAN(J42:L42))</f>
        <v/>
      </c>
      <c r="N42" s="26">
        <f>IF(COUNTIFS($C:$C,$C42,$D:$D,$D42,$E:$E,"P0(전)",$M:$M,"&gt;0")&lt;&gt;1,"P0(전) 유효 1개 아님",IF(COUNTIFS($C:$C,$C42,$D:$D,$D42,$E:$E,"P0(후)",$M:$M,"&gt;0")&lt;&gt;1,"P0(후) 유효 1개 아님",IF(NOT(AND(ISNUMBER(O42),ISNUMBER(Q42),ISNUMBER(I42))),"시각 결측",IF(Q42&lt;=O42,"P0 시각 역전",IF(OR(I42&lt;O42,I42&gt;Q42),"측정시각 구간 밖","OK")))))</f>
        <v/>
      </c>
      <c r="O42" s="48">
        <f>IF(COUNTIFS($C:$C,$C42,$D:$D,$D42,$E:$E,"P0(전)",$M:$M,"&gt;0")&lt;&gt;1,"",SUMIFS($I:$I,$C:$C,$C42,$D:$D,$D42,$E:$E,"P0(전)"))</f>
        <v/>
      </c>
      <c r="P42" s="31">
        <f>IF(COUNTIFS($C:$C,$C42,$D:$D,$D42,$E:$E,"P0(전)",$M:$M,"&gt;0")&lt;&gt;1,"",SUMIFS($M:$M,$C:$C,$C42,$D:$D,$D42,$E:$E,"P0(전)"))</f>
        <v/>
      </c>
      <c r="Q42" s="48">
        <f>IF(COUNTIFS($C:$C,$C42,$D:$D,$D42,$E:$E,"P0(후)",$M:$M,"&gt;0")&lt;&gt;1,"",SUMIFS($I:$I,$C:$C,$C42,$D:$D,$D42,$E:$E,"P0(후)"))</f>
        <v/>
      </c>
      <c r="R42" s="31">
        <f>IF(COUNTIFS($C:$C,$C42,$D:$D,$D42,$E:$E,"P0(후)",$M:$M,"&gt;0")&lt;&gt;1,"",SUMIFS($M:$M,$C:$C,$C42,$D:$D,$D42,$E:$E,"P0(후)"))</f>
        <v/>
      </c>
      <c r="S42" s="31">
        <f>IF(N42&lt;&gt;"OK","",P42+(R42-P42)*(I42-O42)/(Q42-O42))</f>
        <v/>
      </c>
      <c r="T42" s="31">
        <f>IF(OR(N42&lt;&gt;"OK",NOT(ISNUMBER(M42))),"",M42-S42)</f>
        <v/>
      </c>
      <c r="U42" s="49">
        <f>IF(OR(NOT(ISNUMBER(T42)),IF(ISNUMBER(H42),H42,G42)=0),"",T42/IF(ISNUMBER(H42),H42,G42))</f>
        <v/>
      </c>
      <c r="V42" s="49">
        <f>IF(ISNUMBER(U42),ABS(U42),"")</f>
        <v/>
      </c>
      <c r="W42" s="49">
        <f>IF(OR($E41&lt;&gt;"측정",$C41&lt;&gt;$C42,$D41&lt;&gt;$D42,NOT(ISNUMBER(M42)),NOT(ISNUMBER(M41)),(IF(ISNUMBER(H42),H42,G42)-IF(ISNUMBER(H41),H41,G41))=0),"",(M42-M41)/(IF(ISNUMBER(H42),H42,G42)-IF(ISNUMBER(H41),H41,G41)))</f>
        <v/>
      </c>
      <c r="X42" s="31">
        <f>IF(NOT(AND(ISNUMBER(O42),ISNUMBER(Q42))),"",(Q42-O42)*1440)</f>
        <v/>
      </c>
      <c r="Y42" s="29" t="n"/>
      <c r="Z42" s="29" t="n"/>
      <c r="AA42" s="29" t="n"/>
      <c r="AB42" s="32" t="n"/>
      <c r="AC42" s="32" t="n"/>
    </row>
    <row r="43">
      <c r="A43" s="26" t="inlineStr">
        <is>
          <t>S01</t>
        </is>
      </c>
      <c r="B43" s="26" t="inlineStr">
        <is>
          <t>태백 신규점</t>
        </is>
      </c>
      <c r="C43" s="26" t="inlineStr">
        <is>
          <t>S01-H남</t>
        </is>
      </c>
      <c r="D43" s="47" t="n">
        <v>1</v>
      </c>
      <c r="E43" s="26" t="inlineStr">
        <is>
          <t>측정</t>
        </is>
      </c>
      <c r="F43" s="26" t="inlineStr">
        <is>
          <t>남</t>
        </is>
      </c>
      <c r="G43" s="31" t="n">
        <v>10</v>
      </c>
      <c r="H43" s="30" t="n"/>
      <c r="I43" s="43" t="n"/>
      <c r="J43" s="41" t="n"/>
      <c r="K43" s="41" t="n"/>
      <c r="L43" s="41" t="n"/>
      <c r="M43" s="31">
        <f>IF(COUNT(J43:L43)=0,"",MEDIAN(J43:L43))</f>
        <v/>
      </c>
      <c r="N43" s="26">
        <f>IF(COUNTIFS($C:$C,$C43,$D:$D,$D43,$E:$E,"P0(전)",$M:$M,"&gt;0")&lt;&gt;1,"P0(전) 유효 1개 아님",IF(COUNTIFS($C:$C,$C43,$D:$D,$D43,$E:$E,"P0(후)",$M:$M,"&gt;0")&lt;&gt;1,"P0(후) 유효 1개 아님",IF(NOT(AND(ISNUMBER(O43),ISNUMBER(Q43),ISNUMBER(I43))),"시각 결측",IF(Q43&lt;=O43,"P0 시각 역전",IF(OR(I43&lt;O43,I43&gt;Q43),"측정시각 구간 밖","OK")))))</f>
        <v/>
      </c>
      <c r="O43" s="48">
        <f>IF(COUNTIFS($C:$C,$C43,$D:$D,$D43,$E:$E,"P0(전)",$M:$M,"&gt;0")&lt;&gt;1,"",SUMIFS($I:$I,$C:$C,$C43,$D:$D,$D43,$E:$E,"P0(전)"))</f>
        <v/>
      </c>
      <c r="P43" s="31">
        <f>IF(COUNTIFS($C:$C,$C43,$D:$D,$D43,$E:$E,"P0(전)",$M:$M,"&gt;0")&lt;&gt;1,"",SUMIFS($M:$M,$C:$C,$C43,$D:$D,$D43,$E:$E,"P0(전)"))</f>
        <v/>
      </c>
      <c r="Q43" s="48">
        <f>IF(COUNTIFS($C:$C,$C43,$D:$D,$D43,$E:$E,"P0(후)",$M:$M,"&gt;0")&lt;&gt;1,"",SUMIFS($I:$I,$C:$C,$C43,$D:$D,$D43,$E:$E,"P0(후)"))</f>
        <v/>
      </c>
      <c r="R43" s="31">
        <f>IF(COUNTIFS($C:$C,$C43,$D:$D,$D43,$E:$E,"P0(후)",$M:$M,"&gt;0")&lt;&gt;1,"",SUMIFS($M:$M,$C:$C,$C43,$D:$D,$D43,$E:$E,"P0(후)"))</f>
        <v/>
      </c>
      <c r="S43" s="31">
        <f>IF(N43&lt;&gt;"OK","",P43+(R43-P43)*(I43-O43)/(Q43-O43))</f>
        <v/>
      </c>
      <c r="T43" s="31">
        <f>IF(OR(N43&lt;&gt;"OK",NOT(ISNUMBER(M43))),"",M43-S43)</f>
        <v/>
      </c>
      <c r="U43" s="49">
        <f>IF(OR(NOT(ISNUMBER(T43)),IF(ISNUMBER(H43),H43,G43)=0),"",T43/IF(ISNUMBER(H43),H43,G43))</f>
        <v/>
      </c>
      <c r="V43" s="49">
        <f>IF(ISNUMBER(U43),ABS(U43),"")</f>
        <v/>
      </c>
      <c r="W43" s="49">
        <f>IF(OR($E42&lt;&gt;"측정",$C42&lt;&gt;$C43,$D42&lt;&gt;$D43,NOT(ISNUMBER(M43)),NOT(ISNUMBER(M42)),(IF(ISNUMBER(H43),H43,G43)-IF(ISNUMBER(H42),H42,G42))=0),"",(M43-M42)/(IF(ISNUMBER(H43),H43,G43)-IF(ISNUMBER(H42),H42,G42)))</f>
        <v/>
      </c>
      <c r="X43" s="31">
        <f>IF(NOT(AND(ISNUMBER(O43),ISNUMBER(Q43))),"",(Q43-O43)*1440)</f>
        <v/>
      </c>
      <c r="Y43" s="29" t="n"/>
      <c r="Z43" s="29" t="n"/>
      <c r="AA43" s="29" t="n"/>
      <c r="AB43" s="32" t="n"/>
      <c r="AC43" s="32" t="n"/>
    </row>
    <row r="44">
      <c r="A44" s="44" t="inlineStr">
        <is>
          <t>S01</t>
        </is>
      </c>
      <c r="B44" s="44" t="inlineStr">
        <is>
          <t>태백 신규점</t>
        </is>
      </c>
      <c r="C44" s="44" t="inlineStr">
        <is>
          <t>S01-H남</t>
        </is>
      </c>
      <c r="D44" s="45" t="n">
        <v>1</v>
      </c>
      <c r="E44" s="44" t="inlineStr">
        <is>
          <t>P0(후)</t>
        </is>
      </c>
      <c r="F44" s="44" t="inlineStr">
        <is>
          <t>남</t>
        </is>
      </c>
      <c r="G44" s="46" t="n"/>
      <c r="H44" s="30" t="n"/>
      <c r="I44" s="43" t="n"/>
      <c r="J44" s="41" t="n"/>
      <c r="K44" s="41" t="n"/>
      <c r="L44" s="41" t="n"/>
      <c r="M44" s="31">
        <f>IF(COUNT(J44:L44)=0,"",MEDIAN(J44:L44))</f>
        <v/>
      </c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29" t="n"/>
      <c r="Z44" s="29" t="n"/>
      <c r="AA44" s="29" t="n"/>
      <c r="AB44" s="32" t="n"/>
      <c r="AC44" s="32" t="n"/>
    </row>
    <row r="45">
      <c r="A45" s="44" t="inlineStr">
        <is>
          <t>S01</t>
        </is>
      </c>
      <c r="B45" s="44" t="inlineStr">
        <is>
          <t>태백 신규점</t>
        </is>
      </c>
      <c r="C45" s="44" t="inlineStr">
        <is>
          <t>S01-H북</t>
        </is>
      </c>
      <c r="D45" s="45" t="n">
        <v>1</v>
      </c>
      <c r="E45" s="44" t="inlineStr">
        <is>
          <t>P0(전)</t>
        </is>
      </c>
      <c r="F45" s="44" t="inlineStr">
        <is>
          <t>북</t>
        </is>
      </c>
      <c r="G45" s="46" t="n"/>
      <c r="H45" s="30" t="n"/>
      <c r="I45" s="43" t="n"/>
      <c r="J45" s="41" t="n"/>
      <c r="K45" s="41" t="n"/>
      <c r="L45" s="41" t="n"/>
      <c r="M45" s="31">
        <f>IF(COUNT(J45:L45)=0,"",MEDIAN(J45:L45))</f>
        <v/>
      </c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29" t="n"/>
      <c r="Z45" s="29" t="n"/>
      <c r="AA45" s="29" t="n"/>
      <c r="AB45" s="32" t="n"/>
      <c r="AC45" s="32" t="n"/>
    </row>
    <row r="46">
      <c r="A46" s="26" t="inlineStr">
        <is>
          <t>S01</t>
        </is>
      </c>
      <c r="B46" s="26" t="inlineStr">
        <is>
          <t>태백 신규점</t>
        </is>
      </c>
      <c r="C46" s="26" t="inlineStr">
        <is>
          <t>S01-H북</t>
        </is>
      </c>
      <c r="D46" s="47" t="n">
        <v>1</v>
      </c>
      <c r="E46" s="26" t="inlineStr">
        <is>
          <t>측정</t>
        </is>
      </c>
      <c r="F46" s="26" t="inlineStr">
        <is>
          <t>북</t>
        </is>
      </c>
      <c r="G46" s="31" t="n">
        <v>0.5</v>
      </c>
      <c r="H46" s="30" t="n"/>
      <c r="I46" s="43" t="n"/>
      <c r="J46" s="41" t="n"/>
      <c r="K46" s="41" t="n"/>
      <c r="L46" s="41" t="n"/>
      <c r="M46" s="31">
        <f>IF(COUNT(J46:L46)=0,"",MEDIAN(J46:L46))</f>
        <v/>
      </c>
      <c r="N46" s="26">
        <f>IF(COUNTIFS($C:$C,$C46,$D:$D,$D46,$E:$E,"P0(전)",$M:$M,"&gt;0")&lt;&gt;1,"P0(전) 유효 1개 아님",IF(COUNTIFS($C:$C,$C46,$D:$D,$D46,$E:$E,"P0(후)",$M:$M,"&gt;0")&lt;&gt;1,"P0(후) 유효 1개 아님",IF(NOT(AND(ISNUMBER(O46),ISNUMBER(Q46),ISNUMBER(I46))),"시각 결측",IF(Q46&lt;=O46,"P0 시각 역전",IF(OR(I46&lt;O46,I46&gt;Q46),"측정시각 구간 밖","OK")))))</f>
        <v/>
      </c>
      <c r="O46" s="48">
        <f>IF(COUNTIFS($C:$C,$C46,$D:$D,$D46,$E:$E,"P0(전)",$M:$M,"&gt;0")&lt;&gt;1,"",SUMIFS($I:$I,$C:$C,$C46,$D:$D,$D46,$E:$E,"P0(전)"))</f>
        <v/>
      </c>
      <c r="P46" s="31">
        <f>IF(COUNTIFS($C:$C,$C46,$D:$D,$D46,$E:$E,"P0(전)",$M:$M,"&gt;0")&lt;&gt;1,"",SUMIFS($M:$M,$C:$C,$C46,$D:$D,$D46,$E:$E,"P0(전)"))</f>
        <v/>
      </c>
      <c r="Q46" s="48">
        <f>IF(COUNTIFS($C:$C,$C46,$D:$D,$D46,$E:$E,"P0(후)",$M:$M,"&gt;0")&lt;&gt;1,"",SUMIFS($I:$I,$C:$C,$C46,$D:$D,$D46,$E:$E,"P0(후)"))</f>
        <v/>
      </c>
      <c r="R46" s="31">
        <f>IF(COUNTIFS($C:$C,$C46,$D:$D,$D46,$E:$E,"P0(후)",$M:$M,"&gt;0")&lt;&gt;1,"",SUMIFS($M:$M,$C:$C,$C46,$D:$D,$D46,$E:$E,"P0(후)"))</f>
        <v/>
      </c>
      <c r="S46" s="31">
        <f>IF(N46&lt;&gt;"OK","",P46+(R46-P46)*(I46-O46)/(Q46-O46))</f>
        <v/>
      </c>
      <c r="T46" s="31">
        <f>IF(OR(N46&lt;&gt;"OK",NOT(ISNUMBER(M46))),"",M46-S46)</f>
        <v/>
      </c>
      <c r="U46" s="49">
        <f>IF(OR(NOT(ISNUMBER(T46)),IF(ISNUMBER(H46),H46,G46)=0),"",T46/IF(ISNUMBER(H46),H46,G46))</f>
        <v/>
      </c>
      <c r="V46" s="49">
        <f>IF(ISNUMBER(U46),ABS(U46),"")</f>
        <v/>
      </c>
      <c r="W46" s="49">
        <f>IF(OR($E45&lt;&gt;"측정",$C45&lt;&gt;$C46,$D45&lt;&gt;$D46,NOT(ISNUMBER(M46)),NOT(ISNUMBER(M45)),(IF(ISNUMBER(H46),H46,G46)-IF(ISNUMBER(H45),H45,G45))=0),"",(M46-M45)/(IF(ISNUMBER(H46),H46,G46)-IF(ISNUMBER(H45),H45,G45)))</f>
        <v/>
      </c>
      <c r="X46" s="31">
        <f>IF(NOT(AND(ISNUMBER(O46),ISNUMBER(Q46))),"",(Q46-O46)*1440)</f>
        <v/>
      </c>
      <c r="Y46" s="29" t="n"/>
      <c r="Z46" s="29" t="n"/>
      <c r="AA46" s="29" t="n"/>
      <c r="AB46" s="32" t="n"/>
      <c r="AC46" s="32" t="n"/>
    </row>
    <row r="47">
      <c r="A47" s="26" t="inlineStr">
        <is>
          <t>S01</t>
        </is>
      </c>
      <c r="B47" s="26" t="inlineStr">
        <is>
          <t>태백 신규점</t>
        </is>
      </c>
      <c r="C47" s="26" t="inlineStr">
        <is>
          <t>S01-H북</t>
        </is>
      </c>
      <c r="D47" s="47" t="n">
        <v>1</v>
      </c>
      <c r="E47" s="26" t="inlineStr">
        <is>
          <t>측정</t>
        </is>
      </c>
      <c r="F47" s="26" t="inlineStr">
        <is>
          <t>북</t>
        </is>
      </c>
      <c r="G47" s="31" t="n">
        <v>1</v>
      </c>
      <c r="H47" s="30" t="n"/>
      <c r="I47" s="43" t="n"/>
      <c r="J47" s="41" t="n"/>
      <c r="K47" s="41" t="n"/>
      <c r="L47" s="41" t="n"/>
      <c r="M47" s="31">
        <f>IF(COUNT(J47:L47)=0,"",MEDIAN(J47:L47))</f>
        <v/>
      </c>
      <c r="N47" s="26">
        <f>IF(COUNTIFS($C:$C,$C47,$D:$D,$D47,$E:$E,"P0(전)",$M:$M,"&gt;0")&lt;&gt;1,"P0(전) 유효 1개 아님",IF(COUNTIFS($C:$C,$C47,$D:$D,$D47,$E:$E,"P0(후)",$M:$M,"&gt;0")&lt;&gt;1,"P0(후) 유효 1개 아님",IF(NOT(AND(ISNUMBER(O47),ISNUMBER(Q47),ISNUMBER(I47))),"시각 결측",IF(Q47&lt;=O47,"P0 시각 역전",IF(OR(I47&lt;O47,I47&gt;Q47),"측정시각 구간 밖","OK")))))</f>
        <v/>
      </c>
      <c r="O47" s="48">
        <f>IF(COUNTIFS($C:$C,$C47,$D:$D,$D47,$E:$E,"P0(전)",$M:$M,"&gt;0")&lt;&gt;1,"",SUMIFS($I:$I,$C:$C,$C47,$D:$D,$D47,$E:$E,"P0(전)"))</f>
        <v/>
      </c>
      <c r="P47" s="31">
        <f>IF(COUNTIFS($C:$C,$C47,$D:$D,$D47,$E:$E,"P0(전)",$M:$M,"&gt;0")&lt;&gt;1,"",SUMIFS($M:$M,$C:$C,$C47,$D:$D,$D47,$E:$E,"P0(전)"))</f>
        <v/>
      </c>
      <c r="Q47" s="48">
        <f>IF(COUNTIFS($C:$C,$C47,$D:$D,$D47,$E:$E,"P0(후)",$M:$M,"&gt;0")&lt;&gt;1,"",SUMIFS($I:$I,$C:$C,$C47,$D:$D,$D47,$E:$E,"P0(후)"))</f>
        <v/>
      </c>
      <c r="R47" s="31">
        <f>IF(COUNTIFS($C:$C,$C47,$D:$D,$D47,$E:$E,"P0(후)",$M:$M,"&gt;0")&lt;&gt;1,"",SUMIFS($M:$M,$C:$C,$C47,$D:$D,$D47,$E:$E,"P0(후)"))</f>
        <v/>
      </c>
      <c r="S47" s="31">
        <f>IF(N47&lt;&gt;"OK","",P47+(R47-P47)*(I47-O47)/(Q47-O47))</f>
        <v/>
      </c>
      <c r="T47" s="31">
        <f>IF(OR(N47&lt;&gt;"OK",NOT(ISNUMBER(M47))),"",M47-S47)</f>
        <v/>
      </c>
      <c r="U47" s="49">
        <f>IF(OR(NOT(ISNUMBER(T47)),IF(ISNUMBER(H47),H47,G47)=0),"",T47/IF(ISNUMBER(H47),H47,G47))</f>
        <v/>
      </c>
      <c r="V47" s="49">
        <f>IF(ISNUMBER(U47),ABS(U47),"")</f>
        <v/>
      </c>
      <c r="W47" s="49">
        <f>IF(OR($E46&lt;&gt;"측정",$C46&lt;&gt;$C47,$D46&lt;&gt;$D47,NOT(ISNUMBER(M47)),NOT(ISNUMBER(M46)),(IF(ISNUMBER(H47),H47,G47)-IF(ISNUMBER(H46),H46,G46))=0),"",(M47-M46)/(IF(ISNUMBER(H47),H47,G47)-IF(ISNUMBER(H46),H46,G46)))</f>
        <v/>
      </c>
      <c r="X47" s="31">
        <f>IF(NOT(AND(ISNUMBER(O47),ISNUMBER(Q47))),"",(Q47-O47)*1440)</f>
        <v/>
      </c>
      <c r="Y47" s="29" t="n"/>
      <c r="Z47" s="29" t="n"/>
      <c r="AA47" s="29" t="n"/>
      <c r="AB47" s="32" t="n"/>
      <c r="AC47" s="32" t="n"/>
    </row>
    <row r="48">
      <c r="A48" s="26" t="inlineStr">
        <is>
          <t>S01</t>
        </is>
      </c>
      <c r="B48" s="26" t="inlineStr">
        <is>
          <t>태백 신규점</t>
        </is>
      </c>
      <c r="C48" s="26" t="inlineStr">
        <is>
          <t>S01-H북</t>
        </is>
      </c>
      <c r="D48" s="47" t="n">
        <v>1</v>
      </c>
      <c r="E48" s="26" t="inlineStr">
        <is>
          <t>측정</t>
        </is>
      </c>
      <c r="F48" s="26" t="inlineStr">
        <is>
          <t>북</t>
        </is>
      </c>
      <c r="G48" s="31" t="n">
        <v>2</v>
      </c>
      <c r="H48" s="30" t="n"/>
      <c r="I48" s="43" t="n"/>
      <c r="J48" s="41" t="n"/>
      <c r="K48" s="41" t="n"/>
      <c r="L48" s="41" t="n"/>
      <c r="M48" s="31">
        <f>IF(COUNT(J48:L48)=0,"",MEDIAN(J48:L48))</f>
        <v/>
      </c>
      <c r="N48" s="26">
        <f>IF(COUNTIFS($C:$C,$C48,$D:$D,$D48,$E:$E,"P0(전)",$M:$M,"&gt;0")&lt;&gt;1,"P0(전) 유효 1개 아님",IF(COUNTIFS($C:$C,$C48,$D:$D,$D48,$E:$E,"P0(후)",$M:$M,"&gt;0")&lt;&gt;1,"P0(후) 유효 1개 아님",IF(NOT(AND(ISNUMBER(O48),ISNUMBER(Q48),ISNUMBER(I48))),"시각 결측",IF(Q48&lt;=O48,"P0 시각 역전",IF(OR(I48&lt;O48,I48&gt;Q48),"측정시각 구간 밖","OK")))))</f>
        <v/>
      </c>
      <c r="O48" s="48">
        <f>IF(COUNTIFS($C:$C,$C48,$D:$D,$D48,$E:$E,"P0(전)",$M:$M,"&gt;0")&lt;&gt;1,"",SUMIFS($I:$I,$C:$C,$C48,$D:$D,$D48,$E:$E,"P0(전)"))</f>
        <v/>
      </c>
      <c r="P48" s="31">
        <f>IF(COUNTIFS($C:$C,$C48,$D:$D,$D48,$E:$E,"P0(전)",$M:$M,"&gt;0")&lt;&gt;1,"",SUMIFS($M:$M,$C:$C,$C48,$D:$D,$D48,$E:$E,"P0(전)"))</f>
        <v/>
      </c>
      <c r="Q48" s="48">
        <f>IF(COUNTIFS($C:$C,$C48,$D:$D,$D48,$E:$E,"P0(후)",$M:$M,"&gt;0")&lt;&gt;1,"",SUMIFS($I:$I,$C:$C,$C48,$D:$D,$D48,$E:$E,"P0(후)"))</f>
        <v/>
      </c>
      <c r="R48" s="31">
        <f>IF(COUNTIFS($C:$C,$C48,$D:$D,$D48,$E:$E,"P0(후)",$M:$M,"&gt;0")&lt;&gt;1,"",SUMIFS($M:$M,$C:$C,$C48,$D:$D,$D48,$E:$E,"P0(후)"))</f>
        <v/>
      </c>
      <c r="S48" s="31">
        <f>IF(N48&lt;&gt;"OK","",P48+(R48-P48)*(I48-O48)/(Q48-O48))</f>
        <v/>
      </c>
      <c r="T48" s="31">
        <f>IF(OR(N48&lt;&gt;"OK",NOT(ISNUMBER(M48))),"",M48-S48)</f>
        <v/>
      </c>
      <c r="U48" s="49">
        <f>IF(OR(NOT(ISNUMBER(T48)),IF(ISNUMBER(H48),H48,G48)=0),"",T48/IF(ISNUMBER(H48),H48,G48))</f>
        <v/>
      </c>
      <c r="V48" s="49">
        <f>IF(ISNUMBER(U48),ABS(U48),"")</f>
        <v/>
      </c>
      <c r="W48" s="49">
        <f>IF(OR($E47&lt;&gt;"측정",$C47&lt;&gt;$C48,$D47&lt;&gt;$D48,NOT(ISNUMBER(M48)),NOT(ISNUMBER(M47)),(IF(ISNUMBER(H48),H48,G48)-IF(ISNUMBER(H47),H47,G47))=0),"",(M48-M47)/(IF(ISNUMBER(H48),H48,G48)-IF(ISNUMBER(H47),H47,G47)))</f>
        <v/>
      </c>
      <c r="X48" s="31">
        <f>IF(NOT(AND(ISNUMBER(O48),ISNUMBER(Q48))),"",(Q48-O48)*1440)</f>
        <v/>
      </c>
      <c r="Y48" s="29" t="n"/>
      <c r="Z48" s="29" t="n"/>
      <c r="AA48" s="29" t="n"/>
      <c r="AB48" s="32" t="n"/>
      <c r="AC48" s="32" t="n"/>
    </row>
    <row r="49">
      <c r="A49" s="26" t="inlineStr">
        <is>
          <t>S01</t>
        </is>
      </c>
      <c r="B49" s="26" t="inlineStr">
        <is>
          <t>태백 신규점</t>
        </is>
      </c>
      <c r="C49" s="26" t="inlineStr">
        <is>
          <t>S01-H북</t>
        </is>
      </c>
      <c r="D49" s="47" t="n">
        <v>1</v>
      </c>
      <c r="E49" s="26" t="inlineStr">
        <is>
          <t>측정</t>
        </is>
      </c>
      <c r="F49" s="26" t="inlineStr">
        <is>
          <t>북</t>
        </is>
      </c>
      <c r="G49" s="31" t="n">
        <v>3</v>
      </c>
      <c r="H49" s="30" t="n"/>
      <c r="I49" s="43" t="n"/>
      <c r="J49" s="41" t="n"/>
      <c r="K49" s="41" t="n"/>
      <c r="L49" s="41" t="n"/>
      <c r="M49" s="31">
        <f>IF(COUNT(J49:L49)=0,"",MEDIAN(J49:L49))</f>
        <v/>
      </c>
      <c r="N49" s="26">
        <f>IF(COUNTIFS($C:$C,$C49,$D:$D,$D49,$E:$E,"P0(전)",$M:$M,"&gt;0")&lt;&gt;1,"P0(전) 유효 1개 아님",IF(COUNTIFS($C:$C,$C49,$D:$D,$D49,$E:$E,"P0(후)",$M:$M,"&gt;0")&lt;&gt;1,"P0(후) 유효 1개 아님",IF(NOT(AND(ISNUMBER(O49),ISNUMBER(Q49),ISNUMBER(I49))),"시각 결측",IF(Q49&lt;=O49,"P0 시각 역전",IF(OR(I49&lt;O49,I49&gt;Q49),"측정시각 구간 밖","OK")))))</f>
        <v/>
      </c>
      <c r="O49" s="48">
        <f>IF(COUNTIFS($C:$C,$C49,$D:$D,$D49,$E:$E,"P0(전)",$M:$M,"&gt;0")&lt;&gt;1,"",SUMIFS($I:$I,$C:$C,$C49,$D:$D,$D49,$E:$E,"P0(전)"))</f>
        <v/>
      </c>
      <c r="P49" s="31">
        <f>IF(COUNTIFS($C:$C,$C49,$D:$D,$D49,$E:$E,"P0(전)",$M:$M,"&gt;0")&lt;&gt;1,"",SUMIFS($M:$M,$C:$C,$C49,$D:$D,$D49,$E:$E,"P0(전)"))</f>
        <v/>
      </c>
      <c r="Q49" s="48">
        <f>IF(COUNTIFS($C:$C,$C49,$D:$D,$D49,$E:$E,"P0(후)",$M:$M,"&gt;0")&lt;&gt;1,"",SUMIFS($I:$I,$C:$C,$C49,$D:$D,$D49,$E:$E,"P0(후)"))</f>
        <v/>
      </c>
      <c r="R49" s="31">
        <f>IF(COUNTIFS($C:$C,$C49,$D:$D,$D49,$E:$E,"P0(후)",$M:$M,"&gt;0")&lt;&gt;1,"",SUMIFS($M:$M,$C:$C,$C49,$D:$D,$D49,$E:$E,"P0(후)"))</f>
        <v/>
      </c>
      <c r="S49" s="31">
        <f>IF(N49&lt;&gt;"OK","",P49+(R49-P49)*(I49-O49)/(Q49-O49))</f>
        <v/>
      </c>
      <c r="T49" s="31">
        <f>IF(OR(N49&lt;&gt;"OK",NOT(ISNUMBER(M49))),"",M49-S49)</f>
        <v/>
      </c>
      <c r="U49" s="49">
        <f>IF(OR(NOT(ISNUMBER(T49)),IF(ISNUMBER(H49),H49,G49)=0),"",T49/IF(ISNUMBER(H49),H49,G49))</f>
        <v/>
      </c>
      <c r="V49" s="49">
        <f>IF(ISNUMBER(U49),ABS(U49),"")</f>
        <v/>
      </c>
      <c r="W49" s="49">
        <f>IF(OR($E48&lt;&gt;"측정",$C48&lt;&gt;$C49,$D48&lt;&gt;$D49,NOT(ISNUMBER(M49)),NOT(ISNUMBER(M48)),(IF(ISNUMBER(H49),H49,G49)-IF(ISNUMBER(H48),H48,G48))=0),"",(M49-M48)/(IF(ISNUMBER(H49),H49,G49)-IF(ISNUMBER(H48),H48,G48)))</f>
        <v/>
      </c>
      <c r="X49" s="31">
        <f>IF(NOT(AND(ISNUMBER(O49),ISNUMBER(Q49))),"",(Q49-O49)*1440)</f>
        <v/>
      </c>
      <c r="Y49" s="29" t="n"/>
      <c r="Z49" s="29" t="n"/>
      <c r="AA49" s="29" t="n"/>
      <c r="AB49" s="32" t="n"/>
      <c r="AC49" s="32" t="n"/>
    </row>
    <row r="50">
      <c r="A50" s="26" t="inlineStr">
        <is>
          <t>S01</t>
        </is>
      </c>
      <c r="B50" s="26" t="inlineStr">
        <is>
          <t>태백 신규점</t>
        </is>
      </c>
      <c r="C50" s="26" t="inlineStr">
        <is>
          <t>S01-H북</t>
        </is>
      </c>
      <c r="D50" s="47" t="n">
        <v>1</v>
      </c>
      <c r="E50" s="26" t="inlineStr">
        <is>
          <t>측정</t>
        </is>
      </c>
      <c r="F50" s="26" t="inlineStr">
        <is>
          <t>북</t>
        </is>
      </c>
      <c r="G50" s="31" t="n">
        <v>4</v>
      </c>
      <c r="H50" s="30" t="n"/>
      <c r="I50" s="43" t="n"/>
      <c r="J50" s="41" t="n"/>
      <c r="K50" s="41" t="n"/>
      <c r="L50" s="41" t="n"/>
      <c r="M50" s="31">
        <f>IF(COUNT(J50:L50)=0,"",MEDIAN(J50:L50))</f>
        <v/>
      </c>
      <c r="N50" s="26">
        <f>IF(COUNTIFS($C:$C,$C50,$D:$D,$D50,$E:$E,"P0(전)",$M:$M,"&gt;0")&lt;&gt;1,"P0(전) 유효 1개 아님",IF(COUNTIFS($C:$C,$C50,$D:$D,$D50,$E:$E,"P0(후)",$M:$M,"&gt;0")&lt;&gt;1,"P0(후) 유효 1개 아님",IF(NOT(AND(ISNUMBER(O50),ISNUMBER(Q50),ISNUMBER(I50))),"시각 결측",IF(Q50&lt;=O50,"P0 시각 역전",IF(OR(I50&lt;O50,I50&gt;Q50),"측정시각 구간 밖","OK")))))</f>
        <v/>
      </c>
      <c r="O50" s="48">
        <f>IF(COUNTIFS($C:$C,$C50,$D:$D,$D50,$E:$E,"P0(전)",$M:$M,"&gt;0")&lt;&gt;1,"",SUMIFS($I:$I,$C:$C,$C50,$D:$D,$D50,$E:$E,"P0(전)"))</f>
        <v/>
      </c>
      <c r="P50" s="31">
        <f>IF(COUNTIFS($C:$C,$C50,$D:$D,$D50,$E:$E,"P0(전)",$M:$M,"&gt;0")&lt;&gt;1,"",SUMIFS($M:$M,$C:$C,$C50,$D:$D,$D50,$E:$E,"P0(전)"))</f>
        <v/>
      </c>
      <c r="Q50" s="48">
        <f>IF(COUNTIFS($C:$C,$C50,$D:$D,$D50,$E:$E,"P0(후)",$M:$M,"&gt;0")&lt;&gt;1,"",SUMIFS($I:$I,$C:$C,$C50,$D:$D,$D50,$E:$E,"P0(후)"))</f>
        <v/>
      </c>
      <c r="R50" s="31">
        <f>IF(COUNTIFS($C:$C,$C50,$D:$D,$D50,$E:$E,"P0(후)",$M:$M,"&gt;0")&lt;&gt;1,"",SUMIFS($M:$M,$C:$C,$C50,$D:$D,$D50,$E:$E,"P0(후)"))</f>
        <v/>
      </c>
      <c r="S50" s="31">
        <f>IF(N50&lt;&gt;"OK","",P50+(R50-P50)*(I50-O50)/(Q50-O50))</f>
        <v/>
      </c>
      <c r="T50" s="31">
        <f>IF(OR(N50&lt;&gt;"OK",NOT(ISNUMBER(M50))),"",M50-S50)</f>
        <v/>
      </c>
      <c r="U50" s="49">
        <f>IF(OR(NOT(ISNUMBER(T50)),IF(ISNUMBER(H50),H50,G50)=0),"",T50/IF(ISNUMBER(H50),H50,G50))</f>
        <v/>
      </c>
      <c r="V50" s="49">
        <f>IF(ISNUMBER(U50),ABS(U50),"")</f>
        <v/>
      </c>
      <c r="W50" s="49">
        <f>IF(OR($E49&lt;&gt;"측정",$C49&lt;&gt;$C50,$D49&lt;&gt;$D50,NOT(ISNUMBER(M50)),NOT(ISNUMBER(M49)),(IF(ISNUMBER(H50),H50,G50)-IF(ISNUMBER(H49),H49,G49))=0),"",(M50-M49)/(IF(ISNUMBER(H50),H50,G50)-IF(ISNUMBER(H49),H49,G49)))</f>
        <v/>
      </c>
      <c r="X50" s="31">
        <f>IF(NOT(AND(ISNUMBER(O50),ISNUMBER(Q50))),"",(Q50-O50)*1440)</f>
        <v/>
      </c>
      <c r="Y50" s="29" t="n"/>
      <c r="Z50" s="29" t="n"/>
      <c r="AA50" s="29" t="n"/>
      <c r="AB50" s="32" t="n"/>
      <c r="AC50" s="32" t="n"/>
    </row>
    <row r="51">
      <c r="A51" s="26" t="inlineStr">
        <is>
          <t>S01</t>
        </is>
      </c>
      <c r="B51" s="26" t="inlineStr">
        <is>
          <t>태백 신규점</t>
        </is>
      </c>
      <c r="C51" s="26" t="inlineStr">
        <is>
          <t>S01-H북</t>
        </is>
      </c>
      <c r="D51" s="47" t="n">
        <v>1</v>
      </c>
      <c r="E51" s="26" t="inlineStr">
        <is>
          <t>측정</t>
        </is>
      </c>
      <c r="F51" s="26" t="inlineStr">
        <is>
          <t>북</t>
        </is>
      </c>
      <c r="G51" s="31" t="n">
        <v>5</v>
      </c>
      <c r="H51" s="30" t="n"/>
      <c r="I51" s="43" t="n"/>
      <c r="J51" s="41" t="n"/>
      <c r="K51" s="41" t="n"/>
      <c r="L51" s="41" t="n"/>
      <c r="M51" s="31">
        <f>IF(COUNT(J51:L51)=0,"",MEDIAN(J51:L51))</f>
        <v/>
      </c>
      <c r="N51" s="26">
        <f>IF(COUNTIFS($C:$C,$C51,$D:$D,$D51,$E:$E,"P0(전)",$M:$M,"&gt;0")&lt;&gt;1,"P0(전) 유효 1개 아님",IF(COUNTIFS($C:$C,$C51,$D:$D,$D51,$E:$E,"P0(후)",$M:$M,"&gt;0")&lt;&gt;1,"P0(후) 유효 1개 아님",IF(NOT(AND(ISNUMBER(O51),ISNUMBER(Q51),ISNUMBER(I51))),"시각 결측",IF(Q51&lt;=O51,"P0 시각 역전",IF(OR(I51&lt;O51,I51&gt;Q51),"측정시각 구간 밖","OK")))))</f>
        <v/>
      </c>
      <c r="O51" s="48">
        <f>IF(COUNTIFS($C:$C,$C51,$D:$D,$D51,$E:$E,"P0(전)",$M:$M,"&gt;0")&lt;&gt;1,"",SUMIFS($I:$I,$C:$C,$C51,$D:$D,$D51,$E:$E,"P0(전)"))</f>
        <v/>
      </c>
      <c r="P51" s="31">
        <f>IF(COUNTIFS($C:$C,$C51,$D:$D,$D51,$E:$E,"P0(전)",$M:$M,"&gt;0")&lt;&gt;1,"",SUMIFS($M:$M,$C:$C,$C51,$D:$D,$D51,$E:$E,"P0(전)"))</f>
        <v/>
      </c>
      <c r="Q51" s="48">
        <f>IF(COUNTIFS($C:$C,$C51,$D:$D,$D51,$E:$E,"P0(후)",$M:$M,"&gt;0")&lt;&gt;1,"",SUMIFS($I:$I,$C:$C,$C51,$D:$D,$D51,$E:$E,"P0(후)"))</f>
        <v/>
      </c>
      <c r="R51" s="31">
        <f>IF(COUNTIFS($C:$C,$C51,$D:$D,$D51,$E:$E,"P0(후)",$M:$M,"&gt;0")&lt;&gt;1,"",SUMIFS($M:$M,$C:$C,$C51,$D:$D,$D51,$E:$E,"P0(후)"))</f>
        <v/>
      </c>
      <c r="S51" s="31">
        <f>IF(N51&lt;&gt;"OK","",P51+(R51-P51)*(I51-O51)/(Q51-O51))</f>
        <v/>
      </c>
      <c r="T51" s="31">
        <f>IF(OR(N51&lt;&gt;"OK",NOT(ISNUMBER(M51))),"",M51-S51)</f>
        <v/>
      </c>
      <c r="U51" s="49">
        <f>IF(OR(NOT(ISNUMBER(T51)),IF(ISNUMBER(H51),H51,G51)=0),"",T51/IF(ISNUMBER(H51),H51,G51))</f>
        <v/>
      </c>
      <c r="V51" s="49">
        <f>IF(ISNUMBER(U51),ABS(U51),"")</f>
        <v/>
      </c>
      <c r="W51" s="49">
        <f>IF(OR($E50&lt;&gt;"측정",$C50&lt;&gt;$C51,$D50&lt;&gt;$D51,NOT(ISNUMBER(M51)),NOT(ISNUMBER(M50)),(IF(ISNUMBER(H51),H51,G51)-IF(ISNUMBER(H50),H50,G50))=0),"",(M51-M50)/(IF(ISNUMBER(H51),H51,G51)-IF(ISNUMBER(H50),H50,G50)))</f>
        <v/>
      </c>
      <c r="X51" s="31">
        <f>IF(NOT(AND(ISNUMBER(O51),ISNUMBER(Q51))),"",(Q51-O51)*1440)</f>
        <v/>
      </c>
      <c r="Y51" s="29" t="n"/>
      <c r="Z51" s="29" t="n"/>
      <c r="AA51" s="29" t="n"/>
      <c r="AB51" s="32" t="n"/>
      <c r="AC51" s="32" t="n"/>
    </row>
    <row r="52">
      <c r="A52" s="26" t="inlineStr">
        <is>
          <t>S01</t>
        </is>
      </c>
      <c r="B52" s="26" t="inlineStr">
        <is>
          <t>태백 신규점</t>
        </is>
      </c>
      <c r="C52" s="26" t="inlineStr">
        <is>
          <t>S01-H북</t>
        </is>
      </c>
      <c r="D52" s="47" t="n">
        <v>1</v>
      </c>
      <c r="E52" s="26" t="inlineStr">
        <is>
          <t>측정</t>
        </is>
      </c>
      <c r="F52" s="26" t="inlineStr">
        <is>
          <t>북</t>
        </is>
      </c>
      <c r="G52" s="31" t="n">
        <v>6</v>
      </c>
      <c r="H52" s="30" t="n"/>
      <c r="I52" s="43" t="n"/>
      <c r="J52" s="41" t="n"/>
      <c r="K52" s="41" t="n"/>
      <c r="L52" s="41" t="n"/>
      <c r="M52" s="31">
        <f>IF(COUNT(J52:L52)=0,"",MEDIAN(J52:L52))</f>
        <v/>
      </c>
      <c r="N52" s="26">
        <f>IF(COUNTIFS($C:$C,$C52,$D:$D,$D52,$E:$E,"P0(전)",$M:$M,"&gt;0")&lt;&gt;1,"P0(전) 유효 1개 아님",IF(COUNTIFS($C:$C,$C52,$D:$D,$D52,$E:$E,"P0(후)",$M:$M,"&gt;0")&lt;&gt;1,"P0(후) 유효 1개 아님",IF(NOT(AND(ISNUMBER(O52),ISNUMBER(Q52),ISNUMBER(I52))),"시각 결측",IF(Q52&lt;=O52,"P0 시각 역전",IF(OR(I52&lt;O52,I52&gt;Q52),"측정시각 구간 밖","OK")))))</f>
        <v/>
      </c>
      <c r="O52" s="48">
        <f>IF(COUNTIFS($C:$C,$C52,$D:$D,$D52,$E:$E,"P0(전)",$M:$M,"&gt;0")&lt;&gt;1,"",SUMIFS($I:$I,$C:$C,$C52,$D:$D,$D52,$E:$E,"P0(전)"))</f>
        <v/>
      </c>
      <c r="P52" s="31">
        <f>IF(COUNTIFS($C:$C,$C52,$D:$D,$D52,$E:$E,"P0(전)",$M:$M,"&gt;0")&lt;&gt;1,"",SUMIFS($M:$M,$C:$C,$C52,$D:$D,$D52,$E:$E,"P0(전)"))</f>
        <v/>
      </c>
      <c r="Q52" s="48">
        <f>IF(COUNTIFS($C:$C,$C52,$D:$D,$D52,$E:$E,"P0(후)",$M:$M,"&gt;0")&lt;&gt;1,"",SUMIFS($I:$I,$C:$C,$C52,$D:$D,$D52,$E:$E,"P0(후)"))</f>
        <v/>
      </c>
      <c r="R52" s="31">
        <f>IF(COUNTIFS($C:$C,$C52,$D:$D,$D52,$E:$E,"P0(후)",$M:$M,"&gt;0")&lt;&gt;1,"",SUMIFS($M:$M,$C:$C,$C52,$D:$D,$D52,$E:$E,"P0(후)"))</f>
        <v/>
      </c>
      <c r="S52" s="31">
        <f>IF(N52&lt;&gt;"OK","",P52+(R52-P52)*(I52-O52)/(Q52-O52))</f>
        <v/>
      </c>
      <c r="T52" s="31">
        <f>IF(OR(N52&lt;&gt;"OK",NOT(ISNUMBER(M52))),"",M52-S52)</f>
        <v/>
      </c>
      <c r="U52" s="49">
        <f>IF(OR(NOT(ISNUMBER(T52)),IF(ISNUMBER(H52),H52,G52)=0),"",T52/IF(ISNUMBER(H52),H52,G52))</f>
        <v/>
      </c>
      <c r="V52" s="49">
        <f>IF(ISNUMBER(U52),ABS(U52),"")</f>
        <v/>
      </c>
      <c r="W52" s="49">
        <f>IF(OR($E51&lt;&gt;"측정",$C51&lt;&gt;$C52,$D51&lt;&gt;$D52,NOT(ISNUMBER(M52)),NOT(ISNUMBER(M51)),(IF(ISNUMBER(H52),H52,G52)-IF(ISNUMBER(H51),H51,G51))=0),"",(M52-M51)/(IF(ISNUMBER(H52),H52,G52)-IF(ISNUMBER(H51),H51,G51)))</f>
        <v/>
      </c>
      <c r="X52" s="31">
        <f>IF(NOT(AND(ISNUMBER(O52),ISNUMBER(Q52))),"",(Q52-O52)*1440)</f>
        <v/>
      </c>
      <c r="Y52" s="29" t="n"/>
      <c r="Z52" s="29" t="n"/>
      <c r="AA52" s="29" t="n"/>
      <c r="AB52" s="32" t="n"/>
      <c r="AC52" s="32" t="n"/>
    </row>
    <row r="53">
      <c r="A53" s="26" t="inlineStr">
        <is>
          <t>S01</t>
        </is>
      </c>
      <c r="B53" s="26" t="inlineStr">
        <is>
          <t>태백 신규점</t>
        </is>
      </c>
      <c r="C53" s="26" t="inlineStr">
        <is>
          <t>S01-H북</t>
        </is>
      </c>
      <c r="D53" s="47" t="n">
        <v>1</v>
      </c>
      <c r="E53" s="26" t="inlineStr">
        <is>
          <t>측정</t>
        </is>
      </c>
      <c r="F53" s="26" t="inlineStr">
        <is>
          <t>북</t>
        </is>
      </c>
      <c r="G53" s="31" t="n">
        <v>7</v>
      </c>
      <c r="H53" s="30" t="n"/>
      <c r="I53" s="43" t="n"/>
      <c r="J53" s="41" t="n"/>
      <c r="K53" s="41" t="n"/>
      <c r="L53" s="41" t="n"/>
      <c r="M53" s="31">
        <f>IF(COUNT(J53:L53)=0,"",MEDIAN(J53:L53))</f>
        <v/>
      </c>
      <c r="N53" s="26">
        <f>IF(COUNTIFS($C:$C,$C53,$D:$D,$D53,$E:$E,"P0(전)",$M:$M,"&gt;0")&lt;&gt;1,"P0(전) 유효 1개 아님",IF(COUNTIFS($C:$C,$C53,$D:$D,$D53,$E:$E,"P0(후)",$M:$M,"&gt;0")&lt;&gt;1,"P0(후) 유효 1개 아님",IF(NOT(AND(ISNUMBER(O53),ISNUMBER(Q53),ISNUMBER(I53))),"시각 결측",IF(Q53&lt;=O53,"P0 시각 역전",IF(OR(I53&lt;O53,I53&gt;Q53),"측정시각 구간 밖","OK")))))</f>
        <v/>
      </c>
      <c r="O53" s="48">
        <f>IF(COUNTIFS($C:$C,$C53,$D:$D,$D53,$E:$E,"P0(전)",$M:$M,"&gt;0")&lt;&gt;1,"",SUMIFS($I:$I,$C:$C,$C53,$D:$D,$D53,$E:$E,"P0(전)"))</f>
        <v/>
      </c>
      <c r="P53" s="31">
        <f>IF(COUNTIFS($C:$C,$C53,$D:$D,$D53,$E:$E,"P0(전)",$M:$M,"&gt;0")&lt;&gt;1,"",SUMIFS($M:$M,$C:$C,$C53,$D:$D,$D53,$E:$E,"P0(전)"))</f>
        <v/>
      </c>
      <c r="Q53" s="48">
        <f>IF(COUNTIFS($C:$C,$C53,$D:$D,$D53,$E:$E,"P0(후)",$M:$M,"&gt;0")&lt;&gt;1,"",SUMIFS($I:$I,$C:$C,$C53,$D:$D,$D53,$E:$E,"P0(후)"))</f>
        <v/>
      </c>
      <c r="R53" s="31">
        <f>IF(COUNTIFS($C:$C,$C53,$D:$D,$D53,$E:$E,"P0(후)",$M:$M,"&gt;0")&lt;&gt;1,"",SUMIFS($M:$M,$C:$C,$C53,$D:$D,$D53,$E:$E,"P0(후)"))</f>
        <v/>
      </c>
      <c r="S53" s="31">
        <f>IF(N53&lt;&gt;"OK","",P53+(R53-P53)*(I53-O53)/(Q53-O53))</f>
        <v/>
      </c>
      <c r="T53" s="31">
        <f>IF(OR(N53&lt;&gt;"OK",NOT(ISNUMBER(M53))),"",M53-S53)</f>
        <v/>
      </c>
      <c r="U53" s="49">
        <f>IF(OR(NOT(ISNUMBER(T53)),IF(ISNUMBER(H53),H53,G53)=0),"",T53/IF(ISNUMBER(H53),H53,G53))</f>
        <v/>
      </c>
      <c r="V53" s="49">
        <f>IF(ISNUMBER(U53),ABS(U53),"")</f>
        <v/>
      </c>
      <c r="W53" s="49">
        <f>IF(OR($E52&lt;&gt;"측정",$C52&lt;&gt;$C53,$D52&lt;&gt;$D53,NOT(ISNUMBER(M53)),NOT(ISNUMBER(M52)),(IF(ISNUMBER(H53),H53,G53)-IF(ISNUMBER(H52),H52,G52))=0),"",(M53-M52)/(IF(ISNUMBER(H53),H53,G53)-IF(ISNUMBER(H52),H52,G52)))</f>
        <v/>
      </c>
      <c r="X53" s="31">
        <f>IF(NOT(AND(ISNUMBER(O53),ISNUMBER(Q53))),"",(Q53-O53)*1440)</f>
        <v/>
      </c>
      <c r="Y53" s="29" t="n"/>
      <c r="Z53" s="29" t="n"/>
      <c r="AA53" s="29" t="n"/>
      <c r="AB53" s="32" t="n"/>
      <c r="AC53" s="32" t="n"/>
    </row>
    <row r="54">
      <c r="A54" s="26" t="inlineStr">
        <is>
          <t>S01</t>
        </is>
      </c>
      <c r="B54" s="26" t="inlineStr">
        <is>
          <t>태백 신규점</t>
        </is>
      </c>
      <c r="C54" s="26" t="inlineStr">
        <is>
          <t>S01-H북</t>
        </is>
      </c>
      <c r="D54" s="47" t="n">
        <v>1</v>
      </c>
      <c r="E54" s="26" t="inlineStr">
        <is>
          <t>측정</t>
        </is>
      </c>
      <c r="F54" s="26" t="inlineStr">
        <is>
          <t>북</t>
        </is>
      </c>
      <c r="G54" s="31" t="n">
        <v>8</v>
      </c>
      <c r="H54" s="30" t="n"/>
      <c r="I54" s="43" t="n"/>
      <c r="J54" s="41" t="n"/>
      <c r="K54" s="41" t="n"/>
      <c r="L54" s="41" t="n"/>
      <c r="M54" s="31">
        <f>IF(COUNT(J54:L54)=0,"",MEDIAN(J54:L54))</f>
        <v/>
      </c>
      <c r="N54" s="26">
        <f>IF(COUNTIFS($C:$C,$C54,$D:$D,$D54,$E:$E,"P0(전)",$M:$M,"&gt;0")&lt;&gt;1,"P0(전) 유효 1개 아님",IF(COUNTIFS($C:$C,$C54,$D:$D,$D54,$E:$E,"P0(후)",$M:$M,"&gt;0")&lt;&gt;1,"P0(후) 유효 1개 아님",IF(NOT(AND(ISNUMBER(O54),ISNUMBER(Q54),ISNUMBER(I54))),"시각 결측",IF(Q54&lt;=O54,"P0 시각 역전",IF(OR(I54&lt;O54,I54&gt;Q54),"측정시각 구간 밖","OK")))))</f>
        <v/>
      </c>
      <c r="O54" s="48">
        <f>IF(COUNTIFS($C:$C,$C54,$D:$D,$D54,$E:$E,"P0(전)",$M:$M,"&gt;0")&lt;&gt;1,"",SUMIFS($I:$I,$C:$C,$C54,$D:$D,$D54,$E:$E,"P0(전)"))</f>
        <v/>
      </c>
      <c r="P54" s="31">
        <f>IF(COUNTIFS($C:$C,$C54,$D:$D,$D54,$E:$E,"P0(전)",$M:$M,"&gt;0")&lt;&gt;1,"",SUMIFS($M:$M,$C:$C,$C54,$D:$D,$D54,$E:$E,"P0(전)"))</f>
        <v/>
      </c>
      <c r="Q54" s="48">
        <f>IF(COUNTIFS($C:$C,$C54,$D:$D,$D54,$E:$E,"P0(후)",$M:$M,"&gt;0")&lt;&gt;1,"",SUMIFS($I:$I,$C:$C,$C54,$D:$D,$D54,$E:$E,"P0(후)"))</f>
        <v/>
      </c>
      <c r="R54" s="31">
        <f>IF(COUNTIFS($C:$C,$C54,$D:$D,$D54,$E:$E,"P0(후)",$M:$M,"&gt;0")&lt;&gt;1,"",SUMIFS($M:$M,$C:$C,$C54,$D:$D,$D54,$E:$E,"P0(후)"))</f>
        <v/>
      </c>
      <c r="S54" s="31">
        <f>IF(N54&lt;&gt;"OK","",P54+(R54-P54)*(I54-O54)/(Q54-O54))</f>
        <v/>
      </c>
      <c r="T54" s="31">
        <f>IF(OR(N54&lt;&gt;"OK",NOT(ISNUMBER(M54))),"",M54-S54)</f>
        <v/>
      </c>
      <c r="U54" s="49">
        <f>IF(OR(NOT(ISNUMBER(T54)),IF(ISNUMBER(H54),H54,G54)=0),"",T54/IF(ISNUMBER(H54),H54,G54))</f>
        <v/>
      </c>
      <c r="V54" s="49">
        <f>IF(ISNUMBER(U54),ABS(U54),"")</f>
        <v/>
      </c>
      <c r="W54" s="49">
        <f>IF(OR($E53&lt;&gt;"측정",$C53&lt;&gt;$C54,$D53&lt;&gt;$D54,NOT(ISNUMBER(M54)),NOT(ISNUMBER(M53)),(IF(ISNUMBER(H54),H54,G54)-IF(ISNUMBER(H53),H53,G53))=0),"",(M54-M53)/(IF(ISNUMBER(H54),H54,G54)-IF(ISNUMBER(H53),H53,G53)))</f>
        <v/>
      </c>
      <c r="X54" s="31">
        <f>IF(NOT(AND(ISNUMBER(O54),ISNUMBER(Q54))),"",(Q54-O54)*1440)</f>
        <v/>
      </c>
      <c r="Y54" s="29" t="n"/>
      <c r="Z54" s="29" t="n"/>
      <c r="AA54" s="29" t="n"/>
      <c r="AB54" s="32" t="n"/>
      <c r="AC54" s="32" t="n"/>
    </row>
    <row r="55">
      <c r="A55" s="26" t="inlineStr">
        <is>
          <t>S01</t>
        </is>
      </c>
      <c r="B55" s="26" t="inlineStr">
        <is>
          <t>태백 신규점</t>
        </is>
      </c>
      <c r="C55" s="26" t="inlineStr">
        <is>
          <t>S01-H북</t>
        </is>
      </c>
      <c r="D55" s="47" t="n">
        <v>1</v>
      </c>
      <c r="E55" s="26" t="inlineStr">
        <is>
          <t>측정</t>
        </is>
      </c>
      <c r="F55" s="26" t="inlineStr">
        <is>
          <t>북</t>
        </is>
      </c>
      <c r="G55" s="31" t="n">
        <v>9</v>
      </c>
      <c r="H55" s="30" t="n"/>
      <c r="I55" s="43" t="n"/>
      <c r="J55" s="41" t="n"/>
      <c r="K55" s="41" t="n"/>
      <c r="L55" s="41" t="n"/>
      <c r="M55" s="31">
        <f>IF(COUNT(J55:L55)=0,"",MEDIAN(J55:L55))</f>
        <v/>
      </c>
      <c r="N55" s="26">
        <f>IF(COUNTIFS($C:$C,$C55,$D:$D,$D55,$E:$E,"P0(전)",$M:$M,"&gt;0")&lt;&gt;1,"P0(전) 유효 1개 아님",IF(COUNTIFS($C:$C,$C55,$D:$D,$D55,$E:$E,"P0(후)",$M:$M,"&gt;0")&lt;&gt;1,"P0(후) 유효 1개 아님",IF(NOT(AND(ISNUMBER(O55),ISNUMBER(Q55),ISNUMBER(I55))),"시각 결측",IF(Q55&lt;=O55,"P0 시각 역전",IF(OR(I55&lt;O55,I55&gt;Q55),"측정시각 구간 밖","OK")))))</f>
        <v/>
      </c>
      <c r="O55" s="48">
        <f>IF(COUNTIFS($C:$C,$C55,$D:$D,$D55,$E:$E,"P0(전)",$M:$M,"&gt;0")&lt;&gt;1,"",SUMIFS($I:$I,$C:$C,$C55,$D:$D,$D55,$E:$E,"P0(전)"))</f>
        <v/>
      </c>
      <c r="P55" s="31">
        <f>IF(COUNTIFS($C:$C,$C55,$D:$D,$D55,$E:$E,"P0(전)",$M:$M,"&gt;0")&lt;&gt;1,"",SUMIFS($M:$M,$C:$C,$C55,$D:$D,$D55,$E:$E,"P0(전)"))</f>
        <v/>
      </c>
      <c r="Q55" s="48">
        <f>IF(COUNTIFS($C:$C,$C55,$D:$D,$D55,$E:$E,"P0(후)",$M:$M,"&gt;0")&lt;&gt;1,"",SUMIFS($I:$I,$C:$C,$C55,$D:$D,$D55,$E:$E,"P0(후)"))</f>
        <v/>
      </c>
      <c r="R55" s="31">
        <f>IF(COUNTIFS($C:$C,$C55,$D:$D,$D55,$E:$E,"P0(후)",$M:$M,"&gt;0")&lt;&gt;1,"",SUMIFS($M:$M,$C:$C,$C55,$D:$D,$D55,$E:$E,"P0(후)"))</f>
        <v/>
      </c>
      <c r="S55" s="31">
        <f>IF(N55&lt;&gt;"OK","",P55+(R55-P55)*(I55-O55)/(Q55-O55))</f>
        <v/>
      </c>
      <c r="T55" s="31">
        <f>IF(OR(N55&lt;&gt;"OK",NOT(ISNUMBER(M55))),"",M55-S55)</f>
        <v/>
      </c>
      <c r="U55" s="49">
        <f>IF(OR(NOT(ISNUMBER(T55)),IF(ISNUMBER(H55),H55,G55)=0),"",T55/IF(ISNUMBER(H55),H55,G55))</f>
        <v/>
      </c>
      <c r="V55" s="49">
        <f>IF(ISNUMBER(U55),ABS(U55),"")</f>
        <v/>
      </c>
      <c r="W55" s="49">
        <f>IF(OR($E54&lt;&gt;"측정",$C54&lt;&gt;$C55,$D54&lt;&gt;$D55,NOT(ISNUMBER(M55)),NOT(ISNUMBER(M54)),(IF(ISNUMBER(H55),H55,G55)-IF(ISNUMBER(H54),H54,G54))=0),"",(M55-M54)/(IF(ISNUMBER(H55),H55,G55)-IF(ISNUMBER(H54),H54,G54)))</f>
        <v/>
      </c>
      <c r="X55" s="31">
        <f>IF(NOT(AND(ISNUMBER(O55),ISNUMBER(Q55))),"",(Q55-O55)*1440)</f>
        <v/>
      </c>
      <c r="Y55" s="29" t="n"/>
      <c r="Z55" s="29" t="n"/>
      <c r="AA55" s="29" t="n"/>
      <c r="AB55" s="32" t="n"/>
      <c r="AC55" s="32" t="n"/>
    </row>
    <row r="56">
      <c r="A56" s="26" t="inlineStr">
        <is>
          <t>S01</t>
        </is>
      </c>
      <c r="B56" s="26" t="inlineStr">
        <is>
          <t>태백 신규점</t>
        </is>
      </c>
      <c r="C56" s="26" t="inlineStr">
        <is>
          <t>S01-H북</t>
        </is>
      </c>
      <c r="D56" s="47" t="n">
        <v>1</v>
      </c>
      <c r="E56" s="26" t="inlineStr">
        <is>
          <t>측정</t>
        </is>
      </c>
      <c r="F56" s="26" t="inlineStr">
        <is>
          <t>북</t>
        </is>
      </c>
      <c r="G56" s="31" t="n">
        <v>10</v>
      </c>
      <c r="H56" s="30" t="n"/>
      <c r="I56" s="43" t="n"/>
      <c r="J56" s="41" t="n"/>
      <c r="K56" s="41" t="n"/>
      <c r="L56" s="41" t="n"/>
      <c r="M56" s="31">
        <f>IF(COUNT(J56:L56)=0,"",MEDIAN(J56:L56))</f>
        <v/>
      </c>
      <c r="N56" s="26">
        <f>IF(COUNTIFS($C:$C,$C56,$D:$D,$D56,$E:$E,"P0(전)",$M:$M,"&gt;0")&lt;&gt;1,"P0(전) 유효 1개 아님",IF(COUNTIFS($C:$C,$C56,$D:$D,$D56,$E:$E,"P0(후)",$M:$M,"&gt;0")&lt;&gt;1,"P0(후) 유효 1개 아님",IF(NOT(AND(ISNUMBER(O56),ISNUMBER(Q56),ISNUMBER(I56))),"시각 결측",IF(Q56&lt;=O56,"P0 시각 역전",IF(OR(I56&lt;O56,I56&gt;Q56),"측정시각 구간 밖","OK")))))</f>
        <v/>
      </c>
      <c r="O56" s="48">
        <f>IF(COUNTIFS($C:$C,$C56,$D:$D,$D56,$E:$E,"P0(전)",$M:$M,"&gt;0")&lt;&gt;1,"",SUMIFS($I:$I,$C:$C,$C56,$D:$D,$D56,$E:$E,"P0(전)"))</f>
        <v/>
      </c>
      <c r="P56" s="31">
        <f>IF(COUNTIFS($C:$C,$C56,$D:$D,$D56,$E:$E,"P0(전)",$M:$M,"&gt;0")&lt;&gt;1,"",SUMIFS($M:$M,$C:$C,$C56,$D:$D,$D56,$E:$E,"P0(전)"))</f>
        <v/>
      </c>
      <c r="Q56" s="48">
        <f>IF(COUNTIFS($C:$C,$C56,$D:$D,$D56,$E:$E,"P0(후)",$M:$M,"&gt;0")&lt;&gt;1,"",SUMIFS($I:$I,$C:$C,$C56,$D:$D,$D56,$E:$E,"P0(후)"))</f>
        <v/>
      </c>
      <c r="R56" s="31">
        <f>IF(COUNTIFS($C:$C,$C56,$D:$D,$D56,$E:$E,"P0(후)",$M:$M,"&gt;0")&lt;&gt;1,"",SUMIFS($M:$M,$C:$C,$C56,$D:$D,$D56,$E:$E,"P0(후)"))</f>
        <v/>
      </c>
      <c r="S56" s="31">
        <f>IF(N56&lt;&gt;"OK","",P56+(R56-P56)*(I56-O56)/(Q56-O56))</f>
        <v/>
      </c>
      <c r="T56" s="31">
        <f>IF(OR(N56&lt;&gt;"OK",NOT(ISNUMBER(M56))),"",M56-S56)</f>
        <v/>
      </c>
      <c r="U56" s="49">
        <f>IF(OR(NOT(ISNUMBER(T56)),IF(ISNUMBER(H56),H56,G56)=0),"",T56/IF(ISNUMBER(H56),H56,G56))</f>
        <v/>
      </c>
      <c r="V56" s="49">
        <f>IF(ISNUMBER(U56),ABS(U56),"")</f>
        <v/>
      </c>
      <c r="W56" s="49">
        <f>IF(OR($E55&lt;&gt;"측정",$C55&lt;&gt;$C56,$D55&lt;&gt;$D56,NOT(ISNUMBER(M56)),NOT(ISNUMBER(M55)),(IF(ISNUMBER(H56),H56,G56)-IF(ISNUMBER(H55),H55,G55))=0),"",(M56-M55)/(IF(ISNUMBER(H56),H56,G56)-IF(ISNUMBER(H55),H55,G55)))</f>
        <v/>
      </c>
      <c r="X56" s="31">
        <f>IF(NOT(AND(ISNUMBER(O56),ISNUMBER(Q56))),"",(Q56-O56)*1440)</f>
        <v/>
      </c>
      <c r="Y56" s="29" t="n"/>
      <c r="Z56" s="29" t="n"/>
      <c r="AA56" s="29" t="n"/>
      <c r="AB56" s="32" t="n"/>
      <c r="AC56" s="32" t="n"/>
    </row>
    <row r="57">
      <c r="A57" s="44" t="inlineStr">
        <is>
          <t>S01</t>
        </is>
      </c>
      <c r="B57" s="44" t="inlineStr">
        <is>
          <t>태백 신규점</t>
        </is>
      </c>
      <c r="C57" s="44" t="inlineStr">
        <is>
          <t>S01-H북</t>
        </is>
      </c>
      <c r="D57" s="45" t="n">
        <v>1</v>
      </c>
      <c r="E57" s="44" t="inlineStr">
        <is>
          <t>P0(후)</t>
        </is>
      </c>
      <c r="F57" s="44" t="inlineStr">
        <is>
          <t>북</t>
        </is>
      </c>
      <c r="G57" s="46" t="n"/>
      <c r="H57" s="30" t="n"/>
      <c r="I57" s="43" t="n"/>
      <c r="J57" s="41" t="n"/>
      <c r="K57" s="41" t="n"/>
      <c r="L57" s="41" t="n"/>
      <c r="M57" s="31">
        <f>IF(COUNT(J57:L57)=0,"",MEDIAN(J57:L57))</f>
        <v/>
      </c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29" t="n"/>
      <c r="Z57" s="29" t="n"/>
      <c r="AA57" s="29" t="n"/>
      <c r="AB57" s="32" t="n"/>
      <c r="AC57" s="32" t="n"/>
    </row>
    <row r="58">
      <c r="A58" s="44" t="inlineStr">
        <is>
          <t>S02</t>
        </is>
      </c>
      <c r="B58" s="44" t="inlineStr">
        <is>
          <t>임계 신규점1</t>
        </is>
      </c>
      <c r="C58" s="44" t="inlineStr">
        <is>
          <t>S02-H동</t>
        </is>
      </c>
      <c r="D58" s="45" t="n">
        <v>1</v>
      </c>
      <c r="E58" s="44" t="inlineStr">
        <is>
          <t>P0(전)</t>
        </is>
      </c>
      <c r="F58" s="44" t="inlineStr">
        <is>
          <t>동</t>
        </is>
      </c>
      <c r="G58" s="46" t="n"/>
      <c r="H58" s="30" t="n"/>
      <c r="I58" s="43" t="n"/>
      <c r="J58" s="41" t="n"/>
      <c r="K58" s="41" t="n"/>
      <c r="L58" s="41" t="n"/>
      <c r="M58" s="31">
        <f>IF(COUNT(J58:L58)=0,"",MEDIAN(J58:L58))</f>
        <v/>
      </c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29" t="n"/>
      <c r="Z58" s="29" t="n"/>
      <c r="AA58" s="29" t="n"/>
      <c r="AB58" s="32" t="n"/>
      <c r="AC58" s="32" t="n"/>
    </row>
    <row r="59">
      <c r="A59" s="26" t="inlineStr">
        <is>
          <t>S02</t>
        </is>
      </c>
      <c r="B59" s="26" t="inlineStr">
        <is>
          <t>임계 신규점1</t>
        </is>
      </c>
      <c r="C59" s="26" t="inlineStr">
        <is>
          <t>S02-H동</t>
        </is>
      </c>
      <c r="D59" s="47" t="n">
        <v>1</v>
      </c>
      <c r="E59" s="26" t="inlineStr">
        <is>
          <t>측정</t>
        </is>
      </c>
      <c r="F59" s="26" t="inlineStr">
        <is>
          <t>동</t>
        </is>
      </c>
      <c r="G59" s="31" t="n">
        <v>0.5</v>
      </c>
      <c r="H59" s="30" t="n"/>
      <c r="I59" s="43" t="n"/>
      <c r="J59" s="41" t="n"/>
      <c r="K59" s="41" t="n"/>
      <c r="L59" s="41" t="n"/>
      <c r="M59" s="31">
        <f>IF(COUNT(J59:L59)=0,"",MEDIAN(J59:L59))</f>
        <v/>
      </c>
      <c r="N59" s="26">
        <f>IF(COUNTIFS($C:$C,$C59,$D:$D,$D59,$E:$E,"P0(전)",$M:$M,"&gt;0")&lt;&gt;1,"P0(전) 유효 1개 아님",IF(COUNTIFS($C:$C,$C59,$D:$D,$D59,$E:$E,"P0(후)",$M:$M,"&gt;0")&lt;&gt;1,"P0(후) 유효 1개 아님",IF(NOT(AND(ISNUMBER(O59),ISNUMBER(Q59),ISNUMBER(I59))),"시각 결측",IF(Q59&lt;=O59,"P0 시각 역전",IF(OR(I59&lt;O59,I59&gt;Q59),"측정시각 구간 밖","OK")))))</f>
        <v/>
      </c>
      <c r="O59" s="48">
        <f>IF(COUNTIFS($C:$C,$C59,$D:$D,$D59,$E:$E,"P0(전)",$M:$M,"&gt;0")&lt;&gt;1,"",SUMIFS($I:$I,$C:$C,$C59,$D:$D,$D59,$E:$E,"P0(전)"))</f>
        <v/>
      </c>
      <c r="P59" s="31">
        <f>IF(COUNTIFS($C:$C,$C59,$D:$D,$D59,$E:$E,"P0(전)",$M:$M,"&gt;0")&lt;&gt;1,"",SUMIFS($M:$M,$C:$C,$C59,$D:$D,$D59,$E:$E,"P0(전)"))</f>
        <v/>
      </c>
      <c r="Q59" s="48">
        <f>IF(COUNTIFS($C:$C,$C59,$D:$D,$D59,$E:$E,"P0(후)",$M:$M,"&gt;0")&lt;&gt;1,"",SUMIFS($I:$I,$C:$C,$C59,$D:$D,$D59,$E:$E,"P0(후)"))</f>
        <v/>
      </c>
      <c r="R59" s="31">
        <f>IF(COUNTIFS($C:$C,$C59,$D:$D,$D59,$E:$E,"P0(후)",$M:$M,"&gt;0")&lt;&gt;1,"",SUMIFS($M:$M,$C:$C,$C59,$D:$D,$D59,$E:$E,"P0(후)"))</f>
        <v/>
      </c>
      <c r="S59" s="31">
        <f>IF(N59&lt;&gt;"OK","",P59+(R59-P59)*(I59-O59)/(Q59-O59))</f>
        <v/>
      </c>
      <c r="T59" s="31">
        <f>IF(OR(N59&lt;&gt;"OK",NOT(ISNUMBER(M59))),"",M59-S59)</f>
        <v/>
      </c>
      <c r="U59" s="49">
        <f>IF(OR(NOT(ISNUMBER(T59)),IF(ISNUMBER(H59),H59,G59)=0),"",T59/IF(ISNUMBER(H59),H59,G59))</f>
        <v/>
      </c>
      <c r="V59" s="49">
        <f>IF(ISNUMBER(U59),ABS(U59),"")</f>
        <v/>
      </c>
      <c r="W59" s="49">
        <f>IF(OR($E58&lt;&gt;"측정",$C58&lt;&gt;$C59,$D58&lt;&gt;$D59,NOT(ISNUMBER(M59)),NOT(ISNUMBER(M58)),(IF(ISNUMBER(H59),H59,G59)-IF(ISNUMBER(H58),H58,G58))=0),"",(M59-M58)/(IF(ISNUMBER(H59),H59,G59)-IF(ISNUMBER(H58),H58,G58)))</f>
        <v/>
      </c>
      <c r="X59" s="31">
        <f>IF(NOT(AND(ISNUMBER(O59),ISNUMBER(Q59))),"",(Q59-O59)*1440)</f>
        <v/>
      </c>
      <c r="Y59" s="29" t="n"/>
      <c r="Z59" s="29" t="n"/>
      <c r="AA59" s="29" t="n"/>
      <c r="AB59" s="32" t="n"/>
      <c r="AC59" s="32" t="n"/>
    </row>
    <row r="60">
      <c r="A60" s="26" t="inlineStr">
        <is>
          <t>S02</t>
        </is>
      </c>
      <c r="B60" s="26" t="inlineStr">
        <is>
          <t>임계 신규점1</t>
        </is>
      </c>
      <c r="C60" s="26" t="inlineStr">
        <is>
          <t>S02-H동</t>
        </is>
      </c>
      <c r="D60" s="47" t="n">
        <v>1</v>
      </c>
      <c r="E60" s="26" t="inlineStr">
        <is>
          <t>측정</t>
        </is>
      </c>
      <c r="F60" s="26" t="inlineStr">
        <is>
          <t>동</t>
        </is>
      </c>
      <c r="G60" s="31" t="n">
        <v>1</v>
      </c>
      <c r="H60" s="30" t="n"/>
      <c r="I60" s="43" t="n"/>
      <c r="J60" s="41" t="n"/>
      <c r="K60" s="41" t="n"/>
      <c r="L60" s="41" t="n"/>
      <c r="M60" s="31">
        <f>IF(COUNT(J60:L60)=0,"",MEDIAN(J60:L60))</f>
        <v/>
      </c>
      <c r="N60" s="26">
        <f>IF(COUNTIFS($C:$C,$C60,$D:$D,$D60,$E:$E,"P0(전)",$M:$M,"&gt;0")&lt;&gt;1,"P0(전) 유효 1개 아님",IF(COUNTIFS($C:$C,$C60,$D:$D,$D60,$E:$E,"P0(후)",$M:$M,"&gt;0")&lt;&gt;1,"P0(후) 유효 1개 아님",IF(NOT(AND(ISNUMBER(O60),ISNUMBER(Q60),ISNUMBER(I60))),"시각 결측",IF(Q60&lt;=O60,"P0 시각 역전",IF(OR(I60&lt;O60,I60&gt;Q60),"측정시각 구간 밖","OK")))))</f>
        <v/>
      </c>
      <c r="O60" s="48">
        <f>IF(COUNTIFS($C:$C,$C60,$D:$D,$D60,$E:$E,"P0(전)",$M:$M,"&gt;0")&lt;&gt;1,"",SUMIFS($I:$I,$C:$C,$C60,$D:$D,$D60,$E:$E,"P0(전)"))</f>
        <v/>
      </c>
      <c r="P60" s="31">
        <f>IF(COUNTIFS($C:$C,$C60,$D:$D,$D60,$E:$E,"P0(전)",$M:$M,"&gt;0")&lt;&gt;1,"",SUMIFS($M:$M,$C:$C,$C60,$D:$D,$D60,$E:$E,"P0(전)"))</f>
        <v/>
      </c>
      <c r="Q60" s="48">
        <f>IF(COUNTIFS($C:$C,$C60,$D:$D,$D60,$E:$E,"P0(후)",$M:$M,"&gt;0")&lt;&gt;1,"",SUMIFS($I:$I,$C:$C,$C60,$D:$D,$D60,$E:$E,"P0(후)"))</f>
        <v/>
      </c>
      <c r="R60" s="31">
        <f>IF(COUNTIFS($C:$C,$C60,$D:$D,$D60,$E:$E,"P0(후)",$M:$M,"&gt;0")&lt;&gt;1,"",SUMIFS($M:$M,$C:$C,$C60,$D:$D,$D60,$E:$E,"P0(후)"))</f>
        <v/>
      </c>
      <c r="S60" s="31">
        <f>IF(N60&lt;&gt;"OK","",P60+(R60-P60)*(I60-O60)/(Q60-O60))</f>
        <v/>
      </c>
      <c r="T60" s="31">
        <f>IF(OR(N60&lt;&gt;"OK",NOT(ISNUMBER(M60))),"",M60-S60)</f>
        <v/>
      </c>
      <c r="U60" s="49">
        <f>IF(OR(NOT(ISNUMBER(T60)),IF(ISNUMBER(H60),H60,G60)=0),"",T60/IF(ISNUMBER(H60),H60,G60))</f>
        <v/>
      </c>
      <c r="V60" s="49">
        <f>IF(ISNUMBER(U60),ABS(U60),"")</f>
        <v/>
      </c>
      <c r="W60" s="49">
        <f>IF(OR($E59&lt;&gt;"측정",$C59&lt;&gt;$C60,$D59&lt;&gt;$D60,NOT(ISNUMBER(M60)),NOT(ISNUMBER(M59)),(IF(ISNUMBER(H60),H60,G60)-IF(ISNUMBER(H59),H59,G59))=0),"",(M60-M59)/(IF(ISNUMBER(H60),H60,G60)-IF(ISNUMBER(H59),H59,G59)))</f>
        <v/>
      </c>
      <c r="X60" s="31">
        <f>IF(NOT(AND(ISNUMBER(O60),ISNUMBER(Q60))),"",(Q60-O60)*1440)</f>
        <v/>
      </c>
      <c r="Y60" s="29" t="n"/>
      <c r="Z60" s="29" t="n"/>
      <c r="AA60" s="29" t="n"/>
      <c r="AB60" s="32" t="n"/>
      <c r="AC60" s="32" t="n"/>
    </row>
    <row r="61">
      <c r="A61" s="26" t="inlineStr">
        <is>
          <t>S02</t>
        </is>
      </c>
      <c r="B61" s="26" t="inlineStr">
        <is>
          <t>임계 신규점1</t>
        </is>
      </c>
      <c r="C61" s="26" t="inlineStr">
        <is>
          <t>S02-H동</t>
        </is>
      </c>
      <c r="D61" s="47" t="n">
        <v>1</v>
      </c>
      <c r="E61" s="26" t="inlineStr">
        <is>
          <t>측정</t>
        </is>
      </c>
      <c r="F61" s="26" t="inlineStr">
        <is>
          <t>동</t>
        </is>
      </c>
      <c r="G61" s="31" t="n">
        <v>2</v>
      </c>
      <c r="H61" s="30" t="n"/>
      <c r="I61" s="43" t="n"/>
      <c r="J61" s="41" t="n"/>
      <c r="K61" s="41" t="n"/>
      <c r="L61" s="41" t="n"/>
      <c r="M61" s="31">
        <f>IF(COUNT(J61:L61)=0,"",MEDIAN(J61:L61))</f>
        <v/>
      </c>
      <c r="N61" s="26">
        <f>IF(COUNTIFS($C:$C,$C61,$D:$D,$D61,$E:$E,"P0(전)",$M:$M,"&gt;0")&lt;&gt;1,"P0(전) 유효 1개 아님",IF(COUNTIFS($C:$C,$C61,$D:$D,$D61,$E:$E,"P0(후)",$M:$M,"&gt;0")&lt;&gt;1,"P0(후) 유효 1개 아님",IF(NOT(AND(ISNUMBER(O61),ISNUMBER(Q61),ISNUMBER(I61))),"시각 결측",IF(Q61&lt;=O61,"P0 시각 역전",IF(OR(I61&lt;O61,I61&gt;Q61),"측정시각 구간 밖","OK")))))</f>
        <v/>
      </c>
      <c r="O61" s="48">
        <f>IF(COUNTIFS($C:$C,$C61,$D:$D,$D61,$E:$E,"P0(전)",$M:$M,"&gt;0")&lt;&gt;1,"",SUMIFS($I:$I,$C:$C,$C61,$D:$D,$D61,$E:$E,"P0(전)"))</f>
        <v/>
      </c>
      <c r="P61" s="31">
        <f>IF(COUNTIFS($C:$C,$C61,$D:$D,$D61,$E:$E,"P0(전)",$M:$M,"&gt;0")&lt;&gt;1,"",SUMIFS($M:$M,$C:$C,$C61,$D:$D,$D61,$E:$E,"P0(전)"))</f>
        <v/>
      </c>
      <c r="Q61" s="48">
        <f>IF(COUNTIFS($C:$C,$C61,$D:$D,$D61,$E:$E,"P0(후)",$M:$M,"&gt;0")&lt;&gt;1,"",SUMIFS($I:$I,$C:$C,$C61,$D:$D,$D61,$E:$E,"P0(후)"))</f>
        <v/>
      </c>
      <c r="R61" s="31">
        <f>IF(COUNTIFS($C:$C,$C61,$D:$D,$D61,$E:$E,"P0(후)",$M:$M,"&gt;0")&lt;&gt;1,"",SUMIFS($M:$M,$C:$C,$C61,$D:$D,$D61,$E:$E,"P0(후)"))</f>
        <v/>
      </c>
      <c r="S61" s="31">
        <f>IF(N61&lt;&gt;"OK","",P61+(R61-P61)*(I61-O61)/(Q61-O61))</f>
        <v/>
      </c>
      <c r="T61" s="31">
        <f>IF(OR(N61&lt;&gt;"OK",NOT(ISNUMBER(M61))),"",M61-S61)</f>
        <v/>
      </c>
      <c r="U61" s="49">
        <f>IF(OR(NOT(ISNUMBER(T61)),IF(ISNUMBER(H61),H61,G61)=0),"",T61/IF(ISNUMBER(H61),H61,G61))</f>
        <v/>
      </c>
      <c r="V61" s="49">
        <f>IF(ISNUMBER(U61),ABS(U61),"")</f>
        <v/>
      </c>
      <c r="W61" s="49">
        <f>IF(OR($E60&lt;&gt;"측정",$C60&lt;&gt;$C61,$D60&lt;&gt;$D61,NOT(ISNUMBER(M61)),NOT(ISNUMBER(M60)),(IF(ISNUMBER(H61),H61,G61)-IF(ISNUMBER(H60),H60,G60))=0),"",(M61-M60)/(IF(ISNUMBER(H61),H61,G61)-IF(ISNUMBER(H60),H60,G60)))</f>
        <v/>
      </c>
      <c r="X61" s="31">
        <f>IF(NOT(AND(ISNUMBER(O61),ISNUMBER(Q61))),"",(Q61-O61)*1440)</f>
        <v/>
      </c>
      <c r="Y61" s="29" t="n"/>
      <c r="Z61" s="29" t="n"/>
      <c r="AA61" s="29" t="n"/>
      <c r="AB61" s="32" t="n"/>
      <c r="AC61" s="32" t="n"/>
    </row>
    <row r="62">
      <c r="A62" s="26" t="inlineStr">
        <is>
          <t>S02</t>
        </is>
      </c>
      <c r="B62" s="26" t="inlineStr">
        <is>
          <t>임계 신규점1</t>
        </is>
      </c>
      <c r="C62" s="26" t="inlineStr">
        <is>
          <t>S02-H동</t>
        </is>
      </c>
      <c r="D62" s="47" t="n">
        <v>1</v>
      </c>
      <c r="E62" s="26" t="inlineStr">
        <is>
          <t>측정</t>
        </is>
      </c>
      <c r="F62" s="26" t="inlineStr">
        <is>
          <t>동</t>
        </is>
      </c>
      <c r="G62" s="31" t="n">
        <v>3</v>
      </c>
      <c r="H62" s="30" t="n"/>
      <c r="I62" s="43" t="n"/>
      <c r="J62" s="41" t="n"/>
      <c r="K62" s="41" t="n"/>
      <c r="L62" s="41" t="n"/>
      <c r="M62" s="31">
        <f>IF(COUNT(J62:L62)=0,"",MEDIAN(J62:L62))</f>
        <v/>
      </c>
      <c r="N62" s="26">
        <f>IF(COUNTIFS($C:$C,$C62,$D:$D,$D62,$E:$E,"P0(전)",$M:$M,"&gt;0")&lt;&gt;1,"P0(전) 유효 1개 아님",IF(COUNTIFS($C:$C,$C62,$D:$D,$D62,$E:$E,"P0(후)",$M:$M,"&gt;0")&lt;&gt;1,"P0(후) 유효 1개 아님",IF(NOT(AND(ISNUMBER(O62),ISNUMBER(Q62),ISNUMBER(I62))),"시각 결측",IF(Q62&lt;=O62,"P0 시각 역전",IF(OR(I62&lt;O62,I62&gt;Q62),"측정시각 구간 밖","OK")))))</f>
        <v/>
      </c>
      <c r="O62" s="48">
        <f>IF(COUNTIFS($C:$C,$C62,$D:$D,$D62,$E:$E,"P0(전)",$M:$M,"&gt;0")&lt;&gt;1,"",SUMIFS($I:$I,$C:$C,$C62,$D:$D,$D62,$E:$E,"P0(전)"))</f>
        <v/>
      </c>
      <c r="P62" s="31">
        <f>IF(COUNTIFS($C:$C,$C62,$D:$D,$D62,$E:$E,"P0(전)",$M:$M,"&gt;0")&lt;&gt;1,"",SUMIFS($M:$M,$C:$C,$C62,$D:$D,$D62,$E:$E,"P0(전)"))</f>
        <v/>
      </c>
      <c r="Q62" s="48">
        <f>IF(COUNTIFS($C:$C,$C62,$D:$D,$D62,$E:$E,"P0(후)",$M:$M,"&gt;0")&lt;&gt;1,"",SUMIFS($I:$I,$C:$C,$C62,$D:$D,$D62,$E:$E,"P0(후)"))</f>
        <v/>
      </c>
      <c r="R62" s="31">
        <f>IF(COUNTIFS($C:$C,$C62,$D:$D,$D62,$E:$E,"P0(후)",$M:$M,"&gt;0")&lt;&gt;1,"",SUMIFS($M:$M,$C:$C,$C62,$D:$D,$D62,$E:$E,"P0(후)"))</f>
        <v/>
      </c>
      <c r="S62" s="31">
        <f>IF(N62&lt;&gt;"OK","",P62+(R62-P62)*(I62-O62)/(Q62-O62))</f>
        <v/>
      </c>
      <c r="T62" s="31">
        <f>IF(OR(N62&lt;&gt;"OK",NOT(ISNUMBER(M62))),"",M62-S62)</f>
        <v/>
      </c>
      <c r="U62" s="49">
        <f>IF(OR(NOT(ISNUMBER(T62)),IF(ISNUMBER(H62),H62,G62)=0),"",T62/IF(ISNUMBER(H62),H62,G62))</f>
        <v/>
      </c>
      <c r="V62" s="49">
        <f>IF(ISNUMBER(U62),ABS(U62),"")</f>
        <v/>
      </c>
      <c r="W62" s="49">
        <f>IF(OR($E61&lt;&gt;"측정",$C61&lt;&gt;$C62,$D61&lt;&gt;$D62,NOT(ISNUMBER(M62)),NOT(ISNUMBER(M61)),(IF(ISNUMBER(H62),H62,G62)-IF(ISNUMBER(H61),H61,G61))=0),"",(M62-M61)/(IF(ISNUMBER(H62),H62,G62)-IF(ISNUMBER(H61),H61,G61)))</f>
        <v/>
      </c>
      <c r="X62" s="31">
        <f>IF(NOT(AND(ISNUMBER(O62),ISNUMBER(Q62))),"",(Q62-O62)*1440)</f>
        <v/>
      </c>
      <c r="Y62" s="29" t="n"/>
      <c r="Z62" s="29" t="n"/>
      <c r="AA62" s="29" t="n"/>
      <c r="AB62" s="32" t="n"/>
      <c r="AC62" s="32" t="n"/>
    </row>
    <row r="63">
      <c r="A63" s="26" t="inlineStr">
        <is>
          <t>S02</t>
        </is>
      </c>
      <c r="B63" s="26" t="inlineStr">
        <is>
          <t>임계 신규점1</t>
        </is>
      </c>
      <c r="C63" s="26" t="inlineStr">
        <is>
          <t>S02-H동</t>
        </is>
      </c>
      <c r="D63" s="47" t="n">
        <v>1</v>
      </c>
      <c r="E63" s="26" t="inlineStr">
        <is>
          <t>측정</t>
        </is>
      </c>
      <c r="F63" s="26" t="inlineStr">
        <is>
          <t>동</t>
        </is>
      </c>
      <c r="G63" s="31" t="n">
        <v>4</v>
      </c>
      <c r="H63" s="30" t="n"/>
      <c r="I63" s="43" t="n"/>
      <c r="J63" s="41" t="n"/>
      <c r="K63" s="41" t="n"/>
      <c r="L63" s="41" t="n"/>
      <c r="M63" s="31">
        <f>IF(COUNT(J63:L63)=0,"",MEDIAN(J63:L63))</f>
        <v/>
      </c>
      <c r="N63" s="26">
        <f>IF(COUNTIFS($C:$C,$C63,$D:$D,$D63,$E:$E,"P0(전)",$M:$M,"&gt;0")&lt;&gt;1,"P0(전) 유효 1개 아님",IF(COUNTIFS($C:$C,$C63,$D:$D,$D63,$E:$E,"P0(후)",$M:$M,"&gt;0")&lt;&gt;1,"P0(후) 유효 1개 아님",IF(NOT(AND(ISNUMBER(O63),ISNUMBER(Q63),ISNUMBER(I63))),"시각 결측",IF(Q63&lt;=O63,"P0 시각 역전",IF(OR(I63&lt;O63,I63&gt;Q63),"측정시각 구간 밖","OK")))))</f>
        <v/>
      </c>
      <c r="O63" s="48">
        <f>IF(COUNTIFS($C:$C,$C63,$D:$D,$D63,$E:$E,"P0(전)",$M:$M,"&gt;0")&lt;&gt;1,"",SUMIFS($I:$I,$C:$C,$C63,$D:$D,$D63,$E:$E,"P0(전)"))</f>
        <v/>
      </c>
      <c r="P63" s="31">
        <f>IF(COUNTIFS($C:$C,$C63,$D:$D,$D63,$E:$E,"P0(전)",$M:$M,"&gt;0")&lt;&gt;1,"",SUMIFS($M:$M,$C:$C,$C63,$D:$D,$D63,$E:$E,"P0(전)"))</f>
        <v/>
      </c>
      <c r="Q63" s="48">
        <f>IF(COUNTIFS($C:$C,$C63,$D:$D,$D63,$E:$E,"P0(후)",$M:$M,"&gt;0")&lt;&gt;1,"",SUMIFS($I:$I,$C:$C,$C63,$D:$D,$D63,$E:$E,"P0(후)"))</f>
        <v/>
      </c>
      <c r="R63" s="31">
        <f>IF(COUNTIFS($C:$C,$C63,$D:$D,$D63,$E:$E,"P0(후)",$M:$M,"&gt;0")&lt;&gt;1,"",SUMIFS($M:$M,$C:$C,$C63,$D:$D,$D63,$E:$E,"P0(후)"))</f>
        <v/>
      </c>
      <c r="S63" s="31">
        <f>IF(N63&lt;&gt;"OK","",P63+(R63-P63)*(I63-O63)/(Q63-O63))</f>
        <v/>
      </c>
      <c r="T63" s="31">
        <f>IF(OR(N63&lt;&gt;"OK",NOT(ISNUMBER(M63))),"",M63-S63)</f>
        <v/>
      </c>
      <c r="U63" s="49">
        <f>IF(OR(NOT(ISNUMBER(T63)),IF(ISNUMBER(H63),H63,G63)=0),"",T63/IF(ISNUMBER(H63),H63,G63))</f>
        <v/>
      </c>
      <c r="V63" s="49">
        <f>IF(ISNUMBER(U63),ABS(U63),"")</f>
        <v/>
      </c>
      <c r="W63" s="49">
        <f>IF(OR($E62&lt;&gt;"측정",$C62&lt;&gt;$C63,$D62&lt;&gt;$D63,NOT(ISNUMBER(M63)),NOT(ISNUMBER(M62)),(IF(ISNUMBER(H63),H63,G63)-IF(ISNUMBER(H62),H62,G62))=0),"",(M63-M62)/(IF(ISNUMBER(H63),H63,G63)-IF(ISNUMBER(H62),H62,G62)))</f>
        <v/>
      </c>
      <c r="X63" s="31">
        <f>IF(NOT(AND(ISNUMBER(O63),ISNUMBER(Q63))),"",(Q63-O63)*1440)</f>
        <v/>
      </c>
      <c r="Y63" s="29" t="n"/>
      <c r="Z63" s="29" t="n"/>
      <c r="AA63" s="29" t="n"/>
      <c r="AB63" s="32" t="n"/>
      <c r="AC63" s="32" t="n"/>
    </row>
    <row r="64">
      <c r="A64" s="26" t="inlineStr">
        <is>
          <t>S02</t>
        </is>
      </c>
      <c r="B64" s="26" t="inlineStr">
        <is>
          <t>임계 신규점1</t>
        </is>
      </c>
      <c r="C64" s="26" t="inlineStr">
        <is>
          <t>S02-H동</t>
        </is>
      </c>
      <c r="D64" s="47" t="n">
        <v>1</v>
      </c>
      <c r="E64" s="26" t="inlineStr">
        <is>
          <t>측정</t>
        </is>
      </c>
      <c r="F64" s="26" t="inlineStr">
        <is>
          <t>동</t>
        </is>
      </c>
      <c r="G64" s="31" t="n">
        <v>5</v>
      </c>
      <c r="H64" s="30" t="n"/>
      <c r="I64" s="43" t="n"/>
      <c r="J64" s="41" t="n"/>
      <c r="K64" s="41" t="n"/>
      <c r="L64" s="41" t="n"/>
      <c r="M64" s="31">
        <f>IF(COUNT(J64:L64)=0,"",MEDIAN(J64:L64))</f>
        <v/>
      </c>
      <c r="N64" s="26">
        <f>IF(COUNTIFS($C:$C,$C64,$D:$D,$D64,$E:$E,"P0(전)",$M:$M,"&gt;0")&lt;&gt;1,"P0(전) 유효 1개 아님",IF(COUNTIFS($C:$C,$C64,$D:$D,$D64,$E:$E,"P0(후)",$M:$M,"&gt;0")&lt;&gt;1,"P0(후) 유효 1개 아님",IF(NOT(AND(ISNUMBER(O64),ISNUMBER(Q64),ISNUMBER(I64))),"시각 결측",IF(Q64&lt;=O64,"P0 시각 역전",IF(OR(I64&lt;O64,I64&gt;Q64),"측정시각 구간 밖","OK")))))</f>
        <v/>
      </c>
      <c r="O64" s="48">
        <f>IF(COUNTIFS($C:$C,$C64,$D:$D,$D64,$E:$E,"P0(전)",$M:$M,"&gt;0")&lt;&gt;1,"",SUMIFS($I:$I,$C:$C,$C64,$D:$D,$D64,$E:$E,"P0(전)"))</f>
        <v/>
      </c>
      <c r="P64" s="31">
        <f>IF(COUNTIFS($C:$C,$C64,$D:$D,$D64,$E:$E,"P0(전)",$M:$M,"&gt;0")&lt;&gt;1,"",SUMIFS($M:$M,$C:$C,$C64,$D:$D,$D64,$E:$E,"P0(전)"))</f>
        <v/>
      </c>
      <c r="Q64" s="48">
        <f>IF(COUNTIFS($C:$C,$C64,$D:$D,$D64,$E:$E,"P0(후)",$M:$M,"&gt;0")&lt;&gt;1,"",SUMIFS($I:$I,$C:$C,$C64,$D:$D,$D64,$E:$E,"P0(후)"))</f>
        <v/>
      </c>
      <c r="R64" s="31">
        <f>IF(COUNTIFS($C:$C,$C64,$D:$D,$D64,$E:$E,"P0(후)",$M:$M,"&gt;0")&lt;&gt;1,"",SUMIFS($M:$M,$C:$C,$C64,$D:$D,$D64,$E:$E,"P0(후)"))</f>
        <v/>
      </c>
      <c r="S64" s="31">
        <f>IF(N64&lt;&gt;"OK","",P64+(R64-P64)*(I64-O64)/(Q64-O64))</f>
        <v/>
      </c>
      <c r="T64" s="31">
        <f>IF(OR(N64&lt;&gt;"OK",NOT(ISNUMBER(M64))),"",M64-S64)</f>
        <v/>
      </c>
      <c r="U64" s="49">
        <f>IF(OR(NOT(ISNUMBER(T64)),IF(ISNUMBER(H64),H64,G64)=0),"",T64/IF(ISNUMBER(H64),H64,G64))</f>
        <v/>
      </c>
      <c r="V64" s="49">
        <f>IF(ISNUMBER(U64),ABS(U64),"")</f>
        <v/>
      </c>
      <c r="W64" s="49">
        <f>IF(OR($E63&lt;&gt;"측정",$C63&lt;&gt;$C64,$D63&lt;&gt;$D64,NOT(ISNUMBER(M64)),NOT(ISNUMBER(M63)),(IF(ISNUMBER(H64),H64,G64)-IF(ISNUMBER(H63),H63,G63))=0),"",(M64-M63)/(IF(ISNUMBER(H64),H64,G64)-IF(ISNUMBER(H63),H63,G63)))</f>
        <v/>
      </c>
      <c r="X64" s="31">
        <f>IF(NOT(AND(ISNUMBER(O64),ISNUMBER(Q64))),"",(Q64-O64)*1440)</f>
        <v/>
      </c>
      <c r="Y64" s="29" t="n"/>
      <c r="Z64" s="29" t="n"/>
      <c r="AA64" s="29" t="n"/>
      <c r="AB64" s="32" t="n"/>
      <c r="AC64" s="32" t="n"/>
    </row>
    <row r="65">
      <c r="A65" s="26" t="inlineStr">
        <is>
          <t>S02</t>
        </is>
      </c>
      <c r="B65" s="26" t="inlineStr">
        <is>
          <t>임계 신규점1</t>
        </is>
      </c>
      <c r="C65" s="26" t="inlineStr">
        <is>
          <t>S02-H동</t>
        </is>
      </c>
      <c r="D65" s="47" t="n">
        <v>1</v>
      </c>
      <c r="E65" s="26" t="inlineStr">
        <is>
          <t>측정</t>
        </is>
      </c>
      <c r="F65" s="26" t="inlineStr">
        <is>
          <t>동</t>
        </is>
      </c>
      <c r="G65" s="31" t="n">
        <v>6</v>
      </c>
      <c r="H65" s="30" t="n"/>
      <c r="I65" s="43" t="n"/>
      <c r="J65" s="41" t="n"/>
      <c r="K65" s="41" t="n"/>
      <c r="L65" s="41" t="n"/>
      <c r="M65" s="31">
        <f>IF(COUNT(J65:L65)=0,"",MEDIAN(J65:L65))</f>
        <v/>
      </c>
      <c r="N65" s="26">
        <f>IF(COUNTIFS($C:$C,$C65,$D:$D,$D65,$E:$E,"P0(전)",$M:$M,"&gt;0")&lt;&gt;1,"P0(전) 유효 1개 아님",IF(COUNTIFS($C:$C,$C65,$D:$D,$D65,$E:$E,"P0(후)",$M:$M,"&gt;0")&lt;&gt;1,"P0(후) 유효 1개 아님",IF(NOT(AND(ISNUMBER(O65),ISNUMBER(Q65),ISNUMBER(I65))),"시각 결측",IF(Q65&lt;=O65,"P0 시각 역전",IF(OR(I65&lt;O65,I65&gt;Q65),"측정시각 구간 밖","OK")))))</f>
        <v/>
      </c>
      <c r="O65" s="48">
        <f>IF(COUNTIFS($C:$C,$C65,$D:$D,$D65,$E:$E,"P0(전)",$M:$M,"&gt;0")&lt;&gt;1,"",SUMIFS($I:$I,$C:$C,$C65,$D:$D,$D65,$E:$E,"P0(전)"))</f>
        <v/>
      </c>
      <c r="P65" s="31">
        <f>IF(COUNTIFS($C:$C,$C65,$D:$D,$D65,$E:$E,"P0(전)",$M:$M,"&gt;0")&lt;&gt;1,"",SUMIFS($M:$M,$C:$C,$C65,$D:$D,$D65,$E:$E,"P0(전)"))</f>
        <v/>
      </c>
      <c r="Q65" s="48">
        <f>IF(COUNTIFS($C:$C,$C65,$D:$D,$D65,$E:$E,"P0(후)",$M:$M,"&gt;0")&lt;&gt;1,"",SUMIFS($I:$I,$C:$C,$C65,$D:$D,$D65,$E:$E,"P0(후)"))</f>
        <v/>
      </c>
      <c r="R65" s="31">
        <f>IF(COUNTIFS($C:$C,$C65,$D:$D,$D65,$E:$E,"P0(후)",$M:$M,"&gt;0")&lt;&gt;1,"",SUMIFS($M:$M,$C:$C,$C65,$D:$D,$D65,$E:$E,"P0(후)"))</f>
        <v/>
      </c>
      <c r="S65" s="31">
        <f>IF(N65&lt;&gt;"OK","",P65+(R65-P65)*(I65-O65)/(Q65-O65))</f>
        <v/>
      </c>
      <c r="T65" s="31">
        <f>IF(OR(N65&lt;&gt;"OK",NOT(ISNUMBER(M65))),"",M65-S65)</f>
        <v/>
      </c>
      <c r="U65" s="49">
        <f>IF(OR(NOT(ISNUMBER(T65)),IF(ISNUMBER(H65),H65,G65)=0),"",T65/IF(ISNUMBER(H65),H65,G65))</f>
        <v/>
      </c>
      <c r="V65" s="49">
        <f>IF(ISNUMBER(U65),ABS(U65),"")</f>
        <v/>
      </c>
      <c r="W65" s="49">
        <f>IF(OR($E64&lt;&gt;"측정",$C64&lt;&gt;$C65,$D64&lt;&gt;$D65,NOT(ISNUMBER(M65)),NOT(ISNUMBER(M64)),(IF(ISNUMBER(H65),H65,G65)-IF(ISNUMBER(H64),H64,G64))=0),"",(M65-M64)/(IF(ISNUMBER(H65),H65,G65)-IF(ISNUMBER(H64),H64,G64)))</f>
        <v/>
      </c>
      <c r="X65" s="31">
        <f>IF(NOT(AND(ISNUMBER(O65),ISNUMBER(Q65))),"",(Q65-O65)*1440)</f>
        <v/>
      </c>
      <c r="Y65" s="29" t="n"/>
      <c r="Z65" s="29" t="n"/>
      <c r="AA65" s="29" t="n"/>
      <c r="AB65" s="32" t="n"/>
      <c r="AC65" s="32" t="n"/>
    </row>
    <row r="66">
      <c r="A66" s="26" t="inlineStr">
        <is>
          <t>S02</t>
        </is>
      </c>
      <c r="B66" s="26" t="inlineStr">
        <is>
          <t>임계 신규점1</t>
        </is>
      </c>
      <c r="C66" s="26" t="inlineStr">
        <is>
          <t>S02-H동</t>
        </is>
      </c>
      <c r="D66" s="47" t="n">
        <v>1</v>
      </c>
      <c r="E66" s="26" t="inlineStr">
        <is>
          <t>측정</t>
        </is>
      </c>
      <c r="F66" s="26" t="inlineStr">
        <is>
          <t>동</t>
        </is>
      </c>
      <c r="G66" s="31" t="n">
        <v>7</v>
      </c>
      <c r="H66" s="30" t="n"/>
      <c r="I66" s="43" t="n"/>
      <c r="J66" s="41" t="n"/>
      <c r="K66" s="41" t="n"/>
      <c r="L66" s="41" t="n"/>
      <c r="M66" s="31">
        <f>IF(COUNT(J66:L66)=0,"",MEDIAN(J66:L66))</f>
        <v/>
      </c>
      <c r="N66" s="26">
        <f>IF(COUNTIFS($C:$C,$C66,$D:$D,$D66,$E:$E,"P0(전)",$M:$M,"&gt;0")&lt;&gt;1,"P0(전) 유효 1개 아님",IF(COUNTIFS($C:$C,$C66,$D:$D,$D66,$E:$E,"P0(후)",$M:$M,"&gt;0")&lt;&gt;1,"P0(후) 유효 1개 아님",IF(NOT(AND(ISNUMBER(O66),ISNUMBER(Q66),ISNUMBER(I66))),"시각 결측",IF(Q66&lt;=O66,"P0 시각 역전",IF(OR(I66&lt;O66,I66&gt;Q66),"측정시각 구간 밖","OK")))))</f>
        <v/>
      </c>
      <c r="O66" s="48">
        <f>IF(COUNTIFS($C:$C,$C66,$D:$D,$D66,$E:$E,"P0(전)",$M:$M,"&gt;0")&lt;&gt;1,"",SUMIFS($I:$I,$C:$C,$C66,$D:$D,$D66,$E:$E,"P0(전)"))</f>
        <v/>
      </c>
      <c r="P66" s="31">
        <f>IF(COUNTIFS($C:$C,$C66,$D:$D,$D66,$E:$E,"P0(전)",$M:$M,"&gt;0")&lt;&gt;1,"",SUMIFS($M:$M,$C:$C,$C66,$D:$D,$D66,$E:$E,"P0(전)"))</f>
        <v/>
      </c>
      <c r="Q66" s="48">
        <f>IF(COUNTIFS($C:$C,$C66,$D:$D,$D66,$E:$E,"P0(후)",$M:$M,"&gt;0")&lt;&gt;1,"",SUMIFS($I:$I,$C:$C,$C66,$D:$D,$D66,$E:$E,"P0(후)"))</f>
        <v/>
      </c>
      <c r="R66" s="31">
        <f>IF(COUNTIFS($C:$C,$C66,$D:$D,$D66,$E:$E,"P0(후)",$M:$M,"&gt;0")&lt;&gt;1,"",SUMIFS($M:$M,$C:$C,$C66,$D:$D,$D66,$E:$E,"P0(후)"))</f>
        <v/>
      </c>
      <c r="S66" s="31">
        <f>IF(N66&lt;&gt;"OK","",P66+(R66-P66)*(I66-O66)/(Q66-O66))</f>
        <v/>
      </c>
      <c r="T66" s="31">
        <f>IF(OR(N66&lt;&gt;"OK",NOT(ISNUMBER(M66))),"",M66-S66)</f>
        <v/>
      </c>
      <c r="U66" s="49">
        <f>IF(OR(NOT(ISNUMBER(T66)),IF(ISNUMBER(H66),H66,G66)=0),"",T66/IF(ISNUMBER(H66),H66,G66))</f>
        <v/>
      </c>
      <c r="V66" s="49">
        <f>IF(ISNUMBER(U66),ABS(U66),"")</f>
        <v/>
      </c>
      <c r="W66" s="49">
        <f>IF(OR($E65&lt;&gt;"측정",$C65&lt;&gt;$C66,$D65&lt;&gt;$D66,NOT(ISNUMBER(M66)),NOT(ISNUMBER(M65)),(IF(ISNUMBER(H66),H66,G66)-IF(ISNUMBER(H65),H65,G65))=0),"",(M66-M65)/(IF(ISNUMBER(H66),H66,G66)-IF(ISNUMBER(H65),H65,G65)))</f>
        <v/>
      </c>
      <c r="X66" s="31">
        <f>IF(NOT(AND(ISNUMBER(O66),ISNUMBER(Q66))),"",(Q66-O66)*1440)</f>
        <v/>
      </c>
      <c r="Y66" s="29" t="n"/>
      <c r="Z66" s="29" t="n"/>
      <c r="AA66" s="29" t="n"/>
      <c r="AB66" s="32" t="n"/>
      <c r="AC66" s="32" t="n"/>
    </row>
    <row r="67">
      <c r="A67" s="26" t="inlineStr">
        <is>
          <t>S02</t>
        </is>
      </c>
      <c r="B67" s="26" t="inlineStr">
        <is>
          <t>임계 신규점1</t>
        </is>
      </c>
      <c r="C67" s="26" t="inlineStr">
        <is>
          <t>S02-H동</t>
        </is>
      </c>
      <c r="D67" s="47" t="n">
        <v>1</v>
      </c>
      <c r="E67" s="26" t="inlineStr">
        <is>
          <t>측정</t>
        </is>
      </c>
      <c r="F67" s="26" t="inlineStr">
        <is>
          <t>동</t>
        </is>
      </c>
      <c r="G67" s="31" t="n">
        <v>8</v>
      </c>
      <c r="H67" s="30" t="n"/>
      <c r="I67" s="43" t="n"/>
      <c r="J67" s="41" t="n"/>
      <c r="K67" s="41" t="n"/>
      <c r="L67" s="41" t="n"/>
      <c r="M67" s="31">
        <f>IF(COUNT(J67:L67)=0,"",MEDIAN(J67:L67))</f>
        <v/>
      </c>
      <c r="N67" s="26">
        <f>IF(COUNTIFS($C:$C,$C67,$D:$D,$D67,$E:$E,"P0(전)",$M:$M,"&gt;0")&lt;&gt;1,"P0(전) 유효 1개 아님",IF(COUNTIFS($C:$C,$C67,$D:$D,$D67,$E:$E,"P0(후)",$M:$M,"&gt;0")&lt;&gt;1,"P0(후) 유효 1개 아님",IF(NOT(AND(ISNUMBER(O67),ISNUMBER(Q67),ISNUMBER(I67))),"시각 결측",IF(Q67&lt;=O67,"P0 시각 역전",IF(OR(I67&lt;O67,I67&gt;Q67),"측정시각 구간 밖","OK")))))</f>
        <v/>
      </c>
      <c r="O67" s="48">
        <f>IF(COUNTIFS($C:$C,$C67,$D:$D,$D67,$E:$E,"P0(전)",$M:$M,"&gt;0")&lt;&gt;1,"",SUMIFS($I:$I,$C:$C,$C67,$D:$D,$D67,$E:$E,"P0(전)"))</f>
        <v/>
      </c>
      <c r="P67" s="31">
        <f>IF(COUNTIFS($C:$C,$C67,$D:$D,$D67,$E:$E,"P0(전)",$M:$M,"&gt;0")&lt;&gt;1,"",SUMIFS($M:$M,$C:$C,$C67,$D:$D,$D67,$E:$E,"P0(전)"))</f>
        <v/>
      </c>
      <c r="Q67" s="48">
        <f>IF(COUNTIFS($C:$C,$C67,$D:$D,$D67,$E:$E,"P0(후)",$M:$M,"&gt;0")&lt;&gt;1,"",SUMIFS($I:$I,$C:$C,$C67,$D:$D,$D67,$E:$E,"P0(후)"))</f>
        <v/>
      </c>
      <c r="R67" s="31">
        <f>IF(COUNTIFS($C:$C,$C67,$D:$D,$D67,$E:$E,"P0(후)",$M:$M,"&gt;0")&lt;&gt;1,"",SUMIFS($M:$M,$C:$C,$C67,$D:$D,$D67,$E:$E,"P0(후)"))</f>
        <v/>
      </c>
      <c r="S67" s="31">
        <f>IF(N67&lt;&gt;"OK","",P67+(R67-P67)*(I67-O67)/(Q67-O67))</f>
        <v/>
      </c>
      <c r="T67" s="31">
        <f>IF(OR(N67&lt;&gt;"OK",NOT(ISNUMBER(M67))),"",M67-S67)</f>
        <v/>
      </c>
      <c r="U67" s="49">
        <f>IF(OR(NOT(ISNUMBER(T67)),IF(ISNUMBER(H67),H67,G67)=0),"",T67/IF(ISNUMBER(H67),H67,G67))</f>
        <v/>
      </c>
      <c r="V67" s="49">
        <f>IF(ISNUMBER(U67),ABS(U67),"")</f>
        <v/>
      </c>
      <c r="W67" s="49">
        <f>IF(OR($E66&lt;&gt;"측정",$C66&lt;&gt;$C67,$D66&lt;&gt;$D67,NOT(ISNUMBER(M67)),NOT(ISNUMBER(M66)),(IF(ISNUMBER(H67),H67,G67)-IF(ISNUMBER(H66),H66,G66))=0),"",(M67-M66)/(IF(ISNUMBER(H67),H67,G67)-IF(ISNUMBER(H66),H66,G66)))</f>
        <v/>
      </c>
      <c r="X67" s="31">
        <f>IF(NOT(AND(ISNUMBER(O67),ISNUMBER(Q67))),"",(Q67-O67)*1440)</f>
        <v/>
      </c>
      <c r="Y67" s="29" t="n"/>
      <c r="Z67" s="29" t="n"/>
      <c r="AA67" s="29" t="n"/>
      <c r="AB67" s="32" t="n"/>
      <c r="AC67" s="32" t="n"/>
    </row>
    <row r="68">
      <c r="A68" s="26" t="inlineStr">
        <is>
          <t>S02</t>
        </is>
      </c>
      <c r="B68" s="26" t="inlineStr">
        <is>
          <t>임계 신규점1</t>
        </is>
      </c>
      <c r="C68" s="26" t="inlineStr">
        <is>
          <t>S02-H동</t>
        </is>
      </c>
      <c r="D68" s="47" t="n">
        <v>1</v>
      </c>
      <c r="E68" s="26" t="inlineStr">
        <is>
          <t>측정</t>
        </is>
      </c>
      <c r="F68" s="26" t="inlineStr">
        <is>
          <t>동</t>
        </is>
      </c>
      <c r="G68" s="31" t="n">
        <v>9</v>
      </c>
      <c r="H68" s="30" t="n"/>
      <c r="I68" s="43" t="n"/>
      <c r="J68" s="41" t="n"/>
      <c r="K68" s="41" t="n"/>
      <c r="L68" s="41" t="n"/>
      <c r="M68" s="31">
        <f>IF(COUNT(J68:L68)=0,"",MEDIAN(J68:L68))</f>
        <v/>
      </c>
      <c r="N68" s="26">
        <f>IF(COUNTIFS($C:$C,$C68,$D:$D,$D68,$E:$E,"P0(전)",$M:$M,"&gt;0")&lt;&gt;1,"P0(전) 유효 1개 아님",IF(COUNTIFS($C:$C,$C68,$D:$D,$D68,$E:$E,"P0(후)",$M:$M,"&gt;0")&lt;&gt;1,"P0(후) 유효 1개 아님",IF(NOT(AND(ISNUMBER(O68),ISNUMBER(Q68),ISNUMBER(I68))),"시각 결측",IF(Q68&lt;=O68,"P0 시각 역전",IF(OR(I68&lt;O68,I68&gt;Q68),"측정시각 구간 밖","OK")))))</f>
        <v/>
      </c>
      <c r="O68" s="48">
        <f>IF(COUNTIFS($C:$C,$C68,$D:$D,$D68,$E:$E,"P0(전)",$M:$M,"&gt;0")&lt;&gt;1,"",SUMIFS($I:$I,$C:$C,$C68,$D:$D,$D68,$E:$E,"P0(전)"))</f>
        <v/>
      </c>
      <c r="P68" s="31">
        <f>IF(COUNTIFS($C:$C,$C68,$D:$D,$D68,$E:$E,"P0(전)",$M:$M,"&gt;0")&lt;&gt;1,"",SUMIFS($M:$M,$C:$C,$C68,$D:$D,$D68,$E:$E,"P0(전)"))</f>
        <v/>
      </c>
      <c r="Q68" s="48">
        <f>IF(COUNTIFS($C:$C,$C68,$D:$D,$D68,$E:$E,"P0(후)",$M:$M,"&gt;0")&lt;&gt;1,"",SUMIFS($I:$I,$C:$C,$C68,$D:$D,$D68,$E:$E,"P0(후)"))</f>
        <v/>
      </c>
      <c r="R68" s="31">
        <f>IF(COUNTIFS($C:$C,$C68,$D:$D,$D68,$E:$E,"P0(후)",$M:$M,"&gt;0")&lt;&gt;1,"",SUMIFS($M:$M,$C:$C,$C68,$D:$D,$D68,$E:$E,"P0(후)"))</f>
        <v/>
      </c>
      <c r="S68" s="31">
        <f>IF(N68&lt;&gt;"OK","",P68+(R68-P68)*(I68-O68)/(Q68-O68))</f>
        <v/>
      </c>
      <c r="T68" s="31">
        <f>IF(OR(N68&lt;&gt;"OK",NOT(ISNUMBER(M68))),"",M68-S68)</f>
        <v/>
      </c>
      <c r="U68" s="49">
        <f>IF(OR(NOT(ISNUMBER(T68)),IF(ISNUMBER(H68),H68,G68)=0),"",T68/IF(ISNUMBER(H68),H68,G68))</f>
        <v/>
      </c>
      <c r="V68" s="49">
        <f>IF(ISNUMBER(U68),ABS(U68),"")</f>
        <v/>
      </c>
      <c r="W68" s="49">
        <f>IF(OR($E67&lt;&gt;"측정",$C67&lt;&gt;$C68,$D67&lt;&gt;$D68,NOT(ISNUMBER(M68)),NOT(ISNUMBER(M67)),(IF(ISNUMBER(H68),H68,G68)-IF(ISNUMBER(H67),H67,G67))=0),"",(M68-M67)/(IF(ISNUMBER(H68),H68,G68)-IF(ISNUMBER(H67),H67,G67)))</f>
        <v/>
      </c>
      <c r="X68" s="31">
        <f>IF(NOT(AND(ISNUMBER(O68),ISNUMBER(Q68))),"",(Q68-O68)*1440)</f>
        <v/>
      </c>
      <c r="Y68" s="29" t="n"/>
      <c r="Z68" s="29" t="n"/>
      <c r="AA68" s="29" t="n"/>
      <c r="AB68" s="32" t="n"/>
      <c r="AC68" s="32" t="n"/>
    </row>
    <row r="69">
      <c r="A69" s="26" t="inlineStr">
        <is>
          <t>S02</t>
        </is>
      </c>
      <c r="B69" s="26" t="inlineStr">
        <is>
          <t>임계 신규점1</t>
        </is>
      </c>
      <c r="C69" s="26" t="inlineStr">
        <is>
          <t>S02-H동</t>
        </is>
      </c>
      <c r="D69" s="47" t="n">
        <v>1</v>
      </c>
      <c r="E69" s="26" t="inlineStr">
        <is>
          <t>측정</t>
        </is>
      </c>
      <c r="F69" s="26" t="inlineStr">
        <is>
          <t>동</t>
        </is>
      </c>
      <c r="G69" s="31" t="n">
        <v>10</v>
      </c>
      <c r="H69" s="30" t="n"/>
      <c r="I69" s="43" t="n"/>
      <c r="J69" s="41" t="n"/>
      <c r="K69" s="41" t="n"/>
      <c r="L69" s="41" t="n"/>
      <c r="M69" s="31">
        <f>IF(COUNT(J69:L69)=0,"",MEDIAN(J69:L69))</f>
        <v/>
      </c>
      <c r="N69" s="26">
        <f>IF(COUNTIFS($C:$C,$C69,$D:$D,$D69,$E:$E,"P0(전)",$M:$M,"&gt;0")&lt;&gt;1,"P0(전) 유효 1개 아님",IF(COUNTIFS($C:$C,$C69,$D:$D,$D69,$E:$E,"P0(후)",$M:$M,"&gt;0")&lt;&gt;1,"P0(후) 유효 1개 아님",IF(NOT(AND(ISNUMBER(O69),ISNUMBER(Q69),ISNUMBER(I69))),"시각 결측",IF(Q69&lt;=O69,"P0 시각 역전",IF(OR(I69&lt;O69,I69&gt;Q69),"측정시각 구간 밖","OK")))))</f>
        <v/>
      </c>
      <c r="O69" s="48">
        <f>IF(COUNTIFS($C:$C,$C69,$D:$D,$D69,$E:$E,"P0(전)",$M:$M,"&gt;0")&lt;&gt;1,"",SUMIFS($I:$I,$C:$C,$C69,$D:$D,$D69,$E:$E,"P0(전)"))</f>
        <v/>
      </c>
      <c r="P69" s="31">
        <f>IF(COUNTIFS($C:$C,$C69,$D:$D,$D69,$E:$E,"P0(전)",$M:$M,"&gt;0")&lt;&gt;1,"",SUMIFS($M:$M,$C:$C,$C69,$D:$D,$D69,$E:$E,"P0(전)"))</f>
        <v/>
      </c>
      <c r="Q69" s="48">
        <f>IF(COUNTIFS($C:$C,$C69,$D:$D,$D69,$E:$E,"P0(후)",$M:$M,"&gt;0")&lt;&gt;1,"",SUMIFS($I:$I,$C:$C,$C69,$D:$D,$D69,$E:$E,"P0(후)"))</f>
        <v/>
      </c>
      <c r="R69" s="31">
        <f>IF(COUNTIFS($C:$C,$C69,$D:$D,$D69,$E:$E,"P0(후)",$M:$M,"&gt;0")&lt;&gt;1,"",SUMIFS($M:$M,$C:$C,$C69,$D:$D,$D69,$E:$E,"P0(후)"))</f>
        <v/>
      </c>
      <c r="S69" s="31">
        <f>IF(N69&lt;&gt;"OK","",P69+(R69-P69)*(I69-O69)/(Q69-O69))</f>
        <v/>
      </c>
      <c r="T69" s="31">
        <f>IF(OR(N69&lt;&gt;"OK",NOT(ISNUMBER(M69))),"",M69-S69)</f>
        <v/>
      </c>
      <c r="U69" s="49">
        <f>IF(OR(NOT(ISNUMBER(T69)),IF(ISNUMBER(H69),H69,G69)=0),"",T69/IF(ISNUMBER(H69),H69,G69))</f>
        <v/>
      </c>
      <c r="V69" s="49">
        <f>IF(ISNUMBER(U69),ABS(U69),"")</f>
        <v/>
      </c>
      <c r="W69" s="49">
        <f>IF(OR($E68&lt;&gt;"측정",$C68&lt;&gt;$C69,$D68&lt;&gt;$D69,NOT(ISNUMBER(M69)),NOT(ISNUMBER(M68)),(IF(ISNUMBER(H69),H69,G69)-IF(ISNUMBER(H68),H68,G68))=0),"",(M69-M68)/(IF(ISNUMBER(H69),H69,G69)-IF(ISNUMBER(H68),H68,G68)))</f>
        <v/>
      </c>
      <c r="X69" s="31">
        <f>IF(NOT(AND(ISNUMBER(O69),ISNUMBER(Q69))),"",(Q69-O69)*1440)</f>
        <v/>
      </c>
      <c r="Y69" s="29" t="n"/>
      <c r="Z69" s="29" t="n"/>
      <c r="AA69" s="29" t="n"/>
      <c r="AB69" s="32" t="n"/>
      <c r="AC69" s="32" t="n"/>
    </row>
    <row r="70">
      <c r="A70" s="44" t="inlineStr">
        <is>
          <t>S02</t>
        </is>
      </c>
      <c r="B70" s="44" t="inlineStr">
        <is>
          <t>임계 신규점1</t>
        </is>
      </c>
      <c r="C70" s="44" t="inlineStr">
        <is>
          <t>S02-H동</t>
        </is>
      </c>
      <c r="D70" s="45" t="n">
        <v>1</v>
      </c>
      <c r="E70" s="44" t="inlineStr">
        <is>
          <t>P0(후)</t>
        </is>
      </c>
      <c r="F70" s="44" t="inlineStr">
        <is>
          <t>동</t>
        </is>
      </c>
      <c r="G70" s="46" t="n"/>
      <c r="H70" s="30" t="n"/>
      <c r="I70" s="43" t="n"/>
      <c r="J70" s="41" t="n"/>
      <c r="K70" s="41" t="n"/>
      <c r="L70" s="41" t="n"/>
      <c r="M70" s="31">
        <f>IF(COUNT(J70:L70)=0,"",MEDIAN(J70:L70))</f>
        <v/>
      </c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29" t="n"/>
      <c r="Z70" s="29" t="n"/>
      <c r="AA70" s="29" t="n"/>
      <c r="AB70" s="32" t="n"/>
      <c r="AC70" s="32" t="n"/>
    </row>
    <row r="71">
      <c r="A71" s="44" t="inlineStr">
        <is>
          <t>S02</t>
        </is>
      </c>
      <c r="B71" s="44" t="inlineStr">
        <is>
          <t>임계 신규점1</t>
        </is>
      </c>
      <c r="C71" s="44" t="inlineStr">
        <is>
          <t>S02-H서</t>
        </is>
      </c>
      <c r="D71" s="45" t="n">
        <v>1</v>
      </c>
      <c r="E71" s="44" t="inlineStr">
        <is>
          <t>P0(전)</t>
        </is>
      </c>
      <c r="F71" s="44" t="inlineStr">
        <is>
          <t>서</t>
        </is>
      </c>
      <c r="G71" s="46" t="n"/>
      <c r="H71" s="30" t="n"/>
      <c r="I71" s="43" t="n"/>
      <c r="J71" s="41" t="n"/>
      <c r="K71" s="41" t="n"/>
      <c r="L71" s="41" t="n"/>
      <c r="M71" s="31">
        <f>IF(COUNT(J71:L71)=0,"",MEDIAN(J71:L71))</f>
        <v/>
      </c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29" t="n"/>
      <c r="Z71" s="29" t="n"/>
      <c r="AA71" s="29" t="n"/>
      <c r="AB71" s="32" t="n"/>
      <c r="AC71" s="32" t="n"/>
    </row>
    <row r="72">
      <c r="A72" s="26" t="inlineStr">
        <is>
          <t>S02</t>
        </is>
      </c>
      <c r="B72" s="26" t="inlineStr">
        <is>
          <t>임계 신규점1</t>
        </is>
      </c>
      <c r="C72" s="26" t="inlineStr">
        <is>
          <t>S02-H서</t>
        </is>
      </c>
      <c r="D72" s="47" t="n">
        <v>1</v>
      </c>
      <c r="E72" s="26" t="inlineStr">
        <is>
          <t>측정</t>
        </is>
      </c>
      <c r="F72" s="26" t="inlineStr">
        <is>
          <t>서</t>
        </is>
      </c>
      <c r="G72" s="31" t="n">
        <v>0.5</v>
      </c>
      <c r="H72" s="30" t="n"/>
      <c r="I72" s="43" t="n"/>
      <c r="J72" s="41" t="n"/>
      <c r="K72" s="41" t="n"/>
      <c r="L72" s="41" t="n"/>
      <c r="M72" s="31">
        <f>IF(COUNT(J72:L72)=0,"",MEDIAN(J72:L72))</f>
        <v/>
      </c>
      <c r="N72" s="26">
        <f>IF(COUNTIFS($C:$C,$C72,$D:$D,$D72,$E:$E,"P0(전)",$M:$M,"&gt;0")&lt;&gt;1,"P0(전) 유효 1개 아님",IF(COUNTIFS($C:$C,$C72,$D:$D,$D72,$E:$E,"P0(후)",$M:$M,"&gt;0")&lt;&gt;1,"P0(후) 유효 1개 아님",IF(NOT(AND(ISNUMBER(O72),ISNUMBER(Q72),ISNUMBER(I72))),"시각 결측",IF(Q72&lt;=O72,"P0 시각 역전",IF(OR(I72&lt;O72,I72&gt;Q72),"측정시각 구간 밖","OK")))))</f>
        <v/>
      </c>
      <c r="O72" s="48">
        <f>IF(COUNTIFS($C:$C,$C72,$D:$D,$D72,$E:$E,"P0(전)",$M:$M,"&gt;0")&lt;&gt;1,"",SUMIFS($I:$I,$C:$C,$C72,$D:$D,$D72,$E:$E,"P0(전)"))</f>
        <v/>
      </c>
      <c r="P72" s="31">
        <f>IF(COUNTIFS($C:$C,$C72,$D:$D,$D72,$E:$E,"P0(전)",$M:$M,"&gt;0")&lt;&gt;1,"",SUMIFS($M:$M,$C:$C,$C72,$D:$D,$D72,$E:$E,"P0(전)"))</f>
        <v/>
      </c>
      <c r="Q72" s="48">
        <f>IF(COUNTIFS($C:$C,$C72,$D:$D,$D72,$E:$E,"P0(후)",$M:$M,"&gt;0")&lt;&gt;1,"",SUMIFS($I:$I,$C:$C,$C72,$D:$D,$D72,$E:$E,"P0(후)"))</f>
        <v/>
      </c>
      <c r="R72" s="31">
        <f>IF(COUNTIFS($C:$C,$C72,$D:$D,$D72,$E:$E,"P0(후)",$M:$M,"&gt;0")&lt;&gt;1,"",SUMIFS($M:$M,$C:$C,$C72,$D:$D,$D72,$E:$E,"P0(후)"))</f>
        <v/>
      </c>
      <c r="S72" s="31">
        <f>IF(N72&lt;&gt;"OK","",P72+(R72-P72)*(I72-O72)/(Q72-O72))</f>
        <v/>
      </c>
      <c r="T72" s="31">
        <f>IF(OR(N72&lt;&gt;"OK",NOT(ISNUMBER(M72))),"",M72-S72)</f>
        <v/>
      </c>
      <c r="U72" s="49">
        <f>IF(OR(NOT(ISNUMBER(T72)),IF(ISNUMBER(H72),H72,G72)=0),"",T72/IF(ISNUMBER(H72),H72,G72))</f>
        <v/>
      </c>
      <c r="V72" s="49">
        <f>IF(ISNUMBER(U72),ABS(U72),"")</f>
        <v/>
      </c>
      <c r="W72" s="49">
        <f>IF(OR($E71&lt;&gt;"측정",$C71&lt;&gt;$C72,$D71&lt;&gt;$D72,NOT(ISNUMBER(M72)),NOT(ISNUMBER(M71)),(IF(ISNUMBER(H72),H72,G72)-IF(ISNUMBER(H71),H71,G71))=0),"",(M72-M71)/(IF(ISNUMBER(H72),H72,G72)-IF(ISNUMBER(H71),H71,G71)))</f>
        <v/>
      </c>
      <c r="X72" s="31">
        <f>IF(NOT(AND(ISNUMBER(O72),ISNUMBER(Q72))),"",(Q72-O72)*1440)</f>
        <v/>
      </c>
      <c r="Y72" s="29" t="n"/>
      <c r="Z72" s="29" t="n"/>
      <c r="AA72" s="29" t="n"/>
      <c r="AB72" s="32" t="n"/>
      <c r="AC72" s="32" t="n"/>
    </row>
    <row r="73">
      <c r="A73" s="26" t="inlineStr">
        <is>
          <t>S02</t>
        </is>
      </c>
      <c r="B73" s="26" t="inlineStr">
        <is>
          <t>임계 신규점1</t>
        </is>
      </c>
      <c r="C73" s="26" t="inlineStr">
        <is>
          <t>S02-H서</t>
        </is>
      </c>
      <c r="D73" s="47" t="n">
        <v>1</v>
      </c>
      <c r="E73" s="26" t="inlineStr">
        <is>
          <t>측정</t>
        </is>
      </c>
      <c r="F73" s="26" t="inlineStr">
        <is>
          <t>서</t>
        </is>
      </c>
      <c r="G73" s="31" t="n">
        <v>1</v>
      </c>
      <c r="H73" s="30" t="n"/>
      <c r="I73" s="43" t="n"/>
      <c r="J73" s="41" t="n"/>
      <c r="K73" s="41" t="n"/>
      <c r="L73" s="41" t="n"/>
      <c r="M73" s="31">
        <f>IF(COUNT(J73:L73)=0,"",MEDIAN(J73:L73))</f>
        <v/>
      </c>
      <c r="N73" s="26">
        <f>IF(COUNTIFS($C:$C,$C73,$D:$D,$D73,$E:$E,"P0(전)",$M:$M,"&gt;0")&lt;&gt;1,"P0(전) 유효 1개 아님",IF(COUNTIFS($C:$C,$C73,$D:$D,$D73,$E:$E,"P0(후)",$M:$M,"&gt;0")&lt;&gt;1,"P0(후) 유효 1개 아님",IF(NOT(AND(ISNUMBER(O73),ISNUMBER(Q73),ISNUMBER(I73))),"시각 결측",IF(Q73&lt;=O73,"P0 시각 역전",IF(OR(I73&lt;O73,I73&gt;Q73),"측정시각 구간 밖","OK")))))</f>
        <v/>
      </c>
      <c r="O73" s="48">
        <f>IF(COUNTIFS($C:$C,$C73,$D:$D,$D73,$E:$E,"P0(전)",$M:$M,"&gt;0")&lt;&gt;1,"",SUMIFS($I:$I,$C:$C,$C73,$D:$D,$D73,$E:$E,"P0(전)"))</f>
        <v/>
      </c>
      <c r="P73" s="31">
        <f>IF(COUNTIFS($C:$C,$C73,$D:$D,$D73,$E:$E,"P0(전)",$M:$M,"&gt;0")&lt;&gt;1,"",SUMIFS($M:$M,$C:$C,$C73,$D:$D,$D73,$E:$E,"P0(전)"))</f>
        <v/>
      </c>
      <c r="Q73" s="48">
        <f>IF(COUNTIFS($C:$C,$C73,$D:$D,$D73,$E:$E,"P0(후)",$M:$M,"&gt;0")&lt;&gt;1,"",SUMIFS($I:$I,$C:$C,$C73,$D:$D,$D73,$E:$E,"P0(후)"))</f>
        <v/>
      </c>
      <c r="R73" s="31">
        <f>IF(COUNTIFS($C:$C,$C73,$D:$D,$D73,$E:$E,"P0(후)",$M:$M,"&gt;0")&lt;&gt;1,"",SUMIFS($M:$M,$C:$C,$C73,$D:$D,$D73,$E:$E,"P0(후)"))</f>
        <v/>
      </c>
      <c r="S73" s="31">
        <f>IF(N73&lt;&gt;"OK","",P73+(R73-P73)*(I73-O73)/(Q73-O73))</f>
        <v/>
      </c>
      <c r="T73" s="31">
        <f>IF(OR(N73&lt;&gt;"OK",NOT(ISNUMBER(M73))),"",M73-S73)</f>
        <v/>
      </c>
      <c r="U73" s="49">
        <f>IF(OR(NOT(ISNUMBER(T73)),IF(ISNUMBER(H73),H73,G73)=0),"",T73/IF(ISNUMBER(H73),H73,G73))</f>
        <v/>
      </c>
      <c r="V73" s="49">
        <f>IF(ISNUMBER(U73),ABS(U73),"")</f>
        <v/>
      </c>
      <c r="W73" s="49">
        <f>IF(OR($E72&lt;&gt;"측정",$C72&lt;&gt;$C73,$D72&lt;&gt;$D73,NOT(ISNUMBER(M73)),NOT(ISNUMBER(M72)),(IF(ISNUMBER(H73),H73,G73)-IF(ISNUMBER(H72),H72,G72))=0),"",(M73-M72)/(IF(ISNUMBER(H73),H73,G73)-IF(ISNUMBER(H72),H72,G72)))</f>
        <v/>
      </c>
      <c r="X73" s="31">
        <f>IF(NOT(AND(ISNUMBER(O73),ISNUMBER(Q73))),"",(Q73-O73)*1440)</f>
        <v/>
      </c>
      <c r="Y73" s="29" t="n"/>
      <c r="Z73" s="29" t="n"/>
      <c r="AA73" s="29" t="n"/>
      <c r="AB73" s="32" t="n"/>
      <c r="AC73" s="32" t="n"/>
    </row>
    <row r="74">
      <c r="A74" s="26" t="inlineStr">
        <is>
          <t>S02</t>
        </is>
      </c>
      <c r="B74" s="26" t="inlineStr">
        <is>
          <t>임계 신규점1</t>
        </is>
      </c>
      <c r="C74" s="26" t="inlineStr">
        <is>
          <t>S02-H서</t>
        </is>
      </c>
      <c r="D74" s="47" t="n">
        <v>1</v>
      </c>
      <c r="E74" s="26" t="inlineStr">
        <is>
          <t>측정</t>
        </is>
      </c>
      <c r="F74" s="26" t="inlineStr">
        <is>
          <t>서</t>
        </is>
      </c>
      <c r="G74" s="31" t="n">
        <v>2</v>
      </c>
      <c r="H74" s="30" t="n"/>
      <c r="I74" s="43" t="n"/>
      <c r="J74" s="41" t="n"/>
      <c r="K74" s="41" t="n"/>
      <c r="L74" s="41" t="n"/>
      <c r="M74" s="31">
        <f>IF(COUNT(J74:L74)=0,"",MEDIAN(J74:L74))</f>
        <v/>
      </c>
      <c r="N74" s="26">
        <f>IF(COUNTIFS($C:$C,$C74,$D:$D,$D74,$E:$E,"P0(전)",$M:$M,"&gt;0")&lt;&gt;1,"P0(전) 유효 1개 아님",IF(COUNTIFS($C:$C,$C74,$D:$D,$D74,$E:$E,"P0(후)",$M:$M,"&gt;0")&lt;&gt;1,"P0(후) 유효 1개 아님",IF(NOT(AND(ISNUMBER(O74),ISNUMBER(Q74),ISNUMBER(I74))),"시각 결측",IF(Q74&lt;=O74,"P0 시각 역전",IF(OR(I74&lt;O74,I74&gt;Q74),"측정시각 구간 밖","OK")))))</f>
        <v/>
      </c>
      <c r="O74" s="48">
        <f>IF(COUNTIFS($C:$C,$C74,$D:$D,$D74,$E:$E,"P0(전)",$M:$M,"&gt;0")&lt;&gt;1,"",SUMIFS($I:$I,$C:$C,$C74,$D:$D,$D74,$E:$E,"P0(전)"))</f>
        <v/>
      </c>
      <c r="P74" s="31">
        <f>IF(COUNTIFS($C:$C,$C74,$D:$D,$D74,$E:$E,"P0(전)",$M:$M,"&gt;0")&lt;&gt;1,"",SUMIFS($M:$M,$C:$C,$C74,$D:$D,$D74,$E:$E,"P0(전)"))</f>
        <v/>
      </c>
      <c r="Q74" s="48">
        <f>IF(COUNTIFS($C:$C,$C74,$D:$D,$D74,$E:$E,"P0(후)",$M:$M,"&gt;0")&lt;&gt;1,"",SUMIFS($I:$I,$C:$C,$C74,$D:$D,$D74,$E:$E,"P0(후)"))</f>
        <v/>
      </c>
      <c r="R74" s="31">
        <f>IF(COUNTIFS($C:$C,$C74,$D:$D,$D74,$E:$E,"P0(후)",$M:$M,"&gt;0")&lt;&gt;1,"",SUMIFS($M:$M,$C:$C,$C74,$D:$D,$D74,$E:$E,"P0(후)"))</f>
        <v/>
      </c>
      <c r="S74" s="31">
        <f>IF(N74&lt;&gt;"OK","",P74+(R74-P74)*(I74-O74)/(Q74-O74))</f>
        <v/>
      </c>
      <c r="T74" s="31">
        <f>IF(OR(N74&lt;&gt;"OK",NOT(ISNUMBER(M74))),"",M74-S74)</f>
        <v/>
      </c>
      <c r="U74" s="49">
        <f>IF(OR(NOT(ISNUMBER(T74)),IF(ISNUMBER(H74),H74,G74)=0),"",T74/IF(ISNUMBER(H74),H74,G74))</f>
        <v/>
      </c>
      <c r="V74" s="49">
        <f>IF(ISNUMBER(U74),ABS(U74),"")</f>
        <v/>
      </c>
      <c r="W74" s="49">
        <f>IF(OR($E73&lt;&gt;"측정",$C73&lt;&gt;$C74,$D73&lt;&gt;$D74,NOT(ISNUMBER(M74)),NOT(ISNUMBER(M73)),(IF(ISNUMBER(H74),H74,G74)-IF(ISNUMBER(H73),H73,G73))=0),"",(M74-M73)/(IF(ISNUMBER(H74),H74,G74)-IF(ISNUMBER(H73),H73,G73)))</f>
        <v/>
      </c>
      <c r="X74" s="31">
        <f>IF(NOT(AND(ISNUMBER(O74),ISNUMBER(Q74))),"",(Q74-O74)*1440)</f>
        <v/>
      </c>
      <c r="Y74" s="29" t="n"/>
      <c r="Z74" s="29" t="n"/>
      <c r="AA74" s="29" t="n"/>
      <c r="AB74" s="32" t="n"/>
      <c r="AC74" s="32" t="n"/>
    </row>
    <row r="75">
      <c r="A75" s="26" t="inlineStr">
        <is>
          <t>S02</t>
        </is>
      </c>
      <c r="B75" s="26" t="inlineStr">
        <is>
          <t>임계 신규점1</t>
        </is>
      </c>
      <c r="C75" s="26" t="inlineStr">
        <is>
          <t>S02-H서</t>
        </is>
      </c>
      <c r="D75" s="47" t="n">
        <v>1</v>
      </c>
      <c r="E75" s="26" t="inlineStr">
        <is>
          <t>측정</t>
        </is>
      </c>
      <c r="F75" s="26" t="inlineStr">
        <is>
          <t>서</t>
        </is>
      </c>
      <c r="G75" s="31" t="n">
        <v>3</v>
      </c>
      <c r="H75" s="30" t="n"/>
      <c r="I75" s="43" t="n"/>
      <c r="J75" s="41" t="n"/>
      <c r="K75" s="41" t="n"/>
      <c r="L75" s="41" t="n"/>
      <c r="M75" s="31">
        <f>IF(COUNT(J75:L75)=0,"",MEDIAN(J75:L75))</f>
        <v/>
      </c>
      <c r="N75" s="26">
        <f>IF(COUNTIFS($C:$C,$C75,$D:$D,$D75,$E:$E,"P0(전)",$M:$M,"&gt;0")&lt;&gt;1,"P0(전) 유효 1개 아님",IF(COUNTIFS($C:$C,$C75,$D:$D,$D75,$E:$E,"P0(후)",$M:$M,"&gt;0")&lt;&gt;1,"P0(후) 유효 1개 아님",IF(NOT(AND(ISNUMBER(O75),ISNUMBER(Q75),ISNUMBER(I75))),"시각 결측",IF(Q75&lt;=O75,"P0 시각 역전",IF(OR(I75&lt;O75,I75&gt;Q75),"측정시각 구간 밖","OK")))))</f>
        <v/>
      </c>
      <c r="O75" s="48">
        <f>IF(COUNTIFS($C:$C,$C75,$D:$D,$D75,$E:$E,"P0(전)",$M:$M,"&gt;0")&lt;&gt;1,"",SUMIFS($I:$I,$C:$C,$C75,$D:$D,$D75,$E:$E,"P0(전)"))</f>
        <v/>
      </c>
      <c r="P75" s="31">
        <f>IF(COUNTIFS($C:$C,$C75,$D:$D,$D75,$E:$E,"P0(전)",$M:$M,"&gt;0")&lt;&gt;1,"",SUMIFS($M:$M,$C:$C,$C75,$D:$D,$D75,$E:$E,"P0(전)"))</f>
        <v/>
      </c>
      <c r="Q75" s="48">
        <f>IF(COUNTIFS($C:$C,$C75,$D:$D,$D75,$E:$E,"P0(후)",$M:$M,"&gt;0")&lt;&gt;1,"",SUMIFS($I:$I,$C:$C,$C75,$D:$D,$D75,$E:$E,"P0(후)"))</f>
        <v/>
      </c>
      <c r="R75" s="31">
        <f>IF(COUNTIFS($C:$C,$C75,$D:$D,$D75,$E:$E,"P0(후)",$M:$M,"&gt;0")&lt;&gt;1,"",SUMIFS($M:$M,$C:$C,$C75,$D:$D,$D75,$E:$E,"P0(후)"))</f>
        <v/>
      </c>
      <c r="S75" s="31">
        <f>IF(N75&lt;&gt;"OK","",P75+(R75-P75)*(I75-O75)/(Q75-O75))</f>
        <v/>
      </c>
      <c r="T75" s="31">
        <f>IF(OR(N75&lt;&gt;"OK",NOT(ISNUMBER(M75))),"",M75-S75)</f>
        <v/>
      </c>
      <c r="U75" s="49">
        <f>IF(OR(NOT(ISNUMBER(T75)),IF(ISNUMBER(H75),H75,G75)=0),"",T75/IF(ISNUMBER(H75),H75,G75))</f>
        <v/>
      </c>
      <c r="V75" s="49">
        <f>IF(ISNUMBER(U75),ABS(U75),"")</f>
        <v/>
      </c>
      <c r="W75" s="49">
        <f>IF(OR($E74&lt;&gt;"측정",$C74&lt;&gt;$C75,$D74&lt;&gt;$D75,NOT(ISNUMBER(M75)),NOT(ISNUMBER(M74)),(IF(ISNUMBER(H75),H75,G75)-IF(ISNUMBER(H74),H74,G74))=0),"",(M75-M74)/(IF(ISNUMBER(H75),H75,G75)-IF(ISNUMBER(H74),H74,G74)))</f>
        <v/>
      </c>
      <c r="X75" s="31">
        <f>IF(NOT(AND(ISNUMBER(O75),ISNUMBER(Q75))),"",(Q75-O75)*1440)</f>
        <v/>
      </c>
      <c r="Y75" s="29" t="n"/>
      <c r="Z75" s="29" t="n"/>
      <c r="AA75" s="29" t="n"/>
      <c r="AB75" s="32" t="n"/>
      <c r="AC75" s="32" t="n"/>
    </row>
    <row r="76">
      <c r="A76" s="26" t="inlineStr">
        <is>
          <t>S02</t>
        </is>
      </c>
      <c r="B76" s="26" t="inlineStr">
        <is>
          <t>임계 신규점1</t>
        </is>
      </c>
      <c r="C76" s="26" t="inlineStr">
        <is>
          <t>S02-H서</t>
        </is>
      </c>
      <c r="D76" s="47" t="n">
        <v>1</v>
      </c>
      <c r="E76" s="26" t="inlineStr">
        <is>
          <t>측정</t>
        </is>
      </c>
      <c r="F76" s="26" t="inlineStr">
        <is>
          <t>서</t>
        </is>
      </c>
      <c r="G76" s="31" t="n">
        <v>4</v>
      </c>
      <c r="H76" s="30" t="n"/>
      <c r="I76" s="43" t="n"/>
      <c r="J76" s="41" t="n"/>
      <c r="K76" s="41" t="n"/>
      <c r="L76" s="41" t="n"/>
      <c r="M76" s="31">
        <f>IF(COUNT(J76:L76)=0,"",MEDIAN(J76:L76))</f>
        <v/>
      </c>
      <c r="N76" s="26">
        <f>IF(COUNTIFS($C:$C,$C76,$D:$D,$D76,$E:$E,"P0(전)",$M:$M,"&gt;0")&lt;&gt;1,"P0(전) 유효 1개 아님",IF(COUNTIFS($C:$C,$C76,$D:$D,$D76,$E:$E,"P0(후)",$M:$M,"&gt;0")&lt;&gt;1,"P0(후) 유효 1개 아님",IF(NOT(AND(ISNUMBER(O76),ISNUMBER(Q76),ISNUMBER(I76))),"시각 결측",IF(Q76&lt;=O76,"P0 시각 역전",IF(OR(I76&lt;O76,I76&gt;Q76),"측정시각 구간 밖","OK")))))</f>
        <v/>
      </c>
      <c r="O76" s="48">
        <f>IF(COUNTIFS($C:$C,$C76,$D:$D,$D76,$E:$E,"P0(전)",$M:$M,"&gt;0")&lt;&gt;1,"",SUMIFS($I:$I,$C:$C,$C76,$D:$D,$D76,$E:$E,"P0(전)"))</f>
        <v/>
      </c>
      <c r="P76" s="31">
        <f>IF(COUNTIFS($C:$C,$C76,$D:$D,$D76,$E:$E,"P0(전)",$M:$M,"&gt;0")&lt;&gt;1,"",SUMIFS($M:$M,$C:$C,$C76,$D:$D,$D76,$E:$E,"P0(전)"))</f>
        <v/>
      </c>
      <c r="Q76" s="48">
        <f>IF(COUNTIFS($C:$C,$C76,$D:$D,$D76,$E:$E,"P0(후)",$M:$M,"&gt;0")&lt;&gt;1,"",SUMIFS($I:$I,$C:$C,$C76,$D:$D,$D76,$E:$E,"P0(후)"))</f>
        <v/>
      </c>
      <c r="R76" s="31">
        <f>IF(COUNTIFS($C:$C,$C76,$D:$D,$D76,$E:$E,"P0(후)",$M:$M,"&gt;0")&lt;&gt;1,"",SUMIFS($M:$M,$C:$C,$C76,$D:$D,$D76,$E:$E,"P0(후)"))</f>
        <v/>
      </c>
      <c r="S76" s="31">
        <f>IF(N76&lt;&gt;"OK","",P76+(R76-P76)*(I76-O76)/(Q76-O76))</f>
        <v/>
      </c>
      <c r="T76" s="31">
        <f>IF(OR(N76&lt;&gt;"OK",NOT(ISNUMBER(M76))),"",M76-S76)</f>
        <v/>
      </c>
      <c r="U76" s="49">
        <f>IF(OR(NOT(ISNUMBER(T76)),IF(ISNUMBER(H76),H76,G76)=0),"",T76/IF(ISNUMBER(H76),H76,G76))</f>
        <v/>
      </c>
      <c r="V76" s="49">
        <f>IF(ISNUMBER(U76),ABS(U76),"")</f>
        <v/>
      </c>
      <c r="W76" s="49">
        <f>IF(OR($E75&lt;&gt;"측정",$C75&lt;&gt;$C76,$D75&lt;&gt;$D76,NOT(ISNUMBER(M76)),NOT(ISNUMBER(M75)),(IF(ISNUMBER(H76),H76,G76)-IF(ISNUMBER(H75),H75,G75))=0),"",(M76-M75)/(IF(ISNUMBER(H76),H76,G76)-IF(ISNUMBER(H75),H75,G75)))</f>
        <v/>
      </c>
      <c r="X76" s="31">
        <f>IF(NOT(AND(ISNUMBER(O76),ISNUMBER(Q76))),"",(Q76-O76)*1440)</f>
        <v/>
      </c>
      <c r="Y76" s="29" t="n"/>
      <c r="Z76" s="29" t="n"/>
      <c r="AA76" s="29" t="n"/>
      <c r="AB76" s="32" t="n"/>
      <c r="AC76" s="32" t="n"/>
    </row>
    <row r="77">
      <c r="A77" s="26" t="inlineStr">
        <is>
          <t>S02</t>
        </is>
      </c>
      <c r="B77" s="26" t="inlineStr">
        <is>
          <t>임계 신규점1</t>
        </is>
      </c>
      <c r="C77" s="26" t="inlineStr">
        <is>
          <t>S02-H서</t>
        </is>
      </c>
      <c r="D77" s="47" t="n">
        <v>1</v>
      </c>
      <c r="E77" s="26" t="inlineStr">
        <is>
          <t>측정</t>
        </is>
      </c>
      <c r="F77" s="26" t="inlineStr">
        <is>
          <t>서</t>
        </is>
      </c>
      <c r="G77" s="31" t="n">
        <v>5</v>
      </c>
      <c r="H77" s="30" t="n"/>
      <c r="I77" s="43" t="n"/>
      <c r="J77" s="41" t="n"/>
      <c r="K77" s="41" t="n"/>
      <c r="L77" s="41" t="n"/>
      <c r="M77" s="31">
        <f>IF(COUNT(J77:L77)=0,"",MEDIAN(J77:L77))</f>
        <v/>
      </c>
      <c r="N77" s="26">
        <f>IF(COUNTIFS($C:$C,$C77,$D:$D,$D77,$E:$E,"P0(전)",$M:$M,"&gt;0")&lt;&gt;1,"P0(전) 유효 1개 아님",IF(COUNTIFS($C:$C,$C77,$D:$D,$D77,$E:$E,"P0(후)",$M:$M,"&gt;0")&lt;&gt;1,"P0(후) 유효 1개 아님",IF(NOT(AND(ISNUMBER(O77),ISNUMBER(Q77),ISNUMBER(I77))),"시각 결측",IF(Q77&lt;=O77,"P0 시각 역전",IF(OR(I77&lt;O77,I77&gt;Q77),"측정시각 구간 밖","OK")))))</f>
        <v/>
      </c>
      <c r="O77" s="48">
        <f>IF(COUNTIFS($C:$C,$C77,$D:$D,$D77,$E:$E,"P0(전)",$M:$M,"&gt;0")&lt;&gt;1,"",SUMIFS($I:$I,$C:$C,$C77,$D:$D,$D77,$E:$E,"P0(전)"))</f>
        <v/>
      </c>
      <c r="P77" s="31">
        <f>IF(COUNTIFS($C:$C,$C77,$D:$D,$D77,$E:$E,"P0(전)",$M:$M,"&gt;0")&lt;&gt;1,"",SUMIFS($M:$M,$C:$C,$C77,$D:$D,$D77,$E:$E,"P0(전)"))</f>
        <v/>
      </c>
      <c r="Q77" s="48">
        <f>IF(COUNTIFS($C:$C,$C77,$D:$D,$D77,$E:$E,"P0(후)",$M:$M,"&gt;0")&lt;&gt;1,"",SUMIFS($I:$I,$C:$C,$C77,$D:$D,$D77,$E:$E,"P0(후)"))</f>
        <v/>
      </c>
      <c r="R77" s="31">
        <f>IF(COUNTIFS($C:$C,$C77,$D:$D,$D77,$E:$E,"P0(후)",$M:$M,"&gt;0")&lt;&gt;1,"",SUMIFS($M:$M,$C:$C,$C77,$D:$D,$D77,$E:$E,"P0(후)"))</f>
        <v/>
      </c>
      <c r="S77" s="31">
        <f>IF(N77&lt;&gt;"OK","",P77+(R77-P77)*(I77-O77)/(Q77-O77))</f>
        <v/>
      </c>
      <c r="T77" s="31">
        <f>IF(OR(N77&lt;&gt;"OK",NOT(ISNUMBER(M77))),"",M77-S77)</f>
        <v/>
      </c>
      <c r="U77" s="49">
        <f>IF(OR(NOT(ISNUMBER(T77)),IF(ISNUMBER(H77),H77,G77)=0),"",T77/IF(ISNUMBER(H77),H77,G77))</f>
        <v/>
      </c>
      <c r="V77" s="49">
        <f>IF(ISNUMBER(U77),ABS(U77),"")</f>
        <v/>
      </c>
      <c r="W77" s="49">
        <f>IF(OR($E76&lt;&gt;"측정",$C76&lt;&gt;$C77,$D76&lt;&gt;$D77,NOT(ISNUMBER(M77)),NOT(ISNUMBER(M76)),(IF(ISNUMBER(H77),H77,G77)-IF(ISNUMBER(H76),H76,G76))=0),"",(M77-M76)/(IF(ISNUMBER(H77),H77,G77)-IF(ISNUMBER(H76),H76,G76)))</f>
        <v/>
      </c>
      <c r="X77" s="31">
        <f>IF(NOT(AND(ISNUMBER(O77),ISNUMBER(Q77))),"",(Q77-O77)*1440)</f>
        <v/>
      </c>
      <c r="Y77" s="29" t="n"/>
      <c r="Z77" s="29" t="n"/>
      <c r="AA77" s="29" t="n"/>
      <c r="AB77" s="32" t="n"/>
      <c r="AC77" s="32" t="n"/>
    </row>
    <row r="78">
      <c r="A78" s="26" t="inlineStr">
        <is>
          <t>S02</t>
        </is>
      </c>
      <c r="B78" s="26" t="inlineStr">
        <is>
          <t>임계 신규점1</t>
        </is>
      </c>
      <c r="C78" s="26" t="inlineStr">
        <is>
          <t>S02-H서</t>
        </is>
      </c>
      <c r="D78" s="47" t="n">
        <v>1</v>
      </c>
      <c r="E78" s="26" t="inlineStr">
        <is>
          <t>측정</t>
        </is>
      </c>
      <c r="F78" s="26" t="inlineStr">
        <is>
          <t>서</t>
        </is>
      </c>
      <c r="G78" s="31" t="n">
        <v>6</v>
      </c>
      <c r="H78" s="30" t="n"/>
      <c r="I78" s="43" t="n"/>
      <c r="J78" s="41" t="n"/>
      <c r="K78" s="41" t="n"/>
      <c r="L78" s="41" t="n"/>
      <c r="M78" s="31">
        <f>IF(COUNT(J78:L78)=0,"",MEDIAN(J78:L78))</f>
        <v/>
      </c>
      <c r="N78" s="26">
        <f>IF(COUNTIFS($C:$C,$C78,$D:$D,$D78,$E:$E,"P0(전)",$M:$M,"&gt;0")&lt;&gt;1,"P0(전) 유효 1개 아님",IF(COUNTIFS($C:$C,$C78,$D:$D,$D78,$E:$E,"P0(후)",$M:$M,"&gt;0")&lt;&gt;1,"P0(후) 유효 1개 아님",IF(NOT(AND(ISNUMBER(O78),ISNUMBER(Q78),ISNUMBER(I78))),"시각 결측",IF(Q78&lt;=O78,"P0 시각 역전",IF(OR(I78&lt;O78,I78&gt;Q78),"측정시각 구간 밖","OK")))))</f>
        <v/>
      </c>
      <c r="O78" s="48">
        <f>IF(COUNTIFS($C:$C,$C78,$D:$D,$D78,$E:$E,"P0(전)",$M:$M,"&gt;0")&lt;&gt;1,"",SUMIFS($I:$I,$C:$C,$C78,$D:$D,$D78,$E:$E,"P0(전)"))</f>
        <v/>
      </c>
      <c r="P78" s="31">
        <f>IF(COUNTIFS($C:$C,$C78,$D:$D,$D78,$E:$E,"P0(전)",$M:$M,"&gt;0")&lt;&gt;1,"",SUMIFS($M:$M,$C:$C,$C78,$D:$D,$D78,$E:$E,"P0(전)"))</f>
        <v/>
      </c>
      <c r="Q78" s="48">
        <f>IF(COUNTIFS($C:$C,$C78,$D:$D,$D78,$E:$E,"P0(후)",$M:$M,"&gt;0")&lt;&gt;1,"",SUMIFS($I:$I,$C:$C,$C78,$D:$D,$D78,$E:$E,"P0(후)"))</f>
        <v/>
      </c>
      <c r="R78" s="31">
        <f>IF(COUNTIFS($C:$C,$C78,$D:$D,$D78,$E:$E,"P0(후)",$M:$M,"&gt;0")&lt;&gt;1,"",SUMIFS($M:$M,$C:$C,$C78,$D:$D,$D78,$E:$E,"P0(후)"))</f>
        <v/>
      </c>
      <c r="S78" s="31">
        <f>IF(N78&lt;&gt;"OK","",P78+(R78-P78)*(I78-O78)/(Q78-O78))</f>
        <v/>
      </c>
      <c r="T78" s="31">
        <f>IF(OR(N78&lt;&gt;"OK",NOT(ISNUMBER(M78))),"",M78-S78)</f>
        <v/>
      </c>
      <c r="U78" s="49">
        <f>IF(OR(NOT(ISNUMBER(T78)),IF(ISNUMBER(H78),H78,G78)=0),"",T78/IF(ISNUMBER(H78),H78,G78))</f>
        <v/>
      </c>
      <c r="V78" s="49">
        <f>IF(ISNUMBER(U78),ABS(U78),"")</f>
        <v/>
      </c>
      <c r="W78" s="49">
        <f>IF(OR($E77&lt;&gt;"측정",$C77&lt;&gt;$C78,$D77&lt;&gt;$D78,NOT(ISNUMBER(M78)),NOT(ISNUMBER(M77)),(IF(ISNUMBER(H78),H78,G78)-IF(ISNUMBER(H77),H77,G77))=0),"",(M78-M77)/(IF(ISNUMBER(H78),H78,G78)-IF(ISNUMBER(H77),H77,G77)))</f>
        <v/>
      </c>
      <c r="X78" s="31">
        <f>IF(NOT(AND(ISNUMBER(O78),ISNUMBER(Q78))),"",(Q78-O78)*1440)</f>
        <v/>
      </c>
      <c r="Y78" s="29" t="n"/>
      <c r="Z78" s="29" t="n"/>
      <c r="AA78" s="29" t="n"/>
      <c r="AB78" s="32" t="n"/>
      <c r="AC78" s="32" t="n"/>
    </row>
    <row r="79">
      <c r="A79" s="26" t="inlineStr">
        <is>
          <t>S02</t>
        </is>
      </c>
      <c r="B79" s="26" t="inlineStr">
        <is>
          <t>임계 신규점1</t>
        </is>
      </c>
      <c r="C79" s="26" t="inlineStr">
        <is>
          <t>S02-H서</t>
        </is>
      </c>
      <c r="D79" s="47" t="n">
        <v>1</v>
      </c>
      <c r="E79" s="26" t="inlineStr">
        <is>
          <t>측정</t>
        </is>
      </c>
      <c r="F79" s="26" t="inlineStr">
        <is>
          <t>서</t>
        </is>
      </c>
      <c r="G79" s="31" t="n">
        <v>7</v>
      </c>
      <c r="H79" s="30" t="n"/>
      <c r="I79" s="43" t="n"/>
      <c r="J79" s="41" t="n"/>
      <c r="K79" s="41" t="n"/>
      <c r="L79" s="41" t="n"/>
      <c r="M79" s="31">
        <f>IF(COUNT(J79:L79)=0,"",MEDIAN(J79:L79))</f>
        <v/>
      </c>
      <c r="N79" s="26">
        <f>IF(COUNTIFS($C:$C,$C79,$D:$D,$D79,$E:$E,"P0(전)",$M:$M,"&gt;0")&lt;&gt;1,"P0(전) 유효 1개 아님",IF(COUNTIFS($C:$C,$C79,$D:$D,$D79,$E:$E,"P0(후)",$M:$M,"&gt;0")&lt;&gt;1,"P0(후) 유효 1개 아님",IF(NOT(AND(ISNUMBER(O79),ISNUMBER(Q79),ISNUMBER(I79))),"시각 결측",IF(Q79&lt;=O79,"P0 시각 역전",IF(OR(I79&lt;O79,I79&gt;Q79),"측정시각 구간 밖","OK")))))</f>
        <v/>
      </c>
      <c r="O79" s="48">
        <f>IF(COUNTIFS($C:$C,$C79,$D:$D,$D79,$E:$E,"P0(전)",$M:$M,"&gt;0")&lt;&gt;1,"",SUMIFS($I:$I,$C:$C,$C79,$D:$D,$D79,$E:$E,"P0(전)"))</f>
        <v/>
      </c>
      <c r="P79" s="31">
        <f>IF(COUNTIFS($C:$C,$C79,$D:$D,$D79,$E:$E,"P0(전)",$M:$M,"&gt;0")&lt;&gt;1,"",SUMIFS($M:$M,$C:$C,$C79,$D:$D,$D79,$E:$E,"P0(전)"))</f>
        <v/>
      </c>
      <c r="Q79" s="48">
        <f>IF(COUNTIFS($C:$C,$C79,$D:$D,$D79,$E:$E,"P0(후)",$M:$M,"&gt;0")&lt;&gt;1,"",SUMIFS($I:$I,$C:$C,$C79,$D:$D,$D79,$E:$E,"P0(후)"))</f>
        <v/>
      </c>
      <c r="R79" s="31">
        <f>IF(COUNTIFS($C:$C,$C79,$D:$D,$D79,$E:$E,"P0(후)",$M:$M,"&gt;0")&lt;&gt;1,"",SUMIFS($M:$M,$C:$C,$C79,$D:$D,$D79,$E:$E,"P0(후)"))</f>
        <v/>
      </c>
      <c r="S79" s="31">
        <f>IF(N79&lt;&gt;"OK","",P79+(R79-P79)*(I79-O79)/(Q79-O79))</f>
        <v/>
      </c>
      <c r="T79" s="31">
        <f>IF(OR(N79&lt;&gt;"OK",NOT(ISNUMBER(M79))),"",M79-S79)</f>
        <v/>
      </c>
      <c r="U79" s="49">
        <f>IF(OR(NOT(ISNUMBER(T79)),IF(ISNUMBER(H79),H79,G79)=0),"",T79/IF(ISNUMBER(H79),H79,G79))</f>
        <v/>
      </c>
      <c r="V79" s="49">
        <f>IF(ISNUMBER(U79),ABS(U79),"")</f>
        <v/>
      </c>
      <c r="W79" s="49">
        <f>IF(OR($E78&lt;&gt;"측정",$C78&lt;&gt;$C79,$D78&lt;&gt;$D79,NOT(ISNUMBER(M79)),NOT(ISNUMBER(M78)),(IF(ISNUMBER(H79),H79,G79)-IF(ISNUMBER(H78),H78,G78))=0),"",(M79-M78)/(IF(ISNUMBER(H79),H79,G79)-IF(ISNUMBER(H78),H78,G78)))</f>
        <v/>
      </c>
      <c r="X79" s="31">
        <f>IF(NOT(AND(ISNUMBER(O79),ISNUMBER(Q79))),"",(Q79-O79)*1440)</f>
        <v/>
      </c>
      <c r="Y79" s="29" t="n"/>
      <c r="Z79" s="29" t="n"/>
      <c r="AA79" s="29" t="n"/>
      <c r="AB79" s="32" t="n"/>
      <c r="AC79" s="32" t="n"/>
    </row>
    <row r="80">
      <c r="A80" s="26" t="inlineStr">
        <is>
          <t>S02</t>
        </is>
      </c>
      <c r="B80" s="26" t="inlineStr">
        <is>
          <t>임계 신규점1</t>
        </is>
      </c>
      <c r="C80" s="26" t="inlineStr">
        <is>
          <t>S02-H서</t>
        </is>
      </c>
      <c r="D80" s="47" t="n">
        <v>1</v>
      </c>
      <c r="E80" s="26" t="inlineStr">
        <is>
          <t>측정</t>
        </is>
      </c>
      <c r="F80" s="26" t="inlineStr">
        <is>
          <t>서</t>
        </is>
      </c>
      <c r="G80" s="31" t="n">
        <v>8</v>
      </c>
      <c r="H80" s="30" t="n"/>
      <c r="I80" s="43" t="n"/>
      <c r="J80" s="41" t="n"/>
      <c r="K80" s="41" t="n"/>
      <c r="L80" s="41" t="n"/>
      <c r="M80" s="31">
        <f>IF(COUNT(J80:L80)=0,"",MEDIAN(J80:L80))</f>
        <v/>
      </c>
      <c r="N80" s="26">
        <f>IF(COUNTIFS($C:$C,$C80,$D:$D,$D80,$E:$E,"P0(전)",$M:$M,"&gt;0")&lt;&gt;1,"P0(전) 유효 1개 아님",IF(COUNTIFS($C:$C,$C80,$D:$D,$D80,$E:$E,"P0(후)",$M:$M,"&gt;0")&lt;&gt;1,"P0(후) 유효 1개 아님",IF(NOT(AND(ISNUMBER(O80),ISNUMBER(Q80),ISNUMBER(I80))),"시각 결측",IF(Q80&lt;=O80,"P0 시각 역전",IF(OR(I80&lt;O80,I80&gt;Q80),"측정시각 구간 밖","OK")))))</f>
        <v/>
      </c>
      <c r="O80" s="48">
        <f>IF(COUNTIFS($C:$C,$C80,$D:$D,$D80,$E:$E,"P0(전)",$M:$M,"&gt;0")&lt;&gt;1,"",SUMIFS($I:$I,$C:$C,$C80,$D:$D,$D80,$E:$E,"P0(전)"))</f>
        <v/>
      </c>
      <c r="P80" s="31">
        <f>IF(COUNTIFS($C:$C,$C80,$D:$D,$D80,$E:$E,"P0(전)",$M:$M,"&gt;0")&lt;&gt;1,"",SUMIFS($M:$M,$C:$C,$C80,$D:$D,$D80,$E:$E,"P0(전)"))</f>
        <v/>
      </c>
      <c r="Q80" s="48">
        <f>IF(COUNTIFS($C:$C,$C80,$D:$D,$D80,$E:$E,"P0(후)",$M:$M,"&gt;0")&lt;&gt;1,"",SUMIFS($I:$I,$C:$C,$C80,$D:$D,$D80,$E:$E,"P0(후)"))</f>
        <v/>
      </c>
      <c r="R80" s="31">
        <f>IF(COUNTIFS($C:$C,$C80,$D:$D,$D80,$E:$E,"P0(후)",$M:$M,"&gt;0")&lt;&gt;1,"",SUMIFS($M:$M,$C:$C,$C80,$D:$D,$D80,$E:$E,"P0(후)"))</f>
        <v/>
      </c>
      <c r="S80" s="31">
        <f>IF(N80&lt;&gt;"OK","",P80+(R80-P80)*(I80-O80)/(Q80-O80))</f>
        <v/>
      </c>
      <c r="T80" s="31">
        <f>IF(OR(N80&lt;&gt;"OK",NOT(ISNUMBER(M80))),"",M80-S80)</f>
        <v/>
      </c>
      <c r="U80" s="49">
        <f>IF(OR(NOT(ISNUMBER(T80)),IF(ISNUMBER(H80),H80,G80)=0),"",T80/IF(ISNUMBER(H80),H80,G80))</f>
        <v/>
      </c>
      <c r="V80" s="49">
        <f>IF(ISNUMBER(U80),ABS(U80),"")</f>
        <v/>
      </c>
      <c r="W80" s="49">
        <f>IF(OR($E79&lt;&gt;"측정",$C79&lt;&gt;$C80,$D79&lt;&gt;$D80,NOT(ISNUMBER(M80)),NOT(ISNUMBER(M79)),(IF(ISNUMBER(H80),H80,G80)-IF(ISNUMBER(H79),H79,G79))=0),"",(M80-M79)/(IF(ISNUMBER(H80),H80,G80)-IF(ISNUMBER(H79),H79,G79)))</f>
        <v/>
      </c>
      <c r="X80" s="31">
        <f>IF(NOT(AND(ISNUMBER(O80),ISNUMBER(Q80))),"",(Q80-O80)*1440)</f>
        <v/>
      </c>
      <c r="Y80" s="29" t="n"/>
      <c r="Z80" s="29" t="n"/>
      <c r="AA80" s="29" t="n"/>
      <c r="AB80" s="32" t="n"/>
      <c r="AC80" s="32" t="n"/>
    </row>
    <row r="81">
      <c r="A81" s="26" t="inlineStr">
        <is>
          <t>S02</t>
        </is>
      </c>
      <c r="B81" s="26" t="inlineStr">
        <is>
          <t>임계 신규점1</t>
        </is>
      </c>
      <c r="C81" s="26" t="inlineStr">
        <is>
          <t>S02-H서</t>
        </is>
      </c>
      <c r="D81" s="47" t="n">
        <v>1</v>
      </c>
      <c r="E81" s="26" t="inlineStr">
        <is>
          <t>측정</t>
        </is>
      </c>
      <c r="F81" s="26" t="inlineStr">
        <is>
          <t>서</t>
        </is>
      </c>
      <c r="G81" s="31" t="n">
        <v>9</v>
      </c>
      <c r="H81" s="30" t="n"/>
      <c r="I81" s="43" t="n"/>
      <c r="J81" s="41" t="n"/>
      <c r="K81" s="41" t="n"/>
      <c r="L81" s="41" t="n"/>
      <c r="M81" s="31">
        <f>IF(COUNT(J81:L81)=0,"",MEDIAN(J81:L81))</f>
        <v/>
      </c>
      <c r="N81" s="26">
        <f>IF(COUNTIFS($C:$C,$C81,$D:$D,$D81,$E:$E,"P0(전)",$M:$M,"&gt;0")&lt;&gt;1,"P0(전) 유효 1개 아님",IF(COUNTIFS($C:$C,$C81,$D:$D,$D81,$E:$E,"P0(후)",$M:$M,"&gt;0")&lt;&gt;1,"P0(후) 유효 1개 아님",IF(NOT(AND(ISNUMBER(O81),ISNUMBER(Q81),ISNUMBER(I81))),"시각 결측",IF(Q81&lt;=O81,"P0 시각 역전",IF(OR(I81&lt;O81,I81&gt;Q81),"측정시각 구간 밖","OK")))))</f>
        <v/>
      </c>
      <c r="O81" s="48">
        <f>IF(COUNTIFS($C:$C,$C81,$D:$D,$D81,$E:$E,"P0(전)",$M:$M,"&gt;0")&lt;&gt;1,"",SUMIFS($I:$I,$C:$C,$C81,$D:$D,$D81,$E:$E,"P0(전)"))</f>
        <v/>
      </c>
      <c r="P81" s="31">
        <f>IF(COUNTIFS($C:$C,$C81,$D:$D,$D81,$E:$E,"P0(전)",$M:$M,"&gt;0")&lt;&gt;1,"",SUMIFS($M:$M,$C:$C,$C81,$D:$D,$D81,$E:$E,"P0(전)"))</f>
        <v/>
      </c>
      <c r="Q81" s="48">
        <f>IF(COUNTIFS($C:$C,$C81,$D:$D,$D81,$E:$E,"P0(후)",$M:$M,"&gt;0")&lt;&gt;1,"",SUMIFS($I:$I,$C:$C,$C81,$D:$D,$D81,$E:$E,"P0(후)"))</f>
        <v/>
      </c>
      <c r="R81" s="31">
        <f>IF(COUNTIFS($C:$C,$C81,$D:$D,$D81,$E:$E,"P0(후)",$M:$M,"&gt;0")&lt;&gt;1,"",SUMIFS($M:$M,$C:$C,$C81,$D:$D,$D81,$E:$E,"P0(후)"))</f>
        <v/>
      </c>
      <c r="S81" s="31">
        <f>IF(N81&lt;&gt;"OK","",P81+(R81-P81)*(I81-O81)/(Q81-O81))</f>
        <v/>
      </c>
      <c r="T81" s="31">
        <f>IF(OR(N81&lt;&gt;"OK",NOT(ISNUMBER(M81))),"",M81-S81)</f>
        <v/>
      </c>
      <c r="U81" s="49">
        <f>IF(OR(NOT(ISNUMBER(T81)),IF(ISNUMBER(H81),H81,G81)=0),"",T81/IF(ISNUMBER(H81),H81,G81))</f>
        <v/>
      </c>
      <c r="V81" s="49">
        <f>IF(ISNUMBER(U81),ABS(U81),"")</f>
        <v/>
      </c>
      <c r="W81" s="49">
        <f>IF(OR($E80&lt;&gt;"측정",$C80&lt;&gt;$C81,$D80&lt;&gt;$D81,NOT(ISNUMBER(M81)),NOT(ISNUMBER(M80)),(IF(ISNUMBER(H81),H81,G81)-IF(ISNUMBER(H80),H80,G80))=0),"",(M81-M80)/(IF(ISNUMBER(H81),H81,G81)-IF(ISNUMBER(H80),H80,G80)))</f>
        <v/>
      </c>
      <c r="X81" s="31">
        <f>IF(NOT(AND(ISNUMBER(O81),ISNUMBER(Q81))),"",(Q81-O81)*1440)</f>
        <v/>
      </c>
      <c r="Y81" s="29" t="n"/>
      <c r="Z81" s="29" t="n"/>
      <c r="AA81" s="29" t="n"/>
      <c r="AB81" s="32" t="n"/>
      <c r="AC81" s="32" t="n"/>
    </row>
    <row r="82">
      <c r="A82" s="26" t="inlineStr">
        <is>
          <t>S02</t>
        </is>
      </c>
      <c r="B82" s="26" t="inlineStr">
        <is>
          <t>임계 신규점1</t>
        </is>
      </c>
      <c r="C82" s="26" t="inlineStr">
        <is>
          <t>S02-H서</t>
        </is>
      </c>
      <c r="D82" s="47" t="n">
        <v>1</v>
      </c>
      <c r="E82" s="26" t="inlineStr">
        <is>
          <t>측정</t>
        </is>
      </c>
      <c r="F82" s="26" t="inlineStr">
        <is>
          <t>서</t>
        </is>
      </c>
      <c r="G82" s="31" t="n">
        <v>10</v>
      </c>
      <c r="H82" s="30" t="n"/>
      <c r="I82" s="43" t="n"/>
      <c r="J82" s="41" t="n"/>
      <c r="K82" s="41" t="n"/>
      <c r="L82" s="41" t="n"/>
      <c r="M82" s="31">
        <f>IF(COUNT(J82:L82)=0,"",MEDIAN(J82:L82))</f>
        <v/>
      </c>
      <c r="N82" s="26">
        <f>IF(COUNTIFS($C:$C,$C82,$D:$D,$D82,$E:$E,"P0(전)",$M:$M,"&gt;0")&lt;&gt;1,"P0(전) 유효 1개 아님",IF(COUNTIFS($C:$C,$C82,$D:$D,$D82,$E:$E,"P0(후)",$M:$M,"&gt;0")&lt;&gt;1,"P0(후) 유효 1개 아님",IF(NOT(AND(ISNUMBER(O82),ISNUMBER(Q82),ISNUMBER(I82))),"시각 결측",IF(Q82&lt;=O82,"P0 시각 역전",IF(OR(I82&lt;O82,I82&gt;Q82),"측정시각 구간 밖","OK")))))</f>
        <v/>
      </c>
      <c r="O82" s="48">
        <f>IF(COUNTIFS($C:$C,$C82,$D:$D,$D82,$E:$E,"P0(전)",$M:$M,"&gt;0")&lt;&gt;1,"",SUMIFS($I:$I,$C:$C,$C82,$D:$D,$D82,$E:$E,"P0(전)"))</f>
        <v/>
      </c>
      <c r="P82" s="31">
        <f>IF(COUNTIFS($C:$C,$C82,$D:$D,$D82,$E:$E,"P0(전)",$M:$M,"&gt;0")&lt;&gt;1,"",SUMIFS($M:$M,$C:$C,$C82,$D:$D,$D82,$E:$E,"P0(전)"))</f>
        <v/>
      </c>
      <c r="Q82" s="48">
        <f>IF(COUNTIFS($C:$C,$C82,$D:$D,$D82,$E:$E,"P0(후)",$M:$M,"&gt;0")&lt;&gt;1,"",SUMIFS($I:$I,$C:$C,$C82,$D:$D,$D82,$E:$E,"P0(후)"))</f>
        <v/>
      </c>
      <c r="R82" s="31">
        <f>IF(COUNTIFS($C:$C,$C82,$D:$D,$D82,$E:$E,"P0(후)",$M:$M,"&gt;0")&lt;&gt;1,"",SUMIFS($M:$M,$C:$C,$C82,$D:$D,$D82,$E:$E,"P0(후)"))</f>
        <v/>
      </c>
      <c r="S82" s="31">
        <f>IF(N82&lt;&gt;"OK","",P82+(R82-P82)*(I82-O82)/(Q82-O82))</f>
        <v/>
      </c>
      <c r="T82" s="31">
        <f>IF(OR(N82&lt;&gt;"OK",NOT(ISNUMBER(M82))),"",M82-S82)</f>
        <v/>
      </c>
      <c r="U82" s="49">
        <f>IF(OR(NOT(ISNUMBER(T82)),IF(ISNUMBER(H82),H82,G82)=0),"",T82/IF(ISNUMBER(H82),H82,G82))</f>
        <v/>
      </c>
      <c r="V82" s="49">
        <f>IF(ISNUMBER(U82),ABS(U82),"")</f>
        <v/>
      </c>
      <c r="W82" s="49">
        <f>IF(OR($E81&lt;&gt;"측정",$C81&lt;&gt;$C82,$D81&lt;&gt;$D82,NOT(ISNUMBER(M82)),NOT(ISNUMBER(M81)),(IF(ISNUMBER(H82),H82,G82)-IF(ISNUMBER(H81),H81,G81))=0),"",(M82-M81)/(IF(ISNUMBER(H82),H82,G82)-IF(ISNUMBER(H81),H81,G81)))</f>
        <v/>
      </c>
      <c r="X82" s="31">
        <f>IF(NOT(AND(ISNUMBER(O82),ISNUMBER(Q82))),"",(Q82-O82)*1440)</f>
        <v/>
      </c>
      <c r="Y82" s="29" t="n"/>
      <c r="Z82" s="29" t="n"/>
      <c r="AA82" s="29" t="n"/>
      <c r="AB82" s="32" t="n"/>
      <c r="AC82" s="32" t="n"/>
    </row>
    <row r="83">
      <c r="A83" s="44" t="inlineStr">
        <is>
          <t>S02</t>
        </is>
      </c>
      <c r="B83" s="44" t="inlineStr">
        <is>
          <t>임계 신규점1</t>
        </is>
      </c>
      <c r="C83" s="44" t="inlineStr">
        <is>
          <t>S02-H서</t>
        </is>
      </c>
      <c r="D83" s="45" t="n">
        <v>1</v>
      </c>
      <c r="E83" s="44" t="inlineStr">
        <is>
          <t>P0(후)</t>
        </is>
      </c>
      <c r="F83" s="44" t="inlineStr">
        <is>
          <t>서</t>
        </is>
      </c>
      <c r="G83" s="46" t="n"/>
      <c r="H83" s="30" t="n"/>
      <c r="I83" s="43" t="n"/>
      <c r="J83" s="41" t="n"/>
      <c r="K83" s="41" t="n"/>
      <c r="L83" s="41" t="n"/>
      <c r="M83" s="31">
        <f>IF(COUNT(J83:L83)=0,"",MEDIAN(J83:L83))</f>
        <v/>
      </c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29" t="n"/>
      <c r="Z83" s="29" t="n"/>
      <c r="AA83" s="29" t="n"/>
      <c r="AB83" s="32" t="n"/>
      <c r="AC83" s="32" t="n"/>
    </row>
    <row r="84">
      <c r="A84" s="44" t="inlineStr">
        <is>
          <t>S02</t>
        </is>
      </c>
      <c r="B84" s="44" t="inlineStr">
        <is>
          <t>임계 신규점1</t>
        </is>
      </c>
      <c r="C84" s="44" t="inlineStr">
        <is>
          <t>S02-H남</t>
        </is>
      </c>
      <c r="D84" s="45" t="n">
        <v>1</v>
      </c>
      <c r="E84" s="44" t="inlineStr">
        <is>
          <t>P0(전)</t>
        </is>
      </c>
      <c r="F84" s="44" t="inlineStr">
        <is>
          <t>남</t>
        </is>
      </c>
      <c r="G84" s="46" t="n"/>
      <c r="H84" s="30" t="n"/>
      <c r="I84" s="43" t="n"/>
      <c r="J84" s="41" t="n"/>
      <c r="K84" s="41" t="n"/>
      <c r="L84" s="41" t="n"/>
      <c r="M84" s="31">
        <f>IF(COUNT(J84:L84)=0,"",MEDIAN(J84:L84))</f>
        <v/>
      </c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29" t="n"/>
      <c r="Z84" s="29" t="n"/>
      <c r="AA84" s="29" t="n"/>
      <c r="AB84" s="32" t="n"/>
      <c r="AC84" s="32" t="n"/>
    </row>
    <row r="85">
      <c r="A85" s="26" t="inlineStr">
        <is>
          <t>S02</t>
        </is>
      </c>
      <c r="B85" s="26" t="inlineStr">
        <is>
          <t>임계 신규점1</t>
        </is>
      </c>
      <c r="C85" s="26" t="inlineStr">
        <is>
          <t>S02-H남</t>
        </is>
      </c>
      <c r="D85" s="47" t="n">
        <v>1</v>
      </c>
      <c r="E85" s="26" t="inlineStr">
        <is>
          <t>측정</t>
        </is>
      </c>
      <c r="F85" s="26" t="inlineStr">
        <is>
          <t>남</t>
        </is>
      </c>
      <c r="G85" s="31" t="n">
        <v>0.5</v>
      </c>
      <c r="H85" s="30" t="n"/>
      <c r="I85" s="43" t="n"/>
      <c r="J85" s="41" t="n"/>
      <c r="K85" s="41" t="n"/>
      <c r="L85" s="41" t="n"/>
      <c r="M85" s="31">
        <f>IF(COUNT(J85:L85)=0,"",MEDIAN(J85:L85))</f>
        <v/>
      </c>
      <c r="N85" s="26">
        <f>IF(COUNTIFS($C:$C,$C85,$D:$D,$D85,$E:$E,"P0(전)",$M:$M,"&gt;0")&lt;&gt;1,"P0(전) 유효 1개 아님",IF(COUNTIFS($C:$C,$C85,$D:$D,$D85,$E:$E,"P0(후)",$M:$M,"&gt;0")&lt;&gt;1,"P0(후) 유효 1개 아님",IF(NOT(AND(ISNUMBER(O85),ISNUMBER(Q85),ISNUMBER(I85))),"시각 결측",IF(Q85&lt;=O85,"P0 시각 역전",IF(OR(I85&lt;O85,I85&gt;Q85),"측정시각 구간 밖","OK")))))</f>
        <v/>
      </c>
      <c r="O85" s="48">
        <f>IF(COUNTIFS($C:$C,$C85,$D:$D,$D85,$E:$E,"P0(전)",$M:$M,"&gt;0")&lt;&gt;1,"",SUMIFS($I:$I,$C:$C,$C85,$D:$D,$D85,$E:$E,"P0(전)"))</f>
        <v/>
      </c>
      <c r="P85" s="31">
        <f>IF(COUNTIFS($C:$C,$C85,$D:$D,$D85,$E:$E,"P0(전)",$M:$M,"&gt;0")&lt;&gt;1,"",SUMIFS($M:$M,$C:$C,$C85,$D:$D,$D85,$E:$E,"P0(전)"))</f>
        <v/>
      </c>
      <c r="Q85" s="48">
        <f>IF(COUNTIFS($C:$C,$C85,$D:$D,$D85,$E:$E,"P0(후)",$M:$M,"&gt;0")&lt;&gt;1,"",SUMIFS($I:$I,$C:$C,$C85,$D:$D,$D85,$E:$E,"P0(후)"))</f>
        <v/>
      </c>
      <c r="R85" s="31">
        <f>IF(COUNTIFS($C:$C,$C85,$D:$D,$D85,$E:$E,"P0(후)",$M:$M,"&gt;0")&lt;&gt;1,"",SUMIFS($M:$M,$C:$C,$C85,$D:$D,$D85,$E:$E,"P0(후)"))</f>
        <v/>
      </c>
      <c r="S85" s="31">
        <f>IF(N85&lt;&gt;"OK","",P85+(R85-P85)*(I85-O85)/(Q85-O85))</f>
        <v/>
      </c>
      <c r="T85" s="31">
        <f>IF(OR(N85&lt;&gt;"OK",NOT(ISNUMBER(M85))),"",M85-S85)</f>
        <v/>
      </c>
      <c r="U85" s="49">
        <f>IF(OR(NOT(ISNUMBER(T85)),IF(ISNUMBER(H85),H85,G85)=0),"",T85/IF(ISNUMBER(H85),H85,G85))</f>
        <v/>
      </c>
      <c r="V85" s="49">
        <f>IF(ISNUMBER(U85),ABS(U85),"")</f>
        <v/>
      </c>
      <c r="W85" s="49">
        <f>IF(OR($E84&lt;&gt;"측정",$C84&lt;&gt;$C85,$D84&lt;&gt;$D85,NOT(ISNUMBER(M85)),NOT(ISNUMBER(M84)),(IF(ISNUMBER(H85),H85,G85)-IF(ISNUMBER(H84),H84,G84))=0),"",(M85-M84)/(IF(ISNUMBER(H85),H85,G85)-IF(ISNUMBER(H84),H84,G84)))</f>
        <v/>
      </c>
      <c r="X85" s="31">
        <f>IF(NOT(AND(ISNUMBER(O85),ISNUMBER(Q85))),"",(Q85-O85)*1440)</f>
        <v/>
      </c>
      <c r="Y85" s="29" t="n"/>
      <c r="Z85" s="29" t="n"/>
      <c r="AA85" s="29" t="n"/>
      <c r="AB85" s="32" t="n"/>
      <c r="AC85" s="32" t="n"/>
    </row>
    <row r="86">
      <c r="A86" s="26" t="inlineStr">
        <is>
          <t>S02</t>
        </is>
      </c>
      <c r="B86" s="26" t="inlineStr">
        <is>
          <t>임계 신규점1</t>
        </is>
      </c>
      <c r="C86" s="26" t="inlineStr">
        <is>
          <t>S02-H남</t>
        </is>
      </c>
      <c r="D86" s="47" t="n">
        <v>1</v>
      </c>
      <c r="E86" s="26" t="inlineStr">
        <is>
          <t>측정</t>
        </is>
      </c>
      <c r="F86" s="26" t="inlineStr">
        <is>
          <t>남</t>
        </is>
      </c>
      <c r="G86" s="31" t="n">
        <v>1</v>
      </c>
      <c r="H86" s="30" t="n"/>
      <c r="I86" s="43" t="n"/>
      <c r="J86" s="41" t="n"/>
      <c r="K86" s="41" t="n"/>
      <c r="L86" s="41" t="n"/>
      <c r="M86" s="31">
        <f>IF(COUNT(J86:L86)=0,"",MEDIAN(J86:L86))</f>
        <v/>
      </c>
      <c r="N86" s="26">
        <f>IF(COUNTIFS($C:$C,$C86,$D:$D,$D86,$E:$E,"P0(전)",$M:$M,"&gt;0")&lt;&gt;1,"P0(전) 유효 1개 아님",IF(COUNTIFS($C:$C,$C86,$D:$D,$D86,$E:$E,"P0(후)",$M:$M,"&gt;0")&lt;&gt;1,"P0(후) 유효 1개 아님",IF(NOT(AND(ISNUMBER(O86),ISNUMBER(Q86),ISNUMBER(I86))),"시각 결측",IF(Q86&lt;=O86,"P0 시각 역전",IF(OR(I86&lt;O86,I86&gt;Q86),"측정시각 구간 밖","OK")))))</f>
        <v/>
      </c>
      <c r="O86" s="48">
        <f>IF(COUNTIFS($C:$C,$C86,$D:$D,$D86,$E:$E,"P0(전)",$M:$M,"&gt;0")&lt;&gt;1,"",SUMIFS($I:$I,$C:$C,$C86,$D:$D,$D86,$E:$E,"P0(전)"))</f>
        <v/>
      </c>
      <c r="P86" s="31">
        <f>IF(COUNTIFS($C:$C,$C86,$D:$D,$D86,$E:$E,"P0(전)",$M:$M,"&gt;0")&lt;&gt;1,"",SUMIFS($M:$M,$C:$C,$C86,$D:$D,$D86,$E:$E,"P0(전)"))</f>
        <v/>
      </c>
      <c r="Q86" s="48">
        <f>IF(COUNTIFS($C:$C,$C86,$D:$D,$D86,$E:$E,"P0(후)",$M:$M,"&gt;0")&lt;&gt;1,"",SUMIFS($I:$I,$C:$C,$C86,$D:$D,$D86,$E:$E,"P0(후)"))</f>
        <v/>
      </c>
      <c r="R86" s="31">
        <f>IF(COUNTIFS($C:$C,$C86,$D:$D,$D86,$E:$E,"P0(후)",$M:$M,"&gt;0")&lt;&gt;1,"",SUMIFS($M:$M,$C:$C,$C86,$D:$D,$D86,$E:$E,"P0(후)"))</f>
        <v/>
      </c>
      <c r="S86" s="31">
        <f>IF(N86&lt;&gt;"OK","",P86+(R86-P86)*(I86-O86)/(Q86-O86))</f>
        <v/>
      </c>
      <c r="T86" s="31">
        <f>IF(OR(N86&lt;&gt;"OK",NOT(ISNUMBER(M86))),"",M86-S86)</f>
        <v/>
      </c>
      <c r="U86" s="49">
        <f>IF(OR(NOT(ISNUMBER(T86)),IF(ISNUMBER(H86),H86,G86)=0),"",T86/IF(ISNUMBER(H86),H86,G86))</f>
        <v/>
      </c>
      <c r="V86" s="49">
        <f>IF(ISNUMBER(U86),ABS(U86),"")</f>
        <v/>
      </c>
      <c r="W86" s="49">
        <f>IF(OR($E85&lt;&gt;"측정",$C85&lt;&gt;$C86,$D85&lt;&gt;$D86,NOT(ISNUMBER(M86)),NOT(ISNUMBER(M85)),(IF(ISNUMBER(H86),H86,G86)-IF(ISNUMBER(H85),H85,G85))=0),"",(M86-M85)/(IF(ISNUMBER(H86),H86,G86)-IF(ISNUMBER(H85),H85,G85)))</f>
        <v/>
      </c>
      <c r="X86" s="31">
        <f>IF(NOT(AND(ISNUMBER(O86),ISNUMBER(Q86))),"",(Q86-O86)*1440)</f>
        <v/>
      </c>
      <c r="Y86" s="29" t="n"/>
      <c r="Z86" s="29" t="n"/>
      <c r="AA86" s="29" t="n"/>
      <c r="AB86" s="32" t="n"/>
      <c r="AC86" s="32" t="n"/>
    </row>
    <row r="87">
      <c r="A87" s="26" t="inlineStr">
        <is>
          <t>S02</t>
        </is>
      </c>
      <c r="B87" s="26" t="inlineStr">
        <is>
          <t>임계 신규점1</t>
        </is>
      </c>
      <c r="C87" s="26" t="inlineStr">
        <is>
          <t>S02-H남</t>
        </is>
      </c>
      <c r="D87" s="47" t="n">
        <v>1</v>
      </c>
      <c r="E87" s="26" t="inlineStr">
        <is>
          <t>측정</t>
        </is>
      </c>
      <c r="F87" s="26" t="inlineStr">
        <is>
          <t>남</t>
        </is>
      </c>
      <c r="G87" s="31" t="n">
        <v>2</v>
      </c>
      <c r="H87" s="30" t="n"/>
      <c r="I87" s="43" t="n"/>
      <c r="J87" s="41" t="n"/>
      <c r="K87" s="41" t="n"/>
      <c r="L87" s="41" t="n"/>
      <c r="M87" s="31">
        <f>IF(COUNT(J87:L87)=0,"",MEDIAN(J87:L87))</f>
        <v/>
      </c>
      <c r="N87" s="26">
        <f>IF(COUNTIFS($C:$C,$C87,$D:$D,$D87,$E:$E,"P0(전)",$M:$M,"&gt;0")&lt;&gt;1,"P0(전) 유효 1개 아님",IF(COUNTIFS($C:$C,$C87,$D:$D,$D87,$E:$E,"P0(후)",$M:$M,"&gt;0")&lt;&gt;1,"P0(후) 유효 1개 아님",IF(NOT(AND(ISNUMBER(O87),ISNUMBER(Q87),ISNUMBER(I87))),"시각 결측",IF(Q87&lt;=O87,"P0 시각 역전",IF(OR(I87&lt;O87,I87&gt;Q87),"측정시각 구간 밖","OK")))))</f>
        <v/>
      </c>
      <c r="O87" s="48">
        <f>IF(COUNTIFS($C:$C,$C87,$D:$D,$D87,$E:$E,"P0(전)",$M:$M,"&gt;0")&lt;&gt;1,"",SUMIFS($I:$I,$C:$C,$C87,$D:$D,$D87,$E:$E,"P0(전)"))</f>
        <v/>
      </c>
      <c r="P87" s="31">
        <f>IF(COUNTIFS($C:$C,$C87,$D:$D,$D87,$E:$E,"P0(전)",$M:$M,"&gt;0")&lt;&gt;1,"",SUMIFS($M:$M,$C:$C,$C87,$D:$D,$D87,$E:$E,"P0(전)"))</f>
        <v/>
      </c>
      <c r="Q87" s="48">
        <f>IF(COUNTIFS($C:$C,$C87,$D:$D,$D87,$E:$E,"P0(후)",$M:$M,"&gt;0")&lt;&gt;1,"",SUMIFS($I:$I,$C:$C,$C87,$D:$D,$D87,$E:$E,"P0(후)"))</f>
        <v/>
      </c>
      <c r="R87" s="31">
        <f>IF(COUNTIFS($C:$C,$C87,$D:$D,$D87,$E:$E,"P0(후)",$M:$M,"&gt;0")&lt;&gt;1,"",SUMIFS($M:$M,$C:$C,$C87,$D:$D,$D87,$E:$E,"P0(후)"))</f>
        <v/>
      </c>
      <c r="S87" s="31">
        <f>IF(N87&lt;&gt;"OK","",P87+(R87-P87)*(I87-O87)/(Q87-O87))</f>
        <v/>
      </c>
      <c r="T87" s="31">
        <f>IF(OR(N87&lt;&gt;"OK",NOT(ISNUMBER(M87))),"",M87-S87)</f>
        <v/>
      </c>
      <c r="U87" s="49">
        <f>IF(OR(NOT(ISNUMBER(T87)),IF(ISNUMBER(H87),H87,G87)=0),"",T87/IF(ISNUMBER(H87),H87,G87))</f>
        <v/>
      </c>
      <c r="V87" s="49">
        <f>IF(ISNUMBER(U87),ABS(U87),"")</f>
        <v/>
      </c>
      <c r="W87" s="49">
        <f>IF(OR($E86&lt;&gt;"측정",$C86&lt;&gt;$C87,$D86&lt;&gt;$D87,NOT(ISNUMBER(M87)),NOT(ISNUMBER(M86)),(IF(ISNUMBER(H87),H87,G87)-IF(ISNUMBER(H86),H86,G86))=0),"",(M87-M86)/(IF(ISNUMBER(H87),H87,G87)-IF(ISNUMBER(H86),H86,G86)))</f>
        <v/>
      </c>
      <c r="X87" s="31">
        <f>IF(NOT(AND(ISNUMBER(O87),ISNUMBER(Q87))),"",(Q87-O87)*1440)</f>
        <v/>
      </c>
      <c r="Y87" s="29" t="n"/>
      <c r="Z87" s="29" t="n"/>
      <c r="AA87" s="29" t="n"/>
      <c r="AB87" s="32" t="n"/>
      <c r="AC87" s="32" t="n"/>
    </row>
    <row r="88">
      <c r="A88" s="26" t="inlineStr">
        <is>
          <t>S02</t>
        </is>
      </c>
      <c r="B88" s="26" t="inlineStr">
        <is>
          <t>임계 신규점1</t>
        </is>
      </c>
      <c r="C88" s="26" t="inlineStr">
        <is>
          <t>S02-H남</t>
        </is>
      </c>
      <c r="D88" s="47" t="n">
        <v>1</v>
      </c>
      <c r="E88" s="26" t="inlineStr">
        <is>
          <t>측정</t>
        </is>
      </c>
      <c r="F88" s="26" t="inlineStr">
        <is>
          <t>남</t>
        </is>
      </c>
      <c r="G88" s="31" t="n">
        <v>3</v>
      </c>
      <c r="H88" s="30" t="n"/>
      <c r="I88" s="43" t="n"/>
      <c r="J88" s="41" t="n"/>
      <c r="K88" s="41" t="n"/>
      <c r="L88" s="41" t="n"/>
      <c r="M88" s="31">
        <f>IF(COUNT(J88:L88)=0,"",MEDIAN(J88:L88))</f>
        <v/>
      </c>
      <c r="N88" s="26">
        <f>IF(COUNTIFS($C:$C,$C88,$D:$D,$D88,$E:$E,"P0(전)",$M:$M,"&gt;0")&lt;&gt;1,"P0(전) 유효 1개 아님",IF(COUNTIFS($C:$C,$C88,$D:$D,$D88,$E:$E,"P0(후)",$M:$M,"&gt;0")&lt;&gt;1,"P0(후) 유효 1개 아님",IF(NOT(AND(ISNUMBER(O88),ISNUMBER(Q88),ISNUMBER(I88))),"시각 결측",IF(Q88&lt;=O88,"P0 시각 역전",IF(OR(I88&lt;O88,I88&gt;Q88),"측정시각 구간 밖","OK")))))</f>
        <v/>
      </c>
      <c r="O88" s="48">
        <f>IF(COUNTIFS($C:$C,$C88,$D:$D,$D88,$E:$E,"P0(전)",$M:$M,"&gt;0")&lt;&gt;1,"",SUMIFS($I:$I,$C:$C,$C88,$D:$D,$D88,$E:$E,"P0(전)"))</f>
        <v/>
      </c>
      <c r="P88" s="31">
        <f>IF(COUNTIFS($C:$C,$C88,$D:$D,$D88,$E:$E,"P0(전)",$M:$M,"&gt;0")&lt;&gt;1,"",SUMIFS($M:$M,$C:$C,$C88,$D:$D,$D88,$E:$E,"P0(전)"))</f>
        <v/>
      </c>
      <c r="Q88" s="48">
        <f>IF(COUNTIFS($C:$C,$C88,$D:$D,$D88,$E:$E,"P0(후)",$M:$M,"&gt;0")&lt;&gt;1,"",SUMIFS($I:$I,$C:$C,$C88,$D:$D,$D88,$E:$E,"P0(후)"))</f>
        <v/>
      </c>
      <c r="R88" s="31">
        <f>IF(COUNTIFS($C:$C,$C88,$D:$D,$D88,$E:$E,"P0(후)",$M:$M,"&gt;0")&lt;&gt;1,"",SUMIFS($M:$M,$C:$C,$C88,$D:$D,$D88,$E:$E,"P0(후)"))</f>
        <v/>
      </c>
      <c r="S88" s="31">
        <f>IF(N88&lt;&gt;"OK","",P88+(R88-P88)*(I88-O88)/(Q88-O88))</f>
        <v/>
      </c>
      <c r="T88" s="31">
        <f>IF(OR(N88&lt;&gt;"OK",NOT(ISNUMBER(M88))),"",M88-S88)</f>
        <v/>
      </c>
      <c r="U88" s="49">
        <f>IF(OR(NOT(ISNUMBER(T88)),IF(ISNUMBER(H88),H88,G88)=0),"",T88/IF(ISNUMBER(H88),H88,G88))</f>
        <v/>
      </c>
      <c r="V88" s="49">
        <f>IF(ISNUMBER(U88),ABS(U88),"")</f>
        <v/>
      </c>
      <c r="W88" s="49">
        <f>IF(OR($E87&lt;&gt;"측정",$C87&lt;&gt;$C88,$D87&lt;&gt;$D88,NOT(ISNUMBER(M88)),NOT(ISNUMBER(M87)),(IF(ISNUMBER(H88),H88,G88)-IF(ISNUMBER(H87),H87,G87))=0),"",(M88-M87)/(IF(ISNUMBER(H88),H88,G88)-IF(ISNUMBER(H87),H87,G87)))</f>
        <v/>
      </c>
      <c r="X88" s="31">
        <f>IF(NOT(AND(ISNUMBER(O88),ISNUMBER(Q88))),"",(Q88-O88)*1440)</f>
        <v/>
      </c>
      <c r="Y88" s="29" t="n"/>
      <c r="Z88" s="29" t="n"/>
      <c r="AA88" s="29" t="n"/>
      <c r="AB88" s="32" t="n"/>
      <c r="AC88" s="32" t="n"/>
    </row>
    <row r="89">
      <c r="A89" s="26" t="inlineStr">
        <is>
          <t>S02</t>
        </is>
      </c>
      <c r="B89" s="26" t="inlineStr">
        <is>
          <t>임계 신규점1</t>
        </is>
      </c>
      <c r="C89" s="26" t="inlineStr">
        <is>
          <t>S02-H남</t>
        </is>
      </c>
      <c r="D89" s="47" t="n">
        <v>1</v>
      </c>
      <c r="E89" s="26" t="inlineStr">
        <is>
          <t>측정</t>
        </is>
      </c>
      <c r="F89" s="26" t="inlineStr">
        <is>
          <t>남</t>
        </is>
      </c>
      <c r="G89" s="31" t="n">
        <v>4</v>
      </c>
      <c r="H89" s="30" t="n"/>
      <c r="I89" s="43" t="n"/>
      <c r="J89" s="41" t="n"/>
      <c r="K89" s="41" t="n"/>
      <c r="L89" s="41" t="n"/>
      <c r="M89" s="31">
        <f>IF(COUNT(J89:L89)=0,"",MEDIAN(J89:L89))</f>
        <v/>
      </c>
      <c r="N89" s="26">
        <f>IF(COUNTIFS($C:$C,$C89,$D:$D,$D89,$E:$E,"P0(전)",$M:$M,"&gt;0")&lt;&gt;1,"P0(전) 유효 1개 아님",IF(COUNTIFS($C:$C,$C89,$D:$D,$D89,$E:$E,"P0(후)",$M:$M,"&gt;0")&lt;&gt;1,"P0(후) 유효 1개 아님",IF(NOT(AND(ISNUMBER(O89),ISNUMBER(Q89),ISNUMBER(I89))),"시각 결측",IF(Q89&lt;=O89,"P0 시각 역전",IF(OR(I89&lt;O89,I89&gt;Q89),"측정시각 구간 밖","OK")))))</f>
        <v/>
      </c>
      <c r="O89" s="48">
        <f>IF(COUNTIFS($C:$C,$C89,$D:$D,$D89,$E:$E,"P0(전)",$M:$M,"&gt;0")&lt;&gt;1,"",SUMIFS($I:$I,$C:$C,$C89,$D:$D,$D89,$E:$E,"P0(전)"))</f>
        <v/>
      </c>
      <c r="P89" s="31">
        <f>IF(COUNTIFS($C:$C,$C89,$D:$D,$D89,$E:$E,"P0(전)",$M:$M,"&gt;0")&lt;&gt;1,"",SUMIFS($M:$M,$C:$C,$C89,$D:$D,$D89,$E:$E,"P0(전)"))</f>
        <v/>
      </c>
      <c r="Q89" s="48">
        <f>IF(COUNTIFS($C:$C,$C89,$D:$D,$D89,$E:$E,"P0(후)",$M:$M,"&gt;0")&lt;&gt;1,"",SUMIFS($I:$I,$C:$C,$C89,$D:$D,$D89,$E:$E,"P0(후)"))</f>
        <v/>
      </c>
      <c r="R89" s="31">
        <f>IF(COUNTIFS($C:$C,$C89,$D:$D,$D89,$E:$E,"P0(후)",$M:$M,"&gt;0")&lt;&gt;1,"",SUMIFS($M:$M,$C:$C,$C89,$D:$D,$D89,$E:$E,"P0(후)"))</f>
        <v/>
      </c>
      <c r="S89" s="31">
        <f>IF(N89&lt;&gt;"OK","",P89+(R89-P89)*(I89-O89)/(Q89-O89))</f>
        <v/>
      </c>
      <c r="T89" s="31">
        <f>IF(OR(N89&lt;&gt;"OK",NOT(ISNUMBER(M89))),"",M89-S89)</f>
        <v/>
      </c>
      <c r="U89" s="49">
        <f>IF(OR(NOT(ISNUMBER(T89)),IF(ISNUMBER(H89),H89,G89)=0),"",T89/IF(ISNUMBER(H89),H89,G89))</f>
        <v/>
      </c>
      <c r="V89" s="49">
        <f>IF(ISNUMBER(U89),ABS(U89),"")</f>
        <v/>
      </c>
      <c r="W89" s="49">
        <f>IF(OR($E88&lt;&gt;"측정",$C88&lt;&gt;$C89,$D88&lt;&gt;$D89,NOT(ISNUMBER(M89)),NOT(ISNUMBER(M88)),(IF(ISNUMBER(H89),H89,G89)-IF(ISNUMBER(H88),H88,G88))=0),"",(M89-M88)/(IF(ISNUMBER(H89),H89,G89)-IF(ISNUMBER(H88),H88,G88)))</f>
        <v/>
      </c>
      <c r="X89" s="31">
        <f>IF(NOT(AND(ISNUMBER(O89),ISNUMBER(Q89))),"",(Q89-O89)*1440)</f>
        <v/>
      </c>
      <c r="Y89" s="29" t="n"/>
      <c r="Z89" s="29" t="n"/>
      <c r="AA89" s="29" t="n"/>
      <c r="AB89" s="32" t="n"/>
      <c r="AC89" s="32" t="n"/>
    </row>
    <row r="90">
      <c r="A90" s="26" t="inlineStr">
        <is>
          <t>S02</t>
        </is>
      </c>
      <c r="B90" s="26" t="inlineStr">
        <is>
          <t>임계 신규점1</t>
        </is>
      </c>
      <c r="C90" s="26" t="inlineStr">
        <is>
          <t>S02-H남</t>
        </is>
      </c>
      <c r="D90" s="47" t="n">
        <v>1</v>
      </c>
      <c r="E90" s="26" t="inlineStr">
        <is>
          <t>측정</t>
        </is>
      </c>
      <c r="F90" s="26" t="inlineStr">
        <is>
          <t>남</t>
        </is>
      </c>
      <c r="G90" s="31" t="n">
        <v>5</v>
      </c>
      <c r="H90" s="30" t="n"/>
      <c r="I90" s="43" t="n"/>
      <c r="J90" s="41" t="n"/>
      <c r="K90" s="41" t="n"/>
      <c r="L90" s="41" t="n"/>
      <c r="M90" s="31">
        <f>IF(COUNT(J90:L90)=0,"",MEDIAN(J90:L90))</f>
        <v/>
      </c>
      <c r="N90" s="26">
        <f>IF(COUNTIFS($C:$C,$C90,$D:$D,$D90,$E:$E,"P0(전)",$M:$M,"&gt;0")&lt;&gt;1,"P0(전) 유효 1개 아님",IF(COUNTIFS($C:$C,$C90,$D:$D,$D90,$E:$E,"P0(후)",$M:$M,"&gt;0")&lt;&gt;1,"P0(후) 유효 1개 아님",IF(NOT(AND(ISNUMBER(O90),ISNUMBER(Q90),ISNUMBER(I90))),"시각 결측",IF(Q90&lt;=O90,"P0 시각 역전",IF(OR(I90&lt;O90,I90&gt;Q90),"측정시각 구간 밖","OK")))))</f>
        <v/>
      </c>
      <c r="O90" s="48">
        <f>IF(COUNTIFS($C:$C,$C90,$D:$D,$D90,$E:$E,"P0(전)",$M:$M,"&gt;0")&lt;&gt;1,"",SUMIFS($I:$I,$C:$C,$C90,$D:$D,$D90,$E:$E,"P0(전)"))</f>
        <v/>
      </c>
      <c r="P90" s="31">
        <f>IF(COUNTIFS($C:$C,$C90,$D:$D,$D90,$E:$E,"P0(전)",$M:$M,"&gt;0")&lt;&gt;1,"",SUMIFS($M:$M,$C:$C,$C90,$D:$D,$D90,$E:$E,"P0(전)"))</f>
        <v/>
      </c>
      <c r="Q90" s="48">
        <f>IF(COUNTIFS($C:$C,$C90,$D:$D,$D90,$E:$E,"P0(후)",$M:$M,"&gt;0")&lt;&gt;1,"",SUMIFS($I:$I,$C:$C,$C90,$D:$D,$D90,$E:$E,"P0(후)"))</f>
        <v/>
      </c>
      <c r="R90" s="31">
        <f>IF(COUNTIFS($C:$C,$C90,$D:$D,$D90,$E:$E,"P0(후)",$M:$M,"&gt;0")&lt;&gt;1,"",SUMIFS($M:$M,$C:$C,$C90,$D:$D,$D90,$E:$E,"P0(후)"))</f>
        <v/>
      </c>
      <c r="S90" s="31">
        <f>IF(N90&lt;&gt;"OK","",P90+(R90-P90)*(I90-O90)/(Q90-O90))</f>
        <v/>
      </c>
      <c r="T90" s="31">
        <f>IF(OR(N90&lt;&gt;"OK",NOT(ISNUMBER(M90))),"",M90-S90)</f>
        <v/>
      </c>
      <c r="U90" s="49">
        <f>IF(OR(NOT(ISNUMBER(T90)),IF(ISNUMBER(H90),H90,G90)=0),"",T90/IF(ISNUMBER(H90),H90,G90))</f>
        <v/>
      </c>
      <c r="V90" s="49">
        <f>IF(ISNUMBER(U90),ABS(U90),"")</f>
        <v/>
      </c>
      <c r="W90" s="49">
        <f>IF(OR($E89&lt;&gt;"측정",$C89&lt;&gt;$C90,$D89&lt;&gt;$D90,NOT(ISNUMBER(M90)),NOT(ISNUMBER(M89)),(IF(ISNUMBER(H90),H90,G90)-IF(ISNUMBER(H89),H89,G89))=0),"",(M90-M89)/(IF(ISNUMBER(H90),H90,G90)-IF(ISNUMBER(H89),H89,G89)))</f>
        <v/>
      </c>
      <c r="X90" s="31">
        <f>IF(NOT(AND(ISNUMBER(O90),ISNUMBER(Q90))),"",(Q90-O90)*1440)</f>
        <v/>
      </c>
      <c r="Y90" s="29" t="n"/>
      <c r="Z90" s="29" t="n"/>
      <c r="AA90" s="29" t="n"/>
      <c r="AB90" s="32" t="n"/>
      <c r="AC90" s="32" t="n"/>
    </row>
    <row r="91">
      <c r="A91" s="26" t="inlineStr">
        <is>
          <t>S02</t>
        </is>
      </c>
      <c r="B91" s="26" t="inlineStr">
        <is>
          <t>임계 신규점1</t>
        </is>
      </c>
      <c r="C91" s="26" t="inlineStr">
        <is>
          <t>S02-H남</t>
        </is>
      </c>
      <c r="D91" s="47" t="n">
        <v>1</v>
      </c>
      <c r="E91" s="26" t="inlineStr">
        <is>
          <t>측정</t>
        </is>
      </c>
      <c r="F91" s="26" t="inlineStr">
        <is>
          <t>남</t>
        </is>
      </c>
      <c r="G91" s="31" t="n">
        <v>6</v>
      </c>
      <c r="H91" s="30" t="n"/>
      <c r="I91" s="43" t="n"/>
      <c r="J91" s="41" t="n"/>
      <c r="K91" s="41" t="n"/>
      <c r="L91" s="41" t="n"/>
      <c r="M91" s="31">
        <f>IF(COUNT(J91:L91)=0,"",MEDIAN(J91:L91))</f>
        <v/>
      </c>
      <c r="N91" s="26">
        <f>IF(COUNTIFS($C:$C,$C91,$D:$D,$D91,$E:$E,"P0(전)",$M:$M,"&gt;0")&lt;&gt;1,"P0(전) 유효 1개 아님",IF(COUNTIFS($C:$C,$C91,$D:$D,$D91,$E:$E,"P0(후)",$M:$M,"&gt;0")&lt;&gt;1,"P0(후) 유효 1개 아님",IF(NOT(AND(ISNUMBER(O91),ISNUMBER(Q91),ISNUMBER(I91))),"시각 결측",IF(Q91&lt;=O91,"P0 시각 역전",IF(OR(I91&lt;O91,I91&gt;Q91),"측정시각 구간 밖","OK")))))</f>
        <v/>
      </c>
      <c r="O91" s="48">
        <f>IF(COUNTIFS($C:$C,$C91,$D:$D,$D91,$E:$E,"P0(전)",$M:$M,"&gt;0")&lt;&gt;1,"",SUMIFS($I:$I,$C:$C,$C91,$D:$D,$D91,$E:$E,"P0(전)"))</f>
        <v/>
      </c>
      <c r="P91" s="31">
        <f>IF(COUNTIFS($C:$C,$C91,$D:$D,$D91,$E:$E,"P0(전)",$M:$M,"&gt;0")&lt;&gt;1,"",SUMIFS($M:$M,$C:$C,$C91,$D:$D,$D91,$E:$E,"P0(전)"))</f>
        <v/>
      </c>
      <c r="Q91" s="48">
        <f>IF(COUNTIFS($C:$C,$C91,$D:$D,$D91,$E:$E,"P0(후)",$M:$M,"&gt;0")&lt;&gt;1,"",SUMIFS($I:$I,$C:$C,$C91,$D:$D,$D91,$E:$E,"P0(후)"))</f>
        <v/>
      </c>
      <c r="R91" s="31">
        <f>IF(COUNTIFS($C:$C,$C91,$D:$D,$D91,$E:$E,"P0(후)",$M:$M,"&gt;0")&lt;&gt;1,"",SUMIFS($M:$M,$C:$C,$C91,$D:$D,$D91,$E:$E,"P0(후)"))</f>
        <v/>
      </c>
      <c r="S91" s="31">
        <f>IF(N91&lt;&gt;"OK","",P91+(R91-P91)*(I91-O91)/(Q91-O91))</f>
        <v/>
      </c>
      <c r="T91" s="31">
        <f>IF(OR(N91&lt;&gt;"OK",NOT(ISNUMBER(M91))),"",M91-S91)</f>
        <v/>
      </c>
      <c r="U91" s="49">
        <f>IF(OR(NOT(ISNUMBER(T91)),IF(ISNUMBER(H91),H91,G91)=0),"",T91/IF(ISNUMBER(H91),H91,G91))</f>
        <v/>
      </c>
      <c r="V91" s="49">
        <f>IF(ISNUMBER(U91),ABS(U91),"")</f>
        <v/>
      </c>
      <c r="W91" s="49">
        <f>IF(OR($E90&lt;&gt;"측정",$C90&lt;&gt;$C91,$D90&lt;&gt;$D91,NOT(ISNUMBER(M91)),NOT(ISNUMBER(M90)),(IF(ISNUMBER(H91),H91,G91)-IF(ISNUMBER(H90),H90,G90))=0),"",(M91-M90)/(IF(ISNUMBER(H91),H91,G91)-IF(ISNUMBER(H90),H90,G90)))</f>
        <v/>
      </c>
      <c r="X91" s="31">
        <f>IF(NOT(AND(ISNUMBER(O91),ISNUMBER(Q91))),"",(Q91-O91)*1440)</f>
        <v/>
      </c>
      <c r="Y91" s="29" t="n"/>
      <c r="Z91" s="29" t="n"/>
      <c r="AA91" s="29" t="n"/>
      <c r="AB91" s="32" t="n"/>
      <c r="AC91" s="32" t="n"/>
    </row>
    <row r="92">
      <c r="A92" s="26" t="inlineStr">
        <is>
          <t>S02</t>
        </is>
      </c>
      <c r="B92" s="26" t="inlineStr">
        <is>
          <t>임계 신규점1</t>
        </is>
      </c>
      <c r="C92" s="26" t="inlineStr">
        <is>
          <t>S02-H남</t>
        </is>
      </c>
      <c r="D92" s="47" t="n">
        <v>1</v>
      </c>
      <c r="E92" s="26" t="inlineStr">
        <is>
          <t>측정</t>
        </is>
      </c>
      <c r="F92" s="26" t="inlineStr">
        <is>
          <t>남</t>
        </is>
      </c>
      <c r="G92" s="31" t="n">
        <v>7</v>
      </c>
      <c r="H92" s="30" t="n"/>
      <c r="I92" s="43" t="n"/>
      <c r="J92" s="41" t="n"/>
      <c r="K92" s="41" t="n"/>
      <c r="L92" s="41" t="n"/>
      <c r="M92" s="31">
        <f>IF(COUNT(J92:L92)=0,"",MEDIAN(J92:L92))</f>
        <v/>
      </c>
      <c r="N92" s="26">
        <f>IF(COUNTIFS($C:$C,$C92,$D:$D,$D92,$E:$E,"P0(전)",$M:$M,"&gt;0")&lt;&gt;1,"P0(전) 유효 1개 아님",IF(COUNTIFS($C:$C,$C92,$D:$D,$D92,$E:$E,"P0(후)",$M:$M,"&gt;0")&lt;&gt;1,"P0(후) 유효 1개 아님",IF(NOT(AND(ISNUMBER(O92),ISNUMBER(Q92),ISNUMBER(I92))),"시각 결측",IF(Q92&lt;=O92,"P0 시각 역전",IF(OR(I92&lt;O92,I92&gt;Q92),"측정시각 구간 밖","OK")))))</f>
        <v/>
      </c>
      <c r="O92" s="48">
        <f>IF(COUNTIFS($C:$C,$C92,$D:$D,$D92,$E:$E,"P0(전)",$M:$M,"&gt;0")&lt;&gt;1,"",SUMIFS($I:$I,$C:$C,$C92,$D:$D,$D92,$E:$E,"P0(전)"))</f>
        <v/>
      </c>
      <c r="P92" s="31">
        <f>IF(COUNTIFS($C:$C,$C92,$D:$D,$D92,$E:$E,"P0(전)",$M:$M,"&gt;0")&lt;&gt;1,"",SUMIFS($M:$M,$C:$C,$C92,$D:$D,$D92,$E:$E,"P0(전)"))</f>
        <v/>
      </c>
      <c r="Q92" s="48">
        <f>IF(COUNTIFS($C:$C,$C92,$D:$D,$D92,$E:$E,"P0(후)",$M:$M,"&gt;0")&lt;&gt;1,"",SUMIFS($I:$I,$C:$C,$C92,$D:$D,$D92,$E:$E,"P0(후)"))</f>
        <v/>
      </c>
      <c r="R92" s="31">
        <f>IF(COUNTIFS($C:$C,$C92,$D:$D,$D92,$E:$E,"P0(후)",$M:$M,"&gt;0")&lt;&gt;1,"",SUMIFS($M:$M,$C:$C,$C92,$D:$D,$D92,$E:$E,"P0(후)"))</f>
        <v/>
      </c>
      <c r="S92" s="31">
        <f>IF(N92&lt;&gt;"OK","",P92+(R92-P92)*(I92-O92)/(Q92-O92))</f>
        <v/>
      </c>
      <c r="T92" s="31">
        <f>IF(OR(N92&lt;&gt;"OK",NOT(ISNUMBER(M92))),"",M92-S92)</f>
        <v/>
      </c>
      <c r="U92" s="49">
        <f>IF(OR(NOT(ISNUMBER(T92)),IF(ISNUMBER(H92),H92,G92)=0),"",T92/IF(ISNUMBER(H92),H92,G92))</f>
        <v/>
      </c>
      <c r="V92" s="49">
        <f>IF(ISNUMBER(U92),ABS(U92),"")</f>
        <v/>
      </c>
      <c r="W92" s="49">
        <f>IF(OR($E91&lt;&gt;"측정",$C91&lt;&gt;$C92,$D91&lt;&gt;$D92,NOT(ISNUMBER(M92)),NOT(ISNUMBER(M91)),(IF(ISNUMBER(H92),H92,G92)-IF(ISNUMBER(H91),H91,G91))=0),"",(M92-M91)/(IF(ISNUMBER(H92),H92,G92)-IF(ISNUMBER(H91),H91,G91)))</f>
        <v/>
      </c>
      <c r="X92" s="31">
        <f>IF(NOT(AND(ISNUMBER(O92),ISNUMBER(Q92))),"",(Q92-O92)*1440)</f>
        <v/>
      </c>
      <c r="Y92" s="29" t="n"/>
      <c r="Z92" s="29" t="n"/>
      <c r="AA92" s="29" t="n"/>
      <c r="AB92" s="32" t="n"/>
      <c r="AC92" s="32" t="n"/>
    </row>
    <row r="93">
      <c r="A93" s="26" t="inlineStr">
        <is>
          <t>S02</t>
        </is>
      </c>
      <c r="B93" s="26" t="inlineStr">
        <is>
          <t>임계 신규점1</t>
        </is>
      </c>
      <c r="C93" s="26" t="inlineStr">
        <is>
          <t>S02-H남</t>
        </is>
      </c>
      <c r="D93" s="47" t="n">
        <v>1</v>
      </c>
      <c r="E93" s="26" t="inlineStr">
        <is>
          <t>측정</t>
        </is>
      </c>
      <c r="F93" s="26" t="inlineStr">
        <is>
          <t>남</t>
        </is>
      </c>
      <c r="G93" s="31" t="n">
        <v>8</v>
      </c>
      <c r="H93" s="30" t="n"/>
      <c r="I93" s="43" t="n"/>
      <c r="J93" s="41" t="n"/>
      <c r="K93" s="41" t="n"/>
      <c r="L93" s="41" t="n"/>
      <c r="M93" s="31">
        <f>IF(COUNT(J93:L93)=0,"",MEDIAN(J93:L93))</f>
        <v/>
      </c>
      <c r="N93" s="26">
        <f>IF(COUNTIFS($C:$C,$C93,$D:$D,$D93,$E:$E,"P0(전)",$M:$M,"&gt;0")&lt;&gt;1,"P0(전) 유효 1개 아님",IF(COUNTIFS($C:$C,$C93,$D:$D,$D93,$E:$E,"P0(후)",$M:$M,"&gt;0")&lt;&gt;1,"P0(후) 유효 1개 아님",IF(NOT(AND(ISNUMBER(O93),ISNUMBER(Q93),ISNUMBER(I93))),"시각 결측",IF(Q93&lt;=O93,"P0 시각 역전",IF(OR(I93&lt;O93,I93&gt;Q93),"측정시각 구간 밖","OK")))))</f>
        <v/>
      </c>
      <c r="O93" s="48">
        <f>IF(COUNTIFS($C:$C,$C93,$D:$D,$D93,$E:$E,"P0(전)",$M:$M,"&gt;0")&lt;&gt;1,"",SUMIFS($I:$I,$C:$C,$C93,$D:$D,$D93,$E:$E,"P0(전)"))</f>
        <v/>
      </c>
      <c r="P93" s="31">
        <f>IF(COUNTIFS($C:$C,$C93,$D:$D,$D93,$E:$E,"P0(전)",$M:$M,"&gt;0")&lt;&gt;1,"",SUMIFS($M:$M,$C:$C,$C93,$D:$D,$D93,$E:$E,"P0(전)"))</f>
        <v/>
      </c>
      <c r="Q93" s="48">
        <f>IF(COUNTIFS($C:$C,$C93,$D:$D,$D93,$E:$E,"P0(후)",$M:$M,"&gt;0")&lt;&gt;1,"",SUMIFS($I:$I,$C:$C,$C93,$D:$D,$D93,$E:$E,"P0(후)"))</f>
        <v/>
      </c>
      <c r="R93" s="31">
        <f>IF(COUNTIFS($C:$C,$C93,$D:$D,$D93,$E:$E,"P0(후)",$M:$M,"&gt;0")&lt;&gt;1,"",SUMIFS($M:$M,$C:$C,$C93,$D:$D,$D93,$E:$E,"P0(후)"))</f>
        <v/>
      </c>
      <c r="S93" s="31">
        <f>IF(N93&lt;&gt;"OK","",P93+(R93-P93)*(I93-O93)/(Q93-O93))</f>
        <v/>
      </c>
      <c r="T93" s="31">
        <f>IF(OR(N93&lt;&gt;"OK",NOT(ISNUMBER(M93))),"",M93-S93)</f>
        <v/>
      </c>
      <c r="U93" s="49">
        <f>IF(OR(NOT(ISNUMBER(T93)),IF(ISNUMBER(H93),H93,G93)=0),"",T93/IF(ISNUMBER(H93),H93,G93))</f>
        <v/>
      </c>
      <c r="V93" s="49">
        <f>IF(ISNUMBER(U93),ABS(U93),"")</f>
        <v/>
      </c>
      <c r="W93" s="49">
        <f>IF(OR($E92&lt;&gt;"측정",$C92&lt;&gt;$C93,$D92&lt;&gt;$D93,NOT(ISNUMBER(M93)),NOT(ISNUMBER(M92)),(IF(ISNUMBER(H93),H93,G93)-IF(ISNUMBER(H92),H92,G92))=0),"",(M93-M92)/(IF(ISNUMBER(H93),H93,G93)-IF(ISNUMBER(H92),H92,G92)))</f>
        <v/>
      </c>
      <c r="X93" s="31">
        <f>IF(NOT(AND(ISNUMBER(O93),ISNUMBER(Q93))),"",(Q93-O93)*1440)</f>
        <v/>
      </c>
      <c r="Y93" s="29" t="n"/>
      <c r="Z93" s="29" t="n"/>
      <c r="AA93" s="29" t="n"/>
      <c r="AB93" s="32" t="n"/>
      <c r="AC93" s="32" t="n"/>
    </row>
    <row r="94">
      <c r="A94" s="26" t="inlineStr">
        <is>
          <t>S02</t>
        </is>
      </c>
      <c r="B94" s="26" t="inlineStr">
        <is>
          <t>임계 신규점1</t>
        </is>
      </c>
      <c r="C94" s="26" t="inlineStr">
        <is>
          <t>S02-H남</t>
        </is>
      </c>
      <c r="D94" s="47" t="n">
        <v>1</v>
      </c>
      <c r="E94" s="26" t="inlineStr">
        <is>
          <t>측정</t>
        </is>
      </c>
      <c r="F94" s="26" t="inlineStr">
        <is>
          <t>남</t>
        </is>
      </c>
      <c r="G94" s="31" t="n">
        <v>9</v>
      </c>
      <c r="H94" s="30" t="n"/>
      <c r="I94" s="43" t="n"/>
      <c r="J94" s="41" t="n"/>
      <c r="K94" s="41" t="n"/>
      <c r="L94" s="41" t="n"/>
      <c r="M94" s="31">
        <f>IF(COUNT(J94:L94)=0,"",MEDIAN(J94:L94))</f>
        <v/>
      </c>
      <c r="N94" s="26">
        <f>IF(COUNTIFS($C:$C,$C94,$D:$D,$D94,$E:$E,"P0(전)",$M:$M,"&gt;0")&lt;&gt;1,"P0(전) 유효 1개 아님",IF(COUNTIFS($C:$C,$C94,$D:$D,$D94,$E:$E,"P0(후)",$M:$M,"&gt;0")&lt;&gt;1,"P0(후) 유효 1개 아님",IF(NOT(AND(ISNUMBER(O94),ISNUMBER(Q94),ISNUMBER(I94))),"시각 결측",IF(Q94&lt;=O94,"P0 시각 역전",IF(OR(I94&lt;O94,I94&gt;Q94),"측정시각 구간 밖","OK")))))</f>
        <v/>
      </c>
      <c r="O94" s="48">
        <f>IF(COUNTIFS($C:$C,$C94,$D:$D,$D94,$E:$E,"P0(전)",$M:$M,"&gt;0")&lt;&gt;1,"",SUMIFS($I:$I,$C:$C,$C94,$D:$D,$D94,$E:$E,"P0(전)"))</f>
        <v/>
      </c>
      <c r="P94" s="31">
        <f>IF(COUNTIFS($C:$C,$C94,$D:$D,$D94,$E:$E,"P0(전)",$M:$M,"&gt;0")&lt;&gt;1,"",SUMIFS($M:$M,$C:$C,$C94,$D:$D,$D94,$E:$E,"P0(전)"))</f>
        <v/>
      </c>
      <c r="Q94" s="48">
        <f>IF(COUNTIFS($C:$C,$C94,$D:$D,$D94,$E:$E,"P0(후)",$M:$M,"&gt;0")&lt;&gt;1,"",SUMIFS($I:$I,$C:$C,$C94,$D:$D,$D94,$E:$E,"P0(후)"))</f>
        <v/>
      </c>
      <c r="R94" s="31">
        <f>IF(COUNTIFS($C:$C,$C94,$D:$D,$D94,$E:$E,"P0(후)",$M:$M,"&gt;0")&lt;&gt;1,"",SUMIFS($M:$M,$C:$C,$C94,$D:$D,$D94,$E:$E,"P0(후)"))</f>
        <v/>
      </c>
      <c r="S94" s="31">
        <f>IF(N94&lt;&gt;"OK","",P94+(R94-P94)*(I94-O94)/(Q94-O94))</f>
        <v/>
      </c>
      <c r="T94" s="31">
        <f>IF(OR(N94&lt;&gt;"OK",NOT(ISNUMBER(M94))),"",M94-S94)</f>
        <v/>
      </c>
      <c r="U94" s="49">
        <f>IF(OR(NOT(ISNUMBER(T94)),IF(ISNUMBER(H94),H94,G94)=0),"",T94/IF(ISNUMBER(H94),H94,G94))</f>
        <v/>
      </c>
      <c r="V94" s="49">
        <f>IF(ISNUMBER(U94),ABS(U94),"")</f>
        <v/>
      </c>
      <c r="W94" s="49">
        <f>IF(OR($E93&lt;&gt;"측정",$C93&lt;&gt;$C94,$D93&lt;&gt;$D94,NOT(ISNUMBER(M94)),NOT(ISNUMBER(M93)),(IF(ISNUMBER(H94),H94,G94)-IF(ISNUMBER(H93),H93,G93))=0),"",(M94-M93)/(IF(ISNUMBER(H94),H94,G94)-IF(ISNUMBER(H93),H93,G93)))</f>
        <v/>
      </c>
      <c r="X94" s="31">
        <f>IF(NOT(AND(ISNUMBER(O94),ISNUMBER(Q94))),"",(Q94-O94)*1440)</f>
        <v/>
      </c>
      <c r="Y94" s="29" t="n"/>
      <c r="Z94" s="29" t="n"/>
      <c r="AA94" s="29" t="n"/>
      <c r="AB94" s="32" t="n"/>
      <c r="AC94" s="32" t="n"/>
    </row>
    <row r="95">
      <c r="A95" s="26" t="inlineStr">
        <is>
          <t>S02</t>
        </is>
      </c>
      <c r="B95" s="26" t="inlineStr">
        <is>
          <t>임계 신규점1</t>
        </is>
      </c>
      <c r="C95" s="26" t="inlineStr">
        <is>
          <t>S02-H남</t>
        </is>
      </c>
      <c r="D95" s="47" t="n">
        <v>1</v>
      </c>
      <c r="E95" s="26" t="inlineStr">
        <is>
          <t>측정</t>
        </is>
      </c>
      <c r="F95" s="26" t="inlineStr">
        <is>
          <t>남</t>
        </is>
      </c>
      <c r="G95" s="31" t="n">
        <v>10</v>
      </c>
      <c r="H95" s="30" t="n"/>
      <c r="I95" s="43" t="n"/>
      <c r="J95" s="41" t="n"/>
      <c r="K95" s="41" t="n"/>
      <c r="L95" s="41" t="n"/>
      <c r="M95" s="31">
        <f>IF(COUNT(J95:L95)=0,"",MEDIAN(J95:L95))</f>
        <v/>
      </c>
      <c r="N95" s="26">
        <f>IF(COUNTIFS($C:$C,$C95,$D:$D,$D95,$E:$E,"P0(전)",$M:$M,"&gt;0")&lt;&gt;1,"P0(전) 유효 1개 아님",IF(COUNTIFS($C:$C,$C95,$D:$D,$D95,$E:$E,"P0(후)",$M:$M,"&gt;0")&lt;&gt;1,"P0(후) 유효 1개 아님",IF(NOT(AND(ISNUMBER(O95),ISNUMBER(Q95),ISNUMBER(I95))),"시각 결측",IF(Q95&lt;=O95,"P0 시각 역전",IF(OR(I95&lt;O95,I95&gt;Q95),"측정시각 구간 밖","OK")))))</f>
        <v/>
      </c>
      <c r="O95" s="48">
        <f>IF(COUNTIFS($C:$C,$C95,$D:$D,$D95,$E:$E,"P0(전)",$M:$M,"&gt;0")&lt;&gt;1,"",SUMIFS($I:$I,$C:$C,$C95,$D:$D,$D95,$E:$E,"P0(전)"))</f>
        <v/>
      </c>
      <c r="P95" s="31">
        <f>IF(COUNTIFS($C:$C,$C95,$D:$D,$D95,$E:$E,"P0(전)",$M:$M,"&gt;0")&lt;&gt;1,"",SUMIFS($M:$M,$C:$C,$C95,$D:$D,$D95,$E:$E,"P0(전)"))</f>
        <v/>
      </c>
      <c r="Q95" s="48">
        <f>IF(COUNTIFS($C:$C,$C95,$D:$D,$D95,$E:$E,"P0(후)",$M:$M,"&gt;0")&lt;&gt;1,"",SUMIFS($I:$I,$C:$C,$C95,$D:$D,$D95,$E:$E,"P0(후)"))</f>
        <v/>
      </c>
      <c r="R95" s="31">
        <f>IF(COUNTIFS($C:$C,$C95,$D:$D,$D95,$E:$E,"P0(후)",$M:$M,"&gt;0")&lt;&gt;1,"",SUMIFS($M:$M,$C:$C,$C95,$D:$D,$D95,$E:$E,"P0(후)"))</f>
        <v/>
      </c>
      <c r="S95" s="31">
        <f>IF(N95&lt;&gt;"OK","",P95+(R95-P95)*(I95-O95)/(Q95-O95))</f>
        <v/>
      </c>
      <c r="T95" s="31">
        <f>IF(OR(N95&lt;&gt;"OK",NOT(ISNUMBER(M95))),"",M95-S95)</f>
        <v/>
      </c>
      <c r="U95" s="49">
        <f>IF(OR(NOT(ISNUMBER(T95)),IF(ISNUMBER(H95),H95,G95)=0),"",T95/IF(ISNUMBER(H95),H95,G95))</f>
        <v/>
      </c>
      <c r="V95" s="49">
        <f>IF(ISNUMBER(U95),ABS(U95),"")</f>
        <v/>
      </c>
      <c r="W95" s="49">
        <f>IF(OR($E94&lt;&gt;"측정",$C94&lt;&gt;$C95,$D94&lt;&gt;$D95,NOT(ISNUMBER(M95)),NOT(ISNUMBER(M94)),(IF(ISNUMBER(H95),H95,G95)-IF(ISNUMBER(H94),H94,G94))=0),"",(M95-M94)/(IF(ISNUMBER(H95),H95,G95)-IF(ISNUMBER(H94),H94,G94)))</f>
        <v/>
      </c>
      <c r="X95" s="31">
        <f>IF(NOT(AND(ISNUMBER(O95),ISNUMBER(Q95))),"",(Q95-O95)*1440)</f>
        <v/>
      </c>
      <c r="Y95" s="29" t="n"/>
      <c r="Z95" s="29" t="n"/>
      <c r="AA95" s="29" t="n"/>
      <c r="AB95" s="32" t="n"/>
      <c r="AC95" s="32" t="n"/>
    </row>
    <row r="96">
      <c r="A96" s="44" t="inlineStr">
        <is>
          <t>S02</t>
        </is>
      </c>
      <c r="B96" s="44" t="inlineStr">
        <is>
          <t>임계 신규점1</t>
        </is>
      </c>
      <c r="C96" s="44" t="inlineStr">
        <is>
          <t>S02-H남</t>
        </is>
      </c>
      <c r="D96" s="45" t="n">
        <v>1</v>
      </c>
      <c r="E96" s="44" t="inlineStr">
        <is>
          <t>P0(후)</t>
        </is>
      </c>
      <c r="F96" s="44" t="inlineStr">
        <is>
          <t>남</t>
        </is>
      </c>
      <c r="G96" s="46" t="n"/>
      <c r="H96" s="30" t="n"/>
      <c r="I96" s="43" t="n"/>
      <c r="J96" s="41" t="n"/>
      <c r="K96" s="41" t="n"/>
      <c r="L96" s="41" t="n"/>
      <c r="M96" s="31">
        <f>IF(COUNT(J96:L96)=0,"",MEDIAN(J96:L96))</f>
        <v/>
      </c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29" t="n"/>
      <c r="Z96" s="29" t="n"/>
      <c r="AA96" s="29" t="n"/>
      <c r="AB96" s="32" t="n"/>
      <c r="AC96" s="32" t="n"/>
    </row>
    <row r="97">
      <c r="A97" s="44" t="inlineStr">
        <is>
          <t>S02</t>
        </is>
      </c>
      <c r="B97" s="44" t="inlineStr">
        <is>
          <t>임계 신규점1</t>
        </is>
      </c>
      <c r="C97" s="44" t="inlineStr">
        <is>
          <t>S02-H북</t>
        </is>
      </c>
      <c r="D97" s="45" t="n">
        <v>1</v>
      </c>
      <c r="E97" s="44" t="inlineStr">
        <is>
          <t>P0(전)</t>
        </is>
      </c>
      <c r="F97" s="44" t="inlineStr">
        <is>
          <t>북</t>
        </is>
      </c>
      <c r="G97" s="46" t="n"/>
      <c r="H97" s="30" t="n"/>
      <c r="I97" s="43" t="n"/>
      <c r="J97" s="41" t="n"/>
      <c r="K97" s="41" t="n"/>
      <c r="L97" s="41" t="n"/>
      <c r="M97" s="31">
        <f>IF(COUNT(J97:L97)=0,"",MEDIAN(J97:L97))</f>
        <v/>
      </c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29" t="n"/>
      <c r="Z97" s="29" t="n"/>
      <c r="AA97" s="29" t="n"/>
      <c r="AB97" s="32" t="n"/>
      <c r="AC97" s="32" t="n"/>
    </row>
    <row r="98">
      <c r="A98" s="26" t="inlineStr">
        <is>
          <t>S02</t>
        </is>
      </c>
      <c r="B98" s="26" t="inlineStr">
        <is>
          <t>임계 신규점1</t>
        </is>
      </c>
      <c r="C98" s="26" t="inlineStr">
        <is>
          <t>S02-H북</t>
        </is>
      </c>
      <c r="D98" s="47" t="n">
        <v>1</v>
      </c>
      <c r="E98" s="26" t="inlineStr">
        <is>
          <t>측정</t>
        </is>
      </c>
      <c r="F98" s="26" t="inlineStr">
        <is>
          <t>북</t>
        </is>
      </c>
      <c r="G98" s="31" t="n">
        <v>0.5</v>
      </c>
      <c r="H98" s="30" t="n"/>
      <c r="I98" s="43" t="n"/>
      <c r="J98" s="41" t="n"/>
      <c r="K98" s="41" t="n"/>
      <c r="L98" s="41" t="n"/>
      <c r="M98" s="31">
        <f>IF(COUNT(J98:L98)=0,"",MEDIAN(J98:L98))</f>
        <v/>
      </c>
      <c r="N98" s="26">
        <f>IF(COUNTIFS($C:$C,$C98,$D:$D,$D98,$E:$E,"P0(전)",$M:$M,"&gt;0")&lt;&gt;1,"P0(전) 유효 1개 아님",IF(COUNTIFS($C:$C,$C98,$D:$D,$D98,$E:$E,"P0(후)",$M:$M,"&gt;0")&lt;&gt;1,"P0(후) 유효 1개 아님",IF(NOT(AND(ISNUMBER(O98),ISNUMBER(Q98),ISNUMBER(I98))),"시각 결측",IF(Q98&lt;=O98,"P0 시각 역전",IF(OR(I98&lt;O98,I98&gt;Q98),"측정시각 구간 밖","OK")))))</f>
        <v/>
      </c>
      <c r="O98" s="48">
        <f>IF(COUNTIFS($C:$C,$C98,$D:$D,$D98,$E:$E,"P0(전)",$M:$M,"&gt;0")&lt;&gt;1,"",SUMIFS($I:$I,$C:$C,$C98,$D:$D,$D98,$E:$E,"P0(전)"))</f>
        <v/>
      </c>
      <c r="P98" s="31">
        <f>IF(COUNTIFS($C:$C,$C98,$D:$D,$D98,$E:$E,"P0(전)",$M:$M,"&gt;0")&lt;&gt;1,"",SUMIFS($M:$M,$C:$C,$C98,$D:$D,$D98,$E:$E,"P0(전)"))</f>
        <v/>
      </c>
      <c r="Q98" s="48">
        <f>IF(COUNTIFS($C:$C,$C98,$D:$D,$D98,$E:$E,"P0(후)",$M:$M,"&gt;0")&lt;&gt;1,"",SUMIFS($I:$I,$C:$C,$C98,$D:$D,$D98,$E:$E,"P0(후)"))</f>
        <v/>
      </c>
      <c r="R98" s="31">
        <f>IF(COUNTIFS($C:$C,$C98,$D:$D,$D98,$E:$E,"P0(후)",$M:$M,"&gt;0")&lt;&gt;1,"",SUMIFS($M:$M,$C:$C,$C98,$D:$D,$D98,$E:$E,"P0(후)"))</f>
        <v/>
      </c>
      <c r="S98" s="31">
        <f>IF(N98&lt;&gt;"OK","",P98+(R98-P98)*(I98-O98)/(Q98-O98))</f>
        <v/>
      </c>
      <c r="T98" s="31">
        <f>IF(OR(N98&lt;&gt;"OK",NOT(ISNUMBER(M98))),"",M98-S98)</f>
        <v/>
      </c>
      <c r="U98" s="49">
        <f>IF(OR(NOT(ISNUMBER(T98)),IF(ISNUMBER(H98),H98,G98)=0),"",T98/IF(ISNUMBER(H98),H98,G98))</f>
        <v/>
      </c>
      <c r="V98" s="49">
        <f>IF(ISNUMBER(U98),ABS(U98),"")</f>
        <v/>
      </c>
      <c r="W98" s="49">
        <f>IF(OR($E97&lt;&gt;"측정",$C97&lt;&gt;$C98,$D97&lt;&gt;$D98,NOT(ISNUMBER(M98)),NOT(ISNUMBER(M97)),(IF(ISNUMBER(H98),H98,G98)-IF(ISNUMBER(H97),H97,G97))=0),"",(M98-M97)/(IF(ISNUMBER(H98),H98,G98)-IF(ISNUMBER(H97),H97,G97)))</f>
        <v/>
      </c>
      <c r="X98" s="31">
        <f>IF(NOT(AND(ISNUMBER(O98),ISNUMBER(Q98))),"",(Q98-O98)*1440)</f>
        <v/>
      </c>
      <c r="Y98" s="29" t="n"/>
      <c r="Z98" s="29" t="n"/>
      <c r="AA98" s="29" t="n"/>
      <c r="AB98" s="32" t="n"/>
      <c r="AC98" s="32" t="n"/>
    </row>
    <row r="99">
      <c r="A99" s="26" t="inlineStr">
        <is>
          <t>S02</t>
        </is>
      </c>
      <c r="B99" s="26" t="inlineStr">
        <is>
          <t>임계 신규점1</t>
        </is>
      </c>
      <c r="C99" s="26" t="inlineStr">
        <is>
          <t>S02-H북</t>
        </is>
      </c>
      <c r="D99" s="47" t="n">
        <v>1</v>
      </c>
      <c r="E99" s="26" t="inlineStr">
        <is>
          <t>측정</t>
        </is>
      </c>
      <c r="F99" s="26" t="inlineStr">
        <is>
          <t>북</t>
        </is>
      </c>
      <c r="G99" s="31" t="n">
        <v>1</v>
      </c>
      <c r="H99" s="30" t="n"/>
      <c r="I99" s="43" t="n"/>
      <c r="J99" s="41" t="n"/>
      <c r="K99" s="41" t="n"/>
      <c r="L99" s="41" t="n"/>
      <c r="M99" s="31">
        <f>IF(COUNT(J99:L99)=0,"",MEDIAN(J99:L99))</f>
        <v/>
      </c>
      <c r="N99" s="26">
        <f>IF(COUNTIFS($C:$C,$C99,$D:$D,$D99,$E:$E,"P0(전)",$M:$M,"&gt;0")&lt;&gt;1,"P0(전) 유효 1개 아님",IF(COUNTIFS($C:$C,$C99,$D:$D,$D99,$E:$E,"P0(후)",$M:$M,"&gt;0")&lt;&gt;1,"P0(후) 유효 1개 아님",IF(NOT(AND(ISNUMBER(O99),ISNUMBER(Q99),ISNUMBER(I99))),"시각 결측",IF(Q99&lt;=O99,"P0 시각 역전",IF(OR(I99&lt;O99,I99&gt;Q99),"측정시각 구간 밖","OK")))))</f>
        <v/>
      </c>
      <c r="O99" s="48">
        <f>IF(COUNTIFS($C:$C,$C99,$D:$D,$D99,$E:$E,"P0(전)",$M:$M,"&gt;0")&lt;&gt;1,"",SUMIFS($I:$I,$C:$C,$C99,$D:$D,$D99,$E:$E,"P0(전)"))</f>
        <v/>
      </c>
      <c r="P99" s="31">
        <f>IF(COUNTIFS($C:$C,$C99,$D:$D,$D99,$E:$E,"P0(전)",$M:$M,"&gt;0")&lt;&gt;1,"",SUMIFS($M:$M,$C:$C,$C99,$D:$D,$D99,$E:$E,"P0(전)"))</f>
        <v/>
      </c>
      <c r="Q99" s="48">
        <f>IF(COUNTIFS($C:$C,$C99,$D:$D,$D99,$E:$E,"P0(후)",$M:$M,"&gt;0")&lt;&gt;1,"",SUMIFS($I:$I,$C:$C,$C99,$D:$D,$D99,$E:$E,"P0(후)"))</f>
        <v/>
      </c>
      <c r="R99" s="31">
        <f>IF(COUNTIFS($C:$C,$C99,$D:$D,$D99,$E:$E,"P0(후)",$M:$M,"&gt;0")&lt;&gt;1,"",SUMIFS($M:$M,$C:$C,$C99,$D:$D,$D99,$E:$E,"P0(후)"))</f>
        <v/>
      </c>
      <c r="S99" s="31">
        <f>IF(N99&lt;&gt;"OK","",P99+(R99-P99)*(I99-O99)/(Q99-O99))</f>
        <v/>
      </c>
      <c r="T99" s="31">
        <f>IF(OR(N99&lt;&gt;"OK",NOT(ISNUMBER(M99))),"",M99-S99)</f>
        <v/>
      </c>
      <c r="U99" s="49">
        <f>IF(OR(NOT(ISNUMBER(T99)),IF(ISNUMBER(H99),H99,G99)=0),"",T99/IF(ISNUMBER(H99),H99,G99))</f>
        <v/>
      </c>
      <c r="V99" s="49">
        <f>IF(ISNUMBER(U99),ABS(U99),"")</f>
        <v/>
      </c>
      <c r="W99" s="49">
        <f>IF(OR($E98&lt;&gt;"측정",$C98&lt;&gt;$C99,$D98&lt;&gt;$D99,NOT(ISNUMBER(M99)),NOT(ISNUMBER(M98)),(IF(ISNUMBER(H99),H99,G99)-IF(ISNUMBER(H98),H98,G98))=0),"",(M99-M98)/(IF(ISNUMBER(H99),H99,G99)-IF(ISNUMBER(H98),H98,G98)))</f>
        <v/>
      </c>
      <c r="X99" s="31">
        <f>IF(NOT(AND(ISNUMBER(O99),ISNUMBER(Q99))),"",(Q99-O99)*1440)</f>
        <v/>
      </c>
      <c r="Y99" s="29" t="n"/>
      <c r="Z99" s="29" t="n"/>
      <c r="AA99" s="29" t="n"/>
      <c r="AB99" s="32" t="n"/>
      <c r="AC99" s="32" t="n"/>
    </row>
    <row r="100">
      <c r="A100" s="26" t="inlineStr">
        <is>
          <t>S02</t>
        </is>
      </c>
      <c r="B100" s="26" t="inlineStr">
        <is>
          <t>임계 신규점1</t>
        </is>
      </c>
      <c r="C100" s="26" t="inlineStr">
        <is>
          <t>S02-H북</t>
        </is>
      </c>
      <c r="D100" s="47" t="n">
        <v>1</v>
      </c>
      <c r="E100" s="26" t="inlineStr">
        <is>
          <t>측정</t>
        </is>
      </c>
      <c r="F100" s="26" t="inlineStr">
        <is>
          <t>북</t>
        </is>
      </c>
      <c r="G100" s="31" t="n">
        <v>2</v>
      </c>
      <c r="H100" s="30" t="n"/>
      <c r="I100" s="43" t="n"/>
      <c r="J100" s="41" t="n"/>
      <c r="K100" s="41" t="n"/>
      <c r="L100" s="41" t="n"/>
      <c r="M100" s="31">
        <f>IF(COUNT(J100:L100)=0,"",MEDIAN(J100:L100))</f>
        <v/>
      </c>
      <c r="N100" s="26">
        <f>IF(COUNTIFS($C:$C,$C100,$D:$D,$D100,$E:$E,"P0(전)",$M:$M,"&gt;0")&lt;&gt;1,"P0(전) 유효 1개 아님",IF(COUNTIFS($C:$C,$C100,$D:$D,$D100,$E:$E,"P0(후)",$M:$M,"&gt;0")&lt;&gt;1,"P0(후) 유효 1개 아님",IF(NOT(AND(ISNUMBER(O100),ISNUMBER(Q100),ISNUMBER(I100))),"시각 결측",IF(Q100&lt;=O100,"P0 시각 역전",IF(OR(I100&lt;O100,I100&gt;Q100),"측정시각 구간 밖","OK")))))</f>
        <v/>
      </c>
      <c r="O100" s="48">
        <f>IF(COUNTIFS($C:$C,$C100,$D:$D,$D100,$E:$E,"P0(전)",$M:$M,"&gt;0")&lt;&gt;1,"",SUMIFS($I:$I,$C:$C,$C100,$D:$D,$D100,$E:$E,"P0(전)"))</f>
        <v/>
      </c>
      <c r="P100" s="31">
        <f>IF(COUNTIFS($C:$C,$C100,$D:$D,$D100,$E:$E,"P0(전)",$M:$M,"&gt;0")&lt;&gt;1,"",SUMIFS($M:$M,$C:$C,$C100,$D:$D,$D100,$E:$E,"P0(전)"))</f>
        <v/>
      </c>
      <c r="Q100" s="48">
        <f>IF(COUNTIFS($C:$C,$C100,$D:$D,$D100,$E:$E,"P0(후)",$M:$M,"&gt;0")&lt;&gt;1,"",SUMIFS($I:$I,$C:$C,$C100,$D:$D,$D100,$E:$E,"P0(후)"))</f>
        <v/>
      </c>
      <c r="R100" s="31">
        <f>IF(COUNTIFS($C:$C,$C100,$D:$D,$D100,$E:$E,"P0(후)",$M:$M,"&gt;0")&lt;&gt;1,"",SUMIFS($M:$M,$C:$C,$C100,$D:$D,$D100,$E:$E,"P0(후)"))</f>
        <v/>
      </c>
      <c r="S100" s="31">
        <f>IF(N100&lt;&gt;"OK","",P100+(R100-P100)*(I100-O100)/(Q100-O100))</f>
        <v/>
      </c>
      <c r="T100" s="31">
        <f>IF(OR(N100&lt;&gt;"OK",NOT(ISNUMBER(M100))),"",M100-S100)</f>
        <v/>
      </c>
      <c r="U100" s="49">
        <f>IF(OR(NOT(ISNUMBER(T100)),IF(ISNUMBER(H100),H100,G100)=0),"",T100/IF(ISNUMBER(H100),H100,G100))</f>
        <v/>
      </c>
      <c r="V100" s="49">
        <f>IF(ISNUMBER(U100),ABS(U100),"")</f>
        <v/>
      </c>
      <c r="W100" s="49">
        <f>IF(OR($E99&lt;&gt;"측정",$C99&lt;&gt;$C100,$D99&lt;&gt;$D100,NOT(ISNUMBER(M100)),NOT(ISNUMBER(M99)),(IF(ISNUMBER(H100),H100,G100)-IF(ISNUMBER(H99),H99,G99))=0),"",(M100-M99)/(IF(ISNUMBER(H100),H100,G100)-IF(ISNUMBER(H99),H99,G99)))</f>
        <v/>
      </c>
      <c r="X100" s="31">
        <f>IF(NOT(AND(ISNUMBER(O100),ISNUMBER(Q100))),"",(Q100-O100)*1440)</f>
        <v/>
      </c>
      <c r="Y100" s="29" t="n"/>
      <c r="Z100" s="29" t="n"/>
      <c r="AA100" s="29" t="n"/>
      <c r="AB100" s="32" t="n"/>
      <c r="AC100" s="32" t="n"/>
    </row>
    <row r="101">
      <c r="A101" s="26" t="inlineStr">
        <is>
          <t>S02</t>
        </is>
      </c>
      <c r="B101" s="26" t="inlineStr">
        <is>
          <t>임계 신규점1</t>
        </is>
      </c>
      <c r="C101" s="26" t="inlineStr">
        <is>
          <t>S02-H북</t>
        </is>
      </c>
      <c r="D101" s="47" t="n">
        <v>1</v>
      </c>
      <c r="E101" s="26" t="inlineStr">
        <is>
          <t>측정</t>
        </is>
      </c>
      <c r="F101" s="26" t="inlineStr">
        <is>
          <t>북</t>
        </is>
      </c>
      <c r="G101" s="31" t="n">
        <v>3</v>
      </c>
      <c r="H101" s="30" t="n"/>
      <c r="I101" s="43" t="n"/>
      <c r="J101" s="41" t="n"/>
      <c r="K101" s="41" t="n"/>
      <c r="L101" s="41" t="n"/>
      <c r="M101" s="31">
        <f>IF(COUNT(J101:L101)=0,"",MEDIAN(J101:L101))</f>
        <v/>
      </c>
      <c r="N101" s="26">
        <f>IF(COUNTIFS($C:$C,$C101,$D:$D,$D101,$E:$E,"P0(전)",$M:$M,"&gt;0")&lt;&gt;1,"P0(전) 유효 1개 아님",IF(COUNTIFS($C:$C,$C101,$D:$D,$D101,$E:$E,"P0(후)",$M:$M,"&gt;0")&lt;&gt;1,"P0(후) 유효 1개 아님",IF(NOT(AND(ISNUMBER(O101),ISNUMBER(Q101),ISNUMBER(I101))),"시각 결측",IF(Q101&lt;=O101,"P0 시각 역전",IF(OR(I101&lt;O101,I101&gt;Q101),"측정시각 구간 밖","OK")))))</f>
        <v/>
      </c>
      <c r="O101" s="48">
        <f>IF(COUNTIFS($C:$C,$C101,$D:$D,$D101,$E:$E,"P0(전)",$M:$M,"&gt;0")&lt;&gt;1,"",SUMIFS($I:$I,$C:$C,$C101,$D:$D,$D101,$E:$E,"P0(전)"))</f>
        <v/>
      </c>
      <c r="P101" s="31">
        <f>IF(COUNTIFS($C:$C,$C101,$D:$D,$D101,$E:$E,"P0(전)",$M:$M,"&gt;0")&lt;&gt;1,"",SUMIFS($M:$M,$C:$C,$C101,$D:$D,$D101,$E:$E,"P0(전)"))</f>
        <v/>
      </c>
      <c r="Q101" s="48">
        <f>IF(COUNTIFS($C:$C,$C101,$D:$D,$D101,$E:$E,"P0(후)",$M:$M,"&gt;0")&lt;&gt;1,"",SUMIFS($I:$I,$C:$C,$C101,$D:$D,$D101,$E:$E,"P0(후)"))</f>
        <v/>
      </c>
      <c r="R101" s="31">
        <f>IF(COUNTIFS($C:$C,$C101,$D:$D,$D101,$E:$E,"P0(후)",$M:$M,"&gt;0")&lt;&gt;1,"",SUMIFS($M:$M,$C:$C,$C101,$D:$D,$D101,$E:$E,"P0(후)"))</f>
        <v/>
      </c>
      <c r="S101" s="31">
        <f>IF(N101&lt;&gt;"OK","",P101+(R101-P101)*(I101-O101)/(Q101-O101))</f>
        <v/>
      </c>
      <c r="T101" s="31">
        <f>IF(OR(N101&lt;&gt;"OK",NOT(ISNUMBER(M101))),"",M101-S101)</f>
        <v/>
      </c>
      <c r="U101" s="49">
        <f>IF(OR(NOT(ISNUMBER(T101)),IF(ISNUMBER(H101),H101,G101)=0),"",T101/IF(ISNUMBER(H101),H101,G101))</f>
        <v/>
      </c>
      <c r="V101" s="49">
        <f>IF(ISNUMBER(U101),ABS(U101),"")</f>
        <v/>
      </c>
      <c r="W101" s="49">
        <f>IF(OR($E100&lt;&gt;"측정",$C100&lt;&gt;$C101,$D100&lt;&gt;$D101,NOT(ISNUMBER(M101)),NOT(ISNUMBER(M100)),(IF(ISNUMBER(H101),H101,G101)-IF(ISNUMBER(H100),H100,G100))=0),"",(M101-M100)/(IF(ISNUMBER(H101),H101,G101)-IF(ISNUMBER(H100),H100,G100)))</f>
        <v/>
      </c>
      <c r="X101" s="31">
        <f>IF(NOT(AND(ISNUMBER(O101),ISNUMBER(Q101))),"",(Q101-O101)*1440)</f>
        <v/>
      </c>
      <c r="Y101" s="29" t="n"/>
      <c r="Z101" s="29" t="n"/>
      <c r="AA101" s="29" t="n"/>
      <c r="AB101" s="32" t="n"/>
      <c r="AC101" s="32" t="n"/>
    </row>
    <row r="102">
      <c r="A102" s="26" t="inlineStr">
        <is>
          <t>S02</t>
        </is>
      </c>
      <c r="B102" s="26" t="inlineStr">
        <is>
          <t>임계 신규점1</t>
        </is>
      </c>
      <c r="C102" s="26" t="inlineStr">
        <is>
          <t>S02-H북</t>
        </is>
      </c>
      <c r="D102" s="47" t="n">
        <v>1</v>
      </c>
      <c r="E102" s="26" t="inlineStr">
        <is>
          <t>측정</t>
        </is>
      </c>
      <c r="F102" s="26" t="inlineStr">
        <is>
          <t>북</t>
        </is>
      </c>
      <c r="G102" s="31" t="n">
        <v>4</v>
      </c>
      <c r="H102" s="30" t="n"/>
      <c r="I102" s="43" t="n"/>
      <c r="J102" s="41" t="n"/>
      <c r="K102" s="41" t="n"/>
      <c r="L102" s="41" t="n"/>
      <c r="M102" s="31">
        <f>IF(COUNT(J102:L102)=0,"",MEDIAN(J102:L102))</f>
        <v/>
      </c>
      <c r="N102" s="26">
        <f>IF(COUNTIFS($C:$C,$C102,$D:$D,$D102,$E:$E,"P0(전)",$M:$M,"&gt;0")&lt;&gt;1,"P0(전) 유효 1개 아님",IF(COUNTIFS($C:$C,$C102,$D:$D,$D102,$E:$E,"P0(후)",$M:$M,"&gt;0")&lt;&gt;1,"P0(후) 유효 1개 아님",IF(NOT(AND(ISNUMBER(O102),ISNUMBER(Q102),ISNUMBER(I102))),"시각 결측",IF(Q102&lt;=O102,"P0 시각 역전",IF(OR(I102&lt;O102,I102&gt;Q102),"측정시각 구간 밖","OK")))))</f>
        <v/>
      </c>
      <c r="O102" s="48">
        <f>IF(COUNTIFS($C:$C,$C102,$D:$D,$D102,$E:$E,"P0(전)",$M:$M,"&gt;0")&lt;&gt;1,"",SUMIFS($I:$I,$C:$C,$C102,$D:$D,$D102,$E:$E,"P0(전)"))</f>
        <v/>
      </c>
      <c r="P102" s="31">
        <f>IF(COUNTIFS($C:$C,$C102,$D:$D,$D102,$E:$E,"P0(전)",$M:$M,"&gt;0")&lt;&gt;1,"",SUMIFS($M:$M,$C:$C,$C102,$D:$D,$D102,$E:$E,"P0(전)"))</f>
        <v/>
      </c>
      <c r="Q102" s="48">
        <f>IF(COUNTIFS($C:$C,$C102,$D:$D,$D102,$E:$E,"P0(후)",$M:$M,"&gt;0")&lt;&gt;1,"",SUMIFS($I:$I,$C:$C,$C102,$D:$D,$D102,$E:$E,"P0(후)"))</f>
        <v/>
      </c>
      <c r="R102" s="31">
        <f>IF(COUNTIFS($C:$C,$C102,$D:$D,$D102,$E:$E,"P0(후)",$M:$M,"&gt;0")&lt;&gt;1,"",SUMIFS($M:$M,$C:$C,$C102,$D:$D,$D102,$E:$E,"P0(후)"))</f>
        <v/>
      </c>
      <c r="S102" s="31">
        <f>IF(N102&lt;&gt;"OK","",P102+(R102-P102)*(I102-O102)/(Q102-O102))</f>
        <v/>
      </c>
      <c r="T102" s="31">
        <f>IF(OR(N102&lt;&gt;"OK",NOT(ISNUMBER(M102))),"",M102-S102)</f>
        <v/>
      </c>
      <c r="U102" s="49">
        <f>IF(OR(NOT(ISNUMBER(T102)),IF(ISNUMBER(H102),H102,G102)=0),"",T102/IF(ISNUMBER(H102),H102,G102))</f>
        <v/>
      </c>
      <c r="V102" s="49">
        <f>IF(ISNUMBER(U102),ABS(U102),"")</f>
        <v/>
      </c>
      <c r="W102" s="49">
        <f>IF(OR($E101&lt;&gt;"측정",$C101&lt;&gt;$C102,$D101&lt;&gt;$D102,NOT(ISNUMBER(M102)),NOT(ISNUMBER(M101)),(IF(ISNUMBER(H102),H102,G102)-IF(ISNUMBER(H101),H101,G101))=0),"",(M102-M101)/(IF(ISNUMBER(H102),H102,G102)-IF(ISNUMBER(H101),H101,G101)))</f>
        <v/>
      </c>
      <c r="X102" s="31">
        <f>IF(NOT(AND(ISNUMBER(O102),ISNUMBER(Q102))),"",(Q102-O102)*1440)</f>
        <v/>
      </c>
      <c r="Y102" s="29" t="n"/>
      <c r="Z102" s="29" t="n"/>
      <c r="AA102" s="29" t="n"/>
      <c r="AB102" s="32" t="n"/>
      <c r="AC102" s="32" t="n"/>
    </row>
    <row r="103">
      <c r="A103" s="26" t="inlineStr">
        <is>
          <t>S02</t>
        </is>
      </c>
      <c r="B103" s="26" t="inlineStr">
        <is>
          <t>임계 신규점1</t>
        </is>
      </c>
      <c r="C103" s="26" t="inlineStr">
        <is>
          <t>S02-H북</t>
        </is>
      </c>
      <c r="D103" s="47" t="n">
        <v>1</v>
      </c>
      <c r="E103" s="26" t="inlineStr">
        <is>
          <t>측정</t>
        </is>
      </c>
      <c r="F103" s="26" t="inlineStr">
        <is>
          <t>북</t>
        </is>
      </c>
      <c r="G103" s="31" t="n">
        <v>5</v>
      </c>
      <c r="H103" s="30" t="n"/>
      <c r="I103" s="43" t="n"/>
      <c r="J103" s="41" t="n"/>
      <c r="K103" s="41" t="n"/>
      <c r="L103" s="41" t="n"/>
      <c r="M103" s="31">
        <f>IF(COUNT(J103:L103)=0,"",MEDIAN(J103:L103))</f>
        <v/>
      </c>
      <c r="N103" s="26">
        <f>IF(COUNTIFS($C:$C,$C103,$D:$D,$D103,$E:$E,"P0(전)",$M:$M,"&gt;0")&lt;&gt;1,"P0(전) 유효 1개 아님",IF(COUNTIFS($C:$C,$C103,$D:$D,$D103,$E:$E,"P0(후)",$M:$M,"&gt;0")&lt;&gt;1,"P0(후) 유효 1개 아님",IF(NOT(AND(ISNUMBER(O103),ISNUMBER(Q103),ISNUMBER(I103))),"시각 결측",IF(Q103&lt;=O103,"P0 시각 역전",IF(OR(I103&lt;O103,I103&gt;Q103),"측정시각 구간 밖","OK")))))</f>
        <v/>
      </c>
      <c r="O103" s="48">
        <f>IF(COUNTIFS($C:$C,$C103,$D:$D,$D103,$E:$E,"P0(전)",$M:$M,"&gt;0")&lt;&gt;1,"",SUMIFS($I:$I,$C:$C,$C103,$D:$D,$D103,$E:$E,"P0(전)"))</f>
        <v/>
      </c>
      <c r="P103" s="31">
        <f>IF(COUNTIFS($C:$C,$C103,$D:$D,$D103,$E:$E,"P0(전)",$M:$M,"&gt;0")&lt;&gt;1,"",SUMIFS($M:$M,$C:$C,$C103,$D:$D,$D103,$E:$E,"P0(전)"))</f>
        <v/>
      </c>
      <c r="Q103" s="48">
        <f>IF(COUNTIFS($C:$C,$C103,$D:$D,$D103,$E:$E,"P0(후)",$M:$M,"&gt;0")&lt;&gt;1,"",SUMIFS($I:$I,$C:$C,$C103,$D:$D,$D103,$E:$E,"P0(후)"))</f>
        <v/>
      </c>
      <c r="R103" s="31">
        <f>IF(COUNTIFS($C:$C,$C103,$D:$D,$D103,$E:$E,"P0(후)",$M:$M,"&gt;0")&lt;&gt;1,"",SUMIFS($M:$M,$C:$C,$C103,$D:$D,$D103,$E:$E,"P0(후)"))</f>
        <v/>
      </c>
      <c r="S103" s="31">
        <f>IF(N103&lt;&gt;"OK","",P103+(R103-P103)*(I103-O103)/(Q103-O103))</f>
        <v/>
      </c>
      <c r="T103" s="31">
        <f>IF(OR(N103&lt;&gt;"OK",NOT(ISNUMBER(M103))),"",M103-S103)</f>
        <v/>
      </c>
      <c r="U103" s="49">
        <f>IF(OR(NOT(ISNUMBER(T103)),IF(ISNUMBER(H103),H103,G103)=0),"",T103/IF(ISNUMBER(H103),H103,G103))</f>
        <v/>
      </c>
      <c r="V103" s="49">
        <f>IF(ISNUMBER(U103),ABS(U103),"")</f>
        <v/>
      </c>
      <c r="W103" s="49">
        <f>IF(OR($E102&lt;&gt;"측정",$C102&lt;&gt;$C103,$D102&lt;&gt;$D103,NOT(ISNUMBER(M103)),NOT(ISNUMBER(M102)),(IF(ISNUMBER(H103),H103,G103)-IF(ISNUMBER(H102),H102,G102))=0),"",(M103-M102)/(IF(ISNUMBER(H103),H103,G103)-IF(ISNUMBER(H102),H102,G102)))</f>
        <v/>
      </c>
      <c r="X103" s="31">
        <f>IF(NOT(AND(ISNUMBER(O103),ISNUMBER(Q103))),"",(Q103-O103)*1440)</f>
        <v/>
      </c>
      <c r="Y103" s="29" t="n"/>
      <c r="Z103" s="29" t="n"/>
      <c r="AA103" s="29" t="n"/>
      <c r="AB103" s="32" t="n"/>
      <c r="AC103" s="32" t="n"/>
    </row>
    <row r="104">
      <c r="A104" s="26" t="inlineStr">
        <is>
          <t>S02</t>
        </is>
      </c>
      <c r="B104" s="26" t="inlineStr">
        <is>
          <t>임계 신규점1</t>
        </is>
      </c>
      <c r="C104" s="26" t="inlineStr">
        <is>
          <t>S02-H북</t>
        </is>
      </c>
      <c r="D104" s="47" t="n">
        <v>1</v>
      </c>
      <c r="E104" s="26" t="inlineStr">
        <is>
          <t>측정</t>
        </is>
      </c>
      <c r="F104" s="26" t="inlineStr">
        <is>
          <t>북</t>
        </is>
      </c>
      <c r="G104" s="31" t="n">
        <v>6</v>
      </c>
      <c r="H104" s="30" t="n"/>
      <c r="I104" s="43" t="n"/>
      <c r="J104" s="41" t="n"/>
      <c r="K104" s="41" t="n"/>
      <c r="L104" s="41" t="n"/>
      <c r="M104" s="31">
        <f>IF(COUNT(J104:L104)=0,"",MEDIAN(J104:L104))</f>
        <v/>
      </c>
      <c r="N104" s="26">
        <f>IF(COUNTIFS($C:$C,$C104,$D:$D,$D104,$E:$E,"P0(전)",$M:$M,"&gt;0")&lt;&gt;1,"P0(전) 유효 1개 아님",IF(COUNTIFS($C:$C,$C104,$D:$D,$D104,$E:$E,"P0(후)",$M:$M,"&gt;0")&lt;&gt;1,"P0(후) 유효 1개 아님",IF(NOT(AND(ISNUMBER(O104),ISNUMBER(Q104),ISNUMBER(I104))),"시각 결측",IF(Q104&lt;=O104,"P0 시각 역전",IF(OR(I104&lt;O104,I104&gt;Q104),"측정시각 구간 밖","OK")))))</f>
        <v/>
      </c>
      <c r="O104" s="48">
        <f>IF(COUNTIFS($C:$C,$C104,$D:$D,$D104,$E:$E,"P0(전)",$M:$M,"&gt;0")&lt;&gt;1,"",SUMIFS($I:$I,$C:$C,$C104,$D:$D,$D104,$E:$E,"P0(전)"))</f>
        <v/>
      </c>
      <c r="P104" s="31">
        <f>IF(COUNTIFS($C:$C,$C104,$D:$D,$D104,$E:$E,"P0(전)",$M:$M,"&gt;0")&lt;&gt;1,"",SUMIFS($M:$M,$C:$C,$C104,$D:$D,$D104,$E:$E,"P0(전)"))</f>
        <v/>
      </c>
      <c r="Q104" s="48">
        <f>IF(COUNTIFS($C:$C,$C104,$D:$D,$D104,$E:$E,"P0(후)",$M:$M,"&gt;0")&lt;&gt;1,"",SUMIFS($I:$I,$C:$C,$C104,$D:$D,$D104,$E:$E,"P0(후)"))</f>
        <v/>
      </c>
      <c r="R104" s="31">
        <f>IF(COUNTIFS($C:$C,$C104,$D:$D,$D104,$E:$E,"P0(후)",$M:$M,"&gt;0")&lt;&gt;1,"",SUMIFS($M:$M,$C:$C,$C104,$D:$D,$D104,$E:$E,"P0(후)"))</f>
        <v/>
      </c>
      <c r="S104" s="31">
        <f>IF(N104&lt;&gt;"OK","",P104+(R104-P104)*(I104-O104)/(Q104-O104))</f>
        <v/>
      </c>
      <c r="T104" s="31">
        <f>IF(OR(N104&lt;&gt;"OK",NOT(ISNUMBER(M104))),"",M104-S104)</f>
        <v/>
      </c>
      <c r="U104" s="49">
        <f>IF(OR(NOT(ISNUMBER(T104)),IF(ISNUMBER(H104),H104,G104)=0),"",T104/IF(ISNUMBER(H104),H104,G104))</f>
        <v/>
      </c>
      <c r="V104" s="49">
        <f>IF(ISNUMBER(U104),ABS(U104),"")</f>
        <v/>
      </c>
      <c r="W104" s="49">
        <f>IF(OR($E103&lt;&gt;"측정",$C103&lt;&gt;$C104,$D103&lt;&gt;$D104,NOT(ISNUMBER(M104)),NOT(ISNUMBER(M103)),(IF(ISNUMBER(H104),H104,G104)-IF(ISNUMBER(H103),H103,G103))=0),"",(M104-M103)/(IF(ISNUMBER(H104),H104,G104)-IF(ISNUMBER(H103),H103,G103)))</f>
        <v/>
      </c>
      <c r="X104" s="31">
        <f>IF(NOT(AND(ISNUMBER(O104),ISNUMBER(Q104))),"",(Q104-O104)*1440)</f>
        <v/>
      </c>
      <c r="Y104" s="29" t="n"/>
      <c r="Z104" s="29" t="n"/>
      <c r="AA104" s="29" t="n"/>
      <c r="AB104" s="32" t="n"/>
      <c r="AC104" s="32" t="n"/>
    </row>
    <row r="105">
      <c r="A105" s="26" t="inlineStr">
        <is>
          <t>S02</t>
        </is>
      </c>
      <c r="B105" s="26" t="inlineStr">
        <is>
          <t>임계 신규점1</t>
        </is>
      </c>
      <c r="C105" s="26" t="inlineStr">
        <is>
          <t>S02-H북</t>
        </is>
      </c>
      <c r="D105" s="47" t="n">
        <v>1</v>
      </c>
      <c r="E105" s="26" t="inlineStr">
        <is>
          <t>측정</t>
        </is>
      </c>
      <c r="F105" s="26" t="inlineStr">
        <is>
          <t>북</t>
        </is>
      </c>
      <c r="G105" s="31" t="n">
        <v>7</v>
      </c>
      <c r="H105" s="30" t="n"/>
      <c r="I105" s="43" t="n"/>
      <c r="J105" s="41" t="n"/>
      <c r="K105" s="41" t="n"/>
      <c r="L105" s="41" t="n"/>
      <c r="M105" s="31">
        <f>IF(COUNT(J105:L105)=0,"",MEDIAN(J105:L105))</f>
        <v/>
      </c>
      <c r="N105" s="26">
        <f>IF(COUNTIFS($C:$C,$C105,$D:$D,$D105,$E:$E,"P0(전)",$M:$M,"&gt;0")&lt;&gt;1,"P0(전) 유효 1개 아님",IF(COUNTIFS($C:$C,$C105,$D:$D,$D105,$E:$E,"P0(후)",$M:$M,"&gt;0")&lt;&gt;1,"P0(후) 유효 1개 아님",IF(NOT(AND(ISNUMBER(O105),ISNUMBER(Q105),ISNUMBER(I105))),"시각 결측",IF(Q105&lt;=O105,"P0 시각 역전",IF(OR(I105&lt;O105,I105&gt;Q105),"측정시각 구간 밖","OK")))))</f>
        <v/>
      </c>
      <c r="O105" s="48">
        <f>IF(COUNTIFS($C:$C,$C105,$D:$D,$D105,$E:$E,"P0(전)",$M:$M,"&gt;0")&lt;&gt;1,"",SUMIFS($I:$I,$C:$C,$C105,$D:$D,$D105,$E:$E,"P0(전)"))</f>
        <v/>
      </c>
      <c r="P105" s="31">
        <f>IF(COUNTIFS($C:$C,$C105,$D:$D,$D105,$E:$E,"P0(전)",$M:$M,"&gt;0")&lt;&gt;1,"",SUMIFS($M:$M,$C:$C,$C105,$D:$D,$D105,$E:$E,"P0(전)"))</f>
        <v/>
      </c>
      <c r="Q105" s="48">
        <f>IF(COUNTIFS($C:$C,$C105,$D:$D,$D105,$E:$E,"P0(후)",$M:$M,"&gt;0")&lt;&gt;1,"",SUMIFS($I:$I,$C:$C,$C105,$D:$D,$D105,$E:$E,"P0(후)"))</f>
        <v/>
      </c>
      <c r="R105" s="31">
        <f>IF(COUNTIFS($C:$C,$C105,$D:$D,$D105,$E:$E,"P0(후)",$M:$M,"&gt;0")&lt;&gt;1,"",SUMIFS($M:$M,$C:$C,$C105,$D:$D,$D105,$E:$E,"P0(후)"))</f>
        <v/>
      </c>
      <c r="S105" s="31">
        <f>IF(N105&lt;&gt;"OK","",P105+(R105-P105)*(I105-O105)/(Q105-O105))</f>
        <v/>
      </c>
      <c r="T105" s="31">
        <f>IF(OR(N105&lt;&gt;"OK",NOT(ISNUMBER(M105))),"",M105-S105)</f>
        <v/>
      </c>
      <c r="U105" s="49">
        <f>IF(OR(NOT(ISNUMBER(T105)),IF(ISNUMBER(H105),H105,G105)=0),"",T105/IF(ISNUMBER(H105),H105,G105))</f>
        <v/>
      </c>
      <c r="V105" s="49">
        <f>IF(ISNUMBER(U105),ABS(U105),"")</f>
        <v/>
      </c>
      <c r="W105" s="49">
        <f>IF(OR($E104&lt;&gt;"측정",$C104&lt;&gt;$C105,$D104&lt;&gt;$D105,NOT(ISNUMBER(M105)),NOT(ISNUMBER(M104)),(IF(ISNUMBER(H105),H105,G105)-IF(ISNUMBER(H104),H104,G104))=0),"",(M105-M104)/(IF(ISNUMBER(H105),H105,G105)-IF(ISNUMBER(H104),H104,G104)))</f>
        <v/>
      </c>
      <c r="X105" s="31">
        <f>IF(NOT(AND(ISNUMBER(O105),ISNUMBER(Q105))),"",(Q105-O105)*1440)</f>
        <v/>
      </c>
      <c r="Y105" s="29" t="n"/>
      <c r="Z105" s="29" t="n"/>
      <c r="AA105" s="29" t="n"/>
      <c r="AB105" s="32" t="n"/>
      <c r="AC105" s="32" t="n"/>
    </row>
    <row r="106">
      <c r="A106" s="26" t="inlineStr">
        <is>
          <t>S02</t>
        </is>
      </c>
      <c r="B106" s="26" t="inlineStr">
        <is>
          <t>임계 신규점1</t>
        </is>
      </c>
      <c r="C106" s="26" t="inlineStr">
        <is>
          <t>S02-H북</t>
        </is>
      </c>
      <c r="D106" s="47" t="n">
        <v>1</v>
      </c>
      <c r="E106" s="26" t="inlineStr">
        <is>
          <t>측정</t>
        </is>
      </c>
      <c r="F106" s="26" t="inlineStr">
        <is>
          <t>북</t>
        </is>
      </c>
      <c r="G106" s="31" t="n">
        <v>8</v>
      </c>
      <c r="H106" s="30" t="n"/>
      <c r="I106" s="43" t="n"/>
      <c r="J106" s="41" t="n"/>
      <c r="K106" s="41" t="n"/>
      <c r="L106" s="41" t="n"/>
      <c r="M106" s="31">
        <f>IF(COUNT(J106:L106)=0,"",MEDIAN(J106:L106))</f>
        <v/>
      </c>
      <c r="N106" s="26">
        <f>IF(COUNTIFS($C:$C,$C106,$D:$D,$D106,$E:$E,"P0(전)",$M:$M,"&gt;0")&lt;&gt;1,"P0(전) 유효 1개 아님",IF(COUNTIFS($C:$C,$C106,$D:$D,$D106,$E:$E,"P0(후)",$M:$M,"&gt;0")&lt;&gt;1,"P0(후) 유효 1개 아님",IF(NOT(AND(ISNUMBER(O106),ISNUMBER(Q106),ISNUMBER(I106))),"시각 결측",IF(Q106&lt;=O106,"P0 시각 역전",IF(OR(I106&lt;O106,I106&gt;Q106),"측정시각 구간 밖","OK")))))</f>
        <v/>
      </c>
      <c r="O106" s="48">
        <f>IF(COUNTIFS($C:$C,$C106,$D:$D,$D106,$E:$E,"P0(전)",$M:$M,"&gt;0")&lt;&gt;1,"",SUMIFS($I:$I,$C:$C,$C106,$D:$D,$D106,$E:$E,"P0(전)"))</f>
        <v/>
      </c>
      <c r="P106" s="31">
        <f>IF(COUNTIFS($C:$C,$C106,$D:$D,$D106,$E:$E,"P0(전)",$M:$M,"&gt;0")&lt;&gt;1,"",SUMIFS($M:$M,$C:$C,$C106,$D:$D,$D106,$E:$E,"P0(전)"))</f>
        <v/>
      </c>
      <c r="Q106" s="48">
        <f>IF(COUNTIFS($C:$C,$C106,$D:$D,$D106,$E:$E,"P0(후)",$M:$M,"&gt;0")&lt;&gt;1,"",SUMIFS($I:$I,$C:$C,$C106,$D:$D,$D106,$E:$E,"P0(후)"))</f>
        <v/>
      </c>
      <c r="R106" s="31">
        <f>IF(COUNTIFS($C:$C,$C106,$D:$D,$D106,$E:$E,"P0(후)",$M:$M,"&gt;0")&lt;&gt;1,"",SUMIFS($M:$M,$C:$C,$C106,$D:$D,$D106,$E:$E,"P0(후)"))</f>
        <v/>
      </c>
      <c r="S106" s="31">
        <f>IF(N106&lt;&gt;"OK","",P106+(R106-P106)*(I106-O106)/(Q106-O106))</f>
        <v/>
      </c>
      <c r="T106" s="31">
        <f>IF(OR(N106&lt;&gt;"OK",NOT(ISNUMBER(M106))),"",M106-S106)</f>
        <v/>
      </c>
      <c r="U106" s="49">
        <f>IF(OR(NOT(ISNUMBER(T106)),IF(ISNUMBER(H106),H106,G106)=0),"",T106/IF(ISNUMBER(H106),H106,G106))</f>
        <v/>
      </c>
      <c r="V106" s="49">
        <f>IF(ISNUMBER(U106),ABS(U106),"")</f>
        <v/>
      </c>
      <c r="W106" s="49">
        <f>IF(OR($E105&lt;&gt;"측정",$C105&lt;&gt;$C106,$D105&lt;&gt;$D106,NOT(ISNUMBER(M106)),NOT(ISNUMBER(M105)),(IF(ISNUMBER(H106),H106,G106)-IF(ISNUMBER(H105),H105,G105))=0),"",(M106-M105)/(IF(ISNUMBER(H106),H106,G106)-IF(ISNUMBER(H105),H105,G105)))</f>
        <v/>
      </c>
      <c r="X106" s="31">
        <f>IF(NOT(AND(ISNUMBER(O106),ISNUMBER(Q106))),"",(Q106-O106)*1440)</f>
        <v/>
      </c>
      <c r="Y106" s="29" t="n"/>
      <c r="Z106" s="29" t="n"/>
      <c r="AA106" s="29" t="n"/>
      <c r="AB106" s="32" t="n"/>
      <c r="AC106" s="32" t="n"/>
    </row>
    <row r="107">
      <c r="A107" s="26" t="inlineStr">
        <is>
          <t>S02</t>
        </is>
      </c>
      <c r="B107" s="26" t="inlineStr">
        <is>
          <t>임계 신규점1</t>
        </is>
      </c>
      <c r="C107" s="26" t="inlineStr">
        <is>
          <t>S02-H북</t>
        </is>
      </c>
      <c r="D107" s="47" t="n">
        <v>1</v>
      </c>
      <c r="E107" s="26" t="inlineStr">
        <is>
          <t>측정</t>
        </is>
      </c>
      <c r="F107" s="26" t="inlineStr">
        <is>
          <t>북</t>
        </is>
      </c>
      <c r="G107" s="31" t="n">
        <v>9</v>
      </c>
      <c r="H107" s="30" t="n"/>
      <c r="I107" s="43" t="n"/>
      <c r="J107" s="41" t="n"/>
      <c r="K107" s="41" t="n"/>
      <c r="L107" s="41" t="n"/>
      <c r="M107" s="31">
        <f>IF(COUNT(J107:L107)=0,"",MEDIAN(J107:L107))</f>
        <v/>
      </c>
      <c r="N107" s="26">
        <f>IF(COUNTIFS($C:$C,$C107,$D:$D,$D107,$E:$E,"P0(전)",$M:$M,"&gt;0")&lt;&gt;1,"P0(전) 유효 1개 아님",IF(COUNTIFS($C:$C,$C107,$D:$D,$D107,$E:$E,"P0(후)",$M:$M,"&gt;0")&lt;&gt;1,"P0(후) 유효 1개 아님",IF(NOT(AND(ISNUMBER(O107),ISNUMBER(Q107),ISNUMBER(I107))),"시각 결측",IF(Q107&lt;=O107,"P0 시각 역전",IF(OR(I107&lt;O107,I107&gt;Q107),"측정시각 구간 밖","OK")))))</f>
        <v/>
      </c>
      <c r="O107" s="48">
        <f>IF(COUNTIFS($C:$C,$C107,$D:$D,$D107,$E:$E,"P0(전)",$M:$M,"&gt;0")&lt;&gt;1,"",SUMIFS($I:$I,$C:$C,$C107,$D:$D,$D107,$E:$E,"P0(전)"))</f>
        <v/>
      </c>
      <c r="P107" s="31">
        <f>IF(COUNTIFS($C:$C,$C107,$D:$D,$D107,$E:$E,"P0(전)",$M:$M,"&gt;0")&lt;&gt;1,"",SUMIFS($M:$M,$C:$C,$C107,$D:$D,$D107,$E:$E,"P0(전)"))</f>
        <v/>
      </c>
      <c r="Q107" s="48">
        <f>IF(COUNTIFS($C:$C,$C107,$D:$D,$D107,$E:$E,"P0(후)",$M:$M,"&gt;0")&lt;&gt;1,"",SUMIFS($I:$I,$C:$C,$C107,$D:$D,$D107,$E:$E,"P0(후)"))</f>
        <v/>
      </c>
      <c r="R107" s="31">
        <f>IF(COUNTIFS($C:$C,$C107,$D:$D,$D107,$E:$E,"P0(후)",$M:$M,"&gt;0")&lt;&gt;1,"",SUMIFS($M:$M,$C:$C,$C107,$D:$D,$D107,$E:$E,"P0(후)"))</f>
        <v/>
      </c>
      <c r="S107" s="31">
        <f>IF(N107&lt;&gt;"OK","",P107+(R107-P107)*(I107-O107)/(Q107-O107))</f>
        <v/>
      </c>
      <c r="T107" s="31">
        <f>IF(OR(N107&lt;&gt;"OK",NOT(ISNUMBER(M107))),"",M107-S107)</f>
        <v/>
      </c>
      <c r="U107" s="49">
        <f>IF(OR(NOT(ISNUMBER(T107)),IF(ISNUMBER(H107),H107,G107)=0),"",T107/IF(ISNUMBER(H107),H107,G107))</f>
        <v/>
      </c>
      <c r="V107" s="49">
        <f>IF(ISNUMBER(U107),ABS(U107),"")</f>
        <v/>
      </c>
      <c r="W107" s="49">
        <f>IF(OR($E106&lt;&gt;"측정",$C106&lt;&gt;$C107,$D106&lt;&gt;$D107,NOT(ISNUMBER(M107)),NOT(ISNUMBER(M106)),(IF(ISNUMBER(H107),H107,G107)-IF(ISNUMBER(H106),H106,G106))=0),"",(M107-M106)/(IF(ISNUMBER(H107),H107,G107)-IF(ISNUMBER(H106),H106,G106)))</f>
        <v/>
      </c>
      <c r="X107" s="31">
        <f>IF(NOT(AND(ISNUMBER(O107),ISNUMBER(Q107))),"",(Q107-O107)*1440)</f>
        <v/>
      </c>
      <c r="Y107" s="29" t="n"/>
      <c r="Z107" s="29" t="n"/>
      <c r="AA107" s="29" t="n"/>
      <c r="AB107" s="32" t="n"/>
      <c r="AC107" s="32" t="n"/>
    </row>
    <row r="108">
      <c r="A108" s="26" t="inlineStr">
        <is>
          <t>S02</t>
        </is>
      </c>
      <c r="B108" s="26" t="inlineStr">
        <is>
          <t>임계 신규점1</t>
        </is>
      </c>
      <c r="C108" s="26" t="inlineStr">
        <is>
          <t>S02-H북</t>
        </is>
      </c>
      <c r="D108" s="47" t="n">
        <v>1</v>
      </c>
      <c r="E108" s="26" t="inlineStr">
        <is>
          <t>측정</t>
        </is>
      </c>
      <c r="F108" s="26" t="inlineStr">
        <is>
          <t>북</t>
        </is>
      </c>
      <c r="G108" s="31" t="n">
        <v>10</v>
      </c>
      <c r="H108" s="30" t="n"/>
      <c r="I108" s="43" t="n"/>
      <c r="J108" s="41" t="n"/>
      <c r="K108" s="41" t="n"/>
      <c r="L108" s="41" t="n"/>
      <c r="M108" s="31">
        <f>IF(COUNT(J108:L108)=0,"",MEDIAN(J108:L108))</f>
        <v/>
      </c>
      <c r="N108" s="26">
        <f>IF(COUNTIFS($C:$C,$C108,$D:$D,$D108,$E:$E,"P0(전)",$M:$M,"&gt;0")&lt;&gt;1,"P0(전) 유효 1개 아님",IF(COUNTIFS($C:$C,$C108,$D:$D,$D108,$E:$E,"P0(후)",$M:$M,"&gt;0")&lt;&gt;1,"P0(후) 유효 1개 아님",IF(NOT(AND(ISNUMBER(O108),ISNUMBER(Q108),ISNUMBER(I108))),"시각 결측",IF(Q108&lt;=O108,"P0 시각 역전",IF(OR(I108&lt;O108,I108&gt;Q108),"측정시각 구간 밖","OK")))))</f>
        <v/>
      </c>
      <c r="O108" s="48">
        <f>IF(COUNTIFS($C:$C,$C108,$D:$D,$D108,$E:$E,"P0(전)",$M:$M,"&gt;0")&lt;&gt;1,"",SUMIFS($I:$I,$C:$C,$C108,$D:$D,$D108,$E:$E,"P0(전)"))</f>
        <v/>
      </c>
      <c r="P108" s="31">
        <f>IF(COUNTIFS($C:$C,$C108,$D:$D,$D108,$E:$E,"P0(전)",$M:$M,"&gt;0")&lt;&gt;1,"",SUMIFS($M:$M,$C:$C,$C108,$D:$D,$D108,$E:$E,"P0(전)"))</f>
        <v/>
      </c>
      <c r="Q108" s="48">
        <f>IF(COUNTIFS($C:$C,$C108,$D:$D,$D108,$E:$E,"P0(후)",$M:$M,"&gt;0")&lt;&gt;1,"",SUMIFS($I:$I,$C:$C,$C108,$D:$D,$D108,$E:$E,"P0(후)"))</f>
        <v/>
      </c>
      <c r="R108" s="31">
        <f>IF(COUNTIFS($C:$C,$C108,$D:$D,$D108,$E:$E,"P0(후)",$M:$M,"&gt;0")&lt;&gt;1,"",SUMIFS($M:$M,$C:$C,$C108,$D:$D,$D108,$E:$E,"P0(후)"))</f>
        <v/>
      </c>
      <c r="S108" s="31">
        <f>IF(N108&lt;&gt;"OK","",P108+(R108-P108)*(I108-O108)/(Q108-O108))</f>
        <v/>
      </c>
      <c r="T108" s="31">
        <f>IF(OR(N108&lt;&gt;"OK",NOT(ISNUMBER(M108))),"",M108-S108)</f>
        <v/>
      </c>
      <c r="U108" s="49">
        <f>IF(OR(NOT(ISNUMBER(T108)),IF(ISNUMBER(H108),H108,G108)=0),"",T108/IF(ISNUMBER(H108),H108,G108))</f>
        <v/>
      </c>
      <c r="V108" s="49">
        <f>IF(ISNUMBER(U108),ABS(U108),"")</f>
        <v/>
      </c>
      <c r="W108" s="49">
        <f>IF(OR($E107&lt;&gt;"측정",$C107&lt;&gt;$C108,$D107&lt;&gt;$D108,NOT(ISNUMBER(M108)),NOT(ISNUMBER(M107)),(IF(ISNUMBER(H108),H108,G108)-IF(ISNUMBER(H107),H107,G107))=0),"",(M108-M107)/(IF(ISNUMBER(H108),H108,G108)-IF(ISNUMBER(H107),H107,G107)))</f>
        <v/>
      </c>
      <c r="X108" s="31">
        <f>IF(NOT(AND(ISNUMBER(O108),ISNUMBER(Q108))),"",(Q108-O108)*1440)</f>
        <v/>
      </c>
      <c r="Y108" s="29" t="n"/>
      <c r="Z108" s="29" t="n"/>
      <c r="AA108" s="29" t="n"/>
      <c r="AB108" s="32" t="n"/>
      <c r="AC108" s="32" t="n"/>
    </row>
    <row r="109">
      <c r="A109" s="44" t="inlineStr">
        <is>
          <t>S02</t>
        </is>
      </c>
      <c r="B109" s="44" t="inlineStr">
        <is>
          <t>임계 신규점1</t>
        </is>
      </c>
      <c r="C109" s="44" t="inlineStr">
        <is>
          <t>S02-H북</t>
        </is>
      </c>
      <c r="D109" s="45" t="n">
        <v>1</v>
      </c>
      <c r="E109" s="44" t="inlineStr">
        <is>
          <t>P0(후)</t>
        </is>
      </c>
      <c r="F109" s="44" t="inlineStr">
        <is>
          <t>북</t>
        </is>
      </c>
      <c r="G109" s="46" t="n"/>
      <c r="H109" s="30" t="n"/>
      <c r="I109" s="43" t="n"/>
      <c r="J109" s="41" t="n"/>
      <c r="K109" s="41" t="n"/>
      <c r="L109" s="41" t="n"/>
      <c r="M109" s="31">
        <f>IF(COUNT(J109:L109)=0,"",MEDIAN(J109:L109))</f>
        <v/>
      </c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29" t="n"/>
      <c r="Z109" s="29" t="n"/>
      <c r="AA109" s="29" t="n"/>
      <c r="AB109" s="32" t="n"/>
      <c r="AC109" s="32" t="n"/>
    </row>
    <row r="110">
      <c r="A110" s="44" t="inlineStr">
        <is>
          <t>S03</t>
        </is>
      </c>
      <c r="B110" s="44" t="inlineStr">
        <is>
          <t>예산 신규점2</t>
        </is>
      </c>
      <c r="C110" s="44" t="inlineStr">
        <is>
          <t>S03-H동</t>
        </is>
      </c>
      <c r="D110" s="45" t="n">
        <v>1</v>
      </c>
      <c r="E110" s="44" t="inlineStr">
        <is>
          <t>P0(전)</t>
        </is>
      </c>
      <c r="F110" s="44" t="inlineStr">
        <is>
          <t>동</t>
        </is>
      </c>
      <c r="G110" s="46" t="n"/>
      <c r="H110" s="30" t="n"/>
      <c r="I110" s="43" t="n"/>
      <c r="J110" s="41" t="n"/>
      <c r="K110" s="41" t="n"/>
      <c r="L110" s="41" t="n"/>
      <c r="M110" s="31">
        <f>IF(COUNT(J110:L110)=0,"",MEDIAN(J110:L110))</f>
        <v/>
      </c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29" t="n"/>
      <c r="Z110" s="29" t="n"/>
      <c r="AA110" s="29" t="n"/>
      <c r="AB110" s="32" t="n"/>
      <c r="AC110" s="32" t="n"/>
    </row>
    <row r="111">
      <c r="A111" s="26" t="inlineStr">
        <is>
          <t>S03</t>
        </is>
      </c>
      <c r="B111" s="26" t="inlineStr">
        <is>
          <t>예산 신규점2</t>
        </is>
      </c>
      <c r="C111" s="26" t="inlineStr">
        <is>
          <t>S03-H동</t>
        </is>
      </c>
      <c r="D111" s="47" t="n">
        <v>1</v>
      </c>
      <c r="E111" s="26" t="inlineStr">
        <is>
          <t>측정</t>
        </is>
      </c>
      <c r="F111" s="26" t="inlineStr">
        <is>
          <t>동</t>
        </is>
      </c>
      <c r="G111" s="31" t="n">
        <v>0.5</v>
      </c>
      <c r="H111" s="30" t="n"/>
      <c r="I111" s="43" t="n"/>
      <c r="J111" s="41" t="n"/>
      <c r="K111" s="41" t="n"/>
      <c r="L111" s="41" t="n"/>
      <c r="M111" s="31">
        <f>IF(COUNT(J111:L111)=0,"",MEDIAN(J111:L111))</f>
        <v/>
      </c>
      <c r="N111" s="26">
        <f>IF(COUNTIFS($C:$C,$C111,$D:$D,$D111,$E:$E,"P0(전)",$M:$M,"&gt;0")&lt;&gt;1,"P0(전) 유효 1개 아님",IF(COUNTIFS($C:$C,$C111,$D:$D,$D111,$E:$E,"P0(후)",$M:$M,"&gt;0")&lt;&gt;1,"P0(후) 유효 1개 아님",IF(NOT(AND(ISNUMBER(O111),ISNUMBER(Q111),ISNUMBER(I111))),"시각 결측",IF(Q111&lt;=O111,"P0 시각 역전",IF(OR(I111&lt;O111,I111&gt;Q111),"측정시각 구간 밖","OK")))))</f>
        <v/>
      </c>
      <c r="O111" s="48">
        <f>IF(COUNTIFS($C:$C,$C111,$D:$D,$D111,$E:$E,"P0(전)",$M:$M,"&gt;0")&lt;&gt;1,"",SUMIFS($I:$I,$C:$C,$C111,$D:$D,$D111,$E:$E,"P0(전)"))</f>
        <v/>
      </c>
      <c r="P111" s="31">
        <f>IF(COUNTIFS($C:$C,$C111,$D:$D,$D111,$E:$E,"P0(전)",$M:$M,"&gt;0")&lt;&gt;1,"",SUMIFS($M:$M,$C:$C,$C111,$D:$D,$D111,$E:$E,"P0(전)"))</f>
        <v/>
      </c>
      <c r="Q111" s="48">
        <f>IF(COUNTIFS($C:$C,$C111,$D:$D,$D111,$E:$E,"P0(후)",$M:$M,"&gt;0")&lt;&gt;1,"",SUMIFS($I:$I,$C:$C,$C111,$D:$D,$D111,$E:$E,"P0(후)"))</f>
        <v/>
      </c>
      <c r="R111" s="31">
        <f>IF(COUNTIFS($C:$C,$C111,$D:$D,$D111,$E:$E,"P0(후)",$M:$M,"&gt;0")&lt;&gt;1,"",SUMIFS($M:$M,$C:$C,$C111,$D:$D,$D111,$E:$E,"P0(후)"))</f>
        <v/>
      </c>
      <c r="S111" s="31">
        <f>IF(N111&lt;&gt;"OK","",P111+(R111-P111)*(I111-O111)/(Q111-O111))</f>
        <v/>
      </c>
      <c r="T111" s="31">
        <f>IF(OR(N111&lt;&gt;"OK",NOT(ISNUMBER(M111))),"",M111-S111)</f>
        <v/>
      </c>
      <c r="U111" s="49">
        <f>IF(OR(NOT(ISNUMBER(T111)),IF(ISNUMBER(H111),H111,G111)=0),"",T111/IF(ISNUMBER(H111),H111,G111))</f>
        <v/>
      </c>
      <c r="V111" s="49">
        <f>IF(ISNUMBER(U111),ABS(U111),"")</f>
        <v/>
      </c>
      <c r="W111" s="49">
        <f>IF(OR($E110&lt;&gt;"측정",$C110&lt;&gt;$C111,$D110&lt;&gt;$D111,NOT(ISNUMBER(M111)),NOT(ISNUMBER(M110)),(IF(ISNUMBER(H111),H111,G111)-IF(ISNUMBER(H110),H110,G110))=0),"",(M111-M110)/(IF(ISNUMBER(H111),H111,G111)-IF(ISNUMBER(H110),H110,G110)))</f>
        <v/>
      </c>
      <c r="X111" s="31">
        <f>IF(NOT(AND(ISNUMBER(O111),ISNUMBER(Q111))),"",(Q111-O111)*1440)</f>
        <v/>
      </c>
      <c r="Y111" s="29" t="n"/>
      <c r="Z111" s="29" t="n"/>
      <c r="AA111" s="29" t="n"/>
      <c r="AB111" s="32" t="n"/>
      <c r="AC111" s="32" t="n"/>
    </row>
    <row r="112">
      <c r="A112" s="26" t="inlineStr">
        <is>
          <t>S03</t>
        </is>
      </c>
      <c r="B112" s="26" t="inlineStr">
        <is>
          <t>예산 신규점2</t>
        </is>
      </c>
      <c r="C112" s="26" t="inlineStr">
        <is>
          <t>S03-H동</t>
        </is>
      </c>
      <c r="D112" s="47" t="n">
        <v>1</v>
      </c>
      <c r="E112" s="26" t="inlineStr">
        <is>
          <t>측정</t>
        </is>
      </c>
      <c r="F112" s="26" t="inlineStr">
        <is>
          <t>동</t>
        </is>
      </c>
      <c r="G112" s="31" t="n">
        <v>1</v>
      </c>
      <c r="H112" s="30" t="n"/>
      <c r="I112" s="43" t="n"/>
      <c r="J112" s="41" t="n"/>
      <c r="K112" s="41" t="n"/>
      <c r="L112" s="41" t="n"/>
      <c r="M112" s="31">
        <f>IF(COUNT(J112:L112)=0,"",MEDIAN(J112:L112))</f>
        <v/>
      </c>
      <c r="N112" s="26">
        <f>IF(COUNTIFS($C:$C,$C112,$D:$D,$D112,$E:$E,"P0(전)",$M:$M,"&gt;0")&lt;&gt;1,"P0(전) 유효 1개 아님",IF(COUNTIFS($C:$C,$C112,$D:$D,$D112,$E:$E,"P0(후)",$M:$M,"&gt;0")&lt;&gt;1,"P0(후) 유효 1개 아님",IF(NOT(AND(ISNUMBER(O112),ISNUMBER(Q112),ISNUMBER(I112))),"시각 결측",IF(Q112&lt;=O112,"P0 시각 역전",IF(OR(I112&lt;O112,I112&gt;Q112),"측정시각 구간 밖","OK")))))</f>
        <v/>
      </c>
      <c r="O112" s="48">
        <f>IF(COUNTIFS($C:$C,$C112,$D:$D,$D112,$E:$E,"P0(전)",$M:$M,"&gt;0")&lt;&gt;1,"",SUMIFS($I:$I,$C:$C,$C112,$D:$D,$D112,$E:$E,"P0(전)"))</f>
        <v/>
      </c>
      <c r="P112" s="31">
        <f>IF(COUNTIFS($C:$C,$C112,$D:$D,$D112,$E:$E,"P0(전)",$M:$M,"&gt;0")&lt;&gt;1,"",SUMIFS($M:$M,$C:$C,$C112,$D:$D,$D112,$E:$E,"P0(전)"))</f>
        <v/>
      </c>
      <c r="Q112" s="48">
        <f>IF(COUNTIFS($C:$C,$C112,$D:$D,$D112,$E:$E,"P0(후)",$M:$M,"&gt;0")&lt;&gt;1,"",SUMIFS($I:$I,$C:$C,$C112,$D:$D,$D112,$E:$E,"P0(후)"))</f>
        <v/>
      </c>
      <c r="R112" s="31">
        <f>IF(COUNTIFS($C:$C,$C112,$D:$D,$D112,$E:$E,"P0(후)",$M:$M,"&gt;0")&lt;&gt;1,"",SUMIFS($M:$M,$C:$C,$C112,$D:$D,$D112,$E:$E,"P0(후)"))</f>
        <v/>
      </c>
      <c r="S112" s="31">
        <f>IF(N112&lt;&gt;"OK","",P112+(R112-P112)*(I112-O112)/(Q112-O112))</f>
        <v/>
      </c>
      <c r="T112" s="31">
        <f>IF(OR(N112&lt;&gt;"OK",NOT(ISNUMBER(M112))),"",M112-S112)</f>
        <v/>
      </c>
      <c r="U112" s="49">
        <f>IF(OR(NOT(ISNUMBER(T112)),IF(ISNUMBER(H112),H112,G112)=0),"",T112/IF(ISNUMBER(H112),H112,G112))</f>
        <v/>
      </c>
      <c r="V112" s="49">
        <f>IF(ISNUMBER(U112),ABS(U112),"")</f>
        <v/>
      </c>
      <c r="W112" s="49">
        <f>IF(OR($E111&lt;&gt;"측정",$C111&lt;&gt;$C112,$D111&lt;&gt;$D112,NOT(ISNUMBER(M112)),NOT(ISNUMBER(M111)),(IF(ISNUMBER(H112),H112,G112)-IF(ISNUMBER(H111),H111,G111))=0),"",(M112-M111)/(IF(ISNUMBER(H112),H112,G112)-IF(ISNUMBER(H111),H111,G111)))</f>
        <v/>
      </c>
      <c r="X112" s="31">
        <f>IF(NOT(AND(ISNUMBER(O112),ISNUMBER(Q112))),"",(Q112-O112)*1440)</f>
        <v/>
      </c>
      <c r="Y112" s="29" t="n"/>
      <c r="Z112" s="29" t="n"/>
      <c r="AA112" s="29" t="n"/>
      <c r="AB112" s="32" t="n"/>
      <c r="AC112" s="32" t="n"/>
    </row>
    <row r="113">
      <c r="A113" s="26" t="inlineStr">
        <is>
          <t>S03</t>
        </is>
      </c>
      <c r="B113" s="26" t="inlineStr">
        <is>
          <t>예산 신규점2</t>
        </is>
      </c>
      <c r="C113" s="26" t="inlineStr">
        <is>
          <t>S03-H동</t>
        </is>
      </c>
      <c r="D113" s="47" t="n">
        <v>1</v>
      </c>
      <c r="E113" s="26" t="inlineStr">
        <is>
          <t>측정</t>
        </is>
      </c>
      <c r="F113" s="26" t="inlineStr">
        <is>
          <t>동</t>
        </is>
      </c>
      <c r="G113" s="31" t="n">
        <v>2</v>
      </c>
      <c r="H113" s="30" t="n"/>
      <c r="I113" s="43" t="n"/>
      <c r="J113" s="41" t="n"/>
      <c r="K113" s="41" t="n"/>
      <c r="L113" s="41" t="n"/>
      <c r="M113" s="31">
        <f>IF(COUNT(J113:L113)=0,"",MEDIAN(J113:L113))</f>
        <v/>
      </c>
      <c r="N113" s="26">
        <f>IF(COUNTIFS($C:$C,$C113,$D:$D,$D113,$E:$E,"P0(전)",$M:$M,"&gt;0")&lt;&gt;1,"P0(전) 유효 1개 아님",IF(COUNTIFS($C:$C,$C113,$D:$D,$D113,$E:$E,"P0(후)",$M:$M,"&gt;0")&lt;&gt;1,"P0(후) 유효 1개 아님",IF(NOT(AND(ISNUMBER(O113),ISNUMBER(Q113),ISNUMBER(I113))),"시각 결측",IF(Q113&lt;=O113,"P0 시각 역전",IF(OR(I113&lt;O113,I113&gt;Q113),"측정시각 구간 밖","OK")))))</f>
        <v/>
      </c>
      <c r="O113" s="48">
        <f>IF(COUNTIFS($C:$C,$C113,$D:$D,$D113,$E:$E,"P0(전)",$M:$M,"&gt;0")&lt;&gt;1,"",SUMIFS($I:$I,$C:$C,$C113,$D:$D,$D113,$E:$E,"P0(전)"))</f>
        <v/>
      </c>
      <c r="P113" s="31">
        <f>IF(COUNTIFS($C:$C,$C113,$D:$D,$D113,$E:$E,"P0(전)",$M:$M,"&gt;0")&lt;&gt;1,"",SUMIFS($M:$M,$C:$C,$C113,$D:$D,$D113,$E:$E,"P0(전)"))</f>
        <v/>
      </c>
      <c r="Q113" s="48">
        <f>IF(COUNTIFS($C:$C,$C113,$D:$D,$D113,$E:$E,"P0(후)",$M:$M,"&gt;0")&lt;&gt;1,"",SUMIFS($I:$I,$C:$C,$C113,$D:$D,$D113,$E:$E,"P0(후)"))</f>
        <v/>
      </c>
      <c r="R113" s="31">
        <f>IF(COUNTIFS($C:$C,$C113,$D:$D,$D113,$E:$E,"P0(후)",$M:$M,"&gt;0")&lt;&gt;1,"",SUMIFS($M:$M,$C:$C,$C113,$D:$D,$D113,$E:$E,"P0(후)"))</f>
        <v/>
      </c>
      <c r="S113" s="31">
        <f>IF(N113&lt;&gt;"OK","",P113+(R113-P113)*(I113-O113)/(Q113-O113))</f>
        <v/>
      </c>
      <c r="T113" s="31">
        <f>IF(OR(N113&lt;&gt;"OK",NOT(ISNUMBER(M113))),"",M113-S113)</f>
        <v/>
      </c>
      <c r="U113" s="49">
        <f>IF(OR(NOT(ISNUMBER(T113)),IF(ISNUMBER(H113),H113,G113)=0),"",T113/IF(ISNUMBER(H113),H113,G113))</f>
        <v/>
      </c>
      <c r="V113" s="49">
        <f>IF(ISNUMBER(U113),ABS(U113),"")</f>
        <v/>
      </c>
      <c r="W113" s="49">
        <f>IF(OR($E112&lt;&gt;"측정",$C112&lt;&gt;$C113,$D112&lt;&gt;$D113,NOT(ISNUMBER(M113)),NOT(ISNUMBER(M112)),(IF(ISNUMBER(H113),H113,G113)-IF(ISNUMBER(H112),H112,G112))=0),"",(M113-M112)/(IF(ISNUMBER(H113),H113,G113)-IF(ISNUMBER(H112),H112,G112)))</f>
        <v/>
      </c>
      <c r="X113" s="31">
        <f>IF(NOT(AND(ISNUMBER(O113),ISNUMBER(Q113))),"",(Q113-O113)*1440)</f>
        <v/>
      </c>
      <c r="Y113" s="29" t="n"/>
      <c r="Z113" s="29" t="n"/>
      <c r="AA113" s="29" t="n"/>
      <c r="AB113" s="32" t="n"/>
      <c r="AC113" s="32" t="n"/>
    </row>
    <row r="114">
      <c r="A114" s="26" t="inlineStr">
        <is>
          <t>S03</t>
        </is>
      </c>
      <c r="B114" s="26" t="inlineStr">
        <is>
          <t>예산 신규점2</t>
        </is>
      </c>
      <c r="C114" s="26" t="inlineStr">
        <is>
          <t>S03-H동</t>
        </is>
      </c>
      <c r="D114" s="47" t="n">
        <v>1</v>
      </c>
      <c r="E114" s="26" t="inlineStr">
        <is>
          <t>측정</t>
        </is>
      </c>
      <c r="F114" s="26" t="inlineStr">
        <is>
          <t>동</t>
        </is>
      </c>
      <c r="G114" s="31" t="n">
        <v>3</v>
      </c>
      <c r="H114" s="30" t="n"/>
      <c r="I114" s="43" t="n"/>
      <c r="J114" s="41" t="n"/>
      <c r="K114" s="41" t="n"/>
      <c r="L114" s="41" t="n"/>
      <c r="M114" s="31">
        <f>IF(COUNT(J114:L114)=0,"",MEDIAN(J114:L114))</f>
        <v/>
      </c>
      <c r="N114" s="26">
        <f>IF(COUNTIFS($C:$C,$C114,$D:$D,$D114,$E:$E,"P0(전)",$M:$M,"&gt;0")&lt;&gt;1,"P0(전) 유효 1개 아님",IF(COUNTIFS($C:$C,$C114,$D:$D,$D114,$E:$E,"P0(후)",$M:$M,"&gt;0")&lt;&gt;1,"P0(후) 유효 1개 아님",IF(NOT(AND(ISNUMBER(O114),ISNUMBER(Q114),ISNUMBER(I114))),"시각 결측",IF(Q114&lt;=O114,"P0 시각 역전",IF(OR(I114&lt;O114,I114&gt;Q114),"측정시각 구간 밖","OK")))))</f>
        <v/>
      </c>
      <c r="O114" s="48">
        <f>IF(COUNTIFS($C:$C,$C114,$D:$D,$D114,$E:$E,"P0(전)",$M:$M,"&gt;0")&lt;&gt;1,"",SUMIFS($I:$I,$C:$C,$C114,$D:$D,$D114,$E:$E,"P0(전)"))</f>
        <v/>
      </c>
      <c r="P114" s="31">
        <f>IF(COUNTIFS($C:$C,$C114,$D:$D,$D114,$E:$E,"P0(전)",$M:$M,"&gt;0")&lt;&gt;1,"",SUMIFS($M:$M,$C:$C,$C114,$D:$D,$D114,$E:$E,"P0(전)"))</f>
        <v/>
      </c>
      <c r="Q114" s="48">
        <f>IF(COUNTIFS($C:$C,$C114,$D:$D,$D114,$E:$E,"P0(후)",$M:$M,"&gt;0")&lt;&gt;1,"",SUMIFS($I:$I,$C:$C,$C114,$D:$D,$D114,$E:$E,"P0(후)"))</f>
        <v/>
      </c>
      <c r="R114" s="31">
        <f>IF(COUNTIFS($C:$C,$C114,$D:$D,$D114,$E:$E,"P0(후)",$M:$M,"&gt;0")&lt;&gt;1,"",SUMIFS($M:$M,$C:$C,$C114,$D:$D,$D114,$E:$E,"P0(후)"))</f>
        <v/>
      </c>
      <c r="S114" s="31">
        <f>IF(N114&lt;&gt;"OK","",P114+(R114-P114)*(I114-O114)/(Q114-O114))</f>
        <v/>
      </c>
      <c r="T114" s="31">
        <f>IF(OR(N114&lt;&gt;"OK",NOT(ISNUMBER(M114))),"",M114-S114)</f>
        <v/>
      </c>
      <c r="U114" s="49">
        <f>IF(OR(NOT(ISNUMBER(T114)),IF(ISNUMBER(H114),H114,G114)=0),"",T114/IF(ISNUMBER(H114),H114,G114))</f>
        <v/>
      </c>
      <c r="V114" s="49">
        <f>IF(ISNUMBER(U114),ABS(U114),"")</f>
        <v/>
      </c>
      <c r="W114" s="49">
        <f>IF(OR($E113&lt;&gt;"측정",$C113&lt;&gt;$C114,$D113&lt;&gt;$D114,NOT(ISNUMBER(M114)),NOT(ISNUMBER(M113)),(IF(ISNUMBER(H114),H114,G114)-IF(ISNUMBER(H113),H113,G113))=0),"",(M114-M113)/(IF(ISNUMBER(H114),H114,G114)-IF(ISNUMBER(H113),H113,G113)))</f>
        <v/>
      </c>
      <c r="X114" s="31">
        <f>IF(NOT(AND(ISNUMBER(O114),ISNUMBER(Q114))),"",(Q114-O114)*1440)</f>
        <v/>
      </c>
      <c r="Y114" s="29" t="n"/>
      <c r="Z114" s="29" t="n"/>
      <c r="AA114" s="29" t="n"/>
      <c r="AB114" s="32" t="n"/>
      <c r="AC114" s="32" t="n"/>
    </row>
    <row r="115">
      <c r="A115" s="26" t="inlineStr">
        <is>
          <t>S03</t>
        </is>
      </c>
      <c r="B115" s="26" t="inlineStr">
        <is>
          <t>예산 신규점2</t>
        </is>
      </c>
      <c r="C115" s="26" t="inlineStr">
        <is>
          <t>S03-H동</t>
        </is>
      </c>
      <c r="D115" s="47" t="n">
        <v>1</v>
      </c>
      <c r="E115" s="26" t="inlineStr">
        <is>
          <t>측정</t>
        </is>
      </c>
      <c r="F115" s="26" t="inlineStr">
        <is>
          <t>동</t>
        </is>
      </c>
      <c r="G115" s="31" t="n">
        <v>4</v>
      </c>
      <c r="H115" s="30" t="n"/>
      <c r="I115" s="43" t="n"/>
      <c r="J115" s="41" t="n"/>
      <c r="K115" s="41" t="n"/>
      <c r="L115" s="41" t="n"/>
      <c r="M115" s="31">
        <f>IF(COUNT(J115:L115)=0,"",MEDIAN(J115:L115))</f>
        <v/>
      </c>
      <c r="N115" s="26">
        <f>IF(COUNTIFS($C:$C,$C115,$D:$D,$D115,$E:$E,"P0(전)",$M:$M,"&gt;0")&lt;&gt;1,"P0(전) 유효 1개 아님",IF(COUNTIFS($C:$C,$C115,$D:$D,$D115,$E:$E,"P0(후)",$M:$M,"&gt;0")&lt;&gt;1,"P0(후) 유효 1개 아님",IF(NOT(AND(ISNUMBER(O115),ISNUMBER(Q115),ISNUMBER(I115))),"시각 결측",IF(Q115&lt;=O115,"P0 시각 역전",IF(OR(I115&lt;O115,I115&gt;Q115),"측정시각 구간 밖","OK")))))</f>
        <v/>
      </c>
      <c r="O115" s="48">
        <f>IF(COUNTIFS($C:$C,$C115,$D:$D,$D115,$E:$E,"P0(전)",$M:$M,"&gt;0")&lt;&gt;1,"",SUMIFS($I:$I,$C:$C,$C115,$D:$D,$D115,$E:$E,"P0(전)"))</f>
        <v/>
      </c>
      <c r="P115" s="31">
        <f>IF(COUNTIFS($C:$C,$C115,$D:$D,$D115,$E:$E,"P0(전)",$M:$M,"&gt;0")&lt;&gt;1,"",SUMIFS($M:$M,$C:$C,$C115,$D:$D,$D115,$E:$E,"P0(전)"))</f>
        <v/>
      </c>
      <c r="Q115" s="48">
        <f>IF(COUNTIFS($C:$C,$C115,$D:$D,$D115,$E:$E,"P0(후)",$M:$M,"&gt;0")&lt;&gt;1,"",SUMIFS($I:$I,$C:$C,$C115,$D:$D,$D115,$E:$E,"P0(후)"))</f>
        <v/>
      </c>
      <c r="R115" s="31">
        <f>IF(COUNTIFS($C:$C,$C115,$D:$D,$D115,$E:$E,"P0(후)",$M:$M,"&gt;0")&lt;&gt;1,"",SUMIFS($M:$M,$C:$C,$C115,$D:$D,$D115,$E:$E,"P0(후)"))</f>
        <v/>
      </c>
      <c r="S115" s="31">
        <f>IF(N115&lt;&gt;"OK","",P115+(R115-P115)*(I115-O115)/(Q115-O115))</f>
        <v/>
      </c>
      <c r="T115" s="31">
        <f>IF(OR(N115&lt;&gt;"OK",NOT(ISNUMBER(M115))),"",M115-S115)</f>
        <v/>
      </c>
      <c r="U115" s="49">
        <f>IF(OR(NOT(ISNUMBER(T115)),IF(ISNUMBER(H115),H115,G115)=0),"",T115/IF(ISNUMBER(H115),H115,G115))</f>
        <v/>
      </c>
      <c r="V115" s="49">
        <f>IF(ISNUMBER(U115),ABS(U115),"")</f>
        <v/>
      </c>
      <c r="W115" s="49">
        <f>IF(OR($E114&lt;&gt;"측정",$C114&lt;&gt;$C115,$D114&lt;&gt;$D115,NOT(ISNUMBER(M115)),NOT(ISNUMBER(M114)),(IF(ISNUMBER(H115),H115,G115)-IF(ISNUMBER(H114),H114,G114))=0),"",(M115-M114)/(IF(ISNUMBER(H115),H115,G115)-IF(ISNUMBER(H114),H114,G114)))</f>
        <v/>
      </c>
      <c r="X115" s="31">
        <f>IF(NOT(AND(ISNUMBER(O115),ISNUMBER(Q115))),"",(Q115-O115)*1440)</f>
        <v/>
      </c>
      <c r="Y115" s="29" t="n"/>
      <c r="Z115" s="29" t="n"/>
      <c r="AA115" s="29" t="n"/>
      <c r="AB115" s="32" t="n"/>
      <c r="AC115" s="32" t="n"/>
    </row>
    <row r="116">
      <c r="A116" s="26" t="inlineStr">
        <is>
          <t>S03</t>
        </is>
      </c>
      <c r="B116" s="26" t="inlineStr">
        <is>
          <t>예산 신규점2</t>
        </is>
      </c>
      <c r="C116" s="26" t="inlineStr">
        <is>
          <t>S03-H동</t>
        </is>
      </c>
      <c r="D116" s="47" t="n">
        <v>1</v>
      </c>
      <c r="E116" s="26" t="inlineStr">
        <is>
          <t>측정</t>
        </is>
      </c>
      <c r="F116" s="26" t="inlineStr">
        <is>
          <t>동</t>
        </is>
      </c>
      <c r="G116" s="31" t="n">
        <v>5</v>
      </c>
      <c r="H116" s="30" t="n"/>
      <c r="I116" s="43" t="n"/>
      <c r="J116" s="41" t="n"/>
      <c r="K116" s="41" t="n"/>
      <c r="L116" s="41" t="n"/>
      <c r="M116" s="31">
        <f>IF(COUNT(J116:L116)=0,"",MEDIAN(J116:L116))</f>
        <v/>
      </c>
      <c r="N116" s="26">
        <f>IF(COUNTIFS($C:$C,$C116,$D:$D,$D116,$E:$E,"P0(전)",$M:$M,"&gt;0")&lt;&gt;1,"P0(전) 유효 1개 아님",IF(COUNTIFS($C:$C,$C116,$D:$D,$D116,$E:$E,"P0(후)",$M:$M,"&gt;0")&lt;&gt;1,"P0(후) 유효 1개 아님",IF(NOT(AND(ISNUMBER(O116),ISNUMBER(Q116),ISNUMBER(I116))),"시각 결측",IF(Q116&lt;=O116,"P0 시각 역전",IF(OR(I116&lt;O116,I116&gt;Q116),"측정시각 구간 밖","OK")))))</f>
        <v/>
      </c>
      <c r="O116" s="48">
        <f>IF(COUNTIFS($C:$C,$C116,$D:$D,$D116,$E:$E,"P0(전)",$M:$M,"&gt;0")&lt;&gt;1,"",SUMIFS($I:$I,$C:$C,$C116,$D:$D,$D116,$E:$E,"P0(전)"))</f>
        <v/>
      </c>
      <c r="P116" s="31">
        <f>IF(COUNTIFS($C:$C,$C116,$D:$D,$D116,$E:$E,"P0(전)",$M:$M,"&gt;0")&lt;&gt;1,"",SUMIFS($M:$M,$C:$C,$C116,$D:$D,$D116,$E:$E,"P0(전)"))</f>
        <v/>
      </c>
      <c r="Q116" s="48">
        <f>IF(COUNTIFS($C:$C,$C116,$D:$D,$D116,$E:$E,"P0(후)",$M:$M,"&gt;0")&lt;&gt;1,"",SUMIFS($I:$I,$C:$C,$C116,$D:$D,$D116,$E:$E,"P0(후)"))</f>
        <v/>
      </c>
      <c r="R116" s="31">
        <f>IF(COUNTIFS($C:$C,$C116,$D:$D,$D116,$E:$E,"P0(후)",$M:$M,"&gt;0")&lt;&gt;1,"",SUMIFS($M:$M,$C:$C,$C116,$D:$D,$D116,$E:$E,"P0(후)"))</f>
        <v/>
      </c>
      <c r="S116" s="31">
        <f>IF(N116&lt;&gt;"OK","",P116+(R116-P116)*(I116-O116)/(Q116-O116))</f>
        <v/>
      </c>
      <c r="T116" s="31">
        <f>IF(OR(N116&lt;&gt;"OK",NOT(ISNUMBER(M116))),"",M116-S116)</f>
        <v/>
      </c>
      <c r="U116" s="49">
        <f>IF(OR(NOT(ISNUMBER(T116)),IF(ISNUMBER(H116),H116,G116)=0),"",T116/IF(ISNUMBER(H116),H116,G116))</f>
        <v/>
      </c>
      <c r="V116" s="49">
        <f>IF(ISNUMBER(U116),ABS(U116),"")</f>
        <v/>
      </c>
      <c r="W116" s="49">
        <f>IF(OR($E115&lt;&gt;"측정",$C115&lt;&gt;$C116,$D115&lt;&gt;$D116,NOT(ISNUMBER(M116)),NOT(ISNUMBER(M115)),(IF(ISNUMBER(H116),H116,G116)-IF(ISNUMBER(H115),H115,G115))=0),"",(M116-M115)/(IF(ISNUMBER(H116),H116,G116)-IF(ISNUMBER(H115),H115,G115)))</f>
        <v/>
      </c>
      <c r="X116" s="31">
        <f>IF(NOT(AND(ISNUMBER(O116),ISNUMBER(Q116))),"",(Q116-O116)*1440)</f>
        <v/>
      </c>
      <c r="Y116" s="29" t="n"/>
      <c r="Z116" s="29" t="n"/>
      <c r="AA116" s="29" t="n"/>
      <c r="AB116" s="32" t="n"/>
      <c r="AC116" s="32" t="n"/>
    </row>
    <row r="117">
      <c r="A117" s="26" t="inlineStr">
        <is>
          <t>S03</t>
        </is>
      </c>
      <c r="B117" s="26" t="inlineStr">
        <is>
          <t>예산 신규점2</t>
        </is>
      </c>
      <c r="C117" s="26" t="inlineStr">
        <is>
          <t>S03-H동</t>
        </is>
      </c>
      <c r="D117" s="47" t="n">
        <v>1</v>
      </c>
      <c r="E117" s="26" t="inlineStr">
        <is>
          <t>측정</t>
        </is>
      </c>
      <c r="F117" s="26" t="inlineStr">
        <is>
          <t>동</t>
        </is>
      </c>
      <c r="G117" s="31" t="n">
        <v>6</v>
      </c>
      <c r="H117" s="30" t="n"/>
      <c r="I117" s="43" t="n"/>
      <c r="J117" s="41" t="n"/>
      <c r="K117" s="41" t="n"/>
      <c r="L117" s="41" t="n"/>
      <c r="M117" s="31">
        <f>IF(COUNT(J117:L117)=0,"",MEDIAN(J117:L117))</f>
        <v/>
      </c>
      <c r="N117" s="26">
        <f>IF(COUNTIFS($C:$C,$C117,$D:$D,$D117,$E:$E,"P0(전)",$M:$M,"&gt;0")&lt;&gt;1,"P0(전) 유효 1개 아님",IF(COUNTIFS($C:$C,$C117,$D:$D,$D117,$E:$E,"P0(후)",$M:$M,"&gt;0")&lt;&gt;1,"P0(후) 유효 1개 아님",IF(NOT(AND(ISNUMBER(O117),ISNUMBER(Q117),ISNUMBER(I117))),"시각 결측",IF(Q117&lt;=O117,"P0 시각 역전",IF(OR(I117&lt;O117,I117&gt;Q117),"측정시각 구간 밖","OK")))))</f>
        <v/>
      </c>
      <c r="O117" s="48">
        <f>IF(COUNTIFS($C:$C,$C117,$D:$D,$D117,$E:$E,"P0(전)",$M:$M,"&gt;0")&lt;&gt;1,"",SUMIFS($I:$I,$C:$C,$C117,$D:$D,$D117,$E:$E,"P0(전)"))</f>
        <v/>
      </c>
      <c r="P117" s="31">
        <f>IF(COUNTIFS($C:$C,$C117,$D:$D,$D117,$E:$E,"P0(전)",$M:$M,"&gt;0")&lt;&gt;1,"",SUMIFS($M:$M,$C:$C,$C117,$D:$D,$D117,$E:$E,"P0(전)"))</f>
        <v/>
      </c>
      <c r="Q117" s="48">
        <f>IF(COUNTIFS($C:$C,$C117,$D:$D,$D117,$E:$E,"P0(후)",$M:$M,"&gt;0")&lt;&gt;1,"",SUMIFS($I:$I,$C:$C,$C117,$D:$D,$D117,$E:$E,"P0(후)"))</f>
        <v/>
      </c>
      <c r="R117" s="31">
        <f>IF(COUNTIFS($C:$C,$C117,$D:$D,$D117,$E:$E,"P0(후)",$M:$M,"&gt;0")&lt;&gt;1,"",SUMIFS($M:$M,$C:$C,$C117,$D:$D,$D117,$E:$E,"P0(후)"))</f>
        <v/>
      </c>
      <c r="S117" s="31">
        <f>IF(N117&lt;&gt;"OK","",P117+(R117-P117)*(I117-O117)/(Q117-O117))</f>
        <v/>
      </c>
      <c r="T117" s="31">
        <f>IF(OR(N117&lt;&gt;"OK",NOT(ISNUMBER(M117))),"",M117-S117)</f>
        <v/>
      </c>
      <c r="U117" s="49">
        <f>IF(OR(NOT(ISNUMBER(T117)),IF(ISNUMBER(H117),H117,G117)=0),"",T117/IF(ISNUMBER(H117),H117,G117))</f>
        <v/>
      </c>
      <c r="V117" s="49">
        <f>IF(ISNUMBER(U117),ABS(U117),"")</f>
        <v/>
      </c>
      <c r="W117" s="49">
        <f>IF(OR($E116&lt;&gt;"측정",$C116&lt;&gt;$C117,$D116&lt;&gt;$D117,NOT(ISNUMBER(M117)),NOT(ISNUMBER(M116)),(IF(ISNUMBER(H117),H117,G117)-IF(ISNUMBER(H116),H116,G116))=0),"",(M117-M116)/(IF(ISNUMBER(H117),H117,G117)-IF(ISNUMBER(H116),H116,G116)))</f>
        <v/>
      </c>
      <c r="X117" s="31">
        <f>IF(NOT(AND(ISNUMBER(O117),ISNUMBER(Q117))),"",(Q117-O117)*1440)</f>
        <v/>
      </c>
      <c r="Y117" s="29" t="n"/>
      <c r="Z117" s="29" t="n"/>
      <c r="AA117" s="29" t="n"/>
      <c r="AB117" s="32" t="n"/>
      <c r="AC117" s="32" t="n"/>
    </row>
    <row r="118">
      <c r="A118" s="26" t="inlineStr">
        <is>
          <t>S03</t>
        </is>
      </c>
      <c r="B118" s="26" t="inlineStr">
        <is>
          <t>예산 신규점2</t>
        </is>
      </c>
      <c r="C118" s="26" t="inlineStr">
        <is>
          <t>S03-H동</t>
        </is>
      </c>
      <c r="D118" s="47" t="n">
        <v>1</v>
      </c>
      <c r="E118" s="26" t="inlineStr">
        <is>
          <t>측정</t>
        </is>
      </c>
      <c r="F118" s="26" t="inlineStr">
        <is>
          <t>동</t>
        </is>
      </c>
      <c r="G118" s="31" t="n">
        <v>7</v>
      </c>
      <c r="H118" s="30" t="n"/>
      <c r="I118" s="43" t="n"/>
      <c r="J118" s="41" t="n"/>
      <c r="K118" s="41" t="n"/>
      <c r="L118" s="41" t="n"/>
      <c r="M118" s="31">
        <f>IF(COUNT(J118:L118)=0,"",MEDIAN(J118:L118))</f>
        <v/>
      </c>
      <c r="N118" s="26">
        <f>IF(COUNTIFS($C:$C,$C118,$D:$D,$D118,$E:$E,"P0(전)",$M:$M,"&gt;0")&lt;&gt;1,"P0(전) 유효 1개 아님",IF(COUNTIFS($C:$C,$C118,$D:$D,$D118,$E:$E,"P0(후)",$M:$M,"&gt;0")&lt;&gt;1,"P0(후) 유효 1개 아님",IF(NOT(AND(ISNUMBER(O118),ISNUMBER(Q118),ISNUMBER(I118))),"시각 결측",IF(Q118&lt;=O118,"P0 시각 역전",IF(OR(I118&lt;O118,I118&gt;Q118),"측정시각 구간 밖","OK")))))</f>
        <v/>
      </c>
      <c r="O118" s="48">
        <f>IF(COUNTIFS($C:$C,$C118,$D:$D,$D118,$E:$E,"P0(전)",$M:$M,"&gt;0")&lt;&gt;1,"",SUMIFS($I:$I,$C:$C,$C118,$D:$D,$D118,$E:$E,"P0(전)"))</f>
        <v/>
      </c>
      <c r="P118" s="31">
        <f>IF(COUNTIFS($C:$C,$C118,$D:$D,$D118,$E:$E,"P0(전)",$M:$M,"&gt;0")&lt;&gt;1,"",SUMIFS($M:$M,$C:$C,$C118,$D:$D,$D118,$E:$E,"P0(전)"))</f>
        <v/>
      </c>
      <c r="Q118" s="48">
        <f>IF(COUNTIFS($C:$C,$C118,$D:$D,$D118,$E:$E,"P0(후)",$M:$M,"&gt;0")&lt;&gt;1,"",SUMIFS($I:$I,$C:$C,$C118,$D:$D,$D118,$E:$E,"P0(후)"))</f>
        <v/>
      </c>
      <c r="R118" s="31">
        <f>IF(COUNTIFS($C:$C,$C118,$D:$D,$D118,$E:$E,"P0(후)",$M:$M,"&gt;0")&lt;&gt;1,"",SUMIFS($M:$M,$C:$C,$C118,$D:$D,$D118,$E:$E,"P0(후)"))</f>
        <v/>
      </c>
      <c r="S118" s="31">
        <f>IF(N118&lt;&gt;"OK","",P118+(R118-P118)*(I118-O118)/(Q118-O118))</f>
        <v/>
      </c>
      <c r="T118" s="31">
        <f>IF(OR(N118&lt;&gt;"OK",NOT(ISNUMBER(M118))),"",M118-S118)</f>
        <v/>
      </c>
      <c r="U118" s="49">
        <f>IF(OR(NOT(ISNUMBER(T118)),IF(ISNUMBER(H118),H118,G118)=0),"",T118/IF(ISNUMBER(H118),H118,G118))</f>
        <v/>
      </c>
      <c r="V118" s="49">
        <f>IF(ISNUMBER(U118),ABS(U118),"")</f>
        <v/>
      </c>
      <c r="W118" s="49">
        <f>IF(OR($E117&lt;&gt;"측정",$C117&lt;&gt;$C118,$D117&lt;&gt;$D118,NOT(ISNUMBER(M118)),NOT(ISNUMBER(M117)),(IF(ISNUMBER(H118),H118,G118)-IF(ISNUMBER(H117),H117,G117))=0),"",(M118-M117)/(IF(ISNUMBER(H118),H118,G118)-IF(ISNUMBER(H117),H117,G117)))</f>
        <v/>
      </c>
      <c r="X118" s="31">
        <f>IF(NOT(AND(ISNUMBER(O118),ISNUMBER(Q118))),"",(Q118-O118)*1440)</f>
        <v/>
      </c>
      <c r="Y118" s="29" t="n"/>
      <c r="Z118" s="29" t="n"/>
      <c r="AA118" s="29" t="n"/>
      <c r="AB118" s="32" t="n"/>
      <c r="AC118" s="32" t="n"/>
    </row>
    <row r="119">
      <c r="A119" s="26" t="inlineStr">
        <is>
          <t>S03</t>
        </is>
      </c>
      <c r="B119" s="26" t="inlineStr">
        <is>
          <t>예산 신규점2</t>
        </is>
      </c>
      <c r="C119" s="26" t="inlineStr">
        <is>
          <t>S03-H동</t>
        </is>
      </c>
      <c r="D119" s="47" t="n">
        <v>1</v>
      </c>
      <c r="E119" s="26" t="inlineStr">
        <is>
          <t>측정</t>
        </is>
      </c>
      <c r="F119" s="26" t="inlineStr">
        <is>
          <t>동</t>
        </is>
      </c>
      <c r="G119" s="31" t="n">
        <v>8</v>
      </c>
      <c r="H119" s="30" t="n"/>
      <c r="I119" s="43" t="n"/>
      <c r="J119" s="41" t="n"/>
      <c r="K119" s="41" t="n"/>
      <c r="L119" s="41" t="n"/>
      <c r="M119" s="31">
        <f>IF(COUNT(J119:L119)=0,"",MEDIAN(J119:L119))</f>
        <v/>
      </c>
      <c r="N119" s="26">
        <f>IF(COUNTIFS($C:$C,$C119,$D:$D,$D119,$E:$E,"P0(전)",$M:$M,"&gt;0")&lt;&gt;1,"P0(전) 유효 1개 아님",IF(COUNTIFS($C:$C,$C119,$D:$D,$D119,$E:$E,"P0(후)",$M:$M,"&gt;0")&lt;&gt;1,"P0(후) 유효 1개 아님",IF(NOT(AND(ISNUMBER(O119),ISNUMBER(Q119),ISNUMBER(I119))),"시각 결측",IF(Q119&lt;=O119,"P0 시각 역전",IF(OR(I119&lt;O119,I119&gt;Q119),"측정시각 구간 밖","OK")))))</f>
        <v/>
      </c>
      <c r="O119" s="48">
        <f>IF(COUNTIFS($C:$C,$C119,$D:$D,$D119,$E:$E,"P0(전)",$M:$M,"&gt;0")&lt;&gt;1,"",SUMIFS($I:$I,$C:$C,$C119,$D:$D,$D119,$E:$E,"P0(전)"))</f>
        <v/>
      </c>
      <c r="P119" s="31">
        <f>IF(COUNTIFS($C:$C,$C119,$D:$D,$D119,$E:$E,"P0(전)",$M:$M,"&gt;0")&lt;&gt;1,"",SUMIFS($M:$M,$C:$C,$C119,$D:$D,$D119,$E:$E,"P0(전)"))</f>
        <v/>
      </c>
      <c r="Q119" s="48">
        <f>IF(COUNTIFS($C:$C,$C119,$D:$D,$D119,$E:$E,"P0(후)",$M:$M,"&gt;0")&lt;&gt;1,"",SUMIFS($I:$I,$C:$C,$C119,$D:$D,$D119,$E:$E,"P0(후)"))</f>
        <v/>
      </c>
      <c r="R119" s="31">
        <f>IF(COUNTIFS($C:$C,$C119,$D:$D,$D119,$E:$E,"P0(후)",$M:$M,"&gt;0")&lt;&gt;1,"",SUMIFS($M:$M,$C:$C,$C119,$D:$D,$D119,$E:$E,"P0(후)"))</f>
        <v/>
      </c>
      <c r="S119" s="31">
        <f>IF(N119&lt;&gt;"OK","",P119+(R119-P119)*(I119-O119)/(Q119-O119))</f>
        <v/>
      </c>
      <c r="T119" s="31">
        <f>IF(OR(N119&lt;&gt;"OK",NOT(ISNUMBER(M119))),"",M119-S119)</f>
        <v/>
      </c>
      <c r="U119" s="49">
        <f>IF(OR(NOT(ISNUMBER(T119)),IF(ISNUMBER(H119),H119,G119)=0),"",T119/IF(ISNUMBER(H119),H119,G119))</f>
        <v/>
      </c>
      <c r="V119" s="49">
        <f>IF(ISNUMBER(U119),ABS(U119),"")</f>
        <v/>
      </c>
      <c r="W119" s="49">
        <f>IF(OR($E118&lt;&gt;"측정",$C118&lt;&gt;$C119,$D118&lt;&gt;$D119,NOT(ISNUMBER(M119)),NOT(ISNUMBER(M118)),(IF(ISNUMBER(H119),H119,G119)-IF(ISNUMBER(H118),H118,G118))=0),"",(M119-M118)/(IF(ISNUMBER(H119),H119,G119)-IF(ISNUMBER(H118),H118,G118)))</f>
        <v/>
      </c>
      <c r="X119" s="31">
        <f>IF(NOT(AND(ISNUMBER(O119),ISNUMBER(Q119))),"",(Q119-O119)*1440)</f>
        <v/>
      </c>
      <c r="Y119" s="29" t="n"/>
      <c r="Z119" s="29" t="n"/>
      <c r="AA119" s="29" t="n"/>
      <c r="AB119" s="32" t="n"/>
      <c r="AC119" s="32" t="n"/>
    </row>
    <row r="120">
      <c r="A120" s="26" t="inlineStr">
        <is>
          <t>S03</t>
        </is>
      </c>
      <c r="B120" s="26" t="inlineStr">
        <is>
          <t>예산 신규점2</t>
        </is>
      </c>
      <c r="C120" s="26" t="inlineStr">
        <is>
          <t>S03-H동</t>
        </is>
      </c>
      <c r="D120" s="47" t="n">
        <v>1</v>
      </c>
      <c r="E120" s="26" t="inlineStr">
        <is>
          <t>측정</t>
        </is>
      </c>
      <c r="F120" s="26" t="inlineStr">
        <is>
          <t>동</t>
        </is>
      </c>
      <c r="G120" s="31" t="n">
        <v>9</v>
      </c>
      <c r="H120" s="30" t="n"/>
      <c r="I120" s="43" t="n"/>
      <c r="J120" s="41" t="n"/>
      <c r="K120" s="41" t="n"/>
      <c r="L120" s="41" t="n"/>
      <c r="M120" s="31">
        <f>IF(COUNT(J120:L120)=0,"",MEDIAN(J120:L120))</f>
        <v/>
      </c>
      <c r="N120" s="26">
        <f>IF(COUNTIFS($C:$C,$C120,$D:$D,$D120,$E:$E,"P0(전)",$M:$M,"&gt;0")&lt;&gt;1,"P0(전) 유효 1개 아님",IF(COUNTIFS($C:$C,$C120,$D:$D,$D120,$E:$E,"P0(후)",$M:$M,"&gt;0")&lt;&gt;1,"P0(후) 유효 1개 아님",IF(NOT(AND(ISNUMBER(O120),ISNUMBER(Q120),ISNUMBER(I120))),"시각 결측",IF(Q120&lt;=O120,"P0 시각 역전",IF(OR(I120&lt;O120,I120&gt;Q120),"측정시각 구간 밖","OK")))))</f>
        <v/>
      </c>
      <c r="O120" s="48">
        <f>IF(COUNTIFS($C:$C,$C120,$D:$D,$D120,$E:$E,"P0(전)",$M:$M,"&gt;0")&lt;&gt;1,"",SUMIFS($I:$I,$C:$C,$C120,$D:$D,$D120,$E:$E,"P0(전)"))</f>
        <v/>
      </c>
      <c r="P120" s="31">
        <f>IF(COUNTIFS($C:$C,$C120,$D:$D,$D120,$E:$E,"P0(전)",$M:$M,"&gt;0")&lt;&gt;1,"",SUMIFS($M:$M,$C:$C,$C120,$D:$D,$D120,$E:$E,"P0(전)"))</f>
        <v/>
      </c>
      <c r="Q120" s="48">
        <f>IF(COUNTIFS($C:$C,$C120,$D:$D,$D120,$E:$E,"P0(후)",$M:$M,"&gt;0")&lt;&gt;1,"",SUMIFS($I:$I,$C:$C,$C120,$D:$D,$D120,$E:$E,"P0(후)"))</f>
        <v/>
      </c>
      <c r="R120" s="31">
        <f>IF(COUNTIFS($C:$C,$C120,$D:$D,$D120,$E:$E,"P0(후)",$M:$M,"&gt;0")&lt;&gt;1,"",SUMIFS($M:$M,$C:$C,$C120,$D:$D,$D120,$E:$E,"P0(후)"))</f>
        <v/>
      </c>
      <c r="S120" s="31">
        <f>IF(N120&lt;&gt;"OK","",P120+(R120-P120)*(I120-O120)/(Q120-O120))</f>
        <v/>
      </c>
      <c r="T120" s="31">
        <f>IF(OR(N120&lt;&gt;"OK",NOT(ISNUMBER(M120))),"",M120-S120)</f>
        <v/>
      </c>
      <c r="U120" s="49">
        <f>IF(OR(NOT(ISNUMBER(T120)),IF(ISNUMBER(H120),H120,G120)=0),"",T120/IF(ISNUMBER(H120),H120,G120))</f>
        <v/>
      </c>
      <c r="V120" s="49">
        <f>IF(ISNUMBER(U120),ABS(U120),"")</f>
        <v/>
      </c>
      <c r="W120" s="49">
        <f>IF(OR($E119&lt;&gt;"측정",$C119&lt;&gt;$C120,$D119&lt;&gt;$D120,NOT(ISNUMBER(M120)),NOT(ISNUMBER(M119)),(IF(ISNUMBER(H120),H120,G120)-IF(ISNUMBER(H119),H119,G119))=0),"",(M120-M119)/(IF(ISNUMBER(H120),H120,G120)-IF(ISNUMBER(H119),H119,G119)))</f>
        <v/>
      </c>
      <c r="X120" s="31">
        <f>IF(NOT(AND(ISNUMBER(O120),ISNUMBER(Q120))),"",(Q120-O120)*1440)</f>
        <v/>
      </c>
      <c r="Y120" s="29" t="n"/>
      <c r="Z120" s="29" t="n"/>
      <c r="AA120" s="29" t="n"/>
      <c r="AB120" s="32" t="n"/>
      <c r="AC120" s="32" t="n"/>
    </row>
    <row r="121">
      <c r="A121" s="26" t="inlineStr">
        <is>
          <t>S03</t>
        </is>
      </c>
      <c r="B121" s="26" t="inlineStr">
        <is>
          <t>예산 신규점2</t>
        </is>
      </c>
      <c r="C121" s="26" t="inlineStr">
        <is>
          <t>S03-H동</t>
        </is>
      </c>
      <c r="D121" s="47" t="n">
        <v>1</v>
      </c>
      <c r="E121" s="26" t="inlineStr">
        <is>
          <t>측정</t>
        </is>
      </c>
      <c r="F121" s="26" t="inlineStr">
        <is>
          <t>동</t>
        </is>
      </c>
      <c r="G121" s="31" t="n">
        <v>10</v>
      </c>
      <c r="H121" s="30" t="n"/>
      <c r="I121" s="43" t="n"/>
      <c r="J121" s="41" t="n"/>
      <c r="K121" s="41" t="n"/>
      <c r="L121" s="41" t="n"/>
      <c r="M121" s="31">
        <f>IF(COUNT(J121:L121)=0,"",MEDIAN(J121:L121))</f>
        <v/>
      </c>
      <c r="N121" s="26">
        <f>IF(COUNTIFS($C:$C,$C121,$D:$D,$D121,$E:$E,"P0(전)",$M:$M,"&gt;0")&lt;&gt;1,"P0(전) 유효 1개 아님",IF(COUNTIFS($C:$C,$C121,$D:$D,$D121,$E:$E,"P0(후)",$M:$M,"&gt;0")&lt;&gt;1,"P0(후) 유효 1개 아님",IF(NOT(AND(ISNUMBER(O121),ISNUMBER(Q121),ISNUMBER(I121))),"시각 결측",IF(Q121&lt;=O121,"P0 시각 역전",IF(OR(I121&lt;O121,I121&gt;Q121),"측정시각 구간 밖","OK")))))</f>
        <v/>
      </c>
      <c r="O121" s="48">
        <f>IF(COUNTIFS($C:$C,$C121,$D:$D,$D121,$E:$E,"P0(전)",$M:$M,"&gt;0")&lt;&gt;1,"",SUMIFS($I:$I,$C:$C,$C121,$D:$D,$D121,$E:$E,"P0(전)"))</f>
        <v/>
      </c>
      <c r="P121" s="31">
        <f>IF(COUNTIFS($C:$C,$C121,$D:$D,$D121,$E:$E,"P0(전)",$M:$M,"&gt;0")&lt;&gt;1,"",SUMIFS($M:$M,$C:$C,$C121,$D:$D,$D121,$E:$E,"P0(전)"))</f>
        <v/>
      </c>
      <c r="Q121" s="48">
        <f>IF(COUNTIFS($C:$C,$C121,$D:$D,$D121,$E:$E,"P0(후)",$M:$M,"&gt;0")&lt;&gt;1,"",SUMIFS($I:$I,$C:$C,$C121,$D:$D,$D121,$E:$E,"P0(후)"))</f>
        <v/>
      </c>
      <c r="R121" s="31">
        <f>IF(COUNTIFS($C:$C,$C121,$D:$D,$D121,$E:$E,"P0(후)",$M:$M,"&gt;0")&lt;&gt;1,"",SUMIFS($M:$M,$C:$C,$C121,$D:$D,$D121,$E:$E,"P0(후)"))</f>
        <v/>
      </c>
      <c r="S121" s="31">
        <f>IF(N121&lt;&gt;"OK","",P121+(R121-P121)*(I121-O121)/(Q121-O121))</f>
        <v/>
      </c>
      <c r="T121" s="31">
        <f>IF(OR(N121&lt;&gt;"OK",NOT(ISNUMBER(M121))),"",M121-S121)</f>
        <v/>
      </c>
      <c r="U121" s="49">
        <f>IF(OR(NOT(ISNUMBER(T121)),IF(ISNUMBER(H121),H121,G121)=0),"",T121/IF(ISNUMBER(H121),H121,G121))</f>
        <v/>
      </c>
      <c r="V121" s="49">
        <f>IF(ISNUMBER(U121),ABS(U121),"")</f>
        <v/>
      </c>
      <c r="W121" s="49">
        <f>IF(OR($E120&lt;&gt;"측정",$C120&lt;&gt;$C121,$D120&lt;&gt;$D121,NOT(ISNUMBER(M121)),NOT(ISNUMBER(M120)),(IF(ISNUMBER(H121),H121,G121)-IF(ISNUMBER(H120),H120,G120))=0),"",(M121-M120)/(IF(ISNUMBER(H121),H121,G121)-IF(ISNUMBER(H120),H120,G120)))</f>
        <v/>
      </c>
      <c r="X121" s="31">
        <f>IF(NOT(AND(ISNUMBER(O121),ISNUMBER(Q121))),"",(Q121-O121)*1440)</f>
        <v/>
      </c>
      <c r="Y121" s="29" t="n"/>
      <c r="Z121" s="29" t="n"/>
      <c r="AA121" s="29" t="n"/>
      <c r="AB121" s="32" t="n"/>
      <c r="AC121" s="32" t="n"/>
    </row>
    <row r="122">
      <c r="A122" s="44" t="inlineStr">
        <is>
          <t>S03</t>
        </is>
      </c>
      <c r="B122" s="44" t="inlineStr">
        <is>
          <t>예산 신규점2</t>
        </is>
      </c>
      <c r="C122" s="44" t="inlineStr">
        <is>
          <t>S03-H동</t>
        </is>
      </c>
      <c r="D122" s="45" t="n">
        <v>1</v>
      </c>
      <c r="E122" s="44" t="inlineStr">
        <is>
          <t>P0(후)</t>
        </is>
      </c>
      <c r="F122" s="44" t="inlineStr">
        <is>
          <t>동</t>
        </is>
      </c>
      <c r="G122" s="46" t="n"/>
      <c r="H122" s="30" t="n"/>
      <c r="I122" s="43" t="n"/>
      <c r="J122" s="41" t="n"/>
      <c r="K122" s="41" t="n"/>
      <c r="L122" s="41" t="n"/>
      <c r="M122" s="31">
        <f>IF(COUNT(J122:L122)=0,"",MEDIAN(J122:L122))</f>
        <v/>
      </c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29" t="n"/>
      <c r="Z122" s="29" t="n"/>
      <c r="AA122" s="29" t="n"/>
      <c r="AB122" s="32" t="n"/>
      <c r="AC122" s="32" t="n"/>
    </row>
    <row r="123">
      <c r="A123" s="44" t="inlineStr">
        <is>
          <t>S03</t>
        </is>
      </c>
      <c r="B123" s="44" t="inlineStr">
        <is>
          <t>예산 신규점2</t>
        </is>
      </c>
      <c r="C123" s="44" t="inlineStr">
        <is>
          <t>S03-H서</t>
        </is>
      </c>
      <c r="D123" s="45" t="n">
        <v>1</v>
      </c>
      <c r="E123" s="44" t="inlineStr">
        <is>
          <t>P0(전)</t>
        </is>
      </c>
      <c r="F123" s="44" t="inlineStr">
        <is>
          <t>서</t>
        </is>
      </c>
      <c r="G123" s="46" t="n"/>
      <c r="H123" s="30" t="n"/>
      <c r="I123" s="43" t="n"/>
      <c r="J123" s="41" t="n"/>
      <c r="K123" s="41" t="n"/>
      <c r="L123" s="41" t="n"/>
      <c r="M123" s="31">
        <f>IF(COUNT(J123:L123)=0,"",MEDIAN(J123:L123))</f>
        <v/>
      </c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29" t="n"/>
      <c r="Z123" s="29" t="n"/>
      <c r="AA123" s="29" t="n"/>
      <c r="AB123" s="32" t="n"/>
      <c r="AC123" s="32" t="n"/>
    </row>
    <row r="124">
      <c r="A124" s="26" t="inlineStr">
        <is>
          <t>S03</t>
        </is>
      </c>
      <c r="B124" s="26" t="inlineStr">
        <is>
          <t>예산 신규점2</t>
        </is>
      </c>
      <c r="C124" s="26" t="inlineStr">
        <is>
          <t>S03-H서</t>
        </is>
      </c>
      <c r="D124" s="47" t="n">
        <v>1</v>
      </c>
      <c r="E124" s="26" t="inlineStr">
        <is>
          <t>측정</t>
        </is>
      </c>
      <c r="F124" s="26" t="inlineStr">
        <is>
          <t>서</t>
        </is>
      </c>
      <c r="G124" s="31" t="n">
        <v>0.5</v>
      </c>
      <c r="H124" s="30" t="n"/>
      <c r="I124" s="43" t="n"/>
      <c r="J124" s="41" t="n"/>
      <c r="K124" s="41" t="n"/>
      <c r="L124" s="41" t="n"/>
      <c r="M124" s="31">
        <f>IF(COUNT(J124:L124)=0,"",MEDIAN(J124:L124))</f>
        <v/>
      </c>
      <c r="N124" s="26">
        <f>IF(COUNTIFS($C:$C,$C124,$D:$D,$D124,$E:$E,"P0(전)",$M:$M,"&gt;0")&lt;&gt;1,"P0(전) 유효 1개 아님",IF(COUNTIFS($C:$C,$C124,$D:$D,$D124,$E:$E,"P0(후)",$M:$M,"&gt;0")&lt;&gt;1,"P0(후) 유효 1개 아님",IF(NOT(AND(ISNUMBER(O124),ISNUMBER(Q124),ISNUMBER(I124))),"시각 결측",IF(Q124&lt;=O124,"P0 시각 역전",IF(OR(I124&lt;O124,I124&gt;Q124),"측정시각 구간 밖","OK")))))</f>
        <v/>
      </c>
      <c r="O124" s="48">
        <f>IF(COUNTIFS($C:$C,$C124,$D:$D,$D124,$E:$E,"P0(전)",$M:$M,"&gt;0")&lt;&gt;1,"",SUMIFS($I:$I,$C:$C,$C124,$D:$D,$D124,$E:$E,"P0(전)"))</f>
        <v/>
      </c>
      <c r="P124" s="31">
        <f>IF(COUNTIFS($C:$C,$C124,$D:$D,$D124,$E:$E,"P0(전)",$M:$M,"&gt;0")&lt;&gt;1,"",SUMIFS($M:$M,$C:$C,$C124,$D:$D,$D124,$E:$E,"P0(전)"))</f>
        <v/>
      </c>
      <c r="Q124" s="48">
        <f>IF(COUNTIFS($C:$C,$C124,$D:$D,$D124,$E:$E,"P0(후)",$M:$M,"&gt;0")&lt;&gt;1,"",SUMIFS($I:$I,$C:$C,$C124,$D:$D,$D124,$E:$E,"P0(후)"))</f>
        <v/>
      </c>
      <c r="R124" s="31">
        <f>IF(COUNTIFS($C:$C,$C124,$D:$D,$D124,$E:$E,"P0(후)",$M:$M,"&gt;0")&lt;&gt;1,"",SUMIFS($M:$M,$C:$C,$C124,$D:$D,$D124,$E:$E,"P0(후)"))</f>
        <v/>
      </c>
      <c r="S124" s="31">
        <f>IF(N124&lt;&gt;"OK","",P124+(R124-P124)*(I124-O124)/(Q124-O124))</f>
        <v/>
      </c>
      <c r="T124" s="31">
        <f>IF(OR(N124&lt;&gt;"OK",NOT(ISNUMBER(M124))),"",M124-S124)</f>
        <v/>
      </c>
      <c r="U124" s="49">
        <f>IF(OR(NOT(ISNUMBER(T124)),IF(ISNUMBER(H124),H124,G124)=0),"",T124/IF(ISNUMBER(H124),H124,G124))</f>
        <v/>
      </c>
      <c r="V124" s="49">
        <f>IF(ISNUMBER(U124),ABS(U124),"")</f>
        <v/>
      </c>
      <c r="W124" s="49">
        <f>IF(OR($E123&lt;&gt;"측정",$C123&lt;&gt;$C124,$D123&lt;&gt;$D124,NOT(ISNUMBER(M124)),NOT(ISNUMBER(M123)),(IF(ISNUMBER(H124),H124,G124)-IF(ISNUMBER(H123),H123,G123))=0),"",(M124-M123)/(IF(ISNUMBER(H124),H124,G124)-IF(ISNUMBER(H123),H123,G123)))</f>
        <v/>
      </c>
      <c r="X124" s="31">
        <f>IF(NOT(AND(ISNUMBER(O124),ISNUMBER(Q124))),"",(Q124-O124)*1440)</f>
        <v/>
      </c>
      <c r="Y124" s="29" t="n"/>
      <c r="Z124" s="29" t="n"/>
      <c r="AA124" s="29" t="n"/>
      <c r="AB124" s="32" t="n"/>
      <c r="AC124" s="32" t="n"/>
    </row>
    <row r="125">
      <c r="A125" s="26" t="inlineStr">
        <is>
          <t>S03</t>
        </is>
      </c>
      <c r="B125" s="26" t="inlineStr">
        <is>
          <t>예산 신규점2</t>
        </is>
      </c>
      <c r="C125" s="26" t="inlineStr">
        <is>
          <t>S03-H서</t>
        </is>
      </c>
      <c r="D125" s="47" t="n">
        <v>1</v>
      </c>
      <c r="E125" s="26" t="inlineStr">
        <is>
          <t>측정</t>
        </is>
      </c>
      <c r="F125" s="26" t="inlineStr">
        <is>
          <t>서</t>
        </is>
      </c>
      <c r="G125" s="31" t="n">
        <v>1</v>
      </c>
      <c r="H125" s="30" t="n"/>
      <c r="I125" s="43" t="n"/>
      <c r="J125" s="41" t="n"/>
      <c r="K125" s="41" t="n"/>
      <c r="L125" s="41" t="n"/>
      <c r="M125" s="31">
        <f>IF(COUNT(J125:L125)=0,"",MEDIAN(J125:L125))</f>
        <v/>
      </c>
      <c r="N125" s="26">
        <f>IF(COUNTIFS($C:$C,$C125,$D:$D,$D125,$E:$E,"P0(전)",$M:$M,"&gt;0")&lt;&gt;1,"P0(전) 유효 1개 아님",IF(COUNTIFS($C:$C,$C125,$D:$D,$D125,$E:$E,"P0(후)",$M:$M,"&gt;0")&lt;&gt;1,"P0(후) 유효 1개 아님",IF(NOT(AND(ISNUMBER(O125),ISNUMBER(Q125),ISNUMBER(I125))),"시각 결측",IF(Q125&lt;=O125,"P0 시각 역전",IF(OR(I125&lt;O125,I125&gt;Q125),"측정시각 구간 밖","OK")))))</f>
        <v/>
      </c>
      <c r="O125" s="48">
        <f>IF(COUNTIFS($C:$C,$C125,$D:$D,$D125,$E:$E,"P0(전)",$M:$M,"&gt;0")&lt;&gt;1,"",SUMIFS($I:$I,$C:$C,$C125,$D:$D,$D125,$E:$E,"P0(전)"))</f>
        <v/>
      </c>
      <c r="P125" s="31">
        <f>IF(COUNTIFS($C:$C,$C125,$D:$D,$D125,$E:$E,"P0(전)",$M:$M,"&gt;0")&lt;&gt;1,"",SUMIFS($M:$M,$C:$C,$C125,$D:$D,$D125,$E:$E,"P0(전)"))</f>
        <v/>
      </c>
      <c r="Q125" s="48">
        <f>IF(COUNTIFS($C:$C,$C125,$D:$D,$D125,$E:$E,"P0(후)",$M:$M,"&gt;0")&lt;&gt;1,"",SUMIFS($I:$I,$C:$C,$C125,$D:$D,$D125,$E:$E,"P0(후)"))</f>
        <v/>
      </c>
      <c r="R125" s="31">
        <f>IF(COUNTIFS($C:$C,$C125,$D:$D,$D125,$E:$E,"P0(후)",$M:$M,"&gt;0")&lt;&gt;1,"",SUMIFS($M:$M,$C:$C,$C125,$D:$D,$D125,$E:$E,"P0(후)"))</f>
        <v/>
      </c>
      <c r="S125" s="31">
        <f>IF(N125&lt;&gt;"OK","",P125+(R125-P125)*(I125-O125)/(Q125-O125))</f>
        <v/>
      </c>
      <c r="T125" s="31">
        <f>IF(OR(N125&lt;&gt;"OK",NOT(ISNUMBER(M125))),"",M125-S125)</f>
        <v/>
      </c>
      <c r="U125" s="49">
        <f>IF(OR(NOT(ISNUMBER(T125)),IF(ISNUMBER(H125),H125,G125)=0),"",T125/IF(ISNUMBER(H125),H125,G125))</f>
        <v/>
      </c>
      <c r="V125" s="49">
        <f>IF(ISNUMBER(U125),ABS(U125),"")</f>
        <v/>
      </c>
      <c r="W125" s="49">
        <f>IF(OR($E124&lt;&gt;"측정",$C124&lt;&gt;$C125,$D124&lt;&gt;$D125,NOT(ISNUMBER(M125)),NOT(ISNUMBER(M124)),(IF(ISNUMBER(H125),H125,G125)-IF(ISNUMBER(H124),H124,G124))=0),"",(M125-M124)/(IF(ISNUMBER(H125),H125,G125)-IF(ISNUMBER(H124),H124,G124)))</f>
        <v/>
      </c>
      <c r="X125" s="31">
        <f>IF(NOT(AND(ISNUMBER(O125),ISNUMBER(Q125))),"",(Q125-O125)*1440)</f>
        <v/>
      </c>
      <c r="Y125" s="29" t="n"/>
      <c r="Z125" s="29" t="n"/>
      <c r="AA125" s="29" t="n"/>
      <c r="AB125" s="32" t="n"/>
      <c r="AC125" s="32" t="n"/>
    </row>
    <row r="126">
      <c r="A126" s="26" t="inlineStr">
        <is>
          <t>S03</t>
        </is>
      </c>
      <c r="B126" s="26" t="inlineStr">
        <is>
          <t>예산 신규점2</t>
        </is>
      </c>
      <c r="C126" s="26" t="inlineStr">
        <is>
          <t>S03-H서</t>
        </is>
      </c>
      <c r="D126" s="47" t="n">
        <v>1</v>
      </c>
      <c r="E126" s="26" t="inlineStr">
        <is>
          <t>측정</t>
        </is>
      </c>
      <c r="F126" s="26" t="inlineStr">
        <is>
          <t>서</t>
        </is>
      </c>
      <c r="G126" s="31" t="n">
        <v>2</v>
      </c>
      <c r="H126" s="30" t="n"/>
      <c r="I126" s="43" t="n"/>
      <c r="J126" s="41" t="n"/>
      <c r="K126" s="41" t="n"/>
      <c r="L126" s="41" t="n"/>
      <c r="M126" s="31">
        <f>IF(COUNT(J126:L126)=0,"",MEDIAN(J126:L126))</f>
        <v/>
      </c>
      <c r="N126" s="26">
        <f>IF(COUNTIFS($C:$C,$C126,$D:$D,$D126,$E:$E,"P0(전)",$M:$M,"&gt;0")&lt;&gt;1,"P0(전) 유효 1개 아님",IF(COUNTIFS($C:$C,$C126,$D:$D,$D126,$E:$E,"P0(후)",$M:$M,"&gt;0")&lt;&gt;1,"P0(후) 유효 1개 아님",IF(NOT(AND(ISNUMBER(O126),ISNUMBER(Q126),ISNUMBER(I126))),"시각 결측",IF(Q126&lt;=O126,"P0 시각 역전",IF(OR(I126&lt;O126,I126&gt;Q126),"측정시각 구간 밖","OK")))))</f>
        <v/>
      </c>
      <c r="O126" s="48">
        <f>IF(COUNTIFS($C:$C,$C126,$D:$D,$D126,$E:$E,"P0(전)",$M:$M,"&gt;0")&lt;&gt;1,"",SUMIFS($I:$I,$C:$C,$C126,$D:$D,$D126,$E:$E,"P0(전)"))</f>
        <v/>
      </c>
      <c r="P126" s="31">
        <f>IF(COUNTIFS($C:$C,$C126,$D:$D,$D126,$E:$E,"P0(전)",$M:$M,"&gt;0")&lt;&gt;1,"",SUMIFS($M:$M,$C:$C,$C126,$D:$D,$D126,$E:$E,"P0(전)"))</f>
        <v/>
      </c>
      <c r="Q126" s="48">
        <f>IF(COUNTIFS($C:$C,$C126,$D:$D,$D126,$E:$E,"P0(후)",$M:$M,"&gt;0")&lt;&gt;1,"",SUMIFS($I:$I,$C:$C,$C126,$D:$D,$D126,$E:$E,"P0(후)"))</f>
        <v/>
      </c>
      <c r="R126" s="31">
        <f>IF(COUNTIFS($C:$C,$C126,$D:$D,$D126,$E:$E,"P0(후)",$M:$M,"&gt;0")&lt;&gt;1,"",SUMIFS($M:$M,$C:$C,$C126,$D:$D,$D126,$E:$E,"P0(후)"))</f>
        <v/>
      </c>
      <c r="S126" s="31">
        <f>IF(N126&lt;&gt;"OK","",P126+(R126-P126)*(I126-O126)/(Q126-O126))</f>
        <v/>
      </c>
      <c r="T126" s="31">
        <f>IF(OR(N126&lt;&gt;"OK",NOT(ISNUMBER(M126))),"",M126-S126)</f>
        <v/>
      </c>
      <c r="U126" s="49">
        <f>IF(OR(NOT(ISNUMBER(T126)),IF(ISNUMBER(H126),H126,G126)=0),"",T126/IF(ISNUMBER(H126),H126,G126))</f>
        <v/>
      </c>
      <c r="V126" s="49">
        <f>IF(ISNUMBER(U126),ABS(U126),"")</f>
        <v/>
      </c>
      <c r="W126" s="49">
        <f>IF(OR($E125&lt;&gt;"측정",$C125&lt;&gt;$C126,$D125&lt;&gt;$D126,NOT(ISNUMBER(M126)),NOT(ISNUMBER(M125)),(IF(ISNUMBER(H126),H126,G126)-IF(ISNUMBER(H125),H125,G125))=0),"",(M126-M125)/(IF(ISNUMBER(H126),H126,G126)-IF(ISNUMBER(H125),H125,G125)))</f>
        <v/>
      </c>
      <c r="X126" s="31">
        <f>IF(NOT(AND(ISNUMBER(O126),ISNUMBER(Q126))),"",(Q126-O126)*1440)</f>
        <v/>
      </c>
      <c r="Y126" s="29" t="n"/>
      <c r="Z126" s="29" t="n"/>
      <c r="AA126" s="29" t="n"/>
      <c r="AB126" s="32" t="n"/>
      <c r="AC126" s="32" t="n"/>
    </row>
    <row r="127">
      <c r="A127" s="26" t="inlineStr">
        <is>
          <t>S03</t>
        </is>
      </c>
      <c r="B127" s="26" t="inlineStr">
        <is>
          <t>예산 신규점2</t>
        </is>
      </c>
      <c r="C127" s="26" t="inlineStr">
        <is>
          <t>S03-H서</t>
        </is>
      </c>
      <c r="D127" s="47" t="n">
        <v>1</v>
      </c>
      <c r="E127" s="26" t="inlineStr">
        <is>
          <t>측정</t>
        </is>
      </c>
      <c r="F127" s="26" t="inlineStr">
        <is>
          <t>서</t>
        </is>
      </c>
      <c r="G127" s="31" t="n">
        <v>3</v>
      </c>
      <c r="H127" s="30" t="n"/>
      <c r="I127" s="43" t="n"/>
      <c r="J127" s="41" t="n"/>
      <c r="K127" s="41" t="n"/>
      <c r="L127" s="41" t="n"/>
      <c r="M127" s="31">
        <f>IF(COUNT(J127:L127)=0,"",MEDIAN(J127:L127))</f>
        <v/>
      </c>
      <c r="N127" s="26">
        <f>IF(COUNTIFS($C:$C,$C127,$D:$D,$D127,$E:$E,"P0(전)",$M:$M,"&gt;0")&lt;&gt;1,"P0(전) 유효 1개 아님",IF(COUNTIFS($C:$C,$C127,$D:$D,$D127,$E:$E,"P0(후)",$M:$M,"&gt;0")&lt;&gt;1,"P0(후) 유효 1개 아님",IF(NOT(AND(ISNUMBER(O127),ISNUMBER(Q127),ISNUMBER(I127))),"시각 결측",IF(Q127&lt;=O127,"P0 시각 역전",IF(OR(I127&lt;O127,I127&gt;Q127),"측정시각 구간 밖","OK")))))</f>
        <v/>
      </c>
      <c r="O127" s="48">
        <f>IF(COUNTIFS($C:$C,$C127,$D:$D,$D127,$E:$E,"P0(전)",$M:$M,"&gt;0")&lt;&gt;1,"",SUMIFS($I:$I,$C:$C,$C127,$D:$D,$D127,$E:$E,"P0(전)"))</f>
        <v/>
      </c>
      <c r="P127" s="31">
        <f>IF(COUNTIFS($C:$C,$C127,$D:$D,$D127,$E:$E,"P0(전)",$M:$M,"&gt;0")&lt;&gt;1,"",SUMIFS($M:$M,$C:$C,$C127,$D:$D,$D127,$E:$E,"P0(전)"))</f>
        <v/>
      </c>
      <c r="Q127" s="48">
        <f>IF(COUNTIFS($C:$C,$C127,$D:$D,$D127,$E:$E,"P0(후)",$M:$M,"&gt;0")&lt;&gt;1,"",SUMIFS($I:$I,$C:$C,$C127,$D:$D,$D127,$E:$E,"P0(후)"))</f>
        <v/>
      </c>
      <c r="R127" s="31">
        <f>IF(COUNTIFS($C:$C,$C127,$D:$D,$D127,$E:$E,"P0(후)",$M:$M,"&gt;0")&lt;&gt;1,"",SUMIFS($M:$M,$C:$C,$C127,$D:$D,$D127,$E:$E,"P0(후)"))</f>
        <v/>
      </c>
      <c r="S127" s="31">
        <f>IF(N127&lt;&gt;"OK","",P127+(R127-P127)*(I127-O127)/(Q127-O127))</f>
        <v/>
      </c>
      <c r="T127" s="31">
        <f>IF(OR(N127&lt;&gt;"OK",NOT(ISNUMBER(M127))),"",M127-S127)</f>
        <v/>
      </c>
      <c r="U127" s="49">
        <f>IF(OR(NOT(ISNUMBER(T127)),IF(ISNUMBER(H127),H127,G127)=0),"",T127/IF(ISNUMBER(H127),H127,G127))</f>
        <v/>
      </c>
      <c r="V127" s="49">
        <f>IF(ISNUMBER(U127),ABS(U127),"")</f>
        <v/>
      </c>
      <c r="W127" s="49">
        <f>IF(OR($E126&lt;&gt;"측정",$C126&lt;&gt;$C127,$D126&lt;&gt;$D127,NOT(ISNUMBER(M127)),NOT(ISNUMBER(M126)),(IF(ISNUMBER(H127),H127,G127)-IF(ISNUMBER(H126),H126,G126))=0),"",(M127-M126)/(IF(ISNUMBER(H127),H127,G127)-IF(ISNUMBER(H126),H126,G126)))</f>
        <v/>
      </c>
      <c r="X127" s="31">
        <f>IF(NOT(AND(ISNUMBER(O127),ISNUMBER(Q127))),"",(Q127-O127)*1440)</f>
        <v/>
      </c>
      <c r="Y127" s="29" t="n"/>
      <c r="Z127" s="29" t="n"/>
      <c r="AA127" s="29" t="n"/>
      <c r="AB127" s="32" t="n"/>
      <c r="AC127" s="32" t="n"/>
    </row>
    <row r="128">
      <c r="A128" s="26" t="inlineStr">
        <is>
          <t>S03</t>
        </is>
      </c>
      <c r="B128" s="26" t="inlineStr">
        <is>
          <t>예산 신규점2</t>
        </is>
      </c>
      <c r="C128" s="26" t="inlineStr">
        <is>
          <t>S03-H서</t>
        </is>
      </c>
      <c r="D128" s="47" t="n">
        <v>1</v>
      </c>
      <c r="E128" s="26" t="inlineStr">
        <is>
          <t>측정</t>
        </is>
      </c>
      <c r="F128" s="26" t="inlineStr">
        <is>
          <t>서</t>
        </is>
      </c>
      <c r="G128" s="31" t="n">
        <v>4</v>
      </c>
      <c r="H128" s="30" t="n"/>
      <c r="I128" s="43" t="n"/>
      <c r="J128" s="41" t="n"/>
      <c r="K128" s="41" t="n"/>
      <c r="L128" s="41" t="n"/>
      <c r="M128" s="31">
        <f>IF(COUNT(J128:L128)=0,"",MEDIAN(J128:L128))</f>
        <v/>
      </c>
      <c r="N128" s="26">
        <f>IF(COUNTIFS($C:$C,$C128,$D:$D,$D128,$E:$E,"P0(전)",$M:$M,"&gt;0")&lt;&gt;1,"P0(전) 유효 1개 아님",IF(COUNTIFS($C:$C,$C128,$D:$D,$D128,$E:$E,"P0(후)",$M:$M,"&gt;0")&lt;&gt;1,"P0(후) 유효 1개 아님",IF(NOT(AND(ISNUMBER(O128),ISNUMBER(Q128),ISNUMBER(I128))),"시각 결측",IF(Q128&lt;=O128,"P0 시각 역전",IF(OR(I128&lt;O128,I128&gt;Q128),"측정시각 구간 밖","OK")))))</f>
        <v/>
      </c>
      <c r="O128" s="48">
        <f>IF(COUNTIFS($C:$C,$C128,$D:$D,$D128,$E:$E,"P0(전)",$M:$M,"&gt;0")&lt;&gt;1,"",SUMIFS($I:$I,$C:$C,$C128,$D:$D,$D128,$E:$E,"P0(전)"))</f>
        <v/>
      </c>
      <c r="P128" s="31">
        <f>IF(COUNTIFS($C:$C,$C128,$D:$D,$D128,$E:$E,"P0(전)",$M:$M,"&gt;0")&lt;&gt;1,"",SUMIFS($M:$M,$C:$C,$C128,$D:$D,$D128,$E:$E,"P0(전)"))</f>
        <v/>
      </c>
      <c r="Q128" s="48">
        <f>IF(COUNTIFS($C:$C,$C128,$D:$D,$D128,$E:$E,"P0(후)",$M:$M,"&gt;0")&lt;&gt;1,"",SUMIFS($I:$I,$C:$C,$C128,$D:$D,$D128,$E:$E,"P0(후)"))</f>
        <v/>
      </c>
      <c r="R128" s="31">
        <f>IF(COUNTIFS($C:$C,$C128,$D:$D,$D128,$E:$E,"P0(후)",$M:$M,"&gt;0")&lt;&gt;1,"",SUMIFS($M:$M,$C:$C,$C128,$D:$D,$D128,$E:$E,"P0(후)"))</f>
        <v/>
      </c>
      <c r="S128" s="31">
        <f>IF(N128&lt;&gt;"OK","",P128+(R128-P128)*(I128-O128)/(Q128-O128))</f>
        <v/>
      </c>
      <c r="T128" s="31">
        <f>IF(OR(N128&lt;&gt;"OK",NOT(ISNUMBER(M128))),"",M128-S128)</f>
        <v/>
      </c>
      <c r="U128" s="49">
        <f>IF(OR(NOT(ISNUMBER(T128)),IF(ISNUMBER(H128),H128,G128)=0),"",T128/IF(ISNUMBER(H128),H128,G128))</f>
        <v/>
      </c>
      <c r="V128" s="49">
        <f>IF(ISNUMBER(U128),ABS(U128),"")</f>
        <v/>
      </c>
      <c r="W128" s="49">
        <f>IF(OR($E127&lt;&gt;"측정",$C127&lt;&gt;$C128,$D127&lt;&gt;$D128,NOT(ISNUMBER(M128)),NOT(ISNUMBER(M127)),(IF(ISNUMBER(H128),H128,G128)-IF(ISNUMBER(H127),H127,G127))=0),"",(M128-M127)/(IF(ISNUMBER(H128),H128,G128)-IF(ISNUMBER(H127),H127,G127)))</f>
        <v/>
      </c>
      <c r="X128" s="31">
        <f>IF(NOT(AND(ISNUMBER(O128),ISNUMBER(Q128))),"",(Q128-O128)*1440)</f>
        <v/>
      </c>
      <c r="Y128" s="29" t="n"/>
      <c r="Z128" s="29" t="n"/>
      <c r="AA128" s="29" t="n"/>
      <c r="AB128" s="32" t="n"/>
      <c r="AC128" s="32" t="n"/>
    </row>
    <row r="129">
      <c r="A129" s="26" t="inlineStr">
        <is>
          <t>S03</t>
        </is>
      </c>
      <c r="B129" s="26" t="inlineStr">
        <is>
          <t>예산 신규점2</t>
        </is>
      </c>
      <c r="C129" s="26" t="inlineStr">
        <is>
          <t>S03-H서</t>
        </is>
      </c>
      <c r="D129" s="47" t="n">
        <v>1</v>
      </c>
      <c r="E129" s="26" t="inlineStr">
        <is>
          <t>측정</t>
        </is>
      </c>
      <c r="F129" s="26" t="inlineStr">
        <is>
          <t>서</t>
        </is>
      </c>
      <c r="G129" s="31" t="n">
        <v>5</v>
      </c>
      <c r="H129" s="30" t="n"/>
      <c r="I129" s="43" t="n"/>
      <c r="J129" s="41" t="n"/>
      <c r="K129" s="41" t="n"/>
      <c r="L129" s="41" t="n"/>
      <c r="M129" s="31">
        <f>IF(COUNT(J129:L129)=0,"",MEDIAN(J129:L129))</f>
        <v/>
      </c>
      <c r="N129" s="26">
        <f>IF(COUNTIFS($C:$C,$C129,$D:$D,$D129,$E:$E,"P0(전)",$M:$M,"&gt;0")&lt;&gt;1,"P0(전) 유효 1개 아님",IF(COUNTIFS($C:$C,$C129,$D:$D,$D129,$E:$E,"P0(후)",$M:$M,"&gt;0")&lt;&gt;1,"P0(후) 유효 1개 아님",IF(NOT(AND(ISNUMBER(O129),ISNUMBER(Q129),ISNUMBER(I129))),"시각 결측",IF(Q129&lt;=O129,"P0 시각 역전",IF(OR(I129&lt;O129,I129&gt;Q129),"측정시각 구간 밖","OK")))))</f>
        <v/>
      </c>
      <c r="O129" s="48">
        <f>IF(COUNTIFS($C:$C,$C129,$D:$D,$D129,$E:$E,"P0(전)",$M:$M,"&gt;0")&lt;&gt;1,"",SUMIFS($I:$I,$C:$C,$C129,$D:$D,$D129,$E:$E,"P0(전)"))</f>
        <v/>
      </c>
      <c r="P129" s="31">
        <f>IF(COUNTIFS($C:$C,$C129,$D:$D,$D129,$E:$E,"P0(전)",$M:$M,"&gt;0")&lt;&gt;1,"",SUMIFS($M:$M,$C:$C,$C129,$D:$D,$D129,$E:$E,"P0(전)"))</f>
        <v/>
      </c>
      <c r="Q129" s="48">
        <f>IF(COUNTIFS($C:$C,$C129,$D:$D,$D129,$E:$E,"P0(후)",$M:$M,"&gt;0")&lt;&gt;1,"",SUMIFS($I:$I,$C:$C,$C129,$D:$D,$D129,$E:$E,"P0(후)"))</f>
        <v/>
      </c>
      <c r="R129" s="31">
        <f>IF(COUNTIFS($C:$C,$C129,$D:$D,$D129,$E:$E,"P0(후)",$M:$M,"&gt;0")&lt;&gt;1,"",SUMIFS($M:$M,$C:$C,$C129,$D:$D,$D129,$E:$E,"P0(후)"))</f>
        <v/>
      </c>
      <c r="S129" s="31">
        <f>IF(N129&lt;&gt;"OK","",P129+(R129-P129)*(I129-O129)/(Q129-O129))</f>
        <v/>
      </c>
      <c r="T129" s="31">
        <f>IF(OR(N129&lt;&gt;"OK",NOT(ISNUMBER(M129))),"",M129-S129)</f>
        <v/>
      </c>
      <c r="U129" s="49">
        <f>IF(OR(NOT(ISNUMBER(T129)),IF(ISNUMBER(H129),H129,G129)=0),"",T129/IF(ISNUMBER(H129),H129,G129))</f>
        <v/>
      </c>
      <c r="V129" s="49">
        <f>IF(ISNUMBER(U129),ABS(U129),"")</f>
        <v/>
      </c>
      <c r="W129" s="49">
        <f>IF(OR($E128&lt;&gt;"측정",$C128&lt;&gt;$C129,$D128&lt;&gt;$D129,NOT(ISNUMBER(M129)),NOT(ISNUMBER(M128)),(IF(ISNUMBER(H129),H129,G129)-IF(ISNUMBER(H128),H128,G128))=0),"",(M129-M128)/(IF(ISNUMBER(H129),H129,G129)-IF(ISNUMBER(H128),H128,G128)))</f>
        <v/>
      </c>
      <c r="X129" s="31">
        <f>IF(NOT(AND(ISNUMBER(O129),ISNUMBER(Q129))),"",(Q129-O129)*1440)</f>
        <v/>
      </c>
      <c r="Y129" s="29" t="n"/>
      <c r="Z129" s="29" t="n"/>
      <c r="AA129" s="29" t="n"/>
      <c r="AB129" s="32" t="n"/>
      <c r="AC129" s="32" t="n"/>
    </row>
    <row r="130">
      <c r="A130" s="26" t="inlineStr">
        <is>
          <t>S03</t>
        </is>
      </c>
      <c r="B130" s="26" t="inlineStr">
        <is>
          <t>예산 신규점2</t>
        </is>
      </c>
      <c r="C130" s="26" t="inlineStr">
        <is>
          <t>S03-H서</t>
        </is>
      </c>
      <c r="D130" s="47" t="n">
        <v>1</v>
      </c>
      <c r="E130" s="26" t="inlineStr">
        <is>
          <t>측정</t>
        </is>
      </c>
      <c r="F130" s="26" t="inlineStr">
        <is>
          <t>서</t>
        </is>
      </c>
      <c r="G130" s="31" t="n">
        <v>6</v>
      </c>
      <c r="H130" s="30" t="n"/>
      <c r="I130" s="43" t="n"/>
      <c r="J130" s="41" t="n"/>
      <c r="K130" s="41" t="n"/>
      <c r="L130" s="41" t="n"/>
      <c r="M130" s="31">
        <f>IF(COUNT(J130:L130)=0,"",MEDIAN(J130:L130))</f>
        <v/>
      </c>
      <c r="N130" s="26">
        <f>IF(COUNTIFS($C:$C,$C130,$D:$D,$D130,$E:$E,"P0(전)",$M:$M,"&gt;0")&lt;&gt;1,"P0(전) 유효 1개 아님",IF(COUNTIFS($C:$C,$C130,$D:$D,$D130,$E:$E,"P0(후)",$M:$M,"&gt;0")&lt;&gt;1,"P0(후) 유효 1개 아님",IF(NOT(AND(ISNUMBER(O130),ISNUMBER(Q130),ISNUMBER(I130))),"시각 결측",IF(Q130&lt;=O130,"P0 시각 역전",IF(OR(I130&lt;O130,I130&gt;Q130),"측정시각 구간 밖","OK")))))</f>
        <v/>
      </c>
      <c r="O130" s="48">
        <f>IF(COUNTIFS($C:$C,$C130,$D:$D,$D130,$E:$E,"P0(전)",$M:$M,"&gt;0")&lt;&gt;1,"",SUMIFS($I:$I,$C:$C,$C130,$D:$D,$D130,$E:$E,"P0(전)"))</f>
        <v/>
      </c>
      <c r="P130" s="31">
        <f>IF(COUNTIFS($C:$C,$C130,$D:$D,$D130,$E:$E,"P0(전)",$M:$M,"&gt;0")&lt;&gt;1,"",SUMIFS($M:$M,$C:$C,$C130,$D:$D,$D130,$E:$E,"P0(전)"))</f>
        <v/>
      </c>
      <c r="Q130" s="48">
        <f>IF(COUNTIFS($C:$C,$C130,$D:$D,$D130,$E:$E,"P0(후)",$M:$M,"&gt;0")&lt;&gt;1,"",SUMIFS($I:$I,$C:$C,$C130,$D:$D,$D130,$E:$E,"P0(후)"))</f>
        <v/>
      </c>
      <c r="R130" s="31">
        <f>IF(COUNTIFS($C:$C,$C130,$D:$D,$D130,$E:$E,"P0(후)",$M:$M,"&gt;0")&lt;&gt;1,"",SUMIFS($M:$M,$C:$C,$C130,$D:$D,$D130,$E:$E,"P0(후)"))</f>
        <v/>
      </c>
      <c r="S130" s="31">
        <f>IF(N130&lt;&gt;"OK","",P130+(R130-P130)*(I130-O130)/(Q130-O130))</f>
        <v/>
      </c>
      <c r="T130" s="31">
        <f>IF(OR(N130&lt;&gt;"OK",NOT(ISNUMBER(M130))),"",M130-S130)</f>
        <v/>
      </c>
      <c r="U130" s="49">
        <f>IF(OR(NOT(ISNUMBER(T130)),IF(ISNUMBER(H130),H130,G130)=0),"",T130/IF(ISNUMBER(H130),H130,G130))</f>
        <v/>
      </c>
      <c r="V130" s="49">
        <f>IF(ISNUMBER(U130),ABS(U130),"")</f>
        <v/>
      </c>
      <c r="W130" s="49">
        <f>IF(OR($E129&lt;&gt;"측정",$C129&lt;&gt;$C130,$D129&lt;&gt;$D130,NOT(ISNUMBER(M130)),NOT(ISNUMBER(M129)),(IF(ISNUMBER(H130),H130,G130)-IF(ISNUMBER(H129),H129,G129))=0),"",(M130-M129)/(IF(ISNUMBER(H130),H130,G130)-IF(ISNUMBER(H129),H129,G129)))</f>
        <v/>
      </c>
      <c r="X130" s="31">
        <f>IF(NOT(AND(ISNUMBER(O130),ISNUMBER(Q130))),"",(Q130-O130)*1440)</f>
        <v/>
      </c>
      <c r="Y130" s="29" t="n"/>
      <c r="Z130" s="29" t="n"/>
      <c r="AA130" s="29" t="n"/>
      <c r="AB130" s="32" t="n"/>
      <c r="AC130" s="32" t="n"/>
    </row>
    <row r="131">
      <c r="A131" s="26" t="inlineStr">
        <is>
          <t>S03</t>
        </is>
      </c>
      <c r="B131" s="26" t="inlineStr">
        <is>
          <t>예산 신규점2</t>
        </is>
      </c>
      <c r="C131" s="26" t="inlineStr">
        <is>
          <t>S03-H서</t>
        </is>
      </c>
      <c r="D131" s="47" t="n">
        <v>1</v>
      </c>
      <c r="E131" s="26" t="inlineStr">
        <is>
          <t>측정</t>
        </is>
      </c>
      <c r="F131" s="26" t="inlineStr">
        <is>
          <t>서</t>
        </is>
      </c>
      <c r="G131" s="31" t="n">
        <v>7</v>
      </c>
      <c r="H131" s="30" t="n"/>
      <c r="I131" s="43" t="n"/>
      <c r="J131" s="41" t="n"/>
      <c r="K131" s="41" t="n"/>
      <c r="L131" s="41" t="n"/>
      <c r="M131" s="31">
        <f>IF(COUNT(J131:L131)=0,"",MEDIAN(J131:L131))</f>
        <v/>
      </c>
      <c r="N131" s="26">
        <f>IF(COUNTIFS($C:$C,$C131,$D:$D,$D131,$E:$E,"P0(전)",$M:$M,"&gt;0")&lt;&gt;1,"P0(전) 유효 1개 아님",IF(COUNTIFS($C:$C,$C131,$D:$D,$D131,$E:$E,"P0(후)",$M:$M,"&gt;0")&lt;&gt;1,"P0(후) 유효 1개 아님",IF(NOT(AND(ISNUMBER(O131),ISNUMBER(Q131),ISNUMBER(I131))),"시각 결측",IF(Q131&lt;=O131,"P0 시각 역전",IF(OR(I131&lt;O131,I131&gt;Q131),"측정시각 구간 밖","OK")))))</f>
        <v/>
      </c>
      <c r="O131" s="48">
        <f>IF(COUNTIFS($C:$C,$C131,$D:$D,$D131,$E:$E,"P0(전)",$M:$M,"&gt;0")&lt;&gt;1,"",SUMIFS($I:$I,$C:$C,$C131,$D:$D,$D131,$E:$E,"P0(전)"))</f>
        <v/>
      </c>
      <c r="P131" s="31">
        <f>IF(COUNTIFS($C:$C,$C131,$D:$D,$D131,$E:$E,"P0(전)",$M:$M,"&gt;0")&lt;&gt;1,"",SUMIFS($M:$M,$C:$C,$C131,$D:$D,$D131,$E:$E,"P0(전)"))</f>
        <v/>
      </c>
      <c r="Q131" s="48">
        <f>IF(COUNTIFS($C:$C,$C131,$D:$D,$D131,$E:$E,"P0(후)",$M:$M,"&gt;0")&lt;&gt;1,"",SUMIFS($I:$I,$C:$C,$C131,$D:$D,$D131,$E:$E,"P0(후)"))</f>
        <v/>
      </c>
      <c r="R131" s="31">
        <f>IF(COUNTIFS($C:$C,$C131,$D:$D,$D131,$E:$E,"P0(후)",$M:$M,"&gt;0")&lt;&gt;1,"",SUMIFS($M:$M,$C:$C,$C131,$D:$D,$D131,$E:$E,"P0(후)"))</f>
        <v/>
      </c>
      <c r="S131" s="31">
        <f>IF(N131&lt;&gt;"OK","",P131+(R131-P131)*(I131-O131)/(Q131-O131))</f>
        <v/>
      </c>
      <c r="T131" s="31">
        <f>IF(OR(N131&lt;&gt;"OK",NOT(ISNUMBER(M131))),"",M131-S131)</f>
        <v/>
      </c>
      <c r="U131" s="49">
        <f>IF(OR(NOT(ISNUMBER(T131)),IF(ISNUMBER(H131),H131,G131)=0),"",T131/IF(ISNUMBER(H131),H131,G131))</f>
        <v/>
      </c>
      <c r="V131" s="49">
        <f>IF(ISNUMBER(U131),ABS(U131),"")</f>
        <v/>
      </c>
      <c r="W131" s="49">
        <f>IF(OR($E130&lt;&gt;"측정",$C130&lt;&gt;$C131,$D130&lt;&gt;$D131,NOT(ISNUMBER(M131)),NOT(ISNUMBER(M130)),(IF(ISNUMBER(H131),H131,G131)-IF(ISNUMBER(H130),H130,G130))=0),"",(M131-M130)/(IF(ISNUMBER(H131),H131,G131)-IF(ISNUMBER(H130),H130,G130)))</f>
        <v/>
      </c>
      <c r="X131" s="31">
        <f>IF(NOT(AND(ISNUMBER(O131),ISNUMBER(Q131))),"",(Q131-O131)*1440)</f>
        <v/>
      </c>
      <c r="Y131" s="29" t="n"/>
      <c r="Z131" s="29" t="n"/>
      <c r="AA131" s="29" t="n"/>
      <c r="AB131" s="32" t="n"/>
      <c r="AC131" s="32" t="n"/>
    </row>
    <row r="132">
      <c r="A132" s="26" t="inlineStr">
        <is>
          <t>S03</t>
        </is>
      </c>
      <c r="B132" s="26" t="inlineStr">
        <is>
          <t>예산 신규점2</t>
        </is>
      </c>
      <c r="C132" s="26" t="inlineStr">
        <is>
          <t>S03-H서</t>
        </is>
      </c>
      <c r="D132" s="47" t="n">
        <v>1</v>
      </c>
      <c r="E132" s="26" t="inlineStr">
        <is>
          <t>측정</t>
        </is>
      </c>
      <c r="F132" s="26" t="inlineStr">
        <is>
          <t>서</t>
        </is>
      </c>
      <c r="G132" s="31" t="n">
        <v>8</v>
      </c>
      <c r="H132" s="30" t="n"/>
      <c r="I132" s="43" t="n"/>
      <c r="J132" s="41" t="n"/>
      <c r="K132" s="41" t="n"/>
      <c r="L132" s="41" t="n"/>
      <c r="M132" s="31">
        <f>IF(COUNT(J132:L132)=0,"",MEDIAN(J132:L132))</f>
        <v/>
      </c>
      <c r="N132" s="26">
        <f>IF(COUNTIFS($C:$C,$C132,$D:$D,$D132,$E:$E,"P0(전)",$M:$M,"&gt;0")&lt;&gt;1,"P0(전) 유효 1개 아님",IF(COUNTIFS($C:$C,$C132,$D:$D,$D132,$E:$E,"P0(후)",$M:$M,"&gt;0")&lt;&gt;1,"P0(후) 유효 1개 아님",IF(NOT(AND(ISNUMBER(O132),ISNUMBER(Q132),ISNUMBER(I132))),"시각 결측",IF(Q132&lt;=O132,"P0 시각 역전",IF(OR(I132&lt;O132,I132&gt;Q132),"측정시각 구간 밖","OK")))))</f>
        <v/>
      </c>
      <c r="O132" s="48">
        <f>IF(COUNTIFS($C:$C,$C132,$D:$D,$D132,$E:$E,"P0(전)",$M:$M,"&gt;0")&lt;&gt;1,"",SUMIFS($I:$I,$C:$C,$C132,$D:$D,$D132,$E:$E,"P0(전)"))</f>
        <v/>
      </c>
      <c r="P132" s="31">
        <f>IF(COUNTIFS($C:$C,$C132,$D:$D,$D132,$E:$E,"P0(전)",$M:$M,"&gt;0")&lt;&gt;1,"",SUMIFS($M:$M,$C:$C,$C132,$D:$D,$D132,$E:$E,"P0(전)"))</f>
        <v/>
      </c>
      <c r="Q132" s="48">
        <f>IF(COUNTIFS($C:$C,$C132,$D:$D,$D132,$E:$E,"P0(후)",$M:$M,"&gt;0")&lt;&gt;1,"",SUMIFS($I:$I,$C:$C,$C132,$D:$D,$D132,$E:$E,"P0(후)"))</f>
        <v/>
      </c>
      <c r="R132" s="31">
        <f>IF(COUNTIFS($C:$C,$C132,$D:$D,$D132,$E:$E,"P0(후)",$M:$M,"&gt;0")&lt;&gt;1,"",SUMIFS($M:$M,$C:$C,$C132,$D:$D,$D132,$E:$E,"P0(후)"))</f>
        <v/>
      </c>
      <c r="S132" s="31">
        <f>IF(N132&lt;&gt;"OK","",P132+(R132-P132)*(I132-O132)/(Q132-O132))</f>
        <v/>
      </c>
      <c r="T132" s="31">
        <f>IF(OR(N132&lt;&gt;"OK",NOT(ISNUMBER(M132))),"",M132-S132)</f>
        <v/>
      </c>
      <c r="U132" s="49">
        <f>IF(OR(NOT(ISNUMBER(T132)),IF(ISNUMBER(H132),H132,G132)=0),"",T132/IF(ISNUMBER(H132),H132,G132))</f>
        <v/>
      </c>
      <c r="V132" s="49">
        <f>IF(ISNUMBER(U132),ABS(U132),"")</f>
        <v/>
      </c>
      <c r="W132" s="49">
        <f>IF(OR($E131&lt;&gt;"측정",$C131&lt;&gt;$C132,$D131&lt;&gt;$D132,NOT(ISNUMBER(M132)),NOT(ISNUMBER(M131)),(IF(ISNUMBER(H132),H132,G132)-IF(ISNUMBER(H131),H131,G131))=0),"",(M132-M131)/(IF(ISNUMBER(H132),H132,G132)-IF(ISNUMBER(H131),H131,G131)))</f>
        <v/>
      </c>
      <c r="X132" s="31">
        <f>IF(NOT(AND(ISNUMBER(O132),ISNUMBER(Q132))),"",(Q132-O132)*1440)</f>
        <v/>
      </c>
      <c r="Y132" s="29" t="n"/>
      <c r="Z132" s="29" t="n"/>
      <c r="AA132" s="29" t="n"/>
      <c r="AB132" s="32" t="n"/>
      <c r="AC132" s="32" t="n"/>
    </row>
    <row r="133">
      <c r="A133" s="26" t="inlineStr">
        <is>
          <t>S03</t>
        </is>
      </c>
      <c r="B133" s="26" t="inlineStr">
        <is>
          <t>예산 신규점2</t>
        </is>
      </c>
      <c r="C133" s="26" t="inlineStr">
        <is>
          <t>S03-H서</t>
        </is>
      </c>
      <c r="D133" s="47" t="n">
        <v>1</v>
      </c>
      <c r="E133" s="26" t="inlineStr">
        <is>
          <t>측정</t>
        </is>
      </c>
      <c r="F133" s="26" t="inlineStr">
        <is>
          <t>서</t>
        </is>
      </c>
      <c r="G133" s="31" t="n">
        <v>9</v>
      </c>
      <c r="H133" s="30" t="n"/>
      <c r="I133" s="43" t="n"/>
      <c r="J133" s="41" t="n"/>
      <c r="K133" s="41" t="n"/>
      <c r="L133" s="41" t="n"/>
      <c r="M133" s="31">
        <f>IF(COUNT(J133:L133)=0,"",MEDIAN(J133:L133))</f>
        <v/>
      </c>
      <c r="N133" s="26">
        <f>IF(COUNTIFS($C:$C,$C133,$D:$D,$D133,$E:$E,"P0(전)",$M:$M,"&gt;0")&lt;&gt;1,"P0(전) 유효 1개 아님",IF(COUNTIFS($C:$C,$C133,$D:$D,$D133,$E:$E,"P0(후)",$M:$M,"&gt;0")&lt;&gt;1,"P0(후) 유효 1개 아님",IF(NOT(AND(ISNUMBER(O133),ISNUMBER(Q133),ISNUMBER(I133))),"시각 결측",IF(Q133&lt;=O133,"P0 시각 역전",IF(OR(I133&lt;O133,I133&gt;Q133),"측정시각 구간 밖","OK")))))</f>
        <v/>
      </c>
      <c r="O133" s="48">
        <f>IF(COUNTIFS($C:$C,$C133,$D:$D,$D133,$E:$E,"P0(전)",$M:$M,"&gt;0")&lt;&gt;1,"",SUMIFS($I:$I,$C:$C,$C133,$D:$D,$D133,$E:$E,"P0(전)"))</f>
        <v/>
      </c>
      <c r="P133" s="31">
        <f>IF(COUNTIFS($C:$C,$C133,$D:$D,$D133,$E:$E,"P0(전)",$M:$M,"&gt;0")&lt;&gt;1,"",SUMIFS($M:$M,$C:$C,$C133,$D:$D,$D133,$E:$E,"P0(전)"))</f>
        <v/>
      </c>
      <c r="Q133" s="48">
        <f>IF(COUNTIFS($C:$C,$C133,$D:$D,$D133,$E:$E,"P0(후)",$M:$M,"&gt;0")&lt;&gt;1,"",SUMIFS($I:$I,$C:$C,$C133,$D:$D,$D133,$E:$E,"P0(후)"))</f>
        <v/>
      </c>
      <c r="R133" s="31">
        <f>IF(COUNTIFS($C:$C,$C133,$D:$D,$D133,$E:$E,"P0(후)",$M:$M,"&gt;0")&lt;&gt;1,"",SUMIFS($M:$M,$C:$C,$C133,$D:$D,$D133,$E:$E,"P0(후)"))</f>
        <v/>
      </c>
      <c r="S133" s="31">
        <f>IF(N133&lt;&gt;"OK","",P133+(R133-P133)*(I133-O133)/(Q133-O133))</f>
        <v/>
      </c>
      <c r="T133" s="31">
        <f>IF(OR(N133&lt;&gt;"OK",NOT(ISNUMBER(M133))),"",M133-S133)</f>
        <v/>
      </c>
      <c r="U133" s="49">
        <f>IF(OR(NOT(ISNUMBER(T133)),IF(ISNUMBER(H133),H133,G133)=0),"",T133/IF(ISNUMBER(H133),H133,G133))</f>
        <v/>
      </c>
      <c r="V133" s="49">
        <f>IF(ISNUMBER(U133),ABS(U133),"")</f>
        <v/>
      </c>
      <c r="W133" s="49">
        <f>IF(OR($E132&lt;&gt;"측정",$C132&lt;&gt;$C133,$D132&lt;&gt;$D133,NOT(ISNUMBER(M133)),NOT(ISNUMBER(M132)),(IF(ISNUMBER(H133),H133,G133)-IF(ISNUMBER(H132),H132,G132))=0),"",(M133-M132)/(IF(ISNUMBER(H133),H133,G133)-IF(ISNUMBER(H132),H132,G132)))</f>
        <v/>
      </c>
      <c r="X133" s="31">
        <f>IF(NOT(AND(ISNUMBER(O133),ISNUMBER(Q133))),"",(Q133-O133)*1440)</f>
        <v/>
      </c>
      <c r="Y133" s="29" t="n"/>
      <c r="Z133" s="29" t="n"/>
      <c r="AA133" s="29" t="n"/>
      <c r="AB133" s="32" t="n"/>
      <c r="AC133" s="32" t="n"/>
    </row>
    <row r="134">
      <c r="A134" s="26" t="inlineStr">
        <is>
          <t>S03</t>
        </is>
      </c>
      <c r="B134" s="26" t="inlineStr">
        <is>
          <t>예산 신규점2</t>
        </is>
      </c>
      <c r="C134" s="26" t="inlineStr">
        <is>
          <t>S03-H서</t>
        </is>
      </c>
      <c r="D134" s="47" t="n">
        <v>1</v>
      </c>
      <c r="E134" s="26" t="inlineStr">
        <is>
          <t>측정</t>
        </is>
      </c>
      <c r="F134" s="26" t="inlineStr">
        <is>
          <t>서</t>
        </is>
      </c>
      <c r="G134" s="31" t="n">
        <v>10</v>
      </c>
      <c r="H134" s="30" t="n"/>
      <c r="I134" s="43" t="n"/>
      <c r="J134" s="41" t="n"/>
      <c r="K134" s="41" t="n"/>
      <c r="L134" s="41" t="n"/>
      <c r="M134" s="31">
        <f>IF(COUNT(J134:L134)=0,"",MEDIAN(J134:L134))</f>
        <v/>
      </c>
      <c r="N134" s="26">
        <f>IF(COUNTIFS($C:$C,$C134,$D:$D,$D134,$E:$E,"P0(전)",$M:$M,"&gt;0")&lt;&gt;1,"P0(전) 유효 1개 아님",IF(COUNTIFS($C:$C,$C134,$D:$D,$D134,$E:$E,"P0(후)",$M:$M,"&gt;0")&lt;&gt;1,"P0(후) 유효 1개 아님",IF(NOT(AND(ISNUMBER(O134),ISNUMBER(Q134),ISNUMBER(I134))),"시각 결측",IF(Q134&lt;=O134,"P0 시각 역전",IF(OR(I134&lt;O134,I134&gt;Q134),"측정시각 구간 밖","OK")))))</f>
        <v/>
      </c>
      <c r="O134" s="48">
        <f>IF(COUNTIFS($C:$C,$C134,$D:$D,$D134,$E:$E,"P0(전)",$M:$M,"&gt;0")&lt;&gt;1,"",SUMIFS($I:$I,$C:$C,$C134,$D:$D,$D134,$E:$E,"P0(전)"))</f>
        <v/>
      </c>
      <c r="P134" s="31">
        <f>IF(COUNTIFS($C:$C,$C134,$D:$D,$D134,$E:$E,"P0(전)",$M:$M,"&gt;0")&lt;&gt;1,"",SUMIFS($M:$M,$C:$C,$C134,$D:$D,$D134,$E:$E,"P0(전)"))</f>
        <v/>
      </c>
      <c r="Q134" s="48">
        <f>IF(COUNTIFS($C:$C,$C134,$D:$D,$D134,$E:$E,"P0(후)",$M:$M,"&gt;0")&lt;&gt;1,"",SUMIFS($I:$I,$C:$C,$C134,$D:$D,$D134,$E:$E,"P0(후)"))</f>
        <v/>
      </c>
      <c r="R134" s="31">
        <f>IF(COUNTIFS($C:$C,$C134,$D:$D,$D134,$E:$E,"P0(후)",$M:$M,"&gt;0")&lt;&gt;1,"",SUMIFS($M:$M,$C:$C,$C134,$D:$D,$D134,$E:$E,"P0(후)"))</f>
        <v/>
      </c>
      <c r="S134" s="31">
        <f>IF(N134&lt;&gt;"OK","",P134+(R134-P134)*(I134-O134)/(Q134-O134))</f>
        <v/>
      </c>
      <c r="T134" s="31">
        <f>IF(OR(N134&lt;&gt;"OK",NOT(ISNUMBER(M134))),"",M134-S134)</f>
        <v/>
      </c>
      <c r="U134" s="49">
        <f>IF(OR(NOT(ISNUMBER(T134)),IF(ISNUMBER(H134),H134,G134)=0),"",T134/IF(ISNUMBER(H134),H134,G134))</f>
        <v/>
      </c>
      <c r="V134" s="49">
        <f>IF(ISNUMBER(U134),ABS(U134),"")</f>
        <v/>
      </c>
      <c r="W134" s="49">
        <f>IF(OR($E133&lt;&gt;"측정",$C133&lt;&gt;$C134,$D133&lt;&gt;$D134,NOT(ISNUMBER(M134)),NOT(ISNUMBER(M133)),(IF(ISNUMBER(H134),H134,G134)-IF(ISNUMBER(H133),H133,G133))=0),"",(M134-M133)/(IF(ISNUMBER(H134),H134,G134)-IF(ISNUMBER(H133),H133,G133)))</f>
        <v/>
      </c>
      <c r="X134" s="31">
        <f>IF(NOT(AND(ISNUMBER(O134),ISNUMBER(Q134))),"",(Q134-O134)*1440)</f>
        <v/>
      </c>
      <c r="Y134" s="29" t="n"/>
      <c r="Z134" s="29" t="n"/>
      <c r="AA134" s="29" t="n"/>
      <c r="AB134" s="32" t="n"/>
      <c r="AC134" s="32" t="n"/>
    </row>
    <row r="135">
      <c r="A135" s="44" t="inlineStr">
        <is>
          <t>S03</t>
        </is>
      </c>
      <c r="B135" s="44" t="inlineStr">
        <is>
          <t>예산 신규점2</t>
        </is>
      </c>
      <c r="C135" s="44" t="inlineStr">
        <is>
          <t>S03-H서</t>
        </is>
      </c>
      <c r="D135" s="45" t="n">
        <v>1</v>
      </c>
      <c r="E135" s="44" t="inlineStr">
        <is>
          <t>P0(후)</t>
        </is>
      </c>
      <c r="F135" s="44" t="inlineStr">
        <is>
          <t>서</t>
        </is>
      </c>
      <c r="G135" s="46" t="n"/>
      <c r="H135" s="30" t="n"/>
      <c r="I135" s="43" t="n"/>
      <c r="J135" s="41" t="n"/>
      <c r="K135" s="41" t="n"/>
      <c r="L135" s="41" t="n"/>
      <c r="M135" s="31">
        <f>IF(COUNT(J135:L135)=0,"",MEDIAN(J135:L135))</f>
        <v/>
      </c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29" t="n"/>
      <c r="Z135" s="29" t="n"/>
      <c r="AA135" s="29" t="n"/>
      <c r="AB135" s="32" t="n"/>
      <c r="AC135" s="32" t="n"/>
    </row>
    <row r="136">
      <c r="A136" s="44" t="inlineStr">
        <is>
          <t>S03</t>
        </is>
      </c>
      <c r="B136" s="44" t="inlineStr">
        <is>
          <t>예산 신규점2</t>
        </is>
      </c>
      <c r="C136" s="44" t="inlineStr">
        <is>
          <t>S03-H남</t>
        </is>
      </c>
      <c r="D136" s="45" t="n">
        <v>1</v>
      </c>
      <c r="E136" s="44" t="inlineStr">
        <is>
          <t>P0(전)</t>
        </is>
      </c>
      <c r="F136" s="44" t="inlineStr">
        <is>
          <t>남</t>
        </is>
      </c>
      <c r="G136" s="46" t="n"/>
      <c r="H136" s="30" t="n"/>
      <c r="I136" s="43" t="n"/>
      <c r="J136" s="41" t="n"/>
      <c r="K136" s="41" t="n"/>
      <c r="L136" s="41" t="n"/>
      <c r="M136" s="31">
        <f>IF(COUNT(J136:L136)=0,"",MEDIAN(J136:L136))</f>
        <v/>
      </c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29" t="n"/>
      <c r="Z136" s="29" t="n"/>
      <c r="AA136" s="29" t="n"/>
      <c r="AB136" s="32" t="n"/>
      <c r="AC136" s="32" t="n"/>
    </row>
    <row r="137">
      <c r="A137" s="26" t="inlineStr">
        <is>
          <t>S03</t>
        </is>
      </c>
      <c r="B137" s="26" t="inlineStr">
        <is>
          <t>예산 신규점2</t>
        </is>
      </c>
      <c r="C137" s="26" t="inlineStr">
        <is>
          <t>S03-H남</t>
        </is>
      </c>
      <c r="D137" s="47" t="n">
        <v>1</v>
      </c>
      <c r="E137" s="26" t="inlineStr">
        <is>
          <t>측정</t>
        </is>
      </c>
      <c r="F137" s="26" t="inlineStr">
        <is>
          <t>남</t>
        </is>
      </c>
      <c r="G137" s="31" t="n">
        <v>0.5</v>
      </c>
      <c r="H137" s="30" t="n"/>
      <c r="I137" s="43" t="n"/>
      <c r="J137" s="41" t="n"/>
      <c r="K137" s="41" t="n"/>
      <c r="L137" s="41" t="n"/>
      <c r="M137" s="31">
        <f>IF(COUNT(J137:L137)=0,"",MEDIAN(J137:L137))</f>
        <v/>
      </c>
      <c r="N137" s="26">
        <f>IF(COUNTIFS($C:$C,$C137,$D:$D,$D137,$E:$E,"P0(전)",$M:$M,"&gt;0")&lt;&gt;1,"P0(전) 유효 1개 아님",IF(COUNTIFS($C:$C,$C137,$D:$D,$D137,$E:$E,"P0(후)",$M:$M,"&gt;0")&lt;&gt;1,"P0(후) 유효 1개 아님",IF(NOT(AND(ISNUMBER(O137),ISNUMBER(Q137),ISNUMBER(I137))),"시각 결측",IF(Q137&lt;=O137,"P0 시각 역전",IF(OR(I137&lt;O137,I137&gt;Q137),"측정시각 구간 밖","OK")))))</f>
        <v/>
      </c>
      <c r="O137" s="48">
        <f>IF(COUNTIFS($C:$C,$C137,$D:$D,$D137,$E:$E,"P0(전)",$M:$M,"&gt;0")&lt;&gt;1,"",SUMIFS($I:$I,$C:$C,$C137,$D:$D,$D137,$E:$E,"P0(전)"))</f>
        <v/>
      </c>
      <c r="P137" s="31">
        <f>IF(COUNTIFS($C:$C,$C137,$D:$D,$D137,$E:$E,"P0(전)",$M:$M,"&gt;0")&lt;&gt;1,"",SUMIFS($M:$M,$C:$C,$C137,$D:$D,$D137,$E:$E,"P0(전)"))</f>
        <v/>
      </c>
      <c r="Q137" s="48">
        <f>IF(COUNTIFS($C:$C,$C137,$D:$D,$D137,$E:$E,"P0(후)",$M:$M,"&gt;0")&lt;&gt;1,"",SUMIFS($I:$I,$C:$C,$C137,$D:$D,$D137,$E:$E,"P0(후)"))</f>
        <v/>
      </c>
      <c r="R137" s="31">
        <f>IF(COUNTIFS($C:$C,$C137,$D:$D,$D137,$E:$E,"P0(후)",$M:$M,"&gt;0")&lt;&gt;1,"",SUMIFS($M:$M,$C:$C,$C137,$D:$D,$D137,$E:$E,"P0(후)"))</f>
        <v/>
      </c>
      <c r="S137" s="31">
        <f>IF(N137&lt;&gt;"OK","",P137+(R137-P137)*(I137-O137)/(Q137-O137))</f>
        <v/>
      </c>
      <c r="T137" s="31">
        <f>IF(OR(N137&lt;&gt;"OK",NOT(ISNUMBER(M137))),"",M137-S137)</f>
        <v/>
      </c>
      <c r="U137" s="49">
        <f>IF(OR(NOT(ISNUMBER(T137)),IF(ISNUMBER(H137),H137,G137)=0),"",T137/IF(ISNUMBER(H137),H137,G137))</f>
        <v/>
      </c>
      <c r="V137" s="49">
        <f>IF(ISNUMBER(U137),ABS(U137),"")</f>
        <v/>
      </c>
      <c r="W137" s="49">
        <f>IF(OR($E136&lt;&gt;"측정",$C136&lt;&gt;$C137,$D136&lt;&gt;$D137,NOT(ISNUMBER(M137)),NOT(ISNUMBER(M136)),(IF(ISNUMBER(H137),H137,G137)-IF(ISNUMBER(H136),H136,G136))=0),"",(M137-M136)/(IF(ISNUMBER(H137),H137,G137)-IF(ISNUMBER(H136),H136,G136)))</f>
        <v/>
      </c>
      <c r="X137" s="31">
        <f>IF(NOT(AND(ISNUMBER(O137),ISNUMBER(Q137))),"",(Q137-O137)*1440)</f>
        <v/>
      </c>
      <c r="Y137" s="29" t="n"/>
      <c r="Z137" s="29" t="n"/>
      <c r="AA137" s="29" t="n"/>
      <c r="AB137" s="32" t="n"/>
      <c r="AC137" s="32" t="n"/>
    </row>
    <row r="138">
      <c r="A138" s="26" t="inlineStr">
        <is>
          <t>S03</t>
        </is>
      </c>
      <c r="B138" s="26" t="inlineStr">
        <is>
          <t>예산 신규점2</t>
        </is>
      </c>
      <c r="C138" s="26" t="inlineStr">
        <is>
          <t>S03-H남</t>
        </is>
      </c>
      <c r="D138" s="47" t="n">
        <v>1</v>
      </c>
      <c r="E138" s="26" t="inlineStr">
        <is>
          <t>측정</t>
        </is>
      </c>
      <c r="F138" s="26" t="inlineStr">
        <is>
          <t>남</t>
        </is>
      </c>
      <c r="G138" s="31" t="n">
        <v>1</v>
      </c>
      <c r="H138" s="30" t="n"/>
      <c r="I138" s="43" t="n"/>
      <c r="J138" s="41" t="n"/>
      <c r="K138" s="41" t="n"/>
      <c r="L138" s="41" t="n"/>
      <c r="M138" s="31">
        <f>IF(COUNT(J138:L138)=0,"",MEDIAN(J138:L138))</f>
        <v/>
      </c>
      <c r="N138" s="26">
        <f>IF(COUNTIFS($C:$C,$C138,$D:$D,$D138,$E:$E,"P0(전)",$M:$M,"&gt;0")&lt;&gt;1,"P0(전) 유효 1개 아님",IF(COUNTIFS($C:$C,$C138,$D:$D,$D138,$E:$E,"P0(후)",$M:$M,"&gt;0")&lt;&gt;1,"P0(후) 유효 1개 아님",IF(NOT(AND(ISNUMBER(O138),ISNUMBER(Q138),ISNUMBER(I138))),"시각 결측",IF(Q138&lt;=O138,"P0 시각 역전",IF(OR(I138&lt;O138,I138&gt;Q138),"측정시각 구간 밖","OK")))))</f>
        <v/>
      </c>
      <c r="O138" s="48">
        <f>IF(COUNTIFS($C:$C,$C138,$D:$D,$D138,$E:$E,"P0(전)",$M:$M,"&gt;0")&lt;&gt;1,"",SUMIFS($I:$I,$C:$C,$C138,$D:$D,$D138,$E:$E,"P0(전)"))</f>
        <v/>
      </c>
      <c r="P138" s="31">
        <f>IF(COUNTIFS($C:$C,$C138,$D:$D,$D138,$E:$E,"P0(전)",$M:$M,"&gt;0")&lt;&gt;1,"",SUMIFS($M:$M,$C:$C,$C138,$D:$D,$D138,$E:$E,"P0(전)"))</f>
        <v/>
      </c>
      <c r="Q138" s="48">
        <f>IF(COUNTIFS($C:$C,$C138,$D:$D,$D138,$E:$E,"P0(후)",$M:$M,"&gt;0")&lt;&gt;1,"",SUMIFS($I:$I,$C:$C,$C138,$D:$D,$D138,$E:$E,"P0(후)"))</f>
        <v/>
      </c>
      <c r="R138" s="31">
        <f>IF(COUNTIFS($C:$C,$C138,$D:$D,$D138,$E:$E,"P0(후)",$M:$M,"&gt;0")&lt;&gt;1,"",SUMIFS($M:$M,$C:$C,$C138,$D:$D,$D138,$E:$E,"P0(후)"))</f>
        <v/>
      </c>
      <c r="S138" s="31">
        <f>IF(N138&lt;&gt;"OK","",P138+(R138-P138)*(I138-O138)/(Q138-O138))</f>
        <v/>
      </c>
      <c r="T138" s="31">
        <f>IF(OR(N138&lt;&gt;"OK",NOT(ISNUMBER(M138))),"",M138-S138)</f>
        <v/>
      </c>
      <c r="U138" s="49">
        <f>IF(OR(NOT(ISNUMBER(T138)),IF(ISNUMBER(H138),H138,G138)=0),"",T138/IF(ISNUMBER(H138),H138,G138))</f>
        <v/>
      </c>
      <c r="V138" s="49">
        <f>IF(ISNUMBER(U138),ABS(U138),"")</f>
        <v/>
      </c>
      <c r="W138" s="49">
        <f>IF(OR($E137&lt;&gt;"측정",$C137&lt;&gt;$C138,$D137&lt;&gt;$D138,NOT(ISNUMBER(M138)),NOT(ISNUMBER(M137)),(IF(ISNUMBER(H138),H138,G138)-IF(ISNUMBER(H137),H137,G137))=0),"",(M138-M137)/(IF(ISNUMBER(H138),H138,G138)-IF(ISNUMBER(H137),H137,G137)))</f>
        <v/>
      </c>
      <c r="X138" s="31">
        <f>IF(NOT(AND(ISNUMBER(O138),ISNUMBER(Q138))),"",(Q138-O138)*1440)</f>
        <v/>
      </c>
      <c r="Y138" s="29" t="n"/>
      <c r="Z138" s="29" t="n"/>
      <c r="AA138" s="29" t="n"/>
      <c r="AB138" s="32" t="n"/>
      <c r="AC138" s="32" t="n"/>
    </row>
    <row r="139">
      <c r="A139" s="26" t="inlineStr">
        <is>
          <t>S03</t>
        </is>
      </c>
      <c r="B139" s="26" t="inlineStr">
        <is>
          <t>예산 신규점2</t>
        </is>
      </c>
      <c r="C139" s="26" t="inlineStr">
        <is>
          <t>S03-H남</t>
        </is>
      </c>
      <c r="D139" s="47" t="n">
        <v>1</v>
      </c>
      <c r="E139" s="26" t="inlineStr">
        <is>
          <t>측정</t>
        </is>
      </c>
      <c r="F139" s="26" t="inlineStr">
        <is>
          <t>남</t>
        </is>
      </c>
      <c r="G139" s="31" t="n">
        <v>2</v>
      </c>
      <c r="H139" s="30" t="n"/>
      <c r="I139" s="43" t="n"/>
      <c r="J139" s="41" t="n"/>
      <c r="K139" s="41" t="n"/>
      <c r="L139" s="41" t="n"/>
      <c r="M139" s="31">
        <f>IF(COUNT(J139:L139)=0,"",MEDIAN(J139:L139))</f>
        <v/>
      </c>
      <c r="N139" s="26">
        <f>IF(COUNTIFS($C:$C,$C139,$D:$D,$D139,$E:$E,"P0(전)",$M:$M,"&gt;0")&lt;&gt;1,"P0(전) 유효 1개 아님",IF(COUNTIFS($C:$C,$C139,$D:$D,$D139,$E:$E,"P0(후)",$M:$M,"&gt;0")&lt;&gt;1,"P0(후) 유효 1개 아님",IF(NOT(AND(ISNUMBER(O139),ISNUMBER(Q139),ISNUMBER(I139))),"시각 결측",IF(Q139&lt;=O139,"P0 시각 역전",IF(OR(I139&lt;O139,I139&gt;Q139),"측정시각 구간 밖","OK")))))</f>
        <v/>
      </c>
      <c r="O139" s="48">
        <f>IF(COUNTIFS($C:$C,$C139,$D:$D,$D139,$E:$E,"P0(전)",$M:$M,"&gt;0")&lt;&gt;1,"",SUMIFS($I:$I,$C:$C,$C139,$D:$D,$D139,$E:$E,"P0(전)"))</f>
        <v/>
      </c>
      <c r="P139" s="31">
        <f>IF(COUNTIFS($C:$C,$C139,$D:$D,$D139,$E:$E,"P0(전)",$M:$M,"&gt;0")&lt;&gt;1,"",SUMIFS($M:$M,$C:$C,$C139,$D:$D,$D139,$E:$E,"P0(전)"))</f>
        <v/>
      </c>
      <c r="Q139" s="48">
        <f>IF(COUNTIFS($C:$C,$C139,$D:$D,$D139,$E:$E,"P0(후)",$M:$M,"&gt;0")&lt;&gt;1,"",SUMIFS($I:$I,$C:$C,$C139,$D:$D,$D139,$E:$E,"P0(후)"))</f>
        <v/>
      </c>
      <c r="R139" s="31">
        <f>IF(COUNTIFS($C:$C,$C139,$D:$D,$D139,$E:$E,"P0(후)",$M:$M,"&gt;0")&lt;&gt;1,"",SUMIFS($M:$M,$C:$C,$C139,$D:$D,$D139,$E:$E,"P0(후)"))</f>
        <v/>
      </c>
      <c r="S139" s="31">
        <f>IF(N139&lt;&gt;"OK","",P139+(R139-P139)*(I139-O139)/(Q139-O139))</f>
        <v/>
      </c>
      <c r="T139" s="31">
        <f>IF(OR(N139&lt;&gt;"OK",NOT(ISNUMBER(M139))),"",M139-S139)</f>
        <v/>
      </c>
      <c r="U139" s="49">
        <f>IF(OR(NOT(ISNUMBER(T139)),IF(ISNUMBER(H139),H139,G139)=0),"",T139/IF(ISNUMBER(H139),H139,G139))</f>
        <v/>
      </c>
      <c r="V139" s="49">
        <f>IF(ISNUMBER(U139),ABS(U139),"")</f>
        <v/>
      </c>
      <c r="W139" s="49">
        <f>IF(OR($E138&lt;&gt;"측정",$C138&lt;&gt;$C139,$D138&lt;&gt;$D139,NOT(ISNUMBER(M139)),NOT(ISNUMBER(M138)),(IF(ISNUMBER(H139),H139,G139)-IF(ISNUMBER(H138),H138,G138))=0),"",(M139-M138)/(IF(ISNUMBER(H139),H139,G139)-IF(ISNUMBER(H138),H138,G138)))</f>
        <v/>
      </c>
      <c r="X139" s="31">
        <f>IF(NOT(AND(ISNUMBER(O139),ISNUMBER(Q139))),"",(Q139-O139)*1440)</f>
        <v/>
      </c>
      <c r="Y139" s="29" t="n"/>
      <c r="Z139" s="29" t="n"/>
      <c r="AA139" s="29" t="n"/>
      <c r="AB139" s="32" t="n"/>
      <c r="AC139" s="32" t="n"/>
    </row>
    <row r="140">
      <c r="A140" s="26" t="inlineStr">
        <is>
          <t>S03</t>
        </is>
      </c>
      <c r="B140" s="26" t="inlineStr">
        <is>
          <t>예산 신규점2</t>
        </is>
      </c>
      <c r="C140" s="26" t="inlineStr">
        <is>
          <t>S03-H남</t>
        </is>
      </c>
      <c r="D140" s="47" t="n">
        <v>1</v>
      </c>
      <c r="E140" s="26" t="inlineStr">
        <is>
          <t>측정</t>
        </is>
      </c>
      <c r="F140" s="26" t="inlineStr">
        <is>
          <t>남</t>
        </is>
      </c>
      <c r="G140" s="31" t="n">
        <v>3</v>
      </c>
      <c r="H140" s="30" t="n"/>
      <c r="I140" s="43" t="n"/>
      <c r="J140" s="41" t="n"/>
      <c r="K140" s="41" t="n"/>
      <c r="L140" s="41" t="n"/>
      <c r="M140" s="31">
        <f>IF(COUNT(J140:L140)=0,"",MEDIAN(J140:L140))</f>
        <v/>
      </c>
      <c r="N140" s="26">
        <f>IF(COUNTIFS($C:$C,$C140,$D:$D,$D140,$E:$E,"P0(전)",$M:$M,"&gt;0")&lt;&gt;1,"P0(전) 유효 1개 아님",IF(COUNTIFS($C:$C,$C140,$D:$D,$D140,$E:$E,"P0(후)",$M:$M,"&gt;0")&lt;&gt;1,"P0(후) 유효 1개 아님",IF(NOT(AND(ISNUMBER(O140),ISNUMBER(Q140),ISNUMBER(I140))),"시각 결측",IF(Q140&lt;=O140,"P0 시각 역전",IF(OR(I140&lt;O140,I140&gt;Q140),"측정시각 구간 밖","OK")))))</f>
        <v/>
      </c>
      <c r="O140" s="48">
        <f>IF(COUNTIFS($C:$C,$C140,$D:$D,$D140,$E:$E,"P0(전)",$M:$M,"&gt;0")&lt;&gt;1,"",SUMIFS($I:$I,$C:$C,$C140,$D:$D,$D140,$E:$E,"P0(전)"))</f>
        <v/>
      </c>
      <c r="P140" s="31">
        <f>IF(COUNTIFS($C:$C,$C140,$D:$D,$D140,$E:$E,"P0(전)",$M:$M,"&gt;0")&lt;&gt;1,"",SUMIFS($M:$M,$C:$C,$C140,$D:$D,$D140,$E:$E,"P0(전)"))</f>
        <v/>
      </c>
      <c r="Q140" s="48">
        <f>IF(COUNTIFS($C:$C,$C140,$D:$D,$D140,$E:$E,"P0(후)",$M:$M,"&gt;0")&lt;&gt;1,"",SUMIFS($I:$I,$C:$C,$C140,$D:$D,$D140,$E:$E,"P0(후)"))</f>
        <v/>
      </c>
      <c r="R140" s="31">
        <f>IF(COUNTIFS($C:$C,$C140,$D:$D,$D140,$E:$E,"P0(후)",$M:$M,"&gt;0")&lt;&gt;1,"",SUMIFS($M:$M,$C:$C,$C140,$D:$D,$D140,$E:$E,"P0(후)"))</f>
        <v/>
      </c>
      <c r="S140" s="31">
        <f>IF(N140&lt;&gt;"OK","",P140+(R140-P140)*(I140-O140)/(Q140-O140))</f>
        <v/>
      </c>
      <c r="T140" s="31">
        <f>IF(OR(N140&lt;&gt;"OK",NOT(ISNUMBER(M140))),"",M140-S140)</f>
        <v/>
      </c>
      <c r="U140" s="49">
        <f>IF(OR(NOT(ISNUMBER(T140)),IF(ISNUMBER(H140),H140,G140)=0),"",T140/IF(ISNUMBER(H140),H140,G140))</f>
        <v/>
      </c>
      <c r="V140" s="49">
        <f>IF(ISNUMBER(U140),ABS(U140),"")</f>
        <v/>
      </c>
      <c r="W140" s="49">
        <f>IF(OR($E139&lt;&gt;"측정",$C139&lt;&gt;$C140,$D139&lt;&gt;$D140,NOT(ISNUMBER(M140)),NOT(ISNUMBER(M139)),(IF(ISNUMBER(H140),H140,G140)-IF(ISNUMBER(H139),H139,G139))=0),"",(M140-M139)/(IF(ISNUMBER(H140),H140,G140)-IF(ISNUMBER(H139),H139,G139)))</f>
        <v/>
      </c>
      <c r="X140" s="31">
        <f>IF(NOT(AND(ISNUMBER(O140),ISNUMBER(Q140))),"",(Q140-O140)*1440)</f>
        <v/>
      </c>
      <c r="Y140" s="29" t="n"/>
      <c r="Z140" s="29" t="n"/>
      <c r="AA140" s="29" t="n"/>
      <c r="AB140" s="32" t="n"/>
      <c r="AC140" s="32" t="n"/>
    </row>
    <row r="141">
      <c r="A141" s="26" t="inlineStr">
        <is>
          <t>S03</t>
        </is>
      </c>
      <c r="B141" s="26" t="inlineStr">
        <is>
          <t>예산 신규점2</t>
        </is>
      </c>
      <c r="C141" s="26" t="inlineStr">
        <is>
          <t>S03-H남</t>
        </is>
      </c>
      <c r="D141" s="47" t="n">
        <v>1</v>
      </c>
      <c r="E141" s="26" t="inlineStr">
        <is>
          <t>측정</t>
        </is>
      </c>
      <c r="F141" s="26" t="inlineStr">
        <is>
          <t>남</t>
        </is>
      </c>
      <c r="G141" s="31" t="n">
        <v>4</v>
      </c>
      <c r="H141" s="30" t="n"/>
      <c r="I141" s="43" t="n"/>
      <c r="J141" s="41" t="n"/>
      <c r="K141" s="41" t="n"/>
      <c r="L141" s="41" t="n"/>
      <c r="M141" s="31">
        <f>IF(COUNT(J141:L141)=0,"",MEDIAN(J141:L141))</f>
        <v/>
      </c>
      <c r="N141" s="26">
        <f>IF(COUNTIFS($C:$C,$C141,$D:$D,$D141,$E:$E,"P0(전)",$M:$M,"&gt;0")&lt;&gt;1,"P0(전) 유효 1개 아님",IF(COUNTIFS($C:$C,$C141,$D:$D,$D141,$E:$E,"P0(후)",$M:$M,"&gt;0")&lt;&gt;1,"P0(후) 유효 1개 아님",IF(NOT(AND(ISNUMBER(O141),ISNUMBER(Q141),ISNUMBER(I141))),"시각 결측",IF(Q141&lt;=O141,"P0 시각 역전",IF(OR(I141&lt;O141,I141&gt;Q141),"측정시각 구간 밖","OK")))))</f>
        <v/>
      </c>
      <c r="O141" s="48">
        <f>IF(COUNTIFS($C:$C,$C141,$D:$D,$D141,$E:$E,"P0(전)",$M:$M,"&gt;0")&lt;&gt;1,"",SUMIFS($I:$I,$C:$C,$C141,$D:$D,$D141,$E:$E,"P0(전)"))</f>
        <v/>
      </c>
      <c r="P141" s="31">
        <f>IF(COUNTIFS($C:$C,$C141,$D:$D,$D141,$E:$E,"P0(전)",$M:$M,"&gt;0")&lt;&gt;1,"",SUMIFS($M:$M,$C:$C,$C141,$D:$D,$D141,$E:$E,"P0(전)"))</f>
        <v/>
      </c>
      <c r="Q141" s="48">
        <f>IF(COUNTIFS($C:$C,$C141,$D:$D,$D141,$E:$E,"P0(후)",$M:$M,"&gt;0")&lt;&gt;1,"",SUMIFS($I:$I,$C:$C,$C141,$D:$D,$D141,$E:$E,"P0(후)"))</f>
        <v/>
      </c>
      <c r="R141" s="31">
        <f>IF(COUNTIFS($C:$C,$C141,$D:$D,$D141,$E:$E,"P0(후)",$M:$M,"&gt;0")&lt;&gt;1,"",SUMIFS($M:$M,$C:$C,$C141,$D:$D,$D141,$E:$E,"P0(후)"))</f>
        <v/>
      </c>
      <c r="S141" s="31">
        <f>IF(N141&lt;&gt;"OK","",P141+(R141-P141)*(I141-O141)/(Q141-O141))</f>
        <v/>
      </c>
      <c r="T141" s="31">
        <f>IF(OR(N141&lt;&gt;"OK",NOT(ISNUMBER(M141))),"",M141-S141)</f>
        <v/>
      </c>
      <c r="U141" s="49">
        <f>IF(OR(NOT(ISNUMBER(T141)),IF(ISNUMBER(H141),H141,G141)=0),"",T141/IF(ISNUMBER(H141),H141,G141))</f>
        <v/>
      </c>
      <c r="V141" s="49">
        <f>IF(ISNUMBER(U141),ABS(U141),"")</f>
        <v/>
      </c>
      <c r="W141" s="49">
        <f>IF(OR($E140&lt;&gt;"측정",$C140&lt;&gt;$C141,$D140&lt;&gt;$D141,NOT(ISNUMBER(M141)),NOT(ISNUMBER(M140)),(IF(ISNUMBER(H141),H141,G141)-IF(ISNUMBER(H140),H140,G140))=0),"",(M141-M140)/(IF(ISNUMBER(H141),H141,G141)-IF(ISNUMBER(H140),H140,G140)))</f>
        <v/>
      </c>
      <c r="X141" s="31">
        <f>IF(NOT(AND(ISNUMBER(O141),ISNUMBER(Q141))),"",(Q141-O141)*1440)</f>
        <v/>
      </c>
      <c r="Y141" s="29" t="n"/>
      <c r="Z141" s="29" t="n"/>
      <c r="AA141" s="29" t="n"/>
      <c r="AB141" s="32" t="n"/>
      <c r="AC141" s="32" t="n"/>
    </row>
    <row r="142">
      <c r="A142" s="26" t="inlineStr">
        <is>
          <t>S03</t>
        </is>
      </c>
      <c r="B142" s="26" t="inlineStr">
        <is>
          <t>예산 신규점2</t>
        </is>
      </c>
      <c r="C142" s="26" t="inlineStr">
        <is>
          <t>S03-H남</t>
        </is>
      </c>
      <c r="D142" s="47" t="n">
        <v>1</v>
      </c>
      <c r="E142" s="26" t="inlineStr">
        <is>
          <t>측정</t>
        </is>
      </c>
      <c r="F142" s="26" t="inlineStr">
        <is>
          <t>남</t>
        </is>
      </c>
      <c r="G142" s="31" t="n">
        <v>5</v>
      </c>
      <c r="H142" s="30" t="n"/>
      <c r="I142" s="43" t="n"/>
      <c r="J142" s="41" t="n"/>
      <c r="K142" s="41" t="n"/>
      <c r="L142" s="41" t="n"/>
      <c r="M142" s="31">
        <f>IF(COUNT(J142:L142)=0,"",MEDIAN(J142:L142))</f>
        <v/>
      </c>
      <c r="N142" s="26">
        <f>IF(COUNTIFS($C:$C,$C142,$D:$D,$D142,$E:$E,"P0(전)",$M:$M,"&gt;0")&lt;&gt;1,"P0(전) 유효 1개 아님",IF(COUNTIFS($C:$C,$C142,$D:$D,$D142,$E:$E,"P0(후)",$M:$M,"&gt;0")&lt;&gt;1,"P0(후) 유효 1개 아님",IF(NOT(AND(ISNUMBER(O142),ISNUMBER(Q142),ISNUMBER(I142))),"시각 결측",IF(Q142&lt;=O142,"P0 시각 역전",IF(OR(I142&lt;O142,I142&gt;Q142),"측정시각 구간 밖","OK")))))</f>
        <v/>
      </c>
      <c r="O142" s="48">
        <f>IF(COUNTIFS($C:$C,$C142,$D:$D,$D142,$E:$E,"P0(전)",$M:$M,"&gt;0")&lt;&gt;1,"",SUMIFS($I:$I,$C:$C,$C142,$D:$D,$D142,$E:$E,"P0(전)"))</f>
        <v/>
      </c>
      <c r="P142" s="31">
        <f>IF(COUNTIFS($C:$C,$C142,$D:$D,$D142,$E:$E,"P0(전)",$M:$M,"&gt;0")&lt;&gt;1,"",SUMIFS($M:$M,$C:$C,$C142,$D:$D,$D142,$E:$E,"P0(전)"))</f>
        <v/>
      </c>
      <c r="Q142" s="48">
        <f>IF(COUNTIFS($C:$C,$C142,$D:$D,$D142,$E:$E,"P0(후)",$M:$M,"&gt;0")&lt;&gt;1,"",SUMIFS($I:$I,$C:$C,$C142,$D:$D,$D142,$E:$E,"P0(후)"))</f>
        <v/>
      </c>
      <c r="R142" s="31">
        <f>IF(COUNTIFS($C:$C,$C142,$D:$D,$D142,$E:$E,"P0(후)",$M:$M,"&gt;0")&lt;&gt;1,"",SUMIFS($M:$M,$C:$C,$C142,$D:$D,$D142,$E:$E,"P0(후)"))</f>
        <v/>
      </c>
      <c r="S142" s="31">
        <f>IF(N142&lt;&gt;"OK","",P142+(R142-P142)*(I142-O142)/(Q142-O142))</f>
        <v/>
      </c>
      <c r="T142" s="31">
        <f>IF(OR(N142&lt;&gt;"OK",NOT(ISNUMBER(M142))),"",M142-S142)</f>
        <v/>
      </c>
      <c r="U142" s="49">
        <f>IF(OR(NOT(ISNUMBER(T142)),IF(ISNUMBER(H142),H142,G142)=0),"",T142/IF(ISNUMBER(H142),H142,G142))</f>
        <v/>
      </c>
      <c r="V142" s="49">
        <f>IF(ISNUMBER(U142),ABS(U142),"")</f>
        <v/>
      </c>
      <c r="W142" s="49">
        <f>IF(OR($E141&lt;&gt;"측정",$C141&lt;&gt;$C142,$D141&lt;&gt;$D142,NOT(ISNUMBER(M142)),NOT(ISNUMBER(M141)),(IF(ISNUMBER(H142),H142,G142)-IF(ISNUMBER(H141),H141,G141))=0),"",(M142-M141)/(IF(ISNUMBER(H142),H142,G142)-IF(ISNUMBER(H141),H141,G141)))</f>
        <v/>
      </c>
      <c r="X142" s="31">
        <f>IF(NOT(AND(ISNUMBER(O142),ISNUMBER(Q142))),"",(Q142-O142)*1440)</f>
        <v/>
      </c>
      <c r="Y142" s="29" t="n"/>
      <c r="Z142" s="29" t="n"/>
      <c r="AA142" s="29" t="n"/>
      <c r="AB142" s="32" t="n"/>
      <c r="AC142" s="32" t="n"/>
    </row>
    <row r="143">
      <c r="A143" s="26" t="inlineStr">
        <is>
          <t>S03</t>
        </is>
      </c>
      <c r="B143" s="26" t="inlineStr">
        <is>
          <t>예산 신규점2</t>
        </is>
      </c>
      <c r="C143" s="26" t="inlineStr">
        <is>
          <t>S03-H남</t>
        </is>
      </c>
      <c r="D143" s="47" t="n">
        <v>1</v>
      </c>
      <c r="E143" s="26" t="inlineStr">
        <is>
          <t>측정</t>
        </is>
      </c>
      <c r="F143" s="26" t="inlineStr">
        <is>
          <t>남</t>
        </is>
      </c>
      <c r="G143" s="31" t="n">
        <v>6</v>
      </c>
      <c r="H143" s="30" t="n"/>
      <c r="I143" s="43" t="n"/>
      <c r="J143" s="41" t="n"/>
      <c r="K143" s="41" t="n"/>
      <c r="L143" s="41" t="n"/>
      <c r="M143" s="31">
        <f>IF(COUNT(J143:L143)=0,"",MEDIAN(J143:L143))</f>
        <v/>
      </c>
      <c r="N143" s="26">
        <f>IF(COUNTIFS($C:$C,$C143,$D:$D,$D143,$E:$E,"P0(전)",$M:$M,"&gt;0")&lt;&gt;1,"P0(전) 유효 1개 아님",IF(COUNTIFS($C:$C,$C143,$D:$D,$D143,$E:$E,"P0(후)",$M:$M,"&gt;0")&lt;&gt;1,"P0(후) 유효 1개 아님",IF(NOT(AND(ISNUMBER(O143),ISNUMBER(Q143),ISNUMBER(I143))),"시각 결측",IF(Q143&lt;=O143,"P0 시각 역전",IF(OR(I143&lt;O143,I143&gt;Q143),"측정시각 구간 밖","OK")))))</f>
        <v/>
      </c>
      <c r="O143" s="48">
        <f>IF(COUNTIFS($C:$C,$C143,$D:$D,$D143,$E:$E,"P0(전)",$M:$M,"&gt;0")&lt;&gt;1,"",SUMIFS($I:$I,$C:$C,$C143,$D:$D,$D143,$E:$E,"P0(전)"))</f>
        <v/>
      </c>
      <c r="P143" s="31">
        <f>IF(COUNTIFS($C:$C,$C143,$D:$D,$D143,$E:$E,"P0(전)",$M:$M,"&gt;0")&lt;&gt;1,"",SUMIFS($M:$M,$C:$C,$C143,$D:$D,$D143,$E:$E,"P0(전)"))</f>
        <v/>
      </c>
      <c r="Q143" s="48">
        <f>IF(COUNTIFS($C:$C,$C143,$D:$D,$D143,$E:$E,"P0(후)",$M:$M,"&gt;0")&lt;&gt;1,"",SUMIFS($I:$I,$C:$C,$C143,$D:$D,$D143,$E:$E,"P0(후)"))</f>
        <v/>
      </c>
      <c r="R143" s="31">
        <f>IF(COUNTIFS($C:$C,$C143,$D:$D,$D143,$E:$E,"P0(후)",$M:$M,"&gt;0")&lt;&gt;1,"",SUMIFS($M:$M,$C:$C,$C143,$D:$D,$D143,$E:$E,"P0(후)"))</f>
        <v/>
      </c>
      <c r="S143" s="31">
        <f>IF(N143&lt;&gt;"OK","",P143+(R143-P143)*(I143-O143)/(Q143-O143))</f>
        <v/>
      </c>
      <c r="T143" s="31">
        <f>IF(OR(N143&lt;&gt;"OK",NOT(ISNUMBER(M143))),"",M143-S143)</f>
        <v/>
      </c>
      <c r="U143" s="49">
        <f>IF(OR(NOT(ISNUMBER(T143)),IF(ISNUMBER(H143),H143,G143)=0),"",T143/IF(ISNUMBER(H143),H143,G143))</f>
        <v/>
      </c>
      <c r="V143" s="49">
        <f>IF(ISNUMBER(U143),ABS(U143),"")</f>
        <v/>
      </c>
      <c r="W143" s="49">
        <f>IF(OR($E142&lt;&gt;"측정",$C142&lt;&gt;$C143,$D142&lt;&gt;$D143,NOT(ISNUMBER(M143)),NOT(ISNUMBER(M142)),(IF(ISNUMBER(H143),H143,G143)-IF(ISNUMBER(H142),H142,G142))=0),"",(M143-M142)/(IF(ISNUMBER(H143),H143,G143)-IF(ISNUMBER(H142),H142,G142)))</f>
        <v/>
      </c>
      <c r="X143" s="31">
        <f>IF(NOT(AND(ISNUMBER(O143),ISNUMBER(Q143))),"",(Q143-O143)*1440)</f>
        <v/>
      </c>
      <c r="Y143" s="29" t="n"/>
      <c r="Z143" s="29" t="n"/>
      <c r="AA143" s="29" t="n"/>
      <c r="AB143" s="32" t="n"/>
      <c r="AC143" s="32" t="n"/>
    </row>
    <row r="144">
      <c r="A144" s="26" t="inlineStr">
        <is>
          <t>S03</t>
        </is>
      </c>
      <c r="B144" s="26" t="inlineStr">
        <is>
          <t>예산 신규점2</t>
        </is>
      </c>
      <c r="C144" s="26" t="inlineStr">
        <is>
          <t>S03-H남</t>
        </is>
      </c>
      <c r="D144" s="47" t="n">
        <v>1</v>
      </c>
      <c r="E144" s="26" t="inlineStr">
        <is>
          <t>측정</t>
        </is>
      </c>
      <c r="F144" s="26" t="inlineStr">
        <is>
          <t>남</t>
        </is>
      </c>
      <c r="G144" s="31" t="n">
        <v>7</v>
      </c>
      <c r="H144" s="30" t="n"/>
      <c r="I144" s="43" t="n"/>
      <c r="J144" s="41" t="n"/>
      <c r="K144" s="41" t="n"/>
      <c r="L144" s="41" t="n"/>
      <c r="M144" s="31">
        <f>IF(COUNT(J144:L144)=0,"",MEDIAN(J144:L144))</f>
        <v/>
      </c>
      <c r="N144" s="26">
        <f>IF(COUNTIFS($C:$C,$C144,$D:$D,$D144,$E:$E,"P0(전)",$M:$M,"&gt;0")&lt;&gt;1,"P0(전) 유효 1개 아님",IF(COUNTIFS($C:$C,$C144,$D:$D,$D144,$E:$E,"P0(후)",$M:$M,"&gt;0")&lt;&gt;1,"P0(후) 유효 1개 아님",IF(NOT(AND(ISNUMBER(O144),ISNUMBER(Q144),ISNUMBER(I144))),"시각 결측",IF(Q144&lt;=O144,"P0 시각 역전",IF(OR(I144&lt;O144,I144&gt;Q144),"측정시각 구간 밖","OK")))))</f>
        <v/>
      </c>
      <c r="O144" s="48">
        <f>IF(COUNTIFS($C:$C,$C144,$D:$D,$D144,$E:$E,"P0(전)",$M:$M,"&gt;0")&lt;&gt;1,"",SUMIFS($I:$I,$C:$C,$C144,$D:$D,$D144,$E:$E,"P0(전)"))</f>
        <v/>
      </c>
      <c r="P144" s="31">
        <f>IF(COUNTIFS($C:$C,$C144,$D:$D,$D144,$E:$E,"P0(전)",$M:$M,"&gt;0")&lt;&gt;1,"",SUMIFS($M:$M,$C:$C,$C144,$D:$D,$D144,$E:$E,"P0(전)"))</f>
        <v/>
      </c>
      <c r="Q144" s="48">
        <f>IF(COUNTIFS($C:$C,$C144,$D:$D,$D144,$E:$E,"P0(후)",$M:$M,"&gt;0")&lt;&gt;1,"",SUMIFS($I:$I,$C:$C,$C144,$D:$D,$D144,$E:$E,"P0(후)"))</f>
        <v/>
      </c>
      <c r="R144" s="31">
        <f>IF(COUNTIFS($C:$C,$C144,$D:$D,$D144,$E:$E,"P0(후)",$M:$M,"&gt;0")&lt;&gt;1,"",SUMIFS($M:$M,$C:$C,$C144,$D:$D,$D144,$E:$E,"P0(후)"))</f>
        <v/>
      </c>
      <c r="S144" s="31">
        <f>IF(N144&lt;&gt;"OK","",P144+(R144-P144)*(I144-O144)/(Q144-O144))</f>
        <v/>
      </c>
      <c r="T144" s="31">
        <f>IF(OR(N144&lt;&gt;"OK",NOT(ISNUMBER(M144))),"",M144-S144)</f>
        <v/>
      </c>
      <c r="U144" s="49">
        <f>IF(OR(NOT(ISNUMBER(T144)),IF(ISNUMBER(H144),H144,G144)=0),"",T144/IF(ISNUMBER(H144),H144,G144))</f>
        <v/>
      </c>
      <c r="V144" s="49">
        <f>IF(ISNUMBER(U144),ABS(U144),"")</f>
        <v/>
      </c>
      <c r="W144" s="49">
        <f>IF(OR($E143&lt;&gt;"측정",$C143&lt;&gt;$C144,$D143&lt;&gt;$D144,NOT(ISNUMBER(M144)),NOT(ISNUMBER(M143)),(IF(ISNUMBER(H144),H144,G144)-IF(ISNUMBER(H143),H143,G143))=0),"",(M144-M143)/(IF(ISNUMBER(H144),H144,G144)-IF(ISNUMBER(H143),H143,G143)))</f>
        <v/>
      </c>
      <c r="X144" s="31">
        <f>IF(NOT(AND(ISNUMBER(O144),ISNUMBER(Q144))),"",(Q144-O144)*1440)</f>
        <v/>
      </c>
      <c r="Y144" s="29" t="n"/>
      <c r="Z144" s="29" t="n"/>
      <c r="AA144" s="29" t="n"/>
      <c r="AB144" s="32" t="n"/>
      <c r="AC144" s="32" t="n"/>
    </row>
    <row r="145">
      <c r="A145" s="26" t="inlineStr">
        <is>
          <t>S03</t>
        </is>
      </c>
      <c r="B145" s="26" t="inlineStr">
        <is>
          <t>예산 신규점2</t>
        </is>
      </c>
      <c r="C145" s="26" t="inlineStr">
        <is>
          <t>S03-H남</t>
        </is>
      </c>
      <c r="D145" s="47" t="n">
        <v>1</v>
      </c>
      <c r="E145" s="26" t="inlineStr">
        <is>
          <t>측정</t>
        </is>
      </c>
      <c r="F145" s="26" t="inlineStr">
        <is>
          <t>남</t>
        </is>
      </c>
      <c r="G145" s="31" t="n">
        <v>8</v>
      </c>
      <c r="H145" s="30" t="n"/>
      <c r="I145" s="43" t="n"/>
      <c r="J145" s="41" t="n"/>
      <c r="K145" s="41" t="n"/>
      <c r="L145" s="41" t="n"/>
      <c r="M145" s="31">
        <f>IF(COUNT(J145:L145)=0,"",MEDIAN(J145:L145))</f>
        <v/>
      </c>
      <c r="N145" s="26">
        <f>IF(COUNTIFS($C:$C,$C145,$D:$D,$D145,$E:$E,"P0(전)",$M:$M,"&gt;0")&lt;&gt;1,"P0(전) 유효 1개 아님",IF(COUNTIFS($C:$C,$C145,$D:$D,$D145,$E:$E,"P0(후)",$M:$M,"&gt;0")&lt;&gt;1,"P0(후) 유효 1개 아님",IF(NOT(AND(ISNUMBER(O145),ISNUMBER(Q145),ISNUMBER(I145))),"시각 결측",IF(Q145&lt;=O145,"P0 시각 역전",IF(OR(I145&lt;O145,I145&gt;Q145),"측정시각 구간 밖","OK")))))</f>
        <v/>
      </c>
      <c r="O145" s="48">
        <f>IF(COUNTIFS($C:$C,$C145,$D:$D,$D145,$E:$E,"P0(전)",$M:$M,"&gt;0")&lt;&gt;1,"",SUMIFS($I:$I,$C:$C,$C145,$D:$D,$D145,$E:$E,"P0(전)"))</f>
        <v/>
      </c>
      <c r="P145" s="31">
        <f>IF(COUNTIFS($C:$C,$C145,$D:$D,$D145,$E:$E,"P0(전)",$M:$M,"&gt;0")&lt;&gt;1,"",SUMIFS($M:$M,$C:$C,$C145,$D:$D,$D145,$E:$E,"P0(전)"))</f>
        <v/>
      </c>
      <c r="Q145" s="48">
        <f>IF(COUNTIFS($C:$C,$C145,$D:$D,$D145,$E:$E,"P0(후)",$M:$M,"&gt;0")&lt;&gt;1,"",SUMIFS($I:$I,$C:$C,$C145,$D:$D,$D145,$E:$E,"P0(후)"))</f>
        <v/>
      </c>
      <c r="R145" s="31">
        <f>IF(COUNTIFS($C:$C,$C145,$D:$D,$D145,$E:$E,"P0(후)",$M:$M,"&gt;0")&lt;&gt;1,"",SUMIFS($M:$M,$C:$C,$C145,$D:$D,$D145,$E:$E,"P0(후)"))</f>
        <v/>
      </c>
      <c r="S145" s="31">
        <f>IF(N145&lt;&gt;"OK","",P145+(R145-P145)*(I145-O145)/(Q145-O145))</f>
        <v/>
      </c>
      <c r="T145" s="31">
        <f>IF(OR(N145&lt;&gt;"OK",NOT(ISNUMBER(M145))),"",M145-S145)</f>
        <v/>
      </c>
      <c r="U145" s="49">
        <f>IF(OR(NOT(ISNUMBER(T145)),IF(ISNUMBER(H145),H145,G145)=0),"",T145/IF(ISNUMBER(H145),H145,G145))</f>
        <v/>
      </c>
      <c r="V145" s="49">
        <f>IF(ISNUMBER(U145),ABS(U145),"")</f>
        <v/>
      </c>
      <c r="W145" s="49">
        <f>IF(OR($E144&lt;&gt;"측정",$C144&lt;&gt;$C145,$D144&lt;&gt;$D145,NOT(ISNUMBER(M145)),NOT(ISNUMBER(M144)),(IF(ISNUMBER(H145),H145,G145)-IF(ISNUMBER(H144),H144,G144))=0),"",(M145-M144)/(IF(ISNUMBER(H145),H145,G145)-IF(ISNUMBER(H144),H144,G144)))</f>
        <v/>
      </c>
      <c r="X145" s="31">
        <f>IF(NOT(AND(ISNUMBER(O145),ISNUMBER(Q145))),"",(Q145-O145)*1440)</f>
        <v/>
      </c>
      <c r="Y145" s="29" t="n"/>
      <c r="Z145" s="29" t="n"/>
      <c r="AA145" s="29" t="n"/>
      <c r="AB145" s="32" t="n"/>
      <c r="AC145" s="32" t="n"/>
    </row>
    <row r="146">
      <c r="A146" s="26" t="inlineStr">
        <is>
          <t>S03</t>
        </is>
      </c>
      <c r="B146" s="26" t="inlineStr">
        <is>
          <t>예산 신규점2</t>
        </is>
      </c>
      <c r="C146" s="26" t="inlineStr">
        <is>
          <t>S03-H남</t>
        </is>
      </c>
      <c r="D146" s="47" t="n">
        <v>1</v>
      </c>
      <c r="E146" s="26" t="inlineStr">
        <is>
          <t>측정</t>
        </is>
      </c>
      <c r="F146" s="26" t="inlineStr">
        <is>
          <t>남</t>
        </is>
      </c>
      <c r="G146" s="31" t="n">
        <v>9</v>
      </c>
      <c r="H146" s="30" t="n"/>
      <c r="I146" s="43" t="n"/>
      <c r="J146" s="41" t="n"/>
      <c r="K146" s="41" t="n"/>
      <c r="L146" s="41" t="n"/>
      <c r="M146" s="31">
        <f>IF(COUNT(J146:L146)=0,"",MEDIAN(J146:L146))</f>
        <v/>
      </c>
      <c r="N146" s="26">
        <f>IF(COUNTIFS($C:$C,$C146,$D:$D,$D146,$E:$E,"P0(전)",$M:$M,"&gt;0")&lt;&gt;1,"P0(전) 유효 1개 아님",IF(COUNTIFS($C:$C,$C146,$D:$D,$D146,$E:$E,"P0(후)",$M:$M,"&gt;0")&lt;&gt;1,"P0(후) 유효 1개 아님",IF(NOT(AND(ISNUMBER(O146),ISNUMBER(Q146),ISNUMBER(I146))),"시각 결측",IF(Q146&lt;=O146,"P0 시각 역전",IF(OR(I146&lt;O146,I146&gt;Q146),"측정시각 구간 밖","OK")))))</f>
        <v/>
      </c>
      <c r="O146" s="48">
        <f>IF(COUNTIFS($C:$C,$C146,$D:$D,$D146,$E:$E,"P0(전)",$M:$M,"&gt;0")&lt;&gt;1,"",SUMIFS($I:$I,$C:$C,$C146,$D:$D,$D146,$E:$E,"P0(전)"))</f>
        <v/>
      </c>
      <c r="P146" s="31">
        <f>IF(COUNTIFS($C:$C,$C146,$D:$D,$D146,$E:$E,"P0(전)",$M:$M,"&gt;0")&lt;&gt;1,"",SUMIFS($M:$M,$C:$C,$C146,$D:$D,$D146,$E:$E,"P0(전)"))</f>
        <v/>
      </c>
      <c r="Q146" s="48">
        <f>IF(COUNTIFS($C:$C,$C146,$D:$D,$D146,$E:$E,"P0(후)",$M:$M,"&gt;0")&lt;&gt;1,"",SUMIFS($I:$I,$C:$C,$C146,$D:$D,$D146,$E:$E,"P0(후)"))</f>
        <v/>
      </c>
      <c r="R146" s="31">
        <f>IF(COUNTIFS($C:$C,$C146,$D:$D,$D146,$E:$E,"P0(후)",$M:$M,"&gt;0")&lt;&gt;1,"",SUMIFS($M:$M,$C:$C,$C146,$D:$D,$D146,$E:$E,"P0(후)"))</f>
        <v/>
      </c>
      <c r="S146" s="31">
        <f>IF(N146&lt;&gt;"OK","",P146+(R146-P146)*(I146-O146)/(Q146-O146))</f>
        <v/>
      </c>
      <c r="T146" s="31">
        <f>IF(OR(N146&lt;&gt;"OK",NOT(ISNUMBER(M146))),"",M146-S146)</f>
        <v/>
      </c>
      <c r="U146" s="49">
        <f>IF(OR(NOT(ISNUMBER(T146)),IF(ISNUMBER(H146),H146,G146)=0),"",T146/IF(ISNUMBER(H146),H146,G146))</f>
        <v/>
      </c>
      <c r="V146" s="49">
        <f>IF(ISNUMBER(U146),ABS(U146),"")</f>
        <v/>
      </c>
      <c r="W146" s="49">
        <f>IF(OR($E145&lt;&gt;"측정",$C145&lt;&gt;$C146,$D145&lt;&gt;$D146,NOT(ISNUMBER(M146)),NOT(ISNUMBER(M145)),(IF(ISNUMBER(H146),H146,G146)-IF(ISNUMBER(H145),H145,G145))=0),"",(M146-M145)/(IF(ISNUMBER(H146),H146,G146)-IF(ISNUMBER(H145),H145,G145)))</f>
        <v/>
      </c>
      <c r="X146" s="31">
        <f>IF(NOT(AND(ISNUMBER(O146),ISNUMBER(Q146))),"",(Q146-O146)*1440)</f>
        <v/>
      </c>
      <c r="Y146" s="29" t="n"/>
      <c r="Z146" s="29" t="n"/>
      <c r="AA146" s="29" t="n"/>
      <c r="AB146" s="32" t="n"/>
      <c r="AC146" s="32" t="n"/>
    </row>
    <row r="147">
      <c r="A147" s="26" t="inlineStr">
        <is>
          <t>S03</t>
        </is>
      </c>
      <c r="B147" s="26" t="inlineStr">
        <is>
          <t>예산 신규점2</t>
        </is>
      </c>
      <c r="C147" s="26" t="inlineStr">
        <is>
          <t>S03-H남</t>
        </is>
      </c>
      <c r="D147" s="47" t="n">
        <v>1</v>
      </c>
      <c r="E147" s="26" t="inlineStr">
        <is>
          <t>측정</t>
        </is>
      </c>
      <c r="F147" s="26" t="inlineStr">
        <is>
          <t>남</t>
        </is>
      </c>
      <c r="G147" s="31" t="n">
        <v>10</v>
      </c>
      <c r="H147" s="30" t="n"/>
      <c r="I147" s="43" t="n"/>
      <c r="J147" s="41" t="n"/>
      <c r="K147" s="41" t="n"/>
      <c r="L147" s="41" t="n"/>
      <c r="M147" s="31">
        <f>IF(COUNT(J147:L147)=0,"",MEDIAN(J147:L147))</f>
        <v/>
      </c>
      <c r="N147" s="26">
        <f>IF(COUNTIFS($C:$C,$C147,$D:$D,$D147,$E:$E,"P0(전)",$M:$M,"&gt;0")&lt;&gt;1,"P0(전) 유효 1개 아님",IF(COUNTIFS($C:$C,$C147,$D:$D,$D147,$E:$E,"P0(후)",$M:$M,"&gt;0")&lt;&gt;1,"P0(후) 유효 1개 아님",IF(NOT(AND(ISNUMBER(O147),ISNUMBER(Q147),ISNUMBER(I147))),"시각 결측",IF(Q147&lt;=O147,"P0 시각 역전",IF(OR(I147&lt;O147,I147&gt;Q147),"측정시각 구간 밖","OK")))))</f>
        <v/>
      </c>
      <c r="O147" s="48">
        <f>IF(COUNTIFS($C:$C,$C147,$D:$D,$D147,$E:$E,"P0(전)",$M:$M,"&gt;0")&lt;&gt;1,"",SUMIFS($I:$I,$C:$C,$C147,$D:$D,$D147,$E:$E,"P0(전)"))</f>
        <v/>
      </c>
      <c r="P147" s="31">
        <f>IF(COUNTIFS($C:$C,$C147,$D:$D,$D147,$E:$E,"P0(전)",$M:$M,"&gt;0")&lt;&gt;1,"",SUMIFS($M:$M,$C:$C,$C147,$D:$D,$D147,$E:$E,"P0(전)"))</f>
        <v/>
      </c>
      <c r="Q147" s="48">
        <f>IF(COUNTIFS($C:$C,$C147,$D:$D,$D147,$E:$E,"P0(후)",$M:$M,"&gt;0")&lt;&gt;1,"",SUMIFS($I:$I,$C:$C,$C147,$D:$D,$D147,$E:$E,"P0(후)"))</f>
        <v/>
      </c>
      <c r="R147" s="31">
        <f>IF(COUNTIFS($C:$C,$C147,$D:$D,$D147,$E:$E,"P0(후)",$M:$M,"&gt;0")&lt;&gt;1,"",SUMIFS($M:$M,$C:$C,$C147,$D:$D,$D147,$E:$E,"P0(후)"))</f>
        <v/>
      </c>
      <c r="S147" s="31">
        <f>IF(N147&lt;&gt;"OK","",P147+(R147-P147)*(I147-O147)/(Q147-O147))</f>
        <v/>
      </c>
      <c r="T147" s="31">
        <f>IF(OR(N147&lt;&gt;"OK",NOT(ISNUMBER(M147))),"",M147-S147)</f>
        <v/>
      </c>
      <c r="U147" s="49">
        <f>IF(OR(NOT(ISNUMBER(T147)),IF(ISNUMBER(H147),H147,G147)=0),"",T147/IF(ISNUMBER(H147),H147,G147))</f>
        <v/>
      </c>
      <c r="V147" s="49">
        <f>IF(ISNUMBER(U147),ABS(U147),"")</f>
        <v/>
      </c>
      <c r="W147" s="49">
        <f>IF(OR($E146&lt;&gt;"측정",$C146&lt;&gt;$C147,$D146&lt;&gt;$D147,NOT(ISNUMBER(M147)),NOT(ISNUMBER(M146)),(IF(ISNUMBER(H147),H147,G147)-IF(ISNUMBER(H146),H146,G146))=0),"",(M147-M146)/(IF(ISNUMBER(H147),H147,G147)-IF(ISNUMBER(H146),H146,G146)))</f>
        <v/>
      </c>
      <c r="X147" s="31">
        <f>IF(NOT(AND(ISNUMBER(O147),ISNUMBER(Q147))),"",(Q147-O147)*1440)</f>
        <v/>
      </c>
      <c r="Y147" s="29" t="n"/>
      <c r="Z147" s="29" t="n"/>
      <c r="AA147" s="29" t="n"/>
      <c r="AB147" s="32" t="n"/>
      <c r="AC147" s="32" t="n"/>
    </row>
    <row r="148">
      <c r="A148" s="44" t="inlineStr">
        <is>
          <t>S03</t>
        </is>
      </c>
      <c r="B148" s="44" t="inlineStr">
        <is>
          <t>예산 신규점2</t>
        </is>
      </c>
      <c r="C148" s="44" t="inlineStr">
        <is>
          <t>S03-H남</t>
        </is>
      </c>
      <c r="D148" s="45" t="n">
        <v>1</v>
      </c>
      <c r="E148" s="44" t="inlineStr">
        <is>
          <t>P0(후)</t>
        </is>
      </c>
      <c r="F148" s="44" t="inlineStr">
        <is>
          <t>남</t>
        </is>
      </c>
      <c r="G148" s="46" t="n"/>
      <c r="H148" s="30" t="n"/>
      <c r="I148" s="43" t="n"/>
      <c r="J148" s="41" t="n"/>
      <c r="K148" s="41" t="n"/>
      <c r="L148" s="41" t="n"/>
      <c r="M148" s="31">
        <f>IF(COUNT(J148:L148)=0,"",MEDIAN(J148:L148))</f>
        <v/>
      </c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29" t="n"/>
      <c r="Z148" s="29" t="n"/>
      <c r="AA148" s="29" t="n"/>
      <c r="AB148" s="32" t="n"/>
      <c r="AC148" s="32" t="n"/>
    </row>
    <row r="149">
      <c r="A149" s="44" t="inlineStr">
        <is>
          <t>S03</t>
        </is>
      </c>
      <c r="B149" s="44" t="inlineStr">
        <is>
          <t>예산 신규점2</t>
        </is>
      </c>
      <c r="C149" s="44" t="inlineStr">
        <is>
          <t>S03-H북</t>
        </is>
      </c>
      <c r="D149" s="45" t="n">
        <v>1</v>
      </c>
      <c r="E149" s="44" t="inlineStr">
        <is>
          <t>P0(전)</t>
        </is>
      </c>
      <c r="F149" s="44" t="inlineStr">
        <is>
          <t>북</t>
        </is>
      </c>
      <c r="G149" s="46" t="n"/>
      <c r="H149" s="30" t="n"/>
      <c r="I149" s="43" t="n"/>
      <c r="J149" s="41" t="n"/>
      <c r="K149" s="41" t="n"/>
      <c r="L149" s="41" t="n"/>
      <c r="M149" s="31">
        <f>IF(COUNT(J149:L149)=0,"",MEDIAN(J149:L149))</f>
        <v/>
      </c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29" t="n"/>
      <c r="Z149" s="29" t="n"/>
      <c r="AA149" s="29" t="n"/>
      <c r="AB149" s="32" t="n"/>
      <c r="AC149" s="32" t="n"/>
    </row>
    <row r="150">
      <c r="A150" s="26" t="inlineStr">
        <is>
          <t>S03</t>
        </is>
      </c>
      <c r="B150" s="26" t="inlineStr">
        <is>
          <t>예산 신규점2</t>
        </is>
      </c>
      <c r="C150" s="26" t="inlineStr">
        <is>
          <t>S03-H북</t>
        </is>
      </c>
      <c r="D150" s="47" t="n">
        <v>1</v>
      </c>
      <c r="E150" s="26" t="inlineStr">
        <is>
          <t>측정</t>
        </is>
      </c>
      <c r="F150" s="26" t="inlineStr">
        <is>
          <t>북</t>
        </is>
      </c>
      <c r="G150" s="31" t="n">
        <v>0.5</v>
      </c>
      <c r="H150" s="30" t="n"/>
      <c r="I150" s="43" t="n"/>
      <c r="J150" s="41" t="n"/>
      <c r="K150" s="41" t="n"/>
      <c r="L150" s="41" t="n"/>
      <c r="M150" s="31">
        <f>IF(COUNT(J150:L150)=0,"",MEDIAN(J150:L150))</f>
        <v/>
      </c>
      <c r="N150" s="26">
        <f>IF(COUNTIFS($C:$C,$C150,$D:$D,$D150,$E:$E,"P0(전)",$M:$M,"&gt;0")&lt;&gt;1,"P0(전) 유효 1개 아님",IF(COUNTIFS($C:$C,$C150,$D:$D,$D150,$E:$E,"P0(후)",$M:$M,"&gt;0")&lt;&gt;1,"P0(후) 유효 1개 아님",IF(NOT(AND(ISNUMBER(O150),ISNUMBER(Q150),ISNUMBER(I150))),"시각 결측",IF(Q150&lt;=O150,"P0 시각 역전",IF(OR(I150&lt;O150,I150&gt;Q150),"측정시각 구간 밖","OK")))))</f>
        <v/>
      </c>
      <c r="O150" s="48">
        <f>IF(COUNTIFS($C:$C,$C150,$D:$D,$D150,$E:$E,"P0(전)",$M:$M,"&gt;0")&lt;&gt;1,"",SUMIFS($I:$I,$C:$C,$C150,$D:$D,$D150,$E:$E,"P0(전)"))</f>
        <v/>
      </c>
      <c r="P150" s="31">
        <f>IF(COUNTIFS($C:$C,$C150,$D:$D,$D150,$E:$E,"P0(전)",$M:$M,"&gt;0")&lt;&gt;1,"",SUMIFS($M:$M,$C:$C,$C150,$D:$D,$D150,$E:$E,"P0(전)"))</f>
        <v/>
      </c>
      <c r="Q150" s="48">
        <f>IF(COUNTIFS($C:$C,$C150,$D:$D,$D150,$E:$E,"P0(후)",$M:$M,"&gt;0")&lt;&gt;1,"",SUMIFS($I:$I,$C:$C,$C150,$D:$D,$D150,$E:$E,"P0(후)"))</f>
        <v/>
      </c>
      <c r="R150" s="31">
        <f>IF(COUNTIFS($C:$C,$C150,$D:$D,$D150,$E:$E,"P0(후)",$M:$M,"&gt;0")&lt;&gt;1,"",SUMIFS($M:$M,$C:$C,$C150,$D:$D,$D150,$E:$E,"P0(후)"))</f>
        <v/>
      </c>
      <c r="S150" s="31">
        <f>IF(N150&lt;&gt;"OK","",P150+(R150-P150)*(I150-O150)/(Q150-O150))</f>
        <v/>
      </c>
      <c r="T150" s="31">
        <f>IF(OR(N150&lt;&gt;"OK",NOT(ISNUMBER(M150))),"",M150-S150)</f>
        <v/>
      </c>
      <c r="U150" s="49">
        <f>IF(OR(NOT(ISNUMBER(T150)),IF(ISNUMBER(H150),H150,G150)=0),"",T150/IF(ISNUMBER(H150),H150,G150))</f>
        <v/>
      </c>
      <c r="V150" s="49">
        <f>IF(ISNUMBER(U150),ABS(U150),"")</f>
        <v/>
      </c>
      <c r="W150" s="49">
        <f>IF(OR($E149&lt;&gt;"측정",$C149&lt;&gt;$C150,$D149&lt;&gt;$D150,NOT(ISNUMBER(M150)),NOT(ISNUMBER(M149)),(IF(ISNUMBER(H150),H150,G150)-IF(ISNUMBER(H149),H149,G149))=0),"",(M150-M149)/(IF(ISNUMBER(H150),H150,G150)-IF(ISNUMBER(H149),H149,G149)))</f>
        <v/>
      </c>
      <c r="X150" s="31">
        <f>IF(NOT(AND(ISNUMBER(O150),ISNUMBER(Q150))),"",(Q150-O150)*1440)</f>
        <v/>
      </c>
      <c r="Y150" s="29" t="n"/>
      <c r="Z150" s="29" t="n"/>
      <c r="AA150" s="29" t="n"/>
      <c r="AB150" s="32" t="n"/>
      <c r="AC150" s="32" t="n"/>
    </row>
    <row r="151">
      <c r="A151" s="26" t="inlineStr">
        <is>
          <t>S03</t>
        </is>
      </c>
      <c r="B151" s="26" t="inlineStr">
        <is>
          <t>예산 신규점2</t>
        </is>
      </c>
      <c r="C151" s="26" t="inlineStr">
        <is>
          <t>S03-H북</t>
        </is>
      </c>
      <c r="D151" s="47" t="n">
        <v>1</v>
      </c>
      <c r="E151" s="26" t="inlineStr">
        <is>
          <t>측정</t>
        </is>
      </c>
      <c r="F151" s="26" t="inlineStr">
        <is>
          <t>북</t>
        </is>
      </c>
      <c r="G151" s="31" t="n">
        <v>1</v>
      </c>
      <c r="H151" s="30" t="n"/>
      <c r="I151" s="43" t="n"/>
      <c r="J151" s="41" t="n"/>
      <c r="K151" s="41" t="n"/>
      <c r="L151" s="41" t="n"/>
      <c r="M151" s="31">
        <f>IF(COUNT(J151:L151)=0,"",MEDIAN(J151:L151))</f>
        <v/>
      </c>
      <c r="N151" s="26">
        <f>IF(COUNTIFS($C:$C,$C151,$D:$D,$D151,$E:$E,"P0(전)",$M:$M,"&gt;0")&lt;&gt;1,"P0(전) 유효 1개 아님",IF(COUNTIFS($C:$C,$C151,$D:$D,$D151,$E:$E,"P0(후)",$M:$M,"&gt;0")&lt;&gt;1,"P0(후) 유효 1개 아님",IF(NOT(AND(ISNUMBER(O151),ISNUMBER(Q151),ISNUMBER(I151))),"시각 결측",IF(Q151&lt;=O151,"P0 시각 역전",IF(OR(I151&lt;O151,I151&gt;Q151),"측정시각 구간 밖","OK")))))</f>
        <v/>
      </c>
      <c r="O151" s="48">
        <f>IF(COUNTIFS($C:$C,$C151,$D:$D,$D151,$E:$E,"P0(전)",$M:$M,"&gt;0")&lt;&gt;1,"",SUMIFS($I:$I,$C:$C,$C151,$D:$D,$D151,$E:$E,"P0(전)"))</f>
        <v/>
      </c>
      <c r="P151" s="31">
        <f>IF(COUNTIFS($C:$C,$C151,$D:$D,$D151,$E:$E,"P0(전)",$M:$M,"&gt;0")&lt;&gt;1,"",SUMIFS($M:$M,$C:$C,$C151,$D:$D,$D151,$E:$E,"P0(전)"))</f>
        <v/>
      </c>
      <c r="Q151" s="48">
        <f>IF(COUNTIFS($C:$C,$C151,$D:$D,$D151,$E:$E,"P0(후)",$M:$M,"&gt;0")&lt;&gt;1,"",SUMIFS($I:$I,$C:$C,$C151,$D:$D,$D151,$E:$E,"P0(후)"))</f>
        <v/>
      </c>
      <c r="R151" s="31">
        <f>IF(COUNTIFS($C:$C,$C151,$D:$D,$D151,$E:$E,"P0(후)",$M:$M,"&gt;0")&lt;&gt;1,"",SUMIFS($M:$M,$C:$C,$C151,$D:$D,$D151,$E:$E,"P0(후)"))</f>
        <v/>
      </c>
      <c r="S151" s="31">
        <f>IF(N151&lt;&gt;"OK","",P151+(R151-P151)*(I151-O151)/(Q151-O151))</f>
        <v/>
      </c>
      <c r="T151" s="31">
        <f>IF(OR(N151&lt;&gt;"OK",NOT(ISNUMBER(M151))),"",M151-S151)</f>
        <v/>
      </c>
      <c r="U151" s="49">
        <f>IF(OR(NOT(ISNUMBER(T151)),IF(ISNUMBER(H151),H151,G151)=0),"",T151/IF(ISNUMBER(H151),H151,G151))</f>
        <v/>
      </c>
      <c r="V151" s="49">
        <f>IF(ISNUMBER(U151),ABS(U151),"")</f>
        <v/>
      </c>
      <c r="W151" s="49">
        <f>IF(OR($E150&lt;&gt;"측정",$C150&lt;&gt;$C151,$D150&lt;&gt;$D151,NOT(ISNUMBER(M151)),NOT(ISNUMBER(M150)),(IF(ISNUMBER(H151),H151,G151)-IF(ISNUMBER(H150),H150,G150))=0),"",(M151-M150)/(IF(ISNUMBER(H151),H151,G151)-IF(ISNUMBER(H150),H150,G150)))</f>
        <v/>
      </c>
      <c r="X151" s="31">
        <f>IF(NOT(AND(ISNUMBER(O151),ISNUMBER(Q151))),"",(Q151-O151)*1440)</f>
        <v/>
      </c>
      <c r="Y151" s="29" t="n"/>
      <c r="Z151" s="29" t="n"/>
      <c r="AA151" s="29" t="n"/>
      <c r="AB151" s="32" t="n"/>
      <c r="AC151" s="32" t="n"/>
    </row>
    <row r="152">
      <c r="A152" s="26" t="inlineStr">
        <is>
          <t>S03</t>
        </is>
      </c>
      <c r="B152" s="26" t="inlineStr">
        <is>
          <t>예산 신규점2</t>
        </is>
      </c>
      <c r="C152" s="26" t="inlineStr">
        <is>
          <t>S03-H북</t>
        </is>
      </c>
      <c r="D152" s="47" t="n">
        <v>1</v>
      </c>
      <c r="E152" s="26" t="inlineStr">
        <is>
          <t>측정</t>
        </is>
      </c>
      <c r="F152" s="26" t="inlineStr">
        <is>
          <t>북</t>
        </is>
      </c>
      <c r="G152" s="31" t="n">
        <v>2</v>
      </c>
      <c r="H152" s="30" t="n"/>
      <c r="I152" s="43" t="n"/>
      <c r="J152" s="41" t="n"/>
      <c r="K152" s="41" t="n"/>
      <c r="L152" s="41" t="n"/>
      <c r="M152" s="31">
        <f>IF(COUNT(J152:L152)=0,"",MEDIAN(J152:L152))</f>
        <v/>
      </c>
      <c r="N152" s="26">
        <f>IF(COUNTIFS($C:$C,$C152,$D:$D,$D152,$E:$E,"P0(전)",$M:$M,"&gt;0")&lt;&gt;1,"P0(전) 유효 1개 아님",IF(COUNTIFS($C:$C,$C152,$D:$D,$D152,$E:$E,"P0(후)",$M:$M,"&gt;0")&lt;&gt;1,"P0(후) 유효 1개 아님",IF(NOT(AND(ISNUMBER(O152),ISNUMBER(Q152),ISNUMBER(I152))),"시각 결측",IF(Q152&lt;=O152,"P0 시각 역전",IF(OR(I152&lt;O152,I152&gt;Q152),"측정시각 구간 밖","OK")))))</f>
        <v/>
      </c>
      <c r="O152" s="48">
        <f>IF(COUNTIFS($C:$C,$C152,$D:$D,$D152,$E:$E,"P0(전)",$M:$M,"&gt;0")&lt;&gt;1,"",SUMIFS($I:$I,$C:$C,$C152,$D:$D,$D152,$E:$E,"P0(전)"))</f>
        <v/>
      </c>
      <c r="P152" s="31">
        <f>IF(COUNTIFS($C:$C,$C152,$D:$D,$D152,$E:$E,"P0(전)",$M:$M,"&gt;0")&lt;&gt;1,"",SUMIFS($M:$M,$C:$C,$C152,$D:$D,$D152,$E:$E,"P0(전)"))</f>
        <v/>
      </c>
      <c r="Q152" s="48">
        <f>IF(COUNTIFS($C:$C,$C152,$D:$D,$D152,$E:$E,"P0(후)",$M:$M,"&gt;0")&lt;&gt;1,"",SUMIFS($I:$I,$C:$C,$C152,$D:$D,$D152,$E:$E,"P0(후)"))</f>
        <v/>
      </c>
      <c r="R152" s="31">
        <f>IF(COUNTIFS($C:$C,$C152,$D:$D,$D152,$E:$E,"P0(후)",$M:$M,"&gt;0")&lt;&gt;1,"",SUMIFS($M:$M,$C:$C,$C152,$D:$D,$D152,$E:$E,"P0(후)"))</f>
        <v/>
      </c>
      <c r="S152" s="31">
        <f>IF(N152&lt;&gt;"OK","",P152+(R152-P152)*(I152-O152)/(Q152-O152))</f>
        <v/>
      </c>
      <c r="T152" s="31">
        <f>IF(OR(N152&lt;&gt;"OK",NOT(ISNUMBER(M152))),"",M152-S152)</f>
        <v/>
      </c>
      <c r="U152" s="49">
        <f>IF(OR(NOT(ISNUMBER(T152)),IF(ISNUMBER(H152),H152,G152)=0),"",T152/IF(ISNUMBER(H152),H152,G152))</f>
        <v/>
      </c>
      <c r="V152" s="49">
        <f>IF(ISNUMBER(U152),ABS(U152),"")</f>
        <v/>
      </c>
      <c r="W152" s="49">
        <f>IF(OR($E151&lt;&gt;"측정",$C151&lt;&gt;$C152,$D151&lt;&gt;$D152,NOT(ISNUMBER(M152)),NOT(ISNUMBER(M151)),(IF(ISNUMBER(H152),H152,G152)-IF(ISNUMBER(H151),H151,G151))=0),"",(M152-M151)/(IF(ISNUMBER(H152),H152,G152)-IF(ISNUMBER(H151),H151,G151)))</f>
        <v/>
      </c>
      <c r="X152" s="31">
        <f>IF(NOT(AND(ISNUMBER(O152),ISNUMBER(Q152))),"",(Q152-O152)*1440)</f>
        <v/>
      </c>
      <c r="Y152" s="29" t="n"/>
      <c r="Z152" s="29" t="n"/>
      <c r="AA152" s="29" t="n"/>
      <c r="AB152" s="32" t="n"/>
      <c r="AC152" s="32" t="n"/>
    </row>
    <row r="153">
      <c r="A153" s="26" t="inlineStr">
        <is>
          <t>S03</t>
        </is>
      </c>
      <c r="B153" s="26" t="inlineStr">
        <is>
          <t>예산 신규점2</t>
        </is>
      </c>
      <c r="C153" s="26" t="inlineStr">
        <is>
          <t>S03-H북</t>
        </is>
      </c>
      <c r="D153" s="47" t="n">
        <v>1</v>
      </c>
      <c r="E153" s="26" t="inlineStr">
        <is>
          <t>측정</t>
        </is>
      </c>
      <c r="F153" s="26" t="inlineStr">
        <is>
          <t>북</t>
        </is>
      </c>
      <c r="G153" s="31" t="n">
        <v>3</v>
      </c>
      <c r="H153" s="30" t="n"/>
      <c r="I153" s="43" t="n"/>
      <c r="J153" s="41" t="n"/>
      <c r="K153" s="41" t="n"/>
      <c r="L153" s="41" t="n"/>
      <c r="M153" s="31">
        <f>IF(COUNT(J153:L153)=0,"",MEDIAN(J153:L153))</f>
        <v/>
      </c>
      <c r="N153" s="26">
        <f>IF(COUNTIFS($C:$C,$C153,$D:$D,$D153,$E:$E,"P0(전)",$M:$M,"&gt;0")&lt;&gt;1,"P0(전) 유효 1개 아님",IF(COUNTIFS($C:$C,$C153,$D:$D,$D153,$E:$E,"P0(후)",$M:$M,"&gt;0")&lt;&gt;1,"P0(후) 유효 1개 아님",IF(NOT(AND(ISNUMBER(O153),ISNUMBER(Q153),ISNUMBER(I153))),"시각 결측",IF(Q153&lt;=O153,"P0 시각 역전",IF(OR(I153&lt;O153,I153&gt;Q153),"측정시각 구간 밖","OK")))))</f>
        <v/>
      </c>
      <c r="O153" s="48">
        <f>IF(COUNTIFS($C:$C,$C153,$D:$D,$D153,$E:$E,"P0(전)",$M:$M,"&gt;0")&lt;&gt;1,"",SUMIFS($I:$I,$C:$C,$C153,$D:$D,$D153,$E:$E,"P0(전)"))</f>
        <v/>
      </c>
      <c r="P153" s="31">
        <f>IF(COUNTIFS($C:$C,$C153,$D:$D,$D153,$E:$E,"P0(전)",$M:$M,"&gt;0")&lt;&gt;1,"",SUMIFS($M:$M,$C:$C,$C153,$D:$D,$D153,$E:$E,"P0(전)"))</f>
        <v/>
      </c>
      <c r="Q153" s="48">
        <f>IF(COUNTIFS($C:$C,$C153,$D:$D,$D153,$E:$E,"P0(후)",$M:$M,"&gt;0")&lt;&gt;1,"",SUMIFS($I:$I,$C:$C,$C153,$D:$D,$D153,$E:$E,"P0(후)"))</f>
        <v/>
      </c>
      <c r="R153" s="31">
        <f>IF(COUNTIFS($C:$C,$C153,$D:$D,$D153,$E:$E,"P0(후)",$M:$M,"&gt;0")&lt;&gt;1,"",SUMIFS($M:$M,$C:$C,$C153,$D:$D,$D153,$E:$E,"P0(후)"))</f>
        <v/>
      </c>
      <c r="S153" s="31">
        <f>IF(N153&lt;&gt;"OK","",P153+(R153-P153)*(I153-O153)/(Q153-O153))</f>
        <v/>
      </c>
      <c r="T153" s="31">
        <f>IF(OR(N153&lt;&gt;"OK",NOT(ISNUMBER(M153))),"",M153-S153)</f>
        <v/>
      </c>
      <c r="U153" s="49">
        <f>IF(OR(NOT(ISNUMBER(T153)),IF(ISNUMBER(H153),H153,G153)=0),"",T153/IF(ISNUMBER(H153),H153,G153))</f>
        <v/>
      </c>
      <c r="V153" s="49">
        <f>IF(ISNUMBER(U153),ABS(U153),"")</f>
        <v/>
      </c>
      <c r="W153" s="49">
        <f>IF(OR($E152&lt;&gt;"측정",$C152&lt;&gt;$C153,$D152&lt;&gt;$D153,NOT(ISNUMBER(M153)),NOT(ISNUMBER(M152)),(IF(ISNUMBER(H153),H153,G153)-IF(ISNUMBER(H152),H152,G152))=0),"",(M153-M152)/(IF(ISNUMBER(H153),H153,G153)-IF(ISNUMBER(H152),H152,G152)))</f>
        <v/>
      </c>
      <c r="X153" s="31">
        <f>IF(NOT(AND(ISNUMBER(O153),ISNUMBER(Q153))),"",(Q153-O153)*1440)</f>
        <v/>
      </c>
      <c r="Y153" s="29" t="n"/>
      <c r="Z153" s="29" t="n"/>
      <c r="AA153" s="29" t="n"/>
      <c r="AB153" s="32" t="n"/>
      <c r="AC153" s="32" t="n"/>
    </row>
    <row r="154">
      <c r="A154" s="26" t="inlineStr">
        <is>
          <t>S03</t>
        </is>
      </c>
      <c r="B154" s="26" t="inlineStr">
        <is>
          <t>예산 신규점2</t>
        </is>
      </c>
      <c r="C154" s="26" t="inlineStr">
        <is>
          <t>S03-H북</t>
        </is>
      </c>
      <c r="D154" s="47" t="n">
        <v>1</v>
      </c>
      <c r="E154" s="26" t="inlineStr">
        <is>
          <t>측정</t>
        </is>
      </c>
      <c r="F154" s="26" t="inlineStr">
        <is>
          <t>북</t>
        </is>
      </c>
      <c r="G154" s="31" t="n">
        <v>4</v>
      </c>
      <c r="H154" s="30" t="n"/>
      <c r="I154" s="43" t="n"/>
      <c r="J154" s="41" t="n"/>
      <c r="K154" s="41" t="n"/>
      <c r="L154" s="41" t="n"/>
      <c r="M154" s="31">
        <f>IF(COUNT(J154:L154)=0,"",MEDIAN(J154:L154))</f>
        <v/>
      </c>
      <c r="N154" s="26">
        <f>IF(COUNTIFS($C:$C,$C154,$D:$D,$D154,$E:$E,"P0(전)",$M:$M,"&gt;0")&lt;&gt;1,"P0(전) 유효 1개 아님",IF(COUNTIFS($C:$C,$C154,$D:$D,$D154,$E:$E,"P0(후)",$M:$M,"&gt;0")&lt;&gt;1,"P0(후) 유효 1개 아님",IF(NOT(AND(ISNUMBER(O154),ISNUMBER(Q154),ISNUMBER(I154))),"시각 결측",IF(Q154&lt;=O154,"P0 시각 역전",IF(OR(I154&lt;O154,I154&gt;Q154),"측정시각 구간 밖","OK")))))</f>
        <v/>
      </c>
      <c r="O154" s="48">
        <f>IF(COUNTIFS($C:$C,$C154,$D:$D,$D154,$E:$E,"P0(전)",$M:$M,"&gt;0")&lt;&gt;1,"",SUMIFS($I:$I,$C:$C,$C154,$D:$D,$D154,$E:$E,"P0(전)"))</f>
        <v/>
      </c>
      <c r="P154" s="31">
        <f>IF(COUNTIFS($C:$C,$C154,$D:$D,$D154,$E:$E,"P0(전)",$M:$M,"&gt;0")&lt;&gt;1,"",SUMIFS($M:$M,$C:$C,$C154,$D:$D,$D154,$E:$E,"P0(전)"))</f>
        <v/>
      </c>
      <c r="Q154" s="48">
        <f>IF(COUNTIFS($C:$C,$C154,$D:$D,$D154,$E:$E,"P0(후)",$M:$M,"&gt;0")&lt;&gt;1,"",SUMIFS($I:$I,$C:$C,$C154,$D:$D,$D154,$E:$E,"P0(후)"))</f>
        <v/>
      </c>
      <c r="R154" s="31">
        <f>IF(COUNTIFS($C:$C,$C154,$D:$D,$D154,$E:$E,"P0(후)",$M:$M,"&gt;0")&lt;&gt;1,"",SUMIFS($M:$M,$C:$C,$C154,$D:$D,$D154,$E:$E,"P0(후)"))</f>
        <v/>
      </c>
      <c r="S154" s="31">
        <f>IF(N154&lt;&gt;"OK","",P154+(R154-P154)*(I154-O154)/(Q154-O154))</f>
        <v/>
      </c>
      <c r="T154" s="31">
        <f>IF(OR(N154&lt;&gt;"OK",NOT(ISNUMBER(M154))),"",M154-S154)</f>
        <v/>
      </c>
      <c r="U154" s="49">
        <f>IF(OR(NOT(ISNUMBER(T154)),IF(ISNUMBER(H154),H154,G154)=0),"",T154/IF(ISNUMBER(H154),H154,G154))</f>
        <v/>
      </c>
      <c r="V154" s="49">
        <f>IF(ISNUMBER(U154),ABS(U154),"")</f>
        <v/>
      </c>
      <c r="W154" s="49">
        <f>IF(OR($E153&lt;&gt;"측정",$C153&lt;&gt;$C154,$D153&lt;&gt;$D154,NOT(ISNUMBER(M154)),NOT(ISNUMBER(M153)),(IF(ISNUMBER(H154),H154,G154)-IF(ISNUMBER(H153),H153,G153))=0),"",(M154-M153)/(IF(ISNUMBER(H154),H154,G154)-IF(ISNUMBER(H153),H153,G153)))</f>
        <v/>
      </c>
      <c r="X154" s="31">
        <f>IF(NOT(AND(ISNUMBER(O154),ISNUMBER(Q154))),"",(Q154-O154)*1440)</f>
        <v/>
      </c>
      <c r="Y154" s="29" t="n"/>
      <c r="Z154" s="29" t="n"/>
      <c r="AA154" s="29" t="n"/>
      <c r="AB154" s="32" t="n"/>
      <c r="AC154" s="32" t="n"/>
    </row>
    <row r="155">
      <c r="A155" s="26" t="inlineStr">
        <is>
          <t>S03</t>
        </is>
      </c>
      <c r="B155" s="26" t="inlineStr">
        <is>
          <t>예산 신규점2</t>
        </is>
      </c>
      <c r="C155" s="26" t="inlineStr">
        <is>
          <t>S03-H북</t>
        </is>
      </c>
      <c r="D155" s="47" t="n">
        <v>1</v>
      </c>
      <c r="E155" s="26" t="inlineStr">
        <is>
          <t>측정</t>
        </is>
      </c>
      <c r="F155" s="26" t="inlineStr">
        <is>
          <t>북</t>
        </is>
      </c>
      <c r="G155" s="31" t="n">
        <v>5</v>
      </c>
      <c r="H155" s="30" t="n"/>
      <c r="I155" s="43" t="n"/>
      <c r="J155" s="41" t="n"/>
      <c r="K155" s="41" t="n"/>
      <c r="L155" s="41" t="n"/>
      <c r="M155" s="31">
        <f>IF(COUNT(J155:L155)=0,"",MEDIAN(J155:L155))</f>
        <v/>
      </c>
      <c r="N155" s="26">
        <f>IF(COUNTIFS($C:$C,$C155,$D:$D,$D155,$E:$E,"P0(전)",$M:$M,"&gt;0")&lt;&gt;1,"P0(전) 유효 1개 아님",IF(COUNTIFS($C:$C,$C155,$D:$D,$D155,$E:$E,"P0(후)",$M:$M,"&gt;0")&lt;&gt;1,"P0(후) 유효 1개 아님",IF(NOT(AND(ISNUMBER(O155),ISNUMBER(Q155),ISNUMBER(I155))),"시각 결측",IF(Q155&lt;=O155,"P0 시각 역전",IF(OR(I155&lt;O155,I155&gt;Q155),"측정시각 구간 밖","OK")))))</f>
        <v/>
      </c>
      <c r="O155" s="48">
        <f>IF(COUNTIFS($C:$C,$C155,$D:$D,$D155,$E:$E,"P0(전)",$M:$M,"&gt;0")&lt;&gt;1,"",SUMIFS($I:$I,$C:$C,$C155,$D:$D,$D155,$E:$E,"P0(전)"))</f>
        <v/>
      </c>
      <c r="P155" s="31">
        <f>IF(COUNTIFS($C:$C,$C155,$D:$D,$D155,$E:$E,"P0(전)",$M:$M,"&gt;0")&lt;&gt;1,"",SUMIFS($M:$M,$C:$C,$C155,$D:$D,$D155,$E:$E,"P0(전)"))</f>
        <v/>
      </c>
      <c r="Q155" s="48">
        <f>IF(COUNTIFS($C:$C,$C155,$D:$D,$D155,$E:$E,"P0(후)",$M:$M,"&gt;0")&lt;&gt;1,"",SUMIFS($I:$I,$C:$C,$C155,$D:$D,$D155,$E:$E,"P0(후)"))</f>
        <v/>
      </c>
      <c r="R155" s="31">
        <f>IF(COUNTIFS($C:$C,$C155,$D:$D,$D155,$E:$E,"P0(후)",$M:$M,"&gt;0")&lt;&gt;1,"",SUMIFS($M:$M,$C:$C,$C155,$D:$D,$D155,$E:$E,"P0(후)"))</f>
        <v/>
      </c>
      <c r="S155" s="31">
        <f>IF(N155&lt;&gt;"OK","",P155+(R155-P155)*(I155-O155)/(Q155-O155))</f>
        <v/>
      </c>
      <c r="T155" s="31">
        <f>IF(OR(N155&lt;&gt;"OK",NOT(ISNUMBER(M155))),"",M155-S155)</f>
        <v/>
      </c>
      <c r="U155" s="49">
        <f>IF(OR(NOT(ISNUMBER(T155)),IF(ISNUMBER(H155),H155,G155)=0),"",T155/IF(ISNUMBER(H155),H155,G155))</f>
        <v/>
      </c>
      <c r="V155" s="49">
        <f>IF(ISNUMBER(U155),ABS(U155),"")</f>
        <v/>
      </c>
      <c r="W155" s="49">
        <f>IF(OR($E154&lt;&gt;"측정",$C154&lt;&gt;$C155,$D154&lt;&gt;$D155,NOT(ISNUMBER(M155)),NOT(ISNUMBER(M154)),(IF(ISNUMBER(H155),H155,G155)-IF(ISNUMBER(H154),H154,G154))=0),"",(M155-M154)/(IF(ISNUMBER(H155),H155,G155)-IF(ISNUMBER(H154),H154,G154)))</f>
        <v/>
      </c>
      <c r="X155" s="31">
        <f>IF(NOT(AND(ISNUMBER(O155),ISNUMBER(Q155))),"",(Q155-O155)*1440)</f>
        <v/>
      </c>
      <c r="Y155" s="29" t="n"/>
      <c r="Z155" s="29" t="n"/>
      <c r="AA155" s="29" t="n"/>
      <c r="AB155" s="32" t="n"/>
      <c r="AC155" s="32" t="n"/>
    </row>
    <row r="156">
      <c r="A156" s="26" t="inlineStr">
        <is>
          <t>S03</t>
        </is>
      </c>
      <c r="B156" s="26" t="inlineStr">
        <is>
          <t>예산 신규점2</t>
        </is>
      </c>
      <c r="C156" s="26" t="inlineStr">
        <is>
          <t>S03-H북</t>
        </is>
      </c>
      <c r="D156" s="47" t="n">
        <v>1</v>
      </c>
      <c r="E156" s="26" t="inlineStr">
        <is>
          <t>측정</t>
        </is>
      </c>
      <c r="F156" s="26" t="inlineStr">
        <is>
          <t>북</t>
        </is>
      </c>
      <c r="G156" s="31" t="n">
        <v>6</v>
      </c>
      <c r="H156" s="30" t="n"/>
      <c r="I156" s="43" t="n"/>
      <c r="J156" s="41" t="n"/>
      <c r="K156" s="41" t="n"/>
      <c r="L156" s="41" t="n"/>
      <c r="M156" s="31">
        <f>IF(COUNT(J156:L156)=0,"",MEDIAN(J156:L156))</f>
        <v/>
      </c>
      <c r="N156" s="26">
        <f>IF(COUNTIFS($C:$C,$C156,$D:$D,$D156,$E:$E,"P0(전)",$M:$M,"&gt;0")&lt;&gt;1,"P0(전) 유효 1개 아님",IF(COUNTIFS($C:$C,$C156,$D:$D,$D156,$E:$E,"P0(후)",$M:$M,"&gt;0")&lt;&gt;1,"P0(후) 유효 1개 아님",IF(NOT(AND(ISNUMBER(O156),ISNUMBER(Q156),ISNUMBER(I156))),"시각 결측",IF(Q156&lt;=O156,"P0 시각 역전",IF(OR(I156&lt;O156,I156&gt;Q156),"측정시각 구간 밖","OK")))))</f>
        <v/>
      </c>
      <c r="O156" s="48">
        <f>IF(COUNTIFS($C:$C,$C156,$D:$D,$D156,$E:$E,"P0(전)",$M:$M,"&gt;0")&lt;&gt;1,"",SUMIFS($I:$I,$C:$C,$C156,$D:$D,$D156,$E:$E,"P0(전)"))</f>
        <v/>
      </c>
      <c r="P156" s="31">
        <f>IF(COUNTIFS($C:$C,$C156,$D:$D,$D156,$E:$E,"P0(전)",$M:$M,"&gt;0")&lt;&gt;1,"",SUMIFS($M:$M,$C:$C,$C156,$D:$D,$D156,$E:$E,"P0(전)"))</f>
        <v/>
      </c>
      <c r="Q156" s="48">
        <f>IF(COUNTIFS($C:$C,$C156,$D:$D,$D156,$E:$E,"P0(후)",$M:$M,"&gt;0")&lt;&gt;1,"",SUMIFS($I:$I,$C:$C,$C156,$D:$D,$D156,$E:$E,"P0(후)"))</f>
        <v/>
      </c>
      <c r="R156" s="31">
        <f>IF(COUNTIFS($C:$C,$C156,$D:$D,$D156,$E:$E,"P0(후)",$M:$M,"&gt;0")&lt;&gt;1,"",SUMIFS($M:$M,$C:$C,$C156,$D:$D,$D156,$E:$E,"P0(후)"))</f>
        <v/>
      </c>
      <c r="S156" s="31">
        <f>IF(N156&lt;&gt;"OK","",P156+(R156-P156)*(I156-O156)/(Q156-O156))</f>
        <v/>
      </c>
      <c r="T156" s="31">
        <f>IF(OR(N156&lt;&gt;"OK",NOT(ISNUMBER(M156))),"",M156-S156)</f>
        <v/>
      </c>
      <c r="U156" s="49">
        <f>IF(OR(NOT(ISNUMBER(T156)),IF(ISNUMBER(H156),H156,G156)=0),"",T156/IF(ISNUMBER(H156),H156,G156))</f>
        <v/>
      </c>
      <c r="V156" s="49">
        <f>IF(ISNUMBER(U156),ABS(U156),"")</f>
        <v/>
      </c>
      <c r="W156" s="49">
        <f>IF(OR($E155&lt;&gt;"측정",$C155&lt;&gt;$C156,$D155&lt;&gt;$D156,NOT(ISNUMBER(M156)),NOT(ISNUMBER(M155)),(IF(ISNUMBER(H156),H156,G156)-IF(ISNUMBER(H155),H155,G155))=0),"",(M156-M155)/(IF(ISNUMBER(H156),H156,G156)-IF(ISNUMBER(H155),H155,G155)))</f>
        <v/>
      </c>
      <c r="X156" s="31">
        <f>IF(NOT(AND(ISNUMBER(O156),ISNUMBER(Q156))),"",(Q156-O156)*1440)</f>
        <v/>
      </c>
      <c r="Y156" s="29" t="n"/>
      <c r="Z156" s="29" t="n"/>
      <c r="AA156" s="29" t="n"/>
      <c r="AB156" s="32" t="n"/>
      <c r="AC156" s="32" t="n"/>
    </row>
    <row r="157">
      <c r="A157" s="26" t="inlineStr">
        <is>
          <t>S03</t>
        </is>
      </c>
      <c r="B157" s="26" t="inlineStr">
        <is>
          <t>예산 신규점2</t>
        </is>
      </c>
      <c r="C157" s="26" t="inlineStr">
        <is>
          <t>S03-H북</t>
        </is>
      </c>
      <c r="D157" s="47" t="n">
        <v>1</v>
      </c>
      <c r="E157" s="26" t="inlineStr">
        <is>
          <t>측정</t>
        </is>
      </c>
      <c r="F157" s="26" t="inlineStr">
        <is>
          <t>북</t>
        </is>
      </c>
      <c r="G157" s="31" t="n">
        <v>7</v>
      </c>
      <c r="H157" s="30" t="n"/>
      <c r="I157" s="43" t="n"/>
      <c r="J157" s="41" t="n"/>
      <c r="K157" s="41" t="n"/>
      <c r="L157" s="41" t="n"/>
      <c r="M157" s="31">
        <f>IF(COUNT(J157:L157)=0,"",MEDIAN(J157:L157))</f>
        <v/>
      </c>
      <c r="N157" s="26">
        <f>IF(COUNTIFS($C:$C,$C157,$D:$D,$D157,$E:$E,"P0(전)",$M:$M,"&gt;0")&lt;&gt;1,"P0(전) 유효 1개 아님",IF(COUNTIFS($C:$C,$C157,$D:$D,$D157,$E:$E,"P0(후)",$M:$M,"&gt;0")&lt;&gt;1,"P0(후) 유효 1개 아님",IF(NOT(AND(ISNUMBER(O157),ISNUMBER(Q157),ISNUMBER(I157))),"시각 결측",IF(Q157&lt;=O157,"P0 시각 역전",IF(OR(I157&lt;O157,I157&gt;Q157),"측정시각 구간 밖","OK")))))</f>
        <v/>
      </c>
      <c r="O157" s="48">
        <f>IF(COUNTIFS($C:$C,$C157,$D:$D,$D157,$E:$E,"P0(전)",$M:$M,"&gt;0")&lt;&gt;1,"",SUMIFS($I:$I,$C:$C,$C157,$D:$D,$D157,$E:$E,"P0(전)"))</f>
        <v/>
      </c>
      <c r="P157" s="31">
        <f>IF(COUNTIFS($C:$C,$C157,$D:$D,$D157,$E:$E,"P0(전)",$M:$M,"&gt;0")&lt;&gt;1,"",SUMIFS($M:$M,$C:$C,$C157,$D:$D,$D157,$E:$E,"P0(전)"))</f>
        <v/>
      </c>
      <c r="Q157" s="48">
        <f>IF(COUNTIFS($C:$C,$C157,$D:$D,$D157,$E:$E,"P0(후)",$M:$M,"&gt;0")&lt;&gt;1,"",SUMIFS($I:$I,$C:$C,$C157,$D:$D,$D157,$E:$E,"P0(후)"))</f>
        <v/>
      </c>
      <c r="R157" s="31">
        <f>IF(COUNTIFS($C:$C,$C157,$D:$D,$D157,$E:$E,"P0(후)",$M:$M,"&gt;0")&lt;&gt;1,"",SUMIFS($M:$M,$C:$C,$C157,$D:$D,$D157,$E:$E,"P0(후)"))</f>
        <v/>
      </c>
      <c r="S157" s="31">
        <f>IF(N157&lt;&gt;"OK","",P157+(R157-P157)*(I157-O157)/(Q157-O157))</f>
        <v/>
      </c>
      <c r="T157" s="31">
        <f>IF(OR(N157&lt;&gt;"OK",NOT(ISNUMBER(M157))),"",M157-S157)</f>
        <v/>
      </c>
      <c r="U157" s="49">
        <f>IF(OR(NOT(ISNUMBER(T157)),IF(ISNUMBER(H157),H157,G157)=0),"",T157/IF(ISNUMBER(H157),H157,G157))</f>
        <v/>
      </c>
      <c r="V157" s="49">
        <f>IF(ISNUMBER(U157),ABS(U157),"")</f>
        <v/>
      </c>
      <c r="W157" s="49">
        <f>IF(OR($E156&lt;&gt;"측정",$C156&lt;&gt;$C157,$D156&lt;&gt;$D157,NOT(ISNUMBER(M157)),NOT(ISNUMBER(M156)),(IF(ISNUMBER(H157),H157,G157)-IF(ISNUMBER(H156),H156,G156))=0),"",(M157-M156)/(IF(ISNUMBER(H157),H157,G157)-IF(ISNUMBER(H156),H156,G156)))</f>
        <v/>
      </c>
      <c r="X157" s="31">
        <f>IF(NOT(AND(ISNUMBER(O157),ISNUMBER(Q157))),"",(Q157-O157)*1440)</f>
        <v/>
      </c>
      <c r="Y157" s="29" t="n"/>
      <c r="Z157" s="29" t="n"/>
      <c r="AA157" s="29" t="n"/>
      <c r="AB157" s="32" t="n"/>
      <c r="AC157" s="32" t="n"/>
    </row>
    <row r="158">
      <c r="A158" s="26" t="inlineStr">
        <is>
          <t>S03</t>
        </is>
      </c>
      <c r="B158" s="26" t="inlineStr">
        <is>
          <t>예산 신규점2</t>
        </is>
      </c>
      <c r="C158" s="26" t="inlineStr">
        <is>
          <t>S03-H북</t>
        </is>
      </c>
      <c r="D158" s="47" t="n">
        <v>1</v>
      </c>
      <c r="E158" s="26" t="inlineStr">
        <is>
          <t>측정</t>
        </is>
      </c>
      <c r="F158" s="26" t="inlineStr">
        <is>
          <t>북</t>
        </is>
      </c>
      <c r="G158" s="31" t="n">
        <v>8</v>
      </c>
      <c r="H158" s="30" t="n"/>
      <c r="I158" s="43" t="n"/>
      <c r="J158" s="41" t="n"/>
      <c r="K158" s="41" t="n"/>
      <c r="L158" s="41" t="n"/>
      <c r="M158" s="31">
        <f>IF(COUNT(J158:L158)=0,"",MEDIAN(J158:L158))</f>
        <v/>
      </c>
      <c r="N158" s="26">
        <f>IF(COUNTIFS($C:$C,$C158,$D:$D,$D158,$E:$E,"P0(전)",$M:$M,"&gt;0")&lt;&gt;1,"P0(전) 유효 1개 아님",IF(COUNTIFS($C:$C,$C158,$D:$D,$D158,$E:$E,"P0(후)",$M:$M,"&gt;0")&lt;&gt;1,"P0(후) 유효 1개 아님",IF(NOT(AND(ISNUMBER(O158),ISNUMBER(Q158),ISNUMBER(I158))),"시각 결측",IF(Q158&lt;=O158,"P0 시각 역전",IF(OR(I158&lt;O158,I158&gt;Q158),"측정시각 구간 밖","OK")))))</f>
        <v/>
      </c>
      <c r="O158" s="48">
        <f>IF(COUNTIFS($C:$C,$C158,$D:$D,$D158,$E:$E,"P0(전)",$M:$M,"&gt;0")&lt;&gt;1,"",SUMIFS($I:$I,$C:$C,$C158,$D:$D,$D158,$E:$E,"P0(전)"))</f>
        <v/>
      </c>
      <c r="P158" s="31">
        <f>IF(COUNTIFS($C:$C,$C158,$D:$D,$D158,$E:$E,"P0(전)",$M:$M,"&gt;0")&lt;&gt;1,"",SUMIFS($M:$M,$C:$C,$C158,$D:$D,$D158,$E:$E,"P0(전)"))</f>
        <v/>
      </c>
      <c r="Q158" s="48">
        <f>IF(COUNTIFS($C:$C,$C158,$D:$D,$D158,$E:$E,"P0(후)",$M:$M,"&gt;0")&lt;&gt;1,"",SUMIFS($I:$I,$C:$C,$C158,$D:$D,$D158,$E:$E,"P0(후)"))</f>
        <v/>
      </c>
      <c r="R158" s="31">
        <f>IF(COUNTIFS($C:$C,$C158,$D:$D,$D158,$E:$E,"P0(후)",$M:$M,"&gt;0")&lt;&gt;1,"",SUMIFS($M:$M,$C:$C,$C158,$D:$D,$D158,$E:$E,"P0(후)"))</f>
        <v/>
      </c>
      <c r="S158" s="31">
        <f>IF(N158&lt;&gt;"OK","",P158+(R158-P158)*(I158-O158)/(Q158-O158))</f>
        <v/>
      </c>
      <c r="T158" s="31">
        <f>IF(OR(N158&lt;&gt;"OK",NOT(ISNUMBER(M158))),"",M158-S158)</f>
        <v/>
      </c>
      <c r="U158" s="49">
        <f>IF(OR(NOT(ISNUMBER(T158)),IF(ISNUMBER(H158),H158,G158)=0),"",T158/IF(ISNUMBER(H158),H158,G158))</f>
        <v/>
      </c>
      <c r="V158" s="49">
        <f>IF(ISNUMBER(U158),ABS(U158),"")</f>
        <v/>
      </c>
      <c r="W158" s="49">
        <f>IF(OR($E157&lt;&gt;"측정",$C157&lt;&gt;$C158,$D157&lt;&gt;$D158,NOT(ISNUMBER(M158)),NOT(ISNUMBER(M157)),(IF(ISNUMBER(H158),H158,G158)-IF(ISNUMBER(H157),H157,G157))=0),"",(M158-M157)/(IF(ISNUMBER(H158),H158,G158)-IF(ISNUMBER(H157),H157,G157)))</f>
        <v/>
      </c>
      <c r="X158" s="31">
        <f>IF(NOT(AND(ISNUMBER(O158),ISNUMBER(Q158))),"",(Q158-O158)*1440)</f>
        <v/>
      </c>
      <c r="Y158" s="29" t="n"/>
      <c r="Z158" s="29" t="n"/>
      <c r="AA158" s="29" t="n"/>
      <c r="AB158" s="32" t="n"/>
      <c r="AC158" s="32" t="n"/>
    </row>
    <row r="159">
      <c r="A159" s="26" t="inlineStr">
        <is>
          <t>S03</t>
        </is>
      </c>
      <c r="B159" s="26" t="inlineStr">
        <is>
          <t>예산 신규점2</t>
        </is>
      </c>
      <c r="C159" s="26" t="inlineStr">
        <is>
          <t>S03-H북</t>
        </is>
      </c>
      <c r="D159" s="47" t="n">
        <v>1</v>
      </c>
      <c r="E159" s="26" t="inlineStr">
        <is>
          <t>측정</t>
        </is>
      </c>
      <c r="F159" s="26" t="inlineStr">
        <is>
          <t>북</t>
        </is>
      </c>
      <c r="G159" s="31" t="n">
        <v>9</v>
      </c>
      <c r="H159" s="30" t="n"/>
      <c r="I159" s="43" t="n"/>
      <c r="J159" s="41" t="n"/>
      <c r="K159" s="41" t="n"/>
      <c r="L159" s="41" t="n"/>
      <c r="M159" s="31">
        <f>IF(COUNT(J159:L159)=0,"",MEDIAN(J159:L159))</f>
        <v/>
      </c>
      <c r="N159" s="26">
        <f>IF(COUNTIFS($C:$C,$C159,$D:$D,$D159,$E:$E,"P0(전)",$M:$M,"&gt;0")&lt;&gt;1,"P0(전) 유효 1개 아님",IF(COUNTIFS($C:$C,$C159,$D:$D,$D159,$E:$E,"P0(후)",$M:$M,"&gt;0")&lt;&gt;1,"P0(후) 유효 1개 아님",IF(NOT(AND(ISNUMBER(O159),ISNUMBER(Q159),ISNUMBER(I159))),"시각 결측",IF(Q159&lt;=O159,"P0 시각 역전",IF(OR(I159&lt;O159,I159&gt;Q159),"측정시각 구간 밖","OK")))))</f>
        <v/>
      </c>
      <c r="O159" s="48">
        <f>IF(COUNTIFS($C:$C,$C159,$D:$D,$D159,$E:$E,"P0(전)",$M:$M,"&gt;0")&lt;&gt;1,"",SUMIFS($I:$I,$C:$C,$C159,$D:$D,$D159,$E:$E,"P0(전)"))</f>
        <v/>
      </c>
      <c r="P159" s="31">
        <f>IF(COUNTIFS($C:$C,$C159,$D:$D,$D159,$E:$E,"P0(전)",$M:$M,"&gt;0")&lt;&gt;1,"",SUMIFS($M:$M,$C:$C,$C159,$D:$D,$D159,$E:$E,"P0(전)"))</f>
        <v/>
      </c>
      <c r="Q159" s="48">
        <f>IF(COUNTIFS($C:$C,$C159,$D:$D,$D159,$E:$E,"P0(후)",$M:$M,"&gt;0")&lt;&gt;1,"",SUMIFS($I:$I,$C:$C,$C159,$D:$D,$D159,$E:$E,"P0(후)"))</f>
        <v/>
      </c>
      <c r="R159" s="31">
        <f>IF(COUNTIFS($C:$C,$C159,$D:$D,$D159,$E:$E,"P0(후)",$M:$M,"&gt;0")&lt;&gt;1,"",SUMIFS($M:$M,$C:$C,$C159,$D:$D,$D159,$E:$E,"P0(후)"))</f>
        <v/>
      </c>
      <c r="S159" s="31">
        <f>IF(N159&lt;&gt;"OK","",P159+(R159-P159)*(I159-O159)/(Q159-O159))</f>
        <v/>
      </c>
      <c r="T159" s="31">
        <f>IF(OR(N159&lt;&gt;"OK",NOT(ISNUMBER(M159))),"",M159-S159)</f>
        <v/>
      </c>
      <c r="U159" s="49">
        <f>IF(OR(NOT(ISNUMBER(T159)),IF(ISNUMBER(H159),H159,G159)=0),"",T159/IF(ISNUMBER(H159),H159,G159))</f>
        <v/>
      </c>
      <c r="V159" s="49">
        <f>IF(ISNUMBER(U159),ABS(U159),"")</f>
        <v/>
      </c>
      <c r="W159" s="49">
        <f>IF(OR($E158&lt;&gt;"측정",$C158&lt;&gt;$C159,$D158&lt;&gt;$D159,NOT(ISNUMBER(M159)),NOT(ISNUMBER(M158)),(IF(ISNUMBER(H159),H159,G159)-IF(ISNUMBER(H158),H158,G158))=0),"",(M159-M158)/(IF(ISNUMBER(H159),H159,G159)-IF(ISNUMBER(H158),H158,G158)))</f>
        <v/>
      </c>
      <c r="X159" s="31">
        <f>IF(NOT(AND(ISNUMBER(O159),ISNUMBER(Q159))),"",(Q159-O159)*1440)</f>
        <v/>
      </c>
      <c r="Y159" s="29" t="n"/>
      <c r="Z159" s="29" t="n"/>
      <c r="AA159" s="29" t="n"/>
      <c r="AB159" s="32" t="n"/>
      <c r="AC159" s="32" t="n"/>
    </row>
    <row r="160">
      <c r="A160" s="26" t="inlineStr">
        <is>
          <t>S03</t>
        </is>
      </c>
      <c r="B160" s="26" t="inlineStr">
        <is>
          <t>예산 신규점2</t>
        </is>
      </c>
      <c r="C160" s="26" t="inlineStr">
        <is>
          <t>S03-H북</t>
        </is>
      </c>
      <c r="D160" s="47" t="n">
        <v>1</v>
      </c>
      <c r="E160" s="26" t="inlineStr">
        <is>
          <t>측정</t>
        </is>
      </c>
      <c r="F160" s="26" t="inlineStr">
        <is>
          <t>북</t>
        </is>
      </c>
      <c r="G160" s="31" t="n">
        <v>10</v>
      </c>
      <c r="H160" s="30" t="n"/>
      <c r="I160" s="43" t="n"/>
      <c r="J160" s="41" t="n"/>
      <c r="K160" s="41" t="n"/>
      <c r="L160" s="41" t="n"/>
      <c r="M160" s="31">
        <f>IF(COUNT(J160:L160)=0,"",MEDIAN(J160:L160))</f>
        <v/>
      </c>
      <c r="N160" s="26">
        <f>IF(COUNTIFS($C:$C,$C160,$D:$D,$D160,$E:$E,"P0(전)",$M:$M,"&gt;0")&lt;&gt;1,"P0(전) 유효 1개 아님",IF(COUNTIFS($C:$C,$C160,$D:$D,$D160,$E:$E,"P0(후)",$M:$M,"&gt;0")&lt;&gt;1,"P0(후) 유효 1개 아님",IF(NOT(AND(ISNUMBER(O160),ISNUMBER(Q160),ISNUMBER(I160))),"시각 결측",IF(Q160&lt;=O160,"P0 시각 역전",IF(OR(I160&lt;O160,I160&gt;Q160),"측정시각 구간 밖","OK")))))</f>
        <v/>
      </c>
      <c r="O160" s="48">
        <f>IF(COUNTIFS($C:$C,$C160,$D:$D,$D160,$E:$E,"P0(전)",$M:$M,"&gt;0")&lt;&gt;1,"",SUMIFS($I:$I,$C:$C,$C160,$D:$D,$D160,$E:$E,"P0(전)"))</f>
        <v/>
      </c>
      <c r="P160" s="31">
        <f>IF(COUNTIFS($C:$C,$C160,$D:$D,$D160,$E:$E,"P0(전)",$M:$M,"&gt;0")&lt;&gt;1,"",SUMIFS($M:$M,$C:$C,$C160,$D:$D,$D160,$E:$E,"P0(전)"))</f>
        <v/>
      </c>
      <c r="Q160" s="48">
        <f>IF(COUNTIFS($C:$C,$C160,$D:$D,$D160,$E:$E,"P0(후)",$M:$M,"&gt;0")&lt;&gt;1,"",SUMIFS($I:$I,$C:$C,$C160,$D:$D,$D160,$E:$E,"P0(후)"))</f>
        <v/>
      </c>
      <c r="R160" s="31">
        <f>IF(COUNTIFS($C:$C,$C160,$D:$D,$D160,$E:$E,"P0(후)",$M:$M,"&gt;0")&lt;&gt;1,"",SUMIFS($M:$M,$C:$C,$C160,$D:$D,$D160,$E:$E,"P0(후)"))</f>
        <v/>
      </c>
      <c r="S160" s="31">
        <f>IF(N160&lt;&gt;"OK","",P160+(R160-P160)*(I160-O160)/(Q160-O160))</f>
        <v/>
      </c>
      <c r="T160" s="31">
        <f>IF(OR(N160&lt;&gt;"OK",NOT(ISNUMBER(M160))),"",M160-S160)</f>
        <v/>
      </c>
      <c r="U160" s="49">
        <f>IF(OR(NOT(ISNUMBER(T160)),IF(ISNUMBER(H160),H160,G160)=0),"",T160/IF(ISNUMBER(H160),H160,G160))</f>
        <v/>
      </c>
      <c r="V160" s="49">
        <f>IF(ISNUMBER(U160),ABS(U160),"")</f>
        <v/>
      </c>
      <c r="W160" s="49">
        <f>IF(OR($E159&lt;&gt;"측정",$C159&lt;&gt;$C160,$D159&lt;&gt;$D160,NOT(ISNUMBER(M160)),NOT(ISNUMBER(M159)),(IF(ISNUMBER(H160),H160,G160)-IF(ISNUMBER(H159),H159,G159))=0),"",(M160-M159)/(IF(ISNUMBER(H160),H160,G160)-IF(ISNUMBER(H159),H159,G159)))</f>
        <v/>
      </c>
      <c r="X160" s="31">
        <f>IF(NOT(AND(ISNUMBER(O160),ISNUMBER(Q160))),"",(Q160-O160)*1440)</f>
        <v/>
      </c>
      <c r="Y160" s="29" t="n"/>
      <c r="Z160" s="29" t="n"/>
      <c r="AA160" s="29" t="n"/>
      <c r="AB160" s="32" t="n"/>
      <c r="AC160" s="32" t="n"/>
    </row>
    <row r="161">
      <c r="A161" s="44" t="inlineStr">
        <is>
          <t>S03</t>
        </is>
      </c>
      <c r="B161" s="44" t="inlineStr">
        <is>
          <t>예산 신규점2</t>
        </is>
      </c>
      <c r="C161" s="44" t="inlineStr">
        <is>
          <t>S03-H북</t>
        </is>
      </c>
      <c r="D161" s="45" t="n">
        <v>1</v>
      </c>
      <c r="E161" s="44" t="inlineStr">
        <is>
          <t>P0(후)</t>
        </is>
      </c>
      <c r="F161" s="44" t="inlineStr">
        <is>
          <t>북</t>
        </is>
      </c>
      <c r="G161" s="46" t="n"/>
      <c r="H161" s="30" t="n"/>
      <c r="I161" s="43" t="n"/>
      <c r="J161" s="41" t="n"/>
      <c r="K161" s="41" t="n"/>
      <c r="L161" s="41" t="n"/>
      <c r="M161" s="31">
        <f>IF(COUNT(J161:L161)=0,"",MEDIAN(J161:L161))</f>
        <v/>
      </c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29" t="n"/>
      <c r="Z161" s="29" t="n"/>
      <c r="AA161" s="29" t="n"/>
      <c r="AB161" s="32" t="n"/>
      <c r="AC161" s="32" t="n"/>
    </row>
    <row r="162">
      <c r="A162" s="44" t="inlineStr">
        <is>
          <t>S04</t>
        </is>
      </c>
      <c r="B162" s="44" t="inlineStr">
        <is>
          <t>진안 신규점1</t>
        </is>
      </c>
      <c r="C162" s="44" t="inlineStr">
        <is>
          <t>S04-H동</t>
        </is>
      </c>
      <c r="D162" s="45" t="n">
        <v>1</v>
      </c>
      <c r="E162" s="44" t="inlineStr">
        <is>
          <t>P0(전)</t>
        </is>
      </c>
      <c r="F162" s="44" t="inlineStr">
        <is>
          <t>동</t>
        </is>
      </c>
      <c r="G162" s="46" t="n"/>
      <c r="H162" s="30" t="n"/>
      <c r="I162" s="43" t="n"/>
      <c r="J162" s="41" t="n"/>
      <c r="K162" s="41" t="n"/>
      <c r="L162" s="41" t="n"/>
      <c r="M162" s="31">
        <f>IF(COUNT(J162:L162)=0,"",MEDIAN(J162:L162))</f>
        <v/>
      </c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29" t="n"/>
      <c r="Z162" s="29" t="n"/>
      <c r="AA162" s="29" t="n"/>
      <c r="AB162" s="32" t="n"/>
      <c r="AC162" s="32" t="n"/>
    </row>
    <row r="163">
      <c r="A163" s="26" t="inlineStr">
        <is>
          <t>S04</t>
        </is>
      </c>
      <c r="B163" s="26" t="inlineStr">
        <is>
          <t>진안 신규점1</t>
        </is>
      </c>
      <c r="C163" s="26" t="inlineStr">
        <is>
          <t>S04-H동</t>
        </is>
      </c>
      <c r="D163" s="47" t="n">
        <v>1</v>
      </c>
      <c r="E163" s="26" t="inlineStr">
        <is>
          <t>측정</t>
        </is>
      </c>
      <c r="F163" s="26" t="inlineStr">
        <is>
          <t>동</t>
        </is>
      </c>
      <c r="G163" s="31" t="n">
        <v>0.5</v>
      </c>
      <c r="H163" s="30" t="n"/>
      <c r="I163" s="43" t="n"/>
      <c r="J163" s="41" t="n"/>
      <c r="K163" s="41" t="n"/>
      <c r="L163" s="41" t="n"/>
      <c r="M163" s="31">
        <f>IF(COUNT(J163:L163)=0,"",MEDIAN(J163:L163))</f>
        <v/>
      </c>
      <c r="N163" s="26">
        <f>IF(COUNTIFS($C:$C,$C163,$D:$D,$D163,$E:$E,"P0(전)",$M:$M,"&gt;0")&lt;&gt;1,"P0(전) 유효 1개 아님",IF(COUNTIFS($C:$C,$C163,$D:$D,$D163,$E:$E,"P0(후)",$M:$M,"&gt;0")&lt;&gt;1,"P0(후) 유효 1개 아님",IF(NOT(AND(ISNUMBER(O163),ISNUMBER(Q163),ISNUMBER(I163))),"시각 결측",IF(Q163&lt;=O163,"P0 시각 역전",IF(OR(I163&lt;O163,I163&gt;Q163),"측정시각 구간 밖","OK")))))</f>
        <v/>
      </c>
      <c r="O163" s="48">
        <f>IF(COUNTIFS($C:$C,$C163,$D:$D,$D163,$E:$E,"P0(전)",$M:$M,"&gt;0")&lt;&gt;1,"",SUMIFS($I:$I,$C:$C,$C163,$D:$D,$D163,$E:$E,"P0(전)"))</f>
        <v/>
      </c>
      <c r="P163" s="31">
        <f>IF(COUNTIFS($C:$C,$C163,$D:$D,$D163,$E:$E,"P0(전)",$M:$M,"&gt;0")&lt;&gt;1,"",SUMIFS($M:$M,$C:$C,$C163,$D:$D,$D163,$E:$E,"P0(전)"))</f>
        <v/>
      </c>
      <c r="Q163" s="48">
        <f>IF(COUNTIFS($C:$C,$C163,$D:$D,$D163,$E:$E,"P0(후)",$M:$M,"&gt;0")&lt;&gt;1,"",SUMIFS($I:$I,$C:$C,$C163,$D:$D,$D163,$E:$E,"P0(후)"))</f>
        <v/>
      </c>
      <c r="R163" s="31">
        <f>IF(COUNTIFS($C:$C,$C163,$D:$D,$D163,$E:$E,"P0(후)",$M:$M,"&gt;0")&lt;&gt;1,"",SUMIFS($M:$M,$C:$C,$C163,$D:$D,$D163,$E:$E,"P0(후)"))</f>
        <v/>
      </c>
      <c r="S163" s="31">
        <f>IF(N163&lt;&gt;"OK","",P163+(R163-P163)*(I163-O163)/(Q163-O163))</f>
        <v/>
      </c>
      <c r="T163" s="31">
        <f>IF(OR(N163&lt;&gt;"OK",NOT(ISNUMBER(M163))),"",M163-S163)</f>
        <v/>
      </c>
      <c r="U163" s="49">
        <f>IF(OR(NOT(ISNUMBER(T163)),IF(ISNUMBER(H163),H163,G163)=0),"",T163/IF(ISNUMBER(H163),H163,G163))</f>
        <v/>
      </c>
      <c r="V163" s="49">
        <f>IF(ISNUMBER(U163),ABS(U163),"")</f>
        <v/>
      </c>
      <c r="W163" s="49">
        <f>IF(OR($E162&lt;&gt;"측정",$C162&lt;&gt;$C163,$D162&lt;&gt;$D163,NOT(ISNUMBER(M163)),NOT(ISNUMBER(M162)),(IF(ISNUMBER(H163),H163,G163)-IF(ISNUMBER(H162),H162,G162))=0),"",(M163-M162)/(IF(ISNUMBER(H163),H163,G163)-IF(ISNUMBER(H162),H162,G162)))</f>
        <v/>
      </c>
      <c r="X163" s="31">
        <f>IF(NOT(AND(ISNUMBER(O163),ISNUMBER(Q163))),"",(Q163-O163)*1440)</f>
        <v/>
      </c>
      <c r="Y163" s="29" t="n"/>
      <c r="Z163" s="29" t="n"/>
      <c r="AA163" s="29" t="n"/>
      <c r="AB163" s="32" t="n"/>
      <c r="AC163" s="32" t="n"/>
    </row>
    <row r="164">
      <c r="A164" s="26" t="inlineStr">
        <is>
          <t>S04</t>
        </is>
      </c>
      <c r="B164" s="26" t="inlineStr">
        <is>
          <t>진안 신규점1</t>
        </is>
      </c>
      <c r="C164" s="26" t="inlineStr">
        <is>
          <t>S04-H동</t>
        </is>
      </c>
      <c r="D164" s="47" t="n">
        <v>1</v>
      </c>
      <c r="E164" s="26" t="inlineStr">
        <is>
          <t>측정</t>
        </is>
      </c>
      <c r="F164" s="26" t="inlineStr">
        <is>
          <t>동</t>
        </is>
      </c>
      <c r="G164" s="31" t="n">
        <v>1</v>
      </c>
      <c r="H164" s="30" t="n"/>
      <c r="I164" s="43" t="n"/>
      <c r="J164" s="41" t="n"/>
      <c r="K164" s="41" t="n"/>
      <c r="L164" s="41" t="n"/>
      <c r="M164" s="31">
        <f>IF(COUNT(J164:L164)=0,"",MEDIAN(J164:L164))</f>
        <v/>
      </c>
      <c r="N164" s="26">
        <f>IF(COUNTIFS($C:$C,$C164,$D:$D,$D164,$E:$E,"P0(전)",$M:$M,"&gt;0")&lt;&gt;1,"P0(전) 유효 1개 아님",IF(COUNTIFS($C:$C,$C164,$D:$D,$D164,$E:$E,"P0(후)",$M:$M,"&gt;0")&lt;&gt;1,"P0(후) 유효 1개 아님",IF(NOT(AND(ISNUMBER(O164),ISNUMBER(Q164),ISNUMBER(I164))),"시각 결측",IF(Q164&lt;=O164,"P0 시각 역전",IF(OR(I164&lt;O164,I164&gt;Q164),"측정시각 구간 밖","OK")))))</f>
        <v/>
      </c>
      <c r="O164" s="48">
        <f>IF(COUNTIFS($C:$C,$C164,$D:$D,$D164,$E:$E,"P0(전)",$M:$M,"&gt;0")&lt;&gt;1,"",SUMIFS($I:$I,$C:$C,$C164,$D:$D,$D164,$E:$E,"P0(전)"))</f>
        <v/>
      </c>
      <c r="P164" s="31">
        <f>IF(COUNTIFS($C:$C,$C164,$D:$D,$D164,$E:$E,"P0(전)",$M:$M,"&gt;0")&lt;&gt;1,"",SUMIFS($M:$M,$C:$C,$C164,$D:$D,$D164,$E:$E,"P0(전)"))</f>
        <v/>
      </c>
      <c r="Q164" s="48">
        <f>IF(COUNTIFS($C:$C,$C164,$D:$D,$D164,$E:$E,"P0(후)",$M:$M,"&gt;0")&lt;&gt;1,"",SUMIFS($I:$I,$C:$C,$C164,$D:$D,$D164,$E:$E,"P0(후)"))</f>
        <v/>
      </c>
      <c r="R164" s="31">
        <f>IF(COUNTIFS($C:$C,$C164,$D:$D,$D164,$E:$E,"P0(후)",$M:$M,"&gt;0")&lt;&gt;1,"",SUMIFS($M:$M,$C:$C,$C164,$D:$D,$D164,$E:$E,"P0(후)"))</f>
        <v/>
      </c>
      <c r="S164" s="31">
        <f>IF(N164&lt;&gt;"OK","",P164+(R164-P164)*(I164-O164)/(Q164-O164))</f>
        <v/>
      </c>
      <c r="T164" s="31">
        <f>IF(OR(N164&lt;&gt;"OK",NOT(ISNUMBER(M164))),"",M164-S164)</f>
        <v/>
      </c>
      <c r="U164" s="49">
        <f>IF(OR(NOT(ISNUMBER(T164)),IF(ISNUMBER(H164),H164,G164)=0),"",T164/IF(ISNUMBER(H164),H164,G164))</f>
        <v/>
      </c>
      <c r="V164" s="49">
        <f>IF(ISNUMBER(U164),ABS(U164),"")</f>
        <v/>
      </c>
      <c r="W164" s="49">
        <f>IF(OR($E163&lt;&gt;"측정",$C163&lt;&gt;$C164,$D163&lt;&gt;$D164,NOT(ISNUMBER(M164)),NOT(ISNUMBER(M163)),(IF(ISNUMBER(H164),H164,G164)-IF(ISNUMBER(H163),H163,G163))=0),"",(M164-M163)/(IF(ISNUMBER(H164),H164,G164)-IF(ISNUMBER(H163),H163,G163)))</f>
        <v/>
      </c>
      <c r="X164" s="31">
        <f>IF(NOT(AND(ISNUMBER(O164),ISNUMBER(Q164))),"",(Q164-O164)*1440)</f>
        <v/>
      </c>
      <c r="Y164" s="29" t="n"/>
      <c r="Z164" s="29" t="n"/>
      <c r="AA164" s="29" t="n"/>
      <c r="AB164" s="32" t="n"/>
      <c r="AC164" s="32" t="n"/>
    </row>
    <row r="165">
      <c r="A165" s="26" t="inlineStr">
        <is>
          <t>S04</t>
        </is>
      </c>
      <c r="B165" s="26" t="inlineStr">
        <is>
          <t>진안 신규점1</t>
        </is>
      </c>
      <c r="C165" s="26" t="inlineStr">
        <is>
          <t>S04-H동</t>
        </is>
      </c>
      <c r="D165" s="47" t="n">
        <v>1</v>
      </c>
      <c r="E165" s="26" t="inlineStr">
        <is>
          <t>측정</t>
        </is>
      </c>
      <c r="F165" s="26" t="inlineStr">
        <is>
          <t>동</t>
        </is>
      </c>
      <c r="G165" s="31" t="n">
        <v>2</v>
      </c>
      <c r="H165" s="30" t="n"/>
      <c r="I165" s="43" t="n"/>
      <c r="J165" s="41" t="n"/>
      <c r="K165" s="41" t="n"/>
      <c r="L165" s="41" t="n"/>
      <c r="M165" s="31">
        <f>IF(COUNT(J165:L165)=0,"",MEDIAN(J165:L165))</f>
        <v/>
      </c>
      <c r="N165" s="26">
        <f>IF(COUNTIFS($C:$C,$C165,$D:$D,$D165,$E:$E,"P0(전)",$M:$M,"&gt;0")&lt;&gt;1,"P0(전) 유효 1개 아님",IF(COUNTIFS($C:$C,$C165,$D:$D,$D165,$E:$E,"P0(후)",$M:$M,"&gt;0")&lt;&gt;1,"P0(후) 유효 1개 아님",IF(NOT(AND(ISNUMBER(O165),ISNUMBER(Q165),ISNUMBER(I165))),"시각 결측",IF(Q165&lt;=O165,"P0 시각 역전",IF(OR(I165&lt;O165,I165&gt;Q165),"측정시각 구간 밖","OK")))))</f>
        <v/>
      </c>
      <c r="O165" s="48">
        <f>IF(COUNTIFS($C:$C,$C165,$D:$D,$D165,$E:$E,"P0(전)",$M:$M,"&gt;0")&lt;&gt;1,"",SUMIFS($I:$I,$C:$C,$C165,$D:$D,$D165,$E:$E,"P0(전)"))</f>
        <v/>
      </c>
      <c r="P165" s="31">
        <f>IF(COUNTIFS($C:$C,$C165,$D:$D,$D165,$E:$E,"P0(전)",$M:$M,"&gt;0")&lt;&gt;1,"",SUMIFS($M:$M,$C:$C,$C165,$D:$D,$D165,$E:$E,"P0(전)"))</f>
        <v/>
      </c>
      <c r="Q165" s="48">
        <f>IF(COUNTIFS($C:$C,$C165,$D:$D,$D165,$E:$E,"P0(후)",$M:$M,"&gt;0")&lt;&gt;1,"",SUMIFS($I:$I,$C:$C,$C165,$D:$D,$D165,$E:$E,"P0(후)"))</f>
        <v/>
      </c>
      <c r="R165" s="31">
        <f>IF(COUNTIFS($C:$C,$C165,$D:$D,$D165,$E:$E,"P0(후)",$M:$M,"&gt;0")&lt;&gt;1,"",SUMIFS($M:$M,$C:$C,$C165,$D:$D,$D165,$E:$E,"P0(후)"))</f>
        <v/>
      </c>
      <c r="S165" s="31">
        <f>IF(N165&lt;&gt;"OK","",P165+(R165-P165)*(I165-O165)/(Q165-O165))</f>
        <v/>
      </c>
      <c r="T165" s="31">
        <f>IF(OR(N165&lt;&gt;"OK",NOT(ISNUMBER(M165))),"",M165-S165)</f>
        <v/>
      </c>
      <c r="U165" s="49">
        <f>IF(OR(NOT(ISNUMBER(T165)),IF(ISNUMBER(H165),H165,G165)=0),"",T165/IF(ISNUMBER(H165),H165,G165))</f>
        <v/>
      </c>
      <c r="V165" s="49">
        <f>IF(ISNUMBER(U165),ABS(U165),"")</f>
        <v/>
      </c>
      <c r="W165" s="49">
        <f>IF(OR($E164&lt;&gt;"측정",$C164&lt;&gt;$C165,$D164&lt;&gt;$D165,NOT(ISNUMBER(M165)),NOT(ISNUMBER(M164)),(IF(ISNUMBER(H165),H165,G165)-IF(ISNUMBER(H164),H164,G164))=0),"",(M165-M164)/(IF(ISNUMBER(H165),H165,G165)-IF(ISNUMBER(H164),H164,G164)))</f>
        <v/>
      </c>
      <c r="X165" s="31">
        <f>IF(NOT(AND(ISNUMBER(O165),ISNUMBER(Q165))),"",(Q165-O165)*1440)</f>
        <v/>
      </c>
      <c r="Y165" s="29" t="n"/>
      <c r="Z165" s="29" t="n"/>
      <c r="AA165" s="29" t="n"/>
      <c r="AB165" s="32" t="n"/>
      <c r="AC165" s="32" t="n"/>
    </row>
    <row r="166">
      <c r="A166" s="26" t="inlineStr">
        <is>
          <t>S04</t>
        </is>
      </c>
      <c r="B166" s="26" t="inlineStr">
        <is>
          <t>진안 신규점1</t>
        </is>
      </c>
      <c r="C166" s="26" t="inlineStr">
        <is>
          <t>S04-H동</t>
        </is>
      </c>
      <c r="D166" s="47" t="n">
        <v>1</v>
      </c>
      <c r="E166" s="26" t="inlineStr">
        <is>
          <t>측정</t>
        </is>
      </c>
      <c r="F166" s="26" t="inlineStr">
        <is>
          <t>동</t>
        </is>
      </c>
      <c r="G166" s="31" t="n">
        <v>3</v>
      </c>
      <c r="H166" s="30" t="n"/>
      <c r="I166" s="43" t="n"/>
      <c r="J166" s="41" t="n"/>
      <c r="K166" s="41" t="n"/>
      <c r="L166" s="41" t="n"/>
      <c r="M166" s="31">
        <f>IF(COUNT(J166:L166)=0,"",MEDIAN(J166:L166))</f>
        <v/>
      </c>
      <c r="N166" s="26">
        <f>IF(COUNTIFS($C:$C,$C166,$D:$D,$D166,$E:$E,"P0(전)",$M:$M,"&gt;0")&lt;&gt;1,"P0(전) 유효 1개 아님",IF(COUNTIFS($C:$C,$C166,$D:$D,$D166,$E:$E,"P0(후)",$M:$M,"&gt;0")&lt;&gt;1,"P0(후) 유효 1개 아님",IF(NOT(AND(ISNUMBER(O166),ISNUMBER(Q166),ISNUMBER(I166))),"시각 결측",IF(Q166&lt;=O166,"P0 시각 역전",IF(OR(I166&lt;O166,I166&gt;Q166),"측정시각 구간 밖","OK")))))</f>
        <v/>
      </c>
      <c r="O166" s="48">
        <f>IF(COUNTIFS($C:$C,$C166,$D:$D,$D166,$E:$E,"P0(전)",$M:$M,"&gt;0")&lt;&gt;1,"",SUMIFS($I:$I,$C:$C,$C166,$D:$D,$D166,$E:$E,"P0(전)"))</f>
        <v/>
      </c>
      <c r="P166" s="31">
        <f>IF(COUNTIFS($C:$C,$C166,$D:$D,$D166,$E:$E,"P0(전)",$M:$M,"&gt;0")&lt;&gt;1,"",SUMIFS($M:$M,$C:$C,$C166,$D:$D,$D166,$E:$E,"P0(전)"))</f>
        <v/>
      </c>
      <c r="Q166" s="48">
        <f>IF(COUNTIFS($C:$C,$C166,$D:$D,$D166,$E:$E,"P0(후)",$M:$M,"&gt;0")&lt;&gt;1,"",SUMIFS($I:$I,$C:$C,$C166,$D:$D,$D166,$E:$E,"P0(후)"))</f>
        <v/>
      </c>
      <c r="R166" s="31">
        <f>IF(COUNTIFS($C:$C,$C166,$D:$D,$D166,$E:$E,"P0(후)",$M:$M,"&gt;0")&lt;&gt;1,"",SUMIFS($M:$M,$C:$C,$C166,$D:$D,$D166,$E:$E,"P0(후)"))</f>
        <v/>
      </c>
      <c r="S166" s="31">
        <f>IF(N166&lt;&gt;"OK","",P166+(R166-P166)*(I166-O166)/(Q166-O166))</f>
        <v/>
      </c>
      <c r="T166" s="31">
        <f>IF(OR(N166&lt;&gt;"OK",NOT(ISNUMBER(M166))),"",M166-S166)</f>
        <v/>
      </c>
      <c r="U166" s="49">
        <f>IF(OR(NOT(ISNUMBER(T166)),IF(ISNUMBER(H166),H166,G166)=0),"",T166/IF(ISNUMBER(H166),H166,G166))</f>
        <v/>
      </c>
      <c r="V166" s="49">
        <f>IF(ISNUMBER(U166),ABS(U166),"")</f>
        <v/>
      </c>
      <c r="W166" s="49">
        <f>IF(OR($E165&lt;&gt;"측정",$C165&lt;&gt;$C166,$D165&lt;&gt;$D166,NOT(ISNUMBER(M166)),NOT(ISNUMBER(M165)),(IF(ISNUMBER(H166),H166,G166)-IF(ISNUMBER(H165),H165,G165))=0),"",(M166-M165)/(IF(ISNUMBER(H166),H166,G166)-IF(ISNUMBER(H165),H165,G165)))</f>
        <v/>
      </c>
      <c r="X166" s="31">
        <f>IF(NOT(AND(ISNUMBER(O166),ISNUMBER(Q166))),"",(Q166-O166)*1440)</f>
        <v/>
      </c>
      <c r="Y166" s="29" t="n"/>
      <c r="Z166" s="29" t="n"/>
      <c r="AA166" s="29" t="n"/>
      <c r="AB166" s="32" t="n"/>
      <c r="AC166" s="32" t="n"/>
    </row>
    <row r="167">
      <c r="A167" s="26" t="inlineStr">
        <is>
          <t>S04</t>
        </is>
      </c>
      <c r="B167" s="26" t="inlineStr">
        <is>
          <t>진안 신규점1</t>
        </is>
      </c>
      <c r="C167" s="26" t="inlineStr">
        <is>
          <t>S04-H동</t>
        </is>
      </c>
      <c r="D167" s="47" t="n">
        <v>1</v>
      </c>
      <c r="E167" s="26" t="inlineStr">
        <is>
          <t>측정</t>
        </is>
      </c>
      <c r="F167" s="26" t="inlineStr">
        <is>
          <t>동</t>
        </is>
      </c>
      <c r="G167" s="31" t="n">
        <v>4</v>
      </c>
      <c r="H167" s="30" t="n"/>
      <c r="I167" s="43" t="n"/>
      <c r="J167" s="41" t="n"/>
      <c r="K167" s="41" t="n"/>
      <c r="L167" s="41" t="n"/>
      <c r="M167" s="31">
        <f>IF(COUNT(J167:L167)=0,"",MEDIAN(J167:L167))</f>
        <v/>
      </c>
      <c r="N167" s="26">
        <f>IF(COUNTIFS($C:$C,$C167,$D:$D,$D167,$E:$E,"P0(전)",$M:$M,"&gt;0")&lt;&gt;1,"P0(전) 유효 1개 아님",IF(COUNTIFS($C:$C,$C167,$D:$D,$D167,$E:$E,"P0(후)",$M:$M,"&gt;0")&lt;&gt;1,"P0(후) 유효 1개 아님",IF(NOT(AND(ISNUMBER(O167),ISNUMBER(Q167),ISNUMBER(I167))),"시각 결측",IF(Q167&lt;=O167,"P0 시각 역전",IF(OR(I167&lt;O167,I167&gt;Q167),"측정시각 구간 밖","OK")))))</f>
        <v/>
      </c>
      <c r="O167" s="48">
        <f>IF(COUNTIFS($C:$C,$C167,$D:$D,$D167,$E:$E,"P0(전)",$M:$M,"&gt;0")&lt;&gt;1,"",SUMIFS($I:$I,$C:$C,$C167,$D:$D,$D167,$E:$E,"P0(전)"))</f>
        <v/>
      </c>
      <c r="P167" s="31">
        <f>IF(COUNTIFS($C:$C,$C167,$D:$D,$D167,$E:$E,"P0(전)",$M:$M,"&gt;0")&lt;&gt;1,"",SUMIFS($M:$M,$C:$C,$C167,$D:$D,$D167,$E:$E,"P0(전)"))</f>
        <v/>
      </c>
      <c r="Q167" s="48">
        <f>IF(COUNTIFS($C:$C,$C167,$D:$D,$D167,$E:$E,"P0(후)",$M:$M,"&gt;0")&lt;&gt;1,"",SUMIFS($I:$I,$C:$C,$C167,$D:$D,$D167,$E:$E,"P0(후)"))</f>
        <v/>
      </c>
      <c r="R167" s="31">
        <f>IF(COUNTIFS($C:$C,$C167,$D:$D,$D167,$E:$E,"P0(후)",$M:$M,"&gt;0")&lt;&gt;1,"",SUMIFS($M:$M,$C:$C,$C167,$D:$D,$D167,$E:$E,"P0(후)"))</f>
        <v/>
      </c>
      <c r="S167" s="31">
        <f>IF(N167&lt;&gt;"OK","",P167+(R167-P167)*(I167-O167)/(Q167-O167))</f>
        <v/>
      </c>
      <c r="T167" s="31">
        <f>IF(OR(N167&lt;&gt;"OK",NOT(ISNUMBER(M167))),"",M167-S167)</f>
        <v/>
      </c>
      <c r="U167" s="49">
        <f>IF(OR(NOT(ISNUMBER(T167)),IF(ISNUMBER(H167),H167,G167)=0),"",T167/IF(ISNUMBER(H167),H167,G167))</f>
        <v/>
      </c>
      <c r="V167" s="49">
        <f>IF(ISNUMBER(U167),ABS(U167),"")</f>
        <v/>
      </c>
      <c r="W167" s="49">
        <f>IF(OR($E166&lt;&gt;"측정",$C166&lt;&gt;$C167,$D166&lt;&gt;$D167,NOT(ISNUMBER(M167)),NOT(ISNUMBER(M166)),(IF(ISNUMBER(H167),H167,G167)-IF(ISNUMBER(H166),H166,G166))=0),"",(M167-M166)/(IF(ISNUMBER(H167),H167,G167)-IF(ISNUMBER(H166),H166,G166)))</f>
        <v/>
      </c>
      <c r="X167" s="31">
        <f>IF(NOT(AND(ISNUMBER(O167),ISNUMBER(Q167))),"",(Q167-O167)*1440)</f>
        <v/>
      </c>
      <c r="Y167" s="29" t="n"/>
      <c r="Z167" s="29" t="n"/>
      <c r="AA167" s="29" t="n"/>
      <c r="AB167" s="32" t="n"/>
      <c r="AC167" s="32" t="n"/>
    </row>
    <row r="168">
      <c r="A168" s="26" t="inlineStr">
        <is>
          <t>S04</t>
        </is>
      </c>
      <c r="B168" s="26" t="inlineStr">
        <is>
          <t>진안 신규점1</t>
        </is>
      </c>
      <c r="C168" s="26" t="inlineStr">
        <is>
          <t>S04-H동</t>
        </is>
      </c>
      <c r="D168" s="47" t="n">
        <v>1</v>
      </c>
      <c r="E168" s="26" t="inlineStr">
        <is>
          <t>측정</t>
        </is>
      </c>
      <c r="F168" s="26" t="inlineStr">
        <is>
          <t>동</t>
        </is>
      </c>
      <c r="G168" s="31" t="n">
        <v>5</v>
      </c>
      <c r="H168" s="30" t="n"/>
      <c r="I168" s="43" t="n"/>
      <c r="J168" s="41" t="n"/>
      <c r="K168" s="41" t="n"/>
      <c r="L168" s="41" t="n"/>
      <c r="M168" s="31">
        <f>IF(COUNT(J168:L168)=0,"",MEDIAN(J168:L168))</f>
        <v/>
      </c>
      <c r="N168" s="26">
        <f>IF(COUNTIFS($C:$C,$C168,$D:$D,$D168,$E:$E,"P0(전)",$M:$M,"&gt;0")&lt;&gt;1,"P0(전) 유효 1개 아님",IF(COUNTIFS($C:$C,$C168,$D:$D,$D168,$E:$E,"P0(후)",$M:$M,"&gt;0")&lt;&gt;1,"P0(후) 유효 1개 아님",IF(NOT(AND(ISNUMBER(O168),ISNUMBER(Q168),ISNUMBER(I168))),"시각 결측",IF(Q168&lt;=O168,"P0 시각 역전",IF(OR(I168&lt;O168,I168&gt;Q168),"측정시각 구간 밖","OK")))))</f>
        <v/>
      </c>
      <c r="O168" s="48">
        <f>IF(COUNTIFS($C:$C,$C168,$D:$D,$D168,$E:$E,"P0(전)",$M:$M,"&gt;0")&lt;&gt;1,"",SUMIFS($I:$I,$C:$C,$C168,$D:$D,$D168,$E:$E,"P0(전)"))</f>
        <v/>
      </c>
      <c r="P168" s="31">
        <f>IF(COUNTIFS($C:$C,$C168,$D:$D,$D168,$E:$E,"P0(전)",$M:$M,"&gt;0")&lt;&gt;1,"",SUMIFS($M:$M,$C:$C,$C168,$D:$D,$D168,$E:$E,"P0(전)"))</f>
        <v/>
      </c>
      <c r="Q168" s="48">
        <f>IF(COUNTIFS($C:$C,$C168,$D:$D,$D168,$E:$E,"P0(후)",$M:$M,"&gt;0")&lt;&gt;1,"",SUMIFS($I:$I,$C:$C,$C168,$D:$D,$D168,$E:$E,"P0(후)"))</f>
        <v/>
      </c>
      <c r="R168" s="31">
        <f>IF(COUNTIFS($C:$C,$C168,$D:$D,$D168,$E:$E,"P0(후)",$M:$M,"&gt;0")&lt;&gt;1,"",SUMIFS($M:$M,$C:$C,$C168,$D:$D,$D168,$E:$E,"P0(후)"))</f>
        <v/>
      </c>
      <c r="S168" s="31">
        <f>IF(N168&lt;&gt;"OK","",P168+(R168-P168)*(I168-O168)/(Q168-O168))</f>
        <v/>
      </c>
      <c r="T168" s="31">
        <f>IF(OR(N168&lt;&gt;"OK",NOT(ISNUMBER(M168))),"",M168-S168)</f>
        <v/>
      </c>
      <c r="U168" s="49">
        <f>IF(OR(NOT(ISNUMBER(T168)),IF(ISNUMBER(H168),H168,G168)=0),"",T168/IF(ISNUMBER(H168),H168,G168))</f>
        <v/>
      </c>
      <c r="V168" s="49">
        <f>IF(ISNUMBER(U168),ABS(U168),"")</f>
        <v/>
      </c>
      <c r="W168" s="49">
        <f>IF(OR($E167&lt;&gt;"측정",$C167&lt;&gt;$C168,$D167&lt;&gt;$D168,NOT(ISNUMBER(M168)),NOT(ISNUMBER(M167)),(IF(ISNUMBER(H168),H168,G168)-IF(ISNUMBER(H167),H167,G167))=0),"",(M168-M167)/(IF(ISNUMBER(H168),H168,G168)-IF(ISNUMBER(H167),H167,G167)))</f>
        <v/>
      </c>
      <c r="X168" s="31">
        <f>IF(NOT(AND(ISNUMBER(O168),ISNUMBER(Q168))),"",(Q168-O168)*1440)</f>
        <v/>
      </c>
      <c r="Y168" s="29" t="n"/>
      <c r="Z168" s="29" t="n"/>
      <c r="AA168" s="29" t="n"/>
      <c r="AB168" s="32" t="n"/>
      <c r="AC168" s="32" t="n"/>
    </row>
    <row r="169">
      <c r="A169" s="26" t="inlineStr">
        <is>
          <t>S04</t>
        </is>
      </c>
      <c r="B169" s="26" t="inlineStr">
        <is>
          <t>진안 신규점1</t>
        </is>
      </c>
      <c r="C169" s="26" t="inlineStr">
        <is>
          <t>S04-H동</t>
        </is>
      </c>
      <c r="D169" s="47" t="n">
        <v>1</v>
      </c>
      <c r="E169" s="26" t="inlineStr">
        <is>
          <t>측정</t>
        </is>
      </c>
      <c r="F169" s="26" t="inlineStr">
        <is>
          <t>동</t>
        </is>
      </c>
      <c r="G169" s="31" t="n">
        <v>6</v>
      </c>
      <c r="H169" s="30" t="n"/>
      <c r="I169" s="43" t="n"/>
      <c r="J169" s="41" t="n"/>
      <c r="K169" s="41" t="n"/>
      <c r="L169" s="41" t="n"/>
      <c r="M169" s="31">
        <f>IF(COUNT(J169:L169)=0,"",MEDIAN(J169:L169))</f>
        <v/>
      </c>
      <c r="N169" s="26">
        <f>IF(COUNTIFS($C:$C,$C169,$D:$D,$D169,$E:$E,"P0(전)",$M:$M,"&gt;0")&lt;&gt;1,"P0(전) 유효 1개 아님",IF(COUNTIFS($C:$C,$C169,$D:$D,$D169,$E:$E,"P0(후)",$M:$M,"&gt;0")&lt;&gt;1,"P0(후) 유효 1개 아님",IF(NOT(AND(ISNUMBER(O169),ISNUMBER(Q169),ISNUMBER(I169))),"시각 결측",IF(Q169&lt;=O169,"P0 시각 역전",IF(OR(I169&lt;O169,I169&gt;Q169),"측정시각 구간 밖","OK")))))</f>
        <v/>
      </c>
      <c r="O169" s="48">
        <f>IF(COUNTIFS($C:$C,$C169,$D:$D,$D169,$E:$E,"P0(전)",$M:$M,"&gt;0")&lt;&gt;1,"",SUMIFS($I:$I,$C:$C,$C169,$D:$D,$D169,$E:$E,"P0(전)"))</f>
        <v/>
      </c>
      <c r="P169" s="31">
        <f>IF(COUNTIFS($C:$C,$C169,$D:$D,$D169,$E:$E,"P0(전)",$M:$M,"&gt;0")&lt;&gt;1,"",SUMIFS($M:$M,$C:$C,$C169,$D:$D,$D169,$E:$E,"P0(전)"))</f>
        <v/>
      </c>
      <c r="Q169" s="48">
        <f>IF(COUNTIFS($C:$C,$C169,$D:$D,$D169,$E:$E,"P0(후)",$M:$M,"&gt;0")&lt;&gt;1,"",SUMIFS($I:$I,$C:$C,$C169,$D:$D,$D169,$E:$E,"P0(후)"))</f>
        <v/>
      </c>
      <c r="R169" s="31">
        <f>IF(COUNTIFS($C:$C,$C169,$D:$D,$D169,$E:$E,"P0(후)",$M:$M,"&gt;0")&lt;&gt;1,"",SUMIFS($M:$M,$C:$C,$C169,$D:$D,$D169,$E:$E,"P0(후)"))</f>
        <v/>
      </c>
      <c r="S169" s="31">
        <f>IF(N169&lt;&gt;"OK","",P169+(R169-P169)*(I169-O169)/(Q169-O169))</f>
        <v/>
      </c>
      <c r="T169" s="31">
        <f>IF(OR(N169&lt;&gt;"OK",NOT(ISNUMBER(M169))),"",M169-S169)</f>
        <v/>
      </c>
      <c r="U169" s="49">
        <f>IF(OR(NOT(ISNUMBER(T169)),IF(ISNUMBER(H169),H169,G169)=0),"",T169/IF(ISNUMBER(H169),H169,G169))</f>
        <v/>
      </c>
      <c r="V169" s="49">
        <f>IF(ISNUMBER(U169),ABS(U169),"")</f>
        <v/>
      </c>
      <c r="W169" s="49">
        <f>IF(OR($E168&lt;&gt;"측정",$C168&lt;&gt;$C169,$D168&lt;&gt;$D169,NOT(ISNUMBER(M169)),NOT(ISNUMBER(M168)),(IF(ISNUMBER(H169),H169,G169)-IF(ISNUMBER(H168),H168,G168))=0),"",(M169-M168)/(IF(ISNUMBER(H169),H169,G169)-IF(ISNUMBER(H168),H168,G168)))</f>
        <v/>
      </c>
      <c r="X169" s="31">
        <f>IF(NOT(AND(ISNUMBER(O169),ISNUMBER(Q169))),"",(Q169-O169)*1440)</f>
        <v/>
      </c>
      <c r="Y169" s="29" t="n"/>
      <c r="Z169" s="29" t="n"/>
      <c r="AA169" s="29" t="n"/>
      <c r="AB169" s="32" t="n"/>
      <c r="AC169" s="32" t="n"/>
    </row>
    <row r="170">
      <c r="A170" s="26" t="inlineStr">
        <is>
          <t>S04</t>
        </is>
      </c>
      <c r="B170" s="26" t="inlineStr">
        <is>
          <t>진안 신규점1</t>
        </is>
      </c>
      <c r="C170" s="26" t="inlineStr">
        <is>
          <t>S04-H동</t>
        </is>
      </c>
      <c r="D170" s="47" t="n">
        <v>1</v>
      </c>
      <c r="E170" s="26" t="inlineStr">
        <is>
          <t>측정</t>
        </is>
      </c>
      <c r="F170" s="26" t="inlineStr">
        <is>
          <t>동</t>
        </is>
      </c>
      <c r="G170" s="31" t="n">
        <v>7</v>
      </c>
      <c r="H170" s="30" t="n"/>
      <c r="I170" s="43" t="n"/>
      <c r="J170" s="41" t="n"/>
      <c r="K170" s="41" t="n"/>
      <c r="L170" s="41" t="n"/>
      <c r="M170" s="31">
        <f>IF(COUNT(J170:L170)=0,"",MEDIAN(J170:L170))</f>
        <v/>
      </c>
      <c r="N170" s="26">
        <f>IF(COUNTIFS($C:$C,$C170,$D:$D,$D170,$E:$E,"P0(전)",$M:$M,"&gt;0")&lt;&gt;1,"P0(전) 유효 1개 아님",IF(COUNTIFS($C:$C,$C170,$D:$D,$D170,$E:$E,"P0(후)",$M:$M,"&gt;0")&lt;&gt;1,"P0(후) 유효 1개 아님",IF(NOT(AND(ISNUMBER(O170),ISNUMBER(Q170),ISNUMBER(I170))),"시각 결측",IF(Q170&lt;=O170,"P0 시각 역전",IF(OR(I170&lt;O170,I170&gt;Q170),"측정시각 구간 밖","OK")))))</f>
        <v/>
      </c>
      <c r="O170" s="48">
        <f>IF(COUNTIFS($C:$C,$C170,$D:$D,$D170,$E:$E,"P0(전)",$M:$M,"&gt;0")&lt;&gt;1,"",SUMIFS($I:$I,$C:$C,$C170,$D:$D,$D170,$E:$E,"P0(전)"))</f>
        <v/>
      </c>
      <c r="P170" s="31">
        <f>IF(COUNTIFS($C:$C,$C170,$D:$D,$D170,$E:$E,"P0(전)",$M:$M,"&gt;0")&lt;&gt;1,"",SUMIFS($M:$M,$C:$C,$C170,$D:$D,$D170,$E:$E,"P0(전)"))</f>
        <v/>
      </c>
      <c r="Q170" s="48">
        <f>IF(COUNTIFS($C:$C,$C170,$D:$D,$D170,$E:$E,"P0(후)",$M:$M,"&gt;0")&lt;&gt;1,"",SUMIFS($I:$I,$C:$C,$C170,$D:$D,$D170,$E:$E,"P0(후)"))</f>
        <v/>
      </c>
      <c r="R170" s="31">
        <f>IF(COUNTIFS($C:$C,$C170,$D:$D,$D170,$E:$E,"P0(후)",$M:$M,"&gt;0")&lt;&gt;1,"",SUMIFS($M:$M,$C:$C,$C170,$D:$D,$D170,$E:$E,"P0(후)"))</f>
        <v/>
      </c>
      <c r="S170" s="31">
        <f>IF(N170&lt;&gt;"OK","",P170+(R170-P170)*(I170-O170)/(Q170-O170))</f>
        <v/>
      </c>
      <c r="T170" s="31">
        <f>IF(OR(N170&lt;&gt;"OK",NOT(ISNUMBER(M170))),"",M170-S170)</f>
        <v/>
      </c>
      <c r="U170" s="49">
        <f>IF(OR(NOT(ISNUMBER(T170)),IF(ISNUMBER(H170),H170,G170)=0),"",T170/IF(ISNUMBER(H170),H170,G170))</f>
        <v/>
      </c>
      <c r="V170" s="49">
        <f>IF(ISNUMBER(U170),ABS(U170),"")</f>
        <v/>
      </c>
      <c r="W170" s="49">
        <f>IF(OR($E169&lt;&gt;"측정",$C169&lt;&gt;$C170,$D169&lt;&gt;$D170,NOT(ISNUMBER(M170)),NOT(ISNUMBER(M169)),(IF(ISNUMBER(H170),H170,G170)-IF(ISNUMBER(H169),H169,G169))=0),"",(M170-M169)/(IF(ISNUMBER(H170),H170,G170)-IF(ISNUMBER(H169),H169,G169)))</f>
        <v/>
      </c>
      <c r="X170" s="31">
        <f>IF(NOT(AND(ISNUMBER(O170),ISNUMBER(Q170))),"",(Q170-O170)*1440)</f>
        <v/>
      </c>
      <c r="Y170" s="29" t="n"/>
      <c r="Z170" s="29" t="n"/>
      <c r="AA170" s="29" t="n"/>
      <c r="AB170" s="32" t="n"/>
      <c r="AC170" s="32" t="n"/>
    </row>
    <row r="171">
      <c r="A171" s="26" t="inlineStr">
        <is>
          <t>S04</t>
        </is>
      </c>
      <c r="B171" s="26" t="inlineStr">
        <is>
          <t>진안 신규점1</t>
        </is>
      </c>
      <c r="C171" s="26" t="inlineStr">
        <is>
          <t>S04-H동</t>
        </is>
      </c>
      <c r="D171" s="47" t="n">
        <v>1</v>
      </c>
      <c r="E171" s="26" t="inlineStr">
        <is>
          <t>측정</t>
        </is>
      </c>
      <c r="F171" s="26" t="inlineStr">
        <is>
          <t>동</t>
        </is>
      </c>
      <c r="G171" s="31" t="n">
        <v>8</v>
      </c>
      <c r="H171" s="30" t="n"/>
      <c r="I171" s="43" t="n"/>
      <c r="J171" s="41" t="n"/>
      <c r="K171" s="41" t="n"/>
      <c r="L171" s="41" t="n"/>
      <c r="M171" s="31">
        <f>IF(COUNT(J171:L171)=0,"",MEDIAN(J171:L171))</f>
        <v/>
      </c>
      <c r="N171" s="26">
        <f>IF(COUNTIFS($C:$C,$C171,$D:$D,$D171,$E:$E,"P0(전)",$M:$M,"&gt;0")&lt;&gt;1,"P0(전) 유효 1개 아님",IF(COUNTIFS($C:$C,$C171,$D:$D,$D171,$E:$E,"P0(후)",$M:$M,"&gt;0")&lt;&gt;1,"P0(후) 유효 1개 아님",IF(NOT(AND(ISNUMBER(O171),ISNUMBER(Q171),ISNUMBER(I171))),"시각 결측",IF(Q171&lt;=O171,"P0 시각 역전",IF(OR(I171&lt;O171,I171&gt;Q171),"측정시각 구간 밖","OK")))))</f>
        <v/>
      </c>
      <c r="O171" s="48">
        <f>IF(COUNTIFS($C:$C,$C171,$D:$D,$D171,$E:$E,"P0(전)",$M:$M,"&gt;0")&lt;&gt;1,"",SUMIFS($I:$I,$C:$C,$C171,$D:$D,$D171,$E:$E,"P0(전)"))</f>
        <v/>
      </c>
      <c r="P171" s="31">
        <f>IF(COUNTIFS($C:$C,$C171,$D:$D,$D171,$E:$E,"P0(전)",$M:$M,"&gt;0")&lt;&gt;1,"",SUMIFS($M:$M,$C:$C,$C171,$D:$D,$D171,$E:$E,"P0(전)"))</f>
        <v/>
      </c>
      <c r="Q171" s="48">
        <f>IF(COUNTIFS($C:$C,$C171,$D:$D,$D171,$E:$E,"P0(후)",$M:$M,"&gt;0")&lt;&gt;1,"",SUMIFS($I:$I,$C:$C,$C171,$D:$D,$D171,$E:$E,"P0(후)"))</f>
        <v/>
      </c>
      <c r="R171" s="31">
        <f>IF(COUNTIFS($C:$C,$C171,$D:$D,$D171,$E:$E,"P0(후)",$M:$M,"&gt;0")&lt;&gt;1,"",SUMIFS($M:$M,$C:$C,$C171,$D:$D,$D171,$E:$E,"P0(후)"))</f>
        <v/>
      </c>
      <c r="S171" s="31">
        <f>IF(N171&lt;&gt;"OK","",P171+(R171-P171)*(I171-O171)/(Q171-O171))</f>
        <v/>
      </c>
      <c r="T171" s="31">
        <f>IF(OR(N171&lt;&gt;"OK",NOT(ISNUMBER(M171))),"",M171-S171)</f>
        <v/>
      </c>
      <c r="U171" s="49">
        <f>IF(OR(NOT(ISNUMBER(T171)),IF(ISNUMBER(H171),H171,G171)=0),"",T171/IF(ISNUMBER(H171),H171,G171))</f>
        <v/>
      </c>
      <c r="V171" s="49">
        <f>IF(ISNUMBER(U171),ABS(U171),"")</f>
        <v/>
      </c>
      <c r="W171" s="49">
        <f>IF(OR($E170&lt;&gt;"측정",$C170&lt;&gt;$C171,$D170&lt;&gt;$D171,NOT(ISNUMBER(M171)),NOT(ISNUMBER(M170)),(IF(ISNUMBER(H171),H171,G171)-IF(ISNUMBER(H170),H170,G170))=0),"",(M171-M170)/(IF(ISNUMBER(H171),H171,G171)-IF(ISNUMBER(H170),H170,G170)))</f>
        <v/>
      </c>
      <c r="X171" s="31">
        <f>IF(NOT(AND(ISNUMBER(O171),ISNUMBER(Q171))),"",(Q171-O171)*1440)</f>
        <v/>
      </c>
      <c r="Y171" s="29" t="n"/>
      <c r="Z171" s="29" t="n"/>
      <c r="AA171" s="29" t="n"/>
      <c r="AB171" s="32" t="n"/>
      <c r="AC171" s="32" t="n"/>
    </row>
    <row r="172">
      <c r="A172" s="26" t="inlineStr">
        <is>
          <t>S04</t>
        </is>
      </c>
      <c r="B172" s="26" t="inlineStr">
        <is>
          <t>진안 신규점1</t>
        </is>
      </c>
      <c r="C172" s="26" t="inlineStr">
        <is>
          <t>S04-H동</t>
        </is>
      </c>
      <c r="D172" s="47" t="n">
        <v>1</v>
      </c>
      <c r="E172" s="26" t="inlineStr">
        <is>
          <t>측정</t>
        </is>
      </c>
      <c r="F172" s="26" t="inlineStr">
        <is>
          <t>동</t>
        </is>
      </c>
      <c r="G172" s="31" t="n">
        <v>9</v>
      </c>
      <c r="H172" s="30" t="n"/>
      <c r="I172" s="43" t="n"/>
      <c r="J172" s="41" t="n"/>
      <c r="K172" s="41" t="n"/>
      <c r="L172" s="41" t="n"/>
      <c r="M172" s="31">
        <f>IF(COUNT(J172:L172)=0,"",MEDIAN(J172:L172))</f>
        <v/>
      </c>
      <c r="N172" s="26">
        <f>IF(COUNTIFS($C:$C,$C172,$D:$D,$D172,$E:$E,"P0(전)",$M:$M,"&gt;0")&lt;&gt;1,"P0(전) 유효 1개 아님",IF(COUNTIFS($C:$C,$C172,$D:$D,$D172,$E:$E,"P0(후)",$M:$M,"&gt;0")&lt;&gt;1,"P0(후) 유효 1개 아님",IF(NOT(AND(ISNUMBER(O172),ISNUMBER(Q172),ISNUMBER(I172))),"시각 결측",IF(Q172&lt;=O172,"P0 시각 역전",IF(OR(I172&lt;O172,I172&gt;Q172),"측정시각 구간 밖","OK")))))</f>
        <v/>
      </c>
      <c r="O172" s="48">
        <f>IF(COUNTIFS($C:$C,$C172,$D:$D,$D172,$E:$E,"P0(전)",$M:$M,"&gt;0")&lt;&gt;1,"",SUMIFS($I:$I,$C:$C,$C172,$D:$D,$D172,$E:$E,"P0(전)"))</f>
        <v/>
      </c>
      <c r="P172" s="31">
        <f>IF(COUNTIFS($C:$C,$C172,$D:$D,$D172,$E:$E,"P0(전)",$M:$M,"&gt;0")&lt;&gt;1,"",SUMIFS($M:$M,$C:$C,$C172,$D:$D,$D172,$E:$E,"P0(전)"))</f>
        <v/>
      </c>
      <c r="Q172" s="48">
        <f>IF(COUNTIFS($C:$C,$C172,$D:$D,$D172,$E:$E,"P0(후)",$M:$M,"&gt;0")&lt;&gt;1,"",SUMIFS($I:$I,$C:$C,$C172,$D:$D,$D172,$E:$E,"P0(후)"))</f>
        <v/>
      </c>
      <c r="R172" s="31">
        <f>IF(COUNTIFS($C:$C,$C172,$D:$D,$D172,$E:$E,"P0(후)",$M:$M,"&gt;0")&lt;&gt;1,"",SUMIFS($M:$M,$C:$C,$C172,$D:$D,$D172,$E:$E,"P0(후)"))</f>
        <v/>
      </c>
      <c r="S172" s="31">
        <f>IF(N172&lt;&gt;"OK","",P172+(R172-P172)*(I172-O172)/(Q172-O172))</f>
        <v/>
      </c>
      <c r="T172" s="31">
        <f>IF(OR(N172&lt;&gt;"OK",NOT(ISNUMBER(M172))),"",M172-S172)</f>
        <v/>
      </c>
      <c r="U172" s="49">
        <f>IF(OR(NOT(ISNUMBER(T172)),IF(ISNUMBER(H172),H172,G172)=0),"",T172/IF(ISNUMBER(H172),H172,G172))</f>
        <v/>
      </c>
      <c r="V172" s="49">
        <f>IF(ISNUMBER(U172),ABS(U172),"")</f>
        <v/>
      </c>
      <c r="W172" s="49">
        <f>IF(OR($E171&lt;&gt;"측정",$C171&lt;&gt;$C172,$D171&lt;&gt;$D172,NOT(ISNUMBER(M172)),NOT(ISNUMBER(M171)),(IF(ISNUMBER(H172),H172,G172)-IF(ISNUMBER(H171),H171,G171))=0),"",(M172-M171)/(IF(ISNUMBER(H172),H172,G172)-IF(ISNUMBER(H171),H171,G171)))</f>
        <v/>
      </c>
      <c r="X172" s="31">
        <f>IF(NOT(AND(ISNUMBER(O172),ISNUMBER(Q172))),"",(Q172-O172)*1440)</f>
        <v/>
      </c>
      <c r="Y172" s="29" t="n"/>
      <c r="Z172" s="29" t="n"/>
      <c r="AA172" s="29" t="n"/>
      <c r="AB172" s="32" t="n"/>
      <c r="AC172" s="32" t="n"/>
    </row>
    <row r="173">
      <c r="A173" s="26" t="inlineStr">
        <is>
          <t>S04</t>
        </is>
      </c>
      <c r="B173" s="26" t="inlineStr">
        <is>
          <t>진안 신규점1</t>
        </is>
      </c>
      <c r="C173" s="26" t="inlineStr">
        <is>
          <t>S04-H동</t>
        </is>
      </c>
      <c r="D173" s="47" t="n">
        <v>1</v>
      </c>
      <c r="E173" s="26" t="inlineStr">
        <is>
          <t>측정</t>
        </is>
      </c>
      <c r="F173" s="26" t="inlineStr">
        <is>
          <t>동</t>
        </is>
      </c>
      <c r="G173" s="31" t="n">
        <v>10</v>
      </c>
      <c r="H173" s="30" t="n"/>
      <c r="I173" s="43" t="n"/>
      <c r="J173" s="41" t="n"/>
      <c r="K173" s="41" t="n"/>
      <c r="L173" s="41" t="n"/>
      <c r="M173" s="31">
        <f>IF(COUNT(J173:L173)=0,"",MEDIAN(J173:L173))</f>
        <v/>
      </c>
      <c r="N173" s="26">
        <f>IF(COUNTIFS($C:$C,$C173,$D:$D,$D173,$E:$E,"P0(전)",$M:$M,"&gt;0")&lt;&gt;1,"P0(전) 유효 1개 아님",IF(COUNTIFS($C:$C,$C173,$D:$D,$D173,$E:$E,"P0(후)",$M:$M,"&gt;0")&lt;&gt;1,"P0(후) 유효 1개 아님",IF(NOT(AND(ISNUMBER(O173),ISNUMBER(Q173),ISNUMBER(I173))),"시각 결측",IF(Q173&lt;=O173,"P0 시각 역전",IF(OR(I173&lt;O173,I173&gt;Q173),"측정시각 구간 밖","OK")))))</f>
        <v/>
      </c>
      <c r="O173" s="48">
        <f>IF(COUNTIFS($C:$C,$C173,$D:$D,$D173,$E:$E,"P0(전)",$M:$M,"&gt;0")&lt;&gt;1,"",SUMIFS($I:$I,$C:$C,$C173,$D:$D,$D173,$E:$E,"P0(전)"))</f>
        <v/>
      </c>
      <c r="P173" s="31">
        <f>IF(COUNTIFS($C:$C,$C173,$D:$D,$D173,$E:$E,"P0(전)",$M:$M,"&gt;0")&lt;&gt;1,"",SUMIFS($M:$M,$C:$C,$C173,$D:$D,$D173,$E:$E,"P0(전)"))</f>
        <v/>
      </c>
      <c r="Q173" s="48">
        <f>IF(COUNTIFS($C:$C,$C173,$D:$D,$D173,$E:$E,"P0(후)",$M:$M,"&gt;0")&lt;&gt;1,"",SUMIFS($I:$I,$C:$C,$C173,$D:$D,$D173,$E:$E,"P0(후)"))</f>
        <v/>
      </c>
      <c r="R173" s="31">
        <f>IF(COUNTIFS($C:$C,$C173,$D:$D,$D173,$E:$E,"P0(후)",$M:$M,"&gt;0")&lt;&gt;1,"",SUMIFS($M:$M,$C:$C,$C173,$D:$D,$D173,$E:$E,"P0(후)"))</f>
        <v/>
      </c>
      <c r="S173" s="31">
        <f>IF(N173&lt;&gt;"OK","",P173+(R173-P173)*(I173-O173)/(Q173-O173))</f>
        <v/>
      </c>
      <c r="T173" s="31">
        <f>IF(OR(N173&lt;&gt;"OK",NOT(ISNUMBER(M173))),"",M173-S173)</f>
        <v/>
      </c>
      <c r="U173" s="49">
        <f>IF(OR(NOT(ISNUMBER(T173)),IF(ISNUMBER(H173),H173,G173)=0),"",T173/IF(ISNUMBER(H173),H173,G173))</f>
        <v/>
      </c>
      <c r="V173" s="49">
        <f>IF(ISNUMBER(U173),ABS(U173),"")</f>
        <v/>
      </c>
      <c r="W173" s="49">
        <f>IF(OR($E172&lt;&gt;"측정",$C172&lt;&gt;$C173,$D172&lt;&gt;$D173,NOT(ISNUMBER(M173)),NOT(ISNUMBER(M172)),(IF(ISNUMBER(H173),H173,G173)-IF(ISNUMBER(H172),H172,G172))=0),"",(M173-M172)/(IF(ISNUMBER(H173),H173,G173)-IF(ISNUMBER(H172),H172,G172)))</f>
        <v/>
      </c>
      <c r="X173" s="31">
        <f>IF(NOT(AND(ISNUMBER(O173),ISNUMBER(Q173))),"",(Q173-O173)*1440)</f>
        <v/>
      </c>
      <c r="Y173" s="29" t="n"/>
      <c r="Z173" s="29" t="n"/>
      <c r="AA173" s="29" t="n"/>
      <c r="AB173" s="32" t="n"/>
      <c r="AC173" s="32" t="n"/>
    </row>
    <row r="174">
      <c r="A174" s="44" t="inlineStr">
        <is>
          <t>S04</t>
        </is>
      </c>
      <c r="B174" s="44" t="inlineStr">
        <is>
          <t>진안 신규점1</t>
        </is>
      </c>
      <c r="C174" s="44" t="inlineStr">
        <is>
          <t>S04-H동</t>
        </is>
      </c>
      <c r="D174" s="45" t="n">
        <v>1</v>
      </c>
      <c r="E174" s="44" t="inlineStr">
        <is>
          <t>P0(후)</t>
        </is>
      </c>
      <c r="F174" s="44" t="inlineStr">
        <is>
          <t>동</t>
        </is>
      </c>
      <c r="G174" s="46" t="n"/>
      <c r="H174" s="30" t="n"/>
      <c r="I174" s="43" t="n"/>
      <c r="J174" s="41" t="n"/>
      <c r="K174" s="41" t="n"/>
      <c r="L174" s="41" t="n"/>
      <c r="M174" s="31">
        <f>IF(COUNT(J174:L174)=0,"",MEDIAN(J174:L174))</f>
        <v/>
      </c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29" t="n"/>
      <c r="Z174" s="29" t="n"/>
      <c r="AA174" s="29" t="n"/>
      <c r="AB174" s="32" t="n"/>
      <c r="AC174" s="32" t="n"/>
    </row>
    <row r="175">
      <c r="A175" s="44" t="inlineStr">
        <is>
          <t>S04</t>
        </is>
      </c>
      <c r="B175" s="44" t="inlineStr">
        <is>
          <t>진안 신규점1</t>
        </is>
      </c>
      <c r="C175" s="44" t="inlineStr">
        <is>
          <t>S04-H서</t>
        </is>
      </c>
      <c r="D175" s="45" t="n">
        <v>1</v>
      </c>
      <c r="E175" s="44" t="inlineStr">
        <is>
          <t>P0(전)</t>
        </is>
      </c>
      <c r="F175" s="44" t="inlineStr">
        <is>
          <t>서</t>
        </is>
      </c>
      <c r="G175" s="46" t="n"/>
      <c r="H175" s="30" t="n"/>
      <c r="I175" s="43" t="n"/>
      <c r="J175" s="41" t="n"/>
      <c r="K175" s="41" t="n"/>
      <c r="L175" s="41" t="n"/>
      <c r="M175" s="31">
        <f>IF(COUNT(J175:L175)=0,"",MEDIAN(J175:L175))</f>
        <v/>
      </c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29" t="n"/>
      <c r="Z175" s="29" t="n"/>
      <c r="AA175" s="29" t="n"/>
      <c r="AB175" s="32" t="n"/>
      <c r="AC175" s="32" t="n"/>
    </row>
    <row r="176">
      <c r="A176" s="26" t="inlineStr">
        <is>
          <t>S04</t>
        </is>
      </c>
      <c r="B176" s="26" t="inlineStr">
        <is>
          <t>진안 신규점1</t>
        </is>
      </c>
      <c r="C176" s="26" t="inlineStr">
        <is>
          <t>S04-H서</t>
        </is>
      </c>
      <c r="D176" s="47" t="n">
        <v>1</v>
      </c>
      <c r="E176" s="26" t="inlineStr">
        <is>
          <t>측정</t>
        </is>
      </c>
      <c r="F176" s="26" t="inlineStr">
        <is>
          <t>서</t>
        </is>
      </c>
      <c r="G176" s="31" t="n">
        <v>0.5</v>
      </c>
      <c r="H176" s="30" t="n"/>
      <c r="I176" s="43" t="n"/>
      <c r="J176" s="41" t="n"/>
      <c r="K176" s="41" t="n"/>
      <c r="L176" s="41" t="n"/>
      <c r="M176" s="31">
        <f>IF(COUNT(J176:L176)=0,"",MEDIAN(J176:L176))</f>
        <v/>
      </c>
      <c r="N176" s="26">
        <f>IF(COUNTIFS($C:$C,$C176,$D:$D,$D176,$E:$E,"P0(전)",$M:$M,"&gt;0")&lt;&gt;1,"P0(전) 유효 1개 아님",IF(COUNTIFS($C:$C,$C176,$D:$D,$D176,$E:$E,"P0(후)",$M:$M,"&gt;0")&lt;&gt;1,"P0(후) 유효 1개 아님",IF(NOT(AND(ISNUMBER(O176),ISNUMBER(Q176),ISNUMBER(I176))),"시각 결측",IF(Q176&lt;=O176,"P0 시각 역전",IF(OR(I176&lt;O176,I176&gt;Q176),"측정시각 구간 밖","OK")))))</f>
        <v/>
      </c>
      <c r="O176" s="48">
        <f>IF(COUNTIFS($C:$C,$C176,$D:$D,$D176,$E:$E,"P0(전)",$M:$M,"&gt;0")&lt;&gt;1,"",SUMIFS($I:$I,$C:$C,$C176,$D:$D,$D176,$E:$E,"P0(전)"))</f>
        <v/>
      </c>
      <c r="P176" s="31">
        <f>IF(COUNTIFS($C:$C,$C176,$D:$D,$D176,$E:$E,"P0(전)",$M:$M,"&gt;0")&lt;&gt;1,"",SUMIFS($M:$M,$C:$C,$C176,$D:$D,$D176,$E:$E,"P0(전)"))</f>
        <v/>
      </c>
      <c r="Q176" s="48">
        <f>IF(COUNTIFS($C:$C,$C176,$D:$D,$D176,$E:$E,"P0(후)",$M:$M,"&gt;0")&lt;&gt;1,"",SUMIFS($I:$I,$C:$C,$C176,$D:$D,$D176,$E:$E,"P0(후)"))</f>
        <v/>
      </c>
      <c r="R176" s="31">
        <f>IF(COUNTIFS($C:$C,$C176,$D:$D,$D176,$E:$E,"P0(후)",$M:$M,"&gt;0")&lt;&gt;1,"",SUMIFS($M:$M,$C:$C,$C176,$D:$D,$D176,$E:$E,"P0(후)"))</f>
        <v/>
      </c>
      <c r="S176" s="31">
        <f>IF(N176&lt;&gt;"OK","",P176+(R176-P176)*(I176-O176)/(Q176-O176))</f>
        <v/>
      </c>
      <c r="T176" s="31">
        <f>IF(OR(N176&lt;&gt;"OK",NOT(ISNUMBER(M176))),"",M176-S176)</f>
        <v/>
      </c>
      <c r="U176" s="49">
        <f>IF(OR(NOT(ISNUMBER(T176)),IF(ISNUMBER(H176),H176,G176)=0),"",T176/IF(ISNUMBER(H176),H176,G176))</f>
        <v/>
      </c>
      <c r="V176" s="49">
        <f>IF(ISNUMBER(U176),ABS(U176),"")</f>
        <v/>
      </c>
      <c r="W176" s="49">
        <f>IF(OR($E175&lt;&gt;"측정",$C175&lt;&gt;$C176,$D175&lt;&gt;$D176,NOT(ISNUMBER(M176)),NOT(ISNUMBER(M175)),(IF(ISNUMBER(H176),H176,G176)-IF(ISNUMBER(H175),H175,G175))=0),"",(M176-M175)/(IF(ISNUMBER(H176),H176,G176)-IF(ISNUMBER(H175),H175,G175)))</f>
        <v/>
      </c>
      <c r="X176" s="31">
        <f>IF(NOT(AND(ISNUMBER(O176),ISNUMBER(Q176))),"",(Q176-O176)*1440)</f>
        <v/>
      </c>
      <c r="Y176" s="29" t="n"/>
      <c r="Z176" s="29" t="n"/>
      <c r="AA176" s="29" t="n"/>
      <c r="AB176" s="32" t="n"/>
      <c r="AC176" s="32" t="n"/>
    </row>
    <row r="177">
      <c r="A177" s="26" t="inlineStr">
        <is>
          <t>S04</t>
        </is>
      </c>
      <c r="B177" s="26" t="inlineStr">
        <is>
          <t>진안 신규점1</t>
        </is>
      </c>
      <c r="C177" s="26" t="inlineStr">
        <is>
          <t>S04-H서</t>
        </is>
      </c>
      <c r="D177" s="47" t="n">
        <v>1</v>
      </c>
      <c r="E177" s="26" t="inlineStr">
        <is>
          <t>측정</t>
        </is>
      </c>
      <c r="F177" s="26" t="inlineStr">
        <is>
          <t>서</t>
        </is>
      </c>
      <c r="G177" s="31" t="n">
        <v>1</v>
      </c>
      <c r="H177" s="30" t="n"/>
      <c r="I177" s="43" t="n"/>
      <c r="J177" s="41" t="n"/>
      <c r="K177" s="41" t="n"/>
      <c r="L177" s="41" t="n"/>
      <c r="M177" s="31">
        <f>IF(COUNT(J177:L177)=0,"",MEDIAN(J177:L177))</f>
        <v/>
      </c>
      <c r="N177" s="26">
        <f>IF(COUNTIFS($C:$C,$C177,$D:$D,$D177,$E:$E,"P0(전)",$M:$M,"&gt;0")&lt;&gt;1,"P0(전) 유효 1개 아님",IF(COUNTIFS($C:$C,$C177,$D:$D,$D177,$E:$E,"P0(후)",$M:$M,"&gt;0")&lt;&gt;1,"P0(후) 유효 1개 아님",IF(NOT(AND(ISNUMBER(O177),ISNUMBER(Q177),ISNUMBER(I177))),"시각 결측",IF(Q177&lt;=O177,"P0 시각 역전",IF(OR(I177&lt;O177,I177&gt;Q177),"측정시각 구간 밖","OK")))))</f>
        <v/>
      </c>
      <c r="O177" s="48">
        <f>IF(COUNTIFS($C:$C,$C177,$D:$D,$D177,$E:$E,"P0(전)",$M:$M,"&gt;0")&lt;&gt;1,"",SUMIFS($I:$I,$C:$C,$C177,$D:$D,$D177,$E:$E,"P0(전)"))</f>
        <v/>
      </c>
      <c r="P177" s="31">
        <f>IF(COUNTIFS($C:$C,$C177,$D:$D,$D177,$E:$E,"P0(전)",$M:$M,"&gt;0")&lt;&gt;1,"",SUMIFS($M:$M,$C:$C,$C177,$D:$D,$D177,$E:$E,"P0(전)"))</f>
        <v/>
      </c>
      <c r="Q177" s="48">
        <f>IF(COUNTIFS($C:$C,$C177,$D:$D,$D177,$E:$E,"P0(후)",$M:$M,"&gt;0")&lt;&gt;1,"",SUMIFS($I:$I,$C:$C,$C177,$D:$D,$D177,$E:$E,"P0(후)"))</f>
        <v/>
      </c>
      <c r="R177" s="31">
        <f>IF(COUNTIFS($C:$C,$C177,$D:$D,$D177,$E:$E,"P0(후)",$M:$M,"&gt;0")&lt;&gt;1,"",SUMIFS($M:$M,$C:$C,$C177,$D:$D,$D177,$E:$E,"P0(후)"))</f>
        <v/>
      </c>
      <c r="S177" s="31">
        <f>IF(N177&lt;&gt;"OK","",P177+(R177-P177)*(I177-O177)/(Q177-O177))</f>
        <v/>
      </c>
      <c r="T177" s="31">
        <f>IF(OR(N177&lt;&gt;"OK",NOT(ISNUMBER(M177))),"",M177-S177)</f>
        <v/>
      </c>
      <c r="U177" s="49">
        <f>IF(OR(NOT(ISNUMBER(T177)),IF(ISNUMBER(H177),H177,G177)=0),"",T177/IF(ISNUMBER(H177),H177,G177))</f>
        <v/>
      </c>
      <c r="V177" s="49">
        <f>IF(ISNUMBER(U177),ABS(U177),"")</f>
        <v/>
      </c>
      <c r="W177" s="49">
        <f>IF(OR($E176&lt;&gt;"측정",$C176&lt;&gt;$C177,$D176&lt;&gt;$D177,NOT(ISNUMBER(M177)),NOT(ISNUMBER(M176)),(IF(ISNUMBER(H177),H177,G177)-IF(ISNUMBER(H176),H176,G176))=0),"",(M177-M176)/(IF(ISNUMBER(H177),H177,G177)-IF(ISNUMBER(H176),H176,G176)))</f>
        <v/>
      </c>
      <c r="X177" s="31">
        <f>IF(NOT(AND(ISNUMBER(O177),ISNUMBER(Q177))),"",(Q177-O177)*1440)</f>
        <v/>
      </c>
      <c r="Y177" s="29" t="n"/>
      <c r="Z177" s="29" t="n"/>
      <c r="AA177" s="29" t="n"/>
      <c r="AB177" s="32" t="n"/>
      <c r="AC177" s="32" t="n"/>
    </row>
    <row r="178">
      <c r="A178" s="26" t="inlineStr">
        <is>
          <t>S04</t>
        </is>
      </c>
      <c r="B178" s="26" t="inlineStr">
        <is>
          <t>진안 신규점1</t>
        </is>
      </c>
      <c r="C178" s="26" t="inlineStr">
        <is>
          <t>S04-H서</t>
        </is>
      </c>
      <c r="D178" s="47" t="n">
        <v>1</v>
      </c>
      <c r="E178" s="26" t="inlineStr">
        <is>
          <t>측정</t>
        </is>
      </c>
      <c r="F178" s="26" t="inlineStr">
        <is>
          <t>서</t>
        </is>
      </c>
      <c r="G178" s="31" t="n">
        <v>2</v>
      </c>
      <c r="H178" s="30" t="n"/>
      <c r="I178" s="43" t="n"/>
      <c r="J178" s="41" t="n"/>
      <c r="K178" s="41" t="n"/>
      <c r="L178" s="41" t="n"/>
      <c r="M178" s="31">
        <f>IF(COUNT(J178:L178)=0,"",MEDIAN(J178:L178))</f>
        <v/>
      </c>
      <c r="N178" s="26">
        <f>IF(COUNTIFS($C:$C,$C178,$D:$D,$D178,$E:$E,"P0(전)",$M:$M,"&gt;0")&lt;&gt;1,"P0(전) 유효 1개 아님",IF(COUNTIFS($C:$C,$C178,$D:$D,$D178,$E:$E,"P0(후)",$M:$M,"&gt;0")&lt;&gt;1,"P0(후) 유효 1개 아님",IF(NOT(AND(ISNUMBER(O178),ISNUMBER(Q178),ISNUMBER(I178))),"시각 결측",IF(Q178&lt;=O178,"P0 시각 역전",IF(OR(I178&lt;O178,I178&gt;Q178),"측정시각 구간 밖","OK")))))</f>
        <v/>
      </c>
      <c r="O178" s="48">
        <f>IF(COUNTIFS($C:$C,$C178,$D:$D,$D178,$E:$E,"P0(전)",$M:$M,"&gt;0")&lt;&gt;1,"",SUMIFS($I:$I,$C:$C,$C178,$D:$D,$D178,$E:$E,"P0(전)"))</f>
        <v/>
      </c>
      <c r="P178" s="31">
        <f>IF(COUNTIFS($C:$C,$C178,$D:$D,$D178,$E:$E,"P0(전)",$M:$M,"&gt;0")&lt;&gt;1,"",SUMIFS($M:$M,$C:$C,$C178,$D:$D,$D178,$E:$E,"P0(전)"))</f>
        <v/>
      </c>
      <c r="Q178" s="48">
        <f>IF(COUNTIFS($C:$C,$C178,$D:$D,$D178,$E:$E,"P0(후)",$M:$M,"&gt;0")&lt;&gt;1,"",SUMIFS($I:$I,$C:$C,$C178,$D:$D,$D178,$E:$E,"P0(후)"))</f>
        <v/>
      </c>
      <c r="R178" s="31">
        <f>IF(COUNTIFS($C:$C,$C178,$D:$D,$D178,$E:$E,"P0(후)",$M:$M,"&gt;0")&lt;&gt;1,"",SUMIFS($M:$M,$C:$C,$C178,$D:$D,$D178,$E:$E,"P0(후)"))</f>
        <v/>
      </c>
      <c r="S178" s="31">
        <f>IF(N178&lt;&gt;"OK","",P178+(R178-P178)*(I178-O178)/(Q178-O178))</f>
        <v/>
      </c>
      <c r="T178" s="31">
        <f>IF(OR(N178&lt;&gt;"OK",NOT(ISNUMBER(M178))),"",M178-S178)</f>
        <v/>
      </c>
      <c r="U178" s="49">
        <f>IF(OR(NOT(ISNUMBER(T178)),IF(ISNUMBER(H178),H178,G178)=0),"",T178/IF(ISNUMBER(H178),H178,G178))</f>
        <v/>
      </c>
      <c r="V178" s="49">
        <f>IF(ISNUMBER(U178),ABS(U178),"")</f>
        <v/>
      </c>
      <c r="W178" s="49">
        <f>IF(OR($E177&lt;&gt;"측정",$C177&lt;&gt;$C178,$D177&lt;&gt;$D178,NOT(ISNUMBER(M178)),NOT(ISNUMBER(M177)),(IF(ISNUMBER(H178),H178,G178)-IF(ISNUMBER(H177),H177,G177))=0),"",(M178-M177)/(IF(ISNUMBER(H178),H178,G178)-IF(ISNUMBER(H177),H177,G177)))</f>
        <v/>
      </c>
      <c r="X178" s="31">
        <f>IF(NOT(AND(ISNUMBER(O178),ISNUMBER(Q178))),"",(Q178-O178)*1440)</f>
        <v/>
      </c>
      <c r="Y178" s="29" t="n"/>
      <c r="Z178" s="29" t="n"/>
      <c r="AA178" s="29" t="n"/>
      <c r="AB178" s="32" t="n"/>
      <c r="AC178" s="32" t="n"/>
    </row>
    <row r="179">
      <c r="A179" s="26" t="inlineStr">
        <is>
          <t>S04</t>
        </is>
      </c>
      <c r="B179" s="26" t="inlineStr">
        <is>
          <t>진안 신규점1</t>
        </is>
      </c>
      <c r="C179" s="26" t="inlineStr">
        <is>
          <t>S04-H서</t>
        </is>
      </c>
      <c r="D179" s="47" t="n">
        <v>1</v>
      </c>
      <c r="E179" s="26" t="inlineStr">
        <is>
          <t>측정</t>
        </is>
      </c>
      <c r="F179" s="26" t="inlineStr">
        <is>
          <t>서</t>
        </is>
      </c>
      <c r="G179" s="31" t="n">
        <v>3</v>
      </c>
      <c r="H179" s="30" t="n"/>
      <c r="I179" s="43" t="n"/>
      <c r="J179" s="41" t="n"/>
      <c r="K179" s="41" t="n"/>
      <c r="L179" s="41" t="n"/>
      <c r="M179" s="31">
        <f>IF(COUNT(J179:L179)=0,"",MEDIAN(J179:L179))</f>
        <v/>
      </c>
      <c r="N179" s="26">
        <f>IF(COUNTIFS($C:$C,$C179,$D:$D,$D179,$E:$E,"P0(전)",$M:$M,"&gt;0")&lt;&gt;1,"P0(전) 유효 1개 아님",IF(COUNTIFS($C:$C,$C179,$D:$D,$D179,$E:$E,"P0(후)",$M:$M,"&gt;0")&lt;&gt;1,"P0(후) 유효 1개 아님",IF(NOT(AND(ISNUMBER(O179),ISNUMBER(Q179),ISNUMBER(I179))),"시각 결측",IF(Q179&lt;=O179,"P0 시각 역전",IF(OR(I179&lt;O179,I179&gt;Q179),"측정시각 구간 밖","OK")))))</f>
        <v/>
      </c>
      <c r="O179" s="48">
        <f>IF(COUNTIFS($C:$C,$C179,$D:$D,$D179,$E:$E,"P0(전)",$M:$M,"&gt;0")&lt;&gt;1,"",SUMIFS($I:$I,$C:$C,$C179,$D:$D,$D179,$E:$E,"P0(전)"))</f>
        <v/>
      </c>
      <c r="P179" s="31">
        <f>IF(COUNTIFS($C:$C,$C179,$D:$D,$D179,$E:$E,"P0(전)",$M:$M,"&gt;0")&lt;&gt;1,"",SUMIFS($M:$M,$C:$C,$C179,$D:$D,$D179,$E:$E,"P0(전)"))</f>
        <v/>
      </c>
      <c r="Q179" s="48">
        <f>IF(COUNTIFS($C:$C,$C179,$D:$D,$D179,$E:$E,"P0(후)",$M:$M,"&gt;0")&lt;&gt;1,"",SUMIFS($I:$I,$C:$C,$C179,$D:$D,$D179,$E:$E,"P0(후)"))</f>
        <v/>
      </c>
      <c r="R179" s="31">
        <f>IF(COUNTIFS($C:$C,$C179,$D:$D,$D179,$E:$E,"P0(후)",$M:$M,"&gt;0")&lt;&gt;1,"",SUMIFS($M:$M,$C:$C,$C179,$D:$D,$D179,$E:$E,"P0(후)"))</f>
        <v/>
      </c>
      <c r="S179" s="31">
        <f>IF(N179&lt;&gt;"OK","",P179+(R179-P179)*(I179-O179)/(Q179-O179))</f>
        <v/>
      </c>
      <c r="T179" s="31">
        <f>IF(OR(N179&lt;&gt;"OK",NOT(ISNUMBER(M179))),"",M179-S179)</f>
        <v/>
      </c>
      <c r="U179" s="49">
        <f>IF(OR(NOT(ISNUMBER(T179)),IF(ISNUMBER(H179),H179,G179)=0),"",T179/IF(ISNUMBER(H179),H179,G179))</f>
        <v/>
      </c>
      <c r="V179" s="49">
        <f>IF(ISNUMBER(U179),ABS(U179),"")</f>
        <v/>
      </c>
      <c r="W179" s="49">
        <f>IF(OR($E178&lt;&gt;"측정",$C178&lt;&gt;$C179,$D178&lt;&gt;$D179,NOT(ISNUMBER(M179)),NOT(ISNUMBER(M178)),(IF(ISNUMBER(H179),H179,G179)-IF(ISNUMBER(H178),H178,G178))=0),"",(M179-M178)/(IF(ISNUMBER(H179),H179,G179)-IF(ISNUMBER(H178),H178,G178)))</f>
        <v/>
      </c>
      <c r="X179" s="31">
        <f>IF(NOT(AND(ISNUMBER(O179),ISNUMBER(Q179))),"",(Q179-O179)*1440)</f>
        <v/>
      </c>
      <c r="Y179" s="29" t="n"/>
      <c r="Z179" s="29" t="n"/>
      <c r="AA179" s="29" t="n"/>
      <c r="AB179" s="32" t="n"/>
      <c r="AC179" s="32" t="n"/>
    </row>
    <row r="180">
      <c r="A180" s="26" t="inlineStr">
        <is>
          <t>S04</t>
        </is>
      </c>
      <c r="B180" s="26" t="inlineStr">
        <is>
          <t>진안 신규점1</t>
        </is>
      </c>
      <c r="C180" s="26" t="inlineStr">
        <is>
          <t>S04-H서</t>
        </is>
      </c>
      <c r="D180" s="47" t="n">
        <v>1</v>
      </c>
      <c r="E180" s="26" t="inlineStr">
        <is>
          <t>측정</t>
        </is>
      </c>
      <c r="F180" s="26" t="inlineStr">
        <is>
          <t>서</t>
        </is>
      </c>
      <c r="G180" s="31" t="n">
        <v>4</v>
      </c>
      <c r="H180" s="30" t="n"/>
      <c r="I180" s="43" t="n"/>
      <c r="J180" s="41" t="n"/>
      <c r="K180" s="41" t="n"/>
      <c r="L180" s="41" t="n"/>
      <c r="M180" s="31">
        <f>IF(COUNT(J180:L180)=0,"",MEDIAN(J180:L180))</f>
        <v/>
      </c>
      <c r="N180" s="26">
        <f>IF(COUNTIFS($C:$C,$C180,$D:$D,$D180,$E:$E,"P0(전)",$M:$M,"&gt;0")&lt;&gt;1,"P0(전) 유효 1개 아님",IF(COUNTIFS($C:$C,$C180,$D:$D,$D180,$E:$E,"P0(후)",$M:$M,"&gt;0")&lt;&gt;1,"P0(후) 유효 1개 아님",IF(NOT(AND(ISNUMBER(O180),ISNUMBER(Q180),ISNUMBER(I180))),"시각 결측",IF(Q180&lt;=O180,"P0 시각 역전",IF(OR(I180&lt;O180,I180&gt;Q180),"측정시각 구간 밖","OK")))))</f>
        <v/>
      </c>
      <c r="O180" s="48">
        <f>IF(COUNTIFS($C:$C,$C180,$D:$D,$D180,$E:$E,"P0(전)",$M:$M,"&gt;0")&lt;&gt;1,"",SUMIFS($I:$I,$C:$C,$C180,$D:$D,$D180,$E:$E,"P0(전)"))</f>
        <v/>
      </c>
      <c r="P180" s="31">
        <f>IF(COUNTIFS($C:$C,$C180,$D:$D,$D180,$E:$E,"P0(전)",$M:$M,"&gt;0")&lt;&gt;1,"",SUMIFS($M:$M,$C:$C,$C180,$D:$D,$D180,$E:$E,"P0(전)"))</f>
        <v/>
      </c>
      <c r="Q180" s="48">
        <f>IF(COUNTIFS($C:$C,$C180,$D:$D,$D180,$E:$E,"P0(후)",$M:$M,"&gt;0")&lt;&gt;1,"",SUMIFS($I:$I,$C:$C,$C180,$D:$D,$D180,$E:$E,"P0(후)"))</f>
        <v/>
      </c>
      <c r="R180" s="31">
        <f>IF(COUNTIFS($C:$C,$C180,$D:$D,$D180,$E:$E,"P0(후)",$M:$M,"&gt;0")&lt;&gt;1,"",SUMIFS($M:$M,$C:$C,$C180,$D:$D,$D180,$E:$E,"P0(후)"))</f>
        <v/>
      </c>
      <c r="S180" s="31">
        <f>IF(N180&lt;&gt;"OK","",P180+(R180-P180)*(I180-O180)/(Q180-O180))</f>
        <v/>
      </c>
      <c r="T180" s="31">
        <f>IF(OR(N180&lt;&gt;"OK",NOT(ISNUMBER(M180))),"",M180-S180)</f>
        <v/>
      </c>
      <c r="U180" s="49">
        <f>IF(OR(NOT(ISNUMBER(T180)),IF(ISNUMBER(H180),H180,G180)=0),"",T180/IF(ISNUMBER(H180),H180,G180))</f>
        <v/>
      </c>
      <c r="V180" s="49">
        <f>IF(ISNUMBER(U180),ABS(U180),"")</f>
        <v/>
      </c>
      <c r="W180" s="49">
        <f>IF(OR($E179&lt;&gt;"측정",$C179&lt;&gt;$C180,$D179&lt;&gt;$D180,NOT(ISNUMBER(M180)),NOT(ISNUMBER(M179)),(IF(ISNUMBER(H180),H180,G180)-IF(ISNUMBER(H179),H179,G179))=0),"",(M180-M179)/(IF(ISNUMBER(H180),H180,G180)-IF(ISNUMBER(H179),H179,G179)))</f>
        <v/>
      </c>
      <c r="X180" s="31">
        <f>IF(NOT(AND(ISNUMBER(O180),ISNUMBER(Q180))),"",(Q180-O180)*1440)</f>
        <v/>
      </c>
      <c r="Y180" s="29" t="n"/>
      <c r="Z180" s="29" t="n"/>
      <c r="AA180" s="29" t="n"/>
      <c r="AB180" s="32" t="n"/>
      <c r="AC180" s="32" t="n"/>
    </row>
    <row r="181">
      <c r="A181" s="26" t="inlineStr">
        <is>
          <t>S04</t>
        </is>
      </c>
      <c r="B181" s="26" t="inlineStr">
        <is>
          <t>진안 신규점1</t>
        </is>
      </c>
      <c r="C181" s="26" t="inlineStr">
        <is>
          <t>S04-H서</t>
        </is>
      </c>
      <c r="D181" s="47" t="n">
        <v>1</v>
      </c>
      <c r="E181" s="26" t="inlineStr">
        <is>
          <t>측정</t>
        </is>
      </c>
      <c r="F181" s="26" t="inlineStr">
        <is>
          <t>서</t>
        </is>
      </c>
      <c r="G181" s="31" t="n">
        <v>5</v>
      </c>
      <c r="H181" s="30" t="n"/>
      <c r="I181" s="43" t="n"/>
      <c r="J181" s="41" t="n"/>
      <c r="K181" s="41" t="n"/>
      <c r="L181" s="41" t="n"/>
      <c r="M181" s="31">
        <f>IF(COUNT(J181:L181)=0,"",MEDIAN(J181:L181))</f>
        <v/>
      </c>
      <c r="N181" s="26">
        <f>IF(COUNTIFS($C:$C,$C181,$D:$D,$D181,$E:$E,"P0(전)",$M:$M,"&gt;0")&lt;&gt;1,"P0(전) 유효 1개 아님",IF(COUNTIFS($C:$C,$C181,$D:$D,$D181,$E:$E,"P0(후)",$M:$M,"&gt;0")&lt;&gt;1,"P0(후) 유효 1개 아님",IF(NOT(AND(ISNUMBER(O181),ISNUMBER(Q181),ISNUMBER(I181))),"시각 결측",IF(Q181&lt;=O181,"P0 시각 역전",IF(OR(I181&lt;O181,I181&gt;Q181),"측정시각 구간 밖","OK")))))</f>
        <v/>
      </c>
      <c r="O181" s="48">
        <f>IF(COUNTIFS($C:$C,$C181,$D:$D,$D181,$E:$E,"P0(전)",$M:$M,"&gt;0")&lt;&gt;1,"",SUMIFS($I:$I,$C:$C,$C181,$D:$D,$D181,$E:$E,"P0(전)"))</f>
        <v/>
      </c>
      <c r="P181" s="31">
        <f>IF(COUNTIFS($C:$C,$C181,$D:$D,$D181,$E:$E,"P0(전)",$M:$M,"&gt;0")&lt;&gt;1,"",SUMIFS($M:$M,$C:$C,$C181,$D:$D,$D181,$E:$E,"P0(전)"))</f>
        <v/>
      </c>
      <c r="Q181" s="48">
        <f>IF(COUNTIFS($C:$C,$C181,$D:$D,$D181,$E:$E,"P0(후)",$M:$M,"&gt;0")&lt;&gt;1,"",SUMIFS($I:$I,$C:$C,$C181,$D:$D,$D181,$E:$E,"P0(후)"))</f>
        <v/>
      </c>
      <c r="R181" s="31">
        <f>IF(COUNTIFS($C:$C,$C181,$D:$D,$D181,$E:$E,"P0(후)",$M:$M,"&gt;0")&lt;&gt;1,"",SUMIFS($M:$M,$C:$C,$C181,$D:$D,$D181,$E:$E,"P0(후)"))</f>
        <v/>
      </c>
      <c r="S181" s="31">
        <f>IF(N181&lt;&gt;"OK","",P181+(R181-P181)*(I181-O181)/(Q181-O181))</f>
        <v/>
      </c>
      <c r="T181" s="31">
        <f>IF(OR(N181&lt;&gt;"OK",NOT(ISNUMBER(M181))),"",M181-S181)</f>
        <v/>
      </c>
      <c r="U181" s="49">
        <f>IF(OR(NOT(ISNUMBER(T181)),IF(ISNUMBER(H181),H181,G181)=0),"",T181/IF(ISNUMBER(H181),H181,G181))</f>
        <v/>
      </c>
      <c r="V181" s="49">
        <f>IF(ISNUMBER(U181),ABS(U181),"")</f>
        <v/>
      </c>
      <c r="W181" s="49">
        <f>IF(OR($E180&lt;&gt;"측정",$C180&lt;&gt;$C181,$D180&lt;&gt;$D181,NOT(ISNUMBER(M181)),NOT(ISNUMBER(M180)),(IF(ISNUMBER(H181),H181,G181)-IF(ISNUMBER(H180),H180,G180))=0),"",(M181-M180)/(IF(ISNUMBER(H181),H181,G181)-IF(ISNUMBER(H180),H180,G180)))</f>
        <v/>
      </c>
      <c r="X181" s="31">
        <f>IF(NOT(AND(ISNUMBER(O181),ISNUMBER(Q181))),"",(Q181-O181)*1440)</f>
        <v/>
      </c>
      <c r="Y181" s="29" t="n"/>
      <c r="Z181" s="29" t="n"/>
      <c r="AA181" s="29" t="n"/>
      <c r="AB181" s="32" t="n"/>
      <c r="AC181" s="32" t="n"/>
    </row>
    <row r="182">
      <c r="A182" s="26" t="inlineStr">
        <is>
          <t>S04</t>
        </is>
      </c>
      <c r="B182" s="26" t="inlineStr">
        <is>
          <t>진안 신규점1</t>
        </is>
      </c>
      <c r="C182" s="26" t="inlineStr">
        <is>
          <t>S04-H서</t>
        </is>
      </c>
      <c r="D182" s="47" t="n">
        <v>1</v>
      </c>
      <c r="E182" s="26" t="inlineStr">
        <is>
          <t>측정</t>
        </is>
      </c>
      <c r="F182" s="26" t="inlineStr">
        <is>
          <t>서</t>
        </is>
      </c>
      <c r="G182" s="31" t="n">
        <v>6</v>
      </c>
      <c r="H182" s="30" t="n"/>
      <c r="I182" s="43" t="n"/>
      <c r="J182" s="41" t="n"/>
      <c r="K182" s="41" t="n"/>
      <c r="L182" s="41" t="n"/>
      <c r="M182" s="31">
        <f>IF(COUNT(J182:L182)=0,"",MEDIAN(J182:L182))</f>
        <v/>
      </c>
      <c r="N182" s="26">
        <f>IF(COUNTIFS($C:$C,$C182,$D:$D,$D182,$E:$E,"P0(전)",$M:$M,"&gt;0")&lt;&gt;1,"P0(전) 유효 1개 아님",IF(COUNTIFS($C:$C,$C182,$D:$D,$D182,$E:$E,"P0(후)",$M:$M,"&gt;0")&lt;&gt;1,"P0(후) 유효 1개 아님",IF(NOT(AND(ISNUMBER(O182),ISNUMBER(Q182),ISNUMBER(I182))),"시각 결측",IF(Q182&lt;=O182,"P0 시각 역전",IF(OR(I182&lt;O182,I182&gt;Q182),"측정시각 구간 밖","OK")))))</f>
        <v/>
      </c>
      <c r="O182" s="48">
        <f>IF(COUNTIFS($C:$C,$C182,$D:$D,$D182,$E:$E,"P0(전)",$M:$M,"&gt;0")&lt;&gt;1,"",SUMIFS($I:$I,$C:$C,$C182,$D:$D,$D182,$E:$E,"P0(전)"))</f>
        <v/>
      </c>
      <c r="P182" s="31">
        <f>IF(COUNTIFS($C:$C,$C182,$D:$D,$D182,$E:$E,"P0(전)",$M:$M,"&gt;0")&lt;&gt;1,"",SUMIFS($M:$M,$C:$C,$C182,$D:$D,$D182,$E:$E,"P0(전)"))</f>
        <v/>
      </c>
      <c r="Q182" s="48">
        <f>IF(COUNTIFS($C:$C,$C182,$D:$D,$D182,$E:$E,"P0(후)",$M:$M,"&gt;0")&lt;&gt;1,"",SUMIFS($I:$I,$C:$C,$C182,$D:$D,$D182,$E:$E,"P0(후)"))</f>
        <v/>
      </c>
      <c r="R182" s="31">
        <f>IF(COUNTIFS($C:$C,$C182,$D:$D,$D182,$E:$E,"P0(후)",$M:$M,"&gt;0")&lt;&gt;1,"",SUMIFS($M:$M,$C:$C,$C182,$D:$D,$D182,$E:$E,"P0(후)"))</f>
        <v/>
      </c>
      <c r="S182" s="31">
        <f>IF(N182&lt;&gt;"OK","",P182+(R182-P182)*(I182-O182)/(Q182-O182))</f>
        <v/>
      </c>
      <c r="T182" s="31">
        <f>IF(OR(N182&lt;&gt;"OK",NOT(ISNUMBER(M182))),"",M182-S182)</f>
        <v/>
      </c>
      <c r="U182" s="49">
        <f>IF(OR(NOT(ISNUMBER(T182)),IF(ISNUMBER(H182),H182,G182)=0),"",T182/IF(ISNUMBER(H182),H182,G182))</f>
        <v/>
      </c>
      <c r="V182" s="49">
        <f>IF(ISNUMBER(U182),ABS(U182),"")</f>
        <v/>
      </c>
      <c r="W182" s="49">
        <f>IF(OR($E181&lt;&gt;"측정",$C181&lt;&gt;$C182,$D181&lt;&gt;$D182,NOT(ISNUMBER(M182)),NOT(ISNUMBER(M181)),(IF(ISNUMBER(H182),H182,G182)-IF(ISNUMBER(H181),H181,G181))=0),"",(M182-M181)/(IF(ISNUMBER(H182),H182,G182)-IF(ISNUMBER(H181),H181,G181)))</f>
        <v/>
      </c>
      <c r="X182" s="31">
        <f>IF(NOT(AND(ISNUMBER(O182),ISNUMBER(Q182))),"",(Q182-O182)*1440)</f>
        <v/>
      </c>
      <c r="Y182" s="29" t="n"/>
      <c r="Z182" s="29" t="n"/>
      <c r="AA182" s="29" t="n"/>
      <c r="AB182" s="32" t="n"/>
      <c r="AC182" s="32" t="n"/>
    </row>
    <row r="183">
      <c r="A183" s="26" t="inlineStr">
        <is>
          <t>S04</t>
        </is>
      </c>
      <c r="B183" s="26" t="inlineStr">
        <is>
          <t>진안 신규점1</t>
        </is>
      </c>
      <c r="C183" s="26" t="inlineStr">
        <is>
          <t>S04-H서</t>
        </is>
      </c>
      <c r="D183" s="47" t="n">
        <v>1</v>
      </c>
      <c r="E183" s="26" t="inlineStr">
        <is>
          <t>측정</t>
        </is>
      </c>
      <c r="F183" s="26" t="inlineStr">
        <is>
          <t>서</t>
        </is>
      </c>
      <c r="G183" s="31" t="n">
        <v>7</v>
      </c>
      <c r="H183" s="30" t="n"/>
      <c r="I183" s="43" t="n"/>
      <c r="J183" s="41" t="n"/>
      <c r="K183" s="41" t="n"/>
      <c r="L183" s="41" t="n"/>
      <c r="M183" s="31">
        <f>IF(COUNT(J183:L183)=0,"",MEDIAN(J183:L183))</f>
        <v/>
      </c>
      <c r="N183" s="26">
        <f>IF(COUNTIFS($C:$C,$C183,$D:$D,$D183,$E:$E,"P0(전)",$M:$M,"&gt;0")&lt;&gt;1,"P0(전) 유효 1개 아님",IF(COUNTIFS($C:$C,$C183,$D:$D,$D183,$E:$E,"P0(후)",$M:$M,"&gt;0")&lt;&gt;1,"P0(후) 유효 1개 아님",IF(NOT(AND(ISNUMBER(O183),ISNUMBER(Q183),ISNUMBER(I183))),"시각 결측",IF(Q183&lt;=O183,"P0 시각 역전",IF(OR(I183&lt;O183,I183&gt;Q183),"측정시각 구간 밖","OK")))))</f>
        <v/>
      </c>
      <c r="O183" s="48">
        <f>IF(COUNTIFS($C:$C,$C183,$D:$D,$D183,$E:$E,"P0(전)",$M:$M,"&gt;0")&lt;&gt;1,"",SUMIFS($I:$I,$C:$C,$C183,$D:$D,$D183,$E:$E,"P0(전)"))</f>
        <v/>
      </c>
      <c r="P183" s="31">
        <f>IF(COUNTIFS($C:$C,$C183,$D:$D,$D183,$E:$E,"P0(전)",$M:$M,"&gt;0")&lt;&gt;1,"",SUMIFS($M:$M,$C:$C,$C183,$D:$D,$D183,$E:$E,"P0(전)"))</f>
        <v/>
      </c>
      <c r="Q183" s="48">
        <f>IF(COUNTIFS($C:$C,$C183,$D:$D,$D183,$E:$E,"P0(후)",$M:$M,"&gt;0")&lt;&gt;1,"",SUMIFS($I:$I,$C:$C,$C183,$D:$D,$D183,$E:$E,"P0(후)"))</f>
        <v/>
      </c>
      <c r="R183" s="31">
        <f>IF(COUNTIFS($C:$C,$C183,$D:$D,$D183,$E:$E,"P0(후)",$M:$M,"&gt;0")&lt;&gt;1,"",SUMIFS($M:$M,$C:$C,$C183,$D:$D,$D183,$E:$E,"P0(후)"))</f>
        <v/>
      </c>
      <c r="S183" s="31">
        <f>IF(N183&lt;&gt;"OK","",P183+(R183-P183)*(I183-O183)/(Q183-O183))</f>
        <v/>
      </c>
      <c r="T183" s="31">
        <f>IF(OR(N183&lt;&gt;"OK",NOT(ISNUMBER(M183))),"",M183-S183)</f>
        <v/>
      </c>
      <c r="U183" s="49">
        <f>IF(OR(NOT(ISNUMBER(T183)),IF(ISNUMBER(H183),H183,G183)=0),"",T183/IF(ISNUMBER(H183),H183,G183))</f>
        <v/>
      </c>
      <c r="V183" s="49">
        <f>IF(ISNUMBER(U183),ABS(U183),"")</f>
        <v/>
      </c>
      <c r="W183" s="49">
        <f>IF(OR($E182&lt;&gt;"측정",$C182&lt;&gt;$C183,$D182&lt;&gt;$D183,NOT(ISNUMBER(M183)),NOT(ISNUMBER(M182)),(IF(ISNUMBER(H183),H183,G183)-IF(ISNUMBER(H182),H182,G182))=0),"",(M183-M182)/(IF(ISNUMBER(H183),H183,G183)-IF(ISNUMBER(H182),H182,G182)))</f>
        <v/>
      </c>
      <c r="X183" s="31">
        <f>IF(NOT(AND(ISNUMBER(O183),ISNUMBER(Q183))),"",(Q183-O183)*1440)</f>
        <v/>
      </c>
      <c r="Y183" s="29" t="n"/>
      <c r="Z183" s="29" t="n"/>
      <c r="AA183" s="29" t="n"/>
      <c r="AB183" s="32" t="n"/>
      <c r="AC183" s="32" t="n"/>
    </row>
    <row r="184">
      <c r="A184" s="26" t="inlineStr">
        <is>
          <t>S04</t>
        </is>
      </c>
      <c r="B184" s="26" t="inlineStr">
        <is>
          <t>진안 신규점1</t>
        </is>
      </c>
      <c r="C184" s="26" t="inlineStr">
        <is>
          <t>S04-H서</t>
        </is>
      </c>
      <c r="D184" s="47" t="n">
        <v>1</v>
      </c>
      <c r="E184" s="26" t="inlineStr">
        <is>
          <t>측정</t>
        </is>
      </c>
      <c r="F184" s="26" t="inlineStr">
        <is>
          <t>서</t>
        </is>
      </c>
      <c r="G184" s="31" t="n">
        <v>8</v>
      </c>
      <c r="H184" s="30" t="n"/>
      <c r="I184" s="43" t="n"/>
      <c r="J184" s="41" t="n"/>
      <c r="K184" s="41" t="n"/>
      <c r="L184" s="41" t="n"/>
      <c r="M184" s="31">
        <f>IF(COUNT(J184:L184)=0,"",MEDIAN(J184:L184))</f>
        <v/>
      </c>
      <c r="N184" s="26">
        <f>IF(COUNTIFS($C:$C,$C184,$D:$D,$D184,$E:$E,"P0(전)",$M:$M,"&gt;0")&lt;&gt;1,"P0(전) 유효 1개 아님",IF(COUNTIFS($C:$C,$C184,$D:$D,$D184,$E:$E,"P0(후)",$M:$M,"&gt;0")&lt;&gt;1,"P0(후) 유효 1개 아님",IF(NOT(AND(ISNUMBER(O184),ISNUMBER(Q184),ISNUMBER(I184))),"시각 결측",IF(Q184&lt;=O184,"P0 시각 역전",IF(OR(I184&lt;O184,I184&gt;Q184),"측정시각 구간 밖","OK")))))</f>
        <v/>
      </c>
      <c r="O184" s="48">
        <f>IF(COUNTIFS($C:$C,$C184,$D:$D,$D184,$E:$E,"P0(전)",$M:$M,"&gt;0")&lt;&gt;1,"",SUMIFS($I:$I,$C:$C,$C184,$D:$D,$D184,$E:$E,"P0(전)"))</f>
        <v/>
      </c>
      <c r="P184" s="31">
        <f>IF(COUNTIFS($C:$C,$C184,$D:$D,$D184,$E:$E,"P0(전)",$M:$M,"&gt;0")&lt;&gt;1,"",SUMIFS($M:$M,$C:$C,$C184,$D:$D,$D184,$E:$E,"P0(전)"))</f>
        <v/>
      </c>
      <c r="Q184" s="48">
        <f>IF(COUNTIFS($C:$C,$C184,$D:$D,$D184,$E:$E,"P0(후)",$M:$M,"&gt;0")&lt;&gt;1,"",SUMIFS($I:$I,$C:$C,$C184,$D:$D,$D184,$E:$E,"P0(후)"))</f>
        <v/>
      </c>
      <c r="R184" s="31">
        <f>IF(COUNTIFS($C:$C,$C184,$D:$D,$D184,$E:$E,"P0(후)",$M:$M,"&gt;0")&lt;&gt;1,"",SUMIFS($M:$M,$C:$C,$C184,$D:$D,$D184,$E:$E,"P0(후)"))</f>
        <v/>
      </c>
      <c r="S184" s="31">
        <f>IF(N184&lt;&gt;"OK","",P184+(R184-P184)*(I184-O184)/(Q184-O184))</f>
        <v/>
      </c>
      <c r="T184" s="31">
        <f>IF(OR(N184&lt;&gt;"OK",NOT(ISNUMBER(M184))),"",M184-S184)</f>
        <v/>
      </c>
      <c r="U184" s="49">
        <f>IF(OR(NOT(ISNUMBER(T184)),IF(ISNUMBER(H184),H184,G184)=0),"",T184/IF(ISNUMBER(H184),H184,G184))</f>
        <v/>
      </c>
      <c r="V184" s="49">
        <f>IF(ISNUMBER(U184),ABS(U184),"")</f>
        <v/>
      </c>
      <c r="W184" s="49">
        <f>IF(OR($E183&lt;&gt;"측정",$C183&lt;&gt;$C184,$D183&lt;&gt;$D184,NOT(ISNUMBER(M184)),NOT(ISNUMBER(M183)),(IF(ISNUMBER(H184),H184,G184)-IF(ISNUMBER(H183),H183,G183))=0),"",(M184-M183)/(IF(ISNUMBER(H184),H184,G184)-IF(ISNUMBER(H183),H183,G183)))</f>
        <v/>
      </c>
      <c r="X184" s="31">
        <f>IF(NOT(AND(ISNUMBER(O184),ISNUMBER(Q184))),"",(Q184-O184)*1440)</f>
        <v/>
      </c>
      <c r="Y184" s="29" t="n"/>
      <c r="Z184" s="29" t="n"/>
      <c r="AA184" s="29" t="n"/>
      <c r="AB184" s="32" t="n"/>
      <c r="AC184" s="32" t="n"/>
    </row>
    <row r="185">
      <c r="A185" s="26" t="inlineStr">
        <is>
          <t>S04</t>
        </is>
      </c>
      <c r="B185" s="26" t="inlineStr">
        <is>
          <t>진안 신규점1</t>
        </is>
      </c>
      <c r="C185" s="26" t="inlineStr">
        <is>
          <t>S04-H서</t>
        </is>
      </c>
      <c r="D185" s="47" t="n">
        <v>1</v>
      </c>
      <c r="E185" s="26" t="inlineStr">
        <is>
          <t>측정</t>
        </is>
      </c>
      <c r="F185" s="26" t="inlineStr">
        <is>
          <t>서</t>
        </is>
      </c>
      <c r="G185" s="31" t="n">
        <v>9</v>
      </c>
      <c r="H185" s="30" t="n"/>
      <c r="I185" s="43" t="n"/>
      <c r="J185" s="41" t="n"/>
      <c r="K185" s="41" t="n"/>
      <c r="L185" s="41" t="n"/>
      <c r="M185" s="31">
        <f>IF(COUNT(J185:L185)=0,"",MEDIAN(J185:L185))</f>
        <v/>
      </c>
      <c r="N185" s="26">
        <f>IF(COUNTIFS($C:$C,$C185,$D:$D,$D185,$E:$E,"P0(전)",$M:$M,"&gt;0")&lt;&gt;1,"P0(전) 유효 1개 아님",IF(COUNTIFS($C:$C,$C185,$D:$D,$D185,$E:$E,"P0(후)",$M:$M,"&gt;0")&lt;&gt;1,"P0(후) 유효 1개 아님",IF(NOT(AND(ISNUMBER(O185),ISNUMBER(Q185),ISNUMBER(I185))),"시각 결측",IF(Q185&lt;=O185,"P0 시각 역전",IF(OR(I185&lt;O185,I185&gt;Q185),"측정시각 구간 밖","OK")))))</f>
        <v/>
      </c>
      <c r="O185" s="48">
        <f>IF(COUNTIFS($C:$C,$C185,$D:$D,$D185,$E:$E,"P0(전)",$M:$M,"&gt;0")&lt;&gt;1,"",SUMIFS($I:$I,$C:$C,$C185,$D:$D,$D185,$E:$E,"P0(전)"))</f>
        <v/>
      </c>
      <c r="P185" s="31">
        <f>IF(COUNTIFS($C:$C,$C185,$D:$D,$D185,$E:$E,"P0(전)",$M:$M,"&gt;0")&lt;&gt;1,"",SUMIFS($M:$M,$C:$C,$C185,$D:$D,$D185,$E:$E,"P0(전)"))</f>
        <v/>
      </c>
      <c r="Q185" s="48">
        <f>IF(COUNTIFS($C:$C,$C185,$D:$D,$D185,$E:$E,"P0(후)",$M:$M,"&gt;0")&lt;&gt;1,"",SUMIFS($I:$I,$C:$C,$C185,$D:$D,$D185,$E:$E,"P0(후)"))</f>
        <v/>
      </c>
      <c r="R185" s="31">
        <f>IF(COUNTIFS($C:$C,$C185,$D:$D,$D185,$E:$E,"P0(후)",$M:$M,"&gt;0")&lt;&gt;1,"",SUMIFS($M:$M,$C:$C,$C185,$D:$D,$D185,$E:$E,"P0(후)"))</f>
        <v/>
      </c>
      <c r="S185" s="31">
        <f>IF(N185&lt;&gt;"OK","",P185+(R185-P185)*(I185-O185)/(Q185-O185))</f>
        <v/>
      </c>
      <c r="T185" s="31">
        <f>IF(OR(N185&lt;&gt;"OK",NOT(ISNUMBER(M185))),"",M185-S185)</f>
        <v/>
      </c>
      <c r="U185" s="49">
        <f>IF(OR(NOT(ISNUMBER(T185)),IF(ISNUMBER(H185),H185,G185)=0),"",T185/IF(ISNUMBER(H185),H185,G185))</f>
        <v/>
      </c>
      <c r="V185" s="49">
        <f>IF(ISNUMBER(U185),ABS(U185),"")</f>
        <v/>
      </c>
      <c r="W185" s="49">
        <f>IF(OR($E184&lt;&gt;"측정",$C184&lt;&gt;$C185,$D184&lt;&gt;$D185,NOT(ISNUMBER(M185)),NOT(ISNUMBER(M184)),(IF(ISNUMBER(H185),H185,G185)-IF(ISNUMBER(H184),H184,G184))=0),"",(M185-M184)/(IF(ISNUMBER(H185),H185,G185)-IF(ISNUMBER(H184),H184,G184)))</f>
        <v/>
      </c>
      <c r="X185" s="31">
        <f>IF(NOT(AND(ISNUMBER(O185),ISNUMBER(Q185))),"",(Q185-O185)*1440)</f>
        <v/>
      </c>
      <c r="Y185" s="29" t="n"/>
      <c r="Z185" s="29" t="n"/>
      <c r="AA185" s="29" t="n"/>
      <c r="AB185" s="32" t="n"/>
      <c r="AC185" s="32" t="n"/>
    </row>
    <row r="186">
      <c r="A186" s="26" t="inlineStr">
        <is>
          <t>S04</t>
        </is>
      </c>
      <c r="B186" s="26" t="inlineStr">
        <is>
          <t>진안 신규점1</t>
        </is>
      </c>
      <c r="C186" s="26" t="inlineStr">
        <is>
          <t>S04-H서</t>
        </is>
      </c>
      <c r="D186" s="47" t="n">
        <v>1</v>
      </c>
      <c r="E186" s="26" t="inlineStr">
        <is>
          <t>측정</t>
        </is>
      </c>
      <c r="F186" s="26" t="inlineStr">
        <is>
          <t>서</t>
        </is>
      </c>
      <c r="G186" s="31" t="n">
        <v>10</v>
      </c>
      <c r="H186" s="30" t="n"/>
      <c r="I186" s="43" t="n"/>
      <c r="J186" s="41" t="n"/>
      <c r="K186" s="41" t="n"/>
      <c r="L186" s="41" t="n"/>
      <c r="M186" s="31">
        <f>IF(COUNT(J186:L186)=0,"",MEDIAN(J186:L186))</f>
        <v/>
      </c>
      <c r="N186" s="26">
        <f>IF(COUNTIFS($C:$C,$C186,$D:$D,$D186,$E:$E,"P0(전)",$M:$M,"&gt;0")&lt;&gt;1,"P0(전) 유효 1개 아님",IF(COUNTIFS($C:$C,$C186,$D:$D,$D186,$E:$E,"P0(후)",$M:$M,"&gt;0")&lt;&gt;1,"P0(후) 유효 1개 아님",IF(NOT(AND(ISNUMBER(O186),ISNUMBER(Q186),ISNUMBER(I186))),"시각 결측",IF(Q186&lt;=O186,"P0 시각 역전",IF(OR(I186&lt;O186,I186&gt;Q186),"측정시각 구간 밖","OK")))))</f>
        <v/>
      </c>
      <c r="O186" s="48">
        <f>IF(COUNTIFS($C:$C,$C186,$D:$D,$D186,$E:$E,"P0(전)",$M:$M,"&gt;0")&lt;&gt;1,"",SUMIFS($I:$I,$C:$C,$C186,$D:$D,$D186,$E:$E,"P0(전)"))</f>
        <v/>
      </c>
      <c r="P186" s="31">
        <f>IF(COUNTIFS($C:$C,$C186,$D:$D,$D186,$E:$E,"P0(전)",$M:$M,"&gt;0")&lt;&gt;1,"",SUMIFS($M:$M,$C:$C,$C186,$D:$D,$D186,$E:$E,"P0(전)"))</f>
        <v/>
      </c>
      <c r="Q186" s="48">
        <f>IF(COUNTIFS($C:$C,$C186,$D:$D,$D186,$E:$E,"P0(후)",$M:$M,"&gt;0")&lt;&gt;1,"",SUMIFS($I:$I,$C:$C,$C186,$D:$D,$D186,$E:$E,"P0(후)"))</f>
        <v/>
      </c>
      <c r="R186" s="31">
        <f>IF(COUNTIFS($C:$C,$C186,$D:$D,$D186,$E:$E,"P0(후)",$M:$M,"&gt;0")&lt;&gt;1,"",SUMIFS($M:$M,$C:$C,$C186,$D:$D,$D186,$E:$E,"P0(후)"))</f>
        <v/>
      </c>
      <c r="S186" s="31">
        <f>IF(N186&lt;&gt;"OK","",P186+(R186-P186)*(I186-O186)/(Q186-O186))</f>
        <v/>
      </c>
      <c r="T186" s="31">
        <f>IF(OR(N186&lt;&gt;"OK",NOT(ISNUMBER(M186))),"",M186-S186)</f>
        <v/>
      </c>
      <c r="U186" s="49">
        <f>IF(OR(NOT(ISNUMBER(T186)),IF(ISNUMBER(H186),H186,G186)=0),"",T186/IF(ISNUMBER(H186),H186,G186))</f>
        <v/>
      </c>
      <c r="V186" s="49">
        <f>IF(ISNUMBER(U186),ABS(U186),"")</f>
        <v/>
      </c>
      <c r="W186" s="49">
        <f>IF(OR($E185&lt;&gt;"측정",$C185&lt;&gt;$C186,$D185&lt;&gt;$D186,NOT(ISNUMBER(M186)),NOT(ISNUMBER(M185)),(IF(ISNUMBER(H186),H186,G186)-IF(ISNUMBER(H185),H185,G185))=0),"",(M186-M185)/(IF(ISNUMBER(H186),H186,G186)-IF(ISNUMBER(H185),H185,G185)))</f>
        <v/>
      </c>
      <c r="X186" s="31">
        <f>IF(NOT(AND(ISNUMBER(O186),ISNUMBER(Q186))),"",(Q186-O186)*1440)</f>
        <v/>
      </c>
      <c r="Y186" s="29" t="n"/>
      <c r="Z186" s="29" t="n"/>
      <c r="AA186" s="29" t="n"/>
      <c r="AB186" s="32" t="n"/>
      <c r="AC186" s="32" t="n"/>
    </row>
    <row r="187">
      <c r="A187" s="44" t="inlineStr">
        <is>
          <t>S04</t>
        </is>
      </c>
      <c r="B187" s="44" t="inlineStr">
        <is>
          <t>진안 신규점1</t>
        </is>
      </c>
      <c r="C187" s="44" t="inlineStr">
        <is>
          <t>S04-H서</t>
        </is>
      </c>
      <c r="D187" s="45" t="n">
        <v>1</v>
      </c>
      <c r="E187" s="44" t="inlineStr">
        <is>
          <t>P0(후)</t>
        </is>
      </c>
      <c r="F187" s="44" t="inlineStr">
        <is>
          <t>서</t>
        </is>
      </c>
      <c r="G187" s="46" t="n"/>
      <c r="H187" s="30" t="n"/>
      <c r="I187" s="43" t="n"/>
      <c r="J187" s="41" t="n"/>
      <c r="K187" s="41" t="n"/>
      <c r="L187" s="41" t="n"/>
      <c r="M187" s="31">
        <f>IF(COUNT(J187:L187)=0,"",MEDIAN(J187:L187))</f>
        <v/>
      </c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29" t="n"/>
      <c r="Z187" s="29" t="n"/>
      <c r="AA187" s="29" t="n"/>
      <c r="AB187" s="32" t="n"/>
      <c r="AC187" s="32" t="n"/>
    </row>
    <row r="188">
      <c r="A188" s="44" t="inlineStr">
        <is>
          <t>S04</t>
        </is>
      </c>
      <c r="B188" s="44" t="inlineStr">
        <is>
          <t>진안 신규점1</t>
        </is>
      </c>
      <c r="C188" s="44" t="inlineStr">
        <is>
          <t>S04-H남</t>
        </is>
      </c>
      <c r="D188" s="45" t="n">
        <v>1</v>
      </c>
      <c r="E188" s="44" t="inlineStr">
        <is>
          <t>P0(전)</t>
        </is>
      </c>
      <c r="F188" s="44" t="inlineStr">
        <is>
          <t>남</t>
        </is>
      </c>
      <c r="G188" s="46" t="n"/>
      <c r="H188" s="30" t="n"/>
      <c r="I188" s="43" t="n"/>
      <c r="J188" s="41" t="n"/>
      <c r="K188" s="41" t="n"/>
      <c r="L188" s="41" t="n"/>
      <c r="M188" s="31">
        <f>IF(COUNT(J188:L188)=0,"",MEDIAN(J188:L188))</f>
        <v/>
      </c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29" t="n"/>
      <c r="Z188" s="29" t="n"/>
      <c r="AA188" s="29" t="n"/>
      <c r="AB188" s="32" t="n"/>
      <c r="AC188" s="32" t="n"/>
    </row>
    <row r="189">
      <c r="A189" s="26" t="inlineStr">
        <is>
          <t>S04</t>
        </is>
      </c>
      <c r="B189" s="26" t="inlineStr">
        <is>
          <t>진안 신규점1</t>
        </is>
      </c>
      <c r="C189" s="26" t="inlineStr">
        <is>
          <t>S04-H남</t>
        </is>
      </c>
      <c r="D189" s="47" t="n">
        <v>1</v>
      </c>
      <c r="E189" s="26" t="inlineStr">
        <is>
          <t>측정</t>
        </is>
      </c>
      <c r="F189" s="26" t="inlineStr">
        <is>
          <t>남</t>
        </is>
      </c>
      <c r="G189" s="31" t="n">
        <v>0.5</v>
      </c>
      <c r="H189" s="30" t="n"/>
      <c r="I189" s="43" t="n"/>
      <c r="J189" s="41" t="n"/>
      <c r="K189" s="41" t="n"/>
      <c r="L189" s="41" t="n"/>
      <c r="M189" s="31">
        <f>IF(COUNT(J189:L189)=0,"",MEDIAN(J189:L189))</f>
        <v/>
      </c>
      <c r="N189" s="26">
        <f>IF(COUNTIFS($C:$C,$C189,$D:$D,$D189,$E:$E,"P0(전)",$M:$M,"&gt;0")&lt;&gt;1,"P0(전) 유효 1개 아님",IF(COUNTIFS($C:$C,$C189,$D:$D,$D189,$E:$E,"P0(후)",$M:$M,"&gt;0")&lt;&gt;1,"P0(후) 유효 1개 아님",IF(NOT(AND(ISNUMBER(O189),ISNUMBER(Q189),ISNUMBER(I189))),"시각 결측",IF(Q189&lt;=O189,"P0 시각 역전",IF(OR(I189&lt;O189,I189&gt;Q189),"측정시각 구간 밖","OK")))))</f>
        <v/>
      </c>
      <c r="O189" s="48">
        <f>IF(COUNTIFS($C:$C,$C189,$D:$D,$D189,$E:$E,"P0(전)",$M:$M,"&gt;0")&lt;&gt;1,"",SUMIFS($I:$I,$C:$C,$C189,$D:$D,$D189,$E:$E,"P0(전)"))</f>
        <v/>
      </c>
      <c r="P189" s="31">
        <f>IF(COUNTIFS($C:$C,$C189,$D:$D,$D189,$E:$E,"P0(전)",$M:$M,"&gt;0")&lt;&gt;1,"",SUMIFS($M:$M,$C:$C,$C189,$D:$D,$D189,$E:$E,"P0(전)"))</f>
        <v/>
      </c>
      <c r="Q189" s="48">
        <f>IF(COUNTIFS($C:$C,$C189,$D:$D,$D189,$E:$E,"P0(후)",$M:$M,"&gt;0")&lt;&gt;1,"",SUMIFS($I:$I,$C:$C,$C189,$D:$D,$D189,$E:$E,"P0(후)"))</f>
        <v/>
      </c>
      <c r="R189" s="31">
        <f>IF(COUNTIFS($C:$C,$C189,$D:$D,$D189,$E:$E,"P0(후)",$M:$M,"&gt;0")&lt;&gt;1,"",SUMIFS($M:$M,$C:$C,$C189,$D:$D,$D189,$E:$E,"P0(후)"))</f>
        <v/>
      </c>
      <c r="S189" s="31">
        <f>IF(N189&lt;&gt;"OK","",P189+(R189-P189)*(I189-O189)/(Q189-O189))</f>
        <v/>
      </c>
      <c r="T189" s="31">
        <f>IF(OR(N189&lt;&gt;"OK",NOT(ISNUMBER(M189))),"",M189-S189)</f>
        <v/>
      </c>
      <c r="U189" s="49">
        <f>IF(OR(NOT(ISNUMBER(T189)),IF(ISNUMBER(H189),H189,G189)=0),"",T189/IF(ISNUMBER(H189),H189,G189))</f>
        <v/>
      </c>
      <c r="V189" s="49">
        <f>IF(ISNUMBER(U189),ABS(U189),"")</f>
        <v/>
      </c>
      <c r="W189" s="49">
        <f>IF(OR($E188&lt;&gt;"측정",$C188&lt;&gt;$C189,$D188&lt;&gt;$D189,NOT(ISNUMBER(M189)),NOT(ISNUMBER(M188)),(IF(ISNUMBER(H189),H189,G189)-IF(ISNUMBER(H188),H188,G188))=0),"",(M189-M188)/(IF(ISNUMBER(H189),H189,G189)-IF(ISNUMBER(H188),H188,G188)))</f>
        <v/>
      </c>
      <c r="X189" s="31">
        <f>IF(NOT(AND(ISNUMBER(O189),ISNUMBER(Q189))),"",(Q189-O189)*1440)</f>
        <v/>
      </c>
      <c r="Y189" s="29" t="n"/>
      <c r="Z189" s="29" t="n"/>
      <c r="AA189" s="29" t="n"/>
      <c r="AB189" s="32" t="n"/>
      <c r="AC189" s="32" t="n"/>
    </row>
    <row r="190">
      <c r="A190" s="26" t="inlineStr">
        <is>
          <t>S04</t>
        </is>
      </c>
      <c r="B190" s="26" t="inlineStr">
        <is>
          <t>진안 신규점1</t>
        </is>
      </c>
      <c r="C190" s="26" t="inlineStr">
        <is>
          <t>S04-H남</t>
        </is>
      </c>
      <c r="D190" s="47" t="n">
        <v>1</v>
      </c>
      <c r="E190" s="26" t="inlineStr">
        <is>
          <t>측정</t>
        </is>
      </c>
      <c r="F190" s="26" t="inlineStr">
        <is>
          <t>남</t>
        </is>
      </c>
      <c r="G190" s="31" t="n">
        <v>1</v>
      </c>
      <c r="H190" s="30" t="n"/>
      <c r="I190" s="43" t="n"/>
      <c r="J190" s="41" t="n"/>
      <c r="K190" s="41" t="n"/>
      <c r="L190" s="41" t="n"/>
      <c r="M190" s="31">
        <f>IF(COUNT(J190:L190)=0,"",MEDIAN(J190:L190))</f>
        <v/>
      </c>
      <c r="N190" s="26">
        <f>IF(COUNTIFS($C:$C,$C190,$D:$D,$D190,$E:$E,"P0(전)",$M:$M,"&gt;0")&lt;&gt;1,"P0(전) 유효 1개 아님",IF(COUNTIFS($C:$C,$C190,$D:$D,$D190,$E:$E,"P0(후)",$M:$M,"&gt;0")&lt;&gt;1,"P0(후) 유효 1개 아님",IF(NOT(AND(ISNUMBER(O190),ISNUMBER(Q190),ISNUMBER(I190))),"시각 결측",IF(Q190&lt;=O190,"P0 시각 역전",IF(OR(I190&lt;O190,I190&gt;Q190),"측정시각 구간 밖","OK")))))</f>
        <v/>
      </c>
      <c r="O190" s="48">
        <f>IF(COUNTIFS($C:$C,$C190,$D:$D,$D190,$E:$E,"P0(전)",$M:$M,"&gt;0")&lt;&gt;1,"",SUMIFS($I:$I,$C:$C,$C190,$D:$D,$D190,$E:$E,"P0(전)"))</f>
        <v/>
      </c>
      <c r="P190" s="31">
        <f>IF(COUNTIFS($C:$C,$C190,$D:$D,$D190,$E:$E,"P0(전)",$M:$M,"&gt;0")&lt;&gt;1,"",SUMIFS($M:$M,$C:$C,$C190,$D:$D,$D190,$E:$E,"P0(전)"))</f>
        <v/>
      </c>
      <c r="Q190" s="48">
        <f>IF(COUNTIFS($C:$C,$C190,$D:$D,$D190,$E:$E,"P0(후)",$M:$M,"&gt;0")&lt;&gt;1,"",SUMIFS($I:$I,$C:$C,$C190,$D:$D,$D190,$E:$E,"P0(후)"))</f>
        <v/>
      </c>
      <c r="R190" s="31">
        <f>IF(COUNTIFS($C:$C,$C190,$D:$D,$D190,$E:$E,"P0(후)",$M:$M,"&gt;0")&lt;&gt;1,"",SUMIFS($M:$M,$C:$C,$C190,$D:$D,$D190,$E:$E,"P0(후)"))</f>
        <v/>
      </c>
      <c r="S190" s="31">
        <f>IF(N190&lt;&gt;"OK","",P190+(R190-P190)*(I190-O190)/(Q190-O190))</f>
        <v/>
      </c>
      <c r="T190" s="31">
        <f>IF(OR(N190&lt;&gt;"OK",NOT(ISNUMBER(M190))),"",M190-S190)</f>
        <v/>
      </c>
      <c r="U190" s="49">
        <f>IF(OR(NOT(ISNUMBER(T190)),IF(ISNUMBER(H190),H190,G190)=0),"",T190/IF(ISNUMBER(H190),H190,G190))</f>
        <v/>
      </c>
      <c r="V190" s="49">
        <f>IF(ISNUMBER(U190),ABS(U190),"")</f>
        <v/>
      </c>
      <c r="W190" s="49">
        <f>IF(OR($E189&lt;&gt;"측정",$C189&lt;&gt;$C190,$D189&lt;&gt;$D190,NOT(ISNUMBER(M190)),NOT(ISNUMBER(M189)),(IF(ISNUMBER(H190),H190,G190)-IF(ISNUMBER(H189),H189,G189))=0),"",(M190-M189)/(IF(ISNUMBER(H190),H190,G190)-IF(ISNUMBER(H189),H189,G189)))</f>
        <v/>
      </c>
      <c r="X190" s="31">
        <f>IF(NOT(AND(ISNUMBER(O190),ISNUMBER(Q190))),"",(Q190-O190)*1440)</f>
        <v/>
      </c>
      <c r="Y190" s="29" t="n"/>
      <c r="Z190" s="29" t="n"/>
      <c r="AA190" s="29" t="n"/>
      <c r="AB190" s="32" t="n"/>
      <c r="AC190" s="32" t="n"/>
    </row>
    <row r="191">
      <c r="A191" s="26" t="inlineStr">
        <is>
          <t>S04</t>
        </is>
      </c>
      <c r="B191" s="26" t="inlineStr">
        <is>
          <t>진안 신규점1</t>
        </is>
      </c>
      <c r="C191" s="26" t="inlineStr">
        <is>
          <t>S04-H남</t>
        </is>
      </c>
      <c r="D191" s="47" t="n">
        <v>1</v>
      </c>
      <c r="E191" s="26" t="inlineStr">
        <is>
          <t>측정</t>
        </is>
      </c>
      <c r="F191" s="26" t="inlineStr">
        <is>
          <t>남</t>
        </is>
      </c>
      <c r="G191" s="31" t="n">
        <v>2</v>
      </c>
      <c r="H191" s="30" t="n"/>
      <c r="I191" s="43" t="n"/>
      <c r="J191" s="41" t="n"/>
      <c r="K191" s="41" t="n"/>
      <c r="L191" s="41" t="n"/>
      <c r="M191" s="31">
        <f>IF(COUNT(J191:L191)=0,"",MEDIAN(J191:L191))</f>
        <v/>
      </c>
      <c r="N191" s="26">
        <f>IF(COUNTIFS($C:$C,$C191,$D:$D,$D191,$E:$E,"P0(전)",$M:$M,"&gt;0")&lt;&gt;1,"P0(전) 유효 1개 아님",IF(COUNTIFS($C:$C,$C191,$D:$D,$D191,$E:$E,"P0(후)",$M:$M,"&gt;0")&lt;&gt;1,"P0(후) 유효 1개 아님",IF(NOT(AND(ISNUMBER(O191),ISNUMBER(Q191),ISNUMBER(I191))),"시각 결측",IF(Q191&lt;=O191,"P0 시각 역전",IF(OR(I191&lt;O191,I191&gt;Q191),"측정시각 구간 밖","OK")))))</f>
        <v/>
      </c>
      <c r="O191" s="48">
        <f>IF(COUNTIFS($C:$C,$C191,$D:$D,$D191,$E:$E,"P0(전)",$M:$M,"&gt;0")&lt;&gt;1,"",SUMIFS($I:$I,$C:$C,$C191,$D:$D,$D191,$E:$E,"P0(전)"))</f>
        <v/>
      </c>
      <c r="P191" s="31">
        <f>IF(COUNTIFS($C:$C,$C191,$D:$D,$D191,$E:$E,"P0(전)",$M:$M,"&gt;0")&lt;&gt;1,"",SUMIFS($M:$M,$C:$C,$C191,$D:$D,$D191,$E:$E,"P0(전)"))</f>
        <v/>
      </c>
      <c r="Q191" s="48">
        <f>IF(COUNTIFS($C:$C,$C191,$D:$D,$D191,$E:$E,"P0(후)",$M:$M,"&gt;0")&lt;&gt;1,"",SUMIFS($I:$I,$C:$C,$C191,$D:$D,$D191,$E:$E,"P0(후)"))</f>
        <v/>
      </c>
      <c r="R191" s="31">
        <f>IF(COUNTIFS($C:$C,$C191,$D:$D,$D191,$E:$E,"P0(후)",$M:$M,"&gt;0")&lt;&gt;1,"",SUMIFS($M:$M,$C:$C,$C191,$D:$D,$D191,$E:$E,"P0(후)"))</f>
        <v/>
      </c>
      <c r="S191" s="31">
        <f>IF(N191&lt;&gt;"OK","",P191+(R191-P191)*(I191-O191)/(Q191-O191))</f>
        <v/>
      </c>
      <c r="T191" s="31">
        <f>IF(OR(N191&lt;&gt;"OK",NOT(ISNUMBER(M191))),"",M191-S191)</f>
        <v/>
      </c>
      <c r="U191" s="49">
        <f>IF(OR(NOT(ISNUMBER(T191)),IF(ISNUMBER(H191),H191,G191)=0),"",T191/IF(ISNUMBER(H191),H191,G191))</f>
        <v/>
      </c>
      <c r="V191" s="49">
        <f>IF(ISNUMBER(U191),ABS(U191),"")</f>
        <v/>
      </c>
      <c r="W191" s="49">
        <f>IF(OR($E190&lt;&gt;"측정",$C190&lt;&gt;$C191,$D190&lt;&gt;$D191,NOT(ISNUMBER(M191)),NOT(ISNUMBER(M190)),(IF(ISNUMBER(H191),H191,G191)-IF(ISNUMBER(H190),H190,G190))=0),"",(M191-M190)/(IF(ISNUMBER(H191),H191,G191)-IF(ISNUMBER(H190),H190,G190)))</f>
        <v/>
      </c>
      <c r="X191" s="31">
        <f>IF(NOT(AND(ISNUMBER(O191),ISNUMBER(Q191))),"",(Q191-O191)*1440)</f>
        <v/>
      </c>
      <c r="Y191" s="29" t="n"/>
      <c r="Z191" s="29" t="n"/>
      <c r="AA191" s="29" t="n"/>
      <c r="AB191" s="32" t="n"/>
      <c r="AC191" s="32" t="n"/>
    </row>
    <row r="192">
      <c r="A192" s="26" t="inlineStr">
        <is>
          <t>S04</t>
        </is>
      </c>
      <c r="B192" s="26" t="inlineStr">
        <is>
          <t>진안 신규점1</t>
        </is>
      </c>
      <c r="C192" s="26" t="inlineStr">
        <is>
          <t>S04-H남</t>
        </is>
      </c>
      <c r="D192" s="47" t="n">
        <v>1</v>
      </c>
      <c r="E192" s="26" t="inlineStr">
        <is>
          <t>측정</t>
        </is>
      </c>
      <c r="F192" s="26" t="inlineStr">
        <is>
          <t>남</t>
        </is>
      </c>
      <c r="G192" s="31" t="n">
        <v>3</v>
      </c>
      <c r="H192" s="30" t="n"/>
      <c r="I192" s="43" t="n"/>
      <c r="J192" s="41" t="n"/>
      <c r="K192" s="41" t="n"/>
      <c r="L192" s="41" t="n"/>
      <c r="M192" s="31">
        <f>IF(COUNT(J192:L192)=0,"",MEDIAN(J192:L192))</f>
        <v/>
      </c>
      <c r="N192" s="26">
        <f>IF(COUNTIFS($C:$C,$C192,$D:$D,$D192,$E:$E,"P0(전)",$M:$M,"&gt;0")&lt;&gt;1,"P0(전) 유효 1개 아님",IF(COUNTIFS($C:$C,$C192,$D:$D,$D192,$E:$E,"P0(후)",$M:$M,"&gt;0")&lt;&gt;1,"P0(후) 유효 1개 아님",IF(NOT(AND(ISNUMBER(O192),ISNUMBER(Q192),ISNUMBER(I192))),"시각 결측",IF(Q192&lt;=O192,"P0 시각 역전",IF(OR(I192&lt;O192,I192&gt;Q192),"측정시각 구간 밖","OK")))))</f>
        <v/>
      </c>
      <c r="O192" s="48">
        <f>IF(COUNTIFS($C:$C,$C192,$D:$D,$D192,$E:$E,"P0(전)",$M:$M,"&gt;0")&lt;&gt;1,"",SUMIFS($I:$I,$C:$C,$C192,$D:$D,$D192,$E:$E,"P0(전)"))</f>
        <v/>
      </c>
      <c r="P192" s="31">
        <f>IF(COUNTIFS($C:$C,$C192,$D:$D,$D192,$E:$E,"P0(전)",$M:$M,"&gt;0")&lt;&gt;1,"",SUMIFS($M:$M,$C:$C,$C192,$D:$D,$D192,$E:$E,"P0(전)"))</f>
        <v/>
      </c>
      <c r="Q192" s="48">
        <f>IF(COUNTIFS($C:$C,$C192,$D:$D,$D192,$E:$E,"P0(후)",$M:$M,"&gt;0")&lt;&gt;1,"",SUMIFS($I:$I,$C:$C,$C192,$D:$D,$D192,$E:$E,"P0(후)"))</f>
        <v/>
      </c>
      <c r="R192" s="31">
        <f>IF(COUNTIFS($C:$C,$C192,$D:$D,$D192,$E:$E,"P0(후)",$M:$M,"&gt;0")&lt;&gt;1,"",SUMIFS($M:$M,$C:$C,$C192,$D:$D,$D192,$E:$E,"P0(후)"))</f>
        <v/>
      </c>
      <c r="S192" s="31">
        <f>IF(N192&lt;&gt;"OK","",P192+(R192-P192)*(I192-O192)/(Q192-O192))</f>
        <v/>
      </c>
      <c r="T192" s="31">
        <f>IF(OR(N192&lt;&gt;"OK",NOT(ISNUMBER(M192))),"",M192-S192)</f>
        <v/>
      </c>
      <c r="U192" s="49">
        <f>IF(OR(NOT(ISNUMBER(T192)),IF(ISNUMBER(H192),H192,G192)=0),"",T192/IF(ISNUMBER(H192),H192,G192))</f>
        <v/>
      </c>
      <c r="V192" s="49">
        <f>IF(ISNUMBER(U192),ABS(U192),"")</f>
        <v/>
      </c>
      <c r="W192" s="49">
        <f>IF(OR($E191&lt;&gt;"측정",$C191&lt;&gt;$C192,$D191&lt;&gt;$D192,NOT(ISNUMBER(M192)),NOT(ISNUMBER(M191)),(IF(ISNUMBER(H192),H192,G192)-IF(ISNUMBER(H191),H191,G191))=0),"",(M192-M191)/(IF(ISNUMBER(H192),H192,G192)-IF(ISNUMBER(H191),H191,G191)))</f>
        <v/>
      </c>
      <c r="X192" s="31">
        <f>IF(NOT(AND(ISNUMBER(O192),ISNUMBER(Q192))),"",(Q192-O192)*1440)</f>
        <v/>
      </c>
      <c r="Y192" s="29" t="n"/>
      <c r="Z192" s="29" t="n"/>
      <c r="AA192" s="29" t="n"/>
      <c r="AB192" s="32" t="n"/>
      <c r="AC192" s="32" t="n"/>
    </row>
    <row r="193">
      <c r="A193" s="26" t="inlineStr">
        <is>
          <t>S04</t>
        </is>
      </c>
      <c r="B193" s="26" t="inlineStr">
        <is>
          <t>진안 신규점1</t>
        </is>
      </c>
      <c r="C193" s="26" t="inlineStr">
        <is>
          <t>S04-H남</t>
        </is>
      </c>
      <c r="D193" s="47" t="n">
        <v>1</v>
      </c>
      <c r="E193" s="26" t="inlineStr">
        <is>
          <t>측정</t>
        </is>
      </c>
      <c r="F193" s="26" t="inlineStr">
        <is>
          <t>남</t>
        </is>
      </c>
      <c r="G193" s="31" t="n">
        <v>4</v>
      </c>
      <c r="H193" s="30" t="n"/>
      <c r="I193" s="43" t="n"/>
      <c r="J193" s="41" t="n"/>
      <c r="K193" s="41" t="n"/>
      <c r="L193" s="41" t="n"/>
      <c r="M193" s="31">
        <f>IF(COUNT(J193:L193)=0,"",MEDIAN(J193:L193))</f>
        <v/>
      </c>
      <c r="N193" s="26">
        <f>IF(COUNTIFS($C:$C,$C193,$D:$D,$D193,$E:$E,"P0(전)",$M:$M,"&gt;0")&lt;&gt;1,"P0(전) 유효 1개 아님",IF(COUNTIFS($C:$C,$C193,$D:$D,$D193,$E:$E,"P0(후)",$M:$M,"&gt;0")&lt;&gt;1,"P0(후) 유효 1개 아님",IF(NOT(AND(ISNUMBER(O193),ISNUMBER(Q193),ISNUMBER(I193))),"시각 결측",IF(Q193&lt;=O193,"P0 시각 역전",IF(OR(I193&lt;O193,I193&gt;Q193),"측정시각 구간 밖","OK")))))</f>
        <v/>
      </c>
      <c r="O193" s="48">
        <f>IF(COUNTIFS($C:$C,$C193,$D:$D,$D193,$E:$E,"P0(전)",$M:$M,"&gt;0")&lt;&gt;1,"",SUMIFS($I:$I,$C:$C,$C193,$D:$D,$D193,$E:$E,"P0(전)"))</f>
        <v/>
      </c>
      <c r="P193" s="31">
        <f>IF(COUNTIFS($C:$C,$C193,$D:$D,$D193,$E:$E,"P0(전)",$M:$M,"&gt;0")&lt;&gt;1,"",SUMIFS($M:$M,$C:$C,$C193,$D:$D,$D193,$E:$E,"P0(전)"))</f>
        <v/>
      </c>
      <c r="Q193" s="48">
        <f>IF(COUNTIFS($C:$C,$C193,$D:$D,$D193,$E:$E,"P0(후)",$M:$M,"&gt;0")&lt;&gt;1,"",SUMIFS($I:$I,$C:$C,$C193,$D:$D,$D193,$E:$E,"P0(후)"))</f>
        <v/>
      </c>
      <c r="R193" s="31">
        <f>IF(COUNTIFS($C:$C,$C193,$D:$D,$D193,$E:$E,"P0(후)",$M:$M,"&gt;0")&lt;&gt;1,"",SUMIFS($M:$M,$C:$C,$C193,$D:$D,$D193,$E:$E,"P0(후)"))</f>
        <v/>
      </c>
      <c r="S193" s="31">
        <f>IF(N193&lt;&gt;"OK","",P193+(R193-P193)*(I193-O193)/(Q193-O193))</f>
        <v/>
      </c>
      <c r="T193" s="31">
        <f>IF(OR(N193&lt;&gt;"OK",NOT(ISNUMBER(M193))),"",M193-S193)</f>
        <v/>
      </c>
      <c r="U193" s="49">
        <f>IF(OR(NOT(ISNUMBER(T193)),IF(ISNUMBER(H193),H193,G193)=0),"",T193/IF(ISNUMBER(H193),H193,G193))</f>
        <v/>
      </c>
      <c r="V193" s="49">
        <f>IF(ISNUMBER(U193),ABS(U193),"")</f>
        <v/>
      </c>
      <c r="W193" s="49">
        <f>IF(OR($E192&lt;&gt;"측정",$C192&lt;&gt;$C193,$D192&lt;&gt;$D193,NOT(ISNUMBER(M193)),NOT(ISNUMBER(M192)),(IF(ISNUMBER(H193),H193,G193)-IF(ISNUMBER(H192),H192,G192))=0),"",(M193-M192)/(IF(ISNUMBER(H193),H193,G193)-IF(ISNUMBER(H192),H192,G192)))</f>
        <v/>
      </c>
      <c r="X193" s="31">
        <f>IF(NOT(AND(ISNUMBER(O193),ISNUMBER(Q193))),"",(Q193-O193)*1440)</f>
        <v/>
      </c>
      <c r="Y193" s="29" t="n"/>
      <c r="Z193" s="29" t="n"/>
      <c r="AA193" s="29" t="n"/>
      <c r="AB193" s="32" t="n"/>
      <c r="AC193" s="32" t="n"/>
    </row>
    <row r="194">
      <c r="A194" s="26" t="inlineStr">
        <is>
          <t>S04</t>
        </is>
      </c>
      <c r="B194" s="26" t="inlineStr">
        <is>
          <t>진안 신규점1</t>
        </is>
      </c>
      <c r="C194" s="26" t="inlineStr">
        <is>
          <t>S04-H남</t>
        </is>
      </c>
      <c r="D194" s="47" t="n">
        <v>1</v>
      </c>
      <c r="E194" s="26" t="inlineStr">
        <is>
          <t>측정</t>
        </is>
      </c>
      <c r="F194" s="26" t="inlineStr">
        <is>
          <t>남</t>
        </is>
      </c>
      <c r="G194" s="31" t="n">
        <v>5</v>
      </c>
      <c r="H194" s="30" t="n"/>
      <c r="I194" s="43" t="n"/>
      <c r="J194" s="41" t="n"/>
      <c r="K194" s="41" t="n"/>
      <c r="L194" s="41" t="n"/>
      <c r="M194" s="31">
        <f>IF(COUNT(J194:L194)=0,"",MEDIAN(J194:L194))</f>
        <v/>
      </c>
      <c r="N194" s="26">
        <f>IF(COUNTIFS($C:$C,$C194,$D:$D,$D194,$E:$E,"P0(전)",$M:$M,"&gt;0")&lt;&gt;1,"P0(전) 유효 1개 아님",IF(COUNTIFS($C:$C,$C194,$D:$D,$D194,$E:$E,"P0(후)",$M:$M,"&gt;0")&lt;&gt;1,"P0(후) 유효 1개 아님",IF(NOT(AND(ISNUMBER(O194),ISNUMBER(Q194),ISNUMBER(I194))),"시각 결측",IF(Q194&lt;=O194,"P0 시각 역전",IF(OR(I194&lt;O194,I194&gt;Q194),"측정시각 구간 밖","OK")))))</f>
        <v/>
      </c>
      <c r="O194" s="48">
        <f>IF(COUNTIFS($C:$C,$C194,$D:$D,$D194,$E:$E,"P0(전)",$M:$M,"&gt;0")&lt;&gt;1,"",SUMIFS($I:$I,$C:$C,$C194,$D:$D,$D194,$E:$E,"P0(전)"))</f>
        <v/>
      </c>
      <c r="P194" s="31">
        <f>IF(COUNTIFS($C:$C,$C194,$D:$D,$D194,$E:$E,"P0(전)",$M:$M,"&gt;0")&lt;&gt;1,"",SUMIFS($M:$M,$C:$C,$C194,$D:$D,$D194,$E:$E,"P0(전)"))</f>
        <v/>
      </c>
      <c r="Q194" s="48">
        <f>IF(COUNTIFS($C:$C,$C194,$D:$D,$D194,$E:$E,"P0(후)",$M:$M,"&gt;0")&lt;&gt;1,"",SUMIFS($I:$I,$C:$C,$C194,$D:$D,$D194,$E:$E,"P0(후)"))</f>
        <v/>
      </c>
      <c r="R194" s="31">
        <f>IF(COUNTIFS($C:$C,$C194,$D:$D,$D194,$E:$E,"P0(후)",$M:$M,"&gt;0")&lt;&gt;1,"",SUMIFS($M:$M,$C:$C,$C194,$D:$D,$D194,$E:$E,"P0(후)"))</f>
        <v/>
      </c>
      <c r="S194" s="31">
        <f>IF(N194&lt;&gt;"OK","",P194+(R194-P194)*(I194-O194)/(Q194-O194))</f>
        <v/>
      </c>
      <c r="T194" s="31">
        <f>IF(OR(N194&lt;&gt;"OK",NOT(ISNUMBER(M194))),"",M194-S194)</f>
        <v/>
      </c>
      <c r="U194" s="49">
        <f>IF(OR(NOT(ISNUMBER(T194)),IF(ISNUMBER(H194),H194,G194)=0),"",T194/IF(ISNUMBER(H194),H194,G194))</f>
        <v/>
      </c>
      <c r="V194" s="49">
        <f>IF(ISNUMBER(U194),ABS(U194),"")</f>
        <v/>
      </c>
      <c r="W194" s="49">
        <f>IF(OR($E193&lt;&gt;"측정",$C193&lt;&gt;$C194,$D193&lt;&gt;$D194,NOT(ISNUMBER(M194)),NOT(ISNUMBER(M193)),(IF(ISNUMBER(H194),H194,G194)-IF(ISNUMBER(H193),H193,G193))=0),"",(M194-M193)/(IF(ISNUMBER(H194),H194,G194)-IF(ISNUMBER(H193),H193,G193)))</f>
        <v/>
      </c>
      <c r="X194" s="31">
        <f>IF(NOT(AND(ISNUMBER(O194),ISNUMBER(Q194))),"",(Q194-O194)*1440)</f>
        <v/>
      </c>
      <c r="Y194" s="29" t="n"/>
      <c r="Z194" s="29" t="n"/>
      <c r="AA194" s="29" t="n"/>
      <c r="AB194" s="32" t="n"/>
      <c r="AC194" s="32" t="n"/>
    </row>
    <row r="195">
      <c r="A195" s="26" t="inlineStr">
        <is>
          <t>S04</t>
        </is>
      </c>
      <c r="B195" s="26" t="inlineStr">
        <is>
          <t>진안 신규점1</t>
        </is>
      </c>
      <c r="C195" s="26" t="inlineStr">
        <is>
          <t>S04-H남</t>
        </is>
      </c>
      <c r="D195" s="47" t="n">
        <v>1</v>
      </c>
      <c r="E195" s="26" t="inlineStr">
        <is>
          <t>측정</t>
        </is>
      </c>
      <c r="F195" s="26" t="inlineStr">
        <is>
          <t>남</t>
        </is>
      </c>
      <c r="G195" s="31" t="n">
        <v>6</v>
      </c>
      <c r="H195" s="30" t="n"/>
      <c r="I195" s="43" t="n"/>
      <c r="J195" s="41" t="n"/>
      <c r="K195" s="41" t="n"/>
      <c r="L195" s="41" t="n"/>
      <c r="M195" s="31">
        <f>IF(COUNT(J195:L195)=0,"",MEDIAN(J195:L195))</f>
        <v/>
      </c>
      <c r="N195" s="26">
        <f>IF(COUNTIFS($C:$C,$C195,$D:$D,$D195,$E:$E,"P0(전)",$M:$M,"&gt;0")&lt;&gt;1,"P0(전) 유효 1개 아님",IF(COUNTIFS($C:$C,$C195,$D:$D,$D195,$E:$E,"P0(후)",$M:$M,"&gt;0")&lt;&gt;1,"P0(후) 유효 1개 아님",IF(NOT(AND(ISNUMBER(O195),ISNUMBER(Q195),ISNUMBER(I195))),"시각 결측",IF(Q195&lt;=O195,"P0 시각 역전",IF(OR(I195&lt;O195,I195&gt;Q195),"측정시각 구간 밖","OK")))))</f>
        <v/>
      </c>
      <c r="O195" s="48">
        <f>IF(COUNTIFS($C:$C,$C195,$D:$D,$D195,$E:$E,"P0(전)",$M:$M,"&gt;0")&lt;&gt;1,"",SUMIFS($I:$I,$C:$C,$C195,$D:$D,$D195,$E:$E,"P0(전)"))</f>
        <v/>
      </c>
      <c r="P195" s="31">
        <f>IF(COUNTIFS($C:$C,$C195,$D:$D,$D195,$E:$E,"P0(전)",$M:$M,"&gt;0")&lt;&gt;1,"",SUMIFS($M:$M,$C:$C,$C195,$D:$D,$D195,$E:$E,"P0(전)"))</f>
        <v/>
      </c>
      <c r="Q195" s="48">
        <f>IF(COUNTIFS($C:$C,$C195,$D:$D,$D195,$E:$E,"P0(후)",$M:$M,"&gt;0")&lt;&gt;1,"",SUMIFS($I:$I,$C:$C,$C195,$D:$D,$D195,$E:$E,"P0(후)"))</f>
        <v/>
      </c>
      <c r="R195" s="31">
        <f>IF(COUNTIFS($C:$C,$C195,$D:$D,$D195,$E:$E,"P0(후)",$M:$M,"&gt;0")&lt;&gt;1,"",SUMIFS($M:$M,$C:$C,$C195,$D:$D,$D195,$E:$E,"P0(후)"))</f>
        <v/>
      </c>
      <c r="S195" s="31">
        <f>IF(N195&lt;&gt;"OK","",P195+(R195-P195)*(I195-O195)/(Q195-O195))</f>
        <v/>
      </c>
      <c r="T195" s="31">
        <f>IF(OR(N195&lt;&gt;"OK",NOT(ISNUMBER(M195))),"",M195-S195)</f>
        <v/>
      </c>
      <c r="U195" s="49">
        <f>IF(OR(NOT(ISNUMBER(T195)),IF(ISNUMBER(H195),H195,G195)=0),"",T195/IF(ISNUMBER(H195),H195,G195))</f>
        <v/>
      </c>
      <c r="V195" s="49">
        <f>IF(ISNUMBER(U195),ABS(U195),"")</f>
        <v/>
      </c>
      <c r="W195" s="49">
        <f>IF(OR($E194&lt;&gt;"측정",$C194&lt;&gt;$C195,$D194&lt;&gt;$D195,NOT(ISNUMBER(M195)),NOT(ISNUMBER(M194)),(IF(ISNUMBER(H195),H195,G195)-IF(ISNUMBER(H194),H194,G194))=0),"",(M195-M194)/(IF(ISNUMBER(H195),H195,G195)-IF(ISNUMBER(H194),H194,G194)))</f>
        <v/>
      </c>
      <c r="X195" s="31">
        <f>IF(NOT(AND(ISNUMBER(O195),ISNUMBER(Q195))),"",(Q195-O195)*1440)</f>
        <v/>
      </c>
      <c r="Y195" s="29" t="n"/>
      <c r="Z195" s="29" t="n"/>
      <c r="AA195" s="29" t="n"/>
      <c r="AB195" s="32" t="n"/>
      <c r="AC195" s="32" t="n"/>
    </row>
    <row r="196">
      <c r="A196" s="26" t="inlineStr">
        <is>
          <t>S04</t>
        </is>
      </c>
      <c r="B196" s="26" t="inlineStr">
        <is>
          <t>진안 신규점1</t>
        </is>
      </c>
      <c r="C196" s="26" t="inlineStr">
        <is>
          <t>S04-H남</t>
        </is>
      </c>
      <c r="D196" s="47" t="n">
        <v>1</v>
      </c>
      <c r="E196" s="26" t="inlineStr">
        <is>
          <t>측정</t>
        </is>
      </c>
      <c r="F196" s="26" t="inlineStr">
        <is>
          <t>남</t>
        </is>
      </c>
      <c r="G196" s="31" t="n">
        <v>7</v>
      </c>
      <c r="H196" s="30" t="n"/>
      <c r="I196" s="43" t="n"/>
      <c r="J196" s="41" t="n"/>
      <c r="K196" s="41" t="n"/>
      <c r="L196" s="41" t="n"/>
      <c r="M196" s="31">
        <f>IF(COUNT(J196:L196)=0,"",MEDIAN(J196:L196))</f>
        <v/>
      </c>
      <c r="N196" s="26">
        <f>IF(COUNTIFS($C:$C,$C196,$D:$D,$D196,$E:$E,"P0(전)",$M:$M,"&gt;0")&lt;&gt;1,"P0(전) 유효 1개 아님",IF(COUNTIFS($C:$C,$C196,$D:$D,$D196,$E:$E,"P0(후)",$M:$M,"&gt;0")&lt;&gt;1,"P0(후) 유효 1개 아님",IF(NOT(AND(ISNUMBER(O196),ISNUMBER(Q196),ISNUMBER(I196))),"시각 결측",IF(Q196&lt;=O196,"P0 시각 역전",IF(OR(I196&lt;O196,I196&gt;Q196),"측정시각 구간 밖","OK")))))</f>
        <v/>
      </c>
      <c r="O196" s="48">
        <f>IF(COUNTIFS($C:$C,$C196,$D:$D,$D196,$E:$E,"P0(전)",$M:$M,"&gt;0")&lt;&gt;1,"",SUMIFS($I:$I,$C:$C,$C196,$D:$D,$D196,$E:$E,"P0(전)"))</f>
        <v/>
      </c>
      <c r="P196" s="31">
        <f>IF(COUNTIFS($C:$C,$C196,$D:$D,$D196,$E:$E,"P0(전)",$M:$M,"&gt;0")&lt;&gt;1,"",SUMIFS($M:$M,$C:$C,$C196,$D:$D,$D196,$E:$E,"P0(전)"))</f>
        <v/>
      </c>
      <c r="Q196" s="48">
        <f>IF(COUNTIFS($C:$C,$C196,$D:$D,$D196,$E:$E,"P0(후)",$M:$M,"&gt;0")&lt;&gt;1,"",SUMIFS($I:$I,$C:$C,$C196,$D:$D,$D196,$E:$E,"P0(후)"))</f>
        <v/>
      </c>
      <c r="R196" s="31">
        <f>IF(COUNTIFS($C:$C,$C196,$D:$D,$D196,$E:$E,"P0(후)",$M:$M,"&gt;0")&lt;&gt;1,"",SUMIFS($M:$M,$C:$C,$C196,$D:$D,$D196,$E:$E,"P0(후)"))</f>
        <v/>
      </c>
      <c r="S196" s="31">
        <f>IF(N196&lt;&gt;"OK","",P196+(R196-P196)*(I196-O196)/(Q196-O196))</f>
        <v/>
      </c>
      <c r="T196" s="31">
        <f>IF(OR(N196&lt;&gt;"OK",NOT(ISNUMBER(M196))),"",M196-S196)</f>
        <v/>
      </c>
      <c r="U196" s="49">
        <f>IF(OR(NOT(ISNUMBER(T196)),IF(ISNUMBER(H196),H196,G196)=0),"",T196/IF(ISNUMBER(H196),H196,G196))</f>
        <v/>
      </c>
      <c r="V196" s="49">
        <f>IF(ISNUMBER(U196),ABS(U196),"")</f>
        <v/>
      </c>
      <c r="W196" s="49">
        <f>IF(OR($E195&lt;&gt;"측정",$C195&lt;&gt;$C196,$D195&lt;&gt;$D196,NOT(ISNUMBER(M196)),NOT(ISNUMBER(M195)),(IF(ISNUMBER(H196),H196,G196)-IF(ISNUMBER(H195),H195,G195))=0),"",(M196-M195)/(IF(ISNUMBER(H196),H196,G196)-IF(ISNUMBER(H195),H195,G195)))</f>
        <v/>
      </c>
      <c r="X196" s="31">
        <f>IF(NOT(AND(ISNUMBER(O196),ISNUMBER(Q196))),"",(Q196-O196)*1440)</f>
        <v/>
      </c>
      <c r="Y196" s="29" t="n"/>
      <c r="Z196" s="29" t="n"/>
      <c r="AA196" s="29" t="n"/>
      <c r="AB196" s="32" t="n"/>
      <c r="AC196" s="32" t="n"/>
    </row>
    <row r="197">
      <c r="A197" s="26" t="inlineStr">
        <is>
          <t>S04</t>
        </is>
      </c>
      <c r="B197" s="26" t="inlineStr">
        <is>
          <t>진안 신규점1</t>
        </is>
      </c>
      <c r="C197" s="26" t="inlineStr">
        <is>
          <t>S04-H남</t>
        </is>
      </c>
      <c r="D197" s="47" t="n">
        <v>1</v>
      </c>
      <c r="E197" s="26" t="inlineStr">
        <is>
          <t>측정</t>
        </is>
      </c>
      <c r="F197" s="26" t="inlineStr">
        <is>
          <t>남</t>
        </is>
      </c>
      <c r="G197" s="31" t="n">
        <v>8</v>
      </c>
      <c r="H197" s="30" t="n"/>
      <c r="I197" s="43" t="n"/>
      <c r="J197" s="41" t="n"/>
      <c r="K197" s="41" t="n"/>
      <c r="L197" s="41" t="n"/>
      <c r="M197" s="31">
        <f>IF(COUNT(J197:L197)=0,"",MEDIAN(J197:L197))</f>
        <v/>
      </c>
      <c r="N197" s="26">
        <f>IF(COUNTIFS($C:$C,$C197,$D:$D,$D197,$E:$E,"P0(전)",$M:$M,"&gt;0")&lt;&gt;1,"P0(전) 유효 1개 아님",IF(COUNTIFS($C:$C,$C197,$D:$D,$D197,$E:$E,"P0(후)",$M:$M,"&gt;0")&lt;&gt;1,"P0(후) 유효 1개 아님",IF(NOT(AND(ISNUMBER(O197),ISNUMBER(Q197),ISNUMBER(I197))),"시각 결측",IF(Q197&lt;=O197,"P0 시각 역전",IF(OR(I197&lt;O197,I197&gt;Q197),"측정시각 구간 밖","OK")))))</f>
        <v/>
      </c>
      <c r="O197" s="48">
        <f>IF(COUNTIFS($C:$C,$C197,$D:$D,$D197,$E:$E,"P0(전)",$M:$M,"&gt;0")&lt;&gt;1,"",SUMIFS($I:$I,$C:$C,$C197,$D:$D,$D197,$E:$E,"P0(전)"))</f>
        <v/>
      </c>
      <c r="P197" s="31">
        <f>IF(COUNTIFS($C:$C,$C197,$D:$D,$D197,$E:$E,"P0(전)",$M:$M,"&gt;0")&lt;&gt;1,"",SUMIFS($M:$M,$C:$C,$C197,$D:$D,$D197,$E:$E,"P0(전)"))</f>
        <v/>
      </c>
      <c r="Q197" s="48">
        <f>IF(COUNTIFS($C:$C,$C197,$D:$D,$D197,$E:$E,"P0(후)",$M:$M,"&gt;0")&lt;&gt;1,"",SUMIFS($I:$I,$C:$C,$C197,$D:$D,$D197,$E:$E,"P0(후)"))</f>
        <v/>
      </c>
      <c r="R197" s="31">
        <f>IF(COUNTIFS($C:$C,$C197,$D:$D,$D197,$E:$E,"P0(후)",$M:$M,"&gt;0")&lt;&gt;1,"",SUMIFS($M:$M,$C:$C,$C197,$D:$D,$D197,$E:$E,"P0(후)"))</f>
        <v/>
      </c>
      <c r="S197" s="31">
        <f>IF(N197&lt;&gt;"OK","",P197+(R197-P197)*(I197-O197)/(Q197-O197))</f>
        <v/>
      </c>
      <c r="T197" s="31">
        <f>IF(OR(N197&lt;&gt;"OK",NOT(ISNUMBER(M197))),"",M197-S197)</f>
        <v/>
      </c>
      <c r="U197" s="49">
        <f>IF(OR(NOT(ISNUMBER(T197)),IF(ISNUMBER(H197),H197,G197)=0),"",T197/IF(ISNUMBER(H197),H197,G197))</f>
        <v/>
      </c>
      <c r="V197" s="49">
        <f>IF(ISNUMBER(U197),ABS(U197),"")</f>
        <v/>
      </c>
      <c r="W197" s="49">
        <f>IF(OR($E196&lt;&gt;"측정",$C196&lt;&gt;$C197,$D196&lt;&gt;$D197,NOT(ISNUMBER(M197)),NOT(ISNUMBER(M196)),(IF(ISNUMBER(H197),H197,G197)-IF(ISNUMBER(H196),H196,G196))=0),"",(M197-M196)/(IF(ISNUMBER(H197),H197,G197)-IF(ISNUMBER(H196),H196,G196)))</f>
        <v/>
      </c>
      <c r="X197" s="31">
        <f>IF(NOT(AND(ISNUMBER(O197),ISNUMBER(Q197))),"",(Q197-O197)*1440)</f>
        <v/>
      </c>
      <c r="Y197" s="29" t="n"/>
      <c r="Z197" s="29" t="n"/>
      <c r="AA197" s="29" t="n"/>
      <c r="AB197" s="32" t="n"/>
      <c r="AC197" s="32" t="n"/>
    </row>
    <row r="198">
      <c r="A198" s="26" t="inlineStr">
        <is>
          <t>S04</t>
        </is>
      </c>
      <c r="B198" s="26" t="inlineStr">
        <is>
          <t>진안 신규점1</t>
        </is>
      </c>
      <c r="C198" s="26" t="inlineStr">
        <is>
          <t>S04-H남</t>
        </is>
      </c>
      <c r="D198" s="47" t="n">
        <v>1</v>
      </c>
      <c r="E198" s="26" t="inlineStr">
        <is>
          <t>측정</t>
        </is>
      </c>
      <c r="F198" s="26" t="inlineStr">
        <is>
          <t>남</t>
        </is>
      </c>
      <c r="G198" s="31" t="n">
        <v>9</v>
      </c>
      <c r="H198" s="30" t="n"/>
      <c r="I198" s="43" t="n"/>
      <c r="J198" s="41" t="n"/>
      <c r="K198" s="41" t="n"/>
      <c r="L198" s="41" t="n"/>
      <c r="M198" s="31">
        <f>IF(COUNT(J198:L198)=0,"",MEDIAN(J198:L198))</f>
        <v/>
      </c>
      <c r="N198" s="26">
        <f>IF(COUNTIFS($C:$C,$C198,$D:$D,$D198,$E:$E,"P0(전)",$M:$M,"&gt;0")&lt;&gt;1,"P0(전) 유효 1개 아님",IF(COUNTIFS($C:$C,$C198,$D:$D,$D198,$E:$E,"P0(후)",$M:$M,"&gt;0")&lt;&gt;1,"P0(후) 유효 1개 아님",IF(NOT(AND(ISNUMBER(O198),ISNUMBER(Q198),ISNUMBER(I198))),"시각 결측",IF(Q198&lt;=O198,"P0 시각 역전",IF(OR(I198&lt;O198,I198&gt;Q198),"측정시각 구간 밖","OK")))))</f>
        <v/>
      </c>
      <c r="O198" s="48">
        <f>IF(COUNTIFS($C:$C,$C198,$D:$D,$D198,$E:$E,"P0(전)",$M:$M,"&gt;0")&lt;&gt;1,"",SUMIFS($I:$I,$C:$C,$C198,$D:$D,$D198,$E:$E,"P0(전)"))</f>
        <v/>
      </c>
      <c r="P198" s="31">
        <f>IF(COUNTIFS($C:$C,$C198,$D:$D,$D198,$E:$E,"P0(전)",$M:$M,"&gt;0")&lt;&gt;1,"",SUMIFS($M:$M,$C:$C,$C198,$D:$D,$D198,$E:$E,"P0(전)"))</f>
        <v/>
      </c>
      <c r="Q198" s="48">
        <f>IF(COUNTIFS($C:$C,$C198,$D:$D,$D198,$E:$E,"P0(후)",$M:$M,"&gt;0")&lt;&gt;1,"",SUMIFS($I:$I,$C:$C,$C198,$D:$D,$D198,$E:$E,"P0(후)"))</f>
        <v/>
      </c>
      <c r="R198" s="31">
        <f>IF(COUNTIFS($C:$C,$C198,$D:$D,$D198,$E:$E,"P0(후)",$M:$M,"&gt;0")&lt;&gt;1,"",SUMIFS($M:$M,$C:$C,$C198,$D:$D,$D198,$E:$E,"P0(후)"))</f>
        <v/>
      </c>
      <c r="S198" s="31">
        <f>IF(N198&lt;&gt;"OK","",P198+(R198-P198)*(I198-O198)/(Q198-O198))</f>
        <v/>
      </c>
      <c r="T198" s="31">
        <f>IF(OR(N198&lt;&gt;"OK",NOT(ISNUMBER(M198))),"",M198-S198)</f>
        <v/>
      </c>
      <c r="U198" s="49">
        <f>IF(OR(NOT(ISNUMBER(T198)),IF(ISNUMBER(H198),H198,G198)=0),"",T198/IF(ISNUMBER(H198),H198,G198))</f>
        <v/>
      </c>
      <c r="V198" s="49">
        <f>IF(ISNUMBER(U198),ABS(U198),"")</f>
        <v/>
      </c>
      <c r="W198" s="49">
        <f>IF(OR($E197&lt;&gt;"측정",$C197&lt;&gt;$C198,$D197&lt;&gt;$D198,NOT(ISNUMBER(M198)),NOT(ISNUMBER(M197)),(IF(ISNUMBER(H198),H198,G198)-IF(ISNUMBER(H197),H197,G197))=0),"",(M198-M197)/(IF(ISNUMBER(H198),H198,G198)-IF(ISNUMBER(H197),H197,G197)))</f>
        <v/>
      </c>
      <c r="X198" s="31">
        <f>IF(NOT(AND(ISNUMBER(O198),ISNUMBER(Q198))),"",(Q198-O198)*1440)</f>
        <v/>
      </c>
      <c r="Y198" s="29" t="n"/>
      <c r="Z198" s="29" t="n"/>
      <c r="AA198" s="29" t="n"/>
      <c r="AB198" s="32" t="n"/>
      <c r="AC198" s="32" t="n"/>
    </row>
    <row r="199">
      <c r="A199" s="26" t="inlineStr">
        <is>
          <t>S04</t>
        </is>
      </c>
      <c r="B199" s="26" t="inlineStr">
        <is>
          <t>진안 신규점1</t>
        </is>
      </c>
      <c r="C199" s="26" t="inlineStr">
        <is>
          <t>S04-H남</t>
        </is>
      </c>
      <c r="D199" s="47" t="n">
        <v>1</v>
      </c>
      <c r="E199" s="26" t="inlineStr">
        <is>
          <t>측정</t>
        </is>
      </c>
      <c r="F199" s="26" t="inlineStr">
        <is>
          <t>남</t>
        </is>
      </c>
      <c r="G199" s="31" t="n">
        <v>10</v>
      </c>
      <c r="H199" s="30" t="n"/>
      <c r="I199" s="43" t="n"/>
      <c r="J199" s="41" t="n"/>
      <c r="K199" s="41" t="n"/>
      <c r="L199" s="41" t="n"/>
      <c r="M199" s="31">
        <f>IF(COUNT(J199:L199)=0,"",MEDIAN(J199:L199))</f>
        <v/>
      </c>
      <c r="N199" s="26">
        <f>IF(COUNTIFS($C:$C,$C199,$D:$D,$D199,$E:$E,"P0(전)",$M:$M,"&gt;0")&lt;&gt;1,"P0(전) 유효 1개 아님",IF(COUNTIFS($C:$C,$C199,$D:$D,$D199,$E:$E,"P0(후)",$M:$M,"&gt;0")&lt;&gt;1,"P0(후) 유효 1개 아님",IF(NOT(AND(ISNUMBER(O199),ISNUMBER(Q199),ISNUMBER(I199))),"시각 결측",IF(Q199&lt;=O199,"P0 시각 역전",IF(OR(I199&lt;O199,I199&gt;Q199),"측정시각 구간 밖","OK")))))</f>
        <v/>
      </c>
      <c r="O199" s="48">
        <f>IF(COUNTIFS($C:$C,$C199,$D:$D,$D199,$E:$E,"P0(전)",$M:$M,"&gt;0")&lt;&gt;1,"",SUMIFS($I:$I,$C:$C,$C199,$D:$D,$D199,$E:$E,"P0(전)"))</f>
        <v/>
      </c>
      <c r="P199" s="31">
        <f>IF(COUNTIFS($C:$C,$C199,$D:$D,$D199,$E:$E,"P0(전)",$M:$M,"&gt;0")&lt;&gt;1,"",SUMIFS($M:$M,$C:$C,$C199,$D:$D,$D199,$E:$E,"P0(전)"))</f>
        <v/>
      </c>
      <c r="Q199" s="48">
        <f>IF(COUNTIFS($C:$C,$C199,$D:$D,$D199,$E:$E,"P0(후)",$M:$M,"&gt;0")&lt;&gt;1,"",SUMIFS($I:$I,$C:$C,$C199,$D:$D,$D199,$E:$E,"P0(후)"))</f>
        <v/>
      </c>
      <c r="R199" s="31">
        <f>IF(COUNTIFS($C:$C,$C199,$D:$D,$D199,$E:$E,"P0(후)",$M:$M,"&gt;0")&lt;&gt;1,"",SUMIFS($M:$M,$C:$C,$C199,$D:$D,$D199,$E:$E,"P0(후)"))</f>
        <v/>
      </c>
      <c r="S199" s="31">
        <f>IF(N199&lt;&gt;"OK","",P199+(R199-P199)*(I199-O199)/(Q199-O199))</f>
        <v/>
      </c>
      <c r="T199" s="31">
        <f>IF(OR(N199&lt;&gt;"OK",NOT(ISNUMBER(M199))),"",M199-S199)</f>
        <v/>
      </c>
      <c r="U199" s="49">
        <f>IF(OR(NOT(ISNUMBER(T199)),IF(ISNUMBER(H199),H199,G199)=0),"",T199/IF(ISNUMBER(H199),H199,G199))</f>
        <v/>
      </c>
      <c r="V199" s="49">
        <f>IF(ISNUMBER(U199),ABS(U199),"")</f>
        <v/>
      </c>
      <c r="W199" s="49">
        <f>IF(OR($E198&lt;&gt;"측정",$C198&lt;&gt;$C199,$D198&lt;&gt;$D199,NOT(ISNUMBER(M199)),NOT(ISNUMBER(M198)),(IF(ISNUMBER(H199),H199,G199)-IF(ISNUMBER(H198),H198,G198))=0),"",(M199-M198)/(IF(ISNUMBER(H199),H199,G199)-IF(ISNUMBER(H198),H198,G198)))</f>
        <v/>
      </c>
      <c r="X199" s="31">
        <f>IF(NOT(AND(ISNUMBER(O199),ISNUMBER(Q199))),"",(Q199-O199)*1440)</f>
        <v/>
      </c>
      <c r="Y199" s="29" t="n"/>
      <c r="Z199" s="29" t="n"/>
      <c r="AA199" s="29" t="n"/>
      <c r="AB199" s="32" t="n"/>
      <c r="AC199" s="32" t="n"/>
    </row>
    <row r="200">
      <c r="A200" s="44" t="inlineStr">
        <is>
          <t>S04</t>
        </is>
      </c>
      <c r="B200" s="44" t="inlineStr">
        <is>
          <t>진안 신규점1</t>
        </is>
      </c>
      <c r="C200" s="44" t="inlineStr">
        <is>
          <t>S04-H남</t>
        </is>
      </c>
      <c r="D200" s="45" t="n">
        <v>1</v>
      </c>
      <c r="E200" s="44" t="inlineStr">
        <is>
          <t>P0(후)</t>
        </is>
      </c>
      <c r="F200" s="44" t="inlineStr">
        <is>
          <t>남</t>
        </is>
      </c>
      <c r="G200" s="46" t="n"/>
      <c r="H200" s="30" t="n"/>
      <c r="I200" s="43" t="n"/>
      <c r="J200" s="41" t="n"/>
      <c r="K200" s="41" t="n"/>
      <c r="L200" s="41" t="n"/>
      <c r="M200" s="31">
        <f>IF(COUNT(J200:L200)=0,"",MEDIAN(J200:L200))</f>
        <v/>
      </c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29" t="n"/>
      <c r="Z200" s="29" t="n"/>
      <c r="AA200" s="29" t="n"/>
      <c r="AB200" s="32" t="n"/>
      <c r="AC200" s="32" t="n"/>
    </row>
    <row r="201">
      <c r="A201" s="44" t="inlineStr">
        <is>
          <t>S04</t>
        </is>
      </c>
      <c r="B201" s="44" t="inlineStr">
        <is>
          <t>진안 신규점1</t>
        </is>
      </c>
      <c r="C201" s="44" t="inlineStr">
        <is>
          <t>S04-H북</t>
        </is>
      </c>
      <c r="D201" s="45" t="n">
        <v>1</v>
      </c>
      <c r="E201" s="44" t="inlineStr">
        <is>
          <t>P0(전)</t>
        </is>
      </c>
      <c r="F201" s="44" t="inlineStr">
        <is>
          <t>북</t>
        </is>
      </c>
      <c r="G201" s="46" t="n"/>
      <c r="H201" s="30" t="n"/>
      <c r="I201" s="43" t="n"/>
      <c r="J201" s="41" t="n"/>
      <c r="K201" s="41" t="n"/>
      <c r="L201" s="41" t="n"/>
      <c r="M201" s="31">
        <f>IF(COUNT(J201:L201)=0,"",MEDIAN(J201:L201))</f>
        <v/>
      </c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29" t="n"/>
      <c r="Z201" s="29" t="n"/>
      <c r="AA201" s="29" t="n"/>
      <c r="AB201" s="32" t="n"/>
      <c r="AC201" s="32" t="n"/>
    </row>
    <row r="202">
      <c r="A202" s="26" t="inlineStr">
        <is>
          <t>S04</t>
        </is>
      </c>
      <c r="B202" s="26" t="inlineStr">
        <is>
          <t>진안 신규점1</t>
        </is>
      </c>
      <c r="C202" s="26" t="inlineStr">
        <is>
          <t>S04-H북</t>
        </is>
      </c>
      <c r="D202" s="47" t="n">
        <v>1</v>
      </c>
      <c r="E202" s="26" t="inlineStr">
        <is>
          <t>측정</t>
        </is>
      </c>
      <c r="F202" s="26" t="inlineStr">
        <is>
          <t>북</t>
        </is>
      </c>
      <c r="G202" s="31" t="n">
        <v>0.5</v>
      </c>
      <c r="H202" s="30" t="n"/>
      <c r="I202" s="43" t="n"/>
      <c r="J202" s="41" t="n"/>
      <c r="K202" s="41" t="n"/>
      <c r="L202" s="41" t="n"/>
      <c r="M202" s="31">
        <f>IF(COUNT(J202:L202)=0,"",MEDIAN(J202:L202))</f>
        <v/>
      </c>
      <c r="N202" s="26">
        <f>IF(COUNTIFS($C:$C,$C202,$D:$D,$D202,$E:$E,"P0(전)",$M:$M,"&gt;0")&lt;&gt;1,"P0(전) 유효 1개 아님",IF(COUNTIFS($C:$C,$C202,$D:$D,$D202,$E:$E,"P0(후)",$M:$M,"&gt;0")&lt;&gt;1,"P0(후) 유효 1개 아님",IF(NOT(AND(ISNUMBER(O202),ISNUMBER(Q202),ISNUMBER(I202))),"시각 결측",IF(Q202&lt;=O202,"P0 시각 역전",IF(OR(I202&lt;O202,I202&gt;Q202),"측정시각 구간 밖","OK")))))</f>
        <v/>
      </c>
      <c r="O202" s="48">
        <f>IF(COUNTIFS($C:$C,$C202,$D:$D,$D202,$E:$E,"P0(전)",$M:$M,"&gt;0")&lt;&gt;1,"",SUMIFS($I:$I,$C:$C,$C202,$D:$D,$D202,$E:$E,"P0(전)"))</f>
        <v/>
      </c>
      <c r="P202" s="31">
        <f>IF(COUNTIFS($C:$C,$C202,$D:$D,$D202,$E:$E,"P0(전)",$M:$M,"&gt;0")&lt;&gt;1,"",SUMIFS($M:$M,$C:$C,$C202,$D:$D,$D202,$E:$E,"P0(전)"))</f>
        <v/>
      </c>
      <c r="Q202" s="48">
        <f>IF(COUNTIFS($C:$C,$C202,$D:$D,$D202,$E:$E,"P0(후)",$M:$M,"&gt;0")&lt;&gt;1,"",SUMIFS($I:$I,$C:$C,$C202,$D:$D,$D202,$E:$E,"P0(후)"))</f>
        <v/>
      </c>
      <c r="R202" s="31">
        <f>IF(COUNTIFS($C:$C,$C202,$D:$D,$D202,$E:$E,"P0(후)",$M:$M,"&gt;0")&lt;&gt;1,"",SUMIFS($M:$M,$C:$C,$C202,$D:$D,$D202,$E:$E,"P0(후)"))</f>
        <v/>
      </c>
      <c r="S202" s="31">
        <f>IF(N202&lt;&gt;"OK","",P202+(R202-P202)*(I202-O202)/(Q202-O202))</f>
        <v/>
      </c>
      <c r="T202" s="31">
        <f>IF(OR(N202&lt;&gt;"OK",NOT(ISNUMBER(M202))),"",M202-S202)</f>
        <v/>
      </c>
      <c r="U202" s="49">
        <f>IF(OR(NOT(ISNUMBER(T202)),IF(ISNUMBER(H202),H202,G202)=0),"",T202/IF(ISNUMBER(H202),H202,G202))</f>
        <v/>
      </c>
      <c r="V202" s="49">
        <f>IF(ISNUMBER(U202),ABS(U202),"")</f>
        <v/>
      </c>
      <c r="W202" s="49">
        <f>IF(OR($E201&lt;&gt;"측정",$C201&lt;&gt;$C202,$D201&lt;&gt;$D202,NOT(ISNUMBER(M202)),NOT(ISNUMBER(M201)),(IF(ISNUMBER(H202),H202,G202)-IF(ISNUMBER(H201),H201,G201))=0),"",(M202-M201)/(IF(ISNUMBER(H202),H202,G202)-IF(ISNUMBER(H201),H201,G201)))</f>
        <v/>
      </c>
      <c r="X202" s="31">
        <f>IF(NOT(AND(ISNUMBER(O202),ISNUMBER(Q202))),"",(Q202-O202)*1440)</f>
        <v/>
      </c>
      <c r="Y202" s="29" t="n"/>
      <c r="Z202" s="29" t="n"/>
      <c r="AA202" s="29" t="n"/>
      <c r="AB202" s="32" t="n"/>
      <c r="AC202" s="32" t="n"/>
    </row>
    <row r="203">
      <c r="A203" s="26" t="inlineStr">
        <is>
          <t>S04</t>
        </is>
      </c>
      <c r="B203" s="26" t="inlineStr">
        <is>
          <t>진안 신규점1</t>
        </is>
      </c>
      <c r="C203" s="26" t="inlineStr">
        <is>
          <t>S04-H북</t>
        </is>
      </c>
      <c r="D203" s="47" t="n">
        <v>1</v>
      </c>
      <c r="E203" s="26" t="inlineStr">
        <is>
          <t>측정</t>
        </is>
      </c>
      <c r="F203" s="26" t="inlineStr">
        <is>
          <t>북</t>
        </is>
      </c>
      <c r="G203" s="31" t="n">
        <v>1</v>
      </c>
      <c r="H203" s="30" t="n"/>
      <c r="I203" s="43" t="n"/>
      <c r="J203" s="41" t="n"/>
      <c r="K203" s="41" t="n"/>
      <c r="L203" s="41" t="n"/>
      <c r="M203" s="31">
        <f>IF(COUNT(J203:L203)=0,"",MEDIAN(J203:L203))</f>
        <v/>
      </c>
      <c r="N203" s="26">
        <f>IF(COUNTIFS($C:$C,$C203,$D:$D,$D203,$E:$E,"P0(전)",$M:$M,"&gt;0")&lt;&gt;1,"P0(전) 유효 1개 아님",IF(COUNTIFS($C:$C,$C203,$D:$D,$D203,$E:$E,"P0(후)",$M:$M,"&gt;0")&lt;&gt;1,"P0(후) 유효 1개 아님",IF(NOT(AND(ISNUMBER(O203),ISNUMBER(Q203),ISNUMBER(I203))),"시각 결측",IF(Q203&lt;=O203,"P0 시각 역전",IF(OR(I203&lt;O203,I203&gt;Q203),"측정시각 구간 밖","OK")))))</f>
        <v/>
      </c>
      <c r="O203" s="48">
        <f>IF(COUNTIFS($C:$C,$C203,$D:$D,$D203,$E:$E,"P0(전)",$M:$M,"&gt;0")&lt;&gt;1,"",SUMIFS($I:$I,$C:$C,$C203,$D:$D,$D203,$E:$E,"P0(전)"))</f>
        <v/>
      </c>
      <c r="P203" s="31">
        <f>IF(COUNTIFS($C:$C,$C203,$D:$D,$D203,$E:$E,"P0(전)",$M:$M,"&gt;0")&lt;&gt;1,"",SUMIFS($M:$M,$C:$C,$C203,$D:$D,$D203,$E:$E,"P0(전)"))</f>
        <v/>
      </c>
      <c r="Q203" s="48">
        <f>IF(COUNTIFS($C:$C,$C203,$D:$D,$D203,$E:$E,"P0(후)",$M:$M,"&gt;0")&lt;&gt;1,"",SUMIFS($I:$I,$C:$C,$C203,$D:$D,$D203,$E:$E,"P0(후)"))</f>
        <v/>
      </c>
      <c r="R203" s="31">
        <f>IF(COUNTIFS($C:$C,$C203,$D:$D,$D203,$E:$E,"P0(후)",$M:$M,"&gt;0")&lt;&gt;1,"",SUMIFS($M:$M,$C:$C,$C203,$D:$D,$D203,$E:$E,"P0(후)"))</f>
        <v/>
      </c>
      <c r="S203" s="31">
        <f>IF(N203&lt;&gt;"OK","",P203+(R203-P203)*(I203-O203)/(Q203-O203))</f>
        <v/>
      </c>
      <c r="T203" s="31">
        <f>IF(OR(N203&lt;&gt;"OK",NOT(ISNUMBER(M203))),"",M203-S203)</f>
        <v/>
      </c>
      <c r="U203" s="49">
        <f>IF(OR(NOT(ISNUMBER(T203)),IF(ISNUMBER(H203),H203,G203)=0),"",T203/IF(ISNUMBER(H203),H203,G203))</f>
        <v/>
      </c>
      <c r="V203" s="49">
        <f>IF(ISNUMBER(U203),ABS(U203),"")</f>
        <v/>
      </c>
      <c r="W203" s="49">
        <f>IF(OR($E202&lt;&gt;"측정",$C202&lt;&gt;$C203,$D202&lt;&gt;$D203,NOT(ISNUMBER(M203)),NOT(ISNUMBER(M202)),(IF(ISNUMBER(H203),H203,G203)-IF(ISNUMBER(H202),H202,G202))=0),"",(M203-M202)/(IF(ISNUMBER(H203),H203,G203)-IF(ISNUMBER(H202),H202,G202)))</f>
        <v/>
      </c>
      <c r="X203" s="31">
        <f>IF(NOT(AND(ISNUMBER(O203),ISNUMBER(Q203))),"",(Q203-O203)*1440)</f>
        <v/>
      </c>
      <c r="Y203" s="29" t="n"/>
      <c r="Z203" s="29" t="n"/>
      <c r="AA203" s="29" t="n"/>
      <c r="AB203" s="32" t="n"/>
      <c r="AC203" s="32" t="n"/>
    </row>
    <row r="204">
      <c r="A204" s="26" t="inlineStr">
        <is>
          <t>S04</t>
        </is>
      </c>
      <c r="B204" s="26" t="inlineStr">
        <is>
          <t>진안 신규점1</t>
        </is>
      </c>
      <c r="C204" s="26" t="inlineStr">
        <is>
          <t>S04-H북</t>
        </is>
      </c>
      <c r="D204" s="47" t="n">
        <v>1</v>
      </c>
      <c r="E204" s="26" t="inlineStr">
        <is>
          <t>측정</t>
        </is>
      </c>
      <c r="F204" s="26" t="inlineStr">
        <is>
          <t>북</t>
        </is>
      </c>
      <c r="G204" s="31" t="n">
        <v>2</v>
      </c>
      <c r="H204" s="30" t="n"/>
      <c r="I204" s="43" t="n"/>
      <c r="J204" s="41" t="n"/>
      <c r="K204" s="41" t="n"/>
      <c r="L204" s="41" t="n"/>
      <c r="M204" s="31">
        <f>IF(COUNT(J204:L204)=0,"",MEDIAN(J204:L204))</f>
        <v/>
      </c>
      <c r="N204" s="26">
        <f>IF(COUNTIFS($C:$C,$C204,$D:$D,$D204,$E:$E,"P0(전)",$M:$M,"&gt;0")&lt;&gt;1,"P0(전) 유효 1개 아님",IF(COUNTIFS($C:$C,$C204,$D:$D,$D204,$E:$E,"P0(후)",$M:$M,"&gt;0")&lt;&gt;1,"P0(후) 유효 1개 아님",IF(NOT(AND(ISNUMBER(O204),ISNUMBER(Q204),ISNUMBER(I204))),"시각 결측",IF(Q204&lt;=O204,"P0 시각 역전",IF(OR(I204&lt;O204,I204&gt;Q204),"측정시각 구간 밖","OK")))))</f>
        <v/>
      </c>
      <c r="O204" s="48">
        <f>IF(COUNTIFS($C:$C,$C204,$D:$D,$D204,$E:$E,"P0(전)",$M:$M,"&gt;0")&lt;&gt;1,"",SUMIFS($I:$I,$C:$C,$C204,$D:$D,$D204,$E:$E,"P0(전)"))</f>
        <v/>
      </c>
      <c r="P204" s="31">
        <f>IF(COUNTIFS($C:$C,$C204,$D:$D,$D204,$E:$E,"P0(전)",$M:$M,"&gt;0")&lt;&gt;1,"",SUMIFS($M:$M,$C:$C,$C204,$D:$D,$D204,$E:$E,"P0(전)"))</f>
        <v/>
      </c>
      <c r="Q204" s="48">
        <f>IF(COUNTIFS($C:$C,$C204,$D:$D,$D204,$E:$E,"P0(후)",$M:$M,"&gt;0")&lt;&gt;1,"",SUMIFS($I:$I,$C:$C,$C204,$D:$D,$D204,$E:$E,"P0(후)"))</f>
        <v/>
      </c>
      <c r="R204" s="31">
        <f>IF(COUNTIFS($C:$C,$C204,$D:$D,$D204,$E:$E,"P0(후)",$M:$M,"&gt;0")&lt;&gt;1,"",SUMIFS($M:$M,$C:$C,$C204,$D:$D,$D204,$E:$E,"P0(후)"))</f>
        <v/>
      </c>
      <c r="S204" s="31">
        <f>IF(N204&lt;&gt;"OK","",P204+(R204-P204)*(I204-O204)/(Q204-O204))</f>
        <v/>
      </c>
      <c r="T204" s="31">
        <f>IF(OR(N204&lt;&gt;"OK",NOT(ISNUMBER(M204))),"",M204-S204)</f>
        <v/>
      </c>
      <c r="U204" s="49">
        <f>IF(OR(NOT(ISNUMBER(T204)),IF(ISNUMBER(H204),H204,G204)=0),"",T204/IF(ISNUMBER(H204),H204,G204))</f>
        <v/>
      </c>
      <c r="V204" s="49">
        <f>IF(ISNUMBER(U204),ABS(U204),"")</f>
        <v/>
      </c>
      <c r="W204" s="49">
        <f>IF(OR($E203&lt;&gt;"측정",$C203&lt;&gt;$C204,$D203&lt;&gt;$D204,NOT(ISNUMBER(M204)),NOT(ISNUMBER(M203)),(IF(ISNUMBER(H204),H204,G204)-IF(ISNUMBER(H203),H203,G203))=0),"",(M204-M203)/(IF(ISNUMBER(H204),H204,G204)-IF(ISNUMBER(H203),H203,G203)))</f>
        <v/>
      </c>
      <c r="X204" s="31">
        <f>IF(NOT(AND(ISNUMBER(O204),ISNUMBER(Q204))),"",(Q204-O204)*1440)</f>
        <v/>
      </c>
      <c r="Y204" s="29" t="n"/>
      <c r="Z204" s="29" t="n"/>
      <c r="AA204" s="29" t="n"/>
      <c r="AB204" s="32" t="n"/>
      <c r="AC204" s="32" t="n"/>
    </row>
    <row r="205">
      <c r="A205" s="26" t="inlineStr">
        <is>
          <t>S04</t>
        </is>
      </c>
      <c r="B205" s="26" t="inlineStr">
        <is>
          <t>진안 신규점1</t>
        </is>
      </c>
      <c r="C205" s="26" t="inlineStr">
        <is>
          <t>S04-H북</t>
        </is>
      </c>
      <c r="D205" s="47" t="n">
        <v>1</v>
      </c>
      <c r="E205" s="26" t="inlineStr">
        <is>
          <t>측정</t>
        </is>
      </c>
      <c r="F205" s="26" t="inlineStr">
        <is>
          <t>북</t>
        </is>
      </c>
      <c r="G205" s="31" t="n">
        <v>3</v>
      </c>
      <c r="H205" s="30" t="n"/>
      <c r="I205" s="43" t="n"/>
      <c r="J205" s="41" t="n"/>
      <c r="K205" s="41" t="n"/>
      <c r="L205" s="41" t="n"/>
      <c r="M205" s="31">
        <f>IF(COUNT(J205:L205)=0,"",MEDIAN(J205:L205))</f>
        <v/>
      </c>
      <c r="N205" s="26">
        <f>IF(COUNTIFS($C:$C,$C205,$D:$D,$D205,$E:$E,"P0(전)",$M:$M,"&gt;0")&lt;&gt;1,"P0(전) 유효 1개 아님",IF(COUNTIFS($C:$C,$C205,$D:$D,$D205,$E:$E,"P0(후)",$M:$M,"&gt;0")&lt;&gt;1,"P0(후) 유효 1개 아님",IF(NOT(AND(ISNUMBER(O205),ISNUMBER(Q205),ISNUMBER(I205))),"시각 결측",IF(Q205&lt;=O205,"P0 시각 역전",IF(OR(I205&lt;O205,I205&gt;Q205),"측정시각 구간 밖","OK")))))</f>
        <v/>
      </c>
      <c r="O205" s="48">
        <f>IF(COUNTIFS($C:$C,$C205,$D:$D,$D205,$E:$E,"P0(전)",$M:$M,"&gt;0")&lt;&gt;1,"",SUMIFS($I:$I,$C:$C,$C205,$D:$D,$D205,$E:$E,"P0(전)"))</f>
        <v/>
      </c>
      <c r="P205" s="31">
        <f>IF(COUNTIFS($C:$C,$C205,$D:$D,$D205,$E:$E,"P0(전)",$M:$M,"&gt;0")&lt;&gt;1,"",SUMIFS($M:$M,$C:$C,$C205,$D:$D,$D205,$E:$E,"P0(전)"))</f>
        <v/>
      </c>
      <c r="Q205" s="48">
        <f>IF(COUNTIFS($C:$C,$C205,$D:$D,$D205,$E:$E,"P0(후)",$M:$M,"&gt;0")&lt;&gt;1,"",SUMIFS($I:$I,$C:$C,$C205,$D:$D,$D205,$E:$E,"P0(후)"))</f>
        <v/>
      </c>
      <c r="R205" s="31">
        <f>IF(COUNTIFS($C:$C,$C205,$D:$D,$D205,$E:$E,"P0(후)",$M:$M,"&gt;0")&lt;&gt;1,"",SUMIFS($M:$M,$C:$C,$C205,$D:$D,$D205,$E:$E,"P0(후)"))</f>
        <v/>
      </c>
      <c r="S205" s="31">
        <f>IF(N205&lt;&gt;"OK","",P205+(R205-P205)*(I205-O205)/(Q205-O205))</f>
        <v/>
      </c>
      <c r="T205" s="31">
        <f>IF(OR(N205&lt;&gt;"OK",NOT(ISNUMBER(M205))),"",M205-S205)</f>
        <v/>
      </c>
      <c r="U205" s="49">
        <f>IF(OR(NOT(ISNUMBER(T205)),IF(ISNUMBER(H205),H205,G205)=0),"",T205/IF(ISNUMBER(H205),H205,G205))</f>
        <v/>
      </c>
      <c r="V205" s="49">
        <f>IF(ISNUMBER(U205),ABS(U205),"")</f>
        <v/>
      </c>
      <c r="W205" s="49">
        <f>IF(OR($E204&lt;&gt;"측정",$C204&lt;&gt;$C205,$D204&lt;&gt;$D205,NOT(ISNUMBER(M205)),NOT(ISNUMBER(M204)),(IF(ISNUMBER(H205),H205,G205)-IF(ISNUMBER(H204),H204,G204))=0),"",(M205-M204)/(IF(ISNUMBER(H205),H205,G205)-IF(ISNUMBER(H204),H204,G204)))</f>
        <v/>
      </c>
      <c r="X205" s="31">
        <f>IF(NOT(AND(ISNUMBER(O205),ISNUMBER(Q205))),"",(Q205-O205)*1440)</f>
        <v/>
      </c>
      <c r="Y205" s="29" t="n"/>
      <c r="Z205" s="29" t="n"/>
      <c r="AA205" s="29" t="n"/>
      <c r="AB205" s="32" t="n"/>
      <c r="AC205" s="32" t="n"/>
    </row>
    <row r="206">
      <c r="A206" s="26" t="inlineStr">
        <is>
          <t>S04</t>
        </is>
      </c>
      <c r="B206" s="26" t="inlineStr">
        <is>
          <t>진안 신규점1</t>
        </is>
      </c>
      <c r="C206" s="26" t="inlineStr">
        <is>
          <t>S04-H북</t>
        </is>
      </c>
      <c r="D206" s="47" t="n">
        <v>1</v>
      </c>
      <c r="E206" s="26" t="inlineStr">
        <is>
          <t>측정</t>
        </is>
      </c>
      <c r="F206" s="26" t="inlineStr">
        <is>
          <t>북</t>
        </is>
      </c>
      <c r="G206" s="31" t="n">
        <v>4</v>
      </c>
      <c r="H206" s="30" t="n"/>
      <c r="I206" s="43" t="n"/>
      <c r="J206" s="41" t="n"/>
      <c r="K206" s="41" t="n"/>
      <c r="L206" s="41" t="n"/>
      <c r="M206" s="31">
        <f>IF(COUNT(J206:L206)=0,"",MEDIAN(J206:L206))</f>
        <v/>
      </c>
      <c r="N206" s="26">
        <f>IF(COUNTIFS($C:$C,$C206,$D:$D,$D206,$E:$E,"P0(전)",$M:$M,"&gt;0")&lt;&gt;1,"P0(전) 유효 1개 아님",IF(COUNTIFS($C:$C,$C206,$D:$D,$D206,$E:$E,"P0(후)",$M:$M,"&gt;0")&lt;&gt;1,"P0(후) 유효 1개 아님",IF(NOT(AND(ISNUMBER(O206),ISNUMBER(Q206),ISNUMBER(I206))),"시각 결측",IF(Q206&lt;=O206,"P0 시각 역전",IF(OR(I206&lt;O206,I206&gt;Q206),"측정시각 구간 밖","OK")))))</f>
        <v/>
      </c>
      <c r="O206" s="48">
        <f>IF(COUNTIFS($C:$C,$C206,$D:$D,$D206,$E:$E,"P0(전)",$M:$M,"&gt;0")&lt;&gt;1,"",SUMIFS($I:$I,$C:$C,$C206,$D:$D,$D206,$E:$E,"P0(전)"))</f>
        <v/>
      </c>
      <c r="P206" s="31">
        <f>IF(COUNTIFS($C:$C,$C206,$D:$D,$D206,$E:$E,"P0(전)",$M:$M,"&gt;0")&lt;&gt;1,"",SUMIFS($M:$M,$C:$C,$C206,$D:$D,$D206,$E:$E,"P0(전)"))</f>
        <v/>
      </c>
      <c r="Q206" s="48">
        <f>IF(COUNTIFS($C:$C,$C206,$D:$D,$D206,$E:$E,"P0(후)",$M:$M,"&gt;0")&lt;&gt;1,"",SUMIFS($I:$I,$C:$C,$C206,$D:$D,$D206,$E:$E,"P0(후)"))</f>
        <v/>
      </c>
      <c r="R206" s="31">
        <f>IF(COUNTIFS($C:$C,$C206,$D:$D,$D206,$E:$E,"P0(후)",$M:$M,"&gt;0")&lt;&gt;1,"",SUMIFS($M:$M,$C:$C,$C206,$D:$D,$D206,$E:$E,"P0(후)"))</f>
        <v/>
      </c>
      <c r="S206" s="31">
        <f>IF(N206&lt;&gt;"OK","",P206+(R206-P206)*(I206-O206)/(Q206-O206))</f>
        <v/>
      </c>
      <c r="T206" s="31">
        <f>IF(OR(N206&lt;&gt;"OK",NOT(ISNUMBER(M206))),"",M206-S206)</f>
        <v/>
      </c>
      <c r="U206" s="49">
        <f>IF(OR(NOT(ISNUMBER(T206)),IF(ISNUMBER(H206),H206,G206)=0),"",T206/IF(ISNUMBER(H206),H206,G206))</f>
        <v/>
      </c>
      <c r="V206" s="49">
        <f>IF(ISNUMBER(U206),ABS(U206),"")</f>
        <v/>
      </c>
      <c r="W206" s="49">
        <f>IF(OR($E205&lt;&gt;"측정",$C205&lt;&gt;$C206,$D205&lt;&gt;$D206,NOT(ISNUMBER(M206)),NOT(ISNUMBER(M205)),(IF(ISNUMBER(H206),H206,G206)-IF(ISNUMBER(H205),H205,G205))=0),"",(M206-M205)/(IF(ISNUMBER(H206),H206,G206)-IF(ISNUMBER(H205),H205,G205)))</f>
        <v/>
      </c>
      <c r="X206" s="31">
        <f>IF(NOT(AND(ISNUMBER(O206),ISNUMBER(Q206))),"",(Q206-O206)*1440)</f>
        <v/>
      </c>
      <c r="Y206" s="29" t="n"/>
      <c r="Z206" s="29" t="n"/>
      <c r="AA206" s="29" t="n"/>
      <c r="AB206" s="32" t="n"/>
      <c r="AC206" s="32" t="n"/>
    </row>
    <row r="207">
      <c r="A207" s="26" t="inlineStr">
        <is>
          <t>S04</t>
        </is>
      </c>
      <c r="B207" s="26" t="inlineStr">
        <is>
          <t>진안 신규점1</t>
        </is>
      </c>
      <c r="C207" s="26" t="inlineStr">
        <is>
          <t>S04-H북</t>
        </is>
      </c>
      <c r="D207" s="47" t="n">
        <v>1</v>
      </c>
      <c r="E207" s="26" t="inlineStr">
        <is>
          <t>측정</t>
        </is>
      </c>
      <c r="F207" s="26" t="inlineStr">
        <is>
          <t>북</t>
        </is>
      </c>
      <c r="G207" s="31" t="n">
        <v>5</v>
      </c>
      <c r="H207" s="30" t="n"/>
      <c r="I207" s="43" t="n"/>
      <c r="J207" s="41" t="n"/>
      <c r="K207" s="41" t="n"/>
      <c r="L207" s="41" t="n"/>
      <c r="M207" s="31">
        <f>IF(COUNT(J207:L207)=0,"",MEDIAN(J207:L207))</f>
        <v/>
      </c>
      <c r="N207" s="26">
        <f>IF(COUNTIFS($C:$C,$C207,$D:$D,$D207,$E:$E,"P0(전)",$M:$M,"&gt;0")&lt;&gt;1,"P0(전) 유효 1개 아님",IF(COUNTIFS($C:$C,$C207,$D:$D,$D207,$E:$E,"P0(후)",$M:$M,"&gt;0")&lt;&gt;1,"P0(후) 유효 1개 아님",IF(NOT(AND(ISNUMBER(O207),ISNUMBER(Q207),ISNUMBER(I207))),"시각 결측",IF(Q207&lt;=O207,"P0 시각 역전",IF(OR(I207&lt;O207,I207&gt;Q207),"측정시각 구간 밖","OK")))))</f>
        <v/>
      </c>
      <c r="O207" s="48">
        <f>IF(COUNTIFS($C:$C,$C207,$D:$D,$D207,$E:$E,"P0(전)",$M:$M,"&gt;0")&lt;&gt;1,"",SUMIFS($I:$I,$C:$C,$C207,$D:$D,$D207,$E:$E,"P0(전)"))</f>
        <v/>
      </c>
      <c r="P207" s="31">
        <f>IF(COUNTIFS($C:$C,$C207,$D:$D,$D207,$E:$E,"P0(전)",$M:$M,"&gt;0")&lt;&gt;1,"",SUMIFS($M:$M,$C:$C,$C207,$D:$D,$D207,$E:$E,"P0(전)"))</f>
        <v/>
      </c>
      <c r="Q207" s="48">
        <f>IF(COUNTIFS($C:$C,$C207,$D:$D,$D207,$E:$E,"P0(후)",$M:$M,"&gt;0")&lt;&gt;1,"",SUMIFS($I:$I,$C:$C,$C207,$D:$D,$D207,$E:$E,"P0(후)"))</f>
        <v/>
      </c>
      <c r="R207" s="31">
        <f>IF(COUNTIFS($C:$C,$C207,$D:$D,$D207,$E:$E,"P0(후)",$M:$M,"&gt;0")&lt;&gt;1,"",SUMIFS($M:$M,$C:$C,$C207,$D:$D,$D207,$E:$E,"P0(후)"))</f>
        <v/>
      </c>
      <c r="S207" s="31">
        <f>IF(N207&lt;&gt;"OK","",P207+(R207-P207)*(I207-O207)/(Q207-O207))</f>
        <v/>
      </c>
      <c r="T207" s="31">
        <f>IF(OR(N207&lt;&gt;"OK",NOT(ISNUMBER(M207))),"",M207-S207)</f>
        <v/>
      </c>
      <c r="U207" s="49">
        <f>IF(OR(NOT(ISNUMBER(T207)),IF(ISNUMBER(H207),H207,G207)=0),"",T207/IF(ISNUMBER(H207),H207,G207))</f>
        <v/>
      </c>
      <c r="V207" s="49">
        <f>IF(ISNUMBER(U207),ABS(U207),"")</f>
        <v/>
      </c>
      <c r="W207" s="49">
        <f>IF(OR($E206&lt;&gt;"측정",$C206&lt;&gt;$C207,$D206&lt;&gt;$D207,NOT(ISNUMBER(M207)),NOT(ISNUMBER(M206)),(IF(ISNUMBER(H207),H207,G207)-IF(ISNUMBER(H206),H206,G206))=0),"",(M207-M206)/(IF(ISNUMBER(H207),H207,G207)-IF(ISNUMBER(H206),H206,G206)))</f>
        <v/>
      </c>
      <c r="X207" s="31">
        <f>IF(NOT(AND(ISNUMBER(O207),ISNUMBER(Q207))),"",(Q207-O207)*1440)</f>
        <v/>
      </c>
      <c r="Y207" s="29" t="n"/>
      <c r="Z207" s="29" t="n"/>
      <c r="AA207" s="29" t="n"/>
      <c r="AB207" s="32" t="n"/>
      <c r="AC207" s="32" t="n"/>
    </row>
    <row r="208">
      <c r="A208" s="26" t="inlineStr">
        <is>
          <t>S04</t>
        </is>
      </c>
      <c r="B208" s="26" t="inlineStr">
        <is>
          <t>진안 신규점1</t>
        </is>
      </c>
      <c r="C208" s="26" t="inlineStr">
        <is>
          <t>S04-H북</t>
        </is>
      </c>
      <c r="D208" s="47" t="n">
        <v>1</v>
      </c>
      <c r="E208" s="26" t="inlineStr">
        <is>
          <t>측정</t>
        </is>
      </c>
      <c r="F208" s="26" t="inlineStr">
        <is>
          <t>북</t>
        </is>
      </c>
      <c r="G208" s="31" t="n">
        <v>6</v>
      </c>
      <c r="H208" s="30" t="n"/>
      <c r="I208" s="43" t="n"/>
      <c r="J208" s="41" t="n"/>
      <c r="K208" s="41" t="n"/>
      <c r="L208" s="41" t="n"/>
      <c r="M208" s="31">
        <f>IF(COUNT(J208:L208)=0,"",MEDIAN(J208:L208))</f>
        <v/>
      </c>
      <c r="N208" s="26">
        <f>IF(COUNTIFS($C:$C,$C208,$D:$D,$D208,$E:$E,"P0(전)",$M:$M,"&gt;0")&lt;&gt;1,"P0(전) 유효 1개 아님",IF(COUNTIFS($C:$C,$C208,$D:$D,$D208,$E:$E,"P0(후)",$M:$M,"&gt;0")&lt;&gt;1,"P0(후) 유효 1개 아님",IF(NOT(AND(ISNUMBER(O208),ISNUMBER(Q208),ISNUMBER(I208))),"시각 결측",IF(Q208&lt;=O208,"P0 시각 역전",IF(OR(I208&lt;O208,I208&gt;Q208),"측정시각 구간 밖","OK")))))</f>
        <v/>
      </c>
      <c r="O208" s="48">
        <f>IF(COUNTIFS($C:$C,$C208,$D:$D,$D208,$E:$E,"P0(전)",$M:$M,"&gt;0")&lt;&gt;1,"",SUMIFS($I:$I,$C:$C,$C208,$D:$D,$D208,$E:$E,"P0(전)"))</f>
        <v/>
      </c>
      <c r="P208" s="31">
        <f>IF(COUNTIFS($C:$C,$C208,$D:$D,$D208,$E:$E,"P0(전)",$M:$M,"&gt;0")&lt;&gt;1,"",SUMIFS($M:$M,$C:$C,$C208,$D:$D,$D208,$E:$E,"P0(전)"))</f>
        <v/>
      </c>
      <c r="Q208" s="48">
        <f>IF(COUNTIFS($C:$C,$C208,$D:$D,$D208,$E:$E,"P0(후)",$M:$M,"&gt;0")&lt;&gt;1,"",SUMIFS($I:$I,$C:$C,$C208,$D:$D,$D208,$E:$E,"P0(후)"))</f>
        <v/>
      </c>
      <c r="R208" s="31">
        <f>IF(COUNTIFS($C:$C,$C208,$D:$D,$D208,$E:$E,"P0(후)",$M:$M,"&gt;0")&lt;&gt;1,"",SUMIFS($M:$M,$C:$C,$C208,$D:$D,$D208,$E:$E,"P0(후)"))</f>
        <v/>
      </c>
      <c r="S208" s="31">
        <f>IF(N208&lt;&gt;"OK","",P208+(R208-P208)*(I208-O208)/(Q208-O208))</f>
        <v/>
      </c>
      <c r="T208" s="31">
        <f>IF(OR(N208&lt;&gt;"OK",NOT(ISNUMBER(M208))),"",M208-S208)</f>
        <v/>
      </c>
      <c r="U208" s="49">
        <f>IF(OR(NOT(ISNUMBER(T208)),IF(ISNUMBER(H208),H208,G208)=0),"",T208/IF(ISNUMBER(H208),H208,G208))</f>
        <v/>
      </c>
      <c r="V208" s="49">
        <f>IF(ISNUMBER(U208),ABS(U208),"")</f>
        <v/>
      </c>
      <c r="W208" s="49">
        <f>IF(OR($E207&lt;&gt;"측정",$C207&lt;&gt;$C208,$D207&lt;&gt;$D208,NOT(ISNUMBER(M208)),NOT(ISNUMBER(M207)),(IF(ISNUMBER(H208),H208,G208)-IF(ISNUMBER(H207),H207,G207))=0),"",(M208-M207)/(IF(ISNUMBER(H208),H208,G208)-IF(ISNUMBER(H207),H207,G207)))</f>
        <v/>
      </c>
      <c r="X208" s="31">
        <f>IF(NOT(AND(ISNUMBER(O208),ISNUMBER(Q208))),"",(Q208-O208)*1440)</f>
        <v/>
      </c>
      <c r="Y208" s="29" t="n"/>
      <c r="Z208" s="29" t="n"/>
      <c r="AA208" s="29" t="n"/>
      <c r="AB208" s="32" t="n"/>
      <c r="AC208" s="32" t="n"/>
    </row>
    <row r="209">
      <c r="A209" s="26" t="inlineStr">
        <is>
          <t>S04</t>
        </is>
      </c>
      <c r="B209" s="26" t="inlineStr">
        <is>
          <t>진안 신규점1</t>
        </is>
      </c>
      <c r="C209" s="26" t="inlineStr">
        <is>
          <t>S04-H북</t>
        </is>
      </c>
      <c r="D209" s="47" t="n">
        <v>1</v>
      </c>
      <c r="E209" s="26" t="inlineStr">
        <is>
          <t>측정</t>
        </is>
      </c>
      <c r="F209" s="26" t="inlineStr">
        <is>
          <t>북</t>
        </is>
      </c>
      <c r="G209" s="31" t="n">
        <v>7</v>
      </c>
      <c r="H209" s="30" t="n"/>
      <c r="I209" s="43" t="n"/>
      <c r="J209" s="41" t="n"/>
      <c r="K209" s="41" t="n"/>
      <c r="L209" s="41" t="n"/>
      <c r="M209" s="31">
        <f>IF(COUNT(J209:L209)=0,"",MEDIAN(J209:L209))</f>
        <v/>
      </c>
      <c r="N209" s="26">
        <f>IF(COUNTIFS($C:$C,$C209,$D:$D,$D209,$E:$E,"P0(전)",$M:$M,"&gt;0")&lt;&gt;1,"P0(전) 유효 1개 아님",IF(COUNTIFS($C:$C,$C209,$D:$D,$D209,$E:$E,"P0(후)",$M:$M,"&gt;0")&lt;&gt;1,"P0(후) 유효 1개 아님",IF(NOT(AND(ISNUMBER(O209),ISNUMBER(Q209),ISNUMBER(I209))),"시각 결측",IF(Q209&lt;=O209,"P0 시각 역전",IF(OR(I209&lt;O209,I209&gt;Q209),"측정시각 구간 밖","OK")))))</f>
        <v/>
      </c>
      <c r="O209" s="48">
        <f>IF(COUNTIFS($C:$C,$C209,$D:$D,$D209,$E:$E,"P0(전)",$M:$M,"&gt;0")&lt;&gt;1,"",SUMIFS($I:$I,$C:$C,$C209,$D:$D,$D209,$E:$E,"P0(전)"))</f>
        <v/>
      </c>
      <c r="P209" s="31">
        <f>IF(COUNTIFS($C:$C,$C209,$D:$D,$D209,$E:$E,"P0(전)",$M:$M,"&gt;0")&lt;&gt;1,"",SUMIFS($M:$M,$C:$C,$C209,$D:$D,$D209,$E:$E,"P0(전)"))</f>
        <v/>
      </c>
      <c r="Q209" s="48">
        <f>IF(COUNTIFS($C:$C,$C209,$D:$D,$D209,$E:$E,"P0(후)",$M:$M,"&gt;0")&lt;&gt;1,"",SUMIFS($I:$I,$C:$C,$C209,$D:$D,$D209,$E:$E,"P0(후)"))</f>
        <v/>
      </c>
      <c r="R209" s="31">
        <f>IF(COUNTIFS($C:$C,$C209,$D:$D,$D209,$E:$E,"P0(후)",$M:$M,"&gt;0")&lt;&gt;1,"",SUMIFS($M:$M,$C:$C,$C209,$D:$D,$D209,$E:$E,"P0(후)"))</f>
        <v/>
      </c>
      <c r="S209" s="31">
        <f>IF(N209&lt;&gt;"OK","",P209+(R209-P209)*(I209-O209)/(Q209-O209))</f>
        <v/>
      </c>
      <c r="T209" s="31">
        <f>IF(OR(N209&lt;&gt;"OK",NOT(ISNUMBER(M209))),"",M209-S209)</f>
        <v/>
      </c>
      <c r="U209" s="49">
        <f>IF(OR(NOT(ISNUMBER(T209)),IF(ISNUMBER(H209),H209,G209)=0),"",T209/IF(ISNUMBER(H209),H209,G209))</f>
        <v/>
      </c>
      <c r="V209" s="49">
        <f>IF(ISNUMBER(U209),ABS(U209),"")</f>
        <v/>
      </c>
      <c r="W209" s="49">
        <f>IF(OR($E208&lt;&gt;"측정",$C208&lt;&gt;$C209,$D208&lt;&gt;$D209,NOT(ISNUMBER(M209)),NOT(ISNUMBER(M208)),(IF(ISNUMBER(H209),H209,G209)-IF(ISNUMBER(H208),H208,G208))=0),"",(M209-M208)/(IF(ISNUMBER(H209),H209,G209)-IF(ISNUMBER(H208),H208,G208)))</f>
        <v/>
      </c>
      <c r="X209" s="31">
        <f>IF(NOT(AND(ISNUMBER(O209),ISNUMBER(Q209))),"",(Q209-O209)*1440)</f>
        <v/>
      </c>
      <c r="Y209" s="29" t="n"/>
      <c r="Z209" s="29" t="n"/>
      <c r="AA209" s="29" t="n"/>
      <c r="AB209" s="32" t="n"/>
      <c r="AC209" s="32" t="n"/>
    </row>
    <row r="210">
      <c r="A210" s="26" t="inlineStr">
        <is>
          <t>S04</t>
        </is>
      </c>
      <c r="B210" s="26" t="inlineStr">
        <is>
          <t>진안 신규점1</t>
        </is>
      </c>
      <c r="C210" s="26" t="inlineStr">
        <is>
          <t>S04-H북</t>
        </is>
      </c>
      <c r="D210" s="47" t="n">
        <v>1</v>
      </c>
      <c r="E210" s="26" t="inlineStr">
        <is>
          <t>측정</t>
        </is>
      </c>
      <c r="F210" s="26" t="inlineStr">
        <is>
          <t>북</t>
        </is>
      </c>
      <c r="G210" s="31" t="n">
        <v>8</v>
      </c>
      <c r="H210" s="30" t="n"/>
      <c r="I210" s="43" t="n"/>
      <c r="J210" s="41" t="n"/>
      <c r="K210" s="41" t="n"/>
      <c r="L210" s="41" t="n"/>
      <c r="M210" s="31">
        <f>IF(COUNT(J210:L210)=0,"",MEDIAN(J210:L210))</f>
        <v/>
      </c>
      <c r="N210" s="26">
        <f>IF(COUNTIFS($C:$C,$C210,$D:$D,$D210,$E:$E,"P0(전)",$M:$M,"&gt;0")&lt;&gt;1,"P0(전) 유효 1개 아님",IF(COUNTIFS($C:$C,$C210,$D:$D,$D210,$E:$E,"P0(후)",$M:$M,"&gt;0")&lt;&gt;1,"P0(후) 유효 1개 아님",IF(NOT(AND(ISNUMBER(O210),ISNUMBER(Q210),ISNUMBER(I210))),"시각 결측",IF(Q210&lt;=O210,"P0 시각 역전",IF(OR(I210&lt;O210,I210&gt;Q210),"측정시각 구간 밖","OK")))))</f>
        <v/>
      </c>
      <c r="O210" s="48">
        <f>IF(COUNTIFS($C:$C,$C210,$D:$D,$D210,$E:$E,"P0(전)",$M:$M,"&gt;0")&lt;&gt;1,"",SUMIFS($I:$I,$C:$C,$C210,$D:$D,$D210,$E:$E,"P0(전)"))</f>
        <v/>
      </c>
      <c r="P210" s="31">
        <f>IF(COUNTIFS($C:$C,$C210,$D:$D,$D210,$E:$E,"P0(전)",$M:$M,"&gt;0")&lt;&gt;1,"",SUMIFS($M:$M,$C:$C,$C210,$D:$D,$D210,$E:$E,"P0(전)"))</f>
        <v/>
      </c>
      <c r="Q210" s="48">
        <f>IF(COUNTIFS($C:$C,$C210,$D:$D,$D210,$E:$E,"P0(후)",$M:$M,"&gt;0")&lt;&gt;1,"",SUMIFS($I:$I,$C:$C,$C210,$D:$D,$D210,$E:$E,"P0(후)"))</f>
        <v/>
      </c>
      <c r="R210" s="31">
        <f>IF(COUNTIFS($C:$C,$C210,$D:$D,$D210,$E:$E,"P0(후)",$M:$M,"&gt;0")&lt;&gt;1,"",SUMIFS($M:$M,$C:$C,$C210,$D:$D,$D210,$E:$E,"P0(후)"))</f>
        <v/>
      </c>
      <c r="S210" s="31">
        <f>IF(N210&lt;&gt;"OK","",P210+(R210-P210)*(I210-O210)/(Q210-O210))</f>
        <v/>
      </c>
      <c r="T210" s="31">
        <f>IF(OR(N210&lt;&gt;"OK",NOT(ISNUMBER(M210))),"",M210-S210)</f>
        <v/>
      </c>
      <c r="U210" s="49">
        <f>IF(OR(NOT(ISNUMBER(T210)),IF(ISNUMBER(H210),H210,G210)=0),"",T210/IF(ISNUMBER(H210),H210,G210))</f>
        <v/>
      </c>
      <c r="V210" s="49">
        <f>IF(ISNUMBER(U210),ABS(U210),"")</f>
        <v/>
      </c>
      <c r="W210" s="49">
        <f>IF(OR($E209&lt;&gt;"측정",$C209&lt;&gt;$C210,$D209&lt;&gt;$D210,NOT(ISNUMBER(M210)),NOT(ISNUMBER(M209)),(IF(ISNUMBER(H210),H210,G210)-IF(ISNUMBER(H209),H209,G209))=0),"",(M210-M209)/(IF(ISNUMBER(H210),H210,G210)-IF(ISNUMBER(H209),H209,G209)))</f>
        <v/>
      </c>
      <c r="X210" s="31">
        <f>IF(NOT(AND(ISNUMBER(O210),ISNUMBER(Q210))),"",(Q210-O210)*1440)</f>
        <v/>
      </c>
      <c r="Y210" s="29" t="n"/>
      <c r="Z210" s="29" t="n"/>
      <c r="AA210" s="29" t="n"/>
      <c r="AB210" s="32" t="n"/>
      <c r="AC210" s="32" t="n"/>
    </row>
    <row r="211">
      <c r="A211" s="26" t="inlineStr">
        <is>
          <t>S04</t>
        </is>
      </c>
      <c r="B211" s="26" t="inlineStr">
        <is>
          <t>진안 신규점1</t>
        </is>
      </c>
      <c r="C211" s="26" t="inlineStr">
        <is>
          <t>S04-H북</t>
        </is>
      </c>
      <c r="D211" s="47" t="n">
        <v>1</v>
      </c>
      <c r="E211" s="26" t="inlineStr">
        <is>
          <t>측정</t>
        </is>
      </c>
      <c r="F211" s="26" t="inlineStr">
        <is>
          <t>북</t>
        </is>
      </c>
      <c r="G211" s="31" t="n">
        <v>9</v>
      </c>
      <c r="H211" s="30" t="n"/>
      <c r="I211" s="43" t="n"/>
      <c r="J211" s="41" t="n"/>
      <c r="K211" s="41" t="n"/>
      <c r="L211" s="41" t="n"/>
      <c r="M211" s="31">
        <f>IF(COUNT(J211:L211)=0,"",MEDIAN(J211:L211))</f>
        <v/>
      </c>
      <c r="N211" s="26">
        <f>IF(COUNTIFS($C:$C,$C211,$D:$D,$D211,$E:$E,"P0(전)",$M:$M,"&gt;0")&lt;&gt;1,"P0(전) 유효 1개 아님",IF(COUNTIFS($C:$C,$C211,$D:$D,$D211,$E:$E,"P0(후)",$M:$M,"&gt;0")&lt;&gt;1,"P0(후) 유효 1개 아님",IF(NOT(AND(ISNUMBER(O211),ISNUMBER(Q211),ISNUMBER(I211))),"시각 결측",IF(Q211&lt;=O211,"P0 시각 역전",IF(OR(I211&lt;O211,I211&gt;Q211),"측정시각 구간 밖","OK")))))</f>
        <v/>
      </c>
      <c r="O211" s="48">
        <f>IF(COUNTIFS($C:$C,$C211,$D:$D,$D211,$E:$E,"P0(전)",$M:$M,"&gt;0")&lt;&gt;1,"",SUMIFS($I:$I,$C:$C,$C211,$D:$D,$D211,$E:$E,"P0(전)"))</f>
        <v/>
      </c>
      <c r="P211" s="31">
        <f>IF(COUNTIFS($C:$C,$C211,$D:$D,$D211,$E:$E,"P0(전)",$M:$M,"&gt;0")&lt;&gt;1,"",SUMIFS($M:$M,$C:$C,$C211,$D:$D,$D211,$E:$E,"P0(전)"))</f>
        <v/>
      </c>
      <c r="Q211" s="48">
        <f>IF(COUNTIFS($C:$C,$C211,$D:$D,$D211,$E:$E,"P0(후)",$M:$M,"&gt;0")&lt;&gt;1,"",SUMIFS($I:$I,$C:$C,$C211,$D:$D,$D211,$E:$E,"P0(후)"))</f>
        <v/>
      </c>
      <c r="R211" s="31">
        <f>IF(COUNTIFS($C:$C,$C211,$D:$D,$D211,$E:$E,"P0(후)",$M:$M,"&gt;0")&lt;&gt;1,"",SUMIFS($M:$M,$C:$C,$C211,$D:$D,$D211,$E:$E,"P0(후)"))</f>
        <v/>
      </c>
      <c r="S211" s="31">
        <f>IF(N211&lt;&gt;"OK","",P211+(R211-P211)*(I211-O211)/(Q211-O211))</f>
        <v/>
      </c>
      <c r="T211" s="31">
        <f>IF(OR(N211&lt;&gt;"OK",NOT(ISNUMBER(M211))),"",M211-S211)</f>
        <v/>
      </c>
      <c r="U211" s="49">
        <f>IF(OR(NOT(ISNUMBER(T211)),IF(ISNUMBER(H211),H211,G211)=0),"",T211/IF(ISNUMBER(H211),H211,G211))</f>
        <v/>
      </c>
      <c r="V211" s="49">
        <f>IF(ISNUMBER(U211),ABS(U211),"")</f>
        <v/>
      </c>
      <c r="W211" s="49">
        <f>IF(OR($E210&lt;&gt;"측정",$C210&lt;&gt;$C211,$D210&lt;&gt;$D211,NOT(ISNUMBER(M211)),NOT(ISNUMBER(M210)),(IF(ISNUMBER(H211),H211,G211)-IF(ISNUMBER(H210),H210,G210))=0),"",(M211-M210)/(IF(ISNUMBER(H211),H211,G211)-IF(ISNUMBER(H210),H210,G210)))</f>
        <v/>
      </c>
      <c r="X211" s="31">
        <f>IF(NOT(AND(ISNUMBER(O211),ISNUMBER(Q211))),"",(Q211-O211)*1440)</f>
        <v/>
      </c>
      <c r="Y211" s="29" t="n"/>
      <c r="Z211" s="29" t="n"/>
      <c r="AA211" s="29" t="n"/>
      <c r="AB211" s="32" t="n"/>
      <c r="AC211" s="32" t="n"/>
    </row>
    <row r="212">
      <c r="A212" s="26" t="inlineStr">
        <is>
          <t>S04</t>
        </is>
      </c>
      <c r="B212" s="26" t="inlineStr">
        <is>
          <t>진안 신규점1</t>
        </is>
      </c>
      <c r="C212" s="26" t="inlineStr">
        <is>
          <t>S04-H북</t>
        </is>
      </c>
      <c r="D212" s="47" t="n">
        <v>1</v>
      </c>
      <c r="E212" s="26" t="inlineStr">
        <is>
          <t>측정</t>
        </is>
      </c>
      <c r="F212" s="26" t="inlineStr">
        <is>
          <t>북</t>
        </is>
      </c>
      <c r="G212" s="31" t="n">
        <v>10</v>
      </c>
      <c r="H212" s="30" t="n"/>
      <c r="I212" s="43" t="n"/>
      <c r="J212" s="41" t="n"/>
      <c r="K212" s="41" t="n"/>
      <c r="L212" s="41" t="n"/>
      <c r="M212" s="31">
        <f>IF(COUNT(J212:L212)=0,"",MEDIAN(J212:L212))</f>
        <v/>
      </c>
      <c r="N212" s="26">
        <f>IF(COUNTIFS($C:$C,$C212,$D:$D,$D212,$E:$E,"P0(전)",$M:$M,"&gt;0")&lt;&gt;1,"P0(전) 유효 1개 아님",IF(COUNTIFS($C:$C,$C212,$D:$D,$D212,$E:$E,"P0(후)",$M:$M,"&gt;0")&lt;&gt;1,"P0(후) 유효 1개 아님",IF(NOT(AND(ISNUMBER(O212),ISNUMBER(Q212),ISNUMBER(I212))),"시각 결측",IF(Q212&lt;=O212,"P0 시각 역전",IF(OR(I212&lt;O212,I212&gt;Q212),"측정시각 구간 밖","OK")))))</f>
        <v/>
      </c>
      <c r="O212" s="48">
        <f>IF(COUNTIFS($C:$C,$C212,$D:$D,$D212,$E:$E,"P0(전)",$M:$M,"&gt;0")&lt;&gt;1,"",SUMIFS($I:$I,$C:$C,$C212,$D:$D,$D212,$E:$E,"P0(전)"))</f>
        <v/>
      </c>
      <c r="P212" s="31">
        <f>IF(COUNTIFS($C:$C,$C212,$D:$D,$D212,$E:$E,"P0(전)",$M:$M,"&gt;0")&lt;&gt;1,"",SUMIFS($M:$M,$C:$C,$C212,$D:$D,$D212,$E:$E,"P0(전)"))</f>
        <v/>
      </c>
      <c r="Q212" s="48">
        <f>IF(COUNTIFS($C:$C,$C212,$D:$D,$D212,$E:$E,"P0(후)",$M:$M,"&gt;0")&lt;&gt;1,"",SUMIFS($I:$I,$C:$C,$C212,$D:$D,$D212,$E:$E,"P0(후)"))</f>
        <v/>
      </c>
      <c r="R212" s="31">
        <f>IF(COUNTIFS($C:$C,$C212,$D:$D,$D212,$E:$E,"P0(후)",$M:$M,"&gt;0")&lt;&gt;1,"",SUMIFS($M:$M,$C:$C,$C212,$D:$D,$D212,$E:$E,"P0(후)"))</f>
        <v/>
      </c>
      <c r="S212" s="31">
        <f>IF(N212&lt;&gt;"OK","",P212+(R212-P212)*(I212-O212)/(Q212-O212))</f>
        <v/>
      </c>
      <c r="T212" s="31">
        <f>IF(OR(N212&lt;&gt;"OK",NOT(ISNUMBER(M212))),"",M212-S212)</f>
        <v/>
      </c>
      <c r="U212" s="49">
        <f>IF(OR(NOT(ISNUMBER(T212)),IF(ISNUMBER(H212),H212,G212)=0),"",T212/IF(ISNUMBER(H212),H212,G212))</f>
        <v/>
      </c>
      <c r="V212" s="49">
        <f>IF(ISNUMBER(U212),ABS(U212),"")</f>
        <v/>
      </c>
      <c r="W212" s="49">
        <f>IF(OR($E211&lt;&gt;"측정",$C211&lt;&gt;$C212,$D211&lt;&gt;$D212,NOT(ISNUMBER(M212)),NOT(ISNUMBER(M211)),(IF(ISNUMBER(H212),H212,G212)-IF(ISNUMBER(H211),H211,G211))=0),"",(M212-M211)/(IF(ISNUMBER(H212),H212,G212)-IF(ISNUMBER(H211),H211,G211)))</f>
        <v/>
      </c>
      <c r="X212" s="31">
        <f>IF(NOT(AND(ISNUMBER(O212),ISNUMBER(Q212))),"",(Q212-O212)*1440)</f>
        <v/>
      </c>
      <c r="Y212" s="29" t="n"/>
      <c r="Z212" s="29" t="n"/>
      <c r="AA212" s="29" t="n"/>
      <c r="AB212" s="32" t="n"/>
      <c r="AC212" s="32" t="n"/>
    </row>
    <row r="213">
      <c r="A213" s="44" t="inlineStr">
        <is>
          <t>S04</t>
        </is>
      </c>
      <c r="B213" s="44" t="inlineStr">
        <is>
          <t>진안 신규점1</t>
        </is>
      </c>
      <c r="C213" s="44" t="inlineStr">
        <is>
          <t>S04-H북</t>
        </is>
      </c>
      <c r="D213" s="45" t="n">
        <v>1</v>
      </c>
      <c r="E213" s="44" t="inlineStr">
        <is>
          <t>P0(후)</t>
        </is>
      </c>
      <c r="F213" s="44" t="inlineStr">
        <is>
          <t>북</t>
        </is>
      </c>
      <c r="G213" s="46" t="n"/>
      <c r="H213" s="30" t="n"/>
      <c r="I213" s="43" t="n"/>
      <c r="J213" s="41" t="n"/>
      <c r="K213" s="41" t="n"/>
      <c r="L213" s="41" t="n"/>
      <c r="M213" s="31">
        <f>IF(COUNT(J213:L213)=0,"",MEDIAN(J213:L213))</f>
        <v/>
      </c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29" t="n"/>
      <c r="Z213" s="29" t="n"/>
      <c r="AA213" s="29" t="n"/>
      <c r="AB213" s="32" t="n"/>
      <c r="AC213" s="32" t="n"/>
    </row>
    <row r="214">
      <c r="A214" s="44" t="inlineStr">
        <is>
          <t>S05</t>
        </is>
      </c>
      <c r="B214" s="44" t="inlineStr">
        <is>
          <t>무풍 신규점1</t>
        </is>
      </c>
      <c r="C214" s="44" t="inlineStr">
        <is>
          <t>S05-H동</t>
        </is>
      </c>
      <c r="D214" s="45" t="n">
        <v>1</v>
      </c>
      <c r="E214" s="44" t="inlineStr">
        <is>
          <t>P0(전)</t>
        </is>
      </c>
      <c r="F214" s="44" t="inlineStr">
        <is>
          <t>동</t>
        </is>
      </c>
      <c r="G214" s="46" t="n"/>
      <c r="H214" s="30" t="n"/>
      <c r="I214" s="43" t="n"/>
      <c r="J214" s="41" t="n"/>
      <c r="K214" s="41" t="n"/>
      <c r="L214" s="41" t="n"/>
      <c r="M214" s="31">
        <f>IF(COUNT(J214:L214)=0,"",MEDIAN(J214:L214))</f>
        <v/>
      </c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29" t="n"/>
      <c r="Z214" s="29" t="n"/>
      <c r="AA214" s="29" t="n"/>
      <c r="AB214" s="32" t="n"/>
      <c r="AC214" s="32" t="n"/>
    </row>
    <row r="215">
      <c r="A215" s="26" t="inlineStr">
        <is>
          <t>S05</t>
        </is>
      </c>
      <c r="B215" s="26" t="inlineStr">
        <is>
          <t>무풍 신규점1</t>
        </is>
      </c>
      <c r="C215" s="26" t="inlineStr">
        <is>
          <t>S05-H동</t>
        </is>
      </c>
      <c r="D215" s="47" t="n">
        <v>1</v>
      </c>
      <c r="E215" s="26" t="inlineStr">
        <is>
          <t>측정</t>
        </is>
      </c>
      <c r="F215" s="26" t="inlineStr">
        <is>
          <t>동</t>
        </is>
      </c>
      <c r="G215" s="31" t="n">
        <v>0.5</v>
      </c>
      <c r="H215" s="30" t="n"/>
      <c r="I215" s="43" t="n"/>
      <c r="J215" s="41" t="n"/>
      <c r="K215" s="41" t="n"/>
      <c r="L215" s="41" t="n"/>
      <c r="M215" s="31">
        <f>IF(COUNT(J215:L215)=0,"",MEDIAN(J215:L215))</f>
        <v/>
      </c>
      <c r="N215" s="26">
        <f>IF(COUNTIFS($C:$C,$C215,$D:$D,$D215,$E:$E,"P0(전)",$M:$M,"&gt;0")&lt;&gt;1,"P0(전) 유효 1개 아님",IF(COUNTIFS($C:$C,$C215,$D:$D,$D215,$E:$E,"P0(후)",$M:$M,"&gt;0")&lt;&gt;1,"P0(후) 유효 1개 아님",IF(NOT(AND(ISNUMBER(O215),ISNUMBER(Q215),ISNUMBER(I215))),"시각 결측",IF(Q215&lt;=O215,"P0 시각 역전",IF(OR(I215&lt;O215,I215&gt;Q215),"측정시각 구간 밖","OK")))))</f>
        <v/>
      </c>
      <c r="O215" s="48">
        <f>IF(COUNTIFS($C:$C,$C215,$D:$D,$D215,$E:$E,"P0(전)",$M:$M,"&gt;0")&lt;&gt;1,"",SUMIFS($I:$I,$C:$C,$C215,$D:$D,$D215,$E:$E,"P0(전)"))</f>
        <v/>
      </c>
      <c r="P215" s="31">
        <f>IF(COUNTIFS($C:$C,$C215,$D:$D,$D215,$E:$E,"P0(전)",$M:$M,"&gt;0")&lt;&gt;1,"",SUMIFS($M:$M,$C:$C,$C215,$D:$D,$D215,$E:$E,"P0(전)"))</f>
        <v/>
      </c>
      <c r="Q215" s="48">
        <f>IF(COUNTIFS($C:$C,$C215,$D:$D,$D215,$E:$E,"P0(후)",$M:$M,"&gt;0")&lt;&gt;1,"",SUMIFS($I:$I,$C:$C,$C215,$D:$D,$D215,$E:$E,"P0(후)"))</f>
        <v/>
      </c>
      <c r="R215" s="31">
        <f>IF(COUNTIFS($C:$C,$C215,$D:$D,$D215,$E:$E,"P0(후)",$M:$M,"&gt;0")&lt;&gt;1,"",SUMIFS($M:$M,$C:$C,$C215,$D:$D,$D215,$E:$E,"P0(후)"))</f>
        <v/>
      </c>
      <c r="S215" s="31">
        <f>IF(N215&lt;&gt;"OK","",P215+(R215-P215)*(I215-O215)/(Q215-O215))</f>
        <v/>
      </c>
      <c r="T215" s="31">
        <f>IF(OR(N215&lt;&gt;"OK",NOT(ISNUMBER(M215))),"",M215-S215)</f>
        <v/>
      </c>
      <c r="U215" s="49">
        <f>IF(OR(NOT(ISNUMBER(T215)),IF(ISNUMBER(H215),H215,G215)=0),"",T215/IF(ISNUMBER(H215),H215,G215))</f>
        <v/>
      </c>
      <c r="V215" s="49">
        <f>IF(ISNUMBER(U215),ABS(U215),"")</f>
        <v/>
      </c>
      <c r="W215" s="49">
        <f>IF(OR($E214&lt;&gt;"측정",$C214&lt;&gt;$C215,$D214&lt;&gt;$D215,NOT(ISNUMBER(M215)),NOT(ISNUMBER(M214)),(IF(ISNUMBER(H215),H215,G215)-IF(ISNUMBER(H214),H214,G214))=0),"",(M215-M214)/(IF(ISNUMBER(H215),H215,G215)-IF(ISNUMBER(H214),H214,G214)))</f>
        <v/>
      </c>
      <c r="X215" s="31">
        <f>IF(NOT(AND(ISNUMBER(O215),ISNUMBER(Q215))),"",(Q215-O215)*1440)</f>
        <v/>
      </c>
      <c r="Y215" s="29" t="n"/>
      <c r="Z215" s="29" t="n"/>
      <c r="AA215" s="29" t="n"/>
      <c r="AB215" s="32" t="n"/>
      <c r="AC215" s="32" t="n"/>
    </row>
    <row r="216">
      <c r="A216" s="26" t="inlineStr">
        <is>
          <t>S05</t>
        </is>
      </c>
      <c r="B216" s="26" t="inlineStr">
        <is>
          <t>무풍 신규점1</t>
        </is>
      </c>
      <c r="C216" s="26" t="inlineStr">
        <is>
          <t>S05-H동</t>
        </is>
      </c>
      <c r="D216" s="47" t="n">
        <v>1</v>
      </c>
      <c r="E216" s="26" t="inlineStr">
        <is>
          <t>측정</t>
        </is>
      </c>
      <c r="F216" s="26" t="inlineStr">
        <is>
          <t>동</t>
        </is>
      </c>
      <c r="G216" s="31" t="n">
        <v>1</v>
      </c>
      <c r="H216" s="30" t="n"/>
      <c r="I216" s="43" t="n"/>
      <c r="J216" s="41" t="n"/>
      <c r="K216" s="41" t="n"/>
      <c r="L216" s="41" t="n"/>
      <c r="M216" s="31">
        <f>IF(COUNT(J216:L216)=0,"",MEDIAN(J216:L216))</f>
        <v/>
      </c>
      <c r="N216" s="26">
        <f>IF(COUNTIFS($C:$C,$C216,$D:$D,$D216,$E:$E,"P0(전)",$M:$M,"&gt;0")&lt;&gt;1,"P0(전) 유효 1개 아님",IF(COUNTIFS($C:$C,$C216,$D:$D,$D216,$E:$E,"P0(후)",$M:$M,"&gt;0")&lt;&gt;1,"P0(후) 유효 1개 아님",IF(NOT(AND(ISNUMBER(O216),ISNUMBER(Q216),ISNUMBER(I216))),"시각 결측",IF(Q216&lt;=O216,"P0 시각 역전",IF(OR(I216&lt;O216,I216&gt;Q216),"측정시각 구간 밖","OK")))))</f>
        <v/>
      </c>
      <c r="O216" s="48">
        <f>IF(COUNTIFS($C:$C,$C216,$D:$D,$D216,$E:$E,"P0(전)",$M:$M,"&gt;0")&lt;&gt;1,"",SUMIFS($I:$I,$C:$C,$C216,$D:$D,$D216,$E:$E,"P0(전)"))</f>
        <v/>
      </c>
      <c r="P216" s="31">
        <f>IF(COUNTIFS($C:$C,$C216,$D:$D,$D216,$E:$E,"P0(전)",$M:$M,"&gt;0")&lt;&gt;1,"",SUMIFS($M:$M,$C:$C,$C216,$D:$D,$D216,$E:$E,"P0(전)"))</f>
        <v/>
      </c>
      <c r="Q216" s="48">
        <f>IF(COUNTIFS($C:$C,$C216,$D:$D,$D216,$E:$E,"P0(후)",$M:$M,"&gt;0")&lt;&gt;1,"",SUMIFS($I:$I,$C:$C,$C216,$D:$D,$D216,$E:$E,"P0(후)"))</f>
        <v/>
      </c>
      <c r="R216" s="31">
        <f>IF(COUNTIFS($C:$C,$C216,$D:$D,$D216,$E:$E,"P0(후)",$M:$M,"&gt;0")&lt;&gt;1,"",SUMIFS($M:$M,$C:$C,$C216,$D:$D,$D216,$E:$E,"P0(후)"))</f>
        <v/>
      </c>
      <c r="S216" s="31">
        <f>IF(N216&lt;&gt;"OK","",P216+(R216-P216)*(I216-O216)/(Q216-O216))</f>
        <v/>
      </c>
      <c r="T216" s="31">
        <f>IF(OR(N216&lt;&gt;"OK",NOT(ISNUMBER(M216))),"",M216-S216)</f>
        <v/>
      </c>
      <c r="U216" s="49">
        <f>IF(OR(NOT(ISNUMBER(T216)),IF(ISNUMBER(H216),H216,G216)=0),"",T216/IF(ISNUMBER(H216),H216,G216))</f>
        <v/>
      </c>
      <c r="V216" s="49">
        <f>IF(ISNUMBER(U216),ABS(U216),"")</f>
        <v/>
      </c>
      <c r="W216" s="49">
        <f>IF(OR($E215&lt;&gt;"측정",$C215&lt;&gt;$C216,$D215&lt;&gt;$D216,NOT(ISNUMBER(M216)),NOT(ISNUMBER(M215)),(IF(ISNUMBER(H216),H216,G216)-IF(ISNUMBER(H215),H215,G215))=0),"",(M216-M215)/(IF(ISNUMBER(H216),H216,G216)-IF(ISNUMBER(H215),H215,G215)))</f>
        <v/>
      </c>
      <c r="X216" s="31">
        <f>IF(NOT(AND(ISNUMBER(O216),ISNUMBER(Q216))),"",(Q216-O216)*1440)</f>
        <v/>
      </c>
      <c r="Y216" s="29" t="n"/>
      <c r="Z216" s="29" t="n"/>
      <c r="AA216" s="29" t="n"/>
      <c r="AB216" s="32" t="n"/>
      <c r="AC216" s="32" t="n"/>
    </row>
    <row r="217">
      <c r="A217" s="26" t="inlineStr">
        <is>
          <t>S05</t>
        </is>
      </c>
      <c r="B217" s="26" t="inlineStr">
        <is>
          <t>무풍 신규점1</t>
        </is>
      </c>
      <c r="C217" s="26" t="inlineStr">
        <is>
          <t>S05-H동</t>
        </is>
      </c>
      <c r="D217" s="47" t="n">
        <v>1</v>
      </c>
      <c r="E217" s="26" t="inlineStr">
        <is>
          <t>측정</t>
        </is>
      </c>
      <c r="F217" s="26" t="inlineStr">
        <is>
          <t>동</t>
        </is>
      </c>
      <c r="G217" s="31" t="n">
        <v>2</v>
      </c>
      <c r="H217" s="30" t="n"/>
      <c r="I217" s="43" t="n"/>
      <c r="J217" s="41" t="n"/>
      <c r="K217" s="41" t="n"/>
      <c r="L217" s="41" t="n"/>
      <c r="M217" s="31">
        <f>IF(COUNT(J217:L217)=0,"",MEDIAN(J217:L217))</f>
        <v/>
      </c>
      <c r="N217" s="26">
        <f>IF(COUNTIFS($C:$C,$C217,$D:$D,$D217,$E:$E,"P0(전)",$M:$M,"&gt;0")&lt;&gt;1,"P0(전) 유효 1개 아님",IF(COUNTIFS($C:$C,$C217,$D:$D,$D217,$E:$E,"P0(후)",$M:$M,"&gt;0")&lt;&gt;1,"P0(후) 유효 1개 아님",IF(NOT(AND(ISNUMBER(O217),ISNUMBER(Q217),ISNUMBER(I217))),"시각 결측",IF(Q217&lt;=O217,"P0 시각 역전",IF(OR(I217&lt;O217,I217&gt;Q217),"측정시각 구간 밖","OK")))))</f>
        <v/>
      </c>
      <c r="O217" s="48">
        <f>IF(COUNTIFS($C:$C,$C217,$D:$D,$D217,$E:$E,"P0(전)",$M:$M,"&gt;0")&lt;&gt;1,"",SUMIFS($I:$I,$C:$C,$C217,$D:$D,$D217,$E:$E,"P0(전)"))</f>
        <v/>
      </c>
      <c r="P217" s="31">
        <f>IF(COUNTIFS($C:$C,$C217,$D:$D,$D217,$E:$E,"P0(전)",$M:$M,"&gt;0")&lt;&gt;1,"",SUMIFS($M:$M,$C:$C,$C217,$D:$D,$D217,$E:$E,"P0(전)"))</f>
        <v/>
      </c>
      <c r="Q217" s="48">
        <f>IF(COUNTIFS($C:$C,$C217,$D:$D,$D217,$E:$E,"P0(후)",$M:$M,"&gt;0")&lt;&gt;1,"",SUMIFS($I:$I,$C:$C,$C217,$D:$D,$D217,$E:$E,"P0(후)"))</f>
        <v/>
      </c>
      <c r="R217" s="31">
        <f>IF(COUNTIFS($C:$C,$C217,$D:$D,$D217,$E:$E,"P0(후)",$M:$M,"&gt;0")&lt;&gt;1,"",SUMIFS($M:$M,$C:$C,$C217,$D:$D,$D217,$E:$E,"P0(후)"))</f>
        <v/>
      </c>
      <c r="S217" s="31">
        <f>IF(N217&lt;&gt;"OK","",P217+(R217-P217)*(I217-O217)/(Q217-O217))</f>
        <v/>
      </c>
      <c r="T217" s="31">
        <f>IF(OR(N217&lt;&gt;"OK",NOT(ISNUMBER(M217))),"",M217-S217)</f>
        <v/>
      </c>
      <c r="U217" s="49">
        <f>IF(OR(NOT(ISNUMBER(T217)),IF(ISNUMBER(H217),H217,G217)=0),"",T217/IF(ISNUMBER(H217),H217,G217))</f>
        <v/>
      </c>
      <c r="V217" s="49">
        <f>IF(ISNUMBER(U217),ABS(U217),"")</f>
        <v/>
      </c>
      <c r="W217" s="49">
        <f>IF(OR($E216&lt;&gt;"측정",$C216&lt;&gt;$C217,$D216&lt;&gt;$D217,NOT(ISNUMBER(M217)),NOT(ISNUMBER(M216)),(IF(ISNUMBER(H217),H217,G217)-IF(ISNUMBER(H216),H216,G216))=0),"",(M217-M216)/(IF(ISNUMBER(H217),H217,G217)-IF(ISNUMBER(H216),H216,G216)))</f>
        <v/>
      </c>
      <c r="X217" s="31">
        <f>IF(NOT(AND(ISNUMBER(O217),ISNUMBER(Q217))),"",(Q217-O217)*1440)</f>
        <v/>
      </c>
      <c r="Y217" s="29" t="n"/>
      <c r="Z217" s="29" t="n"/>
      <c r="AA217" s="29" t="n"/>
      <c r="AB217" s="32" t="n"/>
      <c r="AC217" s="32" t="n"/>
    </row>
    <row r="218">
      <c r="A218" s="26" t="inlineStr">
        <is>
          <t>S05</t>
        </is>
      </c>
      <c r="B218" s="26" t="inlineStr">
        <is>
          <t>무풍 신규점1</t>
        </is>
      </c>
      <c r="C218" s="26" t="inlineStr">
        <is>
          <t>S05-H동</t>
        </is>
      </c>
      <c r="D218" s="47" t="n">
        <v>1</v>
      </c>
      <c r="E218" s="26" t="inlineStr">
        <is>
          <t>측정</t>
        </is>
      </c>
      <c r="F218" s="26" t="inlineStr">
        <is>
          <t>동</t>
        </is>
      </c>
      <c r="G218" s="31" t="n">
        <v>3</v>
      </c>
      <c r="H218" s="30" t="n"/>
      <c r="I218" s="43" t="n"/>
      <c r="J218" s="41" t="n"/>
      <c r="K218" s="41" t="n"/>
      <c r="L218" s="41" t="n"/>
      <c r="M218" s="31">
        <f>IF(COUNT(J218:L218)=0,"",MEDIAN(J218:L218))</f>
        <v/>
      </c>
      <c r="N218" s="26">
        <f>IF(COUNTIFS($C:$C,$C218,$D:$D,$D218,$E:$E,"P0(전)",$M:$M,"&gt;0")&lt;&gt;1,"P0(전) 유효 1개 아님",IF(COUNTIFS($C:$C,$C218,$D:$D,$D218,$E:$E,"P0(후)",$M:$M,"&gt;0")&lt;&gt;1,"P0(후) 유효 1개 아님",IF(NOT(AND(ISNUMBER(O218),ISNUMBER(Q218),ISNUMBER(I218))),"시각 결측",IF(Q218&lt;=O218,"P0 시각 역전",IF(OR(I218&lt;O218,I218&gt;Q218),"측정시각 구간 밖","OK")))))</f>
        <v/>
      </c>
      <c r="O218" s="48">
        <f>IF(COUNTIFS($C:$C,$C218,$D:$D,$D218,$E:$E,"P0(전)",$M:$M,"&gt;0")&lt;&gt;1,"",SUMIFS($I:$I,$C:$C,$C218,$D:$D,$D218,$E:$E,"P0(전)"))</f>
        <v/>
      </c>
      <c r="P218" s="31">
        <f>IF(COUNTIFS($C:$C,$C218,$D:$D,$D218,$E:$E,"P0(전)",$M:$M,"&gt;0")&lt;&gt;1,"",SUMIFS($M:$M,$C:$C,$C218,$D:$D,$D218,$E:$E,"P0(전)"))</f>
        <v/>
      </c>
      <c r="Q218" s="48">
        <f>IF(COUNTIFS($C:$C,$C218,$D:$D,$D218,$E:$E,"P0(후)",$M:$M,"&gt;0")&lt;&gt;1,"",SUMIFS($I:$I,$C:$C,$C218,$D:$D,$D218,$E:$E,"P0(후)"))</f>
        <v/>
      </c>
      <c r="R218" s="31">
        <f>IF(COUNTIFS($C:$C,$C218,$D:$D,$D218,$E:$E,"P0(후)",$M:$M,"&gt;0")&lt;&gt;1,"",SUMIFS($M:$M,$C:$C,$C218,$D:$D,$D218,$E:$E,"P0(후)"))</f>
        <v/>
      </c>
      <c r="S218" s="31">
        <f>IF(N218&lt;&gt;"OK","",P218+(R218-P218)*(I218-O218)/(Q218-O218))</f>
        <v/>
      </c>
      <c r="T218" s="31">
        <f>IF(OR(N218&lt;&gt;"OK",NOT(ISNUMBER(M218))),"",M218-S218)</f>
        <v/>
      </c>
      <c r="U218" s="49">
        <f>IF(OR(NOT(ISNUMBER(T218)),IF(ISNUMBER(H218),H218,G218)=0),"",T218/IF(ISNUMBER(H218),H218,G218))</f>
        <v/>
      </c>
      <c r="V218" s="49">
        <f>IF(ISNUMBER(U218),ABS(U218),"")</f>
        <v/>
      </c>
      <c r="W218" s="49">
        <f>IF(OR($E217&lt;&gt;"측정",$C217&lt;&gt;$C218,$D217&lt;&gt;$D218,NOT(ISNUMBER(M218)),NOT(ISNUMBER(M217)),(IF(ISNUMBER(H218),H218,G218)-IF(ISNUMBER(H217),H217,G217))=0),"",(M218-M217)/(IF(ISNUMBER(H218),H218,G218)-IF(ISNUMBER(H217),H217,G217)))</f>
        <v/>
      </c>
      <c r="X218" s="31">
        <f>IF(NOT(AND(ISNUMBER(O218),ISNUMBER(Q218))),"",(Q218-O218)*1440)</f>
        <v/>
      </c>
      <c r="Y218" s="29" t="n"/>
      <c r="Z218" s="29" t="n"/>
      <c r="AA218" s="29" t="n"/>
      <c r="AB218" s="32" t="n"/>
      <c r="AC218" s="32" t="n"/>
    </row>
    <row r="219">
      <c r="A219" s="26" t="inlineStr">
        <is>
          <t>S05</t>
        </is>
      </c>
      <c r="B219" s="26" t="inlineStr">
        <is>
          <t>무풍 신규점1</t>
        </is>
      </c>
      <c r="C219" s="26" t="inlineStr">
        <is>
          <t>S05-H동</t>
        </is>
      </c>
      <c r="D219" s="47" t="n">
        <v>1</v>
      </c>
      <c r="E219" s="26" t="inlineStr">
        <is>
          <t>측정</t>
        </is>
      </c>
      <c r="F219" s="26" t="inlineStr">
        <is>
          <t>동</t>
        </is>
      </c>
      <c r="G219" s="31" t="n">
        <v>4</v>
      </c>
      <c r="H219" s="30" t="n"/>
      <c r="I219" s="43" t="n"/>
      <c r="J219" s="41" t="n"/>
      <c r="K219" s="41" t="n"/>
      <c r="L219" s="41" t="n"/>
      <c r="M219" s="31">
        <f>IF(COUNT(J219:L219)=0,"",MEDIAN(J219:L219))</f>
        <v/>
      </c>
      <c r="N219" s="26">
        <f>IF(COUNTIFS($C:$C,$C219,$D:$D,$D219,$E:$E,"P0(전)",$M:$M,"&gt;0")&lt;&gt;1,"P0(전) 유효 1개 아님",IF(COUNTIFS($C:$C,$C219,$D:$D,$D219,$E:$E,"P0(후)",$M:$M,"&gt;0")&lt;&gt;1,"P0(후) 유효 1개 아님",IF(NOT(AND(ISNUMBER(O219),ISNUMBER(Q219),ISNUMBER(I219))),"시각 결측",IF(Q219&lt;=O219,"P0 시각 역전",IF(OR(I219&lt;O219,I219&gt;Q219),"측정시각 구간 밖","OK")))))</f>
        <v/>
      </c>
      <c r="O219" s="48">
        <f>IF(COUNTIFS($C:$C,$C219,$D:$D,$D219,$E:$E,"P0(전)",$M:$M,"&gt;0")&lt;&gt;1,"",SUMIFS($I:$I,$C:$C,$C219,$D:$D,$D219,$E:$E,"P0(전)"))</f>
        <v/>
      </c>
      <c r="P219" s="31">
        <f>IF(COUNTIFS($C:$C,$C219,$D:$D,$D219,$E:$E,"P0(전)",$M:$M,"&gt;0")&lt;&gt;1,"",SUMIFS($M:$M,$C:$C,$C219,$D:$D,$D219,$E:$E,"P0(전)"))</f>
        <v/>
      </c>
      <c r="Q219" s="48">
        <f>IF(COUNTIFS($C:$C,$C219,$D:$D,$D219,$E:$E,"P0(후)",$M:$M,"&gt;0")&lt;&gt;1,"",SUMIFS($I:$I,$C:$C,$C219,$D:$D,$D219,$E:$E,"P0(후)"))</f>
        <v/>
      </c>
      <c r="R219" s="31">
        <f>IF(COUNTIFS($C:$C,$C219,$D:$D,$D219,$E:$E,"P0(후)",$M:$M,"&gt;0")&lt;&gt;1,"",SUMIFS($M:$M,$C:$C,$C219,$D:$D,$D219,$E:$E,"P0(후)"))</f>
        <v/>
      </c>
      <c r="S219" s="31">
        <f>IF(N219&lt;&gt;"OK","",P219+(R219-P219)*(I219-O219)/(Q219-O219))</f>
        <v/>
      </c>
      <c r="T219" s="31">
        <f>IF(OR(N219&lt;&gt;"OK",NOT(ISNUMBER(M219))),"",M219-S219)</f>
        <v/>
      </c>
      <c r="U219" s="49">
        <f>IF(OR(NOT(ISNUMBER(T219)),IF(ISNUMBER(H219),H219,G219)=0),"",T219/IF(ISNUMBER(H219),H219,G219))</f>
        <v/>
      </c>
      <c r="V219" s="49">
        <f>IF(ISNUMBER(U219),ABS(U219),"")</f>
        <v/>
      </c>
      <c r="W219" s="49">
        <f>IF(OR($E218&lt;&gt;"측정",$C218&lt;&gt;$C219,$D218&lt;&gt;$D219,NOT(ISNUMBER(M219)),NOT(ISNUMBER(M218)),(IF(ISNUMBER(H219),H219,G219)-IF(ISNUMBER(H218),H218,G218))=0),"",(M219-M218)/(IF(ISNUMBER(H219),H219,G219)-IF(ISNUMBER(H218),H218,G218)))</f>
        <v/>
      </c>
      <c r="X219" s="31">
        <f>IF(NOT(AND(ISNUMBER(O219),ISNUMBER(Q219))),"",(Q219-O219)*1440)</f>
        <v/>
      </c>
      <c r="Y219" s="29" t="n"/>
      <c r="Z219" s="29" t="n"/>
      <c r="AA219" s="29" t="n"/>
      <c r="AB219" s="32" t="n"/>
      <c r="AC219" s="32" t="n"/>
    </row>
    <row r="220">
      <c r="A220" s="26" t="inlineStr">
        <is>
          <t>S05</t>
        </is>
      </c>
      <c r="B220" s="26" t="inlineStr">
        <is>
          <t>무풍 신규점1</t>
        </is>
      </c>
      <c r="C220" s="26" t="inlineStr">
        <is>
          <t>S05-H동</t>
        </is>
      </c>
      <c r="D220" s="47" t="n">
        <v>1</v>
      </c>
      <c r="E220" s="26" t="inlineStr">
        <is>
          <t>측정</t>
        </is>
      </c>
      <c r="F220" s="26" t="inlineStr">
        <is>
          <t>동</t>
        </is>
      </c>
      <c r="G220" s="31" t="n">
        <v>5</v>
      </c>
      <c r="H220" s="30" t="n"/>
      <c r="I220" s="43" t="n"/>
      <c r="J220" s="41" t="n"/>
      <c r="K220" s="41" t="n"/>
      <c r="L220" s="41" t="n"/>
      <c r="M220" s="31">
        <f>IF(COUNT(J220:L220)=0,"",MEDIAN(J220:L220))</f>
        <v/>
      </c>
      <c r="N220" s="26">
        <f>IF(COUNTIFS($C:$C,$C220,$D:$D,$D220,$E:$E,"P0(전)",$M:$M,"&gt;0")&lt;&gt;1,"P0(전) 유효 1개 아님",IF(COUNTIFS($C:$C,$C220,$D:$D,$D220,$E:$E,"P0(후)",$M:$M,"&gt;0")&lt;&gt;1,"P0(후) 유효 1개 아님",IF(NOT(AND(ISNUMBER(O220),ISNUMBER(Q220),ISNUMBER(I220))),"시각 결측",IF(Q220&lt;=O220,"P0 시각 역전",IF(OR(I220&lt;O220,I220&gt;Q220),"측정시각 구간 밖","OK")))))</f>
        <v/>
      </c>
      <c r="O220" s="48">
        <f>IF(COUNTIFS($C:$C,$C220,$D:$D,$D220,$E:$E,"P0(전)",$M:$M,"&gt;0")&lt;&gt;1,"",SUMIFS($I:$I,$C:$C,$C220,$D:$D,$D220,$E:$E,"P0(전)"))</f>
        <v/>
      </c>
      <c r="P220" s="31">
        <f>IF(COUNTIFS($C:$C,$C220,$D:$D,$D220,$E:$E,"P0(전)",$M:$M,"&gt;0")&lt;&gt;1,"",SUMIFS($M:$M,$C:$C,$C220,$D:$D,$D220,$E:$E,"P0(전)"))</f>
        <v/>
      </c>
      <c r="Q220" s="48">
        <f>IF(COUNTIFS($C:$C,$C220,$D:$D,$D220,$E:$E,"P0(후)",$M:$M,"&gt;0")&lt;&gt;1,"",SUMIFS($I:$I,$C:$C,$C220,$D:$D,$D220,$E:$E,"P0(후)"))</f>
        <v/>
      </c>
      <c r="R220" s="31">
        <f>IF(COUNTIFS($C:$C,$C220,$D:$D,$D220,$E:$E,"P0(후)",$M:$M,"&gt;0")&lt;&gt;1,"",SUMIFS($M:$M,$C:$C,$C220,$D:$D,$D220,$E:$E,"P0(후)"))</f>
        <v/>
      </c>
      <c r="S220" s="31">
        <f>IF(N220&lt;&gt;"OK","",P220+(R220-P220)*(I220-O220)/(Q220-O220))</f>
        <v/>
      </c>
      <c r="T220" s="31">
        <f>IF(OR(N220&lt;&gt;"OK",NOT(ISNUMBER(M220))),"",M220-S220)</f>
        <v/>
      </c>
      <c r="U220" s="49">
        <f>IF(OR(NOT(ISNUMBER(T220)),IF(ISNUMBER(H220),H220,G220)=0),"",T220/IF(ISNUMBER(H220),H220,G220))</f>
        <v/>
      </c>
      <c r="V220" s="49">
        <f>IF(ISNUMBER(U220),ABS(U220),"")</f>
        <v/>
      </c>
      <c r="W220" s="49">
        <f>IF(OR($E219&lt;&gt;"측정",$C219&lt;&gt;$C220,$D219&lt;&gt;$D220,NOT(ISNUMBER(M220)),NOT(ISNUMBER(M219)),(IF(ISNUMBER(H220),H220,G220)-IF(ISNUMBER(H219),H219,G219))=0),"",(M220-M219)/(IF(ISNUMBER(H220),H220,G220)-IF(ISNUMBER(H219),H219,G219)))</f>
        <v/>
      </c>
      <c r="X220" s="31">
        <f>IF(NOT(AND(ISNUMBER(O220),ISNUMBER(Q220))),"",(Q220-O220)*1440)</f>
        <v/>
      </c>
      <c r="Y220" s="29" t="n"/>
      <c r="Z220" s="29" t="n"/>
      <c r="AA220" s="29" t="n"/>
      <c r="AB220" s="32" t="n"/>
      <c r="AC220" s="32" t="n"/>
    </row>
    <row r="221">
      <c r="A221" s="26" t="inlineStr">
        <is>
          <t>S05</t>
        </is>
      </c>
      <c r="B221" s="26" t="inlineStr">
        <is>
          <t>무풍 신규점1</t>
        </is>
      </c>
      <c r="C221" s="26" t="inlineStr">
        <is>
          <t>S05-H동</t>
        </is>
      </c>
      <c r="D221" s="47" t="n">
        <v>1</v>
      </c>
      <c r="E221" s="26" t="inlineStr">
        <is>
          <t>측정</t>
        </is>
      </c>
      <c r="F221" s="26" t="inlineStr">
        <is>
          <t>동</t>
        </is>
      </c>
      <c r="G221" s="31" t="n">
        <v>6</v>
      </c>
      <c r="H221" s="30" t="n"/>
      <c r="I221" s="43" t="n"/>
      <c r="J221" s="41" t="n"/>
      <c r="K221" s="41" t="n"/>
      <c r="L221" s="41" t="n"/>
      <c r="M221" s="31">
        <f>IF(COUNT(J221:L221)=0,"",MEDIAN(J221:L221))</f>
        <v/>
      </c>
      <c r="N221" s="26">
        <f>IF(COUNTIFS($C:$C,$C221,$D:$D,$D221,$E:$E,"P0(전)",$M:$M,"&gt;0")&lt;&gt;1,"P0(전) 유효 1개 아님",IF(COUNTIFS($C:$C,$C221,$D:$D,$D221,$E:$E,"P0(후)",$M:$M,"&gt;0")&lt;&gt;1,"P0(후) 유효 1개 아님",IF(NOT(AND(ISNUMBER(O221),ISNUMBER(Q221),ISNUMBER(I221))),"시각 결측",IF(Q221&lt;=O221,"P0 시각 역전",IF(OR(I221&lt;O221,I221&gt;Q221),"측정시각 구간 밖","OK")))))</f>
        <v/>
      </c>
      <c r="O221" s="48">
        <f>IF(COUNTIFS($C:$C,$C221,$D:$D,$D221,$E:$E,"P0(전)",$M:$M,"&gt;0")&lt;&gt;1,"",SUMIFS($I:$I,$C:$C,$C221,$D:$D,$D221,$E:$E,"P0(전)"))</f>
        <v/>
      </c>
      <c r="P221" s="31">
        <f>IF(COUNTIFS($C:$C,$C221,$D:$D,$D221,$E:$E,"P0(전)",$M:$M,"&gt;0")&lt;&gt;1,"",SUMIFS($M:$M,$C:$C,$C221,$D:$D,$D221,$E:$E,"P0(전)"))</f>
        <v/>
      </c>
      <c r="Q221" s="48">
        <f>IF(COUNTIFS($C:$C,$C221,$D:$D,$D221,$E:$E,"P0(후)",$M:$M,"&gt;0")&lt;&gt;1,"",SUMIFS($I:$I,$C:$C,$C221,$D:$D,$D221,$E:$E,"P0(후)"))</f>
        <v/>
      </c>
      <c r="R221" s="31">
        <f>IF(COUNTIFS($C:$C,$C221,$D:$D,$D221,$E:$E,"P0(후)",$M:$M,"&gt;0")&lt;&gt;1,"",SUMIFS($M:$M,$C:$C,$C221,$D:$D,$D221,$E:$E,"P0(후)"))</f>
        <v/>
      </c>
      <c r="S221" s="31">
        <f>IF(N221&lt;&gt;"OK","",P221+(R221-P221)*(I221-O221)/(Q221-O221))</f>
        <v/>
      </c>
      <c r="T221" s="31">
        <f>IF(OR(N221&lt;&gt;"OK",NOT(ISNUMBER(M221))),"",M221-S221)</f>
        <v/>
      </c>
      <c r="U221" s="49">
        <f>IF(OR(NOT(ISNUMBER(T221)),IF(ISNUMBER(H221),H221,G221)=0),"",T221/IF(ISNUMBER(H221),H221,G221))</f>
        <v/>
      </c>
      <c r="V221" s="49">
        <f>IF(ISNUMBER(U221),ABS(U221),"")</f>
        <v/>
      </c>
      <c r="W221" s="49">
        <f>IF(OR($E220&lt;&gt;"측정",$C220&lt;&gt;$C221,$D220&lt;&gt;$D221,NOT(ISNUMBER(M221)),NOT(ISNUMBER(M220)),(IF(ISNUMBER(H221),H221,G221)-IF(ISNUMBER(H220),H220,G220))=0),"",(M221-M220)/(IF(ISNUMBER(H221),H221,G221)-IF(ISNUMBER(H220),H220,G220)))</f>
        <v/>
      </c>
      <c r="X221" s="31">
        <f>IF(NOT(AND(ISNUMBER(O221),ISNUMBER(Q221))),"",(Q221-O221)*1440)</f>
        <v/>
      </c>
      <c r="Y221" s="29" t="n"/>
      <c r="Z221" s="29" t="n"/>
      <c r="AA221" s="29" t="n"/>
      <c r="AB221" s="32" t="n"/>
      <c r="AC221" s="32" t="n"/>
    </row>
    <row r="222">
      <c r="A222" s="26" t="inlineStr">
        <is>
          <t>S05</t>
        </is>
      </c>
      <c r="B222" s="26" t="inlineStr">
        <is>
          <t>무풍 신규점1</t>
        </is>
      </c>
      <c r="C222" s="26" t="inlineStr">
        <is>
          <t>S05-H동</t>
        </is>
      </c>
      <c r="D222" s="47" t="n">
        <v>1</v>
      </c>
      <c r="E222" s="26" t="inlineStr">
        <is>
          <t>측정</t>
        </is>
      </c>
      <c r="F222" s="26" t="inlineStr">
        <is>
          <t>동</t>
        </is>
      </c>
      <c r="G222" s="31" t="n">
        <v>7</v>
      </c>
      <c r="H222" s="30" t="n"/>
      <c r="I222" s="43" t="n"/>
      <c r="J222" s="41" t="n"/>
      <c r="K222" s="41" t="n"/>
      <c r="L222" s="41" t="n"/>
      <c r="M222" s="31">
        <f>IF(COUNT(J222:L222)=0,"",MEDIAN(J222:L222))</f>
        <v/>
      </c>
      <c r="N222" s="26">
        <f>IF(COUNTIFS($C:$C,$C222,$D:$D,$D222,$E:$E,"P0(전)",$M:$M,"&gt;0")&lt;&gt;1,"P0(전) 유효 1개 아님",IF(COUNTIFS($C:$C,$C222,$D:$D,$D222,$E:$E,"P0(후)",$M:$M,"&gt;0")&lt;&gt;1,"P0(후) 유효 1개 아님",IF(NOT(AND(ISNUMBER(O222),ISNUMBER(Q222),ISNUMBER(I222))),"시각 결측",IF(Q222&lt;=O222,"P0 시각 역전",IF(OR(I222&lt;O222,I222&gt;Q222),"측정시각 구간 밖","OK")))))</f>
        <v/>
      </c>
      <c r="O222" s="48">
        <f>IF(COUNTIFS($C:$C,$C222,$D:$D,$D222,$E:$E,"P0(전)",$M:$M,"&gt;0")&lt;&gt;1,"",SUMIFS($I:$I,$C:$C,$C222,$D:$D,$D222,$E:$E,"P0(전)"))</f>
        <v/>
      </c>
      <c r="P222" s="31">
        <f>IF(COUNTIFS($C:$C,$C222,$D:$D,$D222,$E:$E,"P0(전)",$M:$M,"&gt;0")&lt;&gt;1,"",SUMIFS($M:$M,$C:$C,$C222,$D:$D,$D222,$E:$E,"P0(전)"))</f>
        <v/>
      </c>
      <c r="Q222" s="48">
        <f>IF(COUNTIFS($C:$C,$C222,$D:$D,$D222,$E:$E,"P0(후)",$M:$M,"&gt;0")&lt;&gt;1,"",SUMIFS($I:$I,$C:$C,$C222,$D:$D,$D222,$E:$E,"P0(후)"))</f>
        <v/>
      </c>
      <c r="R222" s="31">
        <f>IF(COUNTIFS($C:$C,$C222,$D:$D,$D222,$E:$E,"P0(후)",$M:$M,"&gt;0")&lt;&gt;1,"",SUMIFS($M:$M,$C:$C,$C222,$D:$D,$D222,$E:$E,"P0(후)"))</f>
        <v/>
      </c>
      <c r="S222" s="31">
        <f>IF(N222&lt;&gt;"OK","",P222+(R222-P222)*(I222-O222)/(Q222-O222))</f>
        <v/>
      </c>
      <c r="T222" s="31">
        <f>IF(OR(N222&lt;&gt;"OK",NOT(ISNUMBER(M222))),"",M222-S222)</f>
        <v/>
      </c>
      <c r="U222" s="49">
        <f>IF(OR(NOT(ISNUMBER(T222)),IF(ISNUMBER(H222),H222,G222)=0),"",T222/IF(ISNUMBER(H222),H222,G222))</f>
        <v/>
      </c>
      <c r="V222" s="49">
        <f>IF(ISNUMBER(U222),ABS(U222),"")</f>
        <v/>
      </c>
      <c r="W222" s="49">
        <f>IF(OR($E221&lt;&gt;"측정",$C221&lt;&gt;$C222,$D221&lt;&gt;$D222,NOT(ISNUMBER(M222)),NOT(ISNUMBER(M221)),(IF(ISNUMBER(H222),H222,G222)-IF(ISNUMBER(H221),H221,G221))=0),"",(M222-M221)/(IF(ISNUMBER(H222),H222,G222)-IF(ISNUMBER(H221),H221,G221)))</f>
        <v/>
      </c>
      <c r="X222" s="31">
        <f>IF(NOT(AND(ISNUMBER(O222),ISNUMBER(Q222))),"",(Q222-O222)*1440)</f>
        <v/>
      </c>
      <c r="Y222" s="29" t="n"/>
      <c r="Z222" s="29" t="n"/>
      <c r="AA222" s="29" t="n"/>
      <c r="AB222" s="32" t="n"/>
      <c r="AC222" s="32" t="n"/>
    </row>
    <row r="223">
      <c r="A223" s="26" t="inlineStr">
        <is>
          <t>S05</t>
        </is>
      </c>
      <c r="B223" s="26" t="inlineStr">
        <is>
          <t>무풍 신규점1</t>
        </is>
      </c>
      <c r="C223" s="26" t="inlineStr">
        <is>
          <t>S05-H동</t>
        </is>
      </c>
      <c r="D223" s="47" t="n">
        <v>1</v>
      </c>
      <c r="E223" s="26" t="inlineStr">
        <is>
          <t>측정</t>
        </is>
      </c>
      <c r="F223" s="26" t="inlineStr">
        <is>
          <t>동</t>
        </is>
      </c>
      <c r="G223" s="31" t="n">
        <v>8</v>
      </c>
      <c r="H223" s="30" t="n"/>
      <c r="I223" s="43" t="n"/>
      <c r="J223" s="41" t="n"/>
      <c r="K223" s="41" t="n"/>
      <c r="L223" s="41" t="n"/>
      <c r="M223" s="31">
        <f>IF(COUNT(J223:L223)=0,"",MEDIAN(J223:L223))</f>
        <v/>
      </c>
      <c r="N223" s="26">
        <f>IF(COUNTIFS($C:$C,$C223,$D:$D,$D223,$E:$E,"P0(전)",$M:$M,"&gt;0")&lt;&gt;1,"P0(전) 유효 1개 아님",IF(COUNTIFS($C:$C,$C223,$D:$D,$D223,$E:$E,"P0(후)",$M:$M,"&gt;0")&lt;&gt;1,"P0(후) 유효 1개 아님",IF(NOT(AND(ISNUMBER(O223),ISNUMBER(Q223),ISNUMBER(I223))),"시각 결측",IF(Q223&lt;=O223,"P0 시각 역전",IF(OR(I223&lt;O223,I223&gt;Q223),"측정시각 구간 밖","OK")))))</f>
        <v/>
      </c>
      <c r="O223" s="48">
        <f>IF(COUNTIFS($C:$C,$C223,$D:$D,$D223,$E:$E,"P0(전)",$M:$M,"&gt;0")&lt;&gt;1,"",SUMIFS($I:$I,$C:$C,$C223,$D:$D,$D223,$E:$E,"P0(전)"))</f>
        <v/>
      </c>
      <c r="P223" s="31">
        <f>IF(COUNTIFS($C:$C,$C223,$D:$D,$D223,$E:$E,"P0(전)",$M:$M,"&gt;0")&lt;&gt;1,"",SUMIFS($M:$M,$C:$C,$C223,$D:$D,$D223,$E:$E,"P0(전)"))</f>
        <v/>
      </c>
      <c r="Q223" s="48">
        <f>IF(COUNTIFS($C:$C,$C223,$D:$D,$D223,$E:$E,"P0(후)",$M:$M,"&gt;0")&lt;&gt;1,"",SUMIFS($I:$I,$C:$C,$C223,$D:$D,$D223,$E:$E,"P0(후)"))</f>
        <v/>
      </c>
      <c r="R223" s="31">
        <f>IF(COUNTIFS($C:$C,$C223,$D:$D,$D223,$E:$E,"P0(후)",$M:$M,"&gt;0")&lt;&gt;1,"",SUMIFS($M:$M,$C:$C,$C223,$D:$D,$D223,$E:$E,"P0(후)"))</f>
        <v/>
      </c>
      <c r="S223" s="31">
        <f>IF(N223&lt;&gt;"OK","",P223+(R223-P223)*(I223-O223)/(Q223-O223))</f>
        <v/>
      </c>
      <c r="T223" s="31">
        <f>IF(OR(N223&lt;&gt;"OK",NOT(ISNUMBER(M223))),"",M223-S223)</f>
        <v/>
      </c>
      <c r="U223" s="49">
        <f>IF(OR(NOT(ISNUMBER(T223)),IF(ISNUMBER(H223),H223,G223)=0),"",T223/IF(ISNUMBER(H223),H223,G223))</f>
        <v/>
      </c>
      <c r="V223" s="49">
        <f>IF(ISNUMBER(U223),ABS(U223),"")</f>
        <v/>
      </c>
      <c r="W223" s="49">
        <f>IF(OR($E222&lt;&gt;"측정",$C222&lt;&gt;$C223,$D222&lt;&gt;$D223,NOT(ISNUMBER(M223)),NOT(ISNUMBER(M222)),(IF(ISNUMBER(H223),H223,G223)-IF(ISNUMBER(H222),H222,G222))=0),"",(M223-M222)/(IF(ISNUMBER(H223),H223,G223)-IF(ISNUMBER(H222),H222,G222)))</f>
        <v/>
      </c>
      <c r="X223" s="31">
        <f>IF(NOT(AND(ISNUMBER(O223),ISNUMBER(Q223))),"",(Q223-O223)*1440)</f>
        <v/>
      </c>
      <c r="Y223" s="29" t="n"/>
      <c r="Z223" s="29" t="n"/>
      <c r="AA223" s="29" t="n"/>
      <c r="AB223" s="32" t="n"/>
      <c r="AC223" s="32" t="n"/>
    </row>
    <row r="224">
      <c r="A224" s="26" t="inlineStr">
        <is>
          <t>S05</t>
        </is>
      </c>
      <c r="B224" s="26" t="inlineStr">
        <is>
          <t>무풍 신규점1</t>
        </is>
      </c>
      <c r="C224" s="26" t="inlineStr">
        <is>
          <t>S05-H동</t>
        </is>
      </c>
      <c r="D224" s="47" t="n">
        <v>1</v>
      </c>
      <c r="E224" s="26" t="inlineStr">
        <is>
          <t>측정</t>
        </is>
      </c>
      <c r="F224" s="26" t="inlineStr">
        <is>
          <t>동</t>
        </is>
      </c>
      <c r="G224" s="31" t="n">
        <v>9</v>
      </c>
      <c r="H224" s="30" t="n"/>
      <c r="I224" s="43" t="n"/>
      <c r="J224" s="41" t="n"/>
      <c r="K224" s="41" t="n"/>
      <c r="L224" s="41" t="n"/>
      <c r="M224" s="31">
        <f>IF(COUNT(J224:L224)=0,"",MEDIAN(J224:L224))</f>
        <v/>
      </c>
      <c r="N224" s="26">
        <f>IF(COUNTIFS($C:$C,$C224,$D:$D,$D224,$E:$E,"P0(전)",$M:$M,"&gt;0")&lt;&gt;1,"P0(전) 유효 1개 아님",IF(COUNTIFS($C:$C,$C224,$D:$D,$D224,$E:$E,"P0(후)",$M:$M,"&gt;0")&lt;&gt;1,"P0(후) 유효 1개 아님",IF(NOT(AND(ISNUMBER(O224),ISNUMBER(Q224),ISNUMBER(I224))),"시각 결측",IF(Q224&lt;=O224,"P0 시각 역전",IF(OR(I224&lt;O224,I224&gt;Q224),"측정시각 구간 밖","OK")))))</f>
        <v/>
      </c>
      <c r="O224" s="48">
        <f>IF(COUNTIFS($C:$C,$C224,$D:$D,$D224,$E:$E,"P0(전)",$M:$M,"&gt;0")&lt;&gt;1,"",SUMIFS($I:$I,$C:$C,$C224,$D:$D,$D224,$E:$E,"P0(전)"))</f>
        <v/>
      </c>
      <c r="P224" s="31">
        <f>IF(COUNTIFS($C:$C,$C224,$D:$D,$D224,$E:$E,"P0(전)",$M:$M,"&gt;0")&lt;&gt;1,"",SUMIFS($M:$M,$C:$C,$C224,$D:$D,$D224,$E:$E,"P0(전)"))</f>
        <v/>
      </c>
      <c r="Q224" s="48">
        <f>IF(COUNTIFS($C:$C,$C224,$D:$D,$D224,$E:$E,"P0(후)",$M:$M,"&gt;0")&lt;&gt;1,"",SUMIFS($I:$I,$C:$C,$C224,$D:$D,$D224,$E:$E,"P0(후)"))</f>
        <v/>
      </c>
      <c r="R224" s="31">
        <f>IF(COUNTIFS($C:$C,$C224,$D:$D,$D224,$E:$E,"P0(후)",$M:$M,"&gt;0")&lt;&gt;1,"",SUMIFS($M:$M,$C:$C,$C224,$D:$D,$D224,$E:$E,"P0(후)"))</f>
        <v/>
      </c>
      <c r="S224" s="31">
        <f>IF(N224&lt;&gt;"OK","",P224+(R224-P224)*(I224-O224)/(Q224-O224))</f>
        <v/>
      </c>
      <c r="T224" s="31">
        <f>IF(OR(N224&lt;&gt;"OK",NOT(ISNUMBER(M224))),"",M224-S224)</f>
        <v/>
      </c>
      <c r="U224" s="49">
        <f>IF(OR(NOT(ISNUMBER(T224)),IF(ISNUMBER(H224),H224,G224)=0),"",T224/IF(ISNUMBER(H224),H224,G224))</f>
        <v/>
      </c>
      <c r="V224" s="49">
        <f>IF(ISNUMBER(U224),ABS(U224),"")</f>
        <v/>
      </c>
      <c r="W224" s="49">
        <f>IF(OR($E223&lt;&gt;"측정",$C223&lt;&gt;$C224,$D223&lt;&gt;$D224,NOT(ISNUMBER(M224)),NOT(ISNUMBER(M223)),(IF(ISNUMBER(H224),H224,G224)-IF(ISNUMBER(H223),H223,G223))=0),"",(M224-M223)/(IF(ISNUMBER(H224),H224,G224)-IF(ISNUMBER(H223),H223,G223)))</f>
        <v/>
      </c>
      <c r="X224" s="31">
        <f>IF(NOT(AND(ISNUMBER(O224),ISNUMBER(Q224))),"",(Q224-O224)*1440)</f>
        <v/>
      </c>
      <c r="Y224" s="29" t="n"/>
      <c r="Z224" s="29" t="n"/>
      <c r="AA224" s="29" t="n"/>
      <c r="AB224" s="32" t="n"/>
      <c r="AC224" s="32" t="n"/>
    </row>
    <row r="225">
      <c r="A225" s="26" t="inlineStr">
        <is>
          <t>S05</t>
        </is>
      </c>
      <c r="B225" s="26" t="inlineStr">
        <is>
          <t>무풍 신규점1</t>
        </is>
      </c>
      <c r="C225" s="26" t="inlineStr">
        <is>
          <t>S05-H동</t>
        </is>
      </c>
      <c r="D225" s="47" t="n">
        <v>1</v>
      </c>
      <c r="E225" s="26" t="inlineStr">
        <is>
          <t>측정</t>
        </is>
      </c>
      <c r="F225" s="26" t="inlineStr">
        <is>
          <t>동</t>
        </is>
      </c>
      <c r="G225" s="31" t="n">
        <v>10</v>
      </c>
      <c r="H225" s="30" t="n"/>
      <c r="I225" s="43" t="n"/>
      <c r="J225" s="41" t="n"/>
      <c r="K225" s="41" t="n"/>
      <c r="L225" s="41" t="n"/>
      <c r="M225" s="31">
        <f>IF(COUNT(J225:L225)=0,"",MEDIAN(J225:L225))</f>
        <v/>
      </c>
      <c r="N225" s="26">
        <f>IF(COUNTIFS($C:$C,$C225,$D:$D,$D225,$E:$E,"P0(전)",$M:$M,"&gt;0")&lt;&gt;1,"P0(전) 유효 1개 아님",IF(COUNTIFS($C:$C,$C225,$D:$D,$D225,$E:$E,"P0(후)",$M:$M,"&gt;0")&lt;&gt;1,"P0(후) 유효 1개 아님",IF(NOT(AND(ISNUMBER(O225),ISNUMBER(Q225),ISNUMBER(I225))),"시각 결측",IF(Q225&lt;=O225,"P0 시각 역전",IF(OR(I225&lt;O225,I225&gt;Q225),"측정시각 구간 밖","OK")))))</f>
        <v/>
      </c>
      <c r="O225" s="48">
        <f>IF(COUNTIFS($C:$C,$C225,$D:$D,$D225,$E:$E,"P0(전)",$M:$M,"&gt;0")&lt;&gt;1,"",SUMIFS($I:$I,$C:$C,$C225,$D:$D,$D225,$E:$E,"P0(전)"))</f>
        <v/>
      </c>
      <c r="P225" s="31">
        <f>IF(COUNTIFS($C:$C,$C225,$D:$D,$D225,$E:$E,"P0(전)",$M:$M,"&gt;0")&lt;&gt;1,"",SUMIFS($M:$M,$C:$C,$C225,$D:$D,$D225,$E:$E,"P0(전)"))</f>
        <v/>
      </c>
      <c r="Q225" s="48">
        <f>IF(COUNTIFS($C:$C,$C225,$D:$D,$D225,$E:$E,"P0(후)",$M:$M,"&gt;0")&lt;&gt;1,"",SUMIFS($I:$I,$C:$C,$C225,$D:$D,$D225,$E:$E,"P0(후)"))</f>
        <v/>
      </c>
      <c r="R225" s="31">
        <f>IF(COUNTIFS($C:$C,$C225,$D:$D,$D225,$E:$E,"P0(후)",$M:$M,"&gt;0")&lt;&gt;1,"",SUMIFS($M:$M,$C:$C,$C225,$D:$D,$D225,$E:$E,"P0(후)"))</f>
        <v/>
      </c>
      <c r="S225" s="31">
        <f>IF(N225&lt;&gt;"OK","",P225+(R225-P225)*(I225-O225)/(Q225-O225))</f>
        <v/>
      </c>
      <c r="T225" s="31">
        <f>IF(OR(N225&lt;&gt;"OK",NOT(ISNUMBER(M225))),"",M225-S225)</f>
        <v/>
      </c>
      <c r="U225" s="49">
        <f>IF(OR(NOT(ISNUMBER(T225)),IF(ISNUMBER(H225),H225,G225)=0),"",T225/IF(ISNUMBER(H225),H225,G225))</f>
        <v/>
      </c>
      <c r="V225" s="49">
        <f>IF(ISNUMBER(U225),ABS(U225),"")</f>
        <v/>
      </c>
      <c r="W225" s="49">
        <f>IF(OR($E224&lt;&gt;"측정",$C224&lt;&gt;$C225,$D224&lt;&gt;$D225,NOT(ISNUMBER(M225)),NOT(ISNUMBER(M224)),(IF(ISNUMBER(H225),H225,G225)-IF(ISNUMBER(H224),H224,G224))=0),"",(M225-M224)/(IF(ISNUMBER(H225),H225,G225)-IF(ISNUMBER(H224),H224,G224)))</f>
        <v/>
      </c>
      <c r="X225" s="31">
        <f>IF(NOT(AND(ISNUMBER(O225),ISNUMBER(Q225))),"",(Q225-O225)*1440)</f>
        <v/>
      </c>
      <c r="Y225" s="29" t="n"/>
      <c r="Z225" s="29" t="n"/>
      <c r="AA225" s="29" t="n"/>
      <c r="AB225" s="32" t="n"/>
      <c r="AC225" s="32" t="n"/>
    </row>
    <row r="226">
      <c r="A226" s="44" t="inlineStr">
        <is>
          <t>S05</t>
        </is>
      </c>
      <c r="B226" s="44" t="inlineStr">
        <is>
          <t>무풍 신규점1</t>
        </is>
      </c>
      <c r="C226" s="44" t="inlineStr">
        <is>
          <t>S05-H동</t>
        </is>
      </c>
      <c r="D226" s="45" t="n">
        <v>1</v>
      </c>
      <c r="E226" s="44" t="inlineStr">
        <is>
          <t>P0(후)</t>
        </is>
      </c>
      <c r="F226" s="44" t="inlineStr">
        <is>
          <t>동</t>
        </is>
      </c>
      <c r="G226" s="46" t="n"/>
      <c r="H226" s="30" t="n"/>
      <c r="I226" s="43" t="n"/>
      <c r="J226" s="41" t="n"/>
      <c r="K226" s="41" t="n"/>
      <c r="L226" s="41" t="n"/>
      <c r="M226" s="31">
        <f>IF(COUNT(J226:L226)=0,"",MEDIAN(J226:L226))</f>
        <v/>
      </c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29" t="n"/>
      <c r="Z226" s="29" t="n"/>
      <c r="AA226" s="29" t="n"/>
      <c r="AB226" s="32" t="n"/>
      <c r="AC226" s="32" t="n"/>
    </row>
    <row r="227">
      <c r="A227" s="44" t="inlineStr">
        <is>
          <t>S05</t>
        </is>
      </c>
      <c r="B227" s="44" t="inlineStr">
        <is>
          <t>무풍 신규점1</t>
        </is>
      </c>
      <c r="C227" s="44" t="inlineStr">
        <is>
          <t>S05-H서</t>
        </is>
      </c>
      <c r="D227" s="45" t="n">
        <v>1</v>
      </c>
      <c r="E227" s="44" t="inlineStr">
        <is>
          <t>P0(전)</t>
        </is>
      </c>
      <c r="F227" s="44" t="inlineStr">
        <is>
          <t>서</t>
        </is>
      </c>
      <c r="G227" s="46" t="n"/>
      <c r="H227" s="30" t="n"/>
      <c r="I227" s="43" t="n"/>
      <c r="J227" s="41" t="n"/>
      <c r="K227" s="41" t="n"/>
      <c r="L227" s="41" t="n"/>
      <c r="M227" s="31">
        <f>IF(COUNT(J227:L227)=0,"",MEDIAN(J227:L227))</f>
        <v/>
      </c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29" t="n"/>
      <c r="Z227" s="29" t="n"/>
      <c r="AA227" s="29" t="n"/>
      <c r="AB227" s="32" t="n"/>
      <c r="AC227" s="32" t="n"/>
    </row>
    <row r="228">
      <c r="A228" s="26" t="inlineStr">
        <is>
          <t>S05</t>
        </is>
      </c>
      <c r="B228" s="26" t="inlineStr">
        <is>
          <t>무풍 신규점1</t>
        </is>
      </c>
      <c r="C228" s="26" t="inlineStr">
        <is>
          <t>S05-H서</t>
        </is>
      </c>
      <c r="D228" s="47" t="n">
        <v>1</v>
      </c>
      <c r="E228" s="26" t="inlineStr">
        <is>
          <t>측정</t>
        </is>
      </c>
      <c r="F228" s="26" t="inlineStr">
        <is>
          <t>서</t>
        </is>
      </c>
      <c r="G228" s="31" t="n">
        <v>0.5</v>
      </c>
      <c r="H228" s="30" t="n"/>
      <c r="I228" s="43" t="n"/>
      <c r="J228" s="41" t="n"/>
      <c r="K228" s="41" t="n"/>
      <c r="L228" s="41" t="n"/>
      <c r="M228" s="31">
        <f>IF(COUNT(J228:L228)=0,"",MEDIAN(J228:L228))</f>
        <v/>
      </c>
      <c r="N228" s="26">
        <f>IF(COUNTIFS($C:$C,$C228,$D:$D,$D228,$E:$E,"P0(전)",$M:$M,"&gt;0")&lt;&gt;1,"P0(전) 유효 1개 아님",IF(COUNTIFS($C:$C,$C228,$D:$D,$D228,$E:$E,"P0(후)",$M:$M,"&gt;0")&lt;&gt;1,"P0(후) 유효 1개 아님",IF(NOT(AND(ISNUMBER(O228),ISNUMBER(Q228),ISNUMBER(I228))),"시각 결측",IF(Q228&lt;=O228,"P0 시각 역전",IF(OR(I228&lt;O228,I228&gt;Q228),"측정시각 구간 밖","OK")))))</f>
        <v/>
      </c>
      <c r="O228" s="48">
        <f>IF(COUNTIFS($C:$C,$C228,$D:$D,$D228,$E:$E,"P0(전)",$M:$M,"&gt;0")&lt;&gt;1,"",SUMIFS($I:$I,$C:$C,$C228,$D:$D,$D228,$E:$E,"P0(전)"))</f>
        <v/>
      </c>
      <c r="P228" s="31">
        <f>IF(COUNTIFS($C:$C,$C228,$D:$D,$D228,$E:$E,"P0(전)",$M:$M,"&gt;0")&lt;&gt;1,"",SUMIFS($M:$M,$C:$C,$C228,$D:$D,$D228,$E:$E,"P0(전)"))</f>
        <v/>
      </c>
      <c r="Q228" s="48">
        <f>IF(COUNTIFS($C:$C,$C228,$D:$D,$D228,$E:$E,"P0(후)",$M:$M,"&gt;0")&lt;&gt;1,"",SUMIFS($I:$I,$C:$C,$C228,$D:$D,$D228,$E:$E,"P0(후)"))</f>
        <v/>
      </c>
      <c r="R228" s="31">
        <f>IF(COUNTIFS($C:$C,$C228,$D:$D,$D228,$E:$E,"P0(후)",$M:$M,"&gt;0")&lt;&gt;1,"",SUMIFS($M:$M,$C:$C,$C228,$D:$D,$D228,$E:$E,"P0(후)"))</f>
        <v/>
      </c>
      <c r="S228" s="31">
        <f>IF(N228&lt;&gt;"OK","",P228+(R228-P228)*(I228-O228)/(Q228-O228))</f>
        <v/>
      </c>
      <c r="T228" s="31">
        <f>IF(OR(N228&lt;&gt;"OK",NOT(ISNUMBER(M228))),"",M228-S228)</f>
        <v/>
      </c>
      <c r="U228" s="49">
        <f>IF(OR(NOT(ISNUMBER(T228)),IF(ISNUMBER(H228),H228,G228)=0),"",T228/IF(ISNUMBER(H228),H228,G228))</f>
        <v/>
      </c>
      <c r="V228" s="49">
        <f>IF(ISNUMBER(U228),ABS(U228),"")</f>
        <v/>
      </c>
      <c r="W228" s="49">
        <f>IF(OR($E227&lt;&gt;"측정",$C227&lt;&gt;$C228,$D227&lt;&gt;$D228,NOT(ISNUMBER(M228)),NOT(ISNUMBER(M227)),(IF(ISNUMBER(H228),H228,G228)-IF(ISNUMBER(H227),H227,G227))=0),"",(M228-M227)/(IF(ISNUMBER(H228),H228,G228)-IF(ISNUMBER(H227),H227,G227)))</f>
        <v/>
      </c>
      <c r="X228" s="31">
        <f>IF(NOT(AND(ISNUMBER(O228),ISNUMBER(Q228))),"",(Q228-O228)*1440)</f>
        <v/>
      </c>
      <c r="Y228" s="29" t="n"/>
      <c r="Z228" s="29" t="n"/>
      <c r="AA228" s="29" t="n"/>
      <c r="AB228" s="32" t="n"/>
      <c r="AC228" s="32" t="n"/>
    </row>
    <row r="229">
      <c r="A229" s="26" t="inlineStr">
        <is>
          <t>S05</t>
        </is>
      </c>
      <c r="B229" s="26" t="inlineStr">
        <is>
          <t>무풍 신규점1</t>
        </is>
      </c>
      <c r="C229" s="26" t="inlineStr">
        <is>
          <t>S05-H서</t>
        </is>
      </c>
      <c r="D229" s="47" t="n">
        <v>1</v>
      </c>
      <c r="E229" s="26" t="inlineStr">
        <is>
          <t>측정</t>
        </is>
      </c>
      <c r="F229" s="26" t="inlineStr">
        <is>
          <t>서</t>
        </is>
      </c>
      <c r="G229" s="31" t="n">
        <v>1</v>
      </c>
      <c r="H229" s="30" t="n"/>
      <c r="I229" s="43" t="n"/>
      <c r="J229" s="41" t="n"/>
      <c r="K229" s="41" t="n"/>
      <c r="L229" s="41" t="n"/>
      <c r="M229" s="31">
        <f>IF(COUNT(J229:L229)=0,"",MEDIAN(J229:L229))</f>
        <v/>
      </c>
      <c r="N229" s="26">
        <f>IF(COUNTIFS($C:$C,$C229,$D:$D,$D229,$E:$E,"P0(전)",$M:$M,"&gt;0")&lt;&gt;1,"P0(전) 유효 1개 아님",IF(COUNTIFS($C:$C,$C229,$D:$D,$D229,$E:$E,"P0(후)",$M:$M,"&gt;0")&lt;&gt;1,"P0(후) 유효 1개 아님",IF(NOT(AND(ISNUMBER(O229),ISNUMBER(Q229),ISNUMBER(I229))),"시각 결측",IF(Q229&lt;=O229,"P0 시각 역전",IF(OR(I229&lt;O229,I229&gt;Q229),"측정시각 구간 밖","OK")))))</f>
        <v/>
      </c>
      <c r="O229" s="48">
        <f>IF(COUNTIFS($C:$C,$C229,$D:$D,$D229,$E:$E,"P0(전)",$M:$M,"&gt;0")&lt;&gt;1,"",SUMIFS($I:$I,$C:$C,$C229,$D:$D,$D229,$E:$E,"P0(전)"))</f>
        <v/>
      </c>
      <c r="P229" s="31">
        <f>IF(COUNTIFS($C:$C,$C229,$D:$D,$D229,$E:$E,"P0(전)",$M:$M,"&gt;0")&lt;&gt;1,"",SUMIFS($M:$M,$C:$C,$C229,$D:$D,$D229,$E:$E,"P0(전)"))</f>
        <v/>
      </c>
      <c r="Q229" s="48">
        <f>IF(COUNTIFS($C:$C,$C229,$D:$D,$D229,$E:$E,"P0(후)",$M:$M,"&gt;0")&lt;&gt;1,"",SUMIFS($I:$I,$C:$C,$C229,$D:$D,$D229,$E:$E,"P0(후)"))</f>
        <v/>
      </c>
      <c r="R229" s="31">
        <f>IF(COUNTIFS($C:$C,$C229,$D:$D,$D229,$E:$E,"P0(후)",$M:$M,"&gt;0")&lt;&gt;1,"",SUMIFS($M:$M,$C:$C,$C229,$D:$D,$D229,$E:$E,"P0(후)"))</f>
        <v/>
      </c>
      <c r="S229" s="31">
        <f>IF(N229&lt;&gt;"OK","",P229+(R229-P229)*(I229-O229)/(Q229-O229))</f>
        <v/>
      </c>
      <c r="T229" s="31">
        <f>IF(OR(N229&lt;&gt;"OK",NOT(ISNUMBER(M229))),"",M229-S229)</f>
        <v/>
      </c>
      <c r="U229" s="49">
        <f>IF(OR(NOT(ISNUMBER(T229)),IF(ISNUMBER(H229),H229,G229)=0),"",T229/IF(ISNUMBER(H229),H229,G229))</f>
        <v/>
      </c>
      <c r="V229" s="49">
        <f>IF(ISNUMBER(U229),ABS(U229),"")</f>
        <v/>
      </c>
      <c r="W229" s="49">
        <f>IF(OR($E228&lt;&gt;"측정",$C228&lt;&gt;$C229,$D228&lt;&gt;$D229,NOT(ISNUMBER(M229)),NOT(ISNUMBER(M228)),(IF(ISNUMBER(H229),H229,G229)-IF(ISNUMBER(H228),H228,G228))=0),"",(M229-M228)/(IF(ISNUMBER(H229),H229,G229)-IF(ISNUMBER(H228),H228,G228)))</f>
        <v/>
      </c>
      <c r="X229" s="31">
        <f>IF(NOT(AND(ISNUMBER(O229),ISNUMBER(Q229))),"",(Q229-O229)*1440)</f>
        <v/>
      </c>
      <c r="Y229" s="29" t="n"/>
      <c r="Z229" s="29" t="n"/>
      <c r="AA229" s="29" t="n"/>
      <c r="AB229" s="32" t="n"/>
      <c r="AC229" s="32" t="n"/>
    </row>
    <row r="230">
      <c r="A230" s="26" t="inlineStr">
        <is>
          <t>S05</t>
        </is>
      </c>
      <c r="B230" s="26" t="inlineStr">
        <is>
          <t>무풍 신규점1</t>
        </is>
      </c>
      <c r="C230" s="26" t="inlineStr">
        <is>
          <t>S05-H서</t>
        </is>
      </c>
      <c r="D230" s="47" t="n">
        <v>1</v>
      </c>
      <c r="E230" s="26" t="inlineStr">
        <is>
          <t>측정</t>
        </is>
      </c>
      <c r="F230" s="26" t="inlineStr">
        <is>
          <t>서</t>
        </is>
      </c>
      <c r="G230" s="31" t="n">
        <v>2</v>
      </c>
      <c r="H230" s="30" t="n"/>
      <c r="I230" s="43" t="n"/>
      <c r="J230" s="41" t="n"/>
      <c r="K230" s="41" t="n"/>
      <c r="L230" s="41" t="n"/>
      <c r="M230" s="31">
        <f>IF(COUNT(J230:L230)=0,"",MEDIAN(J230:L230))</f>
        <v/>
      </c>
      <c r="N230" s="26">
        <f>IF(COUNTIFS($C:$C,$C230,$D:$D,$D230,$E:$E,"P0(전)",$M:$M,"&gt;0")&lt;&gt;1,"P0(전) 유효 1개 아님",IF(COUNTIFS($C:$C,$C230,$D:$D,$D230,$E:$E,"P0(후)",$M:$M,"&gt;0")&lt;&gt;1,"P0(후) 유효 1개 아님",IF(NOT(AND(ISNUMBER(O230),ISNUMBER(Q230),ISNUMBER(I230))),"시각 결측",IF(Q230&lt;=O230,"P0 시각 역전",IF(OR(I230&lt;O230,I230&gt;Q230),"측정시각 구간 밖","OK")))))</f>
        <v/>
      </c>
      <c r="O230" s="48">
        <f>IF(COUNTIFS($C:$C,$C230,$D:$D,$D230,$E:$E,"P0(전)",$M:$M,"&gt;0")&lt;&gt;1,"",SUMIFS($I:$I,$C:$C,$C230,$D:$D,$D230,$E:$E,"P0(전)"))</f>
        <v/>
      </c>
      <c r="P230" s="31">
        <f>IF(COUNTIFS($C:$C,$C230,$D:$D,$D230,$E:$E,"P0(전)",$M:$M,"&gt;0")&lt;&gt;1,"",SUMIFS($M:$M,$C:$C,$C230,$D:$D,$D230,$E:$E,"P0(전)"))</f>
        <v/>
      </c>
      <c r="Q230" s="48">
        <f>IF(COUNTIFS($C:$C,$C230,$D:$D,$D230,$E:$E,"P0(후)",$M:$M,"&gt;0")&lt;&gt;1,"",SUMIFS($I:$I,$C:$C,$C230,$D:$D,$D230,$E:$E,"P0(후)"))</f>
        <v/>
      </c>
      <c r="R230" s="31">
        <f>IF(COUNTIFS($C:$C,$C230,$D:$D,$D230,$E:$E,"P0(후)",$M:$M,"&gt;0")&lt;&gt;1,"",SUMIFS($M:$M,$C:$C,$C230,$D:$D,$D230,$E:$E,"P0(후)"))</f>
        <v/>
      </c>
      <c r="S230" s="31">
        <f>IF(N230&lt;&gt;"OK","",P230+(R230-P230)*(I230-O230)/(Q230-O230))</f>
        <v/>
      </c>
      <c r="T230" s="31">
        <f>IF(OR(N230&lt;&gt;"OK",NOT(ISNUMBER(M230))),"",M230-S230)</f>
        <v/>
      </c>
      <c r="U230" s="49">
        <f>IF(OR(NOT(ISNUMBER(T230)),IF(ISNUMBER(H230),H230,G230)=0),"",T230/IF(ISNUMBER(H230),H230,G230))</f>
        <v/>
      </c>
      <c r="V230" s="49">
        <f>IF(ISNUMBER(U230),ABS(U230),"")</f>
        <v/>
      </c>
      <c r="W230" s="49">
        <f>IF(OR($E229&lt;&gt;"측정",$C229&lt;&gt;$C230,$D229&lt;&gt;$D230,NOT(ISNUMBER(M230)),NOT(ISNUMBER(M229)),(IF(ISNUMBER(H230),H230,G230)-IF(ISNUMBER(H229),H229,G229))=0),"",(M230-M229)/(IF(ISNUMBER(H230),H230,G230)-IF(ISNUMBER(H229),H229,G229)))</f>
        <v/>
      </c>
      <c r="X230" s="31">
        <f>IF(NOT(AND(ISNUMBER(O230),ISNUMBER(Q230))),"",(Q230-O230)*1440)</f>
        <v/>
      </c>
      <c r="Y230" s="29" t="n"/>
      <c r="Z230" s="29" t="n"/>
      <c r="AA230" s="29" t="n"/>
      <c r="AB230" s="32" t="n"/>
      <c r="AC230" s="32" t="n"/>
    </row>
    <row r="231">
      <c r="A231" s="26" t="inlineStr">
        <is>
          <t>S05</t>
        </is>
      </c>
      <c r="B231" s="26" t="inlineStr">
        <is>
          <t>무풍 신규점1</t>
        </is>
      </c>
      <c r="C231" s="26" t="inlineStr">
        <is>
          <t>S05-H서</t>
        </is>
      </c>
      <c r="D231" s="47" t="n">
        <v>1</v>
      </c>
      <c r="E231" s="26" t="inlineStr">
        <is>
          <t>측정</t>
        </is>
      </c>
      <c r="F231" s="26" t="inlineStr">
        <is>
          <t>서</t>
        </is>
      </c>
      <c r="G231" s="31" t="n">
        <v>3</v>
      </c>
      <c r="H231" s="30" t="n"/>
      <c r="I231" s="43" t="n"/>
      <c r="J231" s="41" t="n"/>
      <c r="K231" s="41" t="n"/>
      <c r="L231" s="41" t="n"/>
      <c r="M231" s="31">
        <f>IF(COUNT(J231:L231)=0,"",MEDIAN(J231:L231))</f>
        <v/>
      </c>
      <c r="N231" s="26">
        <f>IF(COUNTIFS($C:$C,$C231,$D:$D,$D231,$E:$E,"P0(전)",$M:$M,"&gt;0")&lt;&gt;1,"P0(전) 유효 1개 아님",IF(COUNTIFS($C:$C,$C231,$D:$D,$D231,$E:$E,"P0(후)",$M:$M,"&gt;0")&lt;&gt;1,"P0(후) 유효 1개 아님",IF(NOT(AND(ISNUMBER(O231),ISNUMBER(Q231),ISNUMBER(I231))),"시각 결측",IF(Q231&lt;=O231,"P0 시각 역전",IF(OR(I231&lt;O231,I231&gt;Q231),"측정시각 구간 밖","OK")))))</f>
        <v/>
      </c>
      <c r="O231" s="48">
        <f>IF(COUNTIFS($C:$C,$C231,$D:$D,$D231,$E:$E,"P0(전)",$M:$M,"&gt;0")&lt;&gt;1,"",SUMIFS($I:$I,$C:$C,$C231,$D:$D,$D231,$E:$E,"P0(전)"))</f>
        <v/>
      </c>
      <c r="P231" s="31">
        <f>IF(COUNTIFS($C:$C,$C231,$D:$D,$D231,$E:$E,"P0(전)",$M:$M,"&gt;0")&lt;&gt;1,"",SUMIFS($M:$M,$C:$C,$C231,$D:$D,$D231,$E:$E,"P0(전)"))</f>
        <v/>
      </c>
      <c r="Q231" s="48">
        <f>IF(COUNTIFS($C:$C,$C231,$D:$D,$D231,$E:$E,"P0(후)",$M:$M,"&gt;0")&lt;&gt;1,"",SUMIFS($I:$I,$C:$C,$C231,$D:$D,$D231,$E:$E,"P0(후)"))</f>
        <v/>
      </c>
      <c r="R231" s="31">
        <f>IF(COUNTIFS($C:$C,$C231,$D:$D,$D231,$E:$E,"P0(후)",$M:$M,"&gt;0")&lt;&gt;1,"",SUMIFS($M:$M,$C:$C,$C231,$D:$D,$D231,$E:$E,"P0(후)"))</f>
        <v/>
      </c>
      <c r="S231" s="31">
        <f>IF(N231&lt;&gt;"OK","",P231+(R231-P231)*(I231-O231)/(Q231-O231))</f>
        <v/>
      </c>
      <c r="T231" s="31">
        <f>IF(OR(N231&lt;&gt;"OK",NOT(ISNUMBER(M231))),"",M231-S231)</f>
        <v/>
      </c>
      <c r="U231" s="49">
        <f>IF(OR(NOT(ISNUMBER(T231)),IF(ISNUMBER(H231),H231,G231)=0),"",T231/IF(ISNUMBER(H231),H231,G231))</f>
        <v/>
      </c>
      <c r="V231" s="49">
        <f>IF(ISNUMBER(U231),ABS(U231),"")</f>
        <v/>
      </c>
      <c r="W231" s="49">
        <f>IF(OR($E230&lt;&gt;"측정",$C230&lt;&gt;$C231,$D230&lt;&gt;$D231,NOT(ISNUMBER(M231)),NOT(ISNUMBER(M230)),(IF(ISNUMBER(H231),H231,G231)-IF(ISNUMBER(H230),H230,G230))=0),"",(M231-M230)/(IF(ISNUMBER(H231),H231,G231)-IF(ISNUMBER(H230),H230,G230)))</f>
        <v/>
      </c>
      <c r="X231" s="31">
        <f>IF(NOT(AND(ISNUMBER(O231),ISNUMBER(Q231))),"",(Q231-O231)*1440)</f>
        <v/>
      </c>
      <c r="Y231" s="29" t="n"/>
      <c r="Z231" s="29" t="n"/>
      <c r="AA231" s="29" t="n"/>
      <c r="AB231" s="32" t="n"/>
      <c r="AC231" s="32" t="n"/>
    </row>
    <row r="232">
      <c r="A232" s="26" t="inlineStr">
        <is>
          <t>S05</t>
        </is>
      </c>
      <c r="B232" s="26" t="inlineStr">
        <is>
          <t>무풍 신규점1</t>
        </is>
      </c>
      <c r="C232" s="26" t="inlineStr">
        <is>
          <t>S05-H서</t>
        </is>
      </c>
      <c r="D232" s="47" t="n">
        <v>1</v>
      </c>
      <c r="E232" s="26" t="inlineStr">
        <is>
          <t>측정</t>
        </is>
      </c>
      <c r="F232" s="26" t="inlineStr">
        <is>
          <t>서</t>
        </is>
      </c>
      <c r="G232" s="31" t="n">
        <v>4</v>
      </c>
      <c r="H232" s="30" t="n"/>
      <c r="I232" s="43" t="n"/>
      <c r="J232" s="41" t="n"/>
      <c r="K232" s="41" t="n"/>
      <c r="L232" s="41" t="n"/>
      <c r="M232" s="31">
        <f>IF(COUNT(J232:L232)=0,"",MEDIAN(J232:L232))</f>
        <v/>
      </c>
      <c r="N232" s="26">
        <f>IF(COUNTIFS($C:$C,$C232,$D:$D,$D232,$E:$E,"P0(전)",$M:$M,"&gt;0")&lt;&gt;1,"P0(전) 유효 1개 아님",IF(COUNTIFS($C:$C,$C232,$D:$D,$D232,$E:$E,"P0(후)",$M:$M,"&gt;0")&lt;&gt;1,"P0(후) 유효 1개 아님",IF(NOT(AND(ISNUMBER(O232),ISNUMBER(Q232),ISNUMBER(I232))),"시각 결측",IF(Q232&lt;=O232,"P0 시각 역전",IF(OR(I232&lt;O232,I232&gt;Q232),"측정시각 구간 밖","OK")))))</f>
        <v/>
      </c>
      <c r="O232" s="48">
        <f>IF(COUNTIFS($C:$C,$C232,$D:$D,$D232,$E:$E,"P0(전)",$M:$M,"&gt;0")&lt;&gt;1,"",SUMIFS($I:$I,$C:$C,$C232,$D:$D,$D232,$E:$E,"P0(전)"))</f>
        <v/>
      </c>
      <c r="P232" s="31">
        <f>IF(COUNTIFS($C:$C,$C232,$D:$D,$D232,$E:$E,"P0(전)",$M:$M,"&gt;0")&lt;&gt;1,"",SUMIFS($M:$M,$C:$C,$C232,$D:$D,$D232,$E:$E,"P0(전)"))</f>
        <v/>
      </c>
      <c r="Q232" s="48">
        <f>IF(COUNTIFS($C:$C,$C232,$D:$D,$D232,$E:$E,"P0(후)",$M:$M,"&gt;0")&lt;&gt;1,"",SUMIFS($I:$I,$C:$C,$C232,$D:$D,$D232,$E:$E,"P0(후)"))</f>
        <v/>
      </c>
      <c r="R232" s="31">
        <f>IF(COUNTIFS($C:$C,$C232,$D:$D,$D232,$E:$E,"P0(후)",$M:$M,"&gt;0")&lt;&gt;1,"",SUMIFS($M:$M,$C:$C,$C232,$D:$D,$D232,$E:$E,"P0(후)"))</f>
        <v/>
      </c>
      <c r="S232" s="31">
        <f>IF(N232&lt;&gt;"OK","",P232+(R232-P232)*(I232-O232)/(Q232-O232))</f>
        <v/>
      </c>
      <c r="T232" s="31">
        <f>IF(OR(N232&lt;&gt;"OK",NOT(ISNUMBER(M232))),"",M232-S232)</f>
        <v/>
      </c>
      <c r="U232" s="49">
        <f>IF(OR(NOT(ISNUMBER(T232)),IF(ISNUMBER(H232),H232,G232)=0),"",T232/IF(ISNUMBER(H232),H232,G232))</f>
        <v/>
      </c>
      <c r="V232" s="49">
        <f>IF(ISNUMBER(U232),ABS(U232),"")</f>
        <v/>
      </c>
      <c r="W232" s="49">
        <f>IF(OR($E231&lt;&gt;"측정",$C231&lt;&gt;$C232,$D231&lt;&gt;$D232,NOT(ISNUMBER(M232)),NOT(ISNUMBER(M231)),(IF(ISNUMBER(H232),H232,G232)-IF(ISNUMBER(H231),H231,G231))=0),"",(M232-M231)/(IF(ISNUMBER(H232),H232,G232)-IF(ISNUMBER(H231),H231,G231)))</f>
        <v/>
      </c>
      <c r="X232" s="31">
        <f>IF(NOT(AND(ISNUMBER(O232),ISNUMBER(Q232))),"",(Q232-O232)*1440)</f>
        <v/>
      </c>
      <c r="Y232" s="29" t="n"/>
      <c r="Z232" s="29" t="n"/>
      <c r="AA232" s="29" t="n"/>
      <c r="AB232" s="32" t="n"/>
      <c r="AC232" s="32" t="n"/>
    </row>
    <row r="233">
      <c r="A233" s="26" t="inlineStr">
        <is>
          <t>S05</t>
        </is>
      </c>
      <c r="B233" s="26" t="inlineStr">
        <is>
          <t>무풍 신규점1</t>
        </is>
      </c>
      <c r="C233" s="26" t="inlineStr">
        <is>
          <t>S05-H서</t>
        </is>
      </c>
      <c r="D233" s="47" t="n">
        <v>1</v>
      </c>
      <c r="E233" s="26" t="inlineStr">
        <is>
          <t>측정</t>
        </is>
      </c>
      <c r="F233" s="26" t="inlineStr">
        <is>
          <t>서</t>
        </is>
      </c>
      <c r="G233" s="31" t="n">
        <v>5</v>
      </c>
      <c r="H233" s="30" t="n"/>
      <c r="I233" s="43" t="n"/>
      <c r="J233" s="41" t="n"/>
      <c r="K233" s="41" t="n"/>
      <c r="L233" s="41" t="n"/>
      <c r="M233" s="31">
        <f>IF(COUNT(J233:L233)=0,"",MEDIAN(J233:L233))</f>
        <v/>
      </c>
      <c r="N233" s="26">
        <f>IF(COUNTIFS($C:$C,$C233,$D:$D,$D233,$E:$E,"P0(전)",$M:$M,"&gt;0")&lt;&gt;1,"P0(전) 유효 1개 아님",IF(COUNTIFS($C:$C,$C233,$D:$D,$D233,$E:$E,"P0(후)",$M:$M,"&gt;0")&lt;&gt;1,"P0(후) 유효 1개 아님",IF(NOT(AND(ISNUMBER(O233),ISNUMBER(Q233),ISNUMBER(I233))),"시각 결측",IF(Q233&lt;=O233,"P0 시각 역전",IF(OR(I233&lt;O233,I233&gt;Q233),"측정시각 구간 밖","OK")))))</f>
        <v/>
      </c>
      <c r="O233" s="48">
        <f>IF(COUNTIFS($C:$C,$C233,$D:$D,$D233,$E:$E,"P0(전)",$M:$M,"&gt;0")&lt;&gt;1,"",SUMIFS($I:$I,$C:$C,$C233,$D:$D,$D233,$E:$E,"P0(전)"))</f>
        <v/>
      </c>
      <c r="P233" s="31">
        <f>IF(COUNTIFS($C:$C,$C233,$D:$D,$D233,$E:$E,"P0(전)",$M:$M,"&gt;0")&lt;&gt;1,"",SUMIFS($M:$M,$C:$C,$C233,$D:$D,$D233,$E:$E,"P0(전)"))</f>
        <v/>
      </c>
      <c r="Q233" s="48">
        <f>IF(COUNTIFS($C:$C,$C233,$D:$D,$D233,$E:$E,"P0(후)",$M:$M,"&gt;0")&lt;&gt;1,"",SUMIFS($I:$I,$C:$C,$C233,$D:$D,$D233,$E:$E,"P0(후)"))</f>
        <v/>
      </c>
      <c r="R233" s="31">
        <f>IF(COUNTIFS($C:$C,$C233,$D:$D,$D233,$E:$E,"P0(후)",$M:$M,"&gt;0")&lt;&gt;1,"",SUMIFS($M:$M,$C:$C,$C233,$D:$D,$D233,$E:$E,"P0(후)"))</f>
        <v/>
      </c>
      <c r="S233" s="31">
        <f>IF(N233&lt;&gt;"OK","",P233+(R233-P233)*(I233-O233)/(Q233-O233))</f>
        <v/>
      </c>
      <c r="T233" s="31">
        <f>IF(OR(N233&lt;&gt;"OK",NOT(ISNUMBER(M233))),"",M233-S233)</f>
        <v/>
      </c>
      <c r="U233" s="49">
        <f>IF(OR(NOT(ISNUMBER(T233)),IF(ISNUMBER(H233),H233,G233)=0),"",T233/IF(ISNUMBER(H233),H233,G233))</f>
        <v/>
      </c>
      <c r="V233" s="49">
        <f>IF(ISNUMBER(U233),ABS(U233),"")</f>
        <v/>
      </c>
      <c r="W233" s="49">
        <f>IF(OR($E232&lt;&gt;"측정",$C232&lt;&gt;$C233,$D232&lt;&gt;$D233,NOT(ISNUMBER(M233)),NOT(ISNUMBER(M232)),(IF(ISNUMBER(H233),H233,G233)-IF(ISNUMBER(H232),H232,G232))=0),"",(M233-M232)/(IF(ISNUMBER(H233),H233,G233)-IF(ISNUMBER(H232),H232,G232)))</f>
        <v/>
      </c>
      <c r="X233" s="31">
        <f>IF(NOT(AND(ISNUMBER(O233),ISNUMBER(Q233))),"",(Q233-O233)*1440)</f>
        <v/>
      </c>
      <c r="Y233" s="29" t="n"/>
      <c r="Z233" s="29" t="n"/>
      <c r="AA233" s="29" t="n"/>
      <c r="AB233" s="32" t="n"/>
      <c r="AC233" s="32" t="n"/>
    </row>
    <row r="234">
      <c r="A234" s="26" t="inlineStr">
        <is>
          <t>S05</t>
        </is>
      </c>
      <c r="B234" s="26" t="inlineStr">
        <is>
          <t>무풍 신규점1</t>
        </is>
      </c>
      <c r="C234" s="26" t="inlineStr">
        <is>
          <t>S05-H서</t>
        </is>
      </c>
      <c r="D234" s="47" t="n">
        <v>1</v>
      </c>
      <c r="E234" s="26" t="inlineStr">
        <is>
          <t>측정</t>
        </is>
      </c>
      <c r="F234" s="26" t="inlineStr">
        <is>
          <t>서</t>
        </is>
      </c>
      <c r="G234" s="31" t="n">
        <v>6</v>
      </c>
      <c r="H234" s="30" t="n"/>
      <c r="I234" s="43" t="n"/>
      <c r="J234" s="41" t="n"/>
      <c r="K234" s="41" t="n"/>
      <c r="L234" s="41" t="n"/>
      <c r="M234" s="31">
        <f>IF(COUNT(J234:L234)=0,"",MEDIAN(J234:L234))</f>
        <v/>
      </c>
      <c r="N234" s="26">
        <f>IF(COUNTIFS($C:$C,$C234,$D:$D,$D234,$E:$E,"P0(전)",$M:$M,"&gt;0")&lt;&gt;1,"P0(전) 유효 1개 아님",IF(COUNTIFS($C:$C,$C234,$D:$D,$D234,$E:$E,"P0(후)",$M:$M,"&gt;0")&lt;&gt;1,"P0(후) 유효 1개 아님",IF(NOT(AND(ISNUMBER(O234),ISNUMBER(Q234),ISNUMBER(I234))),"시각 결측",IF(Q234&lt;=O234,"P0 시각 역전",IF(OR(I234&lt;O234,I234&gt;Q234),"측정시각 구간 밖","OK")))))</f>
        <v/>
      </c>
      <c r="O234" s="48">
        <f>IF(COUNTIFS($C:$C,$C234,$D:$D,$D234,$E:$E,"P0(전)",$M:$M,"&gt;0")&lt;&gt;1,"",SUMIFS($I:$I,$C:$C,$C234,$D:$D,$D234,$E:$E,"P0(전)"))</f>
        <v/>
      </c>
      <c r="P234" s="31">
        <f>IF(COUNTIFS($C:$C,$C234,$D:$D,$D234,$E:$E,"P0(전)",$M:$M,"&gt;0")&lt;&gt;1,"",SUMIFS($M:$M,$C:$C,$C234,$D:$D,$D234,$E:$E,"P0(전)"))</f>
        <v/>
      </c>
      <c r="Q234" s="48">
        <f>IF(COUNTIFS($C:$C,$C234,$D:$D,$D234,$E:$E,"P0(후)",$M:$M,"&gt;0")&lt;&gt;1,"",SUMIFS($I:$I,$C:$C,$C234,$D:$D,$D234,$E:$E,"P0(후)"))</f>
        <v/>
      </c>
      <c r="R234" s="31">
        <f>IF(COUNTIFS($C:$C,$C234,$D:$D,$D234,$E:$E,"P0(후)",$M:$M,"&gt;0")&lt;&gt;1,"",SUMIFS($M:$M,$C:$C,$C234,$D:$D,$D234,$E:$E,"P0(후)"))</f>
        <v/>
      </c>
      <c r="S234" s="31">
        <f>IF(N234&lt;&gt;"OK","",P234+(R234-P234)*(I234-O234)/(Q234-O234))</f>
        <v/>
      </c>
      <c r="T234" s="31">
        <f>IF(OR(N234&lt;&gt;"OK",NOT(ISNUMBER(M234))),"",M234-S234)</f>
        <v/>
      </c>
      <c r="U234" s="49">
        <f>IF(OR(NOT(ISNUMBER(T234)),IF(ISNUMBER(H234),H234,G234)=0),"",T234/IF(ISNUMBER(H234),H234,G234))</f>
        <v/>
      </c>
      <c r="V234" s="49">
        <f>IF(ISNUMBER(U234),ABS(U234),"")</f>
        <v/>
      </c>
      <c r="W234" s="49">
        <f>IF(OR($E233&lt;&gt;"측정",$C233&lt;&gt;$C234,$D233&lt;&gt;$D234,NOT(ISNUMBER(M234)),NOT(ISNUMBER(M233)),(IF(ISNUMBER(H234),H234,G234)-IF(ISNUMBER(H233),H233,G233))=0),"",(M234-M233)/(IF(ISNUMBER(H234),H234,G234)-IF(ISNUMBER(H233),H233,G233)))</f>
        <v/>
      </c>
      <c r="X234" s="31">
        <f>IF(NOT(AND(ISNUMBER(O234),ISNUMBER(Q234))),"",(Q234-O234)*1440)</f>
        <v/>
      </c>
      <c r="Y234" s="29" t="n"/>
      <c r="Z234" s="29" t="n"/>
      <c r="AA234" s="29" t="n"/>
      <c r="AB234" s="32" t="n"/>
      <c r="AC234" s="32" t="n"/>
    </row>
    <row r="235">
      <c r="A235" s="26" t="inlineStr">
        <is>
          <t>S05</t>
        </is>
      </c>
      <c r="B235" s="26" t="inlineStr">
        <is>
          <t>무풍 신규점1</t>
        </is>
      </c>
      <c r="C235" s="26" t="inlineStr">
        <is>
          <t>S05-H서</t>
        </is>
      </c>
      <c r="D235" s="47" t="n">
        <v>1</v>
      </c>
      <c r="E235" s="26" t="inlineStr">
        <is>
          <t>측정</t>
        </is>
      </c>
      <c r="F235" s="26" t="inlineStr">
        <is>
          <t>서</t>
        </is>
      </c>
      <c r="G235" s="31" t="n">
        <v>7</v>
      </c>
      <c r="H235" s="30" t="n"/>
      <c r="I235" s="43" t="n"/>
      <c r="J235" s="41" t="n"/>
      <c r="K235" s="41" t="n"/>
      <c r="L235" s="41" t="n"/>
      <c r="M235" s="31">
        <f>IF(COUNT(J235:L235)=0,"",MEDIAN(J235:L235))</f>
        <v/>
      </c>
      <c r="N235" s="26">
        <f>IF(COUNTIFS($C:$C,$C235,$D:$D,$D235,$E:$E,"P0(전)",$M:$M,"&gt;0")&lt;&gt;1,"P0(전) 유효 1개 아님",IF(COUNTIFS($C:$C,$C235,$D:$D,$D235,$E:$E,"P0(후)",$M:$M,"&gt;0")&lt;&gt;1,"P0(후) 유효 1개 아님",IF(NOT(AND(ISNUMBER(O235),ISNUMBER(Q235),ISNUMBER(I235))),"시각 결측",IF(Q235&lt;=O235,"P0 시각 역전",IF(OR(I235&lt;O235,I235&gt;Q235),"측정시각 구간 밖","OK")))))</f>
        <v/>
      </c>
      <c r="O235" s="48">
        <f>IF(COUNTIFS($C:$C,$C235,$D:$D,$D235,$E:$E,"P0(전)",$M:$M,"&gt;0")&lt;&gt;1,"",SUMIFS($I:$I,$C:$C,$C235,$D:$D,$D235,$E:$E,"P0(전)"))</f>
        <v/>
      </c>
      <c r="P235" s="31">
        <f>IF(COUNTIFS($C:$C,$C235,$D:$D,$D235,$E:$E,"P0(전)",$M:$M,"&gt;0")&lt;&gt;1,"",SUMIFS($M:$M,$C:$C,$C235,$D:$D,$D235,$E:$E,"P0(전)"))</f>
        <v/>
      </c>
      <c r="Q235" s="48">
        <f>IF(COUNTIFS($C:$C,$C235,$D:$D,$D235,$E:$E,"P0(후)",$M:$M,"&gt;0")&lt;&gt;1,"",SUMIFS($I:$I,$C:$C,$C235,$D:$D,$D235,$E:$E,"P0(후)"))</f>
        <v/>
      </c>
      <c r="R235" s="31">
        <f>IF(COUNTIFS($C:$C,$C235,$D:$D,$D235,$E:$E,"P0(후)",$M:$M,"&gt;0")&lt;&gt;1,"",SUMIFS($M:$M,$C:$C,$C235,$D:$D,$D235,$E:$E,"P0(후)"))</f>
        <v/>
      </c>
      <c r="S235" s="31">
        <f>IF(N235&lt;&gt;"OK","",P235+(R235-P235)*(I235-O235)/(Q235-O235))</f>
        <v/>
      </c>
      <c r="T235" s="31">
        <f>IF(OR(N235&lt;&gt;"OK",NOT(ISNUMBER(M235))),"",M235-S235)</f>
        <v/>
      </c>
      <c r="U235" s="49">
        <f>IF(OR(NOT(ISNUMBER(T235)),IF(ISNUMBER(H235),H235,G235)=0),"",T235/IF(ISNUMBER(H235),H235,G235))</f>
        <v/>
      </c>
      <c r="V235" s="49">
        <f>IF(ISNUMBER(U235),ABS(U235),"")</f>
        <v/>
      </c>
      <c r="W235" s="49">
        <f>IF(OR($E234&lt;&gt;"측정",$C234&lt;&gt;$C235,$D234&lt;&gt;$D235,NOT(ISNUMBER(M235)),NOT(ISNUMBER(M234)),(IF(ISNUMBER(H235),H235,G235)-IF(ISNUMBER(H234),H234,G234))=0),"",(M235-M234)/(IF(ISNUMBER(H235),H235,G235)-IF(ISNUMBER(H234),H234,G234)))</f>
        <v/>
      </c>
      <c r="X235" s="31">
        <f>IF(NOT(AND(ISNUMBER(O235),ISNUMBER(Q235))),"",(Q235-O235)*1440)</f>
        <v/>
      </c>
      <c r="Y235" s="29" t="n"/>
      <c r="Z235" s="29" t="n"/>
      <c r="AA235" s="29" t="n"/>
      <c r="AB235" s="32" t="n"/>
      <c r="AC235" s="32" t="n"/>
    </row>
    <row r="236">
      <c r="A236" s="26" t="inlineStr">
        <is>
          <t>S05</t>
        </is>
      </c>
      <c r="B236" s="26" t="inlineStr">
        <is>
          <t>무풍 신규점1</t>
        </is>
      </c>
      <c r="C236" s="26" t="inlineStr">
        <is>
          <t>S05-H서</t>
        </is>
      </c>
      <c r="D236" s="47" t="n">
        <v>1</v>
      </c>
      <c r="E236" s="26" t="inlineStr">
        <is>
          <t>측정</t>
        </is>
      </c>
      <c r="F236" s="26" t="inlineStr">
        <is>
          <t>서</t>
        </is>
      </c>
      <c r="G236" s="31" t="n">
        <v>8</v>
      </c>
      <c r="H236" s="30" t="n"/>
      <c r="I236" s="43" t="n"/>
      <c r="J236" s="41" t="n"/>
      <c r="K236" s="41" t="n"/>
      <c r="L236" s="41" t="n"/>
      <c r="M236" s="31">
        <f>IF(COUNT(J236:L236)=0,"",MEDIAN(J236:L236))</f>
        <v/>
      </c>
      <c r="N236" s="26">
        <f>IF(COUNTIFS($C:$C,$C236,$D:$D,$D236,$E:$E,"P0(전)",$M:$M,"&gt;0")&lt;&gt;1,"P0(전) 유효 1개 아님",IF(COUNTIFS($C:$C,$C236,$D:$D,$D236,$E:$E,"P0(후)",$M:$M,"&gt;0")&lt;&gt;1,"P0(후) 유효 1개 아님",IF(NOT(AND(ISNUMBER(O236),ISNUMBER(Q236),ISNUMBER(I236))),"시각 결측",IF(Q236&lt;=O236,"P0 시각 역전",IF(OR(I236&lt;O236,I236&gt;Q236),"측정시각 구간 밖","OK")))))</f>
        <v/>
      </c>
      <c r="O236" s="48">
        <f>IF(COUNTIFS($C:$C,$C236,$D:$D,$D236,$E:$E,"P0(전)",$M:$M,"&gt;0")&lt;&gt;1,"",SUMIFS($I:$I,$C:$C,$C236,$D:$D,$D236,$E:$E,"P0(전)"))</f>
        <v/>
      </c>
      <c r="P236" s="31">
        <f>IF(COUNTIFS($C:$C,$C236,$D:$D,$D236,$E:$E,"P0(전)",$M:$M,"&gt;0")&lt;&gt;1,"",SUMIFS($M:$M,$C:$C,$C236,$D:$D,$D236,$E:$E,"P0(전)"))</f>
        <v/>
      </c>
      <c r="Q236" s="48">
        <f>IF(COUNTIFS($C:$C,$C236,$D:$D,$D236,$E:$E,"P0(후)",$M:$M,"&gt;0")&lt;&gt;1,"",SUMIFS($I:$I,$C:$C,$C236,$D:$D,$D236,$E:$E,"P0(후)"))</f>
        <v/>
      </c>
      <c r="R236" s="31">
        <f>IF(COUNTIFS($C:$C,$C236,$D:$D,$D236,$E:$E,"P0(후)",$M:$M,"&gt;0")&lt;&gt;1,"",SUMIFS($M:$M,$C:$C,$C236,$D:$D,$D236,$E:$E,"P0(후)"))</f>
        <v/>
      </c>
      <c r="S236" s="31">
        <f>IF(N236&lt;&gt;"OK","",P236+(R236-P236)*(I236-O236)/(Q236-O236))</f>
        <v/>
      </c>
      <c r="T236" s="31">
        <f>IF(OR(N236&lt;&gt;"OK",NOT(ISNUMBER(M236))),"",M236-S236)</f>
        <v/>
      </c>
      <c r="U236" s="49">
        <f>IF(OR(NOT(ISNUMBER(T236)),IF(ISNUMBER(H236),H236,G236)=0),"",T236/IF(ISNUMBER(H236),H236,G236))</f>
        <v/>
      </c>
      <c r="V236" s="49">
        <f>IF(ISNUMBER(U236),ABS(U236),"")</f>
        <v/>
      </c>
      <c r="W236" s="49">
        <f>IF(OR($E235&lt;&gt;"측정",$C235&lt;&gt;$C236,$D235&lt;&gt;$D236,NOT(ISNUMBER(M236)),NOT(ISNUMBER(M235)),(IF(ISNUMBER(H236),H236,G236)-IF(ISNUMBER(H235),H235,G235))=0),"",(M236-M235)/(IF(ISNUMBER(H236),H236,G236)-IF(ISNUMBER(H235),H235,G235)))</f>
        <v/>
      </c>
      <c r="X236" s="31">
        <f>IF(NOT(AND(ISNUMBER(O236),ISNUMBER(Q236))),"",(Q236-O236)*1440)</f>
        <v/>
      </c>
      <c r="Y236" s="29" t="n"/>
      <c r="Z236" s="29" t="n"/>
      <c r="AA236" s="29" t="n"/>
      <c r="AB236" s="32" t="n"/>
      <c r="AC236" s="32" t="n"/>
    </row>
    <row r="237">
      <c r="A237" s="26" t="inlineStr">
        <is>
          <t>S05</t>
        </is>
      </c>
      <c r="B237" s="26" t="inlineStr">
        <is>
          <t>무풍 신규점1</t>
        </is>
      </c>
      <c r="C237" s="26" t="inlineStr">
        <is>
          <t>S05-H서</t>
        </is>
      </c>
      <c r="D237" s="47" t="n">
        <v>1</v>
      </c>
      <c r="E237" s="26" t="inlineStr">
        <is>
          <t>측정</t>
        </is>
      </c>
      <c r="F237" s="26" t="inlineStr">
        <is>
          <t>서</t>
        </is>
      </c>
      <c r="G237" s="31" t="n">
        <v>9</v>
      </c>
      <c r="H237" s="30" t="n"/>
      <c r="I237" s="43" t="n"/>
      <c r="J237" s="41" t="n"/>
      <c r="K237" s="41" t="n"/>
      <c r="L237" s="41" t="n"/>
      <c r="M237" s="31">
        <f>IF(COUNT(J237:L237)=0,"",MEDIAN(J237:L237))</f>
        <v/>
      </c>
      <c r="N237" s="26">
        <f>IF(COUNTIFS($C:$C,$C237,$D:$D,$D237,$E:$E,"P0(전)",$M:$M,"&gt;0")&lt;&gt;1,"P0(전) 유효 1개 아님",IF(COUNTIFS($C:$C,$C237,$D:$D,$D237,$E:$E,"P0(후)",$M:$M,"&gt;0")&lt;&gt;1,"P0(후) 유효 1개 아님",IF(NOT(AND(ISNUMBER(O237),ISNUMBER(Q237),ISNUMBER(I237))),"시각 결측",IF(Q237&lt;=O237,"P0 시각 역전",IF(OR(I237&lt;O237,I237&gt;Q237),"측정시각 구간 밖","OK")))))</f>
        <v/>
      </c>
      <c r="O237" s="48">
        <f>IF(COUNTIFS($C:$C,$C237,$D:$D,$D237,$E:$E,"P0(전)",$M:$M,"&gt;0")&lt;&gt;1,"",SUMIFS($I:$I,$C:$C,$C237,$D:$D,$D237,$E:$E,"P0(전)"))</f>
        <v/>
      </c>
      <c r="P237" s="31">
        <f>IF(COUNTIFS($C:$C,$C237,$D:$D,$D237,$E:$E,"P0(전)",$M:$M,"&gt;0")&lt;&gt;1,"",SUMIFS($M:$M,$C:$C,$C237,$D:$D,$D237,$E:$E,"P0(전)"))</f>
        <v/>
      </c>
      <c r="Q237" s="48">
        <f>IF(COUNTIFS($C:$C,$C237,$D:$D,$D237,$E:$E,"P0(후)",$M:$M,"&gt;0")&lt;&gt;1,"",SUMIFS($I:$I,$C:$C,$C237,$D:$D,$D237,$E:$E,"P0(후)"))</f>
        <v/>
      </c>
      <c r="R237" s="31">
        <f>IF(COUNTIFS($C:$C,$C237,$D:$D,$D237,$E:$E,"P0(후)",$M:$M,"&gt;0")&lt;&gt;1,"",SUMIFS($M:$M,$C:$C,$C237,$D:$D,$D237,$E:$E,"P0(후)"))</f>
        <v/>
      </c>
      <c r="S237" s="31">
        <f>IF(N237&lt;&gt;"OK","",P237+(R237-P237)*(I237-O237)/(Q237-O237))</f>
        <v/>
      </c>
      <c r="T237" s="31">
        <f>IF(OR(N237&lt;&gt;"OK",NOT(ISNUMBER(M237))),"",M237-S237)</f>
        <v/>
      </c>
      <c r="U237" s="49">
        <f>IF(OR(NOT(ISNUMBER(T237)),IF(ISNUMBER(H237),H237,G237)=0),"",T237/IF(ISNUMBER(H237),H237,G237))</f>
        <v/>
      </c>
      <c r="V237" s="49">
        <f>IF(ISNUMBER(U237),ABS(U237),"")</f>
        <v/>
      </c>
      <c r="W237" s="49">
        <f>IF(OR($E236&lt;&gt;"측정",$C236&lt;&gt;$C237,$D236&lt;&gt;$D237,NOT(ISNUMBER(M237)),NOT(ISNUMBER(M236)),(IF(ISNUMBER(H237),H237,G237)-IF(ISNUMBER(H236),H236,G236))=0),"",(M237-M236)/(IF(ISNUMBER(H237),H237,G237)-IF(ISNUMBER(H236),H236,G236)))</f>
        <v/>
      </c>
      <c r="X237" s="31">
        <f>IF(NOT(AND(ISNUMBER(O237),ISNUMBER(Q237))),"",(Q237-O237)*1440)</f>
        <v/>
      </c>
      <c r="Y237" s="29" t="n"/>
      <c r="Z237" s="29" t="n"/>
      <c r="AA237" s="29" t="n"/>
      <c r="AB237" s="32" t="n"/>
      <c r="AC237" s="32" t="n"/>
    </row>
    <row r="238">
      <c r="A238" s="26" t="inlineStr">
        <is>
          <t>S05</t>
        </is>
      </c>
      <c r="B238" s="26" t="inlineStr">
        <is>
          <t>무풍 신규점1</t>
        </is>
      </c>
      <c r="C238" s="26" t="inlineStr">
        <is>
          <t>S05-H서</t>
        </is>
      </c>
      <c r="D238" s="47" t="n">
        <v>1</v>
      </c>
      <c r="E238" s="26" t="inlineStr">
        <is>
          <t>측정</t>
        </is>
      </c>
      <c r="F238" s="26" t="inlineStr">
        <is>
          <t>서</t>
        </is>
      </c>
      <c r="G238" s="31" t="n">
        <v>10</v>
      </c>
      <c r="H238" s="30" t="n"/>
      <c r="I238" s="43" t="n"/>
      <c r="J238" s="41" t="n"/>
      <c r="K238" s="41" t="n"/>
      <c r="L238" s="41" t="n"/>
      <c r="M238" s="31">
        <f>IF(COUNT(J238:L238)=0,"",MEDIAN(J238:L238))</f>
        <v/>
      </c>
      <c r="N238" s="26">
        <f>IF(COUNTIFS($C:$C,$C238,$D:$D,$D238,$E:$E,"P0(전)",$M:$M,"&gt;0")&lt;&gt;1,"P0(전) 유효 1개 아님",IF(COUNTIFS($C:$C,$C238,$D:$D,$D238,$E:$E,"P0(후)",$M:$M,"&gt;0")&lt;&gt;1,"P0(후) 유효 1개 아님",IF(NOT(AND(ISNUMBER(O238),ISNUMBER(Q238),ISNUMBER(I238))),"시각 결측",IF(Q238&lt;=O238,"P0 시각 역전",IF(OR(I238&lt;O238,I238&gt;Q238),"측정시각 구간 밖","OK")))))</f>
        <v/>
      </c>
      <c r="O238" s="48">
        <f>IF(COUNTIFS($C:$C,$C238,$D:$D,$D238,$E:$E,"P0(전)",$M:$M,"&gt;0")&lt;&gt;1,"",SUMIFS($I:$I,$C:$C,$C238,$D:$D,$D238,$E:$E,"P0(전)"))</f>
        <v/>
      </c>
      <c r="P238" s="31">
        <f>IF(COUNTIFS($C:$C,$C238,$D:$D,$D238,$E:$E,"P0(전)",$M:$M,"&gt;0")&lt;&gt;1,"",SUMIFS($M:$M,$C:$C,$C238,$D:$D,$D238,$E:$E,"P0(전)"))</f>
        <v/>
      </c>
      <c r="Q238" s="48">
        <f>IF(COUNTIFS($C:$C,$C238,$D:$D,$D238,$E:$E,"P0(후)",$M:$M,"&gt;0")&lt;&gt;1,"",SUMIFS($I:$I,$C:$C,$C238,$D:$D,$D238,$E:$E,"P0(후)"))</f>
        <v/>
      </c>
      <c r="R238" s="31">
        <f>IF(COUNTIFS($C:$C,$C238,$D:$D,$D238,$E:$E,"P0(후)",$M:$M,"&gt;0")&lt;&gt;1,"",SUMIFS($M:$M,$C:$C,$C238,$D:$D,$D238,$E:$E,"P0(후)"))</f>
        <v/>
      </c>
      <c r="S238" s="31">
        <f>IF(N238&lt;&gt;"OK","",P238+(R238-P238)*(I238-O238)/(Q238-O238))</f>
        <v/>
      </c>
      <c r="T238" s="31">
        <f>IF(OR(N238&lt;&gt;"OK",NOT(ISNUMBER(M238))),"",M238-S238)</f>
        <v/>
      </c>
      <c r="U238" s="49">
        <f>IF(OR(NOT(ISNUMBER(T238)),IF(ISNUMBER(H238),H238,G238)=0),"",T238/IF(ISNUMBER(H238),H238,G238))</f>
        <v/>
      </c>
      <c r="V238" s="49">
        <f>IF(ISNUMBER(U238),ABS(U238),"")</f>
        <v/>
      </c>
      <c r="W238" s="49">
        <f>IF(OR($E237&lt;&gt;"측정",$C237&lt;&gt;$C238,$D237&lt;&gt;$D238,NOT(ISNUMBER(M238)),NOT(ISNUMBER(M237)),(IF(ISNUMBER(H238),H238,G238)-IF(ISNUMBER(H237),H237,G237))=0),"",(M238-M237)/(IF(ISNUMBER(H238),H238,G238)-IF(ISNUMBER(H237),H237,G237)))</f>
        <v/>
      </c>
      <c r="X238" s="31">
        <f>IF(NOT(AND(ISNUMBER(O238),ISNUMBER(Q238))),"",(Q238-O238)*1440)</f>
        <v/>
      </c>
      <c r="Y238" s="29" t="n"/>
      <c r="Z238" s="29" t="n"/>
      <c r="AA238" s="29" t="n"/>
      <c r="AB238" s="32" t="n"/>
      <c r="AC238" s="32" t="n"/>
    </row>
    <row r="239">
      <c r="A239" s="44" t="inlineStr">
        <is>
          <t>S05</t>
        </is>
      </c>
      <c r="B239" s="44" t="inlineStr">
        <is>
          <t>무풍 신규점1</t>
        </is>
      </c>
      <c r="C239" s="44" t="inlineStr">
        <is>
          <t>S05-H서</t>
        </is>
      </c>
      <c r="D239" s="45" t="n">
        <v>1</v>
      </c>
      <c r="E239" s="44" t="inlineStr">
        <is>
          <t>P0(후)</t>
        </is>
      </c>
      <c r="F239" s="44" t="inlineStr">
        <is>
          <t>서</t>
        </is>
      </c>
      <c r="G239" s="46" t="n"/>
      <c r="H239" s="30" t="n"/>
      <c r="I239" s="43" t="n"/>
      <c r="J239" s="41" t="n"/>
      <c r="K239" s="41" t="n"/>
      <c r="L239" s="41" t="n"/>
      <c r="M239" s="31">
        <f>IF(COUNT(J239:L239)=0,"",MEDIAN(J239:L239))</f>
        <v/>
      </c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29" t="n"/>
      <c r="Z239" s="29" t="n"/>
      <c r="AA239" s="29" t="n"/>
      <c r="AB239" s="32" t="n"/>
      <c r="AC239" s="32" t="n"/>
    </row>
    <row r="240">
      <c r="A240" s="44" t="inlineStr">
        <is>
          <t>S05</t>
        </is>
      </c>
      <c r="B240" s="44" t="inlineStr">
        <is>
          <t>무풍 신규점1</t>
        </is>
      </c>
      <c r="C240" s="44" t="inlineStr">
        <is>
          <t>S05-H남</t>
        </is>
      </c>
      <c r="D240" s="45" t="n">
        <v>1</v>
      </c>
      <c r="E240" s="44" t="inlineStr">
        <is>
          <t>P0(전)</t>
        </is>
      </c>
      <c r="F240" s="44" t="inlineStr">
        <is>
          <t>남</t>
        </is>
      </c>
      <c r="G240" s="46" t="n"/>
      <c r="H240" s="30" t="n"/>
      <c r="I240" s="43" t="n"/>
      <c r="J240" s="41" t="n"/>
      <c r="K240" s="41" t="n"/>
      <c r="L240" s="41" t="n"/>
      <c r="M240" s="31">
        <f>IF(COUNT(J240:L240)=0,"",MEDIAN(J240:L240))</f>
        <v/>
      </c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29" t="n"/>
      <c r="Z240" s="29" t="n"/>
      <c r="AA240" s="29" t="n"/>
      <c r="AB240" s="32" t="n"/>
      <c r="AC240" s="32" t="n"/>
    </row>
    <row r="241">
      <c r="A241" s="26" t="inlineStr">
        <is>
          <t>S05</t>
        </is>
      </c>
      <c r="B241" s="26" t="inlineStr">
        <is>
          <t>무풍 신규점1</t>
        </is>
      </c>
      <c r="C241" s="26" t="inlineStr">
        <is>
          <t>S05-H남</t>
        </is>
      </c>
      <c r="D241" s="47" t="n">
        <v>1</v>
      </c>
      <c r="E241" s="26" t="inlineStr">
        <is>
          <t>측정</t>
        </is>
      </c>
      <c r="F241" s="26" t="inlineStr">
        <is>
          <t>남</t>
        </is>
      </c>
      <c r="G241" s="31" t="n">
        <v>0.5</v>
      </c>
      <c r="H241" s="30" t="n"/>
      <c r="I241" s="43" t="n"/>
      <c r="J241" s="41" t="n"/>
      <c r="K241" s="41" t="n"/>
      <c r="L241" s="41" t="n"/>
      <c r="M241" s="31">
        <f>IF(COUNT(J241:L241)=0,"",MEDIAN(J241:L241))</f>
        <v/>
      </c>
      <c r="N241" s="26">
        <f>IF(COUNTIFS($C:$C,$C241,$D:$D,$D241,$E:$E,"P0(전)",$M:$M,"&gt;0")&lt;&gt;1,"P0(전) 유효 1개 아님",IF(COUNTIFS($C:$C,$C241,$D:$D,$D241,$E:$E,"P0(후)",$M:$M,"&gt;0")&lt;&gt;1,"P0(후) 유효 1개 아님",IF(NOT(AND(ISNUMBER(O241),ISNUMBER(Q241),ISNUMBER(I241))),"시각 결측",IF(Q241&lt;=O241,"P0 시각 역전",IF(OR(I241&lt;O241,I241&gt;Q241),"측정시각 구간 밖","OK")))))</f>
        <v/>
      </c>
      <c r="O241" s="48">
        <f>IF(COUNTIFS($C:$C,$C241,$D:$D,$D241,$E:$E,"P0(전)",$M:$M,"&gt;0")&lt;&gt;1,"",SUMIFS($I:$I,$C:$C,$C241,$D:$D,$D241,$E:$E,"P0(전)"))</f>
        <v/>
      </c>
      <c r="P241" s="31">
        <f>IF(COUNTIFS($C:$C,$C241,$D:$D,$D241,$E:$E,"P0(전)",$M:$M,"&gt;0")&lt;&gt;1,"",SUMIFS($M:$M,$C:$C,$C241,$D:$D,$D241,$E:$E,"P0(전)"))</f>
        <v/>
      </c>
      <c r="Q241" s="48">
        <f>IF(COUNTIFS($C:$C,$C241,$D:$D,$D241,$E:$E,"P0(후)",$M:$M,"&gt;0")&lt;&gt;1,"",SUMIFS($I:$I,$C:$C,$C241,$D:$D,$D241,$E:$E,"P0(후)"))</f>
        <v/>
      </c>
      <c r="R241" s="31">
        <f>IF(COUNTIFS($C:$C,$C241,$D:$D,$D241,$E:$E,"P0(후)",$M:$M,"&gt;0")&lt;&gt;1,"",SUMIFS($M:$M,$C:$C,$C241,$D:$D,$D241,$E:$E,"P0(후)"))</f>
        <v/>
      </c>
      <c r="S241" s="31">
        <f>IF(N241&lt;&gt;"OK","",P241+(R241-P241)*(I241-O241)/(Q241-O241))</f>
        <v/>
      </c>
      <c r="T241" s="31">
        <f>IF(OR(N241&lt;&gt;"OK",NOT(ISNUMBER(M241))),"",M241-S241)</f>
        <v/>
      </c>
      <c r="U241" s="49">
        <f>IF(OR(NOT(ISNUMBER(T241)),IF(ISNUMBER(H241),H241,G241)=0),"",T241/IF(ISNUMBER(H241),H241,G241))</f>
        <v/>
      </c>
      <c r="V241" s="49">
        <f>IF(ISNUMBER(U241),ABS(U241),"")</f>
        <v/>
      </c>
      <c r="W241" s="49">
        <f>IF(OR($E240&lt;&gt;"측정",$C240&lt;&gt;$C241,$D240&lt;&gt;$D241,NOT(ISNUMBER(M241)),NOT(ISNUMBER(M240)),(IF(ISNUMBER(H241),H241,G241)-IF(ISNUMBER(H240),H240,G240))=0),"",(M241-M240)/(IF(ISNUMBER(H241),H241,G241)-IF(ISNUMBER(H240),H240,G240)))</f>
        <v/>
      </c>
      <c r="X241" s="31">
        <f>IF(NOT(AND(ISNUMBER(O241),ISNUMBER(Q241))),"",(Q241-O241)*1440)</f>
        <v/>
      </c>
      <c r="Y241" s="29" t="n"/>
      <c r="Z241" s="29" t="n"/>
      <c r="AA241" s="29" t="n"/>
      <c r="AB241" s="32" t="n"/>
      <c r="AC241" s="32" t="n"/>
    </row>
    <row r="242">
      <c r="A242" s="26" t="inlineStr">
        <is>
          <t>S05</t>
        </is>
      </c>
      <c r="B242" s="26" t="inlineStr">
        <is>
          <t>무풍 신규점1</t>
        </is>
      </c>
      <c r="C242" s="26" t="inlineStr">
        <is>
          <t>S05-H남</t>
        </is>
      </c>
      <c r="D242" s="47" t="n">
        <v>1</v>
      </c>
      <c r="E242" s="26" t="inlineStr">
        <is>
          <t>측정</t>
        </is>
      </c>
      <c r="F242" s="26" t="inlineStr">
        <is>
          <t>남</t>
        </is>
      </c>
      <c r="G242" s="31" t="n">
        <v>1</v>
      </c>
      <c r="H242" s="30" t="n"/>
      <c r="I242" s="43" t="n"/>
      <c r="J242" s="41" t="n"/>
      <c r="K242" s="41" t="n"/>
      <c r="L242" s="41" t="n"/>
      <c r="M242" s="31">
        <f>IF(COUNT(J242:L242)=0,"",MEDIAN(J242:L242))</f>
        <v/>
      </c>
      <c r="N242" s="26">
        <f>IF(COUNTIFS($C:$C,$C242,$D:$D,$D242,$E:$E,"P0(전)",$M:$M,"&gt;0")&lt;&gt;1,"P0(전) 유효 1개 아님",IF(COUNTIFS($C:$C,$C242,$D:$D,$D242,$E:$E,"P0(후)",$M:$M,"&gt;0")&lt;&gt;1,"P0(후) 유효 1개 아님",IF(NOT(AND(ISNUMBER(O242),ISNUMBER(Q242),ISNUMBER(I242))),"시각 결측",IF(Q242&lt;=O242,"P0 시각 역전",IF(OR(I242&lt;O242,I242&gt;Q242),"측정시각 구간 밖","OK")))))</f>
        <v/>
      </c>
      <c r="O242" s="48">
        <f>IF(COUNTIFS($C:$C,$C242,$D:$D,$D242,$E:$E,"P0(전)",$M:$M,"&gt;0")&lt;&gt;1,"",SUMIFS($I:$I,$C:$C,$C242,$D:$D,$D242,$E:$E,"P0(전)"))</f>
        <v/>
      </c>
      <c r="P242" s="31">
        <f>IF(COUNTIFS($C:$C,$C242,$D:$D,$D242,$E:$E,"P0(전)",$M:$M,"&gt;0")&lt;&gt;1,"",SUMIFS($M:$M,$C:$C,$C242,$D:$D,$D242,$E:$E,"P0(전)"))</f>
        <v/>
      </c>
      <c r="Q242" s="48">
        <f>IF(COUNTIFS($C:$C,$C242,$D:$D,$D242,$E:$E,"P0(후)",$M:$M,"&gt;0")&lt;&gt;1,"",SUMIFS($I:$I,$C:$C,$C242,$D:$D,$D242,$E:$E,"P0(후)"))</f>
        <v/>
      </c>
      <c r="R242" s="31">
        <f>IF(COUNTIFS($C:$C,$C242,$D:$D,$D242,$E:$E,"P0(후)",$M:$M,"&gt;0")&lt;&gt;1,"",SUMIFS($M:$M,$C:$C,$C242,$D:$D,$D242,$E:$E,"P0(후)"))</f>
        <v/>
      </c>
      <c r="S242" s="31">
        <f>IF(N242&lt;&gt;"OK","",P242+(R242-P242)*(I242-O242)/(Q242-O242))</f>
        <v/>
      </c>
      <c r="T242" s="31">
        <f>IF(OR(N242&lt;&gt;"OK",NOT(ISNUMBER(M242))),"",M242-S242)</f>
        <v/>
      </c>
      <c r="U242" s="49">
        <f>IF(OR(NOT(ISNUMBER(T242)),IF(ISNUMBER(H242),H242,G242)=0),"",T242/IF(ISNUMBER(H242),H242,G242))</f>
        <v/>
      </c>
      <c r="V242" s="49">
        <f>IF(ISNUMBER(U242),ABS(U242),"")</f>
        <v/>
      </c>
      <c r="W242" s="49">
        <f>IF(OR($E241&lt;&gt;"측정",$C241&lt;&gt;$C242,$D241&lt;&gt;$D242,NOT(ISNUMBER(M242)),NOT(ISNUMBER(M241)),(IF(ISNUMBER(H242),H242,G242)-IF(ISNUMBER(H241),H241,G241))=0),"",(M242-M241)/(IF(ISNUMBER(H242),H242,G242)-IF(ISNUMBER(H241),H241,G241)))</f>
        <v/>
      </c>
      <c r="X242" s="31">
        <f>IF(NOT(AND(ISNUMBER(O242),ISNUMBER(Q242))),"",(Q242-O242)*1440)</f>
        <v/>
      </c>
      <c r="Y242" s="29" t="n"/>
      <c r="Z242" s="29" t="n"/>
      <c r="AA242" s="29" t="n"/>
      <c r="AB242" s="32" t="n"/>
      <c r="AC242" s="32" t="n"/>
    </row>
    <row r="243">
      <c r="A243" s="26" t="inlineStr">
        <is>
          <t>S05</t>
        </is>
      </c>
      <c r="B243" s="26" t="inlineStr">
        <is>
          <t>무풍 신규점1</t>
        </is>
      </c>
      <c r="C243" s="26" t="inlineStr">
        <is>
          <t>S05-H남</t>
        </is>
      </c>
      <c r="D243" s="47" t="n">
        <v>1</v>
      </c>
      <c r="E243" s="26" t="inlineStr">
        <is>
          <t>측정</t>
        </is>
      </c>
      <c r="F243" s="26" t="inlineStr">
        <is>
          <t>남</t>
        </is>
      </c>
      <c r="G243" s="31" t="n">
        <v>2</v>
      </c>
      <c r="H243" s="30" t="n"/>
      <c r="I243" s="43" t="n"/>
      <c r="J243" s="41" t="n"/>
      <c r="K243" s="41" t="n"/>
      <c r="L243" s="41" t="n"/>
      <c r="M243" s="31">
        <f>IF(COUNT(J243:L243)=0,"",MEDIAN(J243:L243))</f>
        <v/>
      </c>
      <c r="N243" s="26">
        <f>IF(COUNTIFS($C:$C,$C243,$D:$D,$D243,$E:$E,"P0(전)",$M:$M,"&gt;0")&lt;&gt;1,"P0(전) 유효 1개 아님",IF(COUNTIFS($C:$C,$C243,$D:$D,$D243,$E:$E,"P0(후)",$M:$M,"&gt;0")&lt;&gt;1,"P0(후) 유효 1개 아님",IF(NOT(AND(ISNUMBER(O243),ISNUMBER(Q243),ISNUMBER(I243))),"시각 결측",IF(Q243&lt;=O243,"P0 시각 역전",IF(OR(I243&lt;O243,I243&gt;Q243),"측정시각 구간 밖","OK")))))</f>
        <v/>
      </c>
      <c r="O243" s="48">
        <f>IF(COUNTIFS($C:$C,$C243,$D:$D,$D243,$E:$E,"P0(전)",$M:$M,"&gt;0")&lt;&gt;1,"",SUMIFS($I:$I,$C:$C,$C243,$D:$D,$D243,$E:$E,"P0(전)"))</f>
        <v/>
      </c>
      <c r="P243" s="31">
        <f>IF(COUNTIFS($C:$C,$C243,$D:$D,$D243,$E:$E,"P0(전)",$M:$M,"&gt;0")&lt;&gt;1,"",SUMIFS($M:$M,$C:$C,$C243,$D:$D,$D243,$E:$E,"P0(전)"))</f>
        <v/>
      </c>
      <c r="Q243" s="48">
        <f>IF(COUNTIFS($C:$C,$C243,$D:$D,$D243,$E:$E,"P0(후)",$M:$M,"&gt;0")&lt;&gt;1,"",SUMIFS($I:$I,$C:$C,$C243,$D:$D,$D243,$E:$E,"P0(후)"))</f>
        <v/>
      </c>
      <c r="R243" s="31">
        <f>IF(COUNTIFS($C:$C,$C243,$D:$D,$D243,$E:$E,"P0(후)",$M:$M,"&gt;0")&lt;&gt;1,"",SUMIFS($M:$M,$C:$C,$C243,$D:$D,$D243,$E:$E,"P0(후)"))</f>
        <v/>
      </c>
      <c r="S243" s="31">
        <f>IF(N243&lt;&gt;"OK","",P243+(R243-P243)*(I243-O243)/(Q243-O243))</f>
        <v/>
      </c>
      <c r="T243" s="31">
        <f>IF(OR(N243&lt;&gt;"OK",NOT(ISNUMBER(M243))),"",M243-S243)</f>
        <v/>
      </c>
      <c r="U243" s="49">
        <f>IF(OR(NOT(ISNUMBER(T243)),IF(ISNUMBER(H243),H243,G243)=0),"",T243/IF(ISNUMBER(H243),H243,G243))</f>
        <v/>
      </c>
      <c r="V243" s="49">
        <f>IF(ISNUMBER(U243),ABS(U243),"")</f>
        <v/>
      </c>
      <c r="W243" s="49">
        <f>IF(OR($E242&lt;&gt;"측정",$C242&lt;&gt;$C243,$D242&lt;&gt;$D243,NOT(ISNUMBER(M243)),NOT(ISNUMBER(M242)),(IF(ISNUMBER(H243),H243,G243)-IF(ISNUMBER(H242),H242,G242))=0),"",(M243-M242)/(IF(ISNUMBER(H243),H243,G243)-IF(ISNUMBER(H242),H242,G242)))</f>
        <v/>
      </c>
      <c r="X243" s="31">
        <f>IF(NOT(AND(ISNUMBER(O243),ISNUMBER(Q243))),"",(Q243-O243)*1440)</f>
        <v/>
      </c>
      <c r="Y243" s="29" t="n"/>
      <c r="Z243" s="29" t="n"/>
      <c r="AA243" s="29" t="n"/>
      <c r="AB243" s="32" t="n"/>
      <c r="AC243" s="32" t="n"/>
    </row>
    <row r="244">
      <c r="A244" s="26" t="inlineStr">
        <is>
          <t>S05</t>
        </is>
      </c>
      <c r="B244" s="26" t="inlineStr">
        <is>
          <t>무풍 신규점1</t>
        </is>
      </c>
      <c r="C244" s="26" t="inlineStr">
        <is>
          <t>S05-H남</t>
        </is>
      </c>
      <c r="D244" s="47" t="n">
        <v>1</v>
      </c>
      <c r="E244" s="26" t="inlineStr">
        <is>
          <t>측정</t>
        </is>
      </c>
      <c r="F244" s="26" t="inlineStr">
        <is>
          <t>남</t>
        </is>
      </c>
      <c r="G244" s="31" t="n">
        <v>3</v>
      </c>
      <c r="H244" s="30" t="n"/>
      <c r="I244" s="43" t="n"/>
      <c r="J244" s="41" t="n"/>
      <c r="K244" s="41" t="n"/>
      <c r="L244" s="41" t="n"/>
      <c r="M244" s="31">
        <f>IF(COUNT(J244:L244)=0,"",MEDIAN(J244:L244))</f>
        <v/>
      </c>
      <c r="N244" s="26">
        <f>IF(COUNTIFS($C:$C,$C244,$D:$D,$D244,$E:$E,"P0(전)",$M:$M,"&gt;0")&lt;&gt;1,"P0(전) 유효 1개 아님",IF(COUNTIFS($C:$C,$C244,$D:$D,$D244,$E:$E,"P0(후)",$M:$M,"&gt;0")&lt;&gt;1,"P0(후) 유효 1개 아님",IF(NOT(AND(ISNUMBER(O244),ISNUMBER(Q244),ISNUMBER(I244))),"시각 결측",IF(Q244&lt;=O244,"P0 시각 역전",IF(OR(I244&lt;O244,I244&gt;Q244),"측정시각 구간 밖","OK")))))</f>
        <v/>
      </c>
      <c r="O244" s="48">
        <f>IF(COUNTIFS($C:$C,$C244,$D:$D,$D244,$E:$E,"P0(전)",$M:$M,"&gt;0")&lt;&gt;1,"",SUMIFS($I:$I,$C:$C,$C244,$D:$D,$D244,$E:$E,"P0(전)"))</f>
        <v/>
      </c>
      <c r="P244" s="31">
        <f>IF(COUNTIFS($C:$C,$C244,$D:$D,$D244,$E:$E,"P0(전)",$M:$M,"&gt;0")&lt;&gt;1,"",SUMIFS($M:$M,$C:$C,$C244,$D:$D,$D244,$E:$E,"P0(전)"))</f>
        <v/>
      </c>
      <c r="Q244" s="48">
        <f>IF(COUNTIFS($C:$C,$C244,$D:$D,$D244,$E:$E,"P0(후)",$M:$M,"&gt;0")&lt;&gt;1,"",SUMIFS($I:$I,$C:$C,$C244,$D:$D,$D244,$E:$E,"P0(후)"))</f>
        <v/>
      </c>
      <c r="R244" s="31">
        <f>IF(COUNTIFS($C:$C,$C244,$D:$D,$D244,$E:$E,"P0(후)",$M:$M,"&gt;0")&lt;&gt;1,"",SUMIFS($M:$M,$C:$C,$C244,$D:$D,$D244,$E:$E,"P0(후)"))</f>
        <v/>
      </c>
      <c r="S244" s="31">
        <f>IF(N244&lt;&gt;"OK","",P244+(R244-P244)*(I244-O244)/(Q244-O244))</f>
        <v/>
      </c>
      <c r="T244" s="31">
        <f>IF(OR(N244&lt;&gt;"OK",NOT(ISNUMBER(M244))),"",M244-S244)</f>
        <v/>
      </c>
      <c r="U244" s="49">
        <f>IF(OR(NOT(ISNUMBER(T244)),IF(ISNUMBER(H244),H244,G244)=0),"",T244/IF(ISNUMBER(H244),H244,G244))</f>
        <v/>
      </c>
      <c r="V244" s="49">
        <f>IF(ISNUMBER(U244),ABS(U244),"")</f>
        <v/>
      </c>
      <c r="W244" s="49">
        <f>IF(OR($E243&lt;&gt;"측정",$C243&lt;&gt;$C244,$D243&lt;&gt;$D244,NOT(ISNUMBER(M244)),NOT(ISNUMBER(M243)),(IF(ISNUMBER(H244),H244,G244)-IF(ISNUMBER(H243),H243,G243))=0),"",(M244-M243)/(IF(ISNUMBER(H244),H244,G244)-IF(ISNUMBER(H243),H243,G243)))</f>
        <v/>
      </c>
      <c r="X244" s="31">
        <f>IF(NOT(AND(ISNUMBER(O244),ISNUMBER(Q244))),"",(Q244-O244)*1440)</f>
        <v/>
      </c>
      <c r="Y244" s="29" t="n"/>
      <c r="Z244" s="29" t="n"/>
      <c r="AA244" s="29" t="n"/>
      <c r="AB244" s="32" t="n"/>
      <c r="AC244" s="32" t="n"/>
    </row>
    <row r="245">
      <c r="A245" s="26" t="inlineStr">
        <is>
          <t>S05</t>
        </is>
      </c>
      <c r="B245" s="26" t="inlineStr">
        <is>
          <t>무풍 신규점1</t>
        </is>
      </c>
      <c r="C245" s="26" t="inlineStr">
        <is>
          <t>S05-H남</t>
        </is>
      </c>
      <c r="D245" s="47" t="n">
        <v>1</v>
      </c>
      <c r="E245" s="26" t="inlineStr">
        <is>
          <t>측정</t>
        </is>
      </c>
      <c r="F245" s="26" t="inlineStr">
        <is>
          <t>남</t>
        </is>
      </c>
      <c r="G245" s="31" t="n">
        <v>4</v>
      </c>
      <c r="H245" s="30" t="n"/>
      <c r="I245" s="43" t="n"/>
      <c r="J245" s="41" t="n"/>
      <c r="K245" s="41" t="n"/>
      <c r="L245" s="41" t="n"/>
      <c r="M245" s="31">
        <f>IF(COUNT(J245:L245)=0,"",MEDIAN(J245:L245))</f>
        <v/>
      </c>
      <c r="N245" s="26">
        <f>IF(COUNTIFS($C:$C,$C245,$D:$D,$D245,$E:$E,"P0(전)",$M:$M,"&gt;0")&lt;&gt;1,"P0(전) 유효 1개 아님",IF(COUNTIFS($C:$C,$C245,$D:$D,$D245,$E:$E,"P0(후)",$M:$M,"&gt;0")&lt;&gt;1,"P0(후) 유효 1개 아님",IF(NOT(AND(ISNUMBER(O245),ISNUMBER(Q245),ISNUMBER(I245))),"시각 결측",IF(Q245&lt;=O245,"P0 시각 역전",IF(OR(I245&lt;O245,I245&gt;Q245),"측정시각 구간 밖","OK")))))</f>
        <v/>
      </c>
      <c r="O245" s="48">
        <f>IF(COUNTIFS($C:$C,$C245,$D:$D,$D245,$E:$E,"P0(전)",$M:$M,"&gt;0")&lt;&gt;1,"",SUMIFS($I:$I,$C:$C,$C245,$D:$D,$D245,$E:$E,"P0(전)"))</f>
        <v/>
      </c>
      <c r="P245" s="31">
        <f>IF(COUNTIFS($C:$C,$C245,$D:$D,$D245,$E:$E,"P0(전)",$M:$M,"&gt;0")&lt;&gt;1,"",SUMIFS($M:$M,$C:$C,$C245,$D:$D,$D245,$E:$E,"P0(전)"))</f>
        <v/>
      </c>
      <c r="Q245" s="48">
        <f>IF(COUNTIFS($C:$C,$C245,$D:$D,$D245,$E:$E,"P0(후)",$M:$M,"&gt;0")&lt;&gt;1,"",SUMIFS($I:$I,$C:$C,$C245,$D:$D,$D245,$E:$E,"P0(후)"))</f>
        <v/>
      </c>
      <c r="R245" s="31">
        <f>IF(COUNTIFS($C:$C,$C245,$D:$D,$D245,$E:$E,"P0(후)",$M:$M,"&gt;0")&lt;&gt;1,"",SUMIFS($M:$M,$C:$C,$C245,$D:$D,$D245,$E:$E,"P0(후)"))</f>
        <v/>
      </c>
      <c r="S245" s="31">
        <f>IF(N245&lt;&gt;"OK","",P245+(R245-P245)*(I245-O245)/(Q245-O245))</f>
        <v/>
      </c>
      <c r="T245" s="31">
        <f>IF(OR(N245&lt;&gt;"OK",NOT(ISNUMBER(M245))),"",M245-S245)</f>
        <v/>
      </c>
      <c r="U245" s="49">
        <f>IF(OR(NOT(ISNUMBER(T245)),IF(ISNUMBER(H245),H245,G245)=0),"",T245/IF(ISNUMBER(H245),H245,G245))</f>
        <v/>
      </c>
      <c r="V245" s="49">
        <f>IF(ISNUMBER(U245),ABS(U245),"")</f>
        <v/>
      </c>
      <c r="W245" s="49">
        <f>IF(OR($E244&lt;&gt;"측정",$C244&lt;&gt;$C245,$D244&lt;&gt;$D245,NOT(ISNUMBER(M245)),NOT(ISNUMBER(M244)),(IF(ISNUMBER(H245),H245,G245)-IF(ISNUMBER(H244),H244,G244))=0),"",(M245-M244)/(IF(ISNUMBER(H245),H245,G245)-IF(ISNUMBER(H244),H244,G244)))</f>
        <v/>
      </c>
      <c r="X245" s="31">
        <f>IF(NOT(AND(ISNUMBER(O245),ISNUMBER(Q245))),"",(Q245-O245)*1440)</f>
        <v/>
      </c>
      <c r="Y245" s="29" t="n"/>
      <c r="Z245" s="29" t="n"/>
      <c r="AA245" s="29" t="n"/>
      <c r="AB245" s="32" t="n"/>
      <c r="AC245" s="32" t="n"/>
    </row>
    <row r="246">
      <c r="A246" s="26" t="inlineStr">
        <is>
          <t>S05</t>
        </is>
      </c>
      <c r="B246" s="26" t="inlineStr">
        <is>
          <t>무풍 신규점1</t>
        </is>
      </c>
      <c r="C246" s="26" t="inlineStr">
        <is>
          <t>S05-H남</t>
        </is>
      </c>
      <c r="D246" s="47" t="n">
        <v>1</v>
      </c>
      <c r="E246" s="26" t="inlineStr">
        <is>
          <t>측정</t>
        </is>
      </c>
      <c r="F246" s="26" t="inlineStr">
        <is>
          <t>남</t>
        </is>
      </c>
      <c r="G246" s="31" t="n">
        <v>5</v>
      </c>
      <c r="H246" s="30" t="n"/>
      <c r="I246" s="43" t="n"/>
      <c r="J246" s="41" t="n"/>
      <c r="K246" s="41" t="n"/>
      <c r="L246" s="41" t="n"/>
      <c r="M246" s="31">
        <f>IF(COUNT(J246:L246)=0,"",MEDIAN(J246:L246))</f>
        <v/>
      </c>
      <c r="N246" s="26">
        <f>IF(COUNTIFS($C:$C,$C246,$D:$D,$D246,$E:$E,"P0(전)",$M:$M,"&gt;0")&lt;&gt;1,"P0(전) 유효 1개 아님",IF(COUNTIFS($C:$C,$C246,$D:$D,$D246,$E:$E,"P0(후)",$M:$M,"&gt;0")&lt;&gt;1,"P0(후) 유효 1개 아님",IF(NOT(AND(ISNUMBER(O246),ISNUMBER(Q246),ISNUMBER(I246))),"시각 결측",IF(Q246&lt;=O246,"P0 시각 역전",IF(OR(I246&lt;O246,I246&gt;Q246),"측정시각 구간 밖","OK")))))</f>
        <v/>
      </c>
      <c r="O246" s="48">
        <f>IF(COUNTIFS($C:$C,$C246,$D:$D,$D246,$E:$E,"P0(전)",$M:$M,"&gt;0")&lt;&gt;1,"",SUMIFS($I:$I,$C:$C,$C246,$D:$D,$D246,$E:$E,"P0(전)"))</f>
        <v/>
      </c>
      <c r="P246" s="31">
        <f>IF(COUNTIFS($C:$C,$C246,$D:$D,$D246,$E:$E,"P0(전)",$M:$M,"&gt;0")&lt;&gt;1,"",SUMIFS($M:$M,$C:$C,$C246,$D:$D,$D246,$E:$E,"P0(전)"))</f>
        <v/>
      </c>
      <c r="Q246" s="48">
        <f>IF(COUNTIFS($C:$C,$C246,$D:$D,$D246,$E:$E,"P0(후)",$M:$M,"&gt;0")&lt;&gt;1,"",SUMIFS($I:$I,$C:$C,$C246,$D:$D,$D246,$E:$E,"P0(후)"))</f>
        <v/>
      </c>
      <c r="R246" s="31">
        <f>IF(COUNTIFS($C:$C,$C246,$D:$D,$D246,$E:$E,"P0(후)",$M:$M,"&gt;0")&lt;&gt;1,"",SUMIFS($M:$M,$C:$C,$C246,$D:$D,$D246,$E:$E,"P0(후)"))</f>
        <v/>
      </c>
      <c r="S246" s="31">
        <f>IF(N246&lt;&gt;"OK","",P246+(R246-P246)*(I246-O246)/(Q246-O246))</f>
        <v/>
      </c>
      <c r="T246" s="31">
        <f>IF(OR(N246&lt;&gt;"OK",NOT(ISNUMBER(M246))),"",M246-S246)</f>
        <v/>
      </c>
      <c r="U246" s="49">
        <f>IF(OR(NOT(ISNUMBER(T246)),IF(ISNUMBER(H246),H246,G246)=0),"",T246/IF(ISNUMBER(H246),H246,G246))</f>
        <v/>
      </c>
      <c r="V246" s="49">
        <f>IF(ISNUMBER(U246),ABS(U246),"")</f>
        <v/>
      </c>
      <c r="W246" s="49">
        <f>IF(OR($E245&lt;&gt;"측정",$C245&lt;&gt;$C246,$D245&lt;&gt;$D246,NOT(ISNUMBER(M246)),NOT(ISNUMBER(M245)),(IF(ISNUMBER(H246),H246,G246)-IF(ISNUMBER(H245),H245,G245))=0),"",(M246-M245)/(IF(ISNUMBER(H246),H246,G246)-IF(ISNUMBER(H245),H245,G245)))</f>
        <v/>
      </c>
      <c r="X246" s="31">
        <f>IF(NOT(AND(ISNUMBER(O246),ISNUMBER(Q246))),"",(Q246-O246)*1440)</f>
        <v/>
      </c>
      <c r="Y246" s="29" t="n"/>
      <c r="Z246" s="29" t="n"/>
      <c r="AA246" s="29" t="n"/>
      <c r="AB246" s="32" t="n"/>
      <c r="AC246" s="32" t="n"/>
    </row>
    <row r="247">
      <c r="A247" s="26" t="inlineStr">
        <is>
          <t>S05</t>
        </is>
      </c>
      <c r="B247" s="26" t="inlineStr">
        <is>
          <t>무풍 신규점1</t>
        </is>
      </c>
      <c r="C247" s="26" t="inlineStr">
        <is>
          <t>S05-H남</t>
        </is>
      </c>
      <c r="D247" s="47" t="n">
        <v>1</v>
      </c>
      <c r="E247" s="26" t="inlineStr">
        <is>
          <t>측정</t>
        </is>
      </c>
      <c r="F247" s="26" t="inlineStr">
        <is>
          <t>남</t>
        </is>
      </c>
      <c r="G247" s="31" t="n">
        <v>6</v>
      </c>
      <c r="H247" s="30" t="n"/>
      <c r="I247" s="43" t="n"/>
      <c r="J247" s="41" t="n"/>
      <c r="K247" s="41" t="n"/>
      <c r="L247" s="41" t="n"/>
      <c r="M247" s="31">
        <f>IF(COUNT(J247:L247)=0,"",MEDIAN(J247:L247))</f>
        <v/>
      </c>
      <c r="N247" s="26">
        <f>IF(COUNTIFS($C:$C,$C247,$D:$D,$D247,$E:$E,"P0(전)",$M:$M,"&gt;0")&lt;&gt;1,"P0(전) 유효 1개 아님",IF(COUNTIFS($C:$C,$C247,$D:$D,$D247,$E:$E,"P0(후)",$M:$M,"&gt;0")&lt;&gt;1,"P0(후) 유효 1개 아님",IF(NOT(AND(ISNUMBER(O247),ISNUMBER(Q247),ISNUMBER(I247))),"시각 결측",IF(Q247&lt;=O247,"P0 시각 역전",IF(OR(I247&lt;O247,I247&gt;Q247),"측정시각 구간 밖","OK")))))</f>
        <v/>
      </c>
      <c r="O247" s="48">
        <f>IF(COUNTIFS($C:$C,$C247,$D:$D,$D247,$E:$E,"P0(전)",$M:$M,"&gt;0")&lt;&gt;1,"",SUMIFS($I:$I,$C:$C,$C247,$D:$D,$D247,$E:$E,"P0(전)"))</f>
        <v/>
      </c>
      <c r="P247" s="31">
        <f>IF(COUNTIFS($C:$C,$C247,$D:$D,$D247,$E:$E,"P0(전)",$M:$M,"&gt;0")&lt;&gt;1,"",SUMIFS($M:$M,$C:$C,$C247,$D:$D,$D247,$E:$E,"P0(전)"))</f>
        <v/>
      </c>
      <c r="Q247" s="48">
        <f>IF(COUNTIFS($C:$C,$C247,$D:$D,$D247,$E:$E,"P0(후)",$M:$M,"&gt;0")&lt;&gt;1,"",SUMIFS($I:$I,$C:$C,$C247,$D:$D,$D247,$E:$E,"P0(후)"))</f>
        <v/>
      </c>
      <c r="R247" s="31">
        <f>IF(COUNTIFS($C:$C,$C247,$D:$D,$D247,$E:$E,"P0(후)",$M:$M,"&gt;0")&lt;&gt;1,"",SUMIFS($M:$M,$C:$C,$C247,$D:$D,$D247,$E:$E,"P0(후)"))</f>
        <v/>
      </c>
      <c r="S247" s="31">
        <f>IF(N247&lt;&gt;"OK","",P247+(R247-P247)*(I247-O247)/(Q247-O247))</f>
        <v/>
      </c>
      <c r="T247" s="31">
        <f>IF(OR(N247&lt;&gt;"OK",NOT(ISNUMBER(M247))),"",M247-S247)</f>
        <v/>
      </c>
      <c r="U247" s="49">
        <f>IF(OR(NOT(ISNUMBER(T247)),IF(ISNUMBER(H247),H247,G247)=0),"",T247/IF(ISNUMBER(H247),H247,G247))</f>
        <v/>
      </c>
      <c r="V247" s="49">
        <f>IF(ISNUMBER(U247),ABS(U247),"")</f>
        <v/>
      </c>
      <c r="W247" s="49">
        <f>IF(OR($E246&lt;&gt;"측정",$C246&lt;&gt;$C247,$D246&lt;&gt;$D247,NOT(ISNUMBER(M247)),NOT(ISNUMBER(M246)),(IF(ISNUMBER(H247),H247,G247)-IF(ISNUMBER(H246),H246,G246))=0),"",(M247-M246)/(IF(ISNUMBER(H247),H247,G247)-IF(ISNUMBER(H246),H246,G246)))</f>
        <v/>
      </c>
      <c r="X247" s="31">
        <f>IF(NOT(AND(ISNUMBER(O247),ISNUMBER(Q247))),"",(Q247-O247)*1440)</f>
        <v/>
      </c>
      <c r="Y247" s="29" t="n"/>
      <c r="Z247" s="29" t="n"/>
      <c r="AA247" s="29" t="n"/>
      <c r="AB247" s="32" t="n"/>
      <c r="AC247" s="32" t="n"/>
    </row>
    <row r="248">
      <c r="A248" s="26" t="inlineStr">
        <is>
          <t>S05</t>
        </is>
      </c>
      <c r="B248" s="26" t="inlineStr">
        <is>
          <t>무풍 신규점1</t>
        </is>
      </c>
      <c r="C248" s="26" t="inlineStr">
        <is>
          <t>S05-H남</t>
        </is>
      </c>
      <c r="D248" s="47" t="n">
        <v>1</v>
      </c>
      <c r="E248" s="26" t="inlineStr">
        <is>
          <t>측정</t>
        </is>
      </c>
      <c r="F248" s="26" t="inlineStr">
        <is>
          <t>남</t>
        </is>
      </c>
      <c r="G248" s="31" t="n">
        <v>7</v>
      </c>
      <c r="H248" s="30" t="n"/>
      <c r="I248" s="43" t="n"/>
      <c r="J248" s="41" t="n"/>
      <c r="K248" s="41" t="n"/>
      <c r="L248" s="41" t="n"/>
      <c r="M248" s="31">
        <f>IF(COUNT(J248:L248)=0,"",MEDIAN(J248:L248))</f>
        <v/>
      </c>
      <c r="N248" s="26">
        <f>IF(COUNTIFS($C:$C,$C248,$D:$D,$D248,$E:$E,"P0(전)",$M:$M,"&gt;0")&lt;&gt;1,"P0(전) 유효 1개 아님",IF(COUNTIFS($C:$C,$C248,$D:$D,$D248,$E:$E,"P0(후)",$M:$M,"&gt;0")&lt;&gt;1,"P0(후) 유효 1개 아님",IF(NOT(AND(ISNUMBER(O248),ISNUMBER(Q248),ISNUMBER(I248))),"시각 결측",IF(Q248&lt;=O248,"P0 시각 역전",IF(OR(I248&lt;O248,I248&gt;Q248),"측정시각 구간 밖","OK")))))</f>
        <v/>
      </c>
      <c r="O248" s="48">
        <f>IF(COUNTIFS($C:$C,$C248,$D:$D,$D248,$E:$E,"P0(전)",$M:$M,"&gt;0")&lt;&gt;1,"",SUMIFS($I:$I,$C:$C,$C248,$D:$D,$D248,$E:$E,"P0(전)"))</f>
        <v/>
      </c>
      <c r="P248" s="31">
        <f>IF(COUNTIFS($C:$C,$C248,$D:$D,$D248,$E:$E,"P0(전)",$M:$M,"&gt;0")&lt;&gt;1,"",SUMIFS($M:$M,$C:$C,$C248,$D:$D,$D248,$E:$E,"P0(전)"))</f>
        <v/>
      </c>
      <c r="Q248" s="48">
        <f>IF(COUNTIFS($C:$C,$C248,$D:$D,$D248,$E:$E,"P0(후)",$M:$M,"&gt;0")&lt;&gt;1,"",SUMIFS($I:$I,$C:$C,$C248,$D:$D,$D248,$E:$E,"P0(후)"))</f>
        <v/>
      </c>
      <c r="R248" s="31">
        <f>IF(COUNTIFS($C:$C,$C248,$D:$D,$D248,$E:$E,"P0(후)",$M:$M,"&gt;0")&lt;&gt;1,"",SUMIFS($M:$M,$C:$C,$C248,$D:$D,$D248,$E:$E,"P0(후)"))</f>
        <v/>
      </c>
      <c r="S248" s="31">
        <f>IF(N248&lt;&gt;"OK","",P248+(R248-P248)*(I248-O248)/(Q248-O248))</f>
        <v/>
      </c>
      <c r="T248" s="31">
        <f>IF(OR(N248&lt;&gt;"OK",NOT(ISNUMBER(M248))),"",M248-S248)</f>
        <v/>
      </c>
      <c r="U248" s="49">
        <f>IF(OR(NOT(ISNUMBER(T248)),IF(ISNUMBER(H248),H248,G248)=0),"",T248/IF(ISNUMBER(H248),H248,G248))</f>
        <v/>
      </c>
      <c r="V248" s="49">
        <f>IF(ISNUMBER(U248),ABS(U248),"")</f>
        <v/>
      </c>
      <c r="W248" s="49">
        <f>IF(OR($E247&lt;&gt;"측정",$C247&lt;&gt;$C248,$D247&lt;&gt;$D248,NOT(ISNUMBER(M248)),NOT(ISNUMBER(M247)),(IF(ISNUMBER(H248),H248,G248)-IF(ISNUMBER(H247),H247,G247))=0),"",(M248-M247)/(IF(ISNUMBER(H248),H248,G248)-IF(ISNUMBER(H247),H247,G247)))</f>
        <v/>
      </c>
      <c r="X248" s="31">
        <f>IF(NOT(AND(ISNUMBER(O248),ISNUMBER(Q248))),"",(Q248-O248)*1440)</f>
        <v/>
      </c>
      <c r="Y248" s="29" t="n"/>
      <c r="Z248" s="29" t="n"/>
      <c r="AA248" s="29" t="n"/>
      <c r="AB248" s="32" t="n"/>
      <c r="AC248" s="32" t="n"/>
    </row>
    <row r="249">
      <c r="A249" s="26" t="inlineStr">
        <is>
          <t>S05</t>
        </is>
      </c>
      <c r="B249" s="26" t="inlineStr">
        <is>
          <t>무풍 신규점1</t>
        </is>
      </c>
      <c r="C249" s="26" t="inlineStr">
        <is>
          <t>S05-H남</t>
        </is>
      </c>
      <c r="D249" s="47" t="n">
        <v>1</v>
      </c>
      <c r="E249" s="26" t="inlineStr">
        <is>
          <t>측정</t>
        </is>
      </c>
      <c r="F249" s="26" t="inlineStr">
        <is>
          <t>남</t>
        </is>
      </c>
      <c r="G249" s="31" t="n">
        <v>8</v>
      </c>
      <c r="H249" s="30" t="n"/>
      <c r="I249" s="43" t="n"/>
      <c r="J249" s="41" t="n"/>
      <c r="K249" s="41" t="n"/>
      <c r="L249" s="41" t="n"/>
      <c r="M249" s="31">
        <f>IF(COUNT(J249:L249)=0,"",MEDIAN(J249:L249))</f>
        <v/>
      </c>
      <c r="N249" s="26">
        <f>IF(COUNTIFS($C:$C,$C249,$D:$D,$D249,$E:$E,"P0(전)",$M:$M,"&gt;0")&lt;&gt;1,"P0(전) 유효 1개 아님",IF(COUNTIFS($C:$C,$C249,$D:$D,$D249,$E:$E,"P0(후)",$M:$M,"&gt;0")&lt;&gt;1,"P0(후) 유효 1개 아님",IF(NOT(AND(ISNUMBER(O249),ISNUMBER(Q249),ISNUMBER(I249))),"시각 결측",IF(Q249&lt;=O249,"P0 시각 역전",IF(OR(I249&lt;O249,I249&gt;Q249),"측정시각 구간 밖","OK")))))</f>
        <v/>
      </c>
      <c r="O249" s="48">
        <f>IF(COUNTIFS($C:$C,$C249,$D:$D,$D249,$E:$E,"P0(전)",$M:$M,"&gt;0")&lt;&gt;1,"",SUMIFS($I:$I,$C:$C,$C249,$D:$D,$D249,$E:$E,"P0(전)"))</f>
        <v/>
      </c>
      <c r="P249" s="31">
        <f>IF(COUNTIFS($C:$C,$C249,$D:$D,$D249,$E:$E,"P0(전)",$M:$M,"&gt;0")&lt;&gt;1,"",SUMIFS($M:$M,$C:$C,$C249,$D:$D,$D249,$E:$E,"P0(전)"))</f>
        <v/>
      </c>
      <c r="Q249" s="48">
        <f>IF(COUNTIFS($C:$C,$C249,$D:$D,$D249,$E:$E,"P0(후)",$M:$M,"&gt;0")&lt;&gt;1,"",SUMIFS($I:$I,$C:$C,$C249,$D:$D,$D249,$E:$E,"P0(후)"))</f>
        <v/>
      </c>
      <c r="R249" s="31">
        <f>IF(COUNTIFS($C:$C,$C249,$D:$D,$D249,$E:$E,"P0(후)",$M:$M,"&gt;0")&lt;&gt;1,"",SUMIFS($M:$M,$C:$C,$C249,$D:$D,$D249,$E:$E,"P0(후)"))</f>
        <v/>
      </c>
      <c r="S249" s="31">
        <f>IF(N249&lt;&gt;"OK","",P249+(R249-P249)*(I249-O249)/(Q249-O249))</f>
        <v/>
      </c>
      <c r="T249" s="31">
        <f>IF(OR(N249&lt;&gt;"OK",NOT(ISNUMBER(M249))),"",M249-S249)</f>
        <v/>
      </c>
      <c r="U249" s="49">
        <f>IF(OR(NOT(ISNUMBER(T249)),IF(ISNUMBER(H249),H249,G249)=0),"",T249/IF(ISNUMBER(H249),H249,G249))</f>
        <v/>
      </c>
      <c r="V249" s="49">
        <f>IF(ISNUMBER(U249),ABS(U249),"")</f>
        <v/>
      </c>
      <c r="W249" s="49">
        <f>IF(OR($E248&lt;&gt;"측정",$C248&lt;&gt;$C249,$D248&lt;&gt;$D249,NOT(ISNUMBER(M249)),NOT(ISNUMBER(M248)),(IF(ISNUMBER(H249),H249,G249)-IF(ISNUMBER(H248),H248,G248))=0),"",(M249-M248)/(IF(ISNUMBER(H249),H249,G249)-IF(ISNUMBER(H248),H248,G248)))</f>
        <v/>
      </c>
      <c r="X249" s="31">
        <f>IF(NOT(AND(ISNUMBER(O249),ISNUMBER(Q249))),"",(Q249-O249)*1440)</f>
        <v/>
      </c>
      <c r="Y249" s="29" t="n"/>
      <c r="Z249" s="29" t="n"/>
      <c r="AA249" s="29" t="n"/>
      <c r="AB249" s="32" t="n"/>
      <c r="AC249" s="32" t="n"/>
    </row>
    <row r="250">
      <c r="A250" s="26" t="inlineStr">
        <is>
          <t>S05</t>
        </is>
      </c>
      <c r="B250" s="26" t="inlineStr">
        <is>
          <t>무풍 신규점1</t>
        </is>
      </c>
      <c r="C250" s="26" t="inlineStr">
        <is>
          <t>S05-H남</t>
        </is>
      </c>
      <c r="D250" s="47" t="n">
        <v>1</v>
      </c>
      <c r="E250" s="26" t="inlineStr">
        <is>
          <t>측정</t>
        </is>
      </c>
      <c r="F250" s="26" t="inlineStr">
        <is>
          <t>남</t>
        </is>
      </c>
      <c r="G250" s="31" t="n">
        <v>9</v>
      </c>
      <c r="H250" s="30" t="n"/>
      <c r="I250" s="43" t="n"/>
      <c r="J250" s="41" t="n"/>
      <c r="K250" s="41" t="n"/>
      <c r="L250" s="41" t="n"/>
      <c r="M250" s="31">
        <f>IF(COUNT(J250:L250)=0,"",MEDIAN(J250:L250))</f>
        <v/>
      </c>
      <c r="N250" s="26">
        <f>IF(COUNTIFS($C:$C,$C250,$D:$D,$D250,$E:$E,"P0(전)",$M:$M,"&gt;0")&lt;&gt;1,"P0(전) 유효 1개 아님",IF(COUNTIFS($C:$C,$C250,$D:$D,$D250,$E:$E,"P0(후)",$M:$M,"&gt;0")&lt;&gt;1,"P0(후) 유효 1개 아님",IF(NOT(AND(ISNUMBER(O250),ISNUMBER(Q250),ISNUMBER(I250))),"시각 결측",IF(Q250&lt;=O250,"P0 시각 역전",IF(OR(I250&lt;O250,I250&gt;Q250),"측정시각 구간 밖","OK")))))</f>
        <v/>
      </c>
      <c r="O250" s="48">
        <f>IF(COUNTIFS($C:$C,$C250,$D:$D,$D250,$E:$E,"P0(전)",$M:$M,"&gt;0")&lt;&gt;1,"",SUMIFS($I:$I,$C:$C,$C250,$D:$D,$D250,$E:$E,"P0(전)"))</f>
        <v/>
      </c>
      <c r="P250" s="31">
        <f>IF(COUNTIFS($C:$C,$C250,$D:$D,$D250,$E:$E,"P0(전)",$M:$M,"&gt;0")&lt;&gt;1,"",SUMIFS($M:$M,$C:$C,$C250,$D:$D,$D250,$E:$E,"P0(전)"))</f>
        <v/>
      </c>
      <c r="Q250" s="48">
        <f>IF(COUNTIFS($C:$C,$C250,$D:$D,$D250,$E:$E,"P0(후)",$M:$M,"&gt;0")&lt;&gt;1,"",SUMIFS($I:$I,$C:$C,$C250,$D:$D,$D250,$E:$E,"P0(후)"))</f>
        <v/>
      </c>
      <c r="R250" s="31">
        <f>IF(COUNTIFS($C:$C,$C250,$D:$D,$D250,$E:$E,"P0(후)",$M:$M,"&gt;0")&lt;&gt;1,"",SUMIFS($M:$M,$C:$C,$C250,$D:$D,$D250,$E:$E,"P0(후)"))</f>
        <v/>
      </c>
      <c r="S250" s="31">
        <f>IF(N250&lt;&gt;"OK","",P250+(R250-P250)*(I250-O250)/(Q250-O250))</f>
        <v/>
      </c>
      <c r="T250" s="31">
        <f>IF(OR(N250&lt;&gt;"OK",NOT(ISNUMBER(M250))),"",M250-S250)</f>
        <v/>
      </c>
      <c r="U250" s="49">
        <f>IF(OR(NOT(ISNUMBER(T250)),IF(ISNUMBER(H250),H250,G250)=0),"",T250/IF(ISNUMBER(H250),H250,G250))</f>
        <v/>
      </c>
      <c r="V250" s="49">
        <f>IF(ISNUMBER(U250),ABS(U250),"")</f>
        <v/>
      </c>
      <c r="W250" s="49">
        <f>IF(OR($E249&lt;&gt;"측정",$C249&lt;&gt;$C250,$D249&lt;&gt;$D250,NOT(ISNUMBER(M250)),NOT(ISNUMBER(M249)),(IF(ISNUMBER(H250),H250,G250)-IF(ISNUMBER(H249),H249,G249))=0),"",(M250-M249)/(IF(ISNUMBER(H250),H250,G250)-IF(ISNUMBER(H249),H249,G249)))</f>
        <v/>
      </c>
      <c r="X250" s="31">
        <f>IF(NOT(AND(ISNUMBER(O250),ISNUMBER(Q250))),"",(Q250-O250)*1440)</f>
        <v/>
      </c>
      <c r="Y250" s="29" t="n"/>
      <c r="Z250" s="29" t="n"/>
      <c r="AA250" s="29" t="n"/>
      <c r="AB250" s="32" t="n"/>
      <c r="AC250" s="32" t="n"/>
    </row>
    <row r="251">
      <c r="A251" s="26" t="inlineStr">
        <is>
          <t>S05</t>
        </is>
      </c>
      <c r="B251" s="26" t="inlineStr">
        <is>
          <t>무풍 신규점1</t>
        </is>
      </c>
      <c r="C251" s="26" t="inlineStr">
        <is>
          <t>S05-H남</t>
        </is>
      </c>
      <c r="D251" s="47" t="n">
        <v>1</v>
      </c>
      <c r="E251" s="26" t="inlineStr">
        <is>
          <t>측정</t>
        </is>
      </c>
      <c r="F251" s="26" t="inlineStr">
        <is>
          <t>남</t>
        </is>
      </c>
      <c r="G251" s="31" t="n">
        <v>10</v>
      </c>
      <c r="H251" s="30" t="n"/>
      <c r="I251" s="43" t="n"/>
      <c r="J251" s="41" t="n"/>
      <c r="K251" s="41" t="n"/>
      <c r="L251" s="41" t="n"/>
      <c r="M251" s="31">
        <f>IF(COUNT(J251:L251)=0,"",MEDIAN(J251:L251))</f>
        <v/>
      </c>
      <c r="N251" s="26">
        <f>IF(COUNTIFS($C:$C,$C251,$D:$D,$D251,$E:$E,"P0(전)",$M:$M,"&gt;0")&lt;&gt;1,"P0(전) 유효 1개 아님",IF(COUNTIFS($C:$C,$C251,$D:$D,$D251,$E:$E,"P0(후)",$M:$M,"&gt;0")&lt;&gt;1,"P0(후) 유효 1개 아님",IF(NOT(AND(ISNUMBER(O251),ISNUMBER(Q251),ISNUMBER(I251))),"시각 결측",IF(Q251&lt;=O251,"P0 시각 역전",IF(OR(I251&lt;O251,I251&gt;Q251),"측정시각 구간 밖","OK")))))</f>
        <v/>
      </c>
      <c r="O251" s="48">
        <f>IF(COUNTIFS($C:$C,$C251,$D:$D,$D251,$E:$E,"P0(전)",$M:$M,"&gt;0")&lt;&gt;1,"",SUMIFS($I:$I,$C:$C,$C251,$D:$D,$D251,$E:$E,"P0(전)"))</f>
        <v/>
      </c>
      <c r="P251" s="31">
        <f>IF(COUNTIFS($C:$C,$C251,$D:$D,$D251,$E:$E,"P0(전)",$M:$M,"&gt;0")&lt;&gt;1,"",SUMIFS($M:$M,$C:$C,$C251,$D:$D,$D251,$E:$E,"P0(전)"))</f>
        <v/>
      </c>
      <c r="Q251" s="48">
        <f>IF(COUNTIFS($C:$C,$C251,$D:$D,$D251,$E:$E,"P0(후)",$M:$M,"&gt;0")&lt;&gt;1,"",SUMIFS($I:$I,$C:$C,$C251,$D:$D,$D251,$E:$E,"P0(후)"))</f>
        <v/>
      </c>
      <c r="R251" s="31">
        <f>IF(COUNTIFS($C:$C,$C251,$D:$D,$D251,$E:$E,"P0(후)",$M:$M,"&gt;0")&lt;&gt;1,"",SUMIFS($M:$M,$C:$C,$C251,$D:$D,$D251,$E:$E,"P0(후)"))</f>
        <v/>
      </c>
      <c r="S251" s="31">
        <f>IF(N251&lt;&gt;"OK","",P251+(R251-P251)*(I251-O251)/(Q251-O251))</f>
        <v/>
      </c>
      <c r="T251" s="31">
        <f>IF(OR(N251&lt;&gt;"OK",NOT(ISNUMBER(M251))),"",M251-S251)</f>
        <v/>
      </c>
      <c r="U251" s="49">
        <f>IF(OR(NOT(ISNUMBER(T251)),IF(ISNUMBER(H251),H251,G251)=0),"",T251/IF(ISNUMBER(H251),H251,G251))</f>
        <v/>
      </c>
      <c r="V251" s="49">
        <f>IF(ISNUMBER(U251),ABS(U251),"")</f>
        <v/>
      </c>
      <c r="W251" s="49">
        <f>IF(OR($E250&lt;&gt;"측정",$C250&lt;&gt;$C251,$D250&lt;&gt;$D251,NOT(ISNUMBER(M251)),NOT(ISNUMBER(M250)),(IF(ISNUMBER(H251),H251,G251)-IF(ISNUMBER(H250),H250,G250))=0),"",(M251-M250)/(IF(ISNUMBER(H251),H251,G251)-IF(ISNUMBER(H250),H250,G250)))</f>
        <v/>
      </c>
      <c r="X251" s="31">
        <f>IF(NOT(AND(ISNUMBER(O251),ISNUMBER(Q251))),"",(Q251-O251)*1440)</f>
        <v/>
      </c>
      <c r="Y251" s="29" t="n"/>
      <c r="Z251" s="29" t="n"/>
      <c r="AA251" s="29" t="n"/>
      <c r="AB251" s="32" t="n"/>
      <c r="AC251" s="32" t="n"/>
    </row>
    <row r="252">
      <c r="A252" s="44" t="inlineStr">
        <is>
          <t>S05</t>
        </is>
      </c>
      <c r="B252" s="44" t="inlineStr">
        <is>
          <t>무풍 신규점1</t>
        </is>
      </c>
      <c r="C252" s="44" t="inlineStr">
        <is>
          <t>S05-H남</t>
        </is>
      </c>
      <c r="D252" s="45" t="n">
        <v>1</v>
      </c>
      <c r="E252" s="44" t="inlineStr">
        <is>
          <t>P0(후)</t>
        </is>
      </c>
      <c r="F252" s="44" t="inlineStr">
        <is>
          <t>남</t>
        </is>
      </c>
      <c r="G252" s="46" t="n"/>
      <c r="H252" s="30" t="n"/>
      <c r="I252" s="43" t="n"/>
      <c r="J252" s="41" t="n"/>
      <c r="K252" s="41" t="n"/>
      <c r="L252" s="41" t="n"/>
      <c r="M252" s="31">
        <f>IF(COUNT(J252:L252)=0,"",MEDIAN(J252:L252))</f>
        <v/>
      </c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29" t="n"/>
      <c r="Z252" s="29" t="n"/>
      <c r="AA252" s="29" t="n"/>
      <c r="AB252" s="32" t="n"/>
      <c r="AC252" s="32" t="n"/>
    </row>
    <row r="253">
      <c r="A253" s="44" t="inlineStr">
        <is>
          <t>S05</t>
        </is>
      </c>
      <c r="B253" s="44" t="inlineStr">
        <is>
          <t>무풍 신규점1</t>
        </is>
      </c>
      <c r="C253" s="44" t="inlineStr">
        <is>
          <t>S05-H북</t>
        </is>
      </c>
      <c r="D253" s="45" t="n">
        <v>1</v>
      </c>
      <c r="E253" s="44" t="inlineStr">
        <is>
          <t>P0(전)</t>
        </is>
      </c>
      <c r="F253" s="44" t="inlineStr">
        <is>
          <t>북</t>
        </is>
      </c>
      <c r="G253" s="46" t="n"/>
      <c r="H253" s="30" t="n"/>
      <c r="I253" s="43" t="n"/>
      <c r="J253" s="41" t="n"/>
      <c r="K253" s="41" t="n"/>
      <c r="L253" s="41" t="n"/>
      <c r="M253" s="31">
        <f>IF(COUNT(J253:L253)=0,"",MEDIAN(J253:L253))</f>
        <v/>
      </c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29" t="n"/>
      <c r="Z253" s="29" t="n"/>
      <c r="AA253" s="29" t="n"/>
      <c r="AB253" s="32" t="n"/>
      <c r="AC253" s="32" t="n"/>
    </row>
    <row r="254">
      <c r="A254" s="26" t="inlineStr">
        <is>
          <t>S05</t>
        </is>
      </c>
      <c r="B254" s="26" t="inlineStr">
        <is>
          <t>무풍 신규점1</t>
        </is>
      </c>
      <c r="C254" s="26" t="inlineStr">
        <is>
          <t>S05-H북</t>
        </is>
      </c>
      <c r="D254" s="47" t="n">
        <v>1</v>
      </c>
      <c r="E254" s="26" t="inlineStr">
        <is>
          <t>측정</t>
        </is>
      </c>
      <c r="F254" s="26" t="inlineStr">
        <is>
          <t>북</t>
        </is>
      </c>
      <c r="G254" s="31" t="n">
        <v>0.5</v>
      </c>
      <c r="H254" s="30" t="n"/>
      <c r="I254" s="43" t="n"/>
      <c r="J254" s="41" t="n"/>
      <c r="K254" s="41" t="n"/>
      <c r="L254" s="41" t="n"/>
      <c r="M254" s="31">
        <f>IF(COUNT(J254:L254)=0,"",MEDIAN(J254:L254))</f>
        <v/>
      </c>
      <c r="N254" s="26">
        <f>IF(COUNTIFS($C:$C,$C254,$D:$D,$D254,$E:$E,"P0(전)",$M:$M,"&gt;0")&lt;&gt;1,"P0(전) 유효 1개 아님",IF(COUNTIFS($C:$C,$C254,$D:$D,$D254,$E:$E,"P0(후)",$M:$M,"&gt;0")&lt;&gt;1,"P0(후) 유효 1개 아님",IF(NOT(AND(ISNUMBER(O254),ISNUMBER(Q254),ISNUMBER(I254))),"시각 결측",IF(Q254&lt;=O254,"P0 시각 역전",IF(OR(I254&lt;O254,I254&gt;Q254),"측정시각 구간 밖","OK")))))</f>
        <v/>
      </c>
      <c r="O254" s="48">
        <f>IF(COUNTIFS($C:$C,$C254,$D:$D,$D254,$E:$E,"P0(전)",$M:$M,"&gt;0")&lt;&gt;1,"",SUMIFS($I:$I,$C:$C,$C254,$D:$D,$D254,$E:$E,"P0(전)"))</f>
        <v/>
      </c>
      <c r="P254" s="31">
        <f>IF(COUNTIFS($C:$C,$C254,$D:$D,$D254,$E:$E,"P0(전)",$M:$M,"&gt;0")&lt;&gt;1,"",SUMIFS($M:$M,$C:$C,$C254,$D:$D,$D254,$E:$E,"P0(전)"))</f>
        <v/>
      </c>
      <c r="Q254" s="48">
        <f>IF(COUNTIFS($C:$C,$C254,$D:$D,$D254,$E:$E,"P0(후)",$M:$M,"&gt;0")&lt;&gt;1,"",SUMIFS($I:$I,$C:$C,$C254,$D:$D,$D254,$E:$E,"P0(후)"))</f>
        <v/>
      </c>
      <c r="R254" s="31">
        <f>IF(COUNTIFS($C:$C,$C254,$D:$D,$D254,$E:$E,"P0(후)",$M:$M,"&gt;0")&lt;&gt;1,"",SUMIFS($M:$M,$C:$C,$C254,$D:$D,$D254,$E:$E,"P0(후)"))</f>
        <v/>
      </c>
      <c r="S254" s="31">
        <f>IF(N254&lt;&gt;"OK","",P254+(R254-P254)*(I254-O254)/(Q254-O254))</f>
        <v/>
      </c>
      <c r="T254" s="31">
        <f>IF(OR(N254&lt;&gt;"OK",NOT(ISNUMBER(M254))),"",M254-S254)</f>
        <v/>
      </c>
      <c r="U254" s="49">
        <f>IF(OR(NOT(ISNUMBER(T254)),IF(ISNUMBER(H254),H254,G254)=0),"",T254/IF(ISNUMBER(H254),H254,G254))</f>
        <v/>
      </c>
      <c r="V254" s="49">
        <f>IF(ISNUMBER(U254),ABS(U254),"")</f>
        <v/>
      </c>
      <c r="W254" s="49">
        <f>IF(OR($E253&lt;&gt;"측정",$C253&lt;&gt;$C254,$D253&lt;&gt;$D254,NOT(ISNUMBER(M254)),NOT(ISNUMBER(M253)),(IF(ISNUMBER(H254),H254,G254)-IF(ISNUMBER(H253),H253,G253))=0),"",(M254-M253)/(IF(ISNUMBER(H254),H254,G254)-IF(ISNUMBER(H253),H253,G253)))</f>
        <v/>
      </c>
      <c r="X254" s="31">
        <f>IF(NOT(AND(ISNUMBER(O254),ISNUMBER(Q254))),"",(Q254-O254)*1440)</f>
        <v/>
      </c>
      <c r="Y254" s="29" t="n"/>
      <c r="Z254" s="29" t="n"/>
      <c r="AA254" s="29" t="n"/>
      <c r="AB254" s="32" t="n"/>
      <c r="AC254" s="32" t="n"/>
    </row>
    <row r="255">
      <c r="A255" s="26" t="inlineStr">
        <is>
          <t>S05</t>
        </is>
      </c>
      <c r="B255" s="26" t="inlineStr">
        <is>
          <t>무풍 신규점1</t>
        </is>
      </c>
      <c r="C255" s="26" t="inlineStr">
        <is>
          <t>S05-H북</t>
        </is>
      </c>
      <c r="D255" s="47" t="n">
        <v>1</v>
      </c>
      <c r="E255" s="26" t="inlineStr">
        <is>
          <t>측정</t>
        </is>
      </c>
      <c r="F255" s="26" t="inlineStr">
        <is>
          <t>북</t>
        </is>
      </c>
      <c r="G255" s="31" t="n">
        <v>1</v>
      </c>
      <c r="H255" s="30" t="n"/>
      <c r="I255" s="43" t="n"/>
      <c r="J255" s="41" t="n"/>
      <c r="K255" s="41" t="n"/>
      <c r="L255" s="41" t="n"/>
      <c r="M255" s="31">
        <f>IF(COUNT(J255:L255)=0,"",MEDIAN(J255:L255))</f>
        <v/>
      </c>
      <c r="N255" s="26">
        <f>IF(COUNTIFS($C:$C,$C255,$D:$D,$D255,$E:$E,"P0(전)",$M:$M,"&gt;0")&lt;&gt;1,"P0(전) 유효 1개 아님",IF(COUNTIFS($C:$C,$C255,$D:$D,$D255,$E:$E,"P0(후)",$M:$M,"&gt;0")&lt;&gt;1,"P0(후) 유효 1개 아님",IF(NOT(AND(ISNUMBER(O255),ISNUMBER(Q255),ISNUMBER(I255))),"시각 결측",IF(Q255&lt;=O255,"P0 시각 역전",IF(OR(I255&lt;O255,I255&gt;Q255),"측정시각 구간 밖","OK")))))</f>
        <v/>
      </c>
      <c r="O255" s="48">
        <f>IF(COUNTIFS($C:$C,$C255,$D:$D,$D255,$E:$E,"P0(전)",$M:$M,"&gt;0")&lt;&gt;1,"",SUMIFS($I:$I,$C:$C,$C255,$D:$D,$D255,$E:$E,"P0(전)"))</f>
        <v/>
      </c>
      <c r="P255" s="31">
        <f>IF(COUNTIFS($C:$C,$C255,$D:$D,$D255,$E:$E,"P0(전)",$M:$M,"&gt;0")&lt;&gt;1,"",SUMIFS($M:$M,$C:$C,$C255,$D:$D,$D255,$E:$E,"P0(전)"))</f>
        <v/>
      </c>
      <c r="Q255" s="48">
        <f>IF(COUNTIFS($C:$C,$C255,$D:$D,$D255,$E:$E,"P0(후)",$M:$M,"&gt;0")&lt;&gt;1,"",SUMIFS($I:$I,$C:$C,$C255,$D:$D,$D255,$E:$E,"P0(후)"))</f>
        <v/>
      </c>
      <c r="R255" s="31">
        <f>IF(COUNTIFS($C:$C,$C255,$D:$D,$D255,$E:$E,"P0(후)",$M:$M,"&gt;0")&lt;&gt;1,"",SUMIFS($M:$M,$C:$C,$C255,$D:$D,$D255,$E:$E,"P0(후)"))</f>
        <v/>
      </c>
      <c r="S255" s="31">
        <f>IF(N255&lt;&gt;"OK","",P255+(R255-P255)*(I255-O255)/(Q255-O255))</f>
        <v/>
      </c>
      <c r="T255" s="31">
        <f>IF(OR(N255&lt;&gt;"OK",NOT(ISNUMBER(M255))),"",M255-S255)</f>
        <v/>
      </c>
      <c r="U255" s="49">
        <f>IF(OR(NOT(ISNUMBER(T255)),IF(ISNUMBER(H255),H255,G255)=0),"",T255/IF(ISNUMBER(H255),H255,G255))</f>
        <v/>
      </c>
      <c r="V255" s="49">
        <f>IF(ISNUMBER(U255),ABS(U255),"")</f>
        <v/>
      </c>
      <c r="W255" s="49">
        <f>IF(OR($E254&lt;&gt;"측정",$C254&lt;&gt;$C255,$D254&lt;&gt;$D255,NOT(ISNUMBER(M255)),NOT(ISNUMBER(M254)),(IF(ISNUMBER(H255),H255,G255)-IF(ISNUMBER(H254),H254,G254))=0),"",(M255-M254)/(IF(ISNUMBER(H255),H255,G255)-IF(ISNUMBER(H254),H254,G254)))</f>
        <v/>
      </c>
      <c r="X255" s="31">
        <f>IF(NOT(AND(ISNUMBER(O255),ISNUMBER(Q255))),"",(Q255-O255)*1440)</f>
        <v/>
      </c>
      <c r="Y255" s="29" t="n"/>
      <c r="Z255" s="29" t="n"/>
      <c r="AA255" s="29" t="n"/>
      <c r="AB255" s="32" t="n"/>
      <c r="AC255" s="32" t="n"/>
    </row>
    <row r="256">
      <c r="A256" s="26" t="inlineStr">
        <is>
          <t>S05</t>
        </is>
      </c>
      <c r="B256" s="26" t="inlineStr">
        <is>
          <t>무풍 신규점1</t>
        </is>
      </c>
      <c r="C256" s="26" t="inlineStr">
        <is>
          <t>S05-H북</t>
        </is>
      </c>
      <c r="D256" s="47" t="n">
        <v>1</v>
      </c>
      <c r="E256" s="26" t="inlineStr">
        <is>
          <t>측정</t>
        </is>
      </c>
      <c r="F256" s="26" t="inlineStr">
        <is>
          <t>북</t>
        </is>
      </c>
      <c r="G256" s="31" t="n">
        <v>2</v>
      </c>
      <c r="H256" s="30" t="n"/>
      <c r="I256" s="43" t="n"/>
      <c r="J256" s="41" t="n"/>
      <c r="K256" s="41" t="n"/>
      <c r="L256" s="41" t="n"/>
      <c r="M256" s="31">
        <f>IF(COUNT(J256:L256)=0,"",MEDIAN(J256:L256))</f>
        <v/>
      </c>
      <c r="N256" s="26">
        <f>IF(COUNTIFS($C:$C,$C256,$D:$D,$D256,$E:$E,"P0(전)",$M:$M,"&gt;0")&lt;&gt;1,"P0(전) 유효 1개 아님",IF(COUNTIFS($C:$C,$C256,$D:$D,$D256,$E:$E,"P0(후)",$M:$M,"&gt;0")&lt;&gt;1,"P0(후) 유효 1개 아님",IF(NOT(AND(ISNUMBER(O256),ISNUMBER(Q256),ISNUMBER(I256))),"시각 결측",IF(Q256&lt;=O256,"P0 시각 역전",IF(OR(I256&lt;O256,I256&gt;Q256),"측정시각 구간 밖","OK")))))</f>
        <v/>
      </c>
      <c r="O256" s="48">
        <f>IF(COUNTIFS($C:$C,$C256,$D:$D,$D256,$E:$E,"P0(전)",$M:$M,"&gt;0")&lt;&gt;1,"",SUMIFS($I:$I,$C:$C,$C256,$D:$D,$D256,$E:$E,"P0(전)"))</f>
        <v/>
      </c>
      <c r="P256" s="31">
        <f>IF(COUNTIFS($C:$C,$C256,$D:$D,$D256,$E:$E,"P0(전)",$M:$M,"&gt;0")&lt;&gt;1,"",SUMIFS($M:$M,$C:$C,$C256,$D:$D,$D256,$E:$E,"P0(전)"))</f>
        <v/>
      </c>
      <c r="Q256" s="48">
        <f>IF(COUNTIFS($C:$C,$C256,$D:$D,$D256,$E:$E,"P0(후)",$M:$M,"&gt;0")&lt;&gt;1,"",SUMIFS($I:$I,$C:$C,$C256,$D:$D,$D256,$E:$E,"P0(후)"))</f>
        <v/>
      </c>
      <c r="R256" s="31">
        <f>IF(COUNTIFS($C:$C,$C256,$D:$D,$D256,$E:$E,"P0(후)",$M:$M,"&gt;0")&lt;&gt;1,"",SUMIFS($M:$M,$C:$C,$C256,$D:$D,$D256,$E:$E,"P0(후)"))</f>
        <v/>
      </c>
      <c r="S256" s="31">
        <f>IF(N256&lt;&gt;"OK","",P256+(R256-P256)*(I256-O256)/(Q256-O256))</f>
        <v/>
      </c>
      <c r="T256" s="31">
        <f>IF(OR(N256&lt;&gt;"OK",NOT(ISNUMBER(M256))),"",M256-S256)</f>
        <v/>
      </c>
      <c r="U256" s="49">
        <f>IF(OR(NOT(ISNUMBER(T256)),IF(ISNUMBER(H256),H256,G256)=0),"",T256/IF(ISNUMBER(H256),H256,G256))</f>
        <v/>
      </c>
      <c r="V256" s="49">
        <f>IF(ISNUMBER(U256),ABS(U256),"")</f>
        <v/>
      </c>
      <c r="W256" s="49">
        <f>IF(OR($E255&lt;&gt;"측정",$C255&lt;&gt;$C256,$D255&lt;&gt;$D256,NOT(ISNUMBER(M256)),NOT(ISNUMBER(M255)),(IF(ISNUMBER(H256),H256,G256)-IF(ISNUMBER(H255),H255,G255))=0),"",(M256-M255)/(IF(ISNUMBER(H256),H256,G256)-IF(ISNUMBER(H255),H255,G255)))</f>
        <v/>
      </c>
      <c r="X256" s="31">
        <f>IF(NOT(AND(ISNUMBER(O256),ISNUMBER(Q256))),"",(Q256-O256)*1440)</f>
        <v/>
      </c>
      <c r="Y256" s="29" t="n"/>
      <c r="Z256" s="29" t="n"/>
      <c r="AA256" s="29" t="n"/>
      <c r="AB256" s="32" t="n"/>
      <c r="AC256" s="32" t="n"/>
    </row>
    <row r="257">
      <c r="A257" s="26" t="inlineStr">
        <is>
          <t>S05</t>
        </is>
      </c>
      <c r="B257" s="26" t="inlineStr">
        <is>
          <t>무풍 신규점1</t>
        </is>
      </c>
      <c r="C257" s="26" t="inlineStr">
        <is>
          <t>S05-H북</t>
        </is>
      </c>
      <c r="D257" s="47" t="n">
        <v>1</v>
      </c>
      <c r="E257" s="26" t="inlineStr">
        <is>
          <t>측정</t>
        </is>
      </c>
      <c r="F257" s="26" t="inlineStr">
        <is>
          <t>북</t>
        </is>
      </c>
      <c r="G257" s="31" t="n">
        <v>3</v>
      </c>
      <c r="H257" s="30" t="n"/>
      <c r="I257" s="43" t="n"/>
      <c r="J257" s="41" t="n"/>
      <c r="K257" s="41" t="n"/>
      <c r="L257" s="41" t="n"/>
      <c r="M257" s="31">
        <f>IF(COUNT(J257:L257)=0,"",MEDIAN(J257:L257))</f>
        <v/>
      </c>
      <c r="N257" s="26">
        <f>IF(COUNTIFS($C:$C,$C257,$D:$D,$D257,$E:$E,"P0(전)",$M:$M,"&gt;0")&lt;&gt;1,"P0(전) 유효 1개 아님",IF(COUNTIFS($C:$C,$C257,$D:$D,$D257,$E:$E,"P0(후)",$M:$M,"&gt;0")&lt;&gt;1,"P0(후) 유효 1개 아님",IF(NOT(AND(ISNUMBER(O257),ISNUMBER(Q257),ISNUMBER(I257))),"시각 결측",IF(Q257&lt;=O257,"P0 시각 역전",IF(OR(I257&lt;O257,I257&gt;Q257),"측정시각 구간 밖","OK")))))</f>
        <v/>
      </c>
      <c r="O257" s="48">
        <f>IF(COUNTIFS($C:$C,$C257,$D:$D,$D257,$E:$E,"P0(전)",$M:$M,"&gt;0")&lt;&gt;1,"",SUMIFS($I:$I,$C:$C,$C257,$D:$D,$D257,$E:$E,"P0(전)"))</f>
        <v/>
      </c>
      <c r="P257" s="31">
        <f>IF(COUNTIFS($C:$C,$C257,$D:$D,$D257,$E:$E,"P0(전)",$M:$M,"&gt;0")&lt;&gt;1,"",SUMIFS($M:$M,$C:$C,$C257,$D:$D,$D257,$E:$E,"P0(전)"))</f>
        <v/>
      </c>
      <c r="Q257" s="48">
        <f>IF(COUNTIFS($C:$C,$C257,$D:$D,$D257,$E:$E,"P0(후)",$M:$M,"&gt;0")&lt;&gt;1,"",SUMIFS($I:$I,$C:$C,$C257,$D:$D,$D257,$E:$E,"P0(후)"))</f>
        <v/>
      </c>
      <c r="R257" s="31">
        <f>IF(COUNTIFS($C:$C,$C257,$D:$D,$D257,$E:$E,"P0(후)",$M:$M,"&gt;0")&lt;&gt;1,"",SUMIFS($M:$M,$C:$C,$C257,$D:$D,$D257,$E:$E,"P0(후)"))</f>
        <v/>
      </c>
      <c r="S257" s="31">
        <f>IF(N257&lt;&gt;"OK","",P257+(R257-P257)*(I257-O257)/(Q257-O257))</f>
        <v/>
      </c>
      <c r="T257" s="31">
        <f>IF(OR(N257&lt;&gt;"OK",NOT(ISNUMBER(M257))),"",M257-S257)</f>
        <v/>
      </c>
      <c r="U257" s="49">
        <f>IF(OR(NOT(ISNUMBER(T257)),IF(ISNUMBER(H257),H257,G257)=0),"",T257/IF(ISNUMBER(H257),H257,G257))</f>
        <v/>
      </c>
      <c r="V257" s="49">
        <f>IF(ISNUMBER(U257),ABS(U257),"")</f>
        <v/>
      </c>
      <c r="W257" s="49">
        <f>IF(OR($E256&lt;&gt;"측정",$C256&lt;&gt;$C257,$D256&lt;&gt;$D257,NOT(ISNUMBER(M257)),NOT(ISNUMBER(M256)),(IF(ISNUMBER(H257),H257,G257)-IF(ISNUMBER(H256),H256,G256))=0),"",(M257-M256)/(IF(ISNUMBER(H257),H257,G257)-IF(ISNUMBER(H256),H256,G256)))</f>
        <v/>
      </c>
      <c r="X257" s="31">
        <f>IF(NOT(AND(ISNUMBER(O257),ISNUMBER(Q257))),"",(Q257-O257)*1440)</f>
        <v/>
      </c>
      <c r="Y257" s="29" t="n"/>
      <c r="Z257" s="29" t="n"/>
      <c r="AA257" s="29" t="n"/>
      <c r="AB257" s="32" t="n"/>
      <c r="AC257" s="32" t="n"/>
    </row>
    <row r="258">
      <c r="A258" s="26" t="inlineStr">
        <is>
          <t>S05</t>
        </is>
      </c>
      <c r="B258" s="26" t="inlineStr">
        <is>
          <t>무풍 신규점1</t>
        </is>
      </c>
      <c r="C258" s="26" t="inlineStr">
        <is>
          <t>S05-H북</t>
        </is>
      </c>
      <c r="D258" s="47" t="n">
        <v>1</v>
      </c>
      <c r="E258" s="26" t="inlineStr">
        <is>
          <t>측정</t>
        </is>
      </c>
      <c r="F258" s="26" t="inlineStr">
        <is>
          <t>북</t>
        </is>
      </c>
      <c r="G258" s="31" t="n">
        <v>4</v>
      </c>
      <c r="H258" s="30" t="n"/>
      <c r="I258" s="43" t="n"/>
      <c r="J258" s="41" t="n"/>
      <c r="K258" s="41" t="n"/>
      <c r="L258" s="41" t="n"/>
      <c r="M258" s="31">
        <f>IF(COUNT(J258:L258)=0,"",MEDIAN(J258:L258))</f>
        <v/>
      </c>
      <c r="N258" s="26">
        <f>IF(COUNTIFS($C:$C,$C258,$D:$D,$D258,$E:$E,"P0(전)",$M:$M,"&gt;0")&lt;&gt;1,"P0(전) 유효 1개 아님",IF(COUNTIFS($C:$C,$C258,$D:$D,$D258,$E:$E,"P0(후)",$M:$M,"&gt;0")&lt;&gt;1,"P0(후) 유효 1개 아님",IF(NOT(AND(ISNUMBER(O258),ISNUMBER(Q258),ISNUMBER(I258))),"시각 결측",IF(Q258&lt;=O258,"P0 시각 역전",IF(OR(I258&lt;O258,I258&gt;Q258),"측정시각 구간 밖","OK")))))</f>
        <v/>
      </c>
      <c r="O258" s="48">
        <f>IF(COUNTIFS($C:$C,$C258,$D:$D,$D258,$E:$E,"P0(전)",$M:$M,"&gt;0")&lt;&gt;1,"",SUMIFS($I:$I,$C:$C,$C258,$D:$D,$D258,$E:$E,"P0(전)"))</f>
        <v/>
      </c>
      <c r="P258" s="31">
        <f>IF(COUNTIFS($C:$C,$C258,$D:$D,$D258,$E:$E,"P0(전)",$M:$M,"&gt;0")&lt;&gt;1,"",SUMIFS($M:$M,$C:$C,$C258,$D:$D,$D258,$E:$E,"P0(전)"))</f>
        <v/>
      </c>
      <c r="Q258" s="48">
        <f>IF(COUNTIFS($C:$C,$C258,$D:$D,$D258,$E:$E,"P0(후)",$M:$M,"&gt;0")&lt;&gt;1,"",SUMIFS($I:$I,$C:$C,$C258,$D:$D,$D258,$E:$E,"P0(후)"))</f>
        <v/>
      </c>
      <c r="R258" s="31">
        <f>IF(COUNTIFS($C:$C,$C258,$D:$D,$D258,$E:$E,"P0(후)",$M:$M,"&gt;0")&lt;&gt;1,"",SUMIFS($M:$M,$C:$C,$C258,$D:$D,$D258,$E:$E,"P0(후)"))</f>
        <v/>
      </c>
      <c r="S258" s="31">
        <f>IF(N258&lt;&gt;"OK","",P258+(R258-P258)*(I258-O258)/(Q258-O258))</f>
        <v/>
      </c>
      <c r="T258" s="31">
        <f>IF(OR(N258&lt;&gt;"OK",NOT(ISNUMBER(M258))),"",M258-S258)</f>
        <v/>
      </c>
      <c r="U258" s="49">
        <f>IF(OR(NOT(ISNUMBER(T258)),IF(ISNUMBER(H258),H258,G258)=0),"",T258/IF(ISNUMBER(H258),H258,G258))</f>
        <v/>
      </c>
      <c r="V258" s="49">
        <f>IF(ISNUMBER(U258),ABS(U258),"")</f>
        <v/>
      </c>
      <c r="W258" s="49">
        <f>IF(OR($E257&lt;&gt;"측정",$C257&lt;&gt;$C258,$D257&lt;&gt;$D258,NOT(ISNUMBER(M258)),NOT(ISNUMBER(M257)),(IF(ISNUMBER(H258),H258,G258)-IF(ISNUMBER(H257),H257,G257))=0),"",(M258-M257)/(IF(ISNUMBER(H258),H258,G258)-IF(ISNUMBER(H257),H257,G257)))</f>
        <v/>
      </c>
      <c r="X258" s="31">
        <f>IF(NOT(AND(ISNUMBER(O258),ISNUMBER(Q258))),"",(Q258-O258)*1440)</f>
        <v/>
      </c>
      <c r="Y258" s="29" t="n"/>
      <c r="Z258" s="29" t="n"/>
      <c r="AA258" s="29" t="n"/>
      <c r="AB258" s="32" t="n"/>
      <c r="AC258" s="32" t="n"/>
    </row>
    <row r="259">
      <c r="A259" s="26" t="inlineStr">
        <is>
          <t>S05</t>
        </is>
      </c>
      <c r="B259" s="26" t="inlineStr">
        <is>
          <t>무풍 신규점1</t>
        </is>
      </c>
      <c r="C259" s="26" t="inlineStr">
        <is>
          <t>S05-H북</t>
        </is>
      </c>
      <c r="D259" s="47" t="n">
        <v>1</v>
      </c>
      <c r="E259" s="26" t="inlineStr">
        <is>
          <t>측정</t>
        </is>
      </c>
      <c r="F259" s="26" t="inlineStr">
        <is>
          <t>북</t>
        </is>
      </c>
      <c r="G259" s="31" t="n">
        <v>5</v>
      </c>
      <c r="H259" s="30" t="n"/>
      <c r="I259" s="43" t="n"/>
      <c r="J259" s="41" t="n"/>
      <c r="K259" s="41" t="n"/>
      <c r="L259" s="41" t="n"/>
      <c r="M259" s="31">
        <f>IF(COUNT(J259:L259)=0,"",MEDIAN(J259:L259))</f>
        <v/>
      </c>
      <c r="N259" s="26">
        <f>IF(COUNTIFS($C:$C,$C259,$D:$D,$D259,$E:$E,"P0(전)",$M:$M,"&gt;0")&lt;&gt;1,"P0(전) 유효 1개 아님",IF(COUNTIFS($C:$C,$C259,$D:$D,$D259,$E:$E,"P0(후)",$M:$M,"&gt;0")&lt;&gt;1,"P0(후) 유효 1개 아님",IF(NOT(AND(ISNUMBER(O259),ISNUMBER(Q259),ISNUMBER(I259))),"시각 결측",IF(Q259&lt;=O259,"P0 시각 역전",IF(OR(I259&lt;O259,I259&gt;Q259),"측정시각 구간 밖","OK")))))</f>
        <v/>
      </c>
      <c r="O259" s="48">
        <f>IF(COUNTIFS($C:$C,$C259,$D:$D,$D259,$E:$E,"P0(전)",$M:$M,"&gt;0")&lt;&gt;1,"",SUMIFS($I:$I,$C:$C,$C259,$D:$D,$D259,$E:$E,"P0(전)"))</f>
        <v/>
      </c>
      <c r="P259" s="31">
        <f>IF(COUNTIFS($C:$C,$C259,$D:$D,$D259,$E:$E,"P0(전)",$M:$M,"&gt;0")&lt;&gt;1,"",SUMIFS($M:$M,$C:$C,$C259,$D:$D,$D259,$E:$E,"P0(전)"))</f>
        <v/>
      </c>
      <c r="Q259" s="48">
        <f>IF(COUNTIFS($C:$C,$C259,$D:$D,$D259,$E:$E,"P0(후)",$M:$M,"&gt;0")&lt;&gt;1,"",SUMIFS($I:$I,$C:$C,$C259,$D:$D,$D259,$E:$E,"P0(후)"))</f>
        <v/>
      </c>
      <c r="R259" s="31">
        <f>IF(COUNTIFS($C:$C,$C259,$D:$D,$D259,$E:$E,"P0(후)",$M:$M,"&gt;0")&lt;&gt;1,"",SUMIFS($M:$M,$C:$C,$C259,$D:$D,$D259,$E:$E,"P0(후)"))</f>
        <v/>
      </c>
      <c r="S259" s="31">
        <f>IF(N259&lt;&gt;"OK","",P259+(R259-P259)*(I259-O259)/(Q259-O259))</f>
        <v/>
      </c>
      <c r="T259" s="31">
        <f>IF(OR(N259&lt;&gt;"OK",NOT(ISNUMBER(M259))),"",M259-S259)</f>
        <v/>
      </c>
      <c r="U259" s="49">
        <f>IF(OR(NOT(ISNUMBER(T259)),IF(ISNUMBER(H259),H259,G259)=0),"",T259/IF(ISNUMBER(H259),H259,G259))</f>
        <v/>
      </c>
      <c r="V259" s="49">
        <f>IF(ISNUMBER(U259),ABS(U259),"")</f>
        <v/>
      </c>
      <c r="W259" s="49">
        <f>IF(OR($E258&lt;&gt;"측정",$C258&lt;&gt;$C259,$D258&lt;&gt;$D259,NOT(ISNUMBER(M259)),NOT(ISNUMBER(M258)),(IF(ISNUMBER(H259),H259,G259)-IF(ISNUMBER(H258),H258,G258))=0),"",(M259-M258)/(IF(ISNUMBER(H259),H259,G259)-IF(ISNUMBER(H258),H258,G258)))</f>
        <v/>
      </c>
      <c r="X259" s="31">
        <f>IF(NOT(AND(ISNUMBER(O259),ISNUMBER(Q259))),"",(Q259-O259)*1440)</f>
        <v/>
      </c>
      <c r="Y259" s="29" t="n"/>
      <c r="Z259" s="29" t="n"/>
      <c r="AA259" s="29" t="n"/>
      <c r="AB259" s="32" t="n"/>
      <c r="AC259" s="32" t="n"/>
    </row>
    <row r="260">
      <c r="A260" s="26" t="inlineStr">
        <is>
          <t>S05</t>
        </is>
      </c>
      <c r="B260" s="26" t="inlineStr">
        <is>
          <t>무풍 신규점1</t>
        </is>
      </c>
      <c r="C260" s="26" t="inlineStr">
        <is>
          <t>S05-H북</t>
        </is>
      </c>
      <c r="D260" s="47" t="n">
        <v>1</v>
      </c>
      <c r="E260" s="26" t="inlineStr">
        <is>
          <t>측정</t>
        </is>
      </c>
      <c r="F260" s="26" t="inlineStr">
        <is>
          <t>북</t>
        </is>
      </c>
      <c r="G260" s="31" t="n">
        <v>6</v>
      </c>
      <c r="H260" s="30" t="n"/>
      <c r="I260" s="43" t="n"/>
      <c r="J260" s="41" t="n"/>
      <c r="K260" s="41" t="n"/>
      <c r="L260" s="41" t="n"/>
      <c r="M260" s="31">
        <f>IF(COUNT(J260:L260)=0,"",MEDIAN(J260:L260))</f>
        <v/>
      </c>
      <c r="N260" s="26">
        <f>IF(COUNTIFS($C:$C,$C260,$D:$D,$D260,$E:$E,"P0(전)",$M:$M,"&gt;0")&lt;&gt;1,"P0(전) 유효 1개 아님",IF(COUNTIFS($C:$C,$C260,$D:$D,$D260,$E:$E,"P0(후)",$M:$M,"&gt;0")&lt;&gt;1,"P0(후) 유효 1개 아님",IF(NOT(AND(ISNUMBER(O260),ISNUMBER(Q260),ISNUMBER(I260))),"시각 결측",IF(Q260&lt;=O260,"P0 시각 역전",IF(OR(I260&lt;O260,I260&gt;Q260),"측정시각 구간 밖","OK")))))</f>
        <v/>
      </c>
      <c r="O260" s="48">
        <f>IF(COUNTIFS($C:$C,$C260,$D:$D,$D260,$E:$E,"P0(전)",$M:$M,"&gt;0")&lt;&gt;1,"",SUMIFS($I:$I,$C:$C,$C260,$D:$D,$D260,$E:$E,"P0(전)"))</f>
        <v/>
      </c>
      <c r="P260" s="31">
        <f>IF(COUNTIFS($C:$C,$C260,$D:$D,$D260,$E:$E,"P0(전)",$M:$M,"&gt;0")&lt;&gt;1,"",SUMIFS($M:$M,$C:$C,$C260,$D:$D,$D260,$E:$E,"P0(전)"))</f>
        <v/>
      </c>
      <c r="Q260" s="48">
        <f>IF(COUNTIFS($C:$C,$C260,$D:$D,$D260,$E:$E,"P0(후)",$M:$M,"&gt;0")&lt;&gt;1,"",SUMIFS($I:$I,$C:$C,$C260,$D:$D,$D260,$E:$E,"P0(후)"))</f>
        <v/>
      </c>
      <c r="R260" s="31">
        <f>IF(COUNTIFS($C:$C,$C260,$D:$D,$D260,$E:$E,"P0(후)",$M:$M,"&gt;0")&lt;&gt;1,"",SUMIFS($M:$M,$C:$C,$C260,$D:$D,$D260,$E:$E,"P0(후)"))</f>
        <v/>
      </c>
      <c r="S260" s="31">
        <f>IF(N260&lt;&gt;"OK","",P260+(R260-P260)*(I260-O260)/(Q260-O260))</f>
        <v/>
      </c>
      <c r="T260" s="31">
        <f>IF(OR(N260&lt;&gt;"OK",NOT(ISNUMBER(M260))),"",M260-S260)</f>
        <v/>
      </c>
      <c r="U260" s="49">
        <f>IF(OR(NOT(ISNUMBER(T260)),IF(ISNUMBER(H260),H260,G260)=0),"",T260/IF(ISNUMBER(H260),H260,G260))</f>
        <v/>
      </c>
      <c r="V260" s="49">
        <f>IF(ISNUMBER(U260),ABS(U260),"")</f>
        <v/>
      </c>
      <c r="W260" s="49">
        <f>IF(OR($E259&lt;&gt;"측정",$C259&lt;&gt;$C260,$D259&lt;&gt;$D260,NOT(ISNUMBER(M260)),NOT(ISNUMBER(M259)),(IF(ISNUMBER(H260),H260,G260)-IF(ISNUMBER(H259),H259,G259))=0),"",(M260-M259)/(IF(ISNUMBER(H260),H260,G260)-IF(ISNUMBER(H259),H259,G259)))</f>
        <v/>
      </c>
      <c r="X260" s="31">
        <f>IF(NOT(AND(ISNUMBER(O260),ISNUMBER(Q260))),"",(Q260-O260)*1440)</f>
        <v/>
      </c>
      <c r="Y260" s="29" t="n"/>
      <c r="Z260" s="29" t="n"/>
      <c r="AA260" s="29" t="n"/>
      <c r="AB260" s="32" t="n"/>
      <c r="AC260" s="32" t="n"/>
    </row>
    <row r="261">
      <c r="A261" s="26" t="inlineStr">
        <is>
          <t>S05</t>
        </is>
      </c>
      <c r="B261" s="26" t="inlineStr">
        <is>
          <t>무풍 신규점1</t>
        </is>
      </c>
      <c r="C261" s="26" t="inlineStr">
        <is>
          <t>S05-H북</t>
        </is>
      </c>
      <c r="D261" s="47" t="n">
        <v>1</v>
      </c>
      <c r="E261" s="26" t="inlineStr">
        <is>
          <t>측정</t>
        </is>
      </c>
      <c r="F261" s="26" t="inlineStr">
        <is>
          <t>북</t>
        </is>
      </c>
      <c r="G261" s="31" t="n">
        <v>7</v>
      </c>
      <c r="H261" s="30" t="n"/>
      <c r="I261" s="43" t="n"/>
      <c r="J261" s="41" t="n"/>
      <c r="K261" s="41" t="n"/>
      <c r="L261" s="41" t="n"/>
      <c r="M261" s="31">
        <f>IF(COUNT(J261:L261)=0,"",MEDIAN(J261:L261))</f>
        <v/>
      </c>
      <c r="N261" s="26">
        <f>IF(COUNTIFS($C:$C,$C261,$D:$D,$D261,$E:$E,"P0(전)",$M:$M,"&gt;0")&lt;&gt;1,"P0(전) 유효 1개 아님",IF(COUNTIFS($C:$C,$C261,$D:$D,$D261,$E:$E,"P0(후)",$M:$M,"&gt;0")&lt;&gt;1,"P0(후) 유효 1개 아님",IF(NOT(AND(ISNUMBER(O261),ISNUMBER(Q261),ISNUMBER(I261))),"시각 결측",IF(Q261&lt;=O261,"P0 시각 역전",IF(OR(I261&lt;O261,I261&gt;Q261),"측정시각 구간 밖","OK")))))</f>
        <v/>
      </c>
      <c r="O261" s="48">
        <f>IF(COUNTIFS($C:$C,$C261,$D:$D,$D261,$E:$E,"P0(전)",$M:$M,"&gt;0")&lt;&gt;1,"",SUMIFS($I:$I,$C:$C,$C261,$D:$D,$D261,$E:$E,"P0(전)"))</f>
        <v/>
      </c>
      <c r="P261" s="31">
        <f>IF(COUNTIFS($C:$C,$C261,$D:$D,$D261,$E:$E,"P0(전)",$M:$M,"&gt;0")&lt;&gt;1,"",SUMIFS($M:$M,$C:$C,$C261,$D:$D,$D261,$E:$E,"P0(전)"))</f>
        <v/>
      </c>
      <c r="Q261" s="48">
        <f>IF(COUNTIFS($C:$C,$C261,$D:$D,$D261,$E:$E,"P0(후)",$M:$M,"&gt;0")&lt;&gt;1,"",SUMIFS($I:$I,$C:$C,$C261,$D:$D,$D261,$E:$E,"P0(후)"))</f>
        <v/>
      </c>
      <c r="R261" s="31">
        <f>IF(COUNTIFS($C:$C,$C261,$D:$D,$D261,$E:$E,"P0(후)",$M:$M,"&gt;0")&lt;&gt;1,"",SUMIFS($M:$M,$C:$C,$C261,$D:$D,$D261,$E:$E,"P0(후)"))</f>
        <v/>
      </c>
      <c r="S261" s="31">
        <f>IF(N261&lt;&gt;"OK","",P261+(R261-P261)*(I261-O261)/(Q261-O261))</f>
        <v/>
      </c>
      <c r="T261" s="31">
        <f>IF(OR(N261&lt;&gt;"OK",NOT(ISNUMBER(M261))),"",M261-S261)</f>
        <v/>
      </c>
      <c r="U261" s="49">
        <f>IF(OR(NOT(ISNUMBER(T261)),IF(ISNUMBER(H261),H261,G261)=0),"",T261/IF(ISNUMBER(H261),H261,G261))</f>
        <v/>
      </c>
      <c r="V261" s="49">
        <f>IF(ISNUMBER(U261),ABS(U261),"")</f>
        <v/>
      </c>
      <c r="W261" s="49">
        <f>IF(OR($E260&lt;&gt;"측정",$C260&lt;&gt;$C261,$D260&lt;&gt;$D261,NOT(ISNUMBER(M261)),NOT(ISNUMBER(M260)),(IF(ISNUMBER(H261),H261,G261)-IF(ISNUMBER(H260),H260,G260))=0),"",(M261-M260)/(IF(ISNUMBER(H261),H261,G261)-IF(ISNUMBER(H260),H260,G260)))</f>
        <v/>
      </c>
      <c r="X261" s="31">
        <f>IF(NOT(AND(ISNUMBER(O261),ISNUMBER(Q261))),"",(Q261-O261)*1440)</f>
        <v/>
      </c>
      <c r="Y261" s="29" t="n"/>
      <c r="Z261" s="29" t="n"/>
      <c r="AA261" s="29" t="n"/>
      <c r="AB261" s="32" t="n"/>
      <c r="AC261" s="32" t="n"/>
    </row>
    <row r="262">
      <c r="A262" s="26" t="inlineStr">
        <is>
          <t>S05</t>
        </is>
      </c>
      <c r="B262" s="26" t="inlineStr">
        <is>
          <t>무풍 신규점1</t>
        </is>
      </c>
      <c r="C262" s="26" t="inlineStr">
        <is>
          <t>S05-H북</t>
        </is>
      </c>
      <c r="D262" s="47" t="n">
        <v>1</v>
      </c>
      <c r="E262" s="26" t="inlineStr">
        <is>
          <t>측정</t>
        </is>
      </c>
      <c r="F262" s="26" t="inlineStr">
        <is>
          <t>북</t>
        </is>
      </c>
      <c r="G262" s="31" t="n">
        <v>8</v>
      </c>
      <c r="H262" s="30" t="n"/>
      <c r="I262" s="43" t="n"/>
      <c r="J262" s="41" t="n"/>
      <c r="K262" s="41" t="n"/>
      <c r="L262" s="41" t="n"/>
      <c r="M262" s="31">
        <f>IF(COUNT(J262:L262)=0,"",MEDIAN(J262:L262))</f>
        <v/>
      </c>
      <c r="N262" s="26">
        <f>IF(COUNTIFS($C:$C,$C262,$D:$D,$D262,$E:$E,"P0(전)",$M:$M,"&gt;0")&lt;&gt;1,"P0(전) 유효 1개 아님",IF(COUNTIFS($C:$C,$C262,$D:$D,$D262,$E:$E,"P0(후)",$M:$M,"&gt;0")&lt;&gt;1,"P0(후) 유효 1개 아님",IF(NOT(AND(ISNUMBER(O262),ISNUMBER(Q262),ISNUMBER(I262))),"시각 결측",IF(Q262&lt;=O262,"P0 시각 역전",IF(OR(I262&lt;O262,I262&gt;Q262),"측정시각 구간 밖","OK")))))</f>
        <v/>
      </c>
      <c r="O262" s="48">
        <f>IF(COUNTIFS($C:$C,$C262,$D:$D,$D262,$E:$E,"P0(전)",$M:$M,"&gt;0")&lt;&gt;1,"",SUMIFS($I:$I,$C:$C,$C262,$D:$D,$D262,$E:$E,"P0(전)"))</f>
        <v/>
      </c>
      <c r="P262" s="31">
        <f>IF(COUNTIFS($C:$C,$C262,$D:$D,$D262,$E:$E,"P0(전)",$M:$M,"&gt;0")&lt;&gt;1,"",SUMIFS($M:$M,$C:$C,$C262,$D:$D,$D262,$E:$E,"P0(전)"))</f>
        <v/>
      </c>
      <c r="Q262" s="48">
        <f>IF(COUNTIFS($C:$C,$C262,$D:$D,$D262,$E:$E,"P0(후)",$M:$M,"&gt;0")&lt;&gt;1,"",SUMIFS($I:$I,$C:$C,$C262,$D:$D,$D262,$E:$E,"P0(후)"))</f>
        <v/>
      </c>
      <c r="R262" s="31">
        <f>IF(COUNTIFS($C:$C,$C262,$D:$D,$D262,$E:$E,"P0(후)",$M:$M,"&gt;0")&lt;&gt;1,"",SUMIFS($M:$M,$C:$C,$C262,$D:$D,$D262,$E:$E,"P0(후)"))</f>
        <v/>
      </c>
      <c r="S262" s="31">
        <f>IF(N262&lt;&gt;"OK","",P262+(R262-P262)*(I262-O262)/(Q262-O262))</f>
        <v/>
      </c>
      <c r="T262" s="31">
        <f>IF(OR(N262&lt;&gt;"OK",NOT(ISNUMBER(M262))),"",M262-S262)</f>
        <v/>
      </c>
      <c r="U262" s="49">
        <f>IF(OR(NOT(ISNUMBER(T262)),IF(ISNUMBER(H262),H262,G262)=0),"",T262/IF(ISNUMBER(H262),H262,G262))</f>
        <v/>
      </c>
      <c r="V262" s="49">
        <f>IF(ISNUMBER(U262),ABS(U262),"")</f>
        <v/>
      </c>
      <c r="W262" s="49">
        <f>IF(OR($E261&lt;&gt;"측정",$C261&lt;&gt;$C262,$D261&lt;&gt;$D262,NOT(ISNUMBER(M262)),NOT(ISNUMBER(M261)),(IF(ISNUMBER(H262),H262,G262)-IF(ISNUMBER(H261),H261,G261))=0),"",(M262-M261)/(IF(ISNUMBER(H262),H262,G262)-IF(ISNUMBER(H261),H261,G261)))</f>
        <v/>
      </c>
      <c r="X262" s="31">
        <f>IF(NOT(AND(ISNUMBER(O262),ISNUMBER(Q262))),"",(Q262-O262)*1440)</f>
        <v/>
      </c>
      <c r="Y262" s="29" t="n"/>
      <c r="Z262" s="29" t="n"/>
      <c r="AA262" s="29" t="n"/>
      <c r="AB262" s="32" t="n"/>
      <c r="AC262" s="32" t="n"/>
    </row>
    <row r="263">
      <c r="A263" s="26" t="inlineStr">
        <is>
          <t>S05</t>
        </is>
      </c>
      <c r="B263" s="26" t="inlineStr">
        <is>
          <t>무풍 신규점1</t>
        </is>
      </c>
      <c r="C263" s="26" t="inlineStr">
        <is>
          <t>S05-H북</t>
        </is>
      </c>
      <c r="D263" s="47" t="n">
        <v>1</v>
      </c>
      <c r="E263" s="26" t="inlineStr">
        <is>
          <t>측정</t>
        </is>
      </c>
      <c r="F263" s="26" t="inlineStr">
        <is>
          <t>북</t>
        </is>
      </c>
      <c r="G263" s="31" t="n">
        <v>9</v>
      </c>
      <c r="H263" s="30" t="n"/>
      <c r="I263" s="43" t="n"/>
      <c r="J263" s="41" t="n"/>
      <c r="K263" s="41" t="n"/>
      <c r="L263" s="41" t="n"/>
      <c r="M263" s="31">
        <f>IF(COUNT(J263:L263)=0,"",MEDIAN(J263:L263))</f>
        <v/>
      </c>
      <c r="N263" s="26">
        <f>IF(COUNTIFS($C:$C,$C263,$D:$D,$D263,$E:$E,"P0(전)",$M:$M,"&gt;0")&lt;&gt;1,"P0(전) 유효 1개 아님",IF(COUNTIFS($C:$C,$C263,$D:$D,$D263,$E:$E,"P0(후)",$M:$M,"&gt;0")&lt;&gt;1,"P0(후) 유효 1개 아님",IF(NOT(AND(ISNUMBER(O263),ISNUMBER(Q263),ISNUMBER(I263))),"시각 결측",IF(Q263&lt;=O263,"P0 시각 역전",IF(OR(I263&lt;O263,I263&gt;Q263),"측정시각 구간 밖","OK")))))</f>
        <v/>
      </c>
      <c r="O263" s="48">
        <f>IF(COUNTIFS($C:$C,$C263,$D:$D,$D263,$E:$E,"P0(전)",$M:$M,"&gt;0")&lt;&gt;1,"",SUMIFS($I:$I,$C:$C,$C263,$D:$D,$D263,$E:$E,"P0(전)"))</f>
        <v/>
      </c>
      <c r="P263" s="31">
        <f>IF(COUNTIFS($C:$C,$C263,$D:$D,$D263,$E:$E,"P0(전)",$M:$M,"&gt;0")&lt;&gt;1,"",SUMIFS($M:$M,$C:$C,$C263,$D:$D,$D263,$E:$E,"P0(전)"))</f>
        <v/>
      </c>
      <c r="Q263" s="48">
        <f>IF(COUNTIFS($C:$C,$C263,$D:$D,$D263,$E:$E,"P0(후)",$M:$M,"&gt;0")&lt;&gt;1,"",SUMIFS($I:$I,$C:$C,$C263,$D:$D,$D263,$E:$E,"P0(후)"))</f>
        <v/>
      </c>
      <c r="R263" s="31">
        <f>IF(COUNTIFS($C:$C,$C263,$D:$D,$D263,$E:$E,"P0(후)",$M:$M,"&gt;0")&lt;&gt;1,"",SUMIFS($M:$M,$C:$C,$C263,$D:$D,$D263,$E:$E,"P0(후)"))</f>
        <v/>
      </c>
      <c r="S263" s="31">
        <f>IF(N263&lt;&gt;"OK","",P263+(R263-P263)*(I263-O263)/(Q263-O263))</f>
        <v/>
      </c>
      <c r="T263" s="31">
        <f>IF(OR(N263&lt;&gt;"OK",NOT(ISNUMBER(M263))),"",M263-S263)</f>
        <v/>
      </c>
      <c r="U263" s="49">
        <f>IF(OR(NOT(ISNUMBER(T263)),IF(ISNUMBER(H263),H263,G263)=0),"",T263/IF(ISNUMBER(H263),H263,G263))</f>
        <v/>
      </c>
      <c r="V263" s="49">
        <f>IF(ISNUMBER(U263),ABS(U263),"")</f>
        <v/>
      </c>
      <c r="W263" s="49">
        <f>IF(OR($E262&lt;&gt;"측정",$C262&lt;&gt;$C263,$D262&lt;&gt;$D263,NOT(ISNUMBER(M263)),NOT(ISNUMBER(M262)),(IF(ISNUMBER(H263),H263,G263)-IF(ISNUMBER(H262),H262,G262))=0),"",(M263-M262)/(IF(ISNUMBER(H263),H263,G263)-IF(ISNUMBER(H262),H262,G262)))</f>
        <v/>
      </c>
      <c r="X263" s="31">
        <f>IF(NOT(AND(ISNUMBER(O263),ISNUMBER(Q263))),"",(Q263-O263)*1440)</f>
        <v/>
      </c>
      <c r="Y263" s="29" t="n"/>
      <c r="Z263" s="29" t="n"/>
      <c r="AA263" s="29" t="n"/>
      <c r="AB263" s="32" t="n"/>
      <c r="AC263" s="32" t="n"/>
    </row>
    <row r="264">
      <c r="A264" s="26" t="inlineStr">
        <is>
          <t>S05</t>
        </is>
      </c>
      <c r="B264" s="26" t="inlineStr">
        <is>
          <t>무풍 신규점1</t>
        </is>
      </c>
      <c r="C264" s="26" t="inlineStr">
        <is>
          <t>S05-H북</t>
        </is>
      </c>
      <c r="D264" s="47" t="n">
        <v>1</v>
      </c>
      <c r="E264" s="26" t="inlineStr">
        <is>
          <t>측정</t>
        </is>
      </c>
      <c r="F264" s="26" t="inlineStr">
        <is>
          <t>북</t>
        </is>
      </c>
      <c r="G264" s="31" t="n">
        <v>10</v>
      </c>
      <c r="H264" s="30" t="n"/>
      <c r="I264" s="43" t="n"/>
      <c r="J264" s="41" t="n"/>
      <c r="K264" s="41" t="n"/>
      <c r="L264" s="41" t="n"/>
      <c r="M264" s="31">
        <f>IF(COUNT(J264:L264)=0,"",MEDIAN(J264:L264))</f>
        <v/>
      </c>
      <c r="N264" s="26">
        <f>IF(COUNTIFS($C:$C,$C264,$D:$D,$D264,$E:$E,"P0(전)",$M:$M,"&gt;0")&lt;&gt;1,"P0(전) 유효 1개 아님",IF(COUNTIFS($C:$C,$C264,$D:$D,$D264,$E:$E,"P0(후)",$M:$M,"&gt;0")&lt;&gt;1,"P0(후) 유효 1개 아님",IF(NOT(AND(ISNUMBER(O264),ISNUMBER(Q264),ISNUMBER(I264))),"시각 결측",IF(Q264&lt;=O264,"P0 시각 역전",IF(OR(I264&lt;O264,I264&gt;Q264),"측정시각 구간 밖","OK")))))</f>
        <v/>
      </c>
      <c r="O264" s="48">
        <f>IF(COUNTIFS($C:$C,$C264,$D:$D,$D264,$E:$E,"P0(전)",$M:$M,"&gt;0")&lt;&gt;1,"",SUMIFS($I:$I,$C:$C,$C264,$D:$D,$D264,$E:$E,"P0(전)"))</f>
        <v/>
      </c>
      <c r="P264" s="31">
        <f>IF(COUNTIFS($C:$C,$C264,$D:$D,$D264,$E:$E,"P0(전)",$M:$M,"&gt;0")&lt;&gt;1,"",SUMIFS($M:$M,$C:$C,$C264,$D:$D,$D264,$E:$E,"P0(전)"))</f>
        <v/>
      </c>
      <c r="Q264" s="48">
        <f>IF(COUNTIFS($C:$C,$C264,$D:$D,$D264,$E:$E,"P0(후)",$M:$M,"&gt;0")&lt;&gt;1,"",SUMIFS($I:$I,$C:$C,$C264,$D:$D,$D264,$E:$E,"P0(후)"))</f>
        <v/>
      </c>
      <c r="R264" s="31">
        <f>IF(COUNTIFS($C:$C,$C264,$D:$D,$D264,$E:$E,"P0(후)",$M:$M,"&gt;0")&lt;&gt;1,"",SUMIFS($M:$M,$C:$C,$C264,$D:$D,$D264,$E:$E,"P0(후)"))</f>
        <v/>
      </c>
      <c r="S264" s="31">
        <f>IF(N264&lt;&gt;"OK","",P264+(R264-P264)*(I264-O264)/(Q264-O264))</f>
        <v/>
      </c>
      <c r="T264" s="31">
        <f>IF(OR(N264&lt;&gt;"OK",NOT(ISNUMBER(M264))),"",M264-S264)</f>
        <v/>
      </c>
      <c r="U264" s="49">
        <f>IF(OR(NOT(ISNUMBER(T264)),IF(ISNUMBER(H264),H264,G264)=0),"",T264/IF(ISNUMBER(H264),H264,G264))</f>
        <v/>
      </c>
      <c r="V264" s="49">
        <f>IF(ISNUMBER(U264),ABS(U264),"")</f>
        <v/>
      </c>
      <c r="W264" s="49">
        <f>IF(OR($E263&lt;&gt;"측정",$C263&lt;&gt;$C264,$D263&lt;&gt;$D264,NOT(ISNUMBER(M264)),NOT(ISNUMBER(M263)),(IF(ISNUMBER(H264),H264,G264)-IF(ISNUMBER(H263),H263,G263))=0),"",(M264-M263)/(IF(ISNUMBER(H264),H264,G264)-IF(ISNUMBER(H263),H263,G263)))</f>
        <v/>
      </c>
      <c r="X264" s="31">
        <f>IF(NOT(AND(ISNUMBER(O264),ISNUMBER(Q264))),"",(Q264-O264)*1440)</f>
        <v/>
      </c>
      <c r="Y264" s="29" t="n"/>
      <c r="Z264" s="29" t="n"/>
      <c r="AA264" s="29" t="n"/>
      <c r="AB264" s="32" t="n"/>
      <c r="AC264" s="32" t="n"/>
    </row>
    <row r="265">
      <c r="A265" s="44" t="inlineStr">
        <is>
          <t>S05</t>
        </is>
      </c>
      <c r="B265" s="44" t="inlineStr">
        <is>
          <t>무풍 신규점1</t>
        </is>
      </c>
      <c r="C265" s="44" t="inlineStr">
        <is>
          <t>S05-H북</t>
        </is>
      </c>
      <c r="D265" s="45" t="n">
        <v>1</v>
      </c>
      <c r="E265" s="44" t="inlineStr">
        <is>
          <t>P0(후)</t>
        </is>
      </c>
      <c r="F265" s="44" t="inlineStr">
        <is>
          <t>북</t>
        </is>
      </c>
      <c r="G265" s="46" t="n"/>
      <c r="H265" s="30" t="n"/>
      <c r="I265" s="43" t="n"/>
      <c r="J265" s="41" t="n"/>
      <c r="K265" s="41" t="n"/>
      <c r="L265" s="41" t="n"/>
      <c r="M265" s="31">
        <f>IF(COUNT(J265:L265)=0,"",MEDIAN(J265:L265))</f>
        <v/>
      </c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29" t="n"/>
      <c r="Z265" s="29" t="n"/>
      <c r="AA265" s="29" t="n"/>
      <c r="AB265" s="32" t="n"/>
      <c r="AC265" s="32" t="n"/>
    </row>
    <row r="266">
      <c r="A266" s="44" t="inlineStr">
        <is>
          <t>S06</t>
        </is>
      </c>
      <c r="B266" s="44" t="inlineStr">
        <is>
          <t>길담 신규점</t>
        </is>
      </c>
      <c r="C266" s="44" t="inlineStr">
        <is>
          <t>S06-H동</t>
        </is>
      </c>
      <c r="D266" s="45" t="n">
        <v>1</v>
      </c>
      <c r="E266" s="44" t="inlineStr">
        <is>
          <t>P0(전)</t>
        </is>
      </c>
      <c r="F266" s="44" t="inlineStr">
        <is>
          <t>동</t>
        </is>
      </c>
      <c r="G266" s="46" t="n"/>
      <c r="H266" s="30" t="n"/>
      <c r="I266" s="43" t="n"/>
      <c r="J266" s="41" t="n"/>
      <c r="K266" s="41" t="n"/>
      <c r="L266" s="41" t="n"/>
      <c r="M266" s="31">
        <f>IF(COUNT(J266:L266)=0,"",MEDIAN(J266:L266))</f>
        <v/>
      </c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29" t="n"/>
      <c r="Z266" s="29" t="n"/>
      <c r="AA266" s="29" t="n"/>
      <c r="AB266" s="32" t="n"/>
      <c r="AC266" s="32" t="n"/>
    </row>
    <row r="267">
      <c r="A267" s="26" t="inlineStr">
        <is>
          <t>S06</t>
        </is>
      </c>
      <c r="B267" s="26" t="inlineStr">
        <is>
          <t>길담 신규점</t>
        </is>
      </c>
      <c r="C267" s="26" t="inlineStr">
        <is>
          <t>S06-H동</t>
        </is>
      </c>
      <c r="D267" s="47" t="n">
        <v>1</v>
      </c>
      <c r="E267" s="26" t="inlineStr">
        <is>
          <t>측정</t>
        </is>
      </c>
      <c r="F267" s="26" t="inlineStr">
        <is>
          <t>동</t>
        </is>
      </c>
      <c r="G267" s="31" t="n">
        <v>0.5</v>
      </c>
      <c r="H267" s="30" t="n"/>
      <c r="I267" s="43" t="n"/>
      <c r="J267" s="41" t="n"/>
      <c r="K267" s="41" t="n"/>
      <c r="L267" s="41" t="n"/>
      <c r="M267" s="31">
        <f>IF(COUNT(J267:L267)=0,"",MEDIAN(J267:L267))</f>
        <v/>
      </c>
      <c r="N267" s="26">
        <f>IF(COUNTIFS($C:$C,$C267,$D:$D,$D267,$E:$E,"P0(전)",$M:$M,"&gt;0")&lt;&gt;1,"P0(전) 유효 1개 아님",IF(COUNTIFS($C:$C,$C267,$D:$D,$D267,$E:$E,"P0(후)",$M:$M,"&gt;0")&lt;&gt;1,"P0(후) 유효 1개 아님",IF(NOT(AND(ISNUMBER(O267),ISNUMBER(Q267),ISNUMBER(I267))),"시각 결측",IF(Q267&lt;=O267,"P0 시각 역전",IF(OR(I267&lt;O267,I267&gt;Q267),"측정시각 구간 밖","OK")))))</f>
        <v/>
      </c>
      <c r="O267" s="48">
        <f>IF(COUNTIFS($C:$C,$C267,$D:$D,$D267,$E:$E,"P0(전)",$M:$M,"&gt;0")&lt;&gt;1,"",SUMIFS($I:$I,$C:$C,$C267,$D:$D,$D267,$E:$E,"P0(전)"))</f>
        <v/>
      </c>
      <c r="P267" s="31">
        <f>IF(COUNTIFS($C:$C,$C267,$D:$D,$D267,$E:$E,"P0(전)",$M:$M,"&gt;0")&lt;&gt;1,"",SUMIFS($M:$M,$C:$C,$C267,$D:$D,$D267,$E:$E,"P0(전)"))</f>
        <v/>
      </c>
      <c r="Q267" s="48">
        <f>IF(COUNTIFS($C:$C,$C267,$D:$D,$D267,$E:$E,"P0(후)",$M:$M,"&gt;0")&lt;&gt;1,"",SUMIFS($I:$I,$C:$C,$C267,$D:$D,$D267,$E:$E,"P0(후)"))</f>
        <v/>
      </c>
      <c r="R267" s="31">
        <f>IF(COUNTIFS($C:$C,$C267,$D:$D,$D267,$E:$E,"P0(후)",$M:$M,"&gt;0")&lt;&gt;1,"",SUMIFS($M:$M,$C:$C,$C267,$D:$D,$D267,$E:$E,"P0(후)"))</f>
        <v/>
      </c>
      <c r="S267" s="31">
        <f>IF(N267&lt;&gt;"OK","",P267+(R267-P267)*(I267-O267)/(Q267-O267))</f>
        <v/>
      </c>
      <c r="T267" s="31">
        <f>IF(OR(N267&lt;&gt;"OK",NOT(ISNUMBER(M267))),"",M267-S267)</f>
        <v/>
      </c>
      <c r="U267" s="49">
        <f>IF(OR(NOT(ISNUMBER(T267)),IF(ISNUMBER(H267),H267,G267)=0),"",T267/IF(ISNUMBER(H267),H267,G267))</f>
        <v/>
      </c>
      <c r="V267" s="49">
        <f>IF(ISNUMBER(U267),ABS(U267),"")</f>
        <v/>
      </c>
      <c r="W267" s="49">
        <f>IF(OR($E266&lt;&gt;"측정",$C266&lt;&gt;$C267,$D266&lt;&gt;$D267,NOT(ISNUMBER(M267)),NOT(ISNUMBER(M266)),(IF(ISNUMBER(H267),H267,G267)-IF(ISNUMBER(H266),H266,G266))=0),"",(M267-M266)/(IF(ISNUMBER(H267),H267,G267)-IF(ISNUMBER(H266),H266,G266)))</f>
        <v/>
      </c>
      <c r="X267" s="31">
        <f>IF(NOT(AND(ISNUMBER(O267),ISNUMBER(Q267))),"",(Q267-O267)*1440)</f>
        <v/>
      </c>
      <c r="Y267" s="29" t="n"/>
      <c r="Z267" s="29" t="n"/>
      <c r="AA267" s="29" t="n"/>
      <c r="AB267" s="32" t="n"/>
      <c r="AC267" s="32" t="n"/>
    </row>
    <row r="268">
      <c r="A268" s="26" t="inlineStr">
        <is>
          <t>S06</t>
        </is>
      </c>
      <c r="B268" s="26" t="inlineStr">
        <is>
          <t>길담 신규점</t>
        </is>
      </c>
      <c r="C268" s="26" t="inlineStr">
        <is>
          <t>S06-H동</t>
        </is>
      </c>
      <c r="D268" s="47" t="n">
        <v>1</v>
      </c>
      <c r="E268" s="26" t="inlineStr">
        <is>
          <t>측정</t>
        </is>
      </c>
      <c r="F268" s="26" t="inlineStr">
        <is>
          <t>동</t>
        </is>
      </c>
      <c r="G268" s="31" t="n">
        <v>1</v>
      </c>
      <c r="H268" s="30" t="n"/>
      <c r="I268" s="43" t="n"/>
      <c r="J268" s="41" t="n"/>
      <c r="K268" s="41" t="n"/>
      <c r="L268" s="41" t="n"/>
      <c r="M268" s="31">
        <f>IF(COUNT(J268:L268)=0,"",MEDIAN(J268:L268))</f>
        <v/>
      </c>
      <c r="N268" s="26">
        <f>IF(COUNTIFS($C:$C,$C268,$D:$D,$D268,$E:$E,"P0(전)",$M:$M,"&gt;0")&lt;&gt;1,"P0(전) 유효 1개 아님",IF(COUNTIFS($C:$C,$C268,$D:$D,$D268,$E:$E,"P0(후)",$M:$M,"&gt;0")&lt;&gt;1,"P0(후) 유효 1개 아님",IF(NOT(AND(ISNUMBER(O268),ISNUMBER(Q268),ISNUMBER(I268))),"시각 결측",IF(Q268&lt;=O268,"P0 시각 역전",IF(OR(I268&lt;O268,I268&gt;Q268),"측정시각 구간 밖","OK")))))</f>
        <v/>
      </c>
      <c r="O268" s="48">
        <f>IF(COUNTIFS($C:$C,$C268,$D:$D,$D268,$E:$E,"P0(전)",$M:$M,"&gt;0")&lt;&gt;1,"",SUMIFS($I:$I,$C:$C,$C268,$D:$D,$D268,$E:$E,"P0(전)"))</f>
        <v/>
      </c>
      <c r="P268" s="31">
        <f>IF(COUNTIFS($C:$C,$C268,$D:$D,$D268,$E:$E,"P0(전)",$M:$M,"&gt;0")&lt;&gt;1,"",SUMIFS($M:$M,$C:$C,$C268,$D:$D,$D268,$E:$E,"P0(전)"))</f>
        <v/>
      </c>
      <c r="Q268" s="48">
        <f>IF(COUNTIFS($C:$C,$C268,$D:$D,$D268,$E:$E,"P0(후)",$M:$M,"&gt;0")&lt;&gt;1,"",SUMIFS($I:$I,$C:$C,$C268,$D:$D,$D268,$E:$E,"P0(후)"))</f>
        <v/>
      </c>
      <c r="R268" s="31">
        <f>IF(COUNTIFS($C:$C,$C268,$D:$D,$D268,$E:$E,"P0(후)",$M:$M,"&gt;0")&lt;&gt;1,"",SUMIFS($M:$M,$C:$C,$C268,$D:$D,$D268,$E:$E,"P0(후)"))</f>
        <v/>
      </c>
      <c r="S268" s="31">
        <f>IF(N268&lt;&gt;"OK","",P268+(R268-P268)*(I268-O268)/(Q268-O268))</f>
        <v/>
      </c>
      <c r="T268" s="31">
        <f>IF(OR(N268&lt;&gt;"OK",NOT(ISNUMBER(M268))),"",M268-S268)</f>
        <v/>
      </c>
      <c r="U268" s="49">
        <f>IF(OR(NOT(ISNUMBER(T268)),IF(ISNUMBER(H268),H268,G268)=0),"",T268/IF(ISNUMBER(H268),H268,G268))</f>
        <v/>
      </c>
      <c r="V268" s="49">
        <f>IF(ISNUMBER(U268),ABS(U268),"")</f>
        <v/>
      </c>
      <c r="W268" s="49">
        <f>IF(OR($E267&lt;&gt;"측정",$C267&lt;&gt;$C268,$D267&lt;&gt;$D268,NOT(ISNUMBER(M268)),NOT(ISNUMBER(M267)),(IF(ISNUMBER(H268),H268,G268)-IF(ISNUMBER(H267),H267,G267))=0),"",(M268-M267)/(IF(ISNUMBER(H268),H268,G268)-IF(ISNUMBER(H267),H267,G267)))</f>
        <v/>
      </c>
      <c r="X268" s="31">
        <f>IF(NOT(AND(ISNUMBER(O268),ISNUMBER(Q268))),"",(Q268-O268)*1440)</f>
        <v/>
      </c>
      <c r="Y268" s="29" t="n"/>
      <c r="Z268" s="29" t="n"/>
      <c r="AA268" s="29" t="n"/>
      <c r="AB268" s="32" t="n"/>
      <c r="AC268" s="32" t="n"/>
    </row>
    <row r="269">
      <c r="A269" s="26" t="inlineStr">
        <is>
          <t>S06</t>
        </is>
      </c>
      <c r="B269" s="26" t="inlineStr">
        <is>
          <t>길담 신규점</t>
        </is>
      </c>
      <c r="C269" s="26" t="inlineStr">
        <is>
          <t>S06-H동</t>
        </is>
      </c>
      <c r="D269" s="47" t="n">
        <v>1</v>
      </c>
      <c r="E269" s="26" t="inlineStr">
        <is>
          <t>측정</t>
        </is>
      </c>
      <c r="F269" s="26" t="inlineStr">
        <is>
          <t>동</t>
        </is>
      </c>
      <c r="G269" s="31" t="n">
        <v>2</v>
      </c>
      <c r="H269" s="30" t="n"/>
      <c r="I269" s="43" t="n"/>
      <c r="J269" s="41" t="n"/>
      <c r="K269" s="41" t="n"/>
      <c r="L269" s="41" t="n"/>
      <c r="M269" s="31">
        <f>IF(COUNT(J269:L269)=0,"",MEDIAN(J269:L269))</f>
        <v/>
      </c>
      <c r="N269" s="26">
        <f>IF(COUNTIFS($C:$C,$C269,$D:$D,$D269,$E:$E,"P0(전)",$M:$M,"&gt;0")&lt;&gt;1,"P0(전) 유효 1개 아님",IF(COUNTIFS($C:$C,$C269,$D:$D,$D269,$E:$E,"P0(후)",$M:$M,"&gt;0")&lt;&gt;1,"P0(후) 유효 1개 아님",IF(NOT(AND(ISNUMBER(O269),ISNUMBER(Q269),ISNUMBER(I269))),"시각 결측",IF(Q269&lt;=O269,"P0 시각 역전",IF(OR(I269&lt;O269,I269&gt;Q269),"측정시각 구간 밖","OK")))))</f>
        <v/>
      </c>
      <c r="O269" s="48">
        <f>IF(COUNTIFS($C:$C,$C269,$D:$D,$D269,$E:$E,"P0(전)",$M:$M,"&gt;0")&lt;&gt;1,"",SUMIFS($I:$I,$C:$C,$C269,$D:$D,$D269,$E:$E,"P0(전)"))</f>
        <v/>
      </c>
      <c r="P269" s="31">
        <f>IF(COUNTIFS($C:$C,$C269,$D:$D,$D269,$E:$E,"P0(전)",$M:$M,"&gt;0")&lt;&gt;1,"",SUMIFS($M:$M,$C:$C,$C269,$D:$D,$D269,$E:$E,"P0(전)"))</f>
        <v/>
      </c>
      <c r="Q269" s="48">
        <f>IF(COUNTIFS($C:$C,$C269,$D:$D,$D269,$E:$E,"P0(후)",$M:$M,"&gt;0")&lt;&gt;1,"",SUMIFS($I:$I,$C:$C,$C269,$D:$D,$D269,$E:$E,"P0(후)"))</f>
        <v/>
      </c>
      <c r="R269" s="31">
        <f>IF(COUNTIFS($C:$C,$C269,$D:$D,$D269,$E:$E,"P0(후)",$M:$M,"&gt;0")&lt;&gt;1,"",SUMIFS($M:$M,$C:$C,$C269,$D:$D,$D269,$E:$E,"P0(후)"))</f>
        <v/>
      </c>
      <c r="S269" s="31">
        <f>IF(N269&lt;&gt;"OK","",P269+(R269-P269)*(I269-O269)/(Q269-O269))</f>
        <v/>
      </c>
      <c r="T269" s="31">
        <f>IF(OR(N269&lt;&gt;"OK",NOT(ISNUMBER(M269))),"",M269-S269)</f>
        <v/>
      </c>
      <c r="U269" s="49">
        <f>IF(OR(NOT(ISNUMBER(T269)),IF(ISNUMBER(H269),H269,G269)=0),"",T269/IF(ISNUMBER(H269),H269,G269))</f>
        <v/>
      </c>
      <c r="V269" s="49">
        <f>IF(ISNUMBER(U269),ABS(U269),"")</f>
        <v/>
      </c>
      <c r="W269" s="49">
        <f>IF(OR($E268&lt;&gt;"측정",$C268&lt;&gt;$C269,$D268&lt;&gt;$D269,NOT(ISNUMBER(M269)),NOT(ISNUMBER(M268)),(IF(ISNUMBER(H269),H269,G269)-IF(ISNUMBER(H268),H268,G268))=0),"",(M269-M268)/(IF(ISNUMBER(H269),H269,G269)-IF(ISNUMBER(H268),H268,G268)))</f>
        <v/>
      </c>
      <c r="X269" s="31">
        <f>IF(NOT(AND(ISNUMBER(O269),ISNUMBER(Q269))),"",(Q269-O269)*1440)</f>
        <v/>
      </c>
      <c r="Y269" s="29" t="n"/>
      <c r="Z269" s="29" t="n"/>
      <c r="AA269" s="29" t="n"/>
      <c r="AB269" s="32" t="n"/>
      <c r="AC269" s="32" t="n"/>
    </row>
    <row r="270">
      <c r="A270" s="26" t="inlineStr">
        <is>
          <t>S06</t>
        </is>
      </c>
      <c r="B270" s="26" t="inlineStr">
        <is>
          <t>길담 신규점</t>
        </is>
      </c>
      <c r="C270" s="26" t="inlineStr">
        <is>
          <t>S06-H동</t>
        </is>
      </c>
      <c r="D270" s="47" t="n">
        <v>1</v>
      </c>
      <c r="E270" s="26" t="inlineStr">
        <is>
          <t>측정</t>
        </is>
      </c>
      <c r="F270" s="26" t="inlineStr">
        <is>
          <t>동</t>
        </is>
      </c>
      <c r="G270" s="31" t="n">
        <v>3</v>
      </c>
      <c r="H270" s="30" t="n"/>
      <c r="I270" s="43" t="n"/>
      <c r="J270" s="41" t="n"/>
      <c r="K270" s="41" t="n"/>
      <c r="L270" s="41" t="n"/>
      <c r="M270" s="31">
        <f>IF(COUNT(J270:L270)=0,"",MEDIAN(J270:L270))</f>
        <v/>
      </c>
      <c r="N270" s="26">
        <f>IF(COUNTIFS($C:$C,$C270,$D:$D,$D270,$E:$E,"P0(전)",$M:$M,"&gt;0")&lt;&gt;1,"P0(전) 유효 1개 아님",IF(COUNTIFS($C:$C,$C270,$D:$D,$D270,$E:$E,"P0(후)",$M:$M,"&gt;0")&lt;&gt;1,"P0(후) 유효 1개 아님",IF(NOT(AND(ISNUMBER(O270),ISNUMBER(Q270),ISNUMBER(I270))),"시각 결측",IF(Q270&lt;=O270,"P0 시각 역전",IF(OR(I270&lt;O270,I270&gt;Q270),"측정시각 구간 밖","OK")))))</f>
        <v/>
      </c>
      <c r="O270" s="48">
        <f>IF(COUNTIFS($C:$C,$C270,$D:$D,$D270,$E:$E,"P0(전)",$M:$M,"&gt;0")&lt;&gt;1,"",SUMIFS($I:$I,$C:$C,$C270,$D:$D,$D270,$E:$E,"P0(전)"))</f>
        <v/>
      </c>
      <c r="P270" s="31">
        <f>IF(COUNTIFS($C:$C,$C270,$D:$D,$D270,$E:$E,"P0(전)",$M:$M,"&gt;0")&lt;&gt;1,"",SUMIFS($M:$M,$C:$C,$C270,$D:$D,$D270,$E:$E,"P0(전)"))</f>
        <v/>
      </c>
      <c r="Q270" s="48">
        <f>IF(COUNTIFS($C:$C,$C270,$D:$D,$D270,$E:$E,"P0(후)",$M:$M,"&gt;0")&lt;&gt;1,"",SUMIFS($I:$I,$C:$C,$C270,$D:$D,$D270,$E:$E,"P0(후)"))</f>
        <v/>
      </c>
      <c r="R270" s="31">
        <f>IF(COUNTIFS($C:$C,$C270,$D:$D,$D270,$E:$E,"P0(후)",$M:$M,"&gt;0")&lt;&gt;1,"",SUMIFS($M:$M,$C:$C,$C270,$D:$D,$D270,$E:$E,"P0(후)"))</f>
        <v/>
      </c>
      <c r="S270" s="31">
        <f>IF(N270&lt;&gt;"OK","",P270+(R270-P270)*(I270-O270)/(Q270-O270))</f>
        <v/>
      </c>
      <c r="T270" s="31">
        <f>IF(OR(N270&lt;&gt;"OK",NOT(ISNUMBER(M270))),"",M270-S270)</f>
        <v/>
      </c>
      <c r="U270" s="49">
        <f>IF(OR(NOT(ISNUMBER(T270)),IF(ISNUMBER(H270),H270,G270)=0),"",T270/IF(ISNUMBER(H270),H270,G270))</f>
        <v/>
      </c>
      <c r="V270" s="49">
        <f>IF(ISNUMBER(U270),ABS(U270),"")</f>
        <v/>
      </c>
      <c r="W270" s="49">
        <f>IF(OR($E269&lt;&gt;"측정",$C269&lt;&gt;$C270,$D269&lt;&gt;$D270,NOT(ISNUMBER(M270)),NOT(ISNUMBER(M269)),(IF(ISNUMBER(H270),H270,G270)-IF(ISNUMBER(H269),H269,G269))=0),"",(M270-M269)/(IF(ISNUMBER(H270),H270,G270)-IF(ISNUMBER(H269),H269,G269)))</f>
        <v/>
      </c>
      <c r="X270" s="31">
        <f>IF(NOT(AND(ISNUMBER(O270),ISNUMBER(Q270))),"",(Q270-O270)*1440)</f>
        <v/>
      </c>
      <c r="Y270" s="29" t="n"/>
      <c r="Z270" s="29" t="n"/>
      <c r="AA270" s="29" t="n"/>
      <c r="AB270" s="32" t="n"/>
      <c r="AC270" s="32" t="n"/>
    </row>
    <row r="271">
      <c r="A271" s="26" t="inlineStr">
        <is>
          <t>S06</t>
        </is>
      </c>
      <c r="B271" s="26" t="inlineStr">
        <is>
          <t>길담 신규점</t>
        </is>
      </c>
      <c r="C271" s="26" t="inlineStr">
        <is>
          <t>S06-H동</t>
        </is>
      </c>
      <c r="D271" s="47" t="n">
        <v>1</v>
      </c>
      <c r="E271" s="26" t="inlineStr">
        <is>
          <t>측정</t>
        </is>
      </c>
      <c r="F271" s="26" t="inlineStr">
        <is>
          <t>동</t>
        </is>
      </c>
      <c r="G271" s="31" t="n">
        <v>4</v>
      </c>
      <c r="H271" s="30" t="n"/>
      <c r="I271" s="43" t="n"/>
      <c r="J271" s="41" t="n"/>
      <c r="K271" s="41" t="n"/>
      <c r="L271" s="41" t="n"/>
      <c r="M271" s="31">
        <f>IF(COUNT(J271:L271)=0,"",MEDIAN(J271:L271))</f>
        <v/>
      </c>
      <c r="N271" s="26">
        <f>IF(COUNTIFS($C:$C,$C271,$D:$D,$D271,$E:$E,"P0(전)",$M:$M,"&gt;0")&lt;&gt;1,"P0(전) 유효 1개 아님",IF(COUNTIFS($C:$C,$C271,$D:$D,$D271,$E:$E,"P0(후)",$M:$M,"&gt;0")&lt;&gt;1,"P0(후) 유효 1개 아님",IF(NOT(AND(ISNUMBER(O271),ISNUMBER(Q271),ISNUMBER(I271))),"시각 결측",IF(Q271&lt;=O271,"P0 시각 역전",IF(OR(I271&lt;O271,I271&gt;Q271),"측정시각 구간 밖","OK")))))</f>
        <v/>
      </c>
      <c r="O271" s="48">
        <f>IF(COUNTIFS($C:$C,$C271,$D:$D,$D271,$E:$E,"P0(전)",$M:$M,"&gt;0")&lt;&gt;1,"",SUMIFS($I:$I,$C:$C,$C271,$D:$D,$D271,$E:$E,"P0(전)"))</f>
        <v/>
      </c>
      <c r="P271" s="31">
        <f>IF(COUNTIFS($C:$C,$C271,$D:$D,$D271,$E:$E,"P0(전)",$M:$M,"&gt;0")&lt;&gt;1,"",SUMIFS($M:$M,$C:$C,$C271,$D:$D,$D271,$E:$E,"P0(전)"))</f>
        <v/>
      </c>
      <c r="Q271" s="48">
        <f>IF(COUNTIFS($C:$C,$C271,$D:$D,$D271,$E:$E,"P0(후)",$M:$M,"&gt;0")&lt;&gt;1,"",SUMIFS($I:$I,$C:$C,$C271,$D:$D,$D271,$E:$E,"P0(후)"))</f>
        <v/>
      </c>
      <c r="R271" s="31">
        <f>IF(COUNTIFS($C:$C,$C271,$D:$D,$D271,$E:$E,"P0(후)",$M:$M,"&gt;0")&lt;&gt;1,"",SUMIFS($M:$M,$C:$C,$C271,$D:$D,$D271,$E:$E,"P0(후)"))</f>
        <v/>
      </c>
      <c r="S271" s="31">
        <f>IF(N271&lt;&gt;"OK","",P271+(R271-P271)*(I271-O271)/(Q271-O271))</f>
        <v/>
      </c>
      <c r="T271" s="31">
        <f>IF(OR(N271&lt;&gt;"OK",NOT(ISNUMBER(M271))),"",M271-S271)</f>
        <v/>
      </c>
      <c r="U271" s="49">
        <f>IF(OR(NOT(ISNUMBER(T271)),IF(ISNUMBER(H271),H271,G271)=0),"",T271/IF(ISNUMBER(H271),H271,G271))</f>
        <v/>
      </c>
      <c r="V271" s="49">
        <f>IF(ISNUMBER(U271),ABS(U271),"")</f>
        <v/>
      </c>
      <c r="W271" s="49">
        <f>IF(OR($E270&lt;&gt;"측정",$C270&lt;&gt;$C271,$D270&lt;&gt;$D271,NOT(ISNUMBER(M271)),NOT(ISNUMBER(M270)),(IF(ISNUMBER(H271),H271,G271)-IF(ISNUMBER(H270),H270,G270))=0),"",(M271-M270)/(IF(ISNUMBER(H271),H271,G271)-IF(ISNUMBER(H270),H270,G270)))</f>
        <v/>
      </c>
      <c r="X271" s="31">
        <f>IF(NOT(AND(ISNUMBER(O271),ISNUMBER(Q271))),"",(Q271-O271)*1440)</f>
        <v/>
      </c>
      <c r="Y271" s="29" t="n"/>
      <c r="Z271" s="29" t="n"/>
      <c r="AA271" s="29" t="n"/>
      <c r="AB271" s="32" t="n"/>
      <c r="AC271" s="32" t="n"/>
    </row>
    <row r="272">
      <c r="A272" s="26" t="inlineStr">
        <is>
          <t>S06</t>
        </is>
      </c>
      <c r="B272" s="26" t="inlineStr">
        <is>
          <t>길담 신규점</t>
        </is>
      </c>
      <c r="C272" s="26" t="inlineStr">
        <is>
          <t>S06-H동</t>
        </is>
      </c>
      <c r="D272" s="47" t="n">
        <v>1</v>
      </c>
      <c r="E272" s="26" t="inlineStr">
        <is>
          <t>측정</t>
        </is>
      </c>
      <c r="F272" s="26" t="inlineStr">
        <is>
          <t>동</t>
        </is>
      </c>
      <c r="G272" s="31" t="n">
        <v>5</v>
      </c>
      <c r="H272" s="30" t="n"/>
      <c r="I272" s="43" t="n"/>
      <c r="J272" s="41" t="n"/>
      <c r="K272" s="41" t="n"/>
      <c r="L272" s="41" t="n"/>
      <c r="M272" s="31">
        <f>IF(COUNT(J272:L272)=0,"",MEDIAN(J272:L272))</f>
        <v/>
      </c>
      <c r="N272" s="26">
        <f>IF(COUNTIFS($C:$C,$C272,$D:$D,$D272,$E:$E,"P0(전)",$M:$M,"&gt;0")&lt;&gt;1,"P0(전) 유효 1개 아님",IF(COUNTIFS($C:$C,$C272,$D:$D,$D272,$E:$E,"P0(후)",$M:$M,"&gt;0")&lt;&gt;1,"P0(후) 유효 1개 아님",IF(NOT(AND(ISNUMBER(O272),ISNUMBER(Q272),ISNUMBER(I272))),"시각 결측",IF(Q272&lt;=O272,"P0 시각 역전",IF(OR(I272&lt;O272,I272&gt;Q272),"측정시각 구간 밖","OK")))))</f>
        <v/>
      </c>
      <c r="O272" s="48">
        <f>IF(COUNTIFS($C:$C,$C272,$D:$D,$D272,$E:$E,"P0(전)",$M:$M,"&gt;0")&lt;&gt;1,"",SUMIFS($I:$I,$C:$C,$C272,$D:$D,$D272,$E:$E,"P0(전)"))</f>
        <v/>
      </c>
      <c r="P272" s="31">
        <f>IF(COUNTIFS($C:$C,$C272,$D:$D,$D272,$E:$E,"P0(전)",$M:$M,"&gt;0")&lt;&gt;1,"",SUMIFS($M:$M,$C:$C,$C272,$D:$D,$D272,$E:$E,"P0(전)"))</f>
        <v/>
      </c>
      <c r="Q272" s="48">
        <f>IF(COUNTIFS($C:$C,$C272,$D:$D,$D272,$E:$E,"P0(후)",$M:$M,"&gt;0")&lt;&gt;1,"",SUMIFS($I:$I,$C:$C,$C272,$D:$D,$D272,$E:$E,"P0(후)"))</f>
        <v/>
      </c>
      <c r="R272" s="31">
        <f>IF(COUNTIFS($C:$C,$C272,$D:$D,$D272,$E:$E,"P0(후)",$M:$M,"&gt;0")&lt;&gt;1,"",SUMIFS($M:$M,$C:$C,$C272,$D:$D,$D272,$E:$E,"P0(후)"))</f>
        <v/>
      </c>
      <c r="S272" s="31">
        <f>IF(N272&lt;&gt;"OK","",P272+(R272-P272)*(I272-O272)/(Q272-O272))</f>
        <v/>
      </c>
      <c r="T272" s="31">
        <f>IF(OR(N272&lt;&gt;"OK",NOT(ISNUMBER(M272))),"",M272-S272)</f>
        <v/>
      </c>
      <c r="U272" s="49">
        <f>IF(OR(NOT(ISNUMBER(T272)),IF(ISNUMBER(H272),H272,G272)=0),"",T272/IF(ISNUMBER(H272),H272,G272))</f>
        <v/>
      </c>
      <c r="V272" s="49">
        <f>IF(ISNUMBER(U272),ABS(U272),"")</f>
        <v/>
      </c>
      <c r="W272" s="49">
        <f>IF(OR($E271&lt;&gt;"측정",$C271&lt;&gt;$C272,$D271&lt;&gt;$D272,NOT(ISNUMBER(M272)),NOT(ISNUMBER(M271)),(IF(ISNUMBER(H272),H272,G272)-IF(ISNUMBER(H271),H271,G271))=0),"",(M272-M271)/(IF(ISNUMBER(H272),H272,G272)-IF(ISNUMBER(H271),H271,G271)))</f>
        <v/>
      </c>
      <c r="X272" s="31">
        <f>IF(NOT(AND(ISNUMBER(O272),ISNUMBER(Q272))),"",(Q272-O272)*1440)</f>
        <v/>
      </c>
      <c r="Y272" s="29" t="n"/>
      <c r="Z272" s="29" t="n"/>
      <c r="AA272" s="29" t="n"/>
      <c r="AB272" s="32" t="n"/>
      <c r="AC272" s="32" t="n"/>
    </row>
    <row r="273">
      <c r="A273" s="26" t="inlineStr">
        <is>
          <t>S06</t>
        </is>
      </c>
      <c r="B273" s="26" t="inlineStr">
        <is>
          <t>길담 신규점</t>
        </is>
      </c>
      <c r="C273" s="26" t="inlineStr">
        <is>
          <t>S06-H동</t>
        </is>
      </c>
      <c r="D273" s="47" t="n">
        <v>1</v>
      </c>
      <c r="E273" s="26" t="inlineStr">
        <is>
          <t>측정</t>
        </is>
      </c>
      <c r="F273" s="26" t="inlineStr">
        <is>
          <t>동</t>
        </is>
      </c>
      <c r="G273" s="31" t="n">
        <v>6</v>
      </c>
      <c r="H273" s="30" t="n"/>
      <c r="I273" s="43" t="n"/>
      <c r="J273" s="41" t="n"/>
      <c r="K273" s="41" t="n"/>
      <c r="L273" s="41" t="n"/>
      <c r="M273" s="31">
        <f>IF(COUNT(J273:L273)=0,"",MEDIAN(J273:L273))</f>
        <v/>
      </c>
      <c r="N273" s="26">
        <f>IF(COUNTIFS($C:$C,$C273,$D:$D,$D273,$E:$E,"P0(전)",$M:$M,"&gt;0")&lt;&gt;1,"P0(전) 유효 1개 아님",IF(COUNTIFS($C:$C,$C273,$D:$D,$D273,$E:$E,"P0(후)",$M:$M,"&gt;0")&lt;&gt;1,"P0(후) 유효 1개 아님",IF(NOT(AND(ISNUMBER(O273),ISNUMBER(Q273),ISNUMBER(I273))),"시각 결측",IF(Q273&lt;=O273,"P0 시각 역전",IF(OR(I273&lt;O273,I273&gt;Q273),"측정시각 구간 밖","OK")))))</f>
        <v/>
      </c>
      <c r="O273" s="48">
        <f>IF(COUNTIFS($C:$C,$C273,$D:$D,$D273,$E:$E,"P0(전)",$M:$M,"&gt;0")&lt;&gt;1,"",SUMIFS($I:$I,$C:$C,$C273,$D:$D,$D273,$E:$E,"P0(전)"))</f>
        <v/>
      </c>
      <c r="P273" s="31">
        <f>IF(COUNTIFS($C:$C,$C273,$D:$D,$D273,$E:$E,"P0(전)",$M:$M,"&gt;0")&lt;&gt;1,"",SUMIFS($M:$M,$C:$C,$C273,$D:$D,$D273,$E:$E,"P0(전)"))</f>
        <v/>
      </c>
      <c r="Q273" s="48">
        <f>IF(COUNTIFS($C:$C,$C273,$D:$D,$D273,$E:$E,"P0(후)",$M:$M,"&gt;0")&lt;&gt;1,"",SUMIFS($I:$I,$C:$C,$C273,$D:$D,$D273,$E:$E,"P0(후)"))</f>
        <v/>
      </c>
      <c r="R273" s="31">
        <f>IF(COUNTIFS($C:$C,$C273,$D:$D,$D273,$E:$E,"P0(후)",$M:$M,"&gt;0")&lt;&gt;1,"",SUMIFS($M:$M,$C:$C,$C273,$D:$D,$D273,$E:$E,"P0(후)"))</f>
        <v/>
      </c>
      <c r="S273" s="31">
        <f>IF(N273&lt;&gt;"OK","",P273+(R273-P273)*(I273-O273)/(Q273-O273))</f>
        <v/>
      </c>
      <c r="T273" s="31">
        <f>IF(OR(N273&lt;&gt;"OK",NOT(ISNUMBER(M273))),"",M273-S273)</f>
        <v/>
      </c>
      <c r="U273" s="49">
        <f>IF(OR(NOT(ISNUMBER(T273)),IF(ISNUMBER(H273),H273,G273)=0),"",T273/IF(ISNUMBER(H273),H273,G273))</f>
        <v/>
      </c>
      <c r="V273" s="49">
        <f>IF(ISNUMBER(U273),ABS(U273),"")</f>
        <v/>
      </c>
      <c r="W273" s="49">
        <f>IF(OR($E272&lt;&gt;"측정",$C272&lt;&gt;$C273,$D272&lt;&gt;$D273,NOT(ISNUMBER(M273)),NOT(ISNUMBER(M272)),(IF(ISNUMBER(H273),H273,G273)-IF(ISNUMBER(H272),H272,G272))=0),"",(M273-M272)/(IF(ISNUMBER(H273),H273,G273)-IF(ISNUMBER(H272),H272,G272)))</f>
        <v/>
      </c>
      <c r="X273" s="31">
        <f>IF(NOT(AND(ISNUMBER(O273),ISNUMBER(Q273))),"",(Q273-O273)*1440)</f>
        <v/>
      </c>
      <c r="Y273" s="29" t="n"/>
      <c r="Z273" s="29" t="n"/>
      <c r="AA273" s="29" t="n"/>
      <c r="AB273" s="32" t="n"/>
      <c r="AC273" s="32" t="n"/>
    </row>
    <row r="274">
      <c r="A274" s="26" t="inlineStr">
        <is>
          <t>S06</t>
        </is>
      </c>
      <c r="B274" s="26" t="inlineStr">
        <is>
          <t>길담 신규점</t>
        </is>
      </c>
      <c r="C274" s="26" t="inlineStr">
        <is>
          <t>S06-H동</t>
        </is>
      </c>
      <c r="D274" s="47" t="n">
        <v>1</v>
      </c>
      <c r="E274" s="26" t="inlineStr">
        <is>
          <t>측정</t>
        </is>
      </c>
      <c r="F274" s="26" t="inlineStr">
        <is>
          <t>동</t>
        </is>
      </c>
      <c r="G274" s="31" t="n">
        <v>7</v>
      </c>
      <c r="H274" s="30" t="n"/>
      <c r="I274" s="43" t="n"/>
      <c r="J274" s="41" t="n"/>
      <c r="K274" s="41" t="n"/>
      <c r="L274" s="41" t="n"/>
      <c r="M274" s="31">
        <f>IF(COUNT(J274:L274)=0,"",MEDIAN(J274:L274))</f>
        <v/>
      </c>
      <c r="N274" s="26">
        <f>IF(COUNTIFS($C:$C,$C274,$D:$D,$D274,$E:$E,"P0(전)",$M:$M,"&gt;0")&lt;&gt;1,"P0(전) 유효 1개 아님",IF(COUNTIFS($C:$C,$C274,$D:$D,$D274,$E:$E,"P0(후)",$M:$M,"&gt;0")&lt;&gt;1,"P0(후) 유효 1개 아님",IF(NOT(AND(ISNUMBER(O274),ISNUMBER(Q274),ISNUMBER(I274))),"시각 결측",IF(Q274&lt;=O274,"P0 시각 역전",IF(OR(I274&lt;O274,I274&gt;Q274),"측정시각 구간 밖","OK")))))</f>
        <v/>
      </c>
      <c r="O274" s="48">
        <f>IF(COUNTIFS($C:$C,$C274,$D:$D,$D274,$E:$E,"P0(전)",$M:$M,"&gt;0")&lt;&gt;1,"",SUMIFS($I:$I,$C:$C,$C274,$D:$D,$D274,$E:$E,"P0(전)"))</f>
        <v/>
      </c>
      <c r="P274" s="31">
        <f>IF(COUNTIFS($C:$C,$C274,$D:$D,$D274,$E:$E,"P0(전)",$M:$M,"&gt;0")&lt;&gt;1,"",SUMIFS($M:$M,$C:$C,$C274,$D:$D,$D274,$E:$E,"P0(전)"))</f>
        <v/>
      </c>
      <c r="Q274" s="48">
        <f>IF(COUNTIFS($C:$C,$C274,$D:$D,$D274,$E:$E,"P0(후)",$M:$M,"&gt;0")&lt;&gt;1,"",SUMIFS($I:$I,$C:$C,$C274,$D:$D,$D274,$E:$E,"P0(후)"))</f>
        <v/>
      </c>
      <c r="R274" s="31">
        <f>IF(COUNTIFS($C:$C,$C274,$D:$D,$D274,$E:$E,"P0(후)",$M:$M,"&gt;0")&lt;&gt;1,"",SUMIFS($M:$M,$C:$C,$C274,$D:$D,$D274,$E:$E,"P0(후)"))</f>
        <v/>
      </c>
      <c r="S274" s="31">
        <f>IF(N274&lt;&gt;"OK","",P274+(R274-P274)*(I274-O274)/(Q274-O274))</f>
        <v/>
      </c>
      <c r="T274" s="31">
        <f>IF(OR(N274&lt;&gt;"OK",NOT(ISNUMBER(M274))),"",M274-S274)</f>
        <v/>
      </c>
      <c r="U274" s="49">
        <f>IF(OR(NOT(ISNUMBER(T274)),IF(ISNUMBER(H274),H274,G274)=0),"",T274/IF(ISNUMBER(H274),H274,G274))</f>
        <v/>
      </c>
      <c r="V274" s="49">
        <f>IF(ISNUMBER(U274),ABS(U274),"")</f>
        <v/>
      </c>
      <c r="W274" s="49">
        <f>IF(OR($E273&lt;&gt;"측정",$C273&lt;&gt;$C274,$D273&lt;&gt;$D274,NOT(ISNUMBER(M274)),NOT(ISNUMBER(M273)),(IF(ISNUMBER(H274),H274,G274)-IF(ISNUMBER(H273),H273,G273))=0),"",(M274-M273)/(IF(ISNUMBER(H274),H274,G274)-IF(ISNUMBER(H273),H273,G273)))</f>
        <v/>
      </c>
      <c r="X274" s="31">
        <f>IF(NOT(AND(ISNUMBER(O274),ISNUMBER(Q274))),"",(Q274-O274)*1440)</f>
        <v/>
      </c>
      <c r="Y274" s="29" t="n"/>
      <c r="Z274" s="29" t="n"/>
      <c r="AA274" s="29" t="n"/>
      <c r="AB274" s="32" t="n"/>
      <c r="AC274" s="32" t="n"/>
    </row>
    <row r="275">
      <c r="A275" s="26" t="inlineStr">
        <is>
          <t>S06</t>
        </is>
      </c>
      <c r="B275" s="26" t="inlineStr">
        <is>
          <t>길담 신규점</t>
        </is>
      </c>
      <c r="C275" s="26" t="inlineStr">
        <is>
          <t>S06-H동</t>
        </is>
      </c>
      <c r="D275" s="47" t="n">
        <v>1</v>
      </c>
      <c r="E275" s="26" t="inlineStr">
        <is>
          <t>측정</t>
        </is>
      </c>
      <c r="F275" s="26" t="inlineStr">
        <is>
          <t>동</t>
        </is>
      </c>
      <c r="G275" s="31" t="n">
        <v>8</v>
      </c>
      <c r="H275" s="30" t="n"/>
      <c r="I275" s="43" t="n"/>
      <c r="J275" s="41" t="n"/>
      <c r="K275" s="41" t="n"/>
      <c r="L275" s="41" t="n"/>
      <c r="M275" s="31">
        <f>IF(COUNT(J275:L275)=0,"",MEDIAN(J275:L275))</f>
        <v/>
      </c>
      <c r="N275" s="26">
        <f>IF(COUNTIFS($C:$C,$C275,$D:$D,$D275,$E:$E,"P0(전)",$M:$M,"&gt;0")&lt;&gt;1,"P0(전) 유효 1개 아님",IF(COUNTIFS($C:$C,$C275,$D:$D,$D275,$E:$E,"P0(후)",$M:$M,"&gt;0")&lt;&gt;1,"P0(후) 유효 1개 아님",IF(NOT(AND(ISNUMBER(O275),ISNUMBER(Q275),ISNUMBER(I275))),"시각 결측",IF(Q275&lt;=O275,"P0 시각 역전",IF(OR(I275&lt;O275,I275&gt;Q275),"측정시각 구간 밖","OK")))))</f>
        <v/>
      </c>
      <c r="O275" s="48">
        <f>IF(COUNTIFS($C:$C,$C275,$D:$D,$D275,$E:$E,"P0(전)",$M:$M,"&gt;0")&lt;&gt;1,"",SUMIFS($I:$I,$C:$C,$C275,$D:$D,$D275,$E:$E,"P0(전)"))</f>
        <v/>
      </c>
      <c r="P275" s="31">
        <f>IF(COUNTIFS($C:$C,$C275,$D:$D,$D275,$E:$E,"P0(전)",$M:$M,"&gt;0")&lt;&gt;1,"",SUMIFS($M:$M,$C:$C,$C275,$D:$D,$D275,$E:$E,"P0(전)"))</f>
        <v/>
      </c>
      <c r="Q275" s="48">
        <f>IF(COUNTIFS($C:$C,$C275,$D:$D,$D275,$E:$E,"P0(후)",$M:$M,"&gt;0")&lt;&gt;1,"",SUMIFS($I:$I,$C:$C,$C275,$D:$D,$D275,$E:$E,"P0(후)"))</f>
        <v/>
      </c>
      <c r="R275" s="31">
        <f>IF(COUNTIFS($C:$C,$C275,$D:$D,$D275,$E:$E,"P0(후)",$M:$M,"&gt;0")&lt;&gt;1,"",SUMIFS($M:$M,$C:$C,$C275,$D:$D,$D275,$E:$E,"P0(후)"))</f>
        <v/>
      </c>
      <c r="S275" s="31">
        <f>IF(N275&lt;&gt;"OK","",P275+(R275-P275)*(I275-O275)/(Q275-O275))</f>
        <v/>
      </c>
      <c r="T275" s="31">
        <f>IF(OR(N275&lt;&gt;"OK",NOT(ISNUMBER(M275))),"",M275-S275)</f>
        <v/>
      </c>
      <c r="U275" s="49">
        <f>IF(OR(NOT(ISNUMBER(T275)),IF(ISNUMBER(H275),H275,G275)=0),"",T275/IF(ISNUMBER(H275),H275,G275))</f>
        <v/>
      </c>
      <c r="V275" s="49">
        <f>IF(ISNUMBER(U275),ABS(U275),"")</f>
        <v/>
      </c>
      <c r="W275" s="49">
        <f>IF(OR($E274&lt;&gt;"측정",$C274&lt;&gt;$C275,$D274&lt;&gt;$D275,NOT(ISNUMBER(M275)),NOT(ISNUMBER(M274)),(IF(ISNUMBER(H275),H275,G275)-IF(ISNUMBER(H274),H274,G274))=0),"",(M275-M274)/(IF(ISNUMBER(H275),H275,G275)-IF(ISNUMBER(H274),H274,G274)))</f>
        <v/>
      </c>
      <c r="X275" s="31">
        <f>IF(NOT(AND(ISNUMBER(O275),ISNUMBER(Q275))),"",(Q275-O275)*1440)</f>
        <v/>
      </c>
      <c r="Y275" s="29" t="n"/>
      <c r="Z275" s="29" t="n"/>
      <c r="AA275" s="29" t="n"/>
      <c r="AB275" s="32" t="n"/>
      <c r="AC275" s="32" t="n"/>
    </row>
    <row r="276">
      <c r="A276" s="26" t="inlineStr">
        <is>
          <t>S06</t>
        </is>
      </c>
      <c r="B276" s="26" t="inlineStr">
        <is>
          <t>길담 신규점</t>
        </is>
      </c>
      <c r="C276" s="26" t="inlineStr">
        <is>
          <t>S06-H동</t>
        </is>
      </c>
      <c r="D276" s="47" t="n">
        <v>1</v>
      </c>
      <c r="E276" s="26" t="inlineStr">
        <is>
          <t>측정</t>
        </is>
      </c>
      <c r="F276" s="26" t="inlineStr">
        <is>
          <t>동</t>
        </is>
      </c>
      <c r="G276" s="31" t="n">
        <v>9</v>
      </c>
      <c r="H276" s="30" t="n"/>
      <c r="I276" s="43" t="n"/>
      <c r="J276" s="41" t="n"/>
      <c r="K276" s="41" t="n"/>
      <c r="L276" s="41" t="n"/>
      <c r="M276" s="31">
        <f>IF(COUNT(J276:L276)=0,"",MEDIAN(J276:L276))</f>
        <v/>
      </c>
      <c r="N276" s="26">
        <f>IF(COUNTIFS($C:$C,$C276,$D:$D,$D276,$E:$E,"P0(전)",$M:$M,"&gt;0")&lt;&gt;1,"P0(전) 유효 1개 아님",IF(COUNTIFS($C:$C,$C276,$D:$D,$D276,$E:$E,"P0(후)",$M:$M,"&gt;0")&lt;&gt;1,"P0(후) 유효 1개 아님",IF(NOT(AND(ISNUMBER(O276),ISNUMBER(Q276),ISNUMBER(I276))),"시각 결측",IF(Q276&lt;=O276,"P0 시각 역전",IF(OR(I276&lt;O276,I276&gt;Q276),"측정시각 구간 밖","OK")))))</f>
        <v/>
      </c>
      <c r="O276" s="48">
        <f>IF(COUNTIFS($C:$C,$C276,$D:$D,$D276,$E:$E,"P0(전)",$M:$M,"&gt;0")&lt;&gt;1,"",SUMIFS($I:$I,$C:$C,$C276,$D:$D,$D276,$E:$E,"P0(전)"))</f>
        <v/>
      </c>
      <c r="P276" s="31">
        <f>IF(COUNTIFS($C:$C,$C276,$D:$D,$D276,$E:$E,"P0(전)",$M:$M,"&gt;0")&lt;&gt;1,"",SUMIFS($M:$M,$C:$C,$C276,$D:$D,$D276,$E:$E,"P0(전)"))</f>
        <v/>
      </c>
      <c r="Q276" s="48">
        <f>IF(COUNTIFS($C:$C,$C276,$D:$D,$D276,$E:$E,"P0(후)",$M:$M,"&gt;0")&lt;&gt;1,"",SUMIFS($I:$I,$C:$C,$C276,$D:$D,$D276,$E:$E,"P0(후)"))</f>
        <v/>
      </c>
      <c r="R276" s="31">
        <f>IF(COUNTIFS($C:$C,$C276,$D:$D,$D276,$E:$E,"P0(후)",$M:$M,"&gt;0")&lt;&gt;1,"",SUMIFS($M:$M,$C:$C,$C276,$D:$D,$D276,$E:$E,"P0(후)"))</f>
        <v/>
      </c>
      <c r="S276" s="31">
        <f>IF(N276&lt;&gt;"OK","",P276+(R276-P276)*(I276-O276)/(Q276-O276))</f>
        <v/>
      </c>
      <c r="T276" s="31">
        <f>IF(OR(N276&lt;&gt;"OK",NOT(ISNUMBER(M276))),"",M276-S276)</f>
        <v/>
      </c>
      <c r="U276" s="49">
        <f>IF(OR(NOT(ISNUMBER(T276)),IF(ISNUMBER(H276),H276,G276)=0),"",T276/IF(ISNUMBER(H276),H276,G276))</f>
        <v/>
      </c>
      <c r="V276" s="49">
        <f>IF(ISNUMBER(U276),ABS(U276),"")</f>
        <v/>
      </c>
      <c r="W276" s="49">
        <f>IF(OR($E275&lt;&gt;"측정",$C275&lt;&gt;$C276,$D275&lt;&gt;$D276,NOT(ISNUMBER(M276)),NOT(ISNUMBER(M275)),(IF(ISNUMBER(H276),H276,G276)-IF(ISNUMBER(H275),H275,G275))=0),"",(M276-M275)/(IF(ISNUMBER(H276),H276,G276)-IF(ISNUMBER(H275),H275,G275)))</f>
        <v/>
      </c>
      <c r="X276" s="31">
        <f>IF(NOT(AND(ISNUMBER(O276),ISNUMBER(Q276))),"",(Q276-O276)*1440)</f>
        <v/>
      </c>
      <c r="Y276" s="29" t="n"/>
      <c r="Z276" s="29" t="n"/>
      <c r="AA276" s="29" t="n"/>
      <c r="AB276" s="32" t="n"/>
      <c r="AC276" s="32" t="n"/>
    </row>
    <row r="277">
      <c r="A277" s="26" t="inlineStr">
        <is>
          <t>S06</t>
        </is>
      </c>
      <c r="B277" s="26" t="inlineStr">
        <is>
          <t>길담 신규점</t>
        </is>
      </c>
      <c r="C277" s="26" t="inlineStr">
        <is>
          <t>S06-H동</t>
        </is>
      </c>
      <c r="D277" s="47" t="n">
        <v>1</v>
      </c>
      <c r="E277" s="26" t="inlineStr">
        <is>
          <t>측정</t>
        </is>
      </c>
      <c r="F277" s="26" t="inlineStr">
        <is>
          <t>동</t>
        </is>
      </c>
      <c r="G277" s="31" t="n">
        <v>10</v>
      </c>
      <c r="H277" s="30" t="n"/>
      <c r="I277" s="43" t="n"/>
      <c r="J277" s="41" t="n"/>
      <c r="K277" s="41" t="n"/>
      <c r="L277" s="41" t="n"/>
      <c r="M277" s="31">
        <f>IF(COUNT(J277:L277)=0,"",MEDIAN(J277:L277))</f>
        <v/>
      </c>
      <c r="N277" s="26">
        <f>IF(COUNTIFS($C:$C,$C277,$D:$D,$D277,$E:$E,"P0(전)",$M:$M,"&gt;0")&lt;&gt;1,"P0(전) 유효 1개 아님",IF(COUNTIFS($C:$C,$C277,$D:$D,$D277,$E:$E,"P0(후)",$M:$M,"&gt;0")&lt;&gt;1,"P0(후) 유효 1개 아님",IF(NOT(AND(ISNUMBER(O277),ISNUMBER(Q277),ISNUMBER(I277))),"시각 결측",IF(Q277&lt;=O277,"P0 시각 역전",IF(OR(I277&lt;O277,I277&gt;Q277),"측정시각 구간 밖","OK")))))</f>
        <v/>
      </c>
      <c r="O277" s="48">
        <f>IF(COUNTIFS($C:$C,$C277,$D:$D,$D277,$E:$E,"P0(전)",$M:$M,"&gt;0")&lt;&gt;1,"",SUMIFS($I:$I,$C:$C,$C277,$D:$D,$D277,$E:$E,"P0(전)"))</f>
        <v/>
      </c>
      <c r="P277" s="31">
        <f>IF(COUNTIFS($C:$C,$C277,$D:$D,$D277,$E:$E,"P0(전)",$M:$M,"&gt;0")&lt;&gt;1,"",SUMIFS($M:$M,$C:$C,$C277,$D:$D,$D277,$E:$E,"P0(전)"))</f>
        <v/>
      </c>
      <c r="Q277" s="48">
        <f>IF(COUNTIFS($C:$C,$C277,$D:$D,$D277,$E:$E,"P0(후)",$M:$M,"&gt;0")&lt;&gt;1,"",SUMIFS($I:$I,$C:$C,$C277,$D:$D,$D277,$E:$E,"P0(후)"))</f>
        <v/>
      </c>
      <c r="R277" s="31">
        <f>IF(COUNTIFS($C:$C,$C277,$D:$D,$D277,$E:$E,"P0(후)",$M:$M,"&gt;0")&lt;&gt;1,"",SUMIFS($M:$M,$C:$C,$C277,$D:$D,$D277,$E:$E,"P0(후)"))</f>
        <v/>
      </c>
      <c r="S277" s="31">
        <f>IF(N277&lt;&gt;"OK","",P277+(R277-P277)*(I277-O277)/(Q277-O277))</f>
        <v/>
      </c>
      <c r="T277" s="31">
        <f>IF(OR(N277&lt;&gt;"OK",NOT(ISNUMBER(M277))),"",M277-S277)</f>
        <v/>
      </c>
      <c r="U277" s="49">
        <f>IF(OR(NOT(ISNUMBER(T277)),IF(ISNUMBER(H277),H277,G277)=0),"",T277/IF(ISNUMBER(H277),H277,G277))</f>
        <v/>
      </c>
      <c r="V277" s="49">
        <f>IF(ISNUMBER(U277),ABS(U277),"")</f>
        <v/>
      </c>
      <c r="W277" s="49">
        <f>IF(OR($E276&lt;&gt;"측정",$C276&lt;&gt;$C277,$D276&lt;&gt;$D277,NOT(ISNUMBER(M277)),NOT(ISNUMBER(M276)),(IF(ISNUMBER(H277),H277,G277)-IF(ISNUMBER(H276),H276,G276))=0),"",(M277-M276)/(IF(ISNUMBER(H277),H277,G277)-IF(ISNUMBER(H276),H276,G276)))</f>
        <v/>
      </c>
      <c r="X277" s="31">
        <f>IF(NOT(AND(ISNUMBER(O277),ISNUMBER(Q277))),"",(Q277-O277)*1440)</f>
        <v/>
      </c>
      <c r="Y277" s="29" t="n"/>
      <c r="Z277" s="29" t="n"/>
      <c r="AA277" s="29" t="n"/>
      <c r="AB277" s="32" t="n"/>
      <c r="AC277" s="32" t="n"/>
    </row>
    <row r="278">
      <c r="A278" s="44" t="inlineStr">
        <is>
          <t>S06</t>
        </is>
      </c>
      <c r="B278" s="44" t="inlineStr">
        <is>
          <t>길담 신규점</t>
        </is>
      </c>
      <c r="C278" s="44" t="inlineStr">
        <is>
          <t>S06-H동</t>
        </is>
      </c>
      <c r="D278" s="45" t="n">
        <v>1</v>
      </c>
      <c r="E278" s="44" t="inlineStr">
        <is>
          <t>P0(후)</t>
        </is>
      </c>
      <c r="F278" s="44" t="inlineStr">
        <is>
          <t>동</t>
        </is>
      </c>
      <c r="G278" s="46" t="n"/>
      <c r="H278" s="30" t="n"/>
      <c r="I278" s="43" t="n"/>
      <c r="J278" s="41" t="n"/>
      <c r="K278" s="41" t="n"/>
      <c r="L278" s="41" t="n"/>
      <c r="M278" s="31">
        <f>IF(COUNT(J278:L278)=0,"",MEDIAN(J278:L278))</f>
        <v/>
      </c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29" t="n"/>
      <c r="Z278" s="29" t="n"/>
      <c r="AA278" s="29" t="n"/>
      <c r="AB278" s="32" t="n"/>
      <c r="AC278" s="32" t="n"/>
    </row>
    <row r="279">
      <c r="A279" s="44" t="inlineStr">
        <is>
          <t>S06</t>
        </is>
      </c>
      <c r="B279" s="44" t="inlineStr">
        <is>
          <t>길담 신규점</t>
        </is>
      </c>
      <c r="C279" s="44" t="inlineStr">
        <is>
          <t>S06-H서</t>
        </is>
      </c>
      <c r="D279" s="45" t="n">
        <v>1</v>
      </c>
      <c r="E279" s="44" t="inlineStr">
        <is>
          <t>P0(전)</t>
        </is>
      </c>
      <c r="F279" s="44" t="inlineStr">
        <is>
          <t>서</t>
        </is>
      </c>
      <c r="G279" s="46" t="n"/>
      <c r="H279" s="30" t="n"/>
      <c r="I279" s="43" t="n"/>
      <c r="J279" s="41" t="n"/>
      <c r="K279" s="41" t="n"/>
      <c r="L279" s="41" t="n"/>
      <c r="M279" s="31">
        <f>IF(COUNT(J279:L279)=0,"",MEDIAN(J279:L279))</f>
        <v/>
      </c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  <c r="X279" s="38" t="n"/>
      <c r="Y279" s="29" t="n"/>
      <c r="Z279" s="29" t="n"/>
      <c r="AA279" s="29" t="n"/>
      <c r="AB279" s="32" t="n"/>
      <c r="AC279" s="32" t="n"/>
    </row>
    <row r="280">
      <c r="A280" s="26" t="inlineStr">
        <is>
          <t>S06</t>
        </is>
      </c>
      <c r="B280" s="26" t="inlineStr">
        <is>
          <t>길담 신규점</t>
        </is>
      </c>
      <c r="C280" s="26" t="inlineStr">
        <is>
          <t>S06-H서</t>
        </is>
      </c>
      <c r="D280" s="47" t="n">
        <v>1</v>
      </c>
      <c r="E280" s="26" t="inlineStr">
        <is>
          <t>측정</t>
        </is>
      </c>
      <c r="F280" s="26" t="inlineStr">
        <is>
          <t>서</t>
        </is>
      </c>
      <c r="G280" s="31" t="n">
        <v>0.5</v>
      </c>
      <c r="H280" s="30" t="n"/>
      <c r="I280" s="43" t="n"/>
      <c r="J280" s="41" t="n"/>
      <c r="K280" s="41" t="n"/>
      <c r="L280" s="41" t="n"/>
      <c r="M280" s="31">
        <f>IF(COUNT(J280:L280)=0,"",MEDIAN(J280:L280))</f>
        <v/>
      </c>
      <c r="N280" s="26">
        <f>IF(COUNTIFS($C:$C,$C280,$D:$D,$D280,$E:$E,"P0(전)",$M:$M,"&gt;0")&lt;&gt;1,"P0(전) 유효 1개 아님",IF(COUNTIFS($C:$C,$C280,$D:$D,$D280,$E:$E,"P0(후)",$M:$M,"&gt;0")&lt;&gt;1,"P0(후) 유효 1개 아님",IF(NOT(AND(ISNUMBER(O280),ISNUMBER(Q280),ISNUMBER(I280))),"시각 결측",IF(Q280&lt;=O280,"P0 시각 역전",IF(OR(I280&lt;O280,I280&gt;Q280),"측정시각 구간 밖","OK")))))</f>
        <v/>
      </c>
      <c r="O280" s="48">
        <f>IF(COUNTIFS($C:$C,$C280,$D:$D,$D280,$E:$E,"P0(전)",$M:$M,"&gt;0")&lt;&gt;1,"",SUMIFS($I:$I,$C:$C,$C280,$D:$D,$D280,$E:$E,"P0(전)"))</f>
        <v/>
      </c>
      <c r="P280" s="31">
        <f>IF(COUNTIFS($C:$C,$C280,$D:$D,$D280,$E:$E,"P0(전)",$M:$M,"&gt;0")&lt;&gt;1,"",SUMIFS($M:$M,$C:$C,$C280,$D:$D,$D280,$E:$E,"P0(전)"))</f>
        <v/>
      </c>
      <c r="Q280" s="48">
        <f>IF(COUNTIFS($C:$C,$C280,$D:$D,$D280,$E:$E,"P0(후)",$M:$M,"&gt;0")&lt;&gt;1,"",SUMIFS($I:$I,$C:$C,$C280,$D:$D,$D280,$E:$E,"P0(후)"))</f>
        <v/>
      </c>
      <c r="R280" s="31">
        <f>IF(COUNTIFS($C:$C,$C280,$D:$D,$D280,$E:$E,"P0(후)",$M:$M,"&gt;0")&lt;&gt;1,"",SUMIFS($M:$M,$C:$C,$C280,$D:$D,$D280,$E:$E,"P0(후)"))</f>
        <v/>
      </c>
      <c r="S280" s="31">
        <f>IF(N280&lt;&gt;"OK","",P280+(R280-P280)*(I280-O280)/(Q280-O280))</f>
        <v/>
      </c>
      <c r="T280" s="31">
        <f>IF(OR(N280&lt;&gt;"OK",NOT(ISNUMBER(M280))),"",M280-S280)</f>
        <v/>
      </c>
      <c r="U280" s="49">
        <f>IF(OR(NOT(ISNUMBER(T280)),IF(ISNUMBER(H280),H280,G280)=0),"",T280/IF(ISNUMBER(H280),H280,G280))</f>
        <v/>
      </c>
      <c r="V280" s="49">
        <f>IF(ISNUMBER(U280),ABS(U280),"")</f>
        <v/>
      </c>
      <c r="W280" s="49">
        <f>IF(OR($E279&lt;&gt;"측정",$C279&lt;&gt;$C280,$D279&lt;&gt;$D280,NOT(ISNUMBER(M280)),NOT(ISNUMBER(M279)),(IF(ISNUMBER(H280),H280,G280)-IF(ISNUMBER(H279),H279,G279))=0),"",(M280-M279)/(IF(ISNUMBER(H280),H280,G280)-IF(ISNUMBER(H279),H279,G279)))</f>
        <v/>
      </c>
      <c r="X280" s="31">
        <f>IF(NOT(AND(ISNUMBER(O280),ISNUMBER(Q280))),"",(Q280-O280)*1440)</f>
        <v/>
      </c>
      <c r="Y280" s="29" t="n"/>
      <c r="Z280" s="29" t="n"/>
      <c r="AA280" s="29" t="n"/>
      <c r="AB280" s="32" t="n"/>
      <c r="AC280" s="32" t="n"/>
    </row>
    <row r="281">
      <c r="A281" s="26" t="inlineStr">
        <is>
          <t>S06</t>
        </is>
      </c>
      <c r="B281" s="26" t="inlineStr">
        <is>
          <t>길담 신규점</t>
        </is>
      </c>
      <c r="C281" s="26" t="inlineStr">
        <is>
          <t>S06-H서</t>
        </is>
      </c>
      <c r="D281" s="47" t="n">
        <v>1</v>
      </c>
      <c r="E281" s="26" t="inlineStr">
        <is>
          <t>측정</t>
        </is>
      </c>
      <c r="F281" s="26" t="inlineStr">
        <is>
          <t>서</t>
        </is>
      </c>
      <c r="G281" s="31" t="n">
        <v>1</v>
      </c>
      <c r="H281" s="30" t="n"/>
      <c r="I281" s="43" t="n"/>
      <c r="J281" s="41" t="n"/>
      <c r="K281" s="41" t="n"/>
      <c r="L281" s="41" t="n"/>
      <c r="M281" s="31">
        <f>IF(COUNT(J281:L281)=0,"",MEDIAN(J281:L281))</f>
        <v/>
      </c>
      <c r="N281" s="26">
        <f>IF(COUNTIFS($C:$C,$C281,$D:$D,$D281,$E:$E,"P0(전)",$M:$M,"&gt;0")&lt;&gt;1,"P0(전) 유효 1개 아님",IF(COUNTIFS($C:$C,$C281,$D:$D,$D281,$E:$E,"P0(후)",$M:$M,"&gt;0")&lt;&gt;1,"P0(후) 유효 1개 아님",IF(NOT(AND(ISNUMBER(O281),ISNUMBER(Q281),ISNUMBER(I281))),"시각 결측",IF(Q281&lt;=O281,"P0 시각 역전",IF(OR(I281&lt;O281,I281&gt;Q281),"측정시각 구간 밖","OK")))))</f>
        <v/>
      </c>
      <c r="O281" s="48">
        <f>IF(COUNTIFS($C:$C,$C281,$D:$D,$D281,$E:$E,"P0(전)",$M:$M,"&gt;0")&lt;&gt;1,"",SUMIFS($I:$I,$C:$C,$C281,$D:$D,$D281,$E:$E,"P0(전)"))</f>
        <v/>
      </c>
      <c r="P281" s="31">
        <f>IF(COUNTIFS($C:$C,$C281,$D:$D,$D281,$E:$E,"P0(전)",$M:$M,"&gt;0")&lt;&gt;1,"",SUMIFS($M:$M,$C:$C,$C281,$D:$D,$D281,$E:$E,"P0(전)"))</f>
        <v/>
      </c>
      <c r="Q281" s="48">
        <f>IF(COUNTIFS($C:$C,$C281,$D:$D,$D281,$E:$E,"P0(후)",$M:$M,"&gt;0")&lt;&gt;1,"",SUMIFS($I:$I,$C:$C,$C281,$D:$D,$D281,$E:$E,"P0(후)"))</f>
        <v/>
      </c>
      <c r="R281" s="31">
        <f>IF(COUNTIFS($C:$C,$C281,$D:$D,$D281,$E:$E,"P0(후)",$M:$M,"&gt;0")&lt;&gt;1,"",SUMIFS($M:$M,$C:$C,$C281,$D:$D,$D281,$E:$E,"P0(후)"))</f>
        <v/>
      </c>
      <c r="S281" s="31">
        <f>IF(N281&lt;&gt;"OK","",P281+(R281-P281)*(I281-O281)/(Q281-O281))</f>
        <v/>
      </c>
      <c r="T281" s="31">
        <f>IF(OR(N281&lt;&gt;"OK",NOT(ISNUMBER(M281))),"",M281-S281)</f>
        <v/>
      </c>
      <c r="U281" s="49">
        <f>IF(OR(NOT(ISNUMBER(T281)),IF(ISNUMBER(H281),H281,G281)=0),"",T281/IF(ISNUMBER(H281),H281,G281))</f>
        <v/>
      </c>
      <c r="V281" s="49">
        <f>IF(ISNUMBER(U281),ABS(U281),"")</f>
        <v/>
      </c>
      <c r="W281" s="49">
        <f>IF(OR($E280&lt;&gt;"측정",$C280&lt;&gt;$C281,$D280&lt;&gt;$D281,NOT(ISNUMBER(M281)),NOT(ISNUMBER(M280)),(IF(ISNUMBER(H281),H281,G281)-IF(ISNUMBER(H280),H280,G280))=0),"",(M281-M280)/(IF(ISNUMBER(H281),H281,G281)-IF(ISNUMBER(H280),H280,G280)))</f>
        <v/>
      </c>
      <c r="X281" s="31">
        <f>IF(NOT(AND(ISNUMBER(O281),ISNUMBER(Q281))),"",(Q281-O281)*1440)</f>
        <v/>
      </c>
      <c r="Y281" s="29" t="n"/>
      <c r="Z281" s="29" t="n"/>
      <c r="AA281" s="29" t="n"/>
      <c r="AB281" s="32" t="n"/>
      <c r="AC281" s="32" t="n"/>
    </row>
    <row r="282">
      <c r="A282" s="26" t="inlineStr">
        <is>
          <t>S06</t>
        </is>
      </c>
      <c r="B282" s="26" t="inlineStr">
        <is>
          <t>길담 신규점</t>
        </is>
      </c>
      <c r="C282" s="26" t="inlineStr">
        <is>
          <t>S06-H서</t>
        </is>
      </c>
      <c r="D282" s="47" t="n">
        <v>1</v>
      </c>
      <c r="E282" s="26" t="inlineStr">
        <is>
          <t>측정</t>
        </is>
      </c>
      <c r="F282" s="26" t="inlineStr">
        <is>
          <t>서</t>
        </is>
      </c>
      <c r="G282" s="31" t="n">
        <v>2</v>
      </c>
      <c r="H282" s="30" t="n"/>
      <c r="I282" s="43" t="n"/>
      <c r="J282" s="41" t="n"/>
      <c r="K282" s="41" t="n"/>
      <c r="L282" s="41" t="n"/>
      <c r="M282" s="31">
        <f>IF(COUNT(J282:L282)=0,"",MEDIAN(J282:L282))</f>
        <v/>
      </c>
      <c r="N282" s="26">
        <f>IF(COUNTIFS($C:$C,$C282,$D:$D,$D282,$E:$E,"P0(전)",$M:$M,"&gt;0")&lt;&gt;1,"P0(전) 유효 1개 아님",IF(COUNTIFS($C:$C,$C282,$D:$D,$D282,$E:$E,"P0(후)",$M:$M,"&gt;0")&lt;&gt;1,"P0(후) 유효 1개 아님",IF(NOT(AND(ISNUMBER(O282),ISNUMBER(Q282),ISNUMBER(I282))),"시각 결측",IF(Q282&lt;=O282,"P0 시각 역전",IF(OR(I282&lt;O282,I282&gt;Q282),"측정시각 구간 밖","OK")))))</f>
        <v/>
      </c>
      <c r="O282" s="48">
        <f>IF(COUNTIFS($C:$C,$C282,$D:$D,$D282,$E:$E,"P0(전)",$M:$M,"&gt;0")&lt;&gt;1,"",SUMIFS($I:$I,$C:$C,$C282,$D:$D,$D282,$E:$E,"P0(전)"))</f>
        <v/>
      </c>
      <c r="P282" s="31">
        <f>IF(COUNTIFS($C:$C,$C282,$D:$D,$D282,$E:$E,"P0(전)",$M:$M,"&gt;0")&lt;&gt;1,"",SUMIFS($M:$M,$C:$C,$C282,$D:$D,$D282,$E:$E,"P0(전)"))</f>
        <v/>
      </c>
      <c r="Q282" s="48">
        <f>IF(COUNTIFS($C:$C,$C282,$D:$D,$D282,$E:$E,"P0(후)",$M:$M,"&gt;0")&lt;&gt;1,"",SUMIFS($I:$I,$C:$C,$C282,$D:$D,$D282,$E:$E,"P0(후)"))</f>
        <v/>
      </c>
      <c r="R282" s="31">
        <f>IF(COUNTIFS($C:$C,$C282,$D:$D,$D282,$E:$E,"P0(후)",$M:$M,"&gt;0")&lt;&gt;1,"",SUMIFS($M:$M,$C:$C,$C282,$D:$D,$D282,$E:$E,"P0(후)"))</f>
        <v/>
      </c>
      <c r="S282" s="31">
        <f>IF(N282&lt;&gt;"OK","",P282+(R282-P282)*(I282-O282)/(Q282-O282))</f>
        <v/>
      </c>
      <c r="T282" s="31">
        <f>IF(OR(N282&lt;&gt;"OK",NOT(ISNUMBER(M282))),"",M282-S282)</f>
        <v/>
      </c>
      <c r="U282" s="49">
        <f>IF(OR(NOT(ISNUMBER(T282)),IF(ISNUMBER(H282),H282,G282)=0),"",T282/IF(ISNUMBER(H282),H282,G282))</f>
        <v/>
      </c>
      <c r="V282" s="49">
        <f>IF(ISNUMBER(U282),ABS(U282),"")</f>
        <v/>
      </c>
      <c r="W282" s="49">
        <f>IF(OR($E281&lt;&gt;"측정",$C281&lt;&gt;$C282,$D281&lt;&gt;$D282,NOT(ISNUMBER(M282)),NOT(ISNUMBER(M281)),(IF(ISNUMBER(H282),H282,G282)-IF(ISNUMBER(H281),H281,G281))=0),"",(M282-M281)/(IF(ISNUMBER(H282),H282,G282)-IF(ISNUMBER(H281),H281,G281)))</f>
        <v/>
      </c>
      <c r="X282" s="31">
        <f>IF(NOT(AND(ISNUMBER(O282),ISNUMBER(Q282))),"",(Q282-O282)*1440)</f>
        <v/>
      </c>
      <c r="Y282" s="29" t="n"/>
      <c r="Z282" s="29" t="n"/>
      <c r="AA282" s="29" t="n"/>
      <c r="AB282" s="32" t="n"/>
      <c r="AC282" s="32" t="n"/>
    </row>
    <row r="283">
      <c r="A283" s="26" t="inlineStr">
        <is>
          <t>S06</t>
        </is>
      </c>
      <c r="B283" s="26" t="inlineStr">
        <is>
          <t>길담 신규점</t>
        </is>
      </c>
      <c r="C283" s="26" t="inlineStr">
        <is>
          <t>S06-H서</t>
        </is>
      </c>
      <c r="D283" s="47" t="n">
        <v>1</v>
      </c>
      <c r="E283" s="26" t="inlineStr">
        <is>
          <t>측정</t>
        </is>
      </c>
      <c r="F283" s="26" t="inlineStr">
        <is>
          <t>서</t>
        </is>
      </c>
      <c r="G283" s="31" t="n">
        <v>3</v>
      </c>
      <c r="H283" s="30" t="n"/>
      <c r="I283" s="43" t="n"/>
      <c r="J283" s="41" t="n"/>
      <c r="K283" s="41" t="n"/>
      <c r="L283" s="41" t="n"/>
      <c r="M283" s="31">
        <f>IF(COUNT(J283:L283)=0,"",MEDIAN(J283:L283))</f>
        <v/>
      </c>
      <c r="N283" s="26">
        <f>IF(COUNTIFS($C:$C,$C283,$D:$D,$D283,$E:$E,"P0(전)",$M:$M,"&gt;0")&lt;&gt;1,"P0(전) 유효 1개 아님",IF(COUNTIFS($C:$C,$C283,$D:$D,$D283,$E:$E,"P0(후)",$M:$M,"&gt;0")&lt;&gt;1,"P0(후) 유효 1개 아님",IF(NOT(AND(ISNUMBER(O283),ISNUMBER(Q283),ISNUMBER(I283))),"시각 결측",IF(Q283&lt;=O283,"P0 시각 역전",IF(OR(I283&lt;O283,I283&gt;Q283),"측정시각 구간 밖","OK")))))</f>
        <v/>
      </c>
      <c r="O283" s="48">
        <f>IF(COUNTIFS($C:$C,$C283,$D:$D,$D283,$E:$E,"P0(전)",$M:$M,"&gt;0")&lt;&gt;1,"",SUMIFS($I:$I,$C:$C,$C283,$D:$D,$D283,$E:$E,"P0(전)"))</f>
        <v/>
      </c>
      <c r="P283" s="31">
        <f>IF(COUNTIFS($C:$C,$C283,$D:$D,$D283,$E:$E,"P0(전)",$M:$M,"&gt;0")&lt;&gt;1,"",SUMIFS($M:$M,$C:$C,$C283,$D:$D,$D283,$E:$E,"P0(전)"))</f>
        <v/>
      </c>
      <c r="Q283" s="48">
        <f>IF(COUNTIFS($C:$C,$C283,$D:$D,$D283,$E:$E,"P0(후)",$M:$M,"&gt;0")&lt;&gt;1,"",SUMIFS($I:$I,$C:$C,$C283,$D:$D,$D283,$E:$E,"P0(후)"))</f>
        <v/>
      </c>
      <c r="R283" s="31">
        <f>IF(COUNTIFS($C:$C,$C283,$D:$D,$D283,$E:$E,"P0(후)",$M:$M,"&gt;0")&lt;&gt;1,"",SUMIFS($M:$M,$C:$C,$C283,$D:$D,$D283,$E:$E,"P0(후)"))</f>
        <v/>
      </c>
      <c r="S283" s="31">
        <f>IF(N283&lt;&gt;"OK","",P283+(R283-P283)*(I283-O283)/(Q283-O283))</f>
        <v/>
      </c>
      <c r="T283" s="31">
        <f>IF(OR(N283&lt;&gt;"OK",NOT(ISNUMBER(M283))),"",M283-S283)</f>
        <v/>
      </c>
      <c r="U283" s="49">
        <f>IF(OR(NOT(ISNUMBER(T283)),IF(ISNUMBER(H283),H283,G283)=0),"",T283/IF(ISNUMBER(H283),H283,G283))</f>
        <v/>
      </c>
      <c r="V283" s="49">
        <f>IF(ISNUMBER(U283),ABS(U283),"")</f>
        <v/>
      </c>
      <c r="W283" s="49">
        <f>IF(OR($E282&lt;&gt;"측정",$C282&lt;&gt;$C283,$D282&lt;&gt;$D283,NOT(ISNUMBER(M283)),NOT(ISNUMBER(M282)),(IF(ISNUMBER(H283),H283,G283)-IF(ISNUMBER(H282),H282,G282))=0),"",(M283-M282)/(IF(ISNUMBER(H283),H283,G283)-IF(ISNUMBER(H282),H282,G282)))</f>
        <v/>
      </c>
      <c r="X283" s="31">
        <f>IF(NOT(AND(ISNUMBER(O283),ISNUMBER(Q283))),"",(Q283-O283)*1440)</f>
        <v/>
      </c>
      <c r="Y283" s="29" t="n"/>
      <c r="Z283" s="29" t="n"/>
      <c r="AA283" s="29" t="n"/>
      <c r="AB283" s="32" t="n"/>
      <c r="AC283" s="32" t="n"/>
    </row>
    <row r="284">
      <c r="A284" s="26" t="inlineStr">
        <is>
          <t>S06</t>
        </is>
      </c>
      <c r="B284" s="26" t="inlineStr">
        <is>
          <t>길담 신규점</t>
        </is>
      </c>
      <c r="C284" s="26" t="inlineStr">
        <is>
          <t>S06-H서</t>
        </is>
      </c>
      <c r="D284" s="47" t="n">
        <v>1</v>
      </c>
      <c r="E284" s="26" t="inlineStr">
        <is>
          <t>측정</t>
        </is>
      </c>
      <c r="F284" s="26" t="inlineStr">
        <is>
          <t>서</t>
        </is>
      </c>
      <c r="G284" s="31" t="n">
        <v>4</v>
      </c>
      <c r="H284" s="30" t="n"/>
      <c r="I284" s="43" t="n"/>
      <c r="J284" s="41" t="n"/>
      <c r="K284" s="41" t="n"/>
      <c r="L284" s="41" t="n"/>
      <c r="M284" s="31">
        <f>IF(COUNT(J284:L284)=0,"",MEDIAN(J284:L284))</f>
        <v/>
      </c>
      <c r="N284" s="26">
        <f>IF(COUNTIFS($C:$C,$C284,$D:$D,$D284,$E:$E,"P0(전)",$M:$M,"&gt;0")&lt;&gt;1,"P0(전) 유효 1개 아님",IF(COUNTIFS($C:$C,$C284,$D:$D,$D284,$E:$E,"P0(후)",$M:$M,"&gt;0")&lt;&gt;1,"P0(후) 유효 1개 아님",IF(NOT(AND(ISNUMBER(O284),ISNUMBER(Q284),ISNUMBER(I284))),"시각 결측",IF(Q284&lt;=O284,"P0 시각 역전",IF(OR(I284&lt;O284,I284&gt;Q284),"측정시각 구간 밖","OK")))))</f>
        <v/>
      </c>
      <c r="O284" s="48">
        <f>IF(COUNTIFS($C:$C,$C284,$D:$D,$D284,$E:$E,"P0(전)",$M:$M,"&gt;0")&lt;&gt;1,"",SUMIFS($I:$I,$C:$C,$C284,$D:$D,$D284,$E:$E,"P0(전)"))</f>
        <v/>
      </c>
      <c r="P284" s="31">
        <f>IF(COUNTIFS($C:$C,$C284,$D:$D,$D284,$E:$E,"P0(전)",$M:$M,"&gt;0")&lt;&gt;1,"",SUMIFS($M:$M,$C:$C,$C284,$D:$D,$D284,$E:$E,"P0(전)"))</f>
        <v/>
      </c>
      <c r="Q284" s="48">
        <f>IF(COUNTIFS($C:$C,$C284,$D:$D,$D284,$E:$E,"P0(후)",$M:$M,"&gt;0")&lt;&gt;1,"",SUMIFS($I:$I,$C:$C,$C284,$D:$D,$D284,$E:$E,"P0(후)"))</f>
        <v/>
      </c>
      <c r="R284" s="31">
        <f>IF(COUNTIFS($C:$C,$C284,$D:$D,$D284,$E:$E,"P0(후)",$M:$M,"&gt;0")&lt;&gt;1,"",SUMIFS($M:$M,$C:$C,$C284,$D:$D,$D284,$E:$E,"P0(후)"))</f>
        <v/>
      </c>
      <c r="S284" s="31">
        <f>IF(N284&lt;&gt;"OK","",P284+(R284-P284)*(I284-O284)/(Q284-O284))</f>
        <v/>
      </c>
      <c r="T284" s="31">
        <f>IF(OR(N284&lt;&gt;"OK",NOT(ISNUMBER(M284))),"",M284-S284)</f>
        <v/>
      </c>
      <c r="U284" s="49">
        <f>IF(OR(NOT(ISNUMBER(T284)),IF(ISNUMBER(H284),H284,G284)=0),"",T284/IF(ISNUMBER(H284),H284,G284))</f>
        <v/>
      </c>
      <c r="V284" s="49">
        <f>IF(ISNUMBER(U284),ABS(U284),"")</f>
        <v/>
      </c>
      <c r="W284" s="49">
        <f>IF(OR($E283&lt;&gt;"측정",$C283&lt;&gt;$C284,$D283&lt;&gt;$D284,NOT(ISNUMBER(M284)),NOT(ISNUMBER(M283)),(IF(ISNUMBER(H284),H284,G284)-IF(ISNUMBER(H283),H283,G283))=0),"",(M284-M283)/(IF(ISNUMBER(H284),H284,G284)-IF(ISNUMBER(H283),H283,G283)))</f>
        <v/>
      </c>
      <c r="X284" s="31">
        <f>IF(NOT(AND(ISNUMBER(O284),ISNUMBER(Q284))),"",(Q284-O284)*1440)</f>
        <v/>
      </c>
      <c r="Y284" s="29" t="n"/>
      <c r="Z284" s="29" t="n"/>
      <c r="AA284" s="29" t="n"/>
      <c r="AB284" s="32" t="n"/>
      <c r="AC284" s="32" t="n"/>
    </row>
    <row r="285">
      <c r="A285" s="26" t="inlineStr">
        <is>
          <t>S06</t>
        </is>
      </c>
      <c r="B285" s="26" t="inlineStr">
        <is>
          <t>길담 신규점</t>
        </is>
      </c>
      <c r="C285" s="26" t="inlineStr">
        <is>
          <t>S06-H서</t>
        </is>
      </c>
      <c r="D285" s="47" t="n">
        <v>1</v>
      </c>
      <c r="E285" s="26" t="inlineStr">
        <is>
          <t>측정</t>
        </is>
      </c>
      <c r="F285" s="26" t="inlineStr">
        <is>
          <t>서</t>
        </is>
      </c>
      <c r="G285" s="31" t="n">
        <v>5</v>
      </c>
      <c r="H285" s="30" t="n"/>
      <c r="I285" s="43" t="n"/>
      <c r="J285" s="41" t="n"/>
      <c r="K285" s="41" t="n"/>
      <c r="L285" s="41" t="n"/>
      <c r="M285" s="31">
        <f>IF(COUNT(J285:L285)=0,"",MEDIAN(J285:L285))</f>
        <v/>
      </c>
      <c r="N285" s="26">
        <f>IF(COUNTIFS($C:$C,$C285,$D:$D,$D285,$E:$E,"P0(전)",$M:$M,"&gt;0")&lt;&gt;1,"P0(전) 유효 1개 아님",IF(COUNTIFS($C:$C,$C285,$D:$D,$D285,$E:$E,"P0(후)",$M:$M,"&gt;0")&lt;&gt;1,"P0(후) 유효 1개 아님",IF(NOT(AND(ISNUMBER(O285),ISNUMBER(Q285),ISNUMBER(I285))),"시각 결측",IF(Q285&lt;=O285,"P0 시각 역전",IF(OR(I285&lt;O285,I285&gt;Q285),"측정시각 구간 밖","OK")))))</f>
        <v/>
      </c>
      <c r="O285" s="48">
        <f>IF(COUNTIFS($C:$C,$C285,$D:$D,$D285,$E:$E,"P0(전)",$M:$M,"&gt;0")&lt;&gt;1,"",SUMIFS($I:$I,$C:$C,$C285,$D:$D,$D285,$E:$E,"P0(전)"))</f>
        <v/>
      </c>
      <c r="P285" s="31">
        <f>IF(COUNTIFS($C:$C,$C285,$D:$D,$D285,$E:$E,"P0(전)",$M:$M,"&gt;0")&lt;&gt;1,"",SUMIFS($M:$M,$C:$C,$C285,$D:$D,$D285,$E:$E,"P0(전)"))</f>
        <v/>
      </c>
      <c r="Q285" s="48">
        <f>IF(COUNTIFS($C:$C,$C285,$D:$D,$D285,$E:$E,"P0(후)",$M:$M,"&gt;0")&lt;&gt;1,"",SUMIFS($I:$I,$C:$C,$C285,$D:$D,$D285,$E:$E,"P0(후)"))</f>
        <v/>
      </c>
      <c r="R285" s="31">
        <f>IF(COUNTIFS($C:$C,$C285,$D:$D,$D285,$E:$E,"P0(후)",$M:$M,"&gt;0")&lt;&gt;1,"",SUMIFS($M:$M,$C:$C,$C285,$D:$D,$D285,$E:$E,"P0(후)"))</f>
        <v/>
      </c>
      <c r="S285" s="31">
        <f>IF(N285&lt;&gt;"OK","",P285+(R285-P285)*(I285-O285)/(Q285-O285))</f>
        <v/>
      </c>
      <c r="T285" s="31">
        <f>IF(OR(N285&lt;&gt;"OK",NOT(ISNUMBER(M285))),"",M285-S285)</f>
        <v/>
      </c>
      <c r="U285" s="49">
        <f>IF(OR(NOT(ISNUMBER(T285)),IF(ISNUMBER(H285),H285,G285)=0),"",T285/IF(ISNUMBER(H285),H285,G285))</f>
        <v/>
      </c>
      <c r="V285" s="49">
        <f>IF(ISNUMBER(U285),ABS(U285),"")</f>
        <v/>
      </c>
      <c r="W285" s="49">
        <f>IF(OR($E284&lt;&gt;"측정",$C284&lt;&gt;$C285,$D284&lt;&gt;$D285,NOT(ISNUMBER(M285)),NOT(ISNUMBER(M284)),(IF(ISNUMBER(H285),H285,G285)-IF(ISNUMBER(H284),H284,G284))=0),"",(M285-M284)/(IF(ISNUMBER(H285),H285,G285)-IF(ISNUMBER(H284),H284,G284)))</f>
        <v/>
      </c>
      <c r="X285" s="31">
        <f>IF(NOT(AND(ISNUMBER(O285),ISNUMBER(Q285))),"",(Q285-O285)*1440)</f>
        <v/>
      </c>
      <c r="Y285" s="29" t="n"/>
      <c r="Z285" s="29" t="n"/>
      <c r="AA285" s="29" t="n"/>
      <c r="AB285" s="32" t="n"/>
      <c r="AC285" s="32" t="n"/>
    </row>
    <row r="286">
      <c r="A286" s="26" t="inlineStr">
        <is>
          <t>S06</t>
        </is>
      </c>
      <c r="B286" s="26" t="inlineStr">
        <is>
          <t>길담 신규점</t>
        </is>
      </c>
      <c r="C286" s="26" t="inlineStr">
        <is>
          <t>S06-H서</t>
        </is>
      </c>
      <c r="D286" s="47" t="n">
        <v>1</v>
      </c>
      <c r="E286" s="26" t="inlineStr">
        <is>
          <t>측정</t>
        </is>
      </c>
      <c r="F286" s="26" t="inlineStr">
        <is>
          <t>서</t>
        </is>
      </c>
      <c r="G286" s="31" t="n">
        <v>6</v>
      </c>
      <c r="H286" s="30" t="n"/>
      <c r="I286" s="43" t="n"/>
      <c r="J286" s="41" t="n"/>
      <c r="K286" s="41" t="n"/>
      <c r="L286" s="41" t="n"/>
      <c r="M286" s="31">
        <f>IF(COUNT(J286:L286)=0,"",MEDIAN(J286:L286))</f>
        <v/>
      </c>
      <c r="N286" s="26">
        <f>IF(COUNTIFS($C:$C,$C286,$D:$D,$D286,$E:$E,"P0(전)",$M:$M,"&gt;0")&lt;&gt;1,"P0(전) 유효 1개 아님",IF(COUNTIFS($C:$C,$C286,$D:$D,$D286,$E:$E,"P0(후)",$M:$M,"&gt;0")&lt;&gt;1,"P0(후) 유효 1개 아님",IF(NOT(AND(ISNUMBER(O286),ISNUMBER(Q286),ISNUMBER(I286))),"시각 결측",IF(Q286&lt;=O286,"P0 시각 역전",IF(OR(I286&lt;O286,I286&gt;Q286),"측정시각 구간 밖","OK")))))</f>
        <v/>
      </c>
      <c r="O286" s="48">
        <f>IF(COUNTIFS($C:$C,$C286,$D:$D,$D286,$E:$E,"P0(전)",$M:$M,"&gt;0")&lt;&gt;1,"",SUMIFS($I:$I,$C:$C,$C286,$D:$D,$D286,$E:$E,"P0(전)"))</f>
        <v/>
      </c>
      <c r="P286" s="31">
        <f>IF(COUNTIFS($C:$C,$C286,$D:$D,$D286,$E:$E,"P0(전)",$M:$M,"&gt;0")&lt;&gt;1,"",SUMIFS($M:$M,$C:$C,$C286,$D:$D,$D286,$E:$E,"P0(전)"))</f>
        <v/>
      </c>
      <c r="Q286" s="48">
        <f>IF(COUNTIFS($C:$C,$C286,$D:$D,$D286,$E:$E,"P0(후)",$M:$M,"&gt;0")&lt;&gt;1,"",SUMIFS($I:$I,$C:$C,$C286,$D:$D,$D286,$E:$E,"P0(후)"))</f>
        <v/>
      </c>
      <c r="R286" s="31">
        <f>IF(COUNTIFS($C:$C,$C286,$D:$D,$D286,$E:$E,"P0(후)",$M:$M,"&gt;0")&lt;&gt;1,"",SUMIFS($M:$M,$C:$C,$C286,$D:$D,$D286,$E:$E,"P0(후)"))</f>
        <v/>
      </c>
      <c r="S286" s="31">
        <f>IF(N286&lt;&gt;"OK","",P286+(R286-P286)*(I286-O286)/(Q286-O286))</f>
        <v/>
      </c>
      <c r="T286" s="31">
        <f>IF(OR(N286&lt;&gt;"OK",NOT(ISNUMBER(M286))),"",M286-S286)</f>
        <v/>
      </c>
      <c r="U286" s="49">
        <f>IF(OR(NOT(ISNUMBER(T286)),IF(ISNUMBER(H286),H286,G286)=0),"",T286/IF(ISNUMBER(H286),H286,G286))</f>
        <v/>
      </c>
      <c r="V286" s="49">
        <f>IF(ISNUMBER(U286),ABS(U286),"")</f>
        <v/>
      </c>
      <c r="W286" s="49">
        <f>IF(OR($E285&lt;&gt;"측정",$C285&lt;&gt;$C286,$D285&lt;&gt;$D286,NOT(ISNUMBER(M286)),NOT(ISNUMBER(M285)),(IF(ISNUMBER(H286),H286,G286)-IF(ISNUMBER(H285),H285,G285))=0),"",(M286-M285)/(IF(ISNUMBER(H286),H286,G286)-IF(ISNUMBER(H285),H285,G285)))</f>
        <v/>
      </c>
      <c r="X286" s="31">
        <f>IF(NOT(AND(ISNUMBER(O286),ISNUMBER(Q286))),"",(Q286-O286)*1440)</f>
        <v/>
      </c>
      <c r="Y286" s="29" t="n"/>
      <c r="Z286" s="29" t="n"/>
      <c r="AA286" s="29" t="n"/>
      <c r="AB286" s="32" t="n"/>
      <c r="AC286" s="32" t="n"/>
    </row>
    <row r="287">
      <c r="A287" s="26" t="inlineStr">
        <is>
          <t>S06</t>
        </is>
      </c>
      <c r="B287" s="26" t="inlineStr">
        <is>
          <t>길담 신규점</t>
        </is>
      </c>
      <c r="C287" s="26" t="inlineStr">
        <is>
          <t>S06-H서</t>
        </is>
      </c>
      <c r="D287" s="47" t="n">
        <v>1</v>
      </c>
      <c r="E287" s="26" t="inlineStr">
        <is>
          <t>측정</t>
        </is>
      </c>
      <c r="F287" s="26" t="inlineStr">
        <is>
          <t>서</t>
        </is>
      </c>
      <c r="G287" s="31" t="n">
        <v>7</v>
      </c>
      <c r="H287" s="30" t="n"/>
      <c r="I287" s="43" t="n"/>
      <c r="J287" s="41" t="n"/>
      <c r="K287" s="41" t="n"/>
      <c r="L287" s="41" t="n"/>
      <c r="M287" s="31">
        <f>IF(COUNT(J287:L287)=0,"",MEDIAN(J287:L287))</f>
        <v/>
      </c>
      <c r="N287" s="26">
        <f>IF(COUNTIFS($C:$C,$C287,$D:$D,$D287,$E:$E,"P0(전)",$M:$M,"&gt;0")&lt;&gt;1,"P0(전) 유효 1개 아님",IF(COUNTIFS($C:$C,$C287,$D:$D,$D287,$E:$E,"P0(후)",$M:$M,"&gt;0")&lt;&gt;1,"P0(후) 유효 1개 아님",IF(NOT(AND(ISNUMBER(O287),ISNUMBER(Q287),ISNUMBER(I287))),"시각 결측",IF(Q287&lt;=O287,"P0 시각 역전",IF(OR(I287&lt;O287,I287&gt;Q287),"측정시각 구간 밖","OK")))))</f>
        <v/>
      </c>
      <c r="O287" s="48">
        <f>IF(COUNTIFS($C:$C,$C287,$D:$D,$D287,$E:$E,"P0(전)",$M:$M,"&gt;0")&lt;&gt;1,"",SUMIFS($I:$I,$C:$C,$C287,$D:$D,$D287,$E:$E,"P0(전)"))</f>
        <v/>
      </c>
      <c r="P287" s="31">
        <f>IF(COUNTIFS($C:$C,$C287,$D:$D,$D287,$E:$E,"P0(전)",$M:$M,"&gt;0")&lt;&gt;1,"",SUMIFS($M:$M,$C:$C,$C287,$D:$D,$D287,$E:$E,"P0(전)"))</f>
        <v/>
      </c>
      <c r="Q287" s="48">
        <f>IF(COUNTIFS($C:$C,$C287,$D:$D,$D287,$E:$E,"P0(후)",$M:$M,"&gt;0")&lt;&gt;1,"",SUMIFS($I:$I,$C:$C,$C287,$D:$D,$D287,$E:$E,"P0(후)"))</f>
        <v/>
      </c>
      <c r="R287" s="31">
        <f>IF(COUNTIFS($C:$C,$C287,$D:$D,$D287,$E:$E,"P0(후)",$M:$M,"&gt;0")&lt;&gt;1,"",SUMIFS($M:$M,$C:$C,$C287,$D:$D,$D287,$E:$E,"P0(후)"))</f>
        <v/>
      </c>
      <c r="S287" s="31">
        <f>IF(N287&lt;&gt;"OK","",P287+(R287-P287)*(I287-O287)/(Q287-O287))</f>
        <v/>
      </c>
      <c r="T287" s="31">
        <f>IF(OR(N287&lt;&gt;"OK",NOT(ISNUMBER(M287))),"",M287-S287)</f>
        <v/>
      </c>
      <c r="U287" s="49">
        <f>IF(OR(NOT(ISNUMBER(T287)),IF(ISNUMBER(H287),H287,G287)=0),"",T287/IF(ISNUMBER(H287),H287,G287))</f>
        <v/>
      </c>
      <c r="V287" s="49">
        <f>IF(ISNUMBER(U287),ABS(U287),"")</f>
        <v/>
      </c>
      <c r="W287" s="49">
        <f>IF(OR($E286&lt;&gt;"측정",$C286&lt;&gt;$C287,$D286&lt;&gt;$D287,NOT(ISNUMBER(M287)),NOT(ISNUMBER(M286)),(IF(ISNUMBER(H287),H287,G287)-IF(ISNUMBER(H286),H286,G286))=0),"",(M287-M286)/(IF(ISNUMBER(H287),H287,G287)-IF(ISNUMBER(H286),H286,G286)))</f>
        <v/>
      </c>
      <c r="X287" s="31">
        <f>IF(NOT(AND(ISNUMBER(O287),ISNUMBER(Q287))),"",(Q287-O287)*1440)</f>
        <v/>
      </c>
      <c r="Y287" s="29" t="n"/>
      <c r="Z287" s="29" t="n"/>
      <c r="AA287" s="29" t="n"/>
      <c r="AB287" s="32" t="n"/>
      <c r="AC287" s="32" t="n"/>
    </row>
    <row r="288">
      <c r="A288" s="26" t="inlineStr">
        <is>
          <t>S06</t>
        </is>
      </c>
      <c r="B288" s="26" t="inlineStr">
        <is>
          <t>길담 신규점</t>
        </is>
      </c>
      <c r="C288" s="26" t="inlineStr">
        <is>
          <t>S06-H서</t>
        </is>
      </c>
      <c r="D288" s="47" t="n">
        <v>1</v>
      </c>
      <c r="E288" s="26" t="inlineStr">
        <is>
          <t>측정</t>
        </is>
      </c>
      <c r="F288" s="26" t="inlineStr">
        <is>
          <t>서</t>
        </is>
      </c>
      <c r="G288" s="31" t="n">
        <v>8</v>
      </c>
      <c r="H288" s="30" t="n"/>
      <c r="I288" s="43" t="n"/>
      <c r="J288" s="41" t="n"/>
      <c r="K288" s="41" t="n"/>
      <c r="L288" s="41" t="n"/>
      <c r="M288" s="31">
        <f>IF(COUNT(J288:L288)=0,"",MEDIAN(J288:L288))</f>
        <v/>
      </c>
      <c r="N288" s="26">
        <f>IF(COUNTIFS($C:$C,$C288,$D:$D,$D288,$E:$E,"P0(전)",$M:$M,"&gt;0")&lt;&gt;1,"P0(전) 유효 1개 아님",IF(COUNTIFS($C:$C,$C288,$D:$D,$D288,$E:$E,"P0(후)",$M:$M,"&gt;0")&lt;&gt;1,"P0(후) 유효 1개 아님",IF(NOT(AND(ISNUMBER(O288),ISNUMBER(Q288),ISNUMBER(I288))),"시각 결측",IF(Q288&lt;=O288,"P0 시각 역전",IF(OR(I288&lt;O288,I288&gt;Q288),"측정시각 구간 밖","OK")))))</f>
        <v/>
      </c>
      <c r="O288" s="48">
        <f>IF(COUNTIFS($C:$C,$C288,$D:$D,$D288,$E:$E,"P0(전)",$M:$M,"&gt;0")&lt;&gt;1,"",SUMIFS($I:$I,$C:$C,$C288,$D:$D,$D288,$E:$E,"P0(전)"))</f>
        <v/>
      </c>
      <c r="P288" s="31">
        <f>IF(COUNTIFS($C:$C,$C288,$D:$D,$D288,$E:$E,"P0(전)",$M:$M,"&gt;0")&lt;&gt;1,"",SUMIFS($M:$M,$C:$C,$C288,$D:$D,$D288,$E:$E,"P0(전)"))</f>
        <v/>
      </c>
      <c r="Q288" s="48">
        <f>IF(COUNTIFS($C:$C,$C288,$D:$D,$D288,$E:$E,"P0(후)",$M:$M,"&gt;0")&lt;&gt;1,"",SUMIFS($I:$I,$C:$C,$C288,$D:$D,$D288,$E:$E,"P0(후)"))</f>
        <v/>
      </c>
      <c r="R288" s="31">
        <f>IF(COUNTIFS($C:$C,$C288,$D:$D,$D288,$E:$E,"P0(후)",$M:$M,"&gt;0")&lt;&gt;1,"",SUMIFS($M:$M,$C:$C,$C288,$D:$D,$D288,$E:$E,"P0(후)"))</f>
        <v/>
      </c>
      <c r="S288" s="31">
        <f>IF(N288&lt;&gt;"OK","",P288+(R288-P288)*(I288-O288)/(Q288-O288))</f>
        <v/>
      </c>
      <c r="T288" s="31">
        <f>IF(OR(N288&lt;&gt;"OK",NOT(ISNUMBER(M288))),"",M288-S288)</f>
        <v/>
      </c>
      <c r="U288" s="49">
        <f>IF(OR(NOT(ISNUMBER(T288)),IF(ISNUMBER(H288),H288,G288)=0),"",T288/IF(ISNUMBER(H288),H288,G288))</f>
        <v/>
      </c>
      <c r="V288" s="49">
        <f>IF(ISNUMBER(U288),ABS(U288),"")</f>
        <v/>
      </c>
      <c r="W288" s="49">
        <f>IF(OR($E287&lt;&gt;"측정",$C287&lt;&gt;$C288,$D287&lt;&gt;$D288,NOT(ISNUMBER(M288)),NOT(ISNUMBER(M287)),(IF(ISNUMBER(H288),H288,G288)-IF(ISNUMBER(H287),H287,G287))=0),"",(M288-M287)/(IF(ISNUMBER(H288),H288,G288)-IF(ISNUMBER(H287),H287,G287)))</f>
        <v/>
      </c>
      <c r="X288" s="31">
        <f>IF(NOT(AND(ISNUMBER(O288),ISNUMBER(Q288))),"",(Q288-O288)*1440)</f>
        <v/>
      </c>
      <c r="Y288" s="29" t="n"/>
      <c r="Z288" s="29" t="n"/>
      <c r="AA288" s="29" t="n"/>
      <c r="AB288" s="32" t="n"/>
      <c r="AC288" s="32" t="n"/>
    </row>
    <row r="289">
      <c r="A289" s="26" t="inlineStr">
        <is>
          <t>S06</t>
        </is>
      </c>
      <c r="B289" s="26" t="inlineStr">
        <is>
          <t>길담 신규점</t>
        </is>
      </c>
      <c r="C289" s="26" t="inlineStr">
        <is>
          <t>S06-H서</t>
        </is>
      </c>
      <c r="D289" s="47" t="n">
        <v>1</v>
      </c>
      <c r="E289" s="26" t="inlineStr">
        <is>
          <t>측정</t>
        </is>
      </c>
      <c r="F289" s="26" t="inlineStr">
        <is>
          <t>서</t>
        </is>
      </c>
      <c r="G289" s="31" t="n">
        <v>9</v>
      </c>
      <c r="H289" s="30" t="n"/>
      <c r="I289" s="43" t="n"/>
      <c r="J289" s="41" t="n"/>
      <c r="K289" s="41" t="n"/>
      <c r="L289" s="41" t="n"/>
      <c r="M289" s="31">
        <f>IF(COUNT(J289:L289)=0,"",MEDIAN(J289:L289))</f>
        <v/>
      </c>
      <c r="N289" s="26">
        <f>IF(COUNTIFS($C:$C,$C289,$D:$D,$D289,$E:$E,"P0(전)",$M:$M,"&gt;0")&lt;&gt;1,"P0(전) 유효 1개 아님",IF(COUNTIFS($C:$C,$C289,$D:$D,$D289,$E:$E,"P0(후)",$M:$M,"&gt;0")&lt;&gt;1,"P0(후) 유효 1개 아님",IF(NOT(AND(ISNUMBER(O289),ISNUMBER(Q289),ISNUMBER(I289))),"시각 결측",IF(Q289&lt;=O289,"P0 시각 역전",IF(OR(I289&lt;O289,I289&gt;Q289),"측정시각 구간 밖","OK")))))</f>
        <v/>
      </c>
      <c r="O289" s="48">
        <f>IF(COUNTIFS($C:$C,$C289,$D:$D,$D289,$E:$E,"P0(전)",$M:$M,"&gt;0")&lt;&gt;1,"",SUMIFS($I:$I,$C:$C,$C289,$D:$D,$D289,$E:$E,"P0(전)"))</f>
        <v/>
      </c>
      <c r="P289" s="31">
        <f>IF(COUNTIFS($C:$C,$C289,$D:$D,$D289,$E:$E,"P0(전)",$M:$M,"&gt;0")&lt;&gt;1,"",SUMIFS($M:$M,$C:$C,$C289,$D:$D,$D289,$E:$E,"P0(전)"))</f>
        <v/>
      </c>
      <c r="Q289" s="48">
        <f>IF(COUNTIFS($C:$C,$C289,$D:$D,$D289,$E:$E,"P0(후)",$M:$M,"&gt;0")&lt;&gt;1,"",SUMIFS($I:$I,$C:$C,$C289,$D:$D,$D289,$E:$E,"P0(후)"))</f>
        <v/>
      </c>
      <c r="R289" s="31">
        <f>IF(COUNTIFS($C:$C,$C289,$D:$D,$D289,$E:$E,"P0(후)",$M:$M,"&gt;0")&lt;&gt;1,"",SUMIFS($M:$M,$C:$C,$C289,$D:$D,$D289,$E:$E,"P0(후)"))</f>
        <v/>
      </c>
      <c r="S289" s="31">
        <f>IF(N289&lt;&gt;"OK","",P289+(R289-P289)*(I289-O289)/(Q289-O289))</f>
        <v/>
      </c>
      <c r="T289" s="31">
        <f>IF(OR(N289&lt;&gt;"OK",NOT(ISNUMBER(M289))),"",M289-S289)</f>
        <v/>
      </c>
      <c r="U289" s="49">
        <f>IF(OR(NOT(ISNUMBER(T289)),IF(ISNUMBER(H289),H289,G289)=0),"",T289/IF(ISNUMBER(H289),H289,G289))</f>
        <v/>
      </c>
      <c r="V289" s="49">
        <f>IF(ISNUMBER(U289),ABS(U289),"")</f>
        <v/>
      </c>
      <c r="W289" s="49">
        <f>IF(OR($E288&lt;&gt;"측정",$C288&lt;&gt;$C289,$D288&lt;&gt;$D289,NOT(ISNUMBER(M289)),NOT(ISNUMBER(M288)),(IF(ISNUMBER(H289),H289,G289)-IF(ISNUMBER(H288),H288,G288))=0),"",(M289-M288)/(IF(ISNUMBER(H289),H289,G289)-IF(ISNUMBER(H288),H288,G288)))</f>
        <v/>
      </c>
      <c r="X289" s="31">
        <f>IF(NOT(AND(ISNUMBER(O289),ISNUMBER(Q289))),"",(Q289-O289)*1440)</f>
        <v/>
      </c>
      <c r="Y289" s="29" t="n"/>
      <c r="Z289" s="29" t="n"/>
      <c r="AA289" s="29" t="n"/>
      <c r="AB289" s="32" t="n"/>
      <c r="AC289" s="32" t="n"/>
    </row>
    <row r="290">
      <c r="A290" s="26" t="inlineStr">
        <is>
          <t>S06</t>
        </is>
      </c>
      <c r="B290" s="26" t="inlineStr">
        <is>
          <t>길담 신규점</t>
        </is>
      </c>
      <c r="C290" s="26" t="inlineStr">
        <is>
          <t>S06-H서</t>
        </is>
      </c>
      <c r="D290" s="47" t="n">
        <v>1</v>
      </c>
      <c r="E290" s="26" t="inlineStr">
        <is>
          <t>측정</t>
        </is>
      </c>
      <c r="F290" s="26" t="inlineStr">
        <is>
          <t>서</t>
        </is>
      </c>
      <c r="G290" s="31" t="n">
        <v>10</v>
      </c>
      <c r="H290" s="30" t="n"/>
      <c r="I290" s="43" t="n"/>
      <c r="J290" s="41" t="n"/>
      <c r="K290" s="41" t="n"/>
      <c r="L290" s="41" t="n"/>
      <c r="M290" s="31">
        <f>IF(COUNT(J290:L290)=0,"",MEDIAN(J290:L290))</f>
        <v/>
      </c>
      <c r="N290" s="26">
        <f>IF(COUNTIFS($C:$C,$C290,$D:$D,$D290,$E:$E,"P0(전)",$M:$M,"&gt;0")&lt;&gt;1,"P0(전) 유효 1개 아님",IF(COUNTIFS($C:$C,$C290,$D:$D,$D290,$E:$E,"P0(후)",$M:$M,"&gt;0")&lt;&gt;1,"P0(후) 유효 1개 아님",IF(NOT(AND(ISNUMBER(O290),ISNUMBER(Q290),ISNUMBER(I290))),"시각 결측",IF(Q290&lt;=O290,"P0 시각 역전",IF(OR(I290&lt;O290,I290&gt;Q290),"측정시각 구간 밖","OK")))))</f>
        <v/>
      </c>
      <c r="O290" s="48">
        <f>IF(COUNTIFS($C:$C,$C290,$D:$D,$D290,$E:$E,"P0(전)",$M:$M,"&gt;0")&lt;&gt;1,"",SUMIFS($I:$I,$C:$C,$C290,$D:$D,$D290,$E:$E,"P0(전)"))</f>
        <v/>
      </c>
      <c r="P290" s="31">
        <f>IF(COUNTIFS($C:$C,$C290,$D:$D,$D290,$E:$E,"P0(전)",$M:$M,"&gt;0")&lt;&gt;1,"",SUMIFS($M:$M,$C:$C,$C290,$D:$D,$D290,$E:$E,"P0(전)"))</f>
        <v/>
      </c>
      <c r="Q290" s="48">
        <f>IF(COUNTIFS($C:$C,$C290,$D:$D,$D290,$E:$E,"P0(후)",$M:$M,"&gt;0")&lt;&gt;1,"",SUMIFS($I:$I,$C:$C,$C290,$D:$D,$D290,$E:$E,"P0(후)"))</f>
        <v/>
      </c>
      <c r="R290" s="31">
        <f>IF(COUNTIFS($C:$C,$C290,$D:$D,$D290,$E:$E,"P0(후)",$M:$M,"&gt;0")&lt;&gt;1,"",SUMIFS($M:$M,$C:$C,$C290,$D:$D,$D290,$E:$E,"P0(후)"))</f>
        <v/>
      </c>
      <c r="S290" s="31">
        <f>IF(N290&lt;&gt;"OK","",P290+(R290-P290)*(I290-O290)/(Q290-O290))</f>
        <v/>
      </c>
      <c r="T290" s="31">
        <f>IF(OR(N290&lt;&gt;"OK",NOT(ISNUMBER(M290))),"",M290-S290)</f>
        <v/>
      </c>
      <c r="U290" s="49">
        <f>IF(OR(NOT(ISNUMBER(T290)),IF(ISNUMBER(H290),H290,G290)=0),"",T290/IF(ISNUMBER(H290),H290,G290))</f>
        <v/>
      </c>
      <c r="V290" s="49">
        <f>IF(ISNUMBER(U290),ABS(U290),"")</f>
        <v/>
      </c>
      <c r="W290" s="49">
        <f>IF(OR($E289&lt;&gt;"측정",$C289&lt;&gt;$C290,$D289&lt;&gt;$D290,NOT(ISNUMBER(M290)),NOT(ISNUMBER(M289)),(IF(ISNUMBER(H290),H290,G290)-IF(ISNUMBER(H289),H289,G289))=0),"",(M290-M289)/(IF(ISNUMBER(H290),H290,G290)-IF(ISNUMBER(H289),H289,G289)))</f>
        <v/>
      </c>
      <c r="X290" s="31">
        <f>IF(NOT(AND(ISNUMBER(O290),ISNUMBER(Q290))),"",(Q290-O290)*1440)</f>
        <v/>
      </c>
      <c r="Y290" s="29" t="n"/>
      <c r="Z290" s="29" t="n"/>
      <c r="AA290" s="29" t="n"/>
      <c r="AB290" s="32" t="n"/>
      <c r="AC290" s="32" t="n"/>
    </row>
    <row r="291">
      <c r="A291" s="44" t="inlineStr">
        <is>
          <t>S06</t>
        </is>
      </c>
      <c r="B291" s="44" t="inlineStr">
        <is>
          <t>길담 신규점</t>
        </is>
      </c>
      <c r="C291" s="44" t="inlineStr">
        <is>
          <t>S06-H서</t>
        </is>
      </c>
      <c r="D291" s="45" t="n">
        <v>1</v>
      </c>
      <c r="E291" s="44" t="inlineStr">
        <is>
          <t>P0(후)</t>
        </is>
      </c>
      <c r="F291" s="44" t="inlineStr">
        <is>
          <t>서</t>
        </is>
      </c>
      <c r="G291" s="46" t="n"/>
      <c r="H291" s="30" t="n"/>
      <c r="I291" s="43" t="n"/>
      <c r="J291" s="41" t="n"/>
      <c r="K291" s="41" t="n"/>
      <c r="L291" s="41" t="n"/>
      <c r="M291" s="31">
        <f>IF(COUNT(J291:L291)=0,"",MEDIAN(J291:L291))</f>
        <v/>
      </c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38" t="n"/>
      <c r="Y291" s="29" t="n"/>
      <c r="Z291" s="29" t="n"/>
      <c r="AA291" s="29" t="n"/>
      <c r="AB291" s="32" t="n"/>
      <c r="AC291" s="32" t="n"/>
    </row>
    <row r="292">
      <c r="A292" s="44" t="inlineStr">
        <is>
          <t>S06</t>
        </is>
      </c>
      <c r="B292" s="44" t="inlineStr">
        <is>
          <t>길담 신규점</t>
        </is>
      </c>
      <c r="C292" s="44" t="inlineStr">
        <is>
          <t>S06-H남</t>
        </is>
      </c>
      <c r="D292" s="45" t="n">
        <v>1</v>
      </c>
      <c r="E292" s="44" t="inlineStr">
        <is>
          <t>P0(전)</t>
        </is>
      </c>
      <c r="F292" s="44" t="inlineStr">
        <is>
          <t>남</t>
        </is>
      </c>
      <c r="G292" s="46" t="n"/>
      <c r="H292" s="30" t="n"/>
      <c r="I292" s="43" t="n"/>
      <c r="J292" s="41" t="n"/>
      <c r="K292" s="41" t="n"/>
      <c r="L292" s="41" t="n"/>
      <c r="M292" s="31">
        <f>IF(COUNT(J292:L292)=0,"",MEDIAN(J292:L292))</f>
        <v/>
      </c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29" t="n"/>
      <c r="Z292" s="29" t="n"/>
      <c r="AA292" s="29" t="n"/>
      <c r="AB292" s="32" t="n"/>
      <c r="AC292" s="32" t="n"/>
    </row>
    <row r="293">
      <c r="A293" s="26" t="inlineStr">
        <is>
          <t>S06</t>
        </is>
      </c>
      <c r="B293" s="26" t="inlineStr">
        <is>
          <t>길담 신규점</t>
        </is>
      </c>
      <c r="C293" s="26" t="inlineStr">
        <is>
          <t>S06-H남</t>
        </is>
      </c>
      <c r="D293" s="47" t="n">
        <v>1</v>
      </c>
      <c r="E293" s="26" t="inlineStr">
        <is>
          <t>측정</t>
        </is>
      </c>
      <c r="F293" s="26" t="inlineStr">
        <is>
          <t>남</t>
        </is>
      </c>
      <c r="G293" s="31" t="n">
        <v>0.5</v>
      </c>
      <c r="H293" s="30" t="n"/>
      <c r="I293" s="43" t="n"/>
      <c r="J293" s="41" t="n"/>
      <c r="K293" s="41" t="n"/>
      <c r="L293" s="41" t="n"/>
      <c r="M293" s="31">
        <f>IF(COUNT(J293:L293)=0,"",MEDIAN(J293:L293))</f>
        <v/>
      </c>
      <c r="N293" s="26">
        <f>IF(COUNTIFS($C:$C,$C293,$D:$D,$D293,$E:$E,"P0(전)",$M:$M,"&gt;0")&lt;&gt;1,"P0(전) 유효 1개 아님",IF(COUNTIFS($C:$C,$C293,$D:$D,$D293,$E:$E,"P0(후)",$M:$M,"&gt;0")&lt;&gt;1,"P0(후) 유효 1개 아님",IF(NOT(AND(ISNUMBER(O293),ISNUMBER(Q293),ISNUMBER(I293))),"시각 결측",IF(Q293&lt;=O293,"P0 시각 역전",IF(OR(I293&lt;O293,I293&gt;Q293),"측정시각 구간 밖","OK")))))</f>
        <v/>
      </c>
      <c r="O293" s="48">
        <f>IF(COUNTIFS($C:$C,$C293,$D:$D,$D293,$E:$E,"P0(전)",$M:$M,"&gt;0")&lt;&gt;1,"",SUMIFS($I:$I,$C:$C,$C293,$D:$D,$D293,$E:$E,"P0(전)"))</f>
        <v/>
      </c>
      <c r="P293" s="31">
        <f>IF(COUNTIFS($C:$C,$C293,$D:$D,$D293,$E:$E,"P0(전)",$M:$M,"&gt;0")&lt;&gt;1,"",SUMIFS($M:$M,$C:$C,$C293,$D:$D,$D293,$E:$E,"P0(전)"))</f>
        <v/>
      </c>
      <c r="Q293" s="48">
        <f>IF(COUNTIFS($C:$C,$C293,$D:$D,$D293,$E:$E,"P0(후)",$M:$M,"&gt;0")&lt;&gt;1,"",SUMIFS($I:$I,$C:$C,$C293,$D:$D,$D293,$E:$E,"P0(후)"))</f>
        <v/>
      </c>
      <c r="R293" s="31">
        <f>IF(COUNTIFS($C:$C,$C293,$D:$D,$D293,$E:$E,"P0(후)",$M:$M,"&gt;0")&lt;&gt;1,"",SUMIFS($M:$M,$C:$C,$C293,$D:$D,$D293,$E:$E,"P0(후)"))</f>
        <v/>
      </c>
      <c r="S293" s="31">
        <f>IF(N293&lt;&gt;"OK","",P293+(R293-P293)*(I293-O293)/(Q293-O293))</f>
        <v/>
      </c>
      <c r="T293" s="31">
        <f>IF(OR(N293&lt;&gt;"OK",NOT(ISNUMBER(M293))),"",M293-S293)</f>
        <v/>
      </c>
      <c r="U293" s="49">
        <f>IF(OR(NOT(ISNUMBER(T293)),IF(ISNUMBER(H293),H293,G293)=0),"",T293/IF(ISNUMBER(H293),H293,G293))</f>
        <v/>
      </c>
      <c r="V293" s="49">
        <f>IF(ISNUMBER(U293),ABS(U293),"")</f>
        <v/>
      </c>
      <c r="W293" s="49">
        <f>IF(OR($E292&lt;&gt;"측정",$C292&lt;&gt;$C293,$D292&lt;&gt;$D293,NOT(ISNUMBER(M293)),NOT(ISNUMBER(M292)),(IF(ISNUMBER(H293),H293,G293)-IF(ISNUMBER(H292),H292,G292))=0),"",(M293-M292)/(IF(ISNUMBER(H293),H293,G293)-IF(ISNUMBER(H292),H292,G292)))</f>
        <v/>
      </c>
      <c r="X293" s="31">
        <f>IF(NOT(AND(ISNUMBER(O293),ISNUMBER(Q293))),"",(Q293-O293)*1440)</f>
        <v/>
      </c>
      <c r="Y293" s="29" t="n"/>
      <c r="Z293" s="29" t="n"/>
      <c r="AA293" s="29" t="n"/>
      <c r="AB293" s="32" t="n"/>
      <c r="AC293" s="32" t="n"/>
    </row>
    <row r="294">
      <c r="A294" s="26" t="inlineStr">
        <is>
          <t>S06</t>
        </is>
      </c>
      <c r="B294" s="26" t="inlineStr">
        <is>
          <t>길담 신규점</t>
        </is>
      </c>
      <c r="C294" s="26" t="inlineStr">
        <is>
          <t>S06-H남</t>
        </is>
      </c>
      <c r="D294" s="47" t="n">
        <v>1</v>
      </c>
      <c r="E294" s="26" t="inlineStr">
        <is>
          <t>측정</t>
        </is>
      </c>
      <c r="F294" s="26" t="inlineStr">
        <is>
          <t>남</t>
        </is>
      </c>
      <c r="G294" s="31" t="n">
        <v>1</v>
      </c>
      <c r="H294" s="30" t="n"/>
      <c r="I294" s="43" t="n"/>
      <c r="J294" s="41" t="n"/>
      <c r="K294" s="41" t="n"/>
      <c r="L294" s="41" t="n"/>
      <c r="M294" s="31">
        <f>IF(COUNT(J294:L294)=0,"",MEDIAN(J294:L294))</f>
        <v/>
      </c>
      <c r="N294" s="26">
        <f>IF(COUNTIFS($C:$C,$C294,$D:$D,$D294,$E:$E,"P0(전)",$M:$M,"&gt;0")&lt;&gt;1,"P0(전) 유효 1개 아님",IF(COUNTIFS($C:$C,$C294,$D:$D,$D294,$E:$E,"P0(후)",$M:$M,"&gt;0")&lt;&gt;1,"P0(후) 유효 1개 아님",IF(NOT(AND(ISNUMBER(O294),ISNUMBER(Q294),ISNUMBER(I294))),"시각 결측",IF(Q294&lt;=O294,"P0 시각 역전",IF(OR(I294&lt;O294,I294&gt;Q294),"측정시각 구간 밖","OK")))))</f>
        <v/>
      </c>
      <c r="O294" s="48">
        <f>IF(COUNTIFS($C:$C,$C294,$D:$D,$D294,$E:$E,"P0(전)",$M:$M,"&gt;0")&lt;&gt;1,"",SUMIFS($I:$I,$C:$C,$C294,$D:$D,$D294,$E:$E,"P0(전)"))</f>
        <v/>
      </c>
      <c r="P294" s="31">
        <f>IF(COUNTIFS($C:$C,$C294,$D:$D,$D294,$E:$E,"P0(전)",$M:$M,"&gt;0")&lt;&gt;1,"",SUMIFS($M:$M,$C:$C,$C294,$D:$D,$D294,$E:$E,"P0(전)"))</f>
        <v/>
      </c>
      <c r="Q294" s="48">
        <f>IF(COUNTIFS($C:$C,$C294,$D:$D,$D294,$E:$E,"P0(후)",$M:$M,"&gt;0")&lt;&gt;1,"",SUMIFS($I:$I,$C:$C,$C294,$D:$D,$D294,$E:$E,"P0(후)"))</f>
        <v/>
      </c>
      <c r="R294" s="31">
        <f>IF(COUNTIFS($C:$C,$C294,$D:$D,$D294,$E:$E,"P0(후)",$M:$M,"&gt;0")&lt;&gt;1,"",SUMIFS($M:$M,$C:$C,$C294,$D:$D,$D294,$E:$E,"P0(후)"))</f>
        <v/>
      </c>
      <c r="S294" s="31">
        <f>IF(N294&lt;&gt;"OK","",P294+(R294-P294)*(I294-O294)/(Q294-O294))</f>
        <v/>
      </c>
      <c r="T294" s="31">
        <f>IF(OR(N294&lt;&gt;"OK",NOT(ISNUMBER(M294))),"",M294-S294)</f>
        <v/>
      </c>
      <c r="U294" s="49">
        <f>IF(OR(NOT(ISNUMBER(T294)),IF(ISNUMBER(H294),H294,G294)=0),"",T294/IF(ISNUMBER(H294),H294,G294))</f>
        <v/>
      </c>
      <c r="V294" s="49">
        <f>IF(ISNUMBER(U294),ABS(U294),"")</f>
        <v/>
      </c>
      <c r="W294" s="49">
        <f>IF(OR($E293&lt;&gt;"측정",$C293&lt;&gt;$C294,$D293&lt;&gt;$D294,NOT(ISNUMBER(M294)),NOT(ISNUMBER(M293)),(IF(ISNUMBER(H294),H294,G294)-IF(ISNUMBER(H293),H293,G293))=0),"",(M294-M293)/(IF(ISNUMBER(H294),H294,G294)-IF(ISNUMBER(H293),H293,G293)))</f>
        <v/>
      </c>
      <c r="X294" s="31">
        <f>IF(NOT(AND(ISNUMBER(O294),ISNUMBER(Q294))),"",(Q294-O294)*1440)</f>
        <v/>
      </c>
      <c r="Y294" s="29" t="n"/>
      <c r="Z294" s="29" t="n"/>
      <c r="AA294" s="29" t="n"/>
      <c r="AB294" s="32" t="n"/>
      <c r="AC294" s="32" t="n"/>
    </row>
    <row r="295">
      <c r="A295" s="26" t="inlineStr">
        <is>
          <t>S06</t>
        </is>
      </c>
      <c r="B295" s="26" t="inlineStr">
        <is>
          <t>길담 신규점</t>
        </is>
      </c>
      <c r="C295" s="26" t="inlineStr">
        <is>
          <t>S06-H남</t>
        </is>
      </c>
      <c r="D295" s="47" t="n">
        <v>1</v>
      </c>
      <c r="E295" s="26" t="inlineStr">
        <is>
          <t>측정</t>
        </is>
      </c>
      <c r="F295" s="26" t="inlineStr">
        <is>
          <t>남</t>
        </is>
      </c>
      <c r="G295" s="31" t="n">
        <v>2</v>
      </c>
      <c r="H295" s="30" t="n"/>
      <c r="I295" s="43" t="n"/>
      <c r="J295" s="41" t="n"/>
      <c r="K295" s="41" t="n"/>
      <c r="L295" s="41" t="n"/>
      <c r="M295" s="31">
        <f>IF(COUNT(J295:L295)=0,"",MEDIAN(J295:L295))</f>
        <v/>
      </c>
      <c r="N295" s="26">
        <f>IF(COUNTIFS($C:$C,$C295,$D:$D,$D295,$E:$E,"P0(전)",$M:$M,"&gt;0")&lt;&gt;1,"P0(전) 유효 1개 아님",IF(COUNTIFS($C:$C,$C295,$D:$D,$D295,$E:$E,"P0(후)",$M:$M,"&gt;0")&lt;&gt;1,"P0(후) 유효 1개 아님",IF(NOT(AND(ISNUMBER(O295),ISNUMBER(Q295),ISNUMBER(I295))),"시각 결측",IF(Q295&lt;=O295,"P0 시각 역전",IF(OR(I295&lt;O295,I295&gt;Q295),"측정시각 구간 밖","OK")))))</f>
        <v/>
      </c>
      <c r="O295" s="48">
        <f>IF(COUNTIFS($C:$C,$C295,$D:$D,$D295,$E:$E,"P0(전)",$M:$M,"&gt;0")&lt;&gt;1,"",SUMIFS($I:$I,$C:$C,$C295,$D:$D,$D295,$E:$E,"P0(전)"))</f>
        <v/>
      </c>
      <c r="P295" s="31">
        <f>IF(COUNTIFS($C:$C,$C295,$D:$D,$D295,$E:$E,"P0(전)",$M:$M,"&gt;0")&lt;&gt;1,"",SUMIFS($M:$M,$C:$C,$C295,$D:$D,$D295,$E:$E,"P0(전)"))</f>
        <v/>
      </c>
      <c r="Q295" s="48">
        <f>IF(COUNTIFS($C:$C,$C295,$D:$D,$D295,$E:$E,"P0(후)",$M:$M,"&gt;0")&lt;&gt;1,"",SUMIFS($I:$I,$C:$C,$C295,$D:$D,$D295,$E:$E,"P0(후)"))</f>
        <v/>
      </c>
      <c r="R295" s="31">
        <f>IF(COUNTIFS($C:$C,$C295,$D:$D,$D295,$E:$E,"P0(후)",$M:$M,"&gt;0")&lt;&gt;1,"",SUMIFS($M:$M,$C:$C,$C295,$D:$D,$D295,$E:$E,"P0(후)"))</f>
        <v/>
      </c>
      <c r="S295" s="31">
        <f>IF(N295&lt;&gt;"OK","",P295+(R295-P295)*(I295-O295)/(Q295-O295))</f>
        <v/>
      </c>
      <c r="T295" s="31">
        <f>IF(OR(N295&lt;&gt;"OK",NOT(ISNUMBER(M295))),"",M295-S295)</f>
        <v/>
      </c>
      <c r="U295" s="49">
        <f>IF(OR(NOT(ISNUMBER(T295)),IF(ISNUMBER(H295),H295,G295)=0),"",T295/IF(ISNUMBER(H295),H295,G295))</f>
        <v/>
      </c>
      <c r="V295" s="49">
        <f>IF(ISNUMBER(U295),ABS(U295),"")</f>
        <v/>
      </c>
      <c r="W295" s="49">
        <f>IF(OR($E294&lt;&gt;"측정",$C294&lt;&gt;$C295,$D294&lt;&gt;$D295,NOT(ISNUMBER(M295)),NOT(ISNUMBER(M294)),(IF(ISNUMBER(H295),H295,G295)-IF(ISNUMBER(H294),H294,G294))=0),"",(M295-M294)/(IF(ISNUMBER(H295),H295,G295)-IF(ISNUMBER(H294),H294,G294)))</f>
        <v/>
      </c>
      <c r="X295" s="31">
        <f>IF(NOT(AND(ISNUMBER(O295),ISNUMBER(Q295))),"",(Q295-O295)*1440)</f>
        <v/>
      </c>
      <c r="Y295" s="29" t="n"/>
      <c r="Z295" s="29" t="n"/>
      <c r="AA295" s="29" t="n"/>
      <c r="AB295" s="32" t="n"/>
      <c r="AC295" s="32" t="n"/>
    </row>
    <row r="296">
      <c r="A296" s="26" t="inlineStr">
        <is>
          <t>S06</t>
        </is>
      </c>
      <c r="B296" s="26" t="inlineStr">
        <is>
          <t>길담 신규점</t>
        </is>
      </c>
      <c r="C296" s="26" t="inlineStr">
        <is>
          <t>S06-H남</t>
        </is>
      </c>
      <c r="D296" s="47" t="n">
        <v>1</v>
      </c>
      <c r="E296" s="26" t="inlineStr">
        <is>
          <t>측정</t>
        </is>
      </c>
      <c r="F296" s="26" t="inlineStr">
        <is>
          <t>남</t>
        </is>
      </c>
      <c r="G296" s="31" t="n">
        <v>3</v>
      </c>
      <c r="H296" s="30" t="n"/>
      <c r="I296" s="43" t="n"/>
      <c r="J296" s="41" t="n"/>
      <c r="K296" s="41" t="n"/>
      <c r="L296" s="41" t="n"/>
      <c r="M296" s="31">
        <f>IF(COUNT(J296:L296)=0,"",MEDIAN(J296:L296))</f>
        <v/>
      </c>
      <c r="N296" s="26">
        <f>IF(COUNTIFS($C:$C,$C296,$D:$D,$D296,$E:$E,"P0(전)",$M:$M,"&gt;0")&lt;&gt;1,"P0(전) 유효 1개 아님",IF(COUNTIFS($C:$C,$C296,$D:$D,$D296,$E:$E,"P0(후)",$M:$M,"&gt;0")&lt;&gt;1,"P0(후) 유효 1개 아님",IF(NOT(AND(ISNUMBER(O296),ISNUMBER(Q296),ISNUMBER(I296))),"시각 결측",IF(Q296&lt;=O296,"P0 시각 역전",IF(OR(I296&lt;O296,I296&gt;Q296),"측정시각 구간 밖","OK")))))</f>
        <v/>
      </c>
      <c r="O296" s="48">
        <f>IF(COUNTIFS($C:$C,$C296,$D:$D,$D296,$E:$E,"P0(전)",$M:$M,"&gt;0")&lt;&gt;1,"",SUMIFS($I:$I,$C:$C,$C296,$D:$D,$D296,$E:$E,"P0(전)"))</f>
        <v/>
      </c>
      <c r="P296" s="31">
        <f>IF(COUNTIFS($C:$C,$C296,$D:$D,$D296,$E:$E,"P0(전)",$M:$M,"&gt;0")&lt;&gt;1,"",SUMIFS($M:$M,$C:$C,$C296,$D:$D,$D296,$E:$E,"P0(전)"))</f>
        <v/>
      </c>
      <c r="Q296" s="48">
        <f>IF(COUNTIFS($C:$C,$C296,$D:$D,$D296,$E:$E,"P0(후)",$M:$M,"&gt;0")&lt;&gt;1,"",SUMIFS($I:$I,$C:$C,$C296,$D:$D,$D296,$E:$E,"P0(후)"))</f>
        <v/>
      </c>
      <c r="R296" s="31">
        <f>IF(COUNTIFS($C:$C,$C296,$D:$D,$D296,$E:$E,"P0(후)",$M:$M,"&gt;0")&lt;&gt;1,"",SUMIFS($M:$M,$C:$C,$C296,$D:$D,$D296,$E:$E,"P0(후)"))</f>
        <v/>
      </c>
      <c r="S296" s="31">
        <f>IF(N296&lt;&gt;"OK","",P296+(R296-P296)*(I296-O296)/(Q296-O296))</f>
        <v/>
      </c>
      <c r="T296" s="31">
        <f>IF(OR(N296&lt;&gt;"OK",NOT(ISNUMBER(M296))),"",M296-S296)</f>
        <v/>
      </c>
      <c r="U296" s="49">
        <f>IF(OR(NOT(ISNUMBER(T296)),IF(ISNUMBER(H296),H296,G296)=0),"",T296/IF(ISNUMBER(H296),H296,G296))</f>
        <v/>
      </c>
      <c r="V296" s="49">
        <f>IF(ISNUMBER(U296),ABS(U296),"")</f>
        <v/>
      </c>
      <c r="W296" s="49">
        <f>IF(OR($E295&lt;&gt;"측정",$C295&lt;&gt;$C296,$D295&lt;&gt;$D296,NOT(ISNUMBER(M296)),NOT(ISNUMBER(M295)),(IF(ISNUMBER(H296),H296,G296)-IF(ISNUMBER(H295),H295,G295))=0),"",(M296-M295)/(IF(ISNUMBER(H296),H296,G296)-IF(ISNUMBER(H295),H295,G295)))</f>
        <v/>
      </c>
      <c r="X296" s="31">
        <f>IF(NOT(AND(ISNUMBER(O296),ISNUMBER(Q296))),"",(Q296-O296)*1440)</f>
        <v/>
      </c>
      <c r="Y296" s="29" t="n"/>
      <c r="Z296" s="29" t="n"/>
      <c r="AA296" s="29" t="n"/>
      <c r="AB296" s="32" t="n"/>
      <c r="AC296" s="32" t="n"/>
    </row>
    <row r="297">
      <c r="A297" s="26" t="inlineStr">
        <is>
          <t>S06</t>
        </is>
      </c>
      <c r="B297" s="26" t="inlineStr">
        <is>
          <t>길담 신규점</t>
        </is>
      </c>
      <c r="C297" s="26" t="inlineStr">
        <is>
          <t>S06-H남</t>
        </is>
      </c>
      <c r="D297" s="47" t="n">
        <v>1</v>
      </c>
      <c r="E297" s="26" t="inlineStr">
        <is>
          <t>측정</t>
        </is>
      </c>
      <c r="F297" s="26" t="inlineStr">
        <is>
          <t>남</t>
        </is>
      </c>
      <c r="G297" s="31" t="n">
        <v>4</v>
      </c>
      <c r="H297" s="30" t="n"/>
      <c r="I297" s="43" t="n"/>
      <c r="J297" s="41" t="n"/>
      <c r="K297" s="41" t="n"/>
      <c r="L297" s="41" t="n"/>
      <c r="M297" s="31">
        <f>IF(COUNT(J297:L297)=0,"",MEDIAN(J297:L297))</f>
        <v/>
      </c>
      <c r="N297" s="26">
        <f>IF(COUNTIFS($C:$C,$C297,$D:$D,$D297,$E:$E,"P0(전)",$M:$M,"&gt;0")&lt;&gt;1,"P0(전) 유효 1개 아님",IF(COUNTIFS($C:$C,$C297,$D:$D,$D297,$E:$E,"P0(후)",$M:$M,"&gt;0")&lt;&gt;1,"P0(후) 유효 1개 아님",IF(NOT(AND(ISNUMBER(O297),ISNUMBER(Q297),ISNUMBER(I297))),"시각 결측",IF(Q297&lt;=O297,"P0 시각 역전",IF(OR(I297&lt;O297,I297&gt;Q297),"측정시각 구간 밖","OK")))))</f>
        <v/>
      </c>
      <c r="O297" s="48">
        <f>IF(COUNTIFS($C:$C,$C297,$D:$D,$D297,$E:$E,"P0(전)",$M:$M,"&gt;0")&lt;&gt;1,"",SUMIFS($I:$I,$C:$C,$C297,$D:$D,$D297,$E:$E,"P0(전)"))</f>
        <v/>
      </c>
      <c r="P297" s="31">
        <f>IF(COUNTIFS($C:$C,$C297,$D:$D,$D297,$E:$E,"P0(전)",$M:$M,"&gt;0")&lt;&gt;1,"",SUMIFS($M:$M,$C:$C,$C297,$D:$D,$D297,$E:$E,"P0(전)"))</f>
        <v/>
      </c>
      <c r="Q297" s="48">
        <f>IF(COUNTIFS($C:$C,$C297,$D:$D,$D297,$E:$E,"P0(후)",$M:$M,"&gt;0")&lt;&gt;1,"",SUMIFS($I:$I,$C:$C,$C297,$D:$D,$D297,$E:$E,"P0(후)"))</f>
        <v/>
      </c>
      <c r="R297" s="31">
        <f>IF(COUNTIFS($C:$C,$C297,$D:$D,$D297,$E:$E,"P0(후)",$M:$M,"&gt;0")&lt;&gt;1,"",SUMIFS($M:$M,$C:$C,$C297,$D:$D,$D297,$E:$E,"P0(후)"))</f>
        <v/>
      </c>
      <c r="S297" s="31">
        <f>IF(N297&lt;&gt;"OK","",P297+(R297-P297)*(I297-O297)/(Q297-O297))</f>
        <v/>
      </c>
      <c r="T297" s="31">
        <f>IF(OR(N297&lt;&gt;"OK",NOT(ISNUMBER(M297))),"",M297-S297)</f>
        <v/>
      </c>
      <c r="U297" s="49">
        <f>IF(OR(NOT(ISNUMBER(T297)),IF(ISNUMBER(H297),H297,G297)=0),"",T297/IF(ISNUMBER(H297),H297,G297))</f>
        <v/>
      </c>
      <c r="V297" s="49">
        <f>IF(ISNUMBER(U297),ABS(U297),"")</f>
        <v/>
      </c>
      <c r="W297" s="49">
        <f>IF(OR($E296&lt;&gt;"측정",$C296&lt;&gt;$C297,$D296&lt;&gt;$D297,NOT(ISNUMBER(M297)),NOT(ISNUMBER(M296)),(IF(ISNUMBER(H297),H297,G297)-IF(ISNUMBER(H296),H296,G296))=0),"",(M297-M296)/(IF(ISNUMBER(H297),H297,G297)-IF(ISNUMBER(H296),H296,G296)))</f>
        <v/>
      </c>
      <c r="X297" s="31">
        <f>IF(NOT(AND(ISNUMBER(O297),ISNUMBER(Q297))),"",(Q297-O297)*1440)</f>
        <v/>
      </c>
      <c r="Y297" s="29" t="n"/>
      <c r="Z297" s="29" t="n"/>
      <c r="AA297" s="29" t="n"/>
      <c r="AB297" s="32" t="n"/>
      <c r="AC297" s="32" t="n"/>
    </row>
    <row r="298">
      <c r="A298" s="26" t="inlineStr">
        <is>
          <t>S06</t>
        </is>
      </c>
      <c r="B298" s="26" t="inlineStr">
        <is>
          <t>길담 신규점</t>
        </is>
      </c>
      <c r="C298" s="26" t="inlineStr">
        <is>
          <t>S06-H남</t>
        </is>
      </c>
      <c r="D298" s="47" t="n">
        <v>1</v>
      </c>
      <c r="E298" s="26" t="inlineStr">
        <is>
          <t>측정</t>
        </is>
      </c>
      <c r="F298" s="26" t="inlineStr">
        <is>
          <t>남</t>
        </is>
      </c>
      <c r="G298" s="31" t="n">
        <v>5</v>
      </c>
      <c r="H298" s="30" t="n"/>
      <c r="I298" s="43" t="n"/>
      <c r="J298" s="41" t="n"/>
      <c r="K298" s="41" t="n"/>
      <c r="L298" s="41" t="n"/>
      <c r="M298" s="31">
        <f>IF(COUNT(J298:L298)=0,"",MEDIAN(J298:L298))</f>
        <v/>
      </c>
      <c r="N298" s="26">
        <f>IF(COUNTIFS($C:$C,$C298,$D:$D,$D298,$E:$E,"P0(전)",$M:$M,"&gt;0")&lt;&gt;1,"P0(전) 유효 1개 아님",IF(COUNTIFS($C:$C,$C298,$D:$D,$D298,$E:$E,"P0(후)",$M:$M,"&gt;0")&lt;&gt;1,"P0(후) 유효 1개 아님",IF(NOT(AND(ISNUMBER(O298),ISNUMBER(Q298),ISNUMBER(I298))),"시각 결측",IF(Q298&lt;=O298,"P0 시각 역전",IF(OR(I298&lt;O298,I298&gt;Q298),"측정시각 구간 밖","OK")))))</f>
        <v/>
      </c>
      <c r="O298" s="48">
        <f>IF(COUNTIFS($C:$C,$C298,$D:$D,$D298,$E:$E,"P0(전)",$M:$M,"&gt;0")&lt;&gt;1,"",SUMIFS($I:$I,$C:$C,$C298,$D:$D,$D298,$E:$E,"P0(전)"))</f>
        <v/>
      </c>
      <c r="P298" s="31">
        <f>IF(COUNTIFS($C:$C,$C298,$D:$D,$D298,$E:$E,"P0(전)",$M:$M,"&gt;0")&lt;&gt;1,"",SUMIFS($M:$M,$C:$C,$C298,$D:$D,$D298,$E:$E,"P0(전)"))</f>
        <v/>
      </c>
      <c r="Q298" s="48">
        <f>IF(COUNTIFS($C:$C,$C298,$D:$D,$D298,$E:$E,"P0(후)",$M:$M,"&gt;0")&lt;&gt;1,"",SUMIFS($I:$I,$C:$C,$C298,$D:$D,$D298,$E:$E,"P0(후)"))</f>
        <v/>
      </c>
      <c r="R298" s="31">
        <f>IF(COUNTIFS($C:$C,$C298,$D:$D,$D298,$E:$E,"P0(후)",$M:$M,"&gt;0")&lt;&gt;1,"",SUMIFS($M:$M,$C:$C,$C298,$D:$D,$D298,$E:$E,"P0(후)"))</f>
        <v/>
      </c>
      <c r="S298" s="31">
        <f>IF(N298&lt;&gt;"OK","",P298+(R298-P298)*(I298-O298)/(Q298-O298))</f>
        <v/>
      </c>
      <c r="T298" s="31">
        <f>IF(OR(N298&lt;&gt;"OK",NOT(ISNUMBER(M298))),"",M298-S298)</f>
        <v/>
      </c>
      <c r="U298" s="49">
        <f>IF(OR(NOT(ISNUMBER(T298)),IF(ISNUMBER(H298),H298,G298)=0),"",T298/IF(ISNUMBER(H298),H298,G298))</f>
        <v/>
      </c>
      <c r="V298" s="49">
        <f>IF(ISNUMBER(U298),ABS(U298),"")</f>
        <v/>
      </c>
      <c r="W298" s="49">
        <f>IF(OR($E297&lt;&gt;"측정",$C297&lt;&gt;$C298,$D297&lt;&gt;$D298,NOT(ISNUMBER(M298)),NOT(ISNUMBER(M297)),(IF(ISNUMBER(H298),H298,G298)-IF(ISNUMBER(H297),H297,G297))=0),"",(M298-M297)/(IF(ISNUMBER(H298),H298,G298)-IF(ISNUMBER(H297),H297,G297)))</f>
        <v/>
      </c>
      <c r="X298" s="31">
        <f>IF(NOT(AND(ISNUMBER(O298),ISNUMBER(Q298))),"",(Q298-O298)*1440)</f>
        <v/>
      </c>
      <c r="Y298" s="29" t="n"/>
      <c r="Z298" s="29" t="n"/>
      <c r="AA298" s="29" t="n"/>
      <c r="AB298" s="32" t="n"/>
      <c r="AC298" s="32" t="n"/>
    </row>
    <row r="299">
      <c r="A299" s="26" t="inlineStr">
        <is>
          <t>S06</t>
        </is>
      </c>
      <c r="B299" s="26" t="inlineStr">
        <is>
          <t>길담 신규점</t>
        </is>
      </c>
      <c r="C299" s="26" t="inlineStr">
        <is>
          <t>S06-H남</t>
        </is>
      </c>
      <c r="D299" s="47" t="n">
        <v>1</v>
      </c>
      <c r="E299" s="26" t="inlineStr">
        <is>
          <t>측정</t>
        </is>
      </c>
      <c r="F299" s="26" t="inlineStr">
        <is>
          <t>남</t>
        </is>
      </c>
      <c r="G299" s="31" t="n">
        <v>6</v>
      </c>
      <c r="H299" s="30" t="n"/>
      <c r="I299" s="43" t="n"/>
      <c r="J299" s="41" t="n"/>
      <c r="K299" s="41" t="n"/>
      <c r="L299" s="41" t="n"/>
      <c r="M299" s="31">
        <f>IF(COUNT(J299:L299)=0,"",MEDIAN(J299:L299))</f>
        <v/>
      </c>
      <c r="N299" s="26">
        <f>IF(COUNTIFS($C:$C,$C299,$D:$D,$D299,$E:$E,"P0(전)",$M:$M,"&gt;0")&lt;&gt;1,"P0(전) 유효 1개 아님",IF(COUNTIFS($C:$C,$C299,$D:$D,$D299,$E:$E,"P0(후)",$M:$M,"&gt;0")&lt;&gt;1,"P0(후) 유효 1개 아님",IF(NOT(AND(ISNUMBER(O299),ISNUMBER(Q299),ISNUMBER(I299))),"시각 결측",IF(Q299&lt;=O299,"P0 시각 역전",IF(OR(I299&lt;O299,I299&gt;Q299),"측정시각 구간 밖","OK")))))</f>
        <v/>
      </c>
      <c r="O299" s="48">
        <f>IF(COUNTIFS($C:$C,$C299,$D:$D,$D299,$E:$E,"P0(전)",$M:$M,"&gt;0")&lt;&gt;1,"",SUMIFS($I:$I,$C:$C,$C299,$D:$D,$D299,$E:$E,"P0(전)"))</f>
        <v/>
      </c>
      <c r="P299" s="31">
        <f>IF(COUNTIFS($C:$C,$C299,$D:$D,$D299,$E:$E,"P0(전)",$M:$M,"&gt;0")&lt;&gt;1,"",SUMIFS($M:$M,$C:$C,$C299,$D:$D,$D299,$E:$E,"P0(전)"))</f>
        <v/>
      </c>
      <c r="Q299" s="48">
        <f>IF(COUNTIFS($C:$C,$C299,$D:$D,$D299,$E:$E,"P0(후)",$M:$M,"&gt;0")&lt;&gt;1,"",SUMIFS($I:$I,$C:$C,$C299,$D:$D,$D299,$E:$E,"P0(후)"))</f>
        <v/>
      </c>
      <c r="R299" s="31">
        <f>IF(COUNTIFS($C:$C,$C299,$D:$D,$D299,$E:$E,"P0(후)",$M:$M,"&gt;0")&lt;&gt;1,"",SUMIFS($M:$M,$C:$C,$C299,$D:$D,$D299,$E:$E,"P0(후)"))</f>
        <v/>
      </c>
      <c r="S299" s="31">
        <f>IF(N299&lt;&gt;"OK","",P299+(R299-P299)*(I299-O299)/(Q299-O299))</f>
        <v/>
      </c>
      <c r="T299" s="31">
        <f>IF(OR(N299&lt;&gt;"OK",NOT(ISNUMBER(M299))),"",M299-S299)</f>
        <v/>
      </c>
      <c r="U299" s="49">
        <f>IF(OR(NOT(ISNUMBER(T299)),IF(ISNUMBER(H299),H299,G299)=0),"",T299/IF(ISNUMBER(H299),H299,G299))</f>
        <v/>
      </c>
      <c r="V299" s="49">
        <f>IF(ISNUMBER(U299),ABS(U299),"")</f>
        <v/>
      </c>
      <c r="W299" s="49">
        <f>IF(OR($E298&lt;&gt;"측정",$C298&lt;&gt;$C299,$D298&lt;&gt;$D299,NOT(ISNUMBER(M299)),NOT(ISNUMBER(M298)),(IF(ISNUMBER(H299),H299,G299)-IF(ISNUMBER(H298),H298,G298))=0),"",(M299-M298)/(IF(ISNUMBER(H299),H299,G299)-IF(ISNUMBER(H298),H298,G298)))</f>
        <v/>
      </c>
      <c r="X299" s="31">
        <f>IF(NOT(AND(ISNUMBER(O299),ISNUMBER(Q299))),"",(Q299-O299)*1440)</f>
        <v/>
      </c>
      <c r="Y299" s="29" t="n"/>
      <c r="Z299" s="29" t="n"/>
      <c r="AA299" s="29" t="n"/>
      <c r="AB299" s="32" t="n"/>
      <c r="AC299" s="32" t="n"/>
    </row>
    <row r="300">
      <c r="A300" s="26" t="inlineStr">
        <is>
          <t>S06</t>
        </is>
      </c>
      <c r="B300" s="26" t="inlineStr">
        <is>
          <t>길담 신규점</t>
        </is>
      </c>
      <c r="C300" s="26" t="inlineStr">
        <is>
          <t>S06-H남</t>
        </is>
      </c>
      <c r="D300" s="47" t="n">
        <v>1</v>
      </c>
      <c r="E300" s="26" t="inlineStr">
        <is>
          <t>측정</t>
        </is>
      </c>
      <c r="F300" s="26" t="inlineStr">
        <is>
          <t>남</t>
        </is>
      </c>
      <c r="G300" s="31" t="n">
        <v>7</v>
      </c>
      <c r="H300" s="30" t="n"/>
      <c r="I300" s="43" t="n"/>
      <c r="J300" s="41" t="n"/>
      <c r="K300" s="41" t="n"/>
      <c r="L300" s="41" t="n"/>
      <c r="M300" s="31">
        <f>IF(COUNT(J300:L300)=0,"",MEDIAN(J300:L300))</f>
        <v/>
      </c>
      <c r="N300" s="26">
        <f>IF(COUNTIFS($C:$C,$C300,$D:$D,$D300,$E:$E,"P0(전)",$M:$M,"&gt;0")&lt;&gt;1,"P0(전) 유효 1개 아님",IF(COUNTIFS($C:$C,$C300,$D:$D,$D300,$E:$E,"P0(후)",$M:$M,"&gt;0")&lt;&gt;1,"P0(후) 유효 1개 아님",IF(NOT(AND(ISNUMBER(O300),ISNUMBER(Q300),ISNUMBER(I300))),"시각 결측",IF(Q300&lt;=O300,"P0 시각 역전",IF(OR(I300&lt;O300,I300&gt;Q300),"측정시각 구간 밖","OK")))))</f>
        <v/>
      </c>
      <c r="O300" s="48">
        <f>IF(COUNTIFS($C:$C,$C300,$D:$D,$D300,$E:$E,"P0(전)",$M:$M,"&gt;0")&lt;&gt;1,"",SUMIFS($I:$I,$C:$C,$C300,$D:$D,$D300,$E:$E,"P0(전)"))</f>
        <v/>
      </c>
      <c r="P300" s="31">
        <f>IF(COUNTIFS($C:$C,$C300,$D:$D,$D300,$E:$E,"P0(전)",$M:$M,"&gt;0")&lt;&gt;1,"",SUMIFS($M:$M,$C:$C,$C300,$D:$D,$D300,$E:$E,"P0(전)"))</f>
        <v/>
      </c>
      <c r="Q300" s="48">
        <f>IF(COUNTIFS($C:$C,$C300,$D:$D,$D300,$E:$E,"P0(후)",$M:$M,"&gt;0")&lt;&gt;1,"",SUMIFS($I:$I,$C:$C,$C300,$D:$D,$D300,$E:$E,"P0(후)"))</f>
        <v/>
      </c>
      <c r="R300" s="31">
        <f>IF(COUNTIFS($C:$C,$C300,$D:$D,$D300,$E:$E,"P0(후)",$M:$M,"&gt;0")&lt;&gt;1,"",SUMIFS($M:$M,$C:$C,$C300,$D:$D,$D300,$E:$E,"P0(후)"))</f>
        <v/>
      </c>
      <c r="S300" s="31">
        <f>IF(N300&lt;&gt;"OK","",P300+(R300-P300)*(I300-O300)/(Q300-O300))</f>
        <v/>
      </c>
      <c r="T300" s="31">
        <f>IF(OR(N300&lt;&gt;"OK",NOT(ISNUMBER(M300))),"",M300-S300)</f>
        <v/>
      </c>
      <c r="U300" s="49">
        <f>IF(OR(NOT(ISNUMBER(T300)),IF(ISNUMBER(H300),H300,G300)=0),"",T300/IF(ISNUMBER(H300),H300,G300))</f>
        <v/>
      </c>
      <c r="V300" s="49">
        <f>IF(ISNUMBER(U300),ABS(U300),"")</f>
        <v/>
      </c>
      <c r="W300" s="49">
        <f>IF(OR($E299&lt;&gt;"측정",$C299&lt;&gt;$C300,$D299&lt;&gt;$D300,NOT(ISNUMBER(M300)),NOT(ISNUMBER(M299)),(IF(ISNUMBER(H300),H300,G300)-IF(ISNUMBER(H299),H299,G299))=0),"",(M300-M299)/(IF(ISNUMBER(H300),H300,G300)-IF(ISNUMBER(H299),H299,G299)))</f>
        <v/>
      </c>
      <c r="X300" s="31">
        <f>IF(NOT(AND(ISNUMBER(O300),ISNUMBER(Q300))),"",(Q300-O300)*1440)</f>
        <v/>
      </c>
      <c r="Y300" s="29" t="n"/>
      <c r="Z300" s="29" t="n"/>
      <c r="AA300" s="29" t="n"/>
      <c r="AB300" s="32" t="n"/>
      <c r="AC300" s="32" t="n"/>
    </row>
    <row r="301">
      <c r="A301" s="26" t="inlineStr">
        <is>
          <t>S06</t>
        </is>
      </c>
      <c r="B301" s="26" t="inlineStr">
        <is>
          <t>길담 신규점</t>
        </is>
      </c>
      <c r="C301" s="26" t="inlineStr">
        <is>
          <t>S06-H남</t>
        </is>
      </c>
      <c r="D301" s="47" t="n">
        <v>1</v>
      </c>
      <c r="E301" s="26" t="inlineStr">
        <is>
          <t>측정</t>
        </is>
      </c>
      <c r="F301" s="26" t="inlineStr">
        <is>
          <t>남</t>
        </is>
      </c>
      <c r="G301" s="31" t="n">
        <v>8</v>
      </c>
      <c r="H301" s="30" t="n"/>
      <c r="I301" s="43" t="n"/>
      <c r="J301" s="41" t="n"/>
      <c r="K301" s="41" t="n"/>
      <c r="L301" s="41" t="n"/>
      <c r="M301" s="31">
        <f>IF(COUNT(J301:L301)=0,"",MEDIAN(J301:L301))</f>
        <v/>
      </c>
      <c r="N301" s="26">
        <f>IF(COUNTIFS($C:$C,$C301,$D:$D,$D301,$E:$E,"P0(전)",$M:$M,"&gt;0")&lt;&gt;1,"P0(전) 유효 1개 아님",IF(COUNTIFS($C:$C,$C301,$D:$D,$D301,$E:$E,"P0(후)",$M:$M,"&gt;0")&lt;&gt;1,"P0(후) 유효 1개 아님",IF(NOT(AND(ISNUMBER(O301),ISNUMBER(Q301),ISNUMBER(I301))),"시각 결측",IF(Q301&lt;=O301,"P0 시각 역전",IF(OR(I301&lt;O301,I301&gt;Q301),"측정시각 구간 밖","OK")))))</f>
        <v/>
      </c>
      <c r="O301" s="48">
        <f>IF(COUNTIFS($C:$C,$C301,$D:$D,$D301,$E:$E,"P0(전)",$M:$M,"&gt;0")&lt;&gt;1,"",SUMIFS($I:$I,$C:$C,$C301,$D:$D,$D301,$E:$E,"P0(전)"))</f>
        <v/>
      </c>
      <c r="P301" s="31">
        <f>IF(COUNTIFS($C:$C,$C301,$D:$D,$D301,$E:$E,"P0(전)",$M:$M,"&gt;0")&lt;&gt;1,"",SUMIFS($M:$M,$C:$C,$C301,$D:$D,$D301,$E:$E,"P0(전)"))</f>
        <v/>
      </c>
      <c r="Q301" s="48">
        <f>IF(COUNTIFS($C:$C,$C301,$D:$D,$D301,$E:$E,"P0(후)",$M:$M,"&gt;0")&lt;&gt;1,"",SUMIFS($I:$I,$C:$C,$C301,$D:$D,$D301,$E:$E,"P0(후)"))</f>
        <v/>
      </c>
      <c r="R301" s="31">
        <f>IF(COUNTIFS($C:$C,$C301,$D:$D,$D301,$E:$E,"P0(후)",$M:$M,"&gt;0")&lt;&gt;1,"",SUMIFS($M:$M,$C:$C,$C301,$D:$D,$D301,$E:$E,"P0(후)"))</f>
        <v/>
      </c>
      <c r="S301" s="31">
        <f>IF(N301&lt;&gt;"OK","",P301+(R301-P301)*(I301-O301)/(Q301-O301))</f>
        <v/>
      </c>
      <c r="T301" s="31">
        <f>IF(OR(N301&lt;&gt;"OK",NOT(ISNUMBER(M301))),"",M301-S301)</f>
        <v/>
      </c>
      <c r="U301" s="49">
        <f>IF(OR(NOT(ISNUMBER(T301)),IF(ISNUMBER(H301),H301,G301)=0),"",T301/IF(ISNUMBER(H301),H301,G301))</f>
        <v/>
      </c>
      <c r="V301" s="49">
        <f>IF(ISNUMBER(U301),ABS(U301),"")</f>
        <v/>
      </c>
      <c r="W301" s="49">
        <f>IF(OR($E300&lt;&gt;"측정",$C300&lt;&gt;$C301,$D300&lt;&gt;$D301,NOT(ISNUMBER(M301)),NOT(ISNUMBER(M300)),(IF(ISNUMBER(H301),H301,G301)-IF(ISNUMBER(H300),H300,G300))=0),"",(M301-M300)/(IF(ISNUMBER(H301),H301,G301)-IF(ISNUMBER(H300),H300,G300)))</f>
        <v/>
      </c>
      <c r="X301" s="31">
        <f>IF(NOT(AND(ISNUMBER(O301),ISNUMBER(Q301))),"",(Q301-O301)*1440)</f>
        <v/>
      </c>
      <c r="Y301" s="29" t="n"/>
      <c r="Z301" s="29" t="n"/>
      <c r="AA301" s="29" t="n"/>
      <c r="AB301" s="32" t="n"/>
      <c r="AC301" s="32" t="n"/>
    </row>
    <row r="302">
      <c r="A302" s="26" t="inlineStr">
        <is>
          <t>S06</t>
        </is>
      </c>
      <c r="B302" s="26" t="inlineStr">
        <is>
          <t>길담 신규점</t>
        </is>
      </c>
      <c r="C302" s="26" t="inlineStr">
        <is>
          <t>S06-H남</t>
        </is>
      </c>
      <c r="D302" s="47" t="n">
        <v>1</v>
      </c>
      <c r="E302" s="26" t="inlineStr">
        <is>
          <t>측정</t>
        </is>
      </c>
      <c r="F302" s="26" t="inlineStr">
        <is>
          <t>남</t>
        </is>
      </c>
      <c r="G302" s="31" t="n">
        <v>9</v>
      </c>
      <c r="H302" s="30" t="n"/>
      <c r="I302" s="43" t="n"/>
      <c r="J302" s="41" t="n"/>
      <c r="K302" s="41" t="n"/>
      <c r="L302" s="41" t="n"/>
      <c r="M302" s="31">
        <f>IF(COUNT(J302:L302)=0,"",MEDIAN(J302:L302))</f>
        <v/>
      </c>
      <c r="N302" s="26">
        <f>IF(COUNTIFS($C:$C,$C302,$D:$D,$D302,$E:$E,"P0(전)",$M:$M,"&gt;0")&lt;&gt;1,"P0(전) 유효 1개 아님",IF(COUNTIFS($C:$C,$C302,$D:$D,$D302,$E:$E,"P0(후)",$M:$M,"&gt;0")&lt;&gt;1,"P0(후) 유효 1개 아님",IF(NOT(AND(ISNUMBER(O302),ISNUMBER(Q302),ISNUMBER(I302))),"시각 결측",IF(Q302&lt;=O302,"P0 시각 역전",IF(OR(I302&lt;O302,I302&gt;Q302),"측정시각 구간 밖","OK")))))</f>
        <v/>
      </c>
      <c r="O302" s="48">
        <f>IF(COUNTIFS($C:$C,$C302,$D:$D,$D302,$E:$E,"P0(전)",$M:$M,"&gt;0")&lt;&gt;1,"",SUMIFS($I:$I,$C:$C,$C302,$D:$D,$D302,$E:$E,"P0(전)"))</f>
        <v/>
      </c>
      <c r="P302" s="31">
        <f>IF(COUNTIFS($C:$C,$C302,$D:$D,$D302,$E:$E,"P0(전)",$M:$M,"&gt;0")&lt;&gt;1,"",SUMIFS($M:$M,$C:$C,$C302,$D:$D,$D302,$E:$E,"P0(전)"))</f>
        <v/>
      </c>
      <c r="Q302" s="48">
        <f>IF(COUNTIFS($C:$C,$C302,$D:$D,$D302,$E:$E,"P0(후)",$M:$M,"&gt;0")&lt;&gt;1,"",SUMIFS($I:$I,$C:$C,$C302,$D:$D,$D302,$E:$E,"P0(후)"))</f>
        <v/>
      </c>
      <c r="R302" s="31">
        <f>IF(COUNTIFS($C:$C,$C302,$D:$D,$D302,$E:$E,"P0(후)",$M:$M,"&gt;0")&lt;&gt;1,"",SUMIFS($M:$M,$C:$C,$C302,$D:$D,$D302,$E:$E,"P0(후)"))</f>
        <v/>
      </c>
      <c r="S302" s="31">
        <f>IF(N302&lt;&gt;"OK","",P302+(R302-P302)*(I302-O302)/(Q302-O302))</f>
        <v/>
      </c>
      <c r="T302" s="31">
        <f>IF(OR(N302&lt;&gt;"OK",NOT(ISNUMBER(M302))),"",M302-S302)</f>
        <v/>
      </c>
      <c r="U302" s="49">
        <f>IF(OR(NOT(ISNUMBER(T302)),IF(ISNUMBER(H302),H302,G302)=0),"",T302/IF(ISNUMBER(H302),H302,G302))</f>
        <v/>
      </c>
      <c r="V302" s="49">
        <f>IF(ISNUMBER(U302),ABS(U302),"")</f>
        <v/>
      </c>
      <c r="W302" s="49">
        <f>IF(OR($E301&lt;&gt;"측정",$C301&lt;&gt;$C302,$D301&lt;&gt;$D302,NOT(ISNUMBER(M302)),NOT(ISNUMBER(M301)),(IF(ISNUMBER(H302),H302,G302)-IF(ISNUMBER(H301),H301,G301))=0),"",(M302-M301)/(IF(ISNUMBER(H302),H302,G302)-IF(ISNUMBER(H301),H301,G301)))</f>
        <v/>
      </c>
      <c r="X302" s="31">
        <f>IF(NOT(AND(ISNUMBER(O302),ISNUMBER(Q302))),"",(Q302-O302)*1440)</f>
        <v/>
      </c>
      <c r="Y302" s="29" t="n"/>
      <c r="Z302" s="29" t="n"/>
      <c r="AA302" s="29" t="n"/>
      <c r="AB302" s="32" t="n"/>
      <c r="AC302" s="32" t="n"/>
    </row>
    <row r="303">
      <c r="A303" s="26" t="inlineStr">
        <is>
          <t>S06</t>
        </is>
      </c>
      <c r="B303" s="26" t="inlineStr">
        <is>
          <t>길담 신규점</t>
        </is>
      </c>
      <c r="C303" s="26" t="inlineStr">
        <is>
          <t>S06-H남</t>
        </is>
      </c>
      <c r="D303" s="47" t="n">
        <v>1</v>
      </c>
      <c r="E303" s="26" t="inlineStr">
        <is>
          <t>측정</t>
        </is>
      </c>
      <c r="F303" s="26" t="inlineStr">
        <is>
          <t>남</t>
        </is>
      </c>
      <c r="G303" s="31" t="n">
        <v>10</v>
      </c>
      <c r="H303" s="30" t="n"/>
      <c r="I303" s="43" t="n"/>
      <c r="J303" s="41" t="n"/>
      <c r="K303" s="41" t="n"/>
      <c r="L303" s="41" t="n"/>
      <c r="M303" s="31">
        <f>IF(COUNT(J303:L303)=0,"",MEDIAN(J303:L303))</f>
        <v/>
      </c>
      <c r="N303" s="26">
        <f>IF(COUNTIFS($C:$C,$C303,$D:$D,$D303,$E:$E,"P0(전)",$M:$M,"&gt;0")&lt;&gt;1,"P0(전) 유효 1개 아님",IF(COUNTIFS($C:$C,$C303,$D:$D,$D303,$E:$E,"P0(후)",$M:$M,"&gt;0")&lt;&gt;1,"P0(후) 유효 1개 아님",IF(NOT(AND(ISNUMBER(O303),ISNUMBER(Q303),ISNUMBER(I303))),"시각 결측",IF(Q303&lt;=O303,"P0 시각 역전",IF(OR(I303&lt;O303,I303&gt;Q303),"측정시각 구간 밖","OK")))))</f>
        <v/>
      </c>
      <c r="O303" s="48">
        <f>IF(COUNTIFS($C:$C,$C303,$D:$D,$D303,$E:$E,"P0(전)",$M:$M,"&gt;0")&lt;&gt;1,"",SUMIFS($I:$I,$C:$C,$C303,$D:$D,$D303,$E:$E,"P0(전)"))</f>
        <v/>
      </c>
      <c r="P303" s="31">
        <f>IF(COUNTIFS($C:$C,$C303,$D:$D,$D303,$E:$E,"P0(전)",$M:$M,"&gt;0")&lt;&gt;1,"",SUMIFS($M:$M,$C:$C,$C303,$D:$D,$D303,$E:$E,"P0(전)"))</f>
        <v/>
      </c>
      <c r="Q303" s="48">
        <f>IF(COUNTIFS($C:$C,$C303,$D:$D,$D303,$E:$E,"P0(후)",$M:$M,"&gt;0")&lt;&gt;1,"",SUMIFS($I:$I,$C:$C,$C303,$D:$D,$D303,$E:$E,"P0(후)"))</f>
        <v/>
      </c>
      <c r="R303" s="31">
        <f>IF(COUNTIFS($C:$C,$C303,$D:$D,$D303,$E:$E,"P0(후)",$M:$M,"&gt;0")&lt;&gt;1,"",SUMIFS($M:$M,$C:$C,$C303,$D:$D,$D303,$E:$E,"P0(후)"))</f>
        <v/>
      </c>
      <c r="S303" s="31">
        <f>IF(N303&lt;&gt;"OK","",P303+(R303-P303)*(I303-O303)/(Q303-O303))</f>
        <v/>
      </c>
      <c r="T303" s="31">
        <f>IF(OR(N303&lt;&gt;"OK",NOT(ISNUMBER(M303))),"",M303-S303)</f>
        <v/>
      </c>
      <c r="U303" s="49">
        <f>IF(OR(NOT(ISNUMBER(T303)),IF(ISNUMBER(H303),H303,G303)=0),"",T303/IF(ISNUMBER(H303),H303,G303))</f>
        <v/>
      </c>
      <c r="V303" s="49">
        <f>IF(ISNUMBER(U303),ABS(U303),"")</f>
        <v/>
      </c>
      <c r="W303" s="49">
        <f>IF(OR($E302&lt;&gt;"측정",$C302&lt;&gt;$C303,$D302&lt;&gt;$D303,NOT(ISNUMBER(M303)),NOT(ISNUMBER(M302)),(IF(ISNUMBER(H303),H303,G303)-IF(ISNUMBER(H302),H302,G302))=0),"",(M303-M302)/(IF(ISNUMBER(H303),H303,G303)-IF(ISNUMBER(H302),H302,G302)))</f>
        <v/>
      </c>
      <c r="X303" s="31">
        <f>IF(NOT(AND(ISNUMBER(O303),ISNUMBER(Q303))),"",(Q303-O303)*1440)</f>
        <v/>
      </c>
      <c r="Y303" s="29" t="n"/>
      <c r="Z303" s="29" t="n"/>
      <c r="AA303" s="29" t="n"/>
      <c r="AB303" s="32" t="n"/>
      <c r="AC303" s="32" t="n"/>
    </row>
    <row r="304">
      <c r="A304" s="44" t="inlineStr">
        <is>
          <t>S06</t>
        </is>
      </c>
      <c r="B304" s="44" t="inlineStr">
        <is>
          <t>길담 신규점</t>
        </is>
      </c>
      <c r="C304" s="44" t="inlineStr">
        <is>
          <t>S06-H남</t>
        </is>
      </c>
      <c r="D304" s="45" t="n">
        <v>1</v>
      </c>
      <c r="E304" s="44" t="inlineStr">
        <is>
          <t>P0(후)</t>
        </is>
      </c>
      <c r="F304" s="44" t="inlineStr">
        <is>
          <t>남</t>
        </is>
      </c>
      <c r="G304" s="46" t="n"/>
      <c r="H304" s="30" t="n"/>
      <c r="I304" s="43" t="n"/>
      <c r="J304" s="41" t="n"/>
      <c r="K304" s="41" t="n"/>
      <c r="L304" s="41" t="n"/>
      <c r="M304" s="31">
        <f>IF(COUNT(J304:L304)=0,"",MEDIAN(J304:L304))</f>
        <v/>
      </c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38" t="n"/>
      <c r="Y304" s="29" t="n"/>
      <c r="Z304" s="29" t="n"/>
      <c r="AA304" s="29" t="n"/>
      <c r="AB304" s="32" t="n"/>
      <c r="AC304" s="32" t="n"/>
    </row>
    <row r="305">
      <c r="A305" s="44" t="inlineStr">
        <is>
          <t>S06</t>
        </is>
      </c>
      <c r="B305" s="44" t="inlineStr">
        <is>
          <t>길담 신규점</t>
        </is>
      </c>
      <c r="C305" s="44" t="inlineStr">
        <is>
          <t>S06-H북</t>
        </is>
      </c>
      <c r="D305" s="45" t="n">
        <v>1</v>
      </c>
      <c r="E305" s="44" t="inlineStr">
        <is>
          <t>P0(전)</t>
        </is>
      </c>
      <c r="F305" s="44" t="inlineStr">
        <is>
          <t>북</t>
        </is>
      </c>
      <c r="G305" s="46" t="n"/>
      <c r="H305" s="30" t="n"/>
      <c r="I305" s="43" t="n"/>
      <c r="J305" s="41" t="n"/>
      <c r="K305" s="41" t="n"/>
      <c r="L305" s="41" t="n"/>
      <c r="M305" s="31">
        <f>IF(COUNT(J305:L305)=0,"",MEDIAN(J305:L305))</f>
        <v/>
      </c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  <c r="X305" s="38" t="n"/>
      <c r="Y305" s="29" t="n"/>
      <c r="Z305" s="29" t="n"/>
      <c r="AA305" s="29" t="n"/>
      <c r="AB305" s="32" t="n"/>
      <c r="AC305" s="32" t="n"/>
    </row>
    <row r="306">
      <c r="A306" s="26" t="inlineStr">
        <is>
          <t>S06</t>
        </is>
      </c>
      <c r="B306" s="26" t="inlineStr">
        <is>
          <t>길담 신규점</t>
        </is>
      </c>
      <c r="C306" s="26" t="inlineStr">
        <is>
          <t>S06-H북</t>
        </is>
      </c>
      <c r="D306" s="47" t="n">
        <v>1</v>
      </c>
      <c r="E306" s="26" t="inlineStr">
        <is>
          <t>측정</t>
        </is>
      </c>
      <c r="F306" s="26" t="inlineStr">
        <is>
          <t>북</t>
        </is>
      </c>
      <c r="G306" s="31" t="n">
        <v>0.5</v>
      </c>
      <c r="H306" s="30" t="n"/>
      <c r="I306" s="43" t="n"/>
      <c r="J306" s="41" t="n"/>
      <c r="K306" s="41" t="n"/>
      <c r="L306" s="41" t="n"/>
      <c r="M306" s="31">
        <f>IF(COUNT(J306:L306)=0,"",MEDIAN(J306:L306))</f>
        <v/>
      </c>
      <c r="N306" s="26">
        <f>IF(COUNTIFS($C:$C,$C306,$D:$D,$D306,$E:$E,"P0(전)",$M:$M,"&gt;0")&lt;&gt;1,"P0(전) 유효 1개 아님",IF(COUNTIFS($C:$C,$C306,$D:$D,$D306,$E:$E,"P0(후)",$M:$M,"&gt;0")&lt;&gt;1,"P0(후) 유효 1개 아님",IF(NOT(AND(ISNUMBER(O306),ISNUMBER(Q306),ISNUMBER(I306))),"시각 결측",IF(Q306&lt;=O306,"P0 시각 역전",IF(OR(I306&lt;O306,I306&gt;Q306),"측정시각 구간 밖","OK")))))</f>
        <v/>
      </c>
      <c r="O306" s="48">
        <f>IF(COUNTIFS($C:$C,$C306,$D:$D,$D306,$E:$E,"P0(전)",$M:$M,"&gt;0")&lt;&gt;1,"",SUMIFS($I:$I,$C:$C,$C306,$D:$D,$D306,$E:$E,"P0(전)"))</f>
        <v/>
      </c>
      <c r="P306" s="31">
        <f>IF(COUNTIFS($C:$C,$C306,$D:$D,$D306,$E:$E,"P0(전)",$M:$M,"&gt;0")&lt;&gt;1,"",SUMIFS($M:$M,$C:$C,$C306,$D:$D,$D306,$E:$E,"P0(전)"))</f>
        <v/>
      </c>
      <c r="Q306" s="48">
        <f>IF(COUNTIFS($C:$C,$C306,$D:$D,$D306,$E:$E,"P0(후)",$M:$M,"&gt;0")&lt;&gt;1,"",SUMIFS($I:$I,$C:$C,$C306,$D:$D,$D306,$E:$E,"P0(후)"))</f>
        <v/>
      </c>
      <c r="R306" s="31">
        <f>IF(COUNTIFS($C:$C,$C306,$D:$D,$D306,$E:$E,"P0(후)",$M:$M,"&gt;0")&lt;&gt;1,"",SUMIFS($M:$M,$C:$C,$C306,$D:$D,$D306,$E:$E,"P0(후)"))</f>
        <v/>
      </c>
      <c r="S306" s="31">
        <f>IF(N306&lt;&gt;"OK","",P306+(R306-P306)*(I306-O306)/(Q306-O306))</f>
        <v/>
      </c>
      <c r="T306" s="31">
        <f>IF(OR(N306&lt;&gt;"OK",NOT(ISNUMBER(M306))),"",M306-S306)</f>
        <v/>
      </c>
      <c r="U306" s="49">
        <f>IF(OR(NOT(ISNUMBER(T306)),IF(ISNUMBER(H306),H306,G306)=0),"",T306/IF(ISNUMBER(H306),H306,G306))</f>
        <v/>
      </c>
      <c r="V306" s="49">
        <f>IF(ISNUMBER(U306),ABS(U306),"")</f>
        <v/>
      </c>
      <c r="W306" s="49">
        <f>IF(OR($E305&lt;&gt;"측정",$C305&lt;&gt;$C306,$D305&lt;&gt;$D306,NOT(ISNUMBER(M306)),NOT(ISNUMBER(M305)),(IF(ISNUMBER(H306),H306,G306)-IF(ISNUMBER(H305),H305,G305))=0),"",(M306-M305)/(IF(ISNUMBER(H306),H306,G306)-IF(ISNUMBER(H305),H305,G305)))</f>
        <v/>
      </c>
      <c r="X306" s="31">
        <f>IF(NOT(AND(ISNUMBER(O306),ISNUMBER(Q306))),"",(Q306-O306)*1440)</f>
        <v/>
      </c>
      <c r="Y306" s="29" t="n"/>
      <c r="Z306" s="29" t="n"/>
      <c r="AA306" s="29" t="n"/>
      <c r="AB306" s="32" t="n"/>
      <c r="AC306" s="32" t="n"/>
    </row>
    <row r="307">
      <c r="A307" s="26" t="inlineStr">
        <is>
          <t>S06</t>
        </is>
      </c>
      <c r="B307" s="26" t="inlineStr">
        <is>
          <t>길담 신규점</t>
        </is>
      </c>
      <c r="C307" s="26" t="inlineStr">
        <is>
          <t>S06-H북</t>
        </is>
      </c>
      <c r="D307" s="47" t="n">
        <v>1</v>
      </c>
      <c r="E307" s="26" t="inlineStr">
        <is>
          <t>측정</t>
        </is>
      </c>
      <c r="F307" s="26" t="inlineStr">
        <is>
          <t>북</t>
        </is>
      </c>
      <c r="G307" s="31" t="n">
        <v>1</v>
      </c>
      <c r="H307" s="30" t="n"/>
      <c r="I307" s="43" t="n"/>
      <c r="J307" s="41" t="n"/>
      <c r="K307" s="41" t="n"/>
      <c r="L307" s="41" t="n"/>
      <c r="M307" s="31">
        <f>IF(COUNT(J307:L307)=0,"",MEDIAN(J307:L307))</f>
        <v/>
      </c>
      <c r="N307" s="26">
        <f>IF(COUNTIFS($C:$C,$C307,$D:$D,$D307,$E:$E,"P0(전)",$M:$M,"&gt;0")&lt;&gt;1,"P0(전) 유효 1개 아님",IF(COUNTIFS($C:$C,$C307,$D:$D,$D307,$E:$E,"P0(후)",$M:$M,"&gt;0")&lt;&gt;1,"P0(후) 유효 1개 아님",IF(NOT(AND(ISNUMBER(O307),ISNUMBER(Q307),ISNUMBER(I307))),"시각 결측",IF(Q307&lt;=O307,"P0 시각 역전",IF(OR(I307&lt;O307,I307&gt;Q307),"측정시각 구간 밖","OK")))))</f>
        <v/>
      </c>
      <c r="O307" s="48">
        <f>IF(COUNTIFS($C:$C,$C307,$D:$D,$D307,$E:$E,"P0(전)",$M:$M,"&gt;0")&lt;&gt;1,"",SUMIFS($I:$I,$C:$C,$C307,$D:$D,$D307,$E:$E,"P0(전)"))</f>
        <v/>
      </c>
      <c r="P307" s="31">
        <f>IF(COUNTIFS($C:$C,$C307,$D:$D,$D307,$E:$E,"P0(전)",$M:$M,"&gt;0")&lt;&gt;1,"",SUMIFS($M:$M,$C:$C,$C307,$D:$D,$D307,$E:$E,"P0(전)"))</f>
        <v/>
      </c>
      <c r="Q307" s="48">
        <f>IF(COUNTIFS($C:$C,$C307,$D:$D,$D307,$E:$E,"P0(후)",$M:$M,"&gt;0")&lt;&gt;1,"",SUMIFS($I:$I,$C:$C,$C307,$D:$D,$D307,$E:$E,"P0(후)"))</f>
        <v/>
      </c>
      <c r="R307" s="31">
        <f>IF(COUNTIFS($C:$C,$C307,$D:$D,$D307,$E:$E,"P0(후)",$M:$M,"&gt;0")&lt;&gt;1,"",SUMIFS($M:$M,$C:$C,$C307,$D:$D,$D307,$E:$E,"P0(후)"))</f>
        <v/>
      </c>
      <c r="S307" s="31">
        <f>IF(N307&lt;&gt;"OK","",P307+(R307-P307)*(I307-O307)/(Q307-O307))</f>
        <v/>
      </c>
      <c r="T307" s="31">
        <f>IF(OR(N307&lt;&gt;"OK",NOT(ISNUMBER(M307))),"",M307-S307)</f>
        <v/>
      </c>
      <c r="U307" s="49">
        <f>IF(OR(NOT(ISNUMBER(T307)),IF(ISNUMBER(H307),H307,G307)=0),"",T307/IF(ISNUMBER(H307),H307,G307))</f>
        <v/>
      </c>
      <c r="V307" s="49">
        <f>IF(ISNUMBER(U307),ABS(U307),"")</f>
        <v/>
      </c>
      <c r="W307" s="49">
        <f>IF(OR($E306&lt;&gt;"측정",$C306&lt;&gt;$C307,$D306&lt;&gt;$D307,NOT(ISNUMBER(M307)),NOT(ISNUMBER(M306)),(IF(ISNUMBER(H307),H307,G307)-IF(ISNUMBER(H306),H306,G306))=0),"",(M307-M306)/(IF(ISNUMBER(H307),H307,G307)-IF(ISNUMBER(H306),H306,G306)))</f>
        <v/>
      </c>
      <c r="X307" s="31">
        <f>IF(NOT(AND(ISNUMBER(O307),ISNUMBER(Q307))),"",(Q307-O307)*1440)</f>
        <v/>
      </c>
      <c r="Y307" s="29" t="n"/>
      <c r="Z307" s="29" t="n"/>
      <c r="AA307" s="29" t="n"/>
      <c r="AB307" s="32" t="n"/>
      <c r="AC307" s="32" t="n"/>
    </row>
    <row r="308">
      <c r="A308" s="26" t="inlineStr">
        <is>
          <t>S06</t>
        </is>
      </c>
      <c r="B308" s="26" t="inlineStr">
        <is>
          <t>길담 신규점</t>
        </is>
      </c>
      <c r="C308" s="26" t="inlineStr">
        <is>
          <t>S06-H북</t>
        </is>
      </c>
      <c r="D308" s="47" t="n">
        <v>1</v>
      </c>
      <c r="E308" s="26" t="inlineStr">
        <is>
          <t>측정</t>
        </is>
      </c>
      <c r="F308" s="26" t="inlineStr">
        <is>
          <t>북</t>
        </is>
      </c>
      <c r="G308" s="31" t="n">
        <v>2</v>
      </c>
      <c r="H308" s="30" t="n"/>
      <c r="I308" s="43" t="n"/>
      <c r="J308" s="41" t="n"/>
      <c r="K308" s="41" t="n"/>
      <c r="L308" s="41" t="n"/>
      <c r="M308" s="31">
        <f>IF(COUNT(J308:L308)=0,"",MEDIAN(J308:L308))</f>
        <v/>
      </c>
      <c r="N308" s="26">
        <f>IF(COUNTIFS($C:$C,$C308,$D:$D,$D308,$E:$E,"P0(전)",$M:$M,"&gt;0")&lt;&gt;1,"P0(전) 유효 1개 아님",IF(COUNTIFS($C:$C,$C308,$D:$D,$D308,$E:$E,"P0(후)",$M:$M,"&gt;0")&lt;&gt;1,"P0(후) 유효 1개 아님",IF(NOT(AND(ISNUMBER(O308),ISNUMBER(Q308),ISNUMBER(I308))),"시각 결측",IF(Q308&lt;=O308,"P0 시각 역전",IF(OR(I308&lt;O308,I308&gt;Q308),"측정시각 구간 밖","OK")))))</f>
        <v/>
      </c>
      <c r="O308" s="48">
        <f>IF(COUNTIFS($C:$C,$C308,$D:$D,$D308,$E:$E,"P0(전)",$M:$M,"&gt;0")&lt;&gt;1,"",SUMIFS($I:$I,$C:$C,$C308,$D:$D,$D308,$E:$E,"P0(전)"))</f>
        <v/>
      </c>
      <c r="P308" s="31">
        <f>IF(COUNTIFS($C:$C,$C308,$D:$D,$D308,$E:$E,"P0(전)",$M:$M,"&gt;0")&lt;&gt;1,"",SUMIFS($M:$M,$C:$C,$C308,$D:$D,$D308,$E:$E,"P0(전)"))</f>
        <v/>
      </c>
      <c r="Q308" s="48">
        <f>IF(COUNTIFS($C:$C,$C308,$D:$D,$D308,$E:$E,"P0(후)",$M:$M,"&gt;0")&lt;&gt;1,"",SUMIFS($I:$I,$C:$C,$C308,$D:$D,$D308,$E:$E,"P0(후)"))</f>
        <v/>
      </c>
      <c r="R308" s="31">
        <f>IF(COUNTIFS($C:$C,$C308,$D:$D,$D308,$E:$E,"P0(후)",$M:$M,"&gt;0")&lt;&gt;1,"",SUMIFS($M:$M,$C:$C,$C308,$D:$D,$D308,$E:$E,"P0(후)"))</f>
        <v/>
      </c>
      <c r="S308" s="31">
        <f>IF(N308&lt;&gt;"OK","",P308+(R308-P308)*(I308-O308)/(Q308-O308))</f>
        <v/>
      </c>
      <c r="T308" s="31">
        <f>IF(OR(N308&lt;&gt;"OK",NOT(ISNUMBER(M308))),"",M308-S308)</f>
        <v/>
      </c>
      <c r="U308" s="49">
        <f>IF(OR(NOT(ISNUMBER(T308)),IF(ISNUMBER(H308),H308,G308)=0),"",T308/IF(ISNUMBER(H308),H308,G308))</f>
        <v/>
      </c>
      <c r="V308" s="49">
        <f>IF(ISNUMBER(U308),ABS(U308),"")</f>
        <v/>
      </c>
      <c r="W308" s="49">
        <f>IF(OR($E307&lt;&gt;"측정",$C307&lt;&gt;$C308,$D307&lt;&gt;$D308,NOT(ISNUMBER(M308)),NOT(ISNUMBER(M307)),(IF(ISNUMBER(H308),H308,G308)-IF(ISNUMBER(H307),H307,G307))=0),"",(M308-M307)/(IF(ISNUMBER(H308),H308,G308)-IF(ISNUMBER(H307),H307,G307)))</f>
        <v/>
      </c>
      <c r="X308" s="31">
        <f>IF(NOT(AND(ISNUMBER(O308),ISNUMBER(Q308))),"",(Q308-O308)*1440)</f>
        <v/>
      </c>
      <c r="Y308" s="29" t="n"/>
      <c r="Z308" s="29" t="n"/>
      <c r="AA308" s="29" t="n"/>
      <c r="AB308" s="32" t="n"/>
      <c r="AC308" s="32" t="n"/>
    </row>
    <row r="309">
      <c r="A309" s="26" t="inlineStr">
        <is>
          <t>S06</t>
        </is>
      </c>
      <c r="B309" s="26" t="inlineStr">
        <is>
          <t>길담 신규점</t>
        </is>
      </c>
      <c r="C309" s="26" t="inlineStr">
        <is>
          <t>S06-H북</t>
        </is>
      </c>
      <c r="D309" s="47" t="n">
        <v>1</v>
      </c>
      <c r="E309" s="26" t="inlineStr">
        <is>
          <t>측정</t>
        </is>
      </c>
      <c r="F309" s="26" t="inlineStr">
        <is>
          <t>북</t>
        </is>
      </c>
      <c r="G309" s="31" t="n">
        <v>3</v>
      </c>
      <c r="H309" s="30" t="n"/>
      <c r="I309" s="43" t="n"/>
      <c r="J309" s="41" t="n"/>
      <c r="K309" s="41" t="n"/>
      <c r="L309" s="41" t="n"/>
      <c r="M309" s="31">
        <f>IF(COUNT(J309:L309)=0,"",MEDIAN(J309:L309))</f>
        <v/>
      </c>
      <c r="N309" s="26">
        <f>IF(COUNTIFS($C:$C,$C309,$D:$D,$D309,$E:$E,"P0(전)",$M:$M,"&gt;0")&lt;&gt;1,"P0(전) 유효 1개 아님",IF(COUNTIFS($C:$C,$C309,$D:$D,$D309,$E:$E,"P0(후)",$M:$M,"&gt;0")&lt;&gt;1,"P0(후) 유효 1개 아님",IF(NOT(AND(ISNUMBER(O309),ISNUMBER(Q309),ISNUMBER(I309))),"시각 결측",IF(Q309&lt;=O309,"P0 시각 역전",IF(OR(I309&lt;O309,I309&gt;Q309),"측정시각 구간 밖","OK")))))</f>
        <v/>
      </c>
      <c r="O309" s="48">
        <f>IF(COUNTIFS($C:$C,$C309,$D:$D,$D309,$E:$E,"P0(전)",$M:$M,"&gt;0")&lt;&gt;1,"",SUMIFS($I:$I,$C:$C,$C309,$D:$D,$D309,$E:$E,"P0(전)"))</f>
        <v/>
      </c>
      <c r="P309" s="31">
        <f>IF(COUNTIFS($C:$C,$C309,$D:$D,$D309,$E:$E,"P0(전)",$M:$M,"&gt;0")&lt;&gt;1,"",SUMIFS($M:$M,$C:$C,$C309,$D:$D,$D309,$E:$E,"P0(전)"))</f>
        <v/>
      </c>
      <c r="Q309" s="48">
        <f>IF(COUNTIFS($C:$C,$C309,$D:$D,$D309,$E:$E,"P0(후)",$M:$M,"&gt;0")&lt;&gt;1,"",SUMIFS($I:$I,$C:$C,$C309,$D:$D,$D309,$E:$E,"P0(후)"))</f>
        <v/>
      </c>
      <c r="R309" s="31">
        <f>IF(COUNTIFS($C:$C,$C309,$D:$D,$D309,$E:$E,"P0(후)",$M:$M,"&gt;0")&lt;&gt;1,"",SUMIFS($M:$M,$C:$C,$C309,$D:$D,$D309,$E:$E,"P0(후)"))</f>
        <v/>
      </c>
      <c r="S309" s="31">
        <f>IF(N309&lt;&gt;"OK","",P309+(R309-P309)*(I309-O309)/(Q309-O309))</f>
        <v/>
      </c>
      <c r="T309" s="31">
        <f>IF(OR(N309&lt;&gt;"OK",NOT(ISNUMBER(M309))),"",M309-S309)</f>
        <v/>
      </c>
      <c r="U309" s="49">
        <f>IF(OR(NOT(ISNUMBER(T309)),IF(ISNUMBER(H309),H309,G309)=0),"",T309/IF(ISNUMBER(H309),H309,G309))</f>
        <v/>
      </c>
      <c r="V309" s="49">
        <f>IF(ISNUMBER(U309),ABS(U309),"")</f>
        <v/>
      </c>
      <c r="W309" s="49">
        <f>IF(OR($E308&lt;&gt;"측정",$C308&lt;&gt;$C309,$D308&lt;&gt;$D309,NOT(ISNUMBER(M309)),NOT(ISNUMBER(M308)),(IF(ISNUMBER(H309),H309,G309)-IF(ISNUMBER(H308),H308,G308))=0),"",(M309-M308)/(IF(ISNUMBER(H309),H309,G309)-IF(ISNUMBER(H308),H308,G308)))</f>
        <v/>
      </c>
      <c r="X309" s="31">
        <f>IF(NOT(AND(ISNUMBER(O309),ISNUMBER(Q309))),"",(Q309-O309)*1440)</f>
        <v/>
      </c>
      <c r="Y309" s="29" t="n"/>
      <c r="Z309" s="29" t="n"/>
      <c r="AA309" s="29" t="n"/>
      <c r="AB309" s="32" t="n"/>
      <c r="AC309" s="32" t="n"/>
    </row>
    <row r="310">
      <c r="A310" s="26" t="inlineStr">
        <is>
          <t>S06</t>
        </is>
      </c>
      <c r="B310" s="26" t="inlineStr">
        <is>
          <t>길담 신규점</t>
        </is>
      </c>
      <c r="C310" s="26" t="inlineStr">
        <is>
          <t>S06-H북</t>
        </is>
      </c>
      <c r="D310" s="47" t="n">
        <v>1</v>
      </c>
      <c r="E310" s="26" t="inlineStr">
        <is>
          <t>측정</t>
        </is>
      </c>
      <c r="F310" s="26" t="inlineStr">
        <is>
          <t>북</t>
        </is>
      </c>
      <c r="G310" s="31" t="n">
        <v>4</v>
      </c>
      <c r="H310" s="30" t="n"/>
      <c r="I310" s="43" t="n"/>
      <c r="J310" s="41" t="n"/>
      <c r="K310" s="41" t="n"/>
      <c r="L310" s="41" t="n"/>
      <c r="M310" s="31">
        <f>IF(COUNT(J310:L310)=0,"",MEDIAN(J310:L310))</f>
        <v/>
      </c>
      <c r="N310" s="26">
        <f>IF(COUNTIFS($C:$C,$C310,$D:$D,$D310,$E:$E,"P0(전)",$M:$M,"&gt;0")&lt;&gt;1,"P0(전) 유효 1개 아님",IF(COUNTIFS($C:$C,$C310,$D:$D,$D310,$E:$E,"P0(후)",$M:$M,"&gt;0")&lt;&gt;1,"P0(후) 유효 1개 아님",IF(NOT(AND(ISNUMBER(O310),ISNUMBER(Q310),ISNUMBER(I310))),"시각 결측",IF(Q310&lt;=O310,"P0 시각 역전",IF(OR(I310&lt;O310,I310&gt;Q310),"측정시각 구간 밖","OK")))))</f>
        <v/>
      </c>
      <c r="O310" s="48">
        <f>IF(COUNTIFS($C:$C,$C310,$D:$D,$D310,$E:$E,"P0(전)",$M:$M,"&gt;0")&lt;&gt;1,"",SUMIFS($I:$I,$C:$C,$C310,$D:$D,$D310,$E:$E,"P0(전)"))</f>
        <v/>
      </c>
      <c r="P310" s="31">
        <f>IF(COUNTIFS($C:$C,$C310,$D:$D,$D310,$E:$E,"P0(전)",$M:$M,"&gt;0")&lt;&gt;1,"",SUMIFS($M:$M,$C:$C,$C310,$D:$D,$D310,$E:$E,"P0(전)"))</f>
        <v/>
      </c>
      <c r="Q310" s="48">
        <f>IF(COUNTIFS($C:$C,$C310,$D:$D,$D310,$E:$E,"P0(후)",$M:$M,"&gt;0")&lt;&gt;1,"",SUMIFS($I:$I,$C:$C,$C310,$D:$D,$D310,$E:$E,"P0(후)"))</f>
        <v/>
      </c>
      <c r="R310" s="31">
        <f>IF(COUNTIFS($C:$C,$C310,$D:$D,$D310,$E:$E,"P0(후)",$M:$M,"&gt;0")&lt;&gt;1,"",SUMIFS($M:$M,$C:$C,$C310,$D:$D,$D310,$E:$E,"P0(후)"))</f>
        <v/>
      </c>
      <c r="S310" s="31">
        <f>IF(N310&lt;&gt;"OK","",P310+(R310-P310)*(I310-O310)/(Q310-O310))</f>
        <v/>
      </c>
      <c r="T310" s="31">
        <f>IF(OR(N310&lt;&gt;"OK",NOT(ISNUMBER(M310))),"",M310-S310)</f>
        <v/>
      </c>
      <c r="U310" s="49">
        <f>IF(OR(NOT(ISNUMBER(T310)),IF(ISNUMBER(H310),H310,G310)=0),"",T310/IF(ISNUMBER(H310),H310,G310))</f>
        <v/>
      </c>
      <c r="V310" s="49">
        <f>IF(ISNUMBER(U310),ABS(U310),"")</f>
        <v/>
      </c>
      <c r="W310" s="49">
        <f>IF(OR($E309&lt;&gt;"측정",$C309&lt;&gt;$C310,$D309&lt;&gt;$D310,NOT(ISNUMBER(M310)),NOT(ISNUMBER(M309)),(IF(ISNUMBER(H310),H310,G310)-IF(ISNUMBER(H309),H309,G309))=0),"",(M310-M309)/(IF(ISNUMBER(H310),H310,G310)-IF(ISNUMBER(H309),H309,G309)))</f>
        <v/>
      </c>
      <c r="X310" s="31">
        <f>IF(NOT(AND(ISNUMBER(O310),ISNUMBER(Q310))),"",(Q310-O310)*1440)</f>
        <v/>
      </c>
      <c r="Y310" s="29" t="n"/>
      <c r="Z310" s="29" t="n"/>
      <c r="AA310" s="29" t="n"/>
      <c r="AB310" s="32" t="n"/>
      <c r="AC310" s="32" t="n"/>
    </row>
    <row r="311">
      <c r="A311" s="26" t="inlineStr">
        <is>
          <t>S06</t>
        </is>
      </c>
      <c r="B311" s="26" t="inlineStr">
        <is>
          <t>길담 신규점</t>
        </is>
      </c>
      <c r="C311" s="26" t="inlineStr">
        <is>
          <t>S06-H북</t>
        </is>
      </c>
      <c r="D311" s="47" t="n">
        <v>1</v>
      </c>
      <c r="E311" s="26" t="inlineStr">
        <is>
          <t>측정</t>
        </is>
      </c>
      <c r="F311" s="26" t="inlineStr">
        <is>
          <t>북</t>
        </is>
      </c>
      <c r="G311" s="31" t="n">
        <v>5</v>
      </c>
      <c r="H311" s="30" t="n"/>
      <c r="I311" s="43" t="n"/>
      <c r="J311" s="41" t="n"/>
      <c r="K311" s="41" t="n"/>
      <c r="L311" s="41" t="n"/>
      <c r="M311" s="31">
        <f>IF(COUNT(J311:L311)=0,"",MEDIAN(J311:L311))</f>
        <v/>
      </c>
      <c r="N311" s="26">
        <f>IF(COUNTIFS($C:$C,$C311,$D:$D,$D311,$E:$E,"P0(전)",$M:$M,"&gt;0")&lt;&gt;1,"P0(전) 유효 1개 아님",IF(COUNTIFS($C:$C,$C311,$D:$D,$D311,$E:$E,"P0(후)",$M:$M,"&gt;0")&lt;&gt;1,"P0(후) 유효 1개 아님",IF(NOT(AND(ISNUMBER(O311),ISNUMBER(Q311),ISNUMBER(I311))),"시각 결측",IF(Q311&lt;=O311,"P0 시각 역전",IF(OR(I311&lt;O311,I311&gt;Q311),"측정시각 구간 밖","OK")))))</f>
        <v/>
      </c>
      <c r="O311" s="48">
        <f>IF(COUNTIFS($C:$C,$C311,$D:$D,$D311,$E:$E,"P0(전)",$M:$M,"&gt;0")&lt;&gt;1,"",SUMIFS($I:$I,$C:$C,$C311,$D:$D,$D311,$E:$E,"P0(전)"))</f>
        <v/>
      </c>
      <c r="P311" s="31">
        <f>IF(COUNTIFS($C:$C,$C311,$D:$D,$D311,$E:$E,"P0(전)",$M:$M,"&gt;0")&lt;&gt;1,"",SUMIFS($M:$M,$C:$C,$C311,$D:$D,$D311,$E:$E,"P0(전)"))</f>
        <v/>
      </c>
      <c r="Q311" s="48">
        <f>IF(COUNTIFS($C:$C,$C311,$D:$D,$D311,$E:$E,"P0(후)",$M:$M,"&gt;0")&lt;&gt;1,"",SUMIFS($I:$I,$C:$C,$C311,$D:$D,$D311,$E:$E,"P0(후)"))</f>
        <v/>
      </c>
      <c r="R311" s="31">
        <f>IF(COUNTIFS($C:$C,$C311,$D:$D,$D311,$E:$E,"P0(후)",$M:$M,"&gt;0")&lt;&gt;1,"",SUMIFS($M:$M,$C:$C,$C311,$D:$D,$D311,$E:$E,"P0(후)"))</f>
        <v/>
      </c>
      <c r="S311" s="31">
        <f>IF(N311&lt;&gt;"OK","",P311+(R311-P311)*(I311-O311)/(Q311-O311))</f>
        <v/>
      </c>
      <c r="T311" s="31">
        <f>IF(OR(N311&lt;&gt;"OK",NOT(ISNUMBER(M311))),"",M311-S311)</f>
        <v/>
      </c>
      <c r="U311" s="49">
        <f>IF(OR(NOT(ISNUMBER(T311)),IF(ISNUMBER(H311),H311,G311)=0),"",T311/IF(ISNUMBER(H311),H311,G311))</f>
        <v/>
      </c>
      <c r="V311" s="49">
        <f>IF(ISNUMBER(U311),ABS(U311),"")</f>
        <v/>
      </c>
      <c r="W311" s="49">
        <f>IF(OR($E310&lt;&gt;"측정",$C310&lt;&gt;$C311,$D310&lt;&gt;$D311,NOT(ISNUMBER(M311)),NOT(ISNUMBER(M310)),(IF(ISNUMBER(H311),H311,G311)-IF(ISNUMBER(H310),H310,G310))=0),"",(M311-M310)/(IF(ISNUMBER(H311),H311,G311)-IF(ISNUMBER(H310),H310,G310)))</f>
        <v/>
      </c>
      <c r="X311" s="31">
        <f>IF(NOT(AND(ISNUMBER(O311),ISNUMBER(Q311))),"",(Q311-O311)*1440)</f>
        <v/>
      </c>
      <c r="Y311" s="29" t="n"/>
      <c r="Z311" s="29" t="n"/>
      <c r="AA311" s="29" t="n"/>
      <c r="AB311" s="32" t="n"/>
      <c r="AC311" s="32" t="n"/>
    </row>
    <row r="312">
      <c r="A312" s="26" t="inlineStr">
        <is>
          <t>S06</t>
        </is>
      </c>
      <c r="B312" s="26" t="inlineStr">
        <is>
          <t>길담 신규점</t>
        </is>
      </c>
      <c r="C312" s="26" t="inlineStr">
        <is>
          <t>S06-H북</t>
        </is>
      </c>
      <c r="D312" s="47" t="n">
        <v>1</v>
      </c>
      <c r="E312" s="26" t="inlineStr">
        <is>
          <t>측정</t>
        </is>
      </c>
      <c r="F312" s="26" t="inlineStr">
        <is>
          <t>북</t>
        </is>
      </c>
      <c r="G312" s="31" t="n">
        <v>6</v>
      </c>
      <c r="H312" s="30" t="n"/>
      <c r="I312" s="43" t="n"/>
      <c r="J312" s="41" t="n"/>
      <c r="K312" s="41" t="n"/>
      <c r="L312" s="41" t="n"/>
      <c r="M312" s="31">
        <f>IF(COUNT(J312:L312)=0,"",MEDIAN(J312:L312))</f>
        <v/>
      </c>
      <c r="N312" s="26">
        <f>IF(COUNTIFS($C:$C,$C312,$D:$D,$D312,$E:$E,"P0(전)",$M:$M,"&gt;0")&lt;&gt;1,"P0(전) 유효 1개 아님",IF(COUNTIFS($C:$C,$C312,$D:$D,$D312,$E:$E,"P0(후)",$M:$M,"&gt;0")&lt;&gt;1,"P0(후) 유효 1개 아님",IF(NOT(AND(ISNUMBER(O312),ISNUMBER(Q312),ISNUMBER(I312))),"시각 결측",IF(Q312&lt;=O312,"P0 시각 역전",IF(OR(I312&lt;O312,I312&gt;Q312),"측정시각 구간 밖","OK")))))</f>
        <v/>
      </c>
      <c r="O312" s="48">
        <f>IF(COUNTIFS($C:$C,$C312,$D:$D,$D312,$E:$E,"P0(전)",$M:$M,"&gt;0")&lt;&gt;1,"",SUMIFS($I:$I,$C:$C,$C312,$D:$D,$D312,$E:$E,"P0(전)"))</f>
        <v/>
      </c>
      <c r="P312" s="31">
        <f>IF(COUNTIFS($C:$C,$C312,$D:$D,$D312,$E:$E,"P0(전)",$M:$M,"&gt;0")&lt;&gt;1,"",SUMIFS($M:$M,$C:$C,$C312,$D:$D,$D312,$E:$E,"P0(전)"))</f>
        <v/>
      </c>
      <c r="Q312" s="48">
        <f>IF(COUNTIFS($C:$C,$C312,$D:$D,$D312,$E:$E,"P0(후)",$M:$M,"&gt;0")&lt;&gt;1,"",SUMIFS($I:$I,$C:$C,$C312,$D:$D,$D312,$E:$E,"P0(후)"))</f>
        <v/>
      </c>
      <c r="R312" s="31">
        <f>IF(COUNTIFS($C:$C,$C312,$D:$D,$D312,$E:$E,"P0(후)",$M:$M,"&gt;0")&lt;&gt;1,"",SUMIFS($M:$M,$C:$C,$C312,$D:$D,$D312,$E:$E,"P0(후)"))</f>
        <v/>
      </c>
      <c r="S312" s="31">
        <f>IF(N312&lt;&gt;"OK","",P312+(R312-P312)*(I312-O312)/(Q312-O312))</f>
        <v/>
      </c>
      <c r="T312" s="31">
        <f>IF(OR(N312&lt;&gt;"OK",NOT(ISNUMBER(M312))),"",M312-S312)</f>
        <v/>
      </c>
      <c r="U312" s="49">
        <f>IF(OR(NOT(ISNUMBER(T312)),IF(ISNUMBER(H312),H312,G312)=0),"",T312/IF(ISNUMBER(H312),H312,G312))</f>
        <v/>
      </c>
      <c r="V312" s="49">
        <f>IF(ISNUMBER(U312),ABS(U312),"")</f>
        <v/>
      </c>
      <c r="W312" s="49">
        <f>IF(OR($E311&lt;&gt;"측정",$C311&lt;&gt;$C312,$D311&lt;&gt;$D312,NOT(ISNUMBER(M312)),NOT(ISNUMBER(M311)),(IF(ISNUMBER(H312),H312,G312)-IF(ISNUMBER(H311),H311,G311))=0),"",(M312-M311)/(IF(ISNUMBER(H312),H312,G312)-IF(ISNUMBER(H311),H311,G311)))</f>
        <v/>
      </c>
      <c r="X312" s="31">
        <f>IF(NOT(AND(ISNUMBER(O312),ISNUMBER(Q312))),"",(Q312-O312)*1440)</f>
        <v/>
      </c>
      <c r="Y312" s="29" t="n"/>
      <c r="Z312" s="29" t="n"/>
      <c r="AA312" s="29" t="n"/>
      <c r="AB312" s="32" t="n"/>
      <c r="AC312" s="32" t="n"/>
    </row>
    <row r="313">
      <c r="A313" s="26" t="inlineStr">
        <is>
          <t>S06</t>
        </is>
      </c>
      <c r="B313" s="26" t="inlineStr">
        <is>
          <t>길담 신규점</t>
        </is>
      </c>
      <c r="C313" s="26" t="inlineStr">
        <is>
          <t>S06-H북</t>
        </is>
      </c>
      <c r="D313" s="47" t="n">
        <v>1</v>
      </c>
      <c r="E313" s="26" t="inlineStr">
        <is>
          <t>측정</t>
        </is>
      </c>
      <c r="F313" s="26" t="inlineStr">
        <is>
          <t>북</t>
        </is>
      </c>
      <c r="G313" s="31" t="n">
        <v>7</v>
      </c>
      <c r="H313" s="30" t="n"/>
      <c r="I313" s="43" t="n"/>
      <c r="J313" s="41" t="n"/>
      <c r="K313" s="41" t="n"/>
      <c r="L313" s="41" t="n"/>
      <c r="M313" s="31">
        <f>IF(COUNT(J313:L313)=0,"",MEDIAN(J313:L313))</f>
        <v/>
      </c>
      <c r="N313" s="26">
        <f>IF(COUNTIFS($C:$C,$C313,$D:$D,$D313,$E:$E,"P0(전)",$M:$M,"&gt;0")&lt;&gt;1,"P0(전) 유효 1개 아님",IF(COUNTIFS($C:$C,$C313,$D:$D,$D313,$E:$E,"P0(후)",$M:$M,"&gt;0")&lt;&gt;1,"P0(후) 유효 1개 아님",IF(NOT(AND(ISNUMBER(O313),ISNUMBER(Q313),ISNUMBER(I313))),"시각 결측",IF(Q313&lt;=O313,"P0 시각 역전",IF(OR(I313&lt;O313,I313&gt;Q313),"측정시각 구간 밖","OK")))))</f>
        <v/>
      </c>
      <c r="O313" s="48">
        <f>IF(COUNTIFS($C:$C,$C313,$D:$D,$D313,$E:$E,"P0(전)",$M:$M,"&gt;0")&lt;&gt;1,"",SUMIFS($I:$I,$C:$C,$C313,$D:$D,$D313,$E:$E,"P0(전)"))</f>
        <v/>
      </c>
      <c r="P313" s="31">
        <f>IF(COUNTIFS($C:$C,$C313,$D:$D,$D313,$E:$E,"P0(전)",$M:$M,"&gt;0")&lt;&gt;1,"",SUMIFS($M:$M,$C:$C,$C313,$D:$D,$D313,$E:$E,"P0(전)"))</f>
        <v/>
      </c>
      <c r="Q313" s="48">
        <f>IF(COUNTIFS($C:$C,$C313,$D:$D,$D313,$E:$E,"P0(후)",$M:$M,"&gt;0")&lt;&gt;1,"",SUMIFS($I:$I,$C:$C,$C313,$D:$D,$D313,$E:$E,"P0(후)"))</f>
        <v/>
      </c>
      <c r="R313" s="31">
        <f>IF(COUNTIFS($C:$C,$C313,$D:$D,$D313,$E:$E,"P0(후)",$M:$M,"&gt;0")&lt;&gt;1,"",SUMIFS($M:$M,$C:$C,$C313,$D:$D,$D313,$E:$E,"P0(후)"))</f>
        <v/>
      </c>
      <c r="S313" s="31">
        <f>IF(N313&lt;&gt;"OK","",P313+(R313-P313)*(I313-O313)/(Q313-O313))</f>
        <v/>
      </c>
      <c r="T313" s="31">
        <f>IF(OR(N313&lt;&gt;"OK",NOT(ISNUMBER(M313))),"",M313-S313)</f>
        <v/>
      </c>
      <c r="U313" s="49">
        <f>IF(OR(NOT(ISNUMBER(T313)),IF(ISNUMBER(H313),H313,G313)=0),"",T313/IF(ISNUMBER(H313),H313,G313))</f>
        <v/>
      </c>
      <c r="V313" s="49">
        <f>IF(ISNUMBER(U313),ABS(U313),"")</f>
        <v/>
      </c>
      <c r="W313" s="49">
        <f>IF(OR($E312&lt;&gt;"측정",$C312&lt;&gt;$C313,$D312&lt;&gt;$D313,NOT(ISNUMBER(M313)),NOT(ISNUMBER(M312)),(IF(ISNUMBER(H313),H313,G313)-IF(ISNUMBER(H312),H312,G312))=0),"",(M313-M312)/(IF(ISNUMBER(H313),H313,G313)-IF(ISNUMBER(H312),H312,G312)))</f>
        <v/>
      </c>
      <c r="X313" s="31">
        <f>IF(NOT(AND(ISNUMBER(O313),ISNUMBER(Q313))),"",(Q313-O313)*1440)</f>
        <v/>
      </c>
      <c r="Y313" s="29" t="n"/>
      <c r="Z313" s="29" t="n"/>
      <c r="AA313" s="29" t="n"/>
      <c r="AB313" s="32" t="n"/>
      <c r="AC313" s="32" t="n"/>
    </row>
    <row r="314">
      <c r="A314" s="26" t="inlineStr">
        <is>
          <t>S06</t>
        </is>
      </c>
      <c r="B314" s="26" t="inlineStr">
        <is>
          <t>길담 신규점</t>
        </is>
      </c>
      <c r="C314" s="26" t="inlineStr">
        <is>
          <t>S06-H북</t>
        </is>
      </c>
      <c r="D314" s="47" t="n">
        <v>1</v>
      </c>
      <c r="E314" s="26" t="inlineStr">
        <is>
          <t>측정</t>
        </is>
      </c>
      <c r="F314" s="26" t="inlineStr">
        <is>
          <t>북</t>
        </is>
      </c>
      <c r="G314" s="31" t="n">
        <v>8</v>
      </c>
      <c r="H314" s="30" t="n"/>
      <c r="I314" s="43" t="n"/>
      <c r="J314" s="41" t="n"/>
      <c r="K314" s="41" t="n"/>
      <c r="L314" s="41" t="n"/>
      <c r="M314" s="31">
        <f>IF(COUNT(J314:L314)=0,"",MEDIAN(J314:L314))</f>
        <v/>
      </c>
      <c r="N314" s="26">
        <f>IF(COUNTIFS($C:$C,$C314,$D:$D,$D314,$E:$E,"P0(전)",$M:$M,"&gt;0")&lt;&gt;1,"P0(전) 유효 1개 아님",IF(COUNTIFS($C:$C,$C314,$D:$D,$D314,$E:$E,"P0(후)",$M:$M,"&gt;0")&lt;&gt;1,"P0(후) 유효 1개 아님",IF(NOT(AND(ISNUMBER(O314),ISNUMBER(Q314),ISNUMBER(I314))),"시각 결측",IF(Q314&lt;=O314,"P0 시각 역전",IF(OR(I314&lt;O314,I314&gt;Q314),"측정시각 구간 밖","OK")))))</f>
        <v/>
      </c>
      <c r="O314" s="48">
        <f>IF(COUNTIFS($C:$C,$C314,$D:$D,$D314,$E:$E,"P0(전)",$M:$M,"&gt;0")&lt;&gt;1,"",SUMIFS($I:$I,$C:$C,$C314,$D:$D,$D314,$E:$E,"P0(전)"))</f>
        <v/>
      </c>
      <c r="P314" s="31">
        <f>IF(COUNTIFS($C:$C,$C314,$D:$D,$D314,$E:$E,"P0(전)",$M:$M,"&gt;0")&lt;&gt;1,"",SUMIFS($M:$M,$C:$C,$C314,$D:$D,$D314,$E:$E,"P0(전)"))</f>
        <v/>
      </c>
      <c r="Q314" s="48">
        <f>IF(COUNTIFS($C:$C,$C314,$D:$D,$D314,$E:$E,"P0(후)",$M:$M,"&gt;0")&lt;&gt;1,"",SUMIFS($I:$I,$C:$C,$C314,$D:$D,$D314,$E:$E,"P0(후)"))</f>
        <v/>
      </c>
      <c r="R314" s="31">
        <f>IF(COUNTIFS($C:$C,$C314,$D:$D,$D314,$E:$E,"P0(후)",$M:$M,"&gt;0")&lt;&gt;1,"",SUMIFS($M:$M,$C:$C,$C314,$D:$D,$D314,$E:$E,"P0(후)"))</f>
        <v/>
      </c>
      <c r="S314" s="31">
        <f>IF(N314&lt;&gt;"OK","",P314+(R314-P314)*(I314-O314)/(Q314-O314))</f>
        <v/>
      </c>
      <c r="T314" s="31">
        <f>IF(OR(N314&lt;&gt;"OK",NOT(ISNUMBER(M314))),"",M314-S314)</f>
        <v/>
      </c>
      <c r="U314" s="49">
        <f>IF(OR(NOT(ISNUMBER(T314)),IF(ISNUMBER(H314),H314,G314)=0),"",T314/IF(ISNUMBER(H314),H314,G314))</f>
        <v/>
      </c>
      <c r="V314" s="49">
        <f>IF(ISNUMBER(U314),ABS(U314),"")</f>
        <v/>
      </c>
      <c r="W314" s="49">
        <f>IF(OR($E313&lt;&gt;"측정",$C313&lt;&gt;$C314,$D313&lt;&gt;$D314,NOT(ISNUMBER(M314)),NOT(ISNUMBER(M313)),(IF(ISNUMBER(H314),H314,G314)-IF(ISNUMBER(H313),H313,G313))=0),"",(M314-M313)/(IF(ISNUMBER(H314),H314,G314)-IF(ISNUMBER(H313),H313,G313)))</f>
        <v/>
      </c>
      <c r="X314" s="31">
        <f>IF(NOT(AND(ISNUMBER(O314),ISNUMBER(Q314))),"",(Q314-O314)*1440)</f>
        <v/>
      </c>
      <c r="Y314" s="29" t="n"/>
      <c r="Z314" s="29" t="n"/>
      <c r="AA314" s="29" t="n"/>
      <c r="AB314" s="32" t="n"/>
      <c r="AC314" s="32" t="n"/>
    </row>
    <row r="315">
      <c r="A315" s="26" t="inlineStr">
        <is>
          <t>S06</t>
        </is>
      </c>
      <c r="B315" s="26" t="inlineStr">
        <is>
          <t>길담 신규점</t>
        </is>
      </c>
      <c r="C315" s="26" t="inlineStr">
        <is>
          <t>S06-H북</t>
        </is>
      </c>
      <c r="D315" s="47" t="n">
        <v>1</v>
      </c>
      <c r="E315" s="26" t="inlineStr">
        <is>
          <t>측정</t>
        </is>
      </c>
      <c r="F315" s="26" t="inlineStr">
        <is>
          <t>북</t>
        </is>
      </c>
      <c r="G315" s="31" t="n">
        <v>9</v>
      </c>
      <c r="H315" s="30" t="n"/>
      <c r="I315" s="43" t="n"/>
      <c r="J315" s="41" t="n"/>
      <c r="K315" s="41" t="n"/>
      <c r="L315" s="41" t="n"/>
      <c r="M315" s="31">
        <f>IF(COUNT(J315:L315)=0,"",MEDIAN(J315:L315))</f>
        <v/>
      </c>
      <c r="N315" s="26">
        <f>IF(COUNTIFS($C:$C,$C315,$D:$D,$D315,$E:$E,"P0(전)",$M:$M,"&gt;0")&lt;&gt;1,"P0(전) 유효 1개 아님",IF(COUNTIFS($C:$C,$C315,$D:$D,$D315,$E:$E,"P0(후)",$M:$M,"&gt;0")&lt;&gt;1,"P0(후) 유효 1개 아님",IF(NOT(AND(ISNUMBER(O315),ISNUMBER(Q315),ISNUMBER(I315))),"시각 결측",IF(Q315&lt;=O315,"P0 시각 역전",IF(OR(I315&lt;O315,I315&gt;Q315),"측정시각 구간 밖","OK")))))</f>
        <v/>
      </c>
      <c r="O315" s="48">
        <f>IF(COUNTIFS($C:$C,$C315,$D:$D,$D315,$E:$E,"P0(전)",$M:$M,"&gt;0")&lt;&gt;1,"",SUMIFS($I:$I,$C:$C,$C315,$D:$D,$D315,$E:$E,"P0(전)"))</f>
        <v/>
      </c>
      <c r="P315" s="31">
        <f>IF(COUNTIFS($C:$C,$C315,$D:$D,$D315,$E:$E,"P0(전)",$M:$M,"&gt;0")&lt;&gt;1,"",SUMIFS($M:$M,$C:$C,$C315,$D:$D,$D315,$E:$E,"P0(전)"))</f>
        <v/>
      </c>
      <c r="Q315" s="48">
        <f>IF(COUNTIFS($C:$C,$C315,$D:$D,$D315,$E:$E,"P0(후)",$M:$M,"&gt;0")&lt;&gt;1,"",SUMIFS($I:$I,$C:$C,$C315,$D:$D,$D315,$E:$E,"P0(후)"))</f>
        <v/>
      </c>
      <c r="R315" s="31">
        <f>IF(COUNTIFS($C:$C,$C315,$D:$D,$D315,$E:$E,"P0(후)",$M:$M,"&gt;0")&lt;&gt;1,"",SUMIFS($M:$M,$C:$C,$C315,$D:$D,$D315,$E:$E,"P0(후)"))</f>
        <v/>
      </c>
      <c r="S315" s="31">
        <f>IF(N315&lt;&gt;"OK","",P315+(R315-P315)*(I315-O315)/(Q315-O315))</f>
        <v/>
      </c>
      <c r="T315" s="31">
        <f>IF(OR(N315&lt;&gt;"OK",NOT(ISNUMBER(M315))),"",M315-S315)</f>
        <v/>
      </c>
      <c r="U315" s="49">
        <f>IF(OR(NOT(ISNUMBER(T315)),IF(ISNUMBER(H315),H315,G315)=0),"",T315/IF(ISNUMBER(H315),H315,G315))</f>
        <v/>
      </c>
      <c r="V315" s="49">
        <f>IF(ISNUMBER(U315),ABS(U315),"")</f>
        <v/>
      </c>
      <c r="W315" s="49">
        <f>IF(OR($E314&lt;&gt;"측정",$C314&lt;&gt;$C315,$D314&lt;&gt;$D315,NOT(ISNUMBER(M315)),NOT(ISNUMBER(M314)),(IF(ISNUMBER(H315),H315,G315)-IF(ISNUMBER(H314),H314,G314))=0),"",(M315-M314)/(IF(ISNUMBER(H315),H315,G315)-IF(ISNUMBER(H314),H314,G314)))</f>
        <v/>
      </c>
      <c r="X315" s="31">
        <f>IF(NOT(AND(ISNUMBER(O315),ISNUMBER(Q315))),"",(Q315-O315)*1440)</f>
        <v/>
      </c>
      <c r="Y315" s="29" t="n"/>
      <c r="Z315" s="29" t="n"/>
      <c r="AA315" s="29" t="n"/>
      <c r="AB315" s="32" t="n"/>
      <c r="AC315" s="32" t="n"/>
    </row>
    <row r="316">
      <c r="A316" s="26" t="inlineStr">
        <is>
          <t>S06</t>
        </is>
      </c>
      <c r="B316" s="26" t="inlineStr">
        <is>
          <t>길담 신규점</t>
        </is>
      </c>
      <c r="C316" s="26" t="inlineStr">
        <is>
          <t>S06-H북</t>
        </is>
      </c>
      <c r="D316" s="47" t="n">
        <v>1</v>
      </c>
      <c r="E316" s="26" t="inlineStr">
        <is>
          <t>측정</t>
        </is>
      </c>
      <c r="F316" s="26" t="inlineStr">
        <is>
          <t>북</t>
        </is>
      </c>
      <c r="G316" s="31" t="n">
        <v>10</v>
      </c>
      <c r="H316" s="30" t="n"/>
      <c r="I316" s="43" t="n"/>
      <c r="J316" s="41" t="n"/>
      <c r="K316" s="41" t="n"/>
      <c r="L316" s="41" t="n"/>
      <c r="M316" s="31">
        <f>IF(COUNT(J316:L316)=0,"",MEDIAN(J316:L316))</f>
        <v/>
      </c>
      <c r="N316" s="26">
        <f>IF(COUNTIFS($C:$C,$C316,$D:$D,$D316,$E:$E,"P0(전)",$M:$M,"&gt;0")&lt;&gt;1,"P0(전) 유효 1개 아님",IF(COUNTIFS($C:$C,$C316,$D:$D,$D316,$E:$E,"P0(후)",$M:$M,"&gt;0")&lt;&gt;1,"P0(후) 유효 1개 아님",IF(NOT(AND(ISNUMBER(O316),ISNUMBER(Q316),ISNUMBER(I316))),"시각 결측",IF(Q316&lt;=O316,"P0 시각 역전",IF(OR(I316&lt;O316,I316&gt;Q316),"측정시각 구간 밖","OK")))))</f>
        <v/>
      </c>
      <c r="O316" s="48">
        <f>IF(COUNTIFS($C:$C,$C316,$D:$D,$D316,$E:$E,"P0(전)",$M:$M,"&gt;0")&lt;&gt;1,"",SUMIFS($I:$I,$C:$C,$C316,$D:$D,$D316,$E:$E,"P0(전)"))</f>
        <v/>
      </c>
      <c r="P316" s="31">
        <f>IF(COUNTIFS($C:$C,$C316,$D:$D,$D316,$E:$E,"P0(전)",$M:$M,"&gt;0")&lt;&gt;1,"",SUMIFS($M:$M,$C:$C,$C316,$D:$D,$D316,$E:$E,"P0(전)"))</f>
        <v/>
      </c>
      <c r="Q316" s="48">
        <f>IF(COUNTIFS($C:$C,$C316,$D:$D,$D316,$E:$E,"P0(후)",$M:$M,"&gt;0")&lt;&gt;1,"",SUMIFS($I:$I,$C:$C,$C316,$D:$D,$D316,$E:$E,"P0(후)"))</f>
        <v/>
      </c>
      <c r="R316" s="31">
        <f>IF(COUNTIFS($C:$C,$C316,$D:$D,$D316,$E:$E,"P0(후)",$M:$M,"&gt;0")&lt;&gt;1,"",SUMIFS($M:$M,$C:$C,$C316,$D:$D,$D316,$E:$E,"P0(후)"))</f>
        <v/>
      </c>
      <c r="S316" s="31">
        <f>IF(N316&lt;&gt;"OK","",P316+(R316-P316)*(I316-O316)/(Q316-O316))</f>
        <v/>
      </c>
      <c r="T316" s="31">
        <f>IF(OR(N316&lt;&gt;"OK",NOT(ISNUMBER(M316))),"",M316-S316)</f>
        <v/>
      </c>
      <c r="U316" s="49">
        <f>IF(OR(NOT(ISNUMBER(T316)),IF(ISNUMBER(H316),H316,G316)=0),"",T316/IF(ISNUMBER(H316),H316,G316))</f>
        <v/>
      </c>
      <c r="V316" s="49">
        <f>IF(ISNUMBER(U316),ABS(U316),"")</f>
        <v/>
      </c>
      <c r="W316" s="49">
        <f>IF(OR($E315&lt;&gt;"측정",$C315&lt;&gt;$C316,$D315&lt;&gt;$D316,NOT(ISNUMBER(M316)),NOT(ISNUMBER(M315)),(IF(ISNUMBER(H316),H316,G316)-IF(ISNUMBER(H315),H315,G315))=0),"",(M316-M315)/(IF(ISNUMBER(H316),H316,G316)-IF(ISNUMBER(H315),H315,G315)))</f>
        <v/>
      </c>
      <c r="X316" s="31">
        <f>IF(NOT(AND(ISNUMBER(O316),ISNUMBER(Q316))),"",(Q316-O316)*1440)</f>
        <v/>
      </c>
      <c r="Y316" s="29" t="n"/>
      <c r="Z316" s="29" t="n"/>
      <c r="AA316" s="29" t="n"/>
      <c r="AB316" s="32" t="n"/>
      <c r="AC316" s="32" t="n"/>
    </row>
    <row r="317">
      <c r="A317" s="44" t="inlineStr">
        <is>
          <t>S06</t>
        </is>
      </c>
      <c r="B317" s="44" t="inlineStr">
        <is>
          <t>길담 신규점</t>
        </is>
      </c>
      <c r="C317" s="44" t="inlineStr">
        <is>
          <t>S06-H북</t>
        </is>
      </c>
      <c r="D317" s="45" t="n">
        <v>1</v>
      </c>
      <c r="E317" s="44" t="inlineStr">
        <is>
          <t>P0(후)</t>
        </is>
      </c>
      <c r="F317" s="44" t="inlineStr">
        <is>
          <t>북</t>
        </is>
      </c>
      <c r="G317" s="46" t="n"/>
      <c r="H317" s="30" t="n"/>
      <c r="I317" s="43" t="n"/>
      <c r="J317" s="41" t="n"/>
      <c r="K317" s="41" t="n"/>
      <c r="L317" s="41" t="n"/>
      <c r="M317" s="31">
        <f>IF(COUNT(J317:L317)=0,"",MEDIAN(J317:L317))</f>
        <v/>
      </c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38" t="n"/>
      <c r="Y317" s="29" t="n"/>
      <c r="Z317" s="29" t="n"/>
      <c r="AA317" s="29" t="n"/>
      <c r="AB317" s="32" t="n"/>
      <c r="AC317" s="32" t="n"/>
    </row>
    <row r="318">
      <c r="A318" s="44" t="inlineStr">
        <is>
          <t>S07</t>
        </is>
      </c>
      <c r="B318" s="44" t="inlineStr">
        <is>
          <t>남해 신규점1</t>
        </is>
      </c>
      <c r="C318" s="44" t="inlineStr">
        <is>
          <t>S07-H동</t>
        </is>
      </c>
      <c r="D318" s="45" t="n">
        <v>1</v>
      </c>
      <c r="E318" s="44" t="inlineStr">
        <is>
          <t>P0(전)</t>
        </is>
      </c>
      <c r="F318" s="44" t="inlineStr">
        <is>
          <t>동</t>
        </is>
      </c>
      <c r="G318" s="46" t="n"/>
      <c r="H318" s="30" t="n"/>
      <c r="I318" s="43" t="n"/>
      <c r="J318" s="41" t="n"/>
      <c r="K318" s="41" t="n"/>
      <c r="L318" s="41" t="n"/>
      <c r="M318" s="31">
        <f>IF(COUNT(J318:L318)=0,"",MEDIAN(J318:L318))</f>
        <v/>
      </c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  <c r="X318" s="38" t="n"/>
      <c r="Y318" s="29" t="n"/>
      <c r="Z318" s="29" t="n"/>
      <c r="AA318" s="29" t="n"/>
      <c r="AB318" s="32" t="n"/>
      <c r="AC318" s="32" t="n"/>
    </row>
    <row r="319">
      <c r="A319" s="26" t="inlineStr">
        <is>
          <t>S07</t>
        </is>
      </c>
      <c r="B319" s="26" t="inlineStr">
        <is>
          <t>남해 신규점1</t>
        </is>
      </c>
      <c r="C319" s="26" t="inlineStr">
        <is>
          <t>S07-H동</t>
        </is>
      </c>
      <c r="D319" s="47" t="n">
        <v>1</v>
      </c>
      <c r="E319" s="26" t="inlineStr">
        <is>
          <t>측정</t>
        </is>
      </c>
      <c r="F319" s="26" t="inlineStr">
        <is>
          <t>동</t>
        </is>
      </c>
      <c r="G319" s="31" t="n">
        <v>0.5</v>
      </c>
      <c r="H319" s="30" t="n"/>
      <c r="I319" s="43" t="n"/>
      <c r="J319" s="41" t="n"/>
      <c r="K319" s="41" t="n"/>
      <c r="L319" s="41" t="n"/>
      <c r="M319" s="31">
        <f>IF(COUNT(J319:L319)=0,"",MEDIAN(J319:L319))</f>
        <v/>
      </c>
      <c r="N319" s="26">
        <f>IF(COUNTIFS($C:$C,$C319,$D:$D,$D319,$E:$E,"P0(전)",$M:$M,"&gt;0")&lt;&gt;1,"P0(전) 유효 1개 아님",IF(COUNTIFS($C:$C,$C319,$D:$D,$D319,$E:$E,"P0(후)",$M:$M,"&gt;0")&lt;&gt;1,"P0(후) 유효 1개 아님",IF(NOT(AND(ISNUMBER(O319),ISNUMBER(Q319),ISNUMBER(I319))),"시각 결측",IF(Q319&lt;=O319,"P0 시각 역전",IF(OR(I319&lt;O319,I319&gt;Q319),"측정시각 구간 밖","OK")))))</f>
        <v/>
      </c>
      <c r="O319" s="48">
        <f>IF(COUNTIFS($C:$C,$C319,$D:$D,$D319,$E:$E,"P0(전)",$M:$M,"&gt;0")&lt;&gt;1,"",SUMIFS($I:$I,$C:$C,$C319,$D:$D,$D319,$E:$E,"P0(전)"))</f>
        <v/>
      </c>
      <c r="P319" s="31">
        <f>IF(COUNTIFS($C:$C,$C319,$D:$D,$D319,$E:$E,"P0(전)",$M:$M,"&gt;0")&lt;&gt;1,"",SUMIFS($M:$M,$C:$C,$C319,$D:$D,$D319,$E:$E,"P0(전)"))</f>
        <v/>
      </c>
      <c r="Q319" s="48">
        <f>IF(COUNTIFS($C:$C,$C319,$D:$D,$D319,$E:$E,"P0(후)",$M:$M,"&gt;0")&lt;&gt;1,"",SUMIFS($I:$I,$C:$C,$C319,$D:$D,$D319,$E:$E,"P0(후)"))</f>
        <v/>
      </c>
      <c r="R319" s="31">
        <f>IF(COUNTIFS($C:$C,$C319,$D:$D,$D319,$E:$E,"P0(후)",$M:$M,"&gt;0")&lt;&gt;1,"",SUMIFS($M:$M,$C:$C,$C319,$D:$D,$D319,$E:$E,"P0(후)"))</f>
        <v/>
      </c>
      <c r="S319" s="31">
        <f>IF(N319&lt;&gt;"OK","",P319+(R319-P319)*(I319-O319)/(Q319-O319))</f>
        <v/>
      </c>
      <c r="T319" s="31">
        <f>IF(OR(N319&lt;&gt;"OK",NOT(ISNUMBER(M319))),"",M319-S319)</f>
        <v/>
      </c>
      <c r="U319" s="49">
        <f>IF(OR(NOT(ISNUMBER(T319)),IF(ISNUMBER(H319),H319,G319)=0),"",T319/IF(ISNUMBER(H319),H319,G319))</f>
        <v/>
      </c>
      <c r="V319" s="49">
        <f>IF(ISNUMBER(U319),ABS(U319),"")</f>
        <v/>
      </c>
      <c r="W319" s="49">
        <f>IF(OR($E318&lt;&gt;"측정",$C318&lt;&gt;$C319,$D318&lt;&gt;$D319,NOT(ISNUMBER(M319)),NOT(ISNUMBER(M318)),(IF(ISNUMBER(H319),H319,G319)-IF(ISNUMBER(H318),H318,G318))=0),"",(M319-M318)/(IF(ISNUMBER(H319),H319,G319)-IF(ISNUMBER(H318),H318,G318)))</f>
        <v/>
      </c>
      <c r="X319" s="31">
        <f>IF(NOT(AND(ISNUMBER(O319),ISNUMBER(Q319))),"",(Q319-O319)*1440)</f>
        <v/>
      </c>
      <c r="Y319" s="29" t="n"/>
      <c r="Z319" s="29" t="n"/>
      <c r="AA319" s="29" t="n"/>
      <c r="AB319" s="32" t="n"/>
      <c r="AC319" s="32" t="n"/>
    </row>
    <row r="320">
      <c r="A320" s="26" t="inlineStr">
        <is>
          <t>S07</t>
        </is>
      </c>
      <c r="B320" s="26" t="inlineStr">
        <is>
          <t>남해 신규점1</t>
        </is>
      </c>
      <c r="C320" s="26" t="inlineStr">
        <is>
          <t>S07-H동</t>
        </is>
      </c>
      <c r="D320" s="47" t="n">
        <v>1</v>
      </c>
      <c r="E320" s="26" t="inlineStr">
        <is>
          <t>측정</t>
        </is>
      </c>
      <c r="F320" s="26" t="inlineStr">
        <is>
          <t>동</t>
        </is>
      </c>
      <c r="G320" s="31" t="n">
        <v>1</v>
      </c>
      <c r="H320" s="30" t="n"/>
      <c r="I320" s="43" t="n"/>
      <c r="J320" s="41" t="n"/>
      <c r="K320" s="41" t="n"/>
      <c r="L320" s="41" t="n"/>
      <c r="M320" s="31">
        <f>IF(COUNT(J320:L320)=0,"",MEDIAN(J320:L320))</f>
        <v/>
      </c>
      <c r="N320" s="26">
        <f>IF(COUNTIFS($C:$C,$C320,$D:$D,$D320,$E:$E,"P0(전)",$M:$M,"&gt;0")&lt;&gt;1,"P0(전) 유효 1개 아님",IF(COUNTIFS($C:$C,$C320,$D:$D,$D320,$E:$E,"P0(후)",$M:$M,"&gt;0")&lt;&gt;1,"P0(후) 유효 1개 아님",IF(NOT(AND(ISNUMBER(O320),ISNUMBER(Q320),ISNUMBER(I320))),"시각 결측",IF(Q320&lt;=O320,"P0 시각 역전",IF(OR(I320&lt;O320,I320&gt;Q320),"측정시각 구간 밖","OK")))))</f>
        <v/>
      </c>
      <c r="O320" s="48">
        <f>IF(COUNTIFS($C:$C,$C320,$D:$D,$D320,$E:$E,"P0(전)",$M:$M,"&gt;0")&lt;&gt;1,"",SUMIFS($I:$I,$C:$C,$C320,$D:$D,$D320,$E:$E,"P0(전)"))</f>
        <v/>
      </c>
      <c r="P320" s="31">
        <f>IF(COUNTIFS($C:$C,$C320,$D:$D,$D320,$E:$E,"P0(전)",$M:$M,"&gt;0")&lt;&gt;1,"",SUMIFS($M:$M,$C:$C,$C320,$D:$D,$D320,$E:$E,"P0(전)"))</f>
        <v/>
      </c>
      <c r="Q320" s="48">
        <f>IF(COUNTIFS($C:$C,$C320,$D:$D,$D320,$E:$E,"P0(후)",$M:$M,"&gt;0")&lt;&gt;1,"",SUMIFS($I:$I,$C:$C,$C320,$D:$D,$D320,$E:$E,"P0(후)"))</f>
        <v/>
      </c>
      <c r="R320" s="31">
        <f>IF(COUNTIFS($C:$C,$C320,$D:$D,$D320,$E:$E,"P0(후)",$M:$M,"&gt;0")&lt;&gt;1,"",SUMIFS($M:$M,$C:$C,$C320,$D:$D,$D320,$E:$E,"P0(후)"))</f>
        <v/>
      </c>
      <c r="S320" s="31">
        <f>IF(N320&lt;&gt;"OK","",P320+(R320-P320)*(I320-O320)/(Q320-O320))</f>
        <v/>
      </c>
      <c r="T320" s="31">
        <f>IF(OR(N320&lt;&gt;"OK",NOT(ISNUMBER(M320))),"",M320-S320)</f>
        <v/>
      </c>
      <c r="U320" s="49">
        <f>IF(OR(NOT(ISNUMBER(T320)),IF(ISNUMBER(H320),H320,G320)=0),"",T320/IF(ISNUMBER(H320),H320,G320))</f>
        <v/>
      </c>
      <c r="V320" s="49">
        <f>IF(ISNUMBER(U320),ABS(U320),"")</f>
        <v/>
      </c>
      <c r="W320" s="49">
        <f>IF(OR($E319&lt;&gt;"측정",$C319&lt;&gt;$C320,$D319&lt;&gt;$D320,NOT(ISNUMBER(M320)),NOT(ISNUMBER(M319)),(IF(ISNUMBER(H320),H320,G320)-IF(ISNUMBER(H319),H319,G319))=0),"",(M320-M319)/(IF(ISNUMBER(H320),H320,G320)-IF(ISNUMBER(H319),H319,G319)))</f>
        <v/>
      </c>
      <c r="X320" s="31">
        <f>IF(NOT(AND(ISNUMBER(O320),ISNUMBER(Q320))),"",(Q320-O320)*1440)</f>
        <v/>
      </c>
      <c r="Y320" s="29" t="n"/>
      <c r="Z320" s="29" t="n"/>
      <c r="AA320" s="29" t="n"/>
      <c r="AB320" s="32" t="n"/>
      <c r="AC320" s="32" t="n"/>
    </row>
    <row r="321">
      <c r="A321" s="26" t="inlineStr">
        <is>
          <t>S07</t>
        </is>
      </c>
      <c r="B321" s="26" t="inlineStr">
        <is>
          <t>남해 신규점1</t>
        </is>
      </c>
      <c r="C321" s="26" t="inlineStr">
        <is>
          <t>S07-H동</t>
        </is>
      </c>
      <c r="D321" s="47" t="n">
        <v>1</v>
      </c>
      <c r="E321" s="26" t="inlineStr">
        <is>
          <t>측정</t>
        </is>
      </c>
      <c r="F321" s="26" t="inlineStr">
        <is>
          <t>동</t>
        </is>
      </c>
      <c r="G321" s="31" t="n">
        <v>2</v>
      </c>
      <c r="H321" s="30" t="n"/>
      <c r="I321" s="43" t="n"/>
      <c r="J321" s="41" t="n"/>
      <c r="K321" s="41" t="n"/>
      <c r="L321" s="41" t="n"/>
      <c r="M321" s="31">
        <f>IF(COUNT(J321:L321)=0,"",MEDIAN(J321:L321))</f>
        <v/>
      </c>
      <c r="N321" s="26">
        <f>IF(COUNTIFS($C:$C,$C321,$D:$D,$D321,$E:$E,"P0(전)",$M:$M,"&gt;0")&lt;&gt;1,"P0(전) 유효 1개 아님",IF(COUNTIFS($C:$C,$C321,$D:$D,$D321,$E:$E,"P0(후)",$M:$M,"&gt;0")&lt;&gt;1,"P0(후) 유효 1개 아님",IF(NOT(AND(ISNUMBER(O321),ISNUMBER(Q321),ISNUMBER(I321))),"시각 결측",IF(Q321&lt;=O321,"P0 시각 역전",IF(OR(I321&lt;O321,I321&gt;Q321),"측정시각 구간 밖","OK")))))</f>
        <v/>
      </c>
      <c r="O321" s="48">
        <f>IF(COUNTIFS($C:$C,$C321,$D:$D,$D321,$E:$E,"P0(전)",$M:$M,"&gt;0")&lt;&gt;1,"",SUMIFS($I:$I,$C:$C,$C321,$D:$D,$D321,$E:$E,"P0(전)"))</f>
        <v/>
      </c>
      <c r="P321" s="31">
        <f>IF(COUNTIFS($C:$C,$C321,$D:$D,$D321,$E:$E,"P0(전)",$M:$M,"&gt;0")&lt;&gt;1,"",SUMIFS($M:$M,$C:$C,$C321,$D:$D,$D321,$E:$E,"P0(전)"))</f>
        <v/>
      </c>
      <c r="Q321" s="48">
        <f>IF(COUNTIFS($C:$C,$C321,$D:$D,$D321,$E:$E,"P0(후)",$M:$M,"&gt;0")&lt;&gt;1,"",SUMIFS($I:$I,$C:$C,$C321,$D:$D,$D321,$E:$E,"P0(후)"))</f>
        <v/>
      </c>
      <c r="R321" s="31">
        <f>IF(COUNTIFS($C:$C,$C321,$D:$D,$D321,$E:$E,"P0(후)",$M:$M,"&gt;0")&lt;&gt;1,"",SUMIFS($M:$M,$C:$C,$C321,$D:$D,$D321,$E:$E,"P0(후)"))</f>
        <v/>
      </c>
      <c r="S321" s="31">
        <f>IF(N321&lt;&gt;"OK","",P321+(R321-P321)*(I321-O321)/(Q321-O321))</f>
        <v/>
      </c>
      <c r="T321" s="31">
        <f>IF(OR(N321&lt;&gt;"OK",NOT(ISNUMBER(M321))),"",M321-S321)</f>
        <v/>
      </c>
      <c r="U321" s="49">
        <f>IF(OR(NOT(ISNUMBER(T321)),IF(ISNUMBER(H321),H321,G321)=0),"",T321/IF(ISNUMBER(H321),H321,G321))</f>
        <v/>
      </c>
      <c r="V321" s="49">
        <f>IF(ISNUMBER(U321),ABS(U321),"")</f>
        <v/>
      </c>
      <c r="W321" s="49">
        <f>IF(OR($E320&lt;&gt;"측정",$C320&lt;&gt;$C321,$D320&lt;&gt;$D321,NOT(ISNUMBER(M321)),NOT(ISNUMBER(M320)),(IF(ISNUMBER(H321),H321,G321)-IF(ISNUMBER(H320),H320,G320))=0),"",(M321-M320)/(IF(ISNUMBER(H321),H321,G321)-IF(ISNUMBER(H320),H320,G320)))</f>
        <v/>
      </c>
      <c r="X321" s="31">
        <f>IF(NOT(AND(ISNUMBER(O321),ISNUMBER(Q321))),"",(Q321-O321)*1440)</f>
        <v/>
      </c>
      <c r="Y321" s="29" t="n"/>
      <c r="Z321" s="29" t="n"/>
      <c r="AA321" s="29" t="n"/>
      <c r="AB321" s="32" t="n"/>
      <c r="AC321" s="32" t="n"/>
    </row>
    <row r="322">
      <c r="A322" s="26" t="inlineStr">
        <is>
          <t>S07</t>
        </is>
      </c>
      <c r="B322" s="26" t="inlineStr">
        <is>
          <t>남해 신규점1</t>
        </is>
      </c>
      <c r="C322" s="26" t="inlineStr">
        <is>
          <t>S07-H동</t>
        </is>
      </c>
      <c r="D322" s="47" t="n">
        <v>1</v>
      </c>
      <c r="E322" s="26" t="inlineStr">
        <is>
          <t>측정</t>
        </is>
      </c>
      <c r="F322" s="26" t="inlineStr">
        <is>
          <t>동</t>
        </is>
      </c>
      <c r="G322" s="31" t="n">
        <v>3</v>
      </c>
      <c r="H322" s="30" t="n"/>
      <c r="I322" s="43" t="n"/>
      <c r="J322" s="41" t="n"/>
      <c r="K322" s="41" t="n"/>
      <c r="L322" s="41" t="n"/>
      <c r="M322" s="31">
        <f>IF(COUNT(J322:L322)=0,"",MEDIAN(J322:L322))</f>
        <v/>
      </c>
      <c r="N322" s="26">
        <f>IF(COUNTIFS($C:$C,$C322,$D:$D,$D322,$E:$E,"P0(전)",$M:$M,"&gt;0")&lt;&gt;1,"P0(전) 유효 1개 아님",IF(COUNTIFS($C:$C,$C322,$D:$D,$D322,$E:$E,"P0(후)",$M:$M,"&gt;0")&lt;&gt;1,"P0(후) 유효 1개 아님",IF(NOT(AND(ISNUMBER(O322),ISNUMBER(Q322),ISNUMBER(I322))),"시각 결측",IF(Q322&lt;=O322,"P0 시각 역전",IF(OR(I322&lt;O322,I322&gt;Q322),"측정시각 구간 밖","OK")))))</f>
        <v/>
      </c>
      <c r="O322" s="48">
        <f>IF(COUNTIFS($C:$C,$C322,$D:$D,$D322,$E:$E,"P0(전)",$M:$M,"&gt;0")&lt;&gt;1,"",SUMIFS($I:$I,$C:$C,$C322,$D:$D,$D322,$E:$E,"P0(전)"))</f>
        <v/>
      </c>
      <c r="P322" s="31">
        <f>IF(COUNTIFS($C:$C,$C322,$D:$D,$D322,$E:$E,"P0(전)",$M:$M,"&gt;0")&lt;&gt;1,"",SUMIFS($M:$M,$C:$C,$C322,$D:$D,$D322,$E:$E,"P0(전)"))</f>
        <v/>
      </c>
      <c r="Q322" s="48">
        <f>IF(COUNTIFS($C:$C,$C322,$D:$D,$D322,$E:$E,"P0(후)",$M:$M,"&gt;0")&lt;&gt;1,"",SUMIFS($I:$I,$C:$C,$C322,$D:$D,$D322,$E:$E,"P0(후)"))</f>
        <v/>
      </c>
      <c r="R322" s="31">
        <f>IF(COUNTIFS($C:$C,$C322,$D:$D,$D322,$E:$E,"P0(후)",$M:$M,"&gt;0")&lt;&gt;1,"",SUMIFS($M:$M,$C:$C,$C322,$D:$D,$D322,$E:$E,"P0(후)"))</f>
        <v/>
      </c>
      <c r="S322" s="31">
        <f>IF(N322&lt;&gt;"OK","",P322+(R322-P322)*(I322-O322)/(Q322-O322))</f>
        <v/>
      </c>
      <c r="T322" s="31">
        <f>IF(OR(N322&lt;&gt;"OK",NOT(ISNUMBER(M322))),"",M322-S322)</f>
        <v/>
      </c>
      <c r="U322" s="49">
        <f>IF(OR(NOT(ISNUMBER(T322)),IF(ISNUMBER(H322),H322,G322)=0),"",T322/IF(ISNUMBER(H322),H322,G322))</f>
        <v/>
      </c>
      <c r="V322" s="49">
        <f>IF(ISNUMBER(U322),ABS(U322),"")</f>
        <v/>
      </c>
      <c r="W322" s="49">
        <f>IF(OR($E321&lt;&gt;"측정",$C321&lt;&gt;$C322,$D321&lt;&gt;$D322,NOT(ISNUMBER(M322)),NOT(ISNUMBER(M321)),(IF(ISNUMBER(H322),H322,G322)-IF(ISNUMBER(H321),H321,G321))=0),"",(M322-M321)/(IF(ISNUMBER(H322),H322,G322)-IF(ISNUMBER(H321),H321,G321)))</f>
        <v/>
      </c>
      <c r="X322" s="31">
        <f>IF(NOT(AND(ISNUMBER(O322),ISNUMBER(Q322))),"",(Q322-O322)*1440)</f>
        <v/>
      </c>
      <c r="Y322" s="29" t="n"/>
      <c r="Z322" s="29" t="n"/>
      <c r="AA322" s="29" t="n"/>
      <c r="AB322" s="32" t="n"/>
      <c r="AC322" s="32" t="n"/>
    </row>
    <row r="323">
      <c r="A323" s="26" t="inlineStr">
        <is>
          <t>S07</t>
        </is>
      </c>
      <c r="B323" s="26" t="inlineStr">
        <is>
          <t>남해 신규점1</t>
        </is>
      </c>
      <c r="C323" s="26" t="inlineStr">
        <is>
          <t>S07-H동</t>
        </is>
      </c>
      <c r="D323" s="47" t="n">
        <v>1</v>
      </c>
      <c r="E323" s="26" t="inlineStr">
        <is>
          <t>측정</t>
        </is>
      </c>
      <c r="F323" s="26" t="inlineStr">
        <is>
          <t>동</t>
        </is>
      </c>
      <c r="G323" s="31" t="n">
        <v>4</v>
      </c>
      <c r="H323" s="30" t="n"/>
      <c r="I323" s="43" t="n"/>
      <c r="J323" s="41" t="n"/>
      <c r="K323" s="41" t="n"/>
      <c r="L323" s="41" t="n"/>
      <c r="M323" s="31">
        <f>IF(COUNT(J323:L323)=0,"",MEDIAN(J323:L323))</f>
        <v/>
      </c>
      <c r="N323" s="26">
        <f>IF(COUNTIFS($C:$C,$C323,$D:$D,$D323,$E:$E,"P0(전)",$M:$M,"&gt;0")&lt;&gt;1,"P0(전) 유효 1개 아님",IF(COUNTIFS($C:$C,$C323,$D:$D,$D323,$E:$E,"P0(후)",$M:$M,"&gt;0")&lt;&gt;1,"P0(후) 유효 1개 아님",IF(NOT(AND(ISNUMBER(O323),ISNUMBER(Q323),ISNUMBER(I323))),"시각 결측",IF(Q323&lt;=O323,"P0 시각 역전",IF(OR(I323&lt;O323,I323&gt;Q323),"측정시각 구간 밖","OK")))))</f>
        <v/>
      </c>
      <c r="O323" s="48">
        <f>IF(COUNTIFS($C:$C,$C323,$D:$D,$D323,$E:$E,"P0(전)",$M:$M,"&gt;0")&lt;&gt;1,"",SUMIFS($I:$I,$C:$C,$C323,$D:$D,$D323,$E:$E,"P0(전)"))</f>
        <v/>
      </c>
      <c r="P323" s="31">
        <f>IF(COUNTIFS($C:$C,$C323,$D:$D,$D323,$E:$E,"P0(전)",$M:$M,"&gt;0")&lt;&gt;1,"",SUMIFS($M:$M,$C:$C,$C323,$D:$D,$D323,$E:$E,"P0(전)"))</f>
        <v/>
      </c>
      <c r="Q323" s="48">
        <f>IF(COUNTIFS($C:$C,$C323,$D:$D,$D323,$E:$E,"P0(후)",$M:$M,"&gt;0")&lt;&gt;1,"",SUMIFS($I:$I,$C:$C,$C323,$D:$D,$D323,$E:$E,"P0(후)"))</f>
        <v/>
      </c>
      <c r="R323" s="31">
        <f>IF(COUNTIFS($C:$C,$C323,$D:$D,$D323,$E:$E,"P0(후)",$M:$M,"&gt;0")&lt;&gt;1,"",SUMIFS($M:$M,$C:$C,$C323,$D:$D,$D323,$E:$E,"P0(후)"))</f>
        <v/>
      </c>
      <c r="S323" s="31">
        <f>IF(N323&lt;&gt;"OK","",P323+(R323-P323)*(I323-O323)/(Q323-O323))</f>
        <v/>
      </c>
      <c r="T323" s="31">
        <f>IF(OR(N323&lt;&gt;"OK",NOT(ISNUMBER(M323))),"",M323-S323)</f>
        <v/>
      </c>
      <c r="U323" s="49">
        <f>IF(OR(NOT(ISNUMBER(T323)),IF(ISNUMBER(H323),H323,G323)=0),"",T323/IF(ISNUMBER(H323),H323,G323))</f>
        <v/>
      </c>
      <c r="V323" s="49">
        <f>IF(ISNUMBER(U323),ABS(U323),"")</f>
        <v/>
      </c>
      <c r="W323" s="49">
        <f>IF(OR($E322&lt;&gt;"측정",$C322&lt;&gt;$C323,$D322&lt;&gt;$D323,NOT(ISNUMBER(M323)),NOT(ISNUMBER(M322)),(IF(ISNUMBER(H323),H323,G323)-IF(ISNUMBER(H322),H322,G322))=0),"",(M323-M322)/(IF(ISNUMBER(H323),H323,G323)-IF(ISNUMBER(H322),H322,G322)))</f>
        <v/>
      </c>
      <c r="X323" s="31">
        <f>IF(NOT(AND(ISNUMBER(O323),ISNUMBER(Q323))),"",(Q323-O323)*1440)</f>
        <v/>
      </c>
      <c r="Y323" s="29" t="n"/>
      <c r="Z323" s="29" t="n"/>
      <c r="AA323" s="29" t="n"/>
      <c r="AB323" s="32" t="n"/>
      <c r="AC323" s="32" t="n"/>
    </row>
    <row r="324">
      <c r="A324" s="26" t="inlineStr">
        <is>
          <t>S07</t>
        </is>
      </c>
      <c r="B324" s="26" t="inlineStr">
        <is>
          <t>남해 신규점1</t>
        </is>
      </c>
      <c r="C324" s="26" t="inlineStr">
        <is>
          <t>S07-H동</t>
        </is>
      </c>
      <c r="D324" s="47" t="n">
        <v>1</v>
      </c>
      <c r="E324" s="26" t="inlineStr">
        <is>
          <t>측정</t>
        </is>
      </c>
      <c r="F324" s="26" t="inlineStr">
        <is>
          <t>동</t>
        </is>
      </c>
      <c r="G324" s="31" t="n">
        <v>5</v>
      </c>
      <c r="H324" s="30" t="n"/>
      <c r="I324" s="43" t="n"/>
      <c r="J324" s="41" t="n"/>
      <c r="K324" s="41" t="n"/>
      <c r="L324" s="41" t="n"/>
      <c r="M324" s="31">
        <f>IF(COUNT(J324:L324)=0,"",MEDIAN(J324:L324))</f>
        <v/>
      </c>
      <c r="N324" s="26">
        <f>IF(COUNTIFS($C:$C,$C324,$D:$D,$D324,$E:$E,"P0(전)",$M:$M,"&gt;0")&lt;&gt;1,"P0(전) 유효 1개 아님",IF(COUNTIFS($C:$C,$C324,$D:$D,$D324,$E:$E,"P0(후)",$M:$M,"&gt;0")&lt;&gt;1,"P0(후) 유효 1개 아님",IF(NOT(AND(ISNUMBER(O324),ISNUMBER(Q324),ISNUMBER(I324))),"시각 결측",IF(Q324&lt;=O324,"P0 시각 역전",IF(OR(I324&lt;O324,I324&gt;Q324),"측정시각 구간 밖","OK")))))</f>
        <v/>
      </c>
      <c r="O324" s="48">
        <f>IF(COUNTIFS($C:$C,$C324,$D:$D,$D324,$E:$E,"P0(전)",$M:$M,"&gt;0")&lt;&gt;1,"",SUMIFS($I:$I,$C:$C,$C324,$D:$D,$D324,$E:$E,"P0(전)"))</f>
        <v/>
      </c>
      <c r="P324" s="31">
        <f>IF(COUNTIFS($C:$C,$C324,$D:$D,$D324,$E:$E,"P0(전)",$M:$M,"&gt;0")&lt;&gt;1,"",SUMIFS($M:$M,$C:$C,$C324,$D:$D,$D324,$E:$E,"P0(전)"))</f>
        <v/>
      </c>
      <c r="Q324" s="48">
        <f>IF(COUNTIFS($C:$C,$C324,$D:$D,$D324,$E:$E,"P0(후)",$M:$M,"&gt;0")&lt;&gt;1,"",SUMIFS($I:$I,$C:$C,$C324,$D:$D,$D324,$E:$E,"P0(후)"))</f>
        <v/>
      </c>
      <c r="R324" s="31">
        <f>IF(COUNTIFS($C:$C,$C324,$D:$D,$D324,$E:$E,"P0(후)",$M:$M,"&gt;0")&lt;&gt;1,"",SUMIFS($M:$M,$C:$C,$C324,$D:$D,$D324,$E:$E,"P0(후)"))</f>
        <v/>
      </c>
      <c r="S324" s="31">
        <f>IF(N324&lt;&gt;"OK","",P324+(R324-P324)*(I324-O324)/(Q324-O324))</f>
        <v/>
      </c>
      <c r="T324" s="31">
        <f>IF(OR(N324&lt;&gt;"OK",NOT(ISNUMBER(M324))),"",M324-S324)</f>
        <v/>
      </c>
      <c r="U324" s="49">
        <f>IF(OR(NOT(ISNUMBER(T324)),IF(ISNUMBER(H324),H324,G324)=0),"",T324/IF(ISNUMBER(H324),H324,G324))</f>
        <v/>
      </c>
      <c r="V324" s="49">
        <f>IF(ISNUMBER(U324),ABS(U324),"")</f>
        <v/>
      </c>
      <c r="W324" s="49">
        <f>IF(OR($E323&lt;&gt;"측정",$C323&lt;&gt;$C324,$D323&lt;&gt;$D324,NOT(ISNUMBER(M324)),NOT(ISNUMBER(M323)),(IF(ISNUMBER(H324),H324,G324)-IF(ISNUMBER(H323),H323,G323))=0),"",(M324-M323)/(IF(ISNUMBER(H324),H324,G324)-IF(ISNUMBER(H323),H323,G323)))</f>
        <v/>
      </c>
      <c r="X324" s="31">
        <f>IF(NOT(AND(ISNUMBER(O324),ISNUMBER(Q324))),"",(Q324-O324)*1440)</f>
        <v/>
      </c>
      <c r="Y324" s="29" t="n"/>
      <c r="Z324" s="29" t="n"/>
      <c r="AA324" s="29" t="n"/>
      <c r="AB324" s="32" t="n"/>
      <c r="AC324" s="32" t="n"/>
    </row>
    <row r="325">
      <c r="A325" s="26" t="inlineStr">
        <is>
          <t>S07</t>
        </is>
      </c>
      <c r="B325" s="26" t="inlineStr">
        <is>
          <t>남해 신규점1</t>
        </is>
      </c>
      <c r="C325" s="26" t="inlineStr">
        <is>
          <t>S07-H동</t>
        </is>
      </c>
      <c r="D325" s="47" t="n">
        <v>1</v>
      </c>
      <c r="E325" s="26" t="inlineStr">
        <is>
          <t>측정</t>
        </is>
      </c>
      <c r="F325" s="26" t="inlineStr">
        <is>
          <t>동</t>
        </is>
      </c>
      <c r="G325" s="31" t="n">
        <v>6</v>
      </c>
      <c r="H325" s="30" t="n"/>
      <c r="I325" s="43" t="n"/>
      <c r="J325" s="41" t="n"/>
      <c r="K325" s="41" t="n"/>
      <c r="L325" s="41" t="n"/>
      <c r="M325" s="31">
        <f>IF(COUNT(J325:L325)=0,"",MEDIAN(J325:L325))</f>
        <v/>
      </c>
      <c r="N325" s="26">
        <f>IF(COUNTIFS($C:$C,$C325,$D:$D,$D325,$E:$E,"P0(전)",$M:$M,"&gt;0")&lt;&gt;1,"P0(전) 유효 1개 아님",IF(COUNTIFS($C:$C,$C325,$D:$D,$D325,$E:$E,"P0(후)",$M:$M,"&gt;0")&lt;&gt;1,"P0(후) 유효 1개 아님",IF(NOT(AND(ISNUMBER(O325),ISNUMBER(Q325),ISNUMBER(I325))),"시각 결측",IF(Q325&lt;=O325,"P0 시각 역전",IF(OR(I325&lt;O325,I325&gt;Q325),"측정시각 구간 밖","OK")))))</f>
        <v/>
      </c>
      <c r="O325" s="48">
        <f>IF(COUNTIFS($C:$C,$C325,$D:$D,$D325,$E:$E,"P0(전)",$M:$M,"&gt;0")&lt;&gt;1,"",SUMIFS($I:$I,$C:$C,$C325,$D:$D,$D325,$E:$E,"P0(전)"))</f>
        <v/>
      </c>
      <c r="P325" s="31">
        <f>IF(COUNTIFS($C:$C,$C325,$D:$D,$D325,$E:$E,"P0(전)",$M:$M,"&gt;0")&lt;&gt;1,"",SUMIFS($M:$M,$C:$C,$C325,$D:$D,$D325,$E:$E,"P0(전)"))</f>
        <v/>
      </c>
      <c r="Q325" s="48">
        <f>IF(COUNTIFS($C:$C,$C325,$D:$D,$D325,$E:$E,"P0(후)",$M:$M,"&gt;0")&lt;&gt;1,"",SUMIFS($I:$I,$C:$C,$C325,$D:$D,$D325,$E:$E,"P0(후)"))</f>
        <v/>
      </c>
      <c r="R325" s="31">
        <f>IF(COUNTIFS($C:$C,$C325,$D:$D,$D325,$E:$E,"P0(후)",$M:$M,"&gt;0")&lt;&gt;1,"",SUMIFS($M:$M,$C:$C,$C325,$D:$D,$D325,$E:$E,"P0(후)"))</f>
        <v/>
      </c>
      <c r="S325" s="31">
        <f>IF(N325&lt;&gt;"OK","",P325+(R325-P325)*(I325-O325)/(Q325-O325))</f>
        <v/>
      </c>
      <c r="T325" s="31">
        <f>IF(OR(N325&lt;&gt;"OK",NOT(ISNUMBER(M325))),"",M325-S325)</f>
        <v/>
      </c>
      <c r="U325" s="49">
        <f>IF(OR(NOT(ISNUMBER(T325)),IF(ISNUMBER(H325),H325,G325)=0),"",T325/IF(ISNUMBER(H325),H325,G325))</f>
        <v/>
      </c>
      <c r="V325" s="49">
        <f>IF(ISNUMBER(U325),ABS(U325),"")</f>
        <v/>
      </c>
      <c r="W325" s="49">
        <f>IF(OR($E324&lt;&gt;"측정",$C324&lt;&gt;$C325,$D324&lt;&gt;$D325,NOT(ISNUMBER(M325)),NOT(ISNUMBER(M324)),(IF(ISNUMBER(H325),H325,G325)-IF(ISNUMBER(H324),H324,G324))=0),"",(M325-M324)/(IF(ISNUMBER(H325),H325,G325)-IF(ISNUMBER(H324),H324,G324)))</f>
        <v/>
      </c>
      <c r="X325" s="31">
        <f>IF(NOT(AND(ISNUMBER(O325),ISNUMBER(Q325))),"",(Q325-O325)*1440)</f>
        <v/>
      </c>
      <c r="Y325" s="29" t="n"/>
      <c r="Z325" s="29" t="n"/>
      <c r="AA325" s="29" t="n"/>
      <c r="AB325" s="32" t="n"/>
      <c r="AC325" s="32" t="n"/>
    </row>
    <row r="326">
      <c r="A326" s="26" t="inlineStr">
        <is>
          <t>S07</t>
        </is>
      </c>
      <c r="B326" s="26" t="inlineStr">
        <is>
          <t>남해 신규점1</t>
        </is>
      </c>
      <c r="C326" s="26" t="inlineStr">
        <is>
          <t>S07-H동</t>
        </is>
      </c>
      <c r="D326" s="47" t="n">
        <v>1</v>
      </c>
      <c r="E326" s="26" t="inlineStr">
        <is>
          <t>측정</t>
        </is>
      </c>
      <c r="F326" s="26" t="inlineStr">
        <is>
          <t>동</t>
        </is>
      </c>
      <c r="G326" s="31" t="n">
        <v>7</v>
      </c>
      <c r="H326" s="30" t="n"/>
      <c r="I326" s="43" t="n"/>
      <c r="J326" s="41" t="n"/>
      <c r="K326" s="41" t="n"/>
      <c r="L326" s="41" t="n"/>
      <c r="M326" s="31">
        <f>IF(COUNT(J326:L326)=0,"",MEDIAN(J326:L326))</f>
        <v/>
      </c>
      <c r="N326" s="26">
        <f>IF(COUNTIFS($C:$C,$C326,$D:$D,$D326,$E:$E,"P0(전)",$M:$M,"&gt;0")&lt;&gt;1,"P0(전) 유효 1개 아님",IF(COUNTIFS($C:$C,$C326,$D:$D,$D326,$E:$E,"P0(후)",$M:$M,"&gt;0")&lt;&gt;1,"P0(후) 유효 1개 아님",IF(NOT(AND(ISNUMBER(O326),ISNUMBER(Q326),ISNUMBER(I326))),"시각 결측",IF(Q326&lt;=O326,"P0 시각 역전",IF(OR(I326&lt;O326,I326&gt;Q326),"측정시각 구간 밖","OK")))))</f>
        <v/>
      </c>
      <c r="O326" s="48">
        <f>IF(COUNTIFS($C:$C,$C326,$D:$D,$D326,$E:$E,"P0(전)",$M:$M,"&gt;0")&lt;&gt;1,"",SUMIFS($I:$I,$C:$C,$C326,$D:$D,$D326,$E:$E,"P0(전)"))</f>
        <v/>
      </c>
      <c r="P326" s="31">
        <f>IF(COUNTIFS($C:$C,$C326,$D:$D,$D326,$E:$E,"P0(전)",$M:$M,"&gt;0")&lt;&gt;1,"",SUMIFS($M:$M,$C:$C,$C326,$D:$D,$D326,$E:$E,"P0(전)"))</f>
        <v/>
      </c>
      <c r="Q326" s="48">
        <f>IF(COUNTIFS($C:$C,$C326,$D:$D,$D326,$E:$E,"P0(후)",$M:$M,"&gt;0")&lt;&gt;1,"",SUMIFS($I:$I,$C:$C,$C326,$D:$D,$D326,$E:$E,"P0(후)"))</f>
        <v/>
      </c>
      <c r="R326" s="31">
        <f>IF(COUNTIFS($C:$C,$C326,$D:$D,$D326,$E:$E,"P0(후)",$M:$M,"&gt;0")&lt;&gt;1,"",SUMIFS($M:$M,$C:$C,$C326,$D:$D,$D326,$E:$E,"P0(후)"))</f>
        <v/>
      </c>
      <c r="S326" s="31">
        <f>IF(N326&lt;&gt;"OK","",P326+(R326-P326)*(I326-O326)/(Q326-O326))</f>
        <v/>
      </c>
      <c r="T326" s="31">
        <f>IF(OR(N326&lt;&gt;"OK",NOT(ISNUMBER(M326))),"",M326-S326)</f>
        <v/>
      </c>
      <c r="U326" s="49">
        <f>IF(OR(NOT(ISNUMBER(T326)),IF(ISNUMBER(H326),H326,G326)=0),"",T326/IF(ISNUMBER(H326),H326,G326))</f>
        <v/>
      </c>
      <c r="V326" s="49">
        <f>IF(ISNUMBER(U326),ABS(U326),"")</f>
        <v/>
      </c>
      <c r="W326" s="49">
        <f>IF(OR($E325&lt;&gt;"측정",$C325&lt;&gt;$C326,$D325&lt;&gt;$D326,NOT(ISNUMBER(M326)),NOT(ISNUMBER(M325)),(IF(ISNUMBER(H326),H326,G326)-IF(ISNUMBER(H325),H325,G325))=0),"",(M326-M325)/(IF(ISNUMBER(H326),H326,G326)-IF(ISNUMBER(H325),H325,G325)))</f>
        <v/>
      </c>
      <c r="X326" s="31">
        <f>IF(NOT(AND(ISNUMBER(O326),ISNUMBER(Q326))),"",(Q326-O326)*1440)</f>
        <v/>
      </c>
      <c r="Y326" s="29" t="n"/>
      <c r="Z326" s="29" t="n"/>
      <c r="AA326" s="29" t="n"/>
      <c r="AB326" s="32" t="n"/>
      <c r="AC326" s="32" t="n"/>
    </row>
    <row r="327">
      <c r="A327" s="26" t="inlineStr">
        <is>
          <t>S07</t>
        </is>
      </c>
      <c r="B327" s="26" t="inlineStr">
        <is>
          <t>남해 신규점1</t>
        </is>
      </c>
      <c r="C327" s="26" t="inlineStr">
        <is>
          <t>S07-H동</t>
        </is>
      </c>
      <c r="D327" s="47" t="n">
        <v>1</v>
      </c>
      <c r="E327" s="26" t="inlineStr">
        <is>
          <t>측정</t>
        </is>
      </c>
      <c r="F327" s="26" t="inlineStr">
        <is>
          <t>동</t>
        </is>
      </c>
      <c r="G327" s="31" t="n">
        <v>8</v>
      </c>
      <c r="H327" s="30" t="n"/>
      <c r="I327" s="43" t="n"/>
      <c r="J327" s="41" t="n"/>
      <c r="K327" s="41" t="n"/>
      <c r="L327" s="41" t="n"/>
      <c r="M327" s="31">
        <f>IF(COUNT(J327:L327)=0,"",MEDIAN(J327:L327))</f>
        <v/>
      </c>
      <c r="N327" s="26">
        <f>IF(COUNTIFS($C:$C,$C327,$D:$D,$D327,$E:$E,"P0(전)",$M:$M,"&gt;0")&lt;&gt;1,"P0(전) 유효 1개 아님",IF(COUNTIFS($C:$C,$C327,$D:$D,$D327,$E:$E,"P0(후)",$M:$M,"&gt;0")&lt;&gt;1,"P0(후) 유효 1개 아님",IF(NOT(AND(ISNUMBER(O327),ISNUMBER(Q327),ISNUMBER(I327))),"시각 결측",IF(Q327&lt;=O327,"P0 시각 역전",IF(OR(I327&lt;O327,I327&gt;Q327),"측정시각 구간 밖","OK")))))</f>
        <v/>
      </c>
      <c r="O327" s="48">
        <f>IF(COUNTIFS($C:$C,$C327,$D:$D,$D327,$E:$E,"P0(전)",$M:$M,"&gt;0")&lt;&gt;1,"",SUMIFS($I:$I,$C:$C,$C327,$D:$D,$D327,$E:$E,"P0(전)"))</f>
        <v/>
      </c>
      <c r="P327" s="31">
        <f>IF(COUNTIFS($C:$C,$C327,$D:$D,$D327,$E:$E,"P0(전)",$M:$M,"&gt;0")&lt;&gt;1,"",SUMIFS($M:$M,$C:$C,$C327,$D:$D,$D327,$E:$E,"P0(전)"))</f>
        <v/>
      </c>
      <c r="Q327" s="48">
        <f>IF(COUNTIFS($C:$C,$C327,$D:$D,$D327,$E:$E,"P0(후)",$M:$M,"&gt;0")&lt;&gt;1,"",SUMIFS($I:$I,$C:$C,$C327,$D:$D,$D327,$E:$E,"P0(후)"))</f>
        <v/>
      </c>
      <c r="R327" s="31">
        <f>IF(COUNTIFS($C:$C,$C327,$D:$D,$D327,$E:$E,"P0(후)",$M:$M,"&gt;0")&lt;&gt;1,"",SUMIFS($M:$M,$C:$C,$C327,$D:$D,$D327,$E:$E,"P0(후)"))</f>
        <v/>
      </c>
      <c r="S327" s="31">
        <f>IF(N327&lt;&gt;"OK","",P327+(R327-P327)*(I327-O327)/(Q327-O327))</f>
        <v/>
      </c>
      <c r="T327" s="31">
        <f>IF(OR(N327&lt;&gt;"OK",NOT(ISNUMBER(M327))),"",M327-S327)</f>
        <v/>
      </c>
      <c r="U327" s="49">
        <f>IF(OR(NOT(ISNUMBER(T327)),IF(ISNUMBER(H327),H327,G327)=0),"",T327/IF(ISNUMBER(H327),H327,G327))</f>
        <v/>
      </c>
      <c r="V327" s="49">
        <f>IF(ISNUMBER(U327),ABS(U327),"")</f>
        <v/>
      </c>
      <c r="W327" s="49">
        <f>IF(OR($E326&lt;&gt;"측정",$C326&lt;&gt;$C327,$D326&lt;&gt;$D327,NOT(ISNUMBER(M327)),NOT(ISNUMBER(M326)),(IF(ISNUMBER(H327),H327,G327)-IF(ISNUMBER(H326),H326,G326))=0),"",(M327-M326)/(IF(ISNUMBER(H327),H327,G327)-IF(ISNUMBER(H326),H326,G326)))</f>
        <v/>
      </c>
      <c r="X327" s="31">
        <f>IF(NOT(AND(ISNUMBER(O327),ISNUMBER(Q327))),"",(Q327-O327)*1440)</f>
        <v/>
      </c>
      <c r="Y327" s="29" t="n"/>
      <c r="Z327" s="29" t="n"/>
      <c r="AA327" s="29" t="n"/>
      <c r="AB327" s="32" t="n"/>
      <c r="AC327" s="32" t="n"/>
    </row>
    <row r="328">
      <c r="A328" s="26" t="inlineStr">
        <is>
          <t>S07</t>
        </is>
      </c>
      <c r="B328" s="26" t="inlineStr">
        <is>
          <t>남해 신규점1</t>
        </is>
      </c>
      <c r="C328" s="26" t="inlineStr">
        <is>
          <t>S07-H동</t>
        </is>
      </c>
      <c r="D328" s="47" t="n">
        <v>1</v>
      </c>
      <c r="E328" s="26" t="inlineStr">
        <is>
          <t>측정</t>
        </is>
      </c>
      <c r="F328" s="26" t="inlineStr">
        <is>
          <t>동</t>
        </is>
      </c>
      <c r="G328" s="31" t="n">
        <v>9</v>
      </c>
      <c r="H328" s="30" t="n"/>
      <c r="I328" s="43" t="n"/>
      <c r="J328" s="41" t="n"/>
      <c r="K328" s="41" t="n"/>
      <c r="L328" s="41" t="n"/>
      <c r="M328" s="31">
        <f>IF(COUNT(J328:L328)=0,"",MEDIAN(J328:L328))</f>
        <v/>
      </c>
      <c r="N328" s="26">
        <f>IF(COUNTIFS($C:$C,$C328,$D:$D,$D328,$E:$E,"P0(전)",$M:$M,"&gt;0")&lt;&gt;1,"P0(전) 유효 1개 아님",IF(COUNTIFS($C:$C,$C328,$D:$D,$D328,$E:$E,"P0(후)",$M:$M,"&gt;0")&lt;&gt;1,"P0(후) 유효 1개 아님",IF(NOT(AND(ISNUMBER(O328),ISNUMBER(Q328),ISNUMBER(I328))),"시각 결측",IF(Q328&lt;=O328,"P0 시각 역전",IF(OR(I328&lt;O328,I328&gt;Q328),"측정시각 구간 밖","OK")))))</f>
        <v/>
      </c>
      <c r="O328" s="48">
        <f>IF(COUNTIFS($C:$C,$C328,$D:$D,$D328,$E:$E,"P0(전)",$M:$M,"&gt;0")&lt;&gt;1,"",SUMIFS($I:$I,$C:$C,$C328,$D:$D,$D328,$E:$E,"P0(전)"))</f>
        <v/>
      </c>
      <c r="P328" s="31">
        <f>IF(COUNTIFS($C:$C,$C328,$D:$D,$D328,$E:$E,"P0(전)",$M:$M,"&gt;0")&lt;&gt;1,"",SUMIFS($M:$M,$C:$C,$C328,$D:$D,$D328,$E:$E,"P0(전)"))</f>
        <v/>
      </c>
      <c r="Q328" s="48">
        <f>IF(COUNTIFS($C:$C,$C328,$D:$D,$D328,$E:$E,"P0(후)",$M:$M,"&gt;0")&lt;&gt;1,"",SUMIFS($I:$I,$C:$C,$C328,$D:$D,$D328,$E:$E,"P0(후)"))</f>
        <v/>
      </c>
      <c r="R328" s="31">
        <f>IF(COUNTIFS($C:$C,$C328,$D:$D,$D328,$E:$E,"P0(후)",$M:$M,"&gt;0")&lt;&gt;1,"",SUMIFS($M:$M,$C:$C,$C328,$D:$D,$D328,$E:$E,"P0(후)"))</f>
        <v/>
      </c>
      <c r="S328" s="31">
        <f>IF(N328&lt;&gt;"OK","",P328+(R328-P328)*(I328-O328)/(Q328-O328))</f>
        <v/>
      </c>
      <c r="T328" s="31">
        <f>IF(OR(N328&lt;&gt;"OK",NOT(ISNUMBER(M328))),"",M328-S328)</f>
        <v/>
      </c>
      <c r="U328" s="49">
        <f>IF(OR(NOT(ISNUMBER(T328)),IF(ISNUMBER(H328),H328,G328)=0),"",T328/IF(ISNUMBER(H328),H328,G328))</f>
        <v/>
      </c>
      <c r="V328" s="49">
        <f>IF(ISNUMBER(U328),ABS(U328),"")</f>
        <v/>
      </c>
      <c r="W328" s="49">
        <f>IF(OR($E327&lt;&gt;"측정",$C327&lt;&gt;$C328,$D327&lt;&gt;$D328,NOT(ISNUMBER(M328)),NOT(ISNUMBER(M327)),(IF(ISNUMBER(H328),H328,G328)-IF(ISNUMBER(H327),H327,G327))=0),"",(M328-M327)/(IF(ISNUMBER(H328),H328,G328)-IF(ISNUMBER(H327),H327,G327)))</f>
        <v/>
      </c>
      <c r="X328" s="31">
        <f>IF(NOT(AND(ISNUMBER(O328),ISNUMBER(Q328))),"",(Q328-O328)*1440)</f>
        <v/>
      </c>
      <c r="Y328" s="29" t="n"/>
      <c r="Z328" s="29" t="n"/>
      <c r="AA328" s="29" t="n"/>
      <c r="AB328" s="32" t="n"/>
      <c r="AC328" s="32" t="n"/>
    </row>
    <row r="329">
      <c r="A329" s="26" t="inlineStr">
        <is>
          <t>S07</t>
        </is>
      </c>
      <c r="B329" s="26" t="inlineStr">
        <is>
          <t>남해 신규점1</t>
        </is>
      </c>
      <c r="C329" s="26" t="inlineStr">
        <is>
          <t>S07-H동</t>
        </is>
      </c>
      <c r="D329" s="47" t="n">
        <v>1</v>
      </c>
      <c r="E329" s="26" t="inlineStr">
        <is>
          <t>측정</t>
        </is>
      </c>
      <c r="F329" s="26" t="inlineStr">
        <is>
          <t>동</t>
        </is>
      </c>
      <c r="G329" s="31" t="n">
        <v>10</v>
      </c>
      <c r="H329" s="30" t="n"/>
      <c r="I329" s="43" t="n"/>
      <c r="J329" s="41" t="n"/>
      <c r="K329" s="41" t="n"/>
      <c r="L329" s="41" t="n"/>
      <c r="M329" s="31">
        <f>IF(COUNT(J329:L329)=0,"",MEDIAN(J329:L329))</f>
        <v/>
      </c>
      <c r="N329" s="26">
        <f>IF(COUNTIFS($C:$C,$C329,$D:$D,$D329,$E:$E,"P0(전)",$M:$M,"&gt;0")&lt;&gt;1,"P0(전) 유효 1개 아님",IF(COUNTIFS($C:$C,$C329,$D:$D,$D329,$E:$E,"P0(후)",$M:$M,"&gt;0")&lt;&gt;1,"P0(후) 유효 1개 아님",IF(NOT(AND(ISNUMBER(O329),ISNUMBER(Q329),ISNUMBER(I329))),"시각 결측",IF(Q329&lt;=O329,"P0 시각 역전",IF(OR(I329&lt;O329,I329&gt;Q329),"측정시각 구간 밖","OK")))))</f>
        <v/>
      </c>
      <c r="O329" s="48">
        <f>IF(COUNTIFS($C:$C,$C329,$D:$D,$D329,$E:$E,"P0(전)",$M:$M,"&gt;0")&lt;&gt;1,"",SUMIFS($I:$I,$C:$C,$C329,$D:$D,$D329,$E:$E,"P0(전)"))</f>
        <v/>
      </c>
      <c r="P329" s="31">
        <f>IF(COUNTIFS($C:$C,$C329,$D:$D,$D329,$E:$E,"P0(전)",$M:$M,"&gt;0")&lt;&gt;1,"",SUMIFS($M:$M,$C:$C,$C329,$D:$D,$D329,$E:$E,"P0(전)"))</f>
        <v/>
      </c>
      <c r="Q329" s="48">
        <f>IF(COUNTIFS($C:$C,$C329,$D:$D,$D329,$E:$E,"P0(후)",$M:$M,"&gt;0")&lt;&gt;1,"",SUMIFS($I:$I,$C:$C,$C329,$D:$D,$D329,$E:$E,"P0(후)"))</f>
        <v/>
      </c>
      <c r="R329" s="31">
        <f>IF(COUNTIFS($C:$C,$C329,$D:$D,$D329,$E:$E,"P0(후)",$M:$M,"&gt;0")&lt;&gt;1,"",SUMIFS($M:$M,$C:$C,$C329,$D:$D,$D329,$E:$E,"P0(후)"))</f>
        <v/>
      </c>
      <c r="S329" s="31">
        <f>IF(N329&lt;&gt;"OK","",P329+(R329-P329)*(I329-O329)/(Q329-O329))</f>
        <v/>
      </c>
      <c r="T329" s="31">
        <f>IF(OR(N329&lt;&gt;"OK",NOT(ISNUMBER(M329))),"",M329-S329)</f>
        <v/>
      </c>
      <c r="U329" s="49">
        <f>IF(OR(NOT(ISNUMBER(T329)),IF(ISNUMBER(H329),H329,G329)=0),"",T329/IF(ISNUMBER(H329),H329,G329))</f>
        <v/>
      </c>
      <c r="V329" s="49">
        <f>IF(ISNUMBER(U329),ABS(U329),"")</f>
        <v/>
      </c>
      <c r="W329" s="49">
        <f>IF(OR($E328&lt;&gt;"측정",$C328&lt;&gt;$C329,$D328&lt;&gt;$D329,NOT(ISNUMBER(M329)),NOT(ISNUMBER(M328)),(IF(ISNUMBER(H329),H329,G329)-IF(ISNUMBER(H328),H328,G328))=0),"",(M329-M328)/(IF(ISNUMBER(H329),H329,G329)-IF(ISNUMBER(H328),H328,G328)))</f>
        <v/>
      </c>
      <c r="X329" s="31">
        <f>IF(NOT(AND(ISNUMBER(O329),ISNUMBER(Q329))),"",(Q329-O329)*1440)</f>
        <v/>
      </c>
      <c r="Y329" s="29" t="n"/>
      <c r="Z329" s="29" t="n"/>
      <c r="AA329" s="29" t="n"/>
      <c r="AB329" s="32" t="n"/>
      <c r="AC329" s="32" t="n"/>
    </row>
    <row r="330">
      <c r="A330" s="44" t="inlineStr">
        <is>
          <t>S07</t>
        </is>
      </c>
      <c r="B330" s="44" t="inlineStr">
        <is>
          <t>남해 신규점1</t>
        </is>
      </c>
      <c r="C330" s="44" t="inlineStr">
        <is>
          <t>S07-H동</t>
        </is>
      </c>
      <c r="D330" s="45" t="n">
        <v>1</v>
      </c>
      <c r="E330" s="44" t="inlineStr">
        <is>
          <t>P0(후)</t>
        </is>
      </c>
      <c r="F330" s="44" t="inlineStr">
        <is>
          <t>동</t>
        </is>
      </c>
      <c r="G330" s="46" t="n"/>
      <c r="H330" s="30" t="n"/>
      <c r="I330" s="43" t="n"/>
      <c r="J330" s="41" t="n"/>
      <c r="K330" s="41" t="n"/>
      <c r="L330" s="41" t="n"/>
      <c r="M330" s="31">
        <f>IF(COUNT(J330:L330)=0,"",MEDIAN(J330:L330))</f>
        <v/>
      </c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38" t="n"/>
      <c r="Y330" s="29" t="n"/>
      <c r="Z330" s="29" t="n"/>
      <c r="AA330" s="29" t="n"/>
      <c r="AB330" s="32" t="n"/>
      <c r="AC330" s="32" t="n"/>
    </row>
    <row r="331">
      <c r="A331" s="44" t="inlineStr">
        <is>
          <t>S07</t>
        </is>
      </c>
      <c r="B331" s="44" t="inlineStr">
        <is>
          <t>남해 신규점1</t>
        </is>
      </c>
      <c r="C331" s="44" t="inlineStr">
        <is>
          <t>S07-H서</t>
        </is>
      </c>
      <c r="D331" s="45" t="n">
        <v>1</v>
      </c>
      <c r="E331" s="44" t="inlineStr">
        <is>
          <t>P0(전)</t>
        </is>
      </c>
      <c r="F331" s="44" t="inlineStr">
        <is>
          <t>서</t>
        </is>
      </c>
      <c r="G331" s="46" t="n"/>
      <c r="H331" s="30" t="n"/>
      <c r="I331" s="43" t="n"/>
      <c r="J331" s="41" t="n"/>
      <c r="K331" s="41" t="n"/>
      <c r="L331" s="41" t="n"/>
      <c r="M331" s="31">
        <f>IF(COUNT(J331:L331)=0,"",MEDIAN(J331:L331))</f>
        <v/>
      </c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  <c r="X331" s="38" t="n"/>
      <c r="Y331" s="29" t="n"/>
      <c r="Z331" s="29" t="n"/>
      <c r="AA331" s="29" t="n"/>
      <c r="AB331" s="32" t="n"/>
      <c r="AC331" s="32" t="n"/>
    </row>
    <row r="332">
      <c r="A332" s="26" t="inlineStr">
        <is>
          <t>S07</t>
        </is>
      </c>
      <c r="B332" s="26" t="inlineStr">
        <is>
          <t>남해 신규점1</t>
        </is>
      </c>
      <c r="C332" s="26" t="inlineStr">
        <is>
          <t>S07-H서</t>
        </is>
      </c>
      <c r="D332" s="47" t="n">
        <v>1</v>
      </c>
      <c r="E332" s="26" t="inlineStr">
        <is>
          <t>측정</t>
        </is>
      </c>
      <c r="F332" s="26" t="inlineStr">
        <is>
          <t>서</t>
        </is>
      </c>
      <c r="G332" s="31" t="n">
        <v>0.5</v>
      </c>
      <c r="H332" s="30" t="n"/>
      <c r="I332" s="43" t="n"/>
      <c r="J332" s="41" t="n"/>
      <c r="K332" s="41" t="n"/>
      <c r="L332" s="41" t="n"/>
      <c r="M332" s="31">
        <f>IF(COUNT(J332:L332)=0,"",MEDIAN(J332:L332))</f>
        <v/>
      </c>
      <c r="N332" s="26">
        <f>IF(COUNTIFS($C:$C,$C332,$D:$D,$D332,$E:$E,"P0(전)",$M:$M,"&gt;0")&lt;&gt;1,"P0(전) 유효 1개 아님",IF(COUNTIFS($C:$C,$C332,$D:$D,$D332,$E:$E,"P0(후)",$M:$M,"&gt;0")&lt;&gt;1,"P0(후) 유효 1개 아님",IF(NOT(AND(ISNUMBER(O332),ISNUMBER(Q332),ISNUMBER(I332))),"시각 결측",IF(Q332&lt;=O332,"P0 시각 역전",IF(OR(I332&lt;O332,I332&gt;Q332),"측정시각 구간 밖","OK")))))</f>
        <v/>
      </c>
      <c r="O332" s="48">
        <f>IF(COUNTIFS($C:$C,$C332,$D:$D,$D332,$E:$E,"P0(전)",$M:$M,"&gt;0")&lt;&gt;1,"",SUMIFS($I:$I,$C:$C,$C332,$D:$D,$D332,$E:$E,"P0(전)"))</f>
        <v/>
      </c>
      <c r="P332" s="31">
        <f>IF(COUNTIFS($C:$C,$C332,$D:$D,$D332,$E:$E,"P0(전)",$M:$M,"&gt;0")&lt;&gt;1,"",SUMIFS($M:$M,$C:$C,$C332,$D:$D,$D332,$E:$E,"P0(전)"))</f>
        <v/>
      </c>
      <c r="Q332" s="48">
        <f>IF(COUNTIFS($C:$C,$C332,$D:$D,$D332,$E:$E,"P0(후)",$M:$M,"&gt;0")&lt;&gt;1,"",SUMIFS($I:$I,$C:$C,$C332,$D:$D,$D332,$E:$E,"P0(후)"))</f>
        <v/>
      </c>
      <c r="R332" s="31">
        <f>IF(COUNTIFS($C:$C,$C332,$D:$D,$D332,$E:$E,"P0(후)",$M:$M,"&gt;0")&lt;&gt;1,"",SUMIFS($M:$M,$C:$C,$C332,$D:$D,$D332,$E:$E,"P0(후)"))</f>
        <v/>
      </c>
      <c r="S332" s="31">
        <f>IF(N332&lt;&gt;"OK","",P332+(R332-P332)*(I332-O332)/(Q332-O332))</f>
        <v/>
      </c>
      <c r="T332" s="31">
        <f>IF(OR(N332&lt;&gt;"OK",NOT(ISNUMBER(M332))),"",M332-S332)</f>
        <v/>
      </c>
      <c r="U332" s="49">
        <f>IF(OR(NOT(ISNUMBER(T332)),IF(ISNUMBER(H332),H332,G332)=0),"",T332/IF(ISNUMBER(H332),H332,G332))</f>
        <v/>
      </c>
      <c r="V332" s="49">
        <f>IF(ISNUMBER(U332),ABS(U332),"")</f>
        <v/>
      </c>
      <c r="W332" s="49">
        <f>IF(OR($E331&lt;&gt;"측정",$C331&lt;&gt;$C332,$D331&lt;&gt;$D332,NOT(ISNUMBER(M332)),NOT(ISNUMBER(M331)),(IF(ISNUMBER(H332),H332,G332)-IF(ISNUMBER(H331),H331,G331))=0),"",(M332-M331)/(IF(ISNUMBER(H332),H332,G332)-IF(ISNUMBER(H331),H331,G331)))</f>
        <v/>
      </c>
      <c r="X332" s="31">
        <f>IF(NOT(AND(ISNUMBER(O332),ISNUMBER(Q332))),"",(Q332-O332)*1440)</f>
        <v/>
      </c>
      <c r="Y332" s="29" t="n"/>
      <c r="Z332" s="29" t="n"/>
      <c r="AA332" s="29" t="n"/>
      <c r="AB332" s="32" t="n"/>
      <c r="AC332" s="32" t="n"/>
    </row>
    <row r="333">
      <c r="A333" s="26" t="inlineStr">
        <is>
          <t>S07</t>
        </is>
      </c>
      <c r="B333" s="26" t="inlineStr">
        <is>
          <t>남해 신규점1</t>
        </is>
      </c>
      <c r="C333" s="26" t="inlineStr">
        <is>
          <t>S07-H서</t>
        </is>
      </c>
      <c r="D333" s="47" t="n">
        <v>1</v>
      </c>
      <c r="E333" s="26" t="inlineStr">
        <is>
          <t>측정</t>
        </is>
      </c>
      <c r="F333" s="26" t="inlineStr">
        <is>
          <t>서</t>
        </is>
      </c>
      <c r="G333" s="31" t="n">
        <v>1</v>
      </c>
      <c r="H333" s="30" t="n"/>
      <c r="I333" s="43" t="n"/>
      <c r="J333" s="41" t="n"/>
      <c r="K333" s="41" t="n"/>
      <c r="L333" s="41" t="n"/>
      <c r="M333" s="31">
        <f>IF(COUNT(J333:L333)=0,"",MEDIAN(J333:L333))</f>
        <v/>
      </c>
      <c r="N333" s="26">
        <f>IF(COUNTIFS($C:$C,$C333,$D:$D,$D333,$E:$E,"P0(전)",$M:$M,"&gt;0")&lt;&gt;1,"P0(전) 유효 1개 아님",IF(COUNTIFS($C:$C,$C333,$D:$D,$D333,$E:$E,"P0(후)",$M:$M,"&gt;0")&lt;&gt;1,"P0(후) 유효 1개 아님",IF(NOT(AND(ISNUMBER(O333),ISNUMBER(Q333),ISNUMBER(I333))),"시각 결측",IF(Q333&lt;=O333,"P0 시각 역전",IF(OR(I333&lt;O333,I333&gt;Q333),"측정시각 구간 밖","OK")))))</f>
        <v/>
      </c>
      <c r="O333" s="48">
        <f>IF(COUNTIFS($C:$C,$C333,$D:$D,$D333,$E:$E,"P0(전)",$M:$M,"&gt;0")&lt;&gt;1,"",SUMIFS($I:$I,$C:$C,$C333,$D:$D,$D333,$E:$E,"P0(전)"))</f>
        <v/>
      </c>
      <c r="P333" s="31">
        <f>IF(COUNTIFS($C:$C,$C333,$D:$D,$D333,$E:$E,"P0(전)",$M:$M,"&gt;0")&lt;&gt;1,"",SUMIFS($M:$M,$C:$C,$C333,$D:$D,$D333,$E:$E,"P0(전)"))</f>
        <v/>
      </c>
      <c r="Q333" s="48">
        <f>IF(COUNTIFS($C:$C,$C333,$D:$D,$D333,$E:$E,"P0(후)",$M:$M,"&gt;0")&lt;&gt;1,"",SUMIFS($I:$I,$C:$C,$C333,$D:$D,$D333,$E:$E,"P0(후)"))</f>
        <v/>
      </c>
      <c r="R333" s="31">
        <f>IF(COUNTIFS($C:$C,$C333,$D:$D,$D333,$E:$E,"P0(후)",$M:$M,"&gt;0")&lt;&gt;1,"",SUMIFS($M:$M,$C:$C,$C333,$D:$D,$D333,$E:$E,"P0(후)"))</f>
        <v/>
      </c>
      <c r="S333" s="31">
        <f>IF(N333&lt;&gt;"OK","",P333+(R333-P333)*(I333-O333)/(Q333-O333))</f>
        <v/>
      </c>
      <c r="T333" s="31">
        <f>IF(OR(N333&lt;&gt;"OK",NOT(ISNUMBER(M333))),"",M333-S333)</f>
        <v/>
      </c>
      <c r="U333" s="49">
        <f>IF(OR(NOT(ISNUMBER(T333)),IF(ISNUMBER(H333),H333,G333)=0),"",T333/IF(ISNUMBER(H333),H333,G333))</f>
        <v/>
      </c>
      <c r="V333" s="49">
        <f>IF(ISNUMBER(U333),ABS(U333),"")</f>
        <v/>
      </c>
      <c r="W333" s="49">
        <f>IF(OR($E332&lt;&gt;"측정",$C332&lt;&gt;$C333,$D332&lt;&gt;$D333,NOT(ISNUMBER(M333)),NOT(ISNUMBER(M332)),(IF(ISNUMBER(H333),H333,G333)-IF(ISNUMBER(H332),H332,G332))=0),"",(M333-M332)/(IF(ISNUMBER(H333),H333,G333)-IF(ISNUMBER(H332),H332,G332)))</f>
        <v/>
      </c>
      <c r="X333" s="31">
        <f>IF(NOT(AND(ISNUMBER(O333),ISNUMBER(Q333))),"",(Q333-O333)*1440)</f>
        <v/>
      </c>
      <c r="Y333" s="29" t="n"/>
      <c r="Z333" s="29" t="n"/>
      <c r="AA333" s="29" t="n"/>
      <c r="AB333" s="32" t="n"/>
      <c r="AC333" s="32" t="n"/>
    </row>
    <row r="334">
      <c r="A334" s="26" t="inlineStr">
        <is>
          <t>S07</t>
        </is>
      </c>
      <c r="B334" s="26" t="inlineStr">
        <is>
          <t>남해 신규점1</t>
        </is>
      </c>
      <c r="C334" s="26" t="inlineStr">
        <is>
          <t>S07-H서</t>
        </is>
      </c>
      <c r="D334" s="47" t="n">
        <v>1</v>
      </c>
      <c r="E334" s="26" t="inlineStr">
        <is>
          <t>측정</t>
        </is>
      </c>
      <c r="F334" s="26" t="inlineStr">
        <is>
          <t>서</t>
        </is>
      </c>
      <c r="G334" s="31" t="n">
        <v>2</v>
      </c>
      <c r="H334" s="30" t="n"/>
      <c r="I334" s="43" t="n"/>
      <c r="J334" s="41" t="n"/>
      <c r="K334" s="41" t="n"/>
      <c r="L334" s="41" t="n"/>
      <c r="M334" s="31">
        <f>IF(COUNT(J334:L334)=0,"",MEDIAN(J334:L334))</f>
        <v/>
      </c>
      <c r="N334" s="26">
        <f>IF(COUNTIFS($C:$C,$C334,$D:$D,$D334,$E:$E,"P0(전)",$M:$M,"&gt;0")&lt;&gt;1,"P0(전) 유효 1개 아님",IF(COUNTIFS($C:$C,$C334,$D:$D,$D334,$E:$E,"P0(후)",$M:$M,"&gt;0")&lt;&gt;1,"P0(후) 유효 1개 아님",IF(NOT(AND(ISNUMBER(O334),ISNUMBER(Q334),ISNUMBER(I334))),"시각 결측",IF(Q334&lt;=O334,"P0 시각 역전",IF(OR(I334&lt;O334,I334&gt;Q334),"측정시각 구간 밖","OK")))))</f>
        <v/>
      </c>
      <c r="O334" s="48">
        <f>IF(COUNTIFS($C:$C,$C334,$D:$D,$D334,$E:$E,"P0(전)",$M:$M,"&gt;0")&lt;&gt;1,"",SUMIFS($I:$I,$C:$C,$C334,$D:$D,$D334,$E:$E,"P0(전)"))</f>
        <v/>
      </c>
      <c r="P334" s="31">
        <f>IF(COUNTIFS($C:$C,$C334,$D:$D,$D334,$E:$E,"P0(전)",$M:$M,"&gt;0")&lt;&gt;1,"",SUMIFS($M:$M,$C:$C,$C334,$D:$D,$D334,$E:$E,"P0(전)"))</f>
        <v/>
      </c>
      <c r="Q334" s="48">
        <f>IF(COUNTIFS($C:$C,$C334,$D:$D,$D334,$E:$E,"P0(후)",$M:$M,"&gt;0")&lt;&gt;1,"",SUMIFS($I:$I,$C:$C,$C334,$D:$D,$D334,$E:$E,"P0(후)"))</f>
        <v/>
      </c>
      <c r="R334" s="31">
        <f>IF(COUNTIFS($C:$C,$C334,$D:$D,$D334,$E:$E,"P0(후)",$M:$M,"&gt;0")&lt;&gt;1,"",SUMIFS($M:$M,$C:$C,$C334,$D:$D,$D334,$E:$E,"P0(후)"))</f>
        <v/>
      </c>
      <c r="S334" s="31">
        <f>IF(N334&lt;&gt;"OK","",P334+(R334-P334)*(I334-O334)/(Q334-O334))</f>
        <v/>
      </c>
      <c r="T334" s="31">
        <f>IF(OR(N334&lt;&gt;"OK",NOT(ISNUMBER(M334))),"",M334-S334)</f>
        <v/>
      </c>
      <c r="U334" s="49">
        <f>IF(OR(NOT(ISNUMBER(T334)),IF(ISNUMBER(H334),H334,G334)=0),"",T334/IF(ISNUMBER(H334),H334,G334))</f>
        <v/>
      </c>
      <c r="V334" s="49">
        <f>IF(ISNUMBER(U334),ABS(U334),"")</f>
        <v/>
      </c>
      <c r="W334" s="49">
        <f>IF(OR($E333&lt;&gt;"측정",$C333&lt;&gt;$C334,$D333&lt;&gt;$D334,NOT(ISNUMBER(M334)),NOT(ISNUMBER(M333)),(IF(ISNUMBER(H334),H334,G334)-IF(ISNUMBER(H333),H333,G333))=0),"",(M334-M333)/(IF(ISNUMBER(H334),H334,G334)-IF(ISNUMBER(H333),H333,G333)))</f>
        <v/>
      </c>
      <c r="X334" s="31">
        <f>IF(NOT(AND(ISNUMBER(O334),ISNUMBER(Q334))),"",(Q334-O334)*1440)</f>
        <v/>
      </c>
      <c r="Y334" s="29" t="n"/>
      <c r="Z334" s="29" t="n"/>
      <c r="AA334" s="29" t="n"/>
      <c r="AB334" s="32" t="n"/>
      <c r="AC334" s="32" t="n"/>
    </row>
    <row r="335">
      <c r="A335" s="26" t="inlineStr">
        <is>
          <t>S07</t>
        </is>
      </c>
      <c r="B335" s="26" t="inlineStr">
        <is>
          <t>남해 신규점1</t>
        </is>
      </c>
      <c r="C335" s="26" t="inlineStr">
        <is>
          <t>S07-H서</t>
        </is>
      </c>
      <c r="D335" s="47" t="n">
        <v>1</v>
      </c>
      <c r="E335" s="26" t="inlineStr">
        <is>
          <t>측정</t>
        </is>
      </c>
      <c r="F335" s="26" t="inlineStr">
        <is>
          <t>서</t>
        </is>
      </c>
      <c r="G335" s="31" t="n">
        <v>3</v>
      </c>
      <c r="H335" s="30" t="n"/>
      <c r="I335" s="43" t="n"/>
      <c r="J335" s="41" t="n"/>
      <c r="K335" s="41" t="n"/>
      <c r="L335" s="41" t="n"/>
      <c r="M335" s="31">
        <f>IF(COUNT(J335:L335)=0,"",MEDIAN(J335:L335))</f>
        <v/>
      </c>
      <c r="N335" s="26">
        <f>IF(COUNTIFS($C:$C,$C335,$D:$D,$D335,$E:$E,"P0(전)",$M:$M,"&gt;0")&lt;&gt;1,"P0(전) 유효 1개 아님",IF(COUNTIFS($C:$C,$C335,$D:$D,$D335,$E:$E,"P0(후)",$M:$M,"&gt;0")&lt;&gt;1,"P0(후) 유효 1개 아님",IF(NOT(AND(ISNUMBER(O335),ISNUMBER(Q335),ISNUMBER(I335))),"시각 결측",IF(Q335&lt;=O335,"P0 시각 역전",IF(OR(I335&lt;O335,I335&gt;Q335),"측정시각 구간 밖","OK")))))</f>
        <v/>
      </c>
      <c r="O335" s="48">
        <f>IF(COUNTIFS($C:$C,$C335,$D:$D,$D335,$E:$E,"P0(전)",$M:$M,"&gt;0")&lt;&gt;1,"",SUMIFS($I:$I,$C:$C,$C335,$D:$D,$D335,$E:$E,"P0(전)"))</f>
        <v/>
      </c>
      <c r="P335" s="31">
        <f>IF(COUNTIFS($C:$C,$C335,$D:$D,$D335,$E:$E,"P0(전)",$M:$M,"&gt;0")&lt;&gt;1,"",SUMIFS($M:$M,$C:$C,$C335,$D:$D,$D335,$E:$E,"P0(전)"))</f>
        <v/>
      </c>
      <c r="Q335" s="48">
        <f>IF(COUNTIFS($C:$C,$C335,$D:$D,$D335,$E:$E,"P0(후)",$M:$M,"&gt;0")&lt;&gt;1,"",SUMIFS($I:$I,$C:$C,$C335,$D:$D,$D335,$E:$E,"P0(후)"))</f>
        <v/>
      </c>
      <c r="R335" s="31">
        <f>IF(COUNTIFS($C:$C,$C335,$D:$D,$D335,$E:$E,"P0(후)",$M:$M,"&gt;0")&lt;&gt;1,"",SUMIFS($M:$M,$C:$C,$C335,$D:$D,$D335,$E:$E,"P0(후)"))</f>
        <v/>
      </c>
      <c r="S335" s="31">
        <f>IF(N335&lt;&gt;"OK","",P335+(R335-P335)*(I335-O335)/(Q335-O335))</f>
        <v/>
      </c>
      <c r="T335" s="31">
        <f>IF(OR(N335&lt;&gt;"OK",NOT(ISNUMBER(M335))),"",M335-S335)</f>
        <v/>
      </c>
      <c r="U335" s="49">
        <f>IF(OR(NOT(ISNUMBER(T335)),IF(ISNUMBER(H335),H335,G335)=0),"",T335/IF(ISNUMBER(H335),H335,G335))</f>
        <v/>
      </c>
      <c r="V335" s="49">
        <f>IF(ISNUMBER(U335),ABS(U335),"")</f>
        <v/>
      </c>
      <c r="W335" s="49">
        <f>IF(OR($E334&lt;&gt;"측정",$C334&lt;&gt;$C335,$D334&lt;&gt;$D335,NOT(ISNUMBER(M335)),NOT(ISNUMBER(M334)),(IF(ISNUMBER(H335),H335,G335)-IF(ISNUMBER(H334),H334,G334))=0),"",(M335-M334)/(IF(ISNUMBER(H335),H335,G335)-IF(ISNUMBER(H334),H334,G334)))</f>
        <v/>
      </c>
      <c r="X335" s="31">
        <f>IF(NOT(AND(ISNUMBER(O335),ISNUMBER(Q335))),"",(Q335-O335)*1440)</f>
        <v/>
      </c>
      <c r="Y335" s="29" t="n"/>
      <c r="Z335" s="29" t="n"/>
      <c r="AA335" s="29" t="n"/>
      <c r="AB335" s="32" t="n"/>
      <c r="AC335" s="32" t="n"/>
    </row>
    <row r="336">
      <c r="A336" s="26" t="inlineStr">
        <is>
          <t>S07</t>
        </is>
      </c>
      <c r="B336" s="26" t="inlineStr">
        <is>
          <t>남해 신규점1</t>
        </is>
      </c>
      <c r="C336" s="26" t="inlineStr">
        <is>
          <t>S07-H서</t>
        </is>
      </c>
      <c r="D336" s="47" t="n">
        <v>1</v>
      </c>
      <c r="E336" s="26" t="inlineStr">
        <is>
          <t>측정</t>
        </is>
      </c>
      <c r="F336" s="26" t="inlineStr">
        <is>
          <t>서</t>
        </is>
      </c>
      <c r="G336" s="31" t="n">
        <v>4</v>
      </c>
      <c r="H336" s="30" t="n"/>
      <c r="I336" s="43" t="n"/>
      <c r="J336" s="41" t="n"/>
      <c r="K336" s="41" t="n"/>
      <c r="L336" s="41" t="n"/>
      <c r="M336" s="31">
        <f>IF(COUNT(J336:L336)=0,"",MEDIAN(J336:L336))</f>
        <v/>
      </c>
      <c r="N336" s="26">
        <f>IF(COUNTIFS($C:$C,$C336,$D:$D,$D336,$E:$E,"P0(전)",$M:$M,"&gt;0")&lt;&gt;1,"P0(전) 유효 1개 아님",IF(COUNTIFS($C:$C,$C336,$D:$D,$D336,$E:$E,"P0(후)",$M:$M,"&gt;0")&lt;&gt;1,"P0(후) 유효 1개 아님",IF(NOT(AND(ISNUMBER(O336),ISNUMBER(Q336),ISNUMBER(I336))),"시각 결측",IF(Q336&lt;=O336,"P0 시각 역전",IF(OR(I336&lt;O336,I336&gt;Q336),"측정시각 구간 밖","OK")))))</f>
        <v/>
      </c>
      <c r="O336" s="48">
        <f>IF(COUNTIFS($C:$C,$C336,$D:$D,$D336,$E:$E,"P0(전)",$M:$M,"&gt;0")&lt;&gt;1,"",SUMIFS($I:$I,$C:$C,$C336,$D:$D,$D336,$E:$E,"P0(전)"))</f>
        <v/>
      </c>
      <c r="P336" s="31">
        <f>IF(COUNTIFS($C:$C,$C336,$D:$D,$D336,$E:$E,"P0(전)",$M:$M,"&gt;0")&lt;&gt;1,"",SUMIFS($M:$M,$C:$C,$C336,$D:$D,$D336,$E:$E,"P0(전)"))</f>
        <v/>
      </c>
      <c r="Q336" s="48">
        <f>IF(COUNTIFS($C:$C,$C336,$D:$D,$D336,$E:$E,"P0(후)",$M:$M,"&gt;0")&lt;&gt;1,"",SUMIFS($I:$I,$C:$C,$C336,$D:$D,$D336,$E:$E,"P0(후)"))</f>
        <v/>
      </c>
      <c r="R336" s="31">
        <f>IF(COUNTIFS($C:$C,$C336,$D:$D,$D336,$E:$E,"P0(후)",$M:$M,"&gt;0")&lt;&gt;1,"",SUMIFS($M:$M,$C:$C,$C336,$D:$D,$D336,$E:$E,"P0(후)"))</f>
        <v/>
      </c>
      <c r="S336" s="31">
        <f>IF(N336&lt;&gt;"OK","",P336+(R336-P336)*(I336-O336)/(Q336-O336))</f>
        <v/>
      </c>
      <c r="T336" s="31">
        <f>IF(OR(N336&lt;&gt;"OK",NOT(ISNUMBER(M336))),"",M336-S336)</f>
        <v/>
      </c>
      <c r="U336" s="49">
        <f>IF(OR(NOT(ISNUMBER(T336)),IF(ISNUMBER(H336),H336,G336)=0),"",T336/IF(ISNUMBER(H336),H336,G336))</f>
        <v/>
      </c>
      <c r="V336" s="49">
        <f>IF(ISNUMBER(U336),ABS(U336),"")</f>
        <v/>
      </c>
      <c r="W336" s="49">
        <f>IF(OR($E335&lt;&gt;"측정",$C335&lt;&gt;$C336,$D335&lt;&gt;$D336,NOT(ISNUMBER(M336)),NOT(ISNUMBER(M335)),(IF(ISNUMBER(H336),H336,G336)-IF(ISNUMBER(H335),H335,G335))=0),"",(M336-M335)/(IF(ISNUMBER(H336),H336,G336)-IF(ISNUMBER(H335),H335,G335)))</f>
        <v/>
      </c>
      <c r="X336" s="31">
        <f>IF(NOT(AND(ISNUMBER(O336),ISNUMBER(Q336))),"",(Q336-O336)*1440)</f>
        <v/>
      </c>
      <c r="Y336" s="29" t="n"/>
      <c r="Z336" s="29" t="n"/>
      <c r="AA336" s="29" t="n"/>
      <c r="AB336" s="32" t="n"/>
      <c r="AC336" s="32" t="n"/>
    </row>
    <row r="337">
      <c r="A337" s="26" t="inlineStr">
        <is>
          <t>S07</t>
        </is>
      </c>
      <c r="B337" s="26" t="inlineStr">
        <is>
          <t>남해 신규점1</t>
        </is>
      </c>
      <c r="C337" s="26" t="inlineStr">
        <is>
          <t>S07-H서</t>
        </is>
      </c>
      <c r="D337" s="47" t="n">
        <v>1</v>
      </c>
      <c r="E337" s="26" t="inlineStr">
        <is>
          <t>측정</t>
        </is>
      </c>
      <c r="F337" s="26" t="inlineStr">
        <is>
          <t>서</t>
        </is>
      </c>
      <c r="G337" s="31" t="n">
        <v>5</v>
      </c>
      <c r="H337" s="30" t="n"/>
      <c r="I337" s="43" t="n"/>
      <c r="J337" s="41" t="n"/>
      <c r="K337" s="41" t="n"/>
      <c r="L337" s="41" t="n"/>
      <c r="M337" s="31">
        <f>IF(COUNT(J337:L337)=0,"",MEDIAN(J337:L337))</f>
        <v/>
      </c>
      <c r="N337" s="26">
        <f>IF(COUNTIFS($C:$C,$C337,$D:$D,$D337,$E:$E,"P0(전)",$M:$M,"&gt;0")&lt;&gt;1,"P0(전) 유효 1개 아님",IF(COUNTIFS($C:$C,$C337,$D:$D,$D337,$E:$E,"P0(후)",$M:$M,"&gt;0")&lt;&gt;1,"P0(후) 유효 1개 아님",IF(NOT(AND(ISNUMBER(O337),ISNUMBER(Q337),ISNUMBER(I337))),"시각 결측",IF(Q337&lt;=O337,"P0 시각 역전",IF(OR(I337&lt;O337,I337&gt;Q337),"측정시각 구간 밖","OK")))))</f>
        <v/>
      </c>
      <c r="O337" s="48">
        <f>IF(COUNTIFS($C:$C,$C337,$D:$D,$D337,$E:$E,"P0(전)",$M:$M,"&gt;0")&lt;&gt;1,"",SUMIFS($I:$I,$C:$C,$C337,$D:$D,$D337,$E:$E,"P0(전)"))</f>
        <v/>
      </c>
      <c r="P337" s="31">
        <f>IF(COUNTIFS($C:$C,$C337,$D:$D,$D337,$E:$E,"P0(전)",$M:$M,"&gt;0")&lt;&gt;1,"",SUMIFS($M:$M,$C:$C,$C337,$D:$D,$D337,$E:$E,"P0(전)"))</f>
        <v/>
      </c>
      <c r="Q337" s="48">
        <f>IF(COUNTIFS($C:$C,$C337,$D:$D,$D337,$E:$E,"P0(후)",$M:$M,"&gt;0")&lt;&gt;1,"",SUMIFS($I:$I,$C:$C,$C337,$D:$D,$D337,$E:$E,"P0(후)"))</f>
        <v/>
      </c>
      <c r="R337" s="31">
        <f>IF(COUNTIFS($C:$C,$C337,$D:$D,$D337,$E:$E,"P0(후)",$M:$M,"&gt;0")&lt;&gt;1,"",SUMIFS($M:$M,$C:$C,$C337,$D:$D,$D337,$E:$E,"P0(후)"))</f>
        <v/>
      </c>
      <c r="S337" s="31">
        <f>IF(N337&lt;&gt;"OK","",P337+(R337-P337)*(I337-O337)/(Q337-O337))</f>
        <v/>
      </c>
      <c r="T337" s="31">
        <f>IF(OR(N337&lt;&gt;"OK",NOT(ISNUMBER(M337))),"",M337-S337)</f>
        <v/>
      </c>
      <c r="U337" s="49">
        <f>IF(OR(NOT(ISNUMBER(T337)),IF(ISNUMBER(H337),H337,G337)=0),"",T337/IF(ISNUMBER(H337),H337,G337))</f>
        <v/>
      </c>
      <c r="V337" s="49">
        <f>IF(ISNUMBER(U337),ABS(U337),"")</f>
        <v/>
      </c>
      <c r="W337" s="49">
        <f>IF(OR($E336&lt;&gt;"측정",$C336&lt;&gt;$C337,$D336&lt;&gt;$D337,NOT(ISNUMBER(M337)),NOT(ISNUMBER(M336)),(IF(ISNUMBER(H337),H337,G337)-IF(ISNUMBER(H336),H336,G336))=0),"",(M337-M336)/(IF(ISNUMBER(H337),H337,G337)-IF(ISNUMBER(H336),H336,G336)))</f>
        <v/>
      </c>
      <c r="X337" s="31">
        <f>IF(NOT(AND(ISNUMBER(O337),ISNUMBER(Q337))),"",(Q337-O337)*1440)</f>
        <v/>
      </c>
      <c r="Y337" s="29" t="n"/>
      <c r="Z337" s="29" t="n"/>
      <c r="AA337" s="29" t="n"/>
      <c r="AB337" s="32" t="n"/>
      <c r="AC337" s="32" t="n"/>
    </row>
    <row r="338">
      <c r="A338" s="26" t="inlineStr">
        <is>
          <t>S07</t>
        </is>
      </c>
      <c r="B338" s="26" t="inlineStr">
        <is>
          <t>남해 신규점1</t>
        </is>
      </c>
      <c r="C338" s="26" t="inlineStr">
        <is>
          <t>S07-H서</t>
        </is>
      </c>
      <c r="D338" s="47" t="n">
        <v>1</v>
      </c>
      <c r="E338" s="26" t="inlineStr">
        <is>
          <t>측정</t>
        </is>
      </c>
      <c r="F338" s="26" t="inlineStr">
        <is>
          <t>서</t>
        </is>
      </c>
      <c r="G338" s="31" t="n">
        <v>6</v>
      </c>
      <c r="H338" s="30" t="n"/>
      <c r="I338" s="43" t="n"/>
      <c r="J338" s="41" t="n"/>
      <c r="K338" s="41" t="n"/>
      <c r="L338" s="41" t="n"/>
      <c r="M338" s="31">
        <f>IF(COUNT(J338:L338)=0,"",MEDIAN(J338:L338))</f>
        <v/>
      </c>
      <c r="N338" s="26">
        <f>IF(COUNTIFS($C:$C,$C338,$D:$D,$D338,$E:$E,"P0(전)",$M:$M,"&gt;0")&lt;&gt;1,"P0(전) 유효 1개 아님",IF(COUNTIFS($C:$C,$C338,$D:$D,$D338,$E:$E,"P0(후)",$M:$M,"&gt;0")&lt;&gt;1,"P0(후) 유효 1개 아님",IF(NOT(AND(ISNUMBER(O338),ISNUMBER(Q338),ISNUMBER(I338))),"시각 결측",IF(Q338&lt;=O338,"P0 시각 역전",IF(OR(I338&lt;O338,I338&gt;Q338),"측정시각 구간 밖","OK")))))</f>
        <v/>
      </c>
      <c r="O338" s="48">
        <f>IF(COUNTIFS($C:$C,$C338,$D:$D,$D338,$E:$E,"P0(전)",$M:$M,"&gt;0")&lt;&gt;1,"",SUMIFS($I:$I,$C:$C,$C338,$D:$D,$D338,$E:$E,"P0(전)"))</f>
        <v/>
      </c>
      <c r="P338" s="31">
        <f>IF(COUNTIFS($C:$C,$C338,$D:$D,$D338,$E:$E,"P0(전)",$M:$M,"&gt;0")&lt;&gt;1,"",SUMIFS($M:$M,$C:$C,$C338,$D:$D,$D338,$E:$E,"P0(전)"))</f>
        <v/>
      </c>
      <c r="Q338" s="48">
        <f>IF(COUNTIFS($C:$C,$C338,$D:$D,$D338,$E:$E,"P0(후)",$M:$M,"&gt;0")&lt;&gt;1,"",SUMIFS($I:$I,$C:$C,$C338,$D:$D,$D338,$E:$E,"P0(후)"))</f>
        <v/>
      </c>
      <c r="R338" s="31">
        <f>IF(COUNTIFS($C:$C,$C338,$D:$D,$D338,$E:$E,"P0(후)",$M:$M,"&gt;0")&lt;&gt;1,"",SUMIFS($M:$M,$C:$C,$C338,$D:$D,$D338,$E:$E,"P0(후)"))</f>
        <v/>
      </c>
      <c r="S338" s="31">
        <f>IF(N338&lt;&gt;"OK","",P338+(R338-P338)*(I338-O338)/(Q338-O338))</f>
        <v/>
      </c>
      <c r="T338" s="31">
        <f>IF(OR(N338&lt;&gt;"OK",NOT(ISNUMBER(M338))),"",M338-S338)</f>
        <v/>
      </c>
      <c r="U338" s="49">
        <f>IF(OR(NOT(ISNUMBER(T338)),IF(ISNUMBER(H338),H338,G338)=0),"",T338/IF(ISNUMBER(H338),H338,G338))</f>
        <v/>
      </c>
      <c r="V338" s="49">
        <f>IF(ISNUMBER(U338),ABS(U338),"")</f>
        <v/>
      </c>
      <c r="W338" s="49">
        <f>IF(OR($E337&lt;&gt;"측정",$C337&lt;&gt;$C338,$D337&lt;&gt;$D338,NOT(ISNUMBER(M338)),NOT(ISNUMBER(M337)),(IF(ISNUMBER(H338),H338,G338)-IF(ISNUMBER(H337),H337,G337))=0),"",(M338-M337)/(IF(ISNUMBER(H338),H338,G338)-IF(ISNUMBER(H337),H337,G337)))</f>
        <v/>
      </c>
      <c r="X338" s="31">
        <f>IF(NOT(AND(ISNUMBER(O338),ISNUMBER(Q338))),"",(Q338-O338)*1440)</f>
        <v/>
      </c>
      <c r="Y338" s="29" t="n"/>
      <c r="Z338" s="29" t="n"/>
      <c r="AA338" s="29" t="n"/>
      <c r="AB338" s="32" t="n"/>
      <c r="AC338" s="32" t="n"/>
    </row>
    <row r="339">
      <c r="A339" s="26" t="inlineStr">
        <is>
          <t>S07</t>
        </is>
      </c>
      <c r="B339" s="26" t="inlineStr">
        <is>
          <t>남해 신규점1</t>
        </is>
      </c>
      <c r="C339" s="26" t="inlineStr">
        <is>
          <t>S07-H서</t>
        </is>
      </c>
      <c r="D339" s="47" t="n">
        <v>1</v>
      </c>
      <c r="E339" s="26" t="inlineStr">
        <is>
          <t>측정</t>
        </is>
      </c>
      <c r="F339" s="26" t="inlineStr">
        <is>
          <t>서</t>
        </is>
      </c>
      <c r="G339" s="31" t="n">
        <v>7</v>
      </c>
      <c r="H339" s="30" t="n"/>
      <c r="I339" s="43" t="n"/>
      <c r="J339" s="41" t="n"/>
      <c r="K339" s="41" t="n"/>
      <c r="L339" s="41" t="n"/>
      <c r="M339" s="31">
        <f>IF(COUNT(J339:L339)=0,"",MEDIAN(J339:L339))</f>
        <v/>
      </c>
      <c r="N339" s="26">
        <f>IF(COUNTIFS($C:$C,$C339,$D:$D,$D339,$E:$E,"P0(전)",$M:$M,"&gt;0")&lt;&gt;1,"P0(전) 유효 1개 아님",IF(COUNTIFS($C:$C,$C339,$D:$D,$D339,$E:$E,"P0(후)",$M:$M,"&gt;0")&lt;&gt;1,"P0(후) 유효 1개 아님",IF(NOT(AND(ISNUMBER(O339),ISNUMBER(Q339),ISNUMBER(I339))),"시각 결측",IF(Q339&lt;=O339,"P0 시각 역전",IF(OR(I339&lt;O339,I339&gt;Q339),"측정시각 구간 밖","OK")))))</f>
        <v/>
      </c>
      <c r="O339" s="48">
        <f>IF(COUNTIFS($C:$C,$C339,$D:$D,$D339,$E:$E,"P0(전)",$M:$M,"&gt;0")&lt;&gt;1,"",SUMIFS($I:$I,$C:$C,$C339,$D:$D,$D339,$E:$E,"P0(전)"))</f>
        <v/>
      </c>
      <c r="P339" s="31">
        <f>IF(COUNTIFS($C:$C,$C339,$D:$D,$D339,$E:$E,"P0(전)",$M:$M,"&gt;0")&lt;&gt;1,"",SUMIFS($M:$M,$C:$C,$C339,$D:$D,$D339,$E:$E,"P0(전)"))</f>
        <v/>
      </c>
      <c r="Q339" s="48">
        <f>IF(COUNTIFS($C:$C,$C339,$D:$D,$D339,$E:$E,"P0(후)",$M:$M,"&gt;0")&lt;&gt;1,"",SUMIFS($I:$I,$C:$C,$C339,$D:$D,$D339,$E:$E,"P0(후)"))</f>
        <v/>
      </c>
      <c r="R339" s="31">
        <f>IF(COUNTIFS($C:$C,$C339,$D:$D,$D339,$E:$E,"P0(후)",$M:$M,"&gt;0")&lt;&gt;1,"",SUMIFS($M:$M,$C:$C,$C339,$D:$D,$D339,$E:$E,"P0(후)"))</f>
        <v/>
      </c>
      <c r="S339" s="31">
        <f>IF(N339&lt;&gt;"OK","",P339+(R339-P339)*(I339-O339)/(Q339-O339))</f>
        <v/>
      </c>
      <c r="T339" s="31">
        <f>IF(OR(N339&lt;&gt;"OK",NOT(ISNUMBER(M339))),"",M339-S339)</f>
        <v/>
      </c>
      <c r="U339" s="49">
        <f>IF(OR(NOT(ISNUMBER(T339)),IF(ISNUMBER(H339),H339,G339)=0),"",T339/IF(ISNUMBER(H339),H339,G339))</f>
        <v/>
      </c>
      <c r="V339" s="49">
        <f>IF(ISNUMBER(U339),ABS(U339),"")</f>
        <v/>
      </c>
      <c r="W339" s="49">
        <f>IF(OR($E338&lt;&gt;"측정",$C338&lt;&gt;$C339,$D338&lt;&gt;$D339,NOT(ISNUMBER(M339)),NOT(ISNUMBER(M338)),(IF(ISNUMBER(H339),H339,G339)-IF(ISNUMBER(H338),H338,G338))=0),"",(M339-M338)/(IF(ISNUMBER(H339),H339,G339)-IF(ISNUMBER(H338),H338,G338)))</f>
        <v/>
      </c>
      <c r="X339" s="31">
        <f>IF(NOT(AND(ISNUMBER(O339),ISNUMBER(Q339))),"",(Q339-O339)*1440)</f>
        <v/>
      </c>
      <c r="Y339" s="29" t="n"/>
      <c r="Z339" s="29" t="n"/>
      <c r="AA339" s="29" t="n"/>
      <c r="AB339" s="32" t="n"/>
      <c r="AC339" s="32" t="n"/>
    </row>
    <row r="340">
      <c r="A340" s="26" t="inlineStr">
        <is>
          <t>S07</t>
        </is>
      </c>
      <c r="B340" s="26" t="inlineStr">
        <is>
          <t>남해 신규점1</t>
        </is>
      </c>
      <c r="C340" s="26" t="inlineStr">
        <is>
          <t>S07-H서</t>
        </is>
      </c>
      <c r="D340" s="47" t="n">
        <v>1</v>
      </c>
      <c r="E340" s="26" t="inlineStr">
        <is>
          <t>측정</t>
        </is>
      </c>
      <c r="F340" s="26" t="inlineStr">
        <is>
          <t>서</t>
        </is>
      </c>
      <c r="G340" s="31" t="n">
        <v>8</v>
      </c>
      <c r="H340" s="30" t="n"/>
      <c r="I340" s="43" t="n"/>
      <c r="J340" s="41" t="n"/>
      <c r="K340" s="41" t="n"/>
      <c r="L340" s="41" t="n"/>
      <c r="M340" s="31">
        <f>IF(COUNT(J340:L340)=0,"",MEDIAN(J340:L340))</f>
        <v/>
      </c>
      <c r="N340" s="26">
        <f>IF(COUNTIFS($C:$C,$C340,$D:$D,$D340,$E:$E,"P0(전)",$M:$M,"&gt;0")&lt;&gt;1,"P0(전) 유효 1개 아님",IF(COUNTIFS($C:$C,$C340,$D:$D,$D340,$E:$E,"P0(후)",$M:$M,"&gt;0")&lt;&gt;1,"P0(후) 유효 1개 아님",IF(NOT(AND(ISNUMBER(O340),ISNUMBER(Q340),ISNUMBER(I340))),"시각 결측",IF(Q340&lt;=O340,"P0 시각 역전",IF(OR(I340&lt;O340,I340&gt;Q340),"측정시각 구간 밖","OK")))))</f>
        <v/>
      </c>
      <c r="O340" s="48">
        <f>IF(COUNTIFS($C:$C,$C340,$D:$D,$D340,$E:$E,"P0(전)",$M:$M,"&gt;0")&lt;&gt;1,"",SUMIFS($I:$I,$C:$C,$C340,$D:$D,$D340,$E:$E,"P0(전)"))</f>
        <v/>
      </c>
      <c r="P340" s="31">
        <f>IF(COUNTIFS($C:$C,$C340,$D:$D,$D340,$E:$E,"P0(전)",$M:$M,"&gt;0")&lt;&gt;1,"",SUMIFS($M:$M,$C:$C,$C340,$D:$D,$D340,$E:$E,"P0(전)"))</f>
        <v/>
      </c>
      <c r="Q340" s="48">
        <f>IF(COUNTIFS($C:$C,$C340,$D:$D,$D340,$E:$E,"P0(후)",$M:$M,"&gt;0")&lt;&gt;1,"",SUMIFS($I:$I,$C:$C,$C340,$D:$D,$D340,$E:$E,"P0(후)"))</f>
        <v/>
      </c>
      <c r="R340" s="31">
        <f>IF(COUNTIFS($C:$C,$C340,$D:$D,$D340,$E:$E,"P0(후)",$M:$M,"&gt;0")&lt;&gt;1,"",SUMIFS($M:$M,$C:$C,$C340,$D:$D,$D340,$E:$E,"P0(후)"))</f>
        <v/>
      </c>
      <c r="S340" s="31">
        <f>IF(N340&lt;&gt;"OK","",P340+(R340-P340)*(I340-O340)/(Q340-O340))</f>
        <v/>
      </c>
      <c r="T340" s="31">
        <f>IF(OR(N340&lt;&gt;"OK",NOT(ISNUMBER(M340))),"",M340-S340)</f>
        <v/>
      </c>
      <c r="U340" s="49">
        <f>IF(OR(NOT(ISNUMBER(T340)),IF(ISNUMBER(H340),H340,G340)=0),"",T340/IF(ISNUMBER(H340),H340,G340))</f>
        <v/>
      </c>
      <c r="V340" s="49">
        <f>IF(ISNUMBER(U340),ABS(U340),"")</f>
        <v/>
      </c>
      <c r="W340" s="49">
        <f>IF(OR($E339&lt;&gt;"측정",$C339&lt;&gt;$C340,$D339&lt;&gt;$D340,NOT(ISNUMBER(M340)),NOT(ISNUMBER(M339)),(IF(ISNUMBER(H340),H340,G340)-IF(ISNUMBER(H339),H339,G339))=0),"",(M340-M339)/(IF(ISNUMBER(H340),H340,G340)-IF(ISNUMBER(H339),H339,G339)))</f>
        <v/>
      </c>
      <c r="X340" s="31">
        <f>IF(NOT(AND(ISNUMBER(O340),ISNUMBER(Q340))),"",(Q340-O340)*1440)</f>
        <v/>
      </c>
      <c r="Y340" s="29" t="n"/>
      <c r="Z340" s="29" t="n"/>
      <c r="AA340" s="29" t="n"/>
      <c r="AB340" s="32" t="n"/>
      <c r="AC340" s="32" t="n"/>
    </row>
    <row r="341">
      <c r="A341" s="26" t="inlineStr">
        <is>
          <t>S07</t>
        </is>
      </c>
      <c r="B341" s="26" t="inlineStr">
        <is>
          <t>남해 신규점1</t>
        </is>
      </c>
      <c r="C341" s="26" t="inlineStr">
        <is>
          <t>S07-H서</t>
        </is>
      </c>
      <c r="D341" s="47" t="n">
        <v>1</v>
      </c>
      <c r="E341" s="26" t="inlineStr">
        <is>
          <t>측정</t>
        </is>
      </c>
      <c r="F341" s="26" t="inlineStr">
        <is>
          <t>서</t>
        </is>
      </c>
      <c r="G341" s="31" t="n">
        <v>9</v>
      </c>
      <c r="H341" s="30" t="n"/>
      <c r="I341" s="43" t="n"/>
      <c r="J341" s="41" t="n"/>
      <c r="K341" s="41" t="n"/>
      <c r="L341" s="41" t="n"/>
      <c r="M341" s="31">
        <f>IF(COUNT(J341:L341)=0,"",MEDIAN(J341:L341))</f>
        <v/>
      </c>
      <c r="N341" s="26">
        <f>IF(COUNTIFS($C:$C,$C341,$D:$D,$D341,$E:$E,"P0(전)",$M:$M,"&gt;0")&lt;&gt;1,"P0(전) 유효 1개 아님",IF(COUNTIFS($C:$C,$C341,$D:$D,$D341,$E:$E,"P0(후)",$M:$M,"&gt;0")&lt;&gt;1,"P0(후) 유효 1개 아님",IF(NOT(AND(ISNUMBER(O341),ISNUMBER(Q341),ISNUMBER(I341))),"시각 결측",IF(Q341&lt;=O341,"P0 시각 역전",IF(OR(I341&lt;O341,I341&gt;Q341),"측정시각 구간 밖","OK")))))</f>
        <v/>
      </c>
      <c r="O341" s="48">
        <f>IF(COUNTIFS($C:$C,$C341,$D:$D,$D341,$E:$E,"P0(전)",$M:$M,"&gt;0")&lt;&gt;1,"",SUMIFS($I:$I,$C:$C,$C341,$D:$D,$D341,$E:$E,"P0(전)"))</f>
        <v/>
      </c>
      <c r="P341" s="31">
        <f>IF(COUNTIFS($C:$C,$C341,$D:$D,$D341,$E:$E,"P0(전)",$M:$M,"&gt;0")&lt;&gt;1,"",SUMIFS($M:$M,$C:$C,$C341,$D:$D,$D341,$E:$E,"P0(전)"))</f>
        <v/>
      </c>
      <c r="Q341" s="48">
        <f>IF(COUNTIFS($C:$C,$C341,$D:$D,$D341,$E:$E,"P0(후)",$M:$M,"&gt;0")&lt;&gt;1,"",SUMIFS($I:$I,$C:$C,$C341,$D:$D,$D341,$E:$E,"P0(후)"))</f>
        <v/>
      </c>
      <c r="R341" s="31">
        <f>IF(COUNTIFS($C:$C,$C341,$D:$D,$D341,$E:$E,"P0(후)",$M:$M,"&gt;0")&lt;&gt;1,"",SUMIFS($M:$M,$C:$C,$C341,$D:$D,$D341,$E:$E,"P0(후)"))</f>
        <v/>
      </c>
      <c r="S341" s="31">
        <f>IF(N341&lt;&gt;"OK","",P341+(R341-P341)*(I341-O341)/(Q341-O341))</f>
        <v/>
      </c>
      <c r="T341" s="31">
        <f>IF(OR(N341&lt;&gt;"OK",NOT(ISNUMBER(M341))),"",M341-S341)</f>
        <v/>
      </c>
      <c r="U341" s="49">
        <f>IF(OR(NOT(ISNUMBER(T341)),IF(ISNUMBER(H341),H341,G341)=0),"",T341/IF(ISNUMBER(H341),H341,G341))</f>
        <v/>
      </c>
      <c r="V341" s="49">
        <f>IF(ISNUMBER(U341),ABS(U341),"")</f>
        <v/>
      </c>
      <c r="W341" s="49">
        <f>IF(OR($E340&lt;&gt;"측정",$C340&lt;&gt;$C341,$D340&lt;&gt;$D341,NOT(ISNUMBER(M341)),NOT(ISNUMBER(M340)),(IF(ISNUMBER(H341),H341,G341)-IF(ISNUMBER(H340),H340,G340))=0),"",(M341-M340)/(IF(ISNUMBER(H341),H341,G341)-IF(ISNUMBER(H340),H340,G340)))</f>
        <v/>
      </c>
      <c r="X341" s="31">
        <f>IF(NOT(AND(ISNUMBER(O341),ISNUMBER(Q341))),"",(Q341-O341)*1440)</f>
        <v/>
      </c>
      <c r="Y341" s="29" t="n"/>
      <c r="Z341" s="29" t="n"/>
      <c r="AA341" s="29" t="n"/>
      <c r="AB341" s="32" t="n"/>
      <c r="AC341" s="32" t="n"/>
    </row>
    <row r="342">
      <c r="A342" s="26" t="inlineStr">
        <is>
          <t>S07</t>
        </is>
      </c>
      <c r="B342" s="26" t="inlineStr">
        <is>
          <t>남해 신규점1</t>
        </is>
      </c>
      <c r="C342" s="26" t="inlineStr">
        <is>
          <t>S07-H서</t>
        </is>
      </c>
      <c r="D342" s="47" t="n">
        <v>1</v>
      </c>
      <c r="E342" s="26" t="inlineStr">
        <is>
          <t>측정</t>
        </is>
      </c>
      <c r="F342" s="26" t="inlineStr">
        <is>
          <t>서</t>
        </is>
      </c>
      <c r="G342" s="31" t="n">
        <v>10</v>
      </c>
      <c r="H342" s="30" t="n"/>
      <c r="I342" s="43" t="n"/>
      <c r="J342" s="41" t="n"/>
      <c r="K342" s="41" t="n"/>
      <c r="L342" s="41" t="n"/>
      <c r="M342" s="31">
        <f>IF(COUNT(J342:L342)=0,"",MEDIAN(J342:L342))</f>
        <v/>
      </c>
      <c r="N342" s="26">
        <f>IF(COUNTIFS($C:$C,$C342,$D:$D,$D342,$E:$E,"P0(전)",$M:$M,"&gt;0")&lt;&gt;1,"P0(전) 유효 1개 아님",IF(COUNTIFS($C:$C,$C342,$D:$D,$D342,$E:$E,"P0(후)",$M:$M,"&gt;0")&lt;&gt;1,"P0(후) 유효 1개 아님",IF(NOT(AND(ISNUMBER(O342),ISNUMBER(Q342),ISNUMBER(I342))),"시각 결측",IF(Q342&lt;=O342,"P0 시각 역전",IF(OR(I342&lt;O342,I342&gt;Q342),"측정시각 구간 밖","OK")))))</f>
        <v/>
      </c>
      <c r="O342" s="48">
        <f>IF(COUNTIFS($C:$C,$C342,$D:$D,$D342,$E:$E,"P0(전)",$M:$M,"&gt;0")&lt;&gt;1,"",SUMIFS($I:$I,$C:$C,$C342,$D:$D,$D342,$E:$E,"P0(전)"))</f>
        <v/>
      </c>
      <c r="P342" s="31">
        <f>IF(COUNTIFS($C:$C,$C342,$D:$D,$D342,$E:$E,"P0(전)",$M:$M,"&gt;0")&lt;&gt;1,"",SUMIFS($M:$M,$C:$C,$C342,$D:$D,$D342,$E:$E,"P0(전)"))</f>
        <v/>
      </c>
      <c r="Q342" s="48">
        <f>IF(COUNTIFS($C:$C,$C342,$D:$D,$D342,$E:$E,"P0(후)",$M:$M,"&gt;0")&lt;&gt;1,"",SUMIFS($I:$I,$C:$C,$C342,$D:$D,$D342,$E:$E,"P0(후)"))</f>
        <v/>
      </c>
      <c r="R342" s="31">
        <f>IF(COUNTIFS($C:$C,$C342,$D:$D,$D342,$E:$E,"P0(후)",$M:$M,"&gt;0")&lt;&gt;1,"",SUMIFS($M:$M,$C:$C,$C342,$D:$D,$D342,$E:$E,"P0(후)"))</f>
        <v/>
      </c>
      <c r="S342" s="31">
        <f>IF(N342&lt;&gt;"OK","",P342+(R342-P342)*(I342-O342)/(Q342-O342))</f>
        <v/>
      </c>
      <c r="T342" s="31">
        <f>IF(OR(N342&lt;&gt;"OK",NOT(ISNUMBER(M342))),"",M342-S342)</f>
        <v/>
      </c>
      <c r="U342" s="49">
        <f>IF(OR(NOT(ISNUMBER(T342)),IF(ISNUMBER(H342),H342,G342)=0),"",T342/IF(ISNUMBER(H342),H342,G342))</f>
        <v/>
      </c>
      <c r="V342" s="49">
        <f>IF(ISNUMBER(U342),ABS(U342),"")</f>
        <v/>
      </c>
      <c r="W342" s="49">
        <f>IF(OR($E341&lt;&gt;"측정",$C341&lt;&gt;$C342,$D341&lt;&gt;$D342,NOT(ISNUMBER(M342)),NOT(ISNUMBER(M341)),(IF(ISNUMBER(H342),H342,G342)-IF(ISNUMBER(H341),H341,G341))=0),"",(M342-M341)/(IF(ISNUMBER(H342),H342,G342)-IF(ISNUMBER(H341),H341,G341)))</f>
        <v/>
      </c>
      <c r="X342" s="31">
        <f>IF(NOT(AND(ISNUMBER(O342),ISNUMBER(Q342))),"",(Q342-O342)*1440)</f>
        <v/>
      </c>
      <c r="Y342" s="29" t="n"/>
      <c r="Z342" s="29" t="n"/>
      <c r="AA342" s="29" t="n"/>
      <c r="AB342" s="32" t="n"/>
      <c r="AC342" s="32" t="n"/>
    </row>
    <row r="343">
      <c r="A343" s="44" t="inlineStr">
        <is>
          <t>S07</t>
        </is>
      </c>
      <c r="B343" s="44" t="inlineStr">
        <is>
          <t>남해 신규점1</t>
        </is>
      </c>
      <c r="C343" s="44" t="inlineStr">
        <is>
          <t>S07-H서</t>
        </is>
      </c>
      <c r="D343" s="45" t="n">
        <v>1</v>
      </c>
      <c r="E343" s="44" t="inlineStr">
        <is>
          <t>P0(후)</t>
        </is>
      </c>
      <c r="F343" s="44" t="inlineStr">
        <is>
          <t>서</t>
        </is>
      </c>
      <c r="G343" s="46" t="n"/>
      <c r="H343" s="30" t="n"/>
      <c r="I343" s="43" t="n"/>
      <c r="J343" s="41" t="n"/>
      <c r="K343" s="41" t="n"/>
      <c r="L343" s="41" t="n"/>
      <c r="M343" s="31">
        <f>IF(COUNT(J343:L343)=0,"",MEDIAN(J343:L343))</f>
        <v/>
      </c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38" t="n"/>
      <c r="Y343" s="29" t="n"/>
      <c r="Z343" s="29" t="n"/>
      <c r="AA343" s="29" t="n"/>
      <c r="AB343" s="32" t="n"/>
      <c r="AC343" s="32" t="n"/>
    </row>
    <row r="344">
      <c r="A344" s="44" t="inlineStr">
        <is>
          <t>S07</t>
        </is>
      </c>
      <c r="B344" s="44" t="inlineStr">
        <is>
          <t>남해 신규점1</t>
        </is>
      </c>
      <c r="C344" s="44" t="inlineStr">
        <is>
          <t>S07-H남</t>
        </is>
      </c>
      <c r="D344" s="45" t="n">
        <v>1</v>
      </c>
      <c r="E344" s="44" t="inlineStr">
        <is>
          <t>P0(전)</t>
        </is>
      </c>
      <c r="F344" s="44" t="inlineStr">
        <is>
          <t>남</t>
        </is>
      </c>
      <c r="G344" s="46" t="n"/>
      <c r="H344" s="30" t="n"/>
      <c r="I344" s="43" t="n"/>
      <c r="J344" s="41" t="n"/>
      <c r="K344" s="41" t="n"/>
      <c r="L344" s="41" t="n"/>
      <c r="M344" s="31">
        <f>IF(COUNT(J344:L344)=0,"",MEDIAN(J344:L344))</f>
        <v/>
      </c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  <c r="X344" s="38" t="n"/>
      <c r="Y344" s="29" t="n"/>
      <c r="Z344" s="29" t="n"/>
      <c r="AA344" s="29" t="n"/>
      <c r="AB344" s="32" t="n"/>
      <c r="AC344" s="32" t="n"/>
    </row>
    <row r="345">
      <c r="A345" s="26" t="inlineStr">
        <is>
          <t>S07</t>
        </is>
      </c>
      <c r="B345" s="26" t="inlineStr">
        <is>
          <t>남해 신규점1</t>
        </is>
      </c>
      <c r="C345" s="26" t="inlineStr">
        <is>
          <t>S07-H남</t>
        </is>
      </c>
      <c r="D345" s="47" t="n">
        <v>1</v>
      </c>
      <c r="E345" s="26" t="inlineStr">
        <is>
          <t>측정</t>
        </is>
      </c>
      <c r="F345" s="26" t="inlineStr">
        <is>
          <t>남</t>
        </is>
      </c>
      <c r="G345" s="31" t="n">
        <v>0.5</v>
      </c>
      <c r="H345" s="30" t="n"/>
      <c r="I345" s="43" t="n"/>
      <c r="J345" s="41" t="n"/>
      <c r="K345" s="41" t="n"/>
      <c r="L345" s="41" t="n"/>
      <c r="M345" s="31">
        <f>IF(COUNT(J345:L345)=0,"",MEDIAN(J345:L345))</f>
        <v/>
      </c>
      <c r="N345" s="26">
        <f>IF(COUNTIFS($C:$C,$C345,$D:$D,$D345,$E:$E,"P0(전)",$M:$M,"&gt;0")&lt;&gt;1,"P0(전) 유효 1개 아님",IF(COUNTIFS($C:$C,$C345,$D:$D,$D345,$E:$E,"P0(후)",$M:$M,"&gt;0")&lt;&gt;1,"P0(후) 유효 1개 아님",IF(NOT(AND(ISNUMBER(O345),ISNUMBER(Q345),ISNUMBER(I345))),"시각 결측",IF(Q345&lt;=O345,"P0 시각 역전",IF(OR(I345&lt;O345,I345&gt;Q345),"측정시각 구간 밖","OK")))))</f>
        <v/>
      </c>
      <c r="O345" s="48">
        <f>IF(COUNTIFS($C:$C,$C345,$D:$D,$D345,$E:$E,"P0(전)",$M:$M,"&gt;0")&lt;&gt;1,"",SUMIFS($I:$I,$C:$C,$C345,$D:$D,$D345,$E:$E,"P0(전)"))</f>
        <v/>
      </c>
      <c r="P345" s="31">
        <f>IF(COUNTIFS($C:$C,$C345,$D:$D,$D345,$E:$E,"P0(전)",$M:$M,"&gt;0")&lt;&gt;1,"",SUMIFS($M:$M,$C:$C,$C345,$D:$D,$D345,$E:$E,"P0(전)"))</f>
        <v/>
      </c>
      <c r="Q345" s="48">
        <f>IF(COUNTIFS($C:$C,$C345,$D:$D,$D345,$E:$E,"P0(후)",$M:$M,"&gt;0")&lt;&gt;1,"",SUMIFS($I:$I,$C:$C,$C345,$D:$D,$D345,$E:$E,"P0(후)"))</f>
        <v/>
      </c>
      <c r="R345" s="31">
        <f>IF(COUNTIFS($C:$C,$C345,$D:$D,$D345,$E:$E,"P0(후)",$M:$M,"&gt;0")&lt;&gt;1,"",SUMIFS($M:$M,$C:$C,$C345,$D:$D,$D345,$E:$E,"P0(후)"))</f>
        <v/>
      </c>
      <c r="S345" s="31">
        <f>IF(N345&lt;&gt;"OK","",P345+(R345-P345)*(I345-O345)/(Q345-O345))</f>
        <v/>
      </c>
      <c r="T345" s="31">
        <f>IF(OR(N345&lt;&gt;"OK",NOT(ISNUMBER(M345))),"",M345-S345)</f>
        <v/>
      </c>
      <c r="U345" s="49">
        <f>IF(OR(NOT(ISNUMBER(T345)),IF(ISNUMBER(H345),H345,G345)=0),"",T345/IF(ISNUMBER(H345),H345,G345))</f>
        <v/>
      </c>
      <c r="V345" s="49">
        <f>IF(ISNUMBER(U345),ABS(U345),"")</f>
        <v/>
      </c>
      <c r="W345" s="49">
        <f>IF(OR($E344&lt;&gt;"측정",$C344&lt;&gt;$C345,$D344&lt;&gt;$D345,NOT(ISNUMBER(M345)),NOT(ISNUMBER(M344)),(IF(ISNUMBER(H345),H345,G345)-IF(ISNUMBER(H344),H344,G344))=0),"",(M345-M344)/(IF(ISNUMBER(H345),H345,G345)-IF(ISNUMBER(H344),H344,G344)))</f>
        <v/>
      </c>
      <c r="X345" s="31">
        <f>IF(NOT(AND(ISNUMBER(O345),ISNUMBER(Q345))),"",(Q345-O345)*1440)</f>
        <v/>
      </c>
      <c r="Y345" s="29" t="n"/>
      <c r="Z345" s="29" t="n"/>
      <c r="AA345" s="29" t="n"/>
      <c r="AB345" s="32" t="n"/>
      <c r="AC345" s="32" t="n"/>
    </row>
    <row r="346">
      <c r="A346" s="26" t="inlineStr">
        <is>
          <t>S07</t>
        </is>
      </c>
      <c r="B346" s="26" t="inlineStr">
        <is>
          <t>남해 신규점1</t>
        </is>
      </c>
      <c r="C346" s="26" t="inlineStr">
        <is>
          <t>S07-H남</t>
        </is>
      </c>
      <c r="D346" s="47" t="n">
        <v>1</v>
      </c>
      <c r="E346" s="26" t="inlineStr">
        <is>
          <t>측정</t>
        </is>
      </c>
      <c r="F346" s="26" t="inlineStr">
        <is>
          <t>남</t>
        </is>
      </c>
      <c r="G346" s="31" t="n">
        <v>1</v>
      </c>
      <c r="H346" s="30" t="n"/>
      <c r="I346" s="43" t="n"/>
      <c r="J346" s="41" t="n"/>
      <c r="K346" s="41" t="n"/>
      <c r="L346" s="41" t="n"/>
      <c r="M346" s="31">
        <f>IF(COUNT(J346:L346)=0,"",MEDIAN(J346:L346))</f>
        <v/>
      </c>
      <c r="N346" s="26">
        <f>IF(COUNTIFS($C:$C,$C346,$D:$D,$D346,$E:$E,"P0(전)",$M:$M,"&gt;0")&lt;&gt;1,"P0(전) 유효 1개 아님",IF(COUNTIFS($C:$C,$C346,$D:$D,$D346,$E:$E,"P0(후)",$M:$M,"&gt;0")&lt;&gt;1,"P0(후) 유효 1개 아님",IF(NOT(AND(ISNUMBER(O346),ISNUMBER(Q346),ISNUMBER(I346))),"시각 결측",IF(Q346&lt;=O346,"P0 시각 역전",IF(OR(I346&lt;O346,I346&gt;Q346),"측정시각 구간 밖","OK")))))</f>
        <v/>
      </c>
      <c r="O346" s="48">
        <f>IF(COUNTIFS($C:$C,$C346,$D:$D,$D346,$E:$E,"P0(전)",$M:$M,"&gt;0")&lt;&gt;1,"",SUMIFS($I:$I,$C:$C,$C346,$D:$D,$D346,$E:$E,"P0(전)"))</f>
        <v/>
      </c>
      <c r="P346" s="31">
        <f>IF(COUNTIFS($C:$C,$C346,$D:$D,$D346,$E:$E,"P0(전)",$M:$M,"&gt;0")&lt;&gt;1,"",SUMIFS($M:$M,$C:$C,$C346,$D:$D,$D346,$E:$E,"P0(전)"))</f>
        <v/>
      </c>
      <c r="Q346" s="48">
        <f>IF(COUNTIFS($C:$C,$C346,$D:$D,$D346,$E:$E,"P0(후)",$M:$M,"&gt;0")&lt;&gt;1,"",SUMIFS($I:$I,$C:$C,$C346,$D:$D,$D346,$E:$E,"P0(후)"))</f>
        <v/>
      </c>
      <c r="R346" s="31">
        <f>IF(COUNTIFS($C:$C,$C346,$D:$D,$D346,$E:$E,"P0(후)",$M:$M,"&gt;0")&lt;&gt;1,"",SUMIFS($M:$M,$C:$C,$C346,$D:$D,$D346,$E:$E,"P0(후)"))</f>
        <v/>
      </c>
      <c r="S346" s="31">
        <f>IF(N346&lt;&gt;"OK","",P346+(R346-P346)*(I346-O346)/(Q346-O346))</f>
        <v/>
      </c>
      <c r="T346" s="31">
        <f>IF(OR(N346&lt;&gt;"OK",NOT(ISNUMBER(M346))),"",M346-S346)</f>
        <v/>
      </c>
      <c r="U346" s="49">
        <f>IF(OR(NOT(ISNUMBER(T346)),IF(ISNUMBER(H346),H346,G346)=0),"",T346/IF(ISNUMBER(H346),H346,G346))</f>
        <v/>
      </c>
      <c r="V346" s="49">
        <f>IF(ISNUMBER(U346),ABS(U346),"")</f>
        <v/>
      </c>
      <c r="W346" s="49">
        <f>IF(OR($E345&lt;&gt;"측정",$C345&lt;&gt;$C346,$D345&lt;&gt;$D346,NOT(ISNUMBER(M346)),NOT(ISNUMBER(M345)),(IF(ISNUMBER(H346),H346,G346)-IF(ISNUMBER(H345),H345,G345))=0),"",(M346-M345)/(IF(ISNUMBER(H346),H346,G346)-IF(ISNUMBER(H345),H345,G345)))</f>
        <v/>
      </c>
      <c r="X346" s="31">
        <f>IF(NOT(AND(ISNUMBER(O346),ISNUMBER(Q346))),"",(Q346-O346)*1440)</f>
        <v/>
      </c>
      <c r="Y346" s="29" t="n"/>
      <c r="Z346" s="29" t="n"/>
      <c r="AA346" s="29" t="n"/>
      <c r="AB346" s="32" t="n"/>
      <c r="AC346" s="32" t="n"/>
    </row>
    <row r="347">
      <c r="A347" s="26" t="inlineStr">
        <is>
          <t>S07</t>
        </is>
      </c>
      <c r="B347" s="26" t="inlineStr">
        <is>
          <t>남해 신규점1</t>
        </is>
      </c>
      <c r="C347" s="26" t="inlineStr">
        <is>
          <t>S07-H남</t>
        </is>
      </c>
      <c r="D347" s="47" t="n">
        <v>1</v>
      </c>
      <c r="E347" s="26" t="inlineStr">
        <is>
          <t>측정</t>
        </is>
      </c>
      <c r="F347" s="26" t="inlineStr">
        <is>
          <t>남</t>
        </is>
      </c>
      <c r="G347" s="31" t="n">
        <v>2</v>
      </c>
      <c r="H347" s="30" t="n"/>
      <c r="I347" s="43" t="n"/>
      <c r="J347" s="41" t="n"/>
      <c r="K347" s="41" t="n"/>
      <c r="L347" s="41" t="n"/>
      <c r="M347" s="31">
        <f>IF(COUNT(J347:L347)=0,"",MEDIAN(J347:L347))</f>
        <v/>
      </c>
      <c r="N347" s="26">
        <f>IF(COUNTIFS($C:$C,$C347,$D:$D,$D347,$E:$E,"P0(전)",$M:$M,"&gt;0")&lt;&gt;1,"P0(전) 유효 1개 아님",IF(COUNTIFS($C:$C,$C347,$D:$D,$D347,$E:$E,"P0(후)",$M:$M,"&gt;0")&lt;&gt;1,"P0(후) 유효 1개 아님",IF(NOT(AND(ISNUMBER(O347),ISNUMBER(Q347),ISNUMBER(I347))),"시각 결측",IF(Q347&lt;=O347,"P0 시각 역전",IF(OR(I347&lt;O347,I347&gt;Q347),"측정시각 구간 밖","OK")))))</f>
        <v/>
      </c>
      <c r="O347" s="48">
        <f>IF(COUNTIFS($C:$C,$C347,$D:$D,$D347,$E:$E,"P0(전)",$M:$M,"&gt;0")&lt;&gt;1,"",SUMIFS($I:$I,$C:$C,$C347,$D:$D,$D347,$E:$E,"P0(전)"))</f>
        <v/>
      </c>
      <c r="P347" s="31">
        <f>IF(COUNTIFS($C:$C,$C347,$D:$D,$D347,$E:$E,"P0(전)",$M:$M,"&gt;0")&lt;&gt;1,"",SUMIFS($M:$M,$C:$C,$C347,$D:$D,$D347,$E:$E,"P0(전)"))</f>
        <v/>
      </c>
      <c r="Q347" s="48">
        <f>IF(COUNTIFS($C:$C,$C347,$D:$D,$D347,$E:$E,"P0(후)",$M:$M,"&gt;0")&lt;&gt;1,"",SUMIFS($I:$I,$C:$C,$C347,$D:$D,$D347,$E:$E,"P0(후)"))</f>
        <v/>
      </c>
      <c r="R347" s="31">
        <f>IF(COUNTIFS($C:$C,$C347,$D:$D,$D347,$E:$E,"P0(후)",$M:$M,"&gt;0")&lt;&gt;1,"",SUMIFS($M:$M,$C:$C,$C347,$D:$D,$D347,$E:$E,"P0(후)"))</f>
        <v/>
      </c>
      <c r="S347" s="31">
        <f>IF(N347&lt;&gt;"OK","",P347+(R347-P347)*(I347-O347)/(Q347-O347))</f>
        <v/>
      </c>
      <c r="T347" s="31">
        <f>IF(OR(N347&lt;&gt;"OK",NOT(ISNUMBER(M347))),"",M347-S347)</f>
        <v/>
      </c>
      <c r="U347" s="49">
        <f>IF(OR(NOT(ISNUMBER(T347)),IF(ISNUMBER(H347),H347,G347)=0),"",T347/IF(ISNUMBER(H347),H347,G347))</f>
        <v/>
      </c>
      <c r="V347" s="49">
        <f>IF(ISNUMBER(U347),ABS(U347),"")</f>
        <v/>
      </c>
      <c r="W347" s="49">
        <f>IF(OR($E346&lt;&gt;"측정",$C346&lt;&gt;$C347,$D346&lt;&gt;$D347,NOT(ISNUMBER(M347)),NOT(ISNUMBER(M346)),(IF(ISNUMBER(H347),H347,G347)-IF(ISNUMBER(H346),H346,G346))=0),"",(M347-M346)/(IF(ISNUMBER(H347),H347,G347)-IF(ISNUMBER(H346),H346,G346)))</f>
        <v/>
      </c>
      <c r="X347" s="31">
        <f>IF(NOT(AND(ISNUMBER(O347),ISNUMBER(Q347))),"",(Q347-O347)*1440)</f>
        <v/>
      </c>
      <c r="Y347" s="29" t="n"/>
      <c r="Z347" s="29" t="n"/>
      <c r="AA347" s="29" t="n"/>
      <c r="AB347" s="32" t="n"/>
      <c r="AC347" s="32" t="n"/>
    </row>
    <row r="348">
      <c r="A348" s="26" t="inlineStr">
        <is>
          <t>S07</t>
        </is>
      </c>
      <c r="B348" s="26" t="inlineStr">
        <is>
          <t>남해 신규점1</t>
        </is>
      </c>
      <c r="C348" s="26" t="inlineStr">
        <is>
          <t>S07-H남</t>
        </is>
      </c>
      <c r="D348" s="47" t="n">
        <v>1</v>
      </c>
      <c r="E348" s="26" t="inlineStr">
        <is>
          <t>측정</t>
        </is>
      </c>
      <c r="F348" s="26" t="inlineStr">
        <is>
          <t>남</t>
        </is>
      </c>
      <c r="G348" s="31" t="n">
        <v>3</v>
      </c>
      <c r="H348" s="30" t="n"/>
      <c r="I348" s="43" t="n"/>
      <c r="J348" s="41" t="n"/>
      <c r="K348" s="41" t="n"/>
      <c r="L348" s="41" t="n"/>
      <c r="M348" s="31">
        <f>IF(COUNT(J348:L348)=0,"",MEDIAN(J348:L348))</f>
        <v/>
      </c>
      <c r="N348" s="26">
        <f>IF(COUNTIFS($C:$C,$C348,$D:$D,$D348,$E:$E,"P0(전)",$M:$M,"&gt;0")&lt;&gt;1,"P0(전) 유효 1개 아님",IF(COUNTIFS($C:$C,$C348,$D:$D,$D348,$E:$E,"P0(후)",$M:$M,"&gt;0")&lt;&gt;1,"P0(후) 유효 1개 아님",IF(NOT(AND(ISNUMBER(O348),ISNUMBER(Q348),ISNUMBER(I348))),"시각 결측",IF(Q348&lt;=O348,"P0 시각 역전",IF(OR(I348&lt;O348,I348&gt;Q348),"측정시각 구간 밖","OK")))))</f>
        <v/>
      </c>
      <c r="O348" s="48">
        <f>IF(COUNTIFS($C:$C,$C348,$D:$D,$D348,$E:$E,"P0(전)",$M:$M,"&gt;0")&lt;&gt;1,"",SUMIFS($I:$I,$C:$C,$C348,$D:$D,$D348,$E:$E,"P0(전)"))</f>
        <v/>
      </c>
      <c r="P348" s="31">
        <f>IF(COUNTIFS($C:$C,$C348,$D:$D,$D348,$E:$E,"P0(전)",$M:$M,"&gt;0")&lt;&gt;1,"",SUMIFS($M:$M,$C:$C,$C348,$D:$D,$D348,$E:$E,"P0(전)"))</f>
        <v/>
      </c>
      <c r="Q348" s="48">
        <f>IF(COUNTIFS($C:$C,$C348,$D:$D,$D348,$E:$E,"P0(후)",$M:$M,"&gt;0")&lt;&gt;1,"",SUMIFS($I:$I,$C:$C,$C348,$D:$D,$D348,$E:$E,"P0(후)"))</f>
        <v/>
      </c>
      <c r="R348" s="31">
        <f>IF(COUNTIFS($C:$C,$C348,$D:$D,$D348,$E:$E,"P0(후)",$M:$M,"&gt;0")&lt;&gt;1,"",SUMIFS($M:$M,$C:$C,$C348,$D:$D,$D348,$E:$E,"P0(후)"))</f>
        <v/>
      </c>
      <c r="S348" s="31">
        <f>IF(N348&lt;&gt;"OK","",P348+(R348-P348)*(I348-O348)/(Q348-O348))</f>
        <v/>
      </c>
      <c r="T348" s="31">
        <f>IF(OR(N348&lt;&gt;"OK",NOT(ISNUMBER(M348))),"",M348-S348)</f>
        <v/>
      </c>
      <c r="U348" s="49">
        <f>IF(OR(NOT(ISNUMBER(T348)),IF(ISNUMBER(H348),H348,G348)=0),"",T348/IF(ISNUMBER(H348),H348,G348))</f>
        <v/>
      </c>
      <c r="V348" s="49">
        <f>IF(ISNUMBER(U348),ABS(U348),"")</f>
        <v/>
      </c>
      <c r="W348" s="49">
        <f>IF(OR($E347&lt;&gt;"측정",$C347&lt;&gt;$C348,$D347&lt;&gt;$D348,NOT(ISNUMBER(M348)),NOT(ISNUMBER(M347)),(IF(ISNUMBER(H348),H348,G348)-IF(ISNUMBER(H347),H347,G347))=0),"",(M348-M347)/(IF(ISNUMBER(H348),H348,G348)-IF(ISNUMBER(H347),H347,G347)))</f>
        <v/>
      </c>
      <c r="X348" s="31">
        <f>IF(NOT(AND(ISNUMBER(O348),ISNUMBER(Q348))),"",(Q348-O348)*1440)</f>
        <v/>
      </c>
      <c r="Y348" s="29" t="n"/>
      <c r="Z348" s="29" t="n"/>
      <c r="AA348" s="29" t="n"/>
      <c r="AB348" s="32" t="n"/>
      <c r="AC348" s="32" t="n"/>
    </row>
    <row r="349">
      <c r="A349" s="26" t="inlineStr">
        <is>
          <t>S07</t>
        </is>
      </c>
      <c r="B349" s="26" t="inlineStr">
        <is>
          <t>남해 신규점1</t>
        </is>
      </c>
      <c r="C349" s="26" t="inlineStr">
        <is>
          <t>S07-H남</t>
        </is>
      </c>
      <c r="D349" s="47" t="n">
        <v>1</v>
      </c>
      <c r="E349" s="26" t="inlineStr">
        <is>
          <t>측정</t>
        </is>
      </c>
      <c r="F349" s="26" t="inlineStr">
        <is>
          <t>남</t>
        </is>
      </c>
      <c r="G349" s="31" t="n">
        <v>4</v>
      </c>
      <c r="H349" s="30" t="n"/>
      <c r="I349" s="43" t="n"/>
      <c r="J349" s="41" t="n"/>
      <c r="K349" s="41" t="n"/>
      <c r="L349" s="41" t="n"/>
      <c r="M349" s="31">
        <f>IF(COUNT(J349:L349)=0,"",MEDIAN(J349:L349))</f>
        <v/>
      </c>
      <c r="N349" s="26">
        <f>IF(COUNTIFS($C:$C,$C349,$D:$D,$D349,$E:$E,"P0(전)",$M:$M,"&gt;0")&lt;&gt;1,"P0(전) 유효 1개 아님",IF(COUNTIFS($C:$C,$C349,$D:$D,$D349,$E:$E,"P0(후)",$M:$M,"&gt;0")&lt;&gt;1,"P0(후) 유효 1개 아님",IF(NOT(AND(ISNUMBER(O349),ISNUMBER(Q349),ISNUMBER(I349))),"시각 결측",IF(Q349&lt;=O349,"P0 시각 역전",IF(OR(I349&lt;O349,I349&gt;Q349),"측정시각 구간 밖","OK")))))</f>
        <v/>
      </c>
      <c r="O349" s="48">
        <f>IF(COUNTIFS($C:$C,$C349,$D:$D,$D349,$E:$E,"P0(전)",$M:$M,"&gt;0")&lt;&gt;1,"",SUMIFS($I:$I,$C:$C,$C349,$D:$D,$D349,$E:$E,"P0(전)"))</f>
        <v/>
      </c>
      <c r="P349" s="31">
        <f>IF(COUNTIFS($C:$C,$C349,$D:$D,$D349,$E:$E,"P0(전)",$M:$M,"&gt;0")&lt;&gt;1,"",SUMIFS($M:$M,$C:$C,$C349,$D:$D,$D349,$E:$E,"P0(전)"))</f>
        <v/>
      </c>
      <c r="Q349" s="48">
        <f>IF(COUNTIFS($C:$C,$C349,$D:$D,$D349,$E:$E,"P0(후)",$M:$M,"&gt;0")&lt;&gt;1,"",SUMIFS($I:$I,$C:$C,$C349,$D:$D,$D349,$E:$E,"P0(후)"))</f>
        <v/>
      </c>
      <c r="R349" s="31">
        <f>IF(COUNTIFS($C:$C,$C349,$D:$D,$D349,$E:$E,"P0(후)",$M:$M,"&gt;0")&lt;&gt;1,"",SUMIFS($M:$M,$C:$C,$C349,$D:$D,$D349,$E:$E,"P0(후)"))</f>
        <v/>
      </c>
      <c r="S349" s="31">
        <f>IF(N349&lt;&gt;"OK","",P349+(R349-P349)*(I349-O349)/(Q349-O349))</f>
        <v/>
      </c>
      <c r="T349" s="31">
        <f>IF(OR(N349&lt;&gt;"OK",NOT(ISNUMBER(M349))),"",M349-S349)</f>
        <v/>
      </c>
      <c r="U349" s="49">
        <f>IF(OR(NOT(ISNUMBER(T349)),IF(ISNUMBER(H349),H349,G349)=0),"",T349/IF(ISNUMBER(H349),H349,G349))</f>
        <v/>
      </c>
      <c r="V349" s="49">
        <f>IF(ISNUMBER(U349),ABS(U349),"")</f>
        <v/>
      </c>
      <c r="W349" s="49">
        <f>IF(OR($E348&lt;&gt;"측정",$C348&lt;&gt;$C349,$D348&lt;&gt;$D349,NOT(ISNUMBER(M349)),NOT(ISNUMBER(M348)),(IF(ISNUMBER(H349),H349,G349)-IF(ISNUMBER(H348),H348,G348))=0),"",(M349-M348)/(IF(ISNUMBER(H349),H349,G349)-IF(ISNUMBER(H348),H348,G348)))</f>
        <v/>
      </c>
      <c r="X349" s="31">
        <f>IF(NOT(AND(ISNUMBER(O349),ISNUMBER(Q349))),"",(Q349-O349)*1440)</f>
        <v/>
      </c>
      <c r="Y349" s="29" t="n"/>
      <c r="Z349" s="29" t="n"/>
      <c r="AA349" s="29" t="n"/>
      <c r="AB349" s="32" t="n"/>
      <c r="AC349" s="32" t="n"/>
    </row>
    <row r="350">
      <c r="A350" s="26" t="inlineStr">
        <is>
          <t>S07</t>
        </is>
      </c>
      <c r="B350" s="26" t="inlineStr">
        <is>
          <t>남해 신규점1</t>
        </is>
      </c>
      <c r="C350" s="26" t="inlineStr">
        <is>
          <t>S07-H남</t>
        </is>
      </c>
      <c r="D350" s="47" t="n">
        <v>1</v>
      </c>
      <c r="E350" s="26" t="inlineStr">
        <is>
          <t>측정</t>
        </is>
      </c>
      <c r="F350" s="26" t="inlineStr">
        <is>
          <t>남</t>
        </is>
      </c>
      <c r="G350" s="31" t="n">
        <v>5</v>
      </c>
      <c r="H350" s="30" t="n"/>
      <c r="I350" s="43" t="n"/>
      <c r="J350" s="41" t="n"/>
      <c r="K350" s="41" t="n"/>
      <c r="L350" s="41" t="n"/>
      <c r="M350" s="31">
        <f>IF(COUNT(J350:L350)=0,"",MEDIAN(J350:L350))</f>
        <v/>
      </c>
      <c r="N350" s="26">
        <f>IF(COUNTIFS($C:$C,$C350,$D:$D,$D350,$E:$E,"P0(전)",$M:$M,"&gt;0")&lt;&gt;1,"P0(전) 유효 1개 아님",IF(COUNTIFS($C:$C,$C350,$D:$D,$D350,$E:$E,"P0(후)",$M:$M,"&gt;0")&lt;&gt;1,"P0(후) 유효 1개 아님",IF(NOT(AND(ISNUMBER(O350),ISNUMBER(Q350),ISNUMBER(I350))),"시각 결측",IF(Q350&lt;=O350,"P0 시각 역전",IF(OR(I350&lt;O350,I350&gt;Q350),"측정시각 구간 밖","OK")))))</f>
        <v/>
      </c>
      <c r="O350" s="48">
        <f>IF(COUNTIFS($C:$C,$C350,$D:$D,$D350,$E:$E,"P0(전)",$M:$M,"&gt;0")&lt;&gt;1,"",SUMIFS($I:$I,$C:$C,$C350,$D:$D,$D350,$E:$E,"P0(전)"))</f>
        <v/>
      </c>
      <c r="P350" s="31">
        <f>IF(COUNTIFS($C:$C,$C350,$D:$D,$D350,$E:$E,"P0(전)",$M:$M,"&gt;0")&lt;&gt;1,"",SUMIFS($M:$M,$C:$C,$C350,$D:$D,$D350,$E:$E,"P0(전)"))</f>
        <v/>
      </c>
      <c r="Q350" s="48">
        <f>IF(COUNTIFS($C:$C,$C350,$D:$D,$D350,$E:$E,"P0(후)",$M:$M,"&gt;0")&lt;&gt;1,"",SUMIFS($I:$I,$C:$C,$C350,$D:$D,$D350,$E:$E,"P0(후)"))</f>
        <v/>
      </c>
      <c r="R350" s="31">
        <f>IF(COUNTIFS($C:$C,$C350,$D:$D,$D350,$E:$E,"P0(후)",$M:$M,"&gt;0")&lt;&gt;1,"",SUMIFS($M:$M,$C:$C,$C350,$D:$D,$D350,$E:$E,"P0(후)"))</f>
        <v/>
      </c>
      <c r="S350" s="31">
        <f>IF(N350&lt;&gt;"OK","",P350+(R350-P350)*(I350-O350)/(Q350-O350))</f>
        <v/>
      </c>
      <c r="T350" s="31">
        <f>IF(OR(N350&lt;&gt;"OK",NOT(ISNUMBER(M350))),"",M350-S350)</f>
        <v/>
      </c>
      <c r="U350" s="49">
        <f>IF(OR(NOT(ISNUMBER(T350)),IF(ISNUMBER(H350),H350,G350)=0),"",T350/IF(ISNUMBER(H350),H350,G350))</f>
        <v/>
      </c>
      <c r="V350" s="49">
        <f>IF(ISNUMBER(U350),ABS(U350),"")</f>
        <v/>
      </c>
      <c r="W350" s="49">
        <f>IF(OR($E349&lt;&gt;"측정",$C349&lt;&gt;$C350,$D349&lt;&gt;$D350,NOT(ISNUMBER(M350)),NOT(ISNUMBER(M349)),(IF(ISNUMBER(H350),H350,G350)-IF(ISNUMBER(H349),H349,G349))=0),"",(M350-M349)/(IF(ISNUMBER(H350),H350,G350)-IF(ISNUMBER(H349),H349,G349)))</f>
        <v/>
      </c>
      <c r="X350" s="31">
        <f>IF(NOT(AND(ISNUMBER(O350),ISNUMBER(Q350))),"",(Q350-O350)*1440)</f>
        <v/>
      </c>
      <c r="Y350" s="29" t="n"/>
      <c r="Z350" s="29" t="n"/>
      <c r="AA350" s="29" t="n"/>
      <c r="AB350" s="32" t="n"/>
      <c r="AC350" s="32" t="n"/>
    </row>
    <row r="351">
      <c r="A351" s="26" t="inlineStr">
        <is>
          <t>S07</t>
        </is>
      </c>
      <c r="B351" s="26" t="inlineStr">
        <is>
          <t>남해 신규점1</t>
        </is>
      </c>
      <c r="C351" s="26" t="inlineStr">
        <is>
          <t>S07-H남</t>
        </is>
      </c>
      <c r="D351" s="47" t="n">
        <v>1</v>
      </c>
      <c r="E351" s="26" t="inlineStr">
        <is>
          <t>측정</t>
        </is>
      </c>
      <c r="F351" s="26" t="inlineStr">
        <is>
          <t>남</t>
        </is>
      </c>
      <c r="G351" s="31" t="n">
        <v>6</v>
      </c>
      <c r="H351" s="30" t="n"/>
      <c r="I351" s="43" t="n"/>
      <c r="J351" s="41" t="n"/>
      <c r="K351" s="41" t="n"/>
      <c r="L351" s="41" t="n"/>
      <c r="M351" s="31">
        <f>IF(COUNT(J351:L351)=0,"",MEDIAN(J351:L351))</f>
        <v/>
      </c>
      <c r="N351" s="26">
        <f>IF(COUNTIFS($C:$C,$C351,$D:$D,$D351,$E:$E,"P0(전)",$M:$M,"&gt;0")&lt;&gt;1,"P0(전) 유효 1개 아님",IF(COUNTIFS($C:$C,$C351,$D:$D,$D351,$E:$E,"P0(후)",$M:$M,"&gt;0")&lt;&gt;1,"P0(후) 유효 1개 아님",IF(NOT(AND(ISNUMBER(O351),ISNUMBER(Q351),ISNUMBER(I351))),"시각 결측",IF(Q351&lt;=O351,"P0 시각 역전",IF(OR(I351&lt;O351,I351&gt;Q351),"측정시각 구간 밖","OK")))))</f>
        <v/>
      </c>
      <c r="O351" s="48">
        <f>IF(COUNTIFS($C:$C,$C351,$D:$D,$D351,$E:$E,"P0(전)",$M:$M,"&gt;0")&lt;&gt;1,"",SUMIFS($I:$I,$C:$C,$C351,$D:$D,$D351,$E:$E,"P0(전)"))</f>
        <v/>
      </c>
      <c r="P351" s="31">
        <f>IF(COUNTIFS($C:$C,$C351,$D:$D,$D351,$E:$E,"P0(전)",$M:$M,"&gt;0")&lt;&gt;1,"",SUMIFS($M:$M,$C:$C,$C351,$D:$D,$D351,$E:$E,"P0(전)"))</f>
        <v/>
      </c>
      <c r="Q351" s="48">
        <f>IF(COUNTIFS($C:$C,$C351,$D:$D,$D351,$E:$E,"P0(후)",$M:$M,"&gt;0")&lt;&gt;1,"",SUMIFS($I:$I,$C:$C,$C351,$D:$D,$D351,$E:$E,"P0(후)"))</f>
        <v/>
      </c>
      <c r="R351" s="31">
        <f>IF(COUNTIFS($C:$C,$C351,$D:$D,$D351,$E:$E,"P0(후)",$M:$M,"&gt;0")&lt;&gt;1,"",SUMIFS($M:$M,$C:$C,$C351,$D:$D,$D351,$E:$E,"P0(후)"))</f>
        <v/>
      </c>
      <c r="S351" s="31">
        <f>IF(N351&lt;&gt;"OK","",P351+(R351-P351)*(I351-O351)/(Q351-O351))</f>
        <v/>
      </c>
      <c r="T351" s="31">
        <f>IF(OR(N351&lt;&gt;"OK",NOT(ISNUMBER(M351))),"",M351-S351)</f>
        <v/>
      </c>
      <c r="U351" s="49">
        <f>IF(OR(NOT(ISNUMBER(T351)),IF(ISNUMBER(H351),H351,G351)=0),"",T351/IF(ISNUMBER(H351),H351,G351))</f>
        <v/>
      </c>
      <c r="V351" s="49">
        <f>IF(ISNUMBER(U351),ABS(U351),"")</f>
        <v/>
      </c>
      <c r="W351" s="49">
        <f>IF(OR($E350&lt;&gt;"측정",$C350&lt;&gt;$C351,$D350&lt;&gt;$D351,NOT(ISNUMBER(M351)),NOT(ISNUMBER(M350)),(IF(ISNUMBER(H351),H351,G351)-IF(ISNUMBER(H350),H350,G350))=0),"",(M351-M350)/(IF(ISNUMBER(H351),H351,G351)-IF(ISNUMBER(H350),H350,G350)))</f>
        <v/>
      </c>
      <c r="X351" s="31">
        <f>IF(NOT(AND(ISNUMBER(O351),ISNUMBER(Q351))),"",(Q351-O351)*1440)</f>
        <v/>
      </c>
      <c r="Y351" s="29" t="n"/>
      <c r="Z351" s="29" t="n"/>
      <c r="AA351" s="29" t="n"/>
      <c r="AB351" s="32" t="n"/>
      <c r="AC351" s="32" t="n"/>
    </row>
    <row r="352">
      <c r="A352" s="26" t="inlineStr">
        <is>
          <t>S07</t>
        </is>
      </c>
      <c r="B352" s="26" t="inlineStr">
        <is>
          <t>남해 신규점1</t>
        </is>
      </c>
      <c r="C352" s="26" t="inlineStr">
        <is>
          <t>S07-H남</t>
        </is>
      </c>
      <c r="D352" s="47" t="n">
        <v>1</v>
      </c>
      <c r="E352" s="26" t="inlineStr">
        <is>
          <t>측정</t>
        </is>
      </c>
      <c r="F352" s="26" t="inlineStr">
        <is>
          <t>남</t>
        </is>
      </c>
      <c r="G352" s="31" t="n">
        <v>7</v>
      </c>
      <c r="H352" s="30" t="n"/>
      <c r="I352" s="43" t="n"/>
      <c r="J352" s="41" t="n"/>
      <c r="K352" s="41" t="n"/>
      <c r="L352" s="41" t="n"/>
      <c r="M352" s="31">
        <f>IF(COUNT(J352:L352)=0,"",MEDIAN(J352:L352))</f>
        <v/>
      </c>
      <c r="N352" s="26">
        <f>IF(COUNTIFS($C:$C,$C352,$D:$D,$D352,$E:$E,"P0(전)",$M:$M,"&gt;0")&lt;&gt;1,"P0(전) 유효 1개 아님",IF(COUNTIFS($C:$C,$C352,$D:$D,$D352,$E:$E,"P0(후)",$M:$M,"&gt;0")&lt;&gt;1,"P0(후) 유효 1개 아님",IF(NOT(AND(ISNUMBER(O352),ISNUMBER(Q352),ISNUMBER(I352))),"시각 결측",IF(Q352&lt;=O352,"P0 시각 역전",IF(OR(I352&lt;O352,I352&gt;Q352),"측정시각 구간 밖","OK")))))</f>
        <v/>
      </c>
      <c r="O352" s="48">
        <f>IF(COUNTIFS($C:$C,$C352,$D:$D,$D352,$E:$E,"P0(전)",$M:$M,"&gt;0")&lt;&gt;1,"",SUMIFS($I:$I,$C:$C,$C352,$D:$D,$D352,$E:$E,"P0(전)"))</f>
        <v/>
      </c>
      <c r="P352" s="31">
        <f>IF(COUNTIFS($C:$C,$C352,$D:$D,$D352,$E:$E,"P0(전)",$M:$M,"&gt;0")&lt;&gt;1,"",SUMIFS($M:$M,$C:$C,$C352,$D:$D,$D352,$E:$E,"P0(전)"))</f>
        <v/>
      </c>
      <c r="Q352" s="48">
        <f>IF(COUNTIFS($C:$C,$C352,$D:$D,$D352,$E:$E,"P0(후)",$M:$M,"&gt;0")&lt;&gt;1,"",SUMIFS($I:$I,$C:$C,$C352,$D:$D,$D352,$E:$E,"P0(후)"))</f>
        <v/>
      </c>
      <c r="R352" s="31">
        <f>IF(COUNTIFS($C:$C,$C352,$D:$D,$D352,$E:$E,"P0(후)",$M:$M,"&gt;0")&lt;&gt;1,"",SUMIFS($M:$M,$C:$C,$C352,$D:$D,$D352,$E:$E,"P0(후)"))</f>
        <v/>
      </c>
      <c r="S352" s="31">
        <f>IF(N352&lt;&gt;"OK","",P352+(R352-P352)*(I352-O352)/(Q352-O352))</f>
        <v/>
      </c>
      <c r="T352" s="31">
        <f>IF(OR(N352&lt;&gt;"OK",NOT(ISNUMBER(M352))),"",M352-S352)</f>
        <v/>
      </c>
      <c r="U352" s="49">
        <f>IF(OR(NOT(ISNUMBER(T352)),IF(ISNUMBER(H352),H352,G352)=0),"",T352/IF(ISNUMBER(H352),H352,G352))</f>
        <v/>
      </c>
      <c r="V352" s="49">
        <f>IF(ISNUMBER(U352),ABS(U352),"")</f>
        <v/>
      </c>
      <c r="W352" s="49">
        <f>IF(OR($E351&lt;&gt;"측정",$C351&lt;&gt;$C352,$D351&lt;&gt;$D352,NOT(ISNUMBER(M352)),NOT(ISNUMBER(M351)),(IF(ISNUMBER(H352),H352,G352)-IF(ISNUMBER(H351),H351,G351))=0),"",(M352-M351)/(IF(ISNUMBER(H352),H352,G352)-IF(ISNUMBER(H351),H351,G351)))</f>
        <v/>
      </c>
      <c r="X352" s="31">
        <f>IF(NOT(AND(ISNUMBER(O352),ISNUMBER(Q352))),"",(Q352-O352)*1440)</f>
        <v/>
      </c>
      <c r="Y352" s="29" t="n"/>
      <c r="Z352" s="29" t="n"/>
      <c r="AA352" s="29" t="n"/>
      <c r="AB352" s="32" t="n"/>
      <c r="AC352" s="32" t="n"/>
    </row>
    <row r="353">
      <c r="A353" s="26" t="inlineStr">
        <is>
          <t>S07</t>
        </is>
      </c>
      <c r="B353" s="26" t="inlineStr">
        <is>
          <t>남해 신규점1</t>
        </is>
      </c>
      <c r="C353" s="26" t="inlineStr">
        <is>
          <t>S07-H남</t>
        </is>
      </c>
      <c r="D353" s="47" t="n">
        <v>1</v>
      </c>
      <c r="E353" s="26" t="inlineStr">
        <is>
          <t>측정</t>
        </is>
      </c>
      <c r="F353" s="26" t="inlineStr">
        <is>
          <t>남</t>
        </is>
      </c>
      <c r="G353" s="31" t="n">
        <v>8</v>
      </c>
      <c r="H353" s="30" t="n"/>
      <c r="I353" s="43" t="n"/>
      <c r="J353" s="41" t="n"/>
      <c r="K353" s="41" t="n"/>
      <c r="L353" s="41" t="n"/>
      <c r="M353" s="31">
        <f>IF(COUNT(J353:L353)=0,"",MEDIAN(J353:L353))</f>
        <v/>
      </c>
      <c r="N353" s="26">
        <f>IF(COUNTIFS($C:$C,$C353,$D:$D,$D353,$E:$E,"P0(전)",$M:$M,"&gt;0")&lt;&gt;1,"P0(전) 유효 1개 아님",IF(COUNTIFS($C:$C,$C353,$D:$D,$D353,$E:$E,"P0(후)",$M:$M,"&gt;0")&lt;&gt;1,"P0(후) 유효 1개 아님",IF(NOT(AND(ISNUMBER(O353),ISNUMBER(Q353),ISNUMBER(I353))),"시각 결측",IF(Q353&lt;=O353,"P0 시각 역전",IF(OR(I353&lt;O353,I353&gt;Q353),"측정시각 구간 밖","OK")))))</f>
        <v/>
      </c>
      <c r="O353" s="48">
        <f>IF(COUNTIFS($C:$C,$C353,$D:$D,$D353,$E:$E,"P0(전)",$M:$M,"&gt;0")&lt;&gt;1,"",SUMIFS($I:$I,$C:$C,$C353,$D:$D,$D353,$E:$E,"P0(전)"))</f>
        <v/>
      </c>
      <c r="P353" s="31">
        <f>IF(COUNTIFS($C:$C,$C353,$D:$D,$D353,$E:$E,"P0(전)",$M:$M,"&gt;0")&lt;&gt;1,"",SUMIFS($M:$M,$C:$C,$C353,$D:$D,$D353,$E:$E,"P0(전)"))</f>
        <v/>
      </c>
      <c r="Q353" s="48">
        <f>IF(COUNTIFS($C:$C,$C353,$D:$D,$D353,$E:$E,"P0(후)",$M:$M,"&gt;0")&lt;&gt;1,"",SUMIFS($I:$I,$C:$C,$C353,$D:$D,$D353,$E:$E,"P0(후)"))</f>
        <v/>
      </c>
      <c r="R353" s="31">
        <f>IF(COUNTIFS($C:$C,$C353,$D:$D,$D353,$E:$E,"P0(후)",$M:$M,"&gt;0")&lt;&gt;1,"",SUMIFS($M:$M,$C:$C,$C353,$D:$D,$D353,$E:$E,"P0(후)"))</f>
        <v/>
      </c>
      <c r="S353" s="31">
        <f>IF(N353&lt;&gt;"OK","",P353+(R353-P353)*(I353-O353)/(Q353-O353))</f>
        <v/>
      </c>
      <c r="T353" s="31">
        <f>IF(OR(N353&lt;&gt;"OK",NOT(ISNUMBER(M353))),"",M353-S353)</f>
        <v/>
      </c>
      <c r="U353" s="49">
        <f>IF(OR(NOT(ISNUMBER(T353)),IF(ISNUMBER(H353),H353,G353)=0),"",T353/IF(ISNUMBER(H353),H353,G353))</f>
        <v/>
      </c>
      <c r="V353" s="49">
        <f>IF(ISNUMBER(U353),ABS(U353),"")</f>
        <v/>
      </c>
      <c r="W353" s="49">
        <f>IF(OR($E352&lt;&gt;"측정",$C352&lt;&gt;$C353,$D352&lt;&gt;$D353,NOT(ISNUMBER(M353)),NOT(ISNUMBER(M352)),(IF(ISNUMBER(H353),H353,G353)-IF(ISNUMBER(H352),H352,G352))=0),"",(M353-M352)/(IF(ISNUMBER(H353),H353,G353)-IF(ISNUMBER(H352),H352,G352)))</f>
        <v/>
      </c>
      <c r="X353" s="31">
        <f>IF(NOT(AND(ISNUMBER(O353),ISNUMBER(Q353))),"",(Q353-O353)*1440)</f>
        <v/>
      </c>
      <c r="Y353" s="29" t="n"/>
      <c r="Z353" s="29" t="n"/>
      <c r="AA353" s="29" t="n"/>
      <c r="AB353" s="32" t="n"/>
      <c r="AC353" s="32" t="n"/>
    </row>
    <row r="354">
      <c r="A354" s="26" t="inlineStr">
        <is>
          <t>S07</t>
        </is>
      </c>
      <c r="B354" s="26" t="inlineStr">
        <is>
          <t>남해 신규점1</t>
        </is>
      </c>
      <c r="C354" s="26" t="inlineStr">
        <is>
          <t>S07-H남</t>
        </is>
      </c>
      <c r="D354" s="47" t="n">
        <v>1</v>
      </c>
      <c r="E354" s="26" t="inlineStr">
        <is>
          <t>측정</t>
        </is>
      </c>
      <c r="F354" s="26" t="inlineStr">
        <is>
          <t>남</t>
        </is>
      </c>
      <c r="G354" s="31" t="n">
        <v>9</v>
      </c>
      <c r="H354" s="30" t="n"/>
      <c r="I354" s="43" t="n"/>
      <c r="J354" s="41" t="n"/>
      <c r="K354" s="41" t="n"/>
      <c r="L354" s="41" t="n"/>
      <c r="M354" s="31">
        <f>IF(COUNT(J354:L354)=0,"",MEDIAN(J354:L354))</f>
        <v/>
      </c>
      <c r="N354" s="26">
        <f>IF(COUNTIFS($C:$C,$C354,$D:$D,$D354,$E:$E,"P0(전)",$M:$M,"&gt;0")&lt;&gt;1,"P0(전) 유효 1개 아님",IF(COUNTIFS($C:$C,$C354,$D:$D,$D354,$E:$E,"P0(후)",$M:$M,"&gt;0")&lt;&gt;1,"P0(후) 유효 1개 아님",IF(NOT(AND(ISNUMBER(O354),ISNUMBER(Q354),ISNUMBER(I354))),"시각 결측",IF(Q354&lt;=O354,"P0 시각 역전",IF(OR(I354&lt;O354,I354&gt;Q354),"측정시각 구간 밖","OK")))))</f>
        <v/>
      </c>
      <c r="O354" s="48">
        <f>IF(COUNTIFS($C:$C,$C354,$D:$D,$D354,$E:$E,"P0(전)",$M:$M,"&gt;0")&lt;&gt;1,"",SUMIFS($I:$I,$C:$C,$C354,$D:$D,$D354,$E:$E,"P0(전)"))</f>
        <v/>
      </c>
      <c r="P354" s="31">
        <f>IF(COUNTIFS($C:$C,$C354,$D:$D,$D354,$E:$E,"P0(전)",$M:$M,"&gt;0")&lt;&gt;1,"",SUMIFS($M:$M,$C:$C,$C354,$D:$D,$D354,$E:$E,"P0(전)"))</f>
        <v/>
      </c>
      <c r="Q354" s="48">
        <f>IF(COUNTIFS($C:$C,$C354,$D:$D,$D354,$E:$E,"P0(후)",$M:$M,"&gt;0")&lt;&gt;1,"",SUMIFS($I:$I,$C:$C,$C354,$D:$D,$D354,$E:$E,"P0(후)"))</f>
        <v/>
      </c>
      <c r="R354" s="31">
        <f>IF(COUNTIFS($C:$C,$C354,$D:$D,$D354,$E:$E,"P0(후)",$M:$M,"&gt;0")&lt;&gt;1,"",SUMIFS($M:$M,$C:$C,$C354,$D:$D,$D354,$E:$E,"P0(후)"))</f>
        <v/>
      </c>
      <c r="S354" s="31">
        <f>IF(N354&lt;&gt;"OK","",P354+(R354-P354)*(I354-O354)/(Q354-O354))</f>
        <v/>
      </c>
      <c r="T354" s="31">
        <f>IF(OR(N354&lt;&gt;"OK",NOT(ISNUMBER(M354))),"",M354-S354)</f>
        <v/>
      </c>
      <c r="U354" s="49">
        <f>IF(OR(NOT(ISNUMBER(T354)),IF(ISNUMBER(H354),H354,G354)=0),"",T354/IF(ISNUMBER(H354),H354,G354))</f>
        <v/>
      </c>
      <c r="V354" s="49">
        <f>IF(ISNUMBER(U354),ABS(U354),"")</f>
        <v/>
      </c>
      <c r="W354" s="49">
        <f>IF(OR($E353&lt;&gt;"측정",$C353&lt;&gt;$C354,$D353&lt;&gt;$D354,NOT(ISNUMBER(M354)),NOT(ISNUMBER(M353)),(IF(ISNUMBER(H354),H354,G354)-IF(ISNUMBER(H353),H353,G353))=0),"",(M354-M353)/(IF(ISNUMBER(H354),H354,G354)-IF(ISNUMBER(H353),H353,G353)))</f>
        <v/>
      </c>
      <c r="X354" s="31">
        <f>IF(NOT(AND(ISNUMBER(O354),ISNUMBER(Q354))),"",(Q354-O354)*1440)</f>
        <v/>
      </c>
      <c r="Y354" s="29" t="n"/>
      <c r="Z354" s="29" t="n"/>
      <c r="AA354" s="29" t="n"/>
      <c r="AB354" s="32" t="n"/>
      <c r="AC354" s="32" t="n"/>
    </row>
    <row r="355">
      <c r="A355" s="26" t="inlineStr">
        <is>
          <t>S07</t>
        </is>
      </c>
      <c r="B355" s="26" t="inlineStr">
        <is>
          <t>남해 신규점1</t>
        </is>
      </c>
      <c r="C355" s="26" t="inlineStr">
        <is>
          <t>S07-H남</t>
        </is>
      </c>
      <c r="D355" s="47" t="n">
        <v>1</v>
      </c>
      <c r="E355" s="26" t="inlineStr">
        <is>
          <t>측정</t>
        </is>
      </c>
      <c r="F355" s="26" t="inlineStr">
        <is>
          <t>남</t>
        </is>
      </c>
      <c r="G355" s="31" t="n">
        <v>10</v>
      </c>
      <c r="H355" s="30" t="n"/>
      <c r="I355" s="43" t="n"/>
      <c r="J355" s="41" t="n"/>
      <c r="K355" s="41" t="n"/>
      <c r="L355" s="41" t="n"/>
      <c r="M355" s="31">
        <f>IF(COUNT(J355:L355)=0,"",MEDIAN(J355:L355))</f>
        <v/>
      </c>
      <c r="N355" s="26">
        <f>IF(COUNTIFS($C:$C,$C355,$D:$D,$D355,$E:$E,"P0(전)",$M:$M,"&gt;0")&lt;&gt;1,"P0(전) 유효 1개 아님",IF(COUNTIFS($C:$C,$C355,$D:$D,$D355,$E:$E,"P0(후)",$M:$M,"&gt;0")&lt;&gt;1,"P0(후) 유효 1개 아님",IF(NOT(AND(ISNUMBER(O355),ISNUMBER(Q355),ISNUMBER(I355))),"시각 결측",IF(Q355&lt;=O355,"P0 시각 역전",IF(OR(I355&lt;O355,I355&gt;Q355),"측정시각 구간 밖","OK")))))</f>
        <v/>
      </c>
      <c r="O355" s="48">
        <f>IF(COUNTIFS($C:$C,$C355,$D:$D,$D355,$E:$E,"P0(전)",$M:$M,"&gt;0")&lt;&gt;1,"",SUMIFS($I:$I,$C:$C,$C355,$D:$D,$D355,$E:$E,"P0(전)"))</f>
        <v/>
      </c>
      <c r="P355" s="31">
        <f>IF(COUNTIFS($C:$C,$C355,$D:$D,$D355,$E:$E,"P0(전)",$M:$M,"&gt;0")&lt;&gt;1,"",SUMIFS($M:$M,$C:$C,$C355,$D:$D,$D355,$E:$E,"P0(전)"))</f>
        <v/>
      </c>
      <c r="Q355" s="48">
        <f>IF(COUNTIFS($C:$C,$C355,$D:$D,$D355,$E:$E,"P0(후)",$M:$M,"&gt;0")&lt;&gt;1,"",SUMIFS($I:$I,$C:$C,$C355,$D:$D,$D355,$E:$E,"P0(후)"))</f>
        <v/>
      </c>
      <c r="R355" s="31">
        <f>IF(COUNTIFS($C:$C,$C355,$D:$D,$D355,$E:$E,"P0(후)",$M:$M,"&gt;0")&lt;&gt;1,"",SUMIFS($M:$M,$C:$C,$C355,$D:$D,$D355,$E:$E,"P0(후)"))</f>
        <v/>
      </c>
      <c r="S355" s="31">
        <f>IF(N355&lt;&gt;"OK","",P355+(R355-P355)*(I355-O355)/(Q355-O355))</f>
        <v/>
      </c>
      <c r="T355" s="31">
        <f>IF(OR(N355&lt;&gt;"OK",NOT(ISNUMBER(M355))),"",M355-S355)</f>
        <v/>
      </c>
      <c r="U355" s="49">
        <f>IF(OR(NOT(ISNUMBER(T355)),IF(ISNUMBER(H355),H355,G355)=0),"",T355/IF(ISNUMBER(H355),H355,G355))</f>
        <v/>
      </c>
      <c r="V355" s="49">
        <f>IF(ISNUMBER(U355),ABS(U355),"")</f>
        <v/>
      </c>
      <c r="W355" s="49">
        <f>IF(OR($E354&lt;&gt;"측정",$C354&lt;&gt;$C355,$D354&lt;&gt;$D355,NOT(ISNUMBER(M355)),NOT(ISNUMBER(M354)),(IF(ISNUMBER(H355),H355,G355)-IF(ISNUMBER(H354),H354,G354))=0),"",(M355-M354)/(IF(ISNUMBER(H355),H355,G355)-IF(ISNUMBER(H354),H354,G354)))</f>
        <v/>
      </c>
      <c r="X355" s="31">
        <f>IF(NOT(AND(ISNUMBER(O355),ISNUMBER(Q355))),"",(Q355-O355)*1440)</f>
        <v/>
      </c>
      <c r="Y355" s="29" t="n"/>
      <c r="Z355" s="29" t="n"/>
      <c r="AA355" s="29" t="n"/>
      <c r="AB355" s="32" t="n"/>
      <c r="AC355" s="32" t="n"/>
    </row>
    <row r="356">
      <c r="A356" s="44" t="inlineStr">
        <is>
          <t>S07</t>
        </is>
      </c>
      <c r="B356" s="44" t="inlineStr">
        <is>
          <t>남해 신규점1</t>
        </is>
      </c>
      <c r="C356" s="44" t="inlineStr">
        <is>
          <t>S07-H남</t>
        </is>
      </c>
      <c r="D356" s="45" t="n">
        <v>1</v>
      </c>
      <c r="E356" s="44" t="inlineStr">
        <is>
          <t>P0(후)</t>
        </is>
      </c>
      <c r="F356" s="44" t="inlineStr">
        <is>
          <t>남</t>
        </is>
      </c>
      <c r="G356" s="46" t="n"/>
      <c r="H356" s="30" t="n"/>
      <c r="I356" s="43" t="n"/>
      <c r="J356" s="41" t="n"/>
      <c r="K356" s="41" t="n"/>
      <c r="L356" s="41" t="n"/>
      <c r="M356" s="31">
        <f>IF(COUNT(J356:L356)=0,"",MEDIAN(J356:L356))</f>
        <v/>
      </c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38" t="n"/>
      <c r="Y356" s="29" t="n"/>
      <c r="Z356" s="29" t="n"/>
      <c r="AA356" s="29" t="n"/>
      <c r="AB356" s="32" t="n"/>
      <c r="AC356" s="32" t="n"/>
    </row>
    <row r="357">
      <c r="A357" s="44" t="inlineStr">
        <is>
          <t>S07</t>
        </is>
      </c>
      <c r="B357" s="44" t="inlineStr">
        <is>
          <t>남해 신규점1</t>
        </is>
      </c>
      <c r="C357" s="44" t="inlineStr">
        <is>
          <t>S07-H북</t>
        </is>
      </c>
      <c r="D357" s="45" t="n">
        <v>1</v>
      </c>
      <c r="E357" s="44" t="inlineStr">
        <is>
          <t>P0(전)</t>
        </is>
      </c>
      <c r="F357" s="44" t="inlineStr">
        <is>
          <t>북</t>
        </is>
      </c>
      <c r="G357" s="46" t="n"/>
      <c r="H357" s="30" t="n"/>
      <c r="I357" s="43" t="n"/>
      <c r="J357" s="41" t="n"/>
      <c r="K357" s="41" t="n"/>
      <c r="L357" s="41" t="n"/>
      <c r="M357" s="31">
        <f>IF(COUNT(J357:L357)=0,"",MEDIAN(J357:L357))</f>
        <v/>
      </c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  <c r="X357" s="38" t="n"/>
      <c r="Y357" s="29" t="n"/>
      <c r="Z357" s="29" t="n"/>
      <c r="AA357" s="29" t="n"/>
      <c r="AB357" s="32" t="n"/>
      <c r="AC357" s="32" t="n"/>
    </row>
    <row r="358">
      <c r="A358" s="26" t="inlineStr">
        <is>
          <t>S07</t>
        </is>
      </c>
      <c r="B358" s="26" t="inlineStr">
        <is>
          <t>남해 신규점1</t>
        </is>
      </c>
      <c r="C358" s="26" t="inlineStr">
        <is>
          <t>S07-H북</t>
        </is>
      </c>
      <c r="D358" s="47" t="n">
        <v>1</v>
      </c>
      <c r="E358" s="26" t="inlineStr">
        <is>
          <t>측정</t>
        </is>
      </c>
      <c r="F358" s="26" t="inlineStr">
        <is>
          <t>북</t>
        </is>
      </c>
      <c r="G358" s="31" t="n">
        <v>0.5</v>
      </c>
      <c r="H358" s="30" t="n"/>
      <c r="I358" s="43" t="n"/>
      <c r="J358" s="41" t="n"/>
      <c r="K358" s="41" t="n"/>
      <c r="L358" s="41" t="n"/>
      <c r="M358" s="31">
        <f>IF(COUNT(J358:L358)=0,"",MEDIAN(J358:L358))</f>
        <v/>
      </c>
      <c r="N358" s="26">
        <f>IF(COUNTIFS($C:$C,$C358,$D:$D,$D358,$E:$E,"P0(전)",$M:$M,"&gt;0")&lt;&gt;1,"P0(전) 유효 1개 아님",IF(COUNTIFS($C:$C,$C358,$D:$D,$D358,$E:$E,"P0(후)",$M:$M,"&gt;0")&lt;&gt;1,"P0(후) 유효 1개 아님",IF(NOT(AND(ISNUMBER(O358),ISNUMBER(Q358),ISNUMBER(I358))),"시각 결측",IF(Q358&lt;=O358,"P0 시각 역전",IF(OR(I358&lt;O358,I358&gt;Q358),"측정시각 구간 밖","OK")))))</f>
        <v/>
      </c>
      <c r="O358" s="48">
        <f>IF(COUNTIFS($C:$C,$C358,$D:$D,$D358,$E:$E,"P0(전)",$M:$M,"&gt;0")&lt;&gt;1,"",SUMIFS($I:$I,$C:$C,$C358,$D:$D,$D358,$E:$E,"P0(전)"))</f>
        <v/>
      </c>
      <c r="P358" s="31">
        <f>IF(COUNTIFS($C:$C,$C358,$D:$D,$D358,$E:$E,"P0(전)",$M:$M,"&gt;0")&lt;&gt;1,"",SUMIFS($M:$M,$C:$C,$C358,$D:$D,$D358,$E:$E,"P0(전)"))</f>
        <v/>
      </c>
      <c r="Q358" s="48">
        <f>IF(COUNTIFS($C:$C,$C358,$D:$D,$D358,$E:$E,"P0(후)",$M:$M,"&gt;0")&lt;&gt;1,"",SUMIFS($I:$I,$C:$C,$C358,$D:$D,$D358,$E:$E,"P0(후)"))</f>
        <v/>
      </c>
      <c r="R358" s="31">
        <f>IF(COUNTIFS($C:$C,$C358,$D:$D,$D358,$E:$E,"P0(후)",$M:$M,"&gt;0")&lt;&gt;1,"",SUMIFS($M:$M,$C:$C,$C358,$D:$D,$D358,$E:$E,"P0(후)"))</f>
        <v/>
      </c>
      <c r="S358" s="31">
        <f>IF(N358&lt;&gt;"OK","",P358+(R358-P358)*(I358-O358)/(Q358-O358))</f>
        <v/>
      </c>
      <c r="T358" s="31">
        <f>IF(OR(N358&lt;&gt;"OK",NOT(ISNUMBER(M358))),"",M358-S358)</f>
        <v/>
      </c>
      <c r="U358" s="49">
        <f>IF(OR(NOT(ISNUMBER(T358)),IF(ISNUMBER(H358),H358,G358)=0),"",T358/IF(ISNUMBER(H358),H358,G358))</f>
        <v/>
      </c>
      <c r="V358" s="49">
        <f>IF(ISNUMBER(U358),ABS(U358),"")</f>
        <v/>
      </c>
      <c r="W358" s="49">
        <f>IF(OR($E357&lt;&gt;"측정",$C357&lt;&gt;$C358,$D357&lt;&gt;$D358,NOT(ISNUMBER(M358)),NOT(ISNUMBER(M357)),(IF(ISNUMBER(H358),H358,G358)-IF(ISNUMBER(H357),H357,G357))=0),"",(M358-M357)/(IF(ISNUMBER(H358),H358,G358)-IF(ISNUMBER(H357),H357,G357)))</f>
        <v/>
      </c>
      <c r="X358" s="31">
        <f>IF(NOT(AND(ISNUMBER(O358),ISNUMBER(Q358))),"",(Q358-O358)*1440)</f>
        <v/>
      </c>
      <c r="Y358" s="29" t="n"/>
      <c r="Z358" s="29" t="n"/>
      <c r="AA358" s="29" t="n"/>
      <c r="AB358" s="32" t="n"/>
      <c r="AC358" s="32" t="n"/>
    </row>
    <row r="359">
      <c r="A359" s="26" t="inlineStr">
        <is>
          <t>S07</t>
        </is>
      </c>
      <c r="B359" s="26" t="inlineStr">
        <is>
          <t>남해 신규점1</t>
        </is>
      </c>
      <c r="C359" s="26" t="inlineStr">
        <is>
          <t>S07-H북</t>
        </is>
      </c>
      <c r="D359" s="47" t="n">
        <v>1</v>
      </c>
      <c r="E359" s="26" t="inlineStr">
        <is>
          <t>측정</t>
        </is>
      </c>
      <c r="F359" s="26" t="inlineStr">
        <is>
          <t>북</t>
        </is>
      </c>
      <c r="G359" s="31" t="n">
        <v>1</v>
      </c>
      <c r="H359" s="30" t="n"/>
      <c r="I359" s="43" t="n"/>
      <c r="J359" s="41" t="n"/>
      <c r="K359" s="41" t="n"/>
      <c r="L359" s="41" t="n"/>
      <c r="M359" s="31">
        <f>IF(COUNT(J359:L359)=0,"",MEDIAN(J359:L359))</f>
        <v/>
      </c>
      <c r="N359" s="26">
        <f>IF(COUNTIFS($C:$C,$C359,$D:$D,$D359,$E:$E,"P0(전)",$M:$M,"&gt;0")&lt;&gt;1,"P0(전) 유효 1개 아님",IF(COUNTIFS($C:$C,$C359,$D:$D,$D359,$E:$E,"P0(후)",$M:$M,"&gt;0")&lt;&gt;1,"P0(후) 유효 1개 아님",IF(NOT(AND(ISNUMBER(O359),ISNUMBER(Q359),ISNUMBER(I359))),"시각 결측",IF(Q359&lt;=O359,"P0 시각 역전",IF(OR(I359&lt;O359,I359&gt;Q359),"측정시각 구간 밖","OK")))))</f>
        <v/>
      </c>
      <c r="O359" s="48">
        <f>IF(COUNTIFS($C:$C,$C359,$D:$D,$D359,$E:$E,"P0(전)",$M:$M,"&gt;0")&lt;&gt;1,"",SUMIFS($I:$I,$C:$C,$C359,$D:$D,$D359,$E:$E,"P0(전)"))</f>
        <v/>
      </c>
      <c r="P359" s="31">
        <f>IF(COUNTIFS($C:$C,$C359,$D:$D,$D359,$E:$E,"P0(전)",$M:$M,"&gt;0")&lt;&gt;1,"",SUMIFS($M:$M,$C:$C,$C359,$D:$D,$D359,$E:$E,"P0(전)"))</f>
        <v/>
      </c>
      <c r="Q359" s="48">
        <f>IF(COUNTIFS($C:$C,$C359,$D:$D,$D359,$E:$E,"P0(후)",$M:$M,"&gt;0")&lt;&gt;1,"",SUMIFS($I:$I,$C:$C,$C359,$D:$D,$D359,$E:$E,"P0(후)"))</f>
        <v/>
      </c>
      <c r="R359" s="31">
        <f>IF(COUNTIFS($C:$C,$C359,$D:$D,$D359,$E:$E,"P0(후)",$M:$M,"&gt;0")&lt;&gt;1,"",SUMIFS($M:$M,$C:$C,$C359,$D:$D,$D359,$E:$E,"P0(후)"))</f>
        <v/>
      </c>
      <c r="S359" s="31">
        <f>IF(N359&lt;&gt;"OK","",P359+(R359-P359)*(I359-O359)/(Q359-O359))</f>
        <v/>
      </c>
      <c r="T359" s="31">
        <f>IF(OR(N359&lt;&gt;"OK",NOT(ISNUMBER(M359))),"",M359-S359)</f>
        <v/>
      </c>
      <c r="U359" s="49">
        <f>IF(OR(NOT(ISNUMBER(T359)),IF(ISNUMBER(H359),H359,G359)=0),"",T359/IF(ISNUMBER(H359),H359,G359))</f>
        <v/>
      </c>
      <c r="V359" s="49">
        <f>IF(ISNUMBER(U359),ABS(U359),"")</f>
        <v/>
      </c>
      <c r="W359" s="49">
        <f>IF(OR($E358&lt;&gt;"측정",$C358&lt;&gt;$C359,$D358&lt;&gt;$D359,NOT(ISNUMBER(M359)),NOT(ISNUMBER(M358)),(IF(ISNUMBER(H359),H359,G359)-IF(ISNUMBER(H358),H358,G358))=0),"",(M359-M358)/(IF(ISNUMBER(H359),H359,G359)-IF(ISNUMBER(H358),H358,G358)))</f>
        <v/>
      </c>
      <c r="X359" s="31">
        <f>IF(NOT(AND(ISNUMBER(O359),ISNUMBER(Q359))),"",(Q359-O359)*1440)</f>
        <v/>
      </c>
      <c r="Y359" s="29" t="n"/>
      <c r="Z359" s="29" t="n"/>
      <c r="AA359" s="29" t="n"/>
      <c r="AB359" s="32" t="n"/>
      <c r="AC359" s="32" t="n"/>
    </row>
    <row r="360">
      <c r="A360" s="26" t="inlineStr">
        <is>
          <t>S07</t>
        </is>
      </c>
      <c r="B360" s="26" t="inlineStr">
        <is>
          <t>남해 신규점1</t>
        </is>
      </c>
      <c r="C360" s="26" t="inlineStr">
        <is>
          <t>S07-H북</t>
        </is>
      </c>
      <c r="D360" s="47" t="n">
        <v>1</v>
      </c>
      <c r="E360" s="26" t="inlineStr">
        <is>
          <t>측정</t>
        </is>
      </c>
      <c r="F360" s="26" t="inlineStr">
        <is>
          <t>북</t>
        </is>
      </c>
      <c r="G360" s="31" t="n">
        <v>2</v>
      </c>
      <c r="H360" s="30" t="n"/>
      <c r="I360" s="43" t="n"/>
      <c r="J360" s="41" t="n"/>
      <c r="K360" s="41" t="n"/>
      <c r="L360" s="41" t="n"/>
      <c r="M360" s="31">
        <f>IF(COUNT(J360:L360)=0,"",MEDIAN(J360:L360))</f>
        <v/>
      </c>
      <c r="N360" s="26">
        <f>IF(COUNTIFS($C:$C,$C360,$D:$D,$D360,$E:$E,"P0(전)",$M:$M,"&gt;0")&lt;&gt;1,"P0(전) 유효 1개 아님",IF(COUNTIFS($C:$C,$C360,$D:$D,$D360,$E:$E,"P0(후)",$M:$M,"&gt;0")&lt;&gt;1,"P0(후) 유효 1개 아님",IF(NOT(AND(ISNUMBER(O360),ISNUMBER(Q360),ISNUMBER(I360))),"시각 결측",IF(Q360&lt;=O360,"P0 시각 역전",IF(OR(I360&lt;O360,I360&gt;Q360),"측정시각 구간 밖","OK")))))</f>
        <v/>
      </c>
      <c r="O360" s="48">
        <f>IF(COUNTIFS($C:$C,$C360,$D:$D,$D360,$E:$E,"P0(전)",$M:$M,"&gt;0")&lt;&gt;1,"",SUMIFS($I:$I,$C:$C,$C360,$D:$D,$D360,$E:$E,"P0(전)"))</f>
        <v/>
      </c>
      <c r="P360" s="31">
        <f>IF(COUNTIFS($C:$C,$C360,$D:$D,$D360,$E:$E,"P0(전)",$M:$M,"&gt;0")&lt;&gt;1,"",SUMIFS($M:$M,$C:$C,$C360,$D:$D,$D360,$E:$E,"P0(전)"))</f>
        <v/>
      </c>
      <c r="Q360" s="48">
        <f>IF(COUNTIFS($C:$C,$C360,$D:$D,$D360,$E:$E,"P0(후)",$M:$M,"&gt;0")&lt;&gt;1,"",SUMIFS($I:$I,$C:$C,$C360,$D:$D,$D360,$E:$E,"P0(후)"))</f>
        <v/>
      </c>
      <c r="R360" s="31">
        <f>IF(COUNTIFS($C:$C,$C360,$D:$D,$D360,$E:$E,"P0(후)",$M:$M,"&gt;0")&lt;&gt;1,"",SUMIFS($M:$M,$C:$C,$C360,$D:$D,$D360,$E:$E,"P0(후)"))</f>
        <v/>
      </c>
      <c r="S360" s="31">
        <f>IF(N360&lt;&gt;"OK","",P360+(R360-P360)*(I360-O360)/(Q360-O360))</f>
        <v/>
      </c>
      <c r="T360" s="31">
        <f>IF(OR(N360&lt;&gt;"OK",NOT(ISNUMBER(M360))),"",M360-S360)</f>
        <v/>
      </c>
      <c r="U360" s="49">
        <f>IF(OR(NOT(ISNUMBER(T360)),IF(ISNUMBER(H360),H360,G360)=0),"",T360/IF(ISNUMBER(H360),H360,G360))</f>
        <v/>
      </c>
      <c r="V360" s="49">
        <f>IF(ISNUMBER(U360),ABS(U360),"")</f>
        <v/>
      </c>
      <c r="W360" s="49">
        <f>IF(OR($E359&lt;&gt;"측정",$C359&lt;&gt;$C360,$D359&lt;&gt;$D360,NOT(ISNUMBER(M360)),NOT(ISNUMBER(M359)),(IF(ISNUMBER(H360),H360,G360)-IF(ISNUMBER(H359),H359,G359))=0),"",(M360-M359)/(IF(ISNUMBER(H360),H360,G360)-IF(ISNUMBER(H359),H359,G359)))</f>
        <v/>
      </c>
      <c r="X360" s="31">
        <f>IF(NOT(AND(ISNUMBER(O360),ISNUMBER(Q360))),"",(Q360-O360)*1440)</f>
        <v/>
      </c>
      <c r="Y360" s="29" t="n"/>
      <c r="Z360" s="29" t="n"/>
      <c r="AA360" s="29" t="n"/>
      <c r="AB360" s="32" t="n"/>
      <c r="AC360" s="32" t="n"/>
    </row>
    <row r="361">
      <c r="A361" s="26" t="inlineStr">
        <is>
          <t>S07</t>
        </is>
      </c>
      <c r="B361" s="26" t="inlineStr">
        <is>
          <t>남해 신규점1</t>
        </is>
      </c>
      <c r="C361" s="26" t="inlineStr">
        <is>
          <t>S07-H북</t>
        </is>
      </c>
      <c r="D361" s="47" t="n">
        <v>1</v>
      </c>
      <c r="E361" s="26" t="inlineStr">
        <is>
          <t>측정</t>
        </is>
      </c>
      <c r="F361" s="26" t="inlineStr">
        <is>
          <t>북</t>
        </is>
      </c>
      <c r="G361" s="31" t="n">
        <v>3</v>
      </c>
      <c r="H361" s="30" t="n"/>
      <c r="I361" s="43" t="n"/>
      <c r="J361" s="41" t="n"/>
      <c r="K361" s="41" t="n"/>
      <c r="L361" s="41" t="n"/>
      <c r="M361" s="31">
        <f>IF(COUNT(J361:L361)=0,"",MEDIAN(J361:L361))</f>
        <v/>
      </c>
      <c r="N361" s="26">
        <f>IF(COUNTIFS($C:$C,$C361,$D:$D,$D361,$E:$E,"P0(전)",$M:$M,"&gt;0")&lt;&gt;1,"P0(전) 유효 1개 아님",IF(COUNTIFS($C:$C,$C361,$D:$D,$D361,$E:$E,"P0(후)",$M:$M,"&gt;0")&lt;&gt;1,"P0(후) 유효 1개 아님",IF(NOT(AND(ISNUMBER(O361),ISNUMBER(Q361),ISNUMBER(I361))),"시각 결측",IF(Q361&lt;=O361,"P0 시각 역전",IF(OR(I361&lt;O361,I361&gt;Q361),"측정시각 구간 밖","OK")))))</f>
        <v/>
      </c>
      <c r="O361" s="48">
        <f>IF(COUNTIFS($C:$C,$C361,$D:$D,$D361,$E:$E,"P0(전)",$M:$M,"&gt;0")&lt;&gt;1,"",SUMIFS($I:$I,$C:$C,$C361,$D:$D,$D361,$E:$E,"P0(전)"))</f>
        <v/>
      </c>
      <c r="P361" s="31">
        <f>IF(COUNTIFS($C:$C,$C361,$D:$D,$D361,$E:$E,"P0(전)",$M:$M,"&gt;0")&lt;&gt;1,"",SUMIFS($M:$M,$C:$C,$C361,$D:$D,$D361,$E:$E,"P0(전)"))</f>
        <v/>
      </c>
      <c r="Q361" s="48">
        <f>IF(COUNTIFS($C:$C,$C361,$D:$D,$D361,$E:$E,"P0(후)",$M:$M,"&gt;0")&lt;&gt;1,"",SUMIFS($I:$I,$C:$C,$C361,$D:$D,$D361,$E:$E,"P0(후)"))</f>
        <v/>
      </c>
      <c r="R361" s="31">
        <f>IF(COUNTIFS($C:$C,$C361,$D:$D,$D361,$E:$E,"P0(후)",$M:$M,"&gt;0")&lt;&gt;1,"",SUMIFS($M:$M,$C:$C,$C361,$D:$D,$D361,$E:$E,"P0(후)"))</f>
        <v/>
      </c>
      <c r="S361" s="31">
        <f>IF(N361&lt;&gt;"OK","",P361+(R361-P361)*(I361-O361)/(Q361-O361))</f>
        <v/>
      </c>
      <c r="T361" s="31">
        <f>IF(OR(N361&lt;&gt;"OK",NOT(ISNUMBER(M361))),"",M361-S361)</f>
        <v/>
      </c>
      <c r="U361" s="49">
        <f>IF(OR(NOT(ISNUMBER(T361)),IF(ISNUMBER(H361),H361,G361)=0),"",T361/IF(ISNUMBER(H361),H361,G361))</f>
        <v/>
      </c>
      <c r="V361" s="49">
        <f>IF(ISNUMBER(U361),ABS(U361),"")</f>
        <v/>
      </c>
      <c r="W361" s="49">
        <f>IF(OR($E360&lt;&gt;"측정",$C360&lt;&gt;$C361,$D360&lt;&gt;$D361,NOT(ISNUMBER(M361)),NOT(ISNUMBER(M360)),(IF(ISNUMBER(H361),H361,G361)-IF(ISNUMBER(H360),H360,G360))=0),"",(M361-M360)/(IF(ISNUMBER(H361),H361,G361)-IF(ISNUMBER(H360),H360,G360)))</f>
        <v/>
      </c>
      <c r="X361" s="31">
        <f>IF(NOT(AND(ISNUMBER(O361),ISNUMBER(Q361))),"",(Q361-O361)*1440)</f>
        <v/>
      </c>
      <c r="Y361" s="29" t="n"/>
      <c r="Z361" s="29" t="n"/>
      <c r="AA361" s="29" t="n"/>
      <c r="AB361" s="32" t="n"/>
      <c r="AC361" s="32" t="n"/>
    </row>
    <row r="362">
      <c r="A362" s="26" t="inlineStr">
        <is>
          <t>S07</t>
        </is>
      </c>
      <c r="B362" s="26" t="inlineStr">
        <is>
          <t>남해 신규점1</t>
        </is>
      </c>
      <c r="C362" s="26" t="inlineStr">
        <is>
          <t>S07-H북</t>
        </is>
      </c>
      <c r="D362" s="47" t="n">
        <v>1</v>
      </c>
      <c r="E362" s="26" t="inlineStr">
        <is>
          <t>측정</t>
        </is>
      </c>
      <c r="F362" s="26" t="inlineStr">
        <is>
          <t>북</t>
        </is>
      </c>
      <c r="G362" s="31" t="n">
        <v>4</v>
      </c>
      <c r="H362" s="30" t="n"/>
      <c r="I362" s="43" t="n"/>
      <c r="J362" s="41" t="n"/>
      <c r="K362" s="41" t="n"/>
      <c r="L362" s="41" t="n"/>
      <c r="M362" s="31">
        <f>IF(COUNT(J362:L362)=0,"",MEDIAN(J362:L362))</f>
        <v/>
      </c>
      <c r="N362" s="26">
        <f>IF(COUNTIFS($C:$C,$C362,$D:$D,$D362,$E:$E,"P0(전)",$M:$M,"&gt;0")&lt;&gt;1,"P0(전) 유효 1개 아님",IF(COUNTIFS($C:$C,$C362,$D:$D,$D362,$E:$E,"P0(후)",$M:$M,"&gt;0")&lt;&gt;1,"P0(후) 유효 1개 아님",IF(NOT(AND(ISNUMBER(O362),ISNUMBER(Q362),ISNUMBER(I362))),"시각 결측",IF(Q362&lt;=O362,"P0 시각 역전",IF(OR(I362&lt;O362,I362&gt;Q362),"측정시각 구간 밖","OK")))))</f>
        <v/>
      </c>
      <c r="O362" s="48">
        <f>IF(COUNTIFS($C:$C,$C362,$D:$D,$D362,$E:$E,"P0(전)",$M:$M,"&gt;0")&lt;&gt;1,"",SUMIFS($I:$I,$C:$C,$C362,$D:$D,$D362,$E:$E,"P0(전)"))</f>
        <v/>
      </c>
      <c r="P362" s="31">
        <f>IF(COUNTIFS($C:$C,$C362,$D:$D,$D362,$E:$E,"P0(전)",$M:$M,"&gt;0")&lt;&gt;1,"",SUMIFS($M:$M,$C:$C,$C362,$D:$D,$D362,$E:$E,"P0(전)"))</f>
        <v/>
      </c>
      <c r="Q362" s="48">
        <f>IF(COUNTIFS($C:$C,$C362,$D:$D,$D362,$E:$E,"P0(후)",$M:$M,"&gt;0")&lt;&gt;1,"",SUMIFS($I:$I,$C:$C,$C362,$D:$D,$D362,$E:$E,"P0(후)"))</f>
        <v/>
      </c>
      <c r="R362" s="31">
        <f>IF(COUNTIFS($C:$C,$C362,$D:$D,$D362,$E:$E,"P0(후)",$M:$M,"&gt;0")&lt;&gt;1,"",SUMIFS($M:$M,$C:$C,$C362,$D:$D,$D362,$E:$E,"P0(후)"))</f>
        <v/>
      </c>
      <c r="S362" s="31">
        <f>IF(N362&lt;&gt;"OK","",P362+(R362-P362)*(I362-O362)/(Q362-O362))</f>
        <v/>
      </c>
      <c r="T362" s="31">
        <f>IF(OR(N362&lt;&gt;"OK",NOT(ISNUMBER(M362))),"",M362-S362)</f>
        <v/>
      </c>
      <c r="U362" s="49">
        <f>IF(OR(NOT(ISNUMBER(T362)),IF(ISNUMBER(H362),H362,G362)=0),"",T362/IF(ISNUMBER(H362),H362,G362))</f>
        <v/>
      </c>
      <c r="V362" s="49">
        <f>IF(ISNUMBER(U362),ABS(U362),"")</f>
        <v/>
      </c>
      <c r="W362" s="49">
        <f>IF(OR($E361&lt;&gt;"측정",$C361&lt;&gt;$C362,$D361&lt;&gt;$D362,NOT(ISNUMBER(M362)),NOT(ISNUMBER(M361)),(IF(ISNUMBER(H362),H362,G362)-IF(ISNUMBER(H361),H361,G361))=0),"",(M362-M361)/(IF(ISNUMBER(H362),H362,G362)-IF(ISNUMBER(H361),H361,G361)))</f>
        <v/>
      </c>
      <c r="X362" s="31">
        <f>IF(NOT(AND(ISNUMBER(O362),ISNUMBER(Q362))),"",(Q362-O362)*1440)</f>
        <v/>
      </c>
      <c r="Y362" s="29" t="n"/>
      <c r="Z362" s="29" t="n"/>
      <c r="AA362" s="29" t="n"/>
      <c r="AB362" s="32" t="n"/>
      <c r="AC362" s="32" t="n"/>
    </row>
    <row r="363">
      <c r="A363" s="26" t="inlineStr">
        <is>
          <t>S07</t>
        </is>
      </c>
      <c r="B363" s="26" t="inlineStr">
        <is>
          <t>남해 신규점1</t>
        </is>
      </c>
      <c r="C363" s="26" t="inlineStr">
        <is>
          <t>S07-H북</t>
        </is>
      </c>
      <c r="D363" s="47" t="n">
        <v>1</v>
      </c>
      <c r="E363" s="26" t="inlineStr">
        <is>
          <t>측정</t>
        </is>
      </c>
      <c r="F363" s="26" t="inlineStr">
        <is>
          <t>북</t>
        </is>
      </c>
      <c r="G363" s="31" t="n">
        <v>5</v>
      </c>
      <c r="H363" s="30" t="n"/>
      <c r="I363" s="43" t="n"/>
      <c r="J363" s="41" t="n"/>
      <c r="K363" s="41" t="n"/>
      <c r="L363" s="41" t="n"/>
      <c r="M363" s="31">
        <f>IF(COUNT(J363:L363)=0,"",MEDIAN(J363:L363))</f>
        <v/>
      </c>
      <c r="N363" s="26">
        <f>IF(COUNTIFS($C:$C,$C363,$D:$D,$D363,$E:$E,"P0(전)",$M:$M,"&gt;0")&lt;&gt;1,"P0(전) 유효 1개 아님",IF(COUNTIFS($C:$C,$C363,$D:$D,$D363,$E:$E,"P0(후)",$M:$M,"&gt;0")&lt;&gt;1,"P0(후) 유효 1개 아님",IF(NOT(AND(ISNUMBER(O363),ISNUMBER(Q363),ISNUMBER(I363))),"시각 결측",IF(Q363&lt;=O363,"P0 시각 역전",IF(OR(I363&lt;O363,I363&gt;Q363),"측정시각 구간 밖","OK")))))</f>
        <v/>
      </c>
      <c r="O363" s="48">
        <f>IF(COUNTIFS($C:$C,$C363,$D:$D,$D363,$E:$E,"P0(전)",$M:$M,"&gt;0")&lt;&gt;1,"",SUMIFS($I:$I,$C:$C,$C363,$D:$D,$D363,$E:$E,"P0(전)"))</f>
        <v/>
      </c>
      <c r="P363" s="31">
        <f>IF(COUNTIFS($C:$C,$C363,$D:$D,$D363,$E:$E,"P0(전)",$M:$M,"&gt;0")&lt;&gt;1,"",SUMIFS($M:$M,$C:$C,$C363,$D:$D,$D363,$E:$E,"P0(전)"))</f>
        <v/>
      </c>
      <c r="Q363" s="48">
        <f>IF(COUNTIFS($C:$C,$C363,$D:$D,$D363,$E:$E,"P0(후)",$M:$M,"&gt;0")&lt;&gt;1,"",SUMIFS($I:$I,$C:$C,$C363,$D:$D,$D363,$E:$E,"P0(후)"))</f>
        <v/>
      </c>
      <c r="R363" s="31">
        <f>IF(COUNTIFS($C:$C,$C363,$D:$D,$D363,$E:$E,"P0(후)",$M:$M,"&gt;0")&lt;&gt;1,"",SUMIFS($M:$M,$C:$C,$C363,$D:$D,$D363,$E:$E,"P0(후)"))</f>
        <v/>
      </c>
      <c r="S363" s="31">
        <f>IF(N363&lt;&gt;"OK","",P363+(R363-P363)*(I363-O363)/(Q363-O363))</f>
        <v/>
      </c>
      <c r="T363" s="31">
        <f>IF(OR(N363&lt;&gt;"OK",NOT(ISNUMBER(M363))),"",M363-S363)</f>
        <v/>
      </c>
      <c r="U363" s="49">
        <f>IF(OR(NOT(ISNUMBER(T363)),IF(ISNUMBER(H363),H363,G363)=0),"",T363/IF(ISNUMBER(H363),H363,G363))</f>
        <v/>
      </c>
      <c r="V363" s="49">
        <f>IF(ISNUMBER(U363),ABS(U363),"")</f>
        <v/>
      </c>
      <c r="W363" s="49">
        <f>IF(OR($E362&lt;&gt;"측정",$C362&lt;&gt;$C363,$D362&lt;&gt;$D363,NOT(ISNUMBER(M363)),NOT(ISNUMBER(M362)),(IF(ISNUMBER(H363),H363,G363)-IF(ISNUMBER(H362),H362,G362))=0),"",(M363-M362)/(IF(ISNUMBER(H363),H363,G363)-IF(ISNUMBER(H362),H362,G362)))</f>
        <v/>
      </c>
      <c r="X363" s="31">
        <f>IF(NOT(AND(ISNUMBER(O363),ISNUMBER(Q363))),"",(Q363-O363)*1440)</f>
        <v/>
      </c>
      <c r="Y363" s="29" t="n"/>
      <c r="Z363" s="29" t="n"/>
      <c r="AA363" s="29" t="n"/>
      <c r="AB363" s="32" t="n"/>
      <c r="AC363" s="32" t="n"/>
    </row>
    <row r="364">
      <c r="A364" s="26" t="inlineStr">
        <is>
          <t>S07</t>
        </is>
      </c>
      <c r="B364" s="26" t="inlineStr">
        <is>
          <t>남해 신규점1</t>
        </is>
      </c>
      <c r="C364" s="26" t="inlineStr">
        <is>
          <t>S07-H북</t>
        </is>
      </c>
      <c r="D364" s="47" t="n">
        <v>1</v>
      </c>
      <c r="E364" s="26" t="inlineStr">
        <is>
          <t>측정</t>
        </is>
      </c>
      <c r="F364" s="26" t="inlineStr">
        <is>
          <t>북</t>
        </is>
      </c>
      <c r="G364" s="31" t="n">
        <v>6</v>
      </c>
      <c r="H364" s="30" t="n"/>
      <c r="I364" s="43" t="n"/>
      <c r="J364" s="41" t="n"/>
      <c r="K364" s="41" t="n"/>
      <c r="L364" s="41" t="n"/>
      <c r="M364" s="31">
        <f>IF(COUNT(J364:L364)=0,"",MEDIAN(J364:L364))</f>
        <v/>
      </c>
      <c r="N364" s="26">
        <f>IF(COUNTIFS($C:$C,$C364,$D:$D,$D364,$E:$E,"P0(전)",$M:$M,"&gt;0")&lt;&gt;1,"P0(전) 유효 1개 아님",IF(COUNTIFS($C:$C,$C364,$D:$D,$D364,$E:$E,"P0(후)",$M:$M,"&gt;0")&lt;&gt;1,"P0(후) 유효 1개 아님",IF(NOT(AND(ISNUMBER(O364),ISNUMBER(Q364),ISNUMBER(I364))),"시각 결측",IF(Q364&lt;=O364,"P0 시각 역전",IF(OR(I364&lt;O364,I364&gt;Q364),"측정시각 구간 밖","OK")))))</f>
        <v/>
      </c>
      <c r="O364" s="48">
        <f>IF(COUNTIFS($C:$C,$C364,$D:$D,$D364,$E:$E,"P0(전)",$M:$M,"&gt;0")&lt;&gt;1,"",SUMIFS($I:$I,$C:$C,$C364,$D:$D,$D364,$E:$E,"P0(전)"))</f>
        <v/>
      </c>
      <c r="P364" s="31">
        <f>IF(COUNTIFS($C:$C,$C364,$D:$D,$D364,$E:$E,"P0(전)",$M:$M,"&gt;0")&lt;&gt;1,"",SUMIFS($M:$M,$C:$C,$C364,$D:$D,$D364,$E:$E,"P0(전)"))</f>
        <v/>
      </c>
      <c r="Q364" s="48">
        <f>IF(COUNTIFS($C:$C,$C364,$D:$D,$D364,$E:$E,"P0(후)",$M:$M,"&gt;0")&lt;&gt;1,"",SUMIFS($I:$I,$C:$C,$C364,$D:$D,$D364,$E:$E,"P0(후)"))</f>
        <v/>
      </c>
      <c r="R364" s="31">
        <f>IF(COUNTIFS($C:$C,$C364,$D:$D,$D364,$E:$E,"P0(후)",$M:$M,"&gt;0")&lt;&gt;1,"",SUMIFS($M:$M,$C:$C,$C364,$D:$D,$D364,$E:$E,"P0(후)"))</f>
        <v/>
      </c>
      <c r="S364" s="31">
        <f>IF(N364&lt;&gt;"OK","",P364+(R364-P364)*(I364-O364)/(Q364-O364))</f>
        <v/>
      </c>
      <c r="T364" s="31">
        <f>IF(OR(N364&lt;&gt;"OK",NOT(ISNUMBER(M364))),"",M364-S364)</f>
        <v/>
      </c>
      <c r="U364" s="49">
        <f>IF(OR(NOT(ISNUMBER(T364)),IF(ISNUMBER(H364),H364,G364)=0),"",T364/IF(ISNUMBER(H364),H364,G364))</f>
        <v/>
      </c>
      <c r="V364" s="49">
        <f>IF(ISNUMBER(U364),ABS(U364),"")</f>
        <v/>
      </c>
      <c r="W364" s="49">
        <f>IF(OR($E363&lt;&gt;"측정",$C363&lt;&gt;$C364,$D363&lt;&gt;$D364,NOT(ISNUMBER(M364)),NOT(ISNUMBER(M363)),(IF(ISNUMBER(H364),H364,G364)-IF(ISNUMBER(H363),H363,G363))=0),"",(M364-M363)/(IF(ISNUMBER(H364),H364,G364)-IF(ISNUMBER(H363),H363,G363)))</f>
        <v/>
      </c>
      <c r="X364" s="31">
        <f>IF(NOT(AND(ISNUMBER(O364),ISNUMBER(Q364))),"",(Q364-O364)*1440)</f>
        <v/>
      </c>
      <c r="Y364" s="29" t="n"/>
      <c r="Z364" s="29" t="n"/>
      <c r="AA364" s="29" t="n"/>
      <c r="AB364" s="32" t="n"/>
      <c r="AC364" s="32" t="n"/>
    </row>
    <row r="365">
      <c r="A365" s="26" t="inlineStr">
        <is>
          <t>S07</t>
        </is>
      </c>
      <c r="B365" s="26" t="inlineStr">
        <is>
          <t>남해 신규점1</t>
        </is>
      </c>
      <c r="C365" s="26" t="inlineStr">
        <is>
          <t>S07-H북</t>
        </is>
      </c>
      <c r="D365" s="47" t="n">
        <v>1</v>
      </c>
      <c r="E365" s="26" t="inlineStr">
        <is>
          <t>측정</t>
        </is>
      </c>
      <c r="F365" s="26" t="inlineStr">
        <is>
          <t>북</t>
        </is>
      </c>
      <c r="G365" s="31" t="n">
        <v>7</v>
      </c>
      <c r="H365" s="30" t="n"/>
      <c r="I365" s="43" t="n"/>
      <c r="J365" s="41" t="n"/>
      <c r="K365" s="41" t="n"/>
      <c r="L365" s="41" t="n"/>
      <c r="M365" s="31">
        <f>IF(COUNT(J365:L365)=0,"",MEDIAN(J365:L365))</f>
        <v/>
      </c>
      <c r="N365" s="26">
        <f>IF(COUNTIFS($C:$C,$C365,$D:$D,$D365,$E:$E,"P0(전)",$M:$M,"&gt;0")&lt;&gt;1,"P0(전) 유효 1개 아님",IF(COUNTIFS($C:$C,$C365,$D:$D,$D365,$E:$E,"P0(후)",$M:$M,"&gt;0")&lt;&gt;1,"P0(후) 유효 1개 아님",IF(NOT(AND(ISNUMBER(O365),ISNUMBER(Q365),ISNUMBER(I365))),"시각 결측",IF(Q365&lt;=O365,"P0 시각 역전",IF(OR(I365&lt;O365,I365&gt;Q365),"측정시각 구간 밖","OK")))))</f>
        <v/>
      </c>
      <c r="O365" s="48">
        <f>IF(COUNTIFS($C:$C,$C365,$D:$D,$D365,$E:$E,"P0(전)",$M:$M,"&gt;0")&lt;&gt;1,"",SUMIFS($I:$I,$C:$C,$C365,$D:$D,$D365,$E:$E,"P0(전)"))</f>
        <v/>
      </c>
      <c r="P365" s="31">
        <f>IF(COUNTIFS($C:$C,$C365,$D:$D,$D365,$E:$E,"P0(전)",$M:$M,"&gt;0")&lt;&gt;1,"",SUMIFS($M:$M,$C:$C,$C365,$D:$D,$D365,$E:$E,"P0(전)"))</f>
        <v/>
      </c>
      <c r="Q365" s="48">
        <f>IF(COUNTIFS($C:$C,$C365,$D:$D,$D365,$E:$E,"P0(후)",$M:$M,"&gt;0")&lt;&gt;1,"",SUMIFS($I:$I,$C:$C,$C365,$D:$D,$D365,$E:$E,"P0(후)"))</f>
        <v/>
      </c>
      <c r="R365" s="31">
        <f>IF(COUNTIFS($C:$C,$C365,$D:$D,$D365,$E:$E,"P0(후)",$M:$M,"&gt;0")&lt;&gt;1,"",SUMIFS($M:$M,$C:$C,$C365,$D:$D,$D365,$E:$E,"P0(후)"))</f>
        <v/>
      </c>
      <c r="S365" s="31">
        <f>IF(N365&lt;&gt;"OK","",P365+(R365-P365)*(I365-O365)/(Q365-O365))</f>
        <v/>
      </c>
      <c r="T365" s="31">
        <f>IF(OR(N365&lt;&gt;"OK",NOT(ISNUMBER(M365))),"",M365-S365)</f>
        <v/>
      </c>
      <c r="U365" s="49">
        <f>IF(OR(NOT(ISNUMBER(T365)),IF(ISNUMBER(H365),H365,G365)=0),"",T365/IF(ISNUMBER(H365),H365,G365))</f>
        <v/>
      </c>
      <c r="V365" s="49">
        <f>IF(ISNUMBER(U365),ABS(U365),"")</f>
        <v/>
      </c>
      <c r="W365" s="49">
        <f>IF(OR($E364&lt;&gt;"측정",$C364&lt;&gt;$C365,$D364&lt;&gt;$D365,NOT(ISNUMBER(M365)),NOT(ISNUMBER(M364)),(IF(ISNUMBER(H365),H365,G365)-IF(ISNUMBER(H364),H364,G364))=0),"",(M365-M364)/(IF(ISNUMBER(H365),H365,G365)-IF(ISNUMBER(H364),H364,G364)))</f>
        <v/>
      </c>
      <c r="X365" s="31">
        <f>IF(NOT(AND(ISNUMBER(O365),ISNUMBER(Q365))),"",(Q365-O365)*1440)</f>
        <v/>
      </c>
      <c r="Y365" s="29" t="n"/>
      <c r="Z365" s="29" t="n"/>
      <c r="AA365" s="29" t="n"/>
      <c r="AB365" s="32" t="n"/>
      <c r="AC365" s="32" t="n"/>
    </row>
    <row r="366">
      <c r="A366" s="26" t="inlineStr">
        <is>
          <t>S07</t>
        </is>
      </c>
      <c r="B366" s="26" t="inlineStr">
        <is>
          <t>남해 신규점1</t>
        </is>
      </c>
      <c r="C366" s="26" t="inlineStr">
        <is>
          <t>S07-H북</t>
        </is>
      </c>
      <c r="D366" s="47" t="n">
        <v>1</v>
      </c>
      <c r="E366" s="26" t="inlineStr">
        <is>
          <t>측정</t>
        </is>
      </c>
      <c r="F366" s="26" t="inlineStr">
        <is>
          <t>북</t>
        </is>
      </c>
      <c r="G366" s="31" t="n">
        <v>8</v>
      </c>
      <c r="H366" s="30" t="n"/>
      <c r="I366" s="43" t="n"/>
      <c r="J366" s="41" t="n"/>
      <c r="K366" s="41" t="n"/>
      <c r="L366" s="41" t="n"/>
      <c r="M366" s="31">
        <f>IF(COUNT(J366:L366)=0,"",MEDIAN(J366:L366))</f>
        <v/>
      </c>
      <c r="N366" s="26">
        <f>IF(COUNTIFS($C:$C,$C366,$D:$D,$D366,$E:$E,"P0(전)",$M:$M,"&gt;0")&lt;&gt;1,"P0(전) 유효 1개 아님",IF(COUNTIFS($C:$C,$C366,$D:$D,$D366,$E:$E,"P0(후)",$M:$M,"&gt;0")&lt;&gt;1,"P0(후) 유효 1개 아님",IF(NOT(AND(ISNUMBER(O366),ISNUMBER(Q366),ISNUMBER(I366))),"시각 결측",IF(Q366&lt;=O366,"P0 시각 역전",IF(OR(I366&lt;O366,I366&gt;Q366),"측정시각 구간 밖","OK")))))</f>
        <v/>
      </c>
      <c r="O366" s="48">
        <f>IF(COUNTIFS($C:$C,$C366,$D:$D,$D366,$E:$E,"P0(전)",$M:$M,"&gt;0")&lt;&gt;1,"",SUMIFS($I:$I,$C:$C,$C366,$D:$D,$D366,$E:$E,"P0(전)"))</f>
        <v/>
      </c>
      <c r="P366" s="31">
        <f>IF(COUNTIFS($C:$C,$C366,$D:$D,$D366,$E:$E,"P0(전)",$M:$M,"&gt;0")&lt;&gt;1,"",SUMIFS($M:$M,$C:$C,$C366,$D:$D,$D366,$E:$E,"P0(전)"))</f>
        <v/>
      </c>
      <c r="Q366" s="48">
        <f>IF(COUNTIFS($C:$C,$C366,$D:$D,$D366,$E:$E,"P0(후)",$M:$M,"&gt;0")&lt;&gt;1,"",SUMIFS($I:$I,$C:$C,$C366,$D:$D,$D366,$E:$E,"P0(후)"))</f>
        <v/>
      </c>
      <c r="R366" s="31">
        <f>IF(COUNTIFS($C:$C,$C366,$D:$D,$D366,$E:$E,"P0(후)",$M:$M,"&gt;0")&lt;&gt;1,"",SUMIFS($M:$M,$C:$C,$C366,$D:$D,$D366,$E:$E,"P0(후)"))</f>
        <v/>
      </c>
      <c r="S366" s="31">
        <f>IF(N366&lt;&gt;"OK","",P366+(R366-P366)*(I366-O366)/(Q366-O366))</f>
        <v/>
      </c>
      <c r="T366" s="31">
        <f>IF(OR(N366&lt;&gt;"OK",NOT(ISNUMBER(M366))),"",M366-S366)</f>
        <v/>
      </c>
      <c r="U366" s="49">
        <f>IF(OR(NOT(ISNUMBER(T366)),IF(ISNUMBER(H366),H366,G366)=0),"",T366/IF(ISNUMBER(H366),H366,G366))</f>
        <v/>
      </c>
      <c r="V366" s="49">
        <f>IF(ISNUMBER(U366),ABS(U366),"")</f>
        <v/>
      </c>
      <c r="W366" s="49">
        <f>IF(OR($E365&lt;&gt;"측정",$C365&lt;&gt;$C366,$D365&lt;&gt;$D366,NOT(ISNUMBER(M366)),NOT(ISNUMBER(M365)),(IF(ISNUMBER(H366),H366,G366)-IF(ISNUMBER(H365),H365,G365))=0),"",(M366-M365)/(IF(ISNUMBER(H366),H366,G366)-IF(ISNUMBER(H365),H365,G365)))</f>
        <v/>
      </c>
      <c r="X366" s="31">
        <f>IF(NOT(AND(ISNUMBER(O366),ISNUMBER(Q366))),"",(Q366-O366)*1440)</f>
        <v/>
      </c>
      <c r="Y366" s="29" t="n"/>
      <c r="Z366" s="29" t="n"/>
      <c r="AA366" s="29" t="n"/>
      <c r="AB366" s="32" t="n"/>
      <c r="AC366" s="32" t="n"/>
    </row>
    <row r="367">
      <c r="A367" s="26" t="inlineStr">
        <is>
          <t>S07</t>
        </is>
      </c>
      <c r="B367" s="26" t="inlineStr">
        <is>
          <t>남해 신규점1</t>
        </is>
      </c>
      <c r="C367" s="26" t="inlineStr">
        <is>
          <t>S07-H북</t>
        </is>
      </c>
      <c r="D367" s="47" t="n">
        <v>1</v>
      </c>
      <c r="E367" s="26" t="inlineStr">
        <is>
          <t>측정</t>
        </is>
      </c>
      <c r="F367" s="26" t="inlineStr">
        <is>
          <t>북</t>
        </is>
      </c>
      <c r="G367" s="31" t="n">
        <v>9</v>
      </c>
      <c r="H367" s="30" t="n"/>
      <c r="I367" s="43" t="n"/>
      <c r="J367" s="41" t="n"/>
      <c r="K367" s="41" t="n"/>
      <c r="L367" s="41" t="n"/>
      <c r="M367" s="31">
        <f>IF(COUNT(J367:L367)=0,"",MEDIAN(J367:L367))</f>
        <v/>
      </c>
      <c r="N367" s="26">
        <f>IF(COUNTIFS($C:$C,$C367,$D:$D,$D367,$E:$E,"P0(전)",$M:$M,"&gt;0")&lt;&gt;1,"P0(전) 유효 1개 아님",IF(COUNTIFS($C:$C,$C367,$D:$D,$D367,$E:$E,"P0(후)",$M:$M,"&gt;0")&lt;&gt;1,"P0(후) 유효 1개 아님",IF(NOT(AND(ISNUMBER(O367),ISNUMBER(Q367),ISNUMBER(I367))),"시각 결측",IF(Q367&lt;=O367,"P0 시각 역전",IF(OR(I367&lt;O367,I367&gt;Q367),"측정시각 구간 밖","OK")))))</f>
        <v/>
      </c>
      <c r="O367" s="48">
        <f>IF(COUNTIFS($C:$C,$C367,$D:$D,$D367,$E:$E,"P0(전)",$M:$M,"&gt;0")&lt;&gt;1,"",SUMIFS($I:$I,$C:$C,$C367,$D:$D,$D367,$E:$E,"P0(전)"))</f>
        <v/>
      </c>
      <c r="P367" s="31">
        <f>IF(COUNTIFS($C:$C,$C367,$D:$D,$D367,$E:$E,"P0(전)",$M:$M,"&gt;0")&lt;&gt;1,"",SUMIFS($M:$M,$C:$C,$C367,$D:$D,$D367,$E:$E,"P0(전)"))</f>
        <v/>
      </c>
      <c r="Q367" s="48">
        <f>IF(COUNTIFS($C:$C,$C367,$D:$D,$D367,$E:$E,"P0(후)",$M:$M,"&gt;0")&lt;&gt;1,"",SUMIFS($I:$I,$C:$C,$C367,$D:$D,$D367,$E:$E,"P0(후)"))</f>
        <v/>
      </c>
      <c r="R367" s="31">
        <f>IF(COUNTIFS($C:$C,$C367,$D:$D,$D367,$E:$E,"P0(후)",$M:$M,"&gt;0")&lt;&gt;1,"",SUMIFS($M:$M,$C:$C,$C367,$D:$D,$D367,$E:$E,"P0(후)"))</f>
        <v/>
      </c>
      <c r="S367" s="31">
        <f>IF(N367&lt;&gt;"OK","",P367+(R367-P367)*(I367-O367)/(Q367-O367))</f>
        <v/>
      </c>
      <c r="T367" s="31">
        <f>IF(OR(N367&lt;&gt;"OK",NOT(ISNUMBER(M367))),"",M367-S367)</f>
        <v/>
      </c>
      <c r="U367" s="49">
        <f>IF(OR(NOT(ISNUMBER(T367)),IF(ISNUMBER(H367),H367,G367)=0),"",T367/IF(ISNUMBER(H367),H367,G367))</f>
        <v/>
      </c>
      <c r="V367" s="49">
        <f>IF(ISNUMBER(U367),ABS(U367),"")</f>
        <v/>
      </c>
      <c r="W367" s="49">
        <f>IF(OR($E366&lt;&gt;"측정",$C366&lt;&gt;$C367,$D366&lt;&gt;$D367,NOT(ISNUMBER(M367)),NOT(ISNUMBER(M366)),(IF(ISNUMBER(H367),H367,G367)-IF(ISNUMBER(H366),H366,G366))=0),"",(M367-M366)/(IF(ISNUMBER(H367),H367,G367)-IF(ISNUMBER(H366),H366,G366)))</f>
        <v/>
      </c>
      <c r="X367" s="31">
        <f>IF(NOT(AND(ISNUMBER(O367),ISNUMBER(Q367))),"",(Q367-O367)*1440)</f>
        <v/>
      </c>
      <c r="Y367" s="29" t="n"/>
      <c r="Z367" s="29" t="n"/>
      <c r="AA367" s="29" t="n"/>
      <c r="AB367" s="32" t="n"/>
      <c r="AC367" s="32" t="n"/>
    </row>
    <row r="368">
      <c r="A368" s="26" t="inlineStr">
        <is>
          <t>S07</t>
        </is>
      </c>
      <c r="B368" s="26" t="inlineStr">
        <is>
          <t>남해 신규점1</t>
        </is>
      </c>
      <c r="C368" s="26" t="inlineStr">
        <is>
          <t>S07-H북</t>
        </is>
      </c>
      <c r="D368" s="47" t="n">
        <v>1</v>
      </c>
      <c r="E368" s="26" t="inlineStr">
        <is>
          <t>측정</t>
        </is>
      </c>
      <c r="F368" s="26" t="inlineStr">
        <is>
          <t>북</t>
        </is>
      </c>
      <c r="G368" s="31" t="n">
        <v>10</v>
      </c>
      <c r="H368" s="30" t="n"/>
      <c r="I368" s="43" t="n"/>
      <c r="J368" s="41" t="n"/>
      <c r="K368" s="41" t="n"/>
      <c r="L368" s="41" t="n"/>
      <c r="M368" s="31">
        <f>IF(COUNT(J368:L368)=0,"",MEDIAN(J368:L368))</f>
        <v/>
      </c>
      <c r="N368" s="26">
        <f>IF(COUNTIFS($C:$C,$C368,$D:$D,$D368,$E:$E,"P0(전)",$M:$M,"&gt;0")&lt;&gt;1,"P0(전) 유효 1개 아님",IF(COUNTIFS($C:$C,$C368,$D:$D,$D368,$E:$E,"P0(후)",$M:$M,"&gt;0")&lt;&gt;1,"P0(후) 유효 1개 아님",IF(NOT(AND(ISNUMBER(O368),ISNUMBER(Q368),ISNUMBER(I368))),"시각 결측",IF(Q368&lt;=O368,"P0 시각 역전",IF(OR(I368&lt;O368,I368&gt;Q368),"측정시각 구간 밖","OK")))))</f>
        <v/>
      </c>
      <c r="O368" s="48">
        <f>IF(COUNTIFS($C:$C,$C368,$D:$D,$D368,$E:$E,"P0(전)",$M:$M,"&gt;0")&lt;&gt;1,"",SUMIFS($I:$I,$C:$C,$C368,$D:$D,$D368,$E:$E,"P0(전)"))</f>
        <v/>
      </c>
      <c r="P368" s="31">
        <f>IF(COUNTIFS($C:$C,$C368,$D:$D,$D368,$E:$E,"P0(전)",$M:$M,"&gt;0")&lt;&gt;1,"",SUMIFS($M:$M,$C:$C,$C368,$D:$D,$D368,$E:$E,"P0(전)"))</f>
        <v/>
      </c>
      <c r="Q368" s="48">
        <f>IF(COUNTIFS($C:$C,$C368,$D:$D,$D368,$E:$E,"P0(후)",$M:$M,"&gt;0")&lt;&gt;1,"",SUMIFS($I:$I,$C:$C,$C368,$D:$D,$D368,$E:$E,"P0(후)"))</f>
        <v/>
      </c>
      <c r="R368" s="31">
        <f>IF(COUNTIFS($C:$C,$C368,$D:$D,$D368,$E:$E,"P0(후)",$M:$M,"&gt;0")&lt;&gt;1,"",SUMIFS($M:$M,$C:$C,$C368,$D:$D,$D368,$E:$E,"P0(후)"))</f>
        <v/>
      </c>
      <c r="S368" s="31">
        <f>IF(N368&lt;&gt;"OK","",P368+(R368-P368)*(I368-O368)/(Q368-O368))</f>
        <v/>
      </c>
      <c r="T368" s="31">
        <f>IF(OR(N368&lt;&gt;"OK",NOT(ISNUMBER(M368))),"",M368-S368)</f>
        <v/>
      </c>
      <c r="U368" s="49">
        <f>IF(OR(NOT(ISNUMBER(T368)),IF(ISNUMBER(H368),H368,G368)=0),"",T368/IF(ISNUMBER(H368),H368,G368))</f>
        <v/>
      </c>
      <c r="V368" s="49">
        <f>IF(ISNUMBER(U368),ABS(U368),"")</f>
        <v/>
      </c>
      <c r="W368" s="49">
        <f>IF(OR($E367&lt;&gt;"측정",$C367&lt;&gt;$C368,$D367&lt;&gt;$D368,NOT(ISNUMBER(M368)),NOT(ISNUMBER(M367)),(IF(ISNUMBER(H368),H368,G368)-IF(ISNUMBER(H367),H367,G367))=0),"",(M368-M367)/(IF(ISNUMBER(H368),H368,G368)-IF(ISNUMBER(H367),H367,G367)))</f>
        <v/>
      </c>
      <c r="X368" s="31">
        <f>IF(NOT(AND(ISNUMBER(O368),ISNUMBER(Q368))),"",(Q368-O368)*1440)</f>
        <v/>
      </c>
      <c r="Y368" s="29" t="n"/>
      <c r="Z368" s="29" t="n"/>
      <c r="AA368" s="29" t="n"/>
      <c r="AB368" s="32" t="n"/>
      <c r="AC368" s="32" t="n"/>
    </row>
    <row r="369">
      <c r="A369" s="44" t="inlineStr">
        <is>
          <t>S07</t>
        </is>
      </c>
      <c r="B369" s="44" t="inlineStr">
        <is>
          <t>남해 신규점1</t>
        </is>
      </c>
      <c r="C369" s="44" t="inlineStr">
        <is>
          <t>S07-H북</t>
        </is>
      </c>
      <c r="D369" s="45" t="n">
        <v>1</v>
      </c>
      <c r="E369" s="44" t="inlineStr">
        <is>
          <t>P0(후)</t>
        </is>
      </c>
      <c r="F369" s="44" t="inlineStr">
        <is>
          <t>북</t>
        </is>
      </c>
      <c r="G369" s="46" t="n"/>
      <c r="H369" s="30" t="n"/>
      <c r="I369" s="43" t="n"/>
      <c r="J369" s="41" t="n"/>
      <c r="K369" s="41" t="n"/>
      <c r="L369" s="41" t="n"/>
      <c r="M369" s="31">
        <f>IF(COUNT(J369:L369)=0,"",MEDIAN(J369:L369))</f>
        <v/>
      </c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38" t="n"/>
      <c r="Y369" s="29" t="n"/>
      <c r="Z369" s="29" t="n"/>
      <c r="AA369" s="29" t="n"/>
      <c r="AB369" s="32" t="n"/>
      <c r="AC369" s="32" t="n"/>
    </row>
    <row r="370">
      <c r="A370" s="44" t="inlineStr">
        <is>
          <t>S08</t>
        </is>
      </c>
      <c r="B370" s="44" t="inlineStr">
        <is>
          <t>청일 신규점2</t>
        </is>
      </c>
      <c r="C370" s="44" t="inlineStr">
        <is>
          <t>S08-H동</t>
        </is>
      </c>
      <c r="D370" s="45" t="n">
        <v>1</v>
      </c>
      <c r="E370" s="44" t="inlineStr">
        <is>
          <t>P0(전)</t>
        </is>
      </c>
      <c r="F370" s="44" t="inlineStr">
        <is>
          <t>동</t>
        </is>
      </c>
      <c r="G370" s="46" t="n"/>
      <c r="H370" s="30" t="n"/>
      <c r="I370" s="43" t="n"/>
      <c r="J370" s="41" t="n"/>
      <c r="K370" s="41" t="n"/>
      <c r="L370" s="41" t="n"/>
      <c r="M370" s="31">
        <f>IF(COUNT(J370:L370)=0,"",MEDIAN(J370:L370))</f>
        <v/>
      </c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  <c r="X370" s="38" t="n"/>
      <c r="Y370" s="29" t="n"/>
      <c r="Z370" s="29" t="n"/>
      <c r="AA370" s="29" t="n"/>
      <c r="AB370" s="32" t="n"/>
      <c r="AC370" s="32" t="n"/>
    </row>
    <row r="371">
      <c r="A371" s="26" t="inlineStr">
        <is>
          <t>S08</t>
        </is>
      </c>
      <c r="B371" s="26" t="inlineStr">
        <is>
          <t>청일 신규점2</t>
        </is>
      </c>
      <c r="C371" s="26" t="inlineStr">
        <is>
          <t>S08-H동</t>
        </is>
      </c>
      <c r="D371" s="47" t="n">
        <v>1</v>
      </c>
      <c r="E371" s="26" t="inlineStr">
        <is>
          <t>측정</t>
        </is>
      </c>
      <c r="F371" s="26" t="inlineStr">
        <is>
          <t>동</t>
        </is>
      </c>
      <c r="G371" s="31" t="n">
        <v>0.5</v>
      </c>
      <c r="H371" s="30" t="n"/>
      <c r="I371" s="43" t="n"/>
      <c r="J371" s="41" t="n"/>
      <c r="K371" s="41" t="n"/>
      <c r="L371" s="41" t="n"/>
      <c r="M371" s="31">
        <f>IF(COUNT(J371:L371)=0,"",MEDIAN(J371:L371))</f>
        <v/>
      </c>
      <c r="N371" s="26">
        <f>IF(COUNTIFS($C:$C,$C371,$D:$D,$D371,$E:$E,"P0(전)",$M:$M,"&gt;0")&lt;&gt;1,"P0(전) 유효 1개 아님",IF(COUNTIFS($C:$C,$C371,$D:$D,$D371,$E:$E,"P0(후)",$M:$M,"&gt;0")&lt;&gt;1,"P0(후) 유효 1개 아님",IF(NOT(AND(ISNUMBER(O371),ISNUMBER(Q371),ISNUMBER(I371))),"시각 결측",IF(Q371&lt;=O371,"P0 시각 역전",IF(OR(I371&lt;O371,I371&gt;Q371),"측정시각 구간 밖","OK")))))</f>
        <v/>
      </c>
      <c r="O371" s="48">
        <f>IF(COUNTIFS($C:$C,$C371,$D:$D,$D371,$E:$E,"P0(전)",$M:$M,"&gt;0")&lt;&gt;1,"",SUMIFS($I:$I,$C:$C,$C371,$D:$D,$D371,$E:$E,"P0(전)"))</f>
        <v/>
      </c>
      <c r="P371" s="31">
        <f>IF(COUNTIFS($C:$C,$C371,$D:$D,$D371,$E:$E,"P0(전)",$M:$M,"&gt;0")&lt;&gt;1,"",SUMIFS($M:$M,$C:$C,$C371,$D:$D,$D371,$E:$E,"P0(전)"))</f>
        <v/>
      </c>
      <c r="Q371" s="48">
        <f>IF(COUNTIFS($C:$C,$C371,$D:$D,$D371,$E:$E,"P0(후)",$M:$M,"&gt;0")&lt;&gt;1,"",SUMIFS($I:$I,$C:$C,$C371,$D:$D,$D371,$E:$E,"P0(후)"))</f>
        <v/>
      </c>
      <c r="R371" s="31">
        <f>IF(COUNTIFS($C:$C,$C371,$D:$D,$D371,$E:$E,"P0(후)",$M:$M,"&gt;0")&lt;&gt;1,"",SUMIFS($M:$M,$C:$C,$C371,$D:$D,$D371,$E:$E,"P0(후)"))</f>
        <v/>
      </c>
      <c r="S371" s="31">
        <f>IF(N371&lt;&gt;"OK","",P371+(R371-P371)*(I371-O371)/(Q371-O371))</f>
        <v/>
      </c>
      <c r="T371" s="31">
        <f>IF(OR(N371&lt;&gt;"OK",NOT(ISNUMBER(M371))),"",M371-S371)</f>
        <v/>
      </c>
      <c r="U371" s="49">
        <f>IF(OR(NOT(ISNUMBER(T371)),IF(ISNUMBER(H371),H371,G371)=0),"",T371/IF(ISNUMBER(H371),H371,G371))</f>
        <v/>
      </c>
      <c r="V371" s="49">
        <f>IF(ISNUMBER(U371),ABS(U371),"")</f>
        <v/>
      </c>
      <c r="W371" s="49">
        <f>IF(OR($E370&lt;&gt;"측정",$C370&lt;&gt;$C371,$D370&lt;&gt;$D371,NOT(ISNUMBER(M371)),NOT(ISNUMBER(M370)),(IF(ISNUMBER(H371),H371,G371)-IF(ISNUMBER(H370),H370,G370))=0),"",(M371-M370)/(IF(ISNUMBER(H371),H371,G371)-IF(ISNUMBER(H370),H370,G370)))</f>
        <v/>
      </c>
      <c r="X371" s="31">
        <f>IF(NOT(AND(ISNUMBER(O371),ISNUMBER(Q371))),"",(Q371-O371)*1440)</f>
        <v/>
      </c>
      <c r="Y371" s="29" t="n"/>
      <c r="Z371" s="29" t="n"/>
      <c r="AA371" s="29" t="n"/>
      <c r="AB371" s="32" t="n"/>
      <c r="AC371" s="32" t="n"/>
    </row>
    <row r="372">
      <c r="A372" s="26" t="inlineStr">
        <is>
          <t>S08</t>
        </is>
      </c>
      <c r="B372" s="26" t="inlineStr">
        <is>
          <t>청일 신규점2</t>
        </is>
      </c>
      <c r="C372" s="26" t="inlineStr">
        <is>
          <t>S08-H동</t>
        </is>
      </c>
      <c r="D372" s="47" t="n">
        <v>1</v>
      </c>
      <c r="E372" s="26" t="inlineStr">
        <is>
          <t>측정</t>
        </is>
      </c>
      <c r="F372" s="26" t="inlineStr">
        <is>
          <t>동</t>
        </is>
      </c>
      <c r="G372" s="31" t="n">
        <v>1</v>
      </c>
      <c r="H372" s="30" t="n"/>
      <c r="I372" s="43" t="n"/>
      <c r="J372" s="41" t="n"/>
      <c r="K372" s="41" t="n"/>
      <c r="L372" s="41" t="n"/>
      <c r="M372" s="31">
        <f>IF(COUNT(J372:L372)=0,"",MEDIAN(J372:L372))</f>
        <v/>
      </c>
      <c r="N372" s="26">
        <f>IF(COUNTIFS($C:$C,$C372,$D:$D,$D372,$E:$E,"P0(전)",$M:$M,"&gt;0")&lt;&gt;1,"P0(전) 유효 1개 아님",IF(COUNTIFS($C:$C,$C372,$D:$D,$D372,$E:$E,"P0(후)",$M:$M,"&gt;0")&lt;&gt;1,"P0(후) 유효 1개 아님",IF(NOT(AND(ISNUMBER(O372),ISNUMBER(Q372),ISNUMBER(I372))),"시각 결측",IF(Q372&lt;=O372,"P0 시각 역전",IF(OR(I372&lt;O372,I372&gt;Q372),"측정시각 구간 밖","OK")))))</f>
        <v/>
      </c>
      <c r="O372" s="48">
        <f>IF(COUNTIFS($C:$C,$C372,$D:$D,$D372,$E:$E,"P0(전)",$M:$M,"&gt;0")&lt;&gt;1,"",SUMIFS($I:$I,$C:$C,$C372,$D:$D,$D372,$E:$E,"P0(전)"))</f>
        <v/>
      </c>
      <c r="P372" s="31">
        <f>IF(COUNTIFS($C:$C,$C372,$D:$D,$D372,$E:$E,"P0(전)",$M:$M,"&gt;0")&lt;&gt;1,"",SUMIFS($M:$M,$C:$C,$C372,$D:$D,$D372,$E:$E,"P0(전)"))</f>
        <v/>
      </c>
      <c r="Q372" s="48">
        <f>IF(COUNTIFS($C:$C,$C372,$D:$D,$D372,$E:$E,"P0(후)",$M:$M,"&gt;0")&lt;&gt;1,"",SUMIFS($I:$I,$C:$C,$C372,$D:$D,$D372,$E:$E,"P0(후)"))</f>
        <v/>
      </c>
      <c r="R372" s="31">
        <f>IF(COUNTIFS($C:$C,$C372,$D:$D,$D372,$E:$E,"P0(후)",$M:$M,"&gt;0")&lt;&gt;1,"",SUMIFS($M:$M,$C:$C,$C372,$D:$D,$D372,$E:$E,"P0(후)"))</f>
        <v/>
      </c>
      <c r="S372" s="31">
        <f>IF(N372&lt;&gt;"OK","",P372+(R372-P372)*(I372-O372)/(Q372-O372))</f>
        <v/>
      </c>
      <c r="T372" s="31">
        <f>IF(OR(N372&lt;&gt;"OK",NOT(ISNUMBER(M372))),"",M372-S372)</f>
        <v/>
      </c>
      <c r="U372" s="49">
        <f>IF(OR(NOT(ISNUMBER(T372)),IF(ISNUMBER(H372),H372,G372)=0),"",T372/IF(ISNUMBER(H372),H372,G372))</f>
        <v/>
      </c>
      <c r="V372" s="49">
        <f>IF(ISNUMBER(U372),ABS(U372),"")</f>
        <v/>
      </c>
      <c r="W372" s="49">
        <f>IF(OR($E371&lt;&gt;"측정",$C371&lt;&gt;$C372,$D371&lt;&gt;$D372,NOT(ISNUMBER(M372)),NOT(ISNUMBER(M371)),(IF(ISNUMBER(H372),H372,G372)-IF(ISNUMBER(H371),H371,G371))=0),"",(M372-M371)/(IF(ISNUMBER(H372),H372,G372)-IF(ISNUMBER(H371),H371,G371)))</f>
        <v/>
      </c>
      <c r="X372" s="31">
        <f>IF(NOT(AND(ISNUMBER(O372),ISNUMBER(Q372))),"",(Q372-O372)*1440)</f>
        <v/>
      </c>
      <c r="Y372" s="29" t="n"/>
      <c r="Z372" s="29" t="n"/>
      <c r="AA372" s="29" t="n"/>
      <c r="AB372" s="32" t="n"/>
      <c r="AC372" s="32" t="n"/>
    </row>
    <row r="373">
      <c r="A373" s="26" t="inlineStr">
        <is>
          <t>S08</t>
        </is>
      </c>
      <c r="B373" s="26" t="inlineStr">
        <is>
          <t>청일 신규점2</t>
        </is>
      </c>
      <c r="C373" s="26" t="inlineStr">
        <is>
          <t>S08-H동</t>
        </is>
      </c>
      <c r="D373" s="47" t="n">
        <v>1</v>
      </c>
      <c r="E373" s="26" t="inlineStr">
        <is>
          <t>측정</t>
        </is>
      </c>
      <c r="F373" s="26" t="inlineStr">
        <is>
          <t>동</t>
        </is>
      </c>
      <c r="G373" s="31" t="n">
        <v>2</v>
      </c>
      <c r="H373" s="30" t="n"/>
      <c r="I373" s="43" t="n"/>
      <c r="J373" s="41" t="n"/>
      <c r="K373" s="41" t="n"/>
      <c r="L373" s="41" t="n"/>
      <c r="M373" s="31">
        <f>IF(COUNT(J373:L373)=0,"",MEDIAN(J373:L373))</f>
        <v/>
      </c>
      <c r="N373" s="26">
        <f>IF(COUNTIFS($C:$C,$C373,$D:$D,$D373,$E:$E,"P0(전)",$M:$M,"&gt;0")&lt;&gt;1,"P0(전) 유효 1개 아님",IF(COUNTIFS($C:$C,$C373,$D:$D,$D373,$E:$E,"P0(후)",$M:$M,"&gt;0")&lt;&gt;1,"P0(후) 유효 1개 아님",IF(NOT(AND(ISNUMBER(O373),ISNUMBER(Q373),ISNUMBER(I373))),"시각 결측",IF(Q373&lt;=O373,"P0 시각 역전",IF(OR(I373&lt;O373,I373&gt;Q373),"측정시각 구간 밖","OK")))))</f>
        <v/>
      </c>
      <c r="O373" s="48">
        <f>IF(COUNTIFS($C:$C,$C373,$D:$D,$D373,$E:$E,"P0(전)",$M:$M,"&gt;0")&lt;&gt;1,"",SUMIFS($I:$I,$C:$C,$C373,$D:$D,$D373,$E:$E,"P0(전)"))</f>
        <v/>
      </c>
      <c r="P373" s="31">
        <f>IF(COUNTIFS($C:$C,$C373,$D:$D,$D373,$E:$E,"P0(전)",$M:$M,"&gt;0")&lt;&gt;1,"",SUMIFS($M:$M,$C:$C,$C373,$D:$D,$D373,$E:$E,"P0(전)"))</f>
        <v/>
      </c>
      <c r="Q373" s="48">
        <f>IF(COUNTIFS($C:$C,$C373,$D:$D,$D373,$E:$E,"P0(후)",$M:$M,"&gt;0")&lt;&gt;1,"",SUMIFS($I:$I,$C:$C,$C373,$D:$D,$D373,$E:$E,"P0(후)"))</f>
        <v/>
      </c>
      <c r="R373" s="31">
        <f>IF(COUNTIFS($C:$C,$C373,$D:$D,$D373,$E:$E,"P0(후)",$M:$M,"&gt;0")&lt;&gt;1,"",SUMIFS($M:$M,$C:$C,$C373,$D:$D,$D373,$E:$E,"P0(후)"))</f>
        <v/>
      </c>
      <c r="S373" s="31">
        <f>IF(N373&lt;&gt;"OK","",P373+(R373-P373)*(I373-O373)/(Q373-O373))</f>
        <v/>
      </c>
      <c r="T373" s="31">
        <f>IF(OR(N373&lt;&gt;"OK",NOT(ISNUMBER(M373))),"",M373-S373)</f>
        <v/>
      </c>
      <c r="U373" s="49">
        <f>IF(OR(NOT(ISNUMBER(T373)),IF(ISNUMBER(H373),H373,G373)=0),"",T373/IF(ISNUMBER(H373),H373,G373))</f>
        <v/>
      </c>
      <c r="V373" s="49">
        <f>IF(ISNUMBER(U373),ABS(U373),"")</f>
        <v/>
      </c>
      <c r="W373" s="49">
        <f>IF(OR($E372&lt;&gt;"측정",$C372&lt;&gt;$C373,$D372&lt;&gt;$D373,NOT(ISNUMBER(M373)),NOT(ISNUMBER(M372)),(IF(ISNUMBER(H373),H373,G373)-IF(ISNUMBER(H372),H372,G372))=0),"",(M373-M372)/(IF(ISNUMBER(H373),H373,G373)-IF(ISNUMBER(H372),H372,G372)))</f>
        <v/>
      </c>
      <c r="X373" s="31">
        <f>IF(NOT(AND(ISNUMBER(O373),ISNUMBER(Q373))),"",(Q373-O373)*1440)</f>
        <v/>
      </c>
      <c r="Y373" s="29" t="n"/>
      <c r="Z373" s="29" t="n"/>
      <c r="AA373" s="29" t="n"/>
      <c r="AB373" s="32" t="n"/>
      <c r="AC373" s="32" t="n"/>
    </row>
    <row r="374">
      <c r="A374" s="26" t="inlineStr">
        <is>
          <t>S08</t>
        </is>
      </c>
      <c r="B374" s="26" t="inlineStr">
        <is>
          <t>청일 신규점2</t>
        </is>
      </c>
      <c r="C374" s="26" t="inlineStr">
        <is>
          <t>S08-H동</t>
        </is>
      </c>
      <c r="D374" s="47" t="n">
        <v>1</v>
      </c>
      <c r="E374" s="26" t="inlineStr">
        <is>
          <t>측정</t>
        </is>
      </c>
      <c r="F374" s="26" t="inlineStr">
        <is>
          <t>동</t>
        </is>
      </c>
      <c r="G374" s="31" t="n">
        <v>3</v>
      </c>
      <c r="H374" s="30" t="n"/>
      <c r="I374" s="43" t="n"/>
      <c r="J374" s="41" t="n"/>
      <c r="K374" s="41" t="n"/>
      <c r="L374" s="41" t="n"/>
      <c r="M374" s="31">
        <f>IF(COUNT(J374:L374)=0,"",MEDIAN(J374:L374))</f>
        <v/>
      </c>
      <c r="N374" s="26">
        <f>IF(COUNTIFS($C:$C,$C374,$D:$D,$D374,$E:$E,"P0(전)",$M:$M,"&gt;0")&lt;&gt;1,"P0(전) 유효 1개 아님",IF(COUNTIFS($C:$C,$C374,$D:$D,$D374,$E:$E,"P0(후)",$M:$M,"&gt;0")&lt;&gt;1,"P0(후) 유효 1개 아님",IF(NOT(AND(ISNUMBER(O374),ISNUMBER(Q374),ISNUMBER(I374))),"시각 결측",IF(Q374&lt;=O374,"P0 시각 역전",IF(OR(I374&lt;O374,I374&gt;Q374),"측정시각 구간 밖","OK")))))</f>
        <v/>
      </c>
      <c r="O374" s="48">
        <f>IF(COUNTIFS($C:$C,$C374,$D:$D,$D374,$E:$E,"P0(전)",$M:$M,"&gt;0")&lt;&gt;1,"",SUMIFS($I:$I,$C:$C,$C374,$D:$D,$D374,$E:$E,"P0(전)"))</f>
        <v/>
      </c>
      <c r="P374" s="31">
        <f>IF(COUNTIFS($C:$C,$C374,$D:$D,$D374,$E:$E,"P0(전)",$M:$M,"&gt;0")&lt;&gt;1,"",SUMIFS($M:$M,$C:$C,$C374,$D:$D,$D374,$E:$E,"P0(전)"))</f>
        <v/>
      </c>
      <c r="Q374" s="48">
        <f>IF(COUNTIFS($C:$C,$C374,$D:$D,$D374,$E:$E,"P0(후)",$M:$M,"&gt;0")&lt;&gt;1,"",SUMIFS($I:$I,$C:$C,$C374,$D:$D,$D374,$E:$E,"P0(후)"))</f>
        <v/>
      </c>
      <c r="R374" s="31">
        <f>IF(COUNTIFS($C:$C,$C374,$D:$D,$D374,$E:$E,"P0(후)",$M:$M,"&gt;0")&lt;&gt;1,"",SUMIFS($M:$M,$C:$C,$C374,$D:$D,$D374,$E:$E,"P0(후)"))</f>
        <v/>
      </c>
      <c r="S374" s="31">
        <f>IF(N374&lt;&gt;"OK","",P374+(R374-P374)*(I374-O374)/(Q374-O374))</f>
        <v/>
      </c>
      <c r="T374" s="31">
        <f>IF(OR(N374&lt;&gt;"OK",NOT(ISNUMBER(M374))),"",M374-S374)</f>
        <v/>
      </c>
      <c r="U374" s="49">
        <f>IF(OR(NOT(ISNUMBER(T374)),IF(ISNUMBER(H374),H374,G374)=0),"",T374/IF(ISNUMBER(H374),H374,G374))</f>
        <v/>
      </c>
      <c r="V374" s="49">
        <f>IF(ISNUMBER(U374),ABS(U374),"")</f>
        <v/>
      </c>
      <c r="W374" s="49">
        <f>IF(OR($E373&lt;&gt;"측정",$C373&lt;&gt;$C374,$D373&lt;&gt;$D374,NOT(ISNUMBER(M374)),NOT(ISNUMBER(M373)),(IF(ISNUMBER(H374),H374,G374)-IF(ISNUMBER(H373),H373,G373))=0),"",(M374-M373)/(IF(ISNUMBER(H374),H374,G374)-IF(ISNUMBER(H373),H373,G373)))</f>
        <v/>
      </c>
      <c r="X374" s="31">
        <f>IF(NOT(AND(ISNUMBER(O374),ISNUMBER(Q374))),"",(Q374-O374)*1440)</f>
        <v/>
      </c>
      <c r="Y374" s="29" t="n"/>
      <c r="Z374" s="29" t="n"/>
      <c r="AA374" s="29" t="n"/>
      <c r="AB374" s="32" t="n"/>
      <c r="AC374" s="32" t="n"/>
    </row>
    <row r="375">
      <c r="A375" s="26" t="inlineStr">
        <is>
          <t>S08</t>
        </is>
      </c>
      <c r="B375" s="26" t="inlineStr">
        <is>
          <t>청일 신규점2</t>
        </is>
      </c>
      <c r="C375" s="26" t="inlineStr">
        <is>
          <t>S08-H동</t>
        </is>
      </c>
      <c r="D375" s="47" t="n">
        <v>1</v>
      </c>
      <c r="E375" s="26" t="inlineStr">
        <is>
          <t>측정</t>
        </is>
      </c>
      <c r="F375" s="26" t="inlineStr">
        <is>
          <t>동</t>
        </is>
      </c>
      <c r="G375" s="31" t="n">
        <v>4</v>
      </c>
      <c r="H375" s="30" t="n"/>
      <c r="I375" s="43" t="n"/>
      <c r="J375" s="41" t="n"/>
      <c r="K375" s="41" t="n"/>
      <c r="L375" s="41" t="n"/>
      <c r="M375" s="31">
        <f>IF(COUNT(J375:L375)=0,"",MEDIAN(J375:L375))</f>
        <v/>
      </c>
      <c r="N375" s="26">
        <f>IF(COUNTIFS($C:$C,$C375,$D:$D,$D375,$E:$E,"P0(전)",$M:$M,"&gt;0")&lt;&gt;1,"P0(전) 유효 1개 아님",IF(COUNTIFS($C:$C,$C375,$D:$D,$D375,$E:$E,"P0(후)",$M:$M,"&gt;0")&lt;&gt;1,"P0(후) 유효 1개 아님",IF(NOT(AND(ISNUMBER(O375),ISNUMBER(Q375),ISNUMBER(I375))),"시각 결측",IF(Q375&lt;=O375,"P0 시각 역전",IF(OR(I375&lt;O375,I375&gt;Q375),"측정시각 구간 밖","OK")))))</f>
        <v/>
      </c>
      <c r="O375" s="48">
        <f>IF(COUNTIFS($C:$C,$C375,$D:$D,$D375,$E:$E,"P0(전)",$M:$M,"&gt;0")&lt;&gt;1,"",SUMIFS($I:$I,$C:$C,$C375,$D:$D,$D375,$E:$E,"P0(전)"))</f>
        <v/>
      </c>
      <c r="P375" s="31">
        <f>IF(COUNTIFS($C:$C,$C375,$D:$D,$D375,$E:$E,"P0(전)",$M:$M,"&gt;0")&lt;&gt;1,"",SUMIFS($M:$M,$C:$C,$C375,$D:$D,$D375,$E:$E,"P0(전)"))</f>
        <v/>
      </c>
      <c r="Q375" s="48">
        <f>IF(COUNTIFS($C:$C,$C375,$D:$D,$D375,$E:$E,"P0(후)",$M:$M,"&gt;0")&lt;&gt;1,"",SUMIFS($I:$I,$C:$C,$C375,$D:$D,$D375,$E:$E,"P0(후)"))</f>
        <v/>
      </c>
      <c r="R375" s="31">
        <f>IF(COUNTIFS($C:$C,$C375,$D:$D,$D375,$E:$E,"P0(후)",$M:$M,"&gt;0")&lt;&gt;1,"",SUMIFS($M:$M,$C:$C,$C375,$D:$D,$D375,$E:$E,"P0(후)"))</f>
        <v/>
      </c>
      <c r="S375" s="31">
        <f>IF(N375&lt;&gt;"OK","",P375+(R375-P375)*(I375-O375)/(Q375-O375))</f>
        <v/>
      </c>
      <c r="T375" s="31">
        <f>IF(OR(N375&lt;&gt;"OK",NOT(ISNUMBER(M375))),"",M375-S375)</f>
        <v/>
      </c>
      <c r="U375" s="49">
        <f>IF(OR(NOT(ISNUMBER(T375)),IF(ISNUMBER(H375),H375,G375)=0),"",T375/IF(ISNUMBER(H375),H375,G375))</f>
        <v/>
      </c>
      <c r="V375" s="49">
        <f>IF(ISNUMBER(U375),ABS(U375),"")</f>
        <v/>
      </c>
      <c r="W375" s="49">
        <f>IF(OR($E374&lt;&gt;"측정",$C374&lt;&gt;$C375,$D374&lt;&gt;$D375,NOT(ISNUMBER(M375)),NOT(ISNUMBER(M374)),(IF(ISNUMBER(H375),H375,G375)-IF(ISNUMBER(H374),H374,G374))=0),"",(M375-M374)/(IF(ISNUMBER(H375),H375,G375)-IF(ISNUMBER(H374),H374,G374)))</f>
        <v/>
      </c>
      <c r="X375" s="31">
        <f>IF(NOT(AND(ISNUMBER(O375),ISNUMBER(Q375))),"",(Q375-O375)*1440)</f>
        <v/>
      </c>
      <c r="Y375" s="29" t="n"/>
      <c r="Z375" s="29" t="n"/>
      <c r="AA375" s="29" t="n"/>
      <c r="AB375" s="32" t="n"/>
      <c r="AC375" s="32" t="n"/>
    </row>
    <row r="376">
      <c r="A376" s="26" t="inlineStr">
        <is>
          <t>S08</t>
        </is>
      </c>
      <c r="B376" s="26" t="inlineStr">
        <is>
          <t>청일 신규점2</t>
        </is>
      </c>
      <c r="C376" s="26" t="inlineStr">
        <is>
          <t>S08-H동</t>
        </is>
      </c>
      <c r="D376" s="47" t="n">
        <v>1</v>
      </c>
      <c r="E376" s="26" t="inlineStr">
        <is>
          <t>측정</t>
        </is>
      </c>
      <c r="F376" s="26" t="inlineStr">
        <is>
          <t>동</t>
        </is>
      </c>
      <c r="G376" s="31" t="n">
        <v>5</v>
      </c>
      <c r="H376" s="30" t="n"/>
      <c r="I376" s="43" t="n"/>
      <c r="J376" s="41" t="n"/>
      <c r="K376" s="41" t="n"/>
      <c r="L376" s="41" t="n"/>
      <c r="M376" s="31">
        <f>IF(COUNT(J376:L376)=0,"",MEDIAN(J376:L376))</f>
        <v/>
      </c>
      <c r="N376" s="26">
        <f>IF(COUNTIFS($C:$C,$C376,$D:$D,$D376,$E:$E,"P0(전)",$M:$M,"&gt;0")&lt;&gt;1,"P0(전) 유효 1개 아님",IF(COUNTIFS($C:$C,$C376,$D:$D,$D376,$E:$E,"P0(후)",$M:$M,"&gt;0")&lt;&gt;1,"P0(후) 유효 1개 아님",IF(NOT(AND(ISNUMBER(O376),ISNUMBER(Q376),ISNUMBER(I376))),"시각 결측",IF(Q376&lt;=O376,"P0 시각 역전",IF(OR(I376&lt;O376,I376&gt;Q376),"측정시각 구간 밖","OK")))))</f>
        <v/>
      </c>
      <c r="O376" s="48">
        <f>IF(COUNTIFS($C:$C,$C376,$D:$D,$D376,$E:$E,"P0(전)",$M:$M,"&gt;0")&lt;&gt;1,"",SUMIFS($I:$I,$C:$C,$C376,$D:$D,$D376,$E:$E,"P0(전)"))</f>
        <v/>
      </c>
      <c r="P376" s="31">
        <f>IF(COUNTIFS($C:$C,$C376,$D:$D,$D376,$E:$E,"P0(전)",$M:$M,"&gt;0")&lt;&gt;1,"",SUMIFS($M:$M,$C:$C,$C376,$D:$D,$D376,$E:$E,"P0(전)"))</f>
        <v/>
      </c>
      <c r="Q376" s="48">
        <f>IF(COUNTIFS($C:$C,$C376,$D:$D,$D376,$E:$E,"P0(후)",$M:$M,"&gt;0")&lt;&gt;1,"",SUMIFS($I:$I,$C:$C,$C376,$D:$D,$D376,$E:$E,"P0(후)"))</f>
        <v/>
      </c>
      <c r="R376" s="31">
        <f>IF(COUNTIFS($C:$C,$C376,$D:$D,$D376,$E:$E,"P0(후)",$M:$M,"&gt;0")&lt;&gt;1,"",SUMIFS($M:$M,$C:$C,$C376,$D:$D,$D376,$E:$E,"P0(후)"))</f>
        <v/>
      </c>
      <c r="S376" s="31">
        <f>IF(N376&lt;&gt;"OK","",P376+(R376-P376)*(I376-O376)/(Q376-O376))</f>
        <v/>
      </c>
      <c r="T376" s="31">
        <f>IF(OR(N376&lt;&gt;"OK",NOT(ISNUMBER(M376))),"",M376-S376)</f>
        <v/>
      </c>
      <c r="U376" s="49">
        <f>IF(OR(NOT(ISNUMBER(T376)),IF(ISNUMBER(H376),H376,G376)=0),"",T376/IF(ISNUMBER(H376),H376,G376))</f>
        <v/>
      </c>
      <c r="V376" s="49">
        <f>IF(ISNUMBER(U376),ABS(U376),"")</f>
        <v/>
      </c>
      <c r="W376" s="49">
        <f>IF(OR($E375&lt;&gt;"측정",$C375&lt;&gt;$C376,$D375&lt;&gt;$D376,NOT(ISNUMBER(M376)),NOT(ISNUMBER(M375)),(IF(ISNUMBER(H376),H376,G376)-IF(ISNUMBER(H375),H375,G375))=0),"",(M376-M375)/(IF(ISNUMBER(H376),H376,G376)-IF(ISNUMBER(H375),H375,G375)))</f>
        <v/>
      </c>
      <c r="X376" s="31">
        <f>IF(NOT(AND(ISNUMBER(O376),ISNUMBER(Q376))),"",(Q376-O376)*1440)</f>
        <v/>
      </c>
      <c r="Y376" s="29" t="n"/>
      <c r="Z376" s="29" t="n"/>
      <c r="AA376" s="29" t="n"/>
      <c r="AB376" s="32" t="n"/>
      <c r="AC376" s="32" t="n"/>
    </row>
    <row r="377">
      <c r="A377" s="26" t="inlineStr">
        <is>
          <t>S08</t>
        </is>
      </c>
      <c r="B377" s="26" t="inlineStr">
        <is>
          <t>청일 신규점2</t>
        </is>
      </c>
      <c r="C377" s="26" t="inlineStr">
        <is>
          <t>S08-H동</t>
        </is>
      </c>
      <c r="D377" s="47" t="n">
        <v>1</v>
      </c>
      <c r="E377" s="26" t="inlineStr">
        <is>
          <t>측정</t>
        </is>
      </c>
      <c r="F377" s="26" t="inlineStr">
        <is>
          <t>동</t>
        </is>
      </c>
      <c r="G377" s="31" t="n">
        <v>6</v>
      </c>
      <c r="H377" s="30" t="n"/>
      <c r="I377" s="43" t="n"/>
      <c r="J377" s="41" t="n"/>
      <c r="K377" s="41" t="n"/>
      <c r="L377" s="41" t="n"/>
      <c r="M377" s="31">
        <f>IF(COUNT(J377:L377)=0,"",MEDIAN(J377:L377))</f>
        <v/>
      </c>
      <c r="N377" s="26">
        <f>IF(COUNTIFS($C:$C,$C377,$D:$D,$D377,$E:$E,"P0(전)",$M:$M,"&gt;0")&lt;&gt;1,"P0(전) 유효 1개 아님",IF(COUNTIFS($C:$C,$C377,$D:$D,$D377,$E:$E,"P0(후)",$M:$M,"&gt;0")&lt;&gt;1,"P0(후) 유효 1개 아님",IF(NOT(AND(ISNUMBER(O377),ISNUMBER(Q377),ISNUMBER(I377))),"시각 결측",IF(Q377&lt;=O377,"P0 시각 역전",IF(OR(I377&lt;O377,I377&gt;Q377),"측정시각 구간 밖","OK")))))</f>
        <v/>
      </c>
      <c r="O377" s="48">
        <f>IF(COUNTIFS($C:$C,$C377,$D:$D,$D377,$E:$E,"P0(전)",$M:$M,"&gt;0")&lt;&gt;1,"",SUMIFS($I:$I,$C:$C,$C377,$D:$D,$D377,$E:$E,"P0(전)"))</f>
        <v/>
      </c>
      <c r="P377" s="31">
        <f>IF(COUNTIFS($C:$C,$C377,$D:$D,$D377,$E:$E,"P0(전)",$M:$M,"&gt;0")&lt;&gt;1,"",SUMIFS($M:$M,$C:$C,$C377,$D:$D,$D377,$E:$E,"P0(전)"))</f>
        <v/>
      </c>
      <c r="Q377" s="48">
        <f>IF(COUNTIFS($C:$C,$C377,$D:$D,$D377,$E:$E,"P0(후)",$M:$M,"&gt;0")&lt;&gt;1,"",SUMIFS($I:$I,$C:$C,$C377,$D:$D,$D377,$E:$E,"P0(후)"))</f>
        <v/>
      </c>
      <c r="R377" s="31">
        <f>IF(COUNTIFS($C:$C,$C377,$D:$D,$D377,$E:$E,"P0(후)",$M:$M,"&gt;0")&lt;&gt;1,"",SUMIFS($M:$M,$C:$C,$C377,$D:$D,$D377,$E:$E,"P0(후)"))</f>
        <v/>
      </c>
      <c r="S377" s="31">
        <f>IF(N377&lt;&gt;"OK","",P377+(R377-P377)*(I377-O377)/(Q377-O377))</f>
        <v/>
      </c>
      <c r="T377" s="31">
        <f>IF(OR(N377&lt;&gt;"OK",NOT(ISNUMBER(M377))),"",M377-S377)</f>
        <v/>
      </c>
      <c r="U377" s="49">
        <f>IF(OR(NOT(ISNUMBER(T377)),IF(ISNUMBER(H377),H377,G377)=0),"",T377/IF(ISNUMBER(H377),H377,G377))</f>
        <v/>
      </c>
      <c r="V377" s="49">
        <f>IF(ISNUMBER(U377),ABS(U377),"")</f>
        <v/>
      </c>
      <c r="W377" s="49">
        <f>IF(OR($E376&lt;&gt;"측정",$C376&lt;&gt;$C377,$D376&lt;&gt;$D377,NOT(ISNUMBER(M377)),NOT(ISNUMBER(M376)),(IF(ISNUMBER(H377),H377,G377)-IF(ISNUMBER(H376),H376,G376))=0),"",(M377-M376)/(IF(ISNUMBER(H377),H377,G377)-IF(ISNUMBER(H376),H376,G376)))</f>
        <v/>
      </c>
      <c r="X377" s="31">
        <f>IF(NOT(AND(ISNUMBER(O377),ISNUMBER(Q377))),"",(Q377-O377)*1440)</f>
        <v/>
      </c>
      <c r="Y377" s="29" t="n"/>
      <c r="Z377" s="29" t="n"/>
      <c r="AA377" s="29" t="n"/>
      <c r="AB377" s="32" t="n"/>
      <c r="AC377" s="32" t="n"/>
    </row>
    <row r="378">
      <c r="A378" s="26" t="inlineStr">
        <is>
          <t>S08</t>
        </is>
      </c>
      <c r="B378" s="26" t="inlineStr">
        <is>
          <t>청일 신규점2</t>
        </is>
      </c>
      <c r="C378" s="26" t="inlineStr">
        <is>
          <t>S08-H동</t>
        </is>
      </c>
      <c r="D378" s="47" t="n">
        <v>1</v>
      </c>
      <c r="E378" s="26" t="inlineStr">
        <is>
          <t>측정</t>
        </is>
      </c>
      <c r="F378" s="26" t="inlineStr">
        <is>
          <t>동</t>
        </is>
      </c>
      <c r="G378" s="31" t="n">
        <v>7</v>
      </c>
      <c r="H378" s="30" t="n"/>
      <c r="I378" s="43" t="n"/>
      <c r="J378" s="41" t="n"/>
      <c r="K378" s="41" t="n"/>
      <c r="L378" s="41" t="n"/>
      <c r="M378" s="31">
        <f>IF(COUNT(J378:L378)=0,"",MEDIAN(J378:L378))</f>
        <v/>
      </c>
      <c r="N378" s="26">
        <f>IF(COUNTIFS($C:$C,$C378,$D:$D,$D378,$E:$E,"P0(전)",$M:$M,"&gt;0")&lt;&gt;1,"P0(전) 유효 1개 아님",IF(COUNTIFS($C:$C,$C378,$D:$D,$D378,$E:$E,"P0(후)",$M:$M,"&gt;0")&lt;&gt;1,"P0(후) 유효 1개 아님",IF(NOT(AND(ISNUMBER(O378),ISNUMBER(Q378),ISNUMBER(I378))),"시각 결측",IF(Q378&lt;=O378,"P0 시각 역전",IF(OR(I378&lt;O378,I378&gt;Q378),"측정시각 구간 밖","OK")))))</f>
        <v/>
      </c>
      <c r="O378" s="48">
        <f>IF(COUNTIFS($C:$C,$C378,$D:$D,$D378,$E:$E,"P0(전)",$M:$M,"&gt;0")&lt;&gt;1,"",SUMIFS($I:$I,$C:$C,$C378,$D:$D,$D378,$E:$E,"P0(전)"))</f>
        <v/>
      </c>
      <c r="P378" s="31">
        <f>IF(COUNTIFS($C:$C,$C378,$D:$D,$D378,$E:$E,"P0(전)",$M:$M,"&gt;0")&lt;&gt;1,"",SUMIFS($M:$M,$C:$C,$C378,$D:$D,$D378,$E:$E,"P0(전)"))</f>
        <v/>
      </c>
      <c r="Q378" s="48">
        <f>IF(COUNTIFS($C:$C,$C378,$D:$D,$D378,$E:$E,"P0(후)",$M:$M,"&gt;0")&lt;&gt;1,"",SUMIFS($I:$I,$C:$C,$C378,$D:$D,$D378,$E:$E,"P0(후)"))</f>
        <v/>
      </c>
      <c r="R378" s="31">
        <f>IF(COUNTIFS($C:$C,$C378,$D:$D,$D378,$E:$E,"P0(후)",$M:$M,"&gt;0")&lt;&gt;1,"",SUMIFS($M:$M,$C:$C,$C378,$D:$D,$D378,$E:$E,"P0(후)"))</f>
        <v/>
      </c>
      <c r="S378" s="31">
        <f>IF(N378&lt;&gt;"OK","",P378+(R378-P378)*(I378-O378)/(Q378-O378))</f>
        <v/>
      </c>
      <c r="T378" s="31">
        <f>IF(OR(N378&lt;&gt;"OK",NOT(ISNUMBER(M378))),"",M378-S378)</f>
        <v/>
      </c>
      <c r="U378" s="49">
        <f>IF(OR(NOT(ISNUMBER(T378)),IF(ISNUMBER(H378),H378,G378)=0),"",T378/IF(ISNUMBER(H378),H378,G378))</f>
        <v/>
      </c>
      <c r="V378" s="49">
        <f>IF(ISNUMBER(U378),ABS(U378),"")</f>
        <v/>
      </c>
      <c r="W378" s="49">
        <f>IF(OR($E377&lt;&gt;"측정",$C377&lt;&gt;$C378,$D377&lt;&gt;$D378,NOT(ISNUMBER(M378)),NOT(ISNUMBER(M377)),(IF(ISNUMBER(H378),H378,G378)-IF(ISNUMBER(H377),H377,G377))=0),"",(M378-M377)/(IF(ISNUMBER(H378),H378,G378)-IF(ISNUMBER(H377),H377,G377)))</f>
        <v/>
      </c>
      <c r="X378" s="31">
        <f>IF(NOT(AND(ISNUMBER(O378),ISNUMBER(Q378))),"",(Q378-O378)*1440)</f>
        <v/>
      </c>
      <c r="Y378" s="29" t="n"/>
      <c r="Z378" s="29" t="n"/>
      <c r="AA378" s="29" t="n"/>
      <c r="AB378" s="32" t="n"/>
      <c r="AC378" s="32" t="n"/>
    </row>
    <row r="379">
      <c r="A379" s="26" t="inlineStr">
        <is>
          <t>S08</t>
        </is>
      </c>
      <c r="B379" s="26" t="inlineStr">
        <is>
          <t>청일 신규점2</t>
        </is>
      </c>
      <c r="C379" s="26" t="inlineStr">
        <is>
          <t>S08-H동</t>
        </is>
      </c>
      <c r="D379" s="47" t="n">
        <v>1</v>
      </c>
      <c r="E379" s="26" t="inlineStr">
        <is>
          <t>측정</t>
        </is>
      </c>
      <c r="F379" s="26" t="inlineStr">
        <is>
          <t>동</t>
        </is>
      </c>
      <c r="G379" s="31" t="n">
        <v>8</v>
      </c>
      <c r="H379" s="30" t="n"/>
      <c r="I379" s="43" t="n"/>
      <c r="J379" s="41" t="n"/>
      <c r="K379" s="41" t="n"/>
      <c r="L379" s="41" t="n"/>
      <c r="M379" s="31">
        <f>IF(COUNT(J379:L379)=0,"",MEDIAN(J379:L379))</f>
        <v/>
      </c>
      <c r="N379" s="26">
        <f>IF(COUNTIFS($C:$C,$C379,$D:$D,$D379,$E:$E,"P0(전)",$M:$M,"&gt;0")&lt;&gt;1,"P0(전) 유효 1개 아님",IF(COUNTIFS($C:$C,$C379,$D:$D,$D379,$E:$E,"P0(후)",$M:$M,"&gt;0")&lt;&gt;1,"P0(후) 유효 1개 아님",IF(NOT(AND(ISNUMBER(O379),ISNUMBER(Q379),ISNUMBER(I379))),"시각 결측",IF(Q379&lt;=O379,"P0 시각 역전",IF(OR(I379&lt;O379,I379&gt;Q379),"측정시각 구간 밖","OK")))))</f>
        <v/>
      </c>
      <c r="O379" s="48">
        <f>IF(COUNTIFS($C:$C,$C379,$D:$D,$D379,$E:$E,"P0(전)",$M:$M,"&gt;0")&lt;&gt;1,"",SUMIFS($I:$I,$C:$C,$C379,$D:$D,$D379,$E:$E,"P0(전)"))</f>
        <v/>
      </c>
      <c r="P379" s="31">
        <f>IF(COUNTIFS($C:$C,$C379,$D:$D,$D379,$E:$E,"P0(전)",$M:$M,"&gt;0")&lt;&gt;1,"",SUMIFS($M:$M,$C:$C,$C379,$D:$D,$D379,$E:$E,"P0(전)"))</f>
        <v/>
      </c>
      <c r="Q379" s="48">
        <f>IF(COUNTIFS($C:$C,$C379,$D:$D,$D379,$E:$E,"P0(후)",$M:$M,"&gt;0")&lt;&gt;1,"",SUMIFS($I:$I,$C:$C,$C379,$D:$D,$D379,$E:$E,"P0(후)"))</f>
        <v/>
      </c>
      <c r="R379" s="31">
        <f>IF(COUNTIFS($C:$C,$C379,$D:$D,$D379,$E:$E,"P0(후)",$M:$M,"&gt;0")&lt;&gt;1,"",SUMIFS($M:$M,$C:$C,$C379,$D:$D,$D379,$E:$E,"P0(후)"))</f>
        <v/>
      </c>
      <c r="S379" s="31">
        <f>IF(N379&lt;&gt;"OK","",P379+(R379-P379)*(I379-O379)/(Q379-O379))</f>
        <v/>
      </c>
      <c r="T379" s="31">
        <f>IF(OR(N379&lt;&gt;"OK",NOT(ISNUMBER(M379))),"",M379-S379)</f>
        <v/>
      </c>
      <c r="U379" s="49">
        <f>IF(OR(NOT(ISNUMBER(T379)),IF(ISNUMBER(H379),H379,G379)=0),"",T379/IF(ISNUMBER(H379),H379,G379))</f>
        <v/>
      </c>
      <c r="V379" s="49">
        <f>IF(ISNUMBER(U379),ABS(U379),"")</f>
        <v/>
      </c>
      <c r="W379" s="49">
        <f>IF(OR($E378&lt;&gt;"측정",$C378&lt;&gt;$C379,$D378&lt;&gt;$D379,NOT(ISNUMBER(M379)),NOT(ISNUMBER(M378)),(IF(ISNUMBER(H379),H379,G379)-IF(ISNUMBER(H378),H378,G378))=0),"",(M379-M378)/(IF(ISNUMBER(H379),H379,G379)-IF(ISNUMBER(H378),H378,G378)))</f>
        <v/>
      </c>
      <c r="X379" s="31">
        <f>IF(NOT(AND(ISNUMBER(O379),ISNUMBER(Q379))),"",(Q379-O379)*1440)</f>
        <v/>
      </c>
      <c r="Y379" s="29" t="n"/>
      <c r="Z379" s="29" t="n"/>
      <c r="AA379" s="29" t="n"/>
      <c r="AB379" s="32" t="n"/>
      <c r="AC379" s="32" t="n"/>
    </row>
    <row r="380">
      <c r="A380" s="26" t="inlineStr">
        <is>
          <t>S08</t>
        </is>
      </c>
      <c r="B380" s="26" t="inlineStr">
        <is>
          <t>청일 신규점2</t>
        </is>
      </c>
      <c r="C380" s="26" t="inlineStr">
        <is>
          <t>S08-H동</t>
        </is>
      </c>
      <c r="D380" s="47" t="n">
        <v>1</v>
      </c>
      <c r="E380" s="26" t="inlineStr">
        <is>
          <t>측정</t>
        </is>
      </c>
      <c r="F380" s="26" t="inlineStr">
        <is>
          <t>동</t>
        </is>
      </c>
      <c r="G380" s="31" t="n">
        <v>9</v>
      </c>
      <c r="H380" s="30" t="n"/>
      <c r="I380" s="43" t="n"/>
      <c r="J380" s="41" t="n"/>
      <c r="K380" s="41" t="n"/>
      <c r="L380" s="41" t="n"/>
      <c r="M380" s="31">
        <f>IF(COUNT(J380:L380)=0,"",MEDIAN(J380:L380))</f>
        <v/>
      </c>
      <c r="N380" s="26">
        <f>IF(COUNTIFS($C:$C,$C380,$D:$D,$D380,$E:$E,"P0(전)",$M:$M,"&gt;0")&lt;&gt;1,"P0(전) 유효 1개 아님",IF(COUNTIFS($C:$C,$C380,$D:$D,$D380,$E:$E,"P0(후)",$M:$M,"&gt;0")&lt;&gt;1,"P0(후) 유효 1개 아님",IF(NOT(AND(ISNUMBER(O380),ISNUMBER(Q380),ISNUMBER(I380))),"시각 결측",IF(Q380&lt;=O380,"P0 시각 역전",IF(OR(I380&lt;O380,I380&gt;Q380),"측정시각 구간 밖","OK")))))</f>
        <v/>
      </c>
      <c r="O380" s="48">
        <f>IF(COUNTIFS($C:$C,$C380,$D:$D,$D380,$E:$E,"P0(전)",$M:$M,"&gt;0")&lt;&gt;1,"",SUMIFS($I:$I,$C:$C,$C380,$D:$D,$D380,$E:$E,"P0(전)"))</f>
        <v/>
      </c>
      <c r="P380" s="31">
        <f>IF(COUNTIFS($C:$C,$C380,$D:$D,$D380,$E:$E,"P0(전)",$M:$M,"&gt;0")&lt;&gt;1,"",SUMIFS($M:$M,$C:$C,$C380,$D:$D,$D380,$E:$E,"P0(전)"))</f>
        <v/>
      </c>
      <c r="Q380" s="48">
        <f>IF(COUNTIFS($C:$C,$C380,$D:$D,$D380,$E:$E,"P0(후)",$M:$M,"&gt;0")&lt;&gt;1,"",SUMIFS($I:$I,$C:$C,$C380,$D:$D,$D380,$E:$E,"P0(후)"))</f>
        <v/>
      </c>
      <c r="R380" s="31">
        <f>IF(COUNTIFS($C:$C,$C380,$D:$D,$D380,$E:$E,"P0(후)",$M:$M,"&gt;0")&lt;&gt;1,"",SUMIFS($M:$M,$C:$C,$C380,$D:$D,$D380,$E:$E,"P0(후)"))</f>
        <v/>
      </c>
      <c r="S380" s="31">
        <f>IF(N380&lt;&gt;"OK","",P380+(R380-P380)*(I380-O380)/(Q380-O380))</f>
        <v/>
      </c>
      <c r="T380" s="31">
        <f>IF(OR(N380&lt;&gt;"OK",NOT(ISNUMBER(M380))),"",M380-S380)</f>
        <v/>
      </c>
      <c r="U380" s="49">
        <f>IF(OR(NOT(ISNUMBER(T380)),IF(ISNUMBER(H380),H380,G380)=0),"",T380/IF(ISNUMBER(H380),H380,G380))</f>
        <v/>
      </c>
      <c r="V380" s="49">
        <f>IF(ISNUMBER(U380),ABS(U380),"")</f>
        <v/>
      </c>
      <c r="W380" s="49">
        <f>IF(OR($E379&lt;&gt;"측정",$C379&lt;&gt;$C380,$D379&lt;&gt;$D380,NOT(ISNUMBER(M380)),NOT(ISNUMBER(M379)),(IF(ISNUMBER(H380),H380,G380)-IF(ISNUMBER(H379),H379,G379))=0),"",(M380-M379)/(IF(ISNUMBER(H380),H380,G380)-IF(ISNUMBER(H379),H379,G379)))</f>
        <v/>
      </c>
      <c r="X380" s="31">
        <f>IF(NOT(AND(ISNUMBER(O380),ISNUMBER(Q380))),"",(Q380-O380)*1440)</f>
        <v/>
      </c>
      <c r="Y380" s="29" t="n"/>
      <c r="Z380" s="29" t="n"/>
      <c r="AA380" s="29" t="n"/>
      <c r="AB380" s="32" t="n"/>
      <c r="AC380" s="32" t="n"/>
    </row>
    <row r="381">
      <c r="A381" s="26" t="inlineStr">
        <is>
          <t>S08</t>
        </is>
      </c>
      <c r="B381" s="26" t="inlineStr">
        <is>
          <t>청일 신규점2</t>
        </is>
      </c>
      <c r="C381" s="26" t="inlineStr">
        <is>
          <t>S08-H동</t>
        </is>
      </c>
      <c r="D381" s="47" t="n">
        <v>1</v>
      </c>
      <c r="E381" s="26" t="inlineStr">
        <is>
          <t>측정</t>
        </is>
      </c>
      <c r="F381" s="26" t="inlineStr">
        <is>
          <t>동</t>
        </is>
      </c>
      <c r="G381" s="31" t="n">
        <v>10</v>
      </c>
      <c r="H381" s="30" t="n"/>
      <c r="I381" s="43" t="n"/>
      <c r="J381" s="41" t="n"/>
      <c r="K381" s="41" t="n"/>
      <c r="L381" s="41" t="n"/>
      <c r="M381" s="31">
        <f>IF(COUNT(J381:L381)=0,"",MEDIAN(J381:L381))</f>
        <v/>
      </c>
      <c r="N381" s="26">
        <f>IF(COUNTIFS($C:$C,$C381,$D:$D,$D381,$E:$E,"P0(전)",$M:$M,"&gt;0")&lt;&gt;1,"P0(전) 유효 1개 아님",IF(COUNTIFS($C:$C,$C381,$D:$D,$D381,$E:$E,"P0(후)",$M:$M,"&gt;0")&lt;&gt;1,"P0(후) 유효 1개 아님",IF(NOT(AND(ISNUMBER(O381),ISNUMBER(Q381),ISNUMBER(I381))),"시각 결측",IF(Q381&lt;=O381,"P0 시각 역전",IF(OR(I381&lt;O381,I381&gt;Q381),"측정시각 구간 밖","OK")))))</f>
        <v/>
      </c>
      <c r="O381" s="48">
        <f>IF(COUNTIFS($C:$C,$C381,$D:$D,$D381,$E:$E,"P0(전)",$M:$M,"&gt;0")&lt;&gt;1,"",SUMIFS($I:$I,$C:$C,$C381,$D:$D,$D381,$E:$E,"P0(전)"))</f>
        <v/>
      </c>
      <c r="P381" s="31">
        <f>IF(COUNTIFS($C:$C,$C381,$D:$D,$D381,$E:$E,"P0(전)",$M:$M,"&gt;0")&lt;&gt;1,"",SUMIFS($M:$M,$C:$C,$C381,$D:$D,$D381,$E:$E,"P0(전)"))</f>
        <v/>
      </c>
      <c r="Q381" s="48">
        <f>IF(COUNTIFS($C:$C,$C381,$D:$D,$D381,$E:$E,"P0(후)",$M:$M,"&gt;0")&lt;&gt;1,"",SUMIFS($I:$I,$C:$C,$C381,$D:$D,$D381,$E:$E,"P0(후)"))</f>
        <v/>
      </c>
      <c r="R381" s="31">
        <f>IF(COUNTIFS($C:$C,$C381,$D:$D,$D381,$E:$E,"P0(후)",$M:$M,"&gt;0")&lt;&gt;1,"",SUMIFS($M:$M,$C:$C,$C381,$D:$D,$D381,$E:$E,"P0(후)"))</f>
        <v/>
      </c>
      <c r="S381" s="31">
        <f>IF(N381&lt;&gt;"OK","",P381+(R381-P381)*(I381-O381)/(Q381-O381))</f>
        <v/>
      </c>
      <c r="T381" s="31">
        <f>IF(OR(N381&lt;&gt;"OK",NOT(ISNUMBER(M381))),"",M381-S381)</f>
        <v/>
      </c>
      <c r="U381" s="49">
        <f>IF(OR(NOT(ISNUMBER(T381)),IF(ISNUMBER(H381),H381,G381)=0),"",T381/IF(ISNUMBER(H381),H381,G381))</f>
        <v/>
      </c>
      <c r="V381" s="49">
        <f>IF(ISNUMBER(U381),ABS(U381),"")</f>
        <v/>
      </c>
      <c r="W381" s="49">
        <f>IF(OR($E380&lt;&gt;"측정",$C380&lt;&gt;$C381,$D380&lt;&gt;$D381,NOT(ISNUMBER(M381)),NOT(ISNUMBER(M380)),(IF(ISNUMBER(H381),H381,G381)-IF(ISNUMBER(H380),H380,G380))=0),"",(M381-M380)/(IF(ISNUMBER(H381),H381,G381)-IF(ISNUMBER(H380),H380,G380)))</f>
        <v/>
      </c>
      <c r="X381" s="31">
        <f>IF(NOT(AND(ISNUMBER(O381),ISNUMBER(Q381))),"",(Q381-O381)*1440)</f>
        <v/>
      </c>
      <c r="Y381" s="29" t="n"/>
      <c r="Z381" s="29" t="n"/>
      <c r="AA381" s="29" t="n"/>
      <c r="AB381" s="32" t="n"/>
      <c r="AC381" s="32" t="n"/>
    </row>
    <row r="382">
      <c r="A382" s="44" t="inlineStr">
        <is>
          <t>S08</t>
        </is>
      </c>
      <c r="B382" s="44" t="inlineStr">
        <is>
          <t>청일 신규점2</t>
        </is>
      </c>
      <c r="C382" s="44" t="inlineStr">
        <is>
          <t>S08-H동</t>
        </is>
      </c>
      <c r="D382" s="45" t="n">
        <v>1</v>
      </c>
      <c r="E382" s="44" t="inlineStr">
        <is>
          <t>P0(후)</t>
        </is>
      </c>
      <c r="F382" s="44" t="inlineStr">
        <is>
          <t>동</t>
        </is>
      </c>
      <c r="G382" s="46" t="n"/>
      <c r="H382" s="30" t="n"/>
      <c r="I382" s="43" t="n"/>
      <c r="J382" s="41" t="n"/>
      <c r="K382" s="41" t="n"/>
      <c r="L382" s="41" t="n"/>
      <c r="M382" s="31">
        <f>IF(COUNT(J382:L382)=0,"",MEDIAN(J382:L382))</f>
        <v/>
      </c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38" t="n"/>
      <c r="Y382" s="29" t="n"/>
      <c r="Z382" s="29" t="n"/>
      <c r="AA382" s="29" t="n"/>
      <c r="AB382" s="32" t="n"/>
      <c r="AC382" s="32" t="n"/>
    </row>
    <row r="383">
      <c r="A383" s="44" t="inlineStr">
        <is>
          <t>S08</t>
        </is>
      </c>
      <c r="B383" s="44" t="inlineStr">
        <is>
          <t>청일 신규점2</t>
        </is>
      </c>
      <c r="C383" s="44" t="inlineStr">
        <is>
          <t>S08-H서</t>
        </is>
      </c>
      <c r="D383" s="45" t="n">
        <v>1</v>
      </c>
      <c r="E383" s="44" t="inlineStr">
        <is>
          <t>P0(전)</t>
        </is>
      </c>
      <c r="F383" s="44" t="inlineStr">
        <is>
          <t>서</t>
        </is>
      </c>
      <c r="G383" s="46" t="n"/>
      <c r="H383" s="30" t="n"/>
      <c r="I383" s="43" t="n"/>
      <c r="J383" s="41" t="n"/>
      <c r="K383" s="41" t="n"/>
      <c r="L383" s="41" t="n"/>
      <c r="M383" s="31">
        <f>IF(COUNT(J383:L383)=0,"",MEDIAN(J383:L383))</f>
        <v/>
      </c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  <c r="X383" s="38" t="n"/>
      <c r="Y383" s="29" t="n"/>
      <c r="Z383" s="29" t="n"/>
      <c r="AA383" s="29" t="n"/>
      <c r="AB383" s="32" t="n"/>
      <c r="AC383" s="32" t="n"/>
    </row>
    <row r="384">
      <c r="A384" s="26" t="inlineStr">
        <is>
          <t>S08</t>
        </is>
      </c>
      <c r="B384" s="26" t="inlineStr">
        <is>
          <t>청일 신규점2</t>
        </is>
      </c>
      <c r="C384" s="26" t="inlineStr">
        <is>
          <t>S08-H서</t>
        </is>
      </c>
      <c r="D384" s="47" t="n">
        <v>1</v>
      </c>
      <c r="E384" s="26" t="inlineStr">
        <is>
          <t>측정</t>
        </is>
      </c>
      <c r="F384" s="26" t="inlineStr">
        <is>
          <t>서</t>
        </is>
      </c>
      <c r="G384" s="31" t="n">
        <v>0.5</v>
      </c>
      <c r="H384" s="30" t="n"/>
      <c r="I384" s="43" t="n"/>
      <c r="J384" s="41" t="n"/>
      <c r="K384" s="41" t="n"/>
      <c r="L384" s="41" t="n"/>
      <c r="M384" s="31">
        <f>IF(COUNT(J384:L384)=0,"",MEDIAN(J384:L384))</f>
        <v/>
      </c>
      <c r="N384" s="26">
        <f>IF(COUNTIFS($C:$C,$C384,$D:$D,$D384,$E:$E,"P0(전)",$M:$M,"&gt;0")&lt;&gt;1,"P0(전) 유효 1개 아님",IF(COUNTIFS($C:$C,$C384,$D:$D,$D384,$E:$E,"P0(후)",$M:$M,"&gt;0")&lt;&gt;1,"P0(후) 유효 1개 아님",IF(NOT(AND(ISNUMBER(O384),ISNUMBER(Q384),ISNUMBER(I384))),"시각 결측",IF(Q384&lt;=O384,"P0 시각 역전",IF(OR(I384&lt;O384,I384&gt;Q384),"측정시각 구간 밖","OK")))))</f>
        <v/>
      </c>
      <c r="O384" s="48">
        <f>IF(COUNTIFS($C:$C,$C384,$D:$D,$D384,$E:$E,"P0(전)",$M:$M,"&gt;0")&lt;&gt;1,"",SUMIFS($I:$I,$C:$C,$C384,$D:$D,$D384,$E:$E,"P0(전)"))</f>
        <v/>
      </c>
      <c r="P384" s="31">
        <f>IF(COUNTIFS($C:$C,$C384,$D:$D,$D384,$E:$E,"P0(전)",$M:$M,"&gt;0")&lt;&gt;1,"",SUMIFS($M:$M,$C:$C,$C384,$D:$D,$D384,$E:$E,"P0(전)"))</f>
        <v/>
      </c>
      <c r="Q384" s="48">
        <f>IF(COUNTIFS($C:$C,$C384,$D:$D,$D384,$E:$E,"P0(후)",$M:$M,"&gt;0")&lt;&gt;1,"",SUMIFS($I:$I,$C:$C,$C384,$D:$D,$D384,$E:$E,"P0(후)"))</f>
        <v/>
      </c>
      <c r="R384" s="31">
        <f>IF(COUNTIFS($C:$C,$C384,$D:$D,$D384,$E:$E,"P0(후)",$M:$M,"&gt;0")&lt;&gt;1,"",SUMIFS($M:$M,$C:$C,$C384,$D:$D,$D384,$E:$E,"P0(후)"))</f>
        <v/>
      </c>
      <c r="S384" s="31">
        <f>IF(N384&lt;&gt;"OK","",P384+(R384-P384)*(I384-O384)/(Q384-O384))</f>
        <v/>
      </c>
      <c r="T384" s="31">
        <f>IF(OR(N384&lt;&gt;"OK",NOT(ISNUMBER(M384))),"",M384-S384)</f>
        <v/>
      </c>
      <c r="U384" s="49">
        <f>IF(OR(NOT(ISNUMBER(T384)),IF(ISNUMBER(H384),H384,G384)=0),"",T384/IF(ISNUMBER(H384),H384,G384))</f>
        <v/>
      </c>
      <c r="V384" s="49">
        <f>IF(ISNUMBER(U384),ABS(U384),"")</f>
        <v/>
      </c>
      <c r="W384" s="49">
        <f>IF(OR($E383&lt;&gt;"측정",$C383&lt;&gt;$C384,$D383&lt;&gt;$D384,NOT(ISNUMBER(M384)),NOT(ISNUMBER(M383)),(IF(ISNUMBER(H384),H384,G384)-IF(ISNUMBER(H383),H383,G383))=0),"",(M384-M383)/(IF(ISNUMBER(H384),H384,G384)-IF(ISNUMBER(H383),H383,G383)))</f>
        <v/>
      </c>
      <c r="X384" s="31">
        <f>IF(NOT(AND(ISNUMBER(O384),ISNUMBER(Q384))),"",(Q384-O384)*1440)</f>
        <v/>
      </c>
      <c r="Y384" s="29" t="n"/>
      <c r="Z384" s="29" t="n"/>
      <c r="AA384" s="29" t="n"/>
      <c r="AB384" s="32" t="n"/>
      <c r="AC384" s="32" t="n"/>
    </row>
    <row r="385">
      <c r="A385" s="26" t="inlineStr">
        <is>
          <t>S08</t>
        </is>
      </c>
      <c r="B385" s="26" t="inlineStr">
        <is>
          <t>청일 신규점2</t>
        </is>
      </c>
      <c r="C385" s="26" t="inlineStr">
        <is>
          <t>S08-H서</t>
        </is>
      </c>
      <c r="D385" s="47" t="n">
        <v>1</v>
      </c>
      <c r="E385" s="26" t="inlineStr">
        <is>
          <t>측정</t>
        </is>
      </c>
      <c r="F385" s="26" t="inlineStr">
        <is>
          <t>서</t>
        </is>
      </c>
      <c r="G385" s="31" t="n">
        <v>1</v>
      </c>
      <c r="H385" s="30" t="n"/>
      <c r="I385" s="43" t="n"/>
      <c r="J385" s="41" t="n"/>
      <c r="K385" s="41" t="n"/>
      <c r="L385" s="41" t="n"/>
      <c r="M385" s="31">
        <f>IF(COUNT(J385:L385)=0,"",MEDIAN(J385:L385))</f>
        <v/>
      </c>
      <c r="N385" s="26">
        <f>IF(COUNTIFS($C:$C,$C385,$D:$D,$D385,$E:$E,"P0(전)",$M:$M,"&gt;0")&lt;&gt;1,"P0(전) 유효 1개 아님",IF(COUNTIFS($C:$C,$C385,$D:$D,$D385,$E:$E,"P0(후)",$M:$M,"&gt;0")&lt;&gt;1,"P0(후) 유효 1개 아님",IF(NOT(AND(ISNUMBER(O385),ISNUMBER(Q385),ISNUMBER(I385))),"시각 결측",IF(Q385&lt;=O385,"P0 시각 역전",IF(OR(I385&lt;O385,I385&gt;Q385),"측정시각 구간 밖","OK")))))</f>
        <v/>
      </c>
      <c r="O385" s="48">
        <f>IF(COUNTIFS($C:$C,$C385,$D:$D,$D385,$E:$E,"P0(전)",$M:$M,"&gt;0")&lt;&gt;1,"",SUMIFS($I:$I,$C:$C,$C385,$D:$D,$D385,$E:$E,"P0(전)"))</f>
        <v/>
      </c>
      <c r="P385" s="31">
        <f>IF(COUNTIFS($C:$C,$C385,$D:$D,$D385,$E:$E,"P0(전)",$M:$M,"&gt;0")&lt;&gt;1,"",SUMIFS($M:$M,$C:$C,$C385,$D:$D,$D385,$E:$E,"P0(전)"))</f>
        <v/>
      </c>
      <c r="Q385" s="48">
        <f>IF(COUNTIFS($C:$C,$C385,$D:$D,$D385,$E:$E,"P0(후)",$M:$M,"&gt;0")&lt;&gt;1,"",SUMIFS($I:$I,$C:$C,$C385,$D:$D,$D385,$E:$E,"P0(후)"))</f>
        <v/>
      </c>
      <c r="R385" s="31">
        <f>IF(COUNTIFS($C:$C,$C385,$D:$D,$D385,$E:$E,"P0(후)",$M:$M,"&gt;0")&lt;&gt;1,"",SUMIFS($M:$M,$C:$C,$C385,$D:$D,$D385,$E:$E,"P0(후)"))</f>
        <v/>
      </c>
      <c r="S385" s="31">
        <f>IF(N385&lt;&gt;"OK","",P385+(R385-P385)*(I385-O385)/(Q385-O385))</f>
        <v/>
      </c>
      <c r="T385" s="31">
        <f>IF(OR(N385&lt;&gt;"OK",NOT(ISNUMBER(M385))),"",M385-S385)</f>
        <v/>
      </c>
      <c r="U385" s="49">
        <f>IF(OR(NOT(ISNUMBER(T385)),IF(ISNUMBER(H385),H385,G385)=0),"",T385/IF(ISNUMBER(H385),H385,G385))</f>
        <v/>
      </c>
      <c r="V385" s="49">
        <f>IF(ISNUMBER(U385),ABS(U385),"")</f>
        <v/>
      </c>
      <c r="W385" s="49">
        <f>IF(OR($E384&lt;&gt;"측정",$C384&lt;&gt;$C385,$D384&lt;&gt;$D385,NOT(ISNUMBER(M385)),NOT(ISNUMBER(M384)),(IF(ISNUMBER(H385),H385,G385)-IF(ISNUMBER(H384),H384,G384))=0),"",(M385-M384)/(IF(ISNUMBER(H385),H385,G385)-IF(ISNUMBER(H384),H384,G384)))</f>
        <v/>
      </c>
      <c r="X385" s="31">
        <f>IF(NOT(AND(ISNUMBER(O385),ISNUMBER(Q385))),"",(Q385-O385)*1440)</f>
        <v/>
      </c>
      <c r="Y385" s="29" t="n"/>
      <c r="Z385" s="29" t="n"/>
      <c r="AA385" s="29" t="n"/>
      <c r="AB385" s="32" t="n"/>
      <c r="AC385" s="32" t="n"/>
    </row>
    <row r="386">
      <c r="A386" s="26" t="inlineStr">
        <is>
          <t>S08</t>
        </is>
      </c>
      <c r="B386" s="26" t="inlineStr">
        <is>
          <t>청일 신규점2</t>
        </is>
      </c>
      <c r="C386" s="26" t="inlineStr">
        <is>
          <t>S08-H서</t>
        </is>
      </c>
      <c r="D386" s="47" t="n">
        <v>1</v>
      </c>
      <c r="E386" s="26" t="inlineStr">
        <is>
          <t>측정</t>
        </is>
      </c>
      <c r="F386" s="26" t="inlineStr">
        <is>
          <t>서</t>
        </is>
      </c>
      <c r="G386" s="31" t="n">
        <v>2</v>
      </c>
      <c r="H386" s="30" t="n"/>
      <c r="I386" s="43" t="n"/>
      <c r="J386" s="41" t="n"/>
      <c r="K386" s="41" t="n"/>
      <c r="L386" s="41" t="n"/>
      <c r="M386" s="31">
        <f>IF(COUNT(J386:L386)=0,"",MEDIAN(J386:L386))</f>
        <v/>
      </c>
      <c r="N386" s="26">
        <f>IF(COUNTIFS($C:$C,$C386,$D:$D,$D386,$E:$E,"P0(전)",$M:$M,"&gt;0")&lt;&gt;1,"P0(전) 유효 1개 아님",IF(COUNTIFS($C:$C,$C386,$D:$D,$D386,$E:$E,"P0(후)",$M:$M,"&gt;0")&lt;&gt;1,"P0(후) 유효 1개 아님",IF(NOT(AND(ISNUMBER(O386),ISNUMBER(Q386),ISNUMBER(I386))),"시각 결측",IF(Q386&lt;=O386,"P0 시각 역전",IF(OR(I386&lt;O386,I386&gt;Q386),"측정시각 구간 밖","OK")))))</f>
        <v/>
      </c>
      <c r="O386" s="48">
        <f>IF(COUNTIFS($C:$C,$C386,$D:$D,$D386,$E:$E,"P0(전)",$M:$M,"&gt;0")&lt;&gt;1,"",SUMIFS($I:$I,$C:$C,$C386,$D:$D,$D386,$E:$E,"P0(전)"))</f>
        <v/>
      </c>
      <c r="P386" s="31">
        <f>IF(COUNTIFS($C:$C,$C386,$D:$D,$D386,$E:$E,"P0(전)",$M:$M,"&gt;0")&lt;&gt;1,"",SUMIFS($M:$M,$C:$C,$C386,$D:$D,$D386,$E:$E,"P0(전)"))</f>
        <v/>
      </c>
      <c r="Q386" s="48">
        <f>IF(COUNTIFS($C:$C,$C386,$D:$D,$D386,$E:$E,"P0(후)",$M:$M,"&gt;0")&lt;&gt;1,"",SUMIFS($I:$I,$C:$C,$C386,$D:$D,$D386,$E:$E,"P0(후)"))</f>
        <v/>
      </c>
      <c r="R386" s="31">
        <f>IF(COUNTIFS($C:$C,$C386,$D:$D,$D386,$E:$E,"P0(후)",$M:$M,"&gt;0")&lt;&gt;1,"",SUMIFS($M:$M,$C:$C,$C386,$D:$D,$D386,$E:$E,"P0(후)"))</f>
        <v/>
      </c>
      <c r="S386" s="31">
        <f>IF(N386&lt;&gt;"OK","",P386+(R386-P386)*(I386-O386)/(Q386-O386))</f>
        <v/>
      </c>
      <c r="T386" s="31">
        <f>IF(OR(N386&lt;&gt;"OK",NOT(ISNUMBER(M386))),"",M386-S386)</f>
        <v/>
      </c>
      <c r="U386" s="49">
        <f>IF(OR(NOT(ISNUMBER(T386)),IF(ISNUMBER(H386),H386,G386)=0),"",T386/IF(ISNUMBER(H386),H386,G386))</f>
        <v/>
      </c>
      <c r="V386" s="49">
        <f>IF(ISNUMBER(U386),ABS(U386),"")</f>
        <v/>
      </c>
      <c r="W386" s="49">
        <f>IF(OR($E385&lt;&gt;"측정",$C385&lt;&gt;$C386,$D385&lt;&gt;$D386,NOT(ISNUMBER(M386)),NOT(ISNUMBER(M385)),(IF(ISNUMBER(H386),H386,G386)-IF(ISNUMBER(H385),H385,G385))=0),"",(M386-M385)/(IF(ISNUMBER(H386),H386,G386)-IF(ISNUMBER(H385),H385,G385)))</f>
        <v/>
      </c>
      <c r="X386" s="31">
        <f>IF(NOT(AND(ISNUMBER(O386),ISNUMBER(Q386))),"",(Q386-O386)*1440)</f>
        <v/>
      </c>
      <c r="Y386" s="29" t="n"/>
      <c r="Z386" s="29" t="n"/>
      <c r="AA386" s="29" t="n"/>
      <c r="AB386" s="32" t="n"/>
      <c r="AC386" s="32" t="n"/>
    </row>
    <row r="387">
      <c r="A387" s="26" t="inlineStr">
        <is>
          <t>S08</t>
        </is>
      </c>
      <c r="B387" s="26" t="inlineStr">
        <is>
          <t>청일 신규점2</t>
        </is>
      </c>
      <c r="C387" s="26" t="inlineStr">
        <is>
          <t>S08-H서</t>
        </is>
      </c>
      <c r="D387" s="47" t="n">
        <v>1</v>
      </c>
      <c r="E387" s="26" t="inlineStr">
        <is>
          <t>측정</t>
        </is>
      </c>
      <c r="F387" s="26" t="inlineStr">
        <is>
          <t>서</t>
        </is>
      </c>
      <c r="G387" s="31" t="n">
        <v>3</v>
      </c>
      <c r="H387" s="30" t="n"/>
      <c r="I387" s="43" t="n"/>
      <c r="J387" s="41" t="n"/>
      <c r="K387" s="41" t="n"/>
      <c r="L387" s="41" t="n"/>
      <c r="M387" s="31">
        <f>IF(COUNT(J387:L387)=0,"",MEDIAN(J387:L387))</f>
        <v/>
      </c>
      <c r="N387" s="26">
        <f>IF(COUNTIFS($C:$C,$C387,$D:$D,$D387,$E:$E,"P0(전)",$M:$M,"&gt;0")&lt;&gt;1,"P0(전) 유효 1개 아님",IF(COUNTIFS($C:$C,$C387,$D:$D,$D387,$E:$E,"P0(후)",$M:$M,"&gt;0")&lt;&gt;1,"P0(후) 유효 1개 아님",IF(NOT(AND(ISNUMBER(O387),ISNUMBER(Q387),ISNUMBER(I387))),"시각 결측",IF(Q387&lt;=O387,"P0 시각 역전",IF(OR(I387&lt;O387,I387&gt;Q387),"측정시각 구간 밖","OK")))))</f>
        <v/>
      </c>
      <c r="O387" s="48">
        <f>IF(COUNTIFS($C:$C,$C387,$D:$D,$D387,$E:$E,"P0(전)",$M:$M,"&gt;0")&lt;&gt;1,"",SUMIFS($I:$I,$C:$C,$C387,$D:$D,$D387,$E:$E,"P0(전)"))</f>
        <v/>
      </c>
      <c r="P387" s="31">
        <f>IF(COUNTIFS($C:$C,$C387,$D:$D,$D387,$E:$E,"P0(전)",$M:$M,"&gt;0")&lt;&gt;1,"",SUMIFS($M:$M,$C:$C,$C387,$D:$D,$D387,$E:$E,"P0(전)"))</f>
        <v/>
      </c>
      <c r="Q387" s="48">
        <f>IF(COUNTIFS($C:$C,$C387,$D:$D,$D387,$E:$E,"P0(후)",$M:$M,"&gt;0")&lt;&gt;1,"",SUMIFS($I:$I,$C:$C,$C387,$D:$D,$D387,$E:$E,"P0(후)"))</f>
        <v/>
      </c>
      <c r="R387" s="31">
        <f>IF(COUNTIFS($C:$C,$C387,$D:$D,$D387,$E:$E,"P0(후)",$M:$M,"&gt;0")&lt;&gt;1,"",SUMIFS($M:$M,$C:$C,$C387,$D:$D,$D387,$E:$E,"P0(후)"))</f>
        <v/>
      </c>
      <c r="S387" s="31">
        <f>IF(N387&lt;&gt;"OK","",P387+(R387-P387)*(I387-O387)/(Q387-O387))</f>
        <v/>
      </c>
      <c r="T387" s="31">
        <f>IF(OR(N387&lt;&gt;"OK",NOT(ISNUMBER(M387))),"",M387-S387)</f>
        <v/>
      </c>
      <c r="U387" s="49">
        <f>IF(OR(NOT(ISNUMBER(T387)),IF(ISNUMBER(H387),H387,G387)=0),"",T387/IF(ISNUMBER(H387),H387,G387))</f>
        <v/>
      </c>
      <c r="V387" s="49">
        <f>IF(ISNUMBER(U387),ABS(U387),"")</f>
        <v/>
      </c>
      <c r="W387" s="49">
        <f>IF(OR($E386&lt;&gt;"측정",$C386&lt;&gt;$C387,$D386&lt;&gt;$D387,NOT(ISNUMBER(M387)),NOT(ISNUMBER(M386)),(IF(ISNUMBER(H387),H387,G387)-IF(ISNUMBER(H386),H386,G386))=0),"",(M387-M386)/(IF(ISNUMBER(H387),H387,G387)-IF(ISNUMBER(H386),H386,G386)))</f>
        <v/>
      </c>
      <c r="X387" s="31">
        <f>IF(NOT(AND(ISNUMBER(O387),ISNUMBER(Q387))),"",(Q387-O387)*1440)</f>
        <v/>
      </c>
      <c r="Y387" s="29" t="n"/>
      <c r="Z387" s="29" t="n"/>
      <c r="AA387" s="29" t="n"/>
      <c r="AB387" s="32" t="n"/>
      <c r="AC387" s="32" t="n"/>
    </row>
    <row r="388">
      <c r="A388" s="26" t="inlineStr">
        <is>
          <t>S08</t>
        </is>
      </c>
      <c r="B388" s="26" t="inlineStr">
        <is>
          <t>청일 신규점2</t>
        </is>
      </c>
      <c r="C388" s="26" t="inlineStr">
        <is>
          <t>S08-H서</t>
        </is>
      </c>
      <c r="D388" s="47" t="n">
        <v>1</v>
      </c>
      <c r="E388" s="26" t="inlineStr">
        <is>
          <t>측정</t>
        </is>
      </c>
      <c r="F388" s="26" t="inlineStr">
        <is>
          <t>서</t>
        </is>
      </c>
      <c r="G388" s="31" t="n">
        <v>4</v>
      </c>
      <c r="H388" s="30" t="n"/>
      <c r="I388" s="43" t="n"/>
      <c r="J388" s="41" t="n"/>
      <c r="K388" s="41" t="n"/>
      <c r="L388" s="41" t="n"/>
      <c r="M388" s="31">
        <f>IF(COUNT(J388:L388)=0,"",MEDIAN(J388:L388))</f>
        <v/>
      </c>
      <c r="N388" s="26">
        <f>IF(COUNTIFS($C:$C,$C388,$D:$D,$D388,$E:$E,"P0(전)",$M:$M,"&gt;0")&lt;&gt;1,"P0(전) 유효 1개 아님",IF(COUNTIFS($C:$C,$C388,$D:$D,$D388,$E:$E,"P0(후)",$M:$M,"&gt;0")&lt;&gt;1,"P0(후) 유효 1개 아님",IF(NOT(AND(ISNUMBER(O388),ISNUMBER(Q388),ISNUMBER(I388))),"시각 결측",IF(Q388&lt;=O388,"P0 시각 역전",IF(OR(I388&lt;O388,I388&gt;Q388),"측정시각 구간 밖","OK")))))</f>
        <v/>
      </c>
      <c r="O388" s="48">
        <f>IF(COUNTIFS($C:$C,$C388,$D:$D,$D388,$E:$E,"P0(전)",$M:$M,"&gt;0")&lt;&gt;1,"",SUMIFS($I:$I,$C:$C,$C388,$D:$D,$D388,$E:$E,"P0(전)"))</f>
        <v/>
      </c>
      <c r="P388" s="31">
        <f>IF(COUNTIFS($C:$C,$C388,$D:$D,$D388,$E:$E,"P0(전)",$M:$M,"&gt;0")&lt;&gt;1,"",SUMIFS($M:$M,$C:$C,$C388,$D:$D,$D388,$E:$E,"P0(전)"))</f>
        <v/>
      </c>
      <c r="Q388" s="48">
        <f>IF(COUNTIFS($C:$C,$C388,$D:$D,$D388,$E:$E,"P0(후)",$M:$M,"&gt;0")&lt;&gt;1,"",SUMIFS($I:$I,$C:$C,$C388,$D:$D,$D388,$E:$E,"P0(후)"))</f>
        <v/>
      </c>
      <c r="R388" s="31">
        <f>IF(COUNTIFS($C:$C,$C388,$D:$D,$D388,$E:$E,"P0(후)",$M:$M,"&gt;0")&lt;&gt;1,"",SUMIFS($M:$M,$C:$C,$C388,$D:$D,$D388,$E:$E,"P0(후)"))</f>
        <v/>
      </c>
      <c r="S388" s="31">
        <f>IF(N388&lt;&gt;"OK","",P388+(R388-P388)*(I388-O388)/(Q388-O388))</f>
        <v/>
      </c>
      <c r="T388" s="31">
        <f>IF(OR(N388&lt;&gt;"OK",NOT(ISNUMBER(M388))),"",M388-S388)</f>
        <v/>
      </c>
      <c r="U388" s="49">
        <f>IF(OR(NOT(ISNUMBER(T388)),IF(ISNUMBER(H388),H388,G388)=0),"",T388/IF(ISNUMBER(H388),H388,G388))</f>
        <v/>
      </c>
      <c r="V388" s="49">
        <f>IF(ISNUMBER(U388),ABS(U388),"")</f>
        <v/>
      </c>
      <c r="W388" s="49">
        <f>IF(OR($E387&lt;&gt;"측정",$C387&lt;&gt;$C388,$D387&lt;&gt;$D388,NOT(ISNUMBER(M388)),NOT(ISNUMBER(M387)),(IF(ISNUMBER(H388),H388,G388)-IF(ISNUMBER(H387),H387,G387))=0),"",(M388-M387)/(IF(ISNUMBER(H388),H388,G388)-IF(ISNUMBER(H387),H387,G387)))</f>
        <v/>
      </c>
      <c r="X388" s="31">
        <f>IF(NOT(AND(ISNUMBER(O388),ISNUMBER(Q388))),"",(Q388-O388)*1440)</f>
        <v/>
      </c>
      <c r="Y388" s="29" t="n"/>
      <c r="Z388" s="29" t="n"/>
      <c r="AA388" s="29" t="n"/>
      <c r="AB388" s="32" t="n"/>
      <c r="AC388" s="32" t="n"/>
    </row>
    <row r="389">
      <c r="A389" s="26" t="inlineStr">
        <is>
          <t>S08</t>
        </is>
      </c>
      <c r="B389" s="26" t="inlineStr">
        <is>
          <t>청일 신규점2</t>
        </is>
      </c>
      <c r="C389" s="26" t="inlineStr">
        <is>
          <t>S08-H서</t>
        </is>
      </c>
      <c r="D389" s="47" t="n">
        <v>1</v>
      </c>
      <c r="E389" s="26" t="inlineStr">
        <is>
          <t>측정</t>
        </is>
      </c>
      <c r="F389" s="26" t="inlineStr">
        <is>
          <t>서</t>
        </is>
      </c>
      <c r="G389" s="31" t="n">
        <v>5</v>
      </c>
      <c r="H389" s="30" t="n"/>
      <c r="I389" s="43" t="n"/>
      <c r="J389" s="41" t="n"/>
      <c r="K389" s="41" t="n"/>
      <c r="L389" s="41" t="n"/>
      <c r="M389" s="31">
        <f>IF(COUNT(J389:L389)=0,"",MEDIAN(J389:L389))</f>
        <v/>
      </c>
      <c r="N389" s="26">
        <f>IF(COUNTIFS($C:$C,$C389,$D:$D,$D389,$E:$E,"P0(전)",$M:$M,"&gt;0")&lt;&gt;1,"P0(전) 유효 1개 아님",IF(COUNTIFS($C:$C,$C389,$D:$D,$D389,$E:$E,"P0(후)",$M:$M,"&gt;0")&lt;&gt;1,"P0(후) 유효 1개 아님",IF(NOT(AND(ISNUMBER(O389),ISNUMBER(Q389),ISNUMBER(I389))),"시각 결측",IF(Q389&lt;=O389,"P0 시각 역전",IF(OR(I389&lt;O389,I389&gt;Q389),"측정시각 구간 밖","OK")))))</f>
        <v/>
      </c>
      <c r="O389" s="48">
        <f>IF(COUNTIFS($C:$C,$C389,$D:$D,$D389,$E:$E,"P0(전)",$M:$M,"&gt;0")&lt;&gt;1,"",SUMIFS($I:$I,$C:$C,$C389,$D:$D,$D389,$E:$E,"P0(전)"))</f>
        <v/>
      </c>
      <c r="P389" s="31">
        <f>IF(COUNTIFS($C:$C,$C389,$D:$D,$D389,$E:$E,"P0(전)",$M:$M,"&gt;0")&lt;&gt;1,"",SUMIFS($M:$M,$C:$C,$C389,$D:$D,$D389,$E:$E,"P0(전)"))</f>
        <v/>
      </c>
      <c r="Q389" s="48">
        <f>IF(COUNTIFS($C:$C,$C389,$D:$D,$D389,$E:$E,"P0(후)",$M:$M,"&gt;0")&lt;&gt;1,"",SUMIFS($I:$I,$C:$C,$C389,$D:$D,$D389,$E:$E,"P0(후)"))</f>
        <v/>
      </c>
      <c r="R389" s="31">
        <f>IF(COUNTIFS($C:$C,$C389,$D:$D,$D389,$E:$E,"P0(후)",$M:$M,"&gt;0")&lt;&gt;1,"",SUMIFS($M:$M,$C:$C,$C389,$D:$D,$D389,$E:$E,"P0(후)"))</f>
        <v/>
      </c>
      <c r="S389" s="31">
        <f>IF(N389&lt;&gt;"OK","",P389+(R389-P389)*(I389-O389)/(Q389-O389))</f>
        <v/>
      </c>
      <c r="T389" s="31">
        <f>IF(OR(N389&lt;&gt;"OK",NOT(ISNUMBER(M389))),"",M389-S389)</f>
        <v/>
      </c>
      <c r="U389" s="49">
        <f>IF(OR(NOT(ISNUMBER(T389)),IF(ISNUMBER(H389),H389,G389)=0),"",T389/IF(ISNUMBER(H389),H389,G389))</f>
        <v/>
      </c>
      <c r="V389" s="49">
        <f>IF(ISNUMBER(U389),ABS(U389),"")</f>
        <v/>
      </c>
      <c r="W389" s="49">
        <f>IF(OR($E388&lt;&gt;"측정",$C388&lt;&gt;$C389,$D388&lt;&gt;$D389,NOT(ISNUMBER(M389)),NOT(ISNUMBER(M388)),(IF(ISNUMBER(H389),H389,G389)-IF(ISNUMBER(H388),H388,G388))=0),"",(M389-M388)/(IF(ISNUMBER(H389),H389,G389)-IF(ISNUMBER(H388),H388,G388)))</f>
        <v/>
      </c>
      <c r="X389" s="31">
        <f>IF(NOT(AND(ISNUMBER(O389),ISNUMBER(Q389))),"",(Q389-O389)*1440)</f>
        <v/>
      </c>
      <c r="Y389" s="29" t="n"/>
      <c r="Z389" s="29" t="n"/>
      <c r="AA389" s="29" t="n"/>
      <c r="AB389" s="32" t="n"/>
      <c r="AC389" s="32" t="n"/>
    </row>
    <row r="390">
      <c r="A390" s="26" t="inlineStr">
        <is>
          <t>S08</t>
        </is>
      </c>
      <c r="B390" s="26" t="inlineStr">
        <is>
          <t>청일 신규점2</t>
        </is>
      </c>
      <c r="C390" s="26" t="inlineStr">
        <is>
          <t>S08-H서</t>
        </is>
      </c>
      <c r="D390" s="47" t="n">
        <v>1</v>
      </c>
      <c r="E390" s="26" t="inlineStr">
        <is>
          <t>측정</t>
        </is>
      </c>
      <c r="F390" s="26" t="inlineStr">
        <is>
          <t>서</t>
        </is>
      </c>
      <c r="G390" s="31" t="n">
        <v>6</v>
      </c>
      <c r="H390" s="30" t="n"/>
      <c r="I390" s="43" t="n"/>
      <c r="J390" s="41" t="n"/>
      <c r="K390" s="41" t="n"/>
      <c r="L390" s="41" t="n"/>
      <c r="M390" s="31">
        <f>IF(COUNT(J390:L390)=0,"",MEDIAN(J390:L390))</f>
        <v/>
      </c>
      <c r="N390" s="26">
        <f>IF(COUNTIFS($C:$C,$C390,$D:$D,$D390,$E:$E,"P0(전)",$M:$M,"&gt;0")&lt;&gt;1,"P0(전) 유효 1개 아님",IF(COUNTIFS($C:$C,$C390,$D:$D,$D390,$E:$E,"P0(후)",$M:$M,"&gt;0")&lt;&gt;1,"P0(후) 유효 1개 아님",IF(NOT(AND(ISNUMBER(O390),ISNUMBER(Q390),ISNUMBER(I390))),"시각 결측",IF(Q390&lt;=O390,"P0 시각 역전",IF(OR(I390&lt;O390,I390&gt;Q390),"측정시각 구간 밖","OK")))))</f>
        <v/>
      </c>
      <c r="O390" s="48">
        <f>IF(COUNTIFS($C:$C,$C390,$D:$D,$D390,$E:$E,"P0(전)",$M:$M,"&gt;0")&lt;&gt;1,"",SUMIFS($I:$I,$C:$C,$C390,$D:$D,$D390,$E:$E,"P0(전)"))</f>
        <v/>
      </c>
      <c r="P390" s="31">
        <f>IF(COUNTIFS($C:$C,$C390,$D:$D,$D390,$E:$E,"P0(전)",$M:$M,"&gt;0")&lt;&gt;1,"",SUMIFS($M:$M,$C:$C,$C390,$D:$D,$D390,$E:$E,"P0(전)"))</f>
        <v/>
      </c>
      <c r="Q390" s="48">
        <f>IF(COUNTIFS($C:$C,$C390,$D:$D,$D390,$E:$E,"P0(후)",$M:$M,"&gt;0")&lt;&gt;1,"",SUMIFS($I:$I,$C:$C,$C390,$D:$D,$D390,$E:$E,"P0(후)"))</f>
        <v/>
      </c>
      <c r="R390" s="31">
        <f>IF(COUNTIFS($C:$C,$C390,$D:$D,$D390,$E:$E,"P0(후)",$M:$M,"&gt;0")&lt;&gt;1,"",SUMIFS($M:$M,$C:$C,$C390,$D:$D,$D390,$E:$E,"P0(후)"))</f>
        <v/>
      </c>
      <c r="S390" s="31">
        <f>IF(N390&lt;&gt;"OK","",P390+(R390-P390)*(I390-O390)/(Q390-O390))</f>
        <v/>
      </c>
      <c r="T390" s="31">
        <f>IF(OR(N390&lt;&gt;"OK",NOT(ISNUMBER(M390))),"",M390-S390)</f>
        <v/>
      </c>
      <c r="U390" s="49">
        <f>IF(OR(NOT(ISNUMBER(T390)),IF(ISNUMBER(H390),H390,G390)=0),"",T390/IF(ISNUMBER(H390),H390,G390))</f>
        <v/>
      </c>
      <c r="V390" s="49">
        <f>IF(ISNUMBER(U390),ABS(U390),"")</f>
        <v/>
      </c>
      <c r="W390" s="49">
        <f>IF(OR($E389&lt;&gt;"측정",$C389&lt;&gt;$C390,$D389&lt;&gt;$D390,NOT(ISNUMBER(M390)),NOT(ISNUMBER(M389)),(IF(ISNUMBER(H390),H390,G390)-IF(ISNUMBER(H389),H389,G389))=0),"",(M390-M389)/(IF(ISNUMBER(H390),H390,G390)-IF(ISNUMBER(H389),H389,G389)))</f>
        <v/>
      </c>
      <c r="X390" s="31">
        <f>IF(NOT(AND(ISNUMBER(O390),ISNUMBER(Q390))),"",(Q390-O390)*1440)</f>
        <v/>
      </c>
      <c r="Y390" s="29" t="n"/>
      <c r="Z390" s="29" t="n"/>
      <c r="AA390" s="29" t="n"/>
      <c r="AB390" s="32" t="n"/>
      <c r="AC390" s="32" t="n"/>
    </row>
    <row r="391">
      <c r="A391" s="26" t="inlineStr">
        <is>
          <t>S08</t>
        </is>
      </c>
      <c r="B391" s="26" t="inlineStr">
        <is>
          <t>청일 신규점2</t>
        </is>
      </c>
      <c r="C391" s="26" t="inlineStr">
        <is>
          <t>S08-H서</t>
        </is>
      </c>
      <c r="D391" s="47" t="n">
        <v>1</v>
      </c>
      <c r="E391" s="26" t="inlineStr">
        <is>
          <t>측정</t>
        </is>
      </c>
      <c r="F391" s="26" t="inlineStr">
        <is>
          <t>서</t>
        </is>
      </c>
      <c r="G391" s="31" t="n">
        <v>7</v>
      </c>
      <c r="H391" s="30" t="n"/>
      <c r="I391" s="43" t="n"/>
      <c r="J391" s="41" t="n"/>
      <c r="K391" s="41" t="n"/>
      <c r="L391" s="41" t="n"/>
      <c r="M391" s="31">
        <f>IF(COUNT(J391:L391)=0,"",MEDIAN(J391:L391))</f>
        <v/>
      </c>
      <c r="N391" s="26">
        <f>IF(COUNTIFS($C:$C,$C391,$D:$D,$D391,$E:$E,"P0(전)",$M:$M,"&gt;0")&lt;&gt;1,"P0(전) 유효 1개 아님",IF(COUNTIFS($C:$C,$C391,$D:$D,$D391,$E:$E,"P0(후)",$M:$M,"&gt;0")&lt;&gt;1,"P0(후) 유효 1개 아님",IF(NOT(AND(ISNUMBER(O391),ISNUMBER(Q391),ISNUMBER(I391))),"시각 결측",IF(Q391&lt;=O391,"P0 시각 역전",IF(OR(I391&lt;O391,I391&gt;Q391),"측정시각 구간 밖","OK")))))</f>
        <v/>
      </c>
      <c r="O391" s="48">
        <f>IF(COUNTIFS($C:$C,$C391,$D:$D,$D391,$E:$E,"P0(전)",$M:$M,"&gt;0")&lt;&gt;1,"",SUMIFS($I:$I,$C:$C,$C391,$D:$D,$D391,$E:$E,"P0(전)"))</f>
        <v/>
      </c>
      <c r="P391" s="31">
        <f>IF(COUNTIFS($C:$C,$C391,$D:$D,$D391,$E:$E,"P0(전)",$M:$M,"&gt;0")&lt;&gt;1,"",SUMIFS($M:$M,$C:$C,$C391,$D:$D,$D391,$E:$E,"P0(전)"))</f>
        <v/>
      </c>
      <c r="Q391" s="48">
        <f>IF(COUNTIFS($C:$C,$C391,$D:$D,$D391,$E:$E,"P0(후)",$M:$M,"&gt;0")&lt;&gt;1,"",SUMIFS($I:$I,$C:$C,$C391,$D:$D,$D391,$E:$E,"P0(후)"))</f>
        <v/>
      </c>
      <c r="R391" s="31">
        <f>IF(COUNTIFS($C:$C,$C391,$D:$D,$D391,$E:$E,"P0(후)",$M:$M,"&gt;0")&lt;&gt;1,"",SUMIFS($M:$M,$C:$C,$C391,$D:$D,$D391,$E:$E,"P0(후)"))</f>
        <v/>
      </c>
      <c r="S391" s="31">
        <f>IF(N391&lt;&gt;"OK","",P391+(R391-P391)*(I391-O391)/(Q391-O391))</f>
        <v/>
      </c>
      <c r="T391" s="31">
        <f>IF(OR(N391&lt;&gt;"OK",NOT(ISNUMBER(M391))),"",M391-S391)</f>
        <v/>
      </c>
      <c r="U391" s="49">
        <f>IF(OR(NOT(ISNUMBER(T391)),IF(ISNUMBER(H391),H391,G391)=0),"",T391/IF(ISNUMBER(H391),H391,G391))</f>
        <v/>
      </c>
      <c r="V391" s="49">
        <f>IF(ISNUMBER(U391),ABS(U391),"")</f>
        <v/>
      </c>
      <c r="W391" s="49">
        <f>IF(OR($E390&lt;&gt;"측정",$C390&lt;&gt;$C391,$D390&lt;&gt;$D391,NOT(ISNUMBER(M391)),NOT(ISNUMBER(M390)),(IF(ISNUMBER(H391),H391,G391)-IF(ISNUMBER(H390),H390,G390))=0),"",(M391-M390)/(IF(ISNUMBER(H391),H391,G391)-IF(ISNUMBER(H390),H390,G390)))</f>
        <v/>
      </c>
      <c r="X391" s="31">
        <f>IF(NOT(AND(ISNUMBER(O391),ISNUMBER(Q391))),"",(Q391-O391)*1440)</f>
        <v/>
      </c>
      <c r="Y391" s="29" t="n"/>
      <c r="Z391" s="29" t="n"/>
      <c r="AA391" s="29" t="n"/>
      <c r="AB391" s="32" t="n"/>
      <c r="AC391" s="32" t="n"/>
    </row>
    <row r="392">
      <c r="A392" s="26" t="inlineStr">
        <is>
          <t>S08</t>
        </is>
      </c>
      <c r="B392" s="26" t="inlineStr">
        <is>
          <t>청일 신규점2</t>
        </is>
      </c>
      <c r="C392" s="26" t="inlineStr">
        <is>
          <t>S08-H서</t>
        </is>
      </c>
      <c r="D392" s="47" t="n">
        <v>1</v>
      </c>
      <c r="E392" s="26" t="inlineStr">
        <is>
          <t>측정</t>
        </is>
      </c>
      <c r="F392" s="26" t="inlineStr">
        <is>
          <t>서</t>
        </is>
      </c>
      <c r="G392" s="31" t="n">
        <v>8</v>
      </c>
      <c r="H392" s="30" t="n"/>
      <c r="I392" s="43" t="n"/>
      <c r="J392" s="41" t="n"/>
      <c r="K392" s="41" t="n"/>
      <c r="L392" s="41" t="n"/>
      <c r="M392" s="31">
        <f>IF(COUNT(J392:L392)=0,"",MEDIAN(J392:L392))</f>
        <v/>
      </c>
      <c r="N392" s="26">
        <f>IF(COUNTIFS($C:$C,$C392,$D:$D,$D392,$E:$E,"P0(전)",$M:$M,"&gt;0")&lt;&gt;1,"P0(전) 유효 1개 아님",IF(COUNTIFS($C:$C,$C392,$D:$D,$D392,$E:$E,"P0(후)",$M:$M,"&gt;0")&lt;&gt;1,"P0(후) 유효 1개 아님",IF(NOT(AND(ISNUMBER(O392),ISNUMBER(Q392),ISNUMBER(I392))),"시각 결측",IF(Q392&lt;=O392,"P0 시각 역전",IF(OR(I392&lt;O392,I392&gt;Q392),"측정시각 구간 밖","OK")))))</f>
        <v/>
      </c>
      <c r="O392" s="48">
        <f>IF(COUNTIFS($C:$C,$C392,$D:$D,$D392,$E:$E,"P0(전)",$M:$M,"&gt;0")&lt;&gt;1,"",SUMIFS($I:$I,$C:$C,$C392,$D:$D,$D392,$E:$E,"P0(전)"))</f>
        <v/>
      </c>
      <c r="P392" s="31">
        <f>IF(COUNTIFS($C:$C,$C392,$D:$D,$D392,$E:$E,"P0(전)",$M:$M,"&gt;0")&lt;&gt;1,"",SUMIFS($M:$M,$C:$C,$C392,$D:$D,$D392,$E:$E,"P0(전)"))</f>
        <v/>
      </c>
      <c r="Q392" s="48">
        <f>IF(COUNTIFS($C:$C,$C392,$D:$D,$D392,$E:$E,"P0(후)",$M:$M,"&gt;0")&lt;&gt;1,"",SUMIFS($I:$I,$C:$C,$C392,$D:$D,$D392,$E:$E,"P0(후)"))</f>
        <v/>
      </c>
      <c r="R392" s="31">
        <f>IF(COUNTIFS($C:$C,$C392,$D:$D,$D392,$E:$E,"P0(후)",$M:$M,"&gt;0")&lt;&gt;1,"",SUMIFS($M:$M,$C:$C,$C392,$D:$D,$D392,$E:$E,"P0(후)"))</f>
        <v/>
      </c>
      <c r="S392" s="31">
        <f>IF(N392&lt;&gt;"OK","",P392+(R392-P392)*(I392-O392)/(Q392-O392))</f>
        <v/>
      </c>
      <c r="T392" s="31">
        <f>IF(OR(N392&lt;&gt;"OK",NOT(ISNUMBER(M392))),"",M392-S392)</f>
        <v/>
      </c>
      <c r="U392" s="49">
        <f>IF(OR(NOT(ISNUMBER(T392)),IF(ISNUMBER(H392),H392,G392)=0),"",T392/IF(ISNUMBER(H392),H392,G392))</f>
        <v/>
      </c>
      <c r="V392" s="49">
        <f>IF(ISNUMBER(U392),ABS(U392),"")</f>
        <v/>
      </c>
      <c r="W392" s="49">
        <f>IF(OR($E391&lt;&gt;"측정",$C391&lt;&gt;$C392,$D391&lt;&gt;$D392,NOT(ISNUMBER(M392)),NOT(ISNUMBER(M391)),(IF(ISNUMBER(H392),H392,G392)-IF(ISNUMBER(H391),H391,G391))=0),"",(M392-M391)/(IF(ISNUMBER(H392),H392,G392)-IF(ISNUMBER(H391),H391,G391)))</f>
        <v/>
      </c>
      <c r="X392" s="31">
        <f>IF(NOT(AND(ISNUMBER(O392),ISNUMBER(Q392))),"",(Q392-O392)*1440)</f>
        <v/>
      </c>
      <c r="Y392" s="29" t="n"/>
      <c r="Z392" s="29" t="n"/>
      <c r="AA392" s="29" t="n"/>
      <c r="AB392" s="32" t="n"/>
      <c r="AC392" s="32" t="n"/>
    </row>
    <row r="393">
      <c r="A393" s="26" t="inlineStr">
        <is>
          <t>S08</t>
        </is>
      </c>
      <c r="B393" s="26" t="inlineStr">
        <is>
          <t>청일 신규점2</t>
        </is>
      </c>
      <c r="C393" s="26" t="inlineStr">
        <is>
          <t>S08-H서</t>
        </is>
      </c>
      <c r="D393" s="47" t="n">
        <v>1</v>
      </c>
      <c r="E393" s="26" t="inlineStr">
        <is>
          <t>측정</t>
        </is>
      </c>
      <c r="F393" s="26" t="inlineStr">
        <is>
          <t>서</t>
        </is>
      </c>
      <c r="G393" s="31" t="n">
        <v>9</v>
      </c>
      <c r="H393" s="30" t="n"/>
      <c r="I393" s="43" t="n"/>
      <c r="J393" s="41" t="n"/>
      <c r="K393" s="41" t="n"/>
      <c r="L393" s="41" t="n"/>
      <c r="M393" s="31">
        <f>IF(COUNT(J393:L393)=0,"",MEDIAN(J393:L393))</f>
        <v/>
      </c>
      <c r="N393" s="26">
        <f>IF(COUNTIFS($C:$C,$C393,$D:$D,$D393,$E:$E,"P0(전)",$M:$M,"&gt;0")&lt;&gt;1,"P0(전) 유효 1개 아님",IF(COUNTIFS($C:$C,$C393,$D:$D,$D393,$E:$E,"P0(후)",$M:$M,"&gt;0")&lt;&gt;1,"P0(후) 유효 1개 아님",IF(NOT(AND(ISNUMBER(O393),ISNUMBER(Q393),ISNUMBER(I393))),"시각 결측",IF(Q393&lt;=O393,"P0 시각 역전",IF(OR(I393&lt;O393,I393&gt;Q393),"측정시각 구간 밖","OK")))))</f>
        <v/>
      </c>
      <c r="O393" s="48">
        <f>IF(COUNTIFS($C:$C,$C393,$D:$D,$D393,$E:$E,"P0(전)",$M:$M,"&gt;0")&lt;&gt;1,"",SUMIFS($I:$I,$C:$C,$C393,$D:$D,$D393,$E:$E,"P0(전)"))</f>
        <v/>
      </c>
      <c r="P393" s="31">
        <f>IF(COUNTIFS($C:$C,$C393,$D:$D,$D393,$E:$E,"P0(전)",$M:$M,"&gt;0")&lt;&gt;1,"",SUMIFS($M:$M,$C:$C,$C393,$D:$D,$D393,$E:$E,"P0(전)"))</f>
        <v/>
      </c>
      <c r="Q393" s="48">
        <f>IF(COUNTIFS($C:$C,$C393,$D:$D,$D393,$E:$E,"P0(후)",$M:$M,"&gt;0")&lt;&gt;1,"",SUMIFS($I:$I,$C:$C,$C393,$D:$D,$D393,$E:$E,"P0(후)"))</f>
        <v/>
      </c>
      <c r="R393" s="31">
        <f>IF(COUNTIFS($C:$C,$C393,$D:$D,$D393,$E:$E,"P0(후)",$M:$M,"&gt;0")&lt;&gt;1,"",SUMIFS($M:$M,$C:$C,$C393,$D:$D,$D393,$E:$E,"P0(후)"))</f>
        <v/>
      </c>
      <c r="S393" s="31">
        <f>IF(N393&lt;&gt;"OK","",P393+(R393-P393)*(I393-O393)/(Q393-O393))</f>
        <v/>
      </c>
      <c r="T393" s="31">
        <f>IF(OR(N393&lt;&gt;"OK",NOT(ISNUMBER(M393))),"",M393-S393)</f>
        <v/>
      </c>
      <c r="U393" s="49">
        <f>IF(OR(NOT(ISNUMBER(T393)),IF(ISNUMBER(H393),H393,G393)=0),"",T393/IF(ISNUMBER(H393),H393,G393))</f>
        <v/>
      </c>
      <c r="V393" s="49">
        <f>IF(ISNUMBER(U393),ABS(U393),"")</f>
        <v/>
      </c>
      <c r="W393" s="49">
        <f>IF(OR($E392&lt;&gt;"측정",$C392&lt;&gt;$C393,$D392&lt;&gt;$D393,NOT(ISNUMBER(M393)),NOT(ISNUMBER(M392)),(IF(ISNUMBER(H393),H393,G393)-IF(ISNUMBER(H392),H392,G392))=0),"",(M393-M392)/(IF(ISNUMBER(H393),H393,G393)-IF(ISNUMBER(H392),H392,G392)))</f>
        <v/>
      </c>
      <c r="X393" s="31">
        <f>IF(NOT(AND(ISNUMBER(O393),ISNUMBER(Q393))),"",(Q393-O393)*1440)</f>
        <v/>
      </c>
      <c r="Y393" s="29" t="n"/>
      <c r="Z393" s="29" t="n"/>
      <c r="AA393" s="29" t="n"/>
      <c r="AB393" s="32" t="n"/>
      <c r="AC393" s="32" t="n"/>
    </row>
    <row r="394">
      <c r="A394" s="26" t="inlineStr">
        <is>
          <t>S08</t>
        </is>
      </c>
      <c r="B394" s="26" t="inlineStr">
        <is>
          <t>청일 신규점2</t>
        </is>
      </c>
      <c r="C394" s="26" t="inlineStr">
        <is>
          <t>S08-H서</t>
        </is>
      </c>
      <c r="D394" s="47" t="n">
        <v>1</v>
      </c>
      <c r="E394" s="26" t="inlineStr">
        <is>
          <t>측정</t>
        </is>
      </c>
      <c r="F394" s="26" t="inlineStr">
        <is>
          <t>서</t>
        </is>
      </c>
      <c r="G394" s="31" t="n">
        <v>10</v>
      </c>
      <c r="H394" s="30" t="n"/>
      <c r="I394" s="43" t="n"/>
      <c r="J394" s="41" t="n"/>
      <c r="K394" s="41" t="n"/>
      <c r="L394" s="41" t="n"/>
      <c r="M394" s="31">
        <f>IF(COUNT(J394:L394)=0,"",MEDIAN(J394:L394))</f>
        <v/>
      </c>
      <c r="N394" s="26">
        <f>IF(COUNTIFS($C:$C,$C394,$D:$D,$D394,$E:$E,"P0(전)",$M:$M,"&gt;0")&lt;&gt;1,"P0(전) 유효 1개 아님",IF(COUNTIFS($C:$C,$C394,$D:$D,$D394,$E:$E,"P0(후)",$M:$M,"&gt;0")&lt;&gt;1,"P0(후) 유효 1개 아님",IF(NOT(AND(ISNUMBER(O394),ISNUMBER(Q394),ISNUMBER(I394))),"시각 결측",IF(Q394&lt;=O394,"P0 시각 역전",IF(OR(I394&lt;O394,I394&gt;Q394),"측정시각 구간 밖","OK")))))</f>
        <v/>
      </c>
      <c r="O394" s="48">
        <f>IF(COUNTIFS($C:$C,$C394,$D:$D,$D394,$E:$E,"P0(전)",$M:$M,"&gt;0")&lt;&gt;1,"",SUMIFS($I:$I,$C:$C,$C394,$D:$D,$D394,$E:$E,"P0(전)"))</f>
        <v/>
      </c>
      <c r="P394" s="31">
        <f>IF(COUNTIFS($C:$C,$C394,$D:$D,$D394,$E:$E,"P0(전)",$M:$M,"&gt;0")&lt;&gt;1,"",SUMIFS($M:$M,$C:$C,$C394,$D:$D,$D394,$E:$E,"P0(전)"))</f>
        <v/>
      </c>
      <c r="Q394" s="48">
        <f>IF(COUNTIFS($C:$C,$C394,$D:$D,$D394,$E:$E,"P0(후)",$M:$M,"&gt;0")&lt;&gt;1,"",SUMIFS($I:$I,$C:$C,$C394,$D:$D,$D394,$E:$E,"P0(후)"))</f>
        <v/>
      </c>
      <c r="R394" s="31">
        <f>IF(COUNTIFS($C:$C,$C394,$D:$D,$D394,$E:$E,"P0(후)",$M:$M,"&gt;0")&lt;&gt;1,"",SUMIFS($M:$M,$C:$C,$C394,$D:$D,$D394,$E:$E,"P0(후)"))</f>
        <v/>
      </c>
      <c r="S394" s="31">
        <f>IF(N394&lt;&gt;"OK","",P394+(R394-P394)*(I394-O394)/(Q394-O394))</f>
        <v/>
      </c>
      <c r="T394" s="31">
        <f>IF(OR(N394&lt;&gt;"OK",NOT(ISNUMBER(M394))),"",M394-S394)</f>
        <v/>
      </c>
      <c r="U394" s="49">
        <f>IF(OR(NOT(ISNUMBER(T394)),IF(ISNUMBER(H394),H394,G394)=0),"",T394/IF(ISNUMBER(H394),H394,G394))</f>
        <v/>
      </c>
      <c r="V394" s="49">
        <f>IF(ISNUMBER(U394),ABS(U394),"")</f>
        <v/>
      </c>
      <c r="W394" s="49">
        <f>IF(OR($E393&lt;&gt;"측정",$C393&lt;&gt;$C394,$D393&lt;&gt;$D394,NOT(ISNUMBER(M394)),NOT(ISNUMBER(M393)),(IF(ISNUMBER(H394),H394,G394)-IF(ISNUMBER(H393),H393,G393))=0),"",(M394-M393)/(IF(ISNUMBER(H394),H394,G394)-IF(ISNUMBER(H393),H393,G393)))</f>
        <v/>
      </c>
      <c r="X394" s="31">
        <f>IF(NOT(AND(ISNUMBER(O394),ISNUMBER(Q394))),"",(Q394-O394)*1440)</f>
        <v/>
      </c>
      <c r="Y394" s="29" t="n"/>
      <c r="Z394" s="29" t="n"/>
      <c r="AA394" s="29" t="n"/>
      <c r="AB394" s="32" t="n"/>
      <c r="AC394" s="32" t="n"/>
    </row>
    <row r="395">
      <c r="A395" s="44" t="inlineStr">
        <is>
          <t>S08</t>
        </is>
      </c>
      <c r="B395" s="44" t="inlineStr">
        <is>
          <t>청일 신규점2</t>
        </is>
      </c>
      <c r="C395" s="44" t="inlineStr">
        <is>
          <t>S08-H서</t>
        </is>
      </c>
      <c r="D395" s="45" t="n">
        <v>1</v>
      </c>
      <c r="E395" s="44" t="inlineStr">
        <is>
          <t>P0(후)</t>
        </is>
      </c>
      <c r="F395" s="44" t="inlineStr">
        <is>
          <t>서</t>
        </is>
      </c>
      <c r="G395" s="46" t="n"/>
      <c r="H395" s="30" t="n"/>
      <c r="I395" s="43" t="n"/>
      <c r="J395" s="41" t="n"/>
      <c r="K395" s="41" t="n"/>
      <c r="L395" s="41" t="n"/>
      <c r="M395" s="31">
        <f>IF(COUNT(J395:L395)=0,"",MEDIAN(J395:L395))</f>
        <v/>
      </c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38" t="n"/>
      <c r="Y395" s="29" t="n"/>
      <c r="Z395" s="29" t="n"/>
      <c r="AA395" s="29" t="n"/>
      <c r="AB395" s="32" t="n"/>
      <c r="AC395" s="32" t="n"/>
    </row>
    <row r="396">
      <c r="A396" s="44" t="inlineStr">
        <is>
          <t>S08</t>
        </is>
      </c>
      <c r="B396" s="44" t="inlineStr">
        <is>
          <t>청일 신규점2</t>
        </is>
      </c>
      <c r="C396" s="44" t="inlineStr">
        <is>
          <t>S08-H남</t>
        </is>
      </c>
      <c r="D396" s="45" t="n">
        <v>1</v>
      </c>
      <c r="E396" s="44" t="inlineStr">
        <is>
          <t>P0(전)</t>
        </is>
      </c>
      <c r="F396" s="44" t="inlineStr">
        <is>
          <t>남</t>
        </is>
      </c>
      <c r="G396" s="46" t="n"/>
      <c r="H396" s="30" t="n"/>
      <c r="I396" s="43" t="n"/>
      <c r="J396" s="41" t="n"/>
      <c r="K396" s="41" t="n"/>
      <c r="L396" s="41" t="n"/>
      <c r="M396" s="31">
        <f>IF(COUNT(J396:L396)=0,"",MEDIAN(J396:L396))</f>
        <v/>
      </c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  <c r="X396" s="38" t="n"/>
      <c r="Y396" s="29" t="n"/>
      <c r="Z396" s="29" t="n"/>
      <c r="AA396" s="29" t="n"/>
      <c r="AB396" s="32" t="n"/>
      <c r="AC396" s="32" t="n"/>
    </row>
    <row r="397">
      <c r="A397" s="26" t="inlineStr">
        <is>
          <t>S08</t>
        </is>
      </c>
      <c r="B397" s="26" t="inlineStr">
        <is>
          <t>청일 신규점2</t>
        </is>
      </c>
      <c r="C397" s="26" t="inlineStr">
        <is>
          <t>S08-H남</t>
        </is>
      </c>
      <c r="D397" s="47" t="n">
        <v>1</v>
      </c>
      <c r="E397" s="26" t="inlineStr">
        <is>
          <t>측정</t>
        </is>
      </c>
      <c r="F397" s="26" t="inlineStr">
        <is>
          <t>남</t>
        </is>
      </c>
      <c r="G397" s="31" t="n">
        <v>0.5</v>
      </c>
      <c r="H397" s="30" t="n"/>
      <c r="I397" s="43" t="n"/>
      <c r="J397" s="41" t="n"/>
      <c r="K397" s="41" t="n"/>
      <c r="L397" s="41" t="n"/>
      <c r="M397" s="31">
        <f>IF(COUNT(J397:L397)=0,"",MEDIAN(J397:L397))</f>
        <v/>
      </c>
      <c r="N397" s="26">
        <f>IF(COUNTIFS($C:$C,$C397,$D:$D,$D397,$E:$E,"P0(전)",$M:$M,"&gt;0")&lt;&gt;1,"P0(전) 유효 1개 아님",IF(COUNTIFS($C:$C,$C397,$D:$D,$D397,$E:$E,"P0(후)",$M:$M,"&gt;0")&lt;&gt;1,"P0(후) 유효 1개 아님",IF(NOT(AND(ISNUMBER(O397),ISNUMBER(Q397),ISNUMBER(I397))),"시각 결측",IF(Q397&lt;=O397,"P0 시각 역전",IF(OR(I397&lt;O397,I397&gt;Q397),"측정시각 구간 밖","OK")))))</f>
        <v/>
      </c>
      <c r="O397" s="48">
        <f>IF(COUNTIFS($C:$C,$C397,$D:$D,$D397,$E:$E,"P0(전)",$M:$M,"&gt;0")&lt;&gt;1,"",SUMIFS($I:$I,$C:$C,$C397,$D:$D,$D397,$E:$E,"P0(전)"))</f>
        <v/>
      </c>
      <c r="P397" s="31">
        <f>IF(COUNTIFS($C:$C,$C397,$D:$D,$D397,$E:$E,"P0(전)",$M:$M,"&gt;0")&lt;&gt;1,"",SUMIFS($M:$M,$C:$C,$C397,$D:$D,$D397,$E:$E,"P0(전)"))</f>
        <v/>
      </c>
      <c r="Q397" s="48">
        <f>IF(COUNTIFS($C:$C,$C397,$D:$D,$D397,$E:$E,"P0(후)",$M:$M,"&gt;0")&lt;&gt;1,"",SUMIFS($I:$I,$C:$C,$C397,$D:$D,$D397,$E:$E,"P0(후)"))</f>
        <v/>
      </c>
      <c r="R397" s="31">
        <f>IF(COUNTIFS($C:$C,$C397,$D:$D,$D397,$E:$E,"P0(후)",$M:$M,"&gt;0")&lt;&gt;1,"",SUMIFS($M:$M,$C:$C,$C397,$D:$D,$D397,$E:$E,"P0(후)"))</f>
        <v/>
      </c>
      <c r="S397" s="31">
        <f>IF(N397&lt;&gt;"OK","",P397+(R397-P397)*(I397-O397)/(Q397-O397))</f>
        <v/>
      </c>
      <c r="T397" s="31">
        <f>IF(OR(N397&lt;&gt;"OK",NOT(ISNUMBER(M397))),"",M397-S397)</f>
        <v/>
      </c>
      <c r="U397" s="49">
        <f>IF(OR(NOT(ISNUMBER(T397)),IF(ISNUMBER(H397),H397,G397)=0),"",T397/IF(ISNUMBER(H397),H397,G397))</f>
        <v/>
      </c>
      <c r="V397" s="49">
        <f>IF(ISNUMBER(U397),ABS(U397),"")</f>
        <v/>
      </c>
      <c r="W397" s="49">
        <f>IF(OR($E396&lt;&gt;"측정",$C396&lt;&gt;$C397,$D396&lt;&gt;$D397,NOT(ISNUMBER(M397)),NOT(ISNUMBER(M396)),(IF(ISNUMBER(H397),H397,G397)-IF(ISNUMBER(H396),H396,G396))=0),"",(M397-M396)/(IF(ISNUMBER(H397),H397,G397)-IF(ISNUMBER(H396),H396,G396)))</f>
        <v/>
      </c>
      <c r="X397" s="31">
        <f>IF(NOT(AND(ISNUMBER(O397),ISNUMBER(Q397))),"",(Q397-O397)*1440)</f>
        <v/>
      </c>
      <c r="Y397" s="29" t="n"/>
      <c r="Z397" s="29" t="n"/>
      <c r="AA397" s="29" t="n"/>
      <c r="AB397" s="32" t="n"/>
      <c r="AC397" s="32" t="n"/>
    </row>
    <row r="398">
      <c r="A398" s="26" t="inlineStr">
        <is>
          <t>S08</t>
        </is>
      </c>
      <c r="B398" s="26" t="inlineStr">
        <is>
          <t>청일 신규점2</t>
        </is>
      </c>
      <c r="C398" s="26" t="inlineStr">
        <is>
          <t>S08-H남</t>
        </is>
      </c>
      <c r="D398" s="47" t="n">
        <v>1</v>
      </c>
      <c r="E398" s="26" t="inlineStr">
        <is>
          <t>측정</t>
        </is>
      </c>
      <c r="F398" s="26" t="inlineStr">
        <is>
          <t>남</t>
        </is>
      </c>
      <c r="G398" s="31" t="n">
        <v>1</v>
      </c>
      <c r="H398" s="30" t="n"/>
      <c r="I398" s="43" t="n"/>
      <c r="J398" s="41" t="n"/>
      <c r="K398" s="41" t="n"/>
      <c r="L398" s="41" t="n"/>
      <c r="M398" s="31">
        <f>IF(COUNT(J398:L398)=0,"",MEDIAN(J398:L398))</f>
        <v/>
      </c>
      <c r="N398" s="26">
        <f>IF(COUNTIFS($C:$C,$C398,$D:$D,$D398,$E:$E,"P0(전)",$M:$M,"&gt;0")&lt;&gt;1,"P0(전) 유효 1개 아님",IF(COUNTIFS($C:$C,$C398,$D:$D,$D398,$E:$E,"P0(후)",$M:$M,"&gt;0")&lt;&gt;1,"P0(후) 유효 1개 아님",IF(NOT(AND(ISNUMBER(O398),ISNUMBER(Q398),ISNUMBER(I398))),"시각 결측",IF(Q398&lt;=O398,"P0 시각 역전",IF(OR(I398&lt;O398,I398&gt;Q398),"측정시각 구간 밖","OK")))))</f>
        <v/>
      </c>
      <c r="O398" s="48">
        <f>IF(COUNTIFS($C:$C,$C398,$D:$D,$D398,$E:$E,"P0(전)",$M:$M,"&gt;0")&lt;&gt;1,"",SUMIFS($I:$I,$C:$C,$C398,$D:$D,$D398,$E:$E,"P0(전)"))</f>
        <v/>
      </c>
      <c r="P398" s="31">
        <f>IF(COUNTIFS($C:$C,$C398,$D:$D,$D398,$E:$E,"P0(전)",$M:$M,"&gt;0")&lt;&gt;1,"",SUMIFS($M:$M,$C:$C,$C398,$D:$D,$D398,$E:$E,"P0(전)"))</f>
        <v/>
      </c>
      <c r="Q398" s="48">
        <f>IF(COUNTIFS($C:$C,$C398,$D:$D,$D398,$E:$E,"P0(후)",$M:$M,"&gt;0")&lt;&gt;1,"",SUMIFS($I:$I,$C:$C,$C398,$D:$D,$D398,$E:$E,"P0(후)"))</f>
        <v/>
      </c>
      <c r="R398" s="31">
        <f>IF(COUNTIFS($C:$C,$C398,$D:$D,$D398,$E:$E,"P0(후)",$M:$M,"&gt;0")&lt;&gt;1,"",SUMIFS($M:$M,$C:$C,$C398,$D:$D,$D398,$E:$E,"P0(후)"))</f>
        <v/>
      </c>
      <c r="S398" s="31">
        <f>IF(N398&lt;&gt;"OK","",P398+(R398-P398)*(I398-O398)/(Q398-O398))</f>
        <v/>
      </c>
      <c r="T398" s="31">
        <f>IF(OR(N398&lt;&gt;"OK",NOT(ISNUMBER(M398))),"",M398-S398)</f>
        <v/>
      </c>
      <c r="U398" s="49">
        <f>IF(OR(NOT(ISNUMBER(T398)),IF(ISNUMBER(H398),H398,G398)=0),"",T398/IF(ISNUMBER(H398),H398,G398))</f>
        <v/>
      </c>
      <c r="V398" s="49">
        <f>IF(ISNUMBER(U398),ABS(U398),"")</f>
        <v/>
      </c>
      <c r="W398" s="49">
        <f>IF(OR($E397&lt;&gt;"측정",$C397&lt;&gt;$C398,$D397&lt;&gt;$D398,NOT(ISNUMBER(M398)),NOT(ISNUMBER(M397)),(IF(ISNUMBER(H398),H398,G398)-IF(ISNUMBER(H397),H397,G397))=0),"",(M398-M397)/(IF(ISNUMBER(H398),H398,G398)-IF(ISNUMBER(H397),H397,G397)))</f>
        <v/>
      </c>
      <c r="X398" s="31">
        <f>IF(NOT(AND(ISNUMBER(O398),ISNUMBER(Q398))),"",(Q398-O398)*1440)</f>
        <v/>
      </c>
      <c r="Y398" s="29" t="n"/>
      <c r="Z398" s="29" t="n"/>
      <c r="AA398" s="29" t="n"/>
      <c r="AB398" s="32" t="n"/>
      <c r="AC398" s="32" t="n"/>
    </row>
    <row r="399">
      <c r="A399" s="26" t="inlineStr">
        <is>
          <t>S08</t>
        </is>
      </c>
      <c r="B399" s="26" t="inlineStr">
        <is>
          <t>청일 신규점2</t>
        </is>
      </c>
      <c r="C399" s="26" t="inlineStr">
        <is>
          <t>S08-H남</t>
        </is>
      </c>
      <c r="D399" s="47" t="n">
        <v>1</v>
      </c>
      <c r="E399" s="26" t="inlineStr">
        <is>
          <t>측정</t>
        </is>
      </c>
      <c r="F399" s="26" t="inlineStr">
        <is>
          <t>남</t>
        </is>
      </c>
      <c r="G399" s="31" t="n">
        <v>2</v>
      </c>
      <c r="H399" s="30" t="n"/>
      <c r="I399" s="43" t="n"/>
      <c r="J399" s="41" t="n"/>
      <c r="K399" s="41" t="n"/>
      <c r="L399" s="41" t="n"/>
      <c r="M399" s="31">
        <f>IF(COUNT(J399:L399)=0,"",MEDIAN(J399:L399))</f>
        <v/>
      </c>
      <c r="N399" s="26">
        <f>IF(COUNTIFS($C:$C,$C399,$D:$D,$D399,$E:$E,"P0(전)",$M:$M,"&gt;0")&lt;&gt;1,"P0(전) 유효 1개 아님",IF(COUNTIFS($C:$C,$C399,$D:$D,$D399,$E:$E,"P0(후)",$M:$M,"&gt;0")&lt;&gt;1,"P0(후) 유효 1개 아님",IF(NOT(AND(ISNUMBER(O399),ISNUMBER(Q399),ISNUMBER(I399))),"시각 결측",IF(Q399&lt;=O399,"P0 시각 역전",IF(OR(I399&lt;O399,I399&gt;Q399),"측정시각 구간 밖","OK")))))</f>
        <v/>
      </c>
      <c r="O399" s="48">
        <f>IF(COUNTIFS($C:$C,$C399,$D:$D,$D399,$E:$E,"P0(전)",$M:$M,"&gt;0")&lt;&gt;1,"",SUMIFS($I:$I,$C:$C,$C399,$D:$D,$D399,$E:$E,"P0(전)"))</f>
        <v/>
      </c>
      <c r="P399" s="31">
        <f>IF(COUNTIFS($C:$C,$C399,$D:$D,$D399,$E:$E,"P0(전)",$M:$M,"&gt;0")&lt;&gt;1,"",SUMIFS($M:$M,$C:$C,$C399,$D:$D,$D399,$E:$E,"P0(전)"))</f>
        <v/>
      </c>
      <c r="Q399" s="48">
        <f>IF(COUNTIFS($C:$C,$C399,$D:$D,$D399,$E:$E,"P0(후)",$M:$M,"&gt;0")&lt;&gt;1,"",SUMIFS($I:$I,$C:$C,$C399,$D:$D,$D399,$E:$E,"P0(후)"))</f>
        <v/>
      </c>
      <c r="R399" s="31">
        <f>IF(COUNTIFS($C:$C,$C399,$D:$D,$D399,$E:$E,"P0(후)",$M:$M,"&gt;0")&lt;&gt;1,"",SUMIFS($M:$M,$C:$C,$C399,$D:$D,$D399,$E:$E,"P0(후)"))</f>
        <v/>
      </c>
      <c r="S399" s="31">
        <f>IF(N399&lt;&gt;"OK","",P399+(R399-P399)*(I399-O399)/(Q399-O399))</f>
        <v/>
      </c>
      <c r="T399" s="31">
        <f>IF(OR(N399&lt;&gt;"OK",NOT(ISNUMBER(M399))),"",M399-S399)</f>
        <v/>
      </c>
      <c r="U399" s="49">
        <f>IF(OR(NOT(ISNUMBER(T399)),IF(ISNUMBER(H399),H399,G399)=0),"",T399/IF(ISNUMBER(H399),H399,G399))</f>
        <v/>
      </c>
      <c r="V399" s="49">
        <f>IF(ISNUMBER(U399),ABS(U399),"")</f>
        <v/>
      </c>
      <c r="W399" s="49">
        <f>IF(OR($E398&lt;&gt;"측정",$C398&lt;&gt;$C399,$D398&lt;&gt;$D399,NOT(ISNUMBER(M399)),NOT(ISNUMBER(M398)),(IF(ISNUMBER(H399),H399,G399)-IF(ISNUMBER(H398),H398,G398))=0),"",(M399-M398)/(IF(ISNUMBER(H399),H399,G399)-IF(ISNUMBER(H398),H398,G398)))</f>
        <v/>
      </c>
      <c r="X399" s="31">
        <f>IF(NOT(AND(ISNUMBER(O399),ISNUMBER(Q399))),"",(Q399-O399)*1440)</f>
        <v/>
      </c>
      <c r="Y399" s="29" t="n"/>
      <c r="Z399" s="29" t="n"/>
      <c r="AA399" s="29" t="n"/>
      <c r="AB399" s="32" t="n"/>
      <c r="AC399" s="32" t="n"/>
    </row>
    <row r="400">
      <c r="A400" s="26" t="inlineStr">
        <is>
          <t>S08</t>
        </is>
      </c>
      <c r="B400" s="26" t="inlineStr">
        <is>
          <t>청일 신규점2</t>
        </is>
      </c>
      <c r="C400" s="26" t="inlineStr">
        <is>
          <t>S08-H남</t>
        </is>
      </c>
      <c r="D400" s="47" t="n">
        <v>1</v>
      </c>
      <c r="E400" s="26" t="inlineStr">
        <is>
          <t>측정</t>
        </is>
      </c>
      <c r="F400" s="26" t="inlineStr">
        <is>
          <t>남</t>
        </is>
      </c>
      <c r="G400" s="31" t="n">
        <v>3</v>
      </c>
      <c r="H400" s="30" t="n"/>
      <c r="I400" s="43" t="n"/>
      <c r="J400" s="41" t="n"/>
      <c r="K400" s="41" t="n"/>
      <c r="L400" s="41" t="n"/>
      <c r="M400" s="31">
        <f>IF(COUNT(J400:L400)=0,"",MEDIAN(J400:L400))</f>
        <v/>
      </c>
      <c r="N400" s="26">
        <f>IF(COUNTIFS($C:$C,$C400,$D:$D,$D400,$E:$E,"P0(전)",$M:$M,"&gt;0")&lt;&gt;1,"P0(전) 유효 1개 아님",IF(COUNTIFS($C:$C,$C400,$D:$D,$D400,$E:$E,"P0(후)",$M:$M,"&gt;0")&lt;&gt;1,"P0(후) 유효 1개 아님",IF(NOT(AND(ISNUMBER(O400),ISNUMBER(Q400),ISNUMBER(I400))),"시각 결측",IF(Q400&lt;=O400,"P0 시각 역전",IF(OR(I400&lt;O400,I400&gt;Q400),"측정시각 구간 밖","OK")))))</f>
        <v/>
      </c>
      <c r="O400" s="48">
        <f>IF(COUNTIFS($C:$C,$C400,$D:$D,$D400,$E:$E,"P0(전)",$M:$M,"&gt;0")&lt;&gt;1,"",SUMIFS($I:$I,$C:$C,$C400,$D:$D,$D400,$E:$E,"P0(전)"))</f>
        <v/>
      </c>
      <c r="P400" s="31">
        <f>IF(COUNTIFS($C:$C,$C400,$D:$D,$D400,$E:$E,"P0(전)",$M:$M,"&gt;0")&lt;&gt;1,"",SUMIFS($M:$M,$C:$C,$C400,$D:$D,$D400,$E:$E,"P0(전)"))</f>
        <v/>
      </c>
      <c r="Q400" s="48">
        <f>IF(COUNTIFS($C:$C,$C400,$D:$D,$D400,$E:$E,"P0(후)",$M:$M,"&gt;0")&lt;&gt;1,"",SUMIFS($I:$I,$C:$C,$C400,$D:$D,$D400,$E:$E,"P0(후)"))</f>
        <v/>
      </c>
      <c r="R400" s="31">
        <f>IF(COUNTIFS($C:$C,$C400,$D:$D,$D400,$E:$E,"P0(후)",$M:$M,"&gt;0")&lt;&gt;1,"",SUMIFS($M:$M,$C:$C,$C400,$D:$D,$D400,$E:$E,"P0(후)"))</f>
        <v/>
      </c>
      <c r="S400" s="31">
        <f>IF(N400&lt;&gt;"OK","",P400+(R400-P400)*(I400-O400)/(Q400-O400))</f>
        <v/>
      </c>
      <c r="T400" s="31">
        <f>IF(OR(N400&lt;&gt;"OK",NOT(ISNUMBER(M400))),"",M400-S400)</f>
        <v/>
      </c>
      <c r="U400" s="49">
        <f>IF(OR(NOT(ISNUMBER(T400)),IF(ISNUMBER(H400),H400,G400)=0),"",T400/IF(ISNUMBER(H400),H400,G400))</f>
        <v/>
      </c>
      <c r="V400" s="49">
        <f>IF(ISNUMBER(U400),ABS(U400),"")</f>
        <v/>
      </c>
      <c r="W400" s="49">
        <f>IF(OR($E399&lt;&gt;"측정",$C399&lt;&gt;$C400,$D399&lt;&gt;$D400,NOT(ISNUMBER(M400)),NOT(ISNUMBER(M399)),(IF(ISNUMBER(H400),H400,G400)-IF(ISNUMBER(H399),H399,G399))=0),"",(M400-M399)/(IF(ISNUMBER(H400),H400,G400)-IF(ISNUMBER(H399),H399,G399)))</f>
        <v/>
      </c>
      <c r="X400" s="31">
        <f>IF(NOT(AND(ISNUMBER(O400),ISNUMBER(Q400))),"",(Q400-O400)*1440)</f>
        <v/>
      </c>
      <c r="Y400" s="29" t="n"/>
      <c r="Z400" s="29" t="n"/>
      <c r="AA400" s="29" t="n"/>
      <c r="AB400" s="32" t="n"/>
      <c r="AC400" s="32" t="n"/>
    </row>
    <row r="401">
      <c r="A401" s="26" t="inlineStr">
        <is>
          <t>S08</t>
        </is>
      </c>
      <c r="B401" s="26" t="inlineStr">
        <is>
          <t>청일 신규점2</t>
        </is>
      </c>
      <c r="C401" s="26" t="inlineStr">
        <is>
          <t>S08-H남</t>
        </is>
      </c>
      <c r="D401" s="47" t="n">
        <v>1</v>
      </c>
      <c r="E401" s="26" t="inlineStr">
        <is>
          <t>측정</t>
        </is>
      </c>
      <c r="F401" s="26" t="inlineStr">
        <is>
          <t>남</t>
        </is>
      </c>
      <c r="G401" s="31" t="n">
        <v>4</v>
      </c>
      <c r="H401" s="30" t="n"/>
      <c r="I401" s="43" t="n"/>
      <c r="J401" s="41" t="n"/>
      <c r="K401" s="41" t="n"/>
      <c r="L401" s="41" t="n"/>
      <c r="M401" s="31">
        <f>IF(COUNT(J401:L401)=0,"",MEDIAN(J401:L401))</f>
        <v/>
      </c>
      <c r="N401" s="26">
        <f>IF(COUNTIFS($C:$C,$C401,$D:$D,$D401,$E:$E,"P0(전)",$M:$M,"&gt;0")&lt;&gt;1,"P0(전) 유효 1개 아님",IF(COUNTIFS($C:$C,$C401,$D:$D,$D401,$E:$E,"P0(후)",$M:$M,"&gt;0")&lt;&gt;1,"P0(후) 유효 1개 아님",IF(NOT(AND(ISNUMBER(O401),ISNUMBER(Q401),ISNUMBER(I401))),"시각 결측",IF(Q401&lt;=O401,"P0 시각 역전",IF(OR(I401&lt;O401,I401&gt;Q401),"측정시각 구간 밖","OK")))))</f>
        <v/>
      </c>
      <c r="O401" s="48">
        <f>IF(COUNTIFS($C:$C,$C401,$D:$D,$D401,$E:$E,"P0(전)",$M:$M,"&gt;0")&lt;&gt;1,"",SUMIFS($I:$I,$C:$C,$C401,$D:$D,$D401,$E:$E,"P0(전)"))</f>
        <v/>
      </c>
      <c r="P401" s="31">
        <f>IF(COUNTIFS($C:$C,$C401,$D:$D,$D401,$E:$E,"P0(전)",$M:$M,"&gt;0")&lt;&gt;1,"",SUMIFS($M:$M,$C:$C,$C401,$D:$D,$D401,$E:$E,"P0(전)"))</f>
        <v/>
      </c>
      <c r="Q401" s="48">
        <f>IF(COUNTIFS($C:$C,$C401,$D:$D,$D401,$E:$E,"P0(후)",$M:$M,"&gt;0")&lt;&gt;1,"",SUMIFS($I:$I,$C:$C,$C401,$D:$D,$D401,$E:$E,"P0(후)"))</f>
        <v/>
      </c>
      <c r="R401" s="31">
        <f>IF(COUNTIFS($C:$C,$C401,$D:$D,$D401,$E:$E,"P0(후)",$M:$M,"&gt;0")&lt;&gt;1,"",SUMIFS($M:$M,$C:$C,$C401,$D:$D,$D401,$E:$E,"P0(후)"))</f>
        <v/>
      </c>
      <c r="S401" s="31">
        <f>IF(N401&lt;&gt;"OK","",P401+(R401-P401)*(I401-O401)/(Q401-O401))</f>
        <v/>
      </c>
      <c r="T401" s="31">
        <f>IF(OR(N401&lt;&gt;"OK",NOT(ISNUMBER(M401))),"",M401-S401)</f>
        <v/>
      </c>
      <c r="U401" s="49">
        <f>IF(OR(NOT(ISNUMBER(T401)),IF(ISNUMBER(H401),H401,G401)=0),"",T401/IF(ISNUMBER(H401),H401,G401))</f>
        <v/>
      </c>
      <c r="V401" s="49">
        <f>IF(ISNUMBER(U401),ABS(U401),"")</f>
        <v/>
      </c>
      <c r="W401" s="49">
        <f>IF(OR($E400&lt;&gt;"측정",$C400&lt;&gt;$C401,$D400&lt;&gt;$D401,NOT(ISNUMBER(M401)),NOT(ISNUMBER(M400)),(IF(ISNUMBER(H401),H401,G401)-IF(ISNUMBER(H400),H400,G400))=0),"",(M401-M400)/(IF(ISNUMBER(H401),H401,G401)-IF(ISNUMBER(H400),H400,G400)))</f>
        <v/>
      </c>
      <c r="X401" s="31">
        <f>IF(NOT(AND(ISNUMBER(O401),ISNUMBER(Q401))),"",(Q401-O401)*1440)</f>
        <v/>
      </c>
      <c r="Y401" s="29" t="n"/>
      <c r="Z401" s="29" t="n"/>
      <c r="AA401" s="29" t="n"/>
      <c r="AB401" s="32" t="n"/>
      <c r="AC401" s="32" t="n"/>
    </row>
    <row r="402">
      <c r="A402" s="26" t="inlineStr">
        <is>
          <t>S08</t>
        </is>
      </c>
      <c r="B402" s="26" t="inlineStr">
        <is>
          <t>청일 신규점2</t>
        </is>
      </c>
      <c r="C402" s="26" t="inlineStr">
        <is>
          <t>S08-H남</t>
        </is>
      </c>
      <c r="D402" s="47" t="n">
        <v>1</v>
      </c>
      <c r="E402" s="26" t="inlineStr">
        <is>
          <t>측정</t>
        </is>
      </c>
      <c r="F402" s="26" t="inlineStr">
        <is>
          <t>남</t>
        </is>
      </c>
      <c r="G402" s="31" t="n">
        <v>5</v>
      </c>
      <c r="H402" s="30" t="n"/>
      <c r="I402" s="43" t="n"/>
      <c r="J402" s="41" t="n"/>
      <c r="K402" s="41" t="n"/>
      <c r="L402" s="41" t="n"/>
      <c r="M402" s="31">
        <f>IF(COUNT(J402:L402)=0,"",MEDIAN(J402:L402))</f>
        <v/>
      </c>
      <c r="N402" s="26">
        <f>IF(COUNTIFS($C:$C,$C402,$D:$D,$D402,$E:$E,"P0(전)",$M:$M,"&gt;0")&lt;&gt;1,"P0(전) 유효 1개 아님",IF(COUNTIFS($C:$C,$C402,$D:$D,$D402,$E:$E,"P0(후)",$M:$M,"&gt;0")&lt;&gt;1,"P0(후) 유효 1개 아님",IF(NOT(AND(ISNUMBER(O402),ISNUMBER(Q402),ISNUMBER(I402))),"시각 결측",IF(Q402&lt;=O402,"P0 시각 역전",IF(OR(I402&lt;O402,I402&gt;Q402),"측정시각 구간 밖","OK")))))</f>
        <v/>
      </c>
      <c r="O402" s="48">
        <f>IF(COUNTIFS($C:$C,$C402,$D:$D,$D402,$E:$E,"P0(전)",$M:$M,"&gt;0")&lt;&gt;1,"",SUMIFS($I:$I,$C:$C,$C402,$D:$D,$D402,$E:$E,"P0(전)"))</f>
        <v/>
      </c>
      <c r="P402" s="31">
        <f>IF(COUNTIFS($C:$C,$C402,$D:$D,$D402,$E:$E,"P0(전)",$M:$M,"&gt;0")&lt;&gt;1,"",SUMIFS($M:$M,$C:$C,$C402,$D:$D,$D402,$E:$E,"P0(전)"))</f>
        <v/>
      </c>
      <c r="Q402" s="48">
        <f>IF(COUNTIFS($C:$C,$C402,$D:$D,$D402,$E:$E,"P0(후)",$M:$M,"&gt;0")&lt;&gt;1,"",SUMIFS($I:$I,$C:$C,$C402,$D:$D,$D402,$E:$E,"P0(후)"))</f>
        <v/>
      </c>
      <c r="R402" s="31">
        <f>IF(COUNTIFS($C:$C,$C402,$D:$D,$D402,$E:$E,"P0(후)",$M:$M,"&gt;0")&lt;&gt;1,"",SUMIFS($M:$M,$C:$C,$C402,$D:$D,$D402,$E:$E,"P0(후)"))</f>
        <v/>
      </c>
      <c r="S402" s="31">
        <f>IF(N402&lt;&gt;"OK","",P402+(R402-P402)*(I402-O402)/(Q402-O402))</f>
        <v/>
      </c>
      <c r="T402" s="31">
        <f>IF(OR(N402&lt;&gt;"OK",NOT(ISNUMBER(M402))),"",M402-S402)</f>
        <v/>
      </c>
      <c r="U402" s="49">
        <f>IF(OR(NOT(ISNUMBER(T402)),IF(ISNUMBER(H402),H402,G402)=0),"",T402/IF(ISNUMBER(H402),H402,G402))</f>
        <v/>
      </c>
      <c r="V402" s="49">
        <f>IF(ISNUMBER(U402),ABS(U402),"")</f>
        <v/>
      </c>
      <c r="W402" s="49">
        <f>IF(OR($E401&lt;&gt;"측정",$C401&lt;&gt;$C402,$D401&lt;&gt;$D402,NOT(ISNUMBER(M402)),NOT(ISNUMBER(M401)),(IF(ISNUMBER(H402),H402,G402)-IF(ISNUMBER(H401),H401,G401))=0),"",(M402-M401)/(IF(ISNUMBER(H402),H402,G402)-IF(ISNUMBER(H401),H401,G401)))</f>
        <v/>
      </c>
      <c r="X402" s="31">
        <f>IF(NOT(AND(ISNUMBER(O402),ISNUMBER(Q402))),"",(Q402-O402)*1440)</f>
        <v/>
      </c>
      <c r="Y402" s="29" t="n"/>
      <c r="Z402" s="29" t="n"/>
      <c r="AA402" s="29" t="n"/>
      <c r="AB402" s="32" t="n"/>
      <c r="AC402" s="32" t="n"/>
    </row>
    <row r="403">
      <c r="A403" s="26" t="inlineStr">
        <is>
          <t>S08</t>
        </is>
      </c>
      <c r="B403" s="26" t="inlineStr">
        <is>
          <t>청일 신규점2</t>
        </is>
      </c>
      <c r="C403" s="26" t="inlineStr">
        <is>
          <t>S08-H남</t>
        </is>
      </c>
      <c r="D403" s="47" t="n">
        <v>1</v>
      </c>
      <c r="E403" s="26" t="inlineStr">
        <is>
          <t>측정</t>
        </is>
      </c>
      <c r="F403" s="26" t="inlineStr">
        <is>
          <t>남</t>
        </is>
      </c>
      <c r="G403" s="31" t="n">
        <v>6</v>
      </c>
      <c r="H403" s="30" t="n"/>
      <c r="I403" s="43" t="n"/>
      <c r="J403" s="41" t="n"/>
      <c r="K403" s="41" t="n"/>
      <c r="L403" s="41" t="n"/>
      <c r="M403" s="31">
        <f>IF(COUNT(J403:L403)=0,"",MEDIAN(J403:L403))</f>
        <v/>
      </c>
      <c r="N403" s="26">
        <f>IF(COUNTIFS($C:$C,$C403,$D:$D,$D403,$E:$E,"P0(전)",$M:$M,"&gt;0")&lt;&gt;1,"P0(전) 유효 1개 아님",IF(COUNTIFS($C:$C,$C403,$D:$D,$D403,$E:$E,"P0(후)",$M:$M,"&gt;0")&lt;&gt;1,"P0(후) 유효 1개 아님",IF(NOT(AND(ISNUMBER(O403),ISNUMBER(Q403),ISNUMBER(I403))),"시각 결측",IF(Q403&lt;=O403,"P0 시각 역전",IF(OR(I403&lt;O403,I403&gt;Q403),"측정시각 구간 밖","OK")))))</f>
        <v/>
      </c>
      <c r="O403" s="48">
        <f>IF(COUNTIFS($C:$C,$C403,$D:$D,$D403,$E:$E,"P0(전)",$M:$M,"&gt;0")&lt;&gt;1,"",SUMIFS($I:$I,$C:$C,$C403,$D:$D,$D403,$E:$E,"P0(전)"))</f>
        <v/>
      </c>
      <c r="P403" s="31">
        <f>IF(COUNTIFS($C:$C,$C403,$D:$D,$D403,$E:$E,"P0(전)",$M:$M,"&gt;0")&lt;&gt;1,"",SUMIFS($M:$M,$C:$C,$C403,$D:$D,$D403,$E:$E,"P0(전)"))</f>
        <v/>
      </c>
      <c r="Q403" s="48">
        <f>IF(COUNTIFS($C:$C,$C403,$D:$D,$D403,$E:$E,"P0(후)",$M:$M,"&gt;0")&lt;&gt;1,"",SUMIFS($I:$I,$C:$C,$C403,$D:$D,$D403,$E:$E,"P0(후)"))</f>
        <v/>
      </c>
      <c r="R403" s="31">
        <f>IF(COUNTIFS($C:$C,$C403,$D:$D,$D403,$E:$E,"P0(후)",$M:$M,"&gt;0")&lt;&gt;1,"",SUMIFS($M:$M,$C:$C,$C403,$D:$D,$D403,$E:$E,"P0(후)"))</f>
        <v/>
      </c>
      <c r="S403" s="31">
        <f>IF(N403&lt;&gt;"OK","",P403+(R403-P403)*(I403-O403)/(Q403-O403))</f>
        <v/>
      </c>
      <c r="T403" s="31">
        <f>IF(OR(N403&lt;&gt;"OK",NOT(ISNUMBER(M403))),"",M403-S403)</f>
        <v/>
      </c>
      <c r="U403" s="49">
        <f>IF(OR(NOT(ISNUMBER(T403)),IF(ISNUMBER(H403),H403,G403)=0),"",T403/IF(ISNUMBER(H403),H403,G403))</f>
        <v/>
      </c>
      <c r="V403" s="49">
        <f>IF(ISNUMBER(U403),ABS(U403),"")</f>
        <v/>
      </c>
      <c r="W403" s="49">
        <f>IF(OR($E402&lt;&gt;"측정",$C402&lt;&gt;$C403,$D402&lt;&gt;$D403,NOT(ISNUMBER(M403)),NOT(ISNUMBER(M402)),(IF(ISNUMBER(H403),H403,G403)-IF(ISNUMBER(H402),H402,G402))=0),"",(M403-M402)/(IF(ISNUMBER(H403),H403,G403)-IF(ISNUMBER(H402),H402,G402)))</f>
        <v/>
      </c>
      <c r="X403" s="31">
        <f>IF(NOT(AND(ISNUMBER(O403),ISNUMBER(Q403))),"",(Q403-O403)*1440)</f>
        <v/>
      </c>
      <c r="Y403" s="29" t="n"/>
      <c r="Z403" s="29" t="n"/>
      <c r="AA403" s="29" t="n"/>
      <c r="AB403" s="32" t="n"/>
      <c r="AC403" s="32" t="n"/>
    </row>
    <row r="404">
      <c r="A404" s="26" t="inlineStr">
        <is>
          <t>S08</t>
        </is>
      </c>
      <c r="B404" s="26" t="inlineStr">
        <is>
          <t>청일 신규점2</t>
        </is>
      </c>
      <c r="C404" s="26" t="inlineStr">
        <is>
          <t>S08-H남</t>
        </is>
      </c>
      <c r="D404" s="47" t="n">
        <v>1</v>
      </c>
      <c r="E404" s="26" t="inlineStr">
        <is>
          <t>측정</t>
        </is>
      </c>
      <c r="F404" s="26" t="inlineStr">
        <is>
          <t>남</t>
        </is>
      </c>
      <c r="G404" s="31" t="n">
        <v>7</v>
      </c>
      <c r="H404" s="30" t="n"/>
      <c r="I404" s="43" t="n"/>
      <c r="J404" s="41" t="n"/>
      <c r="K404" s="41" t="n"/>
      <c r="L404" s="41" t="n"/>
      <c r="M404" s="31">
        <f>IF(COUNT(J404:L404)=0,"",MEDIAN(J404:L404))</f>
        <v/>
      </c>
      <c r="N404" s="26">
        <f>IF(COUNTIFS($C:$C,$C404,$D:$D,$D404,$E:$E,"P0(전)",$M:$M,"&gt;0")&lt;&gt;1,"P0(전) 유효 1개 아님",IF(COUNTIFS($C:$C,$C404,$D:$D,$D404,$E:$E,"P0(후)",$M:$M,"&gt;0")&lt;&gt;1,"P0(후) 유효 1개 아님",IF(NOT(AND(ISNUMBER(O404),ISNUMBER(Q404),ISNUMBER(I404))),"시각 결측",IF(Q404&lt;=O404,"P0 시각 역전",IF(OR(I404&lt;O404,I404&gt;Q404),"측정시각 구간 밖","OK")))))</f>
        <v/>
      </c>
      <c r="O404" s="48">
        <f>IF(COUNTIFS($C:$C,$C404,$D:$D,$D404,$E:$E,"P0(전)",$M:$M,"&gt;0")&lt;&gt;1,"",SUMIFS($I:$I,$C:$C,$C404,$D:$D,$D404,$E:$E,"P0(전)"))</f>
        <v/>
      </c>
      <c r="P404" s="31">
        <f>IF(COUNTIFS($C:$C,$C404,$D:$D,$D404,$E:$E,"P0(전)",$M:$M,"&gt;0")&lt;&gt;1,"",SUMIFS($M:$M,$C:$C,$C404,$D:$D,$D404,$E:$E,"P0(전)"))</f>
        <v/>
      </c>
      <c r="Q404" s="48">
        <f>IF(COUNTIFS($C:$C,$C404,$D:$D,$D404,$E:$E,"P0(후)",$M:$M,"&gt;0")&lt;&gt;1,"",SUMIFS($I:$I,$C:$C,$C404,$D:$D,$D404,$E:$E,"P0(후)"))</f>
        <v/>
      </c>
      <c r="R404" s="31">
        <f>IF(COUNTIFS($C:$C,$C404,$D:$D,$D404,$E:$E,"P0(후)",$M:$M,"&gt;0")&lt;&gt;1,"",SUMIFS($M:$M,$C:$C,$C404,$D:$D,$D404,$E:$E,"P0(후)"))</f>
        <v/>
      </c>
      <c r="S404" s="31">
        <f>IF(N404&lt;&gt;"OK","",P404+(R404-P404)*(I404-O404)/(Q404-O404))</f>
        <v/>
      </c>
      <c r="T404" s="31">
        <f>IF(OR(N404&lt;&gt;"OK",NOT(ISNUMBER(M404))),"",M404-S404)</f>
        <v/>
      </c>
      <c r="U404" s="49">
        <f>IF(OR(NOT(ISNUMBER(T404)),IF(ISNUMBER(H404),H404,G404)=0),"",T404/IF(ISNUMBER(H404),H404,G404))</f>
        <v/>
      </c>
      <c r="V404" s="49">
        <f>IF(ISNUMBER(U404),ABS(U404),"")</f>
        <v/>
      </c>
      <c r="W404" s="49">
        <f>IF(OR($E403&lt;&gt;"측정",$C403&lt;&gt;$C404,$D403&lt;&gt;$D404,NOT(ISNUMBER(M404)),NOT(ISNUMBER(M403)),(IF(ISNUMBER(H404),H404,G404)-IF(ISNUMBER(H403),H403,G403))=0),"",(M404-M403)/(IF(ISNUMBER(H404),H404,G404)-IF(ISNUMBER(H403),H403,G403)))</f>
        <v/>
      </c>
      <c r="X404" s="31">
        <f>IF(NOT(AND(ISNUMBER(O404),ISNUMBER(Q404))),"",(Q404-O404)*1440)</f>
        <v/>
      </c>
      <c r="Y404" s="29" t="n"/>
      <c r="Z404" s="29" t="n"/>
      <c r="AA404" s="29" t="n"/>
      <c r="AB404" s="32" t="n"/>
      <c r="AC404" s="32" t="n"/>
    </row>
    <row r="405">
      <c r="A405" s="26" t="inlineStr">
        <is>
          <t>S08</t>
        </is>
      </c>
      <c r="B405" s="26" t="inlineStr">
        <is>
          <t>청일 신규점2</t>
        </is>
      </c>
      <c r="C405" s="26" t="inlineStr">
        <is>
          <t>S08-H남</t>
        </is>
      </c>
      <c r="D405" s="47" t="n">
        <v>1</v>
      </c>
      <c r="E405" s="26" t="inlineStr">
        <is>
          <t>측정</t>
        </is>
      </c>
      <c r="F405" s="26" t="inlineStr">
        <is>
          <t>남</t>
        </is>
      </c>
      <c r="G405" s="31" t="n">
        <v>8</v>
      </c>
      <c r="H405" s="30" t="n"/>
      <c r="I405" s="43" t="n"/>
      <c r="J405" s="41" t="n"/>
      <c r="K405" s="41" t="n"/>
      <c r="L405" s="41" t="n"/>
      <c r="M405" s="31">
        <f>IF(COUNT(J405:L405)=0,"",MEDIAN(J405:L405))</f>
        <v/>
      </c>
      <c r="N405" s="26">
        <f>IF(COUNTIFS($C:$C,$C405,$D:$D,$D405,$E:$E,"P0(전)",$M:$M,"&gt;0")&lt;&gt;1,"P0(전) 유효 1개 아님",IF(COUNTIFS($C:$C,$C405,$D:$D,$D405,$E:$E,"P0(후)",$M:$M,"&gt;0")&lt;&gt;1,"P0(후) 유효 1개 아님",IF(NOT(AND(ISNUMBER(O405),ISNUMBER(Q405),ISNUMBER(I405))),"시각 결측",IF(Q405&lt;=O405,"P0 시각 역전",IF(OR(I405&lt;O405,I405&gt;Q405),"측정시각 구간 밖","OK")))))</f>
        <v/>
      </c>
      <c r="O405" s="48">
        <f>IF(COUNTIFS($C:$C,$C405,$D:$D,$D405,$E:$E,"P0(전)",$M:$M,"&gt;0")&lt;&gt;1,"",SUMIFS($I:$I,$C:$C,$C405,$D:$D,$D405,$E:$E,"P0(전)"))</f>
        <v/>
      </c>
      <c r="P405" s="31">
        <f>IF(COUNTIFS($C:$C,$C405,$D:$D,$D405,$E:$E,"P0(전)",$M:$M,"&gt;0")&lt;&gt;1,"",SUMIFS($M:$M,$C:$C,$C405,$D:$D,$D405,$E:$E,"P0(전)"))</f>
        <v/>
      </c>
      <c r="Q405" s="48">
        <f>IF(COUNTIFS($C:$C,$C405,$D:$D,$D405,$E:$E,"P0(후)",$M:$M,"&gt;0")&lt;&gt;1,"",SUMIFS($I:$I,$C:$C,$C405,$D:$D,$D405,$E:$E,"P0(후)"))</f>
        <v/>
      </c>
      <c r="R405" s="31">
        <f>IF(COUNTIFS($C:$C,$C405,$D:$D,$D405,$E:$E,"P0(후)",$M:$M,"&gt;0")&lt;&gt;1,"",SUMIFS($M:$M,$C:$C,$C405,$D:$D,$D405,$E:$E,"P0(후)"))</f>
        <v/>
      </c>
      <c r="S405" s="31">
        <f>IF(N405&lt;&gt;"OK","",P405+(R405-P405)*(I405-O405)/(Q405-O405))</f>
        <v/>
      </c>
      <c r="T405" s="31">
        <f>IF(OR(N405&lt;&gt;"OK",NOT(ISNUMBER(M405))),"",M405-S405)</f>
        <v/>
      </c>
      <c r="U405" s="49">
        <f>IF(OR(NOT(ISNUMBER(T405)),IF(ISNUMBER(H405),H405,G405)=0),"",T405/IF(ISNUMBER(H405),H405,G405))</f>
        <v/>
      </c>
      <c r="V405" s="49">
        <f>IF(ISNUMBER(U405),ABS(U405),"")</f>
        <v/>
      </c>
      <c r="W405" s="49">
        <f>IF(OR($E404&lt;&gt;"측정",$C404&lt;&gt;$C405,$D404&lt;&gt;$D405,NOT(ISNUMBER(M405)),NOT(ISNUMBER(M404)),(IF(ISNUMBER(H405),H405,G405)-IF(ISNUMBER(H404),H404,G404))=0),"",(M405-M404)/(IF(ISNUMBER(H405),H405,G405)-IF(ISNUMBER(H404),H404,G404)))</f>
        <v/>
      </c>
      <c r="X405" s="31">
        <f>IF(NOT(AND(ISNUMBER(O405),ISNUMBER(Q405))),"",(Q405-O405)*1440)</f>
        <v/>
      </c>
      <c r="Y405" s="29" t="n"/>
      <c r="Z405" s="29" t="n"/>
      <c r="AA405" s="29" t="n"/>
      <c r="AB405" s="32" t="n"/>
      <c r="AC405" s="32" t="n"/>
    </row>
    <row r="406">
      <c r="A406" s="26" t="inlineStr">
        <is>
          <t>S08</t>
        </is>
      </c>
      <c r="B406" s="26" t="inlineStr">
        <is>
          <t>청일 신규점2</t>
        </is>
      </c>
      <c r="C406" s="26" t="inlineStr">
        <is>
          <t>S08-H남</t>
        </is>
      </c>
      <c r="D406" s="47" t="n">
        <v>1</v>
      </c>
      <c r="E406" s="26" t="inlineStr">
        <is>
          <t>측정</t>
        </is>
      </c>
      <c r="F406" s="26" t="inlineStr">
        <is>
          <t>남</t>
        </is>
      </c>
      <c r="G406" s="31" t="n">
        <v>9</v>
      </c>
      <c r="H406" s="30" t="n"/>
      <c r="I406" s="43" t="n"/>
      <c r="J406" s="41" t="n"/>
      <c r="K406" s="41" t="n"/>
      <c r="L406" s="41" t="n"/>
      <c r="M406" s="31">
        <f>IF(COUNT(J406:L406)=0,"",MEDIAN(J406:L406))</f>
        <v/>
      </c>
      <c r="N406" s="26">
        <f>IF(COUNTIFS($C:$C,$C406,$D:$D,$D406,$E:$E,"P0(전)",$M:$M,"&gt;0")&lt;&gt;1,"P0(전) 유효 1개 아님",IF(COUNTIFS($C:$C,$C406,$D:$D,$D406,$E:$E,"P0(후)",$M:$M,"&gt;0")&lt;&gt;1,"P0(후) 유효 1개 아님",IF(NOT(AND(ISNUMBER(O406),ISNUMBER(Q406),ISNUMBER(I406))),"시각 결측",IF(Q406&lt;=O406,"P0 시각 역전",IF(OR(I406&lt;O406,I406&gt;Q406),"측정시각 구간 밖","OK")))))</f>
        <v/>
      </c>
      <c r="O406" s="48">
        <f>IF(COUNTIFS($C:$C,$C406,$D:$D,$D406,$E:$E,"P0(전)",$M:$M,"&gt;0")&lt;&gt;1,"",SUMIFS($I:$I,$C:$C,$C406,$D:$D,$D406,$E:$E,"P0(전)"))</f>
        <v/>
      </c>
      <c r="P406" s="31">
        <f>IF(COUNTIFS($C:$C,$C406,$D:$D,$D406,$E:$E,"P0(전)",$M:$M,"&gt;0")&lt;&gt;1,"",SUMIFS($M:$M,$C:$C,$C406,$D:$D,$D406,$E:$E,"P0(전)"))</f>
        <v/>
      </c>
      <c r="Q406" s="48">
        <f>IF(COUNTIFS($C:$C,$C406,$D:$D,$D406,$E:$E,"P0(후)",$M:$M,"&gt;0")&lt;&gt;1,"",SUMIFS($I:$I,$C:$C,$C406,$D:$D,$D406,$E:$E,"P0(후)"))</f>
        <v/>
      </c>
      <c r="R406" s="31">
        <f>IF(COUNTIFS($C:$C,$C406,$D:$D,$D406,$E:$E,"P0(후)",$M:$M,"&gt;0")&lt;&gt;1,"",SUMIFS($M:$M,$C:$C,$C406,$D:$D,$D406,$E:$E,"P0(후)"))</f>
        <v/>
      </c>
      <c r="S406" s="31">
        <f>IF(N406&lt;&gt;"OK","",P406+(R406-P406)*(I406-O406)/(Q406-O406))</f>
        <v/>
      </c>
      <c r="T406" s="31">
        <f>IF(OR(N406&lt;&gt;"OK",NOT(ISNUMBER(M406))),"",M406-S406)</f>
        <v/>
      </c>
      <c r="U406" s="49">
        <f>IF(OR(NOT(ISNUMBER(T406)),IF(ISNUMBER(H406),H406,G406)=0),"",T406/IF(ISNUMBER(H406),H406,G406))</f>
        <v/>
      </c>
      <c r="V406" s="49">
        <f>IF(ISNUMBER(U406),ABS(U406),"")</f>
        <v/>
      </c>
      <c r="W406" s="49">
        <f>IF(OR($E405&lt;&gt;"측정",$C405&lt;&gt;$C406,$D405&lt;&gt;$D406,NOT(ISNUMBER(M406)),NOT(ISNUMBER(M405)),(IF(ISNUMBER(H406),H406,G406)-IF(ISNUMBER(H405),H405,G405))=0),"",(M406-M405)/(IF(ISNUMBER(H406),H406,G406)-IF(ISNUMBER(H405),H405,G405)))</f>
        <v/>
      </c>
      <c r="X406" s="31">
        <f>IF(NOT(AND(ISNUMBER(O406),ISNUMBER(Q406))),"",(Q406-O406)*1440)</f>
        <v/>
      </c>
      <c r="Y406" s="29" t="n"/>
      <c r="Z406" s="29" t="n"/>
      <c r="AA406" s="29" t="n"/>
      <c r="AB406" s="32" t="n"/>
      <c r="AC406" s="32" t="n"/>
    </row>
    <row r="407">
      <c r="A407" s="26" t="inlineStr">
        <is>
          <t>S08</t>
        </is>
      </c>
      <c r="B407" s="26" t="inlineStr">
        <is>
          <t>청일 신규점2</t>
        </is>
      </c>
      <c r="C407" s="26" t="inlineStr">
        <is>
          <t>S08-H남</t>
        </is>
      </c>
      <c r="D407" s="47" t="n">
        <v>1</v>
      </c>
      <c r="E407" s="26" t="inlineStr">
        <is>
          <t>측정</t>
        </is>
      </c>
      <c r="F407" s="26" t="inlineStr">
        <is>
          <t>남</t>
        </is>
      </c>
      <c r="G407" s="31" t="n">
        <v>10</v>
      </c>
      <c r="H407" s="30" t="n"/>
      <c r="I407" s="43" t="n"/>
      <c r="J407" s="41" t="n"/>
      <c r="K407" s="41" t="n"/>
      <c r="L407" s="41" t="n"/>
      <c r="M407" s="31">
        <f>IF(COUNT(J407:L407)=0,"",MEDIAN(J407:L407))</f>
        <v/>
      </c>
      <c r="N407" s="26">
        <f>IF(COUNTIFS($C:$C,$C407,$D:$D,$D407,$E:$E,"P0(전)",$M:$M,"&gt;0")&lt;&gt;1,"P0(전) 유효 1개 아님",IF(COUNTIFS($C:$C,$C407,$D:$D,$D407,$E:$E,"P0(후)",$M:$M,"&gt;0")&lt;&gt;1,"P0(후) 유효 1개 아님",IF(NOT(AND(ISNUMBER(O407),ISNUMBER(Q407),ISNUMBER(I407))),"시각 결측",IF(Q407&lt;=O407,"P0 시각 역전",IF(OR(I407&lt;O407,I407&gt;Q407),"측정시각 구간 밖","OK")))))</f>
        <v/>
      </c>
      <c r="O407" s="48">
        <f>IF(COUNTIFS($C:$C,$C407,$D:$D,$D407,$E:$E,"P0(전)",$M:$M,"&gt;0")&lt;&gt;1,"",SUMIFS($I:$I,$C:$C,$C407,$D:$D,$D407,$E:$E,"P0(전)"))</f>
        <v/>
      </c>
      <c r="P407" s="31">
        <f>IF(COUNTIFS($C:$C,$C407,$D:$D,$D407,$E:$E,"P0(전)",$M:$M,"&gt;0")&lt;&gt;1,"",SUMIFS($M:$M,$C:$C,$C407,$D:$D,$D407,$E:$E,"P0(전)"))</f>
        <v/>
      </c>
      <c r="Q407" s="48">
        <f>IF(COUNTIFS($C:$C,$C407,$D:$D,$D407,$E:$E,"P0(후)",$M:$M,"&gt;0")&lt;&gt;1,"",SUMIFS($I:$I,$C:$C,$C407,$D:$D,$D407,$E:$E,"P0(후)"))</f>
        <v/>
      </c>
      <c r="R407" s="31">
        <f>IF(COUNTIFS($C:$C,$C407,$D:$D,$D407,$E:$E,"P0(후)",$M:$M,"&gt;0")&lt;&gt;1,"",SUMIFS($M:$M,$C:$C,$C407,$D:$D,$D407,$E:$E,"P0(후)"))</f>
        <v/>
      </c>
      <c r="S407" s="31">
        <f>IF(N407&lt;&gt;"OK","",P407+(R407-P407)*(I407-O407)/(Q407-O407))</f>
        <v/>
      </c>
      <c r="T407" s="31">
        <f>IF(OR(N407&lt;&gt;"OK",NOT(ISNUMBER(M407))),"",M407-S407)</f>
        <v/>
      </c>
      <c r="U407" s="49">
        <f>IF(OR(NOT(ISNUMBER(T407)),IF(ISNUMBER(H407),H407,G407)=0),"",T407/IF(ISNUMBER(H407),H407,G407))</f>
        <v/>
      </c>
      <c r="V407" s="49">
        <f>IF(ISNUMBER(U407),ABS(U407),"")</f>
        <v/>
      </c>
      <c r="W407" s="49">
        <f>IF(OR($E406&lt;&gt;"측정",$C406&lt;&gt;$C407,$D406&lt;&gt;$D407,NOT(ISNUMBER(M407)),NOT(ISNUMBER(M406)),(IF(ISNUMBER(H407),H407,G407)-IF(ISNUMBER(H406),H406,G406))=0),"",(M407-M406)/(IF(ISNUMBER(H407),H407,G407)-IF(ISNUMBER(H406),H406,G406)))</f>
        <v/>
      </c>
      <c r="X407" s="31">
        <f>IF(NOT(AND(ISNUMBER(O407),ISNUMBER(Q407))),"",(Q407-O407)*1440)</f>
        <v/>
      </c>
      <c r="Y407" s="29" t="n"/>
      <c r="Z407" s="29" t="n"/>
      <c r="AA407" s="29" t="n"/>
      <c r="AB407" s="32" t="n"/>
      <c r="AC407" s="32" t="n"/>
    </row>
    <row r="408">
      <c r="A408" s="44" t="inlineStr">
        <is>
          <t>S08</t>
        </is>
      </c>
      <c r="B408" s="44" t="inlineStr">
        <is>
          <t>청일 신규점2</t>
        </is>
      </c>
      <c r="C408" s="44" t="inlineStr">
        <is>
          <t>S08-H남</t>
        </is>
      </c>
      <c r="D408" s="45" t="n">
        <v>1</v>
      </c>
      <c r="E408" s="44" t="inlineStr">
        <is>
          <t>P0(후)</t>
        </is>
      </c>
      <c r="F408" s="44" t="inlineStr">
        <is>
          <t>남</t>
        </is>
      </c>
      <c r="G408" s="46" t="n"/>
      <c r="H408" s="30" t="n"/>
      <c r="I408" s="43" t="n"/>
      <c r="J408" s="41" t="n"/>
      <c r="K408" s="41" t="n"/>
      <c r="L408" s="41" t="n"/>
      <c r="M408" s="31">
        <f>IF(COUNT(J408:L408)=0,"",MEDIAN(J408:L408))</f>
        <v/>
      </c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38" t="n"/>
      <c r="Y408" s="29" t="n"/>
      <c r="Z408" s="29" t="n"/>
      <c r="AA408" s="29" t="n"/>
      <c r="AB408" s="32" t="n"/>
      <c r="AC408" s="32" t="n"/>
    </row>
    <row r="409">
      <c r="A409" s="44" t="inlineStr">
        <is>
          <t>S08</t>
        </is>
      </c>
      <c r="B409" s="44" t="inlineStr">
        <is>
          <t>청일 신규점2</t>
        </is>
      </c>
      <c r="C409" s="44" t="inlineStr">
        <is>
          <t>S08-H북</t>
        </is>
      </c>
      <c r="D409" s="45" t="n">
        <v>1</v>
      </c>
      <c r="E409" s="44" t="inlineStr">
        <is>
          <t>P0(전)</t>
        </is>
      </c>
      <c r="F409" s="44" t="inlineStr">
        <is>
          <t>북</t>
        </is>
      </c>
      <c r="G409" s="46" t="n"/>
      <c r="H409" s="30" t="n"/>
      <c r="I409" s="43" t="n"/>
      <c r="J409" s="41" t="n"/>
      <c r="K409" s="41" t="n"/>
      <c r="L409" s="41" t="n"/>
      <c r="M409" s="31">
        <f>IF(COUNT(J409:L409)=0,"",MEDIAN(J409:L409))</f>
        <v/>
      </c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  <c r="X409" s="38" t="n"/>
      <c r="Y409" s="29" t="n"/>
      <c r="Z409" s="29" t="n"/>
      <c r="AA409" s="29" t="n"/>
      <c r="AB409" s="32" t="n"/>
      <c r="AC409" s="32" t="n"/>
    </row>
    <row r="410">
      <c r="A410" s="26" t="inlineStr">
        <is>
          <t>S08</t>
        </is>
      </c>
      <c r="B410" s="26" t="inlineStr">
        <is>
          <t>청일 신규점2</t>
        </is>
      </c>
      <c r="C410" s="26" t="inlineStr">
        <is>
          <t>S08-H북</t>
        </is>
      </c>
      <c r="D410" s="47" t="n">
        <v>1</v>
      </c>
      <c r="E410" s="26" t="inlineStr">
        <is>
          <t>측정</t>
        </is>
      </c>
      <c r="F410" s="26" t="inlineStr">
        <is>
          <t>북</t>
        </is>
      </c>
      <c r="G410" s="31" t="n">
        <v>0.5</v>
      </c>
      <c r="H410" s="30" t="n"/>
      <c r="I410" s="43" t="n"/>
      <c r="J410" s="41" t="n"/>
      <c r="K410" s="41" t="n"/>
      <c r="L410" s="41" t="n"/>
      <c r="M410" s="31">
        <f>IF(COUNT(J410:L410)=0,"",MEDIAN(J410:L410))</f>
        <v/>
      </c>
      <c r="N410" s="26">
        <f>IF(COUNTIFS($C:$C,$C410,$D:$D,$D410,$E:$E,"P0(전)",$M:$M,"&gt;0")&lt;&gt;1,"P0(전) 유효 1개 아님",IF(COUNTIFS($C:$C,$C410,$D:$D,$D410,$E:$E,"P0(후)",$M:$M,"&gt;0")&lt;&gt;1,"P0(후) 유효 1개 아님",IF(NOT(AND(ISNUMBER(O410),ISNUMBER(Q410),ISNUMBER(I410))),"시각 결측",IF(Q410&lt;=O410,"P0 시각 역전",IF(OR(I410&lt;O410,I410&gt;Q410),"측정시각 구간 밖","OK")))))</f>
        <v/>
      </c>
      <c r="O410" s="48">
        <f>IF(COUNTIFS($C:$C,$C410,$D:$D,$D410,$E:$E,"P0(전)",$M:$M,"&gt;0")&lt;&gt;1,"",SUMIFS($I:$I,$C:$C,$C410,$D:$D,$D410,$E:$E,"P0(전)"))</f>
        <v/>
      </c>
      <c r="P410" s="31">
        <f>IF(COUNTIFS($C:$C,$C410,$D:$D,$D410,$E:$E,"P0(전)",$M:$M,"&gt;0")&lt;&gt;1,"",SUMIFS($M:$M,$C:$C,$C410,$D:$D,$D410,$E:$E,"P0(전)"))</f>
        <v/>
      </c>
      <c r="Q410" s="48">
        <f>IF(COUNTIFS($C:$C,$C410,$D:$D,$D410,$E:$E,"P0(후)",$M:$M,"&gt;0")&lt;&gt;1,"",SUMIFS($I:$I,$C:$C,$C410,$D:$D,$D410,$E:$E,"P0(후)"))</f>
        <v/>
      </c>
      <c r="R410" s="31">
        <f>IF(COUNTIFS($C:$C,$C410,$D:$D,$D410,$E:$E,"P0(후)",$M:$M,"&gt;0")&lt;&gt;1,"",SUMIFS($M:$M,$C:$C,$C410,$D:$D,$D410,$E:$E,"P0(후)"))</f>
        <v/>
      </c>
      <c r="S410" s="31">
        <f>IF(N410&lt;&gt;"OK","",P410+(R410-P410)*(I410-O410)/(Q410-O410))</f>
        <v/>
      </c>
      <c r="T410" s="31">
        <f>IF(OR(N410&lt;&gt;"OK",NOT(ISNUMBER(M410))),"",M410-S410)</f>
        <v/>
      </c>
      <c r="U410" s="49">
        <f>IF(OR(NOT(ISNUMBER(T410)),IF(ISNUMBER(H410),H410,G410)=0),"",T410/IF(ISNUMBER(H410),H410,G410))</f>
        <v/>
      </c>
      <c r="V410" s="49">
        <f>IF(ISNUMBER(U410),ABS(U410),"")</f>
        <v/>
      </c>
      <c r="W410" s="49">
        <f>IF(OR($E409&lt;&gt;"측정",$C409&lt;&gt;$C410,$D409&lt;&gt;$D410,NOT(ISNUMBER(M410)),NOT(ISNUMBER(M409)),(IF(ISNUMBER(H410),H410,G410)-IF(ISNUMBER(H409),H409,G409))=0),"",(M410-M409)/(IF(ISNUMBER(H410),H410,G410)-IF(ISNUMBER(H409),H409,G409)))</f>
        <v/>
      </c>
      <c r="X410" s="31">
        <f>IF(NOT(AND(ISNUMBER(O410),ISNUMBER(Q410))),"",(Q410-O410)*1440)</f>
        <v/>
      </c>
      <c r="Y410" s="29" t="n"/>
      <c r="Z410" s="29" t="n"/>
      <c r="AA410" s="29" t="n"/>
      <c r="AB410" s="32" t="n"/>
      <c r="AC410" s="32" t="n"/>
    </row>
    <row r="411">
      <c r="A411" s="26" t="inlineStr">
        <is>
          <t>S08</t>
        </is>
      </c>
      <c r="B411" s="26" t="inlineStr">
        <is>
          <t>청일 신규점2</t>
        </is>
      </c>
      <c r="C411" s="26" t="inlineStr">
        <is>
          <t>S08-H북</t>
        </is>
      </c>
      <c r="D411" s="47" t="n">
        <v>1</v>
      </c>
      <c r="E411" s="26" t="inlineStr">
        <is>
          <t>측정</t>
        </is>
      </c>
      <c r="F411" s="26" t="inlineStr">
        <is>
          <t>북</t>
        </is>
      </c>
      <c r="G411" s="31" t="n">
        <v>1</v>
      </c>
      <c r="H411" s="30" t="n"/>
      <c r="I411" s="43" t="n"/>
      <c r="J411" s="41" t="n"/>
      <c r="K411" s="41" t="n"/>
      <c r="L411" s="41" t="n"/>
      <c r="M411" s="31">
        <f>IF(COUNT(J411:L411)=0,"",MEDIAN(J411:L411))</f>
        <v/>
      </c>
      <c r="N411" s="26">
        <f>IF(COUNTIFS($C:$C,$C411,$D:$D,$D411,$E:$E,"P0(전)",$M:$M,"&gt;0")&lt;&gt;1,"P0(전) 유효 1개 아님",IF(COUNTIFS($C:$C,$C411,$D:$D,$D411,$E:$E,"P0(후)",$M:$M,"&gt;0")&lt;&gt;1,"P0(후) 유효 1개 아님",IF(NOT(AND(ISNUMBER(O411),ISNUMBER(Q411),ISNUMBER(I411))),"시각 결측",IF(Q411&lt;=O411,"P0 시각 역전",IF(OR(I411&lt;O411,I411&gt;Q411),"측정시각 구간 밖","OK")))))</f>
        <v/>
      </c>
      <c r="O411" s="48">
        <f>IF(COUNTIFS($C:$C,$C411,$D:$D,$D411,$E:$E,"P0(전)",$M:$M,"&gt;0")&lt;&gt;1,"",SUMIFS($I:$I,$C:$C,$C411,$D:$D,$D411,$E:$E,"P0(전)"))</f>
        <v/>
      </c>
      <c r="P411" s="31">
        <f>IF(COUNTIFS($C:$C,$C411,$D:$D,$D411,$E:$E,"P0(전)",$M:$M,"&gt;0")&lt;&gt;1,"",SUMIFS($M:$M,$C:$C,$C411,$D:$D,$D411,$E:$E,"P0(전)"))</f>
        <v/>
      </c>
      <c r="Q411" s="48">
        <f>IF(COUNTIFS($C:$C,$C411,$D:$D,$D411,$E:$E,"P0(후)",$M:$M,"&gt;0")&lt;&gt;1,"",SUMIFS($I:$I,$C:$C,$C411,$D:$D,$D411,$E:$E,"P0(후)"))</f>
        <v/>
      </c>
      <c r="R411" s="31">
        <f>IF(COUNTIFS($C:$C,$C411,$D:$D,$D411,$E:$E,"P0(후)",$M:$M,"&gt;0")&lt;&gt;1,"",SUMIFS($M:$M,$C:$C,$C411,$D:$D,$D411,$E:$E,"P0(후)"))</f>
        <v/>
      </c>
      <c r="S411" s="31">
        <f>IF(N411&lt;&gt;"OK","",P411+(R411-P411)*(I411-O411)/(Q411-O411))</f>
        <v/>
      </c>
      <c r="T411" s="31">
        <f>IF(OR(N411&lt;&gt;"OK",NOT(ISNUMBER(M411))),"",M411-S411)</f>
        <v/>
      </c>
      <c r="U411" s="49">
        <f>IF(OR(NOT(ISNUMBER(T411)),IF(ISNUMBER(H411),H411,G411)=0),"",T411/IF(ISNUMBER(H411),H411,G411))</f>
        <v/>
      </c>
      <c r="V411" s="49">
        <f>IF(ISNUMBER(U411),ABS(U411),"")</f>
        <v/>
      </c>
      <c r="W411" s="49">
        <f>IF(OR($E410&lt;&gt;"측정",$C410&lt;&gt;$C411,$D410&lt;&gt;$D411,NOT(ISNUMBER(M411)),NOT(ISNUMBER(M410)),(IF(ISNUMBER(H411),H411,G411)-IF(ISNUMBER(H410),H410,G410))=0),"",(M411-M410)/(IF(ISNUMBER(H411),H411,G411)-IF(ISNUMBER(H410),H410,G410)))</f>
        <v/>
      </c>
      <c r="X411" s="31">
        <f>IF(NOT(AND(ISNUMBER(O411),ISNUMBER(Q411))),"",(Q411-O411)*1440)</f>
        <v/>
      </c>
      <c r="Y411" s="29" t="n"/>
      <c r="Z411" s="29" t="n"/>
      <c r="AA411" s="29" t="n"/>
      <c r="AB411" s="32" t="n"/>
      <c r="AC411" s="32" t="n"/>
    </row>
    <row r="412">
      <c r="A412" s="26" t="inlineStr">
        <is>
          <t>S08</t>
        </is>
      </c>
      <c r="B412" s="26" t="inlineStr">
        <is>
          <t>청일 신규점2</t>
        </is>
      </c>
      <c r="C412" s="26" t="inlineStr">
        <is>
          <t>S08-H북</t>
        </is>
      </c>
      <c r="D412" s="47" t="n">
        <v>1</v>
      </c>
      <c r="E412" s="26" t="inlineStr">
        <is>
          <t>측정</t>
        </is>
      </c>
      <c r="F412" s="26" t="inlineStr">
        <is>
          <t>북</t>
        </is>
      </c>
      <c r="G412" s="31" t="n">
        <v>2</v>
      </c>
      <c r="H412" s="30" t="n"/>
      <c r="I412" s="43" t="n"/>
      <c r="J412" s="41" t="n"/>
      <c r="K412" s="41" t="n"/>
      <c r="L412" s="41" t="n"/>
      <c r="M412" s="31">
        <f>IF(COUNT(J412:L412)=0,"",MEDIAN(J412:L412))</f>
        <v/>
      </c>
      <c r="N412" s="26">
        <f>IF(COUNTIFS($C:$C,$C412,$D:$D,$D412,$E:$E,"P0(전)",$M:$M,"&gt;0")&lt;&gt;1,"P0(전) 유효 1개 아님",IF(COUNTIFS($C:$C,$C412,$D:$D,$D412,$E:$E,"P0(후)",$M:$M,"&gt;0")&lt;&gt;1,"P0(후) 유효 1개 아님",IF(NOT(AND(ISNUMBER(O412),ISNUMBER(Q412),ISNUMBER(I412))),"시각 결측",IF(Q412&lt;=O412,"P0 시각 역전",IF(OR(I412&lt;O412,I412&gt;Q412),"측정시각 구간 밖","OK")))))</f>
        <v/>
      </c>
      <c r="O412" s="48">
        <f>IF(COUNTIFS($C:$C,$C412,$D:$D,$D412,$E:$E,"P0(전)",$M:$M,"&gt;0")&lt;&gt;1,"",SUMIFS($I:$I,$C:$C,$C412,$D:$D,$D412,$E:$E,"P0(전)"))</f>
        <v/>
      </c>
      <c r="P412" s="31">
        <f>IF(COUNTIFS($C:$C,$C412,$D:$D,$D412,$E:$E,"P0(전)",$M:$M,"&gt;0")&lt;&gt;1,"",SUMIFS($M:$M,$C:$C,$C412,$D:$D,$D412,$E:$E,"P0(전)"))</f>
        <v/>
      </c>
      <c r="Q412" s="48">
        <f>IF(COUNTIFS($C:$C,$C412,$D:$D,$D412,$E:$E,"P0(후)",$M:$M,"&gt;0")&lt;&gt;1,"",SUMIFS($I:$I,$C:$C,$C412,$D:$D,$D412,$E:$E,"P0(후)"))</f>
        <v/>
      </c>
      <c r="R412" s="31">
        <f>IF(COUNTIFS($C:$C,$C412,$D:$D,$D412,$E:$E,"P0(후)",$M:$M,"&gt;0")&lt;&gt;1,"",SUMIFS($M:$M,$C:$C,$C412,$D:$D,$D412,$E:$E,"P0(후)"))</f>
        <v/>
      </c>
      <c r="S412" s="31">
        <f>IF(N412&lt;&gt;"OK","",P412+(R412-P412)*(I412-O412)/(Q412-O412))</f>
        <v/>
      </c>
      <c r="T412" s="31">
        <f>IF(OR(N412&lt;&gt;"OK",NOT(ISNUMBER(M412))),"",M412-S412)</f>
        <v/>
      </c>
      <c r="U412" s="49">
        <f>IF(OR(NOT(ISNUMBER(T412)),IF(ISNUMBER(H412),H412,G412)=0),"",T412/IF(ISNUMBER(H412),H412,G412))</f>
        <v/>
      </c>
      <c r="V412" s="49">
        <f>IF(ISNUMBER(U412),ABS(U412),"")</f>
        <v/>
      </c>
      <c r="W412" s="49">
        <f>IF(OR($E411&lt;&gt;"측정",$C411&lt;&gt;$C412,$D411&lt;&gt;$D412,NOT(ISNUMBER(M412)),NOT(ISNUMBER(M411)),(IF(ISNUMBER(H412),H412,G412)-IF(ISNUMBER(H411),H411,G411))=0),"",(M412-M411)/(IF(ISNUMBER(H412),H412,G412)-IF(ISNUMBER(H411),H411,G411)))</f>
        <v/>
      </c>
      <c r="X412" s="31">
        <f>IF(NOT(AND(ISNUMBER(O412),ISNUMBER(Q412))),"",(Q412-O412)*1440)</f>
        <v/>
      </c>
      <c r="Y412" s="29" t="n"/>
      <c r="Z412" s="29" t="n"/>
      <c r="AA412" s="29" t="n"/>
      <c r="AB412" s="32" t="n"/>
      <c r="AC412" s="32" t="n"/>
    </row>
    <row r="413">
      <c r="A413" s="26" t="inlineStr">
        <is>
          <t>S08</t>
        </is>
      </c>
      <c r="B413" s="26" t="inlineStr">
        <is>
          <t>청일 신규점2</t>
        </is>
      </c>
      <c r="C413" s="26" t="inlineStr">
        <is>
          <t>S08-H북</t>
        </is>
      </c>
      <c r="D413" s="47" t="n">
        <v>1</v>
      </c>
      <c r="E413" s="26" t="inlineStr">
        <is>
          <t>측정</t>
        </is>
      </c>
      <c r="F413" s="26" t="inlineStr">
        <is>
          <t>북</t>
        </is>
      </c>
      <c r="G413" s="31" t="n">
        <v>3</v>
      </c>
      <c r="H413" s="30" t="n"/>
      <c r="I413" s="43" t="n"/>
      <c r="J413" s="41" t="n"/>
      <c r="K413" s="41" t="n"/>
      <c r="L413" s="41" t="n"/>
      <c r="M413" s="31">
        <f>IF(COUNT(J413:L413)=0,"",MEDIAN(J413:L413))</f>
        <v/>
      </c>
      <c r="N413" s="26">
        <f>IF(COUNTIFS($C:$C,$C413,$D:$D,$D413,$E:$E,"P0(전)",$M:$M,"&gt;0")&lt;&gt;1,"P0(전) 유효 1개 아님",IF(COUNTIFS($C:$C,$C413,$D:$D,$D413,$E:$E,"P0(후)",$M:$M,"&gt;0")&lt;&gt;1,"P0(후) 유효 1개 아님",IF(NOT(AND(ISNUMBER(O413),ISNUMBER(Q413),ISNUMBER(I413))),"시각 결측",IF(Q413&lt;=O413,"P0 시각 역전",IF(OR(I413&lt;O413,I413&gt;Q413),"측정시각 구간 밖","OK")))))</f>
        <v/>
      </c>
      <c r="O413" s="48">
        <f>IF(COUNTIFS($C:$C,$C413,$D:$D,$D413,$E:$E,"P0(전)",$M:$M,"&gt;0")&lt;&gt;1,"",SUMIFS($I:$I,$C:$C,$C413,$D:$D,$D413,$E:$E,"P0(전)"))</f>
        <v/>
      </c>
      <c r="P413" s="31">
        <f>IF(COUNTIFS($C:$C,$C413,$D:$D,$D413,$E:$E,"P0(전)",$M:$M,"&gt;0")&lt;&gt;1,"",SUMIFS($M:$M,$C:$C,$C413,$D:$D,$D413,$E:$E,"P0(전)"))</f>
        <v/>
      </c>
      <c r="Q413" s="48">
        <f>IF(COUNTIFS($C:$C,$C413,$D:$D,$D413,$E:$E,"P0(후)",$M:$M,"&gt;0")&lt;&gt;1,"",SUMIFS($I:$I,$C:$C,$C413,$D:$D,$D413,$E:$E,"P0(후)"))</f>
        <v/>
      </c>
      <c r="R413" s="31">
        <f>IF(COUNTIFS($C:$C,$C413,$D:$D,$D413,$E:$E,"P0(후)",$M:$M,"&gt;0")&lt;&gt;1,"",SUMIFS($M:$M,$C:$C,$C413,$D:$D,$D413,$E:$E,"P0(후)"))</f>
        <v/>
      </c>
      <c r="S413" s="31">
        <f>IF(N413&lt;&gt;"OK","",P413+(R413-P413)*(I413-O413)/(Q413-O413))</f>
        <v/>
      </c>
      <c r="T413" s="31">
        <f>IF(OR(N413&lt;&gt;"OK",NOT(ISNUMBER(M413))),"",M413-S413)</f>
        <v/>
      </c>
      <c r="U413" s="49">
        <f>IF(OR(NOT(ISNUMBER(T413)),IF(ISNUMBER(H413),H413,G413)=0),"",T413/IF(ISNUMBER(H413),H413,G413))</f>
        <v/>
      </c>
      <c r="V413" s="49">
        <f>IF(ISNUMBER(U413),ABS(U413),"")</f>
        <v/>
      </c>
      <c r="W413" s="49">
        <f>IF(OR($E412&lt;&gt;"측정",$C412&lt;&gt;$C413,$D412&lt;&gt;$D413,NOT(ISNUMBER(M413)),NOT(ISNUMBER(M412)),(IF(ISNUMBER(H413),H413,G413)-IF(ISNUMBER(H412),H412,G412))=0),"",(M413-M412)/(IF(ISNUMBER(H413),H413,G413)-IF(ISNUMBER(H412),H412,G412)))</f>
        <v/>
      </c>
      <c r="X413" s="31">
        <f>IF(NOT(AND(ISNUMBER(O413),ISNUMBER(Q413))),"",(Q413-O413)*1440)</f>
        <v/>
      </c>
      <c r="Y413" s="29" t="n"/>
      <c r="Z413" s="29" t="n"/>
      <c r="AA413" s="29" t="n"/>
      <c r="AB413" s="32" t="n"/>
      <c r="AC413" s="32" t="n"/>
    </row>
    <row r="414">
      <c r="A414" s="26" t="inlineStr">
        <is>
          <t>S08</t>
        </is>
      </c>
      <c r="B414" s="26" t="inlineStr">
        <is>
          <t>청일 신규점2</t>
        </is>
      </c>
      <c r="C414" s="26" t="inlineStr">
        <is>
          <t>S08-H북</t>
        </is>
      </c>
      <c r="D414" s="47" t="n">
        <v>1</v>
      </c>
      <c r="E414" s="26" t="inlineStr">
        <is>
          <t>측정</t>
        </is>
      </c>
      <c r="F414" s="26" t="inlineStr">
        <is>
          <t>북</t>
        </is>
      </c>
      <c r="G414" s="31" t="n">
        <v>4</v>
      </c>
      <c r="H414" s="30" t="n"/>
      <c r="I414" s="43" t="n"/>
      <c r="J414" s="41" t="n"/>
      <c r="K414" s="41" t="n"/>
      <c r="L414" s="41" t="n"/>
      <c r="M414" s="31">
        <f>IF(COUNT(J414:L414)=0,"",MEDIAN(J414:L414))</f>
        <v/>
      </c>
      <c r="N414" s="26">
        <f>IF(COUNTIFS($C:$C,$C414,$D:$D,$D414,$E:$E,"P0(전)",$M:$M,"&gt;0")&lt;&gt;1,"P0(전) 유효 1개 아님",IF(COUNTIFS($C:$C,$C414,$D:$D,$D414,$E:$E,"P0(후)",$M:$M,"&gt;0")&lt;&gt;1,"P0(후) 유효 1개 아님",IF(NOT(AND(ISNUMBER(O414),ISNUMBER(Q414),ISNUMBER(I414))),"시각 결측",IF(Q414&lt;=O414,"P0 시각 역전",IF(OR(I414&lt;O414,I414&gt;Q414),"측정시각 구간 밖","OK")))))</f>
        <v/>
      </c>
      <c r="O414" s="48">
        <f>IF(COUNTIFS($C:$C,$C414,$D:$D,$D414,$E:$E,"P0(전)",$M:$M,"&gt;0")&lt;&gt;1,"",SUMIFS($I:$I,$C:$C,$C414,$D:$D,$D414,$E:$E,"P0(전)"))</f>
        <v/>
      </c>
      <c r="P414" s="31">
        <f>IF(COUNTIFS($C:$C,$C414,$D:$D,$D414,$E:$E,"P0(전)",$M:$M,"&gt;0")&lt;&gt;1,"",SUMIFS($M:$M,$C:$C,$C414,$D:$D,$D414,$E:$E,"P0(전)"))</f>
        <v/>
      </c>
      <c r="Q414" s="48">
        <f>IF(COUNTIFS($C:$C,$C414,$D:$D,$D414,$E:$E,"P0(후)",$M:$M,"&gt;0")&lt;&gt;1,"",SUMIFS($I:$I,$C:$C,$C414,$D:$D,$D414,$E:$E,"P0(후)"))</f>
        <v/>
      </c>
      <c r="R414" s="31">
        <f>IF(COUNTIFS($C:$C,$C414,$D:$D,$D414,$E:$E,"P0(후)",$M:$M,"&gt;0")&lt;&gt;1,"",SUMIFS($M:$M,$C:$C,$C414,$D:$D,$D414,$E:$E,"P0(후)"))</f>
        <v/>
      </c>
      <c r="S414" s="31">
        <f>IF(N414&lt;&gt;"OK","",P414+(R414-P414)*(I414-O414)/(Q414-O414))</f>
        <v/>
      </c>
      <c r="T414" s="31">
        <f>IF(OR(N414&lt;&gt;"OK",NOT(ISNUMBER(M414))),"",M414-S414)</f>
        <v/>
      </c>
      <c r="U414" s="49">
        <f>IF(OR(NOT(ISNUMBER(T414)),IF(ISNUMBER(H414),H414,G414)=0),"",T414/IF(ISNUMBER(H414),H414,G414))</f>
        <v/>
      </c>
      <c r="V414" s="49">
        <f>IF(ISNUMBER(U414),ABS(U414),"")</f>
        <v/>
      </c>
      <c r="W414" s="49">
        <f>IF(OR($E413&lt;&gt;"측정",$C413&lt;&gt;$C414,$D413&lt;&gt;$D414,NOT(ISNUMBER(M414)),NOT(ISNUMBER(M413)),(IF(ISNUMBER(H414),H414,G414)-IF(ISNUMBER(H413),H413,G413))=0),"",(M414-M413)/(IF(ISNUMBER(H414),H414,G414)-IF(ISNUMBER(H413),H413,G413)))</f>
        <v/>
      </c>
      <c r="X414" s="31">
        <f>IF(NOT(AND(ISNUMBER(O414),ISNUMBER(Q414))),"",(Q414-O414)*1440)</f>
        <v/>
      </c>
      <c r="Y414" s="29" t="n"/>
      <c r="Z414" s="29" t="n"/>
      <c r="AA414" s="29" t="n"/>
      <c r="AB414" s="32" t="n"/>
      <c r="AC414" s="32" t="n"/>
    </row>
    <row r="415">
      <c r="A415" s="26" t="inlineStr">
        <is>
          <t>S08</t>
        </is>
      </c>
      <c r="B415" s="26" t="inlineStr">
        <is>
          <t>청일 신규점2</t>
        </is>
      </c>
      <c r="C415" s="26" t="inlineStr">
        <is>
          <t>S08-H북</t>
        </is>
      </c>
      <c r="D415" s="47" t="n">
        <v>1</v>
      </c>
      <c r="E415" s="26" t="inlineStr">
        <is>
          <t>측정</t>
        </is>
      </c>
      <c r="F415" s="26" t="inlineStr">
        <is>
          <t>북</t>
        </is>
      </c>
      <c r="G415" s="31" t="n">
        <v>5</v>
      </c>
      <c r="H415" s="30" t="n"/>
      <c r="I415" s="43" t="n"/>
      <c r="J415" s="41" t="n"/>
      <c r="K415" s="41" t="n"/>
      <c r="L415" s="41" t="n"/>
      <c r="M415" s="31">
        <f>IF(COUNT(J415:L415)=0,"",MEDIAN(J415:L415))</f>
        <v/>
      </c>
      <c r="N415" s="26">
        <f>IF(COUNTIFS($C:$C,$C415,$D:$D,$D415,$E:$E,"P0(전)",$M:$M,"&gt;0")&lt;&gt;1,"P0(전) 유효 1개 아님",IF(COUNTIFS($C:$C,$C415,$D:$D,$D415,$E:$E,"P0(후)",$M:$M,"&gt;0")&lt;&gt;1,"P0(후) 유효 1개 아님",IF(NOT(AND(ISNUMBER(O415),ISNUMBER(Q415),ISNUMBER(I415))),"시각 결측",IF(Q415&lt;=O415,"P0 시각 역전",IF(OR(I415&lt;O415,I415&gt;Q415),"측정시각 구간 밖","OK")))))</f>
        <v/>
      </c>
      <c r="O415" s="48">
        <f>IF(COUNTIFS($C:$C,$C415,$D:$D,$D415,$E:$E,"P0(전)",$M:$M,"&gt;0")&lt;&gt;1,"",SUMIFS($I:$I,$C:$C,$C415,$D:$D,$D415,$E:$E,"P0(전)"))</f>
        <v/>
      </c>
      <c r="P415" s="31">
        <f>IF(COUNTIFS($C:$C,$C415,$D:$D,$D415,$E:$E,"P0(전)",$M:$M,"&gt;0")&lt;&gt;1,"",SUMIFS($M:$M,$C:$C,$C415,$D:$D,$D415,$E:$E,"P0(전)"))</f>
        <v/>
      </c>
      <c r="Q415" s="48">
        <f>IF(COUNTIFS($C:$C,$C415,$D:$D,$D415,$E:$E,"P0(후)",$M:$M,"&gt;0")&lt;&gt;1,"",SUMIFS($I:$I,$C:$C,$C415,$D:$D,$D415,$E:$E,"P0(후)"))</f>
        <v/>
      </c>
      <c r="R415" s="31">
        <f>IF(COUNTIFS($C:$C,$C415,$D:$D,$D415,$E:$E,"P0(후)",$M:$M,"&gt;0")&lt;&gt;1,"",SUMIFS($M:$M,$C:$C,$C415,$D:$D,$D415,$E:$E,"P0(후)"))</f>
        <v/>
      </c>
      <c r="S415" s="31">
        <f>IF(N415&lt;&gt;"OK","",P415+(R415-P415)*(I415-O415)/(Q415-O415))</f>
        <v/>
      </c>
      <c r="T415" s="31">
        <f>IF(OR(N415&lt;&gt;"OK",NOT(ISNUMBER(M415))),"",M415-S415)</f>
        <v/>
      </c>
      <c r="U415" s="49">
        <f>IF(OR(NOT(ISNUMBER(T415)),IF(ISNUMBER(H415),H415,G415)=0),"",T415/IF(ISNUMBER(H415),H415,G415))</f>
        <v/>
      </c>
      <c r="V415" s="49">
        <f>IF(ISNUMBER(U415),ABS(U415),"")</f>
        <v/>
      </c>
      <c r="W415" s="49">
        <f>IF(OR($E414&lt;&gt;"측정",$C414&lt;&gt;$C415,$D414&lt;&gt;$D415,NOT(ISNUMBER(M415)),NOT(ISNUMBER(M414)),(IF(ISNUMBER(H415),H415,G415)-IF(ISNUMBER(H414),H414,G414))=0),"",(M415-M414)/(IF(ISNUMBER(H415),H415,G415)-IF(ISNUMBER(H414),H414,G414)))</f>
        <v/>
      </c>
      <c r="X415" s="31">
        <f>IF(NOT(AND(ISNUMBER(O415),ISNUMBER(Q415))),"",(Q415-O415)*1440)</f>
        <v/>
      </c>
      <c r="Y415" s="29" t="n"/>
      <c r="Z415" s="29" t="n"/>
      <c r="AA415" s="29" t="n"/>
      <c r="AB415" s="32" t="n"/>
      <c r="AC415" s="32" t="n"/>
    </row>
    <row r="416">
      <c r="A416" s="26" t="inlineStr">
        <is>
          <t>S08</t>
        </is>
      </c>
      <c r="B416" s="26" t="inlineStr">
        <is>
          <t>청일 신규점2</t>
        </is>
      </c>
      <c r="C416" s="26" t="inlineStr">
        <is>
          <t>S08-H북</t>
        </is>
      </c>
      <c r="D416" s="47" t="n">
        <v>1</v>
      </c>
      <c r="E416" s="26" t="inlineStr">
        <is>
          <t>측정</t>
        </is>
      </c>
      <c r="F416" s="26" t="inlineStr">
        <is>
          <t>북</t>
        </is>
      </c>
      <c r="G416" s="31" t="n">
        <v>6</v>
      </c>
      <c r="H416" s="30" t="n"/>
      <c r="I416" s="43" t="n"/>
      <c r="J416" s="41" t="n"/>
      <c r="K416" s="41" t="n"/>
      <c r="L416" s="41" t="n"/>
      <c r="M416" s="31">
        <f>IF(COUNT(J416:L416)=0,"",MEDIAN(J416:L416))</f>
        <v/>
      </c>
      <c r="N416" s="26">
        <f>IF(COUNTIFS($C:$C,$C416,$D:$D,$D416,$E:$E,"P0(전)",$M:$M,"&gt;0")&lt;&gt;1,"P0(전) 유효 1개 아님",IF(COUNTIFS($C:$C,$C416,$D:$D,$D416,$E:$E,"P0(후)",$M:$M,"&gt;0")&lt;&gt;1,"P0(후) 유효 1개 아님",IF(NOT(AND(ISNUMBER(O416),ISNUMBER(Q416),ISNUMBER(I416))),"시각 결측",IF(Q416&lt;=O416,"P0 시각 역전",IF(OR(I416&lt;O416,I416&gt;Q416),"측정시각 구간 밖","OK")))))</f>
        <v/>
      </c>
      <c r="O416" s="48">
        <f>IF(COUNTIFS($C:$C,$C416,$D:$D,$D416,$E:$E,"P0(전)",$M:$M,"&gt;0")&lt;&gt;1,"",SUMIFS($I:$I,$C:$C,$C416,$D:$D,$D416,$E:$E,"P0(전)"))</f>
        <v/>
      </c>
      <c r="P416" s="31">
        <f>IF(COUNTIFS($C:$C,$C416,$D:$D,$D416,$E:$E,"P0(전)",$M:$M,"&gt;0")&lt;&gt;1,"",SUMIFS($M:$M,$C:$C,$C416,$D:$D,$D416,$E:$E,"P0(전)"))</f>
        <v/>
      </c>
      <c r="Q416" s="48">
        <f>IF(COUNTIFS($C:$C,$C416,$D:$D,$D416,$E:$E,"P0(후)",$M:$M,"&gt;0")&lt;&gt;1,"",SUMIFS($I:$I,$C:$C,$C416,$D:$D,$D416,$E:$E,"P0(후)"))</f>
        <v/>
      </c>
      <c r="R416" s="31">
        <f>IF(COUNTIFS($C:$C,$C416,$D:$D,$D416,$E:$E,"P0(후)",$M:$M,"&gt;0")&lt;&gt;1,"",SUMIFS($M:$M,$C:$C,$C416,$D:$D,$D416,$E:$E,"P0(후)"))</f>
        <v/>
      </c>
      <c r="S416" s="31">
        <f>IF(N416&lt;&gt;"OK","",P416+(R416-P416)*(I416-O416)/(Q416-O416))</f>
        <v/>
      </c>
      <c r="T416" s="31">
        <f>IF(OR(N416&lt;&gt;"OK",NOT(ISNUMBER(M416))),"",M416-S416)</f>
        <v/>
      </c>
      <c r="U416" s="49">
        <f>IF(OR(NOT(ISNUMBER(T416)),IF(ISNUMBER(H416),H416,G416)=0),"",T416/IF(ISNUMBER(H416),H416,G416))</f>
        <v/>
      </c>
      <c r="V416" s="49">
        <f>IF(ISNUMBER(U416),ABS(U416),"")</f>
        <v/>
      </c>
      <c r="W416" s="49">
        <f>IF(OR($E415&lt;&gt;"측정",$C415&lt;&gt;$C416,$D415&lt;&gt;$D416,NOT(ISNUMBER(M416)),NOT(ISNUMBER(M415)),(IF(ISNUMBER(H416),H416,G416)-IF(ISNUMBER(H415),H415,G415))=0),"",(M416-M415)/(IF(ISNUMBER(H416),H416,G416)-IF(ISNUMBER(H415),H415,G415)))</f>
        <v/>
      </c>
      <c r="X416" s="31">
        <f>IF(NOT(AND(ISNUMBER(O416),ISNUMBER(Q416))),"",(Q416-O416)*1440)</f>
        <v/>
      </c>
      <c r="Y416" s="29" t="n"/>
      <c r="Z416" s="29" t="n"/>
      <c r="AA416" s="29" t="n"/>
      <c r="AB416" s="32" t="n"/>
      <c r="AC416" s="32" t="n"/>
    </row>
    <row r="417">
      <c r="A417" s="26" t="inlineStr">
        <is>
          <t>S08</t>
        </is>
      </c>
      <c r="B417" s="26" t="inlineStr">
        <is>
          <t>청일 신규점2</t>
        </is>
      </c>
      <c r="C417" s="26" t="inlineStr">
        <is>
          <t>S08-H북</t>
        </is>
      </c>
      <c r="D417" s="47" t="n">
        <v>1</v>
      </c>
      <c r="E417" s="26" t="inlineStr">
        <is>
          <t>측정</t>
        </is>
      </c>
      <c r="F417" s="26" t="inlineStr">
        <is>
          <t>북</t>
        </is>
      </c>
      <c r="G417" s="31" t="n">
        <v>7</v>
      </c>
      <c r="H417" s="30" t="n"/>
      <c r="I417" s="43" t="n"/>
      <c r="J417" s="41" t="n"/>
      <c r="K417" s="41" t="n"/>
      <c r="L417" s="41" t="n"/>
      <c r="M417" s="31">
        <f>IF(COUNT(J417:L417)=0,"",MEDIAN(J417:L417))</f>
        <v/>
      </c>
      <c r="N417" s="26">
        <f>IF(COUNTIFS($C:$C,$C417,$D:$D,$D417,$E:$E,"P0(전)",$M:$M,"&gt;0")&lt;&gt;1,"P0(전) 유효 1개 아님",IF(COUNTIFS($C:$C,$C417,$D:$D,$D417,$E:$E,"P0(후)",$M:$M,"&gt;0")&lt;&gt;1,"P0(후) 유효 1개 아님",IF(NOT(AND(ISNUMBER(O417),ISNUMBER(Q417),ISNUMBER(I417))),"시각 결측",IF(Q417&lt;=O417,"P0 시각 역전",IF(OR(I417&lt;O417,I417&gt;Q417),"측정시각 구간 밖","OK")))))</f>
        <v/>
      </c>
      <c r="O417" s="48">
        <f>IF(COUNTIFS($C:$C,$C417,$D:$D,$D417,$E:$E,"P0(전)",$M:$M,"&gt;0")&lt;&gt;1,"",SUMIFS($I:$I,$C:$C,$C417,$D:$D,$D417,$E:$E,"P0(전)"))</f>
        <v/>
      </c>
      <c r="P417" s="31">
        <f>IF(COUNTIFS($C:$C,$C417,$D:$D,$D417,$E:$E,"P0(전)",$M:$M,"&gt;0")&lt;&gt;1,"",SUMIFS($M:$M,$C:$C,$C417,$D:$D,$D417,$E:$E,"P0(전)"))</f>
        <v/>
      </c>
      <c r="Q417" s="48">
        <f>IF(COUNTIFS($C:$C,$C417,$D:$D,$D417,$E:$E,"P0(후)",$M:$M,"&gt;0")&lt;&gt;1,"",SUMIFS($I:$I,$C:$C,$C417,$D:$D,$D417,$E:$E,"P0(후)"))</f>
        <v/>
      </c>
      <c r="R417" s="31">
        <f>IF(COUNTIFS($C:$C,$C417,$D:$D,$D417,$E:$E,"P0(후)",$M:$M,"&gt;0")&lt;&gt;1,"",SUMIFS($M:$M,$C:$C,$C417,$D:$D,$D417,$E:$E,"P0(후)"))</f>
        <v/>
      </c>
      <c r="S417" s="31">
        <f>IF(N417&lt;&gt;"OK","",P417+(R417-P417)*(I417-O417)/(Q417-O417))</f>
        <v/>
      </c>
      <c r="T417" s="31">
        <f>IF(OR(N417&lt;&gt;"OK",NOT(ISNUMBER(M417))),"",M417-S417)</f>
        <v/>
      </c>
      <c r="U417" s="49">
        <f>IF(OR(NOT(ISNUMBER(T417)),IF(ISNUMBER(H417),H417,G417)=0),"",T417/IF(ISNUMBER(H417),H417,G417))</f>
        <v/>
      </c>
      <c r="V417" s="49">
        <f>IF(ISNUMBER(U417),ABS(U417),"")</f>
        <v/>
      </c>
      <c r="W417" s="49">
        <f>IF(OR($E416&lt;&gt;"측정",$C416&lt;&gt;$C417,$D416&lt;&gt;$D417,NOT(ISNUMBER(M417)),NOT(ISNUMBER(M416)),(IF(ISNUMBER(H417),H417,G417)-IF(ISNUMBER(H416),H416,G416))=0),"",(M417-M416)/(IF(ISNUMBER(H417),H417,G417)-IF(ISNUMBER(H416),H416,G416)))</f>
        <v/>
      </c>
      <c r="X417" s="31">
        <f>IF(NOT(AND(ISNUMBER(O417),ISNUMBER(Q417))),"",(Q417-O417)*1440)</f>
        <v/>
      </c>
      <c r="Y417" s="29" t="n"/>
      <c r="Z417" s="29" t="n"/>
      <c r="AA417" s="29" t="n"/>
      <c r="AB417" s="32" t="n"/>
      <c r="AC417" s="32" t="n"/>
    </row>
    <row r="418">
      <c r="A418" s="26" t="inlineStr">
        <is>
          <t>S08</t>
        </is>
      </c>
      <c r="B418" s="26" t="inlineStr">
        <is>
          <t>청일 신규점2</t>
        </is>
      </c>
      <c r="C418" s="26" t="inlineStr">
        <is>
          <t>S08-H북</t>
        </is>
      </c>
      <c r="D418" s="47" t="n">
        <v>1</v>
      </c>
      <c r="E418" s="26" t="inlineStr">
        <is>
          <t>측정</t>
        </is>
      </c>
      <c r="F418" s="26" t="inlineStr">
        <is>
          <t>북</t>
        </is>
      </c>
      <c r="G418" s="31" t="n">
        <v>8</v>
      </c>
      <c r="H418" s="30" t="n"/>
      <c r="I418" s="43" t="n"/>
      <c r="J418" s="41" t="n"/>
      <c r="K418" s="41" t="n"/>
      <c r="L418" s="41" t="n"/>
      <c r="M418" s="31">
        <f>IF(COUNT(J418:L418)=0,"",MEDIAN(J418:L418))</f>
        <v/>
      </c>
      <c r="N418" s="26">
        <f>IF(COUNTIFS($C:$C,$C418,$D:$D,$D418,$E:$E,"P0(전)",$M:$M,"&gt;0")&lt;&gt;1,"P0(전) 유효 1개 아님",IF(COUNTIFS($C:$C,$C418,$D:$D,$D418,$E:$E,"P0(후)",$M:$M,"&gt;0")&lt;&gt;1,"P0(후) 유효 1개 아님",IF(NOT(AND(ISNUMBER(O418),ISNUMBER(Q418),ISNUMBER(I418))),"시각 결측",IF(Q418&lt;=O418,"P0 시각 역전",IF(OR(I418&lt;O418,I418&gt;Q418),"측정시각 구간 밖","OK")))))</f>
        <v/>
      </c>
      <c r="O418" s="48">
        <f>IF(COUNTIFS($C:$C,$C418,$D:$D,$D418,$E:$E,"P0(전)",$M:$M,"&gt;0")&lt;&gt;1,"",SUMIFS($I:$I,$C:$C,$C418,$D:$D,$D418,$E:$E,"P0(전)"))</f>
        <v/>
      </c>
      <c r="P418" s="31">
        <f>IF(COUNTIFS($C:$C,$C418,$D:$D,$D418,$E:$E,"P0(전)",$M:$M,"&gt;0")&lt;&gt;1,"",SUMIFS($M:$M,$C:$C,$C418,$D:$D,$D418,$E:$E,"P0(전)"))</f>
        <v/>
      </c>
      <c r="Q418" s="48">
        <f>IF(COUNTIFS($C:$C,$C418,$D:$D,$D418,$E:$E,"P0(후)",$M:$M,"&gt;0")&lt;&gt;1,"",SUMIFS($I:$I,$C:$C,$C418,$D:$D,$D418,$E:$E,"P0(후)"))</f>
        <v/>
      </c>
      <c r="R418" s="31">
        <f>IF(COUNTIFS($C:$C,$C418,$D:$D,$D418,$E:$E,"P0(후)",$M:$M,"&gt;0")&lt;&gt;1,"",SUMIFS($M:$M,$C:$C,$C418,$D:$D,$D418,$E:$E,"P0(후)"))</f>
        <v/>
      </c>
      <c r="S418" s="31">
        <f>IF(N418&lt;&gt;"OK","",P418+(R418-P418)*(I418-O418)/(Q418-O418))</f>
        <v/>
      </c>
      <c r="T418" s="31">
        <f>IF(OR(N418&lt;&gt;"OK",NOT(ISNUMBER(M418))),"",M418-S418)</f>
        <v/>
      </c>
      <c r="U418" s="49">
        <f>IF(OR(NOT(ISNUMBER(T418)),IF(ISNUMBER(H418),H418,G418)=0),"",T418/IF(ISNUMBER(H418),H418,G418))</f>
        <v/>
      </c>
      <c r="V418" s="49">
        <f>IF(ISNUMBER(U418),ABS(U418),"")</f>
        <v/>
      </c>
      <c r="W418" s="49">
        <f>IF(OR($E417&lt;&gt;"측정",$C417&lt;&gt;$C418,$D417&lt;&gt;$D418,NOT(ISNUMBER(M418)),NOT(ISNUMBER(M417)),(IF(ISNUMBER(H418),H418,G418)-IF(ISNUMBER(H417),H417,G417))=0),"",(M418-M417)/(IF(ISNUMBER(H418),H418,G418)-IF(ISNUMBER(H417),H417,G417)))</f>
        <v/>
      </c>
      <c r="X418" s="31">
        <f>IF(NOT(AND(ISNUMBER(O418),ISNUMBER(Q418))),"",(Q418-O418)*1440)</f>
        <v/>
      </c>
      <c r="Y418" s="29" t="n"/>
      <c r="Z418" s="29" t="n"/>
      <c r="AA418" s="29" t="n"/>
      <c r="AB418" s="32" t="n"/>
      <c r="AC418" s="32" t="n"/>
    </row>
    <row r="419">
      <c r="A419" s="26" t="inlineStr">
        <is>
          <t>S08</t>
        </is>
      </c>
      <c r="B419" s="26" t="inlineStr">
        <is>
          <t>청일 신규점2</t>
        </is>
      </c>
      <c r="C419" s="26" t="inlineStr">
        <is>
          <t>S08-H북</t>
        </is>
      </c>
      <c r="D419" s="47" t="n">
        <v>1</v>
      </c>
      <c r="E419" s="26" t="inlineStr">
        <is>
          <t>측정</t>
        </is>
      </c>
      <c r="F419" s="26" t="inlineStr">
        <is>
          <t>북</t>
        </is>
      </c>
      <c r="G419" s="31" t="n">
        <v>9</v>
      </c>
      <c r="H419" s="30" t="n"/>
      <c r="I419" s="43" t="n"/>
      <c r="J419" s="41" t="n"/>
      <c r="K419" s="41" t="n"/>
      <c r="L419" s="41" t="n"/>
      <c r="M419" s="31">
        <f>IF(COUNT(J419:L419)=0,"",MEDIAN(J419:L419))</f>
        <v/>
      </c>
      <c r="N419" s="26">
        <f>IF(COUNTIFS($C:$C,$C419,$D:$D,$D419,$E:$E,"P0(전)",$M:$M,"&gt;0")&lt;&gt;1,"P0(전) 유효 1개 아님",IF(COUNTIFS($C:$C,$C419,$D:$D,$D419,$E:$E,"P0(후)",$M:$M,"&gt;0")&lt;&gt;1,"P0(후) 유효 1개 아님",IF(NOT(AND(ISNUMBER(O419),ISNUMBER(Q419),ISNUMBER(I419))),"시각 결측",IF(Q419&lt;=O419,"P0 시각 역전",IF(OR(I419&lt;O419,I419&gt;Q419),"측정시각 구간 밖","OK")))))</f>
        <v/>
      </c>
      <c r="O419" s="48">
        <f>IF(COUNTIFS($C:$C,$C419,$D:$D,$D419,$E:$E,"P0(전)",$M:$M,"&gt;0")&lt;&gt;1,"",SUMIFS($I:$I,$C:$C,$C419,$D:$D,$D419,$E:$E,"P0(전)"))</f>
        <v/>
      </c>
      <c r="P419" s="31">
        <f>IF(COUNTIFS($C:$C,$C419,$D:$D,$D419,$E:$E,"P0(전)",$M:$M,"&gt;0")&lt;&gt;1,"",SUMIFS($M:$M,$C:$C,$C419,$D:$D,$D419,$E:$E,"P0(전)"))</f>
        <v/>
      </c>
      <c r="Q419" s="48">
        <f>IF(COUNTIFS($C:$C,$C419,$D:$D,$D419,$E:$E,"P0(후)",$M:$M,"&gt;0")&lt;&gt;1,"",SUMIFS($I:$I,$C:$C,$C419,$D:$D,$D419,$E:$E,"P0(후)"))</f>
        <v/>
      </c>
      <c r="R419" s="31">
        <f>IF(COUNTIFS($C:$C,$C419,$D:$D,$D419,$E:$E,"P0(후)",$M:$M,"&gt;0")&lt;&gt;1,"",SUMIFS($M:$M,$C:$C,$C419,$D:$D,$D419,$E:$E,"P0(후)"))</f>
        <v/>
      </c>
      <c r="S419" s="31">
        <f>IF(N419&lt;&gt;"OK","",P419+(R419-P419)*(I419-O419)/(Q419-O419))</f>
        <v/>
      </c>
      <c r="T419" s="31">
        <f>IF(OR(N419&lt;&gt;"OK",NOT(ISNUMBER(M419))),"",M419-S419)</f>
        <v/>
      </c>
      <c r="U419" s="49">
        <f>IF(OR(NOT(ISNUMBER(T419)),IF(ISNUMBER(H419),H419,G419)=0),"",T419/IF(ISNUMBER(H419),H419,G419))</f>
        <v/>
      </c>
      <c r="V419" s="49">
        <f>IF(ISNUMBER(U419),ABS(U419),"")</f>
        <v/>
      </c>
      <c r="W419" s="49">
        <f>IF(OR($E418&lt;&gt;"측정",$C418&lt;&gt;$C419,$D418&lt;&gt;$D419,NOT(ISNUMBER(M419)),NOT(ISNUMBER(M418)),(IF(ISNUMBER(H419),H419,G419)-IF(ISNUMBER(H418),H418,G418))=0),"",(M419-M418)/(IF(ISNUMBER(H419),H419,G419)-IF(ISNUMBER(H418),H418,G418)))</f>
        <v/>
      </c>
      <c r="X419" s="31">
        <f>IF(NOT(AND(ISNUMBER(O419),ISNUMBER(Q419))),"",(Q419-O419)*1440)</f>
        <v/>
      </c>
      <c r="Y419" s="29" t="n"/>
      <c r="Z419" s="29" t="n"/>
      <c r="AA419" s="29" t="n"/>
      <c r="AB419" s="32" t="n"/>
      <c r="AC419" s="32" t="n"/>
    </row>
    <row r="420">
      <c r="A420" s="26" t="inlineStr">
        <is>
          <t>S08</t>
        </is>
      </c>
      <c r="B420" s="26" t="inlineStr">
        <is>
          <t>청일 신규점2</t>
        </is>
      </c>
      <c r="C420" s="26" t="inlineStr">
        <is>
          <t>S08-H북</t>
        </is>
      </c>
      <c r="D420" s="47" t="n">
        <v>1</v>
      </c>
      <c r="E420" s="26" t="inlineStr">
        <is>
          <t>측정</t>
        </is>
      </c>
      <c r="F420" s="26" t="inlineStr">
        <is>
          <t>북</t>
        </is>
      </c>
      <c r="G420" s="31" t="n">
        <v>10</v>
      </c>
      <c r="H420" s="30" t="n"/>
      <c r="I420" s="43" t="n"/>
      <c r="J420" s="41" t="n"/>
      <c r="K420" s="41" t="n"/>
      <c r="L420" s="41" t="n"/>
      <c r="M420" s="31">
        <f>IF(COUNT(J420:L420)=0,"",MEDIAN(J420:L420))</f>
        <v/>
      </c>
      <c r="N420" s="26">
        <f>IF(COUNTIFS($C:$C,$C420,$D:$D,$D420,$E:$E,"P0(전)",$M:$M,"&gt;0")&lt;&gt;1,"P0(전) 유효 1개 아님",IF(COUNTIFS($C:$C,$C420,$D:$D,$D420,$E:$E,"P0(후)",$M:$M,"&gt;0")&lt;&gt;1,"P0(후) 유효 1개 아님",IF(NOT(AND(ISNUMBER(O420),ISNUMBER(Q420),ISNUMBER(I420))),"시각 결측",IF(Q420&lt;=O420,"P0 시각 역전",IF(OR(I420&lt;O420,I420&gt;Q420),"측정시각 구간 밖","OK")))))</f>
        <v/>
      </c>
      <c r="O420" s="48">
        <f>IF(COUNTIFS($C:$C,$C420,$D:$D,$D420,$E:$E,"P0(전)",$M:$M,"&gt;0")&lt;&gt;1,"",SUMIFS($I:$I,$C:$C,$C420,$D:$D,$D420,$E:$E,"P0(전)"))</f>
        <v/>
      </c>
      <c r="P420" s="31">
        <f>IF(COUNTIFS($C:$C,$C420,$D:$D,$D420,$E:$E,"P0(전)",$M:$M,"&gt;0")&lt;&gt;1,"",SUMIFS($M:$M,$C:$C,$C420,$D:$D,$D420,$E:$E,"P0(전)"))</f>
        <v/>
      </c>
      <c r="Q420" s="48">
        <f>IF(COUNTIFS($C:$C,$C420,$D:$D,$D420,$E:$E,"P0(후)",$M:$M,"&gt;0")&lt;&gt;1,"",SUMIFS($I:$I,$C:$C,$C420,$D:$D,$D420,$E:$E,"P0(후)"))</f>
        <v/>
      </c>
      <c r="R420" s="31">
        <f>IF(COUNTIFS($C:$C,$C420,$D:$D,$D420,$E:$E,"P0(후)",$M:$M,"&gt;0")&lt;&gt;1,"",SUMIFS($M:$M,$C:$C,$C420,$D:$D,$D420,$E:$E,"P0(후)"))</f>
        <v/>
      </c>
      <c r="S420" s="31">
        <f>IF(N420&lt;&gt;"OK","",P420+(R420-P420)*(I420-O420)/(Q420-O420))</f>
        <v/>
      </c>
      <c r="T420" s="31">
        <f>IF(OR(N420&lt;&gt;"OK",NOT(ISNUMBER(M420))),"",M420-S420)</f>
        <v/>
      </c>
      <c r="U420" s="49">
        <f>IF(OR(NOT(ISNUMBER(T420)),IF(ISNUMBER(H420),H420,G420)=0),"",T420/IF(ISNUMBER(H420),H420,G420))</f>
        <v/>
      </c>
      <c r="V420" s="49">
        <f>IF(ISNUMBER(U420),ABS(U420),"")</f>
        <v/>
      </c>
      <c r="W420" s="49">
        <f>IF(OR($E419&lt;&gt;"측정",$C419&lt;&gt;$C420,$D419&lt;&gt;$D420,NOT(ISNUMBER(M420)),NOT(ISNUMBER(M419)),(IF(ISNUMBER(H420),H420,G420)-IF(ISNUMBER(H419),H419,G419))=0),"",(M420-M419)/(IF(ISNUMBER(H420),H420,G420)-IF(ISNUMBER(H419),H419,G419)))</f>
        <v/>
      </c>
      <c r="X420" s="31">
        <f>IF(NOT(AND(ISNUMBER(O420),ISNUMBER(Q420))),"",(Q420-O420)*1440)</f>
        <v/>
      </c>
      <c r="Y420" s="29" t="n"/>
      <c r="Z420" s="29" t="n"/>
      <c r="AA420" s="29" t="n"/>
      <c r="AB420" s="32" t="n"/>
      <c r="AC420" s="32" t="n"/>
    </row>
    <row r="421">
      <c r="A421" s="44" t="inlineStr">
        <is>
          <t>S08</t>
        </is>
      </c>
      <c r="B421" s="44" t="inlineStr">
        <is>
          <t>청일 신규점2</t>
        </is>
      </c>
      <c r="C421" s="44" t="inlineStr">
        <is>
          <t>S08-H북</t>
        </is>
      </c>
      <c r="D421" s="45" t="n">
        <v>1</v>
      </c>
      <c r="E421" s="44" t="inlineStr">
        <is>
          <t>P0(후)</t>
        </is>
      </c>
      <c r="F421" s="44" t="inlineStr">
        <is>
          <t>북</t>
        </is>
      </c>
      <c r="G421" s="46" t="n"/>
      <c r="H421" s="30" t="n"/>
      <c r="I421" s="43" t="n"/>
      <c r="J421" s="41" t="n"/>
      <c r="K421" s="41" t="n"/>
      <c r="L421" s="41" t="n"/>
      <c r="M421" s="31">
        <f>IF(COUNT(J421:L421)=0,"",MEDIAN(J421:L421))</f>
        <v/>
      </c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38" t="n"/>
      <c r="Y421" s="29" t="n"/>
      <c r="Z421" s="29" t="n"/>
      <c r="AA421" s="29" t="n"/>
      <c r="AB421" s="32" t="n"/>
      <c r="AC421" s="32" t="n"/>
    </row>
    <row r="422">
      <c r="A422" s="44" t="inlineStr">
        <is>
          <t>S09</t>
        </is>
      </c>
      <c r="B422" s="44" t="inlineStr">
        <is>
          <t>어론 신규점</t>
        </is>
      </c>
      <c r="C422" s="44" t="inlineStr">
        <is>
          <t>S09-H동</t>
        </is>
      </c>
      <c r="D422" s="45" t="n">
        <v>1</v>
      </c>
      <c r="E422" s="44" t="inlineStr">
        <is>
          <t>P0(전)</t>
        </is>
      </c>
      <c r="F422" s="44" t="inlineStr">
        <is>
          <t>동</t>
        </is>
      </c>
      <c r="G422" s="46" t="n"/>
      <c r="H422" s="30" t="n"/>
      <c r="I422" s="43" t="n"/>
      <c r="J422" s="41" t="n"/>
      <c r="K422" s="41" t="n"/>
      <c r="L422" s="41" t="n"/>
      <c r="M422" s="31">
        <f>IF(COUNT(J422:L422)=0,"",MEDIAN(J422:L422))</f>
        <v/>
      </c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  <c r="X422" s="38" t="n"/>
      <c r="Y422" s="29" t="n"/>
      <c r="Z422" s="29" t="n"/>
      <c r="AA422" s="29" t="n"/>
      <c r="AB422" s="32" t="n"/>
      <c r="AC422" s="32" t="n"/>
    </row>
    <row r="423">
      <c r="A423" s="26" t="inlineStr">
        <is>
          <t>S09</t>
        </is>
      </c>
      <c r="B423" s="26" t="inlineStr">
        <is>
          <t>어론 신규점</t>
        </is>
      </c>
      <c r="C423" s="26" t="inlineStr">
        <is>
          <t>S09-H동</t>
        </is>
      </c>
      <c r="D423" s="47" t="n">
        <v>1</v>
      </c>
      <c r="E423" s="26" t="inlineStr">
        <is>
          <t>측정</t>
        </is>
      </c>
      <c r="F423" s="26" t="inlineStr">
        <is>
          <t>동</t>
        </is>
      </c>
      <c r="G423" s="31" t="n">
        <v>0.5</v>
      </c>
      <c r="H423" s="30" t="n"/>
      <c r="I423" s="43" t="n"/>
      <c r="J423" s="41" t="n"/>
      <c r="K423" s="41" t="n"/>
      <c r="L423" s="41" t="n"/>
      <c r="M423" s="31">
        <f>IF(COUNT(J423:L423)=0,"",MEDIAN(J423:L423))</f>
        <v/>
      </c>
      <c r="N423" s="26">
        <f>IF(COUNTIFS($C:$C,$C423,$D:$D,$D423,$E:$E,"P0(전)",$M:$M,"&gt;0")&lt;&gt;1,"P0(전) 유효 1개 아님",IF(COUNTIFS($C:$C,$C423,$D:$D,$D423,$E:$E,"P0(후)",$M:$M,"&gt;0")&lt;&gt;1,"P0(후) 유효 1개 아님",IF(NOT(AND(ISNUMBER(O423),ISNUMBER(Q423),ISNUMBER(I423))),"시각 결측",IF(Q423&lt;=O423,"P0 시각 역전",IF(OR(I423&lt;O423,I423&gt;Q423),"측정시각 구간 밖","OK")))))</f>
        <v/>
      </c>
      <c r="O423" s="48">
        <f>IF(COUNTIFS($C:$C,$C423,$D:$D,$D423,$E:$E,"P0(전)",$M:$M,"&gt;0")&lt;&gt;1,"",SUMIFS($I:$I,$C:$C,$C423,$D:$D,$D423,$E:$E,"P0(전)"))</f>
        <v/>
      </c>
      <c r="P423" s="31">
        <f>IF(COUNTIFS($C:$C,$C423,$D:$D,$D423,$E:$E,"P0(전)",$M:$M,"&gt;0")&lt;&gt;1,"",SUMIFS($M:$M,$C:$C,$C423,$D:$D,$D423,$E:$E,"P0(전)"))</f>
        <v/>
      </c>
      <c r="Q423" s="48">
        <f>IF(COUNTIFS($C:$C,$C423,$D:$D,$D423,$E:$E,"P0(후)",$M:$M,"&gt;0")&lt;&gt;1,"",SUMIFS($I:$I,$C:$C,$C423,$D:$D,$D423,$E:$E,"P0(후)"))</f>
        <v/>
      </c>
      <c r="R423" s="31">
        <f>IF(COUNTIFS($C:$C,$C423,$D:$D,$D423,$E:$E,"P0(후)",$M:$M,"&gt;0")&lt;&gt;1,"",SUMIFS($M:$M,$C:$C,$C423,$D:$D,$D423,$E:$E,"P0(후)"))</f>
        <v/>
      </c>
      <c r="S423" s="31">
        <f>IF(N423&lt;&gt;"OK","",P423+(R423-P423)*(I423-O423)/(Q423-O423))</f>
        <v/>
      </c>
      <c r="T423" s="31">
        <f>IF(OR(N423&lt;&gt;"OK",NOT(ISNUMBER(M423))),"",M423-S423)</f>
        <v/>
      </c>
      <c r="U423" s="49">
        <f>IF(OR(NOT(ISNUMBER(T423)),IF(ISNUMBER(H423),H423,G423)=0),"",T423/IF(ISNUMBER(H423),H423,G423))</f>
        <v/>
      </c>
      <c r="V423" s="49">
        <f>IF(ISNUMBER(U423),ABS(U423),"")</f>
        <v/>
      </c>
      <c r="W423" s="49">
        <f>IF(OR($E422&lt;&gt;"측정",$C422&lt;&gt;$C423,$D422&lt;&gt;$D423,NOT(ISNUMBER(M423)),NOT(ISNUMBER(M422)),(IF(ISNUMBER(H423),H423,G423)-IF(ISNUMBER(H422),H422,G422))=0),"",(M423-M422)/(IF(ISNUMBER(H423),H423,G423)-IF(ISNUMBER(H422),H422,G422)))</f>
        <v/>
      </c>
      <c r="X423" s="31">
        <f>IF(NOT(AND(ISNUMBER(O423),ISNUMBER(Q423))),"",(Q423-O423)*1440)</f>
        <v/>
      </c>
      <c r="Y423" s="29" t="n"/>
      <c r="Z423" s="29" t="n"/>
      <c r="AA423" s="29" t="n"/>
      <c r="AB423" s="32" t="n"/>
      <c r="AC423" s="32" t="n"/>
    </row>
    <row r="424">
      <c r="A424" s="26" t="inlineStr">
        <is>
          <t>S09</t>
        </is>
      </c>
      <c r="B424" s="26" t="inlineStr">
        <is>
          <t>어론 신규점</t>
        </is>
      </c>
      <c r="C424" s="26" t="inlineStr">
        <is>
          <t>S09-H동</t>
        </is>
      </c>
      <c r="D424" s="47" t="n">
        <v>1</v>
      </c>
      <c r="E424" s="26" t="inlineStr">
        <is>
          <t>측정</t>
        </is>
      </c>
      <c r="F424" s="26" t="inlineStr">
        <is>
          <t>동</t>
        </is>
      </c>
      <c r="G424" s="31" t="n">
        <v>1</v>
      </c>
      <c r="H424" s="30" t="n"/>
      <c r="I424" s="43" t="n"/>
      <c r="J424" s="41" t="n"/>
      <c r="K424" s="41" t="n"/>
      <c r="L424" s="41" t="n"/>
      <c r="M424" s="31">
        <f>IF(COUNT(J424:L424)=0,"",MEDIAN(J424:L424))</f>
        <v/>
      </c>
      <c r="N424" s="26">
        <f>IF(COUNTIFS($C:$C,$C424,$D:$D,$D424,$E:$E,"P0(전)",$M:$M,"&gt;0")&lt;&gt;1,"P0(전) 유효 1개 아님",IF(COUNTIFS($C:$C,$C424,$D:$D,$D424,$E:$E,"P0(후)",$M:$M,"&gt;0")&lt;&gt;1,"P0(후) 유효 1개 아님",IF(NOT(AND(ISNUMBER(O424),ISNUMBER(Q424),ISNUMBER(I424))),"시각 결측",IF(Q424&lt;=O424,"P0 시각 역전",IF(OR(I424&lt;O424,I424&gt;Q424),"측정시각 구간 밖","OK")))))</f>
        <v/>
      </c>
      <c r="O424" s="48">
        <f>IF(COUNTIFS($C:$C,$C424,$D:$D,$D424,$E:$E,"P0(전)",$M:$M,"&gt;0")&lt;&gt;1,"",SUMIFS($I:$I,$C:$C,$C424,$D:$D,$D424,$E:$E,"P0(전)"))</f>
        <v/>
      </c>
      <c r="P424" s="31">
        <f>IF(COUNTIFS($C:$C,$C424,$D:$D,$D424,$E:$E,"P0(전)",$M:$M,"&gt;0")&lt;&gt;1,"",SUMIFS($M:$M,$C:$C,$C424,$D:$D,$D424,$E:$E,"P0(전)"))</f>
        <v/>
      </c>
      <c r="Q424" s="48">
        <f>IF(COUNTIFS($C:$C,$C424,$D:$D,$D424,$E:$E,"P0(후)",$M:$M,"&gt;0")&lt;&gt;1,"",SUMIFS($I:$I,$C:$C,$C424,$D:$D,$D424,$E:$E,"P0(후)"))</f>
        <v/>
      </c>
      <c r="R424" s="31">
        <f>IF(COUNTIFS($C:$C,$C424,$D:$D,$D424,$E:$E,"P0(후)",$M:$M,"&gt;0")&lt;&gt;1,"",SUMIFS($M:$M,$C:$C,$C424,$D:$D,$D424,$E:$E,"P0(후)"))</f>
        <v/>
      </c>
      <c r="S424" s="31">
        <f>IF(N424&lt;&gt;"OK","",P424+(R424-P424)*(I424-O424)/(Q424-O424))</f>
        <v/>
      </c>
      <c r="T424" s="31">
        <f>IF(OR(N424&lt;&gt;"OK",NOT(ISNUMBER(M424))),"",M424-S424)</f>
        <v/>
      </c>
      <c r="U424" s="49">
        <f>IF(OR(NOT(ISNUMBER(T424)),IF(ISNUMBER(H424),H424,G424)=0),"",T424/IF(ISNUMBER(H424),H424,G424))</f>
        <v/>
      </c>
      <c r="V424" s="49">
        <f>IF(ISNUMBER(U424),ABS(U424),"")</f>
        <v/>
      </c>
      <c r="W424" s="49">
        <f>IF(OR($E423&lt;&gt;"측정",$C423&lt;&gt;$C424,$D423&lt;&gt;$D424,NOT(ISNUMBER(M424)),NOT(ISNUMBER(M423)),(IF(ISNUMBER(H424),H424,G424)-IF(ISNUMBER(H423),H423,G423))=0),"",(M424-M423)/(IF(ISNUMBER(H424),H424,G424)-IF(ISNUMBER(H423),H423,G423)))</f>
        <v/>
      </c>
      <c r="X424" s="31">
        <f>IF(NOT(AND(ISNUMBER(O424),ISNUMBER(Q424))),"",(Q424-O424)*1440)</f>
        <v/>
      </c>
      <c r="Y424" s="29" t="n"/>
      <c r="Z424" s="29" t="n"/>
      <c r="AA424" s="29" t="n"/>
      <c r="AB424" s="32" t="n"/>
      <c r="AC424" s="32" t="n"/>
    </row>
    <row r="425">
      <c r="A425" s="26" t="inlineStr">
        <is>
          <t>S09</t>
        </is>
      </c>
      <c r="B425" s="26" t="inlineStr">
        <is>
          <t>어론 신규점</t>
        </is>
      </c>
      <c r="C425" s="26" t="inlineStr">
        <is>
          <t>S09-H동</t>
        </is>
      </c>
      <c r="D425" s="47" t="n">
        <v>1</v>
      </c>
      <c r="E425" s="26" t="inlineStr">
        <is>
          <t>측정</t>
        </is>
      </c>
      <c r="F425" s="26" t="inlineStr">
        <is>
          <t>동</t>
        </is>
      </c>
      <c r="G425" s="31" t="n">
        <v>2</v>
      </c>
      <c r="H425" s="30" t="n"/>
      <c r="I425" s="43" t="n"/>
      <c r="J425" s="41" t="n"/>
      <c r="K425" s="41" t="n"/>
      <c r="L425" s="41" t="n"/>
      <c r="M425" s="31">
        <f>IF(COUNT(J425:L425)=0,"",MEDIAN(J425:L425))</f>
        <v/>
      </c>
      <c r="N425" s="26">
        <f>IF(COUNTIFS($C:$C,$C425,$D:$D,$D425,$E:$E,"P0(전)",$M:$M,"&gt;0")&lt;&gt;1,"P0(전) 유효 1개 아님",IF(COUNTIFS($C:$C,$C425,$D:$D,$D425,$E:$E,"P0(후)",$M:$M,"&gt;0")&lt;&gt;1,"P0(후) 유효 1개 아님",IF(NOT(AND(ISNUMBER(O425),ISNUMBER(Q425),ISNUMBER(I425))),"시각 결측",IF(Q425&lt;=O425,"P0 시각 역전",IF(OR(I425&lt;O425,I425&gt;Q425),"측정시각 구간 밖","OK")))))</f>
        <v/>
      </c>
      <c r="O425" s="48">
        <f>IF(COUNTIFS($C:$C,$C425,$D:$D,$D425,$E:$E,"P0(전)",$M:$M,"&gt;0")&lt;&gt;1,"",SUMIFS($I:$I,$C:$C,$C425,$D:$D,$D425,$E:$E,"P0(전)"))</f>
        <v/>
      </c>
      <c r="P425" s="31">
        <f>IF(COUNTIFS($C:$C,$C425,$D:$D,$D425,$E:$E,"P0(전)",$M:$M,"&gt;0")&lt;&gt;1,"",SUMIFS($M:$M,$C:$C,$C425,$D:$D,$D425,$E:$E,"P0(전)"))</f>
        <v/>
      </c>
      <c r="Q425" s="48">
        <f>IF(COUNTIFS($C:$C,$C425,$D:$D,$D425,$E:$E,"P0(후)",$M:$M,"&gt;0")&lt;&gt;1,"",SUMIFS($I:$I,$C:$C,$C425,$D:$D,$D425,$E:$E,"P0(후)"))</f>
        <v/>
      </c>
      <c r="R425" s="31">
        <f>IF(COUNTIFS($C:$C,$C425,$D:$D,$D425,$E:$E,"P0(후)",$M:$M,"&gt;0")&lt;&gt;1,"",SUMIFS($M:$M,$C:$C,$C425,$D:$D,$D425,$E:$E,"P0(후)"))</f>
        <v/>
      </c>
      <c r="S425" s="31">
        <f>IF(N425&lt;&gt;"OK","",P425+(R425-P425)*(I425-O425)/(Q425-O425))</f>
        <v/>
      </c>
      <c r="T425" s="31">
        <f>IF(OR(N425&lt;&gt;"OK",NOT(ISNUMBER(M425))),"",M425-S425)</f>
        <v/>
      </c>
      <c r="U425" s="49">
        <f>IF(OR(NOT(ISNUMBER(T425)),IF(ISNUMBER(H425),H425,G425)=0),"",T425/IF(ISNUMBER(H425),H425,G425))</f>
        <v/>
      </c>
      <c r="V425" s="49">
        <f>IF(ISNUMBER(U425),ABS(U425),"")</f>
        <v/>
      </c>
      <c r="W425" s="49">
        <f>IF(OR($E424&lt;&gt;"측정",$C424&lt;&gt;$C425,$D424&lt;&gt;$D425,NOT(ISNUMBER(M425)),NOT(ISNUMBER(M424)),(IF(ISNUMBER(H425),H425,G425)-IF(ISNUMBER(H424),H424,G424))=0),"",(M425-M424)/(IF(ISNUMBER(H425),H425,G425)-IF(ISNUMBER(H424),H424,G424)))</f>
        <v/>
      </c>
      <c r="X425" s="31">
        <f>IF(NOT(AND(ISNUMBER(O425),ISNUMBER(Q425))),"",(Q425-O425)*1440)</f>
        <v/>
      </c>
      <c r="Y425" s="29" t="n"/>
      <c r="Z425" s="29" t="n"/>
      <c r="AA425" s="29" t="n"/>
      <c r="AB425" s="32" t="n"/>
      <c r="AC425" s="32" t="n"/>
    </row>
    <row r="426">
      <c r="A426" s="26" t="inlineStr">
        <is>
          <t>S09</t>
        </is>
      </c>
      <c r="B426" s="26" t="inlineStr">
        <is>
          <t>어론 신규점</t>
        </is>
      </c>
      <c r="C426" s="26" t="inlineStr">
        <is>
          <t>S09-H동</t>
        </is>
      </c>
      <c r="D426" s="47" t="n">
        <v>1</v>
      </c>
      <c r="E426" s="26" t="inlineStr">
        <is>
          <t>측정</t>
        </is>
      </c>
      <c r="F426" s="26" t="inlineStr">
        <is>
          <t>동</t>
        </is>
      </c>
      <c r="G426" s="31" t="n">
        <v>3</v>
      </c>
      <c r="H426" s="30" t="n"/>
      <c r="I426" s="43" t="n"/>
      <c r="J426" s="41" t="n"/>
      <c r="K426" s="41" t="n"/>
      <c r="L426" s="41" t="n"/>
      <c r="M426" s="31">
        <f>IF(COUNT(J426:L426)=0,"",MEDIAN(J426:L426))</f>
        <v/>
      </c>
      <c r="N426" s="26">
        <f>IF(COUNTIFS($C:$C,$C426,$D:$D,$D426,$E:$E,"P0(전)",$M:$M,"&gt;0")&lt;&gt;1,"P0(전) 유효 1개 아님",IF(COUNTIFS($C:$C,$C426,$D:$D,$D426,$E:$E,"P0(후)",$M:$M,"&gt;0")&lt;&gt;1,"P0(후) 유효 1개 아님",IF(NOT(AND(ISNUMBER(O426),ISNUMBER(Q426),ISNUMBER(I426))),"시각 결측",IF(Q426&lt;=O426,"P0 시각 역전",IF(OR(I426&lt;O426,I426&gt;Q426),"측정시각 구간 밖","OK")))))</f>
        <v/>
      </c>
      <c r="O426" s="48">
        <f>IF(COUNTIFS($C:$C,$C426,$D:$D,$D426,$E:$E,"P0(전)",$M:$M,"&gt;0")&lt;&gt;1,"",SUMIFS($I:$I,$C:$C,$C426,$D:$D,$D426,$E:$E,"P0(전)"))</f>
        <v/>
      </c>
      <c r="P426" s="31">
        <f>IF(COUNTIFS($C:$C,$C426,$D:$D,$D426,$E:$E,"P0(전)",$M:$M,"&gt;0")&lt;&gt;1,"",SUMIFS($M:$M,$C:$C,$C426,$D:$D,$D426,$E:$E,"P0(전)"))</f>
        <v/>
      </c>
      <c r="Q426" s="48">
        <f>IF(COUNTIFS($C:$C,$C426,$D:$D,$D426,$E:$E,"P0(후)",$M:$M,"&gt;0")&lt;&gt;1,"",SUMIFS($I:$I,$C:$C,$C426,$D:$D,$D426,$E:$E,"P0(후)"))</f>
        <v/>
      </c>
      <c r="R426" s="31">
        <f>IF(COUNTIFS($C:$C,$C426,$D:$D,$D426,$E:$E,"P0(후)",$M:$M,"&gt;0")&lt;&gt;1,"",SUMIFS($M:$M,$C:$C,$C426,$D:$D,$D426,$E:$E,"P0(후)"))</f>
        <v/>
      </c>
      <c r="S426" s="31">
        <f>IF(N426&lt;&gt;"OK","",P426+(R426-P426)*(I426-O426)/(Q426-O426))</f>
        <v/>
      </c>
      <c r="T426" s="31">
        <f>IF(OR(N426&lt;&gt;"OK",NOT(ISNUMBER(M426))),"",M426-S426)</f>
        <v/>
      </c>
      <c r="U426" s="49">
        <f>IF(OR(NOT(ISNUMBER(T426)),IF(ISNUMBER(H426),H426,G426)=0),"",T426/IF(ISNUMBER(H426),H426,G426))</f>
        <v/>
      </c>
      <c r="V426" s="49">
        <f>IF(ISNUMBER(U426),ABS(U426),"")</f>
        <v/>
      </c>
      <c r="W426" s="49">
        <f>IF(OR($E425&lt;&gt;"측정",$C425&lt;&gt;$C426,$D425&lt;&gt;$D426,NOT(ISNUMBER(M426)),NOT(ISNUMBER(M425)),(IF(ISNUMBER(H426),H426,G426)-IF(ISNUMBER(H425),H425,G425))=0),"",(M426-M425)/(IF(ISNUMBER(H426),H426,G426)-IF(ISNUMBER(H425),H425,G425)))</f>
        <v/>
      </c>
      <c r="X426" s="31">
        <f>IF(NOT(AND(ISNUMBER(O426),ISNUMBER(Q426))),"",(Q426-O426)*1440)</f>
        <v/>
      </c>
      <c r="Y426" s="29" t="n"/>
      <c r="Z426" s="29" t="n"/>
      <c r="AA426" s="29" t="n"/>
      <c r="AB426" s="32" t="n"/>
      <c r="AC426" s="32" t="n"/>
    </row>
    <row r="427">
      <c r="A427" s="26" t="inlineStr">
        <is>
          <t>S09</t>
        </is>
      </c>
      <c r="B427" s="26" t="inlineStr">
        <is>
          <t>어론 신규점</t>
        </is>
      </c>
      <c r="C427" s="26" t="inlineStr">
        <is>
          <t>S09-H동</t>
        </is>
      </c>
      <c r="D427" s="47" t="n">
        <v>1</v>
      </c>
      <c r="E427" s="26" t="inlineStr">
        <is>
          <t>측정</t>
        </is>
      </c>
      <c r="F427" s="26" t="inlineStr">
        <is>
          <t>동</t>
        </is>
      </c>
      <c r="G427" s="31" t="n">
        <v>4</v>
      </c>
      <c r="H427" s="30" t="n"/>
      <c r="I427" s="43" t="n"/>
      <c r="J427" s="41" t="n"/>
      <c r="K427" s="41" t="n"/>
      <c r="L427" s="41" t="n"/>
      <c r="M427" s="31">
        <f>IF(COUNT(J427:L427)=0,"",MEDIAN(J427:L427))</f>
        <v/>
      </c>
      <c r="N427" s="26">
        <f>IF(COUNTIFS($C:$C,$C427,$D:$D,$D427,$E:$E,"P0(전)",$M:$M,"&gt;0")&lt;&gt;1,"P0(전) 유효 1개 아님",IF(COUNTIFS($C:$C,$C427,$D:$D,$D427,$E:$E,"P0(후)",$M:$M,"&gt;0")&lt;&gt;1,"P0(후) 유효 1개 아님",IF(NOT(AND(ISNUMBER(O427),ISNUMBER(Q427),ISNUMBER(I427))),"시각 결측",IF(Q427&lt;=O427,"P0 시각 역전",IF(OR(I427&lt;O427,I427&gt;Q427),"측정시각 구간 밖","OK")))))</f>
        <v/>
      </c>
      <c r="O427" s="48">
        <f>IF(COUNTIFS($C:$C,$C427,$D:$D,$D427,$E:$E,"P0(전)",$M:$M,"&gt;0")&lt;&gt;1,"",SUMIFS($I:$I,$C:$C,$C427,$D:$D,$D427,$E:$E,"P0(전)"))</f>
        <v/>
      </c>
      <c r="P427" s="31">
        <f>IF(COUNTIFS($C:$C,$C427,$D:$D,$D427,$E:$E,"P0(전)",$M:$M,"&gt;0")&lt;&gt;1,"",SUMIFS($M:$M,$C:$C,$C427,$D:$D,$D427,$E:$E,"P0(전)"))</f>
        <v/>
      </c>
      <c r="Q427" s="48">
        <f>IF(COUNTIFS($C:$C,$C427,$D:$D,$D427,$E:$E,"P0(후)",$M:$M,"&gt;0")&lt;&gt;1,"",SUMIFS($I:$I,$C:$C,$C427,$D:$D,$D427,$E:$E,"P0(후)"))</f>
        <v/>
      </c>
      <c r="R427" s="31">
        <f>IF(COUNTIFS($C:$C,$C427,$D:$D,$D427,$E:$E,"P0(후)",$M:$M,"&gt;0")&lt;&gt;1,"",SUMIFS($M:$M,$C:$C,$C427,$D:$D,$D427,$E:$E,"P0(후)"))</f>
        <v/>
      </c>
      <c r="S427" s="31">
        <f>IF(N427&lt;&gt;"OK","",P427+(R427-P427)*(I427-O427)/(Q427-O427))</f>
        <v/>
      </c>
      <c r="T427" s="31">
        <f>IF(OR(N427&lt;&gt;"OK",NOT(ISNUMBER(M427))),"",M427-S427)</f>
        <v/>
      </c>
      <c r="U427" s="49">
        <f>IF(OR(NOT(ISNUMBER(T427)),IF(ISNUMBER(H427),H427,G427)=0),"",T427/IF(ISNUMBER(H427),H427,G427))</f>
        <v/>
      </c>
      <c r="V427" s="49">
        <f>IF(ISNUMBER(U427),ABS(U427),"")</f>
        <v/>
      </c>
      <c r="W427" s="49">
        <f>IF(OR($E426&lt;&gt;"측정",$C426&lt;&gt;$C427,$D426&lt;&gt;$D427,NOT(ISNUMBER(M427)),NOT(ISNUMBER(M426)),(IF(ISNUMBER(H427),H427,G427)-IF(ISNUMBER(H426),H426,G426))=0),"",(M427-M426)/(IF(ISNUMBER(H427),H427,G427)-IF(ISNUMBER(H426),H426,G426)))</f>
        <v/>
      </c>
      <c r="X427" s="31">
        <f>IF(NOT(AND(ISNUMBER(O427),ISNUMBER(Q427))),"",(Q427-O427)*1440)</f>
        <v/>
      </c>
      <c r="Y427" s="29" t="n"/>
      <c r="Z427" s="29" t="n"/>
      <c r="AA427" s="29" t="n"/>
      <c r="AB427" s="32" t="n"/>
      <c r="AC427" s="32" t="n"/>
    </row>
    <row r="428">
      <c r="A428" s="26" t="inlineStr">
        <is>
          <t>S09</t>
        </is>
      </c>
      <c r="B428" s="26" t="inlineStr">
        <is>
          <t>어론 신규점</t>
        </is>
      </c>
      <c r="C428" s="26" t="inlineStr">
        <is>
          <t>S09-H동</t>
        </is>
      </c>
      <c r="D428" s="47" t="n">
        <v>1</v>
      </c>
      <c r="E428" s="26" t="inlineStr">
        <is>
          <t>측정</t>
        </is>
      </c>
      <c r="F428" s="26" t="inlineStr">
        <is>
          <t>동</t>
        </is>
      </c>
      <c r="G428" s="31" t="n">
        <v>5</v>
      </c>
      <c r="H428" s="30" t="n"/>
      <c r="I428" s="43" t="n"/>
      <c r="J428" s="41" t="n"/>
      <c r="K428" s="41" t="n"/>
      <c r="L428" s="41" t="n"/>
      <c r="M428" s="31">
        <f>IF(COUNT(J428:L428)=0,"",MEDIAN(J428:L428))</f>
        <v/>
      </c>
      <c r="N428" s="26">
        <f>IF(COUNTIFS($C:$C,$C428,$D:$D,$D428,$E:$E,"P0(전)",$M:$M,"&gt;0")&lt;&gt;1,"P0(전) 유효 1개 아님",IF(COUNTIFS($C:$C,$C428,$D:$D,$D428,$E:$E,"P0(후)",$M:$M,"&gt;0")&lt;&gt;1,"P0(후) 유효 1개 아님",IF(NOT(AND(ISNUMBER(O428),ISNUMBER(Q428),ISNUMBER(I428))),"시각 결측",IF(Q428&lt;=O428,"P0 시각 역전",IF(OR(I428&lt;O428,I428&gt;Q428),"측정시각 구간 밖","OK")))))</f>
        <v/>
      </c>
      <c r="O428" s="48">
        <f>IF(COUNTIFS($C:$C,$C428,$D:$D,$D428,$E:$E,"P0(전)",$M:$M,"&gt;0")&lt;&gt;1,"",SUMIFS($I:$I,$C:$C,$C428,$D:$D,$D428,$E:$E,"P0(전)"))</f>
        <v/>
      </c>
      <c r="P428" s="31">
        <f>IF(COUNTIFS($C:$C,$C428,$D:$D,$D428,$E:$E,"P0(전)",$M:$M,"&gt;0")&lt;&gt;1,"",SUMIFS($M:$M,$C:$C,$C428,$D:$D,$D428,$E:$E,"P0(전)"))</f>
        <v/>
      </c>
      <c r="Q428" s="48">
        <f>IF(COUNTIFS($C:$C,$C428,$D:$D,$D428,$E:$E,"P0(후)",$M:$M,"&gt;0")&lt;&gt;1,"",SUMIFS($I:$I,$C:$C,$C428,$D:$D,$D428,$E:$E,"P0(후)"))</f>
        <v/>
      </c>
      <c r="R428" s="31">
        <f>IF(COUNTIFS($C:$C,$C428,$D:$D,$D428,$E:$E,"P0(후)",$M:$M,"&gt;0")&lt;&gt;1,"",SUMIFS($M:$M,$C:$C,$C428,$D:$D,$D428,$E:$E,"P0(후)"))</f>
        <v/>
      </c>
      <c r="S428" s="31">
        <f>IF(N428&lt;&gt;"OK","",P428+(R428-P428)*(I428-O428)/(Q428-O428))</f>
        <v/>
      </c>
      <c r="T428" s="31">
        <f>IF(OR(N428&lt;&gt;"OK",NOT(ISNUMBER(M428))),"",M428-S428)</f>
        <v/>
      </c>
      <c r="U428" s="49">
        <f>IF(OR(NOT(ISNUMBER(T428)),IF(ISNUMBER(H428),H428,G428)=0),"",T428/IF(ISNUMBER(H428),H428,G428))</f>
        <v/>
      </c>
      <c r="V428" s="49">
        <f>IF(ISNUMBER(U428),ABS(U428),"")</f>
        <v/>
      </c>
      <c r="W428" s="49">
        <f>IF(OR($E427&lt;&gt;"측정",$C427&lt;&gt;$C428,$D427&lt;&gt;$D428,NOT(ISNUMBER(M428)),NOT(ISNUMBER(M427)),(IF(ISNUMBER(H428),H428,G428)-IF(ISNUMBER(H427),H427,G427))=0),"",(M428-M427)/(IF(ISNUMBER(H428),H428,G428)-IF(ISNUMBER(H427),H427,G427)))</f>
        <v/>
      </c>
      <c r="X428" s="31">
        <f>IF(NOT(AND(ISNUMBER(O428),ISNUMBER(Q428))),"",(Q428-O428)*1440)</f>
        <v/>
      </c>
      <c r="Y428" s="29" t="n"/>
      <c r="Z428" s="29" t="n"/>
      <c r="AA428" s="29" t="n"/>
      <c r="AB428" s="32" t="n"/>
      <c r="AC428" s="32" t="n"/>
    </row>
    <row r="429">
      <c r="A429" s="26" t="inlineStr">
        <is>
          <t>S09</t>
        </is>
      </c>
      <c r="B429" s="26" t="inlineStr">
        <is>
          <t>어론 신규점</t>
        </is>
      </c>
      <c r="C429" s="26" t="inlineStr">
        <is>
          <t>S09-H동</t>
        </is>
      </c>
      <c r="D429" s="47" t="n">
        <v>1</v>
      </c>
      <c r="E429" s="26" t="inlineStr">
        <is>
          <t>측정</t>
        </is>
      </c>
      <c r="F429" s="26" t="inlineStr">
        <is>
          <t>동</t>
        </is>
      </c>
      <c r="G429" s="31" t="n">
        <v>6</v>
      </c>
      <c r="H429" s="30" t="n"/>
      <c r="I429" s="43" t="n"/>
      <c r="J429" s="41" t="n"/>
      <c r="K429" s="41" t="n"/>
      <c r="L429" s="41" t="n"/>
      <c r="M429" s="31">
        <f>IF(COUNT(J429:L429)=0,"",MEDIAN(J429:L429))</f>
        <v/>
      </c>
      <c r="N429" s="26">
        <f>IF(COUNTIFS($C:$C,$C429,$D:$D,$D429,$E:$E,"P0(전)",$M:$M,"&gt;0")&lt;&gt;1,"P0(전) 유효 1개 아님",IF(COUNTIFS($C:$C,$C429,$D:$D,$D429,$E:$E,"P0(후)",$M:$M,"&gt;0")&lt;&gt;1,"P0(후) 유효 1개 아님",IF(NOT(AND(ISNUMBER(O429),ISNUMBER(Q429),ISNUMBER(I429))),"시각 결측",IF(Q429&lt;=O429,"P0 시각 역전",IF(OR(I429&lt;O429,I429&gt;Q429),"측정시각 구간 밖","OK")))))</f>
        <v/>
      </c>
      <c r="O429" s="48">
        <f>IF(COUNTIFS($C:$C,$C429,$D:$D,$D429,$E:$E,"P0(전)",$M:$M,"&gt;0")&lt;&gt;1,"",SUMIFS($I:$I,$C:$C,$C429,$D:$D,$D429,$E:$E,"P0(전)"))</f>
        <v/>
      </c>
      <c r="P429" s="31">
        <f>IF(COUNTIFS($C:$C,$C429,$D:$D,$D429,$E:$E,"P0(전)",$M:$M,"&gt;0")&lt;&gt;1,"",SUMIFS($M:$M,$C:$C,$C429,$D:$D,$D429,$E:$E,"P0(전)"))</f>
        <v/>
      </c>
      <c r="Q429" s="48">
        <f>IF(COUNTIFS($C:$C,$C429,$D:$D,$D429,$E:$E,"P0(후)",$M:$M,"&gt;0")&lt;&gt;1,"",SUMIFS($I:$I,$C:$C,$C429,$D:$D,$D429,$E:$E,"P0(후)"))</f>
        <v/>
      </c>
      <c r="R429" s="31">
        <f>IF(COUNTIFS($C:$C,$C429,$D:$D,$D429,$E:$E,"P0(후)",$M:$M,"&gt;0")&lt;&gt;1,"",SUMIFS($M:$M,$C:$C,$C429,$D:$D,$D429,$E:$E,"P0(후)"))</f>
        <v/>
      </c>
      <c r="S429" s="31">
        <f>IF(N429&lt;&gt;"OK","",P429+(R429-P429)*(I429-O429)/(Q429-O429))</f>
        <v/>
      </c>
      <c r="T429" s="31">
        <f>IF(OR(N429&lt;&gt;"OK",NOT(ISNUMBER(M429))),"",M429-S429)</f>
        <v/>
      </c>
      <c r="U429" s="49">
        <f>IF(OR(NOT(ISNUMBER(T429)),IF(ISNUMBER(H429),H429,G429)=0),"",T429/IF(ISNUMBER(H429),H429,G429))</f>
        <v/>
      </c>
      <c r="V429" s="49">
        <f>IF(ISNUMBER(U429),ABS(U429),"")</f>
        <v/>
      </c>
      <c r="W429" s="49">
        <f>IF(OR($E428&lt;&gt;"측정",$C428&lt;&gt;$C429,$D428&lt;&gt;$D429,NOT(ISNUMBER(M429)),NOT(ISNUMBER(M428)),(IF(ISNUMBER(H429),H429,G429)-IF(ISNUMBER(H428),H428,G428))=0),"",(M429-M428)/(IF(ISNUMBER(H429),H429,G429)-IF(ISNUMBER(H428),H428,G428)))</f>
        <v/>
      </c>
      <c r="X429" s="31">
        <f>IF(NOT(AND(ISNUMBER(O429),ISNUMBER(Q429))),"",(Q429-O429)*1440)</f>
        <v/>
      </c>
      <c r="Y429" s="29" t="n"/>
      <c r="Z429" s="29" t="n"/>
      <c r="AA429" s="29" t="n"/>
      <c r="AB429" s="32" t="n"/>
      <c r="AC429" s="32" t="n"/>
    </row>
    <row r="430">
      <c r="A430" s="26" t="inlineStr">
        <is>
          <t>S09</t>
        </is>
      </c>
      <c r="B430" s="26" t="inlineStr">
        <is>
          <t>어론 신규점</t>
        </is>
      </c>
      <c r="C430" s="26" t="inlineStr">
        <is>
          <t>S09-H동</t>
        </is>
      </c>
      <c r="D430" s="47" t="n">
        <v>1</v>
      </c>
      <c r="E430" s="26" t="inlineStr">
        <is>
          <t>측정</t>
        </is>
      </c>
      <c r="F430" s="26" t="inlineStr">
        <is>
          <t>동</t>
        </is>
      </c>
      <c r="G430" s="31" t="n">
        <v>7</v>
      </c>
      <c r="H430" s="30" t="n"/>
      <c r="I430" s="43" t="n"/>
      <c r="J430" s="41" t="n"/>
      <c r="K430" s="41" t="n"/>
      <c r="L430" s="41" t="n"/>
      <c r="M430" s="31">
        <f>IF(COUNT(J430:L430)=0,"",MEDIAN(J430:L430))</f>
        <v/>
      </c>
      <c r="N430" s="26">
        <f>IF(COUNTIFS($C:$C,$C430,$D:$D,$D430,$E:$E,"P0(전)",$M:$M,"&gt;0")&lt;&gt;1,"P0(전) 유효 1개 아님",IF(COUNTIFS($C:$C,$C430,$D:$D,$D430,$E:$E,"P0(후)",$M:$M,"&gt;0")&lt;&gt;1,"P0(후) 유효 1개 아님",IF(NOT(AND(ISNUMBER(O430),ISNUMBER(Q430),ISNUMBER(I430))),"시각 결측",IF(Q430&lt;=O430,"P0 시각 역전",IF(OR(I430&lt;O430,I430&gt;Q430),"측정시각 구간 밖","OK")))))</f>
        <v/>
      </c>
      <c r="O430" s="48">
        <f>IF(COUNTIFS($C:$C,$C430,$D:$D,$D430,$E:$E,"P0(전)",$M:$M,"&gt;0")&lt;&gt;1,"",SUMIFS($I:$I,$C:$C,$C430,$D:$D,$D430,$E:$E,"P0(전)"))</f>
        <v/>
      </c>
      <c r="P430" s="31">
        <f>IF(COUNTIFS($C:$C,$C430,$D:$D,$D430,$E:$E,"P0(전)",$M:$M,"&gt;0")&lt;&gt;1,"",SUMIFS($M:$M,$C:$C,$C430,$D:$D,$D430,$E:$E,"P0(전)"))</f>
        <v/>
      </c>
      <c r="Q430" s="48">
        <f>IF(COUNTIFS($C:$C,$C430,$D:$D,$D430,$E:$E,"P0(후)",$M:$M,"&gt;0")&lt;&gt;1,"",SUMIFS($I:$I,$C:$C,$C430,$D:$D,$D430,$E:$E,"P0(후)"))</f>
        <v/>
      </c>
      <c r="R430" s="31">
        <f>IF(COUNTIFS($C:$C,$C430,$D:$D,$D430,$E:$E,"P0(후)",$M:$M,"&gt;0")&lt;&gt;1,"",SUMIFS($M:$M,$C:$C,$C430,$D:$D,$D430,$E:$E,"P0(후)"))</f>
        <v/>
      </c>
      <c r="S430" s="31">
        <f>IF(N430&lt;&gt;"OK","",P430+(R430-P430)*(I430-O430)/(Q430-O430))</f>
        <v/>
      </c>
      <c r="T430" s="31">
        <f>IF(OR(N430&lt;&gt;"OK",NOT(ISNUMBER(M430))),"",M430-S430)</f>
        <v/>
      </c>
      <c r="U430" s="49">
        <f>IF(OR(NOT(ISNUMBER(T430)),IF(ISNUMBER(H430),H430,G430)=0),"",T430/IF(ISNUMBER(H430),H430,G430))</f>
        <v/>
      </c>
      <c r="V430" s="49">
        <f>IF(ISNUMBER(U430),ABS(U430),"")</f>
        <v/>
      </c>
      <c r="W430" s="49">
        <f>IF(OR($E429&lt;&gt;"측정",$C429&lt;&gt;$C430,$D429&lt;&gt;$D430,NOT(ISNUMBER(M430)),NOT(ISNUMBER(M429)),(IF(ISNUMBER(H430),H430,G430)-IF(ISNUMBER(H429),H429,G429))=0),"",(M430-M429)/(IF(ISNUMBER(H430),H430,G430)-IF(ISNUMBER(H429),H429,G429)))</f>
        <v/>
      </c>
      <c r="X430" s="31">
        <f>IF(NOT(AND(ISNUMBER(O430),ISNUMBER(Q430))),"",(Q430-O430)*1440)</f>
        <v/>
      </c>
      <c r="Y430" s="29" t="n"/>
      <c r="Z430" s="29" t="n"/>
      <c r="AA430" s="29" t="n"/>
      <c r="AB430" s="32" t="n"/>
      <c r="AC430" s="32" t="n"/>
    </row>
    <row r="431">
      <c r="A431" s="26" t="inlineStr">
        <is>
          <t>S09</t>
        </is>
      </c>
      <c r="B431" s="26" t="inlineStr">
        <is>
          <t>어론 신규점</t>
        </is>
      </c>
      <c r="C431" s="26" t="inlineStr">
        <is>
          <t>S09-H동</t>
        </is>
      </c>
      <c r="D431" s="47" t="n">
        <v>1</v>
      </c>
      <c r="E431" s="26" t="inlineStr">
        <is>
          <t>측정</t>
        </is>
      </c>
      <c r="F431" s="26" t="inlineStr">
        <is>
          <t>동</t>
        </is>
      </c>
      <c r="G431" s="31" t="n">
        <v>8</v>
      </c>
      <c r="H431" s="30" t="n"/>
      <c r="I431" s="43" t="n"/>
      <c r="J431" s="41" t="n"/>
      <c r="K431" s="41" t="n"/>
      <c r="L431" s="41" t="n"/>
      <c r="M431" s="31">
        <f>IF(COUNT(J431:L431)=0,"",MEDIAN(J431:L431))</f>
        <v/>
      </c>
      <c r="N431" s="26">
        <f>IF(COUNTIFS($C:$C,$C431,$D:$D,$D431,$E:$E,"P0(전)",$M:$M,"&gt;0")&lt;&gt;1,"P0(전) 유효 1개 아님",IF(COUNTIFS($C:$C,$C431,$D:$D,$D431,$E:$E,"P0(후)",$M:$M,"&gt;0")&lt;&gt;1,"P0(후) 유효 1개 아님",IF(NOT(AND(ISNUMBER(O431),ISNUMBER(Q431),ISNUMBER(I431))),"시각 결측",IF(Q431&lt;=O431,"P0 시각 역전",IF(OR(I431&lt;O431,I431&gt;Q431),"측정시각 구간 밖","OK")))))</f>
        <v/>
      </c>
      <c r="O431" s="48">
        <f>IF(COUNTIFS($C:$C,$C431,$D:$D,$D431,$E:$E,"P0(전)",$M:$M,"&gt;0")&lt;&gt;1,"",SUMIFS($I:$I,$C:$C,$C431,$D:$D,$D431,$E:$E,"P0(전)"))</f>
        <v/>
      </c>
      <c r="P431" s="31">
        <f>IF(COUNTIFS($C:$C,$C431,$D:$D,$D431,$E:$E,"P0(전)",$M:$M,"&gt;0")&lt;&gt;1,"",SUMIFS($M:$M,$C:$C,$C431,$D:$D,$D431,$E:$E,"P0(전)"))</f>
        <v/>
      </c>
      <c r="Q431" s="48">
        <f>IF(COUNTIFS($C:$C,$C431,$D:$D,$D431,$E:$E,"P0(후)",$M:$M,"&gt;0")&lt;&gt;1,"",SUMIFS($I:$I,$C:$C,$C431,$D:$D,$D431,$E:$E,"P0(후)"))</f>
        <v/>
      </c>
      <c r="R431" s="31">
        <f>IF(COUNTIFS($C:$C,$C431,$D:$D,$D431,$E:$E,"P0(후)",$M:$M,"&gt;0")&lt;&gt;1,"",SUMIFS($M:$M,$C:$C,$C431,$D:$D,$D431,$E:$E,"P0(후)"))</f>
        <v/>
      </c>
      <c r="S431" s="31">
        <f>IF(N431&lt;&gt;"OK","",P431+(R431-P431)*(I431-O431)/(Q431-O431))</f>
        <v/>
      </c>
      <c r="T431" s="31">
        <f>IF(OR(N431&lt;&gt;"OK",NOT(ISNUMBER(M431))),"",M431-S431)</f>
        <v/>
      </c>
      <c r="U431" s="49">
        <f>IF(OR(NOT(ISNUMBER(T431)),IF(ISNUMBER(H431),H431,G431)=0),"",T431/IF(ISNUMBER(H431),H431,G431))</f>
        <v/>
      </c>
      <c r="V431" s="49">
        <f>IF(ISNUMBER(U431),ABS(U431),"")</f>
        <v/>
      </c>
      <c r="W431" s="49">
        <f>IF(OR($E430&lt;&gt;"측정",$C430&lt;&gt;$C431,$D430&lt;&gt;$D431,NOT(ISNUMBER(M431)),NOT(ISNUMBER(M430)),(IF(ISNUMBER(H431),H431,G431)-IF(ISNUMBER(H430),H430,G430))=0),"",(M431-M430)/(IF(ISNUMBER(H431),H431,G431)-IF(ISNUMBER(H430),H430,G430)))</f>
        <v/>
      </c>
      <c r="X431" s="31">
        <f>IF(NOT(AND(ISNUMBER(O431),ISNUMBER(Q431))),"",(Q431-O431)*1440)</f>
        <v/>
      </c>
      <c r="Y431" s="29" t="n"/>
      <c r="Z431" s="29" t="n"/>
      <c r="AA431" s="29" t="n"/>
      <c r="AB431" s="32" t="n"/>
      <c r="AC431" s="32" t="n"/>
    </row>
    <row r="432">
      <c r="A432" s="26" t="inlineStr">
        <is>
          <t>S09</t>
        </is>
      </c>
      <c r="B432" s="26" t="inlineStr">
        <is>
          <t>어론 신규점</t>
        </is>
      </c>
      <c r="C432" s="26" t="inlineStr">
        <is>
          <t>S09-H동</t>
        </is>
      </c>
      <c r="D432" s="47" t="n">
        <v>1</v>
      </c>
      <c r="E432" s="26" t="inlineStr">
        <is>
          <t>측정</t>
        </is>
      </c>
      <c r="F432" s="26" t="inlineStr">
        <is>
          <t>동</t>
        </is>
      </c>
      <c r="G432" s="31" t="n">
        <v>9</v>
      </c>
      <c r="H432" s="30" t="n"/>
      <c r="I432" s="43" t="n"/>
      <c r="J432" s="41" t="n"/>
      <c r="K432" s="41" t="n"/>
      <c r="L432" s="41" t="n"/>
      <c r="M432" s="31">
        <f>IF(COUNT(J432:L432)=0,"",MEDIAN(J432:L432))</f>
        <v/>
      </c>
      <c r="N432" s="26">
        <f>IF(COUNTIFS($C:$C,$C432,$D:$D,$D432,$E:$E,"P0(전)",$M:$M,"&gt;0")&lt;&gt;1,"P0(전) 유효 1개 아님",IF(COUNTIFS($C:$C,$C432,$D:$D,$D432,$E:$E,"P0(후)",$M:$M,"&gt;0")&lt;&gt;1,"P0(후) 유효 1개 아님",IF(NOT(AND(ISNUMBER(O432),ISNUMBER(Q432),ISNUMBER(I432))),"시각 결측",IF(Q432&lt;=O432,"P0 시각 역전",IF(OR(I432&lt;O432,I432&gt;Q432),"측정시각 구간 밖","OK")))))</f>
        <v/>
      </c>
      <c r="O432" s="48">
        <f>IF(COUNTIFS($C:$C,$C432,$D:$D,$D432,$E:$E,"P0(전)",$M:$M,"&gt;0")&lt;&gt;1,"",SUMIFS($I:$I,$C:$C,$C432,$D:$D,$D432,$E:$E,"P0(전)"))</f>
        <v/>
      </c>
      <c r="P432" s="31">
        <f>IF(COUNTIFS($C:$C,$C432,$D:$D,$D432,$E:$E,"P0(전)",$M:$M,"&gt;0")&lt;&gt;1,"",SUMIFS($M:$M,$C:$C,$C432,$D:$D,$D432,$E:$E,"P0(전)"))</f>
        <v/>
      </c>
      <c r="Q432" s="48">
        <f>IF(COUNTIFS($C:$C,$C432,$D:$D,$D432,$E:$E,"P0(후)",$M:$M,"&gt;0")&lt;&gt;1,"",SUMIFS($I:$I,$C:$C,$C432,$D:$D,$D432,$E:$E,"P0(후)"))</f>
        <v/>
      </c>
      <c r="R432" s="31">
        <f>IF(COUNTIFS($C:$C,$C432,$D:$D,$D432,$E:$E,"P0(후)",$M:$M,"&gt;0")&lt;&gt;1,"",SUMIFS($M:$M,$C:$C,$C432,$D:$D,$D432,$E:$E,"P0(후)"))</f>
        <v/>
      </c>
      <c r="S432" s="31">
        <f>IF(N432&lt;&gt;"OK","",P432+(R432-P432)*(I432-O432)/(Q432-O432))</f>
        <v/>
      </c>
      <c r="T432" s="31">
        <f>IF(OR(N432&lt;&gt;"OK",NOT(ISNUMBER(M432))),"",M432-S432)</f>
        <v/>
      </c>
      <c r="U432" s="49">
        <f>IF(OR(NOT(ISNUMBER(T432)),IF(ISNUMBER(H432),H432,G432)=0),"",T432/IF(ISNUMBER(H432),H432,G432))</f>
        <v/>
      </c>
      <c r="V432" s="49">
        <f>IF(ISNUMBER(U432),ABS(U432),"")</f>
        <v/>
      </c>
      <c r="W432" s="49">
        <f>IF(OR($E431&lt;&gt;"측정",$C431&lt;&gt;$C432,$D431&lt;&gt;$D432,NOT(ISNUMBER(M432)),NOT(ISNUMBER(M431)),(IF(ISNUMBER(H432),H432,G432)-IF(ISNUMBER(H431),H431,G431))=0),"",(M432-M431)/(IF(ISNUMBER(H432),H432,G432)-IF(ISNUMBER(H431),H431,G431)))</f>
        <v/>
      </c>
      <c r="X432" s="31">
        <f>IF(NOT(AND(ISNUMBER(O432),ISNUMBER(Q432))),"",(Q432-O432)*1440)</f>
        <v/>
      </c>
      <c r="Y432" s="29" t="n"/>
      <c r="Z432" s="29" t="n"/>
      <c r="AA432" s="29" t="n"/>
      <c r="AB432" s="32" t="n"/>
      <c r="AC432" s="32" t="n"/>
    </row>
    <row r="433">
      <c r="A433" s="26" t="inlineStr">
        <is>
          <t>S09</t>
        </is>
      </c>
      <c r="B433" s="26" t="inlineStr">
        <is>
          <t>어론 신규점</t>
        </is>
      </c>
      <c r="C433" s="26" t="inlineStr">
        <is>
          <t>S09-H동</t>
        </is>
      </c>
      <c r="D433" s="47" t="n">
        <v>1</v>
      </c>
      <c r="E433" s="26" t="inlineStr">
        <is>
          <t>측정</t>
        </is>
      </c>
      <c r="F433" s="26" t="inlineStr">
        <is>
          <t>동</t>
        </is>
      </c>
      <c r="G433" s="31" t="n">
        <v>10</v>
      </c>
      <c r="H433" s="30" t="n"/>
      <c r="I433" s="43" t="n"/>
      <c r="J433" s="41" t="n"/>
      <c r="K433" s="41" t="n"/>
      <c r="L433" s="41" t="n"/>
      <c r="M433" s="31">
        <f>IF(COUNT(J433:L433)=0,"",MEDIAN(J433:L433))</f>
        <v/>
      </c>
      <c r="N433" s="26">
        <f>IF(COUNTIFS($C:$C,$C433,$D:$D,$D433,$E:$E,"P0(전)",$M:$M,"&gt;0")&lt;&gt;1,"P0(전) 유효 1개 아님",IF(COUNTIFS($C:$C,$C433,$D:$D,$D433,$E:$E,"P0(후)",$M:$M,"&gt;0")&lt;&gt;1,"P0(후) 유효 1개 아님",IF(NOT(AND(ISNUMBER(O433),ISNUMBER(Q433),ISNUMBER(I433))),"시각 결측",IF(Q433&lt;=O433,"P0 시각 역전",IF(OR(I433&lt;O433,I433&gt;Q433),"측정시각 구간 밖","OK")))))</f>
        <v/>
      </c>
      <c r="O433" s="48">
        <f>IF(COUNTIFS($C:$C,$C433,$D:$D,$D433,$E:$E,"P0(전)",$M:$M,"&gt;0")&lt;&gt;1,"",SUMIFS($I:$I,$C:$C,$C433,$D:$D,$D433,$E:$E,"P0(전)"))</f>
        <v/>
      </c>
      <c r="P433" s="31">
        <f>IF(COUNTIFS($C:$C,$C433,$D:$D,$D433,$E:$E,"P0(전)",$M:$M,"&gt;0")&lt;&gt;1,"",SUMIFS($M:$M,$C:$C,$C433,$D:$D,$D433,$E:$E,"P0(전)"))</f>
        <v/>
      </c>
      <c r="Q433" s="48">
        <f>IF(COUNTIFS($C:$C,$C433,$D:$D,$D433,$E:$E,"P0(후)",$M:$M,"&gt;0")&lt;&gt;1,"",SUMIFS($I:$I,$C:$C,$C433,$D:$D,$D433,$E:$E,"P0(후)"))</f>
        <v/>
      </c>
      <c r="R433" s="31">
        <f>IF(COUNTIFS($C:$C,$C433,$D:$D,$D433,$E:$E,"P0(후)",$M:$M,"&gt;0")&lt;&gt;1,"",SUMIFS($M:$M,$C:$C,$C433,$D:$D,$D433,$E:$E,"P0(후)"))</f>
        <v/>
      </c>
      <c r="S433" s="31">
        <f>IF(N433&lt;&gt;"OK","",P433+(R433-P433)*(I433-O433)/(Q433-O433))</f>
        <v/>
      </c>
      <c r="T433" s="31">
        <f>IF(OR(N433&lt;&gt;"OK",NOT(ISNUMBER(M433))),"",M433-S433)</f>
        <v/>
      </c>
      <c r="U433" s="49">
        <f>IF(OR(NOT(ISNUMBER(T433)),IF(ISNUMBER(H433),H433,G433)=0),"",T433/IF(ISNUMBER(H433),H433,G433))</f>
        <v/>
      </c>
      <c r="V433" s="49">
        <f>IF(ISNUMBER(U433),ABS(U433),"")</f>
        <v/>
      </c>
      <c r="W433" s="49">
        <f>IF(OR($E432&lt;&gt;"측정",$C432&lt;&gt;$C433,$D432&lt;&gt;$D433,NOT(ISNUMBER(M433)),NOT(ISNUMBER(M432)),(IF(ISNUMBER(H433),H433,G433)-IF(ISNUMBER(H432),H432,G432))=0),"",(M433-M432)/(IF(ISNUMBER(H433),H433,G433)-IF(ISNUMBER(H432),H432,G432)))</f>
        <v/>
      </c>
      <c r="X433" s="31">
        <f>IF(NOT(AND(ISNUMBER(O433),ISNUMBER(Q433))),"",(Q433-O433)*1440)</f>
        <v/>
      </c>
      <c r="Y433" s="29" t="n"/>
      <c r="Z433" s="29" t="n"/>
      <c r="AA433" s="29" t="n"/>
      <c r="AB433" s="32" t="n"/>
      <c r="AC433" s="32" t="n"/>
    </row>
    <row r="434">
      <c r="A434" s="44" t="inlineStr">
        <is>
          <t>S09</t>
        </is>
      </c>
      <c r="B434" s="44" t="inlineStr">
        <is>
          <t>어론 신규점</t>
        </is>
      </c>
      <c r="C434" s="44" t="inlineStr">
        <is>
          <t>S09-H동</t>
        </is>
      </c>
      <c r="D434" s="45" t="n">
        <v>1</v>
      </c>
      <c r="E434" s="44" t="inlineStr">
        <is>
          <t>P0(후)</t>
        </is>
      </c>
      <c r="F434" s="44" t="inlineStr">
        <is>
          <t>동</t>
        </is>
      </c>
      <c r="G434" s="46" t="n"/>
      <c r="H434" s="30" t="n"/>
      <c r="I434" s="43" t="n"/>
      <c r="J434" s="41" t="n"/>
      <c r="K434" s="41" t="n"/>
      <c r="L434" s="41" t="n"/>
      <c r="M434" s="31">
        <f>IF(COUNT(J434:L434)=0,"",MEDIAN(J434:L434))</f>
        <v/>
      </c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38" t="n"/>
      <c r="Y434" s="29" t="n"/>
      <c r="Z434" s="29" t="n"/>
      <c r="AA434" s="29" t="n"/>
      <c r="AB434" s="32" t="n"/>
      <c r="AC434" s="32" t="n"/>
    </row>
    <row r="435">
      <c r="A435" s="44" t="inlineStr">
        <is>
          <t>S09</t>
        </is>
      </c>
      <c r="B435" s="44" t="inlineStr">
        <is>
          <t>어론 신규점</t>
        </is>
      </c>
      <c r="C435" s="44" t="inlineStr">
        <is>
          <t>S09-H서</t>
        </is>
      </c>
      <c r="D435" s="45" t="n">
        <v>1</v>
      </c>
      <c r="E435" s="44" t="inlineStr">
        <is>
          <t>P0(전)</t>
        </is>
      </c>
      <c r="F435" s="44" t="inlineStr">
        <is>
          <t>서</t>
        </is>
      </c>
      <c r="G435" s="46" t="n"/>
      <c r="H435" s="30" t="n"/>
      <c r="I435" s="43" t="n"/>
      <c r="J435" s="41" t="n"/>
      <c r="K435" s="41" t="n"/>
      <c r="L435" s="41" t="n"/>
      <c r="M435" s="31">
        <f>IF(COUNT(J435:L435)=0,"",MEDIAN(J435:L435))</f>
        <v/>
      </c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  <c r="X435" s="38" t="n"/>
      <c r="Y435" s="29" t="n"/>
      <c r="Z435" s="29" t="n"/>
      <c r="AA435" s="29" t="n"/>
      <c r="AB435" s="32" t="n"/>
      <c r="AC435" s="32" t="n"/>
    </row>
    <row r="436">
      <c r="A436" s="26" t="inlineStr">
        <is>
          <t>S09</t>
        </is>
      </c>
      <c r="B436" s="26" t="inlineStr">
        <is>
          <t>어론 신규점</t>
        </is>
      </c>
      <c r="C436" s="26" t="inlineStr">
        <is>
          <t>S09-H서</t>
        </is>
      </c>
      <c r="D436" s="47" t="n">
        <v>1</v>
      </c>
      <c r="E436" s="26" t="inlineStr">
        <is>
          <t>측정</t>
        </is>
      </c>
      <c r="F436" s="26" t="inlineStr">
        <is>
          <t>서</t>
        </is>
      </c>
      <c r="G436" s="31" t="n">
        <v>0.5</v>
      </c>
      <c r="H436" s="30" t="n"/>
      <c r="I436" s="43" t="n"/>
      <c r="J436" s="41" t="n"/>
      <c r="K436" s="41" t="n"/>
      <c r="L436" s="41" t="n"/>
      <c r="M436" s="31">
        <f>IF(COUNT(J436:L436)=0,"",MEDIAN(J436:L436))</f>
        <v/>
      </c>
      <c r="N436" s="26">
        <f>IF(COUNTIFS($C:$C,$C436,$D:$D,$D436,$E:$E,"P0(전)",$M:$M,"&gt;0")&lt;&gt;1,"P0(전) 유효 1개 아님",IF(COUNTIFS($C:$C,$C436,$D:$D,$D436,$E:$E,"P0(후)",$M:$M,"&gt;0")&lt;&gt;1,"P0(후) 유효 1개 아님",IF(NOT(AND(ISNUMBER(O436),ISNUMBER(Q436),ISNUMBER(I436))),"시각 결측",IF(Q436&lt;=O436,"P0 시각 역전",IF(OR(I436&lt;O436,I436&gt;Q436),"측정시각 구간 밖","OK")))))</f>
        <v/>
      </c>
      <c r="O436" s="48">
        <f>IF(COUNTIFS($C:$C,$C436,$D:$D,$D436,$E:$E,"P0(전)",$M:$M,"&gt;0")&lt;&gt;1,"",SUMIFS($I:$I,$C:$C,$C436,$D:$D,$D436,$E:$E,"P0(전)"))</f>
        <v/>
      </c>
      <c r="P436" s="31">
        <f>IF(COUNTIFS($C:$C,$C436,$D:$D,$D436,$E:$E,"P0(전)",$M:$M,"&gt;0")&lt;&gt;1,"",SUMIFS($M:$M,$C:$C,$C436,$D:$D,$D436,$E:$E,"P0(전)"))</f>
        <v/>
      </c>
      <c r="Q436" s="48">
        <f>IF(COUNTIFS($C:$C,$C436,$D:$D,$D436,$E:$E,"P0(후)",$M:$M,"&gt;0")&lt;&gt;1,"",SUMIFS($I:$I,$C:$C,$C436,$D:$D,$D436,$E:$E,"P0(후)"))</f>
        <v/>
      </c>
      <c r="R436" s="31">
        <f>IF(COUNTIFS($C:$C,$C436,$D:$D,$D436,$E:$E,"P0(후)",$M:$M,"&gt;0")&lt;&gt;1,"",SUMIFS($M:$M,$C:$C,$C436,$D:$D,$D436,$E:$E,"P0(후)"))</f>
        <v/>
      </c>
      <c r="S436" s="31">
        <f>IF(N436&lt;&gt;"OK","",P436+(R436-P436)*(I436-O436)/(Q436-O436))</f>
        <v/>
      </c>
      <c r="T436" s="31">
        <f>IF(OR(N436&lt;&gt;"OK",NOT(ISNUMBER(M436))),"",M436-S436)</f>
        <v/>
      </c>
      <c r="U436" s="49">
        <f>IF(OR(NOT(ISNUMBER(T436)),IF(ISNUMBER(H436),H436,G436)=0),"",T436/IF(ISNUMBER(H436),H436,G436))</f>
        <v/>
      </c>
      <c r="V436" s="49">
        <f>IF(ISNUMBER(U436),ABS(U436),"")</f>
        <v/>
      </c>
      <c r="W436" s="49">
        <f>IF(OR($E435&lt;&gt;"측정",$C435&lt;&gt;$C436,$D435&lt;&gt;$D436,NOT(ISNUMBER(M436)),NOT(ISNUMBER(M435)),(IF(ISNUMBER(H436),H436,G436)-IF(ISNUMBER(H435),H435,G435))=0),"",(M436-M435)/(IF(ISNUMBER(H436),H436,G436)-IF(ISNUMBER(H435),H435,G435)))</f>
        <v/>
      </c>
      <c r="X436" s="31">
        <f>IF(NOT(AND(ISNUMBER(O436),ISNUMBER(Q436))),"",(Q436-O436)*1440)</f>
        <v/>
      </c>
      <c r="Y436" s="29" t="n"/>
      <c r="Z436" s="29" t="n"/>
      <c r="AA436" s="29" t="n"/>
      <c r="AB436" s="32" t="n"/>
      <c r="AC436" s="32" t="n"/>
    </row>
    <row r="437">
      <c r="A437" s="26" t="inlineStr">
        <is>
          <t>S09</t>
        </is>
      </c>
      <c r="B437" s="26" t="inlineStr">
        <is>
          <t>어론 신규점</t>
        </is>
      </c>
      <c r="C437" s="26" t="inlineStr">
        <is>
          <t>S09-H서</t>
        </is>
      </c>
      <c r="D437" s="47" t="n">
        <v>1</v>
      </c>
      <c r="E437" s="26" t="inlineStr">
        <is>
          <t>측정</t>
        </is>
      </c>
      <c r="F437" s="26" t="inlineStr">
        <is>
          <t>서</t>
        </is>
      </c>
      <c r="G437" s="31" t="n">
        <v>1</v>
      </c>
      <c r="H437" s="30" t="n"/>
      <c r="I437" s="43" t="n"/>
      <c r="J437" s="41" t="n"/>
      <c r="K437" s="41" t="n"/>
      <c r="L437" s="41" t="n"/>
      <c r="M437" s="31">
        <f>IF(COUNT(J437:L437)=0,"",MEDIAN(J437:L437))</f>
        <v/>
      </c>
      <c r="N437" s="26">
        <f>IF(COUNTIFS($C:$C,$C437,$D:$D,$D437,$E:$E,"P0(전)",$M:$M,"&gt;0")&lt;&gt;1,"P0(전) 유효 1개 아님",IF(COUNTIFS($C:$C,$C437,$D:$D,$D437,$E:$E,"P0(후)",$M:$M,"&gt;0")&lt;&gt;1,"P0(후) 유효 1개 아님",IF(NOT(AND(ISNUMBER(O437),ISNUMBER(Q437),ISNUMBER(I437))),"시각 결측",IF(Q437&lt;=O437,"P0 시각 역전",IF(OR(I437&lt;O437,I437&gt;Q437),"측정시각 구간 밖","OK")))))</f>
        <v/>
      </c>
      <c r="O437" s="48">
        <f>IF(COUNTIFS($C:$C,$C437,$D:$D,$D437,$E:$E,"P0(전)",$M:$M,"&gt;0")&lt;&gt;1,"",SUMIFS($I:$I,$C:$C,$C437,$D:$D,$D437,$E:$E,"P0(전)"))</f>
        <v/>
      </c>
      <c r="P437" s="31">
        <f>IF(COUNTIFS($C:$C,$C437,$D:$D,$D437,$E:$E,"P0(전)",$M:$M,"&gt;0")&lt;&gt;1,"",SUMIFS($M:$M,$C:$C,$C437,$D:$D,$D437,$E:$E,"P0(전)"))</f>
        <v/>
      </c>
      <c r="Q437" s="48">
        <f>IF(COUNTIFS($C:$C,$C437,$D:$D,$D437,$E:$E,"P0(후)",$M:$M,"&gt;0")&lt;&gt;1,"",SUMIFS($I:$I,$C:$C,$C437,$D:$D,$D437,$E:$E,"P0(후)"))</f>
        <v/>
      </c>
      <c r="R437" s="31">
        <f>IF(COUNTIFS($C:$C,$C437,$D:$D,$D437,$E:$E,"P0(후)",$M:$M,"&gt;0")&lt;&gt;1,"",SUMIFS($M:$M,$C:$C,$C437,$D:$D,$D437,$E:$E,"P0(후)"))</f>
        <v/>
      </c>
      <c r="S437" s="31">
        <f>IF(N437&lt;&gt;"OK","",P437+(R437-P437)*(I437-O437)/(Q437-O437))</f>
        <v/>
      </c>
      <c r="T437" s="31">
        <f>IF(OR(N437&lt;&gt;"OK",NOT(ISNUMBER(M437))),"",M437-S437)</f>
        <v/>
      </c>
      <c r="U437" s="49">
        <f>IF(OR(NOT(ISNUMBER(T437)),IF(ISNUMBER(H437),H437,G437)=0),"",T437/IF(ISNUMBER(H437),H437,G437))</f>
        <v/>
      </c>
      <c r="V437" s="49">
        <f>IF(ISNUMBER(U437),ABS(U437),"")</f>
        <v/>
      </c>
      <c r="W437" s="49">
        <f>IF(OR($E436&lt;&gt;"측정",$C436&lt;&gt;$C437,$D436&lt;&gt;$D437,NOT(ISNUMBER(M437)),NOT(ISNUMBER(M436)),(IF(ISNUMBER(H437),H437,G437)-IF(ISNUMBER(H436),H436,G436))=0),"",(M437-M436)/(IF(ISNUMBER(H437),H437,G437)-IF(ISNUMBER(H436),H436,G436)))</f>
        <v/>
      </c>
      <c r="X437" s="31">
        <f>IF(NOT(AND(ISNUMBER(O437),ISNUMBER(Q437))),"",(Q437-O437)*1440)</f>
        <v/>
      </c>
      <c r="Y437" s="29" t="n"/>
      <c r="Z437" s="29" t="n"/>
      <c r="AA437" s="29" t="n"/>
      <c r="AB437" s="32" t="n"/>
      <c r="AC437" s="32" t="n"/>
    </row>
    <row r="438">
      <c r="A438" s="26" t="inlineStr">
        <is>
          <t>S09</t>
        </is>
      </c>
      <c r="B438" s="26" t="inlineStr">
        <is>
          <t>어론 신규점</t>
        </is>
      </c>
      <c r="C438" s="26" t="inlineStr">
        <is>
          <t>S09-H서</t>
        </is>
      </c>
      <c r="D438" s="47" t="n">
        <v>1</v>
      </c>
      <c r="E438" s="26" t="inlineStr">
        <is>
          <t>측정</t>
        </is>
      </c>
      <c r="F438" s="26" t="inlineStr">
        <is>
          <t>서</t>
        </is>
      </c>
      <c r="G438" s="31" t="n">
        <v>2</v>
      </c>
      <c r="H438" s="30" t="n"/>
      <c r="I438" s="43" t="n"/>
      <c r="J438" s="41" t="n"/>
      <c r="K438" s="41" t="n"/>
      <c r="L438" s="41" t="n"/>
      <c r="M438" s="31">
        <f>IF(COUNT(J438:L438)=0,"",MEDIAN(J438:L438))</f>
        <v/>
      </c>
      <c r="N438" s="26">
        <f>IF(COUNTIFS($C:$C,$C438,$D:$D,$D438,$E:$E,"P0(전)",$M:$M,"&gt;0")&lt;&gt;1,"P0(전) 유효 1개 아님",IF(COUNTIFS($C:$C,$C438,$D:$D,$D438,$E:$E,"P0(후)",$M:$M,"&gt;0")&lt;&gt;1,"P0(후) 유효 1개 아님",IF(NOT(AND(ISNUMBER(O438),ISNUMBER(Q438),ISNUMBER(I438))),"시각 결측",IF(Q438&lt;=O438,"P0 시각 역전",IF(OR(I438&lt;O438,I438&gt;Q438),"측정시각 구간 밖","OK")))))</f>
        <v/>
      </c>
      <c r="O438" s="48">
        <f>IF(COUNTIFS($C:$C,$C438,$D:$D,$D438,$E:$E,"P0(전)",$M:$M,"&gt;0")&lt;&gt;1,"",SUMIFS($I:$I,$C:$C,$C438,$D:$D,$D438,$E:$E,"P0(전)"))</f>
        <v/>
      </c>
      <c r="P438" s="31">
        <f>IF(COUNTIFS($C:$C,$C438,$D:$D,$D438,$E:$E,"P0(전)",$M:$M,"&gt;0")&lt;&gt;1,"",SUMIFS($M:$M,$C:$C,$C438,$D:$D,$D438,$E:$E,"P0(전)"))</f>
        <v/>
      </c>
      <c r="Q438" s="48">
        <f>IF(COUNTIFS($C:$C,$C438,$D:$D,$D438,$E:$E,"P0(후)",$M:$M,"&gt;0")&lt;&gt;1,"",SUMIFS($I:$I,$C:$C,$C438,$D:$D,$D438,$E:$E,"P0(후)"))</f>
        <v/>
      </c>
      <c r="R438" s="31">
        <f>IF(COUNTIFS($C:$C,$C438,$D:$D,$D438,$E:$E,"P0(후)",$M:$M,"&gt;0")&lt;&gt;1,"",SUMIFS($M:$M,$C:$C,$C438,$D:$D,$D438,$E:$E,"P0(후)"))</f>
        <v/>
      </c>
      <c r="S438" s="31">
        <f>IF(N438&lt;&gt;"OK","",P438+(R438-P438)*(I438-O438)/(Q438-O438))</f>
        <v/>
      </c>
      <c r="T438" s="31">
        <f>IF(OR(N438&lt;&gt;"OK",NOT(ISNUMBER(M438))),"",M438-S438)</f>
        <v/>
      </c>
      <c r="U438" s="49">
        <f>IF(OR(NOT(ISNUMBER(T438)),IF(ISNUMBER(H438),H438,G438)=0),"",T438/IF(ISNUMBER(H438),H438,G438))</f>
        <v/>
      </c>
      <c r="V438" s="49">
        <f>IF(ISNUMBER(U438),ABS(U438),"")</f>
        <v/>
      </c>
      <c r="W438" s="49">
        <f>IF(OR($E437&lt;&gt;"측정",$C437&lt;&gt;$C438,$D437&lt;&gt;$D438,NOT(ISNUMBER(M438)),NOT(ISNUMBER(M437)),(IF(ISNUMBER(H438),H438,G438)-IF(ISNUMBER(H437),H437,G437))=0),"",(M438-M437)/(IF(ISNUMBER(H438),H438,G438)-IF(ISNUMBER(H437),H437,G437)))</f>
        <v/>
      </c>
      <c r="X438" s="31">
        <f>IF(NOT(AND(ISNUMBER(O438),ISNUMBER(Q438))),"",(Q438-O438)*1440)</f>
        <v/>
      </c>
      <c r="Y438" s="29" t="n"/>
      <c r="Z438" s="29" t="n"/>
      <c r="AA438" s="29" t="n"/>
      <c r="AB438" s="32" t="n"/>
      <c r="AC438" s="32" t="n"/>
    </row>
    <row r="439">
      <c r="A439" s="26" t="inlineStr">
        <is>
          <t>S09</t>
        </is>
      </c>
      <c r="B439" s="26" t="inlineStr">
        <is>
          <t>어론 신규점</t>
        </is>
      </c>
      <c r="C439" s="26" t="inlineStr">
        <is>
          <t>S09-H서</t>
        </is>
      </c>
      <c r="D439" s="47" t="n">
        <v>1</v>
      </c>
      <c r="E439" s="26" t="inlineStr">
        <is>
          <t>측정</t>
        </is>
      </c>
      <c r="F439" s="26" t="inlineStr">
        <is>
          <t>서</t>
        </is>
      </c>
      <c r="G439" s="31" t="n">
        <v>3</v>
      </c>
      <c r="H439" s="30" t="n"/>
      <c r="I439" s="43" t="n"/>
      <c r="J439" s="41" t="n"/>
      <c r="K439" s="41" t="n"/>
      <c r="L439" s="41" t="n"/>
      <c r="M439" s="31">
        <f>IF(COUNT(J439:L439)=0,"",MEDIAN(J439:L439))</f>
        <v/>
      </c>
      <c r="N439" s="26">
        <f>IF(COUNTIFS($C:$C,$C439,$D:$D,$D439,$E:$E,"P0(전)",$M:$M,"&gt;0")&lt;&gt;1,"P0(전) 유효 1개 아님",IF(COUNTIFS($C:$C,$C439,$D:$D,$D439,$E:$E,"P0(후)",$M:$M,"&gt;0")&lt;&gt;1,"P0(후) 유효 1개 아님",IF(NOT(AND(ISNUMBER(O439),ISNUMBER(Q439),ISNUMBER(I439))),"시각 결측",IF(Q439&lt;=O439,"P0 시각 역전",IF(OR(I439&lt;O439,I439&gt;Q439),"측정시각 구간 밖","OK")))))</f>
        <v/>
      </c>
      <c r="O439" s="48">
        <f>IF(COUNTIFS($C:$C,$C439,$D:$D,$D439,$E:$E,"P0(전)",$M:$M,"&gt;0")&lt;&gt;1,"",SUMIFS($I:$I,$C:$C,$C439,$D:$D,$D439,$E:$E,"P0(전)"))</f>
        <v/>
      </c>
      <c r="P439" s="31">
        <f>IF(COUNTIFS($C:$C,$C439,$D:$D,$D439,$E:$E,"P0(전)",$M:$M,"&gt;0")&lt;&gt;1,"",SUMIFS($M:$M,$C:$C,$C439,$D:$D,$D439,$E:$E,"P0(전)"))</f>
        <v/>
      </c>
      <c r="Q439" s="48">
        <f>IF(COUNTIFS($C:$C,$C439,$D:$D,$D439,$E:$E,"P0(후)",$M:$M,"&gt;0")&lt;&gt;1,"",SUMIFS($I:$I,$C:$C,$C439,$D:$D,$D439,$E:$E,"P0(후)"))</f>
        <v/>
      </c>
      <c r="R439" s="31">
        <f>IF(COUNTIFS($C:$C,$C439,$D:$D,$D439,$E:$E,"P0(후)",$M:$M,"&gt;0")&lt;&gt;1,"",SUMIFS($M:$M,$C:$C,$C439,$D:$D,$D439,$E:$E,"P0(후)"))</f>
        <v/>
      </c>
      <c r="S439" s="31">
        <f>IF(N439&lt;&gt;"OK","",P439+(R439-P439)*(I439-O439)/(Q439-O439))</f>
        <v/>
      </c>
      <c r="T439" s="31">
        <f>IF(OR(N439&lt;&gt;"OK",NOT(ISNUMBER(M439))),"",M439-S439)</f>
        <v/>
      </c>
      <c r="U439" s="49">
        <f>IF(OR(NOT(ISNUMBER(T439)),IF(ISNUMBER(H439),H439,G439)=0),"",T439/IF(ISNUMBER(H439),H439,G439))</f>
        <v/>
      </c>
      <c r="V439" s="49">
        <f>IF(ISNUMBER(U439),ABS(U439),"")</f>
        <v/>
      </c>
      <c r="W439" s="49">
        <f>IF(OR($E438&lt;&gt;"측정",$C438&lt;&gt;$C439,$D438&lt;&gt;$D439,NOT(ISNUMBER(M439)),NOT(ISNUMBER(M438)),(IF(ISNUMBER(H439),H439,G439)-IF(ISNUMBER(H438),H438,G438))=0),"",(M439-M438)/(IF(ISNUMBER(H439),H439,G439)-IF(ISNUMBER(H438),H438,G438)))</f>
        <v/>
      </c>
      <c r="X439" s="31">
        <f>IF(NOT(AND(ISNUMBER(O439),ISNUMBER(Q439))),"",(Q439-O439)*1440)</f>
        <v/>
      </c>
      <c r="Y439" s="29" t="n"/>
      <c r="Z439" s="29" t="n"/>
      <c r="AA439" s="29" t="n"/>
      <c r="AB439" s="32" t="n"/>
      <c r="AC439" s="32" t="n"/>
    </row>
    <row r="440">
      <c r="A440" s="26" t="inlineStr">
        <is>
          <t>S09</t>
        </is>
      </c>
      <c r="B440" s="26" t="inlineStr">
        <is>
          <t>어론 신규점</t>
        </is>
      </c>
      <c r="C440" s="26" t="inlineStr">
        <is>
          <t>S09-H서</t>
        </is>
      </c>
      <c r="D440" s="47" t="n">
        <v>1</v>
      </c>
      <c r="E440" s="26" t="inlineStr">
        <is>
          <t>측정</t>
        </is>
      </c>
      <c r="F440" s="26" t="inlineStr">
        <is>
          <t>서</t>
        </is>
      </c>
      <c r="G440" s="31" t="n">
        <v>4</v>
      </c>
      <c r="H440" s="30" t="n"/>
      <c r="I440" s="43" t="n"/>
      <c r="J440" s="41" t="n"/>
      <c r="K440" s="41" t="n"/>
      <c r="L440" s="41" t="n"/>
      <c r="M440" s="31">
        <f>IF(COUNT(J440:L440)=0,"",MEDIAN(J440:L440))</f>
        <v/>
      </c>
      <c r="N440" s="26">
        <f>IF(COUNTIFS($C:$C,$C440,$D:$D,$D440,$E:$E,"P0(전)",$M:$M,"&gt;0")&lt;&gt;1,"P0(전) 유효 1개 아님",IF(COUNTIFS($C:$C,$C440,$D:$D,$D440,$E:$E,"P0(후)",$M:$M,"&gt;0")&lt;&gt;1,"P0(후) 유효 1개 아님",IF(NOT(AND(ISNUMBER(O440),ISNUMBER(Q440),ISNUMBER(I440))),"시각 결측",IF(Q440&lt;=O440,"P0 시각 역전",IF(OR(I440&lt;O440,I440&gt;Q440),"측정시각 구간 밖","OK")))))</f>
        <v/>
      </c>
      <c r="O440" s="48">
        <f>IF(COUNTIFS($C:$C,$C440,$D:$D,$D440,$E:$E,"P0(전)",$M:$M,"&gt;0")&lt;&gt;1,"",SUMIFS($I:$I,$C:$C,$C440,$D:$D,$D440,$E:$E,"P0(전)"))</f>
        <v/>
      </c>
      <c r="P440" s="31">
        <f>IF(COUNTIFS($C:$C,$C440,$D:$D,$D440,$E:$E,"P0(전)",$M:$M,"&gt;0")&lt;&gt;1,"",SUMIFS($M:$M,$C:$C,$C440,$D:$D,$D440,$E:$E,"P0(전)"))</f>
        <v/>
      </c>
      <c r="Q440" s="48">
        <f>IF(COUNTIFS($C:$C,$C440,$D:$D,$D440,$E:$E,"P0(후)",$M:$M,"&gt;0")&lt;&gt;1,"",SUMIFS($I:$I,$C:$C,$C440,$D:$D,$D440,$E:$E,"P0(후)"))</f>
        <v/>
      </c>
      <c r="R440" s="31">
        <f>IF(COUNTIFS($C:$C,$C440,$D:$D,$D440,$E:$E,"P0(후)",$M:$M,"&gt;0")&lt;&gt;1,"",SUMIFS($M:$M,$C:$C,$C440,$D:$D,$D440,$E:$E,"P0(후)"))</f>
        <v/>
      </c>
      <c r="S440" s="31">
        <f>IF(N440&lt;&gt;"OK","",P440+(R440-P440)*(I440-O440)/(Q440-O440))</f>
        <v/>
      </c>
      <c r="T440" s="31">
        <f>IF(OR(N440&lt;&gt;"OK",NOT(ISNUMBER(M440))),"",M440-S440)</f>
        <v/>
      </c>
      <c r="U440" s="49">
        <f>IF(OR(NOT(ISNUMBER(T440)),IF(ISNUMBER(H440),H440,G440)=0),"",T440/IF(ISNUMBER(H440),H440,G440))</f>
        <v/>
      </c>
      <c r="V440" s="49">
        <f>IF(ISNUMBER(U440),ABS(U440),"")</f>
        <v/>
      </c>
      <c r="W440" s="49">
        <f>IF(OR($E439&lt;&gt;"측정",$C439&lt;&gt;$C440,$D439&lt;&gt;$D440,NOT(ISNUMBER(M440)),NOT(ISNUMBER(M439)),(IF(ISNUMBER(H440),H440,G440)-IF(ISNUMBER(H439),H439,G439))=0),"",(M440-M439)/(IF(ISNUMBER(H440),H440,G440)-IF(ISNUMBER(H439),H439,G439)))</f>
        <v/>
      </c>
      <c r="X440" s="31">
        <f>IF(NOT(AND(ISNUMBER(O440),ISNUMBER(Q440))),"",(Q440-O440)*1440)</f>
        <v/>
      </c>
      <c r="Y440" s="29" t="n"/>
      <c r="Z440" s="29" t="n"/>
      <c r="AA440" s="29" t="n"/>
      <c r="AB440" s="32" t="n"/>
      <c r="AC440" s="32" t="n"/>
    </row>
    <row r="441">
      <c r="A441" s="26" t="inlineStr">
        <is>
          <t>S09</t>
        </is>
      </c>
      <c r="B441" s="26" t="inlineStr">
        <is>
          <t>어론 신규점</t>
        </is>
      </c>
      <c r="C441" s="26" t="inlineStr">
        <is>
          <t>S09-H서</t>
        </is>
      </c>
      <c r="D441" s="47" t="n">
        <v>1</v>
      </c>
      <c r="E441" s="26" t="inlineStr">
        <is>
          <t>측정</t>
        </is>
      </c>
      <c r="F441" s="26" t="inlineStr">
        <is>
          <t>서</t>
        </is>
      </c>
      <c r="G441" s="31" t="n">
        <v>5</v>
      </c>
      <c r="H441" s="30" t="n"/>
      <c r="I441" s="43" t="n"/>
      <c r="J441" s="41" t="n"/>
      <c r="K441" s="41" t="n"/>
      <c r="L441" s="41" t="n"/>
      <c r="M441" s="31">
        <f>IF(COUNT(J441:L441)=0,"",MEDIAN(J441:L441))</f>
        <v/>
      </c>
      <c r="N441" s="26">
        <f>IF(COUNTIFS($C:$C,$C441,$D:$D,$D441,$E:$E,"P0(전)",$M:$M,"&gt;0")&lt;&gt;1,"P0(전) 유효 1개 아님",IF(COUNTIFS($C:$C,$C441,$D:$D,$D441,$E:$E,"P0(후)",$M:$M,"&gt;0")&lt;&gt;1,"P0(후) 유효 1개 아님",IF(NOT(AND(ISNUMBER(O441),ISNUMBER(Q441),ISNUMBER(I441))),"시각 결측",IF(Q441&lt;=O441,"P0 시각 역전",IF(OR(I441&lt;O441,I441&gt;Q441),"측정시각 구간 밖","OK")))))</f>
        <v/>
      </c>
      <c r="O441" s="48">
        <f>IF(COUNTIFS($C:$C,$C441,$D:$D,$D441,$E:$E,"P0(전)",$M:$M,"&gt;0")&lt;&gt;1,"",SUMIFS($I:$I,$C:$C,$C441,$D:$D,$D441,$E:$E,"P0(전)"))</f>
        <v/>
      </c>
      <c r="P441" s="31">
        <f>IF(COUNTIFS($C:$C,$C441,$D:$D,$D441,$E:$E,"P0(전)",$M:$M,"&gt;0")&lt;&gt;1,"",SUMIFS($M:$M,$C:$C,$C441,$D:$D,$D441,$E:$E,"P0(전)"))</f>
        <v/>
      </c>
      <c r="Q441" s="48">
        <f>IF(COUNTIFS($C:$C,$C441,$D:$D,$D441,$E:$E,"P0(후)",$M:$M,"&gt;0")&lt;&gt;1,"",SUMIFS($I:$I,$C:$C,$C441,$D:$D,$D441,$E:$E,"P0(후)"))</f>
        <v/>
      </c>
      <c r="R441" s="31">
        <f>IF(COUNTIFS($C:$C,$C441,$D:$D,$D441,$E:$E,"P0(후)",$M:$M,"&gt;0")&lt;&gt;1,"",SUMIFS($M:$M,$C:$C,$C441,$D:$D,$D441,$E:$E,"P0(후)"))</f>
        <v/>
      </c>
      <c r="S441" s="31">
        <f>IF(N441&lt;&gt;"OK","",P441+(R441-P441)*(I441-O441)/(Q441-O441))</f>
        <v/>
      </c>
      <c r="T441" s="31">
        <f>IF(OR(N441&lt;&gt;"OK",NOT(ISNUMBER(M441))),"",M441-S441)</f>
        <v/>
      </c>
      <c r="U441" s="49">
        <f>IF(OR(NOT(ISNUMBER(T441)),IF(ISNUMBER(H441),H441,G441)=0),"",T441/IF(ISNUMBER(H441),H441,G441))</f>
        <v/>
      </c>
      <c r="V441" s="49">
        <f>IF(ISNUMBER(U441),ABS(U441),"")</f>
        <v/>
      </c>
      <c r="W441" s="49">
        <f>IF(OR($E440&lt;&gt;"측정",$C440&lt;&gt;$C441,$D440&lt;&gt;$D441,NOT(ISNUMBER(M441)),NOT(ISNUMBER(M440)),(IF(ISNUMBER(H441),H441,G441)-IF(ISNUMBER(H440),H440,G440))=0),"",(M441-M440)/(IF(ISNUMBER(H441),H441,G441)-IF(ISNUMBER(H440),H440,G440)))</f>
        <v/>
      </c>
      <c r="X441" s="31">
        <f>IF(NOT(AND(ISNUMBER(O441),ISNUMBER(Q441))),"",(Q441-O441)*1440)</f>
        <v/>
      </c>
      <c r="Y441" s="29" t="n"/>
      <c r="Z441" s="29" t="n"/>
      <c r="AA441" s="29" t="n"/>
      <c r="AB441" s="32" t="n"/>
      <c r="AC441" s="32" t="n"/>
    </row>
    <row r="442">
      <c r="A442" s="26" t="inlineStr">
        <is>
          <t>S09</t>
        </is>
      </c>
      <c r="B442" s="26" t="inlineStr">
        <is>
          <t>어론 신규점</t>
        </is>
      </c>
      <c r="C442" s="26" t="inlineStr">
        <is>
          <t>S09-H서</t>
        </is>
      </c>
      <c r="D442" s="47" t="n">
        <v>1</v>
      </c>
      <c r="E442" s="26" t="inlineStr">
        <is>
          <t>측정</t>
        </is>
      </c>
      <c r="F442" s="26" t="inlineStr">
        <is>
          <t>서</t>
        </is>
      </c>
      <c r="G442" s="31" t="n">
        <v>6</v>
      </c>
      <c r="H442" s="30" t="n"/>
      <c r="I442" s="43" t="n"/>
      <c r="J442" s="41" t="n"/>
      <c r="K442" s="41" t="n"/>
      <c r="L442" s="41" t="n"/>
      <c r="M442" s="31">
        <f>IF(COUNT(J442:L442)=0,"",MEDIAN(J442:L442))</f>
        <v/>
      </c>
      <c r="N442" s="26">
        <f>IF(COUNTIFS($C:$C,$C442,$D:$D,$D442,$E:$E,"P0(전)",$M:$M,"&gt;0")&lt;&gt;1,"P0(전) 유효 1개 아님",IF(COUNTIFS($C:$C,$C442,$D:$D,$D442,$E:$E,"P0(후)",$M:$M,"&gt;0")&lt;&gt;1,"P0(후) 유효 1개 아님",IF(NOT(AND(ISNUMBER(O442),ISNUMBER(Q442),ISNUMBER(I442))),"시각 결측",IF(Q442&lt;=O442,"P0 시각 역전",IF(OR(I442&lt;O442,I442&gt;Q442),"측정시각 구간 밖","OK")))))</f>
        <v/>
      </c>
      <c r="O442" s="48">
        <f>IF(COUNTIFS($C:$C,$C442,$D:$D,$D442,$E:$E,"P0(전)",$M:$M,"&gt;0")&lt;&gt;1,"",SUMIFS($I:$I,$C:$C,$C442,$D:$D,$D442,$E:$E,"P0(전)"))</f>
        <v/>
      </c>
      <c r="P442" s="31">
        <f>IF(COUNTIFS($C:$C,$C442,$D:$D,$D442,$E:$E,"P0(전)",$M:$M,"&gt;0")&lt;&gt;1,"",SUMIFS($M:$M,$C:$C,$C442,$D:$D,$D442,$E:$E,"P0(전)"))</f>
        <v/>
      </c>
      <c r="Q442" s="48">
        <f>IF(COUNTIFS($C:$C,$C442,$D:$D,$D442,$E:$E,"P0(후)",$M:$M,"&gt;0")&lt;&gt;1,"",SUMIFS($I:$I,$C:$C,$C442,$D:$D,$D442,$E:$E,"P0(후)"))</f>
        <v/>
      </c>
      <c r="R442" s="31">
        <f>IF(COUNTIFS($C:$C,$C442,$D:$D,$D442,$E:$E,"P0(후)",$M:$M,"&gt;0")&lt;&gt;1,"",SUMIFS($M:$M,$C:$C,$C442,$D:$D,$D442,$E:$E,"P0(후)"))</f>
        <v/>
      </c>
      <c r="S442" s="31">
        <f>IF(N442&lt;&gt;"OK","",P442+(R442-P442)*(I442-O442)/(Q442-O442))</f>
        <v/>
      </c>
      <c r="T442" s="31">
        <f>IF(OR(N442&lt;&gt;"OK",NOT(ISNUMBER(M442))),"",M442-S442)</f>
        <v/>
      </c>
      <c r="U442" s="49">
        <f>IF(OR(NOT(ISNUMBER(T442)),IF(ISNUMBER(H442),H442,G442)=0),"",T442/IF(ISNUMBER(H442),H442,G442))</f>
        <v/>
      </c>
      <c r="V442" s="49">
        <f>IF(ISNUMBER(U442),ABS(U442),"")</f>
        <v/>
      </c>
      <c r="W442" s="49">
        <f>IF(OR($E441&lt;&gt;"측정",$C441&lt;&gt;$C442,$D441&lt;&gt;$D442,NOT(ISNUMBER(M442)),NOT(ISNUMBER(M441)),(IF(ISNUMBER(H442),H442,G442)-IF(ISNUMBER(H441),H441,G441))=0),"",(M442-M441)/(IF(ISNUMBER(H442),H442,G442)-IF(ISNUMBER(H441),H441,G441)))</f>
        <v/>
      </c>
      <c r="X442" s="31">
        <f>IF(NOT(AND(ISNUMBER(O442),ISNUMBER(Q442))),"",(Q442-O442)*1440)</f>
        <v/>
      </c>
      <c r="Y442" s="29" t="n"/>
      <c r="Z442" s="29" t="n"/>
      <c r="AA442" s="29" t="n"/>
      <c r="AB442" s="32" t="n"/>
      <c r="AC442" s="32" t="n"/>
    </row>
    <row r="443">
      <c r="A443" s="26" t="inlineStr">
        <is>
          <t>S09</t>
        </is>
      </c>
      <c r="B443" s="26" t="inlineStr">
        <is>
          <t>어론 신규점</t>
        </is>
      </c>
      <c r="C443" s="26" t="inlineStr">
        <is>
          <t>S09-H서</t>
        </is>
      </c>
      <c r="D443" s="47" t="n">
        <v>1</v>
      </c>
      <c r="E443" s="26" t="inlineStr">
        <is>
          <t>측정</t>
        </is>
      </c>
      <c r="F443" s="26" t="inlineStr">
        <is>
          <t>서</t>
        </is>
      </c>
      <c r="G443" s="31" t="n">
        <v>7</v>
      </c>
      <c r="H443" s="30" t="n"/>
      <c r="I443" s="43" t="n"/>
      <c r="J443" s="41" t="n"/>
      <c r="K443" s="41" t="n"/>
      <c r="L443" s="41" t="n"/>
      <c r="M443" s="31">
        <f>IF(COUNT(J443:L443)=0,"",MEDIAN(J443:L443))</f>
        <v/>
      </c>
      <c r="N443" s="26">
        <f>IF(COUNTIFS($C:$C,$C443,$D:$D,$D443,$E:$E,"P0(전)",$M:$M,"&gt;0")&lt;&gt;1,"P0(전) 유효 1개 아님",IF(COUNTIFS($C:$C,$C443,$D:$D,$D443,$E:$E,"P0(후)",$M:$M,"&gt;0")&lt;&gt;1,"P0(후) 유효 1개 아님",IF(NOT(AND(ISNUMBER(O443),ISNUMBER(Q443),ISNUMBER(I443))),"시각 결측",IF(Q443&lt;=O443,"P0 시각 역전",IF(OR(I443&lt;O443,I443&gt;Q443),"측정시각 구간 밖","OK")))))</f>
        <v/>
      </c>
      <c r="O443" s="48">
        <f>IF(COUNTIFS($C:$C,$C443,$D:$D,$D443,$E:$E,"P0(전)",$M:$M,"&gt;0")&lt;&gt;1,"",SUMIFS($I:$I,$C:$C,$C443,$D:$D,$D443,$E:$E,"P0(전)"))</f>
        <v/>
      </c>
      <c r="P443" s="31">
        <f>IF(COUNTIFS($C:$C,$C443,$D:$D,$D443,$E:$E,"P0(전)",$M:$M,"&gt;0")&lt;&gt;1,"",SUMIFS($M:$M,$C:$C,$C443,$D:$D,$D443,$E:$E,"P0(전)"))</f>
        <v/>
      </c>
      <c r="Q443" s="48">
        <f>IF(COUNTIFS($C:$C,$C443,$D:$D,$D443,$E:$E,"P0(후)",$M:$M,"&gt;0")&lt;&gt;1,"",SUMIFS($I:$I,$C:$C,$C443,$D:$D,$D443,$E:$E,"P0(후)"))</f>
        <v/>
      </c>
      <c r="R443" s="31">
        <f>IF(COUNTIFS($C:$C,$C443,$D:$D,$D443,$E:$E,"P0(후)",$M:$M,"&gt;0")&lt;&gt;1,"",SUMIFS($M:$M,$C:$C,$C443,$D:$D,$D443,$E:$E,"P0(후)"))</f>
        <v/>
      </c>
      <c r="S443" s="31">
        <f>IF(N443&lt;&gt;"OK","",P443+(R443-P443)*(I443-O443)/(Q443-O443))</f>
        <v/>
      </c>
      <c r="T443" s="31">
        <f>IF(OR(N443&lt;&gt;"OK",NOT(ISNUMBER(M443))),"",M443-S443)</f>
        <v/>
      </c>
      <c r="U443" s="49">
        <f>IF(OR(NOT(ISNUMBER(T443)),IF(ISNUMBER(H443),H443,G443)=0),"",T443/IF(ISNUMBER(H443),H443,G443))</f>
        <v/>
      </c>
      <c r="V443" s="49">
        <f>IF(ISNUMBER(U443),ABS(U443),"")</f>
        <v/>
      </c>
      <c r="W443" s="49">
        <f>IF(OR($E442&lt;&gt;"측정",$C442&lt;&gt;$C443,$D442&lt;&gt;$D443,NOT(ISNUMBER(M443)),NOT(ISNUMBER(M442)),(IF(ISNUMBER(H443),H443,G443)-IF(ISNUMBER(H442),H442,G442))=0),"",(M443-M442)/(IF(ISNUMBER(H443),H443,G443)-IF(ISNUMBER(H442),H442,G442)))</f>
        <v/>
      </c>
      <c r="X443" s="31">
        <f>IF(NOT(AND(ISNUMBER(O443),ISNUMBER(Q443))),"",(Q443-O443)*1440)</f>
        <v/>
      </c>
      <c r="Y443" s="29" t="n"/>
      <c r="Z443" s="29" t="n"/>
      <c r="AA443" s="29" t="n"/>
      <c r="AB443" s="32" t="n"/>
      <c r="AC443" s="32" t="n"/>
    </row>
    <row r="444">
      <c r="A444" s="26" t="inlineStr">
        <is>
          <t>S09</t>
        </is>
      </c>
      <c r="B444" s="26" t="inlineStr">
        <is>
          <t>어론 신규점</t>
        </is>
      </c>
      <c r="C444" s="26" t="inlineStr">
        <is>
          <t>S09-H서</t>
        </is>
      </c>
      <c r="D444" s="47" t="n">
        <v>1</v>
      </c>
      <c r="E444" s="26" t="inlineStr">
        <is>
          <t>측정</t>
        </is>
      </c>
      <c r="F444" s="26" t="inlineStr">
        <is>
          <t>서</t>
        </is>
      </c>
      <c r="G444" s="31" t="n">
        <v>8</v>
      </c>
      <c r="H444" s="30" t="n"/>
      <c r="I444" s="43" t="n"/>
      <c r="J444" s="41" t="n"/>
      <c r="K444" s="41" t="n"/>
      <c r="L444" s="41" t="n"/>
      <c r="M444" s="31">
        <f>IF(COUNT(J444:L444)=0,"",MEDIAN(J444:L444))</f>
        <v/>
      </c>
      <c r="N444" s="26">
        <f>IF(COUNTIFS($C:$C,$C444,$D:$D,$D444,$E:$E,"P0(전)",$M:$M,"&gt;0")&lt;&gt;1,"P0(전) 유효 1개 아님",IF(COUNTIFS($C:$C,$C444,$D:$D,$D444,$E:$E,"P0(후)",$M:$M,"&gt;0")&lt;&gt;1,"P0(후) 유효 1개 아님",IF(NOT(AND(ISNUMBER(O444),ISNUMBER(Q444),ISNUMBER(I444))),"시각 결측",IF(Q444&lt;=O444,"P0 시각 역전",IF(OR(I444&lt;O444,I444&gt;Q444),"측정시각 구간 밖","OK")))))</f>
        <v/>
      </c>
      <c r="O444" s="48">
        <f>IF(COUNTIFS($C:$C,$C444,$D:$D,$D444,$E:$E,"P0(전)",$M:$M,"&gt;0")&lt;&gt;1,"",SUMIFS($I:$I,$C:$C,$C444,$D:$D,$D444,$E:$E,"P0(전)"))</f>
        <v/>
      </c>
      <c r="P444" s="31">
        <f>IF(COUNTIFS($C:$C,$C444,$D:$D,$D444,$E:$E,"P0(전)",$M:$M,"&gt;0")&lt;&gt;1,"",SUMIFS($M:$M,$C:$C,$C444,$D:$D,$D444,$E:$E,"P0(전)"))</f>
        <v/>
      </c>
      <c r="Q444" s="48">
        <f>IF(COUNTIFS($C:$C,$C444,$D:$D,$D444,$E:$E,"P0(후)",$M:$M,"&gt;0")&lt;&gt;1,"",SUMIFS($I:$I,$C:$C,$C444,$D:$D,$D444,$E:$E,"P0(후)"))</f>
        <v/>
      </c>
      <c r="R444" s="31">
        <f>IF(COUNTIFS($C:$C,$C444,$D:$D,$D444,$E:$E,"P0(후)",$M:$M,"&gt;0")&lt;&gt;1,"",SUMIFS($M:$M,$C:$C,$C444,$D:$D,$D444,$E:$E,"P0(후)"))</f>
        <v/>
      </c>
      <c r="S444" s="31">
        <f>IF(N444&lt;&gt;"OK","",P444+(R444-P444)*(I444-O444)/(Q444-O444))</f>
        <v/>
      </c>
      <c r="T444" s="31">
        <f>IF(OR(N444&lt;&gt;"OK",NOT(ISNUMBER(M444))),"",M444-S444)</f>
        <v/>
      </c>
      <c r="U444" s="49">
        <f>IF(OR(NOT(ISNUMBER(T444)),IF(ISNUMBER(H444),H444,G444)=0),"",T444/IF(ISNUMBER(H444),H444,G444))</f>
        <v/>
      </c>
      <c r="V444" s="49">
        <f>IF(ISNUMBER(U444),ABS(U444),"")</f>
        <v/>
      </c>
      <c r="W444" s="49">
        <f>IF(OR($E443&lt;&gt;"측정",$C443&lt;&gt;$C444,$D443&lt;&gt;$D444,NOT(ISNUMBER(M444)),NOT(ISNUMBER(M443)),(IF(ISNUMBER(H444),H444,G444)-IF(ISNUMBER(H443),H443,G443))=0),"",(M444-M443)/(IF(ISNUMBER(H444),H444,G444)-IF(ISNUMBER(H443),H443,G443)))</f>
        <v/>
      </c>
      <c r="X444" s="31">
        <f>IF(NOT(AND(ISNUMBER(O444),ISNUMBER(Q444))),"",(Q444-O444)*1440)</f>
        <v/>
      </c>
      <c r="Y444" s="29" t="n"/>
      <c r="Z444" s="29" t="n"/>
      <c r="AA444" s="29" t="n"/>
      <c r="AB444" s="32" t="n"/>
      <c r="AC444" s="32" t="n"/>
    </row>
    <row r="445">
      <c r="A445" s="26" t="inlineStr">
        <is>
          <t>S09</t>
        </is>
      </c>
      <c r="B445" s="26" t="inlineStr">
        <is>
          <t>어론 신규점</t>
        </is>
      </c>
      <c r="C445" s="26" t="inlineStr">
        <is>
          <t>S09-H서</t>
        </is>
      </c>
      <c r="D445" s="47" t="n">
        <v>1</v>
      </c>
      <c r="E445" s="26" t="inlineStr">
        <is>
          <t>측정</t>
        </is>
      </c>
      <c r="F445" s="26" t="inlineStr">
        <is>
          <t>서</t>
        </is>
      </c>
      <c r="G445" s="31" t="n">
        <v>9</v>
      </c>
      <c r="H445" s="30" t="n"/>
      <c r="I445" s="43" t="n"/>
      <c r="J445" s="41" t="n"/>
      <c r="K445" s="41" t="n"/>
      <c r="L445" s="41" t="n"/>
      <c r="M445" s="31">
        <f>IF(COUNT(J445:L445)=0,"",MEDIAN(J445:L445))</f>
        <v/>
      </c>
      <c r="N445" s="26">
        <f>IF(COUNTIFS($C:$C,$C445,$D:$D,$D445,$E:$E,"P0(전)",$M:$M,"&gt;0")&lt;&gt;1,"P0(전) 유효 1개 아님",IF(COUNTIFS($C:$C,$C445,$D:$D,$D445,$E:$E,"P0(후)",$M:$M,"&gt;0")&lt;&gt;1,"P0(후) 유효 1개 아님",IF(NOT(AND(ISNUMBER(O445),ISNUMBER(Q445),ISNUMBER(I445))),"시각 결측",IF(Q445&lt;=O445,"P0 시각 역전",IF(OR(I445&lt;O445,I445&gt;Q445),"측정시각 구간 밖","OK")))))</f>
        <v/>
      </c>
      <c r="O445" s="48">
        <f>IF(COUNTIFS($C:$C,$C445,$D:$D,$D445,$E:$E,"P0(전)",$M:$M,"&gt;0")&lt;&gt;1,"",SUMIFS($I:$I,$C:$C,$C445,$D:$D,$D445,$E:$E,"P0(전)"))</f>
        <v/>
      </c>
      <c r="P445" s="31">
        <f>IF(COUNTIFS($C:$C,$C445,$D:$D,$D445,$E:$E,"P0(전)",$M:$M,"&gt;0")&lt;&gt;1,"",SUMIFS($M:$M,$C:$C,$C445,$D:$D,$D445,$E:$E,"P0(전)"))</f>
        <v/>
      </c>
      <c r="Q445" s="48">
        <f>IF(COUNTIFS($C:$C,$C445,$D:$D,$D445,$E:$E,"P0(후)",$M:$M,"&gt;0")&lt;&gt;1,"",SUMIFS($I:$I,$C:$C,$C445,$D:$D,$D445,$E:$E,"P0(후)"))</f>
        <v/>
      </c>
      <c r="R445" s="31">
        <f>IF(COUNTIFS($C:$C,$C445,$D:$D,$D445,$E:$E,"P0(후)",$M:$M,"&gt;0")&lt;&gt;1,"",SUMIFS($M:$M,$C:$C,$C445,$D:$D,$D445,$E:$E,"P0(후)"))</f>
        <v/>
      </c>
      <c r="S445" s="31">
        <f>IF(N445&lt;&gt;"OK","",P445+(R445-P445)*(I445-O445)/(Q445-O445))</f>
        <v/>
      </c>
      <c r="T445" s="31">
        <f>IF(OR(N445&lt;&gt;"OK",NOT(ISNUMBER(M445))),"",M445-S445)</f>
        <v/>
      </c>
      <c r="U445" s="49">
        <f>IF(OR(NOT(ISNUMBER(T445)),IF(ISNUMBER(H445),H445,G445)=0),"",T445/IF(ISNUMBER(H445),H445,G445))</f>
        <v/>
      </c>
      <c r="V445" s="49">
        <f>IF(ISNUMBER(U445),ABS(U445),"")</f>
        <v/>
      </c>
      <c r="W445" s="49">
        <f>IF(OR($E444&lt;&gt;"측정",$C444&lt;&gt;$C445,$D444&lt;&gt;$D445,NOT(ISNUMBER(M445)),NOT(ISNUMBER(M444)),(IF(ISNUMBER(H445),H445,G445)-IF(ISNUMBER(H444),H444,G444))=0),"",(M445-M444)/(IF(ISNUMBER(H445),H445,G445)-IF(ISNUMBER(H444),H444,G444)))</f>
        <v/>
      </c>
      <c r="X445" s="31">
        <f>IF(NOT(AND(ISNUMBER(O445),ISNUMBER(Q445))),"",(Q445-O445)*1440)</f>
        <v/>
      </c>
      <c r="Y445" s="29" t="n"/>
      <c r="Z445" s="29" t="n"/>
      <c r="AA445" s="29" t="n"/>
      <c r="AB445" s="32" t="n"/>
      <c r="AC445" s="32" t="n"/>
    </row>
    <row r="446">
      <c r="A446" s="26" t="inlineStr">
        <is>
          <t>S09</t>
        </is>
      </c>
      <c r="B446" s="26" t="inlineStr">
        <is>
          <t>어론 신규점</t>
        </is>
      </c>
      <c r="C446" s="26" t="inlineStr">
        <is>
          <t>S09-H서</t>
        </is>
      </c>
      <c r="D446" s="47" t="n">
        <v>1</v>
      </c>
      <c r="E446" s="26" t="inlineStr">
        <is>
          <t>측정</t>
        </is>
      </c>
      <c r="F446" s="26" t="inlineStr">
        <is>
          <t>서</t>
        </is>
      </c>
      <c r="G446" s="31" t="n">
        <v>10</v>
      </c>
      <c r="H446" s="30" t="n"/>
      <c r="I446" s="43" t="n"/>
      <c r="J446" s="41" t="n"/>
      <c r="K446" s="41" t="n"/>
      <c r="L446" s="41" t="n"/>
      <c r="M446" s="31">
        <f>IF(COUNT(J446:L446)=0,"",MEDIAN(J446:L446))</f>
        <v/>
      </c>
      <c r="N446" s="26">
        <f>IF(COUNTIFS($C:$C,$C446,$D:$D,$D446,$E:$E,"P0(전)",$M:$M,"&gt;0")&lt;&gt;1,"P0(전) 유효 1개 아님",IF(COUNTIFS($C:$C,$C446,$D:$D,$D446,$E:$E,"P0(후)",$M:$M,"&gt;0")&lt;&gt;1,"P0(후) 유효 1개 아님",IF(NOT(AND(ISNUMBER(O446),ISNUMBER(Q446),ISNUMBER(I446))),"시각 결측",IF(Q446&lt;=O446,"P0 시각 역전",IF(OR(I446&lt;O446,I446&gt;Q446),"측정시각 구간 밖","OK")))))</f>
        <v/>
      </c>
      <c r="O446" s="48">
        <f>IF(COUNTIFS($C:$C,$C446,$D:$D,$D446,$E:$E,"P0(전)",$M:$M,"&gt;0")&lt;&gt;1,"",SUMIFS($I:$I,$C:$C,$C446,$D:$D,$D446,$E:$E,"P0(전)"))</f>
        <v/>
      </c>
      <c r="P446" s="31">
        <f>IF(COUNTIFS($C:$C,$C446,$D:$D,$D446,$E:$E,"P0(전)",$M:$M,"&gt;0")&lt;&gt;1,"",SUMIFS($M:$M,$C:$C,$C446,$D:$D,$D446,$E:$E,"P0(전)"))</f>
        <v/>
      </c>
      <c r="Q446" s="48">
        <f>IF(COUNTIFS($C:$C,$C446,$D:$D,$D446,$E:$E,"P0(후)",$M:$M,"&gt;0")&lt;&gt;1,"",SUMIFS($I:$I,$C:$C,$C446,$D:$D,$D446,$E:$E,"P0(후)"))</f>
        <v/>
      </c>
      <c r="R446" s="31">
        <f>IF(COUNTIFS($C:$C,$C446,$D:$D,$D446,$E:$E,"P0(후)",$M:$M,"&gt;0")&lt;&gt;1,"",SUMIFS($M:$M,$C:$C,$C446,$D:$D,$D446,$E:$E,"P0(후)"))</f>
        <v/>
      </c>
      <c r="S446" s="31">
        <f>IF(N446&lt;&gt;"OK","",P446+(R446-P446)*(I446-O446)/(Q446-O446))</f>
        <v/>
      </c>
      <c r="T446" s="31">
        <f>IF(OR(N446&lt;&gt;"OK",NOT(ISNUMBER(M446))),"",M446-S446)</f>
        <v/>
      </c>
      <c r="U446" s="49">
        <f>IF(OR(NOT(ISNUMBER(T446)),IF(ISNUMBER(H446),H446,G446)=0),"",T446/IF(ISNUMBER(H446),H446,G446))</f>
        <v/>
      </c>
      <c r="V446" s="49">
        <f>IF(ISNUMBER(U446),ABS(U446),"")</f>
        <v/>
      </c>
      <c r="W446" s="49">
        <f>IF(OR($E445&lt;&gt;"측정",$C445&lt;&gt;$C446,$D445&lt;&gt;$D446,NOT(ISNUMBER(M446)),NOT(ISNUMBER(M445)),(IF(ISNUMBER(H446),H446,G446)-IF(ISNUMBER(H445),H445,G445))=0),"",(M446-M445)/(IF(ISNUMBER(H446),H446,G446)-IF(ISNUMBER(H445),H445,G445)))</f>
        <v/>
      </c>
      <c r="X446" s="31">
        <f>IF(NOT(AND(ISNUMBER(O446),ISNUMBER(Q446))),"",(Q446-O446)*1440)</f>
        <v/>
      </c>
      <c r="Y446" s="29" t="n"/>
      <c r="Z446" s="29" t="n"/>
      <c r="AA446" s="29" t="n"/>
      <c r="AB446" s="32" t="n"/>
      <c r="AC446" s="32" t="n"/>
    </row>
    <row r="447">
      <c r="A447" s="44" t="inlineStr">
        <is>
          <t>S09</t>
        </is>
      </c>
      <c r="B447" s="44" t="inlineStr">
        <is>
          <t>어론 신규점</t>
        </is>
      </c>
      <c r="C447" s="44" t="inlineStr">
        <is>
          <t>S09-H서</t>
        </is>
      </c>
      <c r="D447" s="45" t="n">
        <v>1</v>
      </c>
      <c r="E447" s="44" t="inlineStr">
        <is>
          <t>P0(후)</t>
        </is>
      </c>
      <c r="F447" s="44" t="inlineStr">
        <is>
          <t>서</t>
        </is>
      </c>
      <c r="G447" s="46" t="n"/>
      <c r="H447" s="30" t="n"/>
      <c r="I447" s="43" t="n"/>
      <c r="J447" s="41" t="n"/>
      <c r="K447" s="41" t="n"/>
      <c r="L447" s="41" t="n"/>
      <c r="M447" s="31">
        <f>IF(COUNT(J447:L447)=0,"",MEDIAN(J447:L447))</f>
        <v/>
      </c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38" t="n"/>
      <c r="Y447" s="29" t="n"/>
      <c r="Z447" s="29" t="n"/>
      <c r="AA447" s="29" t="n"/>
      <c r="AB447" s="32" t="n"/>
      <c r="AC447" s="32" t="n"/>
    </row>
    <row r="448">
      <c r="A448" s="44" t="inlineStr">
        <is>
          <t>S09</t>
        </is>
      </c>
      <c r="B448" s="44" t="inlineStr">
        <is>
          <t>어론 신규점</t>
        </is>
      </c>
      <c r="C448" s="44" t="inlineStr">
        <is>
          <t>S09-H남</t>
        </is>
      </c>
      <c r="D448" s="45" t="n">
        <v>1</v>
      </c>
      <c r="E448" s="44" t="inlineStr">
        <is>
          <t>P0(전)</t>
        </is>
      </c>
      <c r="F448" s="44" t="inlineStr">
        <is>
          <t>남</t>
        </is>
      </c>
      <c r="G448" s="46" t="n"/>
      <c r="H448" s="30" t="n"/>
      <c r="I448" s="43" t="n"/>
      <c r="J448" s="41" t="n"/>
      <c r="K448" s="41" t="n"/>
      <c r="L448" s="41" t="n"/>
      <c r="M448" s="31">
        <f>IF(COUNT(J448:L448)=0,"",MEDIAN(J448:L448))</f>
        <v/>
      </c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  <c r="X448" s="38" t="n"/>
      <c r="Y448" s="29" t="n"/>
      <c r="Z448" s="29" t="n"/>
      <c r="AA448" s="29" t="n"/>
      <c r="AB448" s="32" t="n"/>
      <c r="AC448" s="32" t="n"/>
    </row>
    <row r="449">
      <c r="A449" s="26" t="inlineStr">
        <is>
          <t>S09</t>
        </is>
      </c>
      <c r="B449" s="26" t="inlineStr">
        <is>
          <t>어론 신규점</t>
        </is>
      </c>
      <c r="C449" s="26" t="inlineStr">
        <is>
          <t>S09-H남</t>
        </is>
      </c>
      <c r="D449" s="47" t="n">
        <v>1</v>
      </c>
      <c r="E449" s="26" t="inlineStr">
        <is>
          <t>측정</t>
        </is>
      </c>
      <c r="F449" s="26" t="inlineStr">
        <is>
          <t>남</t>
        </is>
      </c>
      <c r="G449" s="31" t="n">
        <v>0.5</v>
      </c>
      <c r="H449" s="30" t="n"/>
      <c r="I449" s="43" t="n"/>
      <c r="J449" s="41" t="n"/>
      <c r="K449" s="41" t="n"/>
      <c r="L449" s="41" t="n"/>
      <c r="M449" s="31">
        <f>IF(COUNT(J449:L449)=0,"",MEDIAN(J449:L449))</f>
        <v/>
      </c>
      <c r="N449" s="26">
        <f>IF(COUNTIFS($C:$C,$C449,$D:$D,$D449,$E:$E,"P0(전)",$M:$M,"&gt;0")&lt;&gt;1,"P0(전) 유효 1개 아님",IF(COUNTIFS($C:$C,$C449,$D:$D,$D449,$E:$E,"P0(후)",$M:$M,"&gt;0")&lt;&gt;1,"P0(후) 유효 1개 아님",IF(NOT(AND(ISNUMBER(O449),ISNUMBER(Q449),ISNUMBER(I449))),"시각 결측",IF(Q449&lt;=O449,"P0 시각 역전",IF(OR(I449&lt;O449,I449&gt;Q449),"측정시각 구간 밖","OK")))))</f>
        <v/>
      </c>
      <c r="O449" s="48">
        <f>IF(COUNTIFS($C:$C,$C449,$D:$D,$D449,$E:$E,"P0(전)",$M:$M,"&gt;0")&lt;&gt;1,"",SUMIFS($I:$I,$C:$C,$C449,$D:$D,$D449,$E:$E,"P0(전)"))</f>
        <v/>
      </c>
      <c r="P449" s="31">
        <f>IF(COUNTIFS($C:$C,$C449,$D:$D,$D449,$E:$E,"P0(전)",$M:$M,"&gt;0")&lt;&gt;1,"",SUMIFS($M:$M,$C:$C,$C449,$D:$D,$D449,$E:$E,"P0(전)"))</f>
        <v/>
      </c>
      <c r="Q449" s="48">
        <f>IF(COUNTIFS($C:$C,$C449,$D:$D,$D449,$E:$E,"P0(후)",$M:$M,"&gt;0")&lt;&gt;1,"",SUMIFS($I:$I,$C:$C,$C449,$D:$D,$D449,$E:$E,"P0(후)"))</f>
        <v/>
      </c>
      <c r="R449" s="31">
        <f>IF(COUNTIFS($C:$C,$C449,$D:$D,$D449,$E:$E,"P0(후)",$M:$M,"&gt;0")&lt;&gt;1,"",SUMIFS($M:$M,$C:$C,$C449,$D:$D,$D449,$E:$E,"P0(후)"))</f>
        <v/>
      </c>
      <c r="S449" s="31">
        <f>IF(N449&lt;&gt;"OK","",P449+(R449-P449)*(I449-O449)/(Q449-O449))</f>
        <v/>
      </c>
      <c r="T449" s="31">
        <f>IF(OR(N449&lt;&gt;"OK",NOT(ISNUMBER(M449))),"",M449-S449)</f>
        <v/>
      </c>
      <c r="U449" s="49">
        <f>IF(OR(NOT(ISNUMBER(T449)),IF(ISNUMBER(H449),H449,G449)=0),"",T449/IF(ISNUMBER(H449),H449,G449))</f>
        <v/>
      </c>
      <c r="V449" s="49">
        <f>IF(ISNUMBER(U449),ABS(U449),"")</f>
        <v/>
      </c>
      <c r="W449" s="49">
        <f>IF(OR($E448&lt;&gt;"측정",$C448&lt;&gt;$C449,$D448&lt;&gt;$D449,NOT(ISNUMBER(M449)),NOT(ISNUMBER(M448)),(IF(ISNUMBER(H449),H449,G449)-IF(ISNUMBER(H448),H448,G448))=0),"",(M449-M448)/(IF(ISNUMBER(H449),H449,G449)-IF(ISNUMBER(H448),H448,G448)))</f>
        <v/>
      </c>
      <c r="X449" s="31">
        <f>IF(NOT(AND(ISNUMBER(O449),ISNUMBER(Q449))),"",(Q449-O449)*1440)</f>
        <v/>
      </c>
      <c r="Y449" s="29" t="n"/>
      <c r="Z449" s="29" t="n"/>
      <c r="AA449" s="29" t="n"/>
      <c r="AB449" s="32" t="n"/>
      <c r="AC449" s="32" t="n"/>
    </row>
    <row r="450">
      <c r="A450" s="26" t="inlineStr">
        <is>
          <t>S09</t>
        </is>
      </c>
      <c r="B450" s="26" t="inlineStr">
        <is>
          <t>어론 신규점</t>
        </is>
      </c>
      <c r="C450" s="26" t="inlineStr">
        <is>
          <t>S09-H남</t>
        </is>
      </c>
      <c r="D450" s="47" t="n">
        <v>1</v>
      </c>
      <c r="E450" s="26" t="inlineStr">
        <is>
          <t>측정</t>
        </is>
      </c>
      <c r="F450" s="26" t="inlineStr">
        <is>
          <t>남</t>
        </is>
      </c>
      <c r="G450" s="31" t="n">
        <v>1</v>
      </c>
      <c r="H450" s="30" t="n"/>
      <c r="I450" s="43" t="n"/>
      <c r="J450" s="41" t="n"/>
      <c r="K450" s="41" t="n"/>
      <c r="L450" s="41" t="n"/>
      <c r="M450" s="31">
        <f>IF(COUNT(J450:L450)=0,"",MEDIAN(J450:L450))</f>
        <v/>
      </c>
      <c r="N450" s="26">
        <f>IF(COUNTIFS($C:$C,$C450,$D:$D,$D450,$E:$E,"P0(전)",$M:$M,"&gt;0")&lt;&gt;1,"P0(전) 유효 1개 아님",IF(COUNTIFS($C:$C,$C450,$D:$D,$D450,$E:$E,"P0(후)",$M:$M,"&gt;0")&lt;&gt;1,"P0(후) 유효 1개 아님",IF(NOT(AND(ISNUMBER(O450),ISNUMBER(Q450),ISNUMBER(I450))),"시각 결측",IF(Q450&lt;=O450,"P0 시각 역전",IF(OR(I450&lt;O450,I450&gt;Q450),"측정시각 구간 밖","OK")))))</f>
        <v/>
      </c>
      <c r="O450" s="48">
        <f>IF(COUNTIFS($C:$C,$C450,$D:$D,$D450,$E:$E,"P0(전)",$M:$M,"&gt;0")&lt;&gt;1,"",SUMIFS($I:$I,$C:$C,$C450,$D:$D,$D450,$E:$E,"P0(전)"))</f>
        <v/>
      </c>
      <c r="P450" s="31">
        <f>IF(COUNTIFS($C:$C,$C450,$D:$D,$D450,$E:$E,"P0(전)",$M:$M,"&gt;0")&lt;&gt;1,"",SUMIFS($M:$M,$C:$C,$C450,$D:$D,$D450,$E:$E,"P0(전)"))</f>
        <v/>
      </c>
      <c r="Q450" s="48">
        <f>IF(COUNTIFS($C:$C,$C450,$D:$D,$D450,$E:$E,"P0(후)",$M:$M,"&gt;0")&lt;&gt;1,"",SUMIFS($I:$I,$C:$C,$C450,$D:$D,$D450,$E:$E,"P0(후)"))</f>
        <v/>
      </c>
      <c r="R450" s="31">
        <f>IF(COUNTIFS($C:$C,$C450,$D:$D,$D450,$E:$E,"P0(후)",$M:$M,"&gt;0")&lt;&gt;1,"",SUMIFS($M:$M,$C:$C,$C450,$D:$D,$D450,$E:$E,"P0(후)"))</f>
        <v/>
      </c>
      <c r="S450" s="31">
        <f>IF(N450&lt;&gt;"OK","",P450+(R450-P450)*(I450-O450)/(Q450-O450))</f>
        <v/>
      </c>
      <c r="T450" s="31">
        <f>IF(OR(N450&lt;&gt;"OK",NOT(ISNUMBER(M450))),"",M450-S450)</f>
        <v/>
      </c>
      <c r="U450" s="49">
        <f>IF(OR(NOT(ISNUMBER(T450)),IF(ISNUMBER(H450),H450,G450)=0),"",T450/IF(ISNUMBER(H450),H450,G450))</f>
        <v/>
      </c>
      <c r="V450" s="49">
        <f>IF(ISNUMBER(U450),ABS(U450),"")</f>
        <v/>
      </c>
      <c r="W450" s="49">
        <f>IF(OR($E449&lt;&gt;"측정",$C449&lt;&gt;$C450,$D449&lt;&gt;$D450,NOT(ISNUMBER(M450)),NOT(ISNUMBER(M449)),(IF(ISNUMBER(H450),H450,G450)-IF(ISNUMBER(H449),H449,G449))=0),"",(M450-M449)/(IF(ISNUMBER(H450),H450,G450)-IF(ISNUMBER(H449),H449,G449)))</f>
        <v/>
      </c>
      <c r="X450" s="31">
        <f>IF(NOT(AND(ISNUMBER(O450),ISNUMBER(Q450))),"",(Q450-O450)*1440)</f>
        <v/>
      </c>
      <c r="Y450" s="29" t="n"/>
      <c r="Z450" s="29" t="n"/>
      <c r="AA450" s="29" t="n"/>
      <c r="AB450" s="32" t="n"/>
      <c r="AC450" s="32" t="n"/>
    </row>
    <row r="451">
      <c r="A451" s="26" t="inlineStr">
        <is>
          <t>S09</t>
        </is>
      </c>
      <c r="B451" s="26" t="inlineStr">
        <is>
          <t>어론 신규점</t>
        </is>
      </c>
      <c r="C451" s="26" t="inlineStr">
        <is>
          <t>S09-H남</t>
        </is>
      </c>
      <c r="D451" s="47" t="n">
        <v>1</v>
      </c>
      <c r="E451" s="26" t="inlineStr">
        <is>
          <t>측정</t>
        </is>
      </c>
      <c r="F451" s="26" t="inlineStr">
        <is>
          <t>남</t>
        </is>
      </c>
      <c r="G451" s="31" t="n">
        <v>2</v>
      </c>
      <c r="H451" s="30" t="n"/>
      <c r="I451" s="43" t="n"/>
      <c r="J451" s="41" t="n"/>
      <c r="K451" s="41" t="n"/>
      <c r="L451" s="41" t="n"/>
      <c r="M451" s="31">
        <f>IF(COUNT(J451:L451)=0,"",MEDIAN(J451:L451))</f>
        <v/>
      </c>
      <c r="N451" s="26">
        <f>IF(COUNTIFS($C:$C,$C451,$D:$D,$D451,$E:$E,"P0(전)",$M:$M,"&gt;0")&lt;&gt;1,"P0(전) 유효 1개 아님",IF(COUNTIFS($C:$C,$C451,$D:$D,$D451,$E:$E,"P0(후)",$M:$M,"&gt;0")&lt;&gt;1,"P0(후) 유효 1개 아님",IF(NOT(AND(ISNUMBER(O451),ISNUMBER(Q451),ISNUMBER(I451))),"시각 결측",IF(Q451&lt;=O451,"P0 시각 역전",IF(OR(I451&lt;O451,I451&gt;Q451),"측정시각 구간 밖","OK")))))</f>
        <v/>
      </c>
      <c r="O451" s="48">
        <f>IF(COUNTIFS($C:$C,$C451,$D:$D,$D451,$E:$E,"P0(전)",$M:$M,"&gt;0")&lt;&gt;1,"",SUMIFS($I:$I,$C:$C,$C451,$D:$D,$D451,$E:$E,"P0(전)"))</f>
        <v/>
      </c>
      <c r="P451" s="31">
        <f>IF(COUNTIFS($C:$C,$C451,$D:$D,$D451,$E:$E,"P0(전)",$M:$M,"&gt;0")&lt;&gt;1,"",SUMIFS($M:$M,$C:$C,$C451,$D:$D,$D451,$E:$E,"P0(전)"))</f>
        <v/>
      </c>
      <c r="Q451" s="48">
        <f>IF(COUNTIFS($C:$C,$C451,$D:$D,$D451,$E:$E,"P0(후)",$M:$M,"&gt;0")&lt;&gt;1,"",SUMIFS($I:$I,$C:$C,$C451,$D:$D,$D451,$E:$E,"P0(후)"))</f>
        <v/>
      </c>
      <c r="R451" s="31">
        <f>IF(COUNTIFS($C:$C,$C451,$D:$D,$D451,$E:$E,"P0(후)",$M:$M,"&gt;0")&lt;&gt;1,"",SUMIFS($M:$M,$C:$C,$C451,$D:$D,$D451,$E:$E,"P0(후)"))</f>
        <v/>
      </c>
      <c r="S451" s="31">
        <f>IF(N451&lt;&gt;"OK","",P451+(R451-P451)*(I451-O451)/(Q451-O451))</f>
        <v/>
      </c>
      <c r="T451" s="31">
        <f>IF(OR(N451&lt;&gt;"OK",NOT(ISNUMBER(M451))),"",M451-S451)</f>
        <v/>
      </c>
      <c r="U451" s="49">
        <f>IF(OR(NOT(ISNUMBER(T451)),IF(ISNUMBER(H451),H451,G451)=0),"",T451/IF(ISNUMBER(H451),H451,G451))</f>
        <v/>
      </c>
      <c r="V451" s="49">
        <f>IF(ISNUMBER(U451),ABS(U451),"")</f>
        <v/>
      </c>
      <c r="W451" s="49">
        <f>IF(OR($E450&lt;&gt;"측정",$C450&lt;&gt;$C451,$D450&lt;&gt;$D451,NOT(ISNUMBER(M451)),NOT(ISNUMBER(M450)),(IF(ISNUMBER(H451),H451,G451)-IF(ISNUMBER(H450),H450,G450))=0),"",(M451-M450)/(IF(ISNUMBER(H451),H451,G451)-IF(ISNUMBER(H450),H450,G450)))</f>
        <v/>
      </c>
      <c r="X451" s="31">
        <f>IF(NOT(AND(ISNUMBER(O451),ISNUMBER(Q451))),"",(Q451-O451)*1440)</f>
        <v/>
      </c>
      <c r="Y451" s="29" t="n"/>
      <c r="Z451" s="29" t="n"/>
      <c r="AA451" s="29" t="n"/>
      <c r="AB451" s="32" t="n"/>
      <c r="AC451" s="32" t="n"/>
    </row>
    <row r="452">
      <c r="A452" s="26" t="inlineStr">
        <is>
          <t>S09</t>
        </is>
      </c>
      <c r="B452" s="26" t="inlineStr">
        <is>
          <t>어론 신규점</t>
        </is>
      </c>
      <c r="C452" s="26" t="inlineStr">
        <is>
          <t>S09-H남</t>
        </is>
      </c>
      <c r="D452" s="47" t="n">
        <v>1</v>
      </c>
      <c r="E452" s="26" t="inlineStr">
        <is>
          <t>측정</t>
        </is>
      </c>
      <c r="F452" s="26" t="inlineStr">
        <is>
          <t>남</t>
        </is>
      </c>
      <c r="G452" s="31" t="n">
        <v>3</v>
      </c>
      <c r="H452" s="30" t="n"/>
      <c r="I452" s="43" t="n"/>
      <c r="J452" s="41" t="n"/>
      <c r="K452" s="41" t="n"/>
      <c r="L452" s="41" t="n"/>
      <c r="M452" s="31">
        <f>IF(COUNT(J452:L452)=0,"",MEDIAN(J452:L452))</f>
        <v/>
      </c>
      <c r="N452" s="26">
        <f>IF(COUNTIFS($C:$C,$C452,$D:$D,$D452,$E:$E,"P0(전)",$M:$M,"&gt;0")&lt;&gt;1,"P0(전) 유효 1개 아님",IF(COUNTIFS($C:$C,$C452,$D:$D,$D452,$E:$E,"P0(후)",$M:$M,"&gt;0")&lt;&gt;1,"P0(후) 유효 1개 아님",IF(NOT(AND(ISNUMBER(O452),ISNUMBER(Q452),ISNUMBER(I452))),"시각 결측",IF(Q452&lt;=O452,"P0 시각 역전",IF(OR(I452&lt;O452,I452&gt;Q452),"측정시각 구간 밖","OK")))))</f>
        <v/>
      </c>
      <c r="O452" s="48">
        <f>IF(COUNTIFS($C:$C,$C452,$D:$D,$D452,$E:$E,"P0(전)",$M:$M,"&gt;0")&lt;&gt;1,"",SUMIFS($I:$I,$C:$C,$C452,$D:$D,$D452,$E:$E,"P0(전)"))</f>
        <v/>
      </c>
      <c r="P452" s="31">
        <f>IF(COUNTIFS($C:$C,$C452,$D:$D,$D452,$E:$E,"P0(전)",$M:$M,"&gt;0")&lt;&gt;1,"",SUMIFS($M:$M,$C:$C,$C452,$D:$D,$D452,$E:$E,"P0(전)"))</f>
        <v/>
      </c>
      <c r="Q452" s="48">
        <f>IF(COUNTIFS($C:$C,$C452,$D:$D,$D452,$E:$E,"P0(후)",$M:$M,"&gt;0")&lt;&gt;1,"",SUMIFS($I:$I,$C:$C,$C452,$D:$D,$D452,$E:$E,"P0(후)"))</f>
        <v/>
      </c>
      <c r="R452" s="31">
        <f>IF(COUNTIFS($C:$C,$C452,$D:$D,$D452,$E:$E,"P0(후)",$M:$M,"&gt;0")&lt;&gt;1,"",SUMIFS($M:$M,$C:$C,$C452,$D:$D,$D452,$E:$E,"P0(후)"))</f>
        <v/>
      </c>
      <c r="S452" s="31">
        <f>IF(N452&lt;&gt;"OK","",P452+(R452-P452)*(I452-O452)/(Q452-O452))</f>
        <v/>
      </c>
      <c r="T452" s="31">
        <f>IF(OR(N452&lt;&gt;"OK",NOT(ISNUMBER(M452))),"",M452-S452)</f>
        <v/>
      </c>
      <c r="U452" s="49">
        <f>IF(OR(NOT(ISNUMBER(T452)),IF(ISNUMBER(H452),H452,G452)=0),"",T452/IF(ISNUMBER(H452),H452,G452))</f>
        <v/>
      </c>
      <c r="V452" s="49">
        <f>IF(ISNUMBER(U452),ABS(U452),"")</f>
        <v/>
      </c>
      <c r="W452" s="49">
        <f>IF(OR($E451&lt;&gt;"측정",$C451&lt;&gt;$C452,$D451&lt;&gt;$D452,NOT(ISNUMBER(M452)),NOT(ISNUMBER(M451)),(IF(ISNUMBER(H452),H452,G452)-IF(ISNUMBER(H451),H451,G451))=0),"",(M452-M451)/(IF(ISNUMBER(H452),H452,G452)-IF(ISNUMBER(H451),H451,G451)))</f>
        <v/>
      </c>
      <c r="X452" s="31">
        <f>IF(NOT(AND(ISNUMBER(O452),ISNUMBER(Q452))),"",(Q452-O452)*1440)</f>
        <v/>
      </c>
      <c r="Y452" s="29" t="n"/>
      <c r="Z452" s="29" t="n"/>
      <c r="AA452" s="29" t="n"/>
      <c r="AB452" s="32" t="n"/>
      <c r="AC452" s="32" t="n"/>
    </row>
    <row r="453">
      <c r="A453" s="26" t="inlineStr">
        <is>
          <t>S09</t>
        </is>
      </c>
      <c r="B453" s="26" t="inlineStr">
        <is>
          <t>어론 신규점</t>
        </is>
      </c>
      <c r="C453" s="26" t="inlineStr">
        <is>
          <t>S09-H남</t>
        </is>
      </c>
      <c r="D453" s="47" t="n">
        <v>1</v>
      </c>
      <c r="E453" s="26" t="inlineStr">
        <is>
          <t>측정</t>
        </is>
      </c>
      <c r="F453" s="26" t="inlineStr">
        <is>
          <t>남</t>
        </is>
      </c>
      <c r="G453" s="31" t="n">
        <v>4</v>
      </c>
      <c r="H453" s="30" t="n"/>
      <c r="I453" s="43" t="n"/>
      <c r="J453" s="41" t="n"/>
      <c r="K453" s="41" t="n"/>
      <c r="L453" s="41" t="n"/>
      <c r="M453" s="31">
        <f>IF(COUNT(J453:L453)=0,"",MEDIAN(J453:L453))</f>
        <v/>
      </c>
      <c r="N453" s="26">
        <f>IF(COUNTIFS($C:$C,$C453,$D:$D,$D453,$E:$E,"P0(전)",$M:$M,"&gt;0")&lt;&gt;1,"P0(전) 유효 1개 아님",IF(COUNTIFS($C:$C,$C453,$D:$D,$D453,$E:$E,"P0(후)",$M:$M,"&gt;0")&lt;&gt;1,"P0(후) 유효 1개 아님",IF(NOT(AND(ISNUMBER(O453),ISNUMBER(Q453),ISNUMBER(I453))),"시각 결측",IF(Q453&lt;=O453,"P0 시각 역전",IF(OR(I453&lt;O453,I453&gt;Q453),"측정시각 구간 밖","OK")))))</f>
        <v/>
      </c>
      <c r="O453" s="48">
        <f>IF(COUNTIFS($C:$C,$C453,$D:$D,$D453,$E:$E,"P0(전)",$M:$M,"&gt;0")&lt;&gt;1,"",SUMIFS($I:$I,$C:$C,$C453,$D:$D,$D453,$E:$E,"P0(전)"))</f>
        <v/>
      </c>
      <c r="P453" s="31">
        <f>IF(COUNTIFS($C:$C,$C453,$D:$D,$D453,$E:$E,"P0(전)",$M:$M,"&gt;0")&lt;&gt;1,"",SUMIFS($M:$M,$C:$C,$C453,$D:$D,$D453,$E:$E,"P0(전)"))</f>
        <v/>
      </c>
      <c r="Q453" s="48">
        <f>IF(COUNTIFS($C:$C,$C453,$D:$D,$D453,$E:$E,"P0(후)",$M:$M,"&gt;0")&lt;&gt;1,"",SUMIFS($I:$I,$C:$C,$C453,$D:$D,$D453,$E:$E,"P0(후)"))</f>
        <v/>
      </c>
      <c r="R453" s="31">
        <f>IF(COUNTIFS($C:$C,$C453,$D:$D,$D453,$E:$E,"P0(후)",$M:$M,"&gt;0")&lt;&gt;1,"",SUMIFS($M:$M,$C:$C,$C453,$D:$D,$D453,$E:$E,"P0(후)"))</f>
        <v/>
      </c>
      <c r="S453" s="31">
        <f>IF(N453&lt;&gt;"OK","",P453+(R453-P453)*(I453-O453)/(Q453-O453))</f>
        <v/>
      </c>
      <c r="T453" s="31">
        <f>IF(OR(N453&lt;&gt;"OK",NOT(ISNUMBER(M453))),"",M453-S453)</f>
        <v/>
      </c>
      <c r="U453" s="49">
        <f>IF(OR(NOT(ISNUMBER(T453)),IF(ISNUMBER(H453),H453,G453)=0),"",T453/IF(ISNUMBER(H453),H453,G453))</f>
        <v/>
      </c>
      <c r="V453" s="49">
        <f>IF(ISNUMBER(U453),ABS(U453),"")</f>
        <v/>
      </c>
      <c r="W453" s="49">
        <f>IF(OR($E452&lt;&gt;"측정",$C452&lt;&gt;$C453,$D452&lt;&gt;$D453,NOT(ISNUMBER(M453)),NOT(ISNUMBER(M452)),(IF(ISNUMBER(H453),H453,G453)-IF(ISNUMBER(H452),H452,G452))=0),"",(M453-M452)/(IF(ISNUMBER(H453),H453,G453)-IF(ISNUMBER(H452),H452,G452)))</f>
        <v/>
      </c>
      <c r="X453" s="31">
        <f>IF(NOT(AND(ISNUMBER(O453),ISNUMBER(Q453))),"",(Q453-O453)*1440)</f>
        <v/>
      </c>
      <c r="Y453" s="29" t="n"/>
      <c r="Z453" s="29" t="n"/>
      <c r="AA453" s="29" t="n"/>
      <c r="AB453" s="32" t="n"/>
      <c r="AC453" s="32" t="n"/>
    </row>
    <row r="454">
      <c r="A454" s="26" t="inlineStr">
        <is>
          <t>S09</t>
        </is>
      </c>
      <c r="B454" s="26" t="inlineStr">
        <is>
          <t>어론 신규점</t>
        </is>
      </c>
      <c r="C454" s="26" t="inlineStr">
        <is>
          <t>S09-H남</t>
        </is>
      </c>
      <c r="D454" s="47" t="n">
        <v>1</v>
      </c>
      <c r="E454" s="26" t="inlineStr">
        <is>
          <t>측정</t>
        </is>
      </c>
      <c r="F454" s="26" t="inlineStr">
        <is>
          <t>남</t>
        </is>
      </c>
      <c r="G454" s="31" t="n">
        <v>5</v>
      </c>
      <c r="H454" s="30" t="n"/>
      <c r="I454" s="43" t="n"/>
      <c r="J454" s="41" t="n"/>
      <c r="K454" s="41" t="n"/>
      <c r="L454" s="41" t="n"/>
      <c r="M454" s="31">
        <f>IF(COUNT(J454:L454)=0,"",MEDIAN(J454:L454))</f>
        <v/>
      </c>
      <c r="N454" s="26">
        <f>IF(COUNTIFS($C:$C,$C454,$D:$D,$D454,$E:$E,"P0(전)",$M:$M,"&gt;0")&lt;&gt;1,"P0(전) 유효 1개 아님",IF(COUNTIFS($C:$C,$C454,$D:$D,$D454,$E:$E,"P0(후)",$M:$M,"&gt;0")&lt;&gt;1,"P0(후) 유효 1개 아님",IF(NOT(AND(ISNUMBER(O454),ISNUMBER(Q454),ISNUMBER(I454))),"시각 결측",IF(Q454&lt;=O454,"P0 시각 역전",IF(OR(I454&lt;O454,I454&gt;Q454),"측정시각 구간 밖","OK")))))</f>
        <v/>
      </c>
      <c r="O454" s="48">
        <f>IF(COUNTIFS($C:$C,$C454,$D:$D,$D454,$E:$E,"P0(전)",$M:$M,"&gt;0")&lt;&gt;1,"",SUMIFS($I:$I,$C:$C,$C454,$D:$D,$D454,$E:$E,"P0(전)"))</f>
        <v/>
      </c>
      <c r="P454" s="31">
        <f>IF(COUNTIFS($C:$C,$C454,$D:$D,$D454,$E:$E,"P0(전)",$M:$M,"&gt;0")&lt;&gt;1,"",SUMIFS($M:$M,$C:$C,$C454,$D:$D,$D454,$E:$E,"P0(전)"))</f>
        <v/>
      </c>
      <c r="Q454" s="48">
        <f>IF(COUNTIFS($C:$C,$C454,$D:$D,$D454,$E:$E,"P0(후)",$M:$M,"&gt;0")&lt;&gt;1,"",SUMIFS($I:$I,$C:$C,$C454,$D:$D,$D454,$E:$E,"P0(후)"))</f>
        <v/>
      </c>
      <c r="R454" s="31">
        <f>IF(COUNTIFS($C:$C,$C454,$D:$D,$D454,$E:$E,"P0(후)",$M:$M,"&gt;0")&lt;&gt;1,"",SUMIFS($M:$M,$C:$C,$C454,$D:$D,$D454,$E:$E,"P0(후)"))</f>
        <v/>
      </c>
      <c r="S454" s="31">
        <f>IF(N454&lt;&gt;"OK","",P454+(R454-P454)*(I454-O454)/(Q454-O454))</f>
        <v/>
      </c>
      <c r="T454" s="31">
        <f>IF(OR(N454&lt;&gt;"OK",NOT(ISNUMBER(M454))),"",M454-S454)</f>
        <v/>
      </c>
      <c r="U454" s="49">
        <f>IF(OR(NOT(ISNUMBER(T454)),IF(ISNUMBER(H454),H454,G454)=0),"",T454/IF(ISNUMBER(H454),H454,G454))</f>
        <v/>
      </c>
      <c r="V454" s="49">
        <f>IF(ISNUMBER(U454),ABS(U454),"")</f>
        <v/>
      </c>
      <c r="W454" s="49">
        <f>IF(OR($E453&lt;&gt;"측정",$C453&lt;&gt;$C454,$D453&lt;&gt;$D454,NOT(ISNUMBER(M454)),NOT(ISNUMBER(M453)),(IF(ISNUMBER(H454),H454,G454)-IF(ISNUMBER(H453),H453,G453))=0),"",(M454-M453)/(IF(ISNUMBER(H454),H454,G454)-IF(ISNUMBER(H453),H453,G453)))</f>
        <v/>
      </c>
      <c r="X454" s="31">
        <f>IF(NOT(AND(ISNUMBER(O454),ISNUMBER(Q454))),"",(Q454-O454)*1440)</f>
        <v/>
      </c>
      <c r="Y454" s="29" t="n"/>
      <c r="Z454" s="29" t="n"/>
      <c r="AA454" s="29" t="n"/>
      <c r="AB454" s="32" t="n"/>
      <c r="AC454" s="32" t="n"/>
    </row>
    <row r="455">
      <c r="A455" s="26" t="inlineStr">
        <is>
          <t>S09</t>
        </is>
      </c>
      <c r="B455" s="26" t="inlineStr">
        <is>
          <t>어론 신규점</t>
        </is>
      </c>
      <c r="C455" s="26" t="inlineStr">
        <is>
          <t>S09-H남</t>
        </is>
      </c>
      <c r="D455" s="47" t="n">
        <v>1</v>
      </c>
      <c r="E455" s="26" t="inlineStr">
        <is>
          <t>측정</t>
        </is>
      </c>
      <c r="F455" s="26" t="inlineStr">
        <is>
          <t>남</t>
        </is>
      </c>
      <c r="G455" s="31" t="n">
        <v>6</v>
      </c>
      <c r="H455" s="30" t="n"/>
      <c r="I455" s="43" t="n"/>
      <c r="J455" s="41" t="n"/>
      <c r="K455" s="41" t="n"/>
      <c r="L455" s="41" t="n"/>
      <c r="M455" s="31">
        <f>IF(COUNT(J455:L455)=0,"",MEDIAN(J455:L455))</f>
        <v/>
      </c>
      <c r="N455" s="26">
        <f>IF(COUNTIFS($C:$C,$C455,$D:$D,$D455,$E:$E,"P0(전)",$M:$M,"&gt;0")&lt;&gt;1,"P0(전) 유효 1개 아님",IF(COUNTIFS($C:$C,$C455,$D:$D,$D455,$E:$E,"P0(후)",$M:$M,"&gt;0")&lt;&gt;1,"P0(후) 유효 1개 아님",IF(NOT(AND(ISNUMBER(O455),ISNUMBER(Q455),ISNUMBER(I455))),"시각 결측",IF(Q455&lt;=O455,"P0 시각 역전",IF(OR(I455&lt;O455,I455&gt;Q455),"측정시각 구간 밖","OK")))))</f>
        <v/>
      </c>
      <c r="O455" s="48">
        <f>IF(COUNTIFS($C:$C,$C455,$D:$D,$D455,$E:$E,"P0(전)",$M:$M,"&gt;0")&lt;&gt;1,"",SUMIFS($I:$I,$C:$C,$C455,$D:$D,$D455,$E:$E,"P0(전)"))</f>
        <v/>
      </c>
      <c r="P455" s="31">
        <f>IF(COUNTIFS($C:$C,$C455,$D:$D,$D455,$E:$E,"P0(전)",$M:$M,"&gt;0")&lt;&gt;1,"",SUMIFS($M:$M,$C:$C,$C455,$D:$D,$D455,$E:$E,"P0(전)"))</f>
        <v/>
      </c>
      <c r="Q455" s="48">
        <f>IF(COUNTIFS($C:$C,$C455,$D:$D,$D455,$E:$E,"P0(후)",$M:$M,"&gt;0")&lt;&gt;1,"",SUMIFS($I:$I,$C:$C,$C455,$D:$D,$D455,$E:$E,"P0(후)"))</f>
        <v/>
      </c>
      <c r="R455" s="31">
        <f>IF(COUNTIFS($C:$C,$C455,$D:$D,$D455,$E:$E,"P0(후)",$M:$M,"&gt;0")&lt;&gt;1,"",SUMIFS($M:$M,$C:$C,$C455,$D:$D,$D455,$E:$E,"P0(후)"))</f>
        <v/>
      </c>
      <c r="S455" s="31">
        <f>IF(N455&lt;&gt;"OK","",P455+(R455-P455)*(I455-O455)/(Q455-O455))</f>
        <v/>
      </c>
      <c r="T455" s="31">
        <f>IF(OR(N455&lt;&gt;"OK",NOT(ISNUMBER(M455))),"",M455-S455)</f>
        <v/>
      </c>
      <c r="U455" s="49">
        <f>IF(OR(NOT(ISNUMBER(T455)),IF(ISNUMBER(H455),H455,G455)=0),"",T455/IF(ISNUMBER(H455),H455,G455))</f>
        <v/>
      </c>
      <c r="V455" s="49">
        <f>IF(ISNUMBER(U455),ABS(U455),"")</f>
        <v/>
      </c>
      <c r="W455" s="49">
        <f>IF(OR($E454&lt;&gt;"측정",$C454&lt;&gt;$C455,$D454&lt;&gt;$D455,NOT(ISNUMBER(M455)),NOT(ISNUMBER(M454)),(IF(ISNUMBER(H455),H455,G455)-IF(ISNUMBER(H454),H454,G454))=0),"",(M455-M454)/(IF(ISNUMBER(H455),H455,G455)-IF(ISNUMBER(H454),H454,G454)))</f>
        <v/>
      </c>
      <c r="X455" s="31">
        <f>IF(NOT(AND(ISNUMBER(O455),ISNUMBER(Q455))),"",(Q455-O455)*1440)</f>
        <v/>
      </c>
      <c r="Y455" s="29" t="n"/>
      <c r="Z455" s="29" t="n"/>
      <c r="AA455" s="29" t="n"/>
      <c r="AB455" s="32" t="n"/>
      <c r="AC455" s="32" t="n"/>
    </row>
    <row r="456">
      <c r="A456" s="26" t="inlineStr">
        <is>
          <t>S09</t>
        </is>
      </c>
      <c r="B456" s="26" t="inlineStr">
        <is>
          <t>어론 신규점</t>
        </is>
      </c>
      <c r="C456" s="26" t="inlineStr">
        <is>
          <t>S09-H남</t>
        </is>
      </c>
      <c r="D456" s="47" t="n">
        <v>1</v>
      </c>
      <c r="E456" s="26" t="inlineStr">
        <is>
          <t>측정</t>
        </is>
      </c>
      <c r="F456" s="26" t="inlineStr">
        <is>
          <t>남</t>
        </is>
      </c>
      <c r="G456" s="31" t="n">
        <v>7</v>
      </c>
      <c r="H456" s="30" t="n"/>
      <c r="I456" s="43" t="n"/>
      <c r="J456" s="41" t="n"/>
      <c r="K456" s="41" t="n"/>
      <c r="L456" s="41" t="n"/>
      <c r="M456" s="31">
        <f>IF(COUNT(J456:L456)=0,"",MEDIAN(J456:L456))</f>
        <v/>
      </c>
      <c r="N456" s="26">
        <f>IF(COUNTIFS($C:$C,$C456,$D:$D,$D456,$E:$E,"P0(전)",$M:$M,"&gt;0")&lt;&gt;1,"P0(전) 유효 1개 아님",IF(COUNTIFS($C:$C,$C456,$D:$D,$D456,$E:$E,"P0(후)",$M:$M,"&gt;0")&lt;&gt;1,"P0(후) 유효 1개 아님",IF(NOT(AND(ISNUMBER(O456),ISNUMBER(Q456),ISNUMBER(I456))),"시각 결측",IF(Q456&lt;=O456,"P0 시각 역전",IF(OR(I456&lt;O456,I456&gt;Q456),"측정시각 구간 밖","OK")))))</f>
        <v/>
      </c>
      <c r="O456" s="48">
        <f>IF(COUNTIFS($C:$C,$C456,$D:$D,$D456,$E:$E,"P0(전)",$M:$M,"&gt;0")&lt;&gt;1,"",SUMIFS($I:$I,$C:$C,$C456,$D:$D,$D456,$E:$E,"P0(전)"))</f>
        <v/>
      </c>
      <c r="P456" s="31">
        <f>IF(COUNTIFS($C:$C,$C456,$D:$D,$D456,$E:$E,"P0(전)",$M:$M,"&gt;0")&lt;&gt;1,"",SUMIFS($M:$M,$C:$C,$C456,$D:$D,$D456,$E:$E,"P0(전)"))</f>
        <v/>
      </c>
      <c r="Q456" s="48">
        <f>IF(COUNTIFS($C:$C,$C456,$D:$D,$D456,$E:$E,"P0(후)",$M:$M,"&gt;0")&lt;&gt;1,"",SUMIFS($I:$I,$C:$C,$C456,$D:$D,$D456,$E:$E,"P0(후)"))</f>
        <v/>
      </c>
      <c r="R456" s="31">
        <f>IF(COUNTIFS($C:$C,$C456,$D:$D,$D456,$E:$E,"P0(후)",$M:$M,"&gt;0")&lt;&gt;1,"",SUMIFS($M:$M,$C:$C,$C456,$D:$D,$D456,$E:$E,"P0(후)"))</f>
        <v/>
      </c>
      <c r="S456" s="31">
        <f>IF(N456&lt;&gt;"OK","",P456+(R456-P456)*(I456-O456)/(Q456-O456))</f>
        <v/>
      </c>
      <c r="T456" s="31">
        <f>IF(OR(N456&lt;&gt;"OK",NOT(ISNUMBER(M456))),"",M456-S456)</f>
        <v/>
      </c>
      <c r="U456" s="49">
        <f>IF(OR(NOT(ISNUMBER(T456)),IF(ISNUMBER(H456),H456,G456)=0),"",T456/IF(ISNUMBER(H456),H456,G456))</f>
        <v/>
      </c>
      <c r="V456" s="49">
        <f>IF(ISNUMBER(U456),ABS(U456),"")</f>
        <v/>
      </c>
      <c r="W456" s="49">
        <f>IF(OR($E455&lt;&gt;"측정",$C455&lt;&gt;$C456,$D455&lt;&gt;$D456,NOT(ISNUMBER(M456)),NOT(ISNUMBER(M455)),(IF(ISNUMBER(H456),H456,G456)-IF(ISNUMBER(H455),H455,G455))=0),"",(M456-M455)/(IF(ISNUMBER(H456),H456,G456)-IF(ISNUMBER(H455),H455,G455)))</f>
        <v/>
      </c>
      <c r="X456" s="31">
        <f>IF(NOT(AND(ISNUMBER(O456),ISNUMBER(Q456))),"",(Q456-O456)*1440)</f>
        <v/>
      </c>
      <c r="Y456" s="29" t="n"/>
      <c r="Z456" s="29" t="n"/>
      <c r="AA456" s="29" t="n"/>
      <c r="AB456" s="32" t="n"/>
      <c r="AC456" s="32" t="n"/>
    </row>
    <row r="457">
      <c r="A457" s="26" t="inlineStr">
        <is>
          <t>S09</t>
        </is>
      </c>
      <c r="B457" s="26" t="inlineStr">
        <is>
          <t>어론 신규점</t>
        </is>
      </c>
      <c r="C457" s="26" t="inlineStr">
        <is>
          <t>S09-H남</t>
        </is>
      </c>
      <c r="D457" s="47" t="n">
        <v>1</v>
      </c>
      <c r="E457" s="26" t="inlineStr">
        <is>
          <t>측정</t>
        </is>
      </c>
      <c r="F457" s="26" t="inlineStr">
        <is>
          <t>남</t>
        </is>
      </c>
      <c r="G457" s="31" t="n">
        <v>8</v>
      </c>
      <c r="H457" s="30" t="n"/>
      <c r="I457" s="43" t="n"/>
      <c r="J457" s="41" t="n"/>
      <c r="K457" s="41" t="n"/>
      <c r="L457" s="41" t="n"/>
      <c r="M457" s="31">
        <f>IF(COUNT(J457:L457)=0,"",MEDIAN(J457:L457))</f>
        <v/>
      </c>
      <c r="N457" s="26">
        <f>IF(COUNTIFS($C:$C,$C457,$D:$D,$D457,$E:$E,"P0(전)",$M:$M,"&gt;0")&lt;&gt;1,"P0(전) 유효 1개 아님",IF(COUNTIFS($C:$C,$C457,$D:$D,$D457,$E:$E,"P0(후)",$M:$M,"&gt;0")&lt;&gt;1,"P0(후) 유효 1개 아님",IF(NOT(AND(ISNUMBER(O457),ISNUMBER(Q457),ISNUMBER(I457))),"시각 결측",IF(Q457&lt;=O457,"P0 시각 역전",IF(OR(I457&lt;O457,I457&gt;Q457),"측정시각 구간 밖","OK")))))</f>
        <v/>
      </c>
      <c r="O457" s="48">
        <f>IF(COUNTIFS($C:$C,$C457,$D:$D,$D457,$E:$E,"P0(전)",$M:$M,"&gt;0")&lt;&gt;1,"",SUMIFS($I:$I,$C:$C,$C457,$D:$D,$D457,$E:$E,"P0(전)"))</f>
        <v/>
      </c>
      <c r="P457" s="31">
        <f>IF(COUNTIFS($C:$C,$C457,$D:$D,$D457,$E:$E,"P0(전)",$M:$M,"&gt;0")&lt;&gt;1,"",SUMIFS($M:$M,$C:$C,$C457,$D:$D,$D457,$E:$E,"P0(전)"))</f>
        <v/>
      </c>
      <c r="Q457" s="48">
        <f>IF(COUNTIFS($C:$C,$C457,$D:$D,$D457,$E:$E,"P0(후)",$M:$M,"&gt;0")&lt;&gt;1,"",SUMIFS($I:$I,$C:$C,$C457,$D:$D,$D457,$E:$E,"P0(후)"))</f>
        <v/>
      </c>
      <c r="R457" s="31">
        <f>IF(COUNTIFS($C:$C,$C457,$D:$D,$D457,$E:$E,"P0(후)",$M:$M,"&gt;0")&lt;&gt;1,"",SUMIFS($M:$M,$C:$C,$C457,$D:$D,$D457,$E:$E,"P0(후)"))</f>
        <v/>
      </c>
      <c r="S457" s="31">
        <f>IF(N457&lt;&gt;"OK","",P457+(R457-P457)*(I457-O457)/(Q457-O457))</f>
        <v/>
      </c>
      <c r="T457" s="31">
        <f>IF(OR(N457&lt;&gt;"OK",NOT(ISNUMBER(M457))),"",M457-S457)</f>
        <v/>
      </c>
      <c r="U457" s="49">
        <f>IF(OR(NOT(ISNUMBER(T457)),IF(ISNUMBER(H457),H457,G457)=0),"",T457/IF(ISNUMBER(H457),H457,G457))</f>
        <v/>
      </c>
      <c r="V457" s="49">
        <f>IF(ISNUMBER(U457),ABS(U457),"")</f>
        <v/>
      </c>
      <c r="W457" s="49">
        <f>IF(OR($E456&lt;&gt;"측정",$C456&lt;&gt;$C457,$D456&lt;&gt;$D457,NOT(ISNUMBER(M457)),NOT(ISNUMBER(M456)),(IF(ISNUMBER(H457),H457,G457)-IF(ISNUMBER(H456),H456,G456))=0),"",(M457-M456)/(IF(ISNUMBER(H457),H457,G457)-IF(ISNUMBER(H456),H456,G456)))</f>
        <v/>
      </c>
      <c r="X457" s="31">
        <f>IF(NOT(AND(ISNUMBER(O457),ISNUMBER(Q457))),"",(Q457-O457)*1440)</f>
        <v/>
      </c>
      <c r="Y457" s="29" t="n"/>
      <c r="Z457" s="29" t="n"/>
      <c r="AA457" s="29" t="n"/>
      <c r="AB457" s="32" t="n"/>
      <c r="AC457" s="32" t="n"/>
    </row>
    <row r="458">
      <c r="A458" s="26" t="inlineStr">
        <is>
          <t>S09</t>
        </is>
      </c>
      <c r="B458" s="26" t="inlineStr">
        <is>
          <t>어론 신규점</t>
        </is>
      </c>
      <c r="C458" s="26" t="inlineStr">
        <is>
          <t>S09-H남</t>
        </is>
      </c>
      <c r="D458" s="47" t="n">
        <v>1</v>
      </c>
      <c r="E458" s="26" t="inlineStr">
        <is>
          <t>측정</t>
        </is>
      </c>
      <c r="F458" s="26" t="inlineStr">
        <is>
          <t>남</t>
        </is>
      </c>
      <c r="G458" s="31" t="n">
        <v>9</v>
      </c>
      <c r="H458" s="30" t="n"/>
      <c r="I458" s="43" t="n"/>
      <c r="J458" s="41" t="n"/>
      <c r="K458" s="41" t="n"/>
      <c r="L458" s="41" t="n"/>
      <c r="M458" s="31">
        <f>IF(COUNT(J458:L458)=0,"",MEDIAN(J458:L458))</f>
        <v/>
      </c>
      <c r="N458" s="26">
        <f>IF(COUNTIFS($C:$C,$C458,$D:$D,$D458,$E:$E,"P0(전)",$M:$M,"&gt;0")&lt;&gt;1,"P0(전) 유효 1개 아님",IF(COUNTIFS($C:$C,$C458,$D:$D,$D458,$E:$E,"P0(후)",$M:$M,"&gt;0")&lt;&gt;1,"P0(후) 유효 1개 아님",IF(NOT(AND(ISNUMBER(O458),ISNUMBER(Q458),ISNUMBER(I458))),"시각 결측",IF(Q458&lt;=O458,"P0 시각 역전",IF(OR(I458&lt;O458,I458&gt;Q458),"측정시각 구간 밖","OK")))))</f>
        <v/>
      </c>
      <c r="O458" s="48">
        <f>IF(COUNTIFS($C:$C,$C458,$D:$D,$D458,$E:$E,"P0(전)",$M:$M,"&gt;0")&lt;&gt;1,"",SUMIFS($I:$I,$C:$C,$C458,$D:$D,$D458,$E:$E,"P0(전)"))</f>
        <v/>
      </c>
      <c r="P458" s="31">
        <f>IF(COUNTIFS($C:$C,$C458,$D:$D,$D458,$E:$E,"P0(전)",$M:$M,"&gt;0")&lt;&gt;1,"",SUMIFS($M:$M,$C:$C,$C458,$D:$D,$D458,$E:$E,"P0(전)"))</f>
        <v/>
      </c>
      <c r="Q458" s="48">
        <f>IF(COUNTIFS($C:$C,$C458,$D:$D,$D458,$E:$E,"P0(후)",$M:$M,"&gt;0")&lt;&gt;1,"",SUMIFS($I:$I,$C:$C,$C458,$D:$D,$D458,$E:$E,"P0(후)"))</f>
        <v/>
      </c>
      <c r="R458" s="31">
        <f>IF(COUNTIFS($C:$C,$C458,$D:$D,$D458,$E:$E,"P0(후)",$M:$M,"&gt;0")&lt;&gt;1,"",SUMIFS($M:$M,$C:$C,$C458,$D:$D,$D458,$E:$E,"P0(후)"))</f>
        <v/>
      </c>
      <c r="S458" s="31">
        <f>IF(N458&lt;&gt;"OK","",P458+(R458-P458)*(I458-O458)/(Q458-O458))</f>
        <v/>
      </c>
      <c r="T458" s="31">
        <f>IF(OR(N458&lt;&gt;"OK",NOT(ISNUMBER(M458))),"",M458-S458)</f>
        <v/>
      </c>
      <c r="U458" s="49">
        <f>IF(OR(NOT(ISNUMBER(T458)),IF(ISNUMBER(H458),H458,G458)=0),"",T458/IF(ISNUMBER(H458),H458,G458))</f>
        <v/>
      </c>
      <c r="V458" s="49">
        <f>IF(ISNUMBER(U458),ABS(U458),"")</f>
        <v/>
      </c>
      <c r="W458" s="49">
        <f>IF(OR($E457&lt;&gt;"측정",$C457&lt;&gt;$C458,$D457&lt;&gt;$D458,NOT(ISNUMBER(M458)),NOT(ISNUMBER(M457)),(IF(ISNUMBER(H458),H458,G458)-IF(ISNUMBER(H457),H457,G457))=0),"",(M458-M457)/(IF(ISNUMBER(H458),H458,G458)-IF(ISNUMBER(H457),H457,G457)))</f>
        <v/>
      </c>
      <c r="X458" s="31">
        <f>IF(NOT(AND(ISNUMBER(O458),ISNUMBER(Q458))),"",(Q458-O458)*1440)</f>
        <v/>
      </c>
      <c r="Y458" s="29" t="n"/>
      <c r="Z458" s="29" t="n"/>
      <c r="AA458" s="29" t="n"/>
      <c r="AB458" s="32" t="n"/>
      <c r="AC458" s="32" t="n"/>
    </row>
    <row r="459">
      <c r="A459" s="26" t="inlineStr">
        <is>
          <t>S09</t>
        </is>
      </c>
      <c r="B459" s="26" t="inlineStr">
        <is>
          <t>어론 신규점</t>
        </is>
      </c>
      <c r="C459" s="26" t="inlineStr">
        <is>
          <t>S09-H남</t>
        </is>
      </c>
      <c r="D459" s="47" t="n">
        <v>1</v>
      </c>
      <c r="E459" s="26" t="inlineStr">
        <is>
          <t>측정</t>
        </is>
      </c>
      <c r="F459" s="26" t="inlineStr">
        <is>
          <t>남</t>
        </is>
      </c>
      <c r="G459" s="31" t="n">
        <v>10</v>
      </c>
      <c r="H459" s="30" t="n"/>
      <c r="I459" s="43" t="n"/>
      <c r="J459" s="41" t="n"/>
      <c r="K459" s="41" t="n"/>
      <c r="L459" s="41" t="n"/>
      <c r="M459" s="31">
        <f>IF(COUNT(J459:L459)=0,"",MEDIAN(J459:L459))</f>
        <v/>
      </c>
      <c r="N459" s="26">
        <f>IF(COUNTIFS($C:$C,$C459,$D:$D,$D459,$E:$E,"P0(전)",$M:$M,"&gt;0")&lt;&gt;1,"P0(전) 유효 1개 아님",IF(COUNTIFS($C:$C,$C459,$D:$D,$D459,$E:$E,"P0(후)",$M:$M,"&gt;0")&lt;&gt;1,"P0(후) 유효 1개 아님",IF(NOT(AND(ISNUMBER(O459),ISNUMBER(Q459),ISNUMBER(I459))),"시각 결측",IF(Q459&lt;=O459,"P0 시각 역전",IF(OR(I459&lt;O459,I459&gt;Q459),"측정시각 구간 밖","OK")))))</f>
        <v/>
      </c>
      <c r="O459" s="48">
        <f>IF(COUNTIFS($C:$C,$C459,$D:$D,$D459,$E:$E,"P0(전)",$M:$M,"&gt;0")&lt;&gt;1,"",SUMIFS($I:$I,$C:$C,$C459,$D:$D,$D459,$E:$E,"P0(전)"))</f>
        <v/>
      </c>
      <c r="P459" s="31">
        <f>IF(COUNTIFS($C:$C,$C459,$D:$D,$D459,$E:$E,"P0(전)",$M:$M,"&gt;0")&lt;&gt;1,"",SUMIFS($M:$M,$C:$C,$C459,$D:$D,$D459,$E:$E,"P0(전)"))</f>
        <v/>
      </c>
      <c r="Q459" s="48">
        <f>IF(COUNTIFS($C:$C,$C459,$D:$D,$D459,$E:$E,"P0(후)",$M:$M,"&gt;0")&lt;&gt;1,"",SUMIFS($I:$I,$C:$C,$C459,$D:$D,$D459,$E:$E,"P0(후)"))</f>
        <v/>
      </c>
      <c r="R459" s="31">
        <f>IF(COUNTIFS($C:$C,$C459,$D:$D,$D459,$E:$E,"P0(후)",$M:$M,"&gt;0")&lt;&gt;1,"",SUMIFS($M:$M,$C:$C,$C459,$D:$D,$D459,$E:$E,"P0(후)"))</f>
        <v/>
      </c>
      <c r="S459" s="31">
        <f>IF(N459&lt;&gt;"OK","",P459+(R459-P459)*(I459-O459)/(Q459-O459))</f>
        <v/>
      </c>
      <c r="T459" s="31">
        <f>IF(OR(N459&lt;&gt;"OK",NOT(ISNUMBER(M459))),"",M459-S459)</f>
        <v/>
      </c>
      <c r="U459" s="49">
        <f>IF(OR(NOT(ISNUMBER(T459)),IF(ISNUMBER(H459),H459,G459)=0),"",T459/IF(ISNUMBER(H459),H459,G459))</f>
        <v/>
      </c>
      <c r="V459" s="49">
        <f>IF(ISNUMBER(U459),ABS(U459),"")</f>
        <v/>
      </c>
      <c r="W459" s="49">
        <f>IF(OR($E458&lt;&gt;"측정",$C458&lt;&gt;$C459,$D458&lt;&gt;$D459,NOT(ISNUMBER(M459)),NOT(ISNUMBER(M458)),(IF(ISNUMBER(H459),H459,G459)-IF(ISNUMBER(H458),H458,G458))=0),"",(M459-M458)/(IF(ISNUMBER(H459),H459,G459)-IF(ISNUMBER(H458),H458,G458)))</f>
        <v/>
      </c>
      <c r="X459" s="31">
        <f>IF(NOT(AND(ISNUMBER(O459),ISNUMBER(Q459))),"",(Q459-O459)*1440)</f>
        <v/>
      </c>
      <c r="Y459" s="29" t="n"/>
      <c r="Z459" s="29" t="n"/>
      <c r="AA459" s="29" t="n"/>
      <c r="AB459" s="32" t="n"/>
      <c r="AC459" s="32" t="n"/>
    </row>
    <row r="460">
      <c r="A460" s="44" t="inlineStr">
        <is>
          <t>S09</t>
        </is>
      </c>
      <c r="B460" s="44" t="inlineStr">
        <is>
          <t>어론 신규점</t>
        </is>
      </c>
      <c r="C460" s="44" t="inlineStr">
        <is>
          <t>S09-H남</t>
        </is>
      </c>
      <c r="D460" s="45" t="n">
        <v>1</v>
      </c>
      <c r="E460" s="44" t="inlineStr">
        <is>
          <t>P0(후)</t>
        </is>
      </c>
      <c r="F460" s="44" t="inlineStr">
        <is>
          <t>남</t>
        </is>
      </c>
      <c r="G460" s="46" t="n"/>
      <c r="H460" s="30" t="n"/>
      <c r="I460" s="43" t="n"/>
      <c r="J460" s="41" t="n"/>
      <c r="K460" s="41" t="n"/>
      <c r="L460" s="41" t="n"/>
      <c r="M460" s="31">
        <f>IF(COUNT(J460:L460)=0,"",MEDIAN(J460:L460))</f>
        <v/>
      </c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38" t="n"/>
      <c r="Y460" s="29" t="n"/>
      <c r="Z460" s="29" t="n"/>
      <c r="AA460" s="29" t="n"/>
      <c r="AB460" s="32" t="n"/>
      <c r="AC460" s="32" t="n"/>
    </row>
    <row r="461">
      <c r="A461" s="44" t="inlineStr">
        <is>
          <t>S09</t>
        </is>
      </c>
      <c r="B461" s="44" t="inlineStr">
        <is>
          <t>어론 신규점</t>
        </is>
      </c>
      <c r="C461" s="44" t="inlineStr">
        <is>
          <t>S09-H북</t>
        </is>
      </c>
      <c r="D461" s="45" t="n">
        <v>1</v>
      </c>
      <c r="E461" s="44" t="inlineStr">
        <is>
          <t>P0(전)</t>
        </is>
      </c>
      <c r="F461" s="44" t="inlineStr">
        <is>
          <t>북</t>
        </is>
      </c>
      <c r="G461" s="46" t="n"/>
      <c r="H461" s="30" t="n"/>
      <c r="I461" s="43" t="n"/>
      <c r="J461" s="41" t="n"/>
      <c r="K461" s="41" t="n"/>
      <c r="L461" s="41" t="n"/>
      <c r="M461" s="31">
        <f>IF(COUNT(J461:L461)=0,"",MEDIAN(J461:L461))</f>
        <v/>
      </c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  <c r="X461" s="38" t="n"/>
      <c r="Y461" s="29" t="n"/>
      <c r="Z461" s="29" t="n"/>
      <c r="AA461" s="29" t="n"/>
      <c r="AB461" s="32" t="n"/>
      <c r="AC461" s="32" t="n"/>
    </row>
    <row r="462">
      <c r="A462" s="26" t="inlineStr">
        <is>
          <t>S09</t>
        </is>
      </c>
      <c r="B462" s="26" t="inlineStr">
        <is>
          <t>어론 신규점</t>
        </is>
      </c>
      <c r="C462" s="26" t="inlineStr">
        <is>
          <t>S09-H북</t>
        </is>
      </c>
      <c r="D462" s="47" t="n">
        <v>1</v>
      </c>
      <c r="E462" s="26" t="inlineStr">
        <is>
          <t>측정</t>
        </is>
      </c>
      <c r="F462" s="26" t="inlineStr">
        <is>
          <t>북</t>
        </is>
      </c>
      <c r="G462" s="31" t="n">
        <v>0.5</v>
      </c>
      <c r="H462" s="30" t="n"/>
      <c r="I462" s="43" t="n"/>
      <c r="J462" s="41" t="n"/>
      <c r="K462" s="41" t="n"/>
      <c r="L462" s="41" t="n"/>
      <c r="M462" s="31">
        <f>IF(COUNT(J462:L462)=0,"",MEDIAN(J462:L462))</f>
        <v/>
      </c>
      <c r="N462" s="26">
        <f>IF(COUNTIFS($C:$C,$C462,$D:$D,$D462,$E:$E,"P0(전)",$M:$M,"&gt;0")&lt;&gt;1,"P0(전) 유효 1개 아님",IF(COUNTIFS($C:$C,$C462,$D:$D,$D462,$E:$E,"P0(후)",$M:$M,"&gt;0")&lt;&gt;1,"P0(후) 유효 1개 아님",IF(NOT(AND(ISNUMBER(O462),ISNUMBER(Q462),ISNUMBER(I462))),"시각 결측",IF(Q462&lt;=O462,"P0 시각 역전",IF(OR(I462&lt;O462,I462&gt;Q462),"측정시각 구간 밖","OK")))))</f>
        <v/>
      </c>
      <c r="O462" s="48">
        <f>IF(COUNTIFS($C:$C,$C462,$D:$D,$D462,$E:$E,"P0(전)",$M:$M,"&gt;0")&lt;&gt;1,"",SUMIFS($I:$I,$C:$C,$C462,$D:$D,$D462,$E:$E,"P0(전)"))</f>
        <v/>
      </c>
      <c r="P462" s="31">
        <f>IF(COUNTIFS($C:$C,$C462,$D:$D,$D462,$E:$E,"P0(전)",$M:$M,"&gt;0")&lt;&gt;1,"",SUMIFS($M:$M,$C:$C,$C462,$D:$D,$D462,$E:$E,"P0(전)"))</f>
        <v/>
      </c>
      <c r="Q462" s="48">
        <f>IF(COUNTIFS($C:$C,$C462,$D:$D,$D462,$E:$E,"P0(후)",$M:$M,"&gt;0")&lt;&gt;1,"",SUMIFS($I:$I,$C:$C,$C462,$D:$D,$D462,$E:$E,"P0(후)"))</f>
        <v/>
      </c>
      <c r="R462" s="31">
        <f>IF(COUNTIFS($C:$C,$C462,$D:$D,$D462,$E:$E,"P0(후)",$M:$M,"&gt;0")&lt;&gt;1,"",SUMIFS($M:$M,$C:$C,$C462,$D:$D,$D462,$E:$E,"P0(후)"))</f>
        <v/>
      </c>
      <c r="S462" s="31">
        <f>IF(N462&lt;&gt;"OK","",P462+(R462-P462)*(I462-O462)/(Q462-O462))</f>
        <v/>
      </c>
      <c r="T462" s="31">
        <f>IF(OR(N462&lt;&gt;"OK",NOT(ISNUMBER(M462))),"",M462-S462)</f>
        <v/>
      </c>
      <c r="U462" s="49">
        <f>IF(OR(NOT(ISNUMBER(T462)),IF(ISNUMBER(H462),H462,G462)=0),"",T462/IF(ISNUMBER(H462),H462,G462))</f>
        <v/>
      </c>
      <c r="V462" s="49">
        <f>IF(ISNUMBER(U462),ABS(U462),"")</f>
        <v/>
      </c>
      <c r="W462" s="49">
        <f>IF(OR($E461&lt;&gt;"측정",$C461&lt;&gt;$C462,$D461&lt;&gt;$D462,NOT(ISNUMBER(M462)),NOT(ISNUMBER(M461)),(IF(ISNUMBER(H462),H462,G462)-IF(ISNUMBER(H461),H461,G461))=0),"",(M462-M461)/(IF(ISNUMBER(H462),H462,G462)-IF(ISNUMBER(H461),H461,G461)))</f>
        <v/>
      </c>
      <c r="X462" s="31">
        <f>IF(NOT(AND(ISNUMBER(O462),ISNUMBER(Q462))),"",(Q462-O462)*1440)</f>
        <v/>
      </c>
      <c r="Y462" s="29" t="n"/>
      <c r="Z462" s="29" t="n"/>
      <c r="AA462" s="29" t="n"/>
      <c r="AB462" s="32" t="n"/>
      <c r="AC462" s="32" t="n"/>
    </row>
    <row r="463">
      <c r="A463" s="26" t="inlineStr">
        <is>
          <t>S09</t>
        </is>
      </c>
      <c r="B463" s="26" t="inlineStr">
        <is>
          <t>어론 신규점</t>
        </is>
      </c>
      <c r="C463" s="26" t="inlineStr">
        <is>
          <t>S09-H북</t>
        </is>
      </c>
      <c r="D463" s="47" t="n">
        <v>1</v>
      </c>
      <c r="E463" s="26" t="inlineStr">
        <is>
          <t>측정</t>
        </is>
      </c>
      <c r="F463" s="26" t="inlineStr">
        <is>
          <t>북</t>
        </is>
      </c>
      <c r="G463" s="31" t="n">
        <v>1</v>
      </c>
      <c r="H463" s="30" t="n"/>
      <c r="I463" s="43" t="n"/>
      <c r="J463" s="41" t="n"/>
      <c r="K463" s="41" t="n"/>
      <c r="L463" s="41" t="n"/>
      <c r="M463" s="31">
        <f>IF(COUNT(J463:L463)=0,"",MEDIAN(J463:L463))</f>
        <v/>
      </c>
      <c r="N463" s="26">
        <f>IF(COUNTIFS($C:$C,$C463,$D:$D,$D463,$E:$E,"P0(전)",$M:$M,"&gt;0")&lt;&gt;1,"P0(전) 유효 1개 아님",IF(COUNTIFS($C:$C,$C463,$D:$D,$D463,$E:$E,"P0(후)",$M:$M,"&gt;0")&lt;&gt;1,"P0(후) 유효 1개 아님",IF(NOT(AND(ISNUMBER(O463),ISNUMBER(Q463),ISNUMBER(I463))),"시각 결측",IF(Q463&lt;=O463,"P0 시각 역전",IF(OR(I463&lt;O463,I463&gt;Q463),"측정시각 구간 밖","OK")))))</f>
        <v/>
      </c>
      <c r="O463" s="48">
        <f>IF(COUNTIFS($C:$C,$C463,$D:$D,$D463,$E:$E,"P0(전)",$M:$M,"&gt;0")&lt;&gt;1,"",SUMIFS($I:$I,$C:$C,$C463,$D:$D,$D463,$E:$E,"P0(전)"))</f>
        <v/>
      </c>
      <c r="P463" s="31">
        <f>IF(COUNTIFS($C:$C,$C463,$D:$D,$D463,$E:$E,"P0(전)",$M:$M,"&gt;0")&lt;&gt;1,"",SUMIFS($M:$M,$C:$C,$C463,$D:$D,$D463,$E:$E,"P0(전)"))</f>
        <v/>
      </c>
      <c r="Q463" s="48">
        <f>IF(COUNTIFS($C:$C,$C463,$D:$D,$D463,$E:$E,"P0(후)",$M:$M,"&gt;0")&lt;&gt;1,"",SUMIFS($I:$I,$C:$C,$C463,$D:$D,$D463,$E:$E,"P0(후)"))</f>
        <v/>
      </c>
      <c r="R463" s="31">
        <f>IF(COUNTIFS($C:$C,$C463,$D:$D,$D463,$E:$E,"P0(후)",$M:$M,"&gt;0")&lt;&gt;1,"",SUMIFS($M:$M,$C:$C,$C463,$D:$D,$D463,$E:$E,"P0(후)"))</f>
        <v/>
      </c>
      <c r="S463" s="31">
        <f>IF(N463&lt;&gt;"OK","",P463+(R463-P463)*(I463-O463)/(Q463-O463))</f>
        <v/>
      </c>
      <c r="T463" s="31">
        <f>IF(OR(N463&lt;&gt;"OK",NOT(ISNUMBER(M463))),"",M463-S463)</f>
        <v/>
      </c>
      <c r="U463" s="49">
        <f>IF(OR(NOT(ISNUMBER(T463)),IF(ISNUMBER(H463),H463,G463)=0),"",T463/IF(ISNUMBER(H463),H463,G463))</f>
        <v/>
      </c>
      <c r="V463" s="49">
        <f>IF(ISNUMBER(U463),ABS(U463),"")</f>
        <v/>
      </c>
      <c r="W463" s="49">
        <f>IF(OR($E462&lt;&gt;"측정",$C462&lt;&gt;$C463,$D462&lt;&gt;$D463,NOT(ISNUMBER(M463)),NOT(ISNUMBER(M462)),(IF(ISNUMBER(H463),H463,G463)-IF(ISNUMBER(H462),H462,G462))=0),"",(M463-M462)/(IF(ISNUMBER(H463),H463,G463)-IF(ISNUMBER(H462),H462,G462)))</f>
        <v/>
      </c>
      <c r="X463" s="31">
        <f>IF(NOT(AND(ISNUMBER(O463),ISNUMBER(Q463))),"",(Q463-O463)*1440)</f>
        <v/>
      </c>
      <c r="Y463" s="29" t="n"/>
      <c r="Z463" s="29" t="n"/>
      <c r="AA463" s="29" t="n"/>
      <c r="AB463" s="32" t="n"/>
      <c r="AC463" s="32" t="n"/>
    </row>
    <row r="464">
      <c r="A464" s="26" t="inlineStr">
        <is>
          <t>S09</t>
        </is>
      </c>
      <c r="B464" s="26" t="inlineStr">
        <is>
          <t>어론 신규점</t>
        </is>
      </c>
      <c r="C464" s="26" t="inlineStr">
        <is>
          <t>S09-H북</t>
        </is>
      </c>
      <c r="D464" s="47" t="n">
        <v>1</v>
      </c>
      <c r="E464" s="26" t="inlineStr">
        <is>
          <t>측정</t>
        </is>
      </c>
      <c r="F464" s="26" t="inlineStr">
        <is>
          <t>북</t>
        </is>
      </c>
      <c r="G464" s="31" t="n">
        <v>2</v>
      </c>
      <c r="H464" s="30" t="n"/>
      <c r="I464" s="43" t="n"/>
      <c r="J464" s="41" t="n"/>
      <c r="K464" s="41" t="n"/>
      <c r="L464" s="41" t="n"/>
      <c r="M464" s="31">
        <f>IF(COUNT(J464:L464)=0,"",MEDIAN(J464:L464))</f>
        <v/>
      </c>
      <c r="N464" s="26">
        <f>IF(COUNTIFS($C:$C,$C464,$D:$D,$D464,$E:$E,"P0(전)",$M:$M,"&gt;0")&lt;&gt;1,"P0(전) 유효 1개 아님",IF(COUNTIFS($C:$C,$C464,$D:$D,$D464,$E:$E,"P0(후)",$M:$M,"&gt;0")&lt;&gt;1,"P0(후) 유효 1개 아님",IF(NOT(AND(ISNUMBER(O464),ISNUMBER(Q464),ISNUMBER(I464))),"시각 결측",IF(Q464&lt;=O464,"P0 시각 역전",IF(OR(I464&lt;O464,I464&gt;Q464),"측정시각 구간 밖","OK")))))</f>
        <v/>
      </c>
      <c r="O464" s="48">
        <f>IF(COUNTIFS($C:$C,$C464,$D:$D,$D464,$E:$E,"P0(전)",$M:$M,"&gt;0")&lt;&gt;1,"",SUMIFS($I:$I,$C:$C,$C464,$D:$D,$D464,$E:$E,"P0(전)"))</f>
        <v/>
      </c>
      <c r="P464" s="31">
        <f>IF(COUNTIFS($C:$C,$C464,$D:$D,$D464,$E:$E,"P0(전)",$M:$M,"&gt;0")&lt;&gt;1,"",SUMIFS($M:$M,$C:$C,$C464,$D:$D,$D464,$E:$E,"P0(전)"))</f>
        <v/>
      </c>
      <c r="Q464" s="48">
        <f>IF(COUNTIFS($C:$C,$C464,$D:$D,$D464,$E:$E,"P0(후)",$M:$M,"&gt;0")&lt;&gt;1,"",SUMIFS($I:$I,$C:$C,$C464,$D:$D,$D464,$E:$E,"P0(후)"))</f>
        <v/>
      </c>
      <c r="R464" s="31">
        <f>IF(COUNTIFS($C:$C,$C464,$D:$D,$D464,$E:$E,"P0(후)",$M:$M,"&gt;0")&lt;&gt;1,"",SUMIFS($M:$M,$C:$C,$C464,$D:$D,$D464,$E:$E,"P0(후)"))</f>
        <v/>
      </c>
      <c r="S464" s="31">
        <f>IF(N464&lt;&gt;"OK","",P464+(R464-P464)*(I464-O464)/(Q464-O464))</f>
        <v/>
      </c>
      <c r="T464" s="31">
        <f>IF(OR(N464&lt;&gt;"OK",NOT(ISNUMBER(M464))),"",M464-S464)</f>
        <v/>
      </c>
      <c r="U464" s="49">
        <f>IF(OR(NOT(ISNUMBER(T464)),IF(ISNUMBER(H464),H464,G464)=0),"",T464/IF(ISNUMBER(H464),H464,G464))</f>
        <v/>
      </c>
      <c r="V464" s="49">
        <f>IF(ISNUMBER(U464),ABS(U464),"")</f>
        <v/>
      </c>
      <c r="W464" s="49">
        <f>IF(OR($E463&lt;&gt;"측정",$C463&lt;&gt;$C464,$D463&lt;&gt;$D464,NOT(ISNUMBER(M464)),NOT(ISNUMBER(M463)),(IF(ISNUMBER(H464),H464,G464)-IF(ISNUMBER(H463),H463,G463))=0),"",(M464-M463)/(IF(ISNUMBER(H464),H464,G464)-IF(ISNUMBER(H463),H463,G463)))</f>
        <v/>
      </c>
      <c r="X464" s="31">
        <f>IF(NOT(AND(ISNUMBER(O464),ISNUMBER(Q464))),"",(Q464-O464)*1440)</f>
        <v/>
      </c>
      <c r="Y464" s="29" t="n"/>
      <c r="Z464" s="29" t="n"/>
      <c r="AA464" s="29" t="n"/>
      <c r="AB464" s="32" t="n"/>
      <c r="AC464" s="32" t="n"/>
    </row>
    <row r="465">
      <c r="A465" s="26" t="inlineStr">
        <is>
          <t>S09</t>
        </is>
      </c>
      <c r="B465" s="26" t="inlineStr">
        <is>
          <t>어론 신규점</t>
        </is>
      </c>
      <c r="C465" s="26" t="inlineStr">
        <is>
          <t>S09-H북</t>
        </is>
      </c>
      <c r="D465" s="47" t="n">
        <v>1</v>
      </c>
      <c r="E465" s="26" t="inlineStr">
        <is>
          <t>측정</t>
        </is>
      </c>
      <c r="F465" s="26" t="inlineStr">
        <is>
          <t>북</t>
        </is>
      </c>
      <c r="G465" s="31" t="n">
        <v>3</v>
      </c>
      <c r="H465" s="30" t="n"/>
      <c r="I465" s="43" t="n"/>
      <c r="J465" s="41" t="n"/>
      <c r="K465" s="41" t="n"/>
      <c r="L465" s="41" t="n"/>
      <c r="M465" s="31">
        <f>IF(COUNT(J465:L465)=0,"",MEDIAN(J465:L465))</f>
        <v/>
      </c>
      <c r="N465" s="26">
        <f>IF(COUNTIFS($C:$C,$C465,$D:$D,$D465,$E:$E,"P0(전)",$M:$M,"&gt;0")&lt;&gt;1,"P0(전) 유효 1개 아님",IF(COUNTIFS($C:$C,$C465,$D:$D,$D465,$E:$E,"P0(후)",$M:$M,"&gt;0")&lt;&gt;1,"P0(후) 유효 1개 아님",IF(NOT(AND(ISNUMBER(O465),ISNUMBER(Q465),ISNUMBER(I465))),"시각 결측",IF(Q465&lt;=O465,"P0 시각 역전",IF(OR(I465&lt;O465,I465&gt;Q465),"측정시각 구간 밖","OK")))))</f>
        <v/>
      </c>
      <c r="O465" s="48">
        <f>IF(COUNTIFS($C:$C,$C465,$D:$D,$D465,$E:$E,"P0(전)",$M:$M,"&gt;0")&lt;&gt;1,"",SUMIFS($I:$I,$C:$C,$C465,$D:$D,$D465,$E:$E,"P0(전)"))</f>
        <v/>
      </c>
      <c r="P465" s="31">
        <f>IF(COUNTIFS($C:$C,$C465,$D:$D,$D465,$E:$E,"P0(전)",$M:$M,"&gt;0")&lt;&gt;1,"",SUMIFS($M:$M,$C:$C,$C465,$D:$D,$D465,$E:$E,"P0(전)"))</f>
        <v/>
      </c>
      <c r="Q465" s="48">
        <f>IF(COUNTIFS($C:$C,$C465,$D:$D,$D465,$E:$E,"P0(후)",$M:$M,"&gt;0")&lt;&gt;1,"",SUMIFS($I:$I,$C:$C,$C465,$D:$D,$D465,$E:$E,"P0(후)"))</f>
        <v/>
      </c>
      <c r="R465" s="31">
        <f>IF(COUNTIFS($C:$C,$C465,$D:$D,$D465,$E:$E,"P0(후)",$M:$M,"&gt;0")&lt;&gt;1,"",SUMIFS($M:$M,$C:$C,$C465,$D:$D,$D465,$E:$E,"P0(후)"))</f>
        <v/>
      </c>
      <c r="S465" s="31">
        <f>IF(N465&lt;&gt;"OK","",P465+(R465-P465)*(I465-O465)/(Q465-O465))</f>
        <v/>
      </c>
      <c r="T465" s="31">
        <f>IF(OR(N465&lt;&gt;"OK",NOT(ISNUMBER(M465))),"",M465-S465)</f>
        <v/>
      </c>
      <c r="U465" s="49">
        <f>IF(OR(NOT(ISNUMBER(T465)),IF(ISNUMBER(H465),H465,G465)=0),"",T465/IF(ISNUMBER(H465),H465,G465))</f>
        <v/>
      </c>
      <c r="V465" s="49">
        <f>IF(ISNUMBER(U465),ABS(U465),"")</f>
        <v/>
      </c>
      <c r="W465" s="49">
        <f>IF(OR($E464&lt;&gt;"측정",$C464&lt;&gt;$C465,$D464&lt;&gt;$D465,NOT(ISNUMBER(M465)),NOT(ISNUMBER(M464)),(IF(ISNUMBER(H465),H465,G465)-IF(ISNUMBER(H464),H464,G464))=0),"",(M465-M464)/(IF(ISNUMBER(H465),H465,G465)-IF(ISNUMBER(H464),H464,G464)))</f>
        <v/>
      </c>
      <c r="X465" s="31">
        <f>IF(NOT(AND(ISNUMBER(O465),ISNUMBER(Q465))),"",(Q465-O465)*1440)</f>
        <v/>
      </c>
      <c r="Y465" s="29" t="n"/>
      <c r="Z465" s="29" t="n"/>
      <c r="AA465" s="29" t="n"/>
      <c r="AB465" s="32" t="n"/>
      <c r="AC465" s="32" t="n"/>
    </row>
    <row r="466">
      <c r="A466" s="26" t="inlineStr">
        <is>
          <t>S09</t>
        </is>
      </c>
      <c r="B466" s="26" t="inlineStr">
        <is>
          <t>어론 신규점</t>
        </is>
      </c>
      <c r="C466" s="26" t="inlineStr">
        <is>
          <t>S09-H북</t>
        </is>
      </c>
      <c r="D466" s="47" t="n">
        <v>1</v>
      </c>
      <c r="E466" s="26" t="inlineStr">
        <is>
          <t>측정</t>
        </is>
      </c>
      <c r="F466" s="26" t="inlineStr">
        <is>
          <t>북</t>
        </is>
      </c>
      <c r="G466" s="31" t="n">
        <v>4</v>
      </c>
      <c r="H466" s="30" t="n"/>
      <c r="I466" s="43" t="n"/>
      <c r="J466" s="41" t="n"/>
      <c r="K466" s="41" t="n"/>
      <c r="L466" s="41" t="n"/>
      <c r="M466" s="31">
        <f>IF(COUNT(J466:L466)=0,"",MEDIAN(J466:L466))</f>
        <v/>
      </c>
      <c r="N466" s="26">
        <f>IF(COUNTIFS($C:$C,$C466,$D:$D,$D466,$E:$E,"P0(전)",$M:$M,"&gt;0")&lt;&gt;1,"P0(전) 유효 1개 아님",IF(COUNTIFS($C:$C,$C466,$D:$D,$D466,$E:$E,"P0(후)",$M:$M,"&gt;0")&lt;&gt;1,"P0(후) 유효 1개 아님",IF(NOT(AND(ISNUMBER(O466),ISNUMBER(Q466),ISNUMBER(I466))),"시각 결측",IF(Q466&lt;=O466,"P0 시각 역전",IF(OR(I466&lt;O466,I466&gt;Q466),"측정시각 구간 밖","OK")))))</f>
        <v/>
      </c>
      <c r="O466" s="48">
        <f>IF(COUNTIFS($C:$C,$C466,$D:$D,$D466,$E:$E,"P0(전)",$M:$M,"&gt;0")&lt;&gt;1,"",SUMIFS($I:$I,$C:$C,$C466,$D:$D,$D466,$E:$E,"P0(전)"))</f>
        <v/>
      </c>
      <c r="P466" s="31">
        <f>IF(COUNTIFS($C:$C,$C466,$D:$D,$D466,$E:$E,"P0(전)",$M:$M,"&gt;0")&lt;&gt;1,"",SUMIFS($M:$M,$C:$C,$C466,$D:$D,$D466,$E:$E,"P0(전)"))</f>
        <v/>
      </c>
      <c r="Q466" s="48">
        <f>IF(COUNTIFS($C:$C,$C466,$D:$D,$D466,$E:$E,"P0(후)",$M:$M,"&gt;0")&lt;&gt;1,"",SUMIFS($I:$I,$C:$C,$C466,$D:$D,$D466,$E:$E,"P0(후)"))</f>
        <v/>
      </c>
      <c r="R466" s="31">
        <f>IF(COUNTIFS($C:$C,$C466,$D:$D,$D466,$E:$E,"P0(후)",$M:$M,"&gt;0")&lt;&gt;1,"",SUMIFS($M:$M,$C:$C,$C466,$D:$D,$D466,$E:$E,"P0(후)"))</f>
        <v/>
      </c>
      <c r="S466" s="31">
        <f>IF(N466&lt;&gt;"OK","",P466+(R466-P466)*(I466-O466)/(Q466-O466))</f>
        <v/>
      </c>
      <c r="T466" s="31">
        <f>IF(OR(N466&lt;&gt;"OK",NOT(ISNUMBER(M466))),"",M466-S466)</f>
        <v/>
      </c>
      <c r="U466" s="49">
        <f>IF(OR(NOT(ISNUMBER(T466)),IF(ISNUMBER(H466),H466,G466)=0),"",T466/IF(ISNUMBER(H466),H466,G466))</f>
        <v/>
      </c>
      <c r="V466" s="49">
        <f>IF(ISNUMBER(U466),ABS(U466),"")</f>
        <v/>
      </c>
      <c r="W466" s="49">
        <f>IF(OR($E465&lt;&gt;"측정",$C465&lt;&gt;$C466,$D465&lt;&gt;$D466,NOT(ISNUMBER(M466)),NOT(ISNUMBER(M465)),(IF(ISNUMBER(H466),H466,G466)-IF(ISNUMBER(H465),H465,G465))=0),"",(M466-M465)/(IF(ISNUMBER(H466),H466,G466)-IF(ISNUMBER(H465),H465,G465)))</f>
        <v/>
      </c>
      <c r="X466" s="31">
        <f>IF(NOT(AND(ISNUMBER(O466),ISNUMBER(Q466))),"",(Q466-O466)*1440)</f>
        <v/>
      </c>
      <c r="Y466" s="29" t="n"/>
      <c r="Z466" s="29" t="n"/>
      <c r="AA466" s="29" t="n"/>
      <c r="AB466" s="32" t="n"/>
      <c r="AC466" s="32" t="n"/>
    </row>
    <row r="467">
      <c r="A467" s="26" t="inlineStr">
        <is>
          <t>S09</t>
        </is>
      </c>
      <c r="B467" s="26" t="inlineStr">
        <is>
          <t>어론 신규점</t>
        </is>
      </c>
      <c r="C467" s="26" t="inlineStr">
        <is>
          <t>S09-H북</t>
        </is>
      </c>
      <c r="D467" s="47" t="n">
        <v>1</v>
      </c>
      <c r="E467" s="26" t="inlineStr">
        <is>
          <t>측정</t>
        </is>
      </c>
      <c r="F467" s="26" t="inlineStr">
        <is>
          <t>북</t>
        </is>
      </c>
      <c r="G467" s="31" t="n">
        <v>5</v>
      </c>
      <c r="H467" s="30" t="n"/>
      <c r="I467" s="43" t="n"/>
      <c r="J467" s="41" t="n"/>
      <c r="K467" s="41" t="n"/>
      <c r="L467" s="41" t="n"/>
      <c r="M467" s="31">
        <f>IF(COUNT(J467:L467)=0,"",MEDIAN(J467:L467))</f>
        <v/>
      </c>
      <c r="N467" s="26">
        <f>IF(COUNTIFS($C:$C,$C467,$D:$D,$D467,$E:$E,"P0(전)",$M:$M,"&gt;0")&lt;&gt;1,"P0(전) 유효 1개 아님",IF(COUNTIFS($C:$C,$C467,$D:$D,$D467,$E:$E,"P0(후)",$M:$M,"&gt;0")&lt;&gt;1,"P0(후) 유효 1개 아님",IF(NOT(AND(ISNUMBER(O467),ISNUMBER(Q467),ISNUMBER(I467))),"시각 결측",IF(Q467&lt;=O467,"P0 시각 역전",IF(OR(I467&lt;O467,I467&gt;Q467),"측정시각 구간 밖","OK")))))</f>
        <v/>
      </c>
      <c r="O467" s="48">
        <f>IF(COUNTIFS($C:$C,$C467,$D:$D,$D467,$E:$E,"P0(전)",$M:$M,"&gt;0")&lt;&gt;1,"",SUMIFS($I:$I,$C:$C,$C467,$D:$D,$D467,$E:$E,"P0(전)"))</f>
        <v/>
      </c>
      <c r="P467" s="31">
        <f>IF(COUNTIFS($C:$C,$C467,$D:$D,$D467,$E:$E,"P0(전)",$M:$M,"&gt;0")&lt;&gt;1,"",SUMIFS($M:$M,$C:$C,$C467,$D:$D,$D467,$E:$E,"P0(전)"))</f>
        <v/>
      </c>
      <c r="Q467" s="48">
        <f>IF(COUNTIFS($C:$C,$C467,$D:$D,$D467,$E:$E,"P0(후)",$M:$M,"&gt;0")&lt;&gt;1,"",SUMIFS($I:$I,$C:$C,$C467,$D:$D,$D467,$E:$E,"P0(후)"))</f>
        <v/>
      </c>
      <c r="R467" s="31">
        <f>IF(COUNTIFS($C:$C,$C467,$D:$D,$D467,$E:$E,"P0(후)",$M:$M,"&gt;0")&lt;&gt;1,"",SUMIFS($M:$M,$C:$C,$C467,$D:$D,$D467,$E:$E,"P0(후)"))</f>
        <v/>
      </c>
      <c r="S467" s="31">
        <f>IF(N467&lt;&gt;"OK","",P467+(R467-P467)*(I467-O467)/(Q467-O467))</f>
        <v/>
      </c>
      <c r="T467" s="31">
        <f>IF(OR(N467&lt;&gt;"OK",NOT(ISNUMBER(M467))),"",M467-S467)</f>
        <v/>
      </c>
      <c r="U467" s="49">
        <f>IF(OR(NOT(ISNUMBER(T467)),IF(ISNUMBER(H467),H467,G467)=0),"",T467/IF(ISNUMBER(H467),H467,G467))</f>
        <v/>
      </c>
      <c r="V467" s="49">
        <f>IF(ISNUMBER(U467),ABS(U467),"")</f>
        <v/>
      </c>
      <c r="W467" s="49">
        <f>IF(OR($E466&lt;&gt;"측정",$C466&lt;&gt;$C467,$D466&lt;&gt;$D467,NOT(ISNUMBER(M467)),NOT(ISNUMBER(M466)),(IF(ISNUMBER(H467),H467,G467)-IF(ISNUMBER(H466),H466,G466))=0),"",(M467-M466)/(IF(ISNUMBER(H467),H467,G467)-IF(ISNUMBER(H466),H466,G466)))</f>
        <v/>
      </c>
      <c r="X467" s="31">
        <f>IF(NOT(AND(ISNUMBER(O467),ISNUMBER(Q467))),"",(Q467-O467)*1440)</f>
        <v/>
      </c>
      <c r="Y467" s="29" t="n"/>
      <c r="Z467" s="29" t="n"/>
      <c r="AA467" s="29" t="n"/>
      <c r="AB467" s="32" t="n"/>
      <c r="AC467" s="32" t="n"/>
    </row>
    <row r="468">
      <c r="A468" s="26" t="inlineStr">
        <is>
          <t>S09</t>
        </is>
      </c>
      <c r="B468" s="26" t="inlineStr">
        <is>
          <t>어론 신규점</t>
        </is>
      </c>
      <c r="C468" s="26" t="inlineStr">
        <is>
          <t>S09-H북</t>
        </is>
      </c>
      <c r="D468" s="47" t="n">
        <v>1</v>
      </c>
      <c r="E468" s="26" t="inlineStr">
        <is>
          <t>측정</t>
        </is>
      </c>
      <c r="F468" s="26" t="inlineStr">
        <is>
          <t>북</t>
        </is>
      </c>
      <c r="G468" s="31" t="n">
        <v>6</v>
      </c>
      <c r="H468" s="30" t="n"/>
      <c r="I468" s="43" t="n"/>
      <c r="J468" s="41" t="n"/>
      <c r="K468" s="41" t="n"/>
      <c r="L468" s="41" t="n"/>
      <c r="M468" s="31">
        <f>IF(COUNT(J468:L468)=0,"",MEDIAN(J468:L468))</f>
        <v/>
      </c>
      <c r="N468" s="26">
        <f>IF(COUNTIFS($C:$C,$C468,$D:$D,$D468,$E:$E,"P0(전)",$M:$M,"&gt;0")&lt;&gt;1,"P0(전) 유효 1개 아님",IF(COUNTIFS($C:$C,$C468,$D:$D,$D468,$E:$E,"P0(후)",$M:$M,"&gt;0")&lt;&gt;1,"P0(후) 유효 1개 아님",IF(NOT(AND(ISNUMBER(O468),ISNUMBER(Q468),ISNUMBER(I468))),"시각 결측",IF(Q468&lt;=O468,"P0 시각 역전",IF(OR(I468&lt;O468,I468&gt;Q468),"측정시각 구간 밖","OK")))))</f>
        <v/>
      </c>
      <c r="O468" s="48">
        <f>IF(COUNTIFS($C:$C,$C468,$D:$D,$D468,$E:$E,"P0(전)",$M:$M,"&gt;0")&lt;&gt;1,"",SUMIFS($I:$I,$C:$C,$C468,$D:$D,$D468,$E:$E,"P0(전)"))</f>
        <v/>
      </c>
      <c r="P468" s="31">
        <f>IF(COUNTIFS($C:$C,$C468,$D:$D,$D468,$E:$E,"P0(전)",$M:$M,"&gt;0")&lt;&gt;1,"",SUMIFS($M:$M,$C:$C,$C468,$D:$D,$D468,$E:$E,"P0(전)"))</f>
        <v/>
      </c>
      <c r="Q468" s="48">
        <f>IF(COUNTIFS($C:$C,$C468,$D:$D,$D468,$E:$E,"P0(후)",$M:$M,"&gt;0")&lt;&gt;1,"",SUMIFS($I:$I,$C:$C,$C468,$D:$D,$D468,$E:$E,"P0(후)"))</f>
        <v/>
      </c>
      <c r="R468" s="31">
        <f>IF(COUNTIFS($C:$C,$C468,$D:$D,$D468,$E:$E,"P0(후)",$M:$M,"&gt;0")&lt;&gt;1,"",SUMIFS($M:$M,$C:$C,$C468,$D:$D,$D468,$E:$E,"P0(후)"))</f>
        <v/>
      </c>
      <c r="S468" s="31">
        <f>IF(N468&lt;&gt;"OK","",P468+(R468-P468)*(I468-O468)/(Q468-O468))</f>
        <v/>
      </c>
      <c r="T468" s="31">
        <f>IF(OR(N468&lt;&gt;"OK",NOT(ISNUMBER(M468))),"",M468-S468)</f>
        <v/>
      </c>
      <c r="U468" s="49">
        <f>IF(OR(NOT(ISNUMBER(T468)),IF(ISNUMBER(H468),H468,G468)=0),"",T468/IF(ISNUMBER(H468),H468,G468))</f>
        <v/>
      </c>
      <c r="V468" s="49">
        <f>IF(ISNUMBER(U468),ABS(U468),"")</f>
        <v/>
      </c>
      <c r="W468" s="49">
        <f>IF(OR($E467&lt;&gt;"측정",$C467&lt;&gt;$C468,$D467&lt;&gt;$D468,NOT(ISNUMBER(M468)),NOT(ISNUMBER(M467)),(IF(ISNUMBER(H468),H468,G468)-IF(ISNUMBER(H467),H467,G467))=0),"",(M468-M467)/(IF(ISNUMBER(H468),H468,G468)-IF(ISNUMBER(H467),H467,G467)))</f>
        <v/>
      </c>
      <c r="X468" s="31">
        <f>IF(NOT(AND(ISNUMBER(O468),ISNUMBER(Q468))),"",(Q468-O468)*1440)</f>
        <v/>
      </c>
      <c r="Y468" s="29" t="n"/>
      <c r="Z468" s="29" t="n"/>
      <c r="AA468" s="29" t="n"/>
      <c r="AB468" s="32" t="n"/>
      <c r="AC468" s="32" t="n"/>
    </row>
    <row r="469">
      <c r="A469" s="26" t="inlineStr">
        <is>
          <t>S09</t>
        </is>
      </c>
      <c r="B469" s="26" t="inlineStr">
        <is>
          <t>어론 신규점</t>
        </is>
      </c>
      <c r="C469" s="26" t="inlineStr">
        <is>
          <t>S09-H북</t>
        </is>
      </c>
      <c r="D469" s="47" t="n">
        <v>1</v>
      </c>
      <c r="E469" s="26" t="inlineStr">
        <is>
          <t>측정</t>
        </is>
      </c>
      <c r="F469" s="26" t="inlineStr">
        <is>
          <t>북</t>
        </is>
      </c>
      <c r="G469" s="31" t="n">
        <v>7</v>
      </c>
      <c r="H469" s="30" t="n"/>
      <c r="I469" s="43" t="n"/>
      <c r="J469" s="41" t="n"/>
      <c r="K469" s="41" t="n"/>
      <c r="L469" s="41" t="n"/>
      <c r="M469" s="31">
        <f>IF(COUNT(J469:L469)=0,"",MEDIAN(J469:L469))</f>
        <v/>
      </c>
      <c r="N469" s="26">
        <f>IF(COUNTIFS($C:$C,$C469,$D:$D,$D469,$E:$E,"P0(전)",$M:$M,"&gt;0")&lt;&gt;1,"P0(전) 유효 1개 아님",IF(COUNTIFS($C:$C,$C469,$D:$D,$D469,$E:$E,"P0(후)",$M:$M,"&gt;0")&lt;&gt;1,"P0(후) 유효 1개 아님",IF(NOT(AND(ISNUMBER(O469),ISNUMBER(Q469),ISNUMBER(I469))),"시각 결측",IF(Q469&lt;=O469,"P0 시각 역전",IF(OR(I469&lt;O469,I469&gt;Q469),"측정시각 구간 밖","OK")))))</f>
        <v/>
      </c>
      <c r="O469" s="48">
        <f>IF(COUNTIFS($C:$C,$C469,$D:$D,$D469,$E:$E,"P0(전)",$M:$M,"&gt;0")&lt;&gt;1,"",SUMIFS($I:$I,$C:$C,$C469,$D:$D,$D469,$E:$E,"P0(전)"))</f>
        <v/>
      </c>
      <c r="P469" s="31">
        <f>IF(COUNTIFS($C:$C,$C469,$D:$D,$D469,$E:$E,"P0(전)",$M:$M,"&gt;0")&lt;&gt;1,"",SUMIFS($M:$M,$C:$C,$C469,$D:$D,$D469,$E:$E,"P0(전)"))</f>
        <v/>
      </c>
      <c r="Q469" s="48">
        <f>IF(COUNTIFS($C:$C,$C469,$D:$D,$D469,$E:$E,"P0(후)",$M:$M,"&gt;0")&lt;&gt;1,"",SUMIFS($I:$I,$C:$C,$C469,$D:$D,$D469,$E:$E,"P0(후)"))</f>
        <v/>
      </c>
      <c r="R469" s="31">
        <f>IF(COUNTIFS($C:$C,$C469,$D:$D,$D469,$E:$E,"P0(후)",$M:$M,"&gt;0")&lt;&gt;1,"",SUMIFS($M:$M,$C:$C,$C469,$D:$D,$D469,$E:$E,"P0(후)"))</f>
        <v/>
      </c>
      <c r="S469" s="31">
        <f>IF(N469&lt;&gt;"OK","",P469+(R469-P469)*(I469-O469)/(Q469-O469))</f>
        <v/>
      </c>
      <c r="T469" s="31">
        <f>IF(OR(N469&lt;&gt;"OK",NOT(ISNUMBER(M469))),"",M469-S469)</f>
        <v/>
      </c>
      <c r="U469" s="49">
        <f>IF(OR(NOT(ISNUMBER(T469)),IF(ISNUMBER(H469),H469,G469)=0),"",T469/IF(ISNUMBER(H469),H469,G469))</f>
        <v/>
      </c>
      <c r="V469" s="49">
        <f>IF(ISNUMBER(U469),ABS(U469),"")</f>
        <v/>
      </c>
      <c r="W469" s="49">
        <f>IF(OR($E468&lt;&gt;"측정",$C468&lt;&gt;$C469,$D468&lt;&gt;$D469,NOT(ISNUMBER(M469)),NOT(ISNUMBER(M468)),(IF(ISNUMBER(H469),H469,G469)-IF(ISNUMBER(H468),H468,G468))=0),"",(M469-M468)/(IF(ISNUMBER(H469),H469,G469)-IF(ISNUMBER(H468),H468,G468)))</f>
        <v/>
      </c>
      <c r="X469" s="31">
        <f>IF(NOT(AND(ISNUMBER(O469),ISNUMBER(Q469))),"",(Q469-O469)*1440)</f>
        <v/>
      </c>
      <c r="Y469" s="29" t="n"/>
      <c r="Z469" s="29" t="n"/>
      <c r="AA469" s="29" t="n"/>
      <c r="AB469" s="32" t="n"/>
      <c r="AC469" s="32" t="n"/>
    </row>
    <row r="470">
      <c r="A470" s="26" t="inlineStr">
        <is>
          <t>S09</t>
        </is>
      </c>
      <c r="B470" s="26" t="inlineStr">
        <is>
          <t>어론 신규점</t>
        </is>
      </c>
      <c r="C470" s="26" t="inlineStr">
        <is>
          <t>S09-H북</t>
        </is>
      </c>
      <c r="D470" s="47" t="n">
        <v>1</v>
      </c>
      <c r="E470" s="26" t="inlineStr">
        <is>
          <t>측정</t>
        </is>
      </c>
      <c r="F470" s="26" t="inlineStr">
        <is>
          <t>북</t>
        </is>
      </c>
      <c r="G470" s="31" t="n">
        <v>8</v>
      </c>
      <c r="H470" s="30" t="n"/>
      <c r="I470" s="43" t="n"/>
      <c r="J470" s="41" t="n"/>
      <c r="K470" s="41" t="n"/>
      <c r="L470" s="41" t="n"/>
      <c r="M470" s="31">
        <f>IF(COUNT(J470:L470)=0,"",MEDIAN(J470:L470))</f>
        <v/>
      </c>
      <c r="N470" s="26">
        <f>IF(COUNTIFS($C:$C,$C470,$D:$D,$D470,$E:$E,"P0(전)",$M:$M,"&gt;0")&lt;&gt;1,"P0(전) 유효 1개 아님",IF(COUNTIFS($C:$C,$C470,$D:$D,$D470,$E:$E,"P0(후)",$M:$M,"&gt;0")&lt;&gt;1,"P0(후) 유효 1개 아님",IF(NOT(AND(ISNUMBER(O470),ISNUMBER(Q470),ISNUMBER(I470))),"시각 결측",IF(Q470&lt;=O470,"P0 시각 역전",IF(OR(I470&lt;O470,I470&gt;Q470),"측정시각 구간 밖","OK")))))</f>
        <v/>
      </c>
      <c r="O470" s="48">
        <f>IF(COUNTIFS($C:$C,$C470,$D:$D,$D470,$E:$E,"P0(전)",$M:$M,"&gt;0")&lt;&gt;1,"",SUMIFS($I:$I,$C:$C,$C470,$D:$D,$D470,$E:$E,"P0(전)"))</f>
        <v/>
      </c>
      <c r="P470" s="31">
        <f>IF(COUNTIFS($C:$C,$C470,$D:$D,$D470,$E:$E,"P0(전)",$M:$M,"&gt;0")&lt;&gt;1,"",SUMIFS($M:$M,$C:$C,$C470,$D:$D,$D470,$E:$E,"P0(전)"))</f>
        <v/>
      </c>
      <c r="Q470" s="48">
        <f>IF(COUNTIFS($C:$C,$C470,$D:$D,$D470,$E:$E,"P0(후)",$M:$M,"&gt;0")&lt;&gt;1,"",SUMIFS($I:$I,$C:$C,$C470,$D:$D,$D470,$E:$E,"P0(후)"))</f>
        <v/>
      </c>
      <c r="R470" s="31">
        <f>IF(COUNTIFS($C:$C,$C470,$D:$D,$D470,$E:$E,"P0(후)",$M:$M,"&gt;0")&lt;&gt;1,"",SUMIFS($M:$M,$C:$C,$C470,$D:$D,$D470,$E:$E,"P0(후)"))</f>
        <v/>
      </c>
      <c r="S470" s="31">
        <f>IF(N470&lt;&gt;"OK","",P470+(R470-P470)*(I470-O470)/(Q470-O470))</f>
        <v/>
      </c>
      <c r="T470" s="31">
        <f>IF(OR(N470&lt;&gt;"OK",NOT(ISNUMBER(M470))),"",M470-S470)</f>
        <v/>
      </c>
      <c r="U470" s="49">
        <f>IF(OR(NOT(ISNUMBER(T470)),IF(ISNUMBER(H470),H470,G470)=0),"",T470/IF(ISNUMBER(H470),H470,G470))</f>
        <v/>
      </c>
      <c r="V470" s="49">
        <f>IF(ISNUMBER(U470),ABS(U470),"")</f>
        <v/>
      </c>
      <c r="W470" s="49">
        <f>IF(OR($E469&lt;&gt;"측정",$C469&lt;&gt;$C470,$D469&lt;&gt;$D470,NOT(ISNUMBER(M470)),NOT(ISNUMBER(M469)),(IF(ISNUMBER(H470),H470,G470)-IF(ISNUMBER(H469),H469,G469))=0),"",(M470-M469)/(IF(ISNUMBER(H470),H470,G470)-IF(ISNUMBER(H469),H469,G469)))</f>
        <v/>
      </c>
      <c r="X470" s="31">
        <f>IF(NOT(AND(ISNUMBER(O470),ISNUMBER(Q470))),"",(Q470-O470)*1440)</f>
        <v/>
      </c>
      <c r="Y470" s="29" t="n"/>
      <c r="Z470" s="29" t="n"/>
      <c r="AA470" s="29" t="n"/>
      <c r="AB470" s="32" t="n"/>
      <c r="AC470" s="32" t="n"/>
    </row>
    <row r="471">
      <c r="A471" s="26" t="inlineStr">
        <is>
          <t>S09</t>
        </is>
      </c>
      <c r="B471" s="26" t="inlineStr">
        <is>
          <t>어론 신규점</t>
        </is>
      </c>
      <c r="C471" s="26" t="inlineStr">
        <is>
          <t>S09-H북</t>
        </is>
      </c>
      <c r="D471" s="47" t="n">
        <v>1</v>
      </c>
      <c r="E471" s="26" t="inlineStr">
        <is>
          <t>측정</t>
        </is>
      </c>
      <c r="F471" s="26" t="inlineStr">
        <is>
          <t>북</t>
        </is>
      </c>
      <c r="G471" s="31" t="n">
        <v>9</v>
      </c>
      <c r="H471" s="30" t="n"/>
      <c r="I471" s="43" t="n"/>
      <c r="J471" s="41" t="n"/>
      <c r="K471" s="41" t="n"/>
      <c r="L471" s="41" t="n"/>
      <c r="M471" s="31">
        <f>IF(COUNT(J471:L471)=0,"",MEDIAN(J471:L471))</f>
        <v/>
      </c>
      <c r="N471" s="26">
        <f>IF(COUNTIFS($C:$C,$C471,$D:$D,$D471,$E:$E,"P0(전)",$M:$M,"&gt;0")&lt;&gt;1,"P0(전) 유효 1개 아님",IF(COUNTIFS($C:$C,$C471,$D:$D,$D471,$E:$E,"P0(후)",$M:$M,"&gt;0")&lt;&gt;1,"P0(후) 유효 1개 아님",IF(NOT(AND(ISNUMBER(O471),ISNUMBER(Q471),ISNUMBER(I471))),"시각 결측",IF(Q471&lt;=O471,"P0 시각 역전",IF(OR(I471&lt;O471,I471&gt;Q471),"측정시각 구간 밖","OK")))))</f>
        <v/>
      </c>
      <c r="O471" s="48">
        <f>IF(COUNTIFS($C:$C,$C471,$D:$D,$D471,$E:$E,"P0(전)",$M:$M,"&gt;0")&lt;&gt;1,"",SUMIFS($I:$I,$C:$C,$C471,$D:$D,$D471,$E:$E,"P0(전)"))</f>
        <v/>
      </c>
      <c r="P471" s="31">
        <f>IF(COUNTIFS($C:$C,$C471,$D:$D,$D471,$E:$E,"P0(전)",$M:$M,"&gt;0")&lt;&gt;1,"",SUMIFS($M:$M,$C:$C,$C471,$D:$D,$D471,$E:$E,"P0(전)"))</f>
        <v/>
      </c>
      <c r="Q471" s="48">
        <f>IF(COUNTIFS($C:$C,$C471,$D:$D,$D471,$E:$E,"P0(후)",$M:$M,"&gt;0")&lt;&gt;1,"",SUMIFS($I:$I,$C:$C,$C471,$D:$D,$D471,$E:$E,"P0(후)"))</f>
        <v/>
      </c>
      <c r="R471" s="31">
        <f>IF(COUNTIFS($C:$C,$C471,$D:$D,$D471,$E:$E,"P0(후)",$M:$M,"&gt;0")&lt;&gt;1,"",SUMIFS($M:$M,$C:$C,$C471,$D:$D,$D471,$E:$E,"P0(후)"))</f>
        <v/>
      </c>
      <c r="S471" s="31">
        <f>IF(N471&lt;&gt;"OK","",P471+(R471-P471)*(I471-O471)/(Q471-O471))</f>
        <v/>
      </c>
      <c r="T471" s="31">
        <f>IF(OR(N471&lt;&gt;"OK",NOT(ISNUMBER(M471))),"",M471-S471)</f>
        <v/>
      </c>
      <c r="U471" s="49">
        <f>IF(OR(NOT(ISNUMBER(T471)),IF(ISNUMBER(H471),H471,G471)=0),"",T471/IF(ISNUMBER(H471),H471,G471))</f>
        <v/>
      </c>
      <c r="V471" s="49">
        <f>IF(ISNUMBER(U471),ABS(U471),"")</f>
        <v/>
      </c>
      <c r="W471" s="49">
        <f>IF(OR($E470&lt;&gt;"측정",$C470&lt;&gt;$C471,$D470&lt;&gt;$D471,NOT(ISNUMBER(M471)),NOT(ISNUMBER(M470)),(IF(ISNUMBER(H471),H471,G471)-IF(ISNUMBER(H470),H470,G470))=0),"",(M471-M470)/(IF(ISNUMBER(H471),H471,G471)-IF(ISNUMBER(H470),H470,G470)))</f>
        <v/>
      </c>
      <c r="X471" s="31">
        <f>IF(NOT(AND(ISNUMBER(O471),ISNUMBER(Q471))),"",(Q471-O471)*1440)</f>
        <v/>
      </c>
      <c r="Y471" s="29" t="n"/>
      <c r="Z471" s="29" t="n"/>
      <c r="AA471" s="29" t="n"/>
      <c r="AB471" s="32" t="n"/>
      <c r="AC471" s="32" t="n"/>
    </row>
    <row r="472">
      <c r="A472" s="26" t="inlineStr">
        <is>
          <t>S09</t>
        </is>
      </c>
      <c r="B472" s="26" t="inlineStr">
        <is>
          <t>어론 신규점</t>
        </is>
      </c>
      <c r="C472" s="26" t="inlineStr">
        <is>
          <t>S09-H북</t>
        </is>
      </c>
      <c r="D472" s="47" t="n">
        <v>1</v>
      </c>
      <c r="E472" s="26" t="inlineStr">
        <is>
          <t>측정</t>
        </is>
      </c>
      <c r="F472" s="26" t="inlineStr">
        <is>
          <t>북</t>
        </is>
      </c>
      <c r="G472" s="31" t="n">
        <v>10</v>
      </c>
      <c r="H472" s="30" t="n"/>
      <c r="I472" s="43" t="n"/>
      <c r="J472" s="41" t="n"/>
      <c r="K472" s="41" t="n"/>
      <c r="L472" s="41" t="n"/>
      <c r="M472" s="31">
        <f>IF(COUNT(J472:L472)=0,"",MEDIAN(J472:L472))</f>
        <v/>
      </c>
      <c r="N472" s="26">
        <f>IF(COUNTIFS($C:$C,$C472,$D:$D,$D472,$E:$E,"P0(전)",$M:$M,"&gt;0")&lt;&gt;1,"P0(전) 유효 1개 아님",IF(COUNTIFS($C:$C,$C472,$D:$D,$D472,$E:$E,"P0(후)",$M:$M,"&gt;0")&lt;&gt;1,"P0(후) 유효 1개 아님",IF(NOT(AND(ISNUMBER(O472),ISNUMBER(Q472),ISNUMBER(I472))),"시각 결측",IF(Q472&lt;=O472,"P0 시각 역전",IF(OR(I472&lt;O472,I472&gt;Q472),"측정시각 구간 밖","OK")))))</f>
        <v/>
      </c>
      <c r="O472" s="48">
        <f>IF(COUNTIFS($C:$C,$C472,$D:$D,$D472,$E:$E,"P0(전)",$M:$M,"&gt;0")&lt;&gt;1,"",SUMIFS($I:$I,$C:$C,$C472,$D:$D,$D472,$E:$E,"P0(전)"))</f>
        <v/>
      </c>
      <c r="P472" s="31">
        <f>IF(COUNTIFS($C:$C,$C472,$D:$D,$D472,$E:$E,"P0(전)",$M:$M,"&gt;0")&lt;&gt;1,"",SUMIFS($M:$M,$C:$C,$C472,$D:$D,$D472,$E:$E,"P0(전)"))</f>
        <v/>
      </c>
      <c r="Q472" s="48">
        <f>IF(COUNTIFS($C:$C,$C472,$D:$D,$D472,$E:$E,"P0(후)",$M:$M,"&gt;0")&lt;&gt;1,"",SUMIFS($I:$I,$C:$C,$C472,$D:$D,$D472,$E:$E,"P0(후)"))</f>
        <v/>
      </c>
      <c r="R472" s="31">
        <f>IF(COUNTIFS($C:$C,$C472,$D:$D,$D472,$E:$E,"P0(후)",$M:$M,"&gt;0")&lt;&gt;1,"",SUMIFS($M:$M,$C:$C,$C472,$D:$D,$D472,$E:$E,"P0(후)"))</f>
        <v/>
      </c>
      <c r="S472" s="31">
        <f>IF(N472&lt;&gt;"OK","",P472+(R472-P472)*(I472-O472)/(Q472-O472))</f>
        <v/>
      </c>
      <c r="T472" s="31">
        <f>IF(OR(N472&lt;&gt;"OK",NOT(ISNUMBER(M472))),"",M472-S472)</f>
        <v/>
      </c>
      <c r="U472" s="49">
        <f>IF(OR(NOT(ISNUMBER(T472)),IF(ISNUMBER(H472),H472,G472)=0),"",T472/IF(ISNUMBER(H472),H472,G472))</f>
        <v/>
      </c>
      <c r="V472" s="49">
        <f>IF(ISNUMBER(U472),ABS(U472),"")</f>
        <v/>
      </c>
      <c r="W472" s="49">
        <f>IF(OR($E471&lt;&gt;"측정",$C471&lt;&gt;$C472,$D471&lt;&gt;$D472,NOT(ISNUMBER(M472)),NOT(ISNUMBER(M471)),(IF(ISNUMBER(H472),H472,G472)-IF(ISNUMBER(H471),H471,G471))=0),"",(M472-M471)/(IF(ISNUMBER(H472),H472,G472)-IF(ISNUMBER(H471),H471,G471)))</f>
        <v/>
      </c>
      <c r="X472" s="31">
        <f>IF(NOT(AND(ISNUMBER(O472),ISNUMBER(Q472))),"",(Q472-O472)*1440)</f>
        <v/>
      </c>
      <c r="Y472" s="29" t="n"/>
      <c r="Z472" s="29" t="n"/>
      <c r="AA472" s="29" t="n"/>
      <c r="AB472" s="32" t="n"/>
      <c r="AC472" s="32" t="n"/>
    </row>
    <row r="473">
      <c r="A473" s="44" t="inlineStr">
        <is>
          <t>S09</t>
        </is>
      </c>
      <c r="B473" s="44" t="inlineStr">
        <is>
          <t>어론 신규점</t>
        </is>
      </c>
      <c r="C473" s="44" t="inlineStr">
        <is>
          <t>S09-H북</t>
        </is>
      </c>
      <c r="D473" s="45" t="n">
        <v>1</v>
      </c>
      <c r="E473" s="44" t="inlineStr">
        <is>
          <t>P0(후)</t>
        </is>
      </c>
      <c r="F473" s="44" t="inlineStr">
        <is>
          <t>북</t>
        </is>
      </c>
      <c r="G473" s="46" t="n"/>
      <c r="H473" s="30" t="n"/>
      <c r="I473" s="43" t="n"/>
      <c r="J473" s="41" t="n"/>
      <c r="K473" s="41" t="n"/>
      <c r="L473" s="41" t="n"/>
      <c r="M473" s="31">
        <f>IF(COUNT(J473:L473)=0,"",MEDIAN(J473:L473))</f>
        <v/>
      </c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38" t="n"/>
      <c r="Y473" s="29" t="n"/>
      <c r="Z473" s="29" t="n"/>
      <c r="AA473" s="29" t="n"/>
      <c r="AB473" s="32" t="n"/>
      <c r="AC473" s="32" t="n"/>
    </row>
    <row r="474">
      <c r="A474" s="44" t="inlineStr">
        <is>
          <t>S10</t>
        </is>
      </c>
      <c r="B474" s="44" t="inlineStr">
        <is>
          <t>예안 신규점1</t>
        </is>
      </c>
      <c r="C474" s="44" t="inlineStr">
        <is>
          <t>S10-H동</t>
        </is>
      </c>
      <c r="D474" s="45" t="n">
        <v>1</v>
      </c>
      <c r="E474" s="44" t="inlineStr">
        <is>
          <t>P0(전)</t>
        </is>
      </c>
      <c r="F474" s="44" t="inlineStr">
        <is>
          <t>동</t>
        </is>
      </c>
      <c r="G474" s="46" t="n"/>
      <c r="H474" s="30" t="n"/>
      <c r="I474" s="43" t="n"/>
      <c r="J474" s="41" t="n"/>
      <c r="K474" s="41" t="n"/>
      <c r="L474" s="41" t="n"/>
      <c r="M474" s="31">
        <f>IF(COUNT(J474:L474)=0,"",MEDIAN(J474:L474))</f>
        <v/>
      </c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  <c r="X474" s="38" t="n"/>
      <c r="Y474" s="29" t="n"/>
      <c r="Z474" s="29" t="n"/>
      <c r="AA474" s="29" t="n"/>
      <c r="AB474" s="32" t="n"/>
      <c r="AC474" s="32" t="n"/>
    </row>
    <row r="475">
      <c r="A475" s="26" t="inlineStr">
        <is>
          <t>S10</t>
        </is>
      </c>
      <c r="B475" s="26" t="inlineStr">
        <is>
          <t>예안 신규점1</t>
        </is>
      </c>
      <c r="C475" s="26" t="inlineStr">
        <is>
          <t>S10-H동</t>
        </is>
      </c>
      <c r="D475" s="47" t="n">
        <v>1</v>
      </c>
      <c r="E475" s="26" t="inlineStr">
        <is>
          <t>측정</t>
        </is>
      </c>
      <c r="F475" s="26" t="inlineStr">
        <is>
          <t>동</t>
        </is>
      </c>
      <c r="G475" s="31" t="n">
        <v>0.5</v>
      </c>
      <c r="H475" s="30" t="n"/>
      <c r="I475" s="43" t="n"/>
      <c r="J475" s="41" t="n"/>
      <c r="K475" s="41" t="n"/>
      <c r="L475" s="41" t="n"/>
      <c r="M475" s="31">
        <f>IF(COUNT(J475:L475)=0,"",MEDIAN(J475:L475))</f>
        <v/>
      </c>
      <c r="N475" s="26">
        <f>IF(COUNTIFS($C:$C,$C475,$D:$D,$D475,$E:$E,"P0(전)",$M:$M,"&gt;0")&lt;&gt;1,"P0(전) 유효 1개 아님",IF(COUNTIFS($C:$C,$C475,$D:$D,$D475,$E:$E,"P0(후)",$M:$M,"&gt;0")&lt;&gt;1,"P0(후) 유효 1개 아님",IF(NOT(AND(ISNUMBER(O475),ISNUMBER(Q475),ISNUMBER(I475))),"시각 결측",IF(Q475&lt;=O475,"P0 시각 역전",IF(OR(I475&lt;O475,I475&gt;Q475),"측정시각 구간 밖","OK")))))</f>
        <v/>
      </c>
      <c r="O475" s="48">
        <f>IF(COUNTIFS($C:$C,$C475,$D:$D,$D475,$E:$E,"P0(전)",$M:$M,"&gt;0")&lt;&gt;1,"",SUMIFS($I:$I,$C:$C,$C475,$D:$D,$D475,$E:$E,"P0(전)"))</f>
        <v/>
      </c>
      <c r="P475" s="31">
        <f>IF(COUNTIFS($C:$C,$C475,$D:$D,$D475,$E:$E,"P0(전)",$M:$M,"&gt;0")&lt;&gt;1,"",SUMIFS($M:$M,$C:$C,$C475,$D:$D,$D475,$E:$E,"P0(전)"))</f>
        <v/>
      </c>
      <c r="Q475" s="48">
        <f>IF(COUNTIFS($C:$C,$C475,$D:$D,$D475,$E:$E,"P0(후)",$M:$M,"&gt;0")&lt;&gt;1,"",SUMIFS($I:$I,$C:$C,$C475,$D:$D,$D475,$E:$E,"P0(후)"))</f>
        <v/>
      </c>
      <c r="R475" s="31">
        <f>IF(COUNTIFS($C:$C,$C475,$D:$D,$D475,$E:$E,"P0(후)",$M:$M,"&gt;0")&lt;&gt;1,"",SUMIFS($M:$M,$C:$C,$C475,$D:$D,$D475,$E:$E,"P0(후)"))</f>
        <v/>
      </c>
      <c r="S475" s="31">
        <f>IF(N475&lt;&gt;"OK","",P475+(R475-P475)*(I475-O475)/(Q475-O475))</f>
        <v/>
      </c>
      <c r="T475" s="31">
        <f>IF(OR(N475&lt;&gt;"OK",NOT(ISNUMBER(M475))),"",M475-S475)</f>
        <v/>
      </c>
      <c r="U475" s="49">
        <f>IF(OR(NOT(ISNUMBER(T475)),IF(ISNUMBER(H475),H475,G475)=0),"",T475/IF(ISNUMBER(H475),H475,G475))</f>
        <v/>
      </c>
      <c r="V475" s="49">
        <f>IF(ISNUMBER(U475),ABS(U475),"")</f>
        <v/>
      </c>
      <c r="W475" s="49">
        <f>IF(OR($E474&lt;&gt;"측정",$C474&lt;&gt;$C475,$D474&lt;&gt;$D475,NOT(ISNUMBER(M475)),NOT(ISNUMBER(M474)),(IF(ISNUMBER(H475),H475,G475)-IF(ISNUMBER(H474),H474,G474))=0),"",(M475-M474)/(IF(ISNUMBER(H475),H475,G475)-IF(ISNUMBER(H474),H474,G474)))</f>
        <v/>
      </c>
      <c r="X475" s="31">
        <f>IF(NOT(AND(ISNUMBER(O475),ISNUMBER(Q475))),"",(Q475-O475)*1440)</f>
        <v/>
      </c>
      <c r="Y475" s="29" t="n"/>
      <c r="Z475" s="29" t="n"/>
      <c r="AA475" s="29" t="n"/>
      <c r="AB475" s="32" t="n"/>
      <c r="AC475" s="32" t="n"/>
    </row>
    <row r="476">
      <c r="A476" s="26" t="inlineStr">
        <is>
          <t>S10</t>
        </is>
      </c>
      <c r="B476" s="26" t="inlineStr">
        <is>
          <t>예안 신규점1</t>
        </is>
      </c>
      <c r="C476" s="26" t="inlineStr">
        <is>
          <t>S10-H동</t>
        </is>
      </c>
      <c r="D476" s="47" t="n">
        <v>1</v>
      </c>
      <c r="E476" s="26" t="inlineStr">
        <is>
          <t>측정</t>
        </is>
      </c>
      <c r="F476" s="26" t="inlineStr">
        <is>
          <t>동</t>
        </is>
      </c>
      <c r="G476" s="31" t="n">
        <v>1</v>
      </c>
      <c r="H476" s="30" t="n"/>
      <c r="I476" s="43" t="n"/>
      <c r="J476" s="41" t="n"/>
      <c r="K476" s="41" t="n"/>
      <c r="L476" s="41" t="n"/>
      <c r="M476" s="31">
        <f>IF(COUNT(J476:L476)=0,"",MEDIAN(J476:L476))</f>
        <v/>
      </c>
      <c r="N476" s="26">
        <f>IF(COUNTIFS($C:$C,$C476,$D:$D,$D476,$E:$E,"P0(전)",$M:$M,"&gt;0")&lt;&gt;1,"P0(전) 유효 1개 아님",IF(COUNTIFS($C:$C,$C476,$D:$D,$D476,$E:$E,"P0(후)",$M:$M,"&gt;0")&lt;&gt;1,"P0(후) 유효 1개 아님",IF(NOT(AND(ISNUMBER(O476),ISNUMBER(Q476),ISNUMBER(I476))),"시각 결측",IF(Q476&lt;=O476,"P0 시각 역전",IF(OR(I476&lt;O476,I476&gt;Q476),"측정시각 구간 밖","OK")))))</f>
        <v/>
      </c>
      <c r="O476" s="48">
        <f>IF(COUNTIFS($C:$C,$C476,$D:$D,$D476,$E:$E,"P0(전)",$M:$M,"&gt;0")&lt;&gt;1,"",SUMIFS($I:$I,$C:$C,$C476,$D:$D,$D476,$E:$E,"P0(전)"))</f>
        <v/>
      </c>
      <c r="P476" s="31">
        <f>IF(COUNTIFS($C:$C,$C476,$D:$D,$D476,$E:$E,"P0(전)",$M:$M,"&gt;0")&lt;&gt;1,"",SUMIFS($M:$M,$C:$C,$C476,$D:$D,$D476,$E:$E,"P0(전)"))</f>
        <v/>
      </c>
      <c r="Q476" s="48">
        <f>IF(COUNTIFS($C:$C,$C476,$D:$D,$D476,$E:$E,"P0(후)",$M:$M,"&gt;0")&lt;&gt;1,"",SUMIFS($I:$I,$C:$C,$C476,$D:$D,$D476,$E:$E,"P0(후)"))</f>
        <v/>
      </c>
      <c r="R476" s="31">
        <f>IF(COUNTIFS($C:$C,$C476,$D:$D,$D476,$E:$E,"P0(후)",$M:$M,"&gt;0")&lt;&gt;1,"",SUMIFS($M:$M,$C:$C,$C476,$D:$D,$D476,$E:$E,"P0(후)"))</f>
        <v/>
      </c>
      <c r="S476" s="31">
        <f>IF(N476&lt;&gt;"OK","",P476+(R476-P476)*(I476-O476)/(Q476-O476))</f>
        <v/>
      </c>
      <c r="T476" s="31">
        <f>IF(OR(N476&lt;&gt;"OK",NOT(ISNUMBER(M476))),"",M476-S476)</f>
        <v/>
      </c>
      <c r="U476" s="49">
        <f>IF(OR(NOT(ISNUMBER(T476)),IF(ISNUMBER(H476),H476,G476)=0),"",T476/IF(ISNUMBER(H476),H476,G476))</f>
        <v/>
      </c>
      <c r="V476" s="49">
        <f>IF(ISNUMBER(U476),ABS(U476),"")</f>
        <v/>
      </c>
      <c r="W476" s="49">
        <f>IF(OR($E475&lt;&gt;"측정",$C475&lt;&gt;$C476,$D475&lt;&gt;$D476,NOT(ISNUMBER(M476)),NOT(ISNUMBER(M475)),(IF(ISNUMBER(H476),H476,G476)-IF(ISNUMBER(H475),H475,G475))=0),"",(M476-M475)/(IF(ISNUMBER(H476),H476,G476)-IF(ISNUMBER(H475),H475,G475)))</f>
        <v/>
      </c>
      <c r="X476" s="31">
        <f>IF(NOT(AND(ISNUMBER(O476),ISNUMBER(Q476))),"",(Q476-O476)*1440)</f>
        <v/>
      </c>
      <c r="Y476" s="29" t="n"/>
      <c r="Z476" s="29" t="n"/>
      <c r="AA476" s="29" t="n"/>
      <c r="AB476" s="32" t="n"/>
      <c r="AC476" s="32" t="n"/>
    </row>
    <row r="477">
      <c r="A477" s="26" t="inlineStr">
        <is>
          <t>S10</t>
        </is>
      </c>
      <c r="B477" s="26" t="inlineStr">
        <is>
          <t>예안 신규점1</t>
        </is>
      </c>
      <c r="C477" s="26" t="inlineStr">
        <is>
          <t>S10-H동</t>
        </is>
      </c>
      <c r="D477" s="47" t="n">
        <v>1</v>
      </c>
      <c r="E477" s="26" t="inlineStr">
        <is>
          <t>측정</t>
        </is>
      </c>
      <c r="F477" s="26" t="inlineStr">
        <is>
          <t>동</t>
        </is>
      </c>
      <c r="G477" s="31" t="n">
        <v>2</v>
      </c>
      <c r="H477" s="30" t="n"/>
      <c r="I477" s="43" t="n"/>
      <c r="J477" s="41" t="n"/>
      <c r="K477" s="41" t="n"/>
      <c r="L477" s="41" t="n"/>
      <c r="M477" s="31">
        <f>IF(COUNT(J477:L477)=0,"",MEDIAN(J477:L477))</f>
        <v/>
      </c>
      <c r="N477" s="26">
        <f>IF(COUNTIFS($C:$C,$C477,$D:$D,$D477,$E:$E,"P0(전)",$M:$M,"&gt;0")&lt;&gt;1,"P0(전) 유효 1개 아님",IF(COUNTIFS($C:$C,$C477,$D:$D,$D477,$E:$E,"P0(후)",$M:$M,"&gt;0")&lt;&gt;1,"P0(후) 유효 1개 아님",IF(NOT(AND(ISNUMBER(O477),ISNUMBER(Q477),ISNUMBER(I477))),"시각 결측",IF(Q477&lt;=O477,"P0 시각 역전",IF(OR(I477&lt;O477,I477&gt;Q477),"측정시각 구간 밖","OK")))))</f>
        <v/>
      </c>
      <c r="O477" s="48">
        <f>IF(COUNTIFS($C:$C,$C477,$D:$D,$D477,$E:$E,"P0(전)",$M:$M,"&gt;0")&lt;&gt;1,"",SUMIFS($I:$I,$C:$C,$C477,$D:$D,$D477,$E:$E,"P0(전)"))</f>
        <v/>
      </c>
      <c r="P477" s="31">
        <f>IF(COUNTIFS($C:$C,$C477,$D:$D,$D477,$E:$E,"P0(전)",$M:$M,"&gt;0")&lt;&gt;1,"",SUMIFS($M:$M,$C:$C,$C477,$D:$D,$D477,$E:$E,"P0(전)"))</f>
        <v/>
      </c>
      <c r="Q477" s="48">
        <f>IF(COUNTIFS($C:$C,$C477,$D:$D,$D477,$E:$E,"P0(후)",$M:$M,"&gt;0")&lt;&gt;1,"",SUMIFS($I:$I,$C:$C,$C477,$D:$D,$D477,$E:$E,"P0(후)"))</f>
        <v/>
      </c>
      <c r="R477" s="31">
        <f>IF(COUNTIFS($C:$C,$C477,$D:$D,$D477,$E:$E,"P0(후)",$M:$M,"&gt;0")&lt;&gt;1,"",SUMIFS($M:$M,$C:$C,$C477,$D:$D,$D477,$E:$E,"P0(후)"))</f>
        <v/>
      </c>
      <c r="S477" s="31">
        <f>IF(N477&lt;&gt;"OK","",P477+(R477-P477)*(I477-O477)/(Q477-O477))</f>
        <v/>
      </c>
      <c r="T477" s="31">
        <f>IF(OR(N477&lt;&gt;"OK",NOT(ISNUMBER(M477))),"",M477-S477)</f>
        <v/>
      </c>
      <c r="U477" s="49">
        <f>IF(OR(NOT(ISNUMBER(T477)),IF(ISNUMBER(H477),H477,G477)=0),"",T477/IF(ISNUMBER(H477),H477,G477))</f>
        <v/>
      </c>
      <c r="V477" s="49">
        <f>IF(ISNUMBER(U477),ABS(U477),"")</f>
        <v/>
      </c>
      <c r="W477" s="49">
        <f>IF(OR($E476&lt;&gt;"측정",$C476&lt;&gt;$C477,$D476&lt;&gt;$D477,NOT(ISNUMBER(M477)),NOT(ISNUMBER(M476)),(IF(ISNUMBER(H477),H477,G477)-IF(ISNUMBER(H476),H476,G476))=0),"",(M477-M476)/(IF(ISNUMBER(H477),H477,G477)-IF(ISNUMBER(H476),H476,G476)))</f>
        <v/>
      </c>
      <c r="X477" s="31">
        <f>IF(NOT(AND(ISNUMBER(O477),ISNUMBER(Q477))),"",(Q477-O477)*1440)</f>
        <v/>
      </c>
      <c r="Y477" s="29" t="n"/>
      <c r="Z477" s="29" t="n"/>
      <c r="AA477" s="29" t="n"/>
      <c r="AB477" s="32" t="n"/>
      <c r="AC477" s="32" t="n"/>
    </row>
    <row r="478">
      <c r="A478" s="26" t="inlineStr">
        <is>
          <t>S10</t>
        </is>
      </c>
      <c r="B478" s="26" t="inlineStr">
        <is>
          <t>예안 신규점1</t>
        </is>
      </c>
      <c r="C478" s="26" t="inlineStr">
        <is>
          <t>S10-H동</t>
        </is>
      </c>
      <c r="D478" s="47" t="n">
        <v>1</v>
      </c>
      <c r="E478" s="26" t="inlineStr">
        <is>
          <t>측정</t>
        </is>
      </c>
      <c r="F478" s="26" t="inlineStr">
        <is>
          <t>동</t>
        </is>
      </c>
      <c r="G478" s="31" t="n">
        <v>3</v>
      </c>
      <c r="H478" s="30" t="n"/>
      <c r="I478" s="43" t="n"/>
      <c r="J478" s="41" t="n"/>
      <c r="K478" s="41" t="n"/>
      <c r="L478" s="41" t="n"/>
      <c r="M478" s="31">
        <f>IF(COUNT(J478:L478)=0,"",MEDIAN(J478:L478))</f>
        <v/>
      </c>
      <c r="N478" s="26">
        <f>IF(COUNTIFS($C:$C,$C478,$D:$D,$D478,$E:$E,"P0(전)",$M:$M,"&gt;0")&lt;&gt;1,"P0(전) 유효 1개 아님",IF(COUNTIFS($C:$C,$C478,$D:$D,$D478,$E:$E,"P0(후)",$M:$M,"&gt;0")&lt;&gt;1,"P0(후) 유효 1개 아님",IF(NOT(AND(ISNUMBER(O478),ISNUMBER(Q478),ISNUMBER(I478))),"시각 결측",IF(Q478&lt;=O478,"P0 시각 역전",IF(OR(I478&lt;O478,I478&gt;Q478),"측정시각 구간 밖","OK")))))</f>
        <v/>
      </c>
      <c r="O478" s="48">
        <f>IF(COUNTIFS($C:$C,$C478,$D:$D,$D478,$E:$E,"P0(전)",$M:$M,"&gt;0")&lt;&gt;1,"",SUMIFS($I:$I,$C:$C,$C478,$D:$D,$D478,$E:$E,"P0(전)"))</f>
        <v/>
      </c>
      <c r="P478" s="31">
        <f>IF(COUNTIFS($C:$C,$C478,$D:$D,$D478,$E:$E,"P0(전)",$M:$M,"&gt;0")&lt;&gt;1,"",SUMIFS($M:$M,$C:$C,$C478,$D:$D,$D478,$E:$E,"P0(전)"))</f>
        <v/>
      </c>
      <c r="Q478" s="48">
        <f>IF(COUNTIFS($C:$C,$C478,$D:$D,$D478,$E:$E,"P0(후)",$M:$M,"&gt;0")&lt;&gt;1,"",SUMIFS($I:$I,$C:$C,$C478,$D:$D,$D478,$E:$E,"P0(후)"))</f>
        <v/>
      </c>
      <c r="R478" s="31">
        <f>IF(COUNTIFS($C:$C,$C478,$D:$D,$D478,$E:$E,"P0(후)",$M:$M,"&gt;0")&lt;&gt;1,"",SUMIFS($M:$M,$C:$C,$C478,$D:$D,$D478,$E:$E,"P0(후)"))</f>
        <v/>
      </c>
      <c r="S478" s="31">
        <f>IF(N478&lt;&gt;"OK","",P478+(R478-P478)*(I478-O478)/(Q478-O478))</f>
        <v/>
      </c>
      <c r="T478" s="31">
        <f>IF(OR(N478&lt;&gt;"OK",NOT(ISNUMBER(M478))),"",M478-S478)</f>
        <v/>
      </c>
      <c r="U478" s="49">
        <f>IF(OR(NOT(ISNUMBER(T478)),IF(ISNUMBER(H478),H478,G478)=0),"",T478/IF(ISNUMBER(H478),H478,G478))</f>
        <v/>
      </c>
      <c r="V478" s="49">
        <f>IF(ISNUMBER(U478),ABS(U478),"")</f>
        <v/>
      </c>
      <c r="W478" s="49">
        <f>IF(OR($E477&lt;&gt;"측정",$C477&lt;&gt;$C478,$D477&lt;&gt;$D478,NOT(ISNUMBER(M478)),NOT(ISNUMBER(M477)),(IF(ISNUMBER(H478),H478,G478)-IF(ISNUMBER(H477),H477,G477))=0),"",(M478-M477)/(IF(ISNUMBER(H478),H478,G478)-IF(ISNUMBER(H477),H477,G477)))</f>
        <v/>
      </c>
      <c r="X478" s="31">
        <f>IF(NOT(AND(ISNUMBER(O478),ISNUMBER(Q478))),"",(Q478-O478)*1440)</f>
        <v/>
      </c>
      <c r="Y478" s="29" t="n"/>
      <c r="Z478" s="29" t="n"/>
      <c r="AA478" s="29" t="n"/>
      <c r="AB478" s="32" t="n"/>
      <c r="AC478" s="32" t="n"/>
    </row>
    <row r="479">
      <c r="A479" s="26" t="inlineStr">
        <is>
          <t>S10</t>
        </is>
      </c>
      <c r="B479" s="26" t="inlineStr">
        <is>
          <t>예안 신규점1</t>
        </is>
      </c>
      <c r="C479" s="26" t="inlineStr">
        <is>
          <t>S10-H동</t>
        </is>
      </c>
      <c r="D479" s="47" t="n">
        <v>1</v>
      </c>
      <c r="E479" s="26" t="inlineStr">
        <is>
          <t>측정</t>
        </is>
      </c>
      <c r="F479" s="26" t="inlineStr">
        <is>
          <t>동</t>
        </is>
      </c>
      <c r="G479" s="31" t="n">
        <v>4</v>
      </c>
      <c r="H479" s="30" t="n"/>
      <c r="I479" s="43" t="n"/>
      <c r="J479" s="41" t="n"/>
      <c r="K479" s="41" t="n"/>
      <c r="L479" s="41" t="n"/>
      <c r="M479" s="31">
        <f>IF(COUNT(J479:L479)=0,"",MEDIAN(J479:L479))</f>
        <v/>
      </c>
      <c r="N479" s="26">
        <f>IF(COUNTIFS($C:$C,$C479,$D:$D,$D479,$E:$E,"P0(전)",$M:$M,"&gt;0")&lt;&gt;1,"P0(전) 유효 1개 아님",IF(COUNTIFS($C:$C,$C479,$D:$D,$D479,$E:$E,"P0(후)",$M:$M,"&gt;0")&lt;&gt;1,"P0(후) 유효 1개 아님",IF(NOT(AND(ISNUMBER(O479),ISNUMBER(Q479),ISNUMBER(I479))),"시각 결측",IF(Q479&lt;=O479,"P0 시각 역전",IF(OR(I479&lt;O479,I479&gt;Q479),"측정시각 구간 밖","OK")))))</f>
        <v/>
      </c>
      <c r="O479" s="48">
        <f>IF(COUNTIFS($C:$C,$C479,$D:$D,$D479,$E:$E,"P0(전)",$M:$M,"&gt;0")&lt;&gt;1,"",SUMIFS($I:$I,$C:$C,$C479,$D:$D,$D479,$E:$E,"P0(전)"))</f>
        <v/>
      </c>
      <c r="P479" s="31">
        <f>IF(COUNTIFS($C:$C,$C479,$D:$D,$D479,$E:$E,"P0(전)",$M:$M,"&gt;0")&lt;&gt;1,"",SUMIFS($M:$M,$C:$C,$C479,$D:$D,$D479,$E:$E,"P0(전)"))</f>
        <v/>
      </c>
      <c r="Q479" s="48">
        <f>IF(COUNTIFS($C:$C,$C479,$D:$D,$D479,$E:$E,"P0(후)",$M:$M,"&gt;0")&lt;&gt;1,"",SUMIFS($I:$I,$C:$C,$C479,$D:$D,$D479,$E:$E,"P0(후)"))</f>
        <v/>
      </c>
      <c r="R479" s="31">
        <f>IF(COUNTIFS($C:$C,$C479,$D:$D,$D479,$E:$E,"P0(후)",$M:$M,"&gt;0")&lt;&gt;1,"",SUMIFS($M:$M,$C:$C,$C479,$D:$D,$D479,$E:$E,"P0(후)"))</f>
        <v/>
      </c>
      <c r="S479" s="31">
        <f>IF(N479&lt;&gt;"OK","",P479+(R479-P479)*(I479-O479)/(Q479-O479))</f>
        <v/>
      </c>
      <c r="T479" s="31">
        <f>IF(OR(N479&lt;&gt;"OK",NOT(ISNUMBER(M479))),"",M479-S479)</f>
        <v/>
      </c>
      <c r="U479" s="49">
        <f>IF(OR(NOT(ISNUMBER(T479)),IF(ISNUMBER(H479),H479,G479)=0),"",T479/IF(ISNUMBER(H479),H479,G479))</f>
        <v/>
      </c>
      <c r="V479" s="49">
        <f>IF(ISNUMBER(U479),ABS(U479),"")</f>
        <v/>
      </c>
      <c r="W479" s="49">
        <f>IF(OR($E478&lt;&gt;"측정",$C478&lt;&gt;$C479,$D478&lt;&gt;$D479,NOT(ISNUMBER(M479)),NOT(ISNUMBER(M478)),(IF(ISNUMBER(H479),H479,G479)-IF(ISNUMBER(H478),H478,G478))=0),"",(M479-M478)/(IF(ISNUMBER(H479),H479,G479)-IF(ISNUMBER(H478),H478,G478)))</f>
        <v/>
      </c>
      <c r="X479" s="31">
        <f>IF(NOT(AND(ISNUMBER(O479),ISNUMBER(Q479))),"",(Q479-O479)*1440)</f>
        <v/>
      </c>
      <c r="Y479" s="29" t="n"/>
      <c r="Z479" s="29" t="n"/>
      <c r="AA479" s="29" t="n"/>
      <c r="AB479" s="32" t="n"/>
      <c r="AC479" s="32" t="n"/>
    </row>
    <row r="480">
      <c r="A480" s="26" t="inlineStr">
        <is>
          <t>S10</t>
        </is>
      </c>
      <c r="B480" s="26" t="inlineStr">
        <is>
          <t>예안 신규점1</t>
        </is>
      </c>
      <c r="C480" s="26" t="inlineStr">
        <is>
          <t>S10-H동</t>
        </is>
      </c>
      <c r="D480" s="47" t="n">
        <v>1</v>
      </c>
      <c r="E480" s="26" t="inlineStr">
        <is>
          <t>측정</t>
        </is>
      </c>
      <c r="F480" s="26" t="inlineStr">
        <is>
          <t>동</t>
        </is>
      </c>
      <c r="G480" s="31" t="n">
        <v>5</v>
      </c>
      <c r="H480" s="30" t="n"/>
      <c r="I480" s="43" t="n"/>
      <c r="J480" s="41" t="n"/>
      <c r="K480" s="41" t="n"/>
      <c r="L480" s="41" t="n"/>
      <c r="M480" s="31">
        <f>IF(COUNT(J480:L480)=0,"",MEDIAN(J480:L480))</f>
        <v/>
      </c>
      <c r="N480" s="26">
        <f>IF(COUNTIFS($C:$C,$C480,$D:$D,$D480,$E:$E,"P0(전)",$M:$M,"&gt;0")&lt;&gt;1,"P0(전) 유효 1개 아님",IF(COUNTIFS($C:$C,$C480,$D:$D,$D480,$E:$E,"P0(후)",$M:$M,"&gt;0")&lt;&gt;1,"P0(후) 유효 1개 아님",IF(NOT(AND(ISNUMBER(O480),ISNUMBER(Q480),ISNUMBER(I480))),"시각 결측",IF(Q480&lt;=O480,"P0 시각 역전",IF(OR(I480&lt;O480,I480&gt;Q480),"측정시각 구간 밖","OK")))))</f>
        <v/>
      </c>
      <c r="O480" s="48">
        <f>IF(COUNTIFS($C:$C,$C480,$D:$D,$D480,$E:$E,"P0(전)",$M:$M,"&gt;0")&lt;&gt;1,"",SUMIFS($I:$I,$C:$C,$C480,$D:$D,$D480,$E:$E,"P0(전)"))</f>
        <v/>
      </c>
      <c r="P480" s="31">
        <f>IF(COUNTIFS($C:$C,$C480,$D:$D,$D480,$E:$E,"P0(전)",$M:$M,"&gt;0")&lt;&gt;1,"",SUMIFS($M:$M,$C:$C,$C480,$D:$D,$D480,$E:$E,"P0(전)"))</f>
        <v/>
      </c>
      <c r="Q480" s="48">
        <f>IF(COUNTIFS($C:$C,$C480,$D:$D,$D480,$E:$E,"P0(후)",$M:$M,"&gt;0")&lt;&gt;1,"",SUMIFS($I:$I,$C:$C,$C480,$D:$D,$D480,$E:$E,"P0(후)"))</f>
        <v/>
      </c>
      <c r="R480" s="31">
        <f>IF(COUNTIFS($C:$C,$C480,$D:$D,$D480,$E:$E,"P0(후)",$M:$M,"&gt;0")&lt;&gt;1,"",SUMIFS($M:$M,$C:$C,$C480,$D:$D,$D480,$E:$E,"P0(후)"))</f>
        <v/>
      </c>
      <c r="S480" s="31">
        <f>IF(N480&lt;&gt;"OK","",P480+(R480-P480)*(I480-O480)/(Q480-O480))</f>
        <v/>
      </c>
      <c r="T480" s="31">
        <f>IF(OR(N480&lt;&gt;"OK",NOT(ISNUMBER(M480))),"",M480-S480)</f>
        <v/>
      </c>
      <c r="U480" s="49">
        <f>IF(OR(NOT(ISNUMBER(T480)),IF(ISNUMBER(H480),H480,G480)=0),"",T480/IF(ISNUMBER(H480),H480,G480))</f>
        <v/>
      </c>
      <c r="V480" s="49">
        <f>IF(ISNUMBER(U480),ABS(U480),"")</f>
        <v/>
      </c>
      <c r="W480" s="49">
        <f>IF(OR($E479&lt;&gt;"측정",$C479&lt;&gt;$C480,$D479&lt;&gt;$D480,NOT(ISNUMBER(M480)),NOT(ISNUMBER(M479)),(IF(ISNUMBER(H480),H480,G480)-IF(ISNUMBER(H479),H479,G479))=0),"",(M480-M479)/(IF(ISNUMBER(H480),H480,G480)-IF(ISNUMBER(H479),H479,G479)))</f>
        <v/>
      </c>
      <c r="X480" s="31">
        <f>IF(NOT(AND(ISNUMBER(O480),ISNUMBER(Q480))),"",(Q480-O480)*1440)</f>
        <v/>
      </c>
      <c r="Y480" s="29" t="n"/>
      <c r="Z480" s="29" t="n"/>
      <c r="AA480" s="29" t="n"/>
      <c r="AB480" s="32" t="n"/>
      <c r="AC480" s="32" t="n"/>
    </row>
    <row r="481">
      <c r="A481" s="26" t="inlineStr">
        <is>
          <t>S10</t>
        </is>
      </c>
      <c r="B481" s="26" t="inlineStr">
        <is>
          <t>예안 신규점1</t>
        </is>
      </c>
      <c r="C481" s="26" t="inlineStr">
        <is>
          <t>S10-H동</t>
        </is>
      </c>
      <c r="D481" s="47" t="n">
        <v>1</v>
      </c>
      <c r="E481" s="26" t="inlineStr">
        <is>
          <t>측정</t>
        </is>
      </c>
      <c r="F481" s="26" t="inlineStr">
        <is>
          <t>동</t>
        </is>
      </c>
      <c r="G481" s="31" t="n">
        <v>6</v>
      </c>
      <c r="H481" s="30" t="n"/>
      <c r="I481" s="43" t="n"/>
      <c r="J481" s="41" t="n"/>
      <c r="K481" s="41" t="n"/>
      <c r="L481" s="41" t="n"/>
      <c r="M481" s="31">
        <f>IF(COUNT(J481:L481)=0,"",MEDIAN(J481:L481))</f>
        <v/>
      </c>
      <c r="N481" s="26">
        <f>IF(COUNTIFS($C:$C,$C481,$D:$D,$D481,$E:$E,"P0(전)",$M:$M,"&gt;0")&lt;&gt;1,"P0(전) 유효 1개 아님",IF(COUNTIFS($C:$C,$C481,$D:$D,$D481,$E:$E,"P0(후)",$M:$M,"&gt;0")&lt;&gt;1,"P0(후) 유효 1개 아님",IF(NOT(AND(ISNUMBER(O481),ISNUMBER(Q481),ISNUMBER(I481))),"시각 결측",IF(Q481&lt;=O481,"P0 시각 역전",IF(OR(I481&lt;O481,I481&gt;Q481),"측정시각 구간 밖","OK")))))</f>
        <v/>
      </c>
      <c r="O481" s="48">
        <f>IF(COUNTIFS($C:$C,$C481,$D:$D,$D481,$E:$E,"P0(전)",$M:$M,"&gt;0")&lt;&gt;1,"",SUMIFS($I:$I,$C:$C,$C481,$D:$D,$D481,$E:$E,"P0(전)"))</f>
        <v/>
      </c>
      <c r="P481" s="31">
        <f>IF(COUNTIFS($C:$C,$C481,$D:$D,$D481,$E:$E,"P0(전)",$M:$M,"&gt;0")&lt;&gt;1,"",SUMIFS($M:$M,$C:$C,$C481,$D:$D,$D481,$E:$E,"P0(전)"))</f>
        <v/>
      </c>
      <c r="Q481" s="48">
        <f>IF(COUNTIFS($C:$C,$C481,$D:$D,$D481,$E:$E,"P0(후)",$M:$M,"&gt;0")&lt;&gt;1,"",SUMIFS($I:$I,$C:$C,$C481,$D:$D,$D481,$E:$E,"P0(후)"))</f>
        <v/>
      </c>
      <c r="R481" s="31">
        <f>IF(COUNTIFS($C:$C,$C481,$D:$D,$D481,$E:$E,"P0(후)",$M:$M,"&gt;0")&lt;&gt;1,"",SUMIFS($M:$M,$C:$C,$C481,$D:$D,$D481,$E:$E,"P0(후)"))</f>
        <v/>
      </c>
      <c r="S481" s="31">
        <f>IF(N481&lt;&gt;"OK","",P481+(R481-P481)*(I481-O481)/(Q481-O481))</f>
        <v/>
      </c>
      <c r="T481" s="31">
        <f>IF(OR(N481&lt;&gt;"OK",NOT(ISNUMBER(M481))),"",M481-S481)</f>
        <v/>
      </c>
      <c r="U481" s="49">
        <f>IF(OR(NOT(ISNUMBER(T481)),IF(ISNUMBER(H481),H481,G481)=0),"",T481/IF(ISNUMBER(H481),H481,G481))</f>
        <v/>
      </c>
      <c r="V481" s="49">
        <f>IF(ISNUMBER(U481),ABS(U481),"")</f>
        <v/>
      </c>
      <c r="W481" s="49">
        <f>IF(OR($E480&lt;&gt;"측정",$C480&lt;&gt;$C481,$D480&lt;&gt;$D481,NOT(ISNUMBER(M481)),NOT(ISNUMBER(M480)),(IF(ISNUMBER(H481),H481,G481)-IF(ISNUMBER(H480),H480,G480))=0),"",(M481-M480)/(IF(ISNUMBER(H481),H481,G481)-IF(ISNUMBER(H480),H480,G480)))</f>
        <v/>
      </c>
      <c r="X481" s="31">
        <f>IF(NOT(AND(ISNUMBER(O481),ISNUMBER(Q481))),"",(Q481-O481)*1440)</f>
        <v/>
      </c>
      <c r="Y481" s="29" t="n"/>
      <c r="Z481" s="29" t="n"/>
      <c r="AA481" s="29" t="n"/>
      <c r="AB481" s="32" t="n"/>
      <c r="AC481" s="32" t="n"/>
    </row>
    <row r="482">
      <c r="A482" s="26" t="inlineStr">
        <is>
          <t>S10</t>
        </is>
      </c>
      <c r="B482" s="26" t="inlineStr">
        <is>
          <t>예안 신규점1</t>
        </is>
      </c>
      <c r="C482" s="26" t="inlineStr">
        <is>
          <t>S10-H동</t>
        </is>
      </c>
      <c r="D482" s="47" t="n">
        <v>1</v>
      </c>
      <c r="E482" s="26" t="inlineStr">
        <is>
          <t>측정</t>
        </is>
      </c>
      <c r="F482" s="26" t="inlineStr">
        <is>
          <t>동</t>
        </is>
      </c>
      <c r="G482" s="31" t="n">
        <v>7</v>
      </c>
      <c r="H482" s="30" t="n"/>
      <c r="I482" s="43" t="n"/>
      <c r="J482" s="41" t="n"/>
      <c r="K482" s="41" t="n"/>
      <c r="L482" s="41" t="n"/>
      <c r="M482" s="31">
        <f>IF(COUNT(J482:L482)=0,"",MEDIAN(J482:L482))</f>
        <v/>
      </c>
      <c r="N482" s="26">
        <f>IF(COUNTIFS($C:$C,$C482,$D:$D,$D482,$E:$E,"P0(전)",$M:$M,"&gt;0")&lt;&gt;1,"P0(전) 유효 1개 아님",IF(COUNTIFS($C:$C,$C482,$D:$D,$D482,$E:$E,"P0(후)",$M:$M,"&gt;0")&lt;&gt;1,"P0(후) 유효 1개 아님",IF(NOT(AND(ISNUMBER(O482),ISNUMBER(Q482),ISNUMBER(I482))),"시각 결측",IF(Q482&lt;=O482,"P0 시각 역전",IF(OR(I482&lt;O482,I482&gt;Q482),"측정시각 구간 밖","OK")))))</f>
        <v/>
      </c>
      <c r="O482" s="48">
        <f>IF(COUNTIFS($C:$C,$C482,$D:$D,$D482,$E:$E,"P0(전)",$M:$M,"&gt;0")&lt;&gt;1,"",SUMIFS($I:$I,$C:$C,$C482,$D:$D,$D482,$E:$E,"P0(전)"))</f>
        <v/>
      </c>
      <c r="P482" s="31">
        <f>IF(COUNTIFS($C:$C,$C482,$D:$D,$D482,$E:$E,"P0(전)",$M:$M,"&gt;0")&lt;&gt;1,"",SUMIFS($M:$M,$C:$C,$C482,$D:$D,$D482,$E:$E,"P0(전)"))</f>
        <v/>
      </c>
      <c r="Q482" s="48">
        <f>IF(COUNTIFS($C:$C,$C482,$D:$D,$D482,$E:$E,"P0(후)",$M:$M,"&gt;0")&lt;&gt;1,"",SUMIFS($I:$I,$C:$C,$C482,$D:$D,$D482,$E:$E,"P0(후)"))</f>
        <v/>
      </c>
      <c r="R482" s="31">
        <f>IF(COUNTIFS($C:$C,$C482,$D:$D,$D482,$E:$E,"P0(후)",$M:$M,"&gt;0")&lt;&gt;1,"",SUMIFS($M:$M,$C:$C,$C482,$D:$D,$D482,$E:$E,"P0(후)"))</f>
        <v/>
      </c>
      <c r="S482" s="31">
        <f>IF(N482&lt;&gt;"OK","",P482+(R482-P482)*(I482-O482)/(Q482-O482))</f>
        <v/>
      </c>
      <c r="T482" s="31">
        <f>IF(OR(N482&lt;&gt;"OK",NOT(ISNUMBER(M482))),"",M482-S482)</f>
        <v/>
      </c>
      <c r="U482" s="49">
        <f>IF(OR(NOT(ISNUMBER(T482)),IF(ISNUMBER(H482),H482,G482)=0),"",T482/IF(ISNUMBER(H482),H482,G482))</f>
        <v/>
      </c>
      <c r="V482" s="49">
        <f>IF(ISNUMBER(U482),ABS(U482),"")</f>
        <v/>
      </c>
      <c r="W482" s="49">
        <f>IF(OR($E481&lt;&gt;"측정",$C481&lt;&gt;$C482,$D481&lt;&gt;$D482,NOT(ISNUMBER(M482)),NOT(ISNUMBER(M481)),(IF(ISNUMBER(H482),H482,G482)-IF(ISNUMBER(H481),H481,G481))=0),"",(M482-M481)/(IF(ISNUMBER(H482),H482,G482)-IF(ISNUMBER(H481),H481,G481)))</f>
        <v/>
      </c>
      <c r="X482" s="31">
        <f>IF(NOT(AND(ISNUMBER(O482),ISNUMBER(Q482))),"",(Q482-O482)*1440)</f>
        <v/>
      </c>
      <c r="Y482" s="29" t="n"/>
      <c r="Z482" s="29" t="n"/>
      <c r="AA482" s="29" t="n"/>
      <c r="AB482" s="32" t="n"/>
      <c r="AC482" s="32" t="n"/>
    </row>
    <row r="483">
      <c r="A483" s="26" t="inlineStr">
        <is>
          <t>S10</t>
        </is>
      </c>
      <c r="B483" s="26" t="inlineStr">
        <is>
          <t>예안 신규점1</t>
        </is>
      </c>
      <c r="C483" s="26" t="inlineStr">
        <is>
          <t>S10-H동</t>
        </is>
      </c>
      <c r="D483" s="47" t="n">
        <v>1</v>
      </c>
      <c r="E483" s="26" t="inlineStr">
        <is>
          <t>측정</t>
        </is>
      </c>
      <c r="F483" s="26" t="inlineStr">
        <is>
          <t>동</t>
        </is>
      </c>
      <c r="G483" s="31" t="n">
        <v>8</v>
      </c>
      <c r="H483" s="30" t="n"/>
      <c r="I483" s="43" t="n"/>
      <c r="J483" s="41" t="n"/>
      <c r="K483" s="41" t="n"/>
      <c r="L483" s="41" t="n"/>
      <c r="M483" s="31">
        <f>IF(COUNT(J483:L483)=0,"",MEDIAN(J483:L483))</f>
        <v/>
      </c>
      <c r="N483" s="26">
        <f>IF(COUNTIFS($C:$C,$C483,$D:$D,$D483,$E:$E,"P0(전)",$M:$M,"&gt;0")&lt;&gt;1,"P0(전) 유효 1개 아님",IF(COUNTIFS($C:$C,$C483,$D:$D,$D483,$E:$E,"P0(후)",$M:$M,"&gt;0")&lt;&gt;1,"P0(후) 유효 1개 아님",IF(NOT(AND(ISNUMBER(O483),ISNUMBER(Q483),ISNUMBER(I483))),"시각 결측",IF(Q483&lt;=O483,"P0 시각 역전",IF(OR(I483&lt;O483,I483&gt;Q483),"측정시각 구간 밖","OK")))))</f>
        <v/>
      </c>
      <c r="O483" s="48">
        <f>IF(COUNTIFS($C:$C,$C483,$D:$D,$D483,$E:$E,"P0(전)",$M:$M,"&gt;0")&lt;&gt;1,"",SUMIFS($I:$I,$C:$C,$C483,$D:$D,$D483,$E:$E,"P0(전)"))</f>
        <v/>
      </c>
      <c r="P483" s="31">
        <f>IF(COUNTIFS($C:$C,$C483,$D:$D,$D483,$E:$E,"P0(전)",$M:$M,"&gt;0")&lt;&gt;1,"",SUMIFS($M:$M,$C:$C,$C483,$D:$D,$D483,$E:$E,"P0(전)"))</f>
        <v/>
      </c>
      <c r="Q483" s="48">
        <f>IF(COUNTIFS($C:$C,$C483,$D:$D,$D483,$E:$E,"P0(후)",$M:$M,"&gt;0")&lt;&gt;1,"",SUMIFS($I:$I,$C:$C,$C483,$D:$D,$D483,$E:$E,"P0(후)"))</f>
        <v/>
      </c>
      <c r="R483" s="31">
        <f>IF(COUNTIFS($C:$C,$C483,$D:$D,$D483,$E:$E,"P0(후)",$M:$M,"&gt;0")&lt;&gt;1,"",SUMIFS($M:$M,$C:$C,$C483,$D:$D,$D483,$E:$E,"P0(후)"))</f>
        <v/>
      </c>
      <c r="S483" s="31">
        <f>IF(N483&lt;&gt;"OK","",P483+(R483-P483)*(I483-O483)/(Q483-O483))</f>
        <v/>
      </c>
      <c r="T483" s="31">
        <f>IF(OR(N483&lt;&gt;"OK",NOT(ISNUMBER(M483))),"",M483-S483)</f>
        <v/>
      </c>
      <c r="U483" s="49">
        <f>IF(OR(NOT(ISNUMBER(T483)),IF(ISNUMBER(H483),H483,G483)=0),"",T483/IF(ISNUMBER(H483),H483,G483))</f>
        <v/>
      </c>
      <c r="V483" s="49">
        <f>IF(ISNUMBER(U483),ABS(U483),"")</f>
        <v/>
      </c>
      <c r="W483" s="49">
        <f>IF(OR($E482&lt;&gt;"측정",$C482&lt;&gt;$C483,$D482&lt;&gt;$D483,NOT(ISNUMBER(M483)),NOT(ISNUMBER(M482)),(IF(ISNUMBER(H483),H483,G483)-IF(ISNUMBER(H482),H482,G482))=0),"",(M483-M482)/(IF(ISNUMBER(H483),H483,G483)-IF(ISNUMBER(H482),H482,G482)))</f>
        <v/>
      </c>
      <c r="X483" s="31">
        <f>IF(NOT(AND(ISNUMBER(O483),ISNUMBER(Q483))),"",(Q483-O483)*1440)</f>
        <v/>
      </c>
      <c r="Y483" s="29" t="n"/>
      <c r="Z483" s="29" t="n"/>
      <c r="AA483" s="29" t="n"/>
      <c r="AB483" s="32" t="n"/>
      <c r="AC483" s="32" t="n"/>
    </row>
    <row r="484">
      <c r="A484" s="26" t="inlineStr">
        <is>
          <t>S10</t>
        </is>
      </c>
      <c r="B484" s="26" t="inlineStr">
        <is>
          <t>예안 신규점1</t>
        </is>
      </c>
      <c r="C484" s="26" t="inlineStr">
        <is>
          <t>S10-H동</t>
        </is>
      </c>
      <c r="D484" s="47" t="n">
        <v>1</v>
      </c>
      <c r="E484" s="26" t="inlineStr">
        <is>
          <t>측정</t>
        </is>
      </c>
      <c r="F484" s="26" t="inlineStr">
        <is>
          <t>동</t>
        </is>
      </c>
      <c r="G484" s="31" t="n">
        <v>9</v>
      </c>
      <c r="H484" s="30" t="n"/>
      <c r="I484" s="43" t="n"/>
      <c r="J484" s="41" t="n"/>
      <c r="K484" s="41" t="n"/>
      <c r="L484" s="41" t="n"/>
      <c r="M484" s="31">
        <f>IF(COUNT(J484:L484)=0,"",MEDIAN(J484:L484))</f>
        <v/>
      </c>
      <c r="N484" s="26">
        <f>IF(COUNTIFS($C:$C,$C484,$D:$D,$D484,$E:$E,"P0(전)",$M:$M,"&gt;0")&lt;&gt;1,"P0(전) 유효 1개 아님",IF(COUNTIFS($C:$C,$C484,$D:$D,$D484,$E:$E,"P0(후)",$M:$M,"&gt;0")&lt;&gt;1,"P0(후) 유효 1개 아님",IF(NOT(AND(ISNUMBER(O484),ISNUMBER(Q484),ISNUMBER(I484))),"시각 결측",IF(Q484&lt;=O484,"P0 시각 역전",IF(OR(I484&lt;O484,I484&gt;Q484),"측정시각 구간 밖","OK")))))</f>
        <v/>
      </c>
      <c r="O484" s="48">
        <f>IF(COUNTIFS($C:$C,$C484,$D:$D,$D484,$E:$E,"P0(전)",$M:$M,"&gt;0")&lt;&gt;1,"",SUMIFS($I:$I,$C:$C,$C484,$D:$D,$D484,$E:$E,"P0(전)"))</f>
        <v/>
      </c>
      <c r="P484" s="31">
        <f>IF(COUNTIFS($C:$C,$C484,$D:$D,$D484,$E:$E,"P0(전)",$M:$M,"&gt;0")&lt;&gt;1,"",SUMIFS($M:$M,$C:$C,$C484,$D:$D,$D484,$E:$E,"P0(전)"))</f>
        <v/>
      </c>
      <c r="Q484" s="48">
        <f>IF(COUNTIFS($C:$C,$C484,$D:$D,$D484,$E:$E,"P0(후)",$M:$M,"&gt;0")&lt;&gt;1,"",SUMIFS($I:$I,$C:$C,$C484,$D:$D,$D484,$E:$E,"P0(후)"))</f>
        <v/>
      </c>
      <c r="R484" s="31">
        <f>IF(COUNTIFS($C:$C,$C484,$D:$D,$D484,$E:$E,"P0(후)",$M:$M,"&gt;0")&lt;&gt;1,"",SUMIFS($M:$M,$C:$C,$C484,$D:$D,$D484,$E:$E,"P0(후)"))</f>
        <v/>
      </c>
      <c r="S484" s="31">
        <f>IF(N484&lt;&gt;"OK","",P484+(R484-P484)*(I484-O484)/(Q484-O484))</f>
        <v/>
      </c>
      <c r="T484" s="31">
        <f>IF(OR(N484&lt;&gt;"OK",NOT(ISNUMBER(M484))),"",M484-S484)</f>
        <v/>
      </c>
      <c r="U484" s="49">
        <f>IF(OR(NOT(ISNUMBER(T484)),IF(ISNUMBER(H484),H484,G484)=0),"",T484/IF(ISNUMBER(H484),H484,G484))</f>
        <v/>
      </c>
      <c r="V484" s="49">
        <f>IF(ISNUMBER(U484),ABS(U484),"")</f>
        <v/>
      </c>
      <c r="W484" s="49">
        <f>IF(OR($E483&lt;&gt;"측정",$C483&lt;&gt;$C484,$D483&lt;&gt;$D484,NOT(ISNUMBER(M484)),NOT(ISNUMBER(M483)),(IF(ISNUMBER(H484),H484,G484)-IF(ISNUMBER(H483),H483,G483))=0),"",(M484-M483)/(IF(ISNUMBER(H484),H484,G484)-IF(ISNUMBER(H483),H483,G483)))</f>
        <v/>
      </c>
      <c r="X484" s="31">
        <f>IF(NOT(AND(ISNUMBER(O484),ISNUMBER(Q484))),"",(Q484-O484)*1440)</f>
        <v/>
      </c>
      <c r="Y484" s="29" t="n"/>
      <c r="Z484" s="29" t="n"/>
      <c r="AA484" s="29" t="n"/>
      <c r="AB484" s="32" t="n"/>
      <c r="AC484" s="32" t="n"/>
    </row>
    <row r="485">
      <c r="A485" s="26" t="inlineStr">
        <is>
          <t>S10</t>
        </is>
      </c>
      <c r="B485" s="26" t="inlineStr">
        <is>
          <t>예안 신규점1</t>
        </is>
      </c>
      <c r="C485" s="26" t="inlineStr">
        <is>
          <t>S10-H동</t>
        </is>
      </c>
      <c r="D485" s="47" t="n">
        <v>1</v>
      </c>
      <c r="E485" s="26" t="inlineStr">
        <is>
          <t>측정</t>
        </is>
      </c>
      <c r="F485" s="26" t="inlineStr">
        <is>
          <t>동</t>
        </is>
      </c>
      <c r="G485" s="31" t="n">
        <v>10</v>
      </c>
      <c r="H485" s="30" t="n"/>
      <c r="I485" s="43" t="n"/>
      <c r="J485" s="41" t="n"/>
      <c r="K485" s="41" t="n"/>
      <c r="L485" s="41" t="n"/>
      <c r="M485" s="31">
        <f>IF(COUNT(J485:L485)=0,"",MEDIAN(J485:L485))</f>
        <v/>
      </c>
      <c r="N485" s="26">
        <f>IF(COUNTIFS($C:$C,$C485,$D:$D,$D485,$E:$E,"P0(전)",$M:$M,"&gt;0")&lt;&gt;1,"P0(전) 유효 1개 아님",IF(COUNTIFS($C:$C,$C485,$D:$D,$D485,$E:$E,"P0(후)",$M:$M,"&gt;0")&lt;&gt;1,"P0(후) 유효 1개 아님",IF(NOT(AND(ISNUMBER(O485),ISNUMBER(Q485),ISNUMBER(I485))),"시각 결측",IF(Q485&lt;=O485,"P0 시각 역전",IF(OR(I485&lt;O485,I485&gt;Q485),"측정시각 구간 밖","OK")))))</f>
        <v/>
      </c>
      <c r="O485" s="48">
        <f>IF(COUNTIFS($C:$C,$C485,$D:$D,$D485,$E:$E,"P0(전)",$M:$M,"&gt;0")&lt;&gt;1,"",SUMIFS($I:$I,$C:$C,$C485,$D:$D,$D485,$E:$E,"P0(전)"))</f>
        <v/>
      </c>
      <c r="P485" s="31">
        <f>IF(COUNTIFS($C:$C,$C485,$D:$D,$D485,$E:$E,"P0(전)",$M:$M,"&gt;0")&lt;&gt;1,"",SUMIFS($M:$M,$C:$C,$C485,$D:$D,$D485,$E:$E,"P0(전)"))</f>
        <v/>
      </c>
      <c r="Q485" s="48">
        <f>IF(COUNTIFS($C:$C,$C485,$D:$D,$D485,$E:$E,"P0(후)",$M:$M,"&gt;0")&lt;&gt;1,"",SUMIFS($I:$I,$C:$C,$C485,$D:$D,$D485,$E:$E,"P0(후)"))</f>
        <v/>
      </c>
      <c r="R485" s="31">
        <f>IF(COUNTIFS($C:$C,$C485,$D:$D,$D485,$E:$E,"P0(후)",$M:$M,"&gt;0")&lt;&gt;1,"",SUMIFS($M:$M,$C:$C,$C485,$D:$D,$D485,$E:$E,"P0(후)"))</f>
        <v/>
      </c>
      <c r="S485" s="31">
        <f>IF(N485&lt;&gt;"OK","",P485+(R485-P485)*(I485-O485)/(Q485-O485))</f>
        <v/>
      </c>
      <c r="T485" s="31">
        <f>IF(OR(N485&lt;&gt;"OK",NOT(ISNUMBER(M485))),"",M485-S485)</f>
        <v/>
      </c>
      <c r="U485" s="49">
        <f>IF(OR(NOT(ISNUMBER(T485)),IF(ISNUMBER(H485),H485,G485)=0),"",T485/IF(ISNUMBER(H485),H485,G485))</f>
        <v/>
      </c>
      <c r="V485" s="49">
        <f>IF(ISNUMBER(U485),ABS(U485),"")</f>
        <v/>
      </c>
      <c r="W485" s="49">
        <f>IF(OR($E484&lt;&gt;"측정",$C484&lt;&gt;$C485,$D484&lt;&gt;$D485,NOT(ISNUMBER(M485)),NOT(ISNUMBER(M484)),(IF(ISNUMBER(H485),H485,G485)-IF(ISNUMBER(H484),H484,G484))=0),"",(M485-M484)/(IF(ISNUMBER(H485),H485,G485)-IF(ISNUMBER(H484),H484,G484)))</f>
        <v/>
      </c>
      <c r="X485" s="31">
        <f>IF(NOT(AND(ISNUMBER(O485),ISNUMBER(Q485))),"",(Q485-O485)*1440)</f>
        <v/>
      </c>
      <c r="Y485" s="29" t="n"/>
      <c r="Z485" s="29" t="n"/>
      <c r="AA485" s="29" t="n"/>
      <c r="AB485" s="32" t="n"/>
      <c r="AC485" s="32" t="n"/>
    </row>
    <row r="486">
      <c r="A486" s="44" t="inlineStr">
        <is>
          <t>S10</t>
        </is>
      </c>
      <c r="B486" s="44" t="inlineStr">
        <is>
          <t>예안 신규점1</t>
        </is>
      </c>
      <c r="C486" s="44" t="inlineStr">
        <is>
          <t>S10-H동</t>
        </is>
      </c>
      <c r="D486" s="45" t="n">
        <v>1</v>
      </c>
      <c r="E486" s="44" t="inlineStr">
        <is>
          <t>P0(후)</t>
        </is>
      </c>
      <c r="F486" s="44" t="inlineStr">
        <is>
          <t>동</t>
        </is>
      </c>
      <c r="G486" s="46" t="n"/>
      <c r="H486" s="30" t="n"/>
      <c r="I486" s="43" t="n"/>
      <c r="J486" s="41" t="n"/>
      <c r="K486" s="41" t="n"/>
      <c r="L486" s="41" t="n"/>
      <c r="M486" s="31">
        <f>IF(COUNT(J486:L486)=0,"",MEDIAN(J486:L486))</f>
        <v/>
      </c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38" t="n"/>
      <c r="Y486" s="29" t="n"/>
      <c r="Z486" s="29" t="n"/>
      <c r="AA486" s="29" t="n"/>
      <c r="AB486" s="32" t="n"/>
      <c r="AC486" s="32" t="n"/>
    </row>
    <row r="487">
      <c r="A487" s="44" t="inlineStr">
        <is>
          <t>S10</t>
        </is>
      </c>
      <c r="B487" s="44" t="inlineStr">
        <is>
          <t>예안 신규점1</t>
        </is>
      </c>
      <c r="C487" s="44" t="inlineStr">
        <is>
          <t>S10-H서</t>
        </is>
      </c>
      <c r="D487" s="45" t="n">
        <v>1</v>
      </c>
      <c r="E487" s="44" t="inlineStr">
        <is>
          <t>P0(전)</t>
        </is>
      </c>
      <c r="F487" s="44" t="inlineStr">
        <is>
          <t>서</t>
        </is>
      </c>
      <c r="G487" s="46" t="n"/>
      <c r="H487" s="30" t="n"/>
      <c r="I487" s="43" t="n"/>
      <c r="J487" s="41" t="n"/>
      <c r="K487" s="41" t="n"/>
      <c r="L487" s="41" t="n"/>
      <c r="M487" s="31">
        <f>IF(COUNT(J487:L487)=0,"",MEDIAN(J487:L487))</f>
        <v/>
      </c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  <c r="X487" s="38" t="n"/>
      <c r="Y487" s="29" t="n"/>
      <c r="Z487" s="29" t="n"/>
      <c r="AA487" s="29" t="n"/>
      <c r="AB487" s="32" t="n"/>
      <c r="AC487" s="32" t="n"/>
    </row>
    <row r="488">
      <c r="A488" s="26" t="inlineStr">
        <is>
          <t>S10</t>
        </is>
      </c>
      <c r="B488" s="26" t="inlineStr">
        <is>
          <t>예안 신규점1</t>
        </is>
      </c>
      <c r="C488" s="26" t="inlineStr">
        <is>
          <t>S10-H서</t>
        </is>
      </c>
      <c r="D488" s="47" t="n">
        <v>1</v>
      </c>
      <c r="E488" s="26" t="inlineStr">
        <is>
          <t>측정</t>
        </is>
      </c>
      <c r="F488" s="26" t="inlineStr">
        <is>
          <t>서</t>
        </is>
      </c>
      <c r="G488" s="31" t="n">
        <v>0.5</v>
      </c>
      <c r="H488" s="30" t="n"/>
      <c r="I488" s="43" t="n"/>
      <c r="J488" s="41" t="n"/>
      <c r="K488" s="41" t="n"/>
      <c r="L488" s="41" t="n"/>
      <c r="M488" s="31">
        <f>IF(COUNT(J488:L488)=0,"",MEDIAN(J488:L488))</f>
        <v/>
      </c>
      <c r="N488" s="26">
        <f>IF(COUNTIFS($C:$C,$C488,$D:$D,$D488,$E:$E,"P0(전)",$M:$M,"&gt;0")&lt;&gt;1,"P0(전) 유효 1개 아님",IF(COUNTIFS($C:$C,$C488,$D:$D,$D488,$E:$E,"P0(후)",$M:$M,"&gt;0")&lt;&gt;1,"P0(후) 유효 1개 아님",IF(NOT(AND(ISNUMBER(O488),ISNUMBER(Q488),ISNUMBER(I488))),"시각 결측",IF(Q488&lt;=O488,"P0 시각 역전",IF(OR(I488&lt;O488,I488&gt;Q488),"측정시각 구간 밖","OK")))))</f>
        <v/>
      </c>
      <c r="O488" s="48">
        <f>IF(COUNTIFS($C:$C,$C488,$D:$D,$D488,$E:$E,"P0(전)",$M:$M,"&gt;0")&lt;&gt;1,"",SUMIFS($I:$I,$C:$C,$C488,$D:$D,$D488,$E:$E,"P0(전)"))</f>
        <v/>
      </c>
      <c r="P488" s="31">
        <f>IF(COUNTIFS($C:$C,$C488,$D:$D,$D488,$E:$E,"P0(전)",$M:$M,"&gt;0")&lt;&gt;1,"",SUMIFS($M:$M,$C:$C,$C488,$D:$D,$D488,$E:$E,"P0(전)"))</f>
        <v/>
      </c>
      <c r="Q488" s="48">
        <f>IF(COUNTIFS($C:$C,$C488,$D:$D,$D488,$E:$E,"P0(후)",$M:$M,"&gt;0")&lt;&gt;1,"",SUMIFS($I:$I,$C:$C,$C488,$D:$D,$D488,$E:$E,"P0(후)"))</f>
        <v/>
      </c>
      <c r="R488" s="31">
        <f>IF(COUNTIFS($C:$C,$C488,$D:$D,$D488,$E:$E,"P0(후)",$M:$M,"&gt;0")&lt;&gt;1,"",SUMIFS($M:$M,$C:$C,$C488,$D:$D,$D488,$E:$E,"P0(후)"))</f>
        <v/>
      </c>
      <c r="S488" s="31">
        <f>IF(N488&lt;&gt;"OK","",P488+(R488-P488)*(I488-O488)/(Q488-O488))</f>
        <v/>
      </c>
      <c r="T488" s="31">
        <f>IF(OR(N488&lt;&gt;"OK",NOT(ISNUMBER(M488))),"",M488-S488)</f>
        <v/>
      </c>
      <c r="U488" s="49">
        <f>IF(OR(NOT(ISNUMBER(T488)),IF(ISNUMBER(H488),H488,G488)=0),"",T488/IF(ISNUMBER(H488),H488,G488))</f>
        <v/>
      </c>
      <c r="V488" s="49">
        <f>IF(ISNUMBER(U488),ABS(U488),"")</f>
        <v/>
      </c>
      <c r="W488" s="49">
        <f>IF(OR($E487&lt;&gt;"측정",$C487&lt;&gt;$C488,$D487&lt;&gt;$D488,NOT(ISNUMBER(M488)),NOT(ISNUMBER(M487)),(IF(ISNUMBER(H488),H488,G488)-IF(ISNUMBER(H487),H487,G487))=0),"",(M488-M487)/(IF(ISNUMBER(H488),H488,G488)-IF(ISNUMBER(H487),H487,G487)))</f>
        <v/>
      </c>
      <c r="X488" s="31">
        <f>IF(NOT(AND(ISNUMBER(O488),ISNUMBER(Q488))),"",(Q488-O488)*1440)</f>
        <v/>
      </c>
      <c r="Y488" s="29" t="n"/>
      <c r="Z488" s="29" t="n"/>
      <c r="AA488" s="29" t="n"/>
      <c r="AB488" s="32" t="n"/>
      <c r="AC488" s="32" t="n"/>
    </row>
    <row r="489">
      <c r="A489" s="26" t="inlineStr">
        <is>
          <t>S10</t>
        </is>
      </c>
      <c r="B489" s="26" t="inlineStr">
        <is>
          <t>예안 신규점1</t>
        </is>
      </c>
      <c r="C489" s="26" t="inlineStr">
        <is>
          <t>S10-H서</t>
        </is>
      </c>
      <c r="D489" s="47" t="n">
        <v>1</v>
      </c>
      <c r="E489" s="26" t="inlineStr">
        <is>
          <t>측정</t>
        </is>
      </c>
      <c r="F489" s="26" t="inlineStr">
        <is>
          <t>서</t>
        </is>
      </c>
      <c r="G489" s="31" t="n">
        <v>1</v>
      </c>
      <c r="H489" s="30" t="n"/>
      <c r="I489" s="43" t="n"/>
      <c r="J489" s="41" t="n"/>
      <c r="K489" s="41" t="n"/>
      <c r="L489" s="41" t="n"/>
      <c r="M489" s="31">
        <f>IF(COUNT(J489:L489)=0,"",MEDIAN(J489:L489))</f>
        <v/>
      </c>
      <c r="N489" s="26">
        <f>IF(COUNTIFS($C:$C,$C489,$D:$D,$D489,$E:$E,"P0(전)",$M:$M,"&gt;0")&lt;&gt;1,"P0(전) 유효 1개 아님",IF(COUNTIFS($C:$C,$C489,$D:$D,$D489,$E:$E,"P0(후)",$M:$M,"&gt;0")&lt;&gt;1,"P0(후) 유효 1개 아님",IF(NOT(AND(ISNUMBER(O489),ISNUMBER(Q489),ISNUMBER(I489))),"시각 결측",IF(Q489&lt;=O489,"P0 시각 역전",IF(OR(I489&lt;O489,I489&gt;Q489),"측정시각 구간 밖","OK")))))</f>
        <v/>
      </c>
      <c r="O489" s="48">
        <f>IF(COUNTIFS($C:$C,$C489,$D:$D,$D489,$E:$E,"P0(전)",$M:$M,"&gt;0")&lt;&gt;1,"",SUMIFS($I:$I,$C:$C,$C489,$D:$D,$D489,$E:$E,"P0(전)"))</f>
        <v/>
      </c>
      <c r="P489" s="31">
        <f>IF(COUNTIFS($C:$C,$C489,$D:$D,$D489,$E:$E,"P0(전)",$M:$M,"&gt;0")&lt;&gt;1,"",SUMIFS($M:$M,$C:$C,$C489,$D:$D,$D489,$E:$E,"P0(전)"))</f>
        <v/>
      </c>
      <c r="Q489" s="48">
        <f>IF(COUNTIFS($C:$C,$C489,$D:$D,$D489,$E:$E,"P0(후)",$M:$M,"&gt;0")&lt;&gt;1,"",SUMIFS($I:$I,$C:$C,$C489,$D:$D,$D489,$E:$E,"P0(후)"))</f>
        <v/>
      </c>
      <c r="R489" s="31">
        <f>IF(COUNTIFS($C:$C,$C489,$D:$D,$D489,$E:$E,"P0(후)",$M:$M,"&gt;0")&lt;&gt;1,"",SUMIFS($M:$M,$C:$C,$C489,$D:$D,$D489,$E:$E,"P0(후)"))</f>
        <v/>
      </c>
      <c r="S489" s="31">
        <f>IF(N489&lt;&gt;"OK","",P489+(R489-P489)*(I489-O489)/(Q489-O489))</f>
        <v/>
      </c>
      <c r="T489" s="31">
        <f>IF(OR(N489&lt;&gt;"OK",NOT(ISNUMBER(M489))),"",M489-S489)</f>
        <v/>
      </c>
      <c r="U489" s="49">
        <f>IF(OR(NOT(ISNUMBER(T489)),IF(ISNUMBER(H489),H489,G489)=0),"",T489/IF(ISNUMBER(H489),H489,G489))</f>
        <v/>
      </c>
      <c r="V489" s="49">
        <f>IF(ISNUMBER(U489),ABS(U489),"")</f>
        <v/>
      </c>
      <c r="W489" s="49">
        <f>IF(OR($E488&lt;&gt;"측정",$C488&lt;&gt;$C489,$D488&lt;&gt;$D489,NOT(ISNUMBER(M489)),NOT(ISNUMBER(M488)),(IF(ISNUMBER(H489),H489,G489)-IF(ISNUMBER(H488),H488,G488))=0),"",(M489-M488)/(IF(ISNUMBER(H489),H489,G489)-IF(ISNUMBER(H488),H488,G488)))</f>
        <v/>
      </c>
      <c r="X489" s="31">
        <f>IF(NOT(AND(ISNUMBER(O489),ISNUMBER(Q489))),"",(Q489-O489)*1440)</f>
        <v/>
      </c>
      <c r="Y489" s="29" t="n"/>
      <c r="Z489" s="29" t="n"/>
      <c r="AA489" s="29" t="n"/>
      <c r="AB489" s="32" t="n"/>
      <c r="AC489" s="32" t="n"/>
    </row>
    <row r="490">
      <c r="A490" s="26" t="inlineStr">
        <is>
          <t>S10</t>
        </is>
      </c>
      <c r="B490" s="26" t="inlineStr">
        <is>
          <t>예안 신규점1</t>
        </is>
      </c>
      <c r="C490" s="26" t="inlineStr">
        <is>
          <t>S10-H서</t>
        </is>
      </c>
      <c r="D490" s="47" t="n">
        <v>1</v>
      </c>
      <c r="E490" s="26" t="inlineStr">
        <is>
          <t>측정</t>
        </is>
      </c>
      <c r="F490" s="26" t="inlineStr">
        <is>
          <t>서</t>
        </is>
      </c>
      <c r="G490" s="31" t="n">
        <v>2</v>
      </c>
      <c r="H490" s="30" t="n"/>
      <c r="I490" s="43" t="n"/>
      <c r="J490" s="41" t="n"/>
      <c r="K490" s="41" t="n"/>
      <c r="L490" s="41" t="n"/>
      <c r="M490" s="31">
        <f>IF(COUNT(J490:L490)=0,"",MEDIAN(J490:L490))</f>
        <v/>
      </c>
      <c r="N490" s="26">
        <f>IF(COUNTIFS($C:$C,$C490,$D:$D,$D490,$E:$E,"P0(전)",$M:$M,"&gt;0")&lt;&gt;1,"P0(전) 유효 1개 아님",IF(COUNTIFS($C:$C,$C490,$D:$D,$D490,$E:$E,"P0(후)",$M:$M,"&gt;0")&lt;&gt;1,"P0(후) 유효 1개 아님",IF(NOT(AND(ISNUMBER(O490),ISNUMBER(Q490),ISNUMBER(I490))),"시각 결측",IF(Q490&lt;=O490,"P0 시각 역전",IF(OR(I490&lt;O490,I490&gt;Q490),"측정시각 구간 밖","OK")))))</f>
        <v/>
      </c>
      <c r="O490" s="48">
        <f>IF(COUNTIFS($C:$C,$C490,$D:$D,$D490,$E:$E,"P0(전)",$M:$M,"&gt;0")&lt;&gt;1,"",SUMIFS($I:$I,$C:$C,$C490,$D:$D,$D490,$E:$E,"P0(전)"))</f>
        <v/>
      </c>
      <c r="P490" s="31">
        <f>IF(COUNTIFS($C:$C,$C490,$D:$D,$D490,$E:$E,"P0(전)",$M:$M,"&gt;0")&lt;&gt;1,"",SUMIFS($M:$M,$C:$C,$C490,$D:$D,$D490,$E:$E,"P0(전)"))</f>
        <v/>
      </c>
      <c r="Q490" s="48">
        <f>IF(COUNTIFS($C:$C,$C490,$D:$D,$D490,$E:$E,"P0(후)",$M:$M,"&gt;0")&lt;&gt;1,"",SUMIFS($I:$I,$C:$C,$C490,$D:$D,$D490,$E:$E,"P0(후)"))</f>
        <v/>
      </c>
      <c r="R490" s="31">
        <f>IF(COUNTIFS($C:$C,$C490,$D:$D,$D490,$E:$E,"P0(후)",$M:$M,"&gt;0")&lt;&gt;1,"",SUMIFS($M:$M,$C:$C,$C490,$D:$D,$D490,$E:$E,"P0(후)"))</f>
        <v/>
      </c>
      <c r="S490" s="31">
        <f>IF(N490&lt;&gt;"OK","",P490+(R490-P490)*(I490-O490)/(Q490-O490))</f>
        <v/>
      </c>
      <c r="T490" s="31">
        <f>IF(OR(N490&lt;&gt;"OK",NOT(ISNUMBER(M490))),"",M490-S490)</f>
        <v/>
      </c>
      <c r="U490" s="49">
        <f>IF(OR(NOT(ISNUMBER(T490)),IF(ISNUMBER(H490),H490,G490)=0),"",T490/IF(ISNUMBER(H490),H490,G490))</f>
        <v/>
      </c>
      <c r="V490" s="49">
        <f>IF(ISNUMBER(U490),ABS(U490),"")</f>
        <v/>
      </c>
      <c r="W490" s="49">
        <f>IF(OR($E489&lt;&gt;"측정",$C489&lt;&gt;$C490,$D489&lt;&gt;$D490,NOT(ISNUMBER(M490)),NOT(ISNUMBER(M489)),(IF(ISNUMBER(H490),H490,G490)-IF(ISNUMBER(H489),H489,G489))=0),"",(M490-M489)/(IF(ISNUMBER(H490),H490,G490)-IF(ISNUMBER(H489),H489,G489)))</f>
        <v/>
      </c>
      <c r="X490" s="31">
        <f>IF(NOT(AND(ISNUMBER(O490),ISNUMBER(Q490))),"",(Q490-O490)*1440)</f>
        <v/>
      </c>
      <c r="Y490" s="29" t="n"/>
      <c r="Z490" s="29" t="n"/>
      <c r="AA490" s="29" t="n"/>
      <c r="AB490" s="32" t="n"/>
      <c r="AC490" s="32" t="n"/>
    </row>
    <row r="491">
      <c r="A491" s="26" t="inlineStr">
        <is>
          <t>S10</t>
        </is>
      </c>
      <c r="B491" s="26" t="inlineStr">
        <is>
          <t>예안 신규점1</t>
        </is>
      </c>
      <c r="C491" s="26" t="inlineStr">
        <is>
          <t>S10-H서</t>
        </is>
      </c>
      <c r="D491" s="47" t="n">
        <v>1</v>
      </c>
      <c r="E491" s="26" t="inlineStr">
        <is>
          <t>측정</t>
        </is>
      </c>
      <c r="F491" s="26" t="inlineStr">
        <is>
          <t>서</t>
        </is>
      </c>
      <c r="G491" s="31" t="n">
        <v>3</v>
      </c>
      <c r="H491" s="30" t="n"/>
      <c r="I491" s="43" t="n"/>
      <c r="J491" s="41" t="n"/>
      <c r="K491" s="41" t="n"/>
      <c r="L491" s="41" t="n"/>
      <c r="M491" s="31">
        <f>IF(COUNT(J491:L491)=0,"",MEDIAN(J491:L491))</f>
        <v/>
      </c>
      <c r="N491" s="26">
        <f>IF(COUNTIFS($C:$C,$C491,$D:$D,$D491,$E:$E,"P0(전)",$M:$M,"&gt;0")&lt;&gt;1,"P0(전) 유효 1개 아님",IF(COUNTIFS($C:$C,$C491,$D:$D,$D491,$E:$E,"P0(후)",$M:$M,"&gt;0")&lt;&gt;1,"P0(후) 유효 1개 아님",IF(NOT(AND(ISNUMBER(O491),ISNUMBER(Q491),ISNUMBER(I491))),"시각 결측",IF(Q491&lt;=O491,"P0 시각 역전",IF(OR(I491&lt;O491,I491&gt;Q491),"측정시각 구간 밖","OK")))))</f>
        <v/>
      </c>
      <c r="O491" s="48">
        <f>IF(COUNTIFS($C:$C,$C491,$D:$D,$D491,$E:$E,"P0(전)",$M:$M,"&gt;0")&lt;&gt;1,"",SUMIFS($I:$I,$C:$C,$C491,$D:$D,$D491,$E:$E,"P0(전)"))</f>
        <v/>
      </c>
      <c r="P491" s="31">
        <f>IF(COUNTIFS($C:$C,$C491,$D:$D,$D491,$E:$E,"P0(전)",$M:$M,"&gt;0")&lt;&gt;1,"",SUMIFS($M:$M,$C:$C,$C491,$D:$D,$D491,$E:$E,"P0(전)"))</f>
        <v/>
      </c>
      <c r="Q491" s="48">
        <f>IF(COUNTIFS($C:$C,$C491,$D:$D,$D491,$E:$E,"P0(후)",$M:$M,"&gt;0")&lt;&gt;1,"",SUMIFS($I:$I,$C:$C,$C491,$D:$D,$D491,$E:$E,"P0(후)"))</f>
        <v/>
      </c>
      <c r="R491" s="31">
        <f>IF(COUNTIFS($C:$C,$C491,$D:$D,$D491,$E:$E,"P0(후)",$M:$M,"&gt;0")&lt;&gt;1,"",SUMIFS($M:$M,$C:$C,$C491,$D:$D,$D491,$E:$E,"P0(후)"))</f>
        <v/>
      </c>
      <c r="S491" s="31">
        <f>IF(N491&lt;&gt;"OK","",P491+(R491-P491)*(I491-O491)/(Q491-O491))</f>
        <v/>
      </c>
      <c r="T491" s="31">
        <f>IF(OR(N491&lt;&gt;"OK",NOT(ISNUMBER(M491))),"",M491-S491)</f>
        <v/>
      </c>
      <c r="U491" s="49">
        <f>IF(OR(NOT(ISNUMBER(T491)),IF(ISNUMBER(H491),H491,G491)=0),"",T491/IF(ISNUMBER(H491),H491,G491))</f>
        <v/>
      </c>
      <c r="V491" s="49">
        <f>IF(ISNUMBER(U491),ABS(U491),"")</f>
        <v/>
      </c>
      <c r="W491" s="49">
        <f>IF(OR($E490&lt;&gt;"측정",$C490&lt;&gt;$C491,$D490&lt;&gt;$D491,NOT(ISNUMBER(M491)),NOT(ISNUMBER(M490)),(IF(ISNUMBER(H491),H491,G491)-IF(ISNUMBER(H490),H490,G490))=0),"",(M491-M490)/(IF(ISNUMBER(H491),H491,G491)-IF(ISNUMBER(H490),H490,G490)))</f>
        <v/>
      </c>
      <c r="X491" s="31">
        <f>IF(NOT(AND(ISNUMBER(O491),ISNUMBER(Q491))),"",(Q491-O491)*1440)</f>
        <v/>
      </c>
      <c r="Y491" s="29" t="n"/>
      <c r="Z491" s="29" t="n"/>
      <c r="AA491" s="29" t="n"/>
      <c r="AB491" s="32" t="n"/>
      <c r="AC491" s="32" t="n"/>
    </row>
    <row r="492">
      <c r="A492" s="26" t="inlineStr">
        <is>
          <t>S10</t>
        </is>
      </c>
      <c r="B492" s="26" t="inlineStr">
        <is>
          <t>예안 신규점1</t>
        </is>
      </c>
      <c r="C492" s="26" t="inlineStr">
        <is>
          <t>S10-H서</t>
        </is>
      </c>
      <c r="D492" s="47" t="n">
        <v>1</v>
      </c>
      <c r="E492" s="26" t="inlineStr">
        <is>
          <t>측정</t>
        </is>
      </c>
      <c r="F492" s="26" t="inlineStr">
        <is>
          <t>서</t>
        </is>
      </c>
      <c r="G492" s="31" t="n">
        <v>4</v>
      </c>
      <c r="H492" s="30" t="n"/>
      <c r="I492" s="43" t="n"/>
      <c r="J492" s="41" t="n"/>
      <c r="K492" s="41" t="n"/>
      <c r="L492" s="41" t="n"/>
      <c r="M492" s="31">
        <f>IF(COUNT(J492:L492)=0,"",MEDIAN(J492:L492))</f>
        <v/>
      </c>
      <c r="N492" s="26">
        <f>IF(COUNTIFS($C:$C,$C492,$D:$D,$D492,$E:$E,"P0(전)",$M:$M,"&gt;0")&lt;&gt;1,"P0(전) 유효 1개 아님",IF(COUNTIFS($C:$C,$C492,$D:$D,$D492,$E:$E,"P0(후)",$M:$M,"&gt;0")&lt;&gt;1,"P0(후) 유효 1개 아님",IF(NOT(AND(ISNUMBER(O492),ISNUMBER(Q492),ISNUMBER(I492))),"시각 결측",IF(Q492&lt;=O492,"P0 시각 역전",IF(OR(I492&lt;O492,I492&gt;Q492),"측정시각 구간 밖","OK")))))</f>
        <v/>
      </c>
      <c r="O492" s="48">
        <f>IF(COUNTIFS($C:$C,$C492,$D:$D,$D492,$E:$E,"P0(전)",$M:$M,"&gt;0")&lt;&gt;1,"",SUMIFS($I:$I,$C:$C,$C492,$D:$D,$D492,$E:$E,"P0(전)"))</f>
        <v/>
      </c>
      <c r="P492" s="31">
        <f>IF(COUNTIFS($C:$C,$C492,$D:$D,$D492,$E:$E,"P0(전)",$M:$M,"&gt;0")&lt;&gt;1,"",SUMIFS($M:$M,$C:$C,$C492,$D:$D,$D492,$E:$E,"P0(전)"))</f>
        <v/>
      </c>
      <c r="Q492" s="48">
        <f>IF(COUNTIFS($C:$C,$C492,$D:$D,$D492,$E:$E,"P0(후)",$M:$M,"&gt;0")&lt;&gt;1,"",SUMIFS($I:$I,$C:$C,$C492,$D:$D,$D492,$E:$E,"P0(후)"))</f>
        <v/>
      </c>
      <c r="R492" s="31">
        <f>IF(COUNTIFS($C:$C,$C492,$D:$D,$D492,$E:$E,"P0(후)",$M:$M,"&gt;0")&lt;&gt;1,"",SUMIFS($M:$M,$C:$C,$C492,$D:$D,$D492,$E:$E,"P0(후)"))</f>
        <v/>
      </c>
      <c r="S492" s="31">
        <f>IF(N492&lt;&gt;"OK","",P492+(R492-P492)*(I492-O492)/(Q492-O492))</f>
        <v/>
      </c>
      <c r="T492" s="31">
        <f>IF(OR(N492&lt;&gt;"OK",NOT(ISNUMBER(M492))),"",M492-S492)</f>
        <v/>
      </c>
      <c r="U492" s="49">
        <f>IF(OR(NOT(ISNUMBER(T492)),IF(ISNUMBER(H492),H492,G492)=0),"",T492/IF(ISNUMBER(H492),H492,G492))</f>
        <v/>
      </c>
      <c r="V492" s="49">
        <f>IF(ISNUMBER(U492),ABS(U492),"")</f>
        <v/>
      </c>
      <c r="W492" s="49">
        <f>IF(OR($E491&lt;&gt;"측정",$C491&lt;&gt;$C492,$D491&lt;&gt;$D492,NOT(ISNUMBER(M492)),NOT(ISNUMBER(M491)),(IF(ISNUMBER(H492),H492,G492)-IF(ISNUMBER(H491),H491,G491))=0),"",(M492-M491)/(IF(ISNUMBER(H492),H492,G492)-IF(ISNUMBER(H491),H491,G491)))</f>
        <v/>
      </c>
      <c r="X492" s="31">
        <f>IF(NOT(AND(ISNUMBER(O492),ISNUMBER(Q492))),"",(Q492-O492)*1440)</f>
        <v/>
      </c>
      <c r="Y492" s="29" t="n"/>
      <c r="Z492" s="29" t="n"/>
      <c r="AA492" s="29" t="n"/>
      <c r="AB492" s="32" t="n"/>
      <c r="AC492" s="32" t="n"/>
    </row>
    <row r="493">
      <c r="A493" s="26" t="inlineStr">
        <is>
          <t>S10</t>
        </is>
      </c>
      <c r="B493" s="26" t="inlineStr">
        <is>
          <t>예안 신규점1</t>
        </is>
      </c>
      <c r="C493" s="26" t="inlineStr">
        <is>
          <t>S10-H서</t>
        </is>
      </c>
      <c r="D493" s="47" t="n">
        <v>1</v>
      </c>
      <c r="E493" s="26" t="inlineStr">
        <is>
          <t>측정</t>
        </is>
      </c>
      <c r="F493" s="26" t="inlineStr">
        <is>
          <t>서</t>
        </is>
      </c>
      <c r="G493" s="31" t="n">
        <v>5</v>
      </c>
      <c r="H493" s="30" t="n"/>
      <c r="I493" s="43" t="n"/>
      <c r="J493" s="41" t="n"/>
      <c r="K493" s="41" t="n"/>
      <c r="L493" s="41" t="n"/>
      <c r="M493" s="31">
        <f>IF(COUNT(J493:L493)=0,"",MEDIAN(J493:L493))</f>
        <v/>
      </c>
      <c r="N493" s="26">
        <f>IF(COUNTIFS($C:$C,$C493,$D:$D,$D493,$E:$E,"P0(전)",$M:$M,"&gt;0")&lt;&gt;1,"P0(전) 유효 1개 아님",IF(COUNTIFS($C:$C,$C493,$D:$D,$D493,$E:$E,"P0(후)",$M:$M,"&gt;0")&lt;&gt;1,"P0(후) 유효 1개 아님",IF(NOT(AND(ISNUMBER(O493),ISNUMBER(Q493),ISNUMBER(I493))),"시각 결측",IF(Q493&lt;=O493,"P0 시각 역전",IF(OR(I493&lt;O493,I493&gt;Q493),"측정시각 구간 밖","OK")))))</f>
        <v/>
      </c>
      <c r="O493" s="48">
        <f>IF(COUNTIFS($C:$C,$C493,$D:$D,$D493,$E:$E,"P0(전)",$M:$M,"&gt;0")&lt;&gt;1,"",SUMIFS($I:$I,$C:$C,$C493,$D:$D,$D493,$E:$E,"P0(전)"))</f>
        <v/>
      </c>
      <c r="P493" s="31">
        <f>IF(COUNTIFS($C:$C,$C493,$D:$D,$D493,$E:$E,"P0(전)",$M:$M,"&gt;0")&lt;&gt;1,"",SUMIFS($M:$M,$C:$C,$C493,$D:$D,$D493,$E:$E,"P0(전)"))</f>
        <v/>
      </c>
      <c r="Q493" s="48">
        <f>IF(COUNTIFS($C:$C,$C493,$D:$D,$D493,$E:$E,"P0(후)",$M:$M,"&gt;0")&lt;&gt;1,"",SUMIFS($I:$I,$C:$C,$C493,$D:$D,$D493,$E:$E,"P0(후)"))</f>
        <v/>
      </c>
      <c r="R493" s="31">
        <f>IF(COUNTIFS($C:$C,$C493,$D:$D,$D493,$E:$E,"P0(후)",$M:$M,"&gt;0")&lt;&gt;1,"",SUMIFS($M:$M,$C:$C,$C493,$D:$D,$D493,$E:$E,"P0(후)"))</f>
        <v/>
      </c>
      <c r="S493" s="31">
        <f>IF(N493&lt;&gt;"OK","",P493+(R493-P493)*(I493-O493)/(Q493-O493))</f>
        <v/>
      </c>
      <c r="T493" s="31">
        <f>IF(OR(N493&lt;&gt;"OK",NOT(ISNUMBER(M493))),"",M493-S493)</f>
        <v/>
      </c>
      <c r="U493" s="49">
        <f>IF(OR(NOT(ISNUMBER(T493)),IF(ISNUMBER(H493),H493,G493)=0),"",T493/IF(ISNUMBER(H493),H493,G493))</f>
        <v/>
      </c>
      <c r="V493" s="49">
        <f>IF(ISNUMBER(U493),ABS(U493),"")</f>
        <v/>
      </c>
      <c r="W493" s="49">
        <f>IF(OR($E492&lt;&gt;"측정",$C492&lt;&gt;$C493,$D492&lt;&gt;$D493,NOT(ISNUMBER(M493)),NOT(ISNUMBER(M492)),(IF(ISNUMBER(H493),H493,G493)-IF(ISNUMBER(H492),H492,G492))=0),"",(M493-M492)/(IF(ISNUMBER(H493),H493,G493)-IF(ISNUMBER(H492),H492,G492)))</f>
        <v/>
      </c>
      <c r="X493" s="31">
        <f>IF(NOT(AND(ISNUMBER(O493),ISNUMBER(Q493))),"",(Q493-O493)*1440)</f>
        <v/>
      </c>
      <c r="Y493" s="29" t="n"/>
      <c r="Z493" s="29" t="n"/>
      <c r="AA493" s="29" t="n"/>
      <c r="AB493" s="32" t="n"/>
      <c r="AC493" s="32" t="n"/>
    </row>
    <row r="494">
      <c r="A494" s="26" t="inlineStr">
        <is>
          <t>S10</t>
        </is>
      </c>
      <c r="B494" s="26" t="inlineStr">
        <is>
          <t>예안 신규점1</t>
        </is>
      </c>
      <c r="C494" s="26" t="inlineStr">
        <is>
          <t>S10-H서</t>
        </is>
      </c>
      <c r="D494" s="47" t="n">
        <v>1</v>
      </c>
      <c r="E494" s="26" t="inlineStr">
        <is>
          <t>측정</t>
        </is>
      </c>
      <c r="F494" s="26" t="inlineStr">
        <is>
          <t>서</t>
        </is>
      </c>
      <c r="G494" s="31" t="n">
        <v>6</v>
      </c>
      <c r="H494" s="30" t="n"/>
      <c r="I494" s="43" t="n"/>
      <c r="J494" s="41" t="n"/>
      <c r="K494" s="41" t="n"/>
      <c r="L494" s="41" t="n"/>
      <c r="M494" s="31">
        <f>IF(COUNT(J494:L494)=0,"",MEDIAN(J494:L494))</f>
        <v/>
      </c>
      <c r="N494" s="26">
        <f>IF(COUNTIFS($C:$C,$C494,$D:$D,$D494,$E:$E,"P0(전)",$M:$M,"&gt;0")&lt;&gt;1,"P0(전) 유효 1개 아님",IF(COUNTIFS($C:$C,$C494,$D:$D,$D494,$E:$E,"P0(후)",$M:$M,"&gt;0")&lt;&gt;1,"P0(후) 유효 1개 아님",IF(NOT(AND(ISNUMBER(O494),ISNUMBER(Q494),ISNUMBER(I494))),"시각 결측",IF(Q494&lt;=O494,"P0 시각 역전",IF(OR(I494&lt;O494,I494&gt;Q494),"측정시각 구간 밖","OK")))))</f>
        <v/>
      </c>
      <c r="O494" s="48">
        <f>IF(COUNTIFS($C:$C,$C494,$D:$D,$D494,$E:$E,"P0(전)",$M:$M,"&gt;0")&lt;&gt;1,"",SUMIFS($I:$I,$C:$C,$C494,$D:$D,$D494,$E:$E,"P0(전)"))</f>
        <v/>
      </c>
      <c r="P494" s="31">
        <f>IF(COUNTIFS($C:$C,$C494,$D:$D,$D494,$E:$E,"P0(전)",$M:$M,"&gt;0")&lt;&gt;1,"",SUMIFS($M:$M,$C:$C,$C494,$D:$D,$D494,$E:$E,"P0(전)"))</f>
        <v/>
      </c>
      <c r="Q494" s="48">
        <f>IF(COUNTIFS($C:$C,$C494,$D:$D,$D494,$E:$E,"P0(후)",$M:$M,"&gt;0")&lt;&gt;1,"",SUMIFS($I:$I,$C:$C,$C494,$D:$D,$D494,$E:$E,"P0(후)"))</f>
        <v/>
      </c>
      <c r="R494" s="31">
        <f>IF(COUNTIFS($C:$C,$C494,$D:$D,$D494,$E:$E,"P0(후)",$M:$M,"&gt;0")&lt;&gt;1,"",SUMIFS($M:$M,$C:$C,$C494,$D:$D,$D494,$E:$E,"P0(후)"))</f>
        <v/>
      </c>
      <c r="S494" s="31">
        <f>IF(N494&lt;&gt;"OK","",P494+(R494-P494)*(I494-O494)/(Q494-O494))</f>
        <v/>
      </c>
      <c r="T494" s="31">
        <f>IF(OR(N494&lt;&gt;"OK",NOT(ISNUMBER(M494))),"",M494-S494)</f>
        <v/>
      </c>
      <c r="U494" s="49">
        <f>IF(OR(NOT(ISNUMBER(T494)),IF(ISNUMBER(H494),H494,G494)=0),"",T494/IF(ISNUMBER(H494),H494,G494))</f>
        <v/>
      </c>
      <c r="V494" s="49">
        <f>IF(ISNUMBER(U494),ABS(U494),"")</f>
        <v/>
      </c>
      <c r="W494" s="49">
        <f>IF(OR($E493&lt;&gt;"측정",$C493&lt;&gt;$C494,$D493&lt;&gt;$D494,NOT(ISNUMBER(M494)),NOT(ISNUMBER(M493)),(IF(ISNUMBER(H494),H494,G494)-IF(ISNUMBER(H493),H493,G493))=0),"",(M494-M493)/(IF(ISNUMBER(H494),H494,G494)-IF(ISNUMBER(H493),H493,G493)))</f>
        <v/>
      </c>
      <c r="X494" s="31">
        <f>IF(NOT(AND(ISNUMBER(O494),ISNUMBER(Q494))),"",(Q494-O494)*1440)</f>
        <v/>
      </c>
      <c r="Y494" s="29" t="n"/>
      <c r="Z494" s="29" t="n"/>
      <c r="AA494" s="29" t="n"/>
      <c r="AB494" s="32" t="n"/>
      <c r="AC494" s="32" t="n"/>
    </row>
    <row r="495">
      <c r="A495" s="26" t="inlineStr">
        <is>
          <t>S10</t>
        </is>
      </c>
      <c r="B495" s="26" t="inlineStr">
        <is>
          <t>예안 신규점1</t>
        </is>
      </c>
      <c r="C495" s="26" t="inlineStr">
        <is>
          <t>S10-H서</t>
        </is>
      </c>
      <c r="D495" s="47" t="n">
        <v>1</v>
      </c>
      <c r="E495" s="26" t="inlineStr">
        <is>
          <t>측정</t>
        </is>
      </c>
      <c r="F495" s="26" t="inlineStr">
        <is>
          <t>서</t>
        </is>
      </c>
      <c r="G495" s="31" t="n">
        <v>7</v>
      </c>
      <c r="H495" s="30" t="n"/>
      <c r="I495" s="43" t="n"/>
      <c r="J495" s="41" t="n"/>
      <c r="K495" s="41" t="n"/>
      <c r="L495" s="41" t="n"/>
      <c r="M495" s="31">
        <f>IF(COUNT(J495:L495)=0,"",MEDIAN(J495:L495))</f>
        <v/>
      </c>
      <c r="N495" s="26">
        <f>IF(COUNTIFS($C:$C,$C495,$D:$D,$D495,$E:$E,"P0(전)",$M:$M,"&gt;0")&lt;&gt;1,"P0(전) 유효 1개 아님",IF(COUNTIFS($C:$C,$C495,$D:$D,$D495,$E:$E,"P0(후)",$M:$M,"&gt;0")&lt;&gt;1,"P0(후) 유효 1개 아님",IF(NOT(AND(ISNUMBER(O495),ISNUMBER(Q495),ISNUMBER(I495))),"시각 결측",IF(Q495&lt;=O495,"P0 시각 역전",IF(OR(I495&lt;O495,I495&gt;Q495),"측정시각 구간 밖","OK")))))</f>
        <v/>
      </c>
      <c r="O495" s="48">
        <f>IF(COUNTIFS($C:$C,$C495,$D:$D,$D495,$E:$E,"P0(전)",$M:$M,"&gt;0")&lt;&gt;1,"",SUMIFS($I:$I,$C:$C,$C495,$D:$D,$D495,$E:$E,"P0(전)"))</f>
        <v/>
      </c>
      <c r="P495" s="31">
        <f>IF(COUNTIFS($C:$C,$C495,$D:$D,$D495,$E:$E,"P0(전)",$M:$M,"&gt;0")&lt;&gt;1,"",SUMIFS($M:$M,$C:$C,$C495,$D:$D,$D495,$E:$E,"P0(전)"))</f>
        <v/>
      </c>
      <c r="Q495" s="48">
        <f>IF(COUNTIFS($C:$C,$C495,$D:$D,$D495,$E:$E,"P0(후)",$M:$M,"&gt;0")&lt;&gt;1,"",SUMIFS($I:$I,$C:$C,$C495,$D:$D,$D495,$E:$E,"P0(후)"))</f>
        <v/>
      </c>
      <c r="R495" s="31">
        <f>IF(COUNTIFS($C:$C,$C495,$D:$D,$D495,$E:$E,"P0(후)",$M:$M,"&gt;0")&lt;&gt;1,"",SUMIFS($M:$M,$C:$C,$C495,$D:$D,$D495,$E:$E,"P0(후)"))</f>
        <v/>
      </c>
      <c r="S495" s="31">
        <f>IF(N495&lt;&gt;"OK","",P495+(R495-P495)*(I495-O495)/(Q495-O495))</f>
        <v/>
      </c>
      <c r="T495" s="31">
        <f>IF(OR(N495&lt;&gt;"OK",NOT(ISNUMBER(M495))),"",M495-S495)</f>
        <v/>
      </c>
      <c r="U495" s="49">
        <f>IF(OR(NOT(ISNUMBER(T495)),IF(ISNUMBER(H495),H495,G495)=0),"",T495/IF(ISNUMBER(H495),H495,G495))</f>
        <v/>
      </c>
      <c r="V495" s="49">
        <f>IF(ISNUMBER(U495),ABS(U495),"")</f>
        <v/>
      </c>
      <c r="W495" s="49">
        <f>IF(OR($E494&lt;&gt;"측정",$C494&lt;&gt;$C495,$D494&lt;&gt;$D495,NOT(ISNUMBER(M495)),NOT(ISNUMBER(M494)),(IF(ISNUMBER(H495),H495,G495)-IF(ISNUMBER(H494),H494,G494))=0),"",(M495-M494)/(IF(ISNUMBER(H495),H495,G495)-IF(ISNUMBER(H494),H494,G494)))</f>
        <v/>
      </c>
      <c r="X495" s="31">
        <f>IF(NOT(AND(ISNUMBER(O495),ISNUMBER(Q495))),"",(Q495-O495)*1440)</f>
        <v/>
      </c>
      <c r="Y495" s="29" t="n"/>
      <c r="Z495" s="29" t="n"/>
      <c r="AA495" s="29" t="n"/>
      <c r="AB495" s="32" t="n"/>
      <c r="AC495" s="32" t="n"/>
    </row>
    <row r="496">
      <c r="A496" s="26" t="inlineStr">
        <is>
          <t>S10</t>
        </is>
      </c>
      <c r="B496" s="26" t="inlineStr">
        <is>
          <t>예안 신규점1</t>
        </is>
      </c>
      <c r="C496" s="26" t="inlineStr">
        <is>
          <t>S10-H서</t>
        </is>
      </c>
      <c r="D496" s="47" t="n">
        <v>1</v>
      </c>
      <c r="E496" s="26" t="inlineStr">
        <is>
          <t>측정</t>
        </is>
      </c>
      <c r="F496" s="26" t="inlineStr">
        <is>
          <t>서</t>
        </is>
      </c>
      <c r="G496" s="31" t="n">
        <v>8</v>
      </c>
      <c r="H496" s="30" t="n"/>
      <c r="I496" s="43" t="n"/>
      <c r="J496" s="41" t="n"/>
      <c r="K496" s="41" t="n"/>
      <c r="L496" s="41" t="n"/>
      <c r="M496" s="31">
        <f>IF(COUNT(J496:L496)=0,"",MEDIAN(J496:L496))</f>
        <v/>
      </c>
      <c r="N496" s="26">
        <f>IF(COUNTIFS($C:$C,$C496,$D:$D,$D496,$E:$E,"P0(전)",$M:$M,"&gt;0")&lt;&gt;1,"P0(전) 유효 1개 아님",IF(COUNTIFS($C:$C,$C496,$D:$D,$D496,$E:$E,"P0(후)",$M:$M,"&gt;0")&lt;&gt;1,"P0(후) 유효 1개 아님",IF(NOT(AND(ISNUMBER(O496),ISNUMBER(Q496),ISNUMBER(I496))),"시각 결측",IF(Q496&lt;=O496,"P0 시각 역전",IF(OR(I496&lt;O496,I496&gt;Q496),"측정시각 구간 밖","OK")))))</f>
        <v/>
      </c>
      <c r="O496" s="48">
        <f>IF(COUNTIFS($C:$C,$C496,$D:$D,$D496,$E:$E,"P0(전)",$M:$M,"&gt;0")&lt;&gt;1,"",SUMIFS($I:$I,$C:$C,$C496,$D:$D,$D496,$E:$E,"P0(전)"))</f>
        <v/>
      </c>
      <c r="P496" s="31">
        <f>IF(COUNTIFS($C:$C,$C496,$D:$D,$D496,$E:$E,"P0(전)",$M:$M,"&gt;0")&lt;&gt;1,"",SUMIFS($M:$M,$C:$C,$C496,$D:$D,$D496,$E:$E,"P0(전)"))</f>
        <v/>
      </c>
      <c r="Q496" s="48">
        <f>IF(COUNTIFS($C:$C,$C496,$D:$D,$D496,$E:$E,"P0(후)",$M:$M,"&gt;0")&lt;&gt;1,"",SUMIFS($I:$I,$C:$C,$C496,$D:$D,$D496,$E:$E,"P0(후)"))</f>
        <v/>
      </c>
      <c r="R496" s="31">
        <f>IF(COUNTIFS($C:$C,$C496,$D:$D,$D496,$E:$E,"P0(후)",$M:$M,"&gt;0")&lt;&gt;1,"",SUMIFS($M:$M,$C:$C,$C496,$D:$D,$D496,$E:$E,"P0(후)"))</f>
        <v/>
      </c>
      <c r="S496" s="31">
        <f>IF(N496&lt;&gt;"OK","",P496+(R496-P496)*(I496-O496)/(Q496-O496))</f>
        <v/>
      </c>
      <c r="T496" s="31">
        <f>IF(OR(N496&lt;&gt;"OK",NOT(ISNUMBER(M496))),"",M496-S496)</f>
        <v/>
      </c>
      <c r="U496" s="49">
        <f>IF(OR(NOT(ISNUMBER(T496)),IF(ISNUMBER(H496),H496,G496)=0),"",T496/IF(ISNUMBER(H496),H496,G496))</f>
        <v/>
      </c>
      <c r="V496" s="49">
        <f>IF(ISNUMBER(U496),ABS(U496),"")</f>
        <v/>
      </c>
      <c r="W496" s="49">
        <f>IF(OR($E495&lt;&gt;"측정",$C495&lt;&gt;$C496,$D495&lt;&gt;$D496,NOT(ISNUMBER(M496)),NOT(ISNUMBER(M495)),(IF(ISNUMBER(H496),H496,G496)-IF(ISNUMBER(H495),H495,G495))=0),"",(M496-M495)/(IF(ISNUMBER(H496),H496,G496)-IF(ISNUMBER(H495),H495,G495)))</f>
        <v/>
      </c>
      <c r="X496" s="31">
        <f>IF(NOT(AND(ISNUMBER(O496),ISNUMBER(Q496))),"",(Q496-O496)*1440)</f>
        <v/>
      </c>
      <c r="Y496" s="29" t="n"/>
      <c r="Z496" s="29" t="n"/>
      <c r="AA496" s="29" t="n"/>
      <c r="AB496" s="32" t="n"/>
      <c r="AC496" s="32" t="n"/>
    </row>
    <row r="497">
      <c r="A497" s="26" t="inlineStr">
        <is>
          <t>S10</t>
        </is>
      </c>
      <c r="B497" s="26" t="inlineStr">
        <is>
          <t>예안 신규점1</t>
        </is>
      </c>
      <c r="C497" s="26" t="inlineStr">
        <is>
          <t>S10-H서</t>
        </is>
      </c>
      <c r="D497" s="47" t="n">
        <v>1</v>
      </c>
      <c r="E497" s="26" t="inlineStr">
        <is>
          <t>측정</t>
        </is>
      </c>
      <c r="F497" s="26" t="inlineStr">
        <is>
          <t>서</t>
        </is>
      </c>
      <c r="G497" s="31" t="n">
        <v>9</v>
      </c>
      <c r="H497" s="30" t="n"/>
      <c r="I497" s="43" t="n"/>
      <c r="J497" s="41" t="n"/>
      <c r="K497" s="41" t="n"/>
      <c r="L497" s="41" t="n"/>
      <c r="M497" s="31">
        <f>IF(COUNT(J497:L497)=0,"",MEDIAN(J497:L497))</f>
        <v/>
      </c>
      <c r="N497" s="26">
        <f>IF(COUNTIFS($C:$C,$C497,$D:$D,$D497,$E:$E,"P0(전)",$M:$M,"&gt;0")&lt;&gt;1,"P0(전) 유효 1개 아님",IF(COUNTIFS($C:$C,$C497,$D:$D,$D497,$E:$E,"P0(후)",$M:$M,"&gt;0")&lt;&gt;1,"P0(후) 유효 1개 아님",IF(NOT(AND(ISNUMBER(O497),ISNUMBER(Q497),ISNUMBER(I497))),"시각 결측",IF(Q497&lt;=O497,"P0 시각 역전",IF(OR(I497&lt;O497,I497&gt;Q497),"측정시각 구간 밖","OK")))))</f>
        <v/>
      </c>
      <c r="O497" s="48">
        <f>IF(COUNTIFS($C:$C,$C497,$D:$D,$D497,$E:$E,"P0(전)",$M:$M,"&gt;0")&lt;&gt;1,"",SUMIFS($I:$I,$C:$C,$C497,$D:$D,$D497,$E:$E,"P0(전)"))</f>
        <v/>
      </c>
      <c r="P497" s="31">
        <f>IF(COUNTIFS($C:$C,$C497,$D:$D,$D497,$E:$E,"P0(전)",$M:$M,"&gt;0")&lt;&gt;1,"",SUMIFS($M:$M,$C:$C,$C497,$D:$D,$D497,$E:$E,"P0(전)"))</f>
        <v/>
      </c>
      <c r="Q497" s="48">
        <f>IF(COUNTIFS($C:$C,$C497,$D:$D,$D497,$E:$E,"P0(후)",$M:$M,"&gt;0")&lt;&gt;1,"",SUMIFS($I:$I,$C:$C,$C497,$D:$D,$D497,$E:$E,"P0(후)"))</f>
        <v/>
      </c>
      <c r="R497" s="31">
        <f>IF(COUNTIFS($C:$C,$C497,$D:$D,$D497,$E:$E,"P0(후)",$M:$M,"&gt;0")&lt;&gt;1,"",SUMIFS($M:$M,$C:$C,$C497,$D:$D,$D497,$E:$E,"P0(후)"))</f>
        <v/>
      </c>
      <c r="S497" s="31">
        <f>IF(N497&lt;&gt;"OK","",P497+(R497-P497)*(I497-O497)/(Q497-O497))</f>
        <v/>
      </c>
      <c r="T497" s="31">
        <f>IF(OR(N497&lt;&gt;"OK",NOT(ISNUMBER(M497))),"",M497-S497)</f>
        <v/>
      </c>
      <c r="U497" s="49">
        <f>IF(OR(NOT(ISNUMBER(T497)),IF(ISNUMBER(H497),H497,G497)=0),"",T497/IF(ISNUMBER(H497),H497,G497))</f>
        <v/>
      </c>
      <c r="V497" s="49">
        <f>IF(ISNUMBER(U497),ABS(U497),"")</f>
        <v/>
      </c>
      <c r="W497" s="49">
        <f>IF(OR($E496&lt;&gt;"측정",$C496&lt;&gt;$C497,$D496&lt;&gt;$D497,NOT(ISNUMBER(M497)),NOT(ISNUMBER(M496)),(IF(ISNUMBER(H497),H497,G497)-IF(ISNUMBER(H496),H496,G496))=0),"",(M497-M496)/(IF(ISNUMBER(H497),H497,G497)-IF(ISNUMBER(H496),H496,G496)))</f>
        <v/>
      </c>
      <c r="X497" s="31">
        <f>IF(NOT(AND(ISNUMBER(O497),ISNUMBER(Q497))),"",(Q497-O497)*1440)</f>
        <v/>
      </c>
      <c r="Y497" s="29" t="n"/>
      <c r="Z497" s="29" t="n"/>
      <c r="AA497" s="29" t="n"/>
      <c r="AB497" s="32" t="n"/>
      <c r="AC497" s="32" t="n"/>
    </row>
    <row r="498">
      <c r="A498" s="26" t="inlineStr">
        <is>
          <t>S10</t>
        </is>
      </c>
      <c r="B498" s="26" t="inlineStr">
        <is>
          <t>예안 신규점1</t>
        </is>
      </c>
      <c r="C498" s="26" t="inlineStr">
        <is>
          <t>S10-H서</t>
        </is>
      </c>
      <c r="D498" s="47" t="n">
        <v>1</v>
      </c>
      <c r="E498" s="26" t="inlineStr">
        <is>
          <t>측정</t>
        </is>
      </c>
      <c r="F498" s="26" t="inlineStr">
        <is>
          <t>서</t>
        </is>
      </c>
      <c r="G498" s="31" t="n">
        <v>10</v>
      </c>
      <c r="H498" s="30" t="n"/>
      <c r="I498" s="43" t="n"/>
      <c r="J498" s="41" t="n"/>
      <c r="K498" s="41" t="n"/>
      <c r="L498" s="41" t="n"/>
      <c r="M498" s="31">
        <f>IF(COUNT(J498:L498)=0,"",MEDIAN(J498:L498))</f>
        <v/>
      </c>
      <c r="N498" s="26">
        <f>IF(COUNTIFS($C:$C,$C498,$D:$D,$D498,$E:$E,"P0(전)",$M:$M,"&gt;0")&lt;&gt;1,"P0(전) 유효 1개 아님",IF(COUNTIFS($C:$C,$C498,$D:$D,$D498,$E:$E,"P0(후)",$M:$M,"&gt;0")&lt;&gt;1,"P0(후) 유효 1개 아님",IF(NOT(AND(ISNUMBER(O498),ISNUMBER(Q498),ISNUMBER(I498))),"시각 결측",IF(Q498&lt;=O498,"P0 시각 역전",IF(OR(I498&lt;O498,I498&gt;Q498),"측정시각 구간 밖","OK")))))</f>
        <v/>
      </c>
      <c r="O498" s="48">
        <f>IF(COUNTIFS($C:$C,$C498,$D:$D,$D498,$E:$E,"P0(전)",$M:$M,"&gt;0")&lt;&gt;1,"",SUMIFS($I:$I,$C:$C,$C498,$D:$D,$D498,$E:$E,"P0(전)"))</f>
        <v/>
      </c>
      <c r="P498" s="31">
        <f>IF(COUNTIFS($C:$C,$C498,$D:$D,$D498,$E:$E,"P0(전)",$M:$M,"&gt;0")&lt;&gt;1,"",SUMIFS($M:$M,$C:$C,$C498,$D:$D,$D498,$E:$E,"P0(전)"))</f>
        <v/>
      </c>
      <c r="Q498" s="48">
        <f>IF(COUNTIFS($C:$C,$C498,$D:$D,$D498,$E:$E,"P0(후)",$M:$M,"&gt;0")&lt;&gt;1,"",SUMIFS($I:$I,$C:$C,$C498,$D:$D,$D498,$E:$E,"P0(후)"))</f>
        <v/>
      </c>
      <c r="R498" s="31">
        <f>IF(COUNTIFS($C:$C,$C498,$D:$D,$D498,$E:$E,"P0(후)",$M:$M,"&gt;0")&lt;&gt;1,"",SUMIFS($M:$M,$C:$C,$C498,$D:$D,$D498,$E:$E,"P0(후)"))</f>
        <v/>
      </c>
      <c r="S498" s="31">
        <f>IF(N498&lt;&gt;"OK","",P498+(R498-P498)*(I498-O498)/(Q498-O498))</f>
        <v/>
      </c>
      <c r="T498" s="31">
        <f>IF(OR(N498&lt;&gt;"OK",NOT(ISNUMBER(M498))),"",M498-S498)</f>
        <v/>
      </c>
      <c r="U498" s="49">
        <f>IF(OR(NOT(ISNUMBER(T498)),IF(ISNUMBER(H498),H498,G498)=0),"",T498/IF(ISNUMBER(H498),H498,G498))</f>
        <v/>
      </c>
      <c r="V498" s="49">
        <f>IF(ISNUMBER(U498),ABS(U498),"")</f>
        <v/>
      </c>
      <c r="W498" s="49">
        <f>IF(OR($E497&lt;&gt;"측정",$C497&lt;&gt;$C498,$D497&lt;&gt;$D498,NOT(ISNUMBER(M498)),NOT(ISNUMBER(M497)),(IF(ISNUMBER(H498),H498,G498)-IF(ISNUMBER(H497),H497,G497))=0),"",(M498-M497)/(IF(ISNUMBER(H498),H498,G498)-IF(ISNUMBER(H497),H497,G497)))</f>
        <v/>
      </c>
      <c r="X498" s="31">
        <f>IF(NOT(AND(ISNUMBER(O498),ISNUMBER(Q498))),"",(Q498-O498)*1440)</f>
        <v/>
      </c>
      <c r="Y498" s="29" t="n"/>
      <c r="Z498" s="29" t="n"/>
      <c r="AA498" s="29" t="n"/>
      <c r="AB498" s="32" t="n"/>
      <c r="AC498" s="32" t="n"/>
    </row>
    <row r="499">
      <c r="A499" s="44" t="inlineStr">
        <is>
          <t>S10</t>
        </is>
      </c>
      <c r="B499" s="44" t="inlineStr">
        <is>
          <t>예안 신규점1</t>
        </is>
      </c>
      <c r="C499" s="44" t="inlineStr">
        <is>
          <t>S10-H서</t>
        </is>
      </c>
      <c r="D499" s="45" t="n">
        <v>1</v>
      </c>
      <c r="E499" s="44" t="inlineStr">
        <is>
          <t>P0(후)</t>
        </is>
      </c>
      <c r="F499" s="44" t="inlineStr">
        <is>
          <t>서</t>
        </is>
      </c>
      <c r="G499" s="46" t="n"/>
      <c r="H499" s="30" t="n"/>
      <c r="I499" s="43" t="n"/>
      <c r="J499" s="41" t="n"/>
      <c r="K499" s="41" t="n"/>
      <c r="L499" s="41" t="n"/>
      <c r="M499" s="31">
        <f>IF(COUNT(J499:L499)=0,"",MEDIAN(J499:L499))</f>
        <v/>
      </c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38" t="n"/>
      <c r="Y499" s="29" t="n"/>
      <c r="Z499" s="29" t="n"/>
      <c r="AA499" s="29" t="n"/>
      <c r="AB499" s="32" t="n"/>
      <c r="AC499" s="32" t="n"/>
    </row>
    <row r="500">
      <c r="A500" s="44" t="inlineStr">
        <is>
          <t>S10</t>
        </is>
      </c>
      <c r="B500" s="44" t="inlineStr">
        <is>
          <t>예안 신규점1</t>
        </is>
      </c>
      <c r="C500" s="44" t="inlineStr">
        <is>
          <t>S10-H남</t>
        </is>
      </c>
      <c r="D500" s="45" t="n">
        <v>1</v>
      </c>
      <c r="E500" s="44" t="inlineStr">
        <is>
          <t>P0(전)</t>
        </is>
      </c>
      <c r="F500" s="44" t="inlineStr">
        <is>
          <t>남</t>
        </is>
      </c>
      <c r="G500" s="46" t="n"/>
      <c r="H500" s="30" t="n"/>
      <c r="I500" s="43" t="n"/>
      <c r="J500" s="41" t="n"/>
      <c r="K500" s="41" t="n"/>
      <c r="L500" s="41" t="n"/>
      <c r="M500" s="31">
        <f>IF(COUNT(J500:L500)=0,"",MEDIAN(J500:L500))</f>
        <v/>
      </c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  <c r="X500" s="38" t="n"/>
      <c r="Y500" s="29" t="n"/>
      <c r="Z500" s="29" t="n"/>
      <c r="AA500" s="29" t="n"/>
      <c r="AB500" s="32" t="n"/>
      <c r="AC500" s="32" t="n"/>
    </row>
    <row r="501">
      <c r="A501" s="26" t="inlineStr">
        <is>
          <t>S10</t>
        </is>
      </c>
      <c r="B501" s="26" t="inlineStr">
        <is>
          <t>예안 신규점1</t>
        </is>
      </c>
      <c r="C501" s="26" t="inlineStr">
        <is>
          <t>S10-H남</t>
        </is>
      </c>
      <c r="D501" s="47" t="n">
        <v>1</v>
      </c>
      <c r="E501" s="26" t="inlineStr">
        <is>
          <t>측정</t>
        </is>
      </c>
      <c r="F501" s="26" t="inlineStr">
        <is>
          <t>남</t>
        </is>
      </c>
      <c r="G501" s="31" t="n">
        <v>0.5</v>
      </c>
      <c r="H501" s="30" t="n"/>
      <c r="I501" s="43" t="n"/>
      <c r="J501" s="41" t="n"/>
      <c r="K501" s="41" t="n"/>
      <c r="L501" s="41" t="n"/>
      <c r="M501" s="31">
        <f>IF(COUNT(J501:L501)=0,"",MEDIAN(J501:L501))</f>
        <v/>
      </c>
      <c r="N501" s="26">
        <f>IF(COUNTIFS($C:$C,$C501,$D:$D,$D501,$E:$E,"P0(전)",$M:$M,"&gt;0")&lt;&gt;1,"P0(전) 유효 1개 아님",IF(COUNTIFS($C:$C,$C501,$D:$D,$D501,$E:$E,"P0(후)",$M:$M,"&gt;0")&lt;&gt;1,"P0(후) 유효 1개 아님",IF(NOT(AND(ISNUMBER(O501),ISNUMBER(Q501),ISNUMBER(I501))),"시각 결측",IF(Q501&lt;=O501,"P0 시각 역전",IF(OR(I501&lt;O501,I501&gt;Q501),"측정시각 구간 밖","OK")))))</f>
        <v/>
      </c>
      <c r="O501" s="48">
        <f>IF(COUNTIFS($C:$C,$C501,$D:$D,$D501,$E:$E,"P0(전)",$M:$M,"&gt;0")&lt;&gt;1,"",SUMIFS($I:$I,$C:$C,$C501,$D:$D,$D501,$E:$E,"P0(전)"))</f>
        <v/>
      </c>
      <c r="P501" s="31">
        <f>IF(COUNTIFS($C:$C,$C501,$D:$D,$D501,$E:$E,"P0(전)",$M:$M,"&gt;0")&lt;&gt;1,"",SUMIFS($M:$M,$C:$C,$C501,$D:$D,$D501,$E:$E,"P0(전)"))</f>
        <v/>
      </c>
      <c r="Q501" s="48">
        <f>IF(COUNTIFS($C:$C,$C501,$D:$D,$D501,$E:$E,"P0(후)",$M:$M,"&gt;0")&lt;&gt;1,"",SUMIFS($I:$I,$C:$C,$C501,$D:$D,$D501,$E:$E,"P0(후)"))</f>
        <v/>
      </c>
      <c r="R501" s="31">
        <f>IF(COUNTIFS($C:$C,$C501,$D:$D,$D501,$E:$E,"P0(후)",$M:$M,"&gt;0")&lt;&gt;1,"",SUMIFS($M:$M,$C:$C,$C501,$D:$D,$D501,$E:$E,"P0(후)"))</f>
        <v/>
      </c>
      <c r="S501" s="31">
        <f>IF(N501&lt;&gt;"OK","",P501+(R501-P501)*(I501-O501)/(Q501-O501))</f>
        <v/>
      </c>
      <c r="T501" s="31">
        <f>IF(OR(N501&lt;&gt;"OK",NOT(ISNUMBER(M501))),"",M501-S501)</f>
        <v/>
      </c>
      <c r="U501" s="49">
        <f>IF(OR(NOT(ISNUMBER(T501)),IF(ISNUMBER(H501),H501,G501)=0),"",T501/IF(ISNUMBER(H501),H501,G501))</f>
        <v/>
      </c>
      <c r="V501" s="49">
        <f>IF(ISNUMBER(U501),ABS(U501),"")</f>
        <v/>
      </c>
      <c r="W501" s="49">
        <f>IF(OR($E500&lt;&gt;"측정",$C500&lt;&gt;$C501,$D500&lt;&gt;$D501,NOT(ISNUMBER(M501)),NOT(ISNUMBER(M500)),(IF(ISNUMBER(H501),H501,G501)-IF(ISNUMBER(H500),H500,G500))=0),"",(M501-M500)/(IF(ISNUMBER(H501),H501,G501)-IF(ISNUMBER(H500),H500,G500)))</f>
        <v/>
      </c>
      <c r="X501" s="31">
        <f>IF(NOT(AND(ISNUMBER(O501),ISNUMBER(Q501))),"",(Q501-O501)*1440)</f>
        <v/>
      </c>
      <c r="Y501" s="29" t="n"/>
      <c r="Z501" s="29" t="n"/>
      <c r="AA501" s="29" t="n"/>
      <c r="AB501" s="32" t="n"/>
      <c r="AC501" s="32" t="n"/>
    </row>
    <row r="502">
      <c r="A502" s="26" t="inlineStr">
        <is>
          <t>S10</t>
        </is>
      </c>
      <c r="B502" s="26" t="inlineStr">
        <is>
          <t>예안 신규점1</t>
        </is>
      </c>
      <c r="C502" s="26" t="inlineStr">
        <is>
          <t>S10-H남</t>
        </is>
      </c>
      <c r="D502" s="47" t="n">
        <v>1</v>
      </c>
      <c r="E502" s="26" t="inlineStr">
        <is>
          <t>측정</t>
        </is>
      </c>
      <c r="F502" s="26" t="inlineStr">
        <is>
          <t>남</t>
        </is>
      </c>
      <c r="G502" s="31" t="n">
        <v>1</v>
      </c>
      <c r="H502" s="30" t="n"/>
      <c r="I502" s="43" t="n"/>
      <c r="J502" s="41" t="n"/>
      <c r="K502" s="41" t="n"/>
      <c r="L502" s="41" t="n"/>
      <c r="M502" s="31">
        <f>IF(COUNT(J502:L502)=0,"",MEDIAN(J502:L502))</f>
        <v/>
      </c>
      <c r="N502" s="26">
        <f>IF(COUNTIFS($C:$C,$C502,$D:$D,$D502,$E:$E,"P0(전)",$M:$M,"&gt;0")&lt;&gt;1,"P0(전) 유효 1개 아님",IF(COUNTIFS($C:$C,$C502,$D:$D,$D502,$E:$E,"P0(후)",$M:$M,"&gt;0")&lt;&gt;1,"P0(후) 유효 1개 아님",IF(NOT(AND(ISNUMBER(O502),ISNUMBER(Q502),ISNUMBER(I502))),"시각 결측",IF(Q502&lt;=O502,"P0 시각 역전",IF(OR(I502&lt;O502,I502&gt;Q502),"측정시각 구간 밖","OK")))))</f>
        <v/>
      </c>
      <c r="O502" s="48">
        <f>IF(COUNTIFS($C:$C,$C502,$D:$D,$D502,$E:$E,"P0(전)",$M:$M,"&gt;0")&lt;&gt;1,"",SUMIFS($I:$I,$C:$C,$C502,$D:$D,$D502,$E:$E,"P0(전)"))</f>
        <v/>
      </c>
      <c r="P502" s="31">
        <f>IF(COUNTIFS($C:$C,$C502,$D:$D,$D502,$E:$E,"P0(전)",$M:$M,"&gt;0")&lt;&gt;1,"",SUMIFS($M:$M,$C:$C,$C502,$D:$D,$D502,$E:$E,"P0(전)"))</f>
        <v/>
      </c>
      <c r="Q502" s="48">
        <f>IF(COUNTIFS($C:$C,$C502,$D:$D,$D502,$E:$E,"P0(후)",$M:$M,"&gt;0")&lt;&gt;1,"",SUMIFS($I:$I,$C:$C,$C502,$D:$D,$D502,$E:$E,"P0(후)"))</f>
        <v/>
      </c>
      <c r="R502" s="31">
        <f>IF(COUNTIFS($C:$C,$C502,$D:$D,$D502,$E:$E,"P0(후)",$M:$M,"&gt;0")&lt;&gt;1,"",SUMIFS($M:$M,$C:$C,$C502,$D:$D,$D502,$E:$E,"P0(후)"))</f>
        <v/>
      </c>
      <c r="S502" s="31">
        <f>IF(N502&lt;&gt;"OK","",P502+(R502-P502)*(I502-O502)/(Q502-O502))</f>
        <v/>
      </c>
      <c r="T502" s="31">
        <f>IF(OR(N502&lt;&gt;"OK",NOT(ISNUMBER(M502))),"",M502-S502)</f>
        <v/>
      </c>
      <c r="U502" s="49">
        <f>IF(OR(NOT(ISNUMBER(T502)),IF(ISNUMBER(H502),H502,G502)=0),"",T502/IF(ISNUMBER(H502),H502,G502))</f>
        <v/>
      </c>
      <c r="V502" s="49">
        <f>IF(ISNUMBER(U502),ABS(U502),"")</f>
        <v/>
      </c>
      <c r="W502" s="49">
        <f>IF(OR($E501&lt;&gt;"측정",$C501&lt;&gt;$C502,$D501&lt;&gt;$D502,NOT(ISNUMBER(M502)),NOT(ISNUMBER(M501)),(IF(ISNUMBER(H502),H502,G502)-IF(ISNUMBER(H501),H501,G501))=0),"",(M502-M501)/(IF(ISNUMBER(H502),H502,G502)-IF(ISNUMBER(H501),H501,G501)))</f>
        <v/>
      </c>
      <c r="X502" s="31">
        <f>IF(NOT(AND(ISNUMBER(O502),ISNUMBER(Q502))),"",(Q502-O502)*1440)</f>
        <v/>
      </c>
      <c r="Y502" s="29" t="n"/>
      <c r="Z502" s="29" t="n"/>
      <c r="AA502" s="29" t="n"/>
      <c r="AB502" s="32" t="n"/>
      <c r="AC502" s="32" t="n"/>
    </row>
    <row r="503">
      <c r="A503" s="26" t="inlineStr">
        <is>
          <t>S10</t>
        </is>
      </c>
      <c r="B503" s="26" t="inlineStr">
        <is>
          <t>예안 신규점1</t>
        </is>
      </c>
      <c r="C503" s="26" t="inlineStr">
        <is>
          <t>S10-H남</t>
        </is>
      </c>
      <c r="D503" s="47" t="n">
        <v>1</v>
      </c>
      <c r="E503" s="26" t="inlineStr">
        <is>
          <t>측정</t>
        </is>
      </c>
      <c r="F503" s="26" t="inlineStr">
        <is>
          <t>남</t>
        </is>
      </c>
      <c r="G503" s="31" t="n">
        <v>2</v>
      </c>
      <c r="H503" s="30" t="n"/>
      <c r="I503" s="43" t="n"/>
      <c r="J503" s="41" t="n"/>
      <c r="K503" s="41" t="n"/>
      <c r="L503" s="41" t="n"/>
      <c r="M503" s="31">
        <f>IF(COUNT(J503:L503)=0,"",MEDIAN(J503:L503))</f>
        <v/>
      </c>
      <c r="N503" s="26">
        <f>IF(COUNTIFS($C:$C,$C503,$D:$D,$D503,$E:$E,"P0(전)",$M:$M,"&gt;0")&lt;&gt;1,"P0(전) 유효 1개 아님",IF(COUNTIFS($C:$C,$C503,$D:$D,$D503,$E:$E,"P0(후)",$M:$M,"&gt;0")&lt;&gt;1,"P0(후) 유효 1개 아님",IF(NOT(AND(ISNUMBER(O503),ISNUMBER(Q503),ISNUMBER(I503))),"시각 결측",IF(Q503&lt;=O503,"P0 시각 역전",IF(OR(I503&lt;O503,I503&gt;Q503),"측정시각 구간 밖","OK")))))</f>
        <v/>
      </c>
      <c r="O503" s="48">
        <f>IF(COUNTIFS($C:$C,$C503,$D:$D,$D503,$E:$E,"P0(전)",$M:$M,"&gt;0")&lt;&gt;1,"",SUMIFS($I:$I,$C:$C,$C503,$D:$D,$D503,$E:$E,"P0(전)"))</f>
        <v/>
      </c>
      <c r="P503" s="31">
        <f>IF(COUNTIFS($C:$C,$C503,$D:$D,$D503,$E:$E,"P0(전)",$M:$M,"&gt;0")&lt;&gt;1,"",SUMIFS($M:$M,$C:$C,$C503,$D:$D,$D503,$E:$E,"P0(전)"))</f>
        <v/>
      </c>
      <c r="Q503" s="48">
        <f>IF(COUNTIFS($C:$C,$C503,$D:$D,$D503,$E:$E,"P0(후)",$M:$M,"&gt;0")&lt;&gt;1,"",SUMIFS($I:$I,$C:$C,$C503,$D:$D,$D503,$E:$E,"P0(후)"))</f>
        <v/>
      </c>
      <c r="R503" s="31">
        <f>IF(COUNTIFS($C:$C,$C503,$D:$D,$D503,$E:$E,"P0(후)",$M:$M,"&gt;0")&lt;&gt;1,"",SUMIFS($M:$M,$C:$C,$C503,$D:$D,$D503,$E:$E,"P0(후)"))</f>
        <v/>
      </c>
      <c r="S503" s="31">
        <f>IF(N503&lt;&gt;"OK","",P503+(R503-P503)*(I503-O503)/(Q503-O503))</f>
        <v/>
      </c>
      <c r="T503" s="31">
        <f>IF(OR(N503&lt;&gt;"OK",NOT(ISNUMBER(M503))),"",M503-S503)</f>
        <v/>
      </c>
      <c r="U503" s="49">
        <f>IF(OR(NOT(ISNUMBER(T503)),IF(ISNUMBER(H503),H503,G503)=0),"",T503/IF(ISNUMBER(H503),H503,G503))</f>
        <v/>
      </c>
      <c r="V503" s="49">
        <f>IF(ISNUMBER(U503),ABS(U503),"")</f>
        <v/>
      </c>
      <c r="W503" s="49">
        <f>IF(OR($E502&lt;&gt;"측정",$C502&lt;&gt;$C503,$D502&lt;&gt;$D503,NOT(ISNUMBER(M503)),NOT(ISNUMBER(M502)),(IF(ISNUMBER(H503),H503,G503)-IF(ISNUMBER(H502),H502,G502))=0),"",(M503-M502)/(IF(ISNUMBER(H503),H503,G503)-IF(ISNUMBER(H502),H502,G502)))</f>
        <v/>
      </c>
      <c r="X503" s="31">
        <f>IF(NOT(AND(ISNUMBER(O503),ISNUMBER(Q503))),"",(Q503-O503)*1440)</f>
        <v/>
      </c>
      <c r="Y503" s="29" t="n"/>
      <c r="Z503" s="29" t="n"/>
      <c r="AA503" s="29" t="n"/>
      <c r="AB503" s="32" t="n"/>
      <c r="AC503" s="32" t="n"/>
    </row>
    <row r="504">
      <c r="A504" s="26" t="inlineStr">
        <is>
          <t>S10</t>
        </is>
      </c>
      <c r="B504" s="26" t="inlineStr">
        <is>
          <t>예안 신규점1</t>
        </is>
      </c>
      <c r="C504" s="26" t="inlineStr">
        <is>
          <t>S10-H남</t>
        </is>
      </c>
      <c r="D504" s="47" t="n">
        <v>1</v>
      </c>
      <c r="E504" s="26" t="inlineStr">
        <is>
          <t>측정</t>
        </is>
      </c>
      <c r="F504" s="26" t="inlineStr">
        <is>
          <t>남</t>
        </is>
      </c>
      <c r="G504" s="31" t="n">
        <v>3</v>
      </c>
      <c r="H504" s="30" t="n"/>
      <c r="I504" s="43" t="n"/>
      <c r="J504" s="41" t="n"/>
      <c r="K504" s="41" t="n"/>
      <c r="L504" s="41" t="n"/>
      <c r="M504" s="31">
        <f>IF(COUNT(J504:L504)=0,"",MEDIAN(J504:L504))</f>
        <v/>
      </c>
      <c r="N504" s="26">
        <f>IF(COUNTIFS($C:$C,$C504,$D:$D,$D504,$E:$E,"P0(전)",$M:$M,"&gt;0")&lt;&gt;1,"P0(전) 유효 1개 아님",IF(COUNTIFS($C:$C,$C504,$D:$D,$D504,$E:$E,"P0(후)",$M:$M,"&gt;0")&lt;&gt;1,"P0(후) 유효 1개 아님",IF(NOT(AND(ISNUMBER(O504),ISNUMBER(Q504),ISNUMBER(I504))),"시각 결측",IF(Q504&lt;=O504,"P0 시각 역전",IF(OR(I504&lt;O504,I504&gt;Q504),"측정시각 구간 밖","OK")))))</f>
        <v/>
      </c>
      <c r="O504" s="48">
        <f>IF(COUNTIFS($C:$C,$C504,$D:$D,$D504,$E:$E,"P0(전)",$M:$M,"&gt;0")&lt;&gt;1,"",SUMIFS($I:$I,$C:$C,$C504,$D:$D,$D504,$E:$E,"P0(전)"))</f>
        <v/>
      </c>
      <c r="P504" s="31">
        <f>IF(COUNTIFS($C:$C,$C504,$D:$D,$D504,$E:$E,"P0(전)",$M:$M,"&gt;0")&lt;&gt;1,"",SUMIFS($M:$M,$C:$C,$C504,$D:$D,$D504,$E:$E,"P0(전)"))</f>
        <v/>
      </c>
      <c r="Q504" s="48">
        <f>IF(COUNTIFS($C:$C,$C504,$D:$D,$D504,$E:$E,"P0(후)",$M:$M,"&gt;0")&lt;&gt;1,"",SUMIFS($I:$I,$C:$C,$C504,$D:$D,$D504,$E:$E,"P0(후)"))</f>
        <v/>
      </c>
      <c r="R504" s="31">
        <f>IF(COUNTIFS($C:$C,$C504,$D:$D,$D504,$E:$E,"P0(후)",$M:$M,"&gt;0")&lt;&gt;1,"",SUMIFS($M:$M,$C:$C,$C504,$D:$D,$D504,$E:$E,"P0(후)"))</f>
        <v/>
      </c>
      <c r="S504" s="31">
        <f>IF(N504&lt;&gt;"OK","",P504+(R504-P504)*(I504-O504)/(Q504-O504))</f>
        <v/>
      </c>
      <c r="T504" s="31">
        <f>IF(OR(N504&lt;&gt;"OK",NOT(ISNUMBER(M504))),"",M504-S504)</f>
        <v/>
      </c>
      <c r="U504" s="49">
        <f>IF(OR(NOT(ISNUMBER(T504)),IF(ISNUMBER(H504),H504,G504)=0),"",T504/IF(ISNUMBER(H504),H504,G504))</f>
        <v/>
      </c>
      <c r="V504" s="49">
        <f>IF(ISNUMBER(U504),ABS(U504),"")</f>
        <v/>
      </c>
      <c r="W504" s="49">
        <f>IF(OR($E503&lt;&gt;"측정",$C503&lt;&gt;$C504,$D503&lt;&gt;$D504,NOT(ISNUMBER(M504)),NOT(ISNUMBER(M503)),(IF(ISNUMBER(H504),H504,G504)-IF(ISNUMBER(H503),H503,G503))=0),"",(M504-M503)/(IF(ISNUMBER(H504),H504,G504)-IF(ISNUMBER(H503),H503,G503)))</f>
        <v/>
      </c>
      <c r="X504" s="31">
        <f>IF(NOT(AND(ISNUMBER(O504),ISNUMBER(Q504))),"",(Q504-O504)*1440)</f>
        <v/>
      </c>
      <c r="Y504" s="29" t="n"/>
      <c r="Z504" s="29" t="n"/>
      <c r="AA504" s="29" t="n"/>
      <c r="AB504" s="32" t="n"/>
      <c r="AC504" s="32" t="n"/>
    </row>
    <row r="505">
      <c r="A505" s="26" t="inlineStr">
        <is>
          <t>S10</t>
        </is>
      </c>
      <c r="B505" s="26" t="inlineStr">
        <is>
          <t>예안 신규점1</t>
        </is>
      </c>
      <c r="C505" s="26" t="inlineStr">
        <is>
          <t>S10-H남</t>
        </is>
      </c>
      <c r="D505" s="47" t="n">
        <v>1</v>
      </c>
      <c r="E505" s="26" t="inlineStr">
        <is>
          <t>측정</t>
        </is>
      </c>
      <c r="F505" s="26" t="inlineStr">
        <is>
          <t>남</t>
        </is>
      </c>
      <c r="G505" s="31" t="n">
        <v>4</v>
      </c>
      <c r="H505" s="30" t="n"/>
      <c r="I505" s="43" t="n"/>
      <c r="J505" s="41" t="n"/>
      <c r="K505" s="41" t="n"/>
      <c r="L505" s="41" t="n"/>
      <c r="M505" s="31">
        <f>IF(COUNT(J505:L505)=0,"",MEDIAN(J505:L505))</f>
        <v/>
      </c>
      <c r="N505" s="26">
        <f>IF(COUNTIFS($C:$C,$C505,$D:$D,$D505,$E:$E,"P0(전)",$M:$M,"&gt;0")&lt;&gt;1,"P0(전) 유효 1개 아님",IF(COUNTIFS($C:$C,$C505,$D:$D,$D505,$E:$E,"P0(후)",$M:$M,"&gt;0")&lt;&gt;1,"P0(후) 유효 1개 아님",IF(NOT(AND(ISNUMBER(O505),ISNUMBER(Q505),ISNUMBER(I505))),"시각 결측",IF(Q505&lt;=O505,"P0 시각 역전",IF(OR(I505&lt;O505,I505&gt;Q505),"측정시각 구간 밖","OK")))))</f>
        <v/>
      </c>
      <c r="O505" s="48">
        <f>IF(COUNTIFS($C:$C,$C505,$D:$D,$D505,$E:$E,"P0(전)",$M:$M,"&gt;0")&lt;&gt;1,"",SUMIFS($I:$I,$C:$C,$C505,$D:$D,$D505,$E:$E,"P0(전)"))</f>
        <v/>
      </c>
      <c r="P505" s="31">
        <f>IF(COUNTIFS($C:$C,$C505,$D:$D,$D505,$E:$E,"P0(전)",$M:$M,"&gt;0")&lt;&gt;1,"",SUMIFS($M:$M,$C:$C,$C505,$D:$D,$D505,$E:$E,"P0(전)"))</f>
        <v/>
      </c>
      <c r="Q505" s="48">
        <f>IF(COUNTIFS($C:$C,$C505,$D:$D,$D505,$E:$E,"P0(후)",$M:$M,"&gt;0")&lt;&gt;1,"",SUMIFS($I:$I,$C:$C,$C505,$D:$D,$D505,$E:$E,"P0(후)"))</f>
        <v/>
      </c>
      <c r="R505" s="31">
        <f>IF(COUNTIFS($C:$C,$C505,$D:$D,$D505,$E:$E,"P0(후)",$M:$M,"&gt;0")&lt;&gt;1,"",SUMIFS($M:$M,$C:$C,$C505,$D:$D,$D505,$E:$E,"P0(후)"))</f>
        <v/>
      </c>
      <c r="S505" s="31">
        <f>IF(N505&lt;&gt;"OK","",P505+(R505-P505)*(I505-O505)/(Q505-O505))</f>
        <v/>
      </c>
      <c r="T505" s="31">
        <f>IF(OR(N505&lt;&gt;"OK",NOT(ISNUMBER(M505))),"",M505-S505)</f>
        <v/>
      </c>
      <c r="U505" s="49">
        <f>IF(OR(NOT(ISNUMBER(T505)),IF(ISNUMBER(H505),H505,G505)=0),"",T505/IF(ISNUMBER(H505),H505,G505))</f>
        <v/>
      </c>
      <c r="V505" s="49">
        <f>IF(ISNUMBER(U505),ABS(U505),"")</f>
        <v/>
      </c>
      <c r="W505" s="49">
        <f>IF(OR($E504&lt;&gt;"측정",$C504&lt;&gt;$C505,$D504&lt;&gt;$D505,NOT(ISNUMBER(M505)),NOT(ISNUMBER(M504)),(IF(ISNUMBER(H505),H505,G505)-IF(ISNUMBER(H504),H504,G504))=0),"",(M505-M504)/(IF(ISNUMBER(H505),H505,G505)-IF(ISNUMBER(H504),H504,G504)))</f>
        <v/>
      </c>
      <c r="X505" s="31">
        <f>IF(NOT(AND(ISNUMBER(O505),ISNUMBER(Q505))),"",(Q505-O505)*1440)</f>
        <v/>
      </c>
      <c r="Y505" s="29" t="n"/>
      <c r="Z505" s="29" t="n"/>
      <c r="AA505" s="29" t="n"/>
      <c r="AB505" s="32" t="n"/>
      <c r="AC505" s="32" t="n"/>
    </row>
    <row r="506">
      <c r="A506" s="26" t="inlineStr">
        <is>
          <t>S10</t>
        </is>
      </c>
      <c r="B506" s="26" t="inlineStr">
        <is>
          <t>예안 신규점1</t>
        </is>
      </c>
      <c r="C506" s="26" t="inlineStr">
        <is>
          <t>S10-H남</t>
        </is>
      </c>
      <c r="D506" s="47" t="n">
        <v>1</v>
      </c>
      <c r="E506" s="26" t="inlineStr">
        <is>
          <t>측정</t>
        </is>
      </c>
      <c r="F506" s="26" t="inlineStr">
        <is>
          <t>남</t>
        </is>
      </c>
      <c r="G506" s="31" t="n">
        <v>5</v>
      </c>
      <c r="H506" s="30" t="n"/>
      <c r="I506" s="43" t="n"/>
      <c r="J506" s="41" t="n"/>
      <c r="K506" s="41" t="n"/>
      <c r="L506" s="41" t="n"/>
      <c r="M506" s="31">
        <f>IF(COUNT(J506:L506)=0,"",MEDIAN(J506:L506))</f>
        <v/>
      </c>
      <c r="N506" s="26">
        <f>IF(COUNTIFS($C:$C,$C506,$D:$D,$D506,$E:$E,"P0(전)",$M:$M,"&gt;0")&lt;&gt;1,"P0(전) 유효 1개 아님",IF(COUNTIFS($C:$C,$C506,$D:$D,$D506,$E:$E,"P0(후)",$M:$M,"&gt;0")&lt;&gt;1,"P0(후) 유효 1개 아님",IF(NOT(AND(ISNUMBER(O506),ISNUMBER(Q506),ISNUMBER(I506))),"시각 결측",IF(Q506&lt;=O506,"P0 시각 역전",IF(OR(I506&lt;O506,I506&gt;Q506),"측정시각 구간 밖","OK")))))</f>
        <v/>
      </c>
      <c r="O506" s="48">
        <f>IF(COUNTIFS($C:$C,$C506,$D:$D,$D506,$E:$E,"P0(전)",$M:$M,"&gt;0")&lt;&gt;1,"",SUMIFS($I:$I,$C:$C,$C506,$D:$D,$D506,$E:$E,"P0(전)"))</f>
        <v/>
      </c>
      <c r="P506" s="31">
        <f>IF(COUNTIFS($C:$C,$C506,$D:$D,$D506,$E:$E,"P0(전)",$M:$M,"&gt;0")&lt;&gt;1,"",SUMIFS($M:$M,$C:$C,$C506,$D:$D,$D506,$E:$E,"P0(전)"))</f>
        <v/>
      </c>
      <c r="Q506" s="48">
        <f>IF(COUNTIFS($C:$C,$C506,$D:$D,$D506,$E:$E,"P0(후)",$M:$M,"&gt;0")&lt;&gt;1,"",SUMIFS($I:$I,$C:$C,$C506,$D:$D,$D506,$E:$E,"P0(후)"))</f>
        <v/>
      </c>
      <c r="R506" s="31">
        <f>IF(COUNTIFS($C:$C,$C506,$D:$D,$D506,$E:$E,"P0(후)",$M:$M,"&gt;0")&lt;&gt;1,"",SUMIFS($M:$M,$C:$C,$C506,$D:$D,$D506,$E:$E,"P0(후)"))</f>
        <v/>
      </c>
      <c r="S506" s="31">
        <f>IF(N506&lt;&gt;"OK","",P506+(R506-P506)*(I506-O506)/(Q506-O506))</f>
        <v/>
      </c>
      <c r="T506" s="31">
        <f>IF(OR(N506&lt;&gt;"OK",NOT(ISNUMBER(M506))),"",M506-S506)</f>
        <v/>
      </c>
      <c r="U506" s="49">
        <f>IF(OR(NOT(ISNUMBER(T506)),IF(ISNUMBER(H506),H506,G506)=0),"",T506/IF(ISNUMBER(H506),H506,G506))</f>
        <v/>
      </c>
      <c r="V506" s="49">
        <f>IF(ISNUMBER(U506),ABS(U506),"")</f>
        <v/>
      </c>
      <c r="W506" s="49">
        <f>IF(OR($E505&lt;&gt;"측정",$C505&lt;&gt;$C506,$D505&lt;&gt;$D506,NOT(ISNUMBER(M506)),NOT(ISNUMBER(M505)),(IF(ISNUMBER(H506),H506,G506)-IF(ISNUMBER(H505),H505,G505))=0),"",(M506-M505)/(IF(ISNUMBER(H506),H506,G506)-IF(ISNUMBER(H505),H505,G505)))</f>
        <v/>
      </c>
      <c r="X506" s="31">
        <f>IF(NOT(AND(ISNUMBER(O506),ISNUMBER(Q506))),"",(Q506-O506)*1440)</f>
        <v/>
      </c>
      <c r="Y506" s="29" t="n"/>
      <c r="Z506" s="29" t="n"/>
      <c r="AA506" s="29" t="n"/>
      <c r="AB506" s="32" t="n"/>
      <c r="AC506" s="32" t="n"/>
    </row>
    <row r="507">
      <c r="A507" s="26" t="inlineStr">
        <is>
          <t>S10</t>
        </is>
      </c>
      <c r="B507" s="26" t="inlineStr">
        <is>
          <t>예안 신규점1</t>
        </is>
      </c>
      <c r="C507" s="26" t="inlineStr">
        <is>
          <t>S10-H남</t>
        </is>
      </c>
      <c r="D507" s="47" t="n">
        <v>1</v>
      </c>
      <c r="E507" s="26" t="inlineStr">
        <is>
          <t>측정</t>
        </is>
      </c>
      <c r="F507" s="26" t="inlineStr">
        <is>
          <t>남</t>
        </is>
      </c>
      <c r="G507" s="31" t="n">
        <v>6</v>
      </c>
      <c r="H507" s="30" t="n"/>
      <c r="I507" s="43" t="n"/>
      <c r="J507" s="41" t="n"/>
      <c r="K507" s="41" t="n"/>
      <c r="L507" s="41" t="n"/>
      <c r="M507" s="31">
        <f>IF(COUNT(J507:L507)=0,"",MEDIAN(J507:L507))</f>
        <v/>
      </c>
      <c r="N507" s="26">
        <f>IF(COUNTIFS($C:$C,$C507,$D:$D,$D507,$E:$E,"P0(전)",$M:$M,"&gt;0")&lt;&gt;1,"P0(전) 유효 1개 아님",IF(COUNTIFS($C:$C,$C507,$D:$D,$D507,$E:$E,"P0(후)",$M:$M,"&gt;0")&lt;&gt;1,"P0(후) 유효 1개 아님",IF(NOT(AND(ISNUMBER(O507),ISNUMBER(Q507),ISNUMBER(I507))),"시각 결측",IF(Q507&lt;=O507,"P0 시각 역전",IF(OR(I507&lt;O507,I507&gt;Q507),"측정시각 구간 밖","OK")))))</f>
        <v/>
      </c>
      <c r="O507" s="48">
        <f>IF(COUNTIFS($C:$C,$C507,$D:$D,$D507,$E:$E,"P0(전)",$M:$M,"&gt;0")&lt;&gt;1,"",SUMIFS($I:$I,$C:$C,$C507,$D:$D,$D507,$E:$E,"P0(전)"))</f>
        <v/>
      </c>
      <c r="P507" s="31">
        <f>IF(COUNTIFS($C:$C,$C507,$D:$D,$D507,$E:$E,"P0(전)",$M:$M,"&gt;0")&lt;&gt;1,"",SUMIFS($M:$M,$C:$C,$C507,$D:$D,$D507,$E:$E,"P0(전)"))</f>
        <v/>
      </c>
      <c r="Q507" s="48">
        <f>IF(COUNTIFS($C:$C,$C507,$D:$D,$D507,$E:$E,"P0(후)",$M:$M,"&gt;0")&lt;&gt;1,"",SUMIFS($I:$I,$C:$C,$C507,$D:$D,$D507,$E:$E,"P0(후)"))</f>
        <v/>
      </c>
      <c r="R507" s="31">
        <f>IF(COUNTIFS($C:$C,$C507,$D:$D,$D507,$E:$E,"P0(후)",$M:$M,"&gt;0")&lt;&gt;1,"",SUMIFS($M:$M,$C:$C,$C507,$D:$D,$D507,$E:$E,"P0(후)"))</f>
        <v/>
      </c>
      <c r="S507" s="31">
        <f>IF(N507&lt;&gt;"OK","",P507+(R507-P507)*(I507-O507)/(Q507-O507))</f>
        <v/>
      </c>
      <c r="T507" s="31">
        <f>IF(OR(N507&lt;&gt;"OK",NOT(ISNUMBER(M507))),"",M507-S507)</f>
        <v/>
      </c>
      <c r="U507" s="49">
        <f>IF(OR(NOT(ISNUMBER(T507)),IF(ISNUMBER(H507),H507,G507)=0),"",T507/IF(ISNUMBER(H507),H507,G507))</f>
        <v/>
      </c>
      <c r="V507" s="49">
        <f>IF(ISNUMBER(U507),ABS(U507),"")</f>
        <v/>
      </c>
      <c r="W507" s="49">
        <f>IF(OR($E506&lt;&gt;"측정",$C506&lt;&gt;$C507,$D506&lt;&gt;$D507,NOT(ISNUMBER(M507)),NOT(ISNUMBER(M506)),(IF(ISNUMBER(H507),H507,G507)-IF(ISNUMBER(H506),H506,G506))=0),"",(M507-M506)/(IF(ISNUMBER(H507),H507,G507)-IF(ISNUMBER(H506),H506,G506)))</f>
        <v/>
      </c>
      <c r="X507" s="31">
        <f>IF(NOT(AND(ISNUMBER(O507),ISNUMBER(Q507))),"",(Q507-O507)*1440)</f>
        <v/>
      </c>
      <c r="Y507" s="29" t="n"/>
      <c r="Z507" s="29" t="n"/>
      <c r="AA507" s="29" t="n"/>
      <c r="AB507" s="32" t="n"/>
      <c r="AC507" s="32" t="n"/>
    </row>
    <row r="508">
      <c r="A508" s="26" t="inlineStr">
        <is>
          <t>S10</t>
        </is>
      </c>
      <c r="B508" s="26" t="inlineStr">
        <is>
          <t>예안 신규점1</t>
        </is>
      </c>
      <c r="C508" s="26" t="inlineStr">
        <is>
          <t>S10-H남</t>
        </is>
      </c>
      <c r="D508" s="47" t="n">
        <v>1</v>
      </c>
      <c r="E508" s="26" t="inlineStr">
        <is>
          <t>측정</t>
        </is>
      </c>
      <c r="F508" s="26" t="inlineStr">
        <is>
          <t>남</t>
        </is>
      </c>
      <c r="G508" s="31" t="n">
        <v>7</v>
      </c>
      <c r="H508" s="30" t="n"/>
      <c r="I508" s="43" t="n"/>
      <c r="J508" s="41" t="n"/>
      <c r="K508" s="41" t="n"/>
      <c r="L508" s="41" t="n"/>
      <c r="M508" s="31">
        <f>IF(COUNT(J508:L508)=0,"",MEDIAN(J508:L508))</f>
        <v/>
      </c>
      <c r="N508" s="26">
        <f>IF(COUNTIFS($C:$C,$C508,$D:$D,$D508,$E:$E,"P0(전)",$M:$M,"&gt;0")&lt;&gt;1,"P0(전) 유효 1개 아님",IF(COUNTIFS($C:$C,$C508,$D:$D,$D508,$E:$E,"P0(후)",$M:$M,"&gt;0")&lt;&gt;1,"P0(후) 유효 1개 아님",IF(NOT(AND(ISNUMBER(O508),ISNUMBER(Q508),ISNUMBER(I508))),"시각 결측",IF(Q508&lt;=O508,"P0 시각 역전",IF(OR(I508&lt;O508,I508&gt;Q508),"측정시각 구간 밖","OK")))))</f>
        <v/>
      </c>
      <c r="O508" s="48">
        <f>IF(COUNTIFS($C:$C,$C508,$D:$D,$D508,$E:$E,"P0(전)",$M:$M,"&gt;0")&lt;&gt;1,"",SUMIFS($I:$I,$C:$C,$C508,$D:$D,$D508,$E:$E,"P0(전)"))</f>
        <v/>
      </c>
      <c r="P508" s="31">
        <f>IF(COUNTIFS($C:$C,$C508,$D:$D,$D508,$E:$E,"P0(전)",$M:$M,"&gt;0")&lt;&gt;1,"",SUMIFS($M:$M,$C:$C,$C508,$D:$D,$D508,$E:$E,"P0(전)"))</f>
        <v/>
      </c>
      <c r="Q508" s="48">
        <f>IF(COUNTIFS($C:$C,$C508,$D:$D,$D508,$E:$E,"P0(후)",$M:$M,"&gt;0")&lt;&gt;1,"",SUMIFS($I:$I,$C:$C,$C508,$D:$D,$D508,$E:$E,"P0(후)"))</f>
        <v/>
      </c>
      <c r="R508" s="31">
        <f>IF(COUNTIFS($C:$C,$C508,$D:$D,$D508,$E:$E,"P0(후)",$M:$M,"&gt;0")&lt;&gt;1,"",SUMIFS($M:$M,$C:$C,$C508,$D:$D,$D508,$E:$E,"P0(후)"))</f>
        <v/>
      </c>
      <c r="S508" s="31">
        <f>IF(N508&lt;&gt;"OK","",P508+(R508-P508)*(I508-O508)/(Q508-O508))</f>
        <v/>
      </c>
      <c r="T508" s="31">
        <f>IF(OR(N508&lt;&gt;"OK",NOT(ISNUMBER(M508))),"",M508-S508)</f>
        <v/>
      </c>
      <c r="U508" s="49">
        <f>IF(OR(NOT(ISNUMBER(T508)),IF(ISNUMBER(H508),H508,G508)=0),"",T508/IF(ISNUMBER(H508),H508,G508))</f>
        <v/>
      </c>
      <c r="V508" s="49">
        <f>IF(ISNUMBER(U508),ABS(U508),"")</f>
        <v/>
      </c>
      <c r="W508" s="49">
        <f>IF(OR($E507&lt;&gt;"측정",$C507&lt;&gt;$C508,$D507&lt;&gt;$D508,NOT(ISNUMBER(M508)),NOT(ISNUMBER(M507)),(IF(ISNUMBER(H508),H508,G508)-IF(ISNUMBER(H507),H507,G507))=0),"",(M508-M507)/(IF(ISNUMBER(H508),H508,G508)-IF(ISNUMBER(H507),H507,G507)))</f>
        <v/>
      </c>
      <c r="X508" s="31">
        <f>IF(NOT(AND(ISNUMBER(O508),ISNUMBER(Q508))),"",(Q508-O508)*1440)</f>
        <v/>
      </c>
      <c r="Y508" s="29" t="n"/>
      <c r="Z508" s="29" t="n"/>
      <c r="AA508" s="29" t="n"/>
      <c r="AB508" s="32" t="n"/>
      <c r="AC508" s="32" t="n"/>
    </row>
    <row r="509">
      <c r="A509" s="26" t="inlineStr">
        <is>
          <t>S10</t>
        </is>
      </c>
      <c r="B509" s="26" t="inlineStr">
        <is>
          <t>예안 신규점1</t>
        </is>
      </c>
      <c r="C509" s="26" t="inlineStr">
        <is>
          <t>S10-H남</t>
        </is>
      </c>
      <c r="D509" s="47" t="n">
        <v>1</v>
      </c>
      <c r="E509" s="26" t="inlineStr">
        <is>
          <t>측정</t>
        </is>
      </c>
      <c r="F509" s="26" t="inlineStr">
        <is>
          <t>남</t>
        </is>
      </c>
      <c r="G509" s="31" t="n">
        <v>8</v>
      </c>
      <c r="H509" s="30" t="n"/>
      <c r="I509" s="43" t="n"/>
      <c r="J509" s="41" t="n"/>
      <c r="K509" s="41" t="n"/>
      <c r="L509" s="41" t="n"/>
      <c r="M509" s="31">
        <f>IF(COUNT(J509:L509)=0,"",MEDIAN(J509:L509))</f>
        <v/>
      </c>
      <c r="N509" s="26">
        <f>IF(COUNTIFS($C:$C,$C509,$D:$D,$D509,$E:$E,"P0(전)",$M:$M,"&gt;0")&lt;&gt;1,"P0(전) 유효 1개 아님",IF(COUNTIFS($C:$C,$C509,$D:$D,$D509,$E:$E,"P0(후)",$M:$M,"&gt;0")&lt;&gt;1,"P0(후) 유효 1개 아님",IF(NOT(AND(ISNUMBER(O509),ISNUMBER(Q509),ISNUMBER(I509))),"시각 결측",IF(Q509&lt;=O509,"P0 시각 역전",IF(OR(I509&lt;O509,I509&gt;Q509),"측정시각 구간 밖","OK")))))</f>
        <v/>
      </c>
      <c r="O509" s="48">
        <f>IF(COUNTIFS($C:$C,$C509,$D:$D,$D509,$E:$E,"P0(전)",$M:$M,"&gt;0")&lt;&gt;1,"",SUMIFS($I:$I,$C:$C,$C509,$D:$D,$D509,$E:$E,"P0(전)"))</f>
        <v/>
      </c>
      <c r="P509" s="31">
        <f>IF(COUNTIFS($C:$C,$C509,$D:$D,$D509,$E:$E,"P0(전)",$M:$M,"&gt;0")&lt;&gt;1,"",SUMIFS($M:$M,$C:$C,$C509,$D:$D,$D509,$E:$E,"P0(전)"))</f>
        <v/>
      </c>
      <c r="Q509" s="48">
        <f>IF(COUNTIFS($C:$C,$C509,$D:$D,$D509,$E:$E,"P0(후)",$M:$M,"&gt;0")&lt;&gt;1,"",SUMIFS($I:$I,$C:$C,$C509,$D:$D,$D509,$E:$E,"P0(후)"))</f>
        <v/>
      </c>
      <c r="R509" s="31">
        <f>IF(COUNTIFS($C:$C,$C509,$D:$D,$D509,$E:$E,"P0(후)",$M:$M,"&gt;0")&lt;&gt;1,"",SUMIFS($M:$M,$C:$C,$C509,$D:$D,$D509,$E:$E,"P0(후)"))</f>
        <v/>
      </c>
      <c r="S509" s="31">
        <f>IF(N509&lt;&gt;"OK","",P509+(R509-P509)*(I509-O509)/(Q509-O509))</f>
        <v/>
      </c>
      <c r="T509" s="31">
        <f>IF(OR(N509&lt;&gt;"OK",NOT(ISNUMBER(M509))),"",M509-S509)</f>
        <v/>
      </c>
      <c r="U509" s="49">
        <f>IF(OR(NOT(ISNUMBER(T509)),IF(ISNUMBER(H509),H509,G509)=0),"",T509/IF(ISNUMBER(H509),H509,G509))</f>
        <v/>
      </c>
      <c r="V509" s="49">
        <f>IF(ISNUMBER(U509),ABS(U509),"")</f>
        <v/>
      </c>
      <c r="W509" s="49">
        <f>IF(OR($E508&lt;&gt;"측정",$C508&lt;&gt;$C509,$D508&lt;&gt;$D509,NOT(ISNUMBER(M509)),NOT(ISNUMBER(M508)),(IF(ISNUMBER(H509),H509,G509)-IF(ISNUMBER(H508),H508,G508))=0),"",(M509-M508)/(IF(ISNUMBER(H509),H509,G509)-IF(ISNUMBER(H508),H508,G508)))</f>
        <v/>
      </c>
      <c r="X509" s="31">
        <f>IF(NOT(AND(ISNUMBER(O509),ISNUMBER(Q509))),"",(Q509-O509)*1440)</f>
        <v/>
      </c>
      <c r="Y509" s="29" t="n"/>
      <c r="Z509" s="29" t="n"/>
      <c r="AA509" s="29" t="n"/>
      <c r="AB509" s="32" t="n"/>
      <c r="AC509" s="32" t="n"/>
    </row>
    <row r="510">
      <c r="A510" s="26" t="inlineStr">
        <is>
          <t>S10</t>
        </is>
      </c>
      <c r="B510" s="26" t="inlineStr">
        <is>
          <t>예안 신규점1</t>
        </is>
      </c>
      <c r="C510" s="26" t="inlineStr">
        <is>
          <t>S10-H남</t>
        </is>
      </c>
      <c r="D510" s="47" t="n">
        <v>1</v>
      </c>
      <c r="E510" s="26" t="inlineStr">
        <is>
          <t>측정</t>
        </is>
      </c>
      <c r="F510" s="26" t="inlineStr">
        <is>
          <t>남</t>
        </is>
      </c>
      <c r="G510" s="31" t="n">
        <v>9</v>
      </c>
      <c r="H510" s="30" t="n"/>
      <c r="I510" s="43" t="n"/>
      <c r="J510" s="41" t="n"/>
      <c r="K510" s="41" t="n"/>
      <c r="L510" s="41" t="n"/>
      <c r="M510" s="31">
        <f>IF(COUNT(J510:L510)=0,"",MEDIAN(J510:L510))</f>
        <v/>
      </c>
      <c r="N510" s="26">
        <f>IF(COUNTIFS($C:$C,$C510,$D:$D,$D510,$E:$E,"P0(전)",$M:$M,"&gt;0")&lt;&gt;1,"P0(전) 유효 1개 아님",IF(COUNTIFS($C:$C,$C510,$D:$D,$D510,$E:$E,"P0(후)",$M:$M,"&gt;0")&lt;&gt;1,"P0(후) 유효 1개 아님",IF(NOT(AND(ISNUMBER(O510),ISNUMBER(Q510),ISNUMBER(I510))),"시각 결측",IF(Q510&lt;=O510,"P0 시각 역전",IF(OR(I510&lt;O510,I510&gt;Q510),"측정시각 구간 밖","OK")))))</f>
        <v/>
      </c>
      <c r="O510" s="48">
        <f>IF(COUNTIFS($C:$C,$C510,$D:$D,$D510,$E:$E,"P0(전)",$M:$M,"&gt;0")&lt;&gt;1,"",SUMIFS($I:$I,$C:$C,$C510,$D:$D,$D510,$E:$E,"P0(전)"))</f>
        <v/>
      </c>
      <c r="P510" s="31">
        <f>IF(COUNTIFS($C:$C,$C510,$D:$D,$D510,$E:$E,"P0(전)",$M:$M,"&gt;0")&lt;&gt;1,"",SUMIFS($M:$M,$C:$C,$C510,$D:$D,$D510,$E:$E,"P0(전)"))</f>
        <v/>
      </c>
      <c r="Q510" s="48">
        <f>IF(COUNTIFS($C:$C,$C510,$D:$D,$D510,$E:$E,"P0(후)",$M:$M,"&gt;0")&lt;&gt;1,"",SUMIFS($I:$I,$C:$C,$C510,$D:$D,$D510,$E:$E,"P0(후)"))</f>
        <v/>
      </c>
      <c r="R510" s="31">
        <f>IF(COUNTIFS($C:$C,$C510,$D:$D,$D510,$E:$E,"P0(후)",$M:$M,"&gt;0")&lt;&gt;1,"",SUMIFS($M:$M,$C:$C,$C510,$D:$D,$D510,$E:$E,"P0(후)"))</f>
        <v/>
      </c>
      <c r="S510" s="31">
        <f>IF(N510&lt;&gt;"OK","",P510+(R510-P510)*(I510-O510)/(Q510-O510))</f>
        <v/>
      </c>
      <c r="T510" s="31">
        <f>IF(OR(N510&lt;&gt;"OK",NOT(ISNUMBER(M510))),"",M510-S510)</f>
        <v/>
      </c>
      <c r="U510" s="49">
        <f>IF(OR(NOT(ISNUMBER(T510)),IF(ISNUMBER(H510),H510,G510)=0),"",T510/IF(ISNUMBER(H510),H510,G510))</f>
        <v/>
      </c>
      <c r="V510" s="49">
        <f>IF(ISNUMBER(U510),ABS(U510),"")</f>
        <v/>
      </c>
      <c r="W510" s="49">
        <f>IF(OR($E509&lt;&gt;"측정",$C509&lt;&gt;$C510,$D509&lt;&gt;$D510,NOT(ISNUMBER(M510)),NOT(ISNUMBER(M509)),(IF(ISNUMBER(H510),H510,G510)-IF(ISNUMBER(H509),H509,G509))=0),"",(M510-M509)/(IF(ISNUMBER(H510),H510,G510)-IF(ISNUMBER(H509),H509,G509)))</f>
        <v/>
      </c>
      <c r="X510" s="31">
        <f>IF(NOT(AND(ISNUMBER(O510),ISNUMBER(Q510))),"",(Q510-O510)*1440)</f>
        <v/>
      </c>
      <c r="Y510" s="29" t="n"/>
      <c r="Z510" s="29" t="n"/>
      <c r="AA510" s="29" t="n"/>
      <c r="AB510" s="32" t="n"/>
      <c r="AC510" s="32" t="n"/>
    </row>
    <row r="511">
      <c r="A511" s="26" t="inlineStr">
        <is>
          <t>S10</t>
        </is>
      </c>
      <c r="B511" s="26" t="inlineStr">
        <is>
          <t>예안 신규점1</t>
        </is>
      </c>
      <c r="C511" s="26" t="inlineStr">
        <is>
          <t>S10-H남</t>
        </is>
      </c>
      <c r="D511" s="47" t="n">
        <v>1</v>
      </c>
      <c r="E511" s="26" t="inlineStr">
        <is>
          <t>측정</t>
        </is>
      </c>
      <c r="F511" s="26" t="inlineStr">
        <is>
          <t>남</t>
        </is>
      </c>
      <c r="G511" s="31" t="n">
        <v>10</v>
      </c>
      <c r="H511" s="30" t="n"/>
      <c r="I511" s="43" t="n"/>
      <c r="J511" s="41" t="n"/>
      <c r="K511" s="41" t="n"/>
      <c r="L511" s="41" t="n"/>
      <c r="M511" s="31">
        <f>IF(COUNT(J511:L511)=0,"",MEDIAN(J511:L511))</f>
        <v/>
      </c>
      <c r="N511" s="26">
        <f>IF(COUNTIFS($C:$C,$C511,$D:$D,$D511,$E:$E,"P0(전)",$M:$M,"&gt;0")&lt;&gt;1,"P0(전) 유효 1개 아님",IF(COUNTIFS($C:$C,$C511,$D:$D,$D511,$E:$E,"P0(후)",$M:$M,"&gt;0")&lt;&gt;1,"P0(후) 유효 1개 아님",IF(NOT(AND(ISNUMBER(O511),ISNUMBER(Q511),ISNUMBER(I511))),"시각 결측",IF(Q511&lt;=O511,"P0 시각 역전",IF(OR(I511&lt;O511,I511&gt;Q511),"측정시각 구간 밖","OK")))))</f>
        <v/>
      </c>
      <c r="O511" s="48">
        <f>IF(COUNTIFS($C:$C,$C511,$D:$D,$D511,$E:$E,"P0(전)",$M:$M,"&gt;0")&lt;&gt;1,"",SUMIFS($I:$I,$C:$C,$C511,$D:$D,$D511,$E:$E,"P0(전)"))</f>
        <v/>
      </c>
      <c r="P511" s="31">
        <f>IF(COUNTIFS($C:$C,$C511,$D:$D,$D511,$E:$E,"P0(전)",$M:$M,"&gt;0")&lt;&gt;1,"",SUMIFS($M:$M,$C:$C,$C511,$D:$D,$D511,$E:$E,"P0(전)"))</f>
        <v/>
      </c>
      <c r="Q511" s="48">
        <f>IF(COUNTIFS($C:$C,$C511,$D:$D,$D511,$E:$E,"P0(후)",$M:$M,"&gt;0")&lt;&gt;1,"",SUMIFS($I:$I,$C:$C,$C511,$D:$D,$D511,$E:$E,"P0(후)"))</f>
        <v/>
      </c>
      <c r="R511" s="31">
        <f>IF(COUNTIFS($C:$C,$C511,$D:$D,$D511,$E:$E,"P0(후)",$M:$M,"&gt;0")&lt;&gt;1,"",SUMIFS($M:$M,$C:$C,$C511,$D:$D,$D511,$E:$E,"P0(후)"))</f>
        <v/>
      </c>
      <c r="S511" s="31">
        <f>IF(N511&lt;&gt;"OK","",P511+(R511-P511)*(I511-O511)/(Q511-O511))</f>
        <v/>
      </c>
      <c r="T511" s="31">
        <f>IF(OR(N511&lt;&gt;"OK",NOT(ISNUMBER(M511))),"",M511-S511)</f>
        <v/>
      </c>
      <c r="U511" s="49">
        <f>IF(OR(NOT(ISNUMBER(T511)),IF(ISNUMBER(H511),H511,G511)=0),"",T511/IF(ISNUMBER(H511),H511,G511))</f>
        <v/>
      </c>
      <c r="V511" s="49">
        <f>IF(ISNUMBER(U511),ABS(U511),"")</f>
        <v/>
      </c>
      <c r="W511" s="49">
        <f>IF(OR($E510&lt;&gt;"측정",$C510&lt;&gt;$C511,$D510&lt;&gt;$D511,NOT(ISNUMBER(M511)),NOT(ISNUMBER(M510)),(IF(ISNUMBER(H511),H511,G511)-IF(ISNUMBER(H510),H510,G510))=0),"",(M511-M510)/(IF(ISNUMBER(H511),H511,G511)-IF(ISNUMBER(H510),H510,G510)))</f>
        <v/>
      </c>
      <c r="X511" s="31">
        <f>IF(NOT(AND(ISNUMBER(O511),ISNUMBER(Q511))),"",(Q511-O511)*1440)</f>
        <v/>
      </c>
      <c r="Y511" s="29" t="n"/>
      <c r="Z511" s="29" t="n"/>
      <c r="AA511" s="29" t="n"/>
      <c r="AB511" s="32" t="n"/>
      <c r="AC511" s="32" t="n"/>
    </row>
    <row r="512">
      <c r="A512" s="44" t="inlineStr">
        <is>
          <t>S10</t>
        </is>
      </c>
      <c r="B512" s="44" t="inlineStr">
        <is>
          <t>예안 신규점1</t>
        </is>
      </c>
      <c r="C512" s="44" t="inlineStr">
        <is>
          <t>S10-H남</t>
        </is>
      </c>
      <c r="D512" s="45" t="n">
        <v>1</v>
      </c>
      <c r="E512" s="44" t="inlineStr">
        <is>
          <t>P0(후)</t>
        </is>
      </c>
      <c r="F512" s="44" t="inlineStr">
        <is>
          <t>남</t>
        </is>
      </c>
      <c r="G512" s="46" t="n"/>
      <c r="H512" s="30" t="n"/>
      <c r="I512" s="43" t="n"/>
      <c r="J512" s="41" t="n"/>
      <c r="K512" s="41" t="n"/>
      <c r="L512" s="41" t="n"/>
      <c r="M512" s="31">
        <f>IF(COUNT(J512:L512)=0,"",MEDIAN(J512:L512))</f>
        <v/>
      </c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38" t="n"/>
      <c r="Y512" s="29" t="n"/>
      <c r="Z512" s="29" t="n"/>
      <c r="AA512" s="29" t="n"/>
      <c r="AB512" s="32" t="n"/>
      <c r="AC512" s="32" t="n"/>
    </row>
    <row r="513">
      <c r="A513" s="44" t="inlineStr">
        <is>
          <t>S10</t>
        </is>
      </c>
      <c r="B513" s="44" t="inlineStr">
        <is>
          <t>예안 신규점1</t>
        </is>
      </c>
      <c r="C513" s="44" t="inlineStr">
        <is>
          <t>S10-H북</t>
        </is>
      </c>
      <c r="D513" s="45" t="n">
        <v>1</v>
      </c>
      <c r="E513" s="44" t="inlineStr">
        <is>
          <t>P0(전)</t>
        </is>
      </c>
      <c r="F513" s="44" t="inlineStr">
        <is>
          <t>북</t>
        </is>
      </c>
      <c r="G513" s="46" t="n"/>
      <c r="H513" s="30" t="n"/>
      <c r="I513" s="43" t="n"/>
      <c r="J513" s="41" t="n"/>
      <c r="K513" s="41" t="n"/>
      <c r="L513" s="41" t="n"/>
      <c r="M513" s="31">
        <f>IF(COUNT(J513:L513)=0,"",MEDIAN(J513:L513))</f>
        <v/>
      </c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  <c r="X513" s="38" t="n"/>
      <c r="Y513" s="29" t="n"/>
      <c r="Z513" s="29" t="n"/>
      <c r="AA513" s="29" t="n"/>
      <c r="AB513" s="32" t="n"/>
      <c r="AC513" s="32" t="n"/>
    </row>
    <row r="514">
      <c r="A514" s="26" t="inlineStr">
        <is>
          <t>S10</t>
        </is>
      </c>
      <c r="B514" s="26" t="inlineStr">
        <is>
          <t>예안 신규점1</t>
        </is>
      </c>
      <c r="C514" s="26" t="inlineStr">
        <is>
          <t>S10-H북</t>
        </is>
      </c>
      <c r="D514" s="47" t="n">
        <v>1</v>
      </c>
      <c r="E514" s="26" t="inlineStr">
        <is>
          <t>측정</t>
        </is>
      </c>
      <c r="F514" s="26" t="inlineStr">
        <is>
          <t>북</t>
        </is>
      </c>
      <c r="G514" s="31" t="n">
        <v>0.5</v>
      </c>
      <c r="H514" s="30" t="n"/>
      <c r="I514" s="43" t="n"/>
      <c r="J514" s="41" t="n"/>
      <c r="K514" s="41" t="n"/>
      <c r="L514" s="41" t="n"/>
      <c r="M514" s="31">
        <f>IF(COUNT(J514:L514)=0,"",MEDIAN(J514:L514))</f>
        <v/>
      </c>
      <c r="N514" s="26">
        <f>IF(COUNTIFS($C:$C,$C514,$D:$D,$D514,$E:$E,"P0(전)",$M:$M,"&gt;0")&lt;&gt;1,"P0(전) 유효 1개 아님",IF(COUNTIFS($C:$C,$C514,$D:$D,$D514,$E:$E,"P0(후)",$M:$M,"&gt;0")&lt;&gt;1,"P0(후) 유효 1개 아님",IF(NOT(AND(ISNUMBER(O514),ISNUMBER(Q514),ISNUMBER(I514))),"시각 결측",IF(Q514&lt;=O514,"P0 시각 역전",IF(OR(I514&lt;O514,I514&gt;Q514),"측정시각 구간 밖","OK")))))</f>
        <v/>
      </c>
      <c r="O514" s="48">
        <f>IF(COUNTIFS($C:$C,$C514,$D:$D,$D514,$E:$E,"P0(전)",$M:$M,"&gt;0")&lt;&gt;1,"",SUMIFS($I:$I,$C:$C,$C514,$D:$D,$D514,$E:$E,"P0(전)"))</f>
        <v/>
      </c>
      <c r="P514" s="31">
        <f>IF(COUNTIFS($C:$C,$C514,$D:$D,$D514,$E:$E,"P0(전)",$M:$M,"&gt;0")&lt;&gt;1,"",SUMIFS($M:$M,$C:$C,$C514,$D:$D,$D514,$E:$E,"P0(전)"))</f>
        <v/>
      </c>
      <c r="Q514" s="48">
        <f>IF(COUNTIFS($C:$C,$C514,$D:$D,$D514,$E:$E,"P0(후)",$M:$M,"&gt;0")&lt;&gt;1,"",SUMIFS($I:$I,$C:$C,$C514,$D:$D,$D514,$E:$E,"P0(후)"))</f>
        <v/>
      </c>
      <c r="R514" s="31">
        <f>IF(COUNTIFS($C:$C,$C514,$D:$D,$D514,$E:$E,"P0(후)",$M:$M,"&gt;0")&lt;&gt;1,"",SUMIFS($M:$M,$C:$C,$C514,$D:$D,$D514,$E:$E,"P0(후)"))</f>
        <v/>
      </c>
      <c r="S514" s="31">
        <f>IF(N514&lt;&gt;"OK","",P514+(R514-P514)*(I514-O514)/(Q514-O514))</f>
        <v/>
      </c>
      <c r="T514" s="31">
        <f>IF(OR(N514&lt;&gt;"OK",NOT(ISNUMBER(M514))),"",M514-S514)</f>
        <v/>
      </c>
      <c r="U514" s="49">
        <f>IF(OR(NOT(ISNUMBER(T514)),IF(ISNUMBER(H514),H514,G514)=0),"",T514/IF(ISNUMBER(H514),H514,G514))</f>
        <v/>
      </c>
      <c r="V514" s="49">
        <f>IF(ISNUMBER(U514),ABS(U514),"")</f>
        <v/>
      </c>
      <c r="W514" s="49">
        <f>IF(OR($E513&lt;&gt;"측정",$C513&lt;&gt;$C514,$D513&lt;&gt;$D514,NOT(ISNUMBER(M514)),NOT(ISNUMBER(M513)),(IF(ISNUMBER(H514),H514,G514)-IF(ISNUMBER(H513),H513,G513))=0),"",(M514-M513)/(IF(ISNUMBER(H514),H514,G514)-IF(ISNUMBER(H513),H513,G513)))</f>
        <v/>
      </c>
      <c r="X514" s="31">
        <f>IF(NOT(AND(ISNUMBER(O514),ISNUMBER(Q514))),"",(Q514-O514)*1440)</f>
        <v/>
      </c>
      <c r="Y514" s="29" t="n"/>
      <c r="Z514" s="29" t="n"/>
      <c r="AA514" s="29" t="n"/>
      <c r="AB514" s="32" t="n"/>
      <c r="AC514" s="32" t="n"/>
    </row>
    <row r="515">
      <c r="A515" s="26" t="inlineStr">
        <is>
          <t>S10</t>
        </is>
      </c>
      <c r="B515" s="26" t="inlineStr">
        <is>
          <t>예안 신규점1</t>
        </is>
      </c>
      <c r="C515" s="26" t="inlineStr">
        <is>
          <t>S10-H북</t>
        </is>
      </c>
      <c r="D515" s="47" t="n">
        <v>1</v>
      </c>
      <c r="E515" s="26" t="inlineStr">
        <is>
          <t>측정</t>
        </is>
      </c>
      <c r="F515" s="26" t="inlineStr">
        <is>
          <t>북</t>
        </is>
      </c>
      <c r="G515" s="31" t="n">
        <v>1</v>
      </c>
      <c r="H515" s="30" t="n"/>
      <c r="I515" s="43" t="n"/>
      <c r="J515" s="41" t="n"/>
      <c r="K515" s="41" t="n"/>
      <c r="L515" s="41" t="n"/>
      <c r="M515" s="31">
        <f>IF(COUNT(J515:L515)=0,"",MEDIAN(J515:L515))</f>
        <v/>
      </c>
      <c r="N515" s="26">
        <f>IF(COUNTIFS($C:$C,$C515,$D:$D,$D515,$E:$E,"P0(전)",$M:$M,"&gt;0")&lt;&gt;1,"P0(전) 유효 1개 아님",IF(COUNTIFS($C:$C,$C515,$D:$D,$D515,$E:$E,"P0(후)",$M:$M,"&gt;0")&lt;&gt;1,"P0(후) 유효 1개 아님",IF(NOT(AND(ISNUMBER(O515),ISNUMBER(Q515),ISNUMBER(I515))),"시각 결측",IF(Q515&lt;=O515,"P0 시각 역전",IF(OR(I515&lt;O515,I515&gt;Q515),"측정시각 구간 밖","OK")))))</f>
        <v/>
      </c>
      <c r="O515" s="48">
        <f>IF(COUNTIFS($C:$C,$C515,$D:$D,$D515,$E:$E,"P0(전)",$M:$M,"&gt;0")&lt;&gt;1,"",SUMIFS($I:$I,$C:$C,$C515,$D:$D,$D515,$E:$E,"P0(전)"))</f>
        <v/>
      </c>
      <c r="P515" s="31">
        <f>IF(COUNTIFS($C:$C,$C515,$D:$D,$D515,$E:$E,"P0(전)",$M:$M,"&gt;0")&lt;&gt;1,"",SUMIFS($M:$M,$C:$C,$C515,$D:$D,$D515,$E:$E,"P0(전)"))</f>
        <v/>
      </c>
      <c r="Q515" s="48">
        <f>IF(COUNTIFS($C:$C,$C515,$D:$D,$D515,$E:$E,"P0(후)",$M:$M,"&gt;0")&lt;&gt;1,"",SUMIFS($I:$I,$C:$C,$C515,$D:$D,$D515,$E:$E,"P0(후)"))</f>
        <v/>
      </c>
      <c r="R515" s="31">
        <f>IF(COUNTIFS($C:$C,$C515,$D:$D,$D515,$E:$E,"P0(후)",$M:$M,"&gt;0")&lt;&gt;1,"",SUMIFS($M:$M,$C:$C,$C515,$D:$D,$D515,$E:$E,"P0(후)"))</f>
        <v/>
      </c>
      <c r="S515" s="31">
        <f>IF(N515&lt;&gt;"OK","",P515+(R515-P515)*(I515-O515)/(Q515-O515))</f>
        <v/>
      </c>
      <c r="T515" s="31">
        <f>IF(OR(N515&lt;&gt;"OK",NOT(ISNUMBER(M515))),"",M515-S515)</f>
        <v/>
      </c>
      <c r="U515" s="49">
        <f>IF(OR(NOT(ISNUMBER(T515)),IF(ISNUMBER(H515),H515,G515)=0),"",T515/IF(ISNUMBER(H515),H515,G515))</f>
        <v/>
      </c>
      <c r="V515" s="49">
        <f>IF(ISNUMBER(U515),ABS(U515),"")</f>
        <v/>
      </c>
      <c r="W515" s="49">
        <f>IF(OR($E514&lt;&gt;"측정",$C514&lt;&gt;$C515,$D514&lt;&gt;$D515,NOT(ISNUMBER(M515)),NOT(ISNUMBER(M514)),(IF(ISNUMBER(H515),H515,G515)-IF(ISNUMBER(H514),H514,G514))=0),"",(M515-M514)/(IF(ISNUMBER(H515),H515,G515)-IF(ISNUMBER(H514),H514,G514)))</f>
        <v/>
      </c>
      <c r="X515" s="31">
        <f>IF(NOT(AND(ISNUMBER(O515),ISNUMBER(Q515))),"",(Q515-O515)*1440)</f>
        <v/>
      </c>
      <c r="Y515" s="29" t="n"/>
      <c r="Z515" s="29" t="n"/>
      <c r="AA515" s="29" t="n"/>
      <c r="AB515" s="32" t="n"/>
      <c r="AC515" s="32" t="n"/>
    </row>
    <row r="516">
      <c r="A516" s="26" t="inlineStr">
        <is>
          <t>S10</t>
        </is>
      </c>
      <c r="B516" s="26" t="inlineStr">
        <is>
          <t>예안 신규점1</t>
        </is>
      </c>
      <c r="C516" s="26" t="inlineStr">
        <is>
          <t>S10-H북</t>
        </is>
      </c>
      <c r="D516" s="47" t="n">
        <v>1</v>
      </c>
      <c r="E516" s="26" t="inlineStr">
        <is>
          <t>측정</t>
        </is>
      </c>
      <c r="F516" s="26" t="inlineStr">
        <is>
          <t>북</t>
        </is>
      </c>
      <c r="G516" s="31" t="n">
        <v>2</v>
      </c>
      <c r="H516" s="30" t="n"/>
      <c r="I516" s="43" t="n"/>
      <c r="J516" s="41" t="n"/>
      <c r="K516" s="41" t="n"/>
      <c r="L516" s="41" t="n"/>
      <c r="M516" s="31">
        <f>IF(COUNT(J516:L516)=0,"",MEDIAN(J516:L516))</f>
        <v/>
      </c>
      <c r="N516" s="26">
        <f>IF(COUNTIFS($C:$C,$C516,$D:$D,$D516,$E:$E,"P0(전)",$M:$M,"&gt;0")&lt;&gt;1,"P0(전) 유효 1개 아님",IF(COUNTIFS($C:$C,$C516,$D:$D,$D516,$E:$E,"P0(후)",$M:$M,"&gt;0")&lt;&gt;1,"P0(후) 유효 1개 아님",IF(NOT(AND(ISNUMBER(O516),ISNUMBER(Q516),ISNUMBER(I516))),"시각 결측",IF(Q516&lt;=O516,"P0 시각 역전",IF(OR(I516&lt;O516,I516&gt;Q516),"측정시각 구간 밖","OK")))))</f>
        <v/>
      </c>
      <c r="O516" s="48">
        <f>IF(COUNTIFS($C:$C,$C516,$D:$D,$D516,$E:$E,"P0(전)",$M:$M,"&gt;0")&lt;&gt;1,"",SUMIFS($I:$I,$C:$C,$C516,$D:$D,$D516,$E:$E,"P0(전)"))</f>
        <v/>
      </c>
      <c r="P516" s="31">
        <f>IF(COUNTIFS($C:$C,$C516,$D:$D,$D516,$E:$E,"P0(전)",$M:$M,"&gt;0")&lt;&gt;1,"",SUMIFS($M:$M,$C:$C,$C516,$D:$D,$D516,$E:$E,"P0(전)"))</f>
        <v/>
      </c>
      <c r="Q516" s="48">
        <f>IF(COUNTIFS($C:$C,$C516,$D:$D,$D516,$E:$E,"P0(후)",$M:$M,"&gt;0")&lt;&gt;1,"",SUMIFS($I:$I,$C:$C,$C516,$D:$D,$D516,$E:$E,"P0(후)"))</f>
        <v/>
      </c>
      <c r="R516" s="31">
        <f>IF(COUNTIFS($C:$C,$C516,$D:$D,$D516,$E:$E,"P0(후)",$M:$M,"&gt;0")&lt;&gt;1,"",SUMIFS($M:$M,$C:$C,$C516,$D:$D,$D516,$E:$E,"P0(후)"))</f>
        <v/>
      </c>
      <c r="S516" s="31">
        <f>IF(N516&lt;&gt;"OK","",P516+(R516-P516)*(I516-O516)/(Q516-O516))</f>
        <v/>
      </c>
      <c r="T516" s="31">
        <f>IF(OR(N516&lt;&gt;"OK",NOT(ISNUMBER(M516))),"",M516-S516)</f>
        <v/>
      </c>
      <c r="U516" s="49">
        <f>IF(OR(NOT(ISNUMBER(T516)),IF(ISNUMBER(H516),H516,G516)=0),"",T516/IF(ISNUMBER(H516),H516,G516))</f>
        <v/>
      </c>
      <c r="V516" s="49">
        <f>IF(ISNUMBER(U516),ABS(U516),"")</f>
        <v/>
      </c>
      <c r="W516" s="49">
        <f>IF(OR($E515&lt;&gt;"측정",$C515&lt;&gt;$C516,$D515&lt;&gt;$D516,NOT(ISNUMBER(M516)),NOT(ISNUMBER(M515)),(IF(ISNUMBER(H516),H516,G516)-IF(ISNUMBER(H515),H515,G515))=0),"",(M516-M515)/(IF(ISNUMBER(H516),H516,G516)-IF(ISNUMBER(H515),H515,G515)))</f>
        <v/>
      </c>
      <c r="X516" s="31">
        <f>IF(NOT(AND(ISNUMBER(O516),ISNUMBER(Q516))),"",(Q516-O516)*1440)</f>
        <v/>
      </c>
      <c r="Y516" s="29" t="n"/>
      <c r="Z516" s="29" t="n"/>
      <c r="AA516" s="29" t="n"/>
      <c r="AB516" s="32" t="n"/>
      <c r="AC516" s="32" t="n"/>
    </row>
    <row r="517">
      <c r="A517" s="26" t="inlineStr">
        <is>
          <t>S10</t>
        </is>
      </c>
      <c r="B517" s="26" t="inlineStr">
        <is>
          <t>예안 신규점1</t>
        </is>
      </c>
      <c r="C517" s="26" t="inlineStr">
        <is>
          <t>S10-H북</t>
        </is>
      </c>
      <c r="D517" s="47" t="n">
        <v>1</v>
      </c>
      <c r="E517" s="26" t="inlineStr">
        <is>
          <t>측정</t>
        </is>
      </c>
      <c r="F517" s="26" t="inlineStr">
        <is>
          <t>북</t>
        </is>
      </c>
      <c r="G517" s="31" t="n">
        <v>3</v>
      </c>
      <c r="H517" s="30" t="n"/>
      <c r="I517" s="43" t="n"/>
      <c r="J517" s="41" t="n"/>
      <c r="K517" s="41" t="n"/>
      <c r="L517" s="41" t="n"/>
      <c r="M517" s="31">
        <f>IF(COUNT(J517:L517)=0,"",MEDIAN(J517:L517))</f>
        <v/>
      </c>
      <c r="N517" s="26">
        <f>IF(COUNTIFS($C:$C,$C517,$D:$D,$D517,$E:$E,"P0(전)",$M:$M,"&gt;0")&lt;&gt;1,"P0(전) 유효 1개 아님",IF(COUNTIFS($C:$C,$C517,$D:$D,$D517,$E:$E,"P0(후)",$M:$M,"&gt;0")&lt;&gt;1,"P0(후) 유효 1개 아님",IF(NOT(AND(ISNUMBER(O517),ISNUMBER(Q517),ISNUMBER(I517))),"시각 결측",IF(Q517&lt;=O517,"P0 시각 역전",IF(OR(I517&lt;O517,I517&gt;Q517),"측정시각 구간 밖","OK")))))</f>
        <v/>
      </c>
      <c r="O517" s="48">
        <f>IF(COUNTIFS($C:$C,$C517,$D:$D,$D517,$E:$E,"P0(전)",$M:$M,"&gt;0")&lt;&gt;1,"",SUMIFS($I:$I,$C:$C,$C517,$D:$D,$D517,$E:$E,"P0(전)"))</f>
        <v/>
      </c>
      <c r="P517" s="31">
        <f>IF(COUNTIFS($C:$C,$C517,$D:$D,$D517,$E:$E,"P0(전)",$M:$M,"&gt;0")&lt;&gt;1,"",SUMIFS($M:$M,$C:$C,$C517,$D:$D,$D517,$E:$E,"P0(전)"))</f>
        <v/>
      </c>
      <c r="Q517" s="48">
        <f>IF(COUNTIFS($C:$C,$C517,$D:$D,$D517,$E:$E,"P0(후)",$M:$M,"&gt;0")&lt;&gt;1,"",SUMIFS($I:$I,$C:$C,$C517,$D:$D,$D517,$E:$E,"P0(후)"))</f>
        <v/>
      </c>
      <c r="R517" s="31">
        <f>IF(COUNTIFS($C:$C,$C517,$D:$D,$D517,$E:$E,"P0(후)",$M:$M,"&gt;0")&lt;&gt;1,"",SUMIFS($M:$M,$C:$C,$C517,$D:$D,$D517,$E:$E,"P0(후)"))</f>
        <v/>
      </c>
      <c r="S517" s="31">
        <f>IF(N517&lt;&gt;"OK","",P517+(R517-P517)*(I517-O517)/(Q517-O517))</f>
        <v/>
      </c>
      <c r="T517" s="31">
        <f>IF(OR(N517&lt;&gt;"OK",NOT(ISNUMBER(M517))),"",M517-S517)</f>
        <v/>
      </c>
      <c r="U517" s="49">
        <f>IF(OR(NOT(ISNUMBER(T517)),IF(ISNUMBER(H517),H517,G517)=0),"",T517/IF(ISNUMBER(H517),H517,G517))</f>
        <v/>
      </c>
      <c r="V517" s="49">
        <f>IF(ISNUMBER(U517),ABS(U517),"")</f>
        <v/>
      </c>
      <c r="W517" s="49">
        <f>IF(OR($E516&lt;&gt;"측정",$C516&lt;&gt;$C517,$D516&lt;&gt;$D517,NOT(ISNUMBER(M517)),NOT(ISNUMBER(M516)),(IF(ISNUMBER(H517),H517,G517)-IF(ISNUMBER(H516),H516,G516))=0),"",(M517-M516)/(IF(ISNUMBER(H517),H517,G517)-IF(ISNUMBER(H516),H516,G516)))</f>
        <v/>
      </c>
      <c r="X517" s="31">
        <f>IF(NOT(AND(ISNUMBER(O517),ISNUMBER(Q517))),"",(Q517-O517)*1440)</f>
        <v/>
      </c>
      <c r="Y517" s="29" t="n"/>
      <c r="Z517" s="29" t="n"/>
      <c r="AA517" s="29" t="n"/>
      <c r="AB517" s="32" t="n"/>
      <c r="AC517" s="32" t="n"/>
    </row>
    <row r="518">
      <c r="A518" s="26" t="inlineStr">
        <is>
          <t>S10</t>
        </is>
      </c>
      <c r="B518" s="26" t="inlineStr">
        <is>
          <t>예안 신규점1</t>
        </is>
      </c>
      <c r="C518" s="26" t="inlineStr">
        <is>
          <t>S10-H북</t>
        </is>
      </c>
      <c r="D518" s="47" t="n">
        <v>1</v>
      </c>
      <c r="E518" s="26" t="inlineStr">
        <is>
          <t>측정</t>
        </is>
      </c>
      <c r="F518" s="26" t="inlineStr">
        <is>
          <t>북</t>
        </is>
      </c>
      <c r="G518" s="31" t="n">
        <v>4</v>
      </c>
      <c r="H518" s="30" t="n"/>
      <c r="I518" s="43" t="n"/>
      <c r="J518" s="41" t="n"/>
      <c r="K518" s="41" t="n"/>
      <c r="L518" s="41" t="n"/>
      <c r="M518" s="31">
        <f>IF(COUNT(J518:L518)=0,"",MEDIAN(J518:L518))</f>
        <v/>
      </c>
      <c r="N518" s="26">
        <f>IF(COUNTIFS($C:$C,$C518,$D:$D,$D518,$E:$E,"P0(전)",$M:$M,"&gt;0")&lt;&gt;1,"P0(전) 유효 1개 아님",IF(COUNTIFS($C:$C,$C518,$D:$D,$D518,$E:$E,"P0(후)",$M:$M,"&gt;0")&lt;&gt;1,"P0(후) 유효 1개 아님",IF(NOT(AND(ISNUMBER(O518),ISNUMBER(Q518),ISNUMBER(I518))),"시각 결측",IF(Q518&lt;=O518,"P0 시각 역전",IF(OR(I518&lt;O518,I518&gt;Q518),"측정시각 구간 밖","OK")))))</f>
        <v/>
      </c>
      <c r="O518" s="48">
        <f>IF(COUNTIFS($C:$C,$C518,$D:$D,$D518,$E:$E,"P0(전)",$M:$M,"&gt;0")&lt;&gt;1,"",SUMIFS($I:$I,$C:$C,$C518,$D:$D,$D518,$E:$E,"P0(전)"))</f>
        <v/>
      </c>
      <c r="P518" s="31">
        <f>IF(COUNTIFS($C:$C,$C518,$D:$D,$D518,$E:$E,"P0(전)",$M:$M,"&gt;0")&lt;&gt;1,"",SUMIFS($M:$M,$C:$C,$C518,$D:$D,$D518,$E:$E,"P0(전)"))</f>
        <v/>
      </c>
      <c r="Q518" s="48">
        <f>IF(COUNTIFS($C:$C,$C518,$D:$D,$D518,$E:$E,"P0(후)",$M:$M,"&gt;0")&lt;&gt;1,"",SUMIFS($I:$I,$C:$C,$C518,$D:$D,$D518,$E:$E,"P0(후)"))</f>
        <v/>
      </c>
      <c r="R518" s="31">
        <f>IF(COUNTIFS($C:$C,$C518,$D:$D,$D518,$E:$E,"P0(후)",$M:$M,"&gt;0")&lt;&gt;1,"",SUMIFS($M:$M,$C:$C,$C518,$D:$D,$D518,$E:$E,"P0(후)"))</f>
        <v/>
      </c>
      <c r="S518" s="31">
        <f>IF(N518&lt;&gt;"OK","",P518+(R518-P518)*(I518-O518)/(Q518-O518))</f>
        <v/>
      </c>
      <c r="T518" s="31">
        <f>IF(OR(N518&lt;&gt;"OK",NOT(ISNUMBER(M518))),"",M518-S518)</f>
        <v/>
      </c>
      <c r="U518" s="49">
        <f>IF(OR(NOT(ISNUMBER(T518)),IF(ISNUMBER(H518),H518,G518)=0),"",T518/IF(ISNUMBER(H518),H518,G518))</f>
        <v/>
      </c>
      <c r="V518" s="49">
        <f>IF(ISNUMBER(U518),ABS(U518),"")</f>
        <v/>
      </c>
      <c r="W518" s="49">
        <f>IF(OR($E517&lt;&gt;"측정",$C517&lt;&gt;$C518,$D517&lt;&gt;$D518,NOT(ISNUMBER(M518)),NOT(ISNUMBER(M517)),(IF(ISNUMBER(H518),H518,G518)-IF(ISNUMBER(H517),H517,G517))=0),"",(M518-M517)/(IF(ISNUMBER(H518),H518,G518)-IF(ISNUMBER(H517),H517,G517)))</f>
        <v/>
      </c>
      <c r="X518" s="31">
        <f>IF(NOT(AND(ISNUMBER(O518),ISNUMBER(Q518))),"",(Q518-O518)*1440)</f>
        <v/>
      </c>
      <c r="Y518" s="29" t="n"/>
      <c r="Z518" s="29" t="n"/>
      <c r="AA518" s="29" t="n"/>
      <c r="AB518" s="32" t="n"/>
      <c r="AC518" s="32" t="n"/>
    </row>
    <row r="519">
      <c r="A519" s="26" t="inlineStr">
        <is>
          <t>S10</t>
        </is>
      </c>
      <c r="B519" s="26" t="inlineStr">
        <is>
          <t>예안 신규점1</t>
        </is>
      </c>
      <c r="C519" s="26" t="inlineStr">
        <is>
          <t>S10-H북</t>
        </is>
      </c>
      <c r="D519" s="47" t="n">
        <v>1</v>
      </c>
      <c r="E519" s="26" t="inlineStr">
        <is>
          <t>측정</t>
        </is>
      </c>
      <c r="F519" s="26" t="inlineStr">
        <is>
          <t>북</t>
        </is>
      </c>
      <c r="G519" s="31" t="n">
        <v>5</v>
      </c>
      <c r="H519" s="30" t="n"/>
      <c r="I519" s="43" t="n"/>
      <c r="J519" s="41" t="n"/>
      <c r="K519" s="41" t="n"/>
      <c r="L519" s="41" t="n"/>
      <c r="M519" s="31">
        <f>IF(COUNT(J519:L519)=0,"",MEDIAN(J519:L519))</f>
        <v/>
      </c>
      <c r="N519" s="26">
        <f>IF(COUNTIFS($C:$C,$C519,$D:$D,$D519,$E:$E,"P0(전)",$M:$M,"&gt;0")&lt;&gt;1,"P0(전) 유효 1개 아님",IF(COUNTIFS($C:$C,$C519,$D:$D,$D519,$E:$E,"P0(후)",$M:$M,"&gt;0")&lt;&gt;1,"P0(후) 유효 1개 아님",IF(NOT(AND(ISNUMBER(O519),ISNUMBER(Q519),ISNUMBER(I519))),"시각 결측",IF(Q519&lt;=O519,"P0 시각 역전",IF(OR(I519&lt;O519,I519&gt;Q519),"측정시각 구간 밖","OK")))))</f>
        <v/>
      </c>
      <c r="O519" s="48">
        <f>IF(COUNTIFS($C:$C,$C519,$D:$D,$D519,$E:$E,"P0(전)",$M:$M,"&gt;0")&lt;&gt;1,"",SUMIFS($I:$I,$C:$C,$C519,$D:$D,$D519,$E:$E,"P0(전)"))</f>
        <v/>
      </c>
      <c r="P519" s="31">
        <f>IF(COUNTIFS($C:$C,$C519,$D:$D,$D519,$E:$E,"P0(전)",$M:$M,"&gt;0")&lt;&gt;1,"",SUMIFS($M:$M,$C:$C,$C519,$D:$D,$D519,$E:$E,"P0(전)"))</f>
        <v/>
      </c>
      <c r="Q519" s="48">
        <f>IF(COUNTIFS($C:$C,$C519,$D:$D,$D519,$E:$E,"P0(후)",$M:$M,"&gt;0")&lt;&gt;1,"",SUMIFS($I:$I,$C:$C,$C519,$D:$D,$D519,$E:$E,"P0(후)"))</f>
        <v/>
      </c>
      <c r="R519" s="31">
        <f>IF(COUNTIFS($C:$C,$C519,$D:$D,$D519,$E:$E,"P0(후)",$M:$M,"&gt;0")&lt;&gt;1,"",SUMIFS($M:$M,$C:$C,$C519,$D:$D,$D519,$E:$E,"P0(후)"))</f>
        <v/>
      </c>
      <c r="S519" s="31">
        <f>IF(N519&lt;&gt;"OK","",P519+(R519-P519)*(I519-O519)/(Q519-O519))</f>
        <v/>
      </c>
      <c r="T519" s="31">
        <f>IF(OR(N519&lt;&gt;"OK",NOT(ISNUMBER(M519))),"",M519-S519)</f>
        <v/>
      </c>
      <c r="U519" s="49">
        <f>IF(OR(NOT(ISNUMBER(T519)),IF(ISNUMBER(H519),H519,G519)=0),"",T519/IF(ISNUMBER(H519),H519,G519))</f>
        <v/>
      </c>
      <c r="V519" s="49">
        <f>IF(ISNUMBER(U519),ABS(U519),"")</f>
        <v/>
      </c>
      <c r="W519" s="49">
        <f>IF(OR($E518&lt;&gt;"측정",$C518&lt;&gt;$C519,$D518&lt;&gt;$D519,NOT(ISNUMBER(M519)),NOT(ISNUMBER(M518)),(IF(ISNUMBER(H519),H519,G519)-IF(ISNUMBER(H518),H518,G518))=0),"",(M519-M518)/(IF(ISNUMBER(H519),H519,G519)-IF(ISNUMBER(H518),H518,G518)))</f>
        <v/>
      </c>
      <c r="X519" s="31">
        <f>IF(NOT(AND(ISNUMBER(O519),ISNUMBER(Q519))),"",(Q519-O519)*1440)</f>
        <v/>
      </c>
      <c r="Y519" s="29" t="n"/>
      <c r="Z519" s="29" t="n"/>
      <c r="AA519" s="29" t="n"/>
      <c r="AB519" s="32" t="n"/>
      <c r="AC519" s="32" t="n"/>
    </row>
    <row r="520">
      <c r="A520" s="26" t="inlineStr">
        <is>
          <t>S10</t>
        </is>
      </c>
      <c r="B520" s="26" t="inlineStr">
        <is>
          <t>예안 신규점1</t>
        </is>
      </c>
      <c r="C520" s="26" t="inlineStr">
        <is>
          <t>S10-H북</t>
        </is>
      </c>
      <c r="D520" s="47" t="n">
        <v>1</v>
      </c>
      <c r="E520" s="26" t="inlineStr">
        <is>
          <t>측정</t>
        </is>
      </c>
      <c r="F520" s="26" t="inlineStr">
        <is>
          <t>북</t>
        </is>
      </c>
      <c r="G520" s="31" t="n">
        <v>6</v>
      </c>
      <c r="H520" s="30" t="n"/>
      <c r="I520" s="43" t="n"/>
      <c r="J520" s="41" t="n"/>
      <c r="K520" s="41" t="n"/>
      <c r="L520" s="41" t="n"/>
      <c r="M520" s="31">
        <f>IF(COUNT(J520:L520)=0,"",MEDIAN(J520:L520))</f>
        <v/>
      </c>
      <c r="N520" s="26">
        <f>IF(COUNTIFS($C:$C,$C520,$D:$D,$D520,$E:$E,"P0(전)",$M:$M,"&gt;0")&lt;&gt;1,"P0(전) 유효 1개 아님",IF(COUNTIFS($C:$C,$C520,$D:$D,$D520,$E:$E,"P0(후)",$M:$M,"&gt;0")&lt;&gt;1,"P0(후) 유효 1개 아님",IF(NOT(AND(ISNUMBER(O520),ISNUMBER(Q520),ISNUMBER(I520))),"시각 결측",IF(Q520&lt;=O520,"P0 시각 역전",IF(OR(I520&lt;O520,I520&gt;Q520),"측정시각 구간 밖","OK")))))</f>
        <v/>
      </c>
      <c r="O520" s="48">
        <f>IF(COUNTIFS($C:$C,$C520,$D:$D,$D520,$E:$E,"P0(전)",$M:$M,"&gt;0")&lt;&gt;1,"",SUMIFS($I:$I,$C:$C,$C520,$D:$D,$D520,$E:$E,"P0(전)"))</f>
        <v/>
      </c>
      <c r="P520" s="31">
        <f>IF(COUNTIFS($C:$C,$C520,$D:$D,$D520,$E:$E,"P0(전)",$M:$M,"&gt;0")&lt;&gt;1,"",SUMIFS($M:$M,$C:$C,$C520,$D:$D,$D520,$E:$E,"P0(전)"))</f>
        <v/>
      </c>
      <c r="Q520" s="48">
        <f>IF(COUNTIFS($C:$C,$C520,$D:$D,$D520,$E:$E,"P0(후)",$M:$M,"&gt;0")&lt;&gt;1,"",SUMIFS($I:$I,$C:$C,$C520,$D:$D,$D520,$E:$E,"P0(후)"))</f>
        <v/>
      </c>
      <c r="R520" s="31">
        <f>IF(COUNTIFS($C:$C,$C520,$D:$D,$D520,$E:$E,"P0(후)",$M:$M,"&gt;0")&lt;&gt;1,"",SUMIFS($M:$M,$C:$C,$C520,$D:$D,$D520,$E:$E,"P0(후)"))</f>
        <v/>
      </c>
      <c r="S520" s="31">
        <f>IF(N520&lt;&gt;"OK","",P520+(R520-P520)*(I520-O520)/(Q520-O520))</f>
        <v/>
      </c>
      <c r="T520" s="31">
        <f>IF(OR(N520&lt;&gt;"OK",NOT(ISNUMBER(M520))),"",M520-S520)</f>
        <v/>
      </c>
      <c r="U520" s="49">
        <f>IF(OR(NOT(ISNUMBER(T520)),IF(ISNUMBER(H520),H520,G520)=0),"",T520/IF(ISNUMBER(H520),H520,G520))</f>
        <v/>
      </c>
      <c r="V520" s="49">
        <f>IF(ISNUMBER(U520),ABS(U520),"")</f>
        <v/>
      </c>
      <c r="W520" s="49">
        <f>IF(OR($E519&lt;&gt;"측정",$C519&lt;&gt;$C520,$D519&lt;&gt;$D520,NOT(ISNUMBER(M520)),NOT(ISNUMBER(M519)),(IF(ISNUMBER(H520),H520,G520)-IF(ISNUMBER(H519),H519,G519))=0),"",(M520-M519)/(IF(ISNUMBER(H520),H520,G520)-IF(ISNUMBER(H519),H519,G519)))</f>
        <v/>
      </c>
      <c r="X520" s="31">
        <f>IF(NOT(AND(ISNUMBER(O520),ISNUMBER(Q520))),"",(Q520-O520)*1440)</f>
        <v/>
      </c>
      <c r="Y520" s="29" t="n"/>
      <c r="Z520" s="29" t="n"/>
      <c r="AA520" s="29" t="n"/>
      <c r="AB520" s="32" t="n"/>
      <c r="AC520" s="32" t="n"/>
    </row>
    <row r="521">
      <c r="A521" s="26" t="inlineStr">
        <is>
          <t>S10</t>
        </is>
      </c>
      <c r="B521" s="26" t="inlineStr">
        <is>
          <t>예안 신규점1</t>
        </is>
      </c>
      <c r="C521" s="26" t="inlineStr">
        <is>
          <t>S10-H북</t>
        </is>
      </c>
      <c r="D521" s="47" t="n">
        <v>1</v>
      </c>
      <c r="E521" s="26" t="inlineStr">
        <is>
          <t>측정</t>
        </is>
      </c>
      <c r="F521" s="26" t="inlineStr">
        <is>
          <t>북</t>
        </is>
      </c>
      <c r="G521" s="31" t="n">
        <v>7</v>
      </c>
      <c r="H521" s="30" t="n"/>
      <c r="I521" s="43" t="n"/>
      <c r="J521" s="41" t="n"/>
      <c r="K521" s="41" t="n"/>
      <c r="L521" s="41" t="n"/>
      <c r="M521" s="31">
        <f>IF(COUNT(J521:L521)=0,"",MEDIAN(J521:L521))</f>
        <v/>
      </c>
      <c r="N521" s="26">
        <f>IF(COUNTIFS($C:$C,$C521,$D:$D,$D521,$E:$E,"P0(전)",$M:$M,"&gt;0")&lt;&gt;1,"P0(전) 유효 1개 아님",IF(COUNTIFS($C:$C,$C521,$D:$D,$D521,$E:$E,"P0(후)",$M:$M,"&gt;0")&lt;&gt;1,"P0(후) 유효 1개 아님",IF(NOT(AND(ISNUMBER(O521),ISNUMBER(Q521),ISNUMBER(I521))),"시각 결측",IF(Q521&lt;=O521,"P0 시각 역전",IF(OR(I521&lt;O521,I521&gt;Q521),"측정시각 구간 밖","OK")))))</f>
        <v/>
      </c>
      <c r="O521" s="48">
        <f>IF(COUNTIFS($C:$C,$C521,$D:$D,$D521,$E:$E,"P0(전)",$M:$M,"&gt;0")&lt;&gt;1,"",SUMIFS($I:$I,$C:$C,$C521,$D:$D,$D521,$E:$E,"P0(전)"))</f>
        <v/>
      </c>
      <c r="P521" s="31">
        <f>IF(COUNTIFS($C:$C,$C521,$D:$D,$D521,$E:$E,"P0(전)",$M:$M,"&gt;0")&lt;&gt;1,"",SUMIFS($M:$M,$C:$C,$C521,$D:$D,$D521,$E:$E,"P0(전)"))</f>
        <v/>
      </c>
      <c r="Q521" s="48">
        <f>IF(COUNTIFS($C:$C,$C521,$D:$D,$D521,$E:$E,"P0(후)",$M:$M,"&gt;0")&lt;&gt;1,"",SUMIFS($I:$I,$C:$C,$C521,$D:$D,$D521,$E:$E,"P0(후)"))</f>
        <v/>
      </c>
      <c r="R521" s="31">
        <f>IF(COUNTIFS($C:$C,$C521,$D:$D,$D521,$E:$E,"P0(후)",$M:$M,"&gt;0")&lt;&gt;1,"",SUMIFS($M:$M,$C:$C,$C521,$D:$D,$D521,$E:$E,"P0(후)"))</f>
        <v/>
      </c>
      <c r="S521" s="31">
        <f>IF(N521&lt;&gt;"OK","",P521+(R521-P521)*(I521-O521)/(Q521-O521))</f>
        <v/>
      </c>
      <c r="T521" s="31">
        <f>IF(OR(N521&lt;&gt;"OK",NOT(ISNUMBER(M521))),"",M521-S521)</f>
        <v/>
      </c>
      <c r="U521" s="49">
        <f>IF(OR(NOT(ISNUMBER(T521)),IF(ISNUMBER(H521),H521,G521)=0),"",T521/IF(ISNUMBER(H521),H521,G521))</f>
        <v/>
      </c>
      <c r="V521" s="49">
        <f>IF(ISNUMBER(U521),ABS(U521),"")</f>
        <v/>
      </c>
      <c r="W521" s="49">
        <f>IF(OR($E520&lt;&gt;"측정",$C520&lt;&gt;$C521,$D520&lt;&gt;$D521,NOT(ISNUMBER(M521)),NOT(ISNUMBER(M520)),(IF(ISNUMBER(H521),H521,G521)-IF(ISNUMBER(H520),H520,G520))=0),"",(M521-M520)/(IF(ISNUMBER(H521),H521,G521)-IF(ISNUMBER(H520),H520,G520)))</f>
        <v/>
      </c>
      <c r="X521" s="31">
        <f>IF(NOT(AND(ISNUMBER(O521),ISNUMBER(Q521))),"",(Q521-O521)*1440)</f>
        <v/>
      </c>
      <c r="Y521" s="29" t="n"/>
      <c r="Z521" s="29" t="n"/>
      <c r="AA521" s="29" t="n"/>
      <c r="AB521" s="32" t="n"/>
      <c r="AC521" s="32" t="n"/>
    </row>
    <row r="522">
      <c r="A522" s="26" t="inlineStr">
        <is>
          <t>S10</t>
        </is>
      </c>
      <c r="B522" s="26" t="inlineStr">
        <is>
          <t>예안 신규점1</t>
        </is>
      </c>
      <c r="C522" s="26" t="inlineStr">
        <is>
          <t>S10-H북</t>
        </is>
      </c>
      <c r="D522" s="47" t="n">
        <v>1</v>
      </c>
      <c r="E522" s="26" t="inlineStr">
        <is>
          <t>측정</t>
        </is>
      </c>
      <c r="F522" s="26" t="inlineStr">
        <is>
          <t>북</t>
        </is>
      </c>
      <c r="G522" s="31" t="n">
        <v>8</v>
      </c>
      <c r="H522" s="30" t="n"/>
      <c r="I522" s="43" t="n"/>
      <c r="J522" s="41" t="n"/>
      <c r="K522" s="41" t="n"/>
      <c r="L522" s="41" t="n"/>
      <c r="M522" s="31">
        <f>IF(COUNT(J522:L522)=0,"",MEDIAN(J522:L522))</f>
        <v/>
      </c>
      <c r="N522" s="26">
        <f>IF(COUNTIFS($C:$C,$C522,$D:$D,$D522,$E:$E,"P0(전)",$M:$M,"&gt;0")&lt;&gt;1,"P0(전) 유효 1개 아님",IF(COUNTIFS($C:$C,$C522,$D:$D,$D522,$E:$E,"P0(후)",$M:$M,"&gt;0")&lt;&gt;1,"P0(후) 유효 1개 아님",IF(NOT(AND(ISNUMBER(O522),ISNUMBER(Q522),ISNUMBER(I522))),"시각 결측",IF(Q522&lt;=O522,"P0 시각 역전",IF(OR(I522&lt;O522,I522&gt;Q522),"측정시각 구간 밖","OK")))))</f>
        <v/>
      </c>
      <c r="O522" s="48">
        <f>IF(COUNTIFS($C:$C,$C522,$D:$D,$D522,$E:$E,"P0(전)",$M:$M,"&gt;0")&lt;&gt;1,"",SUMIFS($I:$I,$C:$C,$C522,$D:$D,$D522,$E:$E,"P0(전)"))</f>
        <v/>
      </c>
      <c r="P522" s="31">
        <f>IF(COUNTIFS($C:$C,$C522,$D:$D,$D522,$E:$E,"P0(전)",$M:$M,"&gt;0")&lt;&gt;1,"",SUMIFS($M:$M,$C:$C,$C522,$D:$D,$D522,$E:$E,"P0(전)"))</f>
        <v/>
      </c>
      <c r="Q522" s="48">
        <f>IF(COUNTIFS($C:$C,$C522,$D:$D,$D522,$E:$E,"P0(후)",$M:$M,"&gt;0")&lt;&gt;1,"",SUMIFS($I:$I,$C:$C,$C522,$D:$D,$D522,$E:$E,"P0(후)"))</f>
        <v/>
      </c>
      <c r="R522" s="31">
        <f>IF(COUNTIFS($C:$C,$C522,$D:$D,$D522,$E:$E,"P0(후)",$M:$M,"&gt;0")&lt;&gt;1,"",SUMIFS($M:$M,$C:$C,$C522,$D:$D,$D522,$E:$E,"P0(후)"))</f>
        <v/>
      </c>
      <c r="S522" s="31">
        <f>IF(N522&lt;&gt;"OK","",P522+(R522-P522)*(I522-O522)/(Q522-O522))</f>
        <v/>
      </c>
      <c r="T522" s="31">
        <f>IF(OR(N522&lt;&gt;"OK",NOT(ISNUMBER(M522))),"",M522-S522)</f>
        <v/>
      </c>
      <c r="U522" s="49">
        <f>IF(OR(NOT(ISNUMBER(T522)),IF(ISNUMBER(H522),H522,G522)=0),"",T522/IF(ISNUMBER(H522),H522,G522))</f>
        <v/>
      </c>
      <c r="V522" s="49">
        <f>IF(ISNUMBER(U522),ABS(U522),"")</f>
        <v/>
      </c>
      <c r="W522" s="49">
        <f>IF(OR($E521&lt;&gt;"측정",$C521&lt;&gt;$C522,$D521&lt;&gt;$D522,NOT(ISNUMBER(M522)),NOT(ISNUMBER(M521)),(IF(ISNUMBER(H522),H522,G522)-IF(ISNUMBER(H521),H521,G521))=0),"",(M522-M521)/(IF(ISNUMBER(H522),H522,G522)-IF(ISNUMBER(H521),H521,G521)))</f>
        <v/>
      </c>
      <c r="X522" s="31">
        <f>IF(NOT(AND(ISNUMBER(O522),ISNUMBER(Q522))),"",(Q522-O522)*1440)</f>
        <v/>
      </c>
      <c r="Y522" s="29" t="n"/>
      <c r="Z522" s="29" t="n"/>
      <c r="AA522" s="29" t="n"/>
      <c r="AB522" s="32" t="n"/>
      <c r="AC522" s="32" t="n"/>
    </row>
    <row r="523">
      <c r="A523" s="26" t="inlineStr">
        <is>
          <t>S10</t>
        </is>
      </c>
      <c r="B523" s="26" t="inlineStr">
        <is>
          <t>예안 신규점1</t>
        </is>
      </c>
      <c r="C523" s="26" t="inlineStr">
        <is>
          <t>S10-H북</t>
        </is>
      </c>
      <c r="D523" s="47" t="n">
        <v>1</v>
      </c>
      <c r="E523" s="26" t="inlineStr">
        <is>
          <t>측정</t>
        </is>
      </c>
      <c r="F523" s="26" t="inlineStr">
        <is>
          <t>북</t>
        </is>
      </c>
      <c r="G523" s="31" t="n">
        <v>9</v>
      </c>
      <c r="H523" s="30" t="n"/>
      <c r="I523" s="43" t="n"/>
      <c r="J523" s="41" t="n"/>
      <c r="K523" s="41" t="n"/>
      <c r="L523" s="41" t="n"/>
      <c r="M523" s="31">
        <f>IF(COUNT(J523:L523)=0,"",MEDIAN(J523:L523))</f>
        <v/>
      </c>
      <c r="N523" s="26">
        <f>IF(COUNTIFS($C:$C,$C523,$D:$D,$D523,$E:$E,"P0(전)",$M:$M,"&gt;0")&lt;&gt;1,"P0(전) 유효 1개 아님",IF(COUNTIFS($C:$C,$C523,$D:$D,$D523,$E:$E,"P0(후)",$M:$M,"&gt;0")&lt;&gt;1,"P0(후) 유효 1개 아님",IF(NOT(AND(ISNUMBER(O523),ISNUMBER(Q523),ISNUMBER(I523))),"시각 결측",IF(Q523&lt;=O523,"P0 시각 역전",IF(OR(I523&lt;O523,I523&gt;Q523),"측정시각 구간 밖","OK")))))</f>
        <v/>
      </c>
      <c r="O523" s="48">
        <f>IF(COUNTIFS($C:$C,$C523,$D:$D,$D523,$E:$E,"P0(전)",$M:$M,"&gt;0")&lt;&gt;1,"",SUMIFS($I:$I,$C:$C,$C523,$D:$D,$D523,$E:$E,"P0(전)"))</f>
        <v/>
      </c>
      <c r="P523" s="31">
        <f>IF(COUNTIFS($C:$C,$C523,$D:$D,$D523,$E:$E,"P0(전)",$M:$M,"&gt;0")&lt;&gt;1,"",SUMIFS($M:$M,$C:$C,$C523,$D:$D,$D523,$E:$E,"P0(전)"))</f>
        <v/>
      </c>
      <c r="Q523" s="48">
        <f>IF(COUNTIFS($C:$C,$C523,$D:$D,$D523,$E:$E,"P0(후)",$M:$M,"&gt;0")&lt;&gt;1,"",SUMIFS($I:$I,$C:$C,$C523,$D:$D,$D523,$E:$E,"P0(후)"))</f>
        <v/>
      </c>
      <c r="R523" s="31">
        <f>IF(COUNTIFS($C:$C,$C523,$D:$D,$D523,$E:$E,"P0(후)",$M:$M,"&gt;0")&lt;&gt;1,"",SUMIFS($M:$M,$C:$C,$C523,$D:$D,$D523,$E:$E,"P0(후)"))</f>
        <v/>
      </c>
      <c r="S523" s="31">
        <f>IF(N523&lt;&gt;"OK","",P523+(R523-P523)*(I523-O523)/(Q523-O523))</f>
        <v/>
      </c>
      <c r="T523" s="31">
        <f>IF(OR(N523&lt;&gt;"OK",NOT(ISNUMBER(M523))),"",M523-S523)</f>
        <v/>
      </c>
      <c r="U523" s="49">
        <f>IF(OR(NOT(ISNUMBER(T523)),IF(ISNUMBER(H523),H523,G523)=0),"",T523/IF(ISNUMBER(H523),H523,G523))</f>
        <v/>
      </c>
      <c r="V523" s="49">
        <f>IF(ISNUMBER(U523),ABS(U523),"")</f>
        <v/>
      </c>
      <c r="W523" s="49">
        <f>IF(OR($E522&lt;&gt;"측정",$C522&lt;&gt;$C523,$D522&lt;&gt;$D523,NOT(ISNUMBER(M523)),NOT(ISNUMBER(M522)),(IF(ISNUMBER(H523),H523,G523)-IF(ISNUMBER(H522),H522,G522))=0),"",(M523-M522)/(IF(ISNUMBER(H523),H523,G523)-IF(ISNUMBER(H522),H522,G522)))</f>
        <v/>
      </c>
      <c r="X523" s="31">
        <f>IF(NOT(AND(ISNUMBER(O523),ISNUMBER(Q523))),"",(Q523-O523)*1440)</f>
        <v/>
      </c>
      <c r="Y523" s="29" t="n"/>
      <c r="Z523" s="29" t="n"/>
      <c r="AA523" s="29" t="n"/>
      <c r="AB523" s="32" t="n"/>
      <c r="AC523" s="32" t="n"/>
    </row>
    <row r="524">
      <c r="A524" s="26" t="inlineStr">
        <is>
          <t>S10</t>
        </is>
      </c>
      <c r="B524" s="26" t="inlineStr">
        <is>
          <t>예안 신규점1</t>
        </is>
      </c>
      <c r="C524" s="26" t="inlineStr">
        <is>
          <t>S10-H북</t>
        </is>
      </c>
      <c r="D524" s="47" t="n">
        <v>1</v>
      </c>
      <c r="E524" s="26" t="inlineStr">
        <is>
          <t>측정</t>
        </is>
      </c>
      <c r="F524" s="26" t="inlineStr">
        <is>
          <t>북</t>
        </is>
      </c>
      <c r="G524" s="31" t="n">
        <v>10</v>
      </c>
      <c r="H524" s="30" t="n"/>
      <c r="I524" s="43" t="n"/>
      <c r="J524" s="41" t="n"/>
      <c r="K524" s="41" t="n"/>
      <c r="L524" s="41" t="n"/>
      <c r="M524" s="31">
        <f>IF(COUNT(J524:L524)=0,"",MEDIAN(J524:L524))</f>
        <v/>
      </c>
      <c r="N524" s="26">
        <f>IF(COUNTIFS($C:$C,$C524,$D:$D,$D524,$E:$E,"P0(전)",$M:$M,"&gt;0")&lt;&gt;1,"P0(전) 유효 1개 아님",IF(COUNTIFS($C:$C,$C524,$D:$D,$D524,$E:$E,"P0(후)",$M:$M,"&gt;0")&lt;&gt;1,"P0(후) 유효 1개 아님",IF(NOT(AND(ISNUMBER(O524),ISNUMBER(Q524),ISNUMBER(I524))),"시각 결측",IF(Q524&lt;=O524,"P0 시각 역전",IF(OR(I524&lt;O524,I524&gt;Q524),"측정시각 구간 밖","OK")))))</f>
        <v/>
      </c>
      <c r="O524" s="48">
        <f>IF(COUNTIFS($C:$C,$C524,$D:$D,$D524,$E:$E,"P0(전)",$M:$M,"&gt;0")&lt;&gt;1,"",SUMIFS($I:$I,$C:$C,$C524,$D:$D,$D524,$E:$E,"P0(전)"))</f>
        <v/>
      </c>
      <c r="P524" s="31">
        <f>IF(COUNTIFS($C:$C,$C524,$D:$D,$D524,$E:$E,"P0(전)",$M:$M,"&gt;0")&lt;&gt;1,"",SUMIFS($M:$M,$C:$C,$C524,$D:$D,$D524,$E:$E,"P0(전)"))</f>
        <v/>
      </c>
      <c r="Q524" s="48">
        <f>IF(COUNTIFS($C:$C,$C524,$D:$D,$D524,$E:$E,"P0(후)",$M:$M,"&gt;0")&lt;&gt;1,"",SUMIFS($I:$I,$C:$C,$C524,$D:$D,$D524,$E:$E,"P0(후)"))</f>
        <v/>
      </c>
      <c r="R524" s="31">
        <f>IF(COUNTIFS($C:$C,$C524,$D:$D,$D524,$E:$E,"P0(후)",$M:$M,"&gt;0")&lt;&gt;1,"",SUMIFS($M:$M,$C:$C,$C524,$D:$D,$D524,$E:$E,"P0(후)"))</f>
        <v/>
      </c>
      <c r="S524" s="31">
        <f>IF(N524&lt;&gt;"OK","",P524+(R524-P524)*(I524-O524)/(Q524-O524))</f>
        <v/>
      </c>
      <c r="T524" s="31">
        <f>IF(OR(N524&lt;&gt;"OK",NOT(ISNUMBER(M524))),"",M524-S524)</f>
        <v/>
      </c>
      <c r="U524" s="49">
        <f>IF(OR(NOT(ISNUMBER(T524)),IF(ISNUMBER(H524),H524,G524)=0),"",T524/IF(ISNUMBER(H524),H524,G524))</f>
        <v/>
      </c>
      <c r="V524" s="49">
        <f>IF(ISNUMBER(U524),ABS(U524),"")</f>
        <v/>
      </c>
      <c r="W524" s="49">
        <f>IF(OR($E523&lt;&gt;"측정",$C523&lt;&gt;$C524,$D523&lt;&gt;$D524,NOT(ISNUMBER(M524)),NOT(ISNUMBER(M523)),(IF(ISNUMBER(H524),H524,G524)-IF(ISNUMBER(H523),H523,G523))=0),"",(M524-M523)/(IF(ISNUMBER(H524),H524,G524)-IF(ISNUMBER(H523),H523,G523)))</f>
        <v/>
      </c>
      <c r="X524" s="31">
        <f>IF(NOT(AND(ISNUMBER(O524),ISNUMBER(Q524))),"",(Q524-O524)*1440)</f>
        <v/>
      </c>
      <c r="Y524" s="29" t="n"/>
      <c r="Z524" s="29" t="n"/>
      <c r="AA524" s="29" t="n"/>
      <c r="AB524" s="32" t="n"/>
      <c r="AC524" s="32" t="n"/>
    </row>
    <row r="525">
      <c r="A525" s="44" t="inlineStr">
        <is>
          <t>S10</t>
        </is>
      </c>
      <c r="B525" s="44" t="inlineStr">
        <is>
          <t>예안 신규점1</t>
        </is>
      </c>
      <c r="C525" s="44" t="inlineStr">
        <is>
          <t>S10-H북</t>
        </is>
      </c>
      <c r="D525" s="45" t="n">
        <v>1</v>
      </c>
      <c r="E525" s="44" t="inlineStr">
        <is>
          <t>P0(후)</t>
        </is>
      </c>
      <c r="F525" s="44" t="inlineStr">
        <is>
          <t>북</t>
        </is>
      </c>
      <c r="G525" s="46" t="n"/>
      <c r="H525" s="30" t="n"/>
      <c r="I525" s="43" t="n"/>
      <c r="J525" s="41" t="n"/>
      <c r="K525" s="41" t="n"/>
      <c r="L525" s="41" t="n"/>
      <c r="M525" s="31">
        <f>IF(COUNT(J525:L525)=0,"",MEDIAN(J525:L525))</f>
        <v/>
      </c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38" t="n"/>
      <c r="Y525" s="29" t="n"/>
      <c r="Z525" s="29" t="n"/>
      <c r="AA525" s="29" t="n"/>
      <c r="AB525" s="32" t="n"/>
      <c r="AC525" s="32" t="n"/>
    </row>
    <row r="526">
      <c r="A526" s="44" t="inlineStr">
        <is>
          <t>S11</t>
        </is>
      </c>
      <c r="B526" s="44" t="inlineStr">
        <is>
          <t>소천 신규점4</t>
        </is>
      </c>
      <c r="C526" s="44" t="inlineStr">
        <is>
          <t>S11-H동</t>
        </is>
      </c>
      <c r="D526" s="45" t="n">
        <v>1</v>
      </c>
      <c r="E526" s="44" t="inlineStr">
        <is>
          <t>P0(전)</t>
        </is>
      </c>
      <c r="F526" s="44" t="inlineStr">
        <is>
          <t>동</t>
        </is>
      </c>
      <c r="G526" s="46" t="n"/>
      <c r="H526" s="30" t="n"/>
      <c r="I526" s="43" t="n"/>
      <c r="J526" s="41" t="n"/>
      <c r="K526" s="41" t="n"/>
      <c r="L526" s="41" t="n"/>
      <c r="M526" s="31">
        <f>IF(COUNT(J526:L526)=0,"",MEDIAN(J526:L526))</f>
        <v/>
      </c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  <c r="X526" s="38" t="n"/>
      <c r="Y526" s="29" t="n"/>
      <c r="Z526" s="29" t="n"/>
      <c r="AA526" s="29" t="n"/>
      <c r="AB526" s="32" t="n"/>
      <c r="AC526" s="32" t="n"/>
    </row>
    <row r="527">
      <c r="A527" s="26" t="inlineStr">
        <is>
          <t>S11</t>
        </is>
      </c>
      <c r="B527" s="26" t="inlineStr">
        <is>
          <t>소천 신규점4</t>
        </is>
      </c>
      <c r="C527" s="26" t="inlineStr">
        <is>
          <t>S11-H동</t>
        </is>
      </c>
      <c r="D527" s="47" t="n">
        <v>1</v>
      </c>
      <c r="E527" s="26" t="inlineStr">
        <is>
          <t>측정</t>
        </is>
      </c>
      <c r="F527" s="26" t="inlineStr">
        <is>
          <t>동</t>
        </is>
      </c>
      <c r="G527" s="31" t="n">
        <v>0.5</v>
      </c>
      <c r="H527" s="30" t="n"/>
      <c r="I527" s="43" t="n"/>
      <c r="J527" s="41" t="n"/>
      <c r="K527" s="41" t="n"/>
      <c r="L527" s="41" t="n"/>
      <c r="M527" s="31">
        <f>IF(COUNT(J527:L527)=0,"",MEDIAN(J527:L527))</f>
        <v/>
      </c>
      <c r="N527" s="26">
        <f>IF(COUNTIFS($C:$C,$C527,$D:$D,$D527,$E:$E,"P0(전)",$M:$M,"&gt;0")&lt;&gt;1,"P0(전) 유효 1개 아님",IF(COUNTIFS($C:$C,$C527,$D:$D,$D527,$E:$E,"P0(후)",$M:$M,"&gt;0")&lt;&gt;1,"P0(후) 유효 1개 아님",IF(NOT(AND(ISNUMBER(O527),ISNUMBER(Q527),ISNUMBER(I527))),"시각 결측",IF(Q527&lt;=O527,"P0 시각 역전",IF(OR(I527&lt;O527,I527&gt;Q527),"측정시각 구간 밖","OK")))))</f>
        <v/>
      </c>
      <c r="O527" s="48">
        <f>IF(COUNTIFS($C:$C,$C527,$D:$D,$D527,$E:$E,"P0(전)",$M:$M,"&gt;0")&lt;&gt;1,"",SUMIFS($I:$I,$C:$C,$C527,$D:$D,$D527,$E:$E,"P0(전)"))</f>
        <v/>
      </c>
      <c r="P527" s="31">
        <f>IF(COUNTIFS($C:$C,$C527,$D:$D,$D527,$E:$E,"P0(전)",$M:$M,"&gt;0")&lt;&gt;1,"",SUMIFS($M:$M,$C:$C,$C527,$D:$D,$D527,$E:$E,"P0(전)"))</f>
        <v/>
      </c>
      <c r="Q527" s="48">
        <f>IF(COUNTIFS($C:$C,$C527,$D:$D,$D527,$E:$E,"P0(후)",$M:$M,"&gt;0")&lt;&gt;1,"",SUMIFS($I:$I,$C:$C,$C527,$D:$D,$D527,$E:$E,"P0(후)"))</f>
        <v/>
      </c>
      <c r="R527" s="31">
        <f>IF(COUNTIFS($C:$C,$C527,$D:$D,$D527,$E:$E,"P0(후)",$M:$M,"&gt;0")&lt;&gt;1,"",SUMIFS($M:$M,$C:$C,$C527,$D:$D,$D527,$E:$E,"P0(후)"))</f>
        <v/>
      </c>
      <c r="S527" s="31">
        <f>IF(N527&lt;&gt;"OK","",P527+(R527-P527)*(I527-O527)/(Q527-O527))</f>
        <v/>
      </c>
      <c r="T527" s="31">
        <f>IF(OR(N527&lt;&gt;"OK",NOT(ISNUMBER(M527))),"",M527-S527)</f>
        <v/>
      </c>
      <c r="U527" s="49">
        <f>IF(OR(NOT(ISNUMBER(T527)),IF(ISNUMBER(H527),H527,G527)=0),"",T527/IF(ISNUMBER(H527),H527,G527))</f>
        <v/>
      </c>
      <c r="V527" s="49">
        <f>IF(ISNUMBER(U527),ABS(U527),"")</f>
        <v/>
      </c>
      <c r="W527" s="49">
        <f>IF(OR($E526&lt;&gt;"측정",$C526&lt;&gt;$C527,$D526&lt;&gt;$D527,NOT(ISNUMBER(M527)),NOT(ISNUMBER(M526)),(IF(ISNUMBER(H527),H527,G527)-IF(ISNUMBER(H526),H526,G526))=0),"",(M527-M526)/(IF(ISNUMBER(H527),H527,G527)-IF(ISNUMBER(H526),H526,G526)))</f>
        <v/>
      </c>
      <c r="X527" s="31">
        <f>IF(NOT(AND(ISNUMBER(O527),ISNUMBER(Q527))),"",(Q527-O527)*1440)</f>
        <v/>
      </c>
      <c r="Y527" s="29" t="n"/>
      <c r="Z527" s="29" t="n"/>
      <c r="AA527" s="29" t="n"/>
      <c r="AB527" s="32" t="n"/>
      <c r="AC527" s="32" t="n"/>
    </row>
    <row r="528">
      <c r="A528" s="26" t="inlineStr">
        <is>
          <t>S11</t>
        </is>
      </c>
      <c r="B528" s="26" t="inlineStr">
        <is>
          <t>소천 신규점4</t>
        </is>
      </c>
      <c r="C528" s="26" t="inlineStr">
        <is>
          <t>S11-H동</t>
        </is>
      </c>
      <c r="D528" s="47" t="n">
        <v>1</v>
      </c>
      <c r="E528" s="26" t="inlineStr">
        <is>
          <t>측정</t>
        </is>
      </c>
      <c r="F528" s="26" t="inlineStr">
        <is>
          <t>동</t>
        </is>
      </c>
      <c r="G528" s="31" t="n">
        <v>1</v>
      </c>
      <c r="H528" s="30" t="n"/>
      <c r="I528" s="43" t="n"/>
      <c r="J528" s="41" t="n"/>
      <c r="K528" s="41" t="n"/>
      <c r="L528" s="41" t="n"/>
      <c r="M528" s="31">
        <f>IF(COUNT(J528:L528)=0,"",MEDIAN(J528:L528))</f>
        <v/>
      </c>
      <c r="N528" s="26">
        <f>IF(COUNTIFS($C:$C,$C528,$D:$D,$D528,$E:$E,"P0(전)",$M:$M,"&gt;0")&lt;&gt;1,"P0(전) 유효 1개 아님",IF(COUNTIFS($C:$C,$C528,$D:$D,$D528,$E:$E,"P0(후)",$M:$M,"&gt;0")&lt;&gt;1,"P0(후) 유효 1개 아님",IF(NOT(AND(ISNUMBER(O528),ISNUMBER(Q528),ISNUMBER(I528))),"시각 결측",IF(Q528&lt;=O528,"P0 시각 역전",IF(OR(I528&lt;O528,I528&gt;Q528),"측정시각 구간 밖","OK")))))</f>
        <v/>
      </c>
      <c r="O528" s="48">
        <f>IF(COUNTIFS($C:$C,$C528,$D:$D,$D528,$E:$E,"P0(전)",$M:$M,"&gt;0")&lt;&gt;1,"",SUMIFS($I:$I,$C:$C,$C528,$D:$D,$D528,$E:$E,"P0(전)"))</f>
        <v/>
      </c>
      <c r="P528" s="31">
        <f>IF(COUNTIFS($C:$C,$C528,$D:$D,$D528,$E:$E,"P0(전)",$M:$M,"&gt;0")&lt;&gt;1,"",SUMIFS($M:$M,$C:$C,$C528,$D:$D,$D528,$E:$E,"P0(전)"))</f>
        <v/>
      </c>
      <c r="Q528" s="48">
        <f>IF(COUNTIFS($C:$C,$C528,$D:$D,$D528,$E:$E,"P0(후)",$M:$M,"&gt;0")&lt;&gt;1,"",SUMIFS($I:$I,$C:$C,$C528,$D:$D,$D528,$E:$E,"P0(후)"))</f>
        <v/>
      </c>
      <c r="R528" s="31">
        <f>IF(COUNTIFS($C:$C,$C528,$D:$D,$D528,$E:$E,"P0(후)",$M:$M,"&gt;0")&lt;&gt;1,"",SUMIFS($M:$M,$C:$C,$C528,$D:$D,$D528,$E:$E,"P0(후)"))</f>
        <v/>
      </c>
      <c r="S528" s="31">
        <f>IF(N528&lt;&gt;"OK","",P528+(R528-P528)*(I528-O528)/(Q528-O528))</f>
        <v/>
      </c>
      <c r="T528" s="31">
        <f>IF(OR(N528&lt;&gt;"OK",NOT(ISNUMBER(M528))),"",M528-S528)</f>
        <v/>
      </c>
      <c r="U528" s="49">
        <f>IF(OR(NOT(ISNUMBER(T528)),IF(ISNUMBER(H528),H528,G528)=0),"",T528/IF(ISNUMBER(H528),H528,G528))</f>
        <v/>
      </c>
      <c r="V528" s="49">
        <f>IF(ISNUMBER(U528),ABS(U528),"")</f>
        <v/>
      </c>
      <c r="W528" s="49">
        <f>IF(OR($E527&lt;&gt;"측정",$C527&lt;&gt;$C528,$D527&lt;&gt;$D528,NOT(ISNUMBER(M528)),NOT(ISNUMBER(M527)),(IF(ISNUMBER(H528),H528,G528)-IF(ISNUMBER(H527),H527,G527))=0),"",(M528-M527)/(IF(ISNUMBER(H528),H528,G528)-IF(ISNUMBER(H527),H527,G527)))</f>
        <v/>
      </c>
      <c r="X528" s="31">
        <f>IF(NOT(AND(ISNUMBER(O528),ISNUMBER(Q528))),"",(Q528-O528)*1440)</f>
        <v/>
      </c>
      <c r="Y528" s="29" t="n"/>
      <c r="Z528" s="29" t="n"/>
      <c r="AA528" s="29" t="n"/>
      <c r="AB528" s="32" t="n"/>
      <c r="AC528" s="32" t="n"/>
    </row>
    <row r="529">
      <c r="A529" s="26" t="inlineStr">
        <is>
          <t>S11</t>
        </is>
      </c>
      <c r="B529" s="26" t="inlineStr">
        <is>
          <t>소천 신규점4</t>
        </is>
      </c>
      <c r="C529" s="26" t="inlineStr">
        <is>
          <t>S11-H동</t>
        </is>
      </c>
      <c r="D529" s="47" t="n">
        <v>1</v>
      </c>
      <c r="E529" s="26" t="inlineStr">
        <is>
          <t>측정</t>
        </is>
      </c>
      <c r="F529" s="26" t="inlineStr">
        <is>
          <t>동</t>
        </is>
      </c>
      <c r="G529" s="31" t="n">
        <v>2</v>
      </c>
      <c r="H529" s="30" t="n"/>
      <c r="I529" s="43" t="n"/>
      <c r="J529" s="41" t="n"/>
      <c r="K529" s="41" t="n"/>
      <c r="L529" s="41" t="n"/>
      <c r="M529" s="31">
        <f>IF(COUNT(J529:L529)=0,"",MEDIAN(J529:L529))</f>
        <v/>
      </c>
      <c r="N529" s="26">
        <f>IF(COUNTIFS($C:$C,$C529,$D:$D,$D529,$E:$E,"P0(전)",$M:$M,"&gt;0")&lt;&gt;1,"P0(전) 유효 1개 아님",IF(COUNTIFS($C:$C,$C529,$D:$D,$D529,$E:$E,"P0(후)",$M:$M,"&gt;0")&lt;&gt;1,"P0(후) 유효 1개 아님",IF(NOT(AND(ISNUMBER(O529),ISNUMBER(Q529),ISNUMBER(I529))),"시각 결측",IF(Q529&lt;=O529,"P0 시각 역전",IF(OR(I529&lt;O529,I529&gt;Q529),"측정시각 구간 밖","OK")))))</f>
        <v/>
      </c>
      <c r="O529" s="48">
        <f>IF(COUNTIFS($C:$C,$C529,$D:$D,$D529,$E:$E,"P0(전)",$M:$M,"&gt;0")&lt;&gt;1,"",SUMIFS($I:$I,$C:$C,$C529,$D:$D,$D529,$E:$E,"P0(전)"))</f>
        <v/>
      </c>
      <c r="P529" s="31">
        <f>IF(COUNTIFS($C:$C,$C529,$D:$D,$D529,$E:$E,"P0(전)",$M:$M,"&gt;0")&lt;&gt;1,"",SUMIFS($M:$M,$C:$C,$C529,$D:$D,$D529,$E:$E,"P0(전)"))</f>
        <v/>
      </c>
      <c r="Q529" s="48">
        <f>IF(COUNTIFS($C:$C,$C529,$D:$D,$D529,$E:$E,"P0(후)",$M:$M,"&gt;0")&lt;&gt;1,"",SUMIFS($I:$I,$C:$C,$C529,$D:$D,$D529,$E:$E,"P0(후)"))</f>
        <v/>
      </c>
      <c r="R529" s="31">
        <f>IF(COUNTIFS($C:$C,$C529,$D:$D,$D529,$E:$E,"P0(후)",$M:$M,"&gt;0")&lt;&gt;1,"",SUMIFS($M:$M,$C:$C,$C529,$D:$D,$D529,$E:$E,"P0(후)"))</f>
        <v/>
      </c>
      <c r="S529" s="31">
        <f>IF(N529&lt;&gt;"OK","",P529+(R529-P529)*(I529-O529)/(Q529-O529))</f>
        <v/>
      </c>
      <c r="T529" s="31">
        <f>IF(OR(N529&lt;&gt;"OK",NOT(ISNUMBER(M529))),"",M529-S529)</f>
        <v/>
      </c>
      <c r="U529" s="49">
        <f>IF(OR(NOT(ISNUMBER(T529)),IF(ISNUMBER(H529),H529,G529)=0),"",T529/IF(ISNUMBER(H529),H529,G529))</f>
        <v/>
      </c>
      <c r="V529" s="49">
        <f>IF(ISNUMBER(U529),ABS(U529),"")</f>
        <v/>
      </c>
      <c r="W529" s="49">
        <f>IF(OR($E528&lt;&gt;"측정",$C528&lt;&gt;$C529,$D528&lt;&gt;$D529,NOT(ISNUMBER(M529)),NOT(ISNUMBER(M528)),(IF(ISNUMBER(H529),H529,G529)-IF(ISNUMBER(H528),H528,G528))=0),"",(M529-M528)/(IF(ISNUMBER(H529),H529,G529)-IF(ISNUMBER(H528),H528,G528)))</f>
        <v/>
      </c>
      <c r="X529" s="31">
        <f>IF(NOT(AND(ISNUMBER(O529),ISNUMBER(Q529))),"",(Q529-O529)*1440)</f>
        <v/>
      </c>
      <c r="Y529" s="29" t="n"/>
      <c r="Z529" s="29" t="n"/>
      <c r="AA529" s="29" t="n"/>
      <c r="AB529" s="32" t="n"/>
      <c r="AC529" s="32" t="n"/>
    </row>
    <row r="530">
      <c r="A530" s="26" t="inlineStr">
        <is>
          <t>S11</t>
        </is>
      </c>
      <c r="B530" s="26" t="inlineStr">
        <is>
          <t>소천 신규점4</t>
        </is>
      </c>
      <c r="C530" s="26" t="inlineStr">
        <is>
          <t>S11-H동</t>
        </is>
      </c>
      <c r="D530" s="47" t="n">
        <v>1</v>
      </c>
      <c r="E530" s="26" t="inlineStr">
        <is>
          <t>측정</t>
        </is>
      </c>
      <c r="F530" s="26" t="inlineStr">
        <is>
          <t>동</t>
        </is>
      </c>
      <c r="G530" s="31" t="n">
        <v>3</v>
      </c>
      <c r="H530" s="30" t="n"/>
      <c r="I530" s="43" t="n"/>
      <c r="J530" s="41" t="n"/>
      <c r="K530" s="41" t="n"/>
      <c r="L530" s="41" t="n"/>
      <c r="M530" s="31">
        <f>IF(COUNT(J530:L530)=0,"",MEDIAN(J530:L530))</f>
        <v/>
      </c>
      <c r="N530" s="26">
        <f>IF(COUNTIFS($C:$C,$C530,$D:$D,$D530,$E:$E,"P0(전)",$M:$M,"&gt;0")&lt;&gt;1,"P0(전) 유효 1개 아님",IF(COUNTIFS($C:$C,$C530,$D:$D,$D530,$E:$E,"P0(후)",$M:$M,"&gt;0")&lt;&gt;1,"P0(후) 유효 1개 아님",IF(NOT(AND(ISNUMBER(O530),ISNUMBER(Q530),ISNUMBER(I530))),"시각 결측",IF(Q530&lt;=O530,"P0 시각 역전",IF(OR(I530&lt;O530,I530&gt;Q530),"측정시각 구간 밖","OK")))))</f>
        <v/>
      </c>
      <c r="O530" s="48">
        <f>IF(COUNTIFS($C:$C,$C530,$D:$D,$D530,$E:$E,"P0(전)",$M:$M,"&gt;0")&lt;&gt;1,"",SUMIFS($I:$I,$C:$C,$C530,$D:$D,$D530,$E:$E,"P0(전)"))</f>
        <v/>
      </c>
      <c r="P530" s="31">
        <f>IF(COUNTIFS($C:$C,$C530,$D:$D,$D530,$E:$E,"P0(전)",$M:$M,"&gt;0")&lt;&gt;1,"",SUMIFS($M:$M,$C:$C,$C530,$D:$D,$D530,$E:$E,"P0(전)"))</f>
        <v/>
      </c>
      <c r="Q530" s="48">
        <f>IF(COUNTIFS($C:$C,$C530,$D:$D,$D530,$E:$E,"P0(후)",$M:$M,"&gt;0")&lt;&gt;1,"",SUMIFS($I:$I,$C:$C,$C530,$D:$D,$D530,$E:$E,"P0(후)"))</f>
        <v/>
      </c>
      <c r="R530" s="31">
        <f>IF(COUNTIFS($C:$C,$C530,$D:$D,$D530,$E:$E,"P0(후)",$M:$M,"&gt;0")&lt;&gt;1,"",SUMIFS($M:$M,$C:$C,$C530,$D:$D,$D530,$E:$E,"P0(후)"))</f>
        <v/>
      </c>
      <c r="S530" s="31">
        <f>IF(N530&lt;&gt;"OK","",P530+(R530-P530)*(I530-O530)/(Q530-O530))</f>
        <v/>
      </c>
      <c r="T530" s="31">
        <f>IF(OR(N530&lt;&gt;"OK",NOT(ISNUMBER(M530))),"",M530-S530)</f>
        <v/>
      </c>
      <c r="U530" s="49">
        <f>IF(OR(NOT(ISNUMBER(T530)),IF(ISNUMBER(H530),H530,G530)=0),"",T530/IF(ISNUMBER(H530),H530,G530))</f>
        <v/>
      </c>
      <c r="V530" s="49">
        <f>IF(ISNUMBER(U530),ABS(U530),"")</f>
        <v/>
      </c>
      <c r="W530" s="49">
        <f>IF(OR($E529&lt;&gt;"측정",$C529&lt;&gt;$C530,$D529&lt;&gt;$D530,NOT(ISNUMBER(M530)),NOT(ISNUMBER(M529)),(IF(ISNUMBER(H530),H530,G530)-IF(ISNUMBER(H529),H529,G529))=0),"",(M530-M529)/(IF(ISNUMBER(H530),H530,G530)-IF(ISNUMBER(H529),H529,G529)))</f>
        <v/>
      </c>
      <c r="X530" s="31">
        <f>IF(NOT(AND(ISNUMBER(O530),ISNUMBER(Q530))),"",(Q530-O530)*1440)</f>
        <v/>
      </c>
      <c r="Y530" s="29" t="n"/>
      <c r="Z530" s="29" t="n"/>
      <c r="AA530" s="29" t="n"/>
      <c r="AB530" s="32" t="n"/>
      <c r="AC530" s="32" t="n"/>
    </row>
    <row r="531">
      <c r="A531" s="26" t="inlineStr">
        <is>
          <t>S11</t>
        </is>
      </c>
      <c r="B531" s="26" t="inlineStr">
        <is>
          <t>소천 신규점4</t>
        </is>
      </c>
      <c r="C531" s="26" t="inlineStr">
        <is>
          <t>S11-H동</t>
        </is>
      </c>
      <c r="D531" s="47" t="n">
        <v>1</v>
      </c>
      <c r="E531" s="26" t="inlineStr">
        <is>
          <t>측정</t>
        </is>
      </c>
      <c r="F531" s="26" t="inlineStr">
        <is>
          <t>동</t>
        </is>
      </c>
      <c r="G531" s="31" t="n">
        <v>4</v>
      </c>
      <c r="H531" s="30" t="n"/>
      <c r="I531" s="43" t="n"/>
      <c r="J531" s="41" t="n"/>
      <c r="K531" s="41" t="n"/>
      <c r="L531" s="41" t="n"/>
      <c r="M531" s="31">
        <f>IF(COUNT(J531:L531)=0,"",MEDIAN(J531:L531))</f>
        <v/>
      </c>
      <c r="N531" s="26">
        <f>IF(COUNTIFS($C:$C,$C531,$D:$D,$D531,$E:$E,"P0(전)",$M:$M,"&gt;0")&lt;&gt;1,"P0(전) 유효 1개 아님",IF(COUNTIFS($C:$C,$C531,$D:$D,$D531,$E:$E,"P0(후)",$M:$M,"&gt;0")&lt;&gt;1,"P0(후) 유효 1개 아님",IF(NOT(AND(ISNUMBER(O531),ISNUMBER(Q531),ISNUMBER(I531))),"시각 결측",IF(Q531&lt;=O531,"P0 시각 역전",IF(OR(I531&lt;O531,I531&gt;Q531),"측정시각 구간 밖","OK")))))</f>
        <v/>
      </c>
      <c r="O531" s="48">
        <f>IF(COUNTIFS($C:$C,$C531,$D:$D,$D531,$E:$E,"P0(전)",$M:$M,"&gt;0")&lt;&gt;1,"",SUMIFS($I:$I,$C:$C,$C531,$D:$D,$D531,$E:$E,"P0(전)"))</f>
        <v/>
      </c>
      <c r="P531" s="31">
        <f>IF(COUNTIFS($C:$C,$C531,$D:$D,$D531,$E:$E,"P0(전)",$M:$M,"&gt;0")&lt;&gt;1,"",SUMIFS($M:$M,$C:$C,$C531,$D:$D,$D531,$E:$E,"P0(전)"))</f>
        <v/>
      </c>
      <c r="Q531" s="48">
        <f>IF(COUNTIFS($C:$C,$C531,$D:$D,$D531,$E:$E,"P0(후)",$M:$M,"&gt;0")&lt;&gt;1,"",SUMIFS($I:$I,$C:$C,$C531,$D:$D,$D531,$E:$E,"P0(후)"))</f>
        <v/>
      </c>
      <c r="R531" s="31">
        <f>IF(COUNTIFS($C:$C,$C531,$D:$D,$D531,$E:$E,"P0(후)",$M:$M,"&gt;0")&lt;&gt;1,"",SUMIFS($M:$M,$C:$C,$C531,$D:$D,$D531,$E:$E,"P0(후)"))</f>
        <v/>
      </c>
      <c r="S531" s="31">
        <f>IF(N531&lt;&gt;"OK","",P531+(R531-P531)*(I531-O531)/(Q531-O531))</f>
        <v/>
      </c>
      <c r="T531" s="31">
        <f>IF(OR(N531&lt;&gt;"OK",NOT(ISNUMBER(M531))),"",M531-S531)</f>
        <v/>
      </c>
      <c r="U531" s="49">
        <f>IF(OR(NOT(ISNUMBER(T531)),IF(ISNUMBER(H531),H531,G531)=0),"",T531/IF(ISNUMBER(H531),H531,G531))</f>
        <v/>
      </c>
      <c r="V531" s="49">
        <f>IF(ISNUMBER(U531),ABS(U531),"")</f>
        <v/>
      </c>
      <c r="W531" s="49">
        <f>IF(OR($E530&lt;&gt;"측정",$C530&lt;&gt;$C531,$D530&lt;&gt;$D531,NOT(ISNUMBER(M531)),NOT(ISNUMBER(M530)),(IF(ISNUMBER(H531),H531,G531)-IF(ISNUMBER(H530),H530,G530))=0),"",(M531-M530)/(IF(ISNUMBER(H531),H531,G531)-IF(ISNUMBER(H530),H530,G530)))</f>
        <v/>
      </c>
      <c r="X531" s="31">
        <f>IF(NOT(AND(ISNUMBER(O531),ISNUMBER(Q531))),"",(Q531-O531)*1440)</f>
        <v/>
      </c>
      <c r="Y531" s="29" t="n"/>
      <c r="Z531" s="29" t="n"/>
      <c r="AA531" s="29" t="n"/>
      <c r="AB531" s="32" t="n"/>
      <c r="AC531" s="32" t="n"/>
    </row>
    <row r="532">
      <c r="A532" s="26" t="inlineStr">
        <is>
          <t>S11</t>
        </is>
      </c>
      <c r="B532" s="26" t="inlineStr">
        <is>
          <t>소천 신규점4</t>
        </is>
      </c>
      <c r="C532" s="26" t="inlineStr">
        <is>
          <t>S11-H동</t>
        </is>
      </c>
      <c r="D532" s="47" t="n">
        <v>1</v>
      </c>
      <c r="E532" s="26" t="inlineStr">
        <is>
          <t>측정</t>
        </is>
      </c>
      <c r="F532" s="26" t="inlineStr">
        <is>
          <t>동</t>
        </is>
      </c>
      <c r="G532" s="31" t="n">
        <v>5</v>
      </c>
      <c r="H532" s="30" t="n"/>
      <c r="I532" s="43" t="n"/>
      <c r="J532" s="41" t="n"/>
      <c r="K532" s="41" t="n"/>
      <c r="L532" s="41" t="n"/>
      <c r="M532" s="31">
        <f>IF(COUNT(J532:L532)=0,"",MEDIAN(J532:L532))</f>
        <v/>
      </c>
      <c r="N532" s="26">
        <f>IF(COUNTIFS($C:$C,$C532,$D:$D,$D532,$E:$E,"P0(전)",$M:$M,"&gt;0")&lt;&gt;1,"P0(전) 유효 1개 아님",IF(COUNTIFS($C:$C,$C532,$D:$D,$D532,$E:$E,"P0(후)",$M:$M,"&gt;0")&lt;&gt;1,"P0(후) 유효 1개 아님",IF(NOT(AND(ISNUMBER(O532),ISNUMBER(Q532),ISNUMBER(I532))),"시각 결측",IF(Q532&lt;=O532,"P0 시각 역전",IF(OR(I532&lt;O532,I532&gt;Q532),"측정시각 구간 밖","OK")))))</f>
        <v/>
      </c>
      <c r="O532" s="48">
        <f>IF(COUNTIFS($C:$C,$C532,$D:$D,$D532,$E:$E,"P0(전)",$M:$M,"&gt;0")&lt;&gt;1,"",SUMIFS($I:$I,$C:$C,$C532,$D:$D,$D532,$E:$E,"P0(전)"))</f>
        <v/>
      </c>
      <c r="P532" s="31">
        <f>IF(COUNTIFS($C:$C,$C532,$D:$D,$D532,$E:$E,"P0(전)",$M:$M,"&gt;0")&lt;&gt;1,"",SUMIFS($M:$M,$C:$C,$C532,$D:$D,$D532,$E:$E,"P0(전)"))</f>
        <v/>
      </c>
      <c r="Q532" s="48">
        <f>IF(COUNTIFS($C:$C,$C532,$D:$D,$D532,$E:$E,"P0(후)",$M:$M,"&gt;0")&lt;&gt;1,"",SUMIFS($I:$I,$C:$C,$C532,$D:$D,$D532,$E:$E,"P0(후)"))</f>
        <v/>
      </c>
      <c r="R532" s="31">
        <f>IF(COUNTIFS($C:$C,$C532,$D:$D,$D532,$E:$E,"P0(후)",$M:$M,"&gt;0")&lt;&gt;1,"",SUMIFS($M:$M,$C:$C,$C532,$D:$D,$D532,$E:$E,"P0(후)"))</f>
        <v/>
      </c>
      <c r="S532" s="31">
        <f>IF(N532&lt;&gt;"OK","",P532+(R532-P532)*(I532-O532)/(Q532-O532))</f>
        <v/>
      </c>
      <c r="T532" s="31">
        <f>IF(OR(N532&lt;&gt;"OK",NOT(ISNUMBER(M532))),"",M532-S532)</f>
        <v/>
      </c>
      <c r="U532" s="49">
        <f>IF(OR(NOT(ISNUMBER(T532)),IF(ISNUMBER(H532),H532,G532)=0),"",T532/IF(ISNUMBER(H532),H532,G532))</f>
        <v/>
      </c>
      <c r="V532" s="49">
        <f>IF(ISNUMBER(U532),ABS(U532),"")</f>
        <v/>
      </c>
      <c r="W532" s="49">
        <f>IF(OR($E531&lt;&gt;"측정",$C531&lt;&gt;$C532,$D531&lt;&gt;$D532,NOT(ISNUMBER(M532)),NOT(ISNUMBER(M531)),(IF(ISNUMBER(H532),H532,G532)-IF(ISNUMBER(H531),H531,G531))=0),"",(M532-M531)/(IF(ISNUMBER(H532),H532,G532)-IF(ISNUMBER(H531),H531,G531)))</f>
        <v/>
      </c>
      <c r="X532" s="31">
        <f>IF(NOT(AND(ISNUMBER(O532),ISNUMBER(Q532))),"",(Q532-O532)*1440)</f>
        <v/>
      </c>
      <c r="Y532" s="29" t="n"/>
      <c r="Z532" s="29" t="n"/>
      <c r="AA532" s="29" t="n"/>
      <c r="AB532" s="32" t="n"/>
      <c r="AC532" s="32" t="n"/>
    </row>
    <row r="533">
      <c r="A533" s="26" t="inlineStr">
        <is>
          <t>S11</t>
        </is>
      </c>
      <c r="B533" s="26" t="inlineStr">
        <is>
          <t>소천 신규점4</t>
        </is>
      </c>
      <c r="C533" s="26" t="inlineStr">
        <is>
          <t>S11-H동</t>
        </is>
      </c>
      <c r="D533" s="47" t="n">
        <v>1</v>
      </c>
      <c r="E533" s="26" t="inlineStr">
        <is>
          <t>측정</t>
        </is>
      </c>
      <c r="F533" s="26" t="inlineStr">
        <is>
          <t>동</t>
        </is>
      </c>
      <c r="G533" s="31" t="n">
        <v>6</v>
      </c>
      <c r="H533" s="30" t="n"/>
      <c r="I533" s="43" t="n"/>
      <c r="J533" s="41" t="n"/>
      <c r="K533" s="41" t="n"/>
      <c r="L533" s="41" t="n"/>
      <c r="M533" s="31">
        <f>IF(COUNT(J533:L533)=0,"",MEDIAN(J533:L533))</f>
        <v/>
      </c>
      <c r="N533" s="26">
        <f>IF(COUNTIFS($C:$C,$C533,$D:$D,$D533,$E:$E,"P0(전)",$M:$M,"&gt;0")&lt;&gt;1,"P0(전) 유효 1개 아님",IF(COUNTIFS($C:$C,$C533,$D:$D,$D533,$E:$E,"P0(후)",$M:$M,"&gt;0")&lt;&gt;1,"P0(후) 유효 1개 아님",IF(NOT(AND(ISNUMBER(O533),ISNUMBER(Q533),ISNUMBER(I533))),"시각 결측",IF(Q533&lt;=O533,"P0 시각 역전",IF(OR(I533&lt;O533,I533&gt;Q533),"측정시각 구간 밖","OK")))))</f>
        <v/>
      </c>
      <c r="O533" s="48">
        <f>IF(COUNTIFS($C:$C,$C533,$D:$D,$D533,$E:$E,"P0(전)",$M:$M,"&gt;0")&lt;&gt;1,"",SUMIFS($I:$I,$C:$C,$C533,$D:$D,$D533,$E:$E,"P0(전)"))</f>
        <v/>
      </c>
      <c r="P533" s="31">
        <f>IF(COUNTIFS($C:$C,$C533,$D:$D,$D533,$E:$E,"P0(전)",$M:$M,"&gt;0")&lt;&gt;1,"",SUMIFS($M:$M,$C:$C,$C533,$D:$D,$D533,$E:$E,"P0(전)"))</f>
        <v/>
      </c>
      <c r="Q533" s="48">
        <f>IF(COUNTIFS($C:$C,$C533,$D:$D,$D533,$E:$E,"P0(후)",$M:$M,"&gt;0")&lt;&gt;1,"",SUMIFS($I:$I,$C:$C,$C533,$D:$D,$D533,$E:$E,"P0(후)"))</f>
        <v/>
      </c>
      <c r="R533" s="31">
        <f>IF(COUNTIFS($C:$C,$C533,$D:$D,$D533,$E:$E,"P0(후)",$M:$M,"&gt;0")&lt;&gt;1,"",SUMIFS($M:$M,$C:$C,$C533,$D:$D,$D533,$E:$E,"P0(후)"))</f>
        <v/>
      </c>
      <c r="S533" s="31">
        <f>IF(N533&lt;&gt;"OK","",P533+(R533-P533)*(I533-O533)/(Q533-O533))</f>
        <v/>
      </c>
      <c r="T533" s="31">
        <f>IF(OR(N533&lt;&gt;"OK",NOT(ISNUMBER(M533))),"",M533-S533)</f>
        <v/>
      </c>
      <c r="U533" s="49">
        <f>IF(OR(NOT(ISNUMBER(T533)),IF(ISNUMBER(H533),H533,G533)=0),"",T533/IF(ISNUMBER(H533),H533,G533))</f>
        <v/>
      </c>
      <c r="V533" s="49">
        <f>IF(ISNUMBER(U533),ABS(U533),"")</f>
        <v/>
      </c>
      <c r="W533" s="49">
        <f>IF(OR($E532&lt;&gt;"측정",$C532&lt;&gt;$C533,$D532&lt;&gt;$D533,NOT(ISNUMBER(M533)),NOT(ISNUMBER(M532)),(IF(ISNUMBER(H533),H533,G533)-IF(ISNUMBER(H532),H532,G532))=0),"",(M533-M532)/(IF(ISNUMBER(H533),H533,G533)-IF(ISNUMBER(H532),H532,G532)))</f>
        <v/>
      </c>
      <c r="X533" s="31">
        <f>IF(NOT(AND(ISNUMBER(O533),ISNUMBER(Q533))),"",(Q533-O533)*1440)</f>
        <v/>
      </c>
      <c r="Y533" s="29" t="n"/>
      <c r="Z533" s="29" t="n"/>
      <c r="AA533" s="29" t="n"/>
      <c r="AB533" s="32" t="n"/>
      <c r="AC533" s="32" t="n"/>
    </row>
    <row r="534">
      <c r="A534" s="26" t="inlineStr">
        <is>
          <t>S11</t>
        </is>
      </c>
      <c r="B534" s="26" t="inlineStr">
        <is>
          <t>소천 신규점4</t>
        </is>
      </c>
      <c r="C534" s="26" t="inlineStr">
        <is>
          <t>S11-H동</t>
        </is>
      </c>
      <c r="D534" s="47" t="n">
        <v>1</v>
      </c>
      <c r="E534" s="26" t="inlineStr">
        <is>
          <t>측정</t>
        </is>
      </c>
      <c r="F534" s="26" t="inlineStr">
        <is>
          <t>동</t>
        </is>
      </c>
      <c r="G534" s="31" t="n">
        <v>7</v>
      </c>
      <c r="H534" s="30" t="n"/>
      <c r="I534" s="43" t="n"/>
      <c r="J534" s="41" t="n"/>
      <c r="K534" s="41" t="n"/>
      <c r="L534" s="41" t="n"/>
      <c r="M534" s="31">
        <f>IF(COUNT(J534:L534)=0,"",MEDIAN(J534:L534))</f>
        <v/>
      </c>
      <c r="N534" s="26">
        <f>IF(COUNTIFS($C:$C,$C534,$D:$D,$D534,$E:$E,"P0(전)",$M:$M,"&gt;0")&lt;&gt;1,"P0(전) 유효 1개 아님",IF(COUNTIFS($C:$C,$C534,$D:$D,$D534,$E:$E,"P0(후)",$M:$M,"&gt;0")&lt;&gt;1,"P0(후) 유효 1개 아님",IF(NOT(AND(ISNUMBER(O534),ISNUMBER(Q534),ISNUMBER(I534))),"시각 결측",IF(Q534&lt;=O534,"P0 시각 역전",IF(OR(I534&lt;O534,I534&gt;Q534),"측정시각 구간 밖","OK")))))</f>
        <v/>
      </c>
      <c r="O534" s="48">
        <f>IF(COUNTIFS($C:$C,$C534,$D:$D,$D534,$E:$E,"P0(전)",$M:$M,"&gt;0")&lt;&gt;1,"",SUMIFS($I:$I,$C:$C,$C534,$D:$D,$D534,$E:$E,"P0(전)"))</f>
        <v/>
      </c>
      <c r="P534" s="31">
        <f>IF(COUNTIFS($C:$C,$C534,$D:$D,$D534,$E:$E,"P0(전)",$M:$M,"&gt;0")&lt;&gt;1,"",SUMIFS($M:$M,$C:$C,$C534,$D:$D,$D534,$E:$E,"P0(전)"))</f>
        <v/>
      </c>
      <c r="Q534" s="48">
        <f>IF(COUNTIFS($C:$C,$C534,$D:$D,$D534,$E:$E,"P0(후)",$M:$M,"&gt;0")&lt;&gt;1,"",SUMIFS($I:$I,$C:$C,$C534,$D:$D,$D534,$E:$E,"P0(후)"))</f>
        <v/>
      </c>
      <c r="R534" s="31">
        <f>IF(COUNTIFS($C:$C,$C534,$D:$D,$D534,$E:$E,"P0(후)",$M:$M,"&gt;0")&lt;&gt;1,"",SUMIFS($M:$M,$C:$C,$C534,$D:$D,$D534,$E:$E,"P0(후)"))</f>
        <v/>
      </c>
      <c r="S534" s="31">
        <f>IF(N534&lt;&gt;"OK","",P534+(R534-P534)*(I534-O534)/(Q534-O534))</f>
        <v/>
      </c>
      <c r="T534" s="31">
        <f>IF(OR(N534&lt;&gt;"OK",NOT(ISNUMBER(M534))),"",M534-S534)</f>
        <v/>
      </c>
      <c r="U534" s="49">
        <f>IF(OR(NOT(ISNUMBER(T534)),IF(ISNUMBER(H534),H534,G534)=0),"",T534/IF(ISNUMBER(H534),H534,G534))</f>
        <v/>
      </c>
      <c r="V534" s="49">
        <f>IF(ISNUMBER(U534),ABS(U534),"")</f>
        <v/>
      </c>
      <c r="W534" s="49">
        <f>IF(OR($E533&lt;&gt;"측정",$C533&lt;&gt;$C534,$D533&lt;&gt;$D534,NOT(ISNUMBER(M534)),NOT(ISNUMBER(M533)),(IF(ISNUMBER(H534),H534,G534)-IF(ISNUMBER(H533),H533,G533))=0),"",(M534-M533)/(IF(ISNUMBER(H534),H534,G534)-IF(ISNUMBER(H533),H533,G533)))</f>
        <v/>
      </c>
      <c r="X534" s="31">
        <f>IF(NOT(AND(ISNUMBER(O534),ISNUMBER(Q534))),"",(Q534-O534)*1440)</f>
        <v/>
      </c>
      <c r="Y534" s="29" t="n"/>
      <c r="Z534" s="29" t="n"/>
      <c r="AA534" s="29" t="n"/>
      <c r="AB534" s="32" t="n"/>
      <c r="AC534" s="32" t="n"/>
    </row>
    <row r="535">
      <c r="A535" s="26" t="inlineStr">
        <is>
          <t>S11</t>
        </is>
      </c>
      <c r="B535" s="26" t="inlineStr">
        <is>
          <t>소천 신규점4</t>
        </is>
      </c>
      <c r="C535" s="26" t="inlineStr">
        <is>
          <t>S11-H동</t>
        </is>
      </c>
      <c r="D535" s="47" t="n">
        <v>1</v>
      </c>
      <c r="E535" s="26" t="inlineStr">
        <is>
          <t>측정</t>
        </is>
      </c>
      <c r="F535" s="26" t="inlineStr">
        <is>
          <t>동</t>
        </is>
      </c>
      <c r="G535" s="31" t="n">
        <v>8</v>
      </c>
      <c r="H535" s="30" t="n"/>
      <c r="I535" s="43" t="n"/>
      <c r="J535" s="41" t="n"/>
      <c r="K535" s="41" t="n"/>
      <c r="L535" s="41" t="n"/>
      <c r="M535" s="31">
        <f>IF(COUNT(J535:L535)=0,"",MEDIAN(J535:L535))</f>
        <v/>
      </c>
      <c r="N535" s="26">
        <f>IF(COUNTIFS($C:$C,$C535,$D:$D,$D535,$E:$E,"P0(전)",$M:$M,"&gt;0")&lt;&gt;1,"P0(전) 유효 1개 아님",IF(COUNTIFS($C:$C,$C535,$D:$D,$D535,$E:$E,"P0(후)",$M:$M,"&gt;0")&lt;&gt;1,"P0(후) 유효 1개 아님",IF(NOT(AND(ISNUMBER(O535),ISNUMBER(Q535),ISNUMBER(I535))),"시각 결측",IF(Q535&lt;=O535,"P0 시각 역전",IF(OR(I535&lt;O535,I535&gt;Q535),"측정시각 구간 밖","OK")))))</f>
        <v/>
      </c>
      <c r="O535" s="48">
        <f>IF(COUNTIFS($C:$C,$C535,$D:$D,$D535,$E:$E,"P0(전)",$M:$M,"&gt;0")&lt;&gt;1,"",SUMIFS($I:$I,$C:$C,$C535,$D:$D,$D535,$E:$E,"P0(전)"))</f>
        <v/>
      </c>
      <c r="P535" s="31">
        <f>IF(COUNTIFS($C:$C,$C535,$D:$D,$D535,$E:$E,"P0(전)",$M:$M,"&gt;0")&lt;&gt;1,"",SUMIFS($M:$M,$C:$C,$C535,$D:$D,$D535,$E:$E,"P0(전)"))</f>
        <v/>
      </c>
      <c r="Q535" s="48">
        <f>IF(COUNTIFS($C:$C,$C535,$D:$D,$D535,$E:$E,"P0(후)",$M:$M,"&gt;0")&lt;&gt;1,"",SUMIFS($I:$I,$C:$C,$C535,$D:$D,$D535,$E:$E,"P0(후)"))</f>
        <v/>
      </c>
      <c r="R535" s="31">
        <f>IF(COUNTIFS($C:$C,$C535,$D:$D,$D535,$E:$E,"P0(후)",$M:$M,"&gt;0")&lt;&gt;1,"",SUMIFS($M:$M,$C:$C,$C535,$D:$D,$D535,$E:$E,"P0(후)"))</f>
        <v/>
      </c>
      <c r="S535" s="31">
        <f>IF(N535&lt;&gt;"OK","",P535+(R535-P535)*(I535-O535)/(Q535-O535))</f>
        <v/>
      </c>
      <c r="T535" s="31">
        <f>IF(OR(N535&lt;&gt;"OK",NOT(ISNUMBER(M535))),"",M535-S535)</f>
        <v/>
      </c>
      <c r="U535" s="49">
        <f>IF(OR(NOT(ISNUMBER(T535)),IF(ISNUMBER(H535),H535,G535)=0),"",T535/IF(ISNUMBER(H535),H535,G535))</f>
        <v/>
      </c>
      <c r="V535" s="49">
        <f>IF(ISNUMBER(U535),ABS(U535),"")</f>
        <v/>
      </c>
      <c r="W535" s="49">
        <f>IF(OR($E534&lt;&gt;"측정",$C534&lt;&gt;$C535,$D534&lt;&gt;$D535,NOT(ISNUMBER(M535)),NOT(ISNUMBER(M534)),(IF(ISNUMBER(H535),H535,G535)-IF(ISNUMBER(H534),H534,G534))=0),"",(M535-M534)/(IF(ISNUMBER(H535),H535,G535)-IF(ISNUMBER(H534),H534,G534)))</f>
        <v/>
      </c>
      <c r="X535" s="31">
        <f>IF(NOT(AND(ISNUMBER(O535),ISNUMBER(Q535))),"",(Q535-O535)*1440)</f>
        <v/>
      </c>
      <c r="Y535" s="29" t="n"/>
      <c r="Z535" s="29" t="n"/>
      <c r="AA535" s="29" t="n"/>
      <c r="AB535" s="32" t="n"/>
      <c r="AC535" s="32" t="n"/>
    </row>
    <row r="536">
      <c r="A536" s="26" t="inlineStr">
        <is>
          <t>S11</t>
        </is>
      </c>
      <c r="B536" s="26" t="inlineStr">
        <is>
          <t>소천 신규점4</t>
        </is>
      </c>
      <c r="C536" s="26" t="inlineStr">
        <is>
          <t>S11-H동</t>
        </is>
      </c>
      <c r="D536" s="47" t="n">
        <v>1</v>
      </c>
      <c r="E536" s="26" t="inlineStr">
        <is>
          <t>측정</t>
        </is>
      </c>
      <c r="F536" s="26" t="inlineStr">
        <is>
          <t>동</t>
        </is>
      </c>
      <c r="G536" s="31" t="n">
        <v>9</v>
      </c>
      <c r="H536" s="30" t="n"/>
      <c r="I536" s="43" t="n"/>
      <c r="J536" s="41" t="n"/>
      <c r="K536" s="41" t="n"/>
      <c r="L536" s="41" t="n"/>
      <c r="M536" s="31">
        <f>IF(COUNT(J536:L536)=0,"",MEDIAN(J536:L536))</f>
        <v/>
      </c>
      <c r="N536" s="26">
        <f>IF(COUNTIFS($C:$C,$C536,$D:$D,$D536,$E:$E,"P0(전)",$M:$M,"&gt;0")&lt;&gt;1,"P0(전) 유효 1개 아님",IF(COUNTIFS($C:$C,$C536,$D:$D,$D536,$E:$E,"P0(후)",$M:$M,"&gt;0")&lt;&gt;1,"P0(후) 유효 1개 아님",IF(NOT(AND(ISNUMBER(O536),ISNUMBER(Q536),ISNUMBER(I536))),"시각 결측",IF(Q536&lt;=O536,"P0 시각 역전",IF(OR(I536&lt;O536,I536&gt;Q536),"측정시각 구간 밖","OK")))))</f>
        <v/>
      </c>
      <c r="O536" s="48">
        <f>IF(COUNTIFS($C:$C,$C536,$D:$D,$D536,$E:$E,"P0(전)",$M:$M,"&gt;0")&lt;&gt;1,"",SUMIFS($I:$I,$C:$C,$C536,$D:$D,$D536,$E:$E,"P0(전)"))</f>
        <v/>
      </c>
      <c r="P536" s="31">
        <f>IF(COUNTIFS($C:$C,$C536,$D:$D,$D536,$E:$E,"P0(전)",$M:$M,"&gt;0")&lt;&gt;1,"",SUMIFS($M:$M,$C:$C,$C536,$D:$D,$D536,$E:$E,"P0(전)"))</f>
        <v/>
      </c>
      <c r="Q536" s="48">
        <f>IF(COUNTIFS($C:$C,$C536,$D:$D,$D536,$E:$E,"P0(후)",$M:$M,"&gt;0")&lt;&gt;1,"",SUMIFS($I:$I,$C:$C,$C536,$D:$D,$D536,$E:$E,"P0(후)"))</f>
        <v/>
      </c>
      <c r="R536" s="31">
        <f>IF(COUNTIFS($C:$C,$C536,$D:$D,$D536,$E:$E,"P0(후)",$M:$M,"&gt;0")&lt;&gt;1,"",SUMIFS($M:$M,$C:$C,$C536,$D:$D,$D536,$E:$E,"P0(후)"))</f>
        <v/>
      </c>
      <c r="S536" s="31">
        <f>IF(N536&lt;&gt;"OK","",P536+(R536-P536)*(I536-O536)/(Q536-O536))</f>
        <v/>
      </c>
      <c r="T536" s="31">
        <f>IF(OR(N536&lt;&gt;"OK",NOT(ISNUMBER(M536))),"",M536-S536)</f>
        <v/>
      </c>
      <c r="U536" s="49">
        <f>IF(OR(NOT(ISNUMBER(T536)),IF(ISNUMBER(H536),H536,G536)=0),"",T536/IF(ISNUMBER(H536),H536,G536))</f>
        <v/>
      </c>
      <c r="V536" s="49">
        <f>IF(ISNUMBER(U536),ABS(U536),"")</f>
        <v/>
      </c>
      <c r="W536" s="49">
        <f>IF(OR($E535&lt;&gt;"측정",$C535&lt;&gt;$C536,$D535&lt;&gt;$D536,NOT(ISNUMBER(M536)),NOT(ISNUMBER(M535)),(IF(ISNUMBER(H536),H536,G536)-IF(ISNUMBER(H535),H535,G535))=0),"",(M536-M535)/(IF(ISNUMBER(H536),H536,G536)-IF(ISNUMBER(H535),H535,G535)))</f>
        <v/>
      </c>
      <c r="X536" s="31">
        <f>IF(NOT(AND(ISNUMBER(O536),ISNUMBER(Q536))),"",(Q536-O536)*1440)</f>
        <v/>
      </c>
      <c r="Y536" s="29" t="n"/>
      <c r="Z536" s="29" t="n"/>
      <c r="AA536" s="29" t="n"/>
      <c r="AB536" s="32" t="n"/>
      <c r="AC536" s="32" t="n"/>
    </row>
    <row r="537">
      <c r="A537" s="26" t="inlineStr">
        <is>
          <t>S11</t>
        </is>
      </c>
      <c r="B537" s="26" t="inlineStr">
        <is>
          <t>소천 신규점4</t>
        </is>
      </c>
      <c r="C537" s="26" t="inlineStr">
        <is>
          <t>S11-H동</t>
        </is>
      </c>
      <c r="D537" s="47" t="n">
        <v>1</v>
      </c>
      <c r="E537" s="26" t="inlineStr">
        <is>
          <t>측정</t>
        </is>
      </c>
      <c r="F537" s="26" t="inlineStr">
        <is>
          <t>동</t>
        </is>
      </c>
      <c r="G537" s="31" t="n">
        <v>10</v>
      </c>
      <c r="H537" s="30" t="n"/>
      <c r="I537" s="43" t="n"/>
      <c r="J537" s="41" t="n"/>
      <c r="K537" s="41" t="n"/>
      <c r="L537" s="41" t="n"/>
      <c r="M537" s="31">
        <f>IF(COUNT(J537:L537)=0,"",MEDIAN(J537:L537))</f>
        <v/>
      </c>
      <c r="N537" s="26">
        <f>IF(COUNTIFS($C:$C,$C537,$D:$D,$D537,$E:$E,"P0(전)",$M:$M,"&gt;0")&lt;&gt;1,"P0(전) 유효 1개 아님",IF(COUNTIFS($C:$C,$C537,$D:$D,$D537,$E:$E,"P0(후)",$M:$M,"&gt;0")&lt;&gt;1,"P0(후) 유효 1개 아님",IF(NOT(AND(ISNUMBER(O537),ISNUMBER(Q537),ISNUMBER(I537))),"시각 결측",IF(Q537&lt;=O537,"P0 시각 역전",IF(OR(I537&lt;O537,I537&gt;Q537),"측정시각 구간 밖","OK")))))</f>
        <v/>
      </c>
      <c r="O537" s="48">
        <f>IF(COUNTIFS($C:$C,$C537,$D:$D,$D537,$E:$E,"P0(전)",$M:$M,"&gt;0")&lt;&gt;1,"",SUMIFS($I:$I,$C:$C,$C537,$D:$D,$D537,$E:$E,"P0(전)"))</f>
        <v/>
      </c>
      <c r="P537" s="31">
        <f>IF(COUNTIFS($C:$C,$C537,$D:$D,$D537,$E:$E,"P0(전)",$M:$M,"&gt;0")&lt;&gt;1,"",SUMIFS($M:$M,$C:$C,$C537,$D:$D,$D537,$E:$E,"P0(전)"))</f>
        <v/>
      </c>
      <c r="Q537" s="48">
        <f>IF(COUNTIFS($C:$C,$C537,$D:$D,$D537,$E:$E,"P0(후)",$M:$M,"&gt;0")&lt;&gt;1,"",SUMIFS($I:$I,$C:$C,$C537,$D:$D,$D537,$E:$E,"P0(후)"))</f>
        <v/>
      </c>
      <c r="R537" s="31">
        <f>IF(COUNTIFS($C:$C,$C537,$D:$D,$D537,$E:$E,"P0(후)",$M:$M,"&gt;0")&lt;&gt;1,"",SUMIFS($M:$M,$C:$C,$C537,$D:$D,$D537,$E:$E,"P0(후)"))</f>
        <v/>
      </c>
      <c r="S537" s="31">
        <f>IF(N537&lt;&gt;"OK","",P537+(R537-P537)*(I537-O537)/(Q537-O537))</f>
        <v/>
      </c>
      <c r="T537" s="31">
        <f>IF(OR(N537&lt;&gt;"OK",NOT(ISNUMBER(M537))),"",M537-S537)</f>
        <v/>
      </c>
      <c r="U537" s="49">
        <f>IF(OR(NOT(ISNUMBER(T537)),IF(ISNUMBER(H537),H537,G537)=0),"",T537/IF(ISNUMBER(H537),H537,G537))</f>
        <v/>
      </c>
      <c r="V537" s="49">
        <f>IF(ISNUMBER(U537),ABS(U537),"")</f>
        <v/>
      </c>
      <c r="W537" s="49">
        <f>IF(OR($E536&lt;&gt;"측정",$C536&lt;&gt;$C537,$D536&lt;&gt;$D537,NOT(ISNUMBER(M537)),NOT(ISNUMBER(M536)),(IF(ISNUMBER(H537),H537,G537)-IF(ISNUMBER(H536),H536,G536))=0),"",(M537-M536)/(IF(ISNUMBER(H537),H537,G537)-IF(ISNUMBER(H536),H536,G536)))</f>
        <v/>
      </c>
      <c r="X537" s="31">
        <f>IF(NOT(AND(ISNUMBER(O537),ISNUMBER(Q537))),"",(Q537-O537)*1440)</f>
        <v/>
      </c>
      <c r="Y537" s="29" t="n"/>
      <c r="Z537" s="29" t="n"/>
      <c r="AA537" s="29" t="n"/>
      <c r="AB537" s="32" t="n"/>
      <c r="AC537" s="32" t="n"/>
    </row>
    <row r="538">
      <c r="A538" s="44" t="inlineStr">
        <is>
          <t>S11</t>
        </is>
      </c>
      <c r="B538" s="44" t="inlineStr">
        <is>
          <t>소천 신규점4</t>
        </is>
      </c>
      <c r="C538" s="44" t="inlineStr">
        <is>
          <t>S11-H동</t>
        </is>
      </c>
      <c r="D538" s="45" t="n">
        <v>1</v>
      </c>
      <c r="E538" s="44" t="inlineStr">
        <is>
          <t>P0(후)</t>
        </is>
      </c>
      <c r="F538" s="44" t="inlineStr">
        <is>
          <t>동</t>
        </is>
      </c>
      <c r="G538" s="46" t="n"/>
      <c r="H538" s="30" t="n"/>
      <c r="I538" s="43" t="n"/>
      <c r="J538" s="41" t="n"/>
      <c r="K538" s="41" t="n"/>
      <c r="L538" s="41" t="n"/>
      <c r="M538" s="31">
        <f>IF(COUNT(J538:L538)=0,"",MEDIAN(J538:L538))</f>
        <v/>
      </c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38" t="n"/>
      <c r="Y538" s="29" t="n"/>
      <c r="Z538" s="29" t="n"/>
      <c r="AA538" s="29" t="n"/>
      <c r="AB538" s="32" t="n"/>
      <c r="AC538" s="32" t="n"/>
    </row>
    <row r="539">
      <c r="A539" s="44" t="inlineStr">
        <is>
          <t>S11</t>
        </is>
      </c>
      <c r="B539" s="44" t="inlineStr">
        <is>
          <t>소천 신규점4</t>
        </is>
      </c>
      <c r="C539" s="44" t="inlineStr">
        <is>
          <t>S11-H서</t>
        </is>
      </c>
      <c r="D539" s="45" t="n">
        <v>1</v>
      </c>
      <c r="E539" s="44" t="inlineStr">
        <is>
          <t>P0(전)</t>
        </is>
      </c>
      <c r="F539" s="44" t="inlineStr">
        <is>
          <t>서</t>
        </is>
      </c>
      <c r="G539" s="46" t="n"/>
      <c r="H539" s="30" t="n"/>
      <c r="I539" s="43" t="n"/>
      <c r="J539" s="41" t="n"/>
      <c r="K539" s="41" t="n"/>
      <c r="L539" s="41" t="n"/>
      <c r="M539" s="31">
        <f>IF(COUNT(J539:L539)=0,"",MEDIAN(J539:L539))</f>
        <v/>
      </c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  <c r="X539" s="38" t="n"/>
      <c r="Y539" s="29" t="n"/>
      <c r="Z539" s="29" t="n"/>
      <c r="AA539" s="29" t="n"/>
      <c r="AB539" s="32" t="n"/>
      <c r="AC539" s="32" t="n"/>
    </row>
    <row r="540">
      <c r="A540" s="26" t="inlineStr">
        <is>
          <t>S11</t>
        </is>
      </c>
      <c r="B540" s="26" t="inlineStr">
        <is>
          <t>소천 신규점4</t>
        </is>
      </c>
      <c r="C540" s="26" t="inlineStr">
        <is>
          <t>S11-H서</t>
        </is>
      </c>
      <c r="D540" s="47" t="n">
        <v>1</v>
      </c>
      <c r="E540" s="26" t="inlineStr">
        <is>
          <t>측정</t>
        </is>
      </c>
      <c r="F540" s="26" t="inlineStr">
        <is>
          <t>서</t>
        </is>
      </c>
      <c r="G540" s="31" t="n">
        <v>0.5</v>
      </c>
      <c r="H540" s="30" t="n"/>
      <c r="I540" s="43" t="n"/>
      <c r="J540" s="41" t="n"/>
      <c r="K540" s="41" t="n"/>
      <c r="L540" s="41" t="n"/>
      <c r="M540" s="31">
        <f>IF(COUNT(J540:L540)=0,"",MEDIAN(J540:L540))</f>
        <v/>
      </c>
      <c r="N540" s="26">
        <f>IF(COUNTIFS($C:$C,$C540,$D:$D,$D540,$E:$E,"P0(전)",$M:$M,"&gt;0")&lt;&gt;1,"P0(전) 유효 1개 아님",IF(COUNTIFS($C:$C,$C540,$D:$D,$D540,$E:$E,"P0(후)",$M:$M,"&gt;0")&lt;&gt;1,"P0(후) 유효 1개 아님",IF(NOT(AND(ISNUMBER(O540),ISNUMBER(Q540),ISNUMBER(I540))),"시각 결측",IF(Q540&lt;=O540,"P0 시각 역전",IF(OR(I540&lt;O540,I540&gt;Q540),"측정시각 구간 밖","OK")))))</f>
        <v/>
      </c>
      <c r="O540" s="48">
        <f>IF(COUNTIFS($C:$C,$C540,$D:$D,$D540,$E:$E,"P0(전)",$M:$M,"&gt;0")&lt;&gt;1,"",SUMIFS($I:$I,$C:$C,$C540,$D:$D,$D540,$E:$E,"P0(전)"))</f>
        <v/>
      </c>
      <c r="P540" s="31">
        <f>IF(COUNTIFS($C:$C,$C540,$D:$D,$D540,$E:$E,"P0(전)",$M:$M,"&gt;0")&lt;&gt;1,"",SUMIFS($M:$M,$C:$C,$C540,$D:$D,$D540,$E:$E,"P0(전)"))</f>
        <v/>
      </c>
      <c r="Q540" s="48">
        <f>IF(COUNTIFS($C:$C,$C540,$D:$D,$D540,$E:$E,"P0(후)",$M:$M,"&gt;0")&lt;&gt;1,"",SUMIFS($I:$I,$C:$C,$C540,$D:$D,$D540,$E:$E,"P0(후)"))</f>
        <v/>
      </c>
      <c r="R540" s="31">
        <f>IF(COUNTIFS($C:$C,$C540,$D:$D,$D540,$E:$E,"P0(후)",$M:$M,"&gt;0")&lt;&gt;1,"",SUMIFS($M:$M,$C:$C,$C540,$D:$D,$D540,$E:$E,"P0(후)"))</f>
        <v/>
      </c>
      <c r="S540" s="31">
        <f>IF(N540&lt;&gt;"OK","",P540+(R540-P540)*(I540-O540)/(Q540-O540))</f>
        <v/>
      </c>
      <c r="T540" s="31">
        <f>IF(OR(N540&lt;&gt;"OK",NOT(ISNUMBER(M540))),"",M540-S540)</f>
        <v/>
      </c>
      <c r="U540" s="49">
        <f>IF(OR(NOT(ISNUMBER(T540)),IF(ISNUMBER(H540),H540,G540)=0),"",T540/IF(ISNUMBER(H540),H540,G540))</f>
        <v/>
      </c>
      <c r="V540" s="49">
        <f>IF(ISNUMBER(U540),ABS(U540),"")</f>
        <v/>
      </c>
      <c r="W540" s="49">
        <f>IF(OR($E539&lt;&gt;"측정",$C539&lt;&gt;$C540,$D539&lt;&gt;$D540,NOT(ISNUMBER(M540)),NOT(ISNUMBER(M539)),(IF(ISNUMBER(H540),H540,G540)-IF(ISNUMBER(H539),H539,G539))=0),"",(M540-M539)/(IF(ISNUMBER(H540),H540,G540)-IF(ISNUMBER(H539),H539,G539)))</f>
        <v/>
      </c>
      <c r="X540" s="31">
        <f>IF(NOT(AND(ISNUMBER(O540),ISNUMBER(Q540))),"",(Q540-O540)*1440)</f>
        <v/>
      </c>
      <c r="Y540" s="29" t="n"/>
      <c r="Z540" s="29" t="n"/>
      <c r="AA540" s="29" t="n"/>
      <c r="AB540" s="32" t="n"/>
      <c r="AC540" s="32" t="n"/>
    </row>
    <row r="541">
      <c r="A541" s="26" t="inlineStr">
        <is>
          <t>S11</t>
        </is>
      </c>
      <c r="B541" s="26" t="inlineStr">
        <is>
          <t>소천 신규점4</t>
        </is>
      </c>
      <c r="C541" s="26" t="inlineStr">
        <is>
          <t>S11-H서</t>
        </is>
      </c>
      <c r="D541" s="47" t="n">
        <v>1</v>
      </c>
      <c r="E541" s="26" t="inlineStr">
        <is>
          <t>측정</t>
        </is>
      </c>
      <c r="F541" s="26" t="inlineStr">
        <is>
          <t>서</t>
        </is>
      </c>
      <c r="G541" s="31" t="n">
        <v>1</v>
      </c>
      <c r="H541" s="30" t="n"/>
      <c r="I541" s="43" t="n"/>
      <c r="J541" s="41" t="n"/>
      <c r="K541" s="41" t="n"/>
      <c r="L541" s="41" t="n"/>
      <c r="M541" s="31">
        <f>IF(COUNT(J541:L541)=0,"",MEDIAN(J541:L541))</f>
        <v/>
      </c>
      <c r="N541" s="26">
        <f>IF(COUNTIFS($C:$C,$C541,$D:$D,$D541,$E:$E,"P0(전)",$M:$M,"&gt;0")&lt;&gt;1,"P0(전) 유효 1개 아님",IF(COUNTIFS($C:$C,$C541,$D:$D,$D541,$E:$E,"P0(후)",$M:$M,"&gt;0")&lt;&gt;1,"P0(후) 유효 1개 아님",IF(NOT(AND(ISNUMBER(O541),ISNUMBER(Q541),ISNUMBER(I541))),"시각 결측",IF(Q541&lt;=O541,"P0 시각 역전",IF(OR(I541&lt;O541,I541&gt;Q541),"측정시각 구간 밖","OK")))))</f>
        <v/>
      </c>
      <c r="O541" s="48">
        <f>IF(COUNTIFS($C:$C,$C541,$D:$D,$D541,$E:$E,"P0(전)",$M:$M,"&gt;0")&lt;&gt;1,"",SUMIFS($I:$I,$C:$C,$C541,$D:$D,$D541,$E:$E,"P0(전)"))</f>
        <v/>
      </c>
      <c r="P541" s="31">
        <f>IF(COUNTIFS($C:$C,$C541,$D:$D,$D541,$E:$E,"P0(전)",$M:$M,"&gt;0")&lt;&gt;1,"",SUMIFS($M:$M,$C:$C,$C541,$D:$D,$D541,$E:$E,"P0(전)"))</f>
        <v/>
      </c>
      <c r="Q541" s="48">
        <f>IF(COUNTIFS($C:$C,$C541,$D:$D,$D541,$E:$E,"P0(후)",$M:$M,"&gt;0")&lt;&gt;1,"",SUMIFS($I:$I,$C:$C,$C541,$D:$D,$D541,$E:$E,"P0(후)"))</f>
        <v/>
      </c>
      <c r="R541" s="31">
        <f>IF(COUNTIFS($C:$C,$C541,$D:$D,$D541,$E:$E,"P0(후)",$M:$M,"&gt;0")&lt;&gt;1,"",SUMIFS($M:$M,$C:$C,$C541,$D:$D,$D541,$E:$E,"P0(후)"))</f>
        <v/>
      </c>
      <c r="S541" s="31">
        <f>IF(N541&lt;&gt;"OK","",P541+(R541-P541)*(I541-O541)/(Q541-O541))</f>
        <v/>
      </c>
      <c r="T541" s="31">
        <f>IF(OR(N541&lt;&gt;"OK",NOT(ISNUMBER(M541))),"",M541-S541)</f>
        <v/>
      </c>
      <c r="U541" s="49">
        <f>IF(OR(NOT(ISNUMBER(T541)),IF(ISNUMBER(H541),H541,G541)=0),"",T541/IF(ISNUMBER(H541),H541,G541))</f>
        <v/>
      </c>
      <c r="V541" s="49">
        <f>IF(ISNUMBER(U541),ABS(U541),"")</f>
        <v/>
      </c>
      <c r="W541" s="49">
        <f>IF(OR($E540&lt;&gt;"측정",$C540&lt;&gt;$C541,$D540&lt;&gt;$D541,NOT(ISNUMBER(M541)),NOT(ISNUMBER(M540)),(IF(ISNUMBER(H541),H541,G541)-IF(ISNUMBER(H540),H540,G540))=0),"",(M541-M540)/(IF(ISNUMBER(H541),H541,G541)-IF(ISNUMBER(H540),H540,G540)))</f>
        <v/>
      </c>
      <c r="X541" s="31">
        <f>IF(NOT(AND(ISNUMBER(O541),ISNUMBER(Q541))),"",(Q541-O541)*1440)</f>
        <v/>
      </c>
      <c r="Y541" s="29" t="n"/>
      <c r="Z541" s="29" t="n"/>
      <c r="AA541" s="29" t="n"/>
      <c r="AB541" s="32" t="n"/>
      <c r="AC541" s="32" t="n"/>
    </row>
    <row r="542">
      <c r="A542" s="26" t="inlineStr">
        <is>
          <t>S11</t>
        </is>
      </c>
      <c r="B542" s="26" t="inlineStr">
        <is>
          <t>소천 신규점4</t>
        </is>
      </c>
      <c r="C542" s="26" t="inlineStr">
        <is>
          <t>S11-H서</t>
        </is>
      </c>
      <c r="D542" s="47" t="n">
        <v>1</v>
      </c>
      <c r="E542" s="26" t="inlineStr">
        <is>
          <t>측정</t>
        </is>
      </c>
      <c r="F542" s="26" t="inlineStr">
        <is>
          <t>서</t>
        </is>
      </c>
      <c r="G542" s="31" t="n">
        <v>2</v>
      </c>
      <c r="H542" s="30" t="n"/>
      <c r="I542" s="43" t="n"/>
      <c r="J542" s="41" t="n"/>
      <c r="K542" s="41" t="n"/>
      <c r="L542" s="41" t="n"/>
      <c r="M542" s="31">
        <f>IF(COUNT(J542:L542)=0,"",MEDIAN(J542:L542))</f>
        <v/>
      </c>
      <c r="N542" s="26">
        <f>IF(COUNTIFS($C:$C,$C542,$D:$D,$D542,$E:$E,"P0(전)",$M:$M,"&gt;0")&lt;&gt;1,"P0(전) 유효 1개 아님",IF(COUNTIFS($C:$C,$C542,$D:$D,$D542,$E:$E,"P0(후)",$M:$M,"&gt;0")&lt;&gt;1,"P0(후) 유효 1개 아님",IF(NOT(AND(ISNUMBER(O542),ISNUMBER(Q542),ISNUMBER(I542))),"시각 결측",IF(Q542&lt;=O542,"P0 시각 역전",IF(OR(I542&lt;O542,I542&gt;Q542),"측정시각 구간 밖","OK")))))</f>
        <v/>
      </c>
      <c r="O542" s="48">
        <f>IF(COUNTIFS($C:$C,$C542,$D:$D,$D542,$E:$E,"P0(전)",$M:$M,"&gt;0")&lt;&gt;1,"",SUMIFS($I:$I,$C:$C,$C542,$D:$D,$D542,$E:$E,"P0(전)"))</f>
        <v/>
      </c>
      <c r="P542" s="31">
        <f>IF(COUNTIFS($C:$C,$C542,$D:$D,$D542,$E:$E,"P0(전)",$M:$M,"&gt;0")&lt;&gt;1,"",SUMIFS($M:$M,$C:$C,$C542,$D:$D,$D542,$E:$E,"P0(전)"))</f>
        <v/>
      </c>
      <c r="Q542" s="48">
        <f>IF(COUNTIFS($C:$C,$C542,$D:$D,$D542,$E:$E,"P0(후)",$M:$M,"&gt;0")&lt;&gt;1,"",SUMIFS($I:$I,$C:$C,$C542,$D:$D,$D542,$E:$E,"P0(후)"))</f>
        <v/>
      </c>
      <c r="R542" s="31">
        <f>IF(COUNTIFS($C:$C,$C542,$D:$D,$D542,$E:$E,"P0(후)",$M:$M,"&gt;0")&lt;&gt;1,"",SUMIFS($M:$M,$C:$C,$C542,$D:$D,$D542,$E:$E,"P0(후)"))</f>
        <v/>
      </c>
      <c r="S542" s="31">
        <f>IF(N542&lt;&gt;"OK","",P542+(R542-P542)*(I542-O542)/(Q542-O542))</f>
        <v/>
      </c>
      <c r="T542" s="31">
        <f>IF(OR(N542&lt;&gt;"OK",NOT(ISNUMBER(M542))),"",M542-S542)</f>
        <v/>
      </c>
      <c r="U542" s="49">
        <f>IF(OR(NOT(ISNUMBER(T542)),IF(ISNUMBER(H542),H542,G542)=0),"",T542/IF(ISNUMBER(H542),H542,G542))</f>
        <v/>
      </c>
      <c r="V542" s="49">
        <f>IF(ISNUMBER(U542),ABS(U542),"")</f>
        <v/>
      </c>
      <c r="W542" s="49">
        <f>IF(OR($E541&lt;&gt;"측정",$C541&lt;&gt;$C542,$D541&lt;&gt;$D542,NOT(ISNUMBER(M542)),NOT(ISNUMBER(M541)),(IF(ISNUMBER(H542),H542,G542)-IF(ISNUMBER(H541),H541,G541))=0),"",(M542-M541)/(IF(ISNUMBER(H542),H542,G542)-IF(ISNUMBER(H541),H541,G541)))</f>
        <v/>
      </c>
      <c r="X542" s="31">
        <f>IF(NOT(AND(ISNUMBER(O542),ISNUMBER(Q542))),"",(Q542-O542)*1440)</f>
        <v/>
      </c>
      <c r="Y542" s="29" t="n"/>
      <c r="Z542" s="29" t="n"/>
      <c r="AA542" s="29" t="n"/>
      <c r="AB542" s="32" t="n"/>
      <c r="AC542" s="32" t="n"/>
    </row>
    <row r="543">
      <c r="A543" s="26" t="inlineStr">
        <is>
          <t>S11</t>
        </is>
      </c>
      <c r="B543" s="26" t="inlineStr">
        <is>
          <t>소천 신규점4</t>
        </is>
      </c>
      <c r="C543" s="26" t="inlineStr">
        <is>
          <t>S11-H서</t>
        </is>
      </c>
      <c r="D543" s="47" t="n">
        <v>1</v>
      </c>
      <c r="E543" s="26" t="inlineStr">
        <is>
          <t>측정</t>
        </is>
      </c>
      <c r="F543" s="26" t="inlineStr">
        <is>
          <t>서</t>
        </is>
      </c>
      <c r="G543" s="31" t="n">
        <v>3</v>
      </c>
      <c r="H543" s="30" t="n"/>
      <c r="I543" s="43" t="n"/>
      <c r="J543" s="41" t="n"/>
      <c r="K543" s="41" t="n"/>
      <c r="L543" s="41" t="n"/>
      <c r="M543" s="31">
        <f>IF(COUNT(J543:L543)=0,"",MEDIAN(J543:L543))</f>
        <v/>
      </c>
      <c r="N543" s="26">
        <f>IF(COUNTIFS($C:$C,$C543,$D:$D,$D543,$E:$E,"P0(전)",$M:$M,"&gt;0")&lt;&gt;1,"P0(전) 유효 1개 아님",IF(COUNTIFS($C:$C,$C543,$D:$D,$D543,$E:$E,"P0(후)",$M:$M,"&gt;0")&lt;&gt;1,"P0(후) 유효 1개 아님",IF(NOT(AND(ISNUMBER(O543),ISNUMBER(Q543),ISNUMBER(I543))),"시각 결측",IF(Q543&lt;=O543,"P0 시각 역전",IF(OR(I543&lt;O543,I543&gt;Q543),"측정시각 구간 밖","OK")))))</f>
        <v/>
      </c>
      <c r="O543" s="48">
        <f>IF(COUNTIFS($C:$C,$C543,$D:$D,$D543,$E:$E,"P0(전)",$M:$M,"&gt;0")&lt;&gt;1,"",SUMIFS($I:$I,$C:$C,$C543,$D:$D,$D543,$E:$E,"P0(전)"))</f>
        <v/>
      </c>
      <c r="P543" s="31">
        <f>IF(COUNTIFS($C:$C,$C543,$D:$D,$D543,$E:$E,"P0(전)",$M:$M,"&gt;0")&lt;&gt;1,"",SUMIFS($M:$M,$C:$C,$C543,$D:$D,$D543,$E:$E,"P0(전)"))</f>
        <v/>
      </c>
      <c r="Q543" s="48">
        <f>IF(COUNTIFS($C:$C,$C543,$D:$D,$D543,$E:$E,"P0(후)",$M:$M,"&gt;0")&lt;&gt;1,"",SUMIFS($I:$I,$C:$C,$C543,$D:$D,$D543,$E:$E,"P0(후)"))</f>
        <v/>
      </c>
      <c r="R543" s="31">
        <f>IF(COUNTIFS($C:$C,$C543,$D:$D,$D543,$E:$E,"P0(후)",$M:$M,"&gt;0")&lt;&gt;1,"",SUMIFS($M:$M,$C:$C,$C543,$D:$D,$D543,$E:$E,"P0(후)"))</f>
        <v/>
      </c>
      <c r="S543" s="31">
        <f>IF(N543&lt;&gt;"OK","",P543+(R543-P543)*(I543-O543)/(Q543-O543))</f>
        <v/>
      </c>
      <c r="T543" s="31">
        <f>IF(OR(N543&lt;&gt;"OK",NOT(ISNUMBER(M543))),"",M543-S543)</f>
        <v/>
      </c>
      <c r="U543" s="49">
        <f>IF(OR(NOT(ISNUMBER(T543)),IF(ISNUMBER(H543),H543,G543)=0),"",T543/IF(ISNUMBER(H543),H543,G543))</f>
        <v/>
      </c>
      <c r="V543" s="49">
        <f>IF(ISNUMBER(U543),ABS(U543),"")</f>
        <v/>
      </c>
      <c r="W543" s="49">
        <f>IF(OR($E542&lt;&gt;"측정",$C542&lt;&gt;$C543,$D542&lt;&gt;$D543,NOT(ISNUMBER(M543)),NOT(ISNUMBER(M542)),(IF(ISNUMBER(H543),H543,G543)-IF(ISNUMBER(H542),H542,G542))=0),"",(M543-M542)/(IF(ISNUMBER(H543),H543,G543)-IF(ISNUMBER(H542),H542,G542)))</f>
        <v/>
      </c>
      <c r="X543" s="31">
        <f>IF(NOT(AND(ISNUMBER(O543),ISNUMBER(Q543))),"",(Q543-O543)*1440)</f>
        <v/>
      </c>
      <c r="Y543" s="29" t="n"/>
      <c r="Z543" s="29" t="n"/>
      <c r="AA543" s="29" t="n"/>
      <c r="AB543" s="32" t="n"/>
      <c r="AC543" s="32" t="n"/>
    </row>
    <row r="544">
      <c r="A544" s="26" t="inlineStr">
        <is>
          <t>S11</t>
        </is>
      </c>
      <c r="B544" s="26" t="inlineStr">
        <is>
          <t>소천 신규점4</t>
        </is>
      </c>
      <c r="C544" s="26" t="inlineStr">
        <is>
          <t>S11-H서</t>
        </is>
      </c>
      <c r="D544" s="47" t="n">
        <v>1</v>
      </c>
      <c r="E544" s="26" t="inlineStr">
        <is>
          <t>측정</t>
        </is>
      </c>
      <c r="F544" s="26" t="inlineStr">
        <is>
          <t>서</t>
        </is>
      </c>
      <c r="G544" s="31" t="n">
        <v>4</v>
      </c>
      <c r="H544" s="30" t="n"/>
      <c r="I544" s="43" t="n"/>
      <c r="J544" s="41" t="n"/>
      <c r="K544" s="41" t="n"/>
      <c r="L544" s="41" t="n"/>
      <c r="M544" s="31">
        <f>IF(COUNT(J544:L544)=0,"",MEDIAN(J544:L544))</f>
        <v/>
      </c>
      <c r="N544" s="26">
        <f>IF(COUNTIFS($C:$C,$C544,$D:$D,$D544,$E:$E,"P0(전)",$M:$M,"&gt;0")&lt;&gt;1,"P0(전) 유효 1개 아님",IF(COUNTIFS($C:$C,$C544,$D:$D,$D544,$E:$E,"P0(후)",$M:$M,"&gt;0")&lt;&gt;1,"P0(후) 유효 1개 아님",IF(NOT(AND(ISNUMBER(O544),ISNUMBER(Q544),ISNUMBER(I544))),"시각 결측",IF(Q544&lt;=O544,"P0 시각 역전",IF(OR(I544&lt;O544,I544&gt;Q544),"측정시각 구간 밖","OK")))))</f>
        <v/>
      </c>
      <c r="O544" s="48">
        <f>IF(COUNTIFS($C:$C,$C544,$D:$D,$D544,$E:$E,"P0(전)",$M:$M,"&gt;0")&lt;&gt;1,"",SUMIFS($I:$I,$C:$C,$C544,$D:$D,$D544,$E:$E,"P0(전)"))</f>
        <v/>
      </c>
      <c r="P544" s="31">
        <f>IF(COUNTIFS($C:$C,$C544,$D:$D,$D544,$E:$E,"P0(전)",$M:$M,"&gt;0")&lt;&gt;1,"",SUMIFS($M:$M,$C:$C,$C544,$D:$D,$D544,$E:$E,"P0(전)"))</f>
        <v/>
      </c>
      <c r="Q544" s="48">
        <f>IF(COUNTIFS($C:$C,$C544,$D:$D,$D544,$E:$E,"P0(후)",$M:$M,"&gt;0")&lt;&gt;1,"",SUMIFS($I:$I,$C:$C,$C544,$D:$D,$D544,$E:$E,"P0(후)"))</f>
        <v/>
      </c>
      <c r="R544" s="31">
        <f>IF(COUNTIFS($C:$C,$C544,$D:$D,$D544,$E:$E,"P0(후)",$M:$M,"&gt;0")&lt;&gt;1,"",SUMIFS($M:$M,$C:$C,$C544,$D:$D,$D544,$E:$E,"P0(후)"))</f>
        <v/>
      </c>
      <c r="S544" s="31">
        <f>IF(N544&lt;&gt;"OK","",P544+(R544-P544)*(I544-O544)/(Q544-O544))</f>
        <v/>
      </c>
      <c r="T544" s="31">
        <f>IF(OR(N544&lt;&gt;"OK",NOT(ISNUMBER(M544))),"",M544-S544)</f>
        <v/>
      </c>
      <c r="U544" s="49">
        <f>IF(OR(NOT(ISNUMBER(T544)),IF(ISNUMBER(H544),H544,G544)=0),"",T544/IF(ISNUMBER(H544),H544,G544))</f>
        <v/>
      </c>
      <c r="V544" s="49">
        <f>IF(ISNUMBER(U544),ABS(U544),"")</f>
        <v/>
      </c>
      <c r="W544" s="49">
        <f>IF(OR($E543&lt;&gt;"측정",$C543&lt;&gt;$C544,$D543&lt;&gt;$D544,NOT(ISNUMBER(M544)),NOT(ISNUMBER(M543)),(IF(ISNUMBER(H544),H544,G544)-IF(ISNUMBER(H543),H543,G543))=0),"",(M544-M543)/(IF(ISNUMBER(H544),H544,G544)-IF(ISNUMBER(H543),H543,G543)))</f>
        <v/>
      </c>
      <c r="X544" s="31">
        <f>IF(NOT(AND(ISNUMBER(O544),ISNUMBER(Q544))),"",(Q544-O544)*1440)</f>
        <v/>
      </c>
      <c r="Y544" s="29" t="n"/>
      <c r="Z544" s="29" t="n"/>
      <c r="AA544" s="29" t="n"/>
      <c r="AB544" s="32" t="n"/>
      <c r="AC544" s="32" t="n"/>
    </row>
    <row r="545">
      <c r="A545" s="26" t="inlineStr">
        <is>
          <t>S11</t>
        </is>
      </c>
      <c r="B545" s="26" t="inlineStr">
        <is>
          <t>소천 신규점4</t>
        </is>
      </c>
      <c r="C545" s="26" t="inlineStr">
        <is>
          <t>S11-H서</t>
        </is>
      </c>
      <c r="D545" s="47" t="n">
        <v>1</v>
      </c>
      <c r="E545" s="26" t="inlineStr">
        <is>
          <t>측정</t>
        </is>
      </c>
      <c r="F545" s="26" t="inlineStr">
        <is>
          <t>서</t>
        </is>
      </c>
      <c r="G545" s="31" t="n">
        <v>5</v>
      </c>
      <c r="H545" s="30" t="n"/>
      <c r="I545" s="43" t="n"/>
      <c r="J545" s="41" t="n"/>
      <c r="K545" s="41" t="n"/>
      <c r="L545" s="41" t="n"/>
      <c r="M545" s="31">
        <f>IF(COUNT(J545:L545)=0,"",MEDIAN(J545:L545))</f>
        <v/>
      </c>
      <c r="N545" s="26">
        <f>IF(COUNTIFS($C:$C,$C545,$D:$D,$D545,$E:$E,"P0(전)",$M:$M,"&gt;0")&lt;&gt;1,"P0(전) 유효 1개 아님",IF(COUNTIFS($C:$C,$C545,$D:$D,$D545,$E:$E,"P0(후)",$M:$M,"&gt;0")&lt;&gt;1,"P0(후) 유효 1개 아님",IF(NOT(AND(ISNUMBER(O545),ISNUMBER(Q545),ISNUMBER(I545))),"시각 결측",IF(Q545&lt;=O545,"P0 시각 역전",IF(OR(I545&lt;O545,I545&gt;Q545),"측정시각 구간 밖","OK")))))</f>
        <v/>
      </c>
      <c r="O545" s="48">
        <f>IF(COUNTIFS($C:$C,$C545,$D:$D,$D545,$E:$E,"P0(전)",$M:$M,"&gt;0")&lt;&gt;1,"",SUMIFS($I:$I,$C:$C,$C545,$D:$D,$D545,$E:$E,"P0(전)"))</f>
        <v/>
      </c>
      <c r="P545" s="31">
        <f>IF(COUNTIFS($C:$C,$C545,$D:$D,$D545,$E:$E,"P0(전)",$M:$M,"&gt;0")&lt;&gt;1,"",SUMIFS($M:$M,$C:$C,$C545,$D:$D,$D545,$E:$E,"P0(전)"))</f>
        <v/>
      </c>
      <c r="Q545" s="48">
        <f>IF(COUNTIFS($C:$C,$C545,$D:$D,$D545,$E:$E,"P0(후)",$M:$M,"&gt;0")&lt;&gt;1,"",SUMIFS($I:$I,$C:$C,$C545,$D:$D,$D545,$E:$E,"P0(후)"))</f>
        <v/>
      </c>
      <c r="R545" s="31">
        <f>IF(COUNTIFS($C:$C,$C545,$D:$D,$D545,$E:$E,"P0(후)",$M:$M,"&gt;0")&lt;&gt;1,"",SUMIFS($M:$M,$C:$C,$C545,$D:$D,$D545,$E:$E,"P0(후)"))</f>
        <v/>
      </c>
      <c r="S545" s="31">
        <f>IF(N545&lt;&gt;"OK","",P545+(R545-P545)*(I545-O545)/(Q545-O545))</f>
        <v/>
      </c>
      <c r="T545" s="31">
        <f>IF(OR(N545&lt;&gt;"OK",NOT(ISNUMBER(M545))),"",M545-S545)</f>
        <v/>
      </c>
      <c r="U545" s="49">
        <f>IF(OR(NOT(ISNUMBER(T545)),IF(ISNUMBER(H545),H545,G545)=0),"",T545/IF(ISNUMBER(H545),H545,G545))</f>
        <v/>
      </c>
      <c r="V545" s="49">
        <f>IF(ISNUMBER(U545),ABS(U545),"")</f>
        <v/>
      </c>
      <c r="W545" s="49">
        <f>IF(OR($E544&lt;&gt;"측정",$C544&lt;&gt;$C545,$D544&lt;&gt;$D545,NOT(ISNUMBER(M545)),NOT(ISNUMBER(M544)),(IF(ISNUMBER(H545),H545,G545)-IF(ISNUMBER(H544),H544,G544))=0),"",(M545-M544)/(IF(ISNUMBER(H545),H545,G545)-IF(ISNUMBER(H544),H544,G544)))</f>
        <v/>
      </c>
      <c r="X545" s="31">
        <f>IF(NOT(AND(ISNUMBER(O545),ISNUMBER(Q545))),"",(Q545-O545)*1440)</f>
        <v/>
      </c>
      <c r="Y545" s="29" t="n"/>
      <c r="Z545" s="29" t="n"/>
      <c r="AA545" s="29" t="n"/>
      <c r="AB545" s="32" t="n"/>
      <c r="AC545" s="32" t="n"/>
    </row>
    <row r="546">
      <c r="A546" s="26" t="inlineStr">
        <is>
          <t>S11</t>
        </is>
      </c>
      <c r="B546" s="26" t="inlineStr">
        <is>
          <t>소천 신규점4</t>
        </is>
      </c>
      <c r="C546" s="26" t="inlineStr">
        <is>
          <t>S11-H서</t>
        </is>
      </c>
      <c r="D546" s="47" t="n">
        <v>1</v>
      </c>
      <c r="E546" s="26" t="inlineStr">
        <is>
          <t>측정</t>
        </is>
      </c>
      <c r="F546" s="26" t="inlineStr">
        <is>
          <t>서</t>
        </is>
      </c>
      <c r="G546" s="31" t="n">
        <v>6</v>
      </c>
      <c r="H546" s="30" t="n"/>
      <c r="I546" s="43" t="n"/>
      <c r="J546" s="41" t="n"/>
      <c r="K546" s="41" t="n"/>
      <c r="L546" s="41" t="n"/>
      <c r="M546" s="31">
        <f>IF(COUNT(J546:L546)=0,"",MEDIAN(J546:L546))</f>
        <v/>
      </c>
      <c r="N546" s="26">
        <f>IF(COUNTIFS($C:$C,$C546,$D:$D,$D546,$E:$E,"P0(전)",$M:$M,"&gt;0")&lt;&gt;1,"P0(전) 유효 1개 아님",IF(COUNTIFS($C:$C,$C546,$D:$D,$D546,$E:$E,"P0(후)",$M:$M,"&gt;0")&lt;&gt;1,"P0(후) 유효 1개 아님",IF(NOT(AND(ISNUMBER(O546),ISNUMBER(Q546),ISNUMBER(I546))),"시각 결측",IF(Q546&lt;=O546,"P0 시각 역전",IF(OR(I546&lt;O546,I546&gt;Q546),"측정시각 구간 밖","OK")))))</f>
        <v/>
      </c>
      <c r="O546" s="48">
        <f>IF(COUNTIFS($C:$C,$C546,$D:$D,$D546,$E:$E,"P0(전)",$M:$M,"&gt;0")&lt;&gt;1,"",SUMIFS($I:$I,$C:$C,$C546,$D:$D,$D546,$E:$E,"P0(전)"))</f>
        <v/>
      </c>
      <c r="P546" s="31">
        <f>IF(COUNTIFS($C:$C,$C546,$D:$D,$D546,$E:$E,"P0(전)",$M:$M,"&gt;0")&lt;&gt;1,"",SUMIFS($M:$M,$C:$C,$C546,$D:$D,$D546,$E:$E,"P0(전)"))</f>
        <v/>
      </c>
      <c r="Q546" s="48">
        <f>IF(COUNTIFS($C:$C,$C546,$D:$D,$D546,$E:$E,"P0(후)",$M:$M,"&gt;0")&lt;&gt;1,"",SUMIFS($I:$I,$C:$C,$C546,$D:$D,$D546,$E:$E,"P0(후)"))</f>
        <v/>
      </c>
      <c r="R546" s="31">
        <f>IF(COUNTIFS($C:$C,$C546,$D:$D,$D546,$E:$E,"P0(후)",$M:$M,"&gt;0")&lt;&gt;1,"",SUMIFS($M:$M,$C:$C,$C546,$D:$D,$D546,$E:$E,"P0(후)"))</f>
        <v/>
      </c>
      <c r="S546" s="31">
        <f>IF(N546&lt;&gt;"OK","",P546+(R546-P546)*(I546-O546)/(Q546-O546))</f>
        <v/>
      </c>
      <c r="T546" s="31">
        <f>IF(OR(N546&lt;&gt;"OK",NOT(ISNUMBER(M546))),"",M546-S546)</f>
        <v/>
      </c>
      <c r="U546" s="49">
        <f>IF(OR(NOT(ISNUMBER(T546)),IF(ISNUMBER(H546),H546,G546)=0),"",T546/IF(ISNUMBER(H546),H546,G546))</f>
        <v/>
      </c>
      <c r="V546" s="49">
        <f>IF(ISNUMBER(U546),ABS(U546),"")</f>
        <v/>
      </c>
      <c r="W546" s="49">
        <f>IF(OR($E545&lt;&gt;"측정",$C545&lt;&gt;$C546,$D545&lt;&gt;$D546,NOT(ISNUMBER(M546)),NOT(ISNUMBER(M545)),(IF(ISNUMBER(H546),H546,G546)-IF(ISNUMBER(H545),H545,G545))=0),"",(M546-M545)/(IF(ISNUMBER(H546),H546,G546)-IF(ISNUMBER(H545),H545,G545)))</f>
        <v/>
      </c>
      <c r="X546" s="31">
        <f>IF(NOT(AND(ISNUMBER(O546),ISNUMBER(Q546))),"",(Q546-O546)*1440)</f>
        <v/>
      </c>
      <c r="Y546" s="29" t="n"/>
      <c r="Z546" s="29" t="n"/>
      <c r="AA546" s="29" t="n"/>
      <c r="AB546" s="32" t="n"/>
      <c r="AC546" s="32" t="n"/>
    </row>
    <row r="547">
      <c r="A547" s="26" t="inlineStr">
        <is>
          <t>S11</t>
        </is>
      </c>
      <c r="B547" s="26" t="inlineStr">
        <is>
          <t>소천 신규점4</t>
        </is>
      </c>
      <c r="C547" s="26" t="inlineStr">
        <is>
          <t>S11-H서</t>
        </is>
      </c>
      <c r="D547" s="47" t="n">
        <v>1</v>
      </c>
      <c r="E547" s="26" t="inlineStr">
        <is>
          <t>측정</t>
        </is>
      </c>
      <c r="F547" s="26" t="inlineStr">
        <is>
          <t>서</t>
        </is>
      </c>
      <c r="G547" s="31" t="n">
        <v>7</v>
      </c>
      <c r="H547" s="30" t="n"/>
      <c r="I547" s="43" t="n"/>
      <c r="J547" s="41" t="n"/>
      <c r="K547" s="41" t="n"/>
      <c r="L547" s="41" t="n"/>
      <c r="M547" s="31">
        <f>IF(COUNT(J547:L547)=0,"",MEDIAN(J547:L547))</f>
        <v/>
      </c>
      <c r="N547" s="26">
        <f>IF(COUNTIFS($C:$C,$C547,$D:$D,$D547,$E:$E,"P0(전)",$M:$M,"&gt;0")&lt;&gt;1,"P0(전) 유효 1개 아님",IF(COUNTIFS($C:$C,$C547,$D:$D,$D547,$E:$E,"P0(후)",$M:$M,"&gt;0")&lt;&gt;1,"P0(후) 유효 1개 아님",IF(NOT(AND(ISNUMBER(O547),ISNUMBER(Q547),ISNUMBER(I547))),"시각 결측",IF(Q547&lt;=O547,"P0 시각 역전",IF(OR(I547&lt;O547,I547&gt;Q547),"측정시각 구간 밖","OK")))))</f>
        <v/>
      </c>
      <c r="O547" s="48">
        <f>IF(COUNTIFS($C:$C,$C547,$D:$D,$D547,$E:$E,"P0(전)",$M:$M,"&gt;0")&lt;&gt;1,"",SUMIFS($I:$I,$C:$C,$C547,$D:$D,$D547,$E:$E,"P0(전)"))</f>
        <v/>
      </c>
      <c r="P547" s="31">
        <f>IF(COUNTIFS($C:$C,$C547,$D:$D,$D547,$E:$E,"P0(전)",$M:$M,"&gt;0")&lt;&gt;1,"",SUMIFS($M:$M,$C:$C,$C547,$D:$D,$D547,$E:$E,"P0(전)"))</f>
        <v/>
      </c>
      <c r="Q547" s="48">
        <f>IF(COUNTIFS($C:$C,$C547,$D:$D,$D547,$E:$E,"P0(후)",$M:$M,"&gt;0")&lt;&gt;1,"",SUMIFS($I:$I,$C:$C,$C547,$D:$D,$D547,$E:$E,"P0(후)"))</f>
        <v/>
      </c>
      <c r="R547" s="31">
        <f>IF(COUNTIFS($C:$C,$C547,$D:$D,$D547,$E:$E,"P0(후)",$M:$M,"&gt;0")&lt;&gt;1,"",SUMIFS($M:$M,$C:$C,$C547,$D:$D,$D547,$E:$E,"P0(후)"))</f>
        <v/>
      </c>
      <c r="S547" s="31">
        <f>IF(N547&lt;&gt;"OK","",P547+(R547-P547)*(I547-O547)/(Q547-O547))</f>
        <v/>
      </c>
      <c r="T547" s="31">
        <f>IF(OR(N547&lt;&gt;"OK",NOT(ISNUMBER(M547))),"",M547-S547)</f>
        <v/>
      </c>
      <c r="U547" s="49">
        <f>IF(OR(NOT(ISNUMBER(T547)),IF(ISNUMBER(H547),H547,G547)=0),"",T547/IF(ISNUMBER(H547),H547,G547))</f>
        <v/>
      </c>
      <c r="V547" s="49">
        <f>IF(ISNUMBER(U547),ABS(U547),"")</f>
        <v/>
      </c>
      <c r="W547" s="49">
        <f>IF(OR($E546&lt;&gt;"측정",$C546&lt;&gt;$C547,$D546&lt;&gt;$D547,NOT(ISNUMBER(M547)),NOT(ISNUMBER(M546)),(IF(ISNUMBER(H547),H547,G547)-IF(ISNUMBER(H546),H546,G546))=0),"",(M547-M546)/(IF(ISNUMBER(H547),H547,G547)-IF(ISNUMBER(H546),H546,G546)))</f>
        <v/>
      </c>
      <c r="X547" s="31">
        <f>IF(NOT(AND(ISNUMBER(O547),ISNUMBER(Q547))),"",(Q547-O547)*1440)</f>
        <v/>
      </c>
      <c r="Y547" s="29" t="n"/>
      <c r="Z547" s="29" t="n"/>
      <c r="AA547" s="29" t="n"/>
      <c r="AB547" s="32" t="n"/>
      <c r="AC547" s="32" t="n"/>
    </row>
    <row r="548">
      <c r="A548" s="26" t="inlineStr">
        <is>
          <t>S11</t>
        </is>
      </c>
      <c r="B548" s="26" t="inlineStr">
        <is>
          <t>소천 신규점4</t>
        </is>
      </c>
      <c r="C548" s="26" t="inlineStr">
        <is>
          <t>S11-H서</t>
        </is>
      </c>
      <c r="D548" s="47" t="n">
        <v>1</v>
      </c>
      <c r="E548" s="26" t="inlineStr">
        <is>
          <t>측정</t>
        </is>
      </c>
      <c r="F548" s="26" t="inlineStr">
        <is>
          <t>서</t>
        </is>
      </c>
      <c r="G548" s="31" t="n">
        <v>8</v>
      </c>
      <c r="H548" s="30" t="n"/>
      <c r="I548" s="43" t="n"/>
      <c r="J548" s="41" t="n"/>
      <c r="K548" s="41" t="n"/>
      <c r="L548" s="41" t="n"/>
      <c r="M548" s="31">
        <f>IF(COUNT(J548:L548)=0,"",MEDIAN(J548:L548))</f>
        <v/>
      </c>
      <c r="N548" s="26">
        <f>IF(COUNTIFS($C:$C,$C548,$D:$D,$D548,$E:$E,"P0(전)",$M:$M,"&gt;0")&lt;&gt;1,"P0(전) 유효 1개 아님",IF(COUNTIFS($C:$C,$C548,$D:$D,$D548,$E:$E,"P0(후)",$M:$M,"&gt;0")&lt;&gt;1,"P0(후) 유효 1개 아님",IF(NOT(AND(ISNUMBER(O548),ISNUMBER(Q548),ISNUMBER(I548))),"시각 결측",IF(Q548&lt;=O548,"P0 시각 역전",IF(OR(I548&lt;O548,I548&gt;Q548),"측정시각 구간 밖","OK")))))</f>
        <v/>
      </c>
      <c r="O548" s="48">
        <f>IF(COUNTIFS($C:$C,$C548,$D:$D,$D548,$E:$E,"P0(전)",$M:$M,"&gt;0")&lt;&gt;1,"",SUMIFS($I:$I,$C:$C,$C548,$D:$D,$D548,$E:$E,"P0(전)"))</f>
        <v/>
      </c>
      <c r="P548" s="31">
        <f>IF(COUNTIFS($C:$C,$C548,$D:$D,$D548,$E:$E,"P0(전)",$M:$M,"&gt;0")&lt;&gt;1,"",SUMIFS($M:$M,$C:$C,$C548,$D:$D,$D548,$E:$E,"P0(전)"))</f>
        <v/>
      </c>
      <c r="Q548" s="48">
        <f>IF(COUNTIFS($C:$C,$C548,$D:$D,$D548,$E:$E,"P0(후)",$M:$M,"&gt;0")&lt;&gt;1,"",SUMIFS($I:$I,$C:$C,$C548,$D:$D,$D548,$E:$E,"P0(후)"))</f>
        <v/>
      </c>
      <c r="R548" s="31">
        <f>IF(COUNTIFS($C:$C,$C548,$D:$D,$D548,$E:$E,"P0(후)",$M:$M,"&gt;0")&lt;&gt;1,"",SUMIFS($M:$M,$C:$C,$C548,$D:$D,$D548,$E:$E,"P0(후)"))</f>
        <v/>
      </c>
      <c r="S548" s="31">
        <f>IF(N548&lt;&gt;"OK","",P548+(R548-P548)*(I548-O548)/(Q548-O548))</f>
        <v/>
      </c>
      <c r="T548" s="31">
        <f>IF(OR(N548&lt;&gt;"OK",NOT(ISNUMBER(M548))),"",M548-S548)</f>
        <v/>
      </c>
      <c r="U548" s="49">
        <f>IF(OR(NOT(ISNUMBER(T548)),IF(ISNUMBER(H548),H548,G548)=0),"",T548/IF(ISNUMBER(H548),H548,G548))</f>
        <v/>
      </c>
      <c r="V548" s="49">
        <f>IF(ISNUMBER(U548),ABS(U548),"")</f>
        <v/>
      </c>
      <c r="W548" s="49">
        <f>IF(OR($E547&lt;&gt;"측정",$C547&lt;&gt;$C548,$D547&lt;&gt;$D548,NOT(ISNUMBER(M548)),NOT(ISNUMBER(M547)),(IF(ISNUMBER(H548),H548,G548)-IF(ISNUMBER(H547),H547,G547))=0),"",(M548-M547)/(IF(ISNUMBER(H548),H548,G548)-IF(ISNUMBER(H547),H547,G547)))</f>
        <v/>
      </c>
      <c r="X548" s="31">
        <f>IF(NOT(AND(ISNUMBER(O548),ISNUMBER(Q548))),"",(Q548-O548)*1440)</f>
        <v/>
      </c>
      <c r="Y548" s="29" t="n"/>
      <c r="Z548" s="29" t="n"/>
      <c r="AA548" s="29" t="n"/>
      <c r="AB548" s="32" t="n"/>
      <c r="AC548" s="32" t="n"/>
    </row>
    <row r="549">
      <c r="A549" s="26" t="inlineStr">
        <is>
          <t>S11</t>
        </is>
      </c>
      <c r="B549" s="26" t="inlineStr">
        <is>
          <t>소천 신규점4</t>
        </is>
      </c>
      <c r="C549" s="26" t="inlineStr">
        <is>
          <t>S11-H서</t>
        </is>
      </c>
      <c r="D549" s="47" t="n">
        <v>1</v>
      </c>
      <c r="E549" s="26" t="inlineStr">
        <is>
          <t>측정</t>
        </is>
      </c>
      <c r="F549" s="26" t="inlineStr">
        <is>
          <t>서</t>
        </is>
      </c>
      <c r="G549" s="31" t="n">
        <v>9</v>
      </c>
      <c r="H549" s="30" t="n"/>
      <c r="I549" s="43" t="n"/>
      <c r="J549" s="41" t="n"/>
      <c r="K549" s="41" t="n"/>
      <c r="L549" s="41" t="n"/>
      <c r="M549" s="31">
        <f>IF(COUNT(J549:L549)=0,"",MEDIAN(J549:L549))</f>
        <v/>
      </c>
      <c r="N549" s="26">
        <f>IF(COUNTIFS($C:$C,$C549,$D:$D,$D549,$E:$E,"P0(전)",$M:$M,"&gt;0")&lt;&gt;1,"P0(전) 유효 1개 아님",IF(COUNTIFS($C:$C,$C549,$D:$D,$D549,$E:$E,"P0(후)",$M:$M,"&gt;0")&lt;&gt;1,"P0(후) 유효 1개 아님",IF(NOT(AND(ISNUMBER(O549),ISNUMBER(Q549),ISNUMBER(I549))),"시각 결측",IF(Q549&lt;=O549,"P0 시각 역전",IF(OR(I549&lt;O549,I549&gt;Q549),"측정시각 구간 밖","OK")))))</f>
        <v/>
      </c>
      <c r="O549" s="48">
        <f>IF(COUNTIFS($C:$C,$C549,$D:$D,$D549,$E:$E,"P0(전)",$M:$M,"&gt;0")&lt;&gt;1,"",SUMIFS($I:$I,$C:$C,$C549,$D:$D,$D549,$E:$E,"P0(전)"))</f>
        <v/>
      </c>
      <c r="P549" s="31">
        <f>IF(COUNTIFS($C:$C,$C549,$D:$D,$D549,$E:$E,"P0(전)",$M:$M,"&gt;0")&lt;&gt;1,"",SUMIFS($M:$M,$C:$C,$C549,$D:$D,$D549,$E:$E,"P0(전)"))</f>
        <v/>
      </c>
      <c r="Q549" s="48">
        <f>IF(COUNTIFS($C:$C,$C549,$D:$D,$D549,$E:$E,"P0(후)",$M:$M,"&gt;0")&lt;&gt;1,"",SUMIFS($I:$I,$C:$C,$C549,$D:$D,$D549,$E:$E,"P0(후)"))</f>
        <v/>
      </c>
      <c r="R549" s="31">
        <f>IF(COUNTIFS($C:$C,$C549,$D:$D,$D549,$E:$E,"P0(후)",$M:$M,"&gt;0")&lt;&gt;1,"",SUMIFS($M:$M,$C:$C,$C549,$D:$D,$D549,$E:$E,"P0(후)"))</f>
        <v/>
      </c>
      <c r="S549" s="31">
        <f>IF(N549&lt;&gt;"OK","",P549+(R549-P549)*(I549-O549)/(Q549-O549))</f>
        <v/>
      </c>
      <c r="T549" s="31">
        <f>IF(OR(N549&lt;&gt;"OK",NOT(ISNUMBER(M549))),"",M549-S549)</f>
        <v/>
      </c>
      <c r="U549" s="49">
        <f>IF(OR(NOT(ISNUMBER(T549)),IF(ISNUMBER(H549),H549,G549)=0),"",T549/IF(ISNUMBER(H549),H549,G549))</f>
        <v/>
      </c>
      <c r="V549" s="49">
        <f>IF(ISNUMBER(U549),ABS(U549),"")</f>
        <v/>
      </c>
      <c r="W549" s="49">
        <f>IF(OR($E548&lt;&gt;"측정",$C548&lt;&gt;$C549,$D548&lt;&gt;$D549,NOT(ISNUMBER(M549)),NOT(ISNUMBER(M548)),(IF(ISNUMBER(H549),H549,G549)-IF(ISNUMBER(H548),H548,G548))=0),"",(M549-M548)/(IF(ISNUMBER(H549),H549,G549)-IF(ISNUMBER(H548),H548,G548)))</f>
        <v/>
      </c>
      <c r="X549" s="31">
        <f>IF(NOT(AND(ISNUMBER(O549),ISNUMBER(Q549))),"",(Q549-O549)*1440)</f>
        <v/>
      </c>
      <c r="Y549" s="29" t="n"/>
      <c r="Z549" s="29" t="n"/>
      <c r="AA549" s="29" t="n"/>
      <c r="AB549" s="32" t="n"/>
      <c r="AC549" s="32" t="n"/>
    </row>
    <row r="550">
      <c r="A550" s="26" t="inlineStr">
        <is>
          <t>S11</t>
        </is>
      </c>
      <c r="B550" s="26" t="inlineStr">
        <is>
          <t>소천 신규점4</t>
        </is>
      </c>
      <c r="C550" s="26" t="inlineStr">
        <is>
          <t>S11-H서</t>
        </is>
      </c>
      <c r="D550" s="47" t="n">
        <v>1</v>
      </c>
      <c r="E550" s="26" t="inlineStr">
        <is>
          <t>측정</t>
        </is>
      </c>
      <c r="F550" s="26" t="inlineStr">
        <is>
          <t>서</t>
        </is>
      </c>
      <c r="G550" s="31" t="n">
        <v>10</v>
      </c>
      <c r="H550" s="30" t="n"/>
      <c r="I550" s="43" t="n"/>
      <c r="J550" s="41" t="n"/>
      <c r="K550" s="41" t="n"/>
      <c r="L550" s="41" t="n"/>
      <c r="M550" s="31">
        <f>IF(COUNT(J550:L550)=0,"",MEDIAN(J550:L550))</f>
        <v/>
      </c>
      <c r="N550" s="26">
        <f>IF(COUNTIFS($C:$C,$C550,$D:$D,$D550,$E:$E,"P0(전)",$M:$M,"&gt;0")&lt;&gt;1,"P0(전) 유효 1개 아님",IF(COUNTIFS($C:$C,$C550,$D:$D,$D550,$E:$E,"P0(후)",$M:$M,"&gt;0")&lt;&gt;1,"P0(후) 유효 1개 아님",IF(NOT(AND(ISNUMBER(O550),ISNUMBER(Q550),ISNUMBER(I550))),"시각 결측",IF(Q550&lt;=O550,"P0 시각 역전",IF(OR(I550&lt;O550,I550&gt;Q550),"측정시각 구간 밖","OK")))))</f>
        <v/>
      </c>
      <c r="O550" s="48">
        <f>IF(COUNTIFS($C:$C,$C550,$D:$D,$D550,$E:$E,"P0(전)",$M:$M,"&gt;0")&lt;&gt;1,"",SUMIFS($I:$I,$C:$C,$C550,$D:$D,$D550,$E:$E,"P0(전)"))</f>
        <v/>
      </c>
      <c r="P550" s="31">
        <f>IF(COUNTIFS($C:$C,$C550,$D:$D,$D550,$E:$E,"P0(전)",$M:$M,"&gt;0")&lt;&gt;1,"",SUMIFS($M:$M,$C:$C,$C550,$D:$D,$D550,$E:$E,"P0(전)"))</f>
        <v/>
      </c>
      <c r="Q550" s="48">
        <f>IF(COUNTIFS($C:$C,$C550,$D:$D,$D550,$E:$E,"P0(후)",$M:$M,"&gt;0")&lt;&gt;1,"",SUMIFS($I:$I,$C:$C,$C550,$D:$D,$D550,$E:$E,"P0(후)"))</f>
        <v/>
      </c>
      <c r="R550" s="31">
        <f>IF(COUNTIFS($C:$C,$C550,$D:$D,$D550,$E:$E,"P0(후)",$M:$M,"&gt;0")&lt;&gt;1,"",SUMIFS($M:$M,$C:$C,$C550,$D:$D,$D550,$E:$E,"P0(후)"))</f>
        <v/>
      </c>
      <c r="S550" s="31">
        <f>IF(N550&lt;&gt;"OK","",P550+(R550-P550)*(I550-O550)/(Q550-O550))</f>
        <v/>
      </c>
      <c r="T550" s="31">
        <f>IF(OR(N550&lt;&gt;"OK",NOT(ISNUMBER(M550))),"",M550-S550)</f>
        <v/>
      </c>
      <c r="U550" s="49">
        <f>IF(OR(NOT(ISNUMBER(T550)),IF(ISNUMBER(H550),H550,G550)=0),"",T550/IF(ISNUMBER(H550),H550,G550))</f>
        <v/>
      </c>
      <c r="V550" s="49">
        <f>IF(ISNUMBER(U550),ABS(U550),"")</f>
        <v/>
      </c>
      <c r="W550" s="49">
        <f>IF(OR($E549&lt;&gt;"측정",$C549&lt;&gt;$C550,$D549&lt;&gt;$D550,NOT(ISNUMBER(M550)),NOT(ISNUMBER(M549)),(IF(ISNUMBER(H550),H550,G550)-IF(ISNUMBER(H549),H549,G549))=0),"",(M550-M549)/(IF(ISNUMBER(H550),H550,G550)-IF(ISNUMBER(H549),H549,G549)))</f>
        <v/>
      </c>
      <c r="X550" s="31">
        <f>IF(NOT(AND(ISNUMBER(O550),ISNUMBER(Q550))),"",(Q550-O550)*1440)</f>
        <v/>
      </c>
      <c r="Y550" s="29" t="n"/>
      <c r="Z550" s="29" t="n"/>
      <c r="AA550" s="29" t="n"/>
      <c r="AB550" s="32" t="n"/>
      <c r="AC550" s="32" t="n"/>
    </row>
    <row r="551">
      <c r="A551" s="44" t="inlineStr">
        <is>
          <t>S11</t>
        </is>
      </c>
      <c r="B551" s="44" t="inlineStr">
        <is>
          <t>소천 신규점4</t>
        </is>
      </c>
      <c r="C551" s="44" t="inlineStr">
        <is>
          <t>S11-H서</t>
        </is>
      </c>
      <c r="D551" s="45" t="n">
        <v>1</v>
      </c>
      <c r="E551" s="44" t="inlineStr">
        <is>
          <t>P0(후)</t>
        </is>
      </c>
      <c r="F551" s="44" t="inlineStr">
        <is>
          <t>서</t>
        </is>
      </c>
      <c r="G551" s="46" t="n"/>
      <c r="H551" s="30" t="n"/>
      <c r="I551" s="43" t="n"/>
      <c r="J551" s="41" t="n"/>
      <c r="K551" s="41" t="n"/>
      <c r="L551" s="41" t="n"/>
      <c r="M551" s="31">
        <f>IF(COUNT(J551:L551)=0,"",MEDIAN(J551:L551))</f>
        <v/>
      </c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38" t="n"/>
      <c r="Y551" s="29" t="n"/>
      <c r="Z551" s="29" t="n"/>
      <c r="AA551" s="29" t="n"/>
      <c r="AB551" s="32" t="n"/>
      <c r="AC551" s="32" t="n"/>
    </row>
    <row r="552">
      <c r="A552" s="44" t="inlineStr">
        <is>
          <t>S11</t>
        </is>
      </c>
      <c r="B552" s="44" t="inlineStr">
        <is>
          <t>소천 신규점4</t>
        </is>
      </c>
      <c r="C552" s="44" t="inlineStr">
        <is>
          <t>S11-H남</t>
        </is>
      </c>
      <c r="D552" s="45" t="n">
        <v>1</v>
      </c>
      <c r="E552" s="44" t="inlineStr">
        <is>
          <t>P0(전)</t>
        </is>
      </c>
      <c r="F552" s="44" t="inlineStr">
        <is>
          <t>남</t>
        </is>
      </c>
      <c r="G552" s="46" t="n"/>
      <c r="H552" s="30" t="n"/>
      <c r="I552" s="43" t="n"/>
      <c r="J552" s="41" t="n"/>
      <c r="K552" s="41" t="n"/>
      <c r="L552" s="41" t="n"/>
      <c r="M552" s="31">
        <f>IF(COUNT(J552:L552)=0,"",MEDIAN(J552:L552))</f>
        <v/>
      </c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  <c r="X552" s="38" t="n"/>
      <c r="Y552" s="29" t="n"/>
      <c r="Z552" s="29" t="n"/>
      <c r="AA552" s="29" t="n"/>
      <c r="AB552" s="32" t="n"/>
      <c r="AC552" s="32" t="n"/>
    </row>
    <row r="553">
      <c r="A553" s="26" t="inlineStr">
        <is>
          <t>S11</t>
        </is>
      </c>
      <c r="B553" s="26" t="inlineStr">
        <is>
          <t>소천 신규점4</t>
        </is>
      </c>
      <c r="C553" s="26" t="inlineStr">
        <is>
          <t>S11-H남</t>
        </is>
      </c>
      <c r="D553" s="47" t="n">
        <v>1</v>
      </c>
      <c r="E553" s="26" t="inlineStr">
        <is>
          <t>측정</t>
        </is>
      </c>
      <c r="F553" s="26" t="inlineStr">
        <is>
          <t>남</t>
        </is>
      </c>
      <c r="G553" s="31" t="n">
        <v>0.5</v>
      </c>
      <c r="H553" s="30" t="n"/>
      <c r="I553" s="43" t="n"/>
      <c r="J553" s="41" t="n"/>
      <c r="K553" s="41" t="n"/>
      <c r="L553" s="41" t="n"/>
      <c r="M553" s="31">
        <f>IF(COUNT(J553:L553)=0,"",MEDIAN(J553:L553))</f>
        <v/>
      </c>
      <c r="N553" s="26">
        <f>IF(COUNTIFS($C:$C,$C553,$D:$D,$D553,$E:$E,"P0(전)",$M:$M,"&gt;0")&lt;&gt;1,"P0(전) 유효 1개 아님",IF(COUNTIFS($C:$C,$C553,$D:$D,$D553,$E:$E,"P0(후)",$M:$M,"&gt;0")&lt;&gt;1,"P0(후) 유효 1개 아님",IF(NOT(AND(ISNUMBER(O553),ISNUMBER(Q553),ISNUMBER(I553))),"시각 결측",IF(Q553&lt;=O553,"P0 시각 역전",IF(OR(I553&lt;O553,I553&gt;Q553),"측정시각 구간 밖","OK")))))</f>
        <v/>
      </c>
      <c r="O553" s="48">
        <f>IF(COUNTIFS($C:$C,$C553,$D:$D,$D553,$E:$E,"P0(전)",$M:$M,"&gt;0")&lt;&gt;1,"",SUMIFS($I:$I,$C:$C,$C553,$D:$D,$D553,$E:$E,"P0(전)"))</f>
        <v/>
      </c>
      <c r="P553" s="31">
        <f>IF(COUNTIFS($C:$C,$C553,$D:$D,$D553,$E:$E,"P0(전)",$M:$M,"&gt;0")&lt;&gt;1,"",SUMIFS($M:$M,$C:$C,$C553,$D:$D,$D553,$E:$E,"P0(전)"))</f>
        <v/>
      </c>
      <c r="Q553" s="48">
        <f>IF(COUNTIFS($C:$C,$C553,$D:$D,$D553,$E:$E,"P0(후)",$M:$M,"&gt;0")&lt;&gt;1,"",SUMIFS($I:$I,$C:$C,$C553,$D:$D,$D553,$E:$E,"P0(후)"))</f>
        <v/>
      </c>
      <c r="R553" s="31">
        <f>IF(COUNTIFS($C:$C,$C553,$D:$D,$D553,$E:$E,"P0(후)",$M:$M,"&gt;0")&lt;&gt;1,"",SUMIFS($M:$M,$C:$C,$C553,$D:$D,$D553,$E:$E,"P0(후)"))</f>
        <v/>
      </c>
      <c r="S553" s="31">
        <f>IF(N553&lt;&gt;"OK","",P553+(R553-P553)*(I553-O553)/(Q553-O553))</f>
        <v/>
      </c>
      <c r="T553" s="31">
        <f>IF(OR(N553&lt;&gt;"OK",NOT(ISNUMBER(M553))),"",M553-S553)</f>
        <v/>
      </c>
      <c r="U553" s="49">
        <f>IF(OR(NOT(ISNUMBER(T553)),IF(ISNUMBER(H553),H553,G553)=0),"",T553/IF(ISNUMBER(H553),H553,G553))</f>
        <v/>
      </c>
      <c r="V553" s="49">
        <f>IF(ISNUMBER(U553),ABS(U553),"")</f>
        <v/>
      </c>
      <c r="W553" s="49">
        <f>IF(OR($E552&lt;&gt;"측정",$C552&lt;&gt;$C553,$D552&lt;&gt;$D553,NOT(ISNUMBER(M553)),NOT(ISNUMBER(M552)),(IF(ISNUMBER(H553),H553,G553)-IF(ISNUMBER(H552),H552,G552))=0),"",(M553-M552)/(IF(ISNUMBER(H553),H553,G553)-IF(ISNUMBER(H552),H552,G552)))</f>
        <v/>
      </c>
      <c r="X553" s="31">
        <f>IF(NOT(AND(ISNUMBER(O553),ISNUMBER(Q553))),"",(Q553-O553)*1440)</f>
        <v/>
      </c>
      <c r="Y553" s="29" t="n"/>
      <c r="Z553" s="29" t="n"/>
      <c r="AA553" s="29" t="n"/>
      <c r="AB553" s="32" t="n"/>
      <c r="AC553" s="32" t="n"/>
    </row>
    <row r="554">
      <c r="A554" s="26" t="inlineStr">
        <is>
          <t>S11</t>
        </is>
      </c>
      <c r="B554" s="26" t="inlineStr">
        <is>
          <t>소천 신규점4</t>
        </is>
      </c>
      <c r="C554" s="26" t="inlineStr">
        <is>
          <t>S11-H남</t>
        </is>
      </c>
      <c r="D554" s="47" t="n">
        <v>1</v>
      </c>
      <c r="E554" s="26" t="inlineStr">
        <is>
          <t>측정</t>
        </is>
      </c>
      <c r="F554" s="26" t="inlineStr">
        <is>
          <t>남</t>
        </is>
      </c>
      <c r="G554" s="31" t="n">
        <v>1</v>
      </c>
      <c r="H554" s="30" t="n"/>
      <c r="I554" s="43" t="n"/>
      <c r="J554" s="41" t="n"/>
      <c r="K554" s="41" t="n"/>
      <c r="L554" s="41" t="n"/>
      <c r="M554" s="31">
        <f>IF(COUNT(J554:L554)=0,"",MEDIAN(J554:L554))</f>
        <v/>
      </c>
      <c r="N554" s="26">
        <f>IF(COUNTIFS($C:$C,$C554,$D:$D,$D554,$E:$E,"P0(전)",$M:$M,"&gt;0")&lt;&gt;1,"P0(전) 유효 1개 아님",IF(COUNTIFS($C:$C,$C554,$D:$D,$D554,$E:$E,"P0(후)",$M:$M,"&gt;0")&lt;&gt;1,"P0(후) 유효 1개 아님",IF(NOT(AND(ISNUMBER(O554),ISNUMBER(Q554),ISNUMBER(I554))),"시각 결측",IF(Q554&lt;=O554,"P0 시각 역전",IF(OR(I554&lt;O554,I554&gt;Q554),"측정시각 구간 밖","OK")))))</f>
        <v/>
      </c>
      <c r="O554" s="48">
        <f>IF(COUNTIFS($C:$C,$C554,$D:$D,$D554,$E:$E,"P0(전)",$M:$M,"&gt;0")&lt;&gt;1,"",SUMIFS($I:$I,$C:$C,$C554,$D:$D,$D554,$E:$E,"P0(전)"))</f>
        <v/>
      </c>
      <c r="P554" s="31">
        <f>IF(COUNTIFS($C:$C,$C554,$D:$D,$D554,$E:$E,"P0(전)",$M:$M,"&gt;0")&lt;&gt;1,"",SUMIFS($M:$M,$C:$C,$C554,$D:$D,$D554,$E:$E,"P0(전)"))</f>
        <v/>
      </c>
      <c r="Q554" s="48">
        <f>IF(COUNTIFS($C:$C,$C554,$D:$D,$D554,$E:$E,"P0(후)",$M:$M,"&gt;0")&lt;&gt;1,"",SUMIFS($I:$I,$C:$C,$C554,$D:$D,$D554,$E:$E,"P0(후)"))</f>
        <v/>
      </c>
      <c r="R554" s="31">
        <f>IF(COUNTIFS($C:$C,$C554,$D:$D,$D554,$E:$E,"P0(후)",$M:$M,"&gt;0")&lt;&gt;1,"",SUMIFS($M:$M,$C:$C,$C554,$D:$D,$D554,$E:$E,"P0(후)"))</f>
        <v/>
      </c>
      <c r="S554" s="31">
        <f>IF(N554&lt;&gt;"OK","",P554+(R554-P554)*(I554-O554)/(Q554-O554))</f>
        <v/>
      </c>
      <c r="T554" s="31">
        <f>IF(OR(N554&lt;&gt;"OK",NOT(ISNUMBER(M554))),"",M554-S554)</f>
        <v/>
      </c>
      <c r="U554" s="49">
        <f>IF(OR(NOT(ISNUMBER(T554)),IF(ISNUMBER(H554),H554,G554)=0),"",T554/IF(ISNUMBER(H554),H554,G554))</f>
        <v/>
      </c>
      <c r="V554" s="49">
        <f>IF(ISNUMBER(U554),ABS(U554),"")</f>
        <v/>
      </c>
      <c r="W554" s="49">
        <f>IF(OR($E553&lt;&gt;"측정",$C553&lt;&gt;$C554,$D553&lt;&gt;$D554,NOT(ISNUMBER(M554)),NOT(ISNUMBER(M553)),(IF(ISNUMBER(H554),H554,G554)-IF(ISNUMBER(H553),H553,G553))=0),"",(M554-M553)/(IF(ISNUMBER(H554),H554,G554)-IF(ISNUMBER(H553),H553,G553)))</f>
        <v/>
      </c>
      <c r="X554" s="31">
        <f>IF(NOT(AND(ISNUMBER(O554),ISNUMBER(Q554))),"",(Q554-O554)*1440)</f>
        <v/>
      </c>
      <c r="Y554" s="29" t="n"/>
      <c r="Z554" s="29" t="n"/>
      <c r="AA554" s="29" t="n"/>
      <c r="AB554" s="32" t="n"/>
      <c r="AC554" s="32" t="n"/>
    </row>
    <row r="555">
      <c r="A555" s="26" t="inlineStr">
        <is>
          <t>S11</t>
        </is>
      </c>
      <c r="B555" s="26" t="inlineStr">
        <is>
          <t>소천 신규점4</t>
        </is>
      </c>
      <c r="C555" s="26" t="inlineStr">
        <is>
          <t>S11-H남</t>
        </is>
      </c>
      <c r="D555" s="47" t="n">
        <v>1</v>
      </c>
      <c r="E555" s="26" t="inlineStr">
        <is>
          <t>측정</t>
        </is>
      </c>
      <c r="F555" s="26" t="inlineStr">
        <is>
          <t>남</t>
        </is>
      </c>
      <c r="G555" s="31" t="n">
        <v>2</v>
      </c>
      <c r="H555" s="30" t="n"/>
      <c r="I555" s="43" t="n"/>
      <c r="J555" s="41" t="n"/>
      <c r="K555" s="41" t="n"/>
      <c r="L555" s="41" t="n"/>
      <c r="M555" s="31">
        <f>IF(COUNT(J555:L555)=0,"",MEDIAN(J555:L555))</f>
        <v/>
      </c>
      <c r="N555" s="26">
        <f>IF(COUNTIFS($C:$C,$C555,$D:$D,$D555,$E:$E,"P0(전)",$M:$M,"&gt;0")&lt;&gt;1,"P0(전) 유효 1개 아님",IF(COUNTIFS($C:$C,$C555,$D:$D,$D555,$E:$E,"P0(후)",$M:$M,"&gt;0")&lt;&gt;1,"P0(후) 유효 1개 아님",IF(NOT(AND(ISNUMBER(O555),ISNUMBER(Q555),ISNUMBER(I555))),"시각 결측",IF(Q555&lt;=O555,"P0 시각 역전",IF(OR(I555&lt;O555,I555&gt;Q555),"측정시각 구간 밖","OK")))))</f>
        <v/>
      </c>
      <c r="O555" s="48">
        <f>IF(COUNTIFS($C:$C,$C555,$D:$D,$D555,$E:$E,"P0(전)",$M:$M,"&gt;0")&lt;&gt;1,"",SUMIFS($I:$I,$C:$C,$C555,$D:$D,$D555,$E:$E,"P0(전)"))</f>
        <v/>
      </c>
      <c r="P555" s="31">
        <f>IF(COUNTIFS($C:$C,$C555,$D:$D,$D555,$E:$E,"P0(전)",$M:$M,"&gt;0")&lt;&gt;1,"",SUMIFS($M:$M,$C:$C,$C555,$D:$D,$D555,$E:$E,"P0(전)"))</f>
        <v/>
      </c>
      <c r="Q555" s="48">
        <f>IF(COUNTIFS($C:$C,$C555,$D:$D,$D555,$E:$E,"P0(후)",$M:$M,"&gt;0")&lt;&gt;1,"",SUMIFS($I:$I,$C:$C,$C555,$D:$D,$D555,$E:$E,"P0(후)"))</f>
        <v/>
      </c>
      <c r="R555" s="31">
        <f>IF(COUNTIFS($C:$C,$C555,$D:$D,$D555,$E:$E,"P0(후)",$M:$M,"&gt;0")&lt;&gt;1,"",SUMIFS($M:$M,$C:$C,$C555,$D:$D,$D555,$E:$E,"P0(후)"))</f>
        <v/>
      </c>
      <c r="S555" s="31">
        <f>IF(N555&lt;&gt;"OK","",P555+(R555-P555)*(I555-O555)/(Q555-O555))</f>
        <v/>
      </c>
      <c r="T555" s="31">
        <f>IF(OR(N555&lt;&gt;"OK",NOT(ISNUMBER(M555))),"",M555-S555)</f>
        <v/>
      </c>
      <c r="U555" s="49">
        <f>IF(OR(NOT(ISNUMBER(T555)),IF(ISNUMBER(H555),H555,G555)=0),"",T555/IF(ISNUMBER(H555),H555,G555))</f>
        <v/>
      </c>
      <c r="V555" s="49">
        <f>IF(ISNUMBER(U555),ABS(U555),"")</f>
        <v/>
      </c>
      <c r="W555" s="49">
        <f>IF(OR($E554&lt;&gt;"측정",$C554&lt;&gt;$C555,$D554&lt;&gt;$D555,NOT(ISNUMBER(M555)),NOT(ISNUMBER(M554)),(IF(ISNUMBER(H555),H555,G555)-IF(ISNUMBER(H554),H554,G554))=0),"",(M555-M554)/(IF(ISNUMBER(H555),H555,G555)-IF(ISNUMBER(H554),H554,G554)))</f>
        <v/>
      </c>
      <c r="X555" s="31">
        <f>IF(NOT(AND(ISNUMBER(O555),ISNUMBER(Q555))),"",(Q555-O555)*1440)</f>
        <v/>
      </c>
      <c r="Y555" s="29" t="n"/>
      <c r="Z555" s="29" t="n"/>
      <c r="AA555" s="29" t="n"/>
      <c r="AB555" s="32" t="n"/>
      <c r="AC555" s="32" t="n"/>
    </row>
    <row r="556">
      <c r="A556" s="26" t="inlineStr">
        <is>
          <t>S11</t>
        </is>
      </c>
      <c r="B556" s="26" t="inlineStr">
        <is>
          <t>소천 신규점4</t>
        </is>
      </c>
      <c r="C556" s="26" t="inlineStr">
        <is>
          <t>S11-H남</t>
        </is>
      </c>
      <c r="D556" s="47" t="n">
        <v>1</v>
      </c>
      <c r="E556" s="26" t="inlineStr">
        <is>
          <t>측정</t>
        </is>
      </c>
      <c r="F556" s="26" t="inlineStr">
        <is>
          <t>남</t>
        </is>
      </c>
      <c r="G556" s="31" t="n">
        <v>3</v>
      </c>
      <c r="H556" s="30" t="n"/>
      <c r="I556" s="43" t="n"/>
      <c r="J556" s="41" t="n"/>
      <c r="K556" s="41" t="n"/>
      <c r="L556" s="41" t="n"/>
      <c r="M556" s="31">
        <f>IF(COUNT(J556:L556)=0,"",MEDIAN(J556:L556))</f>
        <v/>
      </c>
      <c r="N556" s="26">
        <f>IF(COUNTIFS($C:$C,$C556,$D:$D,$D556,$E:$E,"P0(전)",$M:$M,"&gt;0")&lt;&gt;1,"P0(전) 유효 1개 아님",IF(COUNTIFS($C:$C,$C556,$D:$D,$D556,$E:$E,"P0(후)",$M:$M,"&gt;0")&lt;&gt;1,"P0(후) 유효 1개 아님",IF(NOT(AND(ISNUMBER(O556),ISNUMBER(Q556),ISNUMBER(I556))),"시각 결측",IF(Q556&lt;=O556,"P0 시각 역전",IF(OR(I556&lt;O556,I556&gt;Q556),"측정시각 구간 밖","OK")))))</f>
        <v/>
      </c>
      <c r="O556" s="48">
        <f>IF(COUNTIFS($C:$C,$C556,$D:$D,$D556,$E:$E,"P0(전)",$M:$M,"&gt;0")&lt;&gt;1,"",SUMIFS($I:$I,$C:$C,$C556,$D:$D,$D556,$E:$E,"P0(전)"))</f>
        <v/>
      </c>
      <c r="P556" s="31">
        <f>IF(COUNTIFS($C:$C,$C556,$D:$D,$D556,$E:$E,"P0(전)",$M:$M,"&gt;0")&lt;&gt;1,"",SUMIFS($M:$M,$C:$C,$C556,$D:$D,$D556,$E:$E,"P0(전)"))</f>
        <v/>
      </c>
      <c r="Q556" s="48">
        <f>IF(COUNTIFS($C:$C,$C556,$D:$D,$D556,$E:$E,"P0(후)",$M:$M,"&gt;0")&lt;&gt;1,"",SUMIFS($I:$I,$C:$C,$C556,$D:$D,$D556,$E:$E,"P0(후)"))</f>
        <v/>
      </c>
      <c r="R556" s="31">
        <f>IF(COUNTIFS($C:$C,$C556,$D:$D,$D556,$E:$E,"P0(후)",$M:$M,"&gt;0")&lt;&gt;1,"",SUMIFS($M:$M,$C:$C,$C556,$D:$D,$D556,$E:$E,"P0(후)"))</f>
        <v/>
      </c>
      <c r="S556" s="31">
        <f>IF(N556&lt;&gt;"OK","",P556+(R556-P556)*(I556-O556)/(Q556-O556))</f>
        <v/>
      </c>
      <c r="T556" s="31">
        <f>IF(OR(N556&lt;&gt;"OK",NOT(ISNUMBER(M556))),"",M556-S556)</f>
        <v/>
      </c>
      <c r="U556" s="49">
        <f>IF(OR(NOT(ISNUMBER(T556)),IF(ISNUMBER(H556),H556,G556)=0),"",T556/IF(ISNUMBER(H556),H556,G556))</f>
        <v/>
      </c>
      <c r="V556" s="49">
        <f>IF(ISNUMBER(U556),ABS(U556),"")</f>
        <v/>
      </c>
      <c r="W556" s="49">
        <f>IF(OR($E555&lt;&gt;"측정",$C555&lt;&gt;$C556,$D555&lt;&gt;$D556,NOT(ISNUMBER(M556)),NOT(ISNUMBER(M555)),(IF(ISNUMBER(H556),H556,G556)-IF(ISNUMBER(H555),H555,G555))=0),"",(M556-M555)/(IF(ISNUMBER(H556),H556,G556)-IF(ISNUMBER(H555),H555,G555)))</f>
        <v/>
      </c>
      <c r="X556" s="31">
        <f>IF(NOT(AND(ISNUMBER(O556),ISNUMBER(Q556))),"",(Q556-O556)*1440)</f>
        <v/>
      </c>
      <c r="Y556" s="29" t="n"/>
      <c r="Z556" s="29" t="n"/>
      <c r="AA556" s="29" t="n"/>
      <c r="AB556" s="32" t="n"/>
      <c r="AC556" s="32" t="n"/>
    </row>
    <row r="557">
      <c r="A557" s="26" t="inlineStr">
        <is>
          <t>S11</t>
        </is>
      </c>
      <c r="B557" s="26" t="inlineStr">
        <is>
          <t>소천 신규점4</t>
        </is>
      </c>
      <c r="C557" s="26" t="inlineStr">
        <is>
          <t>S11-H남</t>
        </is>
      </c>
      <c r="D557" s="47" t="n">
        <v>1</v>
      </c>
      <c r="E557" s="26" t="inlineStr">
        <is>
          <t>측정</t>
        </is>
      </c>
      <c r="F557" s="26" t="inlineStr">
        <is>
          <t>남</t>
        </is>
      </c>
      <c r="G557" s="31" t="n">
        <v>4</v>
      </c>
      <c r="H557" s="30" t="n"/>
      <c r="I557" s="43" t="n"/>
      <c r="J557" s="41" t="n"/>
      <c r="K557" s="41" t="n"/>
      <c r="L557" s="41" t="n"/>
      <c r="M557" s="31">
        <f>IF(COUNT(J557:L557)=0,"",MEDIAN(J557:L557))</f>
        <v/>
      </c>
      <c r="N557" s="26">
        <f>IF(COUNTIFS($C:$C,$C557,$D:$D,$D557,$E:$E,"P0(전)",$M:$M,"&gt;0")&lt;&gt;1,"P0(전) 유효 1개 아님",IF(COUNTIFS($C:$C,$C557,$D:$D,$D557,$E:$E,"P0(후)",$M:$M,"&gt;0")&lt;&gt;1,"P0(후) 유효 1개 아님",IF(NOT(AND(ISNUMBER(O557),ISNUMBER(Q557),ISNUMBER(I557))),"시각 결측",IF(Q557&lt;=O557,"P0 시각 역전",IF(OR(I557&lt;O557,I557&gt;Q557),"측정시각 구간 밖","OK")))))</f>
        <v/>
      </c>
      <c r="O557" s="48">
        <f>IF(COUNTIFS($C:$C,$C557,$D:$D,$D557,$E:$E,"P0(전)",$M:$M,"&gt;0")&lt;&gt;1,"",SUMIFS($I:$I,$C:$C,$C557,$D:$D,$D557,$E:$E,"P0(전)"))</f>
        <v/>
      </c>
      <c r="P557" s="31">
        <f>IF(COUNTIFS($C:$C,$C557,$D:$D,$D557,$E:$E,"P0(전)",$M:$M,"&gt;0")&lt;&gt;1,"",SUMIFS($M:$M,$C:$C,$C557,$D:$D,$D557,$E:$E,"P0(전)"))</f>
        <v/>
      </c>
      <c r="Q557" s="48">
        <f>IF(COUNTIFS($C:$C,$C557,$D:$D,$D557,$E:$E,"P0(후)",$M:$M,"&gt;0")&lt;&gt;1,"",SUMIFS($I:$I,$C:$C,$C557,$D:$D,$D557,$E:$E,"P0(후)"))</f>
        <v/>
      </c>
      <c r="R557" s="31">
        <f>IF(COUNTIFS($C:$C,$C557,$D:$D,$D557,$E:$E,"P0(후)",$M:$M,"&gt;0")&lt;&gt;1,"",SUMIFS($M:$M,$C:$C,$C557,$D:$D,$D557,$E:$E,"P0(후)"))</f>
        <v/>
      </c>
      <c r="S557" s="31">
        <f>IF(N557&lt;&gt;"OK","",P557+(R557-P557)*(I557-O557)/(Q557-O557))</f>
        <v/>
      </c>
      <c r="T557" s="31">
        <f>IF(OR(N557&lt;&gt;"OK",NOT(ISNUMBER(M557))),"",M557-S557)</f>
        <v/>
      </c>
      <c r="U557" s="49">
        <f>IF(OR(NOT(ISNUMBER(T557)),IF(ISNUMBER(H557),H557,G557)=0),"",T557/IF(ISNUMBER(H557),H557,G557))</f>
        <v/>
      </c>
      <c r="V557" s="49">
        <f>IF(ISNUMBER(U557),ABS(U557),"")</f>
        <v/>
      </c>
      <c r="W557" s="49">
        <f>IF(OR($E556&lt;&gt;"측정",$C556&lt;&gt;$C557,$D556&lt;&gt;$D557,NOT(ISNUMBER(M557)),NOT(ISNUMBER(M556)),(IF(ISNUMBER(H557),H557,G557)-IF(ISNUMBER(H556),H556,G556))=0),"",(M557-M556)/(IF(ISNUMBER(H557),H557,G557)-IF(ISNUMBER(H556),H556,G556)))</f>
        <v/>
      </c>
      <c r="X557" s="31">
        <f>IF(NOT(AND(ISNUMBER(O557),ISNUMBER(Q557))),"",(Q557-O557)*1440)</f>
        <v/>
      </c>
      <c r="Y557" s="29" t="n"/>
      <c r="Z557" s="29" t="n"/>
      <c r="AA557" s="29" t="n"/>
      <c r="AB557" s="32" t="n"/>
      <c r="AC557" s="32" t="n"/>
    </row>
    <row r="558">
      <c r="A558" s="26" t="inlineStr">
        <is>
          <t>S11</t>
        </is>
      </c>
      <c r="B558" s="26" t="inlineStr">
        <is>
          <t>소천 신규점4</t>
        </is>
      </c>
      <c r="C558" s="26" t="inlineStr">
        <is>
          <t>S11-H남</t>
        </is>
      </c>
      <c r="D558" s="47" t="n">
        <v>1</v>
      </c>
      <c r="E558" s="26" t="inlineStr">
        <is>
          <t>측정</t>
        </is>
      </c>
      <c r="F558" s="26" t="inlineStr">
        <is>
          <t>남</t>
        </is>
      </c>
      <c r="G558" s="31" t="n">
        <v>5</v>
      </c>
      <c r="H558" s="30" t="n"/>
      <c r="I558" s="43" t="n"/>
      <c r="J558" s="41" t="n"/>
      <c r="K558" s="41" t="n"/>
      <c r="L558" s="41" t="n"/>
      <c r="M558" s="31">
        <f>IF(COUNT(J558:L558)=0,"",MEDIAN(J558:L558))</f>
        <v/>
      </c>
      <c r="N558" s="26">
        <f>IF(COUNTIFS($C:$C,$C558,$D:$D,$D558,$E:$E,"P0(전)",$M:$M,"&gt;0")&lt;&gt;1,"P0(전) 유효 1개 아님",IF(COUNTIFS($C:$C,$C558,$D:$D,$D558,$E:$E,"P0(후)",$M:$M,"&gt;0")&lt;&gt;1,"P0(후) 유효 1개 아님",IF(NOT(AND(ISNUMBER(O558),ISNUMBER(Q558),ISNUMBER(I558))),"시각 결측",IF(Q558&lt;=O558,"P0 시각 역전",IF(OR(I558&lt;O558,I558&gt;Q558),"측정시각 구간 밖","OK")))))</f>
        <v/>
      </c>
      <c r="O558" s="48">
        <f>IF(COUNTIFS($C:$C,$C558,$D:$D,$D558,$E:$E,"P0(전)",$M:$M,"&gt;0")&lt;&gt;1,"",SUMIFS($I:$I,$C:$C,$C558,$D:$D,$D558,$E:$E,"P0(전)"))</f>
        <v/>
      </c>
      <c r="P558" s="31">
        <f>IF(COUNTIFS($C:$C,$C558,$D:$D,$D558,$E:$E,"P0(전)",$M:$M,"&gt;0")&lt;&gt;1,"",SUMIFS($M:$M,$C:$C,$C558,$D:$D,$D558,$E:$E,"P0(전)"))</f>
        <v/>
      </c>
      <c r="Q558" s="48">
        <f>IF(COUNTIFS($C:$C,$C558,$D:$D,$D558,$E:$E,"P0(후)",$M:$M,"&gt;0")&lt;&gt;1,"",SUMIFS($I:$I,$C:$C,$C558,$D:$D,$D558,$E:$E,"P0(후)"))</f>
        <v/>
      </c>
      <c r="R558" s="31">
        <f>IF(COUNTIFS($C:$C,$C558,$D:$D,$D558,$E:$E,"P0(후)",$M:$M,"&gt;0")&lt;&gt;1,"",SUMIFS($M:$M,$C:$C,$C558,$D:$D,$D558,$E:$E,"P0(후)"))</f>
        <v/>
      </c>
      <c r="S558" s="31">
        <f>IF(N558&lt;&gt;"OK","",P558+(R558-P558)*(I558-O558)/(Q558-O558))</f>
        <v/>
      </c>
      <c r="T558" s="31">
        <f>IF(OR(N558&lt;&gt;"OK",NOT(ISNUMBER(M558))),"",M558-S558)</f>
        <v/>
      </c>
      <c r="U558" s="49">
        <f>IF(OR(NOT(ISNUMBER(T558)),IF(ISNUMBER(H558),H558,G558)=0),"",T558/IF(ISNUMBER(H558),H558,G558))</f>
        <v/>
      </c>
      <c r="V558" s="49">
        <f>IF(ISNUMBER(U558),ABS(U558),"")</f>
        <v/>
      </c>
      <c r="W558" s="49">
        <f>IF(OR($E557&lt;&gt;"측정",$C557&lt;&gt;$C558,$D557&lt;&gt;$D558,NOT(ISNUMBER(M558)),NOT(ISNUMBER(M557)),(IF(ISNUMBER(H558),H558,G558)-IF(ISNUMBER(H557),H557,G557))=0),"",(M558-M557)/(IF(ISNUMBER(H558),H558,G558)-IF(ISNUMBER(H557),H557,G557)))</f>
        <v/>
      </c>
      <c r="X558" s="31">
        <f>IF(NOT(AND(ISNUMBER(O558),ISNUMBER(Q558))),"",(Q558-O558)*1440)</f>
        <v/>
      </c>
      <c r="Y558" s="29" t="n"/>
      <c r="Z558" s="29" t="n"/>
      <c r="AA558" s="29" t="n"/>
      <c r="AB558" s="32" t="n"/>
      <c r="AC558" s="32" t="n"/>
    </row>
    <row r="559">
      <c r="A559" s="26" t="inlineStr">
        <is>
          <t>S11</t>
        </is>
      </c>
      <c r="B559" s="26" t="inlineStr">
        <is>
          <t>소천 신규점4</t>
        </is>
      </c>
      <c r="C559" s="26" t="inlineStr">
        <is>
          <t>S11-H남</t>
        </is>
      </c>
      <c r="D559" s="47" t="n">
        <v>1</v>
      </c>
      <c r="E559" s="26" t="inlineStr">
        <is>
          <t>측정</t>
        </is>
      </c>
      <c r="F559" s="26" t="inlineStr">
        <is>
          <t>남</t>
        </is>
      </c>
      <c r="G559" s="31" t="n">
        <v>6</v>
      </c>
      <c r="H559" s="30" t="n"/>
      <c r="I559" s="43" t="n"/>
      <c r="J559" s="41" t="n"/>
      <c r="K559" s="41" t="n"/>
      <c r="L559" s="41" t="n"/>
      <c r="M559" s="31">
        <f>IF(COUNT(J559:L559)=0,"",MEDIAN(J559:L559))</f>
        <v/>
      </c>
      <c r="N559" s="26">
        <f>IF(COUNTIFS($C:$C,$C559,$D:$D,$D559,$E:$E,"P0(전)",$M:$M,"&gt;0")&lt;&gt;1,"P0(전) 유효 1개 아님",IF(COUNTIFS($C:$C,$C559,$D:$D,$D559,$E:$E,"P0(후)",$M:$M,"&gt;0")&lt;&gt;1,"P0(후) 유효 1개 아님",IF(NOT(AND(ISNUMBER(O559),ISNUMBER(Q559),ISNUMBER(I559))),"시각 결측",IF(Q559&lt;=O559,"P0 시각 역전",IF(OR(I559&lt;O559,I559&gt;Q559),"측정시각 구간 밖","OK")))))</f>
        <v/>
      </c>
      <c r="O559" s="48">
        <f>IF(COUNTIFS($C:$C,$C559,$D:$D,$D559,$E:$E,"P0(전)",$M:$M,"&gt;0")&lt;&gt;1,"",SUMIFS($I:$I,$C:$C,$C559,$D:$D,$D559,$E:$E,"P0(전)"))</f>
        <v/>
      </c>
      <c r="P559" s="31">
        <f>IF(COUNTIFS($C:$C,$C559,$D:$D,$D559,$E:$E,"P0(전)",$M:$M,"&gt;0")&lt;&gt;1,"",SUMIFS($M:$M,$C:$C,$C559,$D:$D,$D559,$E:$E,"P0(전)"))</f>
        <v/>
      </c>
      <c r="Q559" s="48">
        <f>IF(COUNTIFS($C:$C,$C559,$D:$D,$D559,$E:$E,"P0(후)",$M:$M,"&gt;0")&lt;&gt;1,"",SUMIFS($I:$I,$C:$C,$C559,$D:$D,$D559,$E:$E,"P0(후)"))</f>
        <v/>
      </c>
      <c r="R559" s="31">
        <f>IF(COUNTIFS($C:$C,$C559,$D:$D,$D559,$E:$E,"P0(후)",$M:$M,"&gt;0")&lt;&gt;1,"",SUMIFS($M:$M,$C:$C,$C559,$D:$D,$D559,$E:$E,"P0(후)"))</f>
        <v/>
      </c>
      <c r="S559" s="31">
        <f>IF(N559&lt;&gt;"OK","",P559+(R559-P559)*(I559-O559)/(Q559-O559))</f>
        <v/>
      </c>
      <c r="T559" s="31">
        <f>IF(OR(N559&lt;&gt;"OK",NOT(ISNUMBER(M559))),"",M559-S559)</f>
        <v/>
      </c>
      <c r="U559" s="49">
        <f>IF(OR(NOT(ISNUMBER(T559)),IF(ISNUMBER(H559),H559,G559)=0),"",T559/IF(ISNUMBER(H559),H559,G559))</f>
        <v/>
      </c>
      <c r="V559" s="49">
        <f>IF(ISNUMBER(U559),ABS(U559),"")</f>
        <v/>
      </c>
      <c r="W559" s="49">
        <f>IF(OR($E558&lt;&gt;"측정",$C558&lt;&gt;$C559,$D558&lt;&gt;$D559,NOT(ISNUMBER(M559)),NOT(ISNUMBER(M558)),(IF(ISNUMBER(H559),H559,G559)-IF(ISNUMBER(H558),H558,G558))=0),"",(M559-M558)/(IF(ISNUMBER(H559),H559,G559)-IF(ISNUMBER(H558),H558,G558)))</f>
        <v/>
      </c>
      <c r="X559" s="31">
        <f>IF(NOT(AND(ISNUMBER(O559),ISNUMBER(Q559))),"",(Q559-O559)*1440)</f>
        <v/>
      </c>
      <c r="Y559" s="29" t="n"/>
      <c r="Z559" s="29" t="n"/>
      <c r="AA559" s="29" t="n"/>
      <c r="AB559" s="32" t="n"/>
      <c r="AC559" s="32" t="n"/>
    </row>
    <row r="560">
      <c r="A560" s="26" t="inlineStr">
        <is>
          <t>S11</t>
        </is>
      </c>
      <c r="B560" s="26" t="inlineStr">
        <is>
          <t>소천 신규점4</t>
        </is>
      </c>
      <c r="C560" s="26" t="inlineStr">
        <is>
          <t>S11-H남</t>
        </is>
      </c>
      <c r="D560" s="47" t="n">
        <v>1</v>
      </c>
      <c r="E560" s="26" t="inlineStr">
        <is>
          <t>측정</t>
        </is>
      </c>
      <c r="F560" s="26" t="inlineStr">
        <is>
          <t>남</t>
        </is>
      </c>
      <c r="G560" s="31" t="n">
        <v>7</v>
      </c>
      <c r="H560" s="30" t="n"/>
      <c r="I560" s="43" t="n"/>
      <c r="J560" s="41" t="n"/>
      <c r="K560" s="41" t="n"/>
      <c r="L560" s="41" t="n"/>
      <c r="M560" s="31">
        <f>IF(COUNT(J560:L560)=0,"",MEDIAN(J560:L560))</f>
        <v/>
      </c>
      <c r="N560" s="26">
        <f>IF(COUNTIFS($C:$C,$C560,$D:$D,$D560,$E:$E,"P0(전)",$M:$M,"&gt;0")&lt;&gt;1,"P0(전) 유효 1개 아님",IF(COUNTIFS($C:$C,$C560,$D:$D,$D560,$E:$E,"P0(후)",$M:$M,"&gt;0")&lt;&gt;1,"P0(후) 유효 1개 아님",IF(NOT(AND(ISNUMBER(O560),ISNUMBER(Q560),ISNUMBER(I560))),"시각 결측",IF(Q560&lt;=O560,"P0 시각 역전",IF(OR(I560&lt;O560,I560&gt;Q560),"측정시각 구간 밖","OK")))))</f>
        <v/>
      </c>
      <c r="O560" s="48">
        <f>IF(COUNTIFS($C:$C,$C560,$D:$D,$D560,$E:$E,"P0(전)",$M:$M,"&gt;0")&lt;&gt;1,"",SUMIFS($I:$I,$C:$C,$C560,$D:$D,$D560,$E:$E,"P0(전)"))</f>
        <v/>
      </c>
      <c r="P560" s="31">
        <f>IF(COUNTIFS($C:$C,$C560,$D:$D,$D560,$E:$E,"P0(전)",$M:$M,"&gt;0")&lt;&gt;1,"",SUMIFS($M:$M,$C:$C,$C560,$D:$D,$D560,$E:$E,"P0(전)"))</f>
        <v/>
      </c>
      <c r="Q560" s="48">
        <f>IF(COUNTIFS($C:$C,$C560,$D:$D,$D560,$E:$E,"P0(후)",$M:$M,"&gt;0")&lt;&gt;1,"",SUMIFS($I:$I,$C:$C,$C560,$D:$D,$D560,$E:$E,"P0(후)"))</f>
        <v/>
      </c>
      <c r="R560" s="31">
        <f>IF(COUNTIFS($C:$C,$C560,$D:$D,$D560,$E:$E,"P0(후)",$M:$M,"&gt;0")&lt;&gt;1,"",SUMIFS($M:$M,$C:$C,$C560,$D:$D,$D560,$E:$E,"P0(후)"))</f>
        <v/>
      </c>
      <c r="S560" s="31">
        <f>IF(N560&lt;&gt;"OK","",P560+(R560-P560)*(I560-O560)/(Q560-O560))</f>
        <v/>
      </c>
      <c r="T560" s="31">
        <f>IF(OR(N560&lt;&gt;"OK",NOT(ISNUMBER(M560))),"",M560-S560)</f>
        <v/>
      </c>
      <c r="U560" s="49">
        <f>IF(OR(NOT(ISNUMBER(T560)),IF(ISNUMBER(H560),H560,G560)=0),"",T560/IF(ISNUMBER(H560),H560,G560))</f>
        <v/>
      </c>
      <c r="V560" s="49">
        <f>IF(ISNUMBER(U560),ABS(U560),"")</f>
        <v/>
      </c>
      <c r="W560" s="49">
        <f>IF(OR($E559&lt;&gt;"측정",$C559&lt;&gt;$C560,$D559&lt;&gt;$D560,NOT(ISNUMBER(M560)),NOT(ISNUMBER(M559)),(IF(ISNUMBER(H560),H560,G560)-IF(ISNUMBER(H559),H559,G559))=0),"",(M560-M559)/(IF(ISNUMBER(H560),H560,G560)-IF(ISNUMBER(H559),H559,G559)))</f>
        <v/>
      </c>
      <c r="X560" s="31">
        <f>IF(NOT(AND(ISNUMBER(O560),ISNUMBER(Q560))),"",(Q560-O560)*1440)</f>
        <v/>
      </c>
      <c r="Y560" s="29" t="n"/>
      <c r="Z560" s="29" t="n"/>
      <c r="AA560" s="29" t="n"/>
      <c r="AB560" s="32" t="n"/>
      <c r="AC560" s="32" t="n"/>
    </row>
    <row r="561">
      <c r="A561" s="26" t="inlineStr">
        <is>
          <t>S11</t>
        </is>
      </c>
      <c r="B561" s="26" t="inlineStr">
        <is>
          <t>소천 신규점4</t>
        </is>
      </c>
      <c r="C561" s="26" t="inlineStr">
        <is>
          <t>S11-H남</t>
        </is>
      </c>
      <c r="D561" s="47" t="n">
        <v>1</v>
      </c>
      <c r="E561" s="26" t="inlineStr">
        <is>
          <t>측정</t>
        </is>
      </c>
      <c r="F561" s="26" t="inlineStr">
        <is>
          <t>남</t>
        </is>
      </c>
      <c r="G561" s="31" t="n">
        <v>8</v>
      </c>
      <c r="H561" s="30" t="n"/>
      <c r="I561" s="43" t="n"/>
      <c r="J561" s="41" t="n"/>
      <c r="K561" s="41" t="n"/>
      <c r="L561" s="41" t="n"/>
      <c r="M561" s="31">
        <f>IF(COUNT(J561:L561)=0,"",MEDIAN(J561:L561))</f>
        <v/>
      </c>
      <c r="N561" s="26">
        <f>IF(COUNTIFS($C:$C,$C561,$D:$D,$D561,$E:$E,"P0(전)",$M:$M,"&gt;0")&lt;&gt;1,"P0(전) 유효 1개 아님",IF(COUNTIFS($C:$C,$C561,$D:$D,$D561,$E:$E,"P0(후)",$M:$M,"&gt;0")&lt;&gt;1,"P0(후) 유효 1개 아님",IF(NOT(AND(ISNUMBER(O561),ISNUMBER(Q561),ISNUMBER(I561))),"시각 결측",IF(Q561&lt;=O561,"P0 시각 역전",IF(OR(I561&lt;O561,I561&gt;Q561),"측정시각 구간 밖","OK")))))</f>
        <v/>
      </c>
      <c r="O561" s="48">
        <f>IF(COUNTIFS($C:$C,$C561,$D:$D,$D561,$E:$E,"P0(전)",$M:$M,"&gt;0")&lt;&gt;1,"",SUMIFS($I:$I,$C:$C,$C561,$D:$D,$D561,$E:$E,"P0(전)"))</f>
        <v/>
      </c>
      <c r="P561" s="31">
        <f>IF(COUNTIFS($C:$C,$C561,$D:$D,$D561,$E:$E,"P0(전)",$M:$M,"&gt;0")&lt;&gt;1,"",SUMIFS($M:$M,$C:$C,$C561,$D:$D,$D561,$E:$E,"P0(전)"))</f>
        <v/>
      </c>
      <c r="Q561" s="48">
        <f>IF(COUNTIFS($C:$C,$C561,$D:$D,$D561,$E:$E,"P0(후)",$M:$M,"&gt;0")&lt;&gt;1,"",SUMIFS($I:$I,$C:$C,$C561,$D:$D,$D561,$E:$E,"P0(후)"))</f>
        <v/>
      </c>
      <c r="R561" s="31">
        <f>IF(COUNTIFS($C:$C,$C561,$D:$D,$D561,$E:$E,"P0(후)",$M:$M,"&gt;0")&lt;&gt;1,"",SUMIFS($M:$M,$C:$C,$C561,$D:$D,$D561,$E:$E,"P0(후)"))</f>
        <v/>
      </c>
      <c r="S561" s="31">
        <f>IF(N561&lt;&gt;"OK","",P561+(R561-P561)*(I561-O561)/(Q561-O561))</f>
        <v/>
      </c>
      <c r="T561" s="31">
        <f>IF(OR(N561&lt;&gt;"OK",NOT(ISNUMBER(M561))),"",M561-S561)</f>
        <v/>
      </c>
      <c r="U561" s="49">
        <f>IF(OR(NOT(ISNUMBER(T561)),IF(ISNUMBER(H561),H561,G561)=0),"",T561/IF(ISNUMBER(H561),H561,G561))</f>
        <v/>
      </c>
      <c r="V561" s="49">
        <f>IF(ISNUMBER(U561),ABS(U561),"")</f>
        <v/>
      </c>
      <c r="W561" s="49">
        <f>IF(OR($E560&lt;&gt;"측정",$C560&lt;&gt;$C561,$D560&lt;&gt;$D561,NOT(ISNUMBER(M561)),NOT(ISNUMBER(M560)),(IF(ISNUMBER(H561),H561,G561)-IF(ISNUMBER(H560),H560,G560))=0),"",(M561-M560)/(IF(ISNUMBER(H561),H561,G561)-IF(ISNUMBER(H560),H560,G560)))</f>
        <v/>
      </c>
      <c r="X561" s="31">
        <f>IF(NOT(AND(ISNUMBER(O561),ISNUMBER(Q561))),"",(Q561-O561)*1440)</f>
        <v/>
      </c>
      <c r="Y561" s="29" t="n"/>
      <c r="Z561" s="29" t="n"/>
      <c r="AA561" s="29" t="n"/>
      <c r="AB561" s="32" t="n"/>
      <c r="AC561" s="32" t="n"/>
    </row>
    <row r="562">
      <c r="A562" s="26" t="inlineStr">
        <is>
          <t>S11</t>
        </is>
      </c>
      <c r="B562" s="26" t="inlineStr">
        <is>
          <t>소천 신규점4</t>
        </is>
      </c>
      <c r="C562" s="26" t="inlineStr">
        <is>
          <t>S11-H남</t>
        </is>
      </c>
      <c r="D562" s="47" t="n">
        <v>1</v>
      </c>
      <c r="E562" s="26" t="inlineStr">
        <is>
          <t>측정</t>
        </is>
      </c>
      <c r="F562" s="26" t="inlineStr">
        <is>
          <t>남</t>
        </is>
      </c>
      <c r="G562" s="31" t="n">
        <v>9</v>
      </c>
      <c r="H562" s="30" t="n"/>
      <c r="I562" s="43" t="n"/>
      <c r="J562" s="41" t="n"/>
      <c r="K562" s="41" t="n"/>
      <c r="L562" s="41" t="n"/>
      <c r="M562" s="31">
        <f>IF(COUNT(J562:L562)=0,"",MEDIAN(J562:L562))</f>
        <v/>
      </c>
      <c r="N562" s="26">
        <f>IF(COUNTIFS($C:$C,$C562,$D:$D,$D562,$E:$E,"P0(전)",$M:$M,"&gt;0")&lt;&gt;1,"P0(전) 유효 1개 아님",IF(COUNTIFS($C:$C,$C562,$D:$D,$D562,$E:$E,"P0(후)",$M:$M,"&gt;0")&lt;&gt;1,"P0(후) 유효 1개 아님",IF(NOT(AND(ISNUMBER(O562),ISNUMBER(Q562),ISNUMBER(I562))),"시각 결측",IF(Q562&lt;=O562,"P0 시각 역전",IF(OR(I562&lt;O562,I562&gt;Q562),"측정시각 구간 밖","OK")))))</f>
        <v/>
      </c>
      <c r="O562" s="48">
        <f>IF(COUNTIFS($C:$C,$C562,$D:$D,$D562,$E:$E,"P0(전)",$M:$M,"&gt;0")&lt;&gt;1,"",SUMIFS($I:$I,$C:$C,$C562,$D:$D,$D562,$E:$E,"P0(전)"))</f>
        <v/>
      </c>
      <c r="P562" s="31">
        <f>IF(COUNTIFS($C:$C,$C562,$D:$D,$D562,$E:$E,"P0(전)",$M:$M,"&gt;0")&lt;&gt;1,"",SUMIFS($M:$M,$C:$C,$C562,$D:$D,$D562,$E:$E,"P0(전)"))</f>
        <v/>
      </c>
      <c r="Q562" s="48">
        <f>IF(COUNTIFS($C:$C,$C562,$D:$D,$D562,$E:$E,"P0(후)",$M:$M,"&gt;0")&lt;&gt;1,"",SUMIFS($I:$I,$C:$C,$C562,$D:$D,$D562,$E:$E,"P0(후)"))</f>
        <v/>
      </c>
      <c r="R562" s="31">
        <f>IF(COUNTIFS($C:$C,$C562,$D:$D,$D562,$E:$E,"P0(후)",$M:$M,"&gt;0")&lt;&gt;1,"",SUMIFS($M:$M,$C:$C,$C562,$D:$D,$D562,$E:$E,"P0(후)"))</f>
        <v/>
      </c>
      <c r="S562" s="31">
        <f>IF(N562&lt;&gt;"OK","",P562+(R562-P562)*(I562-O562)/(Q562-O562))</f>
        <v/>
      </c>
      <c r="T562" s="31">
        <f>IF(OR(N562&lt;&gt;"OK",NOT(ISNUMBER(M562))),"",M562-S562)</f>
        <v/>
      </c>
      <c r="U562" s="49">
        <f>IF(OR(NOT(ISNUMBER(T562)),IF(ISNUMBER(H562),H562,G562)=0),"",T562/IF(ISNUMBER(H562),H562,G562))</f>
        <v/>
      </c>
      <c r="V562" s="49">
        <f>IF(ISNUMBER(U562),ABS(U562),"")</f>
        <v/>
      </c>
      <c r="W562" s="49">
        <f>IF(OR($E561&lt;&gt;"측정",$C561&lt;&gt;$C562,$D561&lt;&gt;$D562,NOT(ISNUMBER(M562)),NOT(ISNUMBER(M561)),(IF(ISNUMBER(H562),H562,G562)-IF(ISNUMBER(H561),H561,G561))=0),"",(M562-M561)/(IF(ISNUMBER(H562),H562,G562)-IF(ISNUMBER(H561),H561,G561)))</f>
        <v/>
      </c>
      <c r="X562" s="31">
        <f>IF(NOT(AND(ISNUMBER(O562),ISNUMBER(Q562))),"",(Q562-O562)*1440)</f>
        <v/>
      </c>
      <c r="Y562" s="29" t="n"/>
      <c r="Z562" s="29" t="n"/>
      <c r="AA562" s="29" t="n"/>
      <c r="AB562" s="32" t="n"/>
      <c r="AC562" s="32" t="n"/>
    </row>
    <row r="563">
      <c r="A563" s="26" t="inlineStr">
        <is>
          <t>S11</t>
        </is>
      </c>
      <c r="B563" s="26" t="inlineStr">
        <is>
          <t>소천 신규점4</t>
        </is>
      </c>
      <c r="C563" s="26" t="inlineStr">
        <is>
          <t>S11-H남</t>
        </is>
      </c>
      <c r="D563" s="47" t="n">
        <v>1</v>
      </c>
      <c r="E563" s="26" t="inlineStr">
        <is>
          <t>측정</t>
        </is>
      </c>
      <c r="F563" s="26" t="inlineStr">
        <is>
          <t>남</t>
        </is>
      </c>
      <c r="G563" s="31" t="n">
        <v>10</v>
      </c>
      <c r="H563" s="30" t="n"/>
      <c r="I563" s="43" t="n"/>
      <c r="J563" s="41" t="n"/>
      <c r="K563" s="41" t="n"/>
      <c r="L563" s="41" t="n"/>
      <c r="M563" s="31">
        <f>IF(COUNT(J563:L563)=0,"",MEDIAN(J563:L563))</f>
        <v/>
      </c>
      <c r="N563" s="26">
        <f>IF(COUNTIFS($C:$C,$C563,$D:$D,$D563,$E:$E,"P0(전)",$M:$M,"&gt;0")&lt;&gt;1,"P0(전) 유효 1개 아님",IF(COUNTIFS($C:$C,$C563,$D:$D,$D563,$E:$E,"P0(후)",$M:$M,"&gt;0")&lt;&gt;1,"P0(후) 유효 1개 아님",IF(NOT(AND(ISNUMBER(O563),ISNUMBER(Q563),ISNUMBER(I563))),"시각 결측",IF(Q563&lt;=O563,"P0 시각 역전",IF(OR(I563&lt;O563,I563&gt;Q563),"측정시각 구간 밖","OK")))))</f>
        <v/>
      </c>
      <c r="O563" s="48">
        <f>IF(COUNTIFS($C:$C,$C563,$D:$D,$D563,$E:$E,"P0(전)",$M:$M,"&gt;0")&lt;&gt;1,"",SUMIFS($I:$I,$C:$C,$C563,$D:$D,$D563,$E:$E,"P0(전)"))</f>
        <v/>
      </c>
      <c r="P563" s="31">
        <f>IF(COUNTIFS($C:$C,$C563,$D:$D,$D563,$E:$E,"P0(전)",$M:$M,"&gt;0")&lt;&gt;1,"",SUMIFS($M:$M,$C:$C,$C563,$D:$D,$D563,$E:$E,"P0(전)"))</f>
        <v/>
      </c>
      <c r="Q563" s="48">
        <f>IF(COUNTIFS($C:$C,$C563,$D:$D,$D563,$E:$E,"P0(후)",$M:$M,"&gt;0")&lt;&gt;1,"",SUMIFS($I:$I,$C:$C,$C563,$D:$D,$D563,$E:$E,"P0(후)"))</f>
        <v/>
      </c>
      <c r="R563" s="31">
        <f>IF(COUNTIFS($C:$C,$C563,$D:$D,$D563,$E:$E,"P0(후)",$M:$M,"&gt;0")&lt;&gt;1,"",SUMIFS($M:$M,$C:$C,$C563,$D:$D,$D563,$E:$E,"P0(후)"))</f>
        <v/>
      </c>
      <c r="S563" s="31">
        <f>IF(N563&lt;&gt;"OK","",P563+(R563-P563)*(I563-O563)/(Q563-O563))</f>
        <v/>
      </c>
      <c r="T563" s="31">
        <f>IF(OR(N563&lt;&gt;"OK",NOT(ISNUMBER(M563))),"",M563-S563)</f>
        <v/>
      </c>
      <c r="U563" s="49">
        <f>IF(OR(NOT(ISNUMBER(T563)),IF(ISNUMBER(H563),H563,G563)=0),"",T563/IF(ISNUMBER(H563),H563,G563))</f>
        <v/>
      </c>
      <c r="V563" s="49">
        <f>IF(ISNUMBER(U563),ABS(U563),"")</f>
        <v/>
      </c>
      <c r="W563" s="49">
        <f>IF(OR($E562&lt;&gt;"측정",$C562&lt;&gt;$C563,$D562&lt;&gt;$D563,NOT(ISNUMBER(M563)),NOT(ISNUMBER(M562)),(IF(ISNUMBER(H563),H563,G563)-IF(ISNUMBER(H562),H562,G562))=0),"",(M563-M562)/(IF(ISNUMBER(H563),H563,G563)-IF(ISNUMBER(H562),H562,G562)))</f>
        <v/>
      </c>
      <c r="X563" s="31">
        <f>IF(NOT(AND(ISNUMBER(O563),ISNUMBER(Q563))),"",(Q563-O563)*1440)</f>
        <v/>
      </c>
      <c r="Y563" s="29" t="n"/>
      <c r="Z563" s="29" t="n"/>
      <c r="AA563" s="29" t="n"/>
      <c r="AB563" s="32" t="n"/>
      <c r="AC563" s="32" t="n"/>
    </row>
    <row r="564">
      <c r="A564" s="44" t="inlineStr">
        <is>
          <t>S11</t>
        </is>
      </c>
      <c r="B564" s="44" t="inlineStr">
        <is>
          <t>소천 신규점4</t>
        </is>
      </c>
      <c r="C564" s="44" t="inlineStr">
        <is>
          <t>S11-H남</t>
        </is>
      </c>
      <c r="D564" s="45" t="n">
        <v>1</v>
      </c>
      <c r="E564" s="44" t="inlineStr">
        <is>
          <t>P0(후)</t>
        </is>
      </c>
      <c r="F564" s="44" t="inlineStr">
        <is>
          <t>남</t>
        </is>
      </c>
      <c r="G564" s="46" t="n"/>
      <c r="H564" s="30" t="n"/>
      <c r="I564" s="43" t="n"/>
      <c r="J564" s="41" t="n"/>
      <c r="K564" s="41" t="n"/>
      <c r="L564" s="41" t="n"/>
      <c r="M564" s="31">
        <f>IF(COUNT(J564:L564)=0,"",MEDIAN(J564:L564))</f>
        <v/>
      </c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38" t="n"/>
      <c r="Y564" s="29" t="n"/>
      <c r="Z564" s="29" t="n"/>
      <c r="AA564" s="29" t="n"/>
      <c r="AB564" s="32" t="n"/>
      <c r="AC564" s="32" t="n"/>
    </row>
    <row r="565">
      <c r="A565" s="44" t="inlineStr">
        <is>
          <t>S11</t>
        </is>
      </c>
      <c r="B565" s="44" t="inlineStr">
        <is>
          <t>소천 신규점4</t>
        </is>
      </c>
      <c r="C565" s="44" t="inlineStr">
        <is>
          <t>S11-H북</t>
        </is>
      </c>
      <c r="D565" s="45" t="n">
        <v>1</v>
      </c>
      <c r="E565" s="44" t="inlineStr">
        <is>
          <t>P0(전)</t>
        </is>
      </c>
      <c r="F565" s="44" t="inlineStr">
        <is>
          <t>북</t>
        </is>
      </c>
      <c r="G565" s="46" t="n"/>
      <c r="H565" s="30" t="n"/>
      <c r="I565" s="43" t="n"/>
      <c r="J565" s="41" t="n"/>
      <c r="K565" s="41" t="n"/>
      <c r="L565" s="41" t="n"/>
      <c r="M565" s="31">
        <f>IF(COUNT(J565:L565)=0,"",MEDIAN(J565:L565))</f>
        <v/>
      </c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  <c r="X565" s="38" t="n"/>
      <c r="Y565" s="29" t="n"/>
      <c r="Z565" s="29" t="n"/>
      <c r="AA565" s="29" t="n"/>
      <c r="AB565" s="32" t="n"/>
      <c r="AC565" s="32" t="n"/>
    </row>
    <row r="566">
      <c r="A566" s="26" t="inlineStr">
        <is>
          <t>S11</t>
        </is>
      </c>
      <c r="B566" s="26" t="inlineStr">
        <is>
          <t>소천 신규점4</t>
        </is>
      </c>
      <c r="C566" s="26" t="inlineStr">
        <is>
          <t>S11-H북</t>
        </is>
      </c>
      <c r="D566" s="47" t="n">
        <v>1</v>
      </c>
      <c r="E566" s="26" t="inlineStr">
        <is>
          <t>측정</t>
        </is>
      </c>
      <c r="F566" s="26" t="inlineStr">
        <is>
          <t>북</t>
        </is>
      </c>
      <c r="G566" s="31" t="n">
        <v>0.5</v>
      </c>
      <c r="H566" s="30" t="n"/>
      <c r="I566" s="43" t="n"/>
      <c r="J566" s="41" t="n"/>
      <c r="K566" s="41" t="n"/>
      <c r="L566" s="41" t="n"/>
      <c r="M566" s="31">
        <f>IF(COUNT(J566:L566)=0,"",MEDIAN(J566:L566))</f>
        <v/>
      </c>
      <c r="N566" s="26">
        <f>IF(COUNTIFS($C:$C,$C566,$D:$D,$D566,$E:$E,"P0(전)",$M:$M,"&gt;0")&lt;&gt;1,"P0(전) 유효 1개 아님",IF(COUNTIFS($C:$C,$C566,$D:$D,$D566,$E:$E,"P0(후)",$M:$M,"&gt;0")&lt;&gt;1,"P0(후) 유효 1개 아님",IF(NOT(AND(ISNUMBER(O566),ISNUMBER(Q566),ISNUMBER(I566))),"시각 결측",IF(Q566&lt;=O566,"P0 시각 역전",IF(OR(I566&lt;O566,I566&gt;Q566),"측정시각 구간 밖","OK")))))</f>
        <v/>
      </c>
      <c r="O566" s="48">
        <f>IF(COUNTIFS($C:$C,$C566,$D:$D,$D566,$E:$E,"P0(전)",$M:$M,"&gt;0")&lt;&gt;1,"",SUMIFS($I:$I,$C:$C,$C566,$D:$D,$D566,$E:$E,"P0(전)"))</f>
        <v/>
      </c>
      <c r="P566" s="31">
        <f>IF(COUNTIFS($C:$C,$C566,$D:$D,$D566,$E:$E,"P0(전)",$M:$M,"&gt;0")&lt;&gt;1,"",SUMIFS($M:$M,$C:$C,$C566,$D:$D,$D566,$E:$E,"P0(전)"))</f>
        <v/>
      </c>
      <c r="Q566" s="48">
        <f>IF(COUNTIFS($C:$C,$C566,$D:$D,$D566,$E:$E,"P0(후)",$M:$M,"&gt;0")&lt;&gt;1,"",SUMIFS($I:$I,$C:$C,$C566,$D:$D,$D566,$E:$E,"P0(후)"))</f>
        <v/>
      </c>
      <c r="R566" s="31">
        <f>IF(COUNTIFS($C:$C,$C566,$D:$D,$D566,$E:$E,"P0(후)",$M:$M,"&gt;0")&lt;&gt;1,"",SUMIFS($M:$M,$C:$C,$C566,$D:$D,$D566,$E:$E,"P0(후)"))</f>
        <v/>
      </c>
      <c r="S566" s="31">
        <f>IF(N566&lt;&gt;"OK","",P566+(R566-P566)*(I566-O566)/(Q566-O566))</f>
        <v/>
      </c>
      <c r="T566" s="31">
        <f>IF(OR(N566&lt;&gt;"OK",NOT(ISNUMBER(M566))),"",M566-S566)</f>
        <v/>
      </c>
      <c r="U566" s="49">
        <f>IF(OR(NOT(ISNUMBER(T566)),IF(ISNUMBER(H566),H566,G566)=0),"",T566/IF(ISNUMBER(H566),H566,G566))</f>
        <v/>
      </c>
      <c r="V566" s="49">
        <f>IF(ISNUMBER(U566),ABS(U566),"")</f>
        <v/>
      </c>
      <c r="W566" s="49">
        <f>IF(OR($E565&lt;&gt;"측정",$C565&lt;&gt;$C566,$D565&lt;&gt;$D566,NOT(ISNUMBER(M566)),NOT(ISNUMBER(M565)),(IF(ISNUMBER(H566),H566,G566)-IF(ISNUMBER(H565),H565,G565))=0),"",(M566-M565)/(IF(ISNUMBER(H566),H566,G566)-IF(ISNUMBER(H565),H565,G565)))</f>
        <v/>
      </c>
      <c r="X566" s="31">
        <f>IF(NOT(AND(ISNUMBER(O566),ISNUMBER(Q566))),"",(Q566-O566)*1440)</f>
        <v/>
      </c>
      <c r="Y566" s="29" t="n"/>
      <c r="Z566" s="29" t="n"/>
      <c r="AA566" s="29" t="n"/>
      <c r="AB566" s="32" t="n"/>
      <c r="AC566" s="32" t="n"/>
    </row>
    <row r="567">
      <c r="A567" s="26" t="inlineStr">
        <is>
          <t>S11</t>
        </is>
      </c>
      <c r="B567" s="26" t="inlineStr">
        <is>
          <t>소천 신규점4</t>
        </is>
      </c>
      <c r="C567" s="26" t="inlineStr">
        <is>
          <t>S11-H북</t>
        </is>
      </c>
      <c r="D567" s="47" t="n">
        <v>1</v>
      </c>
      <c r="E567" s="26" t="inlineStr">
        <is>
          <t>측정</t>
        </is>
      </c>
      <c r="F567" s="26" t="inlineStr">
        <is>
          <t>북</t>
        </is>
      </c>
      <c r="G567" s="31" t="n">
        <v>1</v>
      </c>
      <c r="H567" s="30" t="n"/>
      <c r="I567" s="43" t="n"/>
      <c r="J567" s="41" t="n"/>
      <c r="K567" s="41" t="n"/>
      <c r="L567" s="41" t="n"/>
      <c r="M567" s="31">
        <f>IF(COUNT(J567:L567)=0,"",MEDIAN(J567:L567))</f>
        <v/>
      </c>
      <c r="N567" s="26">
        <f>IF(COUNTIFS($C:$C,$C567,$D:$D,$D567,$E:$E,"P0(전)",$M:$M,"&gt;0")&lt;&gt;1,"P0(전) 유효 1개 아님",IF(COUNTIFS($C:$C,$C567,$D:$D,$D567,$E:$E,"P0(후)",$M:$M,"&gt;0")&lt;&gt;1,"P0(후) 유효 1개 아님",IF(NOT(AND(ISNUMBER(O567),ISNUMBER(Q567),ISNUMBER(I567))),"시각 결측",IF(Q567&lt;=O567,"P0 시각 역전",IF(OR(I567&lt;O567,I567&gt;Q567),"측정시각 구간 밖","OK")))))</f>
        <v/>
      </c>
      <c r="O567" s="48">
        <f>IF(COUNTIFS($C:$C,$C567,$D:$D,$D567,$E:$E,"P0(전)",$M:$M,"&gt;0")&lt;&gt;1,"",SUMIFS($I:$I,$C:$C,$C567,$D:$D,$D567,$E:$E,"P0(전)"))</f>
        <v/>
      </c>
      <c r="P567" s="31">
        <f>IF(COUNTIFS($C:$C,$C567,$D:$D,$D567,$E:$E,"P0(전)",$M:$M,"&gt;0")&lt;&gt;1,"",SUMIFS($M:$M,$C:$C,$C567,$D:$D,$D567,$E:$E,"P0(전)"))</f>
        <v/>
      </c>
      <c r="Q567" s="48">
        <f>IF(COUNTIFS($C:$C,$C567,$D:$D,$D567,$E:$E,"P0(후)",$M:$M,"&gt;0")&lt;&gt;1,"",SUMIFS($I:$I,$C:$C,$C567,$D:$D,$D567,$E:$E,"P0(후)"))</f>
        <v/>
      </c>
      <c r="R567" s="31">
        <f>IF(COUNTIFS($C:$C,$C567,$D:$D,$D567,$E:$E,"P0(후)",$M:$M,"&gt;0")&lt;&gt;1,"",SUMIFS($M:$M,$C:$C,$C567,$D:$D,$D567,$E:$E,"P0(후)"))</f>
        <v/>
      </c>
      <c r="S567" s="31">
        <f>IF(N567&lt;&gt;"OK","",P567+(R567-P567)*(I567-O567)/(Q567-O567))</f>
        <v/>
      </c>
      <c r="T567" s="31">
        <f>IF(OR(N567&lt;&gt;"OK",NOT(ISNUMBER(M567))),"",M567-S567)</f>
        <v/>
      </c>
      <c r="U567" s="49">
        <f>IF(OR(NOT(ISNUMBER(T567)),IF(ISNUMBER(H567),H567,G567)=0),"",T567/IF(ISNUMBER(H567),H567,G567))</f>
        <v/>
      </c>
      <c r="V567" s="49">
        <f>IF(ISNUMBER(U567),ABS(U567),"")</f>
        <v/>
      </c>
      <c r="W567" s="49">
        <f>IF(OR($E566&lt;&gt;"측정",$C566&lt;&gt;$C567,$D566&lt;&gt;$D567,NOT(ISNUMBER(M567)),NOT(ISNUMBER(M566)),(IF(ISNUMBER(H567),H567,G567)-IF(ISNUMBER(H566),H566,G566))=0),"",(M567-M566)/(IF(ISNUMBER(H567),H567,G567)-IF(ISNUMBER(H566),H566,G566)))</f>
        <v/>
      </c>
      <c r="X567" s="31">
        <f>IF(NOT(AND(ISNUMBER(O567),ISNUMBER(Q567))),"",(Q567-O567)*1440)</f>
        <v/>
      </c>
      <c r="Y567" s="29" t="n"/>
      <c r="Z567" s="29" t="n"/>
      <c r="AA567" s="29" t="n"/>
      <c r="AB567" s="32" t="n"/>
      <c r="AC567" s="32" t="n"/>
    </row>
    <row r="568">
      <c r="A568" s="26" t="inlineStr">
        <is>
          <t>S11</t>
        </is>
      </c>
      <c r="B568" s="26" t="inlineStr">
        <is>
          <t>소천 신규점4</t>
        </is>
      </c>
      <c r="C568" s="26" t="inlineStr">
        <is>
          <t>S11-H북</t>
        </is>
      </c>
      <c r="D568" s="47" t="n">
        <v>1</v>
      </c>
      <c r="E568" s="26" t="inlineStr">
        <is>
          <t>측정</t>
        </is>
      </c>
      <c r="F568" s="26" t="inlineStr">
        <is>
          <t>북</t>
        </is>
      </c>
      <c r="G568" s="31" t="n">
        <v>2</v>
      </c>
      <c r="H568" s="30" t="n"/>
      <c r="I568" s="43" t="n"/>
      <c r="J568" s="41" t="n"/>
      <c r="K568" s="41" t="n"/>
      <c r="L568" s="41" t="n"/>
      <c r="M568" s="31">
        <f>IF(COUNT(J568:L568)=0,"",MEDIAN(J568:L568))</f>
        <v/>
      </c>
      <c r="N568" s="26">
        <f>IF(COUNTIFS($C:$C,$C568,$D:$D,$D568,$E:$E,"P0(전)",$M:$M,"&gt;0")&lt;&gt;1,"P0(전) 유효 1개 아님",IF(COUNTIFS($C:$C,$C568,$D:$D,$D568,$E:$E,"P0(후)",$M:$M,"&gt;0")&lt;&gt;1,"P0(후) 유효 1개 아님",IF(NOT(AND(ISNUMBER(O568),ISNUMBER(Q568),ISNUMBER(I568))),"시각 결측",IF(Q568&lt;=O568,"P0 시각 역전",IF(OR(I568&lt;O568,I568&gt;Q568),"측정시각 구간 밖","OK")))))</f>
        <v/>
      </c>
      <c r="O568" s="48">
        <f>IF(COUNTIFS($C:$C,$C568,$D:$D,$D568,$E:$E,"P0(전)",$M:$M,"&gt;0")&lt;&gt;1,"",SUMIFS($I:$I,$C:$C,$C568,$D:$D,$D568,$E:$E,"P0(전)"))</f>
        <v/>
      </c>
      <c r="P568" s="31">
        <f>IF(COUNTIFS($C:$C,$C568,$D:$D,$D568,$E:$E,"P0(전)",$M:$M,"&gt;0")&lt;&gt;1,"",SUMIFS($M:$M,$C:$C,$C568,$D:$D,$D568,$E:$E,"P0(전)"))</f>
        <v/>
      </c>
      <c r="Q568" s="48">
        <f>IF(COUNTIFS($C:$C,$C568,$D:$D,$D568,$E:$E,"P0(후)",$M:$M,"&gt;0")&lt;&gt;1,"",SUMIFS($I:$I,$C:$C,$C568,$D:$D,$D568,$E:$E,"P0(후)"))</f>
        <v/>
      </c>
      <c r="R568" s="31">
        <f>IF(COUNTIFS($C:$C,$C568,$D:$D,$D568,$E:$E,"P0(후)",$M:$M,"&gt;0")&lt;&gt;1,"",SUMIFS($M:$M,$C:$C,$C568,$D:$D,$D568,$E:$E,"P0(후)"))</f>
        <v/>
      </c>
      <c r="S568" s="31">
        <f>IF(N568&lt;&gt;"OK","",P568+(R568-P568)*(I568-O568)/(Q568-O568))</f>
        <v/>
      </c>
      <c r="T568" s="31">
        <f>IF(OR(N568&lt;&gt;"OK",NOT(ISNUMBER(M568))),"",M568-S568)</f>
        <v/>
      </c>
      <c r="U568" s="49">
        <f>IF(OR(NOT(ISNUMBER(T568)),IF(ISNUMBER(H568),H568,G568)=0),"",T568/IF(ISNUMBER(H568),H568,G568))</f>
        <v/>
      </c>
      <c r="V568" s="49">
        <f>IF(ISNUMBER(U568),ABS(U568),"")</f>
        <v/>
      </c>
      <c r="W568" s="49">
        <f>IF(OR($E567&lt;&gt;"측정",$C567&lt;&gt;$C568,$D567&lt;&gt;$D568,NOT(ISNUMBER(M568)),NOT(ISNUMBER(M567)),(IF(ISNUMBER(H568),H568,G568)-IF(ISNUMBER(H567),H567,G567))=0),"",(M568-M567)/(IF(ISNUMBER(H568),H568,G568)-IF(ISNUMBER(H567),H567,G567)))</f>
        <v/>
      </c>
      <c r="X568" s="31">
        <f>IF(NOT(AND(ISNUMBER(O568),ISNUMBER(Q568))),"",(Q568-O568)*1440)</f>
        <v/>
      </c>
      <c r="Y568" s="29" t="n"/>
      <c r="Z568" s="29" t="n"/>
      <c r="AA568" s="29" t="n"/>
      <c r="AB568" s="32" t="n"/>
      <c r="AC568" s="32" t="n"/>
    </row>
    <row r="569">
      <c r="A569" s="26" t="inlineStr">
        <is>
          <t>S11</t>
        </is>
      </c>
      <c r="B569" s="26" t="inlineStr">
        <is>
          <t>소천 신규점4</t>
        </is>
      </c>
      <c r="C569" s="26" t="inlineStr">
        <is>
          <t>S11-H북</t>
        </is>
      </c>
      <c r="D569" s="47" t="n">
        <v>1</v>
      </c>
      <c r="E569" s="26" t="inlineStr">
        <is>
          <t>측정</t>
        </is>
      </c>
      <c r="F569" s="26" t="inlineStr">
        <is>
          <t>북</t>
        </is>
      </c>
      <c r="G569" s="31" t="n">
        <v>3</v>
      </c>
      <c r="H569" s="30" t="n"/>
      <c r="I569" s="43" t="n"/>
      <c r="J569" s="41" t="n"/>
      <c r="K569" s="41" t="n"/>
      <c r="L569" s="41" t="n"/>
      <c r="M569" s="31">
        <f>IF(COUNT(J569:L569)=0,"",MEDIAN(J569:L569))</f>
        <v/>
      </c>
      <c r="N569" s="26">
        <f>IF(COUNTIFS($C:$C,$C569,$D:$D,$D569,$E:$E,"P0(전)",$M:$M,"&gt;0")&lt;&gt;1,"P0(전) 유효 1개 아님",IF(COUNTIFS($C:$C,$C569,$D:$D,$D569,$E:$E,"P0(후)",$M:$M,"&gt;0")&lt;&gt;1,"P0(후) 유효 1개 아님",IF(NOT(AND(ISNUMBER(O569),ISNUMBER(Q569),ISNUMBER(I569))),"시각 결측",IF(Q569&lt;=O569,"P0 시각 역전",IF(OR(I569&lt;O569,I569&gt;Q569),"측정시각 구간 밖","OK")))))</f>
        <v/>
      </c>
      <c r="O569" s="48">
        <f>IF(COUNTIFS($C:$C,$C569,$D:$D,$D569,$E:$E,"P0(전)",$M:$M,"&gt;0")&lt;&gt;1,"",SUMIFS($I:$I,$C:$C,$C569,$D:$D,$D569,$E:$E,"P0(전)"))</f>
        <v/>
      </c>
      <c r="P569" s="31">
        <f>IF(COUNTIFS($C:$C,$C569,$D:$D,$D569,$E:$E,"P0(전)",$M:$M,"&gt;0")&lt;&gt;1,"",SUMIFS($M:$M,$C:$C,$C569,$D:$D,$D569,$E:$E,"P0(전)"))</f>
        <v/>
      </c>
      <c r="Q569" s="48">
        <f>IF(COUNTIFS($C:$C,$C569,$D:$D,$D569,$E:$E,"P0(후)",$M:$M,"&gt;0")&lt;&gt;1,"",SUMIFS($I:$I,$C:$C,$C569,$D:$D,$D569,$E:$E,"P0(후)"))</f>
        <v/>
      </c>
      <c r="R569" s="31">
        <f>IF(COUNTIFS($C:$C,$C569,$D:$D,$D569,$E:$E,"P0(후)",$M:$M,"&gt;0")&lt;&gt;1,"",SUMIFS($M:$M,$C:$C,$C569,$D:$D,$D569,$E:$E,"P0(후)"))</f>
        <v/>
      </c>
      <c r="S569" s="31">
        <f>IF(N569&lt;&gt;"OK","",P569+(R569-P569)*(I569-O569)/(Q569-O569))</f>
        <v/>
      </c>
      <c r="T569" s="31">
        <f>IF(OR(N569&lt;&gt;"OK",NOT(ISNUMBER(M569))),"",M569-S569)</f>
        <v/>
      </c>
      <c r="U569" s="49">
        <f>IF(OR(NOT(ISNUMBER(T569)),IF(ISNUMBER(H569),H569,G569)=0),"",T569/IF(ISNUMBER(H569),H569,G569))</f>
        <v/>
      </c>
      <c r="V569" s="49">
        <f>IF(ISNUMBER(U569),ABS(U569),"")</f>
        <v/>
      </c>
      <c r="W569" s="49">
        <f>IF(OR($E568&lt;&gt;"측정",$C568&lt;&gt;$C569,$D568&lt;&gt;$D569,NOT(ISNUMBER(M569)),NOT(ISNUMBER(M568)),(IF(ISNUMBER(H569),H569,G569)-IF(ISNUMBER(H568),H568,G568))=0),"",(M569-M568)/(IF(ISNUMBER(H569),H569,G569)-IF(ISNUMBER(H568),H568,G568)))</f>
        <v/>
      </c>
      <c r="X569" s="31">
        <f>IF(NOT(AND(ISNUMBER(O569),ISNUMBER(Q569))),"",(Q569-O569)*1440)</f>
        <v/>
      </c>
      <c r="Y569" s="29" t="n"/>
      <c r="Z569" s="29" t="n"/>
      <c r="AA569" s="29" t="n"/>
      <c r="AB569" s="32" t="n"/>
      <c r="AC569" s="32" t="n"/>
    </row>
    <row r="570">
      <c r="A570" s="26" t="inlineStr">
        <is>
          <t>S11</t>
        </is>
      </c>
      <c r="B570" s="26" t="inlineStr">
        <is>
          <t>소천 신규점4</t>
        </is>
      </c>
      <c r="C570" s="26" t="inlineStr">
        <is>
          <t>S11-H북</t>
        </is>
      </c>
      <c r="D570" s="47" t="n">
        <v>1</v>
      </c>
      <c r="E570" s="26" t="inlineStr">
        <is>
          <t>측정</t>
        </is>
      </c>
      <c r="F570" s="26" t="inlineStr">
        <is>
          <t>북</t>
        </is>
      </c>
      <c r="G570" s="31" t="n">
        <v>4</v>
      </c>
      <c r="H570" s="30" t="n"/>
      <c r="I570" s="43" t="n"/>
      <c r="J570" s="41" t="n"/>
      <c r="K570" s="41" t="n"/>
      <c r="L570" s="41" t="n"/>
      <c r="M570" s="31">
        <f>IF(COUNT(J570:L570)=0,"",MEDIAN(J570:L570))</f>
        <v/>
      </c>
      <c r="N570" s="26">
        <f>IF(COUNTIFS($C:$C,$C570,$D:$D,$D570,$E:$E,"P0(전)",$M:$M,"&gt;0")&lt;&gt;1,"P0(전) 유효 1개 아님",IF(COUNTIFS($C:$C,$C570,$D:$D,$D570,$E:$E,"P0(후)",$M:$M,"&gt;0")&lt;&gt;1,"P0(후) 유효 1개 아님",IF(NOT(AND(ISNUMBER(O570),ISNUMBER(Q570),ISNUMBER(I570))),"시각 결측",IF(Q570&lt;=O570,"P0 시각 역전",IF(OR(I570&lt;O570,I570&gt;Q570),"측정시각 구간 밖","OK")))))</f>
        <v/>
      </c>
      <c r="O570" s="48">
        <f>IF(COUNTIFS($C:$C,$C570,$D:$D,$D570,$E:$E,"P0(전)",$M:$M,"&gt;0")&lt;&gt;1,"",SUMIFS($I:$I,$C:$C,$C570,$D:$D,$D570,$E:$E,"P0(전)"))</f>
        <v/>
      </c>
      <c r="P570" s="31">
        <f>IF(COUNTIFS($C:$C,$C570,$D:$D,$D570,$E:$E,"P0(전)",$M:$M,"&gt;0")&lt;&gt;1,"",SUMIFS($M:$M,$C:$C,$C570,$D:$D,$D570,$E:$E,"P0(전)"))</f>
        <v/>
      </c>
      <c r="Q570" s="48">
        <f>IF(COUNTIFS($C:$C,$C570,$D:$D,$D570,$E:$E,"P0(후)",$M:$M,"&gt;0")&lt;&gt;1,"",SUMIFS($I:$I,$C:$C,$C570,$D:$D,$D570,$E:$E,"P0(후)"))</f>
        <v/>
      </c>
      <c r="R570" s="31">
        <f>IF(COUNTIFS($C:$C,$C570,$D:$D,$D570,$E:$E,"P0(후)",$M:$M,"&gt;0")&lt;&gt;1,"",SUMIFS($M:$M,$C:$C,$C570,$D:$D,$D570,$E:$E,"P0(후)"))</f>
        <v/>
      </c>
      <c r="S570" s="31">
        <f>IF(N570&lt;&gt;"OK","",P570+(R570-P570)*(I570-O570)/(Q570-O570))</f>
        <v/>
      </c>
      <c r="T570" s="31">
        <f>IF(OR(N570&lt;&gt;"OK",NOT(ISNUMBER(M570))),"",M570-S570)</f>
        <v/>
      </c>
      <c r="U570" s="49">
        <f>IF(OR(NOT(ISNUMBER(T570)),IF(ISNUMBER(H570),H570,G570)=0),"",T570/IF(ISNUMBER(H570),H570,G570))</f>
        <v/>
      </c>
      <c r="V570" s="49">
        <f>IF(ISNUMBER(U570),ABS(U570),"")</f>
        <v/>
      </c>
      <c r="W570" s="49">
        <f>IF(OR($E569&lt;&gt;"측정",$C569&lt;&gt;$C570,$D569&lt;&gt;$D570,NOT(ISNUMBER(M570)),NOT(ISNUMBER(M569)),(IF(ISNUMBER(H570),H570,G570)-IF(ISNUMBER(H569),H569,G569))=0),"",(M570-M569)/(IF(ISNUMBER(H570),H570,G570)-IF(ISNUMBER(H569),H569,G569)))</f>
        <v/>
      </c>
      <c r="X570" s="31">
        <f>IF(NOT(AND(ISNUMBER(O570),ISNUMBER(Q570))),"",(Q570-O570)*1440)</f>
        <v/>
      </c>
      <c r="Y570" s="29" t="n"/>
      <c r="Z570" s="29" t="n"/>
      <c r="AA570" s="29" t="n"/>
      <c r="AB570" s="32" t="n"/>
      <c r="AC570" s="32" t="n"/>
    </row>
    <row r="571">
      <c r="A571" s="26" t="inlineStr">
        <is>
          <t>S11</t>
        </is>
      </c>
      <c r="B571" s="26" t="inlineStr">
        <is>
          <t>소천 신규점4</t>
        </is>
      </c>
      <c r="C571" s="26" t="inlineStr">
        <is>
          <t>S11-H북</t>
        </is>
      </c>
      <c r="D571" s="47" t="n">
        <v>1</v>
      </c>
      <c r="E571" s="26" t="inlineStr">
        <is>
          <t>측정</t>
        </is>
      </c>
      <c r="F571" s="26" t="inlineStr">
        <is>
          <t>북</t>
        </is>
      </c>
      <c r="G571" s="31" t="n">
        <v>5</v>
      </c>
      <c r="H571" s="30" t="n"/>
      <c r="I571" s="43" t="n"/>
      <c r="J571" s="41" t="n"/>
      <c r="K571" s="41" t="n"/>
      <c r="L571" s="41" t="n"/>
      <c r="M571" s="31">
        <f>IF(COUNT(J571:L571)=0,"",MEDIAN(J571:L571))</f>
        <v/>
      </c>
      <c r="N571" s="26">
        <f>IF(COUNTIFS($C:$C,$C571,$D:$D,$D571,$E:$E,"P0(전)",$M:$M,"&gt;0")&lt;&gt;1,"P0(전) 유효 1개 아님",IF(COUNTIFS($C:$C,$C571,$D:$D,$D571,$E:$E,"P0(후)",$M:$M,"&gt;0")&lt;&gt;1,"P0(후) 유효 1개 아님",IF(NOT(AND(ISNUMBER(O571),ISNUMBER(Q571),ISNUMBER(I571))),"시각 결측",IF(Q571&lt;=O571,"P0 시각 역전",IF(OR(I571&lt;O571,I571&gt;Q571),"측정시각 구간 밖","OK")))))</f>
        <v/>
      </c>
      <c r="O571" s="48">
        <f>IF(COUNTIFS($C:$C,$C571,$D:$D,$D571,$E:$E,"P0(전)",$M:$M,"&gt;0")&lt;&gt;1,"",SUMIFS($I:$I,$C:$C,$C571,$D:$D,$D571,$E:$E,"P0(전)"))</f>
        <v/>
      </c>
      <c r="P571" s="31">
        <f>IF(COUNTIFS($C:$C,$C571,$D:$D,$D571,$E:$E,"P0(전)",$M:$M,"&gt;0")&lt;&gt;1,"",SUMIFS($M:$M,$C:$C,$C571,$D:$D,$D571,$E:$E,"P0(전)"))</f>
        <v/>
      </c>
      <c r="Q571" s="48">
        <f>IF(COUNTIFS($C:$C,$C571,$D:$D,$D571,$E:$E,"P0(후)",$M:$M,"&gt;0")&lt;&gt;1,"",SUMIFS($I:$I,$C:$C,$C571,$D:$D,$D571,$E:$E,"P0(후)"))</f>
        <v/>
      </c>
      <c r="R571" s="31">
        <f>IF(COUNTIFS($C:$C,$C571,$D:$D,$D571,$E:$E,"P0(후)",$M:$M,"&gt;0")&lt;&gt;1,"",SUMIFS($M:$M,$C:$C,$C571,$D:$D,$D571,$E:$E,"P0(후)"))</f>
        <v/>
      </c>
      <c r="S571" s="31">
        <f>IF(N571&lt;&gt;"OK","",P571+(R571-P571)*(I571-O571)/(Q571-O571))</f>
        <v/>
      </c>
      <c r="T571" s="31">
        <f>IF(OR(N571&lt;&gt;"OK",NOT(ISNUMBER(M571))),"",M571-S571)</f>
        <v/>
      </c>
      <c r="U571" s="49">
        <f>IF(OR(NOT(ISNUMBER(T571)),IF(ISNUMBER(H571),H571,G571)=0),"",T571/IF(ISNUMBER(H571),H571,G571))</f>
        <v/>
      </c>
      <c r="V571" s="49">
        <f>IF(ISNUMBER(U571),ABS(U571),"")</f>
        <v/>
      </c>
      <c r="W571" s="49">
        <f>IF(OR($E570&lt;&gt;"측정",$C570&lt;&gt;$C571,$D570&lt;&gt;$D571,NOT(ISNUMBER(M571)),NOT(ISNUMBER(M570)),(IF(ISNUMBER(H571),H571,G571)-IF(ISNUMBER(H570),H570,G570))=0),"",(M571-M570)/(IF(ISNUMBER(H571),H571,G571)-IF(ISNUMBER(H570),H570,G570)))</f>
        <v/>
      </c>
      <c r="X571" s="31">
        <f>IF(NOT(AND(ISNUMBER(O571),ISNUMBER(Q571))),"",(Q571-O571)*1440)</f>
        <v/>
      </c>
      <c r="Y571" s="29" t="n"/>
      <c r="Z571" s="29" t="n"/>
      <c r="AA571" s="29" t="n"/>
      <c r="AB571" s="32" t="n"/>
      <c r="AC571" s="32" t="n"/>
    </row>
    <row r="572">
      <c r="A572" s="26" t="inlineStr">
        <is>
          <t>S11</t>
        </is>
      </c>
      <c r="B572" s="26" t="inlineStr">
        <is>
          <t>소천 신규점4</t>
        </is>
      </c>
      <c r="C572" s="26" t="inlineStr">
        <is>
          <t>S11-H북</t>
        </is>
      </c>
      <c r="D572" s="47" t="n">
        <v>1</v>
      </c>
      <c r="E572" s="26" t="inlineStr">
        <is>
          <t>측정</t>
        </is>
      </c>
      <c r="F572" s="26" t="inlineStr">
        <is>
          <t>북</t>
        </is>
      </c>
      <c r="G572" s="31" t="n">
        <v>6</v>
      </c>
      <c r="H572" s="30" t="n"/>
      <c r="I572" s="43" t="n"/>
      <c r="J572" s="41" t="n"/>
      <c r="K572" s="41" t="n"/>
      <c r="L572" s="41" t="n"/>
      <c r="M572" s="31">
        <f>IF(COUNT(J572:L572)=0,"",MEDIAN(J572:L572))</f>
        <v/>
      </c>
      <c r="N572" s="26">
        <f>IF(COUNTIFS($C:$C,$C572,$D:$D,$D572,$E:$E,"P0(전)",$M:$M,"&gt;0")&lt;&gt;1,"P0(전) 유효 1개 아님",IF(COUNTIFS($C:$C,$C572,$D:$D,$D572,$E:$E,"P0(후)",$M:$M,"&gt;0")&lt;&gt;1,"P0(후) 유효 1개 아님",IF(NOT(AND(ISNUMBER(O572),ISNUMBER(Q572),ISNUMBER(I572))),"시각 결측",IF(Q572&lt;=O572,"P0 시각 역전",IF(OR(I572&lt;O572,I572&gt;Q572),"측정시각 구간 밖","OK")))))</f>
        <v/>
      </c>
      <c r="O572" s="48">
        <f>IF(COUNTIFS($C:$C,$C572,$D:$D,$D572,$E:$E,"P0(전)",$M:$M,"&gt;0")&lt;&gt;1,"",SUMIFS($I:$I,$C:$C,$C572,$D:$D,$D572,$E:$E,"P0(전)"))</f>
        <v/>
      </c>
      <c r="P572" s="31">
        <f>IF(COUNTIFS($C:$C,$C572,$D:$D,$D572,$E:$E,"P0(전)",$M:$M,"&gt;0")&lt;&gt;1,"",SUMIFS($M:$M,$C:$C,$C572,$D:$D,$D572,$E:$E,"P0(전)"))</f>
        <v/>
      </c>
      <c r="Q572" s="48">
        <f>IF(COUNTIFS($C:$C,$C572,$D:$D,$D572,$E:$E,"P0(후)",$M:$M,"&gt;0")&lt;&gt;1,"",SUMIFS($I:$I,$C:$C,$C572,$D:$D,$D572,$E:$E,"P0(후)"))</f>
        <v/>
      </c>
      <c r="R572" s="31">
        <f>IF(COUNTIFS($C:$C,$C572,$D:$D,$D572,$E:$E,"P0(후)",$M:$M,"&gt;0")&lt;&gt;1,"",SUMIFS($M:$M,$C:$C,$C572,$D:$D,$D572,$E:$E,"P0(후)"))</f>
        <v/>
      </c>
      <c r="S572" s="31">
        <f>IF(N572&lt;&gt;"OK","",P572+(R572-P572)*(I572-O572)/(Q572-O572))</f>
        <v/>
      </c>
      <c r="T572" s="31">
        <f>IF(OR(N572&lt;&gt;"OK",NOT(ISNUMBER(M572))),"",M572-S572)</f>
        <v/>
      </c>
      <c r="U572" s="49">
        <f>IF(OR(NOT(ISNUMBER(T572)),IF(ISNUMBER(H572),H572,G572)=0),"",T572/IF(ISNUMBER(H572),H572,G572))</f>
        <v/>
      </c>
      <c r="V572" s="49">
        <f>IF(ISNUMBER(U572),ABS(U572),"")</f>
        <v/>
      </c>
      <c r="W572" s="49">
        <f>IF(OR($E571&lt;&gt;"측정",$C571&lt;&gt;$C572,$D571&lt;&gt;$D572,NOT(ISNUMBER(M572)),NOT(ISNUMBER(M571)),(IF(ISNUMBER(H572),H572,G572)-IF(ISNUMBER(H571),H571,G571))=0),"",(M572-M571)/(IF(ISNUMBER(H572),H572,G572)-IF(ISNUMBER(H571),H571,G571)))</f>
        <v/>
      </c>
      <c r="X572" s="31">
        <f>IF(NOT(AND(ISNUMBER(O572),ISNUMBER(Q572))),"",(Q572-O572)*1440)</f>
        <v/>
      </c>
      <c r="Y572" s="29" t="n"/>
      <c r="Z572" s="29" t="n"/>
      <c r="AA572" s="29" t="n"/>
      <c r="AB572" s="32" t="n"/>
      <c r="AC572" s="32" t="n"/>
    </row>
    <row r="573">
      <c r="A573" s="26" t="inlineStr">
        <is>
          <t>S11</t>
        </is>
      </c>
      <c r="B573" s="26" t="inlineStr">
        <is>
          <t>소천 신규점4</t>
        </is>
      </c>
      <c r="C573" s="26" t="inlineStr">
        <is>
          <t>S11-H북</t>
        </is>
      </c>
      <c r="D573" s="47" t="n">
        <v>1</v>
      </c>
      <c r="E573" s="26" t="inlineStr">
        <is>
          <t>측정</t>
        </is>
      </c>
      <c r="F573" s="26" t="inlineStr">
        <is>
          <t>북</t>
        </is>
      </c>
      <c r="G573" s="31" t="n">
        <v>7</v>
      </c>
      <c r="H573" s="30" t="n"/>
      <c r="I573" s="43" t="n"/>
      <c r="J573" s="41" t="n"/>
      <c r="K573" s="41" t="n"/>
      <c r="L573" s="41" t="n"/>
      <c r="M573" s="31">
        <f>IF(COUNT(J573:L573)=0,"",MEDIAN(J573:L573))</f>
        <v/>
      </c>
      <c r="N573" s="26">
        <f>IF(COUNTIFS($C:$C,$C573,$D:$D,$D573,$E:$E,"P0(전)",$M:$M,"&gt;0")&lt;&gt;1,"P0(전) 유효 1개 아님",IF(COUNTIFS($C:$C,$C573,$D:$D,$D573,$E:$E,"P0(후)",$M:$M,"&gt;0")&lt;&gt;1,"P0(후) 유효 1개 아님",IF(NOT(AND(ISNUMBER(O573),ISNUMBER(Q573),ISNUMBER(I573))),"시각 결측",IF(Q573&lt;=O573,"P0 시각 역전",IF(OR(I573&lt;O573,I573&gt;Q573),"측정시각 구간 밖","OK")))))</f>
        <v/>
      </c>
      <c r="O573" s="48">
        <f>IF(COUNTIFS($C:$C,$C573,$D:$D,$D573,$E:$E,"P0(전)",$M:$M,"&gt;0")&lt;&gt;1,"",SUMIFS($I:$I,$C:$C,$C573,$D:$D,$D573,$E:$E,"P0(전)"))</f>
        <v/>
      </c>
      <c r="P573" s="31">
        <f>IF(COUNTIFS($C:$C,$C573,$D:$D,$D573,$E:$E,"P0(전)",$M:$M,"&gt;0")&lt;&gt;1,"",SUMIFS($M:$M,$C:$C,$C573,$D:$D,$D573,$E:$E,"P0(전)"))</f>
        <v/>
      </c>
      <c r="Q573" s="48">
        <f>IF(COUNTIFS($C:$C,$C573,$D:$D,$D573,$E:$E,"P0(후)",$M:$M,"&gt;0")&lt;&gt;1,"",SUMIFS($I:$I,$C:$C,$C573,$D:$D,$D573,$E:$E,"P0(후)"))</f>
        <v/>
      </c>
      <c r="R573" s="31">
        <f>IF(COUNTIFS($C:$C,$C573,$D:$D,$D573,$E:$E,"P0(후)",$M:$M,"&gt;0")&lt;&gt;1,"",SUMIFS($M:$M,$C:$C,$C573,$D:$D,$D573,$E:$E,"P0(후)"))</f>
        <v/>
      </c>
      <c r="S573" s="31">
        <f>IF(N573&lt;&gt;"OK","",P573+(R573-P573)*(I573-O573)/(Q573-O573))</f>
        <v/>
      </c>
      <c r="T573" s="31">
        <f>IF(OR(N573&lt;&gt;"OK",NOT(ISNUMBER(M573))),"",M573-S573)</f>
        <v/>
      </c>
      <c r="U573" s="49">
        <f>IF(OR(NOT(ISNUMBER(T573)),IF(ISNUMBER(H573),H573,G573)=0),"",T573/IF(ISNUMBER(H573),H573,G573))</f>
        <v/>
      </c>
      <c r="V573" s="49">
        <f>IF(ISNUMBER(U573),ABS(U573),"")</f>
        <v/>
      </c>
      <c r="W573" s="49">
        <f>IF(OR($E572&lt;&gt;"측정",$C572&lt;&gt;$C573,$D572&lt;&gt;$D573,NOT(ISNUMBER(M573)),NOT(ISNUMBER(M572)),(IF(ISNUMBER(H573),H573,G573)-IF(ISNUMBER(H572),H572,G572))=0),"",(M573-M572)/(IF(ISNUMBER(H573),H573,G573)-IF(ISNUMBER(H572),H572,G572)))</f>
        <v/>
      </c>
      <c r="X573" s="31">
        <f>IF(NOT(AND(ISNUMBER(O573),ISNUMBER(Q573))),"",(Q573-O573)*1440)</f>
        <v/>
      </c>
      <c r="Y573" s="29" t="n"/>
      <c r="Z573" s="29" t="n"/>
      <c r="AA573" s="29" t="n"/>
      <c r="AB573" s="32" t="n"/>
      <c r="AC573" s="32" t="n"/>
    </row>
    <row r="574">
      <c r="A574" s="26" t="inlineStr">
        <is>
          <t>S11</t>
        </is>
      </c>
      <c r="B574" s="26" t="inlineStr">
        <is>
          <t>소천 신규점4</t>
        </is>
      </c>
      <c r="C574" s="26" t="inlineStr">
        <is>
          <t>S11-H북</t>
        </is>
      </c>
      <c r="D574" s="47" t="n">
        <v>1</v>
      </c>
      <c r="E574" s="26" t="inlineStr">
        <is>
          <t>측정</t>
        </is>
      </c>
      <c r="F574" s="26" t="inlineStr">
        <is>
          <t>북</t>
        </is>
      </c>
      <c r="G574" s="31" t="n">
        <v>8</v>
      </c>
      <c r="H574" s="30" t="n"/>
      <c r="I574" s="43" t="n"/>
      <c r="J574" s="41" t="n"/>
      <c r="K574" s="41" t="n"/>
      <c r="L574" s="41" t="n"/>
      <c r="M574" s="31">
        <f>IF(COUNT(J574:L574)=0,"",MEDIAN(J574:L574))</f>
        <v/>
      </c>
      <c r="N574" s="26">
        <f>IF(COUNTIFS($C:$C,$C574,$D:$D,$D574,$E:$E,"P0(전)",$M:$M,"&gt;0")&lt;&gt;1,"P0(전) 유효 1개 아님",IF(COUNTIFS($C:$C,$C574,$D:$D,$D574,$E:$E,"P0(후)",$M:$M,"&gt;0")&lt;&gt;1,"P0(후) 유효 1개 아님",IF(NOT(AND(ISNUMBER(O574),ISNUMBER(Q574),ISNUMBER(I574))),"시각 결측",IF(Q574&lt;=O574,"P0 시각 역전",IF(OR(I574&lt;O574,I574&gt;Q574),"측정시각 구간 밖","OK")))))</f>
        <v/>
      </c>
      <c r="O574" s="48">
        <f>IF(COUNTIFS($C:$C,$C574,$D:$D,$D574,$E:$E,"P0(전)",$M:$M,"&gt;0")&lt;&gt;1,"",SUMIFS($I:$I,$C:$C,$C574,$D:$D,$D574,$E:$E,"P0(전)"))</f>
        <v/>
      </c>
      <c r="P574" s="31">
        <f>IF(COUNTIFS($C:$C,$C574,$D:$D,$D574,$E:$E,"P0(전)",$M:$M,"&gt;0")&lt;&gt;1,"",SUMIFS($M:$M,$C:$C,$C574,$D:$D,$D574,$E:$E,"P0(전)"))</f>
        <v/>
      </c>
      <c r="Q574" s="48">
        <f>IF(COUNTIFS($C:$C,$C574,$D:$D,$D574,$E:$E,"P0(후)",$M:$M,"&gt;0")&lt;&gt;1,"",SUMIFS($I:$I,$C:$C,$C574,$D:$D,$D574,$E:$E,"P0(후)"))</f>
        <v/>
      </c>
      <c r="R574" s="31">
        <f>IF(COUNTIFS($C:$C,$C574,$D:$D,$D574,$E:$E,"P0(후)",$M:$M,"&gt;0")&lt;&gt;1,"",SUMIFS($M:$M,$C:$C,$C574,$D:$D,$D574,$E:$E,"P0(후)"))</f>
        <v/>
      </c>
      <c r="S574" s="31">
        <f>IF(N574&lt;&gt;"OK","",P574+(R574-P574)*(I574-O574)/(Q574-O574))</f>
        <v/>
      </c>
      <c r="T574" s="31">
        <f>IF(OR(N574&lt;&gt;"OK",NOT(ISNUMBER(M574))),"",M574-S574)</f>
        <v/>
      </c>
      <c r="U574" s="49">
        <f>IF(OR(NOT(ISNUMBER(T574)),IF(ISNUMBER(H574),H574,G574)=0),"",T574/IF(ISNUMBER(H574),H574,G574))</f>
        <v/>
      </c>
      <c r="V574" s="49">
        <f>IF(ISNUMBER(U574),ABS(U574),"")</f>
        <v/>
      </c>
      <c r="W574" s="49">
        <f>IF(OR($E573&lt;&gt;"측정",$C573&lt;&gt;$C574,$D573&lt;&gt;$D574,NOT(ISNUMBER(M574)),NOT(ISNUMBER(M573)),(IF(ISNUMBER(H574),H574,G574)-IF(ISNUMBER(H573),H573,G573))=0),"",(M574-M573)/(IF(ISNUMBER(H574),H574,G574)-IF(ISNUMBER(H573),H573,G573)))</f>
        <v/>
      </c>
      <c r="X574" s="31">
        <f>IF(NOT(AND(ISNUMBER(O574),ISNUMBER(Q574))),"",(Q574-O574)*1440)</f>
        <v/>
      </c>
      <c r="Y574" s="29" t="n"/>
      <c r="Z574" s="29" t="n"/>
      <c r="AA574" s="29" t="n"/>
      <c r="AB574" s="32" t="n"/>
      <c r="AC574" s="32" t="n"/>
    </row>
    <row r="575">
      <c r="A575" s="26" t="inlineStr">
        <is>
          <t>S11</t>
        </is>
      </c>
      <c r="B575" s="26" t="inlineStr">
        <is>
          <t>소천 신규점4</t>
        </is>
      </c>
      <c r="C575" s="26" t="inlineStr">
        <is>
          <t>S11-H북</t>
        </is>
      </c>
      <c r="D575" s="47" t="n">
        <v>1</v>
      </c>
      <c r="E575" s="26" t="inlineStr">
        <is>
          <t>측정</t>
        </is>
      </c>
      <c r="F575" s="26" t="inlineStr">
        <is>
          <t>북</t>
        </is>
      </c>
      <c r="G575" s="31" t="n">
        <v>9</v>
      </c>
      <c r="H575" s="30" t="n"/>
      <c r="I575" s="43" t="n"/>
      <c r="J575" s="41" t="n"/>
      <c r="K575" s="41" t="n"/>
      <c r="L575" s="41" t="n"/>
      <c r="M575" s="31">
        <f>IF(COUNT(J575:L575)=0,"",MEDIAN(J575:L575))</f>
        <v/>
      </c>
      <c r="N575" s="26">
        <f>IF(COUNTIFS($C:$C,$C575,$D:$D,$D575,$E:$E,"P0(전)",$M:$M,"&gt;0")&lt;&gt;1,"P0(전) 유효 1개 아님",IF(COUNTIFS($C:$C,$C575,$D:$D,$D575,$E:$E,"P0(후)",$M:$M,"&gt;0")&lt;&gt;1,"P0(후) 유효 1개 아님",IF(NOT(AND(ISNUMBER(O575),ISNUMBER(Q575),ISNUMBER(I575))),"시각 결측",IF(Q575&lt;=O575,"P0 시각 역전",IF(OR(I575&lt;O575,I575&gt;Q575),"측정시각 구간 밖","OK")))))</f>
        <v/>
      </c>
      <c r="O575" s="48">
        <f>IF(COUNTIFS($C:$C,$C575,$D:$D,$D575,$E:$E,"P0(전)",$M:$M,"&gt;0")&lt;&gt;1,"",SUMIFS($I:$I,$C:$C,$C575,$D:$D,$D575,$E:$E,"P0(전)"))</f>
        <v/>
      </c>
      <c r="P575" s="31">
        <f>IF(COUNTIFS($C:$C,$C575,$D:$D,$D575,$E:$E,"P0(전)",$M:$M,"&gt;0")&lt;&gt;1,"",SUMIFS($M:$M,$C:$C,$C575,$D:$D,$D575,$E:$E,"P0(전)"))</f>
        <v/>
      </c>
      <c r="Q575" s="48">
        <f>IF(COUNTIFS($C:$C,$C575,$D:$D,$D575,$E:$E,"P0(후)",$M:$M,"&gt;0")&lt;&gt;1,"",SUMIFS($I:$I,$C:$C,$C575,$D:$D,$D575,$E:$E,"P0(후)"))</f>
        <v/>
      </c>
      <c r="R575" s="31">
        <f>IF(COUNTIFS($C:$C,$C575,$D:$D,$D575,$E:$E,"P0(후)",$M:$M,"&gt;0")&lt;&gt;1,"",SUMIFS($M:$M,$C:$C,$C575,$D:$D,$D575,$E:$E,"P0(후)"))</f>
        <v/>
      </c>
      <c r="S575" s="31">
        <f>IF(N575&lt;&gt;"OK","",P575+(R575-P575)*(I575-O575)/(Q575-O575))</f>
        <v/>
      </c>
      <c r="T575" s="31">
        <f>IF(OR(N575&lt;&gt;"OK",NOT(ISNUMBER(M575))),"",M575-S575)</f>
        <v/>
      </c>
      <c r="U575" s="49">
        <f>IF(OR(NOT(ISNUMBER(T575)),IF(ISNUMBER(H575),H575,G575)=0),"",T575/IF(ISNUMBER(H575),H575,G575))</f>
        <v/>
      </c>
      <c r="V575" s="49">
        <f>IF(ISNUMBER(U575),ABS(U575),"")</f>
        <v/>
      </c>
      <c r="W575" s="49">
        <f>IF(OR($E574&lt;&gt;"측정",$C574&lt;&gt;$C575,$D574&lt;&gt;$D575,NOT(ISNUMBER(M575)),NOT(ISNUMBER(M574)),(IF(ISNUMBER(H575),H575,G575)-IF(ISNUMBER(H574),H574,G574))=0),"",(M575-M574)/(IF(ISNUMBER(H575),H575,G575)-IF(ISNUMBER(H574),H574,G574)))</f>
        <v/>
      </c>
      <c r="X575" s="31">
        <f>IF(NOT(AND(ISNUMBER(O575),ISNUMBER(Q575))),"",(Q575-O575)*1440)</f>
        <v/>
      </c>
      <c r="Y575" s="29" t="n"/>
      <c r="Z575" s="29" t="n"/>
      <c r="AA575" s="29" t="n"/>
      <c r="AB575" s="32" t="n"/>
      <c r="AC575" s="32" t="n"/>
    </row>
    <row r="576">
      <c r="A576" s="26" t="inlineStr">
        <is>
          <t>S11</t>
        </is>
      </c>
      <c r="B576" s="26" t="inlineStr">
        <is>
          <t>소천 신규점4</t>
        </is>
      </c>
      <c r="C576" s="26" t="inlineStr">
        <is>
          <t>S11-H북</t>
        </is>
      </c>
      <c r="D576" s="47" t="n">
        <v>1</v>
      </c>
      <c r="E576" s="26" t="inlineStr">
        <is>
          <t>측정</t>
        </is>
      </c>
      <c r="F576" s="26" t="inlineStr">
        <is>
          <t>북</t>
        </is>
      </c>
      <c r="G576" s="31" t="n">
        <v>10</v>
      </c>
      <c r="H576" s="30" t="n"/>
      <c r="I576" s="43" t="n"/>
      <c r="J576" s="41" t="n"/>
      <c r="K576" s="41" t="n"/>
      <c r="L576" s="41" t="n"/>
      <c r="M576" s="31">
        <f>IF(COUNT(J576:L576)=0,"",MEDIAN(J576:L576))</f>
        <v/>
      </c>
      <c r="N576" s="26">
        <f>IF(COUNTIFS($C:$C,$C576,$D:$D,$D576,$E:$E,"P0(전)",$M:$M,"&gt;0")&lt;&gt;1,"P0(전) 유효 1개 아님",IF(COUNTIFS($C:$C,$C576,$D:$D,$D576,$E:$E,"P0(후)",$M:$M,"&gt;0")&lt;&gt;1,"P0(후) 유효 1개 아님",IF(NOT(AND(ISNUMBER(O576),ISNUMBER(Q576),ISNUMBER(I576))),"시각 결측",IF(Q576&lt;=O576,"P0 시각 역전",IF(OR(I576&lt;O576,I576&gt;Q576),"측정시각 구간 밖","OK")))))</f>
        <v/>
      </c>
      <c r="O576" s="48">
        <f>IF(COUNTIFS($C:$C,$C576,$D:$D,$D576,$E:$E,"P0(전)",$M:$M,"&gt;0")&lt;&gt;1,"",SUMIFS($I:$I,$C:$C,$C576,$D:$D,$D576,$E:$E,"P0(전)"))</f>
        <v/>
      </c>
      <c r="P576" s="31">
        <f>IF(COUNTIFS($C:$C,$C576,$D:$D,$D576,$E:$E,"P0(전)",$M:$M,"&gt;0")&lt;&gt;1,"",SUMIFS($M:$M,$C:$C,$C576,$D:$D,$D576,$E:$E,"P0(전)"))</f>
        <v/>
      </c>
      <c r="Q576" s="48">
        <f>IF(COUNTIFS($C:$C,$C576,$D:$D,$D576,$E:$E,"P0(후)",$M:$M,"&gt;0")&lt;&gt;1,"",SUMIFS($I:$I,$C:$C,$C576,$D:$D,$D576,$E:$E,"P0(후)"))</f>
        <v/>
      </c>
      <c r="R576" s="31">
        <f>IF(COUNTIFS($C:$C,$C576,$D:$D,$D576,$E:$E,"P0(후)",$M:$M,"&gt;0")&lt;&gt;1,"",SUMIFS($M:$M,$C:$C,$C576,$D:$D,$D576,$E:$E,"P0(후)"))</f>
        <v/>
      </c>
      <c r="S576" s="31">
        <f>IF(N576&lt;&gt;"OK","",P576+(R576-P576)*(I576-O576)/(Q576-O576))</f>
        <v/>
      </c>
      <c r="T576" s="31">
        <f>IF(OR(N576&lt;&gt;"OK",NOT(ISNUMBER(M576))),"",M576-S576)</f>
        <v/>
      </c>
      <c r="U576" s="49">
        <f>IF(OR(NOT(ISNUMBER(T576)),IF(ISNUMBER(H576),H576,G576)=0),"",T576/IF(ISNUMBER(H576),H576,G576))</f>
        <v/>
      </c>
      <c r="V576" s="49">
        <f>IF(ISNUMBER(U576),ABS(U576),"")</f>
        <v/>
      </c>
      <c r="W576" s="49">
        <f>IF(OR($E575&lt;&gt;"측정",$C575&lt;&gt;$C576,$D575&lt;&gt;$D576,NOT(ISNUMBER(M576)),NOT(ISNUMBER(M575)),(IF(ISNUMBER(H576),H576,G576)-IF(ISNUMBER(H575),H575,G575))=0),"",(M576-M575)/(IF(ISNUMBER(H576),H576,G576)-IF(ISNUMBER(H575),H575,G575)))</f>
        <v/>
      </c>
      <c r="X576" s="31">
        <f>IF(NOT(AND(ISNUMBER(O576),ISNUMBER(Q576))),"",(Q576-O576)*1440)</f>
        <v/>
      </c>
      <c r="Y576" s="29" t="n"/>
      <c r="Z576" s="29" t="n"/>
      <c r="AA576" s="29" t="n"/>
      <c r="AB576" s="32" t="n"/>
      <c r="AC576" s="32" t="n"/>
    </row>
    <row r="577">
      <c r="A577" s="44" t="inlineStr">
        <is>
          <t>S11</t>
        </is>
      </c>
      <c r="B577" s="44" t="inlineStr">
        <is>
          <t>소천 신규점4</t>
        </is>
      </c>
      <c r="C577" s="44" t="inlineStr">
        <is>
          <t>S11-H북</t>
        </is>
      </c>
      <c r="D577" s="45" t="n">
        <v>1</v>
      </c>
      <c r="E577" s="44" t="inlineStr">
        <is>
          <t>P0(후)</t>
        </is>
      </c>
      <c r="F577" s="44" t="inlineStr">
        <is>
          <t>북</t>
        </is>
      </c>
      <c r="G577" s="46" t="n"/>
      <c r="H577" s="30" t="n"/>
      <c r="I577" s="43" t="n"/>
      <c r="J577" s="41" t="n"/>
      <c r="K577" s="41" t="n"/>
      <c r="L577" s="41" t="n"/>
      <c r="M577" s="31">
        <f>IF(COUNT(J577:L577)=0,"",MEDIAN(J577:L577))</f>
        <v/>
      </c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38" t="n"/>
      <c r="Y577" s="29" t="n"/>
      <c r="Z577" s="29" t="n"/>
      <c r="AA577" s="29" t="n"/>
      <c r="AB577" s="32" t="n"/>
      <c r="AC577" s="32" t="n"/>
    </row>
    <row r="578">
      <c r="A578" s="44" t="inlineStr">
        <is>
          <t>S12</t>
        </is>
      </c>
      <c r="B578" s="44" t="inlineStr">
        <is>
          <t>순창 신규점</t>
        </is>
      </c>
      <c r="C578" s="44" t="inlineStr">
        <is>
          <t>S12-H동</t>
        </is>
      </c>
      <c r="D578" s="45" t="n">
        <v>1</v>
      </c>
      <c r="E578" s="44" t="inlineStr">
        <is>
          <t>P0(전)</t>
        </is>
      </c>
      <c r="F578" s="44" t="inlineStr">
        <is>
          <t>동</t>
        </is>
      </c>
      <c r="G578" s="46" t="n"/>
      <c r="H578" s="30" t="n"/>
      <c r="I578" s="43" t="n"/>
      <c r="J578" s="41" t="n"/>
      <c r="K578" s="41" t="n"/>
      <c r="L578" s="41" t="n"/>
      <c r="M578" s="31">
        <f>IF(COUNT(J578:L578)=0,"",MEDIAN(J578:L578))</f>
        <v/>
      </c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  <c r="X578" s="38" t="n"/>
      <c r="Y578" s="29" t="n"/>
      <c r="Z578" s="29" t="n"/>
      <c r="AA578" s="29" t="n"/>
      <c r="AB578" s="32" t="n"/>
      <c r="AC578" s="32" t="n"/>
    </row>
    <row r="579">
      <c r="A579" s="26" t="inlineStr">
        <is>
          <t>S12</t>
        </is>
      </c>
      <c r="B579" s="26" t="inlineStr">
        <is>
          <t>순창 신규점</t>
        </is>
      </c>
      <c r="C579" s="26" t="inlineStr">
        <is>
          <t>S12-H동</t>
        </is>
      </c>
      <c r="D579" s="47" t="n">
        <v>1</v>
      </c>
      <c r="E579" s="26" t="inlineStr">
        <is>
          <t>측정</t>
        </is>
      </c>
      <c r="F579" s="26" t="inlineStr">
        <is>
          <t>동</t>
        </is>
      </c>
      <c r="G579" s="31" t="n">
        <v>0.5</v>
      </c>
      <c r="H579" s="30" t="n"/>
      <c r="I579" s="43" t="n"/>
      <c r="J579" s="41" t="n"/>
      <c r="K579" s="41" t="n"/>
      <c r="L579" s="41" t="n"/>
      <c r="M579" s="31">
        <f>IF(COUNT(J579:L579)=0,"",MEDIAN(J579:L579))</f>
        <v/>
      </c>
      <c r="N579" s="26">
        <f>IF(COUNTIFS($C:$C,$C579,$D:$D,$D579,$E:$E,"P0(전)",$M:$M,"&gt;0")&lt;&gt;1,"P0(전) 유효 1개 아님",IF(COUNTIFS($C:$C,$C579,$D:$D,$D579,$E:$E,"P0(후)",$M:$M,"&gt;0")&lt;&gt;1,"P0(후) 유효 1개 아님",IF(NOT(AND(ISNUMBER(O579),ISNUMBER(Q579),ISNUMBER(I579))),"시각 결측",IF(Q579&lt;=O579,"P0 시각 역전",IF(OR(I579&lt;O579,I579&gt;Q579),"측정시각 구간 밖","OK")))))</f>
        <v/>
      </c>
      <c r="O579" s="48">
        <f>IF(COUNTIFS($C:$C,$C579,$D:$D,$D579,$E:$E,"P0(전)",$M:$M,"&gt;0")&lt;&gt;1,"",SUMIFS($I:$I,$C:$C,$C579,$D:$D,$D579,$E:$E,"P0(전)"))</f>
        <v/>
      </c>
      <c r="P579" s="31">
        <f>IF(COUNTIFS($C:$C,$C579,$D:$D,$D579,$E:$E,"P0(전)",$M:$M,"&gt;0")&lt;&gt;1,"",SUMIFS($M:$M,$C:$C,$C579,$D:$D,$D579,$E:$E,"P0(전)"))</f>
        <v/>
      </c>
      <c r="Q579" s="48">
        <f>IF(COUNTIFS($C:$C,$C579,$D:$D,$D579,$E:$E,"P0(후)",$M:$M,"&gt;0")&lt;&gt;1,"",SUMIFS($I:$I,$C:$C,$C579,$D:$D,$D579,$E:$E,"P0(후)"))</f>
        <v/>
      </c>
      <c r="R579" s="31">
        <f>IF(COUNTIFS($C:$C,$C579,$D:$D,$D579,$E:$E,"P0(후)",$M:$M,"&gt;0")&lt;&gt;1,"",SUMIFS($M:$M,$C:$C,$C579,$D:$D,$D579,$E:$E,"P0(후)"))</f>
        <v/>
      </c>
      <c r="S579" s="31">
        <f>IF(N579&lt;&gt;"OK","",P579+(R579-P579)*(I579-O579)/(Q579-O579))</f>
        <v/>
      </c>
      <c r="T579" s="31">
        <f>IF(OR(N579&lt;&gt;"OK",NOT(ISNUMBER(M579))),"",M579-S579)</f>
        <v/>
      </c>
      <c r="U579" s="49">
        <f>IF(OR(NOT(ISNUMBER(T579)),IF(ISNUMBER(H579),H579,G579)=0),"",T579/IF(ISNUMBER(H579),H579,G579))</f>
        <v/>
      </c>
      <c r="V579" s="49">
        <f>IF(ISNUMBER(U579),ABS(U579),"")</f>
        <v/>
      </c>
      <c r="W579" s="49">
        <f>IF(OR($E578&lt;&gt;"측정",$C578&lt;&gt;$C579,$D578&lt;&gt;$D579,NOT(ISNUMBER(M579)),NOT(ISNUMBER(M578)),(IF(ISNUMBER(H579),H579,G579)-IF(ISNUMBER(H578),H578,G578))=0),"",(M579-M578)/(IF(ISNUMBER(H579),H579,G579)-IF(ISNUMBER(H578),H578,G578)))</f>
        <v/>
      </c>
      <c r="X579" s="31">
        <f>IF(NOT(AND(ISNUMBER(O579),ISNUMBER(Q579))),"",(Q579-O579)*1440)</f>
        <v/>
      </c>
      <c r="Y579" s="29" t="n"/>
      <c r="Z579" s="29" t="n"/>
      <c r="AA579" s="29" t="n"/>
      <c r="AB579" s="32" t="n"/>
      <c r="AC579" s="32" t="n"/>
    </row>
    <row r="580">
      <c r="A580" s="26" t="inlineStr">
        <is>
          <t>S12</t>
        </is>
      </c>
      <c r="B580" s="26" t="inlineStr">
        <is>
          <t>순창 신규점</t>
        </is>
      </c>
      <c r="C580" s="26" t="inlineStr">
        <is>
          <t>S12-H동</t>
        </is>
      </c>
      <c r="D580" s="47" t="n">
        <v>1</v>
      </c>
      <c r="E580" s="26" t="inlineStr">
        <is>
          <t>측정</t>
        </is>
      </c>
      <c r="F580" s="26" t="inlineStr">
        <is>
          <t>동</t>
        </is>
      </c>
      <c r="G580" s="31" t="n">
        <v>1</v>
      </c>
      <c r="H580" s="30" t="n"/>
      <c r="I580" s="43" t="n"/>
      <c r="J580" s="41" t="n"/>
      <c r="K580" s="41" t="n"/>
      <c r="L580" s="41" t="n"/>
      <c r="M580" s="31">
        <f>IF(COUNT(J580:L580)=0,"",MEDIAN(J580:L580))</f>
        <v/>
      </c>
      <c r="N580" s="26">
        <f>IF(COUNTIFS($C:$C,$C580,$D:$D,$D580,$E:$E,"P0(전)",$M:$M,"&gt;0")&lt;&gt;1,"P0(전) 유효 1개 아님",IF(COUNTIFS($C:$C,$C580,$D:$D,$D580,$E:$E,"P0(후)",$M:$M,"&gt;0")&lt;&gt;1,"P0(후) 유효 1개 아님",IF(NOT(AND(ISNUMBER(O580),ISNUMBER(Q580),ISNUMBER(I580))),"시각 결측",IF(Q580&lt;=O580,"P0 시각 역전",IF(OR(I580&lt;O580,I580&gt;Q580),"측정시각 구간 밖","OK")))))</f>
        <v/>
      </c>
      <c r="O580" s="48">
        <f>IF(COUNTIFS($C:$C,$C580,$D:$D,$D580,$E:$E,"P0(전)",$M:$M,"&gt;0")&lt;&gt;1,"",SUMIFS($I:$I,$C:$C,$C580,$D:$D,$D580,$E:$E,"P0(전)"))</f>
        <v/>
      </c>
      <c r="P580" s="31">
        <f>IF(COUNTIFS($C:$C,$C580,$D:$D,$D580,$E:$E,"P0(전)",$M:$M,"&gt;0")&lt;&gt;1,"",SUMIFS($M:$M,$C:$C,$C580,$D:$D,$D580,$E:$E,"P0(전)"))</f>
        <v/>
      </c>
      <c r="Q580" s="48">
        <f>IF(COUNTIFS($C:$C,$C580,$D:$D,$D580,$E:$E,"P0(후)",$M:$M,"&gt;0")&lt;&gt;1,"",SUMIFS($I:$I,$C:$C,$C580,$D:$D,$D580,$E:$E,"P0(후)"))</f>
        <v/>
      </c>
      <c r="R580" s="31">
        <f>IF(COUNTIFS($C:$C,$C580,$D:$D,$D580,$E:$E,"P0(후)",$M:$M,"&gt;0")&lt;&gt;1,"",SUMIFS($M:$M,$C:$C,$C580,$D:$D,$D580,$E:$E,"P0(후)"))</f>
        <v/>
      </c>
      <c r="S580" s="31">
        <f>IF(N580&lt;&gt;"OK","",P580+(R580-P580)*(I580-O580)/(Q580-O580))</f>
        <v/>
      </c>
      <c r="T580" s="31">
        <f>IF(OR(N580&lt;&gt;"OK",NOT(ISNUMBER(M580))),"",M580-S580)</f>
        <v/>
      </c>
      <c r="U580" s="49">
        <f>IF(OR(NOT(ISNUMBER(T580)),IF(ISNUMBER(H580),H580,G580)=0),"",T580/IF(ISNUMBER(H580),H580,G580))</f>
        <v/>
      </c>
      <c r="V580" s="49">
        <f>IF(ISNUMBER(U580),ABS(U580),"")</f>
        <v/>
      </c>
      <c r="W580" s="49">
        <f>IF(OR($E579&lt;&gt;"측정",$C579&lt;&gt;$C580,$D579&lt;&gt;$D580,NOT(ISNUMBER(M580)),NOT(ISNUMBER(M579)),(IF(ISNUMBER(H580),H580,G580)-IF(ISNUMBER(H579),H579,G579))=0),"",(M580-M579)/(IF(ISNUMBER(H580),H580,G580)-IF(ISNUMBER(H579),H579,G579)))</f>
        <v/>
      </c>
      <c r="X580" s="31">
        <f>IF(NOT(AND(ISNUMBER(O580),ISNUMBER(Q580))),"",(Q580-O580)*1440)</f>
        <v/>
      </c>
      <c r="Y580" s="29" t="n"/>
      <c r="Z580" s="29" t="n"/>
      <c r="AA580" s="29" t="n"/>
      <c r="AB580" s="32" t="n"/>
      <c r="AC580" s="32" t="n"/>
    </row>
    <row r="581">
      <c r="A581" s="26" t="inlineStr">
        <is>
          <t>S12</t>
        </is>
      </c>
      <c r="B581" s="26" t="inlineStr">
        <is>
          <t>순창 신규점</t>
        </is>
      </c>
      <c r="C581" s="26" t="inlineStr">
        <is>
          <t>S12-H동</t>
        </is>
      </c>
      <c r="D581" s="47" t="n">
        <v>1</v>
      </c>
      <c r="E581" s="26" t="inlineStr">
        <is>
          <t>측정</t>
        </is>
      </c>
      <c r="F581" s="26" t="inlineStr">
        <is>
          <t>동</t>
        </is>
      </c>
      <c r="G581" s="31" t="n">
        <v>2</v>
      </c>
      <c r="H581" s="30" t="n"/>
      <c r="I581" s="43" t="n"/>
      <c r="J581" s="41" t="n"/>
      <c r="K581" s="41" t="n"/>
      <c r="L581" s="41" t="n"/>
      <c r="M581" s="31">
        <f>IF(COUNT(J581:L581)=0,"",MEDIAN(J581:L581))</f>
        <v/>
      </c>
      <c r="N581" s="26">
        <f>IF(COUNTIFS($C:$C,$C581,$D:$D,$D581,$E:$E,"P0(전)",$M:$M,"&gt;0")&lt;&gt;1,"P0(전) 유효 1개 아님",IF(COUNTIFS($C:$C,$C581,$D:$D,$D581,$E:$E,"P0(후)",$M:$M,"&gt;0")&lt;&gt;1,"P0(후) 유효 1개 아님",IF(NOT(AND(ISNUMBER(O581),ISNUMBER(Q581),ISNUMBER(I581))),"시각 결측",IF(Q581&lt;=O581,"P0 시각 역전",IF(OR(I581&lt;O581,I581&gt;Q581),"측정시각 구간 밖","OK")))))</f>
        <v/>
      </c>
      <c r="O581" s="48">
        <f>IF(COUNTIFS($C:$C,$C581,$D:$D,$D581,$E:$E,"P0(전)",$M:$M,"&gt;0")&lt;&gt;1,"",SUMIFS($I:$I,$C:$C,$C581,$D:$D,$D581,$E:$E,"P0(전)"))</f>
        <v/>
      </c>
      <c r="P581" s="31">
        <f>IF(COUNTIFS($C:$C,$C581,$D:$D,$D581,$E:$E,"P0(전)",$M:$M,"&gt;0")&lt;&gt;1,"",SUMIFS($M:$M,$C:$C,$C581,$D:$D,$D581,$E:$E,"P0(전)"))</f>
        <v/>
      </c>
      <c r="Q581" s="48">
        <f>IF(COUNTIFS($C:$C,$C581,$D:$D,$D581,$E:$E,"P0(후)",$M:$M,"&gt;0")&lt;&gt;1,"",SUMIFS($I:$I,$C:$C,$C581,$D:$D,$D581,$E:$E,"P0(후)"))</f>
        <v/>
      </c>
      <c r="R581" s="31">
        <f>IF(COUNTIFS($C:$C,$C581,$D:$D,$D581,$E:$E,"P0(후)",$M:$M,"&gt;0")&lt;&gt;1,"",SUMIFS($M:$M,$C:$C,$C581,$D:$D,$D581,$E:$E,"P0(후)"))</f>
        <v/>
      </c>
      <c r="S581" s="31">
        <f>IF(N581&lt;&gt;"OK","",P581+(R581-P581)*(I581-O581)/(Q581-O581))</f>
        <v/>
      </c>
      <c r="T581" s="31">
        <f>IF(OR(N581&lt;&gt;"OK",NOT(ISNUMBER(M581))),"",M581-S581)</f>
        <v/>
      </c>
      <c r="U581" s="49">
        <f>IF(OR(NOT(ISNUMBER(T581)),IF(ISNUMBER(H581),H581,G581)=0),"",T581/IF(ISNUMBER(H581),H581,G581))</f>
        <v/>
      </c>
      <c r="V581" s="49">
        <f>IF(ISNUMBER(U581),ABS(U581),"")</f>
        <v/>
      </c>
      <c r="W581" s="49">
        <f>IF(OR($E580&lt;&gt;"측정",$C580&lt;&gt;$C581,$D580&lt;&gt;$D581,NOT(ISNUMBER(M581)),NOT(ISNUMBER(M580)),(IF(ISNUMBER(H581),H581,G581)-IF(ISNUMBER(H580),H580,G580))=0),"",(M581-M580)/(IF(ISNUMBER(H581),H581,G581)-IF(ISNUMBER(H580),H580,G580)))</f>
        <v/>
      </c>
      <c r="X581" s="31">
        <f>IF(NOT(AND(ISNUMBER(O581),ISNUMBER(Q581))),"",(Q581-O581)*1440)</f>
        <v/>
      </c>
      <c r="Y581" s="29" t="n"/>
      <c r="Z581" s="29" t="n"/>
      <c r="AA581" s="29" t="n"/>
      <c r="AB581" s="32" t="n"/>
      <c r="AC581" s="32" t="n"/>
    </row>
    <row r="582">
      <c r="A582" s="26" t="inlineStr">
        <is>
          <t>S12</t>
        </is>
      </c>
      <c r="B582" s="26" t="inlineStr">
        <is>
          <t>순창 신규점</t>
        </is>
      </c>
      <c r="C582" s="26" t="inlineStr">
        <is>
          <t>S12-H동</t>
        </is>
      </c>
      <c r="D582" s="47" t="n">
        <v>1</v>
      </c>
      <c r="E582" s="26" t="inlineStr">
        <is>
          <t>측정</t>
        </is>
      </c>
      <c r="F582" s="26" t="inlineStr">
        <is>
          <t>동</t>
        </is>
      </c>
      <c r="G582" s="31" t="n">
        <v>3</v>
      </c>
      <c r="H582" s="30" t="n"/>
      <c r="I582" s="43" t="n"/>
      <c r="J582" s="41" t="n"/>
      <c r="K582" s="41" t="n"/>
      <c r="L582" s="41" t="n"/>
      <c r="M582" s="31">
        <f>IF(COUNT(J582:L582)=0,"",MEDIAN(J582:L582))</f>
        <v/>
      </c>
      <c r="N582" s="26">
        <f>IF(COUNTIFS($C:$C,$C582,$D:$D,$D582,$E:$E,"P0(전)",$M:$M,"&gt;0")&lt;&gt;1,"P0(전) 유효 1개 아님",IF(COUNTIFS($C:$C,$C582,$D:$D,$D582,$E:$E,"P0(후)",$M:$M,"&gt;0")&lt;&gt;1,"P0(후) 유효 1개 아님",IF(NOT(AND(ISNUMBER(O582),ISNUMBER(Q582),ISNUMBER(I582))),"시각 결측",IF(Q582&lt;=O582,"P0 시각 역전",IF(OR(I582&lt;O582,I582&gt;Q582),"측정시각 구간 밖","OK")))))</f>
        <v/>
      </c>
      <c r="O582" s="48">
        <f>IF(COUNTIFS($C:$C,$C582,$D:$D,$D582,$E:$E,"P0(전)",$M:$M,"&gt;0")&lt;&gt;1,"",SUMIFS($I:$I,$C:$C,$C582,$D:$D,$D582,$E:$E,"P0(전)"))</f>
        <v/>
      </c>
      <c r="P582" s="31">
        <f>IF(COUNTIFS($C:$C,$C582,$D:$D,$D582,$E:$E,"P0(전)",$M:$M,"&gt;0")&lt;&gt;1,"",SUMIFS($M:$M,$C:$C,$C582,$D:$D,$D582,$E:$E,"P0(전)"))</f>
        <v/>
      </c>
      <c r="Q582" s="48">
        <f>IF(COUNTIFS($C:$C,$C582,$D:$D,$D582,$E:$E,"P0(후)",$M:$M,"&gt;0")&lt;&gt;1,"",SUMIFS($I:$I,$C:$C,$C582,$D:$D,$D582,$E:$E,"P0(후)"))</f>
        <v/>
      </c>
      <c r="R582" s="31">
        <f>IF(COUNTIFS($C:$C,$C582,$D:$D,$D582,$E:$E,"P0(후)",$M:$M,"&gt;0")&lt;&gt;1,"",SUMIFS($M:$M,$C:$C,$C582,$D:$D,$D582,$E:$E,"P0(후)"))</f>
        <v/>
      </c>
      <c r="S582" s="31">
        <f>IF(N582&lt;&gt;"OK","",P582+(R582-P582)*(I582-O582)/(Q582-O582))</f>
        <v/>
      </c>
      <c r="T582" s="31">
        <f>IF(OR(N582&lt;&gt;"OK",NOT(ISNUMBER(M582))),"",M582-S582)</f>
        <v/>
      </c>
      <c r="U582" s="49">
        <f>IF(OR(NOT(ISNUMBER(T582)),IF(ISNUMBER(H582),H582,G582)=0),"",T582/IF(ISNUMBER(H582),H582,G582))</f>
        <v/>
      </c>
      <c r="V582" s="49">
        <f>IF(ISNUMBER(U582),ABS(U582),"")</f>
        <v/>
      </c>
      <c r="W582" s="49">
        <f>IF(OR($E581&lt;&gt;"측정",$C581&lt;&gt;$C582,$D581&lt;&gt;$D582,NOT(ISNUMBER(M582)),NOT(ISNUMBER(M581)),(IF(ISNUMBER(H582),H582,G582)-IF(ISNUMBER(H581),H581,G581))=0),"",(M582-M581)/(IF(ISNUMBER(H582),H582,G582)-IF(ISNUMBER(H581),H581,G581)))</f>
        <v/>
      </c>
      <c r="X582" s="31">
        <f>IF(NOT(AND(ISNUMBER(O582),ISNUMBER(Q582))),"",(Q582-O582)*1440)</f>
        <v/>
      </c>
      <c r="Y582" s="29" t="n"/>
      <c r="Z582" s="29" t="n"/>
      <c r="AA582" s="29" t="n"/>
      <c r="AB582" s="32" t="n"/>
      <c r="AC582" s="32" t="n"/>
    </row>
    <row r="583">
      <c r="A583" s="26" t="inlineStr">
        <is>
          <t>S12</t>
        </is>
      </c>
      <c r="B583" s="26" t="inlineStr">
        <is>
          <t>순창 신규점</t>
        </is>
      </c>
      <c r="C583" s="26" t="inlineStr">
        <is>
          <t>S12-H동</t>
        </is>
      </c>
      <c r="D583" s="47" t="n">
        <v>1</v>
      </c>
      <c r="E583" s="26" t="inlineStr">
        <is>
          <t>측정</t>
        </is>
      </c>
      <c r="F583" s="26" t="inlineStr">
        <is>
          <t>동</t>
        </is>
      </c>
      <c r="G583" s="31" t="n">
        <v>4</v>
      </c>
      <c r="H583" s="30" t="n"/>
      <c r="I583" s="43" t="n"/>
      <c r="J583" s="41" t="n"/>
      <c r="K583" s="41" t="n"/>
      <c r="L583" s="41" t="n"/>
      <c r="M583" s="31">
        <f>IF(COUNT(J583:L583)=0,"",MEDIAN(J583:L583))</f>
        <v/>
      </c>
      <c r="N583" s="26">
        <f>IF(COUNTIFS($C:$C,$C583,$D:$D,$D583,$E:$E,"P0(전)",$M:$M,"&gt;0")&lt;&gt;1,"P0(전) 유효 1개 아님",IF(COUNTIFS($C:$C,$C583,$D:$D,$D583,$E:$E,"P0(후)",$M:$M,"&gt;0")&lt;&gt;1,"P0(후) 유효 1개 아님",IF(NOT(AND(ISNUMBER(O583),ISNUMBER(Q583),ISNUMBER(I583))),"시각 결측",IF(Q583&lt;=O583,"P0 시각 역전",IF(OR(I583&lt;O583,I583&gt;Q583),"측정시각 구간 밖","OK")))))</f>
        <v/>
      </c>
      <c r="O583" s="48">
        <f>IF(COUNTIFS($C:$C,$C583,$D:$D,$D583,$E:$E,"P0(전)",$M:$M,"&gt;0")&lt;&gt;1,"",SUMIFS($I:$I,$C:$C,$C583,$D:$D,$D583,$E:$E,"P0(전)"))</f>
        <v/>
      </c>
      <c r="P583" s="31">
        <f>IF(COUNTIFS($C:$C,$C583,$D:$D,$D583,$E:$E,"P0(전)",$M:$M,"&gt;0")&lt;&gt;1,"",SUMIFS($M:$M,$C:$C,$C583,$D:$D,$D583,$E:$E,"P0(전)"))</f>
        <v/>
      </c>
      <c r="Q583" s="48">
        <f>IF(COUNTIFS($C:$C,$C583,$D:$D,$D583,$E:$E,"P0(후)",$M:$M,"&gt;0")&lt;&gt;1,"",SUMIFS($I:$I,$C:$C,$C583,$D:$D,$D583,$E:$E,"P0(후)"))</f>
        <v/>
      </c>
      <c r="R583" s="31">
        <f>IF(COUNTIFS($C:$C,$C583,$D:$D,$D583,$E:$E,"P0(후)",$M:$M,"&gt;0")&lt;&gt;1,"",SUMIFS($M:$M,$C:$C,$C583,$D:$D,$D583,$E:$E,"P0(후)"))</f>
        <v/>
      </c>
      <c r="S583" s="31">
        <f>IF(N583&lt;&gt;"OK","",P583+(R583-P583)*(I583-O583)/(Q583-O583))</f>
        <v/>
      </c>
      <c r="T583" s="31">
        <f>IF(OR(N583&lt;&gt;"OK",NOT(ISNUMBER(M583))),"",M583-S583)</f>
        <v/>
      </c>
      <c r="U583" s="49">
        <f>IF(OR(NOT(ISNUMBER(T583)),IF(ISNUMBER(H583),H583,G583)=0),"",T583/IF(ISNUMBER(H583),H583,G583))</f>
        <v/>
      </c>
      <c r="V583" s="49">
        <f>IF(ISNUMBER(U583),ABS(U583),"")</f>
        <v/>
      </c>
      <c r="W583" s="49">
        <f>IF(OR($E582&lt;&gt;"측정",$C582&lt;&gt;$C583,$D582&lt;&gt;$D583,NOT(ISNUMBER(M583)),NOT(ISNUMBER(M582)),(IF(ISNUMBER(H583),H583,G583)-IF(ISNUMBER(H582),H582,G582))=0),"",(M583-M582)/(IF(ISNUMBER(H583),H583,G583)-IF(ISNUMBER(H582),H582,G582)))</f>
        <v/>
      </c>
      <c r="X583" s="31">
        <f>IF(NOT(AND(ISNUMBER(O583),ISNUMBER(Q583))),"",(Q583-O583)*1440)</f>
        <v/>
      </c>
      <c r="Y583" s="29" t="n"/>
      <c r="Z583" s="29" t="n"/>
      <c r="AA583" s="29" t="n"/>
      <c r="AB583" s="32" t="n"/>
      <c r="AC583" s="32" t="n"/>
    </row>
    <row r="584">
      <c r="A584" s="26" t="inlineStr">
        <is>
          <t>S12</t>
        </is>
      </c>
      <c r="B584" s="26" t="inlineStr">
        <is>
          <t>순창 신규점</t>
        </is>
      </c>
      <c r="C584" s="26" t="inlineStr">
        <is>
          <t>S12-H동</t>
        </is>
      </c>
      <c r="D584" s="47" t="n">
        <v>1</v>
      </c>
      <c r="E584" s="26" t="inlineStr">
        <is>
          <t>측정</t>
        </is>
      </c>
      <c r="F584" s="26" t="inlineStr">
        <is>
          <t>동</t>
        </is>
      </c>
      <c r="G584" s="31" t="n">
        <v>5</v>
      </c>
      <c r="H584" s="30" t="n"/>
      <c r="I584" s="43" t="n"/>
      <c r="J584" s="41" t="n"/>
      <c r="K584" s="41" t="n"/>
      <c r="L584" s="41" t="n"/>
      <c r="M584" s="31">
        <f>IF(COUNT(J584:L584)=0,"",MEDIAN(J584:L584))</f>
        <v/>
      </c>
      <c r="N584" s="26">
        <f>IF(COUNTIFS($C:$C,$C584,$D:$D,$D584,$E:$E,"P0(전)",$M:$M,"&gt;0")&lt;&gt;1,"P0(전) 유효 1개 아님",IF(COUNTIFS($C:$C,$C584,$D:$D,$D584,$E:$E,"P0(후)",$M:$M,"&gt;0")&lt;&gt;1,"P0(후) 유효 1개 아님",IF(NOT(AND(ISNUMBER(O584),ISNUMBER(Q584),ISNUMBER(I584))),"시각 결측",IF(Q584&lt;=O584,"P0 시각 역전",IF(OR(I584&lt;O584,I584&gt;Q584),"측정시각 구간 밖","OK")))))</f>
        <v/>
      </c>
      <c r="O584" s="48">
        <f>IF(COUNTIFS($C:$C,$C584,$D:$D,$D584,$E:$E,"P0(전)",$M:$M,"&gt;0")&lt;&gt;1,"",SUMIFS($I:$I,$C:$C,$C584,$D:$D,$D584,$E:$E,"P0(전)"))</f>
        <v/>
      </c>
      <c r="P584" s="31">
        <f>IF(COUNTIFS($C:$C,$C584,$D:$D,$D584,$E:$E,"P0(전)",$M:$M,"&gt;0")&lt;&gt;1,"",SUMIFS($M:$M,$C:$C,$C584,$D:$D,$D584,$E:$E,"P0(전)"))</f>
        <v/>
      </c>
      <c r="Q584" s="48">
        <f>IF(COUNTIFS($C:$C,$C584,$D:$D,$D584,$E:$E,"P0(후)",$M:$M,"&gt;0")&lt;&gt;1,"",SUMIFS($I:$I,$C:$C,$C584,$D:$D,$D584,$E:$E,"P0(후)"))</f>
        <v/>
      </c>
      <c r="R584" s="31">
        <f>IF(COUNTIFS($C:$C,$C584,$D:$D,$D584,$E:$E,"P0(후)",$M:$M,"&gt;0")&lt;&gt;1,"",SUMIFS($M:$M,$C:$C,$C584,$D:$D,$D584,$E:$E,"P0(후)"))</f>
        <v/>
      </c>
      <c r="S584" s="31">
        <f>IF(N584&lt;&gt;"OK","",P584+(R584-P584)*(I584-O584)/(Q584-O584))</f>
        <v/>
      </c>
      <c r="T584" s="31">
        <f>IF(OR(N584&lt;&gt;"OK",NOT(ISNUMBER(M584))),"",M584-S584)</f>
        <v/>
      </c>
      <c r="U584" s="49">
        <f>IF(OR(NOT(ISNUMBER(T584)),IF(ISNUMBER(H584),H584,G584)=0),"",T584/IF(ISNUMBER(H584),H584,G584))</f>
        <v/>
      </c>
      <c r="V584" s="49">
        <f>IF(ISNUMBER(U584),ABS(U584),"")</f>
        <v/>
      </c>
      <c r="W584" s="49">
        <f>IF(OR($E583&lt;&gt;"측정",$C583&lt;&gt;$C584,$D583&lt;&gt;$D584,NOT(ISNUMBER(M584)),NOT(ISNUMBER(M583)),(IF(ISNUMBER(H584),H584,G584)-IF(ISNUMBER(H583),H583,G583))=0),"",(M584-M583)/(IF(ISNUMBER(H584),H584,G584)-IF(ISNUMBER(H583),H583,G583)))</f>
        <v/>
      </c>
      <c r="X584" s="31">
        <f>IF(NOT(AND(ISNUMBER(O584),ISNUMBER(Q584))),"",(Q584-O584)*1440)</f>
        <v/>
      </c>
      <c r="Y584" s="29" t="n"/>
      <c r="Z584" s="29" t="n"/>
      <c r="AA584" s="29" t="n"/>
      <c r="AB584" s="32" t="n"/>
      <c r="AC584" s="32" t="n"/>
    </row>
    <row r="585">
      <c r="A585" s="26" t="inlineStr">
        <is>
          <t>S12</t>
        </is>
      </c>
      <c r="B585" s="26" t="inlineStr">
        <is>
          <t>순창 신규점</t>
        </is>
      </c>
      <c r="C585" s="26" t="inlineStr">
        <is>
          <t>S12-H동</t>
        </is>
      </c>
      <c r="D585" s="47" t="n">
        <v>1</v>
      </c>
      <c r="E585" s="26" t="inlineStr">
        <is>
          <t>측정</t>
        </is>
      </c>
      <c r="F585" s="26" t="inlineStr">
        <is>
          <t>동</t>
        </is>
      </c>
      <c r="G585" s="31" t="n">
        <v>6</v>
      </c>
      <c r="H585" s="30" t="n"/>
      <c r="I585" s="43" t="n"/>
      <c r="J585" s="41" t="n"/>
      <c r="K585" s="41" t="n"/>
      <c r="L585" s="41" t="n"/>
      <c r="M585" s="31">
        <f>IF(COUNT(J585:L585)=0,"",MEDIAN(J585:L585))</f>
        <v/>
      </c>
      <c r="N585" s="26">
        <f>IF(COUNTIFS($C:$C,$C585,$D:$D,$D585,$E:$E,"P0(전)",$M:$M,"&gt;0")&lt;&gt;1,"P0(전) 유효 1개 아님",IF(COUNTIFS($C:$C,$C585,$D:$D,$D585,$E:$E,"P0(후)",$M:$M,"&gt;0")&lt;&gt;1,"P0(후) 유효 1개 아님",IF(NOT(AND(ISNUMBER(O585),ISNUMBER(Q585),ISNUMBER(I585))),"시각 결측",IF(Q585&lt;=O585,"P0 시각 역전",IF(OR(I585&lt;O585,I585&gt;Q585),"측정시각 구간 밖","OK")))))</f>
        <v/>
      </c>
      <c r="O585" s="48">
        <f>IF(COUNTIFS($C:$C,$C585,$D:$D,$D585,$E:$E,"P0(전)",$M:$M,"&gt;0")&lt;&gt;1,"",SUMIFS($I:$I,$C:$C,$C585,$D:$D,$D585,$E:$E,"P0(전)"))</f>
        <v/>
      </c>
      <c r="P585" s="31">
        <f>IF(COUNTIFS($C:$C,$C585,$D:$D,$D585,$E:$E,"P0(전)",$M:$M,"&gt;0")&lt;&gt;1,"",SUMIFS($M:$M,$C:$C,$C585,$D:$D,$D585,$E:$E,"P0(전)"))</f>
        <v/>
      </c>
      <c r="Q585" s="48">
        <f>IF(COUNTIFS($C:$C,$C585,$D:$D,$D585,$E:$E,"P0(후)",$M:$M,"&gt;0")&lt;&gt;1,"",SUMIFS($I:$I,$C:$C,$C585,$D:$D,$D585,$E:$E,"P0(후)"))</f>
        <v/>
      </c>
      <c r="R585" s="31">
        <f>IF(COUNTIFS($C:$C,$C585,$D:$D,$D585,$E:$E,"P0(후)",$M:$M,"&gt;0")&lt;&gt;1,"",SUMIFS($M:$M,$C:$C,$C585,$D:$D,$D585,$E:$E,"P0(후)"))</f>
        <v/>
      </c>
      <c r="S585" s="31">
        <f>IF(N585&lt;&gt;"OK","",P585+(R585-P585)*(I585-O585)/(Q585-O585))</f>
        <v/>
      </c>
      <c r="T585" s="31">
        <f>IF(OR(N585&lt;&gt;"OK",NOT(ISNUMBER(M585))),"",M585-S585)</f>
        <v/>
      </c>
      <c r="U585" s="49">
        <f>IF(OR(NOT(ISNUMBER(T585)),IF(ISNUMBER(H585),H585,G585)=0),"",T585/IF(ISNUMBER(H585),H585,G585))</f>
        <v/>
      </c>
      <c r="V585" s="49">
        <f>IF(ISNUMBER(U585),ABS(U585),"")</f>
        <v/>
      </c>
      <c r="W585" s="49">
        <f>IF(OR($E584&lt;&gt;"측정",$C584&lt;&gt;$C585,$D584&lt;&gt;$D585,NOT(ISNUMBER(M585)),NOT(ISNUMBER(M584)),(IF(ISNUMBER(H585),H585,G585)-IF(ISNUMBER(H584),H584,G584))=0),"",(M585-M584)/(IF(ISNUMBER(H585),H585,G585)-IF(ISNUMBER(H584),H584,G584)))</f>
        <v/>
      </c>
      <c r="X585" s="31">
        <f>IF(NOT(AND(ISNUMBER(O585),ISNUMBER(Q585))),"",(Q585-O585)*1440)</f>
        <v/>
      </c>
      <c r="Y585" s="29" t="n"/>
      <c r="Z585" s="29" t="n"/>
      <c r="AA585" s="29" t="n"/>
      <c r="AB585" s="32" t="n"/>
      <c r="AC585" s="32" t="n"/>
    </row>
    <row r="586">
      <c r="A586" s="26" t="inlineStr">
        <is>
          <t>S12</t>
        </is>
      </c>
      <c r="B586" s="26" t="inlineStr">
        <is>
          <t>순창 신규점</t>
        </is>
      </c>
      <c r="C586" s="26" t="inlineStr">
        <is>
          <t>S12-H동</t>
        </is>
      </c>
      <c r="D586" s="47" t="n">
        <v>1</v>
      </c>
      <c r="E586" s="26" t="inlineStr">
        <is>
          <t>측정</t>
        </is>
      </c>
      <c r="F586" s="26" t="inlineStr">
        <is>
          <t>동</t>
        </is>
      </c>
      <c r="G586" s="31" t="n">
        <v>7</v>
      </c>
      <c r="H586" s="30" t="n"/>
      <c r="I586" s="43" t="n"/>
      <c r="J586" s="41" t="n"/>
      <c r="K586" s="41" t="n"/>
      <c r="L586" s="41" t="n"/>
      <c r="M586" s="31">
        <f>IF(COUNT(J586:L586)=0,"",MEDIAN(J586:L586))</f>
        <v/>
      </c>
      <c r="N586" s="26">
        <f>IF(COUNTIFS($C:$C,$C586,$D:$D,$D586,$E:$E,"P0(전)",$M:$M,"&gt;0")&lt;&gt;1,"P0(전) 유효 1개 아님",IF(COUNTIFS($C:$C,$C586,$D:$D,$D586,$E:$E,"P0(후)",$M:$M,"&gt;0")&lt;&gt;1,"P0(후) 유효 1개 아님",IF(NOT(AND(ISNUMBER(O586),ISNUMBER(Q586),ISNUMBER(I586))),"시각 결측",IF(Q586&lt;=O586,"P0 시각 역전",IF(OR(I586&lt;O586,I586&gt;Q586),"측정시각 구간 밖","OK")))))</f>
        <v/>
      </c>
      <c r="O586" s="48">
        <f>IF(COUNTIFS($C:$C,$C586,$D:$D,$D586,$E:$E,"P0(전)",$M:$M,"&gt;0")&lt;&gt;1,"",SUMIFS($I:$I,$C:$C,$C586,$D:$D,$D586,$E:$E,"P0(전)"))</f>
        <v/>
      </c>
      <c r="P586" s="31">
        <f>IF(COUNTIFS($C:$C,$C586,$D:$D,$D586,$E:$E,"P0(전)",$M:$M,"&gt;0")&lt;&gt;1,"",SUMIFS($M:$M,$C:$C,$C586,$D:$D,$D586,$E:$E,"P0(전)"))</f>
        <v/>
      </c>
      <c r="Q586" s="48">
        <f>IF(COUNTIFS($C:$C,$C586,$D:$D,$D586,$E:$E,"P0(후)",$M:$M,"&gt;0")&lt;&gt;1,"",SUMIFS($I:$I,$C:$C,$C586,$D:$D,$D586,$E:$E,"P0(후)"))</f>
        <v/>
      </c>
      <c r="R586" s="31">
        <f>IF(COUNTIFS($C:$C,$C586,$D:$D,$D586,$E:$E,"P0(후)",$M:$M,"&gt;0")&lt;&gt;1,"",SUMIFS($M:$M,$C:$C,$C586,$D:$D,$D586,$E:$E,"P0(후)"))</f>
        <v/>
      </c>
      <c r="S586" s="31">
        <f>IF(N586&lt;&gt;"OK","",P586+(R586-P586)*(I586-O586)/(Q586-O586))</f>
        <v/>
      </c>
      <c r="T586" s="31">
        <f>IF(OR(N586&lt;&gt;"OK",NOT(ISNUMBER(M586))),"",M586-S586)</f>
        <v/>
      </c>
      <c r="U586" s="49">
        <f>IF(OR(NOT(ISNUMBER(T586)),IF(ISNUMBER(H586),H586,G586)=0),"",T586/IF(ISNUMBER(H586),H586,G586))</f>
        <v/>
      </c>
      <c r="V586" s="49">
        <f>IF(ISNUMBER(U586),ABS(U586),"")</f>
        <v/>
      </c>
      <c r="W586" s="49">
        <f>IF(OR($E585&lt;&gt;"측정",$C585&lt;&gt;$C586,$D585&lt;&gt;$D586,NOT(ISNUMBER(M586)),NOT(ISNUMBER(M585)),(IF(ISNUMBER(H586),H586,G586)-IF(ISNUMBER(H585),H585,G585))=0),"",(M586-M585)/(IF(ISNUMBER(H586),H586,G586)-IF(ISNUMBER(H585),H585,G585)))</f>
        <v/>
      </c>
      <c r="X586" s="31">
        <f>IF(NOT(AND(ISNUMBER(O586),ISNUMBER(Q586))),"",(Q586-O586)*1440)</f>
        <v/>
      </c>
      <c r="Y586" s="29" t="n"/>
      <c r="Z586" s="29" t="n"/>
      <c r="AA586" s="29" t="n"/>
      <c r="AB586" s="32" t="n"/>
      <c r="AC586" s="32" t="n"/>
    </row>
    <row r="587">
      <c r="A587" s="26" t="inlineStr">
        <is>
          <t>S12</t>
        </is>
      </c>
      <c r="B587" s="26" t="inlineStr">
        <is>
          <t>순창 신규점</t>
        </is>
      </c>
      <c r="C587" s="26" t="inlineStr">
        <is>
          <t>S12-H동</t>
        </is>
      </c>
      <c r="D587" s="47" t="n">
        <v>1</v>
      </c>
      <c r="E587" s="26" t="inlineStr">
        <is>
          <t>측정</t>
        </is>
      </c>
      <c r="F587" s="26" t="inlineStr">
        <is>
          <t>동</t>
        </is>
      </c>
      <c r="G587" s="31" t="n">
        <v>8</v>
      </c>
      <c r="H587" s="30" t="n"/>
      <c r="I587" s="43" t="n"/>
      <c r="J587" s="41" t="n"/>
      <c r="K587" s="41" t="n"/>
      <c r="L587" s="41" t="n"/>
      <c r="M587" s="31">
        <f>IF(COUNT(J587:L587)=0,"",MEDIAN(J587:L587))</f>
        <v/>
      </c>
      <c r="N587" s="26">
        <f>IF(COUNTIFS($C:$C,$C587,$D:$D,$D587,$E:$E,"P0(전)",$M:$M,"&gt;0")&lt;&gt;1,"P0(전) 유효 1개 아님",IF(COUNTIFS($C:$C,$C587,$D:$D,$D587,$E:$E,"P0(후)",$M:$M,"&gt;0")&lt;&gt;1,"P0(후) 유효 1개 아님",IF(NOT(AND(ISNUMBER(O587),ISNUMBER(Q587),ISNUMBER(I587))),"시각 결측",IF(Q587&lt;=O587,"P0 시각 역전",IF(OR(I587&lt;O587,I587&gt;Q587),"측정시각 구간 밖","OK")))))</f>
        <v/>
      </c>
      <c r="O587" s="48">
        <f>IF(COUNTIFS($C:$C,$C587,$D:$D,$D587,$E:$E,"P0(전)",$M:$M,"&gt;0")&lt;&gt;1,"",SUMIFS($I:$I,$C:$C,$C587,$D:$D,$D587,$E:$E,"P0(전)"))</f>
        <v/>
      </c>
      <c r="P587" s="31">
        <f>IF(COUNTIFS($C:$C,$C587,$D:$D,$D587,$E:$E,"P0(전)",$M:$M,"&gt;0")&lt;&gt;1,"",SUMIFS($M:$M,$C:$C,$C587,$D:$D,$D587,$E:$E,"P0(전)"))</f>
        <v/>
      </c>
      <c r="Q587" s="48">
        <f>IF(COUNTIFS($C:$C,$C587,$D:$D,$D587,$E:$E,"P0(후)",$M:$M,"&gt;0")&lt;&gt;1,"",SUMIFS($I:$I,$C:$C,$C587,$D:$D,$D587,$E:$E,"P0(후)"))</f>
        <v/>
      </c>
      <c r="R587" s="31">
        <f>IF(COUNTIFS($C:$C,$C587,$D:$D,$D587,$E:$E,"P0(후)",$M:$M,"&gt;0")&lt;&gt;1,"",SUMIFS($M:$M,$C:$C,$C587,$D:$D,$D587,$E:$E,"P0(후)"))</f>
        <v/>
      </c>
      <c r="S587" s="31">
        <f>IF(N587&lt;&gt;"OK","",P587+(R587-P587)*(I587-O587)/(Q587-O587))</f>
        <v/>
      </c>
      <c r="T587" s="31">
        <f>IF(OR(N587&lt;&gt;"OK",NOT(ISNUMBER(M587))),"",M587-S587)</f>
        <v/>
      </c>
      <c r="U587" s="49">
        <f>IF(OR(NOT(ISNUMBER(T587)),IF(ISNUMBER(H587),H587,G587)=0),"",T587/IF(ISNUMBER(H587),H587,G587))</f>
        <v/>
      </c>
      <c r="V587" s="49">
        <f>IF(ISNUMBER(U587),ABS(U587),"")</f>
        <v/>
      </c>
      <c r="W587" s="49">
        <f>IF(OR($E586&lt;&gt;"측정",$C586&lt;&gt;$C587,$D586&lt;&gt;$D587,NOT(ISNUMBER(M587)),NOT(ISNUMBER(M586)),(IF(ISNUMBER(H587),H587,G587)-IF(ISNUMBER(H586),H586,G586))=0),"",(M587-M586)/(IF(ISNUMBER(H587),H587,G587)-IF(ISNUMBER(H586),H586,G586)))</f>
        <v/>
      </c>
      <c r="X587" s="31">
        <f>IF(NOT(AND(ISNUMBER(O587),ISNUMBER(Q587))),"",(Q587-O587)*1440)</f>
        <v/>
      </c>
      <c r="Y587" s="29" t="n"/>
      <c r="Z587" s="29" t="n"/>
      <c r="AA587" s="29" t="n"/>
      <c r="AB587" s="32" t="n"/>
      <c r="AC587" s="32" t="n"/>
    </row>
    <row r="588">
      <c r="A588" s="26" t="inlineStr">
        <is>
          <t>S12</t>
        </is>
      </c>
      <c r="B588" s="26" t="inlineStr">
        <is>
          <t>순창 신규점</t>
        </is>
      </c>
      <c r="C588" s="26" t="inlineStr">
        <is>
          <t>S12-H동</t>
        </is>
      </c>
      <c r="D588" s="47" t="n">
        <v>1</v>
      </c>
      <c r="E588" s="26" t="inlineStr">
        <is>
          <t>측정</t>
        </is>
      </c>
      <c r="F588" s="26" t="inlineStr">
        <is>
          <t>동</t>
        </is>
      </c>
      <c r="G588" s="31" t="n">
        <v>9</v>
      </c>
      <c r="H588" s="30" t="n"/>
      <c r="I588" s="43" t="n"/>
      <c r="J588" s="41" t="n"/>
      <c r="K588" s="41" t="n"/>
      <c r="L588" s="41" t="n"/>
      <c r="M588" s="31">
        <f>IF(COUNT(J588:L588)=0,"",MEDIAN(J588:L588))</f>
        <v/>
      </c>
      <c r="N588" s="26">
        <f>IF(COUNTIFS($C:$C,$C588,$D:$D,$D588,$E:$E,"P0(전)",$M:$M,"&gt;0")&lt;&gt;1,"P0(전) 유효 1개 아님",IF(COUNTIFS($C:$C,$C588,$D:$D,$D588,$E:$E,"P0(후)",$M:$M,"&gt;0")&lt;&gt;1,"P0(후) 유효 1개 아님",IF(NOT(AND(ISNUMBER(O588),ISNUMBER(Q588),ISNUMBER(I588))),"시각 결측",IF(Q588&lt;=O588,"P0 시각 역전",IF(OR(I588&lt;O588,I588&gt;Q588),"측정시각 구간 밖","OK")))))</f>
        <v/>
      </c>
      <c r="O588" s="48">
        <f>IF(COUNTIFS($C:$C,$C588,$D:$D,$D588,$E:$E,"P0(전)",$M:$M,"&gt;0")&lt;&gt;1,"",SUMIFS($I:$I,$C:$C,$C588,$D:$D,$D588,$E:$E,"P0(전)"))</f>
        <v/>
      </c>
      <c r="P588" s="31">
        <f>IF(COUNTIFS($C:$C,$C588,$D:$D,$D588,$E:$E,"P0(전)",$M:$M,"&gt;0")&lt;&gt;1,"",SUMIFS($M:$M,$C:$C,$C588,$D:$D,$D588,$E:$E,"P0(전)"))</f>
        <v/>
      </c>
      <c r="Q588" s="48">
        <f>IF(COUNTIFS($C:$C,$C588,$D:$D,$D588,$E:$E,"P0(후)",$M:$M,"&gt;0")&lt;&gt;1,"",SUMIFS($I:$I,$C:$C,$C588,$D:$D,$D588,$E:$E,"P0(후)"))</f>
        <v/>
      </c>
      <c r="R588" s="31">
        <f>IF(COUNTIFS($C:$C,$C588,$D:$D,$D588,$E:$E,"P0(후)",$M:$M,"&gt;0")&lt;&gt;1,"",SUMIFS($M:$M,$C:$C,$C588,$D:$D,$D588,$E:$E,"P0(후)"))</f>
        <v/>
      </c>
      <c r="S588" s="31">
        <f>IF(N588&lt;&gt;"OK","",P588+(R588-P588)*(I588-O588)/(Q588-O588))</f>
        <v/>
      </c>
      <c r="T588" s="31">
        <f>IF(OR(N588&lt;&gt;"OK",NOT(ISNUMBER(M588))),"",M588-S588)</f>
        <v/>
      </c>
      <c r="U588" s="49">
        <f>IF(OR(NOT(ISNUMBER(T588)),IF(ISNUMBER(H588),H588,G588)=0),"",T588/IF(ISNUMBER(H588),H588,G588))</f>
        <v/>
      </c>
      <c r="V588" s="49">
        <f>IF(ISNUMBER(U588),ABS(U588),"")</f>
        <v/>
      </c>
      <c r="W588" s="49">
        <f>IF(OR($E587&lt;&gt;"측정",$C587&lt;&gt;$C588,$D587&lt;&gt;$D588,NOT(ISNUMBER(M588)),NOT(ISNUMBER(M587)),(IF(ISNUMBER(H588),H588,G588)-IF(ISNUMBER(H587),H587,G587))=0),"",(M588-M587)/(IF(ISNUMBER(H588),H588,G588)-IF(ISNUMBER(H587),H587,G587)))</f>
        <v/>
      </c>
      <c r="X588" s="31">
        <f>IF(NOT(AND(ISNUMBER(O588),ISNUMBER(Q588))),"",(Q588-O588)*1440)</f>
        <v/>
      </c>
      <c r="Y588" s="29" t="n"/>
      <c r="Z588" s="29" t="n"/>
      <c r="AA588" s="29" t="n"/>
      <c r="AB588" s="32" t="n"/>
      <c r="AC588" s="32" t="n"/>
    </row>
    <row r="589">
      <c r="A589" s="26" t="inlineStr">
        <is>
          <t>S12</t>
        </is>
      </c>
      <c r="B589" s="26" t="inlineStr">
        <is>
          <t>순창 신규점</t>
        </is>
      </c>
      <c r="C589" s="26" t="inlineStr">
        <is>
          <t>S12-H동</t>
        </is>
      </c>
      <c r="D589" s="47" t="n">
        <v>1</v>
      </c>
      <c r="E589" s="26" t="inlineStr">
        <is>
          <t>측정</t>
        </is>
      </c>
      <c r="F589" s="26" t="inlineStr">
        <is>
          <t>동</t>
        </is>
      </c>
      <c r="G589" s="31" t="n">
        <v>10</v>
      </c>
      <c r="H589" s="30" t="n"/>
      <c r="I589" s="43" t="n"/>
      <c r="J589" s="41" t="n"/>
      <c r="K589" s="41" t="n"/>
      <c r="L589" s="41" t="n"/>
      <c r="M589" s="31">
        <f>IF(COUNT(J589:L589)=0,"",MEDIAN(J589:L589))</f>
        <v/>
      </c>
      <c r="N589" s="26">
        <f>IF(COUNTIFS($C:$C,$C589,$D:$D,$D589,$E:$E,"P0(전)",$M:$M,"&gt;0")&lt;&gt;1,"P0(전) 유효 1개 아님",IF(COUNTIFS($C:$C,$C589,$D:$D,$D589,$E:$E,"P0(후)",$M:$M,"&gt;0")&lt;&gt;1,"P0(후) 유효 1개 아님",IF(NOT(AND(ISNUMBER(O589),ISNUMBER(Q589),ISNUMBER(I589))),"시각 결측",IF(Q589&lt;=O589,"P0 시각 역전",IF(OR(I589&lt;O589,I589&gt;Q589),"측정시각 구간 밖","OK")))))</f>
        <v/>
      </c>
      <c r="O589" s="48">
        <f>IF(COUNTIFS($C:$C,$C589,$D:$D,$D589,$E:$E,"P0(전)",$M:$M,"&gt;0")&lt;&gt;1,"",SUMIFS($I:$I,$C:$C,$C589,$D:$D,$D589,$E:$E,"P0(전)"))</f>
        <v/>
      </c>
      <c r="P589" s="31">
        <f>IF(COUNTIFS($C:$C,$C589,$D:$D,$D589,$E:$E,"P0(전)",$M:$M,"&gt;0")&lt;&gt;1,"",SUMIFS($M:$M,$C:$C,$C589,$D:$D,$D589,$E:$E,"P0(전)"))</f>
        <v/>
      </c>
      <c r="Q589" s="48">
        <f>IF(COUNTIFS($C:$C,$C589,$D:$D,$D589,$E:$E,"P0(후)",$M:$M,"&gt;0")&lt;&gt;1,"",SUMIFS($I:$I,$C:$C,$C589,$D:$D,$D589,$E:$E,"P0(후)"))</f>
        <v/>
      </c>
      <c r="R589" s="31">
        <f>IF(COUNTIFS($C:$C,$C589,$D:$D,$D589,$E:$E,"P0(후)",$M:$M,"&gt;0")&lt;&gt;1,"",SUMIFS($M:$M,$C:$C,$C589,$D:$D,$D589,$E:$E,"P0(후)"))</f>
        <v/>
      </c>
      <c r="S589" s="31">
        <f>IF(N589&lt;&gt;"OK","",P589+(R589-P589)*(I589-O589)/(Q589-O589))</f>
        <v/>
      </c>
      <c r="T589" s="31">
        <f>IF(OR(N589&lt;&gt;"OK",NOT(ISNUMBER(M589))),"",M589-S589)</f>
        <v/>
      </c>
      <c r="U589" s="49">
        <f>IF(OR(NOT(ISNUMBER(T589)),IF(ISNUMBER(H589),H589,G589)=0),"",T589/IF(ISNUMBER(H589),H589,G589))</f>
        <v/>
      </c>
      <c r="V589" s="49">
        <f>IF(ISNUMBER(U589),ABS(U589),"")</f>
        <v/>
      </c>
      <c r="W589" s="49">
        <f>IF(OR($E588&lt;&gt;"측정",$C588&lt;&gt;$C589,$D588&lt;&gt;$D589,NOT(ISNUMBER(M589)),NOT(ISNUMBER(M588)),(IF(ISNUMBER(H589),H589,G589)-IF(ISNUMBER(H588),H588,G588))=0),"",(M589-M588)/(IF(ISNUMBER(H589),H589,G589)-IF(ISNUMBER(H588),H588,G588)))</f>
        <v/>
      </c>
      <c r="X589" s="31">
        <f>IF(NOT(AND(ISNUMBER(O589),ISNUMBER(Q589))),"",(Q589-O589)*1440)</f>
        <v/>
      </c>
      <c r="Y589" s="29" t="n"/>
      <c r="Z589" s="29" t="n"/>
      <c r="AA589" s="29" t="n"/>
      <c r="AB589" s="32" t="n"/>
      <c r="AC589" s="32" t="n"/>
    </row>
    <row r="590">
      <c r="A590" s="44" t="inlineStr">
        <is>
          <t>S12</t>
        </is>
      </c>
      <c r="B590" s="44" t="inlineStr">
        <is>
          <t>순창 신규점</t>
        </is>
      </c>
      <c r="C590" s="44" t="inlineStr">
        <is>
          <t>S12-H동</t>
        </is>
      </c>
      <c r="D590" s="45" t="n">
        <v>1</v>
      </c>
      <c r="E590" s="44" t="inlineStr">
        <is>
          <t>P0(후)</t>
        </is>
      </c>
      <c r="F590" s="44" t="inlineStr">
        <is>
          <t>동</t>
        </is>
      </c>
      <c r="G590" s="46" t="n"/>
      <c r="H590" s="30" t="n"/>
      <c r="I590" s="43" t="n"/>
      <c r="J590" s="41" t="n"/>
      <c r="K590" s="41" t="n"/>
      <c r="L590" s="41" t="n"/>
      <c r="M590" s="31">
        <f>IF(COUNT(J590:L590)=0,"",MEDIAN(J590:L590))</f>
        <v/>
      </c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38" t="n"/>
      <c r="Y590" s="29" t="n"/>
      <c r="Z590" s="29" t="n"/>
      <c r="AA590" s="29" t="n"/>
      <c r="AB590" s="32" t="n"/>
      <c r="AC590" s="32" t="n"/>
    </row>
    <row r="591">
      <c r="A591" s="44" t="inlineStr">
        <is>
          <t>S12</t>
        </is>
      </c>
      <c r="B591" s="44" t="inlineStr">
        <is>
          <t>순창 신규점</t>
        </is>
      </c>
      <c r="C591" s="44" t="inlineStr">
        <is>
          <t>S12-H서</t>
        </is>
      </c>
      <c r="D591" s="45" t="n">
        <v>1</v>
      </c>
      <c r="E591" s="44" t="inlineStr">
        <is>
          <t>P0(전)</t>
        </is>
      </c>
      <c r="F591" s="44" t="inlineStr">
        <is>
          <t>서</t>
        </is>
      </c>
      <c r="G591" s="46" t="n"/>
      <c r="H591" s="30" t="n"/>
      <c r="I591" s="43" t="n"/>
      <c r="J591" s="41" t="n"/>
      <c r="K591" s="41" t="n"/>
      <c r="L591" s="41" t="n"/>
      <c r="M591" s="31">
        <f>IF(COUNT(J591:L591)=0,"",MEDIAN(J591:L591))</f>
        <v/>
      </c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  <c r="X591" s="38" t="n"/>
      <c r="Y591" s="29" t="n"/>
      <c r="Z591" s="29" t="n"/>
      <c r="AA591" s="29" t="n"/>
      <c r="AB591" s="32" t="n"/>
      <c r="AC591" s="32" t="n"/>
    </row>
    <row r="592">
      <c r="A592" s="26" t="inlineStr">
        <is>
          <t>S12</t>
        </is>
      </c>
      <c r="B592" s="26" t="inlineStr">
        <is>
          <t>순창 신규점</t>
        </is>
      </c>
      <c r="C592" s="26" t="inlineStr">
        <is>
          <t>S12-H서</t>
        </is>
      </c>
      <c r="D592" s="47" t="n">
        <v>1</v>
      </c>
      <c r="E592" s="26" t="inlineStr">
        <is>
          <t>측정</t>
        </is>
      </c>
      <c r="F592" s="26" t="inlineStr">
        <is>
          <t>서</t>
        </is>
      </c>
      <c r="G592" s="31" t="n">
        <v>0.5</v>
      </c>
      <c r="H592" s="30" t="n"/>
      <c r="I592" s="43" t="n"/>
      <c r="J592" s="41" t="n"/>
      <c r="K592" s="41" t="n"/>
      <c r="L592" s="41" t="n"/>
      <c r="M592" s="31">
        <f>IF(COUNT(J592:L592)=0,"",MEDIAN(J592:L592))</f>
        <v/>
      </c>
      <c r="N592" s="26">
        <f>IF(COUNTIFS($C:$C,$C592,$D:$D,$D592,$E:$E,"P0(전)",$M:$M,"&gt;0")&lt;&gt;1,"P0(전) 유효 1개 아님",IF(COUNTIFS($C:$C,$C592,$D:$D,$D592,$E:$E,"P0(후)",$M:$M,"&gt;0")&lt;&gt;1,"P0(후) 유효 1개 아님",IF(NOT(AND(ISNUMBER(O592),ISNUMBER(Q592),ISNUMBER(I592))),"시각 결측",IF(Q592&lt;=O592,"P0 시각 역전",IF(OR(I592&lt;O592,I592&gt;Q592),"측정시각 구간 밖","OK")))))</f>
        <v/>
      </c>
      <c r="O592" s="48">
        <f>IF(COUNTIFS($C:$C,$C592,$D:$D,$D592,$E:$E,"P0(전)",$M:$M,"&gt;0")&lt;&gt;1,"",SUMIFS($I:$I,$C:$C,$C592,$D:$D,$D592,$E:$E,"P0(전)"))</f>
        <v/>
      </c>
      <c r="P592" s="31">
        <f>IF(COUNTIFS($C:$C,$C592,$D:$D,$D592,$E:$E,"P0(전)",$M:$M,"&gt;0")&lt;&gt;1,"",SUMIFS($M:$M,$C:$C,$C592,$D:$D,$D592,$E:$E,"P0(전)"))</f>
        <v/>
      </c>
      <c r="Q592" s="48">
        <f>IF(COUNTIFS($C:$C,$C592,$D:$D,$D592,$E:$E,"P0(후)",$M:$M,"&gt;0")&lt;&gt;1,"",SUMIFS($I:$I,$C:$C,$C592,$D:$D,$D592,$E:$E,"P0(후)"))</f>
        <v/>
      </c>
      <c r="R592" s="31">
        <f>IF(COUNTIFS($C:$C,$C592,$D:$D,$D592,$E:$E,"P0(후)",$M:$M,"&gt;0")&lt;&gt;1,"",SUMIFS($M:$M,$C:$C,$C592,$D:$D,$D592,$E:$E,"P0(후)"))</f>
        <v/>
      </c>
      <c r="S592" s="31">
        <f>IF(N592&lt;&gt;"OK","",P592+(R592-P592)*(I592-O592)/(Q592-O592))</f>
        <v/>
      </c>
      <c r="T592" s="31">
        <f>IF(OR(N592&lt;&gt;"OK",NOT(ISNUMBER(M592))),"",M592-S592)</f>
        <v/>
      </c>
      <c r="U592" s="49">
        <f>IF(OR(NOT(ISNUMBER(T592)),IF(ISNUMBER(H592),H592,G592)=0),"",T592/IF(ISNUMBER(H592),H592,G592))</f>
        <v/>
      </c>
      <c r="V592" s="49">
        <f>IF(ISNUMBER(U592),ABS(U592),"")</f>
        <v/>
      </c>
      <c r="W592" s="49">
        <f>IF(OR($E591&lt;&gt;"측정",$C591&lt;&gt;$C592,$D591&lt;&gt;$D592,NOT(ISNUMBER(M592)),NOT(ISNUMBER(M591)),(IF(ISNUMBER(H592),H592,G592)-IF(ISNUMBER(H591),H591,G591))=0),"",(M592-M591)/(IF(ISNUMBER(H592),H592,G592)-IF(ISNUMBER(H591),H591,G591)))</f>
        <v/>
      </c>
      <c r="X592" s="31">
        <f>IF(NOT(AND(ISNUMBER(O592),ISNUMBER(Q592))),"",(Q592-O592)*1440)</f>
        <v/>
      </c>
      <c r="Y592" s="29" t="n"/>
      <c r="Z592" s="29" t="n"/>
      <c r="AA592" s="29" t="n"/>
      <c r="AB592" s="32" t="n"/>
      <c r="AC592" s="32" t="n"/>
    </row>
    <row r="593">
      <c r="A593" s="26" t="inlineStr">
        <is>
          <t>S12</t>
        </is>
      </c>
      <c r="B593" s="26" t="inlineStr">
        <is>
          <t>순창 신규점</t>
        </is>
      </c>
      <c r="C593" s="26" t="inlineStr">
        <is>
          <t>S12-H서</t>
        </is>
      </c>
      <c r="D593" s="47" t="n">
        <v>1</v>
      </c>
      <c r="E593" s="26" t="inlineStr">
        <is>
          <t>측정</t>
        </is>
      </c>
      <c r="F593" s="26" t="inlineStr">
        <is>
          <t>서</t>
        </is>
      </c>
      <c r="G593" s="31" t="n">
        <v>1</v>
      </c>
      <c r="H593" s="30" t="n"/>
      <c r="I593" s="43" t="n"/>
      <c r="J593" s="41" t="n"/>
      <c r="K593" s="41" t="n"/>
      <c r="L593" s="41" t="n"/>
      <c r="M593" s="31">
        <f>IF(COUNT(J593:L593)=0,"",MEDIAN(J593:L593))</f>
        <v/>
      </c>
      <c r="N593" s="26">
        <f>IF(COUNTIFS($C:$C,$C593,$D:$D,$D593,$E:$E,"P0(전)",$M:$M,"&gt;0")&lt;&gt;1,"P0(전) 유효 1개 아님",IF(COUNTIFS($C:$C,$C593,$D:$D,$D593,$E:$E,"P0(후)",$M:$M,"&gt;0")&lt;&gt;1,"P0(후) 유효 1개 아님",IF(NOT(AND(ISNUMBER(O593),ISNUMBER(Q593),ISNUMBER(I593))),"시각 결측",IF(Q593&lt;=O593,"P0 시각 역전",IF(OR(I593&lt;O593,I593&gt;Q593),"측정시각 구간 밖","OK")))))</f>
        <v/>
      </c>
      <c r="O593" s="48">
        <f>IF(COUNTIFS($C:$C,$C593,$D:$D,$D593,$E:$E,"P0(전)",$M:$M,"&gt;0")&lt;&gt;1,"",SUMIFS($I:$I,$C:$C,$C593,$D:$D,$D593,$E:$E,"P0(전)"))</f>
        <v/>
      </c>
      <c r="P593" s="31">
        <f>IF(COUNTIFS($C:$C,$C593,$D:$D,$D593,$E:$E,"P0(전)",$M:$M,"&gt;0")&lt;&gt;1,"",SUMIFS($M:$M,$C:$C,$C593,$D:$D,$D593,$E:$E,"P0(전)"))</f>
        <v/>
      </c>
      <c r="Q593" s="48">
        <f>IF(COUNTIFS($C:$C,$C593,$D:$D,$D593,$E:$E,"P0(후)",$M:$M,"&gt;0")&lt;&gt;1,"",SUMIFS($I:$I,$C:$C,$C593,$D:$D,$D593,$E:$E,"P0(후)"))</f>
        <v/>
      </c>
      <c r="R593" s="31">
        <f>IF(COUNTIFS($C:$C,$C593,$D:$D,$D593,$E:$E,"P0(후)",$M:$M,"&gt;0")&lt;&gt;1,"",SUMIFS($M:$M,$C:$C,$C593,$D:$D,$D593,$E:$E,"P0(후)"))</f>
        <v/>
      </c>
      <c r="S593" s="31">
        <f>IF(N593&lt;&gt;"OK","",P593+(R593-P593)*(I593-O593)/(Q593-O593))</f>
        <v/>
      </c>
      <c r="T593" s="31">
        <f>IF(OR(N593&lt;&gt;"OK",NOT(ISNUMBER(M593))),"",M593-S593)</f>
        <v/>
      </c>
      <c r="U593" s="49">
        <f>IF(OR(NOT(ISNUMBER(T593)),IF(ISNUMBER(H593),H593,G593)=0),"",T593/IF(ISNUMBER(H593),H593,G593))</f>
        <v/>
      </c>
      <c r="V593" s="49">
        <f>IF(ISNUMBER(U593),ABS(U593),"")</f>
        <v/>
      </c>
      <c r="W593" s="49">
        <f>IF(OR($E592&lt;&gt;"측정",$C592&lt;&gt;$C593,$D592&lt;&gt;$D593,NOT(ISNUMBER(M593)),NOT(ISNUMBER(M592)),(IF(ISNUMBER(H593),H593,G593)-IF(ISNUMBER(H592),H592,G592))=0),"",(M593-M592)/(IF(ISNUMBER(H593),H593,G593)-IF(ISNUMBER(H592),H592,G592)))</f>
        <v/>
      </c>
      <c r="X593" s="31">
        <f>IF(NOT(AND(ISNUMBER(O593),ISNUMBER(Q593))),"",(Q593-O593)*1440)</f>
        <v/>
      </c>
      <c r="Y593" s="29" t="n"/>
      <c r="Z593" s="29" t="n"/>
      <c r="AA593" s="29" t="n"/>
      <c r="AB593" s="32" t="n"/>
      <c r="AC593" s="32" t="n"/>
    </row>
    <row r="594">
      <c r="A594" s="26" t="inlineStr">
        <is>
          <t>S12</t>
        </is>
      </c>
      <c r="B594" s="26" t="inlineStr">
        <is>
          <t>순창 신규점</t>
        </is>
      </c>
      <c r="C594" s="26" t="inlineStr">
        <is>
          <t>S12-H서</t>
        </is>
      </c>
      <c r="D594" s="47" t="n">
        <v>1</v>
      </c>
      <c r="E594" s="26" t="inlineStr">
        <is>
          <t>측정</t>
        </is>
      </c>
      <c r="F594" s="26" t="inlineStr">
        <is>
          <t>서</t>
        </is>
      </c>
      <c r="G594" s="31" t="n">
        <v>2</v>
      </c>
      <c r="H594" s="30" t="n"/>
      <c r="I594" s="43" t="n"/>
      <c r="J594" s="41" t="n"/>
      <c r="K594" s="41" t="n"/>
      <c r="L594" s="41" t="n"/>
      <c r="M594" s="31">
        <f>IF(COUNT(J594:L594)=0,"",MEDIAN(J594:L594))</f>
        <v/>
      </c>
      <c r="N594" s="26">
        <f>IF(COUNTIFS($C:$C,$C594,$D:$D,$D594,$E:$E,"P0(전)",$M:$M,"&gt;0")&lt;&gt;1,"P0(전) 유효 1개 아님",IF(COUNTIFS($C:$C,$C594,$D:$D,$D594,$E:$E,"P0(후)",$M:$M,"&gt;0")&lt;&gt;1,"P0(후) 유효 1개 아님",IF(NOT(AND(ISNUMBER(O594),ISNUMBER(Q594),ISNUMBER(I594))),"시각 결측",IF(Q594&lt;=O594,"P0 시각 역전",IF(OR(I594&lt;O594,I594&gt;Q594),"측정시각 구간 밖","OK")))))</f>
        <v/>
      </c>
      <c r="O594" s="48">
        <f>IF(COUNTIFS($C:$C,$C594,$D:$D,$D594,$E:$E,"P0(전)",$M:$M,"&gt;0")&lt;&gt;1,"",SUMIFS($I:$I,$C:$C,$C594,$D:$D,$D594,$E:$E,"P0(전)"))</f>
        <v/>
      </c>
      <c r="P594" s="31">
        <f>IF(COUNTIFS($C:$C,$C594,$D:$D,$D594,$E:$E,"P0(전)",$M:$M,"&gt;0")&lt;&gt;1,"",SUMIFS($M:$M,$C:$C,$C594,$D:$D,$D594,$E:$E,"P0(전)"))</f>
        <v/>
      </c>
      <c r="Q594" s="48">
        <f>IF(COUNTIFS($C:$C,$C594,$D:$D,$D594,$E:$E,"P0(후)",$M:$M,"&gt;0")&lt;&gt;1,"",SUMIFS($I:$I,$C:$C,$C594,$D:$D,$D594,$E:$E,"P0(후)"))</f>
        <v/>
      </c>
      <c r="R594" s="31">
        <f>IF(COUNTIFS($C:$C,$C594,$D:$D,$D594,$E:$E,"P0(후)",$M:$M,"&gt;0")&lt;&gt;1,"",SUMIFS($M:$M,$C:$C,$C594,$D:$D,$D594,$E:$E,"P0(후)"))</f>
        <v/>
      </c>
      <c r="S594" s="31">
        <f>IF(N594&lt;&gt;"OK","",P594+(R594-P594)*(I594-O594)/(Q594-O594))</f>
        <v/>
      </c>
      <c r="T594" s="31">
        <f>IF(OR(N594&lt;&gt;"OK",NOT(ISNUMBER(M594))),"",M594-S594)</f>
        <v/>
      </c>
      <c r="U594" s="49">
        <f>IF(OR(NOT(ISNUMBER(T594)),IF(ISNUMBER(H594),H594,G594)=0),"",T594/IF(ISNUMBER(H594),H594,G594))</f>
        <v/>
      </c>
      <c r="V594" s="49">
        <f>IF(ISNUMBER(U594),ABS(U594),"")</f>
        <v/>
      </c>
      <c r="W594" s="49">
        <f>IF(OR($E593&lt;&gt;"측정",$C593&lt;&gt;$C594,$D593&lt;&gt;$D594,NOT(ISNUMBER(M594)),NOT(ISNUMBER(M593)),(IF(ISNUMBER(H594),H594,G594)-IF(ISNUMBER(H593),H593,G593))=0),"",(M594-M593)/(IF(ISNUMBER(H594),H594,G594)-IF(ISNUMBER(H593),H593,G593)))</f>
        <v/>
      </c>
      <c r="X594" s="31">
        <f>IF(NOT(AND(ISNUMBER(O594),ISNUMBER(Q594))),"",(Q594-O594)*1440)</f>
        <v/>
      </c>
      <c r="Y594" s="29" t="n"/>
      <c r="Z594" s="29" t="n"/>
      <c r="AA594" s="29" t="n"/>
      <c r="AB594" s="32" t="n"/>
      <c r="AC594" s="32" t="n"/>
    </row>
    <row r="595">
      <c r="A595" s="26" t="inlineStr">
        <is>
          <t>S12</t>
        </is>
      </c>
      <c r="B595" s="26" t="inlineStr">
        <is>
          <t>순창 신규점</t>
        </is>
      </c>
      <c r="C595" s="26" t="inlineStr">
        <is>
          <t>S12-H서</t>
        </is>
      </c>
      <c r="D595" s="47" t="n">
        <v>1</v>
      </c>
      <c r="E595" s="26" t="inlineStr">
        <is>
          <t>측정</t>
        </is>
      </c>
      <c r="F595" s="26" t="inlineStr">
        <is>
          <t>서</t>
        </is>
      </c>
      <c r="G595" s="31" t="n">
        <v>3</v>
      </c>
      <c r="H595" s="30" t="n"/>
      <c r="I595" s="43" t="n"/>
      <c r="J595" s="41" t="n"/>
      <c r="K595" s="41" t="n"/>
      <c r="L595" s="41" t="n"/>
      <c r="M595" s="31">
        <f>IF(COUNT(J595:L595)=0,"",MEDIAN(J595:L595))</f>
        <v/>
      </c>
      <c r="N595" s="26">
        <f>IF(COUNTIFS($C:$C,$C595,$D:$D,$D595,$E:$E,"P0(전)",$M:$M,"&gt;0")&lt;&gt;1,"P0(전) 유효 1개 아님",IF(COUNTIFS($C:$C,$C595,$D:$D,$D595,$E:$E,"P0(후)",$M:$M,"&gt;0")&lt;&gt;1,"P0(후) 유효 1개 아님",IF(NOT(AND(ISNUMBER(O595),ISNUMBER(Q595),ISNUMBER(I595))),"시각 결측",IF(Q595&lt;=O595,"P0 시각 역전",IF(OR(I595&lt;O595,I595&gt;Q595),"측정시각 구간 밖","OK")))))</f>
        <v/>
      </c>
      <c r="O595" s="48">
        <f>IF(COUNTIFS($C:$C,$C595,$D:$D,$D595,$E:$E,"P0(전)",$M:$M,"&gt;0")&lt;&gt;1,"",SUMIFS($I:$I,$C:$C,$C595,$D:$D,$D595,$E:$E,"P0(전)"))</f>
        <v/>
      </c>
      <c r="P595" s="31">
        <f>IF(COUNTIFS($C:$C,$C595,$D:$D,$D595,$E:$E,"P0(전)",$M:$M,"&gt;0")&lt;&gt;1,"",SUMIFS($M:$M,$C:$C,$C595,$D:$D,$D595,$E:$E,"P0(전)"))</f>
        <v/>
      </c>
      <c r="Q595" s="48">
        <f>IF(COUNTIFS($C:$C,$C595,$D:$D,$D595,$E:$E,"P0(후)",$M:$M,"&gt;0")&lt;&gt;1,"",SUMIFS($I:$I,$C:$C,$C595,$D:$D,$D595,$E:$E,"P0(후)"))</f>
        <v/>
      </c>
      <c r="R595" s="31">
        <f>IF(COUNTIFS($C:$C,$C595,$D:$D,$D595,$E:$E,"P0(후)",$M:$M,"&gt;0")&lt;&gt;1,"",SUMIFS($M:$M,$C:$C,$C595,$D:$D,$D595,$E:$E,"P0(후)"))</f>
        <v/>
      </c>
      <c r="S595" s="31">
        <f>IF(N595&lt;&gt;"OK","",P595+(R595-P595)*(I595-O595)/(Q595-O595))</f>
        <v/>
      </c>
      <c r="T595" s="31">
        <f>IF(OR(N595&lt;&gt;"OK",NOT(ISNUMBER(M595))),"",M595-S595)</f>
        <v/>
      </c>
      <c r="U595" s="49">
        <f>IF(OR(NOT(ISNUMBER(T595)),IF(ISNUMBER(H595),H595,G595)=0),"",T595/IF(ISNUMBER(H595),H595,G595))</f>
        <v/>
      </c>
      <c r="V595" s="49">
        <f>IF(ISNUMBER(U595),ABS(U595),"")</f>
        <v/>
      </c>
      <c r="W595" s="49">
        <f>IF(OR($E594&lt;&gt;"측정",$C594&lt;&gt;$C595,$D594&lt;&gt;$D595,NOT(ISNUMBER(M595)),NOT(ISNUMBER(M594)),(IF(ISNUMBER(H595),H595,G595)-IF(ISNUMBER(H594),H594,G594))=0),"",(M595-M594)/(IF(ISNUMBER(H595),H595,G595)-IF(ISNUMBER(H594),H594,G594)))</f>
        <v/>
      </c>
      <c r="X595" s="31">
        <f>IF(NOT(AND(ISNUMBER(O595),ISNUMBER(Q595))),"",(Q595-O595)*1440)</f>
        <v/>
      </c>
      <c r="Y595" s="29" t="n"/>
      <c r="Z595" s="29" t="n"/>
      <c r="AA595" s="29" t="n"/>
      <c r="AB595" s="32" t="n"/>
      <c r="AC595" s="32" t="n"/>
    </row>
    <row r="596">
      <c r="A596" s="26" t="inlineStr">
        <is>
          <t>S12</t>
        </is>
      </c>
      <c r="B596" s="26" t="inlineStr">
        <is>
          <t>순창 신규점</t>
        </is>
      </c>
      <c r="C596" s="26" t="inlineStr">
        <is>
          <t>S12-H서</t>
        </is>
      </c>
      <c r="D596" s="47" t="n">
        <v>1</v>
      </c>
      <c r="E596" s="26" t="inlineStr">
        <is>
          <t>측정</t>
        </is>
      </c>
      <c r="F596" s="26" t="inlineStr">
        <is>
          <t>서</t>
        </is>
      </c>
      <c r="G596" s="31" t="n">
        <v>4</v>
      </c>
      <c r="H596" s="30" t="n"/>
      <c r="I596" s="43" t="n"/>
      <c r="J596" s="41" t="n"/>
      <c r="K596" s="41" t="n"/>
      <c r="L596" s="41" t="n"/>
      <c r="M596" s="31">
        <f>IF(COUNT(J596:L596)=0,"",MEDIAN(J596:L596))</f>
        <v/>
      </c>
      <c r="N596" s="26">
        <f>IF(COUNTIFS($C:$C,$C596,$D:$D,$D596,$E:$E,"P0(전)",$M:$M,"&gt;0")&lt;&gt;1,"P0(전) 유효 1개 아님",IF(COUNTIFS($C:$C,$C596,$D:$D,$D596,$E:$E,"P0(후)",$M:$M,"&gt;0")&lt;&gt;1,"P0(후) 유효 1개 아님",IF(NOT(AND(ISNUMBER(O596),ISNUMBER(Q596),ISNUMBER(I596))),"시각 결측",IF(Q596&lt;=O596,"P0 시각 역전",IF(OR(I596&lt;O596,I596&gt;Q596),"측정시각 구간 밖","OK")))))</f>
        <v/>
      </c>
      <c r="O596" s="48">
        <f>IF(COUNTIFS($C:$C,$C596,$D:$D,$D596,$E:$E,"P0(전)",$M:$M,"&gt;0")&lt;&gt;1,"",SUMIFS($I:$I,$C:$C,$C596,$D:$D,$D596,$E:$E,"P0(전)"))</f>
        <v/>
      </c>
      <c r="P596" s="31">
        <f>IF(COUNTIFS($C:$C,$C596,$D:$D,$D596,$E:$E,"P0(전)",$M:$M,"&gt;0")&lt;&gt;1,"",SUMIFS($M:$M,$C:$C,$C596,$D:$D,$D596,$E:$E,"P0(전)"))</f>
        <v/>
      </c>
      <c r="Q596" s="48">
        <f>IF(COUNTIFS($C:$C,$C596,$D:$D,$D596,$E:$E,"P0(후)",$M:$M,"&gt;0")&lt;&gt;1,"",SUMIFS($I:$I,$C:$C,$C596,$D:$D,$D596,$E:$E,"P0(후)"))</f>
        <v/>
      </c>
      <c r="R596" s="31">
        <f>IF(COUNTIFS($C:$C,$C596,$D:$D,$D596,$E:$E,"P0(후)",$M:$M,"&gt;0")&lt;&gt;1,"",SUMIFS($M:$M,$C:$C,$C596,$D:$D,$D596,$E:$E,"P0(후)"))</f>
        <v/>
      </c>
      <c r="S596" s="31">
        <f>IF(N596&lt;&gt;"OK","",P596+(R596-P596)*(I596-O596)/(Q596-O596))</f>
        <v/>
      </c>
      <c r="T596" s="31">
        <f>IF(OR(N596&lt;&gt;"OK",NOT(ISNUMBER(M596))),"",M596-S596)</f>
        <v/>
      </c>
      <c r="U596" s="49">
        <f>IF(OR(NOT(ISNUMBER(T596)),IF(ISNUMBER(H596),H596,G596)=0),"",T596/IF(ISNUMBER(H596),H596,G596))</f>
        <v/>
      </c>
      <c r="V596" s="49">
        <f>IF(ISNUMBER(U596),ABS(U596),"")</f>
        <v/>
      </c>
      <c r="W596" s="49">
        <f>IF(OR($E595&lt;&gt;"측정",$C595&lt;&gt;$C596,$D595&lt;&gt;$D596,NOT(ISNUMBER(M596)),NOT(ISNUMBER(M595)),(IF(ISNUMBER(H596),H596,G596)-IF(ISNUMBER(H595),H595,G595))=0),"",(M596-M595)/(IF(ISNUMBER(H596),H596,G596)-IF(ISNUMBER(H595),H595,G595)))</f>
        <v/>
      </c>
      <c r="X596" s="31">
        <f>IF(NOT(AND(ISNUMBER(O596),ISNUMBER(Q596))),"",(Q596-O596)*1440)</f>
        <v/>
      </c>
      <c r="Y596" s="29" t="n"/>
      <c r="Z596" s="29" t="n"/>
      <c r="AA596" s="29" t="n"/>
      <c r="AB596" s="32" t="n"/>
      <c r="AC596" s="32" t="n"/>
    </row>
    <row r="597">
      <c r="A597" s="26" t="inlineStr">
        <is>
          <t>S12</t>
        </is>
      </c>
      <c r="B597" s="26" t="inlineStr">
        <is>
          <t>순창 신규점</t>
        </is>
      </c>
      <c r="C597" s="26" t="inlineStr">
        <is>
          <t>S12-H서</t>
        </is>
      </c>
      <c r="D597" s="47" t="n">
        <v>1</v>
      </c>
      <c r="E597" s="26" t="inlineStr">
        <is>
          <t>측정</t>
        </is>
      </c>
      <c r="F597" s="26" t="inlineStr">
        <is>
          <t>서</t>
        </is>
      </c>
      <c r="G597" s="31" t="n">
        <v>5</v>
      </c>
      <c r="H597" s="30" t="n"/>
      <c r="I597" s="43" t="n"/>
      <c r="J597" s="41" t="n"/>
      <c r="K597" s="41" t="n"/>
      <c r="L597" s="41" t="n"/>
      <c r="M597" s="31">
        <f>IF(COUNT(J597:L597)=0,"",MEDIAN(J597:L597))</f>
        <v/>
      </c>
      <c r="N597" s="26">
        <f>IF(COUNTIFS($C:$C,$C597,$D:$D,$D597,$E:$E,"P0(전)",$M:$M,"&gt;0")&lt;&gt;1,"P0(전) 유효 1개 아님",IF(COUNTIFS($C:$C,$C597,$D:$D,$D597,$E:$E,"P0(후)",$M:$M,"&gt;0")&lt;&gt;1,"P0(후) 유효 1개 아님",IF(NOT(AND(ISNUMBER(O597),ISNUMBER(Q597),ISNUMBER(I597))),"시각 결측",IF(Q597&lt;=O597,"P0 시각 역전",IF(OR(I597&lt;O597,I597&gt;Q597),"측정시각 구간 밖","OK")))))</f>
        <v/>
      </c>
      <c r="O597" s="48">
        <f>IF(COUNTIFS($C:$C,$C597,$D:$D,$D597,$E:$E,"P0(전)",$M:$M,"&gt;0")&lt;&gt;1,"",SUMIFS($I:$I,$C:$C,$C597,$D:$D,$D597,$E:$E,"P0(전)"))</f>
        <v/>
      </c>
      <c r="P597" s="31">
        <f>IF(COUNTIFS($C:$C,$C597,$D:$D,$D597,$E:$E,"P0(전)",$M:$M,"&gt;0")&lt;&gt;1,"",SUMIFS($M:$M,$C:$C,$C597,$D:$D,$D597,$E:$E,"P0(전)"))</f>
        <v/>
      </c>
      <c r="Q597" s="48">
        <f>IF(COUNTIFS($C:$C,$C597,$D:$D,$D597,$E:$E,"P0(후)",$M:$M,"&gt;0")&lt;&gt;1,"",SUMIFS($I:$I,$C:$C,$C597,$D:$D,$D597,$E:$E,"P0(후)"))</f>
        <v/>
      </c>
      <c r="R597" s="31">
        <f>IF(COUNTIFS($C:$C,$C597,$D:$D,$D597,$E:$E,"P0(후)",$M:$M,"&gt;0")&lt;&gt;1,"",SUMIFS($M:$M,$C:$C,$C597,$D:$D,$D597,$E:$E,"P0(후)"))</f>
        <v/>
      </c>
      <c r="S597" s="31">
        <f>IF(N597&lt;&gt;"OK","",P597+(R597-P597)*(I597-O597)/(Q597-O597))</f>
        <v/>
      </c>
      <c r="T597" s="31">
        <f>IF(OR(N597&lt;&gt;"OK",NOT(ISNUMBER(M597))),"",M597-S597)</f>
        <v/>
      </c>
      <c r="U597" s="49">
        <f>IF(OR(NOT(ISNUMBER(T597)),IF(ISNUMBER(H597),H597,G597)=0),"",T597/IF(ISNUMBER(H597),H597,G597))</f>
        <v/>
      </c>
      <c r="V597" s="49">
        <f>IF(ISNUMBER(U597),ABS(U597),"")</f>
        <v/>
      </c>
      <c r="W597" s="49">
        <f>IF(OR($E596&lt;&gt;"측정",$C596&lt;&gt;$C597,$D596&lt;&gt;$D597,NOT(ISNUMBER(M597)),NOT(ISNUMBER(M596)),(IF(ISNUMBER(H597),H597,G597)-IF(ISNUMBER(H596),H596,G596))=0),"",(M597-M596)/(IF(ISNUMBER(H597),H597,G597)-IF(ISNUMBER(H596),H596,G596)))</f>
        <v/>
      </c>
      <c r="X597" s="31">
        <f>IF(NOT(AND(ISNUMBER(O597),ISNUMBER(Q597))),"",(Q597-O597)*1440)</f>
        <v/>
      </c>
      <c r="Y597" s="29" t="n"/>
      <c r="Z597" s="29" t="n"/>
      <c r="AA597" s="29" t="n"/>
      <c r="AB597" s="32" t="n"/>
      <c r="AC597" s="32" t="n"/>
    </row>
    <row r="598">
      <c r="A598" s="26" t="inlineStr">
        <is>
          <t>S12</t>
        </is>
      </c>
      <c r="B598" s="26" t="inlineStr">
        <is>
          <t>순창 신규점</t>
        </is>
      </c>
      <c r="C598" s="26" t="inlineStr">
        <is>
          <t>S12-H서</t>
        </is>
      </c>
      <c r="D598" s="47" t="n">
        <v>1</v>
      </c>
      <c r="E598" s="26" t="inlineStr">
        <is>
          <t>측정</t>
        </is>
      </c>
      <c r="F598" s="26" t="inlineStr">
        <is>
          <t>서</t>
        </is>
      </c>
      <c r="G598" s="31" t="n">
        <v>6</v>
      </c>
      <c r="H598" s="30" t="n"/>
      <c r="I598" s="43" t="n"/>
      <c r="J598" s="41" t="n"/>
      <c r="K598" s="41" t="n"/>
      <c r="L598" s="41" t="n"/>
      <c r="M598" s="31">
        <f>IF(COUNT(J598:L598)=0,"",MEDIAN(J598:L598))</f>
        <v/>
      </c>
      <c r="N598" s="26">
        <f>IF(COUNTIFS($C:$C,$C598,$D:$D,$D598,$E:$E,"P0(전)",$M:$M,"&gt;0")&lt;&gt;1,"P0(전) 유효 1개 아님",IF(COUNTIFS($C:$C,$C598,$D:$D,$D598,$E:$E,"P0(후)",$M:$M,"&gt;0")&lt;&gt;1,"P0(후) 유효 1개 아님",IF(NOT(AND(ISNUMBER(O598),ISNUMBER(Q598),ISNUMBER(I598))),"시각 결측",IF(Q598&lt;=O598,"P0 시각 역전",IF(OR(I598&lt;O598,I598&gt;Q598),"측정시각 구간 밖","OK")))))</f>
        <v/>
      </c>
      <c r="O598" s="48">
        <f>IF(COUNTIFS($C:$C,$C598,$D:$D,$D598,$E:$E,"P0(전)",$M:$M,"&gt;0")&lt;&gt;1,"",SUMIFS($I:$I,$C:$C,$C598,$D:$D,$D598,$E:$E,"P0(전)"))</f>
        <v/>
      </c>
      <c r="P598" s="31">
        <f>IF(COUNTIFS($C:$C,$C598,$D:$D,$D598,$E:$E,"P0(전)",$M:$M,"&gt;0")&lt;&gt;1,"",SUMIFS($M:$M,$C:$C,$C598,$D:$D,$D598,$E:$E,"P0(전)"))</f>
        <v/>
      </c>
      <c r="Q598" s="48">
        <f>IF(COUNTIFS($C:$C,$C598,$D:$D,$D598,$E:$E,"P0(후)",$M:$M,"&gt;0")&lt;&gt;1,"",SUMIFS($I:$I,$C:$C,$C598,$D:$D,$D598,$E:$E,"P0(후)"))</f>
        <v/>
      </c>
      <c r="R598" s="31">
        <f>IF(COUNTIFS($C:$C,$C598,$D:$D,$D598,$E:$E,"P0(후)",$M:$M,"&gt;0")&lt;&gt;1,"",SUMIFS($M:$M,$C:$C,$C598,$D:$D,$D598,$E:$E,"P0(후)"))</f>
        <v/>
      </c>
      <c r="S598" s="31">
        <f>IF(N598&lt;&gt;"OK","",P598+(R598-P598)*(I598-O598)/(Q598-O598))</f>
        <v/>
      </c>
      <c r="T598" s="31">
        <f>IF(OR(N598&lt;&gt;"OK",NOT(ISNUMBER(M598))),"",M598-S598)</f>
        <v/>
      </c>
      <c r="U598" s="49">
        <f>IF(OR(NOT(ISNUMBER(T598)),IF(ISNUMBER(H598),H598,G598)=0),"",T598/IF(ISNUMBER(H598),H598,G598))</f>
        <v/>
      </c>
      <c r="V598" s="49">
        <f>IF(ISNUMBER(U598),ABS(U598),"")</f>
        <v/>
      </c>
      <c r="W598" s="49">
        <f>IF(OR($E597&lt;&gt;"측정",$C597&lt;&gt;$C598,$D597&lt;&gt;$D598,NOT(ISNUMBER(M598)),NOT(ISNUMBER(M597)),(IF(ISNUMBER(H598),H598,G598)-IF(ISNUMBER(H597),H597,G597))=0),"",(M598-M597)/(IF(ISNUMBER(H598),H598,G598)-IF(ISNUMBER(H597),H597,G597)))</f>
        <v/>
      </c>
      <c r="X598" s="31">
        <f>IF(NOT(AND(ISNUMBER(O598),ISNUMBER(Q598))),"",(Q598-O598)*1440)</f>
        <v/>
      </c>
      <c r="Y598" s="29" t="n"/>
      <c r="Z598" s="29" t="n"/>
      <c r="AA598" s="29" t="n"/>
      <c r="AB598" s="32" t="n"/>
      <c r="AC598" s="32" t="n"/>
    </row>
    <row r="599">
      <c r="A599" s="26" t="inlineStr">
        <is>
          <t>S12</t>
        </is>
      </c>
      <c r="B599" s="26" t="inlineStr">
        <is>
          <t>순창 신규점</t>
        </is>
      </c>
      <c r="C599" s="26" t="inlineStr">
        <is>
          <t>S12-H서</t>
        </is>
      </c>
      <c r="D599" s="47" t="n">
        <v>1</v>
      </c>
      <c r="E599" s="26" t="inlineStr">
        <is>
          <t>측정</t>
        </is>
      </c>
      <c r="F599" s="26" t="inlineStr">
        <is>
          <t>서</t>
        </is>
      </c>
      <c r="G599" s="31" t="n">
        <v>7</v>
      </c>
      <c r="H599" s="30" t="n"/>
      <c r="I599" s="43" t="n"/>
      <c r="J599" s="41" t="n"/>
      <c r="K599" s="41" t="n"/>
      <c r="L599" s="41" t="n"/>
      <c r="M599" s="31">
        <f>IF(COUNT(J599:L599)=0,"",MEDIAN(J599:L599))</f>
        <v/>
      </c>
      <c r="N599" s="26">
        <f>IF(COUNTIFS($C:$C,$C599,$D:$D,$D599,$E:$E,"P0(전)",$M:$M,"&gt;0")&lt;&gt;1,"P0(전) 유효 1개 아님",IF(COUNTIFS($C:$C,$C599,$D:$D,$D599,$E:$E,"P0(후)",$M:$M,"&gt;0")&lt;&gt;1,"P0(후) 유효 1개 아님",IF(NOT(AND(ISNUMBER(O599),ISNUMBER(Q599),ISNUMBER(I599))),"시각 결측",IF(Q599&lt;=O599,"P0 시각 역전",IF(OR(I599&lt;O599,I599&gt;Q599),"측정시각 구간 밖","OK")))))</f>
        <v/>
      </c>
      <c r="O599" s="48">
        <f>IF(COUNTIFS($C:$C,$C599,$D:$D,$D599,$E:$E,"P0(전)",$M:$M,"&gt;0")&lt;&gt;1,"",SUMIFS($I:$I,$C:$C,$C599,$D:$D,$D599,$E:$E,"P0(전)"))</f>
        <v/>
      </c>
      <c r="P599" s="31">
        <f>IF(COUNTIFS($C:$C,$C599,$D:$D,$D599,$E:$E,"P0(전)",$M:$M,"&gt;0")&lt;&gt;1,"",SUMIFS($M:$M,$C:$C,$C599,$D:$D,$D599,$E:$E,"P0(전)"))</f>
        <v/>
      </c>
      <c r="Q599" s="48">
        <f>IF(COUNTIFS($C:$C,$C599,$D:$D,$D599,$E:$E,"P0(후)",$M:$M,"&gt;0")&lt;&gt;1,"",SUMIFS($I:$I,$C:$C,$C599,$D:$D,$D599,$E:$E,"P0(후)"))</f>
        <v/>
      </c>
      <c r="R599" s="31">
        <f>IF(COUNTIFS($C:$C,$C599,$D:$D,$D599,$E:$E,"P0(후)",$M:$M,"&gt;0")&lt;&gt;1,"",SUMIFS($M:$M,$C:$C,$C599,$D:$D,$D599,$E:$E,"P0(후)"))</f>
        <v/>
      </c>
      <c r="S599" s="31">
        <f>IF(N599&lt;&gt;"OK","",P599+(R599-P599)*(I599-O599)/(Q599-O599))</f>
        <v/>
      </c>
      <c r="T599" s="31">
        <f>IF(OR(N599&lt;&gt;"OK",NOT(ISNUMBER(M599))),"",M599-S599)</f>
        <v/>
      </c>
      <c r="U599" s="49">
        <f>IF(OR(NOT(ISNUMBER(T599)),IF(ISNUMBER(H599),H599,G599)=0),"",T599/IF(ISNUMBER(H599),H599,G599))</f>
        <v/>
      </c>
      <c r="V599" s="49">
        <f>IF(ISNUMBER(U599),ABS(U599),"")</f>
        <v/>
      </c>
      <c r="W599" s="49">
        <f>IF(OR($E598&lt;&gt;"측정",$C598&lt;&gt;$C599,$D598&lt;&gt;$D599,NOT(ISNUMBER(M599)),NOT(ISNUMBER(M598)),(IF(ISNUMBER(H599),H599,G599)-IF(ISNUMBER(H598),H598,G598))=0),"",(M599-M598)/(IF(ISNUMBER(H599),H599,G599)-IF(ISNUMBER(H598),H598,G598)))</f>
        <v/>
      </c>
      <c r="X599" s="31">
        <f>IF(NOT(AND(ISNUMBER(O599),ISNUMBER(Q599))),"",(Q599-O599)*1440)</f>
        <v/>
      </c>
      <c r="Y599" s="29" t="n"/>
      <c r="Z599" s="29" t="n"/>
      <c r="AA599" s="29" t="n"/>
      <c r="AB599" s="32" t="n"/>
      <c r="AC599" s="32" t="n"/>
    </row>
    <row r="600">
      <c r="A600" s="26" t="inlineStr">
        <is>
          <t>S12</t>
        </is>
      </c>
      <c r="B600" s="26" t="inlineStr">
        <is>
          <t>순창 신규점</t>
        </is>
      </c>
      <c r="C600" s="26" t="inlineStr">
        <is>
          <t>S12-H서</t>
        </is>
      </c>
      <c r="D600" s="47" t="n">
        <v>1</v>
      </c>
      <c r="E600" s="26" t="inlineStr">
        <is>
          <t>측정</t>
        </is>
      </c>
      <c r="F600" s="26" t="inlineStr">
        <is>
          <t>서</t>
        </is>
      </c>
      <c r="G600" s="31" t="n">
        <v>8</v>
      </c>
      <c r="H600" s="30" t="n"/>
      <c r="I600" s="43" t="n"/>
      <c r="J600" s="41" t="n"/>
      <c r="K600" s="41" t="n"/>
      <c r="L600" s="41" t="n"/>
      <c r="M600" s="31">
        <f>IF(COUNT(J600:L600)=0,"",MEDIAN(J600:L600))</f>
        <v/>
      </c>
      <c r="N600" s="26">
        <f>IF(COUNTIFS($C:$C,$C600,$D:$D,$D600,$E:$E,"P0(전)",$M:$M,"&gt;0")&lt;&gt;1,"P0(전) 유효 1개 아님",IF(COUNTIFS($C:$C,$C600,$D:$D,$D600,$E:$E,"P0(후)",$M:$M,"&gt;0")&lt;&gt;1,"P0(후) 유효 1개 아님",IF(NOT(AND(ISNUMBER(O600),ISNUMBER(Q600),ISNUMBER(I600))),"시각 결측",IF(Q600&lt;=O600,"P0 시각 역전",IF(OR(I600&lt;O600,I600&gt;Q600),"측정시각 구간 밖","OK")))))</f>
        <v/>
      </c>
      <c r="O600" s="48">
        <f>IF(COUNTIFS($C:$C,$C600,$D:$D,$D600,$E:$E,"P0(전)",$M:$M,"&gt;0")&lt;&gt;1,"",SUMIFS($I:$I,$C:$C,$C600,$D:$D,$D600,$E:$E,"P0(전)"))</f>
        <v/>
      </c>
      <c r="P600" s="31">
        <f>IF(COUNTIFS($C:$C,$C600,$D:$D,$D600,$E:$E,"P0(전)",$M:$M,"&gt;0")&lt;&gt;1,"",SUMIFS($M:$M,$C:$C,$C600,$D:$D,$D600,$E:$E,"P0(전)"))</f>
        <v/>
      </c>
      <c r="Q600" s="48">
        <f>IF(COUNTIFS($C:$C,$C600,$D:$D,$D600,$E:$E,"P0(후)",$M:$M,"&gt;0")&lt;&gt;1,"",SUMIFS($I:$I,$C:$C,$C600,$D:$D,$D600,$E:$E,"P0(후)"))</f>
        <v/>
      </c>
      <c r="R600" s="31">
        <f>IF(COUNTIFS($C:$C,$C600,$D:$D,$D600,$E:$E,"P0(후)",$M:$M,"&gt;0")&lt;&gt;1,"",SUMIFS($M:$M,$C:$C,$C600,$D:$D,$D600,$E:$E,"P0(후)"))</f>
        <v/>
      </c>
      <c r="S600" s="31">
        <f>IF(N600&lt;&gt;"OK","",P600+(R600-P600)*(I600-O600)/(Q600-O600))</f>
        <v/>
      </c>
      <c r="T600" s="31">
        <f>IF(OR(N600&lt;&gt;"OK",NOT(ISNUMBER(M600))),"",M600-S600)</f>
        <v/>
      </c>
      <c r="U600" s="49">
        <f>IF(OR(NOT(ISNUMBER(T600)),IF(ISNUMBER(H600),H600,G600)=0),"",T600/IF(ISNUMBER(H600),H600,G600))</f>
        <v/>
      </c>
      <c r="V600" s="49">
        <f>IF(ISNUMBER(U600),ABS(U600),"")</f>
        <v/>
      </c>
      <c r="W600" s="49">
        <f>IF(OR($E599&lt;&gt;"측정",$C599&lt;&gt;$C600,$D599&lt;&gt;$D600,NOT(ISNUMBER(M600)),NOT(ISNUMBER(M599)),(IF(ISNUMBER(H600),H600,G600)-IF(ISNUMBER(H599),H599,G599))=0),"",(M600-M599)/(IF(ISNUMBER(H600),H600,G600)-IF(ISNUMBER(H599),H599,G599)))</f>
        <v/>
      </c>
      <c r="X600" s="31">
        <f>IF(NOT(AND(ISNUMBER(O600),ISNUMBER(Q600))),"",(Q600-O600)*1440)</f>
        <v/>
      </c>
      <c r="Y600" s="29" t="n"/>
      <c r="Z600" s="29" t="n"/>
      <c r="AA600" s="29" t="n"/>
      <c r="AB600" s="32" t="n"/>
      <c r="AC600" s="32" t="n"/>
    </row>
    <row r="601">
      <c r="A601" s="26" t="inlineStr">
        <is>
          <t>S12</t>
        </is>
      </c>
      <c r="B601" s="26" t="inlineStr">
        <is>
          <t>순창 신규점</t>
        </is>
      </c>
      <c r="C601" s="26" t="inlineStr">
        <is>
          <t>S12-H서</t>
        </is>
      </c>
      <c r="D601" s="47" t="n">
        <v>1</v>
      </c>
      <c r="E601" s="26" t="inlineStr">
        <is>
          <t>측정</t>
        </is>
      </c>
      <c r="F601" s="26" t="inlineStr">
        <is>
          <t>서</t>
        </is>
      </c>
      <c r="G601" s="31" t="n">
        <v>9</v>
      </c>
      <c r="H601" s="30" t="n"/>
      <c r="I601" s="43" t="n"/>
      <c r="J601" s="41" t="n"/>
      <c r="K601" s="41" t="n"/>
      <c r="L601" s="41" t="n"/>
      <c r="M601" s="31">
        <f>IF(COUNT(J601:L601)=0,"",MEDIAN(J601:L601))</f>
        <v/>
      </c>
      <c r="N601" s="26">
        <f>IF(COUNTIFS($C:$C,$C601,$D:$D,$D601,$E:$E,"P0(전)",$M:$M,"&gt;0")&lt;&gt;1,"P0(전) 유효 1개 아님",IF(COUNTIFS($C:$C,$C601,$D:$D,$D601,$E:$E,"P0(후)",$M:$M,"&gt;0")&lt;&gt;1,"P0(후) 유효 1개 아님",IF(NOT(AND(ISNUMBER(O601),ISNUMBER(Q601),ISNUMBER(I601))),"시각 결측",IF(Q601&lt;=O601,"P0 시각 역전",IF(OR(I601&lt;O601,I601&gt;Q601),"측정시각 구간 밖","OK")))))</f>
        <v/>
      </c>
      <c r="O601" s="48">
        <f>IF(COUNTIFS($C:$C,$C601,$D:$D,$D601,$E:$E,"P0(전)",$M:$M,"&gt;0")&lt;&gt;1,"",SUMIFS($I:$I,$C:$C,$C601,$D:$D,$D601,$E:$E,"P0(전)"))</f>
        <v/>
      </c>
      <c r="P601" s="31">
        <f>IF(COUNTIFS($C:$C,$C601,$D:$D,$D601,$E:$E,"P0(전)",$M:$M,"&gt;0")&lt;&gt;1,"",SUMIFS($M:$M,$C:$C,$C601,$D:$D,$D601,$E:$E,"P0(전)"))</f>
        <v/>
      </c>
      <c r="Q601" s="48">
        <f>IF(COUNTIFS($C:$C,$C601,$D:$D,$D601,$E:$E,"P0(후)",$M:$M,"&gt;0")&lt;&gt;1,"",SUMIFS($I:$I,$C:$C,$C601,$D:$D,$D601,$E:$E,"P0(후)"))</f>
        <v/>
      </c>
      <c r="R601" s="31">
        <f>IF(COUNTIFS($C:$C,$C601,$D:$D,$D601,$E:$E,"P0(후)",$M:$M,"&gt;0")&lt;&gt;1,"",SUMIFS($M:$M,$C:$C,$C601,$D:$D,$D601,$E:$E,"P0(후)"))</f>
        <v/>
      </c>
      <c r="S601" s="31">
        <f>IF(N601&lt;&gt;"OK","",P601+(R601-P601)*(I601-O601)/(Q601-O601))</f>
        <v/>
      </c>
      <c r="T601" s="31">
        <f>IF(OR(N601&lt;&gt;"OK",NOT(ISNUMBER(M601))),"",M601-S601)</f>
        <v/>
      </c>
      <c r="U601" s="49">
        <f>IF(OR(NOT(ISNUMBER(T601)),IF(ISNUMBER(H601),H601,G601)=0),"",T601/IF(ISNUMBER(H601),H601,G601))</f>
        <v/>
      </c>
      <c r="V601" s="49">
        <f>IF(ISNUMBER(U601),ABS(U601),"")</f>
        <v/>
      </c>
      <c r="W601" s="49">
        <f>IF(OR($E600&lt;&gt;"측정",$C600&lt;&gt;$C601,$D600&lt;&gt;$D601,NOT(ISNUMBER(M601)),NOT(ISNUMBER(M600)),(IF(ISNUMBER(H601),H601,G601)-IF(ISNUMBER(H600),H600,G600))=0),"",(M601-M600)/(IF(ISNUMBER(H601),H601,G601)-IF(ISNUMBER(H600),H600,G600)))</f>
        <v/>
      </c>
      <c r="X601" s="31">
        <f>IF(NOT(AND(ISNUMBER(O601),ISNUMBER(Q601))),"",(Q601-O601)*1440)</f>
        <v/>
      </c>
      <c r="Y601" s="29" t="n"/>
      <c r="Z601" s="29" t="n"/>
      <c r="AA601" s="29" t="n"/>
      <c r="AB601" s="32" t="n"/>
      <c r="AC601" s="32" t="n"/>
    </row>
    <row r="602">
      <c r="A602" s="26" t="inlineStr">
        <is>
          <t>S12</t>
        </is>
      </c>
      <c r="B602" s="26" t="inlineStr">
        <is>
          <t>순창 신규점</t>
        </is>
      </c>
      <c r="C602" s="26" t="inlineStr">
        <is>
          <t>S12-H서</t>
        </is>
      </c>
      <c r="D602" s="47" t="n">
        <v>1</v>
      </c>
      <c r="E602" s="26" t="inlineStr">
        <is>
          <t>측정</t>
        </is>
      </c>
      <c r="F602" s="26" t="inlineStr">
        <is>
          <t>서</t>
        </is>
      </c>
      <c r="G602" s="31" t="n">
        <v>10</v>
      </c>
      <c r="H602" s="30" t="n"/>
      <c r="I602" s="43" t="n"/>
      <c r="J602" s="41" t="n"/>
      <c r="K602" s="41" t="n"/>
      <c r="L602" s="41" t="n"/>
      <c r="M602" s="31">
        <f>IF(COUNT(J602:L602)=0,"",MEDIAN(J602:L602))</f>
        <v/>
      </c>
      <c r="N602" s="26">
        <f>IF(COUNTIFS($C:$C,$C602,$D:$D,$D602,$E:$E,"P0(전)",$M:$M,"&gt;0")&lt;&gt;1,"P0(전) 유효 1개 아님",IF(COUNTIFS($C:$C,$C602,$D:$D,$D602,$E:$E,"P0(후)",$M:$M,"&gt;0")&lt;&gt;1,"P0(후) 유효 1개 아님",IF(NOT(AND(ISNUMBER(O602),ISNUMBER(Q602),ISNUMBER(I602))),"시각 결측",IF(Q602&lt;=O602,"P0 시각 역전",IF(OR(I602&lt;O602,I602&gt;Q602),"측정시각 구간 밖","OK")))))</f>
        <v/>
      </c>
      <c r="O602" s="48">
        <f>IF(COUNTIFS($C:$C,$C602,$D:$D,$D602,$E:$E,"P0(전)",$M:$M,"&gt;0")&lt;&gt;1,"",SUMIFS($I:$I,$C:$C,$C602,$D:$D,$D602,$E:$E,"P0(전)"))</f>
        <v/>
      </c>
      <c r="P602" s="31">
        <f>IF(COUNTIFS($C:$C,$C602,$D:$D,$D602,$E:$E,"P0(전)",$M:$M,"&gt;0")&lt;&gt;1,"",SUMIFS($M:$M,$C:$C,$C602,$D:$D,$D602,$E:$E,"P0(전)"))</f>
        <v/>
      </c>
      <c r="Q602" s="48">
        <f>IF(COUNTIFS($C:$C,$C602,$D:$D,$D602,$E:$E,"P0(후)",$M:$M,"&gt;0")&lt;&gt;1,"",SUMIFS($I:$I,$C:$C,$C602,$D:$D,$D602,$E:$E,"P0(후)"))</f>
        <v/>
      </c>
      <c r="R602" s="31">
        <f>IF(COUNTIFS($C:$C,$C602,$D:$D,$D602,$E:$E,"P0(후)",$M:$M,"&gt;0")&lt;&gt;1,"",SUMIFS($M:$M,$C:$C,$C602,$D:$D,$D602,$E:$E,"P0(후)"))</f>
        <v/>
      </c>
      <c r="S602" s="31">
        <f>IF(N602&lt;&gt;"OK","",P602+(R602-P602)*(I602-O602)/(Q602-O602))</f>
        <v/>
      </c>
      <c r="T602" s="31">
        <f>IF(OR(N602&lt;&gt;"OK",NOT(ISNUMBER(M602))),"",M602-S602)</f>
        <v/>
      </c>
      <c r="U602" s="49">
        <f>IF(OR(NOT(ISNUMBER(T602)),IF(ISNUMBER(H602),H602,G602)=0),"",T602/IF(ISNUMBER(H602),H602,G602))</f>
        <v/>
      </c>
      <c r="V602" s="49">
        <f>IF(ISNUMBER(U602),ABS(U602),"")</f>
        <v/>
      </c>
      <c r="W602" s="49">
        <f>IF(OR($E601&lt;&gt;"측정",$C601&lt;&gt;$C602,$D601&lt;&gt;$D602,NOT(ISNUMBER(M602)),NOT(ISNUMBER(M601)),(IF(ISNUMBER(H602),H602,G602)-IF(ISNUMBER(H601),H601,G601))=0),"",(M602-M601)/(IF(ISNUMBER(H602),H602,G602)-IF(ISNUMBER(H601),H601,G601)))</f>
        <v/>
      </c>
      <c r="X602" s="31">
        <f>IF(NOT(AND(ISNUMBER(O602),ISNUMBER(Q602))),"",(Q602-O602)*1440)</f>
        <v/>
      </c>
      <c r="Y602" s="29" t="n"/>
      <c r="Z602" s="29" t="n"/>
      <c r="AA602" s="29" t="n"/>
      <c r="AB602" s="32" t="n"/>
      <c r="AC602" s="32" t="n"/>
    </row>
    <row r="603">
      <c r="A603" s="44" t="inlineStr">
        <is>
          <t>S12</t>
        </is>
      </c>
      <c r="B603" s="44" t="inlineStr">
        <is>
          <t>순창 신규점</t>
        </is>
      </c>
      <c r="C603" s="44" t="inlineStr">
        <is>
          <t>S12-H서</t>
        </is>
      </c>
      <c r="D603" s="45" t="n">
        <v>1</v>
      </c>
      <c r="E603" s="44" t="inlineStr">
        <is>
          <t>P0(후)</t>
        </is>
      </c>
      <c r="F603" s="44" t="inlineStr">
        <is>
          <t>서</t>
        </is>
      </c>
      <c r="G603" s="46" t="n"/>
      <c r="H603" s="30" t="n"/>
      <c r="I603" s="43" t="n"/>
      <c r="J603" s="41" t="n"/>
      <c r="K603" s="41" t="n"/>
      <c r="L603" s="41" t="n"/>
      <c r="M603" s="31">
        <f>IF(COUNT(J603:L603)=0,"",MEDIAN(J603:L603))</f>
        <v/>
      </c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38" t="n"/>
      <c r="Y603" s="29" t="n"/>
      <c r="Z603" s="29" t="n"/>
      <c r="AA603" s="29" t="n"/>
      <c r="AB603" s="32" t="n"/>
      <c r="AC603" s="32" t="n"/>
    </row>
    <row r="604">
      <c r="A604" s="44" t="inlineStr">
        <is>
          <t>S12</t>
        </is>
      </c>
      <c r="B604" s="44" t="inlineStr">
        <is>
          <t>순창 신규점</t>
        </is>
      </c>
      <c r="C604" s="44" t="inlineStr">
        <is>
          <t>S12-H남</t>
        </is>
      </c>
      <c r="D604" s="45" t="n">
        <v>1</v>
      </c>
      <c r="E604" s="44" t="inlineStr">
        <is>
          <t>P0(전)</t>
        </is>
      </c>
      <c r="F604" s="44" t="inlineStr">
        <is>
          <t>남</t>
        </is>
      </c>
      <c r="G604" s="46" t="n"/>
      <c r="H604" s="30" t="n"/>
      <c r="I604" s="43" t="n"/>
      <c r="J604" s="41" t="n"/>
      <c r="K604" s="41" t="n"/>
      <c r="L604" s="41" t="n"/>
      <c r="M604" s="31">
        <f>IF(COUNT(J604:L604)=0,"",MEDIAN(J604:L604))</f>
        <v/>
      </c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  <c r="X604" s="38" t="n"/>
      <c r="Y604" s="29" t="n"/>
      <c r="Z604" s="29" t="n"/>
      <c r="AA604" s="29" t="n"/>
      <c r="AB604" s="32" t="n"/>
      <c r="AC604" s="32" t="n"/>
    </row>
    <row r="605">
      <c r="A605" s="26" t="inlineStr">
        <is>
          <t>S12</t>
        </is>
      </c>
      <c r="B605" s="26" t="inlineStr">
        <is>
          <t>순창 신규점</t>
        </is>
      </c>
      <c r="C605" s="26" t="inlineStr">
        <is>
          <t>S12-H남</t>
        </is>
      </c>
      <c r="D605" s="47" t="n">
        <v>1</v>
      </c>
      <c r="E605" s="26" t="inlineStr">
        <is>
          <t>측정</t>
        </is>
      </c>
      <c r="F605" s="26" t="inlineStr">
        <is>
          <t>남</t>
        </is>
      </c>
      <c r="G605" s="31" t="n">
        <v>0.5</v>
      </c>
      <c r="H605" s="30" t="n"/>
      <c r="I605" s="43" t="n"/>
      <c r="J605" s="41" t="n"/>
      <c r="K605" s="41" t="n"/>
      <c r="L605" s="41" t="n"/>
      <c r="M605" s="31">
        <f>IF(COUNT(J605:L605)=0,"",MEDIAN(J605:L605))</f>
        <v/>
      </c>
      <c r="N605" s="26">
        <f>IF(COUNTIFS($C:$C,$C605,$D:$D,$D605,$E:$E,"P0(전)",$M:$M,"&gt;0")&lt;&gt;1,"P0(전) 유효 1개 아님",IF(COUNTIFS($C:$C,$C605,$D:$D,$D605,$E:$E,"P0(후)",$M:$M,"&gt;0")&lt;&gt;1,"P0(후) 유효 1개 아님",IF(NOT(AND(ISNUMBER(O605),ISNUMBER(Q605),ISNUMBER(I605))),"시각 결측",IF(Q605&lt;=O605,"P0 시각 역전",IF(OR(I605&lt;O605,I605&gt;Q605),"측정시각 구간 밖","OK")))))</f>
        <v/>
      </c>
      <c r="O605" s="48">
        <f>IF(COUNTIFS($C:$C,$C605,$D:$D,$D605,$E:$E,"P0(전)",$M:$M,"&gt;0")&lt;&gt;1,"",SUMIFS($I:$I,$C:$C,$C605,$D:$D,$D605,$E:$E,"P0(전)"))</f>
        <v/>
      </c>
      <c r="P605" s="31">
        <f>IF(COUNTIFS($C:$C,$C605,$D:$D,$D605,$E:$E,"P0(전)",$M:$M,"&gt;0")&lt;&gt;1,"",SUMIFS($M:$M,$C:$C,$C605,$D:$D,$D605,$E:$E,"P0(전)"))</f>
        <v/>
      </c>
      <c r="Q605" s="48">
        <f>IF(COUNTIFS($C:$C,$C605,$D:$D,$D605,$E:$E,"P0(후)",$M:$M,"&gt;0")&lt;&gt;1,"",SUMIFS($I:$I,$C:$C,$C605,$D:$D,$D605,$E:$E,"P0(후)"))</f>
        <v/>
      </c>
      <c r="R605" s="31">
        <f>IF(COUNTIFS($C:$C,$C605,$D:$D,$D605,$E:$E,"P0(후)",$M:$M,"&gt;0")&lt;&gt;1,"",SUMIFS($M:$M,$C:$C,$C605,$D:$D,$D605,$E:$E,"P0(후)"))</f>
        <v/>
      </c>
      <c r="S605" s="31">
        <f>IF(N605&lt;&gt;"OK","",P605+(R605-P605)*(I605-O605)/(Q605-O605))</f>
        <v/>
      </c>
      <c r="T605" s="31">
        <f>IF(OR(N605&lt;&gt;"OK",NOT(ISNUMBER(M605))),"",M605-S605)</f>
        <v/>
      </c>
      <c r="U605" s="49">
        <f>IF(OR(NOT(ISNUMBER(T605)),IF(ISNUMBER(H605),H605,G605)=0),"",T605/IF(ISNUMBER(H605),H605,G605))</f>
        <v/>
      </c>
      <c r="V605" s="49">
        <f>IF(ISNUMBER(U605),ABS(U605),"")</f>
        <v/>
      </c>
      <c r="W605" s="49">
        <f>IF(OR($E604&lt;&gt;"측정",$C604&lt;&gt;$C605,$D604&lt;&gt;$D605,NOT(ISNUMBER(M605)),NOT(ISNUMBER(M604)),(IF(ISNUMBER(H605),H605,G605)-IF(ISNUMBER(H604),H604,G604))=0),"",(M605-M604)/(IF(ISNUMBER(H605),H605,G605)-IF(ISNUMBER(H604),H604,G604)))</f>
        <v/>
      </c>
      <c r="X605" s="31">
        <f>IF(NOT(AND(ISNUMBER(O605),ISNUMBER(Q605))),"",(Q605-O605)*1440)</f>
        <v/>
      </c>
      <c r="Y605" s="29" t="n"/>
      <c r="Z605" s="29" t="n"/>
      <c r="AA605" s="29" t="n"/>
      <c r="AB605" s="32" t="n"/>
      <c r="AC605" s="32" t="n"/>
    </row>
    <row r="606">
      <c r="A606" s="26" t="inlineStr">
        <is>
          <t>S12</t>
        </is>
      </c>
      <c r="B606" s="26" t="inlineStr">
        <is>
          <t>순창 신규점</t>
        </is>
      </c>
      <c r="C606" s="26" t="inlineStr">
        <is>
          <t>S12-H남</t>
        </is>
      </c>
      <c r="D606" s="47" t="n">
        <v>1</v>
      </c>
      <c r="E606" s="26" t="inlineStr">
        <is>
          <t>측정</t>
        </is>
      </c>
      <c r="F606" s="26" t="inlineStr">
        <is>
          <t>남</t>
        </is>
      </c>
      <c r="G606" s="31" t="n">
        <v>1</v>
      </c>
      <c r="H606" s="30" t="n"/>
      <c r="I606" s="43" t="n"/>
      <c r="J606" s="41" t="n"/>
      <c r="K606" s="41" t="n"/>
      <c r="L606" s="41" t="n"/>
      <c r="M606" s="31">
        <f>IF(COUNT(J606:L606)=0,"",MEDIAN(J606:L606))</f>
        <v/>
      </c>
      <c r="N606" s="26">
        <f>IF(COUNTIFS($C:$C,$C606,$D:$D,$D606,$E:$E,"P0(전)",$M:$M,"&gt;0")&lt;&gt;1,"P0(전) 유효 1개 아님",IF(COUNTIFS($C:$C,$C606,$D:$D,$D606,$E:$E,"P0(후)",$M:$M,"&gt;0")&lt;&gt;1,"P0(후) 유효 1개 아님",IF(NOT(AND(ISNUMBER(O606),ISNUMBER(Q606),ISNUMBER(I606))),"시각 결측",IF(Q606&lt;=O606,"P0 시각 역전",IF(OR(I606&lt;O606,I606&gt;Q606),"측정시각 구간 밖","OK")))))</f>
        <v/>
      </c>
      <c r="O606" s="48">
        <f>IF(COUNTIFS($C:$C,$C606,$D:$D,$D606,$E:$E,"P0(전)",$M:$M,"&gt;0")&lt;&gt;1,"",SUMIFS($I:$I,$C:$C,$C606,$D:$D,$D606,$E:$E,"P0(전)"))</f>
        <v/>
      </c>
      <c r="P606" s="31">
        <f>IF(COUNTIFS($C:$C,$C606,$D:$D,$D606,$E:$E,"P0(전)",$M:$M,"&gt;0")&lt;&gt;1,"",SUMIFS($M:$M,$C:$C,$C606,$D:$D,$D606,$E:$E,"P0(전)"))</f>
        <v/>
      </c>
      <c r="Q606" s="48">
        <f>IF(COUNTIFS($C:$C,$C606,$D:$D,$D606,$E:$E,"P0(후)",$M:$M,"&gt;0")&lt;&gt;1,"",SUMIFS($I:$I,$C:$C,$C606,$D:$D,$D606,$E:$E,"P0(후)"))</f>
        <v/>
      </c>
      <c r="R606" s="31">
        <f>IF(COUNTIFS($C:$C,$C606,$D:$D,$D606,$E:$E,"P0(후)",$M:$M,"&gt;0")&lt;&gt;1,"",SUMIFS($M:$M,$C:$C,$C606,$D:$D,$D606,$E:$E,"P0(후)"))</f>
        <v/>
      </c>
      <c r="S606" s="31">
        <f>IF(N606&lt;&gt;"OK","",P606+(R606-P606)*(I606-O606)/(Q606-O606))</f>
        <v/>
      </c>
      <c r="T606" s="31">
        <f>IF(OR(N606&lt;&gt;"OK",NOT(ISNUMBER(M606))),"",M606-S606)</f>
        <v/>
      </c>
      <c r="U606" s="49">
        <f>IF(OR(NOT(ISNUMBER(T606)),IF(ISNUMBER(H606),H606,G606)=0),"",T606/IF(ISNUMBER(H606),H606,G606))</f>
        <v/>
      </c>
      <c r="V606" s="49">
        <f>IF(ISNUMBER(U606),ABS(U606),"")</f>
        <v/>
      </c>
      <c r="W606" s="49">
        <f>IF(OR($E605&lt;&gt;"측정",$C605&lt;&gt;$C606,$D605&lt;&gt;$D606,NOT(ISNUMBER(M606)),NOT(ISNUMBER(M605)),(IF(ISNUMBER(H606),H606,G606)-IF(ISNUMBER(H605),H605,G605))=0),"",(M606-M605)/(IF(ISNUMBER(H606),H606,G606)-IF(ISNUMBER(H605),H605,G605)))</f>
        <v/>
      </c>
      <c r="X606" s="31">
        <f>IF(NOT(AND(ISNUMBER(O606),ISNUMBER(Q606))),"",(Q606-O606)*1440)</f>
        <v/>
      </c>
      <c r="Y606" s="29" t="n"/>
      <c r="Z606" s="29" t="n"/>
      <c r="AA606" s="29" t="n"/>
      <c r="AB606" s="32" t="n"/>
      <c r="AC606" s="32" t="n"/>
    </row>
    <row r="607">
      <c r="A607" s="26" t="inlineStr">
        <is>
          <t>S12</t>
        </is>
      </c>
      <c r="B607" s="26" t="inlineStr">
        <is>
          <t>순창 신규점</t>
        </is>
      </c>
      <c r="C607" s="26" t="inlineStr">
        <is>
          <t>S12-H남</t>
        </is>
      </c>
      <c r="D607" s="47" t="n">
        <v>1</v>
      </c>
      <c r="E607" s="26" t="inlineStr">
        <is>
          <t>측정</t>
        </is>
      </c>
      <c r="F607" s="26" t="inlineStr">
        <is>
          <t>남</t>
        </is>
      </c>
      <c r="G607" s="31" t="n">
        <v>2</v>
      </c>
      <c r="H607" s="30" t="n"/>
      <c r="I607" s="43" t="n"/>
      <c r="J607" s="41" t="n"/>
      <c r="K607" s="41" t="n"/>
      <c r="L607" s="41" t="n"/>
      <c r="M607" s="31">
        <f>IF(COUNT(J607:L607)=0,"",MEDIAN(J607:L607))</f>
        <v/>
      </c>
      <c r="N607" s="26">
        <f>IF(COUNTIFS($C:$C,$C607,$D:$D,$D607,$E:$E,"P0(전)",$M:$M,"&gt;0")&lt;&gt;1,"P0(전) 유효 1개 아님",IF(COUNTIFS($C:$C,$C607,$D:$D,$D607,$E:$E,"P0(후)",$M:$M,"&gt;0")&lt;&gt;1,"P0(후) 유효 1개 아님",IF(NOT(AND(ISNUMBER(O607),ISNUMBER(Q607),ISNUMBER(I607))),"시각 결측",IF(Q607&lt;=O607,"P0 시각 역전",IF(OR(I607&lt;O607,I607&gt;Q607),"측정시각 구간 밖","OK")))))</f>
        <v/>
      </c>
      <c r="O607" s="48">
        <f>IF(COUNTIFS($C:$C,$C607,$D:$D,$D607,$E:$E,"P0(전)",$M:$M,"&gt;0")&lt;&gt;1,"",SUMIFS($I:$I,$C:$C,$C607,$D:$D,$D607,$E:$E,"P0(전)"))</f>
        <v/>
      </c>
      <c r="P607" s="31">
        <f>IF(COUNTIFS($C:$C,$C607,$D:$D,$D607,$E:$E,"P0(전)",$M:$M,"&gt;0")&lt;&gt;1,"",SUMIFS($M:$M,$C:$C,$C607,$D:$D,$D607,$E:$E,"P0(전)"))</f>
        <v/>
      </c>
      <c r="Q607" s="48">
        <f>IF(COUNTIFS($C:$C,$C607,$D:$D,$D607,$E:$E,"P0(후)",$M:$M,"&gt;0")&lt;&gt;1,"",SUMIFS($I:$I,$C:$C,$C607,$D:$D,$D607,$E:$E,"P0(후)"))</f>
        <v/>
      </c>
      <c r="R607" s="31">
        <f>IF(COUNTIFS($C:$C,$C607,$D:$D,$D607,$E:$E,"P0(후)",$M:$M,"&gt;0")&lt;&gt;1,"",SUMIFS($M:$M,$C:$C,$C607,$D:$D,$D607,$E:$E,"P0(후)"))</f>
        <v/>
      </c>
      <c r="S607" s="31">
        <f>IF(N607&lt;&gt;"OK","",P607+(R607-P607)*(I607-O607)/(Q607-O607))</f>
        <v/>
      </c>
      <c r="T607" s="31">
        <f>IF(OR(N607&lt;&gt;"OK",NOT(ISNUMBER(M607))),"",M607-S607)</f>
        <v/>
      </c>
      <c r="U607" s="49">
        <f>IF(OR(NOT(ISNUMBER(T607)),IF(ISNUMBER(H607),H607,G607)=0),"",T607/IF(ISNUMBER(H607),H607,G607))</f>
        <v/>
      </c>
      <c r="V607" s="49">
        <f>IF(ISNUMBER(U607),ABS(U607),"")</f>
        <v/>
      </c>
      <c r="W607" s="49">
        <f>IF(OR($E606&lt;&gt;"측정",$C606&lt;&gt;$C607,$D606&lt;&gt;$D607,NOT(ISNUMBER(M607)),NOT(ISNUMBER(M606)),(IF(ISNUMBER(H607),H607,G607)-IF(ISNUMBER(H606),H606,G606))=0),"",(M607-M606)/(IF(ISNUMBER(H607),H607,G607)-IF(ISNUMBER(H606),H606,G606)))</f>
        <v/>
      </c>
      <c r="X607" s="31">
        <f>IF(NOT(AND(ISNUMBER(O607),ISNUMBER(Q607))),"",(Q607-O607)*1440)</f>
        <v/>
      </c>
      <c r="Y607" s="29" t="n"/>
      <c r="Z607" s="29" t="n"/>
      <c r="AA607" s="29" t="n"/>
      <c r="AB607" s="32" t="n"/>
      <c r="AC607" s="32" t="n"/>
    </row>
    <row r="608">
      <c r="A608" s="26" t="inlineStr">
        <is>
          <t>S12</t>
        </is>
      </c>
      <c r="B608" s="26" t="inlineStr">
        <is>
          <t>순창 신규점</t>
        </is>
      </c>
      <c r="C608" s="26" t="inlineStr">
        <is>
          <t>S12-H남</t>
        </is>
      </c>
      <c r="D608" s="47" t="n">
        <v>1</v>
      </c>
      <c r="E608" s="26" t="inlineStr">
        <is>
          <t>측정</t>
        </is>
      </c>
      <c r="F608" s="26" t="inlineStr">
        <is>
          <t>남</t>
        </is>
      </c>
      <c r="G608" s="31" t="n">
        <v>3</v>
      </c>
      <c r="H608" s="30" t="n"/>
      <c r="I608" s="43" t="n"/>
      <c r="J608" s="41" t="n"/>
      <c r="K608" s="41" t="n"/>
      <c r="L608" s="41" t="n"/>
      <c r="M608" s="31">
        <f>IF(COUNT(J608:L608)=0,"",MEDIAN(J608:L608))</f>
        <v/>
      </c>
      <c r="N608" s="26">
        <f>IF(COUNTIFS($C:$C,$C608,$D:$D,$D608,$E:$E,"P0(전)",$M:$M,"&gt;0")&lt;&gt;1,"P0(전) 유효 1개 아님",IF(COUNTIFS($C:$C,$C608,$D:$D,$D608,$E:$E,"P0(후)",$M:$M,"&gt;0")&lt;&gt;1,"P0(후) 유효 1개 아님",IF(NOT(AND(ISNUMBER(O608),ISNUMBER(Q608),ISNUMBER(I608))),"시각 결측",IF(Q608&lt;=O608,"P0 시각 역전",IF(OR(I608&lt;O608,I608&gt;Q608),"측정시각 구간 밖","OK")))))</f>
        <v/>
      </c>
      <c r="O608" s="48">
        <f>IF(COUNTIFS($C:$C,$C608,$D:$D,$D608,$E:$E,"P0(전)",$M:$M,"&gt;0")&lt;&gt;1,"",SUMIFS($I:$I,$C:$C,$C608,$D:$D,$D608,$E:$E,"P0(전)"))</f>
        <v/>
      </c>
      <c r="P608" s="31">
        <f>IF(COUNTIFS($C:$C,$C608,$D:$D,$D608,$E:$E,"P0(전)",$M:$M,"&gt;0")&lt;&gt;1,"",SUMIFS($M:$M,$C:$C,$C608,$D:$D,$D608,$E:$E,"P0(전)"))</f>
        <v/>
      </c>
      <c r="Q608" s="48">
        <f>IF(COUNTIFS($C:$C,$C608,$D:$D,$D608,$E:$E,"P0(후)",$M:$M,"&gt;0")&lt;&gt;1,"",SUMIFS($I:$I,$C:$C,$C608,$D:$D,$D608,$E:$E,"P0(후)"))</f>
        <v/>
      </c>
      <c r="R608" s="31">
        <f>IF(COUNTIFS($C:$C,$C608,$D:$D,$D608,$E:$E,"P0(후)",$M:$M,"&gt;0")&lt;&gt;1,"",SUMIFS($M:$M,$C:$C,$C608,$D:$D,$D608,$E:$E,"P0(후)"))</f>
        <v/>
      </c>
      <c r="S608" s="31">
        <f>IF(N608&lt;&gt;"OK","",P608+(R608-P608)*(I608-O608)/(Q608-O608))</f>
        <v/>
      </c>
      <c r="T608" s="31">
        <f>IF(OR(N608&lt;&gt;"OK",NOT(ISNUMBER(M608))),"",M608-S608)</f>
        <v/>
      </c>
      <c r="U608" s="49">
        <f>IF(OR(NOT(ISNUMBER(T608)),IF(ISNUMBER(H608),H608,G608)=0),"",T608/IF(ISNUMBER(H608),H608,G608))</f>
        <v/>
      </c>
      <c r="V608" s="49">
        <f>IF(ISNUMBER(U608),ABS(U608),"")</f>
        <v/>
      </c>
      <c r="W608" s="49">
        <f>IF(OR($E607&lt;&gt;"측정",$C607&lt;&gt;$C608,$D607&lt;&gt;$D608,NOT(ISNUMBER(M608)),NOT(ISNUMBER(M607)),(IF(ISNUMBER(H608),H608,G608)-IF(ISNUMBER(H607),H607,G607))=0),"",(M608-M607)/(IF(ISNUMBER(H608),H608,G608)-IF(ISNUMBER(H607),H607,G607)))</f>
        <v/>
      </c>
      <c r="X608" s="31">
        <f>IF(NOT(AND(ISNUMBER(O608),ISNUMBER(Q608))),"",(Q608-O608)*1440)</f>
        <v/>
      </c>
      <c r="Y608" s="29" t="n"/>
      <c r="Z608" s="29" t="n"/>
      <c r="AA608" s="29" t="n"/>
      <c r="AB608" s="32" t="n"/>
      <c r="AC608" s="32" t="n"/>
    </row>
    <row r="609">
      <c r="A609" s="26" t="inlineStr">
        <is>
          <t>S12</t>
        </is>
      </c>
      <c r="B609" s="26" t="inlineStr">
        <is>
          <t>순창 신규점</t>
        </is>
      </c>
      <c r="C609" s="26" t="inlineStr">
        <is>
          <t>S12-H남</t>
        </is>
      </c>
      <c r="D609" s="47" t="n">
        <v>1</v>
      </c>
      <c r="E609" s="26" t="inlineStr">
        <is>
          <t>측정</t>
        </is>
      </c>
      <c r="F609" s="26" t="inlineStr">
        <is>
          <t>남</t>
        </is>
      </c>
      <c r="G609" s="31" t="n">
        <v>4</v>
      </c>
      <c r="H609" s="30" t="n"/>
      <c r="I609" s="43" t="n"/>
      <c r="J609" s="41" t="n"/>
      <c r="K609" s="41" t="n"/>
      <c r="L609" s="41" t="n"/>
      <c r="M609" s="31">
        <f>IF(COUNT(J609:L609)=0,"",MEDIAN(J609:L609))</f>
        <v/>
      </c>
      <c r="N609" s="26">
        <f>IF(COUNTIFS($C:$C,$C609,$D:$D,$D609,$E:$E,"P0(전)",$M:$M,"&gt;0")&lt;&gt;1,"P0(전) 유효 1개 아님",IF(COUNTIFS($C:$C,$C609,$D:$D,$D609,$E:$E,"P0(후)",$M:$M,"&gt;0")&lt;&gt;1,"P0(후) 유효 1개 아님",IF(NOT(AND(ISNUMBER(O609),ISNUMBER(Q609),ISNUMBER(I609))),"시각 결측",IF(Q609&lt;=O609,"P0 시각 역전",IF(OR(I609&lt;O609,I609&gt;Q609),"측정시각 구간 밖","OK")))))</f>
        <v/>
      </c>
      <c r="O609" s="48">
        <f>IF(COUNTIFS($C:$C,$C609,$D:$D,$D609,$E:$E,"P0(전)",$M:$M,"&gt;0")&lt;&gt;1,"",SUMIFS($I:$I,$C:$C,$C609,$D:$D,$D609,$E:$E,"P0(전)"))</f>
        <v/>
      </c>
      <c r="P609" s="31">
        <f>IF(COUNTIFS($C:$C,$C609,$D:$D,$D609,$E:$E,"P0(전)",$M:$M,"&gt;0")&lt;&gt;1,"",SUMIFS($M:$M,$C:$C,$C609,$D:$D,$D609,$E:$E,"P0(전)"))</f>
        <v/>
      </c>
      <c r="Q609" s="48">
        <f>IF(COUNTIFS($C:$C,$C609,$D:$D,$D609,$E:$E,"P0(후)",$M:$M,"&gt;0")&lt;&gt;1,"",SUMIFS($I:$I,$C:$C,$C609,$D:$D,$D609,$E:$E,"P0(후)"))</f>
        <v/>
      </c>
      <c r="R609" s="31">
        <f>IF(COUNTIFS($C:$C,$C609,$D:$D,$D609,$E:$E,"P0(후)",$M:$M,"&gt;0")&lt;&gt;1,"",SUMIFS($M:$M,$C:$C,$C609,$D:$D,$D609,$E:$E,"P0(후)"))</f>
        <v/>
      </c>
      <c r="S609" s="31">
        <f>IF(N609&lt;&gt;"OK","",P609+(R609-P609)*(I609-O609)/(Q609-O609))</f>
        <v/>
      </c>
      <c r="T609" s="31">
        <f>IF(OR(N609&lt;&gt;"OK",NOT(ISNUMBER(M609))),"",M609-S609)</f>
        <v/>
      </c>
      <c r="U609" s="49">
        <f>IF(OR(NOT(ISNUMBER(T609)),IF(ISNUMBER(H609),H609,G609)=0),"",T609/IF(ISNUMBER(H609),H609,G609))</f>
        <v/>
      </c>
      <c r="V609" s="49">
        <f>IF(ISNUMBER(U609),ABS(U609),"")</f>
        <v/>
      </c>
      <c r="W609" s="49">
        <f>IF(OR($E608&lt;&gt;"측정",$C608&lt;&gt;$C609,$D608&lt;&gt;$D609,NOT(ISNUMBER(M609)),NOT(ISNUMBER(M608)),(IF(ISNUMBER(H609),H609,G609)-IF(ISNUMBER(H608),H608,G608))=0),"",(M609-M608)/(IF(ISNUMBER(H609),H609,G609)-IF(ISNUMBER(H608),H608,G608)))</f>
        <v/>
      </c>
      <c r="X609" s="31">
        <f>IF(NOT(AND(ISNUMBER(O609),ISNUMBER(Q609))),"",(Q609-O609)*1440)</f>
        <v/>
      </c>
      <c r="Y609" s="29" t="n"/>
      <c r="Z609" s="29" t="n"/>
      <c r="AA609" s="29" t="n"/>
      <c r="AB609" s="32" t="n"/>
      <c r="AC609" s="32" t="n"/>
    </row>
    <row r="610">
      <c r="A610" s="26" t="inlineStr">
        <is>
          <t>S12</t>
        </is>
      </c>
      <c r="B610" s="26" t="inlineStr">
        <is>
          <t>순창 신규점</t>
        </is>
      </c>
      <c r="C610" s="26" t="inlineStr">
        <is>
          <t>S12-H남</t>
        </is>
      </c>
      <c r="D610" s="47" t="n">
        <v>1</v>
      </c>
      <c r="E610" s="26" t="inlineStr">
        <is>
          <t>측정</t>
        </is>
      </c>
      <c r="F610" s="26" t="inlineStr">
        <is>
          <t>남</t>
        </is>
      </c>
      <c r="G610" s="31" t="n">
        <v>5</v>
      </c>
      <c r="H610" s="30" t="n"/>
      <c r="I610" s="43" t="n"/>
      <c r="J610" s="41" t="n"/>
      <c r="K610" s="41" t="n"/>
      <c r="L610" s="41" t="n"/>
      <c r="M610" s="31">
        <f>IF(COUNT(J610:L610)=0,"",MEDIAN(J610:L610))</f>
        <v/>
      </c>
      <c r="N610" s="26">
        <f>IF(COUNTIFS($C:$C,$C610,$D:$D,$D610,$E:$E,"P0(전)",$M:$M,"&gt;0")&lt;&gt;1,"P0(전) 유효 1개 아님",IF(COUNTIFS($C:$C,$C610,$D:$D,$D610,$E:$E,"P0(후)",$M:$M,"&gt;0")&lt;&gt;1,"P0(후) 유효 1개 아님",IF(NOT(AND(ISNUMBER(O610),ISNUMBER(Q610),ISNUMBER(I610))),"시각 결측",IF(Q610&lt;=O610,"P0 시각 역전",IF(OR(I610&lt;O610,I610&gt;Q610),"측정시각 구간 밖","OK")))))</f>
        <v/>
      </c>
      <c r="O610" s="48">
        <f>IF(COUNTIFS($C:$C,$C610,$D:$D,$D610,$E:$E,"P0(전)",$M:$M,"&gt;0")&lt;&gt;1,"",SUMIFS($I:$I,$C:$C,$C610,$D:$D,$D610,$E:$E,"P0(전)"))</f>
        <v/>
      </c>
      <c r="P610" s="31">
        <f>IF(COUNTIFS($C:$C,$C610,$D:$D,$D610,$E:$E,"P0(전)",$M:$M,"&gt;0")&lt;&gt;1,"",SUMIFS($M:$M,$C:$C,$C610,$D:$D,$D610,$E:$E,"P0(전)"))</f>
        <v/>
      </c>
      <c r="Q610" s="48">
        <f>IF(COUNTIFS($C:$C,$C610,$D:$D,$D610,$E:$E,"P0(후)",$M:$M,"&gt;0")&lt;&gt;1,"",SUMIFS($I:$I,$C:$C,$C610,$D:$D,$D610,$E:$E,"P0(후)"))</f>
        <v/>
      </c>
      <c r="R610" s="31">
        <f>IF(COUNTIFS($C:$C,$C610,$D:$D,$D610,$E:$E,"P0(후)",$M:$M,"&gt;0")&lt;&gt;1,"",SUMIFS($M:$M,$C:$C,$C610,$D:$D,$D610,$E:$E,"P0(후)"))</f>
        <v/>
      </c>
      <c r="S610" s="31">
        <f>IF(N610&lt;&gt;"OK","",P610+(R610-P610)*(I610-O610)/(Q610-O610))</f>
        <v/>
      </c>
      <c r="T610" s="31">
        <f>IF(OR(N610&lt;&gt;"OK",NOT(ISNUMBER(M610))),"",M610-S610)</f>
        <v/>
      </c>
      <c r="U610" s="49">
        <f>IF(OR(NOT(ISNUMBER(T610)),IF(ISNUMBER(H610),H610,G610)=0),"",T610/IF(ISNUMBER(H610),H610,G610))</f>
        <v/>
      </c>
      <c r="V610" s="49">
        <f>IF(ISNUMBER(U610),ABS(U610),"")</f>
        <v/>
      </c>
      <c r="W610" s="49">
        <f>IF(OR($E609&lt;&gt;"측정",$C609&lt;&gt;$C610,$D609&lt;&gt;$D610,NOT(ISNUMBER(M610)),NOT(ISNUMBER(M609)),(IF(ISNUMBER(H610),H610,G610)-IF(ISNUMBER(H609),H609,G609))=0),"",(M610-M609)/(IF(ISNUMBER(H610),H610,G610)-IF(ISNUMBER(H609),H609,G609)))</f>
        <v/>
      </c>
      <c r="X610" s="31">
        <f>IF(NOT(AND(ISNUMBER(O610),ISNUMBER(Q610))),"",(Q610-O610)*1440)</f>
        <v/>
      </c>
      <c r="Y610" s="29" t="n"/>
      <c r="Z610" s="29" t="n"/>
      <c r="AA610" s="29" t="n"/>
      <c r="AB610" s="32" t="n"/>
      <c r="AC610" s="32" t="n"/>
    </row>
    <row r="611">
      <c r="A611" s="26" t="inlineStr">
        <is>
          <t>S12</t>
        </is>
      </c>
      <c r="B611" s="26" t="inlineStr">
        <is>
          <t>순창 신규점</t>
        </is>
      </c>
      <c r="C611" s="26" t="inlineStr">
        <is>
          <t>S12-H남</t>
        </is>
      </c>
      <c r="D611" s="47" t="n">
        <v>1</v>
      </c>
      <c r="E611" s="26" t="inlineStr">
        <is>
          <t>측정</t>
        </is>
      </c>
      <c r="F611" s="26" t="inlineStr">
        <is>
          <t>남</t>
        </is>
      </c>
      <c r="G611" s="31" t="n">
        <v>6</v>
      </c>
      <c r="H611" s="30" t="n"/>
      <c r="I611" s="43" t="n"/>
      <c r="J611" s="41" t="n"/>
      <c r="K611" s="41" t="n"/>
      <c r="L611" s="41" t="n"/>
      <c r="M611" s="31">
        <f>IF(COUNT(J611:L611)=0,"",MEDIAN(J611:L611))</f>
        <v/>
      </c>
      <c r="N611" s="26">
        <f>IF(COUNTIFS($C:$C,$C611,$D:$D,$D611,$E:$E,"P0(전)",$M:$M,"&gt;0")&lt;&gt;1,"P0(전) 유효 1개 아님",IF(COUNTIFS($C:$C,$C611,$D:$D,$D611,$E:$E,"P0(후)",$M:$M,"&gt;0")&lt;&gt;1,"P0(후) 유효 1개 아님",IF(NOT(AND(ISNUMBER(O611),ISNUMBER(Q611),ISNUMBER(I611))),"시각 결측",IF(Q611&lt;=O611,"P0 시각 역전",IF(OR(I611&lt;O611,I611&gt;Q611),"측정시각 구간 밖","OK")))))</f>
        <v/>
      </c>
      <c r="O611" s="48">
        <f>IF(COUNTIFS($C:$C,$C611,$D:$D,$D611,$E:$E,"P0(전)",$M:$M,"&gt;0")&lt;&gt;1,"",SUMIFS($I:$I,$C:$C,$C611,$D:$D,$D611,$E:$E,"P0(전)"))</f>
        <v/>
      </c>
      <c r="P611" s="31">
        <f>IF(COUNTIFS($C:$C,$C611,$D:$D,$D611,$E:$E,"P0(전)",$M:$M,"&gt;0")&lt;&gt;1,"",SUMIFS($M:$M,$C:$C,$C611,$D:$D,$D611,$E:$E,"P0(전)"))</f>
        <v/>
      </c>
      <c r="Q611" s="48">
        <f>IF(COUNTIFS($C:$C,$C611,$D:$D,$D611,$E:$E,"P0(후)",$M:$M,"&gt;0")&lt;&gt;1,"",SUMIFS($I:$I,$C:$C,$C611,$D:$D,$D611,$E:$E,"P0(후)"))</f>
        <v/>
      </c>
      <c r="R611" s="31">
        <f>IF(COUNTIFS($C:$C,$C611,$D:$D,$D611,$E:$E,"P0(후)",$M:$M,"&gt;0")&lt;&gt;1,"",SUMIFS($M:$M,$C:$C,$C611,$D:$D,$D611,$E:$E,"P0(후)"))</f>
        <v/>
      </c>
      <c r="S611" s="31">
        <f>IF(N611&lt;&gt;"OK","",P611+(R611-P611)*(I611-O611)/(Q611-O611))</f>
        <v/>
      </c>
      <c r="T611" s="31">
        <f>IF(OR(N611&lt;&gt;"OK",NOT(ISNUMBER(M611))),"",M611-S611)</f>
        <v/>
      </c>
      <c r="U611" s="49">
        <f>IF(OR(NOT(ISNUMBER(T611)),IF(ISNUMBER(H611),H611,G611)=0),"",T611/IF(ISNUMBER(H611),H611,G611))</f>
        <v/>
      </c>
      <c r="V611" s="49">
        <f>IF(ISNUMBER(U611),ABS(U611),"")</f>
        <v/>
      </c>
      <c r="W611" s="49">
        <f>IF(OR($E610&lt;&gt;"측정",$C610&lt;&gt;$C611,$D610&lt;&gt;$D611,NOT(ISNUMBER(M611)),NOT(ISNUMBER(M610)),(IF(ISNUMBER(H611),H611,G611)-IF(ISNUMBER(H610),H610,G610))=0),"",(M611-M610)/(IF(ISNUMBER(H611),H611,G611)-IF(ISNUMBER(H610),H610,G610)))</f>
        <v/>
      </c>
      <c r="X611" s="31">
        <f>IF(NOT(AND(ISNUMBER(O611),ISNUMBER(Q611))),"",(Q611-O611)*1440)</f>
        <v/>
      </c>
      <c r="Y611" s="29" t="n"/>
      <c r="Z611" s="29" t="n"/>
      <c r="AA611" s="29" t="n"/>
      <c r="AB611" s="32" t="n"/>
      <c r="AC611" s="32" t="n"/>
    </row>
    <row r="612">
      <c r="A612" s="26" t="inlineStr">
        <is>
          <t>S12</t>
        </is>
      </c>
      <c r="B612" s="26" t="inlineStr">
        <is>
          <t>순창 신규점</t>
        </is>
      </c>
      <c r="C612" s="26" t="inlineStr">
        <is>
          <t>S12-H남</t>
        </is>
      </c>
      <c r="D612" s="47" t="n">
        <v>1</v>
      </c>
      <c r="E612" s="26" t="inlineStr">
        <is>
          <t>측정</t>
        </is>
      </c>
      <c r="F612" s="26" t="inlineStr">
        <is>
          <t>남</t>
        </is>
      </c>
      <c r="G612" s="31" t="n">
        <v>7</v>
      </c>
      <c r="H612" s="30" t="n"/>
      <c r="I612" s="43" t="n"/>
      <c r="J612" s="41" t="n"/>
      <c r="K612" s="41" t="n"/>
      <c r="L612" s="41" t="n"/>
      <c r="M612" s="31">
        <f>IF(COUNT(J612:L612)=0,"",MEDIAN(J612:L612))</f>
        <v/>
      </c>
      <c r="N612" s="26">
        <f>IF(COUNTIFS($C:$C,$C612,$D:$D,$D612,$E:$E,"P0(전)",$M:$M,"&gt;0")&lt;&gt;1,"P0(전) 유효 1개 아님",IF(COUNTIFS($C:$C,$C612,$D:$D,$D612,$E:$E,"P0(후)",$M:$M,"&gt;0")&lt;&gt;1,"P0(후) 유효 1개 아님",IF(NOT(AND(ISNUMBER(O612),ISNUMBER(Q612),ISNUMBER(I612))),"시각 결측",IF(Q612&lt;=O612,"P0 시각 역전",IF(OR(I612&lt;O612,I612&gt;Q612),"측정시각 구간 밖","OK")))))</f>
        <v/>
      </c>
      <c r="O612" s="48">
        <f>IF(COUNTIFS($C:$C,$C612,$D:$D,$D612,$E:$E,"P0(전)",$M:$M,"&gt;0")&lt;&gt;1,"",SUMIFS($I:$I,$C:$C,$C612,$D:$D,$D612,$E:$E,"P0(전)"))</f>
        <v/>
      </c>
      <c r="P612" s="31">
        <f>IF(COUNTIFS($C:$C,$C612,$D:$D,$D612,$E:$E,"P0(전)",$M:$M,"&gt;0")&lt;&gt;1,"",SUMIFS($M:$M,$C:$C,$C612,$D:$D,$D612,$E:$E,"P0(전)"))</f>
        <v/>
      </c>
      <c r="Q612" s="48">
        <f>IF(COUNTIFS($C:$C,$C612,$D:$D,$D612,$E:$E,"P0(후)",$M:$M,"&gt;0")&lt;&gt;1,"",SUMIFS($I:$I,$C:$C,$C612,$D:$D,$D612,$E:$E,"P0(후)"))</f>
        <v/>
      </c>
      <c r="R612" s="31">
        <f>IF(COUNTIFS($C:$C,$C612,$D:$D,$D612,$E:$E,"P0(후)",$M:$M,"&gt;0")&lt;&gt;1,"",SUMIFS($M:$M,$C:$C,$C612,$D:$D,$D612,$E:$E,"P0(후)"))</f>
        <v/>
      </c>
      <c r="S612" s="31">
        <f>IF(N612&lt;&gt;"OK","",P612+(R612-P612)*(I612-O612)/(Q612-O612))</f>
        <v/>
      </c>
      <c r="T612" s="31">
        <f>IF(OR(N612&lt;&gt;"OK",NOT(ISNUMBER(M612))),"",M612-S612)</f>
        <v/>
      </c>
      <c r="U612" s="49">
        <f>IF(OR(NOT(ISNUMBER(T612)),IF(ISNUMBER(H612),H612,G612)=0),"",T612/IF(ISNUMBER(H612),H612,G612))</f>
        <v/>
      </c>
      <c r="V612" s="49">
        <f>IF(ISNUMBER(U612),ABS(U612),"")</f>
        <v/>
      </c>
      <c r="W612" s="49">
        <f>IF(OR($E611&lt;&gt;"측정",$C611&lt;&gt;$C612,$D611&lt;&gt;$D612,NOT(ISNUMBER(M612)),NOT(ISNUMBER(M611)),(IF(ISNUMBER(H612),H612,G612)-IF(ISNUMBER(H611),H611,G611))=0),"",(M612-M611)/(IF(ISNUMBER(H612),H612,G612)-IF(ISNUMBER(H611),H611,G611)))</f>
        <v/>
      </c>
      <c r="X612" s="31">
        <f>IF(NOT(AND(ISNUMBER(O612),ISNUMBER(Q612))),"",(Q612-O612)*1440)</f>
        <v/>
      </c>
      <c r="Y612" s="29" t="n"/>
      <c r="Z612" s="29" t="n"/>
      <c r="AA612" s="29" t="n"/>
      <c r="AB612" s="32" t="n"/>
      <c r="AC612" s="32" t="n"/>
    </row>
    <row r="613">
      <c r="A613" s="26" t="inlineStr">
        <is>
          <t>S12</t>
        </is>
      </c>
      <c r="B613" s="26" t="inlineStr">
        <is>
          <t>순창 신규점</t>
        </is>
      </c>
      <c r="C613" s="26" t="inlineStr">
        <is>
          <t>S12-H남</t>
        </is>
      </c>
      <c r="D613" s="47" t="n">
        <v>1</v>
      </c>
      <c r="E613" s="26" t="inlineStr">
        <is>
          <t>측정</t>
        </is>
      </c>
      <c r="F613" s="26" t="inlineStr">
        <is>
          <t>남</t>
        </is>
      </c>
      <c r="G613" s="31" t="n">
        <v>8</v>
      </c>
      <c r="H613" s="30" t="n"/>
      <c r="I613" s="43" t="n"/>
      <c r="J613" s="41" t="n"/>
      <c r="K613" s="41" t="n"/>
      <c r="L613" s="41" t="n"/>
      <c r="M613" s="31">
        <f>IF(COUNT(J613:L613)=0,"",MEDIAN(J613:L613))</f>
        <v/>
      </c>
      <c r="N613" s="26">
        <f>IF(COUNTIFS($C:$C,$C613,$D:$D,$D613,$E:$E,"P0(전)",$M:$M,"&gt;0")&lt;&gt;1,"P0(전) 유효 1개 아님",IF(COUNTIFS($C:$C,$C613,$D:$D,$D613,$E:$E,"P0(후)",$M:$M,"&gt;0")&lt;&gt;1,"P0(후) 유효 1개 아님",IF(NOT(AND(ISNUMBER(O613),ISNUMBER(Q613),ISNUMBER(I613))),"시각 결측",IF(Q613&lt;=O613,"P0 시각 역전",IF(OR(I613&lt;O613,I613&gt;Q613),"측정시각 구간 밖","OK")))))</f>
        <v/>
      </c>
      <c r="O613" s="48">
        <f>IF(COUNTIFS($C:$C,$C613,$D:$D,$D613,$E:$E,"P0(전)",$M:$M,"&gt;0")&lt;&gt;1,"",SUMIFS($I:$I,$C:$C,$C613,$D:$D,$D613,$E:$E,"P0(전)"))</f>
        <v/>
      </c>
      <c r="P613" s="31">
        <f>IF(COUNTIFS($C:$C,$C613,$D:$D,$D613,$E:$E,"P0(전)",$M:$M,"&gt;0")&lt;&gt;1,"",SUMIFS($M:$M,$C:$C,$C613,$D:$D,$D613,$E:$E,"P0(전)"))</f>
        <v/>
      </c>
      <c r="Q613" s="48">
        <f>IF(COUNTIFS($C:$C,$C613,$D:$D,$D613,$E:$E,"P0(후)",$M:$M,"&gt;0")&lt;&gt;1,"",SUMIFS($I:$I,$C:$C,$C613,$D:$D,$D613,$E:$E,"P0(후)"))</f>
        <v/>
      </c>
      <c r="R613" s="31">
        <f>IF(COUNTIFS($C:$C,$C613,$D:$D,$D613,$E:$E,"P0(후)",$M:$M,"&gt;0")&lt;&gt;1,"",SUMIFS($M:$M,$C:$C,$C613,$D:$D,$D613,$E:$E,"P0(후)"))</f>
        <v/>
      </c>
      <c r="S613" s="31">
        <f>IF(N613&lt;&gt;"OK","",P613+(R613-P613)*(I613-O613)/(Q613-O613))</f>
        <v/>
      </c>
      <c r="T613" s="31">
        <f>IF(OR(N613&lt;&gt;"OK",NOT(ISNUMBER(M613))),"",M613-S613)</f>
        <v/>
      </c>
      <c r="U613" s="49">
        <f>IF(OR(NOT(ISNUMBER(T613)),IF(ISNUMBER(H613),H613,G613)=0),"",T613/IF(ISNUMBER(H613),H613,G613))</f>
        <v/>
      </c>
      <c r="V613" s="49">
        <f>IF(ISNUMBER(U613),ABS(U613),"")</f>
        <v/>
      </c>
      <c r="W613" s="49">
        <f>IF(OR($E612&lt;&gt;"측정",$C612&lt;&gt;$C613,$D612&lt;&gt;$D613,NOT(ISNUMBER(M613)),NOT(ISNUMBER(M612)),(IF(ISNUMBER(H613),H613,G613)-IF(ISNUMBER(H612),H612,G612))=0),"",(M613-M612)/(IF(ISNUMBER(H613),H613,G613)-IF(ISNUMBER(H612),H612,G612)))</f>
        <v/>
      </c>
      <c r="X613" s="31">
        <f>IF(NOT(AND(ISNUMBER(O613),ISNUMBER(Q613))),"",(Q613-O613)*1440)</f>
        <v/>
      </c>
      <c r="Y613" s="29" t="n"/>
      <c r="Z613" s="29" t="n"/>
      <c r="AA613" s="29" t="n"/>
      <c r="AB613" s="32" t="n"/>
      <c r="AC613" s="32" t="n"/>
    </row>
    <row r="614">
      <c r="A614" s="26" t="inlineStr">
        <is>
          <t>S12</t>
        </is>
      </c>
      <c r="B614" s="26" t="inlineStr">
        <is>
          <t>순창 신규점</t>
        </is>
      </c>
      <c r="C614" s="26" t="inlineStr">
        <is>
          <t>S12-H남</t>
        </is>
      </c>
      <c r="D614" s="47" t="n">
        <v>1</v>
      </c>
      <c r="E614" s="26" t="inlineStr">
        <is>
          <t>측정</t>
        </is>
      </c>
      <c r="F614" s="26" t="inlineStr">
        <is>
          <t>남</t>
        </is>
      </c>
      <c r="G614" s="31" t="n">
        <v>9</v>
      </c>
      <c r="H614" s="30" t="n"/>
      <c r="I614" s="43" t="n"/>
      <c r="J614" s="41" t="n"/>
      <c r="K614" s="41" t="n"/>
      <c r="L614" s="41" t="n"/>
      <c r="M614" s="31">
        <f>IF(COUNT(J614:L614)=0,"",MEDIAN(J614:L614))</f>
        <v/>
      </c>
      <c r="N614" s="26">
        <f>IF(COUNTIFS($C:$C,$C614,$D:$D,$D614,$E:$E,"P0(전)",$M:$M,"&gt;0")&lt;&gt;1,"P0(전) 유효 1개 아님",IF(COUNTIFS($C:$C,$C614,$D:$D,$D614,$E:$E,"P0(후)",$M:$M,"&gt;0")&lt;&gt;1,"P0(후) 유효 1개 아님",IF(NOT(AND(ISNUMBER(O614),ISNUMBER(Q614),ISNUMBER(I614))),"시각 결측",IF(Q614&lt;=O614,"P0 시각 역전",IF(OR(I614&lt;O614,I614&gt;Q614),"측정시각 구간 밖","OK")))))</f>
        <v/>
      </c>
      <c r="O614" s="48">
        <f>IF(COUNTIFS($C:$C,$C614,$D:$D,$D614,$E:$E,"P0(전)",$M:$M,"&gt;0")&lt;&gt;1,"",SUMIFS($I:$I,$C:$C,$C614,$D:$D,$D614,$E:$E,"P0(전)"))</f>
        <v/>
      </c>
      <c r="P614" s="31">
        <f>IF(COUNTIFS($C:$C,$C614,$D:$D,$D614,$E:$E,"P0(전)",$M:$M,"&gt;0")&lt;&gt;1,"",SUMIFS($M:$M,$C:$C,$C614,$D:$D,$D614,$E:$E,"P0(전)"))</f>
        <v/>
      </c>
      <c r="Q614" s="48">
        <f>IF(COUNTIFS($C:$C,$C614,$D:$D,$D614,$E:$E,"P0(후)",$M:$M,"&gt;0")&lt;&gt;1,"",SUMIFS($I:$I,$C:$C,$C614,$D:$D,$D614,$E:$E,"P0(후)"))</f>
        <v/>
      </c>
      <c r="R614" s="31">
        <f>IF(COUNTIFS($C:$C,$C614,$D:$D,$D614,$E:$E,"P0(후)",$M:$M,"&gt;0")&lt;&gt;1,"",SUMIFS($M:$M,$C:$C,$C614,$D:$D,$D614,$E:$E,"P0(후)"))</f>
        <v/>
      </c>
      <c r="S614" s="31">
        <f>IF(N614&lt;&gt;"OK","",P614+(R614-P614)*(I614-O614)/(Q614-O614))</f>
        <v/>
      </c>
      <c r="T614" s="31">
        <f>IF(OR(N614&lt;&gt;"OK",NOT(ISNUMBER(M614))),"",M614-S614)</f>
        <v/>
      </c>
      <c r="U614" s="49">
        <f>IF(OR(NOT(ISNUMBER(T614)),IF(ISNUMBER(H614),H614,G614)=0),"",T614/IF(ISNUMBER(H614),H614,G614))</f>
        <v/>
      </c>
      <c r="V614" s="49">
        <f>IF(ISNUMBER(U614),ABS(U614),"")</f>
        <v/>
      </c>
      <c r="W614" s="49">
        <f>IF(OR($E613&lt;&gt;"측정",$C613&lt;&gt;$C614,$D613&lt;&gt;$D614,NOT(ISNUMBER(M614)),NOT(ISNUMBER(M613)),(IF(ISNUMBER(H614),H614,G614)-IF(ISNUMBER(H613),H613,G613))=0),"",(M614-M613)/(IF(ISNUMBER(H614),H614,G614)-IF(ISNUMBER(H613),H613,G613)))</f>
        <v/>
      </c>
      <c r="X614" s="31">
        <f>IF(NOT(AND(ISNUMBER(O614),ISNUMBER(Q614))),"",(Q614-O614)*1440)</f>
        <v/>
      </c>
      <c r="Y614" s="29" t="n"/>
      <c r="Z614" s="29" t="n"/>
      <c r="AA614" s="29" t="n"/>
      <c r="AB614" s="32" t="n"/>
      <c r="AC614" s="32" t="n"/>
    </row>
    <row r="615">
      <c r="A615" s="26" t="inlineStr">
        <is>
          <t>S12</t>
        </is>
      </c>
      <c r="B615" s="26" t="inlineStr">
        <is>
          <t>순창 신규점</t>
        </is>
      </c>
      <c r="C615" s="26" t="inlineStr">
        <is>
          <t>S12-H남</t>
        </is>
      </c>
      <c r="D615" s="47" t="n">
        <v>1</v>
      </c>
      <c r="E615" s="26" t="inlineStr">
        <is>
          <t>측정</t>
        </is>
      </c>
      <c r="F615" s="26" t="inlineStr">
        <is>
          <t>남</t>
        </is>
      </c>
      <c r="G615" s="31" t="n">
        <v>10</v>
      </c>
      <c r="H615" s="30" t="n"/>
      <c r="I615" s="43" t="n"/>
      <c r="J615" s="41" t="n"/>
      <c r="K615" s="41" t="n"/>
      <c r="L615" s="41" t="n"/>
      <c r="M615" s="31">
        <f>IF(COUNT(J615:L615)=0,"",MEDIAN(J615:L615))</f>
        <v/>
      </c>
      <c r="N615" s="26">
        <f>IF(COUNTIFS($C:$C,$C615,$D:$D,$D615,$E:$E,"P0(전)",$M:$M,"&gt;0")&lt;&gt;1,"P0(전) 유효 1개 아님",IF(COUNTIFS($C:$C,$C615,$D:$D,$D615,$E:$E,"P0(후)",$M:$M,"&gt;0")&lt;&gt;1,"P0(후) 유효 1개 아님",IF(NOT(AND(ISNUMBER(O615),ISNUMBER(Q615),ISNUMBER(I615))),"시각 결측",IF(Q615&lt;=O615,"P0 시각 역전",IF(OR(I615&lt;O615,I615&gt;Q615),"측정시각 구간 밖","OK")))))</f>
        <v/>
      </c>
      <c r="O615" s="48">
        <f>IF(COUNTIFS($C:$C,$C615,$D:$D,$D615,$E:$E,"P0(전)",$M:$M,"&gt;0")&lt;&gt;1,"",SUMIFS($I:$I,$C:$C,$C615,$D:$D,$D615,$E:$E,"P0(전)"))</f>
        <v/>
      </c>
      <c r="P615" s="31">
        <f>IF(COUNTIFS($C:$C,$C615,$D:$D,$D615,$E:$E,"P0(전)",$M:$M,"&gt;0")&lt;&gt;1,"",SUMIFS($M:$M,$C:$C,$C615,$D:$D,$D615,$E:$E,"P0(전)"))</f>
        <v/>
      </c>
      <c r="Q615" s="48">
        <f>IF(COUNTIFS($C:$C,$C615,$D:$D,$D615,$E:$E,"P0(후)",$M:$M,"&gt;0")&lt;&gt;1,"",SUMIFS($I:$I,$C:$C,$C615,$D:$D,$D615,$E:$E,"P0(후)"))</f>
        <v/>
      </c>
      <c r="R615" s="31">
        <f>IF(COUNTIFS($C:$C,$C615,$D:$D,$D615,$E:$E,"P0(후)",$M:$M,"&gt;0")&lt;&gt;1,"",SUMIFS($M:$M,$C:$C,$C615,$D:$D,$D615,$E:$E,"P0(후)"))</f>
        <v/>
      </c>
      <c r="S615" s="31">
        <f>IF(N615&lt;&gt;"OK","",P615+(R615-P615)*(I615-O615)/(Q615-O615))</f>
        <v/>
      </c>
      <c r="T615" s="31">
        <f>IF(OR(N615&lt;&gt;"OK",NOT(ISNUMBER(M615))),"",M615-S615)</f>
        <v/>
      </c>
      <c r="U615" s="49">
        <f>IF(OR(NOT(ISNUMBER(T615)),IF(ISNUMBER(H615),H615,G615)=0),"",T615/IF(ISNUMBER(H615),H615,G615))</f>
        <v/>
      </c>
      <c r="V615" s="49">
        <f>IF(ISNUMBER(U615),ABS(U615),"")</f>
        <v/>
      </c>
      <c r="W615" s="49">
        <f>IF(OR($E614&lt;&gt;"측정",$C614&lt;&gt;$C615,$D614&lt;&gt;$D615,NOT(ISNUMBER(M615)),NOT(ISNUMBER(M614)),(IF(ISNUMBER(H615),H615,G615)-IF(ISNUMBER(H614),H614,G614))=0),"",(M615-M614)/(IF(ISNUMBER(H615),H615,G615)-IF(ISNUMBER(H614),H614,G614)))</f>
        <v/>
      </c>
      <c r="X615" s="31">
        <f>IF(NOT(AND(ISNUMBER(O615),ISNUMBER(Q615))),"",(Q615-O615)*1440)</f>
        <v/>
      </c>
      <c r="Y615" s="29" t="n"/>
      <c r="Z615" s="29" t="n"/>
      <c r="AA615" s="29" t="n"/>
      <c r="AB615" s="32" t="n"/>
      <c r="AC615" s="32" t="n"/>
    </row>
    <row r="616">
      <c r="A616" s="44" t="inlineStr">
        <is>
          <t>S12</t>
        </is>
      </c>
      <c r="B616" s="44" t="inlineStr">
        <is>
          <t>순창 신규점</t>
        </is>
      </c>
      <c r="C616" s="44" t="inlineStr">
        <is>
          <t>S12-H남</t>
        </is>
      </c>
      <c r="D616" s="45" t="n">
        <v>1</v>
      </c>
      <c r="E616" s="44" t="inlineStr">
        <is>
          <t>P0(후)</t>
        </is>
      </c>
      <c r="F616" s="44" t="inlineStr">
        <is>
          <t>남</t>
        </is>
      </c>
      <c r="G616" s="46" t="n"/>
      <c r="H616" s="30" t="n"/>
      <c r="I616" s="43" t="n"/>
      <c r="J616" s="41" t="n"/>
      <c r="K616" s="41" t="n"/>
      <c r="L616" s="41" t="n"/>
      <c r="M616" s="31">
        <f>IF(COUNT(J616:L616)=0,"",MEDIAN(J616:L616))</f>
        <v/>
      </c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38" t="n"/>
      <c r="Y616" s="29" t="n"/>
      <c r="Z616" s="29" t="n"/>
      <c r="AA616" s="29" t="n"/>
      <c r="AB616" s="32" t="n"/>
      <c r="AC616" s="32" t="n"/>
    </row>
    <row r="617">
      <c r="A617" s="44" t="inlineStr">
        <is>
          <t>S12</t>
        </is>
      </c>
      <c r="B617" s="44" t="inlineStr">
        <is>
          <t>순창 신규점</t>
        </is>
      </c>
      <c r="C617" s="44" t="inlineStr">
        <is>
          <t>S12-H북</t>
        </is>
      </c>
      <c r="D617" s="45" t="n">
        <v>1</v>
      </c>
      <c r="E617" s="44" t="inlineStr">
        <is>
          <t>P0(전)</t>
        </is>
      </c>
      <c r="F617" s="44" t="inlineStr">
        <is>
          <t>북</t>
        </is>
      </c>
      <c r="G617" s="46" t="n"/>
      <c r="H617" s="30" t="n"/>
      <c r="I617" s="43" t="n"/>
      <c r="J617" s="41" t="n"/>
      <c r="K617" s="41" t="n"/>
      <c r="L617" s="41" t="n"/>
      <c r="M617" s="31">
        <f>IF(COUNT(J617:L617)=0,"",MEDIAN(J617:L617))</f>
        <v/>
      </c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  <c r="X617" s="38" t="n"/>
      <c r="Y617" s="29" t="n"/>
      <c r="Z617" s="29" t="n"/>
      <c r="AA617" s="29" t="n"/>
      <c r="AB617" s="32" t="n"/>
      <c r="AC617" s="32" t="n"/>
    </row>
    <row r="618">
      <c r="A618" s="26" t="inlineStr">
        <is>
          <t>S12</t>
        </is>
      </c>
      <c r="B618" s="26" t="inlineStr">
        <is>
          <t>순창 신규점</t>
        </is>
      </c>
      <c r="C618" s="26" t="inlineStr">
        <is>
          <t>S12-H북</t>
        </is>
      </c>
      <c r="D618" s="47" t="n">
        <v>1</v>
      </c>
      <c r="E618" s="26" t="inlineStr">
        <is>
          <t>측정</t>
        </is>
      </c>
      <c r="F618" s="26" t="inlineStr">
        <is>
          <t>북</t>
        </is>
      </c>
      <c r="G618" s="31" t="n">
        <v>0.5</v>
      </c>
      <c r="H618" s="30" t="n"/>
      <c r="I618" s="43" t="n"/>
      <c r="J618" s="41" t="n"/>
      <c r="K618" s="41" t="n"/>
      <c r="L618" s="41" t="n"/>
      <c r="M618" s="31">
        <f>IF(COUNT(J618:L618)=0,"",MEDIAN(J618:L618))</f>
        <v/>
      </c>
      <c r="N618" s="26">
        <f>IF(COUNTIFS($C:$C,$C618,$D:$D,$D618,$E:$E,"P0(전)",$M:$M,"&gt;0")&lt;&gt;1,"P0(전) 유효 1개 아님",IF(COUNTIFS($C:$C,$C618,$D:$D,$D618,$E:$E,"P0(후)",$M:$M,"&gt;0")&lt;&gt;1,"P0(후) 유효 1개 아님",IF(NOT(AND(ISNUMBER(O618),ISNUMBER(Q618),ISNUMBER(I618))),"시각 결측",IF(Q618&lt;=O618,"P0 시각 역전",IF(OR(I618&lt;O618,I618&gt;Q618),"측정시각 구간 밖","OK")))))</f>
        <v/>
      </c>
      <c r="O618" s="48">
        <f>IF(COUNTIFS($C:$C,$C618,$D:$D,$D618,$E:$E,"P0(전)",$M:$M,"&gt;0")&lt;&gt;1,"",SUMIFS($I:$I,$C:$C,$C618,$D:$D,$D618,$E:$E,"P0(전)"))</f>
        <v/>
      </c>
      <c r="P618" s="31">
        <f>IF(COUNTIFS($C:$C,$C618,$D:$D,$D618,$E:$E,"P0(전)",$M:$M,"&gt;0")&lt;&gt;1,"",SUMIFS($M:$M,$C:$C,$C618,$D:$D,$D618,$E:$E,"P0(전)"))</f>
        <v/>
      </c>
      <c r="Q618" s="48">
        <f>IF(COUNTIFS($C:$C,$C618,$D:$D,$D618,$E:$E,"P0(후)",$M:$M,"&gt;0")&lt;&gt;1,"",SUMIFS($I:$I,$C:$C,$C618,$D:$D,$D618,$E:$E,"P0(후)"))</f>
        <v/>
      </c>
      <c r="R618" s="31">
        <f>IF(COUNTIFS($C:$C,$C618,$D:$D,$D618,$E:$E,"P0(후)",$M:$M,"&gt;0")&lt;&gt;1,"",SUMIFS($M:$M,$C:$C,$C618,$D:$D,$D618,$E:$E,"P0(후)"))</f>
        <v/>
      </c>
      <c r="S618" s="31">
        <f>IF(N618&lt;&gt;"OK","",P618+(R618-P618)*(I618-O618)/(Q618-O618))</f>
        <v/>
      </c>
      <c r="T618" s="31">
        <f>IF(OR(N618&lt;&gt;"OK",NOT(ISNUMBER(M618))),"",M618-S618)</f>
        <v/>
      </c>
      <c r="U618" s="49">
        <f>IF(OR(NOT(ISNUMBER(T618)),IF(ISNUMBER(H618),H618,G618)=0),"",T618/IF(ISNUMBER(H618),H618,G618))</f>
        <v/>
      </c>
      <c r="V618" s="49">
        <f>IF(ISNUMBER(U618),ABS(U618),"")</f>
        <v/>
      </c>
      <c r="W618" s="49">
        <f>IF(OR($E617&lt;&gt;"측정",$C617&lt;&gt;$C618,$D617&lt;&gt;$D618,NOT(ISNUMBER(M618)),NOT(ISNUMBER(M617)),(IF(ISNUMBER(H618),H618,G618)-IF(ISNUMBER(H617),H617,G617))=0),"",(M618-M617)/(IF(ISNUMBER(H618),H618,G618)-IF(ISNUMBER(H617),H617,G617)))</f>
        <v/>
      </c>
      <c r="X618" s="31">
        <f>IF(NOT(AND(ISNUMBER(O618),ISNUMBER(Q618))),"",(Q618-O618)*1440)</f>
        <v/>
      </c>
      <c r="Y618" s="29" t="n"/>
      <c r="Z618" s="29" t="n"/>
      <c r="AA618" s="29" t="n"/>
      <c r="AB618" s="32" t="n"/>
      <c r="AC618" s="32" t="n"/>
    </row>
    <row r="619">
      <c r="A619" s="26" t="inlineStr">
        <is>
          <t>S12</t>
        </is>
      </c>
      <c r="B619" s="26" t="inlineStr">
        <is>
          <t>순창 신규점</t>
        </is>
      </c>
      <c r="C619" s="26" t="inlineStr">
        <is>
          <t>S12-H북</t>
        </is>
      </c>
      <c r="D619" s="47" t="n">
        <v>1</v>
      </c>
      <c r="E619" s="26" t="inlineStr">
        <is>
          <t>측정</t>
        </is>
      </c>
      <c r="F619" s="26" t="inlineStr">
        <is>
          <t>북</t>
        </is>
      </c>
      <c r="G619" s="31" t="n">
        <v>1</v>
      </c>
      <c r="H619" s="30" t="n"/>
      <c r="I619" s="43" t="n"/>
      <c r="J619" s="41" t="n"/>
      <c r="K619" s="41" t="n"/>
      <c r="L619" s="41" t="n"/>
      <c r="M619" s="31">
        <f>IF(COUNT(J619:L619)=0,"",MEDIAN(J619:L619))</f>
        <v/>
      </c>
      <c r="N619" s="26">
        <f>IF(COUNTIFS($C:$C,$C619,$D:$D,$D619,$E:$E,"P0(전)",$M:$M,"&gt;0")&lt;&gt;1,"P0(전) 유효 1개 아님",IF(COUNTIFS($C:$C,$C619,$D:$D,$D619,$E:$E,"P0(후)",$M:$M,"&gt;0")&lt;&gt;1,"P0(후) 유효 1개 아님",IF(NOT(AND(ISNUMBER(O619),ISNUMBER(Q619),ISNUMBER(I619))),"시각 결측",IF(Q619&lt;=O619,"P0 시각 역전",IF(OR(I619&lt;O619,I619&gt;Q619),"측정시각 구간 밖","OK")))))</f>
        <v/>
      </c>
      <c r="O619" s="48">
        <f>IF(COUNTIFS($C:$C,$C619,$D:$D,$D619,$E:$E,"P0(전)",$M:$M,"&gt;0")&lt;&gt;1,"",SUMIFS($I:$I,$C:$C,$C619,$D:$D,$D619,$E:$E,"P0(전)"))</f>
        <v/>
      </c>
      <c r="P619" s="31">
        <f>IF(COUNTIFS($C:$C,$C619,$D:$D,$D619,$E:$E,"P0(전)",$M:$M,"&gt;0")&lt;&gt;1,"",SUMIFS($M:$M,$C:$C,$C619,$D:$D,$D619,$E:$E,"P0(전)"))</f>
        <v/>
      </c>
      <c r="Q619" s="48">
        <f>IF(COUNTIFS($C:$C,$C619,$D:$D,$D619,$E:$E,"P0(후)",$M:$M,"&gt;0")&lt;&gt;1,"",SUMIFS($I:$I,$C:$C,$C619,$D:$D,$D619,$E:$E,"P0(후)"))</f>
        <v/>
      </c>
      <c r="R619" s="31">
        <f>IF(COUNTIFS($C:$C,$C619,$D:$D,$D619,$E:$E,"P0(후)",$M:$M,"&gt;0")&lt;&gt;1,"",SUMIFS($M:$M,$C:$C,$C619,$D:$D,$D619,$E:$E,"P0(후)"))</f>
        <v/>
      </c>
      <c r="S619" s="31">
        <f>IF(N619&lt;&gt;"OK","",P619+(R619-P619)*(I619-O619)/(Q619-O619))</f>
        <v/>
      </c>
      <c r="T619" s="31">
        <f>IF(OR(N619&lt;&gt;"OK",NOT(ISNUMBER(M619))),"",M619-S619)</f>
        <v/>
      </c>
      <c r="U619" s="49">
        <f>IF(OR(NOT(ISNUMBER(T619)),IF(ISNUMBER(H619),H619,G619)=0),"",T619/IF(ISNUMBER(H619),H619,G619))</f>
        <v/>
      </c>
      <c r="V619" s="49">
        <f>IF(ISNUMBER(U619),ABS(U619),"")</f>
        <v/>
      </c>
      <c r="W619" s="49">
        <f>IF(OR($E618&lt;&gt;"측정",$C618&lt;&gt;$C619,$D618&lt;&gt;$D619,NOT(ISNUMBER(M619)),NOT(ISNUMBER(M618)),(IF(ISNUMBER(H619),H619,G619)-IF(ISNUMBER(H618),H618,G618))=0),"",(M619-M618)/(IF(ISNUMBER(H619),H619,G619)-IF(ISNUMBER(H618),H618,G618)))</f>
        <v/>
      </c>
      <c r="X619" s="31">
        <f>IF(NOT(AND(ISNUMBER(O619),ISNUMBER(Q619))),"",(Q619-O619)*1440)</f>
        <v/>
      </c>
      <c r="Y619" s="29" t="n"/>
      <c r="Z619" s="29" t="n"/>
      <c r="AA619" s="29" t="n"/>
      <c r="AB619" s="32" t="n"/>
      <c r="AC619" s="32" t="n"/>
    </row>
    <row r="620">
      <c r="A620" s="26" t="inlineStr">
        <is>
          <t>S12</t>
        </is>
      </c>
      <c r="B620" s="26" t="inlineStr">
        <is>
          <t>순창 신규점</t>
        </is>
      </c>
      <c r="C620" s="26" t="inlineStr">
        <is>
          <t>S12-H북</t>
        </is>
      </c>
      <c r="D620" s="47" t="n">
        <v>1</v>
      </c>
      <c r="E620" s="26" t="inlineStr">
        <is>
          <t>측정</t>
        </is>
      </c>
      <c r="F620" s="26" t="inlineStr">
        <is>
          <t>북</t>
        </is>
      </c>
      <c r="G620" s="31" t="n">
        <v>2</v>
      </c>
      <c r="H620" s="30" t="n"/>
      <c r="I620" s="43" t="n"/>
      <c r="J620" s="41" t="n"/>
      <c r="K620" s="41" t="n"/>
      <c r="L620" s="41" t="n"/>
      <c r="M620" s="31">
        <f>IF(COUNT(J620:L620)=0,"",MEDIAN(J620:L620))</f>
        <v/>
      </c>
      <c r="N620" s="26">
        <f>IF(COUNTIFS($C:$C,$C620,$D:$D,$D620,$E:$E,"P0(전)",$M:$M,"&gt;0")&lt;&gt;1,"P0(전) 유효 1개 아님",IF(COUNTIFS($C:$C,$C620,$D:$D,$D620,$E:$E,"P0(후)",$M:$M,"&gt;0")&lt;&gt;1,"P0(후) 유효 1개 아님",IF(NOT(AND(ISNUMBER(O620),ISNUMBER(Q620),ISNUMBER(I620))),"시각 결측",IF(Q620&lt;=O620,"P0 시각 역전",IF(OR(I620&lt;O620,I620&gt;Q620),"측정시각 구간 밖","OK")))))</f>
        <v/>
      </c>
      <c r="O620" s="48">
        <f>IF(COUNTIFS($C:$C,$C620,$D:$D,$D620,$E:$E,"P0(전)",$M:$M,"&gt;0")&lt;&gt;1,"",SUMIFS($I:$I,$C:$C,$C620,$D:$D,$D620,$E:$E,"P0(전)"))</f>
        <v/>
      </c>
      <c r="P620" s="31">
        <f>IF(COUNTIFS($C:$C,$C620,$D:$D,$D620,$E:$E,"P0(전)",$M:$M,"&gt;0")&lt;&gt;1,"",SUMIFS($M:$M,$C:$C,$C620,$D:$D,$D620,$E:$E,"P0(전)"))</f>
        <v/>
      </c>
      <c r="Q620" s="48">
        <f>IF(COUNTIFS($C:$C,$C620,$D:$D,$D620,$E:$E,"P0(후)",$M:$M,"&gt;0")&lt;&gt;1,"",SUMIFS($I:$I,$C:$C,$C620,$D:$D,$D620,$E:$E,"P0(후)"))</f>
        <v/>
      </c>
      <c r="R620" s="31">
        <f>IF(COUNTIFS($C:$C,$C620,$D:$D,$D620,$E:$E,"P0(후)",$M:$M,"&gt;0")&lt;&gt;1,"",SUMIFS($M:$M,$C:$C,$C620,$D:$D,$D620,$E:$E,"P0(후)"))</f>
        <v/>
      </c>
      <c r="S620" s="31">
        <f>IF(N620&lt;&gt;"OK","",P620+(R620-P620)*(I620-O620)/(Q620-O620))</f>
        <v/>
      </c>
      <c r="T620" s="31">
        <f>IF(OR(N620&lt;&gt;"OK",NOT(ISNUMBER(M620))),"",M620-S620)</f>
        <v/>
      </c>
      <c r="U620" s="49">
        <f>IF(OR(NOT(ISNUMBER(T620)),IF(ISNUMBER(H620),H620,G620)=0),"",T620/IF(ISNUMBER(H620),H620,G620))</f>
        <v/>
      </c>
      <c r="V620" s="49">
        <f>IF(ISNUMBER(U620),ABS(U620),"")</f>
        <v/>
      </c>
      <c r="W620" s="49">
        <f>IF(OR($E619&lt;&gt;"측정",$C619&lt;&gt;$C620,$D619&lt;&gt;$D620,NOT(ISNUMBER(M620)),NOT(ISNUMBER(M619)),(IF(ISNUMBER(H620),H620,G620)-IF(ISNUMBER(H619),H619,G619))=0),"",(M620-M619)/(IF(ISNUMBER(H620),H620,G620)-IF(ISNUMBER(H619),H619,G619)))</f>
        <v/>
      </c>
      <c r="X620" s="31">
        <f>IF(NOT(AND(ISNUMBER(O620),ISNUMBER(Q620))),"",(Q620-O620)*1440)</f>
        <v/>
      </c>
      <c r="Y620" s="29" t="n"/>
      <c r="Z620" s="29" t="n"/>
      <c r="AA620" s="29" t="n"/>
      <c r="AB620" s="32" t="n"/>
      <c r="AC620" s="32" t="n"/>
    </row>
    <row r="621">
      <c r="A621" s="26" t="inlineStr">
        <is>
          <t>S12</t>
        </is>
      </c>
      <c r="B621" s="26" t="inlineStr">
        <is>
          <t>순창 신규점</t>
        </is>
      </c>
      <c r="C621" s="26" t="inlineStr">
        <is>
          <t>S12-H북</t>
        </is>
      </c>
      <c r="D621" s="47" t="n">
        <v>1</v>
      </c>
      <c r="E621" s="26" t="inlineStr">
        <is>
          <t>측정</t>
        </is>
      </c>
      <c r="F621" s="26" t="inlineStr">
        <is>
          <t>북</t>
        </is>
      </c>
      <c r="G621" s="31" t="n">
        <v>3</v>
      </c>
      <c r="H621" s="30" t="n"/>
      <c r="I621" s="43" t="n"/>
      <c r="J621" s="41" t="n"/>
      <c r="K621" s="41" t="n"/>
      <c r="L621" s="41" t="n"/>
      <c r="M621" s="31">
        <f>IF(COUNT(J621:L621)=0,"",MEDIAN(J621:L621))</f>
        <v/>
      </c>
      <c r="N621" s="26">
        <f>IF(COUNTIFS($C:$C,$C621,$D:$D,$D621,$E:$E,"P0(전)",$M:$M,"&gt;0")&lt;&gt;1,"P0(전) 유효 1개 아님",IF(COUNTIFS($C:$C,$C621,$D:$D,$D621,$E:$E,"P0(후)",$M:$M,"&gt;0")&lt;&gt;1,"P0(후) 유효 1개 아님",IF(NOT(AND(ISNUMBER(O621),ISNUMBER(Q621),ISNUMBER(I621))),"시각 결측",IF(Q621&lt;=O621,"P0 시각 역전",IF(OR(I621&lt;O621,I621&gt;Q621),"측정시각 구간 밖","OK")))))</f>
        <v/>
      </c>
      <c r="O621" s="48">
        <f>IF(COUNTIFS($C:$C,$C621,$D:$D,$D621,$E:$E,"P0(전)",$M:$M,"&gt;0")&lt;&gt;1,"",SUMIFS($I:$I,$C:$C,$C621,$D:$D,$D621,$E:$E,"P0(전)"))</f>
        <v/>
      </c>
      <c r="P621" s="31">
        <f>IF(COUNTIFS($C:$C,$C621,$D:$D,$D621,$E:$E,"P0(전)",$M:$M,"&gt;0")&lt;&gt;1,"",SUMIFS($M:$M,$C:$C,$C621,$D:$D,$D621,$E:$E,"P0(전)"))</f>
        <v/>
      </c>
      <c r="Q621" s="48">
        <f>IF(COUNTIFS($C:$C,$C621,$D:$D,$D621,$E:$E,"P0(후)",$M:$M,"&gt;0")&lt;&gt;1,"",SUMIFS($I:$I,$C:$C,$C621,$D:$D,$D621,$E:$E,"P0(후)"))</f>
        <v/>
      </c>
      <c r="R621" s="31">
        <f>IF(COUNTIFS($C:$C,$C621,$D:$D,$D621,$E:$E,"P0(후)",$M:$M,"&gt;0")&lt;&gt;1,"",SUMIFS($M:$M,$C:$C,$C621,$D:$D,$D621,$E:$E,"P0(후)"))</f>
        <v/>
      </c>
      <c r="S621" s="31">
        <f>IF(N621&lt;&gt;"OK","",P621+(R621-P621)*(I621-O621)/(Q621-O621))</f>
        <v/>
      </c>
      <c r="T621" s="31">
        <f>IF(OR(N621&lt;&gt;"OK",NOT(ISNUMBER(M621))),"",M621-S621)</f>
        <v/>
      </c>
      <c r="U621" s="49">
        <f>IF(OR(NOT(ISNUMBER(T621)),IF(ISNUMBER(H621),H621,G621)=0),"",T621/IF(ISNUMBER(H621),H621,G621))</f>
        <v/>
      </c>
      <c r="V621" s="49">
        <f>IF(ISNUMBER(U621),ABS(U621),"")</f>
        <v/>
      </c>
      <c r="W621" s="49">
        <f>IF(OR($E620&lt;&gt;"측정",$C620&lt;&gt;$C621,$D620&lt;&gt;$D621,NOT(ISNUMBER(M621)),NOT(ISNUMBER(M620)),(IF(ISNUMBER(H621),H621,G621)-IF(ISNUMBER(H620),H620,G620))=0),"",(M621-M620)/(IF(ISNUMBER(H621),H621,G621)-IF(ISNUMBER(H620),H620,G620)))</f>
        <v/>
      </c>
      <c r="X621" s="31">
        <f>IF(NOT(AND(ISNUMBER(O621),ISNUMBER(Q621))),"",(Q621-O621)*1440)</f>
        <v/>
      </c>
      <c r="Y621" s="29" t="n"/>
      <c r="Z621" s="29" t="n"/>
      <c r="AA621" s="29" t="n"/>
      <c r="AB621" s="32" t="n"/>
      <c r="AC621" s="32" t="n"/>
    </row>
    <row r="622">
      <c r="A622" s="26" t="inlineStr">
        <is>
          <t>S12</t>
        </is>
      </c>
      <c r="B622" s="26" t="inlineStr">
        <is>
          <t>순창 신규점</t>
        </is>
      </c>
      <c r="C622" s="26" t="inlineStr">
        <is>
          <t>S12-H북</t>
        </is>
      </c>
      <c r="D622" s="47" t="n">
        <v>1</v>
      </c>
      <c r="E622" s="26" t="inlineStr">
        <is>
          <t>측정</t>
        </is>
      </c>
      <c r="F622" s="26" t="inlineStr">
        <is>
          <t>북</t>
        </is>
      </c>
      <c r="G622" s="31" t="n">
        <v>4</v>
      </c>
      <c r="H622" s="30" t="n"/>
      <c r="I622" s="43" t="n"/>
      <c r="J622" s="41" t="n"/>
      <c r="K622" s="41" t="n"/>
      <c r="L622" s="41" t="n"/>
      <c r="M622" s="31">
        <f>IF(COUNT(J622:L622)=0,"",MEDIAN(J622:L622))</f>
        <v/>
      </c>
      <c r="N622" s="26">
        <f>IF(COUNTIFS($C:$C,$C622,$D:$D,$D622,$E:$E,"P0(전)",$M:$M,"&gt;0")&lt;&gt;1,"P0(전) 유효 1개 아님",IF(COUNTIFS($C:$C,$C622,$D:$D,$D622,$E:$E,"P0(후)",$M:$M,"&gt;0")&lt;&gt;1,"P0(후) 유효 1개 아님",IF(NOT(AND(ISNUMBER(O622),ISNUMBER(Q622),ISNUMBER(I622))),"시각 결측",IF(Q622&lt;=O622,"P0 시각 역전",IF(OR(I622&lt;O622,I622&gt;Q622),"측정시각 구간 밖","OK")))))</f>
        <v/>
      </c>
      <c r="O622" s="48">
        <f>IF(COUNTIFS($C:$C,$C622,$D:$D,$D622,$E:$E,"P0(전)",$M:$M,"&gt;0")&lt;&gt;1,"",SUMIFS($I:$I,$C:$C,$C622,$D:$D,$D622,$E:$E,"P0(전)"))</f>
        <v/>
      </c>
      <c r="P622" s="31">
        <f>IF(COUNTIFS($C:$C,$C622,$D:$D,$D622,$E:$E,"P0(전)",$M:$M,"&gt;0")&lt;&gt;1,"",SUMIFS($M:$M,$C:$C,$C622,$D:$D,$D622,$E:$E,"P0(전)"))</f>
        <v/>
      </c>
      <c r="Q622" s="48">
        <f>IF(COUNTIFS($C:$C,$C622,$D:$D,$D622,$E:$E,"P0(후)",$M:$M,"&gt;0")&lt;&gt;1,"",SUMIFS($I:$I,$C:$C,$C622,$D:$D,$D622,$E:$E,"P0(후)"))</f>
        <v/>
      </c>
      <c r="R622" s="31">
        <f>IF(COUNTIFS($C:$C,$C622,$D:$D,$D622,$E:$E,"P0(후)",$M:$M,"&gt;0")&lt;&gt;1,"",SUMIFS($M:$M,$C:$C,$C622,$D:$D,$D622,$E:$E,"P0(후)"))</f>
        <v/>
      </c>
      <c r="S622" s="31">
        <f>IF(N622&lt;&gt;"OK","",P622+(R622-P622)*(I622-O622)/(Q622-O622))</f>
        <v/>
      </c>
      <c r="T622" s="31">
        <f>IF(OR(N622&lt;&gt;"OK",NOT(ISNUMBER(M622))),"",M622-S622)</f>
        <v/>
      </c>
      <c r="U622" s="49">
        <f>IF(OR(NOT(ISNUMBER(T622)),IF(ISNUMBER(H622),H622,G622)=0),"",T622/IF(ISNUMBER(H622),H622,G622))</f>
        <v/>
      </c>
      <c r="V622" s="49">
        <f>IF(ISNUMBER(U622),ABS(U622),"")</f>
        <v/>
      </c>
      <c r="W622" s="49">
        <f>IF(OR($E621&lt;&gt;"측정",$C621&lt;&gt;$C622,$D621&lt;&gt;$D622,NOT(ISNUMBER(M622)),NOT(ISNUMBER(M621)),(IF(ISNUMBER(H622),H622,G622)-IF(ISNUMBER(H621),H621,G621))=0),"",(M622-M621)/(IF(ISNUMBER(H622),H622,G622)-IF(ISNUMBER(H621),H621,G621)))</f>
        <v/>
      </c>
      <c r="X622" s="31">
        <f>IF(NOT(AND(ISNUMBER(O622),ISNUMBER(Q622))),"",(Q622-O622)*1440)</f>
        <v/>
      </c>
      <c r="Y622" s="29" t="n"/>
      <c r="Z622" s="29" t="n"/>
      <c r="AA622" s="29" t="n"/>
      <c r="AB622" s="32" t="n"/>
      <c r="AC622" s="32" t="n"/>
    </row>
    <row r="623">
      <c r="A623" s="26" t="inlineStr">
        <is>
          <t>S12</t>
        </is>
      </c>
      <c r="B623" s="26" t="inlineStr">
        <is>
          <t>순창 신규점</t>
        </is>
      </c>
      <c r="C623" s="26" t="inlineStr">
        <is>
          <t>S12-H북</t>
        </is>
      </c>
      <c r="D623" s="47" t="n">
        <v>1</v>
      </c>
      <c r="E623" s="26" t="inlineStr">
        <is>
          <t>측정</t>
        </is>
      </c>
      <c r="F623" s="26" t="inlineStr">
        <is>
          <t>북</t>
        </is>
      </c>
      <c r="G623" s="31" t="n">
        <v>5</v>
      </c>
      <c r="H623" s="30" t="n"/>
      <c r="I623" s="43" t="n"/>
      <c r="J623" s="41" t="n"/>
      <c r="K623" s="41" t="n"/>
      <c r="L623" s="41" t="n"/>
      <c r="M623" s="31">
        <f>IF(COUNT(J623:L623)=0,"",MEDIAN(J623:L623))</f>
        <v/>
      </c>
      <c r="N623" s="26">
        <f>IF(COUNTIFS($C:$C,$C623,$D:$D,$D623,$E:$E,"P0(전)",$M:$M,"&gt;0")&lt;&gt;1,"P0(전) 유효 1개 아님",IF(COUNTIFS($C:$C,$C623,$D:$D,$D623,$E:$E,"P0(후)",$M:$M,"&gt;0")&lt;&gt;1,"P0(후) 유효 1개 아님",IF(NOT(AND(ISNUMBER(O623),ISNUMBER(Q623),ISNUMBER(I623))),"시각 결측",IF(Q623&lt;=O623,"P0 시각 역전",IF(OR(I623&lt;O623,I623&gt;Q623),"측정시각 구간 밖","OK")))))</f>
        <v/>
      </c>
      <c r="O623" s="48">
        <f>IF(COUNTIFS($C:$C,$C623,$D:$D,$D623,$E:$E,"P0(전)",$M:$M,"&gt;0")&lt;&gt;1,"",SUMIFS($I:$I,$C:$C,$C623,$D:$D,$D623,$E:$E,"P0(전)"))</f>
        <v/>
      </c>
      <c r="P623" s="31">
        <f>IF(COUNTIFS($C:$C,$C623,$D:$D,$D623,$E:$E,"P0(전)",$M:$M,"&gt;0")&lt;&gt;1,"",SUMIFS($M:$M,$C:$C,$C623,$D:$D,$D623,$E:$E,"P0(전)"))</f>
        <v/>
      </c>
      <c r="Q623" s="48">
        <f>IF(COUNTIFS($C:$C,$C623,$D:$D,$D623,$E:$E,"P0(후)",$M:$M,"&gt;0")&lt;&gt;1,"",SUMIFS($I:$I,$C:$C,$C623,$D:$D,$D623,$E:$E,"P0(후)"))</f>
        <v/>
      </c>
      <c r="R623" s="31">
        <f>IF(COUNTIFS($C:$C,$C623,$D:$D,$D623,$E:$E,"P0(후)",$M:$M,"&gt;0")&lt;&gt;1,"",SUMIFS($M:$M,$C:$C,$C623,$D:$D,$D623,$E:$E,"P0(후)"))</f>
        <v/>
      </c>
      <c r="S623" s="31">
        <f>IF(N623&lt;&gt;"OK","",P623+(R623-P623)*(I623-O623)/(Q623-O623))</f>
        <v/>
      </c>
      <c r="T623" s="31">
        <f>IF(OR(N623&lt;&gt;"OK",NOT(ISNUMBER(M623))),"",M623-S623)</f>
        <v/>
      </c>
      <c r="U623" s="49">
        <f>IF(OR(NOT(ISNUMBER(T623)),IF(ISNUMBER(H623),H623,G623)=0),"",T623/IF(ISNUMBER(H623),H623,G623))</f>
        <v/>
      </c>
      <c r="V623" s="49">
        <f>IF(ISNUMBER(U623),ABS(U623),"")</f>
        <v/>
      </c>
      <c r="W623" s="49">
        <f>IF(OR($E622&lt;&gt;"측정",$C622&lt;&gt;$C623,$D622&lt;&gt;$D623,NOT(ISNUMBER(M623)),NOT(ISNUMBER(M622)),(IF(ISNUMBER(H623),H623,G623)-IF(ISNUMBER(H622),H622,G622))=0),"",(M623-M622)/(IF(ISNUMBER(H623),H623,G623)-IF(ISNUMBER(H622),H622,G622)))</f>
        <v/>
      </c>
      <c r="X623" s="31">
        <f>IF(NOT(AND(ISNUMBER(O623),ISNUMBER(Q623))),"",(Q623-O623)*1440)</f>
        <v/>
      </c>
      <c r="Y623" s="29" t="n"/>
      <c r="Z623" s="29" t="n"/>
      <c r="AA623" s="29" t="n"/>
      <c r="AB623" s="32" t="n"/>
      <c r="AC623" s="32" t="n"/>
    </row>
    <row r="624">
      <c r="A624" s="26" t="inlineStr">
        <is>
          <t>S12</t>
        </is>
      </c>
      <c r="B624" s="26" t="inlineStr">
        <is>
          <t>순창 신규점</t>
        </is>
      </c>
      <c r="C624" s="26" t="inlineStr">
        <is>
          <t>S12-H북</t>
        </is>
      </c>
      <c r="D624" s="47" t="n">
        <v>1</v>
      </c>
      <c r="E624" s="26" t="inlineStr">
        <is>
          <t>측정</t>
        </is>
      </c>
      <c r="F624" s="26" t="inlineStr">
        <is>
          <t>북</t>
        </is>
      </c>
      <c r="G624" s="31" t="n">
        <v>6</v>
      </c>
      <c r="H624" s="30" t="n"/>
      <c r="I624" s="43" t="n"/>
      <c r="J624" s="41" t="n"/>
      <c r="K624" s="41" t="n"/>
      <c r="L624" s="41" t="n"/>
      <c r="M624" s="31">
        <f>IF(COUNT(J624:L624)=0,"",MEDIAN(J624:L624))</f>
        <v/>
      </c>
      <c r="N624" s="26">
        <f>IF(COUNTIFS($C:$C,$C624,$D:$D,$D624,$E:$E,"P0(전)",$M:$M,"&gt;0")&lt;&gt;1,"P0(전) 유효 1개 아님",IF(COUNTIFS($C:$C,$C624,$D:$D,$D624,$E:$E,"P0(후)",$M:$M,"&gt;0")&lt;&gt;1,"P0(후) 유효 1개 아님",IF(NOT(AND(ISNUMBER(O624),ISNUMBER(Q624),ISNUMBER(I624))),"시각 결측",IF(Q624&lt;=O624,"P0 시각 역전",IF(OR(I624&lt;O624,I624&gt;Q624),"측정시각 구간 밖","OK")))))</f>
        <v/>
      </c>
      <c r="O624" s="48">
        <f>IF(COUNTIFS($C:$C,$C624,$D:$D,$D624,$E:$E,"P0(전)",$M:$M,"&gt;0")&lt;&gt;1,"",SUMIFS($I:$I,$C:$C,$C624,$D:$D,$D624,$E:$E,"P0(전)"))</f>
        <v/>
      </c>
      <c r="P624" s="31">
        <f>IF(COUNTIFS($C:$C,$C624,$D:$D,$D624,$E:$E,"P0(전)",$M:$M,"&gt;0")&lt;&gt;1,"",SUMIFS($M:$M,$C:$C,$C624,$D:$D,$D624,$E:$E,"P0(전)"))</f>
        <v/>
      </c>
      <c r="Q624" s="48">
        <f>IF(COUNTIFS($C:$C,$C624,$D:$D,$D624,$E:$E,"P0(후)",$M:$M,"&gt;0")&lt;&gt;1,"",SUMIFS($I:$I,$C:$C,$C624,$D:$D,$D624,$E:$E,"P0(후)"))</f>
        <v/>
      </c>
      <c r="R624" s="31">
        <f>IF(COUNTIFS($C:$C,$C624,$D:$D,$D624,$E:$E,"P0(후)",$M:$M,"&gt;0")&lt;&gt;1,"",SUMIFS($M:$M,$C:$C,$C624,$D:$D,$D624,$E:$E,"P0(후)"))</f>
        <v/>
      </c>
      <c r="S624" s="31">
        <f>IF(N624&lt;&gt;"OK","",P624+(R624-P624)*(I624-O624)/(Q624-O624))</f>
        <v/>
      </c>
      <c r="T624" s="31">
        <f>IF(OR(N624&lt;&gt;"OK",NOT(ISNUMBER(M624))),"",M624-S624)</f>
        <v/>
      </c>
      <c r="U624" s="49">
        <f>IF(OR(NOT(ISNUMBER(T624)),IF(ISNUMBER(H624),H624,G624)=0),"",T624/IF(ISNUMBER(H624),H624,G624))</f>
        <v/>
      </c>
      <c r="V624" s="49">
        <f>IF(ISNUMBER(U624),ABS(U624),"")</f>
        <v/>
      </c>
      <c r="W624" s="49">
        <f>IF(OR($E623&lt;&gt;"측정",$C623&lt;&gt;$C624,$D623&lt;&gt;$D624,NOT(ISNUMBER(M624)),NOT(ISNUMBER(M623)),(IF(ISNUMBER(H624),H624,G624)-IF(ISNUMBER(H623),H623,G623))=0),"",(M624-M623)/(IF(ISNUMBER(H624),H624,G624)-IF(ISNUMBER(H623),H623,G623)))</f>
        <v/>
      </c>
      <c r="X624" s="31">
        <f>IF(NOT(AND(ISNUMBER(O624),ISNUMBER(Q624))),"",(Q624-O624)*1440)</f>
        <v/>
      </c>
      <c r="Y624" s="29" t="n"/>
      <c r="Z624" s="29" t="n"/>
      <c r="AA624" s="29" t="n"/>
      <c r="AB624" s="32" t="n"/>
      <c r="AC624" s="32" t="n"/>
    </row>
    <row r="625">
      <c r="A625" s="26" t="inlineStr">
        <is>
          <t>S12</t>
        </is>
      </c>
      <c r="B625" s="26" t="inlineStr">
        <is>
          <t>순창 신규점</t>
        </is>
      </c>
      <c r="C625" s="26" t="inlineStr">
        <is>
          <t>S12-H북</t>
        </is>
      </c>
      <c r="D625" s="47" t="n">
        <v>1</v>
      </c>
      <c r="E625" s="26" t="inlineStr">
        <is>
          <t>측정</t>
        </is>
      </c>
      <c r="F625" s="26" t="inlineStr">
        <is>
          <t>북</t>
        </is>
      </c>
      <c r="G625" s="31" t="n">
        <v>7</v>
      </c>
      <c r="H625" s="30" t="n"/>
      <c r="I625" s="43" t="n"/>
      <c r="J625" s="41" t="n"/>
      <c r="K625" s="41" t="n"/>
      <c r="L625" s="41" t="n"/>
      <c r="M625" s="31">
        <f>IF(COUNT(J625:L625)=0,"",MEDIAN(J625:L625))</f>
        <v/>
      </c>
      <c r="N625" s="26">
        <f>IF(COUNTIFS($C:$C,$C625,$D:$D,$D625,$E:$E,"P0(전)",$M:$M,"&gt;0")&lt;&gt;1,"P0(전) 유효 1개 아님",IF(COUNTIFS($C:$C,$C625,$D:$D,$D625,$E:$E,"P0(후)",$M:$M,"&gt;0")&lt;&gt;1,"P0(후) 유효 1개 아님",IF(NOT(AND(ISNUMBER(O625),ISNUMBER(Q625),ISNUMBER(I625))),"시각 결측",IF(Q625&lt;=O625,"P0 시각 역전",IF(OR(I625&lt;O625,I625&gt;Q625),"측정시각 구간 밖","OK")))))</f>
        <v/>
      </c>
      <c r="O625" s="48">
        <f>IF(COUNTIFS($C:$C,$C625,$D:$D,$D625,$E:$E,"P0(전)",$M:$M,"&gt;0")&lt;&gt;1,"",SUMIFS($I:$I,$C:$C,$C625,$D:$D,$D625,$E:$E,"P0(전)"))</f>
        <v/>
      </c>
      <c r="P625" s="31">
        <f>IF(COUNTIFS($C:$C,$C625,$D:$D,$D625,$E:$E,"P0(전)",$M:$M,"&gt;0")&lt;&gt;1,"",SUMIFS($M:$M,$C:$C,$C625,$D:$D,$D625,$E:$E,"P0(전)"))</f>
        <v/>
      </c>
      <c r="Q625" s="48">
        <f>IF(COUNTIFS($C:$C,$C625,$D:$D,$D625,$E:$E,"P0(후)",$M:$M,"&gt;0")&lt;&gt;1,"",SUMIFS($I:$I,$C:$C,$C625,$D:$D,$D625,$E:$E,"P0(후)"))</f>
        <v/>
      </c>
      <c r="R625" s="31">
        <f>IF(COUNTIFS($C:$C,$C625,$D:$D,$D625,$E:$E,"P0(후)",$M:$M,"&gt;0")&lt;&gt;1,"",SUMIFS($M:$M,$C:$C,$C625,$D:$D,$D625,$E:$E,"P0(후)"))</f>
        <v/>
      </c>
      <c r="S625" s="31">
        <f>IF(N625&lt;&gt;"OK","",P625+(R625-P625)*(I625-O625)/(Q625-O625))</f>
        <v/>
      </c>
      <c r="T625" s="31">
        <f>IF(OR(N625&lt;&gt;"OK",NOT(ISNUMBER(M625))),"",M625-S625)</f>
        <v/>
      </c>
      <c r="U625" s="49">
        <f>IF(OR(NOT(ISNUMBER(T625)),IF(ISNUMBER(H625),H625,G625)=0),"",T625/IF(ISNUMBER(H625),H625,G625))</f>
        <v/>
      </c>
      <c r="V625" s="49">
        <f>IF(ISNUMBER(U625),ABS(U625),"")</f>
        <v/>
      </c>
      <c r="W625" s="49">
        <f>IF(OR($E624&lt;&gt;"측정",$C624&lt;&gt;$C625,$D624&lt;&gt;$D625,NOT(ISNUMBER(M625)),NOT(ISNUMBER(M624)),(IF(ISNUMBER(H625),H625,G625)-IF(ISNUMBER(H624),H624,G624))=0),"",(M625-M624)/(IF(ISNUMBER(H625),H625,G625)-IF(ISNUMBER(H624),H624,G624)))</f>
        <v/>
      </c>
      <c r="X625" s="31">
        <f>IF(NOT(AND(ISNUMBER(O625),ISNUMBER(Q625))),"",(Q625-O625)*1440)</f>
        <v/>
      </c>
      <c r="Y625" s="29" t="n"/>
      <c r="Z625" s="29" t="n"/>
      <c r="AA625" s="29" t="n"/>
      <c r="AB625" s="32" t="n"/>
      <c r="AC625" s="32" t="n"/>
    </row>
    <row r="626">
      <c r="A626" s="26" t="inlineStr">
        <is>
          <t>S12</t>
        </is>
      </c>
      <c r="B626" s="26" t="inlineStr">
        <is>
          <t>순창 신규점</t>
        </is>
      </c>
      <c r="C626" s="26" t="inlineStr">
        <is>
          <t>S12-H북</t>
        </is>
      </c>
      <c r="D626" s="47" t="n">
        <v>1</v>
      </c>
      <c r="E626" s="26" t="inlineStr">
        <is>
          <t>측정</t>
        </is>
      </c>
      <c r="F626" s="26" t="inlineStr">
        <is>
          <t>북</t>
        </is>
      </c>
      <c r="G626" s="31" t="n">
        <v>8</v>
      </c>
      <c r="H626" s="30" t="n"/>
      <c r="I626" s="43" t="n"/>
      <c r="J626" s="41" t="n"/>
      <c r="K626" s="41" t="n"/>
      <c r="L626" s="41" t="n"/>
      <c r="M626" s="31">
        <f>IF(COUNT(J626:L626)=0,"",MEDIAN(J626:L626))</f>
        <v/>
      </c>
      <c r="N626" s="26">
        <f>IF(COUNTIFS($C:$C,$C626,$D:$D,$D626,$E:$E,"P0(전)",$M:$M,"&gt;0")&lt;&gt;1,"P0(전) 유효 1개 아님",IF(COUNTIFS($C:$C,$C626,$D:$D,$D626,$E:$E,"P0(후)",$M:$M,"&gt;0")&lt;&gt;1,"P0(후) 유효 1개 아님",IF(NOT(AND(ISNUMBER(O626),ISNUMBER(Q626),ISNUMBER(I626))),"시각 결측",IF(Q626&lt;=O626,"P0 시각 역전",IF(OR(I626&lt;O626,I626&gt;Q626),"측정시각 구간 밖","OK")))))</f>
        <v/>
      </c>
      <c r="O626" s="48">
        <f>IF(COUNTIFS($C:$C,$C626,$D:$D,$D626,$E:$E,"P0(전)",$M:$M,"&gt;0")&lt;&gt;1,"",SUMIFS($I:$I,$C:$C,$C626,$D:$D,$D626,$E:$E,"P0(전)"))</f>
        <v/>
      </c>
      <c r="P626" s="31">
        <f>IF(COUNTIFS($C:$C,$C626,$D:$D,$D626,$E:$E,"P0(전)",$M:$M,"&gt;0")&lt;&gt;1,"",SUMIFS($M:$M,$C:$C,$C626,$D:$D,$D626,$E:$E,"P0(전)"))</f>
        <v/>
      </c>
      <c r="Q626" s="48">
        <f>IF(COUNTIFS($C:$C,$C626,$D:$D,$D626,$E:$E,"P0(후)",$M:$M,"&gt;0")&lt;&gt;1,"",SUMIFS($I:$I,$C:$C,$C626,$D:$D,$D626,$E:$E,"P0(후)"))</f>
        <v/>
      </c>
      <c r="R626" s="31">
        <f>IF(COUNTIFS($C:$C,$C626,$D:$D,$D626,$E:$E,"P0(후)",$M:$M,"&gt;0")&lt;&gt;1,"",SUMIFS($M:$M,$C:$C,$C626,$D:$D,$D626,$E:$E,"P0(후)"))</f>
        <v/>
      </c>
      <c r="S626" s="31">
        <f>IF(N626&lt;&gt;"OK","",P626+(R626-P626)*(I626-O626)/(Q626-O626))</f>
        <v/>
      </c>
      <c r="T626" s="31">
        <f>IF(OR(N626&lt;&gt;"OK",NOT(ISNUMBER(M626))),"",M626-S626)</f>
        <v/>
      </c>
      <c r="U626" s="49">
        <f>IF(OR(NOT(ISNUMBER(T626)),IF(ISNUMBER(H626),H626,G626)=0),"",T626/IF(ISNUMBER(H626),H626,G626))</f>
        <v/>
      </c>
      <c r="V626" s="49">
        <f>IF(ISNUMBER(U626),ABS(U626),"")</f>
        <v/>
      </c>
      <c r="W626" s="49">
        <f>IF(OR($E625&lt;&gt;"측정",$C625&lt;&gt;$C626,$D625&lt;&gt;$D626,NOT(ISNUMBER(M626)),NOT(ISNUMBER(M625)),(IF(ISNUMBER(H626),H626,G626)-IF(ISNUMBER(H625),H625,G625))=0),"",(M626-M625)/(IF(ISNUMBER(H626),H626,G626)-IF(ISNUMBER(H625),H625,G625)))</f>
        <v/>
      </c>
      <c r="X626" s="31">
        <f>IF(NOT(AND(ISNUMBER(O626),ISNUMBER(Q626))),"",(Q626-O626)*1440)</f>
        <v/>
      </c>
      <c r="Y626" s="29" t="n"/>
      <c r="Z626" s="29" t="n"/>
      <c r="AA626" s="29" t="n"/>
      <c r="AB626" s="32" t="n"/>
      <c r="AC626" s="32" t="n"/>
    </row>
    <row r="627">
      <c r="A627" s="26" t="inlineStr">
        <is>
          <t>S12</t>
        </is>
      </c>
      <c r="B627" s="26" t="inlineStr">
        <is>
          <t>순창 신규점</t>
        </is>
      </c>
      <c r="C627" s="26" t="inlineStr">
        <is>
          <t>S12-H북</t>
        </is>
      </c>
      <c r="D627" s="47" t="n">
        <v>1</v>
      </c>
      <c r="E627" s="26" t="inlineStr">
        <is>
          <t>측정</t>
        </is>
      </c>
      <c r="F627" s="26" t="inlineStr">
        <is>
          <t>북</t>
        </is>
      </c>
      <c r="G627" s="31" t="n">
        <v>9</v>
      </c>
      <c r="H627" s="30" t="n"/>
      <c r="I627" s="43" t="n"/>
      <c r="J627" s="41" t="n"/>
      <c r="K627" s="41" t="n"/>
      <c r="L627" s="41" t="n"/>
      <c r="M627" s="31">
        <f>IF(COUNT(J627:L627)=0,"",MEDIAN(J627:L627))</f>
        <v/>
      </c>
      <c r="N627" s="26">
        <f>IF(COUNTIFS($C:$C,$C627,$D:$D,$D627,$E:$E,"P0(전)",$M:$M,"&gt;0")&lt;&gt;1,"P0(전) 유효 1개 아님",IF(COUNTIFS($C:$C,$C627,$D:$D,$D627,$E:$E,"P0(후)",$M:$M,"&gt;0")&lt;&gt;1,"P0(후) 유효 1개 아님",IF(NOT(AND(ISNUMBER(O627),ISNUMBER(Q627),ISNUMBER(I627))),"시각 결측",IF(Q627&lt;=O627,"P0 시각 역전",IF(OR(I627&lt;O627,I627&gt;Q627),"측정시각 구간 밖","OK")))))</f>
        <v/>
      </c>
      <c r="O627" s="48">
        <f>IF(COUNTIFS($C:$C,$C627,$D:$D,$D627,$E:$E,"P0(전)",$M:$M,"&gt;0")&lt;&gt;1,"",SUMIFS($I:$I,$C:$C,$C627,$D:$D,$D627,$E:$E,"P0(전)"))</f>
        <v/>
      </c>
      <c r="P627" s="31">
        <f>IF(COUNTIFS($C:$C,$C627,$D:$D,$D627,$E:$E,"P0(전)",$M:$M,"&gt;0")&lt;&gt;1,"",SUMIFS($M:$M,$C:$C,$C627,$D:$D,$D627,$E:$E,"P0(전)"))</f>
        <v/>
      </c>
      <c r="Q627" s="48">
        <f>IF(COUNTIFS($C:$C,$C627,$D:$D,$D627,$E:$E,"P0(후)",$M:$M,"&gt;0")&lt;&gt;1,"",SUMIFS($I:$I,$C:$C,$C627,$D:$D,$D627,$E:$E,"P0(후)"))</f>
        <v/>
      </c>
      <c r="R627" s="31">
        <f>IF(COUNTIFS($C:$C,$C627,$D:$D,$D627,$E:$E,"P0(후)",$M:$M,"&gt;0")&lt;&gt;1,"",SUMIFS($M:$M,$C:$C,$C627,$D:$D,$D627,$E:$E,"P0(후)"))</f>
        <v/>
      </c>
      <c r="S627" s="31">
        <f>IF(N627&lt;&gt;"OK","",P627+(R627-P627)*(I627-O627)/(Q627-O627))</f>
        <v/>
      </c>
      <c r="T627" s="31">
        <f>IF(OR(N627&lt;&gt;"OK",NOT(ISNUMBER(M627))),"",M627-S627)</f>
        <v/>
      </c>
      <c r="U627" s="49">
        <f>IF(OR(NOT(ISNUMBER(T627)),IF(ISNUMBER(H627),H627,G627)=0),"",T627/IF(ISNUMBER(H627),H627,G627))</f>
        <v/>
      </c>
      <c r="V627" s="49">
        <f>IF(ISNUMBER(U627),ABS(U627),"")</f>
        <v/>
      </c>
      <c r="W627" s="49">
        <f>IF(OR($E626&lt;&gt;"측정",$C626&lt;&gt;$C627,$D626&lt;&gt;$D627,NOT(ISNUMBER(M627)),NOT(ISNUMBER(M626)),(IF(ISNUMBER(H627),H627,G627)-IF(ISNUMBER(H626),H626,G626))=0),"",(M627-M626)/(IF(ISNUMBER(H627),H627,G627)-IF(ISNUMBER(H626),H626,G626)))</f>
        <v/>
      </c>
      <c r="X627" s="31">
        <f>IF(NOT(AND(ISNUMBER(O627),ISNUMBER(Q627))),"",(Q627-O627)*1440)</f>
        <v/>
      </c>
      <c r="Y627" s="29" t="n"/>
      <c r="Z627" s="29" t="n"/>
      <c r="AA627" s="29" t="n"/>
      <c r="AB627" s="32" t="n"/>
      <c r="AC627" s="32" t="n"/>
    </row>
    <row r="628">
      <c r="A628" s="26" t="inlineStr">
        <is>
          <t>S12</t>
        </is>
      </c>
      <c r="B628" s="26" t="inlineStr">
        <is>
          <t>순창 신규점</t>
        </is>
      </c>
      <c r="C628" s="26" t="inlineStr">
        <is>
          <t>S12-H북</t>
        </is>
      </c>
      <c r="D628" s="47" t="n">
        <v>1</v>
      </c>
      <c r="E628" s="26" t="inlineStr">
        <is>
          <t>측정</t>
        </is>
      </c>
      <c r="F628" s="26" t="inlineStr">
        <is>
          <t>북</t>
        </is>
      </c>
      <c r="G628" s="31" t="n">
        <v>10</v>
      </c>
      <c r="H628" s="30" t="n"/>
      <c r="I628" s="43" t="n"/>
      <c r="J628" s="41" t="n"/>
      <c r="K628" s="41" t="n"/>
      <c r="L628" s="41" t="n"/>
      <c r="M628" s="31">
        <f>IF(COUNT(J628:L628)=0,"",MEDIAN(J628:L628))</f>
        <v/>
      </c>
      <c r="N628" s="26">
        <f>IF(COUNTIFS($C:$C,$C628,$D:$D,$D628,$E:$E,"P0(전)",$M:$M,"&gt;0")&lt;&gt;1,"P0(전) 유효 1개 아님",IF(COUNTIFS($C:$C,$C628,$D:$D,$D628,$E:$E,"P0(후)",$M:$M,"&gt;0")&lt;&gt;1,"P0(후) 유효 1개 아님",IF(NOT(AND(ISNUMBER(O628),ISNUMBER(Q628),ISNUMBER(I628))),"시각 결측",IF(Q628&lt;=O628,"P0 시각 역전",IF(OR(I628&lt;O628,I628&gt;Q628),"측정시각 구간 밖","OK")))))</f>
        <v/>
      </c>
      <c r="O628" s="48">
        <f>IF(COUNTIFS($C:$C,$C628,$D:$D,$D628,$E:$E,"P0(전)",$M:$M,"&gt;0")&lt;&gt;1,"",SUMIFS($I:$I,$C:$C,$C628,$D:$D,$D628,$E:$E,"P0(전)"))</f>
        <v/>
      </c>
      <c r="P628" s="31">
        <f>IF(COUNTIFS($C:$C,$C628,$D:$D,$D628,$E:$E,"P0(전)",$M:$M,"&gt;0")&lt;&gt;1,"",SUMIFS($M:$M,$C:$C,$C628,$D:$D,$D628,$E:$E,"P0(전)"))</f>
        <v/>
      </c>
      <c r="Q628" s="48">
        <f>IF(COUNTIFS($C:$C,$C628,$D:$D,$D628,$E:$E,"P0(후)",$M:$M,"&gt;0")&lt;&gt;1,"",SUMIFS($I:$I,$C:$C,$C628,$D:$D,$D628,$E:$E,"P0(후)"))</f>
        <v/>
      </c>
      <c r="R628" s="31">
        <f>IF(COUNTIFS($C:$C,$C628,$D:$D,$D628,$E:$E,"P0(후)",$M:$M,"&gt;0")&lt;&gt;1,"",SUMIFS($M:$M,$C:$C,$C628,$D:$D,$D628,$E:$E,"P0(후)"))</f>
        <v/>
      </c>
      <c r="S628" s="31">
        <f>IF(N628&lt;&gt;"OK","",P628+(R628-P628)*(I628-O628)/(Q628-O628))</f>
        <v/>
      </c>
      <c r="T628" s="31">
        <f>IF(OR(N628&lt;&gt;"OK",NOT(ISNUMBER(M628))),"",M628-S628)</f>
        <v/>
      </c>
      <c r="U628" s="49">
        <f>IF(OR(NOT(ISNUMBER(T628)),IF(ISNUMBER(H628),H628,G628)=0),"",T628/IF(ISNUMBER(H628),H628,G628))</f>
        <v/>
      </c>
      <c r="V628" s="49">
        <f>IF(ISNUMBER(U628),ABS(U628),"")</f>
        <v/>
      </c>
      <c r="W628" s="49">
        <f>IF(OR($E627&lt;&gt;"측정",$C627&lt;&gt;$C628,$D627&lt;&gt;$D628,NOT(ISNUMBER(M628)),NOT(ISNUMBER(M627)),(IF(ISNUMBER(H628),H628,G628)-IF(ISNUMBER(H627),H627,G627))=0),"",(M628-M627)/(IF(ISNUMBER(H628),H628,G628)-IF(ISNUMBER(H627),H627,G627)))</f>
        <v/>
      </c>
      <c r="X628" s="31">
        <f>IF(NOT(AND(ISNUMBER(O628),ISNUMBER(Q628))),"",(Q628-O628)*1440)</f>
        <v/>
      </c>
      <c r="Y628" s="29" t="n"/>
      <c r="Z628" s="29" t="n"/>
      <c r="AA628" s="29" t="n"/>
      <c r="AB628" s="32" t="n"/>
      <c r="AC628" s="32" t="n"/>
    </row>
    <row r="629">
      <c r="A629" s="44" t="inlineStr">
        <is>
          <t>S12</t>
        </is>
      </c>
      <c r="B629" s="44" t="inlineStr">
        <is>
          <t>순창 신규점</t>
        </is>
      </c>
      <c r="C629" s="44" t="inlineStr">
        <is>
          <t>S12-H북</t>
        </is>
      </c>
      <c r="D629" s="45" t="n">
        <v>1</v>
      </c>
      <c r="E629" s="44" t="inlineStr">
        <is>
          <t>P0(후)</t>
        </is>
      </c>
      <c r="F629" s="44" t="inlineStr">
        <is>
          <t>북</t>
        </is>
      </c>
      <c r="G629" s="46" t="n"/>
      <c r="H629" s="30" t="n"/>
      <c r="I629" s="43" t="n"/>
      <c r="J629" s="41" t="n"/>
      <c r="K629" s="41" t="n"/>
      <c r="L629" s="41" t="n"/>
      <c r="M629" s="31">
        <f>IF(COUNT(J629:L629)=0,"",MEDIAN(J629:L629))</f>
        <v/>
      </c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38" t="n"/>
      <c r="Y629" s="29" t="n"/>
      <c r="Z629" s="29" t="n"/>
      <c r="AA629" s="29" t="n"/>
      <c r="AB629" s="32" t="n"/>
      <c r="AC629" s="32" t="n"/>
    </row>
    <row r="630">
      <c r="A630" s="44" t="inlineStr">
        <is>
          <t>S13</t>
        </is>
      </c>
      <c r="B630" s="44" t="inlineStr">
        <is>
          <t>순천 신규점</t>
        </is>
      </c>
      <c r="C630" s="44" t="inlineStr">
        <is>
          <t>S13-H동</t>
        </is>
      </c>
      <c r="D630" s="45" t="n">
        <v>1</v>
      </c>
      <c r="E630" s="44" t="inlineStr">
        <is>
          <t>P0(전)</t>
        </is>
      </c>
      <c r="F630" s="44" t="inlineStr">
        <is>
          <t>동</t>
        </is>
      </c>
      <c r="G630" s="46" t="n"/>
      <c r="H630" s="30" t="n"/>
      <c r="I630" s="43" t="n"/>
      <c r="J630" s="41" t="n"/>
      <c r="K630" s="41" t="n"/>
      <c r="L630" s="41" t="n"/>
      <c r="M630" s="31">
        <f>IF(COUNT(J630:L630)=0,"",MEDIAN(J630:L630))</f>
        <v/>
      </c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  <c r="X630" s="38" t="n"/>
      <c r="Y630" s="29" t="n"/>
      <c r="Z630" s="29" t="n"/>
      <c r="AA630" s="29" t="n"/>
      <c r="AB630" s="32" t="n"/>
      <c r="AC630" s="32" t="n"/>
    </row>
    <row r="631">
      <c r="A631" s="26" t="inlineStr">
        <is>
          <t>S13</t>
        </is>
      </c>
      <c r="B631" s="26" t="inlineStr">
        <is>
          <t>순천 신규점</t>
        </is>
      </c>
      <c r="C631" s="26" t="inlineStr">
        <is>
          <t>S13-H동</t>
        </is>
      </c>
      <c r="D631" s="47" t="n">
        <v>1</v>
      </c>
      <c r="E631" s="26" t="inlineStr">
        <is>
          <t>측정</t>
        </is>
      </c>
      <c r="F631" s="26" t="inlineStr">
        <is>
          <t>동</t>
        </is>
      </c>
      <c r="G631" s="31" t="n">
        <v>0.5</v>
      </c>
      <c r="H631" s="30" t="n"/>
      <c r="I631" s="43" t="n"/>
      <c r="J631" s="41" t="n"/>
      <c r="K631" s="41" t="n"/>
      <c r="L631" s="41" t="n"/>
      <c r="M631" s="31">
        <f>IF(COUNT(J631:L631)=0,"",MEDIAN(J631:L631))</f>
        <v/>
      </c>
      <c r="N631" s="26">
        <f>IF(COUNTIFS($C:$C,$C631,$D:$D,$D631,$E:$E,"P0(전)",$M:$M,"&gt;0")&lt;&gt;1,"P0(전) 유효 1개 아님",IF(COUNTIFS($C:$C,$C631,$D:$D,$D631,$E:$E,"P0(후)",$M:$M,"&gt;0")&lt;&gt;1,"P0(후) 유효 1개 아님",IF(NOT(AND(ISNUMBER(O631),ISNUMBER(Q631),ISNUMBER(I631))),"시각 결측",IF(Q631&lt;=O631,"P0 시각 역전",IF(OR(I631&lt;O631,I631&gt;Q631),"측정시각 구간 밖","OK")))))</f>
        <v/>
      </c>
      <c r="O631" s="48">
        <f>IF(COUNTIFS($C:$C,$C631,$D:$D,$D631,$E:$E,"P0(전)",$M:$M,"&gt;0")&lt;&gt;1,"",SUMIFS($I:$I,$C:$C,$C631,$D:$D,$D631,$E:$E,"P0(전)"))</f>
        <v/>
      </c>
      <c r="P631" s="31">
        <f>IF(COUNTIFS($C:$C,$C631,$D:$D,$D631,$E:$E,"P0(전)",$M:$M,"&gt;0")&lt;&gt;1,"",SUMIFS($M:$M,$C:$C,$C631,$D:$D,$D631,$E:$E,"P0(전)"))</f>
        <v/>
      </c>
      <c r="Q631" s="48">
        <f>IF(COUNTIFS($C:$C,$C631,$D:$D,$D631,$E:$E,"P0(후)",$M:$M,"&gt;0")&lt;&gt;1,"",SUMIFS($I:$I,$C:$C,$C631,$D:$D,$D631,$E:$E,"P0(후)"))</f>
        <v/>
      </c>
      <c r="R631" s="31">
        <f>IF(COUNTIFS($C:$C,$C631,$D:$D,$D631,$E:$E,"P0(후)",$M:$M,"&gt;0")&lt;&gt;1,"",SUMIFS($M:$M,$C:$C,$C631,$D:$D,$D631,$E:$E,"P0(후)"))</f>
        <v/>
      </c>
      <c r="S631" s="31">
        <f>IF(N631&lt;&gt;"OK","",P631+(R631-P631)*(I631-O631)/(Q631-O631))</f>
        <v/>
      </c>
      <c r="T631" s="31">
        <f>IF(OR(N631&lt;&gt;"OK",NOT(ISNUMBER(M631))),"",M631-S631)</f>
        <v/>
      </c>
      <c r="U631" s="49">
        <f>IF(OR(NOT(ISNUMBER(T631)),IF(ISNUMBER(H631),H631,G631)=0),"",T631/IF(ISNUMBER(H631),H631,G631))</f>
        <v/>
      </c>
      <c r="V631" s="49">
        <f>IF(ISNUMBER(U631),ABS(U631),"")</f>
        <v/>
      </c>
      <c r="W631" s="49">
        <f>IF(OR($E630&lt;&gt;"측정",$C630&lt;&gt;$C631,$D630&lt;&gt;$D631,NOT(ISNUMBER(M631)),NOT(ISNUMBER(M630)),(IF(ISNUMBER(H631),H631,G631)-IF(ISNUMBER(H630),H630,G630))=0),"",(M631-M630)/(IF(ISNUMBER(H631),H631,G631)-IF(ISNUMBER(H630),H630,G630)))</f>
        <v/>
      </c>
      <c r="X631" s="31">
        <f>IF(NOT(AND(ISNUMBER(O631),ISNUMBER(Q631))),"",(Q631-O631)*1440)</f>
        <v/>
      </c>
      <c r="Y631" s="29" t="n"/>
      <c r="Z631" s="29" t="n"/>
      <c r="AA631" s="29" t="n"/>
      <c r="AB631" s="32" t="n"/>
      <c r="AC631" s="32" t="n"/>
    </row>
    <row r="632">
      <c r="A632" s="26" t="inlineStr">
        <is>
          <t>S13</t>
        </is>
      </c>
      <c r="B632" s="26" t="inlineStr">
        <is>
          <t>순천 신규점</t>
        </is>
      </c>
      <c r="C632" s="26" t="inlineStr">
        <is>
          <t>S13-H동</t>
        </is>
      </c>
      <c r="D632" s="47" t="n">
        <v>1</v>
      </c>
      <c r="E632" s="26" t="inlineStr">
        <is>
          <t>측정</t>
        </is>
      </c>
      <c r="F632" s="26" t="inlineStr">
        <is>
          <t>동</t>
        </is>
      </c>
      <c r="G632" s="31" t="n">
        <v>1</v>
      </c>
      <c r="H632" s="30" t="n"/>
      <c r="I632" s="43" t="n"/>
      <c r="J632" s="41" t="n"/>
      <c r="K632" s="41" t="n"/>
      <c r="L632" s="41" t="n"/>
      <c r="M632" s="31">
        <f>IF(COUNT(J632:L632)=0,"",MEDIAN(J632:L632))</f>
        <v/>
      </c>
      <c r="N632" s="26">
        <f>IF(COUNTIFS($C:$C,$C632,$D:$D,$D632,$E:$E,"P0(전)",$M:$M,"&gt;0")&lt;&gt;1,"P0(전) 유효 1개 아님",IF(COUNTIFS($C:$C,$C632,$D:$D,$D632,$E:$E,"P0(후)",$M:$M,"&gt;0")&lt;&gt;1,"P0(후) 유효 1개 아님",IF(NOT(AND(ISNUMBER(O632),ISNUMBER(Q632),ISNUMBER(I632))),"시각 결측",IF(Q632&lt;=O632,"P0 시각 역전",IF(OR(I632&lt;O632,I632&gt;Q632),"측정시각 구간 밖","OK")))))</f>
        <v/>
      </c>
      <c r="O632" s="48">
        <f>IF(COUNTIFS($C:$C,$C632,$D:$D,$D632,$E:$E,"P0(전)",$M:$M,"&gt;0")&lt;&gt;1,"",SUMIFS($I:$I,$C:$C,$C632,$D:$D,$D632,$E:$E,"P0(전)"))</f>
        <v/>
      </c>
      <c r="P632" s="31">
        <f>IF(COUNTIFS($C:$C,$C632,$D:$D,$D632,$E:$E,"P0(전)",$M:$M,"&gt;0")&lt;&gt;1,"",SUMIFS($M:$M,$C:$C,$C632,$D:$D,$D632,$E:$E,"P0(전)"))</f>
        <v/>
      </c>
      <c r="Q632" s="48">
        <f>IF(COUNTIFS($C:$C,$C632,$D:$D,$D632,$E:$E,"P0(후)",$M:$M,"&gt;0")&lt;&gt;1,"",SUMIFS($I:$I,$C:$C,$C632,$D:$D,$D632,$E:$E,"P0(후)"))</f>
        <v/>
      </c>
      <c r="R632" s="31">
        <f>IF(COUNTIFS($C:$C,$C632,$D:$D,$D632,$E:$E,"P0(후)",$M:$M,"&gt;0")&lt;&gt;1,"",SUMIFS($M:$M,$C:$C,$C632,$D:$D,$D632,$E:$E,"P0(후)"))</f>
        <v/>
      </c>
      <c r="S632" s="31">
        <f>IF(N632&lt;&gt;"OK","",P632+(R632-P632)*(I632-O632)/(Q632-O632))</f>
        <v/>
      </c>
      <c r="T632" s="31">
        <f>IF(OR(N632&lt;&gt;"OK",NOT(ISNUMBER(M632))),"",M632-S632)</f>
        <v/>
      </c>
      <c r="U632" s="49">
        <f>IF(OR(NOT(ISNUMBER(T632)),IF(ISNUMBER(H632),H632,G632)=0),"",T632/IF(ISNUMBER(H632),H632,G632))</f>
        <v/>
      </c>
      <c r="V632" s="49">
        <f>IF(ISNUMBER(U632),ABS(U632),"")</f>
        <v/>
      </c>
      <c r="W632" s="49">
        <f>IF(OR($E631&lt;&gt;"측정",$C631&lt;&gt;$C632,$D631&lt;&gt;$D632,NOT(ISNUMBER(M632)),NOT(ISNUMBER(M631)),(IF(ISNUMBER(H632),H632,G632)-IF(ISNUMBER(H631),H631,G631))=0),"",(M632-M631)/(IF(ISNUMBER(H632),H632,G632)-IF(ISNUMBER(H631),H631,G631)))</f>
        <v/>
      </c>
      <c r="X632" s="31">
        <f>IF(NOT(AND(ISNUMBER(O632),ISNUMBER(Q632))),"",(Q632-O632)*1440)</f>
        <v/>
      </c>
      <c r="Y632" s="29" t="n"/>
      <c r="Z632" s="29" t="n"/>
      <c r="AA632" s="29" t="n"/>
      <c r="AB632" s="32" t="n"/>
      <c r="AC632" s="32" t="n"/>
    </row>
    <row r="633">
      <c r="A633" s="26" t="inlineStr">
        <is>
          <t>S13</t>
        </is>
      </c>
      <c r="B633" s="26" t="inlineStr">
        <is>
          <t>순천 신규점</t>
        </is>
      </c>
      <c r="C633" s="26" t="inlineStr">
        <is>
          <t>S13-H동</t>
        </is>
      </c>
      <c r="D633" s="47" t="n">
        <v>1</v>
      </c>
      <c r="E633" s="26" t="inlineStr">
        <is>
          <t>측정</t>
        </is>
      </c>
      <c r="F633" s="26" t="inlineStr">
        <is>
          <t>동</t>
        </is>
      </c>
      <c r="G633" s="31" t="n">
        <v>2</v>
      </c>
      <c r="H633" s="30" t="n"/>
      <c r="I633" s="43" t="n"/>
      <c r="J633" s="41" t="n"/>
      <c r="K633" s="41" t="n"/>
      <c r="L633" s="41" t="n"/>
      <c r="M633" s="31">
        <f>IF(COUNT(J633:L633)=0,"",MEDIAN(J633:L633))</f>
        <v/>
      </c>
      <c r="N633" s="26">
        <f>IF(COUNTIFS($C:$C,$C633,$D:$D,$D633,$E:$E,"P0(전)",$M:$M,"&gt;0")&lt;&gt;1,"P0(전) 유효 1개 아님",IF(COUNTIFS($C:$C,$C633,$D:$D,$D633,$E:$E,"P0(후)",$M:$M,"&gt;0")&lt;&gt;1,"P0(후) 유효 1개 아님",IF(NOT(AND(ISNUMBER(O633),ISNUMBER(Q633),ISNUMBER(I633))),"시각 결측",IF(Q633&lt;=O633,"P0 시각 역전",IF(OR(I633&lt;O633,I633&gt;Q633),"측정시각 구간 밖","OK")))))</f>
        <v/>
      </c>
      <c r="O633" s="48">
        <f>IF(COUNTIFS($C:$C,$C633,$D:$D,$D633,$E:$E,"P0(전)",$M:$M,"&gt;0")&lt;&gt;1,"",SUMIFS($I:$I,$C:$C,$C633,$D:$D,$D633,$E:$E,"P0(전)"))</f>
        <v/>
      </c>
      <c r="P633" s="31">
        <f>IF(COUNTIFS($C:$C,$C633,$D:$D,$D633,$E:$E,"P0(전)",$M:$M,"&gt;0")&lt;&gt;1,"",SUMIFS($M:$M,$C:$C,$C633,$D:$D,$D633,$E:$E,"P0(전)"))</f>
        <v/>
      </c>
      <c r="Q633" s="48">
        <f>IF(COUNTIFS($C:$C,$C633,$D:$D,$D633,$E:$E,"P0(후)",$M:$M,"&gt;0")&lt;&gt;1,"",SUMIFS($I:$I,$C:$C,$C633,$D:$D,$D633,$E:$E,"P0(후)"))</f>
        <v/>
      </c>
      <c r="R633" s="31">
        <f>IF(COUNTIFS($C:$C,$C633,$D:$D,$D633,$E:$E,"P0(후)",$M:$M,"&gt;0")&lt;&gt;1,"",SUMIFS($M:$M,$C:$C,$C633,$D:$D,$D633,$E:$E,"P0(후)"))</f>
        <v/>
      </c>
      <c r="S633" s="31">
        <f>IF(N633&lt;&gt;"OK","",P633+(R633-P633)*(I633-O633)/(Q633-O633))</f>
        <v/>
      </c>
      <c r="T633" s="31">
        <f>IF(OR(N633&lt;&gt;"OK",NOT(ISNUMBER(M633))),"",M633-S633)</f>
        <v/>
      </c>
      <c r="U633" s="49">
        <f>IF(OR(NOT(ISNUMBER(T633)),IF(ISNUMBER(H633),H633,G633)=0),"",T633/IF(ISNUMBER(H633),H633,G633))</f>
        <v/>
      </c>
      <c r="V633" s="49">
        <f>IF(ISNUMBER(U633),ABS(U633),"")</f>
        <v/>
      </c>
      <c r="W633" s="49">
        <f>IF(OR($E632&lt;&gt;"측정",$C632&lt;&gt;$C633,$D632&lt;&gt;$D633,NOT(ISNUMBER(M633)),NOT(ISNUMBER(M632)),(IF(ISNUMBER(H633),H633,G633)-IF(ISNUMBER(H632),H632,G632))=0),"",(M633-M632)/(IF(ISNUMBER(H633),H633,G633)-IF(ISNUMBER(H632),H632,G632)))</f>
        <v/>
      </c>
      <c r="X633" s="31">
        <f>IF(NOT(AND(ISNUMBER(O633),ISNUMBER(Q633))),"",(Q633-O633)*1440)</f>
        <v/>
      </c>
      <c r="Y633" s="29" t="n"/>
      <c r="Z633" s="29" t="n"/>
      <c r="AA633" s="29" t="n"/>
      <c r="AB633" s="32" t="n"/>
      <c r="AC633" s="32" t="n"/>
    </row>
    <row r="634">
      <c r="A634" s="26" t="inlineStr">
        <is>
          <t>S13</t>
        </is>
      </c>
      <c r="B634" s="26" t="inlineStr">
        <is>
          <t>순천 신규점</t>
        </is>
      </c>
      <c r="C634" s="26" t="inlineStr">
        <is>
          <t>S13-H동</t>
        </is>
      </c>
      <c r="D634" s="47" t="n">
        <v>1</v>
      </c>
      <c r="E634" s="26" t="inlineStr">
        <is>
          <t>측정</t>
        </is>
      </c>
      <c r="F634" s="26" t="inlineStr">
        <is>
          <t>동</t>
        </is>
      </c>
      <c r="G634" s="31" t="n">
        <v>3</v>
      </c>
      <c r="H634" s="30" t="n"/>
      <c r="I634" s="43" t="n"/>
      <c r="J634" s="41" t="n"/>
      <c r="K634" s="41" t="n"/>
      <c r="L634" s="41" t="n"/>
      <c r="M634" s="31">
        <f>IF(COUNT(J634:L634)=0,"",MEDIAN(J634:L634))</f>
        <v/>
      </c>
      <c r="N634" s="26">
        <f>IF(COUNTIFS($C:$C,$C634,$D:$D,$D634,$E:$E,"P0(전)",$M:$M,"&gt;0")&lt;&gt;1,"P0(전) 유효 1개 아님",IF(COUNTIFS($C:$C,$C634,$D:$D,$D634,$E:$E,"P0(후)",$M:$M,"&gt;0")&lt;&gt;1,"P0(후) 유효 1개 아님",IF(NOT(AND(ISNUMBER(O634),ISNUMBER(Q634),ISNUMBER(I634))),"시각 결측",IF(Q634&lt;=O634,"P0 시각 역전",IF(OR(I634&lt;O634,I634&gt;Q634),"측정시각 구간 밖","OK")))))</f>
        <v/>
      </c>
      <c r="O634" s="48">
        <f>IF(COUNTIFS($C:$C,$C634,$D:$D,$D634,$E:$E,"P0(전)",$M:$M,"&gt;0")&lt;&gt;1,"",SUMIFS($I:$I,$C:$C,$C634,$D:$D,$D634,$E:$E,"P0(전)"))</f>
        <v/>
      </c>
      <c r="P634" s="31">
        <f>IF(COUNTIFS($C:$C,$C634,$D:$D,$D634,$E:$E,"P0(전)",$M:$M,"&gt;0")&lt;&gt;1,"",SUMIFS($M:$M,$C:$C,$C634,$D:$D,$D634,$E:$E,"P0(전)"))</f>
        <v/>
      </c>
      <c r="Q634" s="48">
        <f>IF(COUNTIFS($C:$C,$C634,$D:$D,$D634,$E:$E,"P0(후)",$M:$M,"&gt;0")&lt;&gt;1,"",SUMIFS($I:$I,$C:$C,$C634,$D:$D,$D634,$E:$E,"P0(후)"))</f>
        <v/>
      </c>
      <c r="R634" s="31">
        <f>IF(COUNTIFS($C:$C,$C634,$D:$D,$D634,$E:$E,"P0(후)",$M:$M,"&gt;0")&lt;&gt;1,"",SUMIFS($M:$M,$C:$C,$C634,$D:$D,$D634,$E:$E,"P0(후)"))</f>
        <v/>
      </c>
      <c r="S634" s="31">
        <f>IF(N634&lt;&gt;"OK","",P634+(R634-P634)*(I634-O634)/(Q634-O634))</f>
        <v/>
      </c>
      <c r="T634" s="31">
        <f>IF(OR(N634&lt;&gt;"OK",NOT(ISNUMBER(M634))),"",M634-S634)</f>
        <v/>
      </c>
      <c r="U634" s="49">
        <f>IF(OR(NOT(ISNUMBER(T634)),IF(ISNUMBER(H634),H634,G634)=0),"",T634/IF(ISNUMBER(H634),H634,G634))</f>
        <v/>
      </c>
      <c r="V634" s="49">
        <f>IF(ISNUMBER(U634),ABS(U634),"")</f>
        <v/>
      </c>
      <c r="W634" s="49">
        <f>IF(OR($E633&lt;&gt;"측정",$C633&lt;&gt;$C634,$D633&lt;&gt;$D634,NOT(ISNUMBER(M634)),NOT(ISNUMBER(M633)),(IF(ISNUMBER(H634),H634,G634)-IF(ISNUMBER(H633),H633,G633))=0),"",(M634-M633)/(IF(ISNUMBER(H634),H634,G634)-IF(ISNUMBER(H633),H633,G633)))</f>
        <v/>
      </c>
      <c r="X634" s="31">
        <f>IF(NOT(AND(ISNUMBER(O634),ISNUMBER(Q634))),"",(Q634-O634)*1440)</f>
        <v/>
      </c>
      <c r="Y634" s="29" t="n"/>
      <c r="Z634" s="29" t="n"/>
      <c r="AA634" s="29" t="n"/>
      <c r="AB634" s="32" t="n"/>
      <c r="AC634" s="32" t="n"/>
    </row>
    <row r="635">
      <c r="A635" s="26" t="inlineStr">
        <is>
          <t>S13</t>
        </is>
      </c>
      <c r="B635" s="26" t="inlineStr">
        <is>
          <t>순천 신규점</t>
        </is>
      </c>
      <c r="C635" s="26" t="inlineStr">
        <is>
          <t>S13-H동</t>
        </is>
      </c>
      <c r="D635" s="47" t="n">
        <v>1</v>
      </c>
      <c r="E635" s="26" t="inlineStr">
        <is>
          <t>측정</t>
        </is>
      </c>
      <c r="F635" s="26" t="inlineStr">
        <is>
          <t>동</t>
        </is>
      </c>
      <c r="G635" s="31" t="n">
        <v>4</v>
      </c>
      <c r="H635" s="30" t="n"/>
      <c r="I635" s="43" t="n"/>
      <c r="J635" s="41" t="n"/>
      <c r="K635" s="41" t="n"/>
      <c r="L635" s="41" t="n"/>
      <c r="M635" s="31">
        <f>IF(COUNT(J635:L635)=0,"",MEDIAN(J635:L635))</f>
        <v/>
      </c>
      <c r="N635" s="26">
        <f>IF(COUNTIFS($C:$C,$C635,$D:$D,$D635,$E:$E,"P0(전)",$M:$M,"&gt;0")&lt;&gt;1,"P0(전) 유효 1개 아님",IF(COUNTIFS($C:$C,$C635,$D:$D,$D635,$E:$E,"P0(후)",$M:$M,"&gt;0")&lt;&gt;1,"P0(후) 유효 1개 아님",IF(NOT(AND(ISNUMBER(O635),ISNUMBER(Q635),ISNUMBER(I635))),"시각 결측",IF(Q635&lt;=O635,"P0 시각 역전",IF(OR(I635&lt;O635,I635&gt;Q635),"측정시각 구간 밖","OK")))))</f>
        <v/>
      </c>
      <c r="O635" s="48">
        <f>IF(COUNTIFS($C:$C,$C635,$D:$D,$D635,$E:$E,"P0(전)",$M:$M,"&gt;0")&lt;&gt;1,"",SUMIFS($I:$I,$C:$C,$C635,$D:$D,$D635,$E:$E,"P0(전)"))</f>
        <v/>
      </c>
      <c r="P635" s="31">
        <f>IF(COUNTIFS($C:$C,$C635,$D:$D,$D635,$E:$E,"P0(전)",$M:$M,"&gt;0")&lt;&gt;1,"",SUMIFS($M:$M,$C:$C,$C635,$D:$D,$D635,$E:$E,"P0(전)"))</f>
        <v/>
      </c>
      <c r="Q635" s="48">
        <f>IF(COUNTIFS($C:$C,$C635,$D:$D,$D635,$E:$E,"P0(후)",$M:$M,"&gt;0")&lt;&gt;1,"",SUMIFS($I:$I,$C:$C,$C635,$D:$D,$D635,$E:$E,"P0(후)"))</f>
        <v/>
      </c>
      <c r="R635" s="31">
        <f>IF(COUNTIFS($C:$C,$C635,$D:$D,$D635,$E:$E,"P0(후)",$M:$M,"&gt;0")&lt;&gt;1,"",SUMIFS($M:$M,$C:$C,$C635,$D:$D,$D635,$E:$E,"P0(후)"))</f>
        <v/>
      </c>
      <c r="S635" s="31">
        <f>IF(N635&lt;&gt;"OK","",P635+(R635-P635)*(I635-O635)/(Q635-O635))</f>
        <v/>
      </c>
      <c r="T635" s="31">
        <f>IF(OR(N635&lt;&gt;"OK",NOT(ISNUMBER(M635))),"",M635-S635)</f>
        <v/>
      </c>
      <c r="U635" s="49">
        <f>IF(OR(NOT(ISNUMBER(T635)),IF(ISNUMBER(H635),H635,G635)=0),"",T635/IF(ISNUMBER(H635),H635,G635))</f>
        <v/>
      </c>
      <c r="V635" s="49">
        <f>IF(ISNUMBER(U635),ABS(U635),"")</f>
        <v/>
      </c>
      <c r="W635" s="49">
        <f>IF(OR($E634&lt;&gt;"측정",$C634&lt;&gt;$C635,$D634&lt;&gt;$D635,NOT(ISNUMBER(M635)),NOT(ISNUMBER(M634)),(IF(ISNUMBER(H635),H635,G635)-IF(ISNUMBER(H634),H634,G634))=0),"",(M635-M634)/(IF(ISNUMBER(H635),H635,G635)-IF(ISNUMBER(H634),H634,G634)))</f>
        <v/>
      </c>
      <c r="X635" s="31">
        <f>IF(NOT(AND(ISNUMBER(O635),ISNUMBER(Q635))),"",(Q635-O635)*1440)</f>
        <v/>
      </c>
      <c r="Y635" s="29" t="n"/>
      <c r="Z635" s="29" t="n"/>
      <c r="AA635" s="29" t="n"/>
      <c r="AB635" s="32" t="n"/>
      <c r="AC635" s="32" t="n"/>
    </row>
    <row r="636">
      <c r="A636" s="26" t="inlineStr">
        <is>
          <t>S13</t>
        </is>
      </c>
      <c r="B636" s="26" t="inlineStr">
        <is>
          <t>순천 신규점</t>
        </is>
      </c>
      <c r="C636" s="26" t="inlineStr">
        <is>
          <t>S13-H동</t>
        </is>
      </c>
      <c r="D636" s="47" t="n">
        <v>1</v>
      </c>
      <c r="E636" s="26" t="inlineStr">
        <is>
          <t>측정</t>
        </is>
      </c>
      <c r="F636" s="26" t="inlineStr">
        <is>
          <t>동</t>
        </is>
      </c>
      <c r="G636" s="31" t="n">
        <v>5</v>
      </c>
      <c r="H636" s="30" t="n"/>
      <c r="I636" s="43" t="n"/>
      <c r="J636" s="41" t="n"/>
      <c r="K636" s="41" t="n"/>
      <c r="L636" s="41" t="n"/>
      <c r="M636" s="31">
        <f>IF(COUNT(J636:L636)=0,"",MEDIAN(J636:L636))</f>
        <v/>
      </c>
      <c r="N636" s="26">
        <f>IF(COUNTIFS($C:$C,$C636,$D:$D,$D636,$E:$E,"P0(전)",$M:$M,"&gt;0")&lt;&gt;1,"P0(전) 유효 1개 아님",IF(COUNTIFS($C:$C,$C636,$D:$D,$D636,$E:$E,"P0(후)",$M:$M,"&gt;0")&lt;&gt;1,"P0(후) 유효 1개 아님",IF(NOT(AND(ISNUMBER(O636),ISNUMBER(Q636),ISNUMBER(I636))),"시각 결측",IF(Q636&lt;=O636,"P0 시각 역전",IF(OR(I636&lt;O636,I636&gt;Q636),"측정시각 구간 밖","OK")))))</f>
        <v/>
      </c>
      <c r="O636" s="48">
        <f>IF(COUNTIFS($C:$C,$C636,$D:$D,$D636,$E:$E,"P0(전)",$M:$M,"&gt;0")&lt;&gt;1,"",SUMIFS($I:$I,$C:$C,$C636,$D:$D,$D636,$E:$E,"P0(전)"))</f>
        <v/>
      </c>
      <c r="P636" s="31">
        <f>IF(COUNTIFS($C:$C,$C636,$D:$D,$D636,$E:$E,"P0(전)",$M:$M,"&gt;0")&lt;&gt;1,"",SUMIFS($M:$M,$C:$C,$C636,$D:$D,$D636,$E:$E,"P0(전)"))</f>
        <v/>
      </c>
      <c r="Q636" s="48">
        <f>IF(COUNTIFS($C:$C,$C636,$D:$D,$D636,$E:$E,"P0(후)",$M:$M,"&gt;0")&lt;&gt;1,"",SUMIFS($I:$I,$C:$C,$C636,$D:$D,$D636,$E:$E,"P0(후)"))</f>
        <v/>
      </c>
      <c r="R636" s="31">
        <f>IF(COUNTIFS($C:$C,$C636,$D:$D,$D636,$E:$E,"P0(후)",$M:$M,"&gt;0")&lt;&gt;1,"",SUMIFS($M:$M,$C:$C,$C636,$D:$D,$D636,$E:$E,"P0(후)"))</f>
        <v/>
      </c>
      <c r="S636" s="31">
        <f>IF(N636&lt;&gt;"OK","",P636+(R636-P636)*(I636-O636)/(Q636-O636))</f>
        <v/>
      </c>
      <c r="T636" s="31">
        <f>IF(OR(N636&lt;&gt;"OK",NOT(ISNUMBER(M636))),"",M636-S636)</f>
        <v/>
      </c>
      <c r="U636" s="49">
        <f>IF(OR(NOT(ISNUMBER(T636)),IF(ISNUMBER(H636),H636,G636)=0),"",T636/IF(ISNUMBER(H636),H636,G636))</f>
        <v/>
      </c>
      <c r="V636" s="49">
        <f>IF(ISNUMBER(U636),ABS(U636),"")</f>
        <v/>
      </c>
      <c r="W636" s="49">
        <f>IF(OR($E635&lt;&gt;"측정",$C635&lt;&gt;$C636,$D635&lt;&gt;$D636,NOT(ISNUMBER(M636)),NOT(ISNUMBER(M635)),(IF(ISNUMBER(H636),H636,G636)-IF(ISNUMBER(H635),H635,G635))=0),"",(M636-M635)/(IF(ISNUMBER(H636),H636,G636)-IF(ISNUMBER(H635),H635,G635)))</f>
        <v/>
      </c>
      <c r="X636" s="31">
        <f>IF(NOT(AND(ISNUMBER(O636),ISNUMBER(Q636))),"",(Q636-O636)*1440)</f>
        <v/>
      </c>
      <c r="Y636" s="29" t="n"/>
      <c r="Z636" s="29" t="n"/>
      <c r="AA636" s="29" t="n"/>
      <c r="AB636" s="32" t="n"/>
      <c r="AC636" s="32" t="n"/>
    </row>
    <row r="637">
      <c r="A637" s="26" t="inlineStr">
        <is>
          <t>S13</t>
        </is>
      </c>
      <c r="B637" s="26" t="inlineStr">
        <is>
          <t>순천 신규점</t>
        </is>
      </c>
      <c r="C637" s="26" t="inlineStr">
        <is>
          <t>S13-H동</t>
        </is>
      </c>
      <c r="D637" s="47" t="n">
        <v>1</v>
      </c>
      <c r="E637" s="26" t="inlineStr">
        <is>
          <t>측정</t>
        </is>
      </c>
      <c r="F637" s="26" t="inlineStr">
        <is>
          <t>동</t>
        </is>
      </c>
      <c r="G637" s="31" t="n">
        <v>6</v>
      </c>
      <c r="H637" s="30" t="n"/>
      <c r="I637" s="43" t="n"/>
      <c r="J637" s="41" t="n"/>
      <c r="K637" s="41" t="n"/>
      <c r="L637" s="41" t="n"/>
      <c r="M637" s="31">
        <f>IF(COUNT(J637:L637)=0,"",MEDIAN(J637:L637))</f>
        <v/>
      </c>
      <c r="N637" s="26">
        <f>IF(COUNTIFS($C:$C,$C637,$D:$D,$D637,$E:$E,"P0(전)",$M:$M,"&gt;0")&lt;&gt;1,"P0(전) 유효 1개 아님",IF(COUNTIFS($C:$C,$C637,$D:$D,$D637,$E:$E,"P0(후)",$M:$M,"&gt;0")&lt;&gt;1,"P0(후) 유효 1개 아님",IF(NOT(AND(ISNUMBER(O637),ISNUMBER(Q637),ISNUMBER(I637))),"시각 결측",IF(Q637&lt;=O637,"P0 시각 역전",IF(OR(I637&lt;O637,I637&gt;Q637),"측정시각 구간 밖","OK")))))</f>
        <v/>
      </c>
      <c r="O637" s="48">
        <f>IF(COUNTIFS($C:$C,$C637,$D:$D,$D637,$E:$E,"P0(전)",$M:$M,"&gt;0")&lt;&gt;1,"",SUMIFS($I:$I,$C:$C,$C637,$D:$D,$D637,$E:$E,"P0(전)"))</f>
        <v/>
      </c>
      <c r="P637" s="31">
        <f>IF(COUNTIFS($C:$C,$C637,$D:$D,$D637,$E:$E,"P0(전)",$M:$M,"&gt;0")&lt;&gt;1,"",SUMIFS($M:$M,$C:$C,$C637,$D:$D,$D637,$E:$E,"P0(전)"))</f>
        <v/>
      </c>
      <c r="Q637" s="48">
        <f>IF(COUNTIFS($C:$C,$C637,$D:$D,$D637,$E:$E,"P0(후)",$M:$M,"&gt;0")&lt;&gt;1,"",SUMIFS($I:$I,$C:$C,$C637,$D:$D,$D637,$E:$E,"P0(후)"))</f>
        <v/>
      </c>
      <c r="R637" s="31">
        <f>IF(COUNTIFS($C:$C,$C637,$D:$D,$D637,$E:$E,"P0(후)",$M:$M,"&gt;0")&lt;&gt;1,"",SUMIFS($M:$M,$C:$C,$C637,$D:$D,$D637,$E:$E,"P0(후)"))</f>
        <v/>
      </c>
      <c r="S637" s="31">
        <f>IF(N637&lt;&gt;"OK","",P637+(R637-P637)*(I637-O637)/(Q637-O637))</f>
        <v/>
      </c>
      <c r="T637" s="31">
        <f>IF(OR(N637&lt;&gt;"OK",NOT(ISNUMBER(M637))),"",M637-S637)</f>
        <v/>
      </c>
      <c r="U637" s="49">
        <f>IF(OR(NOT(ISNUMBER(T637)),IF(ISNUMBER(H637),H637,G637)=0),"",T637/IF(ISNUMBER(H637),H637,G637))</f>
        <v/>
      </c>
      <c r="V637" s="49">
        <f>IF(ISNUMBER(U637),ABS(U637),"")</f>
        <v/>
      </c>
      <c r="W637" s="49">
        <f>IF(OR($E636&lt;&gt;"측정",$C636&lt;&gt;$C637,$D636&lt;&gt;$D637,NOT(ISNUMBER(M637)),NOT(ISNUMBER(M636)),(IF(ISNUMBER(H637),H637,G637)-IF(ISNUMBER(H636),H636,G636))=0),"",(M637-M636)/(IF(ISNUMBER(H637),H637,G637)-IF(ISNUMBER(H636),H636,G636)))</f>
        <v/>
      </c>
      <c r="X637" s="31">
        <f>IF(NOT(AND(ISNUMBER(O637),ISNUMBER(Q637))),"",(Q637-O637)*1440)</f>
        <v/>
      </c>
      <c r="Y637" s="29" t="n"/>
      <c r="Z637" s="29" t="n"/>
      <c r="AA637" s="29" t="n"/>
      <c r="AB637" s="32" t="n"/>
      <c r="AC637" s="32" t="n"/>
    </row>
    <row r="638">
      <c r="A638" s="26" t="inlineStr">
        <is>
          <t>S13</t>
        </is>
      </c>
      <c r="B638" s="26" t="inlineStr">
        <is>
          <t>순천 신규점</t>
        </is>
      </c>
      <c r="C638" s="26" t="inlineStr">
        <is>
          <t>S13-H동</t>
        </is>
      </c>
      <c r="D638" s="47" t="n">
        <v>1</v>
      </c>
      <c r="E638" s="26" t="inlineStr">
        <is>
          <t>측정</t>
        </is>
      </c>
      <c r="F638" s="26" t="inlineStr">
        <is>
          <t>동</t>
        </is>
      </c>
      <c r="G638" s="31" t="n">
        <v>7</v>
      </c>
      <c r="H638" s="30" t="n"/>
      <c r="I638" s="43" t="n"/>
      <c r="J638" s="41" t="n"/>
      <c r="K638" s="41" t="n"/>
      <c r="L638" s="41" t="n"/>
      <c r="M638" s="31">
        <f>IF(COUNT(J638:L638)=0,"",MEDIAN(J638:L638))</f>
        <v/>
      </c>
      <c r="N638" s="26">
        <f>IF(COUNTIFS($C:$C,$C638,$D:$D,$D638,$E:$E,"P0(전)",$M:$M,"&gt;0")&lt;&gt;1,"P0(전) 유효 1개 아님",IF(COUNTIFS($C:$C,$C638,$D:$D,$D638,$E:$E,"P0(후)",$M:$M,"&gt;0")&lt;&gt;1,"P0(후) 유효 1개 아님",IF(NOT(AND(ISNUMBER(O638),ISNUMBER(Q638),ISNUMBER(I638))),"시각 결측",IF(Q638&lt;=O638,"P0 시각 역전",IF(OR(I638&lt;O638,I638&gt;Q638),"측정시각 구간 밖","OK")))))</f>
        <v/>
      </c>
      <c r="O638" s="48">
        <f>IF(COUNTIFS($C:$C,$C638,$D:$D,$D638,$E:$E,"P0(전)",$M:$M,"&gt;0")&lt;&gt;1,"",SUMIFS($I:$I,$C:$C,$C638,$D:$D,$D638,$E:$E,"P0(전)"))</f>
        <v/>
      </c>
      <c r="P638" s="31">
        <f>IF(COUNTIFS($C:$C,$C638,$D:$D,$D638,$E:$E,"P0(전)",$M:$M,"&gt;0")&lt;&gt;1,"",SUMIFS($M:$M,$C:$C,$C638,$D:$D,$D638,$E:$E,"P0(전)"))</f>
        <v/>
      </c>
      <c r="Q638" s="48">
        <f>IF(COUNTIFS($C:$C,$C638,$D:$D,$D638,$E:$E,"P0(후)",$M:$M,"&gt;0")&lt;&gt;1,"",SUMIFS($I:$I,$C:$C,$C638,$D:$D,$D638,$E:$E,"P0(후)"))</f>
        <v/>
      </c>
      <c r="R638" s="31">
        <f>IF(COUNTIFS($C:$C,$C638,$D:$D,$D638,$E:$E,"P0(후)",$M:$M,"&gt;0")&lt;&gt;1,"",SUMIFS($M:$M,$C:$C,$C638,$D:$D,$D638,$E:$E,"P0(후)"))</f>
        <v/>
      </c>
      <c r="S638" s="31">
        <f>IF(N638&lt;&gt;"OK","",P638+(R638-P638)*(I638-O638)/(Q638-O638))</f>
        <v/>
      </c>
      <c r="T638" s="31">
        <f>IF(OR(N638&lt;&gt;"OK",NOT(ISNUMBER(M638))),"",M638-S638)</f>
        <v/>
      </c>
      <c r="U638" s="49">
        <f>IF(OR(NOT(ISNUMBER(T638)),IF(ISNUMBER(H638),H638,G638)=0),"",T638/IF(ISNUMBER(H638),H638,G638))</f>
        <v/>
      </c>
      <c r="V638" s="49">
        <f>IF(ISNUMBER(U638),ABS(U638),"")</f>
        <v/>
      </c>
      <c r="W638" s="49">
        <f>IF(OR($E637&lt;&gt;"측정",$C637&lt;&gt;$C638,$D637&lt;&gt;$D638,NOT(ISNUMBER(M638)),NOT(ISNUMBER(M637)),(IF(ISNUMBER(H638),H638,G638)-IF(ISNUMBER(H637),H637,G637))=0),"",(M638-M637)/(IF(ISNUMBER(H638),H638,G638)-IF(ISNUMBER(H637),H637,G637)))</f>
        <v/>
      </c>
      <c r="X638" s="31">
        <f>IF(NOT(AND(ISNUMBER(O638),ISNUMBER(Q638))),"",(Q638-O638)*1440)</f>
        <v/>
      </c>
      <c r="Y638" s="29" t="n"/>
      <c r="Z638" s="29" t="n"/>
      <c r="AA638" s="29" t="n"/>
      <c r="AB638" s="32" t="n"/>
      <c r="AC638" s="32" t="n"/>
    </row>
    <row r="639">
      <c r="A639" s="26" t="inlineStr">
        <is>
          <t>S13</t>
        </is>
      </c>
      <c r="B639" s="26" t="inlineStr">
        <is>
          <t>순천 신규점</t>
        </is>
      </c>
      <c r="C639" s="26" t="inlineStr">
        <is>
          <t>S13-H동</t>
        </is>
      </c>
      <c r="D639" s="47" t="n">
        <v>1</v>
      </c>
      <c r="E639" s="26" t="inlineStr">
        <is>
          <t>측정</t>
        </is>
      </c>
      <c r="F639" s="26" t="inlineStr">
        <is>
          <t>동</t>
        </is>
      </c>
      <c r="G639" s="31" t="n">
        <v>8</v>
      </c>
      <c r="H639" s="30" t="n"/>
      <c r="I639" s="43" t="n"/>
      <c r="J639" s="41" t="n"/>
      <c r="K639" s="41" t="n"/>
      <c r="L639" s="41" t="n"/>
      <c r="M639" s="31">
        <f>IF(COUNT(J639:L639)=0,"",MEDIAN(J639:L639))</f>
        <v/>
      </c>
      <c r="N639" s="26">
        <f>IF(COUNTIFS($C:$C,$C639,$D:$D,$D639,$E:$E,"P0(전)",$M:$M,"&gt;0")&lt;&gt;1,"P0(전) 유효 1개 아님",IF(COUNTIFS($C:$C,$C639,$D:$D,$D639,$E:$E,"P0(후)",$M:$M,"&gt;0")&lt;&gt;1,"P0(후) 유효 1개 아님",IF(NOT(AND(ISNUMBER(O639),ISNUMBER(Q639),ISNUMBER(I639))),"시각 결측",IF(Q639&lt;=O639,"P0 시각 역전",IF(OR(I639&lt;O639,I639&gt;Q639),"측정시각 구간 밖","OK")))))</f>
        <v/>
      </c>
      <c r="O639" s="48">
        <f>IF(COUNTIFS($C:$C,$C639,$D:$D,$D639,$E:$E,"P0(전)",$M:$M,"&gt;0")&lt;&gt;1,"",SUMIFS($I:$I,$C:$C,$C639,$D:$D,$D639,$E:$E,"P0(전)"))</f>
        <v/>
      </c>
      <c r="P639" s="31">
        <f>IF(COUNTIFS($C:$C,$C639,$D:$D,$D639,$E:$E,"P0(전)",$M:$M,"&gt;0")&lt;&gt;1,"",SUMIFS($M:$M,$C:$C,$C639,$D:$D,$D639,$E:$E,"P0(전)"))</f>
        <v/>
      </c>
      <c r="Q639" s="48">
        <f>IF(COUNTIFS($C:$C,$C639,$D:$D,$D639,$E:$E,"P0(후)",$M:$M,"&gt;0")&lt;&gt;1,"",SUMIFS($I:$I,$C:$C,$C639,$D:$D,$D639,$E:$E,"P0(후)"))</f>
        <v/>
      </c>
      <c r="R639" s="31">
        <f>IF(COUNTIFS($C:$C,$C639,$D:$D,$D639,$E:$E,"P0(후)",$M:$M,"&gt;0")&lt;&gt;1,"",SUMIFS($M:$M,$C:$C,$C639,$D:$D,$D639,$E:$E,"P0(후)"))</f>
        <v/>
      </c>
      <c r="S639" s="31">
        <f>IF(N639&lt;&gt;"OK","",P639+(R639-P639)*(I639-O639)/(Q639-O639))</f>
        <v/>
      </c>
      <c r="T639" s="31">
        <f>IF(OR(N639&lt;&gt;"OK",NOT(ISNUMBER(M639))),"",M639-S639)</f>
        <v/>
      </c>
      <c r="U639" s="49">
        <f>IF(OR(NOT(ISNUMBER(T639)),IF(ISNUMBER(H639),H639,G639)=0),"",T639/IF(ISNUMBER(H639),H639,G639))</f>
        <v/>
      </c>
      <c r="V639" s="49">
        <f>IF(ISNUMBER(U639),ABS(U639),"")</f>
        <v/>
      </c>
      <c r="W639" s="49">
        <f>IF(OR($E638&lt;&gt;"측정",$C638&lt;&gt;$C639,$D638&lt;&gt;$D639,NOT(ISNUMBER(M639)),NOT(ISNUMBER(M638)),(IF(ISNUMBER(H639),H639,G639)-IF(ISNUMBER(H638),H638,G638))=0),"",(M639-M638)/(IF(ISNUMBER(H639),H639,G639)-IF(ISNUMBER(H638),H638,G638)))</f>
        <v/>
      </c>
      <c r="X639" s="31">
        <f>IF(NOT(AND(ISNUMBER(O639),ISNUMBER(Q639))),"",(Q639-O639)*1440)</f>
        <v/>
      </c>
      <c r="Y639" s="29" t="n"/>
      <c r="Z639" s="29" t="n"/>
      <c r="AA639" s="29" t="n"/>
      <c r="AB639" s="32" t="n"/>
      <c r="AC639" s="32" t="n"/>
    </row>
    <row r="640">
      <c r="A640" s="26" t="inlineStr">
        <is>
          <t>S13</t>
        </is>
      </c>
      <c r="B640" s="26" t="inlineStr">
        <is>
          <t>순천 신규점</t>
        </is>
      </c>
      <c r="C640" s="26" t="inlineStr">
        <is>
          <t>S13-H동</t>
        </is>
      </c>
      <c r="D640" s="47" t="n">
        <v>1</v>
      </c>
      <c r="E640" s="26" t="inlineStr">
        <is>
          <t>측정</t>
        </is>
      </c>
      <c r="F640" s="26" t="inlineStr">
        <is>
          <t>동</t>
        </is>
      </c>
      <c r="G640" s="31" t="n">
        <v>9</v>
      </c>
      <c r="H640" s="30" t="n"/>
      <c r="I640" s="43" t="n"/>
      <c r="J640" s="41" t="n"/>
      <c r="K640" s="41" t="n"/>
      <c r="L640" s="41" t="n"/>
      <c r="M640" s="31">
        <f>IF(COUNT(J640:L640)=0,"",MEDIAN(J640:L640))</f>
        <v/>
      </c>
      <c r="N640" s="26">
        <f>IF(COUNTIFS($C:$C,$C640,$D:$D,$D640,$E:$E,"P0(전)",$M:$M,"&gt;0")&lt;&gt;1,"P0(전) 유효 1개 아님",IF(COUNTIFS($C:$C,$C640,$D:$D,$D640,$E:$E,"P0(후)",$M:$M,"&gt;0")&lt;&gt;1,"P0(후) 유효 1개 아님",IF(NOT(AND(ISNUMBER(O640),ISNUMBER(Q640),ISNUMBER(I640))),"시각 결측",IF(Q640&lt;=O640,"P0 시각 역전",IF(OR(I640&lt;O640,I640&gt;Q640),"측정시각 구간 밖","OK")))))</f>
        <v/>
      </c>
      <c r="O640" s="48">
        <f>IF(COUNTIFS($C:$C,$C640,$D:$D,$D640,$E:$E,"P0(전)",$M:$M,"&gt;0")&lt;&gt;1,"",SUMIFS($I:$I,$C:$C,$C640,$D:$D,$D640,$E:$E,"P0(전)"))</f>
        <v/>
      </c>
      <c r="P640" s="31">
        <f>IF(COUNTIFS($C:$C,$C640,$D:$D,$D640,$E:$E,"P0(전)",$M:$M,"&gt;0")&lt;&gt;1,"",SUMIFS($M:$M,$C:$C,$C640,$D:$D,$D640,$E:$E,"P0(전)"))</f>
        <v/>
      </c>
      <c r="Q640" s="48">
        <f>IF(COUNTIFS($C:$C,$C640,$D:$D,$D640,$E:$E,"P0(후)",$M:$M,"&gt;0")&lt;&gt;1,"",SUMIFS($I:$I,$C:$C,$C640,$D:$D,$D640,$E:$E,"P0(후)"))</f>
        <v/>
      </c>
      <c r="R640" s="31">
        <f>IF(COUNTIFS($C:$C,$C640,$D:$D,$D640,$E:$E,"P0(후)",$M:$M,"&gt;0")&lt;&gt;1,"",SUMIFS($M:$M,$C:$C,$C640,$D:$D,$D640,$E:$E,"P0(후)"))</f>
        <v/>
      </c>
      <c r="S640" s="31">
        <f>IF(N640&lt;&gt;"OK","",P640+(R640-P640)*(I640-O640)/(Q640-O640))</f>
        <v/>
      </c>
      <c r="T640" s="31">
        <f>IF(OR(N640&lt;&gt;"OK",NOT(ISNUMBER(M640))),"",M640-S640)</f>
        <v/>
      </c>
      <c r="U640" s="49">
        <f>IF(OR(NOT(ISNUMBER(T640)),IF(ISNUMBER(H640),H640,G640)=0),"",T640/IF(ISNUMBER(H640),H640,G640))</f>
        <v/>
      </c>
      <c r="V640" s="49">
        <f>IF(ISNUMBER(U640),ABS(U640),"")</f>
        <v/>
      </c>
      <c r="W640" s="49">
        <f>IF(OR($E639&lt;&gt;"측정",$C639&lt;&gt;$C640,$D639&lt;&gt;$D640,NOT(ISNUMBER(M640)),NOT(ISNUMBER(M639)),(IF(ISNUMBER(H640),H640,G640)-IF(ISNUMBER(H639),H639,G639))=0),"",(M640-M639)/(IF(ISNUMBER(H640),H640,G640)-IF(ISNUMBER(H639),H639,G639)))</f>
        <v/>
      </c>
      <c r="X640" s="31">
        <f>IF(NOT(AND(ISNUMBER(O640),ISNUMBER(Q640))),"",(Q640-O640)*1440)</f>
        <v/>
      </c>
      <c r="Y640" s="29" t="n"/>
      <c r="Z640" s="29" t="n"/>
      <c r="AA640" s="29" t="n"/>
      <c r="AB640" s="32" t="n"/>
      <c r="AC640" s="32" t="n"/>
    </row>
    <row r="641">
      <c r="A641" s="26" t="inlineStr">
        <is>
          <t>S13</t>
        </is>
      </c>
      <c r="B641" s="26" t="inlineStr">
        <is>
          <t>순천 신규점</t>
        </is>
      </c>
      <c r="C641" s="26" t="inlineStr">
        <is>
          <t>S13-H동</t>
        </is>
      </c>
      <c r="D641" s="47" t="n">
        <v>1</v>
      </c>
      <c r="E641" s="26" t="inlineStr">
        <is>
          <t>측정</t>
        </is>
      </c>
      <c r="F641" s="26" t="inlineStr">
        <is>
          <t>동</t>
        </is>
      </c>
      <c r="G641" s="31" t="n">
        <v>10</v>
      </c>
      <c r="H641" s="30" t="n"/>
      <c r="I641" s="43" t="n"/>
      <c r="J641" s="41" t="n"/>
      <c r="K641" s="41" t="n"/>
      <c r="L641" s="41" t="n"/>
      <c r="M641" s="31">
        <f>IF(COUNT(J641:L641)=0,"",MEDIAN(J641:L641))</f>
        <v/>
      </c>
      <c r="N641" s="26">
        <f>IF(COUNTIFS($C:$C,$C641,$D:$D,$D641,$E:$E,"P0(전)",$M:$M,"&gt;0")&lt;&gt;1,"P0(전) 유효 1개 아님",IF(COUNTIFS($C:$C,$C641,$D:$D,$D641,$E:$E,"P0(후)",$M:$M,"&gt;0")&lt;&gt;1,"P0(후) 유효 1개 아님",IF(NOT(AND(ISNUMBER(O641),ISNUMBER(Q641),ISNUMBER(I641))),"시각 결측",IF(Q641&lt;=O641,"P0 시각 역전",IF(OR(I641&lt;O641,I641&gt;Q641),"측정시각 구간 밖","OK")))))</f>
        <v/>
      </c>
      <c r="O641" s="48">
        <f>IF(COUNTIFS($C:$C,$C641,$D:$D,$D641,$E:$E,"P0(전)",$M:$M,"&gt;0")&lt;&gt;1,"",SUMIFS($I:$I,$C:$C,$C641,$D:$D,$D641,$E:$E,"P0(전)"))</f>
        <v/>
      </c>
      <c r="P641" s="31">
        <f>IF(COUNTIFS($C:$C,$C641,$D:$D,$D641,$E:$E,"P0(전)",$M:$M,"&gt;0")&lt;&gt;1,"",SUMIFS($M:$M,$C:$C,$C641,$D:$D,$D641,$E:$E,"P0(전)"))</f>
        <v/>
      </c>
      <c r="Q641" s="48">
        <f>IF(COUNTIFS($C:$C,$C641,$D:$D,$D641,$E:$E,"P0(후)",$M:$M,"&gt;0")&lt;&gt;1,"",SUMIFS($I:$I,$C:$C,$C641,$D:$D,$D641,$E:$E,"P0(후)"))</f>
        <v/>
      </c>
      <c r="R641" s="31">
        <f>IF(COUNTIFS($C:$C,$C641,$D:$D,$D641,$E:$E,"P0(후)",$M:$M,"&gt;0")&lt;&gt;1,"",SUMIFS($M:$M,$C:$C,$C641,$D:$D,$D641,$E:$E,"P0(후)"))</f>
        <v/>
      </c>
      <c r="S641" s="31">
        <f>IF(N641&lt;&gt;"OK","",P641+(R641-P641)*(I641-O641)/(Q641-O641))</f>
        <v/>
      </c>
      <c r="T641" s="31">
        <f>IF(OR(N641&lt;&gt;"OK",NOT(ISNUMBER(M641))),"",M641-S641)</f>
        <v/>
      </c>
      <c r="U641" s="49">
        <f>IF(OR(NOT(ISNUMBER(T641)),IF(ISNUMBER(H641),H641,G641)=0),"",T641/IF(ISNUMBER(H641),H641,G641))</f>
        <v/>
      </c>
      <c r="V641" s="49">
        <f>IF(ISNUMBER(U641),ABS(U641),"")</f>
        <v/>
      </c>
      <c r="W641" s="49">
        <f>IF(OR($E640&lt;&gt;"측정",$C640&lt;&gt;$C641,$D640&lt;&gt;$D641,NOT(ISNUMBER(M641)),NOT(ISNUMBER(M640)),(IF(ISNUMBER(H641),H641,G641)-IF(ISNUMBER(H640),H640,G640))=0),"",(M641-M640)/(IF(ISNUMBER(H641),H641,G641)-IF(ISNUMBER(H640),H640,G640)))</f>
        <v/>
      </c>
      <c r="X641" s="31">
        <f>IF(NOT(AND(ISNUMBER(O641),ISNUMBER(Q641))),"",(Q641-O641)*1440)</f>
        <v/>
      </c>
      <c r="Y641" s="29" t="n"/>
      <c r="Z641" s="29" t="n"/>
      <c r="AA641" s="29" t="n"/>
      <c r="AB641" s="32" t="n"/>
      <c r="AC641" s="32" t="n"/>
    </row>
    <row r="642">
      <c r="A642" s="44" t="inlineStr">
        <is>
          <t>S13</t>
        </is>
      </c>
      <c r="B642" s="44" t="inlineStr">
        <is>
          <t>순천 신규점</t>
        </is>
      </c>
      <c r="C642" s="44" t="inlineStr">
        <is>
          <t>S13-H동</t>
        </is>
      </c>
      <c r="D642" s="45" t="n">
        <v>1</v>
      </c>
      <c r="E642" s="44" t="inlineStr">
        <is>
          <t>P0(후)</t>
        </is>
      </c>
      <c r="F642" s="44" t="inlineStr">
        <is>
          <t>동</t>
        </is>
      </c>
      <c r="G642" s="46" t="n"/>
      <c r="H642" s="30" t="n"/>
      <c r="I642" s="43" t="n"/>
      <c r="J642" s="41" t="n"/>
      <c r="K642" s="41" t="n"/>
      <c r="L642" s="41" t="n"/>
      <c r="M642" s="31">
        <f>IF(COUNT(J642:L642)=0,"",MEDIAN(J642:L642))</f>
        <v/>
      </c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38" t="n"/>
      <c r="Y642" s="29" t="n"/>
      <c r="Z642" s="29" t="n"/>
      <c r="AA642" s="29" t="n"/>
      <c r="AB642" s="32" t="n"/>
      <c r="AC642" s="32" t="n"/>
    </row>
    <row r="643">
      <c r="A643" s="44" t="inlineStr">
        <is>
          <t>S13</t>
        </is>
      </c>
      <c r="B643" s="44" t="inlineStr">
        <is>
          <t>순천 신규점</t>
        </is>
      </c>
      <c r="C643" s="44" t="inlineStr">
        <is>
          <t>S13-H서</t>
        </is>
      </c>
      <c r="D643" s="45" t="n">
        <v>1</v>
      </c>
      <c r="E643" s="44" t="inlineStr">
        <is>
          <t>P0(전)</t>
        </is>
      </c>
      <c r="F643" s="44" t="inlineStr">
        <is>
          <t>서</t>
        </is>
      </c>
      <c r="G643" s="46" t="n"/>
      <c r="H643" s="30" t="n"/>
      <c r="I643" s="43" t="n"/>
      <c r="J643" s="41" t="n"/>
      <c r="K643" s="41" t="n"/>
      <c r="L643" s="41" t="n"/>
      <c r="M643" s="31">
        <f>IF(COUNT(J643:L643)=0,"",MEDIAN(J643:L643))</f>
        <v/>
      </c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  <c r="X643" s="38" t="n"/>
      <c r="Y643" s="29" t="n"/>
      <c r="Z643" s="29" t="n"/>
      <c r="AA643" s="29" t="n"/>
      <c r="AB643" s="32" t="n"/>
      <c r="AC643" s="32" t="n"/>
    </row>
    <row r="644">
      <c r="A644" s="26" t="inlineStr">
        <is>
          <t>S13</t>
        </is>
      </c>
      <c r="B644" s="26" t="inlineStr">
        <is>
          <t>순천 신규점</t>
        </is>
      </c>
      <c r="C644" s="26" t="inlineStr">
        <is>
          <t>S13-H서</t>
        </is>
      </c>
      <c r="D644" s="47" t="n">
        <v>1</v>
      </c>
      <c r="E644" s="26" t="inlineStr">
        <is>
          <t>측정</t>
        </is>
      </c>
      <c r="F644" s="26" t="inlineStr">
        <is>
          <t>서</t>
        </is>
      </c>
      <c r="G644" s="31" t="n">
        <v>0.5</v>
      </c>
      <c r="H644" s="30" t="n"/>
      <c r="I644" s="43" t="n"/>
      <c r="J644" s="41" t="n"/>
      <c r="K644" s="41" t="n"/>
      <c r="L644" s="41" t="n"/>
      <c r="M644" s="31">
        <f>IF(COUNT(J644:L644)=0,"",MEDIAN(J644:L644))</f>
        <v/>
      </c>
      <c r="N644" s="26">
        <f>IF(COUNTIFS($C:$C,$C644,$D:$D,$D644,$E:$E,"P0(전)",$M:$M,"&gt;0")&lt;&gt;1,"P0(전) 유효 1개 아님",IF(COUNTIFS($C:$C,$C644,$D:$D,$D644,$E:$E,"P0(후)",$M:$M,"&gt;0")&lt;&gt;1,"P0(후) 유효 1개 아님",IF(NOT(AND(ISNUMBER(O644),ISNUMBER(Q644),ISNUMBER(I644))),"시각 결측",IF(Q644&lt;=O644,"P0 시각 역전",IF(OR(I644&lt;O644,I644&gt;Q644),"측정시각 구간 밖","OK")))))</f>
        <v/>
      </c>
      <c r="O644" s="48">
        <f>IF(COUNTIFS($C:$C,$C644,$D:$D,$D644,$E:$E,"P0(전)",$M:$M,"&gt;0")&lt;&gt;1,"",SUMIFS($I:$I,$C:$C,$C644,$D:$D,$D644,$E:$E,"P0(전)"))</f>
        <v/>
      </c>
      <c r="P644" s="31">
        <f>IF(COUNTIFS($C:$C,$C644,$D:$D,$D644,$E:$E,"P0(전)",$M:$M,"&gt;0")&lt;&gt;1,"",SUMIFS($M:$M,$C:$C,$C644,$D:$D,$D644,$E:$E,"P0(전)"))</f>
        <v/>
      </c>
      <c r="Q644" s="48">
        <f>IF(COUNTIFS($C:$C,$C644,$D:$D,$D644,$E:$E,"P0(후)",$M:$M,"&gt;0")&lt;&gt;1,"",SUMIFS($I:$I,$C:$C,$C644,$D:$D,$D644,$E:$E,"P0(후)"))</f>
        <v/>
      </c>
      <c r="R644" s="31">
        <f>IF(COUNTIFS($C:$C,$C644,$D:$D,$D644,$E:$E,"P0(후)",$M:$M,"&gt;0")&lt;&gt;1,"",SUMIFS($M:$M,$C:$C,$C644,$D:$D,$D644,$E:$E,"P0(후)"))</f>
        <v/>
      </c>
      <c r="S644" s="31">
        <f>IF(N644&lt;&gt;"OK","",P644+(R644-P644)*(I644-O644)/(Q644-O644))</f>
        <v/>
      </c>
      <c r="T644" s="31">
        <f>IF(OR(N644&lt;&gt;"OK",NOT(ISNUMBER(M644))),"",M644-S644)</f>
        <v/>
      </c>
      <c r="U644" s="49">
        <f>IF(OR(NOT(ISNUMBER(T644)),IF(ISNUMBER(H644),H644,G644)=0),"",T644/IF(ISNUMBER(H644),H644,G644))</f>
        <v/>
      </c>
      <c r="V644" s="49">
        <f>IF(ISNUMBER(U644),ABS(U644),"")</f>
        <v/>
      </c>
      <c r="W644" s="49">
        <f>IF(OR($E643&lt;&gt;"측정",$C643&lt;&gt;$C644,$D643&lt;&gt;$D644,NOT(ISNUMBER(M644)),NOT(ISNUMBER(M643)),(IF(ISNUMBER(H644),H644,G644)-IF(ISNUMBER(H643),H643,G643))=0),"",(M644-M643)/(IF(ISNUMBER(H644),H644,G644)-IF(ISNUMBER(H643),H643,G643)))</f>
        <v/>
      </c>
      <c r="X644" s="31">
        <f>IF(NOT(AND(ISNUMBER(O644),ISNUMBER(Q644))),"",(Q644-O644)*1440)</f>
        <v/>
      </c>
      <c r="Y644" s="29" t="n"/>
      <c r="Z644" s="29" t="n"/>
      <c r="AA644" s="29" t="n"/>
      <c r="AB644" s="32" t="n"/>
      <c r="AC644" s="32" t="n"/>
    </row>
    <row r="645">
      <c r="A645" s="26" t="inlineStr">
        <is>
          <t>S13</t>
        </is>
      </c>
      <c r="B645" s="26" t="inlineStr">
        <is>
          <t>순천 신규점</t>
        </is>
      </c>
      <c r="C645" s="26" t="inlineStr">
        <is>
          <t>S13-H서</t>
        </is>
      </c>
      <c r="D645" s="47" t="n">
        <v>1</v>
      </c>
      <c r="E645" s="26" t="inlineStr">
        <is>
          <t>측정</t>
        </is>
      </c>
      <c r="F645" s="26" t="inlineStr">
        <is>
          <t>서</t>
        </is>
      </c>
      <c r="G645" s="31" t="n">
        <v>1</v>
      </c>
      <c r="H645" s="30" t="n"/>
      <c r="I645" s="43" t="n"/>
      <c r="J645" s="41" t="n"/>
      <c r="K645" s="41" t="n"/>
      <c r="L645" s="41" t="n"/>
      <c r="M645" s="31">
        <f>IF(COUNT(J645:L645)=0,"",MEDIAN(J645:L645))</f>
        <v/>
      </c>
      <c r="N645" s="26">
        <f>IF(COUNTIFS($C:$C,$C645,$D:$D,$D645,$E:$E,"P0(전)",$M:$M,"&gt;0")&lt;&gt;1,"P0(전) 유효 1개 아님",IF(COUNTIFS($C:$C,$C645,$D:$D,$D645,$E:$E,"P0(후)",$M:$M,"&gt;0")&lt;&gt;1,"P0(후) 유효 1개 아님",IF(NOT(AND(ISNUMBER(O645),ISNUMBER(Q645),ISNUMBER(I645))),"시각 결측",IF(Q645&lt;=O645,"P0 시각 역전",IF(OR(I645&lt;O645,I645&gt;Q645),"측정시각 구간 밖","OK")))))</f>
        <v/>
      </c>
      <c r="O645" s="48">
        <f>IF(COUNTIFS($C:$C,$C645,$D:$D,$D645,$E:$E,"P0(전)",$M:$M,"&gt;0")&lt;&gt;1,"",SUMIFS($I:$I,$C:$C,$C645,$D:$D,$D645,$E:$E,"P0(전)"))</f>
        <v/>
      </c>
      <c r="P645" s="31">
        <f>IF(COUNTIFS($C:$C,$C645,$D:$D,$D645,$E:$E,"P0(전)",$M:$M,"&gt;0")&lt;&gt;1,"",SUMIFS($M:$M,$C:$C,$C645,$D:$D,$D645,$E:$E,"P0(전)"))</f>
        <v/>
      </c>
      <c r="Q645" s="48">
        <f>IF(COUNTIFS($C:$C,$C645,$D:$D,$D645,$E:$E,"P0(후)",$M:$M,"&gt;0")&lt;&gt;1,"",SUMIFS($I:$I,$C:$C,$C645,$D:$D,$D645,$E:$E,"P0(후)"))</f>
        <v/>
      </c>
      <c r="R645" s="31">
        <f>IF(COUNTIFS($C:$C,$C645,$D:$D,$D645,$E:$E,"P0(후)",$M:$M,"&gt;0")&lt;&gt;1,"",SUMIFS($M:$M,$C:$C,$C645,$D:$D,$D645,$E:$E,"P0(후)"))</f>
        <v/>
      </c>
      <c r="S645" s="31">
        <f>IF(N645&lt;&gt;"OK","",P645+(R645-P645)*(I645-O645)/(Q645-O645))</f>
        <v/>
      </c>
      <c r="T645" s="31">
        <f>IF(OR(N645&lt;&gt;"OK",NOT(ISNUMBER(M645))),"",M645-S645)</f>
        <v/>
      </c>
      <c r="U645" s="49">
        <f>IF(OR(NOT(ISNUMBER(T645)),IF(ISNUMBER(H645),H645,G645)=0),"",T645/IF(ISNUMBER(H645),H645,G645))</f>
        <v/>
      </c>
      <c r="V645" s="49">
        <f>IF(ISNUMBER(U645),ABS(U645),"")</f>
        <v/>
      </c>
      <c r="W645" s="49">
        <f>IF(OR($E644&lt;&gt;"측정",$C644&lt;&gt;$C645,$D644&lt;&gt;$D645,NOT(ISNUMBER(M645)),NOT(ISNUMBER(M644)),(IF(ISNUMBER(H645),H645,G645)-IF(ISNUMBER(H644),H644,G644))=0),"",(M645-M644)/(IF(ISNUMBER(H645),H645,G645)-IF(ISNUMBER(H644),H644,G644)))</f>
        <v/>
      </c>
      <c r="X645" s="31">
        <f>IF(NOT(AND(ISNUMBER(O645),ISNUMBER(Q645))),"",(Q645-O645)*1440)</f>
        <v/>
      </c>
      <c r="Y645" s="29" t="n"/>
      <c r="Z645" s="29" t="n"/>
      <c r="AA645" s="29" t="n"/>
      <c r="AB645" s="32" t="n"/>
      <c r="AC645" s="32" t="n"/>
    </row>
    <row r="646">
      <c r="A646" s="26" t="inlineStr">
        <is>
          <t>S13</t>
        </is>
      </c>
      <c r="B646" s="26" t="inlineStr">
        <is>
          <t>순천 신규점</t>
        </is>
      </c>
      <c r="C646" s="26" t="inlineStr">
        <is>
          <t>S13-H서</t>
        </is>
      </c>
      <c r="D646" s="47" t="n">
        <v>1</v>
      </c>
      <c r="E646" s="26" t="inlineStr">
        <is>
          <t>측정</t>
        </is>
      </c>
      <c r="F646" s="26" t="inlineStr">
        <is>
          <t>서</t>
        </is>
      </c>
      <c r="G646" s="31" t="n">
        <v>2</v>
      </c>
      <c r="H646" s="30" t="n"/>
      <c r="I646" s="43" t="n"/>
      <c r="J646" s="41" t="n"/>
      <c r="K646" s="41" t="n"/>
      <c r="L646" s="41" t="n"/>
      <c r="M646" s="31">
        <f>IF(COUNT(J646:L646)=0,"",MEDIAN(J646:L646))</f>
        <v/>
      </c>
      <c r="N646" s="26">
        <f>IF(COUNTIFS($C:$C,$C646,$D:$D,$D646,$E:$E,"P0(전)",$M:$M,"&gt;0")&lt;&gt;1,"P0(전) 유효 1개 아님",IF(COUNTIFS($C:$C,$C646,$D:$D,$D646,$E:$E,"P0(후)",$M:$M,"&gt;0")&lt;&gt;1,"P0(후) 유효 1개 아님",IF(NOT(AND(ISNUMBER(O646),ISNUMBER(Q646),ISNUMBER(I646))),"시각 결측",IF(Q646&lt;=O646,"P0 시각 역전",IF(OR(I646&lt;O646,I646&gt;Q646),"측정시각 구간 밖","OK")))))</f>
        <v/>
      </c>
      <c r="O646" s="48">
        <f>IF(COUNTIFS($C:$C,$C646,$D:$D,$D646,$E:$E,"P0(전)",$M:$M,"&gt;0")&lt;&gt;1,"",SUMIFS($I:$I,$C:$C,$C646,$D:$D,$D646,$E:$E,"P0(전)"))</f>
        <v/>
      </c>
      <c r="P646" s="31">
        <f>IF(COUNTIFS($C:$C,$C646,$D:$D,$D646,$E:$E,"P0(전)",$M:$M,"&gt;0")&lt;&gt;1,"",SUMIFS($M:$M,$C:$C,$C646,$D:$D,$D646,$E:$E,"P0(전)"))</f>
        <v/>
      </c>
      <c r="Q646" s="48">
        <f>IF(COUNTIFS($C:$C,$C646,$D:$D,$D646,$E:$E,"P0(후)",$M:$M,"&gt;0")&lt;&gt;1,"",SUMIFS($I:$I,$C:$C,$C646,$D:$D,$D646,$E:$E,"P0(후)"))</f>
        <v/>
      </c>
      <c r="R646" s="31">
        <f>IF(COUNTIFS($C:$C,$C646,$D:$D,$D646,$E:$E,"P0(후)",$M:$M,"&gt;0")&lt;&gt;1,"",SUMIFS($M:$M,$C:$C,$C646,$D:$D,$D646,$E:$E,"P0(후)"))</f>
        <v/>
      </c>
      <c r="S646" s="31">
        <f>IF(N646&lt;&gt;"OK","",P646+(R646-P646)*(I646-O646)/(Q646-O646))</f>
        <v/>
      </c>
      <c r="T646" s="31">
        <f>IF(OR(N646&lt;&gt;"OK",NOT(ISNUMBER(M646))),"",M646-S646)</f>
        <v/>
      </c>
      <c r="U646" s="49">
        <f>IF(OR(NOT(ISNUMBER(T646)),IF(ISNUMBER(H646),H646,G646)=0),"",T646/IF(ISNUMBER(H646),H646,G646))</f>
        <v/>
      </c>
      <c r="V646" s="49">
        <f>IF(ISNUMBER(U646),ABS(U646),"")</f>
        <v/>
      </c>
      <c r="W646" s="49">
        <f>IF(OR($E645&lt;&gt;"측정",$C645&lt;&gt;$C646,$D645&lt;&gt;$D646,NOT(ISNUMBER(M646)),NOT(ISNUMBER(M645)),(IF(ISNUMBER(H646),H646,G646)-IF(ISNUMBER(H645),H645,G645))=0),"",(M646-M645)/(IF(ISNUMBER(H646),H646,G646)-IF(ISNUMBER(H645),H645,G645)))</f>
        <v/>
      </c>
      <c r="X646" s="31">
        <f>IF(NOT(AND(ISNUMBER(O646),ISNUMBER(Q646))),"",(Q646-O646)*1440)</f>
        <v/>
      </c>
      <c r="Y646" s="29" t="n"/>
      <c r="Z646" s="29" t="n"/>
      <c r="AA646" s="29" t="n"/>
      <c r="AB646" s="32" t="n"/>
      <c r="AC646" s="32" t="n"/>
    </row>
    <row r="647">
      <c r="A647" s="26" t="inlineStr">
        <is>
          <t>S13</t>
        </is>
      </c>
      <c r="B647" s="26" t="inlineStr">
        <is>
          <t>순천 신규점</t>
        </is>
      </c>
      <c r="C647" s="26" t="inlineStr">
        <is>
          <t>S13-H서</t>
        </is>
      </c>
      <c r="D647" s="47" t="n">
        <v>1</v>
      </c>
      <c r="E647" s="26" t="inlineStr">
        <is>
          <t>측정</t>
        </is>
      </c>
      <c r="F647" s="26" t="inlineStr">
        <is>
          <t>서</t>
        </is>
      </c>
      <c r="G647" s="31" t="n">
        <v>3</v>
      </c>
      <c r="H647" s="30" t="n"/>
      <c r="I647" s="43" t="n"/>
      <c r="J647" s="41" t="n"/>
      <c r="K647" s="41" t="n"/>
      <c r="L647" s="41" t="n"/>
      <c r="M647" s="31">
        <f>IF(COUNT(J647:L647)=0,"",MEDIAN(J647:L647))</f>
        <v/>
      </c>
      <c r="N647" s="26">
        <f>IF(COUNTIFS($C:$C,$C647,$D:$D,$D647,$E:$E,"P0(전)",$M:$M,"&gt;0")&lt;&gt;1,"P0(전) 유효 1개 아님",IF(COUNTIFS($C:$C,$C647,$D:$D,$D647,$E:$E,"P0(후)",$M:$M,"&gt;0")&lt;&gt;1,"P0(후) 유효 1개 아님",IF(NOT(AND(ISNUMBER(O647),ISNUMBER(Q647),ISNUMBER(I647))),"시각 결측",IF(Q647&lt;=O647,"P0 시각 역전",IF(OR(I647&lt;O647,I647&gt;Q647),"측정시각 구간 밖","OK")))))</f>
        <v/>
      </c>
      <c r="O647" s="48">
        <f>IF(COUNTIFS($C:$C,$C647,$D:$D,$D647,$E:$E,"P0(전)",$M:$M,"&gt;0")&lt;&gt;1,"",SUMIFS($I:$I,$C:$C,$C647,$D:$D,$D647,$E:$E,"P0(전)"))</f>
        <v/>
      </c>
      <c r="P647" s="31">
        <f>IF(COUNTIFS($C:$C,$C647,$D:$D,$D647,$E:$E,"P0(전)",$M:$M,"&gt;0")&lt;&gt;1,"",SUMIFS($M:$M,$C:$C,$C647,$D:$D,$D647,$E:$E,"P0(전)"))</f>
        <v/>
      </c>
      <c r="Q647" s="48">
        <f>IF(COUNTIFS($C:$C,$C647,$D:$D,$D647,$E:$E,"P0(후)",$M:$M,"&gt;0")&lt;&gt;1,"",SUMIFS($I:$I,$C:$C,$C647,$D:$D,$D647,$E:$E,"P0(후)"))</f>
        <v/>
      </c>
      <c r="R647" s="31">
        <f>IF(COUNTIFS($C:$C,$C647,$D:$D,$D647,$E:$E,"P0(후)",$M:$M,"&gt;0")&lt;&gt;1,"",SUMIFS($M:$M,$C:$C,$C647,$D:$D,$D647,$E:$E,"P0(후)"))</f>
        <v/>
      </c>
      <c r="S647" s="31">
        <f>IF(N647&lt;&gt;"OK","",P647+(R647-P647)*(I647-O647)/(Q647-O647))</f>
        <v/>
      </c>
      <c r="T647" s="31">
        <f>IF(OR(N647&lt;&gt;"OK",NOT(ISNUMBER(M647))),"",M647-S647)</f>
        <v/>
      </c>
      <c r="U647" s="49">
        <f>IF(OR(NOT(ISNUMBER(T647)),IF(ISNUMBER(H647),H647,G647)=0),"",T647/IF(ISNUMBER(H647),H647,G647))</f>
        <v/>
      </c>
      <c r="V647" s="49">
        <f>IF(ISNUMBER(U647),ABS(U647),"")</f>
        <v/>
      </c>
      <c r="W647" s="49">
        <f>IF(OR($E646&lt;&gt;"측정",$C646&lt;&gt;$C647,$D646&lt;&gt;$D647,NOT(ISNUMBER(M647)),NOT(ISNUMBER(M646)),(IF(ISNUMBER(H647),H647,G647)-IF(ISNUMBER(H646),H646,G646))=0),"",(M647-M646)/(IF(ISNUMBER(H647),H647,G647)-IF(ISNUMBER(H646),H646,G646)))</f>
        <v/>
      </c>
      <c r="X647" s="31">
        <f>IF(NOT(AND(ISNUMBER(O647),ISNUMBER(Q647))),"",(Q647-O647)*1440)</f>
        <v/>
      </c>
      <c r="Y647" s="29" t="n"/>
      <c r="Z647" s="29" t="n"/>
      <c r="AA647" s="29" t="n"/>
      <c r="AB647" s="32" t="n"/>
      <c r="AC647" s="32" t="n"/>
    </row>
    <row r="648">
      <c r="A648" s="26" t="inlineStr">
        <is>
          <t>S13</t>
        </is>
      </c>
      <c r="B648" s="26" t="inlineStr">
        <is>
          <t>순천 신규점</t>
        </is>
      </c>
      <c r="C648" s="26" t="inlineStr">
        <is>
          <t>S13-H서</t>
        </is>
      </c>
      <c r="D648" s="47" t="n">
        <v>1</v>
      </c>
      <c r="E648" s="26" t="inlineStr">
        <is>
          <t>측정</t>
        </is>
      </c>
      <c r="F648" s="26" t="inlineStr">
        <is>
          <t>서</t>
        </is>
      </c>
      <c r="G648" s="31" t="n">
        <v>4</v>
      </c>
      <c r="H648" s="30" t="n"/>
      <c r="I648" s="43" t="n"/>
      <c r="J648" s="41" t="n"/>
      <c r="K648" s="41" t="n"/>
      <c r="L648" s="41" t="n"/>
      <c r="M648" s="31">
        <f>IF(COUNT(J648:L648)=0,"",MEDIAN(J648:L648))</f>
        <v/>
      </c>
      <c r="N648" s="26">
        <f>IF(COUNTIFS($C:$C,$C648,$D:$D,$D648,$E:$E,"P0(전)",$M:$M,"&gt;0")&lt;&gt;1,"P0(전) 유효 1개 아님",IF(COUNTIFS($C:$C,$C648,$D:$D,$D648,$E:$E,"P0(후)",$M:$M,"&gt;0")&lt;&gt;1,"P0(후) 유효 1개 아님",IF(NOT(AND(ISNUMBER(O648),ISNUMBER(Q648),ISNUMBER(I648))),"시각 결측",IF(Q648&lt;=O648,"P0 시각 역전",IF(OR(I648&lt;O648,I648&gt;Q648),"측정시각 구간 밖","OK")))))</f>
        <v/>
      </c>
      <c r="O648" s="48">
        <f>IF(COUNTIFS($C:$C,$C648,$D:$D,$D648,$E:$E,"P0(전)",$M:$M,"&gt;0")&lt;&gt;1,"",SUMIFS($I:$I,$C:$C,$C648,$D:$D,$D648,$E:$E,"P0(전)"))</f>
        <v/>
      </c>
      <c r="P648" s="31">
        <f>IF(COUNTIFS($C:$C,$C648,$D:$D,$D648,$E:$E,"P0(전)",$M:$M,"&gt;0")&lt;&gt;1,"",SUMIFS($M:$M,$C:$C,$C648,$D:$D,$D648,$E:$E,"P0(전)"))</f>
        <v/>
      </c>
      <c r="Q648" s="48">
        <f>IF(COUNTIFS($C:$C,$C648,$D:$D,$D648,$E:$E,"P0(후)",$M:$M,"&gt;0")&lt;&gt;1,"",SUMIFS($I:$I,$C:$C,$C648,$D:$D,$D648,$E:$E,"P0(후)"))</f>
        <v/>
      </c>
      <c r="R648" s="31">
        <f>IF(COUNTIFS($C:$C,$C648,$D:$D,$D648,$E:$E,"P0(후)",$M:$M,"&gt;0")&lt;&gt;1,"",SUMIFS($M:$M,$C:$C,$C648,$D:$D,$D648,$E:$E,"P0(후)"))</f>
        <v/>
      </c>
      <c r="S648" s="31">
        <f>IF(N648&lt;&gt;"OK","",P648+(R648-P648)*(I648-O648)/(Q648-O648))</f>
        <v/>
      </c>
      <c r="T648" s="31">
        <f>IF(OR(N648&lt;&gt;"OK",NOT(ISNUMBER(M648))),"",M648-S648)</f>
        <v/>
      </c>
      <c r="U648" s="49">
        <f>IF(OR(NOT(ISNUMBER(T648)),IF(ISNUMBER(H648),H648,G648)=0),"",T648/IF(ISNUMBER(H648),H648,G648))</f>
        <v/>
      </c>
      <c r="V648" s="49">
        <f>IF(ISNUMBER(U648),ABS(U648),"")</f>
        <v/>
      </c>
      <c r="W648" s="49">
        <f>IF(OR($E647&lt;&gt;"측정",$C647&lt;&gt;$C648,$D647&lt;&gt;$D648,NOT(ISNUMBER(M648)),NOT(ISNUMBER(M647)),(IF(ISNUMBER(H648),H648,G648)-IF(ISNUMBER(H647),H647,G647))=0),"",(M648-M647)/(IF(ISNUMBER(H648),H648,G648)-IF(ISNUMBER(H647),H647,G647)))</f>
        <v/>
      </c>
      <c r="X648" s="31">
        <f>IF(NOT(AND(ISNUMBER(O648),ISNUMBER(Q648))),"",(Q648-O648)*1440)</f>
        <v/>
      </c>
      <c r="Y648" s="29" t="n"/>
      <c r="Z648" s="29" t="n"/>
      <c r="AA648" s="29" t="n"/>
      <c r="AB648" s="32" t="n"/>
      <c r="AC648" s="32" t="n"/>
    </row>
    <row r="649">
      <c r="A649" s="26" t="inlineStr">
        <is>
          <t>S13</t>
        </is>
      </c>
      <c r="B649" s="26" t="inlineStr">
        <is>
          <t>순천 신규점</t>
        </is>
      </c>
      <c r="C649" s="26" t="inlineStr">
        <is>
          <t>S13-H서</t>
        </is>
      </c>
      <c r="D649" s="47" t="n">
        <v>1</v>
      </c>
      <c r="E649" s="26" t="inlineStr">
        <is>
          <t>측정</t>
        </is>
      </c>
      <c r="F649" s="26" t="inlineStr">
        <is>
          <t>서</t>
        </is>
      </c>
      <c r="G649" s="31" t="n">
        <v>5</v>
      </c>
      <c r="H649" s="30" t="n"/>
      <c r="I649" s="43" t="n"/>
      <c r="J649" s="41" t="n"/>
      <c r="K649" s="41" t="n"/>
      <c r="L649" s="41" t="n"/>
      <c r="M649" s="31">
        <f>IF(COUNT(J649:L649)=0,"",MEDIAN(J649:L649))</f>
        <v/>
      </c>
      <c r="N649" s="26">
        <f>IF(COUNTIFS($C:$C,$C649,$D:$D,$D649,$E:$E,"P0(전)",$M:$M,"&gt;0")&lt;&gt;1,"P0(전) 유효 1개 아님",IF(COUNTIFS($C:$C,$C649,$D:$D,$D649,$E:$E,"P0(후)",$M:$M,"&gt;0")&lt;&gt;1,"P0(후) 유효 1개 아님",IF(NOT(AND(ISNUMBER(O649),ISNUMBER(Q649),ISNUMBER(I649))),"시각 결측",IF(Q649&lt;=O649,"P0 시각 역전",IF(OR(I649&lt;O649,I649&gt;Q649),"측정시각 구간 밖","OK")))))</f>
        <v/>
      </c>
      <c r="O649" s="48">
        <f>IF(COUNTIFS($C:$C,$C649,$D:$D,$D649,$E:$E,"P0(전)",$M:$M,"&gt;0")&lt;&gt;1,"",SUMIFS($I:$I,$C:$C,$C649,$D:$D,$D649,$E:$E,"P0(전)"))</f>
        <v/>
      </c>
      <c r="P649" s="31">
        <f>IF(COUNTIFS($C:$C,$C649,$D:$D,$D649,$E:$E,"P0(전)",$M:$M,"&gt;0")&lt;&gt;1,"",SUMIFS($M:$M,$C:$C,$C649,$D:$D,$D649,$E:$E,"P0(전)"))</f>
        <v/>
      </c>
      <c r="Q649" s="48">
        <f>IF(COUNTIFS($C:$C,$C649,$D:$D,$D649,$E:$E,"P0(후)",$M:$M,"&gt;0")&lt;&gt;1,"",SUMIFS($I:$I,$C:$C,$C649,$D:$D,$D649,$E:$E,"P0(후)"))</f>
        <v/>
      </c>
      <c r="R649" s="31">
        <f>IF(COUNTIFS($C:$C,$C649,$D:$D,$D649,$E:$E,"P0(후)",$M:$M,"&gt;0")&lt;&gt;1,"",SUMIFS($M:$M,$C:$C,$C649,$D:$D,$D649,$E:$E,"P0(후)"))</f>
        <v/>
      </c>
      <c r="S649" s="31">
        <f>IF(N649&lt;&gt;"OK","",P649+(R649-P649)*(I649-O649)/(Q649-O649))</f>
        <v/>
      </c>
      <c r="T649" s="31">
        <f>IF(OR(N649&lt;&gt;"OK",NOT(ISNUMBER(M649))),"",M649-S649)</f>
        <v/>
      </c>
      <c r="U649" s="49">
        <f>IF(OR(NOT(ISNUMBER(T649)),IF(ISNUMBER(H649),H649,G649)=0),"",T649/IF(ISNUMBER(H649),H649,G649))</f>
        <v/>
      </c>
      <c r="V649" s="49">
        <f>IF(ISNUMBER(U649),ABS(U649),"")</f>
        <v/>
      </c>
      <c r="W649" s="49">
        <f>IF(OR($E648&lt;&gt;"측정",$C648&lt;&gt;$C649,$D648&lt;&gt;$D649,NOT(ISNUMBER(M649)),NOT(ISNUMBER(M648)),(IF(ISNUMBER(H649),H649,G649)-IF(ISNUMBER(H648),H648,G648))=0),"",(M649-M648)/(IF(ISNUMBER(H649),H649,G649)-IF(ISNUMBER(H648),H648,G648)))</f>
        <v/>
      </c>
      <c r="X649" s="31">
        <f>IF(NOT(AND(ISNUMBER(O649),ISNUMBER(Q649))),"",(Q649-O649)*1440)</f>
        <v/>
      </c>
      <c r="Y649" s="29" t="n"/>
      <c r="Z649" s="29" t="n"/>
      <c r="AA649" s="29" t="n"/>
      <c r="AB649" s="32" t="n"/>
      <c r="AC649" s="32" t="n"/>
    </row>
    <row r="650">
      <c r="A650" s="26" t="inlineStr">
        <is>
          <t>S13</t>
        </is>
      </c>
      <c r="B650" s="26" t="inlineStr">
        <is>
          <t>순천 신규점</t>
        </is>
      </c>
      <c r="C650" s="26" t="inlineStr">
        <is>
          <t>S13-H서</t>
        </is>
      </c>
      <c r="D650" s="47" t="n">
        <v>1</v>
      </c>
      <c r="E650" s="26" t="inlineStr">
        <is>
          <t>측정</t>
        </is>
      </c>
      <c r="F650" s="26" t="inlineStr">
        <is>
          <t>서</t>
        </is>
      </c>
      <c r="G650" s="31" t="n">
        <v>6</v>
      </c>
      <c r="H650" s="30" t="n"/>
      <c r="I650" s="43" t="n"/>
      <c r="J650" s="41" t="n"/>
      <c r="K650" s="41" t="n"/>
      <c r="L650" s="41" t="n"/>
      <c r="M650" s="31">
        <f>IF(COUNT(J650:L650)=0,"",MEDIAN(J650:L650))</f>
        <v/>
      </c>
      <c r="N650" s="26">
        <f>IF(COUNTIFS($C:$C,$C650,$D:$D,$D650,$E:$E,"P0(전)",$M:$M,"&gt;0")&lt;&gt;1,"P0(전) 유효 1개 아님",IF(COUNTIFS($C:$C,$C650,$D:$D,$D650,$E:$E,"P0(후)",$M:$M,"&gt;0")&lt;&gt;1,"P0(후) 유효 1개 아님",IF(NOT(AND(ISNUMBER(O650),ISNUMBER(Q650),ISNUMBER(I650))),"시각 결측",IF(Q650&lt;=O650,"P0 시각 역전",IF(OR(I650&lt;O650,I650&gt;Q650),"측정시각 구간 밖","OK")))))</f>
        <v/>
      </c>
      <c r="O650" s="48">
        <f>IF(COUNTIFS($C:$C,$C650,$D:$D,$D650,$E:$E,"P0(전)",$M:$M,"&gt;0")&lt;&gt;1,"",SUMIFS($I:$I,$C:$C,$C650,$D:$D,$D650,$E:$E,"P0(전)"))</f>
        <v/>
      </c>
      <c r="P650" s="31">
        <f>IF(COUNTIFS($C:$C,$C650,$D:$D,$D650,$E:$E,"P0(전)",$M:$M,"&gt;0")&lt;&gt;1,"",SUMIFS($M:$M,$C:$C,$C650,$D:$D,$D650,$E:$E,"P0(전)"))</f>
        <v/>
      </c>
      <c r="Q650" s="48">
        <f>IF(COUNTIFS($C:$C,$C650,$D:$D,$D650,$E:$E,"P0(후)",$M:$M,"&gt;0")&lt;&gt;1,"",SUMIFS($I:$I,$C:$C,$C650,$D:$D,$D650,$E:$E,"P0(후)"))</f>
        <v/>
      </c>
      <c r="R650" s="31">
        <f>IF(COUNTIFS($C:$C,$C650,$D:$D,$D650,$E:$E,"P0(후)",$M:$M,"&gt;0")&lt;&gt;1,"",SUMIFS($M:$M,$C:$C,$C650,$D:$D,$D650,$E:$E,"P0(후)"))</f>
        <v/>
      </c>
      <c r="S650" s="31">
        <f>IF(N650&lt;&gt;"OK","",P650+(R650-P650)*(I650-O650)/(Q650-O650))</f>
        <v/>
      </c>
      <c r="T650" s="31">
        <f>IF(OR(N650&lt;&gt;"OK",NOT(ISNUMBER(M650))),"",M650-S650)</f>
        <v/>
      </c>
      <c r="U650" s="49">
        <f>IF(OR(NOT(ISNUMBER(T650)),IF(ISNUMBER(H650),H650,G650)=0),"",T650/IF(ISNUMBER(H650),H650,G650))</f>
        <v/>
      </c>
      <c r="V650" s="49">
        <f>IF(ISNUMBER(U650),ABS(U650),"")</f>
        <v/>
      </c>
      <c r="W650" s="49">
        <f>IF(OR($E649&lt;&gt;"측정",$C649&lt;&gt;$C650,$D649&lt;&gt;$D650,NOT(ISNUMBER(M650)),NOT(ISNUMBER(M649)),(IF(ISNUMBER(H650),H650,G650)-IF(ISNUMBER(H649),H649,G649))=0),"",(M650-M649)/(IF(ISNUMBER(H650),H650,G650)-IF(ISNUMBER(H649),H649,G649)))</f>
        <v/>
      </c>
      <c r="X650" s="31">
        <f>IF(NOT(AND(ISNUMBER(O650),ISNUMBER(Q650))),"",(Q650-O650)*1440)</f>
        <v/>
      </c>
      <c r="Y650" s="29" t="n"/>
      <c r="Z650" s="29" t="n"/>
      <c r="AA650" s="29" t="n"/>
      <c r="AB650" s="32" t="n"/>
      <c r="AC650" s="32" t="n"/>
    </row>
    <row r="651">
      <c r="A651" s="26" t="inlineStr">
        <is>
          <t>S13</t>
        </is>
      </c>
      <c r="B651" s="26" t="inlineStr">
        <is>
          <t>순천 신규점</t>
        </is>
      </c>
      <c r="C651" s="26" t="inlineStr">
        <is>
          <t>S13-H서</t>
        </is>
      </c>
      <c r="D651" s="47" t="n">
        <v>1</v>
      </c>
      <c r="E651" s="26" t="inlineStr">
        <is>
          <t>측정</t>
        </is>
      </c>
      <c r="F651" s="26" t="inlineStr">
        <is>
          <t>서</t>
        </is>
      </c>
      <c r="G651" s="31" t="n">
        <v>7</v>
      </c>
      <c r="H651" s="30" t="n"/>
      <c r="I651" s="43" t="n"/>
      <c r="J651" s="41" t="n"/>
      <c r="K651" s="41" t="n"/>
      <c r="L651" s="41" t="n"/>
      <c r="M651" s="31">
        <f>IF(COUNT(J651:L651)=0,"",MEDIAN(J651:L651))</f>
        <v/>
      </c>
      <c r="N651" s="26">
        <f>IF(COUNTIFS($C:$C,$C651,$D:$D,$D651,$E:$E,"P0(전)",$M:$M,"&gt;0")&lt;&gt;1,"P0(전) 유효 1개 아님",IF(COUNTIFS($C:$C,$C651,$D:$D,$D651,$E:$E,"P0(후)",$M:$M,"&gt;0")&lt;&gt;1,"P0(후) 유효 1개 아님",IF(NOT(AND(ISNUMBER(O651),ISNUMBER(Q651),ISNUMBER(I651))),"시각 결측",IF(Q651&lt;=O651,"P0 시각 역전",IF(OR(I651&lt;O651,I651&gt;Q651),"측정시각 구간 밖","OK")))))</f>
        <v/>
      </c>
      <c r="O651" s="48">
        <f>IF(COUNTIFS($C:$C,$C651,$D:$D,$D651,$E:$E,"P0(전)",$M:$M,"&gt;0")&lt;&gt;1,"",SUMIFS($I:$I,$C:$C,$C651,$D:$D,$D651,$E:$E,"P0(전)"))</f>
        <v/>
      </c>
      <c r="P651" s="31">
        <f>IF(COUNTIFS($C:$C,$C651,$D:$D,$D651,$E:$E,"P0(전)",$M:$M,"&gt;0")&lt;&gt;1,"",SUMIFS($M:$M,$C:$C,$C651,$D:$D,$D651,$E:$E,"P0(전)"))</f>
        <v/>
      </c>
      <c r="Q651" s="48">
        <f>IF(COUNTIFS($C:$C,$C651,$D:$D,$D651,$E:$E,"P0(후)",$M:$M,"&gt;0")&lt;&gt;1,"",SUMIFS($I:$I,$C:$C,$C651,$D:$D,$D651,$E:$E,"P0(후)"))</f>
        <v/>
      </c>
      <c r="R651" s="31">
        <f>IF(COUNTIFS($C:$C,$C651,$D:$D,$D651,$E:$E,"P0(후)",$M:$M,"&gt;0")&lt;&gt;1,"",SUMIFS($M:$M,$C:$C,$C651,$D:$D,$D651,$E:$E,"P0(후)"))</f>
        <v/>
      </c>
      <c r="S651" s="31">
        <f>IF(N651&lt;&gt;"OK","",P651+(R651-P651)*(I651-O651)/(Q651-O651))</f>
        <v/>
      </c>
      <c r="T651" s="31">
        <f>IF(OR(N651&lt;&gt;"OK",NOT(ISNUMBER(M651))),"",M651-S651)</f>
        <v/>
      </c>
      <c r="U651" s="49">
        <f>IF(OR(NOT(ISNUMBER(T651)),IF(ISNUMBER(H651),H651,G651)=0),"",T651/IF(ISNUMBER(H651),H651,G651))</f>
        <v/>
      </c>
      <c r="V651" s="49">
        <f>IF(ISNUMBER(U651),ABS(U651),"")</f>
        <v/>
      </c>
      <c r="W651" s="49">
        <f>IF(OR($E650&lt;&gt;"측정",$C650&lt;&gt;$C651,$D650&lt;&gt;$D651,NOT(ISNUMBER(M651)),NOT(ISNUMBER(M650)),(IF(ISNUMBER(H651),H651,G651)-IF(ISNUMBER(H650),H650,G650))=0),"",(M651-M650)/(IF(ISNUMBER(H651),H651,G651)-IF(ISNUMBER(H650),H650,G650)))</f>
        <v/>
      </c>
      <c r="X651" s="31">
        <f>IF(NOT(AND(ISNUMBER(O651),ISNUMBER(Q651))),"",(Q651-O651)*1440)</f>
        <v/>
      </c>
      <c r="Y651" s="29" t="n"/>
      <c r="Z651" s="29" t="n"/>
      <c r="AA651" s="29" t="n"/>
      <c r="AB651" s="32" t="n"/>
      <c r="AC651" s="32" t="n"/>
    </row>
    <row r="652">
      <c r="A652" s="26" t="inlineStr">
        <is>
          <t>S13</t>
        </is>
      </c>
      <c r="B652" s="26" t="inlineStr">
        <is>
          <t>순천 신규점</t>
        </is>
      </c>
      <c r="C652" s="26" t="inlineStr">
        <is>
          <t>S13-H서</t>
        </is>
      </c>
      <c r="D652" s="47" t="n">
        <v>1</v>
      </c>
      <c r="E652" s="26" t="inlineStr">
        <is>
          <t>측정</t>
        </is>
      </c>
      <c r="F652" s="26" t="inlineStr">
        <is>
          <t>서</t>
        </is>
      </c>
      <c r="G652" s="31" t="n">
        <v>8</v>
      </c>
      <c r="H652" s="30" t="n"/>
      <c r="I652" s="43" t="n"/>
      <c r="J652" s="41" t="n"/>
      <c r="K652" s="41" t="n"/>
      <c r="L652" s="41" t="n"/>
      <c r="M652" s="31">
        <f>IF(COUNT(J652:L652)=0,"",MEDIAN(J652:L652))</f>
        <v/>
      </c>
      <c r="N652" s="26">
        <f>IF(COUNTIFS($C:$C,$C652,$D:$D,$D652,$E:$E,"P0(전)",$M:$M,"&gt;0")&lt;&gt;1,"P0(전) 유효 1개 아님",IF(COUNTIFS($C:$C,$C652,$D:$D,$D652,$E:$E,"P0(후)",$M:$M,"&gt;0")&lt;&gt;1,"P0(후) 유효 1개 아님",IF(NOT(AND(ISNUMBER(O652),ISNUMBER(Q652),ISNUMBER(I652))),"시각 결측",IF(Q652&lt;=O652,"P0 시각 역전",IF(OR(I652&lt;O652,I652&gt;Q652),"측정시각 구간 밖","OK")))))</f>
        <v/>
      </c>
      <c r="O652" s="48">
        <f>IF(COUNTIFS($C:$C,$C652,$D:$D,$D652,$E:$E,"P0(전)",$M:$M,"&gt;0")&lt;&gt;1,"",SUMIFS($I:$I,$C:$C,$C652,$D:$D,$D652,$E:$E,"P0(전)"))</f>
        <v/>
      </c>
      <c r="P652" s="31">
        <f>IF(COUNTIFS($C:$C,$C652,$D:$D,$D652,$E:$E,"P0(전)",$M:$M,"&gt;0")&lt;&gt;1,"",SUMIFS($M:$M,$C:$C,$C652,$D:$D,$D652,$E:$E,"P0(전)"))</f>
        <v/>
      </c>
      <c r="Q652" s="48">
        <f>IF(COUNTIFS($C:$C,$C652,$D:$D,$D652,$E:$E,"P0(후)",$M:$M,"&gt;0")&lt;&gt;1,"",SUMIFS($I:$I,$C:$C,$C652,$D:$D,$D652,$E:$E,"P0(후)"))</f>
        <v/>
      </c>
      <c r="R652" s="31">
        <f>IF(COUNTIFS($C:$C,$C652,$D:$D,$D652,$E:$E,"P0(후)",$M:$M,"&gt;0")&lt;&gt;1,"",SUMIFS($M:$M,$C:$C,$C652,$D:$D,$D652,$E:$E,"P0(후)"))</f>
        <v/>
      </c>
      <c r="S652" s="31">
        <f>IF(N652&lt;&gt;"OK","",P652+(R652-P652)*(I652-O652)/(Q652-O652))</f>
        <v/>
      </c>
      <c r="T652" s="31">
        <f>IF(OR(N652&lt;&gt;"OK",NOT(ISNUMBER(M652))),"",M652-S652)</f>
        <v/>
      </c>
      <c r="U652" s="49">
        <f>IF(OR(NOT(ISNUMBER(T652)),IF(ISNUMBER(H652),H652,G652)=0),"",T652/IF(ISNUMBER(H652),H652,G652))</f>
        <v/>
      </c>
      <c r="V652" s="49">
        <f>IF(ISNUMBER(U652),ABS(U652),"")</f>
        <v/>
      </c>
      <c r="W652" s="49">
        <f>IF(OR($E651&lt;&gt;"측정",$C651&lt;&gt;$C652,$D651&lt;&gt;$D652,NOT(ISNUMBER(M652)),NOT(ISNUMBER(M651)),(IF(ISNUMBER(H652),H652,G652)-IF(ISNUMBER(H651),H651,G651))=0),"",(M652-M651)/(IF(ISNUMBER(H652),H652,G652)-IF(ISNUMBER(H651),H651,G651)))</f>
        <v/>
      </c>
      <c r="X652" s="31">
        <f>IF(NOT(AND(ISNUMBER(O652),ISNUMBER(Q652))),"",(Q652-O652)*1440)</f>
        <v/>
      </c>
      <c r="Y652" s="29" t="n"/>
      <c r="Z652" s="29" t="n"/>
      <c r="AA652" s="29" t="n"/>
      <c r="AB652" s="32" t="n"/>
      <c r="AC652" s="32" t="n"/>
    </row>
    <row r="653">
      <c r="A653" s="26" t="inlineStr">
        <is>
          <t>S13</t>
        </is>
      </c>
      <c r="B653" s="26" t="inlineStr">
        <is>
          <t>순천 신규점</t>
        </is>
      </c>
      <c r="C653" s="26" t="inlineStr">
        <is>
          <t>S13-H서</t>
        </is>
      </c>
      <c r="D653" s="47" t="n">
        <v>1</v>
      </c>
      <c r="E653" s="26" t="inlineStr">
        <is>
          <t>측정</t>
        </is>
      </c>
      <c r="F653" s="26" t="inlineStr">
        <is>
          <t>서</t>
        </is>
      </c>
      <c r="G653" s="31" t="n">
        <v>9</v>
      </c>
      <c r="H653" s="30" t="n"/>
      <c r="I653" s="43" t="n"/>
      <c r="J653" s="41" t="n"/>
      <c r="K653" s="41" t="n"/>
      <c r="L653" s="41" t="n"/>
      <c r="M653" s="31">
        <f>IF(COUNT(J653:L653)=0,"",MEDIAN(J653:L653))</f>
        <v/>
      </c>
      <c r="N653" s="26">
        <f>IF(COUNTIFS($C:$C,$C653,$D:$D,$D653,$E:$E,"P0(전)",$M:$M,"&gt;0")&lt;&gt;1,"P0(전) 유효 1개 아님",IF(COUNTIFS($C:$C,$C653,$D:$D,$D653,$E:$E,"P0(후)",$M:$M,"&gt;0")&lt;&gt;1,"P0(후) 유효 1개 아님",IF(NOT(AND(ISNUMBER(O653),ISNUMBER(Q653),ISNUMBER(I653))),"시각 결측",IF(Q653&lt;=O653,"P0 시각 역전",IF(OR(I653&lt;O653,I653&gt;Q653),"측정시각 구간 밖","OK")))))</f>
        <v/>
      </c>
      <c r="O653" s="48">
        <f>IF(COUNTIFS($C:$C,$C653,$D:$D,$D653,$E:$E,"P0(전)",$M:$M,"&gt;0")&lt;&gt;1,"",SUMIFS($I:$I,$C:$C,$C653,$D:$D,$D653,$E:$E,"P0(전)"))</f>
        <v/>
      </c>
      <c r="P653" s="31">
        <f>IF(COUNTIFS($C:$C,$C653,$D:$D,$D653,$E:$E,"P0(전)",$M:$M,"&gt;0")&lt;&gt;1,"",SUMIFS($M:$M,$C:$C,$C653,$D:$D,$D653,$E:$E,"P0(전)"))</f>
        <v/>
      </c>
      <c r="Q653" s="48">
        <f>IF(COUNTIFS($C:$C,$C653,$D:$D,$D653,$E:$E,"P0(후)",$M:$M,"&gt;0")&lt;&gt;1,"",SUMIFS($I:$I,$C:$C,$C653,$D:$D,$D653,$E:$E,"P0(후)"))</f>
        <v/>
      </c>
      <c r="R653" s="31">
        <f>IF(COUNTIFS($C:$C,$C653,$D:$D,$D653,$E:$E,"P0(후)",$M:$M,"&gt;0")&lt;&gt;1,"",SUMIFS($M:$M,$C:$C,$C653,$D:$D,$D653,$E:$E,"P0(후)"))</f>
        <v/>
      </c>
      <c r="S653" s="31">
        <f>IF(N653&lt;&gt;"OK","",P653+(R653-P653)*(I653-O653)/(Q653-O653))</f>
        <v/>
      </c>
      <c r="T653" s="31">
        <f>IF(OR(N653&lt;&gt;"OK",NOT(ISNUMBER(M653))),"",M653-S653)</f>
        <v/>
      </c>
      <c r="U653" s="49">
        <f>IF(OR(NOT(ISNUMBER(T653)),IF(ISNUMBER(H653),H653,G653)=0),"",T653/IF(ISNUMBER(H653),H653,G653))</f>
        <v/>
      </c>
      <c r="V653" s="49">
        <f>IF(ISNUMBER(U653),ABS(U653),"")</f>
        <v/>
      </c>
      <c r="W653" s="49">
        <f>IF(OR($E652&lt;&gt;"측정",$C652&lt;&gt;$C653,$D652&lt;&gt;$D653,NOT(ISNUMBER(M653)),NOT(ISNUMBER(M652)),(IF(ISNUMBER(H653),H653,G653)-IF(ISNUMBER(H652),H652,G652))=0),"",(M653-M652)/(IF(ISNUMBER(H653),H653,G653)-IF(ISNUMBER(H652),H652,G652)))</f>
        <v/>
      </c>
      <c r="X653" s="31">
        <f>IF(NOT(AND(ISNUMBER(O653),ISNUMBER(Q653))),"",(Q653-O653)*1440)</f>
        <v/>
      </c>
      <c r="Y653" s="29" t="n"/>
      <c r="Z653" s="29" t="n"/>
      <c r="AA653" s="29" t="n"/>
      <c r="AB653" s="32" t="n"/>
      <c r="AC653" s="32" t="n"/>
    </row>
    <row r="654">
      <c r="A654" s="26" t="inlineStr">
        <is>
          <t>S13</t>
        </is>
      </c>
      <c r="B654" s="26" t="inlineStr">
        <is>
          <t>순천 신규점</t>
        </is>
      </c>
      <c r="C654" s="26" t="inlineStr">
        <is>
          <t>S13-H서</t>
        </is>
      </c>
      <c r="D654" s="47" t="n">
        <v>1</v>
      </c>
      <c r="E654" s="26" t="inlineStr">
        <is>
          <t>측정</t>
        </is>
      </c>
      <c r="F654" s="26" t="inlineStr">
        <is>
          <t>서</t>
        </is>
      </c>
      <c r="G654" s="31" t="n">
        <v>10</v>
      </c>
      <c r="H654" s="30" t="n"/>
      <c r="I654" s="43" t="n"/>
      <c r="J654" s="41" t="n"/>
      <c r="K654" s="41" t="n"/>
      <c r="L654" s="41" t="n"/>
      <c r="M654" s="31">
        <f>IF(COUNT(J654:L654)=0,"",MEDIAN(J654:L654))</f>
        <v/>
      </c>
      <c r="N654" s="26">
        <f>IF(COUNTIFS($C:$C,$C654,$D:$D,$D654,$E:$E,"P0(전)",$M:$M,"&gt;0")&lt;&gt;1,"P0(전) 유효 1개 아님",IF(COUNTIFS($C:$C,$C654,$D:$D,$D654,$E:$E,"P0(후)",$M:$M,"&gt;0")&lt;&gt;1,"P0(후) 유효 1개 아님",IF(NOT(AND(ISNUMBER(O654),ISNUMBER(Q654),ISNUMBER(I654))),"시각 결측",IF(Q654&lt;=O654,"P0 시각 역전",IF(OR(I654&lt;O654,I654&gt;Q654),"측정시각 구간 밖","OK")))))</f>
        <v/>
      </c>
      <c r="O654" s="48">
        <f>IF(COUNTIFS($C:$C,$C654,$D:$D,$D654,$E:$E,"P0(전)",$M:$M,"&gt;0")&lt;&gt;1,"",SUMIFS($I:$I,$C:$C,$C654,$D:$D,$D654,$E:$E,"P0(전)"))</f>
        <v/>
      </c>
      <c r="P654" s="31">
        <f>IF(COUNTIFS($C:$C,$C654,$D:$D,$D654,$E:$E,"P0(전)",$M:$M,"&gt;0")&lt;&gt;1,"",SUMIFS($M:$M,$C:$C,$C654,$D:$D,$D654,$E:$E,"P0(전)"))</f>
        <v/>
      </c>
      <c r="Q654" s="48">
        <f>IF(COUNTIFS($C:$C,$C654,$D:$D,$D654,$E:$E,"P0(후)",$M:$M,"&gt;0")&lt;&gt;1,"",SUMIFS($I:$I,$C:$C,$C654,$D:$D,$D654,$E:$E,"P0(후)"))</f>
        <v/>
      </c>
      <c r="R654" s="31">
        <f>IF(COUNTIFS($C:$C,$C654,$D:$D,$D654,$E:$E,"P0(후)",$M:$M,"&gt;0")&lt;&gt;1,"",SUMIFS($M:$M,$C:$C,$C654,$D:$D,$D654,$E:$E,"P0(후)"))</f>
        <v/>
      </c>
      <c r="S654" s="31">
        <f>IF(N654&lt;&gt;"OK","",P654+(R654-P654)*(I654-O654)/(Q654-O654))</f>
        <v/>
      </c>
      <c r="T654" s="31">
        <f>IF(OR(N654&lt;&gt;"OK",NOT(ISNUMBER(M654))),"",M654-S654)</f>
        <v/>
      </c>
      <c r="U654" s="49">
        <f>IF(OR(NOT(ISNUMBER(T654)),IF(ISNUMBER(H654),H654,G654)=0),"",T654/IF(ISNUMBER(H654),H654,G654))</f>
        <v/>
      </c>
      <c r="V654" s="49">
        <f>IF(ISNUMBER(U654),ABS(U654),"")</f>
        <v/>
      </c>
      <c r="W654" s="49">
        <f>IF(OR($E653&lt;&gt;"측정",$C653&lt;&gt;$C654,$D653&lt;&gt;$D654,NOT(ISNUMBER(M654)),NOT(ISNUMBER(M653)),(IF(ISNUMBER(H654),H654,G654)-IF(ISNUMBER(H653),H653,G653))=0),"",(M654-M653)/(IF(ISNUMBER(H654),H654,G654)-IF(ISNUMBER(H653),H653,G653)))</f>
        <v/>
      </c>
      <c r="X654" s="31">
        <f>IF(NOT(AND(ISNUMBER(O654),ISNUMBER(Q654))),"",(Q654-O654)*1440)</f>
        <v/>
      </c>
      <c r="Y654" s="29" t="n"/>
      <c r="Z654" s="29" t="n"/>
      <c r="AA654" s="29" t="n"/>
      <c r="AB654" s="32" t="n"/>
      <c r="AC654" s="32" t="n"/>
    </row>
    <row r="655">
      <c r="A655" s="44" t="inlineStr">
        <is>
          <t>S13</t>
        </is>
      </c>
      <c r="B655" s="44" t="inlineStr">
        <is>
          <t>순천 신규점</t>
        </is>
      </c>
      <c r="C655" s="44" t="inlineStr">
        <is>
          <t>S13-H서</t>
        </is>
      </c>
      <c r="D655" s="45" t="n">
        <v>1</v>
      </c>
      <c r="E655" s="44" t="inlineStr">
        <is>
          <t>P0(후)</t>
        </is>
      </c>
      <c r="F655" s="44" t="inlineStr">
        <is>
          <t>서</t>
        </is>
      </c>
      <c r="G655" s="46" t="n"/>
      <c r="H655" s="30" t="n"/>
      <c r="I655" s="43" t="n"/>
      <c r="J655" s="41" t="n"/>
      <c r="K655" s="41" t="n"/>
      <c r="L655" s="41" t="n"/>
      <c r="M655" s="31">
        <f>IF(COUNT(J655:L655)=0,"",MEDIAN(J655:L655))</f>
        <v/>
      </c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38" t="n"/>
      <c r="Y655" s="29" t="n"/>
      <c r="Z655" s="29" t="n"/>
      <c r="AA655" s="29" t="n"/>
      <c r="AB655" s="32" t="n"/>
      <c r="AC655" s="32" t="n"/>
    </row>
    <row r="656">
      <c r="A656" s="44" t="inlineStr">
        <is>
          <t>S13</t>
        </is>
      </c>
      <c r="B656" s="44" t="inlineStr">
        <is>
          <t>순천 신규점</t>
        </is>
      </c>
      <c r="C656" s="44" t="inlineStr">
        <is>
          <t>S13-H남</t>
        </is>
      </c>
      <c r="D656" s="45" t="n">
        <v>1</v>
      </c>
      <c r="E656" s="44" t="inlineStr">
        <is>
          <t>P0(전)</t>
        </is>
      </c>
      <c r="F656" s="44" t="inlineStr">
        <is>
          <t>남</t>
        </is>
      </c>
      <c r="G656" s="46" t="n"/>
      <c r="H656" s="30" t="n"/>
      <c r="I656" s="43" t="n"/>
      <c r="J656" s="41" t="n"/>
      <c r="K656" s="41" t="n"/>
      <c r="L656" s="41" t="n"/>
      <c r="M656" s="31">
        <f>IF(COUNT(J656:L656)=0,"",MEDIAN(J656:L656))</f>
        <v/>
      </c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  <c r="X656" s="38" t="n"/>
      <c r="Y656" s="29" t="n"/>
      <c r="Z656" s="29" t="n"/>
      <c r="AA656" s="29" t="n"/>
      <c r="AB656" s="32" t="n"/>
      <c r="AC656" s="32" t="n"/>
    </row>
    <row r="657">
      <c r="A657" s="26" t="inlineStr">
        <is>
          <t>S13</t>
        </is>
      </c>
      <c r="B657" s="26" t="inlineStr">
        <is>
          <t>순천 신규점</t>
        </is>
      </c>
      <c r="C657" s="26" t="inlineStr">
        <is>
          <t>S13-H남</t>
        </is>
      </c>
      <c r="D657" s="47" t="n">
        <v>1</v>
      </c>
      <c r="E657" s="26" t="inlineStr">
        <is>
          <t>측정</t>
        </is>
      </c>
      <c r="F657" s="26" t="inlineStr">
        <is>
          <t>남</t>
        </is>
      </c>
      <c r="G657" s="31" t="n">
        <v>0.5</v>
      </c>
      <c r="H657" s="30" t="n"/>
      <c r="I657" s="43" t="n"/>
      <c r="J657" s="41" t="n"/>
      <c r="K657" s="41" t="n"/>
      <c r="L657" s="41" t="n"/>
      <c r="M657" s="31">
        <f>IF(COUNT(J657:L657)=0,"",MEDIAN(J657:L657))</f>
        <v/>
      </c>
      <c r="N657" s="26">
        <f>IF(COUNTIFS($C:$C,$C657,$D:$D,$D657,$E:$E,"P0(전)",$M:$M,"&gt;0")&lt;&gt;1,"P0(전) 유효 1개 아님",IF(COUNTIFS($C:$C,$C657,$D:$D,$D657,$E:$E,"P0(후)",$M:$M,"&gt;0")&lt;&gt;1,"P0(후) 유효 1개 아님",IF(NOT(AND(ISNUMBER(O657),ISNUMBER(Q657),ISNUMBER(I657))),"시각 결측",IF(Q657&lt;=O657,"P0 시각 역전",IF(OR(I657&lt;O657,I657&gt;Q657),"측정시각 구간 밖","OK")))))</f>
        <v/>
      </c>
      <c r="O657" s="48">
        <f>IF(COUNTIFS($C:$C,$C657,$D:$D,$D657,$E:$E,"P0(전)",$M:$M,"&gt;0")&lt;&gt;1,"",SUMIFS($I:$I,$C:$C,$C657,$D:$D,$D657,$E:$E,"P0(전)"))</f>
        <v/>
      </c>
      <c r="P657" s="31">
        <f>IF(COUNTIFS($C:$C,$C657,$D:$D,$D657,$E:$E,"P0(전)",$M:$M,"&gt;0")&lt;&gt;1,"",SUMIFS($M:$M,$C:$C,$C657,$D:$D,$D657,$E:$E,"P0(전)"))</f>
        <v/>
      </c>
      <c r="Q657" s="48">
        <f>IF(COUNTIFS($C:$C,$C657,$D:$D,$D657,$E:$E,"P0(후)",$M:$M,"&gt;0")&lt;&gt;1,"",SUMIFS($I:$I,$C:$C,$C657,$D:$D,$D657,$E:$E,"P0(후)"))</f>
        <v/>
      </c>
      <c r="R657" s="31">
        <f>IF(COUNTIFS($C:$C,$C657,$D:$D,$D657,$E:$E,"P0(후)",$M:$M,"&gt;0")&lt;&gt;1,"",SUMIFS($M:$M,$C:$C,$C657,$D:$D,$D657,$E:$E,"P0(후)"))</f>
        <v/>
      </c>
      <c r="S657" s="31">
        <f>IF(N657&lt;&gt;"OK","",P657+(R657-P657)*(I657-O657)/(Q657-O657))</f>
        <v/>
      </c>
      <c r="T657" s="31">
        <f>IF(OR(N657&lt;&gt;"OK",NOT(ISNUMBER(M657))),"",M657-S657)</f>
        <v/>
      </c>
      <c r="U657" s="49">
        <f>IF(OR(NOT(ISNUMBER(T657)),IF(ISNUMBER(H657),H657,G657)=0),"",T657/IF(ISNUMBER(H657),H657,G657))</f>
        <v/>
      </c>
      <c r="V657" s="49">
        <f>IF(ISNUMBER(U657),ABS(U657),"")</f>
        <v/>
      </c>
      <c r="W657" s="49">
        <f>IF(OR($E656&lt;&gt;"측정",$C656&lt;&gt;$C657,$D656&lt;&gt;$D657,NOT(ISNUMBER(M657)),NOT(ISNUMBER(M656)),(IF(ISNUMBER(H657),H657,G657)-IF(ISNUMBER(H656),H656,G656))=0),"",(M657-M656)/(IF(ISNUMBER(H657),H657,G657)-IF(ISNUMBER(H656),H656,G656)))</f>
        <v/>
      </c>
      <c r="X657" s="31">
        <f>IF(NOT(AND(ISNUMBER(O657),ISNUMBER(Q657))),"",(Q657-O657)*1440)</f>
        <v/>
      </c>
      <c r="Y657" s="29" t="n"/>
      <c r="Z657" s="29" t="n"/>
      <c r="AA657" s="29" t="n"/>
      <c r="AB657" s="32" t="n"/>
      <c r="AC657" s="32" t="n"/>
    </row>
    <row r="658">
      <c r="A658" s="26" t="inlineStr">
        <is>
          <t>S13</t>
        </is>
      </c>
      <c r="B658" s="26" t="inlineStr">
        <is>
          <t>순천 신규점</t>
        </is>
      </c>
      <c r="C658" s="26" t="inlineStr">
        <is>
          <t>S13-H남</t>
        </is>
      </c>
      <c r="D658" s="47" t="n">
        <v>1</v>
      </c>
      <c r="E658" s="26" t="inlineStr">
        <is>
          <t>측정</t>
        </is>
      </c>
      <c r="F658" s="26" t="inlineStr">
        <is>
          <t>남</t>
        </is>
      </c>
      <c r="G658" s="31" t="n">
        <v>1</v>
      </c>
      <c r="H658" s="30" t="n"/>
      <c r="I658" s="43" t="n"/>
      <c r="J658" s="41" t="n"/>
      <c r="K658" s="41" t="n"/>
      <c r="L658" s="41" t="n"/>
      <c r="M658" s="31">
        <f>IF(COUNT(J658:L658)=0,"",MEDIAN(J658:L658))</f>
        <v/>
      </c>
      <c r="N658" s="26">
        <f>IF(COUNTIFS($C:$C,$C658,$D:$D,$D658,$E:$E,"P0(전)",$M:$M,"&gt;0")&lt;&gt;1,"P0(전) 유효 1개 아님",IF(COUNTIFS($C:$C,$C658,$D:$D,$D658,$E:$E,"P0(후)",$M:$M,"&gt;0")&lt;&gt;1,"P0(후) 유효 1개 아님",IF(NOT(AND(ISNUMBER(O658),ISNUMBER(Q658),ISNUMBER(I658))),"시각 결측",IF(Q658&lt;=O658,"P0 시각 역전",IF(OR(I658&lt;O658,I658&gt;Q658),"측정시각 구간 밖","OK")))))</f>
        <v/>
      </c>
      <c r="O658" s="48">
        <f>IF(COUNTIFS($C:$C,$C658,$D:$D,$D658,$E:$E,"P0(전)",$M:$M,"&gt;0")&lt;&gt;1,"",SUMIFS($I:$I,$C:$C,$C658,$D:$D,$D658,$E:$E,"P0(전)"))</f>
        <v/>
      </c>
      <c r="P658" s="31">
        <f>IF(COUNTIFS($C:$C,$C658,$D:$D,$D658,$E:$E,"P0(전)",$M:$M,"&gt;0")&lt;&gt;1,"",SUMIFS($M:$M,$C:$C,$C658,$D:$D,$D658,$E:$E,"P0(전)"))</f>
        <v/>
      </c>
      <c r="Q658" s="48">
        <f>IF(COUNTIFS($C:$C,$C658,$D:$D,$D658,$E:$E,"P0(후)",$M:$M,"&gt;0")&lt;&gt;1,"",SUMIFS($I:$I,$C:$C,$C658,$D:$D,$D658,$E:$E,"P0(후)"))</f>
        <v/>
      </c>
      <c r="R658" s="31">
        <f>IF(COUNTIFS($C:$C,$C658,$D:$D,$D658,$E:$E,"P0(후)",$M:$M,"&gt;0")&lt;&gt;1,"",SUMIFS($M:$M,$C:$C,$C658,$D:$D,$D658,$E:$E,"P0(후)"))</f>
        <v/>
      </c>
      <c r="S658" s="31">
        <f>IF(N658&lt;&gt;"OK","",P658+(R658-P658)*(I658-O658)/(Q658-O658))</f>
        <v/>
      </c>
      <c r="T658" s="31">
        <f>IF(OR(N658&lt;&gt;"OK",NOT(ISNUMBER(M658))),"",M658-S658)</f>
        <v/>
      </c>
      <c r="U658" s="49">
        <f>IF(OR(NOT(ISNUMBER(T658)),IF(ISNUMBER(H658),H658,G658)=0),"",T658/IF(ISNUMBER(H658),H658,G658))</f>
        <v/>
      </c>
      <c r="V658" s="49">
        <f>IF(ISNUMBER(U658),ABS(U658),"")</f>
        <v/>
      </c>
      <c r="W658" s="49">
        <f>IF(OR($E657&lt;&gt;"측정",$C657&lt;&gt;$C658,$D657&lt;&gt;$D658,NOT(ISNUMBER(M658)),NOT(ISNUMBER(M657)),(IF(ISNUMBER(H658),H658,G658)-IF(ISNUMBER(H657),H657,G657))=0),"",(M658-M657)/(IF(ISNUMBER(H658),H658,G658)-IF(ISNUMBER(H657),H657,G657)))</f>
        <v/>
      </c>
      <c r="X658" s="31">
        <f>IF(NOT(AND(ISNUMBER(O658),ISNUMBER(Q658))),"",(Q658-O658)*1440)</f>
        <v/>
      </c>
      <c r="Y658" s="29" t="n"/>
      <c r="Z658" s="29" t="n"/>
      <c r="AA658" s="29" t="n"/>
      <c r="AB658" s="32" t="n"/>
      <c r="AC658" s="32" t="n"/>
    </row>
    <row r="659">
      <c r="A659" s="26" t="inlineStr">
        <is>
          <t>S13</t>
        </is>
      </c>
      <c r="B659" s="26" t="inlineStr">
        <is>
          <t>순천 신규점</t>
        </is>
      </c>
      <c r="C659" s="26" t="inlineStr">
        <is>
          <t>S13-H남</t>
        </is>
      </c>
      <c r="D659" s="47" t="n">
        <v>1</v>
      </c>
      <c r="E659" s="26" t="inlineStr">
        <is>
          <t>측정</t>
        </is>
      </c>
      <c r="F659" s="26" t="inlineStr">
        <is>
          <t>남</t>
        </is>
      </c>
      <c r="G659" s="31" t="n">
        <v>2</v>
      </c>
      <c r="H659" s="30" t="n"/>
      <c r="I659" s="43" t="n"/>
      <c r="J659" s="41" t="n"/>
      <c r="K659" s="41" t="n"/>
      <c r="L659" s="41" t="n"/>
      <c r="M659" s="31">
        <f>IF(COUNT(J659:L659)=0,"",MEDIAN(J659:L659))</f>
        <v/>
      </c>
      <c r="N659" s="26">
        <f>IF(COUNTIFS($C:$C,$C659,$D:$D,$D659,$E:$E,"P0(전)",$M:$M,"&gt;0")&lt;&gt;1,"P0(전) 유효 1개 아님",IF(COUNTIFS($C:$C,$C659,$D:$D,$D659,$E:$E,"P0(후)",$M:$M,"&gt;0")&lt;&gt;1,"P0(후) 유효 1개 아님",IF(NOT(AND(ISNUMBER(O659),ISNUMBER(Q659),ISNUMBER(I659))),"시각 결측",IF(Q659&lt;=O659,"P0 시각 역전",IF(OR(I659&lt;O659,I659&gt;Q659),"측정시각 구간 밖","OK")))))</f>
        <v/>
      </c>
      <c r="O659" s="48">
        <f>IF(COUNTIFS($C:$C,$C659,$D:$D,$D659,$E:$E,"P0(전)",$M:$M,"&gt;0")&lt;&gt;1,"",SUMIFS($I:$I,$C:$C,$C659,$D:$D,$D659,$E:$E,"P0(전)"))</f>
        <v/>
      </c>
      <c r="P659" s="31">
        <f>IF(COUNTIFS($C:$C,$C659,$D:$D,$D659,$E:$E,"P0(전)",$M:$M,"&gt;0")&lt;&gt;1,"",SUMIFS($M:$M,$C:$C,$C659,$D:$D,$D659,$E:$E,"P0(전)"))</f>
        <v/>
      </c>
      <c r="Q659" s="48">
        <f>IF(COUNTIFS($C:$C,$C659,$D:$D,$D659,$E:$E,"P0(후)",$M:$M,"&gt;0")&lt;&gt;1,"",SUMIFS($I:$I,$C:$C,$C659,$D:$D,$D659,$E:$E,"P0(후)"))</f>
        <v/>
      </c>
      <c r="R659" s="31">
        <f>IF(COUNTIFS($C:$C,$C659,$D:$D,$D659,$E:$E,"P0(후)",$M:$M,"&gt;0")&lt;&gt;1,"",SUMIFS($M:$M,$C:$C,$C659,$D:$D,$D659,$E:$E,"P0(후)"))</f>
        <v/>
      </c>
      <c r="S659" s="31">
        <f>IF(N659&lt;&gt;"OK","",P659+(R659-P659)*(I659-O659)/(Q659-O659))</f>
        <v/>
      </c>
      <c r="T659" s="31">
        <f>IF(OR(N659&lt;&gt;"OK",NOT(ISNUMBER(M659))),"",M659-S659)</f>
        <v/>
      </c>
      <c r="U659" s="49">
        <f>IF(OR(NOT(ISNUMBER(T659)),IF(ISNUMBER(H659),H659,G659)=0),"",T659/IF(ISNUMBER(H659),H659,G659))</f>
        <v/>
      </c>
      <c r="V659" s="49">
        <f>IF(ISNUMBER(U659),ABS(U659),"")</f>
        <v/>
      </c>
      <c r="W659" s="49">
        <f>IF(OR($E658&lt;&gt;"측정",$C658&lt;&gt;$C659,$D658&lt;&gt;$D659,NOT(ISNUMBER(M659)),NOT(ISNUMBER(M658)),(IF(ISNUMBER(H659),H659,G659)-IF(ISNUMBER(H658),H658,G658))=0),"",(M659-M658)/(IF(ISNUMBER(H659),H659,G659)-IF(ISNUMBER(H658),H658,G658)))</f>
        <v/>
      </c>
      <c r="X659" s="31">
        <f>IF(NOT(AND(ISNUMBER(O659),ISNUMBER(Q659))),"",(Q659-O659)*1440)</f>
        <v/>
      </c>
      <c r="Y659" s="29" t="n"/>
      <c r="Z659" s="29" t="n"/>
      <c r="AA659" s="29" t="n"/>
      <c r="AB659" s="32" t="n"/>
      <c r="AC659" s="32" t="n"/>
    </row>
    <row r="660">
      <c r="A660" s="26" t="inlineStr">
        <is>
          <t>S13</t>
        </is>
      </c>
      <c r="B660" s="26" t="inlineStr">
        <is>
          <t>순천 신규점</t>
        </is>
      </c>
      <c r="C660" s="26" t="inlineStr">
        <is>
          <t>S13-H남</t>
        </is>
      </c>
      <c r="D660" s="47" t="n">
        <v>1</v>
      </c>
      <c r="E660" s="26" t="inlineStr">
        <is>
          <t>측정</t>
        </is>
      </c>
      <c r="F660" s="26" t="inlineStr">
        <is>
          <t>남</t>
        </is>
      </c>
      <c r="G660" s="31" t="n">
        <v>3</v>
      </c>
      <c r="H660" s="30" t="n"/>
      <c r="I660" s="43" t="n"/>
      <c r="J660" s="41" t="n"/>
      <c r="K660" s="41" t="n"/>
      <c r="L660" s="41" t="n"/>
      <c r="M660" s="31">
        <f>IF(COUNT(J660:L660)=0,"",MEDIAN(J660:L660))</f>
        <v/>
      </c>
      <c r="N660" s="26">
        <f>IF(COUNTIFS($C:$C,$C660,$D:$D,$D660,$E:$E,"P0(전)",$M:$M,"&gt;0")&lt;&gt;1,"P0(전) 유효 1개 아님",IF(COUNTIFS($C:$C,$C660,$D:$D,$D660,$E:$E,"P0(후)",$M:$M,"&gt;0")&lt;&gt;1,"P0(후) 유효 1개 아님",IF(NOT(AND(ISNUMBER(O660),ISNUMBER(Q660),ISNUMBER(I660))),"시각 결측",IF(Q660&lt;=O660,"P0 시각 역전",IF(OR(I660&lt;O660,I660&gt;Q660),"측정시각 구간 밖","OK")))))</f>
        <v/>
      </c>
      <c r="O660" s="48">
        <f>IF(COUNTIFS($C:$C,$C660,$D:$D,$D660,$E:$E,"P0(전)",$M:$M,"&gt;0")&lt;&gt;1,"",SUMIFS($I:$I,$C:$C,$C660,$D:$D,$D660,$E:$E,"P0(전)"))</f>
        <v/>
      </c>
      <c r="P660" s="31">
        <f>IF(COUNTIFS($C:$C,$C660,$D:$D,$D660,$E:$E,"P0(전)",$M:$M,"&gt;0")&lt;&gt;1,"",SUMIFS($M:$M,$C:$C,$C660,$D:$D,$D660,$E:$E,"P0(전)"))</f>
        <v/>
      </c>
      <c r="Q660" s="48">
        <f>IF(COUNTIFS($C:$C,$C660,$D:$D,$D660,$E:$E,"P0(후)",$M:$M,"&gt;0")&lt;&gt;1,"",SUMIFS($I:$I,$C:$C,$C660,$D:$D,$D660,$E:$E,"P0(후)"))</f>
        <v/>
      </c>
      <c r="R660" s="31">
        <f>IF(COUNTIFS($C:$C,$C660,$D:$D,$D660,$E:$E,"P0(후)",$M:$M,"&gt;0")&lt;&gt;1,"",SUMIFS($M:$M,$C:$C,$C660,$D:$D,$D660,$E:$E,"P0(후)"))</f>
        <v/>
      </c>
      <c r="S660" s="31">
        <f>IF(N660&lt;&gt;"OK","",P660+(R660-P660)*(I660-O660)/(Q660-O660))</f>
        <v/>
      </c>
      <c r="T660" s="31">
        <f>IF(OR(N660&lt;&gt;"OK",NOT(ISNUMBER(M660))),"",M660-S660)</f>
        <v/>
      </c>
      <c r="U660" s="49">
        <f>IF(OR(NOT(ISNUMBER(T660)),IF(ISNUMBER(H660),H660,G660)=0),"",T660/IF(ISNUMBER(H660),H660,G660))</f>
        <v/>
      </c>
      <c r="V660" s="49">
        <f>IF(ISNUMBER(U660),ABS(U660),"")</f>
        <v/>
      </c>
      <c r="W660" s="49">
        <f>IF(OR($E659&lt;&gt;"측정",$C659&lt;&gt;$C660,$D659&lt;&gt;$D660,NOT(ISNUMBER(M660)),NOT(ISNUMBER(M659)),(IF(ISNUMBER(H660),H660,G660)-IF(ISNUMBER(H659),H659,G659))=0),"",(M660-M659)/(IF(ISNUMBER(H660),H660,G660)-IF(ISNUMBER(H659),H659,G659)))</f>
        <v/>
      </c>
      <c r="X660" s="31">
        <f>IF(NOT(AND(ISNUMBER(O660),ISNUMBER(Q660))),"",(Q660-O660)*1440)</f>
        <v/>
      </c>
      <c r="Y660" s="29" t="n"/>
      <c r="Z660" s="29" t="n"/>
      <c r="AA660" s="29" t="n"/>
      <c r="AB660" s="32" t="n"/>
      <c r="AC660" s="32" t="n"/>
    </row>
    <row r="661">
      <c r="A661" s="26" t="inlineStr">
        <is>
          <t>S13</t>
        </is>
      </c>
      <c r="B661" s="26" t="inlineStr">
        <is>
          <t>순천 신규점</t>
        </is>
      </c>
      <c r="C661" s="26" t="inlineStr">
        <is>
          <t>S13-H남</t>
        </is>
      </c>
      <c r="D661" s="47" t="n">
        <v>1</v>
      </c>
      <c r="E661" s="26" t="inlineStr">
        <is>
          <t>측정</t>
        </is>
      </c>
      <c r="F661" s="26" t="inlineStr">
        <is>
          <t>남</t>
        </is>
      </c>
      <c r="G661" s="31" t="n">
        <v>4</v>
      </c>
      <c r="H661" s="30" t="n"/>
      <c r="I661" s="43" t="n"/>
      <c r="J661" s="41" t="n"/>
      <c r="K661" s="41" t="n"/>
      <c r="L661" s="41" t="n"/>
      <c r="M661" s="31">
        <f>IF(COUNT(J661:L661)=0,"",MEDIAN(J661:L661))</f>
        <v/>
      </c>
      <c r="N661" s="26">
        <f>IF(COUNTIFS($C:$C,$C661,$D:$D,$D661,$E:$E,"P0(전)",$M:$M,"&gt;0")&lt;&gt;1,"P0(전) 유효 1개 아님",IF(COUNTIFS($C:$C,$C661,$D:$D,$D661,$E:$E,"P0(후)",$M:$M,"&gt;0")&lt;&gt;1,"P0(후) 유효 1개 아님",IF(NOT(AND(ISNUMBER(O661),ISNUMBER(Q661),ISNUMBER(I661))),"시각 결측",IF(Q661&lt;=O661,"P0 시각 역전",IF(OR(I661&lt;O661,I661&gt;Q661),"측정시각 구간 밖","OK")))))</f>
        <v/>
      </c>
      <c r="O661" s="48">
        <f>IF(COUNTIFS($C:$C,$C661,$D:$D,$D661,$E:$E,"P0(전)",$M:$M,"&gt;0")&lt;&gt;1,"",SUMIFS($I:$I,$C:$C,$C661,$D:$D,$D661,$E:$E,"P0(전)"))</f>
        <v/>
      </c>
      <c r="P661" s="31">
        <f>IF(COUNTIFS($C:$C,$C661,$D:$D,$D661,$E:$E,"P0(전)",$M:$M,"&gt;0")&lt;&gt;1,"",SUMIFS($M:$M,$C:$C,$C661,$D:$D,$D661,$E:$E,"P0(전)"))</f>
        <v/>
      </c>
      <c r="Q661" s="48">
        <f>IF(COUNTIFS($C:$C,$C661,$D:$D,$D661,$E:$E,"P0(후)",$M:$M,"&gt;0")&lt;&gt;1,"",SUMIFS($I:$I,$C:$C,$C661,$D:$D,$D661,$E:$E,"P0(후)"))</f>
        <v/>
      </c>
      <c r="R661" s="31">
        <f>IF(COUNTIFS($C:$C,$C661,$D:$D,$D661,$E:$E,"P0(후)",$M:$M,"&gt;0")&lt;&gt;1,"",SUMIFS($M:$M,$C:$C,$C661,$D:$D,$D661,$E:$E,"P0(후)"))</f>
        <v/>
      </c>
      <c r="S661" s="31">
        <f>IF(N661&lt;&gt;"OK","",P661+(R661-P661)*(I661-O661)/(Q661-O661))</f>
        <v/>
      </c>
      <c r="T661" s="31">
        <f>IF(OR(N661&lt;&gt;"OK",NOT(ISNUMBER(M661))),"",M661-S661)</f>
        <v/>
      </c>
      <c r="U661" s="49">
        <f>IF(OR(NOT(ISNUMBER(T661)),IF(ISNUMBER(H661),H661,G661)=0),"",T661/IF(ISNUMBER(H661),H661,G661))</f>
        <v/>
      </c>
      <c r="V661" s="49">
        <f>IF(ISNUMBER(U661),ABS(U661),"")</f>
        <v/>
      </c>
      <c r="W661" s="49">
        <f>IF(OR($E660&lt;&gt;"측정",$C660&lt;&gt;$C661,$D660&lt;&gt;$D661,NOT(ISNUMBER(M661)),NOT(ISNUMBER(M660)),(IF(ISNUMBER(H661),H661,G661)-IF(ISNUMBER(H660),H660,G660))=0),"",(M661-M660)/(IF(ISNUMBER(H661),H661,G661)-IF(ISNUMBER(H660),H660,G660)))</f>
        <v/>
      </c>
      <c r="X661" s="31">
        <f>IF(NOT(AND(ISNUMBER(O661),ISNUMBER(Q661))),"",(Q661-O661)*1440)</f>
        <v/>
      </c>
      <c r="Y661" s="29" t="n"/>
      <c r="Z661" s="29" t="n"/>
      <c r="AA661" s="29" t="n"/>
      <c r="AB661" s="32" t="n"/>
      <c r="AC661" s="32" t="n"/>
    </row>
    <row r="662">
      <c r="A662" s="26" t="inlineStr">
        <is>
          <t>S13</t>
        </is>
      </c>
      <c r="B662" s="26" t="inlineStr">
        <is>
          <t>순천 신규점</t>
        </is>
      </c>
      <c r="C662" s="26" t="inlineStr">
        <is>
          <t>S13-H남</t>
        </is>
      </c>
      <c r="D662" s="47" t="n">
        <v>1</v>
      </c>
      <c r="E662" s="26" t="inlineStr">
        <is>
          <t>측정</t>
        </is>
      </c>
      <c r="F662" s="26" t="inlineStr">
        <is>
          <t>남</t>
        </is>
      </c>
      <c r="G662" s="31" t="n">
        <v>5</v>
      </c>
      <c r="H662" s="30" t="n"/>
      <c r="I662" s="43" t="n"/>
      <c r="J662" s="41" t="n"/>
      <c r="K662" s="41" t="n"/>
      <c r="L662" s="41" t="n"/>
      <c r="M662" s="31">
        <f>IF(COUNT(J662:L662)=0,"",MEDIAN(J662:L662))</f>
        <v/>
      </c>
      <c r="N662" s="26">
        <f>IF(COUNTIFS($C:$C,$C662,$D:$D,$D662,$E:$E,"P0(전)",$M:$M,"&gt;0")&lt;&gt;1,"P0(전) 유효 1개 아님",IF(COUNTIFS($C:$C,$C662,$D:$D,$D662,$E:$E,"P0(후)",$M:$M,"&gt;0")&lt;&gt;1,"P0(후) 유효 1개 아님",IF(NOT(AND(ISNUMBER(O662),ISNUMBER(Q662),ISNUMBER(I662))),"시각 결측",IF(Q662&lt;=O662,"P0 시각 역전",IF(OR(I662&lt;O662,I662&gt;Q662),"측정시각 구간 밖","OK")))))</f>
        <v/>
      </c>
      <c r="O662" s="48">
        <f>IF(COUNTIFS($C:$C,$C662,$D:$D,$D662,$E:$E,"P0(전)",$M:$M,"&gt;0")&lt;&gt;1,"",SUMIFS($I:$I,$C:$C,$C662,$D:$D,$D662,$E:$E,"P0(전)"))</f>
        <v/>
      </c>
      <c r="P662" s="31">
        <f>IF(COUNTIFS($C:$C,$C662,$D:$D,$D662,$E:$E,"P0(전)",$M:$M,"&gt;0")&lt;&gt;1,"",SUMIFS($M:$M,$C:$C,$C662,$D:$D,$D662,$E:$E,"P0(전)"))</f>
        <v/>
      </c>
      <c r="Q662" s="48">
        <f>IF(COUNTIFS($C:$C,$C662,$D:$D,$D662,$E:$E,"P0(후)",$M:$M,"&gt;0")&lt;&gt;1,"",SUMIFS($I:$I,$C:$C,$C662,$D:$D,$D662,$E:$E,"P0(후)"))</f>
        <v/>
      </c>
      <c r="R662" s="31">
        <f>IF(COUNTIFS($C:$C,$C662,$D:$D,$D662,$E:$E,"P0(후)",$M:$M,"&gt;0")&lt;&gt;1,"",SUMIFS($M:$M,$C:$C,$C662,$D:$D,$D662,$E:$E,"P0(후)"))</f>
        <v/>
      </c>
      <c r="S662" s="31">
        <f>IF(N662&lt;&gt;"OK","",P662+(R662-P662)*(I662-O662)/(Q662-O662))</f>
        <v/>
      </c>
      <c r="T662" s="31">
        <f>IF(OR(N662&lt;&gt;"OK",NOT(ISNUMBER(M662))),"",M662-S662)</f>
        <v/>
      </c>
      <c r="U662" s="49">
        <f>IF(OR(NOT(ISNUMBER(T662)),IF(ISNUMBER(H662),H662,G662)=0),"",T662/IF(ISNUMBER(H662),H662,G662))</f>
        <v/>
      </c>
      <c r="V662" s="49">
        <f>IF(ISNUMBER(U662),ABS(U662),"")</f>
        <v/>
      </c>
      <c r="W662" s="49">
        <f>IF(OR($E661&lt;&gt;"측정",$C661&lt;&gt;$C662,$D661&lt;&gt;$D662,NOT(ISNUMBER(M662)),NOT(ISNUMBER(M661)),(IF(ISNUMBER(H662),H662,G662)-IF(ISNUMBER(H661),H661,G661))=0),"",(M662-M661)/(IF(ISNUMBER(H662),H662,G662)-IF(ISNUMBER(H661),H661,G661)))</f>
        <v/>
      </c>
      <c r="X662" s="31">
        <f>IF(NOT(AND(ISNUMBER(O662),ISNUMBER(Q662))),"",(Q662-O662)*1440)</f>
        <v/>
      </c>
      <c r="Y662" s="29" t="n"/>
      <c r="Z662" s="29" t="n"/>
      <c r="AA662" s="29" t="n"/>
      <c r="AB662" s="32" t="n"/>
      <c r="AC662" s="32" t="n"/>
    </row>
    <row r="663">
      <c r="A663" s="26" t="inlineStr">
        <is>
          <t>S13</t>
        </is>
      </c>
      <c r="B663" s="26" t="inlineStr">
        <is>
          <t>순천 신규점</t>
        </is>
      </c>
      <c r="C663" s="26" t="inlineStr">
        <is>
          <t>S13-H남</t>
        </is>
      </c>
      <c r="D663" s="47" t="n">
        <v>1</v>
      </c>
      <c r="E663" s="26" t="inlineStr">
        <is>
          <t>측정</t>
        </is>
      </c>
      <c r="F663" s="26" t="inlineStr">
        <is>
          <t>남</t>
        </is>
      </c>
      <c r="G663" s="31" t="n">
        <v>6</v>
      </c>
      <c r="H663" s="30" t="n"/>
      <c r="I663" s="43" t="n"/>
      <c r="J663" s="41" t="n"/>
      <c r="K663" s="41" t="n"/>
      <c r="L663" s="41" t="n"/>
      <c r="M663" s="31">
        <f>IF(COUNT(J663:L663)=0,"",MEDIAN(J663:L663))</f>
        <v/>
      </c>
      <c r="N663" s="26">
        <f>IF(COUNTIFS($C:$C,$C663,$D:$D,$D663,$E:$E,"P0(전)",$M:$M,"&gt;0")&lt;&gt;1,"P0(전) 유효 1개 아님",IF(COUNTIFS($C:$C,$C663,$D:$D,$D663,$E:$E,"P0(후)",$M:$M,"&gt;0")&lt;&gt;1,"P0(후) 유효 1개 아님",IF(NOT(AND(ISNUMBER(O663),ISNUMBER(Q663),ISNUMBER(I663))),"시각 결측",IF(Q663&lt;=O663,"P0 시각 역전",IF(OR(I663&lt;O663,I663&gt;Q663),"측정시각 구간 밖","OK")))))</f>
        <v/>
      </c>
      <c r="O663" s="48">
        <f>IF(COUNTIFS($C:$C,$C663,$D:$D,$D663,$E:$E,"P0(전)",$M:$M,"&gt;0")&lt;&gt;1,"",SUMIFS($I:$I,$C:$C,$C663,$D:$D,$D663,$E:$E,"P0(전)"))</f>
        <v/>
      </c>
      <c r="P663" s="31">
        <f>IF(COUNTIFS($C:$C,$C663,$D:$D,$D663,$E:$E,"P0(전)",$M:$M,"&gt;0")&lt;&gt;1,"",SUMIFS($M:$M,$C:$C,$C663,$D:$D,$D663,$E:$E,"P0(전)"))</f>
        <v/>
      </c>
      <c r="Q663" s="48">
        <f>IF(COUNTIFS($C:$C,$C663,$D:$D,$D663,$E:$E,"P0(후)",$M:$M,"&gt;0")&lt;&gt;1,"",SUMIFS($I:$I,$C:$C,$C663,$D:$D,$D663,$E:$E,"P0(후)"))</f>
        <v/>
      </c>
      <c r="R663" s="31">
        <f>IF(COUNTIFS($C:$C,$C663,$D:$D,$D663,$E:$E,"P0(후)",$M:$M,"&gt;0")&lt;&gt;1,"",SUMIFS($M:$M,$C:$C,$C663,$D:$D,$D663,$E:$E,"P0(후)"))</f>
        <v/>
      </c>
      <c r="S663" s="31">
        <f>IF(N663&lt;&gt;"OK","",P663+(R663-P663)*(I663-O663)/(Q663-O663))</f>
        <v/>
      </c>
      <c r="T663" s="31">
        <f>IF(OR(N663&lt;&gt;"OK",NOT(ISNUMBER(M663))),"",M663-S663)</f>
        <v/>
      </c>
      <c r="U663" s="49">
        <f>IF(OR(NOT(ISNUMBER(T663)),IF(ISNUMBER(H663),H663,G663)=0),"",T663/IF(ISNUMBER(H663),H663,G663))</f>
        <v/>
      </c>
      <c r="V663" s="49">
        <f>IF(ISNUMBER(U663),ABS(U663),"")</f>
        <v/>
      </c>
      <c r="W663" s="49">
        <f>IF(OR($E662&lt;&gt;"측정",$C662&lt;&gt;$C663,$D662&lt;&gt;$D663,NOT(ISNUMBER(M663)),NOT(ISNUMBER(M662)),(IF(ISNUMBER(H663),H663,G663)-IF(ISNUMBER(H662),H662,G662))=0),"",(M663-M662)/(IF(ISNUMBER(H663),H663,G663)-IF(ISNUMBER(H662),H662,G662)))</f>
        <v/>
      </c>
      <c r="X663" s="31">
        <f>IF(NOT(AND(ISNUMBER(O663),ISNUMBER(Q663))),"",(Q663-O663)*1440)</f>
        <v/>
      </c>
      <c r="Y663" s="29" t="n"/>
      <c r="Z663" s="29" t="n"/>
      <c r="AA663" s="29" t="n"/>
      <c r="AB663" s="32" t="n"/>
      <c r="AC663" s="32" t="n"/>
    </row>
    <row r="664">
      <c r="A664" s="26" t="inlineStr">
        <is>
          <t>S13</t>
        </is>
      </c>
      <c r="B664" s="26" t="inlineStr">
        <is>
          <t>순천 신규점</t>
        </is>
      </c>
      <c r="C664" s="26" t="inlineStr">
        <is>
          <t>S13-H남</t>
        </is>
      </c>
      <c r="D664" s="47" t="n">
        <v>1</v>
      </c>
      <c r="E664" s="26" t="inlineStr">
        <is>
          <t>측정</t>
        </is>
      </c>
      <c r="F664" s="26" t="inlineStr">
        <is>
          <t>남</t>
        </is>
      </c>
      <c r="G664" s="31" t="n">
        <v>7</v>
      </c>
      <c r="H664" s="30" t="n"/>
      <c r="I664" s="43" t="n"/>
      <c r="J664" s="41" t="n"/>
      <c r="K664" s="41" t="n"/>
      <c r="L664" s="41" t="n"/>
      <c r="M664" s="31">
        <f>IF(COUNT(J664:L664)=0,"",MEDIAN(J664:L664))</f>
        <v/>
      </c>
      <c r="N664" s="26">
        <f>IF(COUNTIFS($C:$C,$C664,$D:$D,$D664,$E:$E,"P0(전)",$M:$M,"&gt;0")&lt;&gt;1,"P0(전) 유효 1개 아님",IF(COUNTIFS($C:$C,$C664,$D:$D,$D664,$E:$E,"P0(후)",$M:$M,"&gt;0")&lt;&gt;1,"P0(후) 유효 1개 아님",IF(NOT(AND(ISNUMBER(O664),ISNUMBER(Q664),ISNUMBER(I664))),"시각 결측",IF(Q664&lt;=O664,"P0 시각 역전",IF(OR(I664&lt;O664,I664&gt;Q664),"측정시각 구간 밖","OK")))))</f>
        <v/>
      </c>
      <c r="O664" s="48">
        <f>IF(COUNTIFS($C:$C,$C664,$D:$D,$D664,$E:$E,"P0(전)",$M:$M,"&gt;0")&lt;&gt;1,"",SUMIFS($I:$I,$C:$C,$C664,$D:$D,$D664,$E:$E,"P0(전)"))</f>
        <v/>
      </c>
      <c r="P664" s="31">
        <f>IF(COUNTIFS($C:$C,$C664,$D:$D,$D664,$E:$E,"P0(전)",$M:$M,"&gt;0")&lt;&gt;1,"",SUMIFS($M:$M,$C:$C,$C664,$D:$D,$D664,$E:$E,"P0(전)"))</f>
        <v/>
      </c>
      <c r="Q664" s="48">
        <f>IF(COUNTIFS($C:$C,$C664,$D:$D,$D664,$E:$E,"P0(후)",$M:$M,"&gt;0")&lt;&gt;1,"",SUMIFS($I:$I,$C:$C,$C664,$D:$D,$D664,$E:$E,"P0(후)"))</f>
        <v/>
      </c>
      <c r="R664" s="31">
        <f>IF(COUNTIFS($C:$C,$C664,$D:$D,$D664,$E:$E,"P0(후)",$M:$M,"&gt;0")&lt;&gt;1,"",SUMIFS($M:$M,$C:$C,$C664,$D:$D,$D664,$E:$E,"P0(후)"))</f>
        <v/>
      </c>
      <c r="S664" s="31">
        <f>IF(N664&lt;&gt;"OK","",P664+(R664-P664)*(I664-O664)/(Q664-O664))</f>
        <v/>
      </c>
      <c r="T664" s="31">
        <f>IF(OR(N664&lt;&gt;"OK",NOT(ISNUMBER(M664))),"",M664-S664)</f>
        <v/>
      </c>
      <c r="U664" s="49">
        <f>IF(OR(NOT(ISNUMBER(T664)),IF(ISNUMBER(H664),H664,G664)=0),"",T664/IF(ISNUMBER(H664),H664,G664))</f>
        <v/>
      </c>
      <c r="V664" s="49">
        <f>IF(ISNUMBER(U664),ABS(U664),"")</f>
        <v/>
      </c>
      <c r="W664" s="49">
        <f>IF(OR($E663&lt;&gt;"측정",$C663&lt;&gt;$C664,$D663&lt;&gt;$D664,NOT(ISNUMBER(M664)),NOT(ISNUMBER(M663)),(IF(ISNUMBER(H664),H664,G664)-IF(ISNUMBER(H663),H663,G663))=0),"",(M664-M663)/(IF(ISNUMBER(H664),H664,G664)-IF(ISNUMBER(H663),H663,G663)))</f>
        <v/>
      </c>
      <c r="X664" s="31">
        <f>IF(NOT(AND(ISNUMBER(O664),ISNUMBER(Q664))),"",(Q664-O664)*1440)</f>
        <v/>
      </c>
      <c r="Y664" s="29" t="n"/>
      <c r="Z664" s="29" t="n"/>
      <c r="AA664" s="29" t="n"/>
      <c r="AB664" s="32" t="n"/>
      <c r="AC664" s="32" t="n"/>
    </row>
    <row r="665">
      <c r="A665" s="26" t="inlineStr">
        <is>
          <t>S13</t>
        </is>
      </c>
      <c r="B665" s="26" t="inlineStr">
        <is>
          <t>순천 신규점</t>
        </is>
      </c>
      <c r="C665" s="26" t="inlineStr">
        <is>
          <t>S13-H남</t>
        </is>
      </c>
      <c r="D665" s="47" t="n">
        <v>1</v>
      </c>
      <c r="E665" s="26" t="inlineStr">
        <is>
          <t>측정</t>
        </is>
      </c>
      <c r="F665" s="26" t="inlineStr">
        <is>
          <t>남</t>
        </is>
      </c>
      <c r="G665" s="31" t="n">
        <v>8</v>
      </c>
      <c r="H665" s="30" t="n"/>
      <c r="I665" s="43" t="n"/>
      <c r="J665" s="41" t="n"/>
      <c r="K665" s="41" t="n"/>
      <c r="L665" s="41" t="n"/>
      <c r="M665" s="31">
        <f>IF(COUNT(J665:L665)=0,"",MEDIAN(J665:L665))</f>
        <v/>
      </c>
      <c r="N665" s="26">
        <f>IF(COUNTIFS($C:$C,$C665,$D:$D,$D665,$E:$E,"P0(전)",$M:$M,"&gt;0")&lt;&gt;1,"P0(전) 유효 1개 아님",IF(COUNTIFS($C:$C,$C665,$D:$D,$D665,$E:$E,"P0(후)",$M:$M,"&gt;0")&lt;&gt;1,"P0(후) 유효 1개 아님",IF(NOT(AND(ISNUMBER(O665),ISNUMBER(Q665),ISNUMBER(I665))),"시각 결측",IF(Q665&lt;=O665,"P0 시각 역전",IF(OR(I665&lt;O665,I665&gt;Q665),"측정시각 구간 밖","OK")))))</f>
        <v/>
      </c>
      <c r="O665" s="48">
        <f>IF(COUNTIFS($C:$C,$C665,$D:$D,$D665,$E:$E,"P0(전)",$M:$M,"&gt;0")&lt;&gt;1,"",SUMIFS($I:$I,$C:$C,$C665,$D:$D,$D665,$E:$E,"P0(전)"))</f>
        <v/>
      </c>
      <c r="P665" s="31">
        <f>IF(COUNTIFS($C:$C,$C665,$D:$D,$D665,$E:$E,"P0(전)",$M:$M,"&gt;0")&lt;&gt;1,"",SUMIFS($M:$M,$C:$C,$C665,$D:$D,$D665,$E:$E,"P0(전)"))</f>
        <v/>
      </c>
      <c r="Q665" s="48">
        <f>IF(COUNTIFS($C:$C,$C665,$D:$D,$D665,$E:$E,"P0(후)",$M:$M,"&gt;0")&lt;&gt;1,"",SUMIFS($I:$I,$C:$C,$C665,$D:$D,$D665,$E:$E,"P0(후)"))</f>
        <v/>
      </c>
      <c r="R665" s="31">
        <f>IF(COUNTIFS($C:$C,$C665,$D:$D,$D665,$E:$E,"P0(후)",$M:$M,"&gt;0")&lt;&gt;1,"",SUMIFS($M:$M,$C:$C,$C665,$D:$D,$D665,$E:$E,"P0(후)"))</f>
        <v/>
      </c>
      <c r="S665" s="31">
        <f>IF(N665&lt;&gt;"OK","",P665+(R665-P665)*(I665-O665)/(Q665-O665))</f>
        <v/>
      </c>
      <c r="T665" s="31">
        <f>IF(OR(N665&lt;&gt;"OK",NOT(ISNUMBER(M665))),"",M665-S665)</f>
        <v/>
      </c>
      <c r="U665" s="49">
        <f>IF(OR(NOT(ISNUMBER(T665)),IF(ISNUMBER(H665),H665,G665)=0),"",T665/IF(ISNUMBER(H665),H665,G665))</f>
        <v/>
      </c>
      <c r="V665" s="49">
        <f>IF(ISNUMBER(U665),ABS(U665),"")</f>
        <v/>
      </c>
      <c r="W665" s="49">
        <f>IF(OR($E664&lt;&gt;"측정",$C664&lt;&gt;$C665,$D664&lt;&gt;$D665,NOT(ISNUMBER(M665)),NOT(ISNUMBER(M664)),(IF(ISNUMBER(H665),H665,G665)-IF(ISNUMBER(H664),H664,G664))=0),"",(M665-M664)/(IF(ISNUMBER(H665),H665,G665)-IF(ISNUMBER(H664),H664,G664)))</f>
        <v/>
      </c>
      <c r="X665" s="31">
        <f>IF(NOT(AND(ISNUMBER(O665),ISNUMBER(Q665))),"",(Q665-O665)*1440)</f>
        <v/>
      </c>
      <c r="Y665" s="29" t="n"/>
      <c r="Z665" s="29" t="n"/>
      <c r="AA665" s="29" t="n"/>
      <c r="AB665" s="32" t="n"/>
      <c r="AC665" s="32" t="n"/>
    </row>
    <row r="666">
      <c r="A666" s="26" t="inlineStr">
        <is>
          <t>S13</t>
        </is>
      </c>
      <c r="B666" s="26" t="inlineStr">
        <is>
          <t>순천 신규점</t>
        </is>
      </c>
      <c r="C666" s="26" t="inlineStr">
        <is>
          <t>S13-H남</t>
        </is>
      </c>
      <c r="D666" s="47" t="n">
        <v>1</v>
      </c>
      <c r="E666" s="26" t="inlineStr">
        <is>
          <t>측정</t>
        </is>
      </c>
      <c r="F666" s="26" t="inlineStr">
        <is>
          <t>남</t>
        </is>
      </c>
      <c r="G666" s="31" t="n">
        <v>9</v>
      </c>
      <c r="H666" s="30" t="n"/>
      <c r="I666" s="43" t="n"/>
      <c r="J666" s="41" t="n"/>
      <c r="K666" s="41" t="n"/>
      <c r="L666" s="41" t="n"/>
      <c r="M666" s="31">
        <f>IF(COUNT(J666:L666)=0,"",MEDIAN(J666:L666))</f>
        <v/>
      </c>
      <c r="N666" s="26">
        <f>IF(COUNTIFS($C:$C,$C666,$D:$D,$D666,$E:$E,"P0(전)",$M:$M,"&gt;0")&lt;&gt;1,"P0(전) 유효 1개 아님",IF(COUNTIFS($C:$C,$C666,$D:$D,$D666,$E:$E,"P0(후)",$M:$M,"&gt;0")&lt;&gt;1,"P0(후) 유효 1개 아님",IF(NOT(AND(ISNUMBER(O666),ISNUMBER(Q666),ISNUMBER(I666))),"시각 결측",IF(Q666&lt;=O666,"P0 시각 역전",IF(OR(I666&lt;O666,I666&gt;Q666),"측정시각 구간 밖","OK")))))</f>
        <v/>
      </c>
      <c r="O666" s="48">
        <f>IF(COUNTIFS($C:$C,$C666,$D:$D,$D666,$E:$E,"P0(전)",$M:$M,"&gt;0")&lt;&gt;1,"",SUMIFS($I:$I,$C:$C,$C666,$D:$D,$D666,$E:$E,"P0(전)"))</f>
        <v/>
      </c>
      <c r="P666" s="31">
        <f>IF(COUNTIFS($C:$C,$C666,$D:$D,$D666,$E:$E,"P0(전)",$M:$M,"&gt;0")&lt;&gt;1,"",SUMIFS($M:$M,$C:$C,$C666,$D:$D,$D666,$E:$E,"P0(전)"))</f>
        <v/>
      </c>
      <c r="Q666" s="48">
        <f>IF(COUNTIFS($C:$C,$C666,$D:$D,$D666,$E:$E,"P0(후)",$M:$M,"&gt;0")&lt;&gt;1,"",SUMIFS($I:$I,$C:$C,$C666,$D:$D,$D666,$E:$E,"P0(후)"))</f>
        <v/>
      </c>
      <c r="R666" s="31">
        <f>IF(COUNTIFS($C:$C,$C666,$D:$D,$D666,$E:$E,"P0(후)",$M:$M,"&gt;0")&lt;&gt;1,"",SUMIFS($M:$M,$C:$C,$C666,$D:$D,$D666,$E:$E,"P0(후)"))</f>
        <v/>
      </c>
      <c r="S666" s="31">
        <f>IF(N666&lt;&gt;"OK","",P666+(R666-P666)*(I666-O666)/(Q666-O666))</f>
        <v/>
      </c>
      <c r="T666" s="31">
        <f>IF(OR(N666&lt;&gt;"OK",NOT(ISNUMBER(M666))),"",M666-S666)</f>
        <v/>
      </c>
      <c r="U666" s="49">
        <f>IF(OR(NOT(ISNUMBER(T666)),IF(ISNUMBER(H666),H666,G666)=0),"",T666/IF(ISNUMBER(H666),H666,G666))</f>
        <v/>
      </c>
      <c r="V666" s="49">
        <f>IF(ISNUMBER(U666),ABS(U666),"")</f>
        <v/>
      </c>
      <c r="W666" s="49">
        <f>IF(OR($E665&lt;&gt;"측정",$C665&lt;&gt;$C666,$D665&lt;&gt;$D666,NOT(ISNUMBER(M666)),NOT(ISNUMBER(M665)),(IF(ISNUMBER(H666),H666,G666)-IF(ISNUMBER(H665),H665,G665))=0),"",(M666-M665)/(IF(ISNUMBER(H666),H666,G666)-IF(ISNUMBER(H665),H665,G665)))</f>
        <v/>
      </c>
      <c r="X666" s="31">
        <f>IF(NOT(AND(ISNUMBER(O666),ISNUMBER(Q666))),"",(Q666-O666)*1440)</f>
        <v/>
      </c>
      <c r="Y666" s="29" t="n"/>
      <c r="Z666" s="29" t="n"/>
      <c r="AA666" s="29" t="n"/>
      <c r="AB666" s="32" t="n"/>
      <c r="AC666" s="32" t="n"/>
    </row>
    <row r="667">
      <c r="A667" s="26" t="inlineStr">
        <is>
          <t>S13</t>
        </is>
      </c>
      <c r="B667" s="26" t="inlineStr">
        <is>
          <t>순천 신규점</t>
        </is>
      </c>
      <c r="C667" s="26" t="inlineStr">
        <is>
          <t>S13-H남</t>
        </is>
      </c>
      <c r="D667" s="47" t="n">
        <v>1</v>
      </c>
      <c r="E667" s="26" t="inlineStr">
        <is>
          <t>측정</t>
        </is>
      </c>
      <c r="F667" s="26" t="inlineStr">
        <is>
          <t>남</t>
        </is>
      </c>
      <c r="G667" s="31" t="n">
        <v>10</v>
      </c>
      <c r="H667" s="30" t="n"/>
      <c r="I667" s="43" t="n"/>
      <c r="J667" s="41" t="n"/>
      <c r="K667" s="41" t="n"/>
      <c r="L667" s="41" t="n"/>
      <c r="M667" s="31">
        <f>IF(COUNT(J667:L667)=0,"",MEDIAN(J667:L667))</f>
        <v/>
      </c>
      <c r="N667" s="26">
        <f>IF(COUNTIFS($C:$C,$C667,$D:$D,$D667,$E:$E,"P0(전)",$M:$M,"&gt;0")&lt;&gt;1,"P0(전) 유효 1개 아님",IF(COUNTIFS($C:$C,$C667,$D:$D,$D667,$E:$E,"P0(후)",$M:$M,"&gt;0")&lt;&gt;1,"P0(후) 유효 1개 아님",IF(NOT(AND(ISNUMBER(O667),ISNUMBER(Q667),ISNUMBER(I667))),"시각 결측",IF(Q667&lt;=O667,"P0 시각 역전",IF(OR(I667&lt;O667,I667&gt;Q667),"측정시각 구간 밖","OK")))))</f>
        <v/>
      </c>
      <c r="O667" s="48">
        <f>IF(COUNTIFS($C:$C,$C667,$D:$D,$D667,$E:$E,"P0(전)",$M:$M,"&gt;0")&lt;&gt;1,"",SUMIFS($I:$I,$C:$C,$C667,$D:$D,$D667,$E:$E,"P0(전)"))</f>
        <v/>
      </c>
      <c r="P667" s="31">
        <f>IF(COUNTIFS($C:$C,$C667,$D:$D,$D667,$E:$E,"P0(전)",$M:$M,"&gt;0")&lt;&gt;1,"",SUMIFS($M:$M,$C:$C,$C667,$D:$D,$D667,$E:$E,"P0(전)"))</f>
        <v/>
      </c>
      <c r="Q667" s="48">
        <f>IF(COUNTIFS($C:$C,$C667,$D:$D,$D667,$E:$E,"P0(후)",$M:$M,"&gt;0")&lt;&gt;1,"",SUMIFS($I:$I,$C:$C,$C667,$D:$D,$D667,$E:$E,"P0(후)"))</f>
        <v/>
      </c>
      <c r="R667" s="31">
        <f>IF(COUNTIFS($C:$C,$C667,$D:$D,$D667,$E:$E,"P0(후)",$M:$M,"&gt;0")&lt;&gt;1,"",SUMIFS($M:$M,$C:$C,$C667,$D:$D,$D667,$E:$E,"P0(후)"))</f>
        <v/>
      </c>
      <c r="S667" s="31">
        <f>IF(N667&lt;&gt;"OK","",P667+(R667-P667)*(I667-O667)/(Q667-O667))</f>
        <v/>
      </c>
      <c r="T667" s="31">
        <f>IF(OR(N667&lt;&gt;"OK",NOT(ISNUMBER(M667))),"",M667-S667)</f>
        <v/>
      </c>
      <c r="U667" s="49">
        <f>IF(OR(NOT(ISNUMBER(T667)),IF(ISNUMBER(H667),H667,G667)=0),"",T667/IF(ISNUMBER(H667),H667,G667))</f>
        <v/>
      </c>
      <c r="V667" s="49">
        <f>IF(ISNUMBER(U667),ABS(U667),"")</f>
        <v/>
      </c>
      <c r="W667" s="49">
        <f>IF(OR($E666&lt;&gt;"측정",$C666&lt;&gt;$C667,$D666&lt;&gt;$D667,NOT(ISNUMBER(M667)),NOT(ISNUMBER(M666)),(IF(ISNUMBER(H667),H667,G667)-IF(ISNUMBER(H666),H666,G666))=0),"",(M667-M666)/(IF(ISNUMBER(H667),H667,G667)-IF(ISNUMBER(H666),H666,G666)))</f>
        <v/>
      </c>
      <c r="X667" s="31">
        <f>IF(NOT(AND(ISNUMBER(O667),ISNUMBER(Q667))),"",(Q667-O667)*1440)</f>
        <v/>
      </c>
      <c r="Y667" s="29" t="n"/>
      <c r="Z667" s="29" t="n"/>
      <c r="AA667" s="29" t="n"/>
      <c r="AB667" s="32" t="n"/>
      <c r="AC667" s="32" t="n"/>
    </row>
    <row r="668">
      <c r="A668" s="44" t="inlineStr">
        <is>
          <t>S13</t>
        </is>
      </c>
      <c r="B668" s="44" t="inlineStr">
        <is>
          <t>순천 신규점</t>
        </is>
      </c>
      <c r="C668" s="44" t="inlineStr">
        <is>
          <t>S13-H남</t>
        </is>
      </c>
      <c r="D668" s="45" t="n">
        <v>1</v>
      </c>
      <c r="E668" s="44" t="inlineStr">
        <is>
          <t>P0(후)</t>
        </is>
      </c>
      <c r="F668" s="44" t="inlineStr">
        <is>
          <t>남</t>
        </is>
      </c>
      <c r="G668" s="46" t="n"/>
      <c r="H668" s="30" t="n"/>
      <c r="I668" s="43" t="n"/>
      <c r="J668" s="41" t="n"/>
      <c r="K668" s="41" t="n"/>
      <c r="L668" s="41" t="n"/>
      <c r="M668" s="31">
        <f>IF(COUNT(J668:L668)=0,"",MEDIAN(J668:L668))</f>
        <v/>
      </c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38" t="n"/>
      <c r="Y668" s="29" t="n"/>
      <c r="Z668" s="29" t="n"/>
      <c r="AA668" s="29" t="n"/>
      <c r="AB668" s="32" t="n"/>
      <c r="AC668" s="32" t="n"/>
    </row>
    <row r="669">
      <c r="A669" s="44" t="inlineStr">
        <is>
          <t>S13</t>
        </is>
      </c>
      <c r="B669" s="44" t="inlineStr">
        <is>
          <t>순천 신규점</t>
        </is>
      </c>
      <c r="C669" s="44" t="inlineStr">
        <is>
          <t>S13-H북</t>
        </is>
      </c>
      <c r="D669" s="45" t="n">
        <v>1</v>
      </c>
      <c r="E669" s="44" t="inlineStr">
        <is>
          <t>P0(전)</t>
        </is>
      </c>
      <c r="F669" s="44" t="inlineStr">
        <is>
          <t>북</t>
        </is>
      </c>
      <c r="G669" s="46" t="n"/>
      <c r="H669" s="30" t="n"/>
      <c r="I669" s="43" t="n"/>
      <c r="J669" s="41" t="n"/>
      <c r="K669" s="41" t="n"/>
      <c r="L669" s="41" t="n"/>
      <c r="M669" s="31">
        <f>IF(COUNT(J669:L669)=0,"",MEDIAN(J669:L669))</f>
        <v/>
      </c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  <c r="X669" s="38" t="n"/>
      <c r="Y669" s="29" t="n"/>
      <c r="Z669" s="29" t="n"/>
      <c r="AA669" s="29" t="n"/>
      <c r="AB669" s="32" t="n"/>
      <c r="AC669" s="32" t="n"/>
    </row>
    <row r="670">
      <c r="A670" s="26" t="inlineStr">
        <is>
          <t>S13</t>
        </is>
      </c>
      <c r="B670" s="26" t="inlineStr">
        <is>
          <t>순천 신규점</t>
        </is>
      </c>
      <c r="C670" s="26" t="inlineStr">
        <is>
          <t>S13-H북</t>
        </is>
      </c>
      <c r="D670" s="47" t="n">
        <v>1</v>
      </c>
      <c r="E670" s="26" t="inlineStr">
        <is>
          <t>측정</t>
        </is>
      </c>
      <c r="F670" s="26" t="inlineStr">
        <is>
          <t>북</t>
        </is>
      </c>
      <c r="G670" s="31" t="n">
        <v>0.5</v>
      </c>
      <c r="H670" s="30" t="n"/>
      <c r="I670" s="43" t="n"/>
      <c r="J670" s="41" t="n"/>
      <c r="K670" s="41" t="n"/>
      <c r="L670" s="41" t="n"/>
      <c r="M670" s="31">
        <f>IF(COUNT(J670:L670)=0,"",MEDIAN(J670:L670))</f>
        <v/>
      </c>
      <c r="N670" s="26">
        <f>IF(COUNTIFS($C:$C,$C670,$D:$D,$D670,$E:$E,"P0(전)",$M:$M,"&gt;0")&lt;&gt;1,"P0(전) 유효 1개 아님",IF(COUNTIFS($C:$C,$C670,$D:$D,$D670,$E:$E,"P0(후)",$M:$M,"&gt;0")&lt;&gt;1,"P0(후) 유효 1개 아님",IF(NOT(AND(ISNUMBER(O670),ISNUMBER(Q670),ISNUMBER(I670))),"시각 결측",IF(Q670&lt;=O670,"P0 시각 역전",IF(OR(I670&lt;O670,I670&gt;Q670),"측정시각 구간 밖","OK")))))</f>
        <v/>
      </c>
      <c r="O670" s="48">
        <f>IF(COUNTIFS($C:$C,$C670,$D:$D,$D670,$E:$E,"P0(전)",$M:$M,"&gt;0")&lt;&gt;1,"",SUMIFS($I:$I,$C:$C,$C670,$D:$D,$D670,$E:$E,"P0(전)"))</f>
        <v/>
      </c>
      <c r="P670" s="31">
        <f>IF(COUNTIFS($C:$C,$C670,$D:$D,$D670,$E:$E,"P0(전)",$M:$M,"&gt;0")&lt;&gt;1,"",SUMIFS($M:$M,$C:$C,$C670,$D:$D,$D670,$E:$E,"P0(전)"))</f>
        <v/>
      </c>
      <c r="Q670" s="48">
        <f>IF(COUNTIFS($C:$C,$C670,$D:$D,$D670,$E:$E,"P0(후)",$M:$M,"&gt;0")&lt;&gt;1,"",SUMIFS($I:$I,$C:$C,$C670,$D:$D,$D670,$E:$E,"P0(후)"))</f>
        <v/>
      </c>
      <c r="R670" s="31">
        <f>IF(COUNTIFS($C:$C,$C670,$D:$D,$D670,$E:$E,"P0(후)",$M:$M,"&gt;0")&lt;&gt;1,"",SUMIFS($M:$M,$C:$C,$C670,$D:$D,$D670,$E:$E,"P0(후)"))</f>
        <v/>
      </c>
      <c r="S670" s="31">
        <f>IF(N670&lt;&gt;"OK","",P670+(R670-P670)*(I670-O670)/(Q670-O670))</f>
        <v/>
      </c>
      <c r="T670" s="31">
        <f>IF(OR(N670&lt;&gt;"OK",NOT(ISNUMBER(M670))),"",M670-S670)</f>
        <v/>
      </c>
      <c r="U670" s="49">
        <f>IF(OR(NOT(ISNUMBER(T670)),IF(ISNUMBER(H670),H670,G670)=0),"",T670/IF(ISNUMBER(H670),H670,G670))</f>
        <v/>
      </c>
      <c r="V670" s="49">
        <f>IF(ISNUMBER(U670),ABS(U670),"")</f>
        <v/>
      </c>
      <c r="W670" s="49">
        <f>IF(OR($E669&lt;&gt;"측정",$C669&lt;&gt;$C670,$D669&lt;&gt;$D670,NOT(ISNUMBER(M670)),NOT(ISNUMBER(M669)),(IF(ISNUMBER(H670),H670,G670)-IF(ISNUMBER(H669),H669,G669))=0),"",(M670-M669)/(IF(ISNUMBER(H670),H670,G670)-IF(ISNUMBER(H669),H669,G669)))</f>
        <v/>
      </c>
      <c r="X670" s="31">
        <f>IF(NOT(AND(ISNUMBER(O670),ISNUMBER(Q670))),"",(Q670-O670)*1440)</f>
        <v/>
      </c>
      <c r="Y670" s="29" t="n"/>
      <c r="Z670" s="29" t="n"/>
      <c r="AA670" s="29" t="n"/>
      <c r="AB670" s="32" t="n"/>
      <c r="AC670" s="32" t="n"/>
    </row>
    <row r="671">
      <c r="A671" s="26" t="inlineStr">
        <is>
          <t>S13</t>
        </is>
      </c>
      <c r="B671" s="26" t="inlineStr">
        <is>
          <t>순천 신규점</t>
        </is>
      </c>
      <c r="C671" s="26" t="inlineStr">
        <is>
          <t>S13-H북</t>
        </is>
      </c>
      <c r="D671" s="47" t="n">
        <v>1</v>
      </c>
      <c r="E671" s="26" t="inlineStr">
        <is>
          <t>측정</t>
        </is>
      </c>
      <c r="F671" s="26" t="inlineStr">
        <is>
          <t>북</t>
        </is>
      </c>
      <c r="G671" s="31" t="n">
        <v>1</v>
      </c>
      <c r="H671" s="30" t="n"/>
      <c r="I671" s="43" t="n"/>
      <c r="J671" s="41" t="n"/>
      <c r="K671" s="41" t="n"/>
      <c r="L671" s="41" t="n"/>
      <c r="M671" s="31">
        <f>IF(COUNT(J671:L671)=0,"",MEDIAN(J671:L671))</f>
        <v/>
      </c>
      <c r="N671" s="26">
        <f>IF(COUNTIFS($C:$C,$C671,$D:$D,$D671,$E:$E,"P0(전)",$M:$M,"&gt;0")&lt;&gt;1,"P0(전) 유효 1개 아님",IF(COUNTIFS($C:$C,$C671,$D:$D,$D671,$E:$E,"P0(후)",$M:$M,"&gt;0")&lt;&gt;1,"P0(후) 유효 1개 아님",IF(NOT(AND(ISNUMBER(O671),ISNUMBER(Q671),ISNUMBER(I671))),"시각 결측",IF(Q671&lt;=O671,"P0 시각 역전",IF(OR(I671&lt;O671,I671&gt;Q671),"측정시각 구간 밖","OK")))))</f>
        <v/>
      </c>
      <c r="O671" s="48">
        <f>IF(COUNTIFS($C:$C,$C671,$D:$D,$D671,$E:$E,"P0(전)",$M:$M,"&gt;0")&lt;&gt;1,"",SUMIFS($I:$I,$C:$C,$C671,$D:$D,$D671,$E:$E,"P0(전)"))</f>
        <v/>
      </c>
      <c r="P671" s="31">
        <f>IF(COUNTIFS($C:$C,$C671,$D:$D,$D671,$E:$E,"P0(전)",$M:$M,"&gt;0")&lt;&gt;1,"",SUMIFS($M:$M,$C:$C,$C671,$D:$D,$D671,$E:$E,"P0(전)"))</f>
        <v/>
      </c>
      <c r="Q671" s="48">
        <f>IF(COUNTIFS($C:$C,$C671,$D:$D,$D671,$E:$E,"P0(후)",$M:$M,"&gt;0")&lt;&gt;1,"",SUMIFS($I:$I,$C:$C,$C671,$D:$D,$D671,$E:$E,"P0(후)"))</f>
        <v/>
      </c>
      <c r="R671" s="31">
        <f>IF(COUNTIFS($C:$C,$C671,$D:$D,$D671,$E:$E,"P0(후)",$M:$M,"&gt;0")&lt;&gt;1,"",SUMIFS($M:$M,$C:$C,$C671,$D:$D,$D671,$E:$E,"P0(후)"))</f>
        <v/>
      </c>
      <c r="S671" s="31">
        <f>IF(N671&lt;&gt;"OK","",P671+(R671-P671)*(I671-O671)/(Q671-O671))</f>
        <v/>
      </c>
      <c r="T671" s="31">
        <f>IF(OR(N671&lt;&gt;"OK",NOT(ISNUMBER(M671))),"",M671-S671)</f>
        <v/>
      </c>
      <c r="U671" s="49">
        <f>IF(OR(NOT(ISNUMBER(T671)),IF(ISNUMBER(H671),H671,G671)=0),"",T671/IF(ISNUMBER(H671),H671,G671))</f>
        <v/>
      </c>
      <c r="V671" s="49">
        <f>IF(ISNUMBER(U671),ABS(U671),"")</f>
        <v/>
      </c>
      <c r="W671" s="49">
        <f>IF(OR($E670&lt;&gt;"측정",$C670&lt;&gt;$C671,$D670&lt;&gt;$D671,NOT(ISNUMBER(M671)),NOT(ISNUMBER(M670)),(IF(ISNUMBER(H671),H671,G671)-IF(ISNUMBER(H670),H670,G670))=0),"",(M671-M670)/(IF(ISNUMBER(H671),H671,G671)-IF(ISNUMBER(H670),H670,G670)))</f>
        <v/>
      </c>
      <c r="X671" s="31">
        <f>IF(NOT(AND(ISNUMBER(O671),ISNUMBER(Q671))),"",(Q671-O671)*1440)</f>
        <v/>
      </c>
      <c r="Y671" s="29" t="n"/>
      <c r="Z671" s="29" t="n"/>
      <c r="AA671" s="29" t="n"/>
      <c r="AB671" s="32" t="n"/>
      <c r="AC671" s="32" t="n"/>
    </row>
    <row r="672">
      <c r="A672" s="26" t="inlineStr">
        <is>
          <t>S13</t>
        </is>
      </c>
      <c r="B672" s="26" t="inlineStr">
        <is>
          <t>순천 신규점</t>
        </is>
      </c>
      <c r="C672" s="26" t="inlineStr">
        <is>
          <t>S13-H북</t>
        </is>
      </c>
      <c r="D672" s="47" t="n">
        <v>1</v>
      </c>
      <c r="E672" s="26" t="inlineStr">
        <is>
          <t>측정</t>
        </is>
      </c>
      <c r="F672" s="26" t="inlineStr">
        <is>
          <t>북</t>
        </is>
      </c>
      <c r="G672" s="31" t="n">
        <v>2</v>
      </c>
      <c r="H672" s="30" t="n"/>
      <c r="I672" s="43" t="n"/>
      <c r="J672" s="41" t="n"/>
      <c r="K672" s="41" t="n"/>
      <c r="L672" s="41" t="n"/>
      <c r="M672" s="31">
        <f>IF(COUNT(J672:L672)=0,"",MEDIAN(J672:L672))</f>
        <v/>
      </c>
      <c r="N672" s="26">
        <f>IF(COUNTIFS($C:$C,$C672,$D:$D,$D672,$E:$E,"P0(전)",$M:$M,"&gt;0")&lt;&gt;1,"P0(전) 유효 1개 아님",IF(COUNTIFS($C:$C,$C672,$D:$D,$D672,$E:$E,"P0(후)",$M:$M,"&gt;0")&lt;&gt;1,"P0(후) 유효 1개 아님",IF(NOT(AND(ISNUMBER(O672),ISNUMBER(Q672),ISNUMBER(I672))),"시각 결측",IF(Q672&lt;=O672,"P0 시각 역전",IF(OR(I672&lt;O672,I672&gt;Q672),"측정시각 구간 밖","OK")))))</f>
        <v/>
      </c>
      <c r="O672" s="48">
        <f>IF(COUNTIFS($C:$C,$C672,$D:$D,$D672,$E:$E,"P0(전)",$M:$M,"&gt;0")&lt;&gt;1,"",SUMIFS($I:$I,$C:$C,$C672,$D:$D,$D672,$E:$E,"P0(전)"))</f>
        <v/>
      </c>
      <c r="P672" s="31">
        <f>IF(COUNTIFS($C:$C,$C672,$D:$D,$D672,$E:$E,"P0(전)",$M:$M,"&gt;0")&lt;&gt;1,"",SUMIFS($M:$M,$C:$C,$C672,$D:$D,$D672,$E:$E,"P0(전)"))</f>
        <v/>
      </c>
      <c r="Q672" s="48">
        <f>IF(COUNTIFS($C:$C,$C672,$D:$D,$D672,$E:$E,"P0(후)",$M:$M,"&gt;0")&lt;&gt;1,"",SUMIFS($I:$I,$C:$C,$C672,$D:$D,$D672,$E:$E,"P0(후)"))</f>
        <v/>
      </c>
      <c r="R672" s="31">
        <f>IF(COUNTIFS($C:$C,$C672,$D:$D,$D672,$E:$E,"P0(후)",$M:$M,"&gt;0")&lt;&gt;1,"",SUMIFS($M:$M,$C:$C,$C672,$D:$D,$D672,$E:$E,"P0(후)"))</f>
        <v/>
      </c>
      <c r="S672" s="31">
        <f>IF(N672&lt;&gt;"OK","",P672+(R672-P672)*(I672-O672)/(Q672-O672))</f>
        <v/>
      </c>
      <c r="T672" s="31">
        <f>IF(OR(N672&lt;&gt;"OK",NOT(ISNUMBER(M672))),"",M672-S672)</f>
        <v/>
      </c>
      <c r="U672" s="49">
        <f>IF(OR(NOT(ISNUMBER(T672)),IF(ISNUMBER(H672),H672,G672)=0),"",T672/IF(ISNUMBER(H672),H672,G672))</f>
        <v/>
      </c>
      <c r="V672" s="49">
        <f>IF(ISNUMBER(U672),ABS(U672),"")</f>
        <v/>
      </c>
      <c r="W672" s="49">
        <f>IF(OR($E671&lt;&gt;"측정",$C671&lt;&gt;$C672,$D671&lt;&gt;$D672,NOT(ISNUMBER(M672)),NOT(ISNUMBER(M671)),(IF(ISNUMBER(H672),H672,G672)-IF(ISNUMBER(H671),H671,G671))=0),"",(M672-M671)/(IF(ISNUMBER(H672),H672,G672)-IF(ISNUMBER(H671),H671,G671)))</f>
        <v/>
      </c>
      <c r="X672" s="31">
        <f>IF(NOT(AND(ISNUMBER(O672),ISNUMBER(Q672))),"",(Q672-O672)*1440)</f>
        <v/>
      </c>
      <c r="Y672" s="29" t="n"/>
      <c r="Z672" s="29" t="n"/>
      <c r="AA672" s="29" t="n"/>
      <c r="AB672" s="32" t="n"/>
      <c r="AC672" s="32" t="n"/>
    </row>
    <row r="673">
      <c r="A673" s="26" t="inlineStr">
        <is>
          <t>S13</t>
        </is>
      </c>
      <c r="B673" s="26" t="inlineStr">
        <is>
          <t>순천 신규점</t>
        </is>
      </c>
      <c r="C673" s="26" t="inlineStr">
        <is>
          <t>S13-H북</t>
        </is>
      </c>
      <c r="D673" s="47" t="n">
        <v>1</v>
      </c>
      <c r="E673" s="26" t="inlineStr">
        <is>
          <t>측정</t>
        </is>
      </c>
      <c r="F673" s="26" t="inlineStr">
        <is>
          <t>북</t>
        </is>
      </c>
      <c r="G673" s="31" t="n">
        <v>3</v>
      </c>
      <c r="H673" s="30" t="n"/>
      <c r="I673" s="43" t="n"/>
      <c r="J673" s="41" t="n"/>
      <c r="K673" s="41" t="n"/>
      <c r="L673" s="41" t="n"/>
      <c r="M673" s="31">
        <f>IF(COUNT(J673:L673)=0,"",MEDIAN(J673:L673))</f>
        <v/>
      </c>
      <c r="N673" s="26">
        <f>IF(COUNTIFS($C:$C,$C673,$D:$D,$D673,$E:$E,"P0(전)",$M:$M,"&gt;0")&lt;&gt;1,"P0(전) 유효 1개 아님",IF(COUNTIFS($C:$C,$C673,$D:$D,$D673,$E:$E,"P0(후)",$M:$M,"&gt;0")&lt;&gt;1,"P0(후) 유효 1개 아님",IF(NOT(AND(ISNUMBER(O673),ISNUMBER(Q673),ISNUMBER(I673))),"시각 결측",IF(Q673&lt;=O673,"P0 시각 역전",IF(OR(I673&lt;O673,I673&gt;Q673),"측정시각 구간 밖","OK")))))</f>
        <v/>
      </c>
      <c r="O673" s="48">
        <f>IF(COUNTIFS($C:$C,$C673,$D:$D,$D673,$E:$E,"P0(전)",$M:$M,"&gt;0")&lt;&gt;1,"",SUMIFS($I:$I,$C:$C,$C673,$D:$D,$D673,$E:$E,"P0(전)"))</f>
        <v/>
      </c>
      <c r="P673" s="31">
        <f>IF(COUNTIFS($C:$C,$C673,$D:$D,$D673,$E:$E,"P0(전)",$M:$M,"&gt;0")&lt;&gt;1,"",SUMIFS($M:$M,$C:$C,$C673,$D:$D,$D673,$E:$E,"P0(전)"))</f>
        <v/>
      </c>
      <c r="Q673" s="48">
        <f>IF(COUNTIFS($C:$C,$C673,$D:$D,$D673,$E:$E,"P0(후)",$M:$M,"&gt;0")&lt;&gt;1,"",SUMIFS($I:$I,$C:$C,$C673,$D:$D,$D673,$E:$E,"P0(후)"))</f>
        <v/>
      </c>
      <c r="R673" s="31">
        <f>IF(COUNTIFS($C:$C,$C673,$D:$D,$D673,$E:$E,"P0(후)",$M:$M,"&gt;0")&lt;&gt;1,"",SUMIFS($M:$M,$C:$C,$C673,$D:$D,$D673,$E:$E,"P0(후)"))</f>
        <v/>
      </c>
      <c r="S673" s="31">
        <f>IF(N673&lt;&gt;"OK","",P673+(R673-P673)*(I673-O673)/(Q673-O673))</f>
        <v/>
      </c>
      <c r="T673" s="31">
        <f>IF(OR(N673&lt;&gt;"OK",NOT(ISNUMBER(M673))),"",M673-S673)</f>
        <v/>
      </c>
      <c r="U673" s="49">
        <f>IF(OR(NOT(ISNUMBER(T673)),IF(ISNUMBER(H673),H673,G673)=0),"",T673/IF(ISNUMBER(H673),H673,G673))</f>
        <v/>
      </c>
      <c r="V673" s="49">
        <f>IF(ISNUMBER(U673),ABS(U673),"")</f>
        <v/>
      </c>
      <c r="W673" s="49">
        <f>IF(OR($E672&lt;&gt;"측정",$C672&lt;&gt;$C673,$D672&lt;&gt;$D673,NOT(ISNUMBER(M673)),NOT(ISNUMBER(M672)),(IF(ISNUMBER(H673),H673,G673)-IF(ISNUMBER(H672),H672,G672))=0),"",(M673-M672)/(IF(ISNUMBER(H673),H673,G673)-IF(ISNUMBER(H672),H672,G672)))</f>
        <v/>
      </c>
      <c r="X673" s="31">
        <f>IF(NOT(AND(ISNUMBER(O673),ISNUMBER(Q673))),"",(Q673-O673)*1440)</f>
        <v/>
      </c>
      <c r="Y673" s="29" t="n"/>
      <c r="Z673" s="29" t="n"/>
      <c r="AA673" s="29" t="n"/>
      <c r="AB673" s="32" t="n"/>
      <c r="AC673" s="32" t="n"/>
    </row>
    <row r="674">
      <c r="A674" s="26" t="inlineStr">
        <is>
          <t>S13</t>
        </is>
      </c>
      <c r="B674" s="26" t="inlineStr">
        <is>
          <t>순천 신규점</t>
        </is>
      </c>
      <c r="C674" s="26" t="inlineStr">
        <is>
          <t>S13-H북</t>
        </is>
      </c>
      <c r="D674" s="47" t="n">
        <v>1</v>
      </c>
      <c r="E674" s="26" t="inlineStr">
        <is>
          <t>측정</t>
        </is>
      </c>
      <c r="F674" s="26" t="inlineStr">
        <is>
          <t>북</t>
        </is>
      </c>
      <c r="G674" s="31" t="n">
        <v>4</v>
      </c>
      <c r="H674" s="30" t="n"/>
      <c r="I674" s="43" t="n"/>
      <c r="J674" s="41" t="n"/>
      <c r="K674" s="41" t="n"/>
      <c r="L674" s="41" t="n"/>
      <c r="M674" s="31">
        <f>IF(COUNT(J674:L674)=0,"",MEDIAN(J674:L674))</f>
        <v/>
      </c>
      <c r="N674" s="26">
        <f>IF(COUNTIFS($C:$C,$C674,$D:$D,$D674,$E:$E,"P0(전)",$M:$M,"&gt;0")&lt;&gt;1,"P0(전) 유효 1개 아님",IF(COUNTIFS($C:$C,$C674,$D:$D,$D674,$E:$E,"P0(후)",$M:$M,"&gt;0")&lt;&gt;1,"P0(후) 유효 1개 아님",IF(NOT(AND(ISNUMBER(O674),ISNUMBER(Q674),ISNUMBER(I674))),"시각 결측",IF(Q674&lt;=O674,"P0 시각 역전",IF(OR(I674&lt;O674,I674&gt;Q674),"측정시각 구간 밖","OK")))))</f>
        <v/>
      </c>
      <c r="O674" s="48">
        <f>IF(COUNTIFS($C:$C,$C674,$D:$D,$D674,$E:$E,"P0(전)",$M:$M,"&gt;0")&lt;&gt;1,"",SUMIFS($I:$I,$C:$C,$C674,$D:$D,$D674,$E:$E,"P0(전)"))</f>
        <v/>
      </c>
      <c r="P674" s="31">
        <f>IF(COUNTIFS($C:$C,$C674,$D:$D,$D674,$E:$E,"P0(전)",$M:$M,"&gt;0")&lt;&gt;1,"",SUMIFS($M:$M,$C:$C,$C674,$D:$D,$D674,$E:$E,"P0(전)"))</f>
        <v/>
      </c>
      <c r="Q674" s="48">
        <f>IF(COUNTIFS($C:$C,$C674,$D:$D,$D674,$E:$E,"P0(후)",$M:$M,"&gt;0")&lt;&gt;1,"",SUMIFS($I:$I,$C:$C,$C674,$D:$D,$D674,$E:$E,"P0(후)"))</f>
        <v/>
      </c>
      <c r="R674" s="31">
        <f>IF(COUNTIFS($C:$C,$C674,$D:$D,$D674,$E:$E,"P0(후)",$M:$M,"&gt;0")&lt;&gt;1,"",SUMIFS($M:$M,$C:$C,$C674,$D:$D,$D674,$E:$E,"P0(후)"))</f>
        <v/>
      </c>
      <c r="S674" s="31">
        <f>IF(N674&lt;&gt;"OK","",P674+(R674-P674)*(I674-O674)/(Q674-O674))</f>
        <v/>
      </c>
      <c r="T674" s="31">
        <f>IF(OR(N674&lt;&gt;"OK",NOT(ISNUMBER(M674))),"",M674-S674)</f>
        <v/>
      </c>
      <c r="U674" s="49">
        <f>IF(OR(NOT(ISNUMBER(T674)),IF(ISNUMBER(H674),H674,G674)=0),"",T674/IF(ISNUMBER(H674),H674,G674))</f>
        <v/>
      </c>
      <c r="V674" s="49">
        <f>IF(ISNUMBER(U674),ABS(U674),"")</f>
        <v/>
      </c>
      <c r="W674" s="49">
        <f>IF(OR($E673&lt;&gt;"측정",$C673&lt;&gt;$C674,$D673&lt;&gt;$D674,NOT(ISNUMBER(M674)),NOT(ISNUMBER(M673)),(IF(ISNUMBER(H674),H674,G674)-IF(ISNUMBER(H673),H673,G673))=0),"",(M674-M673)/(IF(ISNUMBER(H674),H674,G674)-IF(ISNUMBER(H673),H673,G673)))</f>
        <v/>
      </c>
      <c r="X674" s="31">
        <f>IF(NOT(AND(ISNUMBER(O674),ISNUMBER(Q674))),"",(Q674-O674)*1440)</f>
        <v/>
      </c>
      <c r="Y674" s="29" t="n"/>
      <c r="Z674" s="29" t="n"/>
      <c r="AA674" s="29" t="n"/>
      <c r="AB674" s="32" t="n"/>
      <c r="AC674" s="32" t="n"/>
    </row>
    <row r="675">
      <c r="A675" s="26" t="inlineStr">
        <is>
          <t>S13</t>
        </is>
      </c>
      <c r="B675" s="26" t="inlineStr">
        <is>
          <t>순천 신규점</t>
        </is>
      </c>
      <c r="C675" s="26" t="inlineStr">
        <is>
          <t>S13-H북</t>
        </is>
      </c>
      <c r="D675" s="47" t="n">
        <v>1</v>
      </c>
      <c r="E675" s="26" t="inlineStr">
        <is>
          <t>측정</t>
        </is>
      </c>
      <c r="F675" s="26" t="inlineStr">
        <is>
          <t>북</t>
        </is>
      </c>
      <c r="G675" s="31" t="n">
        <v>5</v>
      </c>
      <c r="H675" s="30" t="n"/>
      <c r="I675" s="43" t="n"/>
      <c r="J675" s="41" t="n"/>
      <c r="K675" s="41" t="n"/>
      <c r="L675" s="41" t="n"/>
      <c r="M675" s="31">
        <f>IF(COUNT(J675:L675)=0,"",MEDIAN(J675:L675))</f>
        <v/>
      </c>
      <c r="N675" s="26">
        <f>IF(COUNTIFS($C:$C,$C675,$D:$D,$D675,$E:$E,"P0(전)",$M:$M,"&gt;0")&lt;&gt;1,"P0(전) 유효 1개 아님",IF(COUNTIFS($C:$C,$C675,$D:$D,$D675,$E:$E,"P0(후)",$M:$M,"&gt;0")&lt;&gt;1,"P0(후) 유효 1개 아님",IF(NOT(AND(ISNUMBER(O675),ISNUMBER(Q675),ISNUMBER(I675))),"시각 결측",IF(Q675&lt;=O675,"P0 시각 역전",IF(OR(I675&lt;O675,I675&gt;Q675),"측정시각 구간 밖","OK")))))</f>
        <v/>
      </c>
      <c r="O675" s="48">
        <f>IF(COUNTIFS($C:$C,$C675,$D:$D,$D675,$E:$E,"P0(전)",$M:$M,"&gt;0")&lt;&gt;1,"",SUMIFS($I:$I,$C:$C,$C675,$D:$D,$D675,$E:$E,"P0(전)"))</f>
        <v/>
      </c>
      <c r="P675" s="31">
        <f>IF(COUNTIFS($C:$C,$C675,$D:$D,$D675,$E:$E,"P0(전)",$M:$M,"&gt;0")&lt;&gt;1,"",SUMIFS($M:$M,$C:$C,$C675,$D:$D,$D675,$E:$E,"P0(전)"))</f>
        <v/>
      </c>
      <c r="Q675" s="48">
        <f>IF(COUNTIFS($C:$C,$C675,$D:$D,$D675,$E:$E,"P0(후)",$M:$M,"&gt;0")&lt;&gt;1,"",SUMIFS($I:$I,$C:$C,$C675,$D:$D,$D675,$E:$E,"P0(후)"))</f>
        <v/>
      </c>
      <c r="R675" s="31">
        <f>IF(COUNTIFS($C:$C,$C675,$D:$D,$D675,$E:$E,"P0(후)",$M:$M,"&gt;0")&lt;&gt;1,"",SUMIFS($M:$M,$C:$C,$C675,$D:$D,$D675,$E:$E,"P0(후)"))</f>
        <v/>
      </c>
      <c r="S675" s="31">
        <f>IF(N675&lt;&gt;"OK","",P675+(R675-P675)*(I675-O675)/(Q675-O675))</f>
        <v/>
      </c>
      <c r="T675" s="31">
        <f>IF(OR(N675&lt;&gt;"OK",NOT(ISNUMBER(M675))),"",M675-S675)</f>
        <v/>
      </c>
      <c r="U675" s="49">
        <f>IF(OR(NOT(ISNUMBER(T675)),IF(ISNUMBER(H675),H675,G675)=0),"",T675/IF(ISNUMBER(H675),H675,G675))</f>
        <v/>
      </c>
      <c r="V675" s="49">
        <f>IF(ISNUMBER(U675),ABS(U675),"")</f>
        <v/>
      </c>
      <c r="W675" s="49">
        <f>IF(OR($E674&lt;&gt;"측정",$C674&lt;&gt;$C675,$D674&lt;&gt;$D675,NOT(ISNUMBER(M675)),NOT(ISNUMBER(M674)),(IF(ISNUMBER(H675),H675,G675)-IF(ISNUMBER(H674),H674,G674))=0),"",(M675-M674)/(IF(ISNUMBER(H675),H675,G675)-IF(ISNUMBER(H674),H674,G674)))</f>
        <v/>
      </c>
      <c r="X675" s="31">
        <f>IF(NOT(AND(ISNUMBER(O675),ISNUMBER(Q675))),"",(Q675-O675)*1440)</f>
        <v/>
      </c>
      <c r="Y675" s="29" t="n"/>
      <c r="Z675" s="29" t="n"/>
      <c r="AA675" s="29" t="n"/>
      <c r="AB675" s="32" t="n"/>
      <c r="AC675" s="32" t="n"/>
    </row>
    <row r="676">
      <c r="A676" s="26" t="inlineStr">
        <is>
          <t>S13</t>
        </is>
      </c>
      <c r="B676" s="26" t="inlineStr">
        <is>
          <t>순천 신규점</t>
        </is>
      </c>
      <c r="C676" s="26" t="inlineStr">
        <is>
          <t>S13-H북</t>
        </is>
      </c>
      <c r="D676" s="47" t="n">
        <v>1</v>
      </c>
      <c r="E676" s="26" t="inlineStr">
        <is>
          <t>측정</t>
        </is>
      </c>
      <c r="F676" s="26" t="inlineStr">
        <is>
          <t>북</t>
        </is>
      </c>
      <c r="G676" s="31" t="n">
        <v>6</v>
      </c>
      <c r="H676" s="30" t="n"/>
      <c r="I676" s="43" t="n"/>
      <c r="J676" s="41" t="n"/>
      <c r="K676" s="41" t="n"/>
      <c r="L676" s="41" t="n"/>
      <c r="M676" s="31">
        <f>IF(COUNT(J676:L676)=0,"",MEDIAN(J676:L676))</f>
        <v/>
      </c>
      <c r="N676" s="26">
        <f>IF(COUNTIFS($C:$C,$C676,$D:$D,$D676,$E:$E,"P0(전)",$M:$M,"&gt;0")&lt;&gt;1,"P0(전) 유효 1개 아님",IF(COUNTIFS($C:$C,$C676,$D:$D,$D676,$E:$E,"P0(후)",$M:$M,"&gt;0")&lt;&gt;1,"P0(후) 유효 1개 아님",IF(NOT(AND(ISNUMBER(O676),ISNUMBER(Q676),ISNUMBER(I676))),"시각 결측",IF(Q676&lt;=O676,"P0 시각 역전",IF(OR(I676&lt;O676,I676&gt;Q676),"측정시각 구간 밖","OK")))))</f>
        <v/>
      </c>
      <c r="O676" s="48">
        <f>IF(COUNTIFS($C:$C,$C676,$D:$D,$D676,$E:$E,"P0(전)",$M:$M,"&gt;0")&lt;&gt;1,"",SUMIFS($I:$I,$C:$C,$C676,$D:$D,$D676,$E:$E,"P0(전)"))</f>
        <v/>
      </c>
      <c r="P676" s="31">
        <f>IF(COUNTIFS($C:$C,$C676,$D:$D,$D676,$E:$E,"P0(전)",$M:$M,"&gt;0")&lt;&gt;1,"",SUMIFS($M:$M,$C:$C,$C676,$D:$D,$D676,$E:$E,"P0(전)"))</f>
        <v/>
      </c>
      <c r="Q676" s="48">
        <f>IF(COUNTIFS($C:$C,$C676,$D:$D,$D676,$E:$E,"P0(후)",$M:$M,"&gt;0")&lt;&gt;1,"",SUMIFS($I:$I,$C:$C,$C676,$D:$D,$D676,$E:$E,"P0(후)"))</f>
        <v/>
      </c>
      <c r="R676" s="31">
        <f>IF(COUNTIFS($C:$C,$C676,$D:$D,$D676,$E:$E,"P0(후)",$M:$M,"&gt;0")&lt;&gt;1,"",SUMIFS($M:$M,$C:$C,$C676,$D:$D,$D676,$E:$E,"P0(후)"))</f>
        <v/>
      </c>
      <c r="S676" s="31">
        <f>IF(N676&lt;&gt;"OK","",P676+(R676-P676)*(I676-O676)/(Q676-O676))</f>
        <v/>
      </c>
      <c r="T676" s="31">
        <f>IF(OR(N676&lt;&gt;"OK",NOT(ISNUMBER(M676))),"",M676-S676)</f>
        <v/>
      </c>
      <c r="U676" s="49">
        <f>IF(OR(NOT(ISNUMBER(T676)),IF(ISNUMBER(H676),H676,G676)=0),"",T676/IF(ISNUMBER(H676),H676,G676))</f>
        <v/>
      </c>
      <c r="V676" s="49">
        <f>IF(ISNUMBER(U676),ABS(U676),"")</f>
        <v/>
      </c>
      <c r="W676" s="49">
        <f>IF(OR($E675&lt;&gt;"측정",$C675&lt;&gt;$C676,$D675&lt;&gt;$D676,NOT(ISNUMBER(M676)),NOT(ISNUMBER(M675)),(IF(ISNUMBER(H676),H676,G676)-IF(ISNUMBER(H675),H675,G675))=0),"",(M676-M675)/(IF(ISNUMBER(H676),H676,G676)-IF(ISNUMBER(H675),H675,G675)))</f>
        <v/>
      </c>
      <c r="X676" s="31">
        <f>IF(NOT(AND(ISNUMBER(O676),ISNUMBER(Q676))),"",(Q676-O676)*1440)</f>
        <v/>
      </c>
      <c r="Y676" s="29" t="n"/>
      <c r="Z676" s="29" t="n"/>
      <c r="AA676" s="29" t="n"/>
      <c r="AB676" s="32" t="n"/>
      <c r="AC676" s="32" t="n"/>
    </row>
    <row r="677">
      <c r="A677" s="26" t="inlineStr">
        <is>
          <t>S13</t>
        </is>
      </c>
      <c r="B677" s="26" t="inlineStr">
        <is>
          <t>순천 신규점</t>
        </is>
      </c>
      <c r="C677" s="26" t="inlineStr">
        <is>
          <t>S13-H북</t>
        </is>
      </c>
      <c r="D677" s="47" t="n">
        <v>1</v>
      </c>
      <c r="E677" s="26" t="inlineStr">
        <is>
          <t>측정</t>
        </is>
      </c>
      <c r="F677" s="26" t="inlineStr">
        <is>
          <t>북</t>
        </is>
      </c>
      <c r="G677" s="31" t="n">
        <v>7</v>
      </c>
      <c r="H677" s="30" t="n"/>
      <c r="I677" s="43" t="n"/>
      <c r="J677" s="41" t="n"/>
      <c r="K677" s="41" t="n"/>
      <c r="L677" s="41" t="n"/>
      <c r="M677" s="31">
        <f>IF(COUNT(J677:L677)=0,"",MEDIAN(J677:L677))</f>
        <v/>
      </c>
      <c r="N677" s="26">
        <f>IF(COUNTIFS($C:$C,$C677,$D:$D,$D677,$E:$E,"P0(전)",$M:$M,"&gt;0")&lt;&gt;1,"P0(전) 유효 1개 아님",IF(COUNTIFS($C:$C,$C677,$D:$D,$D677,$E:$E,"P0(후)",$M:$M,"&gt;0")&lt;&gt;1,"P0(후) 유효 1개 아님",IF(NOT(AND(ISNUMBER(O677),ISNUMBER(Q677),ISNUMBER(I677))),"시각 결측",IF(Q677&lt;=O677,"P0 시각 역전",IF(OR(I677&lt;O677,I677&gt;Q677),"측정시각 구간 밖","OK")))))</f>
        <v/>
      </c>
      <c r="O677" s="48">
        <f>IF(COUNTIFS($C:$C,$C677,$D:$D,$D677,$E:$E,"P0(전)",$M:$M,"&gt;0")&lt;&gt;1,"",SUMIFS($I:$I,$C:$C,$C677,$D:$D,$D677,$E:$E,"P0(전)"))</f>
        <v/>
      </c>
      <c r="P677" s="31">
        <f>IF(COUNTIFS($C:$C,$C677,$D:$D,$D677,$E:$E,"P0(전)",$M:$M,"&gt;0")&lt;&gt;1,"",SUMIFS($M:$M,$C:$C,$C677,$D:$D,$D677,$E:$E,"P0(전)"))</f>
        <v/>
      </c>
      <c r="Q677" s="48">
        <f>IF(COUNTIFS($C:$C,$C677,$D:$D,$D677,$E:$E,"P0(후)",$M:$M,"&gt;0")&lt;&gt;1,"",SUMIFS($I:$I,$C:$C,$C677,$D:$D,$D677,$E:$E,"P0(후)"))</f>
        <v/>
      </c>
      <c r="R677" s="31">
        <f>IF(COUNTIFS($C:$C,$C677,$D:$D,$D677,$E:$E,"P0(후)",$M:$M,"&gt;0")&lt;&gt;1,"",SUMIFS($M:$M,$C:$C,$C677,$D:$D,$D677,$E:$E,"P0(후)"))</f>
        <v/>
      </c>
      <c r="S677" s="31">
        <f>IF(N677&lt;&gt;"OK","",P677+(R677-P677)*(I677-O677)/(Q677-O677))</f>
        <v/>
      </c>
      <c r="T677" s="31">
        <f>IF(OR(N677&lt;&gt;"OK",NOT(ISNUMBER(M677))),"",M677-S677)</f>
        <v/>
      </c>
      <c r="U677" s="49">
        <f>IF(OR(NOT(ISNUMBER(T677)),IF(ISNUMBER(H677),H677,G677)=0),"",T677/IF(ISNUMBER(H677),H677,G677))</f>
        <v/>
      </c>
      <c r="V677" s="49">
        <f>IF(ISNUMBER(U677),ABS(U677),"")</f>
        <v/>
      </c>
      <c r="W677" s="49">
        <f>IF(OR($E676&lt;&gt;"측정",$C676&lt;&gt;$C677,$D676&lt;&gt;$D677,NOT(ISNUMBER(M677)),NOT(ISNUMBER(M676)),(IF(ISNUMBER(H677),H677,G677)-IF(ISNUMBER(H676),H676,G676))=0),"",(M677-M676)/(IF(ISNUMBER(H677),H677,G677)-IF(ISNUMBER(H676),H676,G676)))</f>
        <v/>
      </c>
      <c r="X677" s="31">
        <f>IF(NOT(AND(ISNUMBER(O677),ISNUMBER(Q677))),"",(Q677-O677)*1440)</f>
        <v/>
      </c>
      <c r="Y677" s="29" t="n"/>
      <c r="Z677" s="29" t="n"/>
      <c r="AA677" s="29" t="n"/>
      <c r="AB677" s="32" t="n"/>
      <c r="AC677" s="32" t="n"/>
    </row>
    <row r="678">
      <c r="A678" s="26" t="inlineStr">
        <is>
          <t>S13</t>
        </is>
      </c>
      <c r="B678" s="26" t="inlineStr">
        <is>
          <t>순천 신규점</t>
        </is>
      </c>
      <c r="C678" s="26" t="inlineStr">
        <is>
          <t>S13-H북</t>
        </is>
      </c>
      <c r="D678" s="47" t="n">
        <v>1</v>
      </c>
      <c r="E678" s="26" t="inlineStr">
        <is>
          <t>측정</t>
        </is>
      </c>
      <c r="F678" s="26" t="inlineStr">
        <is>
          <t>북</t>
        </is>
      </c>
      <c r="G678" s="31" t="n">
        <v>8</v>
      </c>
      <c r="H678" s="30" t="n"/>
      <c r="I678" s="43" t="n"/>
      <c r="J678" s="41" t="n"/>
      <c r="K678" s="41" t="n"/>
      <c r="L678" s="41" t="n"/>
      <c r="M678" s="31">
        <f>IF(COUNT(J678:L678)=0,"",MEDIAN(J678:L678))</f>
        <v/>
      </c>
      <c r="N678" s="26">
        <f>IF(COUNTIFS($C:$C,$C678,$D:$D,$D678,$E:$E,"P0(전)",$M:$M,"&gt;0")&lt;&gt;1,"P0(전) 유효 1개 아님",IF(COUNTIFS($C:$C,$C678,$D:$D,$D678,$E:$E,"P0(후)",$M:$M,"&gt;0")&lt;&gt;1,"P0(후) 유효 1개 아님",IF(NOT(AND(ISNUMBER(O678),ISNUMBER(Q678),ISNUMBER(I678))),"시각 결측",IF(Q678&lt;=O678,"P0 시각 역전",IF(OR(I678&lt;O678,I678&gt;Q678),"측정시각 구간 밖","OK")))))</f>
        <v/>
      </c>
      <c r="O678" s="48">
        <f>IF(COUNTIFS($C:$C,$C678,$D:$D,$D678,$E:$E,"P0(전)",$M:$M,"&gt;0")&lt;&gt;1,"",SUMIFS($I:$I,$C:$C,$C678,$D:$D,$D678,$E:$E,"P0(전)"))</f>
        <v/>
      </c>
      <c r="P678" s="31">
        <f>IF(COUNTIFS($C:$C,$C678,$D:$D,$D678,$E:$E,"P0(전)",$M:$M,"&gt;0")&lt;&gt;1,"",SUMIFS($M:$M,$C:$C,$C678,$D:$D,$D678,$E:$E,"P0(전)"))</f>
        <v/>
      </c>
      <c r="Q678" s="48">
        <f>IF(COUNTIFS($C:$C,$C678,$D:$D,$D678,$E:$E,"P0(후)",$M:$M,"&gt;0")&lt;&gt;1,"",SUMIFS($I:$I,$C:$C,$C678,$D:$D,$D678,$E:$E,"P0(후)"))</f>
        <v/>
      </c>
      <c r="R678" s="31">
        <f>IF(COUNTIFS($C:$C,$C678,$D:$D,$D678,$E:$E,"P0(후)",$M:$M,"&gt;0")&lt;&gt;1,"",SUMIFS($M:$M,$C:$C,$C678,$D:$D,$D678,$E:$E,"P0(후)"))</f>
        <v/>
      </c>
      <c r="S678" s="31">
        <f>IF(N678&lt;&gt;"OK","",P678+(R678-P678)*(I678-O678)/(Q678-O678))</f>
        <v/>
      </c>
      <c r="T678" s="31">
        <f>IF(OR(N678&lt;&gt;"OK",NOT(ISNUMBER(M678))),"",M678-S678)</f>
        <v/>
      </c>
      <c r="U678" s="49">
        <f>IF(OR(NOT(ISNUMBER(T678)),IF(ISNUMBER(H678),H678,G678)=0),"",T678/IF(ISNUMBER(H678),H678,G678))</f>
        <v/>
      </c>
      <c r="V678" s="49">
        <f>IF(ISNUMBER(U678),ABS(U678),"")</f>
        <v/>
      </c>
      <c r="W678" s="49">
        <f>IF(OR($E677&lt;&gt;"측정",$C677&lt;&gt;$C678,$D677&lt;&gt;$D678,NOT(ISNUMBER(M678)),NOT(ISNUMBER(M677)),(IF(ISNUMBER(H678),H678,G678)-IF(ISNUMBER(H677),H677,G677))=0),"",(M678-M677)/(IF(ISNUMBER(H678),H678,G678)-IF(ISNUMBER(H677),H677,G677)))</f>
        <v/>
      </c>
      <c r="X678" s="31">
        <f>IF(NOT(AND(ISNUMBER(O678),ISNUMBER(Q678))),"",(Q678-O678)*1440)</f>
        <v/>
      </c>
      <c r="Y678" s="29" t="n"/>
      <c r="Z678" s="29" t="n"/>
      <c r="AA678" s="29" t="n"/>
      <c r="AB678" s="32" t="n"/>
      <c r="AC678" s="32" t="n"/>
    </row>
    <row r="679">
      <c r="A679" s="26" t="inlineStr">
        <is>
          <t>S13</t>
        </is>
      </c>
      <c r="B679" s="26" t="inlineStr">
        <is>
          <t>순천 신규점</t>
        </is>
      </c>
      <c r="C679" s="26" t="inlineStr">
        <is>
          <t>S13-H북</t>
        </is>
      </c>
      <c r="D679" s="47" t="n">
        <v>1</v>
      </c>
      <c r="E679" s="26" t="inlineStr">
        <is>
          <t>측정</t>
        </is>
      </c>
      <c r="F679" s="26" t="inlineStr">
        <is>
          <t>북</t>
        </is>
      </c>
      <c r="G679" s="31" t="n">
        <v>9</v>
      </c>
      <c r="H679" s="30" t="n"/>
      <c r="I679" s="43" t="n"/>
      <c r="J679" s="41" t="n"/>
      <c r="K679" s="41" t="n"/>
      <c r="L679" s="41" t="n"/>
      <c r="M679" s="31">
        <f>IF(COUNT(J679:L679)=0,"",MEDIAN(J679:L679))</f>
        <v/>
      </c>
      <c r="N679" s="26">
        <f>IF(COUNTIFS($C:$C,$C679,$D:$D,$D679,$E:$E,"P0(전)",$M:$M,"&gt;0")&lt;&gt;1,"P0(전) 유효 1개 아님",IF(COUNTIFS($C:$C,$C679,$D:$D,$D679,$E:$E,"P0(후)",$M:$M,"&gt;0")&lt;&gt;1,"P0(후) 유효 1개 아님",IF(NOT(AND(ISNUMBER(O679),ISNUMBER(Q679),ISNUMBER(I679))),"시각 결측",IF(Q679&lt;=O679,"P0 시각 역전",IF(OR(I679&lt;O679,I679&gt;Q679),"측정시각 구간 밖","OK")))))</f>
        <v/>
      </c>
      <c r="O679" s="48">
        <f>IF(COUNTIFS($C:$C,$C679,$D:$D,$D679,$E:$E,"P0(전)",$M:$M,"&gt;0")&lt;&gt;1,"",SUMIFS($I:$I,$C:$C,$C679,$D:$D,$D679,$E:$E,"P0(전)"))</f>
        <v/>
      </c>
      <c r="P679" s="31">
        <f>IF(COUNTIFS($C:$C,$C679,$D:$D,$D679,$E:$E,"P0(전)",$M:$M,"&gt;0")&lt;&gt;1,"",SUMIFS($M:$M,$C:$C,$C679,$D:$D,$D679,$E:$E,"P0(전)"))</f>
        <v/>
      </c>
      <c r="Q679" s="48">
        <f>IF(COUNTIFS($C:$C,$C679,$D:$D,$D679,$E:$E,"P0(후)",$M:$M,"&gt;0")&lt;&gt;1,"",SUMIFS($I:$I,$C:$C,$C679,$D:$D,$D679,$E:$E,"P0(후)"))</f>
        <v/>
      </c>
      <c r="R679" s="31">
        <f>IF(COUNTIFS($C:$C,$C679,$D:$D,$D679,$E:$E,"P0(후)",$M:$M,"&gt;0")&lt;&gt;1,"",SUMIFS($M:$M,$C:$C,$C679,$D:$D,$D679,$E:$E,"P0(후)"))</f>
        <v/>
      </c>
      <c r="S679" s="31">
        <f>IF(N679&lt;&gt;"OK","",P679+(R679-P679)*(I679-O679)/(Q679-O679))</f>
        <v/>
      </c>
      <c r="T679" s="31">
        <f>IF(OR(N679&lt;&gt;"OK",NOT(ISNUMBER(M679))),"",M679-S679)</f>
        <v/>
      </c>
      <c r="U679" s="49">
        <f>IF(OR(NOT(ISNUMBER(T679)),IF(ISNUMBER(H679),H679,G679)=0),"",T679/IF(ISNUMBER(H679),H679,G679))</f>
        <v/>
      </c>
      <c r="V679" s="49">
        <f>IF(ISNUMBER(U679),ABS(U679),"")</f>
        <v/>
      </c>
      <c r="W679" s="49">
        <f>IF(OR($E678&lt;&gt;"측정",$C678&lt;&gt;$C679,$D678&lt;&gt;$D679,NOT(ISNUMBER(M679)),NOT(ISNUMBER(M678)),(IF(ISNUMBER(H679),H679,G679)-IF(ISNUMBER(H678),H678,G678))=0),"",(M679-M678)/(IF(ISNUMBER(H679),H679,G679)-IF(ISNUMBER(H678),H678,G678)))</f>
        <v/>
      </c>
      <c r="X679" s="31">
        <f>IF(NOT(AND(ISNUMBER(O679),ISNUMBER(Q679))),"",(Q679-O679)*1440)</f>
        <v/>
      </c>
      <c r="Y679" s="29" t="n"/>
      <c r="Z679" s="29" t="n"/>
      <c r="AA679" s="29" t="n"/>
      <c r="AB679" s="32" t="n"/>
      <c r="AC679" s="32" t="n"/>
    </row>
    <row r="680">
      <c r="A680" s="26" t="inlineStr">
        <is>
          <t>S13</t>
        </is>
      </c>
      <c r="B680" s="26" t="inlineStr">
        <is>
          <t>순천 신규점</t>
        </is>
      </c>
      <c r="C680" s="26" t="inlineStr">
        <is>
          <t>S13-H북</t>
        </is>
      </c>
      <c r="D680" s="47" t="n">
        <v>1</v>
      </c>
      <c r="E680" s="26" t="inlineStr">
        <is>
          <t>측정</t>
        </is>
      </c>
      <c r="F680" s="26" t="inlineStr">
        <is>
          <t>북</t>
        </is>
      </c>
      <c r="G680" s="31" t="n">
        <v>10</v>
      </c>
      <c r="H680" s="30" t="n"/>
      <c r="I680" s="43" t="n"/>
      <c r="J680" s="41" t="n"/>
      <c r="K680" s="41" t="n"/>
      <c r="L680" s="41" t="n"/>
      <c r="M680" s="31">
        <f>IF(COUNT(J680:L680)=0,"",MEDIAN(J680:L680))</f>
        <v/>
      </c>
      <c r="N680" s="26">
        <f>IF(COUNTIFS($C:$C,$C680,$D:$D,$D680,$E:$E,"P0(전)",$M:$M,"&gt;0")&lt;&gt;1,"P0(전) 유효 1개 아님",IF(COUNTIFS($C:$C,$C680,$D:$D,$D680,$E:$E,"P0(후)",$M:$M,"&gt;0")&lt;&gt;1,"P0(후) 유효 1개 아님",IF(NOT(AND(ISNUMBER(O680),ISNUMBER(Q680),ISNUMBER(I680))),"시각 결측",IF(Q680&lt;=O680,"P0 시각 역전",IF(OR(I680&lt;O680,I680&gt;Q680),"측정시각 구간 밖","OK")))))</f>
        <v/>
      </c>
      <c r="O680" s="48">
        <f>IF(COUNTIFS($C:$C,$C680,$D:$D,$D680,$E:$E,"P0(전)",$M:$M,"&gt;0")&lt;&gt;1,"",SUMIFS($I:$I,$C:$C,$C680,$D:$D,$D680,$E:$E,"P0(전)"))</f>
        <v/>
      </c>
      <c r="P680" s="31">
        <f>IF(COUNTIFS($C:$C,$C680,$D:$D,$D680,$E:$E,"P0(전)",$M:$M,"&gt;0")&lt;&gt;1,"",SUMIFS($M:$M,$C:$C,$C680,$D:$D,$D680,$E:$E,"P0(전)"))</f>
        <v/>
      </c>
      <c r="Q680" s="48">
        <f>IF(COUNTIFS($C:$C,$C680,$D:$D,$D680,$E:$E,"P0(후)",$M:$M,"&gt;0")&lt;&gt;1,"",SUMIFS($I:$I,$C:$C,$C680,$D:$D,$D680,$E:$E,"P0(후)"))</f>
        <v/>
      </c>
      <c r="R680" s="31">
        <f>IF(COUNTIFS($C:$C,$C680,$D:$D,$D680,$E:$E,"P0(후)",$M:$M,"&gt;0")&lt;&gt;1,"",SUMIFS($M:$M,$C:$C,$C680,$D:$D,$D680,$E:$E,"P0(후)"))</f>
        <v/>
      </c>
      <c r="S680" s="31">
        <f>IF(N680&lt;&gt;"OK","",P680+(R680-P680)*(I680-O680)/(Q680-O680))</f>
        <v/>
      </c>
      <c r="T680" s="31">
        <f>IF(OR(N680&lt;&gt;"OK",NOT(ISNUMBER(M680))),"",M680-S680)</f>
        <v/>
      </c>
      <c r="U680" s="49">
        <f>IF(OR(NOT(ISNUMBER(T680)),IF(ISNUMBER(H680),H680,G680)=0),"",T680/IF(ISNUMBER(H680),H680,G680))</f>
        <v/>
      </c>
      <c r="V680" s="49">
        <f>IF(ISNUMBER(U680),ABS(U680),"")</f>
        <v/>
      </c>
      <c r="W680" s="49">
        <f>IF(OR($E679&lt;&gt;"측정",$C679&lt;&gt;$C680,$D679&lt;&gt;$D680,NOT(ISNUMBER(M680)),NOT(ISNUMBER(M679)),(IF(ISNUMBER(H680),H680,G680)-IF(ISNUMBER(H679),H679,G679))=0),"",(M680-M679)/(IF(ISNUMBER(H680),H680,G680)-IF(ISNUMBER(H679),H679,G679)))</f>
        <v/>
      </c>
      <c r="X680" s="31">
        <f>IF(NOT(AND(ISNUMBER(O680),ISNUMBER(Q680))),"",(Q680-O680)*1440)</f>
        <v/>
      </c>
      <c r="Y680" s="29" t="n"/>
      <c r="Z680" s="29" t="n"/>
      <c r="AA680" s="29" t="n"/>
      <c r="AB680" s="32" t="n"/>
      <c r="AC680" s="32" t="n"/>
    </row>
    <row r="681">
      <c r="A681" s="44" t="inlineStr">
        <is>
          <t>S13</t>
        </is>
      </c>
      <c r="B681" s="44" t="inlineStr">
        <is>
          <t>순천 신규점</t>
        </is>
      </c>
      <c r="C681" s="44" t="inlineStr">
        <is>
          <t>S13-H북</t>
        </is>
      </c>
      <c r="D681" s="45" t="n">
        <v>1</v>
      </c>
      <c r="E681" s="44" t="inlineStr">
        <is>
          <t>P0(후)</t>
        </is>
      </c>
      <c r="F681" s="44" t="inlineStr">
        <is>
          <t>북</t>
        </is>
      </c>
      <c r="G681" s="46" t="n"/>
      <c r="H681" s="30" t="n"/>
      <c r="I681" s="43" t="n"/>
      <c r="J681" s="41" t="n"/>
      <c r="K681" s="41" t="n"/>
      <c r="L681" s="41" t="n"/>
      <c r="M681" s="31">
        <f>IF(COUNT(J681:L681)=0,"",MEDIAN(J681:L681))</f>
        <v/>
      </c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38" t="n"/>
      <c r="Y681" s="29" t="n"/>
      <c r="Z681" s="29" t="n"/>
      <c r="AA681" s="29" t="n"/>
      <c r="AB681" s="32" t="n"/>
      <c r="AC681" s="32" t="n"/>
    </row>
    <row r="682">
      <c r="A682" s="44" t="inlineStr">
        <is>
          <t>S14</t>
        </is>
      </c>
      <c r="B682" s="44" t="inlineStr">
        <is>
          <t>청송 신규점1</t>
        </is>
      </c>
      <c r="C682" s="44" t="inlineStr">
        <is>
          <t>S14-H동</t>
        </is>
      </c>
      <c r="D682" s="45" t="n">
        <v>1</v>
      </c>
      <c r="E682" s="44" t="inlineStr">
        <is>
          <t>P0(전)</t>
        </is>
      </c>
      <c r="F682" s="44" t="inlineStr">
        <is>
          <t>동</t>
        </is>
      </c>
      <c r="G682" s="46" t="n"/>
      <c r="H682" s="30" t="n"/>
      <c r="I682" s="43" t="n"/>
      <c r="J682" s="41" t="n"/>
      <c r="K682" s="41" t="n"/>
      <c r="L682" s="41" t="n"/>
      <c r="M682" s="31">
        <f>IF(COUNT(J682:L682)=0,"",MEDIAN(J682:L682))</f>
        <v/>
      </c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  <c r="X682" s="38" t="n"/>
      <c r="Y682" s="29" t="n"/>
      <c r="Z682" s="29" t="n"/>
      <c r="AA682" s="29" t="n"/>
      <c r="AB682" s="32" t="n"/>
      <c r="AC682" s="32" t="n"/>
    </row>
    <row r="683">
      <c r="A683" s="26" t="inlineStr">
        <is>
          <t>S14</t>
        </is>
      </c>
      <c r="B683" s="26" t="inlineStr">
        <is>
          <t>청송 신규점1</t>
        </is>
      </c>
      <c r="C683" s="26" t="inlineStr">
        <is>
          <t>S14-H동</t>
        </is>
      </c>
      <c r="D683" s="47" t="n">
        <v>1</v>
      </c>
      <c r="E683" s="26" t="inlineStr">
        <is>
          <t>측정</t>
        </is>
      </c>
      <c r="F683" s="26" t="inlineStr">
        <is>
          <t>동</t>
        </is>
      </c>
      <c r="G683" s="31" t="n">
        <v>0.5</v>
      </c>
      <c r="H683" s="30" t="n"/>
      <c r="I683" s="43" t="n"/>
      <c r="J683" s="41" t="n"/>
      <c r="K683" s="41" t="n"/>
      <c r="L683" s="41" t="n"/>
      <c r="M683" s="31">
        <f>IF(COUNT(J683:L683)=0,"",MEDIAN(J683:L683))</f>
        <v/>
      </c>
      <c r="N683" s="26">
        <f>IF(COUNTIFS($C:$C,$C683,$D:$D,$D683,$E:$E,"P0(전)",$M:$M,"&gt;0")&lt;&gt;1,"P0(전) 유효 1개 아님",IF(COUNTIFS($C:$C,$C683,$D:$D,$D683,$E:$E,"P0(후)",$M:$M,"&gt;0")&lt;&gt;1,"P0(후) 유효 1개 아님",IF(NOT(AND(ISNUMBER(O683),ISNUMBER(Q683),ISNUMBER(I683))),"시각 결측",IF(Q683&lt;=O683,"P0 시각 역전",IF(OR(I683&lt;O683,I683&gt;Q683),"측정시각 구간 밖","OK")))))</f>
        <v/>
      </c>
      <c r="O683" s="48">
        <f>IF(COUNTIFS($C:$C,$C683,$D:$D,$D683,$E:$E,"P0(전)",$M:$M,"&gt;0")&lt;&gt;1,"",SUMIFS($I:$I,$C:$C,$C683,$D:$D,$D683,$E:$E,"P0(전)"))</f>
        <v/>
      </c>
      <c r="P683" s="31">
        <f>IF(COUNTIFS($C:$C,$C683,$D:$D,$D683,$E:$E,"P0(전)",$M:$M,"&gt;0")&lt;&gt;1,"",SUMIFS($M:$M,$C:$C,$C683,$D:$D,$D683,$E:$E,"P0(전)"))</f>
        <v/>
      </c>
      <c r="Q683" s="48">
        <f>IF(COUNTIFS($C:$C,$C683,$D:$D,$D683,$E:$E,"P0(후)",$M:$M,"&gt;0")&lt;&gt;1,"",SUMIFS($I:$I,$C:$C,$C683,$D:$D,$D683,$E:$E,"P0(후)"))</f>
        <v/>
      </c>
      <c r="R683" s="31">
        <f>IF(COUNTIFS($C:$C,$C683,$D:$D,$D683,$E:$E,"P0(후)",$M:$M,"&gt;0")&lt;&gt;1,"",SUMIFS($M:$M,$C:$C,$C683,$D:$D,$D683,$E:$E,"P0(후)"))</f>
        <v/>
      </c>
      <c r="S683" s="31">
        <f>IF(N683&lt;&gt;"OK","",P683+(R683-P683)*(I683-O683)/(Q683-O683))</f>
        <v/>
      </c>
      <c r="T683" s="31">
        <f>IF(OR(N683&lt;&gt;"OK",NOT(ISNUMBER(M683))),"",M683-S683)</f>
        <v/>
      </c>
      <c r="U683" s="49">
        <f>IF(OR(NOT(ISNUMBER(T683)),IF(ISNUMBER(H683),H683,G683)=0),"",T683/IF(ISNUMBER(H683),H683,G683))</f>
        <v/>
      </c>
      <c r="V683" s="49">
        <f>IF(ISNUMBER(U683),ABS(U683),"")</f>
        <v/>
      </c>
      <c r="W683" s="49">
        <f>IF(OR($E682&lt;&gt;"측정",$C682&lt;&gt;$C683,$D682&lt;&gt;$D683,NOT(ISNUMBER(M683)),NOT(ISNUMBER(M682)),(IF(ISNUMBER(H683),H683,G683)-IF(ISNUMBER(H682),H682,G682))=0),"",(M683-M682)/(IF(ISNUMBER(H683),H683,G683)-IF(ISNUMBER(H682),H682,G682)))</f>
        <v/>
      </c>
      <c r="X683" s="31">
        <f>IF(NOT(AND(ISNUMBER(O683),ISNUMBER(Q683))),"",(Q683-O683)*1440)</f>
        <v/>
      </c>
      <c r="Y683" s="29" t="n"/>
      <c r="Z683" s="29" t="n"/>
      <c r="AA683" s="29" t="n"/>
      <c r="AB683" s="32" t="n"/>
      <c r="AC683" s="32" t="n"/>
    </row>
    <row r="684">
      <c r="A684" s="26" t="inlineStr">
        <is>
          <t>S14</t>
        </is>
      </c>
      <c r="B684" s="26" t="inlineStr">
        <is>
          <t>청송 신규점1</t>
        </is>
      </c>
      <c r="C684" s="26" t="inlineStr">
        <is>
          <t>S14-H동</t>
        </is>
      </c>
      <c r="D684" s="47" t="n">
        <v>1</v>
      </c>
      <c r="E684" s="26" t="inlineStr">
        <is>
          <t>측정</t>
        </is>
      </c>
      <c r="F684" s="26" t="inlineStr">
        <is>
          <t>동</t>
        </is>
      </c>
      <c r="G684" s="31" t="n">
        <v>1</v>
      </c>
      <c r="H684" s="30" t="n"/>
      <c r="I684" s="43" t="n"/>
      <c r="J684" s="41" t="n"/>
      <c r="K684" s="41" t="n"/>
      <c r="L684" s="41" t="n"/>
      <c r="M684" s="31">
        <f>IF(COUNT(J684:L684)=0,"",MEDIAN(J684:L684))</f>
        <v/>
      </c>
      <c r="N684" s="26">
        <f>IF(COUNTIFS($C:$C,$C684,$D:$D,$D684,$E:$E,"P0(전)",$M:$M,"&gt;0")&lt;&gt;1,"P0(전) 유효 1개 아님",IF(COUNTIFS($C:$C,$C684,$D:$D,$D684,$E:$E,"P0(후)",$M:$M,"&gt;0")&lt;&gt;1,"P0(후) 유효 1개 아님",IF(NOT(AND(ISNUMBER(O684),ISNUMBER(Q684),ISNUMBER(I684))),"시각 결측",IF(Q684&lt;=O684,"P0 시각 역전",IF(OR(I684&lt;O684,I684&gt;Q684),"측정시각 구간 밖","OK")))))</f>
        <v/>
      </c>
      <c r="O684" s="48">
        <f>IF(COUNTIFS($C:$C,$C684,$D:$D,$D684,$E:$E,"P0(전)",$M:$M,"&gt;0")&lt;&gt;1,"",SUMIFS($I:$I,$C:$C,$C684,$D:$D,$D684,$E:$E,"P0(전)"))</f>
        <v/>
      </c>
      <c r="P684" s="31">
        <f>IF(COUNTIFS($C:$C,$C684,$D:$D,$D684,$E:$E,"P0(전)",$M:$M,"&gt;0")&lt;&gt;1,"",SUMIFS($M:$M,$C:$C,$C684,$D:$D,$D684,$E:$E,"P0(전)"))</f>
        <v/>
      </c>
      <c r="Q684" s="48">
        <f>IF(COUNTIFS($C:$C,$C684,$D:$D,$D684,$E:$E,"P0(후)",$M:$M,"&gt;0")&lt;&gt;1,"",SUMIFS($I:$I,$C:$C,$C684,$D:$D,$D684,$E:$E,"P0(후)"))</f>
        <v/>
      </c>
      <c r="R684" s="31">
        <f>IF(COUNTIFS($C:$C,$C684,$D:$D,$D684,$E:$E,"P0(후)",$M:$M,"&gt;0")&lt;&gt;1,"",SUMIFS($M:$M,$C:$C,$C684,$D:$D,$D684,$E:$E,"P0(후)"))</f>
        <v/>
      </c>
      <c r="S684" s="31">
        <f>IF(N684&lt;&gt;"OK","",P684+(R684-P684)*(I684-O684)/(Q684-O684))</f>
        <v/>
      </c>
      <c r="T684" s="31">
        <f>IF(OR(N684&lt;&gt;"OK",NOT(ISNUMBER(M684))),"",M684-S684)</f>
        <v/>
      </c>
      <c r="U684" s="49">
        <f>IF(OR(NOT(ISNUMBER(T684)),IF(ISNUMBER(H684),H684,G684)=0),"",T684/IF(ISNUMBER(H684),H684,G684))</f>
        <v/>
      </c>
      <c r="V684" s="49">
        <f>IF(ISNUMBER(U684),ABS(U684),"")</f>
        <v/>
      </c>
      <c r="W684" s="49">
        <f>IF(OR($E683&lt;&gt;"측정",$C683&lt;&gt;$C684,$D683&lt;&gt;$D684,NOT(ISNUMBER(M684)),NOT(ISNUMBER(M683)),(IF(ISNUMBER(H684),H684,G684)-IF(ISNUMBER(H683),H683,G683))=0),"",(M684-M683)/(IF(ISNUMBER(H684),H684,G684)-IF(ISNUMBER(H683),H683,G683)))</f>
        <v/>
      </c>
      <c r="X684" s="31">
        <f>IF(NOT(AND(ISNUMBER(O684),ISNUMBER(Q684))),"",(Q684-O684)*1440)</f>
        <v/>
      </c>
      <c r="Y684" s="29" t="n"/>
      <c r="Z684" s="29" t="n"/>
      <c r="AA684" s="29" t="n"/>
      <c r="AB684" s="32" t="n"/>
      <c r="AC684" s="32" t="n"/>
    </row>
    <row r="685">
      <c r="A685" s="26" t="inlineStr">
        <is>
          <t>S14</t>
        </is>
      </c>
      <c r="B685" s="26" t="inlineStr">
        <is>
          <t>청송 신규점1</t>
        </is>
      </c>
      <c r="C685" s="26" t="inlineStr">
        <is>
          <t>S14-H동</t>
        </is>
      </c>
      <c r="D685" s="47" t="n">
        <v>1</v>
      </c>
      <c r="E685" s="26" t="inlineStr">
        <is>
          <t>측정</t>
        </is>
      </c>
      <c r="F685" s="26" t="inlineStr">
        <is>
          <t>동</t>
        </is>
      </c>
      <c r="G685" s="31" t="n">
        <v>2</v>
      </c>
      <c r="H685" s="30" t="n"/>
      <c r="I685" s="43" t="n"/>
      <c r="J685" s="41" t="n"/>
      <c r="K685" s="41" t="n"/>
      <c r="L685" s="41" t="n"/>
      <c r="M685" s="31">
        <f>IF(COUNT(J685:L685)=0,"",MEDIAN(J685:L685))</f>
        <v/>
      </c>
      <c r="N685" s="26">
        <f>IF(COUNTIFS($C:$C,$C685,$D:$D,$D685,$E:$E,"P0(전)",$M:$M,"&gt;0")&lt;&gt;1,"P0(전) 유효 1개 아님",IF(COUNTIFS($C:$C,$C685,$D:$D,$D685,$E:$E,"P0(후)",$M:$M,"&gt;0")&lt;&gt;1,"P0(후) 유효 1개 아님",IF(NOT(AND(ISNUMBER(O685),ISNUMBER(Q685),ISNUMBER(I685))),"시각 결측",IF(Q685&lt;=O685,"P0 시각 역전",IF(OR(I685&lt;O685,I685&gt;Q685),"측정시각 구간 밖","OK")))))</f>
        <v/>
      </c>
      <c r="O685" s="48">
        <f>IF(COUNTIFS($C:$C,$C685,$D:$D,$D685,$E:$E,"P0(전)",$M:$M,"&gt;0")&lt;&gt;1,"",SUMIFS($I:$I,$C:$C,$C685,$D:$D,$D685,$E:$E,"P0(전)"))</f>
        <v/>
      </c>
      <c r="P685" s="31">
        <f>IF(COUNTIFS($C:$C,$C685,$D:$D,$D685,$E:$E,"P0(전)",$M:$M,"&gt;0")&lt;&gt;1,"",SUMIFS($M:$M,$C:$C,$C685,$D:$D,$D685,$E:$E,"P0(전)"))</f>
        <v/>
      </c>
      <c r="Q685" s="48">
        <f>IF(COUNTIFS($C:$C,$C685,$D:$D,$D685,$E:$E,"P0(후)",$M:$M,"&gt;0")&lt;&gt;1,"",SUMIFS($I:$I,$C:$C,$C685,$D:$D,$D685,$E:$E,"P0(후)"))</f>
        <v/>
      </c>
      <c r="R685" s="31">
        <f>IF(COUNTIFS($C:$C,$C685,$D:$D,$D685,$E:$E,"P0(후)",$M:$M,"&gt;0")&lt;&gt;1,"",SUMIFS($M:$M,$C:$C,$C685,$D:$D,$D685,$E:$E,"P0(후)"))</f>
        <v/>
      </c>
      <c r="S685" s="31">
        <f>IF(N685&lt;&gt;"OK","",P685+(R685-P685)*(I685-O685)/(Q685-O685))</f>
        <v/>
      </c>
      <c r="T685" s="31">
        <f>IF(OR(N685&lt;&gt;"OK",NOT(ISNUMBER(M685))),"",M685-S685)</f>
        <v/>
      </c>
      <c r="U685" s="49">
        <f>IF(OR(NOT(ISNUMBER(T685)),IF(ISNUMBER(H685),H685,G685)=0),"",T685/IF(ISNUMBER(H685),H685,G685))</f>
        <v/>
      </c>
      <c r="V685" s="49">
        <f>IF(ISNUMBER(U685),ABS(U685),"")</f>
        <v/>
      </c>
      <c r="W685" s="49">
        <f>IF(OR($E684&lt;&gt;"측정",$C684&lt;&gt;$C685,$D684&lt;&gt;$D685,NOT(ISNUMBER(M685)),NOT(ISNUMBER(M684)),(IF(ISNUMBER(H685),H685,G685)-IF(ISNUMBER(H684),H684,G684))=0),"",(M685-M684)/(IF(ISNUMBER(H685),H685,G685)-IF(ISNUMBER(H684),H684,G684)))</f>
        <v/>
      </c>
      <c r="X685" s="31">
        <f>IF(NOT(AND(ISNUMBER(O685),ISNUMBER(Q685))),"",(Q685-O685)*1440)</f>
        <v/>
      </c>
      <c r="Y685" s="29" t="n"/>
      <c r="Z685" s="29" t="n"/>
      <c r="AA685" s="29" t="n"/>
      <c r="AB685" s="32" t="n"/>
      <c r="AC685" s="32" t="n"/>
    </row>
    <row r="686">
      <c r="A686" s="26" t="inlineStr">
        <is>
          <t>S14</t>
        </is>
      </c>
      <c r="B686" s="26" t="inlineStr">
        <is>
          <t>청송 신규점1</t>
        </is>
      </c>
      <c r="C686" s="26" t="inlineStr">
        <is>
          <t>S14-H동</t>
        </is>
      </c>
      <c r="D686" s="47" t="n">
        <v>1</v>
      </c>
      <c r="E686" s="26" t="inlineStr">
        <is>
          <t>측정</t>
        </is>
      </c>
      <c r="F686" s="26" t="inlineStr">
        <is>
          <t>동</t>
        </is>
      </c>
      <c r="G686" s="31" t="n">
        <v>3</v>
      </c>
      <c r="H686" s="30" t="n"/>
      <c r="I686" s="43" t="n"/>
      <c r="J686" s="41" t="n"/>
      <c r="K686" s="41" t="n"/>
      <c r="L686" s="41" t="n"/>
      <c r="M686" s="31">
        <f>IF(COUNT(J686:L686)=0,"",MEDIAN(J686:L686))</f>
        <v/>
      </c>
      <c r="N686" s="26">
        <f>IF(COUNTIFS($C:$C,$C686,$D:$D,$D686,$E:$E,"P0(전)",$M:$M,"&gt;0")&lt;&gt;1,"P0(전) 유효 1개 아님",IF(COUNTIFS($C:$C,$C686,$D:$D,$D686,$E:$E,"P0(후)",$M:$M,"&gt;0")&lt;&gt;1,"P0(후) 유효 1개 아님",IF(NOT(AND(ISNUMBER(O686),ISNUMBER(Q686),ISNUMBER(I686))),"시각 결측",IF(Q686&lt;=O686,"P0 시각 역전",IF(OR(I686&lt;O686,I686&gt;Q686),"측정시각 구간 밖","OK")))))</f>
        <v/>
      </c>
      <c r="O686" s="48">
        <f>IF(COUNTIFS($C:$C,$C686,$D:$D,$D686,$E:$E,"P0(전)",$M:$M,"&gt;0")&lt;&gt;1,"",SUMIFS($I:$I,$C:$C,$C686,$D:$D,$D686,$E:$E,"P0(전)"))</f>
        <v/>
      </c>
      <c r="P686" s="31">
        <f>IF(COUNTIFS($C:$C,$C686,$D:$D,$D686,$E:$E,"P0(전)",$M:$M,"&gt;0")&lt;&gt;1,"",SUMIFS($M:$M,$C:$C,$C686,$D:$D,$D686,$E:$E,"P0(전)"))</f>
        <v/>
      </c>
      <c r="Q686" s="48">
        <f>IF(COUNTIFS($C:$C,$C686,$D:$D,$D686,$E:$E,"P0(후)",$M:$M,"&gt;0")&lt;&gt;1,"",SUMIFS($I:$I,$C:$C,$C686,$D:$D,$D686,$E:$E,"P0(후)"))</f>
        <v/>
      </c>
      <c r="R686" s="31">
        <f>IF(COUNTIFS($C:$C,$C686,$D:$D,$D686,$E:$E,"P0(후)",$M:$M,"&gt;0")&lt;&gt;1,"",SUMIFS($M:$M,$C:$C,$C686,$D:$D,$D686,$E:$E,"P0(후)"))</f>
        <v/>
      </c>
      <c r="S686" s="31">
        <f>IF(N686&lt;&gt;"OK","",P686+(R686-P686)*(I686-O686)/(Q686-O686))</f>
        <v/>
      </c>
      <c r="T686" s="31">
        <f>IF(OR(N686&lt;&gt;"OK",NOT(ISNUMBER(M686))),"",M686-S686)</f>
        <v/>
      </c>
      <c r="U686" s="49">
        <f>IF(OR(NOT(ISNUMBER(T686)),IF(ISNUMBER(H686),H686,G686)=0),"",T686/IF(ISNUMBER(H686),H686,G686))</f>
        <v/>
      </c>
      <c r="V686" s="49">
        <f>IF(ISNUMBER(U686),ABS(U686),"")</f>
        <v/>
      </c>
      <c r="W686" s="49">
        <f>IF(OR($E685&lt;&gt;"측정",$C685&lt;&gt;$C686,$D685&lt;&gt;$D686,NOT(ISNUMBER(M686)),NOT(ISNUMBER(M685)),(IF(ISNUMBER(H686),H686,G686)-IF(ISNUMBER(H685),H685,G685))=0),"",(M686-M685)/(IF(ISNUMBER(H686),H686,G686)-IF(ISNUMBER(H685),H685,G685)))</f>
        <v/>
      </c>
      <c r="X686" s="31">
        <f>IF(NOT(AND(ISNUMBER(O686),ISNUMBER(Q686))),"",(Q686-O686)*1440)</f>
        <v/>
      </c>
      <c r="Y686" s="29" t="n"/>
      <c r="Z686" s="29" t="n"/>
      <c r="AA686" s="29" t="n"/>
      <c r="AB686" s="32" t="n"/>
      <c r="AC686" s="32" t="n"/>
    </row>
    <row r="687">
      <c r="A687" s="26" t="inlineStr">
        <is>
          <t>S14</t>
        </is>
      </c>
      <c r="B687" s="26" t="inlineStr">
        <is>
          <t>청송 신규점1</t>
        </is>
      </c>
      <c r="C687" s="26" t="inlineStr">
        <is>
          <t>S14-H동</t>
        </is>
      </c>
      <c r="D687" s="47" t="n">
        <v>1</v>
      </c>
      <c r="E687" s="26" t="inlineStr">
        <is>
          <t>측정</t>
        </is>
      </c>
      <c r="F687" s="26" t="inlineStr">
        <is>
          <t>동</t>
        </is>
      </c>
      <c r="G687" s="31" t="n">
        <v>4</v>
      </c>
      <c r="H687" s="30" t="n"/>
      <c r="I687" s="43" t="n"/>
      <c r="J687" s="41" t="n"/>
      <c r="K687" s="41" t="n"/>
      <c r="L687" s="41" t="n"/>
      <c r="M687" s="31">
        <f>IF(COUNT(J687:L687)=0,"",MEDIAN(J687:L687))</f>
        <v/>
      </c>
      <c r="N687" s="26">
        <f>IF(COUNTIFS($C:$C,$C687,$D:$D,$D687,$E:$E,"P0(전)",$M:$M,"&gt;0")&lt;&gt;1,"P0(전) 유효 1개 아님",IF(COUNTIFS($C:$C,$C687,$D:$D,$D687,$E:$E,"P0(후)",$M:$M,"&gt;0")&lt;&gt;1,"P0(후) 유효 1개 아님",IF(NOT(AND(ISNUMBER(O687),ISNUMBER(Q687),ISNUMBER(I687))),"시각 결측",IF(Q687&lt;=O687,"P0 시각 역전",IF(OR(I687&lt;O687,I687&gt;Q687),"측정시각 구간 밖","OK")))))</f>
        <v/>
      </c>
      <c r="O687" s="48">
        <f>IF(COUNTIFS($C:$C,$C687,$D:$D,$D687,$E:$E,"P0(전)",$M:$M,"&gt;0")&lt;&gt;1,"",SUMIFS($I:$I,$C:$C,$C687,$D:$D,$D687,$E:$E,"P0(전)"))</f>
        <v/>
      </c>
      <c r="P687" s="31">
        <f>IF(COUNTIFS($C:$C,$C687,$D:$D,$D687,$E:$E,"P0(전)",$M:$M,"&gt;0")&lt;&gt;1,"",SUMIFS($M:$M,$C:$C,$C687,$D:$D,$D687,$E:$E,"P0(전)"))</f>
        <v/>
      </c>
      <c r="Q687" s="48">
        <f>IF(COUNTIFS($C:$C,$C687,$D:$D,$D687,$E:$E,"P0(후)",$M:$M,"&gt;0")&lt;&gt;1,"",SUMIFS($I:$I,$C:$C,$C687,$D:$D,$D687,$E:$E,"P0(후)"))</f>
        <v/>
      </c>
      <c r="R687" s="31">
        <f>IF(COUNTIFS($C:$C,$C687,$D:$D,$D687,$E:$E,"P0(후)",$M:$M,"&gt;0")&lt;&gt;1,"",SUMIFS($M:$M,$C:$C,$C687,$D:$D,$D687,$E:$E,"P0(후)"))</f>
        <v/>
      </c>
      <c r="S687" s="31">
        <f>IF(N687&lt;&gt;"OK","",P687+(R687-P687)*(I687-O687)/(Q687-O687))</f>
        <v/>
      </c>
      <c r="T687" s="31">
        <f>IF(OR(N687&lt;&gt;"OK",NOT(ISNUMBER(M687))),"",M687-S687)</f>
        <v/>
      </c>
      <c r="U687" s="49">
        <f>IF(OR(NOT(ISNUMBER(T687)),IF(ISNUMBER(H687),H687,G687)=0),"",T687/IF(ISNUMBER(H687),H687,G687))</f>
        <v/>
      </c>
      <c r="V687" s="49">
        <f>IF(ISNUMBER(U687),ABS(U687),"")</f>
        <v/>
      </c>
      <c r="W687" s="49">
        <f>IF(OR($E686&lt;&gt;"측정",$C686&lt;&gt;$C687,$D686&lt;&gt;$D687,NOT(ISNUMBER(M687)),NOT(ISNUMBER(M686)),(IF(ISNUMBER(H687),H687,G687)-IF(ISNUMBER(H686),H686,G686))=0),"",(M687-M686)/(IF(ISNUMBER(H687),H687,G687)-IF(ISNUMBER(H686),H686,G686)))</f>
        <v/>
      </c>
      <c r="X687" s="31">
        <f>IF(NOT(AND(ISNUMBER(O687),ISNUMBER(Q687))),"",(Q687-O687)*1440)</f>
        <v/>
      </c>
      <c r="Y687" s="29" t="n"/>
      <c r="Z687" s="29" t="n"/>
      <c r="AA687" s="29" t="n"/>
      <c r="AB687" s="32" t="n"/>
      <c r="AC687" s="32" t="n"/>
    </row>
    <row r="688">
      <c r="A688" s="26" t="inlineStr">
        <is>
          <t>S14</t>
        </is>
      </c>
      <c r="B688" s="26" t="inlineStr">
        <is>
          <t>청송 신규점1</t>
        </is>
      </c>
      <c r="C688" s="26" t="inlineStr">
        <is>
          <t>S14-H동</t>
        </is>
      </c>
      <c r="D688" s="47" t="n">
        <v>1</v>
      </c>
      <c r="E688" s="26" t="inlineStr">
        <is>
          <t>측정</t>
        </is>
      </c>
      <c r="F688" s="26" t="inlineStr">
        <is>
          <t>동</t>
        </is>
      </c>
      <c r="G688" s="31" t="n">
        <v>5</v>
      </c>
      <c r="H688" s="30" t="n"/>
      <c r="I688" s="43" t="n"/>
      <c r="J688" s="41" t="n"/>
      <c r="K688" s="41" t="n"/>
      <c r="L688" s="41" t="n"/>
      <c r="M688" s="31">
        <f>IF(COUNT(J688:L688)=0,"",MEDIAN(J688:L688))</f>
        <v/>
      </c>
      <c r="N688" s="26">
        <f>IF(COUNTIFS($C:$C,$C688,$D:$D,$D688,$E:$E,"P0(전)",$M:$M,"&gt;0")&lt;&gt;1,"P0(전) 유효 1개 아님",IF(COUNTIFS($C:$C,$C688,$D:$D,$D688,$E:$E,"P0(후)",$M:$M,"&gt;0")&lt;&gt;1,"P0(후) 유효 1개 아님",IF(NOT(AND(ISNUMBER(O688),ISNUMBER(Q688),ISNUMBER(I688))),"시각 결측",IF(Q688&lt;=O688,"P0 시각 역전",IF(OR(I688&lt;O688,I688&gt;Q688),"측정시각 구간 밖","OK")))))</f>
        <v/>
      </c>
      <c r="O688" s="48">
        <f>IF(COUNTIFS($C:$C,$C688,$D:$D,$D688,$E:$E,"P0(전)",$M:$M,"&gt;0")&lt;&gt;1,"",SUMIFS($I:$I,$C:$C,$C688,$D:$D,$D688,$E:$E,"P0(전)"))</f>
        <v/>
      </c>
      <c r="P688" s="31">
        <f>IF(COUNTIFS($C:$C,$C688,$D:$D,$D688,$E:$E,"P0(전)",$M:$M,"&gt;0")&lt;&gt;1,"",SUMIFS($M:$M,$C:$C,$C688,$D:$D,$D688,$E:$E,"P0(전)"))</f>
        <v/>
      </c>
      <c r="Q688" s="48">
        <f>IF(COUNTIFS($C:$C,$C688,$D:$D,$D688,$E:$E,"P0(후)",$M:$M,"&gt;0")&lt;&gt;1,"",SUMIFS($I:$I,$C:$C,$C688,$D:$D,$D688,$E:$E,"P0(후)"))</f>
        <v/>
      </c>
      <c r="R688" s="31">
        <f>IF(COUNTIFS($C:$C,$C688,$D:$D,$D688,$E:$E,"P0(후)",$M:$M,"&gt;0")&lt;&gt;1,"",SUMIFS($M:$M,$C:$C,$C688,$D:$D,$D688,$E:$E,"P0(후)"))</f>
        <v/>
      </c>
      <c r="S688" s="31">
        <f>IF(N688&lt;&gt;"OK","",P688+(R688-P688)*(I688-O688)/(Q688-O688))</f>
        <v/>
      </c>
      <c r="T688" s="31">
        <f>IF(OR(N688&lt;&gt;"OK",NOT(ISNUMBER(M688))),"",M688-S688)</f>
        <v/>
      </c>
      <c r="U688" s="49">
        <f>IF(OR(NOT(ISNUMBER(T688)),IF(ISNUMBER(H688),H688,G688)=0),"",T688/IF(ISNUMBER(H688),H688,G688))</f>
        <v/>
      </c>
      <c r="V688" s="49">
        <f>IF(ISNUMBER(U688),ABS(U688),"")</f>
        <v/>
      </c>
      <c r="W688" s="49">
        <f>IF(OR($E687&lt;&gt;"측정",$C687&lt;&gt;$C688,$D687&lt;&gt;$D688,NOT(ISNUMBER(M688)),NOT(ISNUMBER(M687)),(IF(ISNUMBER(H688),H688,G688)-IF(ISNUMBER(H687),H687,G687))=0),"",(M688-M687)/(IF(ISNUMBER(H688),H688,G688)-IF(ISNUMBER(H687),H687,G687)))</f>
        <v/>
      </c>
      <c r="X688" s="31">
        <f>IF(NOT(AND(ISNUMBER(O688),ISNUMBER(Q688))),"",(Q688-O688)*1440)</f>
        <v/>
      </c>
      <c r="Y688" s="29" t="n"/>
      <c r="Z688" s="29" t="n"/>
      <c r="AA688" s="29" t="n"/>
      <c r="AB688" s="32" t="n"/>
      <c r="AC688" s="32" t="n"/>
    </row>
    <row r="689">
      <c r="A689" s="26" t="inlineStr">
        <is>
          <t>S14</t>
        </is>
      </c>
      <c r="B689" s="26" t="inlineStr">
        <is>
          <t>청송 신규점1</t>
        </is>
      </c>
      <c r="C689" s="26" t="inlineStr">
        <is>
          <t>S14-H동</t>
        </is>
      </c>
      <c r="D689" s="47" t="n">
        <v>1</v>
      </c>
      <c r="E689" s="26" t="inlineStr">
        <is>
          <t>측정</t>
        </is>
      </c>
      <c r="F689" s="26" t="inlineStr">
        <is>
          <t>동</t>
        </is>
      </c>
      <c r="G689" s="31" t="n">
        <v>6</v>
      </c>
      <c r="H689" s="30" t="n"/>
      <c r="I689" s="43" t="n"/>
      <c r="J689" s="41" t="n"/>
      <c r="K689" s="41" t="n"/>
      <c r="L689" s="41" t="n"/>
      <c r="M689" s="31">
        <f>IF(COUNT(J689:L689)=0,"",MEDIAN(J689:L689))</f>
        <v/>
      </c>
      <c r="N689" s="26">
        <f>IF(COUNTIFS($C:$C,$C689,$D:$D,$D689,$E:$E,"P0(전)",$M:$M,"&gt;0")&lt;&gt;1,"P0(전) 유효 1개 아님",IF(COUNTIFS($C:$C,$C689,$D:$D,$D689,$E:$E,"P0(후)",$M:$M,"&gt;0")&lt;&gt;1,"P0(후) 유효 1개 아님",IF(NOT(AND(ISNUMBER(O689),ISNUMBER(Q689),ISNUMBER(I689))),"시각 결측",IF(Q689&lt;=O689,"P0 시각 역전",IF(OR(I689&lt;O689,I689&gt;Q689),"측정시각 구간 밖","OK")))))</f>
        <v/>
      </c>
      <c r="O689" s="48">
        <f>IF(COUNTIFS($C:$C,$C689,$D:$D,$D689,$E:$E,"P0(전)",$M:$M,"&gt;0")&lt;&gt;1,"",SUMIFS($I:$I,$C:$C,$C689,$D:$D,$D689,$E:$E,"P0(전)"))</f>
        <v/>
      </c>
      <c r="P689" s="31">
        <f>IF(COUNTIFS($C:$C,$C689,$D:$D,$D689,$E:$E,"P0(전)",$M:$M,"&gt;0")&lt;&gt;1,"",SUMIFS($M:$M,$C:$C,$C689,$D:$D,$D689,$E:$E,"P0(전)"))</f>
        <v/>
      </c>
      <c r="Q689" s="48">
        <f>IF(COUNTIFS($C:$C,$C689,$D:$D,$D689,$E:$E,"P0(후)",$M:$M,"&gt;0")&lt;&gt;1,"",SUMIFS($I:$I,$C:$C,$C689,$D:$D,$D689,$E:$E,"P0(후)"))</f>
        <v/>
      </c>
      <c r="R689" s="31">
        <f>IF(COUNTIFS($C:$C,$C689,$D:$D,$D689,$E:$E,"P0(후)",$M:$M,"&gt;0")&lt;&gt;1,"",SUMIFS($M:$M,$C:$C,$C689,$D:$D,$D689,$E:$E,"P0(후)"))</f>
        <v/>
      </c>
      <c r="S689" s="31">
        <f>IF(N689&lt;&gt;"OK","",P689+(R689-P689)*(I689-O689)/(Q689-O689))</f>
        <v/>
      </c>
      <c r="T689" s="31">
        <f>IF(OR(N689&lt;&gt;"OK",NOT(ISNUMBER(M689))),"",M689-S689)</f>
        <v/>
      </c>
      <c r="U689" s="49">
        <f>IF(OR(NOT(ISNUMBER(T689)),IF(ISNUMBER(H689),H689,G689)=0),"",T689/IF(ISNUMBER(H689),H689,G689))</f>
        <v/>
      </c>
      <c r="V689" s="49">
        <f>IF(ISNUMBER(U689),ABS(U689),"")</f>
        <v/>
      </c>
      <c r="W689" s="49">
        <f>IF(OR($E688&lt;&gt;"측정",$C688&lt;&gt;$C689,$D688&lt;&gt;$D689,NOT(ISNUMBER(M689)),NOT(ISNUMBER(M688)),(IF(ISNUMBER(H689),H689,G689)-IF(ISNUMBER(H688),H688,G688))=0),"",(M689-M688)/(IF(ISNUMBER(H689),H689,G689)-IF(ISNUMBER(H688),H688,G688)))</f>
        <v/>
      </c>
      <c r="X689" s="31">
        <f>IF(NOT(AND(ISNUMBER(O689),ISNUMBER(Q689))),"",(Q689-O689)*1440)</f>
        <v/>
      </c>
      <c r="Y689" s="29" t="n"/>
      <c r="Z689" s="29" t="n"/>
      <c r="AA689" s="29" t="n"/>
      <c r="AB689" s="32" t="n"/>
      <c r="AC689" s="32" t="n"/>
    </row>
    <row r="690">
      <c r="A690" s="26" t="inlineStr">
        <is>
          <t>S14</t>
        </is>
      </c>
      <c r="B690" s="26" t="inlineStr">
        <is>
          <t>청송 신규점1</t>
        </is>
      </c>
      <c r="C690" s="26" t="inlineStr">
        <is>
          <t>S14-H동</t>
        </is>
      </c>
      <c r="D690" s="47" t="n">
        <v>1</v>
      </c>
      <c r="E690" s="26" t="inlineStr">
        <is>
          <t>측정</t>
        </is>
      </c>
      <c r="F690" s="26" t="inlineStr">
        <is>
          <t>동</t>
        </is>
      </c>
      <c r="G690" s="31" t="n">
        <v>7</v>
      </c>
      <c r="H690" s="30" t="n"/>
      <c r="I690" s="43" t="n"/>
      <c r="J690" s="41" t="n"/>
      <c r="K690" s="41" t="n"/>
      <c r="L690" s="41" t="n"/>
      <c r="M690" s="31">
        <f>IF(COUNT(J690:L690)=0,"",MEDIAN(J690:L690))</f>
        <v/>
      </c>
      <c r="N690" s="26">
        <f>IF(COUNTIFS($C:$C,$C690,$D:$D,$D690,$E:$E,"P0(전)",$M:$M,"&gt;0")&lt;&gt;1,"P0(전) 유효 1개 아님",IF(COUNTIFS($C:$C,$C690,$D:$D,$D690,$E:$E,"P0(후)",$M:$M,"&gt;0")&lt;&gt;1,"P0(후) 유효 1개 아님",IF(NOT(AND(ISNUMBER(O690),ISNUMBER(Q690),ISNUMBER(I690))),"시각 결측",IF(Q690&lt;=O690,"P0 시각 역전",IF(OR(I690&lt;O690,I690&gt;Q690),"측정시각 구간 밖","OK")))))</f>
        <v/>
      </c>
      <c r="O690" s="48">
        <f>IF(COUNTIFS($C:$C,$C690,$D:$D,$D690,$E:$E,"P0(전)",$M:$M,"&gt;0")&lt;&gt;1,"",SUMIFS($I:$I,$C:$C,$C690,$D:$D,$D690,$E:$E,"P0(전)"))</f>
        <v/>
      </c>
      <c r="P690" s="31">
        <f>IF(COUNTIFS($C:$C,$C690,$D:$D,$D690,$E:$E,"P0(전)",$M:$M,"&gt;0")&lt;&gt;1,"",SUMIFS($M:$M,$C:$C,$C690,$D:$D,$D690,$E:$E,"P0(전)"))</f>
        <v/>
      </c>
      <c r="Q690" s="48">
        <f>IF(COUNTIFS($C:$C,$C690,$D:$D,$D690,$E:$E,"P0(후)",$M:$M,"&gt;0")&lt;&gt;1,"",SUMIFS($I:$I,$C:$C,$C690,$D:$D,$D690,$E:$E,"P0(후)"))</f>
        <v/>
      </c>
      <c r="R690" s="31">
        <f>IF(COUNTIFS($C:$C,$C690,$D:$D,$D690,$E:$E,"P0(후)",$M:$M,"&gt;0")&lt;&gt;1,"",SUMIFS($M:$M,$C:$C,$C690,$D:$D,$D690,$E:$E,"P0(후)"))</f>
        <v/>
      </c>
      <c r="S690" s="31">
        <f>IF(N690&lt;&gt;"OK","",P690+(R690-P690)*(I690-O690)/(Q690-O690))</f>
        <v/>
      </c>
      <c r="T690" s="31">
        <f>IF(OR(N690&lt;&gt;"OK",NOT(ISNUMBER(M690))),"",M690-S690)</f>
        <v/>
      </c>
      <c r="U690" s="49">
        <f>IF(OR(NOT(ISNUMBER(T690)),IF(ISNUMBER(H690),H690,G690)=0),"",T690/IF(ISNUMBER(H690),H690,G690))</f>
        <v/>
      </c>
      <c r="V690" s="49">
        <f>IF(ISNUMBER(U690),ABS(U690),"")</f>
        <v/>
      </c>
      <c r="W690" s="49">
        <f>IF(OR($E689&lt;&gt;"측정",$C689&lt;&gt;$C690,$D689&lt;&gt;$D690,NOT(ISNUMBER(M690)),NOT(ISNUMBER(M689)),(IF(ISNUMBER(H690),H690,G690)-IF(ISNUMBER(H689),H689,G689))=0),"",(M690-M689)/(IF(ISNUMBER(H690),H690,G690)-IF(ISNUMBER(H689),H689,G689)))</f>
        <v/>
      </c>
      <c r="X690" s="31">
        <f>IF(NOT(AND(ISNUMBER(O690),ISNUMBER(Q690))),"",(Q690-O690)*1440)</f>
        <v/>
      </c>
      <c r="Y690" s="29" t="n"/>
      <c r="Z690" s="29" t="n"/>
      <c r="AA690" s="29" t="n"/>
      <c r="AB690" s="32" t="n"/>
      <c r="AC690" s="32" t="n"/>
    </row>
    <row r="691">
      <c r="A691" s="26" t="inlineStr">
        <is>
          <t>S14</t>
        </is>
      </c>
      <c r="B691" s="26" t="inlineStr">
        <is>
          <t>청송 신규점1</t>
        </is>
      </c>
      <c r="C691" s="26" t="inlineStr">
        <is>
          <t>S14-H동</t>
        </is>
      </c>
      <c r="D691" s="47" t="n">
        <v>1</v>
      </c>
      <c r="E691" s="26" t="inlineStr">
        <is>
          <t>측정</t>
        </is>
      </c>
      <c r="F691" s="26" t="inlineStr">
        <is>
          <t>동</t>
        </is>
      </c>
      <c r="G691" s="31" t="n">
        <v>8</v>
      </c>
      <c r="H691" s="30" t="n"/>
      <c r="I691" s="43" t="n"/>
      <c r="J691" s="41" t="n"/>
      <c r="K691" s="41" t="n"/>
      <c r="L691" s="41" t="n"/>
      <c r="M691" s="31">
        <f>IF(COUNT(J691:L691)=0,"",MEDIAN(J691:L691))</f>
        <v/>
      </c>
      <c r="N691" s="26">
        <f>IF(COUNTIFS($C:$C,$C691,$D:$D,$D691,$E:$E,"P0(전)",$M:$M,"&gt;0")&lt;&gt;1,"P0(전) 유효 1개 아님",IF(COUNTIFS($C:$C,$C691,$D:$D,$D691,$E:$E,"P0(후)",$M:$M,"&gt;0")&lt;&gt;1,"P0(후) 유효 1개 아님",IF(NOT(AND(ISNUMBER(O691),ISNUMBER(Q691),ISNUMBER(I691))),"시각 결측",IF(Q691&lt;=O691,"P0 시각 역전",IF(OR(I691&lt;O691,I691&gt;Q691),"측정시각 구간 밖","OK")))))</f>
        <v/>
      </c>
      <c r="O691" s="48">
        <f>IF(COUNTIFS($C:$C,$C691,$D:$D,$D691,$E:$E,"P0(전)",$M:$M,"&gt;0")&lt;&gt;1,"",SUMIFS($I:$I,$C:$C,$C691,$D:$D,$D691,$E:$E,"P0(전)"))</f>
        <v/>
      </c>
      <c r="P691" s="31">
        <f>IF(COUNTIFS($C:$C,$C691,$D:$D,$D691,$E:$E,"P0(전)",$M:$M,"&gt;0")&lt;&gt;1,"",SUMIFS($M:$M,$C:$C,$C691,$D:$D,$D691,$E:$E,"P0(전)"))</f>
        <v/>
      </c>
      <c r="Q691" s="48">
        <f>IF(COUNTIFS($C:$C,$C691,$D:$D,$D691,$E:$E,"P0(후)",$M:$M,"&gt;0")&lt;&gt;1,"",SUMIFS($I:$I,$C:$C,$C691,$D:$D,$D691,$E:$E,"P0(후)"))</f>
        <v/>
      </c>
      <c r="R691" s="31">
        <f>IF(COUNTIFS($C:$C,$C691,$D:$D,$D691,$E:$E,"P0(후)",$M:$M,"&gt;0")&lt;&gt;1,"",SUMIFS($M:$M,$C:$C,$C691,$D:$D,$D691,$E:$E,"P0(후)"))</f>
        <v/>
      </c>
      <c r="S691" s="31">
        <f>IF(N691&lt;&gt;"OK","",P691+(R691-P691)*(I691-O691)/(Q691-O691))</f>
        <v/>
      </c>
      <c r="T691" s="31">
        <f>IF(OR(N691&lt;&gt;"OK",NOT(ISNUMBER(M691))),"",M691-S691)</f>
        <v/>
      </c>
      <c r="U691" s="49">
        <f>IF(OR(NOT(ISNUMBER(T691)),IF(ISNUMBER(H691),H691,G691)=0),"",T691/IF(ISNUMBER(H691),H691,G691))</f>
        <v/>
      </c>
      <c r="V691" s="49">
        <f>IF(ISNUMBER(U691),ABS(U691),"")</f>
        <v/>
      </c>
      <c r="W691" s="49">
        <f>IF(OR($E690&lt;&gt;"측정",$C690&lt;&gt;$C691,$D690&lt;&gt;$D691,NOT(ISNUMBER(M691)),NOT(ISNUMBER(M690)),(IF(ISNUMBER(H691),H691,G691)-IF(ISNUMBER(H690),H690,G690))=0),"",(M691-M690)/(IF(ISNUMBER(H691),H691,G691)-IF(ISNUMBER(H690),H690,G690)))</f>
        <v/>
      </c>
      <c r="X691" s="31">
        <f>IF(NOT(AND(ISNUMBER(O691),ISNUMBER(Q691))),"",(Q691-O691)*1440)</f>
        <v/>
      </c>
      <c r="Y691" s="29" t="n"/>
      <c r="Z691" s="29" t="n"/>
      <c r="AA691" s="29" t="n"/>
      <c r="AB691" s="32" t="n"/>
      <c r="AC691" s="32" t="n"/>
    </row>
    <row r="692">
      <c r="A692" s="26" t="inlineStr">
        <is>
          <t>S14</t>
        </is>
      </c>
      <c r="B692" s="26" t="inlineStr">
        <is>
          <t>청송 신규점1</t>
        </is>
      </c>
      <c r="C692" s="26" t="inlineStr">
        <is>
          <t>S14-H동</t>
        </is>
      </c>
      <c r="D692" s="47" t="n">
        <v>1</v>
      </c>
      <c r="E692" s="26" t="inlineStr">
        <is>
          <t>측정</t>
        </is>
      </c>
      <c r="F692" s="26" t="inlineStr">
        <is>
          <t>동</t>
        </is>
      </c>
      <c r="G692" s="31" t="n">
        <v>9</v>
      </c>
      <c r="H692" s="30" t="n"/>
      <c r="I692" s="43" t="n"/>
      <c r="J692" s="41" t="n"/>
      <c r="K692" s="41" t="n"/>
      <c r="L692" s="41" t="n"/>
      <c r="M692" s="31">
        <f>IF(COUNT(J692:L692)=0,"",MEDIAN(J692:L692))</f>
        <v/>
      </c>
      <c r="N692" s="26">
        <f>IF(COUNTIFS($C:$C,$C692,$D:$D,$D692,$E:$E,"P0(전)",$M:$M,"&gt;0")&lt;&gt;1,"P0(전) 유효 1개 아님",IF(COUNTIFS($C:$C,$C692,$D:$D,$D692,$E:$E,"P0(후)",$M:$M,"&gt;0")&lt;&gt;1,"P0(후) 유효 1개 아님",IF(NOT(AND(ISNUMBER(O692),ISNUMBER(Q692),ISNUMBER(I692))),"시각 결측",IF(Q692&lt;=O692,"P0 시각 역전",IF(OR(I692&lt;O692,I692&gt;Q692),"측정시각 구간 밖","OK")))))</f>
        <v/>
      </c>
      <c r="O692" s="48">
        <f>IF(COUNTIFS($C:$C,$C692,$D:$D,$D692,$E:$E,"P0(전)",$M:$M,"&gt;0")&lt;&gt;1,"",SUMIFS($I:$I,$C:$C,$C692,$D:$D,$D692,$E:$E,"P0(전)"))</f>
        <v/>
      </c>
      <c r="P692" s="31">
        <f>IF(COUNTIFS($C:$C,$C692,$D:$D,$D692,$E:$E,"P0(전)",$M:$M,"&gt;0")&lt;&gt;1,"",SUMIFS($M:$M,$C:$C,$C692,$D:$D,$D692,$E:$E,"P0(전)"))</f>
        <v/>
      </c>
      <c r="Q692" s="48">
        <f>IF(COUNTIFS($C:$C,$C692,$D:$D,$D692,$E:$E,"P0(후)",$M:$M,"&gt;0")&lt;&gt;1,"",SUMIFS($I:$I,$C:$C,$C692,$D:$D,$D692,$E:$E,"P0(후)"))</f>
        <v/>
      </c>
      <c r="R692" s="31">
        <f>IF(COUNTIFS($C:$C,$C692,$D:$D,$D692,$E:$E,"P0(후)",$M:$M,"&gt;0")&lt;&gt;1,"",SUMIFS($M:$M,$C:$C,$C692,$D:$D,$D692,$E:$E,"P0(후)"))</f>
        <v/>
      </c>
      <c r="S692" s="31">
        <f>IF(N692&lt;&gt;"OK","",P692+(R692-P692)*(I692-O692)/(Q692-O692))</f>
        <v/>
      </c>
      <c r="T692" s="31">
        <f>IF(OR(N692&lt;&gt;"OK",NOT(ISNUMBER(M692))),"",M692-S692)</f>
        <v/>
      </c>
      <c r="U692" s="49">
        <f>IF(OR(NOT(ISNUMBER(T692)),IF(ISNUMBER(H692),H692,G692)=0),"",T692/IF(ISNUMBER(H692),H692,G692))</f>
        <v/>
      </c>
      <c r="V692" s="49">
        <f>IF(ISNUMBER(U692),ABS(U692),"")</f>
        <v/>
      </c>
      <c r="W692" s="49">
        <f>IF(OR($E691&lt;&gt;"측정",$C691&lt;&gt;$C692,$D691&lt;&gt;$D692,NOT(ISNUMBER(M692)),NOT(ISNUMBER(M691)),(IF(ISNUMBER(H692),H692,G692)-IF(ISNUMBER(H691),H691,G691))=0),"",(M692-M691)/(IF(ISNUMBER(H692),H692,G692)-IF(ISNUMBER(H691),H691,G691)))</f>
        <v/>
      </c>
      <c r="X692" s="31">
        <f>IF(NOT(AND(ISNUMBER(O692),ISNUMBER(Q692))),"",(Q692-O692)*1440)</f>
        <v/>
      </c>
      <c r="Y692" s="29" t="n"/>
      <c r="Z692" s="29" t="n"/>
      <c r="AA692" s="29" t="n"/>
      <c r="AB692" s="32" t="n"/>
      <c r="AC692" s="32" t="n"/>
    </row>
    <row r="693">
      <c r="A693" s="26" t="inlineStr">
        <is>
          <t>S14</t>
        </is>
      </c>
      <c r="B693" s="26" t="inlineStr">
        <is>
          <t>청송 신규점1</t>
        </is>
      </c>
      <c r="C693" s="26" t="inlineStr">
        <is>
          <t>S14-H동</t>
        </is>
      </c>
      <c r="D693" s="47" t="n">
        <v>1</v>
      </c>
      <c r="E693" s="26" t="inlineStr">
        <is>
          <t>측정</t>
        </is>
      </c>
      <c r="F693" s="26" t="inlineStr">
        <is>
          <t>동</t>
        </is>
      </c>
      <c r="G693" s="31" t="n">
        <v>10</v>
      </c>
      <c r="H693" s="30" t="n"/>
      <c r="I693" s="43" t="n"/>
      <c r="J693" s="41" t="n"/>
      <c r="K693" s="41" t="n"/>
      <c r="L693" s="41" t="n"/>
      <c r="M693" s="31">
        <f>IF(COUNT(J693:L693)=0,"",MEDIAN(J693:L693))</f>
        <v/>
      </c>
      <c r="N693" s="26">
        <f>IF(COUNTIFS($C:$C,$C693,$D:$D,$D693,$E:$E,"P0(전)",$M:$M,"&gt;0")&lt;&gt;1,"P0(전) 유효 1개 아님",IF(COUNTIFS($C:$C,$C693,$D:$D,$D693,$E:$E,"P0(후)",$M:$M,"&gt;0")&lt;&gt;1,"P0(후) 유효 1개 아님",IF(NOT(AND(ISNUMBER(O693),ISNUMBER(Q693),ISNUMBER(I693))),"시각 결측",IF(Q693&lt;=O693,"P0 시각 역전",IF(OR(I693&lt;O693,I693&gt;Q693),"측정시각 구간 밖","OK")))))</f>
        <v/>
      </c>
      <c r="O693" s="48">
        <f>IF(COUNTIFS($C:$C,$C693,$D:$D,$D693,$E:$E,"P0(전)",$M:$M,"&gt;0")&lt;&gt;1,"",SUMIFS($I:$I,$C:$C,$C693,$D:$D,$D693,$E:$E,"P0(전)"))</f>
        <v/>
      </c>
      <c r="P693" s="31">
        <f>IF(COUNTIFS($C:$C,$C693,$D:$D,$D693,$E:$E,"P0(전)",$M:$M,"&gt;0")&lt;&gt;1,"",SUMIFS($M:$M,$C:$C,$C693,$D:$D,$D693,$E:$E,"P0(전)"))</f>
        <v/>
      </c>
      <c r="Q693" s="48">
        <f>IF(COUNTIFS($C:$C,$C693,$D:$D,$D693,$E:$E,"P0(후)",$M:$M,"&gt;0")&lt;&gt;1,"",SUMIFS($I:$I,$C:$C,$C693,$D:$D,$D693,$E:$E,"P0(후)"))</f>
        <v/>
      </c>
      <c r="R693" s="31">
        <f>IF(COUNTIFS($C:$C,$C693,$D:$D,$D693,$E:$E,"P0(후)",$M:$M,"&gt;0")&lt;&gt;1,"",SUMIFS($M:$M,$C:$C,$C693,$D:$D,$D693,$E:$E,"P0(후)"))</f>
        <v/>
      </c>
      <c r="S693" s="31">
        <f>IF(N693&lt;&gt;"OK","",P693+(R693-P693)*(I693-O693)/(Q693-O693))</f>
        <v/>
      </c>
      <c r="T693" s="31">
        <f>IF(OR(N693&lt;&gt;"OK",NOT(ISNUMBER(M693))),"",M693-S693)</f>
        <v/>
      </c>
      <c r="U693" s="49">
        <f>IF(OR(NOT(ISNUMBER(T693)),IF(ISNUMBER(H693),H693,G693)=0),"",T693/IF(ISNUMBER(H693),H693,G693))</f>
        <v/>
      </c>
      <c r="V693" s="49">
        <f>IF(ISNUMBER(U693),ABS(U693),"")</f>
        <v/>
      </c>
      <c r="W693" s="49">
        <f>IF(OR($E692&lt;&gt;"측정",$C692&lt;&gt;$C693,$D692&lt;&gt;$D693,NOT(ISNUMBER(M693)),NOT(ISNUMBER(M692)),(IF(ISNUMBER(H693),H693,G693)-IF(ISNUMBER(H692),H692,G692))=0),"",(M693-M692)/(IF(ISNUMBER(H693),H693,G693)-IF(ISNUMBER(H692),H692,G692)))</f>
        <v/>
      </c>
      <c r="X693" s="31">
        <f>IF(NOT(AND(ISNUMBER(O693),ISNUMBER(Q693))),"",(Q693-O693)*1440)</f>
        <v/>
      </c>
      <c r="Y693" s="29" t="n"/>
      <c r="Z693" s="29" t="n"/>
      <c r="AA693" s="29" t="n"/>
      <c r="AB693" s="32" t="n"/>
      <c r="AC693" s="32" t="n"/>
    </row>
    <row r="694">
      <c r="A694" s="44" t="inlineStr">
        <is>
          <t>S14</t>
        </is>
      </c>
      <c r="B694" s="44" t="inlineStr">
        <is>
          <t>청송 신규점1</t>
        </is>
      </c>
      <c r="C694" s="44" t="inlineStr">
        <is>
          <t>S14-H동</t>
        </is>
      </c>
      <c r="D694" s="45" t="n">
        <v>1</v>
      </c>
      <c r="E694" s="44" t="inlineStr">
        <is>
          <t>P0(후)</t>
        </is>
      </c>
      <c r="F694" s="44" t="inlineStr">
        <is>
          <t>동</t>
        </is>
      </c>
      <c r="G694" s="46" t="n"/>
      <c r="H694" s="30" t="n"/>
      <c r="I694" s="43" t="n"/>
      <c r="J694" s="41" t="n"/>
      <c r="K694" s="41" t="n"/>
      <c r="L694" s="41" t="n"/>
      <c r="M694" s="31">
        <f>IF(COUNT(J694:L694)=0,"",MEDIAN(J694:L694))</f>
        <v/>
      </c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38" t="n"/>
      <c r="Y694" s="29" t="n"/>
      <c r="Z694" s="29" t="n"/>
      <c r="AA694" s="29" t="n"/>
      <c r="AB694" s="32" t="n"/>
      <c r="AC694" s="32" t="n"/>
    </row>
    <row r="695">
      <c r="A695" s="44" t="inlineStr">
        <is>
          <t>S14</t>
        </is>
      </c>
      <c r="B695" s="44" t="inlineStr">
        <is>
          <t>청송 신규점1</t>
        </is>
      </c>
      <c r="C695" s="44" t="inlineStr">
        <is>
          <t>S14-H서</t>
        </is>
      </c>
      <c r="D695" s="45" t="n">
        <v>1</v>
      </c>
      <c r="E695" s="44" t="inlineStr">
        <is>
          <t>P0(전)</t>
        </is>
      </c>
      <c r="F695" s="44" t="inlineStr">
        <is>
          <t>서</t>
        </is>
      </c>
      <c r="G695" s="46" t="n"/>
      <c r="H695" s="30" t="n"/>
      <c r="I695" s="43" t="n"/>
      <c r="J695" s="41" t="n"/>
      <c r="K695" s="41" t="n"/>
      <c r="L695" s="41" t="n"/>
      <c r="M695" s="31">
        <f>IF(COUNT(J695:L695)=0,"",MEDIAN(J695:L695))</f>
        <v/>
      </c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  <c r="X695" s="38" t="n"/>
      <c r="Y695" s="29" t="n"/>
      <c r="Z695" s="29" t="n"/>
      <c r="AA695" s="29" t="n"/>
      <c r="AB695" s="32" t="n"/>
      <c r="AC695" s="32" t="n"/>
    </row>
    <row r="696">
      <c r="A696" s="26" t="inlineStr">
        <is>
          <t>S14</t>
        </is>
      </c>
      <c r="B696" s="26" t="inlineStr">
        <is>
          <t>청송 신규점1</t>
        </is>
      </c>
      <c r="C696" s="26" t="inlineStr">
        <is>
          <t>S14-H서</t>
        </is>
      </c>
      <c r="D696" s="47" t="n">
        <v>1</v>
      </c>
      <c r="E696" s="26" t="inlineStr">
        <is>
          <t>측정</t>
        </is>
      </c>
      <c r="F696" s="26" t="inlineStr">
        <is>
          <t>서</t>
        </is>
      </c>
      <c r="G696" s="31" t="n">
        <v>0.5</v>
      </c>
      <c r="H696" s="30" t="n"/>
      <c r="I696" s="43" t="n"/>
      <c r="J696" s="41" t="n"/>
      <c r="K696" s="41" t="n"/>
      <c r="L696" s="41" t="n"/>
      <c r="M696" s="31">
        <f>IF(COUNT(J696:L696)=0,"",MEDIAN(J696:L696))</f>
        <v/>
      </c>
      <c r="N696" s="26">
        <f>IF(COUNTIFS($C:$C,$C696,$D:$D,$D696,$E:$E,"P0(전)",$M:$M,"&gt;0")&lt;&gt;1,"P0(전) 유효 1개 아님",IF(COUNTIFS($C:$C,$C696,$D:$D,$D696,$E:$E,"P0(후)",$M:$M,"&gt;0")&lt;&gt;1,"P0(후) 유효 1개 아님",IF(NOT(AND(ISNUMBER(O696),ISNUMBER(Q696),ISNUMBER(I696))),"시각 결측",IF(Q696&lt;=O696,"P0 시각 역전",IF(OR(I696&lt;O696,I696&gt;Q696),"측정시각 구간 밖","OK")))))</f>
        <v/>
      </c>
      <c r="O696" s="48">
        <f>IF(COUNTIFS($C:$C,$C696,$D:$D,$D696,$E:$E,"P0(전)",$M:$M,"&gt;0")&lt;&gt;1,"",SUMIFS($I:$I,$C:$C,$C696,$D:$D,$D696,$E:$E,"P0(전)"))</f>
        <v/>
      </c>
      <c r="P696" s="31">
        <f>IF(COUNTIFS($C:$C,$C696,$D:$D,$D696,$E:$E,"P0(전)",$M:$M,"&gt;0")&lt;&gt;1,"",SUMIFS($M:$M,$C:$C,$C696,$D:$D,$D696,$E:$E,"P0(전)"))</f>
        <v/>
      </c>
      <c r="Q696" s="48">
        <f>IF(COUNTIFS($C:$C,$C696,$D:$D,$D696,$E:$E,"P0(후)",$M:$M,"&gt;0")&lt;&gt;1,"",SUMIFS($I:$I,$C:$C,$C696,$D:$D,$D696,$E:$E,"P0(후)"))</f>
        <v/>
      </c>
      <c r="R696" s="31">
        <f>IF(COUNTIFS($C:$C,$C696,$D:$D,$D696,$E:$E,"P0(후)",$M:$M,"&gt;0")&lt;&gt;1,"",SUMIFS($M:$M,$C:$C,$C696,$D:$D,$D696,$E:$E,"P0(후)"))</f>
        <v/>
      </c>
      <c r="S696" s="31">
        <f>IF(N696&lt;&gt;"OK","",P696+(R696-P696)*(I696-O696)/(Q696-O696))</f>
        <v/>
      </c>
      <c r="T696" s="31">
        <f>IF(OR(N696&lt;&gt;"OK",NOT(ISNUMBER(M696))),"",M696-S696)</f>
        <v/>
      </c>
      <c r="U696" s="49">
        <f>IF(OR(NOT(ISNUMBER(T696)),IF(ISNUMBER(H696),H696,G696)=0),"",T696/IF(ISNUMBER(H696),H696,G696))</f>
        <v/>
      </c>
      <c r="V696" s="49">
        <f>IF(ISNUMBER(U696),ABS(U696),"")</f>
        <v/>
      </c>
      <c r="W696" s="49">
        <f>IF(OR($E695&lt;&gt;"측정",$C695&lt;&gt;$C696,$D695&lt;&gt;$D696,NOT(ISNUMBER(M696)),NOT(ISNUMBER(M695)),(IF(ISNUMBER(H696),H696,G696)-IF(ISNUMBER(H695),H695,G695))=0),"",(M696-M695)/(IF(ISNUMBER(H696),H696,G696)-IF(ISNUMBER(H695),H695,G695)))</f>
        <v/>
      </c>
      <c r="X696" s="31">
        <f>IF(NOT(AND(ISNUMBER(O696),ISNUMBER(Q696))),"",(Q696-O696)*1440)</f>
        <v/>
      </c>
      <c r="Y696" s="29" t="n"/>
      <c r="Z696" s="29" t="n"/>
      <c r="AA696" s="29" t="n"/>
      <c r="AB696" s="32" t="n"/>
      <c r="AC696" s="32" t="n"/>
    </row>
    <row r="697">
      <c r="A697" s="26" t="inlineStr">
        <is>
          <t>S14</t>
        </is>
      </c>
      <c r="B697" s="26" t="inlineStr">
        <is>
          <t>청송 신규점1</t>
        </is>
      </c>
      <c r="C697" s="26" t="inlineStr">
        <is>
          <t>S14-H서</t>
        </is>
      </c>
      <c r="D697" s="47" t="n">
        <v>1</v>
      </c>
      <c r="E697" s="26" t="inlineStr">
        <is>
          <t>측정</t>
        </is>
      </c>
      <c r="F697" s="26" t="inlineStr">
        <is>
          <t>서</t>
        </is>
      </c>
      <c r="G697" s="31" t="n">
        <v>1</v>
      </c>
      <c r="H697" s="30" t="n"/>
      <c r="I697" s="43" t="n"/>
      <c r="J697" s="41" t="n"/>
      <c r="K697" s="41" t="n"/>
      <c r="L697" s="41" t="n"/>
      <c r="M697" s="31">
        <f>IF(COUNT(J697:L697)=0,"",MEDIAN(J697:L697))</f>
        <v/>
      </c>
      <c r="N697" s="26">
        <f>IF(COUNTIFS($C:$C,$C697,$D:$D,$D697,$E:$E,"P0(전)",$M:$M,"&gt;0")&lt;&gt;1,"P0(전) 유효 1개 아님",IF(COUNTIFS($C:$C,$C697,$D:$D,$D697,$E:$E,"P0(후)",$M:$M,"&gt;0")&lt;&gt;1,"P0(후) 유효 1개 아님",IF(NOT(AND(ISNUMBER(O697),ISNUMBER(Q697),ISNUMBER(I697))),"시각 결측",IF(Q697&lt;=O697,"P0 시각 역전",IF(OR(I697&lt;O697,I697&gt;Q697),"측정시각 구간 밖","OK")))))</f>
        <v/>
      </c>
      <c r="O697" s="48">
        <f>IF(COUNTIFS($C:$C,$C697,$D:$D,$D697,$E:$E,"P0(전)",$M:$M,"&gt;0")&lt;&gt;1,"",SUMIFS($I:$I,$C:$C,$C697,$D:$D,$D697,$E:$E,"P0(전)"))</f>
        <v/>
      </c>
      <c r="P697" s="31">
        <f>IF(COUNTIFS($C:$C,$C697,$D:$D,$D697,$E:$E,"P0(전)",$M:$M,"&gt;0")&lt;&gt;1,"",SUMIFS($M:$M,$C:$C,$C697,$D:$D,$D697,$E:$E,"P0(전)"))</f>
        <v/>
      </c>
      <c r="Q697" s="48">
        <f>IF(COUNTIFS($C:$C,$C697,$D:$D,$D697,$E:$E,"P0(후)",$M:$M,"&gt;0")&lt;&gt;1,"",SUMIFS($I:$I,$C:$C,$C697,$D:$D,$D697,$E:$E,"P0(후)"))</f>
        <v/>
      </c>
      <c r="R697" s="31">
        <f>IF(COUNTIFS($C:$C,$C697,$D:$D,$D697,$E:$E,"P0(후)",$M:$M,"&gt;0")&lt;&gt;1,"",SUMIFS($M:$M,$C:$C,$C697,$D:$D,$D697,$E:$E,"P0(후)"))</f>
        <v/>
      </c>
      <c r="S697" s="31">
        <f>IF(N697&lt;&gt;"OK","",P697+(R697-P697)*(I697-O697)/(Q697-O697))</f>
        <v/>
      </c>
      <c r="T697" s="31">
        <f>IF(OR(N697&lt;&gt;"OK",NOT(ISNUMBER(M697))),"",M697-S697)</f>
        <v/>
      </c>
      <c r="U697" s="49">
        <f>IF(OR(NOT(ISNUMBER(T697)),IF(ISNUMBER(H697),H697,G697)=0),"",T697/IF(ISNUMBER(H697),H697,G697))</f>
        <v/>
      </c>
      <c r="V697" s="49">
        <f>IF(ISNUMBER(U697),ABS(U697),"")</f>
        <v/>
      </c>
      <c r="W697" s="49">
        <f>IF(OR($E696&lt;&gt;"측정",$C696&lt;&gt;$C697,$D696&lt;&gt;$D697,NOT(ISNUMBER(M697)),NOT(ISNUMBER(M696)),(IF(ISNUMBER(H697),H697,G697)-IF(ISNUMBER(H696),H696,G696))=0),"",(M697-M696)/(IF(ISNUMBER(H697),H697,G697)-IF(ISNUMBER(H696),H696,G696)))</f>
        <v/>
      </c>
      <c r="X697" s="31">
        <f>IF(NOT(AND(ISNUMBER(O697),ISNUMBER(Q697))),"",(Q697-O697)*1440)</f>
        <v/>
      </c>
      <c r="Y697" s="29" t="n"/>
      <c r="Z697" s="29" t="n"/>
      <c r="AA697" s="29" t="n"/>
      <c r="AB697" s="32" t="n"/>
      <c r="AC697" s="32" t="n"/>
    </row>
    <row r="698">
      <c r="A698" s="26" t="inlineStr">
        <is>
          <t>S14</t>
        </is>
      </c>
      <c r="B698" s="26" t="inlineStr">
        <is>
          <t>청송 신규점1</t>
        </is>
      </c>
      <c r="C698" s="26" t="inlineStr">
        <is>
          <t>S14-H서</t>
        </is>
      </c>
      <c r="D698" s="47" t="n">
        <v>1</v>
      </c>
      <c r="E698" s="26" t="inlineStr">
        <is>
          <t>측정</t>
        </is>
      </c>
      <c r="F698" s="26" t="inlineStr">
        <is>
          <t>서</t>
        </is>
      </c>
      <c r="G698" s="31" t="n">
        <v>2</v>
      </c>
      <c r="H698" s="30" t="n"/>
      <c r="I698" s="43" t="n"/>
      <c r="J698" s="41" t="n"/>
      <c r="K698" s="41" t="n"/>
      <c r="L698" s="41" t="n"/>
      <c r="M698" s="31">
        <f>IF(COUNT(J698:L698)=0,"",MEDIAN(J698:L698))</f>
        <v/>
      </c>
      <c r="N698" s="26">
        <f>IF(COUNTIFS($C:$C,$C698,$D:$D,$D698,$E:$E,"P0(전)",$M:$M,"&gt;0")&lt;&gt;1,"P0(전) 유효 1개 아님",IF(COUNTIFS($C:$C,$C698,$D:$D,$D698,$E:$E,"P0(후)",$M:$M,"&gt;0")&lt;&gt;1,"P0(후) 유효 1개 아님",IF(NOT(AND(ISNUMBER(O698),ISNUMBER(Q698),ISNUMBER(I698))),"시각 결측",IF(Q698&lt;=O698,"P0 시각 역전",IF(OR(I698&lt;O698,I698&gt;Q698),"측정시각 구간 밖","OK")))))</f>
        <v/>
      </c>
      <c r="O698" s="48">
        <f>IF(COUNTIFS($C:$C,$C698,$D:$D,$D698,$E:$E,"P0(전)",$M:$M,"&gt;0")&lt;&gt;1,"",SUMIFS($I:$I,$C:$C,$C698,$D:$D,$D698,$E:$E,"P0(전)"))</f>
        <v/>
      </c>
      <c r="P698" s="31">
        <f>IF(COUNTIFS($C:$C,$C698,$D:$D,$D698,$E:$E,"P0(전)",$M:$M,"&gt;0")&lt;&gt;1,"",SUMIFS($M:$M,$C:$C,$C698,$D:$D,$D698,$E:$E,"P0(전)"))</f>
        <v/>
      </c>
      <c r="Q698" s="48">
        <f>IF(COUNTIFS($C:$C,$C698,$D:$D,$D698,$E:$E,"P0(후)",$M:$M,"&gt;0")&lt;&gt;1,"",SUMIFS($I:$I,$C:$C,$C698,$D:$D,$D698,$E:$E,"P0(후)"))</f>
        <v/>
      </c>
      <c r="R698" s="31">
        <f>IF(COUNTIFS($C:$C,$C698,$D:$D,$D698,$E:$E,"P0(후)",$M:$M,"&gt;0")&lt;&gt;1,"",SUMIFS($M:$M,$C:$C,$C698,$D:$D,$D698,$E:$E,"P0(후)"))</f>
        <v/>
      </c>
      <c r="S698" s="31">
        <f>IF(N698&lt;&gt;"OK","",P698+(R698-P698)*(I698-O698)/(Q698-O698))</f>
        <v/>
      </c>
      <c r="T698" s="31">
        <f>IF(OR(N698&lt;&gt;"OK",NOT(ISNUMBER(M698))),"",M698-S698)</f>
        <v/>
      </c>
      <c r="U698" s="49">
        <f>IF(OR(NOT(ISNUMBER(T698)),IF(ISNUMBER(H698),H698,G698)=0),"",T698/IF(ISNUMBER(H698),H698,G698))</f>
        <v/>
      </c>
      <c r="V698" s="49">
        <f>IF(ISNUMBER(U698),ABS(U698),"")</f>
        <v/>
      </c>
      <c r="W698" s="49">
        <f>IF(OR($E697&lt;&gt;"측정",$C697&lt;&gt;$C698,$D697&lt;&gt;$D698,NOT(ISNUMBER(M698)),NOT(ISNUMBER(M697)),(IF(ISNUMBER(H698),H698,G698)-IF(ISNUMBER(H697),H697,G697))=0),"",(M698-M697)/(IF(ISNUMBER(H698),H698,G698)-IF(ISNUMBER(H697),H697,G697)))</f>
        <v/>
      </c>
      <c r="X698" s="31">
        <f>IF(NOT(AND(ISNUMBER(O698),ISNUMBER(Q698))),"",(Q698-O698)*1440)</f>
        <v/>
      </c>
      <c r="Y698" s="29" t="n"/>
      <c r="Z698" s="29" t="n"/>
      <c r="AA698" s="29" t="n"/>
      <c r="AB698" s="32" t="n"/>
      <c r="AC698" s="32" t="n"/>
    </row>
    <row r="699">
      <c r="A699" s="26" t="inlineStr">
        <is>
          <t>S14</t>
        </is>
      </c>
      <c r="B699" s="26" t="inlineStr">
        <is>
          <t>청송 신규점1</t>
        </is>
      </c>
      <c r="C699" s="26" t="inlineStr">
        <is>
          <t>S14-H서</t>
        </is>
      </c>
      <c r="D699" s="47" t="n">
        <v>1</v>
      </c>
      <c r="E699" s="26" t="inlineStr">
        <is>
          <t>측정</t>
        </is>
      </c>
      <c r="F699" s="26" t="inlineStr">
        <is>
          <t>서</t>
        </is>
      </c>
      <c r="G699" s="31" t="n">
        <v>3</v>
      </c>
      <c r="H699" s="30" t="n"/>
      <c r="I699" s="43" t="n"/>
      <c r="J699" s="41" t="n"/>
      <c r="K699" s="41" t="n"/>
      <c r="L699" s="41" t="n"/>
      <c r="M699" s="31">
        <f>IF(COUNT(J699:L699)=0,"",MEDIAN(J699:L699))</f>
        <v/>
      </c>
      <c r="N699" s="26">
        <f>IF(COUNTIFS($C:$C,$C699,$D:$D,$D699,$E:$E,"P0(전)",$M:$M,"&gt;0")&lt;&gt;1,"P0(전) 유효 1개 아님",IF(COUNTIFS($C:$C,$C699,$D:$D,$D699,$E:$E,"P0(후)",$M:$M,"&gt;0")&lt;&gt;1,"P0(후) 유효 1개 아님",IF(NOT(AND(ISNUMBER(O699),ISNUMBER(Q699),ISNUMBER(I699))),"시각 결측",IF(Q699&lt;=O699,"P0 시각 역전",IF(OR(I699&lt;O699,I699&gt;Q699),"측정시각 구간 밖","OK")))))</f>
        <v/>
      </c>
      <c r="O699" s="48">
        <f>IF(COUNTIFS($C:$C,$C699,$D:$D,$D699,$E:$E,"P0(전)",$M:$M,"&gt;0")&lt;&gt;1,"",SUMIFS($I:$I,$C:$C,$C699,$D:$D,$D699,$E:$E,"P0(전)"))</f>
        <v/>
      </c>
      <c r="P699" s="31">
        <f>IF(COUNTIFS($C:$C,$C699,$D:$D,$D699,$E:$E,"P0(전)",$M:$M,"&gt;0")&lt;&gt;1,"",SUMIFS($M:$M,$C:$C,$C699,$D:$D,$D699,$E:$E,"P0(전)"))</f>
        <v/>
      </c>
      <c r="Q699" s="48">
        <f>IF(COUNTIFS($C:$C,$C699,$D:$D,$D699,$E:$E,"P0(후)",$M:$M,"&gt;0")&lt;&gt;1,"",SUMIFS($I:$I,$C:$C,$C699,$D:$D,$D699,$E:$E,"P0(후)"))</f>
        <v/>
      </c>
      <c r="R699" s="31">
        <f>IF(COUNTIFS($C:$C,$C699,$D:$D,$D699,$E:$E,"P0(후)",$M:$M,"&gt;0")&lt;&gt;1,"",SUMIFS($M:$M,$C:$C,$C699,$D:$D,$D699,$E:$E,"P0(후)"))</f>
        <v/>
      </c>
      <c r="S699" s="31">
        <f>IF(N699&lt;&gt;"OK","",P699+(R699-P699)*(I699-O699)/(Q699-O699))</f>
        <v/>
      </c>
      <c r="T699" s="31">
        <f>IF(OR(N699&lt;&gt;"OK",NOT(ISNUMBER(M699))),"",M699-S699)</f>
        <v/>
      </c>
      <c r="U699" s="49">
        <f>IF(OR(NOT(ISNUMBER(T699)),IF(ISNUMBER(H699),H699,G699)=0),"",T699/IF(ISNUMBER(H699),H699,G699))</f>
        <v/>
      </c>
      <c r="V699" s="49">
        <f>IF(ISNUMBER(U699),ABS(U699),"")</f>
        <v/>
      </c>
      <c r="W699" s="49">
        <f>IF(OR($E698&lt;&gt;"측정",$C698&lt;&gt;$C699,$D698&lt;&gt;$D699,NOT(ISNUMBER(M699)),NOT(ISNUMBER(M698)),(IF(ISNUMBER(H699),H699,G699)-IF(ISNUMBER(H698),H698,G698))=0),"",(M699-M698)/(IF(ISNUMBER(H699),H699,G699)-IF(ISNUMBER(H698),H698,G698)))</f>
        <v/>
      </c>
      <c r="X699" s="31">
        <f>IF(NOT(AND(ISNUMBER(O699),ISNUMBER(Q699))),"",(Q699-O699)*1440)</f>
        <v/>
      </c>
      <c r="Y699" s="29" t="n"/>
      <c r="Z699" s="29" t="n"/>
      <c r="AA699" s="29" t="n"/>
      <c r="AB699" s="32" t="n"/>
      <c r="AC699" s="32" t="n"/>
    </row>
    <row r="700">
      <c r="A700" s="26" t="inlineStr">
        <is>
          <t>S14</t>
        </is>
      </c>
      <c r="B700" s="26" t="inlineStr">
        <is>
          <t>청송 신규점1</t>
        </is>
      </c>
      <c r="C700" s="26" t="inlineStr">
        <is>
          <t>S14-H서</t>
        </is>
      </c>
      <c r="D700" s="47" t="n">
        <v>1</v>
      </c>
      <c r="E700" s="26" t="inlineStr">
        <is>
          <t>측정</t>
        </is>
      </c>
      <c r="F700" s="26" t="inlineStr">
        <is>
          <t>서</t>
        </is>
      </c>
      <c r="G700" s="31" t="n">
        <v>4</v>
      </c>
      <c r="H700" s="30" t="n"/>
      <c r="I700" s="43" t="n"/>
      <c r="J700" s="41" t="n"/>
      <c r="K700" s="41" t="n"/>
      <c r="L700" s="41" t="n"/>
      <c r="M700" s="31">
        <f>IF(COUNT(J700:L700)=0,"",MEDIAN(J700:L700))</f>
        <v/>
      </c>
      <c r="N700" s="26">
        <f>IF(COUNTIFS($C:$C,$C700,$D:$D,$D700,$E:$E,"P0(전)",$M:$M,"&gt;0")&lt;&gt;1,"P0(전) 유효 1개 아님",IF(COUNTIFS($C:$C,$C700,$D:$D,$D700,$E:$E,"P0(후)",$M:$M,"&gt;0")&lt;&gt;1,"P0(후) 유효 1개 아님",IF(NOT(AND(ISNUMBER(O700),ISNUMBER(Q700),ISNUMBER(I700))),"시각 결측",IF(Q700&lt;=O700,"P0 시각 역전",IF(OR(I700&lt;O700,I700&gt;Q700),"측정시각 구간 밖","OK")))))</f>
        <v/>
      </c>
      <c r="O700" s="48">
        <f>IF(COUNTIFS($C:$C,$C700,$D:$D,$D700,$E:$E,"P0(전)",$M:$M,"&gt;0")&lt;&gt;1,"",SUMIFS($I:$I,$C:$C,$C700,$D:$D,$D700,$E:$E,"P0(전)"))</f>
        <v/>
      </c>
      <c r="P700" s="31">
        <f>IF(COUNTIFS($C:$C,$C700,$D:$D,$D700,$E:$E,"P0(전)",$M:$M,"&gt;0")&lt;&gt;1,"",SUMIFS($M:$M,$C:$C,$C700,$D:$D,$D700,$E:$E,"P0(전)"))</f>
        <v/>
      </c>
      <c r="Q700" s="48">
        <f>IF(COUNTIFS($C:$C,$C700,$D:$D,$D700,$E:$E,"P0(후)",$M:$M,"&gt;0")&lt;&gt;1,"",SUMIFS($I:$I,$C:$C,$C700,$D:$D,$D700,$E:$E,"P0(후)"))</f>
        <v/>
      </c>
      <c r="R700" s="31">
        <f>IF(COUNTIFS($C:$C,$C700,$D:$D,$D700,$E:$E,"P0(후)",$M:$M,"&gt;0")&lt;&gt;1,"",SUMIFS($M:$M,$C:$C,$C700,$D:$D,$D700,$E:$E,"P0(후)"))</f>
        <v/>
      </c>
      <c r="S700" s="31">
        <f>IF(N700&lt;&gt;"OK","",P700+(R700-P700)*(I700-O700)/(Q700-O700))</f>
        <v/>
      </c>
      <c r="T700" s="31">
        <f>IF(OR(N700&lt;&gt;"OK",NOT(ISNUMBER(M700))),"",M700-S700)</f>
        <v/>
      </c>
      <c r="U700" s="49">
        <f>IF(OR(NOT(ISNUMBER(T700)),IF(ISNUMBER(H700),H700,G700)=0),"",T700/IF(ISNUMBER(H700),H700,G700))</f>
        <v/>
      </c>
      <c r="V700" s="49">
        <f>IF(ISNUMBER(U700),ABS(U700),"")</f>
        <v/>
      </c>
      <c r="W700" s="49">
        <f>IF(OR($E699&lt;&gt;"측정",$C699&lt;&gt;$C700,$D699&lt;&gt;$D700,NOT(ISNUMBER(M700)),NOT(ISNUMBER(M699)),(IF(ISNUMBER(H700),H700,G700)-IF(ISNUMBER(H699),H699,G699))=0),"",(M700-M699)/(IF(ISNUMBER(H700),H700,G700)-IF(ISNUMBER(H699),H699,G699)))</f>
        <v/>
      </c>
      <c r="X700" s="31">
        <f>IF(NOT(AND(ISNUMBER(O700),ISNUMBER(Q700))),"",(Q700-O700)*1440)</f>
        <v/>
      </c>
      <c r="Y700" s="29" t="n"/>
      <c r="Z700" s="29" t="n"/>
      <c r="AA700" s="29" t="n"/>
      <c r="AB700" s="32" t="n"/>
      <c r="AC700" s="32" t="n"/>
    </row>
    <row r="701">
      <c r="A701" s="26" t="inlineStr">
        <is>
          <t>S14</t>
        </is>
      </c>
      <c r="B701" s="26" t="inlineStr">
        <is>
          <t>청송 신규점1</t>
        </is>
      </c>
      <c r="C701" s="26" t="inlineStr">
        <is>
          <t>S14-H서</t>
        </is>
      </c>
      <c r="D701" s="47" t="n">
        <v>1</v>
      </c>
      <c r="E701" s="26" t="inlineStr">
        <is>
          <t>측정</t>
        </is>
      </c>
      <c r="F701" s="26" t="inlineStr">
        <is>
          <t>서</t>
        </is>
      </c>
      <c r="G701" s="31" t="n">
        <v>5</v>
      </c>
      <c r="H701" s="30" t="n"/>
      <c r="I701" s="43" t="n"/>
      <c r="J701" s="41" t="n"/>
      <c r="K701" s="41" t="n"/>
      <c r="L701" s="41" t="n"/>
      <c r="M701" s="31">
        <f>IF(COUNT(J701:L701)=0,"",MEDIAN(J701:L701))</f>
        <v/>
      </c>
      <c r="N701" s="26">
        <f>IF(COUNTIFS($C:$C,$C701,$D:$D,$D701,$E:$E,"P0(전)",$M:$M,"&gt;0")&lt;&gt;1,"P0(전) 유효 1개 아님",IF(COUNTIFS($C:$C,$C701,$D:$D,$D701,$E:$E,"P0(후)",$M:$M,"&gt;0")&lt;&gt;1,"P0(후) 유효 1개 아님",IF(NOT(AND(ISNUMBER(O701),ISNUMBER(Q701),ISNUMBER(I701))),"시각 결측",IF(Q701&lt;=O701,"P0 시각 역전",IF(OR(I701&lt;O701,I701&gt;Q701),"측정시각 구간 밖","OK")))))</f>
        <v/>
      </c>
      <c r="O701" s="48">
        <f>IF(COUNTIFS($C:$C,$C701,$D:$D,$D701,$E:$E,"P0(전)",$M:$M,"&gt;0")&lt;&gt;1,"",SUMIFS($I:$I,$C:$C,$C701,$D:$D,$D701,$E:$E,"P0(전)"))</f>
        <v/>
      </c>
      <c r="P701" s="31">
        <f>IF(COUNTIFS($C:$C,$C701,$D:$D,$D701,$E:$E,"P0(전)",$M:$M,"&gt;0")&lt;&gt;1,"",SUMIFS($M:$M,$C:$C,$C701,$D:$D,$D701,$E:$E,"P0(전)"))</f>
        <v/>
      </c>
      <c r="Q701" s="48">
        <f>IF(COUNTIFS($C:$C,$C701,$D:$D,$D701,$E:$E,"P0(후)",$M:$M,"&gt;0")&lt;&gt;1,"",SUMIFS($I:$I,$C:$C,$C701,$D:$D,$D701,$E:$E,"P0(후)"))</f>
        <v/>
      </c>
      <c r="R701" s="31">
        <f>IF(COUNTIFS($C:$C,$C701,$D:$D,$D701,$E:$E,"P0(후)",$M:$M,"&gt;0")&lt;&gt;1,"",SUMIFS($M:$M,$C:$C,$C701,$D:$D,$D701,$E:$E,"P0(후)"))</f>
        <v/>
      </c>
      <c r="S701" s="31">
        <f>IF(N701&lt;&gt;"OK","",P701+(R701-P701)*(I701-O701)/(Q701-O701))</f>
        <v/>
      </c>
      <c r="T701" s="31">
        <f>IF(OR(N701&lt;&gt;"OK",NOT(ISNUMBER(M701))),"",M701-S701)</f>
        <v/>
      </c>
      <c r="U701" s="49">
        <f>IF(OR(NOT(ISNUMBER(T701)),IF(ISNUMBER(H701),H701,G701)=0),"",T701/IF(ISNUMBER(H701),H701,G701))</f>
        <v/>
      </c>
      <c r="V701" s="49">
        <f>IF(ISNUMBER(U701),ABS(U701),"")</f>
        <v/>
      </c>
      <c r="W701" s="49">
        <f>IF(OR($E700&lt;&gt;"측정",$C700&lt;&gt;$C701,$D700&lt;&gt;$D701,NOT(ISNUMBER(M701)),NOT(ISNUMBER(M700)),(IF(ISNUMBER(H701),H701,G701)-IF(ISNUMBER(H700),H700,G700))=0),"",(M701-M700)/(IF(ISNUMBER(H701),H701,G701)-IF(ISNUMBER(H700),H700,G700)))</f>
        <v/>
      </c>
      <c r="X701" s="31">
        <f>IF(NOT(AND(ISNUMBER(O701),ISNUMBER(Q701))),"",(Q701-O701)*1440)</f>
        <v/>
      </c>
      <c r="Y701" s="29" t="n"/>
      <c r="Z701" s="29" t="n"/>
      <c r="AA701" s="29" t="n"/>
      <c r="AB701" s="32" t="n"/>
      <c r="AC701" s="32" t="n"/>
    </row>
    <row r="702">
      <c r="A702" s="26" t="inlineStr">
        <is>
          <t>S14</t>
        </is>
      </c>
      <c r="B702" s="26" t="inlineStr">
        <is>
          <t>청송 신규점1</t>
        </is>
      </c>
      <c r="C702" s="26" t="inlineStr">
        <is>
          <t>S14-H서</t>
        </is>
      </c>
      <c r="D702" s="47" t="n">
        <v>1</v>
      </c>
      <c r="E702" s="26" t="inlineStr">
        <is>
          <t>측정</t>
        </is>
      </c>
      <c r="F702" s="26" t="inlineStr">
        <is>
          <t>서</t>
        </is>
      </c>
      <c r="G702" s="31" t="n">
        <v>6</v>
      </c>
      <c r="H702" s="30" t="n"/>
      <c r="I702" s="43" t="n"/>
      <c r="J702" s="41" t="n"/>
      <c r="K702" s="41" t="n"/>
      <c r="L702" s="41" t="n"/>
      <c r="M702" s="31">
        <f>IF(COUNT(J702:L702)=0,"",MEDIAN(J702:L702))</f>
        <v/>
      </c>
      <c r="N702" s="26">
        <f>IF(COUNTIFS($C:$C,$C702,$D:$D,$D702,$E:$E,"P0(전)",$M:$M,"&gt;0")&lt;&gt;1,"P0(전) 유효 1개 아님",IF(COUNTIFS($C:$C,$C702,$D:$D,$D702,$E:$E,"P0(후)",$M:$M,"&gt;0")&lt;&gt;1,"P0(후) 유효 1개 아님",IF(NOT(AND(ISNUMBER(O702),ISNUMBER(Q702),ISNUMBER(I702))),"시각 결측",IF(Q702&lt;=O702,"P0 시각 역전",IF(OR(I702&lt;O702,I702&gt;Q702),"측정시각 구간 밖","OK")))))</f>
        <v/>
      </c>
      <c r="O702" s="48">
        <f>IF(COUNTIFS($C:$C,$C702,$D:$D,$D702,$E:$E,"P0(전)",$M:$M,"&gt;0")&lt;&gt;1,"",SUMIFS($I:$I,$C:$C,$C702,$D:$D,$D702,$E:$E,"P0(전)"))</f>
        <v/>
      </c>
      <c r="P702" s="31">
        <f>IF(COUNTIFS($C:$C,$C702,$D:$D,$D702,$E:$E,"P0(전)",$M:$M,"&gt;0")&lt;&gt;1,"",SUMIFS($M:$M,$C:$C,$C702,$D:$D,$D702,$E:$E,"P0(전)"))</f>
        <v/>
      </c>
      <c r="Q702" s="48">
        <f>IF(COUNTIFS($C:$C,$C702,$D:$D,$D702,$E:$E,"P0(후)",$M:$M,"&gt;0")&lt;&gt;1,"",SUMIFS($I:$I,$C:$C,$C702,$D:$D,$D702,$E:$E,"P0(후)"))</f>
        <v/>
      </c>
      <c r="R702" s="31">
        <f>IF(COUNTIFS($C:$C,$C702,$D:$D,$D702,$E:$E,"P0(후)",$M:$M,"&gt;0")&lt;&gt;1,"",SUMIFS($M:$M,$C:$C,$C702,$D:$D,$D702,$E:$E,"P0(후)"))</f>
        <v/>
      </c>
      <c r="S702" s="31">
        <f>IF(N702&lt;&gt;"OK","",P702+(R702-P702)*(I702-O702)/(Q702-O702))</f>
        <v/>
      </c>
      <c r="T702" s="31">
        <f>IF(OR(N702&lt;&gt;"OK",NOT(ISNUMBER(M702))),"",M702-S702)</f>
        <v/>
      </c>
      <c r="U702" s="49">
        <f>IF(OR(NOT(ISNUMBER(T702)),IF(ISNUMBER(H702),H702,G702)=0),"",T702/IF(ISNUMBER(H702),H702,G702))</f>
        <v/>
      </c>
      <c r="V702" s="49">
        <f>IF(ISNUMBER(U702),ABS(U702),"")</f>
        <v/>
      </c>
      <c r="W702" s="49">
        <f>IF(OR($E701&lt;&gt;"측정",$C701&lt;&gt;$C702,$D701&lt;&gt;$D702,NOT(ISNUMBER(M702)),NOT(ISNUMBER(M701)),(IF(ISNUMBER(H702),H702,G702)-IF(ISNUMBER(H701),H701,G701))=0),"",(M702-M701)/(IF(ISNUMBER(H702),H702,G702)-IF(ISNUMBER(H701),H701,G701)))</f>
        <v/>
      </c>
      <c r="X702" s="31">
        <f>IF(NOT(AND(ISNUMBER(O702),ISNUMBER(Q702))),"",(Q702-O702)*1440)</f>
        <v/>
      </c>
      <c r="Y702" s="29" t="n"/>
      <c r="Z702" s="29" t="n"/>
      <c r="AA702" s="29" t="n"/>
      <c r="AB702" s="32" t="n"/>
      <c r="AC702" s="32" t="n"/>
    </row>
    <row r="703">
      <c r="A703" s="26" t="inlineStr">
        <is>
          <t>S14</t>
        </is>
      </c>
      <c r="B703" s="26" t="inlineStr">
        <is>
          <t>청송 신규점1</t>
        </is>
      </c>
      <c r="C703" s="26" t="inlineStr">
        <is>
          <t>S14-H서</t>
        </is>
      </c>
      <c r="D703" s="47" t="n">
        <v>1</v>
      </c>
      <c r="E703" s="26" t="inlineStr">
        <is>
          <t>측정</t>
        </is>
      </c>
      <c r="F703" s="26" t="inlineStr">
        <is>
          <t>서</t>
        </is>
      </c>
      <c r="G703" s="31" t="n">
        <v>7</v>
      </c>
      <c r="H703" s="30" t="n"/>
      <c r="I703" s="43" t="n"/>
      <c r="J703" s="41" t="n"/>
      <c r="K703" s="41" t="n"/>
      <c r="L703" s="41" t="n"/>
      <c r="M703" s="31">
        <f>IF(COUNT(J703:L703)=0,"",MEDIAN(J703:L703))</f>
        <v/>
      </c>
      <c r="N703" s="26">
        <f>IF(COUNTIFS($C:$C,$C703,$D:$D,$D703,$E:$E,"P0(전)",$M:$M,"&gt;0")&lt;&gt;1,"P0(전) 유효 1개 아님",IF(COUNTIFS($C:$C,$C703,$D:$D,$D703,$E:$E,"P0(후)",$M:$M,"&gt;0")&lt;&gt;1,"P0(후) 유효 1개 아님",IF(NOT(AND(ISNUMBER(O703),ISNUMBER(Q703),ISNUMBER(I703))),"시각 결측",IF(Q703&lt;=O703,"P0 시각 역전",IF(OR(I703&lt;O703,I703&gt;Q703),"측정시각 구간 밖","OK")))))</f>
        <v/>
      </c>
      <c r="O703" s="48">
        <f>IF(COUNTIFS($C:$C,$C703,$D:$D,$D703,$E:$E,"P0(전)",$M:$M,"&gt;0")&lt;&gt;1,"",SUMIFS($I:$I,$C:$C,$C703,$D:$D,$D703,$E:$E,"P0(전)"))</f>
        <v/>
      </c>
      <c r="P703" s="31">
        <f>IF(COUNTIFS($C:$C,$C703,$D:$D,$D703,$E:$E,"P0(전)",$M:$M,"&gt;0")&lt;&gt;1,"",SUMIFS($M:$M,$C:$C,$C703,$D:$D,$D703,$E:$E,"P0(전)"))</f>
        <v/>
      </c>
      <c r="Q703" s="48">
        <f>IF(COUNTIFS($C:$C,$C703,$D:$D,$D703,$E:$E,"P0(후)",$M:$M,"&gt;0")&lt;&gt;1,"",SUMIFS($I:$I,$C:$C,$C703,$D:$D,$D703,$E:$E,"P0(후)"))</f>
        <v/>
      </c>
      <c r="R703" s="31">
        <f>IF(COUNTIFS($C:$C,$C703,$D:$D,$D703,$E:$E,"P0(후)",$M:$M,"&gt;0")&lt;&gt;1,"",SUMIFS($M:$M,$C:$C,$C703,$D:$D,$D703,$E:$E,"P0(후)"))</f>
        <v/>
      </c>
      <c r="S703" s="31">
        <f>IF(N703&lt;&gt;"OK","",P703+(R703-P703)*(I703-O703)/(Q703-O703))</f>
        <v/>
      </c>
      <c r="T703" s="31">
        <f>IF(OR(N703&lt;&gt;"OK",NOT(ISNUMBER(M703))),"",M703-S703)</f>
        <v/>
      </c>
      <c r="U703" s="49">
        <f>IF(OR(NOT(ISNUMBER(T703)),IF(ISNUMBER(H703),H703,G703)=0),"",T703/IF(ISNUMBER(H703),H703,G703))</f>
        <v/>
      </c>
      <c r="V703" s="49">
        <f>IF(ISNUMBER(U703),ABS(U703),"")</f>
        <v/>
      </c>
      <c r="W703" s="49">
        <f>IF(OR($E702&lt;&gt;"측정",$C702&lt;&gt;$C703,$D702&lt;&gt;$D703,NOT(ISNUMBER(M703)),NOT(ISNUMBER(M702)),(IF(ISNUMBER(H703),H703,G703)-IF(ISNUMBER(H702),H702,G702))=0),"",(M703-M702)/(IF(ISNUMBER(H703),H703,G703)-IF(ISNUMBER(H702),H702,G702)))</f>
        <v/>
      </c>
      <c r="X703" s="31">
        <f>IF(NOT(AND(ISNUMBER(O703),ISNUMBER(Q703))),"",(Q703-O703)*1440)</f>
        <v/>
      </c>
      <c r="Y703" s="29" t="n"/>
      <c r="Z703" s="29" t="n"/>
      <c r="AA703" s="29" t="n"/>
      <c r="AB703" s="32" t="n"/>
      <c r="AC703" s="32" t="n"/>
    </row>
    <row r="704">
      <c r="A704" s="26" t="inlineStr">
        <is>
          <t>S14</t>
        </is>
      </c>
      <c r="B704" s="26" t="inlineStr">
        <is>
          <t>청송 신규점1</t>
        </is>
      </c>
      <c r="C704" s="26" t="inlineStr">
        <is>
          <t>S14-H서</t>
        </is>
      </c>
      <c r="D704" s="47" t="n">
        <v>1</v>
      </c>
      <c r="E704" s="26" t="inlineStr">
        <is>
          <t>측정</t>
        </is>
      </c>
      <c r="F704" s="26" t="inlineStr">
        <is>
          <t>서</t>
        </is>
      </c>
      <c r="G704" s="31" t="n">
        <v>8</v>
      </c>
      <c r="H704" s="30" t="n"/>
      <c r="I704" s="43" t="n"/>
      <c r="J704" s="41" t="n"/>
      <c r="K704" s="41" t="n"/>
      <c r="L704" s="41" t="n"/>
      <c r="M704" s="31">
        <f>IF(COUNT(J704:L704)=0,"",MEDIAN(J704:L704))</f>
        <v/>
      </c>
      <c r="N704" s="26">
        <f>IF(COUNTIFS($C:$C,$C704,$D:$D,$D704,$E:$E,"P0(전)",$M:$M,"&gt;0")&lt;&gt;1,"P0(전) 유효 1개 아님",IF(COUNTIFS($C:$C,$C704,$D:$D,$D704,$E:$E,"P0(후)",$M:$M,"&gt;0")&lt;&gt;1,"P0(후) 유효 1개 아님",IF(NOT(AND(ISNUMBER(O704),ISNUMBER(Q704),ISNUMBER(I704))),"시각 결측",IF(Q704&lt;=O704,"P0 시각 역전",IF(OR(I704&lt;O704,I704&gt;Q704),"측정시각 구간 밖","OK")))))</f>
        <v/>
      </c>
      <c r="O704" s="48">
        <f>IF(COUNTIFS($C:$C,$C704,$D:$D,$D704,$E:$E,"P0(전)",$M:$M,"&gt;0")&lt;&gt;1,"",SUMIFS($I:$I,$C:$C,$C704,$D:$D,$D704,$E:$E,"P0(전)"))</f>
        <v/>
      </c>
      <c r="P704" s="31">
        <f>IF(COUNTIFS($C:$C,$C704,$D:$D,$D704,$E:$E,"P0(전)",$M:$M,"&gt;0")&lt;&gt;1,"",SUMIFS($M:$M,$C:$C,$C704,$D:$D,$D704,$E:$E,"P0(전)"))</f>
        <v/>
      </c>
      <c r="Q704" s="48">
        <f>IF(COUNTIFS($C:$C,$C704,$D:$D,$D704,$E:$E,"P0(후)",$M:$M,"&gt;0")&lt;&gt;1,"",SUMIFS($I:$I,$C:$C,$C704,$D:$D,$D704,$E:$E,"P0(후)"))</f>
        <v/>
      </c>
      <c r="R704" s="31">
        <f>IF(COUNTIFS($C:$C,$C704,$D:$D,$D704,$E:$E,"P0(후)",$M:$M,"&gt;0")&lt;&gt;1,"",SUMIFS($M:$M,$C:$C,$C704,$D:$D,$D704,$E:$E,"P0(후)"))</f>
        <v/>
      </c>
      <c r="S704" s="31">
        <f>IF(N704&lt;&gt;"OK","",P704+(R704-P704)*(I704-O704)/(Q704-O704))</f>
        <v/>
      </c>
      <c r="T704" s="31">
        <f>IF(OR(N704&lt;&gt;"OK",NOT(ISNUMBER(M704))),"",M704-S704)</f>
        <v/>
      </c>
      <c r="U704" s="49">
        <f>IF(OR(NOT(ISNUMBER(T704)),IF(ISNUMBER(H704),H704,G704)=0),"",T704/IF(ISNUMBER(H704),H704,G704))</f>
        <v/>
      </c>
      <c r="V704" s="49">
        <f>IF(ISNUMBER(U704),ABS(U704),"")</f>
        <v/>
      </c>
      <c r="W704" s="49">
        <f>IF(OR($E703&lt;&gt;"측정",$C703&lt;&gt;$C704,$D703&lt;&gt;$D704,NOT(ISNUMBER(M704)),NOT(ISNUMBER(M703)),(IF(ISNUMBER(H704),H704,G704)-IF(ISNUMBER(H703),H703,G703))=0),"",(M704-M703)/(IF(ISNUMBER(H704),H704,G704)-IF(ISNUMBER(H703),H703,G703)))</f>
        <v/>
      </c>
      <c r="X704" s="31">
        <f>IF(NOT(AND(ISNUMBER(O704),ISNUMBER(Q704))),"",(Q704-O704)*1440)</f>
        <v/>
      </c>
      <c r="Y704" s="29" t="n"/>
      <c r="Z704" s="29" t="n"/>
      <c r="AA704" s="29" t="n"/>
      <c r="AB704" s="32" t="n"/>
      <c r="AC704" s="32" t="n"/>
    </row>
    <row r="705">
      <c r="A705" s="26" t="inlineStr">
        <is>
          <t>S14</t>
        </is>
      </c>
      <c r="B705" s="26" t="inlineStr">
        <is>
          <t>청송 신규점1</t>
        </is>
      </c>
      <c r="C705" s="26" t="inlineStr">
        <is>
          <t>S14-H서</t>
        </is>
      </c>
      <c r="D705" s="47" t="n">
        <v>1</v>
      </c>
      <c r="E705" s="26" t="inlineStr">
        <is>
          <t>측정</t>
        </is>
      </c>
      <c r="F705" s="26" t="inlineStr">
        <is>
          <t>서</t>
        </is>
      </c>
      <c r="G705" s="31" t="n">
        <v>9</v>
      </c>
      <c r="H705" s="30" t="n"/>
      <c r="I705" s="43" t="n"/>
      <c r="J705" s="41" t="n"/>
      <c r="K705" s="41" t="n"/>
      <c r="L705" s="41" t="n"/>
      <c r="M705" s="31">
        <f>IF(COUNT(J705:L705)=0,"",MEDIAN(J705:L705))</f>
        <v/>
      </c>
      <c r="N705" s="26">
        <f>IF(COUNTIFS($C:$C,$C705,$D:$D,$D705,$E:$E,"P0(전)",$M:$M,"&gt;0")&lt;&gt;1,"P0(전) 유효 1개 아님",IF(COUNTIFS($C:$C,$C705,$D:$D,$D705,$E:$E,"P0(후)",$M:$M,"&gt;0")&lt;&gt;1,"P0(후) 유효 1개 아님",IF(NOT(AND(ISNUMBER(O705),ISNUMBER(Q705),ISNUMBER(I705))),"시각 결측",IF(Q705&lt;=O705,"P0 시각 역전",IF(OR(I705&lt;O705,I705&gt;Q705),"측정시각 구간 밖","OK")))))</f>
        <v/>
      </c>
      <c r="O705" s="48">
        <f>IF(COUNTIFS($C:$C,$C705,$D:$D,$D705,$E:$E,"P0(전)",$M:$M,"&gt;0")&lt;&gt;1,"",SUMIFS($I:$I,$C:$C,$C705,$D:$D,$D705,$E:$E,"P0(전)"))</f>
        <v/>
      </c>
      <c r="P705" s="31">
        <f>IF(COUNTIFS($C:$C,$C705,$D:$D,$D705,$E:$E,"P0(전)",$M:$M,"&gt;0")&lt;&gt;1,"",SUMIFS($M:$M,$C:$C,$C705,$D:$D,$D705,$E:$E,"P0(전)"))</f>
        <v/>
      </c>
      <c r="Q705" s="48">
        <f>IF(COUNTIFS($C:$C,$C705,$D:$D,$D705,$E:$E,"P0(후)",$M:$M,"&gt;0")&lt;&gt;1,"",SUMIFS($I:$I,$C:$C,$C705,$D:$D,$D705,$E:$E,"P0(후)"))</f>
        <v/>
      </c>
      <c r="R705" s="31">
        <f>IF(COUNTIFS($C:$C,$C705,$D:$D,$D705,$E:$E,"P0(후)",$M:$M,"&gt;0")&lt;&gt;1,"",SUMIFS($M:$M,$C:$C,$C705,$D:$D,$D705,$E:$E,"P0(후)"))</f>
        <v/>
      </c>
      <c r="S705" s="31">
        <f>IF(N705&lt;&gt;"OK","",P705+(R705-P705)*(I705-O705)/(Q705-O705))</f>
        <v/>
      </c>
      <c r="T705" s="31">
        <f>IF(OR(N705&lt;&gt;"OK",NOT(ISNUMBER(M705))),"",M705-S705)</f>
        <v/>
      </c>
      <c r="U705" s="49">
        <f>IF(OR(NOT(ISNUMBER(T705)),IF(ISNUMBER(H705),H705,G705)=0),"",T705/IF(ISNUMBER(H705),H705,G705))</f>
        <v/>
      </c>
      <c r="V705" s="49">
        <f>IF(ISNUMBER(U705),ABS(U705),"")</f>
        <v/>
      </c>
      <c r="W705" s="49">
        <f>IF(OR($E704&lt;&gt;"측정",$C704&lt;&gt;$C705,$D704&lt;&gt;$D705,NOT(ISNUMBER(M705)),NOT(ISNUMBER(M704)),(IF(ISNUMBER(H705),H705,G705)-IF(ISNUMBER(H704),H704,G704))=0),"",(M705-M704)/(IF(ISNUMBER(H705),H705,G705)-IF(ISNUMBER(H704),H704,G704)))</f>
        <v/>
      </c>
      <c r="X705" s="31">
        <f>IF(NOT(AND(ISNUMBER(O705),ISNUMBER(Q705))),"",(Q705-O705)*1440)</f>
        <v/>
      </c>
      <c r="Y705" s="29" t="n"/>
      <c r="Z705" s="29" t="n"/>
      <c r="AA705" s="29" t="n"/>
      <c r="AB705" s="32" t="n"/>
      <c r="AC705" s="32" t="n"/>
    </row>
    <row r="706">
      <c r="A706" s="26" t="inlineStr">
        <is>
          <t>S14</t>
        </is>
      </c>
      <c r="B706" s="26" t="inlineStr">
        <is>
          <t>청송 신규점1</t>
        </is>
      </c>
      <c r="C706" s="26" t="inlineStr">
        <is>
          <t>S14-H서</t>
        </is>
      </c>
      <c r="D706" s="47" t="n">
        <v>1</v>
      </c>
      <c r="E706" s="26" t="inlineStr">
        <is>
          <t>측정</t>
        </is>
      </c>
      <c r="F706" s="26" t="inlineStr">
        <is>
          <t>서</t>
        </is>
      </c>
      <c r="G706" s="31" t="n">
        <v>10</v>
      </c>
      <c r="H706" s="30" t="n"/>
      <c r="I706" s="43" t="n"/>
      <c r="J706" s="41" t="n"/>
      <c r="K706" s="41" t="n"/>
      <c r="L706" s="41" t="n"/>
      <c r="M706" s="31">
        <f>IF(COUNT(J706:L706)=0,"",MEDIAN(J706:L706))</f>
        <v/>
      </c>
      <c r="N706" s="26">
        <f>IF(COUNTIFS($C:$C,$C706,$D:$D,$D706,$E:$E,"P0(전)",$M:$M,"&gt;0")&lt;&gt;1,"P0(전) 유효 1개 아님",IF(COUNTIFS($C:$C,$C706,$D:$D,$D706,$E:$E,"P0(후)",$M:$M,"&gt;0")&lt;&gt;1,"P0(후) 유효 1개 아님",IF(NOT(AND(ISNUMBER(O706),ISNUMBER(Q706),ISNUMBER(I706))),"시각 결측",IF(Q706&lt;=O706,"P0 시각 역전",IF(OR(I706&lt;O706,I706&gt;Q706),"측정시각 구간 밖","OK")))))</f>
        <v/>
      </c>
      <c r="O706" s="48">
        <f>IF(COUNTIFS($C:$C,$C706,$D:$D,$D706,$E:$E,"P0(전)",$M:$M,"&gt;0")&lt;&gt;1,"",SUMIFS($I:$I,$C:$C,$C706,$D:$D,$D706,$E:$E,"P0(전)"))</f>
        <v/>
      </c>
      <c r="P706" s="31">
        <f>IF(COUNTIFS($C:$C,$C706,$D:$D,$D706,$E:$E,"P0(전)",$M:$M,"&gt;0")&lt;&gt;1,"",SUMIFS($M:$M,$C:$C,$C706,$D:$D,$D706,$E:$E,"P0(전)"))</f>
        <v/>
      </c>
      <c r="Q706" s="48">
        <f>IF(COUNTIFS($C:$C,$C706,$D:$D,$D706,$E:$E,"P0(후)",$M:$M,"&gt;0")&lt;&gt;1,"",SUMIFS($I:$I,$C:$C,$C706,$D:$D,$D706,$E:$E,"P0(후)"))</f>
        <v/>
      </c>
      <c r="R706" s="31">
        <f>IF(COUNTIFS($C:$C,$C706,$D:$D,$D706,$E:$E,"P0(후)",$M:$M,"&gt;0")&lt;&gt;1,"",SUMIFS($M:$M,$C:$C,$C706,$D:$D,$D706,$E:$E,"P0(후)"))</f>
        <v/>
      </c>
      <c r="S706" s="31">
        <f>IF(N706&lt;&gt;"OK","",P706+(R706-P706)*(I706-O706)/(Q706-O706))</f>
        <v/>
      </c>
      <c r="T706" s="31">
        <f>IF(OR(N706&lt;&gt;"OK",NOT(ISNUMBER(M706))),"",M706-S706)</f>
        <v/>
      </c>
      <c r="U706" s="49">
        <f>IF(OR(NOT(ISNUMBER(T706)),IF(ISNUMBER(H706),H706,G706)=0),"",T706/IF(ISNUMBER(H706),H706,G706))</f>
        <v/>
      </c>
      <c r="V706" s="49">
        <f>IF(ISNUMBER(U706),ABS(U706),"")</f>
        <v/>
      </c>
      <c r="W706" s="49">
        <f>IF(OR($E705&lt;&gt;"측정",$C705&lt;&gt;$C706,$D705&lt;&gt;$D706,NOT(ISNUMBER(M706)),NOT(ISNUMBER(M705)),(IF(ISNUMBER(H706),H706,G706)-IF(ISNUMBER(H705),H705,G705))=0),"",(M706-M705)/(IF(ISNUMBER(H706),H706,G706)-IF(ISNUMBER(H705),H705,G705)))</f>
        <v/>
      </c>
      <c r="X706" s="31">
        <f>IF(NOT(AND(ISNUMBER(O706),ISNUMBER(Q706))),"",(Q706-O706)*1440)</f>
        <v/>
      </c>
      <c r="Y706" s="29" t="n"/>
      <c r="Z706" s="29" t="n"/>
      <c r="AA706" s="29" t="n"/>
      <c r="AB706" s="32" t="n"/>
      <c r="AC706" s="32" t="n"/>
    </row>
    <row r="707">
      <c r="A707" s="44" t="inlineStr">
        <is>
          <t>S14</t>
        </is>
      </c>
      <c r="B707" s="44" t="inlineStr">
        <is>
          <t>청송 신규점1</t>
        </is>
      </c>
      <c r="C707" s="44" t="inlineStr">
        <is>
          <t>S14-H서</t>
        </is>
      </c>
      <c r="D707" s="45" t="n">
        <v>1</v>
      </c>
      <c r="E707" s="44" t="inlineStr">
        <is>
          <t>P0(후)</t>
        </is>
      </c>
      <c r="F707" s="44" t="inlineStr">
        <is>
          <t>서</t>
        </is>
      </c>
      <c r="G707" s="46" t="n"/>
      <c r="H707" s="30" t="n"/>
      <c r="I707" s="43" t="n"/>
      <c r="J707" s="41" t="n"/>
      <c r="K707" s="41" t="n"/>
      <c r="L707" s="41" t="n"/>
      <c r="M707" s="31">
        <f>IF(COUNT(J707:L707)=0,"",MEDIAN(J707:L707))</f>
        <v/>
      </c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38" t="n"/>
      <c r="Y707" s="29" t="n"/>
      <c r="Z707" s="29" t="n"/>
      <c r="AA707" s="29" t="n"/>
      <c r="AB707" s="32" t="n"/>
      <c r="AC707" s="32" t="n"/>
    </row>
    <row r="708">
      <c r="A708" s="44" t="inlineStr">
        <is>
          <t>S14</t>
        </is>
      </c>
      <c r="B708" s="44" t="inlineStr">
        <is>
          <t>청송 신규점1</t>
        </is>
      </c>
      <c r="C708" s="44" t="inlineStr">
        <is>
          <t>S14-H남</t>
        </is>
      </c>
      <c r="D708" s="45" t="n">
        <v>1</v>
      </c>
      <c r="E708" s="44" t="inlineStr">
        <is>
          <t>P0(전)</t>
        </is>
      </c>
      <c r="F708" s="44" t="inlineStr">
        <is>
          <t>남</t>
        </is>
      </c>
      <c r="G708" s="46" t="n"/>
      <c r="H708" s="30" t="n"/>
      <c r="I708" s="43" t="n"/>
      <c r="J708" s="41" t="n"/>
      <c r="K708" s="41" t="n"/>
      <c r="L708" s="41" t="n"/>
      <c r="M708" s="31">
        <f>IF(COUNT(J708:L708)=0,"",MEDIAN(J708:L708))</f>
        <v/>
      </c>
      <c r="N708" s="38" t="n"/>
      <c r="O708" s="38" t="n"/>
      <c r="P708" s="38" t="n"/>
      <c r="Q708" s="38" t="n"/>
      <c r="R708" s="38" t="n"/>
      <c r="S708" s="38" t="n"/>
      <c r="T708" s="38" t="n"/>
      <c r="U708" s="38" t="n"/>
      <c r="V708" s="38" t="n"/>
      <c r="W708" s="38" t="n"/>
      <c r="X708" s="38" t="n"/>
      <c r="Y708" s="29" t="n"/>
      <c r="Z708" s="29" t="n"/>
      <c r="AA708" s="29" t="n"/>
      <c r="AB708" s="32" t="n"/>
      <c r="AC708" s="32" t="n"/>
    </row>
    <row r="709">
      <c r="A709" s="26" t="inlineStr">
        <is>
          <t>S14</t>
        </is>
      </c>
      <c r="B709" s="26" t="inlineStr">
        <is>
          <t>청송 신규점1</t>
        </is>
      </c>
      <c r="C709" s="26" t="inlineStr">
        <is>
          <t>S14-H남</t>
        </is>
      </c>
      <c r="D709" s="47" t="n">
        <v>1</v>
      </c>
      <c r="E709" s="26" t="inlineStr">
        <is>
          <t>측정</t>
        </is>
      </c>
      <c r="F709" s="26" t="inlineStr">
        <is>
          <t>남</t>
        </is>
      </c>
      <c r="G709" s="31" t="n">
        <v>0.5</v>
      </c>
      <c r="H709" s="30" t="n"/>
      <c r="I709" s="43" t="n"/>
      <c r="J709" s="41" t="n"/>
      <c r="K709" s="41" t="n"/>
      <c r="L709" s="41" t="n"/>
      <c r="M709" s="31">
        <f>IF(COUNT(J709:L709)=0,"",MEDIAN(J709:L709))</f>
        <v/>
      </c>
      <c r="N709" s="26">
        <f>IF(COUNTIFS($C:$C,$C709,$D:$D,$D709,$E:$E,"P0(전)",$M:$M,"&gt;0")&lt;&gt;1,"P0(전) 유효 1개 아님",IF(COUNTIFS($C:$C,$C709,$D:$D,$D709,$E:$E,"P0(후)",$M:$M,"&gt;0")&lt;&gt;1,"P0(후) 유효 1개 아님",IF(NOT(AND(ISNUMBER(O709),ISNUMBER(Q709),ISNUMBER(I709))),"시각 결측",IF(Q709&lt;=O709,"P0 시각 역전",IF(OR(I709&lt;O709,I709&gt;Q709),"측정시각 구간 밖","OK")))))</f>
        <v/>
      </c>
      <c r="O709" s="48">
        <f>IF(COUNTIFS($C:$C,$C709,$D:$D,$D709,$E:$E,"P0(전)",$M:$M,"&gt;0")&lt;&gt;1,"",SUMIFS($I:$I,$C:$C,$C709,$D:$D,$D709,$E:$E,"P0(전)"))</f>
        <v/>
      </c>
      <c r="P709" s="31">
        <f>IF(COUNTIFS($C:$C,$C709,$D:$D,$D709,$E:$E,"P0(전)",$M:$M,"&gt;0")&lt;&gt;1,"",SUMIFS($M:$M,$C:$C,$C709,$D:$D,$D709,$E:$E,"P0(전)"))</f>
        <v/>
      </c>
      <c r="Q709" s="48">
        <f>IF(COUNTIFS($C:$C,$C709,$D:$D,$D709,$E:$E,"P0(후)",$M:$M,"&gt;0")&lt;&gt;1,"",SUMIFS($I:$I,$C:$C,$C709,$D:$D,$D709,$E:$E,"P0(후)"))</f>
        <v/>
      </c>
      <c r="R709" s="31">
        <f>IF(COUNTIFS($C:$C,$C709,$D:$D,$D709,$E:$E,"P0(후)",$M:$M,"&gt;0")&lt;&gt;1,"",SUMIFS($M:$M,$C:$C,$C709,$D:$D,$D709,$E:$E,"P0(후)"))</f>
        <v/>
      </c>
      <c r="S709" s="31">
        <f>IF(N709&lt;&gt;"OK","",P709+(R709-P709)*(I709-O709)/(Q709-O709))</f>
        <v/>
      </c>
      <c r="T709" s="31">
        <f>IF(OR(N709&lt;&gt;"OK",NOT(ISNUMBER(M709))),"",M709-S709)</f>
        <v/>
      </c>
      <c r="U709" s="49">
        <f>IF(OR(NOT(ISNUMBER(T709)),IF(ISNUMBER(H709),H709,G709)=0),"",T709/IF(ISNUMBER(H709),H709,G709))</f>
        <v/>
      </c>
      <c r="V709" s="49">
        <f>IF(ISNUMBER(U709),ABS(U709),"")</f>
        <v/>
      </c>
      <c r="W709" s="49">
        <f>IF(OR($E708&lt;&gt;"측정",$C708&lt;&gt;$C709,$D708&lt;&gt;$D709,NOT(ISNUMBER(M709)),NOT(ISNUMBER(M708)),(IF(ISNUMBER(H709),H709,G709)-IF(ISNUMBER(H708),H708,G708))=0),"",(M709-M708)/(IF(ISNUMBER(H709),H709,G709)-IF(ISNUMBER(H708),H708,G708)))</f>
        <v/>
      </c>
      <c r="X709" s="31">
        <f>IF(NOT(AND(ISNUMBER(O709),ISNUMBER(Q709))),"",(Q709-O709)*1440)</f>
        <v/>
      </c>
      <c r="Y709" s="29" t="n"/>
      <c r="Z709" s="29" t="n"/>
      <c r="AA709" s="29" t="n"/>
      <c r="AB709" s="32" t="n"/>
      <c r="AC709" s="32" t="n"/>
    </row>
    <row r="710">
      <c r="A710" s="26" t="inlineStr">
        <is>
          <t>S14</t>
        </is>
      </c>
      <c r="B710" s="26" t="inlineStr">
        <is>
          <t>청송 신규점1</t>
        </is>
      </c>
      <c r="C710" s="26" t="inlineStr">
        <is>
          <t>S14-H남</t>
        </is>
      </c>
      <c r="D710" s="47" t="n">
        <v>1</v>
      </c>
      <c r="E710" s="26" t="inlineStr">
        <is>
          <t>측정</t>
        </is>
      </c>
      <c r="F710" s="26" t="inlineStr">
        <is>
          <t>남</t>
        </is>
      </c>
      <c r="G710" s="31" t="n">
        <v>1</v>
      </c>
      <c r="H710" s="30" t="n"/>
      <c r="I710" s="43" t="n"/>
      <c r="J710" s="41" t="n"/>
      <c r="K710" s="41" t="n"/>
      <c r="L710" s="41" t="n"/>
      <c r="M710" s="31">
        <f>IF(COUNT(J710:L710)=0,"",MEDIAN(J710:L710))</f>
        <v/>
      </c>
      <c r="N710" s="26">
        <f>IF(COUNTIFS($C:$C,$C710,$D:$D,$D710,$E:$E,"P0(전)",$M:$M,"&gt;0")&lt;&gt;1,"P0(전) 유효 1개 아님",IF(COUNTIFS($C:$C,$C710,$D:$D,$D710,$E:$E,"P0(후)",$M:$M,"&gt;0")&lt;&gt;1,"P0(후) 유효 1개 아님",IF(NOT(AND(ISNUMBER(O710),ISNUMBER(Q710),ISNUMBER(I710))),"시각 결측",IF(Q710&lt;=O710,"P0 시각 역전",IF(OR(I710&lt;O710,I710&gt;Q710),"측정시각 구간 밖","OK")))))</f>
        <v/>
      </c>
      <c r="O710" s="48">
        <f>IF(COUNTIFS($C:$C,$C710,$D:$D,$D710,$E:$E,"P0(전)",$M:$M,"&gt;0")&lt;&gt;1,"",SUMIFS($I:$I,$C:$C,$C710,$D:$D,$D710,$E:$E,"P0(전)"))</f>
        <v/>
      </c>
      <c r="P710" s="31">
        <f>IF(COUNTIFS($C:$C,$C710,$D:$D,$D710,$E:$E,"P0(전)",$M:$M,"&gt;0")&lt;&gt;1,"",SUMIFS($M:$M,$C:$C,$C710,$D:$D,$D710,$E:$E,"P0(전)"))</f>
        <v/>
      </c>
      <c r="Q710" s="48">
        <f>IF(COUNTIFS($C:$C,$C710,$D:$D,$D710,$E:$E,"P0(후)",$M:$M,"&gt;0")&lt;&gt;1,"",SUMIFS($I:$I,$C:$C,$C710,$D:$D,$D710,$E:$E,"P0(후)"))</f>
        <v/>
      </c>
      <c r="R710" s="31">
        <f>IF(COUNTIFS($C:$C,$C710,$D:$D,$D710,$E:$E,"P0(후)",$M:$M,"&gt;0")&lt;&gt;1,"",SUMIFS($M:$M,$C:$C,$C710,$D:$D,$D710,$E:$E,"P0(후)"))</f>
        <v/>
      </c>
      <c r="S710" s="31">
        <f>IF(N710&lt;&gt;"OK","",P710+(R710-P710)*(I710-O710)/(Q710-O710))</f>
        <v/>
      </c>
      <c r="T710" s="31">
        <f>IF(OR(N710&lt;&gt;"OK",NOT(ISNUMBER(M710))),"",M710-S710)</f>
        <v/>
      </c>
      <c r="U710" s="49">
        <f>IF(OR(NOT(ISNUMBER(T710)),IF(ISNUMBER(H710),H710,G710)=0),"",T710/IF(ISNUMBER(H710),H710,G710))</f>
        <v/>
      </c>
      <c r="V710" s="49">
        <f>IF(ISNUMBER(U710),ABS(U710),"")</f>
        <v/>
      </c>
      <c r="W710" s="49">
        <f>IF(OR($E709&lt;&gt;"측정",$C709&lt;&gt;$C710,$D709&lt;&gt;$D710,NOT(ISNUMBER(M710)),NOT(ISNUMBER(M709)),(IF(ISNUMBER(H710),H710,G710)-IF(ISNUMBER(H709),H709,G709))=0),"",(M710-M709)/(IF(ISNUMBER(H710),H710,G710)-IF(ISNUMBER(H709),H709,G709)))</f>
        <v/>
      </c>
      <c r="X710" s="31">
        <f>IF(NOT(AND(ISNUMBER(O710),ISNUMBER(Q710))),"",(Q710-O710)*1440)</f>
        <v/>
      </c>
      <c r="Y710" s="29" t="n"/>
      <c r="Z710" s="29" t="n"/>
      <c r="AA710" s="29" t="n"/>
      <c r="AB710" s="32" t="n"/>
      <c r="AC710" s="32" t="n"/>
    </row>
    <row r="711">
      <c r="A711" s="26" t="inlineStr">
        <is>
          <t>S14</t>
        </is>
      </c>
      <c r="B711" s="26" t="inlineStr">
        <is>
          <t>청송 신규점1</t>
        </is>
      </c>
      <c r="C711" s="26" t="inlineStr">
        <is>
          <t>S14-H남</t>
        </is>
      </c>
      <c r="D711" s="47" t="n">
        <v>1</v>
      </c>
      <c r="E711" s="26" t="inlineStr">
        <is>
          <t>측정</t>
        </is>
      </c>
      <c r="F711" s="26" t="inlineStr">
        <is>
          <t>남</t>
        </is>
      </c>
      <c r="G711" s="31" t="n">
        <v>2</v>
      </c>
      <c r="H711" s="30" t="n"/>
      <c r="I711" s="43" t="n"/>
      <c r="J711" s="41" t="n"/>
      <c r="K711" s="41" t="n"/>
      <c r="L711" s="41" t="n"/>
      <c r="M711" s="31">
        <f>IF(COUNT(J711:L711)=0,"",MEDIAN(J711:L711))</f>
        <v/>
      </c>
      <c r="N711" s="26">
        <f>IF(COUNTIFS($C:$C,$C711,$D:$D,$D711,$E:$E,"P0(전)",$M:$M,"&gt;0")&lt;&gt;1,"P0(전) 유효 1개 아님",IF(COUNTIFS($C:$C,$C711,$D:$D,$D711,$E:$E,"P0(후)",$M:$M,"&gt;0")&lt;&gt;1,"P0(후) 유효 1개 아님",IF(NOT(AND(ISNUMBER(O711),ISNUMBER(Q711),ISNUMBER(I711))),"시각 결측",IF(Q711&lt;=O711,"P0 시각 역전",IF(OR(I711&lt;O711,I711&gt;Q711),"측정시각 구간 밖","OK")))))</f>
        <v/>
      </c>
      <c r="O711" s="48">
        <f>IF(COUNTIFS($C:$C,$C711,$D:$D,$D711,$E:$E,"P0(전)",$M:$M,"&gt;0")&lt;&gt;1,"",SUMIFS($I:$I,$C:$C,$C711,$D:$D,$D711,$E:$E,"P0(전)"))</f>
        <v/>
      </c>
      <c r="P711" s="31">
        <f>IF(COUNTIFS($C:$C,$C711,$D:$D,$D711,$E:$E,"P0(전)",$M:$M,"&gt;0")&lt;&gt;1,"",SUMIFS($M:$M,$C:$C,$C711,$D:$D,$D711,$E:$E,"P0(전)"))</f>
        <v/>
      </c>
      <c r="Q711" s="48">
        <f>IF(COUNTIFS($C:$C,$C711,$D:$D,$D711,$E:$E,"P0(후)",$M:$M,"&gt;0")&lt;&gt;1,"",SUMIFS($I:$I,$C:$C,$C711,$D:$D,$D711,$E:$E,"P0(후)"))</f>
        <v/>
      </c>
      <c r="R711" s="31">
        <f>IF(COUNTIFS($C:$C,$C711,$D:$D,$D711,$E:$E,"P0(후)",$M:$M,"&gt;0")&lt;&gt;1,"",SUMIFS($M:$M,$C:$C,$C711,$D:$D,$D711,$E:$E,"P0(후)"))</f>
        <v/>
      </c>
      <c r="S711" s="31">
        <f>IF(N711&lt;&gt;"OK","",P711+(R711-P711)*(I711-O711)/(Q711-O711))</f>
        <v/>
      </c>
      <c r="T711" s="31">
        <f>IF(OR(N711&lt;&gt;"OK",NOT(ISNUMBER(M711))),"",M711-S711)</f>
        <v/>
      </c>
      <c r="U711" s="49">
        <f>IF(OR(NOT(ISNUMBER(T711)),IF(ISNUMBER(H711),H711,G711)=0),"",T711/IF(ISNUMBER(H711),H711,G711))</f>
        <v/>
      </c>
      <c r="V711" s="49">
        <f>IF(ISNUMBER(U711),ABS(U711),"")</f>
        <v/>
      </c>
      <c r="W711" s="49">
        <f>IF(OR($E710&lt;&gt;"측정",$C710&lt;&gt;$C711,$D710&lt;&gt;$D711,NOT(ISNUMBER(M711)),NOT(ISNUMBER(M710)),(IF(ISNUMBER(H711),H711,G711)-IF(ISNUMBER(H710),H710,G710))=0),"",(M711-M710)/(IF(ISNUMBER(H711),H711,G711)-IF(ISNUMBER(H710),H710,G710)))</f>
        <v/>
      </c>
      <c r="X711" s="31">
        <f>IF(NOT(AND(ISNUMBER(O711),ISNUMBER(Q711))),"",(Q711-O711)*1440)</f>
        <v/>
      </c>
      <c r="Y711" s="29" t="n"/>
      <c r="Z711" s="29" t="n"/>
      <c r="AA711" s="29" t="n"/>
      <c r="AB711" s="32" t="n"/>
      <c r="AC711" s="32" t="n"/>
    </row>
    <row r="712">
      <c r="A712" s="26" t="inlineStr">
        <is>
          <t>S14</t>
        </is>
      </c>
      <c r="B712" s="26" t="inlineStr">
        <is>
          <t>청송 신규점1</t>
        </is>
      </c>
      <c r="C712" s="26" t="inlineStr">
        <is>
          <t>S14-H남</t>
        </is>
      </c>
      <c r="D712" s="47" t="n">
        <v>1</v>
      </c>
      <c r="E712" s="26" t="inlineStr">
        <is>
          <t>측정</t>
        </is>
      </c>
      <c r="F712" s="26" t="inlineStr">
        <is>
          <t>남</t>
        </is>
      </c>
      <c r="G712" s="31" t="n">
        <v>3</v>
      </c>
      <c r="H712" s="30" t="n"/>
      <c r="I712" s="43" t="n"/>
      <c r="J712" s="41" t="n"/>
      <c r="K712" s="41" t="n"/>
      <c r="L712" s="41" t="n"/>
      <c r="M712" s="31">
        <f>IF(COUNT(J712:L712)=0,"",MEDIAN(J712:L712))</f>
        <v/>
      </c>
      <c r="N712" s="26">
        <f>IF(COUNTIFS($C:$C,$C712,$D:$D,$D712,$E:$E,"P0(전)",$M:$M,"&gt;0")&lt;&gt;1,"P0(전) 유효 1개 아님",IF(COUNTIFS($C:$C,$C712,$D:$D,$D712,$E:$E,"P0(후)",$M:$M,"&gt;0")&lt;&gt;1,"P0(후) 유효 1개 아님",IF(NOT(AND(ISNUMBER(O712),ISNUMBER(Q712),ISNUMBER(I712))),"시각 결측",IF(Q712&lt;=O712,"P0 시각 역전",IF(OR(I712&lt;O712,I712&gt;Q712),"측정시각 구간 밖","OK")))))</f>
        <v/>
      </c>
      <c r="O712" s="48">
        <f>IF(COUNTIFS($C:$C,$C712,$D:$D,$D712,$E:$E,"P0(전)",$M:$M,"&gt;0")&lt;&gt;1,"",SUMIFS($I:$I,$C:$C,$C712,$D:$D,$D712,$E:$E,"P0(전)"))</f>
        <v/>
      </c>
      <c r="P712" s="31">
        <f>IF(COUNTIFS($C:$C,$C712,$D:$D,$D712,$E:$E,"P0(전)",$M:$M,"&gt;0")&lt;&gt;1,"",SUMIFS($M:$M,$C:$C,$C712,$D:$D,$D712,$E:$E,"P0(전)"))</f>
        <v/>
      </c>
      <c r="Q712" s="48">
        <f>IF(COUNTIFS($C:$C,$C712,$D:$D,$D712,$E:$E,"P0(후)",$M:$M,"&gt;0")&lt;&gt;1,"",SUMIFS($I:$I,$C:$C,$C712,$D:$D,$D712,$E:$E,"P0(후)"))</f>
        <v/>
      </c>
      <c r="R712" s="31">
        <f>IF(COUNTIFS($C:$C,$C712,$D:$D,$D712,$E:$E,"P0(후)",$M:$M,"&gt;0")&lt;&gt;1,"",SUMIFS($M:$M,$C:$C,$C712,$D:$D,$D712,$E:$E,"P0(후)"))</f>
        <v/>
      </c>
      <c r="S712" s="31">
        <f>IF(N712&lt;&gt;"OK","",P712+(R712-P712)*(I712-O712)/(Q712-O712))</f>
        <v/>
      </c>
      <c r="T712" s="31">
        <f>IF(OR(N712&lt;&gt;"OK",NOT(ISNUMBER(M712))),"",M712-S712)</f>
        <v/>
      </c>
      <c r="U712" s="49">
        <f>IF(OR(NOT(ISNUMBER(T712)),IF(ISNUMBER(H712),H712,G712)=0),"",T712/IF(ISNUMBER(H712),H712,G712))</f>
        <v/>
      </c>
      <c r="V712" s="49">
        <f>IF(ISNUMBER(U712),ABS(U712),"")</f>
        <v/>
      </c>
      <c r="W712" s="49">
        <f>IF(OR($E711&lt;&gt;"측정",$C711&lt;&gt;$C712,$D711&lt;&gt;$D712,NOT(ISNUMBER(M712)),NOT(ISNUMBER(M711)),(IF(ISNUMBER(H712),H712,G712)-IF(ISNUMBER(H711),H711,G711))=0),"",(M712-M711)/(IF(ISNUMBER(H712),H712,G712)-IF(ISNUMBER(H711),H711,G711)))</f>
        <v/>
      </c>
      <c r="X712" s="31">
        <f>IF(NOT(AND(ISNUMBER(O712),ISNUMBER(Q712))),"",(Q712-O712)*1440)</f>
        <v/>
      </c>
      <c r="Y712" s="29" t="n"/>
      <c r="Z712" s="29" t="n"/>
      <c r="AA712" s="29" t="n"/>
      <c r="AB712" s="32" t="n"/>
      <c r="AC712" s="32" t="n"/>
    </row>
    <row r="713">
      <c r="A713" s="26" t="inlineStr">
        <is>
          <t>S14</t>
        </is>
      </c>
      <c r="B713" s="26" t="inlineStr">
        <is>
          <t>청송 신규점1</t>
        </is>
      </c>
      <c r="C713" s="26" t="inlineStr">
        <is>
          <t>S14-H남</t>
        </is>
      </c>
      <c r="D713" s="47" t="n">
        <v>1</v>
      </c>
      <c r="E713" s="26" t="inlineStr">
        <is>
          <t>측정</t>
        </is>
      </c>
      <c r="F713" s="26" t="inlineStr">
        <is>
          <t>남</t>
        </is>
      </c>
      <c r="G713" s="31" t="n">
        <v>4</v>
      </c>
      <c r="H713" s="30" t="n"/>
      <c r="I713" s="43" t="n"/>
      <c r="J713" s="41" t="n"/>
      <c r="K713" s="41" t="n"/>
      <c r="L713" s="41" t="n"/>
      <c r="M713" s="31">
        <f>IF(COUNT(J713:L713)=0,"",MEDIAN(J713:L713))</f>
        <v/>
      </c>
      <c r="N713" s="26">
        <f>IF(COUNTIFS($C:$C,$C713,$D:$D,$D713,$E:$E,"P0(전)",$M:$M,"&gt;0")&lt;&gt;1,"P0(전) 유효 1개 아님",IF(COUNTIFS($C:$C,$C713,$D:$D,$D713,$E:$E,"P0(후)",$M:$M,"&gt;0")&lt;&gt;1,"P0(후) 유효 1개 아님",IF(NOT(AND(ISNUMBER(O713),ISNUMBER(Q713),ISNUMBER(I713))),"시각 결측",IF(Q713&lt;=O713,"P0 시각 역전",IF(OR(I713&lt;O713,I713&gt;Q713),"측정시각 구간 밖","OK")))))</f>
        <v/>
      </c>
      <c r="O713" s="48">
        <f>IF(COUNTIFS($C:$C,$C713,$D:$D,$D713,$E:$E,"P0(전)",$M:$M,"&gt;0")&lt;&gt;1,"",SUMIFS($I:$I,$C:$C,$C713,$D:$D,$D713,$E:$E,"P0(전)"))</f>
        <v/>
      </c>
      <c r="P713" s="31">
        <f>IF(COUNTIFS($C:$C,$C713,$D:$D,$D713,$E:$E,"P0(전)",$M:$M,"&gt;0")&lt;&gt;1,"",SUMIFS($M:$M,$C:$C,$C713,$D:$D,$D713,$E:$E,"P0(전)"))</f>
        <v/>
      </c>
      <c r="Q713" s="48">
        <f>IF(COUNTIFS($C:$C,$C713,$D:$D,$D713,$E:$E,"P0(후)",$M:$M,"&gt;0")&lt;&gt;1,"",SUMIFS($I:$I,$C:$C,$C713,$D:$D,$D713,$E:$E,"P0(후)"))</f>
        <v/>
      </c>
      <c r="R713" s="31">
        <f>IF(COUNTIFS($C:$C,$C713,$D:$D,$D713,$E:$E,"P0(후)",$M:$M,"&gt;0")&lt;&gt;1,"",SUMIFS($M:$M,$C:$C,$C713,$D:$D,$D713,$E:$E,"P0(후)"))</f>
        <v/>
      </c>
      <c r="S713" s="31">
        <f>IF(N713&lt;&gt;"OK","",P713+(R713-P713)*(I713-O713)/(Q713-O713))</f>
        <v/>
      </c>
      <c r="T713" s="31">
        <f>IF(OR(N713&lt;&gt;"OK",NOT(ISNUMBER(M713))),"",M713-S713)</f>
        <v/>
      </c>
      <c r="U713" s="49">
        <f>IF(OR(NOT(ISNUMBER(T713)),IF(ISNUMBER(H713),H713,G713)=0),"",T713/IF(ISNUMBER(H713),H713,G713))</f>
        <v/>
      </c>
      <c r="V713" s="49">
        <f>IF(ISNUMBER(U713),ABS(U713),"")</f>
        <v/>
      </c>
      <c r="W713" s="49">
        <f>IF(OR($E712&lt;&gt;"측정",$C712&lt;&gt;$C713,$D712&lt;&gt;$D713,NOT(ISNUMBER(M713)),NOT(ISNUMBER(M712)),(IF(ISNUMBER(H713),H713,G713)-IF(ISNUMBER(H712),H712,G712))=0),"",(M713-M712)/(IF(ISNUMBER(H713),H713,G713)-IF(ISNUMBER(H712),H712,G712)))</f>
        <v/>
      </c>
      <c r="X713" s="31">
        <f>IF(NOT(AND(ISNUMBER(O713),ISNUMBER(Q713))),"",(Q713-O713)*1440)</f>
        <v/>
      </c>
      <c r="Y713" s="29" t="n"/>
      <c r="Z713" s="29" t="n"/>
      <c r="AA713" s="29" t="n"/>
      <c r="AB713" s="32" t="n"/>
      <c r="AC713" s="32" t="n"/>
    </row>
    <row r="714">
      <c r="A714" s="26" t="inlineStr">
        <is>
          <t>S14</t>
        </is>
      </c>
      <c r="B714" s="26" t="inlineStr">
        <is>
          <t>청송 신규점1</t>
        </is>
      </c>
      <c r="C714" s="26" t="inlineStr">
        <is>
          <t>S14-H남</t>
        </is>
      </c>
      <c r="D714" s="47" t="n">
        <v>1</v>
      </c>
      <c r="E714" s="26" t="inlineStr">
        <is>
          <t>측정</t>
        </is>
      </c>
      <c r="F714" s="26" t="inlineStr">
        <is>
          <t>남</t>
        </is>
      </c>
      <c r="G714" s="31" t="n">
        <v>5</v>
      </c>
      <c r="H714" s="30" t="n"/>
      <c r="I714" s="43" t="n"/>
      <c r="J714" s="41" t="n"/>
      <c r="K714" s="41" t="n"/>
      <c r="L714" s="41" t="n"/>
      <c r="M714" s="31">
        <f>IF(COUNT(J714:L714)=0,"",MEDIAN(J714:L714))</f>
        <v/>
      </c>
      <c r="N714" s="26">
        <f>IF(COUNTIFS($C:$C,$C714,$D:$D,$D714,$E:$E,"P0(전)",$M:$M,"&gt;0")&lt;&gt;1,"P0(전) 유효 1개 아님",IF(COUNTIFS($C:$C,$C714,$D:$D,$D714,$E:$E,"P0(후)",$M:$M,"&gt;0")&lt;&gt;1,"P0(후) 유효 1개 아님",IF(NOT(AND(ISNUMBER(O714),ISNUMBER(Q714),ISNUMBER(I714))),"시각 결측",IF(Q714&lt;=O714,"P0 시각 역전",IF(OR(I714&lt;O714,I714&gt;Q714),"측정시각 구간 밖","OK")))))</f>
        <v/>
      </c>
      <c r="O714" s="48">
        <f>IF(COUNTIFS($C:$C,$C714,$D:$D,$D714,$E:$E,"P0(전)",$M:$M,"&gt;0")&lt;&gt;1,"",SUMIFS($I:$I,$C:$C,$C714,$D:$D,$D714,$E:$E,"P0(전)"))</f>
        <v/>
      </c>
      <c r="P714" s="31">
        <f>IF(COUNTIFS($C:$C,$C714,$D:$D,$D714,$E:$E,"P0(전)",$M:$M,"&gt;0")&lt;&gt;1,"",SUMIFS($M:$M,$C:$C,$C714,$D:$D,$D714,$E:$E,"P0(전)"))</f>
        <v/>
      </c>
      <c r="Q714" s="48">
        <f>IF(COUNTIFS($C:$C,$C714,$D:$D,$D714,$E:$E,"P0(후)",$M:$M,"&gt;0")&lt;&gt;1,"",SUMIFS($I:$I,$C:$C,$C714,$D:$D,$D714,$E:$E,"P0(후)"))</f>
        <v/>
      </c>
      <c r="R714" s="31">
        <f>IF(COUNTIFS($C:$C,$C714,$D:$D,$D714,$E:$E,"P0(후)",$M:$M,"&gt;0")&lt;&gt;1,"",SUMIFS($M:$M,$C:$C,$C714,$D:$D,$D714,$E:$E,"P0(후)"))</f>
        <v/>
      </c>
      <c r="S714" s="31">
        <f>IF(N714&lt;&gt;"OK","",P714+(R714-P714)*(I714-O714)/(Q714-O714))</f>
        <v/>
      </c>
      <c r="T714" s="31">
        <f>IF(OR(N714&lt;&gt;"OK",NOT(ISNUMBER(M714))),"",M714-S714)</f>
        <v/>
      </c>
      <c r="U714" s="49">
        <f>IF(OR(NOT(ISNUMBER(T714)),IF(ISNUMBER(H714),H714,G714)=0),"",T714/IF(ISNUMBER(H714),H714,G714))</f>
        <v/>
      </c>
      <c r="V714" s="49">
        <f>IF(ISNUMBER(U714),ABS(U714),"")</f>
        <v/>
      </c>
      <c r="W714" s="49">
        <f>IF(OR($E713&lt;&gt;"측정",$C713&lt;&gt;$C714,$D713&lt;&gt;$D714,NOT(ISNUMBER(M714)),NOT(ISNUMBER(M713)),(IF(ISNUMBER(H714),H714,G714)-IF(ISNUMBER(H713),H713,G713))=0),"",(M714-M713)/(IF(ISNUMBER(H714),H714,G714)-IF(ISNUMBER(H713),H713,G713)))</f>
        <v/>
      </c>
      <c r="X714" s="31">
        <f>IF(NOT(AND(ISNUMBER(O714),ISNUMBER(Q714))),"",(Q714-O714)*1440)</f>
        <v/>
      </c>
      <c r="Y714" s="29" t="n"/>
      <c r="Z714" s="29" t="n"/>
      <c r="AA714" s="29" t="n"/>
      <c r="AB714" s="32" t="n"/>
      <c r="AC714" s="32" t="n"/>
    </row>
    <row r="715">
      <c r="A715" s="26" t="inlineStr">
        <is>
          <t>S14</t>
        </is>
      </c>
      <c r="B715" s="26" t="inlineStr">
        <is>
          <t>청송 신규점1</t>
        </is>
      </c>
      <c r="C715" s="26" t="inlineStr">
        <is>
          <t>S14-H남</t>
        </is>
      </c>
      <c r="D715" s="47" t="n">
        <v>1</v>
      </c>
      <c r="E715" s="26" t="inlineStr">
        <is>
          <t>측정</t>
        </is>
      </c>
      <c r="F715" s="26" t="inlineStr">
        <is>
          <t>남</t>
        </is>
      </c>
      <c r="G715" s="31" t="n">
        <v>6</v>
      </c>
      <c r="H715" s="30" t="n"/>
      <c r="I715" s="43" t="n"/>
      <c r="J715" s="41" t="n"/>
      <c r="K715" s="41" t="n"/>
      <c r="L715" s="41" t="n"/>
      <c r="M715" s="31">
        <f>IF(COUNT(J715:L715)=0,"",MEDIAN(J715:L715))</f>
        <v/>
      </c>
      <c r="N715" s="26">
        <f>IF(COUNTIFS($C:$C,$C715,$D:$D,$D715,$E:$E,"P0(전)",$M:$M,"&gt;0")&lt;&gt;1,"P0(전) 유효 1개 아님",IF(COUNTIFS($C:$C,$C715,$D:$D,$D715,$E:$E,"P0(후)",$M:$M,"&gt;0")&lt;&gt;1,"P0(후) 유효 1개 아님",IF(NOT(AND(ISNUMBER(O715),ISNUMBER(Q715),ISNUMBER(I715))),"시각 결측",IF(Q715&lt;=O715,"P0 시각 역전",IF(OR(I715&lt;O715,I715&gt;Q715),"측정시각 구간 밖","OK")))))</f>
        <v/>
      </c>
      <c r="O715" s="48">
        <f>IF(COUNTIFS($C:$C,$C715,$D:$D,$D715,$E:$E,"P0(전)",$M:$M,"&gt;0")&lt;&gt;1,"",SUMIFS($I:$I,$C:$C,$C715,$D:$D,$D715,$E:$E,"P0(전)"))</f>
        <v/>
      </c>
      <c r="P715" s="31">
        <f>IF(COUNTIFS($C:$C,$C715,$D:$D,$D715,$E:$E,"P0(전)",$M:$M,"&gt;0")&lt;&gt;1,"",SUMIFS($M:$M,$C:$C,$C715,$D:$D,$D715,$E:$E,"P0(전)"))</f>
        <v/>
      </c>
      <c r="Q715" s="48">
        <f>IF(COUNTIFS($C:$C,$C715,$D:$D,$D715,$E:$E,"P0(후)",$M:$M,"&gt;0")&lt;&gt;1,"",SUMIFS($I:$I,$C:$C,$C715,$D:$D,$D715,$E:$E,"P0(후)"))</f>
        <v/>
      </c>
      <c r="R715" s="31">
        <f>IF(COUNTIFS($C:$C,$C715,$D:$D,$D715,$E:$E,"P0(후)",$M:$M,"&gt;0")&lt;&gt;1,"",SUMIFS($M:$M,$C:$C,$C715,$D:$D,$D715,$E:$E,"P0(후)"))</f>
        <v/>
      </c>
      <c r="S715" s="31">
        <f>IF(N715&lt;&gt;"OK","",P715+(R715-P715)*(I715-O715)/(Q715-O715))</f>
        <v/>
      </c>
      <c r="T715" s="31">
        <f>IF(OR(N715&lt;&gt;"OK",NOT(ISNUMBER(M715))),"",M715-S715)</f>
        <v/>
      </c>
      <c r="U715" s="49">
        <f>IF(OR(NOT(ISNUMBER(T715)),IF(ISNUMBER(H715),H715,G715)=0),"",T715/IF(ISNUMBER(H715),H715,G715))</f>
        <v/>
      </c>
      <c r="V715" s="49">
        <f>IF(ISNUMBER(U715),ABS(U715),"")</f>
        <v/>
      </c>
      <c r="W715" s="49">
        <f>IF(OR($E714&lt;&gt;"측정",$C714&lt;&gt;$C715,$D714&lt;&gt;$D715,NOT(ISNUMBER(M715)),NOT(ISNUMBER(M714)),(IF(ISNUMBER(H715),H715,G715)-IF(ISNUMBER(H714),H714,G714))=0),"",(M715-M714)/(IF(ISNUMBER(H715),H715,G715)-IF(ISNUMBER(H714),H714,G714)))</f>
        <v/>
      </c>
      <c r="X715" s="31">
        <f>IF(NOT(AND(ISNUMBER(O715),ISNUMBER(Q715))),"",(Q715-O715)*1440)</f>
        <v/>
      </c>
      <c r="Y715" s="29" t="n"/>
      <c r="Z715" s="29" t="n"/>
      <c r="AA715" s="29" t="n"/>
      <c r="AB715" s="32" t="n"/>
      <c r="AC715" s="32" t="n"/>
    </row>
    <row r="716">
      <c r="A716" s="26" t="inlineStr">
        <is>
          <t>S14</t>
        </is>
      </c>
      <c r="B716" s="26" t="inlineStr">
        <is>
          <t>청송 신규점1</t>
        </is>
      </c>
      <c r="C716" s="26" t="inlineStr">
        <is>
          <t>S14-H남</t>
        </is>
      </c>
      <c r="D716" s="47" t="n">
        <v>1</v>
      </c>
      <c r="E716" s="26" t="inlineStr">
        <is>
          <t>측정</t>
        </is>
      </c>
      <c r="F716" s="26" t="inlineStr">
        <is>
          <t>남</t>
        </is>
      </c>
      <c r="G716" s="31" t="n">
        <v>7</v>
      </c>
      <c r="H716" s="30" t="n"/>
      <c r="I716" s="43" t="n"/>
      <c r="J716" s="41" t="n"/>
      <c r="K716" s="41" t="n"/>
      <c r="L716" s="41" t="n"/>
      <c r="M716" s="31">
        <f>IF(COUNT(J716:L716)=0,"",MEDIAN(J716:L716))</f>
        <v/>
      </c>
      <c r="N716" s="26">
        <f>IF(COUNTIFS($C:$C,$C716,$D:$D,$D716,$E:$E,"P0(전)",$M:$M,"&gt;0")&lt;&gt;1,"P0(전) 유효 1개 아님",IF(COUNTIFS($C:$C,$C716,$D:$D,$D716,$E:$E,"P0(후)",$M:$M,"&gt;0")&lt;&gt;1,"P0(후) 유효 1개 아님",IF(NOT(AND(ISNUMBER(O716),ISNUMBER(Q716),ISNUMBER(I716))),"시각 결측",IF(Q716&lt;=O716,"P0 시각 역전",IF(OR(I716&lt;O716,I716&gt;Q716),"측정시각 구간 밖","OK")))))</f>
        <v/>
      </c>
      <c r="O716" s="48">
        <f>IF(COUNTIFS($C:$C,$C716,$D:$D,$D716,$E:$E,"P0(전)",$M:$M,"&gt;0")&lt;&gt;1,"",SUMIFS($I:$I,$C:$C,$C716,$D:$D,$D716,$E:$E,"P0(전)"))</f>
        <v/>
      </c>
      <c r="P716" s="31">
        <f>IF(COUNTIFS($C:$C,$C716,$D:$D,$D716,$E:$E,"P0(전)",$M:$M,"&gt;0")&lt;&gt;1,"",SUMIFS($M:$M,$C:$C,$C716,$D:$D,$D716,$E:$E,"P0(전)"))</f>
        <v/>
      </c>
      <c r="Q716" s="48">
        <f>IF(COUNTIFS($C:$C,$C716,$D:$D,$D716,$E:$E,"P0(후)",$M:$M,"&gt;0")&lt;&gt;1,"",SUMIFS($I:$I,$C:$C,$C716,$D:$D,$D716,$E:$E,"P0(후)"))</f>
        <v/>
      </c>
      <c r="R716" s="31">
        <f>IF(COUNTIFS($C:$C,$C716,$D:$D,$D716,$E:$E,"P0(후)",$M:$M,"&gt;0")&lt;&gt;1,"",SUMIFS($M:$M,$C:$C,$C716,$D:$D,$D716,$E:$E,"P0(후)"))</f>
        <v/>
      </c>
      <c r="S716" s="31">
        <f>IF(N716&lt;&gt;"OK","",P716+(R716-P716)*(I716-O716)/(Q716-O716))</f>
        <v/>
      </c>
      <c r="T716" s="31">
        <f>IF(OR(N716&lt;&gt;"OK",NOT(ISNUMBER(M716))),"",M716-S716)</f>
        <v/>
      </c>
      <c r="U716" s="49">
        <f>IF(OR(NOT(ISNUMBER(T716)),IF(ISNUMBER(H716),H716,G716)=0),"",T716/IF(ISNUMBER(H716),H716,G716))</f>
        <v/>
      </c>
      <c r="V716" s="49">
        <f>IF(ISNUMBER(U716),ABS(U716),"")</f>
        <v/>
      </c>
      <c r="W716" s="49">
        <f>IF(OR($E715&lt;&gt;"측정",$C715&lt;&gt;$C716,$D715&lt;&gt;$D716,NOT(ISNUMBER(M716)),NOT(ISNUMBER(M715)),(IF(ISNUMBER(H716),H716,G716)-IF(ISNUMBER(H715),H715,G715))=0),"",(M716-M715)/(IF(ISNUMBER(H716),H716,G716)-IF(ISNUMBER(H715),H715,G715)))</f>
        <v/>
      </c>
      <c r="X716" s="31">
        <f>IF(NOT(AND(ISNUMBER(O716),ISNUMBER(Q716))),"",(Q716-O716)*1440)</f>
        <v/>
      </c>
      <c r="Y716" s="29" t="n"/>
      <c r="Z716" s="29" t="n"/>
      <c r="AA716" s="29" t="n"/>
      <c r="AB716" s="32" t="n"/>
      <c r="AC716" s="32" t="n"/>
    </row>
    <row r="717">
      <c r="A717" s="26" t="inlineStr">
        <is>
          <t>S14</t>
        </is>
      </c>
      <c r="B717" s="26" t="inlineStr">
        <is>
          <t>청송 신규점1</t>
        </is>
      </c>
      <c r="C717" s="26" t="inlineStr">
        <is>
          <t>S14-H남</t>
        </is>
      </c>
      <c r="D717" s="47" t="n">
        <v>1</v>
      </c>
      <c r="E717" s="26" t="inlineStr">
        <is>
          <t>측정</t>
        </is>
      </c>
      <c r="F717" s="26" t="inlineStr">
        <is>
          <t>남</t>
        </is>
      </c>
      <c r="G717" s="31" t="n">
        <v>8</v>
      </c>
      <c r="H717" s="30" t="n"/>
      <c r="I717" s="43" t="n"/>
      <c r="J717" s="41" t="n"/>
      <c r="K717" s="41" t="n"/>
      <c r="L717" s="41" t="n"/>
      <c r="M717" s="31">
        <f>IF(COUNT(J717:L717)=0,"",MEDIAN(J717:L717))</f>
        <v/>
      </c>
      <c r="N717" s="26">
        <f>IF(COUNTIFS($C:$C,$C717,$D:$D,$D717,$E:$E,"P0(전)",$M:$M,"&gt;0")&lt;&gt;1,"P0(전) 유효 1개 아님",IF(COUNTIFS($C:$C,$C717,$D:$D,$D717,$E:$E,"P0(후)",$M:$M,"&gt;0")&lt;&gt;1,"P0(후) 유효 1개 아님",IF(NOT(AND(ISNUMBER(O717),ISNUMBER(Q717),ISNUMBER(I717))),"시각 결측",IF(Q717&lt;=O717,"P0 시각 역전",IF(OR(I717&lt;O717,I717&gt;Q717),"측정시각 구간 밖","OK")))))</f>
        <v/>
      </c>
      <c r="O717" s="48">
        <f>IF(COUNTIFS($C:$C,$C717,$D:$D,$D717,$E:$E,"P0(전)",$M:$M,"&gt;0")&lt;&gt;1,"",SUMIFS($I:$I,$C:$C,$C717,$D:$D,$D717,$E:$E,"P0(전)"))</f>
        <v/>
      </c>
      <c r="P717" s="31">
        <f>IF(COUNTIFS($C:$C,$C717,$D:$D,$D717,$E:$E,"P0(전)",$M:$M,"&gt;0")&lt;&gt;1,"",SUMIFS($M:$M,$C:$C,$C717,$D:$D,$D717,$E:$E,"P0(전)"))</f>
        <v/>
      </c>
      <c r="Q717" s="48">
        <f>IF(COUNTIFS($C:$C,$C717,$D:$D,$D717,$E:$E,"P0(후)",$M:$M,"&gt;0")&lt;&gt;1,"",SUMIFS($I:$I,$C:$C,$C717,$D:$D,$D717,$E:$E,"P0(후)"))</f>
        <v/>
      </c>
      <c r="R717" s="31">
        <f>IF(COUNTIFS($C:$C,$C717,$D:$D,$D717,$E:$E,"P0(후)",$M:$M,"&gt;0")&lt;&gt;1,"",SUMIFS($M:$M,$C:$C,$C717,$D:$D,$D717,$E:$E,"P0(후)"))</f>
        <v/>
      </c>
      <c r="S717" s="31">
        <f>IF(N717&lt;&gt;"OK","",P717+(R717-P717)*(I717-O717)/(Q717-O717))</f>
        <v/>
      </c>
      <c r="T717" s="31">
        <f>IF(OR(N717&lt;&gt;"OK",NOT(ISNUMBER(M717))),"",M717-S717)</f>
        <v/>
      </c>
      <c r="U717" s="49">
        <f>IF(OR(NOT(ISNUMBER(T717)),IF(ISNUMBER(H717),H717,G717)=0),"",T717/IF(ISNUMBER(H717),H717,G717))</f>
        <v/>
      </c>
      <c r="V717" s="49">
        <f>IF(ISNUMBER(U717),ABS(U717),"")</f>
        <v/>
      </c>
      <c r="W717" s="49">
        <f>IF(OR($E716&lt;&gt;"측정",$C716&lt;&gt;$C717,$D716&lt;&gt;$D717,NOT(ISNUMBER(M717)),NOT(ISNUMBER(M716)),(IF(ISNUMBER(H717),H717,G717)-IF(ISNUMBER(H716),H716,G716))=0),"",(M717-M716)/(IF(ISNUMBER(H717),H717,G717)-IF(ISNUMBER(H716),H716,G716)))</f>
        <v/>
      </c>
      <c r="X717" s="31">
        <f>IF(NOT(AND(ISNUMBER(O717),ISNUMBER(Q717))),"",(Q717-O717)*1440)</f>
        <v/>
      </c>
      <c r="Y717" s="29" t="n"/>
      <c r="Z717" s="29" t="n"/>
      <c r="AA717" s="29" t="n"/>
      <c r="AB717" s="32" t="n"/>
      <c r="AC717" s="32" t="n"/>
    </row>
    <row r="718">
      <c r="A718" s="26" t="inlineStr">
        <is>
          <t>S14</t>
        </is>
      </c>
      <c r="B718" s="26" t="inlineStr">
        <is>
          <t>청송 신규점1</t>
        </is>
      </c>
      <c r="C718" s="26" t="inlineStr">
        <is>
          <t>S14-H남</t>
        </is>
      </c>
      <c r="D718" s="47" t="n">
        <v>1</v>
      </c>
      <c r="E718" s="26" t="inlineStr">
        <is>
          <t>측정</t>
        </is>
      </c>
      <c r="F718" s="26" t="inlineStr">
        <is>
          <t>남</t>
        </is>
      </c>
      <c r="G718" s="31" t="n">
        <v>9</v>
      </c>
      <c r="H718" s="30" t="n"/>
      <c r="I718" s="43" t="n"/>
      <c r="J718" s="41" t="n"/>
      <c r="K718" s="41" t="n"/>
      <c r="L718" s="41" t="n"/>
      <c r="M718" s="31">
        <f>IF(COUNT(J718:L718)=0,"",MEDIAN(J718:L718))</f>
        <v/>
      </c>
      <c r="N718" s="26">
        <f>IF(COUNTIFS($C:$C,$C718,$D:$D,$D718,$E:$E,"P0(전)",$M:$M,"&gt;0")&lt;&gt;1,"P0(전) 유효 1개 아님",IF(COUNTIFS($C:$C,$C718,$D:$D,$D718,$E:$E,"P0(후)",$M:$M,"&gt;0")&lt;&gt;1,"P0(후) 유효 1개 아님",IF(NOT(AND(ISNUMBER(O718),ISNUMBER(Q718),ISNUMBER(I718))),"시각 결측",IF(Q718&lt;=O718,"P0 시각 역전",IF(OR(I718&lt;O718,I718&gt;Q718),"측정시각 구간 밖","OK")))))</f>
        <v/>
      </c>
      <c r="O718" s="48">
        <f>IF(COUNTIFS($C:$C,$C718,$D:$D,$D718,$E:$E,"P0(전)",$M:$M,"&gt;0")&lt;&gt;1,"",SUMIFS($I:$I,$C:$C,$C718,$D:$D,$D718,$E:$E,"P0(전)"))</f>
        <v/>
      </c>
      <c r="P718" s="31">
        <f>IF(COUNTIFS($C:$C,$C718,$D:$D,$D718,$E:$E,"P0(전)",$M:$M,"&gt;0")&lt;&gt;1,"",SUMIFS($M:$M,$C:$C,$C718,$D:$D,$D718,$E:$E,"P0(전)"))</f>
        <v/>
      </c>
      <c r="Q718" s="48">
        <f>IF(COUNTIFS($C:$C,$C718,$D:$D,$D718,$E:$E,"P0(후)",$M:$M,"&gt;0")&lt;&gt;1,"",SUMIFS($I:$I,$C:$C,$C718,$D:$D,$D718,$E:$E,"P0(후)"))</f>
        <v/>
      </c>
      <c r="R718" s="31">
        <f>IF(COUNTIFS($C:$C,$C718,$D:$D,$D718,$E:$E,"P0(후)",$M:$M,"&gt;0")&lt;&gt;1,"",SUMIFS($M:$M,$C:$C,$C718,$D:$D,$D718,$E:$E,"P0(후)"))</f>
        <v/>
      </c>
      <c r="S718" s="31">
        <f>IF(N718&lt;&gt;"OK","",P718+(R718-P718)*(I718-O718)/(Q718-O718))</f>
        <v/>
      </c>
      <c r="T718" s="31">
        <f>IF(OR(N718&lt;&gt;"OK",NOT(ISNUMBER(M718))),"",M718-S718)</f>
        <v/>
      </c>
      <c r="U718" s="49">
        <f>IF(OR(NOT(ISNUMBER(T718)),IF(ISNUMBER(H718),H718,G718)=0),"",T718/IF(ISNUMBER(H718),H718,G718))</f>
        <v/>
      </c>
      <c r="V718" s="49">
        <f>IF(ISNUMBER(U718),ABS(U718),"")</f>
        <v/>
      </c>
      <c r="W718" s="49">
        <f>IF(OR($E717&lt;&gt;"측정",$C717&lt;&gt;$C718,$D717&lt;&gt;$D718,NOT(ISNUMBER(M718)),NOT(ISNUMBER(M717)),(IF(ISNUMBER(H718),H718,G718)-IF(ISNUMBER(H717),H717,G717))=0),"",(M718-M717)/(IF(ISNUMBER(H718),H718,G718)-IF(ISNUMBER(H717),H717,G717)))</f>
        <v/>
      </c>
      <c r="X718" s="31">
        <f>IF(NOT(AND(ISNUMBER(O718),ISNUMBER(Q718))),"",(Q718-O718)*1440)</f>
        <v/>
      </c>
      <c r="Y718" s="29" t="n"/>
      <c r="Z718" s="29" t="n"/>
      <c r="AA718" s="29" t="n"/>
      <c r="AB718" s="32" t="n"/>
      <c r="AC718" s="32" t="n"/>
    </row>
    <row r="719">
      <c r="A719" s="26" t="inlineStr">
        <is>
          <t>S14</t>
        </is>
      </c>
      <c r="B719" s="26" t="inlineStr">
        <is>
          <t>청송 신규점1</t>
        </is>
      </c>
      <c r="C719" s="26" t="inlineStr">
        <is>
          <t>S14-H남</t>
        </is>
      </c>
      <c r="D719" s="47" t="n">
        <v>1</v>
      </c>
      <c r="E719" s="26" t="inlineStr">
        <is>
          <t>측정</t>
        </is>
      </c>
      <c r="F719" s="26" t="inlineStr">
        <is>
          <t>남</t>
        </is>
      </c>
      <c r="G719" s="31" t="n">
        <v>10</v>
      </c>
      <c r="H719" s="30" t="n"/>
      <c r="I719" s="43" t="n"/>
      <c r="J719" s="41" t="n"/>
      <c r="K719" s="41" t="n"/>
      <c r="L719" s="41" t="n"/>
      <c r="M719" s="31">
        <f>IF(COUNT(J719:L719)=0,"",MEDIAN(J719:L719))</f>
        <v/>
      </c>
      <c r="N719" s="26">
        <f>IF(COUNTIFS($C:$C,$C719,$D:$D,$D719,$E:$E,"P0(전)",$M:$M,"&gt;0")&lt;&gt;1,"P0(전) 유효 1개 아님",IF(COUNTIFS($C:$C,$C719,$D:$D,$D719,$E:$E,"P0(후)",$M:$M,"&gt;0")&lt;&gt;1,"P0(후) 유효 1개 아님",IF(NOT(AND(ISNUMBER(O719),ISNUMBER(Q719),ISNUMBER(I719))),"시각 결측",IF(Q719&lt;=O719,"P0 시각 역전",IF(OR(I719&lt;O719,I719&gt;Q719),"측정시각 구간 밖","OK")))))</f>
        <v/>
      </c>
      <c r="O719" s="48">
        <f>IF(COUNTIFS($C:$C,$C719,$D:$D,$D719,$E:$E,"P0(전)",$M:$M,"&gt;0")&lt;&gt;1,"",SUMIFS($I:$I,$C:$C,$C719,$D:$D,$D719,$E:$E,"P0(전)"))</f>
        <v/>
      </c>
      <c r="P719" s="31">
        <f>IF(COUNTIFS($C:$C,$C719,$D:$D,$D719,$E:$E,"P0(전)",$M:$M,"&gt;0")&lt;&gt;1,"",SUMIFS($M:$M,$C:$C,$C719,$D:$D,$D719,$E:$E,"P0(전)"))</f>
        <v/>
      </c>
      <c r="Q719" s="48">
        <f>IF(COUNTIFS($C:$C,$C719,$D:$D,$D719,$E:$E,"P0(후)",$M:$M,"&gt;0")&lt;&gt;1,"",SUMIFS($I:$I,$C:$C,$C719,$D:$D,$D719,$E:$E,"P0(후)"))</f>
        <v/>
      </c>
      <c r="R719" s="31">
        <f>IF(COUNTIFS($C:$C,$C719,$D:$D,$D719,$E:$E,"P0(후)",$M:$M,"&gt;0")&lt;&gt;1,"",SUMIFS($M:$M,$C:$C,$C719,$D:$D,$D719,$E:$E,"P0(후)"))</f>
        <v/>
      </c>
      <c r="S719" s="31">
        <f>IF(N719&lt;&gt;"OK","",P719+(R719-P719)*(I719-O719)/(Q719-O719))</f>
        <v/>
      </c>
      <c r="T719" s="31">
        <f>IF(OR(N719&lt;&gt;"OK",NOT(ISNUMBER(M719))),"",M719-S719)</f>
        <v/>
      </c>
      <c r="U719" s="49">
        <f>IF(OR(NOT(ISNUMBER(T719)),IF(ISNUMBER(H719),H719,G719)=0),"",T719/IF(ISNUMBER(H719),H719,G719))</f>
        <v/>
      </c>
      <c r="V719" s="49">
        <f>IF(ISNUMBER(U719),ABS(U719),"")</f>
        <v/>
      </c>
      <c r="W719" s="49">
        <f>IF(OR($E718&lt;&gt;"측정",$C718&lt;&gt;$C719,$D718&lt;&gt;$D719,NOT(ISNUMBER(M719)),NOT(ISNUMBER(M718)),(IF(ISNUMBER(H719),H719,G719)-IF(ISNUMBER(H718),H718,G718))=0),"",(M719-M718)/(IF(ISNUMBER(H719),H719,G719)-IF(ISNUMBER(H718),H718,G718)))</f>
        <v/>
      </c>
      <c r="X719" s="31">
        <f>IF(NOT(AND(ISNUMBER(O719),ISNUMBER(Q719))),"",(Q719-O719)*1440)</f>
        <v/>
      </c>
      <c r="Y719" s="29" t="n"/>
      <c r="Z719" s="29" t="n"/>
      <c r="AA719" s="29" t="n"/>
      <c r="AB719" s="32" t="n"/>
      <c r="AC719" s="32" t="n"/>
    </row>
    <row r="720">
      <c r="A720" s="44" t="inlineStr">
        <is>
          <t>S14</t>
        </is>
      </c>
      <c r="B720" s="44" t="inlineStr">
        <is>
          <t>청송 신규점1</t>
        </is>
      </c>
      <c r="C720" s="44" t="inlineStr">
        <is>
          <t>S14-H남</t>
        </is>
      </c>
      <c r="D720" s="45" t="n">
        <v>1</v>
      </c>
      <c r="E720" s="44" t="inlineStr">
        <is>
          <t>P0(후)</t>
        </is>
      </c>
      <c r="F720" s="44" t="inlineStr">
        <is>
          <t>남</t>
        </is>
      </c>
      <c r="G720" s="46" t="n"/>
      <c r="H720" s="30" t="n"/>
      <c r="I720" s="43" t="n"/>
      <c r="J720" s="41" t="n"/>
      <c r="K720" s="41" t="n"/>
      <c r="L720" s="41" t="n"/>
      <c r="M720" s="31">
        <f>IF(COUNT(J720:L720)=0,"",MEDIAN(J720:L720))</f>
        <v/>
      </c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38" t="n"/>
      <c r="Y720" s="29" t="n"/>
      <c r="Z720" s="29" t="n"/>
      <c r="AA720" s="29" t="n"/>
      <c r="AB720" s="32" t="n"/>
      <c r="AC720" s="32" t="n"/>
    </row>
    <row r="721">
      <c r="A721" s="44" t="inlineStr">
        <is>
          <t>S14</t>
        </is>
      </c>
      <c r="B721" s="44" t="inlineStr">
        <is>
          <t>청송 신규점1</t>
        </is>
      </c>
      <c r="C721" s="44" t="inlineStr">
        <is>
          <t>S14-H북</t>
        </is>
      </c>
      <c r="D721" s="45" t="n">
        <v>1</v>
      </c>
      <c r="E721" s="44" t="inlineStr">
        <is>
          <t>P0(전)</t>
        </is>
      </c>
      <c r="F721" s="44" t="inlineStr">
        <is>
          <t>북</t>
        </is>
      </c>
      <c r="G721" s="46" t="n"/>
      <c r="H721" s="30" t="n"/>
      <c r="I721" s="43" t="n"/>
      <c r="J721" s="41" t="n"/>
      <c r="K721" s="41" t="n"/>
      <c r="L721" s="41" t="n"/>
      <c r="M721" s="31">
        <f>IF(COUNT(J721:L721)=0,"",MEDIAN(J721:L721))</f>
        <v/>
      </c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38" t="n"/>
      <c r="W721" s="38" t="n"/>
      <c r="X721" s="38" t="n"/>
      <c r="Y721" s="29" t="n"/>
      <c r="Z721" s="29" t="n"/>
      <c r="AA721" s="29" t="n"/>
      <c r="AB721" s="32" t="n"/>
      <c r="AC721" s="32" t="n"/>
    </row>
    <row r="722">
      <c r="A722" s="26" t="inlineStr">
        <is>
          <t>S14</t>
        </is>
      </c>
      <c r="B722" s="26" t="inlineStr">
        <is>
          <t>청송 신규점1</t>
        </is>
      </c>
      <c r="C722" s="26" t="inlineStr">
        <is>
          <t>S14-H북</t>
        </is>
      </c>
      <c r="D722" s="47" t="n">
        <v>1</v>
      </c>
      <c r="E722" s="26" t="inlineStr">
        <is>
          <t>측정</t>
        </is>
      </c>
      <c r="F722" s="26" t="inlineStr">
        <is>
          <t>북</t>
        </is>
      </c>
      <c r="G722" s="31" t="n">
        <v>0.5</v>
      </c>
      <c r="H722" s="30" t="n"/>
      <c r="I722" s="43" t="n"/>
      <c r="J722" s="41" t="n"/>
      <c r="K722" s="41" t="n"/>
      <c r="L722" s="41" t="n"/>
      <c r="M722" s="31">
        <f>IF(COUNT(J722:L722)=0,"",MEDIAN(J722:L722))</f>
        <v/>
      </c>
      <c r="N722" s="26">
        <f>IF(COUNTIFS($C:$C,$C722,$D:$D,$D722,$E:$E,"P0(전)",$M:$M,"&gt;0")&lt;&gt;1,"P0(전) 유효 1개 아님",IF(COUNTIFS($C:$C,$C722,$D:$D,$D722,$E:$E,"P0(후)",$M:$M,"&gt;0")&lt;&gt;1,"P0(후) 유효 1개 아님",IF(NOT(AND(ISNUMBER(O722),ISNUMBER(Q722),ISNUMBER(I722))),"시각 결측",IF(Q722&lt;=O722,"P0 시각 역전",IF(OR(I722&lt;O722,I722&gt;Q722),"측정시각 구간 밖","OK")))))</f>
        <v/>
      </c>
      <c r="O722" s="48">
        <f>IF(COUNTIFS($C:$C,$C722,$D:$D,$D722,$E:$E,"P0(전)",$M:$M,"&gt;0")&lt;&gt;1,"",SUMIFS($I:$I,$C:$C,$C722,$D:$D,$D722,$E:$E,"P0(전)"))</f>
        <v/>
      </c>
      <c r="P722" s="31">
        <f>IF(COUNTIFS($C:$C,$C722,$D:$D,$D722,$E:$E,"P0(전)",$M:$M,"&gt;0")&lt;&gt;1,"",SUMIFS($M:$M,$C:$C,$C722,$D:$D,$D722,$E:$E,"P0(전)"))</f>
        <v/>
      </c>
      <c r="Q722" s="48">
        <f>IF(COUNTIFS($C:$C,$C722,$D:$D,$D722,$E:$E,"P0(후)",$M:$M,"&gt;0")&lt;&gt;1,"",SUMIFS($I:$I,$C:$C,$C722,$D:$D,$D722,$E:$E,"P0(후)"))</f>
        <v/>
      </c>
      <c r="R722" s="31">
        <f>IF(COUNTIFS($C:$C,$C722,$D:$D,$D722,$E:$E,"P0(후)",$M:$M,"&gt;0")&lt;&gt;1,"",SUMIFS($M:$M,$C:$C,$C722,$D:$D,$D722,$E:$E,"P0(후)"))</f>
        <v/>
      </c>
      <c r="S722" s="31">
        <f>IF(N722&lt;&gt;"OK","",P722+(R722-P722)*(I722-O722)/(Q722-O722))</f>
        <v/>
      </c>
      <c r="T722" s="31">
        <f>IF(OR(N722&lt;&gt;"OK",NOT(ISNUMBER(M722))),"",M722-S722)</f>
        <v/>
      </c>
      <c r="U722" s="49">
        <f>IF(OR(NOT(ISNUMBER(T722)),IF(ISNUMBER(H722),H722,G722)=0),"",T722/IF(ISNUMBER(H722),H722,G722))</f>
        <v/>
      </c>
      <c r="V722" s="49">
        <f>IF(ISNUMBER(U722),ABS(U722),"")</f>
        <v/>
      </c>
      <c r="W722" s="49">
        <f>IF(OR($E721&lt;&gt;"측정",$C721&lt;&gt;$C722,$D721&lt;&gt;$D722,NOT(ISNUMBER(M722)),NOT(ISNUMBER(M721)),(IF(ISNUMBER(H722),H722,G722)-IF(ISNUMBER(H721),H721,G721))=0),"",(M722-M721)/(IF(ISNUMBER(H722),H722,G722)-IF(ISNUMBER(H721),H721,G721)))</f>
        <v/>
      </c>
      <c r="X722" s="31">
        <f>IF(NOT(AND(ISNUMBER(O722),ISNUMBER(Q722))),"",(Q722-O722)*1440)</f>
        <v/>
      </c>
      <c r="Y722" s="29" t="n"/>
      <c r="Z722" s="29" t="n"/>
      <c r="AA722" s="29" t="n"/>
      <c r="AB722" s="32" t="n"/>
      <c r="AC722" s="32" t="n"/>
    </row>
    <row r="723">
      <c r="A723" s="26" t="inlineStr">
        <is>
          <t>S14</t>
        </is>
      </c>
      <c r="B723" s="26" t="inlineStr">
        <is>
          <t>청송 신규점1</t>
        </is>
      </c>
      <c r="C723" s="26" t="inlineStr">
        <is>
          <t>S14-H북</t>
        </is>
      </c>
      <c r="D723" s="47" t="n">
        <v>1</v>
      </c>
      <c r="E723" s="26" t="inlineStr">
        <is>
          <t>측정</t>
        </is>
      </c>
      <c r="F723" s="26" t="inlineStr">
        <is>
          <t>북</t>
        </is>
      </c>
      <c r="G723" s="31" t="n">
        <v>1</v>
      </c>
      <c r="H723" s="30" t="n"/>
      <c r="I723" s="43" t="n"/>
      <c r="J723" s="41" t="n"/>
      <c r="K723" s="41" t="n"/>
      <c r="L723" s="41" t="n"/>
      <c r="M723" s="31">
        <f>IF(COUNT(J723:L723)=0,"",MEDIAN(J723:L723))</f>
        <v/>
      </c>
      <c r="N723" s="26">
        <f>IF(COUNTIFS($C:$C,$C723,$D:$D,$D723,$E:$E,"P0(전)",$M:$M,"&gt;0")&lt;&gt;1,"P0(전) 유효 1개 아님",IF(COUNTIFS($C:$C,$C723,$D:$D,$D723,$E:$E,"P0(후)",$M:$M,"&gt;0")&lt;&gt;1,"P0(후) 유효 1개 아님",IF(NOT(AND(ISNUMBER(O723),ISNUMBER(Q723),ISNUMBER(I723))),"시각 결측",IF(Q723&lt;=O723,"P0 시각 역전",IF(OR(I723&lt;O723,I723&gt;Q723),"측정시각 구간 밖","OK")))))</f>
        <v/>
      </c>
      <c r="O723" s="48">
        <f>IF(COUNTIFS($C:$C,$C723,$D:$D,$D723,$E:$E,"P0(전)",$M:$M,"&gt;0")&lt;&gt;1,"",SUMIFS($I:$I,$C:$C,$C723,$D:$D,$D723,$E:$E,"P0(전)"))</f>
        <v/>
      </c>
      <c r="P723" s="31">
        <f>IF(COUNTIFS($C:$C,$C723,$D:$D,$D723,$E:$E,"P0(전)",$M:$M,"&gt;0")&lt;&gt;1,"",SUMIFS($M:$M,$C:$C,$C723,$D:$D,$D723,$E:$E,"P0(전)"))</f>
        <v/>
      </c>
      <c r="Q723" s="48">
        <f>IF(COUNTIFS($C:$C,$C723,$D:$D,$D723,$E:$E,"P0(후)",$M:$M,"&gt;0")&lt;&gt;1,"",SUMIFS($I:$I,$C:$C,$C723,$D:$D,$D723,$E:$E,"P0(후)"))</f>
        <v/>
      </c>
      <c r="R723" s="31">
        <f>IF(COUNTIFS($C:$C,$C723,$D:$D,$D723,$E:$E,"P0(후)",$M:$M,"&gt;0")&lt;&gt;1,"",SUMIFS($M:$M,$C:$C,$C723,$D:$D,$D723,$E:$E,"P0(후)"))</f>
        <v/>
      </c>
      <c r="S723" s="31">
        <f>IF(N723&lt;&gt;"OK","",P723+(R723-P723)*(I723-O723)/(Q723-O723))</f>
        <v/>
      </c>
      <c r="T723" s="31">
        <f>IF(OR(N723&lt;&gt;"OK",NOT(ISNUMBER(M723))),"",M723-S723)</f>
        <v/>
      </c>
      <c r="U723" s="49">
        <f>IF(OR(NOT(ISNUMBER(T723)),IF(ISNUMBER(H723),H723,G723)=0),"",T723/IF(ISNUMBER(H723),H723,G723))</f>
        <v/>
      </c>
      <c r="V723" s="49">
        <f>IF(ISNUMBER(U723),ABS(U723),"")</f>
        <v/>
      </c>
      <c r="W723" s="49">
        <f>IF(OR($E722&lt;&gt;"측정",$C722&lt;&gt;$C723,$D722&lt;&gt;$D723,NOT(ISNUMBER(M723)),NOT(ISNUMBER(M722)),(IF(ISNUMBER(H723),H723,G723)-IF(ISNUMBER(H722),H722,G722))=0),"",(M723-M722)/(IF(ISNUMBER(H723),H723,G723)-IF(ISNUMBER(H722),H722,G722)))</f>
        <v/>
      </c>
      <c r="X723" s="31">
        <f>IF(NOT(AND(ISNUMBER(O723),ISNUMBER(Q723))),"",(Q723-O723)*1440)</f>
        <v/>
      </c>
      <c r="Y723" s="29" t="n"/>
      <c r="Z723" s="29" t="n"/>
      <c r="AA723" s="29" t="n"/>
      <c r="AB723" s="32" t="n"/>
      <c r="AC723" s="32" t="n"/>
    </row>
    <row r="724">
      <c r="A724" s="26" t="inlineStr">
        <is>
          <t>S14</t>
        </is>
      </c>
      <c r="B724" s="26" t="inlineStr">
        <is>
          <t>청송 신규점1</t>
        </is>
      </c>
      <c r="C724" s="26" t="inlineStr">
        <is>
          <t>S14-H북</t>
        </is>
      </c>
      <c r="D724" s="47" t="n">
        <v>1</v>
      </c>
      <c r="E724" s="26" t="inlineStr">
        <is>
          <t>측정</t>
        </is>
      </c>
      <c r="F724" s="26" t="inlineStr">
        <is>
          <t>북</t>
        </is>
      </c>
      <c r="G724" s="31" t="n">
        <v>2</v>
      </c>
      <c r="H724" s="30" t="n"/>
      <c r="I724" s="43" t="n"/>
      <c r="J724" s="41" t="n"/>
      <c r="K724" s="41" t="n"/>
      <c r="L724" s="41" t="n"/>
      <c r="M724" s="31">
        <f>IF(COUNT(J724:L724)=0,"",MEDIAN(J724:L724))</f>
        <v/>
      </c>
      <c r="N724" s="26">
        <f>IF(COUNTIFS($C:$C,$C724,$D:$D,$D724,$E:$E,"P0(전)",$M:$M,"&gt;0")&lt;&gt;1,"P0(전) 유효 1개 아님",IF(COUNTIFS($C:$C,$C724,$D:$D,$D724,$E:$E,"P0(후)",$M:$M,"&gt;0")&lt;&gt;1,"P0(후) 유효 1개 아님",IF(NOT(AND(ISNUMBER(O724),ISNUMBER(Q724),ISNUMBER(I724))),"시각 결측",IF(Q724&lt;=O724,"P0 시각 역전",IF(OR(I724&lt;O724,I724&gt;Q724),"측정시각 구간 밖","OK")))))</f>
        <v/>
      </c>
      <c r="O724" s="48">
        <f>IF(COUNTIFS($C:$C,$C724,$D:$D,$D724,$E:$E,"P0(전)",$M:$M,"&gt;0")&lt;&gt;1,"",SUMIFS($I:$I,$C:$C,$C724,$D:$D,$D724,$E:$E,"P0(전)"))</f>
        <v/>
      </c>
      <c r="P724" s="31">
        <f>IF(COUNTIFS($C:$C,$C724,$D:$D,$D724,$E:$E,"P0(전)",$M:$M,"&gt;0")&lt;&gt;1,"",SUMIFS($M:$M,$C:$C,$C724,$D:$D,$D724,$E:$E,"P0(전)"))</f>
        <v/>
      </c>
      <c r="Q724" s="48">
        <f>IF(COUNTIFS($C:$C,$C724,$D:$D,$D724,$E:$E,"P0(후)",$M:$M,"&gt;0")&lt;&gt;1,"",SUMIFS($I:$I,$C:$C,$C724,$D:$D,$D724,$E:$E,"P0(후)"))</f>
        <v/>
      </c>
      <c r="R724" s="31">
        <f>IF(COUNTIFS($C:$C,$C724,$D:$D,$D724,$E:$E,"P0(후)",$M:$M,"&gt;0")&lt;&gt;1,"",SUMIFS($M:$M,$C:$C,$C724,$D:$D,$D724,$E:$E,"P0(후)"))</f>
        <v/>
      </c>
      <c r="S724" s="31">
        <f>IF(N724&lt;&gt;"OK","",P724+(R724-P724)*(I724-O724)/(Q724-O724))</f>
        <v/>
      </c>
      <c r="T724" s="31">
        <f>IF(OR(N724&lt;&gt;"OK",NOT(ISNUMBER(M724))),"",M724-S724)</f>
        <v/>
      </c>
      <c r="U724" s="49">
        <f>IF(OR(NOT(ISNUMBER(T724)),IF(ISNUMBER(H724),H724,G724)=0),"",T724/IF(ISNUMBER(H724),H724,G724))</f>
        <v/>
      </c>
      <c r="V724" s="49">
        <f>IF(ISNUMBER(U724),ABS(U724),"")</f>
        <v/>
      </c>
      <c r="W724" s="49">
        <f>IF(OR($E723&lt;&gt;"측정",$C723&lt;&gt;$C724,$D723&lt;&gt;$D724,NOT(ISNUMBER(M724)),NOT(ISNUMBER(M723)),(IF(ISNUMBER(H724),H724,G724)-IF(ISNUMBER(H723),H723,G723))=0),"",(M724-M723)/(IF(ISNUMBER(H724),H724,G724)-IF(ISNUMBER(H723),H723,G723)))</f>
        <v/>
      </c>
      <c r="X724" s="31">
        <f>IF(NOT(AND(ISNUMBER(O724),ISNUMBER(Q724))),"",(Q724-O724)*1440)</f>
        <v/>
      </c>
      <c r="Y724" s="29" t="n"/>
      <c r="Z724" s="29" t="n"/>
      <c r="AA724" s="29" t="n"/>
      <c r="AB724" s="32" t="n"/>
      <c r="AC724" s="32" t="n"/>
    </row>
    <row r="725">
      <c r="A725" s="26" t="inlineStr">
        <is>
          <t>S14</t>
        </is>
      </c>
      <c r="B725" s="26" t="inlineStr">
        <is>
          <t>청송 신규점1</t>
        </is>
      </c>
      <c r="C725" s="26" t="inlineStr">
        <is>
          <t>S14-H북</t>
        </is>
      </c>
      <c r="D725" s="47" t="n">
        <v>1</v>
      </c>
      <c r="E725" s="26" t="inlineStr">
        <is>
          <t>측정</t>
        </is>
      </c>
      <c r="F725" s="26" t="inlineStr">
        <is>
          <t>북</t>
        </is>
      </c>
      <c r="G725" s="31" t="n">
        <v>3</v>
      </c>
      <c r="H725" s="30" t="n"/>
      <c r="I725" s="43" t="n"/>
      <c r="J725" s="41" t="n"/>
      <c r="K725" s="41" t="n"/>
      <c r="L725" s="41" t="n"/>
      <c r="M725" s="31">
        <f>IF(COUNT(J725:L725)=0,"",MEDIAN(J725:L725))</f>
        <v/>
      </c>
      <c r="N725" s="26">
        <f>IF(COUNTIFS($C:$C,$C725,$D:$D,$D725,$E:$E,"P0(전)",$M:$M,"&gt;0")&lt;&gt;1,"P0(전) 유효 1개 아님",IF(COUNTIFS($C:$C,$C725,$D:$D,$D725,$E:$E,"P0(후)",$M:$M,"&gt;0")&lt;&gt;1,"P0(후) 유효 1개 아님",IF(NOT(AND(ISNUMBER(O725),ISNUMBER(Q725),ISNUMBER(I725))),"시각 결측",IF(Q725&lt;=O725,"P0 시각 역전",IF(OR(I725&lt;O725,I725&gt;Q725),"측정시각 구간 밖","OK")))))</f>
        <v/>
      </c>
      <c r="O725" s="48">
        <f>IF(COUNTIFS($C:$C,$C725,$D:$D,$D725,$E:$E,"P0(전)",$M:$M,"&gt;0")&lt;&gt;1,"",SUMIFS($I:$I,$C:$C,$C725,$D:$D,$D725,$E:$E,"P0(전)"))</f>
        <v/>
      </c>
      <c r="P725" s="31">
        <f>IF(COUNTIFS($C:$C,$C725,$D:$D,$D725,$E:$E,"P0(전)",$M:$M,"&gt;0")&lt;&gt;1,"",SUMIFS($M:$M,$C:$C,$C725,$D:$D,$D725,$E:$E,"P0(전)"))</f>
        <v/>
      </c>
      <c r="Q725" s="48">
        <f>IF(COUNTIFS($C:$C,$C725,$D:$D,$D725,$E:$E,"P0(후)",$M:$M,"&gt;0")&lt;&gt;1,"",SUMIFS($I:$I,$C:$C,$C725,$D:$D,$D725,$E:$E,"P0(후)"))</f>
        <v/>
      </c>
      <c r="R725" s="31">
        <f>IF(COUNTIFS($C:$C,$C725,$D:$D,$D725,$E:$E,"P0(후)",$M:$M,"&gt;0")&lt;&gt;1,"",SUMIFS($M:$M,$C:$C,$C725,$D:$D,$D725,$E:$E,"P0(후)"))</f>
        <v/>
      </c>
      <c r="S725" s="31">
        <f>IF(N725&lt;&gt;"OK","",P725+(R725-P725)*(I725-O725)/(Q725-O725))</f>
        <v/>
      </c>
      <c r="T725" s="31">
        <f>IF(OR(N725&lt;&gt;"OK",NOT(ISNUMBER(M725))),"",M725-S725)</f>
        <v/>
      </c>
      <c r="U725" s="49">
        <f>IF(OR(NOT(ISNUMBER(T725)),IF(ISNUMBER(H725),H725,G725)=0),"",T725/IF(ISNUMBER(H725),H725,G725))</f>
        <v/>
      </c>
      <c r="V725" s="49">
        <f>IF(ISNUMBER(U725),ABS(U725),"")</f>
        <v/>
      </c>
      <c r="W725" s="49">
        <f>IF(OR($E724&lt;&gt;"측정",$C724&lt;&gt;$C725,$D724&lt;&gt;$D725,NOT(ISNUMBER(M725)),NOT(ISNUMBER(M724)),(IF(ISNUMBER(H725),H725,G725)-IF(ISNUMBER(H724),H724,G724))=0),"",(M725-M724)/(IF(ISNUMBER(H725),H725,G725)-IF(ISNUMBER(H724),H724,G724)))</f>
        <v/>
      </c>
      <c r="X725" s="31">
        <f>IF(NOT(AND(ISNUMBER(O725),ISNUMBER(Q725))),"",(Q725-O725)*1440)</f>
        <v/>
      </c>
      <c r="Y725" s="29" t="n"/>
      <c r="Z725" s="29" t="n"/>
      <c r="AA725" s="29" t="n"/>
      <c r="AB725" s="32" t="n"/>
      <c r="AC725" s="32" t="n"/>
    </row>
    <row r="726">
      <c r="A726" s="26" t="inlineStr">
        <is>
          <t>S14</t>
        </is>
      </c>
      <c r="B726" s="26" t="inlineStr">
        <is>
          <t>청송 신규점1</t>
        </is>
      </c>
      <c r="C726" s="26" t="inlineStr">
        <is>
          <t>S14-H북</t>
        </is>
      </c>
      <c r="D726" s="47" t="n">
        <v>1</v>
      </c>
      <c r="E726" s="26" t="inlineStr">
        <is>
          <t>측정</t>
        </is>
      </c>
      <c r="F726" s="26" t="inlineStr">
        <is>
          <t>북</t>
        </is>
      </c>
      <c r="G726" s="31" t="n">
        <v>4</v>
      </c>
      <c r="H726" s="30" t="n"/>
      <c r="I726" s="43" t="n"/>
      <c r="J726" s="41" t="n"/>
      <c r="K726" s="41" t="n"/>
      <c r="L726" s="41" t="n"/>
      <c r="M726" s="31">
        <f>IF(COUNT(J726:L726)=0,"",MEDIAN(J726:L726))</f>
        <v/>
      </c>
      <c r="N726" s="26">
        <f>IF(COUNTIFS($C:$C,$C726,$D:$D,$D726,$E:$E,"P0(전)",$M:$M,"&gt;0")&lt;&gt;1,"P0(전) 유효 1개 아님",IF(COUNTIFS($C:$C,$C726,$D:$D,$D726,$E:$E,"P0(후)",$M:$M,"&gt;0")&lt;&gt;1,"P0(후) 유효 1개 아님",IF(NOT(AND(ISNUMBER(O726),ISNUMBER(Q726),ISNUMBER(I726))),"시각 결측",IF(Q726&lt;=O726,"P0 시각 역전",IF(OR(I726&lt;O726,I726&gt;Q726),"측정시각 구간 밖","OK")))))</f>
        <v/>
      </c>
      <c r="O726" s="48">
        <f>IF(COUNTIFS($C:$C,$C726,$D:$D,$D726,$E:$E,"P0(전)",$M:$M,"&gt;0")&lt;&gt;1,"",SUMIFS($I:$I,$C:$C,$C726,$D:$D,$D726,$E:$E,"P0(전)"))</f>
        <v/>
      </c>
      <c r="P726" s="31">
        <f>IF(COUNTIFS($C:$C,$C726,$D:$D,$D726,$E:$E,"P0(전)",$M:$M,"&gt;0")&lt;&gt;1,"",SUMIFS($M:$M,$C:$C,$C726,$D:$D,$D726,$E:$E,"P0(전)"))</f>
        <v/>
      </c>
      <c r="Q726" s="48">
        <f>IF(COUNTIFS($C:$C,$C726,$D:$D,$D726,$E:$E,"P0(후)",$M:$M,"&gt;0")&lt;&gt;1,"",SUMIFS($I:$I,$C:$C,$C726,$D:$D,$D726,$E:$E,"P0(후)"))</f>
        <v/>
      </c>
      <c r="R726" s="31">
        <f>IF(COUNTIFS($C:$C,$C726,$D:$D,$D726,$E:$E,"P0(후)",$M:$M,"&gt;0")&lt;&gt;1,"",SUMIFS($M:$M,$C:$C,$C726,$D:$D,$D726,$E:$E,"P0(후)"))</f>
        <v/>
      </c>
      <c r="S726" s="31">
        <f>IF(N726&lt;&gt;"OK","",P726+(R726-P726)*(I726-O726)/(Q726-O726))</f>
        <v/>
      </c>
      <c r="T726" s="31">
        <f>IF(OR(N726&lt;&gt;"OK",NOT(ISNUMBER(M726))),"",M726-S726)</f>
        <v/>
      </c>
      <c r="U726" s="49">
        <f>IF(OR(NOT(ISNUMBER(T726)),IF(ISNUMBER(H726),H726,G726)=0),"",T726/IF(ISNUMBER(H726),H726,G726))</f>
        <v/>
      </c>
      <c r="V726" s="49">
        <f>IF(ISNUMBER(U726),ABS(U726),"")</f>
        <v/>
      </c>
      <c r="W726" s="49">
        <f>IF(OR($E725&lt;&gt;"측정",$C725&lt;&gt;$C726,$D725&lt;&gt;$D726,NOT(ISNUMBER(M726)),NOT(ISNUMBER(M725)),(IF(ISNUMBER(H726),H726,G726)-IF(ISNUMBER(H725),H725,G725))=0),"",(M726-M725)/(IF(ISNUMBER(H726),H726,G726)-IF(ISNUMBER(H725),H725,G725)))</f>
        <v/>
      </c>
      <c r="X726" s="31">
        <f>IF(NOT(AND(ISNUMBER(O726),ISNUMBER(Q726))),"",(Q726-O726)*1440)</f>
        <v/>
      </c>
      <c r="Y726" s="29" t="n"/>
      <c r="Z726" s="29" t="n"/>
      <c r="AA726" s="29" t="n"/>
      <c r="AB726" s="32" t="n"/>
      <c r="AC726" s="32" t="n"/>
    </row>
    <row r="727">
      <c r="A727" s="26" t="inlineStr">
        <is>
          <t>S14</t>
        </is>
      </c>
      <c r="B727" s="26" t="inlineStr">
        <is>
          <t>청송 신규점1</t>
        </is>
      </c>
      <c r="C727" s="26" t="inlineStr">
        <is>
          <t>S14-H북</t>
        </is>
      </c>
      <c r="D727" s="47" t="n">
        <v>1</v>
      </c>
      <c r="E727" s="26" t="inlineStr">
        <is>
          <t>측정</t>
        </is>
      </c>
      <c r="F727" s="26" t="inlineStr">
        <is>
          <t>북</t>
        </is>
      </c>
      <c r="G727" s="31" t="n">
        <v>5</v>
      </c>
      <c r="H727" s="30" t="n"/>
      <c r="I727" s="43" t="n"/>
      <c r="J727" s="41" t="n"/>
      <c r="K727" s="41" t="n"/>
      <c r="L727" s="41" t="n"/>
      <c r="M727" s="31">
        <f>IF(COUNT(J727:L727)=0,"",MEDIAN(J727:L727))</f>
        <v/>
      </c>
      <c r="N727" s="26">
        <f>IF(COUNTIFS($C:$C,$C727,$D:$D,$D727,$E:$E,"P0(전)",$M:$M,"&gt;0")&lt;&gt;1,"P0(전) 유효 1개 아님",IF(COUNTIFS($C:$C,$C727,$D:$D,$D727,$E:$E,"P0(후)",$M:$M,"&gt;0")&lt;&gt;1,"P0(후) 유효 1개 아님",IF(NOT(AND(ISNUMBER(O727),ISNUMBER(Q727),ISNUMBER(I727))),"시각 결측",IF(Q727&lt;=O727,"P0 시각 역전",IF(OR(I727&lt;O727,I727&gt;Q727),"측정시각 구간 밖","OK")))))</f>
        <v/>
      </c>
      <c r="O727" s="48">
        <f>IF(COUNTIFS($C:$C,$C727,$D:$D,$D727,$E:$E,"P0(전)",$M:$M,"&gt;0")&lt;&gt;1,"",SUMIFS($I:$I,$C:$C,$C727,$D:$D,$D727,$E:$E,"P0(전)"))</f>
        <v/>
      </c>
      <c r="P727" s="31">
        <f>IF(COUNTIFS($C:$C,$C727,$D:$D,$D727,$E:$E,"P0(전)",$M:$M,"&gt;0")&lt;&gt;1,"",SUMIFS($M:$M,$C:$C,$C727,$D:$D,$D727,$E:$E,"P0(전)"))</f>
        <v/>
      </c>
      <c r="Q727" s="48">
        <f>IF(COUNTIFS($C:$C,$C727,$D:$D,$D727,$E:$E,"P0(후)",$M:$M,"&gt;0")&lt;&gt;1,"",SUMIFS($I:$I,$C:$C,$C727,$D:$D,$D727,$E:$E,"P0(후)"))</f>
        <v/>
      </c>
      <c r="R727" s="31">
        <f>IF(COUNTIFS($C:$C,$C727,$D:$D,$D727,$E:$E,"P0(후)",$M:$M,"&gt;0")&lt;&gt;1,"",SUMIFS($M:$M,$C:$C,$C727,$D:$D,$D727,$E:$E,"P0(후)"))</f>
        <v/>
      </c>
      <c r="S727" s="31">
        <f>IF(N727&lt;&gt;"OK","",P727+(R727-P727)*(I727-O727)/(Q727-O727))</f>
        <v/>
      </c>
      <c r="T727" s="31">
        <f>IF(OR(N727&lt;&gt;"OK",NOT(ISNUMBER(M727))),"",M727-S727)</f>
        <v/>
      </c>
      <c r="U727" s="49">
        <f>IF(OR(NOT(ISNUMBER(T727)),IF(ISNUMBER(H727),H727,G727)=0),"",T727/IF(ISNUMBER(H727),H727,G727))</f>
        <v/>
      </c>
      <c r="V727" s="49">
        <f>IF(ISNUMBER(U727),ABS(U727),"")</f>
        <v/>
      </c>
      <c r="W727" s="49">
        <f>IF(OR($E726&lt;&gt;"측정",$C726&lt;&gt;$C727,$D726&lt;&gt;$D727,NOT(ISNUMBER(M727)),NOT(ISNUMBER(M726)),(IF(ISNUMBER(H727),H727,G727)-IF(ISNUMBER(H726),H726,G726))=0),"",(M727-M726)/(IF(ISNUMBER(H727),H727,G727)-IF(ISNUMBER(H726),H726,G726)))</f>
        <v/>
      </c>
      <c r="X727" s="31">
        <f>IF(NOT(AND(ISNUMBER(O727),ISNUMBER(Q727))),"",(Q727-O727)*1440)</f>
        <v/>
      </c>
      <c r="Y727" s="29" t="n"/>
      <c r="Z727" s="29" t="n"/>
      <c r="AA727" s="29" t="n"/>
      <c r="AB727" s="32" t="n"/>
      <c r="AC727" s="32" t="n"/>
    </row>
    <row r="728">
      <c r="A728" s="26" t="inlineStr">
        <is>
          <t>S14</t>
        </is>
      </c>
      <c r="B728" s="26" t="inlineStr">
        <is>
          <t>청송 신규점1</t>
        </is>
      </c>
      <c r="C728" s="26" t="inlineStr">
        <is>
          <t>S14-H북</t>
        </is>
      </c>
      <c r="D728" s="47" t="n">
        <v>1</v>
      </c>
      <c r="E728" s="26" t="inlineStr">
        <is>
          <t>측정</t>
        </is>
      </c>
      <c r="F728" s="26" t="inlineStr">
        <is>
          <t>북</t>
        </is>
      </c>
      <c r="G728" s="31" t="n">
        <v>6</v>
      </c>
      <c r="H728" s="30" t="n"/>
      <c r="I728" s="43" t="n"/>
      <c r="J728" s="41" t="n"/>
      <c r="K728" s="41" t="n"/>
      <c r="L728" s="41" t="n"/>
      <c r="M728" s="31">
        <f>IF(COUNT(J728:L728)=0,"",MEDIAN(J728:L728))</f>
        <v/>
      </c>
      <c r="N728" s="26">
        <f>IF(COUNTIFS($C:$C,$C728,$D:$D,$D728,$E:$E,"P0(전)",$M:$M,"&gt;0")&lt;&gt;1,"P0(전) 유효 1개 아님",IF(COUNTIFS($C:$C,$C728,$D:$D,$D728,$E:$E,"P0(후)",$M:$M,"&gt;0")&lt;&gt;1,"P0(후) 유효 1개 아님",IF(NOT(AND(ISNUMBER(O728),ISNUMBER(Q728),ISNUMBER(I728))),"시각 결측",IF(Q728&lt;=O728,"P0 시각 역전",IF(OR(I728&lt;O728,I728&gt;Q728),"측정시각 구간 밖","OK")))))</f>
        <v/>
      </c>
      <c r="O728" s="48">
        <f>IF(COUNTIFS($C:$C,$C728,$D:$D,$D728,$E:$E,"P0(전)",$M:$M,"&gt;0")&lt;&gt;1,"",SUMIFS($I:$I,$C:$C,$C728,$D:$D,$D728,$E:$E,"P0(전)"))</f>
        <v/>
      </c>
      <c r="P728" s="31">
        <f>IF(COUNTIFS($C:$C,$C728,$D:$D,$D728,$E:$E,"P0(전)",$M:$M,"&gt;0")&lt;&gt;1,"",SUMIFS($M:$M,$C:$C,$C728,$D:$D,$D728,$E:$E,"P0(전)"))</f>
        <v/>
      </c>
      <c r="Q728" s="48">
        <f>IF(COUNTIFS($C:$C,$C728,$D:$D,$D728,$E:$E,"P0(후)",$M:$M,"&gt;0")&lt;&gt;1,"",SUMIFS($I:$I,$C:$C,$C728,$D:$D,$D728,$E:$E,"P0(후)"))</f>
        <v/>
      </c>
      <c r="R728" s="31">
        <f>IF(COUNTIFS($C:$C,$C728,$D:$D,$D728,$E:$E,"P0(후)",$M:$M,"&gt;0")&lt;&gt;1,"",SUMIFS($M:$M,$C:$C,$C728,$D:$D,$D728,$E:$E,"P0(후)"))</f>
        <v/>
      </c>
      <c r="S728" s="31">
        <f>IF(N728&lt;&gt;"OK","",P728+(R728-P728)*(I728-O728)/(Q728-O728))</f>
        <v/>
      </c>
      <c r="T728" s="31">
        <f>IF(OR(N728&lt;&gt;"OK",NOT(ISNUMBER(M728))),"",M728-S728)</f>
        <v/>
      </c>
      <c r="U728" s="49">
        <f>IF(OR(NOT(ISNUMBER(T728)),IF(ISNUMBER(H728),H728,G728)=0),"",T728/IF(ISNUMBER(H728),H728,G728))</f>
        <v/>
      </c>
      <c r="V728" s="49">
        <f>IF(ISNUMBER(U728),ABS(U728),"")</f>
        <v/>
      </c>
      <c r="W728" s="49">
        <f>IF(OR($E727&lt;&gt;"측정",$C727&lt;&gt;$C728,$D727&lt;&gt;$D728,NOT(ISNUMBER(M728)),NOT(ISNUMBER(M727)),(IF(ISNUMBER(H728),H728,G728)-IF(ISNUMBER(H727),H727,G727))=0),"",(M728-M727)/(IF(ISNUMBER(H728),H728,G728)-IF(ISNUMBER(H727),H727,G727)))</f>
        <v/>
      </c>
      <c r="X728" s="31">
        <f>IF(NOT(AND(ISNUMBER(O728),ISNUMBER(Q728))),"",(Q728-O728)*1440)</f>
        <v/>
      </c>
      <c r="Y728" s="29" t="n"/>
      <c r="Z728" s="29" t="n"/>
      <c r="AA728" s="29" t="n"/>
      <c r="AB728" s="32" t="n"/>
      <c r="AC728" s="32" t="n"/>
    </row>
    <row r="729">
      <c r="A729" s="26" t="inlineStr">
        <is>
          <t>S14</t>
        </is>
      </c>
      <c r="B729" s="26" t="inlineStr">
        <is>
          <t>청송 신규점1</t>
        </is>
      </c>
      <c r="C729" s="26" t="inlineStr">
        <is>
          <t>S14-H북</t>
        </is>
      </c>
      <c r="D729" s="47" t="n">
        <v>1</v>
      </c>
      <c r="E729" s="26" t="inlineStr">
        <is>
          <t>측정</t>
        </is>
      </c>
      <c r="F729" s="26" t="inlineStr">
        <is>
          <t>북</t>
        </is>
      </c>
      <c r="G729" s="31" t="n">
        <v>7</v>
      </c>
      <c r="H729" s="30" t="n"/>
      <c r="I729" s="43" t="n"/>
      <c r="J729" s="41" t="n"/>
      <c r="K729" s="41" t="n"/>
      <c r="L729" s="41" t="n"/>
      <c r="M729" s="31">
        <f>IF(COUNT(J729:L729)=0,"",MEDIAN(J729:L729))</f>
        <v/>
      </c>
      <c r="N729" s="26">
        <f>IF(COUNTIFS($C:$C,$C729,$D:$D,$D729,$E:$E,"P0(전)",$M:$M,"&gt;0")&lt;&gt;1,"P0(전) 유효 1개 아님",IF(COUNTIFS($C:$C,$C729,$D:$D,$D729,$E:$E,"P0(후)",$M:$M,"&gt;0")&lt;&gt;1,"P0(후) 유효 1개 아님",IF(NOT(AND(ISNUMBER(O729),ISNUMBER(Q729),ISNUMBER(I729))),"시각 결측",IF(Q729&lt;=O729,"P0 시각 역전",IF(OR(I729&lt;O729,I729&gt;Q729),"측정시각 구간 밖","OK")))))</f>
        <v/>
      </c>
      <c r="O729" s="48">
        <f>IF(COUNTIFS($C:$C,$C729,$D:$D,$D729,$E:$E,"P0(전)",$M:$M,"&gt;0")&lt;&gt;1,"",SUMIFS($I:$I,$C:$C,$C729,$D:$D,$D729,$E:$E,"P0(전)"))</f>
        <v/>
      </c>
      <c r="P729" s="31">
        <f>IF(COUNTIFS($C:$C,$C729,$D:$D,$D729,$E:$E,"P0(전)",$M:$M,"&gt;0")&lt;&gt;1,"",SUMIFS($M:$M,$C:$C,$C729,$D:$D,$D729,$E:$E,"P0(전)"))</f>
        <v/>
      </c>
      <c r="Q729" s="48">
        <f>IF(COUNTIFS($C:$C,$C729,$D:$D,$D729,$E:$E,"P0(후)",$M:$M,"&gt;0")&lt;&gt;1,"",SUMIFS($I:$I,$C:$C,$C729,$D:$D,$D729,$E:$E,"P0(후)"))</f>
        <v/>
      </c>
      <c r="R729" s="31">
        <f>IF(COUNTIFS($C:$C,$C729,$D:$D,$D729,$E:$E,"P0(후)",$M:$M,"&gt;0")&lt;&gt;1,"",SUMIFS($M:$M,$C:$C,$C729,$D:$D,$D729,$E:$E,"P0(후)"))</f>
        <v/>
      </c>
      <c r="S729" s="31">
        <f>IF(N729&lt;&gt;"OK","",P729+(R729-P729)*(I729-O729)/(Q729-O729))</f>
        <v/>
      </c>
      <c r="T729" s="31">
        <f>IF(OR(N729&lt;&gt;"OK",NOT(ISNUMBER(M729))),"",M729-S729)</f>
        <v/>
      </c>
      <c r="U729" s="49">
        <f>IF(OR(NOT(ISNUMBER(T729)),IF(ISNUMBER(H729),H729,G729)=0),"",T729/IF(ISNUMBER(H729),H729,G729))</f>
        <v/>
      </c>
      <c r="V729" s="49">
        <f>IF(ISNUMBER(U729),ABS(U729),"")</f>
        <v/>
      </c>
      <c r="W729" s="49">
        <f>IF(OR($E728&lt;&gt;"측정",$C728&lt;&gt;$C729,$D728&lt;&gt;$D729,NOT(ISNUMBER(M729)),NOT(ISNUMBER(M728)),(IF(ISNUMBER(H729),H729,G729)-IF(ISNUMBER(H728),H728,G728))=0),"",(M729-M728)/(IF(ISNUMBER(H729),H729,G729)-IF(ISNUMBER(H728),H728,G728)))</f>
        <v/>
      </c>
      <c r="X729" s="31">
        <f>IF(NOT(AND(ISNUMBER(O729),ISNUMBER(Q729))),"",(Q729-O729)*1440)</f>
        <v/>
      </c>
      <c r="Y729" s="29" t="n"/>
      <c r="Z729" s="29" t="n"/>
      <c r="AA729" s="29" t="n"/>
      <c r="AB729" s="32" t="n"/>
      <c r="AC729" s="32" t="n"/>
    </row>
    <row r="730">
      <c r="A730" s="26" t="inlineStr">
        <is>
          <t>S14</t>
        </is>
      </c>
      <c r="B730" s="26" t="inlineStr">
        <is>
          <t>청송 신규점1</t>
        </is>
      </c>
      <c r="C730" s="26" t="inlineStr">
        <is>
          <t>S14-H북</t>
        </is>
      </c>
      <c r="D730" s="47" t="n">
        <v>1</v>
      </c>
      <c r="E730" s="26" t="inlineStr">
        <is>
          <t>측정</t>
        </is>
      </c>
      <c r="F730" s="26" t="inlineStr">
        <is>
          <t>북</t>
        </is>
      </c>
      <c r="G730" s="31" t="n">
        <v>8</v>
      </c>
      <c r="H730" s="30" t="n"/>
      <c r="I730" s="43" t="n"/>
      <c r="J730" s="41" t="n"/>
      <c r="K730" s="41" t="n"/>
      <c r="L730" s="41" t="n"/>
      <c r="M730" s="31">
        <f>IF(COUNT(J730:L730)=0,"",MEDIAN(J730:L730))</f>
        <v/>
      </c>
      <c r="N730" s="26">
        <f>IF(COUNTIFS($C:$C,$C730,$D:$D,$D730,$E:$E,"P0(전)",$M:$M,"&gt;0")&lt;&gt;1,"P0(전) 유효 1개 아님",IF(COUNTIFS($C:$C,$C730,$D:$D,$D730,$E:$E,"P0(후)",$M:$M,"&gt;0")&lt;&gt;1,"P0(후) 유효 1개 아님",IF(NOT(AND(ISNUMBER(O730),ISNUMBER(Q730),ISNUMBER(I730))),"시각 결측",IF(Q730&lt;=O730,"P0 시각 역전",IF(OR(I730&lt;O730,I730&gt;Q730),"측정시각 구간 밖","OK")))))</f>
        <v/>
      </c>
      <c r="O730" s="48">
        <f>IF(COUNTIFS($C:$C,$C730,$D:$D,$D730,$E:$E,"P0(전)",$M:$M,"&gt;0")&lt;&gt;1,"",SUMIFS($I:$I,$C:$C,$C730,$D:$D,$D730,$E:$E,"P0(전)"))</f>
        <v/>
      </c>
      <c r="P730" s="31">
        <f>IF(COUNTIFS($C:$C,$C730,$D:$D,$D730,$E:$E,"P0(전)",$M:$M,"&gt;0")&lt;&gt;1,"",SUMIFS($M:$M,$C:$C,$C730,$D:$D,$D730,$E:$E,"P0(전)"))</f>
        <v/>
      </c>
      <c r="Q730" s="48">
        <f>IF(COUNTIFS($C:$C,$C730,$D:$D,$D730,$E:$E,"P0(후)",$M:$M,"&gt;0")&lt;&gt;1,"",SUMIFS($I:$I,$C:$C,$C730,$D:$D,$D730,$E:$E,"P0(후)"))</f>
        <v/>
      </c>
      <c r="R730" s="31">
        <f>IF(COUNTIFS($C:$C,$C730,$D:$D,$D730,$E:$E,"P0(후)",$M:$M,"&gt;0")&lt;&gt;1,"",SUMIFS($M:$M,$C:$C,$C730,$D:$D,$D730,$E:$E,"P0(후)"))</f>
        <v/>
      </c>
      <c r="S730" s="31">
        <f>IF(N730&lt;&gt;"OK","",P730+(R730-P730)*(I730-O730)/(Q730-O730))</f>
        <v/>
      </c>
      <c r="T730" s="31">
        <f>IF(OR(N730&lt;&gt;"OK",NOT(ISNUMBER(M730))),"",M730-S730)</f>
        <v/>
      </c>
      <c r="U730" s="49">
        <f>IF(OR(NOT(ISNUMBER(T730)),IF(ISNUMBER(H730),H730,G730)=0),"",T730/IF(ISNUMBER(H730),H730,G730))</f>
        <v/>
      </c>
      <c r="V730" s="49">
        <f>IF(ISNUMBER(U730),ABS(U730),"")</f>
        <v/>
      </c>
      <c r="W730" s="49">
        <f>IF(OR($E729&lt;&gt;"측정",$C729&lt;&gt;$C730,$D729&lt;&gt;$D730,NOT(ISNUMBER(M730)),NOT(ISNUMBER(M729)),(IF(ISNUMBER(H730),H730,G730)-IF(ISNUMBER(H729),H729,G729))=0),"",(M730-M729)/(IF(ISNUMBER(H730),H730,G730)-IF(ISNUMBER(H729),H729,G729)))</f>
        <v/>
      </c>
      <c r="X730" s="31">
        <f>IF(NOT(AND(ISNUMBER(O730),ISNUMBER(Q730))),"",(Q730-O730)*1440)</f>
        <v/>
      </c>
      <c r="Y730" s="29" t="n"/>
      <c r="Z730" s="29" t="n"/>
      <c r="AA730" s="29" t="n"/>
      <c r="AB730" s="32" t="n"/>
      <c r="AC730" s="32" t="n"/>
    </row>
    <row r="731">
      <c r="A731" s="26" t="inlineStr">
        <is>
          <t>S14</t>
        </is>
      </c>
      <c r="B731" s="26" t="inlineStr">
        <is>
          <t>청송 신규점1</t>
        </is>
      </c>
      <c r="C731" s="26" t="inlineStr">
        <is>
          <t>S14-H북</t>
        </is>
      </c>
      <c r="D731" s="47" t="n">
        <v>1</v>
      </c>
      <c r="E731" s="26" t="inlineStr">
        <is>
          <t>측정</t>
        </is>
      </c>
      <c r="F731" s="26" t="inlineStr">
        <is>
          <t>북</t>
        </is>
      </c>
      <c r="G731" s="31" t="n">
        <v>9</v>
      </c>
      <c r="H731" s="30" t="n"/>
      <c r="I731" s="43" t="n"/>
      <c r="J731" s="41" t="n"/>
      <c r="K731" s="41" t="n"/>
      <c r="L731" s="41" t="n"/>
      <c r="M731" s="31">
        <f>IF(COUNT(J731:L731)=0,"",MEDIAN(J731:L731))</f>
        <v/>
      </c>
      <c r="N731" s="26">
        <f>IF(COUNTIFS($C:$C,$C731,$D:$D,$D731,$E:$E,"P0(전)",$M:$M,"&gt;0")&lt;&gt;1,"P0(전) 유효 1개 아님",IF(COUNTIFS($C:$C,$C731,$D:$D,$D731,$E:$E,"P0(후)",$M:$M,"&gt;0")&lt;&gt;1,"P0(후) 유효 1개 아님",IF(NOT(AND(ISNUMBER(O731),ISNUMBER(Q731),ISNUMBER(I731))),"시각 결측",IF(Q731&lt;=O731,"P0 시각 역전",IF(OR(I731&lt;O731,I731&gt;Q731),"측정시각 구간 밖","OK")))))</f>
        <v/>
      </c>
      <c r="O731" s="48">
        <f>IF(COUNTIFS($C:$C,$C731,$D:$D,$D731,$E:$E,"P0(전)",$M:$M,"&gt;0")&lt;&gt;1,"",SUMIFS($I:$I,$C:$C,$C731,$D:$D,$D731,$E:$E,"P0(전)"))</f>
        <v/>
      </c>
      <c r="P731" s="31">
        <f>IF(COUNTIFS($C:$C,$C731,$D:$D,$D731,$E:$E,"P0(전)",$M:$M,"&gt;0")&lt;&gt;1,"",SUMIFS($M:$M,$C:$C,$C731,$D:$D,$D731,$E:$E,"P0(전)"))</f>
        <v/>
      </c>
      <c r="Q731" s="48">
        <f>IF(COUNTIFS($C:$C,$C731,$D:$D,$D731,$E:$E,"P0(후)",$M:$M,"&gt;0")&lt;&gt;1,"",SUMIFS($I:$I,$C:$C,$C731,$D:$D,$D731,$E:$E,"P0(후)"))</f>
        <v/>
      </c>
      <c r="R731" s="31">
        <f>IF(COUNTIFS($C:$C,$C731,$D:$D,$D731,$E:$E,"P0(후)",$M:$M,"&gt;0")&lt;&gt;1,"",SUMIFS($M:$M,$C:$C,$C731,$D:$D,$D731,$E:$E,"P0(후)"))</f>
        <v/>
      </c>
      <c r="S731" s="31">
        <f>IF(N731&lt;&gt;"OK","",P731+(R731-P731)*(I731-O731)/(Q731-O731))</f>
        <v/>
      </c>
      <c r="T731" s="31">
        <f>IF(OR(N731&lt;&gt;"OK",NOT(ISNUMBER(M731))),"",M731-S731)</f>
        <v/>
      </c>
      <c r="U731" s="49">
        <f>IF(OR(NOT(ISNUMBER(T731)),IF(ISNUMBER(H731),H731,G731)=0),"",T731/IF(ISNUMBER(H731),H731,G731))</f>
        <v/>
      </c>
      <c r="V731" s="49">
        <f>IF(ISNUMBER(U731),ABS(U731),"")</f>
        <v/>
      </c>
      <c r="W731" s="49">
        <f>IF(OR($E730&lt;&gt;"측정",$C730&lt;&gt;$C731,$D730&lt;&gt;$D731,NOT(ISNUMBER(M731)),NOT(ISNUMBER(M730)),(IF(ISNUMBER(H731),H731,G731)-IF(ISNUMBER(H730),H730,G730))=0),"",(M731-M730)/(IF(ISNUMBER(H731),H731,G731)-IF(ISNUMBER(H730),H730,G730)))</f>
        <v/>
      </c>
      <c r="X731" s="31">
        <f>IF(NOT(AND(ISNUMBER(O731),ISNUMBER(Q731))),"",(Q731-O731)*1440)</f>
        <v/>
      </c>
      <c r="Y731" s="29" t="n"/>
      <c r="Z731" s="29" t="n"/>
      <c r="AA731" s="29" t="n"/>
      <c r="AB731" s="32" t="n"/>
      <c r="AC731" s="32" t="n"/>
    </row>
    <row r="732">
      <c r="A732" s="26" t="inlineStr">
        <is>
          <t>S14</t>
        </is>
      </c>
      <c r="B732" s="26" t="inlineStr">
        <is>
          <t>청송 신규점1</t>
        </is>
      </c>
      <c r="C732" s="26" t="inlineStr">
        <is>
          <t>S14-H북</t>
        </is>
      </c>
      <c r="D732" s="47" t="n">
        <v>1</v>
      </c>
      <c r="E732" s="26" t="inlineStr">
        <is>
          <t>측정</t>
        </is>
      </c>
      <c r="F732" s="26" t="inlineStr">
        <is>
          <t>북</t>
        </is>
      </c>
      <c r="G732" s="31" t="n">
        <v>10</v>
      </c>
      <c r="H732" s="30" t="n"/>
      <c r="I732" s="43" t="n"/>
      <c r="J732" s="41" t="n"/>
      <c r="K732" s="41" t="n"/>
      <c r="L732" s="41" t="n"/>
      <c r="M732" s="31">
        <f>IF(COUNT(J732:L732)=0,"",MEDIAN(J732:L732))</f>
        <v/>
      </c>
      <c r="N732" s="26">
        <f>IF(COUNTIFS($C:$C,$C732,$D:$D,$D732,$E:$E,"P0(전)",$M:$M,"&gt;0")&lt;&gt;1,"P0(전) 유효 1개 아님",IF(COUNTIFS($C:$C,$C732,$D:$D,$D732,$E:$E,"P0(후)",$M:$M,"&gt;0")&lt;&gt;1,"P0(후) 유효 1개 아님",IF(NOT(AND(ISNUMBER(O732),ISNUMBER(Q732),ISNUMBER(I732))),"시각 결측",IF(Q732&lt;=O732,"P0 시각 역전",IF(OR(I732&lt;O732,I732&gt;Q732),"측정시각 구간 밖","OK")))))</f>
        <v/>
      </c>
      <c r="O732" s="48">
        <f>IF(COUNTIFS($C:$C,$C732,$D:$D,$D732,$E:$E,"P0(전)",$M:$M,"&gt;0")&lt;&gt;1,"",SUMIFS($I:$I,$C:$C,$C732,$D:$D,$D732,$E:$E,"P0(전)"))</f>
        <v/>
      </c>
      <c r="P732" s="31">
        <f>IF(COUNTIFS($C:$C,$C732,$D:$D,$D732,$E:$E,"P0(전)",$M:$M,"&gt;0")&lt;&gt;1,"",SUMIFS($M:$M,$C:$C,$C732,$D:$D,$D732,$E:$E,"P0(전)"))</f>
        <v/>
      </c>
      <c r="Q732" s="48">
        <f>IF(COUNTIFS($C:$C,$C732,$D:$D,$D732,$E:$E,"P0(후)",$M:$M,"&gt;0")&lt;&gt;1,"",SUMIFS($I:$I,$C:$C,$C732,$D:$D,$D732,$E:$E,"P0(후)"))</f>
        <v/>
      </c>
      <c r="R732" s="31">
        <f>IF(COUNTIFS($C:$C,$C732,$D:$D,$D732,$E:$E,"P0(후)",$M:$M,"&gt;0")&lt;&gt;1,"",SUMIFS($M:$M,$C:$C,$C732,$D:$D,$D732,$E:$E,"P0(후)"))</f>
        <v/>
      </c>
      <c r="S732" s="31">
        <f>IF(N732&lt;&gt;"OK","",P732+(R732-P732)*(I732-O732)/(Q732-O732))</f>
        <v/>
      </c>
      <c r="T732" s="31">
        <f>IF(OR(N732&lt;&gt;"OK",NOT(ISNUMBER(M732))),"",M732-S732)</f>
        <v/>
      </c>
      <c r="U732" s="49">
        <f>IF(OR(NOT(ISNUMBER(T732)),IF(ISNUMBER(H732),H732,G732)=0),"",T732/IF(ISNUMBER(H732),H732,G732))</f>
        <v/>
      </c>
      <c r="V732" s="49">
        <f>IF(ISNUMBER(U732),ABS(U732),"")</f>
        <v/>
      </c>
      <c r="W732" s="49">
        <f>IF(OR($E731&lt;&gt;"측정",$C731&lt;&gt;$C732,$D731&lt;&gt;$D732,NOT(ISNUMBER(M732)),NOT(ISNUMBER(M731)),(IF(ISNUMBER(H732),H732,G732)-IF(ISNUMBER(H731),H731,G731))=0),"",(M732-M731)/(IF(ISNUMBER(H732),H732,G732)-IF(ISNUMBER(H731),H731,G731)))</f>
        <v/>
      </c>
      <c r="X732" s="31">
        <f>IF(NOT(AND(ISNUMBER(O732),ISNUMBER(Q732))),"",(Q732-O732)*1440)</f>
        <v/>
      </c>
      <c r="Y732" s="29" t="n"/>
      <c r="Z732" s="29" t="n"/>
      <c r="AA732" s="29" t="n"/>
      <c r="AB732" s="32" t="n"/>
      <c r="AC732" s="32" t="n"/>
    </row>
    <row r="733">
      <c r="A733" s="44" t="inlineStr">
        <is>
          <t>S14</t>
        </is>
      </c>
      <c r="B733" s="44" t="inlineStr">
        <is>
          <t>청송 신규점1</t>
        </is>
      </c>
      <c r="C733" s="44" t="inlineStr">
        <is>
          <t>S14-H북</t>
        </is>
      </c>
      <c r="D733" s="45" t="n">
        <v>1</v>
      </c>
      <c r="E733" s="44" t="inlineStr">
        <is>
          <t>P0(후)</t>
        </is>
      </c>
      <c r="F733" s="44" t="inlineStr">
        <is>
          <t>북</t>
        </is>
      </c>
      <c r="G733" s="46" t="n"/>
      <c r="H733" s="30" t="n"/>
      <c r="I733" s="43" t="n"/>
      <c r="J733" s="41" t="n"/>
      <c r="K733" s="41" t="n"/>
      <c r="L733" s="41" t="n"/>
      <c r="M733" s="31">
        <f>IF(COUNT(J733:L733)=0,"",MEDIAN(J733:L733))</f>
        <v/>
      </c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38" t="n"/>
      <c r="Y733" s="29" t="n"/>
      <c r="Z733" s="29" t="n"/>
      <c r="AA733" s="29" t="n"/>
      <c r="AB733" s="32" t="n"/>
      <c r="AC733" s="32" t="n"/>
    </row>
    <row r="734">
      <c r="A734" s="44" t="inlineStr">
        <is>
          <t>S15</t>
        </is>
      </c>
      <c r="B734" s="44" t="inlineStr">
        <is>
          <t>의성 신규점</t>
        </is>
      </c>
      <c r="C734" s="44" t="inlineStr">
        <is>
          <t>S15-H동</t>
        </is>
      </c>
      <c r="D734" s="45" t="n">
        <v>1</v>
      </c>
      <c r="E734" s="44" t="inlineStr">
        <is>
          <t>P0(전)</t>
        </is>
      </c>
      <c r="F734" s="44" t="inlineStr">
        <is>
          <t>동</t>
        </is>
      </c>
      <c r="G734" s="46" t="n"/>
      <c r="H734" s="30" t="n"/>
      <c r="I734" s="43" t="n"/>
      <c r="J734" s="41" t="n"/>
      <c r="K734" s="41" t="n"/>
      <c r="L734" s="41" t="n"/>
      <c r="M734" s="31">
        <f>IF(COUNT(J734:L734)=0,"",MEDIAN(J734:L734))</f>
        <v/>
      </c>
      <c r="N734" s="38" t="n"/>
      <c r="O734" s="38" t="n"/>
      <c r="P734" s="38" t="n"/>
      <c r="Q734" s="38" t="n"/>
      <c r="R734" s="38" t="n"/>
      <c r="S734" s="38" t="n"/>
      <c r="T734" s="38" t="n"/>
      <c r="U734" s="38" t="n"/>
      <c r="V734" s="38" t="n"/>
      <c r="W734" s="38" t="n"/>
      <c r="X734" s="38" t="n"/>
      <c r="Y734" s="29" t="n"/>
      <c r="Z734" s="29" t="n"/>
      <c r="AA734" s="29" t="n"/>
      <c r="AB734" s="32" t="n"/>
      <c r="AC734" s="32" t="n"/>
    </row>
    <row r="735">
      <c r="A735" s="26" t="inlineStr">
        <is>
          <t>S15</t>
        </is>
      </c>
      <c r="B735" s="26" t="inlineStr">
        <is>
          <t>의성 신규점</t>
        </is>
      </c>
      <c r="C735" s="26" t="inlineStr">
        <is>
          <t>S15-H동</t>
        </is>
      </c>
      <c r="D735" s="47" t="n">
        <v>1</v>
      </c>
      <c r="E735" s="26" t="inlineStr">
        <is>
          <t>측정</t>
        </is>
      </c>
      <c r="F735" s="26" t="inlineStr">
        <is>
          <t>동</t>
        </is>
      </c>
      <c r="G735" s="31" t="n">
        <v>0.5</v>
      </c>
      <c r="H735" s="30" t="n"/>
      <c r="I735" s="43" t="n"/>
      <c r="J735" s="41" t="n"/>
      <c r="K735" s="41" t="n"/>
      <c r="L735" s="41" t="n"/>
      <c r="M735" s="31">
        <f>IF(COUNT(J735:L735)=0,"",MEDIAN(J735:L735))</f>
        <v/>
      </c>
      <c r="N735" s="26">
        <f>IF(COUNTIFS($C:$C,$C735,$D:$D,$D735,$E:$E,"P0(전)",$M:$M,"&gt;0")&lt;&gt;1,"P0(전) 유효 1개 아님",IF(COUNTIFS($C:$C,$C735,$D:$D,$D735,$E:$E,"P0(후)",$M:$M,"&gt;0")&lt;&gt;1,"P0(후) 유효 1개 아님",IF(NOT(AND(ISNUMBER(O735),ISNUMBER(Q735),ISNUMBER(I735))),"시각 결측",IF(Q735&lt;=O735,"P0 시각 역전",IF(OR(I735&lt;O735,I735&gt;Q735),"측정시각 구간 밖","OK")))))</f>
        <v/>
      </c>
      <c r="O735" s="48">
        <f>IF(COUNTIFS($C:$C,$C735,$D:$D,$D735,$E:$E,"P0(전)",$M:$M,"&gt;0")&lt;&gt;1,"",SUMIFS($I:$I,$C:$C,$C735,$D:$D,$D735,$E:$E,"P0(전)"))</f>
        <v/>
      </c>
      <c r="P735" s="31">
        <f>IF(COUNTIFS($C:$C,$C735,$D:$D,$D735,$E:$E,"P0(전)",$M:$M,"&gt;0")&lt;&gt;1,"",SUMIFS($M:$M,$C:$C,$C735,$D:$D,$D735,$E:$E,"P0(전)"))</f>
        <v/>
      </c>
      <c r="Q735" s="48">
        <f>IF(COUNTIFS($C:$C,$C735,$D:$D,$D735,$E:$E,"P0(후)",$M:$M,"&gt;0")&lt;&gt;1,"",SUMIFS($I:$I,$C:$C,$C735,$D:$D,$D735,$E:$E,"P0(후)"))</f>
        <v/>
      </c>
      <c r="R735" s="31">
        <f>IF(COUNTIFS($C:$C,$C735,$D:$D,$D735,$E:$E,"P0(후)",$M:$M,"&gt;0")&lt;&gt;1,"",SUMIFS($M:$M,$C:$C,$C735,$D:$D,$D735,$E:$E,"P0(후)"))</f>
        <v/>
      </c>
      <c r="S735" s="31">
        <f>IF(N735&lt;&gt;"OK","",P735+(R735-P735)*(I735-O735)/(Q735-O735))</f>
        <v/>
      </c>
      <c r="T735" s="31">
        <f>IF(OR(N735&lt;&gt;"OK",NOT(ISNUMBER(M735))),"",M735-S735)</f>
        <v/>
      </c>
      <c r="U735" s="49">
        <f>IF(OR(NOT(ISNUMBER(T735)),IF(ISNUMBER(H735),H735,G735)=0),"",T735/IF(ISNUMBER(H735),H735,G735))</f>
        <v/>
      </c>
      <c r="V735" s="49">
        <f>IF(ISNUMBER(U735),ABS(U735),"")</f>
        <v/>
      </c>
      <c r="W735" s="49">
        <f>IF(OR($E734&lt;&gt;"측정",$C734&lt;&gt;$C735,$D734&lt;&gt;$D735,NOT(ISNUMBER(M735)),NOT(ISNUMBER(M734)),(IF(ISNUMBER(H735),H735,G735)-IF(ISNUMBER(H734),H734,G734))=0),"",(M735-M734)/(IF(ISNUMBER(H735),H735,G735)-IF(ISNUMBER(H734),H734,G734)))</f>
        <v/>
      </c>
      <c r="X735" s="31">
        <f>IF(NOT(AND(ISNUMBER(O735),ISNUMBER(Q735))),"",(Q735-O735)*1440)</f>
        <v/>
      </c>
      <c r="Y735" s="29" t="n"/>
      <c r="Z735" s="29" t="n"/>
      <c r="AA735" s="29" t="n"/>
      <c r="AB735" s="32" t="n"/>
      <c r="AC735" s="32" t="n"/>
    </row>
    <row r="736">
      <c r="A736" s="26" t="inlineStr">
        <is>
          <t>S15</t>
        </is>
      </c>
      <c r="B736" s="26" t="inlineStr">
        <is>
          <t>의성 신규점</t>
        </is>
      </c>
      <c r="C736" s="26" t="inlineStr">
        <is>
          <t>S15-H동</t>
        </is>
      </c>
      <c r="D736" s="47" t="n">
        <v>1</v>
      </c>
      <c r="E736" s="26" t="inlineStr">
        <is>
          <t>측정</t>
        </is>
      </c>
      <c r="F736" s="26" t="inlineStr">
        <is>
          <t>동</t>
        </is>
      </c>
      <c r="G736" s="31" t="n">
        <v>1</v>
      </c>
      <c r="H736" s="30" t="n"/>
      <c r="I736" s="43" t="n"/>
      <c r="J736" s="41" t="n"/>
      <c r="K736" s="41" t="n"/>
      <c r="L736" s="41" t="n"/>
      <c r="M736" s="31">
        <f>IF(COUNT(J736:L736)=0,"",MEDIAN(J736:L736))</f>
        <v/>
      </c>
      <c r="N736" s="26">
        <f>IF(COUNTIFS($C:$C,$C736,$D:$D,$D736,$E:$E,"P0(전)",$M:$M,"&gt;0")&lt;&gt;1,"P0(전) 유효 1개 아님",IF(COUNTIFS($C:$C,$C736,$D:$D,$D736,$E:$E,"P0(후)",$M:$M,"&gt;0")&lt;&gt;1,"P0(후) 유효 1개 아님",IF(NOT(AND(ISNUMBER(O736),ISNUMBER(Q736),ISNUMBER(I736))),"시각 결측",IF(Q736&lt;=O736,"P0 시각 역전",IF(OR(I736&lt;O736,I736&gt;Q736),"측정시각 구간 밖","OK")))))</f>
        <v/>
      </c>
      <c r="O736" s="48">
        <f>IF(COUNTIFS($C:$C,$C736,$D:$D,$D736,$E:$E,"P0(전)",$M:$M,"&gt;0")&lt;&gt;1,"",SUMIFS($I:$I,$C:$C,$C736,$D:$D,$D736,$E:$E,"P0(전)"))</f>
        <v/>
      </c>
      <c r="P736" s="31">
        <f>IF(COUNTIFS($C:$C,$C736,$D:$D,$D736,$E:$E,"P0(전)",$M:$M,"&gt;0")&lt;&gt;1,"",SUMIFS($M:$M,$C:$C,$C736,$D:$D,$D736,$E:$E,"P0(전)"))</f>
        <v/>
      </c>
      <c r="Q736" s="48">
        <f>IF(COUNTIFS($C:$C,$C736,$D:$D,$D736,$E:$E,"P0(후)",$M:$M,"&gt;0")&lt;&gt;1,"",SUMIFS($I:$I,$C:$C,$C736,$D:$D,$D736,$E:$E,"P0(후)"))</f>
        <v/>
      </c>
      <c r="R736" s="31">
        <f>IF(COUNTIFS($C:$C,$C736,$D:$D,$D736,$E:$E,"P0(후)",$M:$M,"&gt;0")&lt;&gt;1,"",SUMIFS($M:$M,$C:$C,$C736,$D:$D,$D736,$E:$E,"P0(후)"))</f>
        <v/>
      </c>
      <c r="S736" s="31">
        <f>IF(N736&lt;&gt;"OK","",P736+(R736-P736)*(I736-O736)/(Q736-O736))</f>
        <v/>
      </c>
      <c r="T736" s="31">
        <f>IF(OR(N736&lt;&gt;"OK",NOT(ISNUMBER(M736))),"",M736-S736)</f>
        <v/>
      </c>
      <c r="U736" s="49">
        <f>IF(OR(NOT(ISNUMBER(T736)),IF(ISNUMBER(H736),H736,G736)=0),"",T736/IF(ISNUMBER(H736),H736,G736))</f>
        <v/>
      </c>
      <c r="V736" s="49">
        <f>IF(ISNUMBER(U736),ABS(U736),"")</f>
        <v/>
      </c>
      <c r="W736" s="49">
        <f>IF(OR($E735&lt;&gt;"측정",$C735&lt;&gt;$C736,$D735&lt;&gt;$D736,NOT(ISNUMBER(M736)),NOT(ISNUMBER(M735)),(IF(ISNUMBER(H736),H736,G736)-IF(ISNUMBER(H735),H735,G735))=0),"",(M736-M735)/(IF(ISNUMBER(H736),H736,G736)-IF(ISNUMBER(H735),H735,G735)))</f>
        <v/>
      </c>
      <c r="X736" s="31">
        <f>IF(NOT(AND(ISNUMBER(O736),ISNUMBER(Q736))),"",(Q736-O736)*1440)</f>
        <v/>
      </c>
      <c r="Y736" s="29" t="n"/>
      <c r="Z736" s="29" t="n"/>
      <c r="AA736" s="29" t="n"/>
      <c r="AB736" s="32" t="n"/>
      <c r="AC736" s="32" t="n"/>
    </row>
    <row r="737">
      <c r="A737" s="26" t="inlineStr">
        <is>
          <t>S15</t>
        </is>
      </c>
      <c r="B737" s="26" t="inlineStr">
        <is>
          <t>의성 신규점</t>
        </is>
      </c>
      <c r="C737" s="26" t="inlineStr">
        <is>
          <t>S15-H동</t>
        </is>
      </c>
      <c r="D737" s="47" t="n">
        <v>1</v>
      </c>
      <c r="E737" s="26" t="inlineStr">
        <is>
          <t>측정</t>
        </is>
      </c>
      <c r="F737" s="26" t="inlineStr">
        <is>
          <t>동</t>
        </is>
      </c>
      <c r="G737" s="31" t="n">
        <v>2</v>
      </c>
      <c r="H737" s="30" t="n"/>
      <c r="I737" s="43" t="n"/>
      <c r="J737" s="41" t="n"/>
      <c r="K737" s="41" t="n"/>
      <c r="L737" s="41" t="n"/>
      <c r="M737" s="31">
        <f>IF(COUNT(J737:L737)=0,"",MEDIAN(J737:L737))</f>
        <v/>
      </c>
      <c r="N737" s="26">
        <f>IF(COUNTIFS($C:$C,$C737,$D:$D,$D737,$E:$E,"P0(전)",$M:$M,"&gt;0")&lt;&gt;1,"P0(전) 유효 1개 아님",IF(COUNTIFS($C:$C,$C737,$D:$D,$D737,$E:$E,"P0(후)",$M:$M,"&gt;0")&lt;&gt;1,"P0(후) 유효 1개 아님",IF(NOT(AND(ISNUMBER(O737),ISNUMBER(Q737),ISNUMBER(I737))),"시각 결측",IF(Q737&lt;=O737,"P0 시각 역전",IF(OR(I737&lt;O737,I737&gt;Q737),"측정시각 구간 밖","OK")))))</f>
        <v/>
      </c>
      <c r="O737" s="48">
        <f>IF(COUNTIFS($C:$C,$C737,$D:$D,$D737,$E:$E,"P0(전)",$M:$M,"&gt;0")&lt;&gt;1,"",SUMIFS($I:$I,$C:$C,$C737,$D:$D,$D737,$E:$E,"P0(전)"))</f>
        <v/>
      </c>
      <c r="P737" s="31">
        <f>IF(COUNTIFS($C:$C,$C737,$D:$D,$D737,$E:$E,"P0(전)",$M:$M,"&gt;0")&lt;&gt;1,"",SUMIFS($M:$M,$C:$C,$C737,$D:$D,$D737,$E:$E,"P0(전)"))</f>
        <v/>
      </c>
      <c r="Q737" s="48">
        <f>IF(COUNTIFS($C:$C,$C737,$D:$D,$D737,$E:$E,"P0(후)",$M:$M,"&gt;0")&lt;&gt;1,"",SUMIFS($I:$I,$C:$C,$C737,$D:$D,$D737,$E:$E,"P0(후)"))</f>
        <v/>
      </c>
      <c r="R737" s="31">
        <f>IF(COUNTIFS($C:$C,$C737,$D:$D,$D737,$E:$E,"P0(후)",$M:$M,"&gt;0")&lt;&gt;1,"",SUMIFS($M:$M,$C:$C,$C737,$D:$D,$D737,$E:$E,"P0(후)"))</f>
        <v/>
      </c>
      <c r="S737" s="31">
        <f>IF(N737&lt;&gt;"OK","",P737+(R737-P737)*(I737-O737)/(Q737-O737))</f>
        <v/>
      </c>
      <c r="T737" s="31">
        <f>IF(OR(N737&lt;&gt;"OK",NOT(ISNUMBER(M737))),"",M737-S737)</f>
        <v/>
      </c>
      <c r="U737" s="49">
        <f>IF(OR(NOT(ISNUMBER(T737)),IF(ISNUMBER(H737),H737,G737)=0),"",T737/IF(ISNUMBER(H737),H737,G737))</f>
        <v/>
      </c>
      <c r="V737" s="49">
        <f>IF(ISNUMBER(U737),ABS(U737),"")</f>
        <v/>
      </c>
      <c r="W737" s="49">
        <f>IF(OR($E736&lt;&gt;"측정",$C736&lt;&gt;$C737,$D736&lt;&gt;$D737,NOT(ISNUMBER(M737)),NOT(ISNUMBER(M736)),(IF(ISNUMBER(H737),H737,G737)-IF(ISNUMBER(H736),H736,G736))=0),"",(M737-M736)/(IF(ISNUMBER(H737),H737,G737)-IF(ISNUMBER(H736),H736,G736)))</f>
        <v/>
      </c>
      <c r="X737" s="31">
        <f>IF(NOT(AND(ISNUMBER(O737),ISNUMBER(Q737))),"",(Q737-O737)*1440)</f>
        <v/>
      </c>
      <c r="Y737" s="29" t="n"/>
      <c r="Z737" s="29" t="n"/>
      <c r="AA737" s="29" t="n"/>
      <c r="AB737" s="32" t="n"/>
      <c r="AC737" s="32" t="n"/>
    </row>
    <row r="738">
      <c r="A738" s="26" t="inlineStr">
        <is>
          <t>S15</t>
        </is>
      </c>
      <c r="B738" s="26" t="inlineStr">
        <is>
          <t>의성 신규점</t>
        </is>
      </c>
      <c r="C738" s="26" t="inlineStr">
        <is>
          <t>S15-H동</t>
        </is>
      </c>
      <c r="D738" s="47" t="n">
        <v>1</v>
      </c>
      <c r="E738" s="26" t="inlineStr">
        <is>
          <t>측정</t>
        </is>
      </c>
      <c r="F738" s="26" t="inlineStr">
        <is>
          <t>동</t>
        </is>
      </c>
      <c r="G738" s="31" t="n">
        <v>3</v>
      </c>
      <c r="H738" s="30" t="n"/>
      <c r="I738" s="43" t="n"/>
      <c r="J738" s="41" t="n"/>
      <c r="K738" s="41" t="n"/>
      <c r="L738" s="41" t="n"/>
      <c r="M738" s="31">
        <f>IF(COUNT(J738:L738)=0,"",MEDIAN(J738:L738))</f>
        <v/>
      </c>
      <c r="N738" s="26">
        <f>IF(COUNTIFS($C:$C,$C738,$D:$D,$D738,$E:$E,"P0(전)",$M:$M,"&gt;0")&lt;&gt;1,"P0(전) 유효 1개 아님",IF(COUNTIFS($C:$C,$C738,$D:$D,$D738,$E:$E,"P0(후)",$M:$M,"&gt;0")&lt;&gt;1,"P0(후) 유효 1개 아님",IF(NOT(AND(ISNUMBER(O738),ISNUMBER(Q738),ISNUMBER(I738))),"시각 결측",IF(Q738&lt;=O738,"P0 시각 역전",IF(OR(I738&lt;O738,I738&gt;Q738),"측정시각 구간 밖","OK")))))</f>
        <v/>
      </c>
      <c r="O738" s="48">
        <f>IF(COUNTIFS($C:$C,$C738,$D:$D,$D738,$E:$E,"P0(전)",$M:$M,"&gt;0")&lt;&gt;1,"",SUMIFS($I:$I,$C:$C,$C738,$D:$D,$D738,$E:$E,"P0(전)"))</f>
        <v/>
      </c>
      <c r="P738" s="31">
        <f>IF(COUNTIFS($C:$C,$C738,$D:$D,$D738,$E:$E,"P0(전)",$M:$M,"&gt;0")&lt;&gt;1,"",SUMIFS($M:$M,$C:$C,$C738,$D:$D,$D738,$E:$E,"P0(전)"))</f>
        <v/>
      </c>
      <c r="Q738" s="48">
        <f>IF(COUNTIFS($C:$C,$C738,$D:$D,$D738,$E:$E,"P0(후)",$M:$M,"&gt;0")&lt;&gt;1,"",SUMIFS($I:$I,$C:$C,$C738,$D:$D,$D738,$E:$E,"P0(후)"))</f>
        <v/>
      </c>
      <c r="R738" s="31">
        <f>IF(COUNTIFS($C:$C,$C738,$D:$D,$D738,$E:$E,"P0(후)",$M:$M,"&gt;0")&lt;&gt;1,"",SUMIFS($M:$M,$C:$C,$C738,$D:$D,$D738,$E:$E,"P0(후)"))</f>
        <v/>
      </c>
      <c r="S738" s="31">
        <f>IF(N738&lt;&gt;"OK","",P738+(R738-P738)*(I738-O738)/(Q738-O738))</f>
        <v/>
      </c>
      <c r="T738" s="31">
        <f>IF(OR(N738&lt;&gt;"OK",NOT(ISNUMBER(M738))),"",M738-S738)</f>
        <v/>
      </c>
      <c r="U738" s="49">
        <f>IF(OR(NOT(ISNUMBER(T738)),IF(ISNUMBER(H738),H738,G738)=0),"",T738/IF(ISNUMBER(H738),H738,G738))</f>
        <v/>
      </c>
      <c r="V738" s="49">
        <f>IF(ISNUMBER(U738),ABS(U738),"")</f>
        <v/>
      </c>
      <c r="W738" s="49">
        <f>IF(OR($E737&lt;&gt;"측정",$C737&lt;&gt;$C738,$D737&lt;&gt;$D738,NOT(ISNUMBER(M738)),NOT(ISNUMBER(M737)),(IF(ISNUMBER(H738),H738,G738)-IF(ISNUMBER(H737),H737,G737))=0),"",(M738-M737)/(IF(ISNUMBER(H738),H738,G738)-IF(ISNUMBER(H737),H737,G737)))</f>
        <v/>
      </c>
      <c r="X738" s="31">
        <f>IF(NOT(AND(ISNUMBER(O738),ISNUMBER(Q738))),"",(Q738-O738)*1440)</f>
        <v/>
      </c>
      <c r="Y738" s="29" t="n"/>
      <c r="Z738" s="29" t="n"/>
      <c r="AA738" s="29" t="n"/>
      <c r="AB738" s="32" t="n"/>
      <c r="AC738" s="32" t="n"/>
    </row>
    <row r="739">
      <c r="A739" s="26" t="inlineStr">
        <is>
          <t>S15</t>
        </is>
      </c>
      <c r="B739" s="26" t="inlineStr">
        <is>
          <t>의성 신규점</t>
        </is>
      </c>
      <c r="C739" s="26" t="inlineStr">
        <is>
          <t>S15-H동</t>
        </is>
      </c>
      <c r="D739" s="47" t="n">
        <v>1</v>
      </c>
      <c r="E739" s="26" t="inlineStr">
        <is>
          <t>측정</t>
        </is>
      </c>
      <c r="F739" s="26" t="inlineStr">
        <is>
          <t>동</t>
        </is>
      </c>
      <c r="G739" s="31" t="n">
        <v>4</v>
      </c>
      <c r="H739" s="30" t="n"/>
      <c r="I739" s="43" t="n"/>
      <c r="J739" s="41" t="n"/>
      <c r="K739" s="41" t="n"/>
      <c r="L739" s="41" t="n"/>
      <c r="M739" s="31">
        <f>IF(COUNT(J739:L739)=0,"",MEDIAN(J739:L739))</f>
        <v/>
      </c>
      <c r="N739" s="26">
        <f>IF(COUNTIFS($C:$C,$C739,$D:$D,$D739,$E:$E,"P0(전)",$M:$M,"&gt;0")&lt;&gt;1,"P0(전) 유효 1개 아님",IF(COUNTIFS($C:$C,$C739,$D:$D,$D739,$E:$E,"P0(후)",$M:$M,"&gt;0")&lt;&gt;1,"P0(후) 유효 1개 아님",IF(NOT(AND(ISNUMBER(O739),ISNUMBER(Q739),ISNUMBER(I739))),"시각 결측",IF(Q739&lt;=O739,"P0 시각 역전",IF(OR(I739&lt;O739,I739&gt;Q739),"측정시각 구간 밖","OK")))))</f>
        <v/>
      </c>
      <c r="O739" s="48">
        <f>IF(COUNTIFS($C:$C,$C739,$D:$D,$D739,$E:$E,"P0(전)",$M:$M,"&gt;0")&lt;&gt;1,"",SUMIFS($I:$I,$C:$C,$C739,$D:$D,$D739,$E:$E,"P0(전)"))</f>
        <v/>
      </c>
      <c r="P739" s="31">
        <f>IF(COUNTIFS($C:$C,$C739,$D:$D,$D739,$E:$E,"P0(전)",$M:$M,"&gt;0")&lt;&gt;1,"",SUMIFS($M:$M,$C:$C,$C739,$D:$D,$D739,$E:$E,"P0(전)"))</f>
        <v/>
      </c>
      <c r="Q739" s="48">
        <f>IF(COUNTIFS($C:$C,$C739,$D:$D,$D739,$E:$E,"P0(후)",$M:$M,"&gt;0")&lt;&gt;1,"",SUMIFS($I:$I,$C:$C,$C739,$D:$D,$D739,$E:$E,"P0(후)"))</f>
        <v/>
      </c>
      <c r="R739" s="31">
        <f>IF(COUNTIFS($C:$C,$C739,$D:$D,$D739,$E:$E,"P0(후)",$M:$M,"&gt;0")&lt;&gt;1,"",SUMIFS($M:$M,$C:$C,$C739,$D:$D,$D739,$E:$E,"P0(후)"))</f>
        <v/>
      </c>
      <c r="S739" s="31">
        <f>IF(N739&lt;&gt;"OK","",P739+(R739-P739)*(I739-O739)/(Q739-O739))</f>
        <v/>
      </c>
      <c r="T739" s="31">
        <f>IF(OR(N739&lt;&gt;"OK",NOT(ISNUMBER(M739))),"",M739-S739)</f>
        <v/>
      </c>
      <c r="U739" s="49">
        <f>IF(OR(NOT(ISNUMBER(T739)),IF(ISNUMBER(H739),H739,G739)=0),"",T739/IF(ISNUMBER(H739),H739,G739))</f>
        <v/>
      </c>
      <c r="V739" s="49">
        <f>IF(ISNUMBER(U739),ABS(U739),"")</f>
        <v/>
      </c>
      <c r="W739" s="49">
        <f>IF(OR($E738&lt;&gt;"측정",$C738&lt;&gt;$C739,$D738&lt;&gt;$D739,NOT(ISNUMBER(M739)),NOT(ISNUMBER(M738)),(IF(ISNUMBER(H739),H739,G739)-IF(ISNUMBER(H738),H738,G738))=0),"",(M739-M738)/(IF(ISNUMBER(H739),H739,G739)-IF(ISNUMBER(H738),H738,G738)))</f>
        <v/>
      </c>
      <c r="X739" s="31">
        <f>IF(NOT(AND(ISNUMBER(O739),ISNUMBER(Q739))),"",(Q739-O739)*1440)</f>
        <v/>
      </c>
      <c r="Y739" s="29" t="n"/>
      <c r="Z739" s="29" t="n"/>
      <c r="AA739" s="29" t="n"/>
      <c r="AB739" s="32" t="n"/>
      <c r="AC739" s="32" t="n"/>
    </row>
    <row r="740">
      <c r="A740" s="26" t="inlineStr">
        <is>
          <t>S15</t>
        </is>
      </c>
      <c r="B740" s="26" t="inlineStr">
        <is>
          <t>의성 신규점</t>
        </is>
      </c>
      <c r="C740" s="26" t="inlineStr">
        <is>
          <t>S15-H동</t>
        </is>
      </c>
      <c r="D740" s="47" t="n">
        <v>1</v>
      </c>
      <c r="E740" s="26" t="inlineStr">
        <is>
          <t>측정</t>
        </is>
      </c>
      <c r="F740" s="26" t="inlineStr">
        <is>
          <t>동</t>
        </is>
      </c>
      <c r="G740" s="31" t="n">
        <v>5</v>
      </c>
      <c r="H740" s="30" t="n"/>
      <c r="I740" s="43" t="n"/>
      <c r="J740" s="41" t="n"/>
      <c r="K740" s="41" t="n"/>
      <c r="L740" s="41" t="n"/>
      <c r="M740" s="31">
        <f>IF(COUNT(J740:L740)=0,"",MEDIAN(J740:L740))</f>
        <v/>
      </c>
      <c r="N740" s="26">
        <f>IF(COUNTIFS($C:$C,$C740,$D:$D,$D740,$E:$E,"P0(전)",$M:$M,"&gt;0")&lt;&gt;1,"P0(전) 유효 1개 아님",IF(COUNTIFS($C:$C,$C740,$D:$D,$D740,$E:$E,"P0(후)",$M:$M,"&gt;0")&lt;&gt;1,"P0(후) 유효 1개 아님",IF(NOT(AND(ISNUMBER(O740),ISNUMBER(Q740),ISNUMBER(I740))),"시각 결측",IF(Q740&lt;=O740,"P0 시각 역전",IF(OR(I740&lt;O740,I740&gt;Q740),"측정시각 구간 밖","OK")))))</f>
        <v/>
      </c>
      <c r="O740" s="48">
        <f>IF(COUNTIFS($C:$C,$C740,$D:$D,$D740,$E:$E,"P0(전)",$M:$M,"&gt;0")&lt;&gt;1,"",SUMIFS($I:$I,$C:$C,$C740,$D:$D,$D740,$E:$E,"P0(전)"))</f>
        <v/>
      </c>
      <c r="P740" s="31">
        <f>IF(COUNTIFS($C:$C,$C740,$D:$D,$D740,$E:$E,"P0(전)",$M:$M,"&gt;0")&lt;&gt;1,"",SUMIFS($M:$M,$C:$C,$C740,$D:$D,$D740,$E:$E,"P0(전)"))</f>
        <v/>
      </c>
      <c r="Q740" s="48">
        <f>IF(COUNTIFS($C:$C,$C740,$D:$D,$D740,$E:$E,"P0(후)",$M:$M,"&gt;0")&lt;&gt;1,"",SUMIFS($I:$I,$C:$C,$C740,$D:$D,$D740,$E:$E,"P0(후)"))</f>
        <v/>
      </c>
      <c r="R740" s="31">
        <f>IF(COUNTIFS($C:$C,$C740,$D:$D,$D740,$E:$E,"P0(후)",$M:$M,"&gt;0")&lt;&gt;1,"",SUMIFS($M:$M,$C:$C,$C740,$D:$D,$D740,$E:$E,"P0(후)"))</f>
        <v/>
      </c>
      <c r="S740" s="31">
        <f>IF(N740&lt;&gt;"OK","",P740+(R740-P740)*(I740-O740)/(Q740-O740))</f>
        <v/>
      </c>
      <c r="T740" s="31">
        <f>IF(OR(N740&lt;&gt;"OK",NOT(ISNUMBER(M740))),"",M740-S740)</f>
        <v/>
      </c>
      <c r="U740" s="49">
        <f>IF(OR(NOT(ISNUMBER(T740)),IF(ISNUMBER(H740),H740,G740)=0),"",T740/IF(ISNUMBER(H740),H740,G740))</f>
        <v/>
      </c>
      <c r="V740" s="49">
        <f>IF(ISNUMBER(U740),ABS(U740),"")</f>
        <v/>
      </c>
      <c r="W740" s="49">
        <f>IF(OR($E739&lt;&gt;"측정",$C739&lt;&gt;$C740,$D739&lt;&gt;$D740,NOT(ISNUMBER(M740)),NOT(ISNUMBER(M739)),(IF(ISNUMBER(H740),H740,G740)-IF(ISNUMBER(H739),H739,G739))=0),"",(M740-M739)/(IF(ISNUMBER(H740),H740,G740)-IF(ISNUMBER(H739),H739,G739)))</f>
        <v/>
      </c>
      <c r="X740" s="31">
        <f>IF(NOT(AND(ISNUMBER(O740),ISNUMBER(Q740))),"",(Q740-O740)*1440)</f>
        <v/>
      </c>
      <c r="Y740" s="29" t="n"/>
      <c r="Z740" s="29" t="n"/>
      <c r="AA740" s="29" t="n"/>
      <c r="AB740" s="32" t="n"/>
      <c r="AC740" s="32" t="n"/>
    </row>
    <row r="741">
      <c r="A741" s="26" t="inlineStr">
        <is>
          <t>S15</t>
        </is>
      </c>
      <c r="B741" s="26" t="inlineStr">
        <is>
          <t>의성 신규점</t>
        </is>
      </c>
      <c r="C741" s="26" t="inlineStr">
        <is>
          <t>S15-H동</t>
        </is>
      </c>
      <c r="D741" s="47" t="n">
        <v>1</v>
      </c>
      <c r="E741" s="26" t="inlineStr">
        <is>
          <t>측정</t>
        </is>
      </c>
      <c r="F741" s="26" t="inlineStr">
        <is>
          <t>동</t>
        </is>
      </c>
      <c r="G741" s="31" t="n">
        <v>6</v>
      </c>
      <c r="H741" s="30" t="n"/>
      <c r="I741" s="43" t="n"/>
      <c r="J741" s="41" t="n"/>
      <c r="K741" s="41" t="n"/>
      <c r="L741" s="41" t="n"/>
      <c r="M741" s="31">
        <f>IF(COUNT(J741:L741)=0,"",MEDIAN(J741:L741))</f>
        <v/>
      </c>
      <c r="N741" s="26">
        <f>IF(COUNTIFS($C:$C,$C741,$D:$D,$D741,$E:$E,"P0(전)",$M:$M,"&gt;0")&lt;&gt;1,"P0(전) 유효 1개 아님",IF(COUNTIFS($C:$C,$C741,$D:$D,$D741,$E:$E,"P0(후)",$M:$M,"&gt;0")&lt;&gt;1,"P0(후) 유효 1개 아님",IF(NOT(AND(ISNUMBER(O741),ISNUMBER(Q741),ISNUMBER(I741))),"시각 결측",IF(Q741&lt;=O741,"P0 시각 역전",IF(OR(I741&lt;O741,I741&gt;Q741),"측정시각 구간 밖","OK")))))</f>
        <v/>
      </c>
      <c r="O741" s="48">
        <f>IF(COUNTIFS($C:$C,$C741,$D:$D,$D741,$E:$E,"P0(전)",$M:$M,"&gt;0")&lt;&gt;1,"",SUMIFS($I:$I,$C:$C,$C741,$D:$D,$D741,$E:$E,"P0(전)"))</f>
        <v/>
      </c>
      <c r="P741" s="31">
        <f>IF(COUNTIFS($C:$C,$C741,$D:$D,$D741,$E:$E,"P0(전)",$M:$M,"&gt;0")&lt;&gt;1,"",SUMIFS($M:$M,$C:$C,$C741,$D:$D,$D741,$E:$E,"P0(전)"))</f>
        <v/>
      </c>
      <c r="Q741" s="48">
        <f>IF(COUNTIFS($C:$C,$C741,$D:$D,$D741,$E:$E,"P0(후)",$M:$M,"&gt;0")&lt;&gt;1,"",SUMIFS($I:$I,$C:$C,$C741,$D:$D,$D741,$E:$E,"P0(후)"))</f>
        <v/>
      </c>
      <c r="R741" s="31">
        <f>IF(COUNTIFS($C:$C,$C741,$D:$D,$D741,$E:$E,"P0(후)",$M:$M,"&gt;0")&lt;&gt;1,"",SUMIFS($M:$M,$C:$C,$C741,$D:$D,$D741,$E:$E,"P0(후)"))</f>
        <v/>
      </c>
      <c r="S741" s="31">
        <f>IF(N741&lt;&gt;"OK","",P741+(R741-P741)*(I741-O741)/(Q741-O741))</f>
        <v/>
      </c>
      <c r="T741" s="31">
        <f>IF(OR(N741&lt;&gt;"OK",NOT(ISNUMBER(M741))),"",M741-S741)</f>
        <v/>
      </c>
      <c r="U741" s="49">
        <f>IF(OR(NOT(ISNUMBER(T741)),IF(ISNUMBER(H741),H741,G741)=0),"",T741/IF(ISNUMBER(H741),H741,G741))</f>
        <v/>
      </c>
      <c r="V741" s="49">
        <f>IF(ISNUMBER(U741),ABS(U741),"")</f>
        <v/>
      </c>
      <c r="W741" s="49">
        <f>IF(OR($E740&lt;&gt;"측정",$C740&lt;&gt;$C741,$D740&lt;&gt;$D741,NOT(ISNUMBER(M741)),NOT(ISNUMBER(M740)),(IF(ISNUMBER(H741),H741,G741)-IF(ISNUMBER(H740),H740,G740))=0),"",(M741-M740)/(IF(ISNUMBER(H741),H741,G741)-IF(ISNUMBER(H740),H740,G740)))</f>
        <v/>
      </c>
      <c r="X741" s="31">
        <f>IF(NOT(AND(ISNUMBER(O741),ISNUMBER(Q741))),"",(Q741-O741)*1440)</f>
        <v/>
      </c>
      <c r="Y741" s="29" t="n"/>
      <c r="Z741" s="29" t="n"/>
      <c r="AA741" s="29" t="n"/>
      <c r="AB741" s="32" t="n"/>
      <c r="AC741" s="32" t="n"/>
    </row>
    <row r="742">
      <c r="A742" s="26" t="inlineStr">
        <is>
          <t>S15</t>
        </is>
      </c>
      <c r="B742" s="26" t="inlineStr">
        <is>
          <t>의성 신규점</t>
        </is>
      </c>
      <c r="C742" s="26" t="inlineStr">
        <is>
          <t>S15-H동</t>
        </is>
      </c>
      <c r="D742" s="47" t="n">
        <v>1</v>
      </c>
      <c r="E742" s="26" t="inlineStr">
        <is>
          <t>측정</t>
        </is>
      </c>
      <c r="F742" s="26" t="inlineStr">
        <is>
          <t>동</t>
        </is>
      </c>
      <c r="G742" s="31" t="n">
        <v>7</v>
      </c>
      <c r="H742" s="30" t="n"/>
      <c r="I742" s="43" t="n"/>
      <c r="J742" s="41" t="n"/>
      <c r="K742" s="41" t="n"/>
      <c r="L742" s="41" t="n"/>
      <c r="M742" s="31">
        <f>IF(COUNT(J742:L742)=0,"",MEDIAN(J742:L742))</f>
        <v/>
      </c>
      <c r="N742" s="26">
        <f>IF(COUNTIFS($C:$C,$C742,$D:$D,$D742,$E:$E,"P0(전)",$M:$M,"&gt;0")&lt;&gt;1,"P0(전) 유효 1개 아님",IF(COUNTIFS($C:$C,$C742,$D:$D,$D742,$E:$E,"P0(후)",$M:$M,"&gt;0")&lt;&gt;1,"P0(후) 유효 1개 아님",IF(NOT(AND(ISNUMBER(O742),ISNUMBER(Q742),ISNUMBER(I742))),"시각 결측",IF(Q742&lt;=O742,"P0 시각 역전",IF(OR(I742&lt;O742,I742&gt;Q742),"측정시각 구간 밖","OK")))))</f>
        <v/>
      </c>
      <c r="O742" s="48">
        <f>IF(COUNTIFS($C:$C,$C742,$D:$D,$D742,$E:$E,"P0(전)",$M:$M,"&gt;0")&lt;&gt;1,"",SUMIFS($I:$I,$C:$C,$C742,$D:$D,$D742,$E:$E,"P0(전)"))</f>
        <v/>
      </c>
      <c r="P742" s="31">
        <f>IF(COUNTIFS($C:$C,$C742,$D:$D,$D742,$E:$E,"P0(전)",$M:$M,"&gt;0")&lt;&gt;1,"",SUMIFS($M:$M,$C:$C,$C742,$D:$D,$D742,$E:$E,"P0(전)"))</f>
        <v/>
      </c>
      <c r="Q742" s="48">
        <f>IF(COUNTIFS($C:$C,$C742,$D:$D,$D742,$E:$E,"P0(후)",$M:$M,"&gt;0")&lt;&gt;1,"",SUMIFS($I:$I,$C:$C,$C742,$D:$D,$D742,$E:$E,"P0(후)"))</f>
        <v/>
      </c>
      <c r="R742" s="31">
        <f>IF(COUNTIFS($C:$C,$C742,$D:$D,$D742,$E:$E,"P0(후)",$M:$M,"&gt;0")&lt;&gt;1,"",SUMIFS($M:$M,$C:$C,$C742,$D:$D,$D742,$E:$E,"P0(후)"))</f>
        <v/>
      </c>
      <c r="S742" s="31">
        <f>IF(N742&lt;&gt;"OK","",P742+(R742-P742)*(I742-O742)/(Q742-O742))</f>
        <v/>
      </c>
      <c r="T742" s="31">
        <f>IF(OR(N742&lt;&gt;"OK",NOT(ISNUMBER(M742))),"",M742-S742)</f>
        <v/>
      </c>
      <c r="U742" s="49">
        <f>IF(OR(NOT(ISNUMBER(T742)),IF(ISNUMBER(H742),H742,G742)=0),"",T742/IF(ISNUMBER(H742),H742,G742))</f>
        <v/>
      </c>
      <c r="V742" s="49">
        <f>IF(ISNUMBER(U742),ABS(U742),"")</f>
        <v/>
      </c>
      <c r="W742" s="49">
        <f>IF(OR($E741&lt;&gt;"측정",$C741&lt;&gt;$C742,$D741&lt;&gt;$D742,NOT(ISNUMBER(M742)),NOT(ISNUMBER(M741)),(IF(ISNUMBER(H742),H742,G742)-IF(ISNUMBER(H741),H741,G741))=0),"",(M742-M741)/(IF(ISNUMBER(H742),H742,G742)-IF(ISNUMBER(H741),H741,G741)))</f>
        <v/>
      </c>
      <c r="X742" s="31">
        <f>IF(NOT(AND(ISNUMBER(O742),ISNUMBER(Q742))),"",(Q742-O742)*1440)</f>
        <v/>
      </c>
      <c r="Y742" s="29" t="n"/>
      <c r="Z742" s="29" t="n"/>
      <c r="AA742" s="29" t="n"/>
      <c r="AB742" s="32" t="n"/>
      <c r="AC742" s="32" t="n"/>
    </row>
    <row r="743">
      <c r="A743" s="26" t="inlineStr">
        <is>
          <t>S15</t>
        </is>
      </c>
      <c r="B743" s="26" t="inlineStr">
        <is>
          <t>의성 신규점</t>
        </is>
      </c>
      <c r="C743" s="26" t="inlineStr">
        <is>
          <t>S15-H동</t>
        </is>
      </c>
      <c r="D743" s="47" t="n">
        <v>1</v>
      </c>
      <c r="E743" s="26" t="inlineStr">
        <is>
          <t>측정</t>
        </is>
      </c>
      <c r="F743" s="26" t="inlineStr">
        <is>
          <t>동</t>
        </is>
      </c>
      <c r="G743" s="31" t="n">
        <v>8</v>
      </c>
      <c r="H743" s="30" t="n"/>
      <c r="I743" s="43" t="n"/>
      <c r="J743" s="41" t="n"/>
      <c r="K743" s="41" t="n"/>
      <c r="L743" s="41" t="n"/>
      <c r="M743" s="31">
        <f>IF(COUNT(J743:L743)=0,"",MEDIAN(J743:L743))</f>
        <v/>
      </c>
      <c r="N743" s="26">
        <f>IF(COUNTIFS($C:$C,$C743,$D:$D,$D743,$E:$E,"P0(전)",$M:$M,"&gt;0")&lt;&gt;1,"P0(전) 유효 1개 아님",IF(COUNTIFS($C:$C,$C743,$D:$D,$D743,$E:$E,"P0(후)",$M:$M,"&gt;0")&lt;&gt;1,"P0(후) 유효 1개 아님",IF(NOT(AND(ISNUMBER(O743),ISNUMBER(Q743),ISNUMBER(I743))),"시각 결측",IF(Q743&lt;=O743,"P0 시각 역전",IF(OR(I743&lt;O743,I743&gt;Q743),"측정시각 구간 밖","OK")))))</f>
        <v/>
      </c>
      <c r="O743" s="48">
        <f>IF(COUNTIFS($C:$C,$C743,$D:$D,$D743,$E:$E,"P0(전)",$M:$M,"&gt;0")&lt;&gt;1,"",SUMIFS($I:$I,$C:$C,$C743,$D:$D,$D743,$E:$E,"P0(전)"))</f>
        <v/>
      </c>
      <c r="P743" s="31">
        <f>IF(COUNTIFS($C:$C,$C743,$D:$D,$D743,$E:$E,"P0(전)",$M:$M,"&gt;0")&lt;&gt;1,"",SUMIFS($M:$M,$C:$C,$C743,$D:$D,$D743,$E:$E,"P0(전)"))</f>
        <v/>
      </c>
      <c r="Q743" s="48">
        <f>IF(COUNTIFS($C:$C,$C743,$D:$D,$D743,$E:$E,"P0(후)",$M:$M,"&gt;0")&lt;&gt;1,"",SUMIFS($I:$I,$C:$C,$C743,$D:$D,$D743,$E:$E,"P0(후)"))</f>
        <v/>
      </c>
      <c r="R743" s="31">
        <f>IF(COUNTIFS($C:$C,$C743,$D:$D,$D743,$E:$E,"P0(후)",$M:$M,"&gt;0")&lt;&gt;1,"",SUMIFS($M:$M,$C:$C,$C743,$D:$D,$D743,$E:$E,"P0(후)"))</f>
        <v/>
      </c>
      <c r="S743" s="31">
        <f>IF(N743&lt;&gt;"OK","",P743+(R743-P743)*(I743-O743)/(Q743-O743))</f>
        <v/>
      </c>
      <c r="T743" s="31">
        <f>IF(OR(N743&lt;&gt;"OK",NOT(ISNUMBER(M743))),"",M743-S743)</f>
        <v/>
      </c>
      <c r="U743" s="49">
        <f>IF(OR(NOT(ISNUMBER(T743)),IF(ISNUMBER(H743),H743,G743)=0),"",T743/IF(ISNUMBER(H743),H743,G743))</f>
        <v/>
      </c>
      <c r="V743" s="49">
        <f>IF(ISNUMBER(U743),ABS(U743),"")</f>
        <v/>
      </c>
      <c r="W743" s="49">
        <f>IF(OR($E742&lt;&gt;"측정",$C742&lt;&gt;$C743,$D742&lt;&gt;$D743,NOT(ISNUMBER(M743)),NOT(ISNUMBER(M742)),(IF(ISNUMBER(H743),H743,G743)-IF(ISNUMBER(H742),H742,G742))=0),"",(M743-M742)/(IF(ISNUMBER(H743),H743,G743)-IF(ISNUMBER(H742),H742,G742)))</f>
        <v/>
      </c>
      <c r="X743" s="31">
        <f>IF(NOT(AND(ISNUMBER(O743),ISNUMBER(Q743))),"",(Q743-O743)*1440)</f>
        <v/>
      </c>
      <c r="Y743" s="29" t="n"/>
      <c r="Z743" s="29" t="n"/>
      <c r="AA743" s="29" t="n"/>
      <c r="AB743" s="32" t="n"/>
      <c r="AC743" s="32" t="n"/>
    </row>
    <row r="744">
      <c r="A744" s="26" t="inlineStr">
        <is>
          <t>S15</t>
        </is>
      </c>
      <c r="B744" s="26" t="inlineStr">
        <is>
          <t>의성 신규점</t>
        </is>
      </c>
      <c r="C744" s="26" t="inlineStr">
        <is>
          <t>S15-H동</t>
        </is>
      </c>
      <c r="D744" s="47" t="n">
        <v>1</v>
      </c>
      <c r="E744" s="26" t="inlineStr">
        <is>
          <t>측정</t>
        </is>
      </c>
      <c r="F744" s="26" t="inlineStr">
        <is>
          <t>동</t>
        </is>
      </c>
      <c r="G744" s="31" t="n">
        <v>9</v>
      </c>
      <c r="H744" s="30" t="n"/>
      <c r="I744" s="43" t="n"/>
      <c r="J744" s="41" t="n"/>
      <c r="K744" s="41" t="n"/>
      <c r="L744" s="41" t="n"/>
      <c r="M744" s="31">
        <f>IF(COUNT(J744:L744)=0,"",MEDIAN(J744:L744))</f>
        <v/>
      </c>
      <c r="N744" s="26">
        <f>IF(COUNTIFS($C:$C,$C744,$D:$D,$D744,$E:$E,"P0(전)",$M:$M,"&gt;0")&lt;&gt;1,"P0(전) 유효 1개 아님",IF(COUNTIFS($C:$C,$C744,$D:$D,$D744,$E:$E,"P0(후)",$M:$M,"&gt;0")&lt;&gt;1,"P0(후) 유효 1개 아님",IF(NOT(AND(ISNUMBER(O744),ISNUMBER(Q744),ISNUMBER(I744))),"시각 결측",IF(Q744&lt;=O744,"P0 시각 역전",IF(OR(I744&lt;O744,I744&gt;Q744),"측정시각 구간 밖","OK")))))</f>
        <v/>
      </c>
      <c r="O744" s="48">
        <f>IF(COUNTIFS($C:$C,$C744,$D:$D,$D744,$E:$E,"P0(전)",$M:$M,"&gt;0")&lt;&gt;1,"",SUMIFS($I:$I,$C:$C,$C744,$D:$D,$D744,$E:$E,"P0(전)"))</f>
        <v/>
      </c>
      <c r="P744" s="31">
        <f>IF(COUNTIFS($C:$C,$C744,$D:$D,$D744,$E:$E,"P0(전)",$M:$M,"&gt;0")&lt;&gt;1,"",SUMIFS($M:$M,$C:$C,$C744,$D:$D,$D744,$E:$E,"P0(전)"))</f>
        <v/>
      </c>
      <c r="Q744" s="48">
        <f>IF(COUNTIFS($C:$C,$C744,$D:$D,$D744,$E:$E,"P0(후)",$M:$M,"&gt;0")&lt;&gt;1,"",SUMIFS($I:$I,$C:$C,$C744,$D:$D,$D744,$E:$E,"P0(후)"))</f>
        <v/>
      </c>
      <c r="R744" s="31">
        <f>IF(COUNTIFS($C:$C,$C744,$D:$D,$D744,$E:$E,"P0(후)",$M:$M,"&gt;0")&lt;&gt;1,"",SUMIFS($M:$M,$C:$C,$C744,$D:$D,$D744,$E:$E,"P0(후)"))</f>
        <v/>
      </c>
      <c r="S744" s="31">
        <f>IF(N744&lt;&gt;"OK","",P744+(R744-P744)*(I744-O744)/(Q744-O744))</f>
        <v/>
      </c>
      <c r="T744" s="31">
        <f>IF(OR(N744&lt;&gt;"OK",NOT(ISNUMBER(M744))),"",M744-S744)</f>
        <v/>
      </c>
      <c r="U744" s="49">
        <f>IF(OR(NOT(ISNUMBER(T744)),IF(ISNUMBER(H744),H744,G744)=0),"",T744/IF(ISNUMBER(H744),H744,G744))</f>
        <v/>
      </c>
      <c r="V744" s="49">
        <f>IF(ISNUMBER(U744),ABS(U744),"")</f>
        <v/>
      </c>
      <c r="W744" s="49">
        <f>IF(OR($E743&lt;&gt;"측정",$C743&lt;&gt;$C744,$D743&lt;&gt;$D744,NOT(ISNUMBER(M744)),NOT(ISNUMBER(M743)),(IF(ISNUMBER(H744),H744,G744)-IF(ISNUMBER(H743),H743,G743))=0),"",(M744-M743)/(IF(ISNUMBER(H744),H744,G744)-IF(ISNUMBER(H743),H743,G743)))</f>
        <v/>
      </c>
      <c r="X744" s="31">
        <f>IF(NOT(AND(ISNUMBER(O744),ISNUMBER(Q744))),"",(Q744-O744)*1440)</f>
        <v/>
      </c>
      <c r="Y744" s="29" t="n"/>
      <c r="Z744" s="29" t="n"/>
      <c r="AA744" s="29" t="n"/>
      <c r="AB744" s="32" t="n"/>
      <c r="AC744" s="32" t="n"/>
    </row>
    <row r="745">
      <c r="A745" s="26" t="inlineStr">
        <is>
          <t>S15</t>
        </is>
      </c>
      <c r="B745" s="26" t="inlineStr">
        <is>
          <t>의성 신규점</t>
        </is>
      </c>
      <c r="C745" s="26" t="inlineStr">
        <is>
          <t>S15-H동</t>
        </is>
      </c>
      <c r="D745" s="47" t="n">
        <v>1</v>
      </c>
      <c r="E745" s="26" t="inlineStr">
        <is>
          <t>측정</t>
        </is>
      </c>
      <c r="F745" s="26" t="inlineStr">
        <is>
          <t>동</t>
        </is>
      </c>
      <c r="G745" s="31" t="n">
        <v>10</v>
      </c>
      <c r="H745" s="30" t="n"/>
      <c r="I745" s="43" t="n"/>
      <c r="J745" s="41" t="n"/>
      <c r="K745" s="41" t="n"/>
      <c r="L745" s="41" t="n"/>
      <c r="M745" s="31">
        <f>IF(COUNT(J745:L745)=0,"",MEDIAN(J745:L745))</f>
        <v/>
      </c>
      <c r="N745" s="26">
        <f>IF(COUNTIFS($C:$C,$C745,$D:$D,$D745,$E:$E,"P0(전)",$M:$M,"&gt;0")&lt;&gt;1,"P0(전) 유효 1개 아님",IF(COUNTIFS($C:$C,$C745,$D:$D,$D745,$E:$E,"P0(후)",$M:$M,"&gt;0")&lt;&gt;1,"P0(후) 유효 1개 아님",IF(NOT(AND(ISNUMBER(O745),ISNUMBER(Q745),ISNUMBER(I745))),"시각 결측",IF(Q745&lt;=O745,"P0 시각 역전",IF(OR(I745&lt;O745,I745&gt;Q745),"측정시각 구간 밖","OK")))))</f>
        <v/>
      </c>
      <c r="O745" s="48">
        <f>IF(COUNTIFS($C:$C,$C745,$D:$D,$D745,$E:$E,"P0(전)",$M:$M,"&gt;0")&lt;&gt;1,"",SUMIFS($I:$I,$C:$C,$C745,$D:$D,$D745,$E:$E,"P0(전)"))</f>
        <v/>
      </c>
      <c r="P745" s="31">
        <f>IF(COUNTIFS($C:$C,$C745,$D:$D,$D745,$E:$E,"P0(전)",$M:$M,"&gt;0")&lt;&gt;1,"",SUMIFS($M:$M,$C:$C,$C745,$D:$D,$D745,$E:$E,"P0(전)"))</f>
        <v/>
      </c>
      <c r="Q745" s="48">
        <f>IF(COUNTIFS($C:$C,$C745,$D:$D,$D745,$E:$E,"P0(후)",$M:$M,"&gt;0")&lt;&gt;1,"",SUMIFS($I:$I,$C:$C,$C745,$D:$D,$D745,$E:$E,"P0(후)"))</f>
        <v/>
      </c>
      <c r="R745" s="31">
        <f>IF(COUNTIFS($C:$C,$C745,$D:$D,$D745,$E:$E,"P0(후)",$M:$M,"&gt;0")&lt;&gt;1,"",SUMIFS($M:$M,$C:$C,$C745,$D:$D,$D745,$E:$E,"P0(후)"))</f>
        <v/>
      </c>
      <c r="S745" s="31">
        <f>IF(N745&lt;&gt;"OK","",P745+(R745-P745)*(I745-O745)/(Q745-O745))</f>
        <v/>
      </c>
      <c r="T745" s="31">
        <f>IF(OR(N745&lt;&gt;"OK",NOT(ISNUMBER(M745))),"",M745-S745)</f>
        <v/>
      </c>
      <c r="U745" s="49">
        <f>IF(OR(NOT(ISNUMBER(T745)),IF(ISNUMBER(H745),H745,G745)=0),"",T745/IF(ISNUMBER(H745),H745,G745))</f>
        <v/>
      </c>
      <c r="V745" s="49">
        <f>IF(ISNUMBER(U745),ABS(U745),"")</f>
        <v/>
      </c>
      <c r="W745" s="49">
        <f>IF(OR($E744&lt;&gt;"측정",$C744&lt;&gt;$C745,$D744&lt;&gt;$D745,NOT(ISNUMBER(M745)),NOT(ISNUMBER(M744)),(IF(ISNUMBER(H745),H745,G745)-IF(ISNUMBER(H744),H744,G744))=0),"",(M745-M744)/(IF(ISNUMBER(H745),H745,G745)-IF(ISNUMBER(H744),H744,G744)))</f>
        <v/>
      </c>
      <c r="X745" s="31">
        <f>IF(NOT(AND(ISNUMBER(O745),ISNUMBER(Q745))),"",(Q745-O745)*1440)</f>
        <v/>
      </c>
      <c r="Y745" s="29" t="n"/>
      <c r="Z745" s="29" t="n"/>
      <c r="AA745" s="29" t="n"/>
      <c r="AB745" s="32" t="n"/>
      <c r="AC745" s="32" t="n"/>
    </row>
    <row r="746">
      <c r="A746" s="44" t="inlineStr">
        <is>
          <t>S15</t>
        </is>
      </c>
      <c r="B746" s="44" t="inlineStr">
        <is>
          <t>의성 신규점</t>
        </is>
      </c>
      <c r="C746" s="44" t="inlineStr">
        <is>
          <t>S15-H동</t>
        </is>
      </c>
      <c r="D746" s="45" t="n">
        <v>1</v>
      </c>
      <c r="E746" s="44" t="inlineStr">
        <is>
          <t>P0(후)</t>
        </is>
      </c>
      <c r="F746" s="44" t="inlineStr">
        <is>
          <t>동</t>
        </is>
      </c>
      <c r="G746" s="46" t="n"/>
      <c r="H746" s="30" t="n"/>
      <c r="I746" s="43" t="n"/>
      <c r="J746" s="41" t="n"/>
      <c r="K746" s="41" t="n"/>
      <c r="L746" s="41" t="n"/>
      <c r="M746" s="31">
        <f>IF(COUNT(J746:L746)=0,"",MEDIAN(J746:L746))</f>
        <v/>
      </c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38" t="n"/>
      <c r="Y746" s="29" t="n"/>
      <c r="Z746" s="29" t="n"/>
      <c r="AA746" s="29" t="n"/>
      <c r="AB746" s="32" t="n"/>
      <c r="AC746" s="32" t="n"/>
    </row>
    <row r="747">
      <c r="A747" s="44" t="inlineStr">
        <is>
          <t>S15</t>
        </is>
      </c>
      <c r="B747" s="44" t="inlineStr">
        <is>
          <t>의성 신규점</t>
        </is>
      </c>
      <c r="C747" s="44" t="inlineStr">
        <is>
          <t>S15-H서</t>
        </is>
      </c>
      <c r="D747" s="45" t="n">
        <v>1</v>
      </c>
      <c r="E747" s="44" t="inlineStr">
        <is>
          <t>P0(전)</t>
        </is>
      </c>
      <c r="F747" s="44" t="inlineStr">
        <is>
          <t>서</t>
        </is>
      </c>
      <c r="G747" s="46" t="n"/>
      <c r="H747" s="30" t="n"/>
      <c r="I747" s="43" t="n"/>
      <c r="J747" s="41" t="n"/>
      <c r="K747" s="41" t="n"/>
      <c r="L747" s="41" t="n"/>
      <c r="M747" s="31">
        <f>IF(COUNT(J747:L747)=0,"",MEDIAN(J747:L747))</f>
        <v/>
      </c>
      <c r="N747" s="38" t="n"/>
      <c r="O747" s="38" t="n"/>
      <c r="P747" s="38" t="n"/>
      <c r="Q747" s="38" t="n"/>
      <c r="R747" s="38" t="n"/>
      <c r="S747" s="38" t="n"/>
      <c r="T747" s="38" t="n"/>
      <c r="U747" s="38" t="n"/>
      <c r="V747" s="38" t="n"/>
      <c r="W747" s="38" t="n"/>
      <c r="X747" s="38" t="n"/>
      <c r="Y747" s="29" t="n"/>
      <c r="Z747" s="29" t="n"/>
      <c r="AA747" s="29" t="n"/>
      <c r="AB747" s="32" t="n"/>
      <c r="AC747" s="32" t="n"/>
    </row>
    <row r="748">
      <c r="A748" s="26" t="inlineStr">
        <is>
          <t>S15</t>
        </is>
      </c>
      <c r="B748" s="26" t="inlineStr">
        <is>
          <t>의성 신규점</t>
        </is>
      </c>
      <c r="C748" s="26" t="inlineStr">
        <is>
          <t>S15-H서</t>
        </is>
      </c>
      <c r="D748" s="47" t="n">
        <v>1</v>
      </c>
      <c r="E748" s="26" t="inlineStr">
        <is>
          <t>측정</t>
        </is>
      </c>
      <c r="F748" s="26" t="inlineStr">
        <is>
          <t>서</t>
        </is>
      </c>
      <c r="G748" s="31" t="n">
        <v>0.5</v>
      </c>
      <c r="H748" s="30" t="n"/>
      <c r="I748" s="43" t="n"/>
      <c r="J748" s="41" t="n"/>
      <c r="K748" s="41" t="n"/>
      <c r="L748" s="41" t="n"/>
      <c r="M748" s="31">
        <f>IF(COUNT(J748:L748)=0,"",MEDIAN(J748:L748))</f>
        <v/>
      </c>
      <c r="N748" s="26">
        <f>IF(COUNTIFS($C:$C,$C748,$D:$D,$D748,$E:$E,"P0(전)",$M:$M,"&gt;0")&lt;&gt;1,"P0(전) 유효 1개 아님",IF(COUNTIFS($C:$C,$C748,$D:$D,$D748,$E:$E,"P0(후)",$M:$M,"&gt;0")&lt;&gt;1,"P0(후) 유효 1개 아님",IF(NOT(AND(ISNUMBER(O748),ISNUMBER(Q748),ISNUMBER(I748))),"시각 결측",IF(Q748&lt;=O748,"P0 시각 역전",IF(OR(I748&lt;O748,I748&gt;Q748),"측정시각 구간 밖","OK")))))</f>
        <v/>
      </c>
      <c r="O748" s="48">
        <f>IF(COUNTIFS($C:$C,$C748,$D:$D,$D748,$E:$E,"P0(전)",$M:$M,"&gt;0")&lt;&gt;1,"",SUMIFS($I:$I,$C:$C,$C748,$D:$D,$D748,$E:$E,"P0(전)"))</f>
        <v/>
      </c>
      <c r="P748" s="31">
        <f>IF(COUNTIFS($C:$C,$C748,$D:$D,$D748,$E:$E,"P0(전)",$M:$M,"&gt;0")&lt;&gt;1,"",SUMIFS($M:$M,$C:$C,$C748,$D:$D,$D748,$E:$E,"P0(전)"))</f>
        <v/>
      </c>
      <c r="Q748" s="48">
        <f>IF(COUNTIFS($C:$C,$C748,$D:$D,$D748,$E:$E,"P0(후)",$M:$M,"&gt;0")&lt;&gt;1,"",SUMIFS($I:$I,$C:$C,$C748,$D:$D,$D748,$E:$E,"P0(후)"))</f>
        <v/>
      </c>
      <c r="R748" s="31">
        <f>IF(COUNTIFS($C:$C,$C748,$D:$D,$D748,$E:$E,"P0(후)",$M:$M,"&gt;0")&lt;&gt;1,"",SUMIFS($M:$M,$C:$C,$C748,$D:$D,$D748,$E:$E,"P0(후)"))</f>
        <v/>
      </c>
      <c r="S748" s="31">
        <f>IF(N748&lt;&gt;"OK","",P748+(R748-P748)*(I748-O748)/(Q748-O748))</f>
        <v/>
      </c>
      <c r="T748" s="31">
        <f>IF(OR(N748&lt;&gt;"OK",NOT(ISNUMBER(M748))),"",M748-S748)</f>
        <v/>
      </c>
      <c r="U748" s="49">
        <f>IF(OR(NOT(ISNUMBER(T748)),IF(ISNUMBER(H748),H748,G748)=0),"",T748/IF(ISNUMBER(H748),H748,G748))</f>
        <v/>
      </c>
      <c r="V748" s="49">
        <f>IF(ISNUMBER(U748),ABS(U748),"")</f>
        <v/>
      </c>
      <c r="W748" s="49">
        <f>IF(OR($E747&lt;&gt;"측정",$C747&lt;&gt;$C748,$D747&lt;&gt;$D748,NOT(ISNUMBER(M748)),NOT(ISNUMBER(M747)),(IF(ISNUMBER(H748),H748,G748)-IF(ISNUMBER(H747),H747,G747))=0),"",(M748-M747)/(IF(ISNUMBER(H748),H748,G748)-IF(ISNUMBER(H747),H747,G747)))</f>
        <v/>
      </c>
      <c r="X748" s="31">
        <f>IF(NOT(AND(ISNUMBER(O748),ISNUMBER(Q748))),"",(Q748-O748)*1440)</f>
        <v/>
      </c>
      <c r="Y748" s="29" t="n"/>
      <c r="Z748" s="29" t="n"/>
      <c r="AA748" s="29" t="n"/>
      <c r="AB748" s="32" t="n"/>
      <c r="AC748" s="32" t="n"/>
    </row>
    <row r="749">
      <c r="A749" s="26" t="inlineStr">
        <is>
          <t>S15</t>
        </is>
      </c>
      <c r="B749" s="26" t="inlineStr">
        <is>
          <t>의성 신규점</t>
        </is>
      </c>
      <c r="C749" s="26" t="inlineStr">
        <is>
          <t>S15-H서</t>
        </is>
      </c>
      <c r="D749" s="47" t="n">
        <v>1</v>
      </c>
      <c r="E749" s="26" t="inlineStr">
        <is>
          <t>측정</t>
        </is>
      </c>
      <c r="F749" s="26" t="inlineStr">
        <is>
          <t>서</t>
        </is>
      </c>
      <c r="G749" s="31" t="n">
        <v>1</v>
      </c>
      <c r="H749" s="30" t="n"/>
      <c r="I749" s="43" t="n"/>
      <c r="J749" s="41" t="n"/>
      <c r="K749" s="41" t="n"/>
      <c r="L749" s="41" t="n"/>
      <c r="M749" s="31">
        <f>IF(COUNT(J749:L749)=0,"",MEDIAN(J749:L749))</f>
        <v/>
      </c>
      <c r="N749" s="26">
        <f>IF(COUNTIFS($C:$C,$C749,$D:$D,$D749,$E:$E,"P0(전)",$M:$M,"&gt;0")&lt;&gt;1,"P0(전) 유효 1개 아님",IF(COUNTIFS($C:$C,$C749,$D:$D,$D749,$E:$E,"P0(후)",$M:$M,"&gt;0")&lt;&gt;1,"P0(후) 유효 1개 아님",IF(NOT(AND(ISNUMBER(O749),ISNUMBER(Q749),ISNUMBER(I749))),"시각 결측",IF(Q749&lt;=O749,"P0 시각 역전",IF(OR(I749&lt;O749,I749&gt;Q749),"측정시각 구간 밖","OK")))))</f>
        <v/>
      </c>
      <c r="O749" s="48">
        <f>IF(COUNTIFS($C:$C,$C749,$D:$D,$D749,$E:$E,"P0(전)",$M:$M,"&gt;0")&lt;&gt;1,"",SUMIFS($I:$I,$C:$C,$C749,$D:$D,$D749,$E:$E,"P0(전)"))</f>
        <v/>
      </c>
      <c r="P749" s="31">
        <f>IF(COUNTIFS($C:$C,$C749,$D:$D,$D749,$E:$E,"P0(전)",$M:$M,"&gt;0")&lt;&gt;1,"",SUMIFS($M:$M,$C:$C,$C749,$D:$D,$D749,$E:$E,"P0(전)"))</f>
        <v/>
      </c>
      <c r="Q749" s="48">
        <f>IF(COUNTIFS($C:$C,$C749,$D:$D,$D749,$E:$E,"P0(후)",$M:$M,"&gt;0")&lt;&gt;1,"",SUMIFS($I:$I,$C:$C,$C749,$D:$D,$D749,$E:$E,"P0(후)"))</f>
        <v/>
      </c>
      <c r="R749" s="31">
        <f>IF(COUNTIFS($C:$C,$C749,$D:$D,$D749,$E:$E,"P0(후)",$M:$M,"&gt;0")&lt;&gt;1,"",SUMIFS($M:$M,$C:$C,$C749,$D:$D,$D749,$E:$E,"P0(후)"))</f>
        <v/>
      </c>
      <c r="S749" s="31">
        <f>IF(N749&lt;&gt;"OK","",P749+(R749-P749)*(I749-O749)/(Q749-O749))</f>
        <v/>
      </c>
      <c r="T749" s="31">
        <f>IF(OR(N749&lt;&gt;"OK",NOT(ISNUMBER(M749))),"",M749-S749)</f>
        <v/>
      </c>
      <c r="U749" s="49">
        <f>IF(OR(NOT(ISNUMBER(T749)),IF(ISNUMBER(H749),H749,G749)=0),"",T749/IF(ISNUMBER(H749),H749,G749))</f>
        <v/>
      </c>
      <c r="V749" s="49">
        <f>IF(ISNUMBER(U749),ABS(U749),"")</f>
        <v/>
      </c>
      <c r="W749" s="49">
        <f>IF(OR($E748&lt;&gt;"측정",$C748&lt;&gt;$C749,$D748&lt;&gt;$D749,NOT(ISNUMBER(M749)),NOT(ISNUMBER(M748)),(IF(ISNUMBER(H749),H749,G749)-IF(ISNUMBER(H748),H748,G748))=0),"",(M749-M748)/(IF(ISNUMBER(H749),H749,G749)-IF(ISNUMBER(H748),H748,G748)))</f>
        <v/>
      </c>
      <c r="X749" s="31">
        <f>IF(NOT(AND(ISNUMBER(O749),ISNUMBER(Q749))),"",(Q749-O749)*1440)</f>
        <v/>
      </c>
      <c r="Y749" s="29" t="n"/>
      <c r="Z749" s="29" t="n"/>
      <c r="AA749" s="29" t="n"/>
      <c r="AB749" s="32" t="n"/>
      <c r="AC749" s="32" t="n"/>
    </row>
    <row r="750">
      <c r="A750" s="26" t="inlineStr">
        <is>
          <t>S15</t>
        </is>
      </c>
      <c r="B750" s="26" t="inlineStr">
        <is>
          <t>의성 신규점</t>
        </is>
      </c>
      <c r="C750" s="26" t="inlineStr">
        <is>
          <t>S15-H서</t>
        </is>
      </c>
      <c r="D750" s="47" t="n">
        <v>1</v>
      </c>
      <c r="E750" s="26" t="inlineStr">
        <is>
          <t>측정</t>
        </is>
      </c>
      <c r="F750" s="26" t="inlineStr">
        <is>
          <t>서</t>
        </is>
      </c>
      <c r="G750" s="31" t="n">
        <v>2</v>
      </c>
      <c r="H750" s="30" t="n"/>
      <c r="I750" s="43" t="n"/>
      <c r="J750" s="41" t="n"/>
      <c r="K750" s="41" t="n"/>
      <c r="L750" s="41" t="n"/>
      <c r="M750" s="31">
        <f>IF(COUNT(J750:L750)=0,"",MEDIAN(J750:L750))</f>
        <v/>
      </c>
      <c r="N750" s="26">
        <f>IF(COUNTIFS($C:$C,$C750,$D:$D,$D750,$E:$E,"P0(전)",$M:$M,"&gt;0")&lt;&gt;1,"P0(전) 유효 1개 아님",IF(COUNTIFS($C:$C,$C750,$D:$D,$D750,$E:$E,"P0(후)",$M:$M,"&gt;0")&lt;&gt;1,"P0(후) 유효 1개 아님",IF(NOT(AND(ISNUMBER(O750),ISNUMBER(Q750),ISNUMBER(I750))),"시각 결측",IF(Q750&lt;=O750,"P0 시각 역전",IF(OR(I750&lt;O750,I750&gt;Q750),"측정시각 구간 밖","OK")))))</f>
        <v/>
      </c>
      <c r="O750" s="48">
        <f>IF(COUNTIFS($C:$C,$C750,$D:$D,$D750,$E:$E,"P0(전)",$M:$M,"&gt;0")&lt;&gt;1,"",SUMIFS($I:$I,$C:$C,$C750,$D:$D,$D750,$E:$E,"P0(전)"))</f>
        <v/>
      </c>
      <c r="P750" s="31">
        <f>IF(COUNTIFS($C:$C,$C750,$D:$D,$D750,$E:$E,"P0(전)",$M:$M,"&gt;0")&lt;&gt;1,"",SUMIFS($M:$M,$C:$C,$C750,$D:$D,$D750,$E:$E,"P0(전)"))</f>
        <v/>
      </c>
      <c r="Q750" s="48">
        <f>IF(COUNTIFS($C:$C,$C750,$D:$D,$D750,$E:$E,"P0(후)",$M:$M,"&gt;0")&lt;&gt;1,"",SUMIFS($I:$I,$C:$C,$C750,$D:$D,$D750,$E:$E,"P0(후)"))</f>
        <v/>
      </c>
      <c r="R750" s="31">
        <f>IF(COUNTIFS($C:$C,$C750,$D:$D,$D750,$E:$E,"P0(후)",$M:$M,"&gt;0")&lt;&gt;1,"",SUMIFS($M:$M,$C:$C,$C750,$D:$D,$D750,$E:$E,"P0(후)"))</f>
        <v/>
      </c>
      <c r="S750" s="31">
        <f>IF(N750&lt;&gt;"OK","",P750+(R750-P750)*(I750-O750)/(Q750-O750))</f>
        <v/>
      </c>
      <c r="T750" s="31">
        <f>IF(OR(N750&lt;&gt;"OK",NOT(ISNUMBER(M750))),"",M750-S750)</f>
        <v/>
      </c>
      <c r="U750" s="49">
        <f>IF(OR(NOT(ISNUMBER(T750)),IF(ISNUMBER(H750),H750,G750)=0),"",T750/IF(ISNUMBER(H750),H750,G750))</f>
        <v/>
      </c>
      <c r="V750" s="49">
        <f>IF(ISNUMBER(U750),ABS(U750),"")</f>
        <v/>
      </c>
      <c r="W750" s="49">
        <f>IF(OR($E749&lt;&gt;"측정",$C749&lt;&gt;$C750,$D749&lt;&gt;$D750,NOT(ISNUMBER(M750)),NOT(ISNUMBER(M749)),(IF(ISNUMBER(H750),H750,G750)-IF(ISNUMBER(H749),H749,G749))=0),"",(M750-M749)/(IF(ISNUMBER(H750),H750,G750)-IF(ISNUMBER(H749),H749,G749)))</f>
        <v/>
      </c>
      <c r="X750" s="31">
        <f>IF(NOT(AND(ISNUMBER(O750),ISNUMBER(Q750))),"",(Q750-O750)*1440)</f>
        <v/>
      </c>
      <c r="Y750" s="29" t="n"/>
      <c r="Z750" s="29" t="n"/>
      <c r="AA750" s="29" t="n"/>
      <c r="AB750" s="32" t="n"/>
      <c r="AC750" s="32" t="n"/>
    </row>
    <row r="751">
      <c r="A751" s="26" t="inlineStr">
        <is>
          <t>S15</t>
        </is>
      </c>
      <c r="B751" s="26" t="inlineStr">
        <is>
          <t>의성 신규점</t>
        </is>
      </c>
      <c r="C751" s="26" t="inlineStr">
        <is>
          <t>S15-H서</t>
        </is>
      </c>
      <c r="D751" s="47" t="n">
        <v>1</v>
      </c>
      <c r="E751" s="26" t="inlineStr">
        <is>
          <t>측정</t>
        </is>
      </c>
      <c r="F751" s="26" t="inlineStr">
        <is>
          <t>서</t>
        </is>
      </c>
      <c r="G751" s="31" t="n">
        <v>3</v>
      </c>
      <c r="H751" s="30" t="n"/>
      <c r="I751" s="43" t="n"/>
      <c r="J751" s="41" t="n"/>
      <c r="K751" s="41" t="n"/>
      <c r="L751" s="41" t="n"/>
      <c r="M751" s="31">
        <f>IF(COUNT(J751:L751)=0,"",MEDIAN(J751:L751))</f>
        <v/>
      </c>
      <c r="N751" s="26">
        <f>IF(COUNTIFS($C:$C,$C751,$D:$D,$D751,$E:$E,"P0(전)",$M:$M,"&gt;0")&lt;&gt;1,"P0(전) 유효 1개 아님",IF(COUNTIFS($C:$C,$C751,$D:$D,$D751,$E:$E,"P0(후)",$M:$M,"&gt;0")&lt;&gt;1,"P0(후) 유효 1개 아님",IF(NOT(AND(ISNUMBER(O751),ISNUMBER(Q751),ISNUMBER(I751))),"시각 결측",IF(Q751&lt;=O751,"P0 시각 역전",IF(OR(I751&lt;O751,I751&gt;Q751),"측정시각 구간 밖","OK")))))</f>
        <v/>
      </c>
      <c r="O751" s="48">
        <f>IF(COUNTIFS($C:$C,$C751,$D:$D,$D751,$E:$E,"P0(전)",$M:$M,"&gt;0")&lt;&gt;1,"",SUMIFS($I:$I,$C:$C,$C751,$D:$D,$D751,$E:$E,"P0(전)"))</f>
        <v/>
      </c>
      <c r="P751" s="31">
        <f>IF(COUNTIFS($C:$C,$C751,$D:$D,$D751,$E:$E,"P0(전)",$M:$M,"&gt;0")&lt;&gt;1,"",SUMIFS($M:$M,$C:$C,$C751,$D:$D,$D751,$E:$E,"P0(전)"))</f>
        <v/>
      </c>
      <c r="Q751" s="48">
        <f>IF(COUNTIFS($C:$C,$C751,$D:$D,$D751,$E:$E,"P0(후)",$M:$M,"&gt;0")&lt;&gt;1,"",SUMIFS($I:$I,$C:$C,$C751,$D:$D,$D751,$E:$E,"P0(후)"))</f>
        <v/>
      </c>
      <c r="R751" s="31">
        <f>IF(COUNTIFS($C:$C,$C751,$D:$D,$D751,$E:$E,"P0(후)",$M:$M,"&gt;0")&lt;&gt;1,"",SUMIFS($M:$M,$C:$C,$C751,$D:$D,$D751,$E:$E,"P0(후)"))</f>
        <v/>
      </c>
      <c r="S751" s="31">
        <f>IF(N751&lt;&gt;"OK","",P751+(R751-P751)*(I751-O751)/(Q751-O751))</f>
        <v/>
      </c>
      <c r="T751" s="31">
        <f>IF(OR(N751&lt;&gt;"OK",NOT(ISNUMBER(M751))),"",M751-S751)</f>
        <v/>
      </c>
      <c r="U751" s="49">
        <f>IF(OR(NOT(ISNUMBER(T751)),IF(ISNUMBER(H751),H751,G751)=0),"",T751/IF(ISNUMBER(H751),H751,G751))</f>
        <v/>
      </c>
      <c r="V751" s="49">
        <f>IF(ISNUMBER(U751),ABS(U751),"")</f>
        <v/>
      </c>
      <c r="W751" s="49">
        <f>IF(OR($E750&lt;&gt;"측정",$C750&lt;&gt;$C751,$D750&lt;&gt;$D751,NOT(ISNUMBER(M751)),NOT(ISNUMBER(M750)),(IF(ISNUMBER(H751),H751,G751)-IF(ISNUMBER(H750),H750,G750))=0),"",(M751-M750)/(IF(ISNUMBER(H751),H751,G751)-IF(ISNUMBER(H750),H750,G750)))</f>
        <v/>
      </c>
      <c r="X751" s="31">
        <f>IF(NOT(AND(ISNUMBER(O751),ISNUMBER(Q751))),"",(Q751-O751)*1440)</f>
        <v/>
      </c>
      <c r="Y751" s="29" t="n"/>
      <c r="Z751" s="29" t="n"/>
      <c r="AA751" s="29" t="n"/>
      <c r="AB751" s="32" t="n"/>
      <c r="AC751" s="32" t="n"/>
    </row>
    <row r="752">
      <c r="A752" s="26" t="inlineStr">
        <is>
          <t>S15</t>
        </is>
      </c>
      <c r="B752" s="26" t="inlineStr">
        <is>
          <t>의성 신규점</t>
        </is>
      </c>
      <c r="C752" s="26" t="inlineStr">
        <is>
          <t>S15-H서</t>
        </is>
      </c>
      <c r="D752" s="47" t="n">
        <v>1</v>
      </c>
      <c r="E752" s="26" t="inlineStr">
        <is>
          <t>측정</t>
        </is>
      </c>
      <c r="F752" s="26" t="inlineStr">
        <is>
          <t>서</t>
        </is>
      </c>
      <c r="G752" s="31" t="n">
        <v>4</v>
      </c>
      <c r="H752" s="30" t="n"/>
      <c r="I752" s="43" t="n"/>
      <c r="J752" s="41" t="n"/>
      <c r="K752" s="41" t="n"/>
      <c r="L752" s="41" t="n"/>
      <c r="M752" s="31">
        <f>IF(COUNT(J752:L752)=0,"",MEDIAN(J752:L752))</f>
        <v/>
      </c>
      <c r="N752" s="26">
        <f>IF(COUNTIFS($C:$C,$C752,$D:$D,$D752,$E:$E,"P0(전)",$M:$M,"&gt;0")&lt;&gt;1,"P0(전) 유효 1개 아님",IF(COUNTIFS($C:$C,$C752,$D:$D,$D752,$E:$E,"P0(후)",$M:$M,"&gt;0")&lt;&gt;1,"P0(후) 유효 1개 아님",IF(NOT(AND(ISNUMBER(O752),ISNUMBER(Q752),ISNUMBER(I752))),"시각 결측",IF(Q752&lt;=O752,"P0 시각 역전",IF(OR(I752&lt;O752,I752&gt;Q752),"측정시각 구간 밖","OK")))))</f>
        <v/>
      </c>
      <c r="O752" s="48">
        <f>IF(COUNTIFS($C:$C,$C752,$D:$D,$D752,$E:$E,"P0(전)",$M:$M,"&gt;0")&lt;&gt;1,"",SUMIFS($I:$I,$C:$C,$C752,$D:$D,$D752,$E:$E,"P0(전)"))</f>
        <v/>
      </c>
      <c r="P752" s="31">
        <f>IF(COUNTIFS($C:$C,$C752,$D:$D,$D752,$E:$E,"P0(전)",$M:$M,"&gt;0")&lt;&gt;1,"",SUMIFS($M:$M,$C:$C,$C752,$D:$D,$D752,$E:$E,"P0(전)"))</f>
        <v/>
      </c>
      <c r="Q752" s="48">
        <f>IF(COUNTIFS($C:$C,$C752,$D:$D,$D752,$E:$E,"P0(후)",$M:$M,"&gt;0")&lt;&gt;1,"",SUMIFS($I:$I,$C:$C,$C752,$D:$D,$D752,$E:$E,"P0(후)"))</f>
        <v/>
      </c>
      <c r="R752" s="31">
        <f>IF(COUNTIFS($C:$C,$C752,$D:$D,$D752,$E:$E,"P0(후)",$M:$M,"&gt;0")&lt;&gt;1,"",SUMIFS($M:$M,$C:$C,$C752,$D:$D,$D752,$E:$E,"P0(후)"))</f>
        <v/>
      </c>
      <c r="S752" s="31">
        <f>IF(N752&lt;&gt;"OK","",P752+(R752-P752)*(I752-O752)/(Q752-O752))</f>
        <v/>
      </c>
      <c r="T752" s="31">
        <f>IF(OR(N752&lt;&gt;"OK",NOT(ISNUMBER(M752))),"",M752-S752)</f>
        <v/>
      </c>
      <c r="U752" s="49">
        <f>IF(OR(NOT(ISNUMBER(T752)),IF(ISNUMBER(H752),H752,G752)=0),"",T752/IF(ISNUMBER(H752),H752,G752))</f>
        <v/>
      </c>
      <c r="V752" s="49">
        <f>IF(ISNUMBER(U752),ABS(U752),"")</f>
        <v/>
      </c>
      <c r="W752" s="49">
        <f>IF(OR($E751&lt;&gt;"측정",$C751&lt;&gt;$C752,$D751&lt;&gt;$D752,NOT(ISNUMBER(M752)),NOT(ISNUMBER(M751)),(IF(ISNUMBER(H752),H752,G752)-IF(ISNUMBER(H751),H751,G751))=0),"",(M752-M751)/(IF(ISNUMBER(H752),H752,G752)-IF(ISNUMBER(H751),H751,G751)))</f>
        <v/>
      </c>
      <c r="X752" s="31">
        <f>IF(NOT(AND(ISNUMBER(O752),ISNUMBER(Q752))),"",(Q752-O752)*1440)</f>
        <v/>
      </c>
      <c r="Y752" s="29" t="n"/>
      <c r="Z752" s="29" t="n"/>
      <c r="AA752" s="29" t="n"/>
      <c r="AB752" s="32" t="n"/>
      <c r="AC752" s="32" t="n"/>
    </row>
    <row r="753">
      <c r="A753" s="26" t="inlineStr">
        <is>
          <t>S15</t>
        </is>
      </c>
      <c r="B753" s="26" t="inlineStr">
        <is>
          <t>의성 신규점</t>
        </is>
      </c>
      <c r="C753" s="26" t="inlineStr">
        <is>
          <t>S15-H서</t>
        </is>
      </c>
      <c r="D753" s="47" t="n">
        <v>1</v>
      </c>
      <c r="E753" s="26" t="inlineStr">
        <is>
          <t>측정</t>
        </is>
      </c>
      <c r="F753" s="26" t="inlineStr">
        <is>
          <t>서</t>
        </is>
      </c>
      <c r="G753" s="31" t="n">
        <v>5</v>
      </c>
      <c r="H753" s="30" t="n"/>
      <c r="I753" s="43" t="n"/>
      <c r="J753" s="41" t="n"/>
      <c r="K753" s="41" t="n"/>
      <c r="L753" s="41" t="n"/>
      <c r="M753" s="31">
        <f>IF(COUNT(J753:L753)=0,"",MEDIAN(J753:L753))</f>
        <v/>
      </c>
      <c r="N753" s="26">
        <f>IF(COUNTIFS($C:$C,$C753,$D:$D,$D753,$E:$E,"P0(전)",$M:$M,"&gt;0")&lt;&gt;1,"P0(전) 유효 1개 아님",IF(COUNTIFS($C:$C,$C753,$D:$D,$D753,$E:$E,"P0(후)",$M:$M,"&gt;0")&lt;&gt;1,"P0(후) 유효 1개 아님",IF(NOT(AND(ISNUMBER(O753),ISNUMBER(Q753),ISNUMBER(I753))),"시각 결측",IF(Q753&lt;=O753,"P0 시각 역전",IF(OR(I753&lt;O753,I753&gt;Q753),"측정시각 구간 밖","OK")))))</f>
        <v/>
      </c>
      <c r="O753" s="48">
        <f>IF(COUNTIFS($C:$C,$C753,$D:$D,$D753,$E:$E,"P0(전)",$M:$M,"&gt;0")&lt;&gt;1,"",SUMIFS($I:$I,$C:$C,$C753,$D:$D,$D753,$E:$E,"P0(전)"))</f>
        <v/>
      </c>
      <c r="P753" s="31">
        <f>IF(COUNTIFS($C:$C,$C753,$D:$D,$D753,$E:$E,"P0(전)",$M:$M,"&gt;0")&lt;&gt;1,"",SUMIFS($M:$M,$C:$C,$C753,$D:$D,$D753,$E:$E,"P0(전)"))</f>
        <v/>
      </c>
      <c r="Q753" s="48">
        <f>IF(COUNTIFS($C:$C,$C753,$D:$D,$D753,$E:$E,"P0(후)",$M:$M,"&gt;0")&lt;&gt;1,"",SUMIFS($I:$I,$C:$C,$C753,$D:$D,$D753,$E:$E,"P0(후)"))</f>
        <v/>
      </c>
      <c r="R753" s="31">
        <f>IF(COUNTIFS($C:$C,$C753,$D:$D,$D753,$E:$E,"P0(후)",$M:$M,"&gt;0")&lt;&gt;1,"",SUMIFS($M:$M,$C:$C,$C753,$D:$D,$D753,$E:$E,"P0(후)"))</f>
        <v/>
      </c>
      <c r="S753" s="31">
        <f>IF(N753&lt;&gt;"OK","",P753+(R753-P753)*(I753-O753)/(Q753-O753))</f>
        <v/>
      </c>
      <c r="T753" s="31">
        <f>IF(OR(N753&lt;&gt;"OK",NOT(ISNUMBER(M753))),"",M753-S753)</f>
        <v/>
      </c>
      <c r="U753" s="49">
        <f>IF(OR(NOT(ISNUMBER(T753)),IF(ISNUMBER(H753),H753,G753)=0),"",T753/IF(ISNUMBER(H753),H753,G753))</f>
        <v/>
      </c>
      <c r="V753" s="49">
        <f>IF(ISNUMBER(U753),ABS(U753),"")</f>
        <v/>
      </c>
      <c r="W753" s="49">
        <f>IF(OR($E752&lt;&gt;"측정",$C752&lt;&gt;$C753,$D752&lt;&gt;$D753,NOT(ISNUMBER(M753)),NOT(ISNUMBER(M752)),(IF(ISNUMBER(H753),H753,G753)-IF(ISNUMBER(H752),H752,G752))=0),"",(M753-M752)/(IF(ISNUMBER(H753),H753,G753)-IF(ISNUMBER(H752),H752,G752)))</f>
        <v/>
      </c>
      <c r="X753" s="31">
        <f>IF(NOT(AND(ISNUMBER(O753),ISNUMBER(Q753))),"",(Q753-O753)*1440)</f>
        <v/>
      </c>
      <c r="Y753" s="29" t="n"/>
      <c r="Z753" s="29" t="n"/>
      <c r="AA753" s="29" t="n"/>
      <c r="AB753" s="32" t="n"/>
      <c r="AC753" s="32" t="n"/>
    </row>
    <row r="754">
      <c r="A754" s="26" t="inlineStr">
        <is>
          <t>S15</t>
        </is>
      </c>
      <c r="B754" s="26" t="inlineStr">
        <is>
          <t>의성 신규점</t>
        </is>
      </c>
      <c r="C754" s="26" t="inlineStr">
        <is>
          <t>S15-H서</t>
        </is>
      </c>
      <c r="D754" s="47" t="n">
        <v>1</v>
      </c>
      <c r="E754" s="26" t="inlineStr">
        <is>
          <t>측정</t>
        </is>
      </c>
      <c r="F754" s="26" t="inlineStr">
        <is>
          <t>서</t>
        </is>
      </c>
      <c r="G754" s="31" t="n">
        <v>6</v>
      </c>
      <c r="H754" s="30" t="n"/>
      <c r="I754" s="43" t="n"/>
      <c r="J754" s="41" t="n"/>
      <c r="K754" s="41" t="n"/>
      <c r="L754" s="41" t="n"/>
      <c r="M754" s="31">
        <f>IF(COUNT(J754:L754)=0,"",MEDIAN(J754:L754))</f>
        <v/>
      </c>
      <c r="N754" s="26">
        <f>IF(COUNTIFS($C:$C,$C754,$D:$D,$D754,$E:$E,"P0(전)",$M:$M,"&gt;0")&lt;&gt;1,"P0(전) 유효 1개 아님",IF(COUNTIFS($C:$C,$C754,$D:$D,$D754,$E:$E,"P0(후)",$M:$M,"&gt;0")&lt;&gt;1,"P0(후) 유효 1개 아님",IF(NOT(AND(ISNUMBER(O754),ISNUMBER(Q754),ISNUMBER(I754))),"시각 결측",IF(Q754&lt;=O754,"P0 시각 역전",IF(OR(I754&lt;O754,I754&gt;Q754),"측정시각 구간 밖","OK")))))</f>
        <v/>
      </c>
      <c r="O754" s="48">
        <f>IF(COUNTIFS($C:$C,$C754,$D:$D,$D754,$E:$E,"P0(전)",$M:$M,"&gt;0")&lt;&gt;1,"",SUMIFS($I:$I,$C:$C,$C754,$D:$D,$D754,$E:$E,"P0(전)"))</f>
        <v/>
      </c>
      <c r="P754" s="31">
        <f>IF(COUNTIFS($C:$C,$C754,$D:$D,$D754,$E:$E,"P0(전)",$M:$M,"&gt;0")&lt;&gt;1,"",SUMIFS($M:$M,$C:$C,$C754,$D:$D,$D754,$E:$E,"P0(전)"))</f>
        <v/>
      </c>
      <c r="Q754" s="48">
        <f>IF(COUNTIFS($C:$C,$C754,$D:$D,$D754,$E:$E,"P0(후)",$M:$M,"&gt;0")&lt;&gt;1,"",SUMIFS($I:$I,$C:$C,$C754,$D:$D,$D754,$E:$E,"P0(후)"))</f>
        <v/>
      </c>
      <c r="R754" s="31">
        <f>IF(COUNTIFS($C:$C,$C754,$D:$D,$D754,$E:$E,"P0(후)",$M:$M,"&gt;0")&lt;&gt;1,"",SUMIFS($M:$M,$C:$C,$C754,$D:$D,$D754,$E:$E,"P0(후)"))</f>
        <v/>
      </c>
      <c r="S754" s="31">
        <f>IF(N754&lt;&gt;"OK","",P754+(R754-P754)*(I754-O754)/(Q754-O754))</f>
        <v/>
      </c>
      <c r="T754" s="31">
        <f>IF(OR(N754&lt;&gt;"OK",NOT(ISNUMBER(M754))),"",M754-S754)</f>
        <v/>
      </c>
      <c r="U754" s="49">
        <f>IF(OR(NOT(ISNUMBER(T754)),IF(ISNUMBER(H754),H754,G754)=0),"",T754/IF(ISNUMBER(H754),H754,G754))</f>
        <v/>
      </c>
      <c r="V754" s="49">
        <f>IF(ISNUMBER(U754),ABS(U754),"")</f>
        <v/>
      </c>
      <c r="W754" s="49">
        <f>IF(OR($E753&lt;&gt;"측정",$C753&lt;&gt;$C754,$D753&lt;&gt;$D754,NOT(ISNUMBER(M754)),NOT(ISNUMBER(M753)),(IF(ISNUMBER(H754),H754,G754)-IF(ISNUMBER(H753),H753,G753))=0),"",(M754-M753)/(IF(ISNUMBER(H754),H754,G754)-IF(ISNUMBER(H753),H753,G753)))</f>
        <v/>
      </c>
      <c r="X754" s="31">
        <f>IF(NOT(AND(ISNUMBER(O754),ISNUMBER(Q754))),"",(Q754-O754)*1440)</f>
        <v/>
      </c>
      <c r="Y754" s="29" t="n"/>
      <c r="Z754" s="29" t="n"/>
      <c r="AA754" s="29" t="n"/>
      <c r="AB754" s="32" t="n"/>
      <c r="AC754" s="32" t="n"/>
    </row>
    <row r="755">
      <c r="A755" s="26" t="inlineStr">
        <is>
          <t>S15</t>
        </is>
      </c>
      <c r="B755" s="26" t="inlineStr">
        <is>
          <t>의성 신규점</t>
        </is>
      </c>
      <c r="C755" s="26" t="inlineStr">
        <is>
          <t>S15-H서</t>
        </is>
      </c>
      <c r="D755" s="47" t="n">
        <v>1</v>
      </c>
      <c r="E755" s="26" t="inlineStr">
        <is>
          <t>측정</t>
        </is>
      </c>
      <c r="F755" s="26" t="inlineStr">
        <is>
          <t>서</t>
        </is>
      </c>
      <c r="G755" s="31" t="n">
        <v>7</v>
      </c>
      <c r="H755" s="30" t="n"/>
      <c r="I755" s="43" t="n"/>
      <c r="J755" s="41" t="n"/>
      <c r="K755" s="41" t="n"/>
      <c r="L755" s="41" t="n"/>
      <c r="M755" s="31">
        <f>IF(COUNT(J755:L755)=0,"",MEDIAN(J755:L755))</f>
        <v/>
      </c>
      <c r="N755" s="26">
        <f>IF(COUNTIFS($C:$C,$C755,$D:$D,$D755,$E:$E,"P0(전)",$M:$M,"&gt;0")&lt;&gt;1,"P0(전) 유효 1개 아님",IF(COUNTIFS($C:$C,$C755,$D:$D,$D755,$E:$E,"P0(후)",$M:$M,"&gt;0")&lt;&gt;1,"P0(후) 유효 1개 아님",IF(NOT(AND(ISNUMBER(O755),ISNUMBER(Q755),ISNUMBER(I755))),"시각 결측",IF(Q755&lt;=O755,"P0 시각 역전",IF(OR(I755&lt;O755,I755&gt;Q755),"측정시각 구간 밖","OK")))))</f>
        <v/>
      </c>
      <c r="O755" s="48">
        <f>IF(COUNTIFS($C:$C,$C755,$D:$D,$D755,$E:$E,"P0(전)",$M:$M,"&gt;0")&lt;&gt;1,"",SUMIFS($I:$I,$C:$C,$C755,$D:$D,$D755,$E:$E,"P0(전)"))</f>
        <v/>
      </c>
      <c r="P755" s="31">
        <f>IF(COUNTIFS($C:$C,$C755,$D:$D,$D755,$E:$E,"P0(전)",$M:$M,"&gt;0")&lt;&gt;1,"",SUMIFS($M:$M,$C:$C,$C755,$D:$D,$D755,$E:$E,"P0(전)"))</f>
        <v/>
      </c>
      <c r="Q755" s="48">
        <f>IF(COUNTIFS($C:$C,$C755,$D:$D,$D755,$E:$E,"P0(후)",$M:$M,"&gt;0")&lt;&gt;1,"",SUMIFS($I:$I,$C:$C,$C755,$D:$D,$D755,$E:$E,"P0(후)"))</f>
        <v/>
      </c>
      <c r="R755" s="31">
        <f>IF(COUNTIFS($C:$C,$C755,$D:$D,$D755,$E:$E,"P0(후)",$M:$M,"&gt;0")&lt;&gt;1,"",SUMIFS($M:$M,$C:$C,$C755,$D:$D,$D755,$E:$E,"P0(후)"))</f>
        <v/>
      </c>
      <c r="S755" s="31">
        <f>IF(N755&lt;&gt;"OK","",P755+(R755-P755)*(I755-O755)/(Q755-O755))</f>
        <v/>
      </c>
      <c r="T755" s="31">
        <f>IF(OR(N755&lt;&gt;"OK",NOT(ISNUMBER(M755))),"",M755-S755)</f>
        <v/>
      </c>
      <c r="U755" s="49">
        <f>IF(OR(NOT(ISNUMBER(T755)),IF(ISNUMBER(H755),H755,G755)=0),"",T755/IF(ISNUMBER(H755),H755,G755))</f>
        <v/>
      </c>
      <c r="V755" s="49">
        <f>IF(ISNUMBER(U755),ABS(U755),"")</f>
        <v/>
      </c>
      <c r="W755" s="49">
        <f>IF(OR($E754&lt;&gt;"측정",$C754&lt;&gt;$C755,$D754&lt;&gt;$D755,NOT(ISNUMBER(M755)),NOT(ISNUMBER(M754)),(IF(ISNUMBER(H755),H755,G755)-IF(ISNUMBER(H754),H754,G754))=0),"",(M755-M754)/(IF(ISNUMBER(H755),H755,G755)-IF(ISNUMBER(H754),H754,G754)))</f>
        <v/>
      </c>
      <c r="X755" s="31">
        <f>IF(NOT(AND(ISNUMBER(O755),ISNUMBER(Q755))),"",(Q755-O755)*1440)</f>
        <v/>
      </c>
      <c r="Y755" s="29" t="n"/>
      <c r="Z755" s="29" t="n"/>
      <c r="AA755" s="29" t="n"/>
      <c r="AB755" s="32" t="n"/>
      <c r="AC755" s="32" t="n"/>
    </row>
    <row r="756">
      <c r="A756" s="26" t="inlineStr">
        <is>
          <t>S15</t>
        </is>
      </c>
      <c r="B756" s="26" t="inlineStr">
        <is>
          <t>의성 신규점</t>
        </is>
      </c>
      <c r="C756" s="26" t="inlineStr">
        <is>
          <t>S15-H서</t>
        </is>
      </c>
      <c r="D756" s="47" t="n">
        <v>1</v>
      </c>
      <c r="E756" s="26" t="inlineStr">
        <is>
          <t>측정</t>
        </is>
      </c>
      <c r="F756" s="26" t="inlineStr">
        <is>
          <t>서</t>
        </is>
      </c>
      <c r="G756" s="31" t="n">
        <v>8</v>
      </c>
      <c r="H756" s="30" t="n"/>
      <c r="I756" s="43" t="n"/>
      <c r="J756" s="41" t="n"/>
      <c r="K756" s="41" t="n"/>
      <c r="L756" s="41" t="n"/>
      <c r="M756" s="31">
        <f>IF(COUNT(J756:L756)=0,"",MEDIAN(J756:L756))</f>
        <v/>
      </c>
      <c r="N756" s="26">
        <f>IF(COUNTIFS($C:$C,$C756,$D:$D,$D756,$E:$E,"P0(전)",$M:$M,"&gt;0")&lt;&gt;1,"P0(전) 유효 1개 아님",IF(COUNTIFS($C:$C,$C756,$D:$D,$D756,$E:$E,"P0(후)",$M:$M,"&gt;0")&lt;&gt;1,"P0(후) 유효 1개 아님",IF(NOT(AND(ISNUMBER(O756),ISNUMBER(Q756),ISNUMBER(I756))),"시각 결측",IF(Q756&lt;=O756,"P0 시각 역전",IF(OR(I756&lt;O756,I756&gt;Q756),"측정시각 구간 밖","OK")))))</f>
        <v/>
      </c>
      <c r="O756" s="48">
        <f>IF(COUNTIFS($C:$C,$C756,$D:$D,$D756,$E:$E,"P0(전)",$M:$M,"&gt;0")&lt;&gt;1,"",SUMIFS($I:$I,$C:$C,$C756,$D:$D,$D756,$E:$E,"P0(전)"))</f>
        <v/>
      </c>
      <c r="P756" s="31">
        <f>IF(COUNTIFS($C:$C,$C756,$D:$D,$D756,$E:$E,"P0(전)",$M:$M,"&gt;0")&lt;&gt;1,"",SUMIFS($M:$M,$C:$C,$C756,$D:$D,$D756,$E:$E,"P0(전)"))</f>
        <v/>
      </c>
      <c r="Q756" s="48">
        <f>IF(COUNTIFS($C:$C,$C756,$D:$D,$D756,$E:$E,"P0(후)",$M:$M,"&gt;0")&lt;&gt;1,"",SUMIFS($I:$I,$C:$C,$C756,$D:$D,$D756,$E:$E,"P0(후)"))</f>
        <v/>
      </c>
      <c r="R756" s="31">
        <f>IF(COUNTIFS($C:$C,$C756,$D:$D,$D756,$E:$E,"P0(후)",$M:$M,"&gt;0")&lt;&gt;1,"",SUMIFS($M:$M,$C:$C,$C756,$D:$D,$D756,$E:$E,"P0(후)"))</f>
        <v/>
      </c>
      <c r="S756" s="31">
        <f>IF(N756&lt;&gt;"OK","",P756+(R756-P756)*(I756-O756)/(Q756-O756))</f>
        <v/>
      </c>
      <c r="T756" s="31">
        <f>IF(OR(N756&lt;&gt;"OK",NOT(ISNUMBER(M756))),"",M756-S756)</f>
        <v/>
      </c>
      <c r="U756" s="49">
        <f>IF(OR(NOT(ISNUMBER(T756)),IF(ISNUMBER(H756),H756,G756)=0),"",T756/IF(ISNUMBER(H756),H756,G756))</f>
        <v/>
      </c>
      <c r="V756" s="49">
        <f>IF(ISNUMBER(U756),ABS(U756),"")</f>
        <v/>
      </c>
      <c r="W756" s="49">
        <f>IF(OR($E755&lt;&gt;"측정",$C755&lt;&gt;$C756,$D755&lt;&gt;$D756,NOT(ISNUMBER(M756)),NOT(ISNUMBER(M755)),(IF(ISNUMBER(H756),H756,G756)-IF(ISNUMBER(H755),H755,G755))=0),"",(M756-M755)/(IF(ISNUMBER(H756),H756,G756)-IF(ISNUMBER(H755),H755,G755)))</f>
        <v/>
      </c>
      <c r="X756" s="31">
        <f>IF(NOT(AND(ISNUMBER(O756),ISNUMBER(Q756))),"",(Q756-O756)*1440)</f>
        <v/>
      </c>
      <c r="Y756" s="29" t="n"/>
      <c r="Z756" s="29" t="n"/>
      <c r="AA756" s="29" t="n"/>
      <c r="AB756" s="32" t="n"/>
      <c r="AC756" s="32" t="n"/>
    </row>
    <row r="757">
      <c r="A757" s="26" t="inlineStr">
        <is>
          <t>S15</t>
        </is>
      </c>
      <c r="B757" s="26" t="inlineStr">
        <is>
          <t>의성 신규점</t>
        </is>
      </c>
      <c r="C757" s="26" t="inlineStr">
        <is>
          <t>S15-H서</t>
        </is>
      </c>
      <c r="D757" s="47" t="n">
        <v>1</v>
      </c>
      <c r="E757" s="26" t="inlineStr">
        <is>
          <t>측정</t>
        </is>
      </c>
      <c r="F757" s="26" t="inlineStr">
        <is>
          <t>서</t>
        </is>
      </c>
      <c r="G757" s="31" t="n">
        <v>9</v>
      </c>
      <c r="H757" s="30" t="n"/>
      <c r="I757" s="43" t="n"/>
      <c r="J757" s="41" t="n"/>
      <c r="K757" s="41" t="n"/>
      <c r="L757" s="41" t="n"/>
      <c r="M757" s="31">
        <f>IF(COUNT(J757:L757)=0,"",MEDIAN(J757:L757))</f>
        <v/>
      </c>
      <c r="N757" s="26">
        <f>IF(COUNTIFS($C:$C,$C757,$D:$D,$D757,$E:$E,"P0(전)",$M:$M,"&gt;0")&lt;&gt;1,"P0(전) 유효 1개 아님",IF(COUNTIFS($C:$C,$C757,$D:$D,$D757,$E:$E,"P0(후)",$M:$M,"&gt;0")&lt;&gt;1,"P0(후) 유효 1개 아님",IF(NOT(AND(ISNUMBER(O757),ISNUMBER(Q757),ISNUMBER(I757))),"시각 결측",IF(Q757&lt;=O757,"P0 시각 역전",IF(OR(I757&lt;O757,I757&gt;Q757),"측정시각 구간 밖","OK")))))</f>
        <v/>
      </c>
      <c r="O757" s="48">
        <f>IF(COUNTIFS($C:$C,$C757,$D:$D,$D757,$E:$E,"P0(전)",$M:$M,"&gt;0")&lt;&gt;1,"",SUMIFS($I:$I,$C:$C,$C757,$D:$D,$D757,$E:$E,"P0(전)"))</f>
        <v/>
      </c>
      <c r="P757" s="31">
        <f>IF(COUNTIFS($C:$C,$C757,$D:$D,$D757,$E:$E,"P0(전)",$M:$M,"&gt;0")&lt;&gt;1,"",SUMIFS($M:$M,$C:$C,$C757,$D:$D,$D757,$E:$E,"P0(전)"))</f>
        <v/>
      </c>
      <c r="Q757" s="48">
        <f>IF(COUNTIFS($C:$C,$C757,$D:$D,$D757,$E:$E,"P0(후)",$M:$M,"&gt;0")&lt;&gt;1,"",SUMIFS($I:$I,$C:$C,$C757,$D:$D,$D757,$E:$E,"P0(후)"))</f>
        <v/>
      </c>
      <c r="R757" s="31">
        <f>IF(COUNTIFS($C:$C,$C757,$D:$D,$D757,$E:$E,"P0(후)",$M:$M,"&gt;0")&lt;&gt;1,"",SUMIFS($M:$M,$C:$C,$C757,$D:$D,$D757,$E:$E,"P0(후)"))</f>
        <v/>
      </c>
      <c r="S757" s="31">
        <f>IF(N757&lt;&gt;"OK","",P757+(R757-P757)*(I757-O757)/(Q757-O757))</f>
        <v/>
      </c>
      <c r="T757" s="31">
        <f>IF(OR(N757&lt;&gt;"OK",NOT(ISNUMBER(M757))),"",M757-S757)</f>
        <v/>
      </c>
      <c r="U757" s="49">
        <f>IF(OR(NOT(ISNUMBER(T757)),IF(ISNUMBER(H757),H757,G757)=0),"",T757/IF(ISNUMBER(H757),H757,G757))</f>
        <v/>
      </c>
      <c r="V757" s="49">
        <f>IF(ISNUMBER(U757),ABS(U757),"")</f>
        <v/>
      </c>
      <c r="W757" s="49">
        <f>IF(OR($E756&lt;&gt;"측정",$C756&lt;&gt;$C757,$D756&lt;&gt;$D757,NOT(ISNUMBER(M757)),NOT(ISNUMBER(M756)),(IF(ISNUMBER(H757),H757,G757)-IF(ISNUMBER(H756),H756,G756))=0),"",(M757-M756)/(IF(ISNUMBER(H757),H757,G757)-IF(ISNUMBER(H756),H756,G756)))</f>
        <v/>
      </c>
      <c r="X757" s="31">
        <f>IF(NOT(AND(ISNUMBER(O757),ISNUMBER(Q757))),"",(Q757-O757)*1440)</f>
        <v/>
      </c>
      <c r="Y757" s="29" t="n"/>
      <c r="Z757" s="29" t="n"/>
      <c r="AA757" s="29" t="n"/>
      <c r="AB757" s="32" t="n"/>
      <c r="AC757" s="32" t="n"/>
    </row>
    <row r="758">
      <c r="A758" s="26" t="inlineStr">
        <is>
          <t>S15</t>
        </is>
      </c>
      <c r="B758" s="26" t="inlineStr">
        <is>
          <t>의성 신규점</t>
        </is>
      </c>
      <c r="C758" s="26" t="inlineStr">
        <is>
          <t>S15-H서</t>
        </is>
      </c>
      <c r="D758" s="47" t="n">
        <v>1</v>
      </c>
      <c r="E758" s="26" t="inlineStr">
        <is>
          <t>측정</t>
        </is>
      </c>
      <c r="F758" s="26" t="inlineStr">
        <is>
          <t>서</t>
        </is>
      </c>
      <c r="G758" s="31" t="n">
        <v>10</v>
      </c>
      <c r="H758" s="30" t="n"/>
      <c r="I758" s="43" t="n"/>
      <c r="J758" s="41" t="n"/>
      <c r="K758" s="41" t="n"/>
      <c r="L758" s="41" t="n"/>
      <c r="M758" s="31">
        <f>IF(COUNT(J758:L758)=0,"",MEDIAN(J758:L758))</f>
        <v/>
      </c>
      <c r="N758" s="26">
        <f>IF(COUNTIFS($C:$C,$C758,$D:$D,$D758,$E:$E,"P0(전)",$M:$M,"&gt;0")&lt;&gt;1,"P0(전) 유효 1개 아님",IF(COUNTIFS($C:$C,$C758,$D:$D,$D758,$E:$E,"P0(후)",$M:$M,"&gt;0")&lt;&gt;1,"P0(후) 유효 1개 아님",IF(NOT(AND(ISNUMBER(O758),ISNUMBER(Q758),ISNUMBER(I758))),"시각 결측",IF(Q758&lt;=O758,"P0 시각 역전",IF(OR(I758&lt;O758,I758&gt;Q758),"측정시각 구간 밖","OK")))))</f>
        <v/>
      </c>
      <c r="O758" s="48">
        <f>IF(COUNTIFS($C:$C,$C758,$D:$D,$D758,$E:$E,"P0(전)",$M:$M,"&gt;0")&lt;&gt;1,"",SUMIFS($I:$I,$C:$C,$C758,$D:$D,$D758,$E:$E,"P0(전)"))</f>
        <v/>
      </c>
      <c r="P758" s="31">
        <f>IF(COUNTIFS($C:$C,$C758,$D:$D,$D758,$E:$E,"P0(전)",$M:$M,"&gt;0")&lt;&gt;1,"",SUMIFS($M:$M,$C:$C,$C758,$D:$D,$D758,$E:$E,"P0(전)"))</f>
        <v/>
      </c>
      <c r="Q758" s="48">
        <f>IF(COUNTIFS($C:$C,$C758,$D:$D,$D758,$E:$E,"P0(후)",$M:$M,"&gt;0")&lt;&gt;1,"",SUMIFS($I:$I,$C:$C,$C758,$D:$D,$D758,$E:$E,"P0(후)"))</f>
        <v/>
      </c>
      <c r="R758" s="31">
        <f>IF(COUNTIFS($C:$C,$C758,$D:$D,$D758,$E:$E,"P0(후)",$M:$M,"&gt;0")&lt;&gt;1,"",SUMIFS($M:$M,$C:$C,$C758,$D:$D,$D758,$E:$E,"P0(후)"))</f>
        <v/>
      </c>
      <c r="S758" s="31">
        <f>IF(N758&lt;&gt;"OK","",P758+(R758-P758)*(I758-O758)/(Q758-O758))</f>
        <v/>
      </c>
      <c r="T758" s="31">
        <f>IF(OR(N758&lt;&gt;"OK",NOT(ISNUMBER(M758))),"",M758-S758)</f>
        <v/>
      </c>
      <c r="U758" s="49">
        <f>IF(OR(NOT(ISNUMBER(T758)),IF(ISNUMBER(H758),H758,G758)=0),"",T758/IF(ISNUMBER(H758),H758,G758))</f>
        <v/>
      </c>
      <c r="V758" s="49">
        <f>IF(ISNUMBER(U758),ABS(U758),"")</f>
        <v/>
      </c>
      <c r="W758" s="49">
        <f>IF(OR($E757&lt;&gt;"측정",$C757&lt;&gt;$C758,$D757&lt;&gt;$D758,NOT(ISNUMBER(M758)),NOT(ISNUMBER(M757)),(IF(ISNUMBER(H758),H758,G758)-IF(ISNUMBER(H757),H757,G757))=0),"",(M758-M757)/(IF(ISNUMBER(H758),H758,G758)-IF(ISNUMBER(H757),H757,G757)))</f>
        <v/>
      </c>
      <c r="X758" s="31">
        <f>IF(NOT(AND(ISNUMBER(O758),ISNUMBER(Q758))),"",(Q758-O758)*1440)</f>
        <v/>
      </c>
      <c r="Y758" s="29" t="n"/>
      <c r="Z758" s="29" t="n"/>
      <c r="AA758" s="29" t="n"/>
      <c r="AB758" s="32" t="n"/>
      <c r="AC758" s="32" t="n"/>
    </row>
    <row r="759">
      <c r="A759" s="44" t="inlineStr">
        <is>
          <t>S15</t>
        </is>
      </c>
      <c r="B759" s="44" t="inlineStr">
        <is>
          <t>의성 신규점</t>
        </is>
      </c>
      <c r="C759" s="44" t="inlineStr">
        <is>
          <t>S15-H서</t>
        </is>
      </c>
      <c r="D759" s="45" t="n">
        <v>1</v>
      </c>
      <c r="E759" s="44" t="inlineStr">
        <is>
          <t>P0(후)</t>
        </is>
      </c>
      <c r="F759" s="44" t="inlineStr">
        <is>
          <t>서</t>
        </is>
      </c>
      <c r="G759" s="46" t="n"/>
      <c r="H759" s="30" t="n"/>
      <c r="I759" s="43" t="n"/>
      <c r="J759" s="41" t="n"/>
      <c r="K759" s="41" t="n"/>
      <c r="L759" s="41" t="n"/>
      <c r="M759" s="31">
        <f>IF(COUNT(J759:L759)=0,"",MEDIAN(J759:L759))</f>
        <v/>
      </c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38" t="n"/>
      <c r="Y759" s="29" t="n"/>
      <c r="Z759" s="29" t="n"/>
      <c r="AA759" s="29" t="n"/>
      <c r="AB759" s="32" t="n"/>
      <c r="AC759" s="32" t="n"/>
    </row>
    <row r="760">
      <c r="A760" s="44" t="inlineStr">
        <is>
          <t>S15</t>
        </is>
      </c>
      <c r="B760" s="44" t="inlineStr">
        <is>
          <t>의성 신규점</t>
        </is>
      </c>
      <c r="C760" s="44" t="inlineStr">
        <is>
          <t>S15-H남</t>
        </is>
      </c>
      <c r="D760" s="45" t="n">
        <v>1</v>
      </c>
      <c r="E760" s="44" t="inlineStr">
        <is>
          <t>P0(전)</t>
        </is>
      </c>
      <c r="F760" s="44" t="inlineStr">
        <is>
          <t>남</t>
        </is>
      </c>
      <c r="G760" s="46" t="n"/>
      <c r="H760" s="30" t="n"/>
      <c r="I760" s="43" t="n"/>
      <c r="J760" s="41" t="n"/>
      <c r="K760" s="41" t="n"/>
      <c r="L760" s="41" t="n"/>
      <c r="M760" s="31">
        <f>IF(COUNT(J760:L760)=0,"",MEDIAN(J760:L760))</f>
        <v/>
      </c>
      <c r="N760" s="38" t="n"/>
      <c r="O760" s="38" t="n"/>
      <c r="P760" s="38" t="n"/>
      <c r="Q760" s="38" t="n"/>
      <c r="R760" s="38" t="n"/>
      <c r="S760" s="38" t="n"/>
      <c r="T760" s="38" t="n"/>
      <c r="U760" s="38" t="n"/>
      <c r="V760" s="38" t="n"/>
      <c r="W760" s="38" t="n"/>
      <c r="X760" s="38" t="n"/>
      <c r="Y760" s="29" t="n"/>
      <c r="Z760" s="29" t="n"/>
      <c r="AA760" s="29" t="n"/>
      <c r="AB760" s="32" t="n"/>
      <c r="AC760" s="32" t="n"/>
    </row>
    <row r="761">
      <c r="A761" s="26" t="inlineStr">
        <is>
          <t>S15</t>
        </is>
      </c>
      <c r="B761" s="26" t="inlineStr">
        <is>
          <t>의성 신규점</t>
        </is>
      </c>
      <c r="C761" s="26" t="inlineStr">
        <is>
          <t>S15-H남</t>
        </is>
      </c>
      <c r="D761" s="47" t="n">
        <v>1</v>
      </c>
      <c r="E761" s="26" t="inlineStr">
        <is>
          <t>측정</t>
        </is>
      </c>
      <c r="F761" s="26" t="inlineStr">
        <is>
          <t>남</t>
        </is>
      </c>
      <c r="G761" s="31" t="n">
        <v>0.5</v>
      </c>
      <c r="H761" s="30" t="n"/>
      <c r="I761" s="43" t="n"/>
      <c r="J761" s="41" t="n"/>
      <c r="K761" s="41" t="n"/>
      <c r="L761" s="41" t="n"/>
      <c r="M761" s="31">
        <f>IF(COUNT(J761:L761)=0,"",MEDIAN(J761:L761))</f>
        <v/>
      </c>
      <c r="N761" s="26">
        <f>IF(COUNTIFS($C:$C,$C761,$D:$D,$D761,$E:$E,"P0(전)",$M:$M,"&gt;0")&lt;&gt;1,"P0(전) 유효 1개 아님",IF(COUNTIFS($C:$C,$C761,$D:$D,$D761,$E:$E,"P0(후)",$M:$M,"&gt;0")&lt;&gt;1,"P0(후) 유효 1개 아님",IF(NOT(AND(ISNUMBER(O761),ISNUMBER(Q761),ISNUMBER(I761))),"시각 결측",IF(Q761&lt;=O761,"P0 시각 역전",IF(OR(I761&lt;O761,I761&gt;Q761),"측정시각 구간 밖","OK")))))</f>
        <v/>
      </c>
      <c r="O761" s="48">
        <f>IF(COUNTIFS($C:$C,$C761,$D:$D,$D761,$E:$E,"P0(전)",$M:$M,"&gt;0")&lt;&gt;1,"",SUMIFS($I:$I,$C:$C,$C761,$D:$D,$D761,$E:$E,"P0(전)"))</f>
        <v/>
      </c>
      <c r="P761" s="31">
        <f>IF(COUNTIFS($C:$C,$C761,$D:$D,$D761,$E:$E,"P0(전)",$M:$M,"&gt;0")&lt;&gt;1,"",SUMIFS($M:$M,$C:$C,$C761,$D:$D,$D761,$E:$E,"P0(전)"))</f>
        <v/>
      </c>
      <c r="Q761" s="48">
        <f>IF(COUNTIFS($C:$C,$C761,$D:$D,$D761,$E:$E,"P0(후)",$M:$M,"&gt;0")&lt;&gt;1,"",SUMIFS($I:$I,$C:$C,$C761,$D:$D,$D761,$E:$E,"P0(후)"))</f>
        <v/>
      </c>
      <c r="R761" s="31">
        <f>IF(COUNTIFS($C:$C,$C761,$D:$D,$D761,$E:$E,"P0(후)",$M:$M,"&gt;0")&lt;&gt;1,"",SUMIFS($M:$M,$C:$C,$C761,$D:$D,$D761,$E:$E,"P0(후)"))</f>
        <v/>
      </c>
      <c r="S761" s="31">
        <f>IF(N761&lt;&gt;"OK","",P761+(R761-P761)*(I761-O761)/(Q761-O761))</f>
        <v/>
      </c>
      <c r="T761" s="31">
        <f>IF(OR(N761&lt;&gt;"OK",NOT(ISNUMBER(M761))),"",M761-S761)</f>
        <v/>
      </c>
      <c r="U761" s="49">
        <f>IF(OR(NOT(ISNUMBER(T761)),IF(ISNUMBER(H761),H761,G761)=0),"",T761/IF(ISNUMBER(H761),H761,G761))</f>
        <v/>
      </c>
      <c r="V761" s="49">
        <f>IF(ISNUMBER(U761),ABS(U761),"")</f>
        <v/>
      </c>
      <c r="W761" s="49">
        <f>IF(OR($E760&lt;&gt;"측정",$C760&lt;&gt;$C761,$D760&lt;&gt;$D761,NOT(ISNUMBER(M761)),NOT(ISNUMBER(M760)),(IF(ISNUMBER(H761),H761,G761)-IF(ISNUMBER(H760),H760,G760))=0),"",(M761-M760)/(IF(ISNUMBER(H761),H761,G761)-IF(ISNUMBER(H760),H760,G760)))</f>
        <v/>
      </c>
      <c r="X761" s="31">
        <f>IF(NOT(AND(ISNUMBER(O761),ISNUMBER(Q761))),"",(Q761-O761)*1440)</f>
        <v/>
      </c>
      <c r="Y761" s="29" t="n"/>
      <c r="Z761" s="29" t="n"/>
      <c r="AA761" s="29" t="n"/>
      <c r="AB761" s="32" t="n"/>
      <c r="AC761" s="32" t="n"/>
    </row>
    <row r="762">
      <c r="A762" s="26" t="inlineStr">
        <is>
          <t>S15</t>
        </is>
      </c>
      <c r="B762" s="26" t="inlineStr">
        <is>
          <t>의성 신규점</t>
        </is>
      </c>
      <c r="C762" s="26" t="inlineStr">
        <is>
          <t>S15-H남</t>
        </is>
      </c>
      <c r="D762" s="47" t="n">
        <v>1</v>
      </c>
      <c r="E762" s="26" t="inlineStr">
        <is>
          <t>측정</t>
        </is>
      </c>
      <c r="F762" s="26" t="inlineStr">
        <is>
          <t>남</t>
        </is>
      </c>
      <c r="G762" s="31" t="n">
        <v>1</v>
      </c>
      <c r="H762" s="30" t="n"/>
      <c r="I762" s="43" t="n"/>
      <c r="J762" s="41" t="n"/>
      <c r="K762" s="41" t="n"/>
      <c r="L762" s="41" t="n"/>
      <c r="M762" s="31">
        <f>IF(COUNT(J762:L762)=0,"",MEDIAN(J762:L762))</f>
        <v/>
      </c>
      <c r="N762" s="26">
        <f>IF(COUNTIFS($C:$C,$C762,$D:$D,$D762,$E:$E,"P0(전)",$M:$M,"&gt;0")&lt;&gt;1,"P0(전) 유효 1개 아님",IF(COUNTIFS($C:$C,$C762,$D:$D,$D762,$E:$E,"P0(후)",$M:$M,"&gt;0")&lt;&gt;1,"P0(후) 유효 1개 아님",IF(NOT(AND(ISNUMBER(O762),ISNUMBER(Q762),ISNUMBER(I762))),"시각 결측",IF(Q762&lt;=O762,"P0 시각 역전",IF(OR(I762&lt;O762,I762&gt;Q762),"측정시각 구간 밖","OK")))))</f>
        <v/>
      </c>
      <c r="O762" s="48">
        <f>IF(COUNTIFS($C:$C,$C762,$D:$D,$D762,$E:$E,"P0(전)",$M:$M,"&gt;0")&lt;&gt;1,"",SUMIFS($I:$I,$C:$C,$C762,$D:$D,$D762,$E:$E,"P0(전)"))</f>
        <v/>
      </c>
      <c r="P762" s="31">
        <f>IF(COUNTIFS($C:$C,$C762,$D:$D,$D762,$E:$E,"P0(전)",$M:$M,"&gt;0")&lt;&gt;1,"",SUMIFS($M:$M,$C:$C,$C762,$D:$D,$D762,$E:$E,"P0(전)"))</f>
        <v/>
      </c>
      <c r="Q762" s="48">
        <f>IF(COUNTIFS($C:$C,$C762,$D:$D,$D762,$E:$E,"P0(후)",$M:$M,"&gt;0")&lt;&gt;1,"",SUMIFS($I:$I,$C:$C,$C762,$D:$D,$D762,$E:$E,"P0(후)"))</f>
        <v/>
      </c>
      <c r="R762" s="31">
        <f>IF(COUNTIFS($C:$C,$C762,$D:$D,$D762,$E:$E,"P0(후)",$M:$M,"&gt;0")&lt;&gt;1,"",SUMIFS($M:$M,$C:$C,$C762,$D:$D,$D762,$E:$E,"P0(후)"))</f>
        <v/>
      </c>
      <c r="S762" s="31">
        <f>IF(N762&lt;&gt;"OK","",P762+(R762-P762)*(I762-O762)/(Q762-O762))</f>
        <v/>
      </c>
      <c r="T762" s="31">
        <f>IF(OR(N762&lt;&gt;"OK",NOT(ISNUMBER(M762))),"",M762-S762)</f>
        <v/>
      </c>
      <c r="U762" s="49">
        <f>IF(OR(NOT(ISNUMBER(T762)),IF(ISNUMBER(H762),H762,G762)=0),"",T762/IF(ISNUMBER(H762),H762,G762))</f>
        <v/>
      </c>
      <c r="V762" s="49">
        <f>IF(ISNUMBER(U762),ABS(U762),"")</f>
        <v/>
      </c>
      <c r="W762" s="49">
        <f>IF(OR($E761&lt;&gt;"측정",$C761&lt;&gt;$C762,$D761&lt;&gt;$D762,NOT(ISNUMBER(M762)),NOT(ISNUMBER(M761)),(IF(ISNUMBER(H762),H762,G762)-IF(ISNUMBER(H761),H761,G761))=0),"",(M762-M761)/(IF(ISNUMBER(H762),H762,G762)-IF(ISNUMBER(H761),H761,G761)))</f>
        <v/>
      </c>
      <c r="X762" s="31">
        <f>IF(NOT(AND(ISNUMBER(O762),ISNUMBER(Q762))),"",(Q762-O762)*1440)</f>
        <v/>
      </c>
      <c r="Y762" s="29" t="n"/>
      <c r="Z762" s="29" t="n"/>
      <c r="AA762" s="29" t="n"/>
      <c r="AB762" s="32" t="n"/>
      <c r="AC762" s="32" t="n"/>
    </row>
    <row r="763">
      <c r="A763" s="26" t="inlineStr">
        <is>
          <t>S15</t>
        </is>
      </c>
      <c r="B763" s="26" t="inlineStr">
        <is>
          <t>의성 신규점</t>
        </is>
      </c>
      <c r="C763" s="26" t="inlineStr">
        <is>
          <t>S15-H남</t>
        </is>
      </c>
      <c r="D763" s="47" t="n">
        <v>1</v>
      </c>
      <c r="E763" s="26" t="inlineStr">
        <is>
          <t>측정</t>
        </is>
      </c>
      <c r="F763" s="26" t="inlineStr">
        <is>
          <t>남</t>
        </is>
      </c>
      <c r="G763" s="31" t="n">
        <v>2</v>
      </c>
      <c r="H763" s="30" t="n"/>
      <c r="I763" s="43" t="n"/>
      <c r="J763" s="41" t="n"/>
      <c r="K763" s="41" t="n"/>
      <c r="L763" s="41" t="n"/>
      <c r="M763" s="31">
        <f>IF(COUNT(J763:L763)=0,"",MEDIAN(J763:L763))</f>
        <v/>
      </c>
      <c r="N763" s="26">
        <f>IF(COUNTIFS($C:$C,$C763,$D:$D,$D763,$E:$E,"P0(전)",$M:$M,"&gt;0")&lt;&gt;1,"P0(전) 유효 1개 아님",IF(COUNTIFS($C:$C,$C763,$D:$D,$D763,$E:$E,"P0(후)",$M:$M,"&gt;0")&lt;&gt;1,"P0(후) 유효 1개 아님",IF(NOT(AND(ISNUMBER(O763),ISNUMBER(Q763),ISNUMBER(I763))),"시각 결측",IF(Q763&lt;=O763,"P0 시각 역전",IF(OR(I763&lt;O763,I763&gt;Q763),"측정시각 구간 밖","OK")))))</f>
        <v/>
      </c>
      <c r="O763" s="48">
        <f>IF(COUNTIFS($C:$C,$C763,$D:$D,$D763,$E:$E,"P0(전)",$M:$M,"&gt;0")&lt;&gt;1,"",SUMIFS($I:$I,$C:$C,$C763,$D:$D,$D763,$E:$E,"P0(전)"))</f>
        <v/>
      </c>
      <c r="P763" s="31">
        <f>IF(COUNTIFS($C:$C,$C763,$D:$D,$D763,$E:$E,"P0(전)",$M:$M,"&gt;0")&lt;&gt;1,"",SUMIFS($M:$M,$C:$C,$C763,$D:$D,$D763,$E:$E,"P0(전)"))</f>
        <v/>
      </c>
      <c r="Q763" s="48">
        <f>IF(COUNTIFS($C:$C,$C763,$D:$D,$D763,$E:$E,"P0(후)",$M:$M,"&gt;0")&lt;&gt;1,"",SUMIFS($I:$I,$C:$C,$C763,$D:$D,$D763,$E:$E,"P0(후)"))</f>
        <v/>
      </c>
      <c r="R763" s="31">
        <f>IF(COUNTIFS($C:$C,$C763,$D:$D,$D763,$E:$E,"P0(후)",$M:$M,"&gt;0")&lt;&gt;1,"",SUMIFS($M:$M,$C:$C,$C763,$D:$D,$D763,$E:$E,"P0(후)"))</f>
        <v/>
      </c>
      <c r="S763" s="31">
        <f>IF(N763&lt;&gt;"OK","",P763+(R763-P763)*(I763-O763)/(Q763-O763))</f>
        <v/>
      </c>
      <c r="T763" s="31">
        <f>IF(OR(N763&lt;&gt;"OK",NOT(ISNUMBER(M763))),"",M763-S763)</f>
        <v/>
      </c>
      <c r="U763" s="49">
        <f>IF(OR(NOT(ISNUMBER(T763)),IF(ISNUMBER(H763),H763,G763)=0),"",T763/IF(ISNUMBER(H763),H763,G763))</f>
        <v/>
      </c>
      <c r="V763" s="49">
        <f>IF(ISNUMBER(U763),ABS(U763),"")</f>
        <v/>
      </c>
      <c r="W763" s="49">
        <f>IF(OR($E762&lt;&gt;"측정",$C762&lt;&gt;$C763,$D762&lt;&gt;$D763,NOT(ISNUMBER(M763)),NOT(ISNUMBER(M762)),(IF(ISNUMBER(H763),H763,G763)-IF(ISNUMBER(H762),H762,G762))=0),"",(M763-M762)/(IF(ISNUMBER(H763),H763,G763)-IF(ISNUMBER(H762),H762,G762)))</f>
        <v/>
      </c>
      <c r="X763" s="31">
        <f>IF(NOT(AND(ISNUMBER(O763),ISNUMBER(Q763))),"",(Q763-O763)*1440)</f>
        <v/>
      </c>
      <c r="Y763" s="29" t="n"/>
      <c r="Z763" s="29" t="n"/>
      <c r="AA763" s="29" t="n"/>
      <c r="AB763" s="32" t="n"/>
      <c r="AC763" s="32" t="n"/>
    </row>
    <row r="764">
      <c r="A764" s="26" t="inlineStr">
        <is>
          <t>S15</t>
        </is>
      </c>
      <c r="B764" s="26" t="inlineStr">
        <is>
          <t>의성 신규점</t>
        </is>
      </c>
      <c r="C764" s="26" t="inlineStr">
        <is>
          <t>S15-H남</t>
        </is>
      </c>
      <c r="D764" s="47" t="n">
        <v>1</v>
      </c>
      <c r="E764" s="26" t="inlineStr">
        <is>
          <t>측정</t>
        </is>
      </c>
      <c r="F764" s="26" t="inlineStr">
        <is>
          <t>남</t>
        </is>
      </c>
      <c r="G764" s="31" t="n">
        <v>3</v>
      </c>
      <c r="H764" s="30" t="n"/>
      <c r="I764" s="43" t="n"/>
      <c r="J764" s="41" t="n"/>
      <c r="K764" s="41" t="n"/>
      <c r="L764" s="41" t="n"/>
      <c r="M764" s="31">
        <f>IF(COUNT(J764:L764)=0,"",MEDIAN(J764:L764))</f>
        <v/>
      </c>
      <c r="N764" s="26">
        <f>IF(COUNTIFS($C:$C,$C764,$D:$D,$D764,$E:$E,"P0(전)",$M:$M,"&gt;0")&lt;&gt;1,"P0(전) 유효 1개 아님",IF(COUNTIFS($C:$C,$C764,$D:$D,$D764,$E:$E,"P0(후)",$M:$M,"&gt;0")&lt;&gt;1,"P0(후) 유효 1개 아님",IF(NOT(AND(ISNUMBER(O764),ISNUMBER(Q764),ISNUMBER(I764))),"시각 결측",IF(Q764&lt;=O764,"P0 시각 역전",IF(OR(I764&lt;O764,I764&gt;Q764),"측정시각 구간 밖","OK")))))</f>
        <v/>
      </c>
      <c r="O764" s="48">
        <f>IF(COUNTIFS($C:$C,$C764,$D:$D,$D764,$E:$E,"P0(전)",$M:$M,"&gt;0")&lt;&gt;1,"",SUMIFS($I:$I,$C:$C,$C764,$D:$D,$D764,$E:$E,"P0(전)"))</f>
        <v/>
      </c>
      <c r="P764" s="31">
        <f>IF(COUNTIFS($C:$C,$C764,$D:$D,$D764,$E:$E,"P0(전)",$M:$M,"&gt;0")&lt;&gt;1,"",SUMIFS($M:$M,$C:$C,$C764,$D:$D,$D764,$E:$E,"P0(전)"))</f>
        <v/>
      </c>
      <c r="Q764" s="48">
        <f>IF(COUNTIFS($C:$C,$C764,$D:$D,$D764,$E:$E,"P0(후)",$M:$M,"&gt;0")&lt;&gt;1,"",SUMIFS($I:$I,$C:$C,$C764,$D:$D,$D764,$E:$E,"P0(후)"))</f>
        <v/>
      </c>
      <c r="R764" s="31">
        <f>IF(COUNTIFS($C:$C,$C764,$D:$D,$D764,$E:$E,"P0(후)",$M:$M,"&gt;0")&lt;&gt;1,"",SUMIFS($M:$M,$C:$C,$C764,$D:$D,$D764,$E:$E,"P0(후)"))</f>
        <v/>
      </c>
      <c r="S764" s="31">
        <f>IF(N764&lt;&gt;"OK","",P764+(R764-P764)*(I764-O764)/(Q764-O764))</f>
        <v/>
      </c>
      <c r="T764" s="31">
        <f>IF(OR(N764&lt;&gt;"OK",NOT(ISNUMBER(M764))),"",M764-S764)</f>
        <v/>
      </c>
      <c r="U764" s="49">
        <f>IF(OR(NOT(ISNUMBER(T764)),IF(ISNUMBER(H764),H764,G764)=0),"",T764/IF(ISNUMBER(H764),H764,G764))</f>
        <v/>
      </c>
      <c r="V764" s="49">
        <f>IF(ISNUMBER(U764),ABS(U764),"")</f>
        <v/>
      </c>
      <c r="W764" s="49">
        <f>IF(OR($E763&lt;&gt;"측정",$C763&lt;&gt;$C764,$D763&lt;&gt;$D764,NOT(ISNUMBER(M764)),NOT(ISNUMBER(M763)),(IF(ISNUMBER(H764),H764,G764)-IF(ISNUMBER(H763),H763,G763))=0),"",(M764-M763)/(IF(ISNUMBER(H764),H764,G764)-IF(ISNUMBER(H763),H763,G763)))</f>
        <v/>
      </c>
      <c r="X764" s="31">
        <f>IF(NOT(AND(ISNUMBER(O764),ISNUMBER(Q764))),"",(Q764-O764)*1440)</f>
        <v/>
      </c>
      <c r="Y764" s="29" t="n"/>
      <c r="Z764" s="29" t="n"/>
      <c r="AA764" s="29" t="n"/>
      <c r="AB764" s="32" t="n"/>
      <c r="AC764" s="32" t="n"/>
    </row>
    <row r="765">
      <c r="A765" s="26" t="inlineStr">
        <is>
          <t>S15</t>
        </is>
      </c>
      <c r="B765" s="26" t="inlineStr">
        <is>
          <t>의성 신규점</t>
        </is>
      </c>
      <c r="C765" s="26" t="inlineStr">
        <is>
          <t>S15-H남</t>
        </is>
      </c>
      <c r="D765" s="47" t="n">
        <v>1</v>
      </c>
      <c r="E765" s="26" t="inlineStr">
        <is>
          <t>측정</t>
        </is>
      </c>
      <c r="F765" s="26" t="inlineStr">
        <is>
          <t>남</t>
        </is>
      </c>
      <c r="G765" s="31" t="n">
        <v>4</v>
      </c>
      <c r="H765" s="30" t="n"/>
      <c r="I765" s="43" t="n"/>
      <c r="J765" s="41" t="n"/>
      <c r="K765" s="41" t="n"/>
      <c r="L765" s="41" t="n"/>
      <c r="M765" s="31">
        <f>IF(COUNT(J765:L765)=0,"",MEDIAN(J765:L765))</f>
        <v/>
      </c>
      <c r="N765" s="26">
        <f>IF(COUNTIFS($C:$C,$C765,$D:$D,$D765,$E:$E,"P0(전)",$M:$M,"&gt;0")&lt;&gt;1,"P0(전) 유효 1개 아님",IF(COUNTIFS($C:$C,$C765,$D:$D,$D765,$E:$E,"P0(후)",$M:$M,"&gt;0")&lt;&gt;1,"P0(후) 유효 1개 아님",IF(NOT(AND(ISNUMBER(O765),ISNUMBER(Q765),ISNUMBER(I765))),"시각 결측",IF(Q765&lt;=O765,"P0 시각 역전",IF(OR(I765&lt;O765,I765&gt;Q765),"측정시각 구간 밖","OK")))))</f>
        <v/>
      </c>
      <c r="O765" s="48">
        <f>IF(COUNTIFS($C:$C,$C765,$D:$D,$D765,$E:$E,"P0(전)",$M:$M,"&gt;0")&lt;&gt;1,"",SUMIFS($I:$I,$C:$C,$C765,$D:$D,$D765,$E:$E,"P0(전)"))</f>
        <v/>
      </c>
      <c r="P765" s="31">
        <f>IF(COUNTIFS($C:$C,$C765,$D:$D,$D765,$E:$E,"P0(전)",$M:$M,"&gt;0")&lt;&gt;1,"",SUMIFS($M:$M,$C:$C,$C765,$D:$D,$D765,$E:$E,"P0(전)"))</f>
        <v/>
      </c>
      <c r="Q765" s="48">
        <f>IF(COUNTIFS($C:$C,$C765,$D:$D,$D765,$E:$E,"P0(후)",$M:$M,"&gt;0")&lt;&gt;1,"",SUMIFS($I:$I,$C:$C,$C765,$D:$D,$D765,$E:$E,"P0(후)"))</f>
        <v/>
      </c>
      <c r="R765" s="31">
        <f>IF(COUNTIFS($C:$C,$C765,$D:$D,$D765,$E:$E,"P0(후)",$M:$M,"&gt;0")&lt;&gt;1,"",SUMIFS($M:$M,$C:$C,$C765,$D:$D,$D765,$E:$E,"P0(후)"))</f>
        <v/>
      </c>
      <c r="S765" s="31">
        <f>IF(N765&lt;&gt;"OK","",P765+(R765-P765)*(I765-O765)/(Q765-O765))</f>
        <v/>
      </c>
      <c r="T765" s="31">
        <f>IF(OR(N765&lt;&gt;"OK",NOT(ISNUMBER(M765))),"",M765-S765)</f>
        <v/>
      </c>
      <c r="U765" s="49">
        <f>IF(OR(NOT(ISNUMBER(T765)),IF(ISNUMBER(H765),H765,G765)=0),"",T765/IF(ISNUMBER(H765),H765,G765))</f>
        <v/>
      </c>
      <c r="V765" s="49">
        <f>IF(ISNUMBER(U765),ABS(U765),"")</f>
        <v/>
      </c>
      <c r="W765" s="49">
        <f>IF(OR($E764&lt;&gt;"측정",$C764&lt;&gt;$C765,$D764&lt;&gt;$D765,NOT(ISNUMBER(M765)),NOT(ISNUMBER(M764)),(IF(ISNUMBER(H765),H765,G765)-IF(ISNUMBER(H764),H764,G764))=0),"",(M765-M764)/(IF(ISNUMBER(H765),H765,G765)-IF(ISNUMBER(H764),H764,G764)))</f>
        <v/>
      </c>
      <c r="X765" s="31">
        <f>IF(NOT(AND(ISNUMBER(O765),ISNUMBER(Q765))),"",(Q765-O765)*1440)</f>
        <v/>
      </c>
      <c r="Y765" s="29" t="n"/>
      <c r="Z765" s="29" t="n"/>
      <c r="AA765" s="29" t="n"/>
      <c r="AB765" s="32" t="n"/>
      <c r="AC765" s="32" t="n"/>
    </row>
    <row r="766">
      <c r="A766" s="26" t="inlineStr">
        <is>
          <t>S15</t>
        </is>
      </c>
      <c r="B766" s="26" t="inlineStr">
        <is>
          <t>의성 신규점</t>
        </is>
      </c>
      <c r="C766" s="26" t="inlineStr">
        <is>
          <t>S15-H남</t>
        </is>
      </c>
      <c r="D766" s="47" t="n">
        <v>1</v>
      </c>
      <c r="E766" s="26" t="inlineStr">
        <is>
          <t>측정</t>
        </is>
      </c>
      <c r="F766" s="26" t="inlineStr">
        <is>
          <t>남</t>
        </is>
      </c>
      <c r="G766" s="31" t="n">
        <v>5</v>
      </c>
      <c r="H766" s="30" t="n"/>
      <c r="I766" s="43" t="n"/>
      <c r="J766" s="41" t="n"/>
      <c r="K766" s="41" t="n"/>
      <c r="L766" s="41" t="n"/>
      <c r="M766" s="31">
        <f>IF(COUNT(J766:L766)=0,"",MEDIAN(J766:L766))</f>
        <v/>
      </c>
      <c r="N766" s="26">
        <f>IF(COUNTIFS($C:$C,$C766,$D:$D,$D766,$E:$E,"P0(전)",$M:$M,"&gt;0")&lt;&gt;1,"P0(전) 유효 1개 아님",IF(COUNTIFS($C:$C,$C766,$D:$D,$D766,$E:$E,"P0(후)",$M:$M,"&gt;0")&lt;&gt;1,"P0(후) 유효 1개 아님",IF(NOT(AND(ISNUMBER(O766),ISNUMBER(Q766),ISNUMBER(I766))),"시각 결측",IF(Q766&lt;=O766,"P0 시각 역전",IF(OR(I766&lt;O766,I766&gt;Q766),"측정시각 구간 밖","OK")))))</f>
        <v/>
      </c>
      <c r="O766" s="48">
        <f>IF(COUNTIFS($C:$C,$C766,$D:$D,$D766,$E:$E,"P0(전)",$M:$M,"&gt;0")&lt;&gt;1,"",SUMIFS($I:$I,$C:$C,$C766,$D:$D,$D766,$E:$E,"P0(전)"))</f>
        <v/>
      </c>
      <c r="P766" s="31">
        <f>IF(COUNTIFS($C:$C,$C766,$D:$D,$D766,$E:$E,"P0(전)",$M:$M,"&gt;0")&lt;&gt;1,"",SUMIFS($M:$M,$C:$C,$C766,$D:$D,$D766,$E:$E,"P0(전)"))</f>
        <v/>
      </c>
      <c r="Q766" s="48">
        <f>IF(COUNTIFS($C:$C,$C766,$D:$D,$D766,$E:$E,"P0(후)",$M:$M,"&gt;0")&lt;&gt;1,"",SUMIFS($I:$I,$C:$C,$C766,$D:$D,$D766,$E:$E,"P0(후)"))</f>
        <v/>
      </c>
      <c r="R766" s="31">
        <f>IF(COUNTIFS($C:$C,$C766,$D:$D,$D766,$E:$E,"P0(후)",$M:$M,"&gt;0")&lt;&gt;1,"",SUMIFS($M:$M,$C:$C,$C766,$D:$D,$D766,$E:$E,"P0(후)"))</f>
        <v/>
      </c>
      <c r="S766" s="31">
        <f>IF(N766&lt;&gt;"OK","",P766+(R766-P766)*(I766-O766)/(Q766-O766))</f>
        <v/>
      </c>
      <c r="T766" s="31">
        <f>IF(OR(N766&lt;&gt;"OK",NOT(ISNUMBER(M766))),"",M766-S766)</f>
        <v/>
      </c>
      <c r="U766" s="49">
        <f>IF(OR(NOT(ISNUMBER(T766)),IF(ISNUMBER(H766),H766,G766)=0),"",T766/IF(ISNUMBER(H766),H766,G766))</f>
        <v/>
      </c>
      <c r="V766" s="49">
        <f>IF(ISNUMBER(U766),ABS(U766),"")</f>
        <v/>
      </c>
      <c r="W766" s="49">
        <f>IF(OR($E765&lt;&gt;"측정",$C765&lt;&gt;$C766,$D765&lt;&gt;$D766,NOT(ISNUMBER(M766)),NOT(ISNUMBER(M765)),(IF(ISNUMBER(H766),H766,G766)-IF(ISNUMBER(H765),H765,G765))=0),"",(M766-M765)/(IF(ISNUMBER(H766),H766,G766)-IF(ISNUMBER(H765),H765,G765)))</f>
        <v/>
      </c>
      <c r="X766" s="31">
        <f>IF(NOT(AND(ISNUMBER(O766),ISNUMBER(Q766))),"",(Q766-O766)*1440)</f>
        <v/>
      </c>
      <c r="Y766" s="29" t="n"/>
      <c r="Z766" s="29" t="n"/>
      <c r="AA766" s="29" t="n"/>
      <c r="AB766" s="32" t="n"/>
      <c r="AC766" s="32" t="n"/>
    </row>
    <row r="767">
      <c r="A767" s="26" t="inlineStr">
        <is>
          <t>S15</t>
        </is>
      </c>
      <c r="B767" s="26" t="inlineStr">
        <is>
          <t>의성 신규점</t>
        </is>
      </c>
      <c r="C767" s="26" t="inlineStr">
        <is>
          <t>S15-H남</t>
        </is>
      </c>
      <c r="D767" s="47" t="n">
        <v>1</v>
      </c>
      <c r="E767" s="26" t="inlineStr">
        <is>
          <t>측정</t>
        </is>
      </c>
      <c r="F767" s="26" t="inlineStr">
        <is>
          <t>남</t>
        </is>
      </c>
      <c r="G767" s="31" t="n">
        <v>6</v>
      </c>
      <c r="H767" s="30" t="n"/>
      <c r="I767" s="43" t="n"/>
      <c r="J767" s="41" t="n"/>
      <c r="K767" s="41" t="n"/>
      <c r="L767" s="41" t="n"/>
      <c r="M767" s="31">
        <f>IF(COUNT(J767:L767)=0,"",MEDIAN(J767:L767))</f>
        <v/>
      </c>
      <c r="N767" s="26">
        <f>IF(COUNTIFS($C:$C,$C767,$D:$D,$D767,$E:$E,"P0(전)",$M:$M,"&gt;0")&lt;&gt;1,"P0(전) 유효 1개 아님",IF(COUNTIFS($C:$C,$C767,$D:$D,$D767,$E:$E,"P0(후)",$M:$M,"&gt;0")&lt;&gt;1,"P0(후) 유효 1개 아님",IF(NOT(AND(ISNUMBER(O767),ISNUMBER(Q767),ISNUMBER(I767))),"시각 결측",IF(Q767&lt;=O767,"P0 시각 역전",IF(OR(I767&lt;O767,I767&gt;Q767),"측정시각 구간 밖","OK")))))</f>
        <v/>
      </c>
      <c r="O767" s="48">
        <f>IF(COUNTIFS($C:$C,$C767,$D:$D,$D767,$E:$E,"P0(전)",$M:$M,"&gt;0")&lt;&gt;1,"",SUMIFS($I:$I,$C:$C,$C767,$D:$D,$D767,$E:$E,"P0(전)"))</f>
        <v/>
      </c>
      <c r="P767" s="31">
        <f>IF(COUNTIFS($C:$C,$C767,$D:$D,$D767,$E:$E,"P0(전)",$M:$M,"&gt;0")&lt;&gt;1,"",SUMIFS($M:$M,$C:$C,$C767,$D:$D,$D767,$E:$E,"P0(전)"))</f>
        <v/>
      </c>
      <c r="Q767" s="48">
        <f>IF(COUNTIFS($C:$C,$C767,$D:$D,$D767,$E:$E,"P0(후)",$M:$M,"&gt;0")&lt;&gt;1,"",SUMIFS($I:$I,$C:$C,$C767,$D:$D,$D767,$E:$E,"P0(후)"))</f>
        <v/>
      </c>
      <c r="R767" s="31">
        <f>IF(COUNTIFS($C:$C,$C767,$D:$D,$D767,$E:$E,"P0(후)",$M:$M,"&gt;0")&lt;&gt;1,"",SUMIFS($M:$M,$C:$C,$C767,$D:$D,$D767,$E:$E,"P0(후)"))</f>
        <v/>
      </c>
      <c r="S767" s="31">
        <f>IF(N767&lt;&gt;"OK","",P767+(R767-P767)*(I767-O767)/(Q767-O767))</f>
        <v/>
      </c>
      <c r="T767" s="31">
        <f>IF(OR(N767&lt;&gt;"OK",NOT(ISNUMBER(M767))),"",M767-S767)</f>
        <v/>
      </c>
      <c r="U767" s="49">
        <f>IF(OR(NOT(ISNUMBER(T767)),IF(ISNUMBER(H767),H767,G767)=0),"",T767/IF(ISNUMBER(H767),H767,G767))</f>
        <v/>
      </c>
      <c r="V767" s="49">
        <f>IF(ISNUMBER(U767),ABS(U767),"")</f>
        <v/>
      </c>
      <c r="W767" s="49">
        <f>IF(OR($E766&lt;&gt;"측정",$C766&lt;&gt;$C767,$D766&lt;&gt;$D767,NOT(ISNUMBER(M767)),NOT(ISNUMBER(M766)),(IF(ISNUMBER(H767),H767,G767)-IF(ISNUMBER(H766),H766,G766))=0),"",(M767-M766)/(IF(ISNUMBER(H767),H767,G767)-IF(ISNUMBER(H766),H766,G766)))</f>
        <v/>
      </c>
      <c r="X767" s="31">
        <f>IF(NOT(AND(ISNUMBER(O767),ISNUMBER(Q767))),"",(Q767-O767)*1440)</f>
        <v/>
      </c>
      <c r="Y767" s="29" t="n"/>
      <c r="Z767" s="29" t="n"/>
      <c r="AA767" s="29" t="n"/>
      <c r="AB767" s="32" t="n"/>
      <c r="AC767" s="32" t="n"/>
    </row>
    <row r="768">
      <c r="A768" s="26" t="inlineStr">
        <is>
          <t>S15</t>
        </is>
      </c>
      <c r="B768" s="26" t="inlineStr">
        <is>
          <t>의성 신규점</t>
        </is>
      </c>
      <c r="C768" s="26" t="inlineStr">
        <is>
          <t>S15-H남</t>
        </is>
      </c>
      <c r="D768" s="47" t="n">
        <v>1</v>
      </c>
      <c r="E768" s="26" t="inlineStr">
        <is>
          <t>측정</t>
        </is>
      </c>
      <c r="F768" s="26" t="inlineStr">
        <is>
          <t>남</t>
        </is>
      </c>
      <c r="G768" s="31" t="n">
        <v>7</v>
      </c>
      <c r="H768" s="30" t="n"/>
      <c r="I768" s="43" t="n"/>
      <c r="J768" s="41" t="n"/>
      <c r="K768" s="41" t="n"/>
      <c r="L768" s="41" t="n"/>
      <c r="M768" s="31">
        <f>IF(COUNT(J768:L768)=0,"",MEDIAN(J768:L768))</f>
        <v/>
      </c>
      <c r="N768" s="26">
        <f>IF(COUNTIFS($C:$C,$C768,$D:$D,$D768,$E:$E,"P0(전)",$M:$M,"&gt;0")&lt;&gt;1,"P0(전) 유효 1개 아님",IF(COUNTIFS($C:$C,$C768,$D:$D,$D768,$E:$E,"P0(후)",$M:$M,"&gt;0")&lt;&gt;1,"P0(후) 유효 1개 아님",IF(NOT(AND(ISNUMBER(O768),ISNUMBER(Q768),ISNUMBER(I768))),"시각 결측",IF(Q768&lt;=O768,"P0 시각 역전",IF(OR(I768&lt;O768,I768&gt;Q768),"측정시각 구간 밖","OK")))))</f>
        <v/>
      </c>
      <c r="O768" s="48">
        <f>IF(COUNTIFS($C:$C,$C768,$D:$D,$D768,$E:$E,"P0(전)",$M:$M,"&gt;0")&lt;&gt;1,"",SUMIFS($I:$I,$C:$C,$C768,$D:$D,$D768,$E:$E,"P0(전)"))</f>
        <v/>
      </c>
      <c r="P768" s="31">
        <f>IF(COUNTIFS($C:$C,$C768,$D:$D,$D768,$E:$E,"P0(전)",$M:$M,"&gt;0")&lt;&gt;1,"",SUMIFS($M:$M,$C:$C,$C768,$D:$D,$D768,$E:$E,"P0(전)"))</f>
        <v/>
      </c>
      <c r="Q768" s="48">
        <f>IF(COUNTIFS($C:$C,$C768,$D:$D,$D768,$E:$E,"P0(후)",$M:$M,"&gt;0")&lt;&gt;1,"",SUMIFS($I:$I,$C:$C,$C768,$D:$D,$D768,$E:$E,"P0(후)"))</f>
        <v/>
      </c>
      <c r="R768" s="31">
        <f>IF(COUNTIFS($C:$C,$C768,$D:$D,$D768,$E:$E,"P0(후)",$M:$M,"&gt;0")&lt;&gt;1,"",SUMIFS($M:$M,$C:$C,$C768,$D:$D,$D768,$E:$E,"P0(후)"))</f>
        <v/>
      </c>
      <c r="S768" s="31">
        <f>IF(N768&lt;&gt;"OK","",P768+(R768-P768)*(I768-O768)/(Q768-O768))</f>
        <v/>
      </c>
      <c r="T768" s="31">
        <f>IF(OR(N768&lt;&gt;"OK",NOT(ISNUMBER(M768))),"",M768-S768)</f>
        <v/>
      </c>
      <c r="U768" s="49">
        <f>IF(OR(NOT(ISNUMBER(T768)),IF(ISNUMBER(H768),H768,G768)=0),"",T768/IF(ISNUMBER(H768),H768,G768))</f>
        <v/>
      </c>
      <c r="V768" s="49">
        <f>IF(ISNUMBER(U768),ABS(U768),"")</f>
        <v/>
      </c>
      <c r="W768" s="49">
        <f>IF(OR($E767&lt;&gt;"측정",$C767&lt;&gt;$C768,$D767&lt;&gt;$D768,NOT(ISNUMBER(M768)),NOT(ISNUMBER(M767)),(IF(ISNUMBER(H768),H768,G768)-IF(ISNUMBER(H767),H767,G767))=0),"",(M768-M767)/(IF(ISNUMBER(H768),H768,G768)-IF(ISNUMBER(H767),H767,G767)))</f>
        <v/>
      </c>
      <c r="X768" s="31">
        <f>IF(NOT(AND(ISNUMBER(O768),ISNUMBER(Q768))),"",(Q768-O768)*1440)</f>
        <v/>
      </c>
      <c r="Y768" s="29" t="n"/>
      <c r="Z768" s="29" t="n"/>
      <c r="AA768" s="29" t="n"/>
      <c r="AB768" s="32" t="n"/>
      <c r="AC768" s="32" t="n"/>
    </row>
    <row r="769">
      <c r="A769" s="26" t="inlineStr">
        <is>
          <t>S15</t>
        </is>
      </c>
      <c r="B769" s="26" t="inlineStr">
        <is>
          <t>의성 신규점</t>
        </is>
      </c>
      <c r="C769" s="26" t="inlineStr">
        <is>
          <t>S15-H남</t>
        </is>
      </c>
      <c r="D769" s="47" t="n">
        <v>1</v>
      </c>
      <c r="E769" s="26" t="inlineStr">
        <is>
          <t>측정</t>
        </is>
      </c>
      <c r="F769" s="26" t="inlineStr">
        <is>
          <t>남</t>
        </is>
      </c>
      <c r="G769" s="31" t="n">
        <v>8</v>
      </c>
      <c r="H769" s="30" t="n"/>
      <c r="I769" s="43" t="n"/>
      <c r="J769" s="41" t="n"/>
      <c r="K769" s="41" t="n"/>
      <c r="L769" s="41" t="n"/>
      <c r="M769" s="31">
        <f>IF(COUNT(J769:L769)=0,"",MEDIAN(J769:L769))</f>
        <v/>
      </c>
      <c r="N769" s="26">
        <f>IF(COUNTIFS($C:$C,$C769,$D:$D,$D769,$E:$E,"P0(전)",$M:$M,"&gt;0")&lt;&gt;1,"P0(전) 유효 1개 아님",IF(COUNTIFS($C:$C,$C769,$D:$D,$D769,$E:$E,"P0(후)",$M:$M,"&gt;0")&lt;&gt;1,"P0(후) 유효 1개 아님",IF(NOT(AND(ISNUMBER(O769),ISNUMBER(Q769),ISNUMBER(I769))),"시각 결측",IF(Q769&lt;=O769,"P0 시각 역전",IF(OR(I769&lt;O769,I769&gt;Q769),"측정시각 구간 밖","OK")))))</f>
        <v/>
      </c>
      <c r="O769" s="48">
        <f>IF(COUNTIFS($C:$C,$C769,$D:$D,$D769,$E:$E,"P0(전)",$M:$M,"&gt;0")&lt;&gt;1,"",SUMIFS($I:$I,$C:$C,$C769,$D:$D,$D769,$E:$E,"P0(전)"))</f>
        <v/>
      </c>
      <c r="P769" s="31">
        <f>IF(COUNTIFS($C:$C,$C769,$D:$D,$D769,$E:$E,"P0(전)",$M:$M,"&gt;0")&lt;&gt;1,"",SUMIFS($M:$M,$C:$C,$C769,$D:$D,$D769,$E:$E,"P0(전)"))</f>
        <v/>
      </c>
      <c r="Q769" s="48">
        <f>IF(COUNTIFS($C:$C,$C769,$D:$D,$D769,$E:$E,"P0(후)",$M:$M,"&gt;0")&lt;&gt;1,"",SUMIFS($I:$I,$C:$C,$C769,$D:$D,$D769,$E:$E,"P0(후)"))</f>
        <v/>
      </c>
      <c r="R769" s="31">
        <f>IF(COUNTIFS($C:$C,$C769,$D:$D,$D769,$E:$E,"P0(후)",$M:$M,"&gt;0")&lt;&gt;1,"",SUMIFS($M:$M,$C:$C,$C769,$D:$D,$D769,$E:$E,"P0(후)"))</f>
        <v/>
      </c>
      <c r="S769" s="31">
        <f>IF(N769&lt;&gt;"OK","",P769+(R769-P769)*(I769-O769)/(Q769-O769))</f>
        <v/>
      </c>
      <c r="T769" s="31">
        <f>IF(OR(N769&lt;&gt;"OK",NOT(ISNUMBER(M769))),"",M769-S769)</f>
        <v/>
      </c>
      <c r="U769" s="49">
        <f>IF(OR(NOT(ISNUMBER(T769)),IF(ISNUMBER(H769),H769,G769)=0),"",T769/IF(ISNUMBER(H769),H769,G769))</f>
        <v/>
      </c>
      <c r="V769" s="49">
        <f>IF(ISNUMBER(U769),ABS(U769),"")</f>
        <v/>
      </c>
      <c r="W769" s="49">
        <f>IF(OR($E768&lt;&gt;"측정",$C768&lt;&gt;$C769,$D768&lt;&gt;$D769,NOT(ISNUMBER(M769)),NOT(ISNUMBER(M768)),(IF(ISNUMBER(H769),H769,G769)-IF(ISNUMBER(H768),H768,G768))=0),"",(M769-M768)/(IF(ISNUMBER(H769),H769,G769)-IF(ISNUMBER(H768),H768,G768)))</f>
        <v/>
      </c>
      <c r="X769" s="31">
        <f>IF(NOT(AND(ISNUMBER(O769),ISNUMBER(Q769))),"",(Q769-O769)*1440)</f>
        <v/>
      </c>
      <c r="Y769" s="29" t="n"/>
      <c r="Z769" s="29" t="n"/>
      <c r="AA769" s="29" t="n"/>
      <c r="AB769" s="32" t="n"/>
      <c r="AC769" s="32" t="n"/>
    </row>
    <row r="770">
      <c r="A770" s="26" t="inlineStr">
        <is>
          <t>S15</t>
        </is>
      </c>
      <c r="B770" s="26" t="inlineStr">
        <is>
          <t>의성 신규점</t>
        </is>
      </c>
      <c r="C770" s="26" t="inlineStr">
        <is>
          <t>S15-H남</t>
        </is>
      </c>
      <c r="D770" s="47" t="n">
        <v>1</v>
      </c>
      <c r="E770" s="26" t="inlineStr">
        <is>
          <t>측정</t>
        </is>
      </c>
      <c r="F770" s="26" t="inlineStr">
        <is>
          <t>남</t>
        </is>
      </c>
      <c r="G770" s="31" t="n">
        <v>9</v>
      </c>
      <c r="H770" s="30" t="n"/>
      <c r="I770" s="43" t="n"/>
      <c r="J770" s="41" t="n"/>
      <c r="K770" s="41" t="n"/>
      <c r="L770" s="41" t="n"/>
      <c r="M770" s="31">
        <f>IF(COUNT(J770:L770)=0,"",MEDIAN(J770:L770))</f>
        <v/>
      </c>
      <c r="N770" s="26">
        <f>IF(COUNTIFS($C:$C,$C770,$D:$D,$D770,$E:$E,"P0(전)",$M:$M,"&gt;0")&lt;&gt;1,"P0(전) 유효 1개 아님",IF(COUNTIFS($C:$C,$C770,$D:$D,$D770,$E:$E,"P0(후)",$M:$M,"&gt;0")&lt;&gt;1,"P0(후) 유효 1개 아님",IF(NOT(AND(ISNUMBER(O770),ISNUMBER(Q770),ISNUMBER(I770))),"시각 결측",IF(Q770&lt;=O770,"P0 시각 역전",IF(OR(I770&lt;O770,I770&gt;Q770),"측정시각 구간 밖","OK")))))</f>
        <v/>
      </c>
      <c r="O770" s="48">
        <f>IF(COUNTIFS($C:$C,$C770,$D:$D,$D770,$E:$E,"P0(전)",$M:$M,"&gt;0")&lt;&gt;1,"",SUMIFS($I:$I,$C:$C,$C770,$D:$D,$D770,$E:$E,"P0(전)"))</f>
        <v/>
      </c>
      <c r="P770" s="31">
        <f>IF(COUNTIFS($C:$C,$C770,$D:$D,$D770,$E:$E,"P0(전)",$M:$M,"&gt;0")&lt;&gt;1,"",SUMIFS($M:$M,$C:$C,$C770,$D:$D,$D770,$E:$E,"P0(전)"))</f>
        <v/>
      </c>
      <c r="Q770" s="48">
        <f>IF(COUNTIFS($C:$C,$C770,$D:$D,$D770,$E:$E,"P0(후)",$M:$M,"&gt;0")&lt;&gt;1,"",SUMIFS($I:$I,$C:$C,$C770,$D:$D,$D770,$E:$E,"P0(후)"))</f>
        <v/>
      </c>
      <c r="R770" s="31">
        <f>IF(COUNTIFS($C:$C,$C770,$D:$D,$D770,$E:$E,"P0(후)",$M:$M,"&gt;0")&lt;&gt;1,"",SUMIFS($M:$M,$C:$C,$C770,$D:$D,$D770,$E:$E,"P0(후)"))</f>
        <v/>
      </c>
      <c r="S770" s="31">
        <f>IF(N770&lt;&gt;"OK","",P770+(R770-P770)*(I770-O770)/(Q770-O770))</f>
        <v/>
      </c>
      <c r="T770" s="31">
        <f>IF(OR(N770&lt;&gt;"OK",NOT(ISNUMBER(M770))),"",M770-S770)</f>
        <v/>
      </c>
      <c r="U770" s="49">
        <f>IF(OR(NOT(ISNUMBER(T770)),IF(ISNUMBER(H770),H770,G770)=0),"",T770/IF(ISNUMBER(H770),H770,G770))</f>
        <v/>
      </c>
      <c r="V770" s="49">
        <f>IF(ISNUMBER(U770),ABS(U770),"")</f>
        <v/>
      </c>
      <c r="W770" s="49">
        <f>IF(OR($E769&lt;&gt;"측정",$C769&lt;&gt;$C770,$D769&lt;&gt;$D770,NOT(ISNUMBER(M770)),NOT(ISNUMBER(M769)),(IF(ISNUMBER(H770),H770,G770)-IF(ISNUMBER(H769),H769,G769))=0),"",(M770-M769)/(IF(ISNUMBER(H770),H770,G770)-IF(ISNUMBER(H769),H769,G769)))</f>
        <v/>
      </c>
      <c r="X770" s="31">
        <f>IF(NOT(AND(ISNUMBER(O770),ISNUMBER(Q770))),"",(Q770-O770)*1440)</f>
        <v/>
      </c>
      <c r="Y770" s="29" t="n"/>
      <c r="Z770" s="29" t="n"/>
      <c r="AA770" s="29" t="n"/>
      <c r="AB770" s="32" t="n"/>
      <c r="AC770" s="32" t="n"/>
    </row>
    <row r="771">
      <c r="A771" s="26" t="inlineStr">
        <is>
          <t>S15</t>
        </is>
      </c>
      <c r="B771" s="26" t="inlineStr">
        <is>
          <t>의성 신규점</t>
        </is>
      </c>
      <c r="C771" s="26" t="inlineStr">
        <is>
          <t>S15-H남</t>
        </is>
      </c>
      <c r="D771" s="47" t="n">
        <v>1</v>
      </c>
      <c r="E771" s="26" t="inlineStr">
        <is>
          <t>측정</t>
        </is>
      </c>
      <c r="F771" s="26" t="inlineStr">
        <is>
          <t>남</t>
        </is>
      </c>
      <c r="G771" s="31" t="n">
        <v>10</v>
      </c>
      <c r="H771" s="30" t="n"/>
      <c r="I771" s="43" t="n"/>
      <c r="J771" s="41" t="n"/>
      <c r="K771" s="41" t="n"/>
      <c r="L771" s="41" t="n"/>
      <c r="M771" s="31">
        <f>IF(COUNT(J771:L771)=0,"",MEDIAN(J771:L771))</f>
        <v/>
      </c>
      <c r="N771" s="26">
        <f>IF(COUNTIFS($C:$C,$C771,$D:$D,$D771,$E:$E,"P0(전)",$M:$M,"&gt;0")&lt;&gt;1,"P0(전) 유효 1개 아님",IF(COUNTIFS($C:$C,$C771,$D:$D,$D771,$E:$E,"P0(후)",$M:$M,"&gt;0")&lt;&gt;1,"P0(후) 유효 1개 아님",IF(NOT(AND(ISNUMBER(O771),ISNUMBER(Q771),ISNUMBER(I771))),"시각 결측",IF(Q771&lt;=O771,"P0 시각 역전",IF(OR(I771&lt;O771,I771&gt;Q771),"측정시각 구간 밖","OK")))))</f>
        <v/>
      </c>
      <c r="O771" s="48">
        <f>IF(COUNTIFS($C:$C,$C771,$D:$D,$D771,$E:$E,"P0(전)",$M:$M,"&gt;0")&lt;&gt;1,"",SUMIFS($I:$I,$C:$C,$C771,$D:$D,$D771,$E:$E,"P0(전)"))</f>
        <v/>
      </c>
      <c r="P771" s="31">
        <f>IF(COUNTIFS($C:$C,$C771,$D:$D,$D771,$E:$E,"P0(전)",$M:$M,"&gt;0")&lt;&gt;1,"",SUMIFS($M:$M,$C:$C,$C771,$D:$D,$D771,$E:$E,"P0(전)"))</f>
        <v/>
      </c>
      <c r="Q771" s="48">
        <f>IF(COUNTIFS($C:$C,$C771,$D:$D,$D771,$E:$E,"P0(후)",$M:$M,"&gt;0")&lt;&gt;1,"",SUMIFS($I:$I,$C:$C,$C771,$D:$D,$D771,$E:$E,"P0(후)"))</f>
        <v/>
      </c>
      <c r="R771" s="31">
        <f>IF(COUNTIFS($C:$C,$C771,$D:$D,$D771,$E:$E,"P0(후)",$M:$M,"&gt;0")&lt;&gt;1,"",SUMIFS($M:$M,$C:$C,$C771,$D:$D,$D771,$E:$E,"P0(후)"))</f>
        <v/>
      </c>
      <c r="S771" s="31">
        <f>IF(N771&lt;&gt;"OK","",P771+(R771-P771)*(I771-O771)/(Q771-O771))</f>
        <v/>
      </c>
      <c r="T771" s="31">
        <f>IF(OR(N771&lt;&gt;"OK",NOT(ISNUMBER(M771))),"",M771-S771)</f>
        <v/>
      </c>
      <c r="U771" s="49">
        <f>IF(OR(NOT(ISNUMBER(T771)),IF(ISNUMBER(H771),H771,G771)=0),"",T771/IF(ISNUMBER(H771),H771,G771))</f>
        <v/>
      </c>
      <c r="V771" s="49">
        <f>IF(ISNUMBER(U771),ABS(U771),"")</f>
        <v/>
      </c>
      <c r="W771" s="49">
        <f>IF(OR($E770&lt;&gt;"측정",$C770&lt;&gt;$C771,$D770&lt;&gt;$D771,NOT(ISNUMBER(M771)),NOT(ISNUMBER(M770)),(IF(ISNUMBER(H771),H771,G771)-IF(ISNUMBER(H770),H770,G770))=0),"",(M771-M770)/(IF(ISNUMBER(H771),H771,G771)-IF(ISNUMBER(H770),H770,G770)))</f>
        <v/>
      </c>
      <c r="X771" s="31">
        <f>IF(NOT(AND(ISNUMBER(O771),ISNUMBER(Q771))),"",(Q771-O771)*1440)</f>
        <v/>
      </c>
      <c r="Y771" s="29" t="n"/>
      <c r="Z771" s="29" t="n"/>
      <c r="AA771" s="29" t="n"/>
      <c r="AB771" s="32" t="n"/>
      <c r="AC771" s="32" t="n"/>
    </row>
    <row r="772">
      <c r="A772" s="44" t="inlineStr">
        <is>
          <t>S15</t>
        </is>
      </c>
      <c r="B772" s="44" t="inlineStr">
        <is>
          <t>의성 신규점</t>
        </is>
      </c>
      <c r="C772" s="44" t="inlineStr">
        <is>
          <t>S15-H남</t>
        </is>
      </c>
      <c r="D772" s="45" t="n">
        <v>1</v>
      </c>
      <c r="E772" s="44" t="inlineStr">
        <is>
          <t>P0(후)</t>
        </is>
      </c>
      <c r="F772" s="44" t="inlineStr">
        <is>
          <t>남</t>
        </is>
      </c>
      <c r="G772" s="46" t="n"/>
      <c r="H772" s="30" t="n"/>
      <c r="I772" s="43" t="n"/>
      <c r="J772" s="41" t="n"/>
      <c r="K772" s="41" t="n"/>
      <c r="L772" s="41" t="n"/>
      <c r="M772" s="31">
        <f>IF(COUNT(J772:L772)=0,"",MEDIAN(J772:L772))</f>
        <v/>
      </c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38" t="n"/>
      <c r="Y772" s="29" t="n"/>
      <c r="Z772" s="29" t="n"/>
      <c r="AA772" s="29" t="n"/>
      <c r="AB772" s="32" t="n"/>
      <c r="AC772" s="32" t="n"/>
    </row>
    <row r="773">
      <c r="A773" s="44" t="inlineStr">
        <is>
          <t>S15</t>
        </is>
      </c>
      <c r="B773" s="44" t="inlineStr">
        <is>
          <t>의성 신규점</t>
        </is>
      </c>
      <c r="C773" s="44" t="inlineStr">
        <is>
          <t>S15-H북</t>
        </is>
      </c>
      <c r="D773" s="45" t="n">
        <v>1</v>
      </c>
      <c r="E773" s="44" t="inlineStr">
        <is>
          <t>P0(전)</t>
        </is>
      </c>
      <c r="F773" s="44" t="inlineStr">
        <is>
          <t>북</t>
        </is>
      </c>
      <c r="G773" s="46" t="n"/>
      <c r="H773" s="30" t="n"/>
      <c r="I773" s="43" t="n"/>
      <c r="J773" s="41" t="n"/>
      <c r="K773" s="41" t="n"/>
      <c r="L773" s="41" t="n"/>
      <c r="M773" s="31">
        <f>IF(COUNT(J773:L773)=0,"",MEDIAN(J773:L773))</f>
        <v/>
      </c>
      <c r="N773" s="38" t="n"/>
      <c r="O773" s="38" t="n"/>
      <c r="P773" s="38" t="n"/>
      <c r="Q773" s="38" t="n"/>
      <c r="R773" s="38" t="n"/>
      <c r="S773" s="38" t="n"/>
      <c r="T773" s="38" t="n"/>
      <c r="U773" s="38" t="n"/>
      <c r="V773" s="38" t="n"/>
      <c r="W773" s="38" t="n"/>
      <c r="X773" s="38" t="n"/>
      <c r="Y773" s="29" t="n"/>
      <c r="Z773" s="29" t="n"/>
      <c r="AA773" s="29" t="n"/>
      <c r="AB773" s="32" t="n"/>
      <c r="AC773" s="32" t="n"/>
    </row>
    <row r="774">
      <c r="A774" s="26" t="inlineStr">
        <is>
          <t>S15</t>
        </is>
      </c>
      <c r="B774" s="26" t="inlineStr">
        <is>
          <t>의성 신규점</t>
        </is>
      </c>
      <c r="C774" s="26" t="inlineStr">
        <is>
          <t>S15-H북</t>
        </is>
      </c>
      <c r="D774" s="47" t="n">
        <v>1</v>
      </c>
      <c r="E774" s="26" t="inlineStr">
        <is>
          <t>측정</t>
        </is>
      </c>
      <c r="F774" s="26" t="inlineStr">
        <is>
          <t>북</t>
        </is>
      </c>
      <c r="G774" s="31" t="n">
        <v>0.5</v>
      </c>
      <c r="H774" s="30" t="n"/>
      <c r="I774" s="43" t="n"/>
      <c r="J774" s="41" t="n"/>
      <c r="K774" s="41" t="n"/>
      <c r="L774" s="41" t="n"/>
      <c r="M774" s="31">
        <f>IF(COUNT(J774:L774)=0,"",MEDIAN(J774:L774))</f>
        <v/>
      </c>
      <c r="N774" s="26">
        <f>IF(COUNTIFS($C:$C,$C774,$D:$D,$D774,$E:$E,"P0(전)",$M:$M,"&gt;0")&lt;&gt;1,"P0(전) 유효 1개 아님",IF(COUNTIFS($C:$C,$C774,$D:$D,$D774,$E:$E,"P0(후)",$M:$M,"&gt;0")&lt;&gt;1,"P0(후) 유효 1개 아님",IF(NOT(AND(ISNUMBER(O774),ISNUMBER(Q774),ISNUMBER(I774))),"시각 결측",IF(Q774&lt;=O774,"P0 시각 역전",IF(OR(I774&lt;O774,I774&gt;Q774),"측정시각 구간 밖","OK")))))</f>
        <v/>
      </c>
      <c r="O774" s="48">
        <f>IF(COUNTIFS($C:$C,$C774,$D:$D,$D774,$E:$E,"P0(전)",$M:$M,"&gt;0")&lt;&gt;1,"",SUMIFS($I:$I,$C:$C,$C774,$D:$D,$D774,$E:$E,"P0(전)"))</f>
        <v/>
      </c>
      <c r="P774" s="31">
        <f>IF(COUNTIFS($C:$C,$C774,$D:$D,$D774,$E:$E,"P0(전)",$M:$M,"&gt;0")&lt;&gt;1,"",SUMIFS($M:$M,$C:$C,$C774,$D:$D,$D774,$E:$E,"P0(전)"))</f>
        <v/>
      </c>
      <c r="Q774" s="48">
        <f>IF(COUNTIFS($C:$C,$C774,$D:$D,$D774,$E:$E,"P0(후)",$M:$M,"&gt;0")&lt;&gt;1,"",SUMIFS($I:$I,$C:$C,$C774,$D:$D,$D774,$E:$E,"P0(후)"))</f>
        <v/>
      </c>
      <c r="R774" s="31">
        <f>IF(COUNTIFS($C:$C,$C774,$D:$D,$D774,$E:$E,"P0(후)",$M:$M,"&gt;0")&lt;&gt;1,"",SUMIFS($M:$M,$C:$C,$C774,$D:$D,$D774,$E:$E,"P0(후)"))</f>
        <v/>
      </c>
      <c r="S774" s="31">
        <f>IF(N774&lt;&gt;"OK","",P774+(R774-P774)*(I774-O774)/(Q774-O774))</f>
        <v/>
      </c>
      <c r="T774" s="31">
        <f>IF(OR(N774&lt;&gt;"OK",NOT(ISNUMBER(M774))),"",M774-S774)</f>
        <v/>
      </c>
      <c r="U774" s="49">
        <f>IF(OR(NOT(ISNUMBER(T774)),IF(ISNUMBER(H774),H774,G774)=0),"",T774/IF(ISNUMBER(H774),H774,G774))</f>
        <v/>
      </c>
      <c r="V774" s="49">
        <f>IF(ISNUMBER(U774),ABS(U774),"")</f>
        <v/>
      </c>
      <c r="W774" s="49">
        <f>IF(OR($E773&lt;&gt;"측정",$C773&lt;&gt;$C774,$D773&lt;&gt;$D774,NOT(ISNUMBER(M774)),NOT(ISNUMBER(M773)),(IF(ISNUMBER(H774),H774,G774)-IF(ISNUMBER(H773),H773,G773))=0),"",(M774-M773)/(IF(ISNUMBER(H774),H774,G774)-IF(ISNUMBER(H773),H773,G773)))</f>
        <v/>
      </c>
      <c r="X774" s="31">
        <f>IF(NOT(AND(ISNUMBER(O774),ISNUMBER(Q774))),"",(Q774-O774)*1440)</f>
        <v/>
      </c>
      <c r="Y774" s="29" t="n"/>
      <c r="Z774" s="29" t="n"/>
      <c r="AA774" s="29" t="n"/>
      <c r="AB774" s="32" t="n"/>
      <c r="AC774" s="32" t="n"/>
    </row>
    <row r="775">
      <c r="A775" s="26" t="inlineStr">
        <is>
          <t>S15</t>
        </is>
      </c>
      <c r="B775" s="26" t="inlineStr">
        <is>
          <t>의성 신규점</t>
        </is>
      </c>
      <c r="C775" s="26" t="inlineStr">
        <is>
          <t>S15-H북</t>
        </is>
      </c>
      <c r="D775" s="47" t="n">
        <v>1</v>
      </c>
      <c r="E775" s="26" t="inlineStr">
        <is>
          <t>측정</t>
        </is>
      </c>
      <c r="F775" s="26" t="inlineStr">
        <is>
          <t>북</t>
        </is>
      </c>
      <c r="G775" s="31" t="n">
        <v>1</v>
      </c>
      <c r="H775" s="30" t="n"/>
      <c r="I775" s="43" t="n"/>
      <c r="J775" s="41" t="n"/>
      <c r="K775" s="41" t="n"/>
      <c r="L775" s="41" t="n"/>
      <c r="M775" s="31">
        <f>IF(COUNT(J775:L775)=0,"",MEDIAN(J775:L775))</f>
        <v/>
      </c>
      <c r="N775" s="26">
        <f>IF(COUNTIFS($C:$C,$C775,$D:$D,$D775,$E:$E,"P0(전)",$M:$M,"&gt;0")&lt;&gt;1,"P0(전) 유효 1개 아님",IF(COUNTIFS($C:$C,$C775,$D:$D,$D775,$E:$E,"P0(후)",$M:$M,"&gt;0")&lt;&gt;1,"P0(후) 유효 1개 아님",IF(NOT(AND(ISNUMBER(O775),ISNUMBER(Q775),ISNUMBER(I775))),"시각 결측",IF(Q775&lt;=O775,"P0 시각 역전",IF(OR(I775&lt;O775,I775&gt;Q775),"측정시각 구간 밖","OK")))))</f>
        <v/>
      </c>
      <c r="O775" s="48">
        <f>IF(COUNTIFS($C:$C,$C775,$D:$D,$D775,$E:$E,"P0(전)",$M:$M,"&gt;0")&lt;&gt;1,"",SUMIFS($I:$I,$C:$C,$C775,$D:$D,$D775,$E:$E,"P0(전)"))</f>
        <v/>
      </c>
      <c r="P775" s="31">
        <f>IF(COUNTIFS($C:$C,$C775,$D:$D,$D775,$E:$E,"P0(전)",$M:$M,"&gt;0")&lt;&gt;1,"",SUMIFS($M:$M,$C:$C,$C775,$D:$D,$D775,$E:$E,"P0(전)"))</f>
        <v/>
      </c>
      <c r="Q775" s="48">
        <f>IF(COUNTIFS($C:$C,$C775,$D:$D,$D775,$E:$E,"P0(후)",$M:$M,"&gt;0")&lt;&gt;1,"",SUMIFS($I:$I,$C:$C,$C775,$D:$D,$D775,$E:$E,"P0(후)"))</f>
        <v/>
      </c>
      <c r="R775" s="31">
        <f>IF(COUNTIFS($C:$C,$C775,$D:$D,$D775,$E:$E,"P0(후)",$M:$M,"&gt;0")&lt;&gt;1,"",SUMIFS($M:$M,$C:$C,$C775,$D:$D,$D775,$E:$E,"P0(후)"))</f>
        <v/>
      </c>
      <c r="S775" s="31">
        <f>IF(N775&lt;&gt;"OK","",P775+(R775-P775)*(I775-O775)/(Q775-O775))</f>
        <v/>
      </c>
      <c r="T775" s="31">
        <f>IF(OR(N775&lt;&gt;"OK",NOT(ISNUMBER(M775))),"",M775-S775)</f>
        <v/>
      </c>
      <c r="U775" s="49">
        <f>IF(OR(NOT(ISNUMBER(T775)),IF(ISNUMBER(H775),H775,G775)=0),"",T775/IF(ISNUMBER(H775),H775,G775))</f>
        <v/>
      </c>
      <c r="V775" s="49">
        <f>IF(ISNUMBER(U775),ABS(U775),"")</f>
        <v/>
      </c>
      <c r="W775" s="49">
        <f>IF(OR($E774&lt;&gt;"측정",$C774&lt;&gt;$C775,$D774&lt;&gt;$D775,NOT(ISNUMBER(M775)),NOT(ISNUMBER(M774)),(IF(ISNUMBER(H775),H775,G775)-IF(ISNUMBER(H774),H774,G774))=0),"",(M775-M774)/(IF(ISNUMBER(H775),H775,G775)-IF(ISNUMBER(H774),H774,G774)))</f>
        <v/>
      </c>
      <c r="X775" s="31">
        <f>IF(NOT(AND(ISNUMBER(O775),ISNUMBER(Q775))),"",(Q775-O775)*1440)</f>
        <v/>
      </c>
      <c r="Y775" s="29" t="n"/>
      <c r="Z775" s="29" t="n"/>
      <c r="AA775" s="29" t="n"/>
      <c r="AB775" s="32" t="n"/>
      <c r="AC775" s="32" t="n"/>
    </row>
    <row r="776">
      <c r="A776" s="26" t="inlineStr">
        <is>
          <t>S15</t>
        </is>
      </c>
      <c r="B776" s="26" t="inlineStr">
        <is>
          <t>의성 신규점</t>
        </is>
      </c>
      <c r="C776" s="26" t="inlineStr">
        <is>
          <t>S15-H북</t>
        </is>
      </c>
      <c r="D776" s="47" t="n">
        <v>1</v>
      </c>
      <c r="E776" s="26" t="inlineStr">
        <is>
          <t>측정</t>
        </is>
      </c>
      <c r="F776" s="26" t="inlineStr">
        <is>
          <t>북</t>
        </is>
      </c>
      <c r="G776" s="31" t="n">
        <v>2</v>
      </c>
      <c r="H776" s="30" t="n"/>
      <c r="I776" s="43" t="n"/>
      <c r="J776" s="41" t="n"/>
      <c r="K776" s="41" t="n"/>
      <c r="L776" s="41" t="n"/>
      <c r="M776" s="31">
        <f>IF(COUNT(J776:L776)=0,"",MEDIAN(J776:L776))</f>
        <v/>
      </c>
      <c r="N776" s="26">
        <f>IF(COUNTIFS($C:$C,$C776,$D:$D,$D776,$E:$E,"P0(전)",$M:$M,"&gt;0")&lt;&gt;1,"P0(전) 유효 1개 아님",IF(COUNTIFS($C:$C,$C776,$D:$D,$D776,$E:$E,"P0(후)",$M:$M,"&gt;0")&lt;&gt;1,"P0(후) 유효 1개 아님",IF(NOT(AND(ISNUMBER(O776),ISNUMBER(Q776),ISNUMBER(I776))),"시각 결측",IF(Q776&lt;=O776,"P0 시각 역전",IF(OR(I776&lt;O776,I776&gt;Q776),"측정시각 구간 밖","OK")))))</f>
        <v/>
      </c>
      <c r="O776" s="48">
        <f>IF(COUNTIFS($C:$C,$C776,$D:$D,$D776,$E:$E,"P0(전)",$M:$M,"&gt;0")&lt;&gt;1,"",SUMIFS($I:$I,$C:$C,$C776,$D:$D,$D776,$E:$E,"P0(전)"))</f>
        <v/>
      </c>
      <c r="P776" s="31">
        <f>IF(COUNTIFS($C:$C,$C776,$D:$D,$D776,$E:$E,"P0(전)",$M:$M,"&gt;0")&lt;&gt;1,"",SUMIFS($M:$M,$C:$C,$C776,$D:$D,$D776,$E:$E,"P0(전)"))</f>
        <v/>
      </c>
      <c r="Q776" s="48">
        <f>IF(COUNTIFS($C:$C,$C776,$D:$D,$D776,$E:$E,"P0(후)",$M:$M,"&gt;0")&lt;&gt;1,"",SUMIFS($I:$I,$C:$C,$C776,$D:$D,$D776,$E:$E,"P0(후)"))</f>
        <v/>
      </c>
      <c r="R776" s="31">
        <f>IF(COUNTIFS($C:$C,$C776,$D:$D,$D776,$E:$E,"P0(후)",$M:$M,"&gt;0")&lt;&gt;1,"",SUMIFS($M:$M,$C:$C,$C776,$D:$D,$D776,$E:$E,"P0(후)"))</f>
        <v/>
      </c>
      <c r="S776" s="31">
        <f>IF(N776&lt;&gt;"OK","",P776+(R776-P776)*(I776-O776)/(Q776-O776))</f>
        <v/>
      </c>
      <c r="T776" s="31">
        <f>IF(OR(N776&lt;&gt;"OK",NOT(ISNUMBER(M776))),"",M776-S776)</f>
        <v/>
      </c>
      <c r="U776" s="49">
        <f>IF(OR(NOT(ISNUMBER(T776)),IF(ISNUMBER(H776),H776,G776)=0),"",T776/IF(ISNUMBER(H776),H776,G776))</f>
        <v/>
      </c>
      <c r="V776" s="49">
        <f>IF(ISNUMBER(U776),ABS(U776),"")</f>
        <v/>
      </c>
      <c r="W776" s="49">
        <f>IF(OR($E775&lt;&gt;"측정",$C775&lt;&gt;$C776,$D775&lt;&gt;$D776,NOT(ISNUMBER(M776)),NOT(ISNUMBER(M775)),(IF(ISNUMBER(H776),H776,G776)-IF(ISNUMBER(H775),H775,G775))=0),"",(M776-M775)/(IF(ISNUMBER(H776),H776,G776)-IF(ISNUMBER(H775),H775,G775)))</f>
        <v/>
      </c>
      <c r="X776" s="31">
        <f>IF(NOT(AND(ISNUMBER(O776),ISNUMBER(Q776))),"",(Q776-O776)*1440)</f>
        <v/>
      </c>
      <c r="Y776" s="29" t="n"/>
      <c r="Z776" s="29" t="n"/>
      <c r="AA776" s="29" t="n"/>
      <c r="AB776" s="32" t="n"/>
      <c r="AC776" s="32" t="n"/>
    </row>
    <row r="777">
      <c r="A777" s="26" t="inlineStr">
        <is>
          <t>S15</t>
        </is>
      </c>
      <c r="B777" s="26" t="inlineStr">
        <is>
          <t>의성 신규점</t>
        </is>
      </c>
      <c r="C777" s="26" t="inlineStr">
        <is>
          <t>S15-H북</t>
        </is>
      </c>
      <c r="D777" s="47" t="n">
        <v>1</v>
      </c>
      <c r="E777" s="26" t="inlineStr">
        <is>
          <t>측정</t>
        </is>
      </c>
      <c r="F777" s="26" t="inlineStr">
        <is>
          <t>북</t>
        </is>
      </c>
      <c r="G777" s="31" t="n">
        <v>3</v>
      </c>
      <c r="H777" s="30" t="n"/>
      <c r="I777" s="43" t="n"/>
      <c r="J777" s="41" t="n"/>
      <c r="K777" s="41" t="n"/>
      <c r="L777" s="41" t="n"/>
      <c r="M777" s="31">
        <f>IF(COUNT(J777:L777)=0,"",MEDIAN(J777:L777))</f>
        <v/>
      </c>
      <c r="N777" s="26">
        <f>IF(COUNTIFS($C:$C,$C777,$D:$D,$D777,$E:$E,"P0(전)",$M:$M,"&gt;0")&lt;&gt;1,"P0(전) 유효 1개 아님",IF(COUNTIFS($C:$C,$C777,$D:$D,$D777,$E:$E,"P0(후)",$M:$M,"&gt;0")&lt;&gt;1,"P0(후) 유효 1개 아님",IF(NOT(AND(ISNUMBER(O777),ISNUMBER(Q777),ISNUMBER(I777))),"시각 결측",IF(Q777&lt;=O777,"P0 시각 역전",IF(OR(I777&lt;O777,I777&gt;Q777),"측정시각 구간 밖","OK")))))</f>
        <v/>
      </c>
      <c r="O777" s="48">
        <f>IF(COUNTIFS($C:$C,$C777,$D:$D,$D777,$E:$E,"P0(전)",$M:$M,"&gt;0")&lt;&gt;1,"",SUMIFS($I:$I,$C:$C,$C777,$D:$D,$D777,$E:$E,"P0(전)"))</f>
        <v/>
      </c>
      <c r="P777" s="31">
        <f>IF(COUNTIFS($C:$C,$C777,$D:$D,$D777,$E:$E,"P0(전)",$M:$M,"&gt;0")&lt;&gt;1,"",SUMIFS($M:$M,$C:$C,$C777,$D:$D,$D777,$E:$E,"P0(전)"))</f>
        <v/>
      </c>
      <c r="Q777" s="48">
        <f>IF(COUNTIFS($C:$C,$C777,$D:$D,$D777,$E:$E,"P0(후)",$M:$M,"&gt;0")&lt;&gt;1,"",SUMIFS($I:$I,$C:$C,$C777,$D:$D,$D777,$E:$E,"P0(후)"))</f>
        <v/>
      </c>
      <c r="R777" s="31">
        <f>IF(COUNTIFS($C:$C,$C777,$D:$D,$D777,$E:$E,"P0(후)",$M:$M,"&gt;0")&lt;&gt;1,"",SUMIFS($M:$M,$C:$C,$C777,$D:$D,$D777,$E:$E,"P0(후)"))</f>
        <v/>
      </c>
      <c r="S777" s="31">
        <f>IF(N777&lt;&gt;"OK","",P777+(R777-P777)*(I777-O777)/(Q777-O777))</f>
        <v/>
      </c>
      <c r="T777" s="31">
        <f>IF(OR(N777&lt;&gt;"OK",NOT(ISNUMBER(M777))),"",M777-S777)</f>
        <v/>
      </c>
      <c r="U777" s="49">
        <f>IF(OR(NOT(ISNUMBER(T777)),IF(ISNUMBER(H777),H777,G777)=0),"",T777/IF(ISNUMBER(H777),H777,G777))</f>
        <v/>
      </c>
      <c r="V777" s="49">
        <f>IF(ISNUMBER(U777),ABS(U777),"")</f>
        <v/>
      </c>
      <c r="W777" s="49">
        <f>IF(OR($E776&lt;&gt;"측정",$C776&lt;&gt;$C777,$D776&lt;&gt;$D777,NOT(ISNUMBER(M777)),NOT(ISNUMBER(M776)),(IF(ISNUMBER(H777),H777,G777)-IF(ISNUMBER(H776),H776,G776))=0),"",(M777-M776)/(IF(ISNUMBER(H777),H777,G777)-IF(ISNUMBER(H776),H776,G776)))</f>
        <v/>
      </c>
      <c r="X777" s="31">
        <f>IF(NOT(AND(ISNUMBER(O777),ISNUMBER(Q777))),"",(Q777-O777)*1440)</f>
        <v/>
      </c>
      <c r="Y777" s="29" t="n"/>
      <c r="Z777" s="29" t="n"/>
      <c r="AA777" s="29" t="n"/>
      <c r="AB777" s="32" t="n"/>
      <c r="AC777" s="32" t="n"/>
    </row>
    <row r="778">
      <c r="A778" s="26" t="inlineStr">
        <is>
          <t>S15</t>
        </is>
      </c>
      <c r="B778" s="26" t="inlineStr">
        <is>
          <t>의성 신규점</t>
        </is>
      </c>
      <c r="C778" s="26" t="inlineStr">
        <is>
          <t>S15-H북</t>
        </is>
      </c>
      <c r="D778" s="47" t="n">
        <v>1</v>
      </c>
      <c r="E778" s="26" t="inlineStr">
        <is>
          <t>측정</t>
        </is>
      </c>
      <c r="F778" s="26" t="inlineStr">
        <is>
          <t>북</t>
        </is>
      </c>
      <c r="G778" s="31" t="n">
        <v>4</v>
      </c>
      <c r="H778" s="30" t="n"/>
      <c r="I778" s="43" t="n"/>
      <c r="J778" s="41" t="n"/>
      <c r="K778" s="41" t="n"/>
      <c r="L778" s="41" t="n"/>
      <c r="M778" s="31">
        <f>IF(COUNT(J778:L778)=0,"",MEDIAN(J778:L778))</f>
        <v/>
      </c>
      <c r="N778" s="26">
        <f>IF(COUNTIFS($C:$C,$C778,$D:$D,$D778,$E:$E,"P0(전)",$M:$M,"&gt;0")&lt;&gt;1,"P0(전) 유효 1개 아님",IF(COUNTIFS($C:$C,$C778,$D:$D,$D778,$E:$E,"P0(후)",$M:$M,"&gt;0")&lt;&gt;1,"P0(후) 유효 1개 아님",IF(NOT(AND(ISNUMBER(O778),ISNUMBER(Q778),ISNUMBER(I778))),"시각 결측",IF(Q778&lt;=O778,"P0 시각 역전",IF(OR(I778&lt;O778,I778&gt;Q778),"측정시각 구간 밖","OK")))))</f>
        <v/>
      </c>
      <c r="O778" s="48">
        <f>IF(COUNTIFS($C:$C,$C778,$D:$D,$D778,$E:$E,"P0(전)",$M:$M,"&gt;0")&lt;&gt;1,"",SUMIFS($I:$I,$C:$C,$C778,$D:$D,$D778,$E:$E,"P0(전)"))</f>
        <v/>
      </c>
      <c r="P778" s="31">
        <f>IF(COUNTIFS($C:$C,$C778,$D:$D,$D778,$E:$E,"P0(전)",$M:$M,"&gt;0")&lt;&gt;1,"",SUMIFS($M:$M,$C:$C,$C778,$D:$D,$D778,$E:$E,"P0(전)"))</f>
        <v/>
      </c>
      <c r="Q778" s="48">
        <f>IF(COUNTIFS($C:$C,$C778,$D:$D,$D778,$E:$E,"P0(후)",$M:$M,"&gt;0")&lt;&gt;1,"",SUMIFS($I:$I,$C:$C,$C778,$D:$D,$D778,$E:$E,"P0(후)"))</f>
        <v/>
      </c>
      <c r="R778" s="31">
        <f>IF(COUNTIFS($C:$C,$C778,$D:$D,$D778,$E:$E,"P0(후)",$M:$M,"&gt;0")&lt;&gt;1,"",SUMIFS($M:$M,$C:$C,$C778,$D:$D,$D778,$E:$E,"P0(후)"))</f>
        <v/>
      </c>
      <c r="S778" s="31">
        <f>IF(N778&lt;&gt;"OK","",P778+(R778-P778)*(I778-O778)/(Q778-O778))</f>
        <v/>
      </c>
      <c r="T778" s="31">
        <f>IF(OR(N778&lt;&gt;"OK",NOT(ISNUMBER(M778))),"",M778-S778)</f>
        <v/>
      </c>
      <c r="U778" s="49">
        <f>IF(OR(NOT(ISNUMBER(T778)),IF(ISNUMBER(H778),H778,G778)=0),"",T778/IF(ISNUMBER(H778),H778,G778))</f>
        <v/>
      </c>
      <c r="V778" s="49">
        <f>IF(ISNUMBER(U778),ABS(U778),"")</f>
        <v/>
      </c>
      <c r="W778" s="49">
        <f>IF(OR($E777&lt;&gt;"측정",$C777&lt;&gt;$C778,$D777&lt;&gt;$D778,NOT(ISNUMBER(M778)),NOT(ISNUMBER(M777)),(IF(ISNUMBER(H778),H778,G778)-IF(ISNUMBER(H777),H777,G777))=0),"",(M778-M777)/(IF(ISNUMBER(H778),H778,G778)-IF(ISNUMBER(H777),H777,G777)))</f>
        <v/>
      </c>
      <c r="X778" s="31">
        <f>IF(NOT(AND(ISNUMBER(O778),ISNUMBER(Q778))),"",(Q778-O778)*1440)</f>
        <v/>
      </c>
      <c r="Y778" s="29" t="n"/>
      <c r="Z778" s="29" t="n"/>
      <c r="AA778" s="29" t="n"/>
      <c r="AB778" s="32" t="n"/>
      <c r="AC778" s="32" t="n"/>
    </row>
    <row r="779">
      <c r="A779" s="26" t="inlineStr">
        <is>
          <t>S15</t>
        </is>
      </c>
      <c r="B779" s="26" t="inlineStr">
        <is>
          <t>의성 신규점</t>
        </is>
      </c>
      <c r="C779" s="26" t="inlineStr">
        <is>
          <t>S15-H북</t>
        </is>
      </c>
      <c r="D779" s="47" t="n">
        <v>1</v>
      </c>
      <c r="E779" s="26" t="inlineStr">
        <is>
          <t>측정</t>
        </is>
      </c>
      <c r="F779" s="26" t="inlineStr">
        <is>
          <t>북</t>
        </is>
      </c>
      <c r="G779" s="31" t="n">
        <v>5</v>
      </c>
      <c r="H779" s="30" t="n"/>
      <c r="I779" s="43" t="n"/>
      <c r="J779" s="41" t="n"/>
      <c r="K779" s="41" t="n"/>
      <c r="L779" s="41" t="n"/>
      <c r="M779" s="31">
        <f>IF(COUNT(J779:L779)=0,"",MEDIAN(J779:L779))</f>
        <v/>
      </c>
      <c r="N779" s="26">
        <f>IF(COUNTIFS($C:$C,$C779,$D:$D,$D779,$E:$E,"P0(전)",$M:$M,"&gt;0")&lt;&gt;1,"P0(전) 유효 1개 아님",IF(COUNTIFS($C:$C,$C779,$D:$D,$D779,$E:$E,"P0(후)",$M:$M,"&gt;0")&lt;&gt;1,"P0(후) 유효 1개 아님",IF(NOT(AND(ISNUMBER(O779),ISNUMBER(Q779),ISNUMBER(I779))),"시각 결측",IF(Q779&lt;=O779,"P0 시각 역전",IF(OR(I779&lt;O779,I779&gt;Q779),"측정시각 구간 밖","OK")))))</f>
        <v/>
      </c>
      <c r="O779" s="48">
        <f>IF(COUNTIFS($C:$C,$C779,$D:$D,$D779,$E:$E,"P0(전)",$M:$M,"&gt;0")&lt;&gt;1,"",SUMIFS($I:$I,$C:$C,$C779,$D:$D,$D779,$E:$E,"P0(전)"))</f>
        <v/>
      </c>
      <c r="P779" s="31">
        <f>IF(COUNTIFS($C:$C,$C779,$D:$D,$D779,$E:$E,"P0(전)",$M:$M,"&gt;0")&lt;&gt;1,"",SUMIFS($M:$M,$C:$C,$C779,$D:$D,$D779,$E:$E,"P0(전)"))</f>
        <v/>
      </c>
      <c r="Q779" s="48">
        <f>IF(COUNTIFS($C:$C,$C779,$D:$D,$D779,$E:$E,"P0(후)",$M:$M,"&gt;0")&lt;&gt;1,"",SUMIFS($I:$I,$C:$C,$C779,$D:$D,$D779,$E:$E,"P0(후)"))</f>
        <v/>
      </c>
      <c r="R779" s="31">
        <f>IF(COUNTIFS($C:$C,$C779,$D:$D,$D779,$E:$E,"P0(후)",$M:$M,"&gt;0")&lt;&gt;1,"",SUMIFS($M:$M,$C:$C,$C779,$D:$D,$D779,$E:$E,"P0(후)"))</f>
        <v/>
      </c>
      <c r="S779" s="31">
        <f>IF(N779&lt;&gt;"OK","",P779+(R779-P779)*(I779-O779)/(Q779-O779))</f>
        <v/>
      </c>
      <c r="T779" s="31">
        <f>IF(OR(N779&lt;&gt;"OK",NOT(ISNUMBER(M779))),"",M779-S779)</f>
        <v/>
      </c>
      <c r="U779" s="49">
        <f>IF(OR(NOT(ISNUMBER(T779)),IF(ISNUMBER(H779),H779,G779)=0),"",T779/IF(ISNUMBER(H779),H779,G779))</f>
        <v/>
      </c>
      <c r="V779" s="49">
        <f>IF(ISNUMBER(U779),ABS(U779),"")</f>
        <v/>
      </c>
      <c r="W779" s="49">
        <f>IF(OR($E778&lt;&gt;"측정",$C778&lt;&gt;$C779,$D778&lt;&gt;$D779,NOT(ISNUMBER(M779)),NOT(ISNUMBER(M778)),(IF(ISNUMBER(H779),H779,G779)-IF(ISNUMBER(H778),H778,G778))=0),"",(M779-M778)/(IF(ISNUMBER(H779),H779,G779)-IF(ISNUMBER(H778),H778,G778)))</f>
        <v/>
      </c>
      <c r="X779" s="31">
        <f>IF(NOT(AND(ISNUMBER(O779),ISNUMBER(Q779))),"",(Q779-O779)*1440)</f>
        <v/>
      </c>
      <c r="Y779" s="29" t="n"/>
      <c r="Z779" s="29" t="n"/>
      <c r="AA779" s="29" t="n"/>
      <c r="AB779" s="32" t="n"/>
      <c r="AC779" s="32" t="n"/>
    </row>
    <row r="780">
      <c r="A780" s="26" t="inlineStr">
        <is>
          <t>S15</t>
        </is>
      </c>
      <c r="B780" s="26" t="inlineStr">
        <is>
          <t>의성 신규점</t>
        </is>
      </c>
      <c r="C780" s="26" t="inlineStr">
        <is>
          <t>S15-H북</t>
        </is>
      </c>
      <c r="D780" s="47" t="n">
        <v>1</v>
      </c>
      <c r="E780" s="26" t="inlineStr">
        <is>
          <t>측정</t>
        </is>
      </c>
      <c r="F780" s="26" t="inlineStr">
        <is>
          <t>북</t>
        </is>
      </c>
      <c r="G780" s="31" t="n">
        <v>6</v>
      </c>
      <c r="H780" s="30" t="n"/>
      <c r="I780" s="43" t="n"/>
      <c r="J780" s="41" t="n"/>
      <c r="K780" s="41" t="n"/>
      <c r="L780" s="41" t="n"/>
      <c r="M780" s="31">
        <f>IF(COUNT(J780:L780)=0,"",MEDIAN(J780:L780))</f>
        <v/>
      </c>
      <c r="N780" s="26">
        <f>IF(COUNTIFS($C:$C,$C780,$D:$D,$D780,$E:$E,"P0(전)",$M:$M,"&gt;0")&lt;&gt;1,"P0(전) 유효 1개 아님",IF(COUNTIFS($C:$C,$C780,$D:$D,$D780,$E:$E,"P0(후)",$M:$M,"&gt;0")&lt;&gt;1,"P0(후) 유효 1개 아님",IF(NOT(AND(ISNUMBER(O780),ISNUMBER(Q780),ISNUMBER(I780))),"시각 결측",IF(Q780&lt;=O780,"P0 시각 역전",IF(OR(I780&lt;O780,I780&gt;Q780),"측정시각 구간 밖","OK")))))</f>
        <v/>
      </c>
      <c r="O780" s="48">
        <f>IF(COUNTIFS($C:$C,$C780,$D:$D,$D780,$E:$E,"P0(전)",$M:$M,"&gt;0")&lt;&gt;1,"",SUMIFS($I:$I,$C:$C,$C780,$D:$D,$D780,$E:$E,"P0(전)"))</f>
        <v/>
      </c>
      <c r="P780" s="31">
        <f>IF(COUNTIFS($C:$C,$C780,$D:$D,$D780,$E:$E,"P0(전)",$M:$M,"&gt;0")&lt;&gt;1,"",SUMIFS($M:$M,$C:$C,$C780,$D:$D,$D780,$E:$E,"P0(전)"))</f>
        <v/>
      </c>
      <c r="Q780" s="48">
        <f>IF(COUNTIFS($C:$C,$C780,$D:$D,$D780,$E:$E,"P0(후)",$M:$M,"&gt;0")&lt;&gt;1,"",SUMIFS($I:$I,$C:$C,$C780,$D:$D,$D780,$E:$E,"P0(후)"))</f>
        <v/>
      </c>
      <c r="R780" s="31">
        <f>IF(COUNTIFS($C:$C,$C780,$D:$D,$D780,$E:$E,"P0(후)",$M:$M,"&gt;0")&lt;&gt;1,"",SUMIFS($M:$M,$C:$C,$C780,$D:$D,$D780,$E:$E,"P0(후)"))</f>
        <v/>
      </c>
      <c r="S780" s="31">
        <f>IF(N780&lt;&gt;"OK","",P780+(R780-P780)*(I780-O780)/(Q780-O780))</f>
        <v/>
      </c>
      <c r="T780" s="31">
        <f>IF(OR(N780&lt;&gt;"OK",NOT(ISNUMBER(M780))),"",M780-S780)</f>
        <v/>
      </c>
      <c r="U780" s="49">
        <f>IF(OR(NOT(ISNUMBER(T780)),IF(ISNUMBER(H780),H780,G780)=0),"",T780/IF(ISNUMBER(H780),H780,G780))</f>
        <v/>
      </c>
      <c r="V780" s="49">
        <f>IF(ISNUMBER(U780),ABS(U780),"")</f>
        <v/>
      </c>
      <c r="W780" s="49">
        <f>IF(OR($E779&lt;&gt;"측정",$C779&lt;&gt;$C780,$D779&lt;&gt;$D780,NOT(ISNUMBER(M780)),NOT(ISNUMBER(M779)),(IF(ISNUMBER(H780),H780,G780)-IF(ISNUMBER(H779),H779,G779))=0),"",(M780-M779)/(IF(ISNUMBER(H780),H780,G780)-IF(ISNUMBER(H779),H779,G779)))</f>
        <v/>
      </c>
      <c r="X780" s="31">
        <f>IF(NOT(AND(ISNUMBER(O780),ISNUMBER(Q780))),"",(Q780-O780)*1440)</f>
        <v/>
      </c>
      <c r="Y780" s="29" t="n"/>
      <c r="Z780" s="29" t="n"/>
      <c r="AA780" s="29" t="n"/>
      <c r="AB780" s="32" t="n"/>
      <c r="AC780" s="32" t="n"/>
    </row>
    <row r="781">
      <c r="A781" s="26" t="inlineStr">
        <is>
          <t>S15</t>
        </is>
      </c>
      <c r="B781" s="26" t="inlineStr">
        <is>
          <t>의성 신규점</t>
        </is>
      </c>
      <c r="C781" s="26" t="inlineStr">
        <is>
          <t>S15-H북</t>
        </is>
      </c>
      <c r="D781" s="47" t="n">
        <v>1</v>
      </c>
      <c r="E781" s="26" t="inlineStr">
        <is>
          <t>측정</t>
        </is>
      </c>
      <c r="F781" s="26" t="inlineStr">
        <is>
          <t>북</t>
        </is>
      </c>
      <c r="G781" s="31" t="n">
        <v>7</v>
      </c>
      <c r="H781" s="30" t="n"/>
      <c r="I781" s="43" t="n"/>
      <c r="J781" s="41" t="n"/>
      <c r="K781" s="41" t="n"/>
      <c r="L781" s="41" t="n"/>
      <c r="M781" s="31">
        <f>IF(COUNT(J781:L781)=0,"",MEDIAN(J781:L781))</f>
        <v/>
      </c>
      <c r="N781" s="26">
        <f>IF(COUNTIFS($C:$C,$C781,$D:$D,$D781,$E:$E,"P0(전)",$M:$M,"&gt;0")&lt;&gt;1,"P0(전) 유효 1개 아님",IF(COUNTIFS($C:$C,$C781,$D:$D,$D781,$E:$E,"P0(후)",$M:$M,"&gt;0")&lt;&gt;1,"P0(후) 유효 1개 아님",IF(NOT(AND(ISNUMBER(O781),ISNUMBER(Q781),ISNUMBER(I781))),"시각 결측",IF(Q781&lt;=O781,"P0 시각 역전",IF(OR(I781&lt;O781,I781&gt;Q781),"측정시각 구간 밖","OK")))))</f>
        <v/>
      </c>
      <c r="O781" s="48">
        <f>IF(COUNTIFS($C:$C,$C781,$D:$D,$D781,$E:$E,"P0(전)",$M:$M,"&gt;0")&lt;&gt;1,"",SUMIFS($I:$I,$C:$C,$C781,$D:$D,$D781,$E:$E,"P0(전)"))</f>
        <v/>
      </c>
      <c r="P781" s="31">
        <f>IF(COUNTIFS($C:$C,$C781,$D:$D,$D781,$E:$E,"P0(전)",$M:$M,"&gt;0")&lt;&gt;1,"",SUMIFS($M:$M,$C:$C,$C781,$D:$D,$D781,$E:$E,"P0(전)"))</f>
        <v/>
      </c>
      <c r="Q781" s="48">
        <f>IF(COUNTIFS($C:$C,$C781,$D:$D,$D781,$E:$E,"P0(후)",$M:$M,"&gt;0")&lt;&gt;1,"",SUMIFS($I:$I,$C:$C,$C781,$D:$D,$D781,$E:$E,"P0(후)"))</f>
        <v/>
      </c>
      <c r="R781" s="31">
        <f>IF(COUNTIFS($C:$C,$C781,$D:$D,$D781,$E:$E,"P0(후)",$M:$M,"&gt;0")&lt;&gt;1,"",SUMIFS($M:$M,$C:$C,$C781,$D:$D,$D781,$E:$E,"P0(후)"))</f>
        <v/>
      </c>
      <c r="S781" s="31">
        <f>IF(N781&lt;&gt;"OK","",P781+(R781-P781)*(I781-O781)/(Q781-O781))</f>
        <v/>
      </c>
      <c r="T781" s="31">
        <f>IF(OR(N781&lt;&gt;"OK",NOT(ISNUMBER(M781))),"",M781-S781)</f>
        <v/>
      </c>
      <c r="U781" s="49">
        <f>IF(OR(NOT(ISNUMBER(T781)),IF(ISNUMBER(H781),H781,G781)=0),"",T781/IF(ISNUMBER(H781),H781,G781))</f>
        <v/>
      </c>
      <c r="V781" s="49">
        <f>IF(ISNUMBER(U781),ABS(U781),"")</f>
        <v/>
      </c>
      <c r="W781" s="49">
        <f>IF(OR($E780&lt;&gt;"측정",$C780&lt;&gt;$C781,$D780&lt;&gt;$D781,NOT(ISNUMBER(M781)),NOT(ISNUMBER(M780)),(IF(ISNUMBER(H781),H781,G781)-IF(ISNUMBER(H780),H780,G780))=0),"",(M781-M780)/(IF(ISNUMBER(H781),H781,G781)-IF(ISNUMBER(H780),H780,G780)))</f>
        <v/>
      </c>
      <c r="X781" s="31">
        <f>IF(NOT(AND(ISNUMBER(O781),ISNUMBER(Q781))),"",(Q781-O781)*1440)</f>
        <v/>
      </c>
      <c r="Y781" s="29" t="n"/>
      <c r="Z781" s="29" t="n"/>
      <c r="AA781" s="29" t="n"/>
      <c r="AB781" s="32" t="n"/>
      <c r="AC781" s="32" t="n"/>
    </row>
    <row r="782">
      <c r="A782" s="26" t="inlineStr">
        <is>
          <t>S15</t>
        </is>
      </c>
      <c r="B782" s="26" t="inlineStr">
        <is>
          <t>의성 신규점</t>
        </is>
      </c>
      <c r="C782" s="26" t="inlineStr">
        <is>
          <t>S15-H북</t>
        </is>
      </c>
      <c r="D782" s="47" t="n">
        <v>1</v>
      </c>
      <c r="E782" s="26" t="inlineStr">
        <is>
          <t>측정</t>
        </is>
      </c>
      <c r="F782" s="26" t="inlineStr">
        <is>
          <t>북</t>
        </is>
      </c>
      <c r="G782" s="31" t="n">
        <v>8</v>
      </c>
      <c r="H782" s="30" t="n"/>
      <c r="I782" s="43" t="n"/>
      <c r="J782" s="41" t="n"/>
      <c r="K782" s="41" t="n"/>
      <c r="L782" s="41" t="n"/>
      <c r="M782" s="31">
        <f>IF(COUNT(J782:L782)=0,"",MEDIAN(J782:L782))</f>
        <v/>
      </c>
      <c r="N782" s="26">
        <f>IF(COUNTIFS($C:$C,$C782,$D:$D,$D782,$E:$E,"P0(전)",$M:$M,"&gt;0")&lt;&gt;1,"P0(전) 유효 1개 아님",IF(COUNTIFS($C:$C,$C782,$D:$D,$D782,$E:$E,"P0(후)",$M:$M,"&gt;0")&lt;&gt;1,"P0(후) 유효 1개 아님",IF(NOT(AND(ISNUMBER(O782),ISNUMBER(Q782),ISNUMBER(I782))),"시각 결측",IF(Q782&lt;=O782,"P0 시각 역전",IF(OR(I782&lt;O782,I782&gt;Q782),"측정시각 구간 밖","OK")))))</f>
        <v/>
      </c>
      <c r="O782" s="48">
        <f>IF(COUNTIFS($C:$C,$C782,$D:$D,$D782,$E:$E,"P0(전)",$M:$M,"&gt;0")&lt;&gt;1,"",SUMIFS($I:$I,$C:$C,$C782,$D:$D,$D782,$E:$E,"P0(전)"))</f>
        <v/>
      </c>
      <c r="P782" s="31">
        <f>IF(COUNTIFS($C:$C,$C782,$D:$D,$D782,$E:$E,"P0(전)",$M:$M,"&gt;0")&lt;&gt;1,"",SUMIFS($M:$M,$C:$C,$C782,$D:$D,$D782,$E:$E,"P0(전)"))</f>
        <v/>
      </c>
      <c r="Q782" s="48">
        <f>IF(COUNTIFS($C:$C,$C782,$D:$D,$D782,$E:$E,"P0(후)",$M:$M,"&gt;0")&lt;&gt;1,"",SUMIFS($I:$I,$C:$C,$C782,$D:$D,$D782,$E:$E,"P0(후)"))</f>
        <v/>
      </c>
      <c r="R782" s="31">
        <f>IF(COUNTIFS($C:$C,$C782,$D:$D,$D782,$E:$E,"P0(후)",$M:$M,"&gt;0")&lt;&gt;1,"",SUMIFS($M:$M,$C:$C,$C782,$D:$D,$D782,$E:$E,"P0(후)"))</f>
        <v/>
      </c>
      <c r="S782" s="31">
        <f>IF(N782&lt;&gt;"OK","",P782+(R782-P782)*(I782-O782)/(Q782-O782))</f>
        <v/>
      </c>
      <c r="T782" s="31">
        <f>IF(OR(N782&lt;&gt;"OK",NOT(ISNUMBER(M782))),"",M782-S782)</f>
        <v/>
      </c>
      <c r="U782" s="49">
        <f>IF(OR(NOT(ISNUMBER(T782)),IF(ISNUMBER(H782),H782,G782)=0),"",T782/IF(ISNUMBER(H782),H782,G782))</f>
        <v/>
      </c>
      <c r="V782" s="49">
        <f>IF(ISNUMBER(U782),ABS(U782),"")</f>
        <v/>
      </c>
      <c r="W782" s="49">
        <f>IF(OR($E781&lt;&gt;"측정",$C781&lt;&gt;$C782,$D781&lt;&gt;$D782,NOT(ISNUMBER(M782)),NOT(ISNUMBER(M781)),(IF(ISNUMBER(H782),H782,G782)-IF(ISNUMBER(H781),H781,G781))=0),"",(M782-M781)/(IF(ISNUMBER(H782),H782,G782)-IF(ISNUMBER(H781),H781,G781)))</f>
        <v/>
      </c>
      <c r="X782" s="31">
        <f>IF(NOT(AND(ISNUMBER(O782),ISNUMBER(Q782))),"",(Q782-O782)*1440)</f>
        <v/>
      </c>
      <c r="Y782" s="29" t="n"/>
      <c r="Z782" s="29" t="n"/>
      <c r="AA782" s="29" t="n"/>
      <c r="AB782" s="32" t="n"/>
      <c r="AC782" s="32" t="n"/>
    </row>
    <row r="783">
      <c r="A783" s="26" t="inlineStr">
        <is>
          <t>S15</t>
        </is>
      </c>
      <c r="B783" s="26" t="inlineStr">
        <is>
          <t>의성 신규점</t>
        </is>
      </c>
      <c r="C783" s="26" t="inlineStr">
        <is>
          <t>S15-H북</t>
        </is>
      </c>
      <c r="D783" s="47" t="n">
        <v>1</v>
      </c>
      <c r="E783" s="26" t="inlineStr">
        <is>
          <t>측정</t>
        </is>
      </c>
      <c r="F783" s="26" t="inlineStr">
        <is>
          <t>북</t>
        </is>
      </c>
      <c r="G783" s="31" t="n">
        <v>9</v>
      </c>
      <c r="H783" s="30" t="n"/>
      <c r="I783" s="43" t="n"/>
      <c r="J783" s="41" t="n"/>
      <c r="K783" s="41" t="n"/>
      <c r="L783" s="41" t="n"/>
      <c r="M783" s="31">
        <f>IF(COUNT(J783:L783)=0,"",MEDIAN(J783:L783))</f>
        <v/>
      </c>
      <c r="N783" s="26">
        <f>IF(COUNTIFS($C:$C,$C783,$D:$D,$D783,$E:$E,"P0(전)",$M:$M,"&gt;0")&lt;&gt;1,"P0(전) 유효 1개 아님",IF(COUNTIFS($C:$C,$C783,$D:$D,$D783,$E:$E,"P0(후)",$M:$M,"&gt;0")&lt;&gt;1,"P0(후) 유효 1개 아님",IF(NOT(AND(ISNUMBER(O783),ISNUMBER(Q783),ISNUMBER(I783))),"시각 결측",IF(Q783&lt;=O783,"P0 시각 역전",IF(OR(I783&lt;O783,I783&gt;Q783),"측정시각 구간 밖","OK")))))</f>
        <v/>
      </c>
      <c r="O783" s="48">
        <f>IF(COUNTIFS($C:$C,$C783,$D:$D,$D783,$E:$E,"P0(전)",$M:$M,"&gt;0")&lt;&gt;1,"",SUMIFS($I:$I,$C:$C,$C783,$D:$D,$D783,$E:$E,"P0(전)"))</f>
        <v/>
      </c>
      <c r="P783" s="31">
        <f>IF(COUNTIFS($C:$C,$C783,$D:$D,$D783,$E:$E,"P0(전)",$M:$M,"&gt;0")&lt;&gt;1,"",SUMIFS($M:$M,$C:$C,$C783,$D:$D,$D783,$E:$E,"P0(전)"))</f>
        <v/>
      </c>
      <c r="Q783" s="48">
        <f>IF(COUNTIFS($C:$C,$C783,$D:$D,$D783,$E:$E,"P0(후)",$M:$M,"&gt;0")&lt;&gt;1,"",SUMIFS($I:$I,$C:$C,$C783,$D:$D,$D783,$E:$E,"P0(후)"))</f>
        <v/>
      </c>
      <c r="R783" s="31">
        <f>IF(COUNTIFS($C:$C,$C783,$D:$D,$D783,$E:$E,"P0(후)",$M:$M,"&gt;0")&lt;&gt;1,"",SUMIFS($M:$M,$C:$C,$C783,$D:$D,$D783,$E:$E,"P0(후)"))</f>
        <v/>
      </c>
      <c r="S783" s="31">
        <f>IF(N783&lt;&gt;"OK","",P783+(R783-P783)*(I783-O783)/(Q783-O783))</f>
        <v/>
      </c>
      <c r="T783" s="31">
        <f>IF(OR(N783&lt;&gt;"OK",NOT(ISNUMBER(M783))),"",M783-S783)</f>
        <v/>
      </c>
      <c r="U783" s="49">
        <f>IF(OR(NOT(ISNUMBER(T783)),IF(ISNUMBER(H783),H783,G783)=0),"",T783/IF(ISNUMBER(H783),H783,G783))</f>
        <v/>
      </c>
      <c r="V783" s="49">
        <f>IF(ISNUMBER(U783),ABS(U783),"")</f>
        <v/>
      </c>
      <c r="W783" s="49">
        <f>IF(OR($E782&lt;&gt;"측정",$C782&lt;&gt;$C783,$D782&lt;&gt;$D783,NOT(ISNUMBER(M783)),NOT(ISNUMBER(M782)),(IF(ISNUMBER(H783),H783,G783)-IF(ISNUMBER(H782),H782,G782))=0),"",(M783-M782)/(IF(ISNUMBER(H783),H783,G783)-IF(ISNUMBER(H782),H782,G782)))</f>
        <v/>
      </c>
      <c r="X783" s="31">
        <f>IF(NOT(AND(ISNUMBER(O783),ISNUMBER(Q783))),"",(Q783-O783)*1440)</f>
        <v/>
      </c>
      <c r="Y783" s="29" t="n"/>
      <c r="Z783" s="29" t="n"/>
      <c r="AA783" s="29" t="n"/>
      <c r="AB783" s="32" t="n"/>
      <c r="AC783" s="32" t="n"/>
    </row>
    <row r="784">
      <c r="A784" s="26" t="inlineStr">
        <is>
          <t>S15</t>
        </is>
      </c>
      <c r="B784" s="26" t="inlineStr">
        <is>
          <t>의성 신규점</t>
        </is>
      </c>
      <c r="C784" s="26" t="inlineStr">
        <is>
          <t>S15-H북</t>
        </is>
      </c>
      <c r="D784" s="47" t="n">
        <v>1</v>
      </c>
      <c r="E784" s="26" t="inlineStr">
        <is>
          <t>측정</t>
        </is>
      </c>
      <c r="F784" s="26" t="inlineStr">
        <is>
          <t>북</t>
        </is>
      </c>
      <c r="G784" s="31" t="n">
        <v>10</v>
      </c>
      <c r="H784" s="30" t="n"/>
      <c r="I784" s="43" t="n"/>
      <c r="J784" s="41" t="n"/>
      <c r="K784" s="41" t="n"/>
      <c r="L784" s="41" t="n"/>
      <c r="M784" s="31">
        <f>IF(COUNT(J784:L784)=0,"",MEDIAN(J784:L784))</f>
        <v/>
      </c>
      <c r="N784" s="26">
        <f>IF(COUNTIFS($C:$C,$C784,$D:$D,$D784,$E:$E,"P0(전)",$M:$M,"&gt;0")&lt;&gt;1,"P0(전) 유효 1개 아님",IF(COUNTIFS($C:$C,$C784,$D:$D,$D784,$E:$E,"P0(후)",$M:$M,"&gt;0")&lt;&gt;1,"P0(후) 유효 1개 아님",IF(NOT(AND(ISNUMBER(O784),ISNUMBER(Q784),ISNUMBER(I784))),"시각 결측",IF(Q784&lt;=O784,"P0 시각 역전",IF(OR(I784&lt;O784,I784&gt;Q784),"측정시각 구간 밖","OK")))))</f>
        <v/>
      </c>
      <c r="O784" s="48">
        <f>IF(COUNTIFS($C:$C,$C784,$D:$D,$D784,$E:$E,"P0(전)",$M:$M,"&gt;0")&lt;&gt;1,"",SUMIFS($I:$I,$C:$C,$C784,$D:$D,$D784,$E:$E,"P0(전)"))</f>
        <v/>
      </c>
      <c r="P784" s="31">
        <f>IF(COUNTIFS($C:$C,$C784,$D:$D,$D784,$E:$E,"P0(전)",$M:$M,"&gt;0")&lt;&gt;1,"",SUMIFS($M:$M,$C:$C,$C784,$D:$D,$D784,$E:$E,"P0(전)"))</f>
        <v/>
      </c>
      <c r="Q784" s="48">
        <f>IF(COUNTIFS($C:$C,$C784,$D:$D,$D784,$E:$E,"P0(후)",$M:$M,"&gt;0")&lt;&gt;1,"",SUMIFS($I:$I,$C:$C,$C784,$D:$D,$D784,$E:$E,"P0(후)"))</f>
        <v/>
      </c>
      <c r="R784" s="31">
        <f>IF(COUNTIFS($C:$C,$C784,$D:$D,$D784,$E:$E,"P0(후)",$M:$M,"&gt;0")&lt;&gt;1,"",SUMIFS($M:$M,$C:$C,$C784,$D:$D,$D784,$E:$E,"P0(후)"))</f>
        <v/>
      </c>
      <c r="S784" s="31">
        <f>IF(N784&lt;&gt;"OK","",P784+(R784-P784)*(I784-O784)/(Q784-O784))</f>
        <v/>
      </c>
      <c r="T784" s="31">
        <f>IF(OR(N784&lt;&gt;"OK",NOT(ISNUMBER(M784))),"",M784-S784)</f>
        <v/>
      </c>
      <c r="U784" s="49">
        <f>IF(OR(NOT(ISNUMBER(T784)),IF(ISNUMBER(H784),H784,G784)=0),"",T784/IF(ISNUMBER(H784),H784,G784))</f>
        <v/>
      </c>
      <c r="V784" s="49">
        <f>IF(ISNUMBER(U784),ABS(U784),"")</f>
        <v/>
      </c>
      <c r="W784" s="49">
        <f>IF(OR($E783&lt;&gt;"측정",$C783&lt;&gt;$C784,$D783&lt;&gt;$D784,NOT(ISNUMBER(M784)),NOT(ISNUMBER(M783)),(IF(ISNUMBER(H784),H784,G784)-IF(ISNUMBER(H783),H783,G783))=0),"",(M784-M783)/(IF(ISNUMBER(H784),H784,G784)-IF(ISNUMBER(H783),H783,G783)))</f>
        <v/>
      </c>
      <c r="X784" s="31">
        <f>IF(NOT(AND(ISNUMBER(O784),ISNUMBER(Q784))),"",(Q784-O784)*1440)</f>
        <v/>
      </c>
      <c r="Y784" s="29" t="n"/>
      <c r="Z784" s="29" t="n"/>
      <c r="AA784" s="29" t="n"/>
      <c r="AB784" s="32" t="n"/>
      <c r="AC784" s="32" t="n"/>
    </row>
    <row r="785">
      <c r="A785" s="44" t="inlineStr">
        <is>
          <t>S15</t>
        </is>
      </c>
      <c r="B785" s="44" t="inlineStr">
        <is>
          <t>의성 신규점</t>
        </is>
      </c>
      <c r="C785" s="44" t="inlineStr">
        <is>
          <t>S15-H북</t>
        </is>
      </c>
      <c r="D785" s="45" t="n">
        <v>1</v>
      </c>
      <c r="E785" s="44" t="inlineStr">
        <is>
          <t>P0(후)</t>
        </is>
      </c>
      <c r="F785" s="44" t="inlineStr">
        <is>
          <t>북</t>
        </is>
      </c>
      <c r="G785" s="46" t="n"/>
      <c r="H785" s="30" t="n"/>
      <c r="I785" s="43" t="n"/>
      <c r="J785" s="41" t="n"/>
      <c r="K785" s="41" t="n"/>
      <c r="L785" s="41" t="n"/>
      <c r="M785" s="31">
        <f>IF(COUNT(J785:L785)=0,"",MEDIAN(J785:L785))</f>
        <v/>
      </c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38" t="n"/>
      <c r="Y785" s="29" t="n"/>
      <c r="Z785" s="29" t="n"/>
      <c r="AA785" s="29" t="n"/>
      <c r="AB785" s="32" t="n"/>
      <c r="AC785" s="32" t="n"/>
    </row>
    <row r="786">
      <c r="A786" s="44" t="inlineStr">
        <is>
          <t>S16</t>
        </is>
      </c>
      <c r="B786" s="44" t="inlineStr">
        <is>
          <t>예천 신규점</t>
        </is>
      </c>
      <c r="C786" s="44" t="inlineStr">
        <is>
          <t>S16-H동</t>
        </is>
      </c>
      <c r="D786" s="45" t="n">
        <v>1</v>
      </c>
      <c r="E786" s="44" t="inlineStr">
        <is>
          <t>P0(전)</t>
        </is>
      </c>
      <c r="F786" s="44" t="inlineStr">
        <is>
          <t>동</t>
        </is>
      </c>
      <c r="G786" s="46" t="n"/>
      <c r="H786" s="30" t="n"/>
      <c r="I786" s="43" t="n"/>
      <c r="J786" s="41" t="n"/>
      <c r="K786" s="41" t="n"/>
      <c r="L786" s="41" t="n"/>
      <c r="M786" s="31">
        <f>IF(COUNT(J786:L786)=0,"",MEDIAN(J786:L786))</f>
        <v/>
      </c>
      <c r="N786" s="38" t="n"/>
      <c r="O786" s="38" t="n"/>
      <c r="P786" s="38" t="n"/>
      <c r="Q786" s="38" t="n"/>
      <c r="R786" s="38" t="n"/>
      <c r="S786" s="38" t="n"/>
      <c r="T786" s="38" t="n"/>
      <c r="U786" s="38" t="n"/>
      <c r="V786" s="38" t="n"/>
      <c r="W786" s="38" t="n"/>
      <c r="X786" s="38" t="n"/>
      <c r="Y786" s="29" t="n"/>
      <c r="Z786" s="29" t="n"/>
      <c r="AA786" s="29" t="n"/>
      <c r="AB786" s="32" t="n"/>
      <c r="AC786" s="32" t="n"/>
    </row>
    <row r="787">
      <c r="A787" s="26" t="inlineStr">
        <is>
          <t>S16</t>
        </is>
      </c>
      <c r="B787" s="26" t="inlineStr">
        <is>
          <t>예천 신규점</t>
        </is>
      </c>
      <c r="C787" s="26" t="inlineStr">
        <is>
          <t>S16-H동</t>
        </is>
      </c>
      <c r="D787" s="47" t="n">
        <v>1</v>
      </c>
      <c r="E787" s="26" t="inlineStr">
        <is>
          <t>측정</t>
        </is>
      </c>
      <c r="F787" s="26" t="inlineStr">
        <is>
          <t>동</t>
        </is>
      </c>
      <c r="G787" s="31" t="n">
        <v>0.5</v>
      </c>
      <c r="H787" s="30" t="n"/>
      <c r="I787" s="43" t="n"/>
      <c r="J787" s="41" t="n"/>
      <c r="K787" s="41" t="n"/>
      <c r="L787" s="41" t="n"/>
      <c r="M787" s="31">
        <f>IF(COUNT(J787:L787)=0,"",MEDIAN(J787:L787))</f>
        <v/>
      </c>
      <c r="N787" s="26">
        <f>IF(COUNTIFS($C:$C,$C787,$D:$D,$D787,$E:$E,"P0(전)",$M:$M,"&gt;0")&lt;&gt;1,"P0(전) 유효 1개 아님",IF(COUNTIFS($C:$C,$C787,$D:$D,$D787,$E:$E,"P0(후)",$M:$M,"&gt;0")&lt;&gt;1,"P0(후) 유효 1개 아님",IF(NOT(AND(ISNUMBER(O787),ISNUMBER(Q787),ISNUMBER(I787))),"시각 결측",IF(Q787&lt;=O787,"P0 시각 역전",IF(OR(I787&lt;O787,I787&gt;Q787),"측정시각 구간 밖","OK")))))</f>
        <v/>
      </c>
      <c r="O787" s="48">
        <f>IF(COUNTIFS($C:$C,$C787,$D:$D,$D787,$E:$E,"P0(전)",$M:$M,"&gt;0")&lt;&gt;1,"",SUMIFS($I:$I,$C:$C,$C787,$D:$D,$D787,$E:$E,"P0(전)"))</f>
        <v/>
      </c>
      <c r="P787" s="31">
        <f>IF(COUNTIFS($C:$C,$C787,$D:$D,$D787,$E:$E,"P0(전)",$M:$M,"&gt;0")&lt;&gt;1,"",SUMIFS($M:$M,$C:$C,$C787,$D:$D,$D787,$E:$E,"P0(전)"))</f>
        <v/>
      </c>
      <c r="Q787" s="48">
        <f>IF(COUNTIFS($C:$C,$C787,$D:$D,$D787,$E:$E,"P0(후)",$M:$M,"&gt;0")&lt;&gt;1,"",SUMIFS($I:$I,$C:$C,$C787,$D:$D,$D787,$E:$E,"P0(후)"))</f>
        <v/>
      </c>
      <c r="R787" s="31">
        <f>IF(COUNTIFS($C:$C,$C787,$D:$D,$D787,$E:$E,"P0(후)",$M:$M,"&gt;0")&lt;&gt;1,"",SUMIFS($M:$M,$C:$C,$C787,$D:$D,$D787,$E:$E,"P0(후)"))</f>
        <v/>
      </c>
      <c r="S787" s="31">
        <f>IF(N787&lt;&gt;"OK","",P787+(R787-P787)*(I787-O787)/(Q787-O787))</f>
        <v/>
      </c>
      <c r="T787" s="31">
        <f>IF(OR(N787&lt;&gt;"OK",NOT(ISNUMBER(M787))),"",M787-S787)</f>
        <v/>
      </c>
      <c r="U787" s="49">
        <f>IF(OR(NOT(ISNUMBER(T787)),IF(ISNUMBER(H787),H787,G787)=0),"",T787/IF(ISNUMBER(H787),H787,G787))</f>
        <v/>
      </c>
      <c r="V787" s="49">
        <f>IF(ISNUMBER(U787),ABS(U787),"")</f>
        <v/>
      </c>
      <c r="W787" s="49">
        <f>IF(OR($E786&lt;&gt;"측정",$C786&lt;&gt;$C787,$D786&lt;&gt;$D787,NOT(ISNUMBER(M787)),NOT(ISNUMBER(M786)),(IF(ISNUMBER(H787),H787,G787)-IF(ISNUMBER(H786),H786,G786))=0),"",(M787-M786)/(IF(ISNUMBER(H787),H787,G787)-IF(ISNUMBER(H786),H786,G786)))</f>
        <v/>
      </c>
      <c r="X787" s="31">
        <f>IF(NOT(AND(ISNUMBER(O787),ISNUMBER(Q787))),"",(Q787-O787)*1440)</f>
        <v/>
      </c>
      <c r="Y787" s="29" t="n"/>
      <c r="Z787" s="29" t="n"/>
      <c r="AA787" s="29" t="n"/>
      <c r="AB787" s="32" t="n"/>
      <c r="AC787" s="32" t="n"/>
    </row>
    <row r="788">
      <c r="A788" s="26" t="inlineStr">
        <is>
          <t>S16</t>
        </is>
      </c>
      <c r="B788" s="26" t="inlineStr">
        <is>
          <t>예천 신규점</t>
        </is>
      </c>
      <c r="C788" s="26" t="inlineStr">
        <is>
          <t>S16-H동</t>
        </is>
      </c>
      <c r="D788" s="47" t="n">
        <v>1</v>
      </c>
      <c r="E788" s="26" t="inlineStr">
        <is>
          <t>측정</t>
        </is>
      </c>
      <c r="F788" s="26" t="inlineStr">
        <is>
          <t>동</t>
        </is>
      </c>
      <c r="G788" s="31" t="n">
        <v>1</v>
      </c>
      <c r="H788" s="30" t="n"/>
      <c r="I788" s="43" t="n"/>
      <c r="J788" s="41" t="n"/>
      <c r="K788" s="41" t="n"/>
      <c r="L788" s="41" t="n"/>
      <c r="M788" s="31">
        <f>IF(COUNT(J788:L788)=0,"",MEDIAN(J788:L788))</f>
        <v/>
      </c>
      <c r="N788" s="26">
        <f>IF(COUNTIFS($C:$C,$C788,$D:$D,$D788,$E:$E,"P0(전)",$M:$M,"&gt;0")&lt;&gt;1,"P0(전) 유효 1개 아님",IF(COUNTIFS($C:$C,$C788,$D:$D,$D788,$E:$E,"P0(후)",$M:$M,"&gt;0")&lt;&gt;1,"P0(후) 유효 1개 아님",IF(NOT(AND(ISNUMBER(O788),ISNUMBER(Q788),ISNUMBER(I788))),"시각 결측",IF(Q788&lt;=O788,"P0 시각 역전",IF(OR(I788&lt;O788,I788&gt;Q788),"측정시각 구간 밖","OK")))))</f>
        <v/>
      </c>
      <c r="O788" s="48">
        <f>IF(COUNTIFS($C:$C,$C788,$D:$D,$D788,$E:$E,"P0(전)",$M:$M,"&gt;0")&lt;&gt;1,"",SUMIFS($I:$I,$C:$C,$C788,$D:$D,$D788,$E:$E,"P0(전)"))</f>
        <v/>
      </c>
      <c r="P788" s="31">
        <f>IF(COUNTIFS($C:$C,$C788,$D:$D,$D788,$E:$E,"P0(전)",$M:$M,"&gt;0")&lt;&gt;1,"",SUMIFS($M:$M,$C:$C,$C788,$D:$D,$D788,$E:$E,"P0(전)"))</f>
        <v/>
      </c>
      <c r="Q788" s="48">
        <f>IF(COUNTIFS($C:$C,$C788,$D:$D,$D788,$E:$E,"P0(후)",$M:$M,"&gt;0")&lt;&gt;1,"",SUMIFS($I:$I,$C:$C,$C788,$D:$D,$D788,$E:$E,"P0(후)"))</f>
        <v/>
      </c>
      <c r="R788" s="31">
        <f>IF(COUNTIFS($C:$C,$C788,$D:$D,$D788,$E:$E,"P0(후)",$M:$M,"&gt;0")&lt;&gt;1,"",SUMIFS($M:$M,$C:$C,$C788,$D:$D,$D788,$E:$E,"P0(후)"))</f>
        <v/>
      </c>
      <c r="S788" s="31">
        <f>IF(N788&lt;&gt;"OK","",P788+(R788-P788)*(I788-O788)/(Q788-O788))</f>
        <v/>
      </c>
      <c r="T788" s="31">
        <f>IF(OR(N788&lt;&gt;"OK",NOT(ISNUMBER(M788))),"",M788-S788)</f>
        <v/>
      </c>
      <c r="U788" s="49">
        <f>IF(OR(NOT(ISNUMBER(T788)),IF(ISNUMBER(H788),H788,G788)=0),"",T788/IF(ISNUMBER(H788),H788,G788))</f>
        <v/>
      </c>
      <c r="V788" s="49">
        <f>IF(ISNUMBER(U788),ABS(U788),"")</f>
        <v/>
      </c>
      <c r="W788" s="49">
        <f>IF(OR($E787&lt;&gt;"측정",$C787&lt;&gt;$C788,$D787&lt;&gt;$D788,NOT(ISNUMBER(M788)),NOT(ISNUMBER(M787)),(IF(ISNUMBER(H788),H788,G788)-IF(ISNUMBER(H787),H787,G787))=0),"",(M788-M787)/(IF(ISNUMBER(H788),H788,G788)-IF(ISNUMBER(H787),H787,G787)))</f>
        <v/>
      </c>
      <c r="X788" s="31">
        <f>IF(NOT(AND(ISNUMBER(O788),ISNUMBER(Q788))),"",(Q788-O788)*1440)</f>
        <v/>
      </c>
      <c r="Y788" s="29" t="n"/>
      <c r="Z788" s="29" t="n"/>
      <c r="AA788" s="29" t="n"/>
      <c r="AB788" s="32" t="n"/>
      <c r="AC788" s="32" t="n"/>
    </row>
    <row r="789">
      <c r="A789" s="26" t="inlineStr">
        <is>
          <t>S16</t>
        </is>
      </c>
      <c r="B789" s="26" t="inlineStr">
        <is>
          <t>예천 신규점</t>
        </is>
      </c>
      <c r="C789" s="26" t="inlineStr">
        <is>
          <t>S16-H동</t>
        </is>
      </c>
      <c r="D789" s="47" t="n">
        <v>1</v>
      </c>
      <c r="E789" s="26" t="inlineStr">
        <is>
          <t>측정</t>
        </is>
      </c>
      <c r="F789" s="26" t="inlineStr">
        <is>
          <t>동</t>
        </is>
      </c>
      <c r="G789" s="31" t="n">
        <v>2</v>
      </c>
      <c r="H789" s="30" t="n"/>
      <c r="I789" s="43" t="n"/>
      <c r="J789" s="41" t="n"/>
      <c r="K789" s="41" t="n"/>
      <c r="L789" s="41" t="n"/>
      <c r="M789" s="31">
        <f>IF(COUNT(J789:L789)=0,"",MEDIAN(J789:L789))</f>
        <v/>
      </c>
      <c r="N789" s="26">
        <f>IF(COUNTIFS($C:$C,$C789,$D:$D,$D789,$E:$E,"P0(전)",$M:$M,"&gt;0")&lt;&gt;1,"P0(전) 유효 1개 아님",IF(COUNTIFS($C:$C,$C789,$D:$D,$D789,$E:$E,"P0(후)",$M:$M,"&gt;0")&lt;&gt;1,"P0(후) 유효 1개 아님",IF(NOT(AND(ISNUMBER(O789),ISNUMBER(Q789),ISNUMBER(I789))),"시각 결측",IF(Q789&lt;=O789,"P0 시각 역전",IF(OR(I789&lt;O789,I789&gt;Q789),"측정시각 구간 밖","OK")))))</f>
        <v/>
      </c>
      <c r="O789" s="48">
        <f>IF(COUNTIFS($C:$C,$C789,$D:$D,$D789,$E:$E,"P0(전)",$M:$M,"&gt;0")&lt;&gt;1,"",SUMIFS($I:$I,$C:$C,$C789,$D:$D,$D789,$E:$E,"P0(전)"))</f>
        <v/>
      </c>
      <c r="P789" s="31">
        <f>IF(COUNTIFS($C:$C,$C789,$D:$D,$D789,$E:$E,"P0(전)",$M:$M,"&gt;0")&lt;&gt;1,"",SUMIFS($M:$M,$C:$C,$C789,$D:$D,$D789,$E:$E,"P0(전)"))</f>
        <v/>
      </c>
      <c r="Q789" s="48">
        <f>IF(COUNTIFS($C:$C,$C789,$D:$D,$D789,$E:$E,"P0(후)",$M:$M,"&gt;0")&lt;&gt;1,"",SUMIFS($I:$I,$C:$C,$C789,$D:$D,$D789,$E:$E,"P0(후)"))</f>
        <v/>
      </c>
      <c r="R789" s="31">
        <f>IF(COUNTIFS($C:$C,$C789,$D:$D,$D789,$E:$E,"P0(후)",$M:$M,"&gt;0")&lt;&gt;1,"",SUMIFS($M:$M,$C:$C,$C789,$D:$D,$D789,$E:$E,"P0(후)"))</f>
        <v/>
      </c>
      <c r="S789" s="31">
        <f>IF(N789&lt;&gt;"OK","",P789+(R789-P789)*(I789-O789)/(Q789-O789))</f>
        <v/>
      </c>
      <c r="T789" s="31">
        <f>IF(OR(N789&lt;&gt;"OK",NOT(ISNUMBER(M789))),"",M789-S789)</f>
        <v/>
      </c>
      <c r="U789" s="49">
        <f>IF(OR(NOT(ISNUMBER(T789)),IF(ISNUMBER(H789),H789,G789)=0),"",T789/IF(ISNUMBER(H789),H789,G789))</f>
        <v/>
      </c>
      <c r="V789" s="49">
        <f>IF(ISNUMBER(U789),ABS(U789),"")</f>
        <v/>
      </c>
      <c r="W789" s="49">
        <f>IF(OR($E788&lt;&gt;"측정",$C788&lt;&gt;$C789,$D788&lt;&gt;$D789,NOT(ISNUMBER(M789)),NOT(ISNUMBER(M788)),(IF(ISNUMBER(H789),H789,G789)-IF(ISNUMBER(H788),H788,G788))=0),"",(M789-M788)/(IF(ISNUMBER(H789),H789,G789)-IF(ISNUMBER(H788),H788,G788)))</f>
        <v/>
      </c>
      <c r="X789" s="31">
        <f>IF(NOT(AND(ISNUMBER(O789),ISNUMBER(Q789))),"",(Q789-O789)*1440)</f>
        <v/>
      </c>
      <c r="Y789" s="29" t="n"/>
      <c r="Z789" s="29" t="n"/>
      <c r="AA789" s="29" t="n"/>
      <c r="AB789" s="32" t="n"/>
      <c r="AC789" s="32" t="n"/>
    </row>
    <row r="790">
      <c r="A790" s="26" t="inlineStr">
        <is>
          <t>S16</t>
        </is>
      </c>
      <c r="B790" s="26" t="inlineStr">
        <is>
          <t>예천 신규점</t>
        </is>
      </c>
      <c r="C790" s="26" t="inlineStr">
        <is>
          <t>S16-H동</t>
        </is>
      </c>
      <c r="D790" s="47" t="n">
        <v>1</v>
      </c>
      <c r="E790" s="26" t="inlineStr">
        <is>
          <t>측정</t>
        </is>
      </c>
      <c r="F790" s="26" t="inlineStr">
        <is>
          <t>동</t>
        </is>
      </c>
      <c r="G790" s="31" t="n">
        <v>3</v>
      </c>
      <c r="H790" s="30" t="n"/>
      <c r="I790" s="43" t="n"/>
      <c r="J790" s="41" t="n"/>
      <c r="K790" s="41" t="n"/>
      <c r="L790" s="41" t="n"/>
      <c r="M790" s="31">
        <f>IF(COUNT(J790:L790)=0,"",MEDIAN(J790:L790))</f>
        <v/>
      </c>
      <c r="N790" s="26">
        <f>IF(COUNTIFS($C:$C,$C790,$D:$D,$D790,$E:$E,"P0(전)",$M:$M,"&gt;0")&lt;&gt;1,"P0(전) 유효 1개 아님",IF(COUNTIFS($C:$C,$C790,$D:$D,$D790,$E:$E,"P0(후)",$M:$M,"&gt;0")&lt;&gt;1,"P0(후) 유효 1개 아님",IF(NOT(AND(ISNUMBER(O790),ISNUMBER(Q790),ISNUMBER(I790))),"시각 결측",IF(Q790&lt;=O790,"P0 시각 역전",IF(OR(I790&lt;O790,I790&gt;Q790),"측정시각 구간 밖","OK")))))</f>
        <v/>
      </c>
      <c r="O790" s="48">
        <f>IF(COUNTIFS($C:$C,$C790,$D:$D,$D790,$E:$E,"P0(전)",$M:$M,"&gt;0")&lt;&gt;1,"",SUMIFS($I:$I,$C:$C,$C790,$D:$D,$D790,$E:$E,"P0(전)"))</f>
        <v/>
      </c>
      <c r="P790" s="31">
        <f>IF(COUNTIFS($C:$C,$C790,$D:$D,$D790,$E:$E,"P0(전)",$M:$M,"&gt;0")&lt;&gt;1,"",SUMIFS($M:$M,$C:$C,$C790,$D:$D,$D790,$E:$E,"P0(전)"))</f>
        <v/>
      </c>
      <c r="Q790" s="48">
        <f>IF(COUNTIFS($C:$C,$C790,$D:$D,$D790,$E:$E,"P0(후)",$M:$M,"&gt;0")&lt;&gt;1,"",SUMIFS($I:$I,$C:$C,$C790,$D:$D,$D790,$E:$E,"P0(후)"))</f>
        <v/>
      </c>
      <c r="R790" s="31">
        <f>IF(COUNTIFS($C:$C,$C790,$D:$D,$D790,$E:$E,"P0(후)",$M:$M,"&gt;0")&lt;&gt;1,"",SUMIFS($M:$M,$C:$C,$C790,$D:$D,$D790,$E:$E,"P0(후)"))</f>
        <v/>
      </c>
      <c r="S790" s="31">
        <f>IF(N790&lt;&gt;"OK","",P790+(R790-P790)*(I790-O790)/(Q790-O790))</f>
        <v/>
      </c>
      <c r="T790" s="31">
        <f>IF(OR(N790&lt;&gt;"OK",NOT(ISNUMBER(M790))),"",M790-S790)</f>
        <v/>
      </c>
      <c r="U790" s="49">
        <f>IF(OR(NOT(ISNUMBER(T790)),IF(ISNUMBER(H790),H790,G790)=0),"",T790/IF(ISNUMBER(H790),H790,G790))</f>
        <v/>
      </c>
      <c r="V790" s="49">
        <f>IF(ISNUMBER(U790),ABS(U790),"")</f>
        <v/>
      </c>
      <c r="W790" s="49">
        <f>IF(OR($E789&lt;&gt;"측정",$C789&lt;&gt;$C790,$D789&lt;&gt;$D790,NOT(ISNUMBER(M790)),NOT(ISNUMBER(M789)),(IF(ISNUMBER(H790),H790,G790)-IF(ISNUMBER(H789),H789,G789))=0),"",(M790-M789)/(IF(ISNUMBER(H790),H790,G790)-IF(ISNUMBER(H789),H789,G789)))</f>
        <v/>
      </c>
      <c r="X790" s="31">
        <f>IF(NOT(AND(ISNUMBER(O790),ISNUMBER(Q790))),"",(Q790-O790)*1440)</f>
        <v/>
      </c>
      <c r="Y790" s="29" t="n"/>
      <c r="Z790" s="29" t="n"/>
      <c r="AA790" s="29" t="n"/>
      <c r="AB790" s="32" t="n"/>
      <c r="AC790" s="32" t="n"/>
    </row>
    <row r="791">
      <c r="A791" s="26" t="inlineStr">
        <is>
          <t>S16</t>
        </is>
      </c>
      <c r="B791" s="26" t="inlineStr">
        <is>
          <t>예천 신규점</t>
        </is>
      </c>
      <c r="C791" s="26" t="inlineStr">
        <is>
          <t>S16-H동</t>
        </is>
      </c>
      <c r="D791" s="47" t="n">
        <v>1</v>
      </c>
      <c r="E791" s="26" t="inlineStr">
        <is>
          <t>측정</t>
        </is>
      </c>
      <c r="F791" s="26" t="inlineStr">
        <is>
          <t>동</t>
        </is>
      </c>
      <c r="G791" s="31" t="n">
        <v>4</v>
      </c>
      <c r="H791" s="30" t="n"/>
      <c r="I791" s="43" t="n"/>
      <c r="J791" s="41" t="n"/>
      <c r="K791" s="41" t="n"/>
      <c r="L791" s="41" t="n"/>
      <c r="M791" s="31">
        <f>IF(COUNT(J791:L791)=0,"",MEDIAN(J791:L791))</f>
        <v/>
      </c>
      <c r="N791" s="26">
        <f>IF(COUNTIFS($C:$C,$C791,$D:$D,$D791,$E:$E,"P0(전)",$M:$M,"&gt;0")&lt;&gt;1,"P0(전) 유효 1개 아님",IF(COUNTIFS($C:$C,$C791,$D:$D,$D791,$E:$E,"P0(후)",$M:$M,"&gt;0")&lt;&gt;1,"P0(후) 유효 1개 아님",IF(NOT(AND(ISNUMBER(O791),ISNUMBER(Q791),ISNUMBER(I791))),"시각 결측",IF(Q791&lt;=O791,"P0 시각 역전",IF(OR(I791&lt;O791,I791&gt;Q791),"측정시각 구간 밖","OK")))))</f>
        <v/>
      </c>
      <c r="O791" s="48">
        <f>IF(COUNTIFS($C:$C,$C791,$D:$D,$D791,$E:$E,"P0(전)",$M:$M,"&gt;0")&lt;&gt;1,"",SUMIFS($I:$I,$C:$C,$C791,$D:$D,$D791,$E:$E,"P0(전)"))</f>
        <v/>
      </c>
      <c r="P791" s="31">
        <f>IF(COUNTIFS($C:$C,$C791,$D:$D,$D791,$E:$E,"P0(전)",$M:$M,"&gt;0")&lt;&gt;1,"",SUMIFS($M:$M,$C:$C,$C791,$D:$D,$D791,$E:$E,"P0(전)"))</f>
        <v/>
      </c>
      <c r="Q791" s="48">
        <f>IF(COUNTIFS($C:$C,$C791,$D:$D,$D791,$E:$E,"P0(후)",$M:$M,"&gt;0")&lt;&gt;1,"",SUMIFS($I:$I,$C:$C,$C791,$D:$D,$D791,$E:$E,"P0(후)"))</f>
        <v/>
      </c>
      <c r="R791" s="31">
        <f>IF(COUNTIFS($C:$C,$C791,$D:$D,$D791,$E:$E,"P0(후)",$M:$M,"&gt;0")&lt;&gt;1,"",SUMIFS($M:$M,$C:$C,$C791,$D:$D,$D791,$E:$E,"P0(후)"))</f>
        <v/>
      </c>
      <c r="S791" s="31">
        <f>IF(N791&lt;&gt;"OK","",P791+(R791-P791)*(I791-O791)/(Q791-O791))</f>
        <v/>
      </c>
      <c r="T791" s="31">
        <f>IF(OR(N791&lt;&gt;"OK",NOT(ISNUMBER(M791))),"",M791-S791)</f>
        <v/>
      </c>
      <c r="U791" s="49">
        <f>IF(OR(NOT(ISNUMBER(T791)),IF(ISNUMBER(H791),H791,G791)=0),"",T791/IF(ISNUMBER(H791),H791,G791))</f>
        <v/>
      </c>
      <c r="V791" s="49">
        <f>IF(ISNUMBER(U791),ABS(U791),"")</f>
        <v/>
      </c>
      <c r="W791" s="49">
        <f>IF(OR($E790&lt;&gt;"측정",$C790&lt;&gt;$C791,$D790&lt;&gt;$D791,NOT(ISNUMBER(M791)),NOT(ISNUMBER(M790)),(IF(ISNUMBER(H791),H791,G791)-IF(ISNUMBER(H790),H790,G790))=0),"",(M791-M790)/(IF(ISNUMBER(H791),H791,G791)-IF(ISNUMBER(H790),H790,G790)))</f>
        <v/>
      </c>
      <c r="X791" s="31">
        <f>IF(NOT(AND(ISNUMBER(O791),ISNUMBER(Q791))),"",(Q791-O791)*1440)</f>
        <v/>
      </c>
      <c r="Y791" s="29" t="n"/>
      <c r="Z791" s="29" t="n"/>
      <c r="AA791" s="29" t="n"/>
      <c r="AB791" s="32" t="n"/>
      <c r="AC791" s="32" t="n"/>
    </row>
    <row r="792">
      <c r="A792" s="26" t="inlineStr">
        <is>
          <t>S16</t>
        </is>
      </c>
      <c r="B792" s="26" t="inlineStr">
        <is>
          <t>예천 신규점</t>
        </is>
      </c>
      <c r="C792" s="26" t="inlineStr">
        <is>
          <t>S16-H동</t>
        </is>
      </c>
      <c r="D792" s="47" t="n">
        <v>1</v>
      </c>
      <c r="E792" s="26" t="inlineStr">
        <is>
          <t>측정</t>
        </is>
      </c>
      <c r="F792" s="26" t="inlineStr">
        <is>
          <t>동</t>
        </is>
      </c>
      <c r="G792" s="31" t="n">
        <v>5</v>
      </c>
      <c r="H792" s="30" t="n"/>
      <c r="I792" s="43" t="n"/>
      <c r="J792" s="41" t="n"/>
      <c r="K792" s="41" t="n"/>
      <c r="L792" s="41" t="n"/>
      <c r="M792" s="31">
        <f>IF(COUNT(J792:L792)=0,"",MEDIAN(J792:L792))</f>
        <v/>
      </c>
      <c r="N792" s="26">
        <f>IF(COUNTIFS($C:$C,$C792,$D:$D,$D792,$E:$E,"P0(전)",$M:$M,"&gt;0")&lt;&gt;1,"P0(전) 유효 1개 아님",IF(COUNTIFS($C:$C,$C792,$D:$D,$D792,$E:$E,"P0(후)",$M:$M,"&gt;0")&lt;&gt;1,"P0(후) 유효 1개 아님",IF(NOT(AND(ISNUMBER(O792),ISNUMBER(Q792),ISNUMBER(I792))),"시각 결측",IF(Q792&lt;=O792,"P0 시각 역전",IF(OR(I792&lt;O792,I792&gt;Q792),"측정시각 구간 밖","OK")))))</f>
        <v/>
      </c>
      <c r="O792" s="48">
        <f>IF(COUNTIFS($C:$C,$C792,$D:$D,$D792,$E:$E,"P0(전)",$M:$M,"&gt;0")&lt;&gt;1,"",SUMIFS($I:$I,$C:$C,$C792,$D:$D,$D792,$E:$E,"P0(전)"))</f>
        <v/>
      </c>
      <c r="P792" s="31">
        <f>IF(COUNTIFS($C:$C,$C792,$D:$D,$D792,$E:$E,"P0(전)",$M:$M,"&gt;0")&lt;&gt;1,"",SUMIFS($M:$M,$C:$C,$C792,$D:$D,$D792,$E:$E,"P0(전)"))</f>
        <v/>
      </c>
      <c r="Q792" s="48">
        <f>IF(COUNTIFS($C:$C,$C792,$D:$D,$D792,$E:$E,"P0(후)",$M:$M,"&gt;0")&lt;&gt;1,"",SUMIFS($I:$I,$C:$C,$C792,$D:$D,$D792,$E:$E,"P0(후)"))</f>
        <v/>
      </c>
      <c r="R792" s="31">
        <f>IF(COUNTIFS($C:$C,$C792,$D:$D,$D792,$E:$E,"P0(후)",$M:$M,"&gt;0")&lt;&gt;1,"",SUMIFS($M:$M,$C:$C,$C792,$D:$D,$D792,$E:$E,"P0(후)"))</f>
        <v/>
      </c>
      <c r="S792" s="31">
        <f>IF(N792&lt;&gt;"OK","",P792+(R792-P792)*(I792-O792)/(Q792-O792))</f>
        <v/>
      </c>
      <c r="T792" s="31">
        <f>IF(OR(N792&lt;&gt;"OK",NOT(ISNUMBER(M792))),"",M792-S792)</f>
        <v/>
      </c>
      <c r="U792" s="49">
        <f>IF(OR(NOT(ISNUMBER(T792)),IF(ISNUMBER(H792),H792,G792)=0),"",T792/IF(ISNUMBER(H792),H792,G792))</f>
        <v/>
      </c>
      <c r="V792" s="49">
        <f>IF(ISNUMBER(U792),ABS(U792),"")</f>
        <v/>
      </c>
      <c r="W792" s="49">
        <f>IF(OR($E791&lt;&gt;"측정",$C791&lt;&gt;$C792,$D791&lt;&gt;$D792,NOT(ISNUMBER(M792)),NOT(ISNUMBER(M791)),(IF(ISNUMBER(H792),H792,G792)-IF(ISNUMBER(H791),H791,G791))=0),"",(M792-M791)/(IF(ISNUMBER(H792),H792,G792)-IF(ISNUMBER(H791),H791,G791)))</f>
        <v/>
      </c>
      <c r="X792" s="31">
        <f>IF(NOT(AND(ISNUMBER(O792),ISNUMBER(Q792))),"",(Q792-O792)*1440)</f>
        <v/>
      </c>
      <c r="Y792" s="29" t="n"/>
      <c r="Z792" s="29" t="n"/>
      <c r="AA792" s="29" t="n"/>
      <c r="AB792" s="32" t="n"/>
      <c r="AC792" s="32" t="n"/>
    </row>
    <row r="793">
      <c r="A793" s="26" t="inlineStr">
        <is>
          <t>S16</t>
        </is>
      </c>
      <c r="B793" s="26" t="inlineStr">
        <is>
          <t>예천 신규점</t>
        </is>
      </c>
      <c r="C793" s="26" t="inlineStr">
        <is>
          <t>S16-H동</t>
        </is>
      </c>
      <c r="D793" s="47" t="n">
        <v>1</v>
      </c>
      <c r="E793" s="26" t="inlineStr">
        <is>
          <t>측정</t>
        </is>
      </c>
      <c r="F793" s="26" t="inlineStr">
        <is>
          <t>동</t>
        </is>
      </c>
      <c r="G793" s="31" t="n">
        <v>6</v>
      </c>
      <c r="H793" s="30" t="n"/>
      <c r="I793" s="43" t="n"/>
      <c r="J793" s="41" t="n"/>
      <c r="K793" s="41" t="n"/>
      <c r="L793" s="41" t="n"/>
      <c r="M793" s="31">
        <f>IF(COUNT(J793:L793)=0,"",MEDIAN(J793:L793))</f>
        <v/>
      </c>
      <c r="N793" s="26">
        <f>IF(COUNTIFS($C:$C,$C793,$D:$D,$D793,$E:$E,"P0(전)",$M:$M,"&gt;0")&lt;&gt;1,"P0(전) 유효 1개 아님",IF(COUNTIFS($C:$C,$C793,$D:$D,$D793,$E:$E,"P0(후)",$M:$M,"&gt;0")&lt;&gt;1,"P0(후) 유효 1개 아님",IF(NOT(AND(ISNUMBER(O793),ISNUMBER(Q793),ISNUMBER(I793))),"시각 결측",IF(Q793&lt;=O793,"P0 시각 역전",IF(OR(I793&lt;O793,I793&gt;Q793),"측정시각 구간 밖","OK")))))</f>
        <v/>
      </c>
      <c r="O793" s="48">
        <f>IF(COUNTIFS($C:$C,$C793,$D:$D,$D793,$E:$E,"P0(전)",$M:$M,"&gt;0")&lt;&gt;1,"",SUMIFS($I:$I,$C:$C,$C793,$D:$D,$D793,$E:$E,"P0(전)"))</f>
        <v/>
      </c>
      <c r="P793" s="31">
        <f>IF(COUNTIFS($C:$C,$C793,$D:$D,$D793,$E:$E,"P0(전)",$M:$M,"&gt;0")&lt;&gt;1,"",SUMIFS($M:$M,$C:$C,$C793,$D:$D,$D793,$E:$E,"P0(전)"))</f>
        <v/>
      </c>
      <c r="Q793" s="48">
        <f>IF(COUNTIFS($C:$C,$C793,$D:$D,$D793,$E:$E,"P0(후)",$M:$M,"&gt;0")&lt;&gt;1,"",SUMIFS($I:$I,$C:$C,$C793,$D:$D,$D793,$E:$E,"P0(후)"))</f>
        <v/>
      </c>
      <c r="R793" s="31">
        <f>IF(COUNTIFS($C:$C,$C793,$D:$D,$D793,$E:$E,"P0(후)",$M:$M,"&gt;0")&lt;&gt;1,"",SUMIFS($M:$M,$C:$C,$C793,$D:$D,$D793,$E:$E,"P0(후)"))</f>
        <v/>
      </c>
      <c r="S793" s="31">
        <f>IF(N793&lt;&gt;"OK","",P793+(R793-P793)*(I793-O793)/(Q793-O793))</f>
        <v/>
      </c>
      <c r="T793" s="31">
        <f>IF(OR(N793&lt;&gt;"OK",NOT(ISNUMBER(M793))),"",M793-S793)</f>
        <v/>
      </c>
      <c r="U793" s="49">
        <f>IF(OR(NOT(ISNUMBER(T793)),IF(ISNUMBER(H793),H793,G793)=0),"",T793/IF(ISNUMBER(H793),H793,G793))</f>
        <v/>
      </c>
      <c r="V793" s="49">
        <f>IF(ISNUMBER(U793),ABS(U793),"")</f>
        <v/>
      </c>
      <c r="W793" s="49">
        <f>IF(OR($E792&lt;&gt;"측정",$C792&lt;&gt;$C793,$D792&lt;&gt;$D793,NOT(ISNUMBER(M793)),NOT(ISNUMBER(M792)),(IF(ISNUMBER(H793),H793,G793)-IF(ISNUMBER(H792),H792,G792))=0),"",(M793-M792)/(IF(ISNUMBER(H793),H793,G793)-IF(ISNUMBER(H792),H792,G792)))</f>
        <v/>
      </c>
      <c r="X793" s="31">
        <f>IF(NOT(AND(ISNUMBER(O793),ISNUMBER(Q793))),"",(Q793-O793)*1440)</f>
        <v/>
      </c>
      <c r="Y793" s="29" t="n"/>
      <c r="Z793" s="29" t="n"/>
      <c r="AA793" s="29" t="n"/>
      <c r="AB793" s="32" t="n"/>
      <c r="AC793" s="32" t="n"/>
    </row>
    <row r="794">
      <c r="A794" s="26" t="inlineStr">
        <is>
          <t>S16</t>
        </is>
      </c>
      <c r="B794" s="26" t="inlineStr">
        <is>
          <t>예천 신규점</t>
        </is>
      </c>
      <c r="C794" s="26" t="inlineStr">
        <is>
          <t>S16-H동</t>
        </is>
      </c>
      <c r="D794" s="47" t="n">
        <v>1</v>
      </c>
      <c r="E794" s="26" t="inlineStr">
        <is>
          <t>측정</t>
        </is>
      </c>
      <c r="F794" s="26" t="inlineStr">
        <is>
          <t>동</t>
        </is>
      </c>
      <c r="G794" s="31" t="n">
        <v>7</v>
      </c>
      <c r="H794" s="30" t="n"/>
      <c r="I794" s="43" t="n"/>
      <c r="J794" s="41" t="n"/>
      <c r="K794" s="41" t="n"/>
      <c r="L794" s="41" t="n"/>
      <c r="M794" s="31">
        <f>IF(COUNT(J794:L794)=0,"",MEDIAN(J794:L794))</f>
        <v/>
      </c>
      <c r="N794" s="26">
        <f>IF(COUNTIFS($C:$C,$C794,$D:$D,$D794,$E:$E,"P0(전)",$M:$M,"&gt;0")&lt;&gt;1,"P0(전) 유효 1개 아님",IF(COUNTIFS($C:$C,$C794,$D:$D,$D794,$E:$E,"P0(후)",$M:$M,"&gt;0")&lt;&gt;1,"P0(후) 유효 1개 아님",IF(NOT(AND(ISNUMBER(O794),ISNUMBER(Q794),ISNUMBER(I794))),"시각 결측",IF(Q794&lt;=O794,"P0 시각 역전",IF(OR(I794&lt;O794,I794&gt;Q794),"측정시각 구간 밖","OK")))))</f>
        <v/>
      </c>
      <c r="O794" s="48">
        <f>IF(COUNTIFS($C:$C,$C794,$D:$D,$D794,$E:$E,"P0(전)",$M:$M,"&gt;0")&lt;&gt;1,"",SUMIFS($I:$I,$C:$C,$C794,$D:$D,$D794,$E:$E,"P0(전)"))</f>
        <v/>
      </c>
      <c r="P794" s="31">
        <f>IF(COUNTIFS($C:$C,$C794,$D:$D,$D794,$E:$E,"P0(전)",$M:$M,"&gt;0")&lt;&gt;1,"",SUMIFS($M:$M,$C:$C,$C794,$D:$D,$D794,$E:$E,"P0(전)"))</f>
        <v/>
      </c>
      <c r="Q794" s="48">
        <f>IF(COUNTIFS($C:$C,$C794,$D:$D,$D794,$E:$E,"P0(후)",$M:$M,"&gt;0")&lt;&gt;1,"",SUMIFS($I:$I,$C:$C,$C794,$D:$D,$D794,$E:$E,"P0(후)"))</f>
        <v/>
      </c>
      <c r="R794" s="31">
        <f>IF(COUNTIFS($C:$C,$C794,$D:$D,$D794,$E:$E,"P0(후)",$M:$M,"&gt;0")&lt;&gt;1,"",SUMIFS($M:$M,$C:$C,$C794,$D:$D,$D794,$E:$E,"P0(후)"))</f>
        <v/>
      </c>
      <c r="S794" s="31">
        <f>IF(N794&lt;&gt;"OK","",P794+(R794-P794)*(I794-O794)/(Q794-O794))</f>
        <v/>
      </c>
      <c r="T794" s="31">
        <f>IF(OR(N794&lt;&gt;"OK",NOT(ISNUMBER(M794))),"",M794-S794)</f>
        <v/>
      </c>
      <c r="U794" s="49">
        <f>IF(OR(NOT(ISNUMBER(T794)),IF(ISNUMBER(H794),H794,G794)=0),"",T794/IF(ISNUMBER(H794),H794,G794))</f>
        <v/>
      </c>
      <c r="V794" s="49">
        <f>IF(ISNUMBER(U794),ABS(U794),"")</f>
        <v/>
      </c>
      <c r="W794" s="49">
        <f>IF(OR($E793&lt;&gt;"측정",$C793&lt;&gt;$C794,$D793&lt;&gt;$D794,NOT(ISNUMBER(M794)),NOT(ISNUMBER(M793)),(IF(ISNUMBER(H794),H794,G794)-IF(ISNUMBER(H793),H793,G793))=0),"",(M794-M793)/(IF(ISNUMBER(H794),H794,G794)-IF(ISNUMBER(H793),H793,G793)))</f>
        <v/>
      </c>
      <c r="X794" s="31">
        <f>IF(NOT(AND(ISNUMBER(O794),ISNUMBER(Q794))),"",(Q794-O794)*1440)</f>
        <v/>
      </c>
      <c r="Y794" s="29" t="n"/>
      <c r="Z794" s="29" t="n"/>
      <c r="AA794" s="29" t="n"/>
      <c r="AB794" s="32" t="n"/>
      <c r="AC794" s="32" t="n"/>
    </row>
    <row r="795">
      <c r="A795" s="26" t="inlineStr">
        <is>
          <t>S16</t>
        </is>
      </c>
      <c r="B795" s="26" t="inlineStr">
        <is>
          <t>예천 신규점</t>
        </is>
      </c>
      <c r="C795" s="26" t="inlineStr">
        <is>
          <t>S16-H동</t>
        </is>
      </c>
      <c r="D795" s="47" t="n">
        <v>1</v>
      </c>
      <c r="E795" s="26" t="inlineStr">
        <is>
          <t>측정</t>
        </is>
      </c>
      <c r="F795" s="26" t="inlineStr">
        <is>
          <t>동</t>
        </is>
      </c>
      <c r="G795" s="31" t="n">
        <v>8</v>
      </c>
      <c r="H795" s="30" t="n"/>
      <c r="I795" s="43" t="n"/>
      <c r="J795" s="41" t="n"/>
      <c r="K795" s="41" t="n"/>
      <c r="L795" s="41" t="n"/>
      <c r="M795" s="31">
        <f>IF(COUNT(J795:L795)=0,"",MEDIAN(J795:L795))</f>
        <v/>
      </c>
      <c r="N795" s="26">
        <f>IF(COUNTIFS($C:$C,$C795,$D:$D,$D795,$E:$E,"P0(전)",$M:$M,"&gt;0")&lt;&gt;1,"P0(전) 유효 1개 아님",IF(COUNTIFS($C:$C,$C795,$D:$D,$D795,$E:$E,"P0(후)",$M:$M,"&gt;0")&lt;&gt;1,"P0(후) 유효 1개 아님",IF(NOT(AND(ISNUMBER(O795),ISNUMBER(Q795),ISNUMBER(I795))),"시각 결측",IF(Q795&lt;=O795,"P0 시각 역전",IF(OR(I795&lt;O795,I795&gt;Q795),"측정시각 구간 밖","OK")))))</f>
        <v/>
      </c>
      <c r="O795" s="48">
        <f>IF(COUNTIFS($C:$C,$C795,$D:$D,$D795,$E:$E,"P0(전)",$M:$M,"&gt;0")&lt;&gt;1,"",SUMIFS($I:$I,$C:$C,$C795,$D:$D,$D795,$E:$E,"P0(전)"))</f>
        <v/>
      </c>
      <c r="P795" s="31">
        <f>IF(COUNTIFS($C:$C,$C795,$D:$D,$D795,$E:$E,"P0(전)",$M:$M,"&gt;0")&lt;&gt;1,"",SUMIFS($M:$M,$C:$C,$C795,$D:$D,$D795,$E:$E,"P0(전)"))</f>
        <v/>
      </c>
      <c r="Q795" s="48">
        <f>IF(COUNTIFS($C:$C,$C795,$D:$D,$D795,$E:$E,"P0(후)",$M:$M,"&gt;0")&lt;&gt;1,"",SUMIFS($I:$I,$C:$C,$C795,$D:$D,$D795,$E:$E,"P0(후)"))</f>
        <v/>
      </c>
      <c r="R795" s="31">
        <f>IF(COUNTIFS($C:$C,$C795,$D:$D,$D795,$E:$E,"P0(후)",$M:$M,"&gt;0")&lt;&gt;1,"",SUMIFS($M:$M,$C:$C,$C795,$D:$D,$D795,$E:$E,"P0(후)"))</f>
        <v/>
      </c>
      <c r="S795" s="31">
        <f>IF(N795&lt;&gt;"OK","",P795+(R795-P795)*(I795-O795)/(Q795-O795))</f>
        <v/>
      </c>
      <c r="T795" s="31">
        <f>IF(OR(N795&lt;&gt;"OK",NOT(ISNUMBER(M795))),"",M795-S795)</f>
        <v/>
      </c>
      <c r="U795" s="49">
        <f>IF(OR(NOT(ISNUMBER(T795)),IF(ISNUMBER(H795),H795,G795)=0),"",T795/IF(ISNUMBER(H795),H795,G795))</f>
        <v/>
      </c>
      <c r="V795" s="49">
        <f>IF(ISNUMBER(U795),ABS(U795),"")</f>
        <v/>
      </c>
      <c r="W795" s="49">
        <f>IF(OR($E794&lt;&gt;"측정",$C794&lt;&gt;$C795,$D794&lt;&gt;$D795,NOT(ISNUMBER(M795)),NOT(ISNUMBER(M794)),(IF(ISNUMBER(H795),H795,G795)-IF(ISNUMBER(H794),H794,G794))=0),"",(M795-M794)/(IF(ISNUMBER(H795),H795,G795)-IF(ISNUMBER(H794),H794,G794)))</f>
        <v/>
      </c>
      <c r="X795" s="31">
        <f>IF(NOT(AND(ISNUMBER(O795),ISNUMBER(Q795))),"",(Q795-O795)*1440)</f>
        <v/>
      </c>
      <c r="Y795" s="29" t="n"/>
      <c r="Z795" s="29" t="n"/>
      <c r="AA795" s="29" t="n"/>
      <c r="AB795" s="32" t="n"/>
      <c r="AC795" s="32" t="n"/>
    </row>
    <row r="796">
      <c r="A796" s="26" t="inlineStr">
        <is>
          <t>S16</t>
        </is>
      </c>
      <c r="B796" s="26" t="inlineStr">
        <is>
          <t>예천 신규점</t>
        </is>
      </c>
      <c r="C796" s="26" t="inlineStr">
        <is>
          <t>S16-H동</t>
        </is>
      </c>
      <c r="D796" s="47" t="n">
        <v>1</v>
      </c>
      <c r="E796" s="26" t="inlineStr">
        <is>
          <t>측정</t>
        </is>
      </c>
      <c r="F796" s="26" t="inlineStr">
        <is>
          <t>동</t>
        </is>
      </c>
      <c r="G796" s="31" t="n">
        <v>9</v>
      </c>
      <c r="H796" s="30" t="n"/>
      <c r="I796" s="43" t="n"/>
      <c r="J796" s="41" t="n"/>
      <c r="K796" s="41" t="n"/>
      <c r="L796" s="41" t="n"/>
      <c r="M796" s="31">
        <f>IF(COUNT(J796:L796)=0,"",MEDIAN(J796:L796))</f>
        <v/>
      </c>
      <c r="N796" s="26">
        <f>IF(COUNTIFS($C:$C,$C796,$D:$D,$D796,$E:$E,"P0(전)",$M:$M,"&gt;0")&lt;&gt;1,"P0(전) 유효 1개 아님",IF(COUNTIFS($C:$C,$C796,$D:$D,$D796,$E:$E,"P0(후)",$M:$M,"&gt;0")&lt;&gt;1,"P0(후) 유효 1개 아님",IF(NOT(AND(ISNUMBER(O796),ISNUMBER(Q796),ISNUMBER(I796))),"시각 결측",IF(Q796&lt;=O796,"P0 시각 역전",IF(OR(I796&lt;O796,I796&gt;Q796),"측정시각 구간 밖","OK")))))</f>
        <v/>
      </c>
      <c r="O796" s="48">
        <f>IF(COUNTIFS($C:$C,$C796,$D:$D,$D796,$E:$E,"P0(전)",$M:$M,"&gt;0")&lt;&gt;1,"",SUMIFS($I:$I,$C:$C,$C796,$D:$D,$D796,$E:$E,"P0(전)"))</f>
        <v/>
      </c>
      <c r="P796" s="31">
        <f>IF(COUNTIFS($C:$C,$C796,$D:$D,$D796,$E:$E,"P0(전)",$M:$M,"&gt;0")&lt;&gt;1,"",SUMIFS($M:$M,$C:$C,$C796,$D:$D,$D796,$E:$E,"P0(전)"))</f>
        <v/>
      </c>
      <c r="Q796" s="48">
        <f>IF(COUNTIFS($C:$C,$C796,$D:$D,$D796,$E:$E,"P0(후)",$M:$M,"&gt;0")&lt;&gt;1,"",SUMIFS($I:$I,$C:$C,$C796,$D:$D,$D796,$E:$E,"P0(후)"))</f>
        <v/>
      </c>
      <c r="R796" s="31">
        <f>IF(COUNTIFS($C:$C,$C796,$D:$D,$D796,$E:$E,"P0(후)",$M:$M,"&gt;0")&lt;&gt;1,"",SUMIFS($M:$M,$C:$C,$C796,$D:$D,$D796,$E:$E,"P0(후)"))</f>
        <v/>
      </c>
      <c r="S796" s="31">
        <f>IF(N796&lt;&gt;"OK","",P796+(R796-P796)*(I796-O796)/(Q796-O796))</f>
        <v/>
      </c>
      <c r="T796" s="31">
        <f>IF(OR(N796&lt;&gt;"OK",NOT(ISNUMBER(M796))),"",M796-S796)</f>
        <v/>
      </c>
      <c r="U796" s="49">
        <f>IF(OR(NOT(ISNUMBER(T796)),IF(ISNUMBER(H796),H796,G796)=0),"",T796/IF(ISNUMBER(H796),H796,G796))</f>
        <v/>
      </c>
      <c r="V796" s="49">
        <f>IF(ISNUMBER(U796),ABS(U796),"")</f>
        <v/>
      </c>
      <c r="W796" s="49">
        <f>IF(OR($E795&lt;&gt;"측정",$C795&lt;&gt;$C796,$D795&lt;&gt;$D796,NOT(ISNUMBER(M796)),NOT(ISNUMBER(M795)),(IF(ISNUMBER(H796),H796,G796)-IF(ISNUMBER(H795),H795,G795))=0),"",(M796-M795)/(IF(ISNUMBER(H796),H796,G796)-IF(ISNUMBER(H795),H795,G795)))</f>
        <v/>
      </c>
      <c r="X796" s="31">
        <f>IF(NOT(AND(ISNUMBER(O796),ISNUMBER(Q796))),"",(Q796-O796)*1440)</f>
        <v/>
      </c>
      <c r="Y796" s="29" t="n"/>
      <c r="Z796" s="29" t="n"/>
      <c r="AA796" s="29" t="n"/>
      <c r="AB796" s="32" t="n"/>
      <c r="AC796" s="32" t="n"/>
    </row>
    <row r="797">
      <c r="A797" s="26" t="inlineStr">
        <is>
          <t>S16</t>
        </is>
      </c>
      <c r="B797" s="26" t="inlineStr">
        <is>
          <t>예천 신규점</t>
        </is>
      </c>
      <c r="C797" s="26" t="inlineStr">
        <is>
          <t>S16-H동</t>
        </is>
      </c>
      <c r="D797" s="47" t="n">
        <v>1</v>
      </c>
      <c r="E797" s="26" t="inlineStr">
        <is>
          <t>측정</t>
        </is>
      </c>
      <c r="F797" s="26" t="inlineStr">
        <is>
          <t>동</t>
        </is>
      </c>
      <c r="G797" s="31" t="n">
        <v>10</v>
      </c>
      <c r="H797" s="30" t="n"/>
      <c r="I797" s="43" t="n"/>
      <c r="J797" s="41" t="n"/>
      <c r="K797" s="41" t="n"/>
      <c r="L797" s="41" t="n"/>
      <c r="M797" s="31">
        <f>IF(COUNT(J797:L797)=0,"",MEDIAN(J797:L797))</f>
        <v/>
      </c>
      <c r="N797" s="26">
        <f>IF(COUNTIFS($C:$C,$C797,$D:$D,$D797,$E:$E,"P0(전)",$M:$M,"&gt;0")&lt;&gt;1,"P0(전) 유효 1개 아님",IF(COUNTIFS($C:$C,$C797,$D:$D,$D797,$E:$E,"P0(후)",$M:$M,"&gt;0")&lt;&gt;1,"P0(후) 유효 1개 아님",IF(NOT(AND(ISNUMBER(O797),ISNUMBER(Q797),ISNUMBER(I797))),"시각 결측",IF(Q797&lt;=O797,"P0 시각 역전",IF(OR(I797&lt;O797,I797&gt;Q797),"측정시각 구간 밖","OK")))))</f>
        <v/>
      </c>
      <c r="O797" s="48">
        <f>IF(COUNTIFS($C:$C,$C797,$D:$D,$D797,$E:$E,"P0(전)",$M:$M,"&gt;0")&lt;&gt;1,"",SUMIFS($I:$I,$C:$C,$C797,$D:$D,$D797,$E:$E,"P0(전)"))</f>
        <v/>
      </c>
      <c r="P797" s="31">
        <f>IF(COUNTIFS($C:$C,$C797,$D:$D,$D797,$E:$E,"P0(전)",$M:$M,"&gt;0")&lt;&gt;1,"",SUMIFS($M:$M,$C:$C,$C797,$D:$D,$D797,$E:$E,"P0(전)"))</f>
        <v/>
      </c>
      <c r="Q797" s="48">
        <f>IF(COUNTIFS($C:$C,$C797,$D:$D,$D797,$E:$E,"P0(후)",$M:$M,"&gt;0")&lt;&gt;1,"",SUMIFS($I:$I,$C:$C,$C797,$D:$D,$D797,$E:$E,"P0(후)"))</f>
        <v/>
      </c>
      <c r="R797" s="31">
        <f>IF(COUNTIFS($C:$C,$C797,$D:$D,$D797,$E:$E,"P0(후)",$M:$M,"&gt;0")&lt;&gt;1,"",SUMIFS($M:$M,$C:$C,$C797,$D:$D,$D797,$E:$E,"P0(후)"))</f>
        <v/>
      </c>
      <c r="S797" s="31">
        <f>IF(N797&lt;&gt;"OK","",P797+(R797-P797)*(I797-O797)/(Q797-O797))</f>
        <v/>
      </c>
      <c r="T797" s="31">
        <f>IF(OR(N797&lt;&gt;"OK",NOT(ISNUMBER(M797))),"",M797-S797)</f>
        <v/>
      </c>
      <c r="U797" s="49">
        <f>IF(OR(NOT(ISNUMBER(T797)),IF(ISNUMBER(H797),H797,G797)=0),"",T797/IF(ISNUMBER(H797),H797,G797))</f>
        <v/>
      </c>
      <c r="V797" s="49">
        <f>IF(ISNUMBER(U797),ABS(U797),"")</f>
        <v/>
      </c>
      <c r="W797" s="49">
        <f>IF(OR($E796&lt;&gt;"측정",$C796&lt;&gt;$C797,$D796&lt;&gt;$D797,NOT(ISNUMBER(M797)),NOT(ISNUMBER(M796)),(IF(ISNUMBER(H797),H797,G797)-IF(ISNUMBER(H796),H796,G796))=0),"",(M797-M796)/(IF(ISNUMBER(H797),H797,G797)-IF(ISNUMBER(H796),H796,G796)))</f>
        <v/>
      </c>
      <c r="X797" s="31">
        <f>IF(NOT(AND(ISNUMBER(O797),ISNUMBER(Q797))),"",(Q797-O797)*1440)</f>
        <v/>
      </c>
      <c r="Y797" s="29" t="n"/>
      <c r="Z797" s="29" t="n"/>
      <c r="AA797" s="29" t="n"/>
      <c r="AB797" s="32" t="n"/>
      <c r="AC797" s="32" t="n"/>
    </row>
    <row r="798">
      <c r="A798" s="44" t="inlineStr">
        <is>
          <t>S16</t>
        </is>
      </c>
      <c r="B798" s="44" t="inlineStr">
        <is>
          <t>예천 신규점</t>
        </is>
      </c>
      <c r="C798" s="44" t="inlineStr">
        <is>
          <t>S16-H동</t>
        </is>
      </c>
      <c r="D798" s="45" t="n">
        <v>1</v>
      </c>
      <c r="E798" s="44" t="inlineStr">
        <is>
          <t>P0(후)</t>
        </is>
      </c>
      <c r="F798" s="44" t="inlineStr">
        <is>
          <t>동</t>
        </is>
      </c>
      <c r="G798" s="46" t="n"/>
      <c r="H798" s="30" t="n"/>
      <c r="I798" s="43" t="n"/>
      <c r="J798" s="41" t="n"/>
      <c r="K798" s="41" t="n"/>
      <c r="L798" s="41" t="n"/>
      <c r="M798" s="31">
        <f>IF(COUNT(J798:L798)=0,"",MEDIAN(J798:L798))</f>
        <v/>
      </c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38" t="n"/>
      <c r="Y798" s="29" t="n"/>
      <c r="Z798" s="29" t="n"/>
      <c r="AA798" s="29" t="n"/>
      <c r="AB798" s="32" t="n"/>
      <c r="AC798" s="32" t="n"/>
    </row>
    <row r="799">
      <c r="A799" s="44" t="inlineStr">
        <is>
          <t>S16</t>
        </is>
      </c>
      <c r="B799" s="44" t="inlineStr">
        <is>
          <t>예천 신규점</t>
        </is>
      </c>
      <c r="C799" s="44" t="inlineStr">
        <is>
          <t>S16-H서</t>
        </is>
      </c>
      <c r="D799" s="45" t="n">
        <v>1</v>
      </c>
      <c r="E799" s="44" t="inlineStr">
        <is>
          <t>P0(전)</t>
        </is>
      </c>
      <c r="F799" s="44" t="inlineStr">
        <is>
          <t>서</t>
        </is>
      </c>
      <c r="G799" s="46" t="n"/>
      <c r="H799" s="30" t="n"/>
      <c r="I799" s="43" t="n"/>
      <c r="J799" s="41" t="n"/>
      <c r="K799" s="41" t="n"/>
      <c r="L799" s="41" t="n"/>
      <c r="M799" s="31">
        <f>IF(COUNT(J799:L799)=0,"",MEDIAN(J799:L799))</f>
        <v/>
      </c>
      <c r="N799" s="38" t="n"/>
      <c r="O799" s="38" t="n"/>
      <c r="P799" s="38" t="n"/>
      <c r="Q799" s="38" t="n"/>
      <c r="R799" s="38" t="n"/>
      <c r="S799" s="38" t="n"/>
      <c r="T799" s="38" t="n"/>
      <c r="U799" s="38" t="n"/>
      <c r="V799" s="38" t="n"/>
      <c r="W799" s="38" t="n"/>
      <c r="X799" s="38" t="n"/>
      <c r="Y799" s="29" t="n"/>
      <c r="Z799" s="29" t="n"/>
      <c r="AA799" s="29" t="n"/>
      <c r="AB799" s="32" t="n"/>
      <c r="AC799" s="32" t="n"/>
    </row>
    <row r="800">
      <c r="A800" s="26" t="inlineStr">
        <is>
          <t>S16</t>
        </is>
      </c>
      <c r="B800" s="26" t="inlineStr">
        <is>
          <t>예천 신규점</t>
        </is>
      </c>
      <c r="C800" s="26" t="inlineStr">
        <is>
          <t>S16-H서</t>
        </is>
      </c>
      <c r="D800" s="47" t="n">
        <v>1</v>
      </c>
      <c r="E800" s="26" t="inlineStr">
        <is>
          <t>측정</t>
        </is>
      </c>
      <c r="F800" s="26" t="inlineStr">
        <is>
          <t>서</t>
        </is>
      </c>
      <c r="G800" s="31" t="n">
        <v>0.5</v>
      </c>
      <c r="H800" s="30" t="n"/>
      <c r="I800" s="43" t="n"/>
      <c r="J800" s="41" t="n"/>
      <c r="K800" s="41" t="n"/>
      <c r="L800" s="41" t="n"/>
      <c r="M800" s="31">
        <f>IF(COUNT(J800:L800)=0,"",MEDIAN(J800:L800))</f>
        <v/>
      </c>
      <c r="N800" s="26">
        <f>IF(COUNTIFS($C:$C,$C800,$D:$D,$D800,$E:$E,"P0(전)",$M:$M,"&gt;0")&lt;&gt;1,"P0(전) 유효 1개 아님",IF(COUNTIFS($C:$C,$C800,$D:$D,$D800,$E:$E,"P0(후)",$M:$M,"&gt;0")&lt;&gt;1,"P0(후) 유효 1개 아님",IF(NOT(AND(ISNUMBER(O800),ISNUMBER(Q800),ISNUMBER(I800))),"시각 결측",IF(Q800&lt;=O800,"P0 시각 역전",IF(OR(I800&lt;O800,I800&gt;Q800),"측정시각 구간 밖","OK")))))</f>
        <v/>
      </c>
      <c r="O800" s="48">
        <f>IF(COUNTIFS($C:$C,$C800,$D:$D,$D800,$E:$E,"P0(전)",$M:$M,"&gt;0")&lt;&gt;1,"",SUMIFS($I:$I,$C:$C,$C800,$D:$D,$D800,$E:$E,"P0(전)"))</f>
        <v/>
      </c>
      <c r="P800" s="31">
        <f>IF(COUNTIFS($C:$C,$C800,$D:$D,$D800,$E:$E,"P0(전)",$M:$M,"&gt;0")&lt;&gt;1,"",SUMIFS($M:$M,$C:$C,$C800,$D:$D,$D800,$E:$E,"P0(전)"))</f>
        <v/>
      </c>
      <c r="Q800" s="48">
        <f>IF(COUNTIFS($C:$C,$C800,$D:$D,$D800,$E:$E,"P0(후)",$M:$M,"&gt;0")&lt;&gt;1,"",SUMIFS($I:$I,$C:$C,$C800,$D:$D,$D800,$E:$E,"P0(후)"))</f>
        <v/>
      </c>
      <c r="R800" s="31">
        <f>IF(COUNTIFS($C:$C,$C800,$D:$D,$D800,$E:$E,"P0(후)",$M:$M,"&gt;0")&lt;&gt;1,"",SUMIFS($M:$M,$C:$C,$C800,$D:$D,$D800,$E:$E,"P0(후)"))</f>
        <v/>
      </c>
      <c r="S800" s="31">
        <f>IF(N800&lt;&gt;"OK","",P800+(R800-P800)*(I800-O800)/(Q800-O800))</f>
        <v/>
      </c>
      <c r="T800" s="31">
        <f>IF(OR(N800&lt;&gt;"OK",NOT(ISNUMBER(M800))),"",M800-S800)</f>
        <v/>
      </c>
      <c r="U800" s="49">
        <f>IF(OR(NOT(ISNUMBER(T800)),IF(ISNUMBER(H800),H800,G800)=0),"",T800/IF(ISNUMBER(H800),H800,G800))</f>
        <v/>
      </c>
      <c r="V800" s="49">
        <f>IF(ISNUMBER(U800),ABS(U800),"")</f>
        <v/>
      </c>
      <c r="W800" s="49">
        <f>IF(OR($E799&lt;&gt;"측정",$C799&lt;&gt;$C800,$D799&lt;&gt;$D800,NOT(ISNUMBER(M800)),NOT(ISNUMBER(M799)),(IF(ISNUMBER(H800),H800,G800)-IF(ISNUMBER(H799),H799,G799))=0),"",(M800-M799)/(IF(ISNUMBER(H800),H800,G800)-IF(ISNUMBER(H799),H799,G799)))</f>
        <v/>
      </c>
      <c r="X800" s="31">
        <f>IF(NOT(AND(ISNUMBER(O800),ISNUMBER(Q800))),"",(Q800-O800)*1440)</f>
        <v/>
      </c>
      <c r="Y800" s="29" t="n"/>
      <c r="Z800" s="29" t="n"/>
      <c r="AA800" s="29" t="n"/>
      <c r="AB800" s="32" t="n"/>
      <c r="AC800" s="32" t="n"/>
    </row>
    <row r="801">
      <c r="A801" s="26" t="inlineStr">
        <is>
          <t>S16</t>
        </is>
      </c>
      <c r="B801" s="26" t="inlineStr">
        <is>
          <t>예천 신규점</t>
        </is>
      </c>
      <c r="C801" s="26" t="inlineStr">
        <is>
          <t>S16-H서</t>
        </is>
      </c>
      <c r="D801" s="47" t="n">
        <v>1</v>
      </c>
      <c r="E801" s="26" t="inlineStr">
        <is>
          <t>측정</t>
        </is>
      </c>
      <c r="F801" s="26" t="inlineStr">
        <is>
          <t>서</t>
        </is>
      </c>
      <c r="G801" s="31" t="n">
        <v>1</v>
      </c>
      <c r="H801" s="30" t="n"/>
      <c r="I801" s="43" t="n"/>
      <c r="J801" s="41" t="n"/>
      <c r="K801" s="41" t="n"/>
      <c r="L801" s="41" t="n"/>
      <c r="M801" s="31">
        <f>IF(COUNT(J801:L801)=0,"",MEDIAN(J801:L801))</f>
        <v/>
      </c>
      <c r="N801" s="26">
        <f>IF(COUNTIFS($C:$C,$C801,$D:$D,$D801,$E:$E,"P0(전)",$M:$M,"&gt;0")&lt;&gt;1,"P0(전) 유효 1개 아님",IF(COUNTIFS($C:$C,$C801,$D:$D,$D801,$E:$E,"P0(후)",$M:$M,"&gt;0")&lt;&gt;1,"P0(후) 유효 1개 아님",IF(NOT(AND(ISNUMBER(O801),ISNUMBER(Q801),ISNUMBER(I801))),"시각 결측",IF(Q801&lt;=O801,"P0 시각 역전",IF(OR(I801&lt;O801,I801&gt;Q801),"측정시각 구간 밖","OK")))))</f>
        <v/>
      </c>
      <c r="O801" s="48">
        <f>IF(COUNTIFS($C:$C,$C801,$D:$D,$D801,$E:$E,"P0(전)",$M:$M,"&gt;0")&lt;&gt;1,"",SUMIFS($I:$I,$C:$C,$C801,$D:$D,$D801,$E:$E,"P0(전)"))</f>
        <v/>
      </c>
      <c r="P801" s="31">
        <f>IF(COUNTIFS($C:$C,$C801,$D:$D,$D801,$E:$E,"P0(전)",$M:$M,"&gt;0")&lt;&gt;1,"",SUMIFS($M:$M,$C:$C,$C801,$D:$D,$D801,$E:$E,"P0(전)"))</f>
        <v/>
      </c>
      <c r="Q801" s="48">
        <f>IF(COUNTIFS($C:$C,$C801,$D:$D,$D801,$E:$E,"P0(후)",$M:$M,"&gt;0")&lt;&gt;1,"",SUMIFS($I:$I,$C:$C,$C801,$D:$D,$D801,$E:$E,"P0(후)"))</f>
        <v/>
      </c>
      <c r="R801" s="31">
        <f>IF(COUNTIFS($C:$C,$C801,$D:$D,$D801,$E:$E,"P0(후)",$M:$M,"&gt;0")&lt;&gt;1,"",SUMIFS($M:$M,$C:$C,$C801,$D:$D,$D801,$E:$E,"P0(후)"))</f>
        <v/>
      </c>
      <c r="S801" s="31">
        <f>IF(N801&lt;&gt;"OK","",P801+(R801-P801)*(I801-O801)/(Q801-O801))</f>
        <v/>
      </c>
      <c r="T801" s="31">
        <f>IF(OR(N801&lt;&gt;"OK",NOT(ISNUMBER(M801))),"",M801-S801)</f>
        <v/>
      </c>
      <c r="U801" s="49">
        <f>IF(OR(NOT(ISNUMBER(T801)),IF(ISNUMBER(H801),H801,G801)=0),"",T801/IF(ISNUMBER(H801),H801,G801))</f>
        <v/>
      </c>
      <c r="V801" s="49">
        <f>IF(ISNUMBER(U801),ABS(U801),"")</f>
        <v/>
      </c>
      <c r="W801" s="49">
        <f>IF(OR($E800&lt;&gt;"측정",$C800&lt;&gt;$C801,$D800&lt;&gt;$D801,NOT(ISNUMBER(M801)),NOT(ISNUMBER(M800)),(IF(ISNUMBER(H801),H801,G801)-IF(ISNUMBER(H800),H800,G800))=0),"",(M801-M800)/(IF(ISNUMBER(H801),H801,G801)-IF(ISNUMBER(H800),H800,G800)))</f>
        <v/>
      </c>
      <c r="X801" s="31">
        <f>IF(NOT(AND(ISNUMBER(O801),ISNUMBER(Q801))),"",(Q801-O801)*1440)</f>
        <v/>
      </c>
      <c r="Y801" s="29" t="n"/>
      <c r="Z801" s="29" t="n"/>
      <c r="AA801" s="29" t="n"/>
      <c r="AB801" s="32" t="n"/>
      <c r="AC801" s="32" t="n"/>
    </row>
    <row r="802">
      <c r="A802" s="26" t="inlineStr">
        <is>
          <t>S16</t>
        </is>
      </c>
      <c r="B802" s="26" t="inlineStr">
        <is>
          <t>예천 신규점</t>
        </is>
      </c>
      <c r="C802" s="26" t="inlineStr">
        <is>
          <t>S16-H서</t>
        </is>
      </c>
      <c r="D802" s="47" t="n">
        <v>1</v>
      </c>
      <c r="E802" s="26" t="inlineStr">
        <is>
          <t>측정</t>
        </is>
      </c>
      <c r="F802" s="26" t="inlineStr">
        <is>
          <t>서</t>
        </is>
      </c>
      <c r="G802" s="31" t="n">
        <v>2</v>
      </c>
      <c r="H802" s="30" t="n"/>
      <c r="I802" s="43" t="n"/>
      <c r="J802" s="41" t="n"/>
      <c r="K802" s="41" t="n"/>
      <c r="L802" s="41" t="n"/>
      <c r="M802" s="31">
        <f>IF(COUNT(J802:L802)=0,"",MEDIAN(J802:L802))</f>
        <v/>
      </c>
      <c r="N802" s="26">
        <f>IF(COUNTIFS($C:$C,$C802,$D:$D,$D802,$E:$E,"P0(전)",$M:$M,"&gt;0")&lt;&gt;1,"P0(전) 유효 1개 아님",IF(COUNTIFS($C:$C,$C802,$D:$D,$D802,$E:$E,"P0(후)",$M:$M,"&gt;0")&lt;&gt;1,"P0(후) 유효 1개 아님",IF(NOT(AND(ISNUMBER(O802),ISNUMBER(Q802),ISNUMBER(I802))),"시각 결측",IF(Q802&lt;=O802,"P0 시각 역전",IF(OR(I802&lt;O802,I802&gt;Q802),"측정시각 구간 밖","OK")))))</f>
        <v/>
      </c>
      <c r="O802" s="48">
        <f>IF(COUNTIFS($C:$C,$C802,$D:$D,$D802,$E:$E,"P0(전)",$M:$M,"&gt;0")&lt;&gt;1,"",SUMIFS($I:$I,$C:$C,$C802,$D:$D,$D802,$E:$E,"P0(전)"))</f>
        <v/>
      </c>
      <c r="P802" s="31">
        <f>IF(COUNTIFS($C:$C,$C802,$D:$D,$D802,$E:$E,"P0(전)",$M:$M,"&gt;0")&lt;&gt;1,"",SUMIFS($M:$M,$C:$C,$C802,$D:$D,$D802,$E:$E,"P0(전)"))</f>
        <v/>
      </c>
      <c r="Q802" s="48">
        <f>IF(COUNTIFS($C:$C,$C802,$D:$D,$D802,$E:$E,"P0(후)",$M:$M,"&gt;0")&lt;&gt;1,"",SUMIFS($I:$I,$C:$C,$C802,$D:$D,$D802,$E:$E,"P0(후)"))</f>
        <v/>
      </c>
      <c r="R802" s="31">
        <f>IF(COUNTIFS($C:$C,$C802,$D:$D,$D802,$E:$E,"P0(후)",$M:$M,"&gt;0")&lt;&gt;1,"",SUMIFS($M:$M,$C:$C,$C802,$D:$D,$D802,$E:$E,"P0(후)"))</f>
        <v/>
      </c>
      <c r="S802" s="31">
        <f>IF(N802&lt;&gt;"OK","",P802+(R802-P802)*(I802-O802)/(Q802-O802))</f>
        <v/>
      </c>
      <c r="T802" s="31">
        <f>IF(OR(N802&lt;&gt;"OK",NOT(ISNUMBER(M802))),"",M802-S802)</f>
        <v/>
      </c>
      <c r="U802" s="49">
        <f>IF(OR(NOT(ISNUMBER(T802)),IF(ISNUMBER(H802),H802,G802)=0),"",T802/IF(ISNUMBER(H802),H802,G802))</f>
        <v/>
      </c>
      <c r="V802" s="49">
        <f>IF(ISNUMBER(U802),ABS(U802),"")</f>
        <v/>
      </c>
      <c r="W802" s="49">
        <f>IF(OR($E801&lt;&gt;"측정",$C801&lt;&gt;$C802,$D801&lt;&gt;$D802,NOT(ISNUMBER(M802)),NOT(ISNUMBER(M801)),(IF(ISNUMBER(H802),H802,G802)-IF(ISNUMBER(H801),H801,G801))=0),"",(M802-M801)/(IF(ISNUMBER(H802),H802,G802)-IF(ISNUMBER(H801),H801,G801)))</f>
        <v/>
      </c>
      <c r="X802" s="31">
        <f>IF(NOT(AND(ISNUMBER(O802),ISNUMBER(Q802))),"",(Q802-O802)*1440)</f>
        <v/>
      </c>
      <c r="Y802" s="29" t="n"/>
      <c r="Z802" s="29" t="n"/>
      <c r="AA802" s="29" t="n"/>
      <c r="AB802" s="32" t="n"/>
      <c r="AC802" s="32" t="n"/>
    </row>
    <row r="803">
      <c r="A803" s="26" t="inlineStr">
        <is>
          <t>S16</t>
        </is>
      </c>
      <c r="B803" s="26" t="inlineStr">
        <is>
          <t>예천 신규점</t>
        </is>
      </c>
      <c r="C803" s="26" t="inlineStr">
        <is>
          <t>S16-H서</t>
        </is>
      </c>
      <c r="D803" s="47" t="n">
        <v>1</v>
      </c>
      <c r="E803" s="26" t="inlineStr">
        <is>
          <t>측정</t>
        </is>
      </c>
      <c r="F803" s="26" t="inlineStr">
        <is>
          <t>서</t>
        </is>
      </c>
      <c r="G803" s="31" t="n">
        <v>3</v>
      </c>
      <c r="H803" s="30" t="n"/>
      <c r="I803" s="43" t="n"/>
      <c r="J803" s="41" t="n"/>
      <c r="K803" s="41" t="n"/>
      <c r="L803" s="41" t="n"/>
      <c r="M803" s="31">
        <f>IF(COUNT(J803:L803)=0,"",MEDIAN(J803:L803))</f>
        <v/>
      </c>
      <c r="N803" s="26">
        <f>IF(COUNTIFS($C:$C,$C803,$D:$D,$D803,$E:$E,"P0(전)",$M:$M,"&gt;0")&lt;&gt;1,"P0(전) 유효 1개 아님",IF(COUNTIFS($C:$C,$C803,$D:$D,$D803,$E:$E,"P0(후)",$M:$M,"&gt;0")&lt;&gt;1,"P0(후) 유효 1개 아님",IF(NOT(AND(ISNUMBER(O803),ISNUMBER(Q803),ISNUMBER(I803))),"시각 결측",IF(Q803&lt;=O803,"P0 시각 역전",IF(OR(I803&lt;O803,I803&gt;Q803),"측정시각 구간 밖","OK")))))</f>
        <v/>
      </c>
      <c r="O803" s="48">
        <f>IF(COUNTIFS($C:$C,$C803,$D:$D,$D803,$E:$E,"P0(전)",$M:$M,"&gt;0")&lt;&gt;1,"",SUMIFS($I:$I,$C:$C,$C803,$D:$D,$D803,$E:$E,"P0(전)"))</f>
        <v/>
      </c>
      <c r="P803" s="31">
        <f>IF(COUNTIFS($C:$C,$C803,$D:$D,$D803,$E:$E,"P0(전)",$M:$M,"&gt;0")&lt;&gt;1,"",SUMIFS($M:$M,$C:$C,$C803,$D:$D,$D803,$E:$E,"P0(전)"))</f>
        <v/>
      </c>
      <c r="Q803" s="48">
        <f>IF(COUNTIFS($C:$C,$C803,$D:$D,$D803,$E:$E,"P0(후)",$M:$M,"&gt;0")&lt;&gt;1,"",SUMIFS($I:$I,$C:$C,$C803,$D:$D,$D803,$E:$E,"P0(후)"))</f>
        <v/>
      </c>
      <c r="R803" s="31">
        <f>IF(COUNTIFS($C:$C,$C803,$D:$D,$D803,$E:$E,"P0(후)",$M:$M,"&gt;0")&lt;&gt;1,"",SUMIFS($M:$M,$C:$C,$C803,$D:$D,$D803,$E:$E,"P0(후)"))</f>
        <v/>
      </c>
      <c r="S803" s="31">
        <f>IF(N803&lt;&gt;"OK","",P803+(R803-P803)*(I803-O803)/(Q803-O803))</f>
        <v/>
      </c>
      <c r="T803" s="31">
        <f>IF(OR(N803&lt;&gt;"OK",NOT(ISNUMBER(M803))),"",M803-S803)</f>
        <v/>
      </c>
      <c r="U803" s="49">
        <f>IF(OR(NOT(ISNUMBER(T803)),IF(ISNUMBER(H803),H803,G803)=0),"",T803/IF(ISNUMBER(H803),H803,G803))</f>
        <v/>
      </c>
      <c r="V803" s="49">
        <f>IF(ISNUMBER(U803),ABS(U803),"")</f>
        <v/>
      </c>
      <c r="W803" s="49">
        <f>IF(OR($E802&lt;&gt;"측정",$C802&lt;&gt;$C803,$D802&lt;&gt;$D803,NOT(ISNUMBER(M803)),NOT(ISNUMBER(M802)),(IF(ISNUMBER(H803),H803,G803)-IF(ISNUMBER(H802),H802,G802))=0),"",(M803-M802)/(IF(ISNUMBER(H803),H803,G803)-IF(ISNUMBER(H802),H802,G802)))</f>
        <v/>
      </c>
      <c r="X803" s="31">
        <f>IF(NOT(AND(ISNUMBER(O803),ISNUMBER(Q803))),"",(Q803-O803)*1440)</f>
        <v/>
      </c>
      <c r="Y803" s="29" t="n"/>
      <c r="Z803" s="29" t="n"/>
      <c r="AA803" s="29" t="n"/>
      <c r="AB803" s="32" t="n"/>
      <c r="AC803" s="32" t="n"/>
    </row>
    <row r="804">
      <c r="A804" s="26" t="inlineStr">
        <is>
          <t>S16</t>
        </is>
      </c>
      <c r="B804" s="26" t="inlineStr">
        <is>
          <t>예천 신규점</t>
        </is>
      </c>
      <c r="C804" s="26" t="inlineStr">
        <is>
          <t>S16-H서</t>
        </is>
      </c>
      <c r="D804" s="47" t="n">
        <v>1</v>
      </c>
      <c r="E804" s="26" t="inlineStr">
        <is>
          <t>측정</t>
        </is>
      </c>
      <c r="F804" s="26" t="inlineStr">
        <is>
          <t>서</t>
        </is>
      </c>
      <c r="G804" s="31" t="n">
        <v>4</v>
      </c>
      <c r="H804" s="30" t="n"/>
      <c r="I804" s="43" t="n"/>
      <c r="J804" s="41" t="n"/>
      <c r="K804" s="41" t="n"/>
      <c r="L804" s="41" t="n"/>
      <c r="M804" s="31">
        <f>IF(COUNT(J804:L804)=0,"",MEDIAN(J804:L804))</f>
        <v/>
      </c>
      <c r="N804" s="26">
        <f>IF(COUNTIFS($C:$C,$C804,$D:$D,$D804,$E:$E,"P0(전)",$M:$M,"&gt;0")&lt;&gt;1,"P0(전) 유효 1개 아님",IF(COUNTIFS($C:$C,$C804,$D:$D,$D804,$E:$E,"P0(후)",$M:$M,"&gt;0")&lt;&gt;1,"P0(후) 유효 1개 아님",IF(NOT(AND(ISNUMBER(O804),ISNUMBER(Q804),ISNUMBER(I804))),"시각 결측",IF(Q804&lt;=O804,"P0 시각 역전",IF(OR(I804&lt;O804,I804&gt;Q804),"측정시각 구간 밖","OK")))))</f>
        <v/>
      </c>
      <c r="O804" s="48">
        <f>IF(COUNTIFS($C:$C,$C804,$D:$D,$D804,$E:$E,"P0(전)",$M:$M,"&gt;0")&lt;&gt;1,"",SUMIFS($I:$I,$C:$C,$C804,$D:$D,$D804,$E:$E,"P0(전)"))</f>
        <v/>
      </c>
      <c r="P804" s="31">
        <f>IF(COUNTIFS($C:$C,$C804,$D:$D,$D804,$E:$E,"P0(전)",$M:$M,"&gt;0")&lt;&gt;1,"",SUMIFS($M:$M,$C:$C,$C804,$D:$D,$D804,$E:$E,"P0(전)"))</f>
        <v/>
      </c>
      <c r="Q804" s="48">
        <f>IF(COUNTIFS($C:$C,$C804,$D:$D,$D804,$E:$E,"P0(후)",$M:$M,"&gt;0")&lt;&gt;1,"",SUMIFS($I:$I,$C:$C,$C804,$D:$D,$D804,$E:$E,"P0(후)"))</f>
        <v/>
      </c>
      <c r="R804" s="31">
        <f>IF(COUNTIFS($C:$C,$C804,$D:$D,$D804,$E:$E,"P0(후)",$M:$M,"&gt;0")&lt;&gt;1,"",SUMIFS($M:$M,$C:$C,$C804,$D:$D,$D804,$E:$E,"P0(후)"))</f>
        <v/>
      </c>
      <c r="S804" s="31">
        <f>IF(N804&lt;&gt;"OK","",P804+(R804-P804)*(I804-O804)/(Q804-O804))</f>
        <v/>
      </c>
      <c r="T804" s="31">
        <f>IF(OR(N804&lt;&gt;"OK",NOT(ISNUMBER(M804))),"",M804-S804)</f>
        <v/>
      </c>
      <c r="U804" s="49">
        <f>IF(OR(NOT(ISNUMBER(T804)),IF(ISNUMBER(H804),H804,G804)=0),"",T804/IF(ISNUMBER(H804),H804,G804))</f>
        <v/>
      </c>
      <c r="V804" s="49">
        <f>IF(ISNUMBER(U804),ABS(U804),"")</f>
        <v/>
      </c>
      <c r="W804" s="49">
        <f>IF(OR($E803&lt;&gt;"측정",$C803&lt;&gt;$C804,$D803&lt;&gt;$D804,NOT(ISNUMBER(M804)),NOT(ISNUMBER(M803)),(IF(ISNUMBER(H804),H804,G804)-IF(ISNUMBER(H803),H803,G803))=0),"",(M804-M803)/(IF(ISNUMBER(H804),H804,G804)-IF(ISNUMBER(H803),H803,G803)))</f>
        <v/>
      </c>
      <c r="X804" s="31">
        <f>IF(NOT(AND(ISNUMBER(O804),ISNUMBER(Q804))),"",(Q804-O804)*1440)</f>
        <v/>
      </c>
      <c r="Y804" s="29" t="n"/>
      <c r="Z804" s="29" t="n"/>
      <c r="AA804" s="29" t="n"/>
      <c r="AB804" s="32" t="n"/>
      <c r="AC804" s="32" t="n"/>
    </row>
    <row r="805">
      <c r="A805" s="26" t="inlineStr">
        <is>
          <t>S16</t>
        </is>
      </c>
      <c r="B805" s="26" t="inlineStr">
        <is>
          <t>예천 신규점</t>
        </is>
      </c>
      <c r="C805" s="26" t="inlineStr">
        <is>
          <t>S16-H서</t>
        </is>
      </c>
      <c r="D805" s="47" t="n">
        <v>1</v>
      </c>
      <c r="E805" s="26" t="inlineStr">
        <is>
          <t>측정</t>
        </is>
      </c>
      <c r="F805" s="26" t="inlineStr">
        <is>
          <t>서</t>
        </is>
      </c>
      <c r="G805" s="31" t="n">
        <v>5</v>
      </c>
      <c r="H805" s="30" t="n"/>
      <c r="I805" s="43" t="n"/>
      <c r="J805" s="41" t="n"/>
      <c r="K805" s="41" t="n"/>
      <c r="L805" s="41" t="n"/>
      <c r="M805" s="31">
        <f>IF(COUNT(J805:L805)=0,"",MEDIAN(J805:L805))</f>
        <v/>
      </c>
      <c r="N805" s="26">
        <f>IF(COUNTIFS($C:$C,$C805,$D:$D,$D805,$E:$E,"P0(전)",$M:$M,"&gt;0")&lt;&gt;1,"P0(전) 유효 1개 아님",IF(COUNTIFS($C:$C,$C805,$D:$D,$D805,$E:$E,"P0(후)",$M:$M,"&gt;0")&lt;&gt;1,"P0(후) 유효 1개 아님",IF(NOT(AND(ISNUMBER(O805),ISNUMBER(Q805),ISNUMBER(I805))),"시각 결측",IF(Q805&lt;=O805,"P0 시각 역전",IF(OR(I805&lt;O805,I805&gt;Q805),"측정시각 구간 밖","OK")))))</f>
        <v/>
      </c>
      <c r="O805" s="48">
        <f>IF(COUNTIFS($C:$C,$C805,$D:$D,$D805,$E:$E,"P0(전)",$M:$M,"&gt;0")&lt;&gt;1,"",SUMIFS($I:$I,$C:$C,$C805,$D:$D,$D805,$E:$E,"P0(전)"))</f>
        <v/>
      </c>
      <c r="P805" s="31">
        <f>IF(COUNTIFS($C:$C,$C805,$D:$D,$D805,$E:$E,"P0(전)",$M:$M,"&gt;0")&lt;&gt;1,"",SUMIFS($M:$M,$C:$C,$C805,$D:$D,$D805,$E:$E,"P0(전)"))</f>
        <v/>
      </c>
      <c r="Q805" s="48">
        <f>IF(COUNTIFS($C:$C,$C805,$D:$D,$D805,$E:$E,"P0(후)",$M:$M,"&gt;0")&lt;&gt;1,"",SUMIFS($I:$I,$C:$C,$C805,$D:$D,$D805,$E:$E,"P0(후)"))</f>
        <v/>
      </c>
      <c r="R805" s="31">
        <f>IF(COUNTIFS($C:$C,$C805,$D:$D,$D805,$E:$E,"P0(후)",$M:$M,"&gt;0")&lt;&gt;1,"",SUMIFS($M:$M,$C:$C,$C805,$D:$D,$D805,$E:$E,"P0(후)"))</f>
        <v/>
      </c>
      <c r="S805" s="31">
        <f>IF(N805&lt;&gt;"OK","",P805+(R805-P805)*(I805-O805)/(Q805-O805))</f>
        <v/>
      </c>
      <c r="T805" s="31">
        <f>IF(OR(N805&lt;&gt;"OK",NOT(ISNUMBER(M805))),"",M805-S805)</f>
        <v/>
      </c>
      <c r="U805" s="49">
        <f>IF(OR(NOT(ISNUMBER(T805)),IF(ISNUMBER(H805),H805,G805)=0),"",T805/IF(ISNUMBER(H805),H805,G805))</f>
        <v/>
      </c>
      <c r="V805" s="49">
        <f>IF(ISNUMBER(U805),ABS(U805),"")</f>
        <v/>
      </c>
      <c r="W805" s="49">
        <f>IF(OR($E804&lt;&gt;"측정",$C804&lt;&gt;$C805,$D804&lt;&gt;$D805,NOT(ISNUMBER(M805)),NOT(ISNUMBER(M804)),(IF(ISNUMBER(H805),H805,G805)-IF(ISNUMBER(H804),H804,G804))=0),"",(M805-M804)/(IF(ISNUMBER(H805),H805,G805)-IF(ISNUMBER(H804),H804,G804)))</f>
        <v/>
      </c>
      <c r="X805" s="31">
        <f>IF(NOT(AND(ISNUMBER(O805),ISNUMBER(Q805))),"",(Q805-O805)*1440)</f>
        <v/>
      </c>
      <c r="Y805" s="29" t="n"/>
      <c r="Z805" s="29" t="n"/>
      <c r="AA805" s="29" t="n"/>
      <c r="AB805" s="32" t="n"/>
      <c r="AC805" s="32" t="n"/>
    </row>
    <row r="806">
      <c r="A806" s="26" t="inlineStr">
        <is>
          <t>S16</t>
        </is>
      </c>
      <c r="B806" s="26" t="inlineStr">
        <is>
          <t>예천 신규점</t>
        </is>
      </c>
      <c r="C806" s="26" t="inlineStr">
        <is>
          <t>S16-H서</t>
        </is>
      </c>
      <c r="D806" s="47" t="n">
        <v>1</v>
      </c>
      <c r="E806" s="26" t="inlineStr">
        <is>
          <t>측정</t>
        </is>
      </c>
      <c r="F806" s="26" t="inlineStr">
        <is>
          <t>서</t>
        </is>
      </c>
      <c r="G806" s="31" t="n">
        <v>6</v>
      </c>
      <c r="H806" s="30" t="n"/>
      <c r="I806" s="43" t="n"/>
      <c r="J806" s="41" t="n"/>
      <c r="K806" s="41" t="n"/>
      <c r="L806" s="41" t="n"/>
      <c r="M806" s="31">
        <f>IF(COUNT(J806:L806)=0,"",MEDIAN(J806:L806))</f>
        <v/>
      </c>
      <c r="N806" s="26">
        <f>IF(COUNTIFS($C:$C,$C806,$D:$D,$D806,$E:$E,"P0(전)",$M:$M,"&gt;0")&lt;&gt;1,"P0(전) 유효 1개 아님",IF(COUNTIFS($C:$C,$C806,$D:$D,$D806,$E:$E,"P0(후)",$M:$M,"&gt;0")&lt;&gt;1,"P0(후) 유효 1개 아님",IF(NOT(AND(ISNUMBER(O806),ISNUMBER(Q806),ISNUMBER(I806))),"시각 결측",IF(Q806&lt;=O806,"P0 시각 역전",IF(OR(I806&lt;O806,I806&gt;Q806),"측정시각 구간 밖","OK")))))</f>
        <v/>
      </c>
      <c r="O806" s="48">
        <f>IF(COUNTIFS($C:$C,$C806,$D:$D,$D806,$E:$E,"P0(전)",$M:$M,"&gt;0")&lt;&gt;1,"",SUMIFS($I:$I,$C:$C,$C806,$D:$D,$D806,$E:$E,"P0(전)"))</f>
        <v/>
      </c>
      <c r="P806" s="31">
        <f>IF(COUNTIFS($C:$C,$C806,$D:$D,$D806,$E:$E,"P0(전)",$M:$M,"&gt;0")&lt;&gt;1,"",SUMIFS($M:$M,$C:$C,$C806,$D:$D,$D806,$E:$E,"P0(전)"))</f>
        <v/>
      </c>
      <c r="Q806" s="48">
        <f>IF(COUNTIFS($C:$C,$C806,$D:$D,$D806,$E:$E,"P0(후)",$M:$M,"&gt;0")&lt;&gt;1,"",SUMIFS($I:$I,$C:$C,$C806,$D:$D,$D806,$E:$E,"P0(후)"))</f>
        <v/>
      </c>
      <c r="R806" s="31">
        <f>IF(COUNTIFS($C:$C,$C806,$D:$D,$D806,$E:$E,"P0(후)",$M:$M,"&gt;0")&lt;&gt;1,"",SUMIFS($M:$M,$C:$C,$C806,$D:$D,$D806,$E:$E,"P0(후)"))</f>
        <v/>
      </c>
      <c r="S806" s="31">
        <f>IF(N806&lt;&gt;"OK","",P806+(R806-P806)*(I806-O806)/(Q806-O806))</f>
        <v/>
      </c>
      <c r="T806" s="31">
        <f>IF(OR(N806&lt;&gt;"OK",NOT(ISNUMBER(M806))),"",M806-S806)</f>
        <v/>
      </c>
      <c r="U806" s="49">
        <f>IF(OR(NOT(ISNUMBER(T806)),IF(ISNUMBER(H806),H806,G806)=0),"",T806/IF(ISNUMBER(H806),H806,G806))</f>
        <v/>
      </c>
      <c r="V806" s="49">
        <f>IF(ISNUMBER(U806),ABS(U806),"")</f>
        <v/>
      </c>
      <c r="W806" s="49">
        <f>IF(OR($E805&lt;&gt;"측정",$C805&lt;&gt;$C806,$D805&lt;&gt;$D806,NOT(ISNUMBER(M806)),NOT(ISNUMBER(M805)),(IF(ISNUMBER(H806),H806,G806)-IF(ISNUMBER(H805),H805,G805))=0),"",(M806-M805)/(IF(ISNUMBER(H806),H806,G806)-IF(ISNUMBER(H805),H805,G805)))</f>
        <v/>
      </c>
      <c r="X806" s="31">
        <f>IF(NOT(AND(ISNUMBER(O806),ISNUMBER(Q806))),"",(Q806-O806)*1440)</f>
        <v/>
      </c>
      <c r="Y806" s="29" t="n"/>
      <c r="Z806" s="29" t="n"/>
      <c r="AA806" s="29" t="n"/>
      <c r="AB806" s="32" t="n"/>
      <c r="AC806" s="32" t="n"/>
    </row>
    <row r="807">
      <c r="A807" s="26" t="inlineStr">
        <is>
          <t>S16</t>
        </is>
      </c>
      <c r="B807" s="26" t="inlineStr">
        <is>
          <t>예천 신규점</t>
        </is>
      </c>
      <c r="C807" s="26" t="inlineStr">
        <is>
          <t>S16-H서</t>
        </is>
      </c>
      <c r="D807" s="47" t="n">
        <v>1</v>
      </c>
      <c r="E807" s="26" t="inlineStr">
        <is>
          <t>측정</t>
        </is>
      </c>
      <c r="F807" s="26" t="inlineStr">
        <is>
          <t>서</t>
        </is>
      </c>
      <c r="G807" s="31" t="n">
        <v>7</v>
      </c>
      <c r="H807" s="30" t="n"/>
      <c r="I807" s="43" t="n"/>
      <c r="J807" s="41" t="n"/>
      <c r="K807" s="41" t="n"/>
      <c r="L807" s="41" t="n"/>
      <c r="M807" s="31">
        <f>IF(COUNT(J807:L807)=0,"",MEDIAN(J807:L807))</f>
        <v/>
      </c>
      <c r="N807" s="26">
        <f>IF(COUNTIFS($C:$C,$C807,$D:$D,$D807,$E:$E,"P0(전)",$M:$M,"&gt;0")&lt;&gt;1,"P0(전) 유효 1개 아님",IF(COUNTIFS($C:$C,$C807,$D:$D,$D807,$E:$E,"P0(후)",$M:$M,"&gt;0")&lt;&gt;1,"P0(후) 유효 1개 아님",IF(NOT(AND(ISNUMBER(O807),ISNUMBER(Q807),ISNUMBER(I807))),"시각 결측",IF(Q807&lt;=O807,"P0 시각 역전",IF(OR(I807&lt;O807,I807&gt;Q807),"측정시각 구간 밖","OK")))))</f>
        <v/>
      </c>
      <c r="O807" s="48">
        <f>IF(COUNTIFS($C:$C,$C807,$D:$D,$D807,$E:$E,"P0(전)",$M:$M,"&gt;0")&lt;&gt;1,"",SUMIFS($I:$I,$C:$C,$C807,$D:$D,$D807,$E:$E,"P0(전)"))</f>
        <v/>
      </c>
      <c r="P807" s="31">
        <f>IF(COUNTIFS($C:$C,$C807,$D:$D,$D807,$E:$E,"P0(전)",$M:$M,"&gt;0")&lt;&gt;1,"",SUMIFS($M:$M,$C:$C,$C807,$D:$D,$D807,$E:$E,"P0(전)"))</f>
        <v/>
      </c>
      <c r="Q807" s="48">
        <f>IF(COUNTIFS($C:$C,$C807,$D:$D,$D807,$E:$E,"P0(후)",$M:$M,"&gt;0")&lt;&gt;1,"",SUMIFS($I:$I,$C:$C,$C807,$D:$D,$D807,$E:$E,"P0(후)"))</f>
        <v/>
      </c>
      <c r="R807" s="31">
        <f>IF(COUNTIFS($C:$C,$C807,$D:$D,$D807,$E:$E,"P0(후)",$M:$M,"&gt;0")&lt;&gt;1,"",SUMIFS($M:$M,$C:$C,$C807,$D:$D,$D807,$E:$E,"P0(후)"))</f>
        <v/>
      </c>
      <c r="S807" s="31">
        <f>IF(N807&lt;&gt;"OK","",P807+(R807-P807)*(I807-O807)/(Q807-O807))</f>
        <v/>
      </c>
      <c r="T807" s="31">
        <f>IF(OR(N807&lt;&gt;"OK",NOT(ISNUMBER(M807))),"",M807-S807)</f>
        <v/>
      </c>
      <c r="U807" s="49">
        <f>IF(OR(NOT(ISNUMBER(T807)),IF(ISNUMBER(H807),H807,G807)=0),"",T807/IF(ISNUMBER(H807),H807,G807))</f>
        <v/>
      </c>
      <c r="V807" s="49">
        <f>IF(ISNUMBER(U807),ABS(U807),"")</f>
        <v/>
      </c>
      <c r="W807" s="49">
        <f>IF(OR($E806&lt;&gt;"측정",$C806&lt;&gt;$C807,$D806&lt;&gt;$D807,NOT(ISNUMBER(M807)),NOT(ISNUMBER(M806)),(IF(ISNUMBER(H807),H807,G807)-IF(ISNUMBER(H806),H806,G806))=0),"",(M807-M806)/(IF(ISNUMBER(H807),H807,G807)-IF(ISNUMBER(H806),H806,G806)))</f>
        <v/>
      </c>
      <c r="X807" s="31">
        <f>IF(NOT(AND(ISNUMBER(O807),ISNUMBER(Q807))),"",(Q807-O807)*1440)</f>
        <v/>
      </c>
      <c r="Y807" s="29" t="n"/>
      <c r="Z807" s="29" t="n"/>
      <c r="AA807" s="29" t="n"/>
      <c r="AB807" s="32" t="n"/>
      <c r="AC807" s="32" t="n"/>
    </row>
    <row r="808">
      <c r="A808" s="26" t="inlineStr">
        <is>
          <t>S16</t>
        </is>
      </c>
      <c r="B808" s="26" t="inlineStr">
        <is>
          <t>예천 신규점</t>
        </is>
      </c>
      <c r="C808" s="26" t="inlineStr">
        <is>
          <t>S16-H서</t>
        </is>
      </c>
      <c r="D808" s="47" t="n">
        <v>1</v>
      </c>
      <c r="E808" s="26" t="inlineStr">
        <is>
          <t>측정</t>
        </is>
      </c>
      <c r="F808" s="26" t="inlineStr">
        <is>
          <t>서</t>
        </is>
      </c>
      <c r="G808" s="31" t="n">
        <v>8</v>
      </c>
      <c r="H808" s="30" t="n"/>
      <c r="I808" s="43" t="n"/>
      <c r="J808" s="41" t="n"/>
      <c r="K808" s="41" t="n"/>
      <c r="L808" s="41" t="n"/>
      <c r="M808" s="31">
        <f>IF(COUNT(J808:L808)=0,"",MEDIAN(J808:L808))</f>
        <v/>
      </c>
      <c r="N808" s="26">
        <f>IF(COUNTIFS($C:$C,$C808,$D:$D,$D808,$E:$E,"P0(전)",$M:$M,"&gt;0")&lt;&gt;1,"P0(전) 유효 1개 아님",IF(COUNTIFS($C:$C,$C808,$D:$D,$D808,$E:$E,"P0(후)",$M:$M,"&gt;0")&lt;&gt;1,"P0(후) 유효 1개 아님",IF(NOT(AND(ISNUMBER(O808),ISNUMBER(Q808),ISNUMBER(I808))),"시각 결측",IF(Q808&lt;=O808,"P0 시각 역전",IF(OR(I808&lt;O808,I808&gt;Q808),"측정시각 구간 밖","OK")))))</f>
        <v/>
      </c>
      <c r="O808" s="48">
        <f>IF(COUNTIFS($C:$C,$C808,$D:$D,$D808,$E:$E,"P0(전)",$M:$M,"&gt;0")&lt;&gt;1,"",SUMIFS($I:$I,$C:$C,$C808,$D:$D,$D808,$E:$E,"P0(전)"))</f>
        <v/>
      </c>
      <c r="P808" s="31">
        <f>IF(COUNTIFS($C:$C,$C808,$D:$D,$D808,$E:$E,"P0(전)",$M:$M,"&gt;0")&lt;&gt;1,"",SUMIFS($M:$M,$C:$C,$C808,$D:$D,$D808,$E:$E,"P0(전)"))</f>
        <v/>
      </c>
      <c r="Q808" s="48">
        <f>IF(COUNTIFS($C:$C,$C808,$D:$D,$D808,$E:$E,"P0(후)",$M:$M,"&gt;0")&lt;&gt;1,"",SUMIFS($I:$I,$C:$C,$C808,$D:$D,$D808,$E:$E,"P0(후)"))</f>
        <v/>
      </c>
      <c r="R808" s="31">
        <f>IF(COUNTIFS($C:$C,$C808,$D:$D,$D808,$E:$E,"P0(후)",$M:$M,"&gt;0")&lt;&gt;1,"",SUMIFS($M:$M,$C:$C,$C808,$D:$D,$D808,$E:$E,"P0(후)"))</f>
        <v/>
      </c>
      <c r="S808" s="31">
        <f>IF(N808&lt;&gt;"OK","",P808+(R808-P808)*(I808-O808)/(Q808-O808))</f>
        <v/>
      </c>
      <c r="T808" s="31">
        <f>IF(OR(N808&lt;&gt;"OK",NOT(ISNUMBER(M808))),"",M808-S808)</f>
        <v/>
      </c>
      <c r="U808" s="49">
        <f>IF(OR(NOT(ISNUMBER(T808)),IF(ISNUMBER(H808),H808,G808)=0),"",T808/IF(ISNUMBER(H808),H808,G808))</f>
        <v/>
      </c>
      <c r="V808" s="49">
        <f>IF(ISNUMBER(U808),ABS(U808),"")</f>
        <v/>
      </c>
      <c r="W808" s="49">
        <f>IF(OR($E807&lt;&gt;"측정",$C807&lt;&gt;$C808,$D807&lt;&gt;$D808,NOT(ISNUMBER(M808)),NOT(ISNUMBER(M807)),(IF(ISNUMBER(H808),H808,G808)-IF(ISNUMBER(H807),H807,G807))=0),"",(M808-M807)/(IF(ISNUMBER(H808),H808,G808)-IF(ISNUMBER(H807),H807,G807)))</f>
        <v/>
      </c>
      <c r="X808" s="31">
        <f>IF(NOT(AND(ISNUMBER(O808),ISNUMBER(Q808))),"",(Q808-O808)*1440)</f>
        <v/>
      </c>
      <c r="Y808" s="29" t="n"/>
      <c r="Z808" s="29" t="n"/>
      <c r="AA808" s="29" t="n"/>
      <c r="AB808" s="32" t="n"/>
      <c r="AC808" s="32" t="n"/>
    </row>
    <row r="809">
      <c r="A809" s="26" t="inlineStr">
        <is>
          <t>S16</t>
        </is>
      </c>
      <c r="B809" s="26" t="inlineStr">
        <is>
          <t>예천 신규점</t>
        </is>
      </c>
      <c r="C809" s="26" t="inlineStr">
        <is>
          <t>S16-H서</t>
        </is>
      </c>
      <c r="D809" s="47" t="n">
        <v>1</v>
      </c>
      <c r="E809" s="26" t="inlineStr">
        <is>
          <t>측정</t>
        </is>
      </c>
      <c r="F809" s="26" t="inlineStr">
        <is>
          <t>서</t>
        </is>
      </c>
      <c r="G809" s="31" t="n">
        <v>9</v>
      </c>
      <c r="H809" s="30" t="n"/>
      <c r="I809" s="43" t="n"/>
      <c r="J809" s="41" t="n"/>
      <c r="K809" s="41" t="n"/>
      <c r="L809" s="41" t="n"/>
      <c r="M809" s="31">
        <f>IF(COUNT(J809:L809)=0,"",MEDIAN(J809:L809))</f>
        <v/>
      </c>
      <c r="N809" s="26">
        <f>IF(COUNTIFS($C:$C,$C809,$D:$D,$D809,$E:$E,"P0(전)",$M:$M,"&gt;0")&lt;&gt;1,"P0(전) 유효 1개 아님",IF(COUNTIFS($C:$C,$C809,$D:$D,$D809,$E:$E,"P0(후)",$M:$M,"&gt;0")&lt;&gt;1,"P0(후) 유효 1개 아님",IF(NOT(AND(ISNUMBER(O809),ISNUMBER(Q809),ISNUMBER(I809))),"시각 결측",IF(Q809&lt;=O809,"P0 시각 역전",IF(OR(I809&lt;O809,I809&gt;Q809),"측정시각 구간 밖","OK")))))</f>
        <v/>
      </c>
      <c r="O809" s="48">
        <f>IF(COUNTIFS($C:$C,$C809,$D:$D,$D809,$E:$E,"P0(전)",$M:$M,"&gt;0")&lt;&gt;1,"",SUMIFS($I:$I,$C:$C,$C809,$D:$D,$D809,$E:$E,"P0(전)"))</f>
        <v/>
      </c>
      <c r="P809" s="31">
        <f>IF(COUNTIFS($C:$C,$C809,$D:$D,$D809,$E:$E,"P0(전)",$M:$M,"&gt;0")&lt;&gt;1,"",SUMIFS($M:$M,$C:$C,$C809,$D:$D,$D809,$E:$E,"P0(전)"))</f>
        <v/>
      </c>
      <c r="Q809" s="48">
        <f>IF(COUNTIFS($C:$C,$C809,$D:$D,$D809,$E:$E,"P0(후)",$M:$M,"&gt;0")&lt;&gt;1,"",SUMIFS($I:$I,$C:$C,$C809,$D:$D,$D809,$E:$E,"P0(후)"))</f>
        <v/>
      </c>
      <c r="R809" s="31">
        <f>IF(COUNTIFS($C:$C,$C809,$D:$D,$D809,$E:$E,"P0(후)",$M:$M,"&gt;0")&lt;&gt;1,"",SUMIFS($M:$M,$C:$C,$C809,$D:$D,$D809,$E:$E,"P0(후)"))</f>
        <v/>
      </c>
      <c r="S809" s="31">
        <f>IF(N809&lt;&gt;"OK","",P809+(R809-P809)*(I809-O809)/(Q809-O809))</f>
        <v/>
      </c>
      <c r="T809" s="31">
        <f>IF(OR(N809&lt;&gt;"OK",NOT(ISNUMBER(M809))),"",M809-S809)</f>
        <v/>
      </c>
      <c r="U809" s="49">
        <f>IF(OR(NOT(ISNUMBER(T809)),IF(ISNUMBER(H809),H809,G809)=0),"",T809/IF(ISNUMBER(H809),H809,G809))</f>
        <v/>
      </c>
      <c r="V809" s="49">
        <f>IF(ISNUMBER(U809),ABS(U809),"")</f>
        <v/>
      </c>
      <c r="W809" s="49">
        <f>IF(OR($E808&lt;&gt;"측정",$C808&lt;&gt;$C809,$D808&lt;&gt;$D809,NOT(ISNUMBER(M809)),NOT(ISNUMBER(M808)),(IF(ISNUMBER(H809),H809,G809)-IF(ISNUMBER(H808),H808,G808))=0),"",(M809-M808)/(IF(ISNUMBER(H809),H809,G809)-IF(ISNUMBER(H808),H808,G808)))</f>
        <v/>
      </c>
      <c r="X809" s="31">
        <f>IF(NOT(AND(ISNUMBER(O809),ISNUMBER(Q809))),"",(Q809-O809)*1440)</f>
        <v/>
      </c>
      <c r="Y809" s="29" t="n"/>
      <c r="Z809" s="29" t="n"/>
      <c r="AA809" s="29" t="n"/>
      <c r="AB809" s="32" t="n"/>
      <c r="AC809" s="32" t="n"/>
    </row>
    <row r="810">
      <c r="A810" s="26" t="inlineStr">
        <is>
          <t>S16</t>
        </is>
      </c>
      <c r="B810" s="26" t="inlineStr">
        <is>
          <t>예천 신규점</t>
        </is>
      </c>
      <c r="C810" s="26" t="inlineStr">
        <is>
          <t>S16-H서</t>
        </is>
      </c>
      <c r="D810" s="47" t="n">
        <v>1</v>
      </c>
      <c r="E810" s="26" t="inlineStr">
        <is>
          <t>측정</t>
        </is>
      </c>
      <c r="F810" s="26" t="inlineStr">
        <is>
          <t>서</t>
        </is>
      </c>
      <c r="G810" s="31" t="n">
        <v>10</v>
      </c>
      <c r="H810" s="30" t="n"/>
      <c r="I810" s="43" t="n"/>
      <c r="J810" s="41" t="n"/>
      <c r="K810" s="41" t="n"/>
      <c r="L810" s="41" t="n"/>
      <c r="M810" s="31">
        <f>IF(COUNT(J810:L810)=0,"",MEDIAN(J810:L810))</f>
        <v/>
      </c>
      <c r="N810" s="26">
        <f>IF(COUNTIFS($C:$C,$C810,$D:$D,$D810,$E:$E,"P0(전)",$M:$M,"&gt;0")&lt;&gt;1,"P0(전) 유효 1개 아님",IF(COUNTIFS($C:$C,$C810,$D:$D,$D810,$E:$E,"P0(후)",$M:$M,"&gt;0")&lt;&gt;1,"P0(후) 유효 1개 아님",IF(NOT(AND(ISNUMBER(O810),ISNUMBER(Q810),ISNUMBER(I810))),"시각 결측",IF(Q810&lt;=O810,"P0 시각 역전",IF(OR(I810&lt;O810,I810&gt;Q810),"측정시각 구간 밖","OK")))))</f>
        <v/>
      </c>
      <c r="O810" s="48">
        <f>IF(COUNTIFS($C:$C,$C810,$D:$D,$D810,$E:$E,"P0(전)",$M:$M,"&gt;0")&lt;&gt;1,"",SUMIFS($I:$I,$C:$C,$C810,$D:$D,$D810,$E:$E,"P0(전)"))</f>
        <v/>
      </c>
      <c r="P810" s="31">
        <f>IF(COUNTIFS($C:$C,$C810,$D:$D,$D810,$E:$E,"P0(전)",$M:$M,"&gt;0")&lt;&gt;1,"",SUMIFS($M:$M,$C:$C,$C810,$D:$D,$D810,$E:$E,"P0(전)"))</f>
        <v/>
      </c>
      <c r="Q810" s="48">
        <f>IF(COUNTIFS($C:$C,$C810,$D:$D,$D810,$E:$E,"P0(후)",$M:$M,"&gt;0")&lt;&gt;1,"",SUMIFS($I:$I,$C:$C,$C810,$D:$D,$D810,$E:$E,"P0(후)"))</f>
        <v/>
      </c>
      <c r="R810" s="31">
        <f>IF(COUNTIFS($C:$C,$C810,$D:$D,$D810,$E:$E,"P0(후)",$M:$M,"&gt;0")&lt;&gt;1,"",SUMIFS($M:$M,$C:$C,$C810,$D:$D,$D810,$E:$E,"P0(후)"))</f>
        <v/>
      </c>
      <c r="S810" s="31">
        <f>IF(N810&lt;&gt;"OK","",P810+(R810-P810)*(I810-O810)/(Q810-O810))</f>
        <v/>
      </c>
      <c r="T810" s="31">
        <f>IF(OR(N810&lt;&gt;"OK",NOT(ISNUMBER(M810))),"",M810-S810)</f>
        <v/>
      </c>
      <c r="U810" s="49">
        <f>IF(OR(NOT(ISNUMBER(T810)),IF(ISNUMBER(H810),H810,G810)=0),"",T810/IF(ISNUMBER(H810),H810,G810))</f>
        <v/>
      </c>
      <c r="V810" s="49">
        <f>IF(ISNUMBER(U810),ABS(U810),"")</f>
        <v/>
      </c>
      <c r="W810" s="49">
        <f>IF(OR($E809&lt;&gt;"측정",$C809&lt;&gt;$C810,$D809&lt;&gt;$D810,NOT(ISNUMBER(M810)),NOT(ISNUMBER(M809)),(IF(ISNUMBER(H810),H810,G810)-IF(ISNUMBER(H809),H809,G809))=0),"",(M810-M809)/(IF(ISNUMBER(H810),H810,G810)-IF(ISNUMBER(H809),H809,G809)))</f>
        <v/>
      </c>
      <c r="X810" s="31">
        <f>IF(NOT(AND(ISNUMBER(O810),ISNUMBER(Q810))),"",(Q810-O810)*1440)</f>
        <v/>
      </c>
      <c r="Y810" s="29" t="n"/>
      <c r="Z810" s="29" t="n"/>
      <c r="AA810" s="29" t="n"/>
      <c r="AB810" s="32" t="n"/>
      <c r="AC810" s="32" t="n"/>
    </row>
    <row r="811">
      <c r="A811" s="44" t="inlineStr">
        <is>
          <t>S16</t>
        </is>
      </c>
      <c r="B811" s="44" t="inlineStr">
        <is>
          <t>예천 신규점</t>
        </is>
      </c>
      <c r="C811" s="44" t="inlineStr">
        <is>
          <t>S16-H서</t>
        </is>
      </c>
      <c r="D811" s="45" t="n">
        <v>1</v>
      </c>
      <c r="E811" s="44" t="inlineStr">
        <is>
          <t>P0(후)</t>
        </is>
      </c>
      <c r="F811" s="44" t="inlineStr">
        <is>
          <t>서</t>
        </is>
      </c>
      <c r="G811" s="46" t="n"/>
      <c r="H811" s="30" t="n"/>
      <c r="I811" s="43" t="n"/>
      <c r="J811" s="41" t="n"/>
      <c r="K811" s="41" t="n"/>
      <c r="L811" s="41" t="n"/>
      <c r="M811" s="31">
        <f>IF(COUNT(J811:L811)=0,"",MEDIAN(J811:L811))</f>
        <v/>
      </c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38" t="n"/>
      <c r="Y811" s="29" t="n"/>
      <c r="Z811" s="29" t="n"/>
      <c r="AA811" s="29" t="n"/>
      <c r="AB811" s="32" t="n"/>
      <c r="AC811" s="32" t="n"/>
    </row>
    <row r="812">
      <c r="A812" s="44" t="inlineStr">
        <is>
          <t>S16</t>
        </is>
      </c>
      <c r="B812" s="44" t="inlineStr">
        <is>
          <t>예천 신규점</t>
        </is>
      </c>
      <c r="C812" s="44" t="inlineStr">
        <is>
          <t>S16-H남</t>
        </is>
      </c>
      <c r="D812" s="45" t="n">
        <v>1</v>
      </c>
      <c r="E812" s="44" t="inlineStr">
        <is>
          <t>P0(전)</t>
        </is>
      </c>
      <c r="F812" s="44" t="inlineStr">
        <is>
          <t>남</t>
        </is>
      </c>
      <c r="G812" s="46" t="n"/>
      <c r="H812" s="30" t="n"/>
      <c r="I812" s="43" t="n"/>
      <c r="J812" s="41" t="n"/>
      <c r="K812" s="41" t="n"/>
      <c r="L812" s="41" t="n"/>
      <c r="M812" s="31">
        <f>IF(COUNT(J812:L812)=0,"",MEDIAN(J812:L812))</f>
        <v/>
      </c>
      <c r="N812" s="38" t="n"/>
      <c r="O812" s="38" t="n"/>
      <c r="P812" s="38" t="n"/>
      <c r="Q812" s="38" t="n"/>
      <c r="R812" s="38" t="n"/>
      <c r="S812" s="38" t="n"/>
      <c r="T812" s="38" t="n"/>
      <c r="U812" s="38" t="n"/>
      <c r="V812" s="38" t="n"/>
      <c r="W812" s="38" t="n"/>
      <c r="X812" s="38" t="n"/>
      <c r="Y812" s="29" t="n"/>
      <c r="Z812" s="29" t="n"/>
      <c r="AA812" s="29" t="n"/>
      <c r="AB812" s="32" t="n"/>
      <c r="AC812" s="32" t="n"/>
    </row>
    <row r="813">
      <c r="A813" s="26" t="inlineStr">
        <is>
          <t>S16</t>
        </is>
      </c>
      <c r="B813" s="26" t="inlineStr">
        <is>
          <t>예천 신규점</t>
        </is>
      </c>
      <c r="C813" s="26" t="inlineStr">
        <is>
          <t>S16-H남</t>
        </is>
      </c>
      <c r="D813" s="47" t="n">
        <v>1</v>
      </c>
      <c r="E813" s="26" t="inlineStr">
        <is>
          <t>측정</t>
        </is>
      </c>
      <c r="F813" s="26" t="inlineStr">
        <is>
          <t>남</t>
        </is>
      </c>
      <c r="G813" s="31" t="n">
        <v>0.5</v>
      </c>
      <c r="H813" s="30" t="n"/>
      <c r="I813" s="43" t="n"/>
      <c r="J813" s="41" t="n"/>
      <c r="K813" s="41" t="n"/>
      <c r="L813" s="41" t="n"/>
      <c r="M813" s="31">
        <f>IF(COUNT(J813:L813)=0,"",MEDIAN(J813:L813))</f>
        <v/>
      </c>
      <c r="N813" s="26">
        <f>IF(COUNTIFS($C:$C,$C813,$D:$D,$D813,$E:$E,"P0(전)",$M:$M,"&gt;0")&lt;&gt;1,"P0(전) 유효 1개 아님",IF(COUNTIFS($C:$C,$C813,$D:$D,$D813,$E:$E,"P0(후)",$M:$M,"&gt;0")&lt;&gt;1,"P0(후) 유효 1개 아님",IF(NOT(AND(ISNUMBER(O813),ISNUMBER(Q813),ISNUMBER(I813))),"시각 결측",IF(Q813&lt;=O813,"P0 시각 역전",IF(OR(I813&lt;O813,I813&gt;Q813),"측정시각 구간 밖","OK")))))</f>
        <v/>
      </c>
      <c r="O813" s="48">
        <f>IF(COUNTIFS($C:$C,$C813,$D:$D,$D813,$E:$E,"P0(전)",$M:$M,"&gt;0")&lt;&gt;1,"",SUMIFS($I:$I,$C:$C,$C813,$D:$D,$D813,$E:$E,"P0(전)"))</f>
        <v/>
      </c>
      <c r="P813" s="31">
        <f>IF(COUNTIFS($C:$C,$C813,$D:$D,$D813,$E:$E,"P0(전)",$M:$M,"&gt;0")&lt;&gt;1,"",SUMIFS($M:$M,$C:$C,$C813,$D:$D,$D813,$E:$E,"P0(전)"))</f>
        <v/>
      </c>
      <c r="Q813" s="48">
        <f>IF(COUNTIFS($C:$C,$C813,$D:$D,$D813,$E:$E,"P0(후)",$M:$M,"&gt;0")&lt;&gt;1,"",SUMIFS($I:$I,$C:$C,$C813,$D:$D,$D813,$E:$E,"P0(후)"))</f>
        <v/>
      </c>
      <c r="R813" s="31">
        <f>IF(COUNTIFS($C:$C,$C813,$D:$D,$D813,$E:$E,"P0(후)",$M:$M,"&gt;0")&lt;&gt;1,"",SUMIFS($M:$M,$C:$C,$C813,$D:$D,$D813,$E:$E,"P0(후)"))</f>
        <v/>
      </c>
      <c r="S813" s="31">
        <f>IF(N813&lt;&gt;"OK","",P813+(R813-P813)*(I813-O813)/(Q813-O813))</f>
        <v/>
      </c>
      <c r="T813" s="31">
        <f>IF(OR(N813&lt;&gt;"OK",NOT(ISNUMBER(M813))),"",M813-S813)</f>
        <v/>
      </c>
      <c r="U813" s="49">
        <f>IF(OR(NOT(ISNUMBER(T813)),IF(ISNUMBER(H813),H813,G813)=0),"",T813/IF(ISNUMBER(H813),H813,G813))</f>
        <v/>
      </c>
      <c r="V813" s="49">
        <f>IF(ISNUMBER(U813),ABS(U813),"")</f>
        <v/>
      </c>
      <c r="W813" s="49">
        <f>IF(OR($E812&lt;&gt;"측정",$C812&lt;&gt;$C813,$D812&lt;&gt;$D813,NOT(ISNUMBER(M813)),NOT(ISNUMBER(M812)),(IF(ISNUMBER(H813),H813,G813)-IF(ISNUMBER(H812),H812,G812))=0),"",(M813-M812)/(IF(ISNUMBER(H813),H813,G813)-IF(ISNUMBER(H812),H812,G812)))</f>
        <v/>
      </c>
      <c r="X813" s="31">
        <f>IF(NOT(AND(ISNUMBER(O813),ISNUMBER(Q813))),"",(Q813-O813)*1440)</f>
        <v/>
      </c>
      <c r="Y813" s="29" t="n"/>
      <c r="Z813" s="29" t="n"/>
      <c r="AA813" s="29" t="n"/>
      <c r="AB813" s="32" t="n"/>
      <c r="AC813" s="32" t="n"/>
    </row>
    <row r="814">
      <c r="A814" s="26" t="inlineStr">
        <is>
          <t>S16</t>
        </is>
      </c>
      <c r="B814" s="26" t="inlineStr">
        <is>
          <t>예천 신규점</t>
        </is>
      </c>
      <c r="C814" s="26" t="inlineStr">
        <is>
          <t>S16-H남</t>
        </is>
      </c>
      <c r="D814" s="47" t="n">
        <v>1</v>
      </c>
      <c r="E814" s="26" t="inlineStr">
        <is>
          <t>측정</t>
        </is>
      </c>
      <c r="F814" s="26" t="inlineStr">
        <is>
          <t>남</t>
        </is>
      </c>
      <c r="G814" s="31" t="n">
        <v>1</v>
      </c>
      <c r="H814" s="30" t="n"/>
      <c r="I814" s="43" t="n"/>
      <c r="J814" s="41" t="n"/>
      <c r="K814" s="41" t="n"/>
      <c r="L814" s="41" t="n"/>
      <c r="M814" s="31">
        <f>IF(COUNT(J814:L814)=0,"",MEDIAN(J814:L814))</f>
        <v/>
      </c>
      <c r="N814" s="26">
        <f>IF(COUNTIFS($C:$C,$C814,$D:$D,$D814,$E:$E,"P0(전)",$M:$M,"&gt;0")&lt;&gt;1,"P0(전) 유효 1개 아님",IF(COUNTIFS($C:$C,$C814,$D:$D,$D814,$E:$E,"P0(후)",$M:$M,"&gt;0")&lt;&gt;1,"P0(후) 유효 1개 아님",IF(NOT(AND(ISNUMBER(O814),ISNUMBER(Q814),ISNUMBER(I814))),"시각 결측",IF(Q814&lt;=O814,"P0 시각 역전",IF(OR(I814&lt;O814,I814&gt;Q814),"측정시각 구간 밖","OK")))))</f>
        <v/>
      </c>
      <c r="O814" s="48">
        <f>IF(COUNTIFS($C:$C,$C814,$D:$D,$D814,$E:$E,"P0(전)",$M:$M,"&gt;0")&lt;&gt;1,"",SUMIFS($I:$I,$C:$C,$C814,$D:$D,$D814,$E:$E,"P0(전)"))</f>
        <v/>
      </c>
      <c r="P814" s="31">
        <f>IF(COUNTIFS($C:$C,$C814,$D:$D,$D814,$E:$E,"P0(전)",$M:$M,"&gt;0")&lt;&gt;1,"",SUMIFS($M:$M,$C:$C,$C814,$D:$D,$D814,$E:$E,"P0(전)"))</f>
        <v/>
      </c>
      <c r="Q814" s="48">
        <f>IF(COUNTIFS($C:$C,$C814,$D:$D,$D814,$E:$E,"P0(후)",$M:$M,"&gt;0")&lt;&gt;1,"",SUMIFS($I:$I,$C:$C,$C814,$D:$D,$D814,$E:$E,"P0(후)"))</f>
        <v/>
      </c>
      <c r="R814" s="31">
        <f>IF(COUNTIFS($C:$C,$C814,$D:$D,$D814,$E:$E,"P0(후)",$M:$M,"&gt;0")&lt;&gt;1,"",SUMIFS($M:$M,$C:$C,$C814,$D:$D,$D814,$E:$E,"P0(후)"))</f>
        <v/>
      </c>
      <c r="S814" s="31">
        <f>IF(N814&lt;&gt;"OK","",P814+(R814-P814)*(I814-O814)/(Q814-O814))</f>
        <v/>
      </c>
      <c r="T814" s="31">
        <f>IF(OR(N814&lt;&gt;"OK",NOT(ISNUMBER(M814))),"",M814-S814)</f>
        <v/>
      </c>
      <c r="U814" s="49">
        <f>IF(OR(NOT(ISNUMBER(T814)),IF(ISNUMBER(H814),H814,G814)=0),"",T814/IF(ISNUMBER(H814),H814,G814))</f>
        <v/>
      </c>
      <c r="V814" s="49">
        <f>IF(ISNUMBER(U814),ABS(U814),"")</f>
        <v/>
      </c>
      <c r="W814" s="49">
        <f>IF(OR($E813&lt;&gt;"측정",$C813&lt;&gt;$C814,$D813&lt;&gt;$D814,NOT(ISNUMBER(M814)),NOT(ISNUMBER(M813)),(IF(ISNUMBER(H814),H814,G814)-IF(ISNUMBER(H813),H813,G813))=0),"",(M814-M813)/(IF(ISNUMBER(H814),H814,G814)-IF(ISNUMBER(H813),H813,G813)))</f>
        <v/>
      </c>
      <c r="X814" s="31">
        <f>IF(NOT(AND(ISNUMBER(O814),ISNUMBER(Q814))),"",(Q814-O814)*1440)</f>
        <v/>
      </c>
      <c r="Y814" s="29" t="n"/>
      <c r="Z814" s="29" t="n"/>
      <c r="AA814" s="29" t="n"/>
      <c r="AB814" s="32" t="n"/>
      <c r="AC814" s="32" t="n"/>
    </row>
    <row r="815">
      <c r="A815" s="26" t="inlineStr">
        <is>
          <t>S16</t>
        </is>
      </c>
      <c r="B815" s="26" t="inlineStr">
        <is>
          <t>예천 신규점</t>
        </is>
      </c>
      <c r="C815" s="26" t="inlineStr">
        <is>
          <t>S16-H남</t>
        </is>
      </c>
      <c r="D815" s="47" t="n">
        <v>1</v>
      </c>
      <c r="E815" s="26" t="inlineStr">
        <is>
          <t>측정</t>
        </is>
      </c>
      <c r="F815" s="26" t="inlineStr">
        <is>
          <t>남</t>
        </is>
      </c>
      <c r="G815" s="31" t="n">
        <v>2</v>
      </c>
      <c r="H815" s="30" t="n"/>
      <c r="I815" s="43" t="n"/>
      <c r="J815" s="41" t="n"/>
      <c r="K815" s="41" t="n"/>
      <c r="L815" s="41" t="n"/>
      <c r="M815" s="31">
        <f>IF(COUNT(J815:L815)=0,"",MEDIAN(J815:L815))</f>
        <v/>
      </c>
      <c r="N815" s="26">
        <f>IF(COUNTIFS($C:$C,$C815,$D:$D,$D815,$E:$E,"P0(전)",$M:$M,"&gt;0")&lt;&gt;1,"P0(전) 유효 1개 아님",IF(COUNTIFS($C:$C,$C815,$D:$D,$D815,$E:$E,"P0(후)",$M:$M,"&gt;0")&lt;&gt;1,"P0(후) 유효 1개 아님",IF(NOT(AND(ISNUMBER(O815),ISNUMBER(Q815),ISNUMBER(I815))),"시각 결측",IF(Q815&lt;=O815,"P0 시각 역전",IF(OR(I815&lt;O815,I815&gt;Q815),"측정시각 구간 밖","OK")))))</f>
        <v/>
      </c>
      <c r="O815" s="48">
        <f>IF(COUNTIFS($C:$C,$C815,$D:$D,$D815,$E:$E,"P0(전)",$M:$M,"&gt;0")&lt;&gt;1,"",SUMIFS($I:$I,$C:$C,$C815,$D:$D,$D815,$E:$E,"P0(전)"))</f>
        <v/>
      </c>
      <c r="P815" s="31">
        <f>IF(COUNTIFS($C:$C,$C815,$D:$D,$D815,$E:$E,"P0(전)",$M:$M,"&gt;0")&lt;&gt;1,"",SUMIFS($M:$M,$C:$C,$C815,$D:$D,$D815,$E:$E,"P0(전)"))</f>
        <v/>
      </c>
      <c r="Q815" s="48">
        <f>IF(COUNTIFS($C:$C,$C815,$D:$D,$D815,$E:$E,"P0(후)",$M:$M,"&gt;0")&lt;&gt;1,"",SUMIFS($I:$I,$C:$C,$C815,$D:$D,$D815,$E:$E,"P0(후)"))</f>
        <v/>
      </c>
      <c r="R815" s="31">
        <f>IF(COUNTIFS($C:$C,$C815,$D:$D,$D815,$E:$E,"P0(후)",$M:$M,"&gt;0")&lt;&gt;1,"",SUMIFS($M:$M,$C:$C,$C815,$D:$D,$D815,$E:$E,"P0(후)"))</f>
        <v/>
      </c>
      <c r="S815" s="31">
        <f>IF(N815&lt;&gt;"OK","",P815+(R815-P815)*(I815-O815)/(Q815-O815))</f>
        <v/>
      </c>
      <c r="T815" s="31">
        <f>IF(OR(N815&lt;&gt;"OK",NOT(ISNUMBER(M815))),"",M815-S815)</f>
        <v/>
      </c>
      <c r="U815" s="49">
        <f>IF(OR(NOT(ISNUMBER(T815)),IF(ISNUMBER(H815),H815,G815)=0),"",T815/IF(ISNUMBER(H815),H815,G815))</f>
        <v/>
      </c>
      <c r="V815" s="49">
        <f>IF(ISNUMBER(U815),ABS(U815),"")</f>
        <v/>
      </c>
      <c r="W815" s="49">
        <f>IF(OR($E814&lt;&gt;"측정",$C814&lt;&gt;$C815,$D814&lt;&gt;$D815,NOT(ISNUMBER(M815)),NOT(ISNUMBER(M814)),(IF(ISNUMBER(H815),H815,G815)-IF(ISNUMBER(H814),H814,G814))=0),"",(M815-M814)/(IF(ISNUMBER(H815),H815,G815)-IF(ISNUMBER(H814),H814,G814)))</f>
        <v/>
      </c>
      <c r="X815" s="31">
        <f>IF(NOT(AND(ISNUMBER(O815),ISNUMBER(Q815))),"",(Q815-O815)*1440)</f>
        <v/>
      </c>
      <c r="Y815" s="29" t="n"/>
      <c r="Z815" s="29" t="n"/>
      <c r="AA815" s="29" t="n"/>
      <c r="AB815" s="32" t="n"/>
      <c r="AC815" s="32" t="n"/>
    </row>
    <row r="816">
      <c r="A816" s="26" t="inlineStr">
        <is>
          <t>S16</t>
        </is>
      </c>
      <c r="B816" s="26" t="inlineStr">
        <is>
          <t>예천 신규점</t>
        </is>
      </c>
      <c r="C816" s="26" t="inlineStr">
        <is>
          <t>S16-H남</t>
        </is>
      </c>
      <c r="D816" s="47" t="n">
        <v>1</v>
      </c>
      <c r="E816" s="26" t="inlineStr">
        <is>
          <t>측정</t>
        </is>
      </c>
      <c r="F816" s="26" t="inlineStr">
        <is>
          <t>남</t>
        </is>
      </c>
      <c r="G816" s="31" t="n">
        <v>3</v>
      </c>
      <c r="H816" s="30" t="n"/>
      <c r="I816" s="43" t="n"/>
      <c r="J816" s="41" t="n"/>
      <c r="K816" s="41" t="n"/>
      <c r="L816" s="41" t="n"/>
      <c r="M816" s="31">
        <f>IF(COUNT(J816:L816)=0,"",MEDIAN(J816:L816))</f>
        <v/>
      </c>
      <c r="N816" s="26">
        <f>IF(COUNTIFS($C:$C,$C816,$D:$D,$D816,$E:$E,"P0(전)",$M:$M,"&gt;0")&lt;&gt;1,"P0(전) 유효 1개 아님",IF(COUNTIFS($C:$C,$C816,$D:$D,$D816,$E:$E,"P0(후)",$M:$M,"&gt;0")&lt;&gt;1,"P0(후) 유효 1개 아님",IF(NOT(AND(ISNUMBER(O816),ISNUMBER(Q816),ISNUMBER(I816))),"시각 결측",IF(Q816&lt;=O816,"P0 시각 역전",IF(OR(I816&lt;O816,I816&gt;Q816),"측정시각 구간 밖","OK")))))</f>
        <v/>
      </c>
      <c r="O816" s="48">
        <f>IF(COUNTIFS($C:$C,$C816,$D:$D,$D816,$E:$E,"P0(전)",$M:$M,"&gt;0")&lt;&gt;1,"",SUMIFS($I:$I,$C:$C,$C816,$D:$D,$D816,$E:$E,"P0(전)"))</f>
        <v/>
      </c>
      <c r="P816" s="31">
        <f>IF(COUNTIFS($C:$C,$C816,$D:$D,$D816,$E:$E,"P0(전)",$M:$M,"&gt;0")&lt;&gt;1,"",SUMIFS($M:$M,$C:$C,$C816,$D:$D,$D816,$E:$E,"P0(전)"))</f>
        <v/>
      </c>
      <c r="Q816" s="48">
        <f>IF(COUNTIFS($C:$C,$C816,$D:$D,$D816,$E:$E,"P0(후)",$M:$M,"&gt;0")&lt;&gt;1,"",SUMIFS($I:$I,$C:$C,$C816,$D:$D,$D816,$E:$E,"P0(후)"))</f>
        <v/>
      </c>
      <c r="R816" s="31">
        <f>IF(COUNTIFS($C:$C,$C816,$D:$D,$D816,$E:$E,"P0(후)",$M:$M,"&gt;0")&lt;&gt;1,"",SUMIFS($M:$M,$C:$C,$C816,$D:$D,$D816,$E:$E,"P0(후)"))</f>
        <v/>
      </c>
      <c r="S816" s="31">
        <f>IF(N816&lt;&gt;"OK","",P816+(R816-P816)*(I816-O816)/(Q816-O816))</f>
        <v/>
      </c>
      <c r="T816" s="31">
        <f>IF(OR(N816&lt;&gt;"OK",NOT(ISNUMBER(M816))),"",M816-S816)</f>
        <v/>
      </c>
      <c r="U816" s="49">
        <f>IF(OR(NOT(ISNUMBER(T816)),IF(ISNUMBER(H816),H816,G816)=0),"",T816/IF(ISNUMBER(H816),H816,G816))</f>
        <v/>
      </c>
      <c r="V816" s="49">
        <f>IF(ISNUMBER(U816),ABS(U816),"")</f>
        <v/>
      </c>
      <c r="W816" s="49">
        <f>IF(OR($E815&lt;&gt;"측정",$C815&lt;&gt;$C816,$D815&lt;&gt;$D816,NOT(ISNUMBER(M816)),NOT(ISNUMBER(M815)),(IF(ISNUMBER(H816),H816,G816)-IF(ISNUMBER(H815),H815,G815))=0),"",(M816-M815)/(IF(ISNUMBER(H816),H816,G816)-IF(ISNUMBER(H815),H815,G815)))</f>
        <v/>
      </c>
      <c r="X816" s="31">
        <f>IF(NOT(AND(ISNUMBER(O816),ISNUMBER(Q816))),"",(Q816-O816)*1440)</f>
        <v/>
      </c>
      <c r="Y816" s="29" t="n"/>
      <c r="Z816" s="29" t="n"/>
      <c r="AA816" s="29" t="n"/>
      <c r="AB816" s="32" t="n"/>
      <c r="AC816" s="32" t="n"/>
    </row>
    <row r="817">
      <c r="A817" s="26" t="inlineStr">
        <is>
          <t>S16</t>
        </is>
      </c>
      <c r="B817" s="26" t="inlineStr">
        <is>
          <t>예천 신규점</t>
        </is>
      </c>
      <c r="C817" s="26" t="inlineStr">
        <is>
          <t>S16-H남</t>
        </is>
      </c>
      <c r="D817" s="47" t="n">
        <v>1</v>
      </c>
      <c r="E817" s="26" t="inlineStr">
        <is>
          <t>측정</t>
        </is>
      </c>
      <c r="F817" s="26" t="inlineStr">
        <is>
          <t>남</t>
        </is>
      </c>
      <c r="G817" s="31" t="n">
        <v>4</v>
      </c>
      <c r="H817" s="30" t="n"/>
      <c r="I817" s="43" t="n"/>
      <c r="J817" s="41" t="n"/>
      <c r="K817" s="41" t="n"/>
      <c r="L817" s="41" t="n"/>
      <c r="M817" s="31">
        <f>IF(COUNT(J817:L817)=0,"",MEDIAN(J817:L817))</f>
        <v/>
      </c>
      <c r="N817" s="26">
        <f>IF(COUNTIFS($C:$C,$C817,$D:$D,$D817,$E:$E,"P0(전)",$M:$M,"&gt;0")&lt;&gt;1,"P0(전) 유효 1개 아님",IF(COUNTIFS($C:$C,$C817,$D:$D,$D817,$E:$E,"P0(후)",$M:$M,"&gt;0")&lt;&gt;1,"P0(후) 유효 1개 아님",IF(NOT(AND(ISNUMBER(O817),ISNUMBER(Q817),ISNUMBER(I817))),"시각 결측",IF(Q817&lt;=O817,"P0 시각 역전",IF(OR(I817&lt;O817,I817&gt;Q817),"측정시각 구간 밖","OK")))))</f>
        <v/>
      </c>
      <c r="O817" s="48">
        <f>IF(COUNTIFS($C:$C,$C817,$D:$D,$D817,$E:$E,"P0(전)",$M:$M,"&gt;0")&lt;&gt;1,"",SUMIFS($I:$I,$C:$C,$C817,$D:$D,$D817,$E:$E,"P0(전)"))</f>
        <v/>
      </c>
      <c r="P817" s="31">
        <f>IF(COUNTIFS($C:$C,$C817,$D:$D,$D817,$E:$E,"P0(전)",$M:$M,"&gt;0")&lt;&gt;1,"",SUMIFS($M:$M,$C:$C,$C817,$D:$D,$D817,$E:$E,"P0(전)"))</f>
        <v/>
      </c>
      <c r="Q817" s="48">
        <f>IF(COUNTIFS($C:$C,$C817,$D:$D,$D817,$E:$E,"P0(후)",$M:$M,"&gt;0")&lt;&gt;1,"",SUMIFS($I:$I,$C:$C,$C817,$D:$D,$D817,$E:$E,"P0(후)"))</f>
        <v/>
      </c>
      <c r="R817" s="31">
        <f>IF(COUNTIFS($C:$C,$C817,$D:$D,$D817,$E:$E,"P0(후)",$M:$M,"&gt;0")&lt;&gt;1,"",SUMIFS($M:$M,$C:$C,$C817,$D:$D,$D817,$E:$E,"P0(후)"))</f>
        <v/>
      </c>
      <c r="S817" s="31">
        <f>IF(N817&lt;&gt;"OK","",P817+(R817-P817)*(I817-O817)/(Q817-O817))</f>
        <v/>
      </c>
      <c r="T817" s="31">
        <f>IF(OR(N817&lt;&gt;"OK",NOT(ISNUMBER(M817))),"",M817-S817)</f>
        <v/>
      </c>
      <c r="U817" s="49">
        <f>IF(OR(NOT(ISNUMBER(T817)),IF(ISNUMBER(H817),H817,G817)=0),"",T817/IF(ISNUMBER(H817),H817,G817))</f>
        <v/>
      </c>
      <c r="V817" s="49">
        <f>IF(ISNUMBER(U817),ABS(U817),"")</f>
        <v/>
      </c>
      <c r="W817" s="49">
        <f>IF(OR($E816&lt;&gt;"측정",$C816&lt;&gt;$C817,$D816&lt;&gt;$D817,NOT(ISNUMBER(M817)),NOT(ISNUMBER(M816)),(IF(ISNUMBER(H817),H817,G817)-IF(ISNUMBER(H816),H816,G816))=0),"",(M817-M816)/(IF(ISNUMBER(H817),H817,G817)-IF(ISNUMBER(H816),H816,G816)))</f>
        <v/>
      </c>
      <c r="X817" s="31">
        <f>IF(NOT(AND(ISNUMBER(O817),ISNUMBER(Q817))),"",(Q817-O817)*1440)</f>
        <v/>
      </c>
      <c r="Y817" s="29" t="n"/>
      <c r="Z817" s="29" t="n"/>
      <c r="AA817" s="29" t="n"/>
      <c r="AB817" s="32" t="n"/>
      <c r="AC817" s="32" t="n"/>
    </row>
    <row r="818">
      <c r="A818" s="26" t="inlineStr">
        <is>
          <t>S16</t>
        </is>
      </c>
      <c r="B818" s="26" t="inlineStr">
        <is>
          <t>예천 신규점</t>
        </is>
      </c>
      <c r="C818" s="26" t="inlineStr">
        <is>
          <t>S16-H남</t>
        </is>
      </c>
      <c r="D818" s="47" t="n">
        <v>1</v>
      </c>
      <c r="E818" s="26" t="inlineStr">
        <is>
          <t>측정</t>
        </is>
      </c>
      <c r="F818" s="26" t="inlineStr">
        <is>
          <t>남</t>
        </is>
      </c>
      <c r="G818" s="31" t="n">
        <v>5</v>
      </c>
      <c r="H818" s="30" t="n"/>
      <c r="I818" s="43" t="n"/>
      <c r="J818" s="41" t="n"/>
      <c r="K818" s="41" t="n"/>
      <c r="L818" s="41" t="n"/>
      <c r="M818" s="31">
        <f>IF(COUNT(J818:L818)=0,"",MEDIAN(J818:L818))</f>
        <v/>
      </c>
      <c r="N818" s="26">
        <f>IF(COUNTIFS($C:$C,$C818,$D:$D,$D818,$E:$E,"P0(전)",$M:$M,"&gt;0")&lt;&gt;1,"P0(전) 유효 1개 아님",IF(COUNTIFS($C:$C,$C818,$D:$D,$D818,$E:$E,"P0(후)",$M:$M,"&gt;0")&lt;&gt;1,"P0(후) 유효 1개 아님",IF(NOT(AND(ISNUMBER(O818),ISNUMBER(Q818),ISNUMBER(I818))),"시각 결측",IF(Q818&lt;=O818,"P0 시각 역전",IF(OR(I818&lt;O818,I818&gt;Q818),"측정시각 구간 밖","OK")))))</f>
        <v/>
      </c>
      <c r="O818" s="48">
        <f>IF(COUNTIFS($C:$C,$C818,$D:$D,$D818,$E:$E,"P0(전)",$M:$M,"&gt;0")&lt;&gt;1,"",SUMIFS($I:$I,$C:$C,$C818,$D:$D,$D818,$E:$E,"P0(전)"))</f>
        <v/>
      </c>
      <c r="P818" s="31">
        <f>IF(COUNTIFS($C:$C,$C818,$D:$D,$D818,$E:$E,"P0(전)",$M:$M,"&gt;0")&lt;&gt;1,"",SUMIFS($M:$M,$C:$C,$C818,$D:$D,$D818,$E:$E,"P0(전)"))</f>
        <v/>
      </c>
      <c r="Q818" s="48">
        <f>IF(COUNTIFS($C:$C,$C818,$D:$D,$D818,$E:$E,"P0(후)",$M:$M,"&gt;0")&lt;&gt;1,"",SUMIFS($I:$I,$C:$C,$C818,$D:$D,$D818,$E:$E,"P0(후)"))</f>
        <v/>
      </c>
      <c r="R818" s="31">
        <f>IF(COUNTIFS($C:$C,$C818,$D:$D,$D818,$E:$E,"P0(후)",$M:$M,"&gt;0")&lt;&gt;1,"",SUMIFS($M:$M,$C:$C,$C818,$D:$D,$D818,$E:$E,"P0(후)"))</f>
        <v/>
      </c>
      <c r="S818" s="31">
        <f>IF(N818&lt;&gt;"OK","",P818+(R818-P818)*(I818-O818)/(Q818-O818))</f>
        <v/>
      </c>
      <c r="T818" s="31">
        <f>IF(OR(N818&lt;&gt;"OK",NOT(ISNUMBER(M818))),"",M818-S818)</f>
        <v/>
      </c>
      <c r="U818" s="49">
        <f>IF(OR(NOT(ISNUMBER(T818)),IF(ISNUMBER(H818),H818,G818)=0),"",T818/IF(ISNUMBER(H818),H818,G818))</f>
        <v/>
      </c>
      <c r="V818" s="49">
        <f>IF(ISNUMBER(U818),ABS(U818),"")</f>
        <v/>
      </c>
      <c r="W818" s="49">
        <f>IF(OR($E817&lt;&gt;"측정",$C817&lt;&gt;$C818,$D817&lt;&gt;$D818,NOT(ISNUMBER(M818)),NOT(ISNUMBER(M817)),(IF(ISNUMBER(H818),H818,G818)-IF(ISNUMBER(H817),H817,G817))=0),"",(M818-M817)/(IF(ISNUMBER(H818),H818,G818)-IF(ISNUMBER(H817),H817,G817)))</f>
        <v/>
      </c>
      <c r="X818" s="31">
        <f>IF(NOT(AND(ISNUMBER(O818),ISNUMBER(Q818))),"",(Q818-O818)*1440)</f>
        <v/>
      </c>
      <c r="Y818" s="29" t="n"/>
      <c r="Z818" s="29" t="n"/>
      <c r="AA818" s="29" t="n"/>
      <c r="AB818" s="32" t="n"/>
      <c r="AC818" s="32" t="n"/>
    </row>
    <row r="819">
      <c r="A819" s="26" t="inlineStr">
        <is>
          <t>S16</t>
        </is>
      </c>
      <c r="B819" s="26" t="inlineStr">
        <is>
          <t>예천 신규점</t>
        </is>
      </c>
      <c r="C819" s="26" t="inlineStr">
        <is>
          <t>S16-H남</t>
        </is>
      </c>
      <c r="D819" s="47" t="n">
        <v>1</v>
      </c>
      <c r="E819" s="26" t="inlineStr">
        <is>
          <t>측정</t>
        </is>
      </c>
      <c r="F819" s="26" t="inlineStr">
        <is>
          <t>남</t>
        </is>
      </c>
      <c r="G819" s="31" t="n">
        <v>6</v>
      </c>
      <c r="H819" s="30" t="n"/>
      <c r="I819" s="43" t="n"/>
      <c r="J819" s="41" t="n"/>
      <c r="K819" s="41" t="n"/>
      <c r="L819" s="41" t="n"/>
      <c r="M819" s="31">
        <f>IF(COUNT(J819:L819)=0,"",MEDIAN(J819:L819))</f>
        <v/>
      </c>
      <c r="N819" s="26">
        <f>IF(COUNTIFS($C:$C,$C819,$D:$D,$D819,$E:$E,"P0(전)",$M:$M,"&gt;0")&lt;&gt;1,"P0(전) 유효 1개 아님",IF(COUNTIFS($C:$C,$C819,$D:$D,$D819,$E:$E,"P0(후)",$M:$M,"&gt;0")&lt;&gt;1,"P0(후) 유효 1개 아님",IF(NOT(AND(ISNUMBER(O819),ISNUMBER(Q819),ISNUMBER(I819))),"시각 결측",IF(Q819&lt;=O819,"P0 시각 역전",IF(OR(I819&lt;O819,I819&gt;Q819),"측정시각 구간 밖","OK")))))</f>
        <v/>
      </c>
      <c r="O819" s="48">
        <f>IF(COUNTIFS($C:$C,$C819,$D:$D,$D819,$E:$E,"P0(전)",$M:$M,"&gt;0")&lt;&gt;1,"",SUMIFS($I:$I,$C:$C,$C819,$D:$D,$D819,$E:$E,"P0(전)"))</f>
        <v/>
      </c>
      <c r="P819" s="31">
        <f>IF(COUNTIFS($C:$C,$C819,$D:$D,$D819,$E:$E,"P0(전)",$M:$M,"&gt;0")&lt;&gt;1,"",SUMIFS($M:$M,$C:$C,$C819,$D:$D,$D819,$E:$E,"P0(전)"))</f>
        <v/>
      </c>
      <c r="Q819" s="48">
        <f>IF(COUNTIFS($C:$C,$C819,$D:$D,$D819,$E:$E,"P0(후)",$M:$M,"&gt;0")&lt;&gt;1,"",SUMIFS($I:$I,$C:$C,$C819,$D:$D,$D819,$E:$E,"P0(후)"))</f>
        <v/>
      </c>
      <c r="R819" s="31">
        <f>IF(COUNTIFS($C:$C,$C819,$D:$D,$D819,$E:$E,"P0(후)",$M:$M,"&gt;0")&lt;&gt;1,"",SUMIFS($M:$M,$C:$C,$C819,$D:$D,$D819,$E:$E,"P0(후)"))</f>
        <v/>
      </c>
      <c r="S819" s="31">
        <f>IF(N819&lt;&gt;"OK","",P819+(R819-P819)*(I819-O819)/(Q819-O819))</f>
        <v/>
      </c>
      <c r="T819" s="31">
        <f>IF(OR(N819&lt;&gt;"OK",NOT(ISNUMBER(M819))),"",M819-S819)</f>
        <v/>
      </c>
      <c r="U819" s="49">
        <f>IF(OR(NOT(ISNUMBER(T819)),IF(ISNUMBER(H819),H819,G819)=0),"",T819/IF(ISNUMBER(H819),H819,G819))</f>
        <v/>
      </c>
      <c r="V819" s="49">
        <f>IF(ISNUMBER(U819),ABS(U819),"")</f>
        <v/>
      </c>
      <c r="W819" s="49">
        <f>IF(OR($E818&lt;&gt;"측정",$C818&lt;&gt;$C819,$D818&lt;&gt;$D819,NOT(ISNUMBER(M819)),NOT(ISNUMBER(M818)),(IF(ISNUMBER(H819),H819,G819)-IF(ISNUMBER(H818),H818,G818))=0),"",(M819-M818)/(IF(ISNUMBER(H819),H819,G819)-IF(ISNUMBER(H818),H818,G818)))</f>
        <v/>
      </c>
      <c r="X819" s="31">
        <f>IF(NOT(AND(ISNUMBER(O819),ISNUMBER(Q819))),"",(Q819-O819)*1440)</f>
        <v/>
      </c>
      <c r="Y819" s="29" t="n"/>
      <c r="Z819" s="29" t="n"/>
      <c r="AA819" s="29" t="n"/>
      <c r="AB819" s="32" t="n"/>
      <c r="AC819" s="32" t="n"/>
    </row>
    <row r="820">
      <c r="A820" s="26" t="inlineStr">
        <is>
          <t>S16</t>
        </is>
      </c>
      <c r="B820" s="26" t="inlineStr">
        <is>
          <t>예천 신규점</t>
        </is>
      </c>
      <c r="C820" s="26" t="inlineStr">
        <is>
          <t>S16-H남</t>
        </is>
      </c>
      <c r="D820" s="47" t="n">
        <v>1</v>
      </c>
      <c r="E820" s="26" t="inlineStr">
        <is>
          <t>측정</t>
        </is>
      </c>
      <c r="F820" s="26" t="inlineStr">
        <is>
          <t>남</t>
        </is>
      </c>
      <c r="G820" s="31" t="n">
        <v>7</v>
      </c>
      <c r="H820" s="30" t="n"/>
      <c r="I820" s="43" t="n"/>
      <c r="J820" s="41" t="n"/>
      <c r="K820" s="41" t="n"/>
      <c r="L820" s="41" t="n"/>
      <c r="M820" s="31">
        <f>IF(COUNT(J820:L820)=0,"",MEDIAN(J820:L820))</f>
        <v/>
      </c>
      <c r="N820" s="26">
        <f>IF(COUNTIFS($C:$C,$C820,$D:$D,$D820,$E:$E,"P0(전)",$M:$M,"&gt;0")&lt;&gt;1,"P0(전) 유효 1개 아님",IF(COUNTIFS($C:$C,$C820,$D:$D,$D820,$E:$E,"P0(후)",$M:$M,"&gt;0")&lt;&gt;1,"P0(후) 유효 1개 아님",IF(NOT(AND(ISNUMBER(O820),ISNUMBER(Q820),ISNUMBER(I820))),"시각 결측",IF(Q820&lt;=O820,"P0 시각 역전",IF(OR(I820&lt;O820,I820&gt;Q820),"측정시각 구간 밖","OK")))))</f>
        <v/>
      </c>
      <c r="O820" s="48">
        <f>IF(COUNTIFS($C:$C,$C820,$D:$D,$D820,$E:$E,"P0(전)",$M:$M,"&gt;0")&lt;&gt;1,"",SUMIFS($I:$I,$C:$C,$C820,$D:$D,$D820,$E:$E,"P0(전)"))</f>
        <v/>
      </c>
      <c r="P820" s="31">
        <f>IF(COUNTIFS($C:$C,$C820,$D:$D,$D820,$E:$E,"P0(전)",$M:$M,"&gt;0")&lt;&gt;1,"",SUMIFS($M:$M,$C:$C,$C820,$D:$D,$D820,$E:$E,"P0(전)"))</f>
        <v/>
      </c>
      <c r="Q820" s="48">
        <f>IF(COUNTIFS($C:$C,$C820,$D:$D,$D820,$E:$E,"P0(후)",$M:$M,"&gt;0")&lt;&gt;1,"",SUMIFS($I:$I,$C:$C,$C820,$D:$D,$D820,$E:$E,"P0(후)"))</f>
        <v/>
      </c>
      <c r="R820" s="31">
        <f>IF(COUNTIFS($C:$C,$C820,$D:$D,$D820,$E:$E,"P0(후)",$M:$M,"&gt;0")&lt;&gt;1,"",SUMIFS($M:$M,$C:$C,$C820,$D:$D,$D820,$E:$E,"P0(후)"))</f>
        <v/>
      </c>
      <c r="S820" s="31">
        <f>IF(N820&lt;&gt;"OK","",P820+(R820-P820)*(I820-O820)/(Q820-O820))</f>
        <v/>
      </c>
      <c r="T820" s="31">
        <f>IF(OR(N820&lt;&gt;"OK",NOT(ISNUMBER(M820))),"",M820-S820)</f>
        <v/>
      </c>
      <c r="U820" s="49">
        <f>IF(OR(NOT(ISNUMBER(T820)),IF(ISNUMBER(H820),H820,G820)=0),"",T820/IF(ISNUMBER(H820),H820,G820))</f>
        <v/>
      </c>
      <c r="V820" s="49">
        <f>IF(ISNUMBER(U820),ABS(U820),"")</f>
        <v/>
      </c>
      <c r="W820" s="49">
        <f>IF(OR($E819&lt;&gt;"측정",$C819&lt;&gt;$C820,$D819&lt;&gt;$D820,NOT(ISNUMBER(M820)),NOT(ISNUMBER(M819)),(IF(ISNUMBER(H820),H820,G820)-IF(ISNUMBER(H819),H819,G819))=0),"",(M820-M819)/(IF(ISNUMBER(H820),H820,G820)-IF(ISNUMBER(H819),H819,G819)))</f>
        <v/>
      </c>
      <c r="X820" s="31">
        <f>IF(NOT(AND(ISNUMBER(O820),ISNUMBER(Q820))),"",(Q820-O820)*1440)</f>
        <v/>
      </c>
      <c r="Y820" s="29" t="n"/>
      <c r="Z820" s="29" t="n"/>
      <c r="AA820" s="29" t="n"/>
      <c r="AB820" s="32" t="n"/>
      <c r="AC820" s="32" t="n"/>
    </row>
    <row r="821">
      <c r="A821" s="26" t="inlineStr">
        <is>
          <t>S16</t>
        </is>
      </c>
      <c r="B821" s="26" t="inlineStr">
        <is>
          <t>예천 신규점</t>
        </is>
      </c>
      <c r="C821" s="26" t="inlineStr">
        <is>
          <t>S16-H남</t>
        </is>
      </c>
      <c r="D821" s="47" t="n">
        <v>1</v>
      </c>
      <c r="E821" s="26" t="inlineStr">
        <is>
          <t>측정</t>
        </is>
      </c>
      <c r="F821" s="26" t="inlineStr">
        <is>
          <t>남</t>
        </is>
      </c>
      <c r="G821" s="31" t="n">
        <v>8</v>
      </c>
      <c r="H821" s="30" t="n"/>
      <c r="I821" s="43" t="n"/>
      <c r="J821" s="41" t="n"/>
      <c r="K821" s="41" t="n"/>
      <c r="L821" s="41" t="n"/>
      <c r="M821" s="31">
        <f>IF(COUNT(J821:L821)=0,"",MEDIAN(J821:L821))</f>
        <v/>
      </c>
      <c r="N821" s="26">
        <f>IF(COUNTIFS($C:$C,$C821,$D:$D,$D821,$E:$E,"P0(전)",$M:$M,"&gt;0")&lt;&gt;1,"P0(전) 유효 1개 아님",IF(COUNTIFS($C:$C,$C821,$D:$D,$D821,$E:$E,"P0(후)",$M:$M,"&gt;0")&lt;&gt;1,"P0(후) 유효 1개 아님",IF(NOT(AND(ISNUMBER(O821),ISNUMBER(Q821),ISNUMBER(I821))),"시각 결측",IF(Q821&lt;=O821,"P0 시각 역전",IF(OR(I821&lt;O821,I821&gt;Q821),"측정시각 구간 밖","OK")))))</f>
        <v/>
      </c>
      <c r="O821" s="48">
        <f>IF(COUNTIFS($C:$C,$C821,$D:$D,$D821,$E:$E,"P0(전)",$M:$M,"&gt;0")&lt;&gt;1,"",SUMIFS($I:$I,$C:$C,$C821,$D:$D,$D821,$E:$E,"P0(전)"))</f>
        <v/>
      </c>
      <c r="P821" s="31">
        <f>IF(COUNTIFS($C:$C,$C821,$D:$D,$D821,$E:$E,"P0(전)",$M:$M,"&gt;0")&lt;&gt;1,"",SUMIFS($M:$M,$C:$C,$C821,$D:$D,$D821,$E:$E,"P0(전)"))</f>
        <v/>
      </c>
      <c r="Q821" s="48">
        <f>IF(COUNTIFS($C:$C,$C821,$D:$D,$D821,$E:$E,"P0(후)",$M:$M,"&gt;0")&lt;&gt;1,"",SUMIFS($I:$I,$C:$C,$C821,$D:$D,$D821,$E:$E,"P0(후)"))</f>
        <v/>
      </c>
      <c r="R821" s="31">
        <f>IF(COUNTIFS($C:$C,$C821,$D:$D,$D821,$E:$E,"P0(후)",$M:$M,"&gt;0")&lt;&gt;1,"",SUMIFS($M:$M,$C:$C,$C821,$D:$D,$D821,$E:$E,"P0(후)"))</f>
        <v/>
      </c>
      <c r="S821" s="31">
        <f>IF(N821&lt;&gt;"OK","",P821+(R821-P821)*(I821-O821)/(Q821-O821))</f>
        <v/>
      </c>
      <c r="T821" s="31">
        <f>IF(OR(N821&lt;&gt;"OK",NOT(ISNUMBER(M821))),"",M821-S821)</f>
        <v/>
      </c>
      <c r="U821" s="49">
        <f>IF(OR(NOT(ISNUMBER(T821)),IF(ISNUMBER(H821),H821,G821)=0),"",T821/IF(ISNUMBER(H821),H821,G821))</f>
        <v/>
      </c>
      <c r="V821" s="49">
        <f>IF(ISNUMBER(U821),ABS(U821),"")</f>
        <v/>
      </c>
      <c r="W821" s="49">
        <f>IF(OR($E820&lt;&gt;"측정",$C820&lt;&gt;$C821,$D820&lt;&gt;$D821,NOT(ISNUMBER(M821)),NOT(ISNUMBER(M820)),(IF(ISNUMBER(H821),H821,G821)-IF(ISNUMBER(H820),H820,G820))=0),"",(M821-M820)/(IF(ISNUMBER(H821),H821,G821)-IF(ISNUMBER(H820),H820,G820)))</f>
        <v/>
      </c>
      <c r="X821" s="31">
        <f>IF(NOT(AND(ISNUMBER(O821),ISNUMBER(Q821))),"",(Q821-O821)*1440)</f>
        <v/>
      </c>
      <c r="Y821" s="29" t="n"/>
      <c r="Z821" s="29" t="n"/>
      <c r="AA821" s="29" t="n"/>
      <c r="AB821" s="32" t="n"/>
      <c r="AC821" s="32" t="n"/>
    </row>
    <row r="822">
      <c r="A822" s="26" t="inlineStr">
        <is>
          <t>S16</t>
        </is>
      </c>
      <c r="B822" s="26" t="inlineStr">
        <is>
          <t>예천 신규점</t>
        </is>
      </c>
      <c r="C822" s="26" t="inlineStr">
        <is>
          <t>S16-H남</t>
        </is>
      </c>
      <c r="D822" s="47" t="n">
        <v>1</v>
      </c>
      <c r="E822" s="26" t="inlineStr">
        <is>
          <t>측정</t>
        </is>
      </c>
      <c r="F822" s="26" t="inlineStr">
        <is>
          <t>남</t>
        </is>
      </c>
      <c r="G822" s="31" t="n">
        <v>9</v>
      </c>
      <c r="H822" s="30" t="n"/>
      <c r="I822" s="43" t="n"/>
      <c r="J822" s="41" t="n"/>
      <c r="K822" s="41" t="n"/>
      <c r="L822" s="41" t="n"/>
      <c r="M822" s="31">
        <f>IF(COUNT(J822:L822)=0,"",MEDIAN(J822:L822))</f>
        <v/>
      </c>
      <c r="N822" s="26">
        <f>IF(COUNTIFS($C:$C,$C822,$D:$D,$D822,$E:$E,"P0(전)",$M:$M,"&gt;0")&lt;&gt;1,"P0(전) 유효 1개 아님",IF(COUNTIFS($C:$C,$C822,$D:$D,$D822,$E:$E,"P0(후)",$M:$M,"&gt;0")&lt;&gt;1,"P0(후) 유효 1개 아님",IF(NOT(AND(ISNUMBER(O822),ISNUMBER(Q822),ISNUMBER(I822))),"시각 결측",IF(Q822&lt;=O822,"P0 시각 역전",IF(OR(I822&lt;O822,I822&gt;Q822),"측정시각 구간 밖","OK")))))</f>
        <v/>
      </c>
      <c r="O822" s="48">
        <f>IF(COUNTIFS($C:$C,$C822,$D:$D,$D822,$E:$E,"P0(전)",$M:$M,"&gt;0")&lt;&gt;1,"",SUMIFS($I:$I,$C:$C,$C822,$D:$D,$D822,$E:$E,"P0(전)"))</f>
        <v/>
      </c>
      <c r="P822" s="31">
        <f>IF(COUNTIFS($C:$C,$C822,$D:$D,$D822,$E:$E,"P0(전)",$M:$M,"&gt;0")&lt;&gt;1,"",SUMIFS($M:$M,$C:$C,$C822,$D:$D,$D822,$E:$E,"P0(전)"))</f>
        <v/>
      </c>
      <c r="Q822" s="48">
        <f>IF(COUNTIFS($C:$C,$C822,$D:$D,$D822,$E:$E,"P0(후)",$M:$M,"&gt;0")&lt;&gt;1,"",SUMIFS($I:$I,$C:$C,$C822,$D:$D,$D822,$E:$E,"P0(후)"))</f>
        <v/>
      </c>
      <c r="R822" s="31">
        <f>IF(COUNTIFS($C:$C,$C822,$D:$D,$D822,$E:$E,"P0(후)",$M:$M,"&gt;0")&lt;&gt;1,"",SUMIFS($M:$M,$C:$C,$C822,$D:$D,$D822,$E:$E,"P0(후)"))</f>
        <v/>
      </c>
      <c r="S822" s="31">
        <f>IF(N822&lt;&gt;"OK","",P822+(R822-P822)*(I822-O822)/(Q822-O822))</f>
        <v/>
      </c>
      <c r="T822" s="31">
        <f>IF(OR(N822&lt;&gt;"OK",NOT(ISNUMBER(M822))),"",M822-S822)</f>
        <v/>
      </c>
      <c r="U822" s="49">
        <f>IF(OR(NOT(ISNUMBER(T822)),IF(ISNUMBER(H822),H822,G822)=0),"",T822/IF(ISNUMBER(H822),H822,G822))</f>
        <v/>
      </c>
      <c r="V822" s="49">
        <f>IF(ISNUMBER(U822),ABS(U822),"")</f>
        <v/>
      </c>
      <c r="W822" s="49">
        <f>IF(OR($E821&lt;&gt;"측정",$C821&lt;&gt;$C822,$D821&lt;&gt;$D822,NOT(ISNUMBER(M822)),NOT(ISNUMBER(M821)),(IF(ISNUMBER(H822),H822,G822)-IF(ISNUMBER(H821),H821,G821))=0),"",(M822-M821)/(IF(ISNUMBER(H822),H822,G822)-IF(ISNUMBER(H821),H821,G821)))</f>
        <v/>
      </c>
      <c r="X822" s="31">
        <f>IF(NOT(AND(ISNUMBER(O822),ISNUMBER(Q822))),"",(Q822-O822)*1440)</f>
        <v/>
      </c>
      <c r="Y822" s="29" t="n"/>
      <c r="Z822" s="29" t="n"/>
      <c r="AA822" s="29" t="n"/>
      <c r="AB822" s="32" t="n"/>
      <c r="AC822" s="32" t="n"/>
    </row>
    <row r="823">
      <c r="A823" s="26" t="inlineStr">
        <is>
          <t>S16</t>
        </is>
      </c>
      <c r="B823" s="26" t="inlineStr">
        <is>
          <t>예천 신규점</t>
        </is>
      </c>
      <c r="C823" s="26" t="inlineStr">
        <is>
          <t>S16-H남</t>
        </is>
      </c>
      <c r="D823" s="47" t="n">
        <v>1</v>
      </c>
      <c r="E823" s="26" t="inlineStr">
        <is>
          <t>측정</t>
        </is>
      </c>
      <c r="F823" s="26" t="inlineStr">
        <is>
          <t>남</t>
        </is>
      </c>
      <c r="G823" s="31" t="n">
        <v>10</v>
      </c>
      <c r="H823" s="30" t="n"/>
      <c r="I823" s="43" t="n"/>
      <c r="J823" s="41" t="n"/>
      <c r="K823" s="41" t="n"/>
      <c r="L823" s="41" t="n"/>
      <c r="M823" s="31">
        <f>IF(COUNT(J823:L823)=0,"",MEDIAN(J823:L823))</f>
        <v/>
      </c>
      <c r="N823" s="26">
        <f>IF(COUNTIFS($C:$C,$C823,$D:$D,$D823,$E:$E,"P0(전)",$M:$M,"&gt;0")&lt;&gt;1,"P0(전) 유효 1개 아님",IF(COUNTIFS($C:$C,$C823,$D:$D,$D823,$E:$E,"P0(후)",$M:$M,"&gt;0")&lt;&gt;1,"P0(후) 유효 1개 아님",IF(NOT(AND(ISNUMBER(O823),ISNUMBER(Q823),ISNUMBER(I823))),"시각 결측",IF(Q823&lt;=O823,"P0 시각 역전",IF(OR(I823&lt;O823,I823&gt;Q823),"측정시각 구간 밖","OK")))))</f>
        <v/>
      </c>
      <c r="O823" s="48">
        <f>IF(COUNTIFS($C:$C,$C823,$D:$D,$D823,$E:$E,"P0(전)",$M:$M,"&gt;0")&lt;&gt;1,"",SUMIFS($I:$I,$C:$C,$C823,$D:$D,$D823,$E:$E,"P0(전)"))</f>
        <v/>
      </c>
      <c r="P823" s="31">
        <f>IF(COUNTIFS($C:$C,$C823,$D:$D,$D823,$E:$E,"P0(전)",$M:$M,"&gt;0")&lt;&gt;1,"",SUMIFS($M:$M,$C:$C,$C823,$D:$D,$D823,$E:$E,"P0(전)"))</f>
        <v/>
      </c>
      <c r="Q823" s="48">
        <f>IF(COUNTIFS($C:$C,$C823,$D:$D,$D823,$E:$E,"P0(후)",$M:$M,"&gt;0")&lt;&gt;1,"",SUMIFS($I:$I,$C:$C,$C823,$D:$D,$D823,$E:$E,"P0(후)"))</f>
        <v/>
      </c>
      <c r="R823" s="31">
        <f>IF(COUNTIFS($C:$C,$C823,$D:$D,$D823,$E:$E,"P0(후)",$M:$M,"&gt;0")&lt;&gt;1,"",SUMIFS($M:$M,$C:$C,$C823,$D:$D,$D823,$E:$E,"P0(후)"))</f>
        <v/>
      </c>
      <c r="S823" s="31">
        <f>IF(N823&lt;&gt;"OK","",P823+(R823-P823)*(I823-O823)/(Q823-O823))</f>
        <v/>
      </c>
      <c r="T823" s="31">
        <f>IF(OR(N823&lt;&gt;"OK",NOT(ISNUMBER(M823))),"",M823-S823)</f>
        <v/>
      </c>
      <c r="U823" s="49">
        <f>IF(OR(NOT(ISNUMBER(T823)),IF(ISNUMBER(H823),H823,G823)=0),"",T823/IF(ISNUMBER(H823),H823,G823))</f>
        <v/>
      </c>
      <c r="V823" s="49">
        <f>IF(ISNUMBER(U823),ABS(U823),"")</f>
        <v/>
      </c>
      <c r="W823" s="49">
        <f>IF(OR($E822&lt;&gt;"측정",$C822&lt;&gt;$C823,$D822&lt;&gt;$D823,NOT(ISNUMBER(M823)),NOT(ISNUMBER(M822)),(IF(ISNUMBER(H823),H823,G823)-IF(ISNUMBER(H822),H822,G822))=0),"",(M823-M822)/(IF(ISNUMBER(H823),H823,G823)-IF(ISNUMBER(H822),H822,G822)))</f>
        <v/>
      </c>
      <c r="X823" s="31">
        <f>IF(NOT(AND(ISNUMBER(O823),ISNUMBER(Q823))),"",(Q823-O823)*1440)</f>
        <v/>
      </c>
      <c r="Y823" s="29" t="n"/>
      <c r="Z823" s="29" t="n"/>
      <c r="AA823" s="29" t="n"/>
      <c r="AB823" s="32" t="n"/>
      <c r="AC823" s="32" t="n"/>
    </row>
    <row r="824">
      <c r="A824" s="44" t="inlineStr">
        <is>
          <t>S16</t>
        </is>
      </c>
      <c r="B824" s="44" t="inlineStr">
        <is>
          <t>예천 신규점</t>
        </is>
      </c>
      <c r="C824" s="44" t="inlineStr">
        <is>
          <t>S16-H남</t>
        </is>
      </c>
      <c r="D824" s="45" t="n">
        <v>1</v>
      </c>
      <c r="E824" s="44" t="inlineStr">
        <is>
          <t>P0(후)</t>
        </is>
      </c>
      <c r="F824" s="44" t="inlineStr">
        <is>
          <t>남</t>
        </is>
      </c>
      <c r="G824" s="46" t="n"/>
      <c r="H824" s="30" t="n"/>
      <c r="I824" s="43" t="n"/>
      <c r="J824" s="41" t="n"/>
      <c r="K824" s="41" t="n"/>
      <c r="L824" s="41" t="n"/>
      <c r="M824" s="31">
        <f>IF(COUNT(J824:L824)=0,"",MEDIAN(J824:L824))</f>
        <v/>
      </c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38" t="n"/>
      <c r="Y824" s="29" t="n"/>
      <c r="Z824" s="29" t="n"/>
      <c r="AA824" s="29" t="n"/>
      <c r="AB824" s="32" t="n"/>
      <c r="AC824" s="32" t="n"/>
    </row>
    <row r="825">
      <c r="A825" s="44" t="inlineStr">
        <is>
          <t>S16</t>
        </is>
      </c>
      <c r="B825" s="44" t="inlineStr">
        <is>
          <t>예천 신규점</t>
        </is>
      </c>
      <c r="C825" s="44" t="inlineStr">
        <is>
          <t>S16-H북</t>
        </is>
      </c>
      <c r="D825" s="45" t="n">
        <v>1</v>
      </c>
      <c r="E825" s="44" t="inlineStr">
        <is>
          <t>P0(전)</t>
        </is>
      </c>
      <c r="F825" s="44" t="inlineStr">
        <is>
          <t>북</t>
        </is>
      </c>
      <c r="G825" s="46" t="n"/>
      <c r="H825" s="30" t="n"/>
      <c r="I825" s="43" t="n"/>
      <c r="J825" s="41" t="n"/>
      <c r="K825" s="41" t="n"/>
      <c r="L825" s="41" t="n"/>
      <c r="M825" s="31">
        <f>IF(COUNT(J825:L825)=0,"",MEDIAN(J825:L825))</f>
        <v/>
      </c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38" t="n"/>
      <c r="W825" s="38" t="n"/>
      <c r="X825" s="38" t="n"/>
      <c r="Y825" s="29" t="n"/>
      <c r="Z825" s="29" t="n"/>
      <c r="AA825" s="29" t="n"/>
      <c r="AB825" s="32" t="n"/>
      <c r="AC825" s="32" t="n"/>
    </row>
    <row r="826">
      <c r="A826" s="26" t="inlineStr">
        <is>
          <t>S16</t>
        </is>
      </c>
      <c r="B826" s="26" t="inlineStr">
        <is>
          <t>예천 신규점</t>
        </is>
      </c>
      <c r="C826" s="26" t="inlineStr">
        <is>
          <t>S16-H북</t>
        </is>
      </c>
      <c r="D826" s="47" t="n">
        <v>1</v>
      </c>
      <c r="E826" s="26" t="inlineStr">
        <is>
          <t>측정</t>
        </is>
      </c>
      <c r="F826" s="26" t="inlineStr">
        <is>
          <t>북</t>
        </is>
      </c>
      <c r="G826" s="31" t="n">
        <v>0.5</v>
      </c>
      <c r="H826" s="30" t="n"/>
      <c r="I826" s="43" t="n"/>
      <c r="J826" s="41" t="n"/>
      <c r="K826" s="41" t="n"/>
      <c r="L826" s="41" t="n"/>
      <c r="M826" s="31">
        <f>IF(COUNT(J826:L826)=0,"",MEDIAN(J826:L826))</f>
        <v/>
      </c>
      <c r="N826" s="26">
        <f>IF(COUNTIFS($C:$C,$C826,$D:$D,$D826,$E:$E,"P0(전)",$M:$M,"&gt;0")&lt;&gt;1,"P0(전) 유효 1개 아님",IF(COUNTIFS($C:$C,$C826,$D:$D,$D826,$E:$E,"P0(후)",$M:$M,"&gt;0")&lt;&gt;1,"P0(후) 유효 1개 아님",IF(NOT(AND(ISNUMBER(O826),ISNUMBER(Q826),ISNUMBER(I826))),"시각 결측",IF(Q826&lt;=O826,"P0 시각 역전",IF(OR(I826&lt;O826,I826&gt;Q826),"측정시각 구간 밖","OK")))))</f>
        <v/>
      </c>
      <c r="O826" s="48">
        <f>IF(COUNTIFS($C:$C,$C826,$D:$D,$D826,$E:$E,"P0(전)",$M:$M,"&gt;0")&lt;&gt;1,"",SUMIFS($I:$I,$C:$C,$C826,$D:$D,$D826,$E:$E,"P0(전)"))</f>
        <v/>
      </c>
      <c r="P826" s="31">
        <f>IF(COUNTIFS($C:$C,$C826,$D:$D,$D826,$E:$E,"P0(전)",$M:$M,"&gt;0")&lt;&gt;1,"",SUMIFS($M:$M,$C:$C,$C826,$D:$D,$D826,$E:$E,"P0(전)"))</f>
        <v/>
      </c>
      <c r="Q826" s="48">
        <f>IF(COUNTIFS($C:$C,$C826,$D:$D,$D826,$E:$E,"P0(후)",$M:$M,"&gt;0")&lt;&gt;1,"",SUMIFS($I:$I,$C:$C,$C826,$D:$D,$D826,$E:$E,"P0(후)"))</f>
        <v/>
      </c>
      <c r="R826" s="31">
        <f>IF(COUNTIFS($C:$C,$C826,$D:$D,$D826,$E:$E,"P0(후)",$M:$M,"&gt;0")&lt;&gt;1,"",SUMIFS($M:$M,$C:$C,$C826,$D:$D,$D826,$E:$E,"P0(후)"))</f>
        <v/>
      </c>
      <c r="S826" s="31">
        <f>IF(N826&lt;&gt;"OK","",P826+(R826-P826)*(I826-O826)/(Q826-O826))</f>
        <v/>
      </c>
      <c r="T826" s="31">
        <f>IF(OR(N826&lt;&gt;"OK",NOT(ISNUMBER(M826))),"",M826-S826)</f>
        <v/>
      </c>
      <c r="U826" s="49">
        <f>IF(OR(NOT(ISNUMBER(T826)),IF(ISNUMBER(H826),H826,G826)=0),"",T826/IF(ISNUMBER(H826),H826,G826))</f>
        <v/>
      </c>
      <c r="V826" s="49">
        <f>IF(ISNUMBER(U826),ABS(U826),"")</f>
        <v/>
      </c>
      <c r="W826" s="49">
        <f>IF(OR($E825&lt;&gt;"측정",$C825&lt;&gt;$C826,$D825&lt;&gt;$D826,NOT(ISNUMBER(M826)),NOT(ISNUMBER(M825)),(IF(ISNUMBER(H826),H826,G826)-IF(ISNUMBER(H825),H825,G825))=0),"",(M826-M825)/(IF(ISNUMBER(H826),H826,G826)-IF(ISNUMBER(H825),H825,G825)))</f>
        <v/>
      </c>
      <c r="X826" s="31">
        <f>IF(NOT(AND(ISNUMBER(O826),ISNUMBER(Q826))),"",(Q826-O826)*1440)</f>
        <v/>
      </c>
      <c r="Y826" s="29" t="n"/>
      <c r="Z826" s="29" t="n"/>
      <c r="AA826" s="29" t="n"/>
      <c r="AB826" s="32" t="n"/>
      <c r="AC826" s="32" t="n"/>
    </row>
    <row r="827">
      <c r="A827" s="26" t="inlineStr">
        <is>
          <t>S16</t>
        </is>
      </c>
      <c r="B827" s="26" t="inlineStr">
        <is>
          <t>예천 신규점</t>
        </is>
      </c>
      <c r="C827" s="26" t="inlineStr">
        <is>
          <t>S16-H북</t>
        </is>
      </c>
      <c r="D827" s="47" t="n">
        <v>1</v>
      </c>
      <c r="E827" s="26" t="inlineStr">
        <is>
          <t>측정</t>
        </is>
      </c>
      <c r="F827" s="26" t="inlineStr">
        <is>
          <t>북</t>
        </is>
      </c>
      <c r="G827" s="31" t="n">
        <v>1</v>
      </c>
      <c r="H827" s="30" t="n"/>
      <c r="I827" s="43" t="n"/>
      <c r="J827" s="41" t="n"/>
      <c r="K827" s="41" t="n"/>
      <c r="L827" s="41" t="n"/>
      <c r="M827" s="31">
        <f>IF(COUNT(J827:L827)=0,"",MEDIAN(J827:L827))</f>
        <v/>
      </c>
      <c r="N827" s="26">
        <f>IF(COUNTIFS($C:$C,$C827,$D:$D,$D827,$E:$E,"P0(전)",$M:$M,"&gt;0")&lt;&gt;1,"P0(전) 유효 1개 아님",IF(COUNTIFS($C:$C,$C827,$D:$D,$D827,$E:$E,"P0(후)",$M:$M,"&gt;0")&lt;&gt;1,"P0(후) 유효 1개 아님",IF(NOT(AND(ISNUMBER(O827),ISNUMBER(Q827),ISNUMBER(I827))),"시각 결측",IF(Q827&lt;=O827,"P0 시각 역전",IF(OR(I827&lt;O827,I827&gt;Q827),"측정시각 구간 밖","OK")))))</f>
        <v/>
      </c>
      <c r="O827" s="48">
        <f>IF(COUNTIFS($C:$C,$C827,$D:$D,$D827,$E:$E,"P0(전)",$M:$M,"&gt;0")&lt;&gt;1,"",SUMIFS($I:$I,$C:$C,$C827,$D:$D,$D827,$E:$E,"P0(전)"))</f>
        <v/>
      </c>
      <c r="P827" s="31">
        <f>IF(COUNTIFS($C:$C,$C827,$D:$D,$D827,$E:$E,"P0(전)",$M:$M,"&gt;0")&lt;&gt;1,"",SUMIFS($M:$M,$C:$C,$C827,$D:$D,$D827,$E:$E,"P0(전)"))</f>
        <v/>
      </c>
      <c r="Q827" s="48">
        <f>IF(COUNTIFS($C:$C,$C827,$D:$D,$D827,$E:$E,"P0(후)",$M:$M,"&gt;0")&lt;&gt;1,"",SUMIFS($I:$I,$C:$C,$C827,$D:$D,$D827,$E:$E,"P0(후)"))</f>
        <v/>
      </c>
      <c r="R827" s="31">
        <f>IF(COUNTIFS($C:$C,$C827,$D:$D,$D827,$E:$E,"P0(후)",$M:$M,"&gt;0")&lt;&gt;1,"",SUMIFS($M:$M,$C:$C,$C827,$D:$D,$D827,$E:$E,"P0(후)"))</f>
        <v/>
      </c>
      <c r="S827" s="31">
        <f>IF(N827&lt;&gt;"OK","",P827+(R827-P827)*(I827-O827)/(Q827-O827))</f>
        <v/>
      </c>
      <c r="T827" s="31">
        <f>IF(OR(N827&lt;&gt;"OK",NOT(ISNUMBER(M827))),"",M827-S827)</f>
        <v/>
      </c>
      <c r="U827" s="49">
        <f>IF(OR(NOT(ISNUMBER(T827)),IF(ISNUMBER(H827),H827,G827)=0),"",T827/IF(ISNUMBER(H827),H827,G827))</f>
        <v/>
      </c>
      <c r="V827" s="49">
        <f>IF(ISNUMBER(U827),ABS(U827),"")</f>
        <v/>
      </c>
      <c r="W827" s="49">
        <f>IF(OR($E826&lt;&gt;"측정",$C826&lt;&gt;$C827,$D826&lt;&gt;$D827,NOT(ISNUMBER(M827)),NOT(ISNUMBER(M826)),(IF(ISNUMBER(H827),H827,G827)-IF(ISNUMBER(H826),H826,G826))=0),"",(M827-M826)/(IF(ISNUMBER(H827),H827,G827)-IF(ISNUMBER(H826),H826,G826)))</f>
        <v/>
      </c>
      <c r="X827" s="31">
        <f>IF(NOT(AND(ISNUMBER(O827),ISNUMBER(Q827))),"",(Q827-O827)*1440)</f>
        <v/>
      </c>
      <c r="Y827" s="29" t="n"/>
      <c r="Z827" s="29" t="n"/>
      <c r="AA827" s="29" t="n"/>
      <c r="AB827" s="32" t="n"/>
      <c r="AC827" s="32" t="n"/>
    </row>
    <row r="828">
      <c r="A828" s="26" t="inlineStr">
        <is>
          <t>S16</t>
        </is>
      </c>
      <c r="B828" s="26" t="inlineStr">
        <is>
          <t>예천 신규점</t>
        </is>
      </c>
      <c r="C828" s="26" t="inlineStr">
        <is>
          <t>S16-H북</t>
        </is>
      </c>
      <c r="D828" s="47" t="n">
        <v>1</v>
      </c>
      <c r="E828" s="26" t="inlineStr">
        <is>
          <t>측정</t>
        </is>
      </c>
      <c r="F828" s="26" t="inlineStr">
        <is>
          <t>북</t>
        </is>
      </c>
      <c r="G828" s="31" t="n">
        <v>2</v>
      </c>
      <c r="H828" s="30" t="n"/>
      <c r="I828" s="43" t="n"/>
      <c r="J828" s="41" t="n"/>
      <c r="K828" s="41" t="n"/>
      <c r="L828" s="41" t="n"/>
      <c r="M828" s="31">
        <f>IF(COUNT(J828:L828)=0,"",MEDIAN(J828:L828))</f>
        <v/>
      </c>
      <c r="N828" s="26">
        <f>IF(COUNTIFS($C:$C,$C828,$D:$D,$D828,$E:$E,"P0(전)",$M:$M,"&gt;0")&lt;&gt;1,"P0(전) 유효 1개 아님",IF(COUNTIFS($C:$C,$C828,$D:$D,$D828,$E:$E,"P0(후)",$M:$M,"&gt;0")&lt;&gt;1,"P0(후) 유효 1개 아님",IF(NOT(AND(ISNUMBER(O828),ISNUMBER(Q828),ISNUMBER(I828))),"시각 결측",IF(Q828&lt;=O828,"P0 시각 역전",IF(OR(I828&lt;O828,I828&gt;Q828),"측정시각 구간 밖","OK")))))</f>
        <v/>
      </c>
      <c r="O828" s="48">
        <f>IF(COUNTIFS($C:$C,$C828,$D:$D,$D828,$E:$E,"P0(전)",$M:$M,"&gt;0")&lt;&gt;1,"",SUMIFS($I:$I,$C:$C,$C828,$D:$D,$D828,$E:$E,"P0(전)"))</f>
        <v/>
      </c>
      <c r="P828" s="31">
        <f>IF(COUNTIFS($C:$C,$C828,$D:$D,$D828,$E:$E,"P0(전)",$M:$M,"&gt;0")&lt;&gt;1,"",SUMIFS($M:$M,$C:$C,$C828,$D:$D,$D828,$E:$E,"P0(전)"))</f>
        <v/>
      </c>
      <c r="Q828" s="48">
        <f>IF(COUNTIFS($C:$C,$C828,$D:$D,$D828,$E:$E,"P0(후)",$M:$M,"&gt;0")&lt;&gt;1,"",SUMIFS($I:$I,$C:$C,$C828,$D:$D,$D828,$E:$E,"P0(후)"))</f>
        <v/>
      </c>
      <c r="R828" s="31">
        <f>IF(COUNTIFS($C:$C,$C828,$D:$D,$D828,$E:$E,"P0(후)",$M:$M,"&gt;0")&lt;&gt;1,"",SUMIFS($M:$M,$C:$C,$C828,$D:$D,$D828,$E:$E,"P0(후)"))</f>
        <v/>
      </c>
      <c r="S828" s="31">
        <f>IF(N828&lt;&gt;"OK","",P828+(R828-P828)*(I828-O828)/(Q828-O828))</f>
        <v/>
      </c>
      <c r="T828" s="31">
        <f>IF(OR(N828&lt;&gt;"OK",NOT(ISNUMBER(M828))),"",M828-S828)</f>
        <v/>
      </c>
      <c r="U828" s="49">
        <f>IF(OR(NOT(ISNUMBER(T828)),IF(ISNUMBER(H828),H828,G828)=0),"",T828/IF(ISNUMBER(H828),H828,G828))</f>
        <v/>
      </c>
      <c r="V828" s="49">
        <f>IF(ISNUMBER(U828),ABS(U828),"")</f>
        <v/>
      </c>
      <c r="W828" s="49">
        <f>IF(OR($E827&lt;&gt;"측정",$C827&lt;&gt;$C828,$D827&lt;&gt;$D828,NOT(ISNUMBER(M828)),NOT(ISNUMBER(M827)),(IF(ISNUMBER(H828),H828,G828)-IF(ISNUMBER(H827),H827,G827))=0),"",(M828-M827)/(IF(ISNUMBER(H828),H828,G828)-IF(ISNUMBER(H827),H827,G827)))</f>
        <v/>
      </c>
      <c r="X828" s="31">
        <f>IF(NOT(AND(ISNUMBER(O828),ISNUMBER(Q828))),"",(Q828-O828)*1440)</f>
        <v/>
      </c>
      <c r="Y828" s="29" t="n"/>
      <c r="Z828" s="29" t="n"/>
      <c r="AA828" s="29" t="n"/>
      <c r="AB828" s="32" t="n"/>
      <c r="AC828" s="32" t="n"/>
    </row>
    <row r="829">
      <c r="A829" s="26" t="inlineStr">
        <is>
          <t>S16</t>
        </is>
      </c>
      <c r="B829" s="26" t="inlineStr">
        <is>
          <t>예천 신규점</t>
        </is>
      </c>
      <c r="C829" s="26" t="inlineStr">
        <is>
          <t>S16-H북</t>
        </is>
      </c>
      <c r="D829" s="47" t="n">
        <v>1</v>
      </c>
      <c r="E829" s="26" t="inlineStr">
        <is>
          <t>측정</t>
        </is>
      </c>
      <c r="F829" s="26" t="inlineStr">
        <is>
          <t>북</t>
        </is>
      </c>
      <c r="G829" s="31" t="n">
        <v>3</v>
      </c>
      <c r="H829" s="30" t="n"/>
      <c r="I829" s="43" t="n"/>
      <c r="J829" s="41" t="n"/>
      <c r="K829" s="41" t="n"/>
      <c r="L829" s="41" t="n"/>
      <c r="M829" s="31">
        <f>IF(COUNT(J829:L829)=0,"",MEDIAN(J829:L829))</f>
        <v/>
      </c>
      <c r="N829" s="26">
        <f>IF(COUNTIFS($C:$C,$C829,$D:$D,$D829,$E:$E,"P0(전)",$M:$M,"&gt;0")&lt;&gt;1,"P0(전) 유효 1개 아님",IF(COUNTIFS($C:$C,$C829,$D:$D,$D829,$E:$E,"P0(후)",$M:$M,"&gt;0")&lt;&gt;1,"P0(후) 유효 1개 아님",IF(NOT(AND(ISNUMBER(O829),ISNUMBER(Q829),ISNUMBER(I829))),"시각 결측",IF(Q829&lt;=O829,"P0 시각 역전",IF(OR(I829&lt;O829,I829&gt;Q829),"측정시각 구간 밖","OK")))))</f>
        <v/>
      </c>
      <c r="O829" s="48">
        <f>IF(COUNTIFS($C:$C,$C829,$D:$D,$D829,$E:$E,"P0(전)",$M:$M,"&gt;0")&lt;&gt;1,"",SUMIFS($I:$I,$C:$C,$C829,$D:$D,$D829,$E:$E,"P0(전)"))</f>
        <v/>
      </c>
      <c r="P829" s="31">
        <f>IF(COUNTIFS($C:$C,$C829,$D:$D,$D829,$E:$E,"P0(전)",$M:$M,"&gt;0")&lt;&gt;1,"",SUMIFS($M:$M,$C:$C,$C829,$D:$D,$D829,$E:$E,"P0(전)"))</f>
        <v/>
      </c>
      <c r="Q829" s="48">
        <f>IF(COUNTIFS($C:$C,$C829,$D:$D,$D829,$E:$E,"P0(후)",$M:$M,"&gt;0")&lt;&gt;1,"",SUMIFS($I:$I,$C:$C,$C829,$D:$D,$D829,$E:$E,"P0(후)"))</f>
        <v/>
      </c>
      <c r="R829" s="31">
        <f>IF(COUNTIFS($C:$C,$C829,$D:$D,$D829,$E:$E,"P0(후)",$M:$M,"&gt;0")&lt;&gt;1,"",SUMIFS($M:$M,$C:$C,$C829,$D:$D,$D829,$E:$E,"P0(후)"))</f>
        <v/>
      </c>
      <c r="S829" s="31">
        <f>IF(N829&lt;&gt;"OK","",P829+(R829-P829)*(I829-O829)/(Q829-O829))</f>
        <v/>
      </c>
      <c r="T829" s="31">
        <f>IF(OR(N829&lt;&gt;"OK",NOT(ISNUMBER(M829))),"",M829-S829)</f>
        <v/>
      </c>
      <c r="U829" s="49">
        <f>IF(OR(NOT(ISNUMBER(T829)),IF(ISNUMBER(H829),H829,G829)=0),"",T829/IF(ISNUMBER(H829),H829,G829))</f>
        <v/>
      </c>
      <c r="V829" s="49">
        <f>IF(ISNUMBER(U829),ABS(U829),"")</f>
        <v/>
      </c>
      <c r="W829" s="49">
        <f>IF(OR($E828&lt;&gt;"측정",$C828&lt;&gt;$C829,$D828&lt;&gt;$D829,NOT(ISNUMBER(M829)),NOT(ISNUMBER(M828)),(IF(ISNUMBER(H829),H829,G829)-IF(ISNUMBER(H828),H828,G828))=0),"",(M829-M828)/(IF(ISNUMBER(H829),H829,G829)-IF(ISNUMBER(H828),H828,G828)))</f>
        <v/>
      </c>
      <c r="X829" s="31">
        <f>IF(NOT(AND(ISNUMBER(O829),ISNUMBER(Q829))),"",(Q829-O829)*1440)</f>
        <v/>
      </c>
      <c r="Y829" s="29" t="n"/>
      <c r="Z829" s="29" t="n"/>
      <c r="AA829" s="29" t="n"/>
      <c r="AB829" s="32" t="n"/>
      <c r="AC829" s="32" t="n"/>
    </row>
    <row r="830">
      <c r="A830" s="26" t="inlineStr">
        <is>
          <t>S16</t>
        </is>
      </c>
      <c r="B830" s="26" t="inlineStr">
        <is>
          <t>예천 신규점</t>
        </is>
      </c>
      <c r="C830" s="26" t="inlineStr">
        <is>
          <t>S16-H북</t>
        </is>
      </c>
      <c r="D830" s="47" t="n">
        <v>1</v>
      </c>
      <c r="E830" s="26" t="inlineStr">
        <is>
          <t>측정</t>
        </is>
      </c>
      <c r="F830" s="26" t="inlineStr">
        <is>
          <t>북</t>
        </is>
      </c>
      <c r="G830" s="31" t="n">
        <v>4</v>
      </c>
      <c r="H830" s="30" t="n"/>
      <c r="I830" s="43" t="n"/>
      <c r="J830" s="41" t="n"/>
      <c r="K830" s="41" t="n"/>
      <c r="L830" s="41" t="n"/>
      <c r="M830" s="31">
        <f>IF(COUNT(J830:L830)=0,"",MEDIAN(J830:L830))</f>
        <v/>
      </c>
      <c r="N830" s="26">
        <f>IF(COUNTIFS($C:$C,$C830,$D:$D,$D830,$E:$E,"P0(전)",$M:$M,"&gt;0")&lt;&gt;1,"P0(전) 유효 1개 아님",IF(COUNTIFS($C:$C,$C830,$D:$D,$D830,$E:$E,"P0(후)",$M:$M,"&gt;0")&lt;&gt;1,"P0(후) 유효 1개 아님",IF(NOT(AND(ISNUMBER(O830),ISNUMBER(Q830),ISNUMBER(I830))),"시각 결측",IF(Q830&lt;=O830,"P0 시각 역전",IF(OR(I830&lt;O830,I830&gt;Q830),"측정시각 구간 밖","OK")))))</f>
        <v/>
      </c>
      <c r="O830" s="48">
        <f>IF(COUNTIFS($C:$C,$C830,$D:$D,$D830,$E:$E,"P0(전)",$M:$M,"&gt;0")&lt;&gt;1,"",SUMIFS($I:$I,$C:$C,$C830,$D:$D,$D830,$E:$E,"P0(전)"))</f>
        <v/>
      </c>
      <c r="P830" s="31">
        <f>IF(COUNTIFS($C:$C,$C830,$D:$D,$D830,$E:$E,"P0(전)",$M:$M,"&gt;0")&lt;&gt;1,"",SUMIFS($M:$M,$C:$C,$C830,$D:$D,$D830,$E:$E,"P0(전)"))</f>
        <v/>
      </c>
      <c r="Q830" s="48">
        <f>IF(COUNTIFS($C:$C,$C830,$D:$D,$D830,$E:$E,"P0(후)",$M:$M,"&gt;0")&lt;&gt;1,"",SUMIFS($I:$I,$C:$C,$C830,$D:$D,$D830,$E:$E,"P0(후)"))</f>
        <v/>
      </c>
      <c r="R830" s="31">
        <f>IF(COUNTIFS($C:$C,$C830,$D:$D,$D830,$E:$E,"P0(후)",$M:$M,"&gt;0")&lt;&gt;1,"",SUMIFS($M:$M,$C:$C,$C830,$D:$D,$D830,$E:$E,"P0(후)"))</f>
        <v/>
      </c>
      <c r="S830" s="31">
        <f>IF(N830&lt;&gt;"OK","",P830+(R830-P830)*(I830-O830)/(Q830-O830))</f>
        <v/>
      </c>
      <c r="T830" s="31">
        <f>IF(OR(N830&lt;&gt;"OK",NOT(ISNUMBER(M830))),"",M830-S830)</f>
        <v/>
      </c>
      <c r="U830" s="49">
        <f>IF(OR(NOT(ISNUMBER(T830)),IF(ISNUMBER(H830),H830,G830)=0),"",T830/IF(ISNUMBER(H830),H830,G830))</f>
        <v/>
      </c>
      <c r="V830" s="49">
        <f>IF(ISNUMBER(U830),ABS(U830),"")</f>
        <v/>
      </c>
      <c r="W830" s="49">
        <f>IF(OR($E829&lt;&gt;"측정",$C829&lt;&gt;$C830,$D829&lt;&gt;$D830,NOT(ISNUMBER(M830)),NOT(ISNUMBER(M829)),(IF(ISNUMBER(H830),H830,G830)-IF(ISNUMBER(H829),H829,G829))=0),"",(M830-M829)/(IF(ISNUMBER(H830),H830,G830)-IF(ISNUMBER(H829),H829,G829)))</f>
        <v/>
      </c>
      <c r="X830" s="31">
        <f>IF(NOT(AND(ISNUMBER(O830),ISNUMBER(Q830))),"",(Q830-O830)*1440)</f>
        <v/>
      </c>
      <c r="Y830" s="29" t="n"/>
      <c r="Z830" s="29" t="n"/>
      <c r="AA830" s="29" t="n"/>
      <c r="AB830" s="32" t="n"/>
      <c r="AC830" s="32" t="n"/>
    </row>
    <row r="831">
      <c r="A831" s="26" t="inlineStr">
        <is>
          <t>S16</t>
        </is>
      </c>
      <c r="B831" s="26" t="inlineStr">
        <is>
          <t>예천 신규점</t>
        </is>
      </c>
      <c r="C831" s="26" t="inlineStr">
        <is>
          <t>S16-H북</t>
        </is>
      </c>
      <c r="D831" s="47" t="n">
        <v>1</v>
      </c>
      <c r="E831" s="26" t="inlineStr">
        <is>
          <t>측정</t>
        </is>
      </c>
      <c r="F831" s="26" t="inlineStr">
        <is>
          <t>북</t>
        </is>
      </c>
      <c r="G831" s="31" t="n">
        <v>5</v>
      </c>
      <c r="H831" s="30" t="n"/>
      <c r="I831" s="43" t="n"/>
      <c r="J831" s="41" t="n"/>
      <c r="K831" s="41" t="n"/>
      <c r="L831" s="41" t="n"/>
      <c r="M831" s="31">
        <f>IF(COUNT(J831:L831)=0,"",MEDIAN(J831:L831))</f>
        <v/>
      </c>
      <c r="N831" s="26">
        <f>IF(COUNTIFS($C:$C,$C831,$D:$D,$D831,$E:$E,"P0(전)",$M:$M,"&gt;0")&lt;&gt;1,"P0(전) 유효 1개 아님",IF(COUNTIFS($C:$C,$C831,$D:$D,$D831,$E:$E,"P0(후)",$M:$M,"&gt;0")&lt;&gt;1,"P0(후) 유효 1개 아님",IF(NOT(AND(ISNUMBER(O831),ISNUMBER(Q831),ISNUMBER(I831))),"시각 결측",IF(Q831&lt;=O831,"P0 시각 역전",IF(OR(I831&lt;O831,I831&gt;Q831),"측정시각 구간 밖","OK")))))</f>
        <v/>
      </c>
      <c r="O831" s="48">
        <f>IF(COUNTIFS($C:$C,$C831,$D:$D,$D831,$E:$E,"P0(전)",$M:$M,"&gt;0")&lt;&gt;1,"",SUMIFS($I:$I,$C:$C,$C831,$D:$D,$D831,$E:$E,"P0(전)"))</f>
        <v/>
      </c>
      <c r="P831" s="31">
        <f>IF(COUNTIFS($C:$C,$C831,$D:$D,$D831,$E:$E,"P0(전)",$M:$M,"&gt;0")&lt;&gt;1,"",SUMIFS($M:$M,$C:$C,$C831,$D:$D,$D831,$E:$E,"P0(전)"))</f>
        <v/>
      </c>
      <c r="Q831" s="48">
        <f>IF(COUNTIFS($C:$C,$C831,$D:$D,$D831,$E:$E,"P0(후)",$M:$M,"&gt;0")&lt;&gt;1,"",SUMIFS($I:$I,$C:$C,$C831,$D:$D,$D831,$E:$E,"P0(후)"))</f>
        <v/>
      </c>
      <c r="R831" s="31">
        <f>IF(COUNTIFS($C:$C,$C831,$D:$D,$D831,$E:$E,"P0(후)",$M:$M,"&gt;0")&lt;&gt;1,"",SUMIFS($M:$M,$C:$C,$C831,$D:$D,$D831,$E:$E,"P0(후)"))</f>
        <v/>
      </c>
      <c r="S831" s="31">
        <f>IF(N831&lt;&gt;"OK","",P831+(R831-P831)*(I831-O831)/(Q831-O831))</f>
        <v/>
      </c>
      <c r="T831" s="31">
        <f>IF(OR(N831&lt;&gt;"OK",NOT(ISNUMBER(M831))),"",M831-S831)</f>
        <v/>
      </c>
      <c r="U831" s="49">
        <f>IF(OR(NOT(ISNUMBER(T831)),IF(ISNUMBER(H831),H831,G831)=0),"",T831/IF(ISNUMBER(H831),H831,G831))</f>
        <v/>
      </c>
      <c r="V831" s="49">
        <f>IF(ISNUMBER(U831),ABS(U831),"")</f>
        <v/>
      </c>
      <c r="W831" s="49">
        <f>IF(OR($E830&lt;&gt;"측정",$C830&lt;&gt;$C831,$D830&lt;&gt;$D831,NOT(ISNUMBER(M831)),NOT(ISNUMBER(M830)),(IF(ISNUMBER(H831),H831,G831)-IF(ISNUMBER(H830),H830,G830))=0),"",(M831-M830)/(IF(ISNUMBER(H831),H831,G831)-IF(ISNUMBER(H830),H830,G830)))</f>
        <v/>
      </c>
      <c r="X831" s="31">
        <f>IF(NOT(AND(ISNUMBER(O831),ISNUMBER(Q831))),"",(Q831-O831)*1440)</f>
        <v/>
      </c>
      <c r="Y831" s="29" t="n"/>
      <c r="Z831" s="29" t="n"/>
      <c r="AA831" s="29" t="n"/>
      <c r="AB831" s="32" t="n"/>
      <c r="AC831" s="32" t="n"/>
    </row>
    <row r="832">
      <c r="A832" s="26" t="inlineStr">
        <is>
          <t>S16</t>
        </is>
      </c>
      <c r="B832" s="26" t="inlineStr">
        <is>
          <t>예천 신규점</t>
        </is>
      </c>
      <c r="C832" s="26" t="inlineStr">
        <is>
          <t>S16-H북</t>
        </is>
      </c>
      <c r="D832" s="47" t="n">
        <v>1</v>
      </c>
      <c r="E832" s="26" t="inlineStr">
        <is>
          <t>측정</t>
        </is>
      </c>
      <c r="F832" s="26" t="inlineStr">
        <is>
          <t>북</t>
        </is>
      </c>
      <c r="G832" s="31" t="n">
        <v>6</v>
      </c>
      <c r="H832" s="30" t="n"/>
      <c r="I832" s="43" t="n"/>
      <c r="J832" s="41" t="n"/>
      <c r="K832" s="41" t="n"/>
      <c r="L832" s="41" t="n"/>
      <c r="M832" s="31">
        <f>IF(COUNT(J832:L832)=0,"",MEDIAN(J832:L832))</f>
        <v/>
      </c>
      <c r="N832" s="26">
        <f>IF(COUNTIFS($C:$C,$C832,$D:$D,$D832,$E:$E,"P0(전)",$M:$M,"&gt;0")&lt;&gt;1,"P0(전) 유효 1개 아님",IF(COUNTIFS($C:$C,$C832,$D:$D,$D832,$E:$E,"P0(후)",$M:$M,"&gt;0")&lt;&gt;1,"P0(후) 유효 1개 아님",IF(NOT(AND(ISNUMBER(O832),ISNUMBER(Q832),ISNUMBER(I832))),"시각 결측",IF(Q832&lt;=O832,"P0 시각 역전",IF(OR(I832&lt;O832,I832&gt;Q832),"측정시각 구간 밖","OK")))))</f>
        <v/>
      </c>
      <c r="O832" s="48">
        <f>IF(COUNTIFS($C:$C,$C832,$D:$D,$D832,$E:$E,"P0(전)",$M:$M,"&gt;0")&lt;&gt;1,"",SUMIFS($I:$I,$C:$C,$C832,$D:$D,$D832,$E:$E,"P0(전)"))</f>
        <v/>
      </c>
      <c r="P832" s="31">
        <f>IF(COUNTIFS($C:$C,$C832,$D:$D,$D832,$E:$E,"P0(전)",$M:$M,"&gt;0")&lt;&gt;1,"",SUMIFS($M:$M,$C:$C,$C832,$D:$D,$D832,$E:$E,"P0(전)"))</f>
        <v/>
      </c>
      <c r="Q832" s="48">
        <f>IF(COUNTIFS($C:$C,$C832,$D:$D,$D832,$E:$E,"P0(후)",$M:$M,"&gt;0")&lt;&gt;1,"",SUMIFS($I:$I,$C:$C,$C832,$D:$D,$D832,$E:$E,"P0(후)"))</f>
        <v/>
      </c>
      <c r="R832" s="31">
        <f>IF(COUNTIFS($C:$C,$C832,$D:$D,$D832,$E:$E,"P0(후)",$M:$M,"&gt;0")&lt;&gt;1,"",SUMIFS($M:$M,$C:$C,$C832,$D:$D,$D832,$E:$E,"P0(후)"))</f>
        <v/>
      </c>
      <c r="S832" s="31">
        <f>IF(N832&lt;&gt;"OK","",P832+(R832-P832)*(I832-O832)/(Q832-O832))</f>
        <v/>
      </c>
      <c r="T832" s="31">
        <f>IF(OR(N832&lt;&gt;"OK",NOT(ISNUMBER(M832))),"",M832-S832)</f>
        <v/>
      </c>
      <c r="U832" s="49">
        <f>IF(OR(NOT(ISNUMBER(T832)),IF(ISNUMBER(H832),H832,G832)=0),"",T832/IF(ISNUMBER(H832),H832,G832))</f>
        <v/>
      </c>
      <c r="V832" s="49">
        <f>IF(ISNUMBER(U832),ABS(U832),"")</f>
        <v/>
      </c>
      <c r="W832" s="49">
        <f>IF(OR($E831&lt;&gt;"측정",$C831&lt;&gt;$C832,$D831&lt;&gt;$D832,NOT(ISNUMBER(M832)),NOT(ISNUMBER(M831)),(IF(ISNUMBER(H832),H832,G832)-IF(ISNUMBER(H831),H831,G831))=0),"",(M832-M831)/(IF(ISNUMBER(H832),H832,G832)-IF(ISNUMBER(H831),H831,G831)))</f>
        <v/>
      </c>
      <c r="X832" s="31">
        <f>IF(NOT(AND(ISNUMBER(O832),ISNUMBER(Q832))),"",(Q832-O832)*1440)</f>
        <v/>
      </c>
      <c r="Y832" s="29" t="n"/>
      <c r="Z832" s="29" t="n"/>
      <c r="AA832" s="29" t="n"/>
      <c r="AB832" s="32" t="n"/>
      <c r="AC832" s="32" t="n"/>
    </row>
    <row r="833">
      <c r="A833" s="26" t="inlineStr">
        <is>
          <t>S16</t>
        </is>
      </c>
      <c r="B833" s="26" t="inlineStr">
        <is>
          <t>예천 신규점</t>
        </is>
      </c>
      <c r="C833" s="26" t="inlineStr">
        <is>
          <t>S16-H북</t>
        </is>
      </c>
      <c r="D833" s="47" t="n">
        <v>1</v>
      </c>
      <c r="E833" s="26" t="inlineStr">
        <is>
          <t>측정</t>
        </is>
      </c>
      <c r="F833" s="26" t="inlineStr">
        <is>
          <t>북</t>
        </is>
      </c>
      <c r="G833" s="31" t="n">
        <v>7</v>
      </c>
      <c r="H833" s="30" t="n"/>
      <c r="I833" s="43" t="n"/>
      <c r="J833" s="41" t="n"/>
      <c r="K833" s="41" t="n"/>
      <c r="L833" s="41" t="n"/>
      <c r="M833" s="31">
        <f>IF(COUNT(J833:L833)=0,"",MEDIAN(J833:L833))</f>
        <v/>
      </c>
      <c r="N833" s="26">
        <f>IF(COUNTIFS($C:$C,$C833,$D:$D,$D833,$E:$E,"P0(전)",$M:$M,"&gt;0")&lt;&gt;1,"P0(전) 유효 1개 아님",IF(COUNTIFS($C:$C,$C833,$D:$D,$D833,$E:$E,"P0(후)",$M:$M,"&gt;0")&lt;&gt;1,"P0(후) 유효 1개 아님",IF(NOT(AND(ISNUMBER(O833),ISNUMBER(Q833),ISNUMBER(I833))),"시각 결측",IF(Q833&lt;=O833,"P0 시각 역전",IF(OR(I833&lt;O833,I833&gt;Q833),"측정시각 구간 밖","OK")))))</f>
        <v/>
      </c>
      <c r="O833" s="48">
        <f>IF(COUNTIFS($C:$C,$C833,$D:$D,$D833,$E:$E,"P0(전)",$M:$M,"&gt;0")&lt;&gt;1,"",SUMIFS($I:$I,$C:$C,$C833,$D:$D,$D833,$E:$E,"P0(전)"))</f>
        <v/>
      </c>
      <c r="P833" s="31">
        <f>IF(COUNTIFS($C:$C,$C833,$D:$D,$D833,$E:$E,"P0(전)",$M:$M,"&gt;0")&lt;&gt;1,"",SUMIFS($M:$M,$C:$C,$C833,$D:$D,$D833,$E:$E,"P0(전)"))</f>
        <v/>
      </c>
      <c r="Q833" s="48">
        <f>IF(COUNTIFS($C:$C,$C833,$D:$D,$D833,$E:$E,"P0(후)",$M:$M,"&gt;0")&lt;&gt;1,"",SUMIFS($I:$I,$C:$C,$C833,$D:$D,$D833,$E:$E,"P0(후)"))</f>
        <v/>
      </c>
      <c r="R833" s="31">
        <f>IF(COUNTIFS($C:$C,$C833,$D:$D,$D833,$E:$E,"P0(후)",$M:$M,"&gt;0")&lt;&gt;1,"",SUMIFS($M:$M,$C:$C,$C833,$D:$D,$D833,$E:$E,"P0(후)"))</f>
        <v/>
      </c>
      <c r="S833" s="31">
        <f>IF(N833&lt;&gt;"OK","",P833+(R833-P833)*(I833-O833)/(Q833-O833))</f>
        <v/>
      </c>
      <c r="T833" s="31">
        <f>IF(OR(N833&lt;&gt;"OK",NOT(ISNUMBER(M833))),"",M833-S833)</f>
        <v/>
      </c>
      <c r="U833" s="49">
        <f>IF(OR(NOT(ISNUMBER(T833)),IF(ISNUMBER(H833),H833,G833)=0),"",T833/IF(ISNUMBER(H833),H833,G833))</f>
        <v/>
      </c>
      <c r="V833" s="49">
        <f>IF(ISNUMBER(U833),ABS(U833),"")</f>
        <v/>
      </c>
      <c r="W833" s="49">
        <f>IF(OR($E832&lt;&gt;"측정",$C832&lt;&gt;$C833,$D832&lt;&gt;$D833,NOT(ISNUMBER(M833)),NOT(ISNUMBER(M832)),(IF(ISNUMBER(H833),H833,G833)-IF(ISNUMBER(H832),H832,G832))=0),"",(M833-M832)/(IF(ISNUMBER(H833),H833,G833)-IF(ISNUMBER(H832),H832,G832)))</f>
        <v/>
      </c>
      <c r="X833" s="31">
        <f>IF(NOT(AND(ISNUMBER(O833),ISNUMBER(Q833))),"",(Q833-O833)*1440)</f>
        <v/>
      </c>
      <c r="Y833" s="29" t="n"/>
      <c r="Z833" s="29" t="n"/>
      <c r="AA833" s="29" t="n"/>
      <c r="AB833" s="32" t="n"/>
      <c r="AC833" s="32" t="n"/>
    </row>
    <row r="834">
      <c r="A834" s="26" t="inlineStr">
        <is>
          <t>S16</t>
        </is>
      </c>
      <c r="B834" s="26" t="inlineStr">
        <is>
          <t>예천 신규점</t>
        </is>
      </c>
      <c r="C834" s="26" t="inlineStr">
        <is>
          <t>S16-H북</t>
        </is>
      </c>
      <c r="D834" s="47" t="n">
        <v>1</v>
      </c>
      <c r="E834" s="26" t="inlineStr">
        <is>
          <t>측정</t>
        </is>
      </c>
      <c r="F834" s="26" t="inlineStr">
        <is>
          <t>북</t>
        </is>
      </c>
      <c r="G834" s="31" t="n">
        <v>8</v>
      </c>
      <c r="H834" s="30" t="n"/>
      <c r="I834" s="43" t="n"/>
      <c r="J834" s="41" t="n"/>
      <c r="K834" s="41" t="n"/>
      <c r="L834" s="41" t="n"/>
      <c r="M834" s="31">
        <f>IF(COUNT(J834:L834)=0,"",MEDIAN(J834:L834))</f>
        <v/>
      </c>
      <c r="N834" s="26">
        <f>IF(COUNTIFS($C:$C,$C834,$D:$D,$D834,$E:$E,"P0(전)",$M:$M,"&gt;0")&lt;&gt;1,"P0(전) 유효 1개 아님",IF(COUNTIFS($C:$C,$C834,$D:$D,$D834,$E:$E,"P0(후)",$M:$M,"&gt;0")&lt;&gt;1,"P0(후) 유효 1개 아님",IF(NOT(AND(ISNUMBER(O834),ISNUMBER(Q834),ISNUMBER(I834))),"시각 결측",IF(Q834&lt;=O834,"P0 시각 역전",IF(OR(I834&lt;O834,I834&gt;Q834),"측정시각 구간 밖","OK")))))</f>
        <v/>
      </c>
      <c r="O834" s="48">
        <f>IF(COUNTIFS($C:$C,$C834,$D:$D,$D834,$E:$E,"P0(전)",$M:$M,"&gt;0")&lt;&gt;1,"",SUMIFS($I:$I,$C:$C,$C834,$D:$D,$D834,$E:$E,"P0(전)"))</f>
        <v/>
      </c>
      <c r="P834" s="31">
        <f>IF(COUNTIFS($C:$C,$C834,$D:$D,$D834,$E:$E,"P0(전)",$M:$M,"&gt;0")&lt;&gt;1,"",SUMIFS($M:$M,$C:$C,$C834,$D:$D,$D834,$E:$E,"P0(전)"))</f>
        <v/>
      </c>
      <c r="Q834" s="48">
        <f>IF(COUNTIFS($C:$C,$C834,$D:$D,$D834,$E:$E,"P0(후)",$M:$M,"&gt;0")&lt;&gt;1,"",SUMIFS($I:$I,$C:$C,$C834,$D:$D,$D834,$E:$E,"P0(후)"))</f>
        <v/>
      </c>
      <c r="R834" s="31">
        <f>IF(COUNTIFS($C:$C,$C834,$D:$D,$D834,$E:$E,"P0(후)",$M:$M,"&gt;0")&lt;&gt;1,"",SUMIFS($M:$M,$C:$C,$C834,$D:$D,$D834,$E:$E,"P0(후)"))</f>
        <v/>
      </c>
      <c r="S834" s="31">
        <f>IF(N834&lt;&gt;"OK","",P834+(R834-P834)*(I834-O834)/(Q834-O834))</f>
        <v/>
      </c>
      <c r="T834" s="31">
        <f>IF(OR(N834&lt;&gt;"OK",NOT(ISNUMBER(M834))),"",M834-S834)</f>
        <v/>
      </c>
      <c r="U834" s="49">
        <f>IF(OR(NOT(ISNUMBER(T834)),IF(ISNUMBER(H834),H834,G834)=0),"",T834/IF(ISNUMBER(H834),H834,G834))</f>
        <v/>
      </c>
      <c r="V834" s="49">
        <f>IF(ISNUMBER(U834),ABS(U834),"")</f>
        <v/>
      </c>
      <c r="W834" s="49">
        <f>IF(OR($E833&lt;&gt;"측정",$C833&lt;&gt;$C834,$D833&lt;&gt;$D834,NOT(ISNUMBER(M834)),NOT(ISNUMBER(M833)),(IF(ISNUMBER(H834),H834,G834)-IF(ISNUMBER(H833),H833,G833))=0),"",(M834-M833)/(IF(ISNUMBER(H834),H834,G834)-IF(ISNUMBER(H833),H833,G833)))</f>
        <v/>
      </c>
      <c r="X834" s="31">
        <f>IF(NOT(AND(ISNUMBER(O834),ISNUMBER(Q834))),"",(Q834-O834)*1440)</f>
        <v/>
      </c>
      <c r="Y834" s="29" t="n"/>
      <c r="Z834" s="29" t="n"/>
      <c r="AA834" s="29" t="n"/>
      <c r="AB834" s="32" t="n"/>
      <c r="AC834" s="32" t="n"/>
    </row>
    <row r="835">
      <c r="A835" s="26" t="inlineStr">
        <is>
          <t>S16</t>
        </is>
      </c>
      <c r="B835" s="26" t="inlineStr">
        <is>
          <t>예천 신규점</t>
        </is>
      </c>
      <c r="C835" s="26" t="inlineStr">
        <is>
          <t>S16-H북</t>
        </is>
      </c>
      <c r="D835" s="47" t="n">
        <v>1</v>
      </c>
      <c r="E835" s="26" t="inlineStr">
        <is>
          <t>측정</t>
        </is>
      </c>
      <c r="F835" s="26" t="inlineStr">
        <is>
          <t>북</t>
        </is>
      </c>
      <c r="G835" s="31" t="n">
        <v>9</v>
      </c>
      <c r="H835" s="30" t="n"/>
      <c r="I835" s="43" t="n"/>
      <c r="J835" s="41" t="n"/>
      <c r="K835" s="41" t="n"/>
      <c r="L835" s="41" t="n"/>
      <c r="M835" s="31">
        <f>IF(COUNT(J835:L835)=0,"",MEDIAN(J835:L835))</f>
        <v/>
      </c>
      <c r="N835" s="26">
        <f>IF(COUNTIFS($C:$C,$C835,$D:$D,$D835,$E:$E,"P0(전)",$M:$M,"&gt;0")&lt;&gt;1,"P0(전) 유효 1개 아님",IF(COUNTIFS($C:$C,$C835,$D:$D,$D835,$E:$E,"P0(후)",$M:$M,"&gt;0")&lt;&gt;1,"P0(후) 유효 1개 아님",IF(NOT(AND(ISNUMBER(O835),ISNUMBER(Q835),ISNUMBER(I835))),"시각 결측",IF(Q835&lt;=O835,"P0 시각 역전",IF(OR(I835&lt;O835,I835&gt;Q835),"측정시각 구간 밖","OK")))))</f>
        <v/>
      </c>
      <c r="O835" s="48">
        <f>IF(COUNTIFS($C:$C,$C835,$D:$D,$D835,$E:$E,"P0(전)",$M:$M,"&gt;0")&lt;&gt;1,"",SUMIFS($I:$I,$C:$C,$C835,$D:$D,$D835,$E:$E,"P0(전)"))</f>
        <v/>
      </c>
      <c r="P835" s="31">
        <f>IF(COUNTIFS($C:$C,$C835,$D:$D,$D835,$E:$E,"P0(전)",$M:$M,"&gt;0")&lt;&gt;1,"",SUMIFS($M:$M,$C:$C,$C835,$D:$D,$D835,$E:$E,"P0(전)"))</f>
        <v/>
      </c>
      <c r="Q835" s="48">
        <f>IF(COUNTIFS($C:$C,$C835,$D:$D,$D835,$E:$E,"P0(후)",$M:$M,"&gt;0")&lt;&gt;1,"",SUMIFS($I:$I,$C:$C,$C835,$D:$D,$D835,$E:$E,"P0(후)"))</f>
        <v/>
      </c>
      <c r="R835" s="31">
        <f>IF(COUNTIFS($C:$C,$C835,$D:$D,$D835,$E:$E,"P0(후)",$M:$M,"&gt;0")&lt;&gt;1,"",SUMIFS($M:$M,$C:$C,$C835,$D:$D,$D835,$E:$E,"P0(후)"))</f>
        <v/>
      </c>
      <c r="S835" s="31">
        <f>IF(N835&lt;&gt;"OK","",P835+(R835-P835)*(I835-O835)/(Q835-O835))</f>
        <v/>
      </c>
      <c r="T835" s="31">
        <f>IF(OR(N835&lt;&gt;"OK",NOT(ISNUMBER(M835))),"",M835-S835)</f>
        <v/>
      </c>
      <c r="U835" s="49">
        <f>IF(OR(NOT(ISNUMBER(T835)),IF(ISNUMBER(H835),H835,G835)=0),"",T835/IF(ISNUMBER(H835),H835,G835))</f>
        <v/>
      </c>
      <c r="V835" s="49">
        <f>IF(ISNUMBER(U835),ABS(U835),"")</f>
        <v/>
      </c>
      <c r="W835" s="49">
        <f>IF(OR($E834&lt;&gt;"측정",$C834&lt;&gt;$C835,$D834&lt;&gt;$D835,NOT(ISNUMBER(M835)),NOT(ISNUMBER(M834)),(IF(ISNUMBER(H835),H835,G835)-IF(ISNUMBER(H834),H834,G834))=0),"",(M835-M834)/(IF(ISNUMBER(H835),H835,G835)-IF(ISNUMBER(H834),H834,G834)))</f>
        <v/>
      </c>
      <c r="X835" s="31">
        <f>IF(NOT(AND(ISNUMBER(O835),ISNUMBER(Q835))),"",(Q835-O835)*1440)</f>
        <v/>
      </c>
      <c r="Y835" s="29" t="n"/>
      <c r="Z835" s="29" t="n"/>
      <c r="AA835" s="29" t="n"/>
      <c r="AB835" s="32" t="n"/>
      <c r="AC835" s="32" t="n"/>
    </row>
    <row r="836">
      <c r="A836" s="26" t="inlineStr">
        <is>
          <t>S16</t>
        </is>
      </c>
      <c r="B836" s="26" t="inlineStr">
        <is>
          <t>예천 신규점</t>
        </is>
      </c>
      <c r="C836" s="26" t="inlineStr">
        <is>
          <t>S16-H북</t>
        </is>
      </c>
      <c r="D836" s="47" t="n">
        <v>1</v>
      </c>
      <c r="E836" s="26" t="inlineStr">
        <is>
          <t>측정</t>
        </is>
      </c>
      <c r="F836" s="26" t="inlineStr">
        <is>
          <t>북</t>
        </is>
      </c>
      <c r="G836" s="31" t="n">
        <v>10</v>
      </c>
      <c r="H836" s="30" t="n"/>
      <c r="I836" s="43" t="n"/>
      <c r="J836" s="41" t="n"/>
      <c r="K836" s="41" t="n"/>
      <c r="L836" s="41" t="n"/>
      <c r="M836" s="31">
        <f>IF(COUNT(J836:L836)=0,"",MEDIAN(J836:L836))</f>
        <v/>
      </c>
      <c r="N836" s="26">
        <f>IF(COUNTIFS($C:$C,$C836,$D:$D,$D836,$E:$E,"P0(전)",$M:$M,"&gt;0")&lt;&gt;1,"P0(전) 유효 1개 아님",IF(COUNTIFS($C:$C,$C836,$D:$D,$D836,$E:$E,"P0(후)",$M:$M,"&gt;0")&lt;&gt;1,"P0(후) 유효 1개 아님",IF(NOT(AND(ISNUMBER(O836),ISNUMBER(Q836),ISNUMBER(I836))),"시각 결측",IF(Q836&lt;=O836,"P0 시각 역전",IF(OR(I836&lt;O836,I836&gt;Q836),"측정시각 구간 밖","OK")))))</f>
        <v/>
      </c>
      <c r="O836" s="48">
        <f>IF(COUNTIFS($C:$C,$C836,$D:$D,$D836,$E:$E,"P0(전)",$M:$M,"&gt;0")&lt;&gt;1,"",SUMIFS($I:$I,$C:$C,$C836,$D:$D,$D836,$E:$E,"P0(전)"))</f>
        <v/>
      </c>
      <c r="P836" s="31">
        <f>IF(COUNTIFS($C:$C,$C836,$D:$D,$D836,$E:$E,"P0(전)",$M:$M,"&gt;0")&lt;&gt;1,"",SUMIFS($M:$M,$C:$C,$C836,$D:$D,$D836,$E:$E,"P0(전)"))</f>
        <v/>
      </c>
      <c r="Q836" s="48">
        <f>IF(COUNTIFS($C:$C,$C836,$D:$D,$D836,$E:$E,"P0(후)",$M:$M,"&gt;0")&lt;&gt;1,"",SUMIFS($I:$I,$C:$C,$C836,$D:$D,$D836,$E:$E,"P0(후)"))</f>
        <v/>
      </c>
      <c r="R836" s="31">
        <f>IF(COUNTIFS($C:$C,$C836,$D:$D,$D836,$E:$E,"P0(후)",$M:$M,"&gt;0")&lt;&gt;1,"",SUMIFS($M:$M,$C:$C,$C836,$D:$D,$D836,$E:$E,"P0(후)"))</f>
        <v/>
      </c>
      <c r="S836" s="31">
        <f>IF(N836&lt;&gt;"OK","",P836+(R836-P836)*(I836-O836)/(Q836-O836))</f>
        <v/>
      </c>
      <c r="T836" s="31">
        <f>IF(OR(N836&lt;&gt;"OK",NOT(ISNUMBER(M836))),"",M836-S836)</f>
        <v/>
      </c>
      <c r="U836" s="49">
        <f>IF(OR(NOT(ISNUMBER(T836)),IF(ISNUMBER(H836),H836,G836)=0),"",T836/IF(ISNUMBER(H836),H836,G836))</f>
        <v/>
      </c>
      <c r="V836" s="49">
        <f>IF(ISNUMBER(U836),ABS(U836),"")</f>
        <v/>
      </c>
      <c r="W836" s="49">
        <f>IF(OR($E835&lt;&gt;"측정",$C835&lt;&gt;$C836,$D835&lt;&gt;$D836,NOT(ISNUMBER(M836)),NOT(ISNUMBER(M835)),(IF(ISNUMBER(H836),H836,G836)-IF(ISNUMBER(H835),H835,G835))=0),"",(M836-M835)/(IF(ISNUMBER(H836),H836,G836)-IF(ISNUMBER(H835),H835,G835)))</f>
        <v/>
      </c>
      <c r="X836" s="31">
        <f>IF(NOT(AND(ISNUMBER(O836),ISNUMBER(Q836))),"",(Q836-O836)*1440)</f>
        <v/>
      </c>
      <c r="Y836" s="29" t="n"/>
      <c r="Z836" s="29" t="n"/>
      <c r="AA836" s="29" t="n"/>
      <c r="AB836" s="32" t="n"/>
      <c r="AC836" s="32" t="n"/>
    </row>
    <row r="837">
      <c r="A837" s="44" t="inlineStr">
        <is>
          <t>S16</t>
        </is>
      </c>
      <c r="B837" s="44" t="inlineStr">
        <is>
          <t>예천 신규점</t>
        </is>
      </c>
      <c r="C837" s="44" t="inlineStr">
        <is>
          <t>S16-H북</t>
        </is>
      </c>
      <c r="D837" s="45" t="n">
        <v>1</v>
      </c>
      <c r="E837" s="44" t="inlineStr">
        <is>
          <t>P0(후)</t>
        </is>
      </c>
      <c r="F837" s="44" t="inlineStr">
        <is>
          <t>북</t>
        </is>
      </c>
      <c r="G837" s="46" t="n"/>
      <c r="H837" s="30" t="n"/>
      <c r="I837" s="43" t="n"/>
      <c r="J837" s="41" t="n"/>
      <c r="K837" s="41" t="n"/>
      <c r="L837" s="41" t="n"/>
      <c r="M837" s="31">
        <f>IF(COUNT(J837:L837)=0,"",MEDIAN(J837:L837))</f>
        <v/>
      </c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38" t="n"/>
      <c r="Y837" s="29" t="n"/>
      <c r="Z837" s="29" t="n"/>
      <c r="AA837" s="29" t="n"/>
      <c r="AB837" s="32" t="n"/>
      <c r="AC837" s="32" t="n"/>
    </row>
    <row r="838">
      <c r="A838" s="44" t="inlineStr">
        <is>
          <t>S17</t>
        </is>
      </c>
      <c r="B838" s="44" t="inlineStr">
        <is>
          <t>영양 신규점4</t>
        </is>
      </c>
      <c r="C838" s="44" t="inlineStr">
        <is>
          <t>S17-H동</t>
        </is>
      </c>
      <c r="D838" s="45" t="n">
        <v>1</v>
      </c>
      <c r="E838" s="44" t="inlineStr">
        <is>
          <t>P0(전)</t>
        </is>
      </c>
      <c r="F838" s="44" t="inlineStr">
        <is>
          <t>동</t>
        </is>
      </c>
      <c r="G838" s="46" t="n"/>
      <c r="H838" s="30" t="n"/>
      <c r="I838" s="43" t="n"/>
      <c r="J838" s="41" t="n"/>
      <c r="K838" s="41" t="n"/>
      <c r="L838" s="41" t="n"/>
      <c r="M838" s="31">
        <f>IF(COUNT(J838:L838)=0,"",MEDIAN(J838:L838))</f>
        <v/>
      </c>
      <c r="N838" s="38" t="n"/>
      <c r="O838" s="38" t="n"/>
      <c r="P838" s="38" t="n"/>
      <c r="Q838" s="38" t="n"/>
      <c r="R838" s="38" t="n"/>
      <c r="S838" s="38" t="n"/>
      <c r="T838" s="38" t="n"/>
      <c r="U838" s="38" t="n"/>
      <c r="V838" s="38" t="n"/>
      <c r="W838" s="38" t="n"/>
      <c r="X838" s="38" t="n"/>
      <c r="Y838" s="29" t="n"/>
      <c r="Z838" s="29" t="n"/>
      <c r="AA838" s="29" t="n"/>
      <c r="AB838" s="32" t="n"/>
      <c r="AC838" s="32" t="n"/>
    </row>
    <row r="839">
      <c r="A839" s="26" t="inlineStr">
        <is>
          <t>S17</t>
        </is>
      </c>
      <c r="B839" s="26" t="inlineStr">
        <is>
          <t>영양 신규점4</t>
        </is>
      </c>
      <c r="C839" s="26" t="inlineStr">
        <is>
          <t>S17-H동</t>
        </is>
      </c>
      <c r="D839" s="47" t="n">
        <v>1</v>
      </c>
      <c r="E839" s="26" t="inlineStr">
        <is>
          <t>측정</t>
        </is>
      </c>
      <c r="F839" s="26" t="inlineStr">
        <is>
          <t>동</t>
        </is>
      </c>
      <c r="G839" s="31" t="n">
        <v>0.5</v>
      </c>
      <c r="H839" s="30" t="n"/>
      <c r="I839" s="43" t="n"/>
      <c r="J839" s="41" t="n"/>
      <c r="K839" s="41" t="n"/>
      <c r="L839" s="41" t="n"/>
      <c r="M839" s="31">
        <f>IF(COUNT(J839:L839)=0,"",MEDIAN(J839:L839))</f>
        <v/>
      </c>
      <c r="N839" s="26">
        <f>IF(COUNTIFS($C:$C,$C839,$D:$D,$D839,$E:$E,"P0(전)",$M:$M,"&gt;0")&lt;&gt;1,"P0(전) 유효 1개 아님",IF(COUNTIFS($C:$C,$C839,$D:$D,$D839,$E:$E,"P0(후)",$M:$M,"&gt;0")&lt;&gt;1,"P0(후) 유효 1개 아님",IF(NOT(AND(ISNUMBER(O839),ISNUMBER(Q839),ISNUMBER(I839))),"시각 결측",IF(Q839&lt;=O839,"P0 시각 역전",IF(OR(I839&lt;O839,I839&gt;Q839),"측정시각 구간 밖","OK")))))</f>
        <v/>
      </c>
      <c r="O839" s="48">
        <f>IF(COUNTIFS($C:$C,$C839,$D:$D,$D839,$E:$E,"P0(전)",$M:$M,"&gt;0")&lt;&gt;1,"",SUMIFS($I:$I,$C:$C,$C839,$D:$D,$D839,$E:$E,"P0(전)"))</f>
        <v/>
      </c>
      <c r="P839" s="31">
        <f>IF(COUNTIFS($C:$C,$C839,$D:$D,$D839,$E:$E,"P0(전)",$M:$M,"&gt;0")&lt;&gt;1,"",SUMIFS($M:$M,$C:$C,$C839,$D:$D,$D839,$E:$E,"P0(전)"))</f>
        <v/>
      </c>
      <c r="Q839" s="48">
        <f>IF(COUNTIFS($C:$C,$C839,$D:$D,$D839,$E:$E,"P0(후)",$M:$M,"&gt;0")&lt;&gt;1,"",SUMIFS($I:$I,$C:$C,$C839,$D:$D,$D839,$E:$E,"P0(후)"))</f>
        <v/>
      </c>
      <c r="R839" s="31">
        <f>IF(COUNTIFS($C:$C,$C839,$D:$D,$D839,$E:$E,"P0(후)",$M:$M,"&gt;0")&lt;&gt;1,"",SUMIFS($M:$M,$C:$C,$C839,$D:$D,$D839,$E:$E,"P0(후)"))</f>
        <v/>
      </c>
      <c r="S839" s="31">
        <f>IF(N839&lt;&gt;"OK","",P839+(R839-P839)*(I839-O839)/(Q839-O839))</f>
        <v/>
      </c>
      <c r="T839" s="31">
        <f>IF(OR(N839&lt;&gt;"OK",NOT(ISNUMBER(M839))),"",M839-S839)</f>
        <v/>
      </c>
      <c r="U839" s="49">
        <f>IF(OR(NOT(ISNUMBER(T839)),IF(ISNUMBER(H839),H839,G839)=0),"",T839/IF(ISNUMBER(H839),H839,G839))</f>
        <v/>
      </c>
      <c r="V839" s="49">
        <f>IF(ISNUMBER(U839),ABS(U839),"")</f>
        <v/>
      </c>
      <c r="W839" s="49">
        <f>IF(OR($E838&lt;&gt;"측정",$C838&lt;&gt;$C839,$D838&lt;&gt;$D839,NOT(ISNUMBER(M839)),NOT(ISNUMBER(M838)),(IF(ISNUMBER(H839),H839,G839)-IF(ISNUMBER(H838),H838,G838))=0),"",(M839-M838)/(IF(ISNUMBER(H839),H839,G839)-IF(ISNUMBER(H838),H838,G838)))</f>
        <v/>
      </c>
      <c r="X839" s="31">
        <f>IF(NOT(AND(ISNUMBER(O839),ISNUMBER(Q839))),"",(Q839-O839)*1440)</f>
        <v/>
      </c>
      <c r="Y839" s="29" t="n"/>
      <c r="Z839" s="29" t="n"/>
      <c r="AA839" s="29" t="n"/>
      <c r="AB839" s="32" t="n"/>
      <c r="AC839" s="32" t="n"/>
    </row>
    <row r="840">
      <c r="A840" s="26" t="inlineStr">
        <is>
          <t>S17</t>
        </is>
      </c>
      <c r="B840" s="26" t="inlineStr">
        <is>
          <t>영양 신규점4</t>
        </is>
      </c>
      <c r="C840" s="26" t="inlineStr">
        <is>
          <t>S17-H동</t>
        </is>
      </c>
      <c r="D840" s="47" t="n">
        <v>1</v>
      </c>
      <c r="E840" s="26" t="inlineStr">
        <is>
          <t>측정</t>
        </is>
      </c>
      <c r="F840" s="26" t="inlineStr">
        <is>
          <t>동</t>
        </is>
      </c>
      <c r="G840" s="31" t="n">
        <v>1</v>
      </c>
      <c r="H840" s="30" t="n"/>
      <c r="I840" s="43" t="n"/>
      <c r="J840" s="41" t="n"/>
      <c r="K840" s="41" t="n"/>
      <c r="L840" s="41" t="n"/>
      <c r="M840" s="31">
        <f>IF(COUNT(J840:L840)=0,"",MEDIAN(J840:L840))</f>
        <v/>
      </c>
      <c r="N840" s="26">
        <f>IF(COUNTIFS($C:$C,$C840,$D:$D,$D840,$E:$E,"P0(전)",$M:$M,"&gt;0")&lt;&gt;1,"P0(전) 유효 1개 아님",IF(COUNTIFS($C:$C,$C840,$D:$D,$D840,$E:$E,"P0(후)",$M:$M,"&gt;0")&lt;&gt;1,"P0(후) 유효 1개 아님",IF(NOT(AND(ISNUMBER(O840),ISNUMBER(Q840),ISNUMBER(I840))),"시각 결측",IF(Q840&lt;=O840,"P0 시각 역전",IF(OR(I840&lt;O840,I840&gt;Q840),"측정시각 구간 밖","OK")))))</f>
        <v/>
      </c>
      <c r="O840" s="48">
        <f>IF(COUNTIFS($C:$C,$C840,$D:$D,$D840,$E:$E,"P0(전)",$M:$M,"&gt;0")&lt;&gt;1,"",SUMIFS($I:$I,$C:$C,$C840,$D:$D,$D840,$E:$E,"P0(전)"))</f>
        <v/>
      </c>
      <c r="P840" s="31">
        <f>IF(COUNTIFS($C:$C,$C840,$D:$D,$D840,$E:$E,"P0(전)",$M:$M,"&gt;0")&lt;&gt;1,"",SUMIFS($M:$M,$C:$C,$C840,$D:$D,$D840,$E:$E,"P0(전)"))</f>
        <v/>
      </c>
      <c r="Q840" s="48">
        <f>IF(COUNTIFS($C:$C,$C840,$D:$D,$D840,$E:$E,"P0(후)",$M:$M,"&gt;0")&lt;&gt;1,"",SUMIFS($I:$I,$C:$C,$C840,$D:$D,$D840,$E:$E,"P0(후)"))</f>
        <v/>
      </c>
      <c r="R840" s="31">
        <f>IF(COUNTIFS($C:$C,$C840,$D:$D,$D840,$E:$E,"P0(후)",$M:$M,"&gt;0")&lt;&gt;1,"",SUMIFS($M:$M,$C:$C,$C840,$D:$D,$D840,$E:$E,"P0(후)"))</f>
        <v/>
      </c>
      <c r="S840" s="31">
        <f>IF(N840&lt;&gt;"OK","",P840+(R840-P840)*(I840-O840)/(Q840-O840))</f>
        <v/>
      </c>
      <c r="T840" s="31">
        <f>IF(OR(N840&lt;&gt;"OK",NOT(ISNUMBER(M840))),"",M840-S840)</f>
        <v/>
      </c>
      <c r="U840" s="49">
        <f>IF(OR(NOT(ISNUMBER(T840)),IF(ISNUMBER(H840),H840,G840)=0),"",T840/IF(ISNUMBER(H840),H840,G840))</f>
        <v/>
      </c>
      <c r="V840" s="49">
        <f>IF(ISNUMBER(U840),ABS(U840),"")</f>
        <v/>
      </c>
      <c r="W840" s="49">
        <f>IF(OR($E839&lt;&gt;"측정",$C839&lt;&gt;$C840,$D839&lt;&gt;$D840,NOT(ISNUMBER(M840)),NOT(ISNUMBER(M839)),(IF(ISNUMBER(H840),H840,G840)-IF(ISNUMBER(H839),H839,G839))=0),"",(M840-M839)/(IF(ISNUMBER(H840),H840,G840)-IF(ISNUMBER(H839),H839,G839)))</f>
        <v/>
      </c>
      <c r="X840" s="31">
        <f>IF(NOT(AND(ISNUMBER(O840),ISNUMBER(Q840))),"",(Q840-O840)*1440)</f>
        <v/>
      </c>
      <c r="Y840" s="29" t="n"/>
      <c r="Z840" s="29" t="n"/>
      <c r="AA840" s="29" t="n"/>
      <c r="AB840" s="32" t="n"/>
      <c r="AC840" s="32" t="n"/>
    </row>
    <row r="841">
      <c r="A841" s="26" t="inlineStr">
        <is>
          <t>S17</t>
        </is>
      </c>
      <c r="B841" s="26" t="inlineStr">
        <is>
          <t>영양 신규점4</t>
        </is>
      </c>
      <c r="C841" s="26" t="inlineStr">
        <is>
          <t>S17-H동</t>
        </is>
      </c>
      <c r="D841" s="47" t="n">
        <v>1</v>
      </c>
      <c r="E841" s="26" t="inlineStr">
        <is>
          <t>측정</t>
        </is>
      </c>
      <c r="F841" s="26" t="inlineStr">
        <is>
          <t>동</t>
        </is>
      </c>
      <c r="G841" s="31" t="n">
        <v>2</v>
      </c>
      <c r="H841" s="30" t="n"/>
      <c r="I841" s="43" t="n"/>
      <c r="J841" s="41" t="n"/>
      <c r="K841" s="41" t="n"/>
      <c r="L841" s="41" t="n"/>
      <c r="M841" s="31">
        <f>IF(COUNT(J841:L841)=0,"",MEDIAN(J841:L841))</f>
        <v/>
      </c>
      <c r="N841" s="26">
        <f>IF(COUNTIFS($C:$C,$C841,$D:$D,$D841,$E:$E,"P0(전)",$M:$M,"&gt;0")&lt;&gt;1,"P0(전) 유효 1개 아님",IF(COUNTIFS($C:$C,$C841,$D:$D,$D841,$E:$E,"P0(후)",$M:$M,"&gt;0")&lt;&gt;1,"P0(후) 유효 1개 아님",IF(NOT(AND(ISNUMBER(O841),ISNUMBER(Q841),ISNUMBER(I841))),"시각 결측",IF(Q841&lt;=O841,"P0 시각 역전",IF(OR(I841&lt;O841,I841&gt;Q841),"측정시각 구간 밖","OK")))))</f>
        <v/>
      </c>
      <c r="O841" s="48">
        <f>IF(COUNTIFS($C:$C,$C841,$D:$D,$D841,$E:$E,"P0(전)",$M:$M,"&gt;0")&lt;&gt;1,"",SUMIFS($I:$I,$C:$C,$C841,$D:$D,$D841,$E:$E,"P0(전)"))</f>
        <v/>
      </c>
      <c r="P841" s="31">
        <f>IF(COUNTIFS($C:$C,$C841,$D:$D,$D841,$E:$E,"P0(전)",$M:$M,"&gt;0")&lt;&gt;1,"",SUMIFS($M:$M,$C:$C,$C841,$D:$D,$D841,$E:$E,"P0(전)"))</f>
        <v/>
      </c>
      <c r="Q841" s="48">
        <f>IF(COUNTIFS($C:$C,$C841,$D:$D,$D841,$E:$E,"P0(후)",$M:$M,"&gt;0")&lt;&gt;1,"",SUMIFS($I:$I,$C:$C,$C841,$D:$D,$D841,$E:$E,"P0(후)"))</f>
        <v/>
      </c>
      <c r="R841" s="31">
        <f>IF(COUNTIFS($C:$C,$C841,$D:$D,$D841,$E:$E,"P0(후)",$M:$M,"&gt;0")&lt;&gt;1,"",SUMIFS($M:$M,$C:$C,$C841,$D:$D,$D841,$E:$E,"P0(후)"))</f>
        <v/>
      </c>
      <c r="S841" s="31">
        <f>IF(N841&lt;&gt;"OK","",P841+(R841-P841)*(I841-O841)/(Q841-O841))</f>
        <v/>
      </c>
      <c r="T841" s="31">
        <f>IF(OR(N841&lt;&gt;"OK",NOT(ISNUMBER(M841))),"",M841-S841)</f>
        <v/>
      </c>
      <c r="U841" s="49">
        <f>IF(OR(NOT(ISNUMBER(T841)),IF(ISNUMBER(H841),H841,G841)=0),"",T841/IF(ISNUMBER(H841),H841,G841))</f>
        <v/>
      </c>
      <c r="V841" s="49">
        <f>IF(ISNUMBER(U841),ABS(U841),"")</f>
        <v/>
      </c>
      <c r="W841" s="49">
        <f>IF(OR($E840&lt;&gt;"측정",$C840&lt;&gt;$C841,$D840&lt;&gt;$D841,NOT(ISNUMBER(M841)),NOT(ISNUMBER(M840)),(IF(ISNUMBER(H841),H841,G841)-IF(ISNUMBER(H840),H840,G840))=0),"",(M841-M840)/(IF(ISNUMBER(H841),H841,G841)-IF(ISNUMBER(H840),H840,G840)))</f>
        <v/>
      </c>
      <c r="X841" s="31">
        <f>IF(NOT(AND(ISNUMBER(O841),ISNUMBER(Q841))),"",(Q841-O841)*1440)</f>
        <v/>
      </c>
      <c r="Y841" s="29" t="n"/>
      <c r="Z841" s="29" t="n"/>
      <c r="AA841" s="29" t="n"/>
      <c r="AB841" s="32" t="n"/>
      <c r="AC841" s="32" t="n"/>
    </row>
    <row r="842">
      <c r="A842" s="26" t="inlineStr">
        <is>
          <t>S17</t>
        </is>
      </c>
      <c r="B842" s="26" t="inlineStr">
        <is>
          <t>영양 신규점4</t>
        </is>
      </c>
      <c r="C842" s="26" t="inlineStr">
        <is>
          <t>S17-H동</t>
        </is>
      </c>
      <c r="D842" s="47" t="n">
        <v>1</v>
      </c>
      <c r="E842" s="26" t="inlineStr">
        <is>
          <t>측정</t>
        </is>
      </c>
      <c r="F842" s="26" t="inlineStr">
        <is>
          <t>동</t>
        </is>
      </c>
      <c r="G842" s="31" t="n">
        <v>3</v>
      </c>
      <c r="H842" s="30" t="n"/>
      <c r="I842" s="43" t="n"/>
      <c r="J842" s="41" t="n"/>
      <c r="K842" s="41" t="n"/>
      <c r="L842" s="41" t="n"/>
      <c r="M842" s="31">
        <f>IF(COUNT(J842:L842)=0,"",MEDIAN(J842:L842))</f>
        <v/>
      </c>
      <c r="N842" s="26">
        <f>IF(COUNTIFS($C:$C,$C842,$D:$D,$D842,$E:$E,"P0(전)",$M:$M,"&gt;0")&lt;&gt;1,"P0(전) 유효 1개 아님",IF(COUNTIFS($C:$C,$C842,$D:$D,$D842,$E:$E,"P0(후)",$M:$M,"&gt;0")&lt;&gt;1,"P0(후) 유효 1개 아님",IF(NOT(AND(ISNUMBER(O842),ISNUMBER(Q842),ISNUMBER(I842))),"시각 결측",IF(Q842&lt;=O842,"P0 시각 역전",IF(OR(I842&lt;O842,I842&gt;Q842),"측정시각 구간 밖","OK")))))</f>
        <v/>
      </c>
      <c r="O842" s="48">
        <f>IF(COUNTIFS($C:$C,$C842,$D:$D,$D842,$E:$E,"P0(전)",$M:$M,"&gt;0")&lt;&gt;1,"",SUMIFS($I:$I,$C:$C,$C842,$D:$D,$D842,$E:$E,"P0(전)"))</f>
        <v/>
      </c>
      <c r="P842" s="31">
        <f>IF(COUNTIFS($C:$C,$C842,$D:$D,$D842,$E:$E,"P0(전)",$M:$M,"&gt;0")&lt;&gt;1,"",SUMIFS($M:$M,$C:$C,$C842,$D:$D,$D842,$E:$E,"P0(전)"))</f>
        <v/>
      </c>
      <c r="Q842" s="48">
        <f>IF(COUNTIFS($C:$C,$C842,$D:$D,$D842,$E:$E,"P0(후)",$M:$M,"&gt;0")&lt;&gt;1,"",SUMIFS($I:$I,$C:$C,$C842,$D:$D,$D842,$E:$E,"P0(후)"))</f>
        <v/>
      </c>
      <c r="R842" s="31">
        <f>IF(COUNTIFS($C:$C,$C842,$D:$D,$D842,$E:$E,"P0(후)",$M:$M,"&gt;0")&lt;&gt;1,"",SUMIFS($M:$M,$C:$C,$C842,$D:$D,$D842,$E:$E,"P0(후)"))</f>
        <v/>
      </c>
      <c r="S842" s="31">
        <f>IF(N842&lt;&gt;"OK","",P842+(R842-P842)*(I842-O842)/(Q842-O842))</f>
        <v/>
      </c>
      <c r="T842" s="31">
        <f>IF(OR(N842&lt;&gt;"OK",NOT(ISNUMBER(M842))),"",M842-S842)</f>
        <v/>
      </c>
      <c r="U842" s="49">
        <f>IF(OR(NOT(ISNUMBER(T842)),IF(ISNUMBER(H842),H842,G842)=0),"",T842/IF(ISNUMBER(H842),H842,G842))</f>
        <v/>
      </c>
      <c r="V842" s="49">
        <f>IF(ISNUMBER(U842),ABS(U842),"")</f>
        <v/>
      </c>
      <c r="W842" s="49">
        <f>IF(OR($E841&lt;&gt;"측정",$C841&lt;&gt;$C842,$D841&lt;&gt;$D842,NOT(ISNUMBER(M842)),NOT(ISNUMBER(M841)),(IF(ISNUMBER(H842),H842,G842)-IF(ISNUMBER(H841),H841,G841))=0),"",(M842-M841)/(IF(ISNUMBER(H842),H842,G842)-IF(ISNUMBER(H841),H841,G841)))</f>
        <v/>
      </c>
      <c r="X842" s="31">
        <f>IF(NOT(AND(ISNUMBER(O842),ISNUMBER(Q842))),"",(Q842-O842)*1440)</f>
        <v/>
      </c>
      <c r="Y842" s="29" t="n"/>
      <c r="Z842" s="29" t="n"/>
      <c r="AA842" s="29" t="n"/>
      <c r="AB842" s="32" t="n"/>
      <c r="AC842" s="32" t="n"/>
    </row>
    <row r="843">
      <c r="A843" s="26" t="inlineStr">
        <is>
          <t>S17</t>
        </is>
      </c>
      <c r="B843" s="26" t="inlineStr">
        <is>
          <t>영양 신규점4</t>
        </is>
      </c>
      <c r="C843" s="26" t="inlineStr">
        <is>
          <t>S17-H동</t>
        </is>
      </c>
      <c r="D843" s="47" t="n">
        <v>1</v>
      </c>
      <c r="E843" s="26" t="inlineStr">
        <is>
          <t>측정</t>
        </is>
      </c>
      <c r="F843" s="26" t="inlineStr">
        <is>
          <t>동</t>
        </is>
      </c>
      <c r="G843" s="31" t="n">
        <v>4</v>
      </c>
      <c r="H843" s="30" t="n"/>
      <c r="I843" s="43" t="n"/>
      <c r="J843" s="41" t="n"/>
      <c r="K843" s="41" t="n"/>
      <c r="L843" s="41" t="n"/>
      <c r="M843" s="31">
        <f>IF(COUNT(J843:L843)=0,"",MEDIAN(J843:L843))</f>
        <v/>
      </c>
      <c r="N843" s="26">
        <f>IF(COUNTIFS($C:$C,$C843,$D:$D,$D843,$E:$E,"P0(전)",$M:$M,"&gt;0")&lt;&gt;1,"P0(전) 유효 1개 아님",IF(COUNTIFS($C:$C,$C843,$D:$D,$D843,$E:$E,"P0(후)",$M:$M,"&gt;0")&lt;&gt;1,"P0(후) 유효 1개 아님",IF(NOT(AND(ISNUMBER(O843),ISNUMBER(Q843),ISNUMBER(I843))),"시각 결측",IF(Q843&lt;=O843,"P0 시각 역전",IF(OR(I843&lt;O843,I843&gt;Q843),"측정시각 구간 밖","OK")))))</f>
        <v/>
      </c>
      <c r="O843" s="48">
        <f>IF(COUNTIFS($C:$C,$C843,$D:$D,$D843,$E:$E,"P0(전)",$M:$M,"&gt;0")&lt;&gt;1,"",SUMIFS($I:$I,$C:$C,$C843,$D:$D,$D843,$E:$E,"P0(전)"))</f>
        <v/>
      </c>
      <c r="P843" s="31">
        <f>IF(COUNTIFS($C:$C,$C843,$D:$D,$D843,$E:$E,"P0(전)",$M:$M,"&gt;0")&lt;&gt;1,"",SUMIFS($M:$M,$C:$C,$C843,$D:$D,$D843,$E:$E,"P0(전)"))</f>
        <v/>
      </c>
      <c r="Q843" s="48">
        <f>IF(COUNTIFS($C:$C,$C843,$D:$D,$D843,$E:$E,"P0(후)",$M:$M,"&gt;0")&lt;&gt;1,"",SUMIFS($I:$I,$C:$C,$C843,$D:$D,$D843,$E:$E,"P0(후)"))</f>
        <v/>
      </c>
      <c r="R843" s="31">
        <f>IF(COUNTIFS($C:$C,$C843,$D:$D,$D843,$E:$E,"P0(후)",$M:$M,"&gt;0")&lt;&gt;1,"",SUMIFS($M:$M,$C:$C,$C843,$D:$D,$D843,$E:$E,"P0(후)"))</f>
        <v/>
      </c>
      <c r="S843" s="31">
        <f>IF(N843&lt;&gt;"OK","",P843+(R843-P843)*(I843-O843)/(Q843-O843))</f>
        <v/>
      </c>
      <c r="T843" s="31">
        <f>IF(OR(N843&lt;&gt;"OK",NOT(ISNUMBER(M843))),"",M843-S843)</f>
        <v/>
      </c>
      <c r="U843" s="49">
        <f>IF(OR(NOT(ISNUMBER(T843)),IF(ISNUMBER(H843),H843,G843)=0),"",T843/IF(ISNUMBER(H843),H843,G843))</f>
        <v/>
      </c>
      <c r="V843" s="49">
        <f>IF(ISNUMBER(U843),ABS(U843),"")</f>
        <v/>
      </c>
      <c r="W843" s="49">
        <f>IF(OR($E842&lt;&gt;"측정",$C842&lt;&gt;$C843,$D842&lt;&gt;$D843,NOT(ISNUMBER(M843)),NOT(ISNUMBER(M842)),(IF(ISNUMBER(H843),H843,G843)-IF(ISNUMBER(H842),H842,G842))=0),"",(M843-M842)/(IF(ISNUMBER(H843),H843,G843)-IF(ISNUMBER(H842),H842,G842)))</f>
        <v/>
      </c>
      <c r="X843" s="31">
        <f>IF(NOT(AND(ISNUMBER(O843),ISNUMBER(Q843))),"",(Q843-O843)*1440)</f>
        <v/>
      </c>
      <c r="Y843" s="29" t="n"/>
      <c r="Z843" s="29" t="n"/>
      <c r="AA843" s="29" t="n"/>
      <c r="AB843" s="32" t="n"/>
      <c r="AC843" s="32" t="n"/>
    </row>
    <row r="844">
      <c r="A844" s="26" t="inlineStr">
        <is>
          <t>S17</t>
        </is>
      </c>
      <c r="B844" s="26" t="inlineStr">
        <is>
          <t>영양 신규점4</t>
        </is>
      </c>
      <c r="C844" s="26" t="inlineStr">
        <is>
          <t>S17-H동</t>
        </is>
      </c>
      <c r="D844" s="47" t="n">
        <v>1</v>
      </c>
      <c r="E844" s="26" t="inlineStr">
        <is>
          <t>측정</t>
        </is>
      </c>
      <c r="F844" s="26" t="inlineStr">
        <is>
          <t>동</t>
        </is>
      </c>
      <c r="G844" s="31" t="n">
        <v>5</v>
      </c>
      <c r="H844" s="30" t="n"/>
      <c r="I844" s="43" t="n"/>
      <c r="J844" s="41" t="n"/>
      <c r="K844" s="41" t="n"/>
      <c r="L844" s="41" t="n"/>
      <c r="M844" s="31">
        <f>IF(COUNT(J844:L844)=0,"",MEDIAN(J844:L844))</f>
        <v/>
      </c>
      <c r="N844" s="26">
        <f>IF(COUNTIFS($C:$C,$C844,$D:$D,$D844,$E:$E,"P0(전)",$M:$M,"&gt;0")&lt;&gt;1,"P0(전) 유효 1개 아님",IF(COUNTIFS($C:$C,$C844,$D:$D,$D844,$E:$E,"P0(후)",$M:$M,"&gt;0")&lt;&gt;1,"P0(후) 유효 1개 아님",IF(NOT(AND(ISNUMBER(O844),ISNUMBER(Q844),ISNUMBER(I844))),"시각 결측",IF(Q844&lt;=O844,"P0 시각 역전",IF(OR(I844&lt;O844,I844&gt;Q844),"측정시각 구간 밖","OK")))))</f>
        <v/>
      </c>
      <c r="O844" s="48">
        <f>IF(COUNTIFS($C:$C,$C844,$D:$D,$D844,$E:$E,"P0(전)",$M:$M,"&gt;0")&lt;&gt;1,"",SUMIFS($I:$I,$C:$C,$C844,$D:$D,$D844,$E:$E,"P0(전)"))</f>
        <v/>
      </c>
      <c r="P844" s="31">
        <f>IF(COUNTIFS($C:$C,$C844,$D:$D,$D844,$E:$E,"P0(전)",$M:$M,"&gt;0")&lt;&gt;1,"",SUMIFS($M:$M,$C:$C,$C844,$D:$D,$D844,$E:$E,"P0(전)"))</f>
        <v/>
      </c>
      <c r="Q844" s="48">
        <f>IF(COUNTIFS($C:$C,$C844,$D:$D,$D844,$E:$E,"P0(후)",$M:$M,"&gt;0")&lt;&gt;1,"",SUMIFS($I:$I,$C:$C,$C844,$D:$D,$D844,$E:$E,"P0(후)"))</f>
        <v/>
      </c>
      <c r="R844" s="31">
        <f>IF(COUNTIFS($C:$C,$C844,$D:$D,$D844,$E:$E,"P0(후)",$M:$M,"&gt;0")&lt;&gt;1,"",SUMIFS($M:$M,$C:$C,$C844,$D:$D,$D844,$E:$E,"P0(후)"))</f>
        <v/>
      </c>
      <c r="S844" s="31">
        <f>IF(N844&lt;&gt;"OK","",P844+(R844-P844)*(I844-O844)/(Q844-O844))</f>
        <v/>
      </c>
      <c r="T844" s="31">
        <f>IF(OR(N844&lt;&gt;"OK",NOT(ISNUMBER(M844))),"",M844-S844)</f>
        <v/>
      </c>
      <c r="U844" s="49">
        <f>IF(OR(NOT(ISNUMBER(T844)),IF(ISNUMBER(H844),H844,G844)=0),"",T844/IF(ISNUMBER(H844),H844,G844))</f>
        <v/>
      </c>
      <c r="V844" s="49">
        <f>IF(ISNUMBER(U844),ABS(U844),"")</f>
        <v/>
      </c>
      <c r="W844" s="49">
        <f>IF(OR($E843&lt;&gt;"측정",$C843&lt;&gt;$C844,$D843&lt;&gt;$D844,NOT(ISNUMBER(M844)),NOT(ISNUMBER(M843)),(IF(ISNUMBER(H844),H844,G844)-IF(ISNUMBER(H843),H843,G843))=0),"",(M844-M843)/(IF(ISNUMBER(H844),H844,G844)-IF(ISNUMBER(H843),H843,G843)))</f>
        <v/>
      </c>
      <c r="X844" s="31">
        <f>IF(NOT(AND(ISNUMBER(O844),ISNUMBER(Q844))),"",(Q844-O844)*1440)</f>
        <v/>
      </c>
      <c r="Y844" s="29" t="n"/>
      <c r="Z844" s="29" t="n"/>
      <c r="AA844" s="29" t="n"/>
      <c r="AB844" s="32" t="n"/>
      <c r="AC844" s="32" t="n"/>
    </row>
    <row r="845">
      <c r="A845" s="26" t="inlineStr">
        <is>
          <t>S17</t>
        </is>
      </c>
      <c r="B845" s="26" t="inlineStr">
        <is>
          <t>영양 신규점4</t>
        </is>
      </c>
      <c r="C845" s="26" t="inlineStr">
        <is>
          <t>S17-H동</t>
        </is>
      </c>
      <c r="D845" s="47" t="n">
        <v>1</v>
      </c>
      <c r="E845" s="26" t="inlineStr">
        <is>
          <t>측정</t>
        </is>
      </c>
      <c r="F845" s="26" t="inlineStr">
        <is>
          <t>동</t>
        </is>
      </c>
      <c r="G845" s="31" t="n">
        <v>6</v>
      </c>
      <c r="H845" s="30" t="n"/>
      <c r="I845" s="43" t="n"/>
      <c r="J845" s="41" t="n"/>
      <c r="K845" s="41" t="n"/>
      <c r="L845" s="41" t="n"/>
      <c r="M845" s="31">
        <f>IF(COUNT(J845:L845)=0,"",MEDIAN(J845:L845))</f>
        <v/>
      </c>
      <c r="N845" s="26">
        <f>IF(COUNTIFS($C:$C,$C845,$D:$D,$D845,$E:$E,"P0(전)",$M:$M,"&gt;0")&lt;&gt;1,"P0(전) 유효 1개 아님",IF(COUNTIFS($C:$C,$C845,$D:$D,$D845,$E:$E,"P0(후)",$M:$M,"&gt;0")&lt;&gt;1,"P0(후) 유효 1개 아님",IF(NOT(AND(ISNUMBER(O845),ISNUMBER(Q845),ISNUMBER(I845))),"시각 결측",IF(Q845&lt;=O845,"P0 시각 역전",IF(OR(I845&lt;O845,I845&gt;Q845),"측정시각 구간 밖","OK")))))</f>
        <v/>
      </c>
      <c r="O845" s="48">
        <f>IF(COUNTIFS($C:$C,$C845,$D:$D,$D845,$E:$E,"P0(전)",$M:$M,"&gt;0")&lt;&gt;1,"",SUMIFS($I:$I,$C:$C,$C845,$D:$D,$D845,$E:$E,"P0(전)"))</f>
        <v/>
      </c>
      <c r="P845" s="31">
        <f>IF(COUNTIFS($C:$C,$C845,$D:$D,$D845,$E:$E,"P0(전)",$M:$M,"&gt;0")&lt;&gt;1,"",SUMIFS($M:$M,$C:$C,$C845,$D:$D,$D845,$E:$E,"P0(전)"))</f>
        <v/>
      </c>
      <c r="Q845" s="48">
        <f>IF(COUNTIFS($C:$C,$C845,$D:$D,$D845,$E:$E,"P0(후)",$M:$M,"&gt;0")&lt;&gt;1,"",SUMIFS($I:$I,$C:$C,$C845,$D:$D,$D845,$E:$E,"P0(후)"))</f>
        <v/>
      </c>
      <c r="R845" s="31">
        <f>IF(COUNTIFS($C:$C,$C845,$D:$D,$D845,$E:$E,"P0(후)",$M:$M,"&gt;0")&lt;&gt;1,"",SUMIFS($M:$M,$C:$C,$C845,$D:$D,$D845,$E:$E,"P0(후)"))</f>
        <v/>
      </c>
      <c r="S845" s="31">
        <f>IF(N845&lt;&gt;"OK","",P845+(R845-P845)*(I845-O845)/(Q845-O845))</f>
        <v/>
      </c>
      <c r="T845" s="31">
        <f>IF(OR(N845&lt;&gt;"OK",NOT(ISNUMBER(M845))),"",M845-S845)</f>
        <v/>
      </c>
      <c r="U845" s="49">
        <f>IF(OR(NOT(ISNUMBER(T845)),IF(ISNUMBER(H845),H845,G845)=0),"",T845/IF(ISNUMBER(H845),H845,G845))</f>
        <v/>
      </c>
      <c r="V845" s="49">
        <f>IF(ISNUMBER(U845),ABS(U845),"")</f>
        <v/>
      </c>
      <c r="W845" s="49">
        <f>IF(OR($E844&lt;&gt;"측정",$C844&lt;&gt;$C845,$D844&lt;&gt;$D845,NOT(ISNUMBER(M845)),NOT(ISNUMBER(M844)),(IF(ISNUMBER(H845),H845,G845)-IF(ISNUMBER(H844),H844,G844))=0),"",(M845-M844)/(IF(ISNUMBER(H845),H845,G845)-IF(ISNUMBER(H844),H844,G844)))</f>
        <v/>
      </c>
      <c r="X845" s="31">
        <f>IF(NOT(AND(ISNUMBER(O845),ISNUMBER(Q845))),"",(Q845-O845)*1440)</f>
        <v/>
      </c>
      <c r="Y845" s="29" t="n"/>
      <c r="Z845" s="29" t="n"/>
      <c r="AA845" s="29" t="n"/>
      <c r="AB845" s="32" t="n"/>
      <c r="AC845" s="32" t="n"/>
    </row>
    <row r="846">
      <c r="A846" s="26" t="inlineStr">
        <is>
          <t>S17</t>
        </is>
      </c>
      <c r="B846" s="26" t="inlineStr">
        <is>
          <t>영양 신규점4</t>
        </is>
      </c>
      <c r="C846" s="26" t="inlineStr">
        <is>
          <t>S17-H동</t>
        </is>
      </c>
      <c r="D846" s="47" t="n">
        <v>1</v>
      </c>
      <c r="E846" s="26" t="inlineStr">
        <is>
          <t>측정</t>
        </is>
      </c>
      <c r="F846" s="26" t="inlineStr">
        <is>
          <t>동</t>
        </is>
      </c>
      <c r="G846" s="31" t="n">
        <v>7</v>
      </c>
      <c r="H846" s="30" t="n"/>
      <c r="I846" s="43" t="n"/>
      <c r="J846" s="41" t="n"/>
      <c r="K846" s="41" t="n"/>
      <c r="L846" s="41" t="n"/>
      <c r="M846" s="31">
        <f>IF(COUNT(J846:L846)=0,"",MEDIAN(J846:L846))</f>
        <v/>
      </c>
      <c r="N846" s="26">
        <f>IF(COUNTIFS($C:$C,$C846,$D:$D,$D846,$E:$E,"P0(전)",$M:$M,"&gt;0")&lt;&gt;1,"P0(전) 유효 1개 아님",IF(COUNTIFS($C:$C,$C846,$D:$D,$D846,$E:$E,"P0(후)",$M:$M,"&gt;0")&lt;&gt;1,"P0(후) 유효 1개 아님",IF(NOT(AND(ISNUMBER(O846),ISNUMBER(Q846),ISNUMBER(I846))),"시각 결측",IF(Q846&lt;=O846,"P0 시각 역전",IF(OR(I846&lt;O846,I846&gt;Q846),"측정시각 구간 밖","OK")))))</f>
        <v/>
      </c>
      <c r="O846" s="48">
        <f>IF(COUNTIFS($C:$C,$C846,$D:$D,$D846,$E:$E,"P0(전)",$M:$M,"&gt;0")&lt;&gt;1,"",SUMIFS($I:$I,$C:$C,$C846,$D:$D,$D846,$E:$E,"P0(전)"))</f>
        <v/>
      </c>
      <c r="P846" s="31">
        <f>IF(COUNTIFS($C:$C,$C846,$D:$D,$D846,$E:$E,"P0(전)",$M:$M,"&gt;0")&lt;&gt;1,"",SUMIFS($M:$M,$C:$C,$C846,$D:$D,$D846,$E:$E,"P0(전)"))</f>
        <v/>
      </c>
      <c r="Q846" s="48">
        <f>IF(COUNTIFS($C:$C,$C846,$D:$D,$D846,$E:$E,"P0(후)",$M:$M,"&gt;0")&lt;&gt;1,"",SUMIFS($I:$I,$C:$C,$C846,$D:$D,$D846,$E:$E,"P0(후)"))</f>
        <v/>
      </c>
      <c r="R846" s="31">
        <f>IF(COUNTIFS($C:$C,$C846,$D:$D,$D846,$E:$E,"P0(후)",$M:$M,"&gt;0")&lt;&gt;1,"",SUMIFS($M:$M,$C:$C,$C846,$D:$D,$D846,$E:$E,"P0(후)"))</f>
        <v/>
      </c>
      <c r="S846" s="31">
        <f>IF(N846&lt;&gt;"OK","",P846+(R846-P846)*(I846-O846)/(Q846-O846))</f>
        <v/>
      </c>
      <c r="T846" s="31">
        <f>IF(OR(N846&lt;&gt;"OK",NOT(ISNUMBER(M846))),"",M846-S846)</f>
        <v/>
      </c>
      <c r="U846" s="49">
        <f>IF(OR(NOT(ISNUMBER(T846)),IF(ISNUMBER(H846),H846,G846)=0),"",T846/IF(ISNUMBER(H846),H846,G846))</f>
        <v/>
      </c>
      <c r="V846" s="49">
        <f>IF(ISNUMBER(U846),ABS(U846),"")</f>
        <v/>
      </c>
      <c r="W846" s="49">
        <f>IF(OR($E845&lt;&gt;"측정",$C845&lt;&gt;$C846,$D845&lt;&gt;$D846,NOT(ISNUMBER(M846)),NOT(ISNUMBER(M845)),(IF(ISNUMBER(H846),H846,G846)-IF(ISNUMBER(H845),H845,G845))=0),"",(M846-M845)/(IF(ISNUMBER(H846),H846,G846)-IF(ISNUMBER(H845),H845,G845)))</f>
        <v/>
      </c>
      <c r="X846" s="31">
        <f>IF(NOT(AND(ISNUMBER(O846),ISNUMBER(Q846))),"",(Q846-O846)*1440)</f>
        <v/>
      </c>
      <c r="Y846" s="29" t="n"/>
      <c r="Z846" s="29" t="n"/>
      <c r="AA846" s="29" t="n"/>
      <c r="AB846" s="32" t="n"/>
      <c r="AC846" s="32" t="n"/>
    </row>
    <row r="847">
      <c r="A847" s="26" t="inlineStr">
        <is>
          <t>S17</t>
        </is>
      </c>
      <c r="B847" s="26" t="inlineStr">
        <is>
          <t>영양 신규점4</t>
        </is>
      </c>
      <c r="C847" s="26" t="inlineStr">
        <is>
          <t>S17-H동</t>
        </is>
      </c>
      <c r="D847" s="47" t="n">
        <v>1</v>
      </c>
      <c r="E847" s="26" t="inlineStr">
        <is>
          <t>측정</t>
        </is>
      </c>
      <c r="F847" s="26" t="inlineStr">
        <is>
          <t>동</t>
        </is>
      </c>
      <c r="G847" s="31" t="n">
        <v>8</v>
      </c>
      <c r="H847" s="30" t="n"/>
      <c r="I847" s="43" t="n"/>
      <c r="J847" s="41" t="n"/>
      <c r="K847" s="41" t="n"/>
      <c r="L847" s="41" t="n"/>
      <c r="M847" s="31">
        <f>IF(COUNT(J847:L847)=0,"",MEDIAN(J847:L847))</f>
        <v/>
      </c>
      <c r="N847" s="26">
        <f>IF(COUNTIFS($C:$C,$C847,$D:$D,$D847,$E:$E,"P0(전)",$M:$M,"&gt;0")&lt;&gt;1,"P0(전) 유효 1개 아님",IF(COUNTIFS($C:$C,$C847,$D:$D,$D847,$E:$E,"P0(후)",$M:$M,"&gt;0")&lt;&gt;1,"P0(후) 유효 1개 아님",IF(NOT(AND(ISNUMBER(O847),ISNUMBER(Q847),ISNUMBER(I847))),"시각 결측",IF(Q847&lt;=O847,"P0 시각 역전",IF(OR(I847&lt;O847,I847&gt;Q847),"측정시각 구간 밖","OK")))))</f>
        <v/>
      </c>
      <c r="O847" s="48">
        <f>IF(COUNTIFS($C:$C,$C847,$D:$D,$D847,$E:$E,"P0(전)",$M:$M,"&gt;0")&lt;&gt;1,"",SUMIFS($I:$I,$C:$C,$C847,$D:$D,$D847,$E:$E,"P0(전)"))</f>
        <v/>
      </c>
      <c r="P847" s="31">
        <f>IF(COUNTIFS($C:$C,$C847,$D:$D,$D847,$E:$E,"P0(전)",$M:$M,"&gt;0")&lt;&gt;1,"",SUMIFS($M:$M,$C:$C,$C847,$D:$D,$D847,$E:$E,"P0(전)"))</f>
        <v/>
      </c>
      <c r="Q847" s="48">
        <f>IF(COUNTIFS($C:$C,$C847,$D:$D,$D847,$E:$E,"P0(후)",$M:$M,"&gt;0")&lt;&gt;1,"",SUMIFS($I:$I,$C:$C,$C847,$D:$D,$D847,$E:$E,"P0(후)"))</f>
        <v/>
      </c>
      <c r="R847" s="31">
        <f>IF(COUNTIFS($C:$C,$C847,$D:$D,$D847,$E:$E,"P0(후)",$M:$M,"&gt;0")&lt;&gt;1,"",SUMIFS($M:$M,$C:$C,$C847,$D:$D,$D847,$E:$E,"P0(후)"))</f>
        <v/>
      </c>
      <c r="S847" s="31">
        <f>IF(N847&lt;&gt;"OK","",P847+(R847-P847)*(I847-O847)/(Q847-O847))</f>
        <v/>
      </c>
      <c r="T847" s="31">
        <f>IF(OR(N847&lt;&gt;"OK",NOT(ISNUMBER(M847))),"",M847-S847)</f>
        <v/>
      </c>
      <c r="U847" s="49">
        <f>IF(OR(NOT(ISNUMBER(T847)),IF(ISNUMBER(H847),H847,G847)=0),"",T847/IF(ISNUMBER(H847),H847,G847))</f>
        <v/>
      </c>
      <c r="V847" s="49">
        <f>IF(ISNUMBER(U847),ABS(U847),"")</f>
        <v/>
      </c>
      <c r="W847" s="49">
        <f>IF(OR($E846&lt;&gt;"측정",$C846&lt;&gt;$C847,$D846&lt;&gt;$D847,NOT(ISNUMBER(M847)),NOT(ISNUMBER(M846)),(IF(ISNUMBER(H847),H847,G847)-IF(ISNUMBER(H846),H846,G846))=0),"",(M847-M846)/(IF(ISNUMBER(H847),H847,G847)-IF(ISNUMBER(H846),H846,G846)))</f>
        <v/>
      </c>
      <c r="X847" s="31">
        <f>IF(NOT(AND(ISNUMBER(O847),ISNUMBER(Q847))),"",(Q847-O847)*1440)</f>
        <v/>
      </c>
      <c r="Y847" s="29" t="n"/>
      <c r="Z847" s="29" t="n"/>
      <c r="AA847" s="29" t="n"/>
      <c r="AB847" s="32" t="n"/>
      <c r="AC847" s="32" t="n"/>
    </row>
    <row r="848">
      <c r="A848" s="26" t="inlineStr">
        <is>
          <t>S17</t>
        </is>
      </c>
      <c r="B848" s="26" t="inlineStr">
        <is>
          <t>영양 신규점4</t>
        </is>
      </c>
      <c r="C848" s="26" t="inlineStr">
        <is>
          <t>S17-H동</t>
        </is>
      </c>
      <c r="D848" s="47" t="n">
        <v>1</v>
      </c>
      <c r="E848" s="26" t="inlineStr">
        <is>
          <t>측정</t>
        </is>
      </c>
      <c r="F848" s="26" t="inlineStr">
        <is>
          <t>동</t>
        </is>
      </c>
      <c r="G848" s="31" t="n">
        <v>9</v>
      </c>
      <c r="H848" s="30" t="n"/>
      <c r="I848" s="43" t="n"/>
      <c r="J848" s="41" t="n"/>
      <c r="K848" s="41" t="n"/>
      <c r="L848" s="41" t="n"/>
      <c r="M848" s="31">
        <f>IF(COUNT(J848:L848)=0,"",MEDIAN(J848:L848))</f>
        <v/>
      </c>
      <c r="N848" s="26">
        <f>IF(COUNTIFS($C:$C,$C848,$D:$D,$D848,$E:$E,"P0(전)",$M:$M,"&gt;0")&lt;&gt;1,"P0(전) 유효 1개 아님",IF(COUNTIFS($C:$C,$C848,$D:$D,$D848,$E:$E,"P0(후)",$M:$M,"&gt;0")&lt;&gt;1,"P0(후) 유효 1개 아님",IF(NOT(AND(ISNUMBER(O848),ISNUMBER(Q848),ISNUMBER(I848))),"시각 결측",IF(Q848&lt;=O848,"P0 시각 역전",IF(OR(I848&lt;O848,I848&gt;Q848),"측정시각 구간 밖","OK")))))</f>
        <v/>
      </c>
      <c r="O848" s="48">
        <f>IF(COUNTIFS($C:$C,$C848,$D:$D,$D848,$E:$E,"P0(전)",$M:$M,"&gt;0")&lt;&gt;1,"",SUMIFS($I:$I,$C:$C,$C848,$D:$D,$D848,$E:$E,"P0(전)"))</f>
        <v/>
      </c>
      <c r="P848" s="31">
        <f>IF(COUNTIFS($C:$C,$C848,$D:$D,$D848,$E:$E,"P0(전)",$M:$M,"&gt;0")&lt;&gt;1,"",SUMIFS($M:$M,$C:$C,$C848,$D:$D,$D848,$E:$E,"P0(전)"))</f>
        <v/>
      </c>
      <c r="Q848" s="48">
        <f>IF(COUNTIFS($C:$C,$C848,$D:$D,$D848,$E:$E,"P0(후)",$M:$M,"&gt;0")&lt;&gt;1,"",SUMIFS($I:$I,$C:$C,$C848,$D:$D,$D848,$E:$E,"P0(후)"))</f>
        <v/>
      </c>
      <c r="R848" s="31">
        <f>IF(COUNTIFS($C:$C,$C848,$D:$D,$D848,$E:$E,"P0(후)",$M:$M,"&gt;0")&lt;&gt;1,"",SUMIFS($M:$M,$C:$C,$C848,$D:$D,$D848,$E:$E,"P0(후)"))</f>
        <v/>
      </c>
      <c r="S848" s="31">
        <f>IF(N848&lt;&gt;"OK","",P848+(R848-P848)*(I848-O848)/(Q848-O848))</f>
        <v/>
      </c>
      <c r="T848" s="31">
        <f>IF(OR(N848&lt;&gt;"OK",NOT(ISNUMBER(M848))),"",M848-S848)</f>
        <v/>
      </c>
      <c r="U848" s="49">
        <f>IF(OR(NOT(ISNUMBER(T848)),IF(ISNUMBER(H848),H848,G848)=0),"",T848/IF(ISNUMBER(H848),H848,G848))</f>
        <v/>
      </c>
      <c r="V848" s="49">
        <f>IF(ISNUMBER(U848),ABS(U848),"")</f>
        <v/>
      </c>
      <c r="W848" s="49">
        <f>IF(OR($E847&lt;&gt;"측정",$C847&lt;&gt;$C848,$D847&lt;&gt;$D848,NOT(ISNUMBER(M848)),NOT(ISNUMBER(M847)),(IF(ISNUMBER(H848),H848,G848)-IF(ISNUMBER(H847),H847,G847))=0),"",(M848-M847)/(IF(ISNUMBER(H848),H848,G848)-IF(ISNUMBER(H847),H847,G847)))</f>
        <v/>
      </c>
      <c r="X848" s="31">
        <f>IF(NOT(AND(ISNUMBER(O848),ISNUMBER(Q848))),"",(Q848-O848)*1440)</f>
        <v/>
      </c>
      <c r="Y848" s="29" t="n"/>
      <c r="Z848" s="29" t="n"/>
      <c r="AA848" s="29" t="n"/>
      <c r="AB848" s="32" t="n"/>
      <c r="AC848" s="32" t="n"/>
    </row>
    <row r="849">
      <c r="A849" s="26" t="inlineStr">
        <is>
          <t>S17</t>
        </is>
      </c>
      <c r="B849" s="26" t="inlineStr">
        <is>
          <t>영양 신규점4</t>
        </is>
      </c>
      <c r="C849" s="26" t="inlineStr">
        <is>
          <t>S17-H동</t>
        </is>
      </c>
      <c r="D849" s="47" t="n">
        <v>1</v>
      </c>
      <c r="E849" s="26" t="inlineStr">
        <is>
          <t>측정</t>
        </is>
      </c>
      <c r="F849" s="26" t="inlineStr">
        <is>
          <t>동</t>
        </is>
      </c>
      <c r="G849" s="31" t="n">
        <v>10</v>
      </c>
      <c r="H849" s="30" t="n"/>
      <c r="I849" s="43" t="n"/>
      <c r="J849" s="41" t="n"/>
      <c r="K849" s="41" t="n"/>
      <c r="L849" s="41" t="n"/>
      <c r="M849" s="31">
        <f>IF(COUNT(J849:L849)=0,"",MEDIAN(J849:L849))</f>
        <v/>
      </c>
      <c r="N849" s="26">
        <f>IF(COUNTIFS($C:$C,$C849,$D:$D,$D849,$E:$E,"P0(전)",$M:$M,"&gt;0")&lt;&gt;1,"P0(전) 유효 1개 아님",IF(COUNTIFS($C:$C,$C849,$D:$D,$D849,$E:$E,"P0(후)",$M:$M,"&gt;0")&lt;&gt;1,"P0(후) 유효 1개 아님",IF(NOT(AND(ISNUMBER(O849),ISNUMBER(Q849),ISNUMBER(I849))),"시각 결측",IF(Q849&lt;=O849,"P0 시각 역전",IF(OR(I849&lt;O849,I849&gt;Q849),"측정시각 구간 밖","OK")))))</f>
        <v/>
      </c>
      <c r="O849" s="48">
        <f>IF(COUNTIFS($C:$C,$C849,$D:$D,$D849,$E:$E,"P0(전)",$M:$M,"&gt;0")&lt;&gt;1,"",SUMIFS($I:$I,$C:$C,$C849,$D:$D,$D849,$E:$E,"P0(전)"))</f>
        <v/>
      </c>
      <c r="P849" s="31">
        <f>IF(COUNTIFS($C:$C,$C849,$D:$D,$D849,$E:$E,"P0(전)",$M:$M,"&gt;0")&lt;&gt;1,"",SUMIFS($M:$M,$C:$C,$C849,$D:$D,$D849,$E:$E,"P0(전)"))</f>
        <v/>
      </c>
      <c r="Q849" s="48">
        <f>IF(COUNTIFS($C:$C,$C849,$D:$D,$D849,$E:$E,"P0(후)",$M:$M,"&gt;0")&lt;&gt;1,"",SUMIFS($I:$I,$C:$C,$C849,$D:$D,$D849,$E:$E,"P0(후)"))</f>
        <v/>
      </c>
      <c r="R849" s="31">
        <f>IF(COUNTIFS($C:$C,$C849,$D:$D,$D849,$E:$E,"P0(후)",$M:$M,"&gt;0")&lt;&gt;1,"",SUMIFS($M:$M,$C:$C,$C849,$D:$D,$D849,$E:$E,"P0(후)"))</f>
        <v/>
      </c>
      <c r="S849" s="31">
        <f>IF(N849&lt;&gt;"OK","",P849+(R849-P849)*(I849-O849)/(Q849-O849))</f>
        <v/>
      </c>
      <c r="T849" s="31">
        <f>IF(OR(N849&lt;&gt;"OK",NOT(ISNUMBER(M849))),"",M849-S849)</f>
        <v/>
      </c>
      <c r="U849" s="49">
        <f>IF(OR(NOT(ISNUMBER(T849)),IF(ISNUMBER(H849),H849,G849)=0),"",T849/IF(ISNUMBER(H849),H849,G849))</f>
        <v/>
      </c>
      <c r="V849" s="49">
        <f>IF(ISNUMBER(U849),ABS(U849),"")</f>
        <v/>
      </c>
      <c r="W849" s="49">
        <f>IF(OR($E848&lt;&gt;"측정",$C848&lt;&gt;$C849,$D848&lt;&gt;$D849,NOT(ISNUMBER(M849)),NOT(ISNUMBER(M848)),(IF(ISNUMBER(H849),H849,G849)-IF(ISNUMBER(H848),H848,G848))=0),"",(M849-M848)/(IF(ISNUMBER(H849),H849,G849)-IF(ISNUMBER(H848),H848,G848)))</f>
        <v/>
      </c>
      <c r="X849" s="31">
        <f>IF(NOT(AND(ISNUMBER(O849),ISNUMBER(Q849))),"",(Q849-O849)*1440)</f>
        <v/>
      </c>
      <c r="Y849" s="29" t="n"/>
      <c r="Z849" s="29" t="n"/>
      <c r="AA849" s="29" t="n"/>
      <c r="AB849" s="32" t="n"/>
      <c r="AC849" s="32" t="n"/>
    </row>
    <row r="850">
      <c r="A850" s="44" t="inlineStr">
        <is>
          <t>S17</t>
        </is>
      </c>
      <c r="B850" s="44" t="inlineStr">
        <is>
          <t>영양 신규점4</t>
        </is>
      </c>
      <c r="C850" s="44" t="inlineStr">
        <is>
          <t>S17-H동</t>
        </is>
      </c>
      <c r="D850" s="45" t="n">
        <v>1</v>
      </c>
      <c r="E850" s="44" t="inlineStr">
        <is>
          <t>P0(후)</t>
        </is>
      </c>
      <c r="F850" s="44" t="inlineStr">
        <is>
          <t>동</t>
        </is>
      </c>
      <c r="G850" s="46" t="n"/>
      <c r="H850" s="30" t="n"/>
      <c r="I850" s="43" t="n"/>
      <c r="J850" s="41" t="n"/>
      <c r="K850" s="41" t="n"/>
      <c r="L850" s="41" t="n"/>
      <c r="M850" s="31">
        <f>IF(COUNT(J850:L850)=0,"",MEDIAN(J850:L850))</f>
        <v/>
      </c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38" t="n"/>
      <c r="Y850" s="29" t="n"/>
      <c r="Z850" s="29" t="n"/>
      <c r="AA850" s="29" t="n"/>
      <c r="AB850" s="32" t="n"/>
      <c r="AC850" s="32" t="n"/>
    </row>
    <row r="851">
      <c r="A851" s="44" t="inlineStr">
        <is>
          <t>S17</t>
        </is>
      </c>
      <c r="B851" s="44" t="inlineStr">
        <is>
          <t>영양 신규점4</t>
        </is>
      </c>
      <c r="C851" s="44" t="inlineStr">
        <is>
          <t>S17-H서</t>
        </is>
      </c>
      <c r="D851" s="45" t="n">
        <v>1</v>
      </c>
      <c r="E851" s="44" t="inlineStr">
        <is>
          <t>P0(전)</t>
        </is>
      </c>
      <c r="F851" s="44" t="inlineStr">
        <is>
          <t>서</t>
        </is>
      </c>
      <c r="G851" s="46" t="n"/>
      <c r="H851" s="30" t="n"/>
      <c r="I851" s="43" t="n"/>
      <c r="J851" s="41" t="n"/>
      <c r="K851" s="41" t="n"/>
      <c r="L851" s="41" t="n"/>
      <c r="M851" s="31">
        <f>IF(COUNT(J851:L851)=0,"",MEDIAN(J851:L851))</f>
        <v/>
      </c>
      <c r="N851" s="38" t="n"/>
      <c r="O851" s="38" t="n"/>
      <c r="P851" s="38" t="n"/>
      <c r="Q851" s="38" t="n"/>
      <c r="R851" s="38" t="n"/>
      <c r="S851" s="38" t="n"/>
      <c r="T851" s="38" t="n"/>
      <c r="U851" s="38" t="n"/>
      <c r="V851" s="38" t="n"/>
      <c r="W851" s="38" t="n"/>
      <c r="X851" s="38" t="n"/>
      <c r="Y851" s="29" t="n"/>
      <c r="Z851" s="29" t="n"/>
      <c r="AA851" s="29" t="n"/>
      <c r="AB851" s="32" t="n"/>
      <c r="AC851" s="32" t="n"/>
    </row>
    <row r="852">
      <c r="A852" s="26" t="inlineStr">
        <is>
          <t>S17</t>
        </is>
      </c>
      <c r="B852" s="26" t="inlineStr">
        <is>
          <t>영양 신규점4</t>
        </is>
      </c>
      <c r="C852" s="26" t="inlineStr">
        <is>
          <t>S17-H서</t>
        </is>
      </c>
      <c r="D852" s="47" t="n">
        <v>1</v>
      </c>
      <c r="E852" s="26" t="inlineStr">
        <is>
          <t>측정</t>
        </is>
      </c>
      <c r="F852" s="26" t="inlineStr">
        <is>
          <t>서</t>
        </is>
      </c>
      <c r="G852" s="31" t="n">
        <v>0.5</v>
      </c>
      <c r="H852" s="30" t="n"/>
      <c r="I852" s="43" t="n"/>
      <c r="J852" s="41" t="n"/>
      <c r="K852" s="41" t="n"/>
      <c r="L852" s="41" t="n"/>
      <c r="M852" s="31">
        <f>IF(COUNT(J852:L852)=0,"",MEDIAN(J852:L852))</f>
        <v/>
      </c>
      <c r="N852" s="26">
        <f>IF(COUNTIFS($C:$C,$C852,$D:$D,$D852,$E:$E,"P0(전)",$M:$M,"&gt;0")&lt;&gt;1,"P0(전) 유효 1개 아님",IF(COUNTIFS($C:$C,$C852,$D:$D,$D852,$E:$E,"P0(후)",$M:$M,"&gt;0")&lt;&gt;1,"P0(후) 유효 1개 아님",IF(NOT(AND(ISNUMBER(O852),ISNUMBER(Q852),ISNUMBER(I852))),"시각 결측",IF(Q852&lt;=O852,"P0 시각 역전",IF(OR(I852&lt;O852,I852&gt;Q852),"측정시각 구간 밖","OK")))))</f>
        <v/>
      </c>
      <c r="O852" s="48">
        <f>IF(COUNTIFS($C:$C,$C852,$D:$D,$D852,$E:$E,"P0(전)",$M:$M,"&gt;0")&lt;&gt;1,"",SUMIFS($I:$I,$C:$C,$C852,$D:$D,$D852,$E:$E,"P0(전)"))</f>
        <v/>
      </c>
      <c r="P852" s="31">
        <f>IF(COUNTIFS($C:$C,$C852,$D:$D,$D852,$E:$E,"P0(전)",$M:$M,"&gt;0")&lt;&gt;1,"",SUMIFS($M:$M,$C:$C,$C852,$D:$D,$D852,$E:$E,"P0(전)"))</f>
        <v/>
      </c>
      <c r="Q852" s="48">
        <f>IF(COUNTIFS($C:$C,$C852,$D:$D,$D852,$E:$E,"P0(후)",$M:$M,"&gt;0")&lt;&gt;1,"",SUMIFS($I:$I,$C:$C,$C852,$D:$D,$D852,$E:$E,"P0(후)"))</f>
        <v/>
      </c>
      <c r="R852" s="31">
        <f>IF(COUNTIFS($C:$C,$C852,$D:$D,$D852,$E:$E,"P0(후)",$M:$M,"&gt;0")&lt;&gt;1,"",SUMIFS($M:$M,$C:$C,$C852,$D:$D,$D852,$E:$E,"P0(후)"))</f>
        <v/>
      </c>
      <c r="S852" s="31">
        <f>IF(N852&lt;&gt;"OK","",P852+(R852-P852)*(I852-O852)/(Q852-O852))</f>
        <v/>
      </c>
      <c r="T852" s="31">
        <f>IF(OR(N852&lt;&gt;"OK",NOT(ISNUMBER(M852))),"",M852-S852)</f>
        <v/>
      </c>
      <c r="U852" s="49">
        <f>IF(OR(NOT(ISNUMBER(T852)),IF(ISNUMBER(H852),H852,G852)=0),"",T852/IF(ISNUMBER(H852),H852,G852))</f>
        <v/>
      </c>
      <c r="V852" s="49">
        <f>IF(ISNUMBER(U852),ABS(U852),"")</f>
        <v/>
      </c>
      <c r="W852" s="49">
        <f>IF(OR($E851&lt;&gt;"측정",$C851&lt;&gt;$C852,$D851&lt;&gt;$D852,NOT(ISNUMBER(M852)),NOT(ISNUMBER(M851)),(IF(ISNUMBER(H852),H852,G852)-IF(ISNUMBER(H851),H851,G851))=0),"",(M852-M851)/(IF(ISNUMBER(H852),H852,G852)-IF(ISNUMBER(H851),H851,G851)))</f>
        <v/>
      </c>
      <c r="X852" s="31">
        <f>IF(NOT(AND(ISNUMBER(O852),ISNUMBER(Q852))),"",(Q852-O852)*1440)</f>
        <v/>
      </c>
      <c r="Y852" s="29" t="n"/>
      <c r="Z852" s="29" t="n"/>
      <c r="AA852" s="29" t="n"/>
      <c r="AB852" s="32" t="n"/>
      <c r="AC852" s="32" t="n"/>
    </row>
    <row r="853">
      <c r="A853" s="26" t="inlineStr">
        <is>
          <t>S17</t>
        </is>
      </c>
      <c r="B853" s="26" t="inlineStr">
        <is>
          <t>영양 신규점4</t>
        </is>
      </c>
      <c r="C853" s="26" t="inlineStr">
        <is>
          <t>S17-H서</t>
        </is>
      </c>
      <c r="D853" s="47" t="n">
        <v>1</v>
      </c>
      <c r="E853" s="26" t="inlineStr">
        <is>
          <t>측정</t>
        </is>
      </c>
      <c r="F853" s="26" t="inlineStr">
        <is>
          <t>서</t>
        </is>
      </c>
      <c r="G853" s="31" t="n">
        <v>1</v>
      </c>
      <c r="H853" s="30" t="n"/>
      <c r="I853" s="43" t="n"/>
      <c r="J853" s="41" t="n"/>
      <c r="K853" s="41" t="n"/>
      <c r="L853" s="41" t="n"/>
      <c r="M853" s="31">
        <f>IF(COUNT(J853:L853)=0,"",MEDIAN(J853:L853))</f>
        <v/>
      </c>
      <c r="N853" s="26">
        <f>IF(COUNTIFS($C:$C,$C853,$D:$D,$D853,$E:$E,"P0(전)",$M:$M,"&gt;0")&lt;&gt;1,"P0(전) 유효 1개 아님",IF(COUNTIFS($C:$C,$C853,$D:$D,$D853,$E:$E,"P0(후)",$M:$M,"&gt;0")&lt;&gt;1,"P0(후) 유효 1개 아님",IF(NOT(AND(ISNUMBER(O853),ISNUMBER(Q853),ISNUMBER(I853))),"시각 결측",IF(Q853&lt;=O853,"P0 시각 역전",IF(OR(I853&lt;O853,I853&gt;Q853),"측정시각 구간 밖","OK")))))</f>
        <v/>
      </c>
      <c r="O853" s="48">
        <f>IF(COUNTIFS($C:$C,$C853,$D:$D,$D853,$E:$E,"P0(전)",$M:$M,"&gt;0")&lt;&gt;1,"",SUMIFS($I:$I,$C:$C,$C853,$D:$D,$D853,$E:$E,"P0(전)"))</f>
        <v/>
      </c>
      <c r="P853" s="31">
        <f>IF(COUNTIFS($C:$C,$C853,$D:$D,$D853,$E:$E,"P0(전)",$M:$M,"&gt;0")&lt;&gt;1,"",SUMIFS($M:$M,$C:$C,$C853,$D:$D,$D853,$E:$E,"P0(전)"))</f>
        <v/>
      </c>
      <c r="Q853" s="48">
        <f>IF(COUNTIFS($C:$C,$C853,$D:$D,$D853,$E:$E,"P0(후)",$M:$M,"&gt;0")&lt;&gt;1,"",SUMIFS($I:$I,$C:$C,$C853,$D:$D,$D853,$E:$E,"P0(후)"))</f>
        <v/>
      </c>
      <c r="R853" s="31">
        <f>IF(COUNTIFS($C:$C,$C853,$D:$D,$D853,$E:$E,"P0(후)",$M:$M,"&gt;0")&lt;&gt;1,"",SUMIFS($M:$M,$C:$C,$C853,$D:$D,$D853,$E:$E,"P0(후)"))</f>
        <v/>
      </c>
      <c r="S853" s="31">
        <f>IF(N853&lt;&gt;"OK","",P853+(R853-P853)*(I853-O853)/(Q853-O853))</f>
        <v/>
      </c>
      <c r="T853" s="31">
        <f>IF(OR(N853&lt;&gt;"OK",NOT(ISNUMBER(M853))),"",M853-S853)</f>
        <v/>
      </c>
      <c r="U853" s="49">
        <f>IF(OR(NOT(ISNUMBER(T853)),IF(ISNUMBER(H853),H853,G853)=0),"",T853/IF(ISNUMBER(H853),H853,G853))</f>
        <v/>
      </c>
      <c r="V853" s="49">
        <f>IF(ISNUMBER(U853),ABS(U853),"")</f>
        <v/>
      </c>
      <c r="W853" s="49">
        <f>IF(OR($E852&lt;&gt;"측정",$C852&lt;&gt;$C853,$D852&lt;&gt;$D853,NOT(ISNUMBER(M853)),NOT(ISNUMBER(M852)),(IF(ISNUMBER(H853),H853,G853)-IF(ISNUMBER(H852),H852,G852))=0),"",(M853-M852)/(IF(ISNUMBER(H853),H853,G853)-IF(ISNUMBER(H852),H852,G852)))</f>
        <v/>
      </c>
      <c r="X853" s="31">
        <f>IF(NOT(AND(ISNUMBER(O853),ISNUMBER(Q853))),"",(Q853-O853)*1440)</f>
        <v/>
      </c>
      <c r="Y853" s="29" t="n"/>
      <c r="Z853" s="29" t="n"/>
      <c r="AA853" s="29" t="n"/>
      <c r="AB853" s="32" t="n"/>
      <c r="AC853" s="32" t="n"/>
    </row>
    <row r="854">
      <c r="A854" s="26" t="inlineStr">
        <is>
          <t>S17</t>
        </is>
      </c>
      <c r="B854" s="26" t="inlineStr">
        <is>
          <t>영양 신규점4</t>
        </is>
      </c>
      <c r="C854" s="26" t="inlineStr">
        <is>
          <t>S17-H서</t>
        </is>
      </c>
      <c r="D854" s="47" t="n">
        <v>1</v>
      </c>
      <c r="E854" s="26" t="inlineStr">
        <is>
          <t>측정</t>
        </is>
      </c>
      <c r="F854" s="26" t="inlineStr">
        <is>
          <t>서</t>
        </is>
      </c>
      <c r="G854" s="31" t="n">
        <v>2</v>
      </c>
      <c r="H854" s="30" t="n"/>
      <c r="I854" s="43" t="n"/>
      <c r="J854" s="41" t="n"/>
      <c r="K854" s="41" t="n"/>
      <c r="L854" s="41" t="n"/>
      <c r="M854" s="31">
        <f>IF(COUNT(J854:L854)=0,"",MEDIAN(J854:L854))</f>
        <v/>
      </c>
      <c r="N854" s="26">
        <f>IF(COUNTIFS($C:$C,$C854,$D:$D,$D854,$E:$E,"P0(전)",$M:$M,"&gt;0")&lt;&gt;1,"P0(전) 유효 1개 아님",IF(COUNTIFS($C:$C,$C854,$D:$D,$D854,$E:$E,"P0(후)",$M:$M,"&gt;0")&lt;&gt;1,"P0(후) 유효 1개 아님",IF(NOT(AND(ISNUMBER(O854),ISNUMBER(Q854),ISNUMBER(I854))),"시각 결측",IF(Q854&lt;=O854,"P0 시각 역전",IF(OR(I854&lt;O854,I854&gt;Q854),"측정시각 구간 밖","OK")))))</f>
        <v/>
      </c>
      <c r="O854" s="48">
        <f>IF(COUNTIFS($C:$C,$C854,$D:$D,$D854,$E:$E,"P0(전)",$M:$M,"&gt;0")&lt;&gt;1,"",SUMIFS($I:$I,$C:$C,$C854,$D:$D,$D854,$E:$E,"P0(전)"))</f>
        <v/>
      </c>
      <c r="P854" s="31">
        <f>IF(COUNTIFS($C:$C,$C854,$D:$D,$D854,$E:$E,"P0(전)",$M:$M,"&gt;0")&lt;&gt;1,"",SUMIFS($M:$M,$C:$C,$C854,$D:$D,$D854,$E:$E,"P0(전)"))</f>
        <v/>
      </c>
      <c r="Q854" s="48">
        <f>IF(COUNTIFS($C:$C,$C854,$D:$D,$D854,$E:$E,"P0(후)",$M:$M,"&gt;0")&lt;&gt;1,"",SUMIFS($I:$I,$C:$C,$C854,$D:$D,$D854,$E:$E,"P0(후)"))</f>
        <v/>
      </c>
      <c r="R854" s="31">
        <f>IF(COUNTIFS($C:$C,$C854,$D:$D,$D854,$E:$E,"P0(후)",$M:$M,"&gt;0")&lt;&gt;1,"",SUMIFS($M:$M,$C:$C,$C854,$D:$D,$D854,$E:$E,"P0(후)"))</f>
        <v/>
      </c>
      <c r="S854" s="31">
        <f>IF(N854&lt;&gt;"OK","",P854+(R854-P854)*(I854-O854)/(Q854-O854))</f>
        <v/>
      </c>
      <c r="T854" s="31">
        <f>IF(OR(N854&lt;&gt;"OK",NOT(ISNUMBER(M854))),"",M854-S854)</f>
        <v/>
      </c>
      <c r="U854" s="49">
        <f>IF(OR(NOT(ISNUMBER(T854)),IF(ISNUMBER(H854),H854,G854)=0),"",T854/IF(ISNUMBER(H854),H854,G854))</f>
        <v/>
      </c>
      <c r="V854" s="49">
        <f>IF(ISNUMBER(U854),ABS(U854),"")</f>
        <v/>
      </c>
      <c r="W854" s="49">
        <f>IF(OR($E853&lt;&gt;"측정",$C853&lt;&gt;$C854,$D853&lt;&gt;$D854,NOT(ISNUMBER(M854)),NOT(ISNUMBER(M853)),(IF(ISNUMBER(H854),H854,G854)-IF(ISNUMBER(H853),H853,G853))=0),"",(M854-M853)/(IF(ISNUMBER(H854),H854,G854)-IF(ISNUMBER(H853),H853,G853)))</f>
        <v/>
      </c>
      <c r="X854" s="31">
        <f>IF(NOT(AND(ISNUMBER(O854),ISNUMBER(Q854))),"",(Q854-O854)*1440)</f>
        <v/>
      </c>
      <c r="Y854" s="29" t="n"/>
      <c r="Z854" s="29" t="n"/>
      <c r="AA854" s="29" t="n"/>
      <c r="AB854" s="32" t="n"/>
      <c r="AC854" s="32" t="n"/>
    </row>
    <row r="855">
      <c r="A855" s="26" t="inlineStr">
        <is>
          <t>S17</t>
        </is>
      </c>
      <c r="B855" s="26" t="inlineStr">
        <is>
          <t>영양 신규점4</t>
        </is>
      </c>
      <c r="C855" s="26" t="inlineStr">
        <is>
          <t>S17-H서</t>
        </is>
      </c>
      <c r="D855" s="47" t="n">
        <v>1</v>
      </c>
      <c r="E855" s="26" t="inlineStr">
        <is>
          <t>측정</t>
        </is>
      </c>
      <c r="F855" s="26" t="inlineStr">
        <is>
          <t>서</t>
        </is>
      </c>
      <c r="G855" s="31" t="n">
        <v>3</v>
      </c>
      <c r="H855" s="30" t="n"/>
      <c r="I855" s="43" t="n"/>
      <c r="J855" s="41" t="n"/>
      <c r="K855" s="41" t="n"/>
      <c r="L855" s="41" t="n"/>
      <c r="M855" s="31">
        <f>IF(COUNT(J855:L855)=0,"",MEDIAN(J855:L855))</f>
        <v/>
      </c>
      <c r="N855" s="26">
        <f>IF(COUNTIFS($C:$C,$C855,$D:$D,$D855,$E:$E,"P0(전)",$M:$M,"&gt;0")&lt;&gt;1,"P0(전) 유효 1개 아님",IF(COUNTIFS($C:$C,$C855,$D:$D,$D855,$E:$E,"P0(후)",$M:$M,"&gt;0")&lt;&gt;1,"P0(후) 유효 1개 아님",IF(NOT(AND(ISNUMBER(O855),ISNUMBER(Q855),ISNUMBER(I855))),"시각 결측",IF(Q855&lt;=O855,"P0 시각 역전",IF(OR(I855&lt;O855,I855&gt;Q855),"측정시각 구간 밖","OK")))))</f>
        <v/>
      </c>
      <c r="O855" s="48">
        <f>IF(COUNTIFS($C:$C,$C855,$D:$D,$D855,$E:$E,"P0(전)",$M:$M,"&gt;0")&lt;&gt;1,"",SUMIFS($I:$I,$C:$C,$C855,$D:$D,$D855,$E:$E,"P0(전)"))</f>
        <v/>
      </c>
      <c r="P855" s="31">
        <f>IF(COUNTIFS($C:$C,$C855,$D:$D,$D855,$E:$E,"P0(전)",$M:$M,"&gt;0")&lt;&gt;1,"",SUMIFS($M:$M,$C:$C,$C855,$D:$D,$D855,$E:$E,"P0(전)"))</f>
        <v/>
      </c>
      <c r="Q855" s="48">
        <f>IF(COUNTIFS($C:$C,$C855,$D:$D,$D855,$E:$E,"P0(후)",$M:$M,"&gt;0")&lt;&gt;1,"",SUMIFS($I:$I,$C:$C,$C855,$D:$D,$D855,$E:$E,"P0(후)"))</f>
        <v/>
      </c>
      <c r="R855" s="31">
        <f>IF(COUNTIFS($C:$C,$C855,$D:$D,$D855,$E:$E,"P0(후)",$M:$M,"&gt;0")&lt;&gt;1,"",SUMIFS($M:$M,$C:$C,$C855,$D:$D,$D855,$E:$E,"P0(후)"))</f>
        <v/>
      </c>
      <c r="S855" s="31">
        <f>IF(N855&lt;&gt;"OK","",P855+(R855-P855)*(I855-O855)/(Q855-O855))</f>
        <v/>
      </c>
      <c r="T855" s="31">
        <f>IF(OR(N855&lt;&gt;"OK",NOT(ISNUMBER(M855))),"",M855-S855)</f>
        <v/>
      </c>
      <c r="U855" s="49">
        <f>IF(OR(NOT(ISNUMBER(T855)),IF(ISNUMBER(H855),H855,G855)=0),"",T855/IF(ISNUMBER(H855),H855,G855))</f>
        <v/>
      </c>
      <c r="V855" s="49">
        <f>IF(ISNUMBER(U855),ABS(U855),"")</f>
        <v/>
      </c>
      <c r="W855" s="49">
        <f>IF(OR($E854&lt;&gt;"측정",$C854&lt;&gt;$C855,$D854&lt;&gt;$D855,NOT(ISNUMBER(M855)),NOT(ISNUMBER(M854)),(IF(ISNUMBER(H855),H855,G855)-IF(ISNUMBER(H854),H854,G854))=0),"",(M855-M854)/(IF(ISNUMBER(H855),H855,G855)-IF(ISNUMBER(H854),H854,G854)))</f>
        <v/>
      </c>
      <c r="X855" s="31">
        <f>IF(NOT(AND(ISNUMBER(O855),ISNUMBER(Q855))),"",(Q855-O855)*1440)</f>
        <v/>
      </c>
      <c r="Y855" s="29" t="n"/>
      <c r="Z855" s="29" t="n"/>
      <c r="AA855" s="29" t="n"/>
      <c r="AB855" s="32" t="n"/>
      <c r="AC855" s="32" t="n"/>
    </row>
    <row r="856">
      <c r="A856" s="26" t="inlineStr">
        <is>
          <t>S17</t>
        </is>
      </c>
      <c r="B856" s="26" t="inlineStr">
        <is>
          <t>영양 신규점4</t>
        </is>
      </c>
      <c r="C856" s="26" t="inlineStr">
        <is>
          <t>S17-H서</t>
        </is>
      </c>
      <c r="D856" s="47" t="n">
        <v>1</v>
      </c>
      <c r="E856" s="26" t="inlineStr">
        <is>
          <t>측정</t>
        </is>
      </c>
      <c r="F856" s="26" t="inlineStr">
        <is>
          <t>서</t>
        </is>
      </c>
      <c r="G856" s="31" t="n">
        <v>4</v>
      </c>
      <c r="H856" s="30" t="n"/>
      <c r="I856" s="43" t="n"/>
      <c r="J856" s="41" t="n"/>
      <c r="K856" s="41" t="n"/>
      <c r="L856" s="41" t="n"/>
      <c r="M856" s="31">
        <f>IF(COUNT(J856:L856)=0,"",MEDIAN(J856:L856))</f>
        <v/>
      </c>
      <c r="N856" s="26">
        <f>IF(COUNTIFS($C:$C,$C856,$D:$D,$D856,$E:$E,"P0(전)",$M:$M,"&gt;0")&lt;&gt;1,"P0(전) 유효 1개 아님",IF(COUNTIFS($C:$C,$C856,$D:$D,$D856,$E:$E,"P0(후)",$M:$M,"&gt;0")&lt;&gt;1,"P0(후) 유효 1개 아님",IF(NOT(AND(ISNUMBER(O856),ISNUMBER(Q856),ISNUMBER(I856))),"시각 결측",IF(Q856&lt;=O856,"P0 시각 역전",IF(OR(I856&lt;O856,I856&gt;Q856),"측정시각 구간 밖","OK")))))</f>
        <v/>
      </c>
      <c r="O856" s="48">
        <f>IF(COUNTIFS($C:$C,$C856,$D:$D,$D856,$E:$E,"P0(전)",$M:$M,"&gt;0")&lt;&gt;1,"",SUMIFS($I:$I,$C:$C,$C856,$D:$D,$D856,$E:$E,"P0(전)"))</f>
        <v/>
      </c>
      <c r="P856" s="31">
        <f>IF(COUNTIFS($C:$C,$C856,$D:$D,$D856,$E:$E,"P0(전)",$M:$M,"&gt;0")&lt;&gt;1,"",SUMIFS($M:$M,$C:$C,$C856,$D:$D,$D856,$E:$E,"P0(전)"))</f>
        <v/>
      </c>
      <c r="Q856" s="48">
        <f>IF(COUNTIFS($C:$C,$C856,$D:$D,$D856,$E:$E,"P0(후)",$M:$M,"&gt;0")&lt;&gt;1,"",SUMIFS($I:$I,$C:$C,$C856,$D:$D,$D856,$E:$E,"P0(후)"))</f>
        <v/>
      </c>
      <c r="R856" s="31">
        <f>IF(COUNTIFS($C:$C,$C856,$D:$D,$D856,$E:$E,"P0(후)",$M:$M,"&gt;0")&lt;&gt;1,"",SUMIFS($M:$M,$C:$C,$C856,$D:$D,$D856,$E:$E,"P0(후)"))</f>
        <v/>
      </c>
      <c r="S856" s="31">
        <f>IF(N856&lt;&gt;"OK","",P856+(R856-P856)*(I856-O856)/(Q856-O856))</f>
        <v/>
      </c>
      <c r="T856" s="31">
        <f>IF(OR(N856&lt;&gt;"OK",NOT(ISNUMBER(M856))),"",M856-S856)</f>
        <v/>
      </c>
      <c r="U856" s="49">
        <f>IF(OR(NOT(ISNUMBER(T856)),IF(ISNUMBER(H856),H856,G856)=0),"",T856/IF(ISNUMBER(H856),H856,G856))</f>
        <v/>
      </c>
      <c r="V856" s="49">
        <f>IF(ISNUMBER(U856),ABS(U856),"")</f>
        <v/>
      </c>
      <c r="W856" s="49">
        <f>IF(OR($E855&lt;&gt;"측정",$C855&lt;&gt;$C856,$D855&lt;&gt;$D856,NOT(ISNUMBER(M856)),NOT(ISNUMBER(M855)),(IF(ISNUMBER(H856),H856,G856)-IF(ISNUMBER(H855),H855,G855))=0),"",(M856-M855)/(IF(ISNUMBER(H856),H856,G856)-IF(ISNUMBER(H855),H855,G855)))</f>
        <v/>
      </c>
      <c r="X856" s="31">
        <f>IF(NOT(AND(ISNUMBER(O856),ISNUMBER(Q856))),"",(Q856-O856)*1440)</f>
        <v/>
      </c>
      <c r="Y856" s="29" t="n"/>
      <c r="Z856" s="29" t="n"/>
      <c r="AA856" s="29" t="n"/>
      <c r="AB856" s="32" t="n"/>
      <c r="AC856" s="32" t="n"/>
    </row>
    <row r="857">
      <c r="A857" s="26" t="inlineStr">
        <is>
          <t>S17</t>
        </is>
      </c>
      <c r="B857" s="26" t="inlineStr">
        <is>
          <t>영양 신규점4</t>
        </is>
      </c>
      <c r="C857" s="26" t="inlineStr">
        <is>
          <t>S17-H서</t>
        </is>
      </c>
      <c r="D857" s="47" t="n">
        <v>1</v>
      </c>
      <c r="E857" s="26" t="inlineStr">
        <is>
          <t>측정</t>
        </is>
      </c>
      <c r="F857" s="26" t="inlineStr">
        <is>
          <t>서</t>
        </is>
      </c>
      <c r="G857" s="31" t="n">
        <v>5</v>
      </c>
      <c r="H857" s="30" t="n"/>
      <c r="I857" s="43" t="n"/>
      <c r="J857" s="41" t="n"/>
      <c r="K857" s="41" t="n"/>
      <c r="L857" s="41" t="n"/>
      <c r="M857" s="31">
        <f>IF(COUNT(J857:L857)=0,"",MEDIAN(J857:L857))</f>
        <v/>
      </c>
      <c r="N857" s="26">
        <f>IF(COUNTIFS($C:$C,$C857,$D:$D,$D857,$E:$E,"P0(전)",$M:$M,"&gt;0")&lt;&gt;1,"P0(전) 유효 1개 아님",IF(COUNTIFS($C:$C,$C857,$D:$D,$D857,$E:$E,"P0(후)",$M:$M,"&gt;0")&lt;&gt;1,"P0(후) 유효 1개 아님",IF(NOT(AND(ISNUMBER(O857),ISNUMBER(Q857),ISNUMBER(I857))),"시각 결측",IF(Q857&lt;=O857,"P0 시각 역전",IF(OR(I857&lt;O857,I857&gt;Q857),"측정시각 구간 밖","OK")))))</f>
        <v/>
      </c>
      <c r="O857" s="48">
        <f>IF(COUNTIFS($C:$C,$C857,$D:$D,$D857,$E:$E,"P0(전)",$M:$M,"&gt;0")&lt;&gt;1,"",SUMIFS($I:$I,$C:$C,$C857,$D:$D,$D857,$E:$E,"P0(전)"))</f>
        <v/>
      </c>
      <c r="P857" s="31">
        <f>IF(COUNTIFS($C:$C,$C857,$D:$D,$D857,$E:$E,"P0(전)",$M:$M,"&gt;0")&lt;&gt;1,"",SUMIFS($M:$M,$C:$C,$C857,$D:$D,$D857,$E:$E,"P0(전)"))</f>
        <v/>
      </c>
      <c r="Q857" s="48">
        <f>IF(COUNTIFS($C:$C,$C857,$D:$D,$D857,$E:$E,"P0(후)",$M:$M,"&gt;0")&lt;&gt;1,"",SUMIFS($I:$I,$C:$C,$C857,$D:$D,$D857,$E:$E,"P0(후)"))</f>
        <v/>
      </c>
      <c r="R857" s="31">
        <f>IF(COUNTIFS($C:$C,$C857,$D:$D,$D857,$E:$E,"P0(후)",$M:$M,"&gt;0")&lt;&gt;1,"",SUMIFS($M:$M,$C:$C,$C857,$D:$D,$D857,$E:$E,"P0(후)"))</f>
        <v/>
      </c>
      <c r="S857" s="31">
        <f>IF(N857&lt;&gt;"OK","",P857+(R857-P857)*(I857-O857)/(Q857-O857))</f>
        <v/>
      </c>
      <c r="T857" s="31">
        <f>IF(OR(N857&lt;&gt;"OK",NOT(ISNUMBER(M857))),"",M857-S857)</f>
        <v/>
      </c>
      <c r="U857" s="49">
        <f>IF(OR(NOT(ISNUMBER(T857)),IF(ISNUMBER(H857),H857,G857)=0),"",T857/IF(ISNUMBER(H857),H857,G857))</f>
        <v/>
      </c>
      <c r="V857" s="49">
        <f>IF(ISNUMBER(U857),ABS(U857),"")</f>
        <v/>
      </c>
      <c r="W857" s="49">
        <f>IF(OR($E856&lt;&gt;"측정",$C856&lt;&gt;$C857,$D856&lt;&gt;$D857,NOT(ISNUMBER(M857)),NOT(ISNUMBER(M856)),(IF(ISNUMBER(H857),H857,G857)-IF(ISNUMBER(H856),H856,G856))=0),"",(M857-M856)/(IF(ISNUMBER(H857),H857,G857)-IF(ISNUMBER(H856),H856,G856)))</f>
        <v/>
      </c>
      <c r="X857" s="31">
        <f>IF(NOT(AND(ISNUMBER(O857),ISNUMBER(Q857))),"",(Q857-O857)*1440)</f>
        <v/>
      </c>
      <c r="Y857" s="29" t="n"/>
      <c r="Z857" s="29" t="n"/>
      <c r="AA857" s="29" t="n"/>
      <c r="AB857" s="32" t="n"/>
      <c r="AC857" s="32" t="n"/>
    </row>
    <row r="858">
      <c r="A858" s="26" t="inlineStr">
        <is>
          <t>S17</t>
        </is>
      </c>
      <c r="B858" s="26" t="inlineStr">
        <is>
          <t>영양 신규점4</t>
        </is>
      </c>
      <c r="C858" s="26" t="inlineStr">
        <is>
          <t>S17-H서</t>
        </is>
      </c>
      <c r="D858" s="47" t="n">
        <v>1</v>
      </c>
      <c r="E858" s="26" t="inlineStr">
        <is>
          <t>측정</t>
        </is>
      </c>
      <c r="F858" s="26" t="inlineStr">
        <is>
          <t>서</t>
        </is>
      </c>
      <c r="G858" s="31" t="n">
        <v>6</v>
      </c>
      <c r="H858" s="30" t="n"/>
      <c r="I858" s="43" t="n"/>
      <c r="J858" s="41" t="n"/>
      <c r="K858" s="41" t="n"/>
      <c r="L858" s="41" t="n"/>
      <c r="M858" s="31">
        <f>IF(COUNT(J858:L858)=0,"",MEDIAN(J858:L858))</f>
        <v/>
      </c>
      <c r="N858" s="26">
        <f>IF(COUNTIFS($C:$C,$C858,$D:$D,$D858,$E:$E,"P0(전)",$M:$M,"&gt;0")&lt;&gt;1,"P0(전) 유효 1개 아님",IF(COUNTIFS($C:$C,$C858,$D:$D,$D858,$E:$E,"P0(후)",$M:$M,"&gt;0")&lt;&gt;1,"P0(후) 유효 1개 아님",IF(NOT(AND(ISNUMBER(O858),ISNUMBER(Q858),ISNUMBER(I858))),"시각 결측",IF(Q858&lt;=O858,"P0 시각 역전",IF(OR(I858&lt;O858,I858&gt;Q858),"측정시각 구간 밖","OK")))))</f>
        <v/>
      </c>
      <c r="O858" s="48">
        <f>IF(COUNTIFS($C:$C,$C858,$D:$D,$D858,$E:$E,"P0(전)",$M:$M,"&gt;0")&lt;&gt;1,"",SUMIFS($I:$I,$C:$C,$C858,$D:$D,$D858,$E:$E,"P0(전)"))</f>
        <v/>
      </c>
      <c r="P858" s="31">
        <f>IF(COUNTIFS($C:$C,$C858,$D:$D,$D858,$E:$E,"P0(전)",$M:$M,"&gt;0")&lt;&gt;1,"",SUMIFS($M:$M,$C:$C,$C858,$D:$D,$D858,$E:$E,"P0(전)"))</f>
        <v/>
      </c>
      <c r="Q858" s="48">
        <f>IF(COUNTIFS($C:$C,$C858,$D:$D,$D858,$E:$E,"P0(후)",$M:$M,"&gt;0")&lt;&gt;1,"",SUMIFS($I:$I,$C:$C,$C858,$D:$D,$D858,$E:$E,"P0(후)"))</f>
        <v/>
      </c>
      <c r="R858" s="31">
        <f>IF(COUNTIFS($C:$C,$C858,$D:$D,$D858,$E:$E,"P0(후)",$M:$M,"&gt;0")&lt;&gt;1,"",SUMIFS($M:$M,$C:$C,$C858,$D:$D,$D858,$E:$E,"P0(후)"))</f>
        <v/>
      </c>
      <c r="S858" s="31">
        <f>IF(N858&lt;&gt;"OK","",P858+(R858-P858)*(I858-O858)/(Q858-O858))</f>
        <v/>
      </c>
      <c r="T858" s="31">
        <f>IF(OR(N858&lt;&gt;"OK",NOT(ISNUMBER(M858))),"",M858-S858)</f>
        <v/>
      </c>
      <c r="U858" s="49">
        <f>IF(OR(NOT(ISNUMBER(T858)),IF(ISNUMBER(H858),H858,G858)=0),"",T858/IF(ISNUMBER(H858),H858,G858))</f>
        <v/>
      </c>
      <c r="V858" s="49">
        <f>IF(ISNUMBER(U858),ABS(U858),"")</f>
        <v/>
      </c>
      <c r="W858" s="49">
        <f>IF(OR($E857&lt;&gt;"측정",$C857&lt;&gt;$C858,$D857&lt;&gt;$D858,NOT(ISNUMBER(M858)),NOT(ISNUMBER(M857)),(IF(ISNUMBER(H858),H858,G858)-IF(ISNUMBER(H857),H857,G857))=0),"",(M858-M857)/(IF(ISNUMBER(H858),H858,G858)-IF(ISNUMBER(H857),H857,G857)))</f>
        <v/>
      </c>
      <c r="X858" s="31">
        <f>IF(NOT(AND(ISNUMBER(O858),ISNUMBER(Q858))),"",(Q858-O858)*1440)</f>
        <v/>
      </c>
      <c r="Y858" s="29" t="n"/>
      <c r="Z858" s="29" t="n"/>
      <c r="AA858" s="29" t="n"/>
      <c r="AB858" s="32" t="n"/>
      <c r="AC858" s="32" t="n"/>
    </row>
    <row r="859">
      <c r="A859" s="26" t="inlineStr">
        <is>
          <t>S17</t>
        </is>
      </c>
      <c r="B859" s="26" t="inlineStr">
        <is>
          <t>영양 신규점4</t>
        </is>
      </c>
      <c r="C859" s="26" t="inlineStr">
        <is>
          <t>S17-H서</t>
        </is>
      </c>
      <c r="D859" s="47" t="n">
        <v>1</v>
      </c>
      <c r="E859" s="26" t="inlineStr">
        <is>
          <t>측정</t>
        </is>
      </c>
      <c r="F859" s="26" t="inlineStr">
        <is>
          <t>서</t>
        </is>
      </c>
      <c r="G859" s="31" t="n">
        <v>7</v>
      </c>
      <c r="H859" s="30" t="n"/>
      <c r="I859" s="43" t="n"/>
      <c r="J859" s="41" t="n"/>
      <c r="K859" s="41" t="n"/>
      <c r="L859" s="41" t="n"/>
      <c r="M859" s="31">
        <f>IF(COUNT(J859:L859)=0,"",MEDIAN(J859:L859))</f>
        <v/>
      </c>
      <c r="N859" s="26">
        <f>IF(COUNTIFS($C:$C,$C859,$D:$D,$D859,$E:$E,"P0(전)",$M:$M,"&gt;0")&lt;&gt;1,"P0(전) 유효 1개 아님",IF(COUNTIFS($C:$C,$C859,$D:$D,$D859,$E:$E,"P0(후)",$M:$M,"&gt;0")&lt;&gt;1,"P0(후) 유효 1개 아님",IF(NOT(AND(ISNUMBER(O859),ISNUMBER(Q859),ISNUMBER(I859))),"시각 결측",IF(Q859&lt;=O859,"P0 시각 역전",IF(OR(I859&lt;O859,I859&gt;Q859),"측정시각 구간 밖","OK")))))</f>
        <v/>
      </c>
      <c r="O859" s="48">
        <f>IF(COUNTIFS($C:$C,$C859,$D:$D,$D859,$E:$E,"P0(전)",$M:$M,"&gt;0")&lt;&gt;1,"",SUMIFS($I:$I,$C:$C,$C859,$D:$D,$D859,$E:$E,"P0(전)"))</f>
        <v/>
      </c>
      <c r="P859" s="31">
        <f>IF(COUNTIFS($C:$C,$C859,$D:$D,$D859,$E:$E,"P0(전)",$M:$M,"&gt;0")&lt;&gt;1,"",SUMIFS($M:$M,$C:$C,$C859,$D:$D,$D859,$E:$E,"P0(전)"))</f>
        <v/>
      </c>
      <c r="Q859" s="48">
        <f>IF(COUNTIFS($C:$C,$C859,$D:$D,$D859,$E:$E,"P0(후)",$M:$M,"&gt;0")&lt;&gt;1,"",SUMIFS($I:$I,$C:$C,$C859,$D:$D,$D859,$E:$E,"P0(후)"))</f>
        <v/>
      </c>
      <c r="R859" s="31">
        <f>IF(COUNTIFS($C:$C,$C859,$D:$D,$D859,$E:$E,"P0(후)",$M:$M,"&gt;0")&lt;&gt;1,"",SUMIFS($M:$M,$C:$C,$C859,$D:$D,$D859,$E:$E,"P0(후)"))</f>
        <v/>
      </c>
      <c r="S859" s="31">
        <f>IF(N859&lt;&gt;"OK","",P859+(R859-P859)*(I859-O859)/(Q859-O859))</f>
        <v/>
      </c>
      <c r="T859" s="31">
        <f>IF(OR(N859&lt;&gt;"OK",NOT(ISNUMBER(M859))),"",M859-S859)</f>
        <v/>
      </c>
      <c r="U859" s="49">
        <f>IF(OR(NOT(ISNUMBER(T859)),IF(ISNUMBER(H859),H859,G859)=0),"",T859/IF(ISNUMBER(H859),H859,G859))</f>
        <v/>
      </c>
      <c r="V859" s="49">
        <f>IF(ISNUMBER(U859),ABS(U859),"")</f>
        <v/>
      </c>
      <c r="W859" s="49">
        <f>IF(OR($E858&lt;&gt;"측정",$C858&lt;&gt;$C859,$D858&lt;&gt;$D859,NOT(ISNUMBER(M859)),NOT(ISNUMBER(M858)),(IF(ISNUMBER(H859),H859,G859)-IF(ISNUMBER(H858),H858,G858))=0),"",(M859-M858)/(IF(ISNUMBER(H859),H859,G859)-IF(ISNUMBER(H858),H858,G858)))</f>
        <v/>
      </c>
      <c r="X859" s="31">
        <f>IF(NOT(AND(ISNUMBER(O859),ISNUMBER(Q859))),"",(Q859-O859)*1440)</f>
        <v/>
      </c>
      <c r="Y859" s="29" t="n"/>
      <c r="Z859" s="29" t="n"/>
      <c r="AA859" s="29" t="n"/>
      <c r="AB859" s="32" t="n"/>
      <c r="AC859" s="32" t="n"/>
    </row>
    <row r="860">
      <c r="A860" s="26" t="inlineStr">
        <is>
          <t>S17</t>
        </is>
      </c>
      <c r="B860" s="26" t="inlineStr">
        <is>
          <t>영양 신규점4</t>
        </is>
      </c>
      <c r="C860" s="26" t="inlineStr">
        <is>
          <t>S17-H서</t>
        </is>
      </c>
      <c r="D860" s="47" t="n">
        <v>1</v>
      </c>
      <c r="E860" s="26" t="inlineStr">
        <is>
          <t>측정</t>
        </is>
      </c>
      <c r="F860" s="26" t="inlineStr">
        <is>
          <t>서</t>
        </is>
      </c>
      <c r="G860" s="31" t="n">
        <v>8</v>
      </c>
      <c r="H860" s="30" t="n"/>
      <c r="I860" s="43" t="n"/>
      <c r="J860" s="41" t="n"/>
      <c r="K860" s="41" t="n"/>
      <c r="L860" s="41" t="n"/>
      <c r="M860" s="31">
        <f>IF(COUNT(J860:L860)=0,"",MEDIAN(J860:L860))</f>
        <v/>
      </c>
      <c r="N860" s="26">
        <f>IF(COUNTIFS($C:$C,$C860,$D:$D,$D860,$E:$E,"P0(전)",$M:$M,"&gt;0")&lt;&gt;1,"P0(전) 유효 1개 아님",IF(COUNTIFS($C:$C,$C860,$D:$D,$D860,$E:$E,"P0(후)",$M:$M,"&gt;0")&lt;&gt;1,"P0(후) 유효 1개 아님",IF(NOT(AND(ISNUMBER(O860),ISNUMBER(Q860),ISNUMBER(I860))),"시각 결측",IF(Q860&lt;=O860,"P0 시각 역전",IF(OR(I860&lt;O860,I860&gt;Q860),"측정시각 구간 밖","OK")))))</f>
        <v/>
      </c>
      <c r="O860" s="48">
        <f>IF(COUNTIFS($C:$C,$C860,$D:$D,$D860,$E:$E,"P0(전)",$M:$M,"&gt;0")&lt;&gt;1,"",SUMIFS($I:$I,$C:$C,$C860,$D:$D,$D860,$E:$E,"P0(전)"))</f>
        <v/>
      </c>
      <c r="P860" s="31">
        <f>IF(COUNTIFS($C:$C,$C860,$D:$D,$D860,$E:$E,"P0(전)",$M:$M,"&gt;0")&lt;&gt;1,"",SUMIFS($M:$M,$C:$C,$C860,$D:$D,$D860,$E:$E,"P0(전)"))</f>
        <v/>
      </c>
      <c r="Q860" s="48">
        <f>IF(COUNTIFS($C:$C,$C860,$D:$D,$D860,$E:$E,"P0(후)",$M:$M,"&gt;0")&lt;&gt;1,"",SUMIFS($I:$I,$C:$C,$C860,$D:$D,$D860,$E:$E,"P0(후)"))</f>
        <v/>
      </c>
      <c r="R860" s="31">
        <f>IF(COUNTIFS($C:$C,$C860,$D:$D,$D860,$E:$E,"P0(후)",$M:$M,"&gt;0")&lt;&gt;1,"",SUMIFS($M:$M,$C:$C,$C860,$D:$D,$D860,$E:$E,"P0(후)"))</f>
        <v/>
      </c>
      <c r="S860" s="31">
        <f>IF(N860&lt;&gt;"OK","",P860+(R860-P860)*(I860-O860)/(Q860-O860))</f>
        <v/>
      </c>
      <c r="T860" s="31">
        <f>IF(OR(N860&lt;&gt;"OK",NOT(ISNUMBER(M860))),"",M860-S860)</f>
        <v/>
      </c>
      <c r="U860" s="49">
        <f>IF(OR(NOT(ISNUMBER(T860)),IF(ISNUMBER(H860),H860,G860)=0),"",T860/IF(ISNUMBER(H860),H860,G860))</f>
        <v/>
      </c>
      <c r="V860" s="49">
        <f>IF(ISNUMBER(U860),ABS(U860),"")</f>
        <v/>
      </c>
      <c r="W860" s="49">
        <f>IF(OR($E859&lt;&gt;"측정",$C859&lt;&gt;$C860,$D859&lt;&gt;$D860,NOT(ISNUMBER(M860)),NOT(ISNUMBER(M859)),(IF(ISNUMBER(H860),H860,G860)-IF(ISNUMBER(H859),H859,G859))=0),"",(M860-M859)/(IF(ISNUMBER(H860),H860,G860)-IF(ISNUMBER(H859),H859,G859)))</f>
        <v/>
      </c>
      <c r="X860" s="31">
        <f>IF(NOT(AND(ISNUMBER(O860),ISNUMBER(Q860))),"",(Q860-O860)*1440)</f>
        <v/>
      </c>
      <c r="Y860" s="29" t="n"/>
      <c r="Z860" s="29" t="n"/>
      <c r="AA860" s="29" t="n"/>
      <c r="AB860" s="32" t="n"/>
      <c r="AC860" s="32" t="n"/>
    </row>
    <row r="861">
      <c r="A861" s="26" t="inlineStr">
        <is>
          <t>S17</t>
        </is>
      </c>
      <c r="B861" s="26" t="inlineStr">
        <is>
          <t>영양 신규점4</t>
        </is>
      </c>
      <c r="C861" s="26" t="inlineStr">
        <is>
          <t>S17-H서</t>
        </is>
      </c>
      <c r="D861" s="47" t="n">
        <v>1</v>
      </c>
      <c r="E861" s="26" t="inlineStr">
        <is>
          <t>측정</t>
        </is>
      </c>
      <c r="F861" s="26" t="inlineStr">
        <is>
          <t>서</t>
        </is>
      </c>
      <c r="G861" s="31" t="n">
        <v>9</v>
      </c>
      <c r="H861" s="30" t="n"/>
      <c r="I861" s="43" t="n"/>
      <c r="J861" s="41" t="n"/>
      <c r="K861" s="41" t="n"/>
      <c r="L861" s="41" t="n"/>
      <c r="M861" s="31">
        <f>IF(COUNT(J861:L861)=0,"",MEDIAN(J861:L861))</f>
        <v/>
      </c>
      <c r="N861" s="26">
        <f>IF(COUNTIFS($C:$C,$C861,$D:$D,$D861,$E:$E,"P0(전)",$M:$M,"&gt;0")&lt;&gt;1,"P0(전) 유효 1개 아님",IF(COUNTIFS($C:$C,$C861,$D:$D,$D861,$E:$E,"P0(후)",$M:$M,"&gt;0")&lt;&gt;1,"P0(후) 유효 1개 아님",IF(NOT(AND(ISNUMBER(O861),ISNUMBER(Q861),ISNUMBER(I861))),"시각 결측",IF(Q861&lt;=O861,"P0 시각 역전",IF(OR(I861&lt;O861,I861&gt;Q861),"측정시각 구간 밖","OK")))))</f>
        <v/>
      </c>
      <c r="O861" s="48">
        <f>IF(COUNTIFS($C:$C,$C861,$D:$D,$D861,$E:$E,"P0(전)",$M:$M,"&gt;0")&lt;&gt;1,"",SUMIFS($I:$I,$C:$C,$C861,$D:$D,$D861,$E:$E,"P0(전)"))</f>
        <v/>
      </c>
      <c r="P861" s="31">
        <f>IF(COUNTIFS($C:$C,$C861,$D:$D,$D861,$E:$E,"P0(전)",$M:$M,"&gt;0")&lt;&gt;1,"",SUMIFS($M:$M,$C:$C,$C861,$D:$D,$D861,$E:$E,"P0(전)"))</f>
        <v/>
      </c>
      <c r="Q861" s="48">
        <f>IF(COUNTIFS($C:$C,$C861,$D:$D,$D861,$E:$E,"P0(후)",$M:$M,"&gt;0")&lt;&gt;1,"",SUMIFS($I:$I,$C:$C,$C861,$D:$D,$D861,$E:$E,"P0(후)"))</f>
        <v/>
      </c>
      <c r="R861" s="31">
        <f>IF(COUNTIFS($C:$C,$C861,$D:$D,$D861,$E:$E,"P0(후)",$M:$M,"&gt;0")&lt;&gt;1,"",SUMIFS($M:$M,$C:$C,$C861,$D:$D,$D861,$E:$E,"P0(후)"))</f>
        <v/>
      </c>
      <c r="S861" s="31">
        <f>IF(N861&lt;&gt;"OK","",P861+(R861-P861)*(I861-O861)/(Q861-O861))</f>
        <v/>
      </c>
      <c r="T861" s="31">
        <f>IF(OR(N861&lt;&gt;"OK",NOT(ISNUMBER(M861))),"",M861-S861)</f>
        <v/>
      </c>
      <c r="U861" s="49">
        <f>IF(OR(NOT(ISNUMBER(T861)),IF(ISNUMBER(H861),H861,G861)=0),"",T861/IF(ISNUMBER(H861),H861,G861))</f>
        <v/>
      </c>
      <c r="V861" s="49">
        <f>IF(ISNUMBER(U861),ABS(U861),"")</f>
        <v/>
      </c>
      <c r="W861" s="49">
        <f>IF(OR($E860&lt;&gt;"측정",$C860&lt;&gt;$C861,$D860&lt;&gt;$D861,NOT(ISNUMBER(M861)),NOT(ISNUMBER(M860)),(IF(ISNUMBER(H861),H861,G861)-IF(ISNUMBER(H860),H860,G860))=0),"",(M861-M860)/(IF(ISNUMBER(H861),H861,G861)-IF(ISNUMBER(H860),H860,G860)))</f>
        <v/>
      </c>
      <c r="X861" s="31">
        <f>IF(NOT(AND(ISNUMBER(O861),ISNUMBER(Q861))),"",(Q861-O861)*1440)</f>
        <v/>
      </c>
      <c r="Y861" s="29" t="n"/>
      <c r="Z861" s="29" t="n"/>
      <c r="AA861" s="29" t="n"/>
      <c r="AB861" s="32" t="n"/>
      <c r="AC861" s="32" t="n"/>
    </row>
    <row r="862">
      <c r="A862" s="26" t="inlineStr">
        <is>
          <t>S17</t>
        </is>
      </c>
      <c r="B862" s="26" t="inlineStr">
        <is>
          <t>영양 신규점4</t>
        </is>
      </c>
      <c r="C862" s="26" t="inlineStr">
        <is>
          <t>S17-H서</t>
        </is>
      </c>
      <c r="D862" s="47" t="n">
        <v>1</v>
      </c>
      <c r="E862" s="26" t="inlineStr">
        <is>
          <t>측정</t>
        </is>
      </c>
      <c r="F862" s="26" t="inlineStr">
        <is>
          <t>서</t>
        </is>
      </c>
      <c r="G862" s="31" t="n">
        <v>10</v>
      </c>
      <c r="H862" s="30" t="n"/>
      <c r="I862" s="43" t="n"/>
      <c r="J862" s="41" t="n"/>
      <c r="K862" s="41" t="n"/>
      <c r="L862" s="41" t="n"/>
      <c r="M862" s="31">
        <f>IF(COUNT(J862:L862)=0,"",MEDIAN(J862:L862))</f>
        <v/>
      </c>
      <c r="N862" s="26">
        <f>IF(COUNTIFS($C:$C,$C862,$D:$D,$D862,$E:$E,"P0(전)",$M:$M,"&gt;0")&lt;&gt;1,"P0(전) 유효 1개 아님",IF(COUNTIFS($C:$C,$C862,$D:$D,$D862,$E:$E,"P0(후)",$M:$M,"&gt;0")&lt;&gt;1,"P0(후) 유효 1개 아님",IF(NOT(AND(ISNUMBER(O862),ISNUMBER(Q862),ISNUMBER(I862))),"시각 결측",IF(Q862&lt;=O862,"P0 시각 역전",IF(OR(I862&lt;O862,I862&gt;Q862),"측정시각 구간 밖","OK")))))</f>
        <v/>
      </c>
      <c r="O862" s="48">
        <f>IF(COUNTIFS($C:$C,$C862,$D:$D,$D862,$E:$E,"P0(전)",$M:$M,"&gt;0")&lt;&gt;1,"",SUMIFS($I:$I,$C:$C,$C862,$D:$D,$D862,$E:$E,"P0(전)"))</f>
        <v/>
      </c>
      <c r="P862" s="31">
        <f>IF(COUNTIFS($C:$C,$C862,$D:$D,$D862,$E:$E,"P0(전)",$M:$M,"&gt;0")&lt;&gt;1,"",SUMIFS($M:$M,$C:$C,$C862,$D:$D,$D862,$E:$E,"P0(전)"))</f>
        <v/>
      </c>
      <c r="Q862" s="48">
        <f>IF(COUNTIFS($C:$C,$C862,$D:$D,$D862,$E:$E,"P0(후)",$M:$M,"&gt;0")&lt;&gt;1,"",SUMIFS($I:$I,$C:$C,$C862,$D:$D,$D862,$E:$E,"P0(후)"))</f>
        <v/>
      </c>
      <c r="R862" s="31">
        <f>IF(COUNTIFS($C:$C,$C862,$D:$D,$D862,$E:$E,"P0(후)",$M:$M,"&gt;0")&lt;&gt;1,"",SUMIFS($M:$M,$C:$C,$C862,$D:$D,$D862,$E:$E,"P0(후)"))</f>
        <v/>
      </c>
      <c r="S862" s="31">
        <f>IF(N862&lt;&gt;"OK","",P862+(R862-P862)*(I862-O862)/(Q862-O862))</f>
        <v/>
      </c>
      <c r="T862" s="31">
        <f>IF(OR(N862&lt;&gt;"OK",NOT(ISNUMBER(M862))),"",M862-S862)</f>
        <v/>
      </c>
      <c r="U862" s="49">
        <f>IF(OR(NOT(ISNUMBER(T862)),IF(ISNUMBER(H862),H862,G862)=0),"",T862/IF(ISNUMBER(H862),H862,G862))</f>
        <v/>
      </c>
      <c r="V862" s="49">
        <f>IF(ISNUMBER(U862),ABS(U862),"")</f>
        <v/>
      </c>
      <c r="W862" s="49">
        <f>IF(OR($E861&lt;&gt;"측정",$C861&lt;&gt;$C862,$D861&lt;&gt;$D862,NOT(ISNUMBER(M862)),NOT(ISNUMBER(M861)),(IF(ISNUMBER(H862),H862,G862)-IF(ISNUMBER(H861),H861,G861))=0),"",(M862-M861)/(IF(ISNUMBER(H862),H862,G862)-IF(ISNUMBER(H861),H861,G861)))</f>
        <v/>
      </c>
      <c r="X862" s="31">
        <f>IF(NOT(AND(ISNUMBER(O862),ISNUMBER(Q862))),"",(Q862-O862)*1440)</f>
        <v/>
      </c>
      <c r="Y862" s="29" t="n"/>
      <c r="Z862" s="29" t="n"/>
      <c r="AA862" s="29" t="n"/>
      <c r="AB862" s="32" t="n"/>
      <c r="AC862" s="32" t="n"/>
    </row>
    <row r="863">
      <c r="A863" s="44" t="inlineStr">
        <is>
          <t>S17</t>
        </is>
      </c>
      <c r="B863" s="44" t="inlineStr">
        <is>
          <t>영양 신규점4</t>
        </is>
      </c>
      <c r="C863" s="44" t="inlineStr">
        <is>
          <t>S17-H서</t>
        </is>
      </c>
      <c r="D863" s="45" t="n">
        <v>1</v>
      </c>
      <c r="E863" s="44" t="inlineStr">
        <is>
          <t>P0(후)</t>
        </is>
      </c>
      <c r="F863" s="44" t="inlineStr">
        <is>
          <t>서</t>
        </is>
      </c>
      <c r="G863" s="46" t="n"/>
      <c r="H863" s="30" t="n"/>
      <c r="I863" s="43" t="n"/>
      <c r="J863" s="41" t="n"/>
      <c r="K863" s="41" t="n"/>
      <c r="L863" s="41" t="n"/>
      <c r="M863" s="31">
        <f>IF(COUNT(J863:L863)=0,"",MEDIAN(J863:L863))</f>
        <v/>
      </c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38" t="n"/>
      <c r="Y863" s="29" t="n"/>
      <c r="Z863" s="29" t="n"/>
      <c r="AA863" s="29" t="n"/>
      <c r="AB863" s="32" t="n"/>
      <c r="AC863" s="32" t="n"/>
    </row>
    <row r="864">
      <c r="A864" s="44" t="inlineStr">
        <is>
          <t>S17</t>
        </is>
      </c>
      <c r="B864" s="44" t="inlineStr">
        <is>
          <t>영양 신규점4</t>
        </is>
      </c>
      <c r="C864" s="44" t="inlineStr">
        <is>
          <t>S17-H남</t>
        </is>
      </c>
      <c r="D864" s="45" t="n">
        <v>1</v>
      </c>
      <c r="E864" s="44" t="inlineStr">
        <is>
          <t>P0(전)</t>
        </is>
      </c>
      <c r="F864" s="44" t="inlineStr">
        <is>
          <t>남</t>
        </is>
      </c>
      <c r="G864" s="46" t="n"/>
      <c r="H864" s="30" t="n"/>
      <c r="I864" s="43" t="n"/>
      <c r="J864" s="41" t="n"/>
      <c r="K864" s="41" t="n"/>
      <c r="L864" s="41" t="n"/>
      <c r="M864" s="31">
        <f>IF(COUNT(J864:L864)=0,"",MEDIAN(J864:L864))</f>
        <v/>
      </c>
      <c r="N864" s="38" t="n"/>
      <c r="O864" s="38" t="n"/>
      <c r="P864" s="38" t="n"/>
      <c r="Q864" s="38" t="n"/>
      <c r="R864" s="38" t="n"/>
      <c r="S864" s="38" t="n"/>
      <c r="T864" s="38" t="n"/>
      <c r="U864" s="38" t="n"/>
      <c r="V864" s="38" t="n"/>
      <c r="W864" s="38" t="n"/>
      <c r="X864" s="38" t="n"/>
      <c r="Y864" s="29" t="n"/>
      <c r="Z864" s="29" t="n"/>
      <c r="AA864" s="29" t="n"/>
      <c r="AB864" s="32" t="n"/>
      <c r="AC864" s="32" t="n"/>
    </row>
    <row r="865">
      <c r="A865" s="26" t="inlineStr">
        <is>
          <t>S17</t>
        </is>
      </c>
      <c r="B865" s="26" t="inlineStr">
        <is>
          <t>영양 신규점4</t>
        </is>
      </c>
      <c r="C865" s="26" t="inlineStr">
        <is>
          <t>S17-H남</t>
        </is>
      </c>
      <c r="D865" s="47" t="n">
        <v>1</v>
      </c>
      <c r="E865" s="26" t="inlineStr">
        <is>
          <t>측정</t>
        </is>
      </c>
      <c r="F865" s="26" t="inlineStr">
        <is>
          <t>남</t>
        </is>
      </c>
      <c r="G865" s="31" t="n">
        <v>0.5</v>
      </c>
      <c r="H865" s="30" t="n"/>
      <c r="I865" s="43" t="n"/>
      <c r="J865" s="41" t="n"/>
      <c r="K865" s="41" t="n"/>
      <c r="L865" s="41" t="n"/>
      <c r="M865" s="31">
        <f>IF(COUNT(J865:L865)=0,"",MEDIAN(J865:L865))</f>
        <v/>
      </c>
      <c r="N865" s="26">
        <f>IF(COUNTIFS($C:$C,$C865,$D:$D,$D865,$E:$E,"P0(전)",$M:$M,"&gt;0")&lt;&gt;1,"P0(전) 유효 1개 아님",IF(COUNTIFS($C:$C,$C865,$D:$D,$D865,$E:$E,"P0(후)",$M:$M,"&gt;0")&lt;&gt;1,"P0(후) 유효 1개 아님",IF(NOT(AND(ISNUMBER(O865),ISNUMBER(Q865),ISNUMBER(I865))),"시각 결측",IF(Q865&lt;=O865,"P0 시각 역전",IF(OR(I865&lt;O865,I865&gt;Q865),"측정시각 구간 밖","OK")))))</f>
        <v/>
      </c>
      <c r="O865" s="48">
        <f>IF(COUNTIFS($C:$C,$C865,$D:$D,$D865,$E:$E,"P0(전)",$M:$M,"&gt;0")&lt;&gt;1,"",SUMIFS($I:$I,$C:$C,$C865,$D:$D,$D865,$E:$E,"P0(전)"))</f>
        <v/>
      </c>
      <c r="P865" s="31">
        <f>IF(COUNTIFS($C:$C,$C865,$D:$D,$D865,$E:$E,"P0(전)",$M:$M,"&gt;0")&lt;&gt;1,"",SUMIFS($M:$M,$C:$C,$C865,$D:$D,$D865,$E:$E,"P0(전)"))</f>
        <v/>
      </c>
      <c r="Q865" s="48">
        <f>IF(COUNTIFS($C:$C,$C865,$D:$D,$D865,$E:$E,"P0(후)",$M:$M,"&gt;0")&lt;&gt;1,"",SUMIFS($I:$I,$C:$C,$C865,$D:$D,$D865,$E:$E,"P0(후)"))</f>
        <v/>
      </c>
      <c r="R865" s="31">
        <f>IF(COUNTIFS($C:$C,$C865,$D:$D,$D865,$E:$E,"P0(후)",$M:$M,"&gt;0")&lt;&gt;1,"",SUMIFS($M:$M,$C:$C,$C865,$D:$D,$D865,$E:$E,"P0(후)"))</f>
        <v/>
      </c>
      <c r="S865" s="31">
        <f>IF(N865&lt;&gt;"OK","",P865+(R865-P865)*(I865-O865)/(Q865-O865))</f>
        <v/>
      </c>
      <c r="T865" s="31">
        <f>IF(OR(N865&lt;&gt;"OK",NOT(ISNUMBER(M865))),"",M865-S865)</f>
        <v/>
      </c>
      <c r="U865" s="49">
        <f>IF(OR(NOT(ISNUMBER(T865)),IF(ISNUMBER(H865),H865,G865)=0),"",T865/IF(ISNUMBER(H865),H865,G865))</f>
        <v/>
      </c>
      <c r="V865" s="49">
        <f>IF(ISNUMBER(U865),ABS(U865),"")</f>
        <v/>
      </c>
      <c r="W865" s="49">
        <f>IF(OR($E864&lt;&gt;"측정",$C864&lt;&gt;$C865,$D864&lt;&gt;$D865,NOT(ISNUMBER(M865)),NOT(ISNUMBER(M864)),(IF(ISNUMBER(H865),H865,G865)-IF(ISNUMBER(H864),H864,G864))=0),"",(M865-M864)/(IF(ISNUMBER(H865),H865,G865)-IF(ISNUMBER(H864),H864,G864)))</f>
        <v/>
      </c>
      <c r="X865" s="31">
        <f>IF(NOT(AND(ISNUMBER(O865),ISNUMBER(Q865))),"",(Q865-O865)*1440)</f>
        <v/>
      </c>
      <c r="Y865" s="29" t="n"/>
      <c r="Z865" s="29" t="n"/>
      <c r="AA865" s="29" t="n"/>
      <c r="AB865" s="32" t="n"/>
      <c r="AC865" s="32" t="n"/>
    </row>
    <row r="866">
      <c r="A866" s="26" t="inlineStr">
        <is>
          <t>S17</t>
        </is>
      </c>
      <c r="B866" s="26" t="inlineStr">
        <is>
          <t>영양 신규점4</t>
        </is>
      </c>
      <c r="C866" s="26" t="inlineStr">
        <is>
          <t>S17-H남</t>
        </is>
      </c>
      <c r="D866" s="47" t="n">
        <v>1</v>
      </c>
      <c r="E866" s="26" t="inlineStr">
        <is>
          <t>측정</t>
        </is>
      </c>
      <c r="F866" s="26" t="inlineStr">
        <is>
          <t>남</t>
        </is>
      </c>
      <c r="G866" s="31" t="n">
        <v>1</v>
      </c>
      <c r="H866" s="30" t="n"/>
      <c r="I866" s="43" t="n"/>
      <c r="J866" s="41" t="n"/>
      <c r="K866" s="41" t="n"/>
      <c r="L866" s="41" t="n"/>
      <c r="M866" s="31">
        <f>IF(COUNT(J866:L866)=0,"",MEDIAN(J866:L866))</f>
        <v/>
      </c>
      <c r="N866" s="26">
        <f>IF(COUNTIFS($C:$C,$C866,$D:$D,$D866,$E:$E,"P0(전)",$M:$M,"&gt;0")&lt;&gt;1,"P0(전) 유효 1개 아님",IF(COUNTIFS($C:$C,$C866,$D:$D,$D866,$E:$E,"P0(후)",$M:$M,"&gt;0")&lt;&gt;1,"P0(후) 유효 1개 아님",IF(NOT(AND(ISNUMBER(O866),ISNUMBER(Q866),ISNUMBER(I866))),"시각 결측",IF(Q866&lt;=O866,"P0 시각 역전",IF(OR(I866&lt;O866,I866&gt;Q866),"측정시각 구간 밖","OK")))))</f>
        <v/>
      </c>
      <c r="O866" s="48">
        <f>IF(COUNTIFS($C:$C,$C866,$D:$D,$D866,$E:$E,"P0(전)",$M:$M,"&gt;0")&lt;&gt;1,"",SUMIFS($I:$I,$C:$C,$C866,$D:$D,$D866,$E:$E,"P0(전)"))</f>
        <v/>
      </c>
      <c r="P866" s="31">
        <f>IF(COUNTIFS($C:$C,$C866,$D:$D,$D866,$E:$E,"P0(전)",$M:$M,"&gt;0")&lt;&gt;1,"",SUMIFS($M:$M,$C:$C,$C866,$D:$D,$D866,$E:$E,"P0(전)"))</f>
        <v/>
      </c>
      <c r="Q866" s="48">
        <f>IF(COUNTIFS($C:$C,$C866,$D:$D,$D866,$E:$E,"P0(후)",$M:$M,"&gt;0")&lt;&gt;1,"",SUMIFS($I:$I,$C:$C,$C866,$D:$D,$D866,$E:$E,"P0(후)"))</f>
        <v/>
      </c>
      <c r="R866" s="31">
        <f>IF(COUNTIFS($C:$C,$C866,$D:$D,$D866,$E:$E,"P0(후)",$M:$M,"&gt;0")&lt;&gt;1,"",SUMIFS($M:$M,$C:$C,$C866,$D:$D,$D866,$E:$E,"P0(후)"))</f>
        <v/>
      </c>
      <c r="S866" s="31">
        <f>IF(N866&lt;&gt;"OK","",P866+(R866-P866)*(I866-O866)/(Q866-O866))</f>
        <v/>
      </c>
      <c r="T866" s="31">
        <f>IF(OR(N866&lt;&gt;"OK",NOT(ISNUMBER(M866))),"",M866-S866)</f>
        <v/>
      </c>
      <c r="U866" s="49">
        <f>IF(OR(NOT(ISNUMBER(T866)),IF(ISNUMBER(H866),H866,G866)=0),"",T866/IF(ISNUMBER(H866),H866,G866))</f>
        <v/>
      </c>
      <c r="V866" s="49">
        <f>IF(ISNUMBER(U866),ABS(U866),"")</f>
        <v/>
      </c>
      <c r="W866" s="49">
        <f>IF(OR($E865&lt;&gt;"측정",$C865&lt;&gt;$C866,$D865&lt;&gt;$D866,NOT(ISNUMBER(M866)),NOT(ISNUMBER(M865)),(IF(ISNUMBER(H866),H866,G866)-IF(ISNUMBER(H865),H865,G865))=0),"",(M866-M865)/(IF(ISNUMBER(H866),H866,G866)-IF(ISNUMBER(H865),H865,G865)))</f>
        <v/>
      </c>
      <c r="X866" s="31">
        <f>IF(NOT(AND(ISNUMBER(O866),ISNUMBER(Q866))),"",(Q866-O866)*1440)</f>
        <v/>
      </c>
      <c r="Y866" s="29" t="n"/>
      <c r="Z866" s="29" t="n"/>
      <c r="AA866" s="29" t="n"/>
      <c r="AB866" s="32" t="n"/>
      <c r="AC866" s="32" t="n"/>
    </row>
    <row r="867">
      <c r="A867" s="26" t="inlineStr">
        <is>
          <t>S17</t>
        </is>
      </c>
      <c r="B867" s="26" t="inlineStr">
        <is>
          <t>영양 신규점4</t>
        </is>
      </c>
      <c r="C867" s="26" t="inlineStr">
        <is>
          <t>S17-H남</t>
        </is>
      </c>
      <c r="D867" s="47" t="n">
        <v>1</v>
      </c>
      <c r="E867" s="26" t="inlineStr">
        <is>
          <t>측정</t>
        </is>
      </c>
      <c r="F867" s="26" t="inlineStr">
        <is>
          <t>남</t>
        </is>
      </c>
      <c r="G867" s="31" t="n">
        <v>2</v>
      </c>
      <c r="H867" s="30" t="n"/>
      <c r="I867" s="43" t="n"/>
      <c r="J867" s="41" t="n"/>
      <c r="K867" s="41" t="n"/>
      <c r="L867" s="41" t="n"/>
      <c r="M867" s="31">
        <f>IF(COUNT(J867:L867)=0,"",MEDIAN(J867:L867))</f>
        <v/>
      </c>
      <c r="N867" s="26">
        <f>IF(COUNTIFS($C:$C,$C867,$D:$D,$D867,$E:$E,"P0(전)",$M:$M,"&gt;0")&lt;&gt;1,"P0(전) 유효 1개 아님",IF(COUNTIFS($C:$C,$C867,$D:$D,$D867,$E:$E,"P0(후)",$M:$M,"&gt;0")&lt;&gt;1,"P0(후) 유효 1개 아님",IF(NOT(AND(ISNUMBER(O867),ISNUMBER(Q867),ISNUMBER(I867))),"시각 결측",IF(Q867&lt;=O867,"P0 시각 역전",IF(OR(I867&lt;O867,I867&gt;Q867),"측정시각 구간 밖","OK")))))</f>
        <v/>
      </c>
      <c r="O867" s="48">
        <f>IF(COUNTIFS($C:$C,$C867,$D:$D,$D867,$E:$E,"P0(전)",$M:$M,"&gt;0")&lt;&gt;1,"",SUMIFS($I:$I,$C:$C,$C867,$D:$D,$D867,$E:$E,"P0(전)"))</f>
        <v/>
      </c>
      <c r="P867" s="31">
        <f>IF(COUNTIFS($C:$C,$C867,$D:$D,$D867,$E:$E,"P0(전)",$M:$M,"&gt;0")&lt;&gt;1,"",SUMIFS($M:$M,$C:$C,$C867,$D:$D,$D867,$E:$E,"P0(전)"))</f>
        <v/>
      </c>
      <c r="Q867" s="48">
        <f>IF(COUNTIFS($C:$C,$C867,$D:$D,$D867,$E:$E,"P0(후)",$M:$M,"&gt;0")&lt;&gt;1,"",SUMIFS($I:$I,$C:$C,$C867,$D:$D,$D867,$E:$E,"P0(후)"))</f>
        <v/>
      </c>
      <c r="R867" s="31">
        <f>IF(COUNTIFS($C:$C,$C867,$D:$D,$D867,$E:$E,"P0(후)",$M:$M,"&gt;0")&lt;&gt;1,"",SUMIFS($M:$M,$C:$C,$C867,$D:$D,$D867,$E:$E,"P0(후)"))</f>
        <v/>
      </c>
      <c r="S867" s="31">
        <f>IF(N867&lt;&gt;"OK","",P867+(R867-P867)*(I867-O867)/(Q867-O867))</f>
        <v/>
      </c>
      <c r="T867" s="31">
        <f>IF(OR(N867&lt;&gt;"OK",NOT(ISNUMBER(M867))),"",M867-S867)</f>
        <v/>
      </c>
      <c r="U867" s="49">
        <f>IF(OR(NOT(ISNUMBER(T867)),IF(ISNUMBER(H867),H867,G867)=0),"",T867/IF(ISNUMBER(H867),H867,G867))</f>
        <v/>
      </c>
      <c r="V867" s="49">
        <f>IF(ISNUMBER(U867),ABS(U867),"")</f>
        <v/>
      </c>
      <c r="W867" s="49">
        <f>IF(OR($E866&lt;&gt;"측정",$C866&lt;&gt;$C867,$D866&lt;&gt;$D867,NOT(ISNUMBER(M867)),NOT(ISNUMBER(M866)),(IF(ISNUMBER(H867),H867,G867)-IF(ISNUMBER(H866),H866,G866))=0),"",(M867-M866)/(IF(ISNUMBER(H867),H867,G867)-IF(ISNUMBER(H866),H866,G866)))</f>
        <v/>
      </c>
      <c r="X867" s="31">
        <f>IF(NOT(AND(ISNUMBER(O867),ISNUMBER(Q867))),"",(Q867-O867)*1440)</f>
        <v/>
      </c>
      <c r="Y867" s="29" t="n"/>
      <c r="Z867" s="29" t="n"/>
      <c r="AA867" s="29" t="n"/>
      <c r="AB867" s="32" t="n"/>
      <c r="AC867" s="32" t="n"/>
    </row>
    <row r="868">
      <c r="A868" s="26" t="inlineStr">
        <is>
          <t>S17</t>
        </is>
      </c>
      <c r="B868" s="26" t="inlineStr">
        <is>
          <t>영양 신규점4</t>
        </is>
      </c>
      <c r="C868" s="26" t="inlineStr">
        <is>
          <t>S17-H남</t>
        </is>
      </c>
      <c r="D868" s="47" t="n">
        <v>1</v>
      </c>
      <c r="E868" s="26" t="inlineStr">
        <is>
          <t>측정</t>
        </is>
      </c>
      <c r="F868" s="26" t="inlineStr">
        <is>
          <t>남</t>
        </is>
      </c>
      <c r="G868" s="31" t="n">
        <v>3</v>
      </c>
      <c r="H868" s="30" t="n"/>
      <c r="I868" s="43" t="n"/>
      <c r="J868" s="41" t="n"/>
      <c r="K868" s="41" t="n"/>
      <c r="L868" s="41" t="n"/>
      <c r="M868" s="31">
        <f>IF(COUNT(J868:L868)=0,"",MEDIAN(J868:L868))</f>
        <v/>
      </c>
      <c r="N868" s="26">
        <f>IF(COUNTIFS($C:$C,$C868,$D:$D,$D868,$E:$E,"P0(전)",$M:$M,"&gt;0")&lt;&gt;1,"P0(전) 유효 1개 아님",IF(COUNTIFS($C:$C,$C868,$D:$D,$D868,$E:$E,"P0(후)",$M:$M,"&gt;0")&lt;&gt;1,"P0(후) 유효 1개 아님",IF(NOT(AND(ISNUMBER(O868),ISNUMBER(Q868),ISNUMBER(I868))),"시각 결측",IF(Q868&lt;=O868,"P0 시각 역전",IF(OR(I868&lt;O868,I868&gt;Q868),"측정시각 구간 밖","OK")))))</f>
        <v/>
      </c>
      <c r="O868" s="48">
        <f>IF(COUNTIFS($C:$C,$C868,$D:$D,$D868,$E:$E,"P0(전)",$M:$M,"&gt;0")&lt;&gt;1,"",SUMIFS($I:$I,$C:$C,$C868,$D:$D,$D868,$E:$E,"P0(전)"))</f>
        <v/>
      </c>
      <c r="P868" s="31">
        <f>IF(COUNTIFS($C:$C,$C868,$D:$D,$D868,$E:$E,"P0(전)",$M:$M,"&gt;0")&lt;&gt;1,"",SUMIFS($M:$M,$C:$C,$C868,$D:$D,$D868,$E:$E,"P0(전)"))</f>
        <v/>
      </c>
      <c r="Q868" s="48">
        <f>IF(COUNTIFS($C:$C,$C868,$D:$D,$D868,$E:$E,"P0(후)",$M:$M,"&gt;0")&lt;&gt;1,"",SUMIFS($I:$I,$C:$C,$C868,$D:$D,$D868,$E:$E,"P0(후)"))</f>
        <v/>
      </c>
      <c r="R868" s="31">
        <f>IF(COUNTIFS($C:$C,$C868,$D:$D,$D868,$E:$E,"P0(후)",$M:$M,"&gt;0")&lt;&gt;1,"",SUMIFS($M:$M,$C:$C,$C868,$D:$D,$D868,$E:$E,"P0(후)"))</f>
        <v/>
      </c>
      <c r="S868" s="31">
        <f>IF(N868&lt;&gt;"OK","",P868+(R868-P868)*(I868-O868)/(Q868-O868))</f>
        <v/>
      </c>
      <c r="T868" s="31">
        <f>IF(OR(N868&lt;&gt;"OK",NOT(ISNUMBER(M868))),"",M868-S868)</f>
        <v/>
      </c>
      <c r="U868" s="49">
        <f>IF(OR(NOT(ISNUMBER(T868)),IF(ISNUMBER(H868),H868,G868)=0),"",T868/IF(ISNUMBER(H868),H868,G868))</f>
        <v/>
      </c>
      <c r="V868" s="49">
        <f>IF(ISNUMBER(U868),ABS(U868),"")</f>
        <v/>
      </c>
      <c r="W868" s="49">
        <f>IF(OR($E867&lt;&gt;"측정",$C867&lt;&gt;$C868,$D867&lt;&gt;$D868,NOT(ISNUMBER(M868)),NOT(ISNUMBER(M867)),(IF(ISNUMBER(H868),H868,G868)-IF(ISNUMBER(H867),H867,G867))=0),"",(M868-M867)/(IF(ISNUMBER(H868),H868,G868)-IF(ISNUMBER(H867),H867,G867)))</f>
        <v/>
      </c>
      <c r="X868" s="31">
        <f>IF(NOT(AND(ISNUMBER(O868),ISNUMBER(Q868))),"",(Q868-O868)*1440)</f>
        <v/>
      </c>
      <c r="Y868" s="29" t="n"/>
      <c r="Z868" s="29" t="n"/>
      <c r="AA868" s="29" t="n"/>
      <c r="AB868" s="32" t="n"/>
      <c r="AC868" s="32" t="n"/>
    </row>
    <row r="869">
      <c r="A869" s="26" t="inlineStr">
        <is>
          <t>S17</t>
        </is>
      </c>
      <c r="B869" s="26" t="inlineStr">
        <is>
          <t>영양 신규점4</t>
        </is>
      </c>
      <c r="C869" s="26" t="inlineStr">
        <is>
          <t>S17-H남</t>
        </is>
      </c>
      <c r="D869" s="47" t="n">
        <v>1</v>
      </c>
      <c r="E869" s="26" t="inlineStr">
        <is>
          <t>측정</t>
        </is>
      </c>
      <c r="F869" s="26" t="inlineStr">
        <is>
          <t>남</t>
        </is>
      </c>
      <c r="G869" s="31" t="n">
        <v>4</v>
      </c>
      <c r="H869" s="30" t="n"/>
      <c r="I869" s="43" t="n"/>
      <c r="J869" s="41" t="n"/>
      <c r="K869" s="41" t="n"/>
      <c r="L869" s="41" t="n"/>
      <c r="M869" s="31">
        <f>IF(COUNT(J869:L869)=0,"",MEDIAN(J869:L869))</f>
        <v/>
      </c>
      <c r="N869" s="26">
        <f>IF(COUNTIFS($C:$C,$C869,$D:$D,$D869,$E:$E,"P0(전)",$M:$M,"&gt;0")&lt;&gt;1,"P0(전) 유효 1개 아님",IF(COUNTIFS($C:$C,$C869,$D:$D,$D869,$E:$E,"P0(후)",$M:$M,"&gt;0")&lt;&gt;1,"P0(후) 유효 1개 아님",IF(NOT(AND(ISNUMBER(O869),ISNUMBER(Q869),ISNUMBER(I869))),"시각 결측",IF(Q869&lt;=O869,"P0 시각 역전",IF(OR(I869&lt;O869,I869&gt;Q869),"측정시각 구간 밖","OK")))))</f>
        <v/>
      </c>
      <c r="O869" s="48">
        <f>IF(COUNTIFS($C:$C,$C869,$D:$D,$D869,$E:$E,"P0(전)",$M:$M,"&gt;0")&lt;&gt;1,"",SUMIFS($I:$I,$C:$C,$C869,$D:$D,$D869,$E:$E,"P0(전)"))</f>
        <v/>
      </c>
      <c r="P869" s="31">
        <f>IF(COUNTIFS($C:$C,$C869,$D:$D,$D869,$E:$E,"P0(전)",$M:$M,"&gt;0")&lt;&gt;1,"",SUMIFS($M:$M,$C:$C,$C869,$D:$D,$D869,$E:$E,"P0(전)"))</f>
        <v/>
      </c>
      <c r="Q869" s="48">
        <f>IF(COUNTIFS($C:$C,$C869,$D:$D,$D869,$E:$E,"P0(후)",$M:$M,"&gt;0")&lt;&gt;1,"",SUMIFS($I:$I,$C:$C,$C869,$D:$D,$D869,$E:$E,"P0(후)"))</f>
        <v/>
      </c>
      <c r="R869" s="31">
        <f>IF(COUNTIFS($C:$C,$C869,$D:$D,$D869,$E:$E,"P0(후)",$M:$M,"&gt;0")&lt;&gt;1,"",SUMIFS($M:$M,$C:$C,$C869,$D:$D,$D869,$E:$E,"P0(후)"))</f>
        <v/>
      </c>
      <c r="S869" s="31">
        <f>IF(N869&lt;&gt;"OK","",P869+(R869-P869)*(I869-O869)/(Q869-O869))</f>
        <v/>
      </c>
      <c r="T869" s="31">
        <f>IF(OR(N869&lt;&gt;"OK",NOT(ISNUMBER(M869))),"",M869-S869)</f>
        <v/>
      </c>
      <c r="U869" s="49">
        <f>IF(OR(NOT(ISNUMBER(T869)),IF(ISNUMBER(H869),H869,G869)=0),"",T869/IF(ISNUMBER(H869),H869,G869))</f>
        <v/>
      </c>
      <c r="V869" s="49">
        <f>IF(ISNUMBER(U869),ABS(U869),"")</f>
        <v/>
      </c>
      <c r="W869" s="49">
        <f>IF(OR($E868&lt;&gt;"측정",$C868&lt;&gt;$C869,$D868&lt;&gt;$D869,NOT(ISNUMBER(M869)),NOT(ISNUMBER(M868)),(IF(ISNUMBER(H869),H869,G869)-IF(ISNUMBER(H868),H868,G868))=0),"",(M869-M868)/(IF(ISNUMBER(H869),H869,G869)-IF(ISNUMBER(H868),H868,G868)))</f>
        <v/>
      </c>
      <c r="X869" s="31">
        <f>IF(NOT(AND(ISNUMBER(O869),ISNUMBER(Q869))),"",(Q869-O869)*1440)</f>
        <v/>
      </c>
      <c r="Y869" s="29" t="n"/>
      <c r="Z869" s="29" t="n"/>
      <c r="AA869" s="29" t="n"/>
      <c r="AB869" s="32" t="n"/>
      <c r="AC869" s="32" t="n"/>
    </row>
    <row r="870">
      <c r="A870" s="26" t="inlineStr">
        <is>
          <t>S17</t>
        </is>
      </c>
      <c r="B870" s="26" t="inlineStr">
        <is>
          <t>영양 신규점4</t>
        </is>
      </c>
      <c r="C870" s="26" t="inlineStr">
        <is>
          <t>S17-H남</t>
        </is>
      </c>
      <c r="D870" s="47" t="n">
        <v>1</v>
      </c>
      <c r="E870" s="26" t="inlineStr">
        <is>
          <t>측정</t>
        </is>
      </c>
      <c r="F870" s="26" t="inlineStr">
        <is>
          <t>남</t>
        </is>
      </c>
      <c r="G870" s="31" t="n">
        <v>5</v>
      </c>
      <c r="H870" s="30" t="n"/>
      <c r="I870" s="43" t="n"/>
      <c r="J870" s="41" t="n"/>
      <c r="K870" s="41" t="n"/>
      <c r="L870" s="41" t="n"/>
      <c r="M870" s="31">
        <f>IF(COUNT(J870:L870)=0,"",MEDIAN(J870:L870))</f>
        <v/>
      </c>
      <c r="N870" s="26">
        <f>IF(COUNTIFS($C:$C,$C870,$D:$D,$D870,$E:$E,"P0(전)",$M:$M,"&gt;0")&lt;&gt;1,"P0(전) 유효 1개 아님",IF(COUNTIFS($C:$C,$C870,$D:$D,$D870,$E:$E,"P0(후)",$M:$M,"&gt;0")&lt;&gt;1,"P0(후) 유효 1개 아님",IF(NOT(AND(ISNUMBER(O870),ISNUMBER(Q870),ISNUMBER(I870))),"시각 결측",IF(Q870&lt;=O870,"P0 시각 역전",IF(OR(I870&lt;O870,I870&gt;Q870),"측정시각 구간 밖","OK")))))</f>
        <v/>
      </c>
      <c r="O870" s="48">
        <f>IF(COUNTIFS($C:$C,$C870,$D:$D,$D870,$E:$E,"P0(전)",$M:$M,"&gt;0")&lt;&gt;1,"",SUMIFS($I:$I,$C:$C,$C870,$D:$D,$D870,$E:$E,"P0(전)"))</f>
        <v/>
      </c>
      <c r="P870" s="31">
        <f>IF(COUNTIFS($C:$C,$C870,$D:$D,$D870,$E:$E,"P0(전)",$M:$M,"&gt;0")&lt;&gt;1,"",SUMIFS($M:$M,$C:$C,$C870,$D:$D,$D870,$E:$E,"P0(전)"))</f>
        <v/>
      </c>
      <c r="Q870" s="48">
        <f>IF(COUNTIFS($C:$C,$C870,$D:$D,$D870,$E:$E,"P0(후)",$M:$M,"&gt;0")&lt;&gt;1,"",SUMIFS($I:$I,$C:$C,$C870,$D:$D,$D870,$E:$E,"P0(후)"))</f>
        <v/>
      </c>
      <c r="R870" s="31">
        <f>IF(COUNTIFS($C:$C,$C870,$D:$D,$D870,$E:$E,"P0(후)",$M:$M,"&gt;0")&lt;&gt;1,"",SUMIFS($M:$M,$C:$C,$C870,$D:$D,$D870,$E:$E,"P0(후)"))</f>
        <v/>
      </c>
      <c r="S870" s="31">
        <f>IF(N870&lt;&gt;"OK","",P870+(R870-P870)*(I870-O870)/(Q870-O870))</f>
        <v/>
      </c>
      <c r="T870" s="31">
        <f>IF(OR(N870&lt;&gt;"OK",NOT(ISNUMBER(M870))),"",M870-S870)</f>
        <v/>
      </c>
      <c r="U870" s="49">
        <f>IF(OR(NOT(ISNUMBER(T870)),IF(ISNUMBER(H870),H870,G870)=0),"",T870/IF(ISNUMBER(H870),H870,G870))</f>
        <v/>
      </c>
      <c r="V870" s="49">
        <f>IF(ISNUMBER(U870),ABS(U870),"")</f>
        <v/>
      </c>
      <c r="W870" s="49">
        <f>IF(OR($E869&lt;&gt;"측정",$C869&lt;&gt;$C870,$D869&lt;&gt;$D870,NOT(ISNUMBER(M870)),NOT(ISNUMBER(M869)),(IF(ISNUMBER(H870),H870,G870)-IF(ISNUMBER(H869),H869,G869))=0),"",(M870-M869)/(IF(ISNUMBER(H870),H870,G870)-IF(ISNUMBER(H869),H869,G869)))</f>
        <v/>
      </c>
      <c r="X870" s="31">
        <f>IF(NOT(AND(ISNUMBER(O870),ISNUMBER(Q870))),"",(Q870-O870)*1440)</f>
        <v/>
      </c>
      <c r="Y870" s="29" t="n"/>
      <c r="Z870" s="29" t="n"/>
      <c r="AA870" s="29" t="n"/>
      <c r="AB870" s="32" t="n"/>
      <c r="AC870" s="32" t="n"/>
    </row>
    <row r="871">
      <c r="A871" s="26" t="inlineStr">
        <is>
          <t>S17</t>
        </is>
      </c>
      <c r="B871" s="26" t="inlineStr">
        <is>
          <t>영양 신규점4</t>
        </is>
      </c>
      <c r="C871" s="26" t="inlineStr">
        <is>
          <t>S17-H남</t>
        </is>
      </c>
      <c r="D871" s="47" t="n">
        <v>1</v>
      </c>
      <c r="E871" s="26" t="inlineStr">
        <is>
          <t>측정</t>
        </is>
      </c>
      <c r="F871" s="26" t="inlineStr">
        <is>
          <t>남</t>
        </is>
      </c>
      <c r="G871" s="31" t="n">
        <v>6</v>
      </c>
      <c r="H871" s="30" t="n"/>
      <c r="I871" s="43" t="n"/>
      <c r="J871" s="41" t="n"/>
      <c r="K871" s="41" t="n"/>
      <c r="L871" s="41" t="n"/>
      <c r="M871" s="31">
        <f>IF(COUNT(J871:L871)=0,"",MEDIAN(J871:L871))</f>
        <v/>
      </c>
      <c r="N871" s="26">
        <f>IF(COUNTIFS($C:$C,$C871,$D:$D,$D871,$E:$E,"P0(전)",$M:$M,"&gt;0")&lt;&gt;1,"P0(전) 유효 1개 아님",IF(COUNTIFS($C:$C,$C871,$D:$D,$D871,$E:$E,"P0(후)",$M:$M,"&gt;0")&lt;&gt;1,"P0(후) 유효 1개 아님",IF(NOT(AND(ISNUMBER(O871),ISNUMBER(Q871),ISNUMBER(I871))),"시각 결측",IF(Q871&lt;=O871,"P0 시각 역전",IF(OR(I871&lt;O871,I871&gt;Q871),"측정시각 구간 밖","OK")))))</f>
        <v/>
      </c>
      <c r="O871" s="48">
        <f>IF(COUNTIFS($C:$C,$C871,$D:$D,$D871,$E:$E,"P0(전)",$M:$M,"&gt;0")&lt;&gt;1,"",SUMIFS($I:$I,$C:$C,$C871,$D:$D,$D871,$E:$E,"P0(전)"))</f>
        <v/>
      </c>
      <c r="P871" s="31">
        <f>IF(COUNTIFS($C:$C,$C871,$D:$D,$D871,$E:$E,"P0(전)",$M:$M,"&gt;0")&lt;&gt;1,"",SUMIFS($M:$M,$C:$C,$C871,$D:$D,$D871,$E:$E,"P0(전)"))</f>
        <v/>
      </c>
      <c r="Q871" s="48">
        <f>IF(COUNTIFS($C:$C,$C871,$D:$D,$D871,$E:$E,"P0(후)",$M:$M,"&gt;0")&lt;&gt;1,"",SUMIFS($I:$I,$C:$C,$C871,$D:$D,$D871,$E:$E,"P0(후)"))</f>
        <v/>
      </c>
      <c r="R871" s="31">
        <f>IF(COUNTIFS($C:$C,$C871,$D:$D,$D871,$E:$E,"P0(후)",$M:$M,"&gt;0")&lt;&gt;1,"",SUMIFS($M:$M,$C:$C,$C871,$D:$D,$D871,$E:$E,"P0(후)"))</f>
        <v/>
      </c>
      <c r="S871" s="31">
        <f>IF(N871&lt;&gt;"OK","",P871+(R871-P871)*(I871-O871)/(Q871-O871))</f>
        <v/>
      </c>
      <c r="T871" s="31">
        <f>IF(OR(N871&lt;&gt;"OK",NOT(ISNUMBER(M871))),"",M871-S871)</f>
        <v/>
      </c>
      <c r="U871" s="49">
        <f>IF(OR(NOT(ISNUMBER(T871)),IF(ISNUMBER(H871),H871,G871)=0),"",T871/IF(ISNUMBER(H871),H871,G871))</f>
        <v/>
      </c>
      <c r="V871" s="49">
        <f>IF(ISNUMBER(U871),ABS(U871),"")</f>
        <v/>
      </c>
      <c r="W871" s="49">
        <f>IF(OR($E870&lt;&gt;"측정",$C870&lt;&gt;$C871,$D870&lt;&gt;$D871,NOT(ISNUMBER(M871)),NOT(ISNUMBER(M870)),(IF(ISNUMBER(H871),H871,G871)-IF(ISNUMBER(H870),H870,G870))=0),"",(M871-M870)/(IF(ISNUMBER(H871),H871,G871)-IF(ISNUMBER(H870),H870,G870)))</f>
        <v/>
      </c>
      <c r="X871" s="31">
        <f>IF(NOT(AND(ISNUMBER(O871),ISNUMBER(Q871))),"",(Q871-O871)*1440)</f>
        <v/>
      </c>
      <c r="Y871" s="29" t="n"/>
      <c r="Z871" s="29" t="n"/>
      <c r="AA871" s="29" t="n"/>
      <c r="AB871" s="32" t="n"/>
      <c r="AC871" s="32" t="n"/>
    </row>
    <row r="872">
      <c r="A872" s="26" t="inlineStr">
        <is>
          <t>S17</t>
        </is>
      </c>
      <c r="B872" s="26" t="inlineStr">
        <is>
          <t>영양 신규점4</t>
        </is>
      </c>
      <c r="C872" s="26" t="inlineStr">
        <is>
          <t>S17-H남</t>
        </is>
      </c>
      <c r="D872" s="47" t="n">
        <v>1</v>
      </c>
      <c r="E872" s="26" t="inlineStr">
        <is>
          <t>측정</t>
        </is>
      </c>
      <c r="F872" s="26" t="inlineStr">
        <is>
          <t>남</t>
        </is>
      </c>
      <c r="G872" s="31" t="n">
        <v>7</v>
      </c>
      <c r="H872" s="30" t="n"/>
      <c r="I872" s="43" t="n"/>
      <c r="J872" s="41" t="n"/>
      <c r="K872" s="41" t="n"/>
      <c r="L872" s="41" t="n"/>
      <c r="M872" s="31">
        <f>IF(COUNT(J872:L872)=0,"",MEDIAN(J872:L872))</f>
        <v/>
      </c>
      <c r="N872" s="26">
        <f>IF(COUNTIFS($C:$C,$C872,$D:$D,$D872,$E:$E,"P0(전)",$M:$M,"&gt;0")&lt;&gt;1,"P0(전) 유효 1개 아님",IF(COUNTIFS($C:$C,$C872,$D:$D,$D872,$E:$E,"P0(후)",$M:$M,"&gt;0")&lt;&gt;1,"P0(후) 유효 1개 아님",IF(NOT(AND(ISNUMBER(O872),ISNUMBER(Q872),ISNUMBER(I872))),"시각 결측",IF(Q872&lt;=O872,"P0 시각 역전",IF(OR(I872&lt;O872,I872&gt;Q872),"측정시각 구간 밖","OK")))))</f>
        <v/>
      </c>
      <c r="O872" s="48">
        <f>IF(COUNTIFS($C:$C,$C872,$D:$D,$D872,$E:$E,"P0(전)",$M:$M,"&gt;0")&lt;&gt;1,"",SUMIFS($I:$I,$C:$C,$C872,$D:$D,$D872,$E:$E,"P0(전)"))</f>
        <v/>
      </c>
      <c r="P872" s="31">
        <f>IF(COUNTIFS($C:$C,$C872,$D:$D,$D872,$E:$E,"P0(전)",$M:$M,"&gt;0")&lt;&gt;1,"",SUMIFS($M:$M,$C:$C,$C872,$D:$D,$D872,$E:$E,"P0(전)"))</f>
        <v/>
      </c>
      <c r="Q872" s="48">
        <f>IF(COUNTIFS($C:$C,$C872,$D:$D,$D872,$E:$E,"P0(후)",$M:$M,"&gt;0")&lt;&gt;1,"",SUMIFS($I:$I,$C:$C,$C872,$D:$D,$D872,$E:$E,"P0(후)"))</f>
        <v/>
      </c>
      <c r="R872" s="31">
        <f>IF(COUNTIFS($C:$C,$C872,$D:$D,$D872,$E:$E,"P0(후)",$M:$M,"&gt;0")&lt;&gt;1,"",SUMIFS($M:$M,$C:$C,$C872,$D:$D,$D872,$E:$E,"P0(후)"))</f>
        <v/>
      </c>
      <c r="S872" s="31">
        <f>IF(N872&lt;&gt;"OK","",P872+(R872-P872)*(I872-O872)/(Q872-O872))</f>
        <v/>
      </c>
      <c r="T872" s="31">
        <f>IF(OR(N872&lt;&gt;"OK",NOT(ISNUMBER(M872))),"",M872-S872)</f>
        <v/>
      </c>
      <c r="U872" s="49">
        <f>IF(OR(NOT(ISNUMBER(T872)),IF(ISNUMBER(H872),H872,G872)=0),"",T872/IF(ISNUMBER(H872),H872,G872))</f>
        <v/>
      </c>
      <c r="V872" s="49">
        <f>IF(ISNUMBER(U872),ABS(U872),"")</f>
        <v/>
      </c>
      <c r="W872" s="49">
        <f>IF(OR($E871&lt;&gt;"측정",$C871&lt;&gt;$C872,$D871&lt;&gt;$D872,NOT(ISNUMBER(M872)),NOT(ISNUMBER(M871)),(IF(ISNUMBER(H872),H872,G872)-IF(ISNUMBER(H871),H871,G871))=0),"",(M872-M871)/(IF(ISNUMBER(H872),H872,G872)-IF(ISNUMBER(H871),H871,G871)))</f>
        <v/>
      </c>
      <c r="X872" s="31">
        <f>IF(NOT(AND(ISNUMBER(O872),ISNUMBER(Q872))),"",(Q872-O872)*1440)</f>
        <v/>
      </c>
      <c r="Y872" s="29" t="n"/>
      <c r="Z872" s="29" t="n"/>
      <c r="AA872" s="29" t="n"/>
      <c r="AB872" s="32" t="n"/>
      <c r="AC872" s="32" t="n"/>
    </row>
    <row r="873">
      <c r="A873" s="26" t="inlineStr">
        <is>
          <t>S17</t>
        </is>
      </c>
      <c r="B873" s="26" t="inlineStr">
        <is>
          <t>영양 신규점4</t>
        </is>
      </c>
      <c r="C873" s="26" t="inlineStr">
        <is>
          <t>S17-H남</t>
        </is>
      </c>
      <c r="D873" s="47" t="n">
        <v>1</v>
      </c>
      <c r="E873" s="26" t="inlineStr">
        <is>
          <t>측정</t>
        </is>
      </c>
      <c r="F873" s="26" t="inlineStr">
        <is>
          <t>남</t>
        </is>
      </c>
      <c r="G873" s="31" t="n">
        <v>8</v>
      </c>
      <c r="H873" s="30" t="n"/>
      <c r="I873" s="43" t="n"/>
      <c r="J873" s="41" t="n"/>
      <c r="K873" s="41" t="n"/>
      <c r="L873" s="41" t="n"/>
      <c r="M873" s="31">
        <f>IF(COUNT(J873:L873)=0,"",MEDIAN(J873:L873))</f>
        <v/>
      </c>
      <c r="N873" s="26">
        <f>IF(COUNTIFS($C:$C,$C873,$D:$D,$D873,$E:$E,"P0(전)",$M:$M,"&gt;0")&lt;&gt;1,"P0(전) 유효 1개 아님",IF(COUNTIFS($C:$C,$C873,$D:$D,$D873,$E:$E,"P0(후)",$M:$M,"&gt;0")&lt;&gt;1,"P0(후) 유효 1개 아님",IF(NOT(AND(ISNUMBER(O873),ISNUMBER(Q873),ISNUMBER(I873))),"시각 결측",IF(Q873&lt;=O873,"P0 시각 역전",IF(OR(I873&lt;O873,I873&gt;Q873),"측정시각 구간 밖","OK")))))</f>
        <v/>
      </c>
      <c r="O873" s="48">
        <f>IF(COUNTIFS($C:$C,$C873,$D:$D,$D873,$E:$E,"P0(전)",$M:$M,"&gt;0")&lt;&gt;1,"",SUMIFS($I:$I,$C:$C,$C873,$D:$D,$D873,$E:$E,"P0(전)"))</f>
        <v/>
      </c>
      <c r="P873" s="31">
        <f>IF(COUNTIFS($C:$C,$C873,$D:$D,$D873,$E:$E,"P0(전)",$M:$M,"&gt;0")&lt;&gt;1,"",SUMIFS($M:$M,$C:$C,$C873,$D:$D,$D873,$E:$E,"P0(전)"))</f>
        <v/>
      </c>
      <c r="Q873" s="48">
        <f>IF(COUNTIFS($C:$C,$C873,$D:$D,$D873,$E:$E,"P0(후)",$M:$M,"&gt;0")&lt;&gt;1,"",SUMIFS($I:$I,$C:$C,$C873,$D:$D,$D873,$E:$E,"P0(후)"))</f>
        <v/>
      </c>
      <c r="R873" s="31">
        <f>IF(COUNTIFS($C:$C,$C873,$D:$D,$D873,$E:$E,"P0(후)",$M:$M,"&gt;0")&lt;&gt;1,"",SUMIFS($M:$M,$C:$C,$C873,$D:$D,$D873,$E:$E,"P0(후)"))</f>
        <v/>
      </c>
      <c r="S873" s="31">
        <f>IF(N873&lt;&gt;"OK","",P873+(R873-P873)*(I873-O873)/(Q873-O873))</f>
        <v/>
      </c>
      <c r="T873" s="31">
        <f>IF(OR(N873&lt;&gt;"OK",NOT(ISNUMBER(M873))),"",M873-S873)</f>
        <v/>
      </c>
      <c r="U873" s="49">
        <f>IF(OR(NOT(ISNUMBER(T873)),IF(ISNUMBER(H873),H873,G873)=0),"",T873/IF(ISNUMBER(H873),H873,G873))</f>
        <v/>
      </c>
      <c r="V873" s="49">
        <f>IF(ISNUMBER(U873),ABS(U873),"")</f>
        <v/>
      </c>
      <c r="W873" s="49">
        <f>IF(OR($E872&lt;&gt;"측정",$C872&lt;&gt;$C873,$D872&lt;&gt;$D873,NOT(ISNUMBER(M873)),NOT(ISNUMBER(M872)),(IF(ISNUMBER(H873),H873,G873)-IF(ISNUMBER(H872),H872,G872))=0),"",(M873-M872)/(IF(ISNUMBER(H873),H873,G873)-IF(ISNUMBER(H872),H872,G872)))</f>
        <v/>
      </c>
      <c r="X873" s="31">
        <f>IF(NOT(AND(ISNUMBER(O873),ISNUMBER(Q873))),"",(Q873-O873)*1440)</f>
        <v/>
      </c>
      <c r="Y873" s="29" t="n"/>
      <c r="Z873" s="29" t="n"/>
      <c r="AA873" s="29" t="n"/>
      <c r="AB873" s="32" t="n"/>
      <c r="AC873" s="32" t="n"/>
    </row>
    <row r="874">
      <c r="A874" s="26" t="inlineStr">
        <is>
          <t>S17</t>
        </is>
      </c>
      <c r="B874" s="26" t="inlineStr">
        <is>
          <t>영양 신규점4</t>
        </is>
      </c>
      <c r="C874" s="26" t="inlineStr">
        <is>
          <t>S17-H남</t>
        </is>
      </c>
      <c r="D874" s="47" t="n">
        <v>1</v>
      </c>
      <c r="E874" s="26" t="inlineStr">
        <is>
          <t>측정</t>
        </is>
      </c>
      <c r="F874" s="26" t="inlineStr">
        <is>
          <t>남</t>
        </is>
      </c>
      <c r="G874" s="31" t="n">
        <v>9</v>
      </c>
      <c r="H874" s="30" t="n"/>
      <c r="I874" s="43" t="n"/>
      <c r="J874" s="41" t="n"/>
      <c r="K874" s="41" t="n"/>
      <c r="L874" s="41" t="n"/>
      <c r="M874" s="31">
        <f>IF(COUNT(J874:L874)=0,"",MEDIAN(J874:L874))</f>
        <v/>
      </c>
      <c r="N874" s="26">
        <f>IF(COUNTIFS($C:$C,$C874,$D:$D,$D874,$E:$E,"P0(전)",$M:$M,"&gt;0")&lt;&gt;1,"P0(전) 유효 1개 아님",IF(COUNTIFS($C:$C,$C874,$D:$D,$D874,$E:$E,"P0(후)",$M:$M,"&gt;0")&lt;&gt;1,"P0(후) 유효 1개 아님",IF(NOT(AND(ISNUMBER(O874),ISNUMBER(Q874),ISNUMBER(I874))),"시각 결측",IF(Q874&lt;=O874,"P0 시각 역전",IF(OR(I874&lt;O874,I874&gt;Q874),"측정시각 구간 밖","OK")))))</f>
        <v/>
      </c>
      <c r="O874" s="48">
        <f>IF(COUNTIFS($C:$C,$C874,$D:$D,$D874,$E:$E,"P0(전)",$M:$M,"&gt;0")&lt;&gt;1,"",SUMIFS($I:$I,$C:$C,$C874,$D:$D,$D874,$E:$E,"P0(전)"))</f>
        <v/>
      </c>
      <c r="P874" s="31">
        <f>IF(COUNTIFS($C:$C,$C874,$D:$D,$D874,$E:$E,"P0(전)",$M:$M,"&gt;0")&lt;&gt;1,"",SUMIFS($M:$M,$C:$C,$C874,$D:$D,$D874,$E:$E,"P0(전)"))</f>
        <v/>
      </c>
      <c r="Q874" s="48">
        <f>IF(COUNTIFS($C:$C,$C874,$D:$D,$D874,$E:$E,"P0(후)",$M:$M,"&gt;0")&lt;&gt;1,"",SUMIFS($I:$I,$C:$C,$C874,$D:$D,$D874,$E:$E,"P0(후)"))</f>
        <v/>
      </c>
      <c r="R874" s="31">
        <f>IF(COUNTIFS($C:$C,$C874,$D:$D,$D874,$E:$E,"P0(후)",$M:$M,"&gt;0")&lt;&gt;1,"",SUMIFS($M:$M,$C:$C,$C874,$D:$D,$D874,$E:$E,"P0(후)"))</f>
        <v/>
      </c>
      <c r="S874" s="31">
        <f>IF(N874&lt;&gt;"OK","",P874+(R874-P874)*(I874-O874)/(Q874-O874))</f>
        <v/>
      </c>
      <c r="T874" s="31">
        <f>IF(OR(N874&lt;&gt;"OK",NOT(ISNUMBER(M874))),"",M874-S874)</f>
        <v/>
      </c>
      <c r="U874" s="49">
        <f>IF(OR(NOT(ISNUMBER(T874)),IF(ISNUMBER(H874),H874,G874)=0),"",T874/IF(ISNUMBER(H874),H874,G874))</f>
        <v/>
      </c>
      <c r="V874" s="49">
        <f>IF(ISNUMBER(U874),ABS(U874),"")</f>
        <v/>
      </c>
      <c r="W874" s="49">
        <f>IF(OR($E873&lt;&gt;"측정",$C873&lt;&gt;$C874,$D873&lt;&gt;$D874,NOT(ISNUMBER(M874)),NOT(ISNUMBER(M873)),(IF(ISNUMBER(H874),H874,G874)-IF(ISNUMBER(H873),H873,G873))=0),"",(M874-M873)/(IF(ISNUMBER(H874),H874,G874)-IF(ISNUMBER(H873),H873,G873)))</f>
        <v/>
      </c>
      <c r="X874" s="31">
        <f>IF(NOT(AND(ISNUMBER(O874),ISNUMBER(Q874))),"",(Q874-O874)*1440)</f>
        <v/>
      </c>
      <c r="Y874" s="29" t="n"/>
      <c r="Z874" s="29" t="n"/>
      <c r="AA874" s="29" t="n"/>
      <c r="AB874" s="32" t="n"/>
      <c r="AC874" s="32" t="n"/>
    </row>
    <row r="875">
      <c r="A875" s="26" t="inlineStr">
        <is>
          <t>S17</t>
        </is>
      </c>
      <c r="B875" s="26" t="inlineStr">
        <is>
          <t>영양 신규점4</t>
        </is>
      </c>
      <c r="C875" s="26" t="inlineStr">
        <is>
          <t>S17-H남</t>
        </is>
      </c>
      <c r="D875" s="47" t="n">
        <v>1</v>
      </c>
      <c r="E875" s="26" t="inlineStr">
        <is>
          <t>측정</t>
        </is>
      </c>
      <c r="F875" s="26" t="inlineStr">
        <is>
          <t>남</t>
        </is>
      </c>
      <c r="G875" s="31" t="n">
        <v>10</v>
      </c>
      <c r="H875" s="30" t="n"/>
      <c r="I875" s="43" t="n"/>
      <c r="J875" s="41" t="n"/>
      <c r="K875" s="41" t="n"/>
      <c r="L875" s="41" t="n"/>
      <c r="M875" s="31">
        <f>IF(COUNT(J875:L875)=0,"",MEDIAN(J875:L875))</f>
        <v/>
      </c>
      <c r="N875" s="26">
        <f>IF(COUNTIFS($C:$C,$C875,$D:$D,$D875,$E:$E,"P0(전)",$M:$M,"&gt;0")&lt;&gt;1,"P0(전) 유효 1개 아님",IF(COUNTIFS($C:$C,$C875,$D:$D,$D875,$E:$E,"P0(후)",$M:$M,"&gt;0")&lt;&gt;1,"P0(후) 유효 1개 아님",IF(NOT(AND(ISNUMBER(O875),ISNUMBER(Q875),ISNUMBER(I875))),"시각 결측",IF(Q875&lt;=O875,"P0 시각 역전",IF(OR(I875&lt;O875,I875&gt;Q875),"측정시각 구간 밖","OK")))))</f>
        <v/>
      </c>
      <c r="O875" s="48">
        <f>IF(COUNTIFS($C:$C,$C875,$D:$D,$D875,$E:$E,"P0(전)",$M:$M,"&gt;0")&lt;&gt;1,"",SUMIFS($I:$I,$C:$C,$C875,$D:$D,$D875,$E:$E,"P0(전)"))</f>
        <v/>
      </c>
      <c r="P875" s="31">
        <f>IF(COUNTIFS($C:$C,$C875,$D:$D,$D875,$E:$E,"P0(전)",$M:$M,"&gt;0")&lt;&gt;1,"",SUMIFS($M:$M,$C:$C,$C875,$D:$D,$D875,$E:$E,"P0(전)"))</f>
        <v/>
      </c>
      <c r="Q875" s="48">
        <f>IF(COUNTIFS($C:$C,$C875,$D:$D,$D875,$E:$E,"P0(후)",$M:$M,"&gt;0")&lt;&gt;1,"",SUMIFS($I:$I,$C:$C,$C875,$D:$D,$D875,$E:$E,"P0(후)"))</f>
        <v/>
      </c>
      <c r="R875" s="31">
        <f>IF(COUNTIFS($C:$C,$C875,$D:$D,$D875,$E:$E,"P0(후)",$M:$M,"&gt;0")&lt;&gt;1,"",SUMIFS($M:$M,$C:$C,$C875,$D:$D,$D875,$E:$E,"P0(후)"))</f>
        <v/>
      </c>
      <c r="S875" s="31">
        <f>IF(N875&lt;&gt;"OK","",P875+(R875-P875)*(I875-O875)/(Q875-O875))</f>
        <v/>
      </c>
      <c r="T875" s="31">
        <f>IF(OR(N875&lt;&gt;"OK",NOT(ISNUMBER(M875))),"",M875-S875)</f>
        <v/>
      </c>
      <c r="U875" s="49">
        <f>IF(OR(NOT(ISNUMBER(T875)),IF(ISNUMBER(H875),H875,G875)=0),"",T875/IF(ISNUMBER(H875),H875,G875))</f>
        <v/>
      </c>
      <c r="V875" s="49">
        <f>IF(ISNUMBER(U875),ABS(U875),"")</f>
        <v/>
      </c>
      <c r="W875" s="49">
        <f>IF(OR($E874&lt;&gt;"측정",$C874&lt;&gt;$C875,$D874&lt;&gt;$D875,NOT(ISNUMBER(M875)),NOT(ISNUMBER(M874)),(IF(ISNUMBER(H875),H875,G875)-IF(ISNUMBER(H874),H874,G874))=0),"",(M875-M874)/(IF(ISNUMBER(H875),H875,G875)-IF(ISNUMBER(H874),H874,G874)))</f>
        <v/>
      </c>
      <c r="X875" s="31">
        <f>IF(NOT(AND(ISNUMBER(O875),ISNUMBER(Q875))),"",(Q875-O875)*1440)</f>
        <v/>
      </c>
      <c r="Y875" s="29" t="n"/>
      <c r="Z875" s="29" t="n"/>
      <c r="AA875" s="29" t="n"/>
      <c r="AB875" s="32" t="n"/>
      <c r="AC875" s="32" t="n"/>
    </row>
    <row r="876">
      <c r="A876" s="44" t="inlineStr">
        <is>
          <t>S17</t>
        </is>
      </c>
      <c r="B876" s="44" t="inlineStr">
        <is>
          <t>영양 신규점4</t>
        </is>
      </c>
      <c r="C876" s="44" t="inlineStr">
        <is>
          <t>S17-H남</t>
        </is>
      </c>
      <c r="D876" s="45" t="n">
        <v>1</v>
      </c>
      <c r="E876" s="44" t="inlineStr">
        <is>
          <t>P0(후)</t>
        </is>
      </c>
      <c r="F876" s="44" t="inlineStr">
        <is>
          <t>남</t>
        </is>
      </c>
      <c r="G876" s="46" t="n"/>
      <c r="H876" s="30" t="n"/>
      <c r="I876" s="43" t="n"/>
      <c r="J876" s="41" t="n"/>
      <c r="K876" s="41" t="n"/>
      <c r="L876" s="41" t="n"/>
      <c r="M876" s="31">
        <f>IF(COUNT(J876:L876)=0,"",MEDIAN(J876:L876))</f>
        <v/>
      </c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38" t="n"/>
      <c r="Y876" s="29" t="n"/>
      <c r="Z876" s="29" t="n"/>
      <c r="AA876" s="29" t="n"/>
      <c r="AB876" s="32" t="n"/>
      <c r="AC876" s="32" t="n"/>
    </row>
    <row r="877">
      <c r="A877" s="44" t="inlineStr">
        <is>
          <t>S17</t>
        </is>
      </c>
      <c r="B877" s="44" t="inlineStr">
        <is>
          <t>영양 신규점4</t>
        </is>
      </c>
      <c r="C877" s="44" t="inlineStr">
        <is>
          <t>S17-H북</t>
        </is>
      </c>
      <c r="D877" s="45" t="n">
        <v>1</v>
      </c>
      <c r="E877" s="44" t="inlineStr">
        <is>
          <t>P0(전)</t>
        </is>
      </c>
      <c r="F877" s="44" t="inlineStr">
        <is>
          <t>북</t>
        </is>
      </c>
      <c r="G877" s="46" t="n"/>
      <c r="H877" s="30" t="n"/>
      <c r="I877" s="43" t="n"/>
      <c r="J877" s="41" t="n"/>
      <c r="K877" s="41" t="n"/>
      <c r="L877" s="41" t="n"/>
      <c r="M877" s="31">
        <f>IF(COUNT(J877:L877)=0,"",MEDIAN(J877:L877))</f>
        <v/>
      </c>
      <c r="N877" s="38" t="n"/>
      <c r="O877" s="38" t="n"/>
      <c r="P877" s="38" t="n"/>
      <c r="Q877" s="38" t="n"/>
      <c r="R877" s="38" t="n"/>
      <c r="S877" s="38" t="n"/>
      <c r="T877" s="38" t="n"/>
      <c r="U877" s="38" t="n"/>
      <c r="V877" s="38" t="n"/>
      <c r="W877" s="38" t="n"/>
      <c r="X877" s="38" t="n"/>
      <c r="Y877" s="29" t="n"/>
      <c r="Z877" s="29" t="n"/>
      <c r="AA877" s="29" t="n"/>
      <c r="AB877" s="32" t="n"/>
      <c r="AC877" s="32" t="n"/>
    </row>
    <row r="878">
      <c r="A878" s="26" t="inlineStr">
        <is>
          <t>S17</t>
        </is>
      </c>
      <c r="B878" s="26" t="inlineStr">
        <is>
          <t>영양 신규점4</t>
        </is>
      </c>
      <c r="C878" s="26" t="inlineStr">
        <is>
          <t>S17-H북</t>
        </is>
      </c>
      <c r="D878" s="47" t="n">
        <v>1</v>
      </c>
      <c r="E878" s="26" t="inlineStr">
        <is>
          <t>측정</t>
        </is>
      </c>
      <c r="F878" s="26" t="inlineStr">
        <is>
          <t>북</t>
        </is>
      </c>
      <c r="G878" s="31" t="n">
        <v>0.5</v>
      </c>
      <c r="H878" s="30" t="n"/>
      <c r="I878" s="43" t="n"/>
      <c r="J878" s="41" t="n"/>
      <c r="K878" s="41" t="n"/>
      <c r="L878" s="41" t="n"/>
      <c r="M878" s="31">
        <f>IF(COUNT(J878:L878)=0,"",MEDIAN(J878:L878))</f>
        <v/>
      </c>
      <c r="N878" s="26">
        <f>IF(COUNTIFS($C:$C,$C878,$D:$D,$D878,$E:$E,"P0(전)",$M:$M,"&gt;0")&lt;&gt;1,"P0(전) 유효 1개 아님",IF(COUNTIFS($C:$C,$C878,$D:$D,$D878,$E:$E,"P0(후)",$M:$M,"&gt;0")&lt;&gt;1,"P0(후) 유효 1개 아님",IF(NOT(AND(ISNUMBER(O878),ISNUMBER(Q878),ISNUMBER(I878))),"시각 결측",IF(Q878&lt;=O878,"P0 시각 역전",IF(OR(I878&lt;O878,I878&gt;Q878),"측정시각 구간 밖","OK")))))</f>
        <v/>
      </c>
      <c r="O878" s="48">
        <f>IF(COUNTIFS($C:$C,$C878,$D:$D,$D878,$E:$E,"P0(전)",$M:$M,"&gt;0")&lt;&gt;1,"",SUMIFS($I:$I,$C:$C,$C878,$D:$D,$D878,$E:$E,"P0(전)"))</f>
        <v/>
      </c>
      <c r="P878" s="31">
        <f>IF(COUNTIFS($C:$C,$C878,$D:$D,$D878,$E:$E,"P0(전)",$M:$M,"&gt;0")&lt;&gt;1,"",SUMIFS($M:$M,$C:$C,$C878,$D:$D,$D878,$E:$E,"P0(전)"))</f>
        <v/>
      </c>
      <c r="Q878" s="48">
        <f>IF(COUNTIFS($C:$C,$C878,$D:$D,$D878,$E:$E,"P0(후)",$M:$M,"&gt;0")&lt;&gt;1,"",SUMIFS($I:$I,$C:$C,$C878,$D:$D,$D878,$E:$E,"P0(후)"))</f>
        <v/>
      </c>
      <c r="R878" s="31">
        <f>IF(COUNTIFS($C:$C,$C878,$D:$D,$D878,$E:$E,"P0(후)",$M:$M,"&gt;0")&lt;&gt;1,"",SUMIFS($M:$M,$C:$C,$C878,$D:$D,$D878,$E:$E,"P0(후)"))</f>
        <v/>
      </c>
      <c r="S878" s="31">
        <f>IF(N878&lt;&gt;"OK","",P878+(R878-P878)*(I878-O878)/(Q878-O878))</f>
        <v/>
      </c>
      <c r="T878" s="31">
        <f>IF(OR(N878&lt;&gt;"OK",NOT(ISNUMBER(M878))),"",M878-S878)</f>
        <v/>
      </c>
      <c r="U878" s="49">
        <f>IF(OR(NOT(ISNUMBER(T878)),IF(ISNUMBER(H878),H878,G878)=0),"",T878/IF(ISNUMBER(H878),H878,G878))</f>
        <v/>
      </c>
      <c r="V878" s="49">
        <f>IF(ISNUMBER(U878),ABS(U878),"")</f>
        <v/>
      </c>
      <c r="W878" s="49">
        <f>IF(OR($E877&lt;&gt;"측정",$C877&lt;&gt;$C878,$D877&lt;&gt;$D878,NOT(ISNUMBER(M878)),NOT(ISNUMBER(M877)),(IF(ISNUMBER(H878),H878,G878)-IF(ISNUMBER(H877),H877,G877))=0),"",(M878-M877)/(IF(ISNUMBER(H878),H878,G878)-IF(ISNUMBER(H877),H877,G877)))</f>
        <v/>
      </c>
      <c r="X878" s="31">
        <f>IF(NOT(AND(ISNUMBER(O878),ISNUMBER(Q878))),"",(Q878-O878)*1440)</f>
        <v/>
      </c>
      <c r="Y878" s="29" t="n"/>
      <c r="Z878" s="29" t="n"/>
      <c r="AA878" s="29" t="n"/>
      <c r="AB878" s="32" t="n"/>
      <c r="AC878" s="32" t="n"/>
    </row>
    <row r="879">
      <c r="A879" s="26" t="inlineStr">
        <is>
          <t>S17</t>
        </is>
      </c>
      <c r="B879" s="26" t="inlineStr">
        <is>
          <t>영양 신규점4</t>
        </is>
      </c>
      <c r="C879" s="26" t="inlineStr">
        <is>
          <t>S17-H북</t>
        </is>
      </c>
      <c r="D879" s="47" t="n">
        <v>1</v>
      </c>
      <c r="E879" s="26" t="inlineStr">
        <is>
          <t>측정</t>
        </is>
      </c>
      <c r="F879" s="26" t="inlineStr">
        <is>
          <t>북</t>
        </is>
      </c>
      <c r="G879" s="31" t="n">
        <v>1</v>
      </c>
      <c r="H879" s="30" t="n"/>
      <c r="I879" s="43" t="n"/>
      <c r="J879" s="41" t="n"/>
      <c r="K879" s="41" t="n"/>
      <c r="L879" s="41" t="n"/>
      <c r="M879" s="31">
        <f>IF(COUNT(J879:L879)=0,"",MEDIAN(J879:L879))</f>
        <v/>
      </c>
      <c r="N879" s="26">
        <f>IF(COUNTIFS($C:$C,$C879,$D:$D,$D879,$E:$E,"P0(전)",$M:$M,"&gt;0")&lt;&gt;1,"P0(전) 유효 1개 아님",IF(COUNTIFS($C:$C,$C879,$D:$D,$D879,$E:$E,"P0(후)",$M:$M,"&gt;0")&lt;&gt;1,"P0(후) 유효 1개 아님",IF(NOT(AND(ISNUMBER(O879),ISNUMBER(Q879),ISNUMBER(I879))),"시각 결측",IF(Q879&lt;=O879,"P0 시각 역전",IF(OR(I879&lt;O879,I879&gt;Q879),"측정시각 구간 밖","OK")))))</f>
        <v/>
      </c>
      <c r="O879" s="48">
        <f>IF(COUNTIFS($C:$C,$C879,$D:$D,$D879,$E:$E,"P0(전)",$M:$M,"&gt;0")&lt;&gt;1,"",SUMIFS($I:$I,$C:$C,$C879,$D:$D,$D879,$E:$E,"P0(전)"))</f>
        <v/>
      </c>
      <c r="P879" s="31">
        <f>IF(COUNTIFS($C:$C,$C879,$D:$D,$D879,$E:$E,"P0(전)",$M:$M,"&gt;0")&lt;&gt;1,"",SUMIFS($M:$M,$C:$C,$C879,$D:$D,$D879,$E:$E,"P0(전)"))</f>
        <v/>
      </c>
      <c r="Q879" s="48">
        <f>IF(COUNTIFS($C:$C,$C879,$D:$D,$D879,$E:$E,"P0(후)",$M:$M,"&gt;0")&lt;&gt;1,"",SUMIFS($I:$I,$C:$C,$C879,$D:$D,$D879,$E:$E,"P0(후)"))</f>
        <v/>
      </c>
      <c r="R879" s="31">
        <f>IF(COUNTIFS($C:$C,$C879,$D:$D,$D879,$E:$E,"P0(후)",$M:$M,"&gt;0")&lt;&gt;1,"",SUMIFS($M:$M,$C:$C,$C879,$D:$D,$D879,$E:$E,"P0(후)"))</f>
        <v/>
      </c>
      <c r="S879" s="31">
        <f>IF(N879&lt;&gt;"OK","",P879+(R879-P879)*(I879-O879)/(Q879-O879))</f>
        <v/>
      </c>
      <c r="T879" s="31">
        <f>IF(OR(N879&lt;&gt;"OK",NOT(ISNUMBER(M879))),"",M879-S879)</f>
        <v/>
      </c>
      <c r="U879" s="49">
        <f>IF(OR(NOT(ISNUMBER(T879)),IF(ISNUMBER(H879),H879,G879)=0),"",T879/IF(ISNUMBER(H879),H879,G879))</f>
        <v/>
      </c>
      <c r="V879" s="49">
        <f>IF(ISNUMBER(U879),ABS(U879),"")</f>
        <v/>
      </c>
      <c r="W879" s="49">
        <f>IF(OR($E878&lt;&gt;"측정",$C878&lt;&gt;$C879,$D878&lt;&gt;$D879,NOT(ISNUMBER(M879)),NOT(ISNUMBER(M878)),(IF(ISNUMBER(H879),H879,G879)-IF(ISNUMBER(H878),H878,G878))=0),"",(M879-M878)/(IF(ISNUMBER(H879),H879,G879)-IF(ISNUMBER(H878),H878,G878)))</f>
        <v/>
      </c>
      <c r="X879" s="31">
        <f>IF(NOT(AND(ISNUMBER(O879),ISNUMBER(Q879))),"",(Q879-O879)*1440)</f>
        <v/>
      </c>
      <c r="Y879" s="29" t="n"/>
      <c r="Z879" s="29" t="n"/>
      <c r="AA879" s="29" t="n"/>
      <c r="AB879" s="32" t="n"/>
      <c r="AC879" s="32" t="n"/>
    </row>
    <row r="880">
      <c r="A880" s="26" t="inlineStr">
        <is>
          <t>S17</t>
        </is>
      </c>
      <c r="B880" s="26" t="inlineStr">
        <is>
          <t>영양 신규점4</t>
        </is>
      </c>
      <c r="C880" s="26" t="inlineStr">
        <is>
          <t>S17-H북</t>
        </is>
      </c>
      <c r="D880" s="47" t="n">
        <v>1</v>
      </c>
      <c r="E880" s="26" t="inlineStr">
        <is>
          <t>측정</t>
        </is>
      </c>
      <c r="F880" s="26" t="inlineStr">
        <is>
          <t>북</t>
        </is>
      </c>
      <c r="G880" s="31" t="n">
        <v>2</v>
      </c>
      <c r="H880" s="30" t="n"/>
      <c r="I880" s="43" t="n"/>
      <c r="J880" s="41" t="n"/>
      <c r="K880" s="41" t="n"/>
      <c r="L880" s="41" t="n"/>
      <c r="M880" s="31">
        <f>IF(COUNT(J880:L880)=0,"",MEDIAN(J880:L880))</f>
        <v/>
      </c>
      <c r="N880" s="26">
        <f>IF(COUNTIFS($C:$C,$C880,$D:$D,$D880,$E:$E,"P0(전)",$M:$M,"&gt;0")&lt;&gt;1,"P0(전) 유효 1개 아님",IF(COUNTIFS($C:$C,$C880,$D:$D,$D880,$E:$E,"P0(후)",$M:$M,"&gt;0")&lt;&gt;1,"P0(후) 유효 1개 아님",IF(NOT(AND(ISNUMBER(O880),ISNUMBER(Q880),ISNUMBER(I880))),"시각 결측",IF(Q880&lt;=O880,"P0 시각 역전",IF(OR(I880&lt;O880,I880&gt;Q880),"측정시각 구간 밖","OK")))))</f>
        <v/>
      </c>
      <c r="O880" s="48">
        <f>IF(COUNTIFS($C:$C,$C880,$D:$D,$D880,$E:$E,"P0(전)",$M:$M,"&gt;0")&lt;&gt;1,"",SUMIFS($I:$I,$C:$C,$C880,$D:$D,$D880,$E:$E,"P0(전)"))</f>
        <v/>
      </c>
      <c r="P880" s="31">
        <f>IF(COUNTIFS($C:$C,$C880,$D:$D,$D880,$E:$E,"P0(전)",$M:$M,"&gt;0")&lt;&gt;1,"",SUMIFS($M:$M,$C:$C,$C880,$D:$D,$D880,$E:$E,"P0(전)"))</f>
        <v/>
      </c>
      <c r="Q880" s="48">
        <f>IF(COUNTIFS($C:$C,$C880,$D:$D,$D880,$E:$E,"P0(후)",$M:$M,"&gt;0")&lt;&gt;1,"",SUMIFS($I:$I,$C:$C,$C880,$D:$D,$D880,$E:$E,"P0(후)"))</f>
        <v/>
      </c>
      <c r="R880" s="31">
        <f>IF(COUNTIFS($C:$C,$C880,$D:$D,$D880,$E:$E,"P0(후)",$M:$M,"&gt;0")&lt;&gt;1,"",SUMIFS($M:$M,$C:$C,$C880,$D:$D,$D880,$E:$E,"P0(후)"))</f>
        <v/>
      </c>
      <c r="S880" s="31">
        <f>IF(N880&lt;&gt;"OK","",P880+(R880-P880)*(I880-O880)/(Q880-O880))</f>
        <v/>
      </c>
      <c r="T880" s="31">
        <f>IF(OR(N880&lt;&gt;"OK",NOT(ISNUMBER(M880))),"",M880-S880)</f>
        <v/>
      </c>
      <c r="U880" s="49">
        <f>IF(OR(NOT(ISNUMBER(T880)),IF(ISNUMBER(H880),H880,G880)=0),"",T880/IF(ISNUMBER(H880),H880,G880))</f>
        <v/>
      </c>
      <c r="V880" s="49">
        <f>IF(ISNUMBER(U880),ABS(U880),"")</f>
        <v/>
      </c>
      <c r="W880" s="49">
        <f>IF(OR($E879&lt;&gt;"측정",$C879&lt;&gt;$C880,$D879&lt;&gt;$D880,NOT(ISNUMBER(M880)),NOT(ISNUMBER(M879)),(IF(ISNUMBER(H880),H880,G880)-IF(ISNUMBER(H879),H879,G879))=0),"",(M880-M879)/(IF(ISNUMBER(H880),H880,G880)-IF(ISNUMBER(H879),H879,G879)))</f>
        <v/>
      </c>
      <c r="X880" s="31">
        <f>IF(NOT(AND(ISNUMBER(O880),ISNUMBER(Q880))),"",(Q880-O880)*1440)</f>
        <v/>
      </c>
      <c r="Y880" s="29" t="n"/>
      <c r="Z880" s="29" t="n"/>
      <c r="AA880" s="29" t="n"/>
      <c r="AB880" s="32" t="n"/>
      <c r="AC880" s="32" t="n"/>
    </row>
    <row r="881">
      <c r="A881" s="26" t="inlineStr">
        <is>
          <t>S17</t>
        </is>
      </c>
      <c r="B881" s="26" t="inlineStr">
        <is>
          <t>영양 신규점4</t>
        </is>
      </c>
      <c r="C881" s="26" t="inlineStr">
        <is>
          <t>S17-H북</t>
        </is>
      </c>
      <c r="D881" s="47" t="n">
        <v>1</v>
      </c>
      <c r="E881" s="26" t="inlineStr">
        <is>
          <t>측정</t>
        </is>
      </c>
      <c r="F881" s="26" t="inlineStr">
        <is>
          <t>북</t>
        </is>
      </c>
      <c r="G881" s="31" t="n">
        <v>3</v>
      </c>
      <c r="H881" s="30" t="n"/>
      <c r="I881" s="43" t="n"/>
      <c r="J881" s="41" t="n"/>
      <c r="K881" s="41" t="n"/>
      <c r="L881" s="41" t="n"/>
      <c r="M881" s="31">
        <f>IF(COUNT(J881:L881)=0,"",MEDIAN(J881:L881))</f>
        <v/>
      </c>
      <c r="N881" s="26">
        <f>IF(COUNTIFS($C:$C,$C881,$D:$D,$D881,$E:$E,"P0(전)",$M:$M,"&gt;0")&lt;&gt;1,"P0(전) 유효 1개 아님",IF(COUNTIFS($C:$C,$C881,$D:$D,$D881,$E:$E,"P0(후)",$M:$M,"&gt;0")&lt;&gt;1,"P0(후) 유효 1개 아님",IF(NOT(AND(ISNUMBER(O881),ISNUMBER(Q881),ISNUMBER(I881))),"시각 결측",IF(Q881&lt;=O881,"P0 시각 역전",IF(OR(I881&lt;O881,I881&gt;Q881),"측정시각 구간 밖","OK")))))</f>
        <v/>
      </c>
      <c r="O881" s="48">
        <f>IF(COUNTIFS($C:$C,$C881,$D:$D,$D881,$E:$E,"P0(전)",$M:$M,"&gt;0")&lt;&gt;1,"",SUMIFS($I:$I,$C:$C,$C881,$D:$D,$D881,$E:$E,"P0(전)"))</f>
        <v/>
      </c>
      <c r="P881" s="31">
        <f>IF(COUNTIFS($C:$C,$C881,$D:$D,$D881,$E:$E,"P0(전)",$M:$M,"&gt;0")&lt;&gt;1,"",SUMIFS($M:$M,$C:$C,$C881,$D:$D,$D881,$E:$E,"P0(전)"))</f>
        <v/>
      </c>
      <c r="Q881" s="48">
        <f>IF(COUNTIFS($C:$C,$C881,$D:$D,$D881,$E:$E,"P0(후)",$M:$M,"&gt;0")&lt;&gt;1,"",SUMIFS($I:$I,$C:$C,$C881,$D:$D,$D881,$E:$E,"P0(후)"))</f>
        <v/>
      </c>
      <c r="R881" s="31">
        <f>IF(COUNTIFS($C:$C,$C881,$D:$D,$D881,$E:$E,"P0(후)",$M:$M,"&gt;0")&lt;&gt;1,"",SUMIFS($M:$M,$C:$C,$C881,$D:$D,$D881,$E:$E,"P0(후)"))</f>
        <v/>
      </c>
      <c r="S881" s="31">
        <f>IF(N881&lt;&gt;"OK","",P881+(R881-P881)*(I881-O881)/(Q881-O881))</f>
        <v/>
      </c>
      <c r="T881" s="31">
        <f>IF(OR(N881&lt;&gt;"OK",NOT(ISNUMBER(M881))),"",M881-S881)</f>
        <v/>
      </c>
      <c r="U881" s="49">
        <f>IF(OR(NOT(ISNUMBER(T881)),IF(ISNUMBER(H881),H881,G881)=0),"",T881/IF(ISNUMBER(H881),H881,G881))</f>
        <v/>
      </c>
      <c r="V881" s="49">
        <f>IF(ISNUMBER(U881),ABS(U881),"")</f>
        <v/>
      </c>
      <c r="W881" s="49">
        <f>IF(OR($E880&lt;&gt;"측정",$C880&lt;&gt;$C881,$D880&lt;&gt;$D881,NOT(ISNUMBER(M881)),NOT(ISNUMBER(M880)),(IF(ISNUMBER(H881),H881,G881)-IF(ISNUMBER(H880),H880,G880))=0),"",(M881-M880)/(IF(ISNUMBER(H881),H881,G881)-IF(ISNUMBER(H880),H880,G880)))</f>
        <v/>
      </c>
      <c r="X881" s="31">
        <f>IF(NOT(AND(ISNUMBER(O881),ISNUMBER(Q881))),"",(Q881-O881)*1440)</f>
        <v/>
      </c>
      <c r="Y881" s="29" t="n"/>
      <c r="Z881" s="29" t="n"/>
      <c r="AA881" s="29" t="n"/>
      <c r="AB881" s="32" t="n"/>
      <c r="AC881" s="32" t="n"/>
    </row>
    <row r="882">
      <c r="A882" s="26" t="inlineStr">
        <is>
          <t>S17</t>
        </is>
      </c>
      <c r="B882" s="26" t="inlineStr">
        <is>
          <t>영양 신규점4</t>
        </is>
      </c>
      <c r="C882" s="26" t="inlineStr">
        <is>
          <t>S17-H북</t>
        </is>
      </c>
      <c r="D882" s="47" t="n">
        <v>1</v>
      </c>
      <c r="E882" s="26" t="inlineStr">
        <is>
          <t>측정</t>
        </is>
      </c>
      <c r="F882" s="26" t="inlineStr">
        <is>
          <t>북</t>
        </is>
      </c>
      <c r="G882" s="31" t="n">
        <v>4</v>
      </c>
      <c r="H882" s="30" t="n"/>
      <c r="I882" s="43" t="n"/>
      <c r="J882" s="41" t="n"/>
      <c r="K882" s="41" t="n"/>
      <c r="L882" s="41" t="n"/>
      <c r="M882" s="31">
        <f>IF(COUNT(J882:L882)=0,"",MEDIAN(J882:L882))</f>
        <v/>
      </c>
      <c r="N882" s="26">
        <f>IF(COUNTIFS($C:$C,$C882,$D:$D,$D882,$E:$E,"P0(전)",$M:$M,"&gt;0")&lt;&gt;1,"P0(전) 유효 1개 아님",IF(COUNTIFS($C:$C,$C882,$D:$D,$D882,$E:$E,"P0(후)",$M:$M,"&gt;0")&lt;&gt;1,"P0(후) 유효 1개 아님",IF(NOT(AND(ISNUMBER(O882),ISNUMBER(Q882),ISNUMBER(I882))),"시각 결측",IF(Q882&lt;=O882,"P0 시각 역전",IF(OR(I882&lt;O882,I882&gt;Q882),"측정시각 구간 밖","OK")))))</f>
        <v/>
      </c>
      <c r="O882" s="48">
        <f>IF(COUNTIFS($C:$C,$C882,$D:$D,$D882,$E:$E,"P0(전)",$M:$M,"&gt;0")&lt;&gt;1,"",SUMIFS($I:$I,$C:$C,$C882,$D:$D,$D882,$E:$E,"P0(전)"))</f>
        <v/>
      </c>
      <c r="P882" s="31">
        <f>IF(COUNTIFS($C:$C,$C882,$D:$D,$D882,$E:$E,"P0(전)",$M:$M,"&gt;0")&lt;&gt;1,"",SUMIFS($M:$M,$C:$C,$C882,$D:$D,$D882,$E:$E,"P0(전)"))</f>
        <v/>
      </c>
      <c r="Q882" s="48">
        <f>IF(COUNTIFS($C:$C,$C882,$D:$D,$D882,$E:$E,"P0(후)",$M:$M,"&gt;0")&lt;&gt;1,"",SUMIFS($I:$I,$C:$C,$C882,$D:$D,$D882,$E:$E,"P0(후)"))</f>
        <v/>
      </c>
      <c r="R882" s="31">
        <f>IF(COUNTIFS($C:$C,$C882,$D:$D,$D882,$E:$E,"P0(후)",$M:$M,"&gt;0")&lt;&gt;1,"",SUMIFS($M:$M,$C:$C,$C882,$D:$D,$D882,$E:$E,"P0(후)"))</f>
        <v/>
      </c>
      <c r="S882" s="31">
        <f>IF(N882&lt;&gt;"OK","",P882+(R882-P882)*(I882-O882)/(Q882-O882))</f>
        <v/>
      </c>
      <c r="T882" s="31">
        <f>IF(OR(N882&lt;&gt;"OK",NOT(ISNUMBER(M882))),"",M882-S882)</f>
        <v/>
      </c>
      <c r="U882" s="49">
        <f>IF(OR(NOT(ISNUMBER(T882)),IF(ISNUMBER(H882),H882,G882)=0),"",T882/IF(ISNUMBER(H882),H882,G882))</f>
        <v/>
      </c>
      <c r="V882" s="49">
        <f>IF(ISNUMBER(U882),ABS(U882),"")</f>
        <v/>
      </c>
      <c r="W882" s="49">
        <f>IF(OR($E881&lt;&gt;"측정",$C881&lt;&gt;$C882,$D881&lt;&gt;$D882,NOT(ISNUMBER(M882)),NOT(ISNUMBER(M881)),(IF(ISNUMBER(H882),H882,G882)-IF(ISNUMBER(H881),H881,G881))=0),"",(M882-M881)/(IF(ISNUMBER(H882),H882,G882)-IF(ISNUMBER(H881),H881,G881)))</f>
        <v/>
      </c>
      <c r="X882" s="31">
        <f>IF(NOT(AND(ISNUMBER(O882),ISNUMBER(Q882))),"",(Q882-O882)*1440)</f>
        <v/>
      </c>
      <c r="Y882" s="29" t="n"/>
      <c r="Z882" s="29" t="n"/>
      <c r="AA882" s="29" t="n"/>
      <c r="AB882" s="32" t="n"/>
      <c r="AC882" s="32" t="n"/>
    </row>
    <row r="883">
      <c r="A883" s="26" t="inlineStr">
        <is>
          <t>S17</t>
        </is>
      </c>
      <c r="B883" s="26" t="inlineStr">
        <is>
          <t>영양 신규점4</t>
        </is>
      </c>
      <c r="C883" s="26" t="inlineStr">
        <is>
          <t>S17-H북</t>
        </is>
      </c>
      <c r="D883" s="47" t="n">
        <v>1</v>
      </c>
      <c r="E883" s="26" t="inlineStr">
        <is>
          <t>측정</t>
        </is>
      </c>
      <c r="F883" s="26" t="inlineStr">
        <is>
          <t>북</t>
        </is>
      </c>
      <c r="G883" s="31" t="n">
        <v>5</v>
      </c>
      <c r="H883" s="30" t="n"/>
      <c r="I883" s="43" t="n"/>
      <c r="J883" s="41" t="n"/>
      <c r="K883" s="41" t="n"/>
      <c r="L883" s="41" t="n"/>
      <c r="M883" s="31">
        <f>IF(COUNT(J883:L883)=0,"",MEDIAN(J883:L883))</f>
        <v/>
      </c>
      <c r="N883" s="26">
        <f>IF(COUNTIFS($C:$C,$C883,$D:$D,$D883,$E:$E,"P0(전)",$M:$M,"&gt;0")&lt;&gt;1,"P0(전) 유효 1개 아님",IF(COUNTIFS($C:$C,$C883,$D:$D,$D883,$E:$E,"P0(후)",$M:$M,"&gt;0")&lt;&gt;1,"P0(후) 유효 1개 아님",IF(NOT(AND(ISNUMBER(O883),ISNUMBER(Q883),ISNUMBER(I883))),"시각 결측",IF(Q883&lt;=O883,"P0 시각 역전",IF(OR(I883&lt;O883,I883&gt;Q883),"측정시각 구간 밖","OK")))))</f>
        <v/>
      </c>
      <c r="O883" s="48">
        <f>IF(COUNTIFS($C:$C,$C883,$D:$D,$D883,$E:$E,"P0(전)",$M:$M,"&gt;0")&lt;&gt;1,"",SUMIFS($I:$I,$C:$C,$C883,$D:$D,$D883,$E:$E,"P0(전)"))</f>
        <v/>
      </c>
      <c r="P883" s="31">
        <f>IF(COUNTIFS($C:$C,$C883,$D:$D,$D883,$E:$E,"P0(전)",$M:$M,"&gt;0")&lt;&gt;1,"",SUMIFS($M:$M,$C:$C,$C883,$D:$D,$D883,$E:$E,"P0(전)"))</f>
        <v/>
      </c>
      <c r="Q883" s="48">
        <f>IF(COUNTIFS($C:$C,$C883,$D:$D,$D883,$E:$E,"P0(후)",$M:$M,"&gt;0")&lt;&gt;1,"",SUMIFS($I:$I,$C:$C,$C883,$D:$D,$D883,$E:$E,"P0(후)"))</f>
        <v/>
      </c>
      <c r="R883" s="31">
        <f>IF(COUNTIFS($C:$C,$C883,$D:$D,$D883,$E:$E,"P0(후)",$M:$M,"&gt;0")&lt;&gt;1,"",SUMIFS($M:$M,$C:$C,$C883,$D:$D,$D883,$E:$E,"P0(후)"))</f>
        <v/>
      </c>
      <c r="S883" s="31">
        <f>IF(N883&lt;&gt;"OK","",P883+(R883-P883)*(I883-O883)/(Q883-O883))</f>
        <v/>
      </c>
      <c r="T883" s="31">
        <f>IF(OR(N883&lt;&gt;"OK",NOT(ISNUMBER(M883))),"",M883-S883)</f>
        <v/>
      </c>
      <c r="U883" s="49">
        <f>IF(OR(NOT(ISNUMBER(T883)),IF(ISNUMBER(H883),H883,G883)=0),"",T883/IF(ISNUMBER(H883),H883,G883))</f>
        <v/>
      </c>
      <c r="V883" s="49">
        <f>IF(ISNUMBER(U883),ABS(U883),"")</f>
        <v/>
      </c>
      <c r="W883" s="49">
        <f>IF(OR($E882&lt;&gt;"측정",$C882&lt;&gt;$C883,$D882&lt;&gt;$D883,NOT(ISNUMBER(M883)),NOT(ISNUMBER(M882)),(IF(ISNUMBER(H883),H883,G883)-IF(ISNUMBER(H882),H882,G882))=0),"",(M883-M882)/(IF(ISNUMBER(H883),H883,G883)-IF(ISNUMBER(H882),H882,G882)))</f>
        <v/>
      </c>
      <c r="X883" s="31">
        <f>IF(NOT(AND(ISNUMBER(O883),ISNUMBER(Q883))),"",(Q883-O883)*1440)</f>
        <v/>
      </c>
      <c r="Y883" s="29" t="n"/>
      <c r="Z883" s="29" t="n"/>
      <c r="AA883" s="29" t="n"/>
      <c r="AB883" s="32" t="n"/>
      <c r="AC883" s="32" t="n"/>
    </row>
    <row r="884">
      <c r="A884" s="26" t="inlineStr">
        <is>
          <t>S17</t>
        </is>
      </c>
      <c r="B884" s="26" t="inlineStr">
        <is>
          <t>영양 신규점4</t>
        </is>
      </c>
      <c r="C884" s="26" t="inlineStr">
        <is>
          <t>S17-H북</t>
        </is>
      </c>
      <c r="D884" s="47" t="n">
        <v>1</v>
      </c>
      <c r="E884" s="26" t="inlineStr">
        <is>
          <t>측정</t>
        </is>
      </c>
      <c r="F884" s="26" t="inlineStr">
        <is>
          <t>북</t>
        </is>
      </c>
      <c r="G884" s="31" t="n">
        <v>6</v>
      </c>
      <c r="H884" s="30" t="n"/>
      <c r="I884" s="43" t="n"/>
      <c r="J884" s="41" t="n"/>
      <c r="K884" s="41" t="n"/>
      <c r="L884" s="41" t="n"/>
      <c r="M884" s="31">
        <f>IF(COUNT(J884:L884)=0,"",MEDIAN(J884:L884))</f>
        <v/>
      </c>
      <c r="N884" s="26">
        <f>IF(COUNTIFS($C:$C,$C884,$D:$D,$D884,$E:$E,"P0(전)",$M:$M,"&gt;0")&lt;&gt;1,"P0(전) 유효 1개 아님",IF(COUNTIFS($C:$C,$C884,$D:$D,$D884,$E:$E,"P0(후)",$M:$M,"&gt;0")&lt;&gt;1,"P0(후) 유효 1개 아님",IF(NOT(AND(ISNUMBER(O884),ISNUMBER(Q884),ISNUMBER(I884))),"시각 결측",IF(Q884&lt;=O884,"P0 시각 역전",IF(OR(I884&lt;O884,I884&gt;Q884),"측정시각 구간 밖","OK")))))</f>
        <v/>
      </c>
      <c r="O884" s="48">
        <f>IF(COUNTIFS($C:$C,$C884,$D:$D,$D884,$E:$E,"P0(전)",$M:$M,"&gt;0")&lt;&gt;1,"",SUMIFS($I:$I,$C:$C,$C884,$D:$D,$D884,$E:$E,"P0(전)"))</f>
        <v/>
      </c>
      <c r="P884" s="31">
        <f>IF(COUNTIFS($C:$C,$C884,$D:$D,$D884,$E:$E,"P0(전)",$M:$M,"&gt;0")&lt;&gt;1,"",SUMIFS($M:$M,$C:$C,$C884,$D:$D,$D884,$E:$E,"P0(전)"))</f>
        <v/>
      </c>
      <c r="Q884" s="48">
        <f>IF(COUNTIFS($C:$C,$C884,$D:$D,$D884,$E:$E,"P0(후)",$M:$M,"&gt;0")&lt;&gt;1,"",SUMIFS($I:$I,$C:$C,$C884,$D:$D,$D884,$E:$E,"P0(후)"))</f>
        <v/>
      </c>
      <c r="R884" s="31">
        <f>IF(COUNTIFS($C:$C,$C884,$D:$D,$D884,$E:$E,"P0(후)",$M:$M,"&gt;0")&lt;&gt;1,"",SUMIFS($M:$M,$C:$C,$C884,$D:$D,$D884,$E:$E,"P0(후)"))</f>
        <v/>
      </c>
      <c r="S884" s="31">
        <f>IF(N884&lt;&gt;"OK","",P884+(R884-P884)*(I884-O884)/(Q884-O884))</f>
        <v/>
      </c>
      <c r="T884" s="31">
        <f>IF(OR(N884&lt;&gt;"OK",NOT(ISNUMBER(M884))),"",M884-S884)</f>
        <v/>
      </c>
      <c r="U884" s="49">
        <f>IF(OR(NOT(ISNUMBER(T884)),IF(ISNUMBER(H884),H884,G884)=0),"",T884/IF(ISNUMBER(H884),H884,G884))</f>
        <v/>
      </c>
      <c r="V884" s="49">
        <f>IF(ISNUMBER(U884),ABS(U884),"")</f>
        <v/>
      </c>
      <c r="W884" s="49">
        <f>IF(OR($E883&lt;&gt;"측정",$C883&lt;&gt;$C884,$D883&lt;&gt;$D884,NOT(ISNUMBER(M884)),NOT(ISNUMBER(M883)),(IF(ISNUMBER(H884),H884,G884)-IF(ISNUMBER(H883),H883,G883))=0),"",(M884-M883)/(IF(ISNUMBER(H884),H884,G884)-IF(ISNUMBER(H883),H883,G883)))</f>
        <v/>
      </c>
      <c r="X884" s="31">
        <f>IF(NOT(AND(ISNUMBER(O884),ISNUMBER(Q884))),"",(Q884-O884)*1440)</f>
        <v/>
      </c>
      <c r="Y884" s="29" t="n"/>
      <c r="Z884" s="29" t="n"/>
      <c r="AA884" s="29" t="n"/>
      <c r="AB884" s="32" t="n"/>
      <c r="AC884" s="32" t="n"/>
    </row>
    <row r="885">
      <c r="A885" s="26" t="inlineStr">
        <is>
          <t>S17</t>
        </is>
      </c>
      <c r="B885" s="26" t="inlineStr">
        <is>
          <t>영양 신규점4</t>
        </is>
      </c>
      <c r="C885" s="26" t="inlineStr">
        <is>
          <t>S17-H북</t>
        </is>
      </c>
      <c r="D885" s="47" t="n">
        <v>1</v>
      </c>
      <c r="E885" s="26" t="inlineStr">
        <is>
          <t>측정</t>
        </is>
      </c>
      <c r="F885" s="26" t="inlineStr">
        <is>
          <t>북</t>
        </is>
      </c>
      <c r="G885" s="31" t="n">
        <v>7</v>
      </c>
      <c r="H885" s="30" t="n"/>
      <c r="I885" s="43" t="n"/>
      <c r="J885" s="41" t="n"/>
      <c r="K885" s="41" t="n"/>
      <c r="L885" s="41" t="n"/>
      <c r="M885" s="31">
        <f>IF(COUNT(J885:L885)=0,"",MEDIAN(J885:L885))</f>
        <v/>
      </c>
      <c r="N885" s="26">
        <f>IF(COUNTIFS($C:$C,$C885,$D:$D,$D885,$E:$E,"P0(전)",$M:$M,"&gt;0")&lt;&gt;1,"P0(전) 유효 1개 아님",IF(COUNTIFS($C:$C,$C885,$D:$D,$D885,$E:$E,"P0(후)",$M:$M,"&gt;0")&lt;&gt;1,"P0(후) 유효 1개 아님",IF(NOT(AND(ISNUMBER(O885),ISNUMBER(Q885),ISNUMBER(I885))),"시각 결측",IF(Q885&lt;=O885,"P0 시각 역전",IF(OR(I885&lt;O885,I885&gt;Q885),"측정시각 구간 밖","OK")))))</f>
        <v/>
      </c>
      <c r="O885" s="48">
        <f>IF(COUNTIFS($C:$C,$C885,$D:$D,$D885,$E:$E,"P0(전)",$M:$M,"&gt;0")&lt;&gt;1,"",SUMIFS($I:$I,$C:$C,$C885,$D:$D,$D885,$E:$E,"P0(전)"))</f>
        <v/>
      </c>
      <c r="P885" s="31">
        <f>IF(COUNTIFS($C:$C,$C885,$D:$D,$D885,$E:$E,"P0(전)",$M:$M,"&gt;0")&lt;&gt;1,"",SUMIFS($M:$M,$C:$C,$C885,$D:$D,$D885,$E:$E,"P0(전)"))</f>
        <v/>
      </c>
      <c r="Q885" s="48">
        <f>IF(COUNTIFS($C:$C,$C885,$D:$D,$D885,$E:$E,"P0(후)",$M:$M,"&gt;0")&lt;&gt;1,"",SUMIFS($I:$I,$C:$C,$C885,$D:$D,$D885,$E:$E,"P0(후)"))</f>
        <v/>
      </c>
      <c r="R885" s="31">
        <f>IF(COUNTIFS($C:$C,$C885,$D:$D,$D885,$E:$E,"P0(후)",$M:$M,"&gt;0")&lt;&gt;1,"",SUMIFS($M:$M,$C:$C,$C885,$D:$D,$D885,$E:$E,"P0(후)"))</f>
        <v/>
      </c>
      <c r="S885" s="31">
        <f>IF(N885&lt;&gt;"OK","",P885+(R885-P885)*(I885-O885)/(Q885-O885))</f>
        <v/>
      </c>
      <c r="T885" s="31">
        <f>IF(OR(N885&lt;&gt;"OK",NOT(ISNUMBER(M885))),"",M885-S885)</f>
        <v/>
      </c>
      <c r="U885" s="49">
        <f>IF(OR(NOT(ISNUMBER(T885)),IF(ISNUMBER(H885),H885,G885)=0),"",T885/IF(ISNUMBER(H885),H885,G885))</f>
        <v/>
      </c>
      <c r="V885" s="49">
        <f>IF(ISNUMBER(U885),ABS(U885),"")</f>
        <v/>
      </c>
      <c r="W885" s="49">
        <f>IF(OR($E884&lt;&gt;"측정",$C884&lt;&gt;$C885,$D884&lt;&gt;$D885,NOT(ISNUMBER(M885)),NOT(ISNUMBER(M884)),(IF(ISNUMBER(H885),H885,G885)-IF(ISNUMBER(H884),H884,G884))=0),"",(M885-M884)/(IF(ISNUMBER(H885),H885,G885)-IF(ISNUMBER(H884),H884,G884)))</f>
        <v/>
      </c>
      <c r="X885" s="31">
        <f>IF(NOT(AND(ISNUMBER(O885),ISNUMBER(Q885))),"",(Q885-O885)*1440)</f>
        <v/>
      </c>
      <c r="Y885" s="29" t="n"/>
      <c r="Z885" s="29" t="n"/>
      <c r="AA885" s="29" t="n"/>
      <c r="AB885" s="32" t="n"/>
      <c r="AC885" s="32" t="n"/>
    </row>
    <row r="886">
      <c r="A886" s="26" t="inlineStr">
        <is>
          <t>S17</t>
        </is>
      </c>
      <c r="B886" s="26" t="inlineStr">
        <is>
          <t>영양 신규점4</t>
        </is>
      </c>
      <c r="C886" s="26" t="inlineStr">
        <is>
          <t>S17-H북</t>
        </is>
      </c>
      <c r="D886" s="47" t="n">
        <v>1</v>
      </c>
      <c r="E886" s="26" t="inlineStr">
        <is>
          <t>측정</t>
        </is>
      </c>
      <c r="F886" s="26" t="inlineStr">
        <is>
          <t>북</t>
        </is>
      </c>
      <c r="G886" s="31" t="n">
        <v>8</v>
      </c>
      <c r="H886" s="30" t="n"/>
      <c r="I886" s="43" t="n"/>
      <c r="J886" s="41" t="n"/>
      <c r="K886" s="41" t="n"/>
      <c r="L886" s="41" t="n"/>
      <c r="M886" s="31">
        <f>IF(COUNT(J886:L886)=0,"",MEDIAN(J886:L886))</f>
        <v/>
      </c>
      <c r="N886" s="26">
        <f>IF(COUNTIFS($C:$C,$C886,$D:$D,$D886,$E:$E,"P0(전)",$M:$M,"&gt;0")&lt;&gt;1,"P0(전) 유효 1개 아님",IF(COUNTIFS($C:$C,$C886,$D:$D,$D886,$E:$E,"P0(후)",$M:$M,"&gt;0")&lt;&gt;1,"P0(후) 유효 1개 아님",IF(NOT(AND(ISNUMBER(O886),ISNUMBER(Q886),ISNUMBER(I886))),"시각 결측",IF(Q886&lt;=O886,"P0 시각 역전",IF(OR(I886&lt;O886,I886&gt;Q886),"측정시각 구간 밖","OK")))))</f>
        <v/>
      </c>
      <c r="O886" s="48">
        <f>IF(COUNTIFS($C:$C,$C886,$D:$D,$D886,$E:$E,"P0(전)",$M:$M,"&gt;0")&lt;&gt;1,"",SUMIFS($I:$I,$C:$C,$C886,$D:$D,$D886,$E:$E,"P0(전)"))</f>
        <v/>
      </c>
      <c r="P886" s="31">
        <f>IF(COUNTIFS($C:$C,$C886,$D:$D,$D886,$E:$E,"P0(전)",$M:$M,"&gt;0")&lt;&gt;1,"",SUMIFS($M:$M,$C:$C,$C886,$D:$D,$D886,$E:$E,"P0(전)"))</f>
        <v/>
      </c>
      <c r="Q886" s="48">
        <f>IF(COUNTIFS($C:$C,$C886,$D:$D,$D886,$E:$E,"P0(후)",$M:$M,"&gt;0")&lt;&gt;1,"",SUMIFS($I:$I,$C:$C,$C886,$D:$D,$D886,$E:$E,"P0(후)"))</f>
        <v/>
      </c>
      <c r="R886" s="31">
        <f>IF(COUNTIFS($C:$C,$C886,$D:$D,$D886,$E:$E,"P0(후)",$M:$M,"&gt;0")&lt;&gt;1,"",SUMIFS($M:$M,$C:$C,$C886,$D:$D,$D886,$E:$E,"P0(후)"))</f>
        <v/>
      </c>
      <c r="S886" s="31">
        <f>IF(N886&lt;&gt;"OK","",P886+(R886-P886)*(I886-O886)/(Q886-O886))</f>
        <v/>
      </c>
      <c r="T886" s="31">
        <f>IF(OR(N886&lt;&gt;"OK",NOT(ISNUMBER(M886))),"",M886-S886)</f>
        <v/>
      </c>
      <c r="U886" s="49">
        <f>IF(OR(NOT(ISNUMBER(T886)),IF(ISNUMBER(H886),H886,G886)=0),"",T886/IF(ISNUMBER(H886),H886,G886))</f>
        <v/>
      </c>
      <c r="V886" s="49">
        <f>IF(ISNUMBER(U886),ABS(U886),"")</f>
        <v/>
      </c>
      <c r="W886" s="49">
        <f>IF(OR($E885&lt;&gt;"측정",$C885&lt;&gt;$C886,$D885&lt;&gt;$D886,NOT(ISNUMBER(M886)),NOT(ISNUMBER(M885)),(IF(ISNUMBER(H886),H886,G886)-IF(ISNUMBER(H885),H885,G885))=0),"",(M886-M885)/(IF(ISNUMBER(H886),H886,G886)-IF(ISNUMBER(H885),H885,G885)))</f>
        <v/>
      </c>
      <c r="X886" s="31">
        <f>IF(NOT(AND(ISNUMBER(O886),ISNUMBER(Q886))),"",(Q886-O886)*1440)</f>
        <v/>
      </c>
      <c r="Y886" s="29" t="n"/>
      <c r="Z886" s="29" t="n"/>
      <c r="AA886" s="29" t="n"/>
      <c r="AB886" s="32" t="n"/>
      <c r="AC886" s="32" t="n"/>
    </row>
    <row r="887">
      <c r="A887" s="26" t="inlineStr">
        <is>
          <t>S17</t>
        </is>
      </c>
      <c r="B887" s="26" t="inlineStr">
        <is>
          <t>영양 신규점4</t>
        </is>
      </c>
      <c r="C887" s="26" t="inlineStr">
        <is>
          <t>S17-H북</t>
        </is>
      </c>
      <c r="D887" s="47" t="n">
        <v>1</v>
      </c>
      <c r="E887" s="26" t="inlineStr">
        <is>
          <t>측정</t>
        </is>
      </c>
      <c r="F887" s="26" t="inlineStr">
        <is>
          <t>북</t>
        </is>
      </c>
      <c r="G887" s="31" t="n">
        <v>9</v>
      </c>
      <c r="H887" s="30" t="n"/>
      <c r="I887" s="43" t="n"/>
      <c r="J887" s="41" t="n"/>
      <c r="K887" s="41" t="n"/>
      <c r="L887" s="41" t="n"/>
      <c r="M887" s="31">
        <f>IF(COUNT(J887:L887)=0,"",MEDIAN(J887:L887))</f>
        <v/>
      </c>
      <c r="N887" s="26">
        <f>IF(COUNTIFS($C:$C,$C887,$D:$D,$D887,$E:$E,"P0(전)",$M:$M,"&gt;0")&lt;&gt;1,"P0(전) 유효 1개 아님",IF(COUNTIFS($C:$C,$C887,$D:$D,$D887,$E:$E,"P0(후)",$M:$M,"&gt;0")&lt;&gt;1,"P0(후) 유효 1개 아님",IF(NOT(AND(ISNUMBER(O887),ISNUMBER(Q887),ISNUMBER(I887))),"시각 결측",IF(Q887&lt;=O887,"P0 시각 역전",IF(OR(I887&lt;O887,I887&gt;Q887),"측정시각 구간 밖","OK")))))</f>
        <v/>
      </c>
      <c r="O887" s="48">
        <f>IF(COUNTIFS($C:$C,$C887,$D:$D,$D887,$E:$E,"P0(전)",$M:$M,"&gt;0")&lt;&gt;1,"",SUMIFS($I:$I,$C:$C,$C887,$D:$D,$D887,$E:$E,"P0(전)"))</f>
        <v/>
      </c>
      <c r="P887" s="31">
        <f>IF(COUNTIFS($C:$C,$C887,$D:$D,$D887,$E:$E,"P0(전)",$M:$M,"&gt;0")&lt;&gt;1,"",SUMIFS($M:$M,$C:$C,$C887,$D:$D,$D887,$E:$E,"P0(전)"))</f>
        <v/>
      </c>
      <c r="Q887" s="48">
        <f>IF(COUNTIFS($C:$C,$C887,$D:$D,$D887,$E:$E,"P0(후)",$M:$M,"&gt;0")&lt;&gt;1,"",SUMIFS($I:$I,$C:$C,$C887,$D:$D,$D887,$E:$E,"P0(후)"))</f>
        <v/>
      </c>
      <c r="R887" s="31">
        <f>IF(COUNTIFS($C:$C,$C887,$D:$D,$D887,$E:$E,"P0(후)",$M:$M,"&gt;0")&lt;&gt;1,"",SUMIFS($M:$M,$C:$C,$C887,$D:$D,$D887,$E:$E,"P0(후)"))</f>
        <v/>
      </c>
      <c r="S887" s="31">
        <f>IF(N887&lt;&gt;"OK","",P887+(R887-P887)*(I887-O887)/(Q887-O887))</f>
        <v/>
      </c>
      <c r="T887" s="31">
        <f>IF(OR(N887&lt;&gt;"OK",NOT(ISNUMBER(M887))),"",M887-S887)</f>
        <v/>
      </c>
      <c r="U887" s="49">
        <f>IF(OR(NOT(ISNUMBER(T887)),IF(ISNUMBER(H887),H887,G887)=0),"",T887/IF(ISNUMBER(H887),H887,G887))</f>
        <v/>
      </c>
      <c r="V887" s="49">
        <f>IF(ISNUMBER(U887),ABS(U887),"")</f>
        <v/>
      </c>
      <c r="W887" s="49">
        <f>IF(OR($E886&lt;&gt;"측정",$C886&lt;&gt;$C887,$D886&lt;&gt;$D887,NOT(ISNUMBER(M887)),NOT(ISNUMBER(M886)),(IF(ISNUMBER(H887),H887,G887)-IF(ISNUMBER(H886),H886,G886))=0),"",(M887-M886)/(IF(ISNUMBER(H887),H887,G887)-IF(ISNUMBER(H886),H886,G886)))</f>
        <v/>
      </c>
      <c r="X887" s="31">
        <f>IF(NOT(AND(ISNUMBER(O887),ISNUMBER(Q887))),"",(Q887-O887)*1440)</f>
        <v/>
      </c>
      <c r="Y887" s="29" t="n"/>
      <c r="Z887" s="29" t="n"/>
      <c r="AA887" s="29" t="n"/>
      <c r="AB887" s="32" t="n"/>
      <c r="AC887" s="32" t="n"/>
    </row>
    <row r="888">
      <c r="A888" s="26" t="inlineStr">
        <is>
          <t>S17</t>
        </is>
      </c>
      <c r="B888" s="26" t="inlineStr">
        <is>
          <t>영양 신규점4</t>
        </is>
      </c>
      <c r="C888" s="26" t="inlineStr">
        <is>
          <t>S17-H북</t>
        </is>
      </c>
      <c r="D888" s="47" t="n">
        <v>1</v>
      </c>
      <c r="E888" s="26" t="inlineStr">
        <is>
          <t>측정</t>
        </is>
      </c>
      <c r="F888" s="26" t="inlineStr">
        <is>
          <t>북</t>
        </is>
      </c>
      <c r="G888" s="31" t="n">
        <v>10</v>
      </c>
      <c r="H888" s="30" t="n"/>
      <c r="I888" s="43" t="n"/>
      <c r="J888" s="41" t="n"/>
      <c r="K888" s="41" t="n"/>
      <c r="L888" s="41" t="n"/>
      <c r="M888" s="31">
        <f>IF(COUNT(J888:L888)=0,"",MEDIAN(J888:L888))</f>
        <v/>
      </c>
      <c r="N888" s="26">
        <f>IF(COUNTIFS($C:$C,$C888,$D:$D,$D888,$E:$E,"P0(전)",$M:$M,"&gt;0")&lt;&gt;1,"P0(전) 유효 1개 아님",IF(COUNTIFS($C:$C,$C888,$D:$D,$D888,$E:$E,"P0(후)",$M:$M,"&gt;0")&lt;&gt;1,"P0(후) 유효 1개 아님",IF(NOT(AND(ISNUMBER(O888),ISNUMBER(Q888),ISNUMBER(I888))),"시각 결측",IF(Q888&lt;=O888,"P0 시각 역전",IF(OR(I888&lt;O888,I888&gt;Q888),"측정시각 구간 밖","OK")))))</f>
        <v/>
      </c>
      <c r="O888" s="48">
        <f>IF(COUNTIFS($C:$C,$C888,$D:$D,$D888,$E:$E,"P0(전)",$M:$M,"&gt;0")&lt;&gt;1,"",SUMIFS($I:$I,$C:$C,$C888,$D:$D,$D888,$E:$E,"P0(전)"))</f>
        <v/>
      </c>
      <c r="P888" s="31">
        <f>IF(COUNTIFS($C:$C,$C888,$D:$D,$D888,$E:$E,"P0(전)",$M:$M,"&gt;0")&lt;&gt;1,"",SUMIFS($M:$M,$C:$C,$C888,$D:$D,$D888,$E:$E,"P0(전)"))</f>
        <v/>
      </c>
      <c r="Q888" s="48">
        <f>IF(COUNTIFS($C:$C,$C888,$D:$D,$D888,$E:$E,"P0(후)",$M:$M,"&gt;0")&lt;&gt;1,"",SUMIFS($I:$I,$C:$C,$C888,$D:$D,$D888,$E:$E,"P0(후)"))</f>
        <v/>
      </c>
      <c r="R888" s="31">
        <f>IF(COUNTIFS($C:$C,$C888,$D:$D,$D888,$E:$E,"P0(후)",$M:$M,"&gt;0")&lt;&gt;1,"",SUMIFS($M:$M,$C:$C,$C888,$D:$D,$D888,$E:$E,"P0(후)"))</f>
        <v/>
      </c>
      <c r="S888" s="31">
        <f>IF(N888&lt;&gt;"OK","",P888+(R888-P888)*(I888-O888)/(Q888-O888))</f>
        <v/>
      </c>
      <c r="T888" s="31">
        <f>IF(OR(N888&lt;&gt;"OK",NOT(ISNUMBER(M888))),"",M888-S888)</f>
        <v/>
      </c>
      <c r="U888" s="49">
        <f>IF(OR(NOT(ISNUMBER(T888)),IF(ISNUMBER(H888),H888,G888)=0),"",T888/IF(ISNUMBER(H888),H888,G888))</f>
        <v/>
      </c>
      <c r="V888" s="49">
        <f>IF(ISNUMBER(U888),ABS(U888),"")</f>
        <v/>
      </c>
      <c r="W888" s="49">
        <f>IF(OR($E887&lt;&gt;"측정",$C887&lt;&gt;$C888,$D887&lt;&gt;$D888,NOT(ISNUMBER(M888)),NOT(ISNUMBER(M887)),(IF(ISNUMBER(H888),H888,G888)-IF(ISNUMBER(H887),H887,G887))=0),"",(M888-M887)/(IF(ISNUMBER(H888),H888,G888)-IF(ISNUMBER(H887),H887,G887)))</f>
        <v/>
      </c>
      <c r="X888" s="31">
        <f>IF(NOT(AND(ISNUMBER(O888),ISNUMBER(Q888))),"",(Q888-O888)*1440)</f>
        <v/>
      </c>
      <c r="Y888" s="29" t="n"/>
      <c r="Z888" s="29" t="n"/>
      <c r="AA888" s="29" t="n"/>
      <c r="AB888" s="32" t="n"/>
      <c r="AC888" s="32" t="n"/>
    </row>
    <row r="889">
      <c r="A889" s="44" t="inlineStr">
        <is>
          <t>S17</t>
        </is>
      </c>
      <c r="B889" s="44" t="inlineStr">
        <is>
          <t>영양 신규점4</t>
        </is>
      </c>
      <c r="C889" s="44" t="inlineStr">
        <is>
          <t>S17-H북</t>
        </is>
      </c>
      <c r="D889" s="45" t="n">
        <v>1</v>
      </c>
      <c r="E889" s="44" t="inlineStr">
        <is>
          <t>P0(후)</t>
        </is>
      </c>
      <c r="F889" s="44" t="inlineStr">
        <is>
          <t>북</t>
        </is>
      </c>
      <c r="G889" s="46" t="n"/>
      <c r="H889" s="30" t="n"/>
      <c r="I889" s="43" t="n"/>
      <c r="J889" s="41" t="n"/>
      <c r="K889" s="41" t="n"/>
      <c r="L889" s="41" t="n"/>
      <c r="M889" s="31">
        <f>IF(COUNT(J889:L889)=0,"",MEDIAN(J889:L889))</f>
        <v/>
      </c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38" t="n"/>
      <c r="Y889" s="29" t="n"/>
      <c r="Z889" s="29" t="n"/>
      <c r="AA889" s="29" t="n"/>
      <c r="AB889" s="32" t="n"/>
      <c r="AC889" s="32" t="n"/>
    </row>
    <row r="890">
      <c r="A890" s="44" t="inlineStr">
        <is>
          <t>S18</t>
        </is>
      </c>
      <c r="B890" s="44" t="inlineStr">
        <is>
          <t>통영 신규점</t>
        </is>
      </c>
      <c r="C890" s="44" t="inlineStr">
        <is>
          <t>S18-H동</t>
        </is>
      </c>
      <c r="D890" s="45" t="n">
        <v>1</v>
      </c>
      <c r="E890" s="44" t="inlineStr">
        <is>
          <t>P0(전)</t>
        </is>
      </c>
      <c r="F890" s="44" t="inlineStr">
        <is>
          <t>동</t>
        </is>
      </c>
      <c r="G890" s="46" t="n"/>
      <c r="H890" s="30" t="n"/>
      <c r="I890" s="43" t="n"/>
      <c r="J890" s="41" t="n"/>
      <c r="K890" s="41" t="n"/>
      <c r="L890" s="41" t="n"/>
      <c r="M890" s="31">
        <f>IF(COUNT(J890:L890)=0,"",MEDIAN(J890:L890))</f>
        <v/>
      </c>
      <c r="N890" s="38" t="n"/>
      <c r="O890" s="38" t="n"/>
      <c r="P890" s="38" t="n"/>
      <c r="Q890" s="38" t="n"/>
      <c r="R890" s="38" t="n"/>
      <c r="S890" s="38" t="n"/>
      <c r="T890" s="38" t="n"/>
      <c r="U890" s="38" t="n"/>
      <c r="V890" s="38" t="n"/>
      <c r="W890" s="38" t="n"/>
      <c r="X890" s="38" t="n"/>
      <c r="Y890" s="29" t="n"/>
      <c r="Z890" s="29" t="n"/>
      <c r="AA890" s="29" t="n"/>
      <c r="AB890" s="32" t="n"/>
      <c r="AC890" s="32" t="n"/>
    </row>
    <row r="891">
      <c r="A891" s="26" t="inlineStr">
        <is>
          <t>S18</t>
        </is>
      </c>
      <c r="B891" s="26" t="inlineStr">
        <is>
          <t>통영 신규점</t>
        </is>
      </c>
      <c r="C891" s="26" t="inlineStr">
        <is>
          <t>S18-H동</t>
        </is>
      </c>
      <c r="D891" s="47" t="n">
        <v>1</v>
      </c>
      <c r="E891" s="26" t="inlineStr">
        <is>
          <t>측정</t>
        </is>
      </c>
      <c r="F891" s="26" t="inlineStr">
        <is>
          <t>동</t>
        </is>
      </c>
      <c r="G891" s="31" t="n">
        <v>0.5</v>
      </c>
      <c r="H891" s="30" t="n"/>
      <c r="I891" s="43" t="n"/>
      <c r="J891" s="41" t="n"/>
      <c r="K891" s="41" t="n"/>
      <c r="L891" s="41" t="n"/>
      <c r="M891" s="31">
        <f>IF(COUNT(J891:L891)=0,"",MEDIAN(J891:L891))</f>
        <v/>
      </c>
      <c r="N891" s="26">
        <f>IF(COUNTIFS($C:$C,$C891,$D:$D,$D891,$E:$E,"P0(전)",$M:$M,"&gt;0")&lt;&gt;1,"P0(전) 유효 1개 아님",IF(COUNTIFS($C:$C,$C891,$D:$D,$D891,$E:$E,"P0(후)",$M:$M,"&gt;0")&lt;&gt;1,"P0(후) 유효 1개 아님",IF(NOT(AND(ISNUMBER(O891),ISNUMBER(Q891),ISNUMBER(I891))),"시각 결측",IF(Q891&lt;=O891,"P0 시각 역전",IF(OR(I891&lt;O891,I891&gt;Q891),"측정시각 구간 밖","OK")))))</f>
        <v/>
      </c>
      <c r="O891" s="48">
        <f>IF(COUNTIFS($C:$C,$C891,$D:$D,$D891,$E:$E,"P0(전)",$M:$M,"&gt;0")&lt;&gt;1,"",SUMIFS($I:$I,$C:$C,$C891,$D:$D,$D891,$E:$E,"P0(전)"))</f>
        <v/>
      </c>
      <c r="P891" s="31">
        <f>IF(COUNTIFS($C:$C,$C891,$D:$D,$D891,$E:$E,"P0(전)",$M:$M,"&gt;0")&lt;&gt;1,"",SUMIFS($M:$M,$C:$C,$C891,$D:$D,$D891,$E:$E,"P0(전)"))</f>
        <v/>
      </c>
      <c r="Q891" s="48">
        <f>IF(COUNTIFS($C:$C,$C891,$D:$D,$D891,$E:$E,"P0(후)",$M:$M,"&gt;0")&lt;&gt;1,"",SUMIFS($I:$I,$C:$C,$C891,$D:$D,$D891,$E:$E,"P0(후)"))</f>
        <v/>
      </c>
      <c r="R891" s="31">
        <f>IF(COUNTIFS($C:$C,$C891,$D:$D,$D891,$E:$E,"P0(후)",$M:$M,"&gt;0")&lt;&gt;1,"",SUMIFS($M:$M,$C:$C,$C891,$D:$D,$D891,$E:$E,"P0(후)"))</f>
        <v/>
      </c>
      <c r="S891" s="31">
        <f>IF(N891&lt;&gt;"OK","",P891+(R891-P891)*(I891-O891)/(Q891-O891))</f>
        <v/>
      </c>
      <c r="T891" s="31">
        <f>IF(OR(N891&lt;&gt;"OK",NOT(ISNUMBER(M891))),"",M891-S891)</f>
        <v/>
      </c>
      <c r="U891" s="49">
        <f>IF(OR(NOT(ISNUMBER(T891)),IF(ISNUMBER(H891),H891,G891)=0),"",T891/IF(ISNUMBER(H891),H891,G891))</f>
        <v/>
      </c>
      <c r="V891" s="49">
        <f>IF(ISNUMBER(U891),ABS(U891),"")</f>
        <v/>
      </c>
      <c r="W891" s="49">
        <f>IF(OR($E890&lt;&gt;"측정",$C890&lt;&gt;$C891,$D890&lt;&gt;$D891,NOT(ISNUMBER(M891)),NOT(ISNUMBER(M890)),(IF(ISNUMBER(H891),H891,G891)-IF(ISNUMBER(H890),H890,G890))=0),"",(M891-M890)/(IF(ISNUMBER(H891),H891,G891)-IF(ISNUMBER(H890),H890,G890)))</f>
        <v/>
      </c>
      <c r="X891" s="31">
        <f>IF(NOT(AND(ISNUMBER(O891),ISNUMBER(Q891))),"",(Q891-O891)*1440)</f>
        <v/>
      </c>
      <c r="Y891" s="29" t="n"/>
      <c r="Z891" s="29" t="n"/>
      <c r="AA891" s="29" t="n"/>
      <c r="AB891" s="32" t="n"/>
      <c r="AC891" s="32" t="n"/>
    </row>
    <row r="892">
      <c r="A892" s="26" t="inlineStr">
        <is>
          <t>S18</t>
        </is>
      </c>
      <c r="B892" s="26" t="inlineStr">
        <is>
          <t>통영 신규점</t>
        </is>
      </c>
      <c r="C892" s="26" t="inlineStr">
        <is>
          <t>S18-H동</t>
        </is>
      </c>
      <c r="D892" s="47" t="n">
        <v>1</v>
      </c>
      <c r="E892" s="26" t="inlineStr">
        <is>
          <t>측정</t>
        </is>
      </c>
      <c r="F892" s="26" t="inlineStr">
        <is>
          <t>동</t>
        </is>
      </c>
      <c r="G892" s="31" t="n">
        <v>1</v>
      </c>
      <c r="H892" s="30" t="n"/>
      <c r="I892" s="43" t="n"/>
      <c r="J892" s="41" t="n"/>
      <c r="K892" s="41" t="n"/>
      <c r="L892" s="41" t="n"/>
      <c r="M892" s="31">
        <f>IF(COUNT(J892:L892)=0,"",MEDIAN(J892:L892))</f>
        <v/>
      </c>
      <c r="N892" s="26">
        <f>IF(COUNTIFS($C:$C,$C892,$D:$D,$D892,$E:$E,"P0(전)",$M:$M,"&gt;0")&lt;&gt;1,"P0(전) 유효 1개 아님",IF(COUNTIFS($C:$C,$C892,$D:$D,$D892,$E:$E,"P0(후)",$M:$M,"&gt;0")&lt;&gt;1,"P0(후) 유효 1개 아님",IF(NOT(AND(ISNUMBER(O892),ISNUMBER(Q892),ISNUMBER(I892))),"시각 결측",IF(Q892&lt;=O892,"P0 시각 역전",IF(OR(I892&lt;O892,I892&gt;Q892),"측정시각 구간 밖","OK")))))</f>
        <v/>
      </c>
      <c r="O892" s="48">
        <f>IF(COUNTIFS($C:$C,$C892,$D:$D,$D892,$E:$E,"P0(전)",$M:$M,"&gt;0")&lt;&gt;1,"",SUMIFS($I:$I,$C:$C,$C892,$D:$D,$D892,$E:$E,"P0(전)"))</f>
        <v/>
      </c>
      <c r="P892" s="31">
        <f>IF(COUNTIFS($C:$C,$C892,$D:$D,$D892,$E:$E,"P0(전)",$M:$M,"&gt;0")&lt;&gt;1,"",SUMIFS($M:$M,$C:$C,$C892,$D:$D,$D892,$E:$E,"P0(전)"))</f>
        <v/>
      </c>
      <c r="Q892" s="48">
        <f>IF(COUNTIFS($C:$C,$C892,$D:$D,$D892,$E:$E,"P0(후)",$M:$M,"&gt;0")&lt;&gt;1,"",SUMIFS($I:$I,$C:$C,$C892,$D:$D,$D892,$E:$E,"P0(후)"))</f>
        <v/>
      </c>
      <c r="R892" s="31">
        <f>IF(COUNTIFS($C:$C,$C892,$D:$D,$D892,$E:$E,"P0(후)",$M:$M,"&gt;0")&lt;&gt;1,"",SUMIFS($M:$M,$C:$C,$C892,$D:$D,$D892,$E:$E,"P0(후)"))</f>
        <v/>
      </c>
      <c r="S892" s="31">
        <f>IF(N892&lt;&gt;"OK","",P892+(R892-P892)*(I892-O892)/(Q892-O892))</f>
        <v/>
      </c>
      <c r="T892" s="31">
        <f>IF(OR(N892&lt;&gt;"OK",NOT(ISNUMBER(M892))),"",M892-S892)</f>
        <v/>
      </c>
      <c r="U892" s="49">
        <f>IF(OR(NOT(ISNUMBER(T892)),IF(ISNUMBER(H892),H892,G892)=0),"",T892/IF(ISNUMBER(H892),H892,G892))</f>
        <v/>
      </c>
      <c r="V892" s="49">
        <f>IF(ISNUMBER(U892),ABS(U892),"")</f>
        <v/>
      </c>
      <c r="W892" s="49">
        <f>IF(OR($E891&lt;&gt;"측정",$C891&lt;&gt;$C892,$D891&lt;&gt;$D892,NOT(ISNUMBER(M892)),NOT(ISNUMBER(M891)),(IF(ISNUMBER(H892),H892,G892)-IF(ISNUMBER(H891),H891,G891))=0),"",(M892-M891)/(IF(ISNUMBER(H892),H892,G892)-IF(ISNUMBER(H891),H891,G891)))</f>
        <v/>
      </c>
      <c r="X892" s="31">
        <f>IF(NOT(AND(ISNUMBER(O892),ISNUMBER(Q892))),"",(Q892-O892)*1440)</f>
        <v/>
      </c>
      <c r="Y892" s="29" t="n"/>
      <c r="Z892" s="29" t="n"/>
      <c r="AA892" s="29" t="n"/>
      <c r="AB892" s="32" t="n"/>
      <c r="AC892" s="32" t="n"/>
    </row>
    <row r="893">
      <c r="A893" s="26" t="inlineStr">
        <is>
          <t>S18</t>
        </is>
      </c>
      <c r="B893" s="26" t="inlineStr">
        <is>
          <t>통영 신규점</t>
        </is>
      </c>
      <c r="C893" s="26" t="inlineStr">
        <is>
          <t>S18-H동</t>
        </is>
      </c>
      <c r="D893" s="47" t="n">
        <v>1</v>
      </c>
      <c r="E893" s="26" t="inlineStr">
        <is>
          <t>측정</t>
        </is>
      </c>
      <c r="F893" s="26" t="inlineStr">
        <is>
          <t>동</t>
        </is>
      </c>
      <c r="G893" s="31" t="n">
        <v>2</v>
      </c>
      <c r="H893" s="30" t="n"/>
      <c r="I893" s="43" t="n"/>
      <c r="J893" s="41" t="n"/>
      <c r="K893" s="41" t="n"/>
      <c r="L893" s="41" t="n"/>
      <c r="M893" s="31">
        <f>IF(COUNT(J893:L893)=0,"",MEDIAN(J893:L893))</f>
        <v/>
      </c>
      <c r="N893" s="26">
        <f>IF(COUNTIFS($C:$C,$C893,$D:$D,$D893,$E:$E,"P0(전)",$M:$M,"&gt;0")&lt;&gt;1,"P0(전) 유효 1개 아님",IF(COUNTIFS($C:$C,$C893,$D:$D,$D893,$E:$E,"P0(후)",$M:$M,"&gt;0")&lt;&gt;1,"P0(후) 유효 1개 아님",IF(NOT(AND(ISNUMBER(O893),ISNUMBER(Q893),ISNUMBER(I893))),"시각 결측",IF(Q893&lt;=O893,"P0 시각 역전",IF(OR(I893&lt;O893,I893&gt;Q893),"측정시각 구간 밖","OK")))))</f>
        <v/>
      </c>
      <c r="O893" s="48">
        <f>IF(COUNTIFS($C:$C,$C893,$D:$D,$D893,$E:$E,"P0(전)",$M:$M,"&gt;0")&lt;&gt;1,"",SUMIFS($I:$I,$C:$C,$C893,$D:$D,$D893,$E:$E,"P0(전)"))</f>
        <v/>
      </c>
      <c r="P893" s="31">
        <f>IF(COUNTIFS($C:$C,$C893,$D:$D,$D893,$E:$E,"P0(전)",$M:$M,"&gt;0")&lt;&gt;1,"",SUMIFS($M:$M,$C:$C,$C893,$D:$D,$D893,$E:$E,"P0(전)"))</f>
        <v/>
      </c>
      <c r="Q893" s="48">
        <f>IF(COUNTIFS($C:$C,$C893,$D:$D,$D893,$E:$E,"P0(후)",$M:$M,"&gt;0")&lt;&gt;1,"",SUMIFS($I:$I,$C:$C,$C893,$D:$D,$D893,$E:$E,"P0(후)"))</f>
        <v/>
      </c>
      <c r="R893" s="31">
        <f>IF(COUNTIFS($C:$C,$C893,$D:$D,$D893,$E:$E,"P0(후)",$M:$M,"&gt;0")&lt;&gt;1,"",SUMIFS($M:$M,$C:$C,$C893,$D:$D,$D893,$E:$E,"P0(후)"))</f>
        <v/>
      </c>
      <c r="S893" s="31">
        <f>IF(N893&lt;&gt;"OK","",P893+(R893-P893)*(I893-O893)/(Q893-O893))</f>
        <v/>
      </c>
      <c r="T893" s="31">
        <f>IF(OR(N893&lt;&gt;"OK",NOT(ISNUMBER(M893))),"",M893-S893)</f>
        <v/>
      </c>
      <c r="U893" s="49">
        <f>IF(OR(NOT(ISNUMBER(T893)),IF(ISNUMBER(H893),H893,G893)=0),"",T893/IF(ISNUMBER(H893),H893,G893))</f>
        <v/>
      </c>
      <c r="V893" s="49">
        <f>IF(ISNUMBER(U893),ABS(U893),"")</f>
        <v/>
      </c>
      <c r="W893" s="49">
        <f>IF(OR($E892&lt;&gt;"측정",$C892&lt;&gt;$C893,$D892&lt;&gt;$D893,NOT(ISNUMBER(M893)),NOT(ISNUMBER(M892)),(IF(ISNUMBER(H893),H893,G893)-IF(ISNUMBER(H892),H892,G892))=0),"",(M893-M892)/(IF(ISNUMBER(H893),H893,G893)-IF(ISNUMBER(H892),H892,G892)))</f>
        <v/>
      </c>
      <c r="X893" s="31">
        <f>IF(NOT(AND(ISNUMBER(O893),ISNUMBER(Q893))),"",(Q893-O893)*1440)</f>
        <v/>
      </c>
      <c r="Y893" s="29" t="n"/>
      <c r="Z893" s="29" t="n"/>
      <c r="AA893" s="29" t="n"/>
      <c r="AB893" s="32" t="n"/>
      <c r="AC893" s="32" t="n"/>
    </row>
    <row r="894">
      <c r="A894" s="26" t="inlineStr">
        <is>
          <t>S18</t>
        </is>
      </c>
      <c r="B894" s="26" t="inlineStr">
        <is>
          <t>통영 신규점</t>
        </is>
      </c>
      <c r="C894" s="26" t="inlineStr">
        <is>
          <t>S18-H동</t>
        </is>
      </c>
      <c r="D894" s="47" t="n">
        <v>1</v>
      </c>
      <c r="E894" s="26" t="inlineStr">
        <is>
          <t>측정</t>
        </is>
      </c>
      <c r="F894" s="26" t="inlineStr">
        <is>
          <t>동</t>
        </is>
      </c>
      <c r="G894" s="31" t="n">
        <v>3</v>
      </c>
      <c r="H894" s="30" t="n"/>
      <c r="I894" s="43" t="n"/>
      <c r="J894" s="41" t="n"/>
      <c r="K894" s="41" t="n"/>
      <c r="L894" s="41" t="n"/>
      <c r="M894" s="31">
        <f>IF(COUNT(J894:L894)=0,"",MEDIAN(J894:L894))</f>
        <v/>
      </c>
      <c r="N894" s="26">
        <f>IF(COUNTIFS($C:$C,$C894,$D:$D,$D894,$E:$E,"P0(전)",$M:$M,"&gt;0")&lt;&gt;1,"P0(전) 유효 1개 아님",IF(COUNTIFS($C:$C,$C894,$D:$D,$D894,$E:$E,"P0(후)",$M:$M,"&gt;0")&lt;&gt;1,"P0(후) 유효 1개 아님",IF(NOT(AND(ISNUMBER(O894),ISNUMBER(Q894),ISNUMBER(I894))),"시각 결측",IF(Q894&lt;=O894,"P0 시각 역전",IF(OR(I894&lt;O894,I894&gt;Q894),"측정시각 구간 밖","OK")))))</f>
        <v/>
      </c>
      <c r="O894" s="48">
        <f>IF(COUNTIFS($C:$C,$C894,$D:$D,$D894,$E:$E,"P0(전)",$M:$M,"&gt;0")&lt;&gt;1,"",SUMIFS($I:$I,$C:$C,$C894,$D:$D,$D894,$E:$E,"P0(전)"))</f>
        <v/>
      </c>
      <c r="P894" s="31">
        <f>IF(COUNTIFS($C:$C,$C894,$D:$D,$D894,$E:$E,"P0(전)",$M:$M,"&gt;0")&lt;&gt;1,"",SUMIFS($M:$M,$C:$C,$C894,$D:$D,$D894,$E:$E,"P0(전)"))</f>
        <v/>
      </c>
      <c r="Q894" s="48">
        <f>IF(COUNTIFS($C:$C,$C894,$D:$D,$D894,$E:$E,"P0(후)",$M:$M,"&gt;0")&lt;&gt;1,"",SUMIFS($I:$I,$C:$C,$C894,$D:$D,$D894,$E:$E,"P0(후)"))</f>
        <v/>
      </c>
      <c r="R894" s="31">
        <f>IF(COUNTIFS($C:$C,$C894,$D:$D,$D894,$E:$E,"P0(후)",$M:$M,"&gt;0")&lt;&gt;1,"",SUMIFS($M:$M,$C:$C,$C894,$D:$D,$D894,$E:$E,"P0(후)"))</f>
        <v/>
      </c>
      <c r="S894" s="31">
        <f>IF(N894&lt;&gt;"OK","",P894+(R894-P894)*(I894-O894)/(Q894-O894))</f>
        <v/>
      </c>
      <c r="T894" s="31">
        <f>IF(OR(N894&lt;&gt;"OK",NOT(ISNUMBER(M894))),"",M894-S894)</f>
        <v/>
      </c>
      <c r="U894" s="49">
        <f>IF(OR(NOT(ISNUMBER(T894)),IF(ISNUMBER(H894),H894,G894)=0),"",T894/IF(ISNUMBER(H894),H894,G894))</f>
        <v/>
      </c>
      <c r="V894" s="49">
        <f>IF(ISNUMBER(U894),ABS(U894),"")</f>
        <v/>
      </c>
      <c r="W894" s="49">
        <f>IF(OR($E893&lt;&gt;"측정",$C893&lt;&gt;$C894,$D893&lt;&gt;$D894,NOT(ISNUMBER(M894)),NOT(ISNUMBER(M893)),(IF(ISNUMBER(H894),H894,G894)-IF(ISNUMBER(H893),H893,G893))=0),"",(M894-M893)/(IF(ISNUMBER(H894),H894,G894)-IF(ISNUMBER(H893),H893,G893)))</f>
        <v/>
      </c>
      <c r="X894" s="31">
        <f>IF(NOT(AND(ISNUMBER(O894),ISNUMBER(Q894))),"",(Q894-O894)*1440)</f>
        <v/>
      </c>
      <c r="Y894" s="29" t="n"/>
      <c r="Z894" s="29" t="n"/>
      <c r="AA894" s="29" t="n"/>
      <c r="AB894" s="32" t="n"/>
      <c r="AC894" s="32" t="n"/>
    </row>
    <row r="895">
      <c r="A895" s="26" t="inlineStr">
        <is>
          <t>S18</t>
        </is>
      </c>
      <c r="B895" s="26" t="inlineStr">
        <is>
          <t>통영 신규점</t>
        </is>
      </c>
      <c r="C895" s="26" t="inlineStr">
        <is>
          <t>S18-H동</t>
        </is>
      </c>
      <c r="D895" s="47" t="n">
        <v>1</v>
      </c>
      <c r="E895" s="26" t="inlineStr">
        <is>
          <t>측정</t>
        </is>
      </c>
      <c r="F895" s="26" t="inlineStr">
        <is>
          <t>동</t>
        </is>
      </c>
      <c r="G895" s="31" t="n">
        <v>4</v>
      </c>
      <c r="H895" s="30" t="n"/>
      <c r="I895" s="43" t="n"/>
      <c r="J895" s="41" t="n"/>
      <c r="K895" s="41" t="n"/>
      <c r="L895" s="41" t="n"/>
      <c r="M895" s="31">
        <f>IF(COUNT(J895:L895)=0,"",MEDIAN(J895:L895))</f>
        <v/>
      </c>
      <c r="N895" s="26">
        <f>IF(COUNTIFS($C:$C,$C895,$D:$D,$D895,$E:$E,"P0(전)",$M:$M,"&gt;0")&lt;&gt;1,"P0(전) 유효 1개 아님",IF(COUNTIFS($C:$C,$C895,$D:$D,$D895,$E:$E,"P0(후)",$M:$M,"&gt;0")&lt;&gt;1,"P0(후) 유효 1개 아님",IF(NOT(AND(ISNUMBER(O895),ISNUMBER(Q895),ISNUMBER(I895))),"시각 결측",IF(Q895&lt;=O895,"P0 시각 역전",IF(OR(I895&lt;O895,I895&gt;Q895),"측정시각 구간 밖","OK")))))</f>
        <v/>
      </c>
      <c r="O895" s="48">
        <f>IF(COUNTIFS($C:$C,$C895,$D:$D,$D895,$E:$E,"P0(전)",$M:$M,"&gt;0")&lt;&gt;1,"",SUMIFS($I:$I,$C:$C,$C895,$D:$D,$D895,$E:$E,"P0(전)"))</f>
        <v/>
      </c>
      <c r="P895" s="31">
        <f>IF(COUNTIFS($C:$C,$C895,$D:$D,$D895,$E:$E,"P0(전)",$M:$M,"&gt;0")&lt;&gt;1,"",SUMIFS($M:$M,$C:$C,$C895,$D:$D,$D895,$E:$E,"P0(전)"))</f>
        <v/>
      </c>
      <c r="Q895" s="48">
        <f>IF(COUNTIFS($C:$C,$C895,$D:$D,$D895,$E:$E,"P0(후)",$M:$M,"&gt;0")&lt;&gt;1,"",SUMIFS($I:$I,$C:$C,$C895,$D:$D,$D895,$E:$E,"P0(후)"))</f>
        <v/>
      </c>
      <c r="R895" s="31">
        <f>IF(COUNTIFS($C:$C,$C895,$D:$D,$D895,$E:$E,"P0(후)",$M:$M,"&gt;0")&lt;&gt;1,"",SUMIFS($M:$M,$C:$C,$C895,$D:$D,$D895,$E:$E,"P0(후)"))</f>
        <v/>
      </c>
      <c r="S895" s="31">
        <f>IF(N895&lt;&gt;"OK","",P895+(R895-P895)*(I895-O895)/(Q895-O895))</f>
        <v/>
      </c>
      <c r="T895" s="31">
        <f>IF(OR(N895&lt;&gt;"OK",NOT(ISNUMBER(M895))),"",M895-S895)</f>
        <v/>
      </c>
      <c r="U895" s="49">
        <f>IF(OR(NOT(ISNUMBER(T895)),IF(ISNUMBER(H895),H895,G895)=0),"",T895/IF(ISNUMBER(H895),H895,G895))</f>
        <v/>
      </c>
      <c r="V895" s="49">
        <f>IF(ISNUMBER(U895),ABS(U895),"")</f>
        <v/>
      </c>
      <c r="W895" s="49">
        <f>IF(OR($E894&lt;&gt;"측정",$C894&lt;&gt;$C895,$D894&lt;&gt;$D895,NOT(ISNUMBER(M895)),NOT(ISNUMBER(M894)),(IF(ISNUMBER(H895),H895,G895)-IF(ISNUMBER(H894),H894,G894))=0),"",(M895-M894)/(IF(ISNUMBER(H895),H895,G895)-IF(ISNUMBER(H894),H894,G894)))</f>
        <v/>
      </c>
      <c r="X895" s="31">
        <f>IF(NOT(AND(ISNUMBER(O895),ISNUMBER(Q895))),"",(Q895-O895)*1440)</f>
        <v/>
      </c>
      <c r="Y895" s="29" t="n"/>
      <c r="Z895" s="29" t="n"/>
      <c r="AA895" s="29" t="n"/>
      <c r="AB895" s="32" t="n"/>
      <c r="AC895" s="32" t="n"/>
    </row>
    <row r="896">
      <c r="A896" s="26" t="inlineStr">
        <is>
          <t>S18</t>
        </is>
      </c>
      <c r="B896" s="26" t="inlineStr">
        <is>
          <t>통영 신규점</t>
        </is>
      </c>
      <c r="C896" s="26" t="inlineStr">
        <is>
          <t>S18-H동</t>
        </is>
      </c>
      <c r="D896" s="47" t="n">
        <v>1</v>
      </c>
      <c r="E896" s="26" t="inlineStr">
        <is>
          <t>측정</t>
        </is>
      </c>
      <c r="F896" s="26" t="inlineStr">
        <is>
          <t>동</t>
        </is>
      </c>
      <c r="G896" s="31" t="n">
        <v>5</v>
      </c>
      <c r="H896" s="30" t="n"/>
      <c r="I896" s="43" t="n"/>
      <c r="J896" s="41" t="n"/>
      <c r="K896" s="41" t="n"/>
      <c r="L896" s="41" t="n"/>
      <c r="M896" s="31">
        <f>IF(COUNT(J896:L896)=0,"",MEDIAN(J896:L896))</f>
        <v/>
      </c>
      <c r="N896" s="26">
        <f>IF(COUNTIFS($C:$C,$C896,$D:$D,$D896,$E:$E,"P0(전)",$M:$M,"&gt;0")&lt;&gt;1,"P0(전) 유효 1개 아님",IF(COUNTIFS($C:$C,$C896,$D:$D,$D896,$E:$E,"P0(후)",$M:$M,"&gt;0")&lt;&gt;1,"P0(후) 유효 1개 아님",IF(NOT(AND(ISNUMBER(O896),ISNUMBER(Q896),ISNUMBER(I896))),"시각 결측",IF(Q896&lt;=O896,"P0 시각 역전",IF(OR(I896&lt;O896,I896&gt;Q896),"측정시각 구간 밖","OK")))))</f>
        <v/>
      </c>
      <c r="O896" s="48">
        <f>IF(COUNTIFS($C:$C,$C896,$D:$D,$D896,$E:$E,"P0(전)",$M:$M,"&gt;0")&lt;&gt;1,"",SUMIFS($I:$I,$C:$C,$C896,$D:$D,$D896,$E:$E,"P0(전)"))</f>
        <v/>
      </c>
      <c r="P896" s="31">
        <f>IF(COUNTIFS($C:$C,$C896,$D:$D,$D896,$E:$E,"P0(전)",$M:$M,"&gt;0")&lt;&gt;1,"",SUMIFS($M:$M,$C:$C,$C896,$D:$D,$D896,$E:$E,"P0(전)"))</f>
        <v/>
      </c>
      <c r="Q896" s="48">
        <f>IF(COUNTIFS($C:$C,$C896,$D:$D,$D896,$E:$E,"P0(후)",$M:$M,"&gt;0")&lt;&gt;1,"",SUMIFS($I:$I,$C:$C,$C896,$D:$D,$D896,$E:$E,"P0(후)"))</f>
        <v/>
      </c>
      <c r="R896" s="31">
        <f>IF(COUNTIFS($C:$C,$C896,$D:$D,$D896,$E:$E,"P0(후)",$M:$M,"&gt;0")&lt;&gt;1,"",SUMIFS($M:$M,$C:$C,$C896,$D:$D,$D896,$E:$E,"P0(후)"))</f>
        <v/>
      </c>
      <c r="S896" s="31">
        <f>IF(N896&lt;&gt;"OK","",P896+(R896-P896)*(I896-O896)/(Q896-O896))</f>
        <v/>
      </c>
      <c r="T896" s="31">
        <f>IF(OR(N896&lt;&gt;"OK",NOT(ISNUMBER(M896))),"",M896-S896)</f>
        <v/>
      </c>
      <c r="U896" s="49">
        <f>IF(OR(NOT(ISNUMBER(T896)),IF(ISNUMBER(H896),H896,G896)=0),"",T896/IF(ISNUMBER(H896),H896,G896))</f>
        <v/>
      </c>
      <c r="V896" s="49">
        <f>IF(ISNUMBER(U896),ABS(U896),"")</f>
        <v/>
      </c>
      <c r="W896" s="49">
        <f>IF(OR($E895&lt;&gt;"측정",$C895&lt;&gt;$C896,$D895&lt;&gt;$D896,NOT(ISNUMBER(M896)),NOT(ISNUMBER(M895)),(IF(ISNUMBER(H896),H896,G896)-IF(ISNUMBER(H895),H895,G895))=0),"",(M896-M895)/(IF(ISNUMBER(H896),H896,G896)-IF(ISNUMBER(H895),H895,G895)))</f>
        <v/>
      </c>
      <c r="X896" s="31">
        <f>IF(NOT(AND(ISNUMBER(O896),ISNUMBER(Q896))),"",(Q896-O896)*1440)</f>
        <v/>
      </c>
      <c r="Y896" s="29" t="n"/>
      <c r="Z896" s="29" t="n"/>
      <c r="AA896" s="29" t="n"/>
      <c r="AB896" s="32" t="n"/>
      <c r="AC896" s="32" t="n"/>
    </row>
    <row r="897">
      <c r="A897" s="26" t="inlineStr">
        <is>
          <t>S18</t>
        </is>
      </c>
      <c r="B897" s="26" t="inlineStr">
        <is>
          <t>통영 신규점</t>
        </is>
      </c>
      <c r="C897" s="26" t="inlineStr">
        <is>
          <t>S18-H동</t>
        </is>
      </c>
      <c r="D897" s="47" t="n">
        <v>1</v>
      </c>
      <c r="E897" s="26" t="inlineStr">
        <is>
          <t>측정</t>
        </is>
      </c>
      <c r="F897" s="26" t="inlineStr">
        <is>
          <t>동</t>
        </is>
      </c>
      <c r="G897" s="31" t="n">
        <v>6</v>
      </c>
      <c r="H897" s="30" t="n"/>
      <c r="I897" s="43" t="n"/>
      <c r="J897" s="41" t="n"/>
      <c r="K897" s="41" t="n"/>
      <c r="L897" s="41" t="n"/>
      <c r="M897" s="31">
        <f>IF(COUNT(J897:L897)=0,"",MEDIAN(J897:L897))</f>
        <v/>
      </c>
      <c r="N897" s="26">
        <f>IF(COUNTIFS($C:$C,$C897,$D:$D,$D897,$E:$E,"P0(전)",$M:$M,"&gt;0")&lt;&gt;1,"P0(전) 유효 1개 아님",IF(COUNTIFS($C:$C,$C897,$D:$D,$D897,$E:$E,"P0(후)",$M:$M,"&gt;0")&lt;&gt;1,"P0(후) 유효 1개 아님",IF(NOT(AND(ISNUMBER(O897),ISNUMBER(Q897),ISNUMBER(I897))),"시각 결측",IF(Q897&lt;=O897,"P0 시각 역전",IF(OR(I897&lt;O897,I897&gt;Q897),"측정시각 구간 밖","OK")))))</f>
        <v/>
      </c>
      <c r="O897" s="48">
        <f>IF(COUNTIFS($C:$C,$C897,$D:$D,$D897,$E:$E,"P0(전)",$M:$M,"&gt;0")&lt;&gt;1,"",SUMIFS($I:$I,$C:$C,$C897,$D:$D,$D897,$E:$E,"P0(전)"))</f>
        <v/>
      </c>
      <c r="P897" s="31">
        <f>IF(COUNTIFS($C:$C,$C897,$D:$D,$D897,$E:$E,"P0(전)",$M:$M,"&gt;0")&lt;&gt;1,"",SUMIFS($M:$M,$C:$C,$C897,$D:$D,$D897,$E:$E,"P0(전)"))</f>
        <v/>
      </c>
      <c r="Q897" s="48">
        <f>IF(COUNTIFS($C:$C,$C897,$D:$D,$D897,$E:$E,"P0(후)",$M:$M,"&gt;0")&lt;&gt;1,"",SUMIFS($I:$I,$C:$C,$C897,$D:$D,$D897,$E:$E,"P0(후)"))</f>
        <v/>
      </c>
      <c r="R897" s="31">
        <f>IF(COUNTIFS($C:$C,$C897,$D:$D,$D897,$E:$E,"P0(후)",$M:$M,"&gt;0")&lt;&gt;1,"",SUMIFS($M:$M,$C:$C,$C897,$D:$D,$D897,$E:$E,"P0(후)"))</f>
        <v/>
      </c>
      <c r="S897" s="31">
        <f>IF(N897&lt;&gt;"OK","",P897+(R897-P897)*(I897-O897)/(Q897-O897))</f>
        <v/>
      </c>
      <c r="T897" s="31">
        <f>IF(OR(N897&lt;&gt;"OK",NOT(ISNUMBER(M897))),"",M897-S897)</f>
        <v/>
      </c>
      <c r="U897" s="49">
        <f>IF(OR(NOT(ISNUMBER(T897)),IF(ISNUMBER(H897),H897,G897)=0),"",T897/IF(ISNUMBER(H897),H897,G897))</f>
        <v/>
      </c>
      <c r="V897" s="49">
        <f>IF(ISNUMBER(U897),ABS(U897),"")</f>
        <v/>
      </c>
      <c r="W897" s="49">
        <f>IF(OR($E896&lt;&gt;"측정",$C896&lt;&gt;$C897,$D896&lt;&gt;$D897,NOT(ISNUMBER(M897)),NOT(ISNUMBER(M896)),(IF(ISNUMBER(H897),H897,G897)-IF(ISNUMBER(H896),H896,G896))=0),"",(M897-M896)/(IF(ISNUMBER(H897),H897,G897)-IF(ISNUMBER(H896),H896,G896)))</f>
        <v/>
      </c>
      <c r="X897" s="31">
        <f>IF(NOT(AND(ISNUMBER(O897),ISNUMBER(Q897))),"",(Q897-O897)*1440)</f>
        <v/>
      </c>
      <c r="Y897" s="29" t="n"/>
      <c r="Z897" s="29" t="n"/>
      <c r="AA897" s="29" t="n"/>
      <c r="AB897" s="32" t="n"/>
      <c r="AC897" s="32" t="n"/>
    </row>
    <row r="898">
      <c r="A898" s="26" t="inlineStr">
        <is>
          <t>S18</t>
        </is>
      </c>
      <c r="B898" s="26" t="inlineStr">
        <is>
          <t>통영 신규점</t>
        </is>
      </c>
      <c r="C898" s="26" t="inlineStr">
        <is>
          <t>S18-H동</t>
        </is>
      </c>
      <c r="D898" s="47" t="n">
        <v>1</v>
      </c>
      <c r="E898" s="26" t="inlineStr">
        <is>
          <t>측정</t>
        </is>
      </c>
      <c r="F898" s="26" t="inlineStr">
        <is>
          <t>동</t>
        </is>
      </c>
      <c r="G898" s="31" t="n">
        <v>7</v>
      </c>
      <c r="H898" s="30" t="n"/>
      <c r="I898" s="43" t="n"/>
      <c r="J898" s="41" t="n"/>
      <c r="K898" s="41" t="n"/>
      <c r="L898" s="41" t="n"/>
      <c r="M898" s="31">
        <f>IF(COUNT(J898:L898)=0,"",MEDIAN(J898:L898))</f>
        <v/>
      </c>
      <c r="N898" s="26">
        <f>IF(COUNTIFS($C:$C,$C898,$D:$D,$D898,$E:$E,"P0(전)",$M:$M,"&gt;0")&lt;&gt;1,"P0(전) 유효 1개 아님",IF(COUNTIFS($C:$C,$C898,$D:$D,$D898,$E:$E,"P0(후)",$M:$M,"&gt;0")&lt;&gt;1,"P0(후) 유효 1개 아님",IF(NOT(AND(ISNUMBER(O898),ISNUMBER(Q898),ISNUMBER(I898))),"시각 결측",IF(Q898&lt;=O898,"P0 시각 역전",IF(OR(I898&lt;O898,I898&gt;Q898),"측정시각 구간 밖","OK")))))</f>
        <v/>
      </c>
      <c r="O898" s="48">
        <f>IF(COUNTIFS($C:$C,$C898,$D:$D,$D898,$E:$E,"P0(전)",$M:$M,"&gt;0")&lt;&gt;1,"",SUMIFS($I:$I,$C:$C,$C898,$D:$D,$D898,$E:$E,"P0(전)"))</f>
        <v/>
      </c>
      <c r="P898" s="31">
        <f>IF(COUNTIFS($C:$C,$C898,$D:$D,$D898,$E:$E,"P0(전)",$M:$M,"&gt;0")&lt;&gt;1,"",SUMIFS($M:$M,$C:$C,$C898,$D:$D,$D898,$E:$E,"P0(전)"))</f>
        <v/>
      </c>
      <c r="Q898" s="48">
        <f>IF(COUNTIFS($C:$C,$C898,$D:$D,$D898,$E:$E,"P0(후)",$M:$M,"&gt;0")&lt;&gt;1,"",SUMIFS($I:$I,$C:$C,$C898,$D:$D,$D898,$E:$E,"P0(후)"))</f>
        <v/>
      </c>
      <c r="R898" s="31">
        <f>IF(COUNTIFS($C:$C,$C898,$D:$D,$D898,$E:$E,"P0(후)",$M:$M,"&gt;0")&lt;&gt;1,"",SUMIFS($M:$M,$C:$C,$C898,$D:$D,$D898,$E:$E,"P0(후)"))</f>
        <v/>
      </c>
      <c r="S898" s="31">
        <f>IF(N898&lt;&gt;"OK","",P898+(R898-P898)*(I898-O898)/(Q898-O898))</f>
        <v/>
      </c>
      <c r="T898" s="31">
        <f>IF(OR(N898&lt;&gt;"OK",NOT(ISNUMBER(M898))),"",M898-S898)</f>
        <v/>
      </c>
      <c r="U898" s="49">
        <f>IF(OR(NOT(ISNUMBER(T898)),IF(ISNUMBER(H898),H898,G898)=0),"",T898/IF(ISNUMBER(H898),H898,G898))</f>
        <v/>
      </c>
      <c r="V898" s="49">
        <f>IF(ISNUMBER(U898),ABS(U898),"")</f>
        <v/>
      </c>
      <c r="W898" s="49">
        <f>IF(OR($E897&lt;&gt;"측정",$C897&lt;&gt;$C898,$D897&lt;&gt;$D898,NOT(ISNUMBER(M898)),NOT(ISNUMBER(M897)),(IF(ISNUMBER(H898),H898,G898)-IF(ISNUMBER(H897),H897,G897))=0),"",(M898-M897)/(IF(ISNUMBER(H898),H898,G898)-IF(ISNUMBER(H897),H897,G897)))</f>
        <v/>
      </c>
      <c r="X898" s="31">
        <f>IF(NOT(AND(ISNUMBER(O898),ISNUMBER(Q898))),"",(Q898-O898)*1440)</f>
        <v/>
      </c>
      <c r="Y898" s="29" t="n"/>
      <c r="Z898" s="29" t="n"/>
      <c r="AA898" s="29" t="n"/>
      <c r="AB898" s="32" t="n"/>
      <c r="AC898" s="32" t="n"/>
    </row>
    <row r="899">
      <c r="A899" s="26" t="inlineStr">
        <is>
          <t>S18</t>
        </is>
      </c>
      <c r="B899" s="26" t="inlineStr">
        <is>
          <t>통영 신규점</t>
        </is>
      </c>
      <c r="C899" s="26" t="inlineStr">
        <is>
          <t>S18-H동</t>
        </is>
      </c>
      <c r="D899" s="47" t="n">
        <v>1</v>
      </c>
      <c r="E899" s="26" t="inlineStr">
        <is>
          <t>측정</t>
        </is>
      </c>
      <c r="F899" s="26" t="inlineStr">
        <is>
          <t>동</t>
        </is>
      </c>
      <c r="G899" s="31" t="n">
        <v>8</v>
      </c>
      <c r="H899" s="30" t="n"/>
      <c r="I899" s="43" t="n"/>
      <c r="J899" s="41" t="n"/>
      <c r="K899" s="41" t="n"/>
      <c r="L899" s="41" t="n"/>
      <c r="M899" s="31">
        <f>IF(COUNT(J899:L899)=0,"",MEDIAN(J899:L899))</f>
        <v/>
      </c>
      <c r="N899" s="26">
        <f>IF(COUNTIFS($C:$C,$C899,$D:$D,$D899,$E:$E,"P0(전)",$M:$M,"&gt;0")&lt;&gt;1,"P0(전) 유효 1개 아님",IF(COUNTIFS($C:$C,$C899,$D:$D,$D899,$E:$E,"P0(후)",$M:$M,"&gt;0")&lt;&gt;1,"P0(후) 유효 1개 아님",IF(NOT(AND(ISNUMBER(O899),ISNUMBER(Q899),ISNUMBER(I899))),"시각 결측",IF(Q899&lt;=O899,"P0 시각 역전",IF(OR(I899&lt;O899,I899&gt;Q899),"측정시각 구간 밖","OK")))))</f>
        <v/>
      </c>
      <c r="O899" s="48">
        <f>IF(COUNTIFS($C:$C,$C899,$D:$D,$D899,$E:$E,"P0(전)",$M:$M,"&gt;0")&lt;&gt;1,"",SUMIFS($I:$I,$C:$C,$C899,$D:$D,$D899,$E:$E,"P0(전)"))</f>
        <v/>
      </c>
      <c r="P899" s="31">
        <f>IF(COUNTIFS($C:$C,$C899,$D:$D,$D899,$E:$E,"P0(전)",$M:$M,"&gt;0")&lt;&gt;1,"",SUMIFS($M:$M,$C:$C,$C899,$D:$D,$D899,$E:$E,"P0(전)"))</f>
        <v/>
      </c>
      <c r="Q899" s="48">
        <f>IF(COUNTIFS($C:$C,$C899,$D:$D,$D899,$E:$E,"P0(후)",$M:$M,"&gt;0")&lt;&gt;1,"",SUMIFS($I:$I,$C:$C,$C899,$D:$D,$D899,$E:$E,"P0(후)"))</f>
        <v/>
      </c>
      <c r="R899" s="31">
        <f>IF(COUNTIFS($C:$C,$C899,$D:$D,$D899,$E:$E,"P0(후)",$M:$M,"&gt;0")&lt;&gt;1,"",SUMIFS($M:$M,$C:$C,$C899,$D:$D,$D899,$E:$E,"P0(후)"))</f>
        <v/>
      </c>
      <c r="S899" s="31">
        <f>IF(N899&lt;&gt;"OK","",P899+(R899-P899)*(I899-O899)/(Q899-O899))</f>
        <v/>
      </c>
      <c r="T899" s="31">
        <f>IF(OR(N899&lt;&gt;"OK",NOT(ISNUMBER(M899))),"",M899-S899)</f>
        <v/>
      </c>
      <c r="U899" s="49">
        <f>IF(OR(NOT(ISNUMBER(T899)),IF(ISNUMBER(H899),H899,G899)=0),"",T899/IF(ISNUMBER(H899),H899,G899))</f>
        <v/>
      </c>
      <c r="V899" s="49">
        <f>IF(ISNUMBER(U899),ABS(U899),"")</f>
        <v/>
      </c>
      <c r="W899" s="49">
        <f>IF(OR($E898&lt;&gt;"측정",$C898&lt;&gt;$C899,$D898&lt;&gt;$D899,NOT(ISNUMBER(M899)),NOT(ISNUMBER(M898)),(IF(ISNUMBER(H899),H899,G899)-IF(ISNUMBER(H898),H898,G898))=0),"",(M899-M898)/(IF(ISNUMBER(H899),H899,G899)-IF(ISNUMBER(H898),H898,G898)))</f>
        <v/>
      </c>
      <c r="X899" s="31">
        <f>IF(NOT(AND(ISNUMBER(O899),ISNUMBER(Q899))),"",(Q899-O899)*1440)</f>
        <v/>
      </c>
      <c r="Y899" s="29" t="n"/>
      <c r="Z899" s="29" t="n"/>
      <c r="AA899" s="29" t="n"/>
      <c r="AB899" s="32" t="n"/>
      <c r="AC899" s="32" t="n"/>
    </row>
    <row r="900">
      <c r="A900" s="26" t="inlineStr">
        <is>
          <t>S18</t>
        </is>
      </c>
      <c r="B900" s="26" t="inlineStr">
        <is>
          <t>통영 신규점</t>
        </is>
      </c>
      <c r="C900" s="26" t="inlineStr">
        <is>
          <t>S18-H동</t>
        </is>
      </c>
      <c r="D900" s="47" t="n">
        <v>1</v>
      </c>
      <c r="E900" s="26" t="inlineStr">
        <is>
          <t>측정</t>
        </is>
      </c>
      <c r="F900" s="26" t="inlineStr">
        <is>
          <t>동</t>
        </is>
      </c>
      <c r="G900" s="31" t="n">
        <v>9</v>
      </c>
      <c r="H900" s="30" t="n"/>
      <c r="I900" s="43" t="n"/>
      <c r="J900" s="41" t="n"/>
      <c r="K900" s="41" t="n"/>
      <c r="L900" s="41" t="n"/>
      <c r="M900" s="31">
        <f>IF(COUNT(J900:L900)=0,"",MEDIAN(J900:L900))</f>
        <v/>
      </c>
      <c r="N900" s="26">
        <f>IF(COUNTIFS($C:$C,$C900,$D:$D,$D900,$E:$E,"P0(전)",$M:$M,"&gt;0")&lt;&gt;1,"P0(전) 유효 1개 아님",IF(COUNTIFS($C:$C,$C900,$D:$D,$D900,$E:$E,"P0(후)",$M:$M,"&gt;0")&lt;&gt;1,"P0(후) 유효 1개 아님",IF(NOT(AND(ISNUMBER(O900),ISNUMBER(Q900),ISNUMBER(I900))),"시각 결측",IF(Q900&lt;=O900,"P0 시각 역전",IF(OR(I900&lt;O900,I900&gt;Q900),"측정시각 구간 밖","OK")))))</f>
        <v/>
      </c>
      <c r="O900" s="48">
        <f>IF(COUNTIFS($C:$C,$C900,$D:$D,$D900,$E:$E,"P0(전)",$M:$M,"&gt;0")&lt;&gt;1,"",SUMIFS($I:$I,$C:$C,$C900,$D:$D,$D900,$E:$E,"P0(전)"))</f>
        <v/>
      </c>
      <c r="P900" s="31">
        <f>IF(COUNTIFS($C:$C,$C900,$D:$D,$D900,$E:$E,"P0(전)",$M:$M,"&gt;0")&lt;&gt;1,"",SUMIFS($M:$M,$C:$C,$C900,$D:$D,$D900,$E:$E,"P0(전)"))</f>
        <v/>
      </c>
      <c r="Q900" s="48">
        <f>IF(COUNTIFS($C:$C,$C900,$D:$D,$D900,$E:$E,"P0(후)",$M:$M,"&gt;0")&lt;&gt;1,"",SUMIFS($I:$I,$C:$C,$C900,$D:$D,$D900,$E:$E,"P0(후)"))</f>
        <v/>
      </c>
      <c r="R900" s="31">
        <f>IF(COUNTIFS($C:$C,$C900,$D:$D,$D900,$E:$E,"P0(후)",$M:$M,"&gt;0")&lt;&gt;1,"",SUMIFS($M:$M,$C:$C,$C900,$D:$D,$D900,$E:$E,"P0(후)"))</f>
        <v/>
      </c>
      <c r="S900" s="31">
        <f>IF(N900&lt;&gt;"OK","",P900+(R900-P900)*(I900-O900)/(Q900-O900))</f>
        <v/>
      </c>
      <c r="T900" s="31">
        <f>IF(OR(N900&lt;&gt;"OK",NOT(ISNUMBER(M900))),"",M900-S900)</f>
        <v/>
      </c>
      <c r="U900" s="49">
        <f>IF(OR(NOT(ISNUMBER(T900)),IF(ISNUMBER(H900),H900,G900)=0),"",T900/IF(ISNUMBER(H900),H900,G900))</f>
        <v/>
      </c>
      <c r="V900" s="49">
        <f>IF(ISNUMBER(U900),ABS(U900),"")</f>
        <v/>
      </c>
      <c r="W900" s="49">
        <f>IF(OR($E899&lt;&gt;"측정",$C899&lt;&gt;$C900,$D899&lt;&gt;$D900,NOT(ISNUMBER(M900)),NOT(ISNUMBER(M899)),(IF(ISNUMBER(H900),H900,G900)-IF(ISNUMBER(H899),H899,G899))=0),"",(M900-M899)/(IF(ISNUMBER(H900),H900,G900)-IF(ISNUMBER(H899),H899,G899)))</f>
        <v/>
      </c>
      <c r="X900" s="31">
        <f>IF(NOT(AND(ISNUMBER(O900),ISNUMBER(Q900))),"",(Q900-O900)*1440)</f>
        <v/>
      </c>
      <c r="Y900" s="29" t="n"/>
      <c r="Z900" s="29" t="n"/>
      <c r="AA900" s="29" t="n"/>
      <c r="AB900" s="32" t="n"/>
      <c r="AC900" s="32" t="n"/>
    </row>
    <row r="901">
      <c r="A901" s="26" t="inlineStr">
        <is>
          <t>S18</t>
        </is>
      </c>
      <c r="B901" s="26" t="inlineStr">
        <is>
          <t>통영 신규점</t>
        </is>
      </c>
      <c r="C901" s="26" t="inlineStr">
        <is>
          <t>S18-H동</t>
        </is>
      </c>
      <c r="D901" s="47" t="n">
        <v>1</v>
      </c>
      <c r="E901" s="26" t="inlineStr">
        <is>
          <t>측정</t>
        </is>
      </c>
      <c r="F901" s="26" t="inlineStr">
        <is>
          <t>동</t>
        </is>
      </c>
      <c r="G901" s="31" t="n">
        <v>10</v>
      </c>
      <c r="H901" s="30" t="n"/>
      <c r="I901" s="43" t="n"/>
      <c r="J901" s="41" t="n"/>
      <c r="K901" s="41" t="n"/>
      <c r="L901" s="41" t="n"/>
      <c r="M901" s="31">
        <f>IF(COUNT(J901:L901)=0,"",MEDIAN(J901:L901))</f>
        <v/>
      </c>
      <c r="N901" s="26">
        <f>IF(COUNTIFS($C:$C,$C901,$D:$D,$D901,$E:$E,"P0(전)",$M:$M,"&gt;0")&lt;&gt;1,"P0(전) 유효 1개 아님",IF(COUNTIFS($C:$C,$C901,$D:$D,$D901,$E:$E,"P0(후)",$M:$M,"&gt;0")&lt;&gt;1,"P0(후) 유효 1개 아님",IF(NOT(AND(ISNUMBER(O901),ISNUMBER(Q901),ISNUMBER(I901))),"시각 결측",IF(Q901&lt;=O901,"P0 시각 역전",IF(OR(I901&lt;O901,I901&gt;Q901),"측정시각 구간 밖","OK")))))</f>
        <v/>
      </c>
      <c r="O901" s="48">
        <f>IF(COUNTIFS($C:$C,$C901,$D:$D,$D901,$E:$E,"P0(전)",$M:$M,"&gt;0")&lt;&gt;1,"",SUMIFS($I:$I,$C:$C,$C901,$D:$D,$D901,$E:$E,"P0(전)"))</f>
        <v/>
      </c>
      <c r="P901" s="31">
        <f>IF(COUNTIFS($C:$C,$C901,$D:$D,$D901,$E:$E,"P0(전)",$M:$M,"&gt;0")&lt;&gt;1,"",SUMIFS($M:$M,$C:$C,$C901,$D:$D,$D901,$E:$E,"P0(전)"))</f>
        <v/>
      </c>
      <c r="Q901" s="48">
        <f>IF(COUNTIFS($C:$C,$C901,$D:$D,$D901,$E:$E,"P0(후)",$M:$M,"&gt;0")&lt;&gt;1,"",SUMIFS($I:$I,$C:$C,$C901,$D:$D,$D901,$E:$E,"P0(후)"))</f>
        <v/>
      </c>
      <c r="R901" s="31">
        <f>IF(COUNTIFS($C:$C,$C901,$D:$D,$D901,$E:$E,"P0(후)",$M:$M,"&gt;0")&lt;&gt;1,"",SUMIFS($M:$M,$C:$C,$C901,$D:$D,$D901,$E:$E,"P0(후)"))</f>
        <v/>
      </c>
      <c r="S901" s="31">
        <f>IF(N901&lt;&gt;"OK","",P901+(R901-P901)*(I901-O901)/(Q901-O901))</f>
        <v/>
      </c>
      <c r="T901" s="31">
        <f>IF(OR(N901&lt;&gt;"OK",NOT(ISNUMBER(M901))),"",M901-S901)</f>
        <v/>
      </c>
      <c r="U901" s="49">
        <f>IF(OR(NOT(ISNUMBER(T901)),IF(ISNUMBER(H901),H901,G901)=0),"",T901/IF(ISNUMBER(H901),H901,G901))</f>
        <v/>
      </c>
      <c r="V901" s="49">
        <f>IF(ISNUMBER(U901),ABS(U901),"")</f>
        <v/>
      </c>
      <c r="W901" s="49">
        <f>IF(OR($E900&lt;&gt;"측정",$C900&lt;&gt;$C901,$D900&lt;&gt;$D901,NOT(ISNUMBER(M901)),NOT(ISNUMBER(M900)),(IF(ISNUMBER(H901),H901,G901)-IF(ISNUMBER(H900),H900,G900))=0),"",(M901-M900)/(IF(ISNUMBER(H901),H901,G901)-IF(ISNUMBER(H900),H900,G900)))</f>
        <v/>
      </c>
      <c r="X901" s="31">
        <f>IF(NOT(AND(ISNUMBER(O901),ISNUMBER(Q901))),"",(Q901-O901)*1440)</f>
        <v/>
      </c>
      <c r="Y901" s="29" t="n"/>
      <c r="Z901" s="29" t="n"/>
      <c r="AA901" s="29" t="n"/>
      <c r="AB901" s="32" t="n"/>
      <c r="AC901" s="32" t="n"/>
    </row>
    <row r="902">
      <c r="A902" s="44" t="inlineStr">
        <is>
          <t>S18</t>
        </is>
      </c>
      <c r="B902" s="44" t="inlineStr">
        <is>
          <t>통영 신규점</t>
        </is>
      </c>
      <c r="C902" s="44" t="inlineStr">
        <is>
          <t>S18-H동</t>
        </is>
      </c>
      <c r="D902" s="45" t="n">
        <v>1</v>
      </c>
      <c r="E902" s="44" t="inlineStr">
        <is>
          <t>P0(후)</t>
        </is>
      </c>
      <c r="F902" s="44" t="inlineStr">
        <is>
          <t>동</t>
        </is>
      </c>
      <c r="G902" s="46" t="n"/>
      <c r="H902" s="30" t="n"/>
      <c r="I902" s="43" t="n"/>
      <c r="J902" s="41" t="n"/>
      <c r="K902" s="41" t="n"/>
      <c r="L902" s="41" t="n"/>
      <c r="M902" s="31">
        <f>IF(COUNT(J902:L902)=0,"",MEDIAN(J902:L902))</f>
        <v/>
      </c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38" t="n"/>
      <c r="Y902" s="29" t="n"/>
      <c r="Z902" s="29" t="n"/>
      <c r="AA902" s="29" t="n"/>
      <c r="AB902" s="32" t="n"/>
      <c r="AC902" s="32" t="n"/>
    </row>
    <row r="903">
      <c r="A903" s="44" t="inlineStr">
        <is>
          <t>S18</t>
        </is>
      </c>
      <c r="B903" s="44" t="inlineStr">
        <is>
          <t>통영 신규점</t>
        </is>
      </c>
      <c r="C903" s="44" t="inlineStr">
        <is>
          <t>S18-H서</t>
        </is>
      </c>
      <c r="D903" s="45" t="n">
        <v>1</v>
      </c>
      <c r="E903" s="44" t="inlineStr">
        <is>
          <t>P0(전)</t>
        </is>
      </c>
      <c r="F903" s="44" t="inlineStr">
        <is>
          <t>서</t>
        </is>
      </c>
      <c r="G903" s="46" t="n"/>
      <c r="H903" s="30" t="n"/>
      <c r="I903" s="43" t="n"/>
      <c r="J903" s="41" t="n"/>
      <c r="K903" s="41" t="n"/>
      <c r="L903" s="41" t="n"/>
      <c r="M903" s="31">
        <f>IF(COUNT(J903:L903)=0,"",MEDIAN(J903:L903))</f>
        <v/>
      </c>
      <c r="N903" s="38" t="n"/>
      <c r="O903" s="38" t="n"/>
      <c r="P903" s="38" t="n"/>
      <c r="Q903" s="38" t="n"/>
      <c r="R903" s="38" t="n"/>
      <c r="S903" s="38" t="n"/>
      <c r="T903" s="38" t="n"/>
      <c r="U903" s="38" t="n"/>
      <c r="V903" s="38" t="n"/>
      <c r="W903" s="38" t="n"/>
      <c r="X903" s="38" t="n"/>
      <c r="Y903" s="29" t="n"/>
      <c r="Z903" s="29" t="n"/>
      <c r="AA903" s="29" t="n"/>
      <c r="AB903" s="32" t="n"/>
      <c r="AC903" s="32" t="n"/>
    </row>
    <row r="904">
      <c r="A904" s="26" t="inlineStr">
        <is>
          <t>S18</t>
        </is>
      </c>
      <c r="B904" s="26" t="inlineStr">
        <is>
          <t>통영 신규점</t>
        </is>
      </c>
      <c r="C904" s="26" t="inlineStr">
        <is>
          <t>S18-H서</t>
        </is>
      </c>
      <c r="D904" s="47" t="n">
        <v>1</v>
      </c>
      <c r="E904" s="26" t="inlineStr">
        <is>
          <t>측정</t>
        </is>
      </c>
      <c r="F904" s="26" t="inlineStr">
        <is>
          <t>서</t>
        </is>
      </c>
      <c r="G904" s="31" t="n">
        <v>0.5</v>
      </c>
      <c r="H904" s="30" t="n"/>
      <c r="I904" s="43" t="n"/>
      <c r="J904" s="41" t="n"/>
      <c r="K904" s="41" t="n"/>
      <c r="L904" s="41" t="n"/>
      <c r="M904" s="31">
        <f>IF(COUNT(J904:L904)=0,"",MEDIAN(J904:L904))</f>
        <v/>
      </c>
      <c r="N904" s="26">
        <f>IF(COUNTIFS($C:$C,$C904,$D:$D,$D904,$E:$E,"P0(전)",$M:$M,"&gt;0")&lt;&gt;1,"P0(전) 유효 1개 아님",IF(COUNTIFS($C:$C,$C904,$D:$D,$D904,$E:$E,"P0(후)",$M:$M,"&gt;0")&lt;&gt;1,"P0(후) 유효 1개 아님",IF(NOT(AND(ISNUMBER(O904),ISNUMBER(Q904),ISNUMBER(I904))),"시각 결측",IF(Q904&lt;=O904,"P0 시각 역전",IF(OR(I904&lt;O904,I904&gt;Q904),"측정시각 구간 밖","OK")))))</f>
        <v/>
      </c>
      <c r="O904" s="48">
        <f>IF(COUNTIFS($C:$C,$C904,$D:$D,$D904,$E:$E,"P0(전)",$M:$M,"&gt;0")&lt;&gt;1,"",SUMIFS($I:$I,$C:$C,$C904,$D:$D,$D904,$E:$E,"P0(전)"))</f>
        <v/>
      </c>
      <c r="P904" s="31">
        <f>IF(COUNTIFS($C:$C,$C904,$D:$D,$D904,$E:$E,"P0(전)",$M:$M,"&gt;0")&lt;&gt;1,"",SUMIFS($M:$M,$C:$C,$C904,$D:$D,$D904,$E:$E,"P0(전)"))</f>
        <v/>
      </c>
      <c r="Q904" s="48">
        <f>IF(COUNTIFS($C:$C,$C904,$D:$D,$D904,$E:$E,"P0(후)",$M:$M,"&gt;0")&lt;&gt;1,"",SUMIFS($I:$I,$C:$C,$C904,$D:$D,$D904,$E:$E,"P0(후)"))</f>
        <v/>
      </c>
      <c r="R904" s="31">
        <f>IF(COUNTIFS($C:$C,$C904,$D:$D,$D904,$E:$E,"P0(후)",$M:$M,"&gt;0")&lt;&gt;1,"",SUMIFS($M:$M,$C:$C,$C904,$D:$D,$D904,$E:$E,"P0(후)"))</f>
        <v/>
      </c>
      <c r="S904" s="31">
        <f>IF(N904&lt;&gt;"OK","",P904+(R904-P904)*(I904-O904)/(Q904-O904))</f>
        <v/>
      </c>
      <c r="T904" s="31">
        <f>IF(OR(N904&lt;&gt;"OK",NOT(ISNUMBER(M904))),"",M904-S904)</f>
        <v/>
      </c>
      <c r="U904" s="49">
        <f>IF(OR(NOT(ISNUMBER(T904)),IF(ISNUMBER(H904),H904,G904)=0),"",T904/IF(ISNUMBER(H904),H904,G904))</f>
        <v/>
      </c>
      <c r="V904" s="49">
        <f>IF(ISNUMBER(U904),ABS(U904),"")</f>
        <v/>
      </c>
      <c r="W904" s="49">
        <f>IF(OR($E903&lt;&gt;"측정",$C903&lt;&gt;$C904,$D903&lt;&gt;$D904,NOT(ISNUMBER(M904)),NOT(ISNUMBER(M903)),(IF(ISNUMBER(H904),H904,G904)-IF(ISNUMBER(H903),H903,G903))=0),"",(M904-M903)/(IF(ISNUMBER(H904),H904,G904)-IF(ISNUMBER(H903),H903,G903)))</f>
        <v/>
      </c>
      <c r="X904" s="31">
        <f>IF(NOT(AND(ISNUMBER(O904),ISNUMBER(Q904))),"",(Q904-O904)*1440)</f>
        <v/>
      </c>
      <c r="Y904" s="29" t="n"/>
      <c r="Z904" s="29" t="n"/>
      <c r="AA904" s="29" t="n"/>
      <c r="AB904" s="32" t="n"/>
      <c r="AC904" s="32" t="n"/>
    </row>
    <row r="905">
      <c r="A905" s="26" t="inlineStr">
        <is>
          <t>S18</t>
        </is>
      </c>
      <c r="B905" s="26" t="inlineStr">
        <is>
          <t>통영 신규점</t>
        </is>
      </c>
      <c r="C905" s="26" t="inlineStr">
        <is>
          <t>S18-H서</t>
        </is>
      </c>
      <c r="D905" s="47" t="n">
        <v>1</v>
      </c>
      <c r="E905" s="26" t="inlineStr">
        <is>
          <t>측정</t>
        </is>
      </c>
      <c r="F905" s="26" t="inlineStr">
        <is>
          <t>서</t>
        </is>
      </c>
      <c r="G905" s="31" t="n">
        <v>1</v>
      </c>
      <c r="H905" s="30" t="n"/>
      <c r="I905" s="43" t="n"/>
      <c r="J905" s="41" t="n"/>
      <c r="K905" s="41" t="n"/>
      <c r="L905" s="41" t="n"/>
      <c r="M905" s="31">
        <f>IF(COUNT(J905:L905)=0,"",MEDIAN(J905:L905))</f>
        <v/>
      </c>
      <c r="N905" s="26">
        <f>IF(COUNTIFS($C:$C,$C905,$D:$D,$D905,$E:$E,"P0(전)",$M:$M,"&gt;0")&lt;&gt;1,"P0(전) 유효 1개 아님",IF(COUNTIFS($C:$C,$C905,$D:$D,$D905,$E:$E,"P0(후)",$M:$M,"&gt;0")&lt;&gt;1,"P0(후) 유효 1개 아님",IF(NOT(AND(ISNUMBER(O905),ISNUMBER(Q905),ISNUMBER(I905))),"시각 결측",IF(Q905&lt;=O905,"P0 시각 역전",IF(OR(I905&lt;O905,I905&gt;Q905),"측정시각 구간 밖","OK")))))</f>
        <v/>
      </c>
      <c r="O905" s="48">
        <f>IF(COUNTIFS($C:$C,$C905,$D:$D,$D905,$E:$E,"P0(전)",$M:$M,"&gt;0")&lt;&gt;1,"",SUMIFS($I:$I,$C:$C,$C905,$D:$D,$D905,$E:$E,"P0(전)"))</f>
        <v/>
      </c>
      <c r="P905" s="31">
        <f>IF(COUNTIFS($C:$C,$C905,$D:$D,$D905,$E:$E,"P0(전)",$M:$M,"&gt;0")&lt;&gt;1,"",SUMIFS($M:$M,$C:$C,$C905,$D:$D,$D905,$E:$E,"P0(전)"))</f>
        <v/>
      </c>
      <c r="Q905" s="48">
        <f>IF(COUNTIFS($C:$C,$C905,$D:$D,$D905,$E:$E,"P0(후)",$M:$M,"&gt;0")&lt;&gt;1,"",SUMIFS($I:$I,$C:$C,$C905,$D:$D,$D905,$E:$E,"P0(후)"))</f>
        <v/>
      </c>
      <c r="R905" s="31">
        <f>IF(COUNTIFS($C:$C,$C905,$D:$D,$D905,$E:$E,"P0(후)",$M:$M,"&gt;0")&lt;&gt;1,"",SUMIFS($M:$M,$C:$C,$C905,$D:$D,$D905,$E:$E,"P0(후)"))</f>
        <v/>
      </c>
      <c r="S905" s="31">
        <f>IF(N905&lt;&gt;"OK","",P905+(R905-P905)*(I905-O905)/(Q905-O905))</f>
        <v/>
      </c>
      <c r="T905" s="31">
        <f>IF(OR(N905&lt;&gt;"OK",NOT(ISNUMBER(M905))),"",M905-S905)</f>
        <v/>
      </c>
      <c r="U905" s="49">
        <f>IF(OR(NOT(ISNUMBER(T905)),IF(ISNUMBER(H905),H905,G905)=0),"",T905/IF(ISNUMBER(H905),H905,G905))</f>
        <v/>
      </c>
      <c r="V905" s="49">
        <f>IF(ISNUMBER(U905),ABS(U905),"")</f>
        <v/>
      </c>
      <c r="W905" s="49">
        <f>IF(OR($E904&lt;&gt;"측정",$C904&lt;&gt;$C905,$D904&lt;&gt;$D905,NOT(ISNUMBER(M905)),NOT(ISNUMBER(M904)),(IF(ISNUMBER(H905),H905,G905)-IF(ISNUMBER(H904),H904,G904))=0),"",(M905-M904)/(IF(ISNUMBER(H905),H905,G905)-IF(ISNUMBER(H904),H904,G904)))</f>
        <v/>
      </c>
      <c r="X905" s="31">
        <f>IF(NOT(AND(ISNUMBER(O905),ISNUMBER(Q905))),"",(Q905-O905)*1440)</f>
        <v/>
      </c>
      <c r="Y905" s="29" t="n"/>
      <c r="Z905" s="29" t="n"/>
      <c r="AA905" s="29" t="n"/>
      <c r="AB905" s="32" t="n"/>
      <c r="AC905" s="32" t="n"/>
    </row>
    <row r="906">
      <c r="A906" s="26" t="inlineStr">
        <is>
          <t>S18</t>
        </is>
      </c>
      <c r="B906" s="26" t="inlineStr">
        <is>
          <t>통영 신규점</t>
        </is>
      </c>
      <c r="C906" s="26" t="inlineStr">
        <is>
          <t>S18-H서</t>
        </is>
      </c>
      <c r="D906" s="47" t="n">
        <v>1</v>
      </c>
      <c r="E906" s="26" t="inlineStr">
        <is>
          <t>측정</t>
        </is>
      </c>
      <c r="F906" s="26" t="inlineStr">
        <is>
          <t>서</t>
        </is>
      </c>
      <c r="G906" s="31" t="n">
        <v>2</v>
      </c>
      <c r="H906" s="30" t="n"/>
      <c r="I906" s="43" t="n"/>
      <c r="J906" s="41" t="n"/>
      <c r="K906" s="41" t="n"/>
      <c r="L906" s="41" t="n"/>
      <c r="M906" s="31">
        <f>IF(COUNT(J906:L906)=0,"",MEDIAN(J906:L906))</f>
        <v/>
      </c>
      <c r="N906" s="26">
        <f>IF(COUNTIFS($C:$C,$C906,$D:$D,$D906,$E:$E,"P0(전)",$M:$M,"&gt;0")&lt;&gt;1,"P0(전) 유효 1개 아님",IF(COUNTIFS($C:$C,$C906,$D:$D,$D906,$E:$E,"P0(후)",$M:$M,"&gt;0")&lt;&gt;1,"P0(후) 유효 1개 아님",IF(NOT(AND(ISNUMBER(O906),ISNUMBER(Q906),ISNUMBER(I906))),"시각 결측",IF(Q906&lt;=O906,"P0 시각 역전",IF(OR(I906&lt;O906,I906&gt;Q906),"측정시각 구간 밖","OK")))))</f>
        <v/>
      </c>
      <c r="O906" s="48">
        <f>IF(COUNTIFS($C:$C,$C906,$D:$D,$D906,$E:$E,"P0(전)",$M:$M,"&gt;0")&lt;&gt;1,"",SUMIFS($I:$I,$C:$C,$C906,$D:$D,$D906,$E:$E,"P0(전)"))</f>
        <v/>
      </c>
      <c r="P906" s="31">
        <f>IF(COUNTIFS($C:$C,$C906,$D:$D,$D906,$E:$E,"P0(전)",$M:$M,"&gt;0")&lt;&gt;1,"",SUMIFS($M:$M,$C:$C,$C906,$D:$D,$D906,$E:$E,"P0(전)"))</f>
        <v/>
      </c>
      <c r="Q906" s="48">
        <f>IF(COUNTIFS($C:$C,$C906,$D:$D,$D906,$E:$E,"P0(후)",$M:$M,"&gt;0")&lt;&gt;1,"",SUMIFS($I:$I,$C:$C,$C906,$D:$D,$D906,$E:$E,"P0(후)"))</f>
        <v/>
      </c>
      <c r="R906" s="31">
        <f>IF(COUNTIFS($C:$C,$C906,$D:$D,$D906,$E:$E,"P0(후)",$M:$M,"&gt;0")&lt;&gt;1,"",SUMIFS($M:$M,$C:$C,$C906,$D:$D,$D906,$E:$E,"P0(후)"))</f>
        <v/>
      </c>
      <c r="S906" s="31">
        <f>IF(N906&lt;&gt;"OK","",P906+(R906-P906)*(I906-O906)/(Q906-O906))</f>
        <v/>
      </c>
      <c r="T906" s="31">
        <f>IF(OR(N906&lt;&gt;"OK",NOT(ISNUMBER(M906))),"",M906-S906)</f>
        <v/>
      </c>
      <c r="U906" s="49">
        <f>IF(OR(NOT(ISNUMBER(T906)),IF(ISNUMBER(H906),H906,G906)=0),"",T906/IF(ISNUMBER(H906),H906,G906))</f>
        <v/>
      </c>
      <c r="V906" s="49">
        <f>IF(ISNUMBER(U906),ABS(U906),"")</f>
        <v/>
      </c>
      <c r="W906" s="49">
        <f>IF(OR($E905&lt;&gt;"측정",$C905&lt;&gt;$C906,$D905&lt;&gt;$D906,NOT(ISNUMBER(M906)),NOT(ISNUMBER(M905)),(IF(ISNUMBER(H906),H906,G906)-IF(ISNUMBER(H905),H905,G905))=0),"",(M906-M905)/(IF(ISNUMBER(H906),H906,G906)-IF(ISNUMBER(H905),H905,G905)))</f>
        <v/>
      </c>
      <c r="X906" s="31">
        <f>IF(NOT(AND(ISNUMBER(O906),ISNUMBER(Q906))),"",(Q906-O906)*1440)</f>
        <v/>
      </c>
      <c r="Y906" s="29" t="n"/>
      <c r="Z906" s="29" t="n"/>
      <c r="AA906" s="29" t="n"/>
      <c r="AB906" s="32" t="n"/>
      <c r="AC906" s="32" t="n"/>
    </row>
    <row r="907">
      <c r="A907" s="26" t="inlineStr">
        <is>
          <t>S18</t>
        </is>
      </c>
      <c r="B907" s="26" t="inlineStr">
        <is>
          <t>통영 신규점</t>
        </is>
      </c>
      <c r="C907" s="26" t="inlineStr">
        <is>
          <t>S18-H서</t>
        </is>
      </c>
      <c r="D907" s="47" t="n">
        <v>1</v>
      </c>
      <c r="E907" s="26" t="inlineStr">
        <is>
          <t>측정</t>
        </is>
      </c>
      <c r="F907" s="26" t="inlineStr">
        <is>
          <t>서</t>
        </is>
      </c>
      <c r="G907" s="31" t="n">
        <v>3</v>
      </c>
      <c r="H907" s="30" t="n"/>
      <c r="I907" s="43" t="n"/>
      <c r="J907" s="41" t="n"/>
      <c r="K907" s="41" t="n"/>
      <c r="L907" s="41" t="n"/>
      <c r="M907" s="31">
        <f>IF(COUNT(J907:L907)=0,"",MEDIAN(J907:L907))</f>
        <v/>
      </c>
      <c r="N907" s="26">
        <f>IF(COUNTIFS($C:$C,$C907,$D:$D,$D907,$E:$E,"P0(전)",$M:$M,"&gt;0")&lt;&gt;1,"P0(전) 유효 1개 아님",IF(COUNTIFS($C:$C,$C907,$D:$D,$D907,$E:$E,"P0(후)",$M:$M,"&gt;0")&lt;&gt;1,"P0(후) 유효 1개 아님",IF(NOT(AND(ISNUMBER(O907),ISNUMBER(Q907),ISNUMBER(I907))),"시각 결측",IF(Q907&lt;=O907,"P0 시각 역전",IF(OR(I907&lt;O907,I907&gt;Q907),"측정시각 구간 밖","OK")))))</f>
        <v/>
      </c>
      <c r="O907" s="48">
        <f>IF(COUNTIFS($C:$C,$C907,$D:$D,$D907,$E:$E,"P0(전)",$M:$M,"&gt;0")&lt;&gt;1,"",SUMIFS($I:$I,$C:$C,$C907,$D:$D,$D907,$E:$E,"P0(전)"))</f>
        <v/>
      </c>
      <c r="P907" s="31">
        <f>IF(COUNTIFS($C:$C,$C907,$D:$D,$D907,$E:$E,"P0(전)",$M:$M,"&gt;0")&lt;&gt;1,"",SUMIFS($M:$M,$C:$C,$C907,$D:$D,$D907,$E:$E,"P0(전)"))</f>
        <v/>
      </c>
      <c r="Q907" s="48">
        <f>IF(COUNTIFS($C:$C,$C907,$D:$D,$D907,$E:$E,"P0(후)",$M:$M,"&gt;0")&lt;&gt;1,"",SUMIFS($I:$I,$C:$C,$C907,$D:$D,$D907,$E:$E,"P0(후)"))</f>
        <v/>
      </c>
      <c r="R907" s="31">
        <f>IF(COUNTIFS($C:$C,$C907,$D:$D,$D907,$E:$E,"P0(후)",$M:$M,"&gt;0")&lt;&gt;1,"",SUMIFS($M:$M,$C:$C,$C907,$D:$D,$D907,$E:$E,"P0(후)"))</f>
        <v/>
      </c>
      <c r="S907" s="31">
        <f>IF(N907&lt;&gt;"OK","",P907+(R907-P907)*(I907-O907)/(Q907-O907))</f>
        <v/>
      </c>
      <c r="T907" s="31">
        <f>IF(OR(N907&lt;&gt;"OK",NOT(ISNUMBER(M907))),"",M907-S907)</f>
        <v/>
      </c>
      <c r="U907" s="49">
        <f>IF(OR(NOT(ISNUMBER(T907)),IF(ISNUMBER(H907),H907,G907)=0),"",T907/IF(ISNUMBER(H907),H907,G907))</f>
        <v/>
      </c>
      <c r="V907" s="49">
        <f>IF(ISNUMBER(U907),ABS(U907),"")</f>
        <v/>
      </c>
      <c r="W907" s="49">
        <f>IF(OR($E906&lt;&gt;"측정",$C906&lt;&gt;$C907,$D906&lt;&gt;$D907,NOT(ISNUMBER(M907)),NOT(ISNUMBER(M906)),(IF(ISNUMBER(H907),H907,G907)-IF(ISNUMBER(H906),H906,G906))=0),"",(M907-M906)/(IF(ISNUMBER(H907),H907,G907)-IF(ISNUMBER(H906),H906,G906)))</f>
        <v/>
      </c>
      <c r="X907" s="31">
        <f>IF(NOT(AND(ISNUMBER(O907),ISNUMBER(Q907))),"",(Q907-O907)*1440)</f>
        <v/>
      </c>
      <c r="Y907" s="29" t="n"/>
      <c r="Z907" s="29" t="n"/>
      <c r="AA907" s="29" t="n"/>
      <c r="AB907" s="32" t="n"/>
      <c r="AC907" s="32" t="n"/>
    </row>
    <row r="908">
      <c r="A908" s="26" t="inlineStr">
        <is>
          <t>S18</t>
        </is>
      </c>
      <c r="B908" s="26" t="inlineStr">
        <is>
          <t>통영 신규점</t>
        </is>
      </c>
      <c r="C908" s="26" t="inlineStr">
        <is>
          <t>S18-H서</t>
        </is>
      </c>
      <c r="D908" s="47" t="n">
        <v>1</v>
      </c>
      <c r="E908" s="26" t="inlineStr">
        <is>
          <t>측정</t>
        </is>
      </c>
      <c r="F908" s="26" t="inlineStr">
        <is>
          <t>서</t>
        </is>
      </c>
      <c r="G908" s="31" t="n">
        <v>4</v>
      </c>
      <c r="H908" s="30" t="n"/>
      <c r="I908" s="43" t="n"/>
      <c r="J908" s="41" t="n"/>
      <c r="K908" s="41" t="n"/>
      <c r="L908" s="41" t="n"/>
      <c r="M908" s="31">
        <f>IF(COUNT(J908:L908)=0,"",MEDIAN(J908:L908))</f>
        <v/>
      </c>
      <c r="N908" s="26">
        <f>IF(COUNTIFS($C:$C,$C908,$D:$D,$D908,$E:$E,"P0(전)",$M:$M,"&gt;0")&lt;&gt;1,"P0(전) 유효 1개 아님",IF(COUNTIFS($C:$C,$C908,$D:$D,$D908,$E:$E,"P0(후)",$M:$M,"&gt;0")&lt;&gt;1,"P0(후) 유효 1개 아님",IF(NOT(AND(ISNUMBER(O908),ISNUMBER(Q908),ISNUMBER(I908))),"시각 결측",IF(Q908&lt;=O908,"P0 시각 역전",IF(OR(I908&lt;O908,I908&gt;Q908),"측정시각 구간 밖","OK")))))</f>
        <v/>
      </c>
      <c r="O908" s="48">
        <f>IF(COUNTIFS($C:$C,$C908,$D:$D,$D908,$E:$E,"P0(전)",$M:$M,"&gt;0")&lt;&gt;1,"",SUMIFS($I:$I,$C:$C,$C908,$D:$D,$D908,$E:$E,"P0(전)"))</f>
        <v/>
      </c>
      <c r="P908" s="31">
        <f>IF(COUNTIFS($C:$C,$C908,$D:$D,$D908,$E:$E,"P0(전)",$M:$M,"&gt;0")&lt;&gt;1,"",SUMIFS($M:$M,$C:$C,$C908,$D:$D,$D908,$E:$E,"P0(전)"))</f>
        <v/>
      </c>
      <c r="Q908" s="48">
        <f>IF(COUNTIFS($C:$C,$C908,$D:$D,$D908,$E:$E,"P0(후)",$M:$M,"&gt;0")&lt;&gt;1,"",SUMIFS($I:$I,$C:$C,$C908,$D:$D,$D908,$E:$E,"P0(후)"))</f>
        <v/>
      </c>
      <c r="R908" s="31">
        <f>IF(COUNTIFS($C:$C,$C908,$D:$D,$D908,$E:$E,"P0(후)",$M:$M,"&gt;0")&lt;&gt;1,"",SUMIFS($M:$M,$C:$C,$C908,$D:$D,$D908,$E:$E,"P0(후)"))</f>
        <v/>
      </c>
      <c r="S908" s="31">
        <f>IF(N908&lt;&gt;"OK","",P908+(R908-P908)*(I908-O908)/(Q908-O908))</f>
        <v/>
      </c>
      <c r="T908" s="31">
        <f>IF(OR(N908&lt;&gt;"OK",NOT(ISNUMBER(M908))),"",M908-S908)</f>
        <v/>
      </c>
      <c r="U908" s="49">
        <f>IF(OR(NOT(ISNUMBER(T908)),IF(ISNUMBER(H908),H908,G908)=0),"",T908/IF(ISNUMBER(H908),H908,G908))</f>
        <v/>
      </c>
      <c r="V908" s="49">
        <f>IF(ISNUMBER(U908),ABS(U908),"")</f>
        <v/>
      </c>
      <c r="W908" s="49">
        <f>IF(OR($E907&lt;&gt;"측정",$C907&lt;&gt;$C908,$D907&lt;&gt;$D908,NOT(ISNUMBER(M908)),NOT(ISNUMBER(M907)),(IF(ISNUMBER(H908),H908,G908)-IF(ISNUMBER(H907),H907,G907))=0),"",(M908-M907)/(IF(ISNUMBER(H908),H908,G908)-IF(ISNUMBER(H907),H907,G907)))</f>
        <v/>
      </c>
      <c r="X908" s="31">
        <f>IF(NOT(AND(ISNUMBER(O908),ISNUMBER(Q908))),"",(Q908-O908)*1440)</f>
        <v/>
      </c>
      <c r="Y908" s="29" t="n"/>
      <c r="Z908" s="29" t="n"/>
      <c r="AA908" s="29" t="n"/>
      <c r="AB908" s="32" t="n"/>
      <c r="AC908" s="32" t="n"/>
    </row>
    <row r="909">
      <c r="A909" s="26" t="inlineStr">
        <is>
          <t>S18</t>
        </is>
      </c>
      <c r="B909" s="26" t="inlineStr">
        <is>
          <t>통영 신규점</t>
        </is>
      </c>
      <c r="C909" s="26" t="inlineStr">
        <is>
          <t>S18-H서</t>
        </is>
      </c>
      <c r="D909" s="47" t="n">
        <v>1</v>
      </c>
      <c r="E909" s="26" t="inlineStr">
        <is>
          <t>측정</t>
        </is>
      </c>
      <c r="F909" s="26" t="inlineStr">
        <is>
          <t>서</t>
        </is>
      </c>
      <c r="G909" s="31" t="n">
        <v>5</v>
      </c>
      <c r="H909" s="30" t="n"/>
      <c r="I909" s="43" t="n"/>
      <c r="J909" s="41" t="n"/>
      <c r="K909" s="41" t="n"/>
      <c r="L909" s="41" t="n"/>
      <c r="M909" s="31">
        <f>IF(COUNT(J909:L909)=0,"",MEDIAN(J909:L909))</f>
        <v/>
      </c>
      <c r="N909" s="26">
        <f>IF(COUNTIFS($C:$C,$C909,$D:$D,$D909,$E:$E,"P0(전)",$M:$M,"&gt;0")&lt;&gt;1,"P0(전) 유효 1개 아님",IF(COUNTIFS($C:$C,$C909,$D:$D,$D909,$E:$E,"P0(후)",$M:$M,"&gt;0")&lt;&gt;1,"P0(후) 유효 1개 아님",IF(NOT(AND(ISNUMBER(O909),ISNUMBER(Q909),ISNUMBER(I909))),"시각 결측",IF(Q909&lt;=O909,"P0 시각 역전",IF(OR(I909&lt;O909,I909&gt;Q909),"측정시각 구간 밖","OK")))))</f>
        <v/>
      </c>
      <c r="O909" s="48">
        <f>IF(COUNTIFS($C:$C,$C909,$D:$D,$D909,$E:$E,"P0(전)",$M:$M,"&gt;0")&lt;&gt;1,"",SUMIFS($I:$I,$C:$C,$C909,$D:$D,$D909,$E:$E,"P0(전)"))</f>
        <v/>
      </c>
      <c r="P909" s="31">
        <f>IF(COUNTIFS($C:$C,$C909,$D:$D,$D909,$E:$E,"P0(전)",$M:$M,"&gt;0")&lt;&gt;1,"",SUMIFS($M:$M,$C:$C,$C909,$D:$D,$D909,$E:$E,"P0(전)"))</f>
        <v/>
      </c>
      <c r="Q909" s="48">
        <f>IF(COUNTIFS($C:$C,$C909,$D:$D,$D909,$E:$E,"P0(후)",$M:$M,"&gt;0")&lt;&gt;1,"",SUMIFS($I:$I,$C:$C,$C909,$D:$D,$D909,$E:$E,"P0(후)"))</f>
        <v/>
      </c>
      <c r="R909" s="31">
        <f>IF(COUNTIFS($C:$C,$C909,$D:$D,$D909,$E:$E,"P0(후)",$M:$M,"&gt;0")&lt;&gt;1,"",SUMIFS($M:$M,$C:$C,$C909,$D:$D,$D909,$E:$E,"P0(후)"))</f>
        <v/>
      </c>
      <c r="S909" s="31">
        <f>IF(N909&lt;&gt;"OK","",P909+(R909-P909)*(I909-O909)/(Q909-O909))</f>
        <v/>
      </c>
      <c r="T909" s="31">
        <f>IF(OR(N909&lt;&gt;"OK",NOT(ISNUMBER(M909))),"",M909-S909)</f>
        <v/>
      </c>
      <c r="U909" s="49">
        <f>IF(OR(NOT(ISNUMBER(T909)),IF(ISNUMBER(H909),H909,G909)=0),"",T909/IF(ISNUMBER(H909),H909,G909))</f>
        <v/>
      </c>
      <c r="V909" s="49">
        <f>IF(ISNUMBER(U909),ABS(U909),"")</f>
        <v/>
      </c>
      <c r="W909" s="49">
        <f>IF(OR($E908&lt;&gt;"측정",$C908&lt;&gt;$C909,$D908&lt;&gt;$D909,NOT(ISNUMBER(M909)),NOT(ISNUMBER(M908)),(IF(ISNUMBER(H909),H909,G909)-IF(ISNUMBER(H908),H908,G908))=0),"",(M909-M908)/(IF(ISNUMBER(H909),H909,G909)-IF(ISNUMBER(H908),H908,G908)))</f>
        <v/>
      </c>
      <c r="X909" s="31">
        <f>IF(NOT(AND(ISNUMBER(O909),ISNUMBER(Q909))),"",(Q909-O909)*1440)</f>
        <v/>
      </c>
      <c r="Y909" s="29" t="n"/>
      <c r="Z909" s="29" t="n"/>
      <c r="AA909" s="29" t="n"/>
      <c r="AB909" s="32" t="n"/>
      <c r="AC909" s="32" t="n"/>
    </row>
    <row r="910">
      <c r="A910" s="26" t="inlineStr">
        <is>
          <t>S18</t>
        </is>
      </c>
      <c r="B910" s="26" t="inlineStr">
        <is>
          <t>통영 신규점</t>
        </is>
      </c>
      <c r="C910" s="26" t="inlineStr">
        <is>
          <t>S18-H서</t>
        </is>
      </c>
      <c r="D910" s="47" t="n">
        <v>1</v>
      </c>
      <c r="E910" s="26" t="inlineStr">
        <is>
          <t>측정</t>
        </is>
      </c>
      <c r="F910" s="26" t="inlineStr">
        <is>
          <t>서</t>
        </is>
      </c>
      <c r="G910" s="31" t="n">
        <v>6</v>
      </c>
      <c r="H910" s="30" t="n"/>
      <c r="I910" s="43" t="n"/>
      <c r="J910" s="41" t="n"/>
      <c r="K910" s="41" t="n"/>
      <c r="L910" s="41" t="n"/>
      <c r="M910" s="31">
        <f>IF(COUNT(J910:L910)=0,"",MEDIAN(J910:L910))</f>
        <v/>
      </c>
      <c r="N910" s="26">
        <f>IF(COUNTIFS($C:$C,$C910,$D:$D,$D910,$E:$E,"P0(전)",$M:$M,"&gt;0")&lt;&gt;1,"P0(전) 유효 1개 아님",IF(COUNTIFS($C:$C,$C910,$D:$D,$D910,$E:$E,"P0(후)",$M:$M,"&gt;0")&lt;&gt;1,"P0(후) 유효 1개 아님",IF(NOT(AND(ISNUMBER(O910),ISNUMBER(Q910),ISNUMBER(I910))),"시각 결측",IF(Q910&lt;=O910,"P0 시각 역전",IF(OR(I910&lt;O910,I910&gt;Q910),"측정시각 구간 밖","OK")))))</f>
        <v/>
      </c>
      <c r="O910" s="48">
        <f>IF(COUNTIFS($C:$C,$C910,$D:$D,$D910,$E:$E,"P0(전)",$M:$M,"&gt;0")&lt;&gt;1,"",SUMIFS($I:$I,$C:$C,$C910,$D:$D,$D910,$E:$E,"P0(전)"))</f>
        <v/>
      </c>
      <c r="P910" s="31">
        <f>IF(COUNTIFS($C:$C,$C910,$D:$D,$D910,$E:$E,"P0(전)",$M:$M,"&gt;0")&lt;&gt;1,"",SUMIFS($M:$M,$C:$C,$C910,$D:$D,$D910,$E:$E,"P0(전)"))</f>
        <v/>
      </c>
      <c r="Q910" s="48">
        <f>IF(COUNTIFS($C:$C,$C910,$D:$D,$D910,$E:$E,"P0(후)",$M:$M,"&gt;0")&lt;&gt;1,"",SUMIFS($I:$I,$C:$C,$C910,$D:$D,$D910,$E:$E,"P0(후)"))</f>
        <v/>
      </c>
      <c r="R910" s="31">
        <f>IF(COUNTIFS($C:$C,$C910,$D:$D,$D910,$E:$E,"P0(후)",$M:$M,"&gt;0")&lt;&gt;1,"",SUMIFS($M:$M,$C:$C,$C910,$D:$D,$D910,$E:$E,"P0(후)"))</f>
        <v/>
      </c>
      <c r="S910" s="31">
        <f>IF(N910&lt;&gt;"OK","",P910+(R910-P910)*(I910-O910)/(Q910-O910))</f>
        <v/>
      </c>
      <c r="T910" s="31">
        <f>IF(OR(N910&lt;&gt;"OK",NOT(ISNUMBER(M910))),"",M910-S910)</f>
        <v/>
      </c>
      <c r="U910" s="49">
        <f>IF(OR(NOT(ISNUMBER(T910)),IF(ISNUMBER(H910),H910,G910)=0),"",T910/IF(ISNUMBER(H910),H910,G910))</f>
        <v/>
      </c>
      <c r="V910" s="49">
        <f>IF(ISNUMBER(U910),ABS(U910),"")</f>
        <v/>
      </c>
      <c r="W910" s="49">
        <f>IF(OR($E909&lt;&gt;"측정",$C909&lt;&gt;$C910,$D909&lt;&gt;$D910,NOT(ISNUMBER(M910)),NOT(ISNUMBER(M909)),(IF(ISNUMBER(H910),H910,G910)-IF(ISNUMBER(H909),H909,G909))=0),"",(M910-M909)/(IF(ISNUMBER(H910),H910,G910)-IF(ISNUMBER(H909),H909,G909)))</f>
        <v/>
      </c>
      <c r="X910" s="31">
        <f>IF(NOT(AND(ISNUMBER(O910),ISNUMBER(Q910))),"",(Q910-O910)*1440)</f>
        <v/>
      </c>
      <c r="Y910" s="29" t="n"/>
      <c r="Z910" s="29" t="n"/>
      <c r="AA910" s="29" t="n"/>
      <c r="AB910" s="32" t="n"/>
      <c r="AC910" s="32" t="n"/>
    </row>
    <row r="911">
      <c r="A911" s="26" t="inlineStr">
        <is>
          <t>S18</t>
        </is>
      </c>
      <c r="B911" s="26" t="inlineStr">
        <is>
          <t>통영 신규점</t>
        </is>
      </c>
      <c r="C911" s="26" t="inlineStr">
        <is>
          <t>S18-H서</t>
        </is>
      </c>
      <c r="D911" s="47" t="n">
        <v>1</v>
      </c>
      <c r="E911" s="26" t="inlineStr">
        <is>
          <t>측정</t>
        </is>
      </c>
      <c r="F911" s="26" t="inlineStr">
        <is>
          <t>서</t>
        </is>
      </c>
      <c r="G911" s="31" t="n">
        <v>7</v>
      </c>
      <c r="H911" s="30" t="n"/>
      <c r="I911" s="43" t="n"/>
      <c r="J911" s="41" t="n"/>
      <c r="K911" s="41" t="n"/>
      <c r="L911" s="41" t="n"/>
      <c r="M911" s="31">
        <f>IF(COUNT(J911:L911)=0,"",MEDIAN(J911:L911))</f>
        <v/>
      </c>
      <c r="N911" s="26">
        <f>IF(COUNTIFS($C:$C,$C911,$D:$D,$D911,$E:$E,"P0(전)",$M:$M,"&gt;0")&lt;&gt;1,"P0(전) 유효 1개 아님",IF(COUNTIFS($C:$C,$C911,$D:$D,$D911,$E:$E,"P0(후)",$M:$M,"&gt;0")&lt;&gt;1,"P0(후) 유효 1개 아님",IF(NOT(AND(ISNUMBER(O911),ISNUMBER(Q911),ISNUMBER(I911))),"시각 결측",IF(Q911&lt;=O911,"P0 시각 역전",IF(OR(I911&lt;O911,I911&gt;Q911),"측정시각 구간 밖","OK")))))</f>
        <v/>
      </c>
      <c r="O911" s="48">
        <f>IF(COUNTIFS($C:$C,$C911,$D:$D,$D911,$E:$E,"P0(전)",$M:$M,"&gt;0")&lt;&gt;1,"",SUMIFS($I:$I,$C:$C,$C911,$D:$D,$D911,$E:$E,"P0(전)"))</f>
        <v/>
      </c>
      <c r="P911" s="31">
        <f>IF(COUNTIFS($C:$C,$C911,$D:$D,$D911,$E:$E,"P0(전)",$M:$M,"&gt;0")&lt;&gt;1,"",SUMIFS($M:$M,$C:$C,$C911,$D:$D,$D911,$E:$E,"P0(전)"))</f>
        <v/>
      </c>
      <c r="Q911" s="48">
        <f>IF(COUNTIFS($C:$C,$C911,$D:$D,$D911,$E:$E,"P0(후)",$M:$M,"&gt;0")&lt;&gt;1,"",SUMIFS($I:$I,$C:$C,$C911,$D:$D,$D911,$E:$E,"P0(후)"))</f>
        <v/>
      </c>
      <c r="R911" s="31">
        <f>IF(COUNTIFS($C:$C,$C911,$D:$D,$D911,$E:$E,"P0(후)",$M:$M,"&gt;0")&lt;&gt;1,"",SUMIFS($M:$M,$C:$C,$C911,$D:$D,$D911,$E:$E,"P0(후)"))</f>
        <v/>
      </c>
      <c r="S911" s="31">
        <f>IF(N911&lt;&gt;"OK","",P911+(R911-P911)*(I911-O911)/(Q911-O911))</f>
        <v/>
      </c>
      <c r="T911" s="31">
        <f>IF(OR(N911&lt;&gt;"OK",NOT(ISNUMBER(M911))),"",M911-S911)</f>
        <v/>
      </c>
      <c r="U911" s="49">
        <f>IF(OR(NOT(ISNUMBER(T911)),IF(ISNUMBER(H911),H911,G911)=0),"",T911/IF(ISNUMBER(H911),H911,G911))</f>
        <v/>
      </c>
      <c r="V911" s="49">
        <f>IF(ISNUMBER(U911),ABS(U911),"")</f>
        <v/>
      </c>
      <c r="W911" s="49">
        <f>IF(OR($E910&lt;&gt;"측정",$C910&lt;&gt;$C911,$D910&lt;&gt;$D911,NOT(ISNUMBER(M911)),NOT(ISNUMBER(M910)),(IF(ISNUMBER(H911),H911,G911)-IF(ISNUMBER(H910),H910,G910))=0),"",(M911-M910)/(IF(ISNUMBER(H911),H911,G911)-IF(ISNUMBER(H910),H910,G910)))</f>
        <v/>
      </c>
      <c r="X911" s="31">
        <f>IF(NOT(AND(ISNUMBER(O911),ISNUMBER(Q911))),"",(Q911-O911)*1440)</f>
        <v/>
      </c>
      <c r="Y911" s="29" t="n"/>
      <c r="Z911" s="29" t="n"/>
      <c r="AA911" s="29" t="n"/>
      <c r="AB911" s="32" t="n"/>
      <c r="AC911" s="32" t="n"/>
    </row>
    <row r="912">
      <c r="A912" s="26" t="inlineStr">
        <is>
          <t>S18</t>
        </is>
      </c>
      <c r="B912" s="26" t="inlineStr">
        <is>
          <t>통영 신규점</t>
        </is>
      </c>
      <c r="C912" s="26" t="inlineStr">
        <is>
          <t>S18-H서</t>
        </is>
      </c>
      <c r="D912" s="47" t="n">
        <v>1</v>
      </c>
      <c r="E912" s="26" t="inlineStr">
        <is>
          <t>측정</t>
        </is>
      </c>
      <c r="F912" s="26" t="inlineStr">
        <is>
          <t>서</t>
        </is>
      </c>
      <c r="G912" s="31" t="n">
        <v>8</v>
      </c>
      <c r="H912" s="30" t="n"/>
      <c r="I912" s="43" t="n"/>
      <c r="J912" s="41" t="n"/>
      <c r="K912" s="41" t="n"/>
      <c r="L912" s="41" t="n"/>
      <c r="M912" s="31">
        <f>IF(COUNT(J912:L912)=0,"",MEDIAN(J912:L912))</f>
        <v/>
      </c>
      <c r="N912" s="26">
        <f>IF(COUNTIFS($C:$C,$C912,$D:$D,$D912,$E:$E,"P0(전)",$M:$M,"&gt;0")&lt;&gt;1,"P0(전) 유효 1개 아님",IF(COUNTIFS($C:$C,$C912,$D:$D,$D912,$E:$E,"P0(후)",$M:$M,"&gt;0")&lt;&gt;1,"P0(후) 유효 1개 아님",IF(NOT(AND(ISNUMBER(O912),ISNUMBER(Q912),ISNUMBER(I912))),"시각 결측",IF(Q912&lt;=O912,"P0 시각 역전",IF(OR(I912&lt;O912,I912&gt;Q912),"측정시각 구간 밖","OK")))))</f>
        <v/>
      </c>
      <c r="O912" s="48">
        <f>IF(COUNTIFS($C:$C,$C912,$D:$D,$D912,$E:$E,"P0(전)",$M:$M,"&gt;0")&lt;&gt;1,"",SUMIFS($I:$I,$C:$C,$C912,$D:$D,$D912,$E:$E,"P0(전)"))</f>
        <v/>
      </c>
      <c r="P912" s="31">
        <f>IF(COUNTIFS($C:$C,$C912,$D:$D,$D912,$E:$E,"P0(전)",$M:$M,"&gt;0")&lt;&gt;1,"",SUMIFS($M:$M,$C:$C,$C912,$D:$D,$D912,$E:$E,"P0(전)"))</f>
        <v/>
      </c>
      <c r="Q912" s="48">
        <f>IF(COUNTIFS($C:$C,$C912,$D:$D,$D912,$E:$E,"P0(후)",$M:$M,"&gt;0")&lt;&gt;1,"",SUMIFS($I:$I,$C:$C,$C912,$D:$D,$D912,$E:$E,"P0(후)"))</f>
        <v/>
      </c>
      <c r="R912" s="31">
        <f>IF(COUNTIFS($C:$C,$C912,$D:$D,$D912,$E:$E,"P0(후)",$M:$M,"&gt;0")&lt;&gt;1,"",SUMIFS($M:$M,$C:$C,$C912,$D:$D,$D912,$E:$E,"P0(후)"))</f>
        <v/>
      </c>
      <c r="S912" s="31">
        <f>IF(N912&lt;&gt;"OK","",P912+(R912-P912)*(I912-O912)/(Q912-O912))</f>
        <v/>
      </c>
      <c r="T912" s="31">
        <f>IF(OR(N912&lt;&gt;"OK",NOT(ISNUMBER(M912))),"",M912-S912)</f>
        <v/>
      </c>
      <c r="U912" s="49">
        <f>IF(OR(NOT(ISNUMBER(T912)),IF(ISNUMBER(H912),H912,G912)=0),"",T912/IF(ISNUMBER(H912),H912,G912))</f>
        <v/>
      </c>
      <c r="V912" s="49">
        <f>IF(ISNUMBER(U912),ABS(U912),"")</f>
        <v/>
      </c>
      <c r="W912" s="49">
        <f>IF(OR($E911&lt;&gt;"측정",$C911&lt;&gt;$C912,$D911&lt;&gt;$D912,NOT(ISNUMBER(M912)),NOT(ISNUMBER(M911)),(IF(ISNUMBER(H912),H912,G912)-IF(ISNUMBER(H911),H911,G911))=0),"",(M912-M911)/(IF(ISNUMBER(H912),H912,G912)-IF(ISNUMBER(H911),H911,G911)))</f>
        <v/>
      </c>
      <c r="X912" s="31">
        <f>IF(NOT(AND(ISNUMBER(O912),ISNUMBER(Q912))),"",(Q912-O912)*1440)</f>
        <v/>
      </c>
      <c r="Y912" s="29" t="n"/>
      <c r="Z912" s="29" t="n"/>
      <c r="AA912" s="29" t="n"/>
      <c r="AB912" s="32" t="n"/>
      <c r="AC912" s="32" t="n"/>
    </row>
    <row r="913">
      <c r="A913" s="26" t="inlineStr">
        <is>
          <t>S18</t>
        </is>
      </c>
      <c r="B913" s="26" t="inlineStr">
        <is>
          <t>통영 신규점</t>
        </is>
      </c>
      <c r="C913" s="26" t="inlineStr">
        <is>
          <t>S18-H서</t>
        </is>
      </c>
      <c r="D913" s="47" t="n">
        <v>1</v>
      </c>
      <c r="E913" s="26" t="inlineStr">
        <is>
          <t>측정</t>
        </is>
      </c>
      <c r="F913" s="26" t="inlineStr">
        <is>
          <t>서</t>
        </is>
      </c>
      <c r="G913" s="31" t="n">
        <v>9</v>
      </c>
      <c r="H913" s="30" t="n"/>
      <c r="I913" s="43" t="n"/>
      <c r="J913" s="41" t="n"/>
      <c r="K913" s="41" t="n"/>
      <c r="L913" s="41" t="n"/>
      <c r="M913" s="31">
        <f>IF(COUNT(J913:L913)=0,"",MEDIAN(J913:L913))</f>
        <v/>
      </c>
      <c r="N913" s="26">
        <f>IF(COUNTIFS($C:$C,$C913,$D:$D,$D913,$E:$E,"P0(전)",$M:$M,"&gt;0")&lt;&gt;1,"P0(전) 유효 1개 아님",IF(COUNTIFS($C:$C,$C913,$D:$D,$D913,$E:$E,"P0(후)",$M:$M,"&gt;0")&lt;&gt;1,"P0(후) 유효 1개 아님",IF(NOT(AND(ISNUMBER(O913),ISNUMBER(Q913),ISNUMBER(I913))),"시각 결측",IF(Q913&lt;=O913,"P0 시각 역전",IF(OR(I913&lt;O913,I913&gt;Q913),"측정시각 구간 밖","OK")))))</f>
        <v/>
      </c>
      <c r="O913" s="48">
        <f>IF(COUNTIFS($C:$C,$C913,$D:$D,$D913,$E:$E,"P0(전)",$M:$M,"&gt;0")&lt;&gt;1,"",SUMIFS($I:$I,$C:$C,$C913,$D:$D,$D913,$E:$E,"P0(전)"))</f>
        <v/>
      </c>
      <c r="P913" s="31">
        <f>IF(COUNTIFS($C:$C,$C913,$D:$D,$D913,$E:$E,"P0(전)",$M:$M,"&gt;0")&lt;&gt;1,"",SUMIFS($M:$M,$C:$C,$C913,$D:$D,$D913,$E:$E,"P0(전)"))</f>
        <v/>
      </c>
      <c r="Q913" s="48">
        <f>IF(COUNTIFS($C:$C,$C913,$D:$D,$D913,$E:$E,"P0(후)",$M:$M,"&gt;0")&lt;&gt;1,"",SUMIFS($I:$I,$C:$C,$C913,$D:$D,$D913,$E:$E,"P0(후)"))</f>
        <v/>
      </c>
      <c r="R913" s="31">
        <f>IF(COUNTIFS($C:$C,$C913,$D:$D,$D913,$E:$E,"P0(후)",$M:$M,"&gt;0")&lt;&gt;1,"",SUMIFS($M:$M,$C:$C,$C913,$D:$D,$D913,$E:$E,"P0(후)"))</f>
        <v/>
      </c>
      <c r="S913" s="31">
        <f>IF(N913&lt;&gt;"OK","",P913+(R913-P913)*(I913-O913)/(Q913-O913))</f>
        <v/>
      </c>
      <c r="T913" s="31">
        <f>IF(OR(N913&lt;&gt;"OK",NOT(ISNUMBER(M913))),"",M913-S913)</f>
        <v/>
      </c>
      <c r="U913" s="49">
        <f>IF(OR(NOT(ISNUMBER(T913)),IF(ISNUMBER(H913),H913,G913)=0),"",T913/IF(ISNUMBER(H913),H913,G913))</f>
        <v/>
      </c>
      <c r="V913" s="49">
        <f>IF(ISNUMBER(U913),ABS(U913),"")</f>
        <v/>
      </c>
      <c r="W913" s="49">
        <f>IF(OR($E912&lt;&gt;"측정",$C912&lt;&gt;$C913,$D912&lt;&gt;$D913,NOT(ISNUMBER(M913)),NOT(ISNUMBER(M912)),(IF(ISNUMBER(H913),H913,G913)-IF(ISNUMBER(H912),H912,G912))=0),"",(M913-M912)/(IF(ISNUMBER(H913),H913,G913)-IF(ISNUMBER(H912),H912,G912)))</f>
        <v/>
      </c>
      <c r="X913" s="31">
        <f>IF(NOT(AND(ISNUMBER(O913),ISNUMBER(Q913))),"",(Q913-O913)*1440)</f>
        <v/>
      </c>
      <c r="Y913" s="29" t="n"/>
      <c r="Z913" s="29" t="n"/>
      <c r="AA913" s="29" t="n"/>
      <c r="AB913" s="32" t="n"/>
      <c r="AC913" s="32" t="n"/>
    </row>
    <row r="914">
      <c r="A914" s="26" t="inlineStr">
        <is>
          <t>S18</t>
        </is>
      </c>
      <c r="B914" s="26" t="inlineStr">
        <is>
          <t>통영 신규점</t>
        </is>
      </c>
      <c r="C914" s="26" t="inlineStr">
        <is>
          <t>S18-H서</t>
        </is>
      </c>
      <c r="D914" s="47" t="n">
        <v>1</v>
      </c>
      <c r="E914" s="26" t="inlineStr">
        <is>
          <t>측정</t>
        </is>
      </c>
      <c r="F914" s="26" t="inlineStr">
        <is>
          <t>서</t>
        </is>
      </c>
      <c r="G914" s="31" t="n">
        <v>10</v>
      </c>
      <c r="H914" s="30" t="n"/>
      <c r="I914" s="43" t="n"/>
      <c r="J914" s="41" t="n"/>
      <c r="K914" s="41" t="n"/>
      <c r="L914" s="41" t="n"/>
      <c r="M914" s="31">
        <f>IF(COUNT(J914:L914)=0,"",MEDIAN(J914:L914))</f>
        <v/>
      </c>
      <c r="N914" s="26">
        <f>IF(COUNTIFS($C:$C,$C914,$D:$D,$D914,$E:$E,"P0(전)",$M:$M,"&gt;0")&lt;&gt;1,"P0(전) 유효 1개 아님",IF(COUNTIFS($C:$C,$C914,$D:$D,$D914,$E:$E,"P0(후)",$M:$M,"&gt;0")&lt;&gt;1,"P0(후) 유효 1개 아님",IF(NOT(AND(ISNUMBER(O914),ISNUMBER(Q914),ISNUMBER(I914))),"시각 결측",IF(Q914&lt;=O914,"P0 시각 역전",IF(OR(I914&lt;O914,I914&gt;Q914),"측정시각 구간 밖","OK")))))</f>
        <v/>
      </c>
      <c r="O914" s="48">
        <f>IF(COUNTIFS($C:$C,$C914,$D:$D,$D914,$E:$E,"P0(전)",$M:$M,"&gt;0")&lt;&gt;1,"",SUMIFS($I:$I,$C:$C,$C914,$D:$D,$D914,$E:$E,"P0(전)"))</f>
        <v/>
      </c>
      <c r="P914" s="31">
        <f>IF(COUNTIFS($C:$C,$C914,$D:$D,$D914,$E:$E,"P0(전)",$M:$M,"&gt;0")&lt;&gt;1,"",SUMIFS($M:$M,$C:$C,$C914,$D:$D,$D914,$E:$E,"P0(전)"))</f>
        <v/>
      </c>
      <c r="Q914" s="48">
        <f>IF(COUNTIFS($C:$C,$C914,$D:$D,$D914,$E:$E,"P0(후)",$M:$M,"&gt;0")&lt;&gt;1,"",SUMIFS($I:$I,$C:$C,$C914,$D:$D,$D914,$E:$E,"P0(후)"))</f>
        <v/>
      </c>
      <c r="R914" s="31">
        <f>IF(COUNTIFS($C:$C,$C914,$D:$D,$D914,$E:$E,"P0(후)",$M:$M,"&gt;0")&lt;&gt;1,"",SUMIFS($M:$M,$C:$C,$C914,$D:$D,$D914,$E:$E,"P0(후)"))</f>
        <v/>
      </c>
      <c r="S914" s="31">
        <f>IF(N914&lt;&gt;"OK","",P914+(R914-P914)*(I914-O914)/(Q914-O914))</f>
        <v/>
      </c>
      <c r="T914" s="31">
        <f>IF(OR(N914&lt;&gt;"OK",NOT(ISNUMBER(M914))),"",M914-S914)</f>
        <v/>
      </c>
      <c r="U914" s="49">
        <f>IF(OR(NOT(ISNUMBER(T914)),IF(ISNUMBER(H914),H914,G914)=0),"",T914/IF(ISNUMBER(H914),H914,G914))</f>
        <v/>
      </c>
      <c r="V914" s="49">
        <f>IF(ISNUMBER(U914),ABS(U914),"")</f>
        <v/>
      </c>
      <c r="W914" s="49">
        <f>IF(OR($E913&lt;&gt;"측정",$C913&lt;&gt;$C914,$D913&lt;&gt;$D914,NOT(ISNUMBER(M914)),NOT(ISNUMBER(M913)),(IF(ISNUMBER(H914),H914,G914)-IF(ISNUMBER(H913),H913,G913))=0),"",(M914-M913)/(IF(ISNUMBER(H914),H914,G914)-IF(ISNUMBER(H913),H913,G913)))</f>
        <v/>
      </c>
      <c r="X914" s="31">
        <f>IF(NOT(AND(ISNUMBER(O914),ISNUMBER(Q914))),"",(Q914-O914)*1440)</f>
        <v/>
      </c>
      <c r="Y914" s="29" t="n"/>
      <c r="Z914" s="29" t="n"/>
      <c r="AA914" s="29" t="n"/>
      <c r="AB914" s="32" t="n"/>
      <c r="AC914" s="32" t="n"/>
    </row>
    <row r="915">
      <c r="A915" s="44" t="inlineStr">
        <is>
          <t>S18</t>
        </is>
      </c>
      <c r="B915" s="44" t="inlineStr">
        <is>
          <t>통영 신규점</t>
        </is>
      </c>
      <c r="C915" s="44" t="inlineStr">
        <is>
          <t>S18-H서</t>
        </is>
      </c>
      <c r="D915" s="45" t="n">
        <v>1</v>
      </c>
      <c r="E915" s="44" t="inlineStr">
        <is>
          <t>P0(후)</t>
        </is>
      </c>
      <c r="F915" s="44" t="inlineStr">
        <is>
          <t>서</t>
        </is>
      </c>
      <c r="G915" s="46" t="n"/>
      <c r="H915" s="30" t="n"/>
      <c r="I915" s="43" t="n"/>
      <c r="J915" s="41" t="n"/>
      <c r="K915" s="41" t="n"/>
      <c r="L915" s="41" t="n"/>
      <c r="M915" s="31">
        <f>IF(COUNT(J915:L915)=0,"",MEDIAN(J915:L915))</f>
        <v/>
      </c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38" t="n"/>
      <c r="Y915" s="29" t="n"/>
      <c r="Z915" s="29" t="n"/>
      <c r="AA915" s="29" t="n"/>
      <c r="AB915" s="32" t="n"/>
      <c r="AC915" s="32" t="n"/>
    </row>
    <row r="916">
      <c r="A916" s="44" t="inlineStr">
        <is>
          <t>S18</t>
        </is>
      </c>
      <c r="B916" s="44" t="inlineStr">
        <is>
          <t>통영 신규점</t>
        </is>
      </c>
      <c r="C916" s="44" t="inlineStr">
        <is>
          <t>S18-H남</t>
        </is>
      </c>
      <c r="D916" s="45" t="n">
        <v>1</v>
      </c>
      <c r="E916" s="44" t="inlineStr">
        <is>
          <t>P0(전)</t>
        </is>
      </c>
      <c r="F916" s="44" t="inlineStr">
        <is>
          <t>남</t>
        </is>
      </c>
      <c r="G916" s="46" t="n"/>
      <c r="H916" s="30" t="n"/>
      <c r="I916" s="43" t="n"/>
      <c r="J916" s="41" t="n"/>
      <c r="K916" s="41" t="n"/>
      <c r="L916" s="41" t="n"/>
      <c r="M916" s="31">
        <f>IF(COUNT(J916:L916)=0,"",MEDIAN(J916:L916))</f>
        <v/>
      </c>
      <c r="N916" s="38" t="n"/>
      <c r="O916" s="38" t="n"/>
      <c r="P916" s="38" t="n"/>
      <c r="Q916" s="38" t="n"/>
      <c r="R916" s="38" t="n"/>
      <c r="S916" s="38" t="n"/>
      <c r="T916" s="38" t="n"/>
      <c r="U916" s="38" t="n"/>
      <c r="V916" s="38" t="n"/>
      <c r="W916" s="38" t="n"/>
      <c r="X916" s="38" t="n"/>
      <c r="Y916" s="29" t="n"/>
      <c r="Z916" s="29" t="n"/>
      <c r="AA916" s="29" t="n"/>
      <c r="AB916" s="32" t="n"/>
      <c r="AC916" s="32" t="n"/>
    </row>
    <row r="917">
      <c r="A917" s="26" t="inlineStr">
        <is>
          <t>S18</t>
        </is>
      </c>
      <c r="B917" s="26" t="inlineStr">
        <is>
          <t>통영 신규점</t>
        </is>
      </c>
      <c r="C917" s="26" t="inlineStr">
        <is>
          <t>S18-H남</t>
        </is>
      </c>
      <c r="D917" s="47" t="n">
        <v>1</v>
      </c>
      <c r="E917" s="26" t="inlineStr">
        <is>
          <t>측정</t>
        </is>
      </c>
      <c r="F917" s="26" t="inlineStr">
        <is>
          <t>남</t>
        </is>
      </c>
      <c r="G917" s="31" t="n">
        <v>0.5</v>
      </c>
      <c r="H917" s="30" t="n"/>
      <c r="I917" s="43" t="n"/>
      <c r="J917" s="41" t="n"/>
      <c r="K917" s="41" t="n"/>
      <c r="L917" s="41" t="n"/>
      <c r="M917" s="31">
        <f>IF(COUNT(J917:L917)=0,"",MEDIAN(J917:L917))</f>
        <v/>
      </c>
      <c r="N917" s="26">
        <f>IF(COUNTIFS($C:$C,$C917,$D:$D,$D917,$E:$E,"P0(전)",$M:$M,"&gt;0")&lt;&gt;1,"P0(전) 유효 1개 아님",IF(COUNTIFS($C:$C,$C917,$D:$D,$D917,$E:$E,"P0(후)",$M:$M,"&gt;0")&lt;&gt;1,"P0(후) 유효 1개 아님",IF(NOT(AND(ISNUMBER(O917),ISNUMBER(Q917),ISNUMBER(I917))),"시각 결측",IF(Q917&lt;=O917,"P0 시각 역전",IF(OR(I917&lt;O917,I917&gt;Q917),"측정시각 구간 밖","OK")))))</f>
        <v/>
      </c>
      <c r="O917" s="48">
        <f>IF(COUNTIFS($C:$C,$C917,$D:$D,$D917,$E:$E,"P0(전)",$M:$M,"&gt;0")&lt;&gt;1,"",SUMIFS($I:$I,$C:$C,$C917,$D:$D,$D917,$E:$E,"P0(전)"))</f>
        <v/>
      </c>
      <c r="P917" s="31">
        <f>IF(COUNTIFS($C:$C,$C917,$D:$D,$D917,$E:$E,"P0(전)",$M:$M,"&gt;0")&lt;&gt;1,"",SUMIFS($M:$M,$C:$C,$C917,$D:$D,$D917,$E:$E,"P0(전)"))</f>
        <v/>
      </c>
      <c r="Q917" s="48">
        <f>IF(COUNTIFS($C:$C,$C917,$D:$D,$D917,$E:$E,"P0(후)",$M:$M,"&gt;0")&lt;&gt;1,"",SUMIFS($I:$I,$C:$C,$C917,$D:$D,$D917,$E:$E,"P0(후)"))</f>
        <v/>
      </c>
      <c r="R917" s="31">
        <f>IF(COUNTIFS($C:$C,$C917,$D:$D,$D917,$E:$E,"P0(후)",$M:$M,"&gt;0")&lt;&gt;1,"",SUMIFS($M:$M,$C:$C,$C917,$D:$D,$D917,$E:$E,"P0(후)"))</f>
        <v/>
      </c>
      <c r="S917" s="31">
        <f>IF(N917&lt;&gt;"OK","",P917+(R917-P917)*(I917-O917)/(Q917-O917))</f>
        <v/>
      </c>
      <c r="T917" s="31">
        <f>IF(OR(N917&lt;&gt;"OK",NOT(ISNUMBER(M917))),"",M917-S917)</f>
        <v/>
      </c>
      <c r="U917" s="49">
        <f>IF(OR(NOT(ISNUMBER(T917)),IF(ISNUMBER(H917),H917,G917)=0),"",T917/IF(ISNUMBER(H917),H917,G917))</f>
        <v/>
      </c>
      <c r="V917" s="49">
        <f>IF(ISNUMBER(U917),ABS(U917),"")</f>
        <v/>
      </c>
      <c r="W917" s="49">
        <f>IF(OR($E916&lt;&gt;"측정",$C916&lt;&gt;$C917,$D916&lt;&gt;$D917,NOT(ISNUMBER(M917)),NOT(ISNUMBER(M916)),(IF(ISNUMBER(H917),H917,G917)-IF(ISNUMBER(H916),H916,G916))=0),"",(M917-M916)/(IF(ISNUMBER(H917),H917,G917)-IF(ISNUMBER(H916),H916,G916)))</f>
        <v/>
      </c>
      <c r="X917" s="31">
        <f>IF(NOT(AND(ISNUMBER(O917),ISNUMBER(Q917))),"",(Q917-O917)*1440)</f>
        <v/>
      </c>
      <c r="Y917" s="29" t="n"/>
      <c r="Z917" s="29" t="n"/>
      <c r="AA917" s="29" t="n"/>
      <c r="AB917" s="32" t="n"/>
      <c r="AC917" s="32" t="n"/>
    </row>
    <row r="918">
      <c r="A918" s="26" t="inlineStr">
        <is>
          <t>S18</t>
        </is>
      </c>
      <c r="B918" s="26" t="inlineStr">
        <is>
          <t>통영 신규점</t>
        </is>
      </c>
      <c r="C918" s="26" t="inlineStr">
        <is>
          <t>S18-H남</t>
        </is>
      </c>
      <c r="D918" s="47" t="n">
        <v>1</v>
      </c>
      <c r="E918" s="26" t="inlineStr">
        <is>
          <t>측정</t>
        </is>
      </c>
      <c r="F918" s="26" t="inlineStr">
        <is>
          <t>남</t>
        </is>
      </c>
      <c r="G918" s="31" t="n">
        <v>1</v>
      </c>
      <c r="H918" s="30" t="n"/>
      <c r="I918" s="43" t="n"/>
      <c r="J918" s="41" t="n"/>
      <c r="K918" s="41" t="n"/>
      <c r="L918" s="41" t="n"/>
      <c r="M918" s="31">
        <f>IF(COUNT(J918:L918)=0,"",MEDIAN(J918:L918))</f>
        <v/>
      </c>
      <c r="N918" s="26">
        <f>IF(COUNTIFS($C:$C,$C918,$D:$D,$D918,$E:$E,"P0(전)",$M:$M,"&gt;0")&lt;&gt;1,"P0(전) 유효 1개 아님",IF(COUNTIFS($C:$C,$C918,$D:$D,$D918,$E:$E,"P0(후)",$M:$M,"&gt;0")&lt;&gt;1,"P0(후) 유효 1개 아님",IF(NOT(AND(ISNUMBER(O918),ISNUMBER(Q918),ISNUMBER(I918))),"시각 결측",IF(Q918&lt;=O918,"P0 시각 역전",IF(OR(I918&lt;O918,I918&gt;Q918),"측정시각 구간 밖","OK")))))</f>
        <v/>
      </c>
      <c r="O918" s="48">
        <f>IF(COUNTIFS($C:$C,$C918,$D:$D,$D918,$E:$E,"P0(전)",$M:$M,"&gt;0")&lt;&gt;1,"",SUMIFS($I:$I,$C:$C,$C918,$D:$D,$D918,$E:$E,"P0(전)"))</f>
        <v/>
      </c>
      <c r="P918" s="31">
        <f>IF(COUNTIFS($C:$C,$C918,$D:$D,$D918,$E:$E,"P0(전)",$M:$M,"&gt;0")&lt;&gt;1,"",SUMIFS($M:$M,$C:$C,$C918,$D:$D,$D918,$E:$E,"P0(전)"))</f>
        <v/>
      </c>
      <c r="Q918" s="48">
        <f>IF(COUNTIFS($C:$C,$C918,$D:$D,$D918,$E:$E,"P0(후)",$M:$M,"&gt;0")&lt;&gt;1,"",SUMIFS($I:$I,$C:$C,$C918,$D:$D,$D918,$E:$E,"P0(후)"))</f>
        <v/>
      </c>
      <c r="R918" s="31">
        <f>IF(COUNTIFS($C:$C,$C918,$D:$D,$D918,$E:$E,"P0(후)",$M:$M,"&gt;0")&lt;&gt;1,"",SUMIFS($M:$M,$C:$C,$C918,$D:$D,$D918,$E:$E,"P0(후)"))</f>
        <v/>
      </c>
      <c r="S918" s="31">
        <f>IF(N918&lt;&gt;"OK","",P918+(R918-P918)*(I918-O918)/(Q918-O918))</f>
        <v/>
      </c>
      <c r="T918" s="31">
        <f>IF(OR(N918&lt;&gt;"OK",NOT(ISNUMBER(M918))),"",M918-S918)</f>
        <v/>
      </c>
      <c r="U918" s="49">
        <f>IF(OR(NOT(ISNUMBER(T918)),IF(ISNUMBER(H918),H918,G918)=0),"",T918/IF(ISNUMBER(H918),H918,G918))</f>
        <v/>
      </c>
      <c r="V918" s="49">
        <f>IF(ISNUMBER(U918),ABS(U918),"")</f>
        <v/>
      </c>
      <c r="W918" s="49">
        <f>IF(OR($E917&lt;&gt;"측정",$C917&lt;&gt;$C918,$D917&lt;&gt;$D918,NOT(ISNUMBER(M918)),NOT(ISNUMBER(M917)),(IF(ISNUMBER(H918),H918,G918)-IF(ISNUMBER(H917),H917,G917))=0),"",(M918-M917)/(IF(ISNUMBER(H918),H918,G918)-IF(ISNUMBER(H917),H917,G917)))</f>
        <v/>
      </c>
      <c r="X918" s="31">
        <f>IF(NOT(AND(ISNUMBER(O918),ISNUMBER(Q918))),"",(Q918-O918)*1440)</f>
        <v/>
      </c>
      <c r="Y918" s="29" t="n"/>
      <c r="Z918" s="29" t="n"/>
      <c r="AA918" s="29" t="n"/>
      <c r="AB918" s="32" t="n"/>
      <c r="AC918" s="32" t="n"/>
    </row>
    <row r="919">
      <c r="A919" s="26" t="inlineStr">
        <is>
          <t>S18</t>
        </is>
      </c>
      <c r="B919" s="26" t="inlineStr">
        <is>
          <t>통영 신규점</t>
        </is>
      </c>
      <c r="C919" s="26" t="inlineStr">
        <is>
          <t>S18-H남</t>
        </is>
      </c>
      <c r="D919" s="47" t="n">
        <v>1</v>
      </c>
      <c r="E919" s="26" t="inlineStr">
        <is>
          <t>측정</t>
        </is>
      </c>
      <c r="F919" s="26" t="inlineStr">
        <is>
          <t>남</t>
        </is>
      </c>
      <c r="G919" s="31" t="n">
        <v>2</v>
      </c>
      <c r="H919" s="30" t="n"/>
      <c r="I919" s="43" t="n"/>
      <c r="J919" s="41" t="n"/>
      <c r="K919" s="41" t="n"/>
      <c r="L919" s="41" t="n"/>
      <c r="M919" s="31">
        <f>IF(COUNT(J919:L919)=0,"",MEDIAN(J919:L919))</f>
        <v/>
      </c>
      <c r="N919" s="26">
        <f>IF(COUNTIFS($C:$C,$C919,$D:$D,$D919,$E:$E,"P0(전)",$M:$M,"&gt;0")&lt;&gt;1,"P0(전) 유효 1개 아님",IF(COUNTIFS($C:$C,$C919,$D:$D,$D919,$E:$E,"P0(후)",$M:$M,"&gt;0")&lt;&gt;1,"P0(후) 유효 1개 아님",IF(NOT(AND(ISNUMBER(O919),ISNUMBER(Q919),ISNUMBER(I919))),"시각 결측",IF(Q919&lt;=O919,"P0 시각 역전",IF(OR(I919&lt;O919,I919&gt;Q919),"측정시각 구간 밖","OK")))))</f>
        <v/>
      </c>
      <c r="O919" s="48">
        <f>IF(COUNTIFS($C:$C,$C919,$D:$D,$D919,$E:$E,"P0(전)",$M:$M,"&gt;0")&lt;&gt;1,"",SUMIFS($I:$I,$C:$C,$C919,$D:$D,$D919,$E:$E,"P0(전)"))</f>
        <v/>
      </c>
      <c r="P919" s="31">
        <f>IF(COUNTIFS($C:$C,$C919,$D:$D,$D919,$E:$E,"P0(전)",$M:$M,"&gt;0")&lt;&gt;1,"",SUMIFS($M:$M,$C:$C,$C919,$D:$D,$D919,$E:$E,"P0(전)"))</f>
        <v/>
      </c>
      <c r="Q919" s="48">
        <f>IF(COUNTIFS($C:$C,$C919,$D:$D,$D919,$E:$E,"P0(후)",$M:$M,"&gt;0")&lt;&gt;1,"",SUMIFS($I:$I,$C:$C,$C919,$D:$D,$D919,$E:$E,"P0(후)"))</f>
        <v/>
      </c>
      <c r="R919" s="31">
        <f>IF(COUNTIFS($C:$C,$C919,$D:$D,$D919,$E:$E,"P0(후)",$M:$M,"&gt;0")&lt;&gt;1,"",SUMIFS($M:$M,$C:$C,$C919,$D:$D,$D919,$E:$E,"P0(후)"))</f>
        <v/>
      </c>
      <c r="S919" s="31">
        <f>IF(N919&lt;&gt;"OK","",P919+(R919-P919)*(I919-O919)/(Q919-O919))</f>
        <v/>
      </c>
      <c r="T919" s="31">
        <f>IF(OR(N919&lt;&gt;"OK",NOT(ISNUMBER(M919))),"",M919-S919)</f>
        <v/>
      </c>
      <c r="U919" s="49">
        <f>IF(OR(NOT(ISNUMBER(T919)),IF(ISNUMBER(H919),H919,G919)=0),"",T919/IF(ISNUMBER(H919),H919,G919))</f>
        <v/>
      </c>
      <c r="V919" s="49">
        <f>IF(ISNUMBER(U919),ABS(U919),"")</f>
        <v/>
      </c>
      <c r="W919" s="49">
        <f>IF(OR($E918&lt;&gt;"측정",$C918&lt;&gt;$C919,$D918&lt;&gt;$D919,NOT(ISNUMBER(M919)),NOT(ISNUMBER(M918)),(IF(ISNUMBER(H919),H919,G919)-IF(ISNUMBER(H918),H918,G918))=0),"",(M919-M918)/(IF(ISNUMBER(H919),H919,G919)-IF(ISNUMBER(H918),H918,G918)))</f>
        <v/>
      </c>
      <c r="X919" s="31">
        <f>IF(NOT(AND(ISNUMBER(O919),ISNUMBER(Q919))),"",(Q919-O919)*1440)</f>
        <v/>
      </c>
      <c r="Y919" s="29" t="n"/>
      <c r="Z919" s="29" t="n"/>
      <c r="AA919" s="29" t="n"/>
      <c r="AB919" s="32" t="n"/>
      <c r="AC919" s="32" t="n"/>
    </row>
    <row r="920">
      <c r="A920" s="26" t="inlineStr">
        <is>
          <t>S18</t>
        </is>
      </c>
      <c r="B920" s="26" t="inlineStr">
        <is>
          <t>통영 신규점</t>
        </is>
      </c>
      <c r="C920" s="26" t="inlineStr">
        <is>
          <t>S18-H남</t>
        </is>
      </c>
      <c r="D920" s="47" t="n">
        <v>1</v>
      </c>
      <c r="E920" s="26" t="inlineStr">
        <is>
          <t>측정</t>
        </is>
      </c>
      <c r="F920" s="26" t="inlineStr">
        <is>
          <t>남</t>
        </is>
      </c>
      <c r="G920" s="31" t="n">
        <v>3</v>
      </c>
      <c r="H920" s="30" t="n"/>
      <c r="I920" s="43" t="n"/>
      <c r="J920" s="41" t="n"/>
      <c r="K920" s="41" t="n"/>
      <c r="L920" s="41" t="n"/>
      <c r="M920" s="31">
        <f>IF(COUNT(J920:L920)=0,"",MEDIAN(J920:L920))</f>
        <v/>
      </c>
      <c r="N920" s="26">
        <f>IF(COUNTIFS($C:$C,$C920,$D:$D,$D920,$E:$E,"P0(전)",$M:$M,"&gt;0")&lt;&gt;1,"P0(전) 유효 1개 아님",IF(COUNTIFS($C:$C,$C920,$D:$D,$D920,$E:$E,"P0(후)",$M:$M,"&gt;0")&lt;&gt;1,"P0(후) 유효 1개 아님",IF(NOT(AND(ISNUMBER(O920),ISNUMBER(Q920),ISNUMBER(I920))),"시각 결측",IF(Q920&lt;=O920,"P0 시각 역전",IF(OR(I920&lt;O920,I920&gt;Q920),"측정시각 구간 밖","OK")))))</f>
        <v/>
      </c>
      <c r="O920" s="48">
        <f>IF(COUNTIFS($C:$C,$C920,$D:$D,$D920,$E:$E,"P0(전)",$M:$M,"&gt;0")&lt;&gt;1,"",SUMIFS($I:$I,$C:$C,$C920,$D:$D,$D920,$E:$E,"P0(전)"))</f>
        <v/>
      </c>
      <c r="P920" s="31">
        <f>IF(COUNTIFS($C:$C,$C920,$D:$D,$D920,$E:$E,"P0(전)",$M:$M,"&gt;0")&lt;&gt;1,"",SUMIFS($M:$M,$C:$C,$C920,$D:$D,$D920,$E:$E,"P0(전)"))</f>
        <v/>
      </c>
      <c r="Q920" s="48">
        <f>IF(COUNTIFS($C:$C,$C920,$D:$D,$D920,$E:$E,"P0(후)",$M:$M,"&gt;0")&lt;&gt;1,"",SUMIFS($I:$I,$C:$C,$C920,$D:$D,$D920,$E:$E,"P0(후)"))</f>
        <v/>
      </c>
      <c r="R920" s="31">
        <f>IF(COUNTIFS($C:$C,$C920,$D:$D,$D920,$E:$E,"P0(후)",$M:$M,"&gt;0")&lt;&gt;1,"",SUMIFS($M:$M,$C:$C,$C920,$D:$D,$D920,$E:$E,"P0(후)"))</f>
        <v/>
      </c>
      <c r="S920" s="31">
        <f>IF(N920&lt;&gt;"OK","",P920+(R920-P920)*(I920-O920)/(Q920-O920))</f>
        <v/>
      </c>
      <c r="T920" s="31">
        <f>IF(OR(N920&lt;&gt;"OK",NOT(ISNUMBER(M920))),"",M920-S920)</f>
        <v/>
      </c>
      <c r="U920" s="49">
        <f>IF(OR(NOT(ISNUMBER(T920)),IF(ISNUMBER(H920),H920,G920)=0),"",T920/IF(ISNUMBER(H920),H920,G920))</f>
        <v/>
      </c>
      <c r="V920" s="49">
        <f>IF(ISNUMBER(U920),ABS(U920),"")</f>
        <v/>
      </c>
      <c r="W920" s="49">
        <f>IF(OR($E919&lt;&gt;"측정",$C919&lt;&gt;$C920,$D919&lt;&gt;$D920,NOT(ISNUMBER(M920)),NOT(ISNUMBER(M919)),(IF(ISNUMBER(H920),H920,G920)-IF(ISNUMBER(H919),H919,G919))=0),"",(M920-M919)/(IF(ISNUMBER(H920),H920,G920)-IF(ISNUMBER(H919),H919,G919)))</f>
        <v/>
      </c>
      <c r="X920" s="31">
        <f>IF(NOT(AND(ISNUMBER(O920),ISNUMBER(Q920))),"",(Q920-O920)*1440)</f>
        <v/>
      </c>
      <c r="Y920" s="29" t="n"/>
      <c r="Z920" s="29" t="n"/>
      <c r="AA920" s="29" t="n"/>
      <c r="AB920" s="32" t="n"/>
      <c r="AC920" s="32" t="n"/>
    </row>
    <row r="921">
      <c r="A921" s="26" t="inlineStr">
        <is>
          <t>S18</t>
        </is>
      </c>
      <c r="B921" s="26" t="inlineStr">
        <is>
          <t>통영 신규점</t>
        </is>
      </c>
      <c r="C921" s="26" t="inlineStr">
        <is>
          <t>S18-H남</t>
        </is>
      </c>
      <c r="D921" s="47" t="n">
        <v>1</v>
      </c>
      <c r="E921" s="26" t="inlineStr">
        <is>
          <t>측정</t>
        </is>
      </c>
      <c r="F921" s="26" t="inlineStr">
        <is>
          <t>남</t>
        </is>
      </c>
      <c r="G921" s="31" t="n">
        <v>4</v>
      </c>
      <c r="H921" s="30" t="n"/>
      <c r="I921" s="43" t="n"/>
      <c r="J921" s="41" t="n"/>
      <c r="K921" s="41" t="n"/>
      <c r="L921" s="41" t="n"/>
      <c r="M921" s="31">
        <f>IF(COUNT(J921:L921)=0,"",MEDIAN(J921:L921))</f>
        <v/>
      </c>
      <c r="N921" s="26">
        <f>IF(COUNTIFS($C:$C,$C921,$D:$D,$D921,$E:$E,"P0(전)",$M:$M,"&gt;0")&lt;&gt;1,"P0(전) 유효 1개 아님",IF(COUNTIFS($C:$C,$C921,$D:$D,$D921,$E:$E,"P0(후)",$M:$M,"&gt;0")&lt;&gt;1,"P0(후) 유효 1개 아님",IF(NOT(AND(ISNUMBER(O921),ISNUMBER(Q921),ISNUMBER(I921))),"시각 결측",IF(Q921&lt;=O921,"P0 시각 역전",IF(OR(I921&lt;O921,I921&gt;Q921),"측정시각 구간 밖","OK")))))</f>
        <v/>
      </c>
      <c r="O921" s="48">
        <f>IF(COUNTIFS($C:$C,$C921,$D:$D,$D921,$E:$E,"P0(전)",$M:$M,"&gt;0")&lt;&gt;1,"",SUMIFS($I:$I,$C:$C,$C921,$D:$D,$D921,$E:$E,"P0(전)"))</f>
        <v/>
      </c>
      <c r="P921" s="31">
        <f>IF(COUNTIFS($C:$C,$C921,$D:$D,$D921,$E:$E,"P0(전)",$M:$M,"&gt;0")&lt;&gt;1,"",SUMIFS($M:$M,$C:$C,$C921,$D:$D,$D921,$E:$E,"P0(전)"))</f>
        <v/>
      </c>
      <c r="Q921" s="48">
        <f>IF(COUNTIFS($C:$C,$C921,$D:$D,$D921,$E:$E,"P0(후)",$M:$M,"&gt;0")&lt;&gt;1,"",SUMIFS($I:$I,$C:$C,$C921,$D:$D,$D921,$E:$E,"P0(후)"))</f>
        <v/>
      </c>
      <c r="R921" s="31">
        <f>IF(COUNTIFS($C:$C,$C921,$D:$D,$D921,$E:$E,"P0(후)",$M:$M,"&gt;0")&lt;&gt;1,"",SUMIFS($M:$M,$C:$C,$C921,$D:$D,$D921,$E:$E,"P0(후)"))</f>
        <v/>
      </c>
      <c r="S921" s="31">
        <f>IF(N921&lt;&gt;"OK","",P921+(R921-P921)*(I921-O921)/(Q921-O921))</f>
        <v/>
      </c>
      <c r="T921" s="31">
        <f>IF(OR(N921&lt;&gt;"OK",NOT(ISNUMBER(M921))),"",M921-S921)</f>
        <v/>
      </c>
      <c r="U921" s="49">
        <f>IF(OR(NOT(ISNUMBER(T921)),IF(ISNUMBER(H921),H921,G921)=0),"",T921/IF(ISNUMBER(H921),H921,G921))</f>
        <v/>
      </c>
      <c r="V921" s="49">
        <f>IF(ISNUMBER(U921),ABS(U921),"")</f>
        <v/>
      </c>
      <c r="W921" s="49">
        <f>IF(OR($E920&lt;&gt;"측정",$C920&lt;&gt;$C921,$D920&lt;&gt;$D921,NOT(ISNUMBER(M921)),NOT(ISNUMBER(M920)),(IF(ISNUMBER(H921),H921,G921)-IF(ISNUMBER(H920),H920,G920))=0),"",(M921-M920)/(IF(ISNUMBER(H921),H921,G921)-IF(ISNUMBER(H920),H920,G920)))</f>
        <v/>
      </c>
      <c r="X921" s="31">
        <f>IF(NOT(AND(ISNUMBER(O921),ISNUMBER(Q921))),"",(Q921-O921)*1440)</f>
        <v/>
      </c>
      <c r="Y921" s="29" t="n"/>
      <c r="Z921" s="29" t="n"/>
      <c r="AA921" s="29" t="n"/>
      <c r="AB921" s="32" t="n"/>
      <c r="AC921" s="32" t="n"/>
    </row>
    <row r="922">
      <c r="A922" s="26" t="inlineStr">
        <is>
          <t>S18</t>
        </is>
      </c>
      <c r="B922" s="26" t="inlineStr">
        <is>
          <t>통영 신규점</t>
        </is>
      </c>
      <c r="C922" s="26" t="inlineStr">
        <is>
          <t>S18-H남</t>
        </is>
      </c>
      <c r="D922" s="47" t="n">
        <v>1</v>
      </c>
      <c r="E922" s="26" t="inlineStr">
        <is>
          <t>측정</t>
        </is>
      </c>
      <c r="F922" s="26" t="inlineStr">
        <is>
          <t>남</t>
        </is>
      </c>
      <c r="G922" s="31" t="n">
        <v>5</v>
      </c>
      <c r="H922" s="30" t="n"/>
      <c r="I922" s="43" t="n"/>
      <c r="J922" s="41" t="n"/>
      <c r="K922" s="41" t="n"/>
      <c r="L922" s="41" t="n"/>
      <c r="M922" s="31">
        <f>IF(COUNT(J922:L922)=0,"",MEDIAN(J922:L922))</f>
        <v/>
      </c>
      <c r="N922" s="26">
        <f>IF(COUNTIFS($C:$C,$C922,$D:$D,$D922,$E:$E,"P0(전)",$M:$M,"&gt;0")&lt;&gt;1,"P0(전) 유효 1개 아님",IF(COUNTIFS($C:$C,$C922,$D:$D,$D922,$E:$E,"P0(후)",$M:$M,"&gt;0")&lt;&gt;1,"P0(후) 유효 1개 아님",IF(NOT(AND(ISNUMBER(O922),ISNUMBER(Q922),ISNUMBER(I922))),"시각 결측",IF(Q922&lt;=O922,"P0 시각 역전",IF(OR(I922&lt;O922,I922&gt;Q922),"측정시각 구간 밖","OK")))))</f>
        <v/>
      </c>
      <c r="O922" s="48">
        <f>IF(COUNTIFS($C:$C,$C922,$D:$D,$D922,$E:$E,"P0(전)",$M:$M,"&gt;0")&lt;&gt;1,"",SUMIFS($I:$I,$C:$C,$C922,$D:$D,$D922,$E:$E,"P0(전)"))</f>
        <v/>
      </c>
      <c r="P922" s="31">
        <f>IF(COUNTIFS($C:$C,$C922,$D:$D,$D922,$E:$E,"P0(전)",$M:$M,"&gt;0")&lt;&gt;1,"",SUMIFS($M:$M,$C:$C,$C922,$D:$D,$D922,$E:$E,"P0(전)"))</f>
        <v/>
      </c>
      <c r="Q922" s="48">
        <f>IF(COUNTIFS($C:$C,$C922,$D:$D,$D922,$E:$E,"P0(후)",$M:$M,"&gt;0")&lt;&gt;1,"",SUMIFS($I:$I,$C:$C,$C922,$D:$D,$D922,$E:$E,"P0(후)"))</f>
        <v/>
      </c>
      <c r="R922" s="31">
        <f>IF(COUNTIFS($C:$C,$C922,$D:$D,$D922,$E:$E,"P0(후)",$M:$M,"&gt;0")&lt;&gt;1,"",SUMIFS($M:$M,$C:$C,$C922,$D:$D,$D922,$E:$E,"P0(후)"))</f>
        <v/>
      </c>
      <c r="S922" s="31">
        <f>IF(N922&lt;&gt;"OK","",P922+(R922-P922)*(I922-O922)/(Q922-O922))</f>
        <v/>
      </c>
      <c r="T922" s="31">
        <f>IF(OR(N922&lt;&gt;"OK",NOT(ISNUMBER(M922))),"",M922-S922)</f>
        <v/>
      </c>
      <c r="U922" s="49">
        <f>IF(OR(NOT(ISNUMBER(T922)),IF(ISNUMBER(H922),H922,G922)=0),"",T922/IF(ISNUMBER(H922),H922,G922))</f>
        <v/>
      </c>
      <c r="V922" s="49">
        <f>IF(ISNUMBER(U922),ABS(U922),"")</f>
        <v/>
      </c>
      <c r="W922" s="49">
        <f>IF(OR($E921&lt;&gt;"측정",$C921&lt;&gt;$C922,$D921&lt;&gt;$D922,NOT(ISNUMBER(M922)),NOT(ISNUMBER(M921)),(IF(ISNUMBER(H922),H922,G922)-IF(ISNUMBER(H921),H921,G921))=0),"",(M922-M921)/(IF(ISNUMBER(H922),H922,G922)-IF(ISNUMBER(H921),H921,G921)))</f>
        <v/>
      </c>
      <c r="X922" s="31">
        <f>IF(NOT(AND(ISNUMBER(O922),ISNUMBER(Q922))),"",(Q922-O922)*1440)</f>
        <v/>
      </c>
      <c r="Y922" s="29" t="n"/>
      <c r="Z922" s="29" t="n"/>
      <c r="AA922" s="29" t="n"/>
      <c r="AB922" s="32" t="n"/>
      <c r="AC922" s="32" t="n"/>
    </row>
    <row r="923">
      <c r="A923" s="26" t="inlineStr">
        <is>
          <t>S18</t>
        </is>
      </c>
      <c r="B923" s="26" t="inlineStr">
        <is>
          <t>통영 신규점</t>
        </is>
      </c>
      <c r="C923" s="26" t="inlineStr">
        <is>
          <t>S18-H남</t>
        </is>
      </c>
      <c r="D923" s="47" t="n">
        <v>1</v>
      </c>
      <c r="E923" s="26" t="inlineStr">
        <is>
          <t>측정</t>
        </is>
      </c>
      <c r="F923" s="26" t="inlineStr">
        <is>
          <t>남</t>
        </is>
      </c>
      <c r="G923" s="31" t="n">
        <v>6</v>
      </c>
      <c r="H923" s="30" t="n"/>
      <c r="I923" s="43" t="n"/>
      <c r="J923" s="41" t="n"/>
      <c r="K923" s="41" t="n"/>
      <c r="L923" s="41" t="n"/>
      <c r="M923" s="31">
        <f>IF(COUNT(J923:L923)=0,"",MEDIAN(J923:L923))</f>
        <v/>
      </c>
      <c r="N923" s="26">
        <f>IF(COUNTIFS($C:$C,$C923,$D:$D,$D923,$E:$E,"P0(전)",$M:$M,"&gt;0")&lt;&gt;1,"P0(전) 유효 1개 아님",IF(COUNTIFS($C:$C,$C923,$D:$D,$D923,$E:$E,"P0(후)",$M:$M,"&gt;0")&lt;&gt;1,"P0(후) 유효 1개 아님",IF(NOT(AND(ISNUMBER(O923),ISNUMBER(Q923),ISNUMBER(I923))),"시각 결측",IF(Q923&lt;=O923,"P0 시각 역전",IF(OR(I923&lt;O923,I923&gt;Q923),"측정시각 구간 밖","OK")))))</f>
        <v/>
      </c>
      <c r="O923" s="48">
        <f>IF(COUNTIFS($C:$C,$C923,$D:$D,$D923,$E:$E,"P0(전)",$M:$M,"&gt;0")&lt;&gt;1,"",SUMIFS($I:$I,$C:$C,$C923,$D:$D,$D923,$E:$E,"P0(전)"))</f>
        <v/>
      </c>
      <c r="P923" s="31">
        <f>IF(COUNTIFS($C:$C,$C923,$D:$D,$D923,$E:$E,"P0(전)",$M:$M,"&gt;0")&lt;&gt;1,"",SUMIFS($M:$M,$C:$C,$C923,$D:$D,$D923,$E:$E,"P0(전)"))</f>
        <v/>
      </c>
      <c r="Q923" s="48">
        <f>IF(COUNTIFS($C:$C,$C923,$D:$D,$D923,$E:$E,"P0(후)",$M:$M,"&gt;0")&lt;&gt;1,"",SUMIFS($I:$I,$C:$C,$C923,$D:$D,$D923,$E:$E,"P0(후)"))</f>
        <v/>
      </c>
      <c r="R923" s="31">
        <f>IF(COUNTIFS($C:$C,$C923,$D:$D,$D923,$E:$E,"P0(후)",$M:$M,"&gt;0")&lt;&gt;1,"",SUMIFS($M:$M,$C:$C,$C923,$D:$D,$D923,$E:$E,"P0(후)"))</f>
        <v/>
      </c>
      <c r="S923" s="31">
        <f>IF(N923&lt;&gt;"OK","",P923+(R923-P923)*(I923-O923)/(Q923-O923))</f>
        <v/>
      </c>
      <c r="T923" s="31">
        <f>IF(OR(N923&lt;&gt;"OK",NOT(ISNUMBER(M923))),"",M923-S923)</f>
        <v/>
      </c>
      <c r="U923" s="49">
        <f>IF(OR(NOT(ISNUMBER(T923)),IF(ISNUMBER(H923),H923,G923)=0),"",T923/IF(ISNUMBER(H923),H923,G923))</f>
        <v/>
      </c>
      <c r="V923" s="49">
        <f>IF(ISNUMBER(U923),ABS(U923),"")</f>
        <v/>
      </c>
      <c r="W923" s="49">
        <f>IF(OR($E922&lt;&gt;"측정",$C922&lt;&gt;$C923,$D922&lt;&gt;$D923,NOT(ISNUMBER(M923)),NOT(ISNUMBER(M922)),(IF(ISNUMBER(H923),H923,G923)-IF(ISNUMBER(H922),H922,G922))=0),"",(M923-M922)/(IF(ISNUMBER(H923),H923,G923)-IF(ISNUMBER(H922),H922,G922)))</f>
        <v/>
      </c>
      <c r="X923" s="31">
        <f>IF(NOT(AND(ISNUMBER(O923),ISNUMBER(Q923))),"",(Q923-O923)*1440)</f>
        <v/>
      </c>
      <c r="Y923" s="29" t="n"/>
      <c r="Z923" s="29" t="n"/>
      <c r="AA923" s="29" t="n"/>
      <c r="AB923" s="32" t="n"/>
      <c r="AC923" s="32" t="n"/>
    </row>
    <row r="924">
      <c r="A924" s="26" t="inlineStr">
        <is>
          <t>S18</t>
        </is>
      </c>
      <c r="B924" s="26" t="inlineStr">
        <is>
          <t>통영 신규점</t>
        </is>
      </c>
      <c r="C924" s="26" t="inlineStr">
        <is>
          <t>S18-H남</t>
        </is>
      </c>
      <c r="D924" s="47" t="n">
        <v>1</v>
      </c>
      <c r="E924" s="26" t="inlineStr">
        <is>
          <t>측정</t>
        </is>
      </c>
      <c r="F924" s="26" t="inlineStr">
        <is>
          <t>남</t>
        </is>
      </c>
      <c r="G924" s="31" t="n">
        <v>7</v>
      </c>
      <c r="H924" s="30" t="n"/>
      <c r="I924" s="43" t="n"/>
      <c r="J924" s="41" t="n"/>
      <c r="K924" s="41" t="n"/>
      <c r="L924" s="41" t="n"/>
      <c r="M924" s="31">
        <f>IF(COUNT(J924:L924)=0,"",MEDIAN(J924:L924))</f>
        <v/>
      </c>
      <c r="N924" s="26">
        <f>IF(COUNTIFS($C:$C,$C924,$D:$D,$D924,$E:$E,"P0(전)",$M:$M,"&gt;0")&lt;&gt;1,"P0(전) 유효 1개 아님",IF(COUNTIFS($C:$C,$C924,$D:$D,$D924,$E:$E,"P0(후)",$M:$M,"&gt;0")&lt;&gt;1,"P0(후) 유효 1개 아님",IF(NOT(AND(ISNUMBER(O924),ISNUMBER(Q924),ISNUMBER(I924))),"시각 결측",IF(Q924&lt;=O924,"P0 시각 역전",IF(OR(I924&lt;O924,I924&gt;Q924),"측정시각 구간 밖","OK")))))</f>
        <v/>
      </c>
      <c r="O924" s="48">
        <f>IF(COUNTIFS($C:$C,$C924,$D:$D,$D924,$E:$E,"P0(전)",$M:$M,"&gt;0")&lt;&gt;1,"",SUMIFS($I:$I,$C:$C,$C924,$D:$D,$D924,$E:$E,"P0(전)"))</f>
        <v/>
      </c>
      <c r="P924" s="31">
        <f>IF(COUNTIFS($C:$C,$C924,$D:$D,$D924,$E:$E,"P0(전)",$M:$M,"&gt;0")&lt;&gt;1,"",SUMIFS($M:$M,$C:$C,$C924,$D:$D,$D924,$E:$E,"P0(전)"))</f>
        <v/>
      </c>
      <c r="Q924" s="48">
        <f>IF(COUNTIFS($C:$C,$C924,$D:$D,$D924,$E:$E,"P0(후)",$M:$M,"&gt;0")&lt;&gt;1,"",SUMIFS($I:$I,$C:$C,$C924,$D:$D,$D924,$E:$E,"P0(후)"))</f>
        <v/>
      </c>
      <c r="R924" s="31">
        <f>IF(COUNTIFS($C:$C,$C924,$D:$D,$D924,$E:$E,"P0(후)",$M:$M,"&gt;0")&lt;&gt;1,"",SUMIFS($M:$M,$C:$C,$C924,$D:$D,$D924,$E:$E,"P0(후)"))</f>
        <v/>
      </c>
      <c r="S924" s="31">
        <f>IF(N924&lt;&gt;"OK","",P924+(R924-P924)*(I924-O924)/(Q924-O924))</f>
        <v/>
      </c>
      <c r="T924" s="31">
        <f>IF(OR(N924&lt;&gt;"OK",NOT(ISNUMBER(M924))),"",M924-S924)</f>
        <v/>
      </c>
      <c r="U924" s="49">
        <f>IF(OR(NOT(ISNUMBER(T924)),IF(ISNUMBER(H924),H924,G924)=0),"",T924/IF(ISNUMBER(H924),H924,G924))</f>
        <v/>
      </c>
      <c r="V924" s="49">
        <f>IF(ISNUMBER(U924),ABS(U924),"")</f>
        <v/>
      </c>
      <c r="W924" s="49">
        <f>IF(OR($E923&lt;&gt;"측정",$C923&lt;&gt;$C924,$D923&lt;&gt;$D924,NOT(ISNUMBER(M924)),NOT(ISNUMBER(M923)),(IF(ISNUMBER(H924),H924,G924)-IF(ISNUMBER(H923),H923,G923))=0),"",(M924-M923)/(IF(ISNUMBER(H924),H924,G924)-IF(ISNUMBER(H923),H923,G923)))</f>
        <v/>
      </c>
      <c r="X924" s="31">
        <f>IF(NOT(AND(ISNUMBER(O924),ISNUMBER(Q924))),"",(Q924-O924)*1440)</f>
        <v/>
      </c>
      <c r="Y924" s="29" t="n"/>
      <c r="Z924" s="29" t="n"/>
      <c r="AA924" s="29" t="n"/>
      <c r="AB924" s="32" t="n"/>
      <c r="AC924" s="32" t="n"/>
    </row>
    <row r="925">
      <c r="A925" s="26" t="inlineStr">
        <is>
          <t>S18</t>
        </is>
      </c>
      <c r="B925" s="26" t="inlineStr">
        <is>
          <t>통영 신규점</t>
        </is>
      </c>
      <c r="C925" s="26" t="inlineStr">
        <is>
          <t>S18-H남</t>
        </is>
      </c>
      <c r="D925" s="47" t="n">
        <v>1</v>
      </c>
      <c r="E925" s="26" t="inlineStr">
        <is>
          <t>측정</t>
        </is>
      </c>
      <c r="F925" s="26" t="inlineStr">
        <is>
          <t>남</t>
        </is>
      </c>
      <c r="G925" s="31" t="n">
        <v>8</v>
      </c>
      <c r="H925" s="30" t="n"/>
      <c r="I925" s="43" t="n"/>
      <c r="J925" s="41" t="n"/>
      <c r="K925" s="41" t="n"/>
      <c r="L925" s="41" t="n"/>
      <c r="M925" s="31">
        <f>IF(COUNT(J925:L925)=0,"",MEDIAN(J925:L925))</f>
        <v/>
      </c>
      <c r="N925" s="26">
        <f>IF(COUNTIFS($C:$C,$C925,$D:$D,$D925,$E:$E,"P0(전)",$M:$M,"&gt;0")&lt;&gt;1,"P0(전) 유효 1개 아님",IF(COUNTIFS($C:$C,$C925,$D:$D,$D925,$E:$E,"P0(후)",$M:$M,"&gt;0")&lt;&gt;1,"P0(후) 유효 1개 아님",IF(NOT(AND(ISNUMBER(O925),ISNUMBER(Q925),ISNUMBER(I925))),"시각 결측",IF(Q925&lt;=O925,"P0 시각 역전",IF(OR(I925&lt;O925,I925&gt;Q925),"측정시각 구간 밖","OK")))))</f>
        <v/>
      </c>
      <c r="O925" s="48">
        <f>IF(COUNTIFS($C:$C,$C925,$D:$D,$D925,$E:$E,"P0(전)",$M:$M,"&gt;0")&lt;&gt;1,"",SUMIFS($I:$I,$C:$C,$C925,$D:$D,$D925,$E:$E,"P0(전)"))</f>
        <v/>
      </c>
      <c r="P925" s="31">
        <f>IF(COUNTIFS($C:$C,$C925,$D:$D,$D925,$E:$E,"P0(전)",$M:$M,"&gt;0")&lt;&gt;1,"",SUMIFS($M:$M,$C:$C,$C925,$D:$D,$D925,$E:$E,"P0(전)"))</f>
        <v/>
      </c>
      <c r="Q925" s="48">
        <f>IF(COUNTIFS($C:$C,$C925,$D:$D,$D925,$E:$E,"P0(후)",$M:$M,"&gt;0")&lt;&gt;1,"",SUMIFS($I:$I,$C:$C,$C925,$D:$D,$D925,$E:$E,"P0(후)"))</f>
        <v/>
      </c>
      <c r="R925" s="31">
        <f>IF(COUNTIFS($C:$C,$C925,$D:$D,$D925,$E:$E,"P0(후)",$M:$M,"&gt;0")&lt;&gt;1,"",SUMIFS($M:$M,$C:$C,$C925,$D:$D,$D925,$E:$E,"P0(후)"))</f>
        <v/>
      </c>
      <c r="S925" s="31">
        <f>IF(N925&lt;&gt;"OK","",P925+(R925-P925)*(I925-O925)/(Q925-O925))</f>
        <v/>
      </c>
      <c r="T925" s="31">
        <f>IF(OR(N925&lt;&gt;"OK",NOT(ISNUMBER(M925))),"",M925-S925)</f>
        <v/>
      </c>
      <c r="U925" s="49">
        <f>IF(OR(NOT(ISNUMBER(T925)),IF(ISNUMBER(H925),H925,G925)=0),"",T925/IF(ISNUMBER(H925),H925,G925))</f>
        <v/>
      </c>
      <c r="V925" s="49">
        <f>IF(ISNUMBER(U925),ABS(U925),"")</f>
        <v/>
      </c>
      <c r="W925" s="49">
        <f>IF(OR($E924&lt;&gt;"측정",$C924&lt;&gt;$C925,$D924&lt;&gt;$D925,NOT(ISNUMBER(M925)),NOT(ISNUMBER(M924)),(IF(ISNUMBER(H925),H925,G925)-IF(ISNUMBER(H924),H924,G924))=0),"",(M925-M924)/(IF(ISNUMBER(H925),H925,G925)-IF(ISNUMBER(H924),H924,G924)))</f>
        <v/>
      </c>
      <c r="X925" s="31">
        <f>IF(NOT(AND(ISNUMBER(O925),ISNUMBER(Q925))),"",(Q925-O925)*1440)</f>
        <v/>
      </c>
      <c r="Y925" s="29" t="n"/>
      <c r="Z925" s="29" t="n"/>
      <c r="AA925" s="29" t="n"/>
      <c r="AB925" s="32" t="n"/>
      <c r="AC925" s="32" t="n"/>
    </row>
    <row r="926">
      <c r="A926" s="26" t="inlineStr">
        <is>
          <t>S18</t>
        </is>
      </c>
      <c r="B926" s="26" t="inlineStr">
        <is>
          <t>통영 신규점</t>
        </is>
      </c>
      <c r="C926" s="26" t="inlineStr">
        <is>
          <t>S18-H남</t>
        </is>
      </c>
      <c r="D926" s="47" t="n">
        <v>1</v>
      </c>
      <c r="E926" s="26" t="inlineStr">
        <is>
          <t>측정</t>
        </is>
      </c>
      <c r="F926" s="26" t="inlineStr">
        <is>
          <t>남</t>
        </is>
      </c>
      <c r="G926" s="31" t="n">
        <v>9</v>
      </c>
      <c r="H926" s="30" t="n"/>
      <c r="I926" s="43" t="n"/>
      <c r="J926" s="41" t="n"/>
      <c r="K926" s="41" t="n"/>
      <c r="L926" s="41" t="n"/>
      <c r="M926" s="31">
        <f>IF(COUNT(J926:L926)=0,"",MEDIAN(J926:L926))</f>
        <v/>
      </c>
      <c r="N926" s="26">
        <f>IF(COUNTIFS($C:$C,$C926,$D:$D,$D926,$E:$E,"P0(전)",$M:$M,"&gt;0")&lt;&gt;1,"P0(전) 유효 1개 아님",IF(COUNTIFS($C:$C,$C926,$D:$D,$D926,$E:$E,"P0(후)",$M:$M,"&gt;0")&lt;&gt;1,"P0(후) 유효 1개 아님",IF(NOT(AND(ISNUMBER(O926),ISNUMBER(Q926),ISNUMBER(I926))),"시각 결측",IF(Q926&lt;=O926,"P0 시각 역전",IF(OR(I926&lt;O926,I926&gt;Q926),"측정시각 구간 밖","OK")))))</f>
        <v/>
      </c>
      <c r="O926" s="48">
        <f>IF(COUNTIFS($C:$C,$C926,$D:$D,$D926,$E:$E,"P0(전)",$M:$M,"&gt;0")&lt;&gt;1,"",SUMIFS($I:$I,$C:$C,$C926,$D:$D,$D926,$E:$E,"P0(전)"))</f>
        <v/>
      </c>
      <c r="P926" s="31">
        <f>IF(COUNTIFS($C:$C,$C926,$D:$D,$D926,$E:$E,"P0(전)",$M:$M,"&gt;0")&lt;&gt;1,"",SUMIFS($M:$M,$C:$C,$C926,$D:$D,$D926,$E:$E,"P0(전)"))</f>
        <v/>
      </c>
      <c r="Q926" s="48">
        <f>IF(COUNTIFS($C:$C,$C926,$D:$D,$D926,$E:$E,"P0(후)",$M:$M,"&gt;0")&lt;&gt;1,"",SUMIFS($I:$I,$C:$C,$C926,$D:$D,$D926,$E:$E,"P0(후)"))</f>
        <v/>
      </c>
      <c r="R926" s="31">
        <f>IF(COUNTIFS($C:$C,$C926,$D:$D,$D926,$E:$E,"P0(후)",$M:$M,"&gt;0")&lt;&gt;1,"",SUMIFS($M:$M,$C:$C,$C926,$D:$D,$D926,$E:$E,"P0(후)"))</f>
        <v/>
      </c>
      <c r="S926" s="31">
        <f>IF(N926&lt;&gt;"OK","",P926+(R926-P926)*(I926-O926)/(Q926-O926))</f>
        <v/>
      </c>
      <c r="T926" s="31">
        <f>IF(OR(N926&lt;&gt;"OK",NOT(ISNUMBER(M926))),"",M926-S926)</f>
        <v/>
      </c>
      <c r="U926" s="49">
        <f>IF(OR(NOT(ISNUMBER(T926)),IF(ISNUMBER(H926),H926,G926)=0),"",T926/IF(ISNUMBER(H926),H926,G926))</f>
        <v/>
      </c>
      <c r="V926" s="49">
        <f>IF(ISNUMBER(U926),ABS(U926),"")</f>
        <v/>
      </c>
      <c r="W926" s="49">
        <f>IF(OR($E925&lt;&gt;"측정",$C925&lt;&gt;$C926,$D925&lt;&gt;$D926,NOT(ISNUMBER(M926)),NOT(ISNUMBER(M925)),(IF(ISNUMBER(H926),H926,G926)-IF(ISNUMBER(H925),H925,G925))=0),"",(M926-M925)/(IF(ISNUMBER(H926),H926,G926)-IF(ISNUMBER(H925),H925,G925)))</f>
        <v/>
      </c>
      <c r="X926" s="31">
        <f>IF(NOT(AND(ISNUMBER(O926),ISNUMBER(Q926))),"",(Q926-O926)*1440)</f>
        <v/>
      </c>
      <c r="Y926" s="29" t="n"/>
      <c r="Z926" s="29" t="n"/>
      <c r="AA926" s="29" t="n"/>
      <c r="AB926" s="32" t="n"/>
      <c r="AC926" s="32" t="n"/>
    </row>
    <row r="927">
      <c r="A927" s="26" t="inlineStr">
        <is>
          <t>S18</t>
        </is>
      </c>
      <c r="B927" s="26" t="inlineStr">
        <is>
          <t>통영 신규점</t>
        </is>
      </c>
      <c r="C927" s="26" t="inlineStr">
        <is>
          <t>S18-H남</t>
        </is>
      </c>
      <c r="D927" s="47" t="n">
        <v>1</v>
      </c>
      <c r="E927" s="26" t="inlineStr">
        <is>
          <t>측정</t>
        </is>
      </c>
      <c r="F927" s="26" t="inlineStr">
        <is>
          <t>남</t>
        </is>
      </c>
      <c r="G927" s="31" t="n">
        <v>10</v>
      </c>
      <c r="H927" s="30" t="n"/>
      <c r="I927" s="43" t="n"/>
      <c r="J927" s="41" t="n"/>
      <c r="K927" s="41" t="n"/>
      <c r="L927" s="41" t="n"/>
      <c r="M927" s="31">
        <f>IF(COUNT(J927:L927)=0,"",MEDIAN(J927:L927))</f>
        <v/>
      </c>
      <c r="N927" s="26">
        <f>IF(COUNTIFS($C:$C,$C927,$D:$D,$D927,$E:$E,"P0(전)",$M:$M,"&gt;0")&lt;&gt;1,"P0(전) 유효 1개 아님",IF(COUNTIFS($C:$C,$C927,$D:$D,$D927,$E:$E,"P0(후)",$M:$M,"&gt;0")&lt;&gt;1,"P0(후) 유효 1개 아님",IF(NOT(AND(ISNUMBER(O927),ISNUMBER(Q927),ISNUMBER(I927))),"시각 결측",IF(Q927&lt;=O927,"P0 시각 역전",IF(OR(I927&lt;O927,I927&gt;Q927),"측정시각 구간 밖","OK")))))</f>
        <v/>
      </c>
      <c r="O927" s="48">
        <f>IF(COUNTIFS($C:$C,$C927,$D:$D,$D927,$E:$E,"P0(전)",$M:$M,"&gt;0")&lt;&gt;1,"",SUMIFS($I:$I,$C:$C,$C927,$D:$D,$D927,$E:$E,"P0(전)"))</f>
        <v/>
      </c>
      <c r="P927" s="31">
        <f>IF(COUNTIFS($C:$C,$C927,$D:$D,$D927,$E:$E,"P0(전)",$M:$M,"&gt;0")&lt;&gt;1,"",SUMIFS($M:$M,$C:$C,$C927,$D:$D,$D927,$E:$E,"P0(전)"))</f>
        <v/>
      </c>
      <c r="Q927" s="48">
        <f>IF(COUNTIFS($C:$C,$C927,$D:$D,$D927,$E:$E,"P0(후)",$M:$M,"&gt;0")&lt;&gt;1,"",SUMIFS($I:$I,$C:$C,$C927,$D:$D,$D927,$E:$E,"P0(후)"))</f>
        <v/>
      </c>
      <c r="R927" s="31">
        <f>IF(COUNTIFS($C:$C,$C927,$D:$D,$D927,$E:$E,"P0(후)",$M:$M,"&gt;0")&lt;&gt;1,"",SUMIFS($M:$M,$C:$C,$C927,$D:$D,$D927,$E:$E,"P0(후)"))</f>
        <v/>
      </c>
      <c r="S927" s="31">
        <f>IF(N927&lt;&gt;"OK","",P927+(R927-P927)*(I927-O927)/(Q927-O927))</f>
        <v/>
      </c>
      <c r="T927" s="31">
        <f>IF(OR(N927&lt;&gt;"OK",NOT(ISNUMBER(M927))),"",M927-S927)</f>
        <v/>
      </c>
      <c r="U927" s="49">
        <f>IF(OR(NOT(ISNUMBER(T927)),IF(ISNUMBER(H927),H927,G927)=0),"",T927/IF(ISNUMBER(H927),H927,G927))</f>
        <v/>
      </c>
      <c r="V927" s="49">
        <f>IF(ISNUMBER(U927),ABS(U927),"")</f>
        <v/>
      </c>
      <c r="W927" s="49">
        <f>IF(OR($E926&lt;&gt;"측정",$C926&lt;&gt;$C927,$D926&lt;&gt;$D927,NOT(ISNUMBER(M927)),NOT(ISNUMBER(M926)),(IF(ISNUMBER(H927),H927,G927)-IF(ISNUMBER(H926),H926,G926))=0),"",(M927-M926)/(IF(ISNUMBER(H927),H927,G927)-IF(ISNUMBER(H926),H926,G926)))</f>
        <v/>
      </c>
      <c r="X927" s="31">
        <f>IF(NOT(AND(ISNUMBER(O927),ISNUMBER(Q927))),"",(Q927-O927)*1440)</f>
        <v/>
      </c>
      <c r="Y927" s="29" t="n"/>
      <c r="Z927" s="29" t="n"/>
      <c r="AA927" s="29" t="n"/>
      <c r="AB927" s="32" t="n"/>
      <c r="AC927" s="32" t="n"/>
    </row>
    <row r="928">
      <c r="A928" s="44" t="inlineStr">
        <is>
          <t>S18</t>
        </is>
      </c>
      <c r="B928" s="44" t="inlineStr">
        <is>
          <t>통영 신규점</t>
        </is>
      </c>
      <c r="C928" s="44" t="inlineStr">
        <is>
          <t>S18-H남</t>
        </is>
      </c>
      <c r="D928" s="45" t="n">
        <v>1</v>
      </c>
      <c r="E928" s="44" t="inlineStr">
        <is>
          <t>P0(후)</t>
        </is>
      </c>
      <c r="F928" s="44" t="inlineStr">
        <is>
          <t>남</t>
        </is>
      </c>
      <c r="G928" s="46" t="n"/>
      <c r="H928" s="30" t="n"/>
      <c r="I928" s="43" t="n"/>
      <c r="J928" s="41" t="n"/>
      <c r="K928" s="41" t="n"/>
      <c r="L928" s="41" t="n"/>
      <c r="M928" s="31">
        <f>IF(COUNT(J928:L928)=0,"",MEDIAN(J928:L928))</f>
        <v/>
      </c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38" t="n"/>
      <c r="Y928" s="29" t="n"/>
      <c r="Z928" s="29" t="n"/>
      <c r="AA928" s="29" t="n"/>
      <c r="AB928" s="32" t="n"/>
      <c r="AC928" s="32" t="n"/>
    </row>
    <row r="929">
      <c r="A929" s="44" t="inlineStr">
        <is>
          <t>S18</t>
        </is>
      </c>
      <c r="B929" s="44" t="inlineStr">
        <is>
          <t>통영 신규점</t>
        </is>
      </c>
      <c r="C929" s="44" t="inlineStr">
        <is>
          <t>S18-H북</t>
        </is>
      </c>
      <c r="D929" s="45" t="n">
        <v>1</v>
      </c>
      <c r="E929" s="44" t="inlineStr">
        <is>
          <t>P0(전)</t>
        </is>
      </c>
      <c r="F929" s="44" t="inlineStr">
        <is>
          <t>북</t>
        </is>
      </c>
      <c r="G929" s="46" t="n"/>
      <c r="H929" s="30" t="n"/>
      <c r="I929" s="43" t="n"/>
      <c r="J929" s="41" t="n"/>
      <c r="K929" s="41" t="n"/>
      <c r="L929" s="41" t="n"/>
      <c r="M929" s="31">
        <f>IF(COUNT(J929:L929)=0,"",MEDIAN(J929:L929))</f>
        <v/>
      </c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38" t="n"/>
      <c r="W929" s="38" t="n"/>
      <c r="X929" s="38" t="n"/>
      <c r="Y929" s="29" t="n"/>
      <c r="Z929" s="29" t="n"/>
      <c r="AA929" s="29" t="n"/>
      <c r="AB929" s="32" t="n"/>
      <c r="AC929" s="32" t="n"/>
    </row>
    <row r="930">
      <c r="A930" s="26" t="inlineStr">
        <is>
          <t>S18</t>
        </is>
      </c>
      <c r="B930" s="26" t="inlineStr">
        <is>
          <t>통영 신규점</t>
        </is>
      </c>
      <c r="C930" s="26" t="inlineStr">
        <is>
          <t>S18-H북</t>
        </is>
      </c>
      <c r="D930" s="47" t="n">
        <v>1</v>
      </c>
      <c r="E930" s="26" t="inlineStr">
        <is>
          <t>측정</t>
        </is>
      </c>
      <c r="F930" s="26" t="inlineStr">
        <is>
          <t>북</t>
        </is>
      </c>
      <c r="G930" s="31" t="n">
        <v>0.5</v>
      </c>
      <c r="H930" s="30" t="n"/>
      <c r="I930" s="43" t="n"/>
      <c r="J930" s="41" t="n"/>
      <c r="K930" s="41" t="n"/>
      <c r="L930" s="41" t="n"/>
      <c r="M930" s="31">
        <f>IF(COUNT(J930:L930)=0,"",MEDIAN(J930:L930))</f>
        <v/>
      </c>
      <c r="N930" s="26">
        <f>IF(COUNTIFS($C:$C,$C930,$D:$D,$D930,$E:$E,"P0(전)",$M:$M,"&gt;0")&lt;&gt;1,"P0(전) 유효 1개 아님",IF(COUNTIFS($C:$C,$C930,$D:$D,$D930,$E:$E,"P0(후)",$M:$M,"&gt;0")&lt;&gt;1,"P0(후) 유효 1개 아님",IF(NOT(AND(ISNUMBER(O930),ISNUMBER(Q930),ISNUMBER(I930))),"시각 결측",IF(Q930&lt;=O930,"P0 시각 역전",IF(OR(I930&lt;O930,I930&gt;Q930),"측정시각 구간 밖","OK")))))</f>
        <v/>
      </c>
      <c r="O930" s="48">
        <f>IF(COUNTIFS($C:$C,$C930,$D:$D,$D930,$E:$E,"P0(전)",$M:$M,"&gt;0")&lt;&gt;1,"",SUMIFS($I:$I,$C:$C,$C930,$D:$D,$D930,$E:$E,"P0(전)"))</f>
        <v/>
      </c>
      <c r="P930" s="31">
        <f>IF(COUNTIFS($C:$C,$C930,$D:$D,$D930,$E:$E,"P0(전)",$M:$M,"&gt;0")&lt;&gt;1,"",SUMIFS($M:$M,$C:$C,$C930,$D:$D,$D930,$E:$E,"P0(전)"))</f>
        <v/>
      </c>
      <c r="Q930" s="48">
        <f>IF(COUNTIFS($C:$C,$C930,$D:$D,$D930,$E:$E,"P0(후)",$M:$M,"&gt;0")&lt;&gt;1,"",SUMIFS($I:$I,$C:$C,$C930,$D:$D,$D930,$E:$E,"P0(후)"))</f>
        <v/>
      </c>
      <c r="R930" s="31">
        <f>IF(COUNTIFS($C:$C,$C930,$D:$D,$D930,$E:$E,"P0(후)",$M:$M,"&gt;0")&lt;&gt;1,"",SUMIFS($M:$M,$C:$C,$C930,$D:$D,$D930,$E:$E,"P0(후)"))</f>
        <v/>
      </c>
      <c r="S930" s="31">
        <f>IF(N930&lt;&gt;"OK","",P930+(R930-P930)*(I930-O930)/(Q930-O930))</f>
        <v/>
      </c>
      <c r="T930" s="31">
        <f>IF(OR(N930&lt;&gt;"OK",NOT(ISNUMBER(M930))),"",M930-S930)</f>
        <v/>
      </c>
      <c r="U930" s="49">
        <f>IF(OR(NOT(ISNUMBER(T930)),IF(ISNUMBER(H930),H930,G930)=0),"",T930/IF(ISNUMBER(H930),H930,G930))</f>
        <v/>
      </c>
      <c r="V930" s="49">
        <f>IF(ISNUMBER(U930),ABS(U930),"")</f>
        <v/>
      </c>
      <c r="W930" s="49">
        <f>IF(OR($E929&lt;&gt;"측정",$C929&lt;&gt;$C930,$D929&lt;&gt;$D930,NOT(ISNUMBER(M930)),NOT(ISNUMBER(M929)),(IF(ISNUMBER(H930),H930,G930)-IF(ISNUMBER(H929),H929,G929))=0),"",(M930-M929)/(IF(ISNUMBER(H930),H930,G930)-IF(ISNUMBER(H929),H929,G929)))</f>
        <v/>
      </c>
      <c r="X930" s="31">
        <f>IF(NOT(AND(ISNUMBER(O930),ISNUMBER(Q930))),"",(Q930-O930)*1440)</f>
        <v/>
      </c>
      <c r="Y930" s="29" t="n"/>
      <c r="Z930" s="29" t="n"/>
      <c r="AA930" s="29" t="n"/>
      <c r="AB930" s="32" t="n"/>
      <c r="AC930" s="32" t="n"/>
    </row>
    <row r="931">
      <c r="A931" s="26" t="inlineStr">
        <is>
          <t>S18</t>
        </is>
      </c>
      <c r="B931" s="26" t="inlineStr">
        <is>
          <t>통영 신규점</t>
        </is>
      </c>
      <c r="C931" s="26" t="inlineStr">
        <is>
          <t>S18-H북</t>
        </is>
      </c>
      <c r="D931" s="47" t="n">
        <v>1</v>
      </c>
      <c r="E931" s="26" t="inlineStr">
        <is>
          <t>측정</t>
        </is>
      </c>
      <c r="F931" s="26" t="inlineStr">
        <is>
          <t>북</t>
        </is>
      </c>
      <c r="G931" s="31" t="n">
        <v>1</v>
      </c>
      <c r="H931" s="30" t="n"/>
      <c r="I931" s="43" t="n"/>
      <c r="J931" s="41" t="n"/>
      <c r="K931" s="41" t="n"/>
      <c r="L931" s="41" t="n"/>
      <c r="M931" s="31">
        <f>IF(COUNT(J931:L931)=0,"",MEDIAN(J931:L931))</f>
        <v/>
      </c>
      <c r="N931" s="26">
        <f>IF(COUNTIFS($C:$C,$C931,$D:$D,$D931,$E:$E,"P0(전)",$M:$M,"&gt;0")&lt;&gt;1,"P0(전) 유효 1개 아님",IF(COUNTIFS($C:$C,$C931,$D:$D,$D931,$E:$E,"P0(후)",$M:$M,"&gt;0")&lt;&gt;1,"P0(후) 유효 1개 아님",IF(NOT(AND(ISNUMBER(O931),ISNUMBER(Q931),ISNUMBER(I931))),"시각 결측",IF(Q931&lt;=O931,"P0 시각 역전",IF(OR(I931&lt;O931,I931&gt;Q931),"측정시각 구간 밖","OK")))))</f>
        <v/>
      </c>
      <c r="O931" s="48">
        <f>IF(COUNTIFS($C:$C,$C931,$D:$D,$D931,$E:$E,"P0(전)",$M:$M,"&gt;0")&lt;&gt;1,"",SUMIFS($I:$I,$C:$C,$C931,$D:$D,$D931,$E:$E,"P0(전)"))</f>
        <v/>
      </c>
      <c r="P931" s="31">
        <f>IF(COUNTIFS($C:$C,$C931,$D:$D,$D931,$E:$E,"P0(전)",$M:$M,"&gt;0")&lt;&gt;1,"",SUMIFS($M:$M,$C:$C,$C931,$D:$D,$D931,$E:$E,"P0(전)"))</f>
        <v/>
      </c>
      <c r="Q931" s="48">
        <f>IF(COUNTIFS($C:$C,$C931,$D:$D,$D931,$E:$E,"P0(후)",$M:$M,"&gt;0")&lt;&gt;1,"",SUMIFS($I:$I,$C:$C,$C931,$D:$D,$D931,$E:$E,"P0(후)"))</f>
        <v/>
      </c>
      <c r="R931" s="31">
        <f>IF(COUNTIFS($C:$C,$C931,$D:$D,$D931,$E:$E,"P0(후)",$M:$M,"&gt;0")&lt;&gt;1,"",SUMIFS($M:$M,$C:$C,$C931,$D:$D,$D931,$E:$E,"P0(후)"))</f>
        <v/>
      </c>
      <c r="S931" s="31">
        <f>IF(N931&lt;&gt;"OK","",P931+(R931-P931)*(I931-O931)/(Q931-O931))</f>
        <v/>
      </c>
      <c r="T931" s="31">
        <f>IF(OR(N931&lt;&gt;"OK",NOT(ISNUMBER(M931))),"",M931-S931)</f>
        <v/>
      </c>
      <c r="U931" s="49">
        <f>IF(OR(NOT(ISNUMBER(T931)),IF(ISNUMBER(H931),H931,G931)=0),"",T931/IF(ISNUMBER(H931),H931,G931))</f>
        <v/>
      </c>
      <c r="V931" s="49">
        <f>IF(ISNUMBER(U931),ABS(U931),"")</f>
        <v/>
      </c>
      <c r="W931" s="49">
        <f>IF(OR($E930&lt;&gt;"측정",$C930&lt;&gt;$C931,$D930&lt;&gt;$D931,NOT(ISNUMBER(M931)),NOT(ISNUMBER(M930)),(IF(ISNUMBER(H931),H931,G931)-IF(ISNUMBER(H930),H930,G930))=0),"",(M931-M930)/(IF(ISNUMBER(H931),H931,G931)-IF(ISNUMBER(H930),H930,G930)))</f>
        <v/>
      </c>
      <c r="X931" s="31">
        <f>IF(NOT(AND(ISNUMBER(O931),ISNUMBER(Q931))),"",(Q931-O931)*1440)</f>
        <v/>
      </c>
      <c r="Y931" s="29" t="n"/>
      <c r="Z931" s="29" t="n"/>
      <c r="AA931" s="29" t="n"/>
      <c r="AB931" s="32" t="n"/>
      <c r="AC931" s="32" t="n"/>
    </row>
    <row r="932">
      <c r="A932" s="26" t="inlineStr">
        <is>
          <t>S18</t>
        </is>
      </c>
      <c r="B932" s="26" t="inlineStr">
        <is>
          <t>통영 신규점</t>
        </is>
      </c>
      <c r="C932" s="26" t="inlineStr">
        <is>
          <t>S18-H북</t>
        </is>
      </c>
      <c r="D932" s="47" t="n">
        <v>1</v>
      </c>
      <c r="E932" s="26" t="inlineStr">
        <is>
          <t>측정</t>
        </is>
      </c>
      <c r="F932" s="26" t="inlineStr">
        <is>
          <t>북</t>
        </is>
      </c>
      <c r="G932" s="31" t="n">
        <v>2</v>
      </c>
      <c r="H932" s="30" t="n"/>
      <c r="I932" s="43" t="n"/>
      <c r="J932" s="41" t="n"/>
      <c r="K932" s="41" t="n"/>
      <c r="L932" s="41" t="n"/>
      <c r="M932" s="31">
        <f>IF(COUNT(J932:L932)=0,"",MEDIAN(J932:L932))</f>
        <v/>
      </c>
      <c r="N932" s="26">
        <f>IF(COUNTIFS($C:$C,$C932,$D:$D,$D932,$E:$E,"P0(전)",$M:$M,"&gt;0")&lt;&gt;1,"P0(전) 유효 1개 아님",IF(COUNTIFS($C:$C,$C932,$D:$D,$D932,$E:$E,"P0(후)",$M:$M,"&gt;0")&lt;&gt;1,"P0(후) 유효 1개 아님",IF(NOT(AND(ISNUMBER(O932),ISNUMBER(Q932),ISNUMBER(I932))),"시각 결측",IF(Q932&lt;=O932,"P0 시각 역전",IF(OR(I932&lt;O932,I932&gt;Q932),"측정시각 구간 밖","OK")))))</f>
        <v/>
      </c>
      <c r="O932" s="48">
        <f>IF(COUNTIFS($C:$C,$C932,$D:$D,$D932,$E:$E,"P0(전)",$M:$M,"&gt;0")&lt;&gt;1,"",SUMIFS($I:$I,$C:$C,$C932,$D:$D,$D932,$E:$E,"P0(전)"))</f>
        <v/>
      </c>
      <c r="P932" s="31">
        <f>IF(COUNTIFS($C:$C,$C932,$D:$D,$D932,$E:$E,"P0(전)",$M:$M,"&gt;0")&lt;&gt;1,"",SUMIFS($M:$M,$C:$C,$C932,$D:$D,$D932,$E:$E,"P0(전)"))</f>
        <v/>
      </c>
      <c r="Q932" s="48">
        <f>IF(COUNTIFS($C:$C,$C932,$D:$D,$D932,$E:$E,"P0(후)",$M:$M,"&gt;0")&lt;&gt;1,"",SUMIFS($I:$I,$C:$C,$C932,$D:$D,$D932,$E:$E,"P0(후)"))</f>
        <v/>
      </c>
      <c r="R932" s="31">
        <f>IF(COUNTIFS($C:$C,$C932,$D:$D,$D932,$E:$E,"P0(후)",$M:$M,"&gt;0")&lt;&gt;1,"",SUMIFS($M:$M,$C:$C,$C932,$D:$D,$D932,$E:$E,"P0(후)"))</f>
        <v/>
      </c>
      <c r="S932" s="31">
        <f>IF(N932&lt;&gt;"OK","",P932+(R932-P932)*(I932-O932)/(Q932-O932))</f>
        <v/>
      </c>
      <c r="T932" s="31">
        <f>IF(OR(N932&lt;&gt;"OK",NOT(ISNUMBER(M932))),"",M932-S932)</f>
        <v/>
      </c>
      <c r="U932" s="49">
        <f>IF(OR(NOT(ISNUMBER(T932)),IF(ISNUMBER(H932),H932,G932)=0),"",T932/IF(ISNUMBER(H932),H932,G932))</f>
        <v/>
      </c>
      <c r="V932" s="49">
        <f>IF(ISNUMBER(U932),ABS(U932),"")</f>
        <v/>
      </c>
      <c r="W932" s="49">
        <f>IF(OR($E931&lt;&gt;"측정",$C931&lt;&gt;$C932,$D931&lt;&gt;$D932,NOT(ISNUMBER(M932)),NOT(ISNUMBER(M931)),(IF(ISNUMBER(H932),H932,G932)-IF(ISNUMBER(H931),H931,G931))=0),"",(M932-M931)/(IF(ISNUMBER(H932),H932,G932)-IF(ISNUMBER(H931),H931,G931)))</f>
        <v/>
      </c>
      <c r="X932" s="31">
        <f>IF(NOT(AND(ISNUMBER(O932),ISNUMBER(Q932))),"",(Q932-O932)*1440)</f>
        <v/>
      </c>
      <c r="Y932" s="29" t="n"/>
      <c r="Z932" s="29" t="n"/>
      <c r="AA932" s="29" t="n"/>
      <c r="AB932" s="32" t="n"/>
      <c r="AC932" s="32" t="n"/>
    </row>
    <row r="933">
      <c r="A933" s="26" t="inlineStr">
        <is>
          <t>S18</t>
        </is>
      </c>
      <c r="B933" s="26" t="inlineStr">
        <is>
          <t>통영 신규점</t>
        </is>
      </c>
      <c r="C933" s="26" t="inlineStr">
        <is>
          <t>S18-H북</t>
        </is>
      </c>
      <c r="D933" s="47" t="n">
        <v>1</v>
      </c>
      <c r="E933" s="26" t="inlineStr">
        <is>
          <t>측정</t>
        </is>
      </c>
      <c r="F933" s="26" t="inlineStr">
        <is>
          <t>북</t>
        </is>
      </c>
      <c r="G933" s="31" t="n">
        <v>3</v>
      </c>
      <c r="H933" s="30" t="n"/>
      <c r="I933" s="43" t="n"/>
      <c r="J933" s="41" t="n"/>
      <c r="K933" s="41" t="n"/>
      <c r="L933" s="41" t="n"/>
      <c r="M933" s="31">
        <f>IF(COUNT(J933:L933)=0,"",MEDIAN(J933:L933))</f>
        <v/>
      </c>
      <c r="N933" s="26">
        <f>IF(COUNTIFS($C:$C,$C933,$D:$D,$D933,$E:$E,"P0(전)",$M:$M,"&gt;0")&lt;&gt;1,"P0(전) 유효 1개 아님",IF(COUNTIFS($C:$C,$C933,$D:$D,$D933,$E:$E,"P0(후)",$M:$M,"&gt;0")&lt;&gt;1,"P0(후) 유효 1개 아님",IF(NOT(AND(ISNUMBER(O933),ISNUMBER(Q933),ISNUMBER(I933))),"시각 결측",IF(Q933&lt;=O933,"P0 시각 역전",IF(OR(I933&lt;O933,I933&gt;Q933),"측정시각 구간 밖","OK")))))</f>
        <v/>
      </c>
      <c r="O933" s="48">
        <f>IF(COUNTIFS($C:$C,$C933,$D:$D,$D933,$E:$E,"P0(전)",$M:$M,"&gt;0")&lt;&gt;1,"",SUMIFS($I:$I,$C:$C,$C933,$D:$D,$D933,$E:$E,"P0(전)"))</f>
        <v/>
      </c>
      <c r="P933" s="31">
        <f>IF(COUNTIFS($C:$C,$C933,$D:$D,$D933,$E:$E,"P0(전)",$M:$M,"&gt;0")&lt;&gt;1,"",SUMIFS($M:$M,$C:$C,$C933,$D:$D,$D933,$E:$E,"P0(전)"))</f>
        <v/>
      </c>
      <c r="Q933" s="48">
        <f>IF(COUNTIFS($C:$C,$C933,$D:$D,$D933,$E:$E,"P0(후)",$M:$M,"&gt;0")&lt;&gt;1,"",SUMIFS($I:$I,$C:$C,$C933,$D:$D,$D933,$E:$E,"P0(후)"))</f>
        <v/>
      </c>
      <c r="R933" s="31">
        <f>IF(COUNTIFS($C:$C,$C933,$D:$D,$D933,$E:$E,"P0(후)",$M:$M,"&gt;0")&lt;&gt;1,"",SUMIFS($M:$M,$C:$C,$C933,$D:$D,$D933,$E:$E,"P0(후)"))</f>
        <v/>
      </c>
      <c r="S933" s="31">
        <f>IF(N933&lt;&gt;"OK","",P933+(R933-P933)*(I933-O933)/(Q933-O933))</f>
        <v/>
      </c>
      <c r="T933" s="31">
        <f>IF(OR(N933&lt;&gt;"OK",NOT(ISNUMBER(M933))),"",M933-S933)</f>
        <v/>
      </c>
      <c r="U933" s="49">
        <f>IF(OR(NOT(ISNUMBER(T933)),IF(ISNUMBER(H933),H933,G933)=0),"",T933/IF(ISNUMBER(H933),H933,G933))</f>
        <v/>
      </c>
      <c r="V933" s="49">
        <f>IF(ISNUMBER(U933),ABS(U933),"")</f>
        <v/>
      </c>
      <c r="W933" s="49">
        <f>IF(OR($E932&lt;&gt;"측정",$C932&lt;&gt;$C933,$D932&lt;&gt;$D933,NOT(ISNUMBER(M933)),NOT(ISNUMBER(M932)),(IF(ISNUMBER(H933),H933,G933)-IF(ISNUMBER(H932),H932,G932))=0),"",(M933-M932)/(IF(ISNUMBER(H933),H933,G933)-IF(ISNUMBER(H932),H932,G932)))</f>
        <v/>
      </c>
      <c r="X933" s="31">
        <f>IF(NOT(AND(ISNUMBER(O933),ISNUMBER(Q933))),"",(Q933-O933)*1440)</f>
        <v/>
      </c>
      <c r="Y933" s="29" t="n"/>
      <c r="Z933" s="29" t="n"/>
      <c r="AA933" s="29" t="n"/>
      <c r="AB933" s="32" t="n"/>
      <c r="AC933" s="32" t="n"/>
    </row>
    <row r="934">
      <c r="A934" s="26" t="inlineStr">
        <is>
          <t>S18</t>
        </is>
      </c>
      <c r="B934" s="26" t="inlineStr">
        <is>
          <t>통영 신규점</t>
        </is>
      </c>
      <c r="C934" s="26" t="inlineStr">
        <is>
          <t>S18-H북</t>
        </is>
      </c>
      <c r="D934" s="47" t="n">
        <v>1</v>
      </c>
      <c r="E934" s="26" t="inlineStr">
        <is>
          <t>측정</t>
        </is>
      </c>
      <c r="F934" s="26" t="inlineStr">
        <is>
          <t>북</t>
        </is>
      </c>
      <c r="G934" s="31" t="n">
        <v>4</v>
      </c>
      <c r="H934" s="30" t="n"/>
      <c r="I934" s="43" t="n"/>
      <c r="J934" s="41" t="n"/>
      <c r="K934" s="41" t="n"/>
      <c r="L934" s="41" t="n"/>
      <c r="M934" s="31">
        <f>IF(COUNT(J934:L934)=0,"",MEDIAN(J934:L934))</f>
        <v/>
      </c>
      <c r="N934" s="26">
        <f>IF(COUNTIFS($C:$C,$C934,$D:$D,$D934,$E:$E,"P0(전)",$M:$M,"&gt;0")&lt;&gt;1,"P0(전) 유효 1개 아님",IF(COUNTIFS($C:$C,$C934,$D:$D,$D934,$E:$E,"P0(후)",$M:$M,"&gt;0")&lt;&gt;1,"P0(후) 유효 1개 아님",IF(NOT(AND(ISNUMBER(O934),ISNUMBER(Q934),ISNUMBER(I934))),"시각 결측",IF(Q934&lt;=O934,"P0 시각 역전",IF(OR(I934&lt;O934,I934&gt;Q934),"측정시각 구간 밖","OK")))))</f>
        <v/>
      </c>
      <c r="O934" s="48">
        <f>IF(COUNTIFS($C:$C,$C934,$D:$D,$D934,$E:$E,"P0(전)",$M:$M,"&gt;0")&lt;&gt;1,"",SUMIFS($I:$I,$C:$C,$C934,$D:$D,$D934,$E:$E,"P0(전)"))</f>
        <v/>
      </c>
      <c r="P934" s="31">
        <f>IF(COUNTIFS($C:$C,$C934,$D:$D,$D934,$E:$E,"P0(전)",$M:$M,"&gt;0")&lt;&gt;1,"",SUMIFS($M:$M,$C:$C,$C934,$D:$D,$D934,$E:$E,"P0(전)"))</f>
        <v/>
      </c>
      <c r="Q934" s="48">
        <f>IF(COUNTIFS($C:$C,$C934,$D:$D,$D934,$E:$E,"P0(후)",$M:$M,"&gt;0")&lt;&gt;1,"",SUMIFS($I:$I,$C:$C,$C934,$D:$D,$D934,$E:$E,"P0(후)"))</f>
        <v/>
      </c>
      <c r="R934" s="31">
        <f>IF(COUNTIFS($C:$C,$C934,$D:$D,$D934,$E:$E,"P0(후)",$M:$M,"&gt;0")&lt;&gt;1,"",SUMIFS($M:$M,$C:$C,$C934,$D:$D,$D934,$E:$E,"P0(후)"))</f>
        <v/>
      </c>
      <c r="S934" s="31">
        <f>IF(N934&lt;&gt;"OK","",P934+(R934-P934)*(I934-O934)/(Q934-O934))</f>
        <v/>
      </c>
      <c r="T934" s="31">
        <f>IF(OR(N934&lt;&gt;"OK",NOT(ISNUMBER(M934))),"",M934-S934)</f>
        <v/>
      </c>
      <c r="U934" s="49">
        <f>IF(OR(NOT(ISNUMBER(T934)),IF(ISNUMBER(H934),H934,G934)=0),"",T934/IF(ISNUMBER(H934),H934,G934))</f>
        <v/>
      </c>
      <c r="V934" s="49">
        <f>IF(ISNUMBER(U934),ABS(U934),"")</f>
        <v/>
      </c>
      <c r="W934" s="49">
        <f>IF(OR($E933&lt;&gt;"측정",$C933&lt;&gt;$C934,$D933&lt;&gt;$D934,NOT(ISNUMBER(M934)),NOT(ISNUMBER(M933)),(IF(ISNUMBER(H934),H934,G934)-IF(ISNUMBER(H933),H933,G933))=0),"",(M934-M933)/(IF(ISNUMBER(H934),H934,G934)-IF(ISNUMBER(H933),H933,G933)))</f>
        <v/>
      </c>
      <c r="X934" s="31">
        <f>IF(NOT(AND(ISNUMBER(O934),ISNUMBER(Q934))),"",(Q934-O934)*1440)</f>
        <v/>
      </c>
      <c r="Y934" s="29" t="n"/>
      <c r="Z934" s="29" t="n"/>
      <c r="AA934" s="29" t="n"/>
      <c r="AB934" s="32" t="n"/>
      <c r="AC934" s="32" t="n"/>
    </row>
    <row r="935">
      <c r="A935" s="26" t="inlineStr">
        <is>
          <t>S18</t>
        </is>
      </c>
      <c r="B935" s="26" t="inlineStr">
        <is>
          <t>통영 신규점</t>
        </is>
      </c>
      <c r="C935" s="26" t="inlineStr">
        <is>
          <t>S18-H북</t>
        </is>
      </c>
      <c r="D935" s="47" t="n">
        <v>1</v>
      </c>
      <c r="E935" s="26" t="inlineStr">
        <is>
          <t>측정</t>
        </is>
      </c>
      <c r="F935" s="26" t="inlineStr">
        <is>
          <t>북</t>
        </is>
      </c>
      <c r="G935" s="31" t="n">
        <v>5</v>
      </c>
      <c r="H935" s="30" t="n"/>
      <c r="I935" s="43" t="n"/>
      <c r="J935" s="41" t="n"/>
      <c r="K935" s="41" t="n"/>
      <c r="L935" s="41" t="n"/>
      <c r="M935" s="31">
        <f>IF(COUNT(J935:L935)=0,"",MEDIAN(J935:L935))</f>
        <v/>
      </c>
      <c r="N935" s="26">
        <f>IF(COUNTIFS($C:$C,$C935,$D:$D,$D935,$E:$E,"P0(전)",$M:$M,"&gt;0")&lt;&gt;1,"P0(전) 유효 1개 아님",IF(COUNTIFS($C:$C,$C935,$D:$D,$D935,$E:$E,"P0(후)",$M:$M,"&gt;0")&lt;&gt;1,"P0(후) 유효 1개 아님",IF(NOT(AND(ISNUMBER(O935),ISNUMBER(Q935),ISNUMBER(I935))),"시각 결측",IF(Q935&lt;=O935,"P0 시각 역전",IF(OR(I935&lt;O935,I935&gt;Q935),"측정시각 구간 밖","OK")))))</f>
        <v/>
      </c>
      <c r="O935" s="48">
        <f>IF(COUNTIFS($C:$C,$C935,$D:$D,$D935,$E:$E,"P0(전)",$M:$M,"&gt;0")&lt;&gt;1,"",SUMIFS($I:$I,$C:$C,$C935,$D:$D,$D935,$E:$E,"P0(전)"))</f>
        <v/>
      </c>
      <c r="P935" s="31">
        <f>IF(COUNTIFS($C:$C,$C935,$D:$D,$D935,$E:$E,"P0(전)",$M:$M,"&gt;0")&lt;&gt;1,"",SUMIFS($M:$M,$C:$C,$C935,$D:$D,$D935,$E:$E,"P0(전)"))</f>
        <v/>
      </c>
      <c r="Q935" s="48">
        <f>IF(COUNTIFS($C:$C,$C935,$D:$D,$D935,$E:$E,"P0(후)",$M:$M,"&gt;0")&lt;&gt;1,"",SUMIFS($I:$I,$C:$C,$C935,$D:$D,$D935,$E:$E,"P0(후)"))</f>
        <v/>
      </c>
      <c r="R935" s="31">
        <f>IF(COUNTIFS($C:$C,$C935,$D:$D,$D935,$E:$E,"P0(후)",$M:$M,"&gt;0")&lt;&gt;1,"",SUMIFS($M:$M,$C:$C,$C935,$D:$D,$D935,$E:$E,"P0(후)"))</f>
        <v/>
      </c>
      <c r="S935" s="31">
        <f>IF(N935&lt;&gt;"OK","",P935+(R935-P935)*(I935-O935)/(Q935-O935))</f>
        <v/>
      </c>
      <c r="T935" s="31">
        <f>IF(OR(N935&lt;&gt;"OK",NOT(ISNUMBER(M935))),"",M935-S935)</f>
        <v/>
      </c>
      <c r="U935" s="49">
        <f>IF(OR(NOT(ISNUMBER(T935)),IF(ISNUMBER(H935),H935,G935)=0),"",T935/IF(ISNUMBER(H935),H935,G935))</f>
        <v/>
      </c>
      <c r="V935" s="49">
        <f>IF(ISNUMBER(U935),ABS(U935),"")</f>
        <v/>
      </c>
      <c r="W935" s="49">
        <f>IF(OR($E934&lt;&gt;"측정",$C934&lt;&gt;$C935,$D934&lt;&gt;$D935,NOT(ISNUMBER(M935)),NOT(ISNUMBER(M934)),(IF(ISNUMBER(H935),H935,G935)-IF(ISNUMBER(H934),H934,G934))=0),"",(M935-M934)/(IF(ISNUMBER(H935),H935,G935)-IF(ISNUMBER(H934),H934,G934)))</f>
        <v/>
      </c>
      <c r="X935" s="31">
        <f>IF(NOT(AND(ISNUMBER(O935),ISNUMBER(Q935))),"",(Q935-O935)*1440)</f>
        <v/>
      </c>
      <c r="Y935" s="29" t="n"/>
      <c r="Z935" s="29" t="n"/>
      <c r="AA935" s="29" t="n"/>
      <c r="AB935" s="32" t="n"/>
      <c r="AC935" s="32" t="n"/>
    </row>
    <row r="936">
      <c r="A936" s="26" t="inlineStr">
        <is>
          <t>S18</t>
        </is>
      </c>
      <c r="B936" s="26" t="inlineStr">
        <is>
          <t>통영 신규점</t>
        </is>
      </c>
      <c r="C936" s="26" t="inlineStr">
        <is>
          <t>S18-H북</t>
        </is>
      </c>
      <c r="D936" s="47" t="n">
        <v>1</v>
      </c>
      <c r="E936" s="26" t="inlineStr">
        <is>
          <t>측정</t>
        </is>
      </c>
      <c r="F936" s="26" t="inlineStr">
        <is>
          <t>북</t>
        </is>
      </c>
      <c r="G936" s="31" t="n">
        <v>6</v>
      </c>
      <c r="H936" s="30" t="n"/>
      <c r="I936" s="43" t="n"/>
      <c r="J936" s="41" t="n"/>
      <c r="K936" s="41" t="n"/>
      <c r="L936" s="41" t="n"/>
      <c r="M936" s="31">
        <f>IF(COUNT(J936:L936)=0,"",MEDIAN(J936:L936))</f>
        <v/>
      </c>
      <c r="N936" s="26">
        <f>IF(COUNTIFS($C:$C,$C936,$D:$D,$D936,$E:$E,"P0(전)",$M:$M,"&gt;0")&lt;&gt;1,"P0(전) 유효 1개 아님",IF(COUNTIFS($C:$C,$C936,$D:$D,$D936,$E:$E,"P0(후)",$M:$M,"&gt;0")&lt;&gt;1,"P0(후) 유효 1개 아님",IF(NOT(AND(ISNUMBER(O936),ISNUMBER(Q936),ISNUMBER(I936))),"시각 결측",IF(Q936&lt;=O936,"P0 시각 역전",IF(OR(I936&lt;O936,I936&gt;Q936),"측정시각 구간 밖","OK")))))</f>
        <v/>
      </c>
      <c r="O936" s="48">
        <f>IF(COUNTIFS($C:$C,$C936,$D:$D,$D936,$E:$E,"P0(전)",$M:$M,"&gt;0")&lt;&gt;1,"",SUMIFS($I:$I,$C:$C,$C936,$D:$D,$D936,$E:$E,"P0(전)"))</f>
        <v/>
      </c>
      <c r="P936" s="31">
        <f>IF(COUNTIFS($C:$C,$C936,$D:$D,$D936,$E:$E,"P0(전)",$M:$M,"&gt;0")&lt;&gt;1,"",SUMIFS($M:$M,$C:$C,$C936,$D:$D,$D936,$E:$E,"P0(전)"))</f>
        <v/>
      </c>
      <c r="Q936" s="48">
        <f>IF(COUNTIFS($C:$C,$C936,$D:$D,$D936,$E:$E,"P0(후)",$M:$M,"&gt;0")&lt;&gt;1,"",SUMIFS($I:$I,$C:$C,$C936,$D:$D,$D936,$E:$E,"P0(후)"))</f>
        <v/>
      </c>
      <c r="R936" s="31">
        <f>IF(COUNTIFS($C:$C,$C936,$D:$D,$D936,$E:$E,"P0(후)",$M:$M,"&gt;0")&lt;&gt;1,"",SUMIFS($M:$M,$C:$C,$C936,$D:$D,$D936,$E:$E,"P0(후)"))</f>
        <v/>
      </c>
      <c r="S936" s="31">
        <f>IF(N936&lt;&gt;"OK","",P936+(R936-P936)*(I936-O936)/(Q936-O936))</f>
        <v/>
      </c>
      <c r="T936" s="31">
        <f>IF(OR(N936&lt;&gt;"OK",NOT(ISNUMBER(M936))),"",M936-S936)</f>
        <v/>
      </c>
      <c r="U936" s="49">
        <f>IF(OR(NOT(ISNUMBER(T936)),IF(ISNUMBER(H936),H936,G936)=0),"",T936/IF(ISNUMBER(H936),H936,G936))</f>
        <v/>
      </c>
      <c r="V936" s="49">
        <f>IF(ISNUMBER(U936),ABS(U936),"")</f>
        <v/>
      </c>
      <c r="W936" s="49">
        <f>IF(OR($E935&lt;&gt;"측정",$C935&lt;&gt;$C936,$D935&lt;&gt;$D936,NOT(ISNUMBER(M936)),NOT(ISNUMBER(M935)),(IF(ISNUMBER(H936),H936,G936)-IF(ISNUMBER(H935),H935,G935))=0),"",(M936-M935)/(IF(ISNUMBER(H936),H936,G936)-IF(ISNUMBER(H935),H935,G935)))</f>
        <v/>
      </c>
      <c r="X936" s="31">
        <f>IF(NOT(AND(ISNUMBER(O936),ISNUMBER(Q936))),"",(Q936-O936)*1440)</f>
        <v/>
      </c>
      <c r="Y936" s="29" t="n"/>
      <c r="Z936" s="29" t="n"/>
      <c r="AA936" s="29" t="n"/>
      <c r="AB936" s="32" t="n"/>
      <c r="AC936" s="32" t="n"/>
    </row>
    <row r="937">
      <c r="A937" s="26" t="inlineStr">
        <is>
          <t>S18</t>
        </is>
      </c>
      <c r="B937" s="26" t="inlineStr">
        <is>
          <t>통영 신규점</t>
        </is>
      </c>
      <c r="C937" s="26" t="inlineStr">
        <is>
          <t>S18-H북</t>
        </is>
      </c>
      <c r="D937" s="47" t="n">
        <v>1</v>
      </c>
      <c r="E937" s="26" t="inlineStr">
        <is>
          <t>측정</t>
        </is>
      </c>
      <c r="F937" s="26" t="inlineStr">
        <is>
          <t>북</t>
        </is>
      </c>
      <c r="G937" s="31" t="n">
        <v>7</v>
      </c>
      <c r="H937" s="30" t="n"/>
      <c r="I937" s="43" t="n"/>
      <c r="J937" s="41" t="n"/>
      <c r="K937" s="41" t="n"/>
      <c r="L937" s="41" t="n"/>
      <c r="M937" s="31">
        <f>IF(COUNT(J937:L937)=0,"",MEDIAN(J937:L937))</f>
        <v/>
      </c>
      <c r="N937" s="26">
        <f>IF(COUNTIFS($C:$C,$C937,$D:$D,$D937,$E:$E,"P0(전)",$M:$M,"&gt;0")&lt;&gt;1,"P0(전) 유효 1개 아님",IF(COUNTIFS($C:$C,$C937,$D:$D,$D937,$E:$E,"P0(후)",$M:$M,"&gt;0")&lt;&gt;1,"P0(후) 유효 1개 아님",IF(NOT(AND(ISNUMBER(O937),ISNUMBER(Q937),ISNUMBER(I937))),"시각 결측",IF(Q937&lt;=O937,"P0 시각 역전",IF(OR(I937&lt;O937,I937&gt;Q937),"측정시각 구간 밖","OK")))))</f>
        <v/>
      </c>
      <c r="O937" s="48">
        <f>IF(COUNTIFS($C:$C,$C937,$D:$D,$D937,$E:$E,"P0(전)",$M:$M,"&gt;0")&lt;&gt;1,"",SUMIFS($I:$I,$C:$C,$C937,$D:$D,$D937,$E:$E,"P0(전)"))</f>
        <v/>
      </c>
      <c r="P937" s="31">
        <f>IF(COUNTIFS($C:$C,$C937,$D:$D,$D937,$E:$E,"P0(전)",$M:$M,"&gt;0")&lt;&gt;1,"",SUMIFS($M:$M,$C:$C,$C937,$D:$D,$D937,$E:$E,"P0(전)"))</f>
        <v/>
      </c>
      <c r="Q937" s="48">
        <f>IF(COUNTIFS($C:$C,$C937,$D:$D,$D937,$E:$E,"P0(후)",$M:$M,"&gt;0")&lt;&gt;1,"",SUMIFS($I:$I,$C:$C,$C937,$D:$D,$D937,$E:$E,"P0(후)"))</f>
        <v/>
      </c>
      <c r="R937" s="31">
        <f>IF(COUNTIFS($C:$C,$C937,$D:$D,$D937,$E:$E,"P0(후)",$M:$M,"&gt;0")&lt;&gt;1,"",SUMIFS($M:$M,$C:$C,$C937,$D:$D,$D937,$E:$E,"P0(후)"))</f>
        <v/>
      </c>
      <c r="S937" s="31">
        <f>IF(N937&lt;&gt;"OK","",P937+(R937-P937)*(I937-O937)/(Q937-O937))</f>
        <v/>
      </c>
      <c r="T937" s="31">
        <f>IF(OR(N937&lt;&gt;"OK",NOT(ISNUMBER(M937))),"",M937-S937)</f>
        <v/>
      </c>
      <c r="U937" s="49">
        <f>IF(OR(NOT(ISNUMBER(T937)),IF(ISNUMBER(H937),H937,G937)=0),"",T937/IF(ISNUMBER(H937),H937,G937))</f>
        <v/>
      </c>
      <c r="V937" s="49">
        <f>IF(ISNUMBER(U937),ABS(U937),"")</f>
        <v/>
      </c>
      <c r="W937" s="49">
        <f>IF(OR($E936&lt;&gt;"측정",$C936&lt;&gt;$C937,$D936&lt;&gt;$D937,NOT(ISNUMBER(M937)),NOT(ISNUMBER(M936)),(IF(ISNUMBER(H937),H937,G937)-IF(ISNUMBER(H936),H936,G936))=0),"",(M937-M936)/(IF(ISNUMBER(H937),H937,G937)-IF(ISNUMBER(H936),H936,G936)))</f>
        <v/>
      </c>
      <c r="X937" s="31">
        <f>IF(NOT(AND(ISNUMBER(O937),ISNUMBER(Q937))),"",(Q937-O937)*1440)</f>
        <v/>
      </c>
      <c r="Y937" s="29" t="n"/>
      <c r="Z937" s="29" t="n"/>
      <c r="AA937" s="29" t="n"/>
      <c r="AB937" s="32" t="n"/>
      <c r="AC937" s="32" t="n"/>
    </row>
    <row r="938">
      <c r="A938" s="26" t="inlineStr">
        <is>
          <t>S18</t>
        </is>
      </c>
      <c r="B938" s="26" t="inlineStr">
        <is>
          <t>통영 신규점</t>
        </is>
      </c>
      <c r="C938" s="26" t="inlineStr">
        <is>
          <t>S18-H북</t>
        </is>
      </c>
      <c r="D938" s="47" t="n">
        <v>1</v>
      </c>
      <c r="E938" s="26" t="inlineStr">
        <is>
          <t>측정</t>
        </is>
      </c>
      <c r="F938" s="26" t="inlineStr">
        <is>
          <t>북</t>
        </is>
      </c>
      <c r="G938" s="31" t="n">
        <v>8</v>
      </c>
      <c r="H938" s="30" t="n"/>
      <c r="I938" s="43" t="n"/>
      <c r="J938" s="41" t="n"/>
      <c r="K938" s="41" t="n"/>
      <c r="L938" s="41" t="n"/>
      <c r="M938" s="31">
        <f>IF(COUNT(J938:L938)=0,"",MEDIAN(J938:L938))</f>
        <v/>
      </c>
      <c r="N938" s="26">
        <f>IF(COUNTIFS($C:$C,$C938,$D:$D,$D938,$E:$E,"P0(전)",$M:$M,"&gt;0")&lt;&gt;1,"P0(전) 유효 1개 아님",IF(COUNTIFS($C:$C,$C938,$D:$D,$D938,$E:$E,"P0(후)",$M:$M,"&gt;0")&lt;&gt;1,"P0(후) 유효 1개 아님",IF(NOT(AND(ISNUMBER(O938),ISNUMBER(Q938),ISNUMBER(I938))),"시각 결측",IF(Q938&lt;=O938,"P0 시각 역전",IF(OR(I938&lt;O938,I938&gt;Q938),"측정시각 구간 밖","OK")))))</f>
        <v/>
      </c>
      <c r="O938" s="48">
        <f>IF(COUNTIFS($C:$C,$C938,$D:$D,$D938,$E:$E,"P0(전)",$M:$M,"&gt;0")&lt;&gt;1,"",SUMIFS($I:$I,$C:$C,$C938,$D:$D,$D938,$E:$E,"P0(전)"))</f>
        <v/>
      </c>
      <c r="P938" s="31">
        <f>IF(COUNTIFS($C:$C,$C938,$D:$D,$D938,$E:$E,"P0(전)",$M:$M,"&gt;0")&lt;&gt;1,"",SUMIFS($M:$M,$C:$C,$C938,$D:$D,$D938,$E:$E,"P0(전)"))</f>
        <v/>
      </c>
      <c r="Q938" s="48">
        <f>IF(COUNTIFS($C:$C,$C938,$D:$D,$D938,$E:$E,"P0(후)",$M:$M,"&gt;0")&lt;&gt;1,"",SUMIFS($I:$I,$C:$C,$C938,$D:$D,$D938,$E:$E,"P0(후)"))</f>
        <v/>
      </c>
      <c r="R938" s="31">
        <f>IF(COUNTIFS($C:$C,$C938,$D:$D,$D938,$E:$E,"P0(후)",$M:$M,"&gt;0")&lt;&gt;1,"",SUMIFS($M:$M,$C:$C,$C938,$D:$D,$D938,$E:$E,"P0(후)"))</f>
        <v/>
      </c>
      <c r="S938" s="31">
        <f>IF(N938&lt;&gt;"OK","",P938+(R938-P938)*(I938-O938)/(Q938-O938))</f>
        <v/>
      </c>
      <c r="T938" s="31">
        <f>IF(OR(N938&lt;&gt;"OK",NOT(ISNUMBER(M938))),"",M938-S938)</f>
        <v/>
      </c>
      <c r="U938" s="49">
        <f>IF(OR(NOT(ISNUMBER(T938)),IF(ISNUMBER(H938),H938,G938)=0),"",T938/IF(ISNUMBER(H938),H938,G938))</f>
        <v/>
      </c>
      <c r="V938" s="49">
        <f>IF(ISNUMBER(U938),ABS(U938),"")</f>
        <v/>
      </c>
      <c r="W938" s="49">
        <f>IF(OR($E937&lt;&gt;"측정",$C937&lt;&gt;$C938,$D937&lt;&gt;$D938,NOT(ISNUMBER(M938)),NOT(ISNUMBER(M937)),(IF(ISNUMBER(H938),H938,G938)-IF(ISNUMBER(H937),H937,G937))=0),"",(M938-M937)/(IF(ISNUMBER(H938),H938,G938)-IF(ISNUMBER(H937),H937,G937)))</f>
        <v/>
      </c>
      <c r="X938" s="31">
        <f>IF(NOT(AND(ISNUMBER(O938),ISNUMBER(Q938))),"",(Q938-O938)*1440)</f>
        <v/>
      </c>
      <c r="Y938" s="29" t="n"/>
      <c r="Z938" s="29" t="n"/>
      <c r="AA938" s="29" t="n"/>
      <c r="AB938" s="32" t="n"/>
      <c r="AC938" s="32" t="n"/>
    </row>
    <row r="939">
      <c r="A939" s="26" t="inlineStr">
        <is>
          <t>S18</t>
        </is>
      </c>
      <c r="B939" s="26" t="inlineStr">
        <is>
          <t>통영 신규점</t>
        </is>
      </c>
      <c r="C939" s="26" t="inlineStr">
        <is>
          <t>S18-H북</t>
        </is>
      </c>
      <c r="D939" s="47" t="n">
        <v>1</v>
      </c>
      <c r="E939" s="26" t="inlineStr">
        <is>
          <t>측정</t>
        </is>
      </c>
      <c r="F939" s="26" t="inlineStr">
        <is>
          <t>북</t>
        </is>
      </c>
      <c r="G939" s="31" t="n">
        <v>9</v>
      </c>
      <c r="H939" s="30" t="n"/>
      <c r="I939" s="43" t="n"/>
      <c r="J939" s="41" t="n"/>
      <c r="K939" s="41" t="n"/>
      <c r="L939" s="41" t="n"/>
      <c r="M939" s="31">
        <f>IF(COUNT(J939:L939)=0,"",MEDIAN(J939:L939))</f>
        <v/>
      </c>
      <c r="N939" s="26">
        <f>IF(COUNTIFS($C:$C,$C939,$D:$D,$D939,$E:$E,"P0(전)",$M:$M,"&gt;0")&lt;&gt;1,"P0(전) 유효 1개 아님",IF(COUNTIFS($C:$C,$C939,$D:$D,$D939,$E:$E,"P0(후)",$M:$M,"&gt;0")&lt;&gt;1,"P0(후) 유효 1개 아님",IF(NOT(AND(ISNUMBER(O939),ISNUMBER(Q939),ISNUMBER(I939))),"시각 결측",IF(Q939&lt;=O939,"P0 시각 역전",IF(OR(I939&lt;O939,I939&gt;Q939),"측정시각 구간 밖","OK")))))</f>
        <v/>
      </c>
      <c r="O939" s="48">
        <f>IF(COUNTIFS($C:$C,$C939,$D:$D,$D939,$E:$E,"P0(전)",$M:$M,"&gt;0")&lt;&gt;1,"",SUMIFS($I:$I,$C:$C,$C939,$D:$D,$D939,$E:$E,"P0(전)"))</f>
        <v/>
      </c>
      <c r="P939" s="31">
        <f>IF(COUNTIFS($C:$C,$C939,$D:$D,$D939,$E:$E,"P0(전)",$M:$M,"&gt;0")&lt;&gt;1,"",SUMIFS($M:$M,$C:$C,$C939,$D:$D,$D939,$E:$E,"P0(전)"))</f>
        <v/>
      </c>
      <c r="Q939" s="48">
        <f>IF(COUNTIFS($C:$C,$C939,$D:$D,$D939,$E:$E,"P0(후)",$M:$M,"&gt;0")&lt;&gt;1,"",SUMIFS($I:$I,$C:$C,$C939,$D:$D,$D939,$E:$E,"P0(후)"))</f>
        <v/>
      </c>
      <c r="R939" s="31">
        <f>IF(COUNTIFS($C:$C,$C939,$D:$D,$D939,$E:$E,"P0(후)",$M:$M,"&gt;0")&lt;&gt;1,"",SUMIFS($M:$M,$C:$C,$C939,$D:$D,$D939,$E:$E,"P0(후)"))</f>
        <v/>
      </c>
      <c r="S939" s="31">
        <f>IF(N939&lt;&gt;"OK","",P939+(R939-P939)*(I939-O939)/(Q939-O939))</f>
        <v/>
      </c>
      <c r="T939" s="31">
        <f>IF(OR(N939&lt;&gt;"OK",NOT(ISNUMBER(M939))),"",M939-S939)</f>
        <v/>
      </c>
      <c r="U939" s="49">
        <f>IF(OR(NOT(ISNUMBER(T939)),IF(ISNUMBER(H939),H939,G939)=0),"",T939/IF(ISNUMBER(H939),H939,G939))</f>
        <v/>
      </c>
      <c r="V939" s="49">
        <f>IF(ISNUMBER(U939),ABS(U939),"")</f>
        <v/>
      </c>
      <c r="W939" s="49">
        <f>IF(OR($E938&lt;&gt;"측정",$C938&lt;&gt;$C939,$D938&lt;&gt;$D939,NOT(ISNUMBER(M939)),NOT(ISNUMBER(M938)),(IF(ISNUMBER(H939),H939,G939)-IF(ISNUMBER(H938),H938,G938))=0),"",(M939-M938)/(IF(ISNUMBER(H939),H939,G939)-IF(ISNUMBER(H938),H938,G938)))</f>
        <v/>
      </c>
      <c r="X939" s="31">
        <f>IF(NOT(AND(ISNUMBER(O939),ISNUMBER(Q939))),"",(Q939-O939)*1440)</f>
        <v/>
      </c>
      <c r="Y939" s="29" t="n"/>
      <c r="Z939" s="29" t="n"/>
      <c r="AA939" s="29" t="n"/>
      <c r="AB939" s="32" t="n"/>
      <c r="AC939" s="32" t="n"/>
    </row>
    <row r="940">
      <c r="A940" s="26" t="inlineStr">
        <is>
          <t>S18</t>
        </is>
      </c>
      <c r="B940" s="26" t="inlineStr">
        <is>
          <t>통영 신규점</t>
        </is>
      </c>
      <c r="C940" s="26" t="inlineStr">
        <is>
          <t>S18-H북</t>
        </is>
      </c>
      <c r="D940" s="47" t="n">
        <v>1</v>
      </c>
      <c r="E940" s="26" t="inlineStr">
        <is>
          <t>측정</t>
        </is>
      </c>
      <c r="F940" s="26" t="inlineStr">
        <is>
          <t>북</t>
        </is>
      </c>
      <c r="G940" s="31" t="n">
        <v>10</v>
      </c>
      <c r="H940" s="30" t="n"/>
      <c r="I940" s="43" t="n"/>
      <c r="J940" s="41" t="n"/>
      <c r="K940" s="41" t="n"/>
      <c r="L940" s="41" t="n"/>
      <c r="M940" s="31">
        <f>IF(COUNT(J940:L940)=0,"",MEDIAN(J940:L940))</f>
        <v/>
      </c>
      <c r="N940" s="26">
        <f>IF(COUNTIFS($C:$C,$C940,$D:$D,$D940,$E:$E,"P0(전)",$M:$M,"&gt;0")&lt;&gt;1,"P0(전) 유효 1개 아님",IF(COUNTIFS($C:$C,$C940,$D:$D,$D940,$E:$E,"P0(후)",$M:$M,"&gt;0")&lt;&gt;1,"P0(후) 유효 1개 아님",IF(NOT(AND(ISNUMBER(O940),ISNUMBER(Q940),ISNUMBER(I940))),"시각 결측",IF(Q940&lt;=O940,"P0 시각 역전",IF(OR(I940&lt;O940,I940&gt;Q940),"측정시각 구간 밖","OK")))))</f>
        <v/>
      </c>
      <c r="O940" s="48">
        <f>IF(COUNTIFS($C:$C,$C940,$D:$D,$D940,$E:$E,"P0(전)",$M:$M,"&gt;0")&lt;&gt;1,"",SUMIFS($I:$I,$C:$C,$C940,$D:$D,$D940,$E:$E,"P0(전)"))</f>
        <v/>
      </c>
      <c r="P940" s="31">
        <f>IF(COUNTIFS($C:$C,$C940,$D:$D,$D940,$E:$E,"P0(전)",$M:$M,"&gt;0")&lt;&gt;1,"",SUMIFS($M:$M,$C:$C,$C940,$D:$D,$D940,$E:$E,"P0(전)"))</f>
        <v/>
      </c>
      <c r="Q940" s="48">
        <f>IF(COUNTIFS($C:$C,$C940,$D:$D,$D940,$E:$E,"P0(후)",$M:$M,"&gt;0")&lt;&gt;1,"",SUMIFS($I:$I,$C:$C,$C940,$D:$D,$D940,$E:$E,"P0(후)"))</f>
        <v/>
      </c>
      <c r="R940" s="31">
        <f>IF(COUNTIFS($C:$C,$C940,$D:$D,$D940,$E:$E,"P0(후)",$M:$M,"&gt;0")&lt;&gt;1,"",SUMIFS($M:$M,$C:$C,$C940,$D:$D,$D940,$E:$E,"P0(후)"))</f>
        <v/>
      </c>
      <c r="S940" s="31">
        <f>IF(N940&lt;&gt;"OK","",P940+(R940-P940)*(I940-O940)/(Q940-O940))</f>
        <v/>
      </c>
      <c r="T940" s="31">
        <f>IF(OR(N940&lt;&gt;"OK",NOT(ISNUMBER(M940))),"",M940-S940)</f>
        <v/>
      </c>
      <c r="U940" s="49">
        <f>IF(OR(NOT(ISNUMBER(T940)),IF(ISNUMBER(H940),H940,G940)=0),"",T940/IF(ISNUMBER(H940),H940,G940))</f>
        <v/>
      </c>
      <c r="V940" s="49">
        <f>IF(ISNUMBER(U940),ABS(U940),"")</f>
        <v/>
      </c>
      <c r="W940" s="49">
        <f>IF(OR($E939&lt;&gt;"측정",$C939&lt;&gt;$C940,$D939&lt;&gt;$D940,NOT(ISNUMBER(M940)),NOT(ISNUMBER(M939)),(IF(ISNUMBER(H940),H940,G940)-IF(ISNUMBER(H939),H939,G939))=0),"",(M940-M939)/(IF(ISNUMBER(H940),H940,G940)-IF(ISNUMBER(H939),H939,G939)))</f>
        <v/>
      </c>
      <c r="X940" s="31">
        <f>IF(NOT(AND(ISNUMBER(O940),ISNUMBER(Q940))),"",(Q940-O940)*1440)</f>
        <v/>
      </c>
      <c r="Y940" s="29" t="n"/>
      <c r="Z940" s="29" t="n"/>
      <c r="AA940" s="29" t="n"/>
      <c r="AB940" s="32" t="n"/>
      <c r="AC940" s="32" t="n"/>
    </row>
    <row r="941">
      <c r="A941" s="44" t="inlineStr">
        <is>
          <t>S18</t>
        </is>
      </c>
      <c r="B941" s="44" t="inlineStr">
        <is>
          <t>통영 신규점</t>
        </is>
      </c>
      <c r="C941" s="44" t="inlineStr">
        <is>
          <t>S18-H북</t>
        </is>
      </c>
      <c r="D941" s="45" t="n">
        <v>1</v>
      </c>
      <c r="E941" s="44" t="inlineStr">
        <is>
          <t>P0(후)</t>
        </is>
      </c>
      <c r="F941" s="44" t="inlineStr">
        <is>
          <t>북</t>
        </is>
      </c>
      <c r="G941" s="46" t="n"/>
      <c r="H941" s="30" t="n"/>
      <c r="I941" s="43" t="n"/>
      <c r="J941" s="41" t="n"/>
      <c r="K941" s="41" t="n"/>
      <c r="L941" s="41" t="n"/>
      <c r="M941" s="31">
        <f>IF(COUNT(J941:L941)=0,"",MEDIAN(J941:L941))</f>
        <v/>
      </c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38" t="n"/>
      <c r="Y941" s="29" t="n"/>
      <c r="Z941" s="29" t="n"/>
      <c r="AA941" s="29" t="n"/>
      <c r="AB941" s="32" t="n"/>
      <c r="AC941" s="32" t="n"/>
    </row>
    <row r="942">
      <c r="A942" s="44" t="inlineStr">
        <is>
          <t>S19</t>
        </is>
      </c>
      <c r="B942" s="44" t="inlineStr">
        <is>
          <t>오호 신규점</t>
        </is>
      </c>
      <c r="C942" s="44" t="inlineStr">
        <is>
          <t>S19-H동</t>
        </is>
      </c>
      <c r="D942" s="45" t="n">
        <v>1</v>
      </c>
      <c r="E942" s="44" t="inlineStr">
        <is>
          <t>P0(전)</t>
        </is>
      </c>
      <c r="F942" s="44" t="inlineStr">
        <is>
          <t>동</t>
        </is>
      </c>
      <c r="G942" s="46" t="n"/>
      <c r="H942" s="30" t="n"/>
      <c r="I942" s="43" t="n"/>
      <c r="J942" s="41" t="n"/>
      <c r="K942" s="41" t="n"/>
      <c r="L942" s="41" t="n"/>
      <c r="M942" s="31">
        <f>IF(COUNT(J942:L942)=0,"",MEDIAN(J942:L942))</f>
        <v/>
      </c>
      <c r="N942" s="38" t="n"/>
      <c r="O942" s="38" t="n"/>
      <c r="P942" s="38" t="n"/>
      <c r="Q942" s="38" t="n"/>
      <c r="R942" s="38" t="n"/>
      <c r="S942" s="38" t="n"/>
      <c r="T942" s="38" t="n"/>
      <c r="U942" s="38" t="n"/>
      <c r="V942" s="38" t="n"/>
      <c r="W942" s="38" t="n"/>
      <c r="X942" s="38" t="n"/>
      <c r="Y942" s="29" t="n"/>
      <c r="Z942" s="29" t="n"/>
      <c r="AA942" s="29" t="n"/>
      <c r="AB942" s="32" t="n"/>
      <c r="AC942" s="32" t="n"/>
    </row>
    <row r="943">
      <c r="A943" s="26" t="inlineStr">
        <is>
          <t>S19</t>
        </is>
      </c>
      <c r="B943" s="26" t="inlineStr">
        <is>
          <t>오호 신규점</t>
        </is>
      </c>
      <c r="C943" s="26" t="inlineStr">
        <is>
          <t>S19-H동</t>
        </is>
      </c>
      <c r="D943" s="47" t="n">
        <v>1</v>
      </c>
      <c r="E943" s="26" t="inlineStr">
        <is>
          <t>측정</t>
        </is>
      </c>
      <c r="F943" s="26" t="inlineStr">
        <is>
          <t>동</t>
        </is>
      </c>
      <c r="G943" s="31" t="n">
        <v>0.5</v>
      </c>
      <c r="H943" s="30" t="n"/>
      <c r="I943" s="43" t="n"/>
      <c r="J943" s="41" t="n"/>
      <c r="K943" s="41" t="n"/>
      <c r="L943" s="41" t="n"/>
      <c r="M943" s="31">
        <f>IF(COUNT(J943:L943)=0,"",MEDIAN(J943:L943))</f>
        <v/>
      </c>
      <c r="N943" s="26">
        <f>IF(COUNTIFS($C:$C,$C943,$D:$D,$D943,$E:$E,"P0(전)",$M:$M,"&gt;0")&lt;&gt;1,"P0(전) 유효 1개 아님",IF(COUNTIFS($C:$C,$C943,$D:$D,$D943,$E:$E,"P0(후)",$M:$M,"&gt;0")&lt;&gt;1,"P0(후) 유효 1개 아님",IF(NOT(AND(ISNUMBER(O943),ISNUMBER(Q943),ISNUMBER(I943))),"시각 결측",IF(Q943&lt;=O943,"P0 시각 역전",IF(OR(I943&lt;O943,I943&gt;Q943),"측정시각 구간 밖","OK")))))</f>
        <v/>
      </c>
      <c r="O943" s="48">
        <f>IF(COUNTIFS($C:$C,$C943,$D:$D,$D943,$E:$E,"P0(전)",$M:$M,"&gt;0")&lt;&gt;1,"",SUMIFS($I:$I,$C:$C,$C943,$D:$D,$D943,$E:$E,"P0(전)"))</f>
        <v/>
      </c>
      <c r="P943" s="31">
        <f>IF(COUNTIFS($C:$C,$C943,$D:$D,$D943,$E:$E,"P0(전)",$M:$M,"&gt;0")&lt;&gt;1,"",SUMIFS($M:$M,$C:$C,$C943,$D:$D,$D943,$E:$E,"P0(전)"))</f>
        <v/>
      </c>
      <c r="Q943" s="48">
        <f>IF(COUNTIFS($C:$C,$C943,$D:$D,$D943,$E:$E,"P0(후)",$M:$M,"&gt;0")&lt;&gt;1,"",SUMIFS($I:$I,$C:$C,$C943,$D:$D,$D943,$E:$E,"P0(후)"))</f>
        <v/>
      </c>
      <c r="R943" s="31">
        <f>IF(COUNTIFS($C:$C,$C943,$D:$D,$D943,$E:$E,"P0(후)",$M:$M,"&gt;0")&lt;&gt;1,"",SUMIFS($M:$M,$C:$C,$C943,$D:$D,$D943,$E:$E,"P0(후)"))</f>
        <v/>
      </c>
      <c r="S943" s="31">
        <f>IF(N943&lt;&gt;"OK","",P943+(R943-P943)*(I943-O943)/(Q943-O943))</f>
        <v/>
      </c>
      <c r="T943" s="31">
        <f>IF(OR(N943&lt;&gt;"OK",NOT(ISNUMBER(M943))),"",M943-S943)</f>
        <v/>
      </c>
      <c r="U943" s="49">
        <f>IF(OR(NOT(ISNUMBER(T943)),IF(ISNUMBER(H943),H943,G943)=0),"",T943/IF(ISNUMBER(H943),H943,G943))</f>
        <v/>
      </c>
      <c r="V943" s="49">
        <f>IF(ISNUMBER(U943),ABS(U943),"")</f>
        <v/>
      </c>
      <c r="W943" s="49">
        <f>IF(OR($E942&lt;&gt;"측정",$C942&lt;&gt;$C943,$D942&lt;&gt;$D943,NOT(ISNUMBER(M943)),NOT(ISNUMBER(M942)),(IF(ISNUMBER(H943),H943,G943)-IF(ISNUMBER(H942),H942,G942))=0),"",(M943-M942)/(IF(ISNUMBER(H943),H943,G943)-IF(ISNUMBER(H942),H942,G942)))</f>
        <v/>
      </c>
      <c r="X943" s="31">
        <f>IF(NOT(AND(ISNUMBER(O943),ISNUMBER(Q943))),"",(Q943-O943)*1440)</f>
        <v/>
      </c>
      <c r="Y943" s="29" t="n"/>
      <c r="Z943" s="29" t="n"/>
      <c r="AA943" s="29" t="n"/>
      <c r="AB943" s="32" t="n"/>
      <c r="AC943" s="32" t="n"/>
    </row>
    <row r="944">
      <c r="A944" s="26" t="inlineStr">
        <is>
          <t>S19</t>
        </is>
      </c>
      <c r="B944" s="26" t="inlineStr">
        <is>
          <t>오호 신규점</t>
        </is>
      </c>
      <c r="C944" s="26" t="inlineStr">
        <is>
          <t>S19-H동</t>
        </is>
      </c>
      <c r="D944" s="47" t="n">
        <v>1</v>
      </c>
      <c r="E944" s="26" t="inlineStr">
        <is>
          <t>측정</t>
        </is>
      </c>
      <c r="F944" s="26" t="inlineStr">
        <is>
          <t>동</t>
        </is>
      </c>
      <c r="G944" s="31" t="n">
        <v>1</v>
      </c>
      <c r="H944" s="30" t="n"/>
      <c r="I944" s="43" t="n"/>
      <c r="J944" s="41" t="n"/>
      <c r="K944" s="41" t="n"/>
      <c r="L944" s="41" t="n"/>
      <c r="M944" s="31">
        <f>IF(COUNT(J944:L944)=0,"",MEDIAN(J944:L944))</f>
        <v/>
      </c>
      <c r="N944" s="26">
        <f>IF(COUNTIFS($C:$C,$C944,$D:$D,$D944,$E:$E,"P0(전)",$M:$M,"&gt;0")&lt;&gt;1,"P0(전) 유효 1개 아님",IF(COUNTIFS($C:$C,$C944,$D:$D,$D944,$E:$E,"P0(후)",$M:$M,"&gt;0")&lt;&gt;1,"P0(후) 유효 1개 아님",IF(NOT(AND(ISNUMBER(O944),ISNUMBER(Q944),ISNUMBER(I944))),"시각 결측",IF(Q944&lt;=O944,"P0 시각 역전",IF(OR(I944&lt;O944,I944&gt;Q944),"측정시각 구간 밖","OK")))))</f>
        <v/>
      </c>
      <c r="O944" s="48">
        <f>IF(COUNTIFS($C:$C,$C944,$D:$D,$D944,$E:$E,"P0(전)",$M:$M,"&gt;0")&lt;&gt;1,"",SUMIFS($I:$I,$C:$C,$C944,$D:$D,$D944,$E:$E,"P0(전)"))</f>
        <v/>
      </c>
      <c r="P944" s="31">
        <f>IF(COUNTIFS($C:$C,$C944,$D:$D,$D944,$E:$E,"P0(전)",$M:$M,"&gt;0")&lt;&gt;1,"",SUMIFS($M:$M,$C:$C,$C944,$D:$D,$D944,$E:$E,"P0(전)"))</f>
        <v/>
      </c>
      <c r="Q944" s="48">
        <f>IF(COUNTIFS($C:$C,$C944,$D:$D,$D944,$E:$E,"P0(후)",$M:$M,"&gt;0")&lt;&gt;1,"",SUMIFS($I:$I,$C:$C,$C944,$D:$D,$D944,$E:$E,"P0(후)"))</f>
        <v/>
      </c>
      <c r="R944" s="31">
        <f>IF(COUNTIFS($C:$C,$C944,$D:$D,$D944,$E:$E,"P0(후)",$M:$M,"&gt;0")&lt;&gt;1,"",SUMIFS($M:$M,$C:$C,$C944,$D:$D,$D944,$E:$E,"P0(후)"))</f>
        <v/>
      </c>
      <c r="S944" s="31">
        <f>IF(N944&lt;&gt;"OK","",P944+(R944-P944)*(I944-O944)/(Q944-O944))</f>
        <v/>
      </c>
      <c r="T944" s="31">
        <f>IF(OR(N944&lt;&gt;"OK",NOT(ISNUMBER(M944))),"",M944-S944)</f>
        <v/>
      </c>
      <c r="U944" s="49">
        <f>IF(OR(NOT(ISNUMBER(T944)),IF(ISNUMBER(H944),H944,G944)=0),"",T944/IF(ISNUMBER(H944),H944,G944))</f>
        <v/>
      </c>
      <c r="V944" s="49">
        <f>IF(ISNUMBER(U944),ABS(U944),"")</f>
        <v/>
      </c>
      <c r="W944" s="49">
        <f>IF(OR($E943&lt;&gt;"측정",$C943&lt;&gt;$C944,$D943&lt;&gt;$D944,NOT(ISNUMBER(M944)),NOT(ISNUMBER(M943)),(IF(ISNUMBER(H944),H944,G944)-IF(ISNUMBER(H943),H943,G943))=0),"",(M944-M943)/(IF(ISNUMBER(H944),H944,G944)-IF(ISNUMBER(H943),H943,G943)))</f>
        <v/>
      </c>
      <c r="X944" s="31">
        <f>IF(NOT(AND(ISNUMBER(O944),ISNUMBER(Q944))),"",(Q944-O944)*1440)</f>
        <v/>
      </c>
      <c r="Y944" s="29" t="n"/>
      <c r="Z944" s="29" t="n"/>
      <c r="AA944" s="29" t="n"/>
      <c r="AB944" s="32" t="n"/>
      <c r="AC944" s="32" t="n"/>
    </row>
    <row r="945">
      <c r="A945" s="26" t="inlineStr">
        <is>
          <t>S19</t>
        </is>
      </c>
      <c r="B945" s="26" t="inlineStr">
        <is>
          <t>오호 신규점</t>
        </is>
      </c>
      <c r="C945" s="26" t="inlineStr">
        <is>
          <t>S19-H동</t>
        </is>
      </c>
      <c r="D945" s="47" t="n">
        <v>1</v>
      </c>
      <c r="E945" s="26" t="inlineStr">
        <is>
          <t>측정</t>
        </is>
      </c>
      <c r="F945" s="26" t="inlineStr">
        <is>
          <t>동</t>
        </is>
      </c>
      <c r="G945" s="31" t="n">
        <v>2</v>
      </c>
      <c r="H945" s="30" t="n"/>
      <c r="I945" s="43" t="n"/>
      <c r="J945" s="41" t="n"/>
      <c r="K945" s="41" t="n"/>
      <c r="L945" s="41" t="n"/>
      <c r="M945" s="31">
        <f>IF(COUNT(J945:L945)=0,"",MEDIAN(J945:L945))</f>
        <v/>
      </c>
      <c r="N945" s="26">
        <f>IF(COUNTIFS($C:$C,$C945,$D:$D,$D945,$E:$E,"P0(전)",$M:$M,"&gt;0")&lt;&gt;1,"P0(전) 유효 1개 아님",IF(COUNTIFS($C:$C,$C945,$D:$D,$D945,$E:$E,"P0(후)",$M:$M,"&gt;0")&lt;&gt;1,"P0(후) 유효 1개 아님",IF(NOT(AND(ISNUMBER(O945),ISNUMBER(Q945),ISNUMBER(I945))),"시각 결측",IF(Q945&lt;=O945,"P0 시각 역전",IF(OR(I945&lt;O945,I945&gt;Q945),"측정시각 구간 밖","OK")))))</f>
        <v/>
      </c>
      <c r="O945" s="48">
        <f>IF(COUNTIFS($C:$C,$C945,$D:$D,$D945,$E:$E,"P0(전)",$M:$M,"&gt;0")&lt;&gt;1,"",SUMIFS($I:$I,$C:$C,$C945,$D:$D,$D945,$E:$E,"P0(전)"))</f>
        <v/>
      </c>
      <c r="P945" s="31">
        <f>IF(COUNTIFS($C:$C,$C945,$D:$D,$D945,$E:$E,"P0(전)",$M:$M,"&gt;0")&lt;&gt;1,"",SUMIFS($M:$M,$C:$C,$C945,$D:$D,$D945,$E:$E,"P0(전)"))</f>
        <v/>
      </c>
      <c r="Q945" s="48">
        <f>IF(COUNTIFS($C:$C,$C945,$D:$D,$D945,$E:$E,"P0(후)",$M:$M,"&gt;0")&lt;&gt;1,"",SUMIFS($I:$I,$C:$C,$C945,$D:$D,$D945,$E:$E,"P0(후)"))</f>
        <v/>
      </c>
      <c r="R945" s="31">
        <f>IF(COUNTIFS($C:$C,$C945,$D:$D,$D945,$E:$E,"P0(후)",$M:$M,"&gt;0")&lt;&gt;1,"",SUMIFS($M:$M,$C:$C,$C945,$D:$D,$D945,$E:$E,"P0(후)"))</f>
        <v/>
      </c>
      <c r="S945" s="31">
        <f>IF(N945&lt;&gt;"OK","",P945+(R945-P945)*(I945-O945)/(Q945-O945))</f>
        <v/>
      </c>
      <c r="T945" s="31">
        <f>IF(OR(N945&lt;&gt;"OK",NOT(ISNUMBER(M945))),"",M945-S945)</f>
        <v/>
      </c>
      <c r="U945" s="49">
        <f>IF(OR(NOT(ISNUMBER(T945)),IF(ISNUMBER(H945),H945,G945)=0),"",T945/IF(ISNUMBER(H945),H945,G945))</f>
        <v/>
      </c>
      <c r="V945" s="49">
        <f>IF(ISNUMBER(U945),ABS(U945),"")</f>
        <v/>
      </c>
      <c r="W945" s="49">
        <f>IF(OR($E944&lt;&gt;"측정",$C944&lt;&gt;$C945,$D944&lt;&gt;$D945,NOT(ISNUMBER(M945)),NOT(ISNUMBER(M944)),(IF(ISNUMBER(H945),H945,G945)-IF(ISNUMBER(H944),H944,G944))=0),"",(M945-M944)/(IF(ISNUMBER(H945),H945,G945)-IF(ISNUMBER(H944),H944,G944)))</f>
        <v/>
      </c>
      <c r="X945" s="31">
        <f>IF(NOT(AND(ISNUMBER(O945),ISNUMBER(Q945))),"",(Q945-O945)*1440)</f>
        <v/>
      </c>
      <c r="Y945" s="29" t="n"/>
      <c r="Z945" s="29" t="n"/>
      <c r="AA945" s="29" t="n"/>
      <c r="AB945" s="32" t="n"/>
      <c r="AC945" s="32" t="n"/>
    </row>
    <row r="946">
      <c r="A946" s="26" t="inlineStr">
        <is>
          <t>S19</t>
        </is>
      </c>
      <c r="B946" s="26" t="inlineStr">
        <is>
          <t>오호 신규점</t>
        </is>
      </c>
      <c r="C946" s="26" t="inlineStr">
        <is>
          <t>S19-H동</t>
        </is>
      </c>
      <c r="D946" s="47" t="n">
        <v>1</v>
      </c>
      <c r="E946" s="26" t="inlineStr">
        <is>
          <t>측정</t>
        </is>
      </c>
      <c r="F946" s="26" t="inlineStr">
        <is>
          <t>동</t>
        </is>
      </c>
      <c r="G946" s="31" t="n">
        <v>3</v>
      </c>
      <c r="H946" s="30" t="n"/>
      <c r="I946" s="43" t="n"/>
      <c r="J946" s="41" t="n"/>
      <c r="K946" s="41" t="n"/>
      <c r="L946" s="41" t="n"/>
      <c r="M946" s="31">
        <f>IF(COUNT(J946:L946)=0,"",MEDIAN(J946:L946))</f>
        <v/>
      </c>
      <c r="N946" s="26">
        <f>IF(COUNTIFS($C:$C,$C946,$D:$D,$D946,$E:$E,"P0(전)",$M:$M,"&gt;0")&lt;&gt;1,"P0(전) 유효 1개 아님",IF(COUNTIFS($C:$C,$C946,$D:$D,$D946,$E:$E,"P0(후)",$M:$M,"&gt;0")&lt;&gt;1,"P0(후) 유효 1개 아님",IF(NOT(AND(ISNUMBER(O946),ISNUMBER(Q946),ISNUMBER(I946))),"시각 결측",IF(Q946&lt;=O946,"P0 시각 역전",IF(OR(I946&lt;O946,I946&gt;Q946),"측정시각 구간 밖","OK")))))</f>
        <v/>
      </c>
      <c r="O946" s="48">
        <f>IF(COUNTIFS($C:$C,$C946,$D:$D,$D946,$E:$E,"P0(전)",$M:$M,"&gt;0")&lt;&gt;1,"",SUMIFS($I:$I,$C:$C,$C946,$D:$D,$D946,$E:$E,"P0(전)"))</f>
        <v/>
      </c>
      <c r="P946" s="31">
        <f>IF(COUNTIFS($C:$C,$C946,$D:$D,$D946,$E:$E,"P0(전)",$M:$M,"&gt;0")&lt;&gt;1,"",SUMIFS($M:$M,$C:$C,$C946,$D:$D,$D946,$E:$E,"P0(전)"))</f>
        <v/>
      </c>
      <c r="Q946" s="48">
        <f>IF(COUNTIFS($C:$C,$C946,$D:$D,$D946,$E:$E,"P0(후)",$M:$M,"&gt;0")&lt;&gt;1,"",SUMIFS($I:$I,$C:$C,$C946,$D:$D,$D946,$E:$E,"P0(후)"))</f>
        <v/>
      </c>
      <c r="R946" s="31">
        <f>IF(COUNTIFS($C:$C,$C946,$D:$D,$D946,$E:$E,"P0(후)",$M:$M,"&gt;0")&lt;&gt;1,"",SUMIFS($M:$M,$C:$C,$C946,$D:$D,$D946,$E:$E,"P0(후)"))</f>
        <v/>
      </c>
      <c r="S946" s="31">
        <f>IF(N946&lt;&gt;"OK","",P946+(R946-P946)*(I946-O946)/(Q946-O946))</f>
        <v/>
      </c>
      <c r="T946" s="31">
        <f>IF(OR(N946&lt;&gt;"OK",NOT(ISNUMBER(M946))),"",M946-S946)</f>
        <v/>
      </c>
      <c r="U946" s="49">
        <f>IF(OR(NOT(ISNUMBER(T946)),IF(ISNUMBER(H946),H946,G946)=0),"",T946/IF(ISNUMBER(H946),H946,G946))</f>
        <v/>
      </c>
      <c r="V946" s="49">
        <f>IF(ISNUMBER(U946),ABS(U946),"")</f>
        <v/>
      </c>
      <c r="W946" s="49">
        <f>IF(OR($E945&lt;&gt;"측정",$C945&lt;&gt;$C946,$D945&lt;&gt;$D946,NOT(ISNUMBER(M946)),NOT(ISNUMBER(M945)),(IF(ISNUMBER(H946),H946,G946)-IF(ISNUMBER(H945),H945,G945))=0),"",(M946-M945)/(IF(ISNUMBER(H946),H946,G946)-IF(ISNUMBER(H945),H945,G945)))</f>
        <v/>
      </c>
      <c r="X946" s="31">
        <f>IF(NOT(AND(ISNUMBER(O946),ISNUMBER(Q946))),"",(Q946-O946)*1440)</f>
        <v/>
      </c>
      <c r="Y946" s="29" t="n"/>
      <c r="Z946" s="29" t="n"/>
      <c r="AA946" s="29" t="n"/>
      <c r="AB946" s="32" t="n"/>
      <c r="AC946" s="32" t="n"/>
    </row>
    <row r="947">
      <c r="A947" s="26" t="inlineStr">
        <is>
          <t>S19</t>
        </is>
      </c>
      <c r="B947" s="26" t="inlineStr">
        <is>
          <t>오호 신규점</t>
        </is>
      </c>
      <c r="C947" s="26" t="inlineStr">
        <is>
          <t>S19-H동</t>
        </is>
      </c>
      <c r="D947" s="47" t="n">
        <v>1</v>
      </c>
      <c r="E947" s="26" t="inlineStr">
        <is>
          <t>측정</t>
        </is>
      </c>
      <c r="F947" s="26" t="inlineStr">
        <is>
          <t>동</t>
        </is>
      </c>
      <c r="G947" s="31" t="n">
        <v>4</v>
      </c>
      <c r="H947" s="30" t="n"/>
      <c r="I947" s="43" t="n"/>
      <c r="J947" s="41" t="n"/>
      <c r="K947" s="41" t="n"/>
      <c r="L947" s="41" t="n"/>
      <c r="M947" s="31">
        <f>IF(COUNT(J947:L947)=0,"",MEDIAN(J947:L947))</f>
        <v/>
      </c>
      <c r="N947" s="26">
        <f>IF(COUNTIFS($C:$C,$C947,$D:$D,$D947,$E:$E,"P0(전)",$M:$M,"&gt;0")&lt;&gt;1,"P0(전) 유효 1개 아님",IF(COUNTIFS($C:$C,$C947,$D:$D,$D947,$E:$E,"P0(후)",$M:$M,"&gt;0")&lt;&gt;1,"P0(후) 유효 1개 아님",IF(NOT(AND(ISNUMBER(O947),ISNUMBER(Q947),ISNUMBER(I947))),"시각 결측",IF(Q947&lt;=O947,"P0 시각 역전",IF(OR(I947&lt;O947,I947&gt;Q947),"측정시각 구간 밖","OK")))))</f>
        <v/>
      </c>
      <c r="O947" s="48">
        <f>IF(COUNTIFS($C:$C,$C947,$D:$D,$D947,$E:$E,"P0(전)",$M:$M,"&gt;0")&lt;&gt;1,"",SUMIFS($I:$I,$C:$C,$C947,$D:$D,$D947,$E:$E,"P0(전)"))</f>
        <v/>
      </c>
      <c r="P947" s="31">
        <f>IF(COUNTIFS($C:$C,$C947,$D:$D,$D947,$E:$E,"P0(전)",$M:$M,"&gt;0")&lt;&gt;1,"",SUMIFS($M:$M,$C:$C,$C947,$D:$D,$D947,$E:$E,"P0(전)"))</f>
        <v/>
      </c>
      <c r="Q947" s="48">
        <f>IF(COUNTIFS($C:$C,$C947,$D:$D,$D947,$E:$E,"P0(후)",$M:$M,"&gt;0")&lt;&gt;1,"",SUMIFS($I:$I,$C:$C,$C947,$D:$D,$D947,$E:$E,"P0(후)"))</f>
        <v/>
      </c>
      <c r="R947" s="31">
        <f>IF(COUNTIFS($C:$C,$C947,$D:$D,$D947,$E:$E,"P0(후)",$M:$M,"&gt;0")&lt;&gt;1,"",SUMIFS($M:$M,$C:$C,$C947,$D:$D,$D947,$E:$E,"P0(후)"))</f>
        <v/>
      </c>
      <c r="S947" s="31">
        <f>IF(N947&lt;&gt;"OK","",P947+(R947-P947)*(I947-O947)/(Q947-O947))</f>
        <v/>
      </c>
      <c r="T947" s="31">
        <f>IF(OR(N947&lt;&gt;"OK",NOT(ISNUMBER(M947))),"",M947-S947)</f>
        <v/>
      </c>
      <c r="U947" s="49">
        <f>IF(OR(NOT(ISNUMBER(T947)),IF(ISNUMBER(H947),H947,G947)=0),"",T947/IF(ISNUMBER(H947),H947,G947))</f>
        <v/>
      </c>
      <c r="V947" s="49">
        <f>IF(ISNUMBER(U947),ABS(U947),"")</f>
        <v/>
      </c>
      <c r="W947" s="49">
        <f>IF(OR($E946&lt;&gt;"측정",$C946&lt;&gt;$C947,$D946&lt;&gt;$D947,NOT(ISNUMBER(M947)),NOT(ISNUMBER(M946)),(IF(ISNUMBER(H947),H947,G947)-IF(ISNUMBER(H946),H946,G946))=0),"",(M947-M946)/(IF(ISNUMBER(H947),H947,G947)-IF(ISNUMBER(H946),H946,G946)))</f>
        <v/>
      </c>
      <c r="X947" s="31">
        <f>IF(NOT(AND(ISNUMBER(O947),ISNUMBER(Q947))),"",(Q947-O947)*1440)</f>
        <v/>
      </c>
      <c r="Y947" s="29" t="n"/>
      <c r="Z947" s="29" t="n"/>
      <c r="AA947" s="29" t="n"/>
      <c r="AB947" s="32" t="n"/>
      <c r="AC947" s="32" t="n"/>
    </row>
    <row r="948">
      <c r="A948" s="26" t="inlineStr">
        <is>
          <t>S19</t>
        </is>
      </c>
      <c r="B948" s="26" t="inlineStr">
        <is>
          <t>오호 신규점</t>
        </is>
      </c>
      <c r="C948" s="26" t="inlineStr">
        <is>
          <t>S19-H동</t>
        </is>
      </c>
      <c r="D948" s="47" t="n">
        <v>1</v>
      </c>
      <c r="E948" s="26" t="inlineStr">
        <is>
          <t>측정</t>
        </is>
      </c>
      <c r="F948" s="26" t="inlineStr">
        <is>
          <t>동</t>
        </is>
      </c>
      <c r="G948" s="31" t="n">
        <v>5</v>
      </c>
      <c r="H948" s="30" t="n"/>
      <c r="I948" s="43" t="n"/>
      <c r="J948" s="41" t="n"/>
      <c r="K948" s="41" t="n"/>
      <c r="L948" s="41" t="n"/>
      <c r="M948" s="31">
        <f>IF(COUNT(J948:L948)=0,"",MEDIAN(J948:L948))</f>
        <v/>
      </c>
      <c r="N948" s="26">
        <f>IF(COUNTIFS($C:$C,$C948,$D:$D,$D948,$E:$E,"P0(전)",$M:$M,"&gt;0")&lt;&gt;1,"P0(전) 유효 1개 아님",IF(COUNTIFS($C:$C,$C948,$D:$D,$D948,$E:$E,"P0(후)",$M:$M,"&gt;0")&lt;&gt;1,"P0(후) 유효 1개 아님",IF(NOT(AND(ISNUMBER(O948),ISNUMBER(Q948),ISNUMBER(I948))),"시각 결측",IF(Q948&lt;=O948,"P0 시각 역전",IF(OR(I948&lt;O948,I948&gt;Q948),"측정시각 구간 밖","OK")))))</f>
        <v/>
      </c>
      <c r="O948" s="48">
        <f>IF(COUNTIFS($C:$C,$C948,$D:$D,$D948,$E:$E,"P0(전)",$M:$M,"&gt;0")&lt;&gt;1,"",SUMIFS($I:$I,$C:$C,$C948,$D:$D,$D948,$E:$E,"P0(전)"))</f>
        <v/>
      </c>
      <c r="P948" s="31">
        <f>IF(COUNTIFS($C:$C,$C948,$D:$D,$D948,$E:$E,"P0(전)",$M:$M,"&gt;0")&lt;&gt;1,"",SUMIFS($M:$M,$C:$C,$C948,$D:$D,$D948,$E:$E,"P0(전)"))</f>
        <v/>
      </c>
      <c r="Q948" s="48">
        <f>IF(COUNTIFS($C:$C,$C948,$D:$D,$D948,$E:$E,"P0(후)",$M:$M,"&gt;0")&lt;&gt;1,"",SUMIFS($I:$I,$C:$C,$C948,$D:$D,$D948,$E:$E,"P0(후)"))</f>
        <v/>
      </c>
      <c r="R948" s="31">
        <f>IF(COUNTIFS($C:$C,$C948,$D:$D,$D948,$E:$E,"P0(후)",$M:$M,"&gt;0")&lt;&gt;1,"",SUMIFS($M:$M,$C:$C,$C948,$D:$D,$D948,$E:$E,"P0(후)"))</f>
        <v/>
      </c>
      <c r="S948" s="31">
        <f>IF(N948&lt;&gt;"OK","",P948+(R948-P948)*(I948-O948)/(Q948-O948))</f>
        <v/>
      </c>
      <c r="T948" s="31">
        <f>IF(OR(N948&lt;&gt;"OK",NOT(ISNUMBER(M948))),"",M948-S948)</f>
        <v/>
      </c>
      <c r="U948" s="49">
        <f>IF(OR(NOT(ISNUMBER(T948)),IF(ISNUMBER(H948),H948,G948)=0),"",T948/IF(ISNUMBER(H948),H948,G948))</f>
        <v/>
      </c>
      <c r="V948" s="49">
        <f>IF(ISNUMBER(U948),ABS(U948),"")</f>
        <v/>
      </c>
      <c r="W948" s="49">
        <f>IF(OR($E947&lt;&gt;"측정",$C947&lt;&gt;$C948,$D947&lt;&gt;$D948,NOT(ISNUMBER(M948)),NOT(ISNUMBER(M947)),(IF(ISNUMBER(H948),H948,G948)-IF(ISNUMBER(H947),H947,G947))=0),"",(M948-M947)/(IF(ISNUMBER(H948),H948,G948)-IF(ISNUMBER(H947),H947,G947)))</f>
        <v/>
      </c>
      <c r="X948" s="31">
        <f>IF(NOT(AND(ISNUMBER(O948),ISNUMBER(Q948))),"",(Q948-O948)*1440)</f>
        <v/>
      </c>
      <c r="Y948" s="29" t="n"/>
      <c r="Z948" s="29" t="n"/>
      <c r="AA948" s="29" t="n"/>
      <c r="AB948" s="32" t="n"/>
      <c r="AC948" s="32" t="n"/>
    </row>
    <row r="949">
      <c r="A949" s="26" t="inlineStr">
        <is>
          <t>S19</t>
        </is>
      </c>
      <c r="B949" s="26" t="inlineStr">
        <is>
          <t>오호 신규점</t>
        </is>
      </c>
      <c r="C949" s="26" t="inlineStr">
        <is>
          <t>S19-H동</t>
        </is>
      </c>
      <c r="D949" s="47" t="n">
        <v>1</v>
      </c>
      <c r="E949" s="26" t="inlineStr">
        <is>
          <t>측정</t>
        </is>
      </c>
      <c r="F949" s="26" t="inlineStr">
        <is>
          <t>동</t>
        </is>
      </c>
      <c r="G949" s="31" t="n">
        <v>6</v>
      </c>
      <c r="H949" s="30" t="n"/>
      <c r="I949" s="43" t="n"/>
      <c r="J949" s="41" t="n"/>
      <c r="K949" s="41" t="n"/>
      <c r="L949" s="41" t="n"/>
      <c r="M949" s="31">
        <f>IF(COUNT(J949:L949)=0,"",MEDIAN(J949:L949))</f>
        <v/>
      </c>
      <c r="N949" s="26">
        <f>IF(COUNTIFS($C:$C,$C949,$D:$D,$D949,$E:$E,"P0(전)",$M:$M,"&gt;0")&lt;&gt;1,"P0(전) 유효 1개 아님",IF(COUNTIFS($C:$C,$C949,$D:$D,$D949,$E:$E,"P0(후)",$M:$M,"&gt;0")&lt;&gt;1,"P0(후) 유효 1개 아님",IF(NOT(AND(ISNUMBER(O949),ISNUMBER(Q949),ISNUMBER(I949))),"시각 결측",IF(Q949&lt;=O949,"P0 시각 역전",IF(OR(I949&lt;O949,I949&gt;Q949),"측정시각 구간 밖","OK")))))</f>
        <v/>
      </c>
      <c r="O949" s="48">
        <f>IF(COUNTIFS($C:$C,$C949,$D:$D,$D949,$E:$E,"P0(전)",$M:$M,"&gt;0")&lt;&gt;1,"",SUMIFS($I:$I,$C:$C,$C949,$D:$D,$D949,$E:$E,"P0(전)"))</f>
        <v/>
      </c>
      <c r="P949" s="31">
        <f>IF(COUNTIFS($C:$C,$C949,$D:$D,$D949,$E:$E,"P0(전)",$M:$M,"&gt;0")&lt;&gt;1,"",SUMIFS($M:$M,$C:$C,$C949,$D:$D,$D949,$E:$E,"P0(전)"))</f>
        <v/>
      </c>
      <c r="Q949" s="48">
        <f>IF(COUNTIFS($C:$C,$C949,$D:$D,$D949,$E:$E,"P0(후)",$M:$M,"&gt;0")&lt;&gt;1,"",SUMIFS($I:$I,$C:$C,$C949,$D:$D,$D949,$E:$E,"P0(후)"))</f>
        <v/>
      </c>
      <c r="R949" s="31">
        <f>IF(COUNTIFS($C:$C,$C949,$D:$D,$D949,$E:$E,"P0(후)",$M:$M,"&gt;0")&lt;&gt;1,"",SUMIFS($M:$M,$C:$C,$C949,$D:$D,$D949,$E:$E,"P0(후)"))</f>
        <v/>
      </c>
      <c r="S949" s="31">
        <f>IF(N949&lt;&gt;"OK","",P949+(R949-P949)*(I949-O949)/(Q949-O949))</f>
        <v/>
      </c>
      <c r="T949" s="31">
        <f>IF(OR(N949&lt;&gt;"OK",NOT(ISNUMBER(M949))),"",M949-S949)</f>
        <v/>
      </c>
      <c r="U949" s="49">
        <f>IF(OR(NOT(ISNUMBER(T949)),IF(ISNUMBER(H949),H949,G949)=0),"",T949/IF(ISNUMBER(H949),H949,G949))</f>
        <v/>
      </c>
      <c r="V949" s="49">
        <f>IF(ISNUMBER(U949),ABS(U949),"")</f>
        <v/>
      </c>
      <c r="W949" s="49">
        <f>IF(OR($E948&lt;&gt;"측정",$C948&lt;&gt;$C949,$D948&lt;&gt;$D949,NOT(ISNUMBER(M949)),NOT(ISNUMBER(M948)),(IF(ISNUMBER(H949),H949,G949)-IF(ISNUMBER(H948),H948,G948))=0),"",(M949-M948)/(IF(ISNUMBER(H949),H949,G949)-IF(ISNUMBER(H948),H948,G948)))</f>
        <v/>
      </c>
      <c r="X949" s="31">
        <f>IF(NOT(AND(ISNUMBER(O949),ISNUMBER(Q949))),"",(Q949-O949)*1440)</f>
        <v/>
      </c>
      <c r="Y949" s="29" t="n"/>
      <c r="Z949" s="29" t="n"/>
      <c r="AA949" s="29" t="n"/>
      <c r="AB949" s="32" t="n"/>
      <c r="AC949" s="32" t="n"/>
    </row>
    <row r="950">
      <c r="A950" s="26" t="inlineStr">
        <is>
          <t>S19</t>
        </is>
      </c>
      <c r="B950" s="26" t="inlineStr">
        <is>
          <t>오호 신규점</t>
        </is>
      </c>
      <c r="C950" s="26" t="inlineStr">
        <is>
          <t>S19-H동</t>
        </is>
      </c>
      <c r="D950" s="47" t="n">
        <v>1</v>
      </c>
      <c r="E950" s="26" t="inlineStr">
        <is>
          <t>측정</t>
        </is>
      </c>
      <c r="F950" s="26" t="inlineStr">
        <is>
          <t>동</t>
        </is>
      </c>
      <c r="G950" s="31" t="n">
        <v>7</v>
      </c>
      <c r="H950" s="30" t="n"/>
      <c r="I950" s="43" t="n"/>
      <c r="J950" s="41" t="n"/>
      <c r="K950" s="41" t="n"/>
      <c r="L950" s="41" t="n"/>
      <c r="M950" s="31">
        <f>IF(COUNT(J950:L950)=0,"",MEDIAN(J950:L950))</f>
        <v/>
      </c>
      <c r="N950" s="26">
        <f>IF(COUNTIFS($C:$C,$C950,$D:$D,$D950,$E:$E,"P0(전)",$M:$M,"&gt;0")&lt;&gt;1,"P0(전) 유효 1개 아님",IF(COUNTIFS($C:$C,$C950,$D:$D,$D950,$E:$E,"P0(후)",$M:$M,"&gt;0")&lt;&gt;1,"P0(후) 유효 1개 아님",IF(NOT(AND(ISNUMBER(O950),ISNUMBER(Q950),ISNUMBER(I950))),"시각 결측",IF(Q950&lt;=O950,"P0 시각 역전",IF(OR(I950&lt;O950,I950&gt;Q950),"측정시각 구간 밖","OK")))))</f>
        <v/>
      </c>
      <c r="O950" s="48">
        <f>IF(COUNTIFS($C:$C,$C950,$D:$D,$D950,$E:$E,"P0(전)",$M:$M,"&gt;0")&lt;&gt;1,"",SUMIFS($I:$I,$C:$C,$C950,$D:$D,$D950,$E:$E,"P0(전)"))</f>
        <v/>
      </c>
      <c r="P950" s="31">
        <f>IF(COUNTIFS($C:$C,$C950,$D:$D,$D950,$E:$E,"P0(전)",$M:$M,"&gt;0")&lt;&gt;1,"",SUMIFS($M:$M,$C:$C,$C950,$D:$D,$D950,$E:$E,"P0(전)"))</f>
        <v/>
      </c>
      <c r="Q950" s="48">
        <f>IF(COUNTIFS($C:$C,$C950,$D:$D,$D950,$E:$E,"P0(후)",$M:$M,"&gt;0")&lt;&gt;1,"",SUMIFS($I:$I,$C:$C,$C950,$D:$D,$D950,$E:$E,"P0(후)"))</f>
        <v/>
      </c>
      <c r="R950" s="31">
        <f>IF(COUNTIFS($C:$C,$C950,$D:$D,$D950,$E:$E,"P0(후)",$M:$M,"&gt;0")&lt;&gt;1,"",SUMIFS($M:$M,$C:$C,$C950,$D:$D,$D950,$E:$E,"P0(후)"))</f>
        <v/>
      </c>
      <c r="S950" s="31">
        <f>IF(N950&lt;&gt;"OK","",P950+(R950-P950)*(I950-O950)/(Q950-O950))</f>
        <v/>
      </c>
      <c r="T950" s="31">
        <f>IF(OR(N950&lt;&gt;"OK",NOT(ISNUMBER(M950))),"",M950-S950)</f>
        <v/>
      </c>
      <c r="U950" s="49">
        <f>IF(OR(NOT(ISNUMBER(T950)),IF(ISNUMBER(H950),H950,G950)=0),"",T950/IF(ISNUMBER(H950),H950,G950))</f>
        <v/>
      </c>
      <c r="V950" s="49">
        <f>IF(ISNUMBER(U950),ABS(U950),"")</f>
        <v/>
      </c>
      <c r="W950" s="49">
        <f>IF(OR($E949&lt;&gt;"측정",$C949&lt;&gt;$C950,$D949&lt;&gt;$D950,NOT(ISNUMBER(M950)),NOT(ISNUMBER(M949)),(IF(ISNUMBER(H950),H950,G950)-IF(ISNUMBER(H949),H949,G949))=0),"",(M950-M949)/(IF(ISNUMBER(H950),H950,G950)-IF(ISNUMBER(H949),H949,G949)))</f>
        <v/>
      </c>
      <c r="X950" s="31">
        <f>IF(NOT(AND(ISNUMBER(O950),ISNUMBER(Q950))),"",(Q950-O950)*1440)</f>
        <v/>
      </c>
      <c r="Y950" s="29" t="n"/>
      <c r="Z950" s="29" t="n"/>
      <c r="AA950" s="29" t="n"/>
      <c r="AB950" s="32" t="n"/>
      <c r="AC950" s="32" t="n"/>
    </row>
    <row r="951">
      <c r="A951" s="26" t="inlineStr">
        <is>
          <t>S19</t>
        </is>
      </c>
      <c r="B951" s="26" t="inlineStr">
        <is>
          <t>오호 신규점</t>
        </is>
      </c>
      <c r="C951" s="26" t="inlineStr">
        <is>
          <t>S19-H동</t>
        </is>
      </c>
      <c r="D951" s="47" t="n">
        <v>1</v>
      </c>
      <c r="E951" s="26" t="inlineStr">
        <is>
          <t>측정</t>
        </is>
      </c>
      <c r="F951" s="26" t="inlineStr">
        <is>
          <t>동</t>
        </is>
      </c>
      <c r="G951" s="31" t="n">
        <v>8</v>
      </c>
      <c r="H951" s="30" t="n"/>
      <c r="I951" s="43" t="n"/>
      <c r="J951" s="41" t="n"/>
      <c r="K951" s="41" t="n"/>
      <c r="L951" s="41" t="n"/>
      <c r="M951" s="31">
        <f>IF(COUNT(J951:L951)=0,"",MEDIAN(J951:L951))</f>
        <v/>
      </c>
      <c r="N951" s="26">
        <f>IF(COUNTIFS($C:$C,$C951,$D:$D,$D951,$E:$E,"P0(전)",$M:$M,"&gt;0")&lt;&gt;1,"P0(전) 유효 1개 아님",IF(COUNTIFS($C:$C,$C951,$D:$D,$D951,$E:$E,"P0(후)",$M:$M,"&gt;0")&lt;&gt;1,"P0(후) 유효 1개 아님",IF(NOT(AND(ISNUMBER(O951),ISNUMBER(Q951),ISNUMBER(I951))),"시각 결측",IF(Q951&lt;=O951,"P0 시각 역전",IF(OR(I951&lt;O951,I951&gt;Q951),"측정시각 구간 밖","OK")))))</f>
        <v/>
      </c>
      <c r="O951" s="48">
        <f>IF(COUNTIFS($C:$C,$C951,$D:$D,$D951,$E:$E,"P0(전)",$M:$M,"&gt;0")&lt;&gt;1,"",SUMIFS($I:$I,$C:$C,$C951,$D:$D,$D951,$E:$E,"P0(전)"))</f>
        <v/>
      </c>
      <c r="P951" s="31">
        <f>IF(COUNTIFS($C:$C,$C951,$D:$D,$D951,$E:$E,"P0(전)",$M:$M,"&gt;0")&lt;&gt;1,"",SUMIFS($M:$M,$C:$C,$C951,$D:$D,$D951,$E:$E,"P0(전)"))</f>
        <v/>
      </c>
      <c r="Q951" s="48">
        <f>IF(COUNTIFS($C:$C,$C951,$D:$D,$D951,$E:$E,"P0(후)",$M:$M,"&gt;0")&lt;&gt;1,"",SUMIFS($I:$I,$C:$C,$C951,$D:$D,$D951,$E:$E,"P0(후)"))</f>
        <v/>
      </c>
      <c r="R951" s="31">
        <f>IF(COUNTIFS($C:$C,$C951,$D:$D,$D951,$E:$E,"P0(후)",$M:$M,"&gt;0")&lt;&gt;1,"",SUMIFS($M:$M,$C:$C,$C951,$D:$D,$D951,$E:$E,"P0(후)"))</f>
        <v/>
      </c>
      <c r="S951" s="31">
        <f>IF(N951&lt;&gt;"OK","",P951+(R951-P951)*(I951-O951)/(Q951-O951))</f>
        <v/>
      </c>
      <c r="T951" s="31">
        <f>IF(OR(N951&lt;&gt;"OK",NOT(ISNUMBER(M951))),"",M951-S951)</f>
        <v/>
      </c>
      <c r="U951" s="49">
        <f>IF(OR(NOT(ISNUMBER(T951)),IF(ISNUMBER(H951),H951,G951)=0),"",T951/IF(ISNUMBER(H951),H951,G951))</f>
        <v/>
      </c>
      <c r="V951" s="49">
        <f>IF(ISNUMBER(U951),ABS(U951),"")</f>
        <v/>
      </c>
      <c r="W951" s="49">
        <f>IF(OR($E950&lt;&gt;"측정",$C950&lt;&gt;$C951,$D950&lt;&gt;$D951,NOT(ISNUMBER(M951)),NOT(ISNUMBER(M950)),(IF(ISNUMBER(H951),H951,G951)-IF(ISNUMBER(H950),H950,G950))=0),"",(M951-M950)/(IF(ISNUMBER(H951),H951,G951)-IF(ISNUMBER(H950),H950,G950)))</f>
        <v/>
      </c>
      <c r="X951" s="31">
        <f>IF(NOT(AND(ISNUMBER(O951),ISNUMBER(Q951))),"",(Q951-O951)*1440)</f>
        <v/>
      </c>
      <c r="Y951" s="29" t="n"/>
      <c r="Z951" s="29" t="n"/>
      <c r="AA951" s="29" t="n"/>
      <c r="AB951" s="32" t="n"/>
      <c r="AC951" s="32" t="n"/>
    </row>
    <row r="952">
      <c r="A952" s="26" t="inlineStr">
        <is>
          <t>S19</t>
        </is>
      </c>
      <c r="B952" s="26" t="inlineStr">
        <is>
          <t>오호 신규점</t>
        </is>
      </c>
      <c r="C952" s="26" t="inlineStr">
        <is>
          <t>S19-H동</t>
        </is>
      </c>
      <c r="D952" s="47" t="n">
        <v>1</v>
      </c>
      <c r="E952" s="26" t="inlineStr">
        <is>
          <t>측정</t>
        </is>
      </c>
      <c r="F952" s="26" t="inlineStr">
        <is>
          <t>동</t>
        </is>
      </c>
      <c r="G952" s="31" t="n">
        <v>9</v>
      </c>
      <c r="H952" s="30" t="n"/>
      <c r="I952" s="43" t="n"/>
      <c r="J952" s="41" t="n"/>
      <c r="K952" s="41" t="n"/>
      <c r="L952" s="41" t="n"/>
      <c r="M952" s="31">
        <f>IF(COUNT(J952:L952)=0,"",MEDIAN(J952:L952))</f>
        <v/>
      </c>
      <c r="N952" s="26">
        <f>IF(COUNTIFS($C:$C,$C952,$D:$D,$D952,$E:$E,"P0(전)",$M:$M,"&gt;0")&lt;&gt;1,"P0(전) 유효 1개 아님",IF(COUNTIFS($C:$C,$C952,$D:$D,$D952,$E:$E,"P0(후)",$M:$M,"&gt;0")&lt;&gt;1,"P0(후) 유효 1개 아님",IF(NOT(AND(ISNUMBER(O952),ISNUMBER(Q952),ISNUMBER(I952))),"시각 결측",IF(Q952&lt;=O952,"P0 시각 역전",IF(OR(I952&lt;O952,I952&gt;Q952),"측정시각 구간 밖","OK")))))</f>
        <v/>
      </c>
      <c r="O952" s="48">
        <f>IF(COUNTIFS($C:$C,$C952,$D:$D,$D952,$E:$E,"P0(전)",$M:$M,"&gt;0")&lt;&gt;1,"",SUMIFS($I:$I,$C:$C,$C952,$D:$D,$D952,$E:$E,"P0(전)"))</f>
        <v/>
      </c>
      <c r="P952" s="31">
        <f>IF(COUNTIFS($C:$C,$C952,$D:$D,$D952,$E:$E,"P0(전)",$M:$M,"&gt;0")&lt;&gt;1,"",SUMIFS($M:$M,$C:$C,$C952,$D:$D,$D952,$E:$E,"P0(전)"))</f>
        <v/>
      </c>
      <c r="Q952" s="48">
        <f>IF(COUNTIFS($C:$C,$C952,$D:$D,$D952,$E:$E,"P0(후)",$M:$M,"&gt;0")&lt;&gt;1,"",SUMIFS($I:$I,$C:$C,$C952,$D:$D,$D952,$E:$E,"P0(후)"))</f>
        <v/>
      </c>
      <c r="R952" s="31">
        <f>IF(COUNTIFS($C:$C,$C952,$D:$D,$D952,$E:$E,"P0(후)",$M:$M,"&gt;0")&lt;&gt;1,"",SUMIFS($M:$M,$C:$C,$C952,$D:$D,$D952,$E:$E,"P0(후)"))</f>
        <v/>
      </c>
      <c r="S952" s="31">
        <f>IF(N952&lt;&gt;"OK","",P952+(R952-P952)*(I952-O952)/(Q952-O952))</f>
        <v/>
      </c>
      <c r="T952" s="31">
        <f>IF(OR(N952&lt;&gt;"OK",NOT(ISNUMBER(M952))),"",M952-S952)</f>
        <v/>
      </c>
      <c r="U952" s="49">
        <f>IF(OR(NOT(ISNUMBER(T952)),IF(ISNUMBER(H952),H952,G952)=0),"",T952/IF(ISNUMBER(H952),H952,G952))</f>
        <v/>
      </c>
      <c r="V952" s="49">
        <f>IF(ISNUMBER(U952),ABS(U952),"")</f>
        <v/>
      </c>
      <c r="W952" s="49">
        <f>IF(OR($E951&lt;&gt;"측정",$C951&lt;&gt;$C952,$D951&lt;&gt;$D952,NOT(ISNUMBER(M952)),NOT(ISNUMBER(M951)),(IF(ISNUMBER(H952),H952,G952)-IF(ISNUMBER(H951),H951,G951))=0),"",(M952-M951)/(IF(ISNUMBER(H952),H952,G952)-IF(ISNUMBER(H951),H951,G951)))</f>
        <v/>
      </c>
      <c r="X952" s="31">
        <f>IF(NOT(AND(ISNUMBER(O952),ISNUMBER(Q952))),"",(Q952-O952)*1440)</f>
        <v/>
      </c>
      <c r="Y952" s="29" t="n"/>
      <c r="Z952" s="29" t="n"/>
      <c r="AA952" s="29" t="n"/>
      <c r="AB952" s="32" t="n"/>
      <c r="AC952" s="32" t="n"/>
    </row>
    <row r="953">
      <c r="A953" s="26" t="inlineStr">
        <is>
          <t>S19</t>
        </is>
      </c>
      <c r="B953" s="26" t="inlineStr">
        <is>
          <t>오호 신규점</t>
        </is>
      </c>
      <c r="C953" s="26" t="inlineStr">
        <is>
          <t>S19-H동</t>
        </is>
      </c>
      <c r="D953" s="47" t="n">
        <v>1</v>
      </c>
      <c r="E953" s="26" t="inlineStr">
        <is>
          <t>측정</t>
        </is>
      </c>
      <c r="F953" s="26" t="inlineStr">
        <is>
          <t>동</t>
        </is>
      </c>
      <c r="G953" s="31" t="n">
        <v>10</v>
      </c>
      <c r="H953" s="30" t="n"/>
      <c r="I953" s="43" t="n"/>
      <c r="J953" s="41" t="n"/>
      <c r="K953" s="41" t="n"/>
      <c r="L953" s="41" t="n"/>
      <c r="M953" s="31">
        <f>IF(COUNT(J953:L953)=0,"",MEDIAN(J953:L953))</f>
        <v/>
      </c>
      <c r="N953" s="26">
        <f>IF(COUNTIFS($C:$C,$C953,$D:$D,$D953,$E:$E,"P0(전)",$M:$M,"&gt;0")&lt;&gt;1,"P0(전) 유효 1개 아님",IF(COUNTIFS($C:$C,$C953,$D:$D,$D953,$E:$E,"P0(후)",$M:$M,"&gt;0")&lt;&gt;1,"P0(후) 유효 1개 아님",IF(NOT(AND(ISNUMBER(O953),ISNUMBER(Q953),ISNUMBER(I953))),"시각 결측",IF(Q953&lt;=O953,"P0 시각 역전",IF(OR(I953&lt;O953,I953&gt;Q953),"측정시각 구간 밖","OK")))))</f>
        <v/>
      </c>
      <c r="O953" s="48">
        <f>IF(COUNTIFS($C:$C,$C953,$D:$D,$D953,$E:$E,"P0(전)",$M:$M,"&gt;0")&lt;&gt;1,"",SUMIFS($I:$I,$C:$C,$C953,$D:$D,$D953,$E:$E,"P0(전)"))</f>
        <v/>
      </c>
      <c r="P953" s="31">
        <f>IF(COUNTIFS($C:$C,$C953,$D:$D,$D953,$E:$E,"P0(전)",$M:$M,"&gt;0")&lt;&gt;1,"",SUMIFS($M:$M,$C:$C,$C953,$D:$D,$D953,$E:$E,"P0(전)"))</f>
        <v/>
      </c>
      <c r="Q953" s="48">
        <f>IF(COUNTIFS($C:$C,$C953,$D:$D,$D953,$E:$E,"P0(후)",$M:$M,"&gt;0")&lt;&gt;1,"",SUMIFS($I:$I,$C:$C,$C953,$D:$D,$D953,$E:$E,"P0(후)"))</f>
        <v/>
      </c>
      <c r="R953" s="31">
        <f>IF(COUNTIFS($C:$C,$C953,$D:$D,$D953,$E:$E,"P0(후)",$M:$M,"&gt;0")&lt;&gt;1,"",SUMIFS($M:$M,$C:$C,$C953,$D:$D,$D953,$E:$E,"P0(후)"))</f>
        <v/>
      </c>
      <c r="S953" s="31">
        <f>IF(N953&lt;&gt;"OK","",P953+(R953-P953)*(I953-O953)/(Q953-O953))</f>
        <v/>
      </c>
      <c r="T953" s="31">
        <f>IF(OR(N953&lt;&gt;"OK",NOT(ISNUMBER(M953))),"",M953-S953)</f>
        <v/>
      </c>
      <c r="U953" s="49">
        <f>IF(OR(NOT(ISNUMBER(T953)),IF(ISNUMBER(H953),H953,G953)=0),"",T953/IF(ISNUMBER(H953),H953,G953))</f>
        <v/>
      </c>
      <c r="V953" s="49">
        <f>IF(ISNUMBER(U953),ABS(U953),"")</f>
        <v/>
      </c>
      <c r="W953" s="49">
        <f>IF(OR($E952&lt;&gt;"측정",$C952&lt;&gt;$C953,$D952&lt;&gt;$D953,NOT(ISNUMBER(M953)),NOT(ISNUMBER(M952)),(IF(ISNUMBER(H953),H953,G953)-IF(ISNUMBER(H952),H952,G952))=0),"",(M953-M952)/(IF(ISNUMBER(H953),H953,G953)-IF(ISNUMBER(H952),H952,G952)))</f>
        <v/>
      </c>
      <c r="X953" s="31">
        <f>IF(NOT(AND(ISNUMBER(O953),ISNUMBER(Q953))),"",(Q953-O953)*1440)</f>
        <v/>
      </c>
      <c r="Y953" s="29" t="n"/>
      <c r="Z953" s="29" t="n"/>
      <c r="AA953" s="29" t="n"/>
      <c r="AB953" s="32" t="n"/>
      <c r="AC953" s="32" t="n"/>
    </row>
    <row r="954">
      <c r="A954" s="44" t="inlineStr">
        <is>
          <t>S19</t>
        </is>
      </c>
      <c r="B954" s="44" t="inlineStr">
        <is>
          <t>오호 신규점</t>
        </is>
      </c>
      <c r="C954" s="44" t="inlineStr">
        <is>
          <t>S19-H동</t>
        </is>
      </c>
      <c r="D954" s="45" t="n">
        <v>1</v>
      </c>
      <c r="E954" s="44" t="inlineStr">
        <is>
          <t>P0(후)</t>
        </is>
      </c>
      <c r="F954" s="44" t="inlineStr">
        <is>
          <t>동</t>
        </is>
      </c>
      <c r="G954" s="46" t="n"/>
      <c r="H954" s="30" t="n"/>
      <c r="I954" s="43" t="n"/>
      <c r="J954" s="41" t="n"/>
      <c r="K954" s="41" t="n"/>
      <c r="L954" s="41" t="n"/>
      <c r="M954" s="31">
        <f>IF(COUNT(J954:L954)=0,"",MEDIAN(J954:L954))</f>
        <v/>
      </c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38" t="n"/>
      <c r="Y954" s="29" t="n"/>
      <c r="Z954" s="29" t="n"/>
      <c r="AA954" s="29" t="n"/>
      <c r="AB954" s="32" t="n"/>
      <c r="AC954" s="32" t="n"/>
    </row>
    <row r="955">
      <c r="A955" s="44" t="inlineStr">
        <is>
          <t>S19</t>
        </is>
      </c>
      <c r="B955" s="44" t="inlineStr">
        <is>
          <t>오호 신규점</t>
        </is>
      </c>
      <c r="C955" s="44" t="inlineStr">
        <is>
          <t>S19-H서</t>
        </is>
      </c>
      <c r="D955" s="45" t="n">
        <v>1</v>
      </c>
      <c r="E955" s="44" t="inlineStr">
        <is>
          <t>P0(전)</t>
        </is>
      </c>
      <c r="F955" s="44" t="inlineStr">
        <is>
          <t>서</t>
        </is>
      </c>
      <c r="G955" s="46" t="n"/>
      <c r="H955" s="30" t="n"/>
      <c r="I955" s="43" t="n"/>
      <c r="J955" s="41" t="n"/>
      <c r="K955" s="41" t="n"/>
      <c r="L955" s="41" t="n"/>
      <c r="M955" s="31">
        <f>IF(COUNT(J955:L955)=0,"",MEDIAN(J955:L955))</f>
        <v/>
      </c>
      <c r="N955" s="38" t="n"/>
      <c r="O955" s="38" t="n"/>
      <c r="P955" s="38" t="n"/>
      <c r="Q955" s="38" t="n"/>
      <c r="R955" s="38" t="n"/>
      <c r="S955" s="38" t="n"/>
      <c r="T955" s="38" t="n"/>
      <c r="U955" s="38" t="n"/>
      <c r="V955" s="38" t="n"/>
      <c r="W955" s="38" t="n"/>
      <c r="X955" s="38" t="n"/>
      <c r="Y955" s="29" t="n"/>
      <c r="Z955" s="29" t="n"/>
      <c r="AA955" s="29" t="n"/>
      <c r="AB955" s="32" t="n"/>
      <c r="AC955" s="32" t="n"/>
    </row>
    <row r="956">
      <c r="A956" s="26" t="inlineStr">
        <is>
          <t>S19</t>
        </is>
      </c>
      <c r="B956" s="26" t="inlineStr">
        <is>
          <t>오호 신규점</t>
        </is>
      </c>
      <c r="C956" s="26" t="inlineStr">
        <is>
          <t>S19-H서</t>
        </is>
      </c>
      <c r="D956" s="47" t="n">
        <v>1</v>
      </c>
      <c r="E956" s="26" t="inlineStr">
        <is>
          <t>측정</t>
        </is>
      </c>
      <c r="F956" s="26" t="inlineStr">
        <is>
          <t>서</t>
        </is>
      </c>
      <c r="G956" s="31" t="n">
        <v>0.5</v>
      </c>
      <c r="H956" s="30" t="n"/>
      <c r="I956" s="43" t="n"/>
      <c r="J956" s="41" t="n"/>
      <c r="K956" s="41" t="n"/>
      <c r="L956" s="41" t="n"/>
      <c r="M956" s="31">
        <f>IF(COUNT(J956:L956)=0,"",MEDIAN(J956:L956))</f>
        <v/>
      </c>
      <c r="N956" s="26">
        <f>IF(COUNTIFS($C:$C,$C956,$D:$D,$D956,$E:$E,"P0(전)",$M:$M,"&gt;0")&lt;&gt;1,"P0(전) 유효 1개 아님",IF(COUNTIFS($C:$C,$C956,$D:$D,$D956,$E:$E,"P0(후)",$M:$M,"&gt;0")&lt;&gt;1,"P0(후) 유효 1개 아님",IF(NOT(AND(ISNUMBER(O956),ISNUMBER(Q956),ISNUMBER(I956))),"시각 결측",IF(Q956&lt;=O956,"P0 시각 역전",IF(OR(I956&lt;O956,I956&gt;Q956),"측정시각 구간 밖","OK")))))</f>
        <v/>
      </c>
      <c r="O956" s="48">
        <f>IF(COUNTIFS($C:$C,$C956,$D:$D,$D956,$E:$E,"P0(전)",$M:$M,"&gt;0")&lt;&gt;1,"",SUMIFS($I:$I,$C:$C,$C956,$D:$D,$D956,$E:$E,"P0(전)"))</f>
        <v/>
      </c>
      <c r="P956" s="31">
        <f>IF(COUNTIFS($C:$C,$C956,$D:$D,$D956,$E:$E,"P0(전)",$M:$M,"&gt;0")&lt;&gt;1,"",SUMIFS($M:$M,$C:$C,$C956,$D:$D,$D956,$E:$E,"P0(전)"))</f>
        <v/>
      </c>
      <c r="Q956" s="48">
        <f>IF(COUNTIFS($C:$C,$C956,$D:$D,$D956,$E:$E,"P0(후)",$M:$M,"&gt;0")&lt;&gt;1,"",SUMIFS($I:$I,$C:$C,$C956,$D:$D,$D956,$E:$E,"P0(후)"))</f>
        <v/>
      </c>
      <c r="R956" s="31">
        <f>IF(COUNTIFS($C:$C,$C956,$D:$D,$D956,$E:$E,"P0(후)",$M:$M,"&gt;0")&lt;&gt;1,"",SUMIFS($M:$M,$C:$C,$C956,$D:$D,$D956,$E:$E,"P0(후)"))</f>
        <v/>
      </c>
      <c r="S956" s="31">
        <f>IF(N956&lt;&gt;"OK","",P956+(R956-P956)*(I956-O956)/(Q956-O956))</f>
        <v/>
      </c>
      <c r="T956" s="31">
        <f>IF(OR(N956&lt;&gt;"OK",NOT(ISNUMBER(M956))),"",M956-S956)</f>
        <v/>
      </c>
      <c r="U956" s="49">
        <f>IF(OR(NOT(ISNUMBER(T956)),IF(ISNUMBER(H956),H956,G956)=0),"",T956/IF(ISNUMBER(H956),H956,G956))</f>
        <v/>
      </c>
      <c r="V956" s="49">
        <f>IF(ISNUMBER(U956),ABS(U956),"")</f>
        <v/>
      </c>
      <c r="W956" s="49">
        <f>IF(OR($E955&lt;&gt;"측정",$C955&lt;&gt;$C956,$D955&lt;&gt;$D956,NOT(ISNUMBER(M956)),NOT(ISNUMBER(M955)),(IF(ISNUMBER(H956),H956,G956)-IF(ISNUMBER(H955),H955,G955))=0),"",(M956-M955)/(IF(ISNUMBER(H956),H956,G956)-IF(ISNUMBER(H955),H955,G955)))</f>
        <v/>
      </c>
      <c r="X956" s="31">
        <f>IF(NOT(AND(ISNUMBER(O956),ISNUMBER(Q956))),"",(Q956-O956)*1440)</f>
        <v/>
      </c>
      <c r="Y956" s="29" t="n"/>
      <c r="Z956" s="29" t="n"/>
      <c r="AA956" s="29" t="n"/>
      <c r="AB956" s="32" t="n"/>
      <c r="AC956" s="32" t="n"/>
    </row>
    <row r="957">
      <c r="A957" s="26" t="inlineStr">
        <is>
          <t>S19</t>
        </is>
      </c>
      <c r="B957" s="26" t="inlineStr">
        <is>
          <t>오호 신규점</t>
        </is>
      </c>
      <c r="C957" s="26" t="inlineStr">
        <is>
          <t>S19-H서</t>
        </is>
      </c>
      <c r="D957" s="47" t="n">
        <v>1</v>
      </c>
      <c r="E957" s="26" t="inlineStr">
        <is>
          <t>측정</t>
        </is>
      </c>
      <c r="F957" s="26" t="inlineStr">
        <is>
          <t>서</t>
        </is>
      </c>
      <c r="G957" s="31" t="n">
        <v>1</v>
      </c>
      <c r="H957" s="30" t="n"/>
      <c r="I957" s="43" t="n"/>
      <c r="J957" s="41" t="n"/>
      <c r="K957" s="41" t="n"/>
      <c r="L957" s="41" t="n"/>
      <c r="M957" s="31">
        <f>IF(COUNT(J957:L957)=0,"",MEDIAN(J957:L957))</f>
        <v/>
      </c>
      <c r="N957" s="26">
        <f>IF(COUNTIFS($C:$C,$C957,$D:$D,$D957,$E:$E,"P0(전)",$M:$M,"&gt;0")&lt;&gt;1,"P0(전) 유효 1개 아님",IF(COUNTIFS($C:$C,$C957,$D:$D,$D957,$E:$E,"P0(후)",$M:$M,"&gt;0")&lt;&gt;1,"P0(후) 유효 1개 아님",IF(NOT(AND(ISNUMBER(O957),ISNUMBER(Q957),ISNUMBER(I957))),"시각 결측",IF(Q957&lt;=O957,"P0 시각 역전",IF(OR(I957&lt;O957,I957&gt;Q957),"측정시각 구간 밖","OK")))))</f>
        <v/>
      </c>
      <c r="O957" s="48">
        <f>IF(COUNTIFS($C:$C,$C957,$D:$D,$D957,$E:$E,"P0(전)",$M:$M,"&gt;0")&lt;&gt;1,"",SUMIFS($I:$I,$C:$C,$C957,$D:$D,$D957,$E:$E,"P0(전)"))</f>
        <v/>
      </c>
      <c r="P957" s="31">
        <f>IF(COUNTIFS($C:$C,$C957,$D:$D,$D957,$E:$E,"P0(전)",$M:$M,"&gt;0")&lt;&gt;1,"",SUMIFS($M:$M,$C:$C,$C957,$D:$D,$D957,$E:$E,"P0(전)"))</f>
        <v/>
      </c>
      <c r="Q957" s="48">
        <f>IF(COUNTIFS($C:$C,$C957,$D:$D,$D957,$E:$E,"P0(후)",$M:$M,"&gt;0")&lt;&gt;1,"",SUMIFS($I:$I,$C:$C,$C957,$D:$D,$D957,$E:$E,"P0(후)"))</f>
        <v/>
      </c>
      <c r="R957" s="31">
        <f>IF(COUNTIFS($C:$C,$C957,$D:$D,$D957,$E:$E,"P0(후)",$M:$M,"&gt;0")&lt;&gt;1,"",SUMIFS($M:$M,$C:$C,$C957,$D:$D,$D957,$E:$E,"P0(후)"))</f>
        <v/>
      </c>
      <c r="S957" s="31">
        <f>IF(N957&lt;&gt;"OK","",P957+(R957-P957)*(I957-O957)/(Q957-O957))</f>
        <v/>
      </c>
      <c r="T957" s="31">
        <f>IF(OR(N957&lt;&gt;"OK",NOT(ISNUMBER(M957))),"",M957-S957)</f>
        <v/>
      </c>
      <c r="U957" s="49">
        <f>IF(OR(NOT(ISNUMBER(T957)),IF(ISNUMBER(H957),H957,G957)=0),"",T957/IF(ISNUMBER(H957),H957,G957))</f>
        <v/>
      </c>
      <c r="V957" s="49">
        <f>IF(ISNUMBER(U957),ABS(U957),"")</f>
        <v/>
      </c>
      <c r="W957" s="49">
        <f>IF(OR($E956&lt;&gt;"측정",$C956&lt;&gt;$C957,$D956&lt;&gt;$D957,NOT(ISNUMBER(M957)),NOT(ISNUMBER(M956)),(IF(ISNUMBER(H957),H957,G957)-IF(ISNUMBER(H956),H956,G956))=0),"",(M957-M956)/(IF(ISNUMBER(H957),H957,G957)-IF(ISNUMBER(H956),H956,G956)))</f>
        <v/>
      </c>
      <c r="X957" s="31">
        <f>IF(NOT(AND(ISNUMBER(O957),ISNUMBER(Q957))),"",(Q957-O957)*1440)</f>
        <v/>
      </c>
      <c r="Y957" s="29" t="n"/>
      <c r="Z957" s="29" t="n"/>
      <c r="AA957" s="29" t="n"/>
      <c r="AB957" s="32" t="n"/>
      <c r="AC957" s="32" t="n"/>
    </row>
    <row r="958">
      <c r="A958" s="26" t="inlineStr">
        <is>
          <t>S19</t>
        </is>
      </c>
      <c r="B958" s="26" t="inlineStr">
        <is>
          <t>오호 신규점</t>
        </is>
      </c>
      <c r="C958" s="26" t="inlineStr">
        <is>
          <t>S19-H서</t>
        </is>
      </c>
      <c r="D958" s="47" t="n">
        <v>1</v>
      </c>
      <c r="E958" s="26" t="inlineStr">
        <is>
          <t>측정</t>
        </is>
      </c>
      <c r="F958" s="26" t="inlineStr">
        <is>
          <t>서</t>
        </is>
      </c>
      <c r="G958" s="31" t="n">
        <v>2</v>
      </c>
      <c r="H958" s="30" t="n"/>
      <c r="I958" s="43" t="n"/>
      <c r="J958" s="41" t="n"/>
      <c r="K958" s="41" t="n"/>
      <c r="L958" s="41" t="n"/>
      <c r="M958" s="31">
        <f>IF(COUNT(J958:L958)=0,"",MEDIAN(J958:L958))</f>
        <v/>
      </c>
      <c r="N958" s="26">
        <f>IF(COUNTIFS($C:$C,$C958,$D:$D,$D958,$E:$E,"P0(전)",$M:$M,"&gt;0")&lt;&gt;1,"P0(전) 유효 1개 아님",IF(COUNTIFS($C:$C,$C958,$D:$D,$D958,$E:$E,"P0(후)",$M:$M,"&gt;0")&lt;&gt;1,"P0(후) 유효 1개 아님",IF(NOT(AND(ISNUMBER(O958),ISNUMBER(Q958),ISNUMBER(I958))),"시각 결측",IF(Q958&lt;=O958,"P0 시각 역전",IF(OR(I958&lt;O958,I958&gt;Q958),"측정시각 구간 밖","OK")))))</f>
        <v/>
      </c>
      <c r="O958" s="48">
        <f>IF(COUNTIFS($C:$C,$C958,$D:$D,$D958,$E:$E,"P0(전)",$M:$M,"&gt;0")&lt;&gt;1,"",SUMIFS($I:$I,$C:$C,$C958,$D:$D,$D958,$E:$E,"P0(전)"))</f>
        <v/>
      </c>
      <c r="P958" s="31">
        <f>IF(COUNTIFS($C:$C,$C958,$D:$D,$D958,$E:$E,"P0(전)",$M:$M,"&gt;0")&lt;&gt;1,"",SUMIFS($M:$M,$C:$C,$C958,$D:$D,$D958,$E:$E,"P0(전)"))</f>
        <v/>
      </c>
      <c r="Q958" s="48">
        <f>IF(COUNTIFS($C:$C,$C958,$D:$D,$D958,$E:$E,"P0(후)",$M:$M,"&gt;0")&lt;&gt;1,"",SUMIFS($I:$I,$C:$C,$C958,$D:$D,$D958,$E:$E,"P0(후)"))</f>
        <v/>
      </c>
      <c r="R958" s="31">
        <f>IF(COUNTIFS($C:$C,$C958,$D:$D,$D958,$E:$E,"P0(후)",$M:$M,"&gt;0")&lt;&gt;1,"",SUMIFS($M:$M,$C:$C,$C958,$D:$D,$D958,$E:$E,"P0(후)"))</f>
        <v/>
      </c>
      <c r="S958" s="31">
        <f>IF(N958&lt;&gt;"OK","",P958+(R958-P958)*(I958-O958)/(Q958-O958))</f>
        <v/>
      </c>
      <c r="T958" s="31">
        <f>IF(OR(N958&lt;&gt;"OK",NOT(ISNUMBER(M958))),"",M958-S958)</f>
        <v/>
      </c>
      <c r="U958" s="49">
        <f>IF(OR(NOT(ISNUMBER(T958)),IF(ISNUMBER(H958),H958,G958)=0),"",T958/IF(ISNUMBER(H958),H958,G958))</f>
        <v/>
      </c>
      <c r="V958" s="49">
        <f>IF(ISNUMBER(U958),ABS(U958),"")</f>
        <v/>
      </c>
      <c r="W958" s="49">
        <f>IF(OR($E957&lt;&gt;"측정",$C957&lt;&gt;$C958,$D957&lt;&gt;$D958,NOT(ISNUMBER(M958)),NOT(ISNUMBER(M957)),(IF(ISNUMBER(H958),H958,G958)-IF(ISNUMBER(H957),H957,G957))=0),"",(M958-M957)/(IF(ISNUMBER(H958),H958,G958)-IF(ISNUMBER(H957),H957,G957)))</f>
        <v/>
      </c>
      <c r="X958" s="31">
        <f>IF(NOT(AND(ISNUMBER(O958),ISNUMBER(Q958))),"",(Q958-O958)*1440)</f>
        <v/>
      </c>
      <c r="Y958" s="29" t="n"/>
      <c r="Z958" s="29" t="n"/>
      <c r="AA958" s="29" t="n"/>
      <c r="AB958" s="32" t="n"/>
      <c r="AC958" s="32" t="n"/>
    </row>
    <row r="959">
      <c r="A959" s="26" t="inlineStr">
        <is>
          <t>S19</t>
        </is>
      </c>
      <c r="B959" s="26" t="inlineStr">
        <is>
          <t>오호 신규점</t>
        </is>
      </c>
      <c r="C959" s="26" t="inlineStr">
        <is>
          <t>S19-H서</t>
        </is>
      </c>
      <c r="D959" s="47" t="n">
        <v>1</v>
      </c>
      <c r="E959" s="26" t="inlineStr">
        <is>
          <t>측정</t>
        </is>
      </c>
      <c r="F959" s="26" t="inlineStr">
        <is>
          <t>서</t>
        </is>
      </c>
      <c r="G959" s="31" t="n">
        <v>3</v>
      </c>
      <c r="H959" s="30" t="n"/>
      <c r="I959" s="43" t="n"/>
      <c r="J959" s="41" t="n"/>
      <c r="K959" s="41" t="n"/>
      <c r="L959" s="41" t="n"/>
      <c r="M959" s="31">
        <f>IF(COUNT(J959:L959)=0,"",MEDIAN(J959:L959))</f>
        <v/>
      </c>
      <c r="N959" s="26">
        <f>IF(COUNTIFS($C:$C,$C959,$D:$D,$D959,$E:$E,"P0(전)",$M:$M,"&gt;0")&lt;&gt;1,"P0(전) 유효 1개 아님",IF(COUNTIFS($C:$C,$C959,$D:$D,$D959,$E:$E,"P0(후)",$M:$M,"&gt;0")&lt;&gt;1,"P0(후) 유효 1개 아님",IF(NOT(AND(ISNUMBER(O959),ISNUMBER(Q959),ISNUMBER(I959))),"시각 결측",IF(Q959&lt;=O959,"P0 시각 역전",IF(OR(I959&lt;O959,I959&gt;Q959),"측정시각 구간 밖","OK")))))</f>
        <v/>
      </c>
      <c r="O959" s="48">
        <f>IF(COUNTIFS($C:$C,$C959,$D:$D,$D959,$E:$E,"P0(전)",$M:$M,"&gt;0")&lt;&gt;1,"",SUMIFS($I:$I,$C:$C,$C959,$D:$D,$D959,$E:$E,"P0(전)"))</f>
        <v/>
      </c>
      <c r="P959" s="31">
        <f>IF(COUNTIFS($C:$C,$C959,$D:$D,$D959,$E:$E,"P0(전)",$M:$M,"&gt;0")&lt;&gt;1,"",SUMIFS($M:$M,$C:$C,$C959,$D:$D,$D959,$E:$E,"P0(전)"))</f>
        <v/>
      </c>
      <c r="Q959" s="48">
        <f>IF(COUNTIFS($C:$C,$C959,$D:$D,$D959,$E:$E,"P0(후)",$M:$M,"&gt;0")&lt;&gt;1,"",SUMIFS($I:$I,$C:$C,$C959,$D:$D,$D959,$E:$E,"P0(후)"))</f>
        <v/>
      </c>
      <c r="R959" s="31">
        <f>IF(COUNTIFS($C:$C,$C959,$D:$D,$D959,$E:$E,"P0(후)",$M:$M,"&gt;0")&lt;&gt;1,"",SUMIFS($M:$M,$C:$C,$C959,$D:$D,$D959,$E:$E,"P0(후)"))</f>
        <v/>
      </c>
      <c r="S959" s="31">
        <f>IF(N959&lt;&gt;"OK","",P959+(R959-P959)*(I959-O959)/(Q959-O959))</f>
        <v/>
      </c>
      <c r="T959" s="31">
        <f>IF(OR(N959&lt;&gt;"OK",NOT(ISNUMBER(M959))),"",M959-S959)</f>
        <v/>
      </c>
      <c r="U959" s="49">
        <f>IF(OR(NOT(ISNUMBER(T959)),IF(ISNUMBER(H959),H959,G959)=0),"",T959/IF(ISNUMBER(H959),H959,G959))</f>
        <v/>
      </c>
      <c r="V959" s="49">
        <f>IF(ISNUMBER(U959),ABS(U959),"")</f>
        <v/>
      </c>
      <c r="W959" s="49">
        <f>IF(OR($E958&lt;&gt;"측정",$C958&lt;&gt;$C959,$D958&lt;&gt;$D959,NOT(ISNUMBER(M959)),NOT(ISNUMBER(M958)),(IF(ISNUMBER(H959),H959,G959)-IF(ISNUMBER(H958),H958,G958))=0),"",(M959-M958)/(IF(ISNUMBER(H959),H959,G959)-IF(ISNUMBER(H958),H958,G958)))</f>
        <v/>
      </c>
      <c r="X959" s="31">
        <f>IF(NOT(AND(ISNUMBER(O959),ISNUMBER(Q959))),"",(Q959-O959)*1440)</f>
        <v/>
      </c>
      <c r="Y959" s="29" t="n"/>
      <c r="Z959" s="29" t="n"/>
      <c r="AA959" s="29" t="n"/>
      <c r="AB959" s="32" t="n"/>
      <c r="AC959" s="32" t="n"/>
    </row>
    <row r="960">
      <c r="A960" s="26" t="inlineStr">
        <is>
          <t>S19</t>
        </is>
      </c>
      <c r="B960" s="26" t="inlineStr">
        <is>
          <t>오호 신규점</t>
        </is>
      </c>
      <c r="C960" s="26" t="inlineStr">
        <is>
          <t>S19-H서</t>
        </is>
      </c>
      <c r="D960" s="47" t="n">
        <v>1</v>
      </c>
      <c r="E960" s="26" t="inlineStr">
        <is>
          <t>측정</t>
        </is>
      </c>
      <c r="F960" s="26" t="inlineStr">
        <is>
          <t>서</t>
        </is>
      </c>
      <c r="G960" s="31" t="n">
        <v>4</v>
      </c>
      <c r="H960" s="30" t="n"/>
      <c r="I960" s="43" t="n"/>
      <c r="J960" s="41" t="n"/>
      <c r="K960" s="41" t="n"/>
      <c r="L960" s="41" t="n"/>
      <c r="M960" s="31">
        <f>IF(COUNT(J960:L960)=0,"",MEDIAN(J960:L960))</f>
        <v/>
      </c>
      <c r="N960" s="26">
        <f>IF(COUNTIFS($C:$C,$C960,$D:$D,$D960,$E:$E,"P0(전)",$M:$M,"&gt;0")&lt;&gt;1,"P0(전) 유효 1개 아님",IF(COUNTIFS($C:$C,$C960,$D:$D,$D960,$E:$E,"P0(후)",$M:$M,"&gt;0")&lt;&gt;1,"P0(후) 유효 1개 아님",IF(NOT(AND(ISNUMBER(O960),ISNUMBER(Q960),ISNUMBER(I960))),"시각 결측",IF(Q960&lt;=O960,"P0 시각 역전",IF(OR(I960&lt;O960,I960&gt;Q960),"측정시각 구간 밖","OK")))))</f>
        <v/>
      </c>
      <c r="O960" s="48">
        <f>IF(COUNTIFS($C:$C,$C960,$D:$D,$D960,$E:$E,"P0(전)",$M:$M,"&gt;0")&lt;&gt;1,"",SUMIFS($I:$I,$C:$C,$C960,$D:$D,$D960,$E:$E,"P0(전)"))</f>
        <v/>
      </c>
      <c r="P960" s="31">
        <f>IF(COUNTIFS($C:$C,$C960,$D:$D,$D960,$E:$E,"P0(전)",$M:$M,"&gt;0")&lt;&gt;1,"",SUMIFS($M:$M,$C:$C,$C960,$D:$D,$D960,$E:$E,"P0(전)"))</f>
        <v/>
      </c>
      <c r="Q960" s="48">
        <f>IF(COUNTIFS($C:$C,$C960,$D:$D,$D960,$E:$E,"P0(후)",$M:$M,"&gt;0")&lt;&gt;1,"",SUMIFS($I:$I,$C:$C,$C960,$D:$D,$D960,$E:$E,"P0(후)"))</f>
        <v/>
      </c>
      <c r="R960" s="31">
        <f>IF(COUNTIFS($C:$C,$C960,$D:$D,$D960,$E:$E,"P0(후)",$M:$M,"&gt;0")&lt;&gt;1,"",SUMIFS($M:$M,$C:$C,$C960,$D:$D,$D960,$E:$E,"P0(후)"))</f>
        <v/>
      </c>
      <c r="S960" s="31">
        <f>IF(N960&lt;&gt;"OK","",P960+(R960-P960)*(I960-O960)/(Q960-O960))</f>
        <v/>
      </c>
      <c r="T960" s="31">
        <f>IF(OR(N960&lt;&gt;"OK",NOT(ISNUMBER(M960))),"",M960-S960)</f>
        <v/>
      </c>
      <c r="U960" s="49">
        <f>IF(OR(NOT(ISNUMBER(T960)),IF(ISNUMBER(H960),H960,G960)=0),"",T960/IF(ISNUMBER(H960),H960,G960))</f>
        <v/>
      </c>
      <c r="V960" s="49">
        <f>IF(ISNUMBER(U960),ABS(U960),"")</f>
        <v/>
      </c>
      <c r="W960" s="49">
        <f>IF(OR($E959&lt;&gt;"측정",$C959&lt;&gt;$C960,$D959&lt;&gt;$D960,NOT(ISNUMBER(M960)),NOT(ISNUMBER(M959)),(IF(ISNUMBER(H960),H960,G960)-IF(ISNUMBER(H959),H959,G959))=0),"",(M960-M959)/(IF(ISNUMBER(H960),H960,G960)-IF(ISNUMBER(H959),H959,G959)))</f>
        <v/>
      </c>
      <c r="X960" s="31">
        <f>IF(NOT(AND(ISNUMBER(O960),ISNUMBER(Q960))),"",(Q960-O960)*1440)</f>
        <v/>
      </c>
      <c r="Y960" s="29" t="n"/>
      <c r="Z960" s="29" t="n"/>
      <c r="AA960" s="29" t="n"/>
      <c r="AB960" s="32" t="n"/>
      <c r="AC960" s="32" t="n"/>
    </row>
    <row r="961">
      <c r="A961" s="26" t="inlineStr">
        <is>
          <t>S19</t>
        </is>
      </c>
      <c r="B961" s="26" t="inlineStr">
        <is>
          <t>오호 신규점</t>
        </is>
      </c>
      <c r="C961" s="26" t="inlineStr">
        <is>
          <t>S19-H서</t>
        </is>
      </c>
      <c r="D961" s="47" t="n">
        <v>1</v>
      </c>
      <c r="E961" s="26" t="inlineStr">
        <is>
          <t>측정</t>
        </is>
      </c>
      <c r="F961" s="26" t="inlineStr">
        <is>
          <t>서</t>
        </is>
      </c>
      <c r="G961" s="31" t="n">
        <v>5</v>
      </c>
      <c r="H961" s="30" t="n"/>
      <c r="I961" s="43" t="n"/>
      <c r="J961" s="41" t="n"/>
      <c r="K961" s="41" t="n"/>
      <c r="L961" s="41" t="n"/>
      <c r="M961" s="31">
        <f>IF(COUNT(J961:L961)=0,"",MEDIAN(J961:L961))</f>
        <v/>
      </c>
      <c r="N961" s="26">
        <f>IF(COUNTIFS($C:$C,$C961,$D:$D,$D961,$E:$E,"P0(전)",$M:$M,"&gt;0")&lt;&gt;1,"P0(전) 유효 1개 아님",IF(COUNTIFS($C:$C,$C961,$D:$D,$D961,$E:$E,"P0(후)",$M:$M,"&gt;0")&lt;&gt;1,"P0(후) 유효 1개 아님",IF(NOT(AND(ISNUMBER(O961),ISNUMBER(Q961),ISNUMBER(I961))),"시각 결측",IF(Q961&lt;=O961,"P0 시각 역전",IF(OR(I961&lt;O961,I961&gt;Q961),"측정시각 구간 밖","OK")))))</f>
        <v/>
      </c>
      <c r="O961" s="48">
        <f>IF(COUNTIFS($C:$C,$C961,$D:$D,$D961,$E:$E,"P0(전)",$M:$M,"&gt;0")&lt;&gt;1,"",SUMIFS($I:$I,$C:$C,$C961,$D:$D,$D961,$E:$E,"P0(전)"))</f>
        <v/>
      </c>
      <c r="P961" s="31">
        <f>IF(COUNTIFS($C:$C,$C961,$D:$D,$D961,$E:$E,"P0(전)",$M:$M,"&gt;0")&lt;&gt;1,"",SUMIFS($M:$M,$C:$C,$C961,$D:$D,$D961,$E:$E,"P0(전)"))</f>
        <v/>
      </c>
      <c r="Q961" s="48">
        <f>IF(COUNTIFS($C:$C,$C961,$D:$D,$D961,$E:$E,"P0(후)",$M:$M,"&gt;0")&lt;&gt;1,"",SUMIFS($I:$I,$C:$C,$C961,$D:$D,$D961,$E:$E,"P0(후)"))</f>
        <v/>
      </c>
      <c r="R961" s="31">
        <f>IF(COUNTIFS($C:$C,$C961,$D:$D,$D961,$E:$E,"P0(후)",$M:$M,"&gt;0")&lt;&gt;1,"",SUMIFS($M:$M,$C:$C,$C961,$D:$D,$D961,$E:$E,"P0(후)"))</f>
        <v/>
      </c>
      <c r="S961" s="31">
        <f>IF(N961&lt;&gt;"OK","",P961+(R961-P961)*(I961-O961)/(Q961-O961))</f>
        <v/>
      </c>
      <c r="T961" s="31">
        <f>IF(OR(N961&lt;&gt;"OK",NOT(ISNUMBER(M961))),"",M961-S961)</f>
        <v/>
      </c>
      <c r="U961" s="49">
        <f>IF(OR(NOT(ISNUMBER(T961)),IF(ISNUMBER(H961),H961,G961)=0),"",T961/IF(ISNUMBER(H961),H961,G961))</f>
        <v/>
      </c>
      <c r="V961" s="49">
        <f>IF(ISNUMBER(U961),ABS(U961),"")</f>
        <v/>
      </c>
      <c r="W961" s="49">
        <f>IF(OR($E960&lt;&gt;"측정",$C960&lt;&gt;$C961,$D960&lt;&gt;$D961,NOT(ISNUMBER(M961)),NOT(ISNUMBER(M960)),(IF(ISNUMBER(H961),H961,G961)-IF(ISNUMBER(H960),H960,G960))=0),"",(M961-M960)/(IF(ISNUMBER(H961),H961,G961)-IF(ISNUMBER(H960),H960,G960)))</f>
        <v/>
      </c>
      <c r="X961" s="31">
        <f>IF(NOT(AND(ISNUMBER(O961),ISNUMBER(Q961))),"",(Q961-O961)*1440)</f>
        <v/>
      </c>
      <c r="Y961" s="29" t="n"/>
      <c r="Z961" s="29" t="n"/>
      <c r="AA961" s="29" t="n"/>
      <c r="AB961" s="32" t="n"/>
      <c r="AC961" s="32" t="n"/>
    </row>
    <row r="962">
      <c r="A962" s="26" t="inlineStr">
        <is>
          <t>S19</t>
        </is>
      </c>
      <c r="B962" s="26" t="inlineStr">
        <is>
          <t>오호 신규점</t>
        </is>
      </c>
      <c r="C962" s="26" t="inlineStr">
        <is>
          <t>S19-H서</t>
        </is>
      </c>
      <c r="D962" s="47" t="n">
        <v>1</v>
      </c>
      <c r="E962" s="26" t="inlineStr">
        <is>
          <t>측정</t>
        </is>
      </c>
      <c r="F962" s="26" t="inlineStr">
        <is>
          <t>서</t>
        </is>
      </c>
      <c r="G962" s="31" t="n">
        <v>6</v>
      </c>
      <c r="H962" s="30" t="n"/>
      <c r="I962" s="43" t="n"/>
      <c r="J962" s="41" t="n"/>
      <c r="K962" s="41" t="n"/>
      <c r="L962" s="41" t="n"/>
      <c r="M962" s="31">
        <f>IF(COUNT(J962:L962)=0,"",MEDIAN(J962:L962))</f>
        <v/>
      </c>
      <c r="N962" s="26">
        <f>IF(COUNTIFS($C:$C,$C962,$D:$D,$D962,$E:$E,"P0(전)",$M:$M,"&gt;0")&lt;&gt;1,"P0(전) 유효 1개 아님",IF(COUNTIFS($C:$C,$C962,$D:$D,$D962,$E:$E,"P0(후)",$M:$M,"&gt;0")&lt;&gt;1,"P0(후) 유효 1개 아님",IF(NOT(AND(ISNUMBER(O962),ISNUMBER(Q962),ISNUMBER(I962))),"시각 결측",IF(Q962&lt;=O962,"P0 시각 역전",IF(OR(I962&lt;O962,I962&gt;Q962),"측정시각 구간 밖","OK")))))</f>
        <v/>
      </c>
      <c r="O962" s="48">
        <f>IF(COUNTIFS($C:$C,$C962,$D:$D,$D962,$E:$E,"P0(전)",$M:$M,"&gt;0")&lt;&gt;1,"",SUMIFS($I:$I,$C:$C,$C962,$D:$D,$D962,$E:$E,"P0(전)"))</f>
        <v/>
      </c>
      <c r="P962" s="31">
        <f>IF(COUNTIFS($C:$C,$C962,$D:$D,$D962,$E:$E,"P0(전)",$M:$M,"&gt;0")&lt;&gt;1,"",SUMIFS($M:$M,$C:$C,$C962,$D:$D,$D962,$E:$E,"P0(전)"))</f>
        <v/>
      </c>
      <c r="Q962" s="48">
        <f>IF(COUNTIFS($C:$C,$C962,$D:$D,$D962,$E:$E,"P0(후)",$M:$M,"&gt;0")&lt;&gt;1,"",SUMIFS($I:$I,$C:$C,$C962,$D:$D,$D962,$E:$E,"P0(후)"))</f>
        <v/>
      </c>
      <c r="R962" s="31">
        <f>IF(COUNTIFS($C:$C,$C962,$D:$D,$D962,$E:$E,"P0(후)",$M:$M,"&gt;0")&lt;&gt;1,"",SUMIFS($M:$M,$C:$C,$C962,$D:$D,$D962,$E:$E,"P0(후)"))</f>
        <v/>
      </c>
      <c r="S962" s="31">
        <f>IF(N962&lt;&gt;"OK","",P962+(R962-P962)*(I962-O962)/(Q962-O962))</f>
        <v/>
      </c>
      <c r="T962" s="31">
        <f>IF(OR(N962&lt;&gt;"OK",NOT(ISNUMBER(M962))),"",M962-S962)</f>
        <v/>
      </c>
      <c r="U962" s="49">
        <f>IF(OR(NOT(ISNUMBER(T962)),IF(ISNUMBER(H962),H962,G962)=0),"",T962/IF(ISNUMBER(H962),H962,G962))</f>
        <v/>
      </c>
      <c r="V962" s="49">
        <f>IF(ISNUMBER(U962),ABS(U962),"")</f>
        <v/>
      </c>
      <c r="W962" s="49">
        <f>IF(OR($E961&lt;&gt;"측정",$C961&lt;&gt;$C962,$D961&lt;&gt;$D962,NOT(ISNUMBER(M962)),NOT(ISNUMBER(M961)),(IF(ISNUMBER(H962),H962,G962)-IF(ISNUMBER(H961),H961,G961))=0),"",(M962-M961)/(IF(ISNUMBER(H962),H962,G962)-IF(ISNUMBER(H961),H961,G961)))</f>
        <v/>
      </c>
      <c r="X962" s="31">
        <f>IF(NOT(AND(ISNUMBER(O962),ISNUMBER(Q962))),"",(Q962-O962)*1440)</f>
        <v/>
      </c>
      <c r="Y962" s="29" t="n"/>
      <c r="Z962" s="29" t="n"/>
      <c r="AA962" s="29" t="n"/>
      <c r="AB962" s="32" t="n"/>
      <c r="AC962" s="32" t="n"/>
    </row>
    <row r="963">
      <c r="A963" s="26" t="inlineStr">
        <is>
          <t>S19</t>
        </is>
      </c>
      <c r="B963" s="26" t="inlineStr">
        <is>
          <t>오호 신규점</t>
        </is>
      </c>
      <c r="C963" s="26" t="inlineStr">
        <is>
          <t>S19-H서</t>
        </is>
      </c>
      <c r="D963" s="47" t="n">
        <v>1</v>
      </c>
      <c r="E963" s="26" t="inlineStr">
        <is>
          <t>측정</t>
        </is>
      </c>
      <c r="F963" s="26" t="inlineStr">
        <is>
          <t>서</t>
        </is>
      </c>
      <c r="G963" s="31" t="n">
        <v>7</v>
      </c>
      <c r="H963" s="30" t="n"/>
      <c r="I963" s="43" t="n"/>
      <c r="J963" s="41" t="n"/>
      <c r="K963" s="41" t="n"/>
      <c r="L963" s="41" t="n"/>
      <c r="M963" s="31">
        <f>IF(COUNT(J963:L963)=0,"",MEDIAN(J963:L963))</f>
        <v/>
      </c>
      <c r="N963" s="26">
        <f>IF(COUNTIFS($C:$C,$C963,$D:$D,$D963,$E:$E,"P0(전)",$M:$M,"&gt;0")&lt;&gt;1,"P0(전) 유효 1개 아님",IF(COUNTIFS($C:$C,$C963,$D:$D,$D963,$E:$E,"P0(후)",$M:$M,"&gt;0")&lt;&gt;1,"P0(후) 유효 1개 아님",IF(NOT(AND(ISNUMBER(O963),ISNUMBER(Q963),ISNUMBER(I963))),"시각 결측",IF(Q963&lt;=O963,"P0 시각 역전",IF(OR(I963&lt;O963,I963&gt;Q963),"측정시각 구간 밖","OK")))))</f>
        <v/>
      </c>
      <c r="O963" s="48">
        <f>IF(COUNTIFS($C:$C,$C963,$D:$D,$D963,$E:$E,"P0(전)",$M:$M,"&gt;0")&lt;&gt;1,"",SUMIFS($I:$I,$C:$C,$C963,$D:$D,$D963,$E:$E,"P0(전)"))</f>
        <v/>
      </c>
      <c r="P963" s="31">
        <f>IF(COUNTIFS($C:$C,$C963,$D:$D,$D963,$E:$E,"P0(전)",$M:$M,"&gt;0")&lt;&gt;1,"",SUMIFS($M:$M,$C:$C,$C963,$D:$D,$D963,$E:$E,"P0(전)"))</f>
        <v/>
      </c>
      <c r="Q963" s="48">
        <f>IF(COUNTIFS($C:$C,$C963,$D:$D,$D963,$E:$E,"P0(후)",$M:$M,"&gt;0")&lt;&gt;1,"",SUMIFS($I:$I,$C:$C,$C963,$D:$D,$D963,$E:$E,"P0(후)"))</f>
        <v/>
      </c>
      <c r="R963" s="31">
        <f>IF(COUNTIFS($C:$C,$C963,$D:$D,$D963,$E:$E,"P0(후)",$M:$M,"&gt;0")&lt;&gt;1,"",SUMIFS($M:$M,$C:$C,$C963,$D:$D,$D963,$E:$E,"P0(후)"))</f>
        <v/>
      </c>
      <c r="S963" s="31">
        <f>IF(N963&lt;&gt;"OK","",P963+(R963-P963)*(I963-O963)/(Q963-O963))</f>
        <v/>
      </c>
      <c r="T963" s="31">
        <f>IF(OR(N963&lt;&gt;"OK",NOT(ISNUMBER(M963))),"",M963-S963)</f>
        <v/>
      </c>
      <c r="U963" s="49">
        <f>IF(OR(NOT(ISNUMBER(T963)),IF(ISNUMBER(H963),H963,G963)=0),"",T963/IF(ISNUMBER(H963),H963,G963))</f>
        <v/>
      </c>
      <c r="V963" s="49">
        <f>IF(ISNUMBER(U963),ABS(U963),"")</f>
        <v/>
      </c>
      <c r="W963" s="49">
        <f>IF(OR($E962&lt;&gt;"측정",$C962&lt;&gt;$C963,$D962&lt;&gt;$D963,NOT(ISNUMBER(M963)),NOT(ISNUMBER(M962)),(IF(ISNUMBER(H963),H963,G963)-IF(ISNUMBER(H962),H962,G962))=0),"",(M963-M962)/(IF(ISNUMBER(H963),H963,G963)-IF(ISNUMBER(H962),H962,G962)))</f>
        <v/>
      </c>
      <c r="X963" s="31">
        <f>IF(NOT(AND(ISNUMBER(O963),ISNUMBER(Q963))),"",(Q963-O963)*1440)</f>
        <v/>
      </c>
      <c r="Y963" s="29" t="n"/>
      <c r="Z963" s="29" t="n"/>
      <c r="AA963" s="29" t="n"/>
      <c r="AB963" s="32" t="n"/>
      <c r="AC963" s="32" t="n"/>
    </row>
    <row r="964">
      <c r="A964" s="26" t="inlineStr">
        <is>
          <t>S19</t>
        </is>
      </c>
      <c r="B964" s="26" t="inlineStr">
        <is>
          <t>오호 신규점</t>
        </is>
      </c>
      <c r="C964" s="26" t="inlineStr">
        <is>
          <t>S19-H서</t>
        </is>
      </c>
      <c r="D964" s="47" t="n">
        <v>1</v>
      </c>
      <c r="E964" s="26" t="inlineStr">
        <is>
          <t>측정</t>
        </is>
      </c>
      <c r="F964" s="26" t="inlineStr">
        <is>
          <t>서</t>
        </is>
      </c>
      <c r="G964" s="31" t="n">
        <v>8</v>
      </c>
      <c r="H964" s="30" t="n"/>
      <c r="I964" s="43" t="n"/>
      <c r="J964" s="41" t="n"/>
      <c r="K964" s="41" t="n"/>
      <c r="L964" s="41" t="n"/>
      <c r="M964" s="31">
        <f>IF(COUNT(J964:L964)=0,"",MEDIAN(J964:L964))</f>
        <v/>
      </c>
      <c r="N964" s="26">
        <f>IF(COUNTIFS($C:$C,$C964,$D:$D,$D964,$E:$E,"P0(전)",$M:$M,"&gt;0")&lt;&gt;1,"P0(전) 유효 1개 아님",IF(COUNTIFS($C:$C,$C964,$D:$D,$D964,$E:$E,"P0(후)",$M:$M,"&gt;0")&lt;&gt;1,"P0(후) 유효 1개 아님",IF(NOT(AND(ISNUMBER(O964),ISNUMBER(Q964),ISNUMBER(I964))),"시각 결측",IF(Q964&lt;=O964,"P0 시각 역전",IF(OR(I964&lt;O964,I964&gt;Q964),"측정시각 구간 밖","OK")))))</f>
        <v/>
      </c>
      <c r="O964" s="48">
        <f>IF(COUNTIFS($C:$C,$C964,$D:$D,$D964,$E:$E,"P0(전)",$M:$M,"&gt;0")&lt;&gt;1,"",SUMIFS($I:$I,$C:$C,$C964,$D:$D,$D964,$E:$E,"P0(전)"))</f>
        <v/>
      </c>
      <c r="P964" s="31">
        <f>IF(COUNTIFS($C:$C,$C964,$D:$D,$D964,$E:$E,"P0(전)",$M:$M,"&gt;0")&lt;&gt;1,"",SUMIFS($M:$M,$C:$C,$C964,$D:$D,$D964,$E:$E,"P0(전)"))</f>
        <v/>
      </c>
      <c r="Q964" s="48">
        <f>IF(COUNTIFS($C:$C,$C964,$D:$D,$D964,$E:$E,"P0(후)",$M:$M,"&gt;0")&lt;&gt;1,"",SUMIFS($I:$I,$C:$C,$C964,$D:$D,$D964,$E:$E,"P0(후)"))</f>
        <v/>
      </c>
      <c r="R964" s="31">
        <f>IF(COUNTIFS($C:$C,$C964,$D:$D,$D964,$E:$E,"P0(후)",$M:$M,"&gt;0")&lt;&gt;1,"",SUMIFS($M:$M,$C:$C,$C964,$D:$D,$D964,$E:$E,"P0(후)"))</f>
        <v/>
      </c>
      <c r="S964" s="31">
        <f>IF(N964&lt;&gt;"OK","",P964+(R964-P964)*(I964-O964)/(Q964-O964))</f>
        <v/>
      </c>
      <c r="T964" s="31">
        <f>IF(OR(N964&lt;&gt;"OK",NOT(ISNUMBER(M964))),"",M964-S964)</f>
        <v/>
      </c>
      <c r="U964" s="49">
        <f>IF(OR(NOT(ISNUMBER(T964)),IF(ISNUMBER(H964),H964,G964)=0),"",T964/IF(ISNUMBER(H964),H964,G964))</f>
        <v/>
      </c>
      <c r="V964" s="49">
        <f>IF(ISNUMBER(U964),ABS(U964),"")</f>
        <v/>
      </c>
      <c r="W964" s="49">
        <f>IF(OR($E963&lt;&gt;"측정",$C963&lt;&gt;$C964,$D963&lt;&gt;$D964,NOT(ISNUMBER(M964)),NOT(ISNUMBER(M963)),(IF(ISNUMBER(H964),H964,G964)-IF(ISNUMBER(H963),H963,G963))=0),"",(M964-M963)/(IF(ISNUMBER(H964),H964,G964)-IF(ISNUMBER(H963),H963,G963)))</f>
        <v/>
      </c>
      <c r="X964" s="31">
        <f>IF(NOT(AND(ISNUMBER(O964),ISNUMBER(Q964))),"",(Q964-O964)*1440)</f>
        <v/>
      </c>
      <c r="Y964" s="29" t="n"/>
      <c r="Z964" s="29" t="n"/>
      <c r="AA964" s="29" t="n"/>
      <c r="AB964" s="32" t="n"/>
      <c r="AC964" s="32" t="n"/>
    </row>
    <row r="965">
      <c r="A965" s="26" t="inlineStr">
        <is>
          <t>S19</t>
        </is>
      </c>
      <c r="B965" s="26" t="inlineStr">
        <is>
          <t>오호 신규점</t>
        </is>
      </c>
      <c r="C965" s="26" t="inlineStr">
        <is>
          <t>S19-H서</t>
        </is>
      </c>
      <c r="D965" s="47" t="n">
        <v>1</v>
      </c>
      <c r="E965" s="26" t="inlineStr">
        <is>
          <t>측정</t>
        </is>
      </c>
      <c r="F965" s="26" t="inlineStr">
        <is>
          <t>서</t>
        </is>
      </c>
      <c r="G965" s="31" t="n">
        <v>9</v>
      </c>
      <c r="H965" s="30" t="n"/>
      <c r="I965" s="43" t="n"/>
      <c r="J965" s="41" t="n"/>
      <c r="K965" s="41" t="n"/>
      <c r="L965" s="41" t="n"/>
      <c r="M965" s="31">
        <f>IF(COUNT(J965:L965)=0,"",MEDIAN(J965:L965))</f>
        <v/>
      </c>
      <c r="N965" s="26">
        <f>IF(COUNTIFS($C:$C,$C965,$D:$D,$D965,$E:$E,"P0(전)",$M:$M,"&gt;0")&lt;&gt;1,"P0(전) 유효 1개 아님",IF(COUNTIFS($C:$C,$C965,$D:$D,$D965,$E:$E,"P0(후)",$M:$M,"&gt;0")&lt;&gt;1,"P0(후) 유효 1개 아님",IF(NOT(AND(ISNUMBER(O965),ISNUMBER(Q965),ISNUMBER(I965))),"시각 결측",IF(Q965&lt;=O965,"P0 시각 역전",IF(OR(I965&lt;O965,I965&gt;Q965),"측정시각 구간 밖","OK")))))</f>
        <v/>
      </c>
      <c r="O965" s="48">
        <f>IF(COUNTIFS($C:$C,$C965,$D:$D,$D965,$E:$E,"P0(전)",$M:$M,"&gt;0")&lt;&gt;1,"",SUMIFS($I:$I,$C:$C,$C965,$D:$D,$D965,$E:$E,"P0(전)"))</f>
        <v/>
      </c>
      <c r="P965" s="31">
        <f>IF(COUNTIFS($C:$C,$C965,$D:$D,$D965,$E:$E,"P0(전)",$M:$M,"&gt;0")&lt;&gt;1,"",SUMIFS($M:$M,$C:$C,$C965,$D:$D,$D965,$E:$E,"P0(전)"))</f>
        <v/>
      </c>
      <c r="Q965" s="48">
        <f>IF(COUNTIFS($C:$C,$C965,$D:$D,$D965,$E:$E,"P0(후)",$M:$M,"&gt;0")&lt;&gt;1,"",SUMIFS($I:$I,$C:$C,$C965,$D:$D,$D965,$E:$E,"P0(후)"))</f>
        <v/>
      </c>
      <c r="R965" s="31">
        <f>IF(COUNTIFS($C:$C,$C965,$D:$D,$D965,$E:$E,"P0(후)",$M:$M,"&gt;0")&lt;&gt;1,"",SUMIFS($M:$M,$C:$C,$C965,$D:$D,$D965,$E:$E,"P0(후)"))</f>
        <v/>
      </c>
      <c r="S965" s="31">
        <f>IF(N965&lt;&gt;"OK","",P965+(R965-P965)*(I965-O965)/(Q965-O965))</f>
        <v/>
      </c>
      <c r="T965" s="31">
        <f>IF(OR(N965&lt;&gt;"OK",NOT(ISNUMBER(M965))),"",M965-S965)</f>
        <v/>
      </c>
      <c r="U965" s="49">
        <f>IF(OR(NOT(ISNUMBER(T965)),IF(ISNUMBER(H965),H965,G965)=0),"",T965/IF(ISNUMBER(H965),H965,G965))</f>
        <v/>
      </c>
      <c r="V965" s="49">
        <f>IF(ISNUMBER(U965),ABS(U965),"")</f>
        <v/>
      </c>
      <c r="W965" s="49">
        <f>IF(OR($E964&lt;&gt;"측정",$C964&lt;&gt;$C965,$D964&lt;&gt;$D965,NOT(ISNUMBER(M965)),NOT(ISNUMBER(M964)),(IF(ISNUMBER(H965),H965,G965)-IF(ISNUMBER(H964),H964,G964))=0),"",(M965-M964)/(IF(ISNUMBER(H965),H965,G965)-IF(ISNUMBER(H964),H964,G964)))</f>
        <v/>
      </c>
      <c r="X965" s="31">
        <f>IF(NOT(AND(ISNUMBER(O965),ISNUMBER(Q965))),"",(Q965-O965)*1440)</f>
        <v/>
      </c>
      <c r="Y965" s="29" t="n"/>
      <c r="Z965" s="29" t="n"/>
      <c r="AA965" s="29" t="n"/>
      <c r="AB965" s="32" t="n"/>
      <c r="AC965" s="32" t="n"/>
    </row>
    <row r="966">
      <c r="A966" s="26" t="inlineStr">
        <is>
          <t>S19</t>
        </is>
      </c>
      <c r="B966" s="26" t="inlineStr">
        <is>
          <t>오호 신규점</t>
        </is>
      </c>
      <c r="C966" s="26" t="inlineStr">
        <is>
          <t>S19-H서</t>
        </is>
      </c>
      <c r="D966" s="47" t="n">
        <v>1</v>
      </c>
      <c r="E966" s="26" t="inlineStr">
        <is>
          <t>측정</t>
        </is>
      </c>
      <c r="F966" s="26" t="inlineStr">
        <is>
          <t>서</t>
        </is>
      </c>
      <c r="G966" s="31" t="n">
        <v>10</v>
      </c>
      <c r="H966" s="30" t="n"/>
      <c r="I966" s="43" t="n"/>
      <c r="J966" s="41" t="n"/>
      <c r="K966" s="41" t="n"/>
      <c r="L966" s="41" t="n"/>
      <c r="M966" s="31">
        <f>IF(COUNT(J966:L966)=0,"",MEDIAN(J966:L966))</f>
        <v/>
      </c>
      <c r="N966" s="26">
        <f>IF(COUNTIFS($C:$C,$C966,$D:$D,$D966,$E:$E,"P0(전)",$M:$M,"&gt;0")&lt;&gt;1,"P0(전) 유효 1개 아님",IF(COUNTIFS($C:$C,$C966,$D:$D,$D966,$E:$E,"P0(후)",$M:$M,"&gt;0")&lt;&gt;1,"P0(후) 유효 1개 아님",IF(NOT(AND(ISNUMBER(O966),ISNUMBER(Q966),ISNUMBER(I966))),"시각 결측",IF(Q966&lt;=O966,"P0 시각 역전",IF(OR(I966&lt;O966,I966&gt;Q966),"측정시각 구간 밖","OK")))))</f>
        <v/>
      </c>
      <c r="O966" s="48">
        <f>IF(COUNTIFS($C:$C,$C966,$D:$D,$D966,$E:$E,"P0(전)",$M:$M,"&gt;0")&lt;&gt;1,"",SUMIFS($I:$I,$C:$C,$C966,$D:$D,$D966,$E:$E,"P0(전)"))</f>
        <v/>
      </c>
      <c r="P966" s="31">
        <f>IF(COUNTIFS($C:$C,$C966,$D:$D,$D966,$E:$E,"P0(전)",$M:$M,"&gt;0")&lt;&gt;1,"",SUMIFS($M:$M,$C:$C,$C966,$D:$D,$D966,$E:$E,"P0(전)"))</f>
        <v/>
      </c>
      <c r="Q966" s="48">
        <f>IF(COUNTIFS($C:$C,$C966,$D:$D,$D966,$E:$E,"P0(후)",$M:$M,"&gt;0")&lt;&gt;1,"",SUMIFS($I:$I,$C:$C,$C966,$D:$D,$D966,$E:$E,"P0(후)"))</f>
        <v/>
      </c>
      <c r="R966" s="31">
        <f>IF(COUNTIFS($C:$C,$C966,$D:$D,$D966,$E:$E,"P0(후)",$M:$M,"&gt;0")&lt;&gt;1,"",SUMIFS($M:$M,$C:$C,$C966,$D:$D,$D966,$E:$E,"P0(후)"))</f>
        <v/>
      </c>
      <c r="S966" s="31">
        <f>IF(N966&lt;&gt;"OK","",P966+(R966-P966)*(I966-O966)/(Q966-O966))</f>
        <v/>
      </c>
      <c r="T966" s="31">
        <f>IF(OR(N966&lt;&gt;"OK",NOT(ISNUMBER(M966))),"",M966-S966)</f>
        <v/>
      </c>
      <c r="U966" s="49">
        <f>IF(OR(NOT(ISNUMBER(T966)),IF(ISNUMBER(H966),H966,G966)=0),"",T966/IF(ISNUMBER(H966),H966,G966))</f>
        <v/>
      </c>
      <c r="V966" s="49">
        <f>IF(ISNUMBER(U966),ABS(U966),"")</f>
        <v/>
      </c>
      <c r="W966" s="49">
        <f>IF(OR($E965&lt;&gt;"측정",$C965&lt;&gt;$C966,$D965&lt;&gt;$D966,NOT(ISNUMBER(M966)),NOT(ISNUMBER(M965)),(IF(ISNUMBER(H966),H966,G966)-IF(ISNUMBER(H965),H965,G965))=0),"",(M966-M965)/(IF(ISNUMBER(H966),H966,G966)-IF(ISNUMBER(H965),H965,G965)))</f>
        <v/>
      </c>
      <c r="X966" s="31">
        <f>IF(NOT(AND(ISNUMBER(O966),ISNUMBER(Q966))),"",(Q966-O966)*1440)</f>
        <v/>
      </c>
      <c r="Y966" s="29" t="n"/>
      <c r="Z966" s="29" t="n"/>
      <c r="AA966" s="29" t="n"/>
      <c r="AB966" s="32" t="n"/>
      <c r="AC966" s="32" t="n"/>
    </row>
    <row r="967">
      <c r="A967" s="44" t="inlineStr">
        <is>
          <t>S19</t>
        </is>
      </c>
      <c r="B967" s="44" t="inlineStr">
        <is>
          <t>오호 신규점</t>
        </is>
      </c>
      <c r="C967" s="44" t="inlineStr">
        <is>
          <t>S19-H서</t>
        </is>
      </c>
      <c r="D967" s="45" t="n">
        <v>1</v>
      </c>
      <c r="E967" s="44" t="inlineStr">
        <is>
          <t>P0(후)</t>
        </is>
      </c>
      <c r="F967" s="44" t="inlineStr">
        <is>
          <t>서</t>
        </is>
      </c>
      <c r="G967" s="46" t="n"/>
      <c r="H967" s="30" t="n"/>
      <c r="I967" s="43" t="n"/>
      <c r="J967" s="41" t="n"/>
      <c r="K967" s="41" t="n"/>
      <c r="L967" s="41" t="n"/>
      <c r="M967" s="31">
        <f>IF(COUNT(J967:L967)=0,"",MEDIAN(J967:L967))</f>
        <v/>
      </c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38" t="n"/>
      <c r="Y967" s="29" t="n"/>
      <c r="Z967" s="29" t="n"/>
      <c r="AA967" s="29" t="n"/>
      <c r="AB967" s="32" t="n"/>
      <c r="AC967" s="32" t="n"/>
    </row>
    <row r="968">
      <c r="A968" s="44" t="inlineStr">
        <is>
          <t>S19</t>
        </is>
      </c>
      <c r="B968" s="44" t="inlineStr">
        <is>
          <t>오호 신규점</t>
        </is>
      </c>
      <c r="C968" s="44" t="inlineStr">
        <is>
          <t>S19-H남</t>
        </is>
      </c>
      <c r="D968" s="45" t="n">
        <v>1</v>
      </c>
      <c r="E968" s="44" t="inlineStr">
        <is>
          <t>P0(전)</t>
        </is>
      </c>
      <c r="F968" s="44" t="inlineStr">
        <is>
          <t>남</t>
        </is>
      </c>
      <c r="G968" s="46" t="n"/>
      <c r="H968" s="30" t="n"/>
      <c r="I968" s="43" t="n"/>
      <c r="J968" s="41" t="n"/>
      <c r="K968" s="41" t="n"/>
      <c r="L968" s="41" t="n"/>
      <c r="M968" s="31">
        <f>IF(COUNT(J968:L968)=0,"",MEDIAN(J968:L968))</f>
        <v/>
      </c>
      <c r="N968" s="38" t="n"/>
      <c r="O968" s="38" t="n"/>
      <c r="P968" s="38" t="n"/>
      <c r="Q968" s="38" t="n"/>
      <c r="R968" s="38" t="n"/>
      <c r="S968" s="38" t="n"/>
      <c r="T968" s="38" t="n"/>
      <c r="U968" s="38" t="n"/>
      <c r="V968" s="38" t="n"/>
      <c r="W968" s="38" t="n"/>
      <c r="X968" s="38" t="n"/>
      <c r="Y968" s="29" t="n"/>
      <c r="Z968" s="29" t="n"/>
      <c r="AA968" s="29" t="n"/>
      <c r="AB968" s="32" t="n"/>
      <c r="AC968" s="32" t="n"/>
    </row>
    <row r="969">
      <c r="A969" s="26" t="inlineStr">
        <is>
          <t>S19</t>
        </is>
      </c>
      <c r="B969" s="26" t="inlineStr">
        <is>
          <t>오호 신규점</t>
        </is>
      </c>
      <c r="C969" s="26" t="inlineStr">
        <is>
          <t>S19-H남</t>
        </is>
      </c>
      <c r="D969" s="47" t="n">
        <v>1</v>
      </c>
      <c r="E969" s="26" t="inlineStr">
        <is>
          <t>측정</t>
        </is>
      </c>
      <c r="F969" s="26" t="inlineStr">
        <is>
          <t>남</t>
        </is>
      </c>
      <c r="G969" s="31" t="n">
        <v>0.5</v>
      </c>
      <c r="H969" s="30" t="n"/>
      <c r="I969" s="43" t="n"/>
      <c r="J969" s="41" t="n"/>
      <c r="K969" s="41" t="n"/>
      <c r="L969" s="41" t="n"/>
      <c r="M969" s="31">
        <f>IF(COUNT(J969:L969)=0,"",MEDIAN(J969:L969))</f>
        <v/>
      </c>
      <c r="N969" s="26">
        <f>IF(COUNTIFS($C:$C,$C969,$D:$D,$D969,$E:$E,"P0(전)",$M:$M,"&gt;0")&lt;&gt;1,"P0(전) 유효 1개 아님",IF(COUNTIFS($C:$C,$C969,$D:$D,$D969,$E:$E,"P0(후)",$M:$M,"&gt;0")&lt;&gt;1,"P0(후) 유효 1개 아님",IF(NOT(AND(ISNUMBER(O969),ISNUMBER(Q969),ISNUMBER(I969))),"시각 결측",IF(Q969&lt;=O969,"P0 시각 역전",IF(OR(I969&lt;O969,I969&gt;Q969),"측정시각 구간 밖","OK")))))</f>
        <v/>
      </c>
      <c r="O969" s="48">
        <f>IF(COUNTIFS($C:$C,$C969,$D:$D,$D969,$E:$E,"P0(전)",$M:$M,"&gt;0")&lt;&gt;1,"",SUMIFS($I:$I,$C:$C,$C969,$D:$D,$D969,$E:$E,"P0(전)"))</f>
        <v/>
      </c>
      <c r="P969" s="31">
        <f>IF(COUNTIFS($C:$C,$C969,$D:$D,$D969,$E:$E,"P0(전)",$M:$M,"&gt;0")&lt;&gt;1,"",SUMIFS($M:$M,$C:$C,$C969,$D:$D,$D969,$E:$E,"P0(전)"))</f>
        <v/>
      </c>
      <c r="Q969" s="48">
        <f>IF(COUNTIFS($C:$C,$C969,$D:$D,$D969,$E:$E,"P0(후)",$M:$M,"&gt;0")&lt;&gt;1,"",SUMIFS($I:$I,$C:$C,$C969,$D:$D,$D969,$E:$E,"P0(후)"))</f>
        <v/>
      </c>
      <c r="R969" s="31">
        <f>IF(COUNTIFS($C:$C,$C969,$D:$D,$D969,$E:$E,"P0(후)",$M:$M,"&gt;0")&lt;&gt;1,"",SUMIFS($M:$M,$C:$C,$C969,$D:$D,$D969,$E:$E,"P0(후)"))</f>
        <v/>
      </c>
      <c r="S969" s="31">
        <f>IF(N969&lt;&gt;"OK","",P969+(R969-P969)*(I969-O969)/(Q969-O969))</f>
        <v/>
      </c>
      <c r="T969" s="31">
        <f>IF(OR(N969&lt;&gt;"OK",NOT(ISNUMBER(M969))),"",M969-S969)</f>
        <v/>
      </c>
      <c r="U969" s="49">
        <f>IF(OR(NOT(ISNUMBER(T969)),IF(ISNUMBER(H969),H969,G969)=0),"",T969/IF(ISNUMBER(H969),H969,G969))</f>
        <v/>
      </c>
      <c r="V969" s="49">
        <f>IF(ISNUMBER(U969),ABS(U969),"")</f>
        <v/>
      </c>
      <c r="W969" s="49">
        <f>IF(OR($E968&lt;&gt;"측정",$C968&lt;&gt;$C969,$D968&lt;&gt;$D969,NOT(ISNUMBER(M969)),NOT(ISNUMBER(M968)),(IF(ISNUMBER(H969),H969,G969)-IF(ISNUMBER(H968),H968,G968))=0),"",(M969-M968)/(IF(ISNUMBER(H969),H969,G969)-IF(ISNUMBER(H968),H968,G968)))</f>
        <v/>
      </c>
      <c r="X969" s="31">
        <f>IF(NOT(AND(ISNUMBER(O969),ISNUMBER(Q969))),"",(Q969-O969)*1440)</f>
        <v/>
      </c>
      <c r="Y969" s="29" t="n"/>
      <c r="Z969" s="29" t="n"/>
      <c r="AA969" s="29" t="n"/>
      <c r="AB969" s="32" t="n"/>
      <c r="AC969" s="32" t="n"/>
    </row>
    <row r="970">
      <c r="A970" s="26" t="inlineStr">
        <is>
          <t>S19</t>
        </is>
      </c>
      <c r="B970" s="26" t="inlineStr">
        <is>
          <t>오호 신규점</t>
        </is>
      </c>
      <c r="C970" s="26" t="inlineStr">
        <is>
          <t>S19-H남</t>
        </is>
      </c>
      <c r="D970" s="47" t="n">
        <v>1</v>
      </c>
      <c r="E970" s="26" t="inlineStr">
        <is>
          <t>측정</t>
        </is>
      </c>
      <c r="F970" s="26" t="inlineStr">
        <is>
          <t>남</t>
        </is>
      </c>
      <c r="G970" s="31" t="n">
        <v>1</v>
      </c>
      <c r="H970" s="30" t="n"/>
      <c r="I970" s="43" t="n"/>
      <c r="J970" s="41" t="n"/>
      <c r="K970" s="41" t="n"/>
      <c r="L970" s="41" t="n"/>
      <c r="M970" s="31">
        <f>IF(COUNT(J970:L970)=0,"",MEDIAN(J970:L970))</f>
        <v/>
      </c>
      <c r="N970" s="26">
        <f>IF(COUNTIFS($C:$C,$C970,$D:$D,$D970,$E:$E,"P0(전)",$M:$M,"&gt;0")&lt;&gt;1,"P0(전) 유효 1개 아님",IF(COUNTIFS($C:$C,$C970,$D:$D,$D970,$E:$E,"P0(후)",$M:$M,"&gt;0")&lt;&gt;1,"P0(후) 유효 1개 아님",IF(NOT(AND(ISNUMBER(O970),ISNUMBER(Q970),ISNUMBER(I970))),"시각 결측",IF(Q970&lt;=O970,"P0 시각 역전",IF(OR(I970&lt;O970,I970&gt;Q970),"측정시각 구간 밖","OK")))))</f>
        <v/>
      </c>
      <c r="O970" s="48">
        <f>IF(COUNTIFS($C:$C,$C970,$D:$D,$D970,$E:$E,"P0(전)",$M:$M,"&gt;0")&lt;&gt;1,"",SUMIFS($I:$I,$C:$C,$C970,$D:$D,$D970,$E:$E,"P0(전)"))</f>
        <v/>
      </c>
      <c r="P970" s="31">
        <f>IF(COUNTIFS($C:$C,$C970,$D:$D,$D970,$E:$E,"P0(전)",$M:$M,"&gt;0")&lt;&gt;1,"",SUMIFS($M:$M,$C:$C,$C970,$D:$D,$D970,$E:$E,"P0(전)"))</f>
        <v/>
      </c>
      <c r="Q970" s="48">
        <f>IF(COUNTIFS($C:$C,$C970,$D:$D,$D970,$E:$E,"P0(후)",$M:$M,"&gt;0")&lt;&gt;1,"",SUMIFS($I:$I,$C:$C,$C970,$D:$D,$D970,$E:$E,"P0(후)"))</f>
        <v/>
      </c>
      <c r="R970" s="31">
        <f>IF(COUNTIFS($C:$C,$C970,$D:$D,$D970,$E:$E,"P0(후)",$M:$M,"&gt;0")&lt;&gt;1,"",SUMIFS($M:$M,$C:$C,$C970,$D:$D,$D970,$E:$E,"P0(후)"))</f>
        <v/>
      </c>
      <c r="S970" s="31">
        <f>IF(N970&lt;&gt;"OK","",P970+(R970-P970)*(I970-O970)/(Q970-O970))</f>
        <v/>
      </c>
      <c r="T970" s="31">
        <f>IF(OR(N970&lt;&gt;"OK",NOT(ISNUMBER(M970))),"",M970-S970)</f>
        <v/>
      </c>
      <c r="U970" s="49">
        <f>IF(OR(NOT(ISNUMBER(T970)),IF(ISNUMBER(H970),H970,G970)=0),"",T970/IF(ISNUMBER(H970),H970,G970))</f>
        <v/>
      </c>
      <c r="V970" s="49">
        <f>IF(ISNUMBER(U970),ABS(U970),"")</f>
        <v/>
      </c>
      <c r="W970" s="49">
        <f>IF(OR($E969&lt;&gt;"측정",$C969&lt;&gt;$C970,$D969&lt;&gt;$D970,NOT(ISNUMBER(M970)),NOT(ISNUMBER(M969)),(IF(ISNUMBER(H970),H970,G970)-IF(ISNUMBER(H969),H969,G969))=0),"",(M970-M969)/(IF(ISNUMBER(H970),H970,G970)-IF(ISNUMBER(H969),H969,G969)))</f>
        <v/>
      </c>
      <c r="X970" s="31">
        <f>IF(NOT(AND(ISNUMBER(O970),ISNUMBER(Q970))),"",(Q970-O970)*1440)</f>
        <v/>
      </c>
      <c r="Y970" s="29" t="n"/>
      <c r="Z970" s="29" t="n"/>
      <c r="AA970" s="29" t="n"/>
      <c r="AB970" s="32" t="n"/>
      <c r="AC970" s="32" t="n"/>
    </row>
    <row r="971">
      <c r="A971" s="26" t="inlineStr">
        <is>
          <t>S19</t>
        </is>
      </c>
      <c r="B971" s="26" t="inlineStr">
        <is>
          <t>오호 신규점</t>
        </is>
      </c>
      <c r="C971" s="26" t="inlineStr">
        <is>
          <t>S19-H남</t>
        </is>
      </c>
      <c r="D971" s="47" t="n">
        <v>1</v>
      </c>
      <c r="E971" s="26" t="inlineStr">
        <is>
          <t>측정</t>
        </is>
      </c>
      <c r="F971" s="26" t="inlineStr">
        <is>
          <t>남</t>
        </is>
      </c>
      <c r="G971" s="31" t="n">
        <v>2</v>
      </c>
      <c r="H971" s="30" t="n"/>
      <c r="I971" s="43" t="n"/>
      <c r="J971" s="41" t="n"/>
      <c r="K971" s="41" t="n"/>
      <c r="L971" s="41" t="n"/>
      <c r="M971" s="31">
        <f>IF(COUNT(J971:L971)=0,"",MEDIAN(J971:L971))</f>
        <v/>
      </c>
      <c r="N971" s="26">
        <f>IF(COUNTIFS($C:$C,$C971,$D:$D,$D971,$E:$E,"P0(전)",$M:$M,"&gt;0")&lt;&gt;1,"P0(전) 유효 1개 아님",IF(COUNTIFS($C:$C,$C971,$D:$D,$D971,$E:$E,"P0(후)",$M:$M,"&gt;0")&lt;&gt;1,"P0(후) 유효 1개 아님",IF(NOT(AND(ISNUMBER(O971),ISNUMBER(Q971),ISNUMBER(I971))),"시각 결측",IF(Q971&lt;=O971,"P0 시각 역전",IF(OR(I971&lt;O971,I971&gt;Q971),"측정시각 구간 밖","OK")))))</f>
        <v/>
      </c>
      <c r="O971" s="48">
        <f>IF(COUNTIFS($C:$C,$C971,$D:$D,$D971,$E:$E,"P0(전)",$M:$M,"&gt;0")&lt;&gt;1,"",SUMIFS($I:$I,$C:$C,$C971,$D:$D,$D971,$E:$E,"P0(전)"))</f>
        <v/>
      </c>
      <c r="P971" s="31">
        <f>IF(COUNTIFS($C:$C,$C971,$D:$D,$D971,$E:$E,"P0(전)",$M:$M,"&gt;0")&lt;&gt;1,"",SUMIFS($M:$M,$C:$C,$C971,$D:$D,$D971,$E:$E,"P0(전)"))</f>
        <v/>
      </c>
      <c r="Q971" s="48">
        <f>IF(COUNTIFS($C:$C,$C971,$D:$D,$D971,$E:$E,"P0(후)",$M:$M,"&gt;0")&lt;&gt;1,"",SUMIFS($I:$I,$C:$C,$C971,$D:$D,$D971,$E:$E,"P0(후)"))</f>
        <v/>
      </c>
      <c r="R971" s="31">
        <f>IF(COUNTIFS($C:$C,$C971,$D:$D,$D971,$E:$E,"P0(후)",$M:$M,"&gt;0")&lt;&gt;1,"",SUMIFS($M:$M,$C:$C,$C971,$D:$D,$D971,$E:$E,"P0(후)"))</f>
        <v/>
      </c>
      <c r="S971" s="31">
        <f>IF(N971&lt;&gt;"OK","",P971+(R971-P971)*(I971-O971)/(Q971-O971))</f>
        <v/>
      </c>
      <c r="T971" s="31">
        <f>IF(OR(N971&lt;&gt;"OK",NOT(ISNUMBER(M971))),"",M971-S971)</f>
        <v/>
      </c>
      <c r="U971" s="49">
        <f>IF(OR(NOT(ISNUMBER(T971)),IF(ISNUMBER(H971),H971,G971)=0),"",T971/IF(ISNUMBER(H971),H971,G971))</f>
        <v/>
      </c>
      <c r="V971" s="49">
        <f>IF(ISNUMBER(U971),ABS(U971),"")</f>
        <v/>
      </c>
      <c r="W971" s="49">
        <f>IF(OR($E970&lt;&gt;"측정",$C970&lt;&gt;$C971,$D970&lt;&gt;$D971,NOT(ISNUMBER(M971)),NOT(ISNUMBER(M970)),(IF(ISNUMBER(H971),H971,G971)-IF(ISNUMBER(H970),H970,G970))=0),"",(M971-M970)/(IF(ISNUMBER(H971),H971,G971)-IF(ISNUMBER(H970),H970,G970)))</f>
        <v/>
      </c>
      <c r="X971" s="31">
        <f>IF(NOT(AND(ISNUMBER(O971),ISNUMBER(Q971))),"",(Q971-O971)*1440)</f>
        <v/>
      </c>
      <c r="Y971" s="29" t="n"/>
      <c r="Z971" s="29" t="n"/>
      <c r="AA971" s="29" t="n"/>
      <c r="AB971" s="32" t="n"/>
      <c r="AC971" s="32" t="n"/>
    </row>
    <row r="972">
      <c r="A972" s="26" t="inlineStr">
        <is>
          <t>S19</t>
        </is>
      </c>
      <c r="B972" s="26" t="inlineStr">
        <is>
          <t>오호 신규점</t>
        </is>
      </c>
      <c r="C972" s="26" t="inlineStr">
        <is>
          <t>S19-H남</t>
        </is>
      </c>
      <c r="D972" s="47" t="n">
        <v>1</v>
      </c>
      <c r="E972" s="26" t="inlineStr">
        <is>
          <t>측정</t>
        </is>
      </c>
      <c r="F972" s="26" t="inlineStr">
        <is>
          <t>남</t>
        </is>
      </c>
      <c r="G972" s="31" t="n">
        <v>3</v>
      </c>
      <c r="H972" s="30" t="n"/>
      <c r="I972" s="43" t="n"/>
      <c r="J972" s="41" t="n"/>
      <c r="K972" s="41" t="n"/>
      <c r="L972" s="41" t="n"/>
      <c r="M972" s="31">
        <f>IF(COUNT(J972:L972)=0,"",MEDIAN(J972:L972))</f>
        <v/>
      </c>
      <c r="N972" s="26">
        <f>IF(COUNTIFS($C:$C,$C972,$D:$D,$D972,$E:$E,"P0(전)",$M:$M,"&gt;0")&lt;&gt;1,"P0(전) 유효 1개 아님",IF(COUNTIFS($C:$C,$C972,$D:$D,$D972,$E:$E,"P0(후)",$M:$M,"&gt;0")&lt;&gt;1,"P0(후) 유효 1개 아님",IF(NOT(AND(ISNUMBER(O972),ISNUMBER(Q972),ISNUMBER(I972))),"시각 결측",IF(Q972&lt;=O972,"P0 시각 역전",IF(OR(I972&lt;O972,I972&gt;Q972),"측정시각 구간 밖","OK")))))</f>
        <v/>
      </c>
      <c r="O972" s="48">
        <f>IF(COUNTIFS($C:$C,$C972,$D:$D,$D972,$E:$E,"P0(전)",$M:$M,"&gt;0")&lt;&gt;1,"",SUMIFS($I:$I,$C:$C,$C972,$D:$D,$D972,$E:$E,"P0(전)"))</f>
        <v/>
      </c>
      <c r="P972" s="31">
        <f>IF(COUNTIFS($C:$C,$C972,$D:$D,$D972,$E:$E,"P0(전)",$M:$M,"&gt;0")&lt;&gt;1,"",SUMIFS($M:$M,$C:$C,$C972,$D:$D,$D972,$E:$E,"P0(전)"))</f>
        <v/>
      </c>
      <c r="Q972" s="48">
        <f>IF(COUNTIFS($C:$C,$C972,$D:$D,$D972,$E:$E,"P0(후)",$M:$M,"&gt;0")&lt;&gt;1,"",SUMIFS($I:$I,$C:$C,$C972,$D:$D,$D972,$E:$E,"P0(후)"))</f>
        <v/>
      </c>
      <c r="R972" s="31">
        <f>IF(COUNTIFS($C:$C,$C972,$D:$D,$D972,$E:$E,"P0(후)",$M:$M,"&gt;0")&lt;&gt;1,"",SUMIFS($M:$M,$C:$C,$C972,$D:$D,$D972,$E:$E,"P0(후)"))</f>
        <v/>
      </c>
      <c r="S972" s="31">
        <f>IF(N972&lt;&gt;"OK","",P972+(R972-P972)*(I972-O972)/(Q972-O972))</f>
        <v/>
      </c>
      <c r="T972" s="31">
        <f>IF(OR(N972&lt;&gt;"OK",NOT(ISNUMBER(M972))),"",M972-S972)</f>
        <v/>
      </c>
      <c r="U972" s="49">
        <f>IF(OR(NOT(ISNUMBER(T972)),IF(ISNUMBER(H972),H972,G972)=0),"",T972/IF(ISNUMBER(H972),H972,G972))</f>
        <v/>
      </c>
      <c r="V972" s="49">
        <f>IF(ISNUMBER(U972),ABS(U972),"")</f>
        <v/>
      </c>
      <c r="W972" s="49">
        <f>IF(OR($E971&lt;&gt;"측정",$C971&lt;&gt;$C972,$D971&lt;&gt;$D972,NOT(ISNUMBER(M972)),NOT(ISNUMBER(M971)),(IF(ISNUMBER(H972),H972,G972)-IF(ISNUMBER(H971),H971,G971))=0),"",(M972-M971)/(IF(ISNUMBER(H972),H972,G972)-IF(ISNUMBER(H971),H971,G971)))</f>
        <v/>
      </c>
      <c r="X972" s="31">
        <f>IF(NOT(AND(ISNUMBER(O972),ISNUMBER(Q972))),"",(Q972-O972)*1440)</f>
        <v/>
      </c>
      <c r="Y972" s="29" t="n"/>
      <c r="Z972" s="29" t="n"/>
      <c r="AA972" s="29" t="n"/>
      <c r="AB972" s="32" t="n"/>
      <c r="AC972" s="32" t="n"/>
    </row>
    <row r="973">
      <c r="A973" s="26" t="inlineStr">
        <is>
          <t>S19</t>
        </is>
      </c>
      <c r="B973" s="26" t="inlineStr">
        <is>
          <t>오호 신규점</t>
        </is>
      </c>
      <c r="C973" s="26" t="inlineStr">
        <is>
          <t>S19-H남</t>
        </is>
      </c>
      <c r="D973" s="47" t="n">
        <v>1</v>
      </c>
      <c r="E973" s="26" t="inlineStr">
        <is>
          <t>측정</t>
        </is>
      </c>
      <c r="F973" s="26" t="inlineStr">
        <is>
          <t>남</t>
        </is>
      </c>
      <c r="G973" s="31" t="n">
        <v>4</v>
      </c>
      <c r="H973" s="30" t="n"/>
      <c r="I973" s="43" t="n"/>
      <c r="J973" s="41" t="n"/>
      <c r="K973" s="41" t="n"/>
      <c r="L973" s="41" t="n"/>
      <c r="M973" s="31">
        <f>IF(COUNT(J973:L973)=0,"",MEDIAN(J973:L973))</f>
        <v/>
      </c>
      <c r="N973" s="26">
        <f>IF(COUNTIFS($C:$C,$C973,$D:$D,$D973,$E:$E,"P0(전)",$M:$M,"&gt;0")&lt;&gt;1,"P0(전) 유효 1개 아님",IF(COUNTIFS($C:$C,$C973,$D:$D,$D973,$E:$E,"P0(후)",$M:$M,"&gt;0")&lt;&gt;1,"P0(후) 유효 1개 아님",IF(NOT(AND(ISNUMBER(O973),ISNUMBER(Q973),ISNUMBER(I973))),"시각 결측",IF(Q973&lt;=O973,"P0 시각 역전",IF(OR(I973&lt;O973,I973&gt;Q973),"측정시각 구간 밖","OK")))))</f>
        <v/>
      </c>
      <c r="O973" s="48">
        <f>IF(COUNTIFS($C:$C,$C973,$D:$D,$D973,$E:$E,"P0(전)",$M:$M,"&gt;0")&lt;&gt;1,"",SUMIFS($I:$I,$C:$C,$C973,$D:$D,$D973,$E:$E,"P0(전)"))</f>
        <v/>
      </c>
      <c r="P973" s="31">
        <f>IF(COUNTIFS($C:$C,$C973,$D:$D,$D973,$E:$E,"P0(전)",$M:$M,"&gt;0")&lt;&gt;1,"",SUMIFS($M:$M,$C:$C,$C973,$D:$D,$D973,$E:$E,"P0(전)"))</f>
        <v/>
      </c>
      <c r="Q973" s="48">
        <f>IF(COUNTIFS($C:$C,$C973,$D:$D,$D973,$E:$E,"P0(후)",$M:$M,"&gt;0")&lt;&gt;1,"",SUMIFS($I:$I,$C:$C,$C973,$D:$D,$D973,$E:$E,"P0(후)"))</f>
        <v/>
      </c>
      <c r="R973" s="31">
        <f>IF(COUNTIFS($C:$C,$C973,$D:$D,$D973,$E:$E,"P0(후)",$M:$M,"&gt;0")&lt;&gt;1,"",SUMIFS($M:$M,$C:$C,$C973,$D:$D,$D973,$E:$E,"P0(후)"))</f>
        <v/>
      </c>
      <c r="S973" s="31">
        <f>IF(N973&lt;&gt;"OK","",P973+(R973-P973)*(I973-O973)/(Q973-O973))</f>
        <v/>
      </c>
      <c r="T973" s="31">
        <f>IF(OR(N973&lt;&gt;"OK",NOT(ISNUMBER(M973))),"",M973-S973)</f>
        <v/>
      </c>
      <c r="U973" s="49">
        <f>IF(OR(NOT(ISNUMBER(T973)),IF(ISNUMBER(H973),H973,G973)=0),"",T973/IF(ISNUMBER(H973),H973,G973))</f>
        <v/>
      </c>
      <c r="V973" s="49">
        <f>IF(ISNUMBER(U973),ABS(U973),"")</f>
        <v/>
      </c>
      <c r="W973" s="49">
        <f>IF(OR($E972&lt;&gt;"측정",$C972&lt;&gt;$C973,$D972&lt;&gt;$D973,NOT(ISNUMBER(M973)),NOT(ISNUMBER(M972)),(IF(ISNUMBER(H973),H973,G973)-IF(ISNUMBER(H972),H972,G972))=0),"",(M973-M972)/(IF(ISNUMBER(H973),H973,G973)-IF(ISNUMBER(H972),H972,G972)))</f>
        <v/>
      </c>
      <c r="X973" s="31">
        <f>IF(NOT(AND(ISNUMBER(O973),ISNUMBER(Q973))),"",(Q973-O973)*1440)</f>
        <v/>
      </c>
      <c r="Y973" s="29" t="n"/>
      <c r="Z973" s="29" t="n"/>
      <c r="AA973" s="29" t="n"/>
      <c r="AB973" s="32" t="n"/>
      <c r="AC973" s="32" t="n"/>
    </row>
    <row r="974">
      <c r="A974" s="26" t="inlineStr">
        <is>
          <t>S19</t>
        </is>
      </c>
      <c r="B974" s="26" t="inlineStr">
        <is>
          <t>오호 신규점</t>
        </is>
      </c>
      <c r="C974" s="26" t="inlineStr">
        <is>
          <t>S19-H남</t>
        </is>
      </c>
      <c r="D974" s="47" t="n">
        <v>1</v>
      </c>
      <c r="E974" s="26" t="inlineStr">
        <is>
          <t>측정</t>
        </is>
      </c>
      <c r="F974" s="26" t="inlineStr">
        <is>
          <t>남</t>
        </is>
      </c>
      <c r="G974" s="31" t="n">
        <v>5</v>
      </c>
      <c r="H974" s="30" t="n"/>
      <c r="I974" s="43" t="n"/>
      <c r="J974" s="41" t="n"/>
      <c r="K974" s="41" t="n"/>
      <c r="L974" s="41" t="n"/>
      <c r="M974" s="31">
        <f>IF(COUNT(J974:L974)=0,"",MEDIAN(J974:L974))</f>
        <v/>
      </c>
      <c r="N974" s="26">
        <f>IF(COUNTIFS($C:$C,$C974,$D:$D,$D974,$E:$E,"P0(전)",$M:$M,"&gt;0")&lt;&gt;1,"P0(전) 유효 1개 아님",IF(COUNTIFS($C:$C,$C974,$D:$D,$D974,$E:$E,"P0(후)",$M:$M,"&gt;0")&lt;&gt;1,"P0(후) 유효 1개 아님",IF(NOT(AND(ISNUMBER(O974),ISNUMBER(Q974),ISNUMBER(I974))),"시각 결측",IF(Q974&lt;=O974,"P0 시각 역전",IF(OR(I974&lt;O974,I974&gt;Q974),"측정시각 구간 밖","OK")))))</f>
        <v/>
      </c>
      <c r="O974" s="48">
        <f>IF(COUNTIFS($C:$C,$C974,$D:$D,$D974,$E:$E,"P0(전)",$M:$M,"&gt;0")&lt;&gt;1,"",SUMIFS($I:$I,$C:$C,$C974,$D:$D,$D974,$E:$E,"P0(전)"))</f>
        <v/>
      </c>
      <c r="P974" s="31">
        <f>IF(COUNTIFS($C:$C,$C974,$D:$D,$D974,$E:$E,"P0(전)",$M:$M,"&gt;0")&lt;&gt;1,"",SUMIFS($M:$M,$C:$C,$C974,$D:$D,$D974,$E:$E,"P0(전)"))</f>
        <v/>
      </c>
      <c r="Q974" s="48">
        <f>IF(COUNTIFS($C:$C,$C974,$D:$D,$D974,$E:$E,"P0(후)",$M:$M,"&gt;0")&lt;&gt;1,"",SUMIFS($I:$I,$C:$C,$C974,$D:$D,$D974,$E:$E,"P0(후)"))</f>
        <v/>
      </c>
      <c r="R974" s="31">
        <f>IF(COUNTIFS($C:$C,$C974,$D:$D,$D974,$E:$E,"P0(후)",$M:$M,"&gt;0")&lt;&gt;1,"",SUMIFS($M:$M,$C:$C,$C974,$D:$D,$D974,$E:$E,"P0(후)"))</f>
        <v/>
      </c>
      <c r="S974" s="31">
        <f>IF(N974&lt;&gt;"OK","",P974+(R974-P974)*(I974-O974)/(Q974-O974))</f>
        <v/>
      </c>
      <c r="T974" s="31">
        <f>IF(OR(N974&lt;&gt;"OK",NOT(ISNUMBER(M974))),"",M974-S974)</f>
        <v/>
      </c>
      <c r="U974" s="49">
        <f>IF(OR(NOT(ISNUMBER(T974)),IF(ISNUMBER(H974),H974,G974)=0),"",T974/IF(ISNUMBER(H974),H974,G974))</f>
        <v/>
      </c>
      <c r="V974" s="49">
        <f>IF(ISNUMBER(U974),ABS(U974),"")</f>
        <v/>
      </c>
      <c r="W974" s="49">
        <f>IF(OR($E973&lt;&gt;"측정",$C973&lt;&gt;$C974,$D973&lt;&gt;$D974,NOT(ISNUMBER(M974)),NOT(ISNUMBER(M973)),(IF(ISNUMBER(H974),H974,G974)-IF(ISNUMBER(H973),H973,G973))=0),"",(M974-M973)/(IF(ISNUMBER(H974),H974,G974)-IF(ISNUMBER(H973),H973,G973)))</f>
        <v/>
      </c>
      <c r="X974" s="31">
        <f>IF(NOT(AND(ISNUMBER(O974),ISNUMBER(Q974))),"",(Q974-O974)*1440)</f>
        <v/>
      </c>
      <c r="Y974" s="29" t="n"/>
      <c r="Z974" s="29" t="n"/>
      <c r="AA974" s="29" t="n"/>
      <c r="AB974" s="32" t="n"/>
      <c r="AC974" s="32" t="n"/>
    </row>
    <row r="975">
      <c r="A975" s="26" t="inlineStr">
        <is>
          <t>S19</t>
        </is>
      </c>
      <c r="B975" s="26" t="inlineStr">
        <is>
          <t>오호 신규점</t>
        </is>
      </c>
      <c r="C975" s="26" t="inlineStr">
        <is>
          <t>S19-H남</t>
        </is>
      </c>
      <c r="D975" s="47" t="n">
        <v>1</v>
      </c>
      <c r="E975" s="26" t="inlineStr">
        <is>
          <t>측정</t>
        </is>
      </c>
      <c r="F975" s="26" t="inlineStr">
        <is>
          <t>남</t>
        </is>
      </c>
      <c r="G975" s="31" t="n">
        <v>6</v>
      </c>
      <c r="H975" s="30" t="n"/>
      <c r="I975" s="43" t="n"/>
      <c r="J975" s="41" t="n"/>
      <c r="K975" s="41" t="n"/>
      <c r="L975" s="41" t="n"/>
      <c r="M975" s="31">
        <f>IF(COUNT(J975:L975)=0,"",MEDIAN(J975:L975))</f>
        <v/>
      </c>
      <c r="N975" s="26">
        <f>IF(COUNTIFS($C:$C,$C975,$D:$D,$D975,$E:$E,"P0(전)",$M:$M,"&gt;0")&lt;&gt;1,"P0(전) 유효 1개 아님",IF(COUNTIFS($C:$C,$C975,$D:$D,$D975,$E:$E,"P0(후)",$M:$M,"&gt;0")&lt;&gt;1,"P0(후) 유효 1개 아님",IF(NOT(AND(ISNUMBER(O975),ISNUMBER(Q975),ISNUMBER(I975))),"시각 결측",IF(Q975&lt;=O975,"P0 시각 역전",IF(OR(I975&lt;O975,I975&gt;Q975),"측정시각 구간 밖","OK")))))</f>
        <v/>
      </c>
      <c r="O975" s="48">
        <f>IF(COUNTIFS($C:$C,$C975,$D:$D,$D975,$E:$E,"P0(전)",$M:$M,"&gt;0")&lt;&gt;1,"",SUMIFS($I:$I,$C:$C,$C975,$D:$D,$D975,$E:$E,"P0(전)"))</f>
        <v/>
      </c>
      <c r="P975" s="31">
        <f>IF(COUNTIFS($C:$C,$C975,$D:$D,$D975,$E:$E,"P0(전)",$M:$M,"&gt;0")&lt;&gt;1,"",SUMIFS($M:$M,$C:$C,$C975,$D:$D,$D975,$E:$E,"P0(전)"))</f>
        <v/>
      </c>
      <c r="Q975" s="48">
        <f>IF(COUNTIFS($C:$C,$C975,$D:$D,$D975,$E:$E,"P0(후)",$M:$M,"&gt;0")&lt;&gt;1,"",SUMIFS($I:$I,$C:$C,$C975,$D:$D,$D975,$E:$E,"P0(후)"))</f>
        <v/>
      </c>
      <c r="R975" s="31">
        <f>IF(COUNTIFS($C:$C,$C975,$D:$D,$D975,$E:$E,"P0(후)",$M:$M,"&gt;0")&lt;&gt;1,"",SUMIFS($M:$M,$C:$C,$C975,$D:$D,$D975,$E:$E,"P0(후)"))</f>
        <v/>
      </c>
      <c r="S975" s="31">
        <f>IF(N975&lt;&gt;"OK","",P975+(R975-P975)*(I975-O975)/(Q975-O975))</f>
        <v/>
      </c>
      <c r="T975" s="31">
        <f>IF(OR(N975&lt;&gt;"OK",NOT(ISNUMBER(M975))),"",M975-S975)</f>
        <v/>
      </c>
      <c r="U975" s="49">
        <f>IF(OR(NOT(ISNUMBER(T975)),IF(ISNUMBER(H975),H975,G975)=0),"",T975/IF(ISNUMBER(H975),H975,G975))</f>
        <v/>
      </c>
      <c r="V975" s="49">
        <f>IF(ISNUMBER(U975),ABS(U975),"")</f>
        <v/>
      </c>
      <c r="W975" s="49">
        <f>IF(OR($E974&lt;&gt;"측정",$C974&lt;&gt;$C975,$D974&lt;&gt;$D975,NOT(ISNUMBER(M975)),NOT(ISNUMBER(M974)),(IF(ISNUMBER(H975),H975,G975)-IF(ISNUMBER(H974),H974,G974))=0),"",(M975-M974)/(IF(ISNUMBER(H975),H975,G975)-IF(ISNUMBER(H974),H974,G974)))</f>
        <v/>
      </c>
      <c r="X975" s="31">
        <f>IF(NOT(AND(ISNUMBER(O975),ISNUMBER(Q975))),"",(Q975-O975)*1440)</f>
        <v/>
      </c>
      <c r="Y975" s="29" t="n"/>
      <c r="Z975" s="29" t="n"/>
      <c r="AA975" s="29" t="n"/>
      <c r="AB975" s="32" t="n"/>
      <c r="AC975" s="32" t="n"/>
    </row>
    <row r="976">
      <c r="A976" s="26" t="inlineStr">
        <is>
          <t>S19</t>
        </is>
      </c>
      <c r="B976" s="26" t="inlineStr">
        <is>
          <t>오호 신규점</t>
        </is>
      </c>
      <c r="C976" s="26" t="inlineStr">
        <is>
          <t>S19-H남</t>
        </is>
      </c>
      <c r="D976" s="47" t="n">
        <v>1</v>
      </c>
      <c r="E976" s="26" t="inlineStr">
        <is>
          <t>측정</t>
        </is>
      </c>
      <c r="F976" s="26" t="inlineStr">
        <is>
          <t>남</t>
        </is>
      </c>
      <c r="G976" s="31" t="n">
        <v>7</v>
      </c>
      <c r="H976" s="30" t="n"/>
      <c r="I976" s="43" t="n"/>
      <c r="J976" s="41" t="n"/>
      <c r="K976" s="41" t="n"/>
      <c r="L976" s="41" t="n"/>
      <c r="M976" s="31">
        <f>IF(COUNT(J976:L976)=0,"",MEDIAN(J976:L976))</f>
        <v/>
      </c>
      <c r="N976" s="26">
        <f>IF(COUNTIFS($C:$C,$C976,$D:$D,$D976,$E:$E,"P0(전)",$M:$M,"&gt;0")&lt;&gt;1,"P0(전) 유효 1개 아님",IF(COUNTIFS($C:$C,$C976,$D:$D,$D976,$E:$E,"P0(후)",$M:$M,"&gt;0")&lt;&gt;1,"P0(후) 유효 1개 아님",IF(NOT(AND(ISNUMBER(O976),ISNUMBER(Q976),ISNUMBER(I976))),"시각 결측",IF(Q976&lt;=O976,"P0 시각 역전",IF(OR(I976&lt;O976,I976&gt;Q976),"측정시각 구간 밖","OK")))))</f>
        <v/>
      </c>
      <c r="O976" s="48">
        <f>IF(COUNTIFS($C:$C,$C976,$D:$D,$D976,$E:$E,"P0(전)",$M:$M,"&gt;0")&lt;&gt;1,"",SUMIFS($I:$I,$C:$C,$C976,$D:$D,$D976,$E:$E,"P0(전)"))</f>
        <v/>
      </c>
      <c r="P976" s="31">
        <f>IF(COUNTIFS($C:$C,$C976,$D:$D,$D976,$E:$E,"P0(전)",$M:$M,"&gt;0")&lt;&gt;1,"",SUMIFS($M:$M,$C:$C,$C976,$D:$D,$D976,$E:$E,"P0(전)"))</f>
        <v/>
      </c>
      <c r="Q976" s="48">
        <f>IF(COUNTIFS($C:$C,$C976,$D:$D,$D976,$E:$E,"P0(후)",$M:$M,"&gt;0")&lt;&gt;1,"",SUMIFS($I:$I,$C:$C,$C976,$D:$D,$D976,$E:$E,"P0(후)"))</f>
        <v/>
      </c>
      <c r="R976" s="31">
        <f>IF(COUNTIFS($C:$C,$C976,$D:$D,$D976,$E:$E,"P0(후)",$M:$M,"&gt;0")&lt;&gt;1,"",SUMIFS($M:$M,$C:$C,$C976,$D:$D,$D976,$E:$E,"P0(후)"))</f>
        <v/>
      </c>
      <c r="S976" s="31">
        <f>IF(N976&lt;&gt;"OK","",P976+(R976-P976)*(I976-O976)/(Q976-O976))</f>
        <v/>
      </c>
      <c r="T976" s="31">
        <f>IF(OR(N976&lt;&gt;"OK",NOT(ISNUMBER(M976))),"",M976-S976)</f>
        <v/>
      </c>
      <c r="U976" s="49">
        <f>IF(OR(NOT(ISNUMBER(T976)),IF(ISNUMBER(H976),H976,G976)=0),"",T976/IF(ISNUMBER(H976),H976,G976))</f>
        <v/>
      </c>
      <c r="V976" s="49">
        <f>IF(ISNUMBER(U976),ABS(U976),"")</f>
        <v/>
      </c>
      <c r="W976" s="49">
        <f>IF(OR($E975&lt;&gt;"측정",$C975&lt;&gt;$C976,$D975&lt;&gt;$D976,NOT(ISNUMBER(M976)),NOT(ISNUMBER(M975)),(IF(ISNUMBER(H976),H976,G976)-IF(ISNUMBER(H975),H975,G975))=0),"",(M976-M975)/(IF(ISNUMBER(H976),H976,G976)-IF(ISNUMBER(H975),H975,G975)))</f>
        <v/>
      </c>
      <c r="X976" s="31">
        <f>IF(NOT(AND(ISNUMBER(O976),ISNUMBER(Q976))),"",(Q976-O976)*1440)</f>
        <v/>
      </c>
      <c r="Y976" s="29" t="n"/>
      <c r="Z976" s="29" t="n"/>
      <c r="AA976" s="29" t="n"/>
      <c r="AB976" s="32" t="n"/>
      <c r="AC976" s="32" t="n"/>
    </row>
    <row r="977">
      <c r="A977" s="26" t="inlineStr">
        <is>
          <t>S19</t>
        </is>
      </c>
      <c r="B977" s="26" t="inlineStr">
        <is>
          <t>오호 신규점</t>
        </is>
      </c>
      <c r="C977" s="26" t="inlineStr">
        <is>
          <t>S19-H남</t>
        </is>
      </c>
      <c r="D977" s="47" t="n">
        <v>1</v>
      </c>
      <c r="E977" s="26" t="inlineStr">
        <is>
          <t>측정</t>
        </is>
      </c>
      <c r="F977" s="26" t="inlineStr">
        <is>
          <t>남</t>
        </is>
      </c>
      <c r="G977" s="31" t="n">
        <v>8</v>
      </c>
      <c r="H977" s="30" t="n"/>
      <c r="I977" s="43" t="n"/>
      <c r="J977" s="41" t="n"/>
      <c r="K977" s="41" t="n"/>
      <c r="L977" s="41" t="n"/>
      <c r="M977" s="31">
        <f>IF(COUNT(J977:L977)=0,"",MEDIAN(J977:L977))</f>
        <v/>
      </c>
      <c r="N977" s="26">
        <f>IF(COUNTIFS($C:$C,$C977,$D:$D,$D977,$E:$E,"P0(전)",$M:$M,"&gt;0")&lt;&gt;1,"P0(전) 유효 1개 아님",IF(COUNTIFS($C:$C,$C977,$D:$D,$D977,$E:$E,"P0(후)",$M:$M,"&gt;0")&lt;&gt;1,"P0(후) 유효 1개 아님",IF(NOT(AND(ISNUMBER(O977),ISNUMBER(Q977),ISNUMBER(I977))),"시각 결측",IF(Q977&lt;=O977,"P0 시각 역전",IF(OR(I977&lt;O977,I977&gt;Q977),"측정시각 구간 밖","OK")))))</f>
        <v/>
      </c>
      <c r="O977" s="48">
        <f>IF(COUNTIFS($C:$C,$C977,$D:$D,$D977,$E:$E,"P0(전)",$M:$M,"&gt;0")&lt;&gt;1,"",SUMIFS($I:$I,$C:$C,$C977,$D:$D,$D977,$E:$E,"P0(전)"))</f>
        <v/>
      </c>
      <c r="P977" s="31">
        <f>IF(COUNTIFS($C:$C,$C977,$D:$D,$D977,$E:$E,"P0(전)",$M:$M,"&gt;0")&lt;&gt;1,"",SUMIFS($M:$M,$C:$C,$C977,$D:$D,$D977,$E:$E,"P0(전)"))</f>
        <v/>
      </c>
      <c r="Q977" s="48">
        <f>IF(COUNTIFS($C:$C,$C977,$D:$D,$D977,$E:$E,"P0(후)",$M:$M,"&gt;0")&lt;&gt;1,"",SUMIFS($I:$I,$C:$C,$C977,$D:$D,$D977,$E:$E,"P0(후)"))</f>
        <v/>
      </c>
      <c r="R977" s="31">
        <f>IF(COUNTIFS($C:$C,$C977,$D:$D,$D977,$E:$E,"P0(후)",$M:$M,"&gt;0")&lt;&gt;1,"",SUMIFS($M:$M,$C:$C,$C977,$D:$D,$D977,$E:$E,"P0(후)"))</f>
        <v/>
      </c>
      <c r="S977" s="31">
        <f>IF(N977&lt;&gt;"OK","",P977+(R977-P977)*(I977-O977)/(Q977-O977))</f>
        <v/>
      </c>
      <c r="T977" s="31">
        <f>IF(OR(N977&lt;&gt;"OK",NOT(ISNUMBER(M977))),"",M977-S977)</f>
        <v/>
      </c>
      <c r="U977" s="49">
        <f>IF(OR(NOT(ISNUMBER(T977)),IF(ISNUMBER(H977),H977,G977)=0),"",T977/IF(ISNUMBER(H977),H977,G977))</f>
        <v/>
      </c>
      <c r="V977" s="49">
        <f>IF(ISNUMBER(U977),ABS(U977),"")</f>
        <v/>
      </c>
      <c r="W977" s="49">
        <f>IF(OR($E976&lt;&gt;"측정",$C976&lt;&gt;$C977,$D976&lt;&gt;$D977,NOT(ISNUMBER(M977)),NOT(ISNUMBER(M976)),(IF(ISNUMBER(H977),H977,G977)-IF(ISNUMBER(H976),H976,G976))=0),"",(M977-M976)/(IF(ISNUMBER(H977),H977,G977)-IF(ISNUMBER(H976),H976,G976)))</f>
        <v/>
      </c>
      <c r="X977" s="31">
        <f>IF(NOT(AND(ISNUMBER(O977),ISNUMBER(Q977))),"",(Q977-O977)*1440)</f>
        <v/>
      </c>
      <c r="Y977" s="29" t="n"/>
      <c r="Z977" s="29" t="n"/>
      <c r="AA977" s="29" t="n"/>
      <c r="AB977" s="32" t="n"/>
      <c r="AC977" s="32" t="n"/>
    </row>
    <row r="978">
      <c r="A978" s="26" t="inlineStr">
        <is>
          <t>S19</t>
        </is>
      </c>
      <c r="B978" s="26" t="inlineStr">
        <is>
          <t>오호 신규점</t>
        </is>
      </c>
      <c r="C978" s="26" t="inlineStr">
        <is>
          <t>S19-H남</t>
        </is>
      </c>
      <c r="D978" s="47" t="n">
        <v>1</v>
      </c>
      <c r="E978" s="26" t="inlineStr">
        <is>
          <t>측정</t>
        </is>
      </c>
      <c r="F978" s="26" t="inlineStr">
        <is>
          <t>남</t>
        </is>
      </c>
      <c r="G978" s="31" t="n">
        <v>9</v>
      </c>
      <c r="H978" s="30" t="n"/>
      <c r="I978" s="43" t="n"/>
      <c r="J978" s="41" t="n"/>
      <c r="K978" s="41" t="n"/>
      <c r="L978" s="41" t="n"/>
      <c r="M978" s="31">
        <f>IF(COUNT(J978:L978)=0,"",MEDIAN(J978:L978))</f>
        <v/>
      </c>
      <c r="N978" s="26">
        <f>IF(COUNTIFS($C:$C,$C978,$D:$D,$D978,$E:$E,"P0(전)",$M:$M,"&gt;0")&lt;&gt;1,"P0(전) 유효 1개 아님",IF(COUNTIFS($C:$C,$C978,$D:$D,$D978,$E:$E,"P0(후)",$M:$M,"&gt;0")&lt;&gt;1,"P0(후) 유효 1개 아님",IF(NOT(AND(ISNUMBER(O978),ISNUMBER(Q978),ISNUMBER(I978))),"시각 결측",IF(Q978&lt;=O978,"P0 시각 역전",IF(OR(I978&lt;O978,I978&gt;Q978),"측정시각 구간 밖","OK")))))</f>
        <v/>
      </c>
      <c r="O978" s="48">
        <f>IF(COUNTIFS($C:$C,$C978,$D:$D,$D978,$E:$E,"P0(전)",$M:$M,"&gt;0")&lt;&gt;1,"",SUMIFS($I:$I,$C:$C,$C978,$D:$D,$D978,$E:$E,"P0(전)"))</f>
        <v/>
      </c>
      <c r="P978" s="31">
        <f>IF(COUNTIFS($C:$C,$C978,$D:$D,$D978,$E:$E,"P0(전)",$M:$M,"&gt;0")&lt;&gt;1,"",SUMIFS($M:$M,$C:$C,$C978,$D:$D,$D978,$E:$E,"P0(전)"))</f>
        <v/>
      </c>
      <c r="Q978" s="48">
        <f>IF(COUNTIFS($C:$C,$C978,$D:$D,$D978,$E:$E,"P0(후)",$M:$M,"&gt;0")&lt;&gt;1,"",SUMIFS($I:$I,$C:$C,$C978,$D:$D,$D978,$E:$E,"P0(후)"))</f>
        <v/>
      </c>
      <c r="R978" s="31">
        <f>IF(COUNTIFS($C:$C,$C978,$D:$D,$D978,$E:$E,"P0(후)",$M:$M,"&gt;0")&lt;&gt;1,"",SUMIFS($M:$M,$C:$C,$C978,$D:$D,$D978,$E:$E,"P0(후)"))</f>
        <v/>
      </c>
      <c r="S978" s="31">
        <f>IF(N978&lt;&gt;"OK","",P978+(R978-P978)*(I978-O978)/(Q978-O978))</f>
        <v/>
      </c>
      <c r="T978" s="31">
        <f>IF(OR(N978&lt;&gt;"OK",NOT(ISNUMBER(M978))),"",M978-S978)</f>
        <v/>
      </c>
      <c r="U978" s="49">
        <f>IF(OR(NOT(ISNUMBER(T978)),IF(ISNUMBER(H978),H978,G978)=0),"",T978/IF(ISNUMBER(H978),H978,G978))</f>
        <v/>
      </c>
      <c r="V978" s="49">
        <f>IF(ISNUMBER(U978),ABS(U978),"")</f>
        <v/>
      </c>
      <c r="W978" s="49">
        <f>IF(OR($E977&lt;&gt;"측정",$C977&lt;&gt;$C978,$D977&lt;&gt;$D978,NOT(ISNUMBER(M978)),NOT(ISNUMBER(M977)),(IF(ISNUMBER(H978),H978,G978)-IF(ISNUMBER(H977),H977,G977))=0),"",(M978-M977)/(IF(ISNUMBER(H978),H978,G978)-IF(ISNUMBER(H977),H977,G977)))</f>
        <v/>
      </c>
      <c r="X978" s="31">
        <f>IF(NOT(AND(ISNUMBER(O978),ISNUMBER(Q978))),"",(Q978-O978)*1440)</f>
        <v/>
      </c>
      <c r="Y978" s="29" t="n"/>
      <c r="Z978" s="29" t="n"/>
      <c r="AA978" s="29" t="n"/>
      <c r="AB978" s="32" t="n"/>
      <c r="AC978" s="32" t="n"/>
    </row>
    <row r="979">
      <c r="A979" s="26" t="inlineStr">
        <is>
          <t>S19</t>
        </is>
      </c>
      <c r="B979" s="26" t="inlineStr">
        <is>
          <t>오호 신규점</t>
        </is>
      </c>
      <c r="C979" s="26" t="inlineStr">
        <is>
          <t>S19-H남</t>
        </is>
      </c>
      <c r="D979" s="47" t="n">
        <v>1</v>
      </c>
      <c r="E979" s="26" t="inlineStr">
        <is>
          <t>측정</t>
        </is>
      </c>
      <c r="F979" s="26" t="inlineStr">
        <is>
          <t>남</t>
        </is>
      </c>
      <c r="G979" s="31" t="n">
        <v>10</v>
      </c>
      <c r="H979" s="30" t="n"/>
      <c r="I979" s="43" t="n"/>
      <c r="J979" s="41" t="n"/>
      <c r="K979" s="41" t="n"/>
      <c r="L979" s="41" t="n"/>
      <c r="M979" s="31">
        <f>IF(COUNT(J979:L979)=0,"",MEDIAN(J979:L979))</f>
        <v/>
      </c>
      <c r="N979" s="26">
        <f>IF(COUNTIFS($C:$C,$C979,$D:$D,$D979,$E:$E,"P0(전)",$M:$M,"&gt;0")&lt;&gt;1,"P0(전) 유효 1개 아님",IF(COUNTIFS($C:$C,$C979,$D:$D,$D979,$E:$E,"P0(후)",$M:$M,"&gt;0")&lt;&gt;1,"P0(후) 유효 1개 아님",IF(NOT(AND(ISNUMBER(O979),ISNUMBER(Q979),ISNUMBER(I979))),"시각 결측",IF(Q979&lt;=O979,"P0 시각 역전",IF(OR(I979&lt;O979,I979&gt;Q979),"측정시각 구간 밖","OK")))))</f>
        <v/>
      </c>
      <c r="O979" s="48">
        <f>IF(COUNTIFS($C:$C,$C979,$D:$D,$D979,$E:$E,"P0(전)",$M:$M,"&gt;0")&lt;&gt;1,"",SUMIFS($I:$I,$C:$C,$C979,$D:$D,$D979,$E:$E,"P0(전)"))</f>
        <v/>
      </c>
      <c r="P979" s="31">
        <f>IF(COUNTIFS($C:$C,$C979,$D:$D,$D979,$E:$E,"P0(전)",$M:$M,"&gt;0")&lt;&gt;1,"",SUMIFS($M:$M,$C:$C,$C979,$D:$D,$D979,$E:$E,"P0(전)"))</f>
        <v/>
      </c>
      <c r="Q979" s="48">
        <f>IF(COUNTIFS($C:$C,$C979,$D:$D,$D979,$E:$E,"P0(후)",$M:$M,"&gt;0")&lt;&gt;1,"",SUMIFS($I:$I,$C:$C,$C979,$D:$D,$D979,$E:$E,"P0(후)"))</f>
        <v/>
      </c>
      <c r="R979" s="31">
        <f>IF(COUNTIFS($C:$C,$C979,$D:$D,$D979,$E:$E,"P0(후)",$M:$M,"&gt;0")&lt;&gt;1,"",SUMIFS($M:$M,$C:$C,$C979,$D:$D,$D979,$E:$E,"P0(후)"))</f>
        <v/>
      </c>
      <c r="S979" s="31">
        <f>IF(N979&lt;&gt;"OK","",P979+(R979-P979)*(I979-O979)/(Q979-O979))</f>
        <v/>
      </c>
      <c r="T979" s="31">
        <f>IF(OR(N979&lt;&gt;"OK",NOT(ISNUMBER(M979))),"",M979-S979)</f>
        <v/>
      </c>
      <c r="U979" s="49">
        <f>IF(OR(NOT(ISNUMBER(T979)),IF(ISNUMBER(H979),H979,G979)=0),"",T979/IF(ISNUMBER(H979),H979,G979))</f>
        <v/>
      </c>
      <c r="V979" s="49">
        <f>IF(ISNUMBER(U979),ABS(U979),"")</f>
        <v/>
      </c>
      <c r="W979" s="49">
        <f>IF(OR($E978&lt;&gt;"측정",$C978&lt;&gt;$C979,$D978&lt;&gt;$D979,NOT(ISNUMBER(M979)),NOT(ISNUMBER(M978)),(IF(ISNUMBER(H979),H979,G979)-IF(ISNUMBER(H978),H978,G978))=0),"",(M979-M978)/(IF(ISNUMBER(H979),H979,G979)-IF(ISNUMBER(H978),H978,G978)))</f>
        <v/>
      </c>
      <c r="X979" s="31">
        <f>IF(NOT(AND(ISNUMBER(O979),ISNUMBER(Q979))),"",(Q979-O979)*1440)</f>
        <v/>
      </c>
      <c r="Y979" s="29" t="n"/>
      <c r="Z979" s="29" t="n"/>
      <c r="AA979" s="29" t="n"/>
      <c r="AB979" s="32" t="n"/>
      <c r="AC979" s="32" t="n"/>
    </row>
    <row r="980">
      <c r="A980" s="44" t="inlineStr">
        <is>
          <t>S19</t>
        </is>
      </c>
      <c r="B980" s="44" t="inlineStr">
        <is>
          <t>오호 신규점</t>
        </is>
      </c>
      <c r="C980" s="44" t="inlineStr">
        <is>
          <t>S19-H남</t>
        </is>
      </c>
      <c r="D980" s="45" t="n">
        <v>1</v>
      </c>
      <c r="E980" s="44" t="inlineStr">
        <is>
          <t>P0(후)</t>
        </is>
      </c>
      <c r="F980" s="44" t="inlineStr">
        <is>
          <t>남</t>
        </is>
      </c>
      <c r="G980" s="46" t="n"/>
      <c r="H980" s="30" t="n"/>
      <c r="I980" s="43" t="n"/>
      <c r="J980" s="41" t="n"/>
      <c r="K980" s="41" t="n"/>
      <c r="L980" s="41" t="n"/>
      <c r="M980" s="31">
        <f>IF(COUNT(J980:L980)=0,"",MEDIAN(J980:L980))</f>
        <v/>
      </c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38" t="n"/>
      <c r="Y980" s="29" t="n"/>
      <c r="Z980" s="29" t="n"/>
      <c r="AA980" s="29" t="n"/>
      <c r="AB980" s="32" t="n"/>
      <c r="AC980" s="32" t="n"/>
    </row>
    <row r="981">
      <c r="A981" s="44" t="inlineStr">
        <is>
          <t>S19</t>
        </is>
      </c>
      <c r="B981" s="44" t="inlineStr">
        <is>
          <t>오호 신규점</t>
        </is>
      </c>
      <c r="C981" s="44" t="inlineStr">
        <is>
          <t>S19-H북</t>
        </is>
      </c>
      <c r="D981" s="45" t="n">
        <v>1</v>
      </c>
      <c r="E981" s="44" t="inlineStr">
        <is>
          <t>P0(전)</t>
        </is>
      </c>
      <c r="F981" s="44" t="inlineStr">
        <is>
          <t>북</t>
        </is>
      </c>
      <c r="G981" s="46" t="n"/>
      <c r="H981" s="30" t="n"/>
      <c r="I981" s="43" t="n"/>
      <c r="J981" s="41" t="n"/>
      <c r="K981" s="41" t="n"/>
      <c r="L981" s="41" t="n"/>
      <c r="M981" s="31">
        <f>IF(COUNT(J981:L981)=0,"",MEDIAN(J981:L981))</f>
        <v/>
      </c>
      <c r="N981" s="38" t="n"/>
      <c r="O981" s="38" t="n"/>
      <c r="P981" s="38" t="n"/>
      <c r="Q981" s="38" t="n"/>
      <c r="R981" s="38" t="n"/>
      <c r="S981" s="38" t="n"/>
      <c r="T981" s="38" t="n"/>
      <c r="U981" s="38" t="n"/>
      <c r="V981" s="38" t="n"/>
      <c r="W981" s="38" t="n"/>
      <c r="X981" s="38" t="n"/>
      <c r="Y981" s="29" t="n"/>
      <c r="Z981" s="29" t="n"/>
      <c r="AA981" s="29" t="n"/>
      <c r="AB981" s="32" t="n"/>
      <c r="AC981" s="32" t="n"/>
    </row>
    <row r="982">
      <c r="A982" s="26" t="inlineStr">
        <is>
          <t>S19</t>
        </is>
      </c>
      <c r="B982" s="26" t="inlineStr">
        <is>
          <t>오호 신규점</t>
        </is>
      </c>
      <c r="C982" s="26" t="inlineStr">
        <is>
          <t>S19-H북</t>
        </is>
      </c>
      <c r="D982" s="47" t="n">
        <v>1</v>
      </c>
      <c r="E982" s="26" t="inlineStr">
        <is>
          <t>측정</t>
        </is>
      </c>
      <c r="F982" s="26" t="inlineStr">
        <is>
          <t>북</t>
        </is>
      </c>
      <c r="G982" s="31" t="n">
        <v>0.5</v>
      </c>
      <c r="H982" s="30" t="n"/>
      <c r="I982" s="43" t="n"/>
      <c r="J982" s="41" t="n"/>
      <c r="K982" s="41" t="n"/>
      <c r="L982" s="41" t="n"/>
      <c r="M982" s="31">
        <f>IF(COUNT(J982:L982)=0,"",MEDIAN(J982:L982))</f>
        <v/>
      </c>
      <c r="N982" s="26">
        <f>IF(COUNTIFS($C:$C,$C982,$D:$D,$D982,$E:$E,"P0(전)",$M:$M,"&gt;0")&lt;&gt;1,"P0(전) 유효 1개 아님",IF(COUNTIFS($C:$C,$C982,$D:$D,$D982,$E:$E,"P0(후)",$M:$M,"&gt;0")&lt;&gt;1,"P0(후) 유효 1개 아님",IF(NOT(AND(ISNUMBER(O982),ISNUMBER(Q982),ISNUMBER(I982))),"시각 결측",IF(Q982&lt;=O982,"P0 시각 역전",IF(OR(I982&lt;O982,I982&gt;Q982),"측정시각 구간 밖","OK")))))</f>
        <v/>
      </c>
      <c r="O982" s="48">
        <f>IF(COUNTIFS($C:$C,$C982,$D:$D,$D982,$E:$E,"P0(전)",$M:$M,"&gt;0")&lt;&gt;1,"",SUMIFS($I:$I,$C:$C,$C982,$D:$D,$D982,$E:$E,"P0(전)"))</f>
        <v/>
      </c>
      <c r="P982" s="31">
        <f>IF(COUNTIFS($C:$C,$C982,$D:$D,$D982,$E:$E,"P0(전)",$M:$M,"&gt;0")&lt;&gt;1,"",SUMIFS($M:$M,$C:$C,$C982,$D:$D,$D982,$E:$E,"P0(전)"))</f>
        <v/>
      </c>
      <c r="Q982" s="48">
        <f>IF(COUNTIFS($C:$C,$C982,$D:$D,$D982,$E:$E,"P0(후)",$M:$M,"&gt;0")&lt;&gt;1,"",SUMIFS($I:$I,$C:$C,$C982,$D:$D,$D982,$E:$E,"P0(후)"))</f>
        <v/>
      </c>
      <c r="R982" s="31">
        <f>IF(COUNTIFS($C:$C,$C982,$D:$D,$D982,$E:$E,"P0(후)",$M:$M,"&gt;0")&lt;&gt;1,"",SUMIFS($M:$M,$C:$C,$C982,$D:$D,$D982,$E:$E,"P0(후)"))</f>
        <v/>
      </c>
      <c r="S982" s="31">
        <f>IF(N982&lt;&gt;"OK","",P982+(R982-P982)*(I982-O982)/(Q982-O982))</f>
        <v/>
      </c>
      <c r="T982" s="31">
        <f>IF(OR(N982&lt;&gt;"OK",NOT(ISNUMBER(M982))),"",M982-S982)</f>
        <v/>
      </c>
      <c r="U982" s="49">
        <f>IF(OR(NOT(ISNUMBER(T982)),IF(ISNUMBER(H982),H982,G982)=0),"",T982/IF(ISNUMBER(H982),H982,G982))</f>
        <v/>
      </c>
      <c r="V982" s="49">
        <f>IF(ISNUMBER(U982),ABS(U982),"")</f>
        <v/>
      </c>
      <c r="W982" s="49">
        <f>IF(OR($E981&lt;&gt;"측정",$C981&lt;&gt;$C982,$D981&lt;&gt;$D982,NOT(ISNUMBER(M982)),NOT(ISNUMBER(M981)),(IF(ISNUMBER(H982),H982,G982)-IF(ISNUMBER(H981),H981,G981))=0),"",(M982-M981)/(IF(ISNUMBER(H982),H982,G982)-IF(ISNUMBER(H981),H981,G981)))</f>
        <v/>
      </c>
      <c r="X982" s="31">
        <f>IF(NOT(AND(ISNUMBER(O982),ISNUMBER(Q982))),"",(Q982-O982)*1440)</f>
        <v/>
      </c>
      <c r="Y982" s="29" t="n"/>
      <c r="Z982" s="29" t="n"/>
      <c r="AA982" s="29" t="n"/>
      <c r="AB982" s="32" t="n"/>
      <c r="AC982" s="32" t="n"/>
    </row>
    <row r="983">
      <c r="A983" s="26" t="inlineStr">
        <is>
          <t>S19</t>
        </is>
      </c>
      <c r="B983" s="26" t="inlineStr">
        <is>
          <t>오호 신규점</t>
        </is>
      </c>
      <c r="C983" s="26" t="inlineStr">
        <is>
          <t>S19-H북</t>
        </is>
      </c>
      <c r="D983" s="47" t="n">
        <v>1</v>
      </c>
      <c r="E983" s="26" t="inlineStr">
        <is>
          <t>측정</t>
        </is>
      </c>
      <c r="F983" s="26" t="inlineStr">
        <is>
          <t>북</t>
        </is>
      </c>
      <c r="G983" s="31" t="n">
        <v>1</v>
      </c>
      <c r="H983" s="30" t="n"/>
      <c r="I983" s="43" t="n"/>
      <c r="J983" s="41" t="n"/>
      <c r="K983" s="41" t="n"/>
      <c r="L983" s="41" t="n"/>
      <c r="M983" s="31">
        <f>IF(COUNT(J983:L983)=0,"",MEDIAN(J983:L983))</f>
        <v/>
      </c>
      <c r="N983" s="26">
        <f>IF(COUNTIFS($C:$C,$C983,$D:$D,$D983,$E:$E,"P0(전)",$M:$M,"&gt;0")&lt;&gt;1,"P0(전) 유효 1개 아님",IF(COUNTIFS($C:$C,$C983,$D:$D,$D983,$E:$E,"P0(후)",$M:$M,"&gt;0")&lt;&gt;1,"P0(후) 유효 1개 아님",IF(NOT(AND(ISNUMBER(O983),ISNUMBER(Q983),ISNUMBER(I983))),"시각 결측",IF(Q983&lt;=O983,"P0 시각 역전",IF(OR(I983&lt;O983,I983&gt;Q983),"측정시각 구간 밖","OK")))))</f>
        <v/>
      </c>
      <c r="O983" s="48">
        <f>IF(COUNTIFS($C:$C,$C983,$D:$D,$D983,$E:$E,"P0(전)",$M:$M,"&gt;0")&lt;&gt;1,"",SUMIFS($I:$I,$C:$C,$C983,$D:$D,$D983,$E:$E,"P0(전)"))</f>
        <v/>
      </c>
      <c r="P983" s="31">
        <f>IF(COUNTIFS($C:$C,$C983,$D:$D,$D983,$E:$E,"P0(전)",$M:$M,"&gt;0")&lt;&gt;1,"",SUMIFS($M:$M,$C:$C,$C983,$D:$D,$D983,$E:$E,"P0(전)"))</f>
        <v/>
      </c>
      <c r="Q983" s="48">
        <f>IF(COUNTIFS($C:$C,$C983,$D:$D,$D983,$E:$E,"P0(후)",$M:$M,"&gt;0")&lt;&gt;1,"",SUMIFS($I:$I,$C:$C,$C983,$D:$D,$D983,$E:$E,"P0(후)"))</f>
        <v/>
      </c>
      <c r="R983" s="31">
        <f>IF(COUNTIFS($C:$C,$C983,$D:$D,$D983,$E:$E,"P0(후)",$M:$M,"&gt;0")&lt;&gt;1,"",SUMIFS($M:$M,$C:$C,$C983,$D:$D,$D983,$E:$E,"P0(후)"))</f>
        <v/>
      </c>
      <c r="S983" s="31">
        <f>IF(N983&lt;&gt;"OK","",P983+(R983-P983)*(I983-O983)/(Q983-O983))</f>
        <v/>
      </c>
      <c r="T983" s="31">
        <f>IF(OR(N983&lt;&gt;"OK",NOT(ISNUMBER(M983))),"",M983-S983)</f>
        <v/>
      </c>
      <c r="U983" s="49">
        <f>IF(OR(NOT(ISNUMBER(T983)),IF(ISNUMBER(H983),H983,G983)=0),"",T983/IF(ISNUMBER(H983),H983,G983))</f>
        <v/>
      </c>
      <c r="V983" s="49">
        <f>IF(ISNUMBER(U983),ABS(U983),"")</f>
        <v/>
      </c>
      <c r="W983" s="49">
        <f>IF(OR($E982&lt;&gt;"측정",$C982&lt;&gt;$C983,$D982&lt;&gt;$D983,NOT(ISNUMBER(M983)),NOT(ISNUMBER(M982)),(IF(ISNUMBER(H983),H983,G983)-IF(ISNUMBER(H982),H982,G982))=0),"",(M983-M982)/(IF(ISNUMBER(H983),H983,G983)-IF(ISNUMBER(H982),H982,G982)))</f>
        <v/>
      </c>
      <c r="X983" s="31">
        <f>IF(NOT(AND(ISNUMBER(O983),ISNUMBER(Q983))),"",(Q983-O983)*1440)</f>
        <v/>
      </c>
      <c r="Y983" s="29" t="n"/>
      <c r="Z983" s="29" t="n"/>
      <c r="AA983" s="29" t="n"/>
      <c r="AB983" s="32" t="n"/>
      <c r="AC983" s="32" t="n"/>
    </row>
    <row r="984">
      <c r="A984" s="26" t="inlineStr">
        <is>
          <t>S19</t>
        </is>
      </c>
      <c r="B984" s="26" t="inlineStr">
        <is>
          <t>오호 신규점</t>
        </is>
      </c>
      <c r="C984" s="26" t="inlineStr">
        <is>
          <t>S19-H북</t>
        </is>
      </c>
      <c r="D984" s="47" t="n">
        <v>1</v>
      </c>
      <c r="E984" s="26" t="inlineStr">
        <is>
          <t>측정</t>
        </is>
      </c>
      <c r="F984" s="26" t="inlineStr">
        <is>
          <t>북</t>
        </is>
      </c>
      <c r="G984" s="31" t="n">
        <v>2</v>
      </c>
      <c r="H984" s="30" t="n"/>
      <c r="I984" s="43" t="n"/>
      <c r="J984" s="41" t="n"/>
      <c r="K984" s="41" t="n"/>
      <c r="L984" s="41" t="n"/>
      <c r="M984" s="31">
        <f>IF(COUNT(J984:L984)=0,"",MEDIAN(J984:L984))</f>
        <v/>
      </c>
      <c r="N984" s="26">
        <f>IF(COUNTIFS($C:$C,$C984,$D:$D,$D984,$E:$E,"P0(전)",$M:$M,"&gt;0")&lt;&gt;1,"P0(전) 유효 1개 아님",IF(COUNTIFS($C:$C,$C984,$D:$D,$D984,$E:$E,"P0(후)",$M:$M,"&gt;0")&lt;&gt;1,"P0(후) 유효 1개 아님",IF(NOT(AND(ISNUMBER(O984),ISNUMBER(Q984),ISNUMBER(I984))),"시각 결측",IF(Q984&lt;=O984,"P0 시각 역전",IF(OR(I984&lt;O984,I984&gt;Q984),"측정시각 구간 밖","OK")))))</f>
        <v/>
      </c>
      <c r="O984" s="48">
        <f>IF(COUNTIFS($C:$C,$C984,$D:$D,$D984,$E:$E,"P0(전)",$M:$M,"&gt;0")&lt;&gt;1,"",SUMIFS($I:$I,$C:$C,$C984,$D:$D,$D984,$E:$E,"P0(전)"))</f>
        <v/>
      </c>
      <c r="P984" s="31">
        <f>IF(COUNTIFS($C:$C,$C984,$D:$D,$D984,$E:$E,"P0(전)",$M:$M,"&gt;0")&lt;&gt;1,"",SUMIFS($M:$M,$C:$C,$C984,$D:$D,$D984,$E:$E,"P0(전)"))</f>
        <v/>
      </c>
      <c r="Q984" s="48">
        <f>IF(COUNTIFS($C:$C,$C984,$D:$D,$D984,$E:$E,"P0(후)",$M:$M,"&gt;0")&lt;&gt;1,"",SUMIFS($I:$I,$C:$C,$C984,$D:$D,$D984,$E:$E,"P0(후)"))</f>
        <v/>
      </c>
      <c r="R984" s="31">
        <f>IF(COUNTIFS($C:$C,$C984,$D:$D,$D984,$E:$E,"P0(후)",$M:$M,"&gt;0")&lt;&gt;1,"",SUMIFS($M:$M,$C:$C,$C984,$D:$D,$D984,$E:$E,"P0(후)"))</f>
        <v/>
      </c>
      <c r="S984" s="31">
        <f>IF(N984&lt;&gt;"OK","",P984+(R984-P984)*(I984-O984)/(Q984-O984))</f>
        <v/>
      </c>
      <c r="T984" s="31">
        <f>IF(OR(N984&lt;&gt;"OK",NOT(ISNUMBER(M984))),"",M984-S984)</f>
        <v/>
      </c>
      <c r="U984" s="49">
        <f>IF(OR(NOT(ISNUMBER(T984)),IF(ISNUMBER(H984),H984,G984)=0),"",T984/IF(ISNUMBER(H984),H984,G984))</f>
        <v/>
      </c>
      <c r="V984" s="49">
        <f>IF(ISNUMBER(U984),ABS(U984),"")</f>
        <v/>
      </c>
      <c r="W984" s="49">
        <f>IF(OR($E983&lt;&gt;"측정",$C983&lt;&gt;$C984,$D983&lt;&gt;$D984,NOT(ISNUMBER(M984)),NOT(ISNUMBER(M983)),(IF(ISNUMBER(H984),H984,G984)-IF(ISNUMBER(H983),H983,G983))=0),"",(M984-M983)/(IF(ISNUMBER(H984),H984,G984)-IF(ISNUMBER(H983),H983,G983)))</f>
        <v/>
      </c>
      <c r="X984" s="31">
        <f>IF(NOT(AND(ISNUMBER(O984),ISNUMBER(Q984))),"",(Q984-O984)*1440)</f>
        <v/>
      </c>
      <c r="Y984" s="29" t="n"/>
      <c r="Z984" s="29" t="n"/>
      <c r="AA984" s="29" t="n"/>
      <c r="AB984" s="32" t="n"/>
      <c r="AC984" s="32" t="n"/>
    </row>
    <row r="985">
      <c r="A985" s="26" t="inlineStr">
        <is>
          <t>S19</t>
        </is>
      </c>
      <c r="B985" s="26" t="inlineStr">
        <is>
          <t>오호 신규점</t>
        </is>
      </c>
      <c r="C985" s="26" t="inlineStr">
        <is>
          <t>S19-H북</t>
        </is>
      </c>
      <c r="D985" s="47" t="n">
        <v>1</v>
      </c>
      <c r="E985" s="26" t="inlineStr">
        <is>
          <t>측정</t>
        </is>
      </c>
      <c r="F985" s="26" t="inlineStr">
        <is>
          <t>북</t>
        </is>
      </c>
      <c r="G985" s="31" t="n">
        <v>3</v>
      </c>
      <c r="H985" s="30" t="n"/>
      <c r="I985" s="43" t="n"/>
      <c r="J985" s="41" t="n"/>
      <c r="K985" s="41" t="n"/>
      <c r="L985" s="41" t="n"/>
      <c r="M985" s="31">
        <f>IF(COUNT(J985:L985)=0,"",MEDIAN(J985:L985))</f>
        <v/>
      </c>
      <c r="N985" s="26">
        <f>IF(COUNTIFS($C:$C,$C985,$D:$D,$D985,$E:$E,"P0(전)",$M:$M,"&gt;0")&lt;&gt;1,"P0(전) 유효 1개 아님",IF(COUNTIFS($C:$C,$C985,$D:$D,$D985,$E:$E,"P0(후)",$M:$M,"&gt;0")&lt;&gt;1,"P0(후) 유효 1개 아님",IF(NOT(AND(ISNUMBER(O985),ISNUMBER(Q985),ISNUMBER(I985))),"시각 결측",IF(Q985&lt;=O985,"P0 시각 역전",IF(OR(I985&lt;O985,I985&gt;Q985),"측정시각 구간 밖","OK")))))</f>
        <v/>
      </c>
      <c r="O985" s="48">
        <f>IF(COUNTIFS($C:$C,$C985,$D:$D,$D985,$E:$E,"P0(전)",$M:$M,"&gt;0")&lt;&gt;1,"",SUMIFS($I:$I,$C:$C,$C985,$D:$D,$D985,$E:$E,"P0(전)"))</f>
        <v/>
      </c>
      <c r="P985" s="31">
        <f>IF(COUNTIFS($C:$C,$C985,$D:$D,$D985,$E:$E,"P0(전)",$M:$M,"&gt;0")&lt;&gt;1,"",SUMIFS($M:$M,$C:$C,$C985,$D:$D,$D985,$E:$E,"P0(전)"))</f>
        <v/>
      </c>
      <c r="Q985" s="48">
        <f>IF(COUNTIFS($C:$C,$C985,$D:$D,$D985,$E:$E,"P0(후)",$M:$M,"&gt;0")&lt;&gt;1,"",SUMIFS($I:$I,$C:$C,$C985,$D:$D,$D985,$E:$E,"P0(후)"))</f>
        <v/>
      </c>
      <c r="R985" s="31">
        <f>IF(COUNTIFS($C:$C,$C985,$D:$D,$D985,$E:$E,"P0(후)",$M:$M,"&gt;0")&lt;&gt;1,"",SUMIFS($M:$M,$C:$C,$C985,$D:$D,$D985,$E:$E,"P0(후)"))</f>
        <v/>
      </c>
      <c r="S985" s="31">
        <f>IF(N985&lt;&gt;"OK","",P985+(R985-P985)*(I985-O985)/(Q985-O985))</f>
        <v/>
      </c>
      <c r="T985" s="31">
        <f>IF(OR(N985&lt;&gt;"OK",NOT(ISNUMBER(M985))),"",M985-S985)</f>
        <v/>
      </c>
      <c r="U985" s="49">
        <f>IF(OR(NOT(ISNUMBER(T985)),IF(ISNUMBER(H985),H985,G985)=0),"",T985/IF(ISNUMBER(H985),H985,G985))</f>
        <v/>
      </c>
      <c r="V985" s="49">
        <f>IF(ISNUMBER(U985),ABS(U985),"")</f>
        <v/>
      </c>
      <c r="W985" s="49">
        <f>IF(OR($E984&lt;&gt;"측정",$C984&lt;&gt;$C985,$D984&lt;&gt;$D985,NOT(ISNUMBER(M985)),NOT(ISNUMBER(M984)),(IF(ISNUMBER(H985),H985,G985)-IF(ISNUMBER(H984),H984,G984))=0),"",(M985-M984)/(IF(ISNUMBER(H985),H985,G985)-IF(ISNUMBER(H984),H984,G984)))</f>
        <v/>
      </c>
      <c r="X985" s="31">
        <f>IF(NOT(AND(ISNUMBER(O985),ISNUMBER(Q985))),"",(Q985-O985)*1440)</f>
        <v/>
      </c>
      <c r="Y985" s="29" t="n"/>
      <c r="Z985" s="29" t="n"/>
      <c r="AA985" s="29" t="n"/>
      <c r="AB985" s="32" t="n"/>
      <c r="AC985" s="32" t="n"/>
    </row>
    <row r="986">
      <c r="A986" s="26" t="inlineStr">
        <is>
          <t>S19</t>
        </is>
      </c>
      <c r="B986" s="26" t="inlineStr">
        <is>
          <t>오호 신규점</t>
        </is>
      </c>
      <c r="C986" s="26" t="inlineStr">
        <is>
          <t>S19-H북</t>
        </is>
      </c>
      <c r="D986" s="47" t="n">
        <v>1</v>
      </c>
      <c r="E986" s="26" t="inlineStr">
        <is>
          <t>측정</t>
        </is>
      </c>
      <c r="F986" s="26" t="inlineStr">
        <is>
          <t>북</t>
        </is>
      </c>
      <c r="G986" s="31" t="n">
        <v>4</v>
      </c>
      <c r="H986" s="30" t="n"/>
      <c r="I986" s="43" t="n"/>
      <c r="J986" s="41" t="n"/>
      <c r="K986" s="41" t="n"/>
      <c r="L986" s="41" t="n"/>
      <c r="M986" s="31">
        <f>IF(COUNT(J986:L986)=0,"",MEDIAN(J986:L986))</f>
        <v/>
      </c>
      <c r="N986" s="26">
        <f>IF(COUNTIFS($C:$C,$C986,$D:$D,$D986,$E:$E,"P0(전)",$M:$M,"&gt;0")&lt;&gt;1,"P0(전) 유효 1개 아님",IF(COUNTIFS($C:$C,$C986,$D:$D,$D986,$E:$E,"P0(후)",$M:$M,"&gt;0")&lt;&gt;1,"P0(후) 유효 1개 아님",IF(NOT(AND(ISNUMBER(O986),ISNUMBER(Q986),ISNUMBER(I986))),"시각 결측",IF(Q986&lt;=O986,"P0 시각 역전",IF(OR(I986&lt;O986,I986&gt;Q986),"측정시각 구간 밖","OK")))))</f>
        <v/>
      </c>
      <c r="O986" s="48">
        <f>IF(COUNTIFS($C:$C,$C986,$D:$D,$D986,$E:$E,"P0(전)",$M:$M,"&gt;0")&lt;&gt;1,"",SUMIFS($I:$I,$C:$C,$C986,$D:$D,$D986,$E:$E,"P0(전)"))</f>
        <v/>
      </c>
      <c r="P986" s="31">
        <f>IF(COUNTIFS($C:$C,$C986,$D:$D,$D986,$E:$E,"P0(전)",$M:$M,"&gt;0")&lt;&gt;1,"",SUMIFS($M:$M,$C:$C,$C986,$D:$D,$D986,$E:$E,"P0(전)"))</f>
        <v/>
      </c>
      <c r="Q986" s="48">
        <f>IF(COUNTIFS($C:$C,$C986,$D:$D,$D986,$E:$E,"P0(후)",$M:$M,"&gt;0")&lt;&gt;1,"",SUMIFS($I:$I,$C:$C,$C986,$D:$D,$D986,$E:$E,"P0(후)"))</f>
        <v/>
      </c>
      <c r="R986" s="31">
        <f>IF(COUNTIFS($C:$C,$C986,$D:$D,$D986,$E:$E,"P0(후)",$M:$M,"&gt;0")&lt;&gt;1,"",SUMIFS($M:$M,$C:$C,$C986,$D:$D,$D986,$E:$E,"P0(후)"))</f>
        <v/>
      </c>
      <c r="S986" s="31">
        <f>IF(N986&lt;&gt;"OK","",P986+(R986-P986)*(I986-O986)/(Q986-O986))</f>
        <v/>
      </c>
      <c r="T986" s="31">
        <f>IF(OR(N986&lt;&gt;"OK",NOT(ISNUMBER(M986))),"",M986-S986)</f>
        <v/>
      </c>
      <c r="U986" s="49">
        <f>IF(OR(NOT(ISNUMBER(T986)),IF(ISNUMBER(H986),H986,G986)=0),"",T986/IF(ISNUMBER(H986),H986,G986))</f>
        <v/>
      </c>
      <c r="V986" s="49">
        <f>IF(ISNUMBER(U986),ABS(U986),"")</f>
        <v/>
      </c>
      <c r="W986" s="49">
        <f>IF(OR($E985&lt;&gt;"측정",$C985&lt;&gt;$C986,$D985&lt;&gt;$D986,NOT(ISNUMBER(M986)),NOT(ISNUMBER(M985)),(IF(ISNUMBER(H986),H986,G986)-IF(ISNUMBER(H985),H985,G985))=0),"",(M986-M985)/(IF(ISNUMBER(H986),H986,G986)-IF(ISNUMBER(H985),H985,G985)))</f>
        <v/>
      </c>
      <c r="X986" s="31">
        <f>IF(NOT(AND(ISNUMBER(O986),ISNUMBER(Q986))),"",(Q986-O986)*1440)</f>
        <v/>
      </c>
      <c r="Y986" s="29" t="n"/>
      <c r="Z986" s="29" t="n"/>
      <c r="AA986" s="29" t="n"/>
      <c r="AB986" s="32" t="n"/>
      <c r="AC986" s="32" t="n"/>
    </row>
    <row r="987">
      <c r="A987" s="26" t="inlineStr">
        <is>
          <t>S19</t>
        </is>
      </c>
      <c r="B987" s="26" t="inlineStr">
        <is>
          <t>오호 신규점</t>
        </is>
      </c>
      <c r="C987" s="26" t="inlineStr">
        <is>
          <t>S19-H북</t>
        </is>
      </c>
      <c r="D987" s="47" t="n">
        <v>1</v>
      </c>
      <c r="E987" s="26" t="inlineStr">
        <is>
          <t>측정</t>
        </is>
      </c>
      <c r="F987" s="26" t="inlineStr">
        <is>
          <t>북</t>
        </is>
      </c>
      <c r="G987" s="31" t="n">
        <v>5</v>
      </c>
      <c r="H987" s="30" t="n"/>
      <c r="I987" s="43" t="n"/>
      <c r="J987" s="41" t="n"/>
      <c r="K987" s="41" t="n"/>
      <c r="L987" s="41" t="n"/>
      <c r="M987" s="31">
        <f>IF(COUNT(J987:L987)=0,"",MEDIAN(J987:L987))</f>
        <v/>
      </c>
      <c r="N987" s="26">
        <f>IF(COUNTIFS($C:$C,$C987,$D:$D,$D987,$E:$E,"P0(전)",$M:$M,"&gt;0")&lt;&gt;1,"P0(전) 유효 1개 아님",IF(COUNTIFS($C:$C,$C987,$D:$D,$D987,$E:$E,"P0(후)",$M:$M,"&gt;0")&lt;&gt;1,"P0(후) 유효 1개 아님",IF(NOT(AND(ISNUMBER(O987),ISNUMBER(Q987),ISNUMBER(I987))),"시각 결측",IF(Q987&lt;=O987,"P0 시각 역전",IF(OR(I987&lt;O987,I987&gt;Q987),"측정시각 구간 밖","OK")))))</f>
        <v/>
      </c>
      <c r="O987" s="48">
        <f>IF(COUNTIFS($C:$C,$C987,$D:$D,$D987,$E:$E,"P0(전)",$M:$M,"&gt;0")&lt;&gt;1,"",SUMIFS($I:$I,$C:$C,$C987,$D:$D,$D987,$E:$E,"P0(전)"))</f>
        <v/>
      </c>
      <c r="P987" s="31">
        <f>IF(COUNTIFS($C:$C,$C987,$D:$D,$D987,$E:$E,"P0(전)",$M:$M,"&gt;0")&lt;&gt;1,"",SUMIFS($M:$M,$C:$C,$C987,$D:$D,$D987,$E:$E,"P0(전)"))</f>
        <v/>
      </c>
      <c r="Q987" s="48">
        <f>IF(COUNTIFS($C:$C,$C987,$D:$D,$D987,$E:$E,"P0(후)",$M:$M,"&gt;0")&lt;&gt;1,"",SUMIFS($I:$I,$C:$C,$C987,$D:$D,$D987,$E:$E,"P0(후)"))</f>
        <v/>
      </c>
      <c r="R987" s="31">
        <f>IF(COUNTIFS($C:$C,$C987,$D:$D,$D987,$E:$E,"P0(후)",$M:$M,"&gt;0")&lt;&gt;1,"",SUMIFS($M:$M,$C:$C,$C987,$D:$D,$D987,$E:$E,"P0(후)"))</f>
        <v/>
      </c>
      <c r="S987" s="31">
        <f>IF(N987&lt;&gt;"OK","",P987+(R987-P987)*(I987-O987)/(Q987-O987))</f>
        <v/>
      </c>
      <c r="T987" s="31">
        <f>IF(OR(N987&lt;&gt;"OK",NOT(ISNUMBER(M987))),"",M987-S987)</f>
        <v/>
      </c>
      <c r="U987" s="49">
        <f>IF(OR(NOT(ISNUMBER(T987)),IF(ISNUMBER(H987),H987,G987)=0),"",T987/IF(ISNUMBER(H987),H987,G987))</f>
        <v/>
      </c>
      <c r="V987" s="49">
        <f>IF(ISNUMBER(U987),ABS(U987),"")</f>
        <v/>
      </c>
      <c r="W987" s="49">
        <f>IF(OR($E986&lt;&gt;"측정",$C986&lt;&gt;$C987,$D986&lt;&gt;$D987,NOT(ISNUMBER(M987)),NOT(ISNUMBER(M986)),(IF(ISNUMBER(H987),H987,G987)-IF(ISNUMBER(H986),H986,G986))=0),"",(M987-M986)/(IF(ISNUMBER(H987),H987,G987)-IF(ISNUMBER(H986),H986,G986)))</f>
        <v/>
      </c>
      <c r="X987" s="31">
        <f>IF(NOT(AND(ISNUMBER(O987),ISNUMBER(Q987))),"",(Q987-O987)*1440)</f>
        <v/>
      </c>
      <c r="Y987" s="29" t="n"/>
      <c r="Z987" s="29" t="n"/>
      <c r="AA987" s="29" t="n"/>
      <c r="AB987" s="32" t="n"/>
      <c r="AC987" s="32" t="n"/>
    </row>
    <row r="988">
      <c r="A988" s="26" t="inlineStr">
        <is>
          <t>S19</t>
        </is>
      </c>
      <c r="B988" s="26" t="inlineStr">
        <is>
          <t>오호 신규점</t>
        </is>
      </c>
      <c r="C988" s="26" t="inlineStr">
        <is>
          <t>S19-H북</t>
        </is>
      </c>
      <c r="D988" s="47" t="n">
        <v>1</v>
      </c>
      <c r="E988" s="26" t="inlineStr">
        <is>
          <t>측정</t>
        </is>
      </c>
      <c r="F988" s="26" t="inlineStr">
        <is>
          <t>북</t>
        </is>
      </c>
      <c r="G988" s="31" t="n">
        <v>6</v>
      </c>
      <c r="H988" s="30" t="n"/>
      <c r="I988" s="43" t="n"/>
      <c r="J988" s="41" t="n"/>
      <c r="K988" s="41" t="n"/>
      <c r="L988" s="41" t="n"/>
      <c r="M988" s="31">
        <f>IF(COUNT(J988:L988)=0,"",MEDIAN(J988:L988))</f>
        <v/>
      </c>
      <c r="N988" s="26">
        <f>IF(COUNTIFS($C:$C,$C988,$D:$D,$D988,$E:$E,"P0(전)",$M:$M,"&gt;0")&lt;&gt;1,"P0(전) 유효 1개 아님",IF(COUNTIFS($C:$C,$C988,$D:$D,$D988,$E:$E,"P0(후)",$M:$M,"&gt;0")&lt;&gt;1,"P0(후) 유효 1개 아님",IF(NOT(AND(ISNUMBER(O988),ISNUMBER(Q988),ISNUMBER(I988))),"시각 결측",IF(Q988&lt;=O988,"P0 시각 역전",IF(OR(I988&lt;O988,I988&gt;Q988),"측정시각 구간 밖","OK")))))</f>
        <v/>
      </c>
      <c r="O988" s="48">
        <f>IF(COUNTIFS($C:$C,$C988,$D:$D,$D988,$E:$E,"P0(전)",$M:$M,"&gt;0")&lt;&gt;1,"",SUMIFS($I:$I,$C:$C,$C988,$D:$D,$D988,$E:$E,"P0(전)"))</f>
        <v/>
      </c>
      <c r="P988" s="31">
        <f>IF(COUNTIFS($C:$C,$C988,$D:$D,$D988,$E:$E,"P0(전)",$M:$M,"&gt;0")&lt;&gt;1,"",SUMIFS($M:$M,$C:$C,$C988,$D:$D,$D988,$E:$E,"P0(전)"))</f>
        <v/>
      </c>
      <c r="Q988" s="48">
        <f>IF(COUNTIFS($C:$C,$C988,$D:$D,$D988,$E:$E,"P0(후)",$M:$M,"&gt;0")&lt;&gt;1,"",SUMIFS($I:$I,$C:$C,$C988,$D:$D,$D988,$E:$E,"P0(후)"))</f>
        <v/>
      </c>
      <c r="R988" s="31">
        <f>IF(COUNTIFS($C:$C,$C988,$D:$D,$D988,$E:$E,"P0(후)",$M:$M,"&gt;0")&lt;&gt;1,"",SUMIFS($M:$M,$C:$C,$C988,$D:$D,$D988,$E:$E,"P0(후)"))</f>
        <v/>
      </c>
      <c r="S988" s="31">
        <f>IF(N988&lt;&gt;"OK","",P988+(R988-P988)*(I988-O988)/(Q988-O988))</f>
        <v/>
      </c>
      <c r="T988" s="31">
        <f>IF(OR(N988&lt;&gt;"OK",NOT(ISNUMBER(M988))),"",M988-S988)</f>
        <v/>
      </c>
      <c r="U988" s="49">
        <f>IF(OR(NOT(ISNUMBER(T988)),IF(ISNUMBER(H988),H988,G988)=0),"",T988/IF(ISNUMBER(H988),H988,G988))</f>
        <v/>
      </c>
      <c r="V988" s="49">
        <f>IF(ISNUMBER(U988),ABS(U988),"")</f>
        <v/>
      </c>
      <c r="W988" s="49">
        <f>IF(OR($E987&lt;&gt;"측정",$C987&lt;&gt;$C988,$D987&lt;&gt;$D988,NOT(ISNUMBER(M988)),NOT(ISNUMBER(M987)),(IF(ISNUMBER(H988),H988,G988)-IF(ISNUMBER(H987),H987,G987))=0),"",(M988-M987)/(IF(ISNUMBER(H988),H988,G988)-IF(ISNUMBER(H987),H987,G987)))</f>
        <v/>
      </c>
      <c r="X988" s="31">
        <f>IF(NOT(AND(ISNUMBER(O988),ISNUMBER(Q988))),"",(Q988-O988)*1440)</f>
        <v/>
      </c>
      <c r="Y988" s="29" t="n"/>
      <c r="Z988" s="29" t="n"/>
      <c r="AA988" s="29" t="n"/>
      <c r="AB988" s="32" t="n"/>
      <c r="AC988" s="32" t="n"/>
    </row>
    <row r="989">
      <c r="A989" s="26" t="inlineStr">
        <is>
          <t>S19</t>
        </is>
      </c>
      <c r="B989" s="26" t="inlineStr">
        <is>
          <t>오호 신규점</t>
        </is>
      </c>
      <c r="C989" s="26" t="inlineStr">
        <is>
          <t>S19-H북</t>
        </is>
      </c>
      <c r="D989" s="47" t="n">
        <v>1</v>
      </c>
      <c r="E989" s="26" t="inlineStr">
        <is>
          <t>측정</t>
        </is>
      </c>
      <c r="F989" s="26" t="inlineStr">
        <is>
          <t>북</t>
        </is>
      </c>
      <c r="G989" s="31" t="n">
        <v>7</v>
      </c>
      <c r="H989" s="30" t="n"/>
      <c r="I989" s="43" t="n"/>
      <c r="J989" s="41" t="n"/>
      <c r="K989" s="41" t="n"/>
      <c r="L989" s="41" t="n"/>
      <c r="M989" s="31">
        <f>IF(COUNT(J989:L989)=0,"",MEDIAN(J989:L989))</f>
        <v/>
      </c>
      <c r="N989" s="26">
        <f>IF(COUNTIFS($C:$C,$C989,$D:$D,$D989,$E:$E,"P0(전)",$M:$M,"&gt;0")&lt;&gt;1,"P0(전) 유효 1개 아님",IF(COUNTIFS($C:$C,$C989,$D:$D,$D989,$E:$E,"P0(후)",$M:$M,"&gt;0")&lt;&gt;1,"P0(후) 유효 1개 아님",IF(NOT(AND(ISNUMBER(O989),ISNUMBER(Q989),ISNUMBER(I989))),"시각 결측",IF(Q989&lt;=O989,"P0 시각 역전",IF(OR(I989&lt;O989,I989&gt;Q989),"측정시각 구간 밖","OK")))))</f>
        <v/>
      </c>
      <c r="O989" s="48">
        <f>IF(COUNTIFS($C:$C,$C989,$D:$D,$D989,$E:$E,"P0(전)",$M:$M,"&gt;0")&lt;&gt;1,"",SUMIFS($I:$I,$C:$C,$C989,$D:$D,$D989,$E:$E,"P0(전)"))</f>
        <v/>
      </c>
      <c r="P989" s="31">
        <f>IF(COUNTIFS($C:$C,$C989,$D:$D,$D989,$E:$E,"P0(전)",$M:$M,"&gt;0")&lt;&gt;1,"",SUMIFS($M:$M,$C:$C,$C989,$D:$D,$D989,$E:$E,"P0(전)"))</f>
        <v/>
      </c>
      <c r="Q989" s="48">
        <f>IF(COUNTIFS($C:$C,$C989,$D:$D,$D989,$E:$E,"P0(후)",$M:$M,"&gt;0")&lt;&gt;1,"",SUMIFS($I:$I,$C:$C,$C989,$D:$D,$D989,$E:$E,"P0(후)"))</f>
        <v/>
      </c>
      <c r="R989" s="31">
        <f>IF(COUNTIFS($C:$C,$C989,$D:$D,$D989,$E:$E,"P0(후)",$M:$M,"&gt;0")&lt;&gt;1,"",SUMIFS($M:$M,$C:$C,$C989,$D:$D,$D989,$E:$E,"P0(후)"))</f>
        <v/>
      </c>
      <c r="S989" s="31">
        <f>IF(N989&lt;&gt;"OK","",P989+(R989-P989)*(I989-O989)/(Q989-O989))</f>
        <v/>
      </c>
      <c r="T989" s="31">
        <f>IF(OR(N989&lt;&gt;"OK",NOT(ISNUMBER(M989))),"",M989-S989)</f>
        <v/>
      </c>
      <c r="U989" s="49">
        <f>IF(OR(NOT(ISNUMBER(T989)),IF(ISNUMBER(H989),H989,G989)=0),"",T989/IF(ISNUMBER(H989),H989,G989))</f>
        <v/>
      </c>
      <c r="V989" s="49">
        <f>IF(ISNUMBER(U989),ABS(U989),"")</f>
        <v/>
      </c>
      <c r="W989" s="49">
        <f>IF(OR($E988&lt;&gt;"측정",$C988&lt;&gt;$C989,$D988&lt;&gt;$D989,NOT(ISNUMBER(M989)),NOT(ISNUMBER(M988)),(IF(ISNUMBER(H989),H989,G989)-IF(ISNUMBER(H988),H988,G988))=0),"",(M989-M988)/(IF(ISNUMBER(H989),H989,G989)-IF(ISNUMBER(H988),H988,G988)))</f>
        <v/>
      </c>
      <c r="X989" s="31">
        <f>IF(NOT(AND(ISNUMBER(O989),ISNUMBER(Q989))),"",(Q989-O989)*1440)</f>
        <v/>
      </c>
      <c r="Y989" s="29" t="n"/>
      <c r="Z989" s="29" t="n"/>
      <c r="AA989" s="29" t="n"/>
      <c r="AB989" s="32" t="n"/>
      <c r="AC989" s="32" t="n"/>
    </row>
    <row r="990">
      <c r="A990" s="26" t="inlineStr">
        <is>
          <t>S19</t>
        </is>
      </c>
      <c r="B990" s="26" t="inlineStr">
        <is>
          <t>오호 신규점</t>
        </is>
      </c>
      <c r="C990" s="26" t="inlineStr">
        <is>
          <t>S19-H북</t>
        </is>
      </c>
      <c r="D990" s="47" t="n">
        <v>1</v>
      </c>
      <c r="E990" s="26" t="inlineStr">
        <is>
          <t>측정</t>
        </is>
      </c>
      <c r="F990" s="26" t="inlineStr">
        <is>
          <t>북</t>
        </is>
      </c>
      <c r="G990" s="31" t="n">
        <v>8</v>
      </c>
      <c r="H990" s="30" t="n"/>
      <c r="I990" s="43" t="n"/>
      <c r="J990" s="41" t="n"/>
      <c r="K990" s="41" t="n"/>
      <c r="L990" s="41" t="n"/>
      <c r="M990" s="31">
        <f>IF(COUNT(J990:L990)=0,"",MEDIAN(J990:L990))</f>
        <v/>
      </c>
      <c r="N990" s="26">
        <f>IF(COUNTIFS($C:$C,$C990,$D:$D,$D990,$E:$E,"P0(전)",$M:$M,"&gt;0")&lt;&gt;1,"P0(전) 유효 1개 아님",IF(COUNTIFS($C:$C,$C990,$D:$D,$D990,$E:$E,"P0(후)",$M:$M,"&gt;0")&lt;&gt;1,"P0(후) 유효 1개 아님",IF(NOT(AND(ISNUMBER(O990),ISNUMBER(Q990),ISNUMBER(I990))),"시각 결측",IF(Q990&lt;=O990,"P0 시각 역전",IF(OR(I990&lt;O990,I990&gt;Q990),"측정시각 구간 밖","OK")))))</f>
        <v/>
      </c>
      <c r="O990" s="48">
        <f>IF(COUNTIFS($C:$C,$C990,$D:$D,$D990,$E:$E,"P0(전)",$M:$M,"&gt;0")&lt;&gt;1,"",SUMIFS($I:$I,$C:$C,$C990,$D:$D,$D990,$E:$E,"P0(전)"))</f>
        <v/>
      </c>
      <c r="P990" s="31">
        <f>IF(COUNTIFS($C:$C,$C990,$D:$D,$D990,$E:$E,"P0(전)",$M:$M,"&gt;0")&lt;&gt;1,"",SUMIFS($M:$M,$C:$C,$C990,$D:$D,$D990,$E:$E,"P0(전)"))</f>
        <v/>
      </c>
      <c r="Q990" s="48">
        <f>IF(COUNTIFS($C:$C,$C990,$D:$D,$D990,$E:$E,"P0(후)",$M:$M,"&gt;0")&lt;&gt;1,"",SUMIFS($I:$I,$C:$C,$C990,$D:$D,$D990,$E:$E,"P0(후)"))</f>
        <v/>
      </c>
      <c r="R990" s="31">
        <f>IF(COUNTIFS($C:$C,$C990,$D:$D,$D990,$E:$E,"P0(후)",$M:$M,"&gt;0")&lt;&gt;1,"",SUMIFS($M:$M,$C:$C,$C990,$D:$D,$D990,$E:$E,"P0(후)"))</f>
        <v/>
      </c>
      <c r="S990" s="31">
        <f>IF(N990&lt;&gt;"OK","",P990+(R990-P990)*(I990-O990)/(Q990-O990))</f>
        <v/>
      </c>
      <c r="T990" s="31">
        <f>IF(OR(N990&lt;&gt;"OK",NOT(ISNUMBER(M990))),"",M990-S990)</f>
        <v/>
      </c>
      <c r="U990" s="49">
        <f>IF(OR(NOT(ISNUMBER(T990)),IF(ISNUMBER(H990),H990,G990)=0),"",T990/IF(ISNUMBER(H990),H990,G990))</f>
        <v/>
      </c>
      <c r="V990" s="49">
        <f>IF(ISNUMBER(U990),ABS(U990),"")</f>
        <v/>
      </c>
      <c r="W990" s="49">
        <f>IF(OR($E989&lt;&gt;"측정",$C989&lt;&gt;$C990,$D989&lt;&gt;$D990,NOT(ISNUMBER(M990)),NOT(ISNUMBER(M989)),(IF(ISNUMBER(H990),H990,G990)-IF(ISNUMBER(H989),H989,G989))=0),"",(M990-M989)/(IF(ISNUMBER(H990),H990,G990)-IF(ISNUMBER(H989),H989,G989)))</f>
        <v/>
      </c>
      <c r="X990" s="31">
        <f>IF(NOT(AND(ISNUMBER(O990),ISNUMBER(Q990))),"",(Q990-O990)*1440)</f>
        <v/>
      </c>
      <c r="Y990" s="29" t="n"/>
      <c r="Z990" s="29" t="n"/>
      <c r="AA990" s="29" t="n"/>
      <c r="AB990" s="32" t="n"/>
      <c r="AC990" s="32" t="n"/>
    </row>
    <row r="991">
      <c r="A991" s="26" t="inlineStr">
        <is>
          <t>S19</t>
        </is>
      </c>
      <c r="B991" s="26" t="inlineStr">
        <is>
          <t>오호 신규점</t>
        </is>
      </c>
      <c r="C991" s="26" t="inlineStr">
        <is>
          <t>S19-H북</t>
        </is>
      </c>
      <c r="D991" s="47" t="n">
        <v>1</v>
      </c>
      <c r="E991" s="26" t="inlineStr">
        <is>
          <t>측정</t>
        </is>
      </c>
      <c r="F991" s="26" t="inlineStr">
        <is>
          <t>북</t>
        </is>
      </c>
      <c r="G991" s="31" t="n">
        <v>9</v>
      </c>
      <c r="H991" s="30" t="n"/>
      <c r="I991" s="43" t="n"/>
      <c r="J991" s="41" t="n"/>
      <c r="K991" s="41" t="n"/>
      <c r="L991" s="41" t="n"/>
      <c r="M991" s="31">
        <f>IF(COUNT(J991:L991)=0,"",MEDIAN(J991:L991))</f>
        <v/>
      </c>
      <c r="N991" s="26">
        <f>IF(COUNTIFS($C:$C,$C991,$D:$D,$D991,$E:$E,"P0(전)",$M:$M,"&gt;0")&lt;&gt;1,"P0(전) 유효 1개 아님",IF(COUNTIFS($C:$C,$C991,$D:$D,$D991,$E:$E,"P0(후)",$M:$M,"&gt;0")&lt;&gt;1,"P0(후) 유효 1개 아님",IF(NOT(AND(ISNUMBER(O991),ISNUMBER(Q991),ISNUMBER(I991))),"시각 결측",IF(Q991&lt;=O991,"P0 시각 역전",IF(OR(I991&lt;O991,I991&gt;Q991),"측정시각 구간 밖","OK")))))</f>
        <v/>
      </c>
      <c r="O991" s="48">
        <f>IF(COUNTIFS($C:$C,$C991,$D:$D,$D991,$E:$E,"P0(전)",$M:$M,"&gt;0")&lt;&gt;1,"",SUMIFS($I:$I,$C:$C,$C991,$D:$D,$D991,$E:$E,"P0(전)"))</f>
        <v/>
      </c>
      <c r="P991" s="31">
        <f>IF(COUNTIFS($C:$C,$C991,$D:$D,$D991,$E:$E,"P0(전)",$M:$M,"&gt;0")&lt;&gt;1,"",SUMIFS($M:$M,$C:$C,$C991,$D:$D,$D991,$E:$E,"P0(전)"))</f>
        <v/>
      </c>
      <c r="Q991" s="48">
        <f>IF(COUNTIFS($C:$C,$C991,$D:$D,$D991,$E:$E,"P0(후)",$M:$M,"&gt;0")&lt;&gt;1,"",SUMIFS($I:$I,$C:$C,$C991,$D:$D,$D991,$E:$E,"P0(후)"))</f>
        <v/>
      </c>
      <c r="R991" s="31">
        <f>IF(COUNTIFS($C:$C,$C991,$D:$D,$D991,$E:$E,"P0(후)",$M:$M,"&gt;0")&lt;&gt;1,"",SUMIFS($M:$M,$C:$C,$C991,$D:$D,$D991,$E:$E,"P0(후)"))</f>
        <v/>
      </c>
      <c r="S991" s="31">
        <f>IF(N991&lt;&gt;"OK","",P991+(R991-P991)*(I991-O991)/(Q991-O991))</f>
        <v/>
      </c>
      <c r="T991" s="31">
        <f>IF(OR(N991&lt;&gt;"OK",NOT(ISNUMBER(M991))),"",M991-S991)</f>
        <v/>
      </c>
      <c r="U991" s="49">
        <f>IF(OR(NOT(ISNUMBER(T991)),IF(ISNUMBER(H991),H991,G991)=0),"",T991/IF(ISNUMBER(H991),H991,G991))</f>
        <v/>
      </c>
      <c r="V991" s="49">
        <f>IF(ISNUMBER(U991),ABS(U991),"")</f>
        <v/>
      </c>
      <c r="W991" s="49">
        <f>IF(OR($E990&lt;&gt;"측정",$C990&lt;&gt;$C991,$D990&lt;&gt;$D991,NOT(ISNUMBER(M991)),NOT(ISNUMBER(M990)),(IF(ISNUMBER(H991),H991,G991)-IF(ISNUMBER(H990),H990,G990))=0),"",(M991-M990)/(IF(ISNUMBER(H991),H991,G991)-IF(ISNUMBER(H990),H990,G990)))</f>
        <v/>
      </c>
      <c r="X991" s="31">
        <f>IF(NOT(AND(ISNUMBER(O991),ISNUMBER(Q991))),"",(Q991-O991)*1440)</f>
        <v/>
      </c>
      <c r="Y991" s="29" t="n"/>
      <c r="Z991" s="29" t="n"/>
      <c r="AA991" s="29" t="n"/>
      <c r="AB991" s="32" t="n"/>
      <c r="AC991" s="32" t="n"/>
    </row>
    <row r="992">
      <c r="A992" s="26" t="inlineStr">
        <is>
          <t>S19</t>
        </is>
      </c>
      <c r="B992" s="26" t="inlineStr">
        <is>
          <t>오호 신규점</t>
        </is>
      </c>
      <c r="C992" s="26" t="inlineStr">
        <is>
          <t>S19-H북</t>
        </is>
      </c>
      <c r="D992" s="47" t="n">
        <v>1</v>
      </c>
      <c r="E992" s="26" t="inlineStr">
        <is>
          <t>측정</t>
        </is>
      </c>
      <c r="F992" s="26" t="inlineStr">
        <is>
          <t>북</t>
        </is>
      </c>
      <c r="G992" s="31" t="n">
        <v>10</v>
      </c>
      <c r="H992" s="30" t="n"/>
      <c r="I992" s="43" t="n"/>
      <c r="J992" s="41" t="n"/>
      <c r="K992" s="41" t="n"/>
      <c r="L992" s="41" t="n"/>
      <c r="M992" s="31">
        <f>IF(COUNT(J992:L992)=0,"",MEDIAN(J992:L992))</f>
        <v/>
      </c>
      <c r="N992" s="26">
        <f>IF(COUNTIFS($C:$C,$C992,$D:$D,$D992,$E:$E,"P0(전)",$M:$M,"&gt;0")&lt;&gt;1,"P0(전) 유효 1개 아님",IF(COUNTIFS($C:$C,$C992,$D:$D,$D992,$E:$E,"P0(후)",$M:$M,"&gt;0")&lt;&gt;1,"P0(후) 유효 1개 아님",IF(NOT(AND(ISNUMBER(O992),ISNUMBER(Q992),ISNUMBER(I992))),"시각 결측",IF(Q992&lt;=O992,"P0 시각 역전",IF(OR(I992&lt;O992,I992&gt;Q992),"측정시각 구간 밖","OK")))))</f>
        <v/>
      </c>
      <c r="O992" s="48">
        <f>IF(COUNTIFS($C:$C,$C992,$D:$D,$D992,$E:$E,"P0(전)",$M:$M,"&gt;0")&lt;&gt;1,"",SUMIFS($I:$I,$C:$C,$C992,$D:$D,$D992,$E:$E,"P0(전)"))</f>
        <v/>
      </c>
      <c r="P992" s="31">
        <f>IF(COUNTIFS($C:$C,$C992,$D:$D,$D992,$E:$E,"P0(전)",$M:$M,"&gt;0")&lt;&gt;1,"",SUMIFS($M:$M,$C:$C,$C992,$D:$D,$D992,$E:$E,"P0(전)"))</f>
        <v/>
      </c>
      <c r="Q992" s="48">
        <f>IF(COUNTIFS($C:$C,$C992,$D:$D,$D992,$E:$E,"P0(후)",$M:$M,"&gt;0")&lt;&gt;1,"",SUMIFS($I:$I,$C:$C,$C992,$D:$D,$D992,$E:$E,"P0(후)"))</f>
        <v/>
      </c>
      <c r="R992" s="31">
        <f>IF(COUNTIFS($C:$C,$C992,$D:$D,$D992,$E:$E,"P0(후)",$M:$M,"&gt;0")&lt;&gt;1,"",SUMIFS($M:$M,$C:$C,$C992,$D:$D,$D992,$E:$E,"P0(후)"))</f>
        <v/>
      </c>
      <c r="S992" s="31">
        <f>IF(N992&lt;&gt;"OK","",P992+(R992-P992)*(I992-O992)/(Q992-O992))</f>
        <v/>
      </c>
      <c r="T992" s="31">
        <f>IF(OR(N992&lt;&gt;"OK",NOT(ISNUMBER(M992))),"",M992-S992)</f>
        <v/>
      </c>
      <c r="U992" s="49">
        <f>IF(OR(NOT(ISNUMBER(T992)),IF(ISNUMBER(H992),H992,G992)=0),"",T992/IF(ISNUMBER(H992),H992,G992))</f>
        <v/>
      </c>
      <c r="V992" s="49">
        <f>IF(ISNUMBER(U992),ABS(U992),"")</f>
        <v/>
      </c>
      <c r="W992" s="49">
        <f>IF(OR($E991&lt;&gt;"측정",$C991&lt;&gt;$C992,$D991&lt;&gt;$D992,NOT(ISNUMBER(M992)),NOT(ISNUMBER(M991)),(IF(ISNUMBER(H992),H992,G992)-IF(ISNUMBER(H991),H991,G991))=0),"",(M992-M991)/(IF(ISNUMBER(H992),H992,G992)-IF(ISNUMBER(H991),H991,G991)))</f>
        <v/>
      </c>
      <c r="X992" s="31">
        <f>IF(NOT(AND(ISNUMBER(O992),ISNUMBER(Q992))),"",(Q992-O992)*1440)</f>
        <v/>
      </c>
      <c r="Y992" s="29" t="n"/>
      <c r="Z992" s="29" t="n"/>
      <c r="AA992" s="29" t="n"/>
      <c r="AB992" s="32" t="n"/>
      <c r="AC992" s="32" t="n"/>
    </row>
    <row r="993">
      <c r="A993" s="44" t="inlineStr">
        <is>
          <t>S19</t>
        </is>
      </c>
      <c r="B993" s="44" t="inlineStr">
        <is>
          <t>오호 신규점</t>
        </is>
      </c>
      <c r="C993" s="44" t="inlineStr">
        <is>
          <t>S19-H북</t>
        </is>
      </c>
      <c r="D993" s="45" t="n">
        <v>1</v>
      </c>
      <c r="E993" s="44" t="inlineStr">
        <is>
          <t>P0(후)</t>
        </is>
      </c>
      <c r="F993" s="44" t="inlineStr">
        <is>
          <t>북</t>
        </is>
      </c>
      <c r="G993" s="46" t="n"/>
      <c r="H993" s="30" t="n"/>
      <c r="I993" s="43" t="n"/>
      <c r="J993" s="41" t="n"/>
      <c r="K993" s="41" t="n"/>
      <c r="L993" s="41" t="n"/>
      <c r="M993" s="31">
        <f>IF(COUNT(J993:L993)=0,"",MEDIAN(J993:L993))</f>
        <v/>
      </c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38" t="n"/>
      <c r="Y993" s="29" t="n"/>
      <c r="Z993" s="29" t="n"/>
      <c r="AA993" s="29" t="n"/>
      <c r="AB993" s="32" t="n"/>
      <c r="AC993" s="32" t="n"/>
    </row>
    <row r="994">
      <c r="A994" s="44" t="inlineStr">
        <is>
          <t>S20</t>
        </is>
      </c>
      <c r="B994" s="44" t="inlineStr">
        <is>
          <t>보령 신규점2</t>
        </is>
      </c>
      <c r="C994" s="44" t="inlineStr">
        <is>
          <t>S20-H동</t>
        </is>
      </c>
      <c r="D994" s="45" t="n">
        <v>1</v>
      </c>
      <c r="E994" s="44" t="inlineStr">
        <is>
          <t>P0(전)</t>
        </is>
      </c>
      <c r="F994" s="44" t="inlineStr">
        <is>
          <t>동</t>
        </is>
      </c>
      <c r="G994" s="46" t="n"/>
      <c r="H994" s="30" t="n"/>
      <c r="I994" s="43" t="n"/>
      <c r="J994" s="41" t="n"/>
      <c r="K994" s="41" t="n"/>
      <c r="L994" s="41" t="n"/>
      <c r="M994" s="31">
        <f>IF(COUNT(J994:L994)=0,"",MEDIAN(J994:L994))</f>
        <v/>
      </c>
      <c r="N994" s="38" t="n"/>
      <c r="O994" s="38" t="n"/>
      <c r="P994" s="38" t="n"/>
      <c r="Q994" s="38" t="n"/>
      <c r="R994" s="38" t="n"/>
      <c r="S994" s="38" t="n"/>
      <c r="T994" s="38" t="n"/>
      <c r="U994" s="38" t="n"/>
      <c r="V994" s="38" t="n"/>
      <c r="W994" s="38" t="n"/>
      <c r="X994" s="38" t="n"/>
      <c r="Y994" s="29" t="n"/>
      <c r="Z994" s="29" t="n"/>
      <c r="AA994" s="29" t="n"/>
      <c r="AB994" s="32" t="n"/>
      <c r="AC994" s="32" t="n"/>
    </row>
    <row r="995">
      <c r="A995" s="26" t="inlineStr">
        <is>
          <t>S20</t>
        </is>
      </c>
      <c r="B995" s="26" t="inlineStr">
        <is>
          <t>보령 신규점2</t>
        </is>
      </c>
      <c r="C995" s="26" t="inlineStr">
        <is>
          <t>S20-H동</t>
        </is>
      </c>
      <c r="D995" s="47" t="n">
        <v>1</v>
      </c>
      <c r="E995" s="26" t="inlineStr">
        <is>
          <t>측정</t>
        </is>
      </c>
      <c r="F995" s="26" t="inlineStr">
        <is>
          <t>동</t>
        </is>
      </c>
      <c r="G995" s="31" t="n">
        <v>0.5</v>
      </c>
      <c r="H995" s="30" t="n"/>
      <c r="I995" s="43" t="n"/>
      <c r="J995" s="41" t="n"/>
      <c r="K995" s="41" t="n"/>
      <c r="L995" s="41" t="n"/>
      <c r="M995" s="31">
        <f>IF(COUNT(J995:L995)=0,"",MEDIAN(J995:L995))</f>
        <v/>
      </c>
      <c r="N995" s="26">
        <f>IF(COUNTIFS($C:$C,$C995,$D:$D,$D995,$E:$E,"P0(전)",$M:$M,"&gt;0")&lt;&gt;1,"P0(전) 유효 1개 아님",IF(COUNTIFS($C:$C,$C995,$D:$D,$D995,$E:$E,"P0(후)",$M:$M,"&gt;0")&lt;&gt;1,"P0(후) 유효 1개 아님",IF(NOT(AND(ISNUMBER(O995),ISNUMBER(Q995),ISNUMBER(I995))),"시각 결측",IF(Q995&lt;=O995,"P0 시각 역전",IF(OR(I995&lt;O995,I995&gt;Q995),"측정시각 구간 밖","OK")))))</f>
        <v/>
      </c>
      <c r="O995" s="48">
        <f>IF(COUNTIFS($C:$C,$C995,$D:$D,$D995,$E:$E,"P0(전)",$M:$M,"&gt;0")&lt;&gt;1,"",SUMIFS($I:$I,$C:$C,$C995,$D:$D,$D995,$E:$E,"P0(전)"))</f>
        <v/>
      </c>
      <c r="P995" s="31">
        <f>IF(COUNTIFS($C:$C,$C995,$D:$D,$D995,$E:$E,"P0(전)",$M:$M,"&gt;0")&lt;&gt;1,"",SUMIFS($M:$M,$C:$C,$C995,$D:$D,$D995,$E:$E,"P0(전)"))</f>
        <v/>
      </c>
      <c r="Q995" s="48">
        <f>IF(COUNTIFS($C:$C,$C995,$D:$D,$D995,$E:$E,"P0(후)",$M:$M,"&gt;0")&lt;&gt;1,"",SUMIFS($I:$I,$C:$C,$C995,$D:$D,$D995,$E:$E,"P0(후)"))</f>
        <v/>
      </c>
      <c r="R995" s="31">
        <f>IF(COUNTIFS($C:$C,$C995,$D:$D,$D995,$E:$E,"P0(후)",$M:$M,"&gt;0")&lt;&gt;1,"",SUMIFS($M:$M,$C:$C,$C995,$D:$D,$D995,$E:$E,"P0(후)"))</f>
        <v/>
      </c>
      <c r="S995" s="31">
        <f>IF(N995&lt;&gt;"OK","",P995+(R995-P995)*(I995-O995)/(Q995-O995))</f>
        <v/>
      </c>
      <c r="T995" s="31">
        <f>IF(OR(N995&lt;&gt;"OK",NOT(ISNUMBER(M995))),"",M995-S995)</f>
        <v/>
      </c>
      <c r="U995" s="49">
        <f>IF(OR(NOT(ISNUMBER(T995)),IF(ISNUMBER(H995),H995,G995)=0),"",T995/IF(ISNUMBER(H995),H995,G995))</f>
        <v/>
      </c>
      <c r="V995" s="49">
        <f>IF(ISNUMBER(U995),ABS(U995),"")</f>
        <v/>
      </c>
      <c r="W995" s="49">
        <f>IF(OR($E994&lt;&gt;"측정",$C994&lt;&gt;$C995,$D994&lt;&gt;$D995,NOT(ISNUMBER(M995)),NOT(ISNUMBER(M994)),(IF(ISNUMBER(H995),H995,G995)-IF(ISNUMBER(H994),H994,G994))=0),"",(M995-M994)/(IF(ISNUMBER(H995),H995,G995)-IF(ISNUMBER(H994),H994,G994)))</f>
        <v/>
      </c>
      <c r="X995" s="31">
        <f>IF(NOT(AND(ISNUMBER(O995),ISNUMBER(Q995))),"",(Q995-O995)*1440)</f>
        <v/>
      </c>
      <c r="Y995" s="29" t="n"/>
      <c r="Z995" s="29" t="n"/>
      <c r="AA995" s="29" t="n"/>
      <c r="AB995" s="32" t="n"/>
      <c r="AC995" s="32" t="n"/>
    </row>
    <row r="996">
      <c r="A996" s="26" t="inlineStr">
        <is>
          <t>S20</t>
        </is>
      </c>
      <c r="B996" s="26" t="inlineStr">
        <is>
          <t>보령 신규점2</t>
        </is>
      </c>
      <c r="C996" s="26" t="inlineStr">
        <is>
          <t>S20-H동</t>
        </is>
      </c>
      <c r="D996" s="47" t="n">
        <v>1</v>
      </c>
      <c r="E996" s="26" t="inlineStr">
        <is>
          <t>측정</t>
        </is>
      </c>
      <c r="F996" s="26" t="inlineStr">
        <is>
          <t>동</t>
        </is>
      </c>
      <c r="G996" s="31" t="n">
        <v>1</v>
      </c>
      <c r="H996" s="30" t="n"/>
      <c r="I996" s="43" t="n"/>
      <c r="J996" s="41" t="n"/>
      <c r="K996" s="41" t="n"/>
      <c r="L996" s="41" t="n"/>
      <c r="M996" s="31">
        <f>IF(COUNT(J996:L996)=0,"",MEDIAN(J996:L996))</f>
        <v/>
      </c>
      <c r="N996" s="26">
        <f>IF(COUNTIFS($C:$C,$C996,$D:$D,$D996,$E:$E,"P0(전)",$M:$M,"&gt;0")&lt;&gt;1,"P0(전) 유효 1개 아님",IF(COUNTIFS($C:$C,$C996,$D:$D,$D996,$E:$E,"P0(후)",$M:$M,"&gt;0")&lt;&gt;1,"P0(후) 유효 1개 아님",IF(NOT(AND(ISNUMBER(O996),ISNUMBER(Q996),ISNUMBER(I996))),"시각 결측",IF(Q996&lt;=O996,"P0 시각 역전",IF(OR(I996&lt;O996,I996&gt;Q996),"측정시각 구간 밖","OK")))))</f>
        <v/>
      </c>
      <c r="O996" s="48">
        <f>IF(COUNTIFS($C:$C,$C996,$D:$D,$D996,$E:$E,"P0(전)",$M:$M,"&gt;0")&lt;&gt;1,"",SUMIFS($I:$I,$C:$C,$C996,$D:$D,$D996,$E:$E,"P0(전)"))</f>
        <v/>
      </c>
      <c r="P996" s="31">
        <f>IF(COUNTIFS($C:$C,$C996,$D:$D,$D996,$E:$E,"P0(전)",$M:$M,"&gt;0")&lt;&gt;1,"",SUMIFS($M:$M,$C:$C,$C996,$D:$D,$D996,$E:$E,"P0(전)"))</f>
        <v/>
      </c>
      <c r="Q996" s="48">
        <f>IF(COUNTIFS($C:$C,$C996,$D:$D,$D996,$E:$E,"P0(후)",$M:$M,"&gt;0")&lt;&gt;1,"",SUMIFS($I:$I,$C:$C,$C996,$D:$D,$D996,$E:$E,"P0(후)"))</f>
        <v/>
      </c>
      <c r="R996" s="31">
        <f>IF(COUNTIFS($C:$C,$C996,$D:$D,$D996,$E:$E,"P0(후)",$M:$M,"&gt;0")&lt;&gt;1,"",SUMIFS($M:$M,$C:$C,$C996,$D:$D,$D996,$E:$E,"P0(후)"))</f>
        <v/>
      </c>
      <c r="S996" s="31">
        <f>IF(N996&lt;&gt;"OK","",P996+(R996-P996)*(I996-O996)/(Q996-O996))</f>
        <v/>
      </c>
      <c r="T996" s="31">
        <f>IF(OR(N996&lt;&gt;"OK",NOT(ISNUMBER(M996))),"",M996-S996)</f>
        <v/>
      </c>
      <c r="U996" s="49">
        <f>IF(OR(NOT(ISNUMBER(T996)),IF(ISNUMBER(H996),H996,G996)=0),"",T996/IF(ISNUMBER(H996),H996,G996))</f>
        <v/>
      </c>
      <c r="V996" s="49">
        <f>IF(ISNUMBER(U996),ABS(U996),"")</f>
        <v/>
      </c>
      <c r="W996" s="49">
        <f>IF(OR($E995&lt;&gt;"측정",$C995&lt;&gt;$C996,$D995&lt;&gt;$D996,NOT(ISNUMBER(M996)),NOT(ISNUMBER(M995)),(IF(ISNUMBER(H996),H996,G996)-IF(ISNUMBER(H995),H995,G995))=0),"",(M996-M995)/(IF(ISNUMBER(H996),H996,G996)-IF(ISNUMBER(H995),H995,G995)))</f>
        <v/>
      </c>
      <c r="X996" s="31">
        <f>IF(NOT(AND(ISNUMBER(O996),ISNUMBER(Q996))),"",(Q996-O996)*1440)</f>
        <v/>
      </c>
      <c r="Y996" s="29" t="n"/>
      <c r="Z996" s="29" t="n"/>
      <c r="AA996" s="29" t="n"/>
      <c r="AB996" s="32" t="n"/>
      <c r="AC996" s="32" t="n"/>
    </row>
    <row r="997">
      <c r="A997" s="26" t="inlineStr">
        <is>
          <t>S20</t>
        </is>
      </c>
      <c r="B997" s="26" t="inlineStr">
        <is>
          <t>보령 신규점2</t>
        </is>
      </c>
      <c r="C997" s="26" t="inlineStr">
        <is>
          <t>S20-H동</t>
        </is>
      </c>
      <c r="D997" s="47" t="n">
        <v>1</v>
      </c>
      <c r="E997" s="26" t="inlineStr">
        <is>
          <t>측정</t>
        </is>
      </c>
      <c r="F997" s="26" t="inlineStr">
        <is>
          <t>동</t>
        </is>
      </c>
      <c r="G997" s="31" t="n">
        <v>2</v>
      </c>
      <c r="H997" s="30" t="n"/>
      <c r="I997" s="43" t="n"/>
      <c r="J997" s="41" t="n"/>
      <c r="K997" s="41" t="n"/>
      <c r="L997" s="41" t="n"/>
      <c r="M997" s="31">
        <f>IF(COUNT(J997:L997)=0,"",MEDIAN(J997:L997))</f>
        <v/>
      </c>
      <c r="N997" s="26">
        <f>IF(COUNTIFS($C:$C,$C997,$D:$D,$D997,$E:$E,"P0(전)",$M:$M,"&gt;0")&lt;&gt;1,"P0(전) 유효 1개 아님",IF(COUNTIFS($C:$C,$C997,$D:$D,$D997,$E:$E,"P0(후)",$M:$M,"&gt;0")&lt;&gt;1,"P0(후) 유효 1개 아님",IF(NOT(AND(ISNUMBER(O997),ISNUMBER(Q997),ISNUMBER(I997))),"시각 결측",IF(Q997&lt;=O997,"P0 시각 역전",IF(OR(I997&lt;O997,I997&gt;Q997),"측정시각 구간 밖","OK")))))</f>
        <v/>
      </c>
      <c r="O997" s="48">
        <f>IF(COUNTIFS($C:$C,$C997,$D:$D,$D997,$E:$E,"P0(전)",$M:$M,"&gt;0")&lt;&gt;1,"",SUMIFS($I:$I,$C:$C,$C997,$D:$D,$D997,$E:$E,"P0(전)"))</f>
        <v/>
      </c>
      <c r="P997" s="31">
        <f>IF(COUNTIFS($C:$C,$C997,$D:$D,$D997,$E:$E,"P0(전)",$M:$M,"&gt;0")&lt;&gt;1,"",SUMIFS($M:$M,$C:$C,$C997,$D:$D,$D997,$E:$E,"P0(전)"))</f>
        <v/>
      </c>
      <c r="Q997" s="48">
        <f>IF(COUNTIFS($C:$C,$C997,$D:$D,$D997,$E:$E,"P0(후)",$M:$M,"&gt;0")&lt;&gt;1,"",SUMIFS($I:$I,$C:$C,$C997,$D:$D,$D997,$E:$E,"P0(후)"))</f>
        <v/>
      </c>
      <c r="R997" s="31">
        <f>IF(COUNTIFS($C:$C,$C997,$D:$D,$D997,$E:$E,"P0(후)",$M:$M,"&gt;0")&lt;&gt;1,"",SUMIFS($M:$M,$C:$C,$C997,$D:$D,$D997,$E:$E,"P0(후)"))</f>
        <v/>
      </c>
      <c r="S997" s="31">
        <f>IF(N997&lt;&gt;"OK","",P997+(R997-P997)*(I997-O997)/(Q997-O997))</f>
        <v/>
      </c>
      <c r="T997" s="31">
        <f>IF(OR(N997&lt;&gt;"OK",NOT(ISNUMBER(M997))),"",M997-S997)</f>
        <v/>
      </c>
      <c r="U997" s="49">
        <f>IF(OR(NOT(ISNUMBER(T997)),IF(ISNUMBER(H997),H997,G997)=0),"",T997/IF(ISNUMBER(H997),H997,G997))</f>
        <v/>
      </c>
      <c r="V997" s="49">
        <f>IF(ISNUMBER(U997),ABS(U997),"")</f>
        <v/>
      </c>
      <c r="W997" s="49">
        <f>IF(OR($E996&lt;&gt;"측정",$C996&lt;&gt;$C997,$D996&lt;&gt;$D997,NOT(ISNUMBER(M997)),NOT(ISNUMBER(M996)),(IF(ISNUMBER(H997),H997,G997)-IF(ISNUMBER(H996),H996,G996))=0),"",(M997-M996)/(IF(ISNUMBER(H997),H997,G997)-IF(ISNUMBER(H996),H996,G996)))</f>
        <v/>
      </c>
      <c r="X997" s="31">
        <f>IF(NOT(AND(ISNUMBER(O997),ISNUMBER(Q997))),"",(Q997-O997)*1440)</f>
        <v/>
      </c>
      <c r="Y997" s="29" t="n"/>
      <c r="Z997" s="29" t="n"/>
      <c r="AA997" s="29" t="n"/>
      <c r="AB997" s="32" t="n"/>
      <c r="AC997" s="32" t="n"/>
    </row>
    <row r="998">
      <c r="A998" s="26" t="inlineStr">
        <is>
          <t>S20</t>
        </is>
      </c>
      <c r="B998" s="26" t="inlineStr">
        <is>
          <t>보령 신규점2</t>
        </is>
      </c>
      <c r="C998" s="26" t="inlineStr">
        <is>
          <t>S20-H동</t>
        </is>
      </c>
      <c r="D998" s="47" t="n">
        <v>1</v>
      </c>
      <c r="E998" s="26" t="inlineStr">
        <is>
          <t>측정</t>
        </is>
      </c>
      <c r="F998" s="26" t="inlineStr">
        <is>
          <t>동</t>
        </is>
      </c>
      <c r="G998" s="31" t="n">
        <v>3</v>
      </c>
      <c r="H998" s="30" t="n"/>
      <c r="I998" s="43" t="n"/>
      <c r="J998" s="41" t="n"/>
      <c r="K998" s="41" t="n"/>
      <c r="L998" s="41" t="n"/>
      <c r="M998" s="31">
        <f>IF(COUNT(J998:L998)=0,"",MEDIAN(J998:L998))</f>
        <v/>
      </c>
      <c r="N998" s="26">
        <f>IF(COUNTIFS($C:$C,$C998,$D:$D,$D998,$E:$E,"P0(전)",$M:$M,"&gt;0")&lt;&gt;1,"P0(전) 유효 1개 아님",IF(COUNTIFS($C:$C,$C998,$D:$D,$D998,$E:$E,"P0(후)",$M:$M,"&gt;0")&lt;&gt;1,"P0(후) 유효 1개 아님",IF(NOT(AND(ISNUMBER(O998),ISNUMBER(Q998),ISNUMBER(I998))),"시각 결측",IF(Q998&lt;=O998,"P0 시각 역전",IF(OR(I998&lt;O998,I998&gt;Q998),"측정시각 구간 밖","OK")))))</f>
        <v/>
      </c>
      <c r="O998" s="48">
        <f>IF(COUNTIFS($C:$C,$C998,$D:$D,$D998,$E:$E,"P0(전)",$M:$M,"&gt;0")&lt;&gt;1,"",SUMIFS($I:$I,$C:$C,$C998,$D:$D,$D998,$E:$E,"P0(전)"))</f>
        <v/>
      </c>
      <c r="P998" s="31">
        <f>IF(COUNTIFS($C:$C,$C998,$D:$D,$D998,$E:$E,"P0(전)",$M:$M,"&gt;0")&lt;&gt;1,"",SUMIFS($M:$M,$C:$C,$C998,$D:$D,$D998,$E:$E,"P0(전)"))</f>
        <v/>
      </c>
      <c r="Q998" s="48">
        <f>IF(COUNTIFS($C:$C,$C998,$D:$D,$D998,$E:$E,"P0(후)",$M:$M,"&gt;0")&lt;&gt;1,"",SUMIFS($I:$I,$C:$C,$C998,$D:$D,$D998,$E:$E,"P0(후)"))</f>
        <v/>
      </c>
      <c r="R998" s="31">
        <f>IF(COUNTIFS($C:$C,$C998,$D:$D,$D998,$E:$E,"P0(후)",$M:$M,"&gt;0")&lt;&gt;1,"",SUMIFS($M:$M,$C:$C,$C998,$D:$D,$D998,$E:$E,"P0(후)"))</f>
        <v/>
      </c>
      <c r="S998" s="31">
        <f>IF(N998&lt;&gt;"OK","",P998+(R998-P998)*(I998-O998)/(Q998-O998))</f>
        <v/>
      </c>
      <c r="T998" s="31">
        <f>IF(OR(N998&lt;&gt;"OK",NOT(ISNUMBER(M998))),"",M998-S998)</f>
        <v/>
      </c>
      <c r="U998" s="49">
        <f>IF(OR(NOT(ISNUMBER(T998)),IF(ISNUMBER(H998),H998,G998)=0),"",T998/IF(ISNUMBER(H998),H998,G998))</f>
        <v/>
      </c>
      <c r="V998" s="49">
        <f>IF(ISNUMBER(U998),ABS(U998),"")</f>
        <v/>
      </c>
      <c r="W998" s="49">
        <f>IF(OR($E997&lt;&gt;"측정",$C997&lt;&gt;$C998,$D997&lt;&gt;$D998,NOT(ISNUMBER(M998)),NOT(ISNUMBER(M997)),(IF(ISNUMBER(H998),H998,G998)-IF(ISNUMBER(H997),H997,G997))=0),"",(M998-M997)/(IF(ISNUMBER(H998),H998,G998)-IF(ISNUMBER(H997),H997,G997)))</f>
        <v/>
      </c>
      <c r="X998" s="31">
        <f>IF(NOT(AND(ISNUMBER(O998),ISNUMBER(Q998))),"",(Q998-O998)*1440)</f>
        <v/>
      </c>
      <c r="Y998" s="29" t="n"/>
      <c r="Z998" s="29" t="n"/>
      <c r="AA998" s="29" t="n"/>
      <c r="AB998" s="32" t="n"/>
      <c r="AC998" s="32" t="n"/>
    </row>
    <row r="999">
      <c r="A999" s="26" t="inlineStr">
        <is>
          <t>S20</t>
        </is>
      </c>
      <c r="B999" s="26" t="inlineStr">
        <is>
          <t>보령 신규점2</t>
        </is>
      </c>
      <c r="C999" s="26" t="inlineStr">
        <is>
          <t>S20-H동</t>
        </is>
      </c>
      <c r="D999" s="47" t="n">
        <v>1</v>
      </c>
      <c r="E999" s="26" t="inlineStr">
        <is>
          <t>측정</t>
        </is>
      </c>
      <c r="F999" s="26" t="inlineStr">
        <is>
          <t>동</t>
        </is>
      </c>
      <c r="G999" s="31" t="n">
        <v>4</v>
      </c>
      <c r="H999" s="30" t="n"/>
      <c r="I999" s="43" t="n"/>
      <c r="J999" s="41" t="n"/>
      <c r="K999" s="41" t="n"/>
      <c r="L999" s="41" t="n"/>
      <c r="M999" s="31">
        <f>IF(COUNT(J999:L999)=0,"",MEDIAN(J999:L999))</f>
        <v/>
      </c>
      <c r="N999" s="26">
        <f>IF(COUNTIFS($C:$C,$C999,$D:$D,$D999,$E:$E,"P0(전)",$M:$M,"&gt;0")&lt;&gt;1,"P0(전) 유효 1개 아님",IF(COUNTIFS($C:$C,$C999,$D:$D,$D999,$E:$E,"P0(후)",$M:$M,"&gt;0")&lt;&gt;1,"P0(후) 유효 1개 아님",IF(NOT(AND(ISNUMBER(O999),ISNUMBER(Q999),ISNUMBER(I999))),"시각 결측",IF(Q999&lt;=O999,"P0 시각 역전",IF(OR(I999&lt;O999,I999&gt;Q999),"측정시각 구간 밖","OK")))))</f>
        <v/>
      </c>
      <c r="O999" s="48">
        <f>IF(COUNTIFS($C:$C,$C999,$D:$D,$D999,$E:$E,"P0(전)",$M:$M,"&gt;0")&lt;&gt;1,"",SUMIFS($I:$I,$C:$C,$C999,$D:$D,$D999,$E:$E,"P0(전)"))</f>
        <v/>
      </c>
      <c r="P999" s="31">
        <f>IF(COUNTIFS($C:$C,$C999,$D:$D,$D999,$E:$E,"P0(전)",$M:$M,"&gt;0")&lt;&gt;1,"",SUMIFS($M:$M,$C:$C,$C999,$D:$D,$D999,$E:$E,"P0(전)"))</f>
        <v/>
      </c>
      <c r="Q999" s="48">
        <f>IF(COUNTIFS($C:$C,$C999,$D:$D,$D999,$E:$E,"P0(후)",$M:$M,"&gt;0")&lt;&gt;1,"",SUMIFS($I:$I,$C:$C,$C999,$D:$D,$D999,$E:$E,"P0(후)"))</f>
        <v/>
      </c>
      <c r="R999" s="31">
        <f>IF(COUNTIFS($C:$C,$C999,$D:$D,$D999,$E:$E,"P0(후)",$M:$M,"&gt;0")&lt;&gt;1,"",SUMIFS($M:$M,$C:$C,$C999,$D:$D,$D999,$E:$E,"P0(후)"))</f>
        <v/>
      </c>
      <c r="S999" s="31">
        <f>IF(N999&lt;&gt;"OK","",P999+(R999-P999)*(I999-O999)/(Q999-O999))</f>
        <v/>
      </c>
      <c r="T999" s="31">
        <f>IF(OR(N999&lt;&gt;"OK",NOT(ISNUMBER(M999))),"",M999-S999)</f>
        <v/>
      </c>
      <c r="U999" s="49">
        <f>IF(OR(NOT(ISNUMBER(T999)),IF(ISNUMBER(H999),H999,G999)=0),"",T999/IF(ISNUMBER(H999),H999,G999))</f>
        <v/>
      </c>
      <c r="V999" s="49">
        <f>IF(ISNUMBER(U999),ABS(U999),"")</f>
        <v/>
      </c>
      <c r="W999" s="49">
        <f>IF(OR($E998&lt;&gt;"측정",$C998&lt;&gt;$C999,$D998&lt;&gt;$D999,NOT(ISNUMBER(M999)),NOT(ISNUMBER(M998)),(IF(ISNUMBER(H999),H999,G999)-IF(ISNUMBER(H998),H998,G998))=0),"",(M999-M998)/(IF(ISNUMBER(H999),H999,G999)-IF(ISNUMBER(H998),H998,G998)))</f>
        <v/>
      </c>
      <c r="X999" s="31">
        <f>IF(NOT(AND(ISNUMBER(O999),ISNUMBER(Q999))),"",(Q999-O999)*1440)</f>
        <v/>
      </c>
      <c r="Y999" s="29" t="n"/>
      <c r="Z999" s="29" t="n"/>
      <c r="AA999" s="29" t="n"/>
      <c r="AB999" s="32" t="n"/>
      <c r="AC999" s="32" t="n"/>
    </row>
    <row r="1000">
      <c r="A1000" s="26" t="inlineStr">
        <is>
          <t>S20</t>
        </is>
      </c>
      <c r="B1000" s="26" t="inlineStr">
        <is>
          <t>보령 신규점2</t>
        </is>
      </c>
      <c r="C1000" s="26" t="inlineStr">
        <is>
          <t>S20-H동</t>
        </is>
      </c>
      <c r="D1000" s="47" t="n">
        <v>1</v>
      </c>
      <c r="E1000" s="26" t="inlineStr">
        <is>
          <t>측정</t>
        </is>
      </c>
      <c r="F1000" s="26" t="inlineStr">
        <is>
          <t>동</t>
        </is>
      </c>
      <c r="G1000" s="31" t="n">
        <v>5</v>
      </c>
      <c r="H1000" s="30" t="n"/>
      <c r="I1000" s="43" t="n"/>
      <c r="J1000" s="41" t="n"/>
      <c r="K1000" s="41" t="n"/>
      <c r="L1000" s="41" t="n"/>
      <c r="M1000" s="31">
        <f>IF(COUNT(J1000:L1000)=0,"",MEDIAN(J1000:L1000))</f>
        <v/>
      </c>
      <c r="N1000" s="26">
        <f>IF(COUNTIFS($C:$C,$C1000,$D:$D,$D1000,$E:$E,"P0(전)",$M:$M,"&gt;0")&lt;&gt;1,"P0(전) 유효 1개 아님",IF(COUNTIFS($C:$C,$C1000,$D:$D,$D1000,$E:$E,"P0(후)",$M:$M,"&gt;0")&lt;&gt;1,"P0(후) 유효 1개 아님",IF(NOT(AND(ISNUMBER(O1000),ISNUMBER(Q1000),ISNUMBER(I1000))),"시각 결측",IF(Q1000&lt;=O1000,"P0 시각 역전",IF(OR(I1000&lt;O1000,I1000&gt;Q1000),"측정시각 구간 밖","OK")))))</f>
        <v/>
      </c>
      <c r="O1000" s="48">
        <f>IF(COUNTIFS($C:$C,$C1000,$D:$D,$D1000,$E:$E,"P0(전)",$M:$M,"&gt;0")&lt;&gt;1,"",SUMIFS($I:$I,$C:$C,$C1000,$D:$D,$D1000,$E:$E,"P0(전)"))</f>
        <v/>
      </c>
      <c r="P1000" s="31">
        <f>IF(COUNTIFS($C:$C,$C1000,$D:$D,$D1000,$E:$E,"P0(전)",$M:$M,"&gt;0")&lt;&gt;1,"",SUMIFS($M:$M,$C:$C,$C1000,$D:$D,$D1000,$E:$E,"P0(전)"))</f>
        <v/>
      </c>
      <c r="Q1000" s="48">
        <f>IF(COUNTIFS($C:$C,$C1000,$D:$D,$D1000,$E:$E,"P0(후)",$M:$M,"&gt;0")&lt;&gt;1,"",SUMIFS($I:$I,$C:$C,$C1000,$D:$D,$D1000,$E:$E,"P0(후)"))</f>
        <v/>
      </c>
      <c r="R1000" s="31">
        <f>IF(COUNTIFS($C:$C,$C1000,$D:$D,$D1000,$E:$E,"P0(후)",$M:$M,"&gt;0")&lt;&gt;1,"",SUMIFS($M:$M,$C:$C,$C1000,$D:$D,$D1000,$E:$E,"P0(후)"))</f>
        <v/>
      </c>
      <c r="S1000" s="31">
        <f>IF(N1000&lt;&gt;"OK","",P1000+(R1000-P1000)*(I1000-O1000)/(Q1000-O1000))</f>
        <v/>
      </c>
      <c r="T1000" s="31">
        <f>IF(OR(N1000&lt;&gt;"OK",NOT(ISNUMBER(M1000))),"",M1000-S1000)</f>
        <v/>
      </c>
      <c r="U1000" s="49">
        <f>IF(OR(NOT(ISNUMBER(T1000)),IF(ISNUMBER(H1000),H1000,G1000)=0),"",T1000/IF(ISNUMBER(H1000),H1000,G1000))</f>
        <v/>
      </c>
      <c r="V1000" s="49">
        <f>IF(ISNUMBER(U1000),ABS(U1000),"")</f>
        <v/>
      </c>
      <c r="W1000" s="49">
        <f>IF(OR($E999&lt;&gt;"측정",$C999&lt;&gt;$C1000,$D999&lt;&gt;$D1000,NOT(ISNUMBER(M1000)),NOT(ISNUMBER(M999)),(IF(ISNUMBER(H1000),H1000,G1000)-IF(ISNUMBER(H999),H999,G999))=0),"",(M1000-M999)/(IF(ISNUMBER(H1000),H1000,G1000)-IF(ISNUMBER(H999),H999,G999)))</f>
        <v/>
      </c>
      <c r="X1000" s="31">
        <f>IF(NOT(AND(ISNUMBER(O1000),ISNUMBER(Q1000))),"",(Q1000-O1000)*1440)</f>
        <v/>
      </c>
      <c r="Y1000" s="29" t="n"/>
      <c r="Z1000" s="29" t="n"/>
      <c r="AA1000" s="29" t="n"/>
      <c r="AB1000" s="32" t="n"/>
      <c r="AC1000" s="32" t="n"/>
    </row>
    <row r="1001">
      <c r="A1001" s="26" t="inlineStr">
        <is>
          <t>S20</t>
        </is>
      </c>
      <c r="B1001" s="26" t="inlineStr">
        <is>
          <t>보령 신규점2</t>
        </is>
      </c>
      <c r="C1001" s="26" t="inlineStr">
        <is>
          <t>S20-H동</t>
        </is>
      </c>
      <c r="D1001" s="47" t="n">
        <v>1</v>
      </c>
      <c r="E1001" s="26" t="inlineStr">
        <is>
          <t>측정</t>
        </is>
      </c>
      <c r="F1001" s="26" t="inlineStr">
        <is>
          <t>동</t>
        </is>
      </c>
      <c r="G1001" s="31" t="n">
        <v>6</v>
      </c>
      <c r="H1001" s="30" t="n"/>
      <c r="I1001" s="43" t="n"/>
      <c r="J1001" s="41" t="n"/>
      <c r="K1001" s="41" t="n"/>
      <c r="L1001" s="41" t="n"/>
      <c r="M1001" s="31">
        <f>IF(COUNT(J1001:L1001)=0,"",MEDIAN(J1001:L1001))</f>
        <v/>
      </c>
      <c r="N1001" s="26">
        <f>IF(COUNTIFS($C:$C,$C1001,$D:$D,$D1001,$E:$E,"P0(전)",$M:$M,"&gt;0")&lt;&gt;1,"P0(전) 유효 1개 아님",IF(COUNTIFS($C:$C,$C1001,$D:$D,$D1001,$E:$E,"P0(후)",$M:$M,"&gt;0")&lt;&gt;1,"P0(후) 유효 1개 아님",IF(NOT(AND(ISNUMBER(O1001),ISNUMBER(Q1001),ISNUMBER(I1001))),"시각 결측",IF(Q1001&lt;=O1001,"P0 시각 역전",IF(OR(I1001&lt;O1001,I1001&gt;Q1001),"측정시각 구간 밖","OK")))))</f>
        <v/>
      </c>
      <c r="O1001" s="48">
        <f>IF(COUNTIFS($C:$C,$C1001,$D:$D,$D1001,$E:$E,"P0(전)",$M:$M,"&gt;0")&lt;&gt;1,"",SUMIFS($I:$I,$C:$C,$C1001,$D:$D,$D1001,$E:$E,"P0(전)"))</f>
        <v/>
      </c>
      <c r="P1001" s="31">
        <f>IF(COUNTIFS($C:$C,$C1001,$D:$D,$D1001,$E:$E,"P0(전)",$M:$M,"&gt;0")&lt;&gt;1,"",SUMIFS($M:$M,$C:$C,$C1001,$D:$D,$D1001,$E:$E,"P0(전)"))</f>
        <v/>
      </c>
      <c r="Q1001" s="48">
        <f>IF(COUNTIFS($C:$C,$C1001,$D:$D,$D1001,$E:$E,"P0(후)",$M:$M,"&gt;0")&lt;&gt;1,"",SUMIFS($I:$I,$C:$C,$C1001,$D:$D,$D1001,$E:$E,"P0(후)"))</f>
        <v/>
      </c>
      <c r="R1001" s="31">
        <f>IF(COUNTIFS($C:$C,$C1001,$D:$D,$D1001,$E:$E,"P0(후)",$M:$M,"&gt;0")&lt;&gt;1,"",SUMIFS($M:$M,$C:$C,$C1001,$D:$D,$D1001,$E:$E,"P0(후)"))</f>
        <v/>
      </c>
      <c r="S1001" s="31">
        <f>IF(N1001&lt;&gt;"OK","",P1001+(R1001-P1001)*(I1001-O1001)/(Q1001-O1001))</f>
        <v/>
      </c>
      <c r="T1001" s="31">
        <f>IF(OR(N1001&lt;&gt;"OK",NOT(ISNUMBER(M1001))),"",M1001-S1001)</f>
        <v/>
      </c>
      <c r="U1001" s="49">
        <f>IF(OR(NOT(ISNUMBER(T1001)),IF(ISNUMBER(H1001),H1001,G1001)=0),"",T1001/IF(ISNUMBER(H1001),H1001,G1001))</f>
        <v/>
      </c>
      <c r="V1001" s="49">
        <f>IF(ISNUMBER(U1001),ABS(U1001),"")</f>
        <v/>
      </c>
      <c r="W1001" s="49">
        <f>IF(OR($E1000&lt;&gt;"측정",$C1000&lt;&gt;$C1001,$D1000&lt;&gt;$D1001,NOT(ISNUMBER(M1001)),NOT(ISNUMBER(M1000)),(IF(ISNUMBER(H1001),H1001,G1001)-IF(ISNUMBER(H1000),H1000,G1000))=0),"",(M1001-M1000)/(IF(ISNUMBER(H1001),H1001,G1001)-IF(ISNUMBER(H1000),H1000,G1000)))</f>
        <v/>
      </c>
      <c r="X1001" s="31">
        <f>IF(NOT(AND(ISNUMBER(O1001),ISNUMBER(Q1001))),"",(Q1001-O1001)*1440)</f>
        <v/>
      </c>
      <c r="Y1001" s="29" t="n"/>
      <c r="Z1001" s="29" t="n"/>
      <c r="AA1001" s="29" t="n"/>
      <c r="AB1001" s="32" t="n"/>
      <c r="AC1001" s="32" t="n"/>
    </row>
    <row r="1002">
      <c r="A1002" s="26" t="inlineStr">
        <is>
          <t>S20</t>
        </is>
      </c>
      <c r="B1002" s="26" t="inlineStr">
        <is>
          <t>보령 신규점2</t>
        </is>
      </c>
      <c r="C1002" s="26" t="inlineStr">
        <is>
          <t>S20-H동</t>
        </is>
      </c>
      <c r="D1002" s="47" t="n">
        <v>1</v>
      </c>
      <c r="E1002" s="26" t="inlineStr">
        <is>
          <t>측정</t>
        </is>
      </c>
      <c r="F1002" s="26" t="inlineStr">
        <is>
          <t>동</t>
        </is>
      </c>
      <c r="G1002" s="31" t="n">
        <v>7</v>
      </c>
      <c r="H1002" s="30" t="n"/>
      <c r="I1002" s="43" t="n"/>
      <c r="J1002" s="41" t="n"/>
      <c r="K1002" s="41" t="n"/>
      <c r="L1002" s="41" t="n"/>
      <c r="M1002" s="31">
        <f>IF(COUNT(J1002:L1002)=0,"",MEDIAN(J1002:L1002))</f>
        <v/>
      </c>
      <c r="N1002" s="26">
        <f>IF(COUNTIFS($C:$C,$C1002,$D:$D,$D1002,$E:$E,"P0(전)",$M:$M,"&gt;0")&lt;&gt;1,"P0(전) 유효 1개 아님",IF(COUNTIFS($C:$C,$C1002,$D:$D,$D1002,$E:$E,"P0(후)",$M:$M,"&gt;0")&lt;&gt;1,"P0(후) 유효 1개 아님",IF(NOT(AND(ISNUMBER(O1002),ISNUMBER(Q1002),ISNUMBER(I1002))),"시각 결측",IF(Q1002&lt;=O1002,"P0 시각 역전",IF(OR(I1002&lt;O1002,I1002&gt;Q1002),"측정시각 구간 밖","OK")))))</f>
        <v/>
      </c>
      <c r="O1002" s="48">
        <f>IF(COUNTIFS($C:$C,$C1002,$D:$D,$D1002,$E:$E,"P0(전)",$M:$M,"&gt;0")&lt;&gt;1,"",SUMIFS($I:$I,$C:$C,$C1002,$D:$D,$D1002,$E:$E,"P0(전)"))</f>
        <v/>
      </c>
      <c r="P1002" s="31">
        <f>IF(COUNTIFS($C:$C,$C1002,$D:$D,$D1002,$E:$E,"P0(전)",$M:$M,"&gt;0")&lt;&gt;1,"",SUMIFS($M:$M,$C:$C,$C1002,$D:$D,$D1002,$E:$E,"P0(전)"))</f>
        <v/>
      </c>
      <c r="Q1002" s="48">
        <f>IF(COUNTIFS($C:$C,$C1002,$D:$D,$D1002,$E:$E,"P0(후)",$M:$M,"&gt;0")&lt;&gt;1,"",SUMIFS($I:$I,$C:$C,$C1002,$D:$D,$D1002,$E:$E,"P0(후)"))</f>
        <v/>
      </c>
      <c r="R1002" s="31">
        <f>IF(COUNTIFS($C:$C,$C1002,$D:$D,$D1002,$E:$E,"P0(후)",$M:$M,"&gt;0")&lt;&gt;1,"",SUMIFS($M:$M,$C:$C,$C1002,$D:$D,$D1002,$E:$E,"P0(후)"))</f>
        <v/>
      </c>
      <c r="S1002" s="31">
        <f>IF(N1002&lt;&gt;"OK","",P1002+(R1002-P1002)*(I1002-O1002)/(Q1002-O1002))</f>
        <v/>
      </c>
      <c r="T1002" s="31">
        <f>IF(OR(N1002&lt;&gt;"OK",NOT(ISNUMBER(M1002))),"",M1002-S1002)</f>
        <v/>
      </c>
      <c r="U1002" s="49">
        <f>IF(OR(NOT(ISNUMBER(T1002)),IF(ISNUMBER(H1002),H1002,G1002)=0),"",T1002/IF(ISNUMBER(H1002),H1002,G1002))</f>
        <v/>
      </c>
      <c r="V1002" s="49">
        <f>IF(ISNUMBER(U1002),ABS(U1002),"")</f>
        <v/>
      </c>
      <c r="W1002" s="49">
        <f>IF(OR($E1001&lt;&gt;"측정",$C1001&lt;&gt;$C1002,$D1001&lt;&gt;$D1002,NOT(ISNUMBER(M1002)),NOT(ISNUMBER(M1001)),(IF(ISNUMBER(H1002),H1002,G1002)-IF(ISNUMBER(H1001),H1001,G1001))=0),"",(M1002-M1001)/(IF(ISNUMBER(H1002),H1002,G1002)-IF(ISNUMBER(H1001),H1001,G1001)))</f>
        <v/>
      </c>
      <c r="X1002" s="31">
        <f>IF(NOT(AND(ISNUMBER(O1002),ISNUMBER(Q1002))),"",(Q1002-O1002)*1440)</f>
        <v/>
      </c>
      <c r="Y1002" s="29" t="n"/>
      <c r="Z1002" s="29" t="n"/>
      <c r="AA1002" s="29" t="n"/>
      <c r="AB1002" s="32" t="n"/>
      <c r="AC1002" s="32" t="n"/>
    </row>
    <row r="1003">
      <c r="A1003" s="26" t="inlineStr">
        <is>
          <t>S20</t>
        </is>
      </c>
      <c r="B1003" s="26" t="inlineStr">
        <is>
          <t>보령 신규점2</t>
        </is>
      </c>
      <c r="C1003" s="26" t="inlineStr">
        <is>
          <t>S20-H동</t>
        </is>
      </c>
      <c r="D1003" s="47" t="n">
        <v>1</v>
      </c>
      <c r="E1003" s="26" t="inlineStr">
        <is>
          <t>측정</t>
        </is>
      </c>
      <c r="F1003" s="26" t="inlineStr">
        <is>
          <t>동</t>
        </is>
      </c>
      <c r="G1003" s="31" t="n">
        <v>8</v>
      </c>
      <c r="H1003" s="30" t="n"/>
      <c r="I1003" s="43" t="n"/>
      <c r="J1003" s="41" t="n"/>
      <c r="K1003" s="41" t="n"/>
      <c r="L1003" s="41" t="n"/>
      <c r="M1003" s="31">
        <f>IF(COUNT(J1003:L1003)=0,"",MEDIAN(J1003:L1003))</f>
        <v/>
      </c>
      <c r="N1003" s="26">
        <f>IF(COUNTIFS($C:$C,$C1003,$D:$D,$D1003,$E:$E,"P0(전)",$M:$M,"&gt;0")&lt;&gt;1,"P0(전) 유효 1개 아님",IF(COUNTIFS($C:$C,$C1003,$D:$D,$D1003,$E:$E,"P0(후)",$M:$M,"&gt;0")&lt;&gt;1,"P0(후) 유효 1개 아님",IF(NOT(AND(ISNUMBER(O1003),ISNUMBER(Q1003),ISNUMBER(I1003))),"시각 결측",IF(Q1003&lt;=O1003,"P0 시각 역전",IF(OR(I1003&lt;O1003,I1003&gt;Q1003),"측정시각 구간 밖","OK")))))</f>
        <v/>
      </c>
      <c r="O1003" s="48">
        <f>IF(COUNTIFS($C:$C,$C1003,$D:$D,$D1003,$E:$E,"P0(전)",$M:$M,"&gt;0")&lt;&gt;1,"",SUMIFS($I:$I,$C:$C,$C1003,$D:$D,$D1003,$E:$E,"P0(전)"))</f>
        <v/>
      </c>
      <c r="P1003" s="31">
        <f>IF(COUNTIFS($C:$C,$C1003,$D:$D,$D1003,$E:$E,"P0(전)",$M:$M,"&gt;0")&lt;&gt;1,"",SUMIFS($M:$M,$C:$C,$C1003,$D:$D,$D1003,$E:$E,"P0(전)"))</f>
        <v/>
      </c>
      <c r="Q1003" s="48">
        <f>IF(COUNTIFS($C:$C,$C1003,$D:$D,$D1003,$E:$E,"P0(후)",$M:$M,"&gt;0")&lt;&gt;1,"",SUMIFS($I:$I,$C:$C,$C1003,$D:$D,$D1003,$E:$E,"P0(후)"))</f>
        <v/>
      </c>
      <c r="R1003" s="31">
        <f>IF(COUNTIFS($C:$C,$C1003,$D:$D,$D1003,$E:$E,"P0(후)",$M:$M,"&gt;0")&lt;&gt;1,"",SUMIFS($M:$M,$C:$C,$C1003,$D:$D,$D1003,$E:$E,"P0(후)"))</f>
        <v/>
      </c>
      <c r="S1003" s="31">
        <f>IF(N1003&lt;&gt;"OK","",P1003+(R1003-P1003)*(I1003-O1003)/(Q1003-O1003))</f>
        <v/>
      </c>
      <c r="T1003" s="31">
        <f>IF(OR(N1003&lt;&gt;"OK",NOT(ISNUMBER(M1003))),"",M1003-S1003)</f>
        <v/>
      </c>
      <c r="U1003" s="49">
        <f>IF(OR(NOT(ISNUMBER(T1003)),IF(ISNUMBER(H1003),H1003,G1003)=0),"",T1003/IF(ISNUMBER(H1003),H1003,G1003))</f>
        <v/>
      </c>
      <c r="V1003" s="49">
        <f>IF(ISNUMBER(U1003),ABS(U1003),"")</f>
        <v/>
      </c>
      <c r="W1003" s="49">
        <f>IF(OR($E1002&lt;&gt;"측정",$C1002&lt;&gt;$C1003,$D1002&lt;&gt;$D1003,NOT(ISNUMBER(M1003)),NOT(ISNUMBER(M1002)),(IF(ISNUMBER(H1003),H1003,G1003)-IF(ISNUMBER(H1002),H1002,G1002))=0),"",(M1003-M1002)/(IF(ISNUMBER(H1003),H1003,G1003)-IF(ISNUMBER(H1002),H1002,G1002)))</f>
        <v/>
      </c>
      <c r="X1003" s="31">
        <f>IF(NOT(AND(ISNUMBER(O1003),ISNUMBER(Q1003))),"",(Q1003-O1003)*1440)</f>
        <v/>
      </c>
      <c r="Y1003" s="29" t="n"/>
      <c r="Z1003" s="29" t="n"/>
      <c r="AA1003" s="29" t="n"/>
      <c r="AB1003" s="32" t="n"/>
      <c r="AC1003" s="32" t="n"/>
    </row>
    <row r="1004">
      <c r="A1004" s="26" t="inlineStr">
        <is>
          <t>S20</t>
        </is>
      </c>
      <c r="B1004" s="26" t="inlineStr">
        <is>
          <t>보령 신규점2</t>
        </is>
      </c>
      <c r="C1004" s="26" t="inlineStr">
        <is>
          <t>S20-H동</t>
        </is>
      </c>
      <c r="D1004" s="47" t="n">
        <v>1</v>
      </c>
      <c r="E1004" s="26" t="inlineStr">
        <is>
          <t>측정</t>
        </is>
      </c>
      <c r="F1004" s="26" t="inlineStr">
        <is>
          <t>동</t>
        </is>
      </c>
      <c r="G1004" s="31" t="n">
        <v>9</v>
      </c>
      <c r="H1004" s="30" t="n"/>
      <c r="I1004" s="43" t="n"/>
      <c r="J1004" s="41" t="n"/>
      <c r="K1004" s="41" t="n"/>
      <c r="L1004" s="41" t="n"/>
      <c r="M1004" s="31">
        <f>IF(COUNT(J1004:L1004)=0,"",MEDIAN(J1004:L1004))</f>
        <v/>
      </c>
      <c r="N1004" s="26">
        <f>IF(COUNTIFS($C:$C,$C1004,$D:$D,$D1004,$E:$E,"P0(전)",$M:$M,"&gt;0")&lt;&gt;1,"P0(전) 유효 1개 아님",IF(COUNTIFS($C:$C,$C1004,$D:$D,$D1004,$E:$E,"P0(후)",$M:$M,"&gt;0")&lt;&gt;1,"P0(후) 유효 1개 아님",IF(NOT(AND(ISNUMBER(O1004),ISNUMBER(Q1004),ISNUMBER(I1004))),"시각 결측",IF(Q1004&lt;=O1004,"P0 시각 역전",IF(OR(I1004&lt;O1004,I1004&gt;Q1004),"측정시각 구간 밖","OK")))))</f>
        <v/>
      </c>
      <c r="O1004" s="48">
        <f>IF(COUNTIFS($C:$C,$C1004,$D:$D,$D1004,$E:$E,"P0(전)",$M:$M,"&gt;0")&lt;&gt;1,"",SUMIFS($I:$I,$C:$C,$C1004,$D:$D,$D1004,$E:$E,"P0(전)"))</f>
        <v/>
      </c>
      <c r="P1004" s="31">
        <f>IF(COUNTIFS($C:$C,$C1004,$D:$D,$D1004,$E:$E,"P0(전)",$M:$M,"&gt;0")&lt;&gt;1,"",SUMIFS($M:$M,$C:$C,$C1004,$D:$D,$D1004,$E:$E,"P0(전)"))</f>
        <v/>
      </c>
      <c r="Q1004" s="48">
        <f>IF(COUNTIFS($C:$C,$C1004,$D:$D,$D1004,$E:$E,"P0(후)",$M:$M,"&gt;0")&lt;&gt;1,"",SUMIFS($I:$I,$C:$C,$C1004,$D:$D,$D1004,$E:$E,"P0(후)"))</f>
        <v/>
      </c>
      <c r="R1004" s="31">
        <f>IF(COUNTIFS($C:$C,$C1004,$D:$D,$D1004,$E:$E,"P0(후)",$M:$M,"&gt;0")&lt;&gt;1,"",SUMIFS($M:$M,$C:$C,$C1004,$D:$D,$D1004,$E:$E,"P0(후)"))</f>
        <v/>
      </c>
      <c r="S1004" s="31">
        <f>IF(N1004&lt;&gt;"OK","",P1004+(R1004-P1004)*(I1004-O1004)/(Q1004-O1004))</f>
        <v/>
      </c>
      <c r="T1004" s="31">
        <f>IF(OR(N1004&lt;&gt;"OK",NOT(ISNUMBER(M1004))),"",M1004-S1004)</f>
        <v/>
      </c>
      <c r="U1004" s="49">
        <f>IF(OR(NOT(ISNUMBER(T1004)),IF(ISNUMBER(H1004),H1004,G1004)=0),"",T1004/IF(ISNUMBER(H1004),H1004,G1004))</f>
        <v/>
      </c>
      <c r="V1004" s="49">
        <f>IF(ISNUMBER(U1004),ABS(U1004),"")</f>
        <v/>
      </c>
      <c r="W1004" s="49">
        <f>IF(OR($E1003&lt;&gt;"측정",$C1003&lt;&gt;$C1004,$D1003&lt;&gt;$D1004,NOT(ISNUMBER(M1004)),NOT(ISNUMBER(M1003)),(IF(ISNUMBER(H1004),H1004,G1004)-IF(ISNUMBER(H1003),H1003,G1003))=0),"",(M1004-M1003)/(IF(ISNUMBER(H1004),H1004,G1004)-IF(ISNUMBER(H1003),H1003,G1003)))</f>
        <v/>
      </c>
      <c r="X1004" s="31">
        <f>IF(NOT(AND(ISNUMBER(O1004),ISNUMBER(Q1004))),"",(Q1004-O1004)*1440)</f>
        <v/>
      </c>
      <c r="Y1004" s="29" t="n"/>
      <c r="Z1004" s="29" t="n"/>
      <c r="AA1004" s="29" t="n"/>
      <c r="AB1004" s="32" t="n"/>
      <c r="AC1004" s="32" t="n"/>
    </row>
    <row r="1005">
      <c r="A1005" s="26" t="inlineStr">
        <is>
          <t>S20</t>
        </is>
      </c>
      <c r="B1005" s="26" t="inlineStr">
        <is>
          <t>보령 신규점2</t>
        </is>
      </c>
      <c r="C1005" s="26" t="inlineStr">
        <is>
          <t>S20-H동</t>
        </is>
      </c>
      <c r="D1005" s="47" t="n">
        <v>1</v>
      </c>
      <c r="E1005" s="26" t="inlineStr">
        <is>
          <t>측정</t>
        </is>
      </c>
      <c r="F1005" s="26" t="inlineStr">
        <is>
          <t>동</t>
        </is>
      </c>
      <c r="G1005" s="31" t="n">
        <v>10</v>
      </c>
      <c r="H1005" s="30" t="n"/>
      <c r="I1005" s="43" t="n"/>
      <c r="J1005" s="41" t="n"/>
      <c r="K1005" s="41" t="n"/>
      <c r="L1005" s="41" t="n"/>
      <c r="M1005" s="31">
        <f>IF(COUNT(J1005:L1005)=0,"",MEDIAN(J1005:L1005))</f>
        <v/>
      </c>
      <c r="N1005" s="26">
        <f>IF(COUNTIFS($C:$C,$C1005,$D:$D,$D1005,$E:$E,"P0(전)",$M:$M,"&gt;0")&lt;&gt;1,"P0(전) 유효 1개 아님",IF(COUNTIFS($C:$C,$C1005,$D:$D,$D1005,$E:$E,"P0(후)",$M:$M,"&gt;0")&lt;&gt;1,"P0(후) 유효 1개 아님",IF(NOT(AND(ISNUMBER(O1005),ISNUMBER(Q1005),ISNUMBER(I1005))),"시각 결측",IF(Q1005&lt;=O1005,"P0 시각 역전",IF(OR(I1005&lt;O1005,I1005&gt;Q1005),"측정시각 구간 밖","OK")))))</f>
        <v/>
      </c>
      <c r="O1005" s="48">
        <f>IF(COUNTIFS($C:$C,$C1005,$D:$D,$D1005,$E:$E,"P0(전)",$M:$M,"&gt;0")&lt;&gt;1,"",SUMIFS($I:$I,$C:$C,$C1005,$D:$D,$D1005,$E:$E,"P0(전)"))</f>
        <v/>
      </c>
      <c r="P1005" s="31">
        <f>IF(COUNTIFS($C:$C,$C1005,$D:$D,$D1005,$E:$E,"P0(전)",$M:$M,"&gt;0")&lt;&gt;1,"",SUMIFS($M:$M,$C:$C,$C1005,$D:$D,$D1005,$E:$E,"P0(전)"))</f>
        <v/>
      </c>
      <c r="Q1005" s="48">
        <f>IF(COUNTIFS($C:$C,$C1005,$D:$D,$D1005,$E:$E,"P0(후)",$M:$M,"&gt;0")&lt;&gt;1,"",SUMIFS($I:$I,$C:$C,$C1005,$D:$D,$D1005,$E:$E,"P0(후)"))</f>
        <v/>
      </c>
      <c r="R1005" s="31">
        <f>IF(COUNTIFS($C:$C,$C1005,$D:$D,$D1005,$E:$E,"P0(후)",$M:$M,"&gt;0")&lt;&gt;1,"",SUMIFS($M:$M,$C:$C,$C1005,$D:$D,$D1005,$E:$E,"P0(후)"))</f>
        <v/>
      </c>
      <c r="S1005" s="31">
        <f>IF(N1005&lt;&gt;"OK","",P1005+(R1005-P1005)*(I1005-O1005)/(Q1005-O1005))</f>
        <v/>
      </c>
      <c r="T1005" s="31">
        <f>IF(OR(N1005&lt;&gt;"OK",NOT(ISNUMBER(M1005))),"",M1005-S1005)</f>
        <v/>
      </c>
      <c r="U1005" s="49">
        <f>IF(OR(NOT(ISNUMBER(T1005)),IF(ISNUMBER(H1005),H1005,G1005)=0),"",T1005/IF(ISNUMBER(H1005),H1005,G1005))</f>
        <v/>
      </c>
      <c r="V1005" s="49">
        <f>IF(ISNUMBER(U1005),ABS(U1005),"")</f>
        <v/>
      </c>
      <c r="W1005" s="49">
        <f>IF(OR($E1004&lt;&gt;"측정",$C1004&lt;&gt;$C1005,$D1004&lt;&gt;$D1005,NOT(ISNUMBER(M1005)),NOT(ISNUMBER(M1004)),(IF(ISNUMBER(H1005),H1005,G1005)-IF(ISNUMBER(H1004),H1004,G1004))=0),"",(M1005-M1004)/(IF(ISNUMBER(H1005),H1005,G1005)-IF(ISNUMBER(H1004),H1004,G1004)))</f>
        <v/>
      </c>
      <c r="X1005" s="31">
        <f>IF(NOT(AND(ISNUMBER(O1005),ISNUMBER(Q1005))),"",(Q1005-O1005)*1440)</f>
        <v/>
      </c>
      <c r="Y1005" s="29" t="n"/>
      <c r="Z1005" s="29" t="n"/>
      <c r="AA1005" s="29" t="n"/>
      <c r="AB1005" s="32" t="n"/>
      <c r="AC1005" s="32" t="n"/>
    </row>
    <row r="1006">
      <c r="A1006" s="44" t="inlineStr">
        <is>
          <t>S20</t>
        </is>
      </c>
      <c r="B1006" s="44" t="inlineStr">
        <is>
          <t>보령 신규점2</t>
        </is>
      </c>
      <c r="C1006" s="44" t="inlineStr">
        <is>
          <t>S20-H동</t>
        </is>
      </c>
      <c r="D1006" s="45" t="n">
        <v>1</v>
      </c>
      <c r="E1006" s="44" t="inlineStr">
        <is>
          <t>P0(후)</t>
        </is>
      </c>
      <c r="F1006" s="44" t="inlineStr">
        <is>
          <t>동</t>
        </is>
      </c>
      <c r="G1006" s="46" t="n"/>
      <c r="H1006" s="30" t="n"/>
      <c r="I1006" s="43" t="n"/>
      <c r="J1006" s="41" t="n"/>
      <c r="K1006" s="41" t="n"/>
      <c r="L1006" s="41" t="n"/>
      <c r="M1006" s="31">
        <f>IF(COUNT(J1006:L1006)=0,"",MEDIAN(J1006:L1006))</f>
        <v/>
      </c>
      <c r="N1006" s="38" t="n"/>
      <c r="O1006" s="38" t="n"/>
      <c r="P1006" s="38" t="n"/>
      <c r="Q1006" s="38" t="n"/>
      <c r="R1006" s="38" t="n"/>
      <c r="S1006" s="38" t="n"/>
      <c r="T1006" s="38" t="n"/>
      <c r="U1006" s="38" t="n"/>
      <c r="V1006" s="38" t="n"/>
      <c r="W1006" s="38" t="n"/>
      <c r="X1006" s="38" t="n"/>
      <c r="Y1006" s="29" t="n"/>
      <c r="Z1006" s="29" t="n"/>
      <c r="AA1006" s="29" t="n"/>
      <c r="AB1006" s="32" t="n"/>
      <c r="AC1006" s="32" t="n"/>
    </row>
    <row r="1007">
      <c r="A1007" s="44" t="inlineStr">
        <is>
          <t>S20</t>
        </is>
      </c>
      <c r="B1007" s="44" t="inlineStr">
        <is>
          <t>보령 신규점2</t>
        </is>
      </c>
      <c r="C1007" s="44" t="inlineStr">
        <is>
          <t>S20-H서</t>
        </is>
      </c>
      <c r="D1007" s="45" t="n">
        <v>1</v>
      </c>
      <c r="E1007" s="44" t="inlineStr">
        <is>
          <t>P0(전)</t>
        </is>
      </c>
      <c r="F1007" s="44" t="inlineStr">
        <is>
          <t>서</t>
        </is>
      </c>
      <c r="G1007" s="46" t="n"/>
      <c r="H1007" s="30" t="n"/>
      <c r="I1007" s="43" t="n"/>
      <c r="J1007" s="41" t="n"/>
      <c r="K1007" s="41" t="n"/>
      <c r="L1007" s="41" t="n"/>
      <c r="M1007" s="31">
        <f>IF(COUNT(J1007:L1007)=0,"",MEDIAN(J1007:L1007))</f>
        <v/>
      </c>
      <c r="N1007" s="38" t="n"/>
      <c r="O1007" s="38" t="n"/>
      <c r="P1007" s="38" t="n"/>
      <c r="Q1007" s="38" t="n"/>
      <c r="R1007" s="38" t="n"/>
      <c r="S1007" s="38" t="n"/>
      <c r="T1007" s="38" t="n"/>
      <c r="U1007" s="38" t="n"/>
      <c r="V1007" s="38" t="n"/>
      <c r="W1007" s="38" t="n"/>
      <c r="X1007" s="38" t="n"/>
      <c r="Y1007" s="29" t="n"/>
      <c r="Z1007" s="29" t="n"/>
      <c r="AA1007" s="29" t="n"/>
      <c r="AB1007" s="32" t="n"/>
      <c r="AC1007" s="32" t="n"/>
    </row>
    <row r="1008">
      <c r="A1008" s="26" t="inlineStr">
        <is>
          <t>S20</t>
        </is>
      </c>
      <c r="B1008" s="26" t="inlineStr">
        <is>
          <t>보령 신규점2</t>
        </is>
      </c>
      <c r="C1008" s="26" t="inlineStr">
        <is>
          <t>S20-H서</t>
        </is>
      </c>
      <c r="D1008" s="47" t="n">
        <v>1</v>
      </c>
      <c r="E1008" s="26" t="inlineStr">
        <is>
          <t>측정</t>
        </is>
      </c>
      <c r="F1008" s="26" t="inlineStr">
        <is>
          <t>서</t>
        </is>
      </c>
      <c r="G1008" s="31" t="n">
        <v>0.5</v>
      </c>
      <c r="H1008" s="30" t="n"/>
      <c r="I1008" s="43" t="n"/>
      <c r="J1008" s="41" t="n"/>
      <c r="K1008" s="41" t="n"/>
      <c r="L1008" s="41" t="n"/>
      <c r="M1008" s="31">
        <f>IF(COUNT(J1008:L1008)=0,"",MEDIAN(J1008:L1008))</f>
        <v/>
      </c>
      <c r="N1008" s="26">
        <f>IF(COUNTIFS($C:$C,$C1008,$D:$D,$D1008,$E:$E,"P0(전)",$M:$M,"&gt;0")&lt;&gt;1,"P0(전) 유효 1개 아님",IF(COUNTIFS($C:$C,$C1008,$D:$D,$D1008,$E:$E,"P0(후)",$M:$M,"&gt;0")&lt;&gt;1,"P0(후) 유효 1개 아님",IF(NOT(AND(ISNUMBER(O1008),ISNUMBER(Q1008),ISNUMBER(I1008))),"시각 결측",IF(Q1008&lt;=O1008,"P0 시각 역전",IF(OR(I1008&lt;O1008,I1008&gt;Q1008),"측정시각 구간 밖","OK")))))</f>
        <v/>
      </c>
      <c r="O1008" s="48">
        <f>IF(COUNTIFS($C:$C,$C1008,$D:$D,$D1008,$E:$E,"P0(전)",$M:$M,"&gt;0")&lt;&gt;1,"",SUMIFS($I:$I,$C:$C,$C1008,$D:$D,$D1008,$E:$E,"P0(전)"))</f>
        <v/>
      </c>
      <c r="P1008" s="31">
        <f>IF(COUNTIFS($C:$C,$C1008,$D:$D,$D1008,$E:$E,"P0(전)",$M:$M,"&gt;0")&lt;&gt;1,"",SUMIFS($M:$M,$C:$C,$C1008,$D:$D,$D1008,$E:$E,"P0(전)"))</f>
        <v/>
      </c>
      <c r="Q1008" s="48">
        <f>IF(COUNTIFS($C:$C,$C1008,$D:$D,$D1008,$E:$E,"P0(후)",$M:$M,"&gt;0")&lt;&gt;1,"",SUMIFS($I:$I,$C:$C,$C1008,$D:$D,$D1008,$E:$E,"P0(후)"))</f>
        <v/>
      </c>
      <c r="R1008" s="31">
        <f>IF(COUNTIFS($C:$C,$C1008,$D:$D,$D1008,$E:$E,"P0(후)",$M:$M,"&gt;0")&lt;&gt;1,"",SUMIFS($M:$M,$C:$C,$C1008,$D:$D,$D1008,$E:$E,"P0(후)"))</f>
        <v/>
      </c>
      <c r="S1008" s="31">
        <f>IF(N1008&lt;&gt;"OK","",P1008+(R1008-P1008)*(I1008-O1008)/(Q1008-O1008))</f>
        <v/>
      </c>
      <c r="T1008" s="31">
        <f>IF(OR(N1008&lt;&gt;"OK",NOT(ISNUMBER(M1008))),"",M1008-S1008)</f>
        <v/>
      </c>
      <c r="U1008" s="49">
        <f>IF(OR(NOT(ISNUMBER(T1008)),IF(ISNUMBER(H1008),H1008,G1008)=0),"",T1008/IF(ISNUMBER(H1008),H1008,G1008))</f>
        <v/>
      </c>
      <c r="V1008" s="49">
        <f>IF(ISNUMBER(U1008),ABS(U1008),"")</f>
        <v/>
      </c>
      <c r="W1008" s="49">
        <f>IF(OR($E1007&lt;&gt;"측정",$C1007&lt;&gt;$C1008,$D1007&lt;&gt;$D1008,NOT(ISNUMBER(M1008)),NOT(ISNUMBER(M1007)),(IF(ISNUMBER(H1008),H1008,G1008)-IF(ISNUMBER(H1007),H1007,G1007))=0),"",(M1008-M1007)/(IF(ISNUMBER(H1008),H1008,G1008)-IF(ISNUMBER(H1007),H1007,G1007)))</f>
        <v/>
      </c>
      <c r="X1008" s="31">
        <f>IF(NOT(AND(ISNUMBER(O1008),ISNUMBER(Q1008))),"",(Q1008-O1008)*1440)</f>
        <v/>
      </c>
      <c r="Y1008" s="29" t="n"/>
      <c r="Z1008" s="29" t="n"/>
      <c r="AA1008" s="29" t="n"/>
      <c r="AB1008" s="32" t="n"/>
      <c r="AC1008" s="32" t="n"/>
    </row>
    <row r="1009">
      <c r="A1009" s="26" t="inlineStr">
        <is>
          <t>S20</t>
        </is>
      </c>
      <c r="B1009" s="26" t="inlineStr">
        <is>
          <t>보령 신규점2</t>
        </is>
      </c>
      <c r="C1009" s="26" t="inlineStr">
        <is>
          <t>S20-H서</t>
        </is>
      </c>
      <c r="D1009" s="47" t="n">
        <v>1</v>
      </c>
      <c r="E1009" s="26" t="inlineStr">
        <is>
          <t>측정</t>
        </is>
      </c>
      <c r="F1009" s="26" t="inlineStr">
        <is>
          <t>서</t>
        </is>
      </c>
      <c r="G1009" s="31" t="n">
        <v>1</v>
      </c>
      <c r="H1009" s="30" t="n"/>
      <c r="I1009" s="43" t="n"/>
      <c r="J1009" s="41" t="n"/>
      <c r="K1009" s="41" t="n"/>
      <c r="L1009" s="41" t="n"/>
      <c r="M1009" s="31">
        <f>IF(COUNT(J1009:L1009)=0,"",MEDIAN(J1009:L1009))</f>
        <v/>
      </c>
      <c r="N1009" s="26">
        <f>IF(COUNTIFS($C:$C,$C1009,$D:$D,$D1009,$E:$E,"P0(전)",$M:$M,"&gt;0")&lt;&gt;1,"P0(전) 유효 1개 아님",IF(COUNTIFS($C:$C,$C1009,$D:$D,$D1009,$E:$E,"P0(후)",$M:$M,"&gt;0")&lt;&gt;1,"P0(후) 유효 1개 아님",IF(NOT(AND(ISNUMBER(O1009),ISNUMBER(Q1009),ISNUMBER(I1009))),"시각 결측",IF(Q1009&lt;=O1009,"P0 시각 역전",IF(OR(I1009&lt;O1009,I1009&gt;Q1009),"측정시각 구간 밖","OK")))))</f>
        <v/>
      </c>
      <c r="O1009" s="48">
        <f>IF(COUNTIFS($C:$C,$C1009,$D:$D,$D1009,$E:$E,"P0(전)",$M:$M,"&gt;0")&lt;&gt;1,"",SUMIFS($I:$I,$C:$C,$C1009,$D:$D,$D1009,$E:$E,"P0(전)"))</f>
        <v/>
      </c>
      <c r="P1009" s="31">
        <f>IF(COUNTIFS($C:$C,$C1009,$D:$D,$D1009,$E:$E,"P0(전)",$M:$M,"&gt;0")&lt;&gt;1,"",SUMIFS($M:$M,$C:$C,$C1009,$D:$D,$D1009,$E:$E,"P0(전)"))</f>
        <v/>
      </c>
      <c r="Q1009" s="48">
        <f>IF(COUNTIFS($C:$C,$C1009,$D:$D,$D1009,$E:$E,"P0(후)",$M:$M,"&gt;0")&lt;&gt;1,"",SUMIFS($I:$I,$C:$C,$C1009,$D:$D,$D1009,$E:$E,"P0(후)"))</f>
        <v/>
      </c>
      <c r="R1009" s="31">
        <f>IF(COUNTIFS($C:$C,$C1009,$D:$D,$D1009,$E:$E,"P0(후)",$M:$M,"&gt;0")&lt;&gt;1,"",SUMIFS($M:$M,$C:$C,$C1009,$D:$D,$D1009,$E:$E,"P0(후)"))</f>
        <v/>
      </c>
      <c r="S1009" s="31">
        <f>IF(N1009&lt;&gt;"OK","",P1009+(R1009-P1009)*(I1009-O1009)/(Q1009-O1009))</f>
        <v/>
      </c>
      <c r="T1009" s="31">
        <f>IF(OR(N1009&lt;&gt;"OK",NOT(ISNUMBER(M1009))),"",M1009-S1009)</f>
        <v/>
      </c>
      <c r="U1009" s="49">
        <f>IF(OR(NOT(ISNUMBER(T1009)),IF(ISNUMBER(H1009),H1009,G1009)=0),"",T1009/IF(ISNUMBER(H1009),H1009,G1009))</f>
        <v/>
      </c>
      <c r="V1009" s="49">
        <f>IF(ISNUMBER(U1009),ABS(U1009),"")</f>
        <v/>
      </c>
      <c r="W1009" s="49">
        <f>IF(OR($E1008&lt;&gt;"측정",$C1008&lt;&gt;$C1009,$D1008&lt;&gt;$D1009,NOT(ISNUMBER(M1009)),NOT(ISNUMBER(M1008)),(IF(ISNUMBER(H1009),H1009,G1009)-IF(ISNUMBER(H1008),H1008,G1008))=0),"",(M1009-M1008)/(IF(ISNUMBER(H1009),H1009,G1009)-IF(ISNUMBER(H1008),H1008,G1008)))</f>
        <v/>
      </c>
      <c r="X1009" s="31">
        <f>IF(NOT(AND(ISNUMBER(O1009),ISNUMBER(Q1009))),"",(Q1009-O1009)*1440)</f>
        <v/>
      </c>
      <c r="Y1009" s="29" t="n"/>
      <c r="Z1009" s="29" t="n"/>
      <c r="AA1009" s="29" t="n"/>
      <c r="AB1009" s="32" t="n"/>
      <c r="AC1009" s="32" t="n"/>
    </row>
    <row r="1010">
      <c r="A1010" s="26" t="inlineStr">
        <is>
          <t>S20</t>
        </is>
      </c>
      <c r="B1010" s="26" t="inlineStr">
        <is>
          <t>보령 신규점2</t>
        </is>
      </c>
      <c r="C1010" s="26" t="inlineStr">
        <is>
          <t>S20-H서</t>
        </is>
      </c>
      <c r="D1010" s="47" t="n">
        <v>1</v>
      </c>
      <c r="E1010" s="26" t="inlineStr">
        <is>
          <t>측정</t>
        </is>
      </c>
      <c r="F1010" s="26" t="inlineStr">
        <is>
          <t>서</t>
        </is>
      </c>
      <c r="G1010" s="31" t="n">
        <v>2</v>
      </c>
      <c r="H1010" s="30" t="n"/>
      <c r="I1010" s="43" t="n"/>
      <c r="J1010" s="41" t="n"/>
      <c r="K1010" s="41" t="n"/>
      <c r="L1010" s="41" t="n"/>
      <c r="M1010" s="31">
        <f>IF(COUNT(J1010:L1010)=0,"",MEDIAN(J1010:L1010))</f>
        <v/>
      </c>
      <c r="N1010" s="26">
        <f>IF(COUNTIFS($C:$C,$C1010,$D:$D,$D1010,$E:$E,"P0(전)",$M:$M,"&gt;0")&lt;&gt;1,"P0(전) 유효 1개 아님",IF(COUNTIFS($C:$C,$C1010,$D:$D,$D1010,$E:$E,"P0(후)",$M:$M,"&gt;0")&lt;&gt;1,"P0(후) 유효 1개 아님",IF(NOT(AND(ISNUMBER(O1010),ISNUMBER(Q1010),ISNUMBER(I1010))),"시각 결측",IF(Q1010&lt;=O1010,"P0 시각 역전",IF(OR(I1010&lt;O1010,I1010&gt;Q1010),"측정시각 구간 밖","OK")))))</f>
        <v/>
      </c>
      <c r="O1010" s="48">
        <f>IF(COUNTIFS($C:$C,$C1010,$D:$D,$D1010,$E:$E,"P0(전)",$M:$M,"&gt;0")&lt;&gt;1,"",SUMIFS($I:$I,$C:$C,$C1010,$D:$D,$D1010,$E:$E,"P0(전)"))</f>
        <v/>
      </c>
      <c r="P1010" s="31">
        <f>IF(COUNTIFS($C:$C,$C1010,$D:$D,$D1010,$E:$E,"P0(전)",$M:$M,"&gt;0")&lt;&gt;1,"",SUMIFS($M:$M,$C:$C,$C1010,$D:$D,$D1010,$E:$E,"P0(전)"))</f>
        <v/>
      </c>
      <c r="Q1010" s="48">
        <f>IF(COUNTIFS($C:$C,$C1010,$D:$D,$D1010,$E:$E,"P0(후)",$M:$M,"&gt;0")&lt;&gt;1,"",SUMIFS($I:$I,$C:$C,$C1010,$D:$D,$D1010,$E:$E,"P0(후)"))</f>
        <v/>
      </c>
      <c r="R1010" s="31">
        <f>IF(COUNTIFS($C:$C,$C1010,$D:$D,$D1010,$E:$E,"P0(후)",$M:$M,"&gt;0")&lt;&gt;1,"",SUMIFS($M:$M,$C:$C,$C1010,$D:$D,$D1010,$E:$E,"P0(후)"))</f>
        <v/>
      </c>
      <c r="S1010" s="31">
        <f>IF(N1010&lt;&gt;"OK","",P1010+(R1010-P1010)*(I1010-O1010)/(Q1010-O1010))</f>
        <v/>
      </c>
      <c r="T1010" s="31">
        <f>IF(OR(N1010&lt;&gt;"OK",NOT(ISNUMBER(M1010))),"",M1010-S1010)</f>
        <v/>
      </c>
      <c r="U1010" s="49">
        <f>IF(OR(NOT(ISNUMBER(T1010)),IF(ISNUMBER(H1010),H1010,G1010)=0),"",T1010/IF(ISNUMBER(H1010),H1010,G1010))</f>
        <v/>
      </c>
      <c r="V1010" s="49">
        <f>IF(ISNUMBER(U1010),ABS(U1010),"")</f>
        <v/>
      </c>
      <c r="W1010" s="49">
        <f>IF(OR($E1009&lt;&gt;"측정",$C1009&lt;&gt;$C1010,$D1009&lt;&gt;$D1010,NOT(ISNUMBER(M1010)),NOT(ISNUMBER(M1009)),(IF(ISNUMBER(H1010),H1010,G1010)-IF(ISNUMBER(H1009),H1009,G1009))=0),"",(M1010-M1009)/(IF(ISNUMBER(H1010),H1010,G1010)-IF(ISNUMBER(H1009),H1009,G1009)))</f>
        <v/>
      </c>
      <c r="X1010" s="31">
        <f>IF(NOT(AND(ISNUMBER(O1010),ISNUMBER(Q1010))),"",(Q1010-O1010)*1440)</f>
        <v/>
      </c>
      <c r="Y1010" s="29" t="n"/>
      <c r="Z1010" s="29" t="n"/>
      <c r="AA1010" s="29" t="n"/>
      <c r="AB1010" s="32" t="n"/>
      <c r="AC1010" s="32" t="n"/>
    </row>
    <row r="1011">
      <c r="A1011" s="26" t="inlineStr">
        <is>
          <t>S20</t>
        </is>
      </c>
      <c r="B1011" s="26" t="inlineStr">
        <is>
          <t>보령 신규점2</t>
        </is>
      </c>
      <c r="C1011" s="26" t="inlineStr">
        <is>
          <t>S20-H서</t>
        </is>
      </c>
      <c r="D1011" s="47" t="n">
        <v>1</v>
      </c>
      <c r="E1011" s="26" t="inlineStr">
        <is>
          <t>측정</t>
        </is>
      </c>
      <c r="F1011" s="26" t="inlineStr">
        <is>
          <t>서</t>
        </is>
      </c>
      <c r="G1011" s="31" t="n">
        <v>3</v>
      </c>
      <c r="H1011" s="30" t="n"/>
      <c r="I1011" s="43" t="n"/>
      <c r="J1011" s="41" t="n"/>
      <c r="K1011" s="41" t="n"/>
      <c r="L1011" s="41" t="n"/>
      <c r="M1011" s="31">
        <f>IF(COUNT(J1011:L1011)=0,"",MEDIAN(J1011:L1011))</f>
        <v/>
      </c>
      <c r="N1011" s="26">
        <f>IF(COUNTIFS($C:$C,$C1011,$D:$D,$D1011,$E:$E,"P0(전)",$M:$M,"&gt;0")&lt;&gt;1,"P0(전) 유효 1개 아님",IF(COUNTIFS($C:$C,$C1011,$D:$D,$D1011,$E:$E,"P0(후)",$M:$M,"&gt;0")&lt;&gt;1,"P0(후) 유효 1개 아님",IF(NOT(AND(ISNUMBER(O1011),ISNUMBER(Q1011),ISNUMBER(I1011))),"시각 결측",IF(Q1011&lt;=O1011,"P0 시각 역전",IF(OR(I1011&lt;O1011,I1011&gt;Q1011),"측정시각 구간 밖","OK")))))</f>
        <v/>
      </c>
      <c r="O1011" s="48">
        <f>IF(COUNTIFS($C:$C,$C1011,$D:$D,$D1011,$E:$E,"P0(전)",$M:$M,"&gt;0")&lt;&gt;1,"",SUMIFS($I:$I,$C:$C,$C1011,$D:$D,$D1011,$E:$E,"P0(전)"))</f>
        <v/>
      </c>
      <c r="P1011" s="31">
        <f>IF(COUNTIFS($C:$C,$C1011,$D:$D,$D1011,$E:$E,"P0(전)",$M:$M,"&gt;0")&lt;&gt;1,"",SUMIFS($M:$M,$C:$C,$C1011,$D:$D,$D1011,$E:$E,"P0(전)"))</f>
        <v/>
      </c>
      <c r="Q1011" s="48">
        <f>IF(COUNTIFS($C:$C,$C1011,$D:$D,$D1011,$E:$E,"P0(후)",$M:$M,"&gt;0")&lt;&gt;1,"",SUMIFS($I:$I,$C:$C,$C1011,$D:$D,$D1011,$E:$E,"P0(후)"))</f>
        <v/>
      </c>
      <c r="R1011" s="31">
        <f>IF(COUNTIFS($C:$C,$C1011,$D:$D,$D1011,$E:$E,"P0(후)",$M:$M,"&gt;0")&lt;&gt;1,"",SUMIFS($M:$M,$C:$C,$C1011,$D:$D,$D1011,$E:$E,"P0(후)"))</f>
        <v/>
      </c>
      <c r="S1011" s="31">
        <f>IF(N1011&lt;&gt;"OK","",P1011+(R1011-P1011)*(I1011-O1011)/(Q1011-O1011))</f>
        <v/>
      </c>
      <c r="T1011" s="31">
        <f>IF(OR(N1011&lt;&gt;"OK",NOT(ISNUMBER(M1011))),"",M1011-S1011)</f>
        <v/>
      </c>
      <c r="U1011" s="49">
        <f>IF(OR(NOT(ISNUMBER(T1011)),IF(ISNUMBER(H1011),H1011,G1011)=0),"",T1011/IF(ISNUMBER(H1011),H1011,G1011))</f>
        <v/>
      </c>
      <c r="V1011" s="49">
        <f>IF(ISNUMBER(U1011),ABS(U1011),"")</f>
        <v/>
      </c>
      <c r="W1011" s="49">
        <f>IF(OR($E1010&lt;&gt;"측정",$C1010&lt;&gt;$C1011,$D1010&lt;&gt;$D1011,NOT(ISNUMBER(M1011)),NOT(ISNUMBER(M1010)),(IF(ISNUMBER(H1011),H1011,G1011)-IF(ISNUMBER(H1010),H1010,G1010))=0),"",(M1011-M1010)/(IF(ISNUMBER(H1011),H1011,G1011)-IF(ISNUMBER(H1010),H1010,G1010)))</f>
        <v/>
      </c>
      <c r="X1011" s="31">
        <f>IF(NOT(AND(ISNUMBER(O1011),ISNUMBER(Q1011))),"",(Q1011-O1011)*1440)</f>
        <v/>
      </c>
      <c r="Y1011" s="29" t="n"/>
      <c r="Z1011" s="29" t="n"/>
      <c r="AA1011" s="29" t="n"/>
      <c r="AB1011" s="32" t="n"/>
      <c r="AC1011" s="32" t="n"/>
    </row>
    <row r="1012">
      <c r="A1012" s="26" t="inlineStr">
        <is>
          <t>S20</t>
        </is>
      </c>
      <c r="B1012" s="26" t="inlineStr">
        <is>
          <t>보령 신규점2</t>
        </is>
      </c>
      <c r="C1012" s="26" t="inlineStr">
        <is>
          <t>S20-H서</t>
        </is>
      </c>
      <c r="D1012" s="47" t="n">
        <v>1</v>
      </c>
      <c r="E1012" s="26" t="inlineStr">
        <is>
          <t>측정</t>
        </is>
      </c>
      <c r="F1012" s="26" t="inlineStr">
        <is>
          <t>서</t>
        </is>
      </c>
      <c r="G1012" s="31" t="n">
        <v>4</v>
      </c>
      <c r="H1012" s="30" t="n"/>
      <c r="I1012" s="43" t="n"/>
      <c r="J1012" s="41" t="n"/>
      <c r="K1012" s="41" t="n"/>
      <c r="L1012" s="41" t="n"/>
      <c r="M1012" s="31">
        <f>IF(COUNT(J1012:L1012)=0,"",MEDIAN(J1012:L1012))</f>
        <v/>
      </c>
      <c r="N1012" s="26">
        <f>IF(COUNTIFS($C:$C,$C1012,$D:$D,$D1012,$E:$E,"P0(전)",$M:$M,"&gt;0")&lt;&gt;1,"P0(전) 유효 1개 아님",IF(COUNTIFS($C:$C,$C1012,$D:$D,$D1012,$E:$E,"P0(후)",$M:$M,"&gt;0")&lt;&gt;1,"P0(후) 유효 1개 아님",IF(NOT(AND(ISNUMBER(O1012),ISNUMBER(Q1012),ISNUMBER(I1012))),"시각 결측",IF(Q1012&lt;=O1012,"P0 시각 역전",IF(OR(I1012&lt;O1012,I1012&gt;Q1012),"측정시각 구간 밖","OK")))))</f>
        <v/>
      </c>
      <c r="O1012" s="48">
        <f>IF(COUNTIFS($C:$C,$C1012,$D:$D,$D1012,$E:$E,"P0(전)",$M:$M,"&gt;0")&lt;&gt;1,"",SUMIFS($I:$I,$C:$C,$C1012,$D:$D,$D1012,$E:$E,"P0(전)"))</f>
        <v/>
      </c>
      <c r="P1012" s="31">
        <f>IF(COUNTIFS($C:$C,$C1012,$D:$D,$D1012,$E:$E,"P0(전)",$M:$M,"&gt;0")&lt;&gt;1,"",SUMIFS($M:$M,$C:$C,$C1012,$D:$D,$D1012,$E:$E,"P0(전)"))</f>
        <v/>
      </c>
      <c r="Q1012" s="48">
        <f>IF(COUNTIFS($C:$C,$C1012,$D:$D,$D1012,$E:$E,"P0(후)",$M:$M,"&gt;0")&lt;&gt;1,"",SUMIFS($I:$I,$C:$C,$C1012,$D:$D,$D1012,$E:$E,"P0(후)"))</f>
        <v/>
      </c>
      <c r="R1012" s="31">
        <f>IF(COUNTIFS($C:$C,$C1012,$D:$D,$D1012,$E:$E,"P0(후)",$M:$M,"&gt;0")&lt;&gt;1,"",SUMIFS($M:$M,$C:$C,$C1012,$D:$D,$D1012,$E:$E,"P0(후)"))</f>
        <v/>
      </c>
      <c r="S1012" s="31">
        <f>IF(N1012&lt;&gt;"OK","",P1012+(R1012-P1012)*(I1012-O1012)/(Q1012-O1012))</f>
        <v/>
      </c>
      <c r="T1012" s="31">
        <f>IF(OR(N1012&lt;&gt;"OK",NOT(ISNUMBER(M1012))),"",M1012-S1012)</f>
        <v/>
      </c>
      <c r="U1012" s="49">
        <f>IF(OR(NOT(ISNUMBER(T1012)),IF(ISNUMBER(H1012),H1012,G1012)=0),"",T1012/IF(ISNUMBER(H1012),H1012,G1012))</f>
        <v/>
      </c>
      <c r="V1012" s="49">
        <f>IF(ISNUMBER(U1012),ABS(U1012),"")</f>
        <v/>
      </c>
      <c r="W1012" s="49">
        <f>IF(OR($E1011&lt;&gt;"측정",$C1011&lt;&gt;$C1012,$D1011&lt;&gt;$D1012,NOT(ISNUMBER(M1012)),NOT(ISNUMBER(M1011)),(IF(ISNUMBER(H1012),H1012,G1012)-IF(ISNUMBER(H1011),H1011,G1011))=0),"",(M1012-M1011)/(IF(ISNUMBER(H1012),H1012,G1012)-IF(ISNUMBER(H1011),H1011,G1011)))</f>
        <v/>
      </c>
      <c r="X1012" s="31">
        <f>IF(NOT(AND(ISNUMBER(O1012),ISNUMBER(Q1012))),"",(Q1012-O1012)*1440)</f>
        <v/>
      </c>
      <c r="Y1012" s="29" t="n"/>
      <c r="Z1012" s="29" t="n"/>
      <c r="AA1012" s="29" t="n"/>
      <c r="AB1012" s="32" t="n"/>
      <c r="AC1012" s="32" t="n"/>
    </row>
    <row r="1013">
      <c r="A1013" s="26" t="inlineStr">
        <is>
          <t>S20</t>
        </is>
      </c>
      <c r="B1013" s="26" t="inlineStr">
        <is>
          <t>보령 신규점2</t>
        </is>
      </c>
      <c r="C1013" s="26" t="inlineStr">
        <is>
          <t>S20-H서</t>
        </is>
      </c>
      <c r="D1013" s="47" t="n">
        <v>1</v>
      </c>
      <c r="E1013" s="26" t="inlineStr">
        <is>
          <t>측정</t>
        </is>
      </c>
      <c r="F1013" s="26" t="inlineStr">
        <is>
          <t>서</t>
        </is>
      </c>
      <c r="G1013" s="31" t="n">
        <v>5</v>
      </c>
      <c r="H1013" s="30" t="n"/>
      <c r="I1013" s="43" t="n"/>
      <c r="J1013" s="41" t="n"/>
      <c r="K1013" s="41" t="n"/>
      <c r="L1013" s="41" t="n"/>
      <c r="M1013" s="31">
        <f>IF(COUNT(J1013:L1013)=0,"",MEDIAN(J1013:L1013))</f>
        <v/>
      </c>
      <c r="N1013" s="26">
        <f>IF(COUNTIFS($C:$C,$C1013,$D:$D,$D1013,$E:$E,"P0(전)",$M:$M,"&gt;0")&lt;&gt;1,"P0(전) 유효 1개 아님",IF(COUNTIFS($C:$C,$C1013,$D:$D,$D1013,$E:$E,"P0(후)",$M:$M,"&gt;0")&lt;&gt;1,"P0(후) 유효 1개 아님",IF(NOT(AND(ISNUMBER(O1013),ISNUMBER(Q1013),ISNUMBER(I1013))),"시각 결측",IF(Q1013&lt;=O1013,"P0 시각 역전",IF(OR(I1013&lt;O1013,I1013&gt;Q1013),"측정시각 구간 밖","OK")))))</f>
        <v/>
      </c>
      <c r="O1013" s="48">
        <f>IF(COUNTIFS($C:$C,$C1013,$D:$D,$D1013,$E:$E,"P0(전)",$M:$M,"&gt;0")&lt;&gt;1,"",SUMIFS($I:$I,$C:$C,$C1013,$D:$D,$D1013,$E:$E,"P0(전)"))</f>
        <v/>
      </c>
      <c r="P1013" s="31">
        <f>IF(COUNTIFS($C:$C,$C1013,$D:$D,$D1013,$E:$E,"P0(전)",$M:$M,"&gt;0")&lt;&gt;1,"",SUMIFS($M:$M,$C:$C,$C1013,$D:$D,$D1013,$E:$E,"P0(전)"))</f>
        <v/>
      </c>
      <c r="Q1013" s="48">
        <f>IF(COUNTIFS($C:$C,$C1013,$D:$D,$D1013,$E:$E,"P0(후)",$M:$M,"&gt;0")&lt;&gt;1,"",SUMIFS($I:$I,$C:$C,$C1013,$D:$D,$D1013,$E:$E,"P0(후)"))</f>
        <v/>
      </c>
      <c r="R1013" s="31">
        <f>IF(COUNTIFS($C:$C,$C1013,$D:$D,$D1013,$E:$E,"P0(후)",$M:$M,"&gt;0")&lt;&gt;1,"",SUMIFS($M:$M,$C:$C,$C1013,$D:$D,$D1013,$E:$E,"P0(후)"))</f>
        <v/>
      </c>
      <c r="S1013" s="31">
        <f>IF(N1013&lt;&gt;"OK","",P1013+(R1013-P1013)*(I1013-O1013)/(Q1013-O1013))</f>
        <v/>
      </c>
      <c r="T1013" s="31">
        <f>IF(OR(N1013&lt;&gt;"OK",NOT(ISNUMBER(M1013))),"",M1013-S1013)</f>
        <v/>
      </c>
      <c r="U1013" s="49">
        <f>IF(OR(NOT(ISNUMBER(T1013)),IF(ISNUMBER(H1013),H1013,G1013)=0),"",T1013/IF(ISNUMBER(H1013),H1013,G1013))</f>
        <v/>
      </c>
      <c r="V1013" s="49">
        <f>IF(ISNUMBER(U1013),ABS(U1013),"")</f>
        <v/>
      </c>
      <c r="W1013" s="49">
        <f>IF(OR($E1012&lt;&gt;"측정",$C1012&lt;&gt;$C1013,$D1012&lt;&gt;$D1013,NOT(ISNUMBER(M1013)),NOT(ISNUMBER(M1012)),(IF(ISNUMBER(H1013),H1013,G1013)-IF(ISNUMBER(H1012),H1012,G1012))=0),"",(M1013-M1012)/(IF(ISNUMBER(H1013),H1013,G1013)-IF(ISNUMBER(H1012),H1012,G1012)))</f>
        <v/>
      </c>
      <c r="X1013" s="31">
        <f>IF(NOT(AND(ISNUMBER(O1013),ISNUMBER(Q1013))),"",(Q1013-O1013)*1440)</f>
        <v/>
      </c>
      <c r="Y1013" s="29" t="n"/>
      <c r="Z1013" s="29" t="n"/>
      <c r="AA1013" s="29" t="n"/>
      <c r="AB1013" s="32" t="n"/>
      <c r="AC1013" s="32" t="n"/>
    </row>
    <row r="1014">
      <c r="A1014" s="26" t="inlineStr">
        <is>
          <t>S20</t>
        </is>
      </c>
      <c r="B1014" s="26" t="inlineStr">
        <is>
          <t>보령 신규점2</t>
        </is>
      </c>
      <c r="C1014" s="26" t="inlineStr">
        <is>
          <t>S20-H서</t>
        </is>
      </c>
      <c r="D1014" s="47" t="n">
        <v>1</v>
      </c>
      <c r="E1014" s="26" t="inlineStr">
        <is>
          <t>측정</t>
        </is>
      </c>
      <c r="F1014" s="26" t="inlineStr">
        <is>
          <t>서</t>
        </is>
      </c>
      <c r="G1014" s="31" t="n">
        <v>6</v>
      </c>
      <c r="H1014" s="30" t="n"/>
      <c r="I1014" s="43" t="n"/>
      <c r="J1014" s="41" t="n"/>
      <c r="K1014" s="41" t="n"/>
      <c r="L1014" s="41" t="n"/>
      <c r="M1014" s="31">
        <f>IF(COUNT(J1014:L1014)=0,"",MEDIAN(J1014:L1014))</f>
        <v/>
      </c>
      <c r="N1014" s="26">
        <f>IF(COUNTIFS($C:$C,$C1014,$D:$D,$D1014,$E:$E,"P0(전)",$M:$M,"&gt;0")&lt;&gt;1,"P0(전) 유효 1개 아님",IF(COUNTIFS($C:$C,$C1014,$D:$D,$D1014,$E:$E,"P0(후)",$M:$M,"&gt;0")&lt;&gt;1,"P0(후) 유효 1개 아님",IF(NOT(AND(ISNUMBER(O1014),ISNUMBER(Q1014),ISNUMBER(I1014))),"시각 결측",IF(Q1014&lt;=O1014,"P0 시각 역전",IF(OR(I1014&lt;O1014,I1014&gt;Q1014),"측정시각 구간 밖","OK")))))</f>
        <v/>
      </c>
      <c r="O1014" s="48">
        <f>IF(COUNTIFS($C:$C,$C1014,$D:$D,$D1014,$E:$E,"P0(전)",$M:$M,"&gt;0")&lt;&gt;1,"",SUMIFS($I:$I,$C:$C,$C1014,$D:$D,$D1014,$E:$E,"P0(전)"))</f>
        <v/>
      </c>
      <c r="P1014" s="31">
        <f>IF(COUNTIFS($C:$C,$C1014,$D:$D,$D1014,$E:$E,"P0(전)",$M:$M,"&gt;0")&lt;&gt;1,"",SUMIFS($M:$M,$C:$C,$C1014,$D:$D,$D1014,$E:$E,"P0(전)"))</f>
        <v/>
      </c>
      <c r="Q1014" s="48">
        <f>IF(COUNTIFS($C:$C,$C1014,$D:$D,$D1014,$E:$E,"P0(후)",$M:$M,"&gt;0")&lt;&gt;1,"",SUMIFS($I:$I,$C:$C,$C1014,$D:$D,$D1014,$E:$E,"P0(후)"))</f>
        <v/>
      </c>
      <c r="R1014" s="31">
        <f>IF(COUNTIFS($C:$C,$C1014,$D:$D,$D1014,$E:$E,"P0(후)",$M:$M,"&gt;0")&lt;&gt;1,"",SUMIFS($M:$M,$C:$C,$C1014,$D:$D,$D1014,$E:$E,"P0(후)"))</f>
        <v/>
      </c>
      <c r="S1014" s="31">
        <f>IF(N1014&lt;&gt;"OK","",P1014+(R1014-P1014)*(I1014-O1014)/(Q1014-O1014))</f>
        <v/>
      </c>
      <c r="T1014" s="31">
        <f>IF(OR(N1014&lt;&gt;"OK",NOT(ISNUMBER(M1014))),"",M1014-S1014)</f>
        <v/>
      </c>
      <c r="U1014" s="49">
        <f>IF(OR(NOT(ISNUMBER(T1014)),IF(ISNUMBER(H1014),H1014,G1014)=0),"",T1014/IF(ISNUMBER(H1014),H1014,G1014))</f>
        <v/>
      </c>
      <c r="V1014" s="49">
        <f>IF(ISNUMBER(U1014),ABS(U1014),"")</f>
        <v/>
      </c>
      <c r="W1014" s="49">
        <f>IF(OR($E1013&lt;&gt;"측정",$C1013&lt;&gt;$C1014,$D1013&lt;&gt;$D1014,NOT(ISNUMBER(M1014)),NOT(ISNUMBER(M1013)),(IF(ISNUMBER(H1014),H1014,G1014)-IF(ISNUMBER(H1013),H1013,G1013))=0),"",(M1014-M1013)/(IF(ISNUMBER(H1014),H1014,G1014)-IF(ISNUMBER(H1013),H1013,G1013)))</f>
        <v/>
      </c>
      <c r="X1014" s="31">
        <f>IF(NOT(AND(ISNUMBER(O1014),ISNUMBER(Q1014))),"",(Q1014-O1014)*1440)</f>
        <v/>
      </c>
      <c r="Y1014" s="29" t="n"/>
      <c r="Z1014" s="29" t="n"/>
      <c r="AA1014" s="29" t="n"/>
      <c r="AB1014" s="32" t="n"/>
      <c r="AC1014" s="32" t="n"/>
    </row>
    <row r="1015">
      <c r="A1015" s="26" t="inlineStr">
        <is>
          <t>S20</t>
        </is>
      </c>
      <c r="B1015" s="26" t="inlineStr">
        <is>
          <t>보령 신규점2</t>
        </is>
      </c>
      <c r="C1015" s="26" t="inlineStr">
        <is>
          <t>S20-H서</t>
        </is>
      </c>
      <c r="D1015" s="47" t="n">
        <v>1</v>
      </c>
      <c r="E1015" s="26" t="inlineStr">
        <is>
          <t>측정</t>
        </is>
      </c>
      <c r="F1015" s="26" t="inlineStr">
        <is>
          <t>서</t>
        </is>
      </c>
      <c r="G1015" s="31" t="n">
        <v>7</v>
      </c>
      <c r="H1015" s="30" t="n"/>
      <c r="I1015" s="43" t="n"/>
      <c r="J1015" s="41" t="n"/>
      <c r="K1015" s="41" t="n"/>
      <c r="L1015" s="41" t="n"/>
      <c r="M1015" s="31">
        <f>IF(COUNT(J1015:L1015)=0,"",MEDIAN(J1015:L1015))</f>
        <v/>
      </c>
      <c r="N1015" s="26">
        <f>IF(COUNTIFS($C:$C,$C1015,$D:$D,$D1015,$E:$E,"P0(전)",$M:$M,"&gt;0")&lt;&gt;1,"P0(전) 유효 1개 아님",IF(COUNTIFS($C:$C,$C1015,$D:$D,$D1015,$E:$E,"P0(후)",$M:$M,"&gt;0")&lt;&gt;1,"P0(후) 유효 1개 아님",IF(NOT(AND(ISNUMBER(O1015),ISNUMBER(Q1015),ISNUMBER(I1015))),"시각 결측",IF(Q1015&lt;=O1015,"P0 시각 역전",IF(OR(I1015&lt;O1015,I1015&gt;Q1015),"측정시각 구간 밖","OK")))))</f>
        <v/>
      </c>
      <c r="O1015" s="48">
        <f>IF(COUNTIFS($C:$C,$C1015,$D:$D,$D1015,$E:$E,"P0(전)",$M:$M,"&gt;0")&lt;&gt;1,"",SUMIFS($I:$I,$C:$C,$C1015,$D:$D,$D1015,$E:$E,"P0(전)"))</f>
        <v/>
      </c>
      <c r="P1015" s="31">
        <f>IF(COUNTIFS($C:$C,$C1015,$D:$D,$D1015,$E:$E,"P0(전)",$M:$M,"&gt;0")&lt;&gt;1,"",SUMIFS($M:$M,$C:$C,$C1015,$D:$D,$D1015,$E:$E,"P0(전)"))</f>
        <v/>
      </c>
      <c r="Q1015" s="48">
        <f>IF(COUNTIFS($C:$C,$C1015,$D:$D,$D1015,$E:$E,"P0(후)",$M:$M,"&gt;0")&lt;&gt;1,"",SUMIFS($I:$I,$C:$C,$C1015,$D:$D,$D1015,$E:$E,"P0(후)"))</f>
        <v/>
      </c>
      <c r="R1015" s="31">
        <f>IF(COUNTIFS($C:$C,$C1015,$D:$D,$D1015,$E:$E,"P0(후)",$M:$M,"&gt;0")&lt;&gt;1,"",SUMIFS($M:$M,$C:$C,$C1015,$D:$D,$D1015,$E:$E,"P0(후)"))</f>
        <v/>
      </c>
      <c r="S1015" s="31">
        <f>IF(N1015&lt;&gt;"OK","",P1015+(R1015-P1015)*(I1015-O1015)/(Q1015-O1015))</f>
        <v/>
      </c>
      <c r="T1015" s="31">
        <f>IF(OR(N1015&lt;&gt;"OK",NOT(ISNUMBER(M1015))),"",M1015-S1015)</f>
        <v/>
      </c>
      <c r="U1015" s="49">
        <f>IF(OR(NOT(ISNUMBER(T1015)),IF(ISNUMBER(H1015),H1015,G1015)=0),"",T1015/IF(ISNUMBER(H1015),H1015,G1015))</f>
        <v/>
      </c>
      <c r="V1015" s="49">
        <f>IF(ISNUMBER(U1015),ABS(U1015),"")</f>
        <v/>
      </c>
      <c r="W1015" s="49">
        <f>IF(OR($E1014&lt;&gt;"측정",$C1014&lt;&gt;$C1015,$D1014&lt;&gt;$D1015,NOT(ISNUMBER(M1015)),NOT(ISNUMBER(M1014)),(IF(ISNUMBER(H1015),H1015,G1015)-IF(ISNUMBER(H1014),H1014,G1014))=0),"",(M1015-M1014)/(IF(ISNUMBER(H1015),H1015,G1015)-IF(ISNUMBER(H1014),H1014,G1014)))</f>
        <v/>
      </c>
      <c r="X1015" s="31">
        <f>IF(NOT(AND(ISNUMBER(O1015),ISNUMBER(Q1015))),"",(Q1015-O1015)*1440)</f>
        <v/>
      </c>
      <c r="Y1015" s="29" t="n"/>
      <c r="Z1015" s="29" t="n"/>
      <c r="AA1015" s="29" t="n"/>
      <c r="AB1015" s="32" t="n"/>
      <c r="AC1015" s="32" t="n"/>
    </row>
    <row r="1016">
      <c r="A1016" s="26" t="inlineStr">
        <is>
          <t>S20</t>
        </is>
      </c>
      <c r="B1016" s="26" t="inlineStr">
        <is>
          <t>보령 신규점2</t>
        </is>
      </c>
      <c r="C1016" s="26" t="inlineStr">
        <is>
          <t>S20-H서</t>
        </is>
      </c>
      <c r="D1016" s="47" t="n">
        <v>1</v>
      </c>
      <c r="E1016" s="26" t="inlineStr">
        <is>
          <t>측정</t>
        </is>
      </c>
      <c r="F1016" s="26" t="inlineStr">
        <is>
          <t>서</t>
        </is>
      </c>
      <c r="G1016" s="31" t="n">
        <v>8</v>
      </c>
      <c r="H1016" s="30" t="n"/>
      <c r="I1016" s="43" t="n"/>
      <c r="J1016" s="41" t="n"/>
      <c r="K1016" s="41" t="n"/>
      <c r="L1016" s="41" t="n"/>
      <c r="M1016" s="31">
        <f>IF(COUNT(J1016:L1016)=0,"",MEDIAN(J1016:L1016))</f>
        <v/>
      </c>
      <c r="N1016" s="26">
        <f>IF(COUNTIFS($C:$C,$C1016,$D:$D,$D1016,$E:$E,"P0(전)",$M:$M,"&gt;0")&lt;&gt;1,"P0(전) 유효 1개 아님",IF(COUNTIFS($C:$C,$C1016,$D:$D,$D1016,$E:$E,"P0(후)",$M:$M,"&gt;0")&lt;&gt;1,"P0(후) 유효 1개 아님",IF(NOT(AND(ISNUMBER(O1016),ISNUMBER(Q1016),ISNUMBER(I1016))),"시각 결측",IF(Q1016&lt;=O1016,"P0 시각 역전",IF(OR(I1016&lt;O1016,I1016&gt;Q1016),"측정시각 구간 밖","OK")))))</f>
        <v/>
      </c>
      <c r="O1016" s="48">
        <f>IF(COUNTIFS($C:$C,$C1016,$D:$D,$D1016,$E:$E,"P0(전)",$M:$M,"&gt;0")&lt;&gt;1,"",SUMIFS($I:$I,$C:$C,$C1016,$D:$D,$D1016,$E:$E,"P0(전)"))</f>
        <v/>
      </c>
      <c r="P1016" s="31">
        <f>IF(COUNTIFS($C:$C,$C1016,$D:$D,$D1016,$E:$E,"P0(전)",$M:$M,"&gt;0")&lt;&gt;1,"",SUMIFS($M:$M,$C:$C,$C1016,$D:$D,$D1016,$E:$E,"P0(전)"))</f>
        <v/>
      </c>
      <c r="Q1016" s="48">
        <f>IF(COUNTIFS($C:$C,$C1016,$D:$D,$D1016,$E:$E,"P0(후)",$M:$M,"&gt;0")&lt;&gt;1,"",SUMIFS($I:$I,$C:$C,$C1016,$D:$D,$D1016,$E:$E,"P0(후)"))</f>
        <v/>
      </c>
      <c r="R1016" s="31">
        <f>IF(COUNTIFS($C:$C,$C1016,$D:$D,$D1016,$E:$E,"P0(후)",$M:$M,"&gt;0")&lt;&gt;1,"",SUMIFS($M:$M,$C:$C,$C1016,$D:$D,$D1016,$E:$E,"P0(후)"))</f>
        <v/>
      </c>
      <c r="S1016" s="31">
        <f>IF(N1016&lt;&gt;"OK","",P1016+(R1016-P1016)*(I1016-O1016)/(Q1016-O1016))</f>
        <v/>
      </c>
      <c r="T1016" s="31">
        <f>IF(OR(N1016&lt;&gt;"OK",NOT(ISNUMBER(M1016))),"",M1016-S1016)</f>
        <v/>
      </c>
      <c r="U1016" s="49">
        <f>IF(OR(NOT(ISNUMBER(T1016)),IF(ISNUMBER(H1016),H1016,G1016)=0),"",T1016/IF(ISNUMBER(H1016),H1016,G1016))</f>
        <v/>
      </c>
      <c r="V1016" s="49">
        <f>IF(ISNUMBER(U1016),ABS(U1016),"")</f>
        <v/>
      </c>
      <c r="W1016" s="49">
        <f>IF(OR($E1015&lt;&gt;"측정",$C1015&lt;&gt;$C1016,$D1015&lt;&gt;$D1016,NOT(ISNUMBER(M1016)),NOT(ISNUMBER(M1015)),(IF(ISNUMBER(H1016),H1016,G1016)-IF(ISNUMBER(H1015),H1015,G1015))=0),"",(M1016-M1015)/(IF(ISNUMBER(H1016),H1016,G1016)-IF(ISNUMBER(H1015),H1015,G1015)))</f>
        <v/>
      </c>
      <c r="X1016" s="31">
        <f>IF(NOT(AND(ISNUMBER(O1016),ISNUMBER(Q1016))),"",(Q1016-O1016)*1440)</f>
        <v/>
      </c>
      <c r="Y1016" s="29" t="n"/>
      <c r="Z1016" s="29" t="n"/>
      <c r="AA1016" s="29" t="n"/>
      <c r="AB1016" s="32" t="n"/>
      <c r="AC1016" s="32" t="n"/>
    </row>
    <row r="1017">
      <c r="A1017" s="26" t="inlineStr">
        <is>
          <t>S20</t>
        </is>
      </c>
      <c r="B1017" s="26" t="inlineStr">
        <is>
          <t>보령 신규점2</t>
        </is>
      </c>
      <c r="C1017" s="26" t="inlineStr">
        <is>
          <t>S20-H서</t>
        </is>
      </c>
      <c r="D1017" s="47" t="n">
        <v>1</v>
      </c>
      <c r="E1017" s="26" t="inlineStr">
        <is>
          <t>측정</t>
        </is>
      </c>
      <c r="F1017" s="26" t="inlineStr">
        <is>
          <t>서</t>
        </is>
      </c>
      <c r="G1017" s="31" t="n">
        <v>9</v>
      </c>
      <c r="H1017" s="30" t="n"/>
      <c r="I1017" s="43" t="n"/>
      <c r="J1017" s="41" t="n"/>
      <c r="K1017" s="41" t="n"/>
      <c r="L1017" s="41" t="n"/>
      <c r="M1017" s="31">
        <f>IF(COUNT(J1017:L1017)=0,"",MEDIAN(J1017:L1017))</f>
        <v/>
      </c>
      <c r="N1017" s="26">
        <f>IF(COUNTIFS($C:$C,$C1017,$D:$D,$D1017,$E:$E,"P0(전)",$M:$M,"&gt;0")&lt;&gt;1,"P0(전) 유효 1개 아님",IF(COUNTIFS($C:$C,$C1017,$D:$D,$D1017,$E:$E,"P0(후)",$M:$M,"&gt;0")&lt;&gt;1,"P0(후) 유효 1개 아님",IF(NOT(AND(ISNUMBER(O1017),ISNUMBER(Q1017),ISNUMBER(I1017))),"시각 결측",IF(Q1017&lt;=O1017,"P0 시각 역전",IF(OR(I1017&lt;O1017,I1017&gt;Q1017),"측정시각 구간 밖","OK")))))</f>
        <v/>
      </c>
      <c r="O1017" s="48">
        <f>IF(COUNTIFS($C:$C,$C1017,$D:$D,$D1017,$E:$E,"P0(전)",$M:$M,"&gt;0")&lt;&gt;1,"",SUMIFS($I:$I,$C:$C,$C1017,$D:$D,$D1017,$E:$E,"P0(전)"))</f>
        <v/>
      </c>
      <c r="P1017" s="31">
        <f>IF(COUNTIFS($C:$C,$C1017,$D:$D,$D1017,$E:$E,"P0(전)",$M:$M,"&gt;0")&lt;&gt;1,"",SUMIFS($M:$M,$C:$C,$C1017,$D:$D,$D1017,$E:$E,"P0(전)"))</f>
        <v/>
      </c>
      <c r="Q1017" s="48">
        <f>IF(COUNTIFS($C:$C,$C1017,$D:$D,$D1017,$E:$E,"P0(후)",$M:$M,"&gt;0")&lt;&gt;1,"",SUMIFS($I:$I,$C:$C,$C1017,$D:$D,$D1017,$E:$E,"P0(후)"))</f>
        <v/>
      </c>
      <c r="R1017" s="31">
        <f>IF(COUNTIFS($C:$C,$C1017,$D:$D,$D1017,$E:$E,"P0(후)",$M:$M,"&gt;0")&lt;&gt;1,"",SUMIFS($M:$M,$C:$C,$C1017,$D:$D,$D1017,$E:$E,"P0(후)"))</f>
        <v/>
      </c>
      <c r="S1017" s="31">
        <f>IF(N1017&lt;&gt;"OK","",P1017+(R1017-P1017)*(I1017-O1017)/(Q1017-O1017))</f>
        <v/>
      </c>
      <c r="T1017" s="31">
        <f>IF(OR(N1017&lt;&gt;"OK",NOT(ISNUMBER(M1017))),"",M1017-S1017)</f>
        <v/>
      </c>
      <c r="U1017" s="49">
        <f>IF(OR(NOT(ISNUMBER(T1017)),IF(ISNUMBER(H1017),H1017,G1017)=0),"",T1017/IF(ISNUMBER(H1017),H1017,G1017))</f>
        <v/>
      </c>
      <c r="V1017" s="49">
        <f>IF(ISNUMBER(U1017),ABS(U1017),"")</f>
        <v/>
      </c>
      <c r="W1017" s="49">
        <f>IF(OR($E1016&lt;&gt;"측정",$C1016&lt;&gt;$C1017,$D1016&lt;&gt;$D1017,NOT(ISNUMBER(M1017)),NOT(ISNUMBER(M1016)),(IF(ISNUMBER(H1017),H1017,G1017)-IF(ISNUMBER(H1016),H1016,G1016))=0),"",(M1017-M1016)/(IF(ISNUMBER(H1017),H1017,G1017)-IF(ISNUMBER(H1016),H1016,G1016)))</f>
        <v/>
      </c>
      <c r="X1017" s="31">
        <f>IF(NOT(AND(ISNUMBER(O1017),ISNUMBER(Q1017))),"",(Q1017-O1017)*1440)</f>
        <v/>
      </c>
      <c r="Y1017" s="29" t="n"/>
      <c r="Z1017" s="29" t="n"/>
      <c r="AA1017" s="29" t="n"/>
      <c r="AB1017" s="32" t="n"/>
      <c r="AC1017" s="32" t="n"/>
    </row>
    <row r="1018">
      <c r="A1018" s="26" t="inlineStr">
        <is>
          <t>S20</t>
        </is>
      </c>
      <c r="B1018" s="26" t="inlineStr">
        <is>
          <t>보령 신규점2</t>
        </is>
      </c>
      <c r="C1018" s="26" t="inlineStr">
        <is>
          <t>S20-H서</t>
        </is>
      </c>
      <c r="D1018" s="47" t="n">
        <v>1</v>
      </c>
      <c r="E1018" s="26" t="inlineStr">
        <is>
          <t>측정</t>
        </is>
      </c>
      <c r="F1018" s="26" t="inlineStr">
        <is>
          <t>서</t>
        </is>
      </c>
      <c r="G1018" s="31" t="n">
        <v>10</v>
      </c>
      <c r="H1018" s="30" t="n"/>
      <c r="I1018" s="43" t="n"/>
      <c r="J1018" s="41" t="n"/>
      <c r="K1018" s="41" t="n"/>
      <c r="L1018" s="41" t="n"/>
      <c r="M1018" s="31">
        <f>IF(COUNT(J1018:L1018)=0,"",MEDIAN(J1018:L1018))</f>
        <v/>
      </c>
      <c r="N1018" s="26">
        <f>IF(COUNTIFS($C:$C,$C1018,$D:$D,$D1018,$E:$E,"P0(전)",$M:$M,"&gt;0")&lt;&gt;1,"P0(전) 유효 1개 아님",IF(COUNTIFS($C:$C,$C1018,$D:$D,$D1018,$E:$E,"P0(후)",$M:$M,"&gt;0")&lt;&gt;1,"P0(후) 유효 1개 아님",IF(NOT(AND(ISNUMBER(O1018),ISNUMBER(Q1018),ISNUMBER(I1018))),"시각 결측",IF(Q1018&lt;=O1018,"P0 시각 역전",IF(OR(I1018&lt;O1018,I1018&gt;Q1018),"측정시각 구간 밖","OK")))))</f>
        <v/>
      </c>
      <c r="O1018" s="48">
        <f>IF(COUNTIFS($C:$C,$C1018,$D:$D,$D1018,$E:$E,"P0(전)",$M:$M,"&gt;0")&lt;&gt;1,"",SUMIFS($I:$I,$C:$C,$C1018,$D:$D,$D1018,$E:$E,"P0(전)"))</f>
        <v/>
      </c>
      <c r="P1018" s="31">
        <f>IF(COUNTIFS($C:$C,$C1018,$D:$D,$D1018,$E:$E,"P0(전)",$M:$M,"&gt;0")&lt;&gt;1,"",SUMIFS($M:$M,$C:$C,$C1018,$D:$D,$D1018,$E:$E,"P0(전)"))</f>
        <v/>
      </c>
      <c r="Q1018" s="48">
        <f>IF(COUNTIFS($C:$C,$C1018,$D:$D,$D1018,$E:$E,"P0(후)",$M:$M,"&gt;0")&lt;&gt;1,"",SUMIFS($I:$I,$C:$C,$C1018,$D:$D,$D1018,$E:$E,"P0(후)"))</f>
        <v/>
      </c>
      <c r="R1018" s="31">
        <f>IF(COUNTIFS($C:$C,$C1018,$D:$D,$D1018,$E:$E,"P0(후)",$M:$M,"&gt;0")&lt;&gt;1,"",SUMIFS($M:$M,$C:$C,$C1018,$D:$D,$D1018,$E:$E,"P0(후)"))</f>
        <v/>
      </c>
      <c r="S1018" s="31">
        <f>IF(N1018&lt;&gt;"OK","",P1018+(R1018-P1018)*(I1018-O1018)/(Q1018-O1018))</f>
        <v/>
      </c>
      <c r="T1018" s="31">
        <f>IF(OR(N1018&lt;&gt;"OK",NOT(ISNUMBER(M1018))),"",M1018-S1018)</f>
        <v/>
      </c>
      <c r="U1018" s="49">
        <f>IF(OR(NOT(ISNUMBER(T1018)),IF(ISNUMBER(H1018),H1018,G1018)=0),"",T1018/IF(ISNUMBER(H1018),H1018,G1018))</f>
        <v/>
      </c>
      <c r="V1018" s="49">
        <f>IF(ISNUMBER(U1018),ABS(U1018),"")</f>
        <v/>
      </c>
      <c r="W1018" s="49">
        <f>IF(OR($E1017&lt;&gt;"측정",$C1017&lt;&gt;$C1018,$D1017&lt;&gt;$D1018,NOT(ISNUMBER(M1018)),NOT(ISNUMBER(M1017)),(IF(ISNUMBER(H1018),H1018,G1018)-IF(ISNUMBER(H1017),H1017,G1017))=0),"",(M1018-M1017)/(IF(ISNUMBER(H1018),H1018,G1018)-IF(ISNUMBER(H1017),H1017,G1017)))</f>
        <v/>
      </c>
      <c r="X1018" s="31">
        <f>IF(NOT(AND(ISNUMBER(O1018),ISNUMBER(Q1018))),"",(Q1018-O1018)*1440)</f>
        <v/>
      </c>
      <c r="Y1018" s="29" t="n"/>
      <c r="Z1018" s="29" t="n"/>
      <c r="AA1018" s="29" t="n"/>
      <c r="AB1018" s="32" t="n"/>
      <c r="AC1018" s="32" t="n"/>
    </row>
    <row r="1019">
      <c r="A1019" s="44" t="inlineStr">
        <is>
          <t>S20</t>
        </is>
      </c>
      <c r="B1019" s="44" t="inlineStr">
        <is>
          <t>보령 신규점2</t>
        </is>
      </c>
      <c r="C1019" s="44" t="inlineStr">
        <is>
          <t>S20-H서</t>
        </is>
      </c>
      <c r="D1019" s="45" t="n">
        <v>1</v>
      </c>
      <c r="E1019" s="44" t="inlineStr">
        <is>
          <t>P0(후)</t>
        </is>
      </c>
      <c r="F1019" s="44" t="inlineStr">
        <is>
          <t>서</t>
        </is>
      </c>
      <c r="G1019" s="46" t="n"/>
      <c r="H1019" s="30" t="n"/>
      <c r="I1019" s="43" t="n"/>
      <c r="J1019" s="41" t="n"/>
      <c r="K1019" s="41" t="n"/>
      <c r="L1019" s="41" t="n"/>
      <c r="M1019" s="31">
        <f>IF(COUNT(J1019:L1019)=0,"",MEDIAN(J1019:L1019))</f>
        <v/>
      </c>
      <c r="N1019" s="38" t="n"/>
      <c r="O1019" s="38" t="n"/>
      <c r="P1019" s="38" t="n"/>
      <c r="Q1019" s="38" t="n"/>
      <c r="R1019" s="38" t="n"/>
      <c r="S1019" s="38" t="n"/>
      <c r="T1019" s="38" t="n"/>
      <c r="U1019" s="38" t="n"/>
      <c r="V1019" s="38" t="n"/>
      <c r="W1019" s="38" t="n"/>
      <c r="X1019" s="38" t="n"/>
      <c r="Y1019" s="29" t="n"/>
      <c r="Z1019" s="29" t="n"/>
      <c r="AA1019" s="29" t="n"/>
      <c r="AB1019" s="32" t="n"/>
      <c r="AC1019" s="32" t="n"/>
    </row>
    <row r="1020">
      <c r="A1020" s="44" t="inlineStr">
        <is>
          <t>S20</t>
        </is>
      </c>
      <c r="B1020" s="44" t="inlineStr">
        <is>
          <t>보령 신규점2</t>
        </is>
      </c>
      <c r="C1020" s="44" t="inlineStr">
        <is>
          <t>S20-H남</t>
        </is>
      </c>
      <c r="D1020" s="45" t="n">
        <v>1</v>
      </c>
      <c r="E1020" s="44" t="inlineStr">
        <is>
          <t>P0(전)</t>
        </is>
      </c>
      <c r="F1020" s="44" t="inlineStr">
        <is>
          <t>남</t>
        </is>
      </c>
      <c r="G1020" s="46" t="n"/>
      <c r="H1020" s="30" t="n"/>
      <c r="I1020" s="43" t="n"/>
      <c r="J1020" s="41" t="n"/>
      <c r="K1020" s="41" t="n"/>
      <c r="L1020" s="41" t="n"/>
      <c r="M1020" s="31">
        <f>IF(COUNT(J1020:L1020)=0,"",MEDIAN(J1020:L1020))</f>
        <v/>
      </c>
      <c r="N1020" s="38" t="n"/>
      <c r="O1020" s="38" t="n"/>
      <c r="P1020" s="38" t="n"/>
      <c r="Q1020" s="38" t="n"/>
      <c r="R1020" s="38" t="n"/>
      <c r="S1020" s="38" t="n"/>
      <c r="T1020" s="38" t="n"/>
      <c r="U1020" s="38" t="n"/>
      <c r="V1020" s="38" t="n"/>
      <c r="W1020" s="38" t="n"/>
      <c r="X1020" s="38" t="n"/>
      <c r="Y1020" s="29" t="n"/>
      <c r="Z1020" s="29" t="n"/>
      <c r="AA1020" s="29" t="n"/>
      <c r="AB1020" s="32" t="n"/>
      <c r="AC1020" s="32" t="n"/>
    </row>
    <row r="1021">
      <c r="A1021" s="26" t="inlineStr">
        <is>
          <t>S20</t>
        </is>
      </c>
      <c r="B1021" s="26" t="inlineStr">
        <is>
          <t>보령 신규점2</t>
        </is>
      </c>
      <c r="C1021" s="26" t="inlineStr">
        <is>
          <t>S20-H남</t>
        </is>
      </c>
      <c r="D1021" s="47" t="n">
        <v>1</v>
      </c>
      <c r="E1021" s="26" t="inlineStr">
        <is>
          <t>측정</t>
        </is>
      </c>
      <c r="F1021" s="26" t="inlineStr">
        <is>
          <t>남</t>
        </is>
      </c>
      <c r="G1021" s="31" t="n">
        <v>0.5</v>
      </c>
      <c r="H1021" s="30" t="n"/>
      <c r="I1021" s="43" t="n"/>
      <c r="J1021" s="41" t="n"/>
      <c r="K1021" s="41" t="n"/>
      <c r="L1021" s="41" t="n"/>
      <c r="M1021" s="31">
        <f>IF(COUNT(J1021:L1021)=0,"",MEDIAN(J1021:L1021))</f>
        <v/>
      </c>
      <c r="N1021" s="26">
        <f>IF(COUNTIFS($C:$C,$C1021,$D:$D,$D1021,$E:$E,"P0(전)",$M:$M,"&gt;0")&lt;&gt;1,"P0(전) 유효 1개 아님",IF(COUNTIFS($C:$C,$C1021,$D:$D,$D1021,$E:$E,"P0(후)",$M:$M,"&gt;0")&lt;&gt;1,"P0(후) 유효 1개 아님",IF(NOT(AND(ISNUMBER(O1021),ISNUMBER(Q1021),ISNUMBER(I1021))),"시각 결측",IF(Q1021&lt;=O1021,"P0 시각 역전",IF(OR(I1021&lt;O1021,I1021&gt;Q1021),"측정시각 구간 밖","OK")))))</f>
        <v/>
      </c>
      <c r="O1021" s="48">
        <f>IF(COUNTIFS($C:$C,$C1021,$D:$D,$D1021,$E:$E,"P0(전)",$M:$M,"&gt;0")&lt;&gt;1,"",SUMIFS($I:$I,$C:$C,$C1021,$D:$D,$D1021,$E:$E,"P0(전)"))</f>
        <v/>
      </c>
      <c r="P1021" s="31">
        <f>IF(COUNTIFS($C:$C,$C1021,$D:$D,$D1021,$E:$E,"P0(전)",$M:$M,"&gt;0")&lt;&gt;1,"",SUMIFS($M:$M,$C:$C,$C1021,$D:$D,$D1021,$E:$E,"P0(전)"))</f>
        <v/>
      </c>
      <c r="Q1021" s="48">
        <f>IF(COUNTIFS($C:$C,$C1021,$D:$D,$D1021,$E:$E,"P0(후)",$M:$M,"&gt;0")&lt;&gt;1,"",SUMIFS($I:$I,$C:$C,$C1021,$D:$D,$D1021,$E:$E,"P0(후)"))</f>
        <v/>
      </c>
      <c r="R1021" s="31">
        <f>IF(COUNTIFS($C:$C,$C1021,$D:$D,$D1021,$E:$E,"P0(후)",$M:$M,"&gt;0")&lt;&gt;1,"",SUMIFS($M:$M,$C:$C,$C1021,$D:$D,$D1021,$E:$E,"P0(후)"))</f>
        <v/>
      </c>
      <c r="S1021" s="31">
        <f>IF(N1021&lt;&gt;"OK","",P1021+(R1021-P1021)*(I1021-O1021)/(Q1021-O1021))</f>
        <v/>
      </c>
      <c r="T1021" s="31">
        <f>IF(OR(N1021&lt;&gt;"OK",NOT(ISNUMBER(M1021))),"",M1021-S1021)</f>
        <v/>
      </c>
      <c r="U1021" s="49">
        <f>IF(OR(NOT(ISNUMBER(T1021)),IF(ISNUMBER(H1021),H1021,G1021)=0),"",T1021/IF(ISNUMBER(H1021),H1021,G1021))</f>
        <v/>
      </c>
      <c r="V1021" s="49">
        <f>IF(ISNUMBER(U1021),ABS(U1021),"")</f>
        <v/>
      </c>
      <c r="W1021" s="49">
        <f>IF(OR($E1020&lt;&gt;"측정",$C1020&lt;&gt;$C1021,$D1020&lt;&gt;$D1021,NOT(ISNUMBER(M1021)),NOT(ISNUMBER(M1020)),(IF(ISNUMBER(H1021),H1021,G1021)-IF(ISNUMBER(H1020),H1020,G1020))=0),"",(M1021-M1020)/(IF(ISNUMBER(H1021),H1021,G1021)-IF(ISNUMBER(H1020),H1020,G1020)))</f>
        <v/>
      </c>
      <c r="X1021" s="31">
        <f>IF(NOT(AND(ISNUMBER(O1021),ISNUMBER(Q1021))),"",(Q1021-O1021)*1440)</f>
        <v/>
      </c>
      <c r="Y1021" s="29" t="n"/>
      <c r="Z1021" s="29" t="n"/>
      <c r="AA1021" s="29" t="n"/>
      <c r="AB1021" s="32" t="n"/>
      <c r="AC1021" s="32" t="n"/>
    </row>
    <row r="1022">
      <c r="A1022" s="26" t="inlineStr">
        <is>
          <t>S20</t>
        </is>
      </c>
      <c r="B1022" s="26" t="inlineStr">
        <is>
          <t>보령 신규점2</t>
        </is>
      </c>
      <c r="C1022" s="26" t="inlineStr">
        <is>
          <t>S20-H남</t>
        </is>
      </c>
      <c r="D1022" s="47" t="n">
        <v>1</v>
      </c>
      <c r="E1022" s="26" t="inlineStr">
        <is>
          <t>측정</t>
        </is>
      </c>
      <c r="F1022" s="26" t="inlineStr">
        <is>
          <t>남</t>
        </is>
      </c>
      <c r="G1022" s="31" t="n">
        <v>1</v>
      </c>
      <c r="H1022" s="30" t="n"/>
      <c r="I1022" s="43" t="n"/>
      <c r="J1022" s="41" t="n"/>
      <c r="K1022" s="41" t="n"/>
      <c r="L1022" s="41" t="n"/>
      <c r="M1022" s="31">
        <f>IF(COUNT(J1022:L1022)=0,"",MEDIAN(J1022:L1022))</f>
        <v/>
      </c>
      <c r="N1022" s="26">
        <f>IF(COUNTIFS($C:$C,$C1022,$D:$D,$D1022,$E:$E,"P0(전)",$M:$M,"&gt;0")&lt;&gt;1,"P0(전) 유효 1개 아님",IF(COUNTIFS($C:$C,$C1022,$D:$D,$D1022,$E:$E,"P0(후)",$M:$M,"&gt;0")&lt;&gt;1,"P0(후) 유효 1개 아님",IF(NOT(AND(ISNUMBER(O1022),ISNUMBER(Q1022),ISNUMBER(I1022))),"시각 결측",IF(Q1022&lt;=O1022,"P0 시각 역전",IF(OR(I1022&lt;O1022,I1022&gt;Q1022),"측정시각 구간 밖","OK")))))</f>
        <v/>
      </c>
      <c r="O1022" s="48">
        <f>IF(COUNTIFS($C:$C,$C1022,$D:$D,$D1022,$E:$E,"P0(전)",$M:$M,"&gt;0")&lt;&gt;1,"",SUMIFS($I:$I,$C:$C,$C1022,$D:$D,$D1022,$E:$E,"P0(전)"))</f>
        <v/>
      </c>
      <c r="P1022" s="31">
        <f>IF(COUNTIFS($C:$C,$C1022,$D:$D,$D1022,$E:$E,"P0(전)",$M:$M,"&gt;0")&lt;&gt;1,"",SUMIFS($M:$M,$C:$C,$C1022,$D:$D,$D1022,$E:$E,"P0(전)"))</f>
        <v/>
      </c>
      <c r="Q1022" s="48">
        <f>IF(COUNTIFS($C:$C,$C1022,$D:$D,$D1022,$E:$E,"P0(후)",$M:$M,"&gt;0")&lt;&gt;1,"",SUMIFS($I:$I,$C:$C,$C1022,$D:$D,$D1022,$E:$E,"P0(후)"))</f>
        <v/>
      </c>
      <c r="R1022" s="31">
        <f>IF(COUNTIFS($C:$C,$C1022,$D:$D,$D1022,$E:$E,"P0(후)",$M:$M,"&gt;0")&lt;&gt;1,"",SUMIFS($M:$M,$C:$C,$C1022,$D:$D,$D1022,$E:$E,"P0(후)"))</f>
        <v/>
      </c>
      <c r="S1022" s="31">
        <f>IF(N1022&lt;&gt;"OK","",P1022+(R1022-P1022)*(I1022-O1022)/(Q1022-O1022))</f>
        <v/>
      </c>
      <c r="T1022" s="31">
        <f>IF(OR(N1022&lt;&gt;"OK",NOT(ISNUMBER(M1022))),"",M1022-S1022)</f>
        <v/>
      </c>
      <c r="U1022" s="49">
        <f>IF(OR(NOT(ISNUMBER(T1022)),IF(ISNUMBER(H1022),H1022,G1022)=0),"",T1022/IF(ISNUMBER(H1022),H1022,G1022))</f>
        <v/>
      </c>
      <c r="V1022" s="49">
        <f>IF(ISNUMBER(U1022),ABS(U1022),"")</f>
        <v/>
      </c>
      <c r="W1022" s="49">
        <f>IF(OR($E1021&lt;&gt;"측정",$C1021&lt;&gt;$C1022,$D1021&lt;&gt;$D1022,NOT(ISNUMBER(M1022)),NOT(ISNUMBER(M1021)),(IF(ISNUMBER(H1022),H1022,G1022)-IF(ISNUMBER(H1021),H1021,G1021))=0),"",(M1022-M1021)/(IF(ISNUMBER(H1022),H1022,G1022)-IF(ISNUMBER(H1021),H1021,G1021)))</f>
        <v/>
      </c>
      <c r="X1022" s="31">
        <f>IF(NOT(AND(ISNUMBER(O1022),ISNUMBER(Q1022))),"",(Q1022-O1022)*1440)</f>
        <v/>
      </c>
      <c r="Y1022" s="29" t="n"/>
      <c r="Z1022" s="29" t="n"/>
      <c r="AA1022" s="29" t="n"/>
      <c r="AB1022" s="32" t="n"/>
      <c r="AC1022" s="32" t="n"/>
    </row>
    <row r="1023">
      <c r="A1023" s="26" t="inlineStr">
        <is>
          <t>S20</t>
        </is>
      </c>
      <c r="B1023" s="26" t="inlineStr">
        <is>
          <t>보령 신규점2</t>
        </is>
      </c>
      <c r="C1023" s="26" t="inlineStr">
        <is>
          <t>S20-H남</t>
        </is>
      </c>
      <c r="D1023" s="47" t="n">
        <v>1</v>
      </c>
      <c r="E1023" s="26" t="inlineStr">
        <is>
          <t>측정</t>
        </is>
      </c>
      <c r="F1023" s="26" t="inlineStr">
        <is>
          <t>남</t>
        </is>
      </c>
      <c r="G1023" s="31" t="n">
        <v>2</v>
      </c>
      <c r="H1023" s="30" t="n"/>
      <c r="I1023" s="43" t="n"/>
      <c r="J1023" s="41" t="n"/>
      <c r="K1023" s="41" t="n"/>
      <c r="L1023" s="41" t="n"/>
      <c r="M1023" s="31">
        <f>IF(COUNT(J1023:L1023)=0,"",MEDIAN(J1023:L1023))</f>
        <v/>
      </c>
      <c r="N1023" s="26">
        <f>IF(COUNTIFS($C:$C,$C1023,$D:$D,$D1023,$E:$E,"P0(전)",$M:$M,"&gt;0")&lt;&gt;1,"P0(전) 유효 1개 아님",IF(COUNTIFS($C:$C,$C1023,$D:$D,$D1023,$E:$E,"P0(후)",$M:$M,"&gt;0")&lt;&gt;1,"P0(후) 유효 1개 아님",IF(NOT(AND(ISNUMBER(O1023),ISNUMBER(Q1023),ISNUMBER(I1023))),"시각 결측",IF(Q1023&lt;=O1023,"P0 시각 역전",IF(OR(I1023&lt;O1023,I1023&gt;Q1023),"측정시각 구간 밖","OK")))))</f>
        <v/>
      </c>
      <c r="O1023" s="48">
        <f>IF(COUNTIFS($C:$C,$C1023,$D:$D,$D1023,$E:$E,"P0(전)",$M:$M,"&gt;0")&lt;&gt;1,"",SUMIFS($I:$I,$C:$C,$C1023,$D:$D,$D1023,$E:$E,"P0(전)"))</f>
        <v/>
      </c>
      <c r="P1023" s="31">
        <f>IF(COUNTIFS($C:$C,$C1023,$D:$D,$D1023,$E:$E,"P0(전)",$M:$M,"&gt;0")&lt;&gt;1,"",SUMIFS($M:$M,$C:$C,$C1023,$D:$D,$D1023,$E:$E,"P0(전)"))</f>
        <v/>
      </c>
      <c r="Q1023" s="48">
        <f>IF(COUNTIFS($C:$C,$C1023,$D:$D,$D1023,$E:$E,"P0(후)",$M:$M,"&gt;0")&lt;&gt;1,"",SUMIFS($I:$I,$C:$C,$C1023,$D:$D,$D1023,$E:$E,"P0(후)"))</f>
        <v/>
      </c>
      <c r="R1023" s="31">
        <f>IF(COUNTIFS($C:$C,$C1023,$D:$D,$D1023,$E:$E,"P0(후)",$M:$M,"&gt;0")&lt;&gt;1,"",SUMIFS($M:$M,$C:$C,$C1023,$D:$D,$D1023,$E:$E,"P0(후)"))</f>
        <v/>
      </c>
      <c r="S1023" s="31">
        <f>IF(N1023&lt;&gt;"OK","",P1023+(R1023-P1023)*(I1023-O1023)/(Q1023-O1023))</f>
        <v/>
      </c>
      <c r="T1023" s="31">
        <f>IF(OR(N1023&lt;&gt;"OK",NOT(ISNUMBER(M1023))),"",M1023-S1023)</f>
        <v/>
      </c>
      <c r="U1023" s="49">
        <f>IF(OR(NOT(ISNUMBER(T1023)),IF(ISNUMBER(H1023),H1023,G1023)=0),"",T1023/IF(ISNUMBER(H1023),H1023,G1023))</f>
        <v/>
      </c>
      <c r="V1023" s="49">
        <f>IF(ISNUMBER(U1023),ABS(U1023),"")</f>
        <v/>
      </c>
      <c r="W1023" s="49">
        <f>IF(OR($E1022&lt;&gt;"측정",$C1022&lt;&gt;$C1023,$D1022&lt;&gt;$D1023,NOT(ISNUMBER(M1023)),NOT(ISNUMBER(M1022)),(IF(ISNUMBER(H1023),H1023,G1023)-IF(ISNUMBER(H1022),H1022,G1022))=0),"",(M1023-M1022)/(IF(ISNUMBER(H1023),H1023,G1023)-IF(ISNUMBER(H1022),H1022,G1022)))</f>
        <v/>
      </c>
      <c r="X1023" s="31">
        <f>IF(NOT(AND(ISNUMBER(O1023),ISNUMBER(Q1023))),"",(Q1023-O1023)*1440)</f>
        <v/>
      </c>
      <c r="Y1023" s="29" t="n"/>
      <c r="Z1023" s="29" t="n"/>
      <c r="AA1023" s="29" t="n"/>
      <c r="AB1023" s="32" t="n"/>
      <c r="AC1023" s="32" t="n"/>
    </row>
    <row r="1024">
      <c r="A1024" s="26" t="inlineStr">
        <is>
          <t>S20</t>
        </is>
      </c>
      <c r="B1024" s="26" t="inlineStr">
        <is>
          <t>보령 신규점2</t>
        </is>
      </c>
      <c r="C1024" s="26" t="inlineStr">
        <is>
          <t>S20-H남</t>
        </is>
      </c>
      <c r="D1024" s="47" t="n">
        <v>1</v>
      </c>
      <c r="E1024" s="26" t="inlineStr">
        <is>
          <t>측정</t>
        </is>
      </c>
      <c r="F1024" s="26" t="inlineStr">
        <is>
          <t>남</t>
        </is>
      </c>
      <c r="G1024" s="31" t="n">
        <v>3</v>
      </c>
      <c r="H1024" s="30" t="n"/>
      <c r="I1024" s="43" t="n"/>
      <c r="J1024" s="41" t="n"/>
      <c r="K1024" s="41" t="n"/>
      <c r="L1024" s="41" t="n"/>
      <c r="M1024" s="31">
        <f>IF(COUNT(J1024:L1024)=0,"",MEDIAN(J1024:L1024))</f>
        <v/>
      </c>
      <c r="N1024" s="26">
        <f>IF(COUNTIFS($C:$C,$C1024,$D:$D,$D1024,$E:$E,"P0(전)",$M:$M,"&gt;0")&lt;&gt;1,"P0(전) 유효 1개 아님",IF(COUNTIFS($C:$C,$C1024,$D:$D,$D1024,$E:$E,"P0(후)",$M:$M,"&gt;0")&lt;&gt;1,"P0(후) 유효 1개 아님",IF(NOT(AND(ISNUMBER(O1024),ISNUMBER(Q1024),ISNUMBER(I1024))),"시각 결측",IF(Q1024&lt;=O1024,"P0 시각 역전",IF(OR(I1024&lt;O1024,I1024&gt;Q1024),"측정시각 구간 밖","OK")))))</f>
        <v/>
      </c>
      <c r="O1024" s="48">
        <f>IF(COUNTIFS($C:$C,$C1024,$D:$D,$D1024,$E:$E,"P0(전)",$M:$M,"&gt;0")&lt;&gt;1,"",SUMIFS($I:$I,$C:$C,$C1024,$D:$D,$D1024,$E:$E,"P0(전)"))</f>
        <v/>
      </c>
      <c r="P1024" s="31">
        <f>IF(COUNTIFS($C:$C,$C1024,$D:$D,$D1024,$E:$E,"P0(전)",$M:$M,"&gt;0")&lt;&gt;1,"",SUMIFS($M:$M,$C:$C,$C1024,$D:$D,$D1024,$E:$E,"P0(전)"))</f>
        <v/>
      </c>
      <c r="Q1024" s="48">
        <f>IF(COUNTIFS($C:$C,$C1024,$D:$D,$D1024,$E:$E,"P0(후)",$M:$M,"&gt;0")&lt;&gt;1,"",SUMIFS($I:$I,$C:$C,$C1024,$D:$D,$D1024,$E:$E,"P0(후)"))</f>
        <v/>
      </c>
      <c r="R1024" s="31">
        <f>IF(COUNTIFS($C:$C,$C1024,$D:$D,$D1024,$E:$E,"P0(후)",$M:$M,"&gt;0")&lt;&gt;1,"",SUMIFS($M:$M,$C:$C,$C1024,$D:$D,$D1024,$E:$E,"P0(후)"))</f>
        <v/>
      </c>
      <c r="S1024" s="31">
        <f>IF(N1024&lt;&gt;"OK","",P1024+(R1024-P1024)*(I1024-O1024)/(Q1024-O1024))</f>
        <v/>
      </c>
      <c r="T1024" s="31">
        <f>IF(OR(N1024&lt;&gt;"OK",NOT(ISNUMBER(M1024))),"",M1024-S1024)</f>
        <v/>
      </c>
      <c r="U1024" s="49">
        <f>IF(OR(NOT(ISNUMBER(T1024)),IF(ISNUMBER(H1024),H1024,G1024)=0),"",T1024/IF(ISNUMBER(H1024),H1024,G1024))</f>
        <v/>
      </c>
      <c r="V1024" s="49">
        <f>IF(ISNUMBER(U1024),ABS(U1024),"")</f>
        <v/>
      </c>
      <c r="W1024" s="49">
        <f>IF(OR($E1023&lt;&gt;"측정",$C1023&lt;&gt;$C1024,$D1023&lt;&gt;$D1024,NOT(ISNUMBER(M1024)),NOT(ISNUMBER(M1023)),(IF(ISNUMBER(H1024),H1024,G1024)-IF(ISNUMBER(H1023),H1023,G1023))=0),"",(M1024-M1023)/(IF(ISNUMBER(H1024),H1024,G1024)-IF(ISNUMBER(H1023),H1023,G1023)))</f>
        <v/>
      </c>
      <c r="X1024" s="31">
        <f>IF(NOT(AND(ISNUMBER(O1024),ISNUMBER(Q1024))),"",(Q1024-O1024)*1440)</f>
        <v/>
      </c>
      <c r="Y1024" s="29" t="n"/>
      <c r="Z1024" s="29" t="n"/>
      <c r="AA1024" s="29" t="n"/>
      <c r="AB1024" s="32" t="n"/>
      <c r="AC1024" s="32" t="n"/>
    </row>
    <row r="1025">
      <c r="A1025" s="26" t="inlineStr">
        <is>
          <t>S20</t>
        </is>
      </c>
      <c r="B1025" s="26" t="inlineStr">
        <is>
          <t>보령 신규점2</t>
        </is>
      </c>
      <c r="C1025" s="26" t="inlineStr">
        <is>
          <t>S20-H남</t>
        </is>
      </c>
      <c r="D1025" s="47" t="n">
        <v>1</v>
      </c>
      <c r="E1025" s="26" t="inlineStr">
        <is>
          <t>측정</t>
        </is>
      </c>
      <c r="F1025" s="26" t="inlineStr">
        <is>
          <t>남</t>
        </is>
      </c>
      <c r="G1025" s="31" t="n">
        <v>4</v>
      </c>
      <c r="H1025" s="30" t="n"/>
      <c r="I1025" s="43" t="n"/>
      <c r="J1025" s="41" t="n"/>
      <c r="K1025" s="41" t="n"/>
      <c r="L1025" s="41" t="n"/>
      <c r="M1025" s="31">
        <f>IF(COUNT(J1025:L1025)=0,"",MEDIAN(J1025:L1025))</f>
        <v/>
      </c>
      <c r="N1025" s="26">
        <f>IF(COUNTIFS($C:$C,$C1025,$D:$D,$D1025,$E:$E,"P0(전)",$M:$M,"&gt;0")&lt;&gt;1,"P0(전) 유효 1개 아님",IF(COUNTIFS($C:$C,$C1025,$D:$D,$D1025,$E:$E,"P0(후)",$M:$M,"&gt;0")&lt;&gt;1,"P0(후) 유효 1개 아님",IF(NOT(AND(ISNUMBER(O1025),ISNUMBER(Q1025),ISNUMBER(I1025))),"시각 결측",IF(Q1025&lt;=O1025,"P0 시각 역전",IF(OR(I1025&lt;O1025,I1025&gt;Q1025),"측정시각 구간 밖","OK")))))</f>
        <v/>
      </c>
      <c r="O1025" s="48">
        <f>IF(COUNTIFS($C:$C,$C1025,$D:$D,$D1025,$E:$E,"P0(전)",$M:$M,"&gt;0")&lt;&gt;1,"",SUMIFS($I:$I,$C:$C,$C1025,$D:$D,$D1025,$E:$E,"P0(전)"))</f>
        <v/>
      </c>
      <c r="P1025" s="31">
        <f>IF(COUNTIFS($C:$C,$C1025,$D:$D,$D1025,$E:$E,"P0(전)",$M:$M,"&gt;0")&lt;&gt;1,"",SUMIFS($M:$M,$C:$C,$C1025,$D:$D,$D1025,$E:$E,"P0(전)"))</f>
        <v/>
      </c>
      <c r="Q1025" s="48">
        <f>IF(COUNTIFS($C:$C,$C1025,$D:$D,$D1025,$E:$E,"P0(후)",$M:$M,"&gt;0")&lt;&gt;1,"",SUMIFS($I:$I,$C:$C,$C1025,$D:$D,$D1025,$E:$E,"P0(후)"))</f>
        <v/>
      </c>
      <c r="R1025" s="31">
        <f>IF(COUNTIFS($C:$C,$C1025,$D:$D,$D1025,$E:$E,"P0(후)",$M:$M,"&gt;0")&lt;&gt;1,"",SUMIFS($M:$M,$C:$C,$C1025,$D:$D,$D1025,$E:$E,"P0(후)"))</f>
        <v/>
      </c>
      <c r="S1025" s="31">
        <f>IF(N1025&lt;&gt;"OK","",P1025+(R1025-P1025)*(I1025-O1025)/(Q1025-O1025))</f>
        <v/>
      </c>
      <c r="T1025" s="31">
        <f>IF(OR(N1025&lt;&gt;"OK",NOT(ISNUMBER(M1025))),"",M1025-S1025)</f>
        <v/>
      </c>
      <c r="U1025" s="49">
        <f>IF(OR(NOT(ISNUMBER(T1025)),IF(ISNUMBER(H1025),H1025,G1025)=0),"",T1025/IF(ISNUMBER(H1025),H1025,G1025))</f>
        <v/>
      </c>
      <c r="V1025" s="49">
        <f>IF(ISNUMBER(U1025),ABS(U1025),"")</f>
        <v/>
      </c>
      <c r="W1025" s="49">
        <f>IF(OR($E1024&lt;&gt;"측정",$C1024&lt;&gt;$C1025,$D1024&lt;&gt;$D1025,NOT(ISNUMBER(M1025)),NOT(ISNUMBER(M1024)),(IF(ISNUMBER(H1025),H1025,G1025)-IF(ISNUMBER(H1024),H1024,G1024))=0),"",(M1025-M1024)/(IF(ISNUMBER(H1025),H1025,G1025)-IF(ISNUMBER(H1024),H1024,G1024)))</f>
        <v/>
      </c>
      <c r="X1025" s="31">
        <f>IF(NOT(AND(ISNUMBER(O1025),ISNUMBER(Q1025))),"",(Q1025-O1025)*1440)</f>
        <v/>
      </c>
      <c r="Y1025" s="29" t="n"/>
      <c r="Z1025" s="29" t="n"/>
      <c r="AA1025" s="29" t="n"/>
      <c r="AB1025" s="32" t="n"/>
      <c r="AC1025" s="32" t="n"/>
    </row>
    <row r="1026">
      <c r="A1026" s="26" t="inlineStr">
        <is>
          <t>S20</t>
        </is>
      </c>
      <c r="B1026" s="26" t="inlineStr">
        <is>
          <t>보령 신규점2</t>
        </is>
      </c>
      <c r="C1026" s="26" t="inlineStr">
        <is>
          <t>S20-H남</t>
        </is>
      </c>
      <c r="D1026" s="47" t="n">
        <v>1</v>
      </c>
      <c r="E1026" s="26" t="inlineStr">
        <is>
          <t>측정</t>
        </is>
      </c>
      <c r="F1026" s="26" t="inlineStr">
        <is>
          <t>남</t>
        </is>
      </c>
      <c r="G1026" s="31" t="n">
        <v>5</v>
      </c>
      <c r="H1026" s="30" t="n"/>
      <c r="I1026" s="43" t="n"/>
      <c r="J1026" s="41" t="n"/>
      <c r="K1026" s="41" t="n"/>
      <c r="L1026" s="41" t="n"/>
      <c r="M1026" s="31">
        <f>IF(COUNT(J1026:L1026)=0,"",MEDIAN(J1026:L1026))</f>
        <v/>
      </c>
      <c r="N1026" s="26">
        <f>IF(COUNTIFS($C:$C,$C1026,$D:$D,$D1026,$E:$E,"P0(전)",$M:$M,"&gt;0")&lt;&gt;1,"P0(전) 유효 1개 아님",IF(COUNTIFS($C:$C,$C1026,$D:$D,$D1026,$E:$E,"P0(후)",$M:$M,"&gt;0")&lt;&gt;1,"P0(후) 유효 1개 아님",IF(NOT(AND(ISNUMBER(O1026),ISNUMBER(Q1026),ISNUMBER(I1026))),"시각 결측",IF(Q1026&lt;=O1026,"P0 시각 역전",IF(OR(I1026&lt;O1026,I1026&gt;Q1026),"측정시각 구간 밖","OK")))))</f>
        <v/>
      </c>
      <c r="O1026" s="48">
        <f>IF(COUNTIFS($C:$C,$C1026,$D:$D,$D1026,$E:$E,"P0(전)",$M:$M,"&gt;0")&lt;&gt;1,"",SUMIFS($I:$I,$C:$C,$C1026,$D:$D,$D1026,$E:$E,"P0(전)"))</f>
        <v/>
      </c>
      <c r="P1026" s="31">
        <f>IF(COUNTIFS($C:$C,$C1026,$D:$D,$D1026,$E:$E,"P0(전)",$M:$M,"&gt;0")&lt;&gt;1,"",SUMIFS($M:$M,$C:$C,$C1026,$D:$D,$D1026,$E:$E,"P0(전)"))</f>
        <v/>
      </c>
      <c r="Q1026" s="48">
        <f>IF(COUNTIFS($C:$C,$C1026,$D:$D,$D1026,$E:$E,"P0(후)",$M:$M,"&gt;0")&lt;&gt;1,"",SUMIFS($I:$I,$C:$C,$C1026,$D:$D,$D1026,$E:$E,"P0(후)"))</f>
        <v/>
      </c>
      <c r="R1026" s="31">
        <f>IF(COUNTIFS($C:$C,$C1026,$D:$D,$D1026,$E:$E,"P0(후)",$M:$M,"&gt;0")&lt;&gt;1,"",SUMIFS($M:$M,$C:$C,$C1026,$D:$D,$D1026,$E:$E,"P0(후)"))</f>
        <v/>
      </c>
      <c r="S1026" s="31">
        <f>IF(N1026&lt;&gt;"OK","",P1026+(R1026-P1026)*(I1026-O1026)/(Q1026-O1026))</f>
        <v/>
      </c>
      <c r="T1026" s="31">
        <f>IF(OR(N1026&lt;&gt;"OK",NOT(ISNUMBER(M1026))),"",M1026-S1026)</f>
        <v/>
      </c>
      <c r="U1026" s="49">
        <f>IF(OR(NOT(ISNUMBER(T1026)),IF(ISNUMBER(H1026),H1026,G1026)=0),"",T1026/IF(ISNUMBER(H1026),H1026,G1026))</f>
        <v/>
      </c>
      <c r="V1026" s="49">
        <f>IF(ISNUMBER(U1026),ABS(U1026),"")</f>
        <v/>
      </c>
      <c r="W1026" s="49">
        <f>IF(OR($E1025&lt;&gt;"측정",$C1025&lt;&gt;$C1026,$D1025&lt;&gt;$D1026,NOT(ISNUMBER(M1026)),NOT(ISNUMBER(M1025)),(IF(ISNUMBER(H1026),H1026,G1026)-IF(ISNUMBER(H1025),H1025,G1025))=0),"",(M1026-M1025)/(IF(ISNUMBER(H1026),H1026,G1026)-IF(ISNUMBER(H1025),H1025,G1025)))</f>
        <v/>
      </c>
      <c r="X1026" s="31">
        <f>IF(NOT(AND(ISNUMBER(O1026),ISNUMBER(Q1026))),"",(Q1026-O1026)*1440)</f>
        <v/>
      </c>
      <c r="Y1026" s="29" t="n"/>
      <c r="Z1026" s="29" t="n"/>
      <c r="AA1026" s="29" t="n"/>
      <c r="AB1026" s="32" t="n"/>
      <c r="AC1026" s="32" t="n"/>
    </row>
    <row r="1027">
      <c r="A1027" s="26" t="inlineStr">
        <is>
          <t>S20</t>
        </is>
      </c>
      <c r="B1027" s="26" t="inlineStr">
        <is>
          <t>보령 신규점2</t>
        </is>
      </c>
      <c r="C1027" s="26" t="inlineStr">
        <is>
          <t>S20-H남</t>
        </is>
      </c>
      <c r="D1027" s="47" t="n">
        <v>1</v>
      </c>
      <c r="E1027" s="26" t="inlineStr">
        <is>
          <t>측정</t>
        </is>
      </c>
      <c r="F1027" s="26" t="inlineStr">
        <is>
          <t>남</t>
        </is>
      </c>
      <c r="G1027" s="31" t="n">
        <v>6</v>
      </c>
      <c r="H1027" s="30" t="n"/>
      <c r="I1027" s="43" t="n"/>
      <c r="J1027" s="41" t="n"/>
      <c r="K1027" s="41" t="n"/>
      <c r="L1027" s="41" t="n"/>
      <c r="M1027" s="31">
        <f>IF(COUNT(J1027:L1027)=0,"",MEDIAN(J1027:L1027))</f>
        <v/>
      </c>
      <c r="N1027" s="26">
        <f>IF(COUNTIFS($C:$C,$C1027,$D:$D,$D1027,$E:$E,"P0(전)",$M:$M,"&gt;0")&lt;&gt;1,"P0(전) 유효 1개 아님",IF(COUNTIFS($C:$C,$C1027,$D:$D,$D1027,$E:$E,"P0(후)",$M:$M,"&gt;0")&lt;&gt;1,"P0(후) 유효 1개 아님",IF(NOT(AND(ISNUMBER(O1027),ISNUMBER(Q1027),ISNUMBER(I1027))),"시각 결측",IF(Q1027&lt;=O1027,"P0 시각 역전",IF(OR(I1027&lt;O1027,I1027&gt;Q1027),"측정시각 구간 밖","OK")))))</f>
        <v/>
      </c>
      <c r="O1027" s="48">
        <f>IF(COUNTIFS($C:$C,$C1027,$D:$D,$D1027,$E:$E,"P0(전)",$M:$M,"&gt;0")&lt;&gt;1,"",SUMIFS($I:$I,$C:$C,$C1027,$D:$D,$D1027,$E:$E,"P0(전)"))</f>
        <v/>
      </c>
      <c r="P1027" s="31">
        <f>IF(COUNTIFS($C:$C,$C1027,$D:$D,$D1027,$E:$E,"P0(전)",$M:$M,"&gt;0")&lt;&gt;1,"",SUMIFS($M:$M,$C:$C,$C1027,$D:$D,$D1027,$E:$E,"P0(전)"))</f>
        <v/>
      </c>
      <c r="Q1027" s="48">
        <f>IF(COUNTIFS($C:$C,$C1027,$D:$D,$D1027,$E:$E,"P0(후)",$M:$M,"&gt;0")&lt;&gt;1,"",SUMIFS($I:$I,$C:$C,$C1027,$D:$D,$D1027,$E:$E,"P0(후)"))</f>
        <v/>
      </c>
      <c r="R1027" s="31">
        <f>IF(COUNTIFS($C:$C,$C1027,$D:$D,$D1027,$E:$E,"P0(후)",$M:$M,"&gt;0")&lt;&gt;1,"",SUMIFS($M:$M,$C:$C,$C1027,$D:$D,$D1027,$E:$E,"P0(후)"))</f>
        <v/>
      </c>
      <c r="S1027" s="31">
        <f>IF(N1027&lt;&gt;"OK","",P1027+(R1027-P1027)*(I1027-O1027)/(Q1027-O1027))</f>
        <v/>
      </c>
      <c r="T1027" s="31">
        <f>IF(OR(N1027&lt;&gt;"OK",NOT(ISNUMBER(M1027))),"",M1027-S1027)</f>
        <v/>
      </c>
      <c r="U1027" s="49">
        <f>IF(OR(NOT(ISNUMBER(T1027)),IF(ISNUMBER(H1027),H1027,G1027)=0),"",T1027/IF(ISNUMBER(H1027),H1027,G1027))</f>
        <v/>
      </c>
      <c r="V1027" s="49">
        <f>IF(ISNUMBER(U1027),ABS(U1027),"")</f>
        <v/>
      </c>
      <c r="W1027" s="49">
        <f>IF(OR($E1026&lt;&gt;"측정",$C1026&lt;&gt;$C1027,$D1026&lt;&gt;$D1027,NOT(ISNUMBER(M1027)),NOT(ISNUMBER(M1026)),(IF(ISNUMBER(H1027),H1027,G1027)-IF(ISNUMBER(H1026),H1026,G1026))=0),"",(M1027-M1026)/(IF(ISNUMBER(H1027),H1027,G1027)-IF(ISNUMBER(H1026),H1026,G1026)))</f>
        <v/>
      </c>
      <c r="X1027" s="31">
        <f>IF(NOT(AND(ISNUMBER(O1027),ISNUMBER(Q1027))),"",(Q1027-O1027)*1440)</f>
        <v/>
      </c>
      <c r="Y1027" s="29" t="n"/>
      <c r="Z1027" s="29" t="n"/>
      <c r="AA1027" s="29" t="n"/>
      <c r="AB1027" s="32" t="n"/>
      <c r="AC1027" s="32" t="n"/>
    </row>
    <row r="1028">
      <c r="A1028" s="26" t="inlineStr">
        <is>
          <t>S20</t>
        </is>
      </c>
      <c r="B1028" s="26" t="inlineStr">
        <is>
          <t>보령 신규점2</t>
        </is>
      </c>
      <c r="C1028" s="26" t="inlineStr">
        <is>
          <t>S20-H남</t>
        </is>
      </c>
      <c r="D1028" s="47" t="n">
        <v>1</v>
      </c>
      <c r="E1028" s="26" t="inlineStr">
        <is>
          <t>측정</t>
        </is>
      </c>
      <c r="F1028" s="26" t="inlineStr">
        <is>
          <t>남</t>
        </is>
      </c>
      <c r="G1028" s="31" t="n">
        <v>7</v>
      </c>
      <c r="H1028" s="30" t="n"/>
      <c r="I1028" s="43" t="n"/>
      <c r="J1028" s="41" t="n"/>
      <c r="K1028" s="41" t="n"/>
      <c r="L1028" s="41" t="n"/>
      <c r="M1028" s="31">
        <f>IF(COUNT(J1028:L1028)=0,"",MEDIAN(J1028:L1028))</f>
        <v/>
      </c>
      <c r="N1028" s="26">
        <f>IF(COUNTIFS($C:$C,$C1028,$D:$D,$D1028,$E:$E,"P0(전)",$M:$M,"&gt;0")&lt;&gt;1,"P0(전) 유효 1개 아님",IF(COUNTIFS($C:$C,$C1028,$D:$D,$D1028,$E:$E,"P0(후)",$M:$M,"&gt;0")&lt;&gt;1,"P0(후) 유효 1개 아님",IF(NOT(AND(ISNUMBER(O1028),ISNUMBER(Q1028),ISNUMBER(I1028))),"시각 결측",IF(Q1028&lt;=O1028,"P0 시각 역전",IF(OR(I1028&lt;O1028,I1028&gt;Q1028),"측정시각 구간 밖","OK")))))</f>
        <v/>
      </c>
      <c r="O1028" s="48">
        <f>IF(COUNTIFS($C:$C,$C1028,$D:$D,$D1028,$E:$E,"P0(전)",$M:$M,"&gt;0")&lt;&gt;1,"",SUMIFS($I:$I,$C:$C,$C1028,$D:$D,$D1028,$E:$E,"P0(전)"))</f>
        <v/>
      </c>
      <c r="P1028" s="31">
        <f>IF(COUNTIFS($C:$C,$C1028,$D:$D,$D1028,$E:$E,"P0(전)",$M:$M,"&gt;0")&lt;&gt;1,"",SUMIFS($M:$M,$C:$C,$C1028,$D:$D,$D1028,$E:$E,"P0(전)"))</f>
        <v/>
      </c>
      <c r="Q1028" s="48">
        <f>IF(COUNTIFS($C:$C,$C1028,$D:$D,$D1028,$E:$E,"P0(후)",$M:$M,"&gt;0")&lt;&gt;1,"",SUMIFS($I:$I,$C:$C,$C1028,$D:$D,$D1028,$E:$E,"P0(후)"))</f>
        <v/>
      </c>
      <c r="R1028" s="31">
        <f>IF(COUNTIFS($C:$C,$C1028,$D:$D,$D1028,$E:$E,"P0(후)",$M:$M,"&gt;0")&lt;&gt;1,"",SUMIFS($M:$M,$C:$C,$C1028,$D:$D,$D1028,$E:$E,"P0(후)"))</f>
        <v/>
      </c>
      <c r="S1028" s="31">
        <f>IF(N1028&lt;&gt;"OK","",P1028+(R1028-P1028)*(I1028-O1028)/(Q1028-O1028))</f>
        <v/>
      </c>
      <c r="T1028" s="31">
        <f>IF(OR(N1028&lt;&gt;"OK",NOT(ISNUMBER(M1028))),"",M1028-S1028)</f>
        <v/>
      </c>
      <c r="U1028" s="49">
        <f>IF(OR(NOT(ISNUMBER(T1028)),IF(ISNUMBER(H1028),H1028,G1028)=0),"",T1028/IF(ISNUMBER(H1028),H1028,G1028))</f>
        <v/>
      </c>
      <c r="V1028" s="49">
        <f>IF(ISNUMBER(U1028),ABS(U1028),"")</f>
        <v/>
      </c>
      <c r="W1028" s="49">
        <f>IF(OR($E1027&lt;&gt;"측정",$C1027&lt;&gt;$C1028,$D1027&lt;&gt;$D1028,NOT(ISNUMBER(M1028)),NOT(ISNUMBER(M1027)),(IF(ISNUMBER(H1028),H1028,G1028)-IF(ISNUMBER(H1027),H1027,G1027))=0),"",(M1028-M1027)/(IF(ISNUMBER(H1028),H1028,G1028)-IF(ISNUMBER(H1027),H1027,G1027)))</f>
        <v/>
      </c>
      <c r="X1028" s="31">
        <f>IF(NOT(AND(ISNUMBER(O1028),ISNUMBER(Q1028))),"",(Q1028-O1028)*1440)</f>
        <v/>
      </c>
      <c r="Y1028" s="29" t="n"/>
      <c r="Z1028" s="29" t="n"/>
      <c r="AA1028" s="29" t="n"/>
      <c r="AB1028" s="32" t="n"/>
      <c r="AC1028" s="32" t="n"/>
    </row>
    <row r="1029">
      <c r="A1029" s="26" t="inlineStr">
        <is>
          <t>S20</t>
        </is>
      </c>
      <c r="B1029" s="26" t="inlineStr">
        <is>
          <t>보령 신규점2</t>
        </is>
      </c>
      <c r="C1029" s="26" t="inlineStr">
        <is>
          <t>S20-H남</t>
        </is>
      </c>
      <c r="D1029" s="47" t="n">
        <v>1</v>
      </c>
      <c r="E1029" s="26" t="inlineStr">
        <is>
          <t>측정</t>
        </is>
      </c>
      <c r="F1029" s="26" t="inlineStr">
        <is>
          <t>남</t>
        </is>
      </c>
      <c r="G1029" s="31" t="n">
        <v>8</v>
      </c>
      <c r="H1029" s="30" t="n"/>
      <c r="I1029" s="43" t="n"/>
      <c r="J1029" s="41" t="n"/>
      <c r="K1029" s="41" t="n"/>
      <c r="L1029" s="41" t="n"/>
      <c r="M1029" s="31">
        <f>IF(COUNT(J1029:L1029)=0,"",MEDIAN(J1029:L1029))</f>
        <v/>
      </c>
      <c r="N1029" s="26">
        <f>IF(COUNTIFS($C:$C,$C1029,$D:$D,$D1029,$E:$E,"P0(전)",$M:$M,"&gt;0")&lt;&gt;1,"P0(전) 유효 1개 아님",IF(COUNTIFS($C:$C,$C1029,$D:$D,$D1029,$E:$E,"P0(후)",$M:$M,"&gt;0")&lt;&gt;1,"P0(후) 유효 1개 아님",IF(NOT(AND(ISNUMBER(O1029),ISNUMBER(Q1029),ISNUMBER(I1029))),"시각 결측",IF(Q1029&lt;=O1029,"P0 시각 역전",IF(OR(I1029&lt;O1029,I1029&gt;Q1029),"측정시각 구간 밖","OK")))))</f>
        <v/>
      </c>
      <c r="O1029" s="48">
        <f>IF(COUNTIFS($C:$C,$C1029,$D:$D,$D1029,$E:$E,"P0(전)",$M:$M,"&gt;0")&lt;&gt;1,"",SUMIFS($I:$I,$C:$C,$C1029,$D:$D,$D1029,$E:$E,"P0(전)"))</f>
        <v/>
      </c>
      <c r="P1029" s="31">
        <f>IF(COUNTIFS($C:$C,$C1029,$D:$D,$D1029,$E:$E,"P0(전)",$M:$M,"&gt;0")&lt;&gt;1,"",SUMIFS($M:$M,$C:$C,$C1029,$D:$D,$D1029,$E:$E,"P0(전)"))</f>
        <v/>
      </c>
      <c r="Q1029" s="48">
        <f>IF(COUNTIFS($C:$C,$C1029,$D:$D,$D1029,$E:$E,"P0(후)",$M:$M,"&gt;0")&lt;&gt;1,"",SUMIFS($I:$I,$C:$C,$C1029,$D:$D,$D1029,$E:$E,"P0(후)"))</f>
        <v/>
      </c>
      <c r="R1029" s="31">
        <f>IF(COUNTIFS($C:$C,$C1029,$D:$D,$D1029,$E:$E,"P0(후)",$M:$M,"&gt;0")&lt;&gt;1,"",SUMIFS($M:$M,$C:$C,$C1029,$D:$D,$D1029,$E:$E,"P0(후)"))</f>
        <v/>
      </c>
      <c r="S1029" s="31">
        <f>IF(N1029&lt;&gt;"OK","",P1029+(R1029-P1029)*(I1029-O1029)/(Q1029-O1029))</f>
        <v/>
      </c>
      <c r="T1029" s="31">
        <f>IF(OR(N1029&lt;&gt;"OK",NOT(ISNUMBER(M1029))),"",M1029-S1029)</f>
        <v/>
      </c>
      <c r="U1029" s="49">
        <f>IF(OR(NOT(ISNUMBER(T1029)),IF(ISNUMBER(H1029),H1029,G1029)=0),"",T1029/IF(ISNUMBER(H1029),H1029,G1029))</f>
        <v/>
      </c>
      <c r="V1029" s="49">
        <f>IF(ISNUMBER(U1029),ABS(U1029),"")</f>
        <v/>
      </c>
      <c r="W1029" s="49">
        <f>IF(OR($E1028&lt;&gt;"측정",$C1028&lt;&gt;$C1029,$D1028&lt;&gt;$D1029,NOT(ISNUMBER(M1029)),NOT(ISNUMBER(M1028)),(IF(ISNUMBER(H1029),H1029,G1029)-IF(ISNUMBER(H1028),H1028,G1028))=0),"",(M1029-M1028)/(IF(ISNUMBER(H1029),H1029,G1029)-IF(ISNUMBER(H1028),H1028,G1028)))</f>
        <v/>
      </c>
      <c r="X1029" s="31">
        <f>IF(NOT(AND(ISNUMBER(O1029),ISNUMBER(Q1029))),"",(Q1029-O1029)*1440)</f>
        <v/>
      </c>
      <c r="Y1029" s="29" t="n"/>
      <c r="Z1029" s="29" t="n"/>
      <c r="AA1029" s="29" t="n"/>
      <c r="AB1029" s="32" t="n"/>
      <c r="AC1029" s="32" t="n"/>
    </row>
    <row r="1030">
      <c r="A1030" s="26" t="inlineStr">
        <is>
          <t>S20</t>
        </is>
      </c>
      <c r="B1030" s="26" t="inlineStr">
        <is>
          <t>보령 신규점2</t>
        </is>
      </c>
      <c r="C1030" s="26" t="inlineStr">
        <is>
          <t>S20-H남</t>
        </is>
      </c>
      <c r="D1030" s="47" t="n">
        <v>1</v>
      </c>
      <c r="E1030" s="26" t="inlineStr">
        <is>
          <t>측정</t>
        </is>
      </c>
      <c r="F1030" s="26" t="inlineStr">
        <is>
          <t>남</t>
        </is>
      </c>
      <c r="G1030" s="31" t="n">
        <v>9</v>
      </c>
      <c r="H1030" s="30" t="n"/>
      <c r="I1030" s="43" t="n"/>
      <c r="J1030" s="41" t="n"/>
      <c r="K1030" s="41" t="n"/>
      <c r="L1030" s="41" t="n"/>
      <c r="M1030" s="31">
        <f>IF(COUNT(J1030:L1030)=0,"",MEDIAN(J1030:L1030))</f>
        <v/>
      </c>
      <c r="N1030" s="26">
        <f>IF(COUNTIFS($C:$C,$C1030,$D:$D,$D1030,$E:$E,"P0(전)",$M:$M,"&gt;0")&lt;&gt;1,"P0(전) 유효 1개 아님",IF(COUNTIFS($C:$C,$C1030,$D:$D,$D1030,$E:$E,"P0(후)",$M:$M,"&gt;0")&lt;&gt;1,"P0(후) 유효 1개 아님",IF(NOT(AND(ISNUMBER(O1030),ISNUMBER(Q1030),ISNUMBER(I1030))),"시각 결측",IF(Q1030&lt;=O1030,"P0 시각 역전",IF(OR(I1030&lt;O1030,I1030&gt;Q1030),"측정시각 구간 밖","OK")))))</f>
        <v/>
      </c>
      <c r="O1030" s="48">
        <f>IF(COUNTIFS($C:$C,$C1030,$D:$D,$D1030,$E:$E,"P0(전)",$M:$M,"&gt;0")&lt;&gt;1,"",SUMIFS($I:$I,$C:$C,$C1030,$D:$D,$D1030,$E:$E,"P0(전)"))</f>
        <v/>
      </c>
      <c r="P1030" s="31">
        <f>IF(COUNTIFS($C:$C,$C1030,$D:$D,$D1030,$E:$E,"P0(전)",$M:$M,"&gt;0")&lt;&gt;1,"",SUMIFS($M:$M,$C:$C,$C1030,$D:$D,$D1030,$E:$E,"P0(전)"))</f>
        <v/>
      </c>
      <c r="Q1030" s="48">
        <f>IF(COUNTIFS($C:$C,$C1030,$D:$D,$D1030,$E:$E,"P0(후)",$M:$M,"&gt;0")&lt;&gt;1,"",SUMIFS($I:$I,$C:$C,$C1030,$D:$D,$D1030,$E:$E,"P0(후)"))</f>
        <v/>
      </c>
      <c r="R1030" s="31">
        <f>IF(COUNTIFS($C:$C,$C1030,$D:$D,$D1030,$E:$E,"P0(후)",$M:$M,"&gt;0")&lt;&gt;1,"",SUMIFS($M:$M,$C:$C,$C1030,$D:$D,$D1030,$E:$E,"P0(후)"))</f>
        <v/>
      </c>
      <c r="S1030" s="31">
        <f>IF(N1030&lt;&gt;"OK","",P1030+(R1030-P1030)*(I1030-O1030)/(Q1030-O1030))</f>
        <v/>
      </c>
      <c r="T1030" s="31">
        <f>IF(OR(N1030&lt;&gt;"OK",NOT(ISNUMBER(M1030))),"",M1030-S1030)</f>
        <v/>
      </c>
      <c r="U1030" s="49">
        <f>IF(OR(NOT(ISNUMBER(T1030)),IF(ISNUMBER(H1030),H1030,G1030)=0),"",T1030/IF(ISNUMBER(H1030),H1030,G1030))</f>
        <v/>
      </c>
      <c r="V1030" s="49">
        <f>IF(ISNUMBER(U1030),ABS(U1030),"")</f>
        <v/>
      </c>
      <c r="W1030" s="49">
        <f>IF(OR($E1029&lt;&gt;"측정",$C1029&lt;&gt;$C1030,$D1029&lt;&gt;$D1030,NOT(ISNUMBER(M1030)),NOT(ISNUMBER(M1029)),(IF(ISNUMBER(H1030),H1030,G1030)-IF(ISNUMBER(H1029),H1029,G1029))=0),"",(M1030-M1029)/(IF(ISNUMBER(H1030),H1030,G1030)-IF(ISNUMBER(H1029),H1029,G1029)))</f>
        <v/>
      </c>
      <c r="X1030" s="31">
        <f>IF(NOT(AND(ISNUMBER(O1030),ISNUMBER(Q1030))),"",(Q1030-O1030)*1440)</f>
        <v/>
      </c>
      <c r="Y1030" s="29" t="n"/>
      <c r="Z1030" s="29" t="n"/>
      <c r="AA1030" s="29" t="n"/>
      <c r="AB1030" s="32" t="n"/>
      <c r="AC1030" s="32" t="n"/>
    </row>
    <row r="1031">
      <c r="A1031" s="26" t="inlineStr">
        <is>
          <t>S20</t>
        </is>
      </c>
      <c r="B1031" s="26" t="inlineStr">
        <is>
          <t>보령 신규점2</t>
        </is>
      </c>
      <c r="C1031" s="26" t="inlineStr">
        <is>
          <t>S20-H남</t>
        </is>
      </c>
      <c r="D1031" s="47" t="n">
        <v>1</v>
      </c>
      <c r="E1031" s="26" t="inlineStr">
        <is>
          <t>측정</t>
        </is>
      </c>
      <c r="F1031" s="26" t="inlineStr">
        <is>
          <t>남</t>
        </is>
      </c>
      <c r="G1031" s="31" t="n">
        <v>10</v>
      </c>
      <c r="H1031" s="30" t="n"/>
      <c r="I1031" s="43" t="n"/>
      <c r="J1031" s="41" t="n"/>
      <c r="K1031" s="41" t="n"/>
      <c r="L1031" s="41" t="n"/>
      <c r="M1031" s="31">
        <f>IF(COUNT(J1031:L1031)=0,"",MEDIAN(J1031:L1031))</f>
        <v/>
      </c>
      <c r="N1031" s="26">
        <f>IF(COUNTIFS($C:$C,$C1031,$D:$D,$D1031,$E:$E,"P0(전)",$M:$M,"&gt;0")&lt;&gt;1,"P0(전) 유효 1개 아님",IF(COUNTIFS($C:$C,$C1031,$D:$D,$D1031,$E:$E,"P0(후)",$M:$M,"&gt;0")&lt;&gt;1,"P0(후) 유효 1개 아님",IF(NOT(AND(ISNUMBER(O1031),ISNUMBER(Q1031),ISNUMBER(I1031))),"시각 결측",IF(Q1031&lt;=O1031,"P0 시각 역전",IF(OR(I1031&lt;O1031,I1031&gt;Q1031),"측정시각 구간 밖","OK")))))</f>
        <v/>
      </c>
      <c r="O1031" s="48">
        <f>IF(COUNTIFS($C:$C,$C1031,$D:$D,$D1031,$E:$E,"P0(전)",$M:$M,"&gt;0")&lt;&gt;1,"",SUMIFS($I:$I,$C:$C,$C1031,$D:$D,$D1031,$E:$E,"P0(전)"))</f>
        <v/>
      </c>
      <c r="P1031" s="31">
        <f>IF(COUNTIFS($C:$C,$C1031,$D:$D,$D1031,$E:$E,"P0(전)",$M:$M,"&gt;0")&lt;&gt;1,"",SUMIFS($M:$M,$C:$C,$C1031,$D:$D,$D1031,$E:$E,"P0(전)"))</f>
        <v/>
      </c>
      <c r="Q1031" s="48">
        <f>IF(COUNTIFS($C:$C,$C1031,$D:$D,$D1031,$E:$E,"P0(후)",$M:$M,"&gt;0")&lt;&gt;1,"",SUMIFS($I:$I,$C:$C,$C1031,$D:$D,$D1031,$E:$E,"P0(후)"))</f>
        <v/>
      </c>
      <c r="R1031" s="31">
        <f>IF(COUNTIFS($C:$C,$C1031,$D:$D,$D1031,$E:$E,"P0(후)",$M:$M,"&gt;0")&lt;&gt;1,"",SUMIFS($M:$M,$C:$C,$C1031,$D:$D,$D1031,$E:$E,"P0(후)"))</f>
        <v/>
      </c>
      <c r="S1031" s="31">
        <f>IF(N1031&lt;&gt;"OK","",P1031+(R1031-P1031)*(I1031-O1031)/(Q1031-O1031))</f>
        <v/>
      </c>
      <c r="T1031" s="31">
        <f>IF(OR(N1031&lt;&gt;"OK",NOT(ISNUMBER(M1031))),"",M1031-S1031)</f>
        <v/>
      </c>
      <c r="U1031" s="49">
        <f>IF(OR(NOT(ISNUMBER(T1031)),IF(ISNUMBER(H1031),H1031,G1031)=0),"",T1031/IF(ISNUMBER(H1031),H1031,G1031))</f>
        <v/>
      </c>
      <c r="V1031" s="49">
        <f>IF(ISNUMBER(U1031),ABS(U1031),"")</f>
        <v/>
      </c>
      <c r="W1031" s="49">
        <f>IF(OR($E1030&lt;&gt;"측정",$C1030&lt;&gt;$C1031,$D1030&lt;&gt;$D1031,NOT(ISNUMBER(M1031)),NOT(ISNUMBER(M1030)),(IF(ISNUMBER(H1031),H1031,G1031)-IF(ISNUMBER(H1030),H1030,G1030))=0),"",(M1031-M1030)/(IF(ISNUMBER(H1031),H1031,G1031)-IF(ISNUMBER(H1030),H1030,G1030)))</f>
        <v/>
      </c>
      <c r="X1031" s="31">
        <f>IF(NOT(AND(ISNUMBER(O1031),ISNUMBER(Q1031))),"",(Q1031-O1031)*1440)</f>
        <v/>
      </c>
      <c r="Y1031" s="29" t="n"/>
      <c r="Z1031" s="29" t="n"/>
      <c r="AA1031" s="29" t="n"/>
      <c r="AB1031" s="32" t="n"/>
      <c r="AC1031" s="32" t="n"/>
    </row>
    <row r="1032">
      <c r="A1032" s="44" t="inlineStr">
        <is>
          <t>S20</t>
        </is>
      </c>
      <c r="B1032" s="44" t="inlineStr">
        <is>
          <t>보령 신규점2</t>
        </is>
      </c>
      <c r="C1032" s="44" t="inlineStr">
        <is>
          <t>S20-H남</t>
        </is>
      </c>
      <c r="D1032" s="45" t="n">
        <v>1</v>
      </c>
      <c r="E1032" s="44" t="inlineStr">
        <is>
          <t>P0(후)</t>
        </is>
      </c>
      <c r="F1032" s="44" t="inlineStr">
        <is>
          <t>남</t>
        </is>
      </c>
      <c r="G1032" s="46" t="n"/>
      <c r="H1032" s="30" t="n"/>
      <c r="I1032" s="43" t="n"/>
      <c r="J1032" s="41" t="n"/>
      <c r="K1032" s="41" t="n"/>
      <c r="L1032" s="41" t="n"/>
      <c r="M1032" s="31">
        <f>IF(COUNT(J1032:L1032)=0,"",MEDIAN(J1032:L1032))</f>
        <v/>
      </c>
      <c r="N1032" s="38" t="n"/>
      <c r="O1032" s="38" t="n"/>
      <c r="P1032" s="38" t="n"/>
      <c r="Q1032" s="38" t="n"/>
      <c r="R1032" s="38" t="n"/>
      <c r="S1032" s="38" t="n"/>
      <c r="T1032" s="38" t="n"/>
      <c r="U1032" s="38" t="n"/>
      <c r="V1032" s="38" t="n"/>
      <c r="W1032" s="38" t="n"/>
      <c r="X1032" s="38" t="n"/>
      <c r="Y1032" s="29" t="n"/>
      <c r="Z1032" s="29" t="n"/>
      <c r="AA1032" s="29" t="n"/>
      <c r="AB1032" s="32" t="n"/>
      <c r="AC1032" s="32" t="n"/>
    </row>
    <row r="1033">
      <c r="A1033" s="44" t="inlineStr">
        <is>
          <t>S20</t>
        </is>
      </c>
      <c r="B1033" s="44" t="inlineStr">
        <is>
          <t>보령 신규점2</t>
        </is>
      </c>
      <c r="C1033" s="44" t="inlineStr">
        <is>
          <t>S20-H북</t>
        </is>
      </c>
      <c r="D1033" s="45" t="n">
        <v>1</v>
      </c>
      <c r="E1033" s="44" t="inlineStr">
        <is>
          <t>P0(전)</t>
        </is>
      </c>
      <c r="F1033" s="44" t="inlineStr">
        <is>
          <t>북</t>
        </is>
      </c>
      <c r="G1033" s="46" t="n"/>
      <c r="H1033" s="30" t="n"/>
      <c r="I1033" s="43" t="n"/>
      <c r="J1033" s="41" t="n"/>
      <c r="K1033" s="41" t="n"/>
      <c r="L1033" s="41" t="n"/>
      <c r="M1033" s="31">
        <f>IF(COUNT(J1033:L1033)=0,"",MEDIAN(J1033:L1033))</f>
        <v/>
      </c>
      <c r="N1033" s="38" t="n"/>
      <c r="O1033" s="38" t="n"/>
      <c r="P1033" s="38" t="n"/>
      <c r="Q1033" s="38" t="n"/>
      <c r="R1033" s="38" t="n"/>
      <c r="S1033" s="38" t="n"/>
      <c r="T1033" s="38" t="n"/>
      <c r="U1033" s="38" t="n"/>
      <c r="V1033" s="38" t="n"/>
      <c r="W1033" s="38" t="n"/>
      <c r="X1033" s="38" t="n"/>
      <c r="Y1033" s="29" t="n"/>
      <c r="Z1033" s="29" t="n"/>
      <c r="AA1033" s="29" t="n"/>
      <c r="AB1033" s="32" t="n"/>
      <c r="AC1033" s="32" t="n"/>
    </row>
    <row r="1034">
      <c r="A1034" s="26" t="inlineStr">
        <is>
          <t>S20</t>
        </is>
      </c>
      <c r="B1034" s="26" t="inlineStr">
        <is>
          <t>보령 신규점2</t>
        </is>
      </c>
      <c r="C1034" s="26" t="inlineStr">
        <is>
          <t>S20-H북</t>
        </is>
      </c>
      <c r="D1034" s="47" t="n">
        <v>1</v>
      </c>
      <c r="E1034" s="26" t="inlineStr">
        <is>
          <t>측정</t>
        </is>
      </c>
      <c r="F1034" s="26" t="inlineStr">
        <is>
          <t>북</t>
        </is>
      </c>
      <c r="G1034" s="31" t="n">
        <v>0.5</v>
      </c>
      <c r="H1034" s="30" t="n"/>
      <c r="I1034" s="43" t="n"/>
      <c r="J1034" s="41" t="n"/>
      <c r="K1034" s="41" t="n"/>
      <c r="L1034" s="41" t="n"/>
      <c r="M1034" s="31">
        <f>IF(COUNT(J1034:L1034)=0,"",MEDIAN(J1034:L1034))</f>
        <v/>
      </c>
      <c r="N1034" s="26">
        <f>IF(COUNTIFS($C:$C,$C1034,$D:$D,$D1034,$E:$E,"P0(전)",$M:$M,"&gt;0")&lt;&gt;1,"P0(전) 유효 1개 아님",IF(COUNTIFS($C:$C,$C1034,$D:$D,$D1034,$E:$E,"P0(후)",$M:$M,"&gt;0")&lt;&gt;1,"P0(후) 유효 1개 아님",IF(NOT(AND(ISNUMBER(O1034),ISNUMBER(Q1034),ISNUMBER(I1034))),"시각 결측",IF(Q1034&lt;=O1034,"P0 시각 역전",IF(OR(I1034&lt;O1034,I1034&gt;Q1034),"측정시각 구간 밖","OK")))))</f>
        <v/>
      </c>
      <c r="O1034" s="48">
        <f>IF(COUNTIFS($C:$C,$C1034,$D:$D,$D1034,$E:$E,"P0(전)",$M:$M,"&gt;0")&lt;&gt;1,"",SUMIFS($I:$I,$C:$C,$C1034,$D:$D,$D1034,$E:$E,"P0(전)"))</f>
        <v/>
      </c>
      <c r="P1034" s="31">
        <f>IF(COUNTIFS($C:$C,$C1034,$D:$D,$D1034,$E:$E,"P0(전)",$M:$M,"&gt;0")&lt;&gt;1,"",SUMIFS($M:$M,$C:$C,$C1034,$D:$D,$D1034,$E:$E,"P0(전)"))</f>
        <v/>
      </c>
      <c r="Q1034" s="48">
        <f>IF(COUNTIFS($C:$C,$C1034,$D:$D,$D1034,$E:$E,"P0(후)",$M:$M,"&gt;0")&lt;&gt;1,"",SUMIFS($I:$I,$C:$C,$C1034,$D:$D,$D1034,$E:$E,"P0(후)"))</f>
        <v/>
      </c>
      <c r="R1034" s="31">
        <f>IF(COUNTIFS($C:$C,$C1034,$D:$D,$D1034,$E:$E,"P0(후)",$M:$M,"&gt;0")&lt;&gt;1,"",SUMIFS($M:$M,$C:$C,$C1034,$D:$D,$D1034,$E:$E,"P0(후)"))</f>
        <v/>
      </c>
      <c r="S1034" s="31">
        <f>IF(N1034&lt;&gt;"OK","",P1034+(R1034-P1034)*(I1034-O1034)/(Q1034-O1034))</f>
        <v/>
      </c>
      <c r="T1034" s="31">
        <f>IF(OR(N1034&lt;&gt;"OK",NOT(ISNUMBER(M1034))),"",M1034-S1034)</f>
        <v/>
      </c>
      <c r="U1034" s="49">
        <f>IF(OR(NOT(ISNUMBER(T1034)),IF(ISNUMBER(H1034),H1034,G1034)=0),"",T1034/IF(ISNUMBER(H1034),H1034,G1034))</f>
        <v/>
      </c>
      <c r="V1034" s="49">
        <f>IF(ISNUMBER(U1034),ABS(U1034),"")</f>
        <v/>
      </c>
      <c r="W1034" s="49">
        <f>IF(OR($E1033&lt;&gt;"측정",$C1033&lt;&gt;$C1034,$D1033&lt;&gt;$D1034,NOT(ISNUMBER(M1034)),NOT(ISNUMBER(M1033)),(IF(ISNUMBER(H1034),H1034,G1034)-IF(ISNUMBER(H1033),H1033,G1033))=0),"",(M1034-M1033)/(IF(ISNUMBER(H1034),H1034,G1034)-IF(ISNUMBER(H1033),H1033,G1033)))</f>
        <v/>
      </c>
      <c r="X1034" s="31">
        <f>IF(NOT(AND(ISNUMBER(O1034),ISNUMBER(Q1034))),"",(Q1034-O1034)*1440)</f>
        <v/>
      </c>
      <c r="Y1034" s="29" t="n"/>
      <c r="Z1034" s="29" t="n"/>
      <c r="AA1034" s="29" t="n"/>
      <c r="AB1034" s="32" t="n"/>
      <c r="AC1034" s="32" t="n"/>
    </row>
    <row r="1035">
      <c r="A1035" s="26" t="inlineStr">
        <is>
          <t>S20</t>
        </is>
      </c>
      <c r="B1035" s="26" t="inlineStr">
        <is>
          <t>보령 신규점2</t>
        </is>
      </c>
      <c r="C1035" s="26" t="inlineStr">
        <is>
          <t>S20-H북</t>
        </is>
      </c>
      <c r="D1035" s="47" t="n">
        <v>1</v>
      </c>
      <c r="E1035" s="26" t="inlineStr">
        <is>
          <t>측정</t>
        </is>
      </c>
      <c r="F1035" s="26" t="inlineStr">
        <is>
          <t>북</t>
        </is>
      </c>
      <c r="G1035" s="31" t="n">
        <v>1</v>
      </c>
      <c r="H1035" s="30" t="n"/>
      <c r="I1035" s="43" t="n"/>
      <c r="J1035" s="41" t="n"/>
      <c r="K1035" s="41" t="n"/>
      <c r="L1035" s="41" t="n"/>
      <c r="M1035" s="31">
        <f>IF(COUNT(J1035:L1035)=0,"",MEDIAN(J1035:L1035))</f>
        <v/>
      </c>
      <c r="N1035" s="26">
        <f>IF(COUNTIFS($C:$C,$C1035,$D:$D,$D1035,$E:$E,"P0(전)",$M:$M,"&gt;0")&lt;&gt;1,"P0(전) 유효 1개 아님",IF(COUNTIFS($C:$C,$C1035,$D:$D,$D1035,$E:$E,"P0(후)",$M:$M,"&gt;0")&lt;&gt;1,"P0(후) 유효 1개 아님",IF(NOT(AND(ISNUMBER(O1035),ISNUMBER(Q1035),ISNUMBER(I1035))),"시각 결측",IF(Q1035&lt;=O1035,"P0 시각 역전",IF(OR(I1035&lt;O1035,I1035&gt;Q1035),"측정시각 구간 밖","OK")))))</f>
        <v/>
      </c>
      <c r="O1035" s="48">
        <f>IF(COUNTIFS($C:$C,$C1035,$D:$D,$D1035,$E:$E,"P0(전)",$M:$M,"&gt;0")&lt;&gt;1,"",SUMIFS($I:$I,$C:$C,$C1035,$D:$D,$D1035,$E:$E,"P0(전)"))</f>
        <v/>
      </c>
      <c r="P1035" s="31">
        <f>IF(COUNTIFS($C:$C,$C1035,$D:$D,$D1035,$E:$E,"P0(전)",$M:$M,"&gt;0")&lt;&gt;1,"",SUMIFS($M:$M,$C:$C,$C1035,$D:$D,$D1035,$E:$E,"P0(전)"))</f>
        <v/>
      </c>
      <c r="Q1035" s="48">
        <f>IF(COUNTIFS($C:$C,$C1035,$D:$D,$D1035,$E:$E,"P0(후)",$M:$M,"&gt;0")&lt;&gt;1,"",SUMIFS($I:$I,$C:$C,$C1035,$D:$D,$D1035,$E:$E,"P0(후)"))</f>
        <v/>
      </c>
      <c r="R1035" s="31">
        <f>IF(COUNTIFS($C:$C,$C1035,$D:$D,$D1035,$E:$E,"P0(후)",$M:$M,"&gt;0")&lt;&gt;1,"",SUMIFS($M:$M,$C:$C,$C1035,$D:$D,$D1035,$E:$E,"P0(후)"))</f>
        <v/>
      </c>
      <c r="S1035" s="31">
        <f>IF(N1035&lt;&gt;"OK","",P1035+(R1035-P1035)*(I1035-O1035)/(Q1035-O1035))</f>
        <v/>
      </c>
      <c r="T1035" s="31">
        <f>IF(OR(N1035&lt;&gt;"OK",NOT(ISNUMBER(M1035))),"",M1035-S1035)</f>
        <v/>
      </c>
      <c r="U1035" s="49">
        <f>IF(OR(NOT(ISNUMBER(T1035)),IF(ISNUMBER(H1035),H1035,G1035)=0),"",T1035/IF(ISNUMBER(H1035),H1035,G1035))</f>
        <v/>
      </c>
      <c r="V1035" s="49">
        <f>IF(ISNUMBER(U1035),ABS(U1035),"")</f>
        <v/>
      </c>
      <c r="W1035" s="49">
        <f>IF(OR($E1034&lt;&gt;"측정",$C1034&lt;&gt;$C1035,$D1034&lt;&gt;$D1035,NOT(ISNUMBER(M1035)),NOT(ISNUMBER(M1034)),(IF(ISNUMBER(H1035),H1035,G1035)-IF(ISNUMBER(H1034),H1034,G1034))=0),"",(M1035-M1034)/(IF(ISNUMBER(H1035),H1035,G1035)-IF(ISNUMBER(H1034),H1034,G1034)))</f>
        <v/>
      </c>
      <c r="X1035" s="31">
        <f>IF(NOT(AND(ISNUMBER(O1035),ISNUMBER(Q1035))),"",(Q1035-O1035)*1440)</f>
        <v/>
      </c>
      <c r="Y1035" s="29" t="n"/>
      <c r="Z1035" s="29" t="n"/>
      <c r="AA1035" s="29" t="n"/>
      <c r="AB1035" s="32" t="n"/>
      <c r="AC1035" s="32" t="n"/>
    </row>
    <row r="1036">
      <c r="A1036" s="26" t="inlineStr">
        <is>
          <t>S20</t>
        </is>
      </c>
      <c r="B1036" s="26" t="inlineStr">
        <is>
          <t>보령 신규점2</t>
        </is>
      </c>
      <c r="C1036" s="26" t="inlineStr">
        <is>
          <t>S20-H북</t>
        </is>
      </c>
      <c r="D1036" s="47" t="n">
        <v>1</v>
      </c>
      <c r="E1036" s="26" t="inlineStr">
        <is>
          <t>측정</t>
        </is>
      </c>
      <c r="F1036" s="26" t="inlineStr">
        <is>
          <t>북</t>
        </is>
      </c>
      <c r="G1036" s="31" t="n">
        <v>2</v>
      </c>
      <c r="H1036" s="30" t="n"/>
      <c r="I1036" s="43" t="n"/>
      <c r="J1036" s="41" t="n"/>
      <c r="K1036" s="41" t="n"/>
      <c r="L1036" s="41" t="n"/>
      <c r="M1036" s="31">
        <f>IF(COUNT(J1036:L1036)=0,"",MEDIAN(J1036:L1036))</f>
        <v/>
      </c>
      <c r="N1036" s="26">
        <f>IF(COUNTIFS($C:$C,$C1036,$D:$D,$D1036,$E:$E,"P0(전)",$M:$M,"&gt;0")&lt;&gt;1,"P0(전) 유효 1개 아님",IF(COUNTIFS($C:$C,$C1036,$D:$D,$D1036,$E:$E,"P0(후)",$M:$M,"&gt;0")&lt;&gt;1,"P0(후) 유효 1개 아님",IF(NOT(AND(ISNUMBER(O1036),ISNUMBER(Q1036),ISNUMBER(I1036))),"시각 결측",IF(Q1036&lt;=O1036,"P0 시각 역전",IF(OR(I1036&lt;O1036,I1036&gt;Q1036),"측정시각 구간 밖","OK")))))</f>
        <v/>
      </c>
      <c r="O1036" s="48">
        <f>IF(COUNTIFS($C:$C,$C1036,$D:$D,$D1036,$E:$E,"P0(전)",$M:$M,"&gt;0")&lt;&gt;1,"",SUMIFS($I:$I,$C:$C,$C1036,$D:$D,$D1036,$E:$E,"P0(전)"))</f>
        <v/>
      </c>
      <c r="P1036" s="31">
        <f>IF(COUNTIFS($C:$C,$C1036,$D:$D,$D1036,$E:$E,"P0(전)",$M:$M,"&gt;0")&lt;&gt;1,"",SUMIFS($M:$M,$C:$C,$C1036,$D:$D,$D1036,$E:$E,"P0(전)"))</f>
        <v/>
      </c>
      <c r="Q1036" s="48">
        <f>IF(COUNTIFS($C:$C,$C1036,$D:$D,$D1036,$E:$E,"P0(후)",$M:$M,"&gt;0")&lt;&gt;1,"",SUMIFS($I:$I,$C:$C,$C1036,$D:$D,$D1036,$E:$E,"P0(후)"))</f>
        <v/>
      </c>
      <c r="R1036" s="31">
        <f>IF(COUNTIFS($C:$C,$C1036,$D:$D,$D1036,$E:$E,"P0(후)",$M:$M,"&gt;0")&lt;&gt;1,"",SUMIFS($M:$M,$C:$C,$C1036,$D:$D,$D1036,$E:$E,"P0(후)"))</f>
        <v/>
      </c>
      <c r="S1036" s="31">
        <f>IF(N1036&lt;&gt;"OK","",P1036+(R1036-P1036)*(I1036-O1036)/(Q1036-O1036))</f>
        <v/>
      </c>
      <c r="T1036" s="31">
        <f>IF(OR(N1036&lt;&gt;"OK",NOT(ISNUMBER(M1036))),"",M1036-S1036)</f>
        <v/>
      </c>
      <c r="U1036" s="49">
        <f>IF(OR(NOT(ISNUMBER(T1036)),IF(ISNUMBER(H1036),H1036,G1036)=0),"",T1036/IF(ISNUMBER(H1036),H1036,G1036))</f>
        <v/>
      </c>
      <c r="V1036" s="49">
        <f>IF(ISNUMBER(U1036),ABS(U1036),"")</f>
        <v/>
      </c>
      <c r="W1036" s="49">
        <f>IF(OR($E1035&lt;&gt;"측정",$C1035&lt;&gt;$C1036,$D1035&lt;&gt;$D1036,NOT(ISNUMBER(M1036)),NOT(ISNUMBER(M1035)),(IF(ISNUMBER(H1036),H1036,G1036)-IF(ISNUMBER(H1035),H1035,G1035))=0),"",(M1036-M1035)/(IF(ISNUMBER(H1036),H1036,G1036)-IF(ISNUMBER(H1035),H1035,G1035)))</f>
        <v/>
      </c>
      <c r="X1036" s="31">
        <f>IF(NOT(AND(ISNUMBER(O1036),ISNUMBER(Q1036))),"",(Q1036-O1036)*1440)</f>
        <v/>
      </c>
      <c r="Y1036" s="29" t="n"/>
      <c r="Z1036" s="29" t="n"/>
      <c r="AA1036" s="29" t="n"/>
      <c r="AB1036" s="32" t="n"/>
      <c r="AC1036" s="32" t="n"/>
    </row>
    <row r="1037">
      <c r="A1037" s="26" t="inlineStr">
        <is>
          <t>S20</t>
        </is>
      </c>
      <c r="B1037" s="26" t="inlineStr">
        <is>
          <t>보령 신규점2</t>
        </is>
      </c>
      <c r="C1037" s="26" t="inlineStr">
        <is>
          <t>S20-H북</t>
        </is>
      </c>
      <c r="D1037" s="47" t="n">
        <v>1</v>
      </c>
      <c r="E1037" s="26" t="inlineStr">
        <is>
          <t>측정</t>
        </is>
      </c>
      <c r="F1037" s="26" t="inlineStr">
        <is>
          <t>북</t>
        </is>
      </c>
      <c r="G1037" s="31" t="n">
        <v>3</v>
      </c>
      <c r="H1037" s="30" t="n"/>
      <c r="I1037" s="43" t="n"/>
      <c r="J1037" s="41" t="n"/>
      <c r="K1037" s="41" t="n"/>
      <c r="L1037" s="41" t="n"/>
      <c r="M1037" s="31">
        <f>IF(COUNT(J1037:L1037)=0,"",MEDIAN(J1037:L1037))</f>
        <v/>
      </c>
      <c r="N1037" s="26">
        <f>IF(COUNTIFS($C:$C,$C1037,$D:$D,$D1037,$E:$E,"P0(전)",$M:$M,"&gt;0")&lt;&gt;1,"P0(전) 유효 1개 아님",IF(COUNTIFS($C:$C,$C1037,$D:$D,$D1037,$E:$E,"P0(후)",$M:$M,"&gt;0")&lt;&gt;1,"P0(후) 유효 1개 아님",IF(NOT(AND(ISNUMBER(O1037),ISNUMBER(Q1037),ISNUMBER(I1037))),"시각 결측",IF(Q1037&lt;=O1037,"P0 시각 역전",IF(OR(I1037&lt;O1037,I1037&gt;Q1037),"측정시각 구간 밖","OK")))))</f>
        <v/>
      </c>
      <c r="O1037" s="48">
        <f>IF(COUNTIFS($C:$C,$C1037,$D:$D,$D1037,$E:$E,"P0(전)",$M:$M,"&gt;0")&lt;&gt;1,"",SUMIFS($I:$I,$C:$C,$C1037,$D:$D,$D1037,$E:$E,"P0(전)"))</f>
        <v/>
      </c>
      <c r="P1037" s="31">
        <f>IF(COUNTIFS($C:$C,$C1037,$D:$D,$D1037,$E:$E,"P0(전)",$M:$M,"&gt;0")&lt;&gt;1,"",SUMIFS($M:$M,$C:$C,$C1037,$D:$D,$D1037,$E:$E,"P0(전)"))</f>
        <v/>
      </c>
      <c r="Q1037" s="48">
        <f>IF(COUNTIFS($C:$C,$C1037,$D:$D,$D1037,$E:$E,"P0(후)",$M:$M,"&gt;0")&lt;&gt;1,"",SUMIFS($I:$I,$C:$C,$C1037,$D:$D,$D1037,$E:$E,"P0(후)"))</f>
        <v/>
      </c>
      <c r="R1037" s="31">
        <f>IF(COUNTIFS($C:$C,$C1037,$D:$D,$D1037,$E:$E,"P0(후)",$M:$M,"&gt;0")&lt;&gt;1,"",SUMIFS($M:$M,$C:$C,$C1037,$D:$D,$D1037,$E:$E,"P0(후)"))</f>
        <v/>
      </c>
      <c r="S1037" s="31">
        <f>IF(N1037&lt;&gt;"OK","",P1037+(R1037-P1037)*(I1037-O1037)/(Q1037-O1037))</f>
        <v/>
      </c>
      <c r="T1037" s="31">
        <f>IF(OR(N1037&lt;&gt;"OK",NOT(ISNUMBER(M1037))),"",M1037-S1037)</f>
        <v/>
      </c>
      <c r="U1037" s="49">
        <f>IF(OR(NOT(ISNUMBER(T1037)),IF(ISNUMBER(H1037),H1037,G1037)=0),"",T1037/IF(ISNUMBER(H1037),H1037,G1037))</f>
        <v/>
      </c>
      <c r="V1037" s="49">
        <f>IF(ISNUMBER(U1037),ABS(U1037),"")</f>
        <v/>
      </c>
      <c r="W1037" s="49">
        <f>IF(OR($E1036&lt;&gt;"측정",$C1036&lt;&gt;$C1037,$D1036&lt;&gt;$D1037,NOT(ISNUMBER(M1037)),NOT(ISNUMBER(M1036)),(IF(ISNUMBER(H1037),H1037,G1037)-IF(ISNUMBER(H1036),H1036,G1036))=0),"",(M1037-M1036)/(IF(ISNUMBER(H1037),H1037,G1037)-IF(ISNUMBER(H1036),H1036,G1036)))</f>
        <v/>
      </c>
      <c r="X1037" s="31">
        <f>IF(NOT(AND(ISNUMBER(O1037),ISNUMBER(Q1037))),"",(Q1037-O1037)*1440)</f>
        <v/>
      </c>
      <c r="Y1037" s="29" t="n"/>
      <c r="Z1037" s="29" t="n"/>
      <c r="AA1037" s="29" t="n"/>
      <c r="AB1037" s="32" t="n"/>
      <c r="AC1037" s="32" t="n"/>
    </row>
    <row r="1038">
      <c r="A1038" s="26" t="inlineStr">
        <is>
          <t>S20</t>
        </is>
      </c>
      <c r="B1038" s="26" t="inlineStr">
        <is>
          <t>보령 신규점2</t>
        </is>
      </c>
      <c r="C1038" s="26" t="inlineStr">
        <is>
          <t>S20-H북</t>
        </is>
      </c>
      <c r="D1038" s="47" t="n">
        <v>1</v>
      </c>
      <c r="E1038" s="26" t="inlineStr">
        <is>
          <t>측정</t>
        </is>
      </c>
      <c r="F1038" s="26" t="inlineStr">
        <is>
          <t>북</t>
        </is>
      </c>
      <c r="G1038" s="31" t="n">
        <v>4</v>
      </c>
      <c r="H1038" s="30" t="n"/>
      <c r="I1038" s="43" t="n"/>
      <c r="J1038" s="41" t="n"/>
      <c r="K1038" s="41" t="n"/>
      <c r="L1038" s="41" t="n"/>
      <c r="M1038" s="31">
        <f>IF(COUNT(J1038:L1038)=0,"",MEDIAN(J1038:L1038))</f>
        <v/>
      </c>
      <c r="N1038" s="26">
        <f>IF(COUNTIFS($C:$C,$C1038,$D:$D,$D1038,$E:$E,"P0(전)",$M:$M,"&gt;0")&lt;&gt;1,"P0(전) 유효 1개 아님",IF(COUNTIFS($C:$C,$C1038,$D:$D,$D1038,$E:$E,"P0(후)",$M:$M,"&gt;0")&lt;&gt;1,"P0(후) 유효 1개 아님",IF(NOT(AND(ISNUMBER(O1038),ISNUMBER(Q1038),ISNUMBER(I1038))),"시각 결측",IF(Q1038&lt;=O1038,"P0 시각 역전",IF(OR(I1038&lt;O1038,I1038&gt;Q1038),"측정시각 구간 밖","OK")))))</f>
        <v/>
      </c>
      <c r="O1038" s="48">
        <f>IF(COUNTIFS($C:$C,$C1038,$D:$D,$D1038,$E:$E,"P0(전)",$M:$M,"&gt;0")&lt;&gt;1,"",SUMIFS($I:$I,$C:$C,$C1038,$D:$D,$D1038,$E:$E,"P0(전)"))</f>
        <v/>
      </c>
      <c r="P1038" s="31">
        <f>IF(COUNTIFS($C:$C,$C1038,$D:$D,$D1038,$E:$E,"P0(전)",$M:$M,"&gt;0")&lt;&gt;1,"",SUMIFS($M:$M,$C:$C,$C1038,$D:$D,$D1038,$E:$E,"P0(전)"))</f>
        <v/>
      </c>
      <c r="Q1038" s="48">
        <f>IF(COUNTIFS($C:$C,$C1038,$D:$D,$D1038,$E:$E,"P0(후)",$M:$M,"&gt;0")&lt;&gt;1,"",SUMIFS($I:$I,$C:$C,$C1038,$D:$D,$D1038,$E:$E,"P0(후)"))</f>
        <v/>
      </c>
      <c r="R1038" s="31">
        <f>IF(COUNTIFS($C:$C,$C1038,$D:$D,$D1038,$E:$E,"P0(후)",$M:$M,"&gt;0")&lt;&gt;1,"",SUMIFS($M:$M,$C:$C,$C1038,$D:$D,$D1038,$E:$E,"P0(후)"))</f>
        <v/>
      </c>
      <c r="S1038" s="31">
        <f>IF(N1038&lt;&gt;"OK","",P1038+(R1038-P1038)*(I1038-O1038)/(Q1038-O1038))</f>
        <v/>
      </c>
      <c r="T1038" s="31">
        <f>IF(OR(N1038&lt;&gt;"OK",NOT(ISNUMBER(M1038))),"",M1038-S1038)</f>
        <v/>
      </c>
      <c r="U1038" s="49">
        <f>IF(OR(NOT(ISNUMBER(T1038)),IF(ISNUMBER(H1038),H1038,G1038)=0),"",T1038/IF(ISNUMBER(H1038),H1038,G1038))</f>
        <v/>
      </c>
      <c r="V1038" s="49">
        <f>IF(ISNUMBER(U1038),ABS(U1038),"")</f>
        <v/>
      </c>
      <c r="W1038" s="49">
        <f>IF(OR($E1037&lt;&gt;"측정",$C1037&lt;&gt;$C1038,$D1037&lt;&gt;$D1038,NOT(ISNUMBER(M1038)),NOT(ISNUMBER(M1037)),(IF(ISNUMBER(H1038),H1038,G1038)-IF(ISNUMBER(H1037),H1037,G1037))=0),"",(M1038-M1037)/(IF(ISNUMBER(H1038),H1038,G1038)-IF(ISNUMBER(H1037),H1037,G1037)))</f>
        <v/>
      </c>
      <c r="X1038" s="31">
        <f>IF(NOT(AND(ISNUMBER(O1038),ISNUMBER(Q1038))),"",(Q1038-O1038)*1440)</f>
        <v/>
      </c>
      <c r="Y1038" s="29" t="n"/>
      <c r="Z1038" s="29" t="n"/>
      <c r="AA1038" s="29" t="n"/>
      <c r="AB1038" s="32" t="n"/>
      <c r="AC1038" s="32" t="n"/>
    </row>
    <row r="1039">
      <c r="A1039" s="26" t="inlineStr">
        <is>
          <t>S20</t>
        </is>
      </c>
      <c r="B1039" s="26" t="inlineStr">
        <is>
          <t>보령 신규점2</t>
        </is>
      </c>
      <c r="C1039" s="26" t="inlineStr">
        <is>
          <t>S20-H북</t>
        </is>
      </c>
      <c r="D1039" s="47" t="n">
        <v>1</v>
      </c>
      <c r="E1039" s="26" t="inlineStr">
        <is>
          <t>측정</t>
        </is>
      </c>
      <c r="F1039" s="26" t="inlineStr">
        <is>
          <t>북</t>
        </is>
      </c>
      <c r="G1039" s="31" t="n">
        <v>5</v>
      </c>
      <c r="H1039" s="30" t="n"/>
      <c r="I1039" s="43" t="n"/>
      <c r="J1039" s="41" t="n"/>
      <c r="K1039" s="41" t="n"/>
      <c r="L1039" s="41" t="n"/>
      <c r="M1039" s="31">
        <f>IF(COUNT(J1039:L1039)=0,"",MEDIAN(J1039:L1039))</f>
        <v/>
      </c>
      <c r="N1039" s="26">
        <f>IF(COUNTIFS($C:$C,$C1039,$D:$D,$D1039,$E:$E,"P0(전)",$M:$M,"&gt;0")&lt;&gt;1,"P0(전) 유효 1개 아님",IF(COUNTIFS($C:$C,$C1039,$D:$D,$D1039,$E:$E,"P0(후)",$M:$M,"&gt;0")&lt;&gt;1,"P0(후) 유효 1개 아님",IF(NOT(AND(ISNUMBER(O1039),ISNUMBER(Q1039),ISNUMBER(I1039))),"시각 결측",IF(Q1039&lt;=O1039,"P0 시각 역전",IF(OR(I1039&lt;O1039,I1039&gt;Q1039),"측정시각 구간 밖","OK")))))</f>
        <v/>
      </c>
      <c r="O1039" s="48">
        <f>IF(COUNTIFS($C:$C,$C1039,$D:$D,$D1039,$E:$E,"P0(전)",$M:$M,"&gt;0")&lt;&gt;1,"",SUMIFS($I:$I,$C:$C,$C1039,$D:$D,$D1039,$E:$E,"P0(전)"))</f>
        <v/>
      </c>
      <c r="P1039" s="31">
        <f>IF(COUNTIFS($C:$C,$C1039,$D:$D,$D1039,$E:$E,"P0(전)",$M:$M,"&gt;0")&lt;&gt;1,"",SUMIFS($M:$M,$C:$C,$C1039,$D:$D,$D1039,$E:$E,"P0(전)"))</f>
        <v/>
      </c>
      <c r="Q1039" s="48">
        <f>IF(COUNTIFS($C:$C,$C1039,$D:$D,$D1039,$E:$E,"P0(후)",$M:$M,"&gt;0")&lt;&gt;1,"",SUMIFS($I:$I,$C:$C,$C1039,$D:$D,$D1039,$E:$E,"P0(후)"))</f>
        <v/>
      </c>
      <c r="R1039" s="31">
        <f>IF(COUNTIFS($C:$C,$C1039,$D:$D,$D1039,$E:$E,"P0(후)",$M:$M,"&gt;0")&lt;&gt;1,"",SUMIFS($M:$M,$C:$C,$C1039,$D:$D,$D1039,$E:$E,"P0(후)"))</f>
        <v/>
      </c>
      <c r="S1039" s="31">
        <f>IF(N1039&lt;&gt;"OK","",P1039+(R1039-P1039)*(I1039-O1039)/(Q1039-O1039))</f>
        <v/>
      </c>
      <c r="T1039" s="31">
        <f>IF(OR(N1039&lt;&gt;"OK",NOT(ISNUMBER(M1039))),"",M1039-S1039)</f>
        <v/>
      </c>
      <c r="U1039" s="49">
        <f>IF(OR(NOT(ISNUMBER(T1039)),IF(ISNUMBER(H1039),H1039,G1039)=0),"",T1039/IF(ISNUMBER(H1039),H1039,G1039))</f>
        <v/>
      </c>
      <c r="V1039" s="49">
        <f>IF(ISNUMBER(U1039),ABS(U1039),"")</f>
        <v/>
      </c>
      <c r="W1039" s="49">
        <f>IF(OR($E1038&lt;&gt;"측정",$C1038&lt;&gt;$C1039,$D1038&lt;&gt;$D1039,NOT(ISNUMBER(M1039)),NOT(ISNUMBER(M1038)),(IF(ISNUMBER(H1039),H1039,G1039)-IF(ISNUMBER(H1038),H1038,G1038))=0),"",(M1039-M1038)/(IF(ISNUMBER(H1039),H1039,G1039)-IF(ISNUMBER(H1038),H1038,G1038)))</f>
        <v/>
      </c>
      <c r="X1039" s="31">
        <f>IF(NOT(AND(ISNUMBER(O1039),ISNUMBER(Q1039))),"",(Q1039-O1039)*1440)</f>
        <v/>
      </c>
      <c r="Y1039" s="29" t="n"/>
      <c r="Z1039" s="29" t="n"/>
      <c r="AA1039" s="29" t="n"/>
      <c r="AB1039" s="32" t="n"/>
      <c r="AC1039" s="32" t="n"/>
    </row>
    <row r="1040">
      <c r="A1040" s="26" t="inlineStr">
        <is>
          <t>S20</t>
        </is>
      </c>
      <c r="B1040" s="26" t="inlineStr">
        <is>
          <t>보령 신규점2</t>
        </is>
      </c>
      <c r="C1040" s="26" t="inlineStr">
        <is>
          <t>S20-H북</t>
        </is>
      </c>
      <c r="D1040" s="47" t="n">
        <v>1</v>
      </c>
      <c r="E1040" s="26" t="inlineStr">
        <is>
          <t>측정</t>
        </is>
      </c>
      <c r="F1040" s="26" t="inlineStr">
        <is>
          <t>북</t>
        </is>
      </c>
      <c r="G1040" s="31" t="n">
        <v>6</v>
      </c>
      <c r="H1040" s="30" t="n"/>
      <c r="I1040" s="43" t="n"/>
      <c r="J1040" s="41" t="n"/>
      <c r="K1040" s="41" t="n"/>
      <c r="L1040" s="41" t="n"/>
      <c r="M1040" s="31">
        <f>IF(COUNT(J1040:L1040)=0,"",MEDIAN(J1040:L1040))</f>
        <v/>
      </c>
      <c r="N1040" s="26">
        <f>IF(COUNTIFS($C:$C,$C1040,$D:$D,$D1040,$E:$E,"P0(전)",$M:$M,"&gt;0")&lt;&gt;1,"P0(전) 유효 1개 아님",IF(COUNTIFS($C:$C,$C1040,$D:$D,$D1040,$E:$E,"P0(후)",$M:$M,"&gt;0")&lt;&gt;1,"P0(후) 유효 1개 아님",IF(NOT(AND(ISNUMBER(O1040),ISNUMBER(Q1040),ISNUMBER(I1040))),"시각 결측",IF(Q1040&lt;=O1040,"P0 시각 역전",IF(OR(I1040&lt;O1040,I1040&gt;Q1040),"측정시각 구간 밖","OK")))))</f>
        <v/>
      </c>
      <c r="O1040" s="48">
        <f>IF(COUNTIFS($C:$C,$C1040,$D:$D,$D1040,$E:$E,"P0(전)",$M:$M,"&gt;0")&lt;&gt;1,"",SUMIFS($I:$I,$C:$C,$C1040,$D:$D,$D1040,$E:$E,"P0(전)"))</f>
        <v/>
      </c>
      <c r="P1040" s="31">
        <f>IF(COUNTIFS($C:$C,$C1040,$D:$D,$D1040,$E:$E,"P0(전)",$M:$M,"&gt;0")&lt;&gt;1,"",SUMIFS($M:$M,$C:$C,$C1040,$D:$D,$D1040,$E:$E,"P0(전)"))</f>
        <v/>
      </c>
      <c r="Q1040" s="48">
        <f>IF(COUNTIFS($C:$C,$C1040,$D:$D,$D1040,$E:$E,"P0(후)",$M:$M,"&gt;0")&lt;&gt;1,"",SUMIFS($I:$I,$C:$C,$C1040,$D:$D,$D1040,$E:$E,"P0(후)"))</f>
        <v/>
      </c>
      <c r="R1040" s="31">
        <f>IF(COUNTIFS($C:$C,$C1040,$D:$D,$D1040,$E:$E,"P0(후)",$M:$M,"&gt;0")&lt;&gt;1,"",SUMIFS($M:$M,$C:$C,$C1040,$D:$D,$D1040,$E:$E,"P0(후)"))</f>
        <v/>
      </c>
      <c r="S1040" s="31">
        <f>IF(N1040&lt;&gt;"OK","",P1040+(R1040-P1040)*(I1040-O1040)/(Q1040-O1040))</f>
        <v/>
      </c>
      <c r="T1040" s="31">
        <f>IF(OR(N1040&lt;&gt;"OK",NOT(ISNUMBER(M1040))),"",M1040-S1040)</f>
        <v/>
      </c>
      <c r="U1040" s="49">
        <f>IF(OR(NOT(ISNUMBER(T1040)),IF(ISNUMBER(H1040),H1040,G1040)=0),"",T1040/IF(ISNUMBER(H1040),H1040,G1040))</f>
        <v/>
      </c>
      <c r="V1040" s="49">
        <f>IF(ISNUMBER(U1040),ABS(U1040),"")</f>
        <v/>
      </c>
      <c r="W1040" s="49">
        <f>IF(OR($E1039&lt;&gt;"측정",$C1039&lt;&gt;$C1040,$D1039&lt;&gt;$D1040,NOT(ISNUMBER(M1040)),NOT(ISNUMBER(M1039)),(IF(ISNUMBER(H1040),H1040,G1040)-IF(ISNUMBER(H1039),H1039,G1039))=0),"",(M1040-M1039)/(IF(ISNUMBER(H1040),H1040,G1040)-IF(ISNUMBER(H1039),H1039,G1039)))</f>
        <v/>
      </c>
      <c r="X1040" s="31">
        <f>IF(NOT(AND(ISNUMBER(O1040),ISNUMBER(Q1040))),"",(Q1040-O1040)*1440)</f>
        <v/>
      </c>
      <c r="Y1040" s="29" t="n"/>
      <c r="Z1040" s="29" t="n"/>
      <c r="AA1040" s="29" t="n"/>
      <c r="AB1040" s="32" t="n"/>
      <c r="AC1040" s="32" t="n"/>
    </row>
    <row r="1041">
      <c r="A1041" s="26" t="inlineStr">
        <is>
          <t>S20</t>
        </is>
      </c>
      <c r="B1041" s="26" t="inlineStr">
        <is>
          <t>보령 신규점2</t>
        </is>
      </c>
      <c r="C1041" s="26" t="inlineStr">
        <is>
          <t>S20-H북</t>
        </is>
      </c>
      <c r="D1041" s="47" t="n">
        <v>1</v>
      </c>
      <c r="E1041" s="26" t="inlineStr">
        <is>
          <t>측정</t>
        </is>
      </c>
      <c r="F1041" s="26" t="inlineStr">
        <is>
          <t>북</t>
        </is>
      </c>
      <c r="G1041" s="31" t="n">
        <v>7</v>
      </c>
      <c r="H1041" s="30" t="n"/>
      <c r="I1041" s="43" t="n"/>
      <c r="J1041" s="41" t="n"/>
      <c r="K1041" s="41" t="n"/>
      <c r="L1041" s="41" t="n"/>
      <c r="M1041" s="31">
        <f>IF(COUNT(J1041:L1041)=0,"",MEDIAN(J1041:L1041))</f>
        <v/>
      </c>
      <c r="N1041" s="26">
        <f>IF(COUNTIFS($C:$C,$C1041,$D:$D,$D1041,$E:$E,"P0(전)",$M:$M,"&gt;0")&lt;&gt;1,"P0(전) 유효 1개 아님",IF(COUNTIFS($C:$C,$C1041,$D:$D,$D1041,$E:$E,"P0(후)",$M:$M,"&gt;0")&lt;&gt;1,"P0(후) 유효 1개 아님",IF(NOT(AND(ISNUMBER(O1041),ISNUMBER(Q1041),ISNUMBER(I1041))),"시각 결측",IF(Q1041&lt;=O1041,"P0 시각 역전",IF(OR(I1041&lt;O1041,I1041&gt;Q1041),"측정시각 구간 밖","OK")))))</f>
        <v/>
      </c>
      <c r="O1041" s="48">
        <f>IF(COUNTIFS($C:$C,$C1041,$D:$D,$D1041,$E:$E,"P0(전)",$M:$M,"&gt;0")&lt;&gt;1,"",SUMIFS($I:$I,$C:$C,$C1041,$D:$D,$D1041,$E:$E,"P0(전)"))</f>
        <v/>
      </c>
      <c r="P1041" s="31">
        <f>IF(COUNTIFS($C:$C,$C1041,$D:$D,$D1041,$E:$E,"P0(전)",$M:$M,"&gt;0")&lt;&gt;1,"",SUMIFS($M:$M,$C:$C,$C1041,$D:$D,$D1041,$E:$E,"P0(전)"))</f>
        <v/>
      </c>
      <c r="Q1041" s="48">
        <f>IF(COUNTIFS($C:$C,$C1041,$D:$D,$D1041,$E:$E,"P0(후)",$M:$M,"&gt;0")&lt;&gt;1,"",SUMIFS($I:$I,$C:$C,$C1041,$D:$D,$D1041,$E:$E,"P0(후)"))</f>
        <v/>
      </c>
      <c r="R1041" s="31">
        <f>IF(COUNTIFS($C:$C,$C1041,$D:$D,$D1041,$E:$E,"P0(후)",$M:$M,"&gt;0")&lt;&gt;1,"",SUMIFS($M:$M,$C:$C,$C1041,$D:$D,$D1041,$E:$E,"P0(후)"))</f>
        <v/>
      </c>
      <c r="S1041" s="31">
        <f>IF(N1041&lt;&gt;"OK","",P1041+(R1041-P1041)*(I1041-O1041)/(Q1041-O1041))</f>
        <v/>
      </c>
      <c r="T1041" s="31">
        <f>IF(OR(N1041&lt;&gt;"OK",NOT(ISNUMBER(M1041))),"",M1041-S1041)</f>
        <v/>
      </c>
      <c r="U1041" s="49">
        <f>IF(OR(NOT(ISNUMBER(T1041)),IF(ISNUMBER(H1041),H1041,G1041)=0),"",T1041/IF(ISNUMBER(H1041),H1041,G1041))</f>
        <v/>
      </c>
      <c r="V1041" s="49">
        <f>IF(ISNUMBER(U1041),ABS(U1041),"")</f>
        <v/>
      </c>
      <c r="W1041" s="49">
        <f>IF(OR($E1040&lt;&gt;"측정",$C1040&lt;&gt;$C1041,$D1040&lt;&gt;$D1041,NOT(ISNUMBER(M1041)),NOT(ISNUMBER(M1040)),(IF(ISNUMBER(H1041),H1041,G1041)-IF(ISNUMBER(H1040),H1040,G1040))=0),"",(M1041-M1040)/(IF(ISNUMBER(H1041),H1041,G1041)-IF(ISNUMBER(H1040),H1040,G1040)))</f>
        <v/>
      </c>
      <c r="X1041" s="31">
        <f>IF(NOT(AND(ISNUMBER(O1041),ISNUMBER(Q1041))),"",(Q1041-O1041)*1440)</f>
        <v/>
      </c>
      <c r="Y1041" s="29" t="n"/>
      <c r="Z1041" s="29" t="n"/>
      <c r="AA1041" s="29" t="n"/>
      <c r="AB1041" s="32" t="n"/>
      <c r="AC1041" s="32" t="n"/>
    </row>
    <row r="1042">
      <c r="A1042" s="26" t="inlineStr">
        <is>
          <t>S20</t>
        </is>
      </c>
      <c r="B1042" s="26" t="inlineStr">
        <is>
          <t>보령 신규점2</t>
        </is>
      </c>
      <c r="C1042" s="26" t="inlineStr">
        <is>
          <t>S20-H북</t>
        </is>
      </c>
      <c r="D1042" s="47" t="n">
        <v>1</v>
      </c>
      <c r="E1042" s="26" t="inlineStr">
        <is>
          <t>측정</t>
        </is>
      </c>
      <c r="F1042" s="26" t="inlineStr">
        <is>
          <t>북</t>
        </is>
      </c>
      <c r="G1042" s="31" t="n">
        <v>8</v>
      </c>
      <c r="H1042" s="30" t="n"/>
      <c r="I1042" s="43" t="n"/>
      <c r="J1042" s="41" t="n"/>
      <c r="K1042" s="41" t="n"/>
      <c r="L1042" s="41" t="n"/>
      <c r="M1042" s="31">
        <f>IF(COUNT(J1042:L1042)=0,"",MEDIAN(J1042:L1042))</f>
        <v/>
      </c>
      <c r="N1042" s="26">
        <f>IF(COUNTIFS($C:$C,$C1042,$D:$D,$D1042,$E:$E,"P0(전)",$M:$M,"&gt;0")&lt;&gt;1,"P0(전) 유효 1개 아님",IF(COUNTIFS($C:$C,$C1042,$D:$D,$D1042,$E:$E,"P0(후)",$M:$M,"&gt;0")&lt;&gt;1,"P0(후) 유효 1개 아님",IF(NOT(AND(ISNUMBER(O1042),ISNUMBER(Q1042),ISNUMBER(I1042))),"시각 결측",IF(Q1042&lt;=O1042,"P0 시각 역전",IF(OR(I1042&lt;O1042,I1042&gt;Q1042),"측정시각 구간 밖","OK")))))</f>
        <v/>
      </c>
      <c r="O1042" s="48">
        <f>IF(COUNTIFS($C:$C,$C1042,$D:$D,$D1042,$E:$E,"P0(전)",$M:$M,"&gt;0")&lt;&gt;1,"",SUMIFS($I:$I,$C:$C,$C1042,$D:$D,$D1042,$E:$E,"P0(전)"))</f>
        <v/>
      </c>
      <c r="P1042" s="31">
        <f>IF(COUNTIFS($C:$C,$C1042,$D:$D,$D1042,$E:$E,"P0(전)",$M:$M,"&gt;0")&lt;&gt;1,"",SUMIFS($M:$M,$C:$C,$C1042,$D:$D,$D1042,$E:$E,"P0(전)"))</f>
        <v/>
      </c>
      <c r="Q1042" s="48">
        <f>IF(COUNTIFS($C:$C,$C1042,$D:$D,$D1042,$E:$E,"P0(후)",$M:$M,"&gt;0")&lt;&gt;1,"",SUMIFS($I:$I,$C:$C,$C1042,$D:$D,$D1042,$E:$E,"P0(후)"))</f>
        <v/>
      </c>
      <c r="R1042" s="31">
        <f>IF(COUNTIFS($C:$C,$C1042,$D:$D,$D1042,$E:$E,"P0(후)",$M:$M,"&gt;0")&lt;&gt;1,"",SUMIFS($M:$M,$C:$C,$C1042,$D:$D,$D1042,$E:$E,"P0(후)"))</f>
        <v/>
      </c>
      <c r="S1042" s="31">
        <f>IF(N1042&lt;&gt;"OK","",P1042+(R1042-P1042)*(I1042-O1042)/(Q1042-O1042))</f>
        <v/>
      </c>
      <c r="T1042" s="31">
        <f>IF(OR(N1042&lt;&gt;"OK",NOT(ISNUMBER(M1042))),"",M1042-S1042)</f>
        <v/>
      </c>
      <c r="U1042" s="49">
        <f>IF(OR(NOT(ISNUMBER(T1042)),IF(ISNUMBER(H1042),H1042,G1042)=0),"",T1042/IF(ISNUMBER(H1042),H1042,G1042))</f>
        <v/>
      </c>
      <c r="V1042" s="49">
        <f>IF(ISNUMBER(U1042),ABS(U1042),"")</f>
        <v/>
      </c>
      <c r="W1042" s="49">
        <f>IF(OR($E1041&lt;&gt;"측정",$C1041&lt;&gt;$C1042,$D1041&lt;&gt;$D1042,NOT(ISNUMBER(M1042)),NOT(ISNUMBER(M1041)),(IF(ISNUMBER(H1042),H1042,G1042)-IF(ISNUMBER(H1041),H1041,G1041))=0),"",(M1042-M1041)/(IF(ISNUMBER(H1042),H1042,G1042)-IF(ISNUMBER(H1041),H1041,G1041)))</f>
        <v/>
      </c>
      <c r="X1042" s="31">
        <f>IF(NOT(AND(ISNUMBER(O1042),ISNUMBER(Q1042))),"",(Q1042-O1042)*1440)</f>
        <v/>
      </c>
      <c r="Y1042" s="29" t="n"/>
      <c r="Z1042" s="29" t="n"/>
      <c r="AA1042" s="29" t="n"/>
      <c r="AB1042" s="32" t="n"/>
      <c r="AC1042" s="32" t="n"/>
    </row>
    <row r="1043">
      <c r="A1043" s="26" t="inlineStr">
        <is>
          <t>S20</t>
        </is>
      </c>
      <c r="B1043" s="26" t="inlineStr">
        <is>
          <t>보령 신규점2</t>
        </is>
      </c>
      <c r="C1043" s="26" t="inlineStr">
        <is>
          <t>S20-H북</t>
        </is>
      </c>
      <c r="D1043" s="47" t="n">
        <v>1</v>
      </c>
      <c r="E1043" s="26" t="inlineStr">
        <is>
          <t>측정</t>
        </is>
      </c>
      <c r="F1043" s="26" t="inlineStr">
        <is>
          <t>북</t>
        </is>
      </c>
      <c r="G1043" s="31" t="n">
        <v>9</v>
      </c>
      <c r="H1043" s="30" t="n"/>
      <c r="I1043" s="43" t="n"/>
      <c r="J1043" s="41" t="n"/>
      <c r="K1043" s="41" t="n"/>
      <c r="L1043" s="41" t="n"/>
      <c r="M1043" s="31">
        <f>IF(COUNT(J1043:L1043)=0,"",MEDIAN(J1043:L1043))</f>
        <v/>
      </c>
      <c r="N1043" s="26">
        <f>IF(COUNTIFS($C:$C,$C1043,$D:$D,$D1043,$E:$E,"P0(전)",$M:$M,"&gt;0")&lt;&gt;1,"P0(전) 유효 1개 아님",IF(COUNTIFS($C:$C,$C1043,$D:$D,$D1043,$E:$E,"P0(후)",$M:$M,"&gt;0")&lt;&gt;1,"P0(후) 유효 1개 아님",IF(NOT(AND(ISNUMBER(O1043),ISNUMBER(Q1043),ISNUMBER(I1043))),"시각 결측",IF(Q1043&lt;=O1043,"P0 시각 역전",IF(OR(I1043&lt;O1043,I1043&gt;Q1043),"측정시각 구간 밖","OK")))))</f>
        <v/>
      </c>
      <c r="O1043" s="48">
        <f>IF(COUNTIFS($C:$C,$C1043,$D:$D,$D1043,$E:$E,"P0(전)",$M:$M,"&gt;0")&lt;&gt;1,"",SUMIFS($I:$I,$C:$C,$C1043,$D:$D,$D1043,$E:$E,"P0(전)"))</f>
        <v/>
      </c>
      <c r="P1043" s="31">
        <f>IF(COUNTIFS($C:$C,$C1043,$D:$D,$D1043,$E:$E,"P0(전)",$M:$M,"&gt;0")&lt;&gt;1,"",SUMIFS($M:$M,$C:$C,$C1043,$D:$D,$D1043,$E:$E,"P0(전)"))</f>
        <v/>
      </c>
      <c r="Q1043" s="48">
        <f>IF(COUNTIFS($C:$C,$C1043,$D:$D,$D1043,$E:$E,"P0(후)",$M:$M,"&gt;0")&lt;&gt;1,"",SUMIFS($I:$I,$C:$C,$C1043,$D:$D,$D1043,$E:$E,"P0(후)"))</f>
        <v/>
      </c>
      <c r="R1043" s="31">
        <f>IF(COUNTIFS($C:$C,$C1043,$D:$D,$D1043,$E:$E,"P0(후)",$M:$M,"&gt;0")&lt;&gt;1,"",SUMIFS($M:$M,$C:$C,$C1043,$D:$D,$D1043,$E:$E,"P0(후)"))</f>
        <v/>
      </c>
      <c r="S1043" s="31">
        <f>IF(N1043&lt;&gt;"OK","",P1043+(R1043-P1043)*(I1043-O1043)/(Q1043-O1043))</f>
        <v/>
      </c>
      <c r="T1043" s="31">
        <f>IF(OR(N1043&lt;&gt;"OK",NOT(ISNUMBER(M1043))),"",M1043-S1043)</f>
        <v/>
      </c>
      <c r="U1043" s="49">
        <f>IF(OR(NOT(ISNUMBER(T1043)),IF(ISNUMBER(H1043),H1043,G1043)=0),"",T1043/IF(ISNUMBER(H1043),H1043,G1043))</f>
        <v/>
      </c>
      <c r="V1043" s="49">
        <f>IF(ISNUMBER(U1043),ABS(U1043),"")</f>
        <v/>
      </c>
      <c r="W1043" s="49">
        <f>IF(OR($E1042&lt;&gt;"측정",$C1042&lt;&gt;$C1043,$D1042&lt;&gt;$D1043,NOT(ISNUMBER(M1043)),NOT(ISNUMBER(M1042)),(IF(ISNUMBER(H1043),H1043,G1043)-IF(ISNUMBER(H1042),H1042,G1042))=0),"",(M1043-M1042)/(IF(ISNUMBER(H1043),H1043,G1043)-IF(ISNUMBER(H1042),H1042,G1042)))</f>
        <v/>
      </c>
      <c r="X1043" s="31">
        <f>IF(NOT(AND(ISNUMBER(O1043),ISNUMBER(Q1043))),"",(Q1043-O1043)*1440)</f>
        <v/>
      </c>
      <c r="Y1043" s="29" t="n"/>
      <c r="Z1043" s="29" t="n"/>
      <c r="AA1043" s="29" t="n"/>
      <c r="AB1043" s="32" t="n"/>
      <c r="AC1043" s="32" t="n"/>
    </row>
    <row r="1044">
      <c r="A1044" s="26" t="inlineStr">
        <is>
          <t>S20</t>
        </is>
      </c>
      <c r="B1044" s="26" t="inlineStr">
        <is>
          <t>보령 신규점2</t>
        </is>
      </c>
      <c r="C1044" s="26" t="inlineStr">
        <is>
          <t>S20-H북</t>
        </is>
      </c>
      <c r="D1044" s="47" t="n">
        <v>1</v>
      </c>
      <c r="E1044" s="26" t="inlineStr">
        <is>
          <t>측정</t>
        </is>
      </c>
      <c r="F1044" s="26" t="inlineStr">
        <is>
          <t>북</t>
        </is>
      </c>
      <c r="G1044" s="31" t="n">
        <v>10</v>
      </c>
      <c r="H1044" s="30" t="n"/>
      <c r="I1044" s="43" t="n"/>
      <c r="J1044" s="41" t="n"/>
      <c r="K1044" s="41" t="n"/>
      <c r="L1044" s="41" t="n"/>
      <c r="M1044" s="31">
        <f>IF(COUNT(J1044:L1044)=0,"",MEDIAN(J1044:L1044))</f>
        <v/>
      </c>
      <c r="N1044" s="26">
        <f>IF(COUNTIFS($C:$C,$C1044,$D:$D,$D1044,$E:$E,"P0(전)",$M:$M,"&gt;0")&lt;&gt;1,"P0(전) 유효 1개 아님",IF(COUNTIFS($C:$C,$C1044,$D:$D,$D1044,$E:$E,"P0(후)",$M:$M,"&gt;0")&lt;&gt;1,"P0(후) 유효 1개 아님",IF(NOT(AND(ISNUMBER(O1044),ISNUMBER(Q1044),ISNUMBER(I1044))),"시각 결측",IF(Q1044&lt;=O1044,"P0 시각 역전",IF(OR(I1044&lt;O1044,I1044&gt;Q1044),"측정시각 구간 밖","OK")))))</f>
        <v/>
      </c>
      <c r="O1044" s="48">
        <f>IF(COUNTIFS($C:$C,$C1044,$D:$D,$D1044,$E:$E,"P0(전)",$M:$M,"&gt;0")&lt;&gt;1,"",SUMIFS($I:$I,$C:$C,$C1044,$D:$D,$D1044,$E:$E,"P0(전)"))</f>
        <v/>
      </c>
      <c r="P1044" s="31">
        <f>IF(COUNTIFS($C:$C,$C1044,$D:$D,$D1044,$E:$E,"P0(전)",$M:$M,"&gt;0")&lt;&gt;1,"",SUMIFS($M:$M,$C:$C,$C1044,$D:$D,$D1044,$E:$E,"P0(전)"))</f>
        <v/>
      </c>
      <c r="Q1044" s="48">
        <f>IF(COUNTIFS($C:$C,$C1044,$D:$D,$D1044,$E:$E,"P0(후)",$M:$M,"&gt;0")&lt;&gt;1,"",SUMIFS($I:$I,$C:$C,$C1044,$D:$D,$D1044,$E:$E,"P0(후)"))</f>
        <v/>
      </c>
      <c r="R1044" s="31">
        <f>IF(COUNTIFS($C:$C,$C1044,$D:$D,$D1044,$E:$E,"P0(후)",$M:$M,"&gt;0")&lt;&gt;1,"",SUMIFS($M:$M,$C:$C,$C1044,$D:$D,$D1044,$E:$E,"P0(후)"))</f>
        <v/>
      </c>
      <c r="S1044" s="31">
        <f>IF(N1044&lt;&gt;"OK","",P1044+(R1044-P1044)*(I1044-O1044)/(Q1044-O1044))</f>
        <v/>
      </c>
      <c r="T1044" s="31">
        <f>IF(OR(N1044&lt;&gt;"OK",NOT(ISNUMBER(M1044))),"",M1044-S1044)</f>
        <v/>
      </c>
      <c r="U1044" s="49">
        <f>IF(OR(NOT(ISNUMBER(T1044)),IF(ISNUMBER(H1044),H1044,G1044)=0),"",T1044/IF(ISNUMBER(H1044),H1044,G1044))</f>
        <v/>
      </c>
      <c r="V1044" s="49">
        <f>IF(ISNUMBER(U1044),ABS(U1044),"")</f>
        <v/>
      </c>
      <c r="W1044" s="49">
        <f>IF(OR($E1043&lt;&gt;"측정",$C1043&lt;&gt;$C1044,$D1043&lt;&gt;$D1044,NOT(ISNUMBER(M1044)),NOT(ISNUMBER(M1043)),(IF(ISNUMBER(H1044),H1044,G1044)-IF(ISNUMBER(H1043),H1043,G1043))=0),"",(M1044-M1043)/(IF(ISNUMBER(H1044),H1044,G1044)-IF(ISNUMBER(H1043),H1043,G1043)))</f>
        <v/>
      </c>
      <c r="X1044" s="31">
        <f>IF(NOT(AND(ISNUMBER(O1044),ISNUMBER(Q1044))),"",(Q1044-O1044)*1440)</f>
        <v/>
      </c>
      <c r="Y1044" s="29" t="n"/>
      <c r="Z1044" s="29" t="n"/>
      <c r="AA1044" s="29" t="n"/>
      <c r="AB1044" s="32" t="n"/>
      <c r="AC1044" s="32" t="n"/>
    </row>
    <row r="1045">
      <c r="A1045" s="44" t="inlineStr">
        <is>
          <t>S20</t>
        </is>
      </c>
      <c r="B1045" s="44" t="inlineStr">
        <is>
          <t>보령 신규점2</t>
        </is>
      </c>
      <c r="C1045" s="44" t="inlineStr">
        <is>
          <t>S20-H북</t>
        </is>
      </c>
      <c r="D1045" s="45" t="n">
        <v>1</v>
      </c>
      <c r="E1045" s="44" t="inlineStr">
        <is>
          <t>P0(후)</t>
        </is>
      </c>
      <c r="F1045" s="44" t="inlineStr">
        <is>
          <t>북</t>
        </is>
      </c>
      <c r="G1045" s="46" t="n"/>
      <c r="H1045" s="30" t="n"/>
      <c r="I1045" s="43" t="n"/>
      <c r="J1045" s="41" t="n"/>
      <c r="K1045" s="41" t="n"/>
      <c r="L1045" s="41" t="n"/>
      <c r="M1045" s="31">
        <f>IF(COUNT(J1045:L1045)=0,"",MEDIAN(J1045:L1045))</f>
        <v/>
      </c>
      <c r="N1045" s="38" t="n"/>
      <c r="O1045" s="38" t="n"/>
      <c r="P1045" s="38" t="n"/>
      <c r="Q1045" s="38" t="n"/>
      <c r="R1045" s="38" t="n"/>
      <c r="S1045" s="38" t="n"/>
      <c r="T1045" s="38" t="n"/>
      <c r="U1045" s="38" t="n"/>
      <c r="V1045" s="38" t="n"/>
      <c r="W1045" s="38" t="n"/>
      <c r="X1045" s="38" t="n"/>
      <c r="Y1045" s="29" t="n"/>
      <c r="Z1045" s="29" t="n"/>
      <c r="AA1045" s="29" t="n"/>
      <c r="AB1045" s="32" t="n"/>
      <c r="AC1045" s="32" t="n"/>
    </row>
    <row r="1046">
      <c r="A1046" s="44" t="inlineStr">
        <is>
          <t>S21</t>
        </is>
      </c>
      <c r="B1046" s="44" t="inlineStr">
        <is>
          <t>담양 신규점2</t>
        </is>
      </c>
      <c r="C1046" s="44" t="inlineStr">
        <is>
          <t>S21-H동</t>
        </is>
      </c>
      <c r="D1046" s="45" t="n">
        <v>1</v>
      </c>
      <c r="E1046" s="44" t="inlineStr">
        <is>
          <t>P0(전)</t>
        </is>
      </c>
      <c r="F1046" s="44" t="inlineStr">
        <is>
          <t>동</t>
        </is>
      </c>
      <c r="G1046" s="46" t="n"/>
      <c r="H1046" s="30" t="n"/>
      <c r="I1046" s="43" t="n"/>
      <c r="J1046" s="41" t="n"/>
      <c r="K1046" s="41" t="n"/>
      <c r="L1046" s="41" t="n"/>
      <c r="M1046" s="31">
        <f>IF(COUNT(J1046:L1046)=0,"",MEDIAN(J1046:L1046))</f>
        <v/>
      </c>
      <c r="N1046" s="38" t="n"/>
      <c r="O1046" s="38" t="n"/>
      <c r="P1046" s="38" t="n"/>
      <c r="Q1046" s="38" t="n"/>
      <c r="R1046" s="38" t="n"/>
      <c r="S1046" s="38" t="n"/>
      <c r="T1046" s="38" t="n"/>
      <c r="U1046" s="38" t="n"/>
      <c r="V1046" s="38" t="n"/>
      <c r="W1046" s="38" t="n"/>
      <c r="X1046" s="38" t="n"/>
      <c r="Y1046" s="29" t="n"/>
      <c r="Z1046" s="29" t="n"/>
      <c r="AA1046" s="29" t="n"/>
      <c r="AB1046" s="32" t="n"/>
      <c r="AC1046" s="32" t="n"/>
    </row>
    <row r="1047">
      <c r="A1047" s="26" t="inlineStr">
        <is>
          <t>S21</t>
        </is>
      </c>
      <c r="B1047" s="26" t="inlineStr">
        <is>
          <t>담양 신규점2</t>
        </is>
      </c>
      <c r="C1047" s="26" t="inlineStr">
        <is>
          <t>S21-H동</t>
        </is>
      </c>
      <c r="D1047" s="47" t="n">
        <v>1</v>
      </c>
      <c r="E1047" s="26" t="inlineStr">
        <is>
          <t>측정</t>
        </is>
      </c>
      <c r="F1047" s="26" t="inlineStr">
        <is>
          <t>동</t>
        </is>
      </c>
      <c r="G1047" s="31" t="n">
        <v>0.5</v>
      </c>
      <c r="H1047" s="30" t="n"/>
      <c r="I1047" s="43" t="n"/>
      <c r="J1047" s="41" t="n"/>
      <c r="K1047" s="41" t="n"/>
      <c r="L1047" s="41" t="n"/>
      <c r="M1047" s="31">
        <f>IF(COUNT(J1047:L1047)=0,"",MEDIAN(J1047:L1047))</f>
        <v/>
      </c>
      <c r="N1047" s="26">
        <f>IF(COUNTIFS($C:$C,$C1047,$D:$D,$D1047,$E:$E,"P0(전)",$M:$M,"&gt;0")&lt;&gt;1,"P0(전) 유효 1개 아님",IF(COUNTIFS($C:$C,$C1047,$D:$D,$D1047,$E:$E,"P0(후)",$M:$M,"&gt;0")&lt;&gt;1,"P0(후) 유효 1개 아님",IF(NOT(AND(ISNUMBER(O1047),ISNUMBER(Q1047),ISNUMBER(I1047))),"시각 결측",IF(Q1047&lt;=O1047,"P0 시각 역전",IF(OR(I1047&lt;O1047,I1047&gt;Q1047),"측정시각 구간 밖","OK")))))</f>
        <v/>
      </c>
      <c r="O1047" s="48">
        <f>IF(COUNTIFS($C:$C,$C1047,$D:$D,$D1047,$E:$E,"P0(전)",$M:$M,"&gt;0")&lt;&gt;1,"",SUMIFS($I:$I,$C:$C,$C1047,$D:$D,$D1047,$E:$E,"P0(전)"))</f>
        <v/>
      </c>
      <c r="P1047" s="31">
        <f>IF(COUNTIFS($C:$C,$C1047,$D:$D,$D1047,$E:$E,"P0(전)",$M:$M,"&gt;0")&lt;&gt;1,"",SUMIFS($M:$M,$C:$C,$C1047,$D:$D,$D1047,$E:$E,"P0(전)"))</f>
        <v/>
      </c>
      <c r="Q1047" s="48">
        <f>IF(COUNTIFS($C:$C,$C1047,$D:$D,$D1047,$E:$E,"P0(후)",$M:$M,"&gt;0")&lt;&gt;1,"",SUMIFS($I:$I,$C:$C,$C1047,$D:$D,$D1047,$E:$E,"P0(후)"))</f>
        <v/>
      </c>
      <c r="R1047" s="31">
        <f>IF(COUNTIFS($C:$C,$C1047,$D:$D,$D1047,$E:$E,"P0(후)",$M:$M,"&gt;0")&lt;&gt;1,"",SUMIFS($M:$M,$C:$C,$C1047,$D:$D,$D1047,$E:$E,"P0(후)"))</f>
        <v/>
      </c>
      <c r="S1047" s="31">
        <f>IF(N1047&lt;&gt;"OK","",P1047+(R1047-P1047)*(I1047-O1047)/(Q1047-O1047))</f>
        <v/>
      </c>
      <c r="T1047" s="31">
        <f>IF(OR(N1047&lt;&gt;"OK",NOT(ISNUMBER(M1047))),"",M1047-S1047)</f>
        <v/>
      </c>
      <c r="U1047" s="49">
        <f>IF(OR(NOT(ISNUMBER(T1047)),IF(ISNUMBER(H1047),H1047,G1047)=0),"",T1047/IF(ISNUMBER(H1047),H1047,G1047))</f>
        <v/>
      </c>
      <c r="V1047" s="49">
        <f>IF(ISNUMBER(U1047),ABS(U1047),"")</f>
        <v/>
      </c>
      <c r="W1047" s="49">
        <f>IF(OR($E1046&lt;&gt;"측정",$C1046&lt;&gt;$C1047,$D1046&lt;&gt;$D1047,NOT(ISNUMBER(M1047)),NOT(ISNUMBER(M1046)),(IF(ISNUMBER(H1047),H1047,G1047)-IF(ISNUMBER(H1046),H1046,G1046))=0),"",(M1047-M1046)/(IF(ISNUMBER(H1047),H1047,G1047)-IF(ISNUMBER(H1046),H1046,G1046)))</f>
        <v/>
      </c>
      <c r="X1047" s="31">
        <f>IF(NOT(AND(ISNUMBER(O1047),ISNUMBER(Q1047))),"",(Q1047-O1047)*1440)</f>
        <v/>
      </c>
      <c r="Y1047" s="29" t="n"/>
      <c r="Z1047" s="29" t="n"/>
      <c r="AA1047" s="29" t="n"/>
      <c r="AB1047" s="32" t="n"/>
      <c r="AC1047" s="32" t="n"/>
    </row>
    <row r="1048">
      <c r="A1048" s="26" t="inlineStr">
        <is>
          <t>S21</t>
        </is>
      </c>
      <c r="B1048" s="26" t="inlineStr">
        <is>
          <t>담양 신규점2</t>
        </is>
      </c>
      <c r="C1048" s="26" t="inlineStr">
        <is>
          <t>S21-H동</t>
        </is>
      </c>
      <c r="D1048" s="47" t="n">
        <v>1</v>
      </c>
      <c r="E1048" s="26" t="inlineStr">
        <is>
          <t>측정</t>
        </is>
      </c>
      <c r="F1048" s="26" t="inlineStr">
        <is>
          <t>동</t>
        </is>
      </c>
      <c r="G1048" s="31" t="n">
        <v>1</v>
      </c>
      <c r="H1048" s="30" t="n"/>
      <c r="I1048" s="43" t="n"/>
      <c r="J1048" s="41" t="n"/>
      <c r="K1048" s="41" t="n"/>
      <c r="L1048" s="41" t="n"/>
      <c r="M1048" s="31">
        <f>IF(COUNT(J1048:L1048)=0,"",MEDIAN(J1048:L1048))</f>
        <v/>
      </c>
      <c r="N1048" s="26">
        <f>IF(COUNTIFS($C:$C,$C1048,$D:$D,$D1048,$E:$E,"P0(전)",$M:$M,"&gt;0")&lt;&gt;1,"P0(전) 유효 1개 아님",IF(COUNTIFS($C:$C,$C1048,$D:$D,$D1048,$E:$E,"P0(후)",$M:$M,"&gt;0")&lt;&gt;1,"P0(후) 유효 1개 아님",IF(NOT(AND(ISNUMBER(O1048),ISNUMBER(Q1048),ISNUMBER(I1048))),"시각 결측",IF(Q1048&lt;=O1048,"P0 시각 역전",IF(OR(I1048&lt;O1048,I1048&gt;Q1048),"측정시각 구간 밖","OK")))))</f>
        <v/>
      </c>
      <c r="O1048" s="48">
        <f>IF(COUNTIFS($C:$C,$C1048,$D:$D,$D1048,$E:$E,"P0(전)",$M:$M,"&gt;0")&lt;&gt;1,"",SUMIFS($I:$I,$C:$C,$C1048,$D:$D,$D1048,$E:$E,"P0(전)"))</f>
        <v/>
      </c>
      <c r="P1048" s="31">
        <f>IF(COUNTIFS($C:$C,$C1048,$D:$D,$D1048,$E:$E,"P0(전)",$M:$M,"&gt;0")&lt;&gt;1,"",SUMIFS($M:$M,$C:$C,$C1048,$D:$D,$D1048,$E:$E,"P0(전)"))</f>
        <v/>
      </c>
      <c r="Q1048" s="48">
        <f>IF(COUNTIFS($C:$C,$C1048,$D:$D,$D1048,$E:$E,"P0(후)",$M:$M,"&gt;0")&lt;&gt;1,"",SUMIFS($I:$I,$C:$C,$C1048,$D:$D,$D1048,$E:$E,"P0(후)"))</f>
        <v/>
      </c>
      <c r="R1048" s="31">
        <f>IF(COUNTIFS($C:$C,$C1048,$D:$D,$D1048,$E:$E,"P0(후)",$M:$M,"&gt;0")&lt;&gt;1,"",SUMIFS($M:$M,$C:$C,$C1048,$D:$D,$D1048,$E:$E,"P0(후)"))</f>
        <v/>
      </c>
      <c r="S1048" s="31">
        <f>IF(N1048&lt;&gt;"OK","",P1048+(R1048-P1048)*(I1048-O1048)/(Q1048-O1048))</f>
        <v/>
      </c>
      <c r="T1048" s="31">
        <f>IF(OR(N1048&lt;&gt;"OK",NOT(ISNUMBER(M1048))),"",M1048-S1048)</f>
        <v/>
      </c>
      <c r="U1048" s="49">
        <f>IF(OR(NOT(ISNUMBER(T1048)),IF(ISNUMBER(H1048),H1048,G1048)=0),"",T1048/IF(ISNUMBER(H1048),H1048,G1048))</f>
        <v/>
      </c>
      <c r="V1048" s="49">
        <f>IF(ISNUMBER(U1048),ABS(U1048),"")</f>
        <v/>
      </c>
      <c r="W1048" s="49">
        <f>IF(OR($E1047&lt;&gt;"측정",$C1047&lt;&gt;$C1048,$D1047&lt;&gt;$D1048,NOT(ISNUMBER(M1048)),NOT(ISNUMBER(M1047)),(IF(ISNUMBER(H1048),H1048,G1048)-IF(ISNUMBER(H1047),H1047,G1047))=0),"",(M1048-M1047)/(IF(ISNUMBER(H1048),H1048,G1048)-IF(ISNUMBER(H1047),H1047,G1047)))</f>
        <v/>
      </c>
      <c r="X1048" s="31">
        <f>IF(NOT(AND(ISNUMBER(O1048),ISNUMBER(Q1048))),"",(Q1048-O1048)*1440)</f>
        <v/>
      </c>
      <c r="Y1048" s="29" t="n"/>
      <c r="Z1048" s="29" t="n"/>
      <c r="AA1048" s="29" t="n"/>
      <c r="AB1048" s="32" t="n"/>
      <c r="AC1048" s="32" t="n"/>
    </row>
    <row r="1049">
      <c r="A1049" s="26" t="inlineStr">
        <is>
          <t>S21</t>
        </is>
      </c>
      <c r="B1049" s="26" t="inlineStr">
        <is>
          <t>담양 신규점2</t>
        </is>
      </c>
      <c r="C1049" s="26" t="inlineStr">
        <is>
          <t>S21-H동</t>
        </is>
      </c>
      <c r="D1049" s="47" t="n">
        <v>1</v>
      </c>
      <c r="E1049" s="26" t="inlineStr">
        <is>
          <t>측정</t>
        </is>
      </c>
      <c r="F1049" s="26" t="inlineStr">
        <is>
          <t>동</t>
        </is>
      </c>
      <c r="G1049" s="31" t="n">
        <v>2</v>
      </c>
      <c r="H1049" s="30" t="n"/>
      <c r="I1049" s="43" t="n"/>
      <c r="J1049" s="41" t="n"/>
      <c r="K1049" s="41" t="n"/>
      <c r="L1049" s="41" t="n"/>
      <c r="M1049" s="31">
        <f>IF(COUNT(J1049:L1049)=0,"",MEDIAN(J1049:L1049))</f>
        <v/>
      </c>
      <c r="N1049" s="26">
        <f>IF(COUNTIFS($C:$C,$C1049,$D:$D,$D1049,$E:$E,"P0(전)",$M:$M,"&gt;0")&lt;&gt;1,"P0(전) 유효 1개 아님",IF(COUNTIFS($C:$C,$C1049,$D:$D,$D1049,$E:$E,"P0(후)",$M:$M,"&gt;0")&lt;&gt;1,"P0(후) 유효 1개 아님",IF(NOT(AND(ISNUMBER(O1049),ISNUMBER(Q1049),ISNUMBER(I1049))),"시각 결측",IF(Q1049&lt;=O1049,"P0 시각 역전",IF(OR(I1049&lt;O1049,I1049&gt;Q1049),"측정시각 구간 밖","OK")))))</f>
        <v/>
      </c>
      <c r="O1049" s="48">
        <f>IF(COUNTIFS($C:$C,$C1049,$D:$D,$D1049,$E:$E,"P0(전)",$M:$M,"&gt;0")&lt;&gt;1,"",SUMIFS($I:$I,$C:$C,$C1049,$D:$D,$D1049,$E:$E,"P0(전)"))</f>
        <v/>
      </c>
      <c r="P1049" s="31">
        <f>IF(COUNTIFS($C:$C,$C1049,$D:$D,$D1049,$E:$E,"P0(전)",$M:$M,"&gt;0")&lt;&gt;1,"",SUMIFS($M:$M,$C:$C,$C1049,$D:$D,$D1049,$E:$E,"P0(전)"))</f>
        <v/>
      </c>
      <c r="Q1049" s="48">
        <f>IF(COUNTIFS($C:$C,$C1049,$D:$D,$D1049,$E:$E,"P0(후)",$M:$M,"&gt;0")&lt;&gt;1,"",SUMIFS($I:$I,$C:$C,$C1049,$D:$D,$D1049,$E:$E,"P0(후)"))</f>
        <v/>
      </c>
      <c r="R1049" s="31">
        <f>IF(COUNTIFS($C:$C,$C1049,$D:$D,$D1049,$E:$E,"P0(후)",$M:$M,"&gt;0")&lt;&gt;1,"",SUMIFS($M:$M,$C:$C,$C1049,$D:$D,$D1049,$E:$E,"P0(후)"))</f>
        <v/>
      </c>
      <c r="S1049" s="31">
        <f>IF(N1049&lt;&gt;"OK","",P1049+(R1049-P1049)*(I1049-O1049)/(Q1049-O1049))</f>
        <v/>
      </c>
      <c r="T1049" s="31">
        <f>IF(OR(N1049&lt;&gt;"OK",NOT(ISNUMBER(M1049))),"",M1049-S1049)</f>
        <v/>
      </c>
      <c r="U1049" s="49">
        <f>IF(OR(NOT(ISNUMBER(T1049)),IF(ISNUMBER(H1049),H1049,G1049)=0),"",T1049/IF(ISNUMBER(H1049),H1049,G1049))</f>
        <v/>
      </c>
      <c r="V1049" s="49">
        <f>IF(ISNUMBER(U1049),ABS(U1049),"")</f>
        <v/>
      </c>
      <c r="W1049" s="49">
        <f>IF(OR($E1048&lt;&gt;"측정",$C1048&lt;&gt;$C1049,$D1048&lt;&gt;$D1049,NOT(ISNUMBER(M1049)),NOT(ISNUMBER(M1048)),(IF(ISNUMBER(H1049),H1049,G1049)-IF(ISNUMBER(H1048),H1048,G1048))=0),"",(M1049-M1048)/(IF(ISNUMBER(H1049),H1049,G1049)-IF(ISNUMBER(H1048),H1048,G1048)))</f>
        <v/>
      </c>
      <c r="X1049" s="31">
        <f>IF(NOT(AND(ISNUMBER(O1049),ISNUMBER(Q1049))),"",(Q1049-O1049)*1440)</f>
        <v/>
      </c>
      <c r="Y1049" s="29" t="n"/>
      <c r="Z1049" s="29" t="n"/>
      <c r="AA1049" s="29" t="n"/>
      <c r="AB1049" s="32" t="n"/>
      <c r="AC1049" s="32" t="n"/>
    </row>
    <row r="1050">
      <c r="A1050" s="26" t="inlineStr">
        <is>
          <t>S21</t>
        </is>
      </c>
      <c r="B1050" s="26" t="inlineStr">
        <is>
          <t>담양 신규점2</t>
        </is>
      </c>
      <c r="C1050" s="26" t="inlineStr">
        <is>
          <t>S21-H동</t>
        </is>
      </c>
      <c r="D1050" s="47" t="n">
        <v>1</v>
      </c>
      <c r="E1050" s="26" t="inlineStr">
        <is>
          <t>측정</t>
        </is>
      </c>
      <c r="F1050" s="26" t="inlineStr">
        <is>
          <t>동</t>
        </is>
      </c>
      <c r="G1050" s="31" t="n">
        <v>3</v>
      </c>
      <c r="H1050" s="30" t="n"/>
      <c r="I1050" s="43" t="n"/>
      <c r="J1050" s="41" t="n"/>
      <c r="K1050" s="41" t="n"/>
      <c r="L1050" s="41" t="n"/>
      <c r="M1050" s="31">
        <f>IF(COUNT(J1050:L1050)=0,"",MEDIAN(J1050:L1050))</f>
        <v/>
      </c>
      <c r="N1050" s="26">
        <f>IF(COUNTIFS($C:$C,$C1050,$D:$D,$D1050,$E:$E,"P0(전)",$M:$M,"&gt;0")&lt;&gt;1,"P0(전) 유효 1개 아님",IF(COUNTIFS($C:$C,$C1050,$D:$D,$D1050,$E:$E,"P0(후)",$M:$M,"&gt;0")&lt;&gt;1,"P0(후) 유효 1개 아님",IF(NOT(AND(ISNUMBER(O1050),ISNUMBER(Q1050),ISNUMBER(I1050))),"시각 결측",IF(Q1050&lt;=O1050,"P0 시각 역전",IF(OR(I1050&lt;O1050,I1050&gt;Q1050),"측정시각 구간 밖","OK")))))</f>
        <v/>
      </c>
      <c r="O1050" s="48">
        <f>IF(COUNTIFS($C:$C,$C1050,$D:$D,$D1050,$E:$E,"P0(전)",$M:$M,"&gt;0")&lt;&gt;1,"",SUMIFS($I:$I,$C:$C,$C1050,$D:$D,$D1050,$E:$E,"P0(전)"))</f>
        <v/>
      </c>
      <c r="P1050" s="31">
        <f>IF(COUNTIFS($C:$C,$C1050,$D:$D,$D1050,$E:$E,"P0(전)",$M:$M,"&gt;0")&lt;&gt;1,"",SUMIFS($M:$M,$C:$C,$C1050,$D:$D,$D1050,$E:$E,"P0(전)"))</f>
        <v/>
      </c>
      <c r="Q1050" s="48">
        <f>IF(COUNTIFS($C:$C,$C1050,$D:$D,$D1050,$E:$E,"P0(후)",$M:$M,"&gt;0")&lt;&gt;1,"",SUMIFS($I:$I,$C:$C,$C1050,$D:$D,$D1050,$E:$E,"P0(후)"))</f>
        <v/>
      </c>
      <c r="R1050" s="31">
        <f>IF(COUNTIFS($C:$C,$C1050,$D:$D,$D1050,$E:$E,"P0(후)",$M:$M,"&gt;0")&lt;&gt;1,"",SUMIFS($M:$M,$C:$C,$C1050,$D:$D,$D1050,$E:$E,"P0(후)"))</f>
        <v/>
      </c>
      <c r="S1050" s="31">
        <f>IF(N1050&lt;&gt;"OK","",P1050+(R1050-P1050)*(I1050-O1050)/(Q1050-O1050))</f>
        <v/>
      </c>
      <c r="T1050" s="31">
        <f>IF(OR(N1050&lt;&gt;"OK",NOT(ISNUMBER(M1050))),"",M1050-S1050)</f>
        <v/>
      </c>
      <c r="U1050" s="49">
        <f>IF(OR(NOT(ISNUMBER(T1050)),IF(ISNUMBER(H1050),H1050,G1050)=0),"",T1050/IF(ISNUMBER(H1050),H1050,G1050))</f>
        <v/>
      </c>
      <c r="V1050" s="49">
        <f>IF(ISNUMBER(U1050),ABS(U1050),"")</f>
        <v/>
      </c>
      <c r="W1050" s="49">
        <f>IF(OR($E1049&lt;&gt;"측정",$C1049&lt;&gt;$C1050,$D1049&lt;&gt;$D1050,NOT(ISNUMBER(M1050)),NOT(ISNUMBER(M1049)),(IF(ISNUMBER(H1050),H1050,G1050)-IF(ISNUMBER(H1049),H1049,G1049))=0),"",(M1050-M1049)/(IF(ISNUMBER(H1050),H1050,G1050)-IF(ISNUMBER(H1049),H1049,G1049)))</f>
        <v/>
      </c>
      <c r="X1050" s="31">
        <f>IF(NOT(AND(ISNUMBER(O1050),ISNUMBER(Q1050))),"",(Q1050-O1050)*1440)</f>
        <v/>
      </c>
      <c r="Y1050" s="29" t="n"/>
      <c r="Z1050" s="29" t="n"/>
      <c r="AA1050" s="29" t="n"/>
      <c r="AB1050" s="32" t="n"/>
      <c r="AC1050" s="32" t="n"/>
    </row>
    <row r="1051">
      <c r="A1051" s="26" t="inlineStr">
        <is>
          <t>S21</t>
        </is>
      </c>
      <c r="B1051" s="26" t="inlineStr">
        <is>
          <t>담양 신규점2</t>
        </is>
      </c>
      <c r="C1051" s="26" t="inlineStr">
        <is>
          <t>S21-H동</t>
        </is>
      </c>
      <c r="D1051" s="47" t="n">
        <v>1</v>
      </c>
      <c r="E1051" s="26" t="inlineStr">
        <is>
          <t>측정</t>
        </is>
      </c>
      <c r="F1051" s="26" t="inlineStr">
        <is>
          <t>동</t>
        </is>
      </c>
      <c r="G1051" s="31" t="n">
        <v>4</v>
      </c>
      <c r="H1051" s="30" t="n"/>
      <c r="I1051" s="43" t="n"/>
      <c r="J1051" s="41" t="n"/>
      <c r="K1051" s="41" t="n"/>
      <c r="L1051" s="41" t="n"/>
      <c r="M1051" s="31">
        <f>IF(COUNT(J1051:L1051)=0,"",MEDIAN(J1051:L1051))</f>
        <v/>
      </c>
      <c r="N1051" s="26">
        <f>IF(COUNTIFS($C:$C,$C1051,$D:$D,$D1051,$E:$E,"P0(전)",$M:$M,"&gt;0")&lt;&gt;1,"P0(전) 유효 1개 아님",IF(COUNTIFS($C:$C,$C1051,$D:$D,$D1051,$E:$E,"P0(후)",$M:$M,"&gt;0")&lt;&gt;1,"P0(후) 유효 1개 아님",IF(NOT(AND(ISNUMBER(O1051),ISNUMBER(Q1051),ISNUMBER(I1051))),"시각 결측",IF(Q1051&lt;=O1051,"P0 시각 역전",IF(OR(I1051&lt;O1051,I1051&gt;Q1051),"측정시각 구간 밖","OK")))))</f>
        <v/>
      </c>
      <c r="O1051" s="48">
        <f>IF(COUNTIFS($C:$C,$C1051,$D:$D,$D1051,$E:$E,"P0(전)",$M:$M,"&gt;0")&lt;&gt;1,"",SUMIFS($I:$I,$C:$C,$C1051,$D:$D,$D1051,$E:$E,"P0(전)"))</f>
        <v/>
      </c>
      <c r="P1051" s="31">
        <f>IF(COUNTIFS($C:$C,$C1051,$D:$D,$D1051,$E:$E,"P0(전)",$M:$M,"&gt;0")&lt;&gt;1,"",SUMIFS($M:$M,$C:$C,$C1051,$D:$D,$D1051,$E:$E,"P0(전)"))</f>
        <v/>
      </c>
      <c r="Q1051" s="48">
        <f>IF(COUNTIFS($C:$C,$C1051,$D:$D,$D1051,$E:$E,"P0(후)",$M:$M,"&gt;0")&lt;&gt;1,"",SUMIFS($I:$I,$C:$C,$C1051,$D:$D,$D1051,$E:$E,"P0(후)"))</f>
        <v/>
      </c>
      <c r="R1051" s="31">
        <f>IF(COUNTIFS($C:$C,$C1051,$D:$D,$D1051,$E:$E,"P0(후)",$M:$M,"&gt;0")&lt;&gt;1,"",SUMIFS($M:$M,$C:$C,$C1051,$D:$D,$D1051,$E:$E,"P0(후)"))</f>
        <v/>
      </c>
      <c r="S1051" s="31">
        <f>IF(N1051&lt;&gt;"OK","",P1051+(R1051-P1051)*(I1051-O1051)/(Q1051-O1051))</f>
        <v/>
      </c>
      <c r="T1051" s="31">
        <f>IF(OR(N1051&lt;&gt;"OK",NOT(ISNUMBER(M1051))),"",M1051-S1051)</f>
        <v/>
      </c>
      <c r="U1051" s="49">
        <f>IF(OR(NOT(ISNUMBER(T1051)),IF(ISNUMBER(H1051),H1051,G1051)=0),"",T1051/IF(ISNUMBER(H1051),H1051,G1051))</f>
        <v/>
      </c>
      <c r="V1051" s="49">
        <f>IF(ISNUMBER(U1051),ABS(U1051),"")</f>
        <v/>
      </c>
      <c r="W1051" s="49">
        <f>IF(OR($E1050&lt;&gt;"측정",$C1050&lt;&gt;$C1051,$D1050&lt;&gt;$D1051,NOT(ISNUMBER(M1051)),NOT(ISNUMBER(M1050)),(IF(ISNUMBER(H1051),H1051,G1051)-IF(ISNUMBER(H1050),H1050,G1050))=0),"",(M1051-M1050)/(IF(ISNUMBER(H1051),H1051,G1051)-IF(ISNUMBER(H1050),H1050,G1050)))</f>
        <v/>
      </c>
      <c r="X1051" s="31">
        <f>IF(NOT(AND(ISNUMBER(O1051),ISNUMBER(Q1051))),"",(Q1051-O1051)*1440)</f>
        <v/>
      </c>
      <c r="Y1051" s="29" t="n"/>
      <c r="Z1051" s="29" t="n"/>
      <c r="AA1051" s="29" t="n"/>
      <c r="AB1051" s="32" t="n"/>
      <c r="AC1051" s="32" t="n"/>
    </row>
    <row r="1052">
      <c r="A1052" s="26" t="inlineStr">
        <is>
          <t>S21</t>
        </is>
      </c>
      <c r="B1052" s="26" t="inlineStr">
        <is>
          <t>담양 신규점2</t>
        </is>
      </c>
      <c r="C1052" s="26" t="inlineStr">
        <is>
          <t>S21-H동</t>
        </is>
      </c>
      <c r="D1052" s="47" t="n">
        <v>1</v>
      </c>
      <c r="E1052" s="26" t="inlineStr">
        <is>
          <t>측정</t>
        </is>
      </c>
      <c r="F1052" s="26" t="inlineStr">
        <is>
          <t>동</t>
        </is>
      </c>
      <c r="G1052" s="31" t="n">
        <v>5</v>
      </c>
      <c r="H1052" s="30" t="n"/>
      <c r="I1052" s="43" t="n"/>
      <c r="J1052" s="41" t="n"/>
      <c r="K1052" s="41" t="n"/>
      <c r="L1052" s="41" t="n"/>
      <c r="M1052" s="31">
        <f>IF(COUNT(J1052:L1052)=0,"",MEDIAN(J1052:L1052))</f>
        <v/>
      </c>
      <c r="N1052" s="26">
        <f>IF(COUNTIFS($C:$C,$C1052,$D:$D,$D1052,$E:$E,"P0(전)",$M:$M,"&gt;0")&lt;&gt;1,"P0(전) 유효 1개 아님",IF(COUNTIFS($C:$C,$C1052,$D:$D,$D1052,$E:$E,"P0(후)",$M:$M,"&gt;0")&lt;&gt;1,"P0(후) 유효 1개 아님",IF(NOT(AND(ISNUMBER(O1052),ISNUMBER(Q1052),ISNUMBER(I1052))),"시각 결측",IF(Q1052&lt;=O1052,"P0 시각 역전",IF(OR(I1052&lt;O1052,I1052&gt;Q1052),"측정시각 구간 밖","OK")))))</f>
        <v/>
      </c>
      <c r="O1052" s="48">
        <f>IF(COUNTIFS($C:$C,$C1052,$D:$D,$D1052,$E:$E,"P0(전)",$M:$M,"&gt;0")&lt;&gt;1,"",SUMIFS($I:$I,$C:$C,$C1052,$D:$D,$D1052,$E:$E,"P0(전)"))</f>
        <v/>
      </c>
      <c r="P1052" s="31">
        <f>IF(COUNTIFS($C:$C,$C1052,$D:$D,$D1052,$E:$E,"P0(전)",$M:$M,"&gt;0")&lt;&gt;1,"",SUMIFS($M:$M,$C:$C,$C1052,$D:$D,$D1052,$E:$E,"P0(전)"))</f>
        <v/>
      </c>
      <c r="Q1052" s="48">
        <f>IF(COUNTIFS($C:$C,$C1052,$D:$D,$D1052,$E:$E,"P0(후)",$M:$M,"&gt;0")&lt;&gt;1,"",SUMIFS($I:$I,$C:$C,$C1052,$D:$D,$D1052,$E:$E,"P0(후)"))</f>
        <v/>
      </c>
      <c r="R1052" s="31">
        <f>IF(COUNTIFS($C:$C,$C1052,$D:$D,$D1052,$E:$E,"P0(후)",$M:$M,"&gt;0")&lt;&gt;1,"",SUMIFS($M:$M,$C:$C,$C1052,$D:$D,$D1052,$E:$E,"P0(후)"))</f>
        <v/>
      </c>
      <c r="S1052" s="31">
        <f>IF(N1052&lt;&gt;"OK","",P1052+(R1052-P1052)*(I1052-O1052)/(Q1052-O1052))</f>
        <v/>
      </c>
      <c r="T1052" s="31">
        <f>IF(OR(N1052&lt;&gt;"OK",NOT(ISNUMBER(M1052))),"",M1052-S1052)</f>
        <v/>
      </c>
      <c r="U1052" s="49">
        <f>IF(OR(NOT(ISNUMBER(T1052)),IF(ISNUMBER(H1052),H1052,G1052)=0),"",T1052/IF(ISNUMBER(H1052),H1052,G1052))</f>
        <v/>
      </c>
      <c r="V1052" s="49">
        <f>IF(ISNUMBER(U1052),ABS(U1052),"")</f>
        <v/>
      </c>
      <c r="W1052" s="49">
        <f>IF(OR($E1051&lt;&gt;"측정",$C1051&lt;&gt;$C1052,$D1051&lt;&gt;$D1052,NOT(ISNUMBER(M1052)),NOT(ISNUMBER(M1051)),(IF(ISNUMBER(H1052),H1052,G1052)-IF(ISNUMBER(H1051),H1051,G1051))=0),"",(M1052-M1051)/(IF(ISNUMBER(H1052),H1052,G1052)-IF(ISNUMBER(H1051),H1051,G1051)))</f>
        <v/>
      </c>
      <c r="X1052" s="31">
        <f>IF(NOT(AND(ISNUMBER(O1052),ISNUMBER(Q1052))),"",(Q1052-O1052)*1440)</f>
        <v/>
      </c>
      <c r="Y1052" s="29" t="n"/>
      <c r="Z1052" s="29" t="n"/>
      <c r="AA1052" s="29" t="n"/>
      <c r="AB1052" s="32" t="n"/>
      <c r="AC1052" s="32" t="n"/>
    </row>
    <row r="1053">
      <c r="A1053" s="26" t="inlineStr">
        <is>
          <t>S21</t>
        </is>
      </c>
      <c r="B1053" s="26" t="inlineStr">
        <is>
          <t>담양 신규점2</t>
        </is>
      </c>
      <c r="C1053" s="26" t="inlineStr">
        <is>
          <t>S21-H동</t>
        </is>
      </c>
      <c r="D1053" s="47" t="n">
        <v>1</v>
      </c>
      <c r="E1053" s="26" t="inlineStr">
        <is>
          <t>측정</t>
        </is>
      </c>
      <c r="F1053" s="26" t="inlineStr">
        <is>
          <t>동</t>
        </is>
      </c>
      <c r="G1053" s="31" t="n">
        <v>6</v>
      </c>
      <c r="H1053" s="30" t="n"/>
      <c r="I1053" s="43" t="n"/>
      <c r="J1053" s="41" t="n"/>
      <c r="K1053" s="41" t="n"/>
      <c r="L1053" s="41" t="n"/>
      <c r="M1053" s="31">
        <f>IF(COUNT(J1053:L1053)=0,"",MEDIAN(J1053:L1053))</f>
        <v/>
      </c>
      <c r="N1053" s="26">
        <f>IF(COUNTIFS($C:$C,$C1053,$D:$D,$D1053,$E:$E,"P0(전)",$M:$M,"&gt;0")&lt;&gt;1,"P0(전) 유효 1개 아님",IF(COUNTIFS($C:$C,$C1053,$D:$D,$D1053,$E:$E,"P0(후)",$M:$M,"&gt;0")&lt;&gt;1,"P0(후) 유효 1개 아님",IF(NOT(AND(ISNUMBER(O1053),ISNUMBER(Q1053),ISNUMBER(I1053))),"시각 결측",IF(Q1053&lt;=O1053,"P0 시각 역전",IF(OR(I1053&lt;O1053,I1053&gt;Q1053),"측정시각 구간 밖","OK")))))</f>
        <v/>
      </c>
      <c r="O1053" s="48">
        <f>IF(COUNTIFS($C:$C,$C1053,$D:$D,$D1053,$E:$E,"P0(전)",$M:$M,"&gt;0")&lt;&gt;1,"",SUMIFS($I:$I,$C:$C,$C1053,$D:$D,$D1053,$E:$E,"P0(전)"))</f>
        <v/>
      </c>
      <c r="P1053" s="31">
        <f>IF(COUNTIFS($C:$C,$C1053,$D:$D,$D1053,$E:$E,"P0(전)",$M:$M,"&gt;0")&lt;&gt;1,"",SUMIFS($M:$M,$C:$C,$C1053,$D:$D,$D1053,$E:$E,"P0(전)"))</f>
        <v/>
      </c>
      <c r="Q1053" s="48">
        <f>IF(COUNTIFS($C:$C,$C1053,$D:$D,$D1053,$E:$E,"P0(후)",$M:$M,"&gt;0")&lt;&gt;1,"",SUMIFS($I:$I,$C:$C,$C1053,$D:$D,$D1053,$E:$E,"P0(후)"))</f>
        <v/>
      </c>
      <c r="R1053" s="31">
        <f>IF(COUNTIFS($C:$C,$C1053,$D:$D,$D1053,$E:$E,"P0(후)",$M:$M,"&gt;0")&lt;&gt;1,"",SUMIFS($M:$M,$C:$C,$C1053,$D:$D,$D1053,$E:$E,"P0(후)"))</f>
        <v/>
      </c>
      <c r="S1053" s="31">
        <f>IF(N1053&lt;&gt;"OK","",P1053+(R1053-P1053)*(I1053-O1053)/(Q1053-O1053))</f>
        <v/>
      </c>
      <c r="T1053" s="31">
        <f>IF(OR(N1053&lt;&gt;"OK",NOT(ISNUMBER(M1053))),"",M1053-S1053)</f>
        <v/>
      </c>
      <c r="U1053" s="49">
        <f>IF(OR(NOT(ISNUMBER(T1053)),IF(ISNUMBER(H1053),H1053,G1053)=0),"",T1053/IF(ISNUMBER(H1053),H1053,G1053))</f>
        <v/>
      </c>
      <c r="V1053" s="49">
        <f>IF(ISNUMBER(U1053),ABS(U1053),"")</f>
        <v/>
      </c>
      <c r="W1053" s="49">
        <f>IF(OR($E1052&lt;&gt;"측정",$C1052&lt;&gt;$C1053,$D1052&lt;&gt;$D1053,NOT(ISNUMBER(M1053)),NOT(ISNUMBER(M1052)),(IF(ISNUMBER(H1053),H1053,G1053)-IF(ISNUMBER(H1052),H1052,G1052))=0),"",(M1053-M1052)/(IF(ISNUMBER(H1053),H1053,G1053)-IF(ISNUMBER(H1052),H1052,G1052)))</f>
        <v/>
      </c>
      <c r="X1053" s="31">
        <f>IF(NOT(AND(ISNUMBER(O1053),ISNUMBER(Q1053))),"",(Q1053-O1053)*1440)</f>
        <v/>
      </c>
      <c r="Y1053" s="29" t="n"/>
      <c r="Z1053" s="29" t="n"/>
      <c r="AA1053" s="29" t="n"/>
      <c r="AB1053" s="32" t="n"/>
      <c r="AC1053" s="32" t="n"/>
    </row>
    <row r="1054">
      <c r="A1054" s="26" t="inlineStr">
        <is>
          <t>S21</t>
        </is>
      </c>
      <c r="B1054" s="26" t="inlineStr">
        <is>
          <t>담양 신규점2</t>
        </is>
      </c>
      <c r="C1054" s="26" t="inlineStr">
        <is>
          <t>S21-H동</t>
        </is>
      </c>
      <c r="D1054" s="47" t="n">
        <v>1</v>
      </c>
      <c r="E1054" s="26" t="inlineStr">
        <is>
          <t>측정</t>
        </is>
      </c>
      <c r="F1054" s="26" t="inlineStr">
        <is>
          <t>동</t>
        </is>
      </c>
      <c r="G1054" s="31" t="n">
        <v>7</v>
      </c>
      <c r="H1054" s="30" t="n"/>
      <c r="I1054" s="43" t="n"/>
      <c r="J1054" s="41" t="n"/>
      <c r="K1054" s="41" t="n"/>
      <c r="L1054" s="41" t="n"/>
      <c r="M1054" s="31">
        <f>IF(COUNT(J1054:L1054)=0,"",MEDIAN(J1054:L1054))</f>
        <v/>
      </c>
      <c r="N1054" s="26">
        <f>IF(COUNTIFS($C:$C,$C1054,$D:$D,$D1054,$E:$E,"P0(전)",$M:$M,"&gt;0")&lt;&gt;1,"P0(전) 유효 1개 아님",IF(COUNTIFS($C:$C,$C1054,$D:$D,$D1054,$E:$E,"P0(후)",$M:$M,"&gt;0")&lt;&gt;1,"P0(후) 유효 1개 아님",IF(NOT(AND(ISNUMBER(O1054),ISNUMBER(Q1054),ISNUMBER(I1054))),"시각 결측",IF(Q1054&lt;=O1054,"P0 시각 역전",IF(OR(I1054&lt;O1054,I1054&gt;Q1054),"측정시각 구간 밖","OK")))))</f>
        <v/>
      </c>
      <c r="O1054" s="48">
        <f>IF(COUNTIFS($C:$C,$C1054,$D:$D,$D1054,$E:$E,"P0(전)",$M:$M,"&gt;0")&lt;&gt;1,"",SUMIFS($I:$I,$C:$C,$C1054,$D:$D,$D1054,$E:$E,"P0(전)"))</f>
        <v/>
      </c>
      <c r="P1054" s="31">
        <f>IF(COUNTIFS($C:$C,$C1054,$D:$D,$D1054,$E:$E,"P0(전)",$M:$M,"&gt;0")&lt;&gt;1,"",SUMIFS($M:$M,$C:$C,$C1054,$D:$D,$D1054,$E:$E,"P0(전)"))</f>
        <v/>
      </c>
      <c r="Q1054" s="48">
        <f>IF(COUNTIFS($C:$C,$C1054,$D:$D,$D1054,$E:$E,"P0(후)",$M:$M,"&gt;0")&lt;&gt;1,"",SUMIFS($I:$I,$C:$C,$C1054,$D:$D,$D1054,$E:$E,"P0(후)"))</f>
        <v/>
      </c>
      <c r="R1054" s="31">
        <f>IF(COUNTIFS($C:$C,$C1054,$D:$D,$D1054,$E:$E,"P0(후)",$M:$M,"&gt;0")&lt;&gt;1,"",SUMIFS($M:$M,$C:$C,$C1054,$D:$D,$D1054,$E:$E,"P0(후)"))</f>
        <v/>
      </c>
      <c r="S1054" s="31">
        <f>IF(N1054&lt;&gt;"OK","",P1054+(R1054-P1054)*(I1054-O1054)/(Q1054-O1054))</f>
        <v/>
      </c>
      <c r="T1054" s="31">
        <f>IF(OR(N1054&lt;&gt;"OK",NOT(ISNUMBER(M1054))),"",M1054-S1054)</f>
        <v/>
      </c>
      <c r="U1054" s="49">
        <f>IF(OR(NOT(ISNUMBER(T1054)),IF(ISNUMBER(H1054),H1054,G1054)=0),"",T1054/IF(ISNUMBER(H1054),H1054,G1054))</f>
        <v/>
      </c>
      <c r="V1054" s="49">
        <f>IF(ISNUMBER(U1054),ABS(U1054),"")</f>
        <v/>
      </c>
      <c r="W1054" s="49">
        <f>IF(OR($E1053&lt;&gt;"측정",$C1053&lt;&gt;$C1054,$D1053&lt;&gt;$D1054,NOT(ISNUMBER(M1054)),NOT(ISNUMBER(M1053)),(IF(ISNUMBER(H1054),H1054,G1054)-IF(ISNUMBER(H1053),H1053,G1053))=0),"",(M1054-M1053)/(IF(ISNUMBER(H1054),H1054,G1054)-IF(ISNUMBER(H1053),H1053,G1053)))</f>
        <v/>
      </c>
      <c r="X1054" s="31">
        <f>IF(NOT(AND(ISNUMBER(O1054),ISNUMBER(Q1054))),"",(Q1054-O1054)*1440)</f>
        <v/>
      </c>
      <c r="Y1054" s="29" t="n"/>
      <c r="Z1054" s="29" t="n"/>
      <c r="AA1054" s="29" t="n"/>
      <c r="AB1054" s="32" t="n"/>
      <c r="AC1054" s="32" t="n"/>
    </row>
    <row r="1055">
      <c r="A1055" s="26" t="inlineStr">
        <is>
          <t>S21</t>
        </is>
      </c>
      <c r="B1055" s="26" t="inlineStr">
        <is>
          <t>담양 신규점2</t>
        </is>
      </c>
      <c r="C1055" s="26" t="inlineStr">
        <is>
          <t>S21-H동</t>
        </is>
      </c>
      <c r="D1055" s="47" t="n">
        <v>1</v>
      </c>
      <c r="E1055" s="26" t="inlineStr">
        <is>
          <t>측정</t>
        </is>
      </c>
      <c r="F1055" s="26" t="inlineStr">
        <is>
          <t>동</t>
        </is>
      </c>
      <c r="G1055" s="31" t="n">
        <v>8</v>
      </c>
      <c r="H1055" s="30" t="n"/>
      <c r="I1055" s="43" t="n"/>
      <c r="J1055" s="41" t="n"/>
      <c r="K1055" s="41" t="n"/>
      <c r="L1055" s="41" t="n"/>
      <c r="M1055" s="31">
        <f>IF(COUNT(J1055:L1055)=0,"",MEDIAN(J1055:L1055))</f>
        <v/>
      </c>
      <c r="N1055" s="26">
        <f>IF(COUNTIFS($C:$C,$C1055,$D:$D,$D1055,$E:$E,"P0(전)",$M:$M,"&gt;0")&lt;&gt;1,"P0(전) 유효 1개 아님",IF(COUNTIFS($C:$C,$C1055,$D:$D,$D1055,$E:$E,"P0(후)",$M:$M,"&gt;0")&lt;&gt;1,"P0(후) 유효 1개 아님",IF(NOT(AND(ISNUMBER(O1055),ISNUMBER(Q1055),ISNUMBER(I1055))),"시각 결측",IF(Q1055&lt;=O1055,"P0 시각 역전",IF(OR(I1055&lt;O1055,I1055&gt;Q1055),"측정시각 구간 밖","OK")))))</f>
        <v/>
      </c>
      <c r="O1055" s="48">
        <f>IF(COUNTIFS($C:$C,$C1055,$D:$D,$D1055,$E:$E,"P0(전)",$M:$M,"&gt;0")&lt;&gt;1,"",SUMIFS($I:$I,$C:$C,$C1055,$D:$D,$D1055,$E:$E,"P0(전)"))</f>
        <v/>
      </c>
      <c r="P1055" s="31">
        <f>IF(COUNTIFS($C:$C,$C1055,$D:$D,$D1055,$E:$E,"P0(전)",$M:$M,"&gt;0")&lt;&gt;1,"",SUMIFS($M:$M,$C:$C,$C1055,$D:$D,$D1055,$E:$E,"P0(전)"))</f>
        <v/>
      </c>
      <c r="Q1055" s="48">
        <f>IF(COUNTIFS($C:$C,$C1055,$D:$D,$D1055,$E:$E,"P0(후)",$M:$M,"&gt;0")&lt;&gt;1,"",SUMIFS($I:$I,$C:$C,$C1055,$D:$D,$D1055,$E:$E,"P0(후)"))</f>
        <v/>
      </c>
      <c r="R1055" s="31">
        <f>IF(COUNTIFS($C:$C,$C1055,$D:$D,$D1055,$E:$E,"P0(후)",$M:$M,"&gt;0")&lt;&gt;1,"",SUMIFS($M:$M,$C:$C,$C1055,$D:$D,$D1055,$E:$E,"P0(후)"))</f>
        <v/>
      </c>
      <c r="S1055" s="31">
        <f>IF(N1055&lt;&gt;"OK","",P1055+(R1055-P1055)*(I1055-O1055)/(Q1055-O1055))</f>
        <v/>
      </c>
      <c r="T1055" s="31">
        <f>IF(OR(N1055&lt;&gt;"OK",NOT(ISNUMBER(M1055))),"",M1055-S1055)</f>
        <v/>
      </c>
      <c r="U1055" s="49">
        <f>IF(OR(NOT(ISNUMBER(T1055)),IF(ISNUMBER(H1055),H1055,G1055)=0),"",T1055/IF(ISNUMBER(H1055),H1055,G1055))</f>
        <v/>
      </c>
      <c r="V1055" s="49">
        <f>IF(ISNUMBER(U1055),ABS(U1055),"")</f>
        <v/>
      </c>
      <c r="W1055" s="49">
        <f>IF(OR($E1054&lt;&gt;"측정",$C1054&lt;&gt;$C1055,$D1054&lt;&gt;$D1055,NOT(ISNUMBER(M1055)),NOT(ISNUMBER(M1054)),(IF(ISNUMBER(H1055),H1055,G1055)-IF(ISNUMBER(H1054),H1054,G1054))=0),"",(M1055-M1054)/(IF(ISNUMBER(H1055),H1055,G1055)-IF(ISNUMBER(H1054),H1054,G1054)))</f>
        <v/>
      </c>
      <c r="X1055" s="31">
        <f>IF(NOT(AND(ISNUMBER(O1055),ISNUMBER(Q1055))),"",(Q1055-O1055)*1440)</f>
        <v/>
      </c>
      <c r="Y1055" s="29" t="n"/>
      <c r="Z1055" s="29" t="n"/>
      <c r="AA1055" s="29" t="n"/>
      <c r="AB1055" s="32" t="n"/>
      <c r="AC1055" s="32" t="n"/>
    </row>
    <row r="1056">
      <c r="A1056" s="26" t="inlineStr">
        <is>
          <t>S21</t>
        </is>
      </c>
      <c r="B1056" s="26" t="inlineStr">
        <is>
          <t>담양 신규점2</t>
        </is>
      </c>
      <c r="C1056" s="26" t="inlineStr">
        <is>
          <t>S21-H동</t>
        </is>
      </c>
      <c r="D1056" s="47" t="n">
        <v>1</v>
      </c>
      <c r="E1056" s="26" t="inlineStr">
        <is>
          <t>측정</t>
        </is>
      </c>
      <c r="F1056" s="26" t="inlineStr">
        <is>
          <t>동</t>
        </is>
      </c>
      <c r="G1056" s="31" t="n">
        <v>9</v>
      </c>
      <c r="H1056" s="30" t="n"/>
      <c r="I1056" s="43" t="n"/>
      <c r="J1056" s="41" t="n"/>
      <c r="K1056" s="41" t="n"/>
      <c r="L1056" s="41" t="n"/>
      <c r="M1056" s="31">
        <f>IF(COUNT(J1056:L1056)=0,"",MEDIAN(J1056:L1056))</f>
        <v/>
      </c>
      <c r="N1056" s="26">
        <f>IF(COUNTIFS($C:$C,$C1056,$D:$D,$D1056,$E:$E,"P0(전)",$M:$M,"&gt;0")&lt;&gt;1,"P0(전) 유효 1개 아님",IF(COUNTIFS($C:$C,$C1056,$D:$D,$D1056,$E:$E,"P0(후)",$M:$M,"&gt;0")&lt;&gt;1,"P0(후) 유효 1개 아님",IF(NOT(AND(ISNUMBER(O1056),ISNUMBER(Q1056),ISNUMBER(I1056))),"시각 결측",IF(Q1056&lt;=O1056,"P0 시각 역전",IF(OR(I1056&lt;O1056,I1056&gt;Q1056),"측정시각 구간 밖","OK")))))</f>
        <v/>
      </c>
      <c r="O1056" s="48">
        <f>IF(COUNTIFS($C:$C,$C1056,$D:$D,$D1056,$E:$E,"P0(전)",$M:$M,"&gt;0")&lt;&gt;1,"",SUMIFS($I:$I,$C:$C,$C1056,$D:$D,$D1056,$E:$E,"P0(전)"))</f>
        <v/>
      </c>
      <c r="P1056" s="31">
        <f>IF(COUNTIFS($C:$C,$C1056,$D:$D,$D1056,$E:$E,"P0(전)",$M:$M,"&gt;0")&lt;&gt;1,"",SUMIFS($M:$M,$C:$C,$C1056,$D:$D,$D1056,$E:$E,"P0(전)"))</f>
        <v/>
      </c>
      <c r="Q1056" s="48">
        <f>IF(COUNTIFS($C:$C,$C1056,$D:$D,$D1056,$E:$E,"P0(후)",$M:$M,"&gt;0")&lt;&gt;1,"",SUMIFS($I:$I,$C:$C,$C1056,$D:$D,$D1056,$E:$E,"P0(후)"))</f>
        <v/>
      </c>
      <c r="R1056" s="31">
        <f>IF(COUNTIFS($C:$C,$C1056,$D:$D,$D1056,$E:$E,"P0(후)",$M:$M,"&gt;0")&lt;&gt;1,"",SUMIFS($M:$M,$C:$C,$C1056,$D:$D,$D1056,$E:$E,"P0(후)"))</f>
        <v/>
      </c>
      <c r="S1056" s="31">
        <f>IF(N1056&lt;&gt;"OK","",P1056+(R1056-P1056)*(I1056-O1056)/(Q1056-O1056))</f>
        <v/>
      </c>
      <c r="T1056" s="31">
        <f>IF(OR(N1056&lt;&gt;"OK",NOT(ISNUMBER(M1056))),"",M1056-S1056)</f>
        <v/>
      </c>
      <c r="U1056" s="49">
        <f>IF(OR(NOT(ISNUMBER(T1056)),IF(ISNUMBER(H1056),H1056,G1056)=0),"",T1056/IF(ISNUMBER(H1056),H1056,G1056))</f>
        <v/>
      </c>
      <c r="V1056" s="49">
        <f>IF(ISNUMBER(U1056),ABS(U1056),"")</f>
        <v/>
      </c>
      <c r="W1056" s="49">
        <f>IF(OR($E1055&lt;&gt;"측정",$C1055&lt;&gt;$C1056,$D1055&lt;&gt;$D1056,NOT(ISNUMBER(M1056)),NOT(ISNUMBER(M1055)),(IF(ISNUMBER(H1056),H1056,G1056)-IF(ISNUMBER(H1055),H1055,G1055))=0),"",(M1056-M1055)/(IF(ISNUMBER(H1056),H1056,G1056)-IF(ISNUMBER(H1055),H1055,G1055)))</f>
        <v/>
      </c>
      <c r="X1056" s="31">
        <f>IF(NOT(AND(ISNUMBER(O1056),ISNUMBER(Q1056))),"",(Q1056-O1056)*1440)</f>
        <v/>
      </c>
      <c r="Y1056" s="29" t="n"/>
      <c r="Z1056" s="29" t="n"/>
      <c r="AA1056" s="29" t="n"/>
      <c r="AB1056" s="32" t="n"/>
      <c r="AC1056" s="32" t="n"/>
    </row>
    <row r="1057">
      <c r="A1057" s="26" t="inlineStr">
        <is>
          <t>S21</t>
        </is>
      </c>
      <c r="B1057" s="26" t="inlineStr">
        <is>
          <t>담양 신규점2</t>
        </is>
      </c>
      <c r="C1057" s="26" t="inlineStr">
        <is>
          <t>S21-H동</t>
        </is>
      </c>
      <c r="D1057" s="47" t="n">
        <v>1</v>
      </c>
      <c r="E1057" s="26" t="inlineStr">
        <is>
          <t>측정</t>
        </is>
      </c>
      <c r="F1057" s="26" t="inlineStr">
        <is>
          <t>동</t>
        </is>
      </c>
      <c r="G1057" s="31" t="n">
        <v>10</v>
      </c>
      <c r="H1057" s="30" t="n"/>
      <c r="I1057" s="43" t="n"/>
      <c r="J1057" s="41" t="n"/>
      <c r="K1057" s="41" t="n"/>
      <c r="L1057" s="41" t="n"/>
      <c r="M1057" s="31">
        <f>IF(COUNT(J1057:L1057)=0,"",MEDIAN(J1057:L1057))</f>
        <v/>
      </c>
      <c r="N1057" s="26">
        <f>IF(COUNTIFS($C:$C,$C1057,$D:$D,$D1057,$E:$E,"P0(전)",$M:$M,"&gt;0")&lt;&gt;1,"P0(전) 유효 1개 아님",IF(COUNTIFS($C:$C,$C1057,$D:$D,$D1057,$E:$E,"P0(후)",$M:$M,"&gt;0")&lt;&gt;1,"P0(후) 유효 1개 아님",IF(NOT(AND(ISNUMBER(O1057),ISNUMBER(Q1057),ISNUMBER(I1057))),"시각 결측",IF(Q1057&lt;=O1057,"P0 시각 역전",IF(OR(I1057&lt;O1057,I1057&gt;Q1057),"측정시각 구간 밖","OK")))))</f>
        <v/>
      </c>
      <c r="O1057" s="48">
        <f>IF(COUNTIFS($C:$C,$C1057,$D:$D,$D1057,$E:$E,"P0(전)",$M:$M,"&gt;0")&lt;&gt;1,"",SUMIFS($I:$I,$C:$C,$C1057,$D:$D,$D1057,$E:$E,"P0(전)"))</f>
        <v/>
      </c>
      <c r="P1057" s="31">
        <f>IF(COUNTIFS($C:$C,$C1057,$D:$D,$D1057,$E:$E,"P0(전)",$M:$M,"&gt;0")&lt;&gt;1,"",SUMIFS($M:$M,$C:$C,$C1057,$D:$D,$D1057,$E:$E,"P0(전)"))</f>
        <v/>
      </c>
      <c r="Q1057" s="48">
        <f>IF(COUNTIFS($C:$C,$C1057,$D:$D,$D1057,$E:$E,"P0(후)",$M:$M,"&gt;0")&lt;&gt;1,"",SUMIFS($I:$I,$C:$C,$C1057,$D:$D,$D1057,$E:$E,"P0(후)"))</f>
        <v/>
      </c>
      <c r="R1057" s="31">
        <f>IF(COUNTIFS($C:$C,$C1057,$D:$D,$D1057,$E:$E,"P0(후)",$M:$M,"&gt;0")&lt;&gt;1,"",SUMIFS($M:$M,$C:$C,$C1057,$D:$D,$D1057,$E:$E,"P0(후)"))</f>
        <v/>
      </c>
      <c r="S1057" s="31">
        <f>IF(N1057&lt;&gt;"OK","",P1057+(R1057-P1057)*(I1057-O1057)/(Q1057-O1057))</f>
        <v/>
      </c>
      <c r="T1057" s="31">
        <f>IF(OR(N1057&lt;&gt;"OK",NOT(ISNUMBER(M1057))),"",M1057-S1057)</f>
        <v/>
      </c>
      <c r="U1057" s="49">
        <f>IF(OR(NOT(ISNUMBER(T1057)),IF(ISNUMBER(H1057),H1057,G1057)=0),"",T1057/IF(ISNUMBER(H1057),H1057,G1057))</f>
        <v/>
      </c>
      <c r="V1057" s="49">
        <f>IF(ISNUMBER(U1057),ABS(U1057),"")</f>
        <v/>
      </c>
      <c r="W1057" s="49">
        <f>IF(OR($E1056&lt;&gt;"측정",$C1056&lt;&gt;$C1057,$D1056&lt;&gt;$D1057,NOT(ISNUMBER(M1057)),NOT(ISNUMBER(M1056)),(IF(ISNUMBER(H1057),H1057,G1057)-IF(ISNUMBER(H1056),H1056,G1056))=0),"",(M1057-M1056)/(IF(ISNUMBER(H1057),H1057,G1057)-IF(ISNUMBER(H1056),H1056,G1056)))</f>
        <v/>
      </c>
      <c r="X1057" s="31">
        <f>IF(NOT(AND(ISNUMBER(O1057),ISNUMBER(Q1057))),"",(Q1057-O1057)*1440)</f>
        <v/>
      </c>
      <c r="Y1057" s="29" t="n"/>
      <c r="Z1057" s="29" t="n"/>
      <c r="AA1057" s="29" t="n"/>
      <c r="AB1057" s="32" t="n"/>
      <c r="AC1057" s="32" t="n"/>
    </row>
    <row r="1058">
      <c r="A1058" s="44" t="inlineStr">
        <is>
          <t>S21</t>
        </is>
      </c>
      <c r="B1058" s="44" t="inlineStr">
        <is>
          <t>담양 신규점2</t>
        </is>
      </c>
      <c r="C1058" s="44" t="inlineStr">
        <is>
          <t>S21-H동</t>
        </is>
      </c>
      <c r="D1058" s="45" t="n">
        <v>1</v>
      </c>
      <c r="E1058" s="44" t="inlineStr">
        <is>
          <t>P0(후)</t>
        </is>
      </c>
      <c r="F1058" s="44" t="inlineStr">
        <is>
          <t>동</t>
        </is>
      </c>
      <c r="G1058" s="46" t="n"/>
      <c r="H1058" s="30" t="n"/>
      <c r="I1058" s="43" t="n"/>
      <c r="J1058" s="41" t="n"/>
      <c r="K1058" s="41" t="n"/>
      <c r="L1058" s="41" t="n"/>
      <c r="M1058" s="31">
        <f>IF(COUNT(J1058:L1058)=0,"",MEDIAN(J1058:L1058))</f>
        <v/>
      </c>
      <c r="N1058" s="38" t="n"/>
      <c r="O1058" s="38" t="n"/>
      <c r="P1058" s="38" t="n"/>
      <c r="Q1058" s="38" t="n"/>
      <c r="R1058" s="38" t="n"/>
      <c r="S1058" s="38" t="n"/>
      <c r="T1058" s="38" t="n"/>
      <c r="U1058" s="38" t="n"/>
      <c r="V1058" s="38" t="n"/>
      <c r="W1058" s="38" t="n"/>
      <c r="X1058" s="38" t="n"/>
      <c r="Y1058" s="29" t="n"/>
      <c r="Z1058" s="29" t="n"/>
      <c r="AA1058" s="29" t="n"/>
      <c r="AB1058" s="32" t="n"/>
      <c r="AC1058" s="32" t="n"/>
    </row>
    <row r="1059">
      <c r="A1059" s="44" t="inlineStr">
        <is>
          <t>S21</t>
        </is>
      </c>
      <c r="B1059" s="44" t="inlineStr">
        <is>
          <t>담양 신규점2</t>
        </is>
      </c>
      <c r="C1059" s="44" t="inlineStr">
        <is>
          <t>S21-H서</t>
        </is>
      </c>
      <c r="D1059" s="45" t="n">
        <v>1</v>
      </c>
      <c r="E1059" s="44" t="inlineStr">
        <is>
          <t>P0(전)</t>
        </is>
      </c>
      <c r="F1059" s="44" t="inlineStr">
        <is>
          <t>서</t>
        </is>
      </c>
      <c r="G1059" s="46" t="n"/>
      <c r="H1059" s="30" t="n"/>
      <c r="I1059" s="43" t="n"/>
      <c r="J1059" s="41" t="n"/>
      <c r="K1059" s="41" t="n"/>
      <c r="L1059" s="41" t="n"/>
      <c r="M1059" s="31">
        <f>IF(COUNT(J1059:L1059)=0,"",MEDIAN(J1059:L1059))</f>
        <v/>
      </c>
      <c r="N1059" s="38" t="n"/>
      <c r="O1059" s="38" t="n"/>
      <c r="P1059" s="38" t="n"/>
      <c r="Q1059" s="38" t="n"/>
      <c r="R1059" s="38" t="n"/>
      <c r="S1059" s="38" t="n"/>
      <c r="T1059" s="38" t="n"/>
      <c r="U1059" s="38" t="n"/>
      <c r="V1059" s="38" t="n"/>
      <c r="W1059" s="38" t="n"/>
      <c r="X1059" s="38" t="n"/>
      <c r="Y1059" s="29" t="n"/>
      <c r="Z1059" s="29" t="n"/>
      <c r="AA1059" s="29" t="n"/>
      <c r="AB1059" s="32" t="n"/>
      <c r="AC1059" s="32" t="n"/>
    </row>
    <row r="1060">
      <c r="A1060" s="26" t="inlineStr">
        <is>
          <t>S21</t>
        </is>
      </c>
      <c r="B1060" s="26" t="inlineStr">
        <is>
          <t>담양 신규점2</t>
        </is>
      </c>
      <c r="C1060" s="26" t="inlineStr">
        <is>
          <t>S21-H서</t>
        </is>
      </c>
      <c r="D1060" s="47" t="n">
        <v>1</v>
      </c>
      <c r="E1060" s="26" t="inlineStr">
        <is>
          <t>측정</t>
        </is>
      </c>
      <c r="F1060" s="26" t="inlineStr">
        <is>
          <t>서</t>
        </is>
      </c>
      <c r="G1060" s="31" t="n">
        <v>0.5</v>
      </c>
      <c r="H1060" s="30" t="n"/>
      <c r="I1060" s="43" t="n"/>
      <c r="J1060" s="41" t="n"/>
      <c r="K1060" s="41" t="n"/>
      <c r="L1060" s="41" t="n"/>
      <c r="M1060" s="31">
        <f>IF(COUNT(J1060:L1060)=0,"",MEDIAN(J1060:L1060))</f>
        <v/>
      </c>
      <c r="N1060" s="26">
        <f>IF(COUNTIFS($C:$C,$C1060,$D:$D,$D1060,$E:$E,"P0(전)",$M:$M,"&gt;0")&lt;&gt;1,"P0(전) 유효 1개 아님",IF(COUNTIFS($C:$C,$C1060,$D:$D,$D1060,$E:$E,"P0(후)",$M:$M,"&gt;0")&lt;&gt;1,"P0(후) 유효 1개 아님",IF(NOT(AND(ISNUMBER(O1060),ISNUMBER(Q1060),ISNUMBER(I1060))),"시각 결측",IF(Q1060&lt;=O1060,"P0 시각 역전",IF(OR(I1060&lt;O1060,I1060&gt;Q1060),"측정시각 구간 밖","OK")))))</f>
        <v/>
      </c>
      <c r="O1060" s="48">
        <f>IF(COUNTIFS($C:$C,$C1060,$D:$D,$D1060,$E:$E,"P0(전)",$M:$M,"&gt;0")&lt;&gt;1,"",SUMIFS($I:$I,$C:$C,$C1060,$D:$D,$D1060,$E:$E,"P0(전)"))</f>
        <v/>
      </c>
      <c r="P1060" s="31">
        <f>IF(COUNTIFS($C:$C,$C1060,$D:$D,$D1060,$E:$E,"P0(전)",$M:$M,"&gt;0")&lt;&gt;1,"",SUMIFS($M:$M,$C:$C,$C1060,$D:$D,$D1060,$E:$E,"P0(전)"))</f>
        <v/>
      </c>
      <c r="Q1060" s="48">
        <f>IF(COUNTIFS($C:$C,$C1060,$D:$D,$D1060,$E:$E,"P0(후)",$M:$M,"&gt;0")&lt;&gt;1,"",SUMIFS($I:$I,$C:$C,$C1060,$D:$D,$D1060,$E:$E,"P0(후)"))</f>
        <v/>
      </c>
      <c r="R1060" s="31">
        <f>IF(COUNTIFS($C:$C,$C1060,$D:$D,$D1060,$E:$E,"P0(후)",$M:$M,"&gt;0")&lt;&gt;1,"",SUMIFS($M:$M,$C:$C,$C1060,$D:$D,$D1060,$E:$E,"P0(후)"))</f>
        <v/>
      </c>
      <c r="S1060" s="31">
        <f>IF(N1060&lt;&gt;"OK","",P1060+(R1060-P1060)*(I1060-O1060)/(Q1060-O1060))</f>
        <v/>
      </c>
      <c r="T1060" s="31">
        <f>IF(OR(N1060&lt;&gt;"OK",NOT(ISNUMBER(M1060))),"",M1060-S1060)</f>
        <v/>
      </c>
      <c r="U1060" s="49">
        <f>IF(OR(NOT(ISNUMBER(T1060)),IF(ISNUMBER(H1060),H1060,G1060)=0),"",T1060/IF(ISNUMBER(H1060),H1060,G1060))</f>
        <v/>
      </c>
      <c r="V1060" s="49">
        <f>IF(ISNUMBER(U1060),ABS(U1060),"")</f>
        <v/>
      </c>
      <c r="W1060" s="49">
        <f>IF(OR($E1059&lt;&gt;"측정",$C1059&lt;&gt;$C1060,$D1059&lt;&gt;$D1060,NOT(ISNUMBER(M1060)),NOT(ISNUMBER(M1059)),(IF(ISNUMBER(H1060),H1060,G1060)-IF(ISNUMBER(H1059),H1059,G1059))=0),"",(M1060-M1059)/(IF(ISNUMBER(H1060),H1060,G1060)-IF(ISNUMBER(H1059),H1059,G1059)))</f>
        <v/>
      </c>
      <c r="X1060" s="31">
        <f>IF(NOT(AND(ISNUMBER(O1060),ISNUMBER(Q1060))),"",(Q1060-O1060)*1440)</f>
        <v/>
      </c>
      <c r="Y1060" s="29" t="n"/>
      <c r="Z1060" s="29" t="n"/>
      <c r="AA1060" s="29" t="n"/>
      <c r="AB1060" s="32" t="n"/>
      <c r="AC1060" s="32" t="n"/>
    </row>
    <row r="1061">
      <c r="A1061" s="26" t="inlineStr">
        <is>
          <t>S21</t>
        </is>
      </c>
      <c r="B1061" s="26" t="inlineStr">
        <is>
          <t>담양 신규점2</t>
        </is>
      </c>
      <c r="C1061" s="26" t="inlineStr">
        <is>
          <t>S21-H서</t>
        </is>
      </c>
      <c r="D1061" s="47" t="n">
        <v>1</v>
      </c>
      <c r="E1061" s="26" t="inlineStr">
        <is>
          <t>측정</t>
        </is>
      </c>
      <c r="F1061" s="26" t="inlineStr">
        <is>
          <t>서</t>
        </is>
      </c>
      <c r="G1061" s="31" t="n">
        <v>1</v>
      </c>
      <c r="H1061" s="30" t="n"/>
      <c r="I1061" s="43" t="n"/>
      <c r="J1061" s="41" t="n"/>
      <c r="K1061" s="41" t="n"/>
      <c r="L1061" s="41" t="n"/>
      <c r="M1061" s="31">
        <f>IF(COUNT(J1061:L1061)=0,"",MEDIAN(J1061:L1061))</f>
        <v/>
      </c>
      <c r="N1061" s="26">
        <f>IF(COUNTIFS($C:$C,$C1061,$D:$D,$D1061,$E:$E,"P0(전)",$M:$M,"&gt;0")&lt;&gt;1,"P0(전) 유효 1개 아님",IF(COUNTIFS($C:$C,$C1061,$D:$D,$D1061,$E:$E,"P0(후)",$M:$M,"&gt;0")&lt;&gt;1,"P0(후) 유효 1개 아님",IF(NOT(AND(ISNUMBER(O1061),ISNUMBER(Q1061),ISNUMBER(I1061))),"시각 결측",IF(Q1061&lt;=O1061,"P0 시각 역전",IF(OR(I1061&lt;O1061,I1061&gt;Q1061),"측정시각 구간 밖","OK")))))</f>
        <v/>
      </c>
      <c r="O1061" s="48">
        <f>IF(COUNTIFS($C:$C,$C1061,$D:$D,$D1061,$E:$E,"P0(전)",$M:$M,"&gt;0")&lt;&gt;1,"",SUMIFS($I:$I,$C:$C,$C1061,$D:$D,$D1061,$E:$E,"P0(전)"))</f>
        <v/>
      </c>
      <c r="P1061" s="31">
        <f>IF(COUNTIFS($C:$C,$C1061,$D:$D,$D1061,$E:$E,"P0(전)",$M:$M,"&gt;0")&lt;&gt;1,"",SUMIFS($M:$M,$C:$C,$C1061,$D:$D,$D1061,$E:$E,"P0(전)"))</f>
        <v/>
      </c>
      <c r="Q1061" s="48">
        <f>IF(COUNTIFS($C:$C,$C1061,$D:$D,$D1061,$E:$E,"P0(후)",$M:$M,"&gt;0")&lt;&gt;1,"",SUMIFS($I:$I,$C:$C,$C1061,$D:$D,$D1061,$E:$E,"P0(후)"))</f>
        <v/>
      </c>
      <c r="R1061" s="31">
        <f>IF(COUNTIFS($C:$C,$C1061,$D:$D,$D1061,$E:$E,"P0(후)",$M:$M,"&gt;0")&lt;&gt;1,"",SUMIFS($M:$M,$C:$C,$C1061,$D:$D,$D1061,$E:$E,"P0(후)"))</f>
        <v/>
      </c>
      <c r="S1061" s="31">
        <f>IF(N1061&lt;&gt;"OK","",P1061+(R1061-P1061)*(I1061-O1061)/(Q1061-O1061))</f>
        <v/>
      </c>
      <c r="T1061" s="31">
        <f>IF(OR(N1061&lt;&gt;"OK",NOT(ISNUMBER(M1061))),"",M1061-S1061)</f>
        <v/>
      </c>
      <c r="U1061" s="49">
        <f>IF(OR(NOT(ISNUMBER(T1061)),IF(ISNUMBER(H1061),H1061,G1061)=0),"",T1061/IF(ISNUMBER(H1061),H1061,G1061))</f>
        <v/>
      </c>
      <c r="V1061" s="49">
        <f>IF(ISNUMBER(U1061),ABS(U1061),"")</f>
        <v/>
      </c>
      <c r="W1061" s="49">
        <f>IF(OR($E1060&lt;&gt;"측정",$C1060&lt;&gt;$C1061,$D1060&lt;&gt;$D1061,NOT(ISNUMBER(M1061)),NOT(ISNUMBER(M1060)),(IF(ISNUMBER(H1061),H1061,G1061)-IF(ISNUMBER(H1060),H1060,G1060))=0),"",(M1061-M1060)/(IF(ISNUMBER(H1061),H1061,G1061)-IF(ISNUMBER(H1060),H1060,G1060)))</f>
        <v/>
      </c>
      <c r="X1061" s="31">
        <f>IF(NOT(AND(ISNUMBER(O1061),ISNUMBER(Q1061))),"",(Q1061-O1061)*1440)</f>
        <v/>
      </c>
      <c r="Y1061" s="29" t="n"/>
      <c r="Z1061" s="29" t="n"/>
      <c r="AA1061" s="29" t="n"/>
      <c r="AB1061" s="32" t="n"/>
      <c r="AC1061" s="32" t="n"/>
    </row>
    <row r="1062">
      <c r="A1062" s="26" t="inlineStr">
        <is>
          <t>S21</t>
        </is>
      </c>
      <c r="B1062" s="26" t="inlineStr">
        <is>
          <t>담양 신규점2</t>
        </is>
      </c>
      <c r="C1062" s="26" t="inlineStr">
        <is>
          <t>S21-H서</t>
        </is>
      </c>
      <c r="D1062" s="47" t="n">
        <v>1</v>
      </c>
      <c r="E1062" s="26" t="inlineStr">
        <is>
          <t>측정</t>
        </is>
      </c>
      <c r="F1062" s="26" t="inlineStr">
        <is>
          <t>서</t>
        </is>
      </c>
      <c r="G1062" s="31" t="n">
        <v>2</v>
      </c>
      <c r="H1062" s="30" t="n"/>
      <c r="I1062" s="43" t="n"/>
      <c r="J1062" s="41" t="n"/>
      <c r="K1062" s="41" t="n"/>
      <c r="L1062" s="41" t="n"/>
      <c r="M1062" s="31">
        <f>IF(COUNT(J1062:L1062)=0,"",MEDIAN(J1062:L1062))</f>
        <v/>
      </c>
      <c r="N1062" s="26">
        <f>IF(COUNTIFS($C:$C,$C1062,$D:$D,$D1062,$E:$E,"P0(전)",$M:$M,"&gt;0")&lt;&gt;1,"P0(전) 유효 1개 아님",IF(COUNTIFS($C:$C,$C1062,$D:$D,$D1062,$E:$E,"P0(후)",$M:$M,"&gt;0")&lt;&gt;1,"P0(후) 유효 1개 아님",IF(NOT(AND(ISNUMBER(O1062),ISNUMBER(Q1062),ISNUMBER(I1062))),"시각 결측",IF(Q1062&lt;=O1062,"P0 시각 역전",IF(OR(I1062&lt;O1062,I1062&gt;Q1062),"측정시각 구간 밖","OK")))))</f>
        <v/>
      </c>
      <c r="O1062" s="48">
        <f>IF(COUNTIFS($C:$C,$C1062,$D:$D,$D1062,$E:$E,"P0(전)",$M:$M,"&gt;0")&lt;&gt;1,"",SUMIFS($I:$I,$C:$C,$C1062,$D:$D,$D1062,$E:$E,"P0(전)"))</f>
        <v/>
      </c>
      <c r="P1062" s="31">
        <f>IF(COUNTIFS($C:$C,$C1062,$D:$D,$D1062,$E:$E,"P0(전)",$M:$M,"&gt;0")&lt;&gt;1,"",SUMIFS($M:$M,$C:$C,$C1062,$D:$D,$D1062,$E:$E,"P0(전)"))</f>
        <v/>
      </c>
      <c r="Q1062" s="48">
        <f>IF(COUNTIFS($C:$C,$C1062,$D:$D,$D1062,$E:$E,"P0(후)",$M:$M,"&gt;0")&lt;&gt;1,"",SUMIFS($I:$I,$C:$C,$C1062,$D:$D,$D1062,$E:$E,"P0(후)"))</f>
        <v/>
      </c>
      <c r="R1062" s="31">
        <f>IF(COUNTIFS($C:$C,$C1062,$D:$D,$D1062,$E:$E,"P0(후)",$M:$M,"&gt;0")&lt;&gt;1,"",SUMIFS($M:$M,$C:$C,$C1062,$D:$D,$D1062,$E:$E,"P0(후)"))</f>
        <v/>
      </c>
      <c r="S1062" s="31">
        <f>IF(N1062&lt;&gt;"OK","",P1062+(R1062-P1062)*(I1062-O1062)/(Q1062-O1062))</f>
        <v/>
      </c>
      <c r="T1062" s="31">
        <f>IF(OR(N1062&lt;&gt;"OK",NOT(ISNUMBER(M1062))),"",M1062-S1062)</f>
        <v/>
      </c>
      <c r="U1062" s="49">
        <f>IF(OR(NOT(ISNUMBER(T1062)),IF(ISNUMBER(H1062),H1062,G1062)=0),"",T1062/IF(ISNUMBER(H1062),H1062,G1062))</f>
        <v/>
      </c>
      <c r="V1062" s="49">
        <f>IF(ISNUMBER(U1062),ABS(U1062),"")</f>
        <v/>
      </c>
      <c r="W1062" s="49">
        <f>IF(OR($E1061&lt;&gt;"측정",$C1061&lt;&gt;$C1062,$D1061&lt;&gt;$D1062,NOT(ISNUMBER(M1062)),NOT(ISNUMBER(M1061)),(IF(ISNUMBER(H1062),H1062,G1062)-IF(ISNUMBER(H1061),H1061,G1061))=0),"",(M1062-M1061)/(IF(ISNUMBER(H1062),H1062,G1062)-IF(ISNUMBER(H1061),H1061,G1061)))</f>
        <v/>
      </c>
      <c r="X1062" s="31">
        <f>IF(NOT(AND(ISNUMBER(O1062),ISNUMBER(Q1062))),"",(Q1062-O1062)*1440)</f>
        <v/>
      </c>
      <c r="Y1062" s="29" t="n"/>
      <c r="Z1062" s="29" t="n"/>
      <c r="AA1062" s="29" t="n"/>
      <c r="AB1062" s="32" t="n"/>
      <c r="AC1062" s="32" t="n"/>
    </row>
    <row r="1063">
      <c r="A1063" s="26" t="inlineStr">
        <is>
          <t>S21</t>
        </is>
      </c>
      <c r="B1063" s="26" t="inlineStr">
        <is>
          <t>담양 신규점2</t>
        </is>
      </c>
      <c r="C1063" s="26" t="inlineStr">
        <is>
          <t>S21-H서</t>
        </is>
      </c>
      <c r="D1063" s="47" t="n">
        <v>1</v>
      </c>
      <c r="E1063" s="26" t="inlineStr">
        <is>
          <t>측정</t>
        </is>
      </c>
      <c r="F1063" s="26" t="inlineStr">
        <is>
          <t>서</t>
        </is>
      </c>
      <c r="G1063" s="31" t="n">
        <v>3</v>
      </c>
      <c r="H1063" s="30" t="n"/>
      <c r="I1063" s="43" t="n"/>
      <c r="J1063" s="41" t="n"/>
      <c r="K1063" s="41" t="n"/>
      <c r="L1063" s="41" t="n"/>
      <c r="M1063" s="31">
        <f>IF(COUNT(J1063:L1063)=0,"",MEDIAN(J1063:L1063))</f>
        <v/>
      </c>
      <c r="N1063" s="26">
        <f>IF(COUNTIFS($C:$C,$C1063,$D:$D,$D1063,$E:$E,"P0(전)",$M:$M,"&gt;0")&lt;&gt;1,"P0(전) 유효 1개 아님",IF(COUNTIFS($C:$C,$C1063,$D:$D,$D1063,$E:$E,"P0(후)",$M:$M,"&gt;0")&lt;&gt;1,"P0(후) 유효 1개 아님",IF(NOT(AND(ISNUMBER(O1063),ISNUMBER(Q1063),ISNUMBER(I1063))),"시각 결측",IF(Q1063&lt;=O1063,"P0 시각 역전",IF(OR(I1063&lt;O1063,I1063&gt;Q1063),"측정시각 구간 밖","OK")))))</f>
        <v/>
      </c>
      <c r="O1063" s="48">
        <f>IF(COUNTIFS($C:$C,$C1063,$D:$D,$D1063,$E:$E,"P0(전)",$M:$M,"&gt;0")&lt;&gt;1,"",SUMIFS($I:$I,$C:$C,$C1063,$D:$D,$D1063,$E:$E,"P0(전)"))</f>
        <v/>
      </c>
      <c r="P1063" s="31">
        <f>IF(COUNTIFS($C:$C,$C1063,$D:$D,$D1063,$E:$E,"P0(전)",$M:$M,"&gt;0")&lt;&gt;1,"",SUMIFS($M:$M,$C:$C,$C1063,$D:$D,$D1063,$E:$E,"P0(전)"))</f>
        <v/>
      </c>
      <c r="Q1063" s="48">
        <f>IF(COUNTIFS($C:$C,$C1063,$D:$D,$D1063,$E:$E,"P0(후)",$M:$M,"&gt;0")&lt;&gt;1,"",SUMIFS($I:$I,$C:$C,$C1063,$D:$D,$D1063,$E:$E,"P0(후)"))</f>
        <v/>
      </c>
      <c r="R1063" s="31">
        <f>IF(COUNTIFS($C:$C,$C1063,$D:$D,$D1063,$E:$E,"P0(후)",$M:$M,"&gt;0")&lt;&gt;1,"",SUMIFS($M:$M,$C:$C,$C1063,$D:$D,$D1063,$E:$E,"P0(후)"))</f>
        <v/>
      </c>
      <c r="S1063" s="31">
        <f>IF(N1063&lt;&gt;"OK","",P1063+(R1063-P1063)*(I1063-O1063)/(Q1063-O1063))</f>
        <v/>
      </c>
      <c r="T1063" s="31">
        <f>IF(OR(N1063&lt;&gt;"OK",NOT(ISNUMBER(M1063))),"",M1063-S1063)</f>
        <v/>
      </c>
      <c r="U1063" s="49">
        <f>IF(OR(NOT(ISNUMBER(T1063)),IF(ISNUMBER(H1063),H1063,G1063)=0),"",T1063/IF(ISNUMBER(H1063),H1063,G1063))</f>
        <v/>
      </c>
      <c r="V1063" s="49">
        <f>IF(ISNUMBER(U1063),ABS(U1063),"")</f>
        <v/>
      </c>
      <c r="W1063" s="49">
        <f>IF(OR($E1062&lt;&gt;"측정",$C1062&lt;&gt;$C1063,$D1062&lt;&gt;$D1063,NOT(ISNUMBER(M1063)),NOT(ISNUMBER(M1062)),(IF(ISNUMBER(H1063),H1063,G1063)-IF(ISNUMBER(H1062),H1062,G1062))=0),"",(M1063-M1062)/(IF(ISNUMBER(H1063),H1063,G1063)-IF(ISNUMBER(H1062),H1062,G1062)))</f>
        <v/>
      </c>
      <c r="X1063" s="31">
        <f>IF(NOT(AND(ISNUMBER(O1063),ISNUMBER(Q1063))),"",(Q1063-O1063)*1440)</f>
        <v/>
      </c>
      <c r="Y1063" s="29" t="n"/>
      <c r="Z1063" s="29" t="n"/>
      <c r="AA1063" s="29" t="n"/>
      <c r="AB1063" s="32" t="n"/>
      <c r="AC1063" s="32" t="n"/>
    </row>
    <row r="1064">
      <c r="A1064" s="26" t="inlineStr">
        <is>
          <t>S21</t>
        </is>
      </c>
      <c r="B1064" s="26" t="inlineStr">
        <is>
          <t>담양 신규점2</t>
        </is>
      </c>
      <c r="C1064" s="26" t="inlineStr">
        <is>
          <t>S21-H서</t>
        </is>
      </c>
      <c r="D1064" s="47" t="n">
        <v>1</v>
      </c>
      <c r="E1064" s="26" t="inlineStr">
        <is>
          <t>측정</t>
        </is>
      </c>
      <c r="F1064" s="26" t="inlineStr">
        <is>
          <t>서</t>
        </is>
      </c>
      <c r="G1064" s="31" t="n">
        <v>4</v>
      </c>
      <c r="H1064" s="30" t="n"/>
      <c r="I1064" s="43" t="n"/>
      <c r="J1064" s="41" t="n"/>
      <c r="K1064" s="41" t="n"/>
      <c r="L1064" s="41" t="n"/>
      <c r="M1064" s="31">
        <f>IF(COUNT(J1064:L1064)=0,"",MEDIAN(J1064:L1064))</f>
        <v/>
      </c>
      <c r="N1064" s="26">
        <f>IF(COUNTIFS($C:$C,$C1064,$D:$D,$D1064,$E:$E,"P0(전)",$M:$M,"&gt;0")&lt;&gt;1,"P0(전) 유효 1개 아님",IF(COUNTIFS($C:$C,$C1064,$D:$D,$D1064,$E:$E,"P0(후)",$M:$M,"&gt;0")&lt;&gt;1,"P0(후) 유효 1개 아님",IF(NOT(AND(ISNUMBER(O1064),ISNUMBER(Q1064),ISNUMBER(I1064))),"시각 결측",IF(Q1064&lt;=O1064,"P0 시각 역전",IF(OR(I1064&lt;O1064,I1064&gt;Q1064),"측정시각 구간 밖","OK")))))</f>
        <v/>
      </c>
      <c r="O1064" s="48">
        <f>IF(COUNTIFS($C:$C,$C1064,$D:$D,$D1064,$E:$E,"P0(전)",$M:$M,"&gt;0")&lt;&gt;1,"",SUMIFS($I:$I,$C:$C,$C1064,$D:$D,$D1064,$E:$E,"P0(전)"))</f>
        <v/>
      </c>
      <c r="P1064" s="31">
        <f>IF(COUNTIFS($C:$C,$C1064,$D:$D,$D1064,$E:$E,"P0(전)",$M:$M,"&gt;0")&lt;&gt;1,"",SUMIFS($M:$M,$C:$C,$C1064,$D:$D,$D1064,$E:$E,"P0(전)"))</f>
        <v/>
      </c>
      <c r="Q1064" s="48">
        <f>IF(COUNTIFS($C:$C,$C1064,$D:$D,$D1064,$E:$E,"P0(후)",$M:$M,"&gt;0")&lt;&gt;1,"",SUMIFS($I:$I,$C:$C,$C1064,$D:$D,$D1064,$E:$E,"P0(후)"))</f>
        <v/>
      </c>
      <c r="R1064" s="31">
        <f>IF(COUNTIFS($C:$C,$C1064,$D:$D,$D1064,$E:$E,"P0(후)",$M:$M,"&gt;0")&lt;&gt;1,"",SUMIFS($M:$M,$C:$C,$C1064,$D:$D,$D1064,$E:$E,"P0(후)"))</f>
        <v/>
      </c>
      <c r="S1064" s="31">
        <f>IF(N1064&lt;&gt;"OK","",P1064+(R1064-P1064)*(I1064-O1064)/(Q1064-O1064))</f>
        <v/>
      </c>
      <c r="T1064" s="31">
        <f>IF(OR(N1064&lt;&gt;"OK",NOT(ISNUMBER(M1064))),"",M1064-S1064)</f>
        <v/>
      </c>
      <c r="U1064" s="49">
        <f>IF(OR(NOT(ISNUMBER(T1064)),IF(ISNUMBER(H1064),H1064,G1064)=0),"",T1064/IF(ISNUMBER(H1064),H1064,G1064))</f>
        <v/>
      </c>
      <c r="V1064" s="49">
        <f>IF(ISNUMBER(U1064),ABS(U1064),"")</f>
        <v/>
      </c>
      <c r="W1064" s="49">
        <f>IF(OR($E1063&lt;&gt;"측정",$C1063&lt;&gt;$C1064,$D1063&lt;&gt;$D1064,NOT(ISNUMBER(M1064)),NOT(ISNUMBER(M1063)),(IF(ISNUMBER(H1064),H1064,G1064)-IF(ISNUMBER(H1063),H1063,G1063))=0),"",(M1064-M1063)/(IF(ISNUMBER(H1064),H1064,G1064)-IF(ISNUMBER(H1063),H1063,G1063)))</f>
        <v/>
      </c>
      <c r="X1064" s="31">
        <f>IF(NOT(AND(ISNUMBER(O1064),ISNUMBER(Q1064))),"",(Q1064-O1064)*1440)</f>
        <v/>
      </c>
      <c r="Y1064" s="29" t="n"/>
      <c r="Z1064" s="29" t="n"/>
      <c r="AA1064" s="29" t="n"/>
      <c r="AB1064" s="32" t="n"/>
      <c r="AC1064" s="32" t="n"/>
    </row>
    <row r="1065">
      <c r="A1065" s="26" t="inlineStr">
        <is>
          <t>S21</t>
        </is>
      </c>
      <c r="B1065" s="26" t="inlineStr">
        <is>
          <t>담양 신규점2</t>
        </is>
      </c>
      <c r="C1065" s="26" t="inlineStr">
        <is>
          <t>S21-H서</t>
        </is>
      </c>
      <c r="D1065" s="47" t="n">
        <v>1</v>
      </c>
      <c r="E1065" s="26" t="inlineStr">
        <is>
          <t>측정</t>
        </is>
      </c>
      <c r="F1065" s="26" t="inlineStr">
        <is>
          <t>서</t>
        </is>
      </c>
      <c r="G1065" s="31" t="n">
        <v>5</v>
      </c>
      <c r="H1065" s="30" t="n"/>
      <c r="I1065" s="43" t="n"/>
      <c r="J1065" s="41" t="n"/>
      <c r="K1065" s="41" t="n"/>
      <c r="L1065" s="41" t="n"/>
      <c r="M1065" s="31">
        <f>IF(COUNT(J1065:L1065)=0,"",MEDIAN(J1065:L1065))</f>
        <v/>
      </c>
      <c r="N1065" s="26">
        <f>IF(COUNTIFS($C:$C,$C1065,$D:$D,$D1065,$E:$E,"P0(전)",$M:$M,"&gt;0")&lt;&gt;1,"P0(전) 유효 1개 아님",IF(COUNTIFS($C:$C,$C1065,$D:$D,$D1065,$E:$E,"P0(후)",$M:$M,"&gt;0")&lt;&gt;1,"P0(후) 유효 1개 아님",IF(NOT(AND(ISNUMBER(O1065),ISNUMBER(Q1065),ISNUMBER(I1065))),"시각 결측",IF(Q1065&lt;=O1065,"P0 시각 역전",IF(OR(I1065&lt;O1065,I1065&gt;Q1065),"측정시각 구간 밖","OK")))))</f>
        <v/>
      </c>
      <c r="O1065" s="48">
        <f>IF(COUNTIFS($C:$C,$C1065,$D:$D,$D1065,$E:$E,"P0(전)",$M:$M,"&gt;0")&lt;&gt;1,"",SUMIFS($I:$I,$C:$C,$C1065,$D:$D,$D1065,$E:$E,"P0(전)"))</f>
        <v/>
      </c>
      <c r="P1065" s="31">
        <f>IF(COUNTIFS($C:$C,$C1065,$D:$D,$D1065,$E:$E,"P0(전)",$M:$M,"&gt;0")&lt;&gt;1,"",SUMIFS($M:$M,$C:$C,$C1065,$D:$D,$D1065,$E:$E,"P0(전)"))</f>
        <v/>
      </c>
      <c r="Q1065" s="48">
        <f>IF(COUNTIFS($C:$C,$C1065,$D:$D,$D1065,$E:$E,"P0(후)",$M:$M,"&gt;0")&lt;&gt;1,"",SUMIFS($I:$I,$C:$C,$C1065,$D:$D,$D1065,$E:$E,"P0(후)"))</f>
        <v/>
      </c>
      <c r="R1065" s="31">
        <f>IF(COUNTIFS($C:$C,$C1065,$D:$D,$D1065,$E:$E,"P0(후)",$M:$M,"&gt;0")&lt;&gt;1,"",SUMIFS($M:$M,$C:$C,$C1065,$D:$D,$D1065,$E:$E,"P0(후)"))</f>
        <v/>
      </c>
      <c r="S1065" s="31">
        <f>IF(N1065&lt;&gt;"OK","",P1065+(R1065-P1065)*(I1065-O1065)/(Q1065-O1065))</f>
        <v/>
      </c>
      <c r="T1065" s="31">
        <f>IF(OR(N1065&lt;&gt;"OK",NOT(ISNUMBER(M1065))),"",M1065-S1065)</f>
        <v/>
      </c>
      <c r="U1065" s="49">
        <f>IF(OR(NOT(ISNUMBER(T1065)),IF(ISNUMBER(H1065),H1065,G1065)=0),"",T1065/IF(ISNUMBER(H1065),H1065,G1065))</f>
        <v/>
      </c>
      <c r="V1065" s="49">
        <f>IF(ISNUMBER(U1065),ABS(U1065),"")</f>
        <v/>
      </c>
      <c r="W1065" s="49">
        <f>IF(OR($E1064&lt;&gt;"측정",$C1064&lt;&gt;$C1065,$D1064&lt;&gt;$D1065,NOT(ISNUMBER(M1065)),NOT(ISNUMBER(M1064)),(IF(ISNUMBER(H1065),H1065,G1065)-IF(ISNUMBER(H1064),H1064,G1064))=0),"",(M1065-M1064)/(IF(ISNUMBER(H1065),H1065,G1065)-IF(ISNUMBER(H1064),H1064,G1064)))</f>
        <v/>
      </c>
      <c r="X1065" s="31">
        <f>IF(NOT(AND(ISNUMBER(O1065),ISNUMBER(Q1065))),"",(Q1065-O1065)*1440)</f>
        <v/>
      </c>
      <c r="Y1065" s="29" t="n"/>
      <c r="Z1065" s="29" t="n"/>
      <c r="AA1065" s="29" t="n"/>
      <c r="AB1065" s="32" t="n"/>
      <c r="AC1065" s="32" t="n"/>
    </row>
    <row r="1066">
      <c r="A1066" s="26" t="inlineStr">
        <is>
          <t>S21</t>
        </is>
      </c>
      <c r="B1066" s="26" t="inlineStr">
        <is>
          <t>담양 신규점2</t>
        </is>
      </c>
      <c r="C1066" s="26" t="inlineStr">
        <is>
          <t>S21-H서</t>
        </is>
      </c>
      <c r="D1066" s="47" t="n">
        <v>1</v>
      </c>
      <c r="E1066" s="26" t="inlineStr">
        <is>
          <t>측정</t>
        </is>
      </c>
      <c r="F1066" s="26" t="inlineStr">
        <is>
          <t>서</t>
        </is>
      </c>
      <c r="G1066" s="31" t="n">
        <v>6</v>
      </c>
      <c r="H1066" s="30" t="n"/>
      <c r="I1066" s="43" t="n"/>
      <c r="J1066" s="41" t="n"/>
      <c r="K1066" s="41" t="n"/>
      <c r="L1066" s="41" t="n"/>
      <c r="M1066" s="31">
        <f>IF(COUNT(J1066:L1066)=0,"",MEDIAN(J1066:L1066))</f>
        <v/>
      </c>
      <c r="N1066" s="26">
        <f>IF(COUNTIFS($C:$C,$C1066,$D:$D,$D1066,$E:$E,"P0(전)",$M:$M,"&gt;0")&lt;&gt;1,"P0(전) 유효 1개 아님",IF(COUNTIFS($C:$C,$C1066,$D:$D,$D1066,$E:$E,"P0(후)",$M:$M,"&gt;0")&lt;&gt;1,"P0(후) 유효 1개 아님",IF(NOT(AND(ISNUMBER(O1066),ISNUMBER(Q1066),ISNUMBER(I1066))),"시각 결측",IF(Q1066&lt;=O1066,"P0 시각 역전",IF(OR(I1066&lt;O1066,I1066&gt;Q1066),"측정시각 구간 밖","OK")))))</f>
        <v/>
      </c>
      <c r="O1066" s="48">
        <f>IF(COUNTIFS($C:$C,$C1066,$D:$D,$D1066,$E:$E,"P0(전)",$M:$M,"&gt;0")&lt;&gt;1,"",SUMIFS($I:$I,$C:$C,$C1066,$D:$D,$D1066,$E:$E,"P0(전)"))</f>
        <v/>
      </c>
      <c r="P1066" s="31">
        <f>IF(COUNTIFS($C:$C,$C1066,$D:$D,$D1066,$E:$E,"P0(전)",$M:$M,"&gt;0")&lt;&gt;1,"",SUMIFS($M:$M,$C:$C,$C1066,$D:$D,$D1066,$E:$E,"P0(전)"))</f>
        <v/>
      </c>
      <c r="Q1066" s="48">
        <f>IF(COUNTIFS($C:$C,$C1066,$D:$D,$D1066,$E:$E,"P0(후)",$M:$M,"&gt;0")&lt;&gt;1,"",SUMIFS($I:$I,$C:$C,$C1066,$D:$D,$D1066,$E:$E,"P0(후)"))</f>
        <v/>
      </c>
      <c r="R1066" s="31">
        <f>IF(COUNTIFS($C:$C,$C1066,$D:$D,$D1066,$E:$E,"P0(후)",$M:$M,"&gt;0")&lt;&gt;1,"",SUMIFS($M:$M,$C:$C,$C1066,$D:$D,$D1066,$E:$E,"P0(후)"))</f>
        <v/>
      </c>
      <c r="S1066" s="31">
        <f>IF(N1066&lt;&gt;"OK","",P1066+(R1066-P1066)*(I1066-O1066)/(Q1066-O1066))</f>
        <v/>
      </c>
      <c r="T1066" s="31">
        <f>IF(OR(N1066&lt;&gt;"OK",NOT(ISNUMBER(M1066))),"",M1066-S1066)</f>
        <v/>
      </c>
      <c r="U1066" s="49">
        <f>IF(OR(NOT(ISNUMBER(T1066)),IF(ISNUMBER(H1066),H1066,G1066)=0),"",T1066/IF(ISNUMBER(H1066),H1066,G1066))</f>
        <v/>
      </c>
      <c r="V1066" s="49">
        <f>IF(ISNUMBER(U1066),ABS(U1066),"")</f>
        <v/>
      </c>
      <c r="W1066" s="49">
        <f>IF(OR($E1065&lt;&gt;"측정",$C1065&lt;&gt;$C1066,$D1065&lt;&gt;$D1066,NOT(ISNUMBER(M1066)),NOT(ISNUMBER(M1065)),(IF(ISNUMBER(H1066),H1066,G1066)-IF(ISNUMBER(H1065),H1065,G1065))=0),"",(M1066-M1065)/(IF(ISNUMBER(H1066),H1066,G1066)-IF(ISNUMBER(H1065),H1065,G1065)))</f>
        <v/>
      </c>
      <c r="X1066" s="31">
        <f>IF(NOT(AND(ISNUMBER(O1066),ISNUMBER(Q1066))),"",(Q1066-O1066)*1440)</f>
        <v/>
      </c>
      <c r="Y1066" s="29" t="n"/>
      <c r="Z1066" s="29" t="n"/>
      <c r="AA1066" s="29" t="n"/>
      <c r="AB1066" s="32" t="n"/>
      <c r="AC1066" s="32" t="n"/>
    </row>
    <row r="1067">
      <c r="A1067" s="26" t="inlineStr">
        <is>
          <t>S21</t>
        </is>
      </c>
      <c r="B1067" s="26" t="inlineStr">
        <is>
          <t>담양 신규점2</t>
        </is>
      </c>
      <c r="C1067" s="26" t="inlineStr">
        <is>
          <t>S21-H서</t>
        </is>
      </c>
      <c r="D1067" s="47" t="n">
        <v>1</v>
      </c>
      <c r="E1067" s="26" t="inlineStr">
        <is>
          <t>측정</t>
        </is>
      </c>
      <c r="F1067" s="26" t="inlineStr">
        <is>
          <t>서</t>
        </is>
      </c>
      <c r="G1067" s="31" t="n">
        <v>7</v>
      </c>
      <c r="H1067" s="30" t="n"/>
      <c r="I1067" s="43" t="n"/>
      <c r="J1067" s="41" t="n"/>
      <c r="K1067" s="41" t="n"/>
      <c r="L1067" s="41" t="n"/>
      <c r="M1067" s="31">
        <f>IF(COUNT(J1067:L1067)=0,"",MEDIAN(J1067:L1067))</f>
        <v/>
      </c>
      <c r="N1067" s="26">
        <f>IF(COUNTIFS($C:$C,$C1067,$D:$D,$D1067,$E:$E,"P0(전)",$M:$M,"&gt;0")&lt;&gt;1,"P0(전) 유효 1개 아님",IF(COUNTIFS($C:$C,$C1067,$D:$D,$D1067,$E:$E,"P0(후)",$M:$M,"&gt;0")&lt;&gt;1,"P0(후) 유효 1개 아님",IF(NOT(AND(ISNUMBER(O1067),ISNUMBER(Q1067),ISNUMBER(I1067))),"시각 결측",IF(Q1067&lt;=O1067,"P0 시각 역전",IF(OR(I1067&lt;O1067,I1067&gt;Q1067),"측정시각 구간 밖","OK")))))</f>
        <v/>
      </c>
      <c r="O1067" s="48">
        <f>IF(COUNTIFS($C:$C,$C1067,$D:$D,$D1067,$E:$E,"P0(전)",$M:$M,"&gt;0")&lt;&gt;1,"",SUMIFS($I:$I,$C:$C,$C1067,$D:$D,$D1067,$E:$E,"P0(전)"))</f>
        <v/>
      </c>
      <c r="P1067" s="31">
        <f>IF(COUNTIFS($C:$C,$C1067,$D:$D,$D1067,$E:$E,"P0(전)",$M:$M,"&gt;0")&lt;&gt;1,"",SUMIFS($M:$M,$C:$C,$C1067,$D:$D,$D1067,$E:$E,"P0(전)"))</f>
        <v/>
      </c>
      <c r="Q1067" s="48">
        <f>IF(COUNTIFS($C:$C,$C1067,$D:$D,$D1067,$E:$E,"P0(후)",$M:$M,"&gt;0")&lt;&gt;1,"",SUMIFS($I:$I,$C:$C,$C1067,$D:$D,$D1067,$E:$E,"P0(후)"))</f>
        <v/>
      </c>
      <c r="R1067" s="31">
        <f>IF(COUNTIFS($C:$C,$C1067,$D:$D,$D1067,$E:$E,"P0(후)",$M:$M,"&gt;0")&lt;&gt;1,"",SUMIFS($M:$M,$C:$C,$C1067,$D:$D,$D1067,$E:$E,"P0(후)"))</f>
        <v/>
      </c>
      <c r="S1067" s="31">
        <f>IF(N1067&lt;&gt;"OK","",P1067+(R1067-P1067)*(I1067-O1067)/(Q1067-O1067))</f>
        <v/>
      </c>
      <c r="T1067" s="31">
        <f>IF(OR(N1067&lt;&gt;"OK",NOT(ISNUMBER(M1067))),"",M1067-S1067)</f>
        <v/>
      </c>
      <c r="U1067" s="49">
        <f>IF(OR(NOT(ISNUMBER(T1067)),IF(ISNUMBER(H1067),H1067,G1067)=0),"",T1067/IF(ISNUMBER(H1067),H1067,G1067))</f>
        <v/>
      </c>
      <c r="V1067" s="49">
        <f>IF(ISNUMBER(U1067),ABS(U1067),"")</f>
        <v/>
      </c>
      <c r="W1067" s="49">
        <f>IF(OR($E1066&lt;&gt;"측정",$C1066&lt;&gt;$C1067,$D1066&lt;&gt;$D1067,NOT(ISNUMBER(M1067)),NOT(ISNUMBER(M1066)),(IF(ISNUMBER(H1067),H1067,G1067)-IF(ISNUMBER(H1066),H1066,G1066))=0),"",(M1067-M1066)/(IF(ISNUMBER(H1067),H1067,G1067)-IF(ISNUMBER(H1066),H1066,G1066)))</f>
        <v/>
      </c>
      <c r="X1067" s="31">
        <f>IF(NOT(AND(ISNUMBER(O1067),ISNUMBER(Q1067))),"",(Q1067-O1067)*1440)</f>
        <v/>
      </c>
      <c r="Y1067" s="29" t="n"/>
      <c r="Z1067" s="29" t="n"/>
      <c r="AA1067" s="29" t="n"/>
      <c r="AB1067" s="32" t="n"/>
      <c r="AC1067" s="32" t="n"/>
    </row>
    <row r="1068">
      <c r="A1068" s="26" t="inlineStr">
        <is>
          <t>S21</t>
        </is>
      </c>
      <c r="B1068" s="26" t="inlineStr">
        <is>
          <t>담양 신규점2</t>
        </is>
      </c>
      <c r="C1068" s="26" t="inlineStr">
        <is>
          <t>S21-H서</t>
        </is>
      </c>
      <c r="D1068" s="47" t="n">
        <v>1</v>
      </c>
      <c r="E1068" s="26" t="inlineStr">
        <is>
          <t>측정</t>
        </is>
      </c>
      <c r="F1068" s="26" t="inlineStr">
        <is>
          <t>서</t>
        </is>
      </c>
      <c r="G1068" s="31" t="n">
        <v>8</v>
      </c>
      <c r="H1068" s="30" t="n"/>
      <c r="I1068" s="43" t="n"/>
      <c r="J1068" s="41" t="n"/>
      <c r="K1068" s="41" t="n"/>
      <c r="L1068" s="41" t="n"/>
      <c r="M1068" s="31">
        <f>IF(COUNT(J1068:L1068)=0,"",MEDIAN(J1068:L1068))</f>
        <v/>
      </c>
      <c r="N1068" s="26">
        <f>IF(COUNTIFS($C:$C,$C1068,$D:$D,$D1068,$E:$E,"P0(전)",$M:$M,"&gt;0")&lt;&gt;1,"P0(전) 유효 1개 아님",IF(COUNTIFS($C:$C,$C1068,$D:$D,$D1068,$E:$E,"P0(후)",$M:$M,"&gt;0")&lt;&gt;1,"P0(후) 유효 1개 아님",IF(NOT(AND(ISNUMBER(O1068),ISNUMBER(Q1068),ISNUMBER(I1068))),"시각 결측",IF(Q1068&lt;=O1068,"P0 시각 역전",IF(OR(I1068&lt;O1068,I1068&gt;Q1068),"측정시각 구간 밖","OK")))))</f>
        <v/>
      </c>
      <c r="O1068" s="48">
        <f>IF(COUNTIFS($C:$C,$C1068,$D:$D,$D1068,$E:$E,"P0(전)",$M:$M,"&gt;0")&lt;&gt;1,"",SUMIFS($I:$I,$C:$C,$C1068,$D:$D,$D1068,$E:$E,"P0(전)"))</f>
        <v/>
      </c>
      <c r="P1068" s="31">
        <f>IF(COUNTIFS($C:$C,$C1068,$D:$D,$D1068,$E:$E,"P0(전)",$M:$M,"&gt;0")&lt;&gt;1,"",SUMIFS($M:$M,$C:$C,$C1068,$D:$D,$D1068,$E:$E,"P0(전)"))</f>
        <v/>
      </c>
      <c r="Q1068" s="48">
        <f>IF(COUNTIFS($C:$C,$C1068,$D:$D,$D1068,$E:$E,"P0(후)",$M:$M,"&gt;0")&lt;&gt;1,"",SUMIFS($I:$I,$C:$C,$C1068,$D:$D,$D1068,$E:$E,"P0(후)"))</f>
        <v/>
      </c>
      <c r="R1068" s="31">
        <f>IF(COUNTIFS($C:$C,$C1068,$D:$D,$D1068,$E:$E,"P0(후)",$M:$M,"&gt;0")&lt;&gt;1,"",SUMIFS($M:$M,$C:$C,$C1068,$D:$D,$D1068,$E:$E,"P0(후)"))</f>
        <v/>
      </c>
      <c r="S1068" s="31">
        <f>IF(N1068&lt;&gt;"OK","",P1068+(R1068-P1068)*(I1068-O1068)/(Q1068-O1068))</f>
        <v/>
      </c>
      <c r="T1068" s="31">
        <f>IF(OR(N1068&lt;&gt;"OK",NOT(ISNUMBER(M1068))),"",M1068-S1068)</f>
        <v/>
      </c>
      <c r="U1068" s="49">
        <f>IF(OR(NOT(ISNUMBER(T1068)),IF(ISNUMBER(H1068),H1068,G1068)=0),"",T1068/IF(ISNUMBER(H1068),H1068,G1068))</f>
        <v/>
      </c>
      <c r="V1068" s="49">
        <f>IF(ISNUMBER(U1068),ABS(U1068),"")</f>
        <v/>
      </c>
      <c r="W1068" s="49">
        <f>IF(OR($E1067&lt;&gt;"측정",$C1067&lt;&gt;$C1068,$D1067&lt;&gt;$D1068,NOT(ISNUMBER(M1068)),NOT(ISNUMBER(M1067)),(IF(ISNUMBER(H1068),H1068,G1068)-IF(ISNUMBER(H1067),H1067,G1067))=0),"",(M1068-M1067)/(IF(ISNUMBER(H1068),H1068,G1068)-IF(ISNUMBER(H1067),H1067,G1067)))</f>
        <v/>
      </c>
      <c r="X1068" s="31">
        <f>IF(NOT(AND(ISNUMBER(O1068),ISNUMBER(Q1068))),"",(Q1068-O1068)*1440)</f>
        <v/>
      </c>
      <c r="Y1068" s="29" t="n"/>
      <c r="Z1068" s="29" t="n"/>
      <c r="AA1068" s="29" t="n"/>
      <c r="AB1068" s="32" t="n"/>
      <c r="AC1068" s="32" t="n"/>
    </row>
    <row r="1069">
      <c r="A1069" s="26" t="inlineStr">
        <is>
          <t>S21</t>
        </is>
      </c>
      <c r="B1069" s="26" t="inlineStr">
        <is>
          <t>담양 신규점2</t>
        </is>
      </c>
      <c r="C1069" s="26" t="inlineStr">
        <is>
          <t>S21-H서</t>
        </is>
      </c>
      <c r="D1069" s="47" t="n">
        <v>1</v>
      </c>
      <c r="E1069" s="26" t="inlineStr">
        <is>
          <t>측정</t>
        </is>
      </c>
      <c r="F1069" s="26" t="inlineStr">
        <is>
          <t>서</t>
        </is>
      </c>
      <c r="G1069" s="31" t="n">
        <v>9</v>
      </c>
      <c r="H1069" s="30" t="n"/>
      <c r="I1069" s="43" t="n"/>
      <c r="J1069" s="41" t="n"/>
      <c r="K1069" s="41" t="n"/>
      <c r="L1069" s="41" t="n"/>
      <c r="M1069" s="31">
        <f>IF(COUNT(J1069:L1069)=0,"",MEDIAN(J1069:L1069))</f>
        <v/>
      </c>
      <c r="N1069" s="26">
        <f>IF(COUNTIFS($C:$C,$C1069,$D:$D,$D1069,$E:$E,"P0(전)",$M:$M,"&gt;0")&lt;&gt;1,"P0(전) 유효 1개 아님",IF(COUNTIFS($C:$C,$C1069,$D:$D,$D1069,$E:$E,"P0(후)",$M:$M,"&gt;0")&lt;&gt;1,"P0(후) 유효 1개 아님",IF(NOT(AND(ISNUMBER(O1069),ISNUMBER(Q1069),ISNUMBER(I1069))),"시각 결측",IF(Q1069&lt;=O1069,"P0 시각 역전",IF(OR(I1069&lt;O1069,I1069&gt;Q1069),"측정시각 구간 밖","OK")))))</f>
        <v/>
      </c>
      <c r="O1069" s="48">
        <f>IF(COUNTIFS($C:$C,$C1069,$D:$D,$D1069,$E:$E,"P0(전)",$M:$M,"&gt;0")&lt;&gt;1,"",SUMIFS($I:$I,$C:$C,$C1069,$D:$D,$D1069,$E:$E,"P0(전)"))</f>
        <v/>
      </c>
      <c r="P1069" s="31">
        <f>IF(COUNTIFS($C:$C,$C1069,$D:$D,$D1069,$E:$E,"P0(전)",$M:$M,"&gt;0")&lt;&gt;1,"",SUMIFS($M:$M,$C:$C,$C1069,$D:$D,$D1069,$E:$E,"P0(전)"))</f>
        <v/>
      </c>
      <c r="Q1069" s="48">
        <f>IF(COUNTIFS($C:$C,$C1069,$D:$D,$D1069,$E:$E,"P0(후)",$M:$M,"&gt;0")&lt;&gt;1,"",SUMIFS($I:$I,$C:$C,$C1069,$D:$D,$D1069,$E:$E,"P0(후)"))</f>
        <v/>
      </c>
      <c r="R1069" s="31">
        <f>IF(COUNTIFS($C:$C,$C1069,$D:$D,$D1069,$E:$E,"P0(후)",$M:$M,"&gt;0")&lt;&gt;1,"",SUMIFS($M:$M,$C:$C,$C1069,$D:$D,$D1069,$E:$E,"P0(후)"))</f>
        <v/>
      </c>
      <c r="S1069" s="31">
        <f>IF(N1069&lt;&gt;"OK","",P1069+(R1069-P1069)*(I1069-O1069)/(Q1069-O1069))</f>
        <v/>
      </c>
      <c r="T1069" s="31">
        <f>IF(OR(N1069&lt;&gt;"OK",NOT(ISNUMBER(M1069))),"",M1069-S1069)</f>
        <v/>
      </c>
      <c r="U1069" s="49">
        <f>IF(OR(NOT(ISNUMBER(T1069)),IF(ISNUMBER(H1069),H1069,G1069)=0),"",T1069/IF(ISNUMBER(H1069),H1069,G1069))</f>
        <v/>
      </c>
      <c r="V1069" s="49">
        <f>IF(ISNUMBER(U1069),ABS(U1069),"")</f>
        <v/>
      </c>
      <c r="W1069" s="49">
        <f>IF(OR($E1068&lt;&gt;"측정",$C1068&lt;&gt;$C1069,$D1068&lt;&gt;$D1069,NOT(ISNUMBER(M1069)),NOT(ISNUMBER(M1068)),(IF(ISNUMBER(H1069),H1069,G1069)-IF(ISNUMBER(H1068),H1068,G1068))=0),"",(M1069-M1068)/(IF(ISNUMBER(H1069),H1069,G1069)-IF(ISNUMBER(H1068),H1068,G1068)))</f>
        <v/>
      </c>
      <c r="X1069" s="31">
        <f>IF(NOT(AND(ISNUMBER(O1069),ISNUMBER(Q1069))),"",(Q1069-O1069)*1440)</f>
        <v/>
      </c>
      <c r="Y1069" s="29" t="n"/>
      <c r="Z1069" s="29" t="n"/>
      <c r="AA1069" s="29" t="n"/>
      <c r="AB1069" s="32" t="n"/>
      <c r="AC1069" s="32" t="n"/>
    </row>
    <row r="1070">
      <c r="A1070" s="26" t="inlineStr">
        <is>
          <t>S21</t>
        </is>
      </c>
      <c r="B1070" s="26" t="inlineStr">
        <is>
          <t>담양 신규점2</t>
        </is>
      </c>
      <c r="C1070" s="26" t="inlineStr">
        <is>
          <t>S21-H서</t>
        </is>
      </c>
      <c r="D1070" s="47" t="n">
        <v>1</v>
      </c>
      <c r="E1070" s="26" t="inlineStr">
        <is>
          <t>측정</t>
        </is>
      </c>
      <c r="F1070" s="26" t="inlineStr">
        <is>
          <t>서</t>
        </is>
      </c>
      <c r="G1070" s="31" t="n">
        <v>10</v>
      </c>
      <c r="H1070" s="30" t="n"/>
      <c r="I1070" s="43" t="n"/>
      <c r="J1070" s="41" t="n"/>
      <c r="K1070" s="41" t="n"/>
      <c r="L1070" s="41" t="n"/>
      <c r="M1070" s="31">
        <f>IF(COUNT(J1070:L1070)=0,"",MEDIAN(J1070:L1070))</f>
        <v/>
      </c>
      <c r="N1070" s="26">
        <f>IF(COUNTIFS($C:$C,$C1070,$D:$D,$D1070,$E:$E,"P0(전)",$M:$M,"&gt;0")&lt;&gt;1,"P0(전) 유효 1개 아님",IF(COUNTIFS($C:$C,$C1070,$D:$D,$D1070,$E:$E,"P0(후)",$M:$M,"&gt;0")&lt;&gt;1,"P0(후) 유효 1개 아님",IF(NOT(AND(ISNUMBER(O1070),ISNUMBER(Q1070),ISNUMBER(I1070))),"시각 결측",IF(Q1070&lt;=O1070,"P0 시각 역전",IF(OR(I1070&lt;O1070,I1070&gt;Q1070),"측정시각 구간 밖","OK")))))</f>
        <v/>
      </c>
      <c r="O1070" s="48">
        <f>IF(COUNTIFS($C:$C,$C1070,$D:$D,$D1070,$E:$E,"P0(전)",$M:$M,"&gt;0")&lt;&gt;1,"",SUMIFS($I:$I,$C:$C,$C1070,$D:$D,$D1070,$E:$E,"P0(전)"))</f>
        <v/>
      </c>
      <c r="P1070" s="31">
        <f>IF(COUNTIFS($C:$C,$C1070,$D:$D,$D1070,$E:$E,"P0(전)",$M:$M,"&gt;0")&lt;&gt;1,"",SUMIFS($M:$M,$C:$C,$C1070,$D:$D,$D1070,$E:$E,"P0(전)"))</f>
        <v/>
      </c>
      <c r="Q1070" s="48">
        <f>IF(COUNTIFS($C:$C,$C1070,$D:$D,$D1070,$E:$E,"P0(후)",$M:$M,"&gt;0")&lt;&gt;1,"",SUMIFS($I:$I,$C:$C,$C1070,$D:$D,$D1070,$E:$E,"P0(후)"))</f>
        <v/>
      </c>
      <c r="R1070" s="31">
        <f>IF(COUNTIFS($C:$C,$C1070,$D:$D,$D1070,$E:$E,"P0(후)",$M:$M,"&gt;0")&lt;&gt;1,"",SUMIFS($M:$M,$C:$C,$C1070,$D:$D,$D1070,$E:$E,"P0(후)"))</f>
        <v/>
      </c>
      <c r="S1070" s="31">
        <f>IF(N1070&lt;&gt;"OK","",P1070+(R1070-P1070)*(I1070-O1070)/(Q1070-O1070))</f>
        <v/>
      </c>
      <c r="T1070" s="31">
        <f>IF(OR(N1070&lt;&gt;"OK",NOT(ISNUMBER(M1070))),"",M1070-S1070)</f>
        <v/>
      </c>
      <c r="U1070" s="49">
        <f>IF(OR(NOT(ISNUMBER(T1070)),IF(ISNUMBER(H1070),H1070,G1070)=0),"",T1070/IF(ISNUMBER(H1070),H1070,G1070))</f>
        <v/>
      </c>
      <c r="V1070" s="49">
        <f>IF(ISNUMBER(U1070),ABS(U1070),"")</f>
        <v/>
      </c>
      <c r="W1070" s="49">
        <f>IF(OR($E1069&lt;&gt;"측정",$C1069&lt;&gt;$C1070,$D1069&lt;&gt;$D1070,NOT(ISNUMBER(M1070)),NOT(ISNUMBER(M1069)),(IF(ISNUMBER(H1070),H1070,G1070)-IF(ISNUMBER(H1069),H1069,G1069))=0),"",(M1070-M1069)/(IF(ISNUMBER(H1070),H1070,G1070)-IF(ISNUMBER(H1069),H1069,G1069)))</f>
        <v/>
      </c>
      <c r="X1070" s="31">
        <f>IF(NOT(AND(ISNUMBER(O1070),ISNUMBER(Q1070))),"",(Q1070-O1070)*1440)</f>
        <v/>
      </c>
      <c r="Y1070" s="29" t="n"/>
      <c r="Z1070" s="29" t="n"/>
      <c r="AA1070" s="29" t="n"/>
      <c r="AB1070" s="32" t="n"/>
      <c r="AC1070" s="32" t="n"/>
    </row>
    <row r="1071">
      <c r="A1071" s="44" t="inlineStr">
        <is>
          <t>S21</t>
        </is>
      </c>
      <c r="B1071" s="44" t="inlineStr">
        <is>
          <t>담양 신규점2</t>
        </is>
      </c>
      <c r="C1071" s="44" t="inlineStr">
        <is>
          <t>S21-H서</t>
        </is>
      </c>
      <c r="D1071" s="45" t="n">
        <v>1</v>
      </c>
      <c r="E1071" s="44" t="inlineStr">
        <is>
          <t>P0(후)</t>
        </is>
      </c>
      <c r="F1071" s="44" t="inlineStr">
        <is>
          <t>서</t>
        </is>
      </c>
      <c r="G1071" s="46" t="n"/>
      <c r="H1071" s="30" t="n"/>
      <c r="I1071" s="43" t="n"/>
      <c r="J1071" s="41" t="n"/>
      <c r="K1071" s="41" t="n"/>
      <c r="L1071" s="41" t="n"/>
      <c r="M1071" s="31">
        <f>IF(COUNT(J1071:L1071)=0,"",MEDIAN(J1071:L1071))</f>
        <v/>
      </c>
      <c r="N1071" s="38" t="n"/>
      <c r="O1071" s="38" t="n"/>
      <c r="P1071" s="38" t="n"/>
      <c r="Q1071" s="38" t="n"/>
      <c r="R1071" s="38" t="n"/>
      <c r="S1071" s="38" t="n"/>
      <c r="T1071" s="38" t="n"/>
      <c r="U1071" s="38" t="n"/>
      <c r="V1071" s="38" t="n"/>
      <c r="W1071" s="38" t="n"/>
      <c r="X1071" s="38" t="n"/>
      <c r="Y1071" s="29" t="n"/>
      <c r="Z1071" s="29" t="n"/>
      <c r="AA1071" s="29" t="n"/>
      <c r="AB1071" s="32" t="n"/>
      <c r="AC1071" s="32" t="n"/>
    </row>
    <row r="1072">
      <c r="A1072" s="44" t="inlineStr">
        <is>
          <t>S21</t>
        </is>
      </c>
      <c r="B1072" s="44" t="inlineStr">
        <is>
          <t>담양 신규점2</t>
        </is>
      </c>
      <c r="C1072" s="44" t="inlineStr">
        <is>
          <t>S21-H남</t>
        </is>
      </c>
      <c r="D1072" s="45" t="n">
        <v>1</v>
      </c>
      <c r="E1072" s="44" t="inlineStr">
        <is>
          <t>P0(전)</t>
        </is>
      </c>
      <c r="F1072" s="44" t="inlineStr">
        <is>
          <t>남</t>
        </is>
      </c>
      <c r="G1072" s="46" t="n"/>
      <c r="H1072" s="30" t="n"/>
      <c r="I1072" s="43" t="n"/>
      <c r="J1072" s="41" t="n"/>
      <c r="K1072" s="41" t="n"/>
      <c r="L1072" s="41" t="n"/>
      <c r="M1072" s="31">
        <f>IF(COUNT(J1072:L1072)=0,"",MEDIAN(J1072:L1072))</f>
        <v/>
      </c>
      <c r="N1072" s="38" t="n"/>
      <c r="O1072" s="38" t="n"/>
      <c r="P1072" s="38" t="n"/>
      <c r="Q1072" s="38" t="n"/>
      <c r="R1072" s="38" t="n"/>
      <c r="S1072" s="38" t="n"/>
      <c r="T1072" s="38" t="n"/>
      <c r="U1072" s="38" t="n"/>
      <c r="V1072" s="38" t="n"/>
      <c r="W1072" s="38" t="n"/>
      <c r="X1072" s="38" t="n"/>
      <c r="Y1072" s="29" t="n"/>
      <c r="Z1072" s="29" t="n"/>
      <c r="AA1072" s="29" t="n"/>
      <c r="AB1072" s="32" t="n"/>
      <c r="AC1072" s="32" t="n"/>
    </row>
    <row r="1073">
      <c r="A1073" s="26" t="inlineStr">
        <is>
          <t>S21</t>
        </is>
      </c>
      <c r="B1073" s="26" t="inlineStr">
        <is>
          <t>담양 신규점2</t>
        </is>
      </c>
      <c r="C1073" s="26" t="inlineStr">
        <is>
          <t>S21-H남</t>
        </is>
      </c>
      <c r="D1073" s="47" t="n">
        <v>1</v>
      </c>
      <c r="E1073" s="26" t="inlineStr">
        <is>
          <t>측정</t>
        </is>
      </c>
      <c r="F1073" s="26" t="inlineStr">
        <is>
          <t>남</t>
        </is>
      </c>
      <c r="G1073" s="31" t="n">
        <v>0.5</v>
      </c>
      <c r="H1073" s="30" t="n"/>
      <c r="I1073" s="43" t="n"/>
      <c r="J1073" s="41" t="n"/>
      <c r="K1073" s="41" t="n"/>
      <c r="L1073" s="41" t="n"/>
      <c r="M1073" s="31">
        <f>IF(COUNT(J1073:L1073)=0,"",MEDIAN(J1073:L1073))</f>
        <v/>
      </c>
      <c r="N1073" s="26">
        <f>IF(COUNTIFS($C:$C,$C1073,$D:$D,$D1073,$E:$E,"P0(전)",$M:$M,"&gt;0")&lt;&gt;1,"P0(전) 유효 1개 아님",IF(COUNTIFS($C:$C,$C1073,$D:$D,$D1073,$E:$E,"P0(후)",$M:$M,"&gt;0")&lt;&gt;1,"P0(후) 유효 1개 아님",IF(NOT(AND(ISNUMBER(O1073),ISNUMBER(Q1073),ISNUMBER(I1073))),"시각 결측",IF(Q1073&lt;=O1073,"P0 시각 역전",IF(OR(I1073&lt;O1073,I1073&gt;Q1073),"측정시각 구간 밖","OK")))))</f>
        <v/>
      </c>
      <c r="O1073" s="48">
        <f>IF(COUNTIFS($C:$C,$C1073,$D:$D,$D1073,$E:$E,"P0(전)",$M:$M,"&gt;0")&lt;&gt;1,"",SUMIFS($I:$I,$C:$C,$C1073,$D:$D,$D1073,$E:$E,"P0(전)"))</f>
        <v/>
      </c>
      <c r="P1073" s="31">
        <f>IF(COUNTIFS($C:$C,$C1073,$D:$D,$D1073,$E:$E,"P0(전)",$M:$M,"&gt;0")&lt;&gt;1,"",SUMIFS($M:$M,$C:$C,$C1073,$D:$D,$D1073,$E:$E,"P0(전)"))</f>
        <v/>
      </c>
      <c r="Q1073" s="48">
        <f>IF(COUNTIFS($C:$C,$C1073,$D:$D,$D1073,$E:$E,"P0(후)",$M:$M,"&gt;0")&lt;&gt;1,"",SUMIFS($I:$I,$C:$C,$C1073,$D:$D,$D1073,$E:$E,"P0(후)"))</f>
        <v/>
      </c>
      <c r="R1073" s="31">
        <f>IF(COUNTIFS($C:$C,$C1073,$D:$D,$D1073,$E:$E,"P0(후)",$M:$M,"&gt;0")&lt;&gt;1,"",SUMIFS($M:$M,$C:$C,$C1073,$D:$D,$D1073,$E:$E,"P0(후)"))</f>
        <v/>
      </c>
      <c r="S1073" s="31">
        <f>IF(N1073&lt;&gt;"OK","",P1073+(R1073-P1073)*(I1073-O1073)/(Q1073-O1073))</f>
        <v/>
      </c>
      <c r="T1073" s="31">
        <f>IF(OR(N1073&lt;&gt;"OK",NOT(ISNUMBER(M1073))),"",M1073-S1073)</f>
        <v/>
      </c>
      <c r="U1073" s="49">
        <f>IF(OR(NOT(ISNUMBER(T1073)),IF(ISNUMBER(H1073),H1073,G1073)=0),"",T1073/IF(ISNUMBER(H1073),H1073,G1073))</f>
        <v/>
      </c>
      <c r="V1073" s="49">
        <f>IF(ISNUMBER(U1073),ABS(U1073),"")</f>
        <v/>
      </c>
      <c r="W1073" s="49">
        <f>IF(OR($E1072&lt;&gt;"측정",$C1072&lt;&gt;$C1073,$D1072&lt;&gt;$D1073,NOT(ISNUMBER(M1073)),NOT(ISNUMBER(M1072)),(IF(ISNUMBER(H1073),H1073,G1073)-IF(ISNUMBER(H1072),H1072,G1072))=0),"",(M1073-M1072)/(IF(ISNUMBER(H1073),H1073,G1073)-IF(ISNUMBER(H1072),H1072,G1072)))</f>
        <v/>
      </c>
      <c r="X1073" s="31">
        <f>IF(NOT(AND(ISNUMBER(O1073),ISNUMBER(Q1073))),"",(Q1073-O1073)*1440)</f>
        <v/>
      </c>
      <c r="Y1073" s="29" t="n"/>
      <c r="Z1073" s="29" t="n"/>
      <c r="AA1073" s="29" t="n"/>
      <c r="AB1073" s="32" t="n"/>
      <c r="AC1073" s="32" t="n"/>
    </row>
    <row r="1074">
      <c r="A1074" s="26" t="inlineStr">
        <is>
          <t>S21</t>
        </is>
      </c>
      <c r="B1074" s="26" t="inlineStr">
        <is>
          <t>담양 신규점2</t>
        </is>
      </c>
      <c r="C1074" s="26" t="inlineStr">
        <is>
          <t>S21-H남</t>
        </is>
      </c>
      <c r="D1074" s="47" t="n">
        <v>1</v>
      </c>
      <c r="E1074" s="26" t="inlineStr">
        <is>
          <t>측정</t>
        </is>
      </c>
      <c r="F1074" s="26" t="inlineStr">
        <is>
          <t>남</t>
        </is>
      </c>
      <c r="G1074" s="31" t="n">
        <v>1</v>
      </c>
      <c r="H1074" s="30" t="n"/>
      <c r="I1074" s="43" t="n"/>
      <c r="J1074" s="41" t="n"/>
      <c r="K1074" s="41" t="n"/>
      <c r="L1074" s="41" t="n"/>
      <c r="M1074" s="31">
        <f>IF(COUNT(J1074:L1074)=0,"",MEDIAN(J1074:L1074))</f>
        <v/>
      </c>
      <c r="N1074" s="26">
        <f>IF(COUNTIFS($C:$C,$C1074,$D:$D,$D1074,$E:$E,"P0(전)",$M:$M,"&gt;0")&lt;&gt;1,"P0(전) 유효 1개 아님",IF(COUNTIFS($C:$C,$C1074,$D:$D,$D1074,$E:$E,"P0(후)",$M:$M,"&gt;0")&lt;&gt;1,"P0(후) 유효 1개 아님",IF(NOT(AND(ISNUMBER(O1074),ISNUMBER(Q1074),ISNUMBER(I1074))),"시각 결측",IF(Q1074&lt;=O1074,"P0 시각 역전",IF(OR(I1074&lt;O1074,I1074&gt;Q1074),"측정시각 구간 밖","OK")))))</f>
        <v/>
      </c>
      <c r="O1074" s="48">
        <f>IF(COUNTIFS($C:$C,$C1074,$D:$D,$D1074,$E:$E,"P0(전)",$M:$M,"&gt;0")&lt;&gt;1,"",SUMIFS($I:$I,$C:$C,$C1074,$D:$D,$D1074,$E:$E,"P0(전)"))</f>
        <v/>
      </c>
      <c r="P1074" s="31">
        <f>IF(COUNTIFS($C:$C,$C1074,$D:$D,$D1074,$E:$E,"P0(전)",$M:$M,"&gt;0")&lt;&gt;1,"",SUMIFS($M:$M,$C:$C,$C1074,$D:$D,$D1074,$E:$E,"P0(전)"))</f>
        <v/>
      </c>
      <c r="Q1074" s="48">
        <f>IF(COUNTIFS($C:$C,$C1074,$D:$D,$D1074,$E:$E,"P0(후)",$M:$M,"&gt;0")&lt;&gt;1,"",SUMIFS($I:$I,$C:$C,$C1074,$D:$D,$D1074,$E:$E,"P0(후)"))</f>
        <v/>
      </c>
      <c r="R1074" s="31">
        <f>IF(COUNTIFS($C:$C,$C1074,$D:$D,$D1074,$E:$E,"P0(후)",$M:$M,"&gt;0")&lt;&gt;1,"",SUMIFS($M:$M,$C:$C,$C1074,$D:$D,$D1074,$E:$E,"P0(후)"))</f>
        <v/>
      </c>
      <c r="S1074" s="31">
        <f>IF(N1074&lt;&gt;"OK","",P1074+(R1074-P1074)*(I1074-O1074)/(Q1074-O1074))</f>
        <v/>
      </c>
      <c r="T1074" s="31">
        <f>IF(OR(N1074&lt;&gt;"OK",NOT(ISNUMBER(M1074))),"",M1074-S1074)</f>
        <v/>
      </c>
      <c r="U1074" s="49">
        <f>IF(OR(NOT(ISNUMBER(T1074)),IF(ISNUMBER(H1074),H1074,G1074)=0),"",T1074/IF(ISNUMBER(H1074),H1074,G1074))</f>
        <v/>
      </c>
      <c r="V1074" s="49">
        <f>IF(ISNUMBER(U1074),ABS(U1074),"")</f>
        <v/>
      </c>
      <c r="W1074" s="49">
        <f>IF(OR($E1073&lt;&gt;"측정",$C1073&lt;&gt;$C1074,$D1073&lt;&gt;$D1074,NOT(ISNUMBER(M1074)),NOT(ISNUMBER(M1073)),(IF(ISNUMBER(H1074),H1074,G1074)-IF(ISNUMBER(H1073),H1073,G1073))=0),"",(M1074-M1073)/(IF(ISNUMBER(H1074),H1074,G1074)-IF(ISNUMBER(H1073),H1073,G1073)))</f>
        <v/>
      </c>
      <c r="X1074" s="31">
        <f>IF(NOT(AND(ISNUMBER(O1074),ISNUMBER(Q1074))),"",(Q1074-O1074)*1440)</f>
        <v/>
      </c>
      <c r="Y1074" s="29" t="n"/>
      <c r="Z1074" s="29" t="n"/>
      <c r="AA1074" s="29" t="n"/>
      <c r="AB1074" s="32" t="n"/>
      <c r="AC1074" s="32" t="n"/>
    </row>
    <row r="1075">
      <c r="A1075" s="26" t="inlineStr">
        <is>
          <t>S21</t>
        </is>
      </c>
      <c r="B1075" s="26" t="inlineStr">
        <is>
          <t>담양 신규점2</t>
        </is>
      </c>
      <c r="C1075" s="26" t="inlineStr">
        <is>
          <t>S21-H남</t>
        </is>
      </c>
      <c r="D1075" s="47" t="n">
        <v>1</v>
      </c>
      <c r="E1075" s="26" t="inlineStr">
        <is>
          <t>측정</t>
        </is>
      </c>
      <c r="F1075" s="26" t="inlineStr">
        <is>
          <t>남</t>
        </is>
      </c>
      <c r="G1075" s="31" t="n">
        <v>2</v>
      </c>
      <c r="H1075" s="30" t="n"/>
      <c r="I1075" s="43" t="n"/>
      <c r="J1075" s="41" t="n"/>
      <c r="K1075" s="41" t="n"/>
      <c r="L1075" s="41" t="n"/>
      <c r="M1075" s="31">
        <f>IF(COUNT(J1075:L1075)=0,"",MEDIAN(J1075:L1075))</f>
        <v/>
      </c>
      <c r="N1075" s="26">
        <f>IF(COUNTIFS($C:$C,$C1075,$D:$D,$D1075,$E:$E,"P0(전)",$M:$M,"&gt;0")&lt;&gt;1,"P0(전) 유효 1개 아님",IF(COUNTIFS($C:$C,$C1075,$D:$D,$D1075,$E:$E,"P0(후)",$M:$M,"&gt;0")&lt;&gt;1,"P0(후) 유효 1개 아님",IF(NOT(AND(ISNUMBER(O1075),ISNUMBER(Q1075),ISNUMBER(I1075))),"시각 결측",IF(Q1075&lt;=O1075,"P0 시각 역전",IF(OR(I1075&lt;O1075,I1075&gt;Q1075),"측정시각 구간 밖","OK")))))</f>
        <v/>
      </c>
      <c r="O1075" s="48">
        <f>IF(COUNTIFS($C:$C,$C1075,$D:$D,$D1075,$E:$E,"P0(전)",$M:$M,"&gt;0")&lt;&gt;1,"",SUMIFS($I:$I,$C:$C,$C1075,$D:$D,$D1075,$E:$E,"P0(전)"))</f>
        <v/>
      </c>
      <c r="P1075" s="31">
        <f>IF(COUNTIFS($C:$C,$C1075,$D:$D,$D1075,$E:$E,"P0(전)",$M:$M,"&gt;0")&lt;&gt;1,"",SUMIFS($M:$M,$C:$C,$C1075,$D:$D,$D1075,$E:$E,"P0(전)"))</f>
        <v/>
      </c>
      <c r="Q1075" s="48">
        <f>IF(COUNTIFS($C:$C,$C1075,$D:$D,$D1075,$E:$E,"P0(후)",$M:$M,"&gt;0")&lt;&gt;1,"",SUMIFS($I:$I,$C:$C,$C1075,$D:$D,$D1075,$E:$E,"P0(후)"))</f>
        <v/>
      </c>
      <c r="R1075" s="31">
        <f>IF(COUNTIFS($C:$C,$C1075,$D:$D,$D1075,$E:$E,"P0(후)",$M:$M,"&gt;0")&lt;&gt;1,"",SUMIFS($M:$M,$C:$C,$C1075,$D:$D,$D1075,$E:$E,"P0(후)"))</f>
        <v/>
      </c>
      <c r="S1075" s="31">
        <f>IF(N1075&lt;&gt;"OK","",P1075+(R1075-P1075)*(I1075-O1075)/(Q1075-O1075))</f>
        <v/>
      </c>
      <c r="T1075" s="31">
        <f>IF(OR(N1075&lt;&gt;"OK",NOT(ISNUMBER(M1075))),"",M1075-S1075)</f>
        <v/>
      </c>
      <c r="U1075" s="49">
        <f>IF(OR(NOT(ISNUMBER(T1075)),IF(ISNUMBER(H1075),H1075,G1075)=0),"",T1075/IF(ISNUMBER(H1075),H1075,G1075))</f>
        <v/>
      </c>
      <c r="V1075" s="49">
        <f>IF(ISNUMBER(U1075),ABS(U1075),"")</f>
        <v/>
      </c>
      <c r="W1075" s="49">
        <f>IF(OR($E1074&lt;&gt;"측정",$C1074&lt;&gt;$C1075,$D1074&lt;&gt;$D1075,NOT(ISNUMBER(M1075)),NOT(ISNUMBER(M1074)),(IF(ISNUMBER(H1075),H1075,G1075)-IF(ISNUMBER(H1074),H1074,G1074))=0),"",(M1075-M1074)/(IF(ISNUMBER(H1075),H1075,G1075)-IF(ISNUMBER(H1074),H1074,G1074)))</f>
        <v/>
      </c>
      <c r="X1075" s="31">
        <f>IF(NOT(AND(ISNUMBER(O1075),ISNUMBER(Q1075))),"",(Q1075-O1075)*1440)</f>
        <v/>
      </c>
      <c r="Y1075" s="29" t="n"/>
      <c r="Z1075" s="29" t="n"/>
      <c r="AA1075" s="29" t="n"/>
      <c r="AB1075" s="32" t="n"/>
      <c r="AC1075" s="32" t="n"/>
    </row>
    <row r="1076">
      <c r="A1076" s="26" t="inlineStr">
        <is>
          <t>S21</t>
        </is>
      </c>
      <c r="B1076" s="26" t="inlineStr">
        <is>
          <t>담양 신규점2</t>
        </is>
      </c>
      <c r="C1076" s="26" t="inlineStr">
        <is>
          <t>S21-H남</t>
        </is>
      </c>
      <c r="D1076" s="47" t="n">
        <v>1</v>
      </c>
      <c r="E1076" s="26" t="inlineStr">
        <is>
          <t>측정</t>
        </is>
      </c>
      <c r="F1076" s="26" t="inlineStr">
        <is>
          <t>남</t>
        </is>
      </c>
      <c r="G1076" s="31" t="n">
        <v>3</v>
      </c>
      <c r="H1076" s="30" t="n"/>
      <c r="I1076" s="43" t="n"/>
      <c r="J1076" s="41" t="n"/>
      <c r="K1076" s="41" t="n"/>
      <c r="L1076" s="41" t="n"/>
      <c r="M1076" s="31">
        <f>IF(COUNT(J1076:L1076)=0,"",MEDIAN(J1076:L1076))</f>
        <v/>
      </c>
      <c r="N1076" s="26">
        <f>IF(COUNTIFS($C:$C,$C1076,$D:$D,$D1076,$E:$E,"P0(전)",$M:$M,"&gt;0")&lt;&gt;1,"P0(전) 유효 1개 아님",IF(COUNTIFS($C:$C,$C1076,$D:$D,$D1076,$E:$E,"P0(후)",$M:$M,"&gt;0")&lt;&gt;1,"P0(후) 유효 1개 아님",IF(NOT(AND(ISNUMBER(O1076),ISNUMBER(Q1076),ISNUMBER(I1076))),"시각 결측",IF(Q1076&lt;=O1076,"P0 시각 역전",IF(OR(I1076&lt;O1076,I1076&gt;Q1076),"측정시각 구간 밖","OK")))))</f>
        <v/>
      </c>
      <c r="O1076" s="48">
        <f>IF(COUNTIFS($C:$C,$C1076,$D:$D,$D1076,$E:$E,"P0(전)",$M:$M,"&gt;0")&lt;&gt;1,"",SUMIFS($I:$I,$C:$C,$C1076,$D:$D,$D1076,$E:$E,"P0(전)"))</f>
        <v/>
      </c>
      <c r="P1076" s="31">
        <f>IF(COUNTIFS($C:$C,$C1076,$D:$D,$D1076,$E:$E,"P0(전)",$M:$M,"&gt;0")&lt;&gt;1,"",SUMIFS($M:$M,$C:$C,$C1076,$D:$D,$D1076,$E:$E,"P0(전)"))</f>
        <v/>
      </c>
      <c r="Q1076" s="48">
        <f>IF(COUNTIFS($C:$C,$C1076,$D:$D,$D1076,$E:$E,"P0(후)",$M:$M,"&gt;0")&lt;&gt;1,"",SUMIFS($I:$I,$C:$C,$C1076,$D:$D,$D1076,$E:$E,"P0(후)"))</f>
        <v/>
      </c>
      <c r="R1076" s="31">
        <f>IF(COUNTIFS($C:$C,$C1076,$D:$D,$D1076,$E:$E,"P0(후)",$M:$M,"&gt;0")&lt;&gt;1,"",SUMIFS($M:$M,$C:$C,$C1076,$D:$D,$D1076,$E:$E,"P0(후)"))</f>
        <v/>
      </c>
      <c r="S1076" s="31">
        <f>IF(N1076&lt;&gt;"OK","",P1076+(R1076-P1076)*(I1076-O1076)/(Q1076-O1076))</f>
        <v/>
      </c>
      <c r="T1076" s="31">
        <f>IF(OR(N1076&lt;&gt;"OK",NOT(ISNUMBER(M1076))),"",M1076-S1076)</f>
        <v/>
      </c>
      <c r="U1076" s="49">
        <f>IF(OR(NOT(ISNUMBER(T1076)),IF(ISNUMBER(H1076),H1076,G1076)=0),"",T1076/IF(ISNUMBER(H1076),H1076,G1076))</f>
        <v/>
      </c>
      <c r="V1076" s="49">
        <f>IF(ISNUMBER(U1076),ABS(U1076),"")</f>
        <v/>
      </c>
      <c r="W1076" s="49">
        <f>IF(OR($E1075&lt;&gt;"측정",$C1075&lt;&gt;$C1076,$D1075&lt;&gt;$D1076,NOT(ISNUMBER(M1076)),NOT(ISNUMBER(M1075)),(IF(ISNUMBER(H1076),H1076,G1076)-IF(ISNUMBER(H1075),H1075,G1075))=0),"",(M1076-M1075)/(IF(ISNUMBER(H1076),H1076,G1076)-IF(ISNUMBER(H1075),H1075,G1075)))</f>
        <v/>
      </c>
      <c r="X1076" s="31">
        <f>IF(NOT(AND(ISNUMBER(O1076),ISNUMBER(Q1076))),"",(Q1076-O1076)*1440)</f>
        <v/>
      </c>
      <c r="Y1076" s="29" t="n"/>
      <c r="Z1076" s="29" t="n"/>
      <c r="AA1076" s="29" t="n"/>
      <c r="AB1076" s="32" t="n"/>
      <c r="AC1076" s="32" t="n"/>
    </row>
    <row r="1077">
      <c r="A1077" s="26" t="inlineStr">
        <is>
          <t>S21</t>
        </is>
      </c>
      <c r="B1077" s="26" t="inlineStr">
        <is>
          <t>담양 신규점2</t>
        </is>
      </c>
      <c r="C1077" s="26" t="inlineStr">
        <is>
          <t>S21-H남</t>
        </is>
      </c>
      <c r="D1077" s="47" t="n">
        <v>1</v>
      </c>
      <c r="E1077" s="26" t="inlineStr">
        <is>
          <t>측정</t>
        </is>
      </c>
      <c r="F1077" s="26" t="inlineStr">
        <is>
          <t>남</t>
        </is>
      </c>
      <c r="G1077" s="31" t="n">
        <v>4</v>
      </c>
      <c r="H1077" s="30" t="n"/>
      <c r="I1077" s="43" t="n"/>
      <c r="J1077" s="41" t="n"/>
      <c r="K1077" s="41" t="n"/>
      <c r="L1077" s="41" t="n"/>
      <c r="M1077" s="31">
        <f>IF(COUNT(J1077:L1077)=0,"",MEDIAN(J1077:L1077))</f>
        <v/>
      </c>
      <c r="N1077" s="26">
        <f>IF(COUNTIFS($C:$C,$C1077,$D:$D,$D1077,$E:$E,"P0(전)",$M:$M,"&gt;0")&lt;&gt;1,"P0(전) 유효 1개 아님",IF(COUNTIFS($C:$C,$C1077,$D:$D,$D1077,$E:$E,"P0(후)",$M:$M,"&gt;0")&lt;&gt;1,"P0(후) 유효 1개 아님",IF(NOT(AND(ISNUMBER(O1077),ISNUMBER(Q1077),ISNUMBER(I1077))),"시각 결측",IF(Q1077&lt;=O1077,"P0 시각 역전",IF(OR(I1077&lt;O1077,I1077&gt;Q1077),"측정시각 구간 밖","OK")))))</f>
        <v/>
      </c>
      <c r="O1077" s="48">
        <f>IF(COUNTIFS($C:$C,$C1077,$D:$D,$D1077,$E:$E,"P0(전)",$M:$M,"&gt;0")&lt;&gt;1,"",SUMIFS($I:$I,$C:$C,$C1077,$D:$D,$D1077,$E:$E,"P0(전)"))</f>
        <v/>
      </c>
      <c r="P1077" s="31">
        <f>IF(COUNTIFS($C:$C,$C1077,$D:$D,$D1077,$E:$E,"P0(전)",$M:$M,"&gt;0")&lt;&gt;1,"",SUMIFS($M:$M,$C:$C,$C1077,$D:$D,$D1077,$E:$E,"P0(전)"))</f>
        <v/>
      </c>
      <c r="Q1077" s="48">
        <f>IF(COUNTIFS($C:$C,$C1077,$D:$D,$D1077,$E:$E,"P0(후)",$M:$M,"&gt;0")&lt;&gt;1,"",SUMIFS($I:$I,$C:$C,$C1077,$D:$D,$D1077,$E:$E,"P0(후)"))</f>
        <v/>
      </c>
      <c r="R1077" s="31">
        <f>IF(COUNTIFS($C:$C,$C1077,$D:$D,$D1077,$E:$E,"P0(후)",$M:$M,"&gt;0")&lt;&gt;1,"",SUMIFS($M:$M,$C:$C,$C1077,$D:$D,$D1077,$E:$E,"P0(후)"))</f>
        <v/>
      </c>
      <c r="S1077" s="31">
        <f>IF(N1077&lt;&gt;"OK","",P1077+(R1077-P1077)*(I1077-O1077)/(Q1077-O1077))</f>
        <v/>
      </c>
      <c r="T1077" s="31">
        <f>IF(OR(N1077&lt;&gt;"OK",NOT(ISNUMBER(M1077))),"",M1077-S1077)</f>
        <v/>
      </c>
      <c r="U1077" s="49">
        <f>IF(OR(NOT(ISNUMBER(T1077)),IF(ISNUMBER(H1077),H1077,G1077)=0),"",T1077/IF(ISNUMBER(H1077),H1077,G1077))</f>
        <v/>
      </c>
      <c r="V1077" s="49">
        <f>IF(ISNUMBER(U1077),ABS(U1077),"")</f>
        <v/>
      </c>
      <c r="W1077" s="49">
        <f>IF(OR($E1076&lt;&gt;"측정",$C1076&lt;&gt;$C1077,$D1076&lt;&gt;$D1077,NOT(ISNUMBER(M1077)),NOT(ISNUMBER(M1076)),(IF(ISNUMBER(H1077),H1077,G1077)-IF(ISNUMBER(H1076),H1076,G1076))=0),"",(M1077-M1076)/(IF(ISNUMBER(H1077),H1077,G1077)-IF(ISNUMBER(H1076),H1076,G1076)))</f>
        <v/>
      </c>
      <c r="X1077" s="31">
        <f>IF(NOT(AND(ISNUMBER(O1077),ISNUMBER(Q1077))),"",(Q1077-O1077)*1440)</f>
        <v/>
      </c>
      <c r="Y1077" s="29" t="n"/>
      <c r="Z1077" s="29" t="n"/>
      <c r="AA1077" s="29" t="n"/>
      <c r="AB1077" s="32" t="n"/>
      <c r="AC1077" s="32" t="n"/>
    </row>
    <row r="1078">
      <c r="A1078" s="26" t="inlineStr">
        <is>
          <t>S21</t>
        </is>
      </c>
      <c r="B1078" s="26" t="inlineStr">
        <is>
          <t>담양 신규점2</t>
        </is>
      </c>
      <c r="C1078" s="26" t="inlineStr">
        <is>
          <t>S21-H남</t>
        </is>
      </c>
      <c r="D1078" s="47" t="n">
        <v>1</v>
      </c>
      <c r="E1078" s="26" t="inlineStr">
        <is>
          <t>측정</t>
        </is>
      </c>
      <c r="F1078" s="26" t="inlineStr">
        <is>
          <t>남</t>
        </is>
      </c>
      <c r="G1078" s="31" t="n">
        <v>5</v>
      </c>
      <c r="H1078" s="30" t="n"/>
      <c r="I1078" s="43" t="n"/>
      <c r="J1078" s="41" t="n"/>
      <c r="K1078" s="41" t="n"/>
      <c r="L1078" s="41" t="n"/>
      <c r="M1078" s="31">
        <f>IF(COUNT(J1078:L1078)=0,"",MEDIAN(J1078:L1078))</f>
        <v/>
      </c>
      <c r="N1078" s="26">
        <f>IF(COUNTIFS($C:$C,$C1078,$D:$D,$D1078,$E:$E,"P0(전)",$M:$M,"&gt;0")&lt;&gt;1,"P0(전) 유효 1개 아님",IF(COUNTIFS($C:$C,$C1078,$D:$D,$D1078,$E:$E,"P0(후)",$M:$M,"&gt;0")&lt;&gt;1,"P0(후) 유효 1개 아님",IF(NOT(AND(ISNUMBER(O1078),ISNUMBER(Q1078),ISNUMBER(I1078))),"시각 결측",IF(Q1078&lt;=O1078,"P0 시각 역전",IF(OR(I1078&lt;O1078,I1078&gt;Q1078),"측정시각 구간 밖","OK")))))</f>
        <v/>
      </c>
      <c r="O1078" s="48">
        <f>IF(COUNTIFS($C:$C,$C1078,$D:$D,$D1078,$E:$E,"P0(전)",$M:$M,"&gt;0")&lt;&gt;1,"",SUMIFS($I:$I,$C:$C,$C1078,$D:$D,$D1078,$E:$E,"P0(전)"))</f>
        <v/>
      </c>
      <c r="P1078" s="31">
        <f>IF(COUNTIFS($C:$C,$C1078,$D:$D,$D1078,$E:$E,"P0(전)",$M:$M,"&gt;0")&lt;&gt;1,"",SUMIFS($M:$M,$C:$C,$C1078,$D:$D,$D1078,$E:$E,"P0(전)"))</f>
        <v/>
      </c>
      <c r="Q1078" s="48">
        <f>IF(COUNTIFS($C:$C,$C1078,$D:$D,$D1078,$E:$E,"P0(후)",$M:$M,"&gt;0")&lt;&gt;1,"",SUMIFS($I:$I,$C:$C,$C1078,$D:$D,$D1078,$E:$E,"P0(후)"))</f>
        <v/>
      </c>
      <c r="R1078" s="31">
        <f>IF(COUNTIFS($C:$C,$C1078,$D:$D,$D1078,$E:$E,"P0(후)",$M:$M,"&gt;0")&lt;&gt;1,"",SUMIFS($M:$M,$C:$C,$C1078,$D:$D,$D1078,$E:$E,"P0(후)"))</f>
        <v/>
      </c>
      <c r="S1078" s="31">
        <f>IF(N1078&lt;&gt;"OK","",P1078+(R1078-P1078)*(I1078-O1078)/(Q1078-O1078))</f>
        <v/>
      </c>
      <c r="T1078" s="31">
        <f>IF(OR(N1078&lt;&gt;"OK",NOT(ISNUMBER(M1078))),"",M1078-S1078)</f>
        <v/>
      </c>
      <c r="U1078" s="49">
        <f>IF(OR(NOT(ISNUMBER(T1078)),IF(ISNUMBER(H1078),H1078,G1078)=0),"",T1078/IF(ISNUMBER(H1078),H1078,G1078))</f>
        <v/>
      </c>
      <c r="V1078" s="49">
        <f>IF(ISNUMBER(U1078),ABS(U1078),"")</f>
        <v/>
      </c>
      <c r="W1078" s="49">
        <f>IF(OR($E1077&lt;&gt;"측정",$C1077&lt;&gt;$C1078,$D1077&lt;&gt;$D1078,NOT(ISNUMBER(M1078)),NOT(ISNUMBER(M1077)),(IF(ISNUMBER(H1078),H1078,G1078)-IF(ISNUMBER(H1077),H1077,G1077))=0),"",(M1078-M1077)/(IF(ISNUMBER(H1078),H1078,G1078)-IF(ISNUMBER(H1077),H1077,G1077)))</f>
        <v/>
      </c>
      <c r="X1078" s="31">
        <f>IF(NOT(AND(ISNUMBER(O1078),ISNUMBER(Q1078))),"",(Q1078-O1078)*1440)</f>
        <v/>
      </c>
      <c r="Y1078" s="29" t="n"/>
      <c r="Z1078" s="29" t="n"/>
      <c r="AA1078" s="29" t="n"/>
      <c r="AB1078" s="32" t="n"/>
      <c r="AC1078" s="32" t="n"/>
    </row>
    <row r="1079">
      <c r="A1079" s="26" t="inlineStr">
        <is>
          <t>S21</t>
        </is>
      </c>
      <c r="B1079" s="26" t="inlineStr">
        <is>
          <t>담양 신규점2</t>
        </is>
      </c>
      <c r="C1079" s="26" t="inlineStr">
        <is>
          <t>S21-H남</t>
        </is>
      </c>
      <c r="D1079" s="47" t="n">
        <v>1</v>
      </c>
      <c r="E1079" s="26" t="inlineStr">
        <is>
          <t>측정</t>
        </is>
      </c>
      <c r="F1079" s="26" t="inlineStr">
        <is>
          <t>남</t>
        </is>
      </c>
      <c r="G1079" s="31" t="n">
        <v>6</v>
      </c>
      <c r="H1079" s="30" t="n"/>
      <c r="I1079" s="43" t="n"/>
      <c r="J1079" s="41" t="n"/>
      <c r="K1079" s="41" t="n"/>
      <c r="L1079" s="41" t="n"/>
      <c r="M1079" s="31">
        <f>IF(COUNT(J1079:L1079)=0,"",MEDIAN(J1079:L1079))</f>
        <v/>
      </c>
      <c r="N1079" s="26">
        <f>IF(COUNTIFS($C:$C,$C1079,$D:$D,$D1079,$E:$E,"P0(전)",$M:$M,"&gt;0")&lt;&gt;1,"P0(전) 유효 1개 아님",IF(COUNTIFS($C:$C,$C1079,$D:$D,$D1079,$E:$E,"P0(후)",$M:$M,"&gt;0")&lt;&gt;1,"P0(후) 유효 1개 아님",IF(NOT(AND(ISNUMBER(O1079),ISNUMBER(Q1079),ISNUMBER(I1079))),"시각 결측",IF(Q1079&lt;=O1079,"P0 시각 역전",IF(OR(I1079&lt;O1079,I1079&gt;Q1079),"측정시각 구간 밖","OK")))))</f>
        <v/>
      </c>
      <c r="O1079" s="48">
        <f>IF(COUNTIFS($C:$C,$C1079,$D:$D,$D1079,$E:$E,"P0(전)",$M:$M,"&gt;0")&lt;&gt;1,"",SUMIFS($I:$I,$C:$C,$C1079,$D:$D,$D1079,$E:$E,"P0(전)"))</f>
        <v/>
      </c>
      <c r="P1079" s="31">
        <f>IF(COUNTIFS($C:$C,$C1079,$D:$D,$D1079,$E:$E,"P0(전)",$M:$M,"&gt;0")&lt;&gt;1,"",SUMIFS($M:$M,$C:$C,$C1079,$D:$D,$D1079,$E:$E,"P0(전)"))</f>
        <v/>
      </c>
      <c r="Q1079" s="48">
        <f>IF(COUNTIFS($C:$C,$C1079,$D:$D,$D1079,$E:$E,"P0(후)",$M:$M,"&gt;0")&lt;&gt;1,"",SUMIFS($I:$I,$C:$C,$C1079,$D:$D,$D1079,$E:$E,"P0(후)"))</f>
        <v/>
      </c>
      <c r="R1079" s="31">
        <f>IF(COUNTIFS($C:$C,$C1079,$D:$D,$D1079,$E:$E,"P0(후)",$M:$M,"&gt;0")&lt;&gt;1,"",SUMIFS($M:$M,$C:$C,$C1079,$D:$D,$D1079,$E:$E,"P0(후)"))</f>
        <v/>
      </c>
      <c r="S1079" s="31">
        <f>IF(N1079&lt;&gt;"OK","",P1079+(R1079-P1079)*(I1079-O1079)/(Q1079-O1079))</f>
        <v/>
      </c>
      <c r="T1079" s="31">
        <f>IF(OR(N1079&lt;&gt;"OK",NOT(ISNUMBER(M1079))),"",M1079-S1079)</f>
        <v/>
      </c>
      <c r="U1079" s="49">
        <f>IF(OR(NOT(ISNUMBER(T1079)),IF(ISNUMBER(H1079),H1079,G1079)=0),"",T1079/IF(ISNUMBER(H1079),H1079,G1079))</f>
        <v/>
      </c>
      <c r="V1079" s="49">
        <f>IF(ISNUMBER(U1079),ABS(U1079),"")</f>
        <v/>
      </c>
      <c r="W1079" s="49">
        <f>IF(OR($E1078&lt;&gt;"측정",$C1078&lt;&gt;$C1079,$D1078&lt;&gt;$D1079,NOT(ISNUMBER(M1079)),NOT(ISNUMBER(M1078)),(IF(ISNUMBER(H1079),H1079,G1079)-IF(ISNUMBER(H1078),H1078,G1078))=0),"",(M1079-M1078)/(IF(ISNUMBER(H1079),H1079,G1079)-IF(ISNUMBER(H1078),H1078,G1078)))</f>
        <v/>
      </c>
      <c r="X1079" s="31">
        <f>IF(NOT(AND(ISNUMBER(O1079),ISNUMBER(Q1079))),"",(Q1079-O1079)*1440)</f>
        <v/>
      </c>
      <c r="Y1079" s="29" t="n"/>
      <c r="Z1079" s="29" t="n"/>
      <c r="AA1079" s="29" t="n"/>
      <c r="AB1079" s="32" t="n"/>
      <c r="AC1079" s="32" t="n"/>
    </row>
    <row r="1080">
      <c r="A1080" s="26" t="inlineStr">
        <is>
          <t>S21</t>
        </is>
      </c>
      <c r="B1080" s="26" t="inlineStr">
        <is>
          <t>담양 신규점2</t>
        </is>
      </c>
      <c r="C1080" s="26" t="inlineStr">
        <is>
          <t>S21-H남</t>
        </is>
      </c>
      <c r="D1080" s="47" t="n">
        <v>1</v>
      </c>
      <c r="E1080" s="26" t="inlineStr">
        <is>
          <t>측정</t>
        </is>
      </c>
      <c r="F1080" s="26" t="inlineStr">
        <is>
          <t>남</t>
        </is>
      </c>
      <c r="G1080" s="31" t="n">
        <v>7</v>
      </c>
      <c r="H1080" s="30" t="n"/>
      <c r="I1080" s="43" t="n"/>
      <c r="J1080" s="41" t="n"/>
      <c r="K1080" s="41" t="n"/>
      <c r="L1080" s="41" t="n"/>
      <c r="M1080" s="31">
        <f>IF(COUNT(J1080:L1080)=0,"",MEDIAN(J1080:L1080))</f>
        <v/>
      </c>
      <c r="N1080" s="26">
        <f>IF(COUNTIFS($C:$C,$C1080,$D:$D,$D1080,$E:$E,"P0(전)",$M:$M,"&gt;0")&lt;&gt;1,"P0(전) 유효 1개 아님",IF(COUNTIFS($C:$C,$C1080,$D:$D,$D1080,$E:$E,"P0(후)",$M:$M,"&gt;0")&lt;&gt;1,"P0(후) 유효 1개 아님",IF(NOT(AND(ISNUMBER(O1080),ISNUMBER(Q1080),ISNUMBER(I1080))),"시각 결측",IF(Q1080&lt;=O1080,"P0 시각 역전",IF(OR(I1080&lt;O1080,I1080&gt;Q1080),"측정시각 구간 밖","OK")))))</f>
        <v/>
      </c>
      <c r="O1080" s="48">
        <f>IF(COUNTIFS($C:$C,$C1080,$D:$D,$D1080,$E:$E,"P0(전)",$M:$M,"&gt;0")&lt;&gt;1,"",SUMIFS($I:$I,$C:$C,$C1080,$D:$D,$D1080,$E:$E,"P0(전)"))</f>
        <v/>
      </c>
      <c r="P1080" s="31">
        <f>IF(COUNTIFS($C:$C,$C1080,$D:$D,$D1080,$E:$E,"P0(전)",$M:$M,"&gt;0")&lt;&gt;1,"",SUMIFS($M:$M,$C:$C,$C1080,$D:$D,$D1080,$E:$E,"P0(전)"))</f>
        <v/>
      </c>
      <c r="Q1080" s="48">
        <f>IF(COUNTIFS($C:$C,$C1080,$D:$D,$D1080,$E:$E,"P0(후)",$M:$M,"&gt;0")&lt;&gt;1,"",SUMIFS($I:$I,$C:$C,$C1080,$D:$D,$D1080,$E:$E,"P0(후)"))</f>
        <v/>
      </c>
      <c r="R1080" s="31">
        <f>IF(COUNTIFS($C:$C,$C1080,$D:$D,$D1080,$E:$E,"P0(후)",$M:$M,"&gt;0")&lt;&gt;1,"",SUMIFS($M:$M,$C:$C,$C1080,$D:$D,$D1080,$E:$E,"P0(후)"))</f>
        <v/>
      </c>
      <c r="S1080" s="31">
        <f>IF(N1080&lt;&gt;"OK","",P1080+(R1080-P1080)*(I1080-O1080)/(Q1080-O1080))</f>
        <v/>
      </c>
      <c r="T1080" s="31">
        <f>IF(OR(N1080&lt;&gt;"OK",NOT(ISNUMBER(M1080))),"",M1080-S1080)</f>
        <v/>
      </c>
      <c r="U1080" s="49">
        <f>IF(OR(NOT(ISNUMBER(T1080)),IF(ISNUMBER(H1080),H1080,G1080)=0),"",T1080/IF(ISNUMBER(H1080),H1080,G1080))</f>
        <v/>
      </c>
      <c r="V1080" s="49">
        <f>IF(ISNUMBER(U1080),ABS(U1080),"")</f>
        <v/>
      </c>
      <c r="W1080" s="49">
        <f>IF(OR($E1079&lt;&gt;"측정",$C1079&lt;&gt;$C1080,$D1079&lt;&gt;$D1080,NOT(ISNUMBER(M1080)),NOT(ISNUMBER(M1079)),(IF(ISNUMBER(H1080),H1080,G1080)-IF(ISNUMBER(H1079),H1079,G1079))=0),"",(M1080-M1079)/(IF(ISNUMBER(H1080),H1080,G1080)-IF(ISNUMBER(H1079),H1079,G1079)))</f>
        <v/>
      </c>
      <c r="X1080" s="31">
        <f>IF(NOT(AND(ISNUMBER(O1080),ISNUMBER(Q1080))),"",(Q1080-O1080)*1440)</f>
        <v/>
      </c>
      <c r="Y1080" s="29" t="n"/>
      <c r="Z1080" s="29" t="n"/>
      <c r="AA1080" s="29" t="n"/>
      <c r="AB1080" s="32" t="n"/>
      <c r="AC1080" s="32" t="n"/>
    </row>
    <row r="1081">
      <c r="A1081" s="26" t="inlineStr">
        <is>
          <t>S21</t>
        </is>
      </c>
      <c r="B1081" s="26" t="inlineStr">
        <is>
          <t>담양 신규점2</t>
        </is>
      </c>
      <c r="C1081" s="26" t="inlineStr">
        <is>
          <t>S21-H남</t>
        </is>
      </c>
      <c r="D1081" s="47" t="n">
        <v>1</v>
      </c>
      <c r="E1081" s="26" t="inlineStr">
        <is>
          <t>측정</t>
        </is>
      </c>
      <c r="F1081" s="26" t="inlineStr">
        <is>
          <t>남</t>
        </is>
      </c>
      <c r="G1081" s="31" t="n">
        <v>8</v>
      </c>
      <c r="H1081" s="30" t="n"/>
      <c r="I1081" s="43" t="n"/>
      <c r="J1081" s="41" t="n"/>
      <c r="K1081" s="41" t="n"/>
      <c r="L1081" s="41" t="n"/>
      <c r="M1081" s="31">
        <f>IF(COUNT(J1081:L1081)=0,"",MEDIAN(J1081:L1081))</f>
        <v/>
      </c>
      <c r="N1081" s="26">
        <f>IF(COUNTIFS($C:$C,$C1081,$D:$D,$D1081,$E:$E,"P0(전)",$M:$M,"&gt;0")&lt;&gt;1,"P0(전) 유효 1개 아님",IF(COUNTIFS($C:$C,$C1081,$D:$D,$D1081,$E:$E,"P0(후)",$M:$M,"&gt;0")&lt;&gt;1,"P0(후) 유효 1개 아님",IF(NOT(AND(ISNUMBER(O1081),ISNUMBER(Q1081),ISNUMBER(I1081))),"시각 결측",IF(Q1081&lt;=O1081,"P0 시각 역전",IF(OR(I1081&lt;O1081,I1081&gt;Q1081),"측정시각 구간 밖","OK")))))</f>
        <v/>
      </c>
      <c r="O1081" s="48">
        <f>IF(COUNTIFS($C:$C,$C1081,$D:$D,$D1081,$E:$E,"P0(전)",$M:$M,"&gt;0")&lt;&gt;1,"",SUMIFS($I:$I,$C:$C,$C1081,$D:$D,$D1081,$E:$E,"P0(전)"))</f>
        <v/>
      </c>
      <c r="P1081" s="31">
        <f>IF(COUNTIFS($C:$C,$C1081,$D:$D,$D1081,$E:$E,"P0(전)",$M:$M,"&gt;0")&lt;&gt;1,"",SUMIFS($M:$M,$C:$C,$C1081,$D:$D,$D1081,$E:$E,"P0(전)"))</f>
        <v/>
      </c>
      <c r="Q1081" s="48">
        <f>IF(COUNTIFS($C:$C,$C1081,$D:$D,$D1081,$E:$E,"P0(후)",$M:$M,"&gt;0")&lt;&gt;1,"",SUMIFS($I:$I,$C:$C,$C1081,$D:$D,$D1081,$E:$E,"P0(후)"))</f>
        <v/>
      </c>
      <c r="R1081" s="31">
        <f>IF(COUNTIFS($C:$C,$C1081,$D:$D,$D1081,$E:$E,"P0(후)",$M:$M,"&gt;0")&lt;&gt;1,"",SUMIFS($M:$M,$C:$C,$C1081,$D:$D,$D1081,$E:$E,"P0(후)"))</f>
        <v/>
      </c>
      <c r="S1081" s="31">
        <f>IF(N1081&lt;&gt;"OK","",P1081+(R1081-P1081)*(I1081-O1081)/(Q1081-O1081))</f>
        <v/>
      </c>
      <c r="T1081" s="31">
        <f>IF(OR(N1081&lt;&gt;"OK",NOT(ISNUMBER(M1081))),"",M1081-S1081)</f>
        <v/>
      </c>
      <c r="U1081" s="49">
        <f>IF(OR(NOT(ISNUMBER(T1081)),IF(ISNUMBER(H1081),H1081,G1081)=0),"",T1081/IF(ISNUMBER(H1081),H1081,G1081))</f>
        <v/>
      </c>
      <c r="V1081" s="49">
        <f>IF(ISNUMBER(U1081),ABS(U1081),"")</f>
        <v/>
      </c>
      <c r="W1081" s="49">
        <f>IF(OR($E1080&lt;&gt;"측정",$C1080&lt;&gt;$C1081,$D1080&lt;&gt;$D1081,NOT(ISNUMBER(M1081)),NOT(ISNUMBER(M1080)),(IF(ISNUMBER(H1081),H1081,G1081)-IF(ISNUMBER(H1080),H1080,G1080))=0),"",(M1081-M1080)/(IF(ISNUMBER(H1081),H1081,G1081)-IF(ISNUMBER(H1080),H1080,G1080)))</f>
        <v/>
      </c>
      <c r="X1081" s="31">
        <f>IF(NOT(AND(ISNUMBER(O1081),ISNUMBER(Q1081))),"",(Q1081-O1081)*1440)</f>
        <v/>
      </c>
      <c r="Y1081" s="29" t="n"/>
      <c r="Z1081" s="29" t="n"/>
      <c r="AA1081" s="29" t="n"/>
      <c r="AB1081" s="32" t="n"/>
      <c r="AC1081" s="32" t="n"/>
    </row>
    <row r="1082">
      <c r="A1082" s="26" t="inlineStr">
        <is>
          <t>S21</t>
        </is>
      </c>
      <c r="B1082" s="26" t="inlineStr">
        <is>
          <t>담양 신규점2</t>
        </is>
      </c>
      <c r="C1082" s="26" t="inlineStr">
        <is>
          <t>S21-H남</t>
        </is>
      </c>
      <c r="D1082" s="47" t="n">
        <v>1</v>
      </c>
      <c r="E1082" s="26" t="inlineStr">
        <is>
          <t>측정</t>
        </is>
      </c>
      <c r="F1082" s="26" t="inlineStr">
        <is>
          <t>남</t>
        </is>
      </c>
      <c r="G1082" s="31" t="n">
        <v>9</v>
      </c>
      <c r="H1082" s="30" t="n"/>
      <c r="I1082" s="43" t="n"/>
      <c r="J1082" s="41" t="n"/>
      <c r="K1082" s="41" t="n"/>
      <c r="L1082" s="41" t="n"/>
      <c r="M1082" s="31">
        <f>IF(COUNT(J1082:L1082)=0,"",MEDIAN(J1082:L1082))</f>
        <v/>
      </c>
      <c r="N1082" s="26">
        <f>IF(COUNTIFS($C:$C,$C1082,$D:$D,$D1082,$E:$E,"P0(전)",$M:$M,"&gt;0")&lt;&gt;1,"P0(전) 유효 1개 아님",IF(COUNTIFS($C:$C,$C1082,$D:$D,$D1082,$E:$E,"P0(후)",$M:$M,"&gt;0")&lt;&gt;1,"P0(후) 유효 1개 아님",IF(NOT(AND(ISNUMBER(O1082),ISNUMBER(Q1082),ISNUMBER(I1082))),"시각 결측",IF(Q1082&lt;=O1082,"P0 시각 역전",IF(OR(I1082&lt;O1082,I1082&gt;Q1082),"측정시각 구간 밖","OK")))))</f>
        <v/>
      </c>
      <c r="O1082" s="48">
        <f>IF(COUNTIFS($C:$C,$C1082,$D:$D,$D1082,$E:$E,"P0(전)",$M:$M,"&gt;0")&lt;&gt;1,"",SUMIFS($I:$I,$C:$C,$C1082,$D:$D,$D1082,$E:$E,"P0(전)"))</f>
        <v/>
      </c>
      <c r="P1082" s="31">
        <f>IF(COUNTIFS($C:$C,$C1082,$D:$D,$D1082,$E:$E,"P0(전)",$M:$M,"&gt;0")&lt;&gt;1,"",SUMIFS($M:$M,$C:$C,$C1082,$D:$D,$D1082,$E:$E,"P0(전)"))</f>
        <v/>
      </c>
      <c r="Q1082" s="48">
        <f>IF(COUNTIFS($C:$C,$C1082,$D:$D,$D1082,$E:$E,"P0(후)",$M:$M,"&gt;0")&lt;&gt;1,"",SUMIFS($I:$I,$C:$C,$C1082,$D:$D,$D1082,$E:$E,"P0(후)"))</f>
        <v/>
      </c>
      <c r="R1082" s="31">
        <f>IF(COUNTIFS($C:$C,$C1082,$D:$D,$D1082,$E:$E,"P0(후)",$M:$M,"&gt;0")&lt;&gt;1,"",SUMIFS($M:$M,$C:$C,$C1082,$D:$D,$D1082,$E:$E,"P0(후)"))</f>
        <v/>
      </c>
      <c r="S1082" s="31">
        <f>IF(N1082&lt;&gt;"OK","",P1082+(R1082-P1082)*(I1082-O1082)/(Q1082-O1082))</f>
        <v/>
      </c>
      <c r="T1082" s="31">
        <f>IF(OR(N1082&lt;&gt;"OK",NOT(ISNUMBER(M1082))),"",M1082-S1082)</f>
        <v/>
      </c>
      <c r="U1082" s="49">
        <f>IF(OR(NOT(ISNUMBER(T1082)),IF(ISNUMBER(H1082),H1082,G1082)=0),"",T1082/IF(ISNUMBER(H1082),H1082,G1082))</f>
        <v/>
      </c>
      <c r="V1082" s="49">
        <f>IF(ISNUMBER(U1082),ABS(U1082),"")</f>
        <v/>
      </c>
      <c r="W1082" s="49">
        <f>IF(OR($E1081&lt;&gt;"측정",$C1081&lt;&gt;$C1082,$D1081&lt;&gt;$D1082,NOT(ISNUMBER(M1082)),NOT(ISNUMBER(M1081)),(IF(ISNUMBER(H1082),H1082,G1082)-IF(ISNUMBER(H1081),H1081,G1081))=0),"",(M1082-M1081)/(IF(ISNUMBER(H1082),H1082,G1082)-IF(ISNUMBER(H1081),H1081,G1081)))</f>
        <v/>
      </c>
      <c r="X1082" s="31">
        <f>IF(NOT(AND(ISNUMBER(O1082),ISNUMBER(Q1082))),"",(Q1082-O1082)*1440)</f>
        <v/>
      </c>
      <c r="Y1082" s="29" t="n"/>
      <c r="Z1082" s="29" t="n"/>
      <c r="AA1082" s="29" t="n"/>
      <c r="AB1082" s="32" t="n"/>
      <c r="AC1082" s="32" t="n"/>
    </row>
    <row r="1083">
      <c r="A1083" s="26" t="inlineStr">
        <is>
          <t>S21</t>
        </is>
      </c>
      <c r="B1083" s="26" t="inlineStr">
        <is>
          <t>담양 신규점2</t>
        </is>
      </c>
      <c r="C1083" s="26" t="inlineStr">
        <is>
          <t>S21-H남</t>
        </is>
      </c>
      <c r="D1083" s="47" t="n">
        <v>1</v>
      </c>
      <c r="E1083" s="26" t="inlineStr">
        <is>
          <t>측정</t>
        </is>
      </c>
      <c r="F1083" s="26" t="inlineStr">
        <is>
          <t>남</t>
        </is>
      </c>
      <c r="G1083" s="31" t="n">
        <v>10</v>
      </c>
      <c r="H1083" s="30" t="n"/>
      <c r="I1083" s="43" t="n"/>
      <c r="J1083" s="41" t="n"/>
      <c r="K1083" s="41" t="n"/>
      <c r="L1083" s="41" t="n"/>
      <c r="M1083" s="31">
        <f>IF(COUNT(J1083:L1083)=0,"",MEDIAN(J1083:L1083))</f>
        <v/>
      </c>
      <c r="N1083" s="26">
        <f>IF(COUNTIFS($C:$C,$C1083,$D:$D,$D1083,$E:$E,"P0(전)",$M:$M,"&gt;0")&lt;&gt;1,"P0(전) 유효 1개 아님",IF(COUNTIFS($C:$C,$C1083,$D:$D,$D1083,$E:$E,"P0(후)",$M:$M,"&gt;0")&lt;&gt;1,"P0(후) 유효 1개 아님",IF(NOT(AND(ISNUMBER(O1083),ISNUMBER(Q1083),ISNUMBER(I1083))),"시각 결측",IF(Q1083&lt;=O1083,"P0 시각 역전",IF(OR(I1083&lt;O1083,I1083&gt;Q1083),"측정시각 구간 밖","OK")))))</f>
        <v/>
      </c>
      <c r="O1083" s="48">
        <f>IF(COUNTIFS($C:$C,$C1083,$D:$D,$D1083,$E:$E,"P0(전)",$M:$M,"&gt;0")&lt;&gt;1,"",SUMIFS($I:$I,$C:$C,$C1083,$D:$D,$D1083,$E:$E,"P0(전)"))</f>
        <v/>
      </c>
      <c r="P1083" s="31">
        <f>IF(COUNTIFS($C:$C,$C1083,$D:$D,$D1083,$E:$E,"P0(전)",$M:$M,"&gt;0")&lt;&gt;1,"",SUMIFS($M:$M,$C:$C,$C1083,$D:$D,$D1083,$E:$E,"P0(전)"))</f>
        <v/>
      </c>
      <c r="Q1083" s="48">
        <f>IF(COUNTIFS($C:$C,$C1083,$D:$D,$D1083,$E:$E,"P0(후)",$M:$M,"&gt;0")&lt;&gt;1,"",SUMIFS($I:$I,$C:$C,$C1083,$D:$D,$D1083,$E:$E,"P0(후)"))</f>
        <v/>
      </c>
      <c r="R1083" s="31">
        <f>IF(COUNTIFS($C:$C,$C1083,$D:$D,$D1083,$E:$E,"P0(후)",$M:$M,"&gt;0")&lt;&gt;1,"",SUMIFS($M:$M,$C:$C,$C1083,$D:$D,$D1083,$E:$E,"P0(후)"))</f>
        <v/>
      </c>
      <c r="S1083" s="31">
        <f>IF(N1083&lt;&gt;"OK","",P1083+(R1083-P1083)*(I1083-O1083)/(Q1083-O1083))</f>
        <v/>
      </c>
      <c r="T1083" s="31">
        <f>IF(OR(N1083&lt;&gt;"OK",NOT(ISNUMBER(M1083))),"",M1083-S1083)</f>
        <v/>
      </c>
      <c r="U1083" s="49">
        <f>IF(OR(NOT(ISNUMBER(T1083)),IF(ISNUMBER(H1083),H1083,G1083)=0),"",T1083/IF(ISNUMBER(H1083),H1083,G1083))</f>
        <v/>
      </c>
      <c r="V1083" s="49">
        <f>IF(ISNUMBER(U1083),ABS(U1083),"")</f>
        <v/>
      </c>
      <c r="W1083" s="49">
        <f>IF(OR($E1082&lt;&gt;"측정",$C1082&lt;&gt;$C1083,$D1082&lt;&gt;$D1083,NOT(ISNUMBER(M1083)),NOT(ISNUMBER(M1082)),(IF(ISNUMBER(H1083),H1083,G1083)-IF(ISNUMBER(H1082),H1082,G1082))=0),"",(M1083-M1082)/(IF(ISNUMBER(H1083),H1083,G1083)-IF(ISNUMBER(H1082),H1082,G1082)))</f>
        <v/>
      </c>
      <c r="X1083" s="31">
        <f>IF(NOT(AND(ISNUMBER(O1083),ISNUMBER(Q1083))),"",(Q1083-O1083)*1440)</f>
        <v/>
      </c>
      <c r="Y1083" s="29" t="n"/>
      <c r="Z1083" s="29" t="n"/>
      <c r="AA1083" s="29" t="n"/>
      <c r="AB1083" s="32" t="n"/>
      <c r="AC1083" s="32" t="n"/>
    </row>
    <row r="1084">
      <c r="A1084" s="44" t="inlineStr">
        <is>
          <t>S21</t>
        </is>
      </c>
      <c r="B1084" s="44" t="inlineStr">
        <is>
          <t>담양 신규점2</t>
        </is>
      </c>
      <c r="C1084" s="44" t="inlineStr">
        <is>
          <t>S21-H남</t>
        </is>
      </c>
      <c r="D1084" s="45" t="n">
        <v>1</v>
      </c>
      <c r="E1084" s="44" t="inlineStr">
        <is>
          <t>P0(후)</t>
        </is>
      </c>
      <c r="F1084" s="44" t="inlineStr">
        <is>
          <t>남</t>
        </is>
      </c>
      <c r="G1084" s="46" t="n"/>
      <c r="H1084" s="30" t="n"/>
      <c r="I1084" s="43" t="n"/>
      <c r="J1084" s="41" t="n"/>
      <c r="K1084" s="41" t="n"/>
      <c r="L1084" s="41" t="n"/>
      <c r="M1084" s="31">
        <f>IF(COUNT(J1084:L1084)=0,"",MEDIAN(J1084:L1084))</f>
        <v/>
      </c>
      <c r="N1084" s="38" t="n"/>
      <c r="O1084" s="38" t="n"/>
      <c r="P1084" s="38" t="n"/>
      <c r="Q1084" s="38" t="n"/>
      <c r="R1084" s="38" t="n"/>
      <c r="S1084" s="38" t="n"/>
      <c r="T1084" s="38" t="n"/>
      <c r="U1084" s="38" t="n"/>
      <c r="V1084" s="38" t="n"/>
      <c r="W1084" s="38" t="n"/>
      <c r="X1084" s="38" t="n"/>
      <c r="Y1084" s="29" t="n"/>
      <c r="Z1084" s="29" t="n"/>
      <c r="AA1084" s="29" t="n"/>
      <c r="AB1084" s="32" t="n"/>
      <c r="AC1084" s="32" t="n"/>
    </row>
    <row r="1085">
      <c r="A1085" s="44" t="inlineStr">
        <is>
          <t>S21</t>
        </is>
      </c>
      <c r="B1085" s="44" t="inlineStr">
        <is>
          <t>담양 신규점2</t>
        </is>
      </c>
      <c r="C1085" s="44" t="inlineStr">
        <is>
          <t>S21-H북</t>
        </is>
      </c>
      <c r="D1085" s="45" t="n">
        <v>1</v>
      </c>
      <c r="E1085" s="44" t="inlineStr">
        <is>
          <t>P0(전)</t>
        </is>
      </c>
      <c r="F1085" s="44" t="inlineStr">
        <is>
          <t>북</t>
        </is>
      </c>
      <c r="G1085" s="46" t="n"/>
      <c r="H1085" s="30" t="n"/>
      <c r="I1085" s="43" t="n"/>
      <c r="J1085" s="41" t="n"/>
      <c r="K1085" s="41" t="n"/>
      <c r="L1085" s="41" t="n"/>
      <c r="M1085" s="31">
        <f>IF(COUNT(J1085:L1085)=0,"",MEDIAN(J1085:L1085))</f>
        <v/>
      </c>
      <c r="N1085" s="38" t="n"/>
      <c r="O1085" s="38" t="n"/>
      <c r="P1085" s="38" t="n"/>
      <c r="Q1085" s="38" t="n"/>
      <c r="R1085" s="38" t="n"/>
      <c r="S1085" s="38" t="n"/>
      <c r="T1085" s="38" t="n"/>
      <c r="U1085" s="38" t="n"/>
      <c r="V1085" s="38" t="n"/>
      <c r="W1085" s="38" t="n"/>
      <c r="X1085" s="38" t="n"/>
      <c r="Y1085" s="29" t="n"/>
      <c r="Z1085" s="29" t="n"/>
      <c r="AA1085" s="29" t="n"/>
      <c r="AB1085" s="32" t="n"/>
      <c r="AC1085" s="32" t="n"/>
    </row>
    <row r="1086">
      <c r="A1086" s="26" t="inlineStr">
        <is>
          <t>S21</t>
        </is>
      </c>
      <c r="B1086" s="26" t="inlineStr">
        <is>
          <t>담양 신규점2</t>
        </is>
      </c>
      <c r="C1086" s="26" t="inlineStr">
        <is>
          <t>S21-H북</t>
        </is>
      </c>
      <c r="D1086" s="47" t="n">
        <v>1</v>
      </c>
      <c r="E1086" s="26" t="inlineStr">
        <is>
          <t>측정</t>
        </is>
      </c>
      <c r="F1086" s="26" t="inlineStr">
        <is>
          <t>북</t>
        </is>
      </c>
      <c r="G1086" s="31" t="n">
        <v>0.5</v>
      </c>
      <c r="H1086" s="30" t="n"/>
      <c r="I1086" s="43" t="n"/>
      <c r="J1086" s="41" t="n"/>
      <c r="K1086" s="41" t="n"/>
      <c r="L1086" s="41" t="n"/>
      <c r="M1086" s="31">
        <f>IF(COUNT(J1086:L1086)=0,"",MEDIAN(J1086:L1086))</f>
        <v/>
      </c>
      <c r="N1086" s="26">
        <f>IF(COUNTIFS($C:$C,$C1086,$D:$D,$D1086,$E:$E,"P0(전)",$M:$M,"&gt;0")&lt;&gt;1,"P0(전) 유효 1개 아님",IF(COUNTIFS($C:$C,$C1086,$D:$D,$D1086,$E:$E,"P0(후)",$M:$M,"&gt;0")&lt;&gt;1,"P0(후) 유효 1개 아님",IF(NOT(AND(ISNUMBER(O1086),ISNUMBER(Q1086),ISNUMBER(I1086))),"시각 결측",IF(Q1086&lt;=O1086,"P0 시각 역전",IF(OR(I1086&lt;O1086,I1086&gt;Q1086),"측정시각 구간 밖","OK")))))</f>
        <v/>
      </c>
      <c r="O1086" s="48">
        <f>IF(COUNTIFS($C:$C,$C1086,$D:$D,$D1086,$E:$E,"P0(전)",$M:$M,"&gt;0")&lt;&gt;1,"",SUMIFS($I:$I,$C:$C,$C1086,$D:$D,$D1086,$E:$E,"P0(전)"))</f>
        <v/>
      </c>
      <c r="P1086" s="31">
        <f>IF(COUNTIFS($C:$C,$C1086,$D:$D,$D1086,$E:$E,"P0(전)",$M:$M,"&gt;0")&lt;&gt;1,"",SUMIFS($M:$M,$C:$C,$C1086,$D:$D,$D1086,$E:$E,"P0(전)"))</f>
        <v/>
      </c>
      <c r="Q1086" s="48">
        <f>IF(COUNTIFS($C:$C,$C1086,$D:$D,$D1086,$E:$E,"P0(후)",$M:$M,"&gt;0")&lt;&gt;1,"",SUMIFS($I:$I,$C:$C,$C1086,$D:$D,$D1086,$E:$E,"P0(후)"))</f>
        <v/>
      </c>
      <c r="R1086" s="31">
        <f>IF(COUNTIFS($C:$C,$C1086,$D:$D,$D1086,$E:$E,"P0(후)",$M:$M,"&gt;0")&lt;&gt;1,"",SUMIFS($M:$M,$C:$C,$C1086,$D:$D,$D1086,$E:$E,"P0(후)"))</f>
        <v/>
      </c>
      <c r="S1086" s="31">
        <f>IF(N1086&lt;&gt;"OK","",P1086+(R1086-P1086)*(I1086-O1086)/(Q1086-O1086))</f>
        <v/>
      </c>
      <c r="T1086" s="31">
        <f>IF(OR(N1086&lt;&gt;"OK",NOT(ISNUMBER(M1086))),"",M1086-S1086)</f>
        <v/>
      </c>
      <c r="U1086" s="49">
        <f>IF(OR(NOT(ISNUMBER(T1086)),IF(ISNUMBER(H1086),H1086,G1086)=0),"",T1086/IF(ISNUMBER(H1086),H1086,G1086))</f>
        <v/>
      </c>
      <c r="V1086" s="49">
        <f>IF(ISNUMBER(U1086),ABS(U1086),"")</f>
        <v/>
      </c>
      <c r="W1086" s="49">
        <f>IF(OR($E1085&lt;&gt;"측정",$C1085&lt;&gt;$C1086,$D1085&lt;&gt;$D1086,NOT(ISNUMBER(M1086)),NOT(ISNUMBER(M1085)),(IF(ISNUMBER(H1086),H1086,G1086)-IF(ISNUMBER(H1085),H1085,G1085))=0),"",(M1086-M1085)/(IF(ISNUMBER(H1086),H1086,G1086)-IF(ISNUMBER(H1085),H1085,G1085)))</f>
        <v/>
      </c>
      <c r="X1086" s="31">
        <f>IF(NOT(AND(ISNUMBER(O1086),ISNUMBER(Q1086))),"",(Q1086-O1086)*1440)</f>
        <v/>
      </c>
      <c r="Y1086" s="29" t="n"/>
      <c r="Z1086" s="29" t="n"/>
      <c r="AA1086" s="29" t="n"/>
      <c r="AB1086" s="32" t="n"/>
      <c r="AC1086" s="32" t="n"/>
    </row>
    <row r="1087">
      <c r="A1087" s="26" t="inlineStr">
        <is>
          <t>S21</t>
        </is>
      </c>
      <c r="B1087" s="26" t="inlineStr">
        <is>
          <t>담양 신규점2</t>
        </is>
      </c>
      <c r="C1087" s="26" t="inlineStr">
        <is>
          <t>S21-H북</t>
        </is>
      </c>
      <c r="D1087" s="47" t="n">
        <v>1</v>
      </c>
      <c r="E1087" s="26" t="inlineStr">
        <is>
          <t>측정</t>
        </is>
      </c>
      <c r="F1087" s="26" t="inlineStr">
        <is>
          <t>북</t>
        </is>
      </c>
      <c r="G1087" s="31" t="n">
        <v>1</v>
      </c>
      <c r="H1087" s="30" t="n"/>
      <c r="I1087" s="43" t="n"/>
      <c r="J1087" s="41" t="n"/>
      <c r="K1087" s="41" t="n"/>
      <c r="L1087" s="41" t="n"/>
      <c r="M1087" s="31">
        <f>IF(COUNT(J1087:L1087)=0,"",MEDIAN(J1087:L1087))</f>
        <v/>
      </c>
      <c r="N1087" s="26">
        <f>IF(COUNTIFS($C:$C,$C1087,$D:$D,$D1087,$E:$E,"P0(전)",$M:$M,"&gt;0")&lt;&gt;1,"P0(전) 유효 1개 아님",IF(COUNTIFS($C:$C,$C1087,$D:$D,$D1087,$E:$E,"P0(후)",$M:$M,"&gt;0")&lt;&gt;1,"P0(후) 유효 1개 아님",IF(NOT(AND(ISNUMBER(O1087),ISNUMBER(Q1087),ISNUMBER(I1087))),"시각 결측",IF(Q1087&lt;=O1087,"P0 시각 역전",IF(OR(I1087&lt;O1087,I1087&gt;Q1087),"측정시각 구간 밖","OK")))))</f>
        <v/>
      </c>
      <c r="O1087" s="48">
        <f>IF(COUNTIFS($C:$C,$C1087,$D:$D,$D1087,$E:$E,"P0(전)",$M:$M,"&gt;0")&lt;&gt;1,"",SUMIFS($I:$I,$C:$C,$C1087,$D:$D,$D1087,$E:$E,"P0(전)"))</f>
        <v/>
      </c>
      <c r="P1087" s="31">
        <f>IF(COUNTIFS($C:$C,$C1087,$D:$D,$D1087,$E:$E,"P0(전)",$M:$M,"&gt;0")&lt;&gt;1,"",SUMIFS($M:$M,$C:$C,$C1087,$D:$D,$D1087,$E:$E,"P0(전)"))</f>
        <v/>
      </c>
      <c r="Q1087" s="48">
        <f>IF(COUNTIFS($C:$C,$C1087,$D:$D,$D1087,$E:$E,"P0(후)",$M:$M,"&gt;0")&lt;&gt;1,"",SUMIFS($I:$I,$C:$C,$C1087,$D:$D,$D1087,$E:$E,"P0(후)"))</f>
        <v/>
      </c>
      <c r="R1087" s="31">
        <f>IF(COUNTIFS($C:$C,$C1087,$D:$D,$D1087,$E:$E,"P0(후)",$M:$M,"&gt;0")&lt;&gt;1,"",SUMIFS($M:$M,$C:$C,$C1087,$D:$D,$D1087,$E:$E,"P0(후)"))</f>
        <v/>
      </c>
      <c r="S1087" s="31">
        <f>IF(N1087&lt;&gt;"OK","",P1087+(R1087-P1087)*(I1087-O1087)/(Q1087-O1087))</f>
        <v/>
      </c>
      <c r="T1087" s="31">
        <f>IF(OR(N1087&lt;&gt;"OK",NOT(ISNUMBER(M1087))),"",M1087-S1087)</f>
        <v/>
      </c>
      <c r="U1087" s="49">
        <f>IF(OR(NOT(ISNUMBER(T1087)),IF(ISNUMBER(H1087),H1087,G1087)=0),"",T1087/IF(ISNUMBER(H1087),H1087,G1087))</f>
        <v/>
      </c>
      <c r="V1087" s="49">
        <f>IF(ISNUMBER(U1087),ABS(U1087),"")</f>
        <v/>
      </c>
      <c r="W1087" s="49">
        <f>IF(OR($E1086&lt;&gt;"측정",$C1086&lt;&gt;$C1087,$D1086&lt;&gt;$D1087,NOT(ISNUMBER(M1087)),NOT(ISNUMBER(M1086)),(IF(ISNUMBER(H1087),H1087,G1087)-IF(ISNUMBER(H1086),H1086,G1086))=0),"",(M1087-M1086)/(IF(ISNUMBER(H1087),H1087,G1087)-IF(ISNUMBER(H1086),H1086,G1086)))</f>
        <v/>
      </c>
      <c r="X1087" s="31">
        <f>IF(NOT(AND(ISNUMBER(O1087),ISNUMBER(Q1087))),"",(Q1087-O1087)*1440)</f>
        <v/>
      </c>
      <c r="Y1087" s="29" t="n"/>
      <c r="Z1087" s="29" t="n"/>
      <c r="AA1087" s="29" t="n"/>
      <c r="AB1087" s="32" t="n"/>
      <c r="AC1087" s="32" t="n"/>
    </row>
    <row r="1088">
      <c r="A1088" s="26" t="inlineStr">
        <is>
          <t>S21</t>
        </is>
      </c>
      <c r="B1088" s="26" t="inlineStr">
        <is>
          <t>담양 신규점2</t>
        </is>
      </c>
      <c r="C1088" s="26" t="inlineStr">
        <is>
          <t>S21-H북</t>
        </is>
      </c>
      <c r="D1088" s="47" t="n">
        <v>1</v>
      </c>
      <c r="E1088" s="26" t="inlineStr">
        <is>
          <t>측정</t>
        </is>
      </c>
      <c r="F1088" s="26" t="inlineStr">
        <is>
          <t>북</t>
        </is>
      </c>
      <c r="G1088" s="31" t="n">
        <v>2</v>
      </c>
      <c r="H1088" s="30" t="n"/>
      <c r="I1088" s="43" t="n"/>
      <c r="J1088" s="41" t="n"/>
      <c r="K1088" s="41" t="n"/>
      <c r="L1088" s="41" t="n"/>
      <c r="M1088" s="31">
        <f>IF(COUNT(J1088:L1088)=0,"",MEDIAN(J1088:L1088))</f>
        <v/>
      </c>
      <c r="N1088" s="26">
        <f>IF(COUNTIFS($C:$C,$C1088,$D:$D,$D1088,$E:$E,"P0(전)",$M:$M,"&gt;0")&lt;&gt;1,"P0(전) 유효 1개 아님",IF(COUNTIFS($C:$C,$C1088,$D:$D,$D1088,$E:$E,"P0(후)",$M:$M,"&gt;0")&lt;&gt;1,"P0(후) 유효 1개 아님",IF(NOT(AND(ISNUMBER(O1088),ISNUMBER(Q1088),ISNUMBER(I1088))),"시각 결측",IF(Q1088&lt;=O1088,"P0 시각 역전",IF(OR(I1088&lt;O1088,I1088&gt;Q1088),"측정시각 구간 밖","OK")))))</f>
        <v/>
      </c>
      <c r="O1088" s="48">
        <f>IF(COUNTIFS($C:$C,$C1088,$D:$D,$D1088,$E:$E,"P0(전)",$M:$M,"&gt;0")&lt;&gt;1,"",SUMIFS($I:$I,$C:$C,$C1088,$D:$D,$D1088,$E:$E,"P0(전)"))</f>
        <v/>
      </c>
      <c r="P1088" s="31">
        <f>IF(COUNTIFS($C:$C,$C1088,$D:$D,$D1088,$E:$E,"P0(전)",$M:$M,"&gt;0")&lt;&gt;1,"",SUMIFS($M:$M,$C:$C,$C1088,$D:$D,$D1088,$E:$E,"P0(전)"))</f>
        <v/>
      </c>
      <c r="Q1088" s="48">
        <f>IF(COUNTIFS($C:$C,$C1088,$D:$D,$D1088,$E:$E,"P0(후)",$M:$M,"&gt;0")&lt;&gt;1,"",SUMIFS($I:$I,$C:$C,$C1088,$D:$D,$D1088,$E:$E,"P0(후)"))</f>
        <v/>
      </c>
      <c r="R1088" s="31">
        <f>IF(COUNTIFS($C:$C,$C1088,$D:$D,$D1088,$E:$E,"P0(후)",$M:$M,"&gt;0")&lt;&gt;1,"",SUMIFS($M:$M,$C:$C,$C1088,$D:$D,$D1088,$E:$E,"P0(후)"))</f>
        <v/>
      </c>
      <c r="S1088" s="31">
        <f>IF(N1088&lt;&gt;"OK","",P1088+(R1088-P1088)*(I1088-O1088)/(Q1088-O1088))</f>
        <v/>
      </c>
      <c r="T1088" s="31">
        <f>IF(OR(N1088&lt;&gt;"OK",NOT(ISNUMBER(M1088))),"",M1088-S1088)</f>
        <v/>
      </c>
      <c r="U1088" s="49">
        <f>IF(OR(NOT(ISNUMBER(T1088)),IF(ISNUMBER(H1088),H1088,G1088)=0),"",T1088/IF(ISNUMBER(H1088),H1088,G1088))</f>
        <v/>
      </c>
      <c r="V1088" s="49">
        <f>IF(ISNUMBER(U1088),ABS(U1088),"")</f>
        <v/>
      </c>
      <c r="W1088" s="49">
        <f>IF(OR($E1087&lt;&gt;"측정",$C1087&lt;&gt;$C1088,$D1087&lt;&gt;$D1088,NOT(ISNUMBER(M1088)),NOT(ISNUMBER(M1087)),(IF(ISNUMBER(H1088),H1088,G1088)-IF(ISNUMBER(H1087),H1087,G1087))=0),"",(M1088-M1087)/(IF(ISNUMBER(H1088),H1088,G1088)-IF(ISNUMBER(H1087),H1087,G1087)))</f>
        <v/>
      </c>
      <c r="X1088" s="31">
        <f>IF(NOT(AND(ISNUMBER(O1088),ISNUMBER(Q1088))),"",(Q1088-O1088)*1440)</f>
        <v/>
      </c>
      <c r="Y1088" s="29" t="n"/>
      <c r="Z1088" s="29" t="n"/>
      <c r="AA1088" s="29" t="n"/>
      <c r="AB1088" s="32" t="n"/>
      <c r="AC1088" s="32" t="n"/>
    </row>
    <row r="1089">
      <c r="A1089" s="26" t="inlineStr">
        <is>
          <t>S21</t>
        </is>
      </c>
      <c r="B1089" s="26" t="inlineStr">
        <is>
          <t>담양 신규점2</t>
        </is>
      </c>
      <c r="C1089" s="26" t="inlineStr">
        <is>
          <t>S21-H북</t>
        </is>
      </c>
      <c r="D1089" s="47" t="n">
        <v>1</v>
      </c>
      <c r="E1089" s="26" t="inlineStr">
        <is>
          <t>측정</t>
        </is>
      </c>
      <c r="F1089" s="26" t="inlineStr">
        <is>
          <t>북</t>
        </is>
      </c>
      <c r="G1089" s="31" t="n">
        <v>3</v>
      </c>
      <c r="H1089" s="30" t="n"/>
      <c r="I1089" s="43" t="n"/>
      <c r="J1089" s="41" t="n"/>
      <c r="K1089" s="41" t="n"/>
      <c r="L1089" s="41" t="n"/>
      <c r="M1089" s="31">
        <f>IF(COUNT(J1089:L1089)=0,"",MEDIAN(J1089:L1089))</f>
        <v/>
      </c>
      <c r="N1089" s="26">
        <f>IF(COUNTIFS($C:$C,$C1089,$D:$D,$D1089,$E:$E,"P0(전)",$M:$M,"&gt;0")&lt;&gt;1,"P0(전) 유효 1개 아님",IF(COUNTIFS($C:$C,$C1089,$D:$D,$D1089,$E:$E,"P0(후)",$M:$M,"&gt;0")&lt;&gt;1,"P0(후) 유효 1개 아님",IF(NOT(AND(ISNUMBER(O1089),ISNUMBER(Q1089),ISNUMBER(I1089))),"시각 결측",IF(Q1089&lt;=O1089,"P0 시각 역전",IF(OR(I1089&lt;O1089,I1089&gt;Q1089),"측정시각 구간 밖","OK")))))</f>
        <v/>
      </c>
      <c r="O1089" s="48">
        <f>IF(COUNTIFS($C:$C,$C1089,$D:$D,$D1089,$E:$E,"P0(전)",$M:$M,"&gt;0")&lt;&gt;1,"",SUMIFS($I:$I,$C:$C,$C1089,$D:$D,$D1089,$E:$E,"P0(전)"))</f>
        <v/>
      </c>
      <c r="P1089" s="31">
        <f>IF(COUNTIFS($C:$C,$C1089,$D:$D,$D1089,$E:$E,"P0(전)",$M:$M,"&gt;0")&lt;&gt;1,"",SUMIFS($M:$M,$C:$C,$C1089,$D:$D,$D1089,$E:$E,"P0(전)"))</f>
        <v/>
      </c>
      <c r="Q1089" s="48">
        <f>IF(COUNTIFS($C:$C,$C1089,$D:$D,$D1089,$E:$E,"P0(후)",$M:$M,"&gt;0")&lt;&gt;1,"",SUMIFS($I:$I,$C:$C,$C1089,$D:$D,$D1089,$E:$E,"P0(후)"))</f>
        <v/>
      </c>
      <c r="R1089" s="31">
        <f>IF(COUNTIFS($C:$C,$C1089,$D:$D,$D1089,$E:$E,"P0(후)",$M:$M,"&gt;0")&lt;&gt;1,"",SUMIFS($M:$M,$C:$C,$C1089,$D:$D,$D1089,$E:$E,"P0(후)"))</f>
        <v/>
      </c>
      <c r="S1089" s="31">
        <f>IF(N1089&lt;&gt;"OK","",P1089+(R1089-P1089)*(I1089-O1089)/(Q1089-O1089))</f>
        <v/>
      </c>
      <c r="T1089" s="31">
        <f>IF(OR(N1089&lt;&gt;"OK",NOT(ISNUMBER(M1089))),"",M1089-S1089)</f>
        <v/>
      </c>
      <c r="U1089" s="49">
        <f>IF(OR(NOT(ISNUMBER(T1089)),IF(ISNUMBER(H1089),H1089,G1089)=0),"",T1089/IF(ISNUMBER(H1089),H1089,G1089))</f>
        <v/>
      </c>
      <c r="V1089" s="49">
        <f>IF(ISNUMBER(U1089),ABS(U1089),"")</f>
        <v/>
      </c>
      <c r="W1089" s="49">
        <f>IF(OR($E1088&lt;&gt;"측정",$C1088&lt;&gt;$C1089,$D1088&lt;&gt;$D1089,NOT(ISNUMBER(M1089)),NOT(ISNUMBER(M1088)),(IF(ISNUMBER(H1089),H1089,G1089)-IF(ISNUMBER(H1088),H1088,G1088))=0),"",(M1089-M1088)/(IF(ISNUMBER(H1089),H1089,G1089)-IF(ISNUMBER(H1088),H1088,G1088)))</f>
        <v/>
      </c>
      <c r="X1089" s="31">
        <f>IF(NOT(AND(ISNUMBER(O1089),ISNUMBER(Q1089))),"",(Q1089-O1089)*1440)</f>
        <v/>
      </c>
      <c r="Y1089" s="29" t="n"/>
      <c r="Z1089" s="29" t="n"/>
      <c r="AA1089" s="29" t="n"/>
      <c r="AB1089" s="32" t="n"/>
      <c r="AC1089" s="32" t="n"/>
    </row>
    <row r="1090">
      <c r="A1090" s="26" t="inlineStr">
        <is>
          <t>S21</t>
        </is>
      </c>
      <c r="B1090" s="26" t="inlineStr">
        <is>
          <t>담양 신규점2</t>
        </is>
      </c>
      <c r="C1090" s="26" t="inlineStr">
        <is>
          <t>S21-H북</t>
        </is>
      </c>
      <c r="D1090" s="47" t="n">
        <v>1</v>
      </c>
      <c r="E1090" s="26" t="inlineStr">
        <is>
          <t>측정</t>
        </is>
      </c>
      <c r="F1090" s="26" t="inlineStr">
        <is>
          <t>북</t>
        </is>
      </c>
      <c r="G1090" s="31" t="n">
        <v>4</v>
      </c>
      <c r="H1090" s="30" t="n"/>
      <c r="I1090" s="43" t="n"/>
      <c r="J1090" s="41" t="n"/>
      <c r="K1090" s="41" t="n"/>
      <c r="L1090" s="41" t="n"/>
      <c r="M1090" s="31">
        <f>IF(COUNT(J1090:L1090)=0,"",MEDIAN(J1090:L1090))</f>
        <v/>
      </c>
      <c r="N1090" s="26">
        <f>IF(COUNTIFS($C:$C,$C1090,$D:$D,$D1090,$E:$E,"P0(전)",$M:$M,"&gt;0")&lt;&gt;1,"P0(전) 유효 1개 아님",IF(COUNTIFS($C:$C,$C1090,$D:$D,$D1090,$E:$E,"P0(후)",$M:$M,"&gt;0")&lt;&gt;1,"P0(후) 유효 1개 아님",IF(NOT(AND(ISNUMBER(O1090),ISNUMBER(Q1090),ISNUMBER(I1090))),"시각 결측",IF(Q1090&lt;=O1090,"P0 시각 역전",IF(OR(I1090&lt;O1090,I1090&gt;Q1090),"측정시각 구간 밖","OK")))))</f>
        <v/>
      </c>
      <c r="O1090" s="48">
        <f>IF(COUNTIFS($C:$C,$C1090,$D:$D,$D1090,$E:$E,"P0(전)",$M:$M,"&gt;0")&lt;&gt;1,"",SUMIFS($I:$I,$C:$C,$C1090,$D:$D,$D1090,$E:$E,"P0(전)"))</f>
        <v/>
      </c>
      <c r="P1090" s="31">
        <f>IF(COUNTIFS($C:$C,$C1090,$D:$D,$D1090,$E:$E,"P0(전)",$M:$M,"&gt;0")&lt;&gt;1,"",SUMIFS($M:$M,$C:$C,$C1090,$D:$D,$D1090,$E:$E,"P0(전)"))</f>
        <v/>
      </c>
      <c r="Q1090" s="48">
        <f>IF(COUNTIFS($C:$C,$C1090,$D:$D,$D1090,$E:$E,"P0(후)",$M:$M,"&gt;0")&lt;&gt;1,"",SUMIFS($I:$I,$C:$C,$C1090,$D:$D,$D1090,$E:$E,"P0(후)"))</f>
        <v/>
      </c>
      <c r="R1090" s="31">
        <f>IF(COUNTIFS($C:$C,$C1090,$D:$D,$D1090,$E:$E,"P0(후)",$M:$M,"&gt;0")&lt;&gt;1,"",SUMIFS($M:$M,$C:$C,$C1090,$D:$D,$D1090,$E:$E,"P0(후)"))</f>
        <v/>
      </c>
      <c r="S1090" s="31">
        <f>IF(N1090&lt;&gt;"OK","",P1090+(R1090-P1090)*(I1090-O1090)/(Q1090-O1090))</f>
        <v/>
      </c>
      <c r="T1090" s="31">
        <f>IF(OR(N1090&lt;&gt;"OK",NOT(ISNUMBER(M1090))),"",M1090-S1090)</f>
        <v/>
      </c>
      <c r="U1090" s="49">
        <f>IF(OR(NOT(ISNUMBER(T1090)),IF(ISNUMBER(H1090),H1090,G1090)=0),"",T1090/IF(ISNUMBER(H1090),H1090,G1090))</f>
        <v/>
      </c>
      <c r="V1090" s="49">
        <f>IF(ISNUMBER(U1090),ABS(U1090),"")</f>
        <v/>
      </c>
      <c r="W1090" s="49">
        <f>IF(OR($E1089&lt;&gt;"측정",$C1089&lt;&gt;$C1090,$D1089&lt;&gt;$D1090,NOT(ISNUMBER(M1090)),NOT(ISNUMBER(M1089)),(IF(ISNUMBER(H1090),H1090,G1090)-IF(ISNUMBER(H1089),H1089,G1089))=0),"",(M1090-M1089)/(IF(ISNUMBER(H1090),H1090,G1090)-IF(ISNUMBER(H1089),H1089,G1089)))</f>
        <v/>
      </c>
      <c r="X1090" s="31">
        <f>IF(NOT(AND(ISNUMBER(O1090),ISNUMBER(Q1090))),"",(Q1090-O1090)*1440)</f>
        <v/>
      </c>
      <c r="Y1090" s="29" t="n"/>
      <c r="Z1090" s="29" t="n"/>
      <c r="AA1090" s="29" t="n"/>
      <c r="AB1090" s="32" t="n"/>
      <c r="AC1090" s="32" t="n"/>
    </row>
    <row r="1091">
      <c r="A1091" s="26" t="inlineStr">
        <is>
          <t>S21</t>
        </is>
      </c>
      <c r="B1091" s="26" t="inlineStr">
        <is>
          <t>담양 신규점2</t>
        </is>
      </c>
      <c r="C1091" s="26" t="inlineStr">
        <is>
          <t>S21-H북</t>
        </is>
      </c>
      <c r="D1091" s="47" t="n">
        <v>1</v>
      </c>
      <c r="E1091" s="26" t="inlineStr">
        <is>
          <t>측정</t>
        </is>
      </c>
      <c r="F1091" s="26" t="inlineStr">
        <is>
          <t>북</t>
        </is>
      </c>
      <c r="G1091" s="31" t="n">
        <v>5</v>
      </c>
      <c r="H1091" s="30" t="n"/>
      <c r="I1091" s="43" t="n"/>
      <c r="J1091" s="41" t="n"/>
      <c r="K1091" s="41" t="n"/>
      <c r="L1091" s="41" t="n"/>
      <c r="M1091" s="31">
        <f>IF(COUNT(J1091:L1091)=0,"",MEDIAN(J1091:L1091))</f>
        <v/>
      </c>
      <c r="N1091" s="26">
        <f>IF(COUNTIFS($C:$C,$C1091,$D:$D,$D1091,$E:$E,"P0(전)",$M:$M,"&gt;0")&lt;&gt;1,"P0(전) 유효 1개 아님",IF(COUNTIFS($C:$C,$C1091,$D:$D,$D1091,$E:$E,"P0(후)",$M:$M,"&gt;0")&lt;&gt;1,"P0(후) 유효 1개 아님",IF(NOT(AND(ISNUMBER(O1091),ISNUMBER(Q1091),ISNUMBER(I1091))),"시각 결측",IF(Q1091&lt;=O1091,"P0 시각 역전",IF(OR(I1091&lt;O1091,I1091&gt;Q1091),"측정시각 구간 밖","OK")))))</f>
        <v/>
      </c>
      <c r="O1091" s="48">
        <f>IF(COUNTIFS($C:$C,$C1091,$D:$D,$D1091,$E:$E,"P0(전)",$M:$M,"&gt;0")&lt;&gt;1,"",SUMIFS($I:$I,$C:$C,$C1091,$D:$D,$D1091,$E:$E,"P0(전)"))</f>
        <v/>
      </c>
      <c r="P1091" s="31">
        <f>IF(COUNTIFS($C:$C,$C1091,$D:$D,$D1091,$E:$E,"P0(전)",$M:$M,"&gt;0")&lt;&gt;1,"",SUMIFS($M:$M,$C:$C,$C1091,$D:$D,$D1091,$E:$E,"P0(전)"))</f>
        <v/>
      </c>
      <c r="Q1091" s="48">
        <f>IF(COUNTIFS($C:$C,$C1091,$D:$D,$D1091,$E:$E,"P0(후)",$M:$M,"&gt;0")&lt;&gt;1,"",SUMIFS($I:$I,$C:$C,$C1091,$D:$D,$D1091,$E:$E,"P0(후)"))</f>
        <v/>
      </c>
      <c r="R1091" s="31">
        <f>IF(COUNTIFS($C:$C,$C1091,$D:$D,$D1091,$E:$E,"P0(후)",$M:$M,"&gt;0")&lt;&gt;1,"",SUMIFS($M:$M,$C:$C,$C1091,$D:$D,$D1091,$E:$E,"P0(후)"))</f>
        <v/>
      </c>
      <c r="S1091" s="31">
        <f>IF(N1091&lt;&gt;"OK","",P1091+(R1091-P1091)*(I1091-O1091)/(Q1091-O1091))</f>
        <v/>
      </c>
      <c r="T1091" s="31">
        <f>IF(OR(N1091&lt;&gt;"OK",NOT(ISNUMBER(M1091))),"",M1091-S1091)</f>
        <v/>
      </c>
      <c r="U1091" s="49">
        <f>IF(OR(NOT(ISNUMBER(T1091)),IF(ISNUMBER(H1091),H1091,G1091)=0),"",T1091/IF(ISNUMBER(H1091),H1091,G1091))</f>
        <v/>
      </c>
      <c r="V1091" s="49">
        <f>IF(ISNUMBER(U1091),ABS(U1091),"")</f>
        <v/>
      </c>
      <c r="W1091" s="49">
        <f>IF(OR($E1090&lt;&gt;"측정",$C1090&lt;&gt;$C1091,$D1090&lt;&gt;$D1091,NOT(ISNUMBER(M1091)),NOT(ISNUMBER(M1090)),(IF(ISNUMBER(H1091),H1091,G1091)-IF(ISNUMBER(H1090),H1090,G1090))=0),"",(M1091-M1090)/(IF(ISNUMBER(H1091),H1091,G1091)-IF(ISNUMBER(H1090),H1090,G1090)))</f>
        <v/>
      </c>
      <c r="X1091" s="31">
        <f>IF(NOT(AND(ISNUMBER(O1091),ISNUMBER(Q1091))),"",(Q1091-O1091)*1440)</f>
        <v/>
      </c>
      <c r="Y1091" s="29" t="n"/>
      <c r="Z1091" s="29" t="n"/>
      <c r="AA1091" s="29" t="n"/>
      <c r="AB1091" s="32" t="n"/>
      <c r="AC1091" s="32" t="n"/>
    </row>
    <row r="1092">
      <c r="A1092" s="26" t="inlineStr">
        <is>
          <t>S21</t>
        </is>
      </c>
      <c r="B1092" s="26" t="inlineStr">
        <is>
          <t>담양 신규점2</t>
        </is>
      </c>
      <c r="C1092" s="26" t="inlineStr">
        <is>
          <t>S21-H북</t>
        </is>
      </c>
      <c r="D1092" s="47" t="n">
        <v>1</v>
      </c>
      <c r="E1092" s="26" t="inlineStr">
        <is>
          <t>측정</t>
        </is>
      </c>
      <c r="F1092" s="26" t="inlineStr">
        <is>
          <t>북</t>
        </is>
      </c>
      <c r="G1092" s="31" t="n">
        <v>6</v>
      </c>
      <c r="H1092" s="30" t="n"/>
      <c r="I1092" s="43" t="n"/>
      <c r="J1092" s="41" t="n"/>
      <c r="K1092" s="41" t="n"/>
      <c r="L1092" s="41" t="n"/>
      <c r="M1092" s="31">
        <f>IF(COUNT(J1092:L1092)=0,"",MEDIAN(J1092:L1092))</f>
        <v/>
      </c>
      <c r="N1092" s="26">
        <f>IF(COUNTIFS($C:$C,$C1092,$D:$D,$D1092,$E:$E,"P0(전)",$M:$M,"&gt;0")&lt;&gt;1,"P0(전) 유효 1개 아님",IF(COUNTIFS($C:$C,$C1092,$D:$D,$D1092,$E:$E,"P0(후)",$M:$M,"&gt;0")&lt;&gt;1,"P0(후) 유효 1개 아님",IF(NOT(AND(ISNUMBER(O1092),ISNUMBER(Q1092),ISNUMBER(I1092))),"시각 결측",IF(Q1092&lt;=O1092,"P0 시각 역전",IF(OR(I1092&lt;O1092,I1092&gt;Q1092),"측정시각 구간 밖","OK")))))</f>
        <v/>
      </c>
      <c r="O1092" s="48">
        <f>IF(COUNTIFS($C:$C,$C1092,$D:$D,$D1092,$E:$E,"P0(전)",$M:$M,"&gt;0")&lt;&gt;1,"",SUMIFS($I:$I,$C:$C,$C1092,$D:$D,$D1092,$E:$E,"P0(전)"))</f>
        <v/>
      </c>
      <c r="P1092" s="31">
        <f>IF(COUNTIFS($C:$C,$C1092,$D:$D,$D1092,$E:$E,"P0(전)",$M:$M,"&gt;0")&lt;&gt;1,"",SUMIFS($M:$M,$C:$C,$C1092,$D:$D,$D1092,$E:$E,"P0(전)"))</f>
        <v/>
      </c>
      <c r="Q1092" s="48">
        <f>IF(COUNTIFS($C:$C,$C1092,$D:$D,$D1092,$E:$E,"P0(후)",$M:$M,"&gt;0")&lt;&gt;1,"",SUMIFS($I:$I,$C:$C,$C1092,$D:$D,$D1092,$E:$E,"P0(후)"))</f>
        <v/>
      </c>
      <c r="R1092" s="31">
        <f>IF(COUNTIFS($C:$C,$C1092,$D:$D,$D1092,$E:$E,"P0(후)",$M:$M,"&gt;0")&lt;&gt;1,"",SUMIFS($M:$M,$C:$C,$C1092,$D:$D,$D1092,$E:$E,"P0(후)"))</f>
        <v/>
      </c>
      <c r="S1092" s="31">
        <f>IF(N1092&lt;&gt;"OK","",P1092+(R1092-P1092)*(I1092-O1092)/(Q1092-O1092))</f>
        <v/>
      </c>
      <c r="T1092" s="31">
        <f>IF(OR(N1092&lt;&gt;"OK",NOT(ISNUMBER(M1092))),"",M1092-S1092)</f>
        <v/>
      </c>
      <c r="U1092" s="49">
        <f>IF(OR(NOT(ISNUMBER(T1092)),IF(ISNUMBER(H1092),H1092,G1092)=0),"",T1092/IF(ISNUMBER(H1092),H1092,G1092))</f>
        <v/>
      </c>
      <c r="V1092" s="49">
        <f>IF(ISNUMBER(U1092),ABS(U1092),"")</f>
        <v/>
      </c>
      <c r="W1092" s="49">
        <f>IF(OR($E1091&lt;&gt;"측정",$C1091&lt;&gt;$C1092,$D1091&lt;&gt;$D1092,NOT(ISNUMBER(M1092)),NOT(ISNUMBER(M1091)),(IF(ISNUMBER(H1092),H1092,G1092)-IF(ISNUMBER(H1091),H1091,G1091))=0),"",(M1092-M1091)/(IF(ISNUMBER(H1092),H1092,G1092)-IF(ISNUMBER(H1091),H1091,G1091)))</f>
        <v/>
      </c>
      <c r="X1092" s="31">
        <f>IF(NOT(AND(ISNUMBER(O1092),ISNUMBER(Q1092))),"",(Q1092-O1092)*1440)</f>
        <v/>
      </c>
      <c r="Y1092" s="29" t="n"/>
      <c r="Z1092" s="29" t="n"/>
      <c r="AA1092" s="29" t="n"/>
      <c r="AB1092" s="32" t="n"/>
      <c r="AC1092" s="32" t="n"/>
    </row>
    <row r="1093">
      <c r="A1093" s="26" t="inlineStr">
        <is>
          <t>S21</t>
        </is>
      </c>
      <c r="B1093" s="26" t="inlineStr">
        <is>
          <t>담양 신규점2</t>
        </is>
      </c>
      <c r="C1093" s="26" t="inlineStr">
        <is>
          <t>S21-H북</t>
        </is>
      </c>
      <c r="D1093" s="47" t="n">
        <v>1</v>
      </c>
      <c r="E1093" s="26" t="inlineStr">
        <is>
          <t>측정</t>
        </is>
      </c>
      <c r="F1093" s="26" t="inlineStr">
        <is>
          <t>북</t>
        </is>
      </c>
      <c r="G1093" s="31" t="n">
        <v>7</v>
      </c>
      <c r="H1093" s="30" t="n"/>
      <c r="I1093" s="43" t="n"/>
      <c r="J1093" s="41" t="n"/>
      <c r="K1093" s="41" t="n"/>
      <c r="L1093" s="41" t="n"/>
      <c r="M1093" s="31">
        <f>IF(COUNT(J1093:L1093)=0,"",MEDIAN(J1093:L1093))</f>
        <v/>
      </c>
      <c r="N1093" s="26">
        <f>IF(COUNTIFS($C:$C,$C1093,$D:$D,$D1093,$E:$E,"P0(전)",$M:$M,"&gt;0")&lt;&gt;1,"P0(전) 유효 1개 아님",IF(COUNTIFS($C:$C,$C1093,$D:$D,$D1093,$E:$E,"P0(후)",$M:$M,"&gt;0")&lt;&gt;1,"P0(후) 유효 1개 아님",IF(NOT(AND(ISNUMBER(O1093),ISNUMBER(Q1093),ISNUMBER(I1093))),"시각 결측",IF(Q1093&lt;=O1093,"P0 시각 역전",IF(OR(I1093&lt;O1093,I1093&gt;Q1093),"측정시각 구간 밖","OK")))))</f>
        <v/>
      </c>
      <c r="O1093" s="48">
        <f>IF(COUNTIFS($C:$C,$C1093,$D:$D,$D1093,$E:$E,"P0(전)",$M:$M,"&gt;0")&lt;&gt;1,"",SUMIFS($I:$I,$C:$C,$C1093,$D:$D,$D1093,$E:$E,"P0(전)"))</f>
        <v/>
      </c>
      <c r="P1093" s="31">
        <f>IF(COUNTIFS($C:$C,$C1093,$D:$D,$D1093,$E:$E,"P0(전)",$M:$M,"&gt;0")&lt;&gt;1,"",SUMIFS($M:$M,$C:$C,$C1093,$D:$D,$D1093,$E:$E,"P0(전)"))</f>
        <v/>
      </c>
      <c r="Q1093" s="48">
        <f>IF(COUNTIFS($C:$C,$C1093,$D:$D,$D1093,$E:$E,"P0(후)",$M:$M,"&gt;0")&lt;&gt;1,"",SUMIFS($I:$I,$C:$C,$C1093,$D:$D,$D1093,$E:$E,"P0(후)"))</f>
        <v/>
      </c>
      <c r="R1093" s="31">
        <f>IF(COUNTIFS($C:$C,$C1093,$D:$D,$D1093,$E:$E,"P0(후)",$M:$M,"&gt;0")&lt;&gt;1,"",SUMIFS($M:$M,$C:$C,$C1093,$D:$D,$D1093,$E:$E,"P0(후)"))</f>
        <v/>
      </c>
      <c r="S1093" s="31">
        <f>IF(N1093&lt;&gt;"OK","",P1093+(R1093-P1093)*(I1093-O1093)/(Q1093-O1093))</f>
        <v/>
      </c>
      <c r="T1093" s="31">
        <f>IF(OR(N1093&lt;&gt;"OK",NOT(ISNUMBER(M1093))),"",M1093-S1093)</f>
        <v/>
      </c>
      <c r="U1093" s="49">
        <f>IF(OR(NOT(ISNUMBER(T1093)),IF(ISNUMBER(H1093),H1093,G1093)=0),"",T1093/IF(ISNUMBER(H1093),H1093,G1093))</f>
        <v/>
      </c>
      <c r="V1093" s="49">
        <f>IF(ISNUMBER(U1093),ABS(U1093),"")</f>
        <v/>
      </c>
      <c r="W1093" s="49">
        <f>IF(OR($E1092&lt;&gt;"측정",$C1092&lt;&gt;$C1093,$D1092&lt;&gt;$D1093,NOT(ISNUMBER(M1093)),NOT(ISNUMBER(M1092)),(IF(ISNUMBER(H1093),H1093,G1093)-IF(ISNUMBER(H1092),H1092,G1092))=0),"",(M1093-M1092)/(IF(ISNUMBER(H1093),H1093,G1093)-IF(ISNUMBER(H1092),H1092,G1092)))</f>
        <v/>
      </c>
      <c r="X1093" s="31">
        <f>IF(NOT(AND(ISNUMBER(O1093),ISNUMBER(Q1093))),"",(Q1093-O1093)*1440)</f>
        <v/>
      </c>
      <c r="Y1093" s="29" t="n"/>
      <c r="Z1093" s="29" t="n"/>
      <c r="AA1093" s="29" t="n"/>
      <c r="AB1093" s="32" t="n"/>
      <c r="AC1093" s="32" t="n"/>
    </row>
    <row r="1094">
      <c r="A1094" s="26" t="inlineStr">
        <is>
          <t>S21</t>
        </is>
      </c>
      <c r="B1094" s="26" t="inlineStr">
        <is>
          <t>담양 신규점2</t>
        </is>
      </c>
      <c r="C1094" s="26" t="inlineStr">
        <is>
          <t>S21-H북</t>
        </is>
      </c>
      <c r="D1094" s="47" t="n">
        <v>1</v>
      </c>
      <c r="E1094" s="26" t="inlineStr">
        <is>
          <t>측정</t>
        </is>
      </c>
      <c r="F1094" s="26" t="inlineStr">
        <is>
          <t>북</t>
        </is>
      </c>
      <c r="G1094" s="31" t="n">
        <v>8</v>
      </c>
      <c r="H1094" s="30" t="n"/>
      <c r="I1094" s="43" t="n"/>
      <c r="J1094" s="41" t="n"/>
      <c r="K1094" s="41" t="n"/>
      <c r="L1094" s="41" t="n"/>
      <c r="M1094" s="31">
        <f>IF(COUNT(J1094:L1094)=0,"",MEDIAN(J1094:L1094))</f>
        <v/>
      </c>
      <c r="N1094" s="26">
        <f>IF(COUNTIFS($C:$C,$C1094,$D:$D,$D1094,$E:$E,"P0(전)",$M:$M,"&gt;0")&lt;&gt;1,"P0(전) 유효 1개 아님",IF(COUNTIFS($C:$C,$C1094,$D:$D,$D1094,$E:$E,"P0(후)",$M:$M,"&gt;0")&lt;&gt;1,"P0(후) 유효 1개 아님",IF(NOT(AND(ISNUMBER(O1094),ISNUMBER(Q1094),ISNUMBER(I1094))),"시각 결측",IF(Q1094&lt;=O1094,"P0 시각 역전",IF(OR(I1094&lt;O1094,I1094&gt;Q1094),"측정시각 구간 밖","OK")))))</f>
        <v/>
      </c>
      <c r="O1094" s="48">
        <f>IF(COUNTIFS($C:$C,$C1094,$D:$D,$D1094,$E:$E,"P0(전)",$M:$M,"&gt;0")&lt;&gt;1,"",SUMIFS($I:$I,$C:$C,$C1094,$D:$D,$D1094,$E:$E,"P0(전)"))</f>
        <v/>
      </c>
      <c r="P1094" s="31">
        <f>IF(COUNTIFS($C:$C,$C1094,$D:$D,$D1094,$E:$E,"P0(전)",$M:$M,"&gt;0")&lt;&gt;1,"",SUMIFS($M:$M,$C:$C,$C1094,$D:$D,$D1094,$E:$E,"P0(전)"))</f>
        <v/>
      </c>
      <c r="Q1094" s="48">
        <f>IF(COUNTIFS($C:$C,$C1094,$D:$D,$D1094,$E:$E,"P0(후)",$M:$M,"&gt;0")&lt;&gt;1,"",SUMIFS($I:$I,$C:$C,$C1094,$D:$D,$D1094,$E:$E,"P0(후)"))</f>
        <v/>
      </c>
      <c r="R1094" s="31">
        <f>IF(COUNTIFS($C:$C,$C1094,$D:$D,$D1094,$E:$E,"P0(후)",$M:$M,"&gt;0")&lt;&gt;1,"",SUMIFS($M:$M,$C:$C,$C1094,$D:$D,$D1094,$E:$E,"P0(후)"))</f>
        <v/>
      </c>
      <c r="S1094" s="31">
        <f>IF(N1094&lt;&gt;"OK","",P1094+(R1094-P1094)*(I1094-O1094)/(Q1094-O1094))</f>
        <v/>
      </c>
      <c r="T1094" s="31">
        <f>IF(OR(N1094&lt;&gt;"OK",NOT(ISNUMBER(M1094))),"",M1094-S1094)</f>
        <v/>
      </c>
      <c r="U1094" s="49">
        <f>IF(OR(NOT(ISNUMBER(T1094)),IF(ISNUMBER(H1094),H1094,G1094)=0),"",T1094/IF(ISNUMBER(H1094),H1094,G1094))</f>
        <v/>
      </c>
      <c r="V1094" s="49">
        <f>IF(ISNUMBER(U1094),ABS(U1094),"")</f>
        <v/>
      </c>
      <c r="W1094" s="49">
        <f>IF(OR($E1093&lt;&gt;"측정",$C1093&lt;&gt;$C1094,$D1093&lt;&gt;$D1094,NOT(ISNUMBER(M1094)),NOT(ISNUMBER(M1093)),(IF(ISNUMBER(H1094),H1094,G1094)-IF(ISNUMBER(H1093),H1093,G1093))=0),"",(M1094-M1093)/(IF(ISNUMBER(H1094),H1094,G1094)-IF(ISNUMBER(H1093),H1093,G1093)))</f>
        <v/>
      </c>
      <c r="X1094" s="31">
        <f>IF(NOT(AND(ISNUMBER(O1094),ISNUMBER(Q1094))),"",(Q1094-O1094)*1440)</f>
        <v/>
      </c>
      <c r="Y1094" s="29" t="n"/>
      <c r="Z1094" s="29" t="n"/>
      <c r="AA1094" s="29" t="n"/>
      <c r="AB1094" s="32" t="n"/>
      <c r="AC1094" s="32" t="n"/>
    </row>
    <row r="1095">
      <c r="A1095" s="26" t="inlineStr">
        <is>
          <t>S21</t>
        </is>
      </c>
      <c r="B1095" s="26" t="inlineStr">
        <is>
          <t>담양 신규점2</t>
        </is>
      </c>
      <c r="C1095" s="26" t="inlineStr">
        <is>
          <t>S21-H북</t>
        </is>
      </c>
      <c r="D1095" s="47" t="n">
        <v>1</v>
      </c>
      <c r="E1095" s="26" t="inlineStr">
        <is>
          <t>측정</t>
        </is>
      </c>
      <c r="F1095" s="26" t="inlineStr">
        <is>
          <t>북</t>
        </is>
      </c>
      <c r="G1095" s="31" t="n">
        <v>9</v>
      </c>
      <c r="H1095" s="30" t="n"/>
      <c r="I1095" s="43" t="n"/>
      <c r="J1095" s="41" t="n"/>
      <c r="K1095" s="41" t="n"/>
      <c r="L1095" s="41" t="n"/>
      <c r="M1095" s="31">
        <f>IF(COUNT(J1095:L1095)=0,"",MEDIAN(J1095:L1095))</f>
        <v/>
      </c>
      <c r="N1095" s="26">
        <f>IF(COUNTIFS($C:$C,$C1095,$D:$D,$D1095,$E:$E,"P0(전)",$M:$M,"&gt;0")&lt;&gt;1,"P0(전) 유효 1개 아님",IF(COUNTIFS($C:$C,$C1095,$D:$D,$D1095,$E:$E,"P0(후)",$M:$M,"&gt;0")&lt;&gt;1,"P0(후) 유효 1개 아님",IF(NOT(AND(ISNUMBER(O1095),ISNUMBER(Q1095),ISNUMBER(I1095))),"시각 결측",IF(Q1095&lt;=O1095,"P0 시각 역전",IF(OR(I1095&lt;O1095,I1095&gt;Q1095),"측정시각 구간 밖","OK")))))</f>
        <v/>
      </c>
      <c r="O1095" s="48">
        <f>IF(COUNTIFS($C:$C,$C1095,$D:$D,$D1095,$E:$E,"P0(전)",$M:$M,"&gt;0")&lt;&gt;1,"",SUMIFS($I:$I,$C:$C,$C1095,$D:$D,$D1095,$E:$E,"P0(전)"))</f>
        <v/>
      </c>
      <c r="P1095" s="31">
        <f>IF(COUNTIFS($C:$C,$C1095,$D:$D,$D1095,$E:$E,"P0(전)",$M:$M,"&gt;0")&lt;&gt;1,"",SUMIFS($M:$M,$C:$C,$C1095,$D:$D,$D1095,$E:$E,"P0(전)"))</f>
        <v/>
      </c>
      <c r="Q1095" s="48">
        <f>IF(COUNTIFS($C:$C,$C1095,$D:$D,$D1095,$E:$E,"P0(후)",$M:$M,"&gt;0")&lt;&gt;1,"",SUMIFS($I:$I,$C:$C,$C1095,$D:$D,$D1095,$E:$E,"P0(후)"))</f>
        <v/>
      </c>
      <c r="R1095" s="31">
        <f>IF(COUNTIFS($C:$C,$C1095,$D:$D,$D1095,$E:$E,"P0(후)",$M:$M,"&gt;0")&lt;&gt;1,"",SUMIFS($M:$M,$C:$C,$C1095,$D:$D,$D1095,$E:$E,"P0(후)"))</f>
        <v/>
      </c>
      <c r="S1095" s="31">
        <f>IF(N1095&lt;&gt;"OK","",P1095+(R1095-P1095)*(I1095-O1095)/(Q1095-O1095))</f>
        <v/>
      </c>
      <c r="T1095" s="31">
        <f>IF(OR(N1095&lt;&gt;"OK",NOT(ISNUMBER(M1095))),"",M1095-S1095)</f>
        <v/>
      </c>
      <c r="U1095" s="49">
        <f>IF(OR(NOT(ISNUMBER(T1095)),IF(ISNUMBER(H1095),H1095,G1095)=0),"",T1095/IF(ISNUMBER(H1095),H1095,G1095))</f>
        <v/>
      </c>
      <c r="V1095" s="49">
        <f>IF(ISNUMBER(U1095),ABS(U1095),"")</f>
        <v/>
      </c>
      <c r="W1095" s="49">
        <f>IF(OR($E1094&lt;&gt;"측정",$C1094&lt;&gt;$C1095,$D1094&lt;&gt;$D1095,NOT(ISNUMBER(M1095)),NOT(ISNUMBER(M1094)),(IF(ISNUMBER(H1095),H1095,G1095)-IF(ISNUMBER(H1094),H1094,G1094))=0),"",(M1095-M1094)/(IF(ISNUMBER(H1095),H1095,G1095)-IF(ISNUMBER(H1094),H1094,G1094)))</f>
        <v/>
      </c>
      <c r="X1095" s="31">
        <f>IF(NOT(AND(ISNUMBER(O1095),ISNUMBER(Q1095))),"",(Q1095-O1095)*1440)</f>
        <v/>
      </c>
      <c r="Y1095" s="29" t="n"/>
      <c r="Z1095" s="29" t="n"/>
      <c r="AA1095" s="29" t="n"/>
      <c r="AB1095" s="32" t="n"/>
      <c r="AC1095" s="32" t="n"/>
    </row>
    <row r="1096">
      <c r="A1096" s="26" t="inlineStr">
        <is>
          <t>S21</t>
        </is>
      </c>
      <c r="B1096" s="26" t="inlineStr">
        <is>
          <t>담양 신규점2</t>
        </is>
      </c>
      <c r="C1096" s="26" t="inlineStr">
        <is>
          <t>S21-H북</t>
        </is>
      </c>
      <c r="D1096" s="47" t="n">
        <v>1</v>
      </c>
      <c r="E1096" s="26" t="inlineStr">
        <is>
          <t>측정</t>
        </is>
      </c>
      <c r="F1096" s="26" t="inlineStr">
        <is>
          <t>북</t>
        </is>
      </c>
      <c r="G1096" s="31" t="n">
        <v>10</v>
      </c>
      <c r="H1096" s="30" t="n"/>
      <c r="I1096" s="43" t="n"/>
      <c r="J1096" s="41" t="n"/>
      <c r="K1096" s="41" t="n"/>
      <c r="L1096" s="41" t="n"/>
      <c r="M1096" s="31">
        <f>IF(COUNT(J1096:L1096)=0,"",MEDIAN(J1096:L1096))</f>
        <v/>
      </c>
      <c r="N1096" s="26">
        <f>IF(COUNTIFS($C:$C,$C1096,$D:$D,$D1096,$E:$E,"P0(전)",$M:$M,"&gt;0")&lt;&gt;1,"P0(전) 유효 1개 아님",IF(COUNTIFS($C:$C,$C1096,$D:$D,$D1096,$E:$E,"P0(후)",$M:$M,"&gt;0")&lt;&gt;1,"P0(후) 유효 1개 아님",IF(NOT(AND(ISNUMBER(O1096),ISNUMBER(Q1096),ISNUMBER(I1096))),"시각 결측",IF(Q1096&lt;=O1096,"P0 시각 역전",IF(OR(I1096&lt;O1096,I1096&gt;Q1096),"측정시각 구간 밖","OK")))))</f>
        <v/>
      </c>
      <c r="O1096" s="48">
        <f>IF(COUNTIFS($C:$C,$C1096,$D:$D,$D1096,$E:$E,"P0(전)",$M:$M,"&gt;0")&lt;&gt;1,"",SUMIFS($I:$I,$C:$C,$C1096,$D:$D,$D1096,$E:$E,"P0(전)"))</f>
        <v/>
      </c>
      <c r="P1096" s="31">
        <f>IF(COUNTIFS($C:$C,$C1096,$D:$D,$D1096,$E:$E,"P0(전)",$M:$M,"&gt;0")&lt;&gt;1,"",SUMIFS($M:$M,$C:$C,$C1096,$D:$D,$D1096,$E:$E,"P0(전)"))</f>
        <v/>
      </c>
      <c r="Q1096" s="48">
        <f>IF(COUNTIFS($C:$C,$C1096,$D:$D,$D1096,$E:$E,"P0(후)",$M:$M,"&gt;0")&lt;&gt;1,"",SUMIFS($I:$I,$C:$C,$C1096,$D:$D,$D1096,$E:$E,"P0(후)"))</f>
        <v/>
      </c>
      <c r="R1096" s="31">
        <f>IF(COUNTIFS($C:$C,$C1096,$D:$D,$D1096,$E:$E,"P0(후)",$M:$M,"&gt;0")&lt;&gt;1,"",SUMIFS($M:$M,$C:$C,$C1096,$D:$D,$D1096,$E:$E,"P0(후)"))</f>
        <v/>
      </c>
      <c r="S1096" s="31">
        <f>IF(N1096&lt;&gt;"OK","",P1096+(R1096-P1096)*(I1096-O1096)/(Q1096-O1096))</f>
        <v/>
      </c>
      <c r="T1096" s="31">
        <f>IF(OR(N1096&lt;&gt;"OK",NOT(ISNUMBER(M1096))),"",M1096-S1096)</f>
        <v/>
      </c>
      <c r="U1096" s="49">
        <f>IF(OR(NOT(ISNUMBER(T1096)),IF(ISNUMBER(H1096),H1096,G1096)=0),"",T1096/IF(ISNUMBER(H1096),H1096,G1096))</f>
        <v/>
      </c>
      <c r="V1096" s="49">
        <f>IF(ISNUMBER(U1096),ABS(U1096),"")</f>
        <v/>
      </c>
      <c r="W1096" s="49">
        <f>IF(OR($E1095&lt;&gt;"측정",$C1095&lt;&gt;$C1096,$D1095&lt;&gt;$D1096,NOT(ISNUMBER(M1096)),NOT(ISNUMBER(M1095)),(IF(ISNUMBER(H1096),H1096,G1096)-IF(ISNUMBER(H1095),H1095,G1095))=0),"",(M1096-M1095)/(IF(ISNUMBER(H1096),H1096,G1096)-IF(ISNUMBER(H1095),H1095,G1095)))</f>
        <v/>
      </c>
      <c r="X1096" s="31">
        <f>IF(NOT(AND(ISNUMBER(O1096),ISNUMBER(Q1096))),"",(Q1096-O1096)*1440)</f>
        <v/>
      </c>
      <c r="Y1096" s="29" t="n"/>
      <c r="Z1096" s="29" t="n"/>
      <c r="AA1096" s="29" t="n"/>
      <c r="AB1096" s="32" t="n"/>
      <c r="AC1096" s="32" t="n"/>
    </row>
    <row r="1097">
      <c r="A1097" s="44" t="inlineStr">
        <is>
          <t>S21</t>
        </is>
      </c>
      <c r="B1097" s="44" t="inlineStr">
        <is>
          <t>담양 신규점2</t>
        </is>
      </c>
      <c r="C1097" s="44" t="inlineStr">
        <is>
          <t>S21-H북</t>
        </is>
      </c>
      <c r="D1097" s="45" t="n">
        <v>1</v>
      </c>
      <c r="E1097" s="44" t="inlineStr">
        <is>
          <t>P0(후)</t>
        </is>
      </c>
      <c r="F1097" s="44" t="inlineStr">
        <is>
          <t>북</t>
        </is>
      </c>
      <c r="G1097" s="46" t="n"/>
      <c r="H1097" s="30" t="n"/>
      <c r="I1097" s="43" t="n"/>
      <c r="J1097" s="41" t="n"/>
      <c r="K1097" s="41" t="n"/>
      <c r="L1097" s="41" t="n"/>
      <c r="M1097" s="31">
        <f>IF(COUNT(J1097:L1097)=0,"",MEDIAN(J1097:L1097))</f>
        <v/>
      </c>
      <c r="N1097" s="38" t="n"/>
      <c r="O1097" s="38" t="n"/>
      <c r="P1097" s="38" t="n"/>
      <c r="Q1097" s="38" t="n"/>
      <c r="R1097" s="38" t="n"/>
      <c r="S1097" s="38" t="n"/>
      <c r="T1097" s="38" t="n"/>
      <c r="U1097" s="38" t="n"/>
      <c r="V1097" s="38" t="n"/>
      <c r="W1097" s="38" t="n"/>
      <c r="X1097" s="38" t="n"/>
      <c r="Y1097" s="29" t="n"/>
      <c r="Z1097" s="29" t="n"/>
      <c r="AA1097" s="29" t="n"/>
      <c r="AB1097" s="32" t="n"/>
      <c r="AC1097" s="32" t="n"/>
    </row>
    <row r="1098">
      <c r="A1098" s="44" t="inlineStr">
        <is>
          <t>S22</t>
        </is>
      </c>
      <c r="B1098" s="44" t="inlineStr">
        <is>
          <t>완도 신규점</t>
        </is>
      </c>
      <c r="C1098" s="44" t="inlineStr">
        <is>
          <t>S22-H동</t>
        </is>
      </c>
      <c r="D1098" s="45" t="n">
        <v>1</v>
      </c>
      <c r="E1098" s="44" t="inlineStr">
        <is>
          <t>P0(전)</t>
        </is>
      </c>
      <c r="F1098" s="44" t="inlineStr">
        <is>
          <t>동</t>
        </is>
      </c>
      <c r="G1098" s="46" t="n"/>
      <c r="H1098" s="30" t="n"/>
      <c r="I1098" s="43" t="n"/>
      <c r="J1098" s="41" t="n"/>
      <c r="K1098" s="41" t="n"/>
      <c r="L1098" s="41" t="n"/>
      <c r="M1098" s="31">
        <f>IF(COUNT(J1098:L1098)=0,"",MEDIAN(J1098:L1098))</f>
        <v/>
      </c>
      <c r="N1098" s="38" t="n"/>
      <c r="O1098" s="38" t="n"/>
      <c r="P1098" s="38" t="n"/>
      <c r="Q1098" s="38" t="n"/>
      <c r="R1098" s="38" t="n"/>
      <c r="S1098" s="38" t="n"/>
      <c r="T1098" s="38" t="n"/>
      <c r="U1098" s="38" t="n"/>
      <c r="V1098" s="38" t="n"/>
      <c r="W1098" s="38" t="n"/>
      <c r="X1098" s="38" t="n"/>
      <c r="Y1098" s="29" t="n"/>
      <c r="Z1098" s="29" t="n"/>
      <c r="AA1098" s="29" t="n"/>
      <c r="AB1098" s="32" t="n"/>
      <c r="AC1098" s="32" t="n"/>
    </row>
    <row r="1099">
      <c r="A1099" s="26" t="inlineStr">
        <is>
          <t>S22</t>
        </is>
      </c>
      <c r="B1099" s="26" t="inlineStr">
        <is>
          <t>완도 신규점</t>
        </is>
      </c>
      <c r="C1099" s="26" t="inlineStr">
        <is>
          <t>S22-H동</t>
        </is>
      </c>
      <c r="D1099" s="47" t="n">
        <v>1</v>
      </c>
      <c r="E1099" s="26" t="inlineStr">
        <is>
          <t>측정</t>
        </is>
      </c>
      <c r="F1099" s="26" t="inlineStr">
        <is>
          <t>동</t>
        </is>
      </c>
      <c r="G1099" s="31" t="n">
        <v>0.5</v>
      </c>
      <c r="H1099" s="30" t="n"/>
      <c r="I1099" s="43" t="n"/>
      <c r="J1099" s="41" t="n"/>
      <c r="K1099" s="41" t="n"/>
      <c r="L1099" s="41" t="n"/>
      <c r="M1099" s="31">
        <f>IF(COUNT(J1099:L1099)=0,"",MEDIAN(J1099:L1099))</f>
        <v/>
      </c>
      <c r="N1099" s="26">
        <f>IF(COUNTIFS($C:$C,$C1099,$D:$D,$D1099,$E:$E,"P0(전)",$M:$M,"&gt;0")&lt;&gt;1,"P0(전) 유효 1개 아님",IF(COUNTIFS($C:$C,$C1099,$D:$D,$D1099,$E:$E,"P0(후)",$M:$M,"&gt;0")&lt;&gt;1,"P0(후) 유효 1개 아님",IF(NOT(AND(ISNUMBER(O1099),ISNUMBER(Q1099),ISNUMBER(I1099))),"시각 결측",IF(Q1099&lt;=O1099,"P0 시각 역전",IF(OR(I1099&lt;O1099,I1099&gt;Q1099),"측정시각 구간 밖","OK")))))</f>
        <v/>
      </c>
      <c r="O1099" s="48">
        <f>IF(COUNTIFS($C:$C,$C1099,$D:$D,$D1099,$E:$E,"P0(전)",$M:$M,"&gt;0")&lt;&gt;1,"",SUMIFS($I:$I,$C:$C,$C1099,$D:$D,$D1099,$E:$E,"P0(전)"))</f>
        <v/>
      </c>
      <c r="P1099" s="31">
        <f>IF(COUNTIFS($C:$C,$C1099,$D:$D,$D1099,$E:$E,"P0(전)",$M:$M,"&gt;0")&lt;&gt;1,"",SUMIFS($M:$M,$C:$C,$C1099,$D:$D,$D1099,$E:$E,"P0(전)"))</f>
        <v/>
      </c>
      <c r="Q1099" s="48">
        <f>IF(COUNTIFS($C:$C,$C1099,$D:$D,$D1099,$E:$E,"P0(후)",$M:$M,"&gt;0")&lt;&gt;1,"",SUMIFS($I:$I,$C:$C,$C1099,$D:$D,$D1099,$E:$E,"P0(후)"))</f>
        <v/>
      </c>
      <c r="R1099" s="31">
        <f>IF(COUNTIFS($C:$C,$C1099,$D:$D,$D1099,$E:$E,"P0(후)",$M:$M,"&gt;0")&lt;&gt;1,"",SUMIFS($M:$M,$C:$C,$C1099,$D:$D,$D1099,$E:$E,"P0(후)"))</f>
        <v/>
      </c>
      <c r="S1099" s="31">
        <f>IF(N1099&lt;&gt;"OK","",P1099+(R1099-P1099)*(I1099-O1099)/(Q1099-O1099))</f>
        <v/>
      </c>
      <c r="T1099" s="31">
        <f>IF(OR(N1099&lt;&gt;"OK",NOT(ISNUMBER(M1099))),"",M1099-S1099)</f>
        <v/>
      </c>
      <c r="U1099" s="49">
        <f>IF(OR(NOT(ISNUMBER(T1099)),IF(ISNUMBER(H1099),H1099,G1099)=0),"",T1099/IF(ISNUMBER(H1099),H1099,G1099))</f>
        <v/>
      </c>
      <c r="V1099" s="49">
        <f>IF(ISNUMBER(U1099),ABS(U1099),"")</f>
        <v/>
      </c>
      <c r="W1099" s="49">
        <f>IF(OR($E1098&lt;&gt;"측정",$C1098&lt;&gt;$C1099,$D1098&lt;&gt;$D1099,NOT(ISNUMBER(M1099)),NOT(ISNUMBER(M1098)),(IF(ISNUMBER(H1099),H1099,G1099)-IF(ISNUMBER(H1098),H1098,G1098))=0),"",(M1099-M1098)/(IF(ISNUMBER(H1099),H1099,G1099)-IF(ISNUMBER(H1098),H1098,G1098)))</f>
        <v/>
      </c>
      <c r="X1099" s="31">
        <f>IF(NOT(AND(ISNUMBER(O1099),ISNUMBER(Q1099))),"",(Q1099-O1099)*1440)</f>
        <v/>
      </c>
      <c r="Y1099" s="29" t="n"/>
      <c r="Z1099" s="29" t="n"/>
      <c r="AA1099" s="29" t="n"/>
      <c r="AB1099" s="32" t="n"/>
      <c r="AC1099" s="32" t="n"/>
    </row>
    <row r="1100">
      <c r="A1100" s="26" t="inlineStr">
        <is>
          <t>S22</t>
        </is>
      </c>
      <c r="B1100" s="26" t="inlineStr">
        <is>
          <t>완도 신규점</t>
        </is>
      </c>
      <c r="C1100" s="26" t="inlineStr">
        <is>
          <t>S22-H동</t>
        </is>
      </c>
      <c r="D1100" s="47" t="n">
        <v>1</v>
      </c>
      <c r="E1100" s="26" t="inlineStr">
        <is>
          <t>측정</t>
        </is>
      </c>
      <c r="F1100" s="26" t="inlineStr">
        <is>
          <t>동</t>
        </is>
      </c>
      <c r="G1100" s="31" t="n">
        <v>1</v>
      </c>
      <c r="H1100" s="30" t="n"/>
      <c r="I1100" s="43" t="n"/>
      <c r="J1100" s="41" t="n"/>
      <c r="K1100" s="41" t="n"/>
      <c r="L1100" s="41" t="n"/>
      <c r="M1100" s="31">
        <f>IF(COUNT(J1100:L1100)=0,"",MEDIAN(J1100:L1100))</f>
        <v/>
      </c>
      <c r="N1100" s="26">
        <f>IF(COUNTIFS($C:$C,$C1100,$D:$D,$D1100,$E:$E,"P0(전)",$M:$M,"&gt;0")&lt;&gt;1,"P0(전) 유효 1개 아님",IF(COUNTIFS($C:$C,$C1100,$D:$D,$D1100,$E:$E,"P0(후)",$M:$M,"&gt;0")&lt;&gt;1,"P0(후) 유효 1개 아님",IF(NOT(AND(ISNUMBER(O1100),ISNUMBER(Q1100),ISNUMBER(I1100))),"시각 결측",IF(Q1100&lt;=O1100,"P0 시각 역전",IF(OR(I1100&lt;O1100,I1100&gt;Q1100),"측정시각 구간 밖","OK")))))</f>
        <v/>
      </c>
      <c r="O1100" s="48">
        <f>IF(COUNTIFS($C:$C,$C1100,$D:$D,$D1100,$E:$E,"P0(전)",$M:$M,"&gt;0")&lt;&gt;1,"",SUMIFS($I:$I,$C:$C,$C1100,$D:$D,$D1100,$E:$E,"P0(전)"))</f>
        <v/>
      </c>
      <c r="P1100" s="31">
        <f>IF(COUNTIFS($C:$C,$C1100,$D:$D,$D1100,$E:$E,"P0(전)",$M:$M,"&gt;0")&lt;&gt;1,"",SUMIFS($M:$M,$C:$C,$C1100,$D:$D,$D1100,$E:$E,"P0(전)"))</f>
        <v/>
      </c>
      <c r="Q1100" s="48">
        <f>IF(COUNTIFS($C:$C,$C1100,$D:$D,$D1100,$E:$E,"P0(후)",$M:$M,"&gt;0")&lt;&gt;1,"",SUMIFS($I:$I,$C:$C,$C1100,$D:$D,$D1100,$E:$E,"P0(후)"))</f>
        <v/>
      </c>
      <c r="R1100" s="31">
        <f>IF(COUNTIFS($C:$C,$C1100,$D:$D,$D1100,$E:$E,"P0(후)",$M:$M,"&gt;0")&lt;&gt;1,"",SUMIFS($M:$M,$C:$C,$C1100,$D:$D,$D1100,$E:$E,"P0(후)"))</f>
        <v/>
      </c>
      <c r="S1100" s="31">
        <f>IF(N1100&lt;&gt;"OK","",P1100+(R1100-P1100)*(I1100-O1100)/(Q1100-O1100))</f>
        <v/>
      </c>
      <c r="T1100" s="31">
        <f>IF(OR(N1100&lt;&gt;"OK",NOT(ISNUMBER(M1100))),"",M1100-S1100)</f>
        <v/>
      </c>
      <c r="U1100" s="49">
        <f>IF(OR(NOT(ISNUMBER(T1100)),IF(ISNUMBER(H1100),H1100,G1100)=0),"",T1100/IF(ISNUMBER(H1100),H1100,G1100))</f>
        <v/>
      </c>
      <c r="V1100" s="49">
        <f>IF(ISNUMBER(U1100),ABS(U1100),"")</f>
        <v/>
      </c>
      <c r="W1100" s="49">
        <f>IF(OR($E1099&lt;&gt;"측정",$C1099&lt;&gt;$C1100,$D1099&lt;&gt;$D1100,NOT(ISNUMBER(M1100)),NOT(ISNUMBER(M1099)),(IF(ISNUMBER(H1100),H1100,G1100)-IF(ISNUMBER(H1099),H1099,G1099))=0),"",(M1100-M1099)/(IF(ISNUMBER(H1100),H1100,G1100)-IF(ISNUMBER(H1099),H1099,G1099)))</f>
        <v/>
      </c>
      <c r="X1100" s="31">
        <f>IF(NOT(AND(ISNUMBER(O1100),ISNUMBER(Q1100))),"",(Q1100-O1100)*1440)</f>
        <v/>
      </c>
      <c r="Y1100" s="29" t="n"/>
      <c r="Z1100" s="29" t="n"/>
      <c r="AA1100" s="29" t="n"/>
      <c r="AB1100" s="32" t="n"/>
      <c r="AC1100" s="32" t="n"/>
    </row>
    <row r="1101">
      <c r="A1101" s="26" t="inlineStr">
        <is>
          <t>S22</t>
        </is>
      </c>
      <c r="B1101" s="26" t="inlineStr">
        <is>
          <t>완도 신규점</t>
        </is>
      </c>
      <c r="C1101" s="26" t="inlineStr">
        <is>
          <t>S22-H동</t>
        </is>
      </c>
      <c r="D1101" s="47" t="n">
        <v>1</v>
      </c>
      <c r="E1101" s="26" t="inlineStr">
        <is>
          <t>측정</t>
        </is>
      </c>
      <c r="F1101" s="26" t="inlineStr">
        <is>
          <t>동</t>
        </is>
      </c>
      <c r="G1101" s="31" t="n">
        <v>2</v>
      </c>
      <c r="H1101" s="30" t="n"/>
      <c r="I1101" s="43" t="n"/>
      <c r="J1101" s="41" t="n"/>
      <c r="K1101" s="41" t="n"/>
      <c r="L1101" s="41" t="n"/>
      <c r="M1101" s="31">
        <f>IF(COUNT(J1101:L1101)=0,"",MEDIAN(J1101:L1101))</f>
        <v/>
      </c>
      <c r="N1101" s="26">
        <f>IF(COUNTIFS($C:$C,$C1101,$D:$D,$D1101,$E:$E,"P0(전)",$M:$M,"&gt;0")&lt;&gt;1,"P0(전) 유효 1개 아님",IF(COUNTIFS($C:$C,$C1101,$D:$D,$D1101,$E:$E,"P0(후)",$M:$M,"&gt;0")&lt;&gt;1,"P0(후) 유효 1개 아님",IF(NOT(AND(ISNUMBER(O1101),ISNUMBER(Q1101),ISNUMBER(I1101))),"시각 결측",IF(Q1101&lt;=O1101,"P0 시각 역전",IF(OR(I1101&lt;O1101,I1101&gt;Q1101),"측정시각 구간 밖","OK")))))</f>
        <v/>
      </c>
      <c r="O1101" s="48">
        <f>IF(COUNTIFS($C:$C,$C1101,$D:$D,$D1101,$E:$E,"P0(전)",$M:$M,"&gt;0")&lt;&gt;1,"",SUMIFS($I:$I,$C:$C,$C1101,$D:$D,$D1101,$E:$E,"P0(전)"))</f>
        <v/>
      </c>
      <c r="P1101" s="31">
        <f>IF(COUNTIFS($C:$C,$C1101,$D:$D,$D1101,$E:$E,"P0(전)",$M:$M,"&gt;0")&lt;&gt;1,"",SUMIFS($M:$M,$C:$C,$C1101,$D:$D,$D1101,$E:$E,"P0(전)"))</f>
        <v/>
      </c>
      <c r="Q1101" s="48">
        <f>IF(COUNTIFS($C:$C,$C1101,$D:$D,$D1101,$E:$E,"P0(후)",$M:$M,"&gt;0")&lt;&gt;1,"",SUMIFS($I:$I,$C:$C,$C1101,$D:$D,$D1101,$E:$E,"P0(후)"))</f>
        <v/>
      </c>
      <c r="R1101" s="31">
        <f>IF(COUNTIFS($C:$C,$C1101,$D:$D,$D1101,$E:$E,"P0(후)",$M:$M,"&gt;0")&lt;&gt;1,"",SUMIFS($M:$M,$C:$C,$C1101,$D:$D,$D1101,$E:$E,"P0(후)"))</f>
        <v/>
      </c>
      <c r="S1101" s="31">
        <f>IF(N1101&lt;&gt;"OK","",P1101+(R1101-P1101)*(I1101-O1101)/(Q1101-O1101))</f>
        <v/>
      </c>
      <c r="T1101" s="31">
        <f>IF(OR(N1101&lt;&gt;"OK",NOT(ISNUMBER(M1101))),"",M1101-S1101)</f>
        <v/>
      </c>
      <c r="U1101" s="49">
        <f>IF(OR(NOT(ISNUMBER(T1101)),IF(ISNUMBER(H1101),H1101,G1101)=0),"",T1101/IF(ISNUMBER(H1101),H1101,G1101))</f>
        <v/>
      </c>
      <c r="V1101" s="49">
        <f>IF(ISNUMBER(U1101),ABS(U1101),"")</f>
        <v/>
      </c>
      <c r="W1101" s="49">
        <f>IF(OR($E1100&lt;&gt;"측정",$C1100&lt;&gt;$C1101,$D1100&lt;&gt;$D1101,NOT(ISNUMBER(M1101)),NOT(ISNUMBER(M1100)),(IF(ISNUMBER(H1101),H1101,G1101)-IF(ISNUMBER(H1100),H1100,G1100))=0),"",(M1101-M1100)/(IF(ISNUMBER(H1101),H1101,G1101)-IF(ISNUMBER(H1100),H1100,G1100)))</f>
        <v/>
      </c>
      <c r="X1101" s="31">
        <f>IF(NOT(AND(ISNUMBER(O1101),ISNUMBER(Q1101))),"",(Q1101-O1101)*1440)</f>
        <v/>
      </c>
      <c r="Y1101" s="29" t="n"/>
      <c r="Z1101" s="29" t="n"/>
      <c r="AA1101" s="29" t="n"/>
      <c r="AB1101" s="32" t="n"/>
      <c r="AC1101" s="32" t="n"/>
    </row>
    <row r="1102">
      <c r="A1102" s="26" t="inlineStr">
        <is>
          <t>S22</t>
        </is>
      </c>
      <c r="B1102" s="26" t="inlineStr">
        <is>
          <t>완도 신규점</t>
        </is>
      </c>
      <c r="C1102" s="26" t="inlineStr">
        <is>
          <t>S22-H동</t>
        </is>
      </c>
      <c r="D1102" s="47" t="n">
        <v>1</v>
      </c>
      <c r="E1102" s="26" t="inlineStr">
        <is>
          <t>측정</t>
        </is>
      </c>
      <c r="F1102" s="26" t="inlineStr">
        <is>
          <t>동</t>
        </is>
      </c>
      <c r="G1102" s="31" t="n">
        <v>3</v>
      </c>
      <c r="H1102" s="30" t="n"/>
      <c r="I1102" s="43" t="n"/>
      <c r="J1102" s="41" t="n"/>
      <c r="K1102" s="41" t="n"/>
      <c r="L1102" s="41" t="n"/>
      <c r="M1102" s="31">
        <f>IF(COUNT(J1102:L1102)=0,"",MEDIAN(J1102:L1102))</f>
        <v/>
      </c>
      <c r="N1102" s="26">
        <f>IF(COUNTIFS($C:$C,$C1102,$D:$D,$D1102,$E:$E,"P0(전)",$M:$M,"&gt;0")&lt;&gt;1,"P0(전) 유효 1개 아님",IF(COUNTIFS($C:$C,$C1102,$D:$D,$D1102,$E:$E,"P0(후)",$M:$M,"&gt;0")&lt;&gt;1,"P0(후) 유효 1개 아님",IF(NOT(AND(ISNUMBER(O1102),ISNUMBER(Q1102),ISNUMBER(I1102))),"시각 결측",IF(Q1102&lt;=O1102,"P0 시각 역전",IF(OR(I1102&lt;O1102,I1102&gt;Q1102),"측정시각 구간 밖","OK")))))</f>
        <v/>
      </c>
      <c r="O1102" s="48">
        <f>IF(COUNTIFS($C:$C,$C1102,$D:$D,$D1102,$E:$E,"P0(전)",$M:$M,"&gt;0")&lt;&gt;1,"",SUMIFS($I:$I,$C:$C,$C1102,$D:$D,$D1102,$E:$E,"P0(전)"))</f>
        <v/>
      </c>
      <c r="P1102" s="31">
        <f>IF(COUNTIFS($C:$C,$C1102,$D:$D,$D1102,$E:$E,"P0(전)",$M:$M,"&gt;0")&lt;&gt;1,"",SUMIFS($M:$M,$C:$C,$C1102,$D:$D,$D1102,$E:$E,"P0(전)"))</f>
        <v/>
      </c>
      <c r="Q1102" s="48">
        <f>IF(COUNTIFS($C:$C,$C1102,$D:$D,$D1102,$E:$E,"P0(후)",$M:$M,"&gt;0")&lt;&gt;1,"",SUMIFS($I:$I,$C:$C,$C1102,$D:$D,$D1102,$E:$E,"P0(후)"))</f>
        <v/>
      </c>
      <c r="R1102" s="31">
        <f>IF(COUNTIFS($C:$C,$C1102,$D:$D,$D1102,$E:$E,"P0(후)",$M:$M,"&gt;0")&lt;&gt;1,"",SUMIFS($M:$M,$C:$C,$C1102,$D:$D,$D1102,$E:$E,"P0(후)"))</f>
        <v/>
      </c>
      <c r="S1102" s="31">
        <f>IF(N1102&lt;&gt;"OK","",P1102+(R1102-P1102)*(I1102-O1102)/(Q1102-O1102))</f>
        <v/>
      </c>
      <c r="T1102" s="31">
        <f>IF(OR(N1102&lt;&gt;"OK",NOT(ISNUMBER(M1102))),"",M1102-S1102)</f>
        <v/>
      </c>
      <c r="U1102" s="49">
        <f>IF(OR(NOT(ISNUMBER(T1102)),IF(ISNUMBER(H1102),H1102,G1102)=0),"",T1102/IF(ISNUMBER(H1102),H1102,G1102))</f>
        <v/>
      </c>
      <c r="V1102" s="49">
        <f>IF(ISNUMBER(U1102),ABS(U1102),"")</f>
        <v/>
      </c>
      <c r="W1102" s="49">
        <f>IF(OR($E1101&lt;&gt;"측정",$C1101&lt;&gt;$C1102,$D1101&lt;&gt;$D1102,NOT(ISNUMBER(M1102)),NOT(ISNUMBER(M1101)),(IF(ISNUMBER(H1102),H1102,G1102)-IF(ISNUMBER(H1101),H1101,G1101))=0),"",(M1102-M1101)/(IF(ISNUMBER(H1102),H1102,G1102)-IF(ISNUMBER(H1101),H1101,G1101)))</f>
        <v/>
      </c>
      <c r="X1102" s="31">
        <f>IF(NOT(AND(ISNUMBER(O1102),ISNUMBER(Q1102))),"",(Q1102-O1102)*1440)</f>
        <v/>
      </c>
      <c r="Y1102" s="29" t="n"/>
      <c r="Z1102" s="29" t="n"/>
      <c r="AA1102" s="29" t="n"/>
      <c r="AB1102" s="32" t="n"/>
      <c r="AC1102" s="32" t="n"/>
    </row>
    <row r="1103">
      <c r="A1103" s="26" t="inlineStr">
        <is>
          <t>S22</t>
        </is>
      </c>
      <c r="B1103" s="26" t="inlineStr">
        <is>
          <t>완도 신규점</t>
        </is>
      </c>
      <c r="C1103" s="26" t="inlineStr">
        <is>
          <t>S22-H동</t>
        </is>
      </c>
      <c r="D1103" s="47" t="n">
        <v>1</v>
      </c>
      <c r="E1103" s="26" t="inlineStr">
        <is>
          <t>측정</t>
        </is>
      </c>
      <c r="F1103" s="26" t="inlineStr">
        <is>
          <t>동</t>
        </is>
      </c>
      <c r="G1103" s="31" t="n">
        <v>4</v>
      </c>
      <c r="H1103" s="30" t="n"/>
      <c r="I1103" s="43" t="n"/>
      <c r="J1103" s="41" t="n"/>
      <c r="K1103" s="41" t="n"/>
      <c r="L1103" s="41" t="n"/>
      <c r="M1103" s="31">
        <f>IF(COUNT(J1103:L1103)=0,"",MEDIAN(J1103:L1103))</f>
        <v/>
      </c>
      <c r="N1103" s="26">
        <f>IF(COUNTIFS($C:$C,$C1103,$D:$D,$D1103,$E:$E,"P0(전)",$M:$M,"&gt;0")&lt;&gt;1,"P0(전) 유효 1개 아님",IF(COUNTIFS($C:$C,$C1103,$D:$D,$D1103,$E:$E,"P0(후)",$M:$M,"&gt;0")&lt;&gt;1,"P0(후) 유효 1개 아님",IF(NOT(AND(ISNUMBER(O1103),ISNUMBER(Q1103),ISNUMBER(I1103))),"시각 결측",IF(Q1103&lt;=O1103,"P0 시각 역전",IF(OR(I1103&lt;O1103,I1103&gt;Q1103),"측정시각 구간 밖","OK")))))</f>
        <v/>
      </c>
      <c r="O1103" s="48">
        <f>IF(COUNTIFS($C:$C,$C1103,$D:$D,$D1103,$E:$E,"P0(전)",$M:$M,"&gt;0")&lt;&gt;1,"",SUMIFS($I:$I,$C:$C,$C1103,$D:$D,$D1103,$E:$E,"P0(전)"))</f>
        <v/>
      </c>
      <c r="P1103" s="31">
        <f>IF(COUNTIFS($C:$C,$C1103,$D:$D,$D1103,$E:$E,"P0(전)",$M:$M,"&gt;0")&lt;&gt;1,"",SUMIFS($M:$M,$C:$C,$C1103,$D:$D,$D1103,$E:$E,"P0(전)"))</f>
        <v/>
      </c>
      <c r="Q1103" s="48">
        <f>IF(COUNTIFS($C:$C,$C1103,$D:$D,$D1103,$E:$E,"P0(후)",$M:$M,"&gt;0")&lt;&gt;1,"",SUMIFS($I:$I,$C:$C,$C1103,$D:$D,$D1103,$E:$E,"P0(후)"))</f>
        <v/>
      </c>
      <c r="R1103" s="31">
        <f>IF(COUNTIFS($C:$C,$C1103,$D:$D,$D1103,$E:$E,"P0(후)",$M:$M,"&gt;0")&lt;&gt;1,"",SUMIFS($M:$M,$C:$C,$C1103,$D:$D,$D1103,$E:$E,"P0(후)"))</f>
        <v/>
      </c>
      <c r="S1103" s="31">
        <f>IF(N1103&lt;&gt;"OK","",P1103+(R1103-P1103)*(I1103-O1103)/(Q1103-O1103))</f>
        <v/>
      </c>
      <c r="T1103" s="31">
        <f>IF(OR(N1103&lt;&gt;"OK",NOT(ISNUMBER(M1103))),"",M1103-S1103)</f>
        <v/>
      </c>
      <c r="U1103" s="49">
        <f>IF(OR(NOT(ISNUMBER(T1103)),IF(ISNUMBER(H1103),H1103,G1103)=0),"",T1103/IF(ISNUMBER(H1103),H1103,G1103))</f>
        <v/>
      </c>
      <c r="V1103" s="49">
        <f>IF(ISNUMBER(U1103),ABS(U1103),"")</f>
        <v/>
      </c>
      <c r="W1103" s="49">
        <f>IF(OR($E1102&lt;&gt;"측정",$C1102&lt;&gt;$C1103,$D1102&lt;&gt;$D1103,NOT(ISNUMBER(M1103)),NOT(ISNUMBER(M1102)),(IF(ISNUMBER(H1103),H1103,G1103)-IF(ISNUMBER(H1102),H1102,G1102))=0),"",(M1103-M1102)/(IF(ISNUMBER(H1103),H1103,G1103)-IF(ISNUMBER(H1102),H1102,G1102)))</f>
        <v/>
      </c>
      <c r="X1103" s="31">
        <f>IF(NOT(AND(ISNUMBER(O1103),ISNUMBER(Q1103))),"",(Q1103-O1103)*1440)</f>
        <v/>
      </c>
      <c r="Y1103" s="29" t="n"/>
      <c r="Z1103" s="29" t="n"/>
      <c r="AA1103" s="29" t="n"/>
      <c r="AB1103" s="32" t="n"/>
      <c r="AC1103" s="32" t="n"/>
    </row>
    <row r="1104">
      <c r="A1104" s="26" t="inlineStr">
        <is>
          <t>S22</t>
        </is>
      </c>
      <c r="B1104" s="26" t="inlineStr">
        <is>
          <t>완도 신규점</t>
        </is>
      </c>
      <c r="C1104" s="26" t="inlineStr">
        <is>
          <t>S22-H동</t>
        </is>
      </c>
      <c r="D1104" s="47" t="n">
        <v>1</v>
      </c>
      <c r="E1104" s="26" t="inlineStr">
        <is>
          <t>측정</t>
        </is>
      </c>
      <c r="F1104" s="26" t="inlineStr">
        <is>
          <t>동</t>
        </is>
      </c>
      <c r="G1104" s="31" t="n">
        <v>5</v>
      </c>
      <c r="H1104" s="30" t="n"/>
      <c r="I1104" s="43" t="n"/>
      <c r="J1104" s="41" t="n"/>
      <c r="K1104" s="41" t="n"/>
      <c r="L1104" s="41" t="n"/>
      <c r="M1104" s="31">
        <f>IF(COUNT(J1104:L1104)=0,"",MEDIAN(J1104:L1104))</f>
        <v/>
      </c>
      <c r="N1104" s="26">
        <f>IF(COUNTIFS($C:$C,$C1104,$D:$D,$D1104,$E:$E,"P0(전)",$M:$M,"&gt;0")&lt;&gt;1,"P0(전) 유효 1개 아님",IF(COUNTIFS($C:$C,$C1104,$D:$D,$D1104,$E:$E,"P0(후)",$M:$M,"&gt;0")&lt;&gt;1,"P0(후) 유효 1개 아님",IF(NOT(AND(ISNUMBER(O1104),ISNUMBER(Q1104),ISNUMBER(I1104))),"시각 결측",IF(Q1104&lt;=O1104,"P0 시각 역전",IF(OR(I1104&lt;O1104,I1104&gt;Q1104),"측정시각 구간 밖","OK")))))</f>
        <v/>
      </c>
      <c r="O1104" s="48">
        <f>IF(COUNTIFS($C:$C,$C1104,$D:$D,$D1104,$E:$E,"P0(전)",$M:$M,"&gt;0")&lt;&gt;1,"",SUMIFS($I:$I,$C:$C,$C1104,$D:$D,$D1104,$E:$E,"P0(전)"))</f>
        <v/>
      </c>
      <c r="P1104" s="31">
        <f>IF(COUNTIFS($C:$C,$C1104,$D:$D,$D1104,$E:$E,"P0(전)",$M:$M,"&gt;0")&lt;&gt;1,"",SUMIFS($M:$M,$C:$C,$C1104,$D:$D,$D1104,$E:$E,"P0(전)"))</f>
        <v/>
      </c>
      <c r="Q1104" s="48">
        <f>IF(COUNTIFS($C:$C,$C1104,$D:$D,$D1104,$E:$E,"P0(후)",$M:$M,"&gt;0")&lt;&gt;1,"",SUMIFS($I:$I,$C:$C,$C1104,$D:$D,$D1104,$E:$E,"P0(후)"))</f>
        <v/>
      </c>
      <c r="R1104" s="31">
        <f>IF(COUNTIFS($C:$C,$C1104,$D:$D,$D1104,$E:$E,"P0(후)",$M:$M,"&gt;0")&lt;&gt;1,"",SUMIFS($M:$M,$C:$C,$C1104,$D:$D,$D1104,$E:$E,"P0(후)"))</f>
        <v/>
      </c>
      <c r="S1104" s="31">
        <f>IF(N1104&lt;&gt;"OK","",P1104+(R1104-P1104)*(I1104-O1104)/(Q1104-O1104))</f>
        <v/>
      </c>
      <c r="T1104" s="31">
        <f>IF(OR(N1104&lt;&gt;"OK",NOT(ISNUMBER(M1104))),"",M1104-S1104)</f>
        <v/>
      </c>
      <c r="U1104" s="49">
        <f>IF(OR(NOT(ISNUMBER(T1104)),IF(ISNUMBER(H1104),H1104,G1104)=0),"",T1104/IF(ISNUMBER(H1104),H1104,G1104))</f>
        <v/>
      </c>
      <c r="V1104" s="49">
        <f>IF(ISNUMBER(U1104),ABS(U1104),"")</f>
        <v/>
      </c>
      <c r="W1104" s="49">
        <f>IF(OR($E1103&lt;&gt;"측정",$C1103&lt;&gt;$C1104,$D1103&lt;&gt;$D1104,NOT(ISNUMBER(M1104)),NOT(ISNUMBER(M1103)),(IF(ISNUMBER(H1104),H1104,G1104)-IF(ISNUMBER(H1103),H1103,G1103))=0),"",(M1104-M1103)/(IF(ISNUMBER(H1104),H1104,G1104)-IF(ISNUMBER(H1103),H1103,G1103)))</f>
        <v/>
      </c>
      <c r="X1104" s="31">
        <f>IF(NOT(AND(ISNUMBER(O1104),ISNUMBER(Q1104))),"",(Q1104-O1104)*1440)</f>
        <v/>
      </c>
      <c r="Y1104" s="29" t="n"/>
      <c r="Z1104" s="29" t="n"/>
      <c r="AA1104" s="29" t="n"/>
      <c r="AB1104" s="32" t="n"/>
      <c r="AC1104" s="32" t="n"/>
    </row>
    <row r="1105">
      <c r="A1105" s="26" t="inlineStr">
        <is>
          <t>S22</t>
        </is>
      </c>
      <c r="B1105" s="26" t="inlineStr">
        <is>
          <t>완도 신규점</t>
        </is>
      </c>
      <c r="C1105" s="26" t="inlineStr">
        <is>
          <t>S22-H동</t>
        </is>
      </c>
      <c r="D1105" s="47" t="n">
        <v>1</v>
      </c>
      <c r="E1105" s="26" t="inlineStr">
        <is>
          <t>측정</t>
        </is>
      </c>
      <c r="F1105" s="26" t="inlineStr">
        <is>
          <t>동</t>
        </is>
      </c>
      <c r="G1105" s="31" t="n">
        <v>6</v>
      </c>
      <c r="H1105" s="30" t="n"/>
      <c r="I1105" s="43" t="n"/>
      <c r="J1105" s="41" t="n"/>
      <c r="K1105" s="41" t="n"/>
      <c r="L1105" s="41" t="n"/>
      <c r="M1105" s="31">
        <f>IF(COUNT(J1105:L1105)=0,"",MEDIAN(J1105:L1105))</f>
        <v/>
      </c>
      <c r="N1105" s="26">
        <f>IF(COUNTIFS($C:$C,$C1105,$D:$D,$D1105,$E:$E,"P0(전)",$M:$M,"&gt;0")&lt;&gt;1,"P0(전) 유효 1개 아님",IF(COUNTIFS($C:$C,$C1105,$D:$D,$D1105,$E:$E,"P0(후)",$M:$M,"&gt;0")&lt;&gt;1,"P0(후) 유효 1개 아님",IF(NOT(AND(ISNUMBER(O1105),ISNUMBER(Q1105),ISNUMBER(I1105))),"시각 결측",IF(Q1105&lt;=O1105,"P0 시각 역전",IF(OR(I1105&lt;O1105,I1105&gt;Q1105),"측정시각 구간 밖","OK")))))</f>
        <v/>
      </c>
      <c r="O1105" s="48">
        <f>IF(COUNTIFS($C:$C,$C1105,$D:$D,$D1105,$E:$E,"P0(전)",$M:$M,"&gt;0")&lt;&gt;1,"",SUMIFS($I:$I,$C:$C,$C1105,$D:$D,$D1105,$E:$E,"P0(전)"))</f>
        <v/>
      </c>
      <c r="P1105" s="31">
        <f>IF(COUNTIFS($C:$C,$C1105,$D:$D,$D1105,$E:$E,"P0(전)",$M:$M,"&gt;0")&lt;&gt;1,"",SUMIFS($M:$M,$C:$C,$C1105,$D:$D,$D1105,$E:$E,"P0(전)"))</f>
        <v/>
      </c>
      <c r="Q1105" s="48">
        <f>IF(COUNTIFS($C:$C,$C1105,$D:$D,$D1105,$E:$E,"P0(후)",$M:$M,"&gt;0")&lt;&gt;1,"",SUMIFS($I:$I,$C:$C,$C1105,$D:$D,$D1105,$E:$E,"P0(후)"))</f>
        <v/>
      </c>
      <c r="R1105" s="31">
        <f>IF(COUNTIFS($C:$C,$C1105,$D:$D,$D1105,$E:$E,"P0(후)",$M:$M,"&gt;0")&lt;&gt;1,"",SUMIFS($M:$M,$C:$C,$C1105,$D:$D,$D1105,$E:$E,"P0(후)"))</f>
        <v/>
      </c>
      <c r="S1105" s="31">
        <f>IF(N1105&lt;&gt;"OK","",P1105+(R1105-P1105)*(I1105-O1105)/(Q1105-O1105))</f>
        <v/>
      </c>
      <c r="T1105" s="31">
        <f>IF(OR(N1105&lt;&gt;"OK",NOT(ISNUMBER(M1105))),"",M1105-S1105)</f>
        <v/>
      </c>
      <c r="U1105" s="49">
        <f>IF(OR(NOT(ISNUMBER(T1105)),IF(ISNUMBER(H1105),H1105,G1105)=0),"",T1105/IF(ISNUMBER(H1105),H1105,G1105))</f>
        <v/>
      </c>
      <c r="V1105" s="49">
        <f>IF(ISNUMBER(U1105),ABS(U1105),"")</f>
        <v/>
      </c>
      <c r="W1105" s="49">
        <f>IF(OR($E1104&lt;&gt;"측정",$C1104&lt;&gt;$C1105,$D1104&lt;&gt;$D1105,NOT(ISNUMBER(M1105)),NOT(ISNUMBER(M1104)),(IF(ISNUMBER(H1105),H1105,G1105)-IF(ISNUMBER(H1104),H1104,G1104))=0),"",(M1105-M1104)/(IF(ISNUMBER(H1105),H1105,G1105)-IF(ISNUMBER(H1104),H1104,G1104)))</f>
        <v/>
      </c>
      <c r="X1105" s="31">
        <f>IF(NOT(AND(ISNUMBER(O1105),ISNUMBER(Q1105))),"",(Q1105-O1105)*1440)</f>
        <v/>
      </c>
      <c r="Y1105" s="29" t="n"/>
      <c r="Z1105" s="29" t="n"/>
      <c r="AA1105" s="29" t="n"/>
      <c r="AB1105" s="32" t="n"/>
      <c r="AC1105" s="32" t="n"/>
    </row>
    <row r="1106">
      <c r="A1106" s="26" t="inlineStr">
        <is>
          <t>S22</t>
        </is>
      </c>
      <c r="B1106" s="26" t="inlineStr">
        <is>
          <t>완도 신규점</t>
        </is>
      </c>
      <c r="C1106" s="26" t="inlineStr">
        <is>
          <t>S22-H동</t>
        </is>
      </c>
      <c r="D1106" s="47" t="n">
        <v>1</v>
      </c>
      <c r="E1106" s="26" t="inlineStr">
        <is>
          <t>측정</t>
        </is>
      </c>
      <c r="F1106" s="26" t="inlineStr">
        <is>
          <t>동</t>
        </is>
      </c>
      <c r="G1106" s="31" t="n">
        <v>7</v>
      </c>
      <c r="H1106" s="30" t="n"/>
      <c r="I1106" s="43" t="n"/>
      <c r="J1106" s="41" t="n"/>
      <c r="K1106" s="41" t="n"/>
      <c r="L1106" s="41" t="n"/>
      <c r="M1106" s="31">
        <f>IF(COUNT(J1106:L1106)=0,"",MEDIAN(J1106:L1106))</f>
        <v/>
      </c>
      <c r="N1106" s="26">
        <f>IF(COUNTIFS($C:$C,$C1106,$D:$D,$D1106,$E:$E,"P0(전)",$M:$M,"&gt;0")&lt;&gt;1,"P0(전) 유효 1개 아님",IF(COUNTIFS($C:$C,$C1106,$D:$D,$D1106,$E:$E,"P0(후)",$M:$M,"&gt;0")&lt;&gt;1,"P0(후) 유효 1개 아님",IF(NOT(AND(ISNUMBER(O1106),ISNUMBER(Q1106),ISNUMBER(I1106))),"시각 결측",IF(Q1106&lt;=O1106,"P0 시각 역전",IF(OR(I1106&lt;O1106,I1106&gt;Q1106),"측정시각 구간 밖","OK")))))</f>
        <v/>
      </c>
      <c r="O1106" s="48">
        <f>IF(COUNTIFS($C:$C,$C1106,$D:$D,$D1106,$E:$E,"P0(전)",$M:$M,"&gt;0")&lt;&gt;1,"",SUMIFS($I:$I,$C:$C,$C1106,$D:$D,$D1106,$E:$E,"P0(전)"))</f>
        <v/>
      </c>
      <c r="P1106" s="31">
        <f>IF(COUNTIFS($C:$C,$C1106,$D:$D,$D1106,$E:$E,"P0(전)",$M:$M,"&gt;0")&lt;&gt;1,"",SUMIFS($M:$M,$C:$C,$C1106,$D:$D,$D1106,$E:$E,"P0(전)"))</f>
        <v/>
      </c>
      <c r="Q1106" s="48">
        <f>IF(COUNTIFS($C:$C,$C1106,$D:$D,$D1106,$E:$E,"P0(후)",$M:$M,"&gt;0")&lt;&gt;1,"",SUMIFS($I:$I,$C:$C,$C1106,$D:$D,$D1106,$E:$E,"P0(후)"))</f>
        <v/>
      </c>
      <c r="R1106" s="31">
        <f>IF(COUNTIFS($C:$C,$C1106,$D:$D,$D1106,$E:$E,"P0(후)",$M:$M,"&gt;0")&lt;&gt;1,"",SUMIFS($M:$M,$C:$C,$C1106,$D:$D,$D1106,$E:$E,"P0(후)"))</f>
        <v/>
      </c>
      <c r="S1106" s="31">
        <f>IF(N1106&lt;&gt;"OK","",P1106+(R1106-P1106)*(I1106-O1106)/(Q1106-O1106))</f>
        <v/>
      </c>
      <c r="T1106" s="31">
        <f>IF(OR(N1106&lt;&gt;"OK",NOT(ISNUMBER(M1106))),"",M1106-S1106)</f>
        <v/>
      </c>
      <c r="U1106" s="49">
        <f>IF(OR(NOT(ISNUMBER(T1106)),IF(ISNUMBER(H1106),H1106,G1106)=0),"",T1106/IF(ISNUMBER(H1106),H1106,G1106))</f>
        <v/>
      </c>
      <c r="V1106" s="49">
        <f>IF(ISNUMBER(U1106),ABS(U1106),"")</f>
        <v/>
      </c>
      <c r="W1106" s="49">
        <f>IF(OR($E1105&lt;&gt;"측정",$C1105&lt;&gt;$C1106,$D1105&lt;&gt;$D1106,NOT(ISNUMBER(M1106)),NOT(ISNUMBER(M1105)),(IF(ISNUMBER(H1106),H1106,G1106)-IF(ISNUMBER(H1105),H1105,G1105))=0),"",(M1106-M1105)/(IF(ISNUMBER(H1106),H1106,G1106)-IF(ISNUMBER(H1105),H1105,G1105)))</f>
        <v/>
      </c>
      <c r="X1106" s="31">
        <f>IF(NOT(AND(ISNUMBER(O1106),ISNUMBER(Q1106))),"",(Q1106-O1106)*1440)</f>
        <v/>
      </c>
      <c r="Y1106" s="29" t="n"/>
      <c r="Z1106" s="29" t="n"/>
      <c r="AA1106" s="29" t="n"/>
      <c r="AB1106" s="32" t="n"/>
      <c r="AC1106" s="32" t="n"/>
    </row>
    <row r="1107">
      <c r="A1107" s="26" t="inlineStr">
        <is>
          <t>S22</t>
        </is>
      </c>
      <c r="B1107" s="26" t="inlineStr">
        <is>
          <t>완도 신규점</t>
        </is>
      </c>
      <c r="C1107" s="26" t="inlineStr">
        <is>
          <t>S22-H동</t>
        </is>
      </c>
      <c r="D1107" s="47" t="n">
        <v>1</v>
      </c>
      <c r="E1107" s="26" t="inlineStr">
        <is>
          <t>측정</t>
        </is>
      </c>
      <c r="F1107" s="26" t="inlineStr">
        <is>
          <t>동</t>
        </is>
      </c>
      <c r="G1107" s="31" t="n">
        <v>8</v>
      </c>
      <c r="H1107" s="30" t="n"/>
      <c r="I1107" s="43" t="n"/>
      <c r="J1107" s="41" t="n"/>
      <c r="K1107" s="41" t="n"/>
      <c r="L1107" s="41" t="n"/>
      <c r="M1107" s="31">
        <f>IF(COUNT(J1107:L1107)=0,"",MEDIAN(J1107:L1107))</f>
        <v/>
      </c>
      <c r="N1107" s="26">
        <f>IF(COUNTIFS($C:$C,$C1107,$D:$D,$D1107,$E:$E,"P0(전)",$M:$M,"&gt;0")&lt;&gt;1,"P0(전) 유효 1개 아님",IF(COUNTIFS($C:$C,$C1107,$D:$D,$D1107,$E:$E,"P0(후)",$M:$M,"&gt;0")&lt;&gt;1,"P0(후) 유효 1개 아님",IF(NOT(AND(ISNUMBER(O1107),ISNUMBER(Q1107),ISNUMBER(I1107))),"시각 결측",IF(Q1107&lt;=O1107,"P0 시각 역전",IF(OR(I1107&lt;O1107,I1107&gt;Q1107),"측정시각 구간 밖","OK")))))</f>
        <v/>
      </c>
      <c r="O1107" s="48">
        <f>IF(COUNTIFS($C:$C,$C1107,$D:$D,$D1107,$E:$E,"P0(전)",$M:$M,"&gt;0")&lt;&gt;1,"",SUMIFS($I:$I,$C:$C,$C1107,$D:$D,$D1107,$E:$E,"P0(전)"))</f>
        <v/>
      </c>
      <c r="P1107" s="31">
        <f>IF(COUNTIFS($C:$C,$C1107,$D:$D,$D1107,$E:$E,"P0(전)",$M:$M,"&gt;0")&lt;&gt;1,"",SUMIFS($M:$M,$C:$C,$C1107,$D:$D,$D1107,$E:$E,"P0(전)"))</f>
        <v/>
      </c>
      <c r="Q1107" s="48">
        <f>IF(COUNTIFS($C:$C,$C1107,$D:$D,$D1107,$E:$E,"P0(후)",$M:$M,"&gt;0")&lt;&gt;1,"",SUMIFS($I:$I,$C:$C,$C1107,$D:$D,$D1107,$E:$E,"P0(후)"))</f>
        <v/>
      </c>
      <c r="R1107" s="31">
        <f>IF(COUNTIFS($C:$C,$C1107,$D:$D,$D1107,$E:$E,"P0(후)",$M:$M,"&gt;0")&lt;&gt;1,"",SUMIFS($M:$M,$C:$C,$C1107,$D:$D,$D1107,$E:$E,"P0(후)"))</f>
        <v/>
      </c>
      <c r="S1107" s="31">
        <f>IF(N1107&lt;&gt;"OK","",P1107+(R1107-P1107)*(I1107-O1107)/(Q1107-O1107))</f>
        <v/>
      </c>
      <c r="T1107" s="31">
        <f>IF(OR(N1107&lt;&gt;"OK",NOT(ISNUMBER(M1107))),"",M1107-S1107)</f>
        <v/>
      </c>
      <c r="U1107" s="49">
        <f>IF(OR(NOT(ISNUMBER(T1107)),IF(ISNUMBER(H1107),H1107,G1107)=0),"",T1107/IF(ISNUMBER(H1107),H1107,G1107))</f>
        <v/>
      </c>
      <c r="V1107" s="49">
        <f>IF(ISNUMBER(U1107),ABS(U1107),"")</f>
        <v/>
      </c>
      <c r="W1107" s="49">
        <f>IF(OR($E1106&lt;&gt;"측정",$C1106&lt;&gt;$C1107,$D1106&lt;&gt;$D1107,NOT(ISNUMBER(M1107)),NOT(ISNUMBER(M1106)),(IF(ISNUMBER(H1107),H1107,G1107)-IF(ISNUMBER(H1106),H1106,G1106))=0),"",(M1107-M1106)/(IF(ISNUMBER(H1107),H1107,G1107)-IF(ISNUMBER(H1106),H1106,G1106)))</f>
        <v/>
      </c>
      <c r="X1107" s="31">
        <f>IF(NOT(AND(ISNUMBER(O1107),ISNUMBER(Q1107))),"",(Q1107-O1107)*1440)</f>
        <v/>
      </c>
      <c r="Y1107" s="29" t="n"/>
      <c r="Z1107" s="29" t="n"/>
      <c r="AA1107" s="29" t="n"/>
      <c r="AB1107" s="32" t="n"/>
      <c r="AC1107" s="32" t="n"/>
    </row>
    <row r="1108">
      <c r="A1108" s="26" t="inlineStr">
        <is>
          <t>S22</t>
        </is>
      </c>
      <c r="B1108" s="26" t="inlineStr">
        <is>
          <t>완도 신규점</t>
        </is>
      </c>
      <c r="C1108" s="26" t="inlineStr">
        <is>
          <t>S22-H동</t>
        </is>
      </c>
      <c r="D1108" s="47" t="n">
        <v>1</v>
      </c>
      <c r="E1108" s="26" t="inlineStr">
        <is>
          <t>측정</t>
        </is>
      </c>
      <c r="F1108" s="26" t="inlineStr">
        <is>
          <t>동</t>
        </is>
      </c>
      <c r="G1108" s="31" t="n">
        <v>9</v>
      </c>
      <c r="H1108" s="30" t="n"/>
      <c r="I1108" s="43" t="n"/>
      <c r="J1108" s="41" t="n"/>
      <c r="K1108" s="41" t="n"/>
      <c r="L1108" s="41" t="n"/>
      <c r="M1108" s="31">
        <f>IF(COUNT(J1108:L1108)=0,"",MEDIAN(J1108:L1108))</f>
        <v/>
      </c>
      <c r="N1108" s="26">
        <f>IF(COUNTIFS($C:$C,$C1108,$D:$D,$D1108,$E:$E,"P0(전)",$M:$M,"&gt;0")&lt;&gt;1,"P0(전) 유효 1개 아님",IF(COUNTIFS($C:$C,$C1108,$D:$D,$D1108,$E:$E,"P0(후)",$M:$M,"&gt;0")&lt;&gt;1,"P0(후) 유효 1개 아님",IF(NOT(AND(ISNUMBER(O1108),ISNUMBER(Q1108),ISNUMBER(I1108))),"시각 결측",IF(Q1108&lt;=O1108,"P0 시각 역전",IF(OR(I1108&lt;O1108,I1108&gt;Q1108),"측정시각 구간 밖","OK")))))</f>
        <v/>
      </c>
      <c r="O1108" s="48">
        <f>IF(COUNTIFS($C:$C,$C1108,$D:$D,$D1108,$E:$E,"P0(전)",$M:$M,"&gt;0")&lt;&gt;1,"",SUMIFS($I:$I,$C:$C,$C1108,$D:$D,$D1108,$E:$E,"P0(전)"))</f>
        <v/>
      </c>
      <c r="P1108" s="31">
        <f>IF(COUNTIFS($C:$C,$C1108,$D:$D,$D1108,$E:$E,"P0(전)",$M:$M,"&gt;0")&lt;&gt;1,"",SUMIFS($M:$M,$C:$C,$C1108,$D:$D,$D1108,$E:$E,"P0(전)"))</f>
        <v/>
      </c>
      <c r="Q1108" s="48">
        <f>IF(COUNTIFS($C:$C,$C1108,$D:$D,$D1108,$E:$E,"P0(후)",$M:$M,"&gt;0")&lt;&gt;1,"",SUMIFS($I:$I,$C:$C,$C1108,$D:$D,$D1108,$E:$E,"P0(후)"))</f>
        <v/>
      </c>
      <c r="R1108" s="31">
        <f>IF(COUNTIFS($C:$C,$C1108,$D:$D,$D1108,$E:$E,"P0(후)",$M:$M,"&gt;0")&lt;&gt;1,"",SUMIFS($M:$M,$C:$C,$C1108,$D:$D,$D1108,$E:$E,"P0(후)"))</f>
        <v/>
      </c>
      <c r="S1108" s="31">
        <f>IF(N1108&lt;&gt;"OK","",P1108+(R1108-P1108)*(I1108-O1108)/(Q1108-O1108))</f>
        <v/>
      </c>
      <c r="T1108" s="31">
        <f>IF(OR(N1108&lt;&gt;"OK",NOT(ISNUMBER(M1108))),"",M1108-S1108)</f>
        <v/>
      </c>
      <c r="U1108" s="49">
        <f>IF(OR(NOT(ISNUMBER(T1108)),IF(ISNUMBER(H1108),H1108,G1108)=0),"",T1108/IF(ISNUMBER(H1108),H1108,G1108))</f>
        <v/>
      </c>
      <c r="V1108" s="49">
        <f>IF(ISNUMBER(U1108),ABS(U1108),"")</f>
        <v/>
      </c>
      <c r="W1108" s="49">
        <f>IF(OR($E1107&lt;&gt;"측정",$C1107&lt;&gt;$C1108,$D1107&lt;&gt;$D1108,NOT(ISNUMBER(M1108)),NOT(ISNUMBER(M1107)),(IF(ISNUMBER(H1108),H1108,G1108)-IF(ISNUMBER(H1107),H1107,G1107))=0),"",(M1108-M1107)/(IF(ISNUMBER(H1108),H1108,G1108)-IF(ISNUMBER(H1107),H1107,G1107)))</f>
        <v/>
      </c>
      <c r="X1108" s="31">
        <f>IF(NOT(AND(ISNUMBER(O1108),ISNUMBER(Q1108))),"",(Q1108-O1108)*1440)</f>
        <v/>
      </c>
      <c r="Y1108" s="29" t="n"/>
      <c r="Z1108" s="29" t="n"/>
      <c r="AA1108" s="29" t="n"/>
      <c r="AB1108" s="32" t="n"/>
      <c r="AC1108" s="32" t="n"/>
    </row>
    <row r="1109">
      <c r="A1109" s="26" t="inlineStr">
        <is>
          <t>S22</t>
        </is>
      </c>
      <c r="B1109" s="26" t="inlineStr">
        <is>
          <t>완도 신규점</t>
        </is>
      </c>
      <c r="C1109" s="26" t="inlineStr">
        <is>
          <t>S22-H동</t>
        </is>
      </c>
      <c r="D1109" s="47" t="n">
        <v>1</v>
      </c>
      <c r="E1109" s="26" t="inlineStr">
        <is>
          <t>측정</t>
        </is>
      </c>
      <c r="F1109" s="26" t="inlineStr">
        <is>
          <t>동</t>
        </is>
      </c>
      <c r="G1109" s="31" t="n">
        <v>10</v>
      </c>
      <c r="H1109" s="30" t="n"/>
      <c r="I1109" s="43" t="n"/>
      <c r="J1109" s="41" t="n"/>
      <c r="K1109" s="41" t="n"/>
      <c r="L1109" s="41" t="n"/>
      <c r="M1109" s="31">
        <f>IF(COUNT(J1109:L1109)=0,"",MEDIAN(J1109:L1109))</f>
        <v/>
      </c>
      <c r="N1109" s="26">
        <f>IF(COUNTIFS($C:$C,$C1109,$D:$D,$D1109,$E:$E,"P0(전)",$M:$M,"&gt;0")&lt;&gt;1,"P0(전) 유효 1개 아님",IF(COUNTIFS($C:$C,$C1109,$D:$D,$D1109,$E:$E,"P0(후)",$M:$M,"&gt;0")&lt;&gt;1,"P0(후) 유효 1개 아님",IF(NOT(AND(ISNUMBER(O1109),ISNUMBER(Q1109),ISNUMBER(I1109))),"시각 결측",IF(Q1109&lt;=O1109,"P0 시각 역전",IF(OR(I1109&lt;O1109,I1109&gt;Q1109),"측정시각 구간 밖","OK")))))</f>
        <v/>
      </c>
      <c r="O1109" s="48">
        <f>IF(COUNTIFS($C:$C,$C1109,$D:$D,$D1109,$E:$E,"P0(전)",$M:$M,"&gt;0")&lt;&gt;1,"",SUMIFS($I:$I,$C:$C,$C1109,$D:$D,$D1109,$E:$E,"P0(전)"))</f>
        <v/>
      </c>
      <c r="P1109" s="31">
        <f>IF(COUNTIFS($C:$C,$C1109,$D:$D,$D1109,$E:$E,"P0(전)",$M:$M,"&gt;0")&lt;&gt;1,"",SUMIFS($M:$M,$C:$C,$C1109,$D:$D,$D1109,$E:$E,"P0(전)"))</f>
        <v/>
      </c>
      <c r="Q1109" s="48">
        <f>IF(COUNTIFS($C:$C,$C1109,$D:$D,$D1109,$E:$E,"P0(후)",$M:$M,"&gt;0")&lt;&gt;1,"",SUMIFS($I:$I,$C:$C,$C1109,$D:$D,$D1109,$E:$E,"P0(후)"))</f>
        <v/>
      </c>
      <c r="R1109" s="31">
        <f>IF(COUNTIFS($C:$C,$C1109,$D:$D,$D1109,$E:$E,"P0(후)",$M:$M,"&gt;0")&lt;&gt;1,"",SUMIFS($M:$M,$C:$C,$C1109,$D:$D,$D1109,$E:$E,"P0(후)"))</f>
        <v/>
      </c>
      <c r="S1109" s="31">
        <f>IF(N1109&lt;&gt;"OK","",P1109+(R1109-P1109)*(I1109-O1109)/(Q1109-O1109))</f>
        <v/>
      </c>
      <c r="T1109" s="31">
        <f>IF(OR(N1109&lt;&gt;"OK",NOT(ISNUMBER(M1109))),"",M1109-S1109)</f>
        <v/>
      </c>
      <c r="U1109" s="49">
        <f>IF(OR(NOT(ISNUMBER(T1109)),IF(ISNUMBER(H1109),H1109,G1109)=0),"",T1109/IF(ISNUMBER(H1109),H1109,G1109))</f>
        <v/>
      </c>
      <c r="V1109" s="49">
        <f>IF(ISNUMBER(U1109),ABS(U1109),"")</f>
        <v/>
      </c>
      <c r="W1109" s="49">
        <f>IF(OR($E1108&lt;&gt;"측정",$C1108&lt;&gt;$C1109,$D1108&lt;&gt;$D1109,NOT(ISNUMBER(M1109)),NOT(ISNUMBER(M1108)),(IF(ISNUMBER(H1109),H1109,G1109)-IF(ISNUMBER(H1108),H1108,G1108))=0),"",(M1109-M1108)/(IF(ISNUMBER(H1109),H1109,G1109)-IF(ISNUMBER(H1108),H1108,G1108)))</f>
        <v/>
      </c>
      <c r="X1109" s="31">
        <f>IF(NOT(AND(ISNUMBER(O1109),ISNUMBER(Q1109))),"",(Q1109-O1109)*1440)</f>
        <v/>
      </c>
      <c r="Y1109" s="29" t="n"/>
      <c r="Z1109" s="29" t="n"/>
      <c r="AA1109" s="29" t="n"/>
      <c r="AB1109" s="32" t="n"/>
      <c r="AC1109" s="32" t="n"/>
    </row>
    <row r="1110">
      <c r="A1110" s="44" t="inlineStr">
        <is>
          <t>S22</t>
        </is>
      </c>
      <c r="B1110" s="44" t="inlineStr">
        <is>
          <t>완도 신규점</t>
        </is>
      </c>
      <c r="C1110" s="44" t="inlineStr">
        <is>
          <t>S22-H동</t>
        </is>
      </c>
      <c r="D1110" s="45" t="n">
        <v>1</v>
      </c>
      <c r="E1110" s="44" t="inlineStr">
        <is>
          <t>P0(후)</t>
        </is>
      </c>
      <c r="F1110" s="44" t="inlineStr">
        <is>
          <t>동</t>
        </is>
      </c>
      <c r="G1110" s="46" t="n"/>
      <c r="H1110" s="30" t="n"/>
      <c r="I1110" s="43" t="n"/>
      <c r="J1110" s="41" t="n"/>
      <c r="K1110" s="41" t="n"/>
      <c r="L1110" s="41" t="n"/>
      <c r="M1110" s="31">
        <f>IF(COUNT(J1110:L1110)=0,"",MEDIAN(J1110:L1110))</f>
        <v/>
      </c>
      <c r="N1110" s="38" t="n"/>
      <c r="O1110" s="38" t="n"/>
      <c r="P1110" s="38" t="n"/>
      <c r="Q1110" s="38" t="n"/>
      <c r="R1110" s="38" t="n"/>
      <c r="S1110" s="38" t="n"/>
      <c r="T1110" s="38" t="n"/>
      <c r="U1110" s="38" t="n"/>
      <c r="V1110" s="38" t="n"/>
      <c r="W1110" s="38" t="n"/>
      <c r="X1110" s="38" t="n"/>
      <c r="Y1110" s="29" t="n"/>
      <c r="Z1110" s="29" t="n"/>
      <c r="AA1110" s="29" t="n"/>
      <c r="AB1110" s="32" t="n"/>
      <c r="AC1110" s="32" t="n"/>
    </row>
    <row r="1111">
      <c r="A1111" s="44" t="inlineStr">
        <is>
          <t>S22</t>
        </is>
      </c>
      <c r="B1111" s="44" t="inlineStr">
        <is>
          <t>완도 신규점</t>
        </is>
      </c>
      <c r="C1111" s="44" t="inlineStr">
        <is>
          <t>S22-H서</t>
        </is>
      </c>
      <c r="D1111" s="45" t="n">
        <v>1</v>
      </c>
      <c r="E1111" s="44" t="inlineStr">
        <is>
          <t>P0(전)</t>
        </is>
      </c>
      <c r="F1111" s="44" t="inlineStr">
        <is>
          <t>서</t>
        </is>
      </c>
      <c r="G1111" s="46" t="n"/>
      <c r="H1111" s="30" t="n"/>
      <c r="I1111" s="43" t="n"/>
      <c r="J1111" s="41" t="n"/>
      <c r="K1111" s="41" t="n"/>
      <c r="L1111" s="41" t="n"/>
      <c r="M1111" s="31">
        <f>IF(COUNT(J1111:L1111)=0,"",MEDIAN(J1111:L1111))</f>
        <v/>
      </c>
      <c r="N1111" s="38" t="n"/>
      <c r="O1111" s="38" t="n"/>
      <c r="P1111" s="38" t="n"/>
      <c r="Q1111" s="38" t="n"/>
      <c r="R1111" s="38" t="n"/>
      <c r="S1111" s="38" t="n"/>
      <c r="T1111" s="38" t="n"/>
      <c r="U1111" s="38" t="n"/>
      <c r="V1111" s="38" t="n"/>
      <c r="W1111" s="38" t="n"/>
      <c r="X1111" s="38" t="n"/>
      <c r="Y1111" s="29" t="n"/>
      <c r="Z1111" s="29" t="n"/>
      <c r="AA1111" s="29" t="n"/>
      <c r="AB1111" s="32" t="n"/>
      <c r="AC1111" s="32" t="n"/>
    </row>
    <row r="1112">
      <c r="A1112" s="26" t="inlineStr">
        <is>
          <t>S22</t>
        </is>
      </c>
      <c r="B1112" s="26" t="inlineStr">
        <is>
          <t>완도 신규점</t>
        </is>
      </c>
      <c r="C1112" s="26" t="inlineStr">
        <is>
          <t>S22-H서</t>
        </is>
      </c>
      <c r="D1112" s="47" t="n">
        <v>1</v>
      </c>
      <c r="E1112" s="26" t="inlineStr">
        <is>
          <t>측정</t>
        </is>
      </c>
      <c r="F1112" s="26" t="inlineStr">
        <is>
          <t>서</t>
        </is>
      </c>
      <c r="G1112" s="31" t="n">
        <v>0.5</v>
      </c>
      <c r="H1112" s="30" t="n"/>
      <c r="I1112" s="43" t="n"/>
      <c r="J1112" s="41" t="n"/>
      <c r="K1112" s="41" t="n"/>
      <c r="L1112" s="41" t="n"/>
      <c r="M1112" s="31">
        <f>IF(COUNT(J1112:L1112)=0,"",MEDIAN(J1112:L1112))</f>
        <v/>
      </c>
      <c r="N1112" s="26">
        <f>IF(COUNTIFS($C:$C,$C1112,$D:$D,$D1112,$E:$E,"P0(전)",$M:$M,"&gt;0")&lt;&gt;1,"P0(전) 유효 1개 아님",IF(COUNTIFS($C:$C,$C1112,$D:$D,$D1112,$E:$E,"P0(후)",$M:$M,"&gt;0")&lt;&gt;1,"P0(후) 유효 1개 아님",IF(NOT(AND(ISNUMBER(O1112),ISNUMBER(Q1112),ISNUMBER(I1112))),"시각 결측",IF(Q1112&lt;=O1112,"P0 시각 역전",IF(OR(I1112&lt;O1112,I1112&gt;Q1112),"측정시각 구간 밖","OK")))))</f>
        <v/>
      </c>
      <c r="O1112" s="48">
        <f>IF(COUNTIFS($C:$C,$C1112,$D:$D,$D1112,$E:$E,"P0(전)",$M:$M,"&gt;0")&lt;&gt;1,"",SUMIFS($I:$I,$C:$C,$C1112,$D:$D,$D1112,$E:$E,"P0(전)"))</f>
        <v/>
      </c>
      <c r="P1112" s="31">
        <f>IF(COUNTIFS($C:$C,$C1112,$D:$D,$D1112,$E:$E,"P0(전)",$M:$M,"&gt;0")&lt;&gt;1,"",SUMIFS($M:$M,$C:$C,$C1112,$D:$D,$D1112,$E:$E,"P0(전)"))</f>
        <v/>
      </c>
      <c r="Q1112" s="48">
        <f>IF(COUNTIFS($C:$C,$C1112,$D:$D,$D1112,$E:$E,"P0(후)",$M:$M,"&gt;0")&lt;&gt;1,"",SUMIFS($I:$I,$C:$C,$C1112,$D:$D,$D1112,$E:$E,"P0(후)"))</f>
        <v/>
      </c>
      <c r="R1112" s="31">
        <f>IF(COUNTIFS($C:$C,$C1112,$D:$D,$D1112,$E:$E,"P0(후)",$M:$M,"&gt;0")&lt;&gt;1,"",SUMIFS($M:$M,$C:$C,$C1112,$D:$D,$D1112,$E:$E,"P0(후)"))</f>
        <v/>
      </c>
      <c r="S1112" s="31">
        <f>IF(N1112&lt;&gt;"OK","",P1112+(R1112-P1112)*(I1112-O1112)/(Q1112-O1112))</f>
        <v/>
      </c>
      <c r="T1112" s="31">
        <f>IF(OR(N1112&lt;&gt;"OK",NOT(ISNUMBER(M1112))),"",M1112-S1112)</f>
        <v/>
      </c>
      <c r="U1112" s="49">
        <f>IF(OR(NOT(ISNUMBER(T1112)),IF(ISNUMBER(H1112),H1112,G1112)=0),"",T1112/IF(ISNUMBER(H1112),H1112,G1112))</f>
        <v/>
      </c>
      <c r="V1112" s="49">
        <f>IF(ISNUMBER(U1112),ABS(U1112),"")</f>
        <v/>
      </c>
      <c r="W1112" s="49">
        <f>IF(OR($E1111&lt;&gt;"측정",$C1111&lt;&gt;$C1112,$D1111&lt;&gt;$D1112,NOT(ISNUMBER(M1112)),NOT(ISNUMBER(M1111)),(IF(ISNUMBER(H1112),H1112,G1112)-IF(ISNUMBER(H1111),H1111,G1111))=0),"",(M1112-M1111)/(IF(ISNUMBER(H1112),H1112,G1112)-IF(ISNUMBER(H1111),H1111,G1111)))</f>
        <v/>
      </c>
      <c r="X1112" s="31">
        <f>IF(NOT(AND(ISNUMBER(O1112),ISNUMBER(Q1112))),"",(Q1112-O1112)*1440)</f>
        <v/>
      </c>
      <c r="Y1112" s="29" t="n"/>
      <c r="Z1112" s="29" t="n"/>
      <c r="AA1112" s="29" t="n"/>
      <c r="AB1112" s="32" t="n"/>
      <c r="AC1112" s="32" t="n"/>
    </row>
    <row r="1113">
      <c r="A1113" s="26" t="inlineStr">
        <is>
          <t>S22</t>
        </is>
      </c>
      <c r="B1113" s="26" t="inlineStr">
        <is>
          <t>완도 신규점</t>
        </is>
      </c>
      <c r="C1113" s="26" t="inlineStr">
        <is>
          <t>S22-H서</t>
        </is>
      </c>
      <c r="D1113" s="47" t="n">
        <v>1</v>
      </c>
      <c r="E1113" s="26" t="inlineStr">
        <is>
          <t>측정</t>
        </is>
      </c>
      <c r="F1113" s="26" t="inlineStr">
        <is>
          <t>서</t>
        </is>
      </c>
      <c r="G1113" s="31" t="n">
        <v>1</v>
      </c>
      <c r="H1113" s="30" t="n"/>
      <c r="I1113" s="43" t="n"/>
      <c r="J1113" s="41" t="n"/>
      <c r="K1113" s="41" t="n"/>
      <c r="L1113" s="41" t="n"/>
      <c r="M1113" s="31">
        <f>IF(COUNT(J1113:L1113)=0,"",MEDIAN(J1113:L1113))</f>
        <v/>
      </c>
      <c r="N1113" s="26">
        <f>IF(COUNTIFS($C:$C,$C1113,$D:$D,$D1113,$E:$E,"P0(전)",$M:$M,"&gt;0")&lt;&gt;1,"P0(전) 유효 1개 아님",IF(COUNTIFS($C:$C,$C1113,$D:$D,$D1113,$E:$E,"P0(후)",$M:$M,"&gt;0")&lt;&gt;1,"P0(후) 유효 1개 아님",IF(NOT(AND(ISNUMBER(O1113),ISNUMBER(Q1113),ISNUMBER(I1113))),"시각 결측",IF(Q1113&lt;=O1113,"P0 시각 역전",IF(OR(I1113&lt;O1113,I1113&gt;Q1113),"측정시각 구간 밖","OK")))))</f>
        <v/>
      </c>
      <c r="O1113" s="48">
        <f>IF(COUNTIFS($C:$C,$C1113,$D:$D,$D1113,$E:$E,"P0(전)",$M:$M,"&gt;0")&lt;&gt;1,"",SUMIFS($I:$I,$C:$C,$C1113,$D:$D,$D1113,$E:$E,"P0(전)"))</f>
        <v/>
      </c>
      <c r="P1113" s="31">
        <f>IF(COUNTIFS($C:$C,$C1113,$D:$D,$D1113,$E:$E,"P0(전)",$M:$M,"&gt;0")&lt;&gt;1,"",SUMIFS($M:$M,$C:$C,$C1113,$D:$D,$D1113,$E:$E,"P0(전)"))</f>
        <v/>
      </c>
      <c r="Q1113" s="48">
        <f>IF(COUNTIFS($C:$C,$C1113,$D:$D,$D1113,$E:$E,"P0(후)",$M:$M,"&gt;0")&lt;&gt;1,"",SUMIFS($I:$I,$C:$C,$C1113,$D:$D,$D1113,$E:$E,"P0(후)"))</f>
        <v/>
      </c>
      <c r="R1113" s="31">
        <f>IF(COUNTIFS($C:$C,$C1113,$D:$D,$D1113,$E:$E,"P0(후)",$M:$M,"&gt;0")&lt;&gt;1,"",SUMIFS($M:$M,$C:$C,$C1113,$D:$D,$D1113,$E:$E,"P0(후)"))</f>
        <v/>
      </c>
      <c r="S1113" s="31">
        <f>IF(N1113&lt;&gt;"OK","",P1113+(R1113-P1113)*(I1113-O1113)/(Q1113-O1113))</f>
        <v/>
      </c>
      <c r="T1113" s="31">
        <f>IF(OR(N1113&lt;&gt;"OK",NOT(ISNUMBER(M1113))),"",M1113-S1113)</f>
        <v/>
      </c>
      <c r="U1113" s="49">
        <f>IF(OR(NOT(ISNUMBER(T1113)),IF(ISNUMBER(H1113),H1113,G1113)=0),"",T1113/IF(ISNUMBER(H1113),H1113,G1113))</f>
        <v/>
      </c>
      <c r="V1113" s="49">
        <f>IF(ISNUMBER(U1113),ABS(U1113),"")</f>
        <v/>
      </c>
      <c r="W1113" s="49">
        <f>IF(OR($E1112&lt;&gt;"측정",$C1112&lt;&gt;$C1113,$D1112&lt;&gt;$D1113,NOT(ISNUMBER(M1113)),NOT(ISNUMBER(M1112)),(IF(ISNUMBER(H1113),H1113,G1113)-IF(ISNUMBER(H1112),H1112,G1112))=0),"",(M1113-M1112)/(IF(ISNUMBER(H1113),H1113,G1113)-IF(ISNUMBER(H1112),H1112,G1112)))</f>
        <v/>
      </c>
      <c r="X1113" s="31">
        <f>IF(NOT(AND(ISNUMBER(O1113),ISNUMBER(Q1113))),"",(Q1113-O1113)*1440)</f>
        <v/>
      </c>
      <c r="Y1113" s="29" t="n"/>
      <c r="Z1113" s="29" t="n"/>
      <c r="AA1113" s="29" t="n"/>
      <c r="AB1113" s="32" t="n"/>
      <c r="AC1113" s="32" t="n"/>
    </row>
    <row r="1114">
      <c r="A1114" s="26" t="inlineStr">
        <is>
          <t>S22</t>
        </is>
      </c>
      <c r="B1114" s="26" t="inlineStr">
        <is>
          <t>완도 신규점</t>
        </is>
      </c>
      <c r="C1114" s="26" t="inlineStr">
        <is>
          <t>S22-H서</t>
        </is>
      </c>
      <c r="D1114" s="47" t="n">
        <v>1</v>
      </c>
      <c r="E1114" s="26" t="inlineStr">
        <is>
          <t>측정</t>
        </is>
      </c>
      <c r="F1114" s="26" t="inlineStr">
        <is>
          <t>서</t>
        </is>
      </c>
      <c r="G1114" s="31" t="n">
        <v>2</v>
      </c>
      <c r="H1114" s="30" t="n"/>
      <c r="I1114" s="43" t="n"/>
      <c r="J1114" s="41" t="n"/>
      <c r="K1114" s="41" t="n"/>
      <c r="L1114" s="41" t="n"/>
      <c r="M1114" s="31">
        <f>IF(COUNT(J1114:L1114)=0,"",MEDIAN(J1114:L1114))</f>
        <v/>
      </c>
      <c r="N1114" s="26">
        <f>IF(COUNTIFS($C:$C,$C1114,$D:$D,$D1114,$E:$E,"P0(전)",$M:$M,"&gt;0")&lt;&gt;1,"P0(전) 유효 1개 아님",IF(COUNTIFS($C:$C,$C1114,$D:$D,$D1114,$E:$E,"P0(후)",$M:$M,"&gt;0")&lt;&gt;1,"P0(후) 유효 1개 아님",IF(NOT(AND(ISNUMBER(O1114),ISNUMBER(Q1114),ISNUMBER(I1114))),"시각 결측",IF(Q1114&lt;=O1114,"P0 시각 역전",IF(OR(I1114&lt;O1114,I1114&gt;Q1114),"측정시각 구간 밖","OK")))))</f>
        <v/>
      </c>
      <c r="O1114" s="48">
        <f>IF(COUNTIFS($C:$C,$C1114,$D:$D,$D1114,$E:$E,"P0(전)",$M:$M,"&gt;0")&lt;&gt;1,"",SUMIFS($I:$I,$C:$C,$C1114,$D:$D,$D1114,$E:$E,"P0(전)"))</f>
        <v/>
      </c>
      <c r="P1114" s="31">
        <f>IF(COUNTIFS($C:$C,$C1114,$D:$D,$D1114,$E:$E,"P0(전)",$M:$M,"&gt;0")&lt;&gt;1,"",SUMIFS($M:$M,$C:$C,$C1114,$D:$D,$D1114,$E:$E,"P0(전)"))</f>
        <v/>
      </c>
      <c r="Q1114" s="48">
        <f>IF(COUNTIFS($C:$C,$C1114,$D:$D,$D1114,$E:$E,"P0(후)",$M:$M,"&gt;0")&lt;&gt;1,"",SUMIFS($I:$I,$C:$C,$C1114,$D:$D,$D1114,$E:$E,"P0(후)"))</f>
        <v/>
      </c>
      <c r="R1114" s="31">
        <f>IF(COUNTIFS($C:$C,$C1114,$D:$D,$D1114,$E:$E,"P0(후)",$M:$M,"&gt;0")&lt;&gt;1,"",SUMIFS($M:$M,$C:$C,$C1114,$D:$D,$D1114,$E:$E,"P0(후)"))</f>
        <v/>
      </c>
      <c r="S1114" s="31">
        <f>IF(N1114&lt;&gt;"OK","",P1114+(R1114-P1114)*(I1114-O1114)/(Q1114-O1114))</f>
        <v/>
      </c>
      <c r="T1114" s="31">
        <f>IF(OR(N1114&lt;&gt;"OK",NOT(ISNUMBER(M1114))),"",M1114-S1114)</f>
        <v/>
      </c>
      <c r="U1114" s="49">
        <f>IF(OR(NOT(ISNUMBER(T1114)),IF(ISNUMBER(H1114),H1114,G1114)=0),"",T1114/IF(ISNUMBER(H1114),H1114,G1114))</f>
        <v/>
      </c>
      <c r="V1114" s="49">
        <f>IF(ISNUMBER(U1114),ABS(U1114),"")</f>
        <v/>
      </c>
      <c r="W1114" s="49">
        <f>IF(OR($E1113&lt;&gt;"측정",$C1113&lt;&gt;$C1114,$D1113&lt;&gt;$D1114,NOT(ISNUMBER(M1114)),NOT(ISNUMBER(M1113)),(IF(ISNUMBER(H1114),H1114,G1114)-IF(ISNUMBER(H1113),H1113,G1113))=0),"",(M1114-M1113)/(IF(ISNUMBER(H1114),H1114,G1114)-IF(ISNUMBER(H1113),H1113,G1113)))</f>
        <v/>
      </c>
      <c r="X1114" s="31">
        <f>IF(NOT(AND(ISNUMBER(O1114),ISNUMBER(Q1114))),"",(Q1114-O1114)*1440)</f>
        <v/>
      </c>
      <c r="Y1114" s="29" t="n"/>
      <c r="Z1114" s="29" t="n"/>
      <c r="AA1114" s="29" t="n"/>
      <c r="AB1114" s="32" t="n"/>
      <c r="AC1114" s="32" t="n"/>
    </row>
    <row r="1115">
      <c r="A1115" s="26" t="inlineStr">
        <is>
          <t>S22</t>
        </is>
      </c>
      <c r="B1115" s="26" t="inlineStr">
        <is>
          <t>완도 신규점</t>
        </is>
      </c>
      <c r="C1115" s="26" t="inlineStr">
        <is>
          <t>S22-H서</t>
        </is>
      </c>
      <c r="D1115" s="47" t="n">
        <v>1</v>
      </c>
      <c r="E1115" s="26" t="inlineStr">
        <is>
          <t>측정</t>
        </is>
      </c>
      <c r="F1115" s="26" t="inlineStr">
        <is>
          <t>서</t>
        </is>
      </c>
      <c r="G1115" s="31" t="n">
        <v>3</v>
      </c>
      <c r="H1115" s="30" t="n"/>
      <c r="I1115" s="43" t="n"/>
      <c r="J1115" s="41" t="n"/>
      <c r="K1115" s="41" t="n"/>
      <c r="L1115" s="41" t="n"/>
      <c r="M1115" s="31">
        <f>IF(COUNT(J1115:L1115)=0,"",MEDIAN(J1115:L1115))</f>
        <v/>
      </c>
      <c r="N1115" s="26">
        <f>IF(COUNTIFS($C:$C,$C1115,$D:$D,$D1115,$E:$E,"P0(전)",$M:$M,"&gt;0")&lt;&gt;1,"P0(전) 유효 1개 아님",IF(COUNTIFS($C:$C,$C1115,$D:$D,$D1115,$E:$E,"P0(후)",$M:$M,"&gt;0")&lt;&gt;1,"P0(후) 유효 1개 아님",IF(NOT(AND(ISNUMBER(O1115),ISNUMBER(Q1115),ISNUMBER(I1115))),"시각 결측",IF(Q1115&lt;=O1115,"P0 시각 역전",IF(OR(I1115&lt;O1115,I1115&gt;Q1115),"측정시각 구간 밖","OK")))))</f>
        <v/>
      </c>
      <c r="O1115" s="48">
        <f>IF(COUNTIFS($C:$C,$C1115,$D:$D,$D1115,$E:$E,"P0(전)",$M:$M,"&gt;0")&lt;&gt;1,"",SUMIFS($I:$I,$C:$C,$C1115,$D:$D,$D1115,$E:$E,"P0(전)"))</f>
        <v/>
      </c>
      <c r="P1115" s="31">
        <f>IF(COUNTIFS($C:$C,$C1115,$D:$D,$D1115,$E:$E,"P0(전)",$M:$M,"&gt;0")&lt;&gt;1,"",SUMIFS($M:$M,$C:$C,$C1115,$D:$D,$D1115,$E:$E,"P0(전)"))</f>
        <v/>
      </c>
      <c r="Q1115" s="48">
        <f>IF(COUNTIFS($C:$C,$C1115,$D:$D,$D1115,$E:$E,"P0(후)",$M:$M,"&gt;0")&lt;&gt;1,"",SUMIFS($I:$I,$C:$C,$C1115,$D:$D,$D1115,$E:$E,"P0(후)"))</f>
        <v/>
      </c>
      <c r="R1115" s="31">
        <f>IF(COUNTIFS($C:$C,$C1115,$D:$D,$D1115,$E:$E,"P0(후)",$M:$M,"&gt;0")&lt;&gt;1,"",SUMIFS($M:$M,$C:$C,$C1115,$D:$D,$D1115,$E:$E,"P0(후)"))</f>
        <v/>
      </c>
      <c r="S1115" s="31">
        <f>IF(N1115&lt;&gt;"OK","",P1115+(R1115-P1115)*(I1115-O1115)/(Q1115-O1115))</f>
        <v/>
      </c>
      <c r="T1115" s="31">
        <f>IF(OR(N1115&lt;&gt;"OK",NOT(ISNUMBER(M1115))),"",M1115-S1115)</f>
        <v/>
      </c>
      <c r="U1115" s="49">
        <f>IF(OR(NOT(ISNUMBER(T1115)),IF(ISNUMBER(H1115),H1115,G1115)=0),"",T1115/IF(ISNUMBER(H1115),H1115,G1115))</f>
        <v/>
      </c>
      <c r="V1115" s="49">
        <f>IF(ISNUMBER(U1115),ABS(U1115),"")</f>
        <v/>
      </c>
      <c r="W1115" s="49">
        <f>IF(OR($E1114&lt;&gt;"측정",$C1114&lt;&gt;$C1115,$D1114&lt;&gt;$D1115,NOT(ISNUMBER(M1115)),NOT(ISNUMBER(M1114)),(IF(ISNUMBER(H1115),H1115,G1115)-IF(ISNUMBER(H1114),H1114,G1114))=0),"",(M1115-M1114)/(IF(ISNUMBER(H1115),H1115,G1115)-IF(ISNUMBER(H1114),H1114,G1114)))</f>
        <v/>
      </c>
      <c r="X1115" s="31">
        <f>IF(NOT(AND(ISNUMBER(O1115),ISNUMBER(Q1115))),"",(Q1115-O1115)*1440)</f>
        <v/>
      </c>
      <c r="Y1115" s="29" t="n"/>
      <c r="Z1115" s="29" t="n"/>
      <c r="AA1115" s="29" t="n"/>
      <c r="AB1115" s="32" t="n"/>
      <c r="AC1115" s="32" t="n"/>
    </row>
    <row r="1116">
      <c r="A1116" s="26" t="inlineStr">
        <is>
          <t>S22</t>
        </is>
      </c>
      <c r="B1116" s="26" t="inlineStr">
        <is>
          <t>완도 신규점</t>
        </is>
      </c>
      <c r="C1116" s="26" t="inlineStr">
        <is>
          <t>S22-H서</t>
        </is>
      </c>
      <c r="D1116" s="47" t="n">
        <v>1</v>
      </c>
      <c r="E1116" s="26" t="inlineStr">
        <is>
          <t>측정</t>
        </is>
      </c>
      <c r="F1116" s="26" t="inlineStr">
        <is>
          <t>서</t>
        </is>
      </c>
      <c r="G1116" s="31" t="n">
        <v>4</v>
      </c>
      <c r="H1116" s="30" t="n"/>
      <c r="I1116" s="43" t="n"/>
      <c r="J1116" s="41" t="n"/>
      <c r="K1116" s="41" t="n"/>
      <c r="L1116" s="41" t="n"/>
      <c r="M1116" s="31">
        <f>IF(COUNT(J1116:L1116)=0,"",MEDIAN(J1116:L1116))</f>
        <v/>
      </c>
      <c r="N1116" s="26">
        <f>IF(COUNTIFS($C:$C,$C1116,$D:$D,$D1116,$E:$E,"P0(전)",$M:$M,"&gt;0")&lt;&gt;1,"P0(전) 유효 1개 아님",IF(COUNTIFS($C:$C,$C1116,$D:$D,$D1116,$E:$E,"P0(후)",$M:$M,"&gt;0")&lt;&gt;1,"P0(후) 유효 1개 아님",IF(NOT(AND(ISNUMBER(O1116),ISNUMBER(Q1116),ISNUMBER(I1116))),"시각 결측",IF(Q1116&lt;=O1116,"P0 시각 역전",IF(OR(I1116&lt;O1116,I1116&gt;Q1116),"측정시각 구간 밖","OK")))))</f>
        <v/>
      </c>
      <c r="O1116" s="48">
        <f>IF(COUNTIFS($C:$C,$C1116,$D:$D,$D1116,$E:$E,"P0(전)",$M:$M,"&gt;0")&lt;&gt;1,"",SUMIFS($I:$I,$C:$C,$C1116,$D:$D,$D1116,$E:$E,"P0(전)"))</f>
        <v/>
      </c>
      <c r="P1116" s="31">
        <f>IF(COUNTIFS($C:$C,$C1116,$D:$D,$D1116,$E:$E,"P0(전)",$M:$M,"&gt;0")&lt;&gt;1,"",SUMIFS($M:$M,$C:$C,$C1116,$D:$D,$D1116,$E:$E,"P0(전)"))</f>
        <v/>
      </c>
      <c r="Q1116" s="48">
        <f>IF(COUNTIFS($C:$C,$C1116,$D:$D,$D1116,$E:$E,"P0(후)",$M:$M,"&gt;0")&lt;&gt;1,"",SUMIFS($I:$I,$C:$C,$C1116,$D:$D,$D1116,$E:$E,"P0(후)"))</f>
        <v/>
      </c>
      <c r="R1116" s="31">
        <f>IF(COUNTIFS($C:$C,$C1116,$D:$D,$D1116,$E:$E,"P0(후)",$M:$M,"&gt;0")&lt;&gt;1,"",SUMIFS($M:$M,$C:$C,$C1116,$D:$D,$D1116,$E:$E,"P0(후)"))</f>
        <v/>
      </c>
      <c r="S1116" s="31">
        <f>IF(N1116&lt;&gt;"OK","",P1116+(R1116-P1116)*(I1116-O1116)/(Q1116-O1116))</f>
        <v/>
      </c>
      <c r="T1116" s="31">
        <f>IF(OR(N1116&lt;&gt;"OK",NOT(ISNUMBER(M1116))),"",M1116-S1116)</f>
        <v/>
      </c>
      <c r="U1116" s="49">
        <f>IF(OR(NOT(ISNUMBER(T1116)),IF(ISNUMBER(H1116),H1116,G1116)=0),"",T1116/IF(ISNUMBER(H1116),H1116,G1116))</f>
        <v/>
      </c>
      <c r="V1116" s="49">
        <f>IF(ISNUMBER(U1116),ABS(U1116),"")</f>
        <v/>
      </c>
      <c r="W1116" s="49">
        <f>IF(OR($E1115&lt;&gt;"측정",$C1115&lt;&gt;$C1116,$D1115&lt;&gt;$D1116,NOT(ISNUMBER(M1116)),NOT(ISNUMBER(M1115)),(IF(ISNUMBER(H1116),H1116,G1116)-IF(ISNUMBER(H1115),H1115,G1115))=0),"",(M1116-M1115)/(IF(ISNUMBER(H1116),H1116,G1116)-IF(ISNUMBER(H1115),H1115,G1115)))</f>
        <v/>
      </c>
      <c r="X1116" s="31">
        <f>IF(NOT(AND(ISNUMBER(O1116),ISNUMBER(Q1116))),"",(Q1116-O1116)*1440)</f>
        <v/>
      </c>
      <c r="Y1116" s="29" t="n"/>
      <c r="Z1116" s="29" t="n"/>
      <c r="AA1116" s="29" t="n"/>
      <c r="AB1116" s="32" t="n"/>
      <c r="AC1116" s="32" t="n"/>
    </row>
    <row r="1117">
      <c r="A1117" s="26" t="inlineStr">
        <is>
          <t>S22</t>
        </is>
      </c>
      <c r="B1117" s="26" t="inlineStr">
        <is>
          <t>완도 신규점</t>
        </is>
      </c>
      <c r="C1117" s="26" t="inlineStr">
        <is>
          <t>S22-H서</t>
        </is>
      </c>
      <c r="D1117" s="47" t="n">
        <v>1</v>
      </c>
      <c r="E1117" s="26" t="inlineStr">
        <is>
          <t>측정</t>
        </is>
      </c>
      <c r="F1117" s="26" t="inlineStr">
        <is>
          <t>서</t>
        </is>
      </c>
      <c r="G1117" s="31" t="n">
        <v>5</v>
      </c>
      <c r="H1117" s="30" t="n"/>
      <c r="I1117" s="43" t="n"/>
      <c r="J1117" s="41" t="n"/>
      <c r="K1117" s="41" t="n"/>
      <c r="L1117" s="41" t="n"/>
      <c r="M1117" s="31">
        <f>IF(COUNT(J1117:L1117)=0,"",MEDIAN(J1117:L1117))</f>
        <v/>
      </c>
      <c r="N1117" s="26">
        <f>IF(COUNTIFS($C:$C,$C1117,$D:$D,$D1117,$E:$E,"P0(전)",$M:$M,"&gt;0")&lt;&gt;1,"P0(전) 유효 1개 아님",IF(COUNTIFS($C:$C,$C1117,$D:$D,$D1117,$E:$E,"P0(후)",$M:$M,"&gt;0")&lt;&gt;1,"P0(후) 유효 1개 아님",IF(NOT(AND(ISNUMBER(O1117),ISNUMBER(Q1117),ISNUMBER(I1117))),"시각 결측",IF(Q1117&lt;=O1117,"P0 시각 역전",IF(OR(I1117&lt;O1117,I1117&gt;Q1117),"측정시각 구간 밖","OK")))))</f>
        <v/>
      </c>
      <c r="O1117" s="48">
        <f>IF(COUNTIFS($C:$C,$C1117,$D:$D,$D1117,$E:$E,"P0(전)",$M:$M,"&gt;0")&lt;&gt;1,"",SUMIFS($I:$I,$C:$C,$C1117,$D:$D,$D1117,$E:$E,"P0(전)"))</f>
        <v/>
      </c>
      <c r="P1117" s="31">
        <f>IF(COUNTIFS($C:$C,$C1117,$D:$D,$D1117,$E:$E,"P0(전)",$M:$M,"&gt;0")&lt;&gt;1,"",SUMIFS($M:$M,$C:$C,$C1117,$D:$D,$D1117,$E:$E,"P0(전)"))</f>
        <v/>
      </c>
      <c r="Q1117" s="48">
        <f>IF(COUNTIFS($C:$C,$C1117,$D:$D,$D1117,$E:$E,"P0(후)",$M:$M,"&gt;0")&lt;&gt;1,"",SUMIFS($I:$I,$C:$C,$C1117,$D:$D,$D1117,$E:$E,"P0(후)"))</f>
        <v/>
      </c>
      <c r="R1117" s="31">
        <f>IF(COUNTIFS($C:$C,$C1117,$D:$D,$D1117,$E:$E,"P0(후)",$M:$M,"&gt;0")&lt;&gt;1,"",SUMIFS($M:$M,$C:$C,$C1117,$D:$D,$D1117,$E:$E,"P0(후)"))</f>
        <v/>
      </c>
      <c r="S1117" s="31">
        <f>IF(N1117&lt;&gt;"OK","",P1117+(R1117-P1117)*(I1117-O1117)/(Q1117-O1117))</f>
        <v/>
      </c>
      <c r="T1117" s="31">
        <f>IF(OR(N1117&lt;&gt;"OK",NOT(ISNUMBER(M1117))),"",M1117-S1117)</f>
        <v/>
      </c>
      <c r="U1117" s="49">
        <f>IF(OR(NOT(ISNUMBER(T1117)),IF(ISNUMBER(H1117),H1117,G1117)=0),"",T1117/IF(ISNUMBER(H1117),H1117,G1117))</f>
        <v/>
      </c>
      <c r="V1117" s="49">
        <f>IF(ISNUMBER(U1117),ABS(U1117),"")</f>
        <v/>
      </c>
      <c r="W1117" s="49">
        <f>IF(OR($E1116&lt;&gt;"측정",$C1116&lt;&gt;$C1117,$D1116&lt;&gt;$D1117,NOT(ISNUMBER(M1117)),NOT(ISNUMBER(M1116)),(IF(ISNUMBER(H1117),H1117,G1117)-IF(ISNUMBER(H1116),H1116,G1116))=0),"",(M1117-M1116)/(IF(ISNUMBER(H1117),H1117,G1117)-IF(ISNUMBER(H1116),H1116,G1116)))</f>
        <v/>
      </c>
      <c r="X1117" s="31">
        <f>IF(NOT(AND(ISNUMBER(O1117),ISNUMBER(Q1117))),"",(Q1117-O1117)*1440)</f>
        <v/>
      </c>
      <c r="Y1117" s="29" t="n"/>
      <c r="Z1117" s="29" t="n"/>
      <c r="AA1117" s="29" t="n"/>
      <c r="AB1117" s="32" t="n"/>
      <c r="AC1117" s="32" t="n"/>
    </row>
    <row r="1118">
      <c r="A1118" s="26" t="inlineStr">
        <is>
          <t>S22</t>
        </is>
      </c>
      <c r="B1118" s="26" t="inlineStr">
        <is>
          <t>완도 신규점</t>
        </is>
      </c>
      <c r="C1118" s="26" t="inlineStr">
        <is>
          <t>S22-H서</t>
        </is>
      </c>
      <c r="D1118" s="47" t="n">
        <v>1</v>
      </c>
      <c r="E1118" s="26" t="inlineStr">
        <is>
          <t>측정</t>
        </is>
      </c>
      <c r="F1118" s="26" t="inlineStr">
        <is>
          <t>서</t>
        </is>
      </c>
      <c r="G1118" s="31" t="n">
        <v>6</v>
      </c>
      <c r="H1118" s="30" t="n"/>
      <c r="I1118" s="43" t="n"/>
      <c r="J1118" s="41" t="n"/>
      <c r="K1118" s="41" t="n"/>
      <c r="L1118" s="41" t="n"/>
      <c r="M1118" s="31">
        <f>IF(COUNT(J1118:L1118)=0,"",MEDIAN(J1118:L1118))</f>
        <v/>
      </c>
      <c r="N1118" s="26">
        <f>IF(COUNTIFS($C:$C,$C1118,$D:$D,$D1118,$E:$E,"P0(전)",$M:$M,"&gt;0")&lt;&gt;1,"P0(전) 유효 1개 아님",IF(COUNTIFS($C:$C,$C1118,$D:$D,$D1118,$E:$E,"P0(후)",$M:$M,"&gt;0")&lt;&gt;1,"P0(후) 유효 1개 아님",IF(NOT(AND(ISNUMBER(O1118),ISNUMBER(Q1118),ISNUMBER(I1118))),"시각 결측",IF(Q1118&lt;=O1118,"P0 시각 역전",IF(OR(I1118&lt;O1118,I1118&gt;Q1118),"측정시각 구간 밖","OK")))))</f>
        <v/>
      </c>
      <c r="O1118" s="48">
        <f>IF(COUNTIFS($C:$C,$C1118,$D:$D,$D1118,$E:$E,"P0(전)",$M:$M,"&gt;0")&lt;&gt;1,"",SUMIFS($I:$I,$C:$C,$C1118,$D:$D,$D1118,$E:$E,"P0(전)"))</f>
        <v/>
      </c>
      <c r="P1118" s="31">
        <f>IF(COUNTIFS($C:$C,$C1118,$D:$D,$D1118,$E:$E,"P0(전)",$M:$M,"&gt;0")&lt;&gt;1,"",SUMIFS($M:$M,$C:$C,$C1118,$D:$D,$D1118,$E:$E,"P0(전)"))</f>
        <v/>
      </c>
      <c r="Q1118" s="48">
        <f>IF(COUNTIFS($C:$C,$C1118,$D:$D,$D1118,$E:$E,"P0(후)",$M:$M,"&gt;0")&lt;&gt;1,"",SUMIFS($I:$I,$C:$C,$C1118,$D:$D,$D1118,$E:$E,"P0(후)"))</f>
        <v/>
      </c>
      <c r="R1118" s="31">
        <f>IF(COUNTIFS($C:$C,$C1118,$D:$D,$D1118,$E:$E,"P0(후)",$M:$M,"&gt;0")&lt;&gt;1,"",SUMIFS($M:$M,$C:$C,$C1118,$D:$D,$D1118,$E:$E,"P0(후)"))</f>
        <v/>
      </c>
      <c r="S1118" s="31">
        <f>IF(N1118&lt;&gt;"OK","",P1118+(R1118-P1118)*(I1118-O1118)/(Q1118-O1118))</f>
        <v/>
      </c>
      <c r="T1118" s="31">
        <f>IF(OR(N1118&lt;&gt;"OK",NOT(ISNUMBER(M1118))),"",M1118-S1118)</f>
        <v/>
      </c>
      <c r="U1118" s="49">
        <f>IF(OR(NOT(ISNUMBER(T1118)),IF(ISNUMBER(H1118),H1118,G1118)=0),"",T1118/IF(ISNUMBER(H1118),H1118,G1118))</f>
        <v/>
      </c>
      <c r="V1118" s="49">
        <f>IF(ISNUMBER(U1118),ABS(U1118),"")</f>
        <v/>
      </c>
      <c r="W1118" s="49">
        <f>IF(OR($E1117&lt;&gt;"측정",$C1117&lt;&gt;$C1118,$D1117&lt;&gt;$D1118,NOT(ISNUMBER(M1118)),NOT(ISNUMBER(M1117)),(IF(ISNUMBER(H1118),H1118,G1118)-IF(ISNUMBER(H1117),H1117,G1117))=0),"",(M1118-M1117)/(IF(ISNUMBER(H1118),H1118,G1118)-IF(ISNUMBER(H1117),H1117,G1117)))</f>
        <v/>
      </c>
      <c r="X1118" s="31">
        <f>IF(NOT(AND(ISNUMBER(O1118),ISNUMBER(Q1118))),"",(Q1118-O1118)*1440)</f>
        <v/>
      </c>
      <c r="Y1118" s="29" t="n"/>
      <c r="Z1118" s="29" t="n"/>
      <c r="AA1118" s="29" t="n"/>
      <c r="AB1118" s="32" t="n"/>
      <c r="AC1118" s="32" t="n"/>
    </row>
    <row r="1119">
      <c r="A1119" s="26" t="inlineStr">
        <is>
          <t>S22</t>
        </is>
      </c>
      <c r="B1119" s="26" t="inlineStr">
        <is>
          <t>완도 신규점</t>
        </is>
      </c>
      <c r="C1119" s="26" t="inlineStr">
        <is>
          <t>S22-H서</t>
        </is>
      </c>
      <c r="D1119" s="47" t="n">
        <v>1</v>
      </c>
      <c r="E1119" s="26" t="inlineStr">
        <is>
          <t>측정</t>
        </is>
      </c>
      <c r="F1119" s="26" t="inlineStr">
        <is>
          <t>서</t>
        </is>
      </c>
      <c r="G1119" s="31" t="n">
        <v>7</v>
      </c>
      <c r="H1119" s="30" t="n"/>
      <c r="I1119" s="43" t="n"/>
      <c r="J1119" s="41" t="n"/>
      <c r="K1119" s="41" t="n"/>
      <c r="L1119" s="41" t="n"/>
      <c r="M1119" s="31">
        <f>IF(COUNT(J1119:L1119)=0,"",MEDIAN(J1119:L1119))</f>
        <v/>
      </c>
      <c r="N1119" s="26">
        <f>IF(COUNTIFS($C:$C,$C1119,$D:$D,$D1119,$E:$E,"P0(전)",$M:$M,"&gt;0")&lt;&gt;1,"P0(전) 유효 1개 아님",IF(COUNTIFS($C:$C,$C1119,$D:$D,$D1119,$E:$E,"P0(후)",$M:$M,"&gt;0")&lt;&gt;1,"P0(후) 유효 1개 아님",IF(NOT(AND(ISNUMBER(O1119),ISNUMBER(Q1119),ISNUMBER(I1119))),"시각 결측",IF(Q1119&lt;=O1119,"P0 시각 역전",IF(OR(I1119&lt;O1119,I1119&gt;Q1119),"측정시각 구간 밖","OK")))))</f>
        <v/>
      </c>
      <c r="O1119" s="48">
        <f>IF(COUNTIFS($C:$C,$C1119,$D:$D,$D1119,$E:$E,"P0(전)",$M:$M,"&gt;0")&lt;&gt;1,"",SUMIFS($I:$I,$C:$C,$C1119,$D:$D,$D1119,$E:$E,"P0(전)"))</f>
        <v/>
      </c>
      <c r="P1119" s="31">
        <f>IF(COUNTIFS($C:$C,$C1119,$D:$D,$D1119,$E:$E,"P0(전)",$M:$M,"&gt;0")&lt;&gt;1,"",SUMIFS($M:$M,$C:$C,$C1119,$D:$D,$D1119,$E:$E,"P0(전)"))</f>
        <v/>
      </c>
      <c r="Q1119" s="48">
        <f>IF(COUNTIFS($C:$C,$C1119,$D:$D,$D1119,$E:$E,"P0(후)",$M:$M,"&gt;0")&lt;&gt;1,"",SUMIFS($I:$I,$C:$C,$C1119,$D:$D,$D1119,$E:$E,"P0(후)"))</f>
        <v/>
      </c>
      <c r="R1119" s="31">
        <f>IF(COUNTIFS($C:$C,$C1119,$D:$D,$D1119,$E:$E,"P0(후)",$M:$M,"&gt;0")&lt;&gt;1,"",SUMIFS($M:$M,$C:$C,$C1119,$D:$D,$D1119,$E:$E,"P0(후)"))</f>
        <v/>
      </c>
      <c r="S1119" s="31">
        <f>IF(N1119&lt;&gt;"OK","",P1119+(R1119-P1119)*(I1119-O1119)/(Q1119-O1119))</f>
        <v/>
      </c>
      <c r="T1119" s="31">
        <f>IF(OR(N1119&lt;&gt;"OK",NOT(ISNUMBER(M1119))),"",M1119-S1119)</f>
        <v/>
      </c>
      <c r="U1119" s="49">
        <f>IF(OR(NOT(ISNUMBER(T1119)),IF(ISNUMBER(H1119),H1119,G1119)=0),"",T1119/IF(ISNUMBER(H1119),H1119,G1119))</f>
        <v/>
      </c>
      <c r="V1119" s="49">
        <f>IF(ISNUMBER(U1119),ABS(U1119),"")</f>
        <v/>
      </c>
      <c r="W1119" s="49">
        <f>IF(OR($E1118&lt;&gt;"측정",$C1118&lt;&gt;$C1119,$D1118&lt;&gt;$D1119,NOT(ISNUMBER(M1119)),NOT(ISNUMBER(M1118)),(IF(ISNUMBER(H1119),H1119,G1119)-IF(ISNUMBER(H1118),H1118,G1118))=0),"",(M1119-M1118)/(IF(ISNUMBER(H1119),H1119,G1119)-IF(ISNUMBER(H1118),H1118,G1118)))</f>
        <v/>
      </c>
      <c r="X1119" s="31">
        <f>IF(NOT(AND(ISNUMBER(O1119),ISNUMBER(Q1119))),"",(Q1119-O1119)*1440)</f>
        <v/>
      </c>
      <c r="Y1119" s="29" t="n"/>
      <c r="Z1119" s="29" t="n"/>
      <c r="AA1119" s="29" t="n"/>
      <c r="AB1119" s="32" t="n"/>
      <c r="AC1119" s="32" t="n"/>
    </row>
    <row r="1120">
      <c r="A1120" s="26" t="inlineStr">
        <is>
          <t>S22</t>
        </is>
      </c>
      <c r="B1120" s="26" t="inlineStr">
        <is>
          <t>완도 신규점</t>
        </is>
      </c>
      <c r="C1120" s="26" t="inlineStr">
        <is>
          <t>S22-H서</t>
        </is>
      </c>
      <c r="D1120" s="47" t="n">
        <v>1</v>
      </c>
      <c r="E1120" s="26" t="inlineStr">
        <is>
          <t>측정</t>
        </is>
      </c>
      <c r="F1120" s="26" t="inlineStr">
        <is>
          <t>서</t>
        </is>
      </c>
      <c r="G1120" s="31" t="n">
        <v>8</v>
      </c>
      <c r="H1120" s="30" t="n"/>
      <c r="I1120" s="43" t="n"/>
      <c r="J1120" s="41" t="n"/>
      <c r="K1120" s="41" t="n"/>
      <c r="L1120" s="41" t="n"/>
      <c r="M1120" s="31">
        <f>IF(COUNT(J1120:L1120)=0,"",MEDIAN(J1120:L1120))</f>
        <v/>
      </c>
      <c r="N1120" s="26">
        <f>IF(COUNTIFS($C:$C,$C1120,$D:$D,$D1120,$E:$E,"P0(전)",$M:$M,"&gt;0")&lt;&gt;1,"P0(전) 유효 1개 아님",IF(COUNTIFS($C:$C,$C1120,$D:$D,$D1120,$E:$E,"P0(후)",$M:$M,"&gt;0")&lt;&gt;1,"P0(후) 유효 1개 아님",IF(NOT(AND(ISNUMBER(O1120),ISNUMBER(Q1120),ISNUMBER(I1120))),"시각 결측",IF(Q1120&lt;=O1120,"P0 시각 역전",IF(OR(I1120&lt;O1120,I1120&gt;Q1120),"측정시각 구간 밖","OK")))))</f>
        <v/>
      </c>
      <c r="O1120" s="48">
        <f>IF(COUNTIFS($C:$C,$C1120,$D:$D,$D1120,$E:$E,"P0(전)",$M:$M,"&gt;0")&lt;&gt;1,"",SUMIFS($I:$I,$C:$C,$C1120,$D:$D,$D1120,$E:$E,"P0(전)"))</f>
        <v/>
      </c>
      <c r="P1120" s="31">
        <f>IF(COUNTIFS($C:$C,$C1120,$D:$D,$D1120,$E:$E,"P0(전)",$M:$M,"&gt;0")&lt;&gt;1,"",SUMIFS($M:$M,$C:$C,$C1120,$D:$D,$D1120,$E:$E,"P0(전)"))</f>
        <v/>
      </c>
      <c r="Q1120" s="48">
        <f>IF(COUNTIFS($C:$C,$C1120,$D:$D,$D1120,$E:$E,"P0(후)",$M:$M,"&gt;0")&lt;&gt;1,"",SUMIFS($I:$I,$C:$C,$C1120,$D:$D,$D1120,$E:$E,"P0(후)"))</f>
        <v/>
      </c>
      <c r="R1120" s="31">
        <f>IF(COUNTIFS($C:$C,$C1120,$D:$D,$D1120,$E:$E,"P0(후)",$M:$M,"&gt;0")&lt;&gt;1,"",SUMIFS($M:$M,$C:$C,$C1120,$D:$D,$D1120,$E:$E,"P0(후)"))</f>
        <v/>
      </c>
      <c r="S1120" s="31">
        <f>IF(N1120&lt;&gt;"OK","",P1120+(R1120-P1120)*(I1120-O1120)/(Q1120-O1120))</f>
        <v/>
      </c>
      <c r="T1120" s="31">
        <f>IF(OR(N1120&lt;&gt;"OK",NOT(ISNUMBER(M1120))),"",M1120-S1120)</f>
        <v/>
      </c>
      <c r="U1120" s="49">
        <f>IF(OR(NOT(ISNUMBER(T1120)),IF(ISNUMBER(H1120),H1120,G1120)=0),"",T1120/IF(ISNUMBER(H1120),H1120,G1120))</f>
        <v/>
      </c>
      <c r="V1120" s="49">
        <f>IF(ISNUMBER(U1120),ABS(U1120),"")</f>
        <v/>
      </c>
      <c r="W1120" s="49">
        <f>IF(OR($E1119&lt;&gt;"측정",$C1119&lt;&gt;$C1120,$D1119&lt;&gt;$D1120,NOT(ISNUMBER(M1120)),NOT(ISNUMBER(M1119)),(IF(ISNUMBER(H1120),H1120,G1120)-IF(ISNUMBER(H1119),H1119,G1119))=0),"",(M1120-M1119)/(IF(ISNUMBER(H1120),H1120,G1120)-IF(ISNUMBER(H1119),H1119,G1119)))</f>
        <v/>
      </c>
      <c r="X1120" s="31">
        <f>IF(NOT(AND(ISNUMBER(O1120),ISNUMBER(Q1120))),"",(Q1120-O1120)*1440)</f>
        <v/>
      </c>
      <c r="Y1120" s="29" t="n"/>
      <c r="Z1120" s="29" t="n"/>
      <c r="AA1120" s="29" t="n"/>
      <c r="AB1120" s="32" t="n"/>
      <c r="AC1120" s="32" t="n"/>
    </row>
    <row r="1121">
      <c r="A1121" s="26" t="inlineStr">
        <is>
          <t>S22</t>
        </is>
      </c>
      <c r="B1121" s="26" t="inlineStr">
        <is>
          <t>완도 신규점</t>
        </is>
      </c>
      <c r="C1121" s="26" t="inlineStr">
        <is>
          <t>S22-H서</t>
        </is>
      </c>
      <c r="D1121" s="47" t="n">
        <v>1</v>
      </c>
      <c r="E1121" s="26" t="inlineStr">
        <is>
          <t>측정</t>
        </is>
      </c>
      <c r="F1121" s="26" t="inlineStr">
        <is>
          <t>서</t>
        </is>
      </c>
      <c r="G1121" s="31" t="n">
        <v>9</v>
      </c>
      <c r="H1121" s="30" t="n"/>
      <c r="I1121" s="43" t="n"/>
      <c r="J1121" s="41" t="n"/>
      <c r="K1121" s="41" t="n"/>
      <c r="L1121" s="41" t="n"/>
      <c r="M1121" s="31">
        <f>IF(COUNT(J1121:L1121)=0,"",MEDIAN(J1121:L1121))</f>
        <v/>
      </c>
      <c r="N1121" s="26">
        <f>IF(COUNTIFS($C:$C,$C1121,$D:$D,$D1121,$E:$E,"P0(전)",$M:$M,"&gt;0")&lt;&gt;1,"P0(전) 유효 1개 아님",IF(COUNTIFS($C:$C,$C1121,$D:$D,$D1121,$E:$E,"P0(후)",$M:$M,"&gt;0")&lt;&gt;1,"P0(후) 유효 1개 아님",IF(NOT(AND(ISNUMBER(O1121),ISNUMBER(Q1121),ISNUMBER(I1121))),"시각 결측",IF(Q1121&lt;=O1121,"P0 시각 역전",IF(OR(I1121&lt;O1121,I1121&gt;Q1121),"측정시각 구간 밖","OK")))))</f>
        <v/>
      </c>
      <c r="O1121" s="48">
        <f>IF(COUNTIFS($C:$C,$C1121,$D:$D,$D1121,$E:$E,"P0(전)",$M:$M,"&gt;0")&lt;&gt;1,"",SUMIFS($I:$I,$C:$C,$C1121,$D:$D,$D1121,$E:$E,"P0(전)"))</f>
        <v/>
      </c>
      <c r="P1121" s="31">
        <f>IF(COUNTIFS($C:$C,$C1121,$D:$D,$D1121,$E:$E,"P0(전)",$M:$M,"&gt;0")&lt;&gt;1,"",SUMIFS($M:$M,$C:$C,$C1121,$D:$D,$D1121,$E:$E,"P0(전)"))</f>
        <v/>
      </c>
      <c r="Q1121" s="48">
        <f>IF(COUNTIFS($C:$C,$C1121,$D:$D,$D1121,$E:$E,"P0(후)",$M:$M,"&gt;0")&lt;&gt;1,"",SUMIFS($I:$I,$C:$C,$C1121,$D:$D,$D1121,$E:$E,"P0(후)"))</f>
        <v/>
      </c>
      <c r="R1121" s="31">
        <f>IF(COUNTIFS($C:$C,$C1121,$D:$D,$D1121,$E:$E,"P0(후)",$M:$M,"&gt;0")&lt;&gt;1,"",SUMIFS($M:$M,$C:$C,$C1121,$D:$D,$D1121,$E:$E,"P0(후)"))</f>
        <v/>
      </c>
      <c r="S1121" s="31">
        <f>IF(N1121&lt;&gt;"OK","",P1121+(R1121-P1121)*(I1121-O1121)/(Q1121-O1121))</f>
        <v/>
      </c>
      <c r="T1121" s="31">
        <f>IF(OR(N1121&lt;&gt;"OK",NOT(ISNUMBER(M1121))),"",M1121-S1121)</f>
        <v/>
      </c>
      <c r="U1121" s="49">
        <f>IF(OR(NOT(ISNUMBER(T1121)),IF(ISNUMBER(H1121),H1121,G1121)=0),"",T1121/IF(ISNUMBER(H1121),H1121,G1121))</f>
        <v/>
      </c>
      <c r="V1121" s="49">
        <f>IF(ISNUMBER(U1121),ABS(U1121),"")</f>
        <v/>
      </c>
      <c r="W1121" s="49">
        <f>IF(OR($E1120&lt;&gt;"측정",$C1120&lt;&gt;$C1121,$D1120&lt;&gt;$D1121,NOT(ISNUMBER(M1121)),NOT(ISNUMBER(M1120)),(IF(ISNUMBER(H1121),H1121,G1121)-IF(ISNUMBER(H1120),H1120,G1120))=0),"",(M1121-M1120)/(IF(ISNUMBER(H1121),H1121,G1121)-IF(ISNUMBER(H1120),H1120,G1120)))</f>
        <v/>
      </c>
      <c r="X1121" s="31">
        <f>IF(NOT(AND(ISNUMBER(O1121),ISNUMBER(Q1121))),"",(Q1121-O1121)*1440)</f>
        <v/>
      </c>
      <c r="Y1121" s="29" t="n"/>
      <c r="Z1121" s="29" t="n"/>
      <c r="AA1121" s="29" t="n"/>
      <c r="AB1121" s="32" t="n"/>
      <c r="AC1121" s="32" t="n"/>
    </row>
    <row r="1122">
      <c r="A1122" s="26" t="inlineStr">
        <is>
          <t>S22</t>
        </is>
      </c>
      <c r="B1122" s="26" t="inlineStr">
        <is>
          <t>완도 신규점</t>
        </is>
      </c>
      <c r="C1122" s="26" t="inlineStr">
        <is>
          <t>S22-H서</t>
        </is>
      </c>
      <c r="D1122" s="47" t="n">
        <v>1</v>
      </c>
      <c r="E1122" s="26" t="inlineStr">
        <is>
          <t>측정</t>
        </is>
      </c>
      <c r="F1122" s="26" t="inlineStr">
        <is>
          <t>서</t>
        </is>
      </c>
      <c r="G1122" s="31" t="n">
        <v>10</v>
      </c>
      <c r="H1122" s="30" t="n"/>
      <c r="I1122" s="43" t="n"/>
      <c r="J1122" s="41" t="n"/>
      <c r="K1122" s="41" t="n"/>
      <c r="L1122" s="41" t="n"/>
      <c r="M1122" s="31">
        <f>IF(COUNT(J1122:L1122)=0,"",MEDIAN(J1122:L1122))</f>
        <v/>
      </c>
      <c r="N1122" s="26">
        <f>IF(COUNTIFS($C:$C,$C1122,$D:$D,$D1122,$E:$E,"P0(전)",$M:$M,"&gt;0")&lt;&gt;1,"P0(전) 유효 1개 아님",IF(COUNTIFS($C:$C,$C1122,$D:$D,$D1122,$E:$E,"P0(후)",$M:$M,"&gt;0")&lt;&gt;1,"P0(후) 유효 1개 아님",IF(NOT(AND(ISNUMBER(O1122),ISNUMBER(Q1122),ISNUMBER(I1122))),"시각 결측",IF(Q1122&lt;=O1122,"P0 시각 역전",IF(OR(I1122&lt;O1122,I1122&gt;Q1122),"측정시각 구간 밖","OK")))))</f>
        <v/>
      </c>
      <c r="O1122" s="48">
        <f>IF(COUNTIFS($C:$C,$C1122,$D:$D,$D1122,$E:$E,"P0(전)",$M:$M,"&gt;0")&lt;&gt;1,"",SUMIFS($I:$I,$C:$C,$C1122,$D:$D,$D1122,$E:$E,"P0(전)"))</f>
        <v/>
      </c>
      <c r="P1122" s="31">
        <f>IF(COUNTIFS($C:$C,$C1122,$D:$D,$D1122,$E:$E,"P0(전)",$M:$M,"&gt;0")&lt;&gt;1,"",SUMIFS($M:$M,$C:$C,$C1122,$D:$D,$D1122,$E:$E,"P0(전)"))</f>
        <v/>
      </c>
      <c r="Q1122" s="48">
        <f>IF(COUNTIFS($C:$C,$C1122,$D:$D,$D1122,$E:$E,"P0(후)",$M:$M,"&gt;0")&lt;&gt;1,"",SUMIFS($I:$I,$C:$C,$C1122,$D:$D,$D1122,$E:$E,"P0(후)"))</f>
        <v/>
      </c>
      <c r="R1122" s="31">
        <f>IF(COUNTIFS($C:$C,$C1122,$D:$D,$D1122,$E:$E,"P0(후)",$M:$M,"&gt;0")&lt;&gt;1,"",SUMIFS($M:$M,$C:$C,$C1122,$D:$D,$D1122,$E:$E,"P0(후)"))</f>
        <v/>
      </c>
      <c r="S1122" s="31">
        <f>IF(N1122&lt;&gt;"OK","",P1122+(R1122-P1122)*(I1122-O1122)/(Q1122-O1122))</f>
        <v/>
      </c>
      <c r="T1122" s="31">
        <f>IF(OR(N1122&lt;&gt;"OK",NOT(ISNUMBER(M1122))),"",M1122-S1122)</f>
        <v/>
      </c>
      <c r="U1122" s="49">
        <f>IF(OR(NOT(ISNUMBER(T1122)),IF(ISNUMBER(H1122),H1122,G1122)=0),"",T1122/IF(ISNUMBER(H1122),H1122,G1122))</f>
        <v/>
      </c>
      <c r="V1122" s="49">
        <f>IF(ISNUMBER(U1122),ABS(U1122),"")</f>
        <v/>
      </c>
      <c r="W1122" s="49">
        <f>IF(OR($E1121&lt;&gt;"측정",$C1121&lt;&gt;$C1122,$D1121&lt;&gt;$D1122,NOT(ISNUMBER(M1122)),NOT(ISNUMBER(M1121)),(IF(ISNUMBER(H1122),H1122,G1122)-IF(ISNUMBER(H1121),H1121,G1121))=0),"",(M1122-M1121)/(IF(ISNUMBER(H1122),H1122,G1122)-IF(ISNUMBER(H1121),H1121,G1121)))</f>
        <v/>
      </c>
      <c r="X1122" s="31">
        <f>IF(NOT(AND(ISNUMBER(O1122),ISNUMBER(Q1122))),"",(Q1122-O1122)*1440)</f>
        <v/>
      </c>
      <c r="Y1122" s="29" t="n"/>
      <c r="Z1122" s="29" t="n"/>
      <c r="AA1122" s="29" t="n"/>
      <c r="AB1122" s="32" t="n"/>
      <c r="AC1122" s="32" t="n"/>
    </row>
    <row r="1123">
      <c r="A1123" s="44" t="inlineStr">
        <is>
          <t>S22</t>
        </is>
      </c>
      <c r="B1123" s="44" t="inlineStr">
        <is>
          <t>완도 신규점</t>
        </is>
      </c>
      <c r="C1123" s="44" t="inlineStr">
        <is>
          <t>S22-H서</t>
        </is>
      </c>
      <c r="D1123" s="45" t="n">
        <v>1</v>
      </c>
      <c r="E1123" s="44" t="inlineStr">
        <is>
          <t>P0(후)</t>
        </is>
      </c>
      <c r="F1123" s="44" t="inlineStr">
        <is>
          <t>서</t>
        </is>
      </c>
      <c r="G1123" s="46" t="n"/>
      <c r="H1123" s="30" t="n"/>
      <c r="I1123" s="43" t="n"/>
      <c r="J1123" s="41" t="n"/>
      <c r="K1123" s="41" t="n"/>
      <c r="L1123" s="41" t="n"/>
      <c r="M1123" s="31">
        <f>IF(COUNT(J1123:L1123)=0,"",MEDIAN(J1123:L1123))</f>
        <v/>
      </c>
      <c r="N1123" s="38" t="n"/>
      <c r="O1123" s="38" t="n"/>
      <c r="P1123" s="38" t="n"/>
      <c r="Q1123" s="38" t="n"/>
      <c r="R1123" s="38" t="n"/>
      <c r="S1123" s="38" t="n"/>
      <c r="T1123" s="38" t="n"/>
      <c r="U1123" s="38" t="n"/>
      <c r="V1123" s="38" t="n"/>
      <c r="W1123" s="38" t="n"/>
      <c r="X1123" s="38" t="n"/>
      <c r="Y1123" s="29" t="n"/>
      <c r="Z1123" s="29" t="n"/>
      <c r="AA1123" s="29" t="n"/>
      <c r="AB1123" s="32" t="n"/>
      <c r="AC1123" s="32" t="n"/>
    </row>
    <row r="1124">
      <c r="A1124" s="44" t="inlineStr">
        <is>
          <t>S22</t>
        </is>
      </c>
      <c r="B1124" s="44" t="inlineStr">
        <is>
          <t>완도 신규점</t>
        </is>
      </c>
      <c r="C1124" s="44" t="inlineStr">
        <is>
          <t>S22-H남</t>
        </is>
      </c>
      <c r="D1124" s="45" t="n">
        <v>1</v>
      </c>
      <c r="E1124" s="44" t="inlineStr">
        <is>
          <t>P0(전)</t>
        </is>
      </c>
      <c r="F1124" s="44" t="inlineStr">
        <is>
          <t>남</t>
        </is>
      </c>
      <c r="G1124" s="46" t="n"/>
      <c r="H1124" s="30" t="n"/>
      <c r="I1124" s="43" t="n"/>
      <c r="J1124" s="41" t="n"/>
      <c r="K1124" s="41" t="n"/>
      <c r="L1124" s="41" t="n"/>
      <c r="M1124" s="31">
        <f>IF(COUNT(J1124:L1124)=0,"",MEDIAN(J1124:L1124))</f>
        <v/>
      </c>
      <c r="N1124" s="38" t="n"/>
      <c r="O1124" s="38" t="n"/>
      <c r="P1124" s="38" t="n"/>
      <c r="Q1124" s="38" t="n"/>
      <c r="R1124" s="38" t="n"/>
      <c r="S1124" s="38" t="n"/>
      <c r="T1124" s="38" t="n"/>
      <c r="U1124" s="38" t="n"/>
      <c r="V1124" s="38" t="n"/>
      <c r="W1124" s="38" t="n"/>
      <c r="X1124" s="38" t="n"/>
      <c r="Y1124" s="29" t="n"/>
      <c r="Z1124" s="29" t="n"/>
      <c r="AA1124" s="29" t="n"/>
      <c r="AB1124" s="32" t="n"/>
      <c r="AC1124" s="32" t="n"/>
    </row>
    <row r="1125">
      <c r="A1125" s="26" t="inlineStr">
        <is>
          <t>S22</t>
        </is>
      </c>
      <c r="B1125" s="26" t="inlineStr">
        <is>
          <t>완도 신규점</t>
        </is>
      </c>
      <c r="C1125" s="26" t="inlineStr">
        <is>
          <t>S22-H남</t>
        </is>
      </c>
      <c r="D1125" s="47" t="n">
        <v>1</v>
      </c>
      <c r="E1125" s="26" t="inlineStr">
        <is>
          <t>측정</t>
        </is>
      </c>
      <c r="F1125" s="26" t="inlineStr">
        <is>
          <t>남</t>
        </is>
      </c>
      <c r="G1125" s="31" t="n">
        <v>0.5</v>
      </c>
      <c r="H1125" s="30" t="n"/>
      <c r="I1125" s="43" t="n"/>
      <c r="J1125" s="41" t="n"/>
      <c r="K1125" s="41" t="n"/>
      <c r="L1125" s="41" t="n"/>
      <c r="M1125" s="31">
        <f>IF(COUNT(J1125:L1125)=0,"",MEDIAN(J1125:L1125))</f>
        <v/>
      </c>
      <c r="N1125" s="26">
        <f>IF(COUNTIFS($C:$C,$C1125,$D:$D,$D1125,$E:$E,"P0(전)",$M:$M,"&gt;0")&lt;&gt;1,"P0(전) 유효 1개 아님",IF(COUNTIFS($C:$C,$C1125,$D:$D,$D1125,$E:$E,"P0(후)",$M:$M,"&gt;0")&lt;&gt;1,"P0(후) 유효 1개 아님",IF(NOT(AND(ISNUMBER(O1125),ISNUMBER(Q1125),ISNUMBER(I1125))),"시각 결측",IF(Q1125&lt;=O1125,"P0 시각 역전",IF(OR(I1125&lt;O1125,I1125&gt;Q1125),"측정시각 구간 밖","OK")))))</f>
        <v/>
      </c>
      <c r="O1125" s="48">
        <f>IF(COUNTIFS($C:$C,$C1125,$D:$D,$D1125,$E:$E,"P0(전)",$M:$M,"&gt;0")&lt;&gt;1,"",SUMIFS($I:$I,$C:$C,$C1125,$D:$D,$D1125,$E:$E,"P0(전)"))</f>
        <v/>
      </c>
      <c r="P1125" s="31">
        <f>IF(COUNTIFS($C:$C,$C1125,$D:$D,$D1125,$E:$E,"P0(전)",$M:$M,"&gt;0")&lt;&gt;1,"",SUMIFS($M:$M,$C:$C,$C1125,$D:$D,$D1125,$E:$E,"P0(전)"))</f>
        <v/>
      </c>
      <c r="Q1125" s="48">
        <f>IF(COUNTIFS($C:$C,$C1125,$D:$D,$D1125,$E:$E,"P0(후)",$M:$M,"&gt;0")&lt;&gt;1,"",SUMIFS($I:$I,$C:$C,$C1125,$D:$D,$D1125,$E:$E,"P0(후)"))</f>
        <v/>
      </c>
      <c r="R1125" s="31">
        <f>IF(COUNTIFS($C:$C,$C1125,$D:$D,$D1125,$E:$E,"P0(후)",$M:$M,"&gt;0")&lt;&gt;1,"",SUMIFS($M:$M,$C:$C,$C1125,$D:$D,$D1125,$E:$E,"P0(후)"))</f>
        <v/>
      </c>
      <c r="S1125" s="31">
        <f>IF(N1125&lt;&gt;"OK","",P1125+(R1125-P1125)*(I1125-O1125)/(Q1125-O1125))</f>
        <v/>
      </c>
      <c r="T1125" s="31">
        <f>IF(OR(N1125&lt;&gt;"OK",NOT(ISNUMBER(M1125))),"",M1125-S1125)</f>
        <v/>
      </c>
      <c r="U1125" s="49">
        <f>IF(OR(NOT(ISNUMBER(T1125)),IF(ISNUMBER(H1125),H1125,G1125)=0),"",T1125/IF(ISNUMBER(H1125),H1125,G1125))</f>
        <v/>
      </c>
      <c r="V1125" s="49">
        <f>IF(ISNUMBER(U1125),ABS(U1125),"")</f>
        <v/>
      </c>
      <c r="W1125" s="49">
        <f>IF(OR($E1124&lt;&gt;"측정",$C1124&lt;&gt;$C1125,$D1124&lt;&gt;$D1125,NOT(ISNUMBER(M1125)),NOT(ISNUMBER(M1124)),(IF(ISNUMBER(H1125),H1125,G1125)-IF(ISNUMBER(H1124),H1124,G1124))=0),"",(M1125-M1124)/(IF(ISNUMBER(H1125),H1125,G1125)-IF(ISNUMBER(H1124),H1124,G1124)))</f>
        <v/>
      </c>
      <c r="X1125" s="31">
        <f>IF(NOT(AND(ISNUMBER(O1125),ISNUMBER(Q1125))),"",(Q1125-O1125)*1440)</f>
        <v/>
      </c>
      <c r="Y1125" s="29" t="n"/>
      <c r="Z1125" s="29" t="n"/>
      <c r="AA1125" s="29" t="n"/>
      <c r="AB1125" s="32" t="n"/>
      <c r="AC1125" s="32" t="n"/>
    </row>
    <row r="1126">
      <c r="A1126" s="26" t="inlineStr">
        <is>
          <t>S22</t>
        </is>
      </c>
      <c r="B1126" s="26" t="inlineStr">
        <is>
          <t>완도 신규점</t>
        </is>
      </c>
      <c r="C1126" s="26" t="inlineStr">
        <is>
          <t>S22-H남</t>
        </is>
      </c>
      <c r="D1126" s="47" t="n">
        <v>1</v>
      </c>
      <c r="E1126" s="26" t="inlineStr">
        <is>
          <t>측정</t>
        </is>
      </c>
      <c r="F1126" s="26" t="inlineStr">
        <is>
          <t>남</t>
        </is>
      </c>
      <c r="G1126" s="31" t="n">
        <v>1</v>
      </c>
      <c r="H1126" s="30" t="n"/>
      <c r="I1126" s="43" t="n"/>
      <c r="J1126" s="41" t="n"/>
      <c r="K1126" s="41" t="n"/>
      <c r="L1126" s="41" t="n"/>
      <c r="M1126" s="31">
        <f>IF(COUNT(J1126:L1126)=0,"",MEDIAN(J1126:L1126))</f>
        <v/>
      </c>
      <c r="N1126" s="26">
        <f>IF(COUNTIFS($C:$C,$C1126,$D:$D,$D1126,$E:$E,"P0(전)",$M:$M,"&gt;0")&lt;&gt;1,"P0(전) 유효 1개 아님",IF(COUNTIFS($C:$C,$C1126,$D:$D,$D1126,$E:$E,"P0(후)",$M:$M,"&gt;0")&lt;&gt;1,"P0(후) 유효 1개 아님",IF(NOT(AND(ISNUMBER(O1126),ISNUMBER(Q1126),ISNUMBER(I1126))),"시각 결측",IF(Q1126&lt;=O1126,"P0 시각 역전",IF(OR(I1126&lt;O1126,I1126&gt;Q1126),"측정시각 구간 밖","OK")))))</f>
        <v/>
      </c>
      <c r="O1126" s="48">
        <f>IF(COUNTIFS($C:$C,$C1126,$D:$D,$D1126,$E:$E,"P0(전)",$M:$M,"&gt;0")&lt;&gt;1,"",SUMIFS($I:$I,$C:$C,$C1126,$D:$D,$D1126,$E:$E,"P0(전)"))</f>
        <v/>
      </c>
      <c r="P1126" s="31">
        <f>IF(COUNTIFS($C:$C,$C1126,$D:$D,$D1126,$E:$E,"P0(전)",$M:$M,"&gt;0")&lt;&gt;1,"",SUMIFS($M:$M,$C:$C,$C1126,$D:$D,$D1126,$E:$E,"P0(전)"))</f>
        <v/>
      </c>
      <c r="Q1126" s="48">
        <f>IF(COUNTIFS($C:$C,$C1126,$D:$D,$D1126,$E:$E,"P0(후)",$M:$M,"&gt;0")&lt;&gt;1,"",SUMIFS($I:$I,$C:$C,$C1126,$D:$D,$D1126,$E:$E,"P0(후)"))</f>
        <v/>
      </c>
      <c r="R1126" s="31">
        <f>IF(COUNTIFS($C:$C,$C1126,$D:$D,$D1126,$E:$E,"P0(후)",$M:$M,"&gt;0")&lt;&gt;1,"",SUMIFS($M:$M,$C:$C,$C1126,$D:$D,$D1126,$E:$E,"P0(후)"))</f>
        <v/>
      </c>
      <c r="S1126" s="31">
        <f>IF(N1126&lt;&gt;"OK","",P1126+(R1126-P1126)*(I1126-O1126)/(Q1126-O1126))</f>
        <v/>
      </c>
      <c r="T1126" s="31">
        <f>IF(OR(N1126&lt;&gt;"OK",NOT(ISNUMBER(M1126))),"",M1126-S1126)</f>
        <v/>
      </c>
      <c r="U1126" s="49">
        <f>IF(OR(NOT(ISNUMBER(T1126)),IF(ISNUMBER(H1126),H1126,G1126)=0),"",T1126/IF(ISNUMBER(H1126),H1126,G1126))</f>
        <v/>
      </c>
      <c r="V1126" s="49">
        <f>IF(ISNUMBER(U1126),ABS(U1126),"")</f>
        <v/>
      </c>
      <c r="W1126" s="49">
        <f>IF(OR($E1125&lt;&gt;"측정",$C1125&lt;&gt;$C1126,$D1125&lt;&gt;$D1126,NOT(ISNUMBER(M1126)),NOT(ISNUMBER(M1125)),(IF(ISNUMBER(H1126),H1126,G1126)-IF(ISNUMBER(H1125),H1125,G1125))=0),"",(M1126-M1125)/(IF(ISNUMBER(H1126),H1126,G1126)-IF(ISNUMBER(H1125),H1125,G1125)))</f>
        <v/>
      </c>
      <c r="X1126" s="31">
        <f>IF(NOT(AND(ISNUMBER(O1126),ISNUMBER(Q1126))),"",(Q1126-O1126)*1440)</f>
        <v/>
      </c>
      <c r="Y1126" s="29" t="n"/>
      <c r="Z1126" s="29" t="n"/>
      <c r="AA1126" s="29" t="n"/>
      <c r="AB1126" s="32" t="n"/>
      <c r="AC1126" s="32" t="n"/>
    </row>
    <row r="1127">
      <c r="A1127" s="26" t="inlineStr">
        <is>
          <t>S22</t>
        </is>
      </c>
      <c r="B1127" s="26" t="inlineStr">
        <is>
          <t>완도 신규점</t>
        </is>
      </c>
      <c r="C1127" s="26" t="inlineStr">
        <is>
          <t>S22-H남</t>
        </is>
      </c>
      <c r="D1127" s="47" t="n">
        <v>1</v>
      </c>
      <c r="E1127" s="26" t="inlineStr">
        <is>
          <t>측정</t>
        </is>
      </c>
      <c r="F1127" s="26" t="inlineStr">
        <is>
          <t>남</t>
        </is>
      </c>
      <c r="G1127" s="31" t="n">
        <v>2</v>
      </c>
      <c r="H1127" s="30" t="n"/>
      <c r="I1127" s="43" t="n"/>
      <c r="J1127" s="41" t="n"/>
      <c r="K1127" s="41" t="n"/>
      <c r="L1127" s="41" t="n"/>
      <c r="M1127" s="31">
        <f>IF(COUNT(J1127:L1127)=0,"",MEDIAN(J1127:L1127))</f>
        <v/>
      </c>
      <c r="N1127" s="26">
        <f>IF(COUNTIFS($C:$C,$C1127,$D:$D,$D1127,$E:$E,"P0(전)",$M:$M,"&gt;0")&lt;&gt;1,"P0(전) 유효 1개 아님",IF(COUNTIFS($C:$C,$C1127,$D:$D,$D1127,$E:$E,"P0(후)",$M:$M,"&gt;0")&lt;&gt;1,"P0(후) 유효 1개 아님",IF(NOT(AND(ISNUMBER(O1127),ISNUMBER(Q1127),ISNUMBER(I1127))),"시각 결측",IF(Q1127&lt;=O1127,"P0 시각 역전",IF(OR(I1127&lt;O1127,I1127&gt;Q1127),"측정시각 구간 밖","OK")))))</f>
        <v/>
      </c>
      <c r="O1127" s="48">
        <f>IF(COUNTIFS($C:$C,$C1127,$D:$D,$D1127,$E:$E,"P0(전)",$M:$M,"&gt;0")&lt;&gt;1,"",SUMIFS($I:$I,$C:$C,$C1127,$D:$D,$D1127,$E:$E,"P0(전)"))</f>
        <v/>
      </c>
      <c r="P1127" s="31">
        <f>IF(COUNTIFS($C:$C,$C1127,$D:$D,$D1127,$E:$E,"P0(전)",$M:$M,"&gt;0")&lt;&gt;1,"",SUMIFS($M:$M,$C:$C,$C1127,$D:$D,$D1127,$E:$E,"P0(전)"))</f>
        <v/>
      </c>
      <c r="Q1127" s="48">
        <f>IF(COUNTIFS($C:$C,$C1127,$D:$D,$D1127,$E:$E,"P0(후)",$M:$M,"&gt;0")&lt;&gt;1,"",SUMIFS($I:$I,$C:$C,$C1127,$D:$D,$D1127,$E:$E,"P0(후)"))</f>
        <v/>
      </c>
      <c r="R1127" s="31">
        <f>IF(COUNTIFS($C:$C,$C1127,$D:$D,$D1127,$E:$E,"P0(후)",$M:$M,"&gt;0")&lt;&gt;1,"",SUMIFS($M:$M,$C:$C,$C1127,$D:$D,$D1127,$E:$E,"P0(후)"))</f>
        <v/>
      </c>
      <c r="S1127" s="31">
        <f>IF(N1127&lt;&gt;"OK","",P1127+(R1127-P1127)*(I1127-O1127)/(Q1127-O1127))</f>
        <v/>
      </c>
      <c r="T1127" s="31">
        <f>IF(OR(N1127&lt;&gt;"OK",NOT(ISNUMBER(M1127))),"",M1127-S1127)</f>
        <v/>
      </c>
      <c r="U1127" s="49">
        <f>IF(OR(NOT(ISNUMBER(T1127)),IF(ISNUMBER(H1127),H1127,G1127)=0),"",T1127/IF(ISNUMBER(H1127),H1127,G1127))</f>
        <v/>
      </c>
      <c r="V1127" s="49">
        <f>IF(ISNUMBER(U1127),ABS(U1127),"")</f>
        <v/>
      </c>
      <c r="W1127" s="49">
        <f>IF(OR($E1126&lt;&gt;"측정",$C1126&lt;&gt;$C1127,$D1126&lt;&gt;$D1127,NOT(ISNUMBER(M1127)),NOT(ISNUMBER(M1126)),(IF(ISNUMBER(H1127),H1127,G1127)-IF(ISNUMBER(H1126),H1126,G1126))=0),"",(M1127-M1126)/(IF(ISNUMBER(H1127),H1127,G1127)-IF(ISNUMBER(H1126),H1126,G1126)))</f>
        <v/>
      </c>
      <c r="X1127" s="31">
        <f>IF(NOT(AND(ISNUMBER(O1127),ISNUMBER(Q1127))),"",(Q1127-O1127)*1440)</f>
        <v/>
      </c>
      <c r="Y1127" s="29" t="n"/>
      <c r="Z1127" s="29" t="n"/>
      <c r="AA1127" s="29" t="n"/>
      <c r="AB1127" s="32" t="n"/>
      <c r="AC1127" s="32" t="n"/>
    </row>
    <row r="1128">
      <c r="A1128" s="26" t="inlineStr">
        <is>
          <t>S22</t>
        </is>
      </c>
      <c r="B1128" s="26" t="inlineStr">
        <is>
          <t>완도 신규점</t>
        </is>
      </c>
      <c r="C1128" s="26" t="inlineStr">
        <is>
          <t>S22-H남</t>
        </is>
      </c>
      <c r="D1128" s="47" t="n">
        <v>1</v>
      </c>
      <c r="E1128" s="26" t="inlineStr">
        <is>
          <t>측정</t>
        </is>
      </c>
      <c r="F1128" s="26" t="inlineStr">
        <is>
          <t>남</t>
        </is>
      </c>
      <c r="G1128" s="31" t="n">
        <v>3</v>
      </c>
      <c r="H1128" s="30" t="n"/>
      <c r="I1128" s="43" t="n"/>
      <c r="J1128" s="41" t="n"/>
      <c r="K1128" s="41" t="n"/>
      <c r="L1128" s="41" t="n"/>
      <c r="M1128" s="31">
        <f>IF(COUNT(J1128:L1128)=0,"",MEDIAN(J1128:L1128))</f>
        <v/>
      </c>
      <c r="N1128" s="26">
        <f>IF(COUNTIFS($C:$C,$C1128,$D:$D,$D1128,$E:$E,"P0(전)",$M:$M,"&gt;0")&lt;&gt;1,"P0(전) 유효 1개 아님",IF(COUNTIFS($C:$C,$C1128,$D:$D,$D1128,$E:$E,"P0(후)",$M:$M,"&gt;0")&lt;&gt;1,"P0(후) 유효 1개 아님",IF(NOT(AND(ISNUMBER(O1128),ISNUMBER(Q1128),ISNUMBER(I1128))),"시각 결측",IF(Q1128&lt;=O1128,"P0 시각 역전",IF(OR(I1128&lt;O1128,I1128&gt;Q1128),"측정시각 구간 밖","OK")))))</f>
        <v/>
      </c>
      <c r="O1128" s="48">
        <f>IF(COUNTIFS($C:$C,$C1128,$D:$D,$D1128,$E:$E,"P0(전)",$M:$M,"&gt;0")&lt;&gt;1,"",SUMIFS($I:$I,$C:$C,$C1128,$D:$D,$D1128,$E:$E,"P0(전)"))</f>
        <v/>
      </c>
      <c r="P1128" s="31">
        <f>IF(COUNTIFS($C:$C,$C1128,$D:$D,$D1128,$E:$E,"P0(전)",$M:$M,"&gt;0")&lt;&gt;1,"",SUMIFS($M:$M,$C:$C,$C1128,$D:$D,$D1128,$E:$E,"P0(전)"))</f>
        <v/>
      </c>
      <c r="Q1128" s="48">
        <f>IF(COUNTIFS($C:$C,$C1128,$D:$D,$D1128,$E:$E,"P0(후)",$M:$M,"&gt;0")&lt;&gt;1,"",SUMIFS($I:$I,$C:$C,$C1128,$D:$D,$D1128,$E:$E,"P0(후)"))</f>
        <v/>
      </c>
      <c r="R1128" s="31">
        <f>IF(COUNTIFS($C:$C,$C1128,$D:$D,$D1128,$E:$E,"P0(후)",$M:$M,"&gt;0")&lt;&gt;1,"",SUMIFS($M:$M,$C:$C,$C1128,$D:$D,$D1128,$E:$E,"P0(후)"))</f>
        <v/>
      </c>
      <c r="S1128" s="31">
        <f>IF(N1128&lt;&gt;"OK","",P1128+(R1128-P1128)*(I1128-O1128)/(Q1128-O1128))</f>
        <v/>
      </c>
      <c r="T1128" s="31">
        <f>IF(OR(N1128&lt;&gt;"OK",NOT(ISNUMBER(M1128))),"",M1128-S1128)</f>
        <v/>
      </c>
      <c r="U1128" s="49">
        <f>IF(OR(NOT(ISNUMBER(T1128)),IF(ISNUMBER(H1128),H1128,G1128)=0),"",T1128/IF(ISNUMBER(H1128),H1128,G1128))</f>
        <v/>
      </c>
      <c r="V1128" s="49">
        <f>IF(ISNUMBER(U1128),ABS(U1128),"")</f>
        <v/>
      </c>
      <c r="W1128" s="49">
        <f>IF(OR($E1127&lt;&gt;"측정",$C1127&lt;&gt;$C1128,$D1127&lt;&gt;$D1128,NOT(ISNUMBER(M1128)),NOT(ISNUMBER(M1127)),(IF(ISNUMBER(H1128),H1128,G1128)-IF(ISNUMBER(H1127),H1127,G1127))=0),"",(M1128-M1127)/(IF(ISNUMBER(H1128),H1128,G1128)-IF(ISNUMBER(H1127),H1127,G1127)))</f>
        <v/>
      </c>
      <c r="X1128" s="31">
        <f>IF(NOT(AND(ISNUMBER(O1128),ISNUMBER(Q1128))),"",(Q1128-O1128)*1440)</f>
        <v/>
      </c>
      <c r="Y1128" s="29" t="n"/>
      <c r="Z1128" s="29" t="n"/>
      <c r="AA1128" s="29" t="n"/>
      <c r="AB1128" s="32" t="n"/>
      <c r="AC1128" s="32" t="n"/>
    </row>
    <row r="1129">
      <c r="A1129" s="26" t="inlineStr">
        <is>
          <t>S22</t>
        </is>
      </c>
      <c r="B1129" s="26" t="inlineStr">
        <is>
          <t>완도 신규점</t>
        </is>
      </c>
      <c r="C1129" s="26" t="inlineStr">
        <is>
          <t>S22-H남</t>
        </is>
      </c>
      <c r="D1129" s="47" t="n">
        <v>1</v>
      </c>
      <c r="E1129" s="26" t="inlineStr">
        <is>
          <t>측정</t>
        </is>
      </c>
      <c r="F1129" s="26" t="inlineStr">
        <is>
          <t>남</t>
        </is>
      </c>
      <c r="G1129" s="31" t="n">
        <v>4</v>
      </c>
      <c r="H1129" s="30" t="n"/>
      <c r="I1129" s="43" t="n"/>
      <c r="J1129" s="41" t="n"/>
      <c r="K1129" s="41" t="n"/>
      <c r="L1129" s="41" t="n"/>
      <c r="M1129" s="31">
        <f>IF(COUNT(J1129:L1129)=0,"",MEDIAN(J1129:L1129))</f>
        <v/>
      </c>
      <c r="N1129" s="26">
        <f>IF(COUNTIFS($C:$C,$C1129,$D:$D,$D1129,$E:$E,"P0(전)",$M:$M,"&gt;0")&lt;&gt;1,"P0(전) 유효 1개 아님",IF(COUNTIFS($C:$C,$C1129,$D:$D,$D1129,$E:$E,"P0(후)",$M:$M,"&gt;0")&lt;&gt;1,"P0(후) 유효 1개 아님",IF(NOT(AND(ISNUMBER(O1129),ISNUMBER(Q1129),ISNUMBER(I1129))),"시각 결측",IF(Q1129&lt;=O1129,"P0 시각 역전",IF(OR(I1129&lt;O1129,I1129&gt;Q1129),"측정시각 구간 밖","OK")))))</f>
        <v/>
      </c>
      <c r="O1129" s="48">
        <f>IF(COUNTIFS($C:$C,$C1129,$D:$D,$D1129,$E:$E,"P0(전)",$M:$M,"&gt;0")&lt;&gt;1,"",SUMIFS($I:$I,$C:$C,$C1129,$D:$D,$D1129,$E:$E,"P0(전)"))</f>
        <v/>
      </c>
      <c r="P1129" s="31">
        <f>IF(COUNTIFS($C:$C,$C1129,$D:$D,$D1129,$E:$E,"P0(전)",$M:$M,"&gt;0")&lt;&gt;1,"",SUMIFS($M:$M,$C:$C,$C1129,$D:$D,$D1129,$E:$E,"P0(전)"))</f>
        <v/>
      </c>
      <c r="Q1129" s="48">
        <f>IF(COUNTIFS($C:$C,$C1129,$D:$D,$D1129,$E:$E,"P0(후)",$M:$M,"&gt;0")&lt;&gt;1,"",SUMIFS($I:$I,$C:$C,$C1129,$D:$D,$D1129,$E:$E,"P0(후)"))</f>
        <v/>
      </c>
      <c r="R1129" s="31">
        <f>IF(COUNTIFS($C:$C,$C1129,$D:$D,$D1129,$E:$E,"P0(후)",$M:$M,"&gt;0")&lt;&gt;1,"",SUMIFS($M:$M,$C:$C,$C1129,$D:$D,$D1129,$E:$E,"P0(후)"))</f>
        <v/>
      </c>
      <c r="S1129" s="31">
        <f>IF(N1129&lt;&gt;"OK","",P1129+(R1129-P1129)*(I1129-O1129)/(Q1129-O1129))</f>
        <v/>
      </c>
      <c r="T1129" s="31">
        <f>IF(OR(N1129&lt;&gt;"OK",NOT(ISNUMBER(M1129))),"",M1129-S1129)</f>
        <v/>
      </c>
      <c r="U1129" s="49">
        <f>IF(OR(NOT(ISNUMBER(T1129)),IF(ISNUMBER(H1129),H1129,G1129)=0),"",T1129/IF(ISNUMBER(H1129),H1129,G1129))</f>
        <v/>
      </c>
      <c r="V1129" s="49">
        <f>IF(ISNUMBER(U1129),ABS(U1129),"")</f>
        <v/>
      </c>
      <c r="W1129" s="49">
        <f>IF(OR($E1128&lt;&gt;"측정",$C1128&lt;&gt;$C1129,$D1128&lt;&gt;$D1129,NOT(ISNUMBER(M1129)),NOT(ISNUMBER(M1128)),(IF(ISNUMBER(H1129),H1129,G1129)-IF(ISNUMBER(H1128),H1128,G1128))=0),"",(M1129-M1128)/(IF(ISNUMBER(H1129),H1129,G1129)-IF(ISNUMBER(H1128),H1128,G1128)))</f>
        <v/>
      </c>
      <c r="X1129" s="31">
        <f>IF(NOT(AND(ISNUMBER(O1129),ISNUMBER(Q1129))),"",(Q1129-O1129)*1440)</f>
        <v/>
      </c>
      <c r="Y1129" s="29" t="n"/>
      <c r="Z1129" s="29" t="n"/>
      <c r="AA1129" s="29" t="n"/>
      <c r="AB1129" s="32" t="n"/>
      <c r="AC1129" s="32" t="n"/>
    </row>
    <row r="1130">
      <c r="A1130" s="26" t="inlineStr">
        <is>
          <t>S22</t>
        </is>
      </c>
      <c r="B1130" s="26" t="inlineStr">
        <is>
          <t>완도 신규점</t>
        </is>
      </c>
      <c r="C1130" s="26" t="inlineStr">
        <is>
          <t>S22-H남</t>
        </is>
      </c>
      <c r="D1130" s="47" t="n">
        <v>1</v>
      </c>
      <c r="E1130" s="26" t="inlineStr">
        <is>
          <t>측정</t>
        </is>
      </c>
      <c r="F1130" s="26" t="inlineStr">
        <is>
          <t>남</t>
        </is>
      </c>
      <c r="G1130" s="31" t="n">
        <v>5</v>
      </c>
      <c r="H1130" s="30" t="n"/>
      <c r="I1130" s="43" t="n"/>
      <c r="J1130" s="41" t="n"/>
      <c r="K1130" s="41" t="n"/>
      <c r="L1130" s="41" t="n"/>
      <c r="M1130" s="31">
        <f>IF(COUNT(J1130:L1130)=0,"",MEDIAN(J1130:L1130))</f>
        <v/>
      </c>
      <c r="N1130" s="26">
        <f>IF(COUNTIFS($C:$C,$C1130,$D:$D,$D1130,$E:$E,"P0(전)",$M:$M,"&gt;0")&lt;&gt;1,"P0(전) 유효 1개 아님",IF(COUNTIFS($C:$C,$C1130,$D:$D,$D1130,$E:$E,"P0(후)",$M:$M,"&gt;0")&lt;&gt;1,"P0(후) 유효 1개 아님",IF(NOT(AND(ISNUMBER(O1130),ISNUMBER(Q1130),ISNUMBER(I1130))),"시각 결측",IF(Q1130&lt;=O1130,"P0 시각 역전",IF(OR(I1130&lt;O1130,I1130&gt;Q1130),"측정시각 구간 밖","OK")))))</f>
        <v/>
      </c>
      <c r="O1130" s="48">
        <f>IF(COUNTIFS($C:$C,$C1130,$D:$D,$D1130,$E:$E,"P0(전)",$M:$M,"&gt;0")&lt;&gt;1,"",SUMIFS($I:$I,$C:$C,$C1130,$D:$D,$D1130,$E:$E,"P0(전)"))</f>
        <v/>
      </c>
      <c r="P1130" s="31">
        <f>IF(COUNTIFS($C:$C,$C1130,$D:$D,$D1130,$E:$E,"P0(전)",$M:$M,"&gt;0")&lt;&gt;1,"",SUMIFS($M:$M,$C:$C,$C1130,$D:$D,$D1130,$E:$E,"P0(전)"))</f>
        <v/>
      </c>
      <c r="Q1130" s="48">
        <f>IF(COUNTIFS($C:$C,$C1130,$D:$D,$D1130,$E:$E,"P0(후)",$M:$M,"&gt;0")&lt;&gt;1,"",SUMIFS($I:$I,$C:$C,$C1130,$D:$D,$D1130,$E:$E,"P0(후)"))</f>
        <v/>
      </c>
      <c r="R1130" s="31">
        <f>IF(COUNTIFS($C:$C,$C1130,$D:$D,$D1130,$E:$E,"P0(후)",$M:$M,"&gt;0")&lt;&gt;1,"",SUMIFS($M:$M,$C:$C,$C1130,$D:$D,$D1130,$E:$E,"P0(후)"))</f>
        <v/>
      </c>
      <c r="S1130" s="31">
        <f>IF(N1130&lt;&gt;"OK","",P1130+(R1130-P1130)*(I1130-O1130)/(Q1130-O1130))</f>
        <v/>
      </c>
      <c r="T1130" s="31">
        <f>IF(OR(N1130&lt;&gt;"OK",NOT(ISNUMBER(M1130))),"",M1130-S1130)</f>
        <v/>
      </c>
      <c r="U1130" s="49">
        <f>IF(OR(NOT(ISNUMBER(T1130)),IF(ISNUMBER(H1130),H1130,G1130)=0),"",T1130/IF(ISNUMBER(H1130),H1130,G1130))</f>
        <v/>
      </c>
      <c r="V1130" s="49">
        <f>IF(ISNUMBER(U1130),ABS(U1130),"")</f>
        <v/>
      </c>
      <c r="W1130" s="49">
        <f>IF(OR($E1129&lt;&gt;"측정",$C1129&lt;&gt;$C1130,$D1129&lt;&gt;$D1130,NOT(ISNUMBER(M1130)),NOT(ISNUMBER(M1129)),(IF(ISNUMBER(H1130),H1130,G1130)-IF(ISNUMBER(H1129),H1129,G1129))=0),"",(M1130-M1129)/(IF(ISNUMBER(H1130),H1130,G1130)-IF(ISNUMBER(H1129),H1129,G1129)))</f>
        <v/>
      </c>
      <c r="X1130" s="31">
        <f>IF(NOT(AND(ISNUMBER(O1130),ISNUMBER(Q1130))),"",(Q1130-O1130)*1440)</f>
        <v/>
      </c>
      <c r="Y1130" s="29" t="n"/>
      <c r="Z1130" s="29" t="n"/>
      <c r="AA1130" s="29" t="n"/>
      <c r="AB1130" s="32" t="n"/>
      <c r="AC1130" s="32" t="n"/>
    </row>
    <row r="1131">
      <c r="A1131" s="26" t="inlineStr">
        <is>
          <t>S22</t>
        </is>
      </c>
      <c r="B1131" s="26" t="inlineStr">
        <is>
          <t>완도 신규점</t>
        </is>
      </c>
      <c r="C1131" s="26" t="inlineStr">
        <is>
          <t>S22-H남</t>
        </is>
      </c>
      <c r="D1131" s="47" t="n">
        <v>1</v>
      </c>
      <c r="E1131" s="26" t="inlineStr">
        <is>
          <t>측정</t>
        </is>
      </c>
      <c r="F1131" s="26" t="inlineStr">
        <is>
          <t>남</t>
        </is>
      </c>
      <c r="G1131" s="31" t="n">
        <v>6</v>
      </c>
      <c r="H1131" s="30" t="n"/>
      <c r="I1131" s="43" t="n"/>
      <c r="J1131" s="41" t="n"/>
      <c r="K1131" s="41" t="n"/>
      <c r="L1131" s="41" t="n"/>
      <c r="M1131" s="31">
        <f>IF(COUNT(J1131:L1131)=0,"",MEDIAN(J1131:L1131))</f>
        <v/>
      </c>
      <c r="N1131" s="26">
        <f>IF(COUNTIFS($C:$C,$C1131,$D:$D,$D1131,$E:$E,"P0(전)",$M:$M,"&gt;0")&lt;&gt;1,"P0(전) 유효 1개 아님",IF(COUNTIFS($C:$C,$C1131,$D:$D,$D1131,$E:$E,"P0(후)",$M:$M,"&gt;0")&lt;&gt;1,"P0(후) 유효 1개 아님",IF(NOT(AND(ISNUMBER(O1131),ISNUMBER(Q1131),ISNUMBER(I1131))),"시각 결측",IF(Q1131&lt;=O1131,"P0 시각 역전",IF(OR(I1131&lt;O1131,I1131&gt;Q1131),"측정시각 구간 밖","OK")))))</f>
        <v/>
      </c>
      <c r="O1131" s="48">
        <f>IF(COUNTIFS($C:$C,$C1131,$D:$D,$D1131,$E:$E,"P0(전)",$M:$M,"&gt;0")&lt;&gt;1,"",SUMIFS($I:$I,$C:$C,$C1131,$D:$D,$D1131,$E:$E,"P0(전)"))</f>
        <v/>
      </c>
      <c r="P1131" s="31">
        <f>IF(COUNTIFS($C:$C,$C1131,$D:$D,$D1131,$E:$E,"P0(전)",$M:$M,"&gt;0")&lt;&gt;1,"",SUMIFS($M:$M,$C:$C,$C1131,$D:$D,$D1131,$E:$E,"P0(전)"))</f>
        <v/>
      </c>
      <c r="Q1131" s="48">
        <f>IF(COUNTIFS($C:$C,$C1131,$D:$D,$D1131,$E:$E,"P0(후)",$M:$M,"&gt;0")&lt;&gt;1,"",SUMIFS($I:$I,$C:$C,$C1131,$D:$D,$D1131,$E:$E,"P0(후)"))</f>
        <v/>
      </c>
      <c r="R1131" s="31">
        <f>IF(COUNTIFS($C:$C,$C1131,$D:$D,$D1131,$E:$E,"P0(후)",$M:$M,"&gt;0")&lt;&gt;1,"",SUMIFS($M:$M,$C:$C,$C1131,$D:$D,$D1131,$E:$E,"P0(후)"))</f>
        <v/>
      </c>
      <c r="S1131" s="31">
        <f>IF(N1131&lt;&gt;"OK","",P1131+(R1131-P1131)*(I1131-O1131)/(Q1131-O1131))</f>
        <v/>
      </c>
      <c r="T1131" s="31">
        <f>IF(OR(N1131&lt;&gt;"OK",NOT(ISNUMBER(M1131))),"",M1131-S1131)</f>
        <v/>
      </c>
      <c r="U1131" s="49">
        <f>IF(OR(NOT(ISNUMBER(T1131)),IF(ISNUMBER(H1131),H1131,G1131)=0),"",T1131/IF(ISNUMBER(H1131),H1131,G1131))</f>
        <v/>
      </c>
      <c r="V1131" s="49">
        <f>IF(ISNUMBER(U1131),ABS(U1131),"")</f>
        <v/>
      </c>
      <c r="W1131" s="49">
        <f>IF(OR($E1130&lt;&gt;"측정",$C1130&lt;&gt;$C1131,$D1130&lt;&gt;$D1131,NOT(ISNUMBER(M1131)),NOT(ISNUMBER(M1130)),(IF(ISNUMBER(H1131),H1131,G1131)-IF(ISNUMBER(H1130),H1130,G1130))=0),"",(M1131-M1130)/(IF(ISNUMBER(H1131),H1131,G1131)-IF(ISNUMBER(H1130),H1130,G1130)))</f>
        <v/>
      </c>
      <c r="X1131" s="31">
        <f>IF(NOT(AND(ISNUMBER(O1131),ISNUMBER(Q1131))),"",(Q1131-O1131)*1440)</f>
        <v/>
      </c>
      <c r="Y1131" s="29" t="n"/>
      <c r="Z1131" s="29" t="n"/>
      <c r="AA1131" s="29" t="n"/>
      <c r="AB1131" s="32" t="n"/>
      <c r="AC1131" s="32" t="n"/>
    </row>
    <row r="1132">
      <c r="A1132" s="26" t="inlineStr">
        <is>
          <t>S22</t>
        </is>
      </c>
      <c r="B1132" s="26" t="inlineStr">
        <is>
          <t>완도 신규점</t>
        </is>
      </c>
      <c r="C1132" s="26" t="inlineStr">
        <is>
          <t>S22-H남</t>
        </is>
      </c>
      <c r="D1132" s="47" t="n">
        <v>1</v>
      </c>
      <c r="E1132" s="26" t="inlineStr">
        <is>
          <t>측정</t>
        </is>
      </c>
      <c r="F1132" s="26" t="inlineStr">
        <is>
          <t>남</t>
        </is>
      </c>
      <c r="G1132" s="31" t="n">
        <v>7</v>
      </c>
      <c r="H1132" s="30" t="n"/>
      <c r="I1132" s="43" t="n"/>
      <c r="J1132" s="41" t="n"/>
      <c r="K1132" s="41" t="n"/>
      <c r="L1132" s="41" t="n"/>
      <c r="M1132" s="31">
        <f>IF(COUNT(J1132:L1132)=0,"",MEDIAN(J1132:L1132))</f>
        <v/>
      </c>
      <c r="N1132" s="26">
        <f>IF(COUNTIFS($C:$C,$C1132,$D:$D,$D1132,$E:$E,"P0(전)",$M:$M,"&gt;0")&lt;&gt;1,"P0(전) 유효 1개 아님",IF(COUNTIFS($C:$C,$C1132,$D:$D,$D1132,$E:$E,"P0(후)",$M:$M,"&gt;0")&lt;&gt;1,"P0(후) 유효 1개 아님",IF(NOT(AND(ISNUMBER(O1132),ISNUMBER(Q1132),ISNUMBER(I1132))),"시각 결측",IF(Q1132&lt;=O1132,"P0 시각 역전",IF(OR(I1132&lt;O1132,I1132&gt;Q1132),"측정시각 구간 밖","OK")))))</f>
        <v/>
      </c>
      <c r="O1132" s="48">
        <f>IF(COUNTIFS($C:$C,$C1132,$D:$D,$D1132,$E:$E,"P0(전)",$M:$M,"&gt;0")&lt;&gt;1,"",SUMIFS($I:$I,$C:$C,$C1132,$D:$D,$D1132,$E:$E,"P0(전)"))</f>
        <v/>
      </c>
      <c r="P1132" s="31">
        <f>IF(COUNTIFS($C:$C,$C1132,$D:$D,$D1132,$E:$E,"P0(전)",$M:$M,"&gt;0")&lt;&gt;1,"",SUMIFS($M:$M,$C:$C,$C1132,$D:$D,$D1132,$E:$E,"P0(전)"))</f>
        <v/>
      </c>
      <c r="Q1132" s="48">
        <f>IF(COUNTIFS($C:$C,$C1132,$D:$D,$D1132,$E:$E,"P0(후)",$M:$M,"&gt;0")&lt;&gt;1,"",SUMIFS($I:$I,$C:$C,$C1132,$D:$D,$D1132,$E:$E,"P0(후)"))</f>
        <v/>
      </c>
      <c r="R1132" s="31">
        <f>IF(COUNTIFS($C:$C,$C1132,$D:$D,$D1132,$E:$E,"P0(후)",$M:$M,"&gt;0")&lt;&gt;1,"",SUMIFS($M:$M,$C:$C,$C1132,$D:$D,$D1132,$E:$E,"P0(후)"))</f>
        <v/>
      </c>
      <c r="S1132" s="31">
        <f>IF(N1132&lt;&gt;"OK","",P1132+(R1132-P1132)*(I1132-O1132)/(Q1132-O1132))</f>
        <v/>
      </c>
      <c r="T1132" s="31">
        <f>IF(OR(N1132&lt;&gt;"OK",NOT(ISNUMBER(M1132))),"",M1132-S1132)</f>
        <v/>
      </c>
      <c r="U1132" s="49">
        <f>IF(OR(NOT(ISNUMBER(T1132)),IF(ISNUMBER(H1132),H1132,G1132)=0),"",T1132/IF(ISNUMBER(H1132),H1132,G1132))</f>
        <v/>
      </c>
      <c r="V1132" s="49">
        <f>IF(ISNUMBER(U1132),ABS(U1132),"")</f>
        <v/>
      </c>
      <c r="W1132" s="49">
        <f>IF(OR($E1131&lt;&gt;"측정",$C1131&lt;&gt;$C1132,$D1131&lt;&gt;$D1132,NOT(ISNUMBER(M1132)),NOT(ISNUMBER(M1131)),(IF(ISNUMBER(H1132),H1132,G1132)-IF(ISNUMBER(H1131),H1131,G1131))=0),"",(M1132-M1131)/(IF(ISNUMBER(H1132),H1132,G1132)-IF(ISNUMBER(H1131),H1131,G1131)))</f>
        <v/>
      </c>
      <c r="X1132" s="31">
        <f>IF(NOT(AND(ISNUMBER(O1132),ISNUMBER(Q1132))),"",(Q1132-O1132)*1440)</f>
        <v/>
      </c>
      <c r="Y1132" s="29" t="n"/>
      <c r="Z1132" s="29" t="n"/>
      <c r="AA1132" s="29" t="n"/>
      <c r="AB1132" s="32" t="n"/>
      <c r="AC1132" s="32" t="n"/>
    </row>
    <row r="1133">
      <c r="A1133" s="26" t="inlineStr">
        <is>
          <t>S22</t>
        </is>
      </c>
      <c r="B1133" s="26" t="inlineStr">
        <is>
          <t>완도 신규점</t>
        </is>
      </c>
      <c r="C1133" s="26" t="inlineStr">
        <is>
          <t>S22-H남</t>
        </is>
      </c>
      <c r="D1133" s="47" t="n">
        <v>1</v>
      </c>
      <c r="E1133" s="26" t="inlineStr">
        <is>
          <t>측정</t>
        </is>
      </c>
      <c r="F1133" s="26" t="inlineStr">
        <is>
          <t>남</t>
        </is>
      </c>
      <c r="G1133" s="31" t="n">
        <v>8</v>
      </c>
      <c r="H1133" s="30" t="n"/>
      <c r="I1133" s="43" t="n"/>
      <c r="J1133" s="41" t="n"/>
      <c r="K1133" s="41" t="n"/>
      <c r="L1133" s="41" t="n"/>
      <c r="M1133" s="31">
        <f>IF(COUNT(J1133:L1133)=0,"",MEDIAN(J1133:L1133))</f>
        <v/>
      </c>
      <c r="N1133" s="26">
        <f>IF(COUNTIFS($C:$C,$C1133,$D:$D,$D1133,$E:$E,"P0(전)",$M:$M,"&gt;0")&lt;&gt;1,"P0(전) 유효 1개 아님",IF(COUNTIFS($C:$C,$C1133,$D:$D,$D1133,$E:$E,"P0(후)",$M:$M,"&gt;0")&lt;&gt;1,"P0(후) 유효 1개 아님",IF(NOT(AND(ISNUMBER(O1133),ISNUMBER(Q1133),ISNUMBER(I1133))),"시각 결측",IF(Q1133&lt;=O1133,"P0 시각 역전",IF(OR(I1133&lt;O1133,I1133&gt;Q1133),"측정시각 구간 밖","OK")))))</f>
        <v/>
      </c>
      <c r="O1133" s="48">
        <f>IF(COUNTIFS($C:$C,$C1133,$D:$D,$D1133,$E:$E,"P0(전)",$M:$M,"&gt;0")&lt;&gt;1,"",SUMIFS($I:$I,$C:$C,$C1133,$D:$D,$D1133,$E:$E,"P0(전)"))</f>
        <v/>
      </c>
      <c r="P1133" s="31">
        <f>IF(COUNTIFS($C:$C,$C1133,$D:$D,$D1133,$E:$E,"P0(전)",$M:$M,"&gt;0")&lt;&gt;1,"",SUMIFS($M:$M,$C:$C,$C1133,$D:$D,$D1133,$E:$E,"P0(전)"))</f>
        <v/>
      </c>
      <c r="Q1133" s="48">
        <f>IF(COUNTIFS($C:$C,$C1133,$D:$D,$D1133,$E:$E,"P0(후)",$M:$M,"&gt;0")&lt;&gt;1,"",SUMIFS($I:$I,$C:$C,$C1133,$D:$D,$D1133,$E:$E,"P0(후)"))</f>
        <v/>
      </c>
      <c r="R1133" s="31">
        <f>IF(COUNTIFS($C:$C,$C1133,$D:$D,$D1133,$E:$E,"P0(후)",$M:$M,"&gt;0")&lt;&gt;1,"",SUMIFS($M:$M,$C:$C,$C1133,$D:$D,$D1133,$E:$E,"P0(후)"))</f>
        <v/>
      </c>
      <c r="S1133" s="31">
        <f>IF(N1133&lt;&gt;"OK","",P1133+(R1133-P1133)*(I1133-O1133)/(Q1133-O1133))</f>
        <v/>
      </c>
      <c r="T1133" s="31">
        <f>IF(OR(N1133&lt;&gt;"OK",NOT(ISNUMBER(M1133))),"",M1133-S1133)</f>
        <v/>
      </c>
      <c r="U1133" s="49">
        <f>IF(OR(NOT(ISNUMBER(T1133)),IF(ISNUMBER(H1133),H1133,G1133)=0),"",T1133/IF(ISNUMBER(H1133),H1133,G1133))</f>
        <v/>
      </c>
      <c r="V1133" s="49">
        <f>IF(ISNUMBER(U1133),ABS(U1133),"")</f>
        <v/>
      </c>
      <c r="W1133" s="49">
        <f>IF(OR($E1132&lt;&gt;"측정",$C1132&lt;&gt;$C1133,$D1132&lt;&gt;$D1133,NOT(ISNUMBER(M1133)),NOT(ISNUMBER(M1132)),(IF(ISNUMBER(H1133),H1133,G1133)-IF(ISNUMBER(H1132),H1132,G1132))=0),"",(M1133-M1132)/(IF(ISNUMBER(H1133),H1133,G1133)-IF(ISNUMBER(H1132),H1132,G1132)))</f>
        <v/>
      </c>
      <c r="X1133" s="31">
        <f>IF(NOT(AND(ISNUMBER(O1133),ISNUMBER(Q1133))),"",(Q1133-O1133)*1440)</f>
        <v/>
      </c>
      <c r="Y1133" s="29" t="n"/>
      <c r="Z1133" s="29" t="n"/>
      <c r="AA1133" s="29" t="n"/>
      <c r="AB1133" s="32" t="n"/>
      <c r="AC1133" s="32" t="n"/>
    </row>
    <row r="1134">
      <c r="A1134" s="26" t="inlineStr">
        <is>
          <t>S22</t>
        </is>
      </c>
      <c r="B1134" s="26" t="inlineStr">
        <is>
          <t>완도 신규점</t>
        </is>
      </c>
      <c r="C1134" s="26" t="inlineStr">
        <is>
          <t>S22-H남</t>
        </is>
      </c>
      <c r="D1134" s="47" t="n">
        <v>1</v>
      </c>
      <c r="E1134" s="26" t="inlineStr">
        <is>
          <t>측정</t>
        </is>
      </c>
      <c r="F1134" s="26" t="inlineStr">
        <is>
          <t>남</t>
        </is>
      </c>
      <c r="G1134" s="31" t="n">
        <v>9</v>
      </c>
      <c r="H1134" s="30" t="n"/>
      <c r="I1134" s="43" t="n"/>
      <c r="J1134" s="41" t="n"/>
      <c r="K1134" s="41" t="n"/>
      <c r="L1134" s="41" t="n"/>
      <c r="M1134" s="31">
        <f>IF(COUNT(J1134:L1134)=0,"",MEDIAN(J1134:L1134))</f>
        <v/>
      </c>
      <c r="N1134" s="26">
        <f>IF(COUNTIFS($C:$C,$C1134,$D:$D,$D1134,$E:$E,"P0(전)",$M:$M,"&gt;0")&lt;&gt;1,"P0(전) 유효 1개 아님",IF(COUNTIFS($C:$C,$C1134,$D:$D,$D1134,$E:$E,"P0(후)",$M:$M,"&gt;0")&lt;&gt;1,"P0(후) 유효 1개 아님",IF(NOT(AND(ISNUMBER(O1134),ISNUMBER(Q1134),ISNUMBER(I1134))),"시각 결측",IF(Q1134&lt;=O1134,"P0 시각 역전",IF(OR(I1134&lt;O1134,I1134&gt;Q1134),"측정시각 구간 밖","OK")))))</f>
        <v/>
      </c>
      <c r="O1134" s="48">
        <f>IF(COUNTIFS($C:$C,$C1134,$D:$D,$D1134,$E:$E,"P0(전)",$M:$M,"&gt;0")&lt;&gt;1,"",SUMIFS($I:$I,$C:$C,$C1134,$D:$D,$D1134,$E:$E,"P0(전)"))</f>
        <v/>
      </c>
      <c r="P1134" s="31">
        <f>IF(COUNTIFS($C:$C,$C1134,$D:$D,$D1134,$E:$E,"P0(전)",$M:$M,"&gt;0")&lt;&gt;1,"",SUMIFS($M:$M,$C:$C,$C1134,$D:$D,$D1134,$E:$E,"P0(전)"))</f>
        <v/>
      </c>
      <c r="Q1134" s="48">
        <f>IF(COUNTIFS($C:$C,$C1134,$D:$D,$D1134,$E:$E,"P0(후)",$M:$M,"&gt;0")&lt;&gt;1,"",SUMIFS($I:$I,$C:$C,$C1134,$D:$D,$D1134,$E:$E,"P0(후)"))</f>
        <v/>
      </c>
      <c r="R1134" s="31">
        <f>IF(COUNTIFS($C:$C,$C1134,$D:$D,$D1134,$E:$E,"P0(후)",$M:$M,"&gt;0")&lt;&gt;1,"",SUMIFS($M:$M,$C:$C,$C1134,$D:$D,$D1134,$E:$E,"P0(후)"))</f>
        <v/>
      </c>
      <c r="S1134" s="31">
        <f>IF(N1134&lt;&gt;"OK","",P1134+(R1134-P1134)*(I1134-O1134)/(Q1134-O1134))</f>
        <v/>
      </c>
      <c r="T1134" s="31">
        <f>IF(OR(N1134&lt;&gt;"OK",NOT(ISNUMBER(M1134))),"",M1134-S1134)</f>
        <v/>
      </c>
      <c r="U1134" s="49">
        <f>IF(OR(NOT(ISNUMBER(T1134)),IF(ISNUMBER(H1134),H1134,G1134)=0),"",T1134/IF(ISNUMBER(H1134),H1134,G1134))</f>
        <v/>
      </c>
      <c r="V1134" s="49">
        <f>IF(ISNUMBER(U1134),ABS(U1134),"")</f>
        <v/>
      </c>
      <c r="W1134" s="49">
        <f>IF(OR($E1133&lt;&gt;"측정",$C1133&lt;&gt;$C1134,$D1133&lt;&gt;$D1134,NOT(ISNUMBER(M1134)),NOT(ISNUMBER(M1133)),(IF(ISNUMBER(H1134),H1134,G1134)-IF(ISNUMBER(H1133),H1133,G1133))=0),"",(M1134-M1133)/(IF(ISNUMBER(H1134),H1134,G1134)-IF(ISNUMBER(H1133),H1133,G1133)))</f>
        <v/>
      </c>
      <c r="X1134" s="31">
        <f>IF(NOT(AND(ISNUMBER(O1134),ISNUMBER(Q1134))),"",(Q1134-O1134)*1440)</f>
        <v/>
      </c>
      <c r="Y1134" s="29" t="n"/>
      <c r="Z1134" s="29" t="n"/>
      <c r="AA1134" s="29" t="n"/>
      <c r="AB1134" s="32" t="n"/>
      <c r="AC1134" s="32" t="n"/>
    </row>
    <row r="1135">
      <c r="A1135" s="26" t="inlineStr">
        <is>
          <t>S22</t>
        </is>
      </c>
      <c r="B1135" s="26" t="inlineStr">
        <is>
          <t>완도 신규점</t>
        </is>
      </c>
      <c r="C1135" s="26" t="inlineStr">
        <is>
          <t>S22-H남</t>
        </is>
      </c>
      <c r="D1135" s="47" t="n">
        <v>1</v>
      </c>
      <c r="E1135" s="26" t="inlineStr">
        <is>
          <t>측정</t>
        </is>
      </c>
      <c r="F1135" s="26" t="inlineStr">
        <is>
          <t>남</t>
        </is>
      </c>
      <c r="G1135" s="31" t="n">
        <v>10</v>
      </c>
      <c r="H1135" s="30" t="n"/>
      <c r="I1135" s="43" t="n"/>
      <c r="J1135" s="41" t="n"/>
      <c r="K1135" s="41" t="n"/>
      <c r="L1135" s="41" t="n"/>
      <c r="M1135" s="31">
        <f>IF(COUNT(J1135:L1135)=0,"",MEDIAN(J1135:L1135))</f>
        <v/>
      </c>
      <c r="N1135" s="26">
        <f>IF(COUNTIFS($C:$C,$C1135,$D:$D,$D1135,$E:$E,"P0(전)",$M:$M,"&gt;0")&lt;&gt;1,"P0(전) 유효 1개 아님",IF(COUNTIFS($C:$C,$C1135,$D:$D,$D1135,$E:$E,"P0(후)",$M:$M,"&gt;0")&lt;&gt;1,"P0(후) 유효 1개 아님",IF(NOT(AND(ISNUMBER(O1135),ISNUMBER(Q1135),ISNUMBER(I1135))),"시각 결측",IF(Q1135&lt;=O1135,"P0 시각 역전",IF(OR(I1135&lt;O1135,I1135&gt;Q1135),"측정시각 구간 밖","OK")))))</f>
        <v/>
      </c>
      <c r="O1135" s="48">
        <f>IF(COUNTIFS($C:$C,$C1135,$D:$D,$D1135,$E:$E,"P0(전)",$M:$M,"&gt;0")&lt;&gt;1,"",SUMIFS($I:$I,$C:$C,$C1135,$D:$D,$D1135,$E:$E,"P0(전)"))</f>
        <v/>
      </c>
      <c r="P1135" s="31">
        <f>IF(COUNTIFS($C:$C,$C1135,$D:$D,$D1135,$E:$E,"P0(전)",$M:$M,"&gt;0")&lt;&gt;1,"",SUMIFS($M:$M,$C:$C,$C1135,$D:$D,$D1135,$E:$E,"P0(전)"))</f>
        <v/>
      </c>
      <c r="Q1135" s="48">
        <f>IF(COUNTIFS($C:$C,$C1135,$D:$D,$D1135,$E:$E,"P0(후)",$M:$M,"&gt;0")&lt;&gt;1,"",SUMIFS($I:$I,$C:$C,$C1135,$D:$D,$D1135,$E:$E,"P0(후)"))</f>
        <v/>
      </c>
      <c r="R1135" s="31">
        <f>IF(COUNTIFS($C:$C,$C1135,$D:$D,$D1135,$E:$E,"P0(후)",$M:$M,"&gt;0")&lt;&gt;1,"",SUMIFS($M:$M,$C:$C,$C1135,$D:$D,$D1135,$E:$E,"P0(후)"))</f>
        <v/>
      </c>
      <c r="S1135" s="31">
        <f>IF(N1135&lt;&gt;"OK","",P1135+(R1135-P1135)*(I1135-O1135)/(Q1135-O1135))</f>
        <v/>
      </c>
      <c r="T1135" s="31">
        <f>IF(OR(N1135&lt;&gt;"OK",NOT(ISNUMBER(M1135))),"",M1135-S1135)</f>
        <v/>
      </c>
      <c r="U1135" s="49">
        <f>IF(OR(NOT(ISNUMBER(T1135)),IF(ISNUMBER(H1135),H1135,G1135)=0),"",T1135/IF(ISNUMBER(H1135),H1135,G1135))</f>
        <v/>
      </c>
      <c r="V1135" s="49">
        <f>IF(ISNUMBER(U1135),ABS(U1135),"")</f>
        <v/>
      </c>
      <c r="W1135" s="49">
        <f>IF(OR($E1134&lt;&gt;"측정",$C1134&lt;&gt;$C1135,$D1134&lt;&gt;$D1135,NOT(ISNUMBER(M1135)),NOT(ISNUMBER(M1134)),(IF(ISNUMBER(H1135),H1135,G1135)-IF(ISNUMBER(H1134),H1134,G1134))=0),"",(M1135-M1134)/(IF(ISNUMBER(H1135),H1135,G1135)-IF(ISNUMBER(H1134),H1134,G1134)))</f>
        <v/>
      </c>
      <c r="X1135" s="31">
        <f>IF(NOT(AND(ISNUMBER(O1135),ISNUMBER(Q1135))),"",(Q1135-O1135)*1440)</f>
        <v/>
      </c>
      <c r="Y1135" s="29" t="n"/>
      <c r="Z1135" s="29" t="n"/>
      <c r="AA1135" s="29" t="n"/>
      <c r="AB1135" s="32" t="n"/>
      <c r="AC1135" s="32" t="n"/>
    </row>
    <row r="1136">
      <c r="A1136" s="44" t="inlineStr">
        <is>
          <t>S22</t>
        </is>
      </c>
      <c r="B1136" s="44" t="inlineStr">
        <is>
          <t>완도 신규점</t>
        </is>
      </c>
      <c r="C1136" s="44" t="inlineStr">
        <is>
          <t>S22-H남</t>
        </is>
      </c>
      <c r="D1136" s="45" t="n">
        <v>1</v>
      </c>
      <c r="E1136" s="44" t="inlineStr">
        <is>
          <t>P0(후)</t>
        </is>
      </c>
      <c r="F1136" s="44" t="inlineStr">
        <is>
          <t>남</t>
        </is>
      </c>
      <c r="G1136" s="46" t="n"/>
      <c r="H1136" s="30" t="n"/>
      <c r="I1136" s="43" t="n"/>
      <c r="J1136" s="41" t="n"/>
      <c r="K1136" s="41" t="n"/>
      <c r="L1136" s="41" t="n"/>
      <c r="M1136" s="31">
        <f>IF(COUNT(J1136:L1136)=0,"",MEDIAN(J1136:L1136))</f>
        <v/>
      </c>
      <c r="N1136" s="38" t="n"/>
      <c r="O1136" s="38" t="n"/>
      <c r="P1136" s="38" t="n"/>
      <c r="Q1136" s="38" t="n"/>
      <c r="R1136" s="38" t="n"/>
      <c r="S1136" s="38" t="n"/>
      <c r="T1136" s="38" t="n"/>
      <c r="U1136" s="38" t="n"/>
      <c r="V1136" s="38" t="n"/>
      <c r="W1136" s="38" t="n"/>
      <c r="X1136" s="38" t="n"/>
      <c r="Y1136" s="29" t="n"/>
      <c r="Z1136" s="29" t="n"/>
      <c r="AA1136" s="29" t="n"/>
      <c r="AB1136" s="32" t="n"/>
      <c r="AC1136" s="32" t="n"/>
    </row>
    <row r="1137">
      <c r="A1137" s="44" t="inlineStr">
        <is>
          <t>S22</t>
        </is>
      </c>
      <c r="B1137" s="44" t="inlineStr">
        <is>
          <t>완도 신규점</t>
        </is>
      </c>
      <c r="C1137" s="44" t="inlineStr">
        <is>
          <t>S22-H북</t>
        </is>
      </c>
      <c r="D1137" s="45" t="n">
        <v>1</v>
      </c>
      <c r="E1137" s="44" t="inlineStr">
        <is>
          <t>P0(전)</t>
        </is>
      </c>
      <c r="F1137" s="44" t="inlineStr">
        <is>
          <t>북</t>
        </is>
      </c>
      <c r="G1137" s="46" t="n"/>
      <c r="H1137" s="30" t="n"/>
      <c r="I1137" s="43" t="n"/>
      <c r="J1137" s="41" t="n"/>
      <c r="K1137" s="41" t="n"/>
      <c r="L1137" s="41" t="n"/>
      <c r="M1137" s="31">
        <f>IF(COUNT(J1137:L1137)=0,"",MEDIAN(J1137:L1137))</f>
        <v/>
      </c>
      <c r="N1137" s="38" t="n"/>
      <c r="O1137" s="38" t="n"/>
      <c r="P1137" s="38" t="n"/>
      <c r="Q1137" s="38" t="n"/>
      <c r="R1137" s="38" t="n"/>
      <c r="S1137" s="38" t="n"/>
      <c r="T1137" s="38" t="n"/>
      <c r="U1137" s="38" t="n"/>
      <c r="V1137" s="38" t="n"/>
      <c r="W1137" s="38" t="n"/>
      <c r="X1137" s="38" t="n"/>
      <c r="Y1137" s="29" t="n"/>
      <c r="Z1137" s="29" t="n"/>
      <c r="AA1137" s="29" t="n"/>
      <c r="AB1137" s="32" t="n"/>
      <c r="AC1137" s="32" t="n"/>
    </row>
    <row r="1138">
      <c r="A1138" s="26" t="inlineStr">
        <is>
          <t>S22</t>
        </is>
      </c>
      <c r="B1138" s="26" t="inlineStr">
        <is>
          <t>완도 신규점</t>
        </is>
      </c>
      <c r="C1138" s="26" t="inlineStr">
        <is>
          <t>S22-H북</t>
        </is>
      </c>
      <c r="D1138" s="47" t="n">
        <v>1</v>
      </c>
      <c r="E1138" s="26" t="inlineStr">
        <is>
          <t>측정</t>
        </is>
      </c>
      <c r="F1138" s="26" t="inlineStr">
        <is>
          <t>북</t>
        </is>
      </c>
      <c r="G1138" s="31" t="n">
        <v>0.5</v>
      </c>
      <c r="H1138" s="30" t="n"/>
      <c r="I1138" s="43" t="n"/>
      <c r="J1138" s="41" t="n"/>
      <c r="K1138" s="41" t="n"/>
      <c r="L1138" s="41" t="n"/>
      <c r="M1138" s="31">
        <f>IF(COUNT(J1138:L1138)=0,"",MEDIAN(J1138:L1138))</f>
        <v/>
      </c>
      <c r="N1138" s="26">
        <f>IF(COUNTIFS($C:$C,$C1138,$D:$D,$D1138,$E:$E,"P0(전)",$M:$M,"&gt;0")&lt;&gt;1,"P0(전) 유효 1개 아님",IF(COUNTIFS($C:$C,$C1138,$D:$D,$D1138,$E:$E,"P0(후)",$M:$M,"&gt;0")&lt;&gt;1,"P0(후) 유효 1개 아님",IF(NOT(AND(ISNUMBER(O1138),ISNUMBER(Q1138),ISNUMBER(I1138))),"시각 결측",IF(Q1138&lt;=O1138,"P0 시각 역전",IF(OR(I1138&lt;O1138,I1138&gt;Q1138),"측정시각 구간 밖","OK")))))</f>
        <v/>
      </c>
      <c r="O1138" s="48">
        <f>IF(COUNTIFS($C:$C,$C1138,$D:$D,$D1138,$E:$E,"P0(전)",$M:$M,"&gt;0")&lt;&gt;1,"",SUMIFS($I:$I,$C:$C,$C1138,$D:$D,$D1138,$E:$E,"P0(전)"))</f>
        <v/>
      </c>
      <c r="P1138" s="31">
        <f>IF(COUNTIFS($C:$C,$C1138,$D:$D,$D1138,$E:$E,"P0(전)",$M:$M,"&gt;0")&lt;&gt;1,"",SUMIFS($M:$M,$C:$C,$C1138,$D:$D,$D1138,$E:$E,"P0(전)"))</f>
        <v/>
      </c>
      <c r="Q1138" s="48">
        <f>IF(COUNTIFS($C:$C,$C1138,$D:$D,$D1138,$E:$E,"P0(후)",$M:$M,"&gt;0")&lt;&gt;1,"",SUMIFS($I:$I,$C:$C,$C1138,$D:$D,$D1138,$E:$E,"P0(후)"))</f>
        <v/>
      </c>
      <c r="R1138" s="31">
        <f>IF(COUNTIFS($C:$C,$C1138,$D:$D,$D1138,$E:$E,"P0(후)",$M:$M,"&gt;0")&lt;&gt;1,"",SUMIFS($M:$M,$C:$C,$C1138,$D:$D,$D1138,$E:$E,"P0(후)"))</f>
        <v/>
      </c>
      <c r="S1138" s="31">
        <f>IF(N1138&lt;&gt;"OK","",P1138+(R1138-P1138)*(I1138-O1138)/(Q1138-O1138))</f>
        <v/>
      </c>
      <c r="T1138" s="31">
        <f>IF(OR(N1138&lt;&gt;"OK",NOT(ISNUMBER(M1138))),"",M1138-S1138)</f>
        <v/>
      </c>
      <c r="U1138" s="49">
        <f>IF(OR(NOT(ISNUMBER(T1138)),IF(ISNUMBER(H1138),H1138,G1138)=0),"",T1138/IF(ISNUMBER(H1138),H1138,G1138))</f>
        <v/>
      </c>
      <c r="V1138" s="49">
        <f>IF(ISNUMBER(U1138),ABS(U1138),"")</f>
        <v/>
      </c>
      <c r="W1138" s="49">
        <f>IF(OR($E1137&lt;&gt;"측정",$C1137&lt;&gt;$C1138,$D1137&lt;&gt;$D1138,NOT(ISNUMBER(M1138)),NOT(ISNUMBER(M1137)),(IF(ISNUMBER(H1138),H1138,G1138)-IF(ISNUMBER(H1137),H1137,G1137))=0),"",(M1138-M1137)/(IF(ISNUMBER(H1138),H1138,G1138)-IF(ISNUMBER(H1137),H1137,G1137)))</f>
        <v/>
      </c>
      <c r="X1138" s="31">
        <f>IF(NOT(AND(ISNUMBER(O1138),ISNUMBER(Q1138))),"",(Q1138-O1138)*1440)</f>
        <v/>
      </c>
      <c r="Y1138" s="29" t="n"/>
      <c r="Z1138" s="29" t="n"/>
      <c r="AA1138" s="29" t="n"/>
      <c r="AB1138" s="32" t="n"/>
      <c r="AC1138" s="32" t="n"/>
    </row>
    <row r="1139">
      <c r="A1139" s="26" t="inlineStr">
        <is>
          <t>S22</t>
        </is>
      </c>
      <c r="B1139" s="26" t="inlineStr">
        <is>
          <t>완도 신규점</t>
        </is>
      </c>
      <c r="C1139" s="26" t="inlineStr">
        <is>
          <t>S22-H북</t>
        </is>
      </c>
      <c r="D1139" s="47" t="n">
        <v>1</v>
      </c>
      <c r="E1139" s="26" t="inlineStr">
        <is>
          <t>측정</t>
        </is>
      </c>
      <c r="F1139" s="26" t="inlineStr">
        <is>
          <t>북</t>
        </is>
      </c>
      <c r="G1139" s="31" t="n">
        <v>1</v>
      </c>
      <c r="H1139" s="30" t="n"/>
      <c r="I1139" s="43" t="n"/>
      <c r="J1139" s="41" t="n"/>
      <c r="K1139" s="41" t="n"/>
      <c r="L1139" s="41" t="n"/>
      <c r="M1139" s="31">
        <f>IF(COUNT(J1139:L1139)=0,"",MEDIAN(J1139:L1139))</f>
        <v/>
      </c>
      <c r="N1139" s="26">
        <f>IF(COUNTIFS($C:$C,$C1139,$D:$D,$D1139,$E:$E,"P0(전)",$M:$M,"&gt;0")&lt;&gt;1,"P0(전) 유효 1개 아님",IF(COUNTIFS($C:$C,$C1139,$D:$D,$D1139,$E:$E,"P0(후)",$M:$M,"&gt;0")&lt;&gt;1,"P0(후) 유효 1개 아님",IF(NOT(AND(ISNUMBER(O1139),ISNUMBER(Q1139),ISNUMBER(I1139))),"시각 결측",IF(Q1139&lt;=O1139,"P0 시각 역전",IF(OR(I1139&lt;O1139,I1139&gt;Q1139),"측정시각 구간 밖","OK")))))</f>
        <v/>
      </c>
      <c r="O1139" s="48">
        <f>IF(COUNTIFS($C:$C,$C1139,$D:$D,$D1139,$E:$E,"P0(전)",$M:$M,"&gt;0")&lt;&gt;1,"",SUMIFS($I:$I,$C:$C,$C1139,$D:$D,$D1139,$E:$E,"P0(전)"))</f>
        <v/>
      </c>
      <c r="P1139" s="31">
        <f>IF(COUNTIFS($C:$C,$C1139,$D:$D,$D1139,$E:$E,"P0(전)",$M:$M,"&gt;0")&lt;&gt;1,"",SUMIFS($M:$M,$C:$C,$C1139,$D:$D,$D1139,$E:$E,"P0(전)"))</f>
        <v/>
      </c>
      <c r="Q1139" s="48">
        <f>IF(COUNTIFS($C:$C,$C1139,$D:$D,$D1139,$E:$E,"P0(후)",$M:$M,"&gt;0")&lt;&gt;1,"",SUMIFS($I:$I,$C:$C,$C1139,$D:$D,$D1139,$E:$E,"P0(후)"))</f>
        <v/>
      </c>
      <c r="R1139" s="31">
        <f>IF(COUNTIFS($C:$C,$C1139,$D:$D,$D1139,$E:$E,"P0(후)",$M:$M,"&gt;0")&lt;&gt;1,"",SUMIFS($M:$M,$C:$C,$C1139,$D:$D,$D1139,$E:$E,"P0(후)"))</f>
        <v/>
      </c>
      <c r="S1139" s="31">
        <f>IF(N1139&lt;&gt;"OK","",P1139+(R1139-P1139)*(I1139-O1139)/(Q1139-O1139))</f>
        <v/>
      </c>
      <c r="T1139" s="31">
        <f>IF(OR(N1139&lt;&gt;"OK",NOT(ISNUMBER(M1139))),"",M1139-S1139)</f>
        <v/>
      </c>
      <c r="U1139" s="49">
        <f>IF(OR(NOT(ISNUMBER(T1139)),IF(ISNUMBER(H1139),H1139,G1139)=0),"",T1139/IF(ISNUMBER(H1139),H1139,G1139))</f>
        <v/>
      </c>
      <c r="V1139" s="49">
        <f>IF(ISNUMBER(U1139),ABS(U1139),"")</f>
        <v/>
      </c>
      <c r="W1139" s="49">
        <f>IF(OR($E1138&lt;&gt;"측정",$C1138&lt;&gt;$C1139,$D1138&lt;&gt;$D1139,NOT(ISNUMBER(M1139)),NOT(ISNUMBER(M1138)),(IF(ISNUMBER(H1139),H1139,G1139)-IF(ISNUMBER(H1138),H1138,G1138))=0),"",(M1139-M1138)/(IF(ISNUMBER(H1139),H1139,G1139)-IF(ISNUMBER(H1138),H1138,G1138)))</f>
        <v/>
      </c>
      <c r="X1139" s="31">
        <f>IF(NOT(AND(ISNUMBER(O1139),ISNUMBER(Q1139))),"",(Q1139-O1139)*1440)</f>
        <v/>
      </c>
      <c r="Y1139" s="29" t="n"/>
      <c r="Z1139" s="29" t="n"/>
      <c r="AA1139" s="29" t="n"/>
      <c r="AB1139" s="32" t="n"/>
      <c r="AC1139" s="32" t="n"/>
    </row>
    <row r="1140">
      <c r="A1140" s="26" t="inlineStr">
        <is>
          <t>S22</t>
        </is>
      </c>
      <c r="B1140" s="26" t="inlineStr">
        <is>
          <t>완도 신규점</t>
        </is>
      </c>
      <c r="C1140" s="26" t="inlineStr">
        <is>
          <t>S22-H북</t>
        </is>
      </c>
      <c r="D1140" s="47" t="n">
        <v>1</v>
      </c>
      <c r="E1140" s="26" t="inlineStr">
        <is>
          <t>측정</t>
        </is>
      </c>
      <c r="F1140" s="26" t="inlineStr">
        <is>
          <t>북</t>
        </is>
      </c>
      <c r="G1140" s="31" t="n">
        <v>2</v>
      </c>
      <c r="H1140" s="30" t="n"/>
      <c r="I1140" s="43" t="n"/>
      <c r="J1140" s="41" t="n"/>
      <c r="K1140" s="41" t="n"/>
      <c r="L1140" s="41" t="n"/>
      <c r="M1140" s="31">
        <f>IF(COUNT(J1140:L1140)=0,"",MEDIAN(J1140:L1140))</f>
        <v/>
      </c>
      <c r="N1140" s="26">
        <f>IF(COUNTIFS($C:$C,$C1140,$D:$D,$D1140,$E:$E,"P0(전)",$M:$M,"&gt;0")&lt;&gt;1,"P0(전) 유효 1개 아님",IF(COUNTIFS($C:$C,$C1140,$D:$D,$D1140,$E:$E,"P0(후)",$M:$M,"&gt;0")&lt;&gt;1,"P0(후) 유효 1개 아님",IF(NOT(AND(ISNUMBER(O1140),ISNUMBER(Q1140),ISNUMBER(I1140))),"시각 결측",IF(Q1140&lt;=O1140,"P0 시각 역전",IF(OR(I1140&lt;O1140,I1140&gt;Q1140),"측정시각 구간 밖","OK")))))</f>
        <v/>
      </c>
      <c r="O1140" s="48">
        <f>IF(COUNTIFS($C:$C,$C1140,$D:$D,$D1140,$E:$E,"P0(전)",$M:$M,"&gt;0")&lt;&gt;1,"",SUMIFS($I:$I,$C:$C,$C1140,$D:$D,$D1140,$E:$E,"P0(전)"))</f>
        <v/>
      </c>
      <c r="P1140" s="31">
        <f>IF(COUNTIFS($C:$C,$C1140,$D:$D,$D1140,$E:$E,"P0(전)",$M:$M,"&gt;0")&lt;&gt;1,"",SUMIFS($M:$M,$C:$C,$C1140,$D:$D,$D1140,$E:$E,"P0(전)"))</f>
        <v/>
      </c>
      <c r="Q1140" s="48">
        <f>IF(COUNTIFS($C:$C,$C1140,$D:$D,$D1140,$E:$E,"P0(후)",$M:$M,"&gt;0")&lt;&gt;1,"",SUMIFS($I:$I,$C:$C,$C1140,$D:$D,$D1140,$E:$E,"P0(후)"))</f>
        <v/>
      </c>
      <c r="R1140" s="31">
        <f>IF(COUNTIFS($C:$C,$C1140,$D:$D,$D1140,$E:$E,"P0(후)",$M:$M,"&gt;0")&lt;&gt;1,"",SUMIFS($M:$M,$C:$C,$C1140,$D:$D,$D1140,$E:$E,"P0(후)"))</f>
        <v/>
      </c>
      <c r="S1140" s="31">
        <f>IF(N1140&lt;&gt;"OK","",P1140+(R1140-P1140)*(I1140-O1140)/(Q1140-O1140))</f>
        <v/>
      </c>
      <c r="T1140" s="31">
        <f>IF(OR(N1140&lt;&gt;"OK",NOT(ISNUMBER(M1140))),"",M1140-S1140)</f>
        <v/>
      </c>
      <c r="U1140" s="49">
        <f>IF(OR(NOT(ISNUMBER(T1140)),IF(ISNUMBER(H1140),H1140,G1140)=0),"",T1140/IF(ISNUMBER(H1140),H1140,G1140))</f>
        <v/>
      </c>
      <c r="V1140" s="49">
        <f>IF(ISNUMBER(U1140),ABS(U1140),"")</f>
        <v/>
      </c>
      <c r="W1140" s="49">
        <f>IF(OR($E1139&lt;&gt;"측정",$C1139&lt;&gt;$C1140,$D1139&lt;&gt;$D1140,NOT(ISNUMBER(M1140)),NOT(ISNUMBER(M1139)),(IF(ISNUMBER(H1140),H1140,G1140)-IF(ISNUMBER(H1139),H1139,G1139))=0),"",(M1140-M1139)/(IF(ISNUMBER(H1140),H1140,G1140)-IF(ISNUMBER(H1139),H1139,G1139)))</f>
        <v/>
      </c>
      <c r="X1140" s="31">
        <f>IF(NOT(AND(ISNUMBER(O1140),ISNUMBER(Q1140))),"",(Q1140-O1140)*1440)</f>
        <v/>
      </c>
      <c r="Y1140" s="29" t="n"/>
      <c r="Z1140" s="29" t="n"/>
      <c r="AA1140" s="29" t="n"/>
      <c r="AB1140" s="32" t="n"/>
      <c r="AC1140" s="32" t="n"/>
    </row>
    <row r="1141">
      <c r="A1141" s="26" t="inlineStr">
        <is>
          <t>S22</t>
        </is>
      </c>
      <c r="B1141" s="26" t="inlineStr">
        <is>
          <t>완도 신규점</t>
        </is>
      </c>
      <c r="C1141" s="26" t="inlineStr">
        <is>
          <t>S22-H북</t>
        </is>
      </c>
      <c r="D1141" s="47" t="n">
        <v>1</v>
      </c>
      <c r="E1141" s="26" t="inlineStr">
        <is>
          <t>측정</t>
        </is>
      </c>
      <c r="F1141" s="26" t="inlineStr">
        <is>
          <t>북</t>
        </is>
      </c>
      <c r="G1141" s="31" t="n">
        <v>3</v>
      </c>
      <c r="H1141" s="30" t="n"/>
      <c r="I1141" s="43" t="n"/>
      <c r="J1141" s="41" t="n"/>
      <c r="K1141" s="41" t="n"/>
      <c r="L1141" s="41" t="n"/>
      <c r="M1141" s="31">
        <f>IF(COUNT(J1141:L1141)=0,"",MEDIAN(J1141:L1141))</f>
        <v/>
      </c>
      <c r="N1141" s="26">
        <f>IF(COUNTIFS($C:$C,$C1141,$D:$D,$D1141,$E:$E,"P0(전)",$M:$M,"&gt;0")&lt;&gt;1,"P0(전) 유효 1개 아님",IF(COUNTIFS($C:$C,$C1141,$D:$D,$D1141,$E:$E,"P0(후)",$M:$M,"&gt;0")&lt;&gt;1,"P0(후) 유효 1개 아님",IF(NOT(AND(ISNUMBER(O1141),ISNUMBER(Q1141),ISNUMBER(I1141))),"시각 결측",IF(Q1141&lt;=O1141,"P0 시각 역전",IF(OR(I1141&lt;O1141,I1141&gt;Q1141),"측정시각 구간 밖","OK")))))</f>
        <v/>
      </c>
      <c r="O1141" s="48">
        <f>IF(COUNTIFS($C:$C,$C1141,$D:$D,$D1141,$E:$E,"P0(전)",$M:$M,"&gt;0")&lt;&gt;1,"",SUMIFS($I:$I,$C:$C,$C1141,$D:$D,$D1141,$E:$E,"P0(전)"))</f>
        <v/>
      </c>
      <c r="P1141" s="31">
        <f>IF(COUNTIFS($C:$C,$C1141,$D:$D,$D1141,$E:$E,"P0(전)",$M:$M,"&gt;0")&lt;&gt;1,"",SUMIFS($M:$M,$C:$C,$C1141,$D:$D,$D1141,$E:$E,"P0(전)"))</f>
        <v/>
      </c>
      <c r="Q1141" s="48">
        <f>IF(COUNTIFS($C:$C,$C1141,$D:$D,$D1141,$E:$E,"P0(후)",$M:$M,"&gt;0")&lt;&gt;1,"",SUMIFS($I:$I,$C:$C,$C1141,$D:$D,$D1141,$E:$E,"P0(후)"))</f>
        <v/>
      </c>
      <c r="R1141" s="31">
        <f>IF(COUNTIFS($C:$C,$C1141,$D:$D,$D1141,$E:$E,"P0(후)",$M:$M,"&gt;0")&lt;&gt;1,"",SUMIFS($M:$M,$C:$C,$C1141,$D:$D,$D1141,$E:$E,"P0(후)"))</f>
        <v/>
      </c>
      <c r="S1141" s="31">
        <f>IF(N1141&lt;&gt;"OK","",P1141+(R1141-P1141)*(I1141-O1141)/(Q1141-O1141))</f>
        <v/>
      </c>
      <c r="T1141" s="31">
        <f>IF(OR(N1141&lt;&gt;"OK",NOT(ISNUMBER(M1141))),"",M1141-S1141)</f>
        <v/>
      </c>
      <c r="U1141" s="49">
        <f>IF(OR(NOT(ISNUMBER(T1141)),IF(ISNUMBER(H1141),H1141,G1141)=0),"",T1141/IF(ISNUMBER(H1141),H1141,G1141))</f>
        <v/>
      </c>
      <c r="V1141" s="49">
        <f>IF(ISNUMBER(U1141),ABS(U1141),"")</f>
        <v/>
      </c>
      <c r="W1141" s="49">
        <f>IF(OR($E1140&lt;&gt;"측정",$C1140&lt;&gt;$C1141,$D1140&lt;&gt;$D1141,NOT(ISNUMBER(M1141)),NOT(ISNUMBER(M1140)),(IF(ISNUMBER(H1141),H1141,G1141)-IF(ISNUMBER(H1140),H1140,G1140))=0),"",(M1141-M1140)/(IF(ISNUMBER(H1141),H1141,G1141)-IF(ISNUMBER(H1140),H1140,G1140)))</f>
        <v/>
      </c>
      <c r="X1141" s="31">
        <f>IF(NOT(AND(ISNUMBER(O1141),ISNUMBER(Q1141))),"",(Q1141-O1141)*1440)</f>
        <v/>
      </c>
      <c r="Y1141" s="29" t="n"/>
      <c r="Z1141" s="29" t="n"/>
      <c r="AA1141" s="29" t="n"/>
      <c r="AB1141" s="32" t="n"/>
      <c r="AC1141" s="32" t="n"/>
    </row>
    <row r="1142">
      <c r="A1142" s="26" t="inlineStr">
        <is>
          <t>S22</t>
        </is>
      </c>
      <c r="B1142" s="26" t="inlineStr">
        <is>
          <t>완도 신규점</t>
        </is>
      </c>
      <c r="C1142" s="26" t="inlineStr">
        <is>
          <t>S22-H북</t>
        </is>
      </c>
      <c r="D1142" s="47" t="n">
        <v>1</v>
      </c>
      <c r="E1142" s="26" t="inlineStr">
        <is>
          <t>측정</t>
        </is>
      </c>
      <c r="F1142" s="26" t="inlineStr">
        <is>
          <t>북</t>
        </is>
      </c>
      <c r="G1142" s="31" t="n">
        <v>4</v>
      </c>
      <c r="H1142" s="30" t="n"/>
      <c r="I1142" s="43" t="n"/>
      <c r="J1142" s="41" t="n"/>
      <c r="K1142" s="41" t="n"/>
      <c r="L1142" s="41" t="n"/>
      <c r="M1142" s="31">
        <f>IF(COUNT(J1142:L1142)=0,"",MEDIAN(J1142:L1142))</f>
        <v/>
      </c>
      <c r="N1142" s="26">
        <f>IF(COUNTIFS($C:$C,$C1142,$D:$D,$D1142,$E:$E,"P0(전)",$M:$M,"&gt;0")&lt;&gt;1,"P0(전) 유효 1개 아님",IF(COUNTIFS($C:$C,$C1142,$D:$D,$D1142,$E:$E,"P0(후)",$M:$M,"&gt;0")&lt;&gt;1,"P0(후) 유효 1개 아님",IF(NOT(AND(ISNUMBER(O1142),ISNUMBER(Q1142),ISNUMBER(I1142))),"시각 결측",IF(Q1142&lt;=O1142,"P0 시각 역전",IF(OR(I1142&lt;O1142,I1142&gt;Q1142),"측정시각 구간 밖","OK")))))</f>
        <v/>
      </c>
      <c r="O1142" s="48">
        <f>IF(COUNTIFS($C:$C,$C1142,$D:$D,$D1142,$E:$E,"P0(전)",$M:$M,"&gt;0")&lt;&gt;1,"",SUMIFS($I:$I,$C:$C,$C1142,$D:$D,$D1142,$E:$E,"P0(전)"))</f>
        <v/>
      </c>
      <c r="P1142" s="31">
        <f>IF(COUNTIFS($C:$C,$C1142,$D:$D,$D1142,$E:$E,"P0(전)",$M:$M,"&gt;0")&lt;&gt;1,"",SUMIFS($M:$M,$C:$C,$C1142,$D:$D,$D1142,$E:$E,"P0(전)"))</f>
        <v/>
      </c>
      <c r="Q1142" s="48">
        <f>IF(COUNTIFS($C:$C,$C1142,$D:$D,$D1142,$E:$E,"P0(후)",$M:$M,"&gt;0")&lt;&gt;1,"",SUMIFS($I:$I,$C:$C,$C1142,$D:$D,$D1142,$E:$E,"P0(후)"))</f>
        <v/>
      </c>
      <c r="R1142" s="31">
        <f>IF(COUNTIFS($C:$C,$C1142,$D:$D,$D1142,$E:$E,"P0(후)",$M:$M,"&gt;0")&lt;&gt;1,"",SUMIFS($M:$M,$C:$C,$C1142,$D:$D,$D1142,$E:$E,"P0(후)"))</f>
        <v/>
      </c>
      <c r="S1142" s="31">
        <f>IF(N1142&lt;&gt;"OK","",P1142+(R1142-P1142)*(I1142-O1142)/(Q1142-O1142))</f>
        <v/>
      </c>
      <c r="T1142" s="31">
        <f>IF(OR(N1142&lt;&gt;"OK",NOT(ISNUMBER(M1142))),"",M1142-S1142)</f>
        <v/>
      </c>
      <c r="U1142" s="49">
        <f>IF(OR(NOT(ISNUMBER(T1142)),IF(ISNUMBER(H1142),H1142,G1142)=0),"",T1142/IF(ISNUMBER(H1142),H1142,G1142))</f>
        <v/>
      </c>
      <c r="V1142" s="49">
        <f>IF(ISNUMBER(U1142),ABS(U1142),"")</f>
        <v/>
      </c>
      <c r="W1142" s="49">
        <f>IF(OR($E1141&lt;&gt;"측정",$C1141&lt;&gt;$C1142,$D1141&lt;&gt;$D1142,NOT(ISNUMBER(M1142)),NOT(ISNUMBER(M1141)),(IF(ISNUMBER(H1142),H1142,G1142)-IF(ISNUMBER(H1141),H1141,G1141))=0),"",(M1142-M1141)/(IF(ISNUMBER(H1142),H1142,G1142)-IF(ISNUMBER(H1141),H1141,G1141)))</f>
        <v/>
      </c>
      <c r="X1142" s="31">
        <f>IF(NOT(AND(ISNUMBER(O1142),ISNUMBER(Q1142))),"",(Q1142-O1142)*1440)</f>
        <v/>
      </c>
      <c r="Y1142" s="29" t="n"/>
      <c r="Z1142" s="29" t="n"/>
      <c r="AA1142" s="29" t="n"/>
      <c r="AB1142" s="32" t="n"/>
      <c r="AC1142" s="32" t="n"/>
    </row>
    <row r="1143">
      <c r="A1143" s="26" t="inlineStr">
        <is>
          <t>S22</t>
        </is>
      </c>
      <c r="B1143" s="26" t="inlineStr">
        <is>
          <t>완도 신규점</t>
        </is>
      </c>
      <c r="C1143" s="26" t="inlineStr">
        <is>
          <t>S22-H북</t>
        </is>
      </c>
      <c r="D1143" s="47" t="n">
        <v>1</v>
      </c>
      <c r="E1143" s="26" t="inlineStr">
        <is>
          <t>측정</t>
        </is>
      </c>
      <c r="F1143" s="26" t="inlineStr">
        <is>
          <t>북</t>
        </is>
      </c>
      <c r="G1143" s="31" t="n">
        <v>5</v>
      </c>
      <c r="H1143" s="30" t="n"/>
      <c r="I1143" s="43" t="n"/>
      <c r="J1143" s="41" t="n"/>
      <c r="K1143" s="41" t="n"/>
      <c r="L1143" s="41" t="n"/>
      <c r="M1143" s="31">
        <f>IF(COUNT(J1143:L1143)=0,"",MEDIAN(J1143:L1143))</f>
        <v/>
      </c>
      <c r="N1143" s="26">
        <f>IF(COUNTIFS($C:$C,$C1143,$D:$D,$D1143,$E:$E,"P0(전)",$M:$M,"&gt;0")&lt;&gt;1,"P0(전) 유효 1개 아님",IF(COUNTIFS($C:$C,$C1143,$D:$D,$D1143,$E:$E,"P0(후)",$M:$M,"&gt;0")&lt;&gt;1,"P0(후) 유효 1개 아님",IF(NOT(AND(ISNUMBER(O1143),ISNUMBER(Q1143),ISNUMBER(I1143))),"시각 결측",IF(Q1143&lt;=O1143,"P0 시각 역전",IF(OR(I1143&lt;O1143,I1143&gt;Q1143),"측정시각 구간 밖","OK")))))</f>
        <v/>
      </c>
      <c r="O1143" s="48">
        <f>IF(COUNTIFS($C:$C,$C1143,$D:$D,$D1143,$E:$E,"P0(전)",$M:$M,"&gt;0")&lt;&gt;1,"",SUMIFS($I:$I,$C:$C,$C1143,$D:$D,$D1143,$E:$E,"P0(전)"))</f>
        <v/>
      </c>
      <c r="P1143" s="31">
        <f>IF(COUNTIFS($C:$C,$C1143,$D:$D,$D1143,$E:$E,"P0(전)",$M:$M,"&gt;0")&lt;&gt;1,"",SUMIFS($M:$M,$C:$C,$C1143,$D:$D,$D1143,$E:$E,"P0(전)"))</f>
        <v/>
      </c>
      <c r="Q1143" s="48">
        <f>IF(COUNTIFS($C:$C,$C1143,$D:$D,$D1143,$E:$E,"P0(후)",$M:$M,"&gt;0")&lt;&gt;1,"",SUMIFS($I:$I,$C:$C,$C1143,$D:$D,$D1143,$E:$E,"P0(후)"))</f>
        <v/>
      </c>
      <c r="R1143" s="31">
        <f>IF(COUNTIFS($C:$C,$C1143,$D:$D,$D1143,$E:$E,"P0(후)",$M:$M,"&gt;0")&lt;&gt;1,"",SUMIFS($M:$M,$C:$C,$C1143,$D:$D,$D1143,$E:$E,"P0(후)"))</f>
        <v/>
      </c>
      <c r="S1143" s="31">
        <f>IF(N1143&lt;&gt;"OK","",P1143+(R1143-P1143)*(I1143-O1143)/(Q1143-O1143))</f>
        <v/>
      </c>
      <c r="T1143" s="31">
        <f>IF(OR(N1143&lt;&gt;"OK",NOT(ISNUMBER(M1143))),"",M1143-S1143)</f>
        <v/>
      </c>
      <c r="U1143" s="49">
        <f>IF(OR(NOT(ISNUMBER(T1143)),IF(ISNUMBER(H1143),H1143,G1143)=0),"",T1143/IF(ISNUMBER(H1143),H1143,G1143))</f>
        <v/>
      </c>
      <c r="V1143" s="49">
        <f>IF(ISNUMBER(U1143),ABS(U1143),"")</f>
        <v/>
      </c>
      <c r="W1143" s="49">
        <f>IF(OR($E1142&lt;&gt;"측정",$C1142&lt;&gt;$C1143,$D1142&lt;&gt;$D1143,NOT(ISNUMBER(M1143)),NOT(ISNUMBER(M1142)),(IF(ISNUMBER(H1143),H1143,G1143)-IF(ISNUMBER(H1142),H1142,G1142))=0),"",(M1143-M1142)/(IF(ISNUMBER(H1143),H1143,G1143)-IF(ISNUMBER(H1142),H1142,G1142)))</f>
        <v/>
      </c>
      <c r="X1143" s="31">
        <f>IF(NOT(AND(ISNUMBER(O1143),ISNUMBER(Q1143))),"",(Q1143-O1143)*1440)</f>
        <v/>
      </c>
      <c r="Y1143" s="29" t="n"/>
      <c r="Z1143" s="29" t="n"/>
      <c r="AA1143" s="29" t="n"/>
      <c r="AB1143" s="32" t="n"/>
      <c r="AC1143" s="32" t="n"/>
    </row>
    <row r="1144">
      <c r="A1144" s="26" t="inlineStr">
        <is>
          <t>S22</t>
        </is>
      </c>
      <c r="B1144" s="26" t="inlineStr">
        <is>
          <t>완도 신규점</t>
        </is>
      </c>
      <c r="C1144" s="26" t="inlineStr">
        <is>
          <t>S22-H북</t>
        </is>
      </c>
      <c r="D1144" s="47" t="n">
        <v>1</v>
      </c>
      <c r="E1144" s="26" t="inlineStr">
        <is>
          <t>측정</t>
        </is>
      </c>
      <c r="F1144" s="26" t="inlineStr">
        <is>
          <t>북</t>
        </is>
      </c>
      <c r="G1144" s="31" t="n">
        <v>6</v>
      </c>
      <c r="H1144" s="30" t="n"/>
      <c r="I1144" s="43" t="n"/>
      <c r="J1144" s="41" t="n"/>
      <c r="K1144" s="41" t="n"/>
      <c r="L1144" s="41" t="n"/>
      <c r="M1144" s="31">
        <f>IF(COUNT(J1144:L1144)=0,"",MEDIAN(J1144:L1144))</f>
        <v/>
      </c>
      <c r="N1144" s="26">
        <f>IF(COUNTIFS($C:$C,$C1144,$D:$D,$D1144,$E:$E,"P0(전)",$M:$M,"&gt;0")&lt;&gt;1,"P0(전) 유효 1개 아님",IF(COUNTIFS($C:$C,$C1144,$D:$D,$D1144,$E:$E,"P0(후)",$M:$M,"&gt;0")&lt;&gt;1,"P0(후) 유효 1개 아님",IF(NOT(AND(ISNUMBER(O1144),ISNUMBER(Q1144),ISNUMBER(I1144))),"시각 결측",IF(Q1144&lt;=O1144,"P0 시각 역전",IF(OR(I1144&lt;O1144,I1144&gt;Q1144),"측정시각 구간 밖","OK")))))</f>
        <v/>
      </c>
      <c r="O1144" s="48">
        <f>IF(COUNTIFS($C:$C,$C1144,$D:$D,$D1144,$E:$E,"P0(전)",$M:$M,"&gt;0")&lt;&gt;1,"",SUMIFS($I:$I,$C:$C,$C1144,$D:$D,$D1144,$E:$E,"P0(전)"))</f>
        <v/>
      </c>
      <c r="P1144" s="31">
        <f>IF(COUNTIFS($C:$C,$C1144,$D:$D,$D1144,$E:$E,"P0(전)",$M:$M,"&gt;0")&lt;&gt;1,"",SUMIFS($M:$M,$C:$C,$C1144,$D:$D,$D1144,$E:$E,"P0(전)"))</f>
        <v/>
      </c>
      <c r="Q1144" s="48">
        <f>IF(COUNTIFS($C:$C,$C1144,$D:$D,$D1144,$E:$E,"P0(후)",$M:$M,"&gt;0")&lt;&gt;1,"",SUMIFS($I:$I,$C:$C,$C1144,$D:$D,$D1144,$E:$E,"P0(후)"))</f>
        <v/>
      </c>
      <c r="R1144" s="31">
        <f>IF(COUNTIFS($C:$C,$C1144,$D:$D,$D1144,$E:$E,"P0(후)",$M:$M,"&gt;0")&lt;&gt;1,"",SUMIFS($M:$M,$C:$C,$C1144,$D:$D,$D1144,$E:$E,"P0(후)"))</f>
        <v/>
      </c>
      <c r="S1144" s="31">
        <f>IF(N1144&lt;&gt;"OK","",P1144+(R1144-P1144)*(I1144-O1144)/(Q1144-O1144))</f>
        <v/>
      </c>
      <c r="T1144" s="31">
        <f>IF(OR(N1144&lt;&gt;"OK",NOT(ISNUMBER(M1144))),"",M1144-S1144)</f>
        <v/>
      </c>
      <c r="U1144" s="49">
        <f>IF(OR(NOT(ISNUMBER(T1144)),IF(ISNUMBER(H1144),H1144,G1144)=0),"",T1144/IF(ISNUMBER(H1144),H1144,G1144))</f>
        <v/>
      </c>
      <c r="V1144" s="49">
        <f>IF(ISNUMBER(U1144),ABS(U1144),"")</f>
        <v/>
      </c>
      <c r="W1144" s="49">
        <f>IF(OR($E1143&lt;&gt;"측정",$C1143&lt;&gt;$C1144,$D1143&lt;&gt;$D1144,NOT(ISNUMBER(M1144)),NOT(ISNUMBER(M1143)),(IF(ISNUMBER(H1144),H1144,G1144)-IF(ISNUMBER(H1143),H1143,G1143))=0),"",(M1144-M1143)/(IF(ISNUMBER(H1144),H1144,G1144)-IF(ISNUMBER(H1143),H1143,G1143)))</f>
        <v/>
      </c>
      <c r="X1144" s="31">
        <f>IF(NOT(AND(ISNUMBER(O1144),ISNUMBER(Q1144))),"",(Q1144-O1144)*1440)</f>
        <v/>
      </c>
      <c r="Y1144" s="29" t="n"/>
      <c r="Z1144" s="29" t="n"/>
      <c r="AA1144" s="29" t="n"/>
      <c r="AB1144" s="32" t="n"/>
      <c r="AC1144" s="32" t="n"/>
    </row>
    <row r="1145">
      <c r="A1145" s="26" t="inlineStr">
        <is>
          <t>S22</t>
        </is>
      </c>
      <c r="B1145" s="26" t="inlineStr">
        <is>
          <t>완도 신규점</t>
        </is>
      </c>
      <c r="C1145" s="26" t="inlineStr">
        <is>
          <t>S22-H북</t>
        </is>
      </c>
      <c r="D1145" s="47" t="n">
        <v>1</v>
      </c>
      <c r="E1145" s="26" t="inlineStr">
        <is>
          <t>측정</t>
        </is>
      </c>
      <c r="F1145" s="26" t="inlineStr">
        <is>
          <t>북</t>
        </is>
      </c>
      <c r="G1145" s="31" t="n">
        <v>7</v>
      </c>
      <c r="H1145" s="30" t="n"/>
      <c r="I1145" s="43" t="n"/>
      <c r="J1145" s="41" t="n"/>
      <c r="K1145" s="41" t="n"/>
      <c r="L1145" s="41" t="n"/>
      <c r="M1145" s="31">
        <f>IF(COUNT(J1145:L1145)=0,"",MEDIAN(J1145:L1145))</f>
        <v/>
      </c>
      <c r="N1145" s="26">
        <f>IF(COUNTIFS($C:$C,$C1145,$D:$D,$D1145,$E:$E,"P0(전)",$M:$M,"&gt;0")&lt;&gt;1,"P0(전) 유효 1개 아님",IF(COUNTIFS($C:$C,$C1145,$D:$D,$D1145,$E:$E,"P0(후)",$M:$M,"&gt;0")&lt;&gt;1,"P0(후) 유효 1개 아님",IF(NOT(AND(ISNUMBER(O1145),ISNUMBER(Q1145),ISNUMBER(I1145))),"시각 결측",IF(Q1145&lt;=O1145,"P0 시각 역전",IF(OR(I1145&lt;O1145,I1145&gt;Q1145),"측정시각 구간 밖","OK")))))</f>
        <v/>
      </c>
      <c r="O1145" s="48">
        <f>IF(COUNTIFS($C:$C,$C1145,$D:$D,$D1145,$E:$E,"P0(전)",$M:$M,"&gt;0")&lt;&gt;1,"",SUMIFS($I:$I,$C:$C,$C1145,$D:$D,$D1145,$E:$E,"P0(전)"))</f>
        <v/>
      </c>
      <c r="P1145" s="31">
        <f>IF(COUNTIFS($C:$C,$C1145,$D:$D,$D1145,$E:$E,"P0(전)",$M:$M,"&gt;0")&lt;&gt;1,"",SUMIFS($M:$M,$C:$C,$C1145,$D:$D,$D1145,$E:$E,"P0(전)"))</f>
        <v/>
      </c>
      <c r="Q1145" s="48">
        <f>IF(COUNTIFS($C:$C,$C1145,$D:$D,$D1145,$E:$E,"P0(후)",$M:$M,"&gt;0")&lt;&gt;1,"",SUMIFS($I:$I,$C:$C,$C1145,$D:$D,$D1145,$E:$E,"P0(후)"))</f>
        <v/>
      </c>
      <c r="R1145" s="31">
        <f>IF(COUNTIFS($C:$C,$C1145,$D:$D,$D1145,$E:$E,"P0(후)",$M:$M,"&gt;0")&lt;&gt;1,"",SUMIFS($M:$M,$C:$C,$C1145,$D:$D,$D1145,$E:$E,"P0(후)"))</f>
        <v/>
      </c>
      <c r="S1145" s="31">
        <f>IF(N1145&lt;&gt;"OK","",P1145+(R1145-P1145)*(I1145-O1145)/(Q1145-O1145))</f>
        <v/>
      </c>
      <c r="T1145" s="31">
        <f>IF(OR(N1145&lt;&gt;"OK",NOT(ISNUMBER(M1145))),"",M1145-S1145)</f>
        <v/>
      </c>
      <c r="U1145" s="49">
        <f>IF(OR(NOT(ISNUMBER(T1145)),IF(ISNUMBER(H1145),H1145,G1145)=0),"",T1145/IF(ISNUMBER(H1145),H1145,G1145))</f>
        <v/>
      </c>
      <c r="V1145" s="49">
        <f>IF(ISNUMBER(U1145),ABS(U1145),"")</f>
        <v/>
      </c>
      <c r="W1145" s="49">
        <f>IF(OR($E1144&lt;&gt;"측정",$C1144&lt;&gt;$C1145,$D1144&lt;&gt;$D1145,NOT(ISNUMBER(M1145)),NOT(ISNUMBER(M1144)),(IF(ISNUMBER(H1145),H1145,G1145)-IF(ISNUMBER(H1144),H1144,G1144))=0),"",(M1145-M1144)/(IF(ISNUMBER(H1145),H1145,G1145)-IF(ISNUMBER(H1144),H1144,G1144)))</f>
        <v/>
      </c>
      <c r="X1145" s="31">
        <f>IF(NOT(AND(ISNUMBER(O1145),ISNUMBER(Q1145))),"",(Q1145-O1145)*1440)</f>
        <v/>
      </c>
      <c r="Y1145" s="29" t="n"/>
      <c r="Z1145" s="29" t="n"/>
      <c r="AA1145" s="29" t="n"/>
      <c r="AB1145" s="32" t="n"/>
      <c r="AC1145" s="32" t="n"/>
    </row>
    <row r="1146">
      <c r="A1146" s="26" t="inlineStr">
        <is>
          <t>S22</t>
        </is>
      </c>
      <c r="B1146" s="26" t="inlineStr">
        <is>
          <t>완도 신규점</t>
        </is>
      </c>
      <c r="C1146" s="26" t="inlineStr">
        <is>
          <t>S22-H북</t>
        </is>
      </c>
      <c r="D1146" s="47" t="n">
        <v>1</v>
      </c>
      <c r="E1146" s="26" t="inlineStr">
        <is>
          <t>측정</t>
        </is>
      </c>
      <c r="F1146" s="26" t="inlineStr">
        <is>
          <t>북</t>
        </is>
      </c>
      <c r="G1146" s="31" t="n">
        <v>8</v>
      </c>
      <c r="H1146" s="30" t="n"/>
      <c r="I1146" s="43" t="n"/>
      <c r="J1146" s="41" t="n"/>
      <c r="K1146" s="41" t="n"/>
      <c r="L1146" s="41" t="n"/>
      <c r="M1146" s="31">
        <f>IF(COUNT(J1146:L1146)=0,"",MEDIAN(J1146:L1146))</f>
        <v/>
      </c>
      <c r="N1146" s="26">
        <f>IF(COUNTIFS($C:$C,$C1146,$D:$D,$D1146,$E:$E,"P0(전)",$M:$M,"&gt;0")&lt;&gt;1,"P0(전) 유효 1개 아님",IF(COUNTIFS($C:$C,$C1146,$D:$D,$D1146,$E:$E,"P0(후)",$M:$M,"&gt;0")&lt;&gt;1,"P0(후) 유효 1개 아님",IF(NOT(AND(ISNUMBER(O1146),ISNUMBER(Q1146),ISNUMBER(I1146))),"시각 결측",IF(Q1146&lt;=O1146,"P0 시각 역전",IF(OR(I1146&lt;O1146,I1146&gt;Q1146),"측정시각 구간 밖","OK")))))</f>
        <v/>
      </c>
      <c r="O1146" s="48">
        <f>IF(COUNTIFS($C:$C,$C1146,$D:$D,$D1146,$E:$E,"P0(전)",$M:$M,"&gt;0")&lt;&gt;1,"",SUMIFS($I:$I,$C:$C,$C1146,$D:$D,$D1146,$E:$E,"P0(전)"))</f>
        <v/>
      </c>
      <c r="P1146" s="31">
        <f>IF(COUNTIFS($C:$C,$C1146,$D:$D,$D1146,$E:$E,"P0(전)",$M:$M,"&gt;0")&lt;&gt;1,"",SUMIFS($M:$M,$C:$C,$C1146,$D:$D,$D1146,$E:$E,"P0(전)"))</f>
        <v/>
      </c>
      <c r="Q1146" s="48">
        <f>IF(COUNTIFS($C:$C,$C1146,$D:$D,$D1146,$E:$E,"P0(후)",$M:$M,"&gt;0")&lt;&gt;1,"",SUMIFS($I:$I,$C:$C,$C1146,$D:$D,$D1146,$E:$E,"P0(후)"))</f>
        <v/>
      </c>
      <c r="R1146" s="31">
        <f>IF(COUNTIFS($C:$C,$C1146,$D:$D,$D1146,$E:$E,"P0(후)",$M:$M,"&gt;0")&lt;&gt;1,"",SUMIFS($M:$M,$C:$C,$C1146,$D:$D,$D1146,$E:$E,"P0(후)"))</f>
        <v/>
      </c>
      <c r="S1146" s="31">
        <f>IF(N1146&lt;&gt;"OK","",P1146+(R1146-P1146)*(I1146-O1146)/(Q1146-O1146))</f>
        <v/>
      </c>
      <c r="T1146" s="31">
        <f>IF(OR(N1146&lt;&gt;"OK",NOT(ISNUMBER(M1146))),"",M1146-S1146)</f>
        <v/>
      </c>
      <c r="U1146" s="49">
        <f>IF(OR(NOT(ISNUMBER(T1146)),IF(ISNUMBER(H1146),H1146,G1146)=0),"",T1146/IF(ISNUMBER(H1146),H1146,G1146))</f>
        <v/>
      </c>
      <c r="V1146" s="49">
        <f>IF(ISNUMBER(U1146),ABS(U1146),"")</f>
        <v/>
      </c>
      <c r="W1146" s="49">
        <f>IF(OR($E1145&lt;&gt;"측정",$C1145&lt;&gt;$C1146,$D1145&lt;&gt;$D1146,NOT(ISNUMBER(M1146)),NOT(ISNUMBER(M1145)),(IF(ISNUMBER(H1146),H1146,G1146)-IF(ISNUMBER(H1145),H1145,G1145))=0),"",(M1146-M1145)/(IF(ISNUMBER(H1146),H1146,G1146)-IF(ISNUMBER(H1145),H1145,G1145)))</f>
        <v/>
      </c>
      <c r="X1146" s="31">
        <f>IF(NOT(AND(ISNUMBER(O1146),ISNUMBER(Q1146))),"",(Q1146-O1146)*1440)</f>
        <v/>
      </c>
      <c r="Y1146" s="29" t="n"/>
      <c r="Z1146" s="29" t="n"/>
      <c r="AA1146" s="29" t="n"/>
      <c r="AB1146" s="32" t="n"/>
      <c r="AC1146" s="32" t="n"/>
    </row>
    <row r="1147">
      <c r="A1147" s="26" t="inlineStr">
        <is>
          <t>S22</t>
        </is>
      </c>
      <c r="B1147" s="26" t="inlineStr">
        <is>
          <t>완도 신규점</t>
        </is>
      </c>
      <c r="C1147" s="26" t="inlineStr">
        <is>
          <t>S22-H북</t>
        </is>
      </c>
      <c r="D1147" s="47" t="n">
        <v>1</v>
      </c>
      <c r="E1147" s="26" t="inlineStr">
        <is>
          <t>측정</t>
        </is>
      </c>
      <c r="F1147" s="26" t="inlineStr">
        <is>
          <t>북</t>
        </is>
      </c>
      <c r="G1147" s="31" t="n">
        <v>9</v>
      </c>
      <c r="H1147" s="30" t="n"/>
      <c r="I1147" s="43" t="n"/>
      <c r="J1147" s="41" t="n"/>
      <c r="K1147" s="41" t="n"/>
      <c r="L1147" s="41" t="n"/>
      <c r="M1147" s="31">
        <f>IF(COUNT(J1147:L1147)=0,"",MEDIAN(J1147:L1147))</f>
        <v/>
      </c>
      <c r="N1147" s="26">
        <f>IF(COUNTIFS($C:$C,$C1147,$D:$D,$D1147,$E:$E,"P0(전)",$M:$M,"&gt;0")&lt;&gt;1,"P0(전) 유효 1개 아님",IF(COUNTIFS($C:$C,$C1147,$D:$D,$D1147,$E:$E,"P0(후)",$M:$M,"&gt;0")&lt;&gt;1,"P0(후) 유효 1개 아님",IF(NOT(AND(ISNUMBER(O1147),ISNUMBER(Q1147),ISNUMBER(I1147))),"시각 결측",IF(Q1147&lt;=O1147,"P0 시각 역전",IF(OR(I1147&lt;O1147,I1147&gt;Q1147),"측정시각 구간 밖","OK")))))</f>
        <v/>
      </c>
      <c r="O1147" s="48">
        <f>IF(COUNTIFS($C:$C,$C1147,$D:$D,$D1147,$E:$E,"P0(전)",$M:$M,"&gt;0")&lt;&gt;1,"",SUMIFS($I:$I,$C:$C,$C1147,$D:$D,$D1147,$E:$E,"P0(전)"))</f>
        <v/>
      </c>
      <c r="P1147" s="31">
        <f>IF(COUNTIFS($C:$C,$C1147,$D:$D,$D1147,$E:$E,"P0(전)",$M:$M,"&gt;0")&lt;&gt;1,"",SUMIFS($M:$M,$C:$C,$C1147,$D:$D,$D1147,$E:$E,"P0(전)"))</f>
        <v/>
      </c>
      <c r="Q1147" s="48">
        <f>IF(COUNTIFS($C:$C,$C1147,$D:$D,$D1147,$E:$E,"P0(후)",$M:$M,"&gt;0")&lt;&gt;1,"",SUMIFS($I:$I,$C:$C,$C1147,$D:$D,$D1147,$E:$E,"P0(후)"))</f>
        <v/>
      </c>
      <c r="R1147" s="31">
        <f>IF(COUNTIFS($C:$C,$C1147,$D:$D,$D1147,$E:$E,"P0(후)",$M:$M,"&gt;0")&lt;&gt;1,"",SUMIFS($M:$M,$C:$C,$C1147,$D:$D,$D1147,$E:$E,"P0(후)"))</f>
        <v/>
      </c>
      <c r="S1147" s="31">
        <f>IF(N1147&lt;&gt;"OK","",P1147+(R1147-P1147)*(I1147-O1147)/(Q1147-O1147))</f>
        <v/>
      </c>
      <c r="T1147" s="31">
        <f>IF(OR(N1147&lt;&gt;"OK",NOT(ISNUMBER(M1147))),"",M1147-S1147)</f>
        <v/>
      </c>
      <c r="U1147" s="49">
        <f>IF(OR(NOT(ISNUMBER(T1147)),IF(ISNUMBER(H1147),H1147,G1147)=0),"",T1147/IF(ISNUMBER(H1147),H1147,G1147))</f>
        <v/>
      </c>
      <c r="V1147" s="49">
        <f>IF(ISNUMBER(U1147),ABS(U1147),"")</f>
        <v/>
      </c>
      <c r="W1147" s="49">
        <f>IF(OR($E1146&lt;&gt;"측정",$C1146&lt;&gt;$C1147,$D1146&lt;&gt;$D1147,NOT(ISNUMBER(M1147)),NOT(ISNUMBER(M1146)),(IF(ISNUMBER(H1147),H1147,G1147)-IF(ISNUMBER(H1146),H1146,G1146))=0),"",(M1147-M1146)/(IF(ISNUMBER(H1147),H1147,G1147)-IF(ISNUMBER(H1146),H1146,G1146)))</f>
        <v/>
      </c>
      <c r="X1147" s="31">
        <f>IF(NOT(AND(ISNUMBER(O1147),ISNUMBER(Q1147))),"",(Q1147-O1147)*1440)</f>
        <v/>
      </c>
      <c r="Y1147" s="29" t="n"/>
      <c r="Z1147" s="29" t="n"/>
      <c r="AA1147" s="29" t="n"/>
      <c r="AB1147" s="32" t="n"/>
      <c r="AC1147" s="32" t="n"/>
    </row>
    <row r="1148">
      <c r="A1148" s="26" t="inlineStr">
        <is>
          <t>S22</t>
        </is>
      </c>
      <c r="B1148" s="26" t="inlineStr">
        <is>
          <t>완도 신규점</t>
        </is>
      </c>
      <c r="C1148" s="26" t="inlineStr">
        <is>
          <t>S22-H북</t>
        </is>
      </c>
      <c r="D1148" s="47" t="n">
        <v>1</v>
      </c>
      <c r="E1148" s="26" t="inlineStr">
        <is>
          <t>측정</t>
        </is>
      </c>
      <c r="F1148" s="26" t="inlineStr">
        <is>
          <t>북</t>
        </is>
      </c>
      <c r="G1148" s="31" t="n">
        <v>10</v>
      </c>
      <c r="H1148" s="30" t="n"/>
      <c r="I1148" s="43" t="n"/>
      <c r="J1148" s="41" t="n"/>
      <c r="K1148" s="41" t="n"/>
      <c r="L1148" s="41" t="n"/>
      <c r="M1148" s="31">
        <f>IF(COUNT(J1148:L1148)=0,"",MEDIAN(J1148:L1148))</f>
        <v/>
      </c>
      <c r="N1148" s="26">
        <f>IF(COUNTIFS($C:$C,$C1148,$D:$D,$D1148,$E:$E,"P0(전)",$M:$M,"&gt;0")&lt;&gt;1,"P0(전) 유효 1개 아님",IF(COUNTIFS($C:$C,$C1148,$D:$D,$D1148,$E:$E,"P0(후)",$M:$M,"&gt;0")&lt;&gt;1,"P0(후) 유효 1개 아님",IF(NOT(AND(ISNUMBER(O1148),ISNUMBER(Q1148),ISNUMBER(I1148))),"시각 결측",IF(Q1148&lt;=O1148,"P0 시각 역전",IF(OR(I1148&lt;O1148,I1148&gt;Q1148),"측정시각 구간 밖","OK")))))</f>
        <v/>
      </c>
      <c r="O1148" s="48">
        <f>IF(COUNTIFS($C:$C,$C1148,$D:$D,$D1148,$E:$E,"P0(전)",$M:$M,"&gt;0")&lt;&gt;1,"",SUMIFS($I:$I,$C:$C,$C1148,$D:$D,$D1148,$E:$E,"P0(전)"))</f>
        <v/>
      </c>
      <c r="P1148" s="31">
        <f>IF(COUNTIFS($C:$C,$C1148,$D:$D,$D1148,$E:$E,"P0(전)",$M:$M,"&gt;0")&lt;&gt;1,"",SUMIFS($M:$M,$C:$C,$C1148,$D:$D,$D1148,$E:$E,"P0(전)"))</f>
        <v/>
      </c>
      <c r="Q1148" s="48">
        <f>IF(COUNTIFS($C:$C,$C1148,$D:$D,$D1148,$E:$E,"P0(후)",$M:$M,"&gt;0")&lt;&gt;1,"",SUMIFS($I:$I,$C:$C,$C1148,$D:$D,$D1148,$E:$E,"P0(후)"))</f>
        <v/>
      </c>
      <c r="R1148" s="31">
        <f>IF(COUNTIFS($C:$C,$C1148,$D:$D,$D1148,$E:$E,"P0(후)",$M:$M,"&gt;0")&lt;&gt;1,"",SUMIFS($M:$M,$C:$C,$C1148,$D:$D,$D1148,$E:$E,"P0(후)"))</f>
        <v/>
      </c>
      <c r="S1148" s="31">
        <f>IF(N1148&lt;&gt;"OK","",P1148+(R1148-P1148)*(I1148-O1148)/(Q1148-O1148))</f>
        <v/>
      </c>
      <c r="T1148" s="31">
        <f>IF(OR(N1148&lt;&gt;"OK",NOT(ISNUMBER(M1148))),"",M1148-S1148)</f>
        <v/>
      </c>
      <c r="U1148" s="49">
        <f>IF(OR(NOT(ISNUMBER(T1148)),IF(ISNUMBER(H1148),H1148,G1148)=0),"",T1148/IF(ISNUMBER(H1148),H1148,G1148))</f>
        <v/>
      </c>
      <c r="V1148" s="49">
        <f>IF(ISNUMBER(U1148),ABS(U1148),"")</f>
        <v/>
      </c>
      <c r="W1148" s="49">
        <f>IF(OR($E1147&lt;&gt;"측정",$C1147&lt;&gt;$C1148,$D1147&lt;&gt;$D1148,NOT(ISNUMBER(M1148)),NOT(ISNUMBER(M1147)),(IF(ISNUMBER(H1148),H1148,G1148)-IF(ISNUMBER(H1147),H1147,G1147))=0),"",(M1148-M1147)/(IF(ISNUMBER(H1148),H1148,G1148)-IF(ISNUMBER(H1147),H1147,G1147)))</f>
        <v/>
      </c>
      <c r="X1148" s="31">
        <f>IF(NOT(AND(ISNUMBER(O1148),ISNUMBER(Q1148))),"",(Q1148-O1148)*1440)</f>
        <v/>
      </c>
      <c r="Y1148" s="29" t="n"/>
      <c r="Z1148" s="29" t="n"/>
      <c r="AA1148" s="29" t="n"/>
      <c r="AB1148" s="32" t="n"/>
      <c r="AC1148" s="32" t="n"/>
    </row>
    <row r="1149">
      <c r="A1149" s="44" t="inlineStr">
        <is>
          <t>S22</t>
        </is>
      </c>
      <c r="B1149" s="44" t="inlineStr">
        <is>
          <t>완도 신규점</t>
        </is>
      </c>
      <c r="C1149" s="44" t="inlineStr">
        <is>
          <t>S22-H북</t>
        </is>
      </c>
      <c r="D1149" s="45" t="n">
        <v>1</v>
      </c>
      <c r="E1149" s="44" t="inlineStr">
        <is>
          <t>P0(후)</t>
        </is>
      </c>
      <c r="F1149" s="44" t="inlineStr">
        <is>
          <t>북</t>
        </is>
      </c>
      <c r="G1149" s="46" t="n"/>
      <c r="H1149" s="30" t="n"/>
      <c r="I1149" s="43" t="n"/>
      <c r="J1149" s="41" t="n"/>
      <c r="K1149" s="41" t="n"/>
      <c r="L1149" s="41" t="n"/>
      <c r="M1149" s="31">
        <f>IF(COUNT(J1149:L1149)=0,"",MEDIAN(J1149:L1149))</f>
        <v/>
      </c>
      <c r="N1149" s="38" t="n"/>
      <c r="O1149" s="38" t="n"/>
      <c r="P1149" s="38" t="n"/>
      <c r="Q1149" s="38" t="n"/>
      <c r="R1149" s="38" t="n"/>
      <c r="S1149" s="38" t="n"/>
      <c r="T1149" s="38" t="n"/>
      <c r="U1149" s="38" t="n"/>
      <c r="V1149" s="38" t="n"/>
      <c r="W1149" s="38" t="n"/>
      <c r="X1149" s="38" t="n"/>
      <c r="Y1149" s="29" t="n"/>
      <c r="Z1149" s="29" t="n"/>
      <c r="AA1149" s="29" t="n"/>
      <c r="AB1149" s="32" t="n"/>
      <c r="AC1149" s="32" t="n"/>
    </row>
    <row r="1150">
      <c r="A1150" s="44" t="inlineStr">
        <is>
          <t>S23</t>
        </is>
      </c>
      <c r="B1150" s="44" t="inlineStr">
        <is>
          <t>덕산 신규점1</t>
        </is>
      </c>
      <c r="C1150" s="44" t="inlineStr">
        <is>
          <t>S23-H동</t>
        </is>
      </c>
      <c r="D1150" s="45" t="n">
        <v>1</v>
      </c>
      <c r="E1150" s="44" t="inlineStr">
        <is>
          <t>P0(전)</t>
        </is>
      </c>
      <c r="F1150" s="44" t="inlineStr">
        <is>
          <t>동</t>
        </is>
      </c>
      <c r="G1150" s="46" t="n"/>
      <c r="H1150" s="30" t="n"/>
      <c r="I1150" s="43" t="n"/>
      <c r="J1150" s="41" t="n"/>
      <c r="K1150" s="41" t="n"/>
      <c r="L1150" s="41" t="n"/>
      <c r="M1150" s="31">
        <f>IF(COUNT(J1150:L1150)=0,"",MEDIAN(J1150:L1150))</f>
        <v/>
      </c>
      <c r="N1150" s="38" t="n"/>
      <c r="O1150" s="38" t="n"/>
      <c r="P1150" s="38" t="n"/>
      <c r="Q1150" s="38" t="n"/>
      <c r="R1150" s="38" t="n"/>
      <c r="S1150" s="38" t="n"/>
      <c r="T1150" s="38" t="n"/>
      <c r="U1150" s="38" t="n"/>
      <c r="V1150" s="38" t="n"/>
      <c r="W1150" s="38" t="n"/>
      <c r="X1150" s="38" t="n"/>
      <c r="Y1150" s="29" t="n"/>
      <c r="Z1150" s="29" t="n"/>
      <c r="AA1150" s="29" t="n"/>
      <c r="AB1150" s="32" t="n"/>
      <c r="AC1150" s="32" t="n"/>
    </row>
    <row r="1151">
      <c r="A1151" s="26" t="inlineStr">
        <is>
          <t>S23</t>
        </is>
      </c>
      <c r="B1151" s="26" t="inlineStr">
        <is>
          <t>덕산 신규점1</t>
        </is>
      </c>
      <c r="C1151" s="26" t="inlineStr">
        <is>
          <t>S23-H동</t>
        </is>
      </c>
      <c r="D1151" s="47" t="n">
        <v>1</v>
      </c>
      <c r="E1151" s="26" t="inlineStr">
        <is>
          <t>측정</t>
        </is>
      </c>
      <c r="F1151" s="26" t="inlineStr">
        <is>
          <t>동</t>
        </is>
      </c>
      <c r="G1151" s="31" t="n">
        <v>0.5</v>
      </c>
      <c r="H1151" s="30" t="n"/>
      <c r="I1151" s="43" t="n"/>
      <c r="J1151" s="41" t="n"/>
      <c r="K1151" s="41" t="n"/>
      <c r="L1151" s="41" t="n"/>
      <c r="M1151" s="31">
        <f>IF(COUNT(J1151:L1151)=0,"",MEDIAN(J1151:L1151))</f>
        <v/>
      </c>
      <c r="N1151" s="26">
        <f>IF(COUNTIFS($C:$C,$C1151,$D:$D,$D1151,$E:$E,"P0(전)",$M:$M,"&gt;0")&lt;&gt;1,"P0(전) 유효 1개 아님",IF(COUNTIFS($C:$C,$C1151,$D:$D,$D1151,$E:$E,"P0(후)",$M:$M,"&gt;0")&lt;&gt;1,"P0(후) 유효 1개 아님",IF(NOT(AND(ISNUMBER(O1151),ISNUMBER(Q1151),ISNUMBER(I1151))),"시각 결측",IF(Q1151&lt;=O1151,"P0 시각 역전",IF(OR(I1151&lt;O1151,I1151&gt;Q1151),"측정시각 구간 밖","OK")))))</f>
        <v/>
      </c>
      <c r="O1151" s="48">
        <f>IF(COUNTIFS($C:$C,$C1151,$D:$D,$D1151,$E:$E,"P0(전)",$M:$M,"&gt;0")&lt;&gt;1,"",SUMIFS($I:$I,$C:$C,$C1151,$D:$D,$D1151,$E:$E,"P0(전)"))</f>
        <v/>
      </c>
      <c r="P1151" s="31">
        <f>IF(COUNTIFS($C:$C,$C1151,$D:$D,$D1151,$E:$E,"P0(전)",$M:$M,"&gt;0")&lt;&gt;1,"",SUMIFS($M:$M,$C:$C,$C1151,$D:$D,$D1151,$E:$E,"P0(전)"))</f>
        <v/>
      </c>
      <c r="Q1151" s="48">
        <f>IF(COUNTIFS($C:$C,$C1151,$D:$D,$D1151,$E:$E,"P0(후)",$M:$M,"&gt;0")&lt;&gt;1,"",SUMIFS($I:$I,$C:$C,$C1151,$D:$D,$D1151,$E:$E,"P0(후)"))</f>
        <v/>
      </c>
      <c r="R1151" s="31">
        <f>IF(COUNTIFS($C:$C,$C1151,$D:$D,$D1151,$E:$E,"P0(후)",$M:$M,"&gt;0")&lt;&gt;1,"",SUMIFS($M:$M,$C:$C,$C1151,$D:$D,$D1151,$E:$E,"P0(후)"))</f>
        <v/>
      </c>
      <c r="S1151" s="31">
        <f>IF(N1151&lt;&gt;"OK","",P1151+(R1151-P1151)*(I1151-O1151)/(Q1151-O1151))</f>
        <v/>
      </c>
      <c r="T1151" s="31">
        <f>IF(OR(N1151&lt;&gt;"OK",NOT(ISNUMBER(M1151))),"",M1151-S1151)</f>
        <v/>
      </c>
      <c r="U1151" s="49">
        <f>IF(OR(NOT(ISNUMBER(T1151)),IF(ISNUMBER(H1151),H1151,G1151)=0),"",T1151/IF(ISNUMBER(H1151),H1151,G1151))</f>
        <v/>
      </c>
      <c r="V1151" s="49">
        <f>IF(ISNUMBER(U1151),ABS(U1151),"")</f>
        <v/>
      </c>
      <c r="W1151" s="49">
        <f>IF(OR($E1150&lt;&gt;"측정",$C1150&lt;&gt;$C1151,$D1150&lt;&gt;$D1151,NOT(ISNUMBER(M1151)),NOT(ISNUMBER(M1150)),(IF(ISNUMBER(H1151),H1151,G1151)-IF(ISNUMBER(H1150),H1150,G1150))=0),"",(M1151-M1150)/(IF(ISNUMBER(H1151),H1151,G1151)-IF(ISNUMBER(H1150),H1150,G1150)))</f>
        <v/>
      </c>
      <c r="X1151" s="31">
        <f>IF(NOT(AND(ISNUMBER(O1151),ISNUMBER(Q1151))),"",(Q1151-O1151)*1440)</f>
        <v/>
      </c>
      <c r="Y1151" s="29" t="n"/>
      <c r="Z1151" s="29" t="n"/>
      <c r="AA1151" s="29" t="n"/>
      <c r="AB1151" s="32" t="n"/>
      <c r="AC1151" s="32" t="n"/>
    </row>
    <row r="1152">
      <c r="A1152" s="26" t="inlineStr">
        <is>
          <t>S23</t>
        </is>
      </c>
      <c r="B1152" s="26" t="inlineStr">
        <is>
          <t>덕산 신규점1</t>
        </is>
      </c>
      <c r="C1152" s="26" t="inlineStr">
        <is>
          <t>S23-H동</t>
        </is>
      </c>
      <c r="D1152" s="47" t="n">
        <v>1</v>
      </c>
      <c r="E1152" s="26" t="inlineStr">
        <is>
          <t>측정</t>
        </is>
      </c>
      <c r="F1152" s="26" t="inlineStr">
        <is>
          <t>동</t>
        </is>
      </c>
      <c r="G1152" s="31" t="n">
        <v>1</v>
      </c>
      <c r="H1152" s="30" t="n"/>
      <c r="I1152" s="43" t="n"/>
      <c r="J1152" s="41" t="n"/>
      <c r="K1152" s="41" t="n"/>
      <c r="L1152" s="41" t="n"/>
      <c r="M1152" s="31">
        <f>IF(COUNT(J1152:L1152)=0,"",MEDIAN(J1152:L1152))</f>
        <v/>
      </c>
      <c r="N1152" s="26">
        <f>IF(COUNTIFS($C:$C,$C1152,$D:$D,$D1152,$E:$E,"P0(전)",$M:$M,"&gt;0")&lt;&gt;1,"P0(전) 유효 1개 아님",IF(COUNTIFS($C:$C,$C1152,$D:$D,$D1152,$E:$E,"P0(후)",$M:$M,"&gt;0")&lt;&gt;1,"P0(후) 유효 1개 아님",IF(NOT(AND(ISNUMBER(O1152),ISNUMBER(Q1152),ISNUMBER(I1152))),"시각 결측",IF(Q1152&lt;=O1152,"P0 시각 역전",IF(OR(I1152&lt;O1152,I1152&gt;Q1152),"측정시각 구간 밖","OK")))))</f>
        <v/>
      </c>
      <c r="O1152" s="48">
        <f>IF(COUNTIFS($C:$C,$C1152,$D:$D,$D1152,$E:$E,"P0(전)",$M:$M,"&gt;0")&lt;&gt;1,"",SUMIFS($I:$I,$C:$C,$C1152,$D:$D,$D1152,$E:$E,"P0(전)"))</f>
        <v/>
      </c>
      <c r="P1152" s="31">
        <f>IF(COUNTIFS($C:$C,$C1152,$D:$D,$D1152,$E:$E,"P0(전)",$M:$M,"&gt;0")&lt;&gt;1,"",SUMIFS($M:$M,$C:$C,$C1152,$D:$D,$D1152,$E:$E,"P0(전)"))</f>
        <v/>
      </c>
      <c r="Q1152" s="48">
        <f>IF(COUNTIFS($C:$C,$C1152,$D:$D,$D1152,$E:$E,"P0(후)",$M:$M,"&gt;0")&lt;&gt;1,"",SUMIFS($I:$I,$C:$C,$C1152,$D:$D,$D1152,$E:$E,"P0(후)"))</f>
        <v/>
      </c>
      <c r="R1152" s="31">
        <f>IF(COUNTIFS($C:$C,$C1152,$D:$D,$D1152,$E:$E,"P0(후)",$M:$M,"&gt;0")&lt;&gt;1,"",SUMIFS($M:$M,$C:$C,$C1152,$D:$D,$D1152,$E:$E,"P0(후)"))</f>
        <v/>
      </c>
      <c r="S1152" s="31">
        <f>IF(N1152&lt;&gt;"OK","",P1152+(R1152-P1152)*(I1152-O1152)/(Q1152-O1152))</f>
        <v/>
      </c>
      <c r="T1152" s="31">
        <f>IF(OR(N1152&lt;&gt;"OK",NOT(ISNUMBER(M1152))),"",M1152-S1152)</f>
        <v/>
      </c>
      <c r="U1152" s="49">
        <f>IF(OR(NOT(ISNUMBER(T1152)),IF(ISNUMBER(H1152),H1152,G1152)=0),"",T1152/IF(ISNUMBER(H1152),H1152,G1152))</f>
        <v/>
      </c>
      <c r="V1152" s="49">
        <f>IF(ISNUMBER(U1152),ABS(U1152),"")</f>
        <v/>
      </c>
      <c r="W1152" s="49">
        <f>IF(OR($E1151&lt;&gt;"측정",$C1151&lt;&gt;$C1152,$D1151&lt;&gt;$D1152,NOT(ISNUMBER(M1152)),NOT(ISNUMBER(M1151)),(IF(ISNUMBER(H1152),H1152,G1152)-IF(ISNUMBER(H1151),H1151,G1151))=0),"",(M1152-M1151)/(IF(ISNUMBER(H1152),H1152,G1152)-IF(ISNUMBER(H1151),H1151,G1151)))</f>
        <v/>
      </c>
      <c r="X1152" s="31">
        <f>IF(NOT(AND(ISNUMBER(O1152),ISNUMBER(Q1152))),"",(Q1152-O1152)*1440)</f>
        <v/>
      </c>
      <c r="Y1152" s="29" t="n"/>
      <c r="Z1152" s="29" t="n"/>
      <c r="AA1152" s="29" t="n"/>
      <c r="AB1152" s="32" t="n"/>
      <c r="AC1152" s="32" t="n"/>
    </row>
    <row r="1153">
      <c r="A1153" s="26" t="inlineStr">
        <is>
          <t>S23</t>
        </is>
      </c>
      <c r="B1153" s="26" t="inlineStr">
        <is>
          <t>덕산 신규점1</t>
        </is>
      </c>
      <c r="C1153" s="26" t="inlineStr">
        <is>
          <t>S23-H동</t>
        </is>
      </c>
      <c r="D1153" s="47" t="n">
        <v>1</v>
      </c>
      <c r="E1153" s="26" t="inlineStr">
        <is>
          <t>측정</t>
        </is>
      </c>
      <c r="F1153" s="26" t="inlineStr">
        <is>
          <t>동</t>
        </is>
      </c>
      <c r="G1153" s="31" t="n">
        <v>2</v>
      </c>
      <c r="H1153" s="30" t="n"/>
      <c r="I1153" s="43" t="n"/>
      <c r="J1153" s="41" t="n"/>
      <c r="K1153" s="41" t="n"/>
      <c r="L1153" s="41" t="n"/>
      <c r="M1153" s="31">
        <f>IF(COUNT(J1153:L1153)=0,"",MEDIAN(J1153:L1153))</f>
        <v/>
      </c>
      <c r="N1153" s="26">
        <f>IF(COUNTIFS($C:$C,$C1153,$D:$D,$D1153,$E:$E,"P0(전)",$M:$M,"&gt;0")&lt;&gt;1,"P0(전) 유효 1개 아님",IF(COUNTIFS($C:$C,$C1153,$D:$D,$D1153,$E:$E,"P0(후)",$M:$M,"&gt;0")&lt;&gt;1,"P0(후) 유효 1개 아님",IF(NOT(AND(ISNUMBER(O1153),ISNUMBER(Q1153),ISNUMBER(I1153))),"시각 결측",IF(Q1153&lt;=O1153,"P0 시각 역전",IF(OR(I1153&lt;O1153,I1153&gt;Q1153),"측정시각 구간 밖","OK")))))</f>
        <v/>
      </c>
      <c r="O1153" s="48">
        <f>IF(COUNTIFS($C:$C,$C1153,$D:$D,$D1153,$E:$E,"P0(전)",$M:$M,"&gt;0")&lt;&gt;1,"",SUMIFS($I:$I,$C:$C,$C1153,$D:$D,$D1153,$E:$E,"P0(전)"))</f>
        <v/>
      </c>
      <c r="P1153" s="31">
        <f>IF(COUNTIFS($C:$C,$C1153,$D:$D,$D1153,$E:$E,"P0(전)",$M:$M,"&gt;0")&lt;&gt;1,"",SUMIFS($M:$M,$C:$C,$C1153,$D:$D,$D1153,$E:$E,"P0(전)"))</f>
        <v/>
      </c>
      <c r="Q1153" s="48">
        <f>IF(COUNTIFS($C:$C,$C1153,$D:$D,$D1153,$E:$E,"P0(후)",$M:$M,"&gt;0")&lt;&gt;1,"",SUMIFS($I:$I,$C:$C,$C1153,$D:$D,$D1153,$E:$E,"P0(후)"))</f>
        <v/>
      </c>
      <c r="R1153" s="31">
        <f>IF(COUNTIFS($C:$C,$C1153,$D:$D,$D1153,$E:$E,"P0(후)",$M:$M,"&gt;0")&lt;&gt;1,"",SUMIFS($M:$M,$C:$C,$C1153,$D:$D,$D1153,$E:$E,"P0(후)"))</f>
        <v/>
      </c>
      <c r="S1153" s="31">
        <f>IF(N1153&lt;&gt;"OK","",P1153+(R1153-P1153)*(I1153-O1153)/(Q1153-O1153))</f>
        <v/>
      </c>
      <c r="T1153" s="31">
        <f>IF(OR(N1153&lt;&gt;"OK",NOT(ISNUMBER(M1153))),"",M1153-S1153)</f>
        <v/>
      </c>
      <c r="U1153" s="49">
        <f>IF(OR(NOT(ISNUMBER(T1153)),IF(ISNUMBER(H1153),H1153,G1153)=0),"",T1153/IF(ISNUMBER(H1153),H1153,G1153))</f>
        <v/>
      </c>
      <c r="V1153" s="49">
        <f>IF(ISNUMBER(U1153),ABS(U1153),"")</f>
        <v/>
      </c>
      <c r="W1153" s="49">
        <f>IF(OR($E1152&lt;&gt;"측정",$C1152&lt;&gt;$C1153,$D1152&lt;&gt;$D1153,NOT(ISNUMBER(M1153)),NOT(ISNUMBER(M1152)),(IF(ISNUMBER(H1153),H1153,G1153)-IF(ISNUMBER(H1152),H1152,G1152))=0),"",(M1153-M1152)/(IF(ISNUMBER(H1153),H1153,G1153)-IF(ISNUMBER(H1152),H1152,G1152)))</f>
        <v/>
      </c>
      <c r="X1153" s="31">
        <f>IF(NOT(AND(ISNUMBER(O1153),ISNUMBER(Q1153))),"",(Q1153-O1153)*1440)</f>
        <v/>
      </c>
      <c r="Y1153" s="29" t="n"/>
      <c r="Z1153" s="29" t="n"/>
      <c r="AA1153" s="29" t="n"/>
      <c r="AB1153" s="32" t="n"/>
      <c r="AC1153" s="32" t="n"/>
    </row>
    <row r="1154">
      <c r="A1154" s="26" t="inlineStr">
        <is>
          <t>S23</t>
        </is>
      </c>
      <c r="B1154" s="26" t="inlineStr">
        <is>
          <t>덕산 신규점1</t>
        </is>
      </c>
      <c r="C1154" s="26" t="inlineStr">
        <is>
          <t>S23-H동</t>
        </is>
      </c>
      <c r="D1154" s="47" t="n">
        <v>1</v>
      </c>
      <c r="E1154" s="26" t="inlineStr">
        <is>
          <t>측정</t>
        </is>
      </c>
      <c r="F1154" s="26" t="inlineStr">
        <is>
          <t>동</t>
        </is>
      </c>
      <c r="G1154" s="31" t="n">
        <v>3</v>
      </c>
      <c r="H1154" s="30" t="n"/>
      <c r="I1154" s="43" t="n"/>
      <c r="J1154" s="41" t="n"/>
      <c r="K1154" s="41" t="n"/>
      <c r="L1154" s="41" t="n"/>
      <c r="M1154" s="31">
        <f>IF(COUNT(J1154:L1154)=0,"",MEDIAN(J1154:L1154))</f>
        <v/>
      </c>
      <c r="N1154" s="26">
        <f>IF(COUNTIFS($C:$C,$C1154,$D:$D,$D1154,$E:$E,"P0(전)",$M:$M,"&gt;0")&lt;&gt;1,"P0(전) 유효 1개 아님",IF(COUNTIFS($C:$C,$C1154,$D:$D,$D1154,$E:$E,"P0(후)",$M:$M,"&gt;0")&lt;&gt;1,"P0(후) 유효 1개 아님",IF(NOT(AND(ISNUMBER(O1154),ISNUMBER(Q1154),ISNUMBER(I1154))),"시각 결측",IF(Q1154&lt;=O1154,"P0 시각 역전",IF(OR(I1154&lt;O1154,I1154&gt;Q1154),"측정시각 구간 밖","OK")))))</f>
        <v/>
      </c>
      <c r="O1154" s="48">
        <f>IF(COUNTIFS($C:$C,$C1154,$D:$D,$D1154,$E:$E,"P0(전)",$M:$M,"&gt;0")&lt;&gt;1,"",SUMIFS($I:$I,$C:$C,$C1154,$D:$D,$D1154,$E:$E,"P0(전)"))</f>
        <v/>
      </c>
      <c r="P1154" s="31">
        <f>IF(COUNTIFS($C:$C,$C1154,$D:$D,$D1154,$E:$E,"P0(전)",$M:$M,"&gt;0")&lt;&gt;1,"",SUMIFS($M:$M,$C:$C,$C1154,$D:$D,$D1154,$E:$E,"P0(전)"))</f>
        <v/>
      </c>
      <c r="Q1154" s="48">
        <f>IF(COUNTIFS($C:$C,$C1154,$D:$D,$D1154,$E:$E,"P0(후)",$M:$M,"&gt;0")&lt;&gt;1,"",SUMIFS($I:$I,$C:$C,$C1154,$D:$D,$D1154,$E:$E,"P0(후)"))</f>
        <v/>
      </c>
      <c r="R1154" s="31">
        <f>IF(COUNTIFS($C:$C,$C1154,$D:$D,$D1154,$E:$E,"P0(후)",$M:$M,"&gt;0")&lt;&gt;1,"",SUMIFS($M:$M,$C:$C,$C1154,$D:$D,$D1154,$E:$E,"P0(후)"))</f>
        <v/>
      </c>
      <c r="S1154" s="31">
        <f>IF(N1154&lt;&gt;"OK","",P1154+(R1154-P1154)*(I1154-O1154)/(Q1154-O1154))</f>
        <v/>
      </c>
      <c r="T1154" s="31">
        <f>IF(OR(N1154&lt;&gt;"OK",NOT(ISNUMBER(M1154))),"",M1154-S1154)</f>
        <v/>
      </c>
      <c r="U1154" s="49">
        <f>IF(OR(NOT(ISNUMBER(T1154)),IF(ISNUMBER(H1154),H1154,G1154)=0),"",T1154/IF(ISNUMBER(H1154),H1154,G1154))</f>
        <v/>
      </c>
      <c r="V1154" s="49">
        <f>IF(ISNUMBER(U1154),ABS(U1154),"")</f>
        <v/>
      </c>
      <c r="W1154" s="49">
        <f>IF(OR($E1153&lt;&gt;"측정",$C1153&lt;&gt;$C1154,$D1153&lt;&gt;$D1154,NOT(ISNUMBER(M1154)),NOT(ISNUMBER(M1153)),(IF(ISNUMBER(H1154),H1154,G1154)-IF(ISNUMBER(H1153),H1153,G1153))=0),"",(M1154-M1153)/(IF(ISNUMBER(H1154),H1154,G1154)-IF(ISNUMBER(H1153),H1153,G1153)))</f>
        <v/>
      </c>
      <c r="X1154" s="31">
        <f>IF(NOT(AND(ISNUMBER(O1154),ISNUMBER(Q1154))),"",(Q1154-O1154)*1440)</f>
        <v/>
      </c>
      <c r="Y1154" s="29" t="n"/>
      <c r="Z1154" s="29" t="n"/>
      <c r="AA1154" s="29" t="n"/>
      <c r="AB1154" s="32" t="n"/>
      <c r="AC1154" s="32" t="n"/>
    </row>
    <row r="1155">
      <c r="A1155" s="26" t="inlineStr">
        <is>
          <t>S23</t>
        </is>
      </c>
      <c r="B1155" s="26" t="inlineStr">
        <is>
          <t>덕산 신규점1</t>
        </is>
      </c>
      <c r="C1155" s="26" t="inlineStr">
        <is>
          <t>S23-H동</t>
        </is>
      </c>
      <c r="D1155" s="47" t="n">
        <v>1</v>
      </c>
      <c r="E1155" s="26" t="inlineStr">
        <is>
          <t>측정</t>
        </is>
      </c>
      <c r="F1155" s="26" t="inlineStr">
        <is>
          <t>동</t>
        </is>
      </c>
      <c r="G1155" s="31" t="n">
        <v>4</v>
      </c>
      <c r="H1155" s="30" t="n"/>
      <c r="I1155" s="43" t="n"/>
      <c r="J1155" s="41" t="n"/>
      <c r="K1155" s="41" t="n"/>
      <c r="L1155" s="41" t="n"/>
      <c r="M1155" s="31">
        <f>IF(COUNT(J1155:L1155)=0,"",MEDIAN(J1155:L1155))</f>
        <v/>
      </c>
      <c r="N1155" s="26">
        <f>IF(COUNTIFS($C:$C,$C1155,$D:$D,$D1155,$E:$E,"P0(전)",$M:$M,"&gt;0")&lt;&gt;1,"P0(전) 유효 1개 아님",IF(COUNTIFS($C:$C,$C1155,$D:$D,$D1155,$E:$E,"P0(후)",$M:$M,"&gt;0")&lt;&gt;1,"P0(후) 유효 1개 아님",IF(NOT(AND(ISNUMBER(O1155),ISNUMBER(Q1155),ISNUMBER(I1155))),"시각 결측",IF(Q1155&lt;=O1155,"P0 시각 역전",IF(OR(I1155&lt;O1155,I1155&gt;Q1155),"측정시각 구간 밖","OK")))))</f>
        <v/>
      </c>
      <c r="O1155" s="48">
        <f>IF(COUNTIFS($C:$C,$C1155,$D:$D,$D1155,$E:$E,"P0(전)",$M:$M,"&gt;0")&lt;&gt;1,"",SUMIFS($I:$I,$C:$C,$C1155,$D:$D,$D1155,$E:$E,"P0(전)"))</f>
        <v/>
      </c>
      <c r="P1155" s="31">
        <f>IF(COUNTIFS($C:$C,$C1155,$D:$D,$D1155,$E:$E,"P0(전)",$M:$M,"&gt;0")&lt;&gt;1,"",SUMIFS($M:$M,$C:$C,$C1155,$D:$D,$D1155,$E:$E,"P0(전)"))</f>
        <v/>
      </c>
      <c r="Q1155" s="48">
        <f>IF(COUNTIFS($C:$C,$C1155,$D:$D,$D1155,$E:$E,"P0(후)",$M:$M,"&gt;0")&lt;&gt;1,"",SUMIFS($I:$I,$C:$C,$C1155,$D:$D,$D1155,$E:$E,"P0(후)"))</f>
        <v/>
      </c>
      <c r="R1155" s="31">
        <f>IF(COUNTIFS($C:$C,$C1155,$D:$D,$D1155,$E:$E,"P0(후)",$M:$M,"&gt;0")&lt;&gt;1,"",SUMIFS($M:$M,$C:$C,$C1155,$D:$D,$D1155,$E:$E,"P0(후)"))</f>
        <v/>
      </c>
      <c r="S1155" s="31">
        <f>IF(N1155&lt;&gt;"OK","",P1155+(R1155-P1155)*(I1155-O1155)/(Q1155-O1155))</f>
        <v/>
      </c>
      <c r="T1155" s="31">
        <f>IF(OR(N1155&lt;&gt;"OK",NOT(ISNUMBER(M1155))),"",M1155-S1155)</f>
        <v/>
      </c>
      <c r="U1155" s="49">
        <f>IF(OR(NOT(ISNUMBER(T1155)),IF(ISNUMBER(H1155),H1155,G1155)=0),"",T1155/IF(ISNUMBER(H1155),H1155,G1155))</f>
        <v/>
      </c>
      <c r="V1155" s="49">
        <f>IF(ISNUMBER(U1155),ABS(U1155),"")</f>
        <v/>
      </c>
      <c r="W1155" s="49">
        <f>IF(OR($E1154&lt;&gt;"측정",$C1154&lt;&gt;$C1155,$D1154&lt;&gt;$D1155,NOT(ISNUMBER(M1155)),NOT(ISNUMBER(M1154)),(IF(ISNUMBER(H1155),H1155,G1155)-IF(ISNUMBER(H1154),H1154,G1154))=0),"",(M1155-M1154)/(IF(ISNUMBER(H1155),H1155,G1155)-IF(ISNUMBER(H1154),H1154,G1154)))</f>
        <v/>
      </c>
      <c r="X1155" s="31">
        <f>IF(NOT(AND(ISNUMBER(O1155),ISNUMBER(Q1155))),"",(Q1155-O1155)*1440)</f>
        <v/>
      </c>
      <c r="Y1155" s="29" t="n"/>
      <c r="Z1155" s="29" t="n"/>
      <c r="AA1155" s="29" t="n"/>
      <c r="AB1155" s="32" t="n"/>
      <c r="AC1155" s="32" t="n"/>
    </row>
    <row r="1156">
      <c r="A1156" s="26" t="inlineStr">
        <is>
          <t>S23</t>
        </is>
      </c>
      <c r="B1156" s="26" t="inlineStr">
        <is>
          <t>덕산 신규점1</t>
        </is>
      </c>
      <c r="C1156" s="26" t="inlineStr">
        <is>
          <t>S23-H동</t>
        </is>
      </c>
      <c r="D1156" s="47" t="n">
        <v>1</v>
      </c>
      <c r="E1156" s="26" t="inlineStr">
        <is>
          <t>측정</t>
        </is>
      </c>
      <c r="F1156" s="26" t="inlineStr">
        <is>
          <t>동</t>
        </is>
      </c>
      <c r="G1156" s="31" t="n">
        <v>5</v>
      </c>
      <c r="H1156" s="30" t="n"/>
      <c r="I1156" s="43" t="n"/>
      <c r="J1156" s="41" t="n"/>
      <c r="K1156" s="41" t="n"/>
      <c r="L1156" s="41" t="n"/>
      <c r="M1156" s="31">
        <f>IF(COUNT(J1156:L1156)=0,"",MEDIAN(J1156:L1156))</f>
        <v/>
      </c>
      <c r="N1156" s="26">
        <f>IF(COUNTIFS($C:$C,$C1156,$D:$D,$D1156,$E:$E,"P0(전)",$M:$M,"&gt;0")&lt;&gt;1,"P0(전) 유효 1개 아님",IF(COUNTIFS($C:$C,$C1156,$D:$D,$D1156,$E:$E,"P0(후)",$M:$M,"&gt;0")&lt;&gt;1,"P0(후) 유효 1개 아님",IF(NOT(AND(ISNUMBER(O1156),ISNUMBER(Q1156),ISNUMBER(I1156))),"시각 결측",IF(Q1156&lt;=O1156,"P0 시각 역전",IF(OR(I1156&lt;O1156,I1156&gt;Q1156),"측정시각 구간 밖","OK")))))</f>
        <v/>
      </c>
      <c r="O1156" s="48">
        <f>IF(COUNTIFS($C:$C,$C1156,$D:$D,$D1156,$E:$E,"P0(전)",$M:$M,"&gt;0")&lt;&gt;1,"",SUMIFS($I:$I,$C:$C,$C1156,$D:$D,$D1156,$E:$E,"P0(전)"))</f>
        <v/>
      </c>
      <c r="P1156" s="31">
        <f>IF(COUNTIFS($C:$C,$C1156,$D:$D,$D1156,$E:$E,"P0(전)",$M:$M,"&gt;0")&lt;&gt;1,"",SUMIFS($M:$M,$C:$C,$C1156,$D:$D,$D1156,$E:$E,"P0(전)"))</f>
        <v/>
      </c>
      <c r="Q1156" s="48">
        <f>IF(COUNTIFS($C:$C,$C1156,$D:$D,$D1156,$E:$E,"P0(후)",$M:$M,"&gt;0")&lt;&gt;1,"",SUMIFS($I:$I,$C:$C,$C1156,$D:$D,$D1156,$E:$E,"P0(후)"))</f>
        <v/>
      </c>
      <c r="R1156" s="31">
        <f>IF(COUNTIFS($C:$C,$C1156,$D:$D,$D1156,$E:$E,"P0(후)",$M:$M,"&gt;0")&lt;&gt;1,"",SUMIFS($M:$M,$C:$C,$C1156,$D:$D,$D1156,$E:$E,"P0(후)"))</f>
        <v/>
      </c>
      <c r="S1156" s="31">
        <f>IF(N1156&lt;&gt;"OK","",P1156+(R1156-P1156)*(I1156-O1156)/(Q1156-O1156))</f>
        <v/>
      </c>
      <c r="T1156" s="31">
        <f>IF(OR(N1156&lt;&gt;"OK",NOT(ISNUMBER(M1156))),"",M1156-S1156)</f>
        <v/>
      </c>
      <c r="U1156" s="49">
        <f>IF(OR(NOT(ISNUMBER(T1156)),IF(ISNUMBER(H1156),H1156,G1156)=0),"",T1156/IF(ISNUMBER(H1156),H1156,G1156))</f>
        <v/>
      </c>
      <c r="V1156" s="49">
        <f>IF(ISNUMBER(U1156),ABS(U1156),"")</f>
        <v/>
      </c>
      <c r="W1156" s="49">
        <f>IF(OR($E1155&lt;&gt;"측정",$C1155&lt;&gt;$C1156,$D1155&lt;&gt;$D1156,NOT(ISNUMBER(M1156)),NOT(ISNUMBER(M1155)),(IF(ISNUMBER(H1156),H1156,G1156)-IF(ISNUMBER(H1155),H1155,G1155))=0),"",(M1156-M1155)/(IF(ISNUMBER(H1156),H1156,G1156)-IF(ISNUMBER(H1155),H1155,G1155)))</f>
        <v/>
      </c>
      <c r="X1156" s="31">
        <f>IF(NOT(AND(ISNUMBER(O1156),ISNUMBER(Q1156))),"",(Q1156-O1156)*1440)</f>
        <v/>
      </c>
      <c r="Y1156" s="29" t="n"/>
      <c r="Z1156" s="29" t="n"/>
      <c r="AA1156" s="29" t="n"/>
      <c r="AB1156" s="32" t="n"/>
      <c r="AC1156" s="32" t="n"/>
    </row>
    <row r="1157">
      <c r="A1157" s="26" t="inlineStr">
        <is>
          <t>S23</t>
        </is>
      </c>
      <c r="B1157" s="26" t="inlineStr">
        <is>
          <t>덕산 신규점1</t>
        </is>
      </c>
      <c r="C1157" s="26" t="inlineStr">
        <is>
          <t>S23-H동</t>
        </is>
      </c>
      <c r="D1157" s="47" t="n">
        <v>1</v>
      </c>
      <c r="E1157" s="26" t="inlineStr">
        <is>
          <t>측정</t>
        </is>
      </c>
      <c r="F1157" s="26" t="inlineStr">
        <is>
          <t>동</t>
        </is>
      </c>
      <c r="G1157" s="31" t="n">
        <v>6</v>
      </c>
      <c r="H1157" s="30" t="n"/>
      <c r="I1157" s="43" t="n"/>
      <c r="J1157" s="41" t="n"/>
      <c r="K1157" s="41" t="n"/>
      <c r="L1157" s="41" t="n"/>
      <c r="M1157" s="31">
        <f>IF(COUNT(J1157:L1157)=0,"",MEDIAN(J1157:L1157))</f>
        <v/>
      </c>
      <c r="N1157" s="26">
        <f>IF(COUNTIFS($C:$C,$C1157,$D:$D,$D1157,$E:$E,"P0(전)",$M:$M,"&gt;0")&lt;&gt;1,"P0(전) 유효 1개 아님",IF(COUNTIFS($C:$C,$C1157,$D:$D,$D1157,$E:$E,"P0(후)",$M:$M,"&gt;0")&lt;&gt;1,"P0(후) 유효 1개 아님",IF(NOT(AND(ISNUMBER(O1157),ISNUMBER(Q1157),ISNUMBER(I1157))),"시각 결측",IF(Q1157&lt;=O1157,"P0 시각 역전",IF(OR(I1157&lt;O1157,I1157&gt;Q1157),"측정시각 구간 밖","OK")))))</f>
        <v/>
      </c>
      <c r="O1157" s="48">
        <f>IF(COUNTIFS($C:$C,$C1157,$D:$D,$D1157,$E:$E,"P0(전)",$M:$M,"&gt;0")&lt;&gt;1,"",SUMIFS($I:$I,$C:$C,$C1157,$D:$D,$D1157,$E:$E,"P0(전)"))</f>
        <v/>
      </c>
      <c r="P1157" s="31">
        <f>IF(COUNTIFS($C:$C,$C1157,$D:$D,$D1157,$E:$E,"P0(전)",$M:$M,"&gt;0")&lt;&gt;1,"",SUMIFS($M:$M,$C:$C,$C1157,$D:$D,$D1157,$E:$E,"P0(전)"))</f>
        <v/>
      </c>
      <c r="Q1157" s="48">
        <f>IF(COUNTIFS($C:$C,$C1157,$D:$D,$D1157,$E:$E,"P0(후)",$M:$M,"&gt;0")&lt;&gt;1,"",SUMIFS($I:$I,$C:$C,$C1157,$D:$D,$D1157,$E:$E,"P0(후)"))</f>
        <v/>
      </c>
      <c r="R1157" s="31">
        <f>IF(COUNTIFS($C:$C,$C1157,$D:$D,$D1157,$E:$E,"P0(후)",$M:$M,"&gt;0")&lt;&gt;1,"",SUMIFS($M:$M,$C:$C,$C1157,$D:$D,$D1157,$E:$E,"P0(후)"))</f>
        <v/>
      </c>
      <c r="S1157" s="31">
        <f>IF(N1157&lt;&gt;"OK","",P1157+(R1157-P1157)*(I1157-O1157)/(Q1157-O1157))</f>
        <v/>
      </c>
      <c r="T1157" s="31">
        <f>IF(OR(N1157&lt;&gt;"OK",NOT(ISNUMBER(M1157))),"",M1157-S1157)</f>
        <v/>
      </c>
      <c r="U1157" s="49">
        <f>IF(OR(NOT(ISNUMBER(T1157)),IF(ISNUMBER(H1157),H1157,G1157)=0),"",T1157/IF(ISNUMBER(H1157),H1157,G1157))</f>
        <v/>
      </c>
      <c r="V1157" s="49">
        <f>IF(ISNUMBER(U1157),ABS(U1157),"")</f>
        <v/>
      </c>
      <c r="W1157" s="49">
        <f>IF(OR($E1156&lt;&gt;"측정",$C1156&lt;&gt;$C1157,$D1156&lt;&gt;$D1157,NOT(ISNUMBER(M1157)),NOT(ISNUMBER(M1156)),(IF(ISNUMBER(H1157),H1157,G1157)-IF(ISNUMBER(H1156),H1156,G1156))=0),"",(M1157-M1156)/(IF(ISNUMBER(H1157),H1157,G1157)-IF(ISNUMBER(H1156),H1156,G1156)))</f>
        <v/>
      </c>
      <c r="X1157" s="31">
        <f>IF(NOT(AND(ISNUMBER(O1157),ISNUMBER(Q1157))),"",(Q1157-O1157)*1440)</f>
        <v/>
      </c>
      <c r="Y1157" s="29" t="n"/>
      <c r="Z1157" s="29" t="n"/>
      <c r="AA1157" s="29" t="n"/>
      <c r="AB1157" s="32" t="n"/>
      <c r="AC1157" s="32" t="n"/>
    </row>
    <row r="1158">
      <c r="A1158" s="26" t="inlineStr">
        <is>
          <t>S23</t>
        </is>
      </c>
      <c r="B1158" s="26" t="inlineStr">
        <is>
          <t>덕산 신규점1</t>
        </is>
      </c>
      <c r="C1158" s="26" t="inlineStr">
        <is>
          <t>S23-H동</t>
        </is>
      </c>
      <c r="D1158" s="47" t="n">
        <v>1</v>
      </c>
      <c r="E1158" s="26" t="inlineStr">
        <is>
          <t>측정</t>
        </is>
      </c>
      <c r="F1158" s="26" t="inlineStr">
        <is>
          <t>동</t>
        </is>
      </c>
      <c r="G1158" s="31" t="n">
        <v>7</v>
      </c>
      <c r="H1158" s="30" t="n"/>
      <c r="I1158" s="43" t="n"/>
      <c r="J1158" s="41" t="n"/>
      <c r="K1158" s="41" t="n"/>
      <c r="L1158" s="41" t="n"/>
      <c r="M1158" s="31">
        <f>IF(COUNT(J1158:L1158)=0,"",MEDIAN(J1158:L1158))</f>
        <v/>
      </c>
      <c r="N1158" s="26">
        <f>IF(COUNTIFS($C:$C,$C1158,$D:$D,$D1158,$E:$E,"P0(전)",$M:$M,"&gt;0")&lt;&gt;1,"P0(전) 유효 1개 아님",IF(COUNTIFS($C:$C,$C1158,$D:$D,$D1158,$E:$E,"P0(후)",$M:$M,"&gt;0")&lt;&gt;1,"P0(후) 유효 1개 아님",IF(NOT(AND(ISNUMBER(O1158),ISNUMBER(Q1158),ISNUMBER(I1158))),"시각 결측",IF(Q1158&lt;=O1158,"P0 시각 역전",IF(OR(I1158&lt;O1158,I1158&gt;Q1158),"측정시각 구간 밖","OK")))))</f>
        <v/>
      </c>
      <c r="O1158" s="48">
        <f>IF(COUNTIFS($C:$C,$C1158,$D:$D,$D1158,$E:$E,"P0(전)",$M:$M,"&gt;0")&lt;&gt;1,"",SUMIFS($I:$I,$C:$C,$C1158,$D:$D,$D1158,$E:$E,"P0(전)"))</f>
        <v/>
      </c>
      <c r="P1158" s="31">
        <f>IF(COUNTIFS($C:$C,$C1158,$D:$D,$D1158,$E:$E,"P0(전)",$M:$M,"&gt;0")&lt;&gt;1,"",SUMIFS($M:$M,$C:$C,$C1158,$D:$D,$D1158,$E:$E,"P0(전)"))</f>
        <v/>
      </c>
      <c r="Q1158" s="48">
        <f>IF(COUNTIFS($C:$C,$C1158,$D:$D,$D1158,$E:$E,"P0(후)",$M:$M,"&gt;0")&lt;&gt;1,"",SUMIFS($I:$I,$C:$C,$C1158,$D:$D,$D1158,$E:$E,"P0(후)"))</f>
        <v/>
      </c>
      <c r="R1158" s="31">
        <f>IF(COUNTIFS($C:$C,$C1158,$D:$D,$D1158,$E:$E,"P0(후)",$M:$M,"&gt;0")&lt;&gt;1,"",SUMIFS($M:$M,$C:$C,$C1158,$D:$D,$D1158,$E:$E,"P0(후)"))</f>
        <v/>
      </c>
      <c r="S1158" s="31">
        <f>IF(N1158&lt;&gt;"OK","",P1158+(R1158-P1158)*(I1158-O1158)/(Q1158-O1158))</f>
        <v/>
      </c>
      <c r="T1158" s="31">
        <f>IF(OR(N1158&lt;&gt;"OK",NOT(ISNUMBER(M1158))),"",M1158-S1158)</f>
        <v/>
      </c>
      <c r="U1158" s="49">
        <f>IF(OR(NOT(ISNUMBER(T1158)),IF(ISNUMBER(H1158),H1158,G1158)=0),"",T1158/IF(ISNUMBER(H1158),H1158,G1158))</f>
        <v/>
      </c>
      <c r="V1158" s="49">
        <f>IF(ISNUMBER(U1158),ABS(U1158),"")</f>
        <v/>
      </c>
      <c r="W1158" s="49">
        <f>IF(OR($E1157&lt;&gt;"측정",$C1157&lt;&gt;$C1158,$D1157&lt;&gt;$D1158,NOT(ISNUMBER(M1158)),NOT(ISNUMBER(M1157)),(IF(ISNUMBER(H1158),H1158,G1158)-IF(ISNUMBER(H1157),H1157,G1157))=0),"",(M1158-M1157)/(IF(ISNUMBER(H1158),H1158,G1158)-IF(ISNUMBER(H1157),H1157,G1157)))</f>
        <v/>
      </c>
      <c r="X1158" s="31">
        <f>IF(NOT(AND(ISNUMBER(O1158),ISNUMBER(Q1158))),"",(Q1158-O1158)*1440)</f>
        <v/>
      </c>
      <c r="Y1158" s="29" t="n"/>
      <c r="Z1158" s="29" t="n"/>
      <c r="AA1158" s="29" t="n"/>
      <c r="AB1158" s="32" t="n"/>
      <c r="AC1158" s="32" t="n"/>
    </row>
    <row r="1159">
      <c r="A1159" s="26" t="inlineStr">
        <is>
          <t>S23</t>
        </is>
      </c>
      <c r="B1159" s="26" t="inlineStr">
        <is>
          <t>덕산 신규점1</t>
        </is>
      </c>
      <c r="C1159" s="26" t="inlineStr">
        <is>
          <t>S23-H동</t>
        </is>
      </c>
      <c r="D1159" s="47" t="n">
        <v>1</v>
      </c>
      <c r="E1159" s="26" t="inlineStr">
        <is>
          <t>측정</t>
        </is>
      </c>
      <c r="F1159" s="26" t="inlineStr">
        <is>
          <t>동</t>
        </is>
      </c>
      <c r="G1159" s="31" t="n">
        <v>8</v>
      </c>
      <c r="H1159" s="30" t="n"/>
      <c r="I1159" s="43" t="n"/>
      <c r="J1159" s="41" t="n"/>
      <c r="K1159" s="41" t="n"/>
      <c r="L1159" s="41" t="n"/>
      <c r="M1159" s="31">
        <f>IF(COUNT(J1159:L1159)=0,"",MEDIAN(J1159:L1159))</f>
        <v/>
      </c>
      <c r="N1159" s="26">
        <f>IF(COUNTIFS($C:$C,$C1159,$D:$D,$D1159,$E:$E,"P0(전)",$M:$M,"&gt;0")&lt;&gt;1,"P0(전) 유효 1개 아님",IF(COUNTIFS($C:$C,$C1159,$D:$D,$D1159,$E:$E,"P0(후)",$M:$M,"&gt;0")&lt;&gt;1,"P0(후) 유효 1개 아님",IF(NOT(AND(ISNUMBER(O1159),ISNUMBER(Q1159),ISNUMBER(I1159))),"시각 결측",IF(Q1159&lt;=O1159,"P0 시각 역전",IF(OR(I1159&lt;O1159,I1159&gt;Q1159),"측정시각 구간 밖","OK")))))</f>
        <v/>
      </c>
      <c r="O1159" s="48">
        <f>IF(COUNTIFS($C:$C,$C1159,$D:$D,$D1159,$E:$E,"P0(전)",$M:$M,"&gt;0")&lt;&gt;1,"",SUMIFS($I:$I,$C:$C,$C1159,$D:$D,$D1159,$E:$E,"P0(전)"))</f>
        <v/>
      </c>
      <c r="P1159" s="31">
        <f>IF(COUNTIFS($C:$C,$C1159,$D:$D,$D1159,$E:$E,"P0(전)",$M:$M,"&gt;0")&lt;&gt;1,"",SUMIFS($M:$M,$C:$C,$C1159,$D:$D,$D1159,$E:$E,"P0(전)"))</f>
        <v/>
      </c>
      <c r="Q1159" s="48">
        <f>IF(COUNTIFS($C:$C,$C1159,$D:$D,$D1159,$E:$E,"P0(후)",$M:$M,"&gt;0")&lt;&gt;1,"",SUMIFS($I:$I,$C:$C,$C1159,$D:$D,$D1159,$E:$E,"P0(후)"))</f>
        <v/>
      </c>
      <c r="R1159" s="31">
        <f>IF(COUNTIFS($C:$C,$C1159,$D:$D,$D1159,$E:$E,"P0(후)",$M:$M,"&gt;0")&lt;&gt;1,"",SUMIFS($M:$M,$C:$C,$C1159,$D:$D,$D1159,$E:$E,"P0(후)"))</f>
        <v/>
      </c>
      <c r="S1159" s="31">
        <f>IF(N1159&lt;&gt;"OK","",P1159+(R1159-P1159)*(I1159-O1159)/(Q1159-O1159))</f>
        <v/>
      </c>
      <c r="T1159" s="31">
        <f>IF(OR(N1159&lt;&gt;"OK",NOT(ISNUMBER(M1159))),"",M1159-S1159)</f>
        <v/>
      </c>
      <c r="U1159" s="49">
        <f>IF(OR(NOT(ISNUMBER(T1159)),IF(ISNUMBER(H1159),H1159,G1159)=0),"",T1159/IF(ISNUMBER(H1159),H1159,G1159))</f>
        <v/>
      </c>
      <c r="V1159" s="49">
        <f>IF(ISNUMBER(U1159),ABS(U1159),"")</f>
        <v/>
      </c>
      <c r="W1159" s="49">
        <f>IF(OR($E1158&lt;&gt;"측정",$C1158&lt;&gt;$C1159,$D1158&lt;&gt;$D1159,NOT(ISNUMBER(M1159)),NOT(ISNUMBER(M1158)),(IF(ISNUMBER(H1159),H1159,G1159)-IF(ISNUMBER(H1158),H1158,G1158))=0),"",(M1159-M1158)/(IF(ISNUMBER(H1159),H1159,G1159)-IF(ISNUMBER(H1158),H1158,G1158)))</f>
        <v/>
      </c>
      <c r="X1159" s="31">
        <f>IF(NOT(AND(ISNUMBER(O1159),ISNUMBER(Q1159))),"",(Q1159-O1159)*1440)</f>
        <v/>
      </c>
      <c r="Y1159" s="29" t="n"/>
      <c r="Z1159" s="29" t="n"/>
      <c r="AA1159" s="29" t="n"/>
      <c r="AB1159" s="32" t="n"/>
      <c r="AC1159" s="32" t="n"/>
    </row>
    <row r="1160">
      <c r="A1160" s="26" t="inlineStr">
        <is>
          <t>S23</t>
        </is>
      </c>
      <c r="B1160" s="26" t="inlineStr">
        <is>
          <t>덕산 신규점1</t>
        </is>
      </c>
      <c r="C1160" s="26" t="inlineStr">
        <is>
          <t>S23-H동</t>
        </is>
      </c>
      <c r="D1160" s="47" t="n">
        <v>1</v>
      </c>
      <c r="E1160" s="26" t="inlineStr">
        <is>
          <t>측정</t>
        </is>
      </c>
      <c r="F1160" s="26" t="inlineStr">
        <is>
          <t>동</t>
        </is>
      </c>
      <c r="G1160" s="31" t="n">
        <v>9</v>
      </c>
      <c r="H1160" s="30" t="n"/>
      <c r="I1160" s="43" t="n"/>
      <c r="J1160" s="41" t="n"/>
      <c r="K1160" s="41" t="n"/>
      <c r="L1160" s="41" t="n"/>
      <c r="M1160" s="31">
        <f>IF(COUNT(J1160:L1160)=0,"",MEDIAN(J1160:L1160))</f>
        <v/>
      </c>
      <c r="N1160" s="26">
        <f>IF(COUNTIFS($C:$C,$C1160,$D:$D,$D1160,$E:$E,"P0(전)",$M:$M,"&gt;0")&lt;&gt;1,"P0(전) 유효 1개 아님",IF(COUNTIFS($C:$C,$C1160,$D:$D,$D1160,$E:$E,"P0(후)",$M:$M,"&gt;0")&lt;&gt;1,"P0(후) 유효 1개 아님",IF(NOT(AND(ISNUMBER(O1160),ISNUMBER(Q1160),ISNUMBER(I1160))),"시각 결측",IF(Q1160&lt;=O1160,"P0 시각 역전",IF(OR(I1160&lt;O1160,I1160&gt;Q1160),"측정시각 구간 밖","OK")))))</f>
        <v/>
      </c>
      <c r="O1160" s="48">
        <f>IF(COUNTIFS($C:$C,$C1160,$D:$D,$D1160,$E:$E,"P0(전)",$M:$M,"&gt;0")&lt;&gt;1,"",SUMIFS($I:$I,$C:$C,$C1160,$D:$D,$D1160,$E:$E,"P0(전)"))</f>
        <v/>
      </c>
      <c r="P1160" s="31">
        <f>IF(COUNTIFS($C:$C,$C1160,$D:$D,$D1160,$E:$E,"P0(전)",$M:$M,"&gt;0")&lt;&gt;1,"",SUMIFS($M:$M,$C:$C,$C1160,$D:$D,$D1160,$E:$E,"P0(전)"))</f>
        <v/>
      </c>
      <c r="Q1160" s="48">
        <f>IF(COUNTIFS($C:$C,$C1160,$D:$D,$D1160,$E:$E,"P0(후)",$M:$M,"&gt;0")&lt;&gt;1,"",SUMIFS($I:$I,$C:$C,$C1160,$D:$D,$D1160,$E:$E,"P0(후)"))</f>
        <v/>
      </c>
      <c r="R1160" s="31">
        <f>IF(COUNTIFS($C:$C,$C1160,$D:$D,$D1160,$E:$E,"P0(후)",$M:$M,"&gt;0")&lt;&gt;1,"",SUMIFS($M:$M,$C:$C,$C1160,$D:$D,$D1160,$E:$E,"P0(후)"))</f>
        <v/>
      </c>
      <c r="S1160" s="31">
        <f>IF(N1160&lt;&gt;"OK","",P1160+(R1160-P1160)*(I1160-O1160)/(Q1160-O1160))</f>
        <v/>
      </c>
      <c r="T1160" s="31">
        <f>IF(OR(N1160&lt;&gt;"OK",NOT(ISNUMBER(M1160))),"",M1160-S1160)</f>
        <v/>
      </c>
      <c r="U1160" s="49">
        <f>IF(OR(NOT(ISNUMBER(T1160)),IF(ISNUMBER(H1160),H1160,G1160)=0),"",T1160/IF(ISNUMBER(H1160),H1160,G1160))</f>
        <v/>
      </c>
      <c r="V1160" s="49">
        <f>IF(ISNUMBER(U1160),ABS(U1160),"")</f>
        <v/>
      </c>
      <c r="W1160" s="49">
        <f>IF(OR($E1159&lt;&gt;"측정",$C1159&lt;&gt;$C1160,$D1159&lt;&gt;$D1160,NOT(ISNUMBER(M1160)),NOT(ISNUMBER(M1159)),(IF(ISNUMBER(H1160),H1160,G1160)-IF(ISNUMBER(H1159),H1159,G1159))=0),"",(M1160-M1159)/(IF(ISNUMBER(H1160),H1160,G1160)-IF(ISNUMBER(H1159),H1159,G1159)))</f>
        <v/>
      </c>
      <c r="X1160" s="31">
        <f>IF(NOT(AND(ISNUMBER(O1160),ISNUMBER(Q1160))),"",(Q1160-O1160)*1440)</f>
        <v/>
      </c>
      <c r="Y1160" s="29" t="n"/>
      <c r="Z1160" s="29" t="n"/>
      <c r="AA1160" s="29" t="n"/>
      <c r="AB1160" s="32" t="n"/>
      <c r="AC1160" s="32" t="n"/>
    </row>
    <row r="1161">
      <c r="A1161" s="26" t="inlineStr">
        <is>
          <t>S23</t>
        </is>
      </c>
      <c r="B1161" s="26" t="inlineStr">
        <is>
          <t>덕산 신규점1</t>
        </is>
      </c>
      <c r="C1161" s="26" t="inlineStr">
        <is>
          <t>S23-H동</t>
        </is>
      </c>
      <c r="D1161" s="47" t="n">
        <v>1</v>
      </c>
      <c r="E1161" s="26" t="inlineStr">
        <is>
          <t>측정</t>
        </is>
      </c>
      <c r="F1161" s="26" t="inlineStr">
        <is>
          <t>동</t>
        </is>
      </c>
      <c r="G1161" s="31" t="n">
        <v>10</v>
      </c>
      <c r="H1161" s="30" t="n"/>
      <c r="I1161" s="43" t="n"/>
      <c r="J1161" s="41" t="n"/>
      <c r="K1161" s="41" t="n"/>
      <c r="L1161" s="41" t="n"/>
      <c r="M1161" s="31">
        <f>IF(COUNT(J1161:L1161)=0,"",MEDIAN(J1161:L1161))</f>
        <v/>
      </c>
      <c r="N1161" s="26">
        <f>IF(COUNTIFS($C:$C,$C1161,$D:$D,$D1161,$E:$E,"P0(전)",$M:$M,"&gt;0")&lt;&gt;1,"P0(전) 유효 1개 아님",IF(COUNTIFS($C:$C,$C1161,$D:$D,$D1161,$E:$E,"P0(후)",$M:$M,"&gt;0")&lt;&gt;1,"P0(후) 유효 1개 아님",IF(NOT(AND(ISNUMBER(O1161),ISNUMBER(Q1161),ISNUMBER(I1161))),"시각 결측",IF(Q1161&lt;=O1161,"P0 시각 역전",IF(OR(I1161&lt;O1161,I1161&gt;Q1161),"측정시각 구간 밖","OK")))))</f>
        <v/>
      </c>
      <c r="O1161" s="48">
        <f>IF(COUNTIFS($C:$C,$C1161,$D:$D,$D1161,$E:$E,"P0(전)",$M:$M,"&gt;0")&lt;&gt;1,"",SUMIFS($I:$I,$C:$C,$C1161,$D:$D,$D1161,$E:$E,"P0(전)"))</f>
        <v/>
      </c>
      <c r="P1161" s="31">
        <f>IF(COUNTIFS($C:$C,$C1161,$D:$D,$D1161,$E:$E,"P0(전)",$M:$M,"&gt;0")&lt;&gt;1,"",SUMIFS($M:$M,$C:$C,$C1161,$D:$D,$D1161,$E:$E,"P0(전)"))</f>
        <v/>
      </c>
      <c r="Q1161" s="48">
        <f>IF(COUNTIFS($C:$C,$C1161,$D:$D,$D1161,$E:$E,"P0(후)",$M:$M,"&gt;0")&lt;&gt;1,"",SUMIFS($I:$I,$C:$C,$C1161,$D:$D,$D1161,$E:$E,"P0(후)"))</f>
        <v/>
      </c>
      <c r="R1161" s="31">
        <f>IF(COUNTIFS($C:$C,$C1161,$D:$D,$D1161,$E:$E,"P0(후)",$M:$M,"&gt;0")&lt;&gt;1,"",SUMIFS($M:$M,$C:$C,$C1161,$D:$D,$D1161,$E:$E,"P0(후)"))</f>
        <v/>
      </c>
      <c r="S1161" s="31">
        <f>IF(N1161&lt;&gt;"OK","",P1161+(R1161-P1161)*(I1161-O1161)/(Q1161-O1161))</f>
        <v/>
      </c>
      <c r="T1161" s="31">
        <f>IF(OR(N1161&lt;&gt;"OK",NOT(ISNUMBER(M1161))),"",M1161-S1161)</f>
        <v/>
      </c>
      <c r="U1161" s="49">
        <f>IF(OR(NOT(ISNUMBER(T1161)),IF(ISNUMBER(H1161),H1161,G1161)=0),"",T1161/IF(ISNUMBER(H1161),H1161,G1161))</f>
        <v/>
      </c>
      <c r="V1161" s="49">
        <f>IF(ISNUMBER(U1161),ABS(U1161),"")</f>
        <v/>
      </c>
      <c r="W1161" s="49">
        <f>IF(OR($E1160&lt;&gt;"측정",$C1160&lt;&gt;$C1161,$D1160&lt;&gt;$D1161,NOT(ISNUMBER(M1161)),NOT(ISNUMBER(M1160)),(IF(ISNUMBER(H1161),H1161,G1161)-IF(ISNUMBER(H1160),H1160,G1160))=0),"",(M1161-M1160)/(IF(ISNUMBER(H1161),H1161,G1161)-IF(ISNUMBER(H1160),H1160,G1160)))</f>
        <v/>
      </c>
      <c r="X1161" s="31">
        <f>IF(NOT(AND(ISNUMBER(O1161),ISNUMBER(Q1161))),"",(Q1161-O1161)*1440)</f>
        <v/>
      </c>
      <c r="Y1161" s="29" t="n"/>
      <c r="Z1161" s="29" t="n"/>
      <c r="AA1161" s="29" t="n"/>
      <c r="AB1161" s="32" t="n"/>
      <c r="AC1161" s="32" t="n"/>
    </row>
    <row r="1162">
      <c r="A1162" s="44" t="inlineStr">
        <is>
          <t>S23</t>
        </is>
      </c>
      <c r="B1162" s="44" t="inlineStr">
        <is>
          <t>덕산 신규점1</t>
        </is>
      </c>
      <c r="C1162" s="44" t="inlineStr">
        <is>
          <t>S23-H동</t>
        </is>
      </c>
      <c r="D1162" s="45" t="n">
        <v>1</v>
      </c>
      <c r="E1162" s="44" t="inlineStr">
        <is>
          <t>P0(후)</t>
        </is>
      </c>
      <c r="F1162" s="44" t="inlineStr">
        <is>
          <t>동</t>
        </is>
      </c>
      <c r="G1162" s="46" t="n"/>
      <c r="H1162" s="30" t="n"/>
      <c r="I1162" s="43" t="n"/>
      <c r="J1162" s="41" t="n"/>
      <c r="K1162" s="41" t="n"/>
      <c r="L1162" s="41" t="n"/>
      <c r="M1162" s="31">
        <f>IF(COUNT(J1162:L1162)=0,"",MEDIAN(J1162:L1162))</f>
        <v/>
      </c>
      <c r="N1162" s="38" t="n"/>
      <c r="O1162" s="38" t="n"/>
      <c r="P1162" s="38" t="n"/>
      <c r="Q1162" s="38" t="n"/>
      <c r="R1162" s="38" t="n"/>
      <c r="S1162" s="38" t="n"/>
      <c r="T1162" s="38" t="n"/>
      <c r="U1162" s="38" t="n"/>
      <c r="V1162" s="38" t="n"/>
      <c r="W1162" s="38" t="n"/>
      <c r="X1162" s="38" t="n"/>
      <c r="Y1162" s="29" t="n"/>
      <c r="Z1162" s="29" t="n"/>
      <c r="AA1162" s="29" t="n"/>
      <c r="AB1162" s="32" t="n"/>
      <c r="AC1162" s="32" t="n"/>
    </row>
    <row r="1163">
      <c r="A1163" s="44" t="inlineStr">
        <is>
          <t>S23</t>
        </is>
      </c>
      <c r="B1163" s="44" t="inlineStr">
        <is>
          <t>덕산 신규점1</t>
        </is>
      </c>
      <c r="C1163" s="44" t="inlineStr">
        <is>
          <t>S23-H서</t>
        </is>
      </c>
      <c r="D1163" s="45" t="n">
        <v>1</v>
      </c>
      <c r="E1163" s="44" t="inlineStr">
        <is>
          <t>P0(전)</t>
        </is>
      </c>
      <c r="F1163" s="44" t="inlineStr">
        <is>
          <t>서</t>
        </is>
      </c>
      <c r="G1163" s="46" t="n"/>
      <c r="H1163" s="30" t="n"/>
      <c r="I1163" s="43" t="n"/>
      <c r="J1163" s="41" t="n"/>
      <c r="K1163" s="41" t="n"/>
      <c r="L1163" s="41" t="n"/>
      <c r="M1163" s="31">
        <f>IF(COUNT(J1163:L1163)=0,"",MEDIAN(J1163:L1163))</f>
        <v/>
      </c>
      <c r="N1163" s="38" t="n"/>
      <c r="O1163" s="38" t="n"/>
      <c r="P1163" s="38" t="n"/>
      <c r="Q1163" s="38" t="n"/>
      <c r="R1163" s="38" t="n"/>
      <c r="S1163" s="38" t="n"/>
      <c r="T1163" s="38" t="n"/>
      <c r="U1163" s="38" t="n"/>
      <c r="V1163" s="38" t="n"/>
      <c r="W1163" s="38" t="n"/>
      <c r="X1163" s="38" t="n"/>
      <c r="Y1163" s="29" t="n"/>
      <c r="Z1163" s="29" t="n"/>
      <c r="AA1163" s="29" t="n"/>
      <c r="AB1163" s="32" t="n"/>
      <c r="AC1163" s="32" t="n"/>
    </row>
    <row r="1164">
      <c r="A1164" s="26" t="inlineStr">
        <is>
          <t>S23</t>
        </is>
      </c>
      <c r="B1164" s="26" t="inlineStr">
        <is>
          <t>덕산 신규점1</t>
        </is>
      </c>
      <c r="C1164" s="26" t="inlineStr">
        <is>
          <t>S23-H서</t>
        </is>
      </c>
      <c r="D1164" s="47" t="n">
        <v>1</v>
      </c>
      <c r="E1164" s="26" t="inlineStr">
        <is>
          <t>측정</t>
        </is>
      </c>
      <c r="F1164" s="26" t="inlineStr">
        <is>
          <t>서</t>
        </is>
      </c>
      <c r="G1164" s="31" t="n">
        <v>0.5</v>
      </c>
      <c r="H1164" s="30" t="n"/>
      <c r="I1164" s="43" t="n"/>
      <c r="J1164" s="41" t="n"/>
      <c r="K1164" s="41" t="n"/>
      <c r="L1164" s="41" t="n"/>
      <c r="M1164" s="31">
        <f>IF(COUNT(J1164:L1164)=0,"",MEDIAN(J1164:L1164))</f>
        <v/>
      </c>
      <c r="N1164" s="26">
        <f>IF(COUNTIFS($C:$C,$C1164,$D:$D,$D1164,$E:$E,"P0(전)",$M:$M,"&gt;0")&lt;&gt;1,"P0(전) 유효 1개 아님",IF(COUNTIFS($C:$C,$C1164,$D:$D,$D1164,$E:$E,"P0(후)",$M:$M,"&gt;0")&lt;&gt;1,"P0(후) 유효 1개 아님",IF(NOT(AND(ISNUMBER(O1164),ISNUMBER(Q1164),ISNUMBER(I1164))),"시각 결측",IF(Q1164&lt;=O1164,"P0 시각 역전",IF(OR(I1164&lt;O1164,I1164&gt;Q1164),"측정시각 구간 밖","OK")))))</f>
        <v/>
      </c>
      <c r="O1164" s="48">
        <f>IF(COUNTIFS($C:$C,$C1164,$D:$D,$D1164,$E:$E,"P0(전)",$M:$M,"&gt;0")&lt;&gt;1,"",SUMIFS($I:$I,$C:$C,$C1164,$D:$D,$D1164,$E:$E,"P0(전)"))</f>
        <v/>
      </c>
      <c r="P1164" s="31">
        <f>IF(COUNTIFS($C:$C,$C1164,$D:$D,$D1164,$E:$E,"P0(전)",$M:$M,"&gt;0")&lt;&gt;1,"",SUMIFS($M:$M,$C:$C,$C1164,$D:$D,$D1164,$E:$E,"P0(전)"))</f>
        <v/>
      </c>
      <c r="Q1164" s="48">
        <f>IF(COUNTIFS($C:$C,$C1164,$D:$D,$D1164,$E:$E,"P0(후)",$M:$M,"&gt;0")&lt;&gt;1,"",SUMIFS($I:$I,$C:$C,$C1164,$D:$D,$D1164,$E:$E,"P0(후)"))</f>
        <v/>
      </c>
      <c r="R1164" s="31">
        <f>IF(COUNTIFS($C:$C,$C1164,$D:$D,$D1164,$E:$E,"P0(후)",$M:$M,"&gt;0")&lt;&gt;1,"",SUMIFS($M:$M,$C:$C,$C1164,$D:$D,$D1164,$E:$E,"P0(후)"))</f>
        <v/>
      </c>
      <c r="S1164" s="31">
        <f>IF(N1164&lt;&gt;"OK","",P1164+(R1164-P1164)*(I1164-O1164)/(Q1164-O1164))</f>
        <v/>
      </c>
      <c r="T1164" s="31">
        <f>IF(OR(N1164&lt;&gt;"OK",NOT(ISNUMBER(M1164))),"",M1164-S1164)</f>
        <v/>
      </c>
      <c r="U1164" s="49">
        <f>IF(OR(NOT(ISNUMBER(T1164)),IF(ISNUMBER(H1164),H1164,G1164)=0),"",T1164/IF(ISNUMBER(H1164),H1164,G1164))</f>
        <v/>
      </c>
      <c r="V1164" s="49">
        <f>IF(ISNUMBER(U1164),ABS(U1164),"")</f>
        <v/>
      </c>
      <c r="W1164" s="49">
        <f>IF(OR($E1163&lt;&gt;"측정",$C1163&lt;&gt;$C1164,$D1163&lt;&gt;$D1164,NOT(ISNUMBER(M1164)),NOT(ISNUMBER(M1163)),(IF(ISNUMBER(H1164),H1164,G1164)-IF(ISNUMBER(H1163),H1163,G1163))=0),"",(M1164-M1163)/(IF(ISNUMBER(H1164),H1164,G1164)-IF(ISNUMBER(H1163),H1163,G1163)))</f>
        <v/>
      </c>
      <c r="X1164" s="31">
        <f>IF(NOT(AND(ISNUMBER(O1164),ISNUMBER(Q1164))),"",(Q1164-O1164)*1440)</f>
        <v/>
      </c>
      <c r="Y1164" s="29" t="n"/>
      <c r="Z1164" s="29" t="n"/>
      <c r="AA1164" s="29" t="n"/>
      <c r="AB1164" s="32" t="n"/>
      <c r="AC1164" s="32" t="n"/>
    </row>
    <row r="1165">
      <c r="A1165" s="26" t="inlineStr">
        <is>
          <t>S23</t>
        </is>
      </c>
      <c r="B1165" s="26" t="inlineStr">
        <is>
          <t>덕산 신규점1</t>
        </is>
      </c>
      <c r="C1165" s="26" t="inlineStr">
        <is>
          <t>S23-H서</t>
        </is>
      </c>
      <c r="D1165" s="47" t="n">
        <v>1</v>
      </c>
      <c r="E1165" s="26" t="inlineStr">
        <is>
          <t>측정</t>
        </is>
      </c>
      <c r="F1165" s="26" t="inlineStr">
        <is>
          <t>서</t>
        </is>
      </c>
      <c r="G1165" s="31" t="n">
        <v>1</v>
      </c>
      <c r="H1165" s="30" t="n"/>
      <c r="I1165" s="43" t="n"/>
      <c r="J1165" s="41" t="n"/>
      <c r="K1165" s="41" t="n"/>
      <c r="L1165" s="41" t="n"/>
      <c r="M1165" s="31">
        <f>IF(COUNT(J1165:L1165)=0,"",MEDIAN(J1165:L1165))</f>
        <v/>
      </c>
      <c r="N1165" s="26">
        <f>IF(COUNTIFS($C:$C,$C1165,$D:$D,$D1165,$E:$E,"P0(전)",$M:$M,"&gt;0")&lt;&gt;1,"P0(전) 유효 1개 아님",IF(COUNTIFS($C:$C,$C1165,$D:$D,$D1165,$E:$E,"P0(후)",$M:$M,"&gt;0")&lt;&gt;1,"P0(후) 유효 1개 아님",IF(NOT(AND(ISNUMBER(O1165),ISNUMBER(Q1165),ISNUMBER(I1165))),"시각 결측",IF(Q1165&lt;=O1165,"P0 시각 역전",IF(OR(I1165&lt;O1165,I1165&gt;Q1165),"측정시각 구간 밖","OK")))))</f>
        <v/>
      </c>
      <c r="O1165" s="48">
        <f>IF(COUNTIFS($C:$C,$C1165,$D:$D,$D1165,$E:$E,"P0(전)",$M:$M,"&gt;0")&lt;&gt;1,"",SUMIFS($I:$I,$C:$C,$C1165,$D:$D,$D1165,$E:$E,"P0(전)"))</f>
        <v/>
      </c>
      <c r="P1165" s="31">
        <f>IF(COUNTIFS($C:$C,$C1165,$D:$D,$D1165,$E:$E,"P0(전)",$M:$M,"&gt;0")&lt;&gt;1,"",SUMIFS($M:$M,$C:$C,$C1165,$D:$D,$D1165,$E:$E,"P0(전)"))</f>
        <v/>
      </c>
      <c r="Q1165" s="48">
        <f>IF(COUNTIFS($C:$C,$C1165,$D:$D,$D1165,$E:$E,"P0(후)",$M:$M,"&gt;0")&lt;&gt;1,"",SUMIFS($I:$I,$C:$C,$C1165,$D:$D,$D1165,$E:$E,"P0(후)"))</f>
        <v/>
      </c>
      <c r="R1165" s="31">
        <f>IF(COUNTIFS($C:$C,$C1165,$D:$D,$D1165,$E:$E,"P0(후)",$M:$M,"&gt;0")&lt;&gt;1,"",SUMIFS($M:$M,$C:$C,$C1165,$D:$D,$D1165,$E:$E,"P0(후)"))</f>
        <v/>
      </c>
      <c r="S1165" s="31">
        <f>IF(N1165&lt;&gt;"OK","",P1165+(R1165-P1165)*(I1165-O1165)/(Q1165-O1165))</f>
        <v/>
      </c>
      <c r="T1165" s="31">
        <f>IF(OR(N1165&lt;&gt;"OK",NOT(ISNUMBER(M1165))),"",M1165-S1165)</f>
        <v/>
      </c>
      <c r="U1165" s="49">
        <f>IF(OR(NOT(ISNUMBER(T1165)),IF(ISNUMBER(H1165),H1165,G1165)=0),"",T1165/IF(ISNUMBER(H1165),H1165,G1165))</f>
        <v/>
      </c>
      <c r="V1165" s="49">
        <f>IF(ISNUMBER(U1165),ABS(U1165),"")</f>
        <v/>
      </c>
      <c r="W1165" s="49">
        <f>IF(OR($E1164&lt;&gt;"측정",$C1164&lt;&gt;$C1165,$D1164&lt;&gt;$D1165,NOT(ISNUMBER(M1165)),NOT(ISNUMBER(M1164)),(IF(ISNUMBER(H1165),H1165,G1165)-IF(ISNUMBER(H1164),H1164,G1164))=0),"",(M1165-M1164)/(IF(ISNUMBER(H1165),H1165,G1165)-IF(ISNUMBER(H1164),H1164,G1164)))</f>
        <v/>
      </c>
      <c r="X1165" s="31">
        <f>IF(NOT(AND(ISNUMBER(O1165),ISNUMBER(Q1165))),"",(Q1165-O1165)*1440)</f>
        <v/>
      </c>
      <c r="Y1165" s="29" t="n"/>
      <c r="Z1165" s="29" t="n"/>
      <c r="AA1165" s="29" t="n"/>
      <c r="AB1165" s="32" t="n"/>
      <c r="AC1165" s="32" t="n"/>
    </row>
    <row r="1166">
      <c r="A1166" s="26" t="inlineStr">
        <is>
          <t>S23</t>
        </is>
      </c>
      <c r="B1166" s="26" t="inlineStr">
        <is>
          <t>덕산 신규점1</t>
        </is>
      </c>
      <c r="C1166" s="26" t="inlineStr">
        <is>
          <t>S23-H서</t>
        </is>
      </c>
      <c r="D1166" s="47" t="n">
        <v>1</v>
      </c>
      <c r="E1166" s="26" t="inlineStr">
        <is>
          <t>측정</t>
        </is>
      </c>
      <c r="F1166" s="26" t="inlineStr">
        <is>
          <t>서</t>
        </is>
      </c>
      <c r="G1166" s="31" t="n">
        <v>2</v>
      </c>
      <c r="H1166" s="30" t="n"/>
      <c r="I1166" s="43" t="n"/>
      <c r="J1166" s="41" t="n"/>
      <c r="K1166" s="41" t="n"/>
      <c r="L1166" s="41" t="n"/>
      <c r="M1166" s="31">
        <f>IF(COUNT(J1166:L1166)=0,"",MEDIAN(J1166:L1166))</f>
        <v/>
      </c>
      <c r="N1166" s="26">
        <f>IF(COUNTIFS($C:$C,$C1166,$D:$D,$D1166,$E:$E,"P0(전)",$M:$M,"&gt;0")&lt;&gt;1,"P0(전) 유효 1개 아님",IF(COUNTIFS($C:$C,$C1166,$D:$D,$D1166,$E:$E,"P0(후)",$M:$M,"&gt;0")&lt;&gt;1,"P0(후) 유효 1개 아님",IF(NOT(AND(ISNUMBER(O1166),ISNUMBER(Q1166),ISNUMBER(I1166))),"시각 결측",IF(Q1166&lt;=O1166,"P0 시각 역전",IF(OR(I1166&lt;O1166,I1166&gt;Q1166),"측정시각 구간 밖","OK")))))</f>
        <v/>
      </c>
      <c r="O1166" s="48">
        <f>IF(COUNTIFS($C:$C,$C1166,$D:$D,$D1166,$E:$E,"P0(전)",$M:$M,"&gt;0")&lt;&gt;1,"",SUMIFS($I:$I,$C:$C,$C1166,$D:$D,$D1166,$E:$E,"P0(전)"))</f>
        <v/>
      </c>
      <c r="P1166" s="31">
        <f>IF(COUNTIFS($C:$C,$C1166,$D:$D,$D1166,$E:$E,"P0(전)",$M:$M,"&gt;0")&lt;&gt;1,"",SUMIFS($M:$M,$C:$C,$C1166,$D:$D,$D1166,$E:$E,"P0(전)"))</f>
        <v/>
      </c>
      <c r="Q1166" s="48">
        <f>IF(COUNTIFS($C:$C,$C1166,$D:$D,$D1166,$E:$E,"P0(후)",$M:$M,"&gt;0")&lt;&gt;1,"",SUMIFS($I:$I,$C:$C,$C1166,$D:$D,$D1166,$E:$E,"P0(후)"))</f>
        <v/>
      </c>
      <c r="R1166" s="31">
        <f>IF(COUNTIFS($C:$C,$C1166,$D:$D,$D1166,$E:$E,"P0(후)",$M:$M,"&gt;0")&lt;&gt;1,"",SUMIFS($M:$M,$C:$C,$C1166,$D:$D,$D1166,$E:$E,"P0(후)"))</f>
        <v/>
      </c>
      <c r="S1166" s="31">
        <f>IF(N1166&lt;&gt;"OK","",P1166+(R1166-P1166)*(I1166-O1166)/(Q1166-O1166))</f>
        <v/>
      </c>
      <c r="T1166" s="31">
        <f>IF(OR(N1166&lt;&gt;"OK",NOT(ISNUMBER(M1166))),"",M1166-S1166)</f>
        <v/>
      </c>
      <c r="U1166" s="49">
        <f>IF(OR(NOT(ISNUMBER(T1166)),IF(ISNUMBER(H1166),H1166,G1166)=0),"",T1166/IF(ISNUMBER(H1166),H1166,G1166))</f>
        <v/>
      </c>
      <c r="V1166" s="49">
        <f>IF(ISNUMBER(U1166),ABS(U1166),"")</f>
        <v/>
      </c>
      <c r="W1166" s="49">
        <f>IF(OR($E1165&lt;&gt;"측정",$C1165&lt;&gt;$C1166,$D1165&lt;&gt;$D1166,NOT(ISNUMBER(M1166)),NOT(ISNUMBER(M1165)),(IF(ISNUMBER(H1166),H1166,G1166)-IF(ISNUMBER(H1165),H1165,G1165))=0),"",(M1166-M1165)/(IF(ISNUMBER(H1166),H1166,G1166)-IF(ISNUMBER(H1165),H1165,G1165)))</f>
        <v/>
      </c>
      <c r="X1166" s="31">
        <f>IF(NOT(AND(ISNUMBER(O1166),ISNUMBER(Q1166))),"",(Q1166-O1166)*1440)</f>
        <v/>
      </c>
      <c r="Y1166" s="29" t="n"/>
      <c r="Z1166" s="29" t="n"/>
      <c r="AA1166" s="29" t="n"/>
      <c r="AB1166" s="32" t="n"/>
      <c r="AC1166" s="32" t="n"/>
    </row>
    <row r="1167">
      <c r="A1167" s="26" t="inlineStr">
        <is>
          <t>S23</t>
        </is>
      </c>
      <c r="B1167" s="26" t="inlineStr">
        <is>
          <t>덕산 신규점1</t>
        </is>
      </c>
      <c r="C1167" s="26" t="inlineStr">
        <is>
          <t>S23-H서</t>
        </is>
      </c>
      <c r="D1167" s="47" t="n">
        <v>1</v>
      </c>
      <c r="E1167" s="26" t="inlineStr">
        <is>
          <t>측정</t>
        </is>
      </c>
      <c r="F1167" s="26" t="inlineStr">
        <is>
          <t>서</t>
        </is>
      </c>
      <c r="G1167" s="31" t="n">
        <v>3</v>
      </c>
      <c r="H1167" s="30" t="n"/>
      <c r="I1167" s="43" t="n"/>
      <c r="J1167" s="41" t="n"/>
      <c r="K1167" s="41" t="n"/>
      <c r="L1167" s="41" t="n"/>
      <c r="M1167" s="31">
        <f>IF(COUNT(J1167:L1167)=0,"",MEDIAN(J1167:L1167))</f>
        <v/>
      </c>
      <c r="N1167" s="26">
        <f>IF(COUNTIFS($C:$C,$C1167,$D:$D,$D1167,$E:$E,"P0(전)",$M:$M,"&gt;0")&lt;&gt;1,"P0(전) 유효 1개 아님",IF(COUNTIFS($C:$C,$C1167,$D:$D,$D1167,$E:$E,"P0(후)",$M:$M,"&gt;0")&lt;&gt;1,"P0(후) 유효 1개 아님",IF(NOT(AND(ISNUMBER(O1167),ISNUMBER(Q1167),ISNUMBER(I1167))),"시각 결측",IF(Q1167&lt;=O1167,"P0 시각 역전",IF(OR(I1167&lt;O1167,I1167&gt;Q1167),"측정시각 구간 밖","OK")))))</f>
        <v/>
      </c>
      <c r="O1167" s="48">
        <f>IF(COUNTIFS($C:$C,$C1167,$D:$D,$D1167,$E:$E,"P0(전)",$M:$M,"&gt;0")&lt;&gt;1,"",SUMIFS($I:$I,$C:$C,$C1167,$D:$D,$D1167,$E:$E,"P0(전)"))</f>
        <v/>
      </c>
      <c r="P1167" s="31">
        <f>IF(COUNTIFS($C:$C,$C1167,$D:$D,$D1167,$E:$E,"P0(전)",$M:$M,"&gt;0")&lt;&gt;1,"",SUMIFS($M:$M,$C:$C,$C1167,$D:$D,$D1167,$E:$E,"P0(전)"))</f>
        <v/>
      </c>
      <c r="Q1167" s="48">
        <f>IF(COUNTIFS($C:$C,$C1167,$D:$D,$D1167,$E:$E,"P0(후)",$M:$M,"&gt;0")&lt;&gt;1,"",SUMIFS($I:$I,$C:$C,$C1167,$D:$D,$D1167,$E:$E,"P0(후)"))</f>
        <v/>
      </c>
      <c r="R1167" s="31">
        <f>IF(COUNTIFS($C:$C,$C1167,$D:$D,$D1167,$E:$E,"P0(후)",$M:$M,"&gt;0")&lt;&gt;1,"",SUMIFS($M:$M,$C:$C,$C1167,$D:$D,$D1167,$E:$E,"P0(후)"))</f>
        <v/>
      </c>
      <c r="S1167" s="31">
        <f>IF(N1167&lt;&gt;"OK","",P1167+(R1167-P1167)*(I1167-O1167)/(Q1167-O1167))</f>
        <v/>
      </c>
      <c r="T1167" s="31">
        <f>IF(OR(N1167&lt;&gt;"OK",NOT(ISNUMBER(M1167))),"",M1167-S1167)</f>
        <v/>
      </c>
      <c r="U1167" s="49">
        <f>IF(OR(NOT(ISNUMBER(T1167)),IF(ISNUMBER(H1167),H1167,G1167)=0),"",T1167/IF(ISNUMBER(H1167),H1167,G1167))</f>
        <v/>
      </c>
      <c r="V1167" s="49">
        <f>IF(ISNUMBER(U1167),ABS(U1167),"")</f>
        <v/>
      </c>
      <c r="W1167" s="49">
        <f>IF(OR($E1166&lt;&gt;"측정",$C1166&lt;&gt;$C1167,$D1166&lt;&gt;$D1167,NOT(ISNUMBER(M1167)),NOT(ISNUMBER(M1166)),(IF(ISNUMBER(H1167),H1167,G1167)-IF(ISNUMBER(H1166),H1166,G1166))=0),"",(M1167-M1166)/(IF(ISNUMBER(H1167),H1167,G1167)-IF(ISNUMBER(H1166),H1166,G1166)))</f>
        <v/>
      </c>
      <c r="X1167" s="31">
        <f>IF(NOT(AND(ISNUMBER(O1167),ISNUMBER(Q1167))),"",(Q1167-O1167)*1440)</f>
        <v/>
      </c>
      <c r="Y1167" s="29" t="n"/>
      <c r="Z1167" s="29" t="n"/>
      <c r="AA1167" s="29" t="n"/>
      <c r="AB1167" s="32" t="n"/>
      <c r="AC1167" s="32" t="n"/>
    </row>
    <row r="1168">
      <c r="A1168" s="26" t="inlineStr">
        <is>
          <t>S23</t>
        </is>
      </c>
      <c r="B1168" s="26" t="inlineStr">
        <is>
          <t>덕산 신규점1</t>
        </is>
      </c>
      <c r="C1168" s="26" t="inlineStr">
        <is>
          <t>S23-H서</t>
        </is>
      </c>
      <c r="D1168" s="47" t="n">
        <v>1</v>
      </c>
      <c r="E1168" s="26" t="inlineStr">
        <is>
          <t>측정</t>
        </is>
      </c>
      <c r="F1168" s="26" t="inlineStr">
        <is>
          <t>서</t>
        </is>
      </c>
      <c r="G1168" s="31" t="n">
        <v>4</v>
      </c>
      <c r="H1168" s="30" t="n"/>
      <c r="I1168" s="43" t="n"/>
      <c r="J1168" s="41" t="n"/>
      <c r="K1168" s="41" t="n"/>
      <c r="L1168" s="41" t="n"/>
      <c r="M1168" s="31">
        <f>IF(COUNT(J1168:L1168)=0,"",MEDIAN(J1168:L1168))</f>
        <v/>
      </c>
      <c r="N1168" s="26">
        <f>IF(COUNTIFS($C:$C,$C1168,$D:$D,$D1168,$E:$E,"P0(전)",$M:$M,"&gt;0")&lt;&gt;1,"P0(전) 유효 1개 아님",IF(COUNTIFS($C:$C,$C1168,$D:$D,$D1168,$E:$E,"P0(후)",$M:$M,"&gt;0")&lt;&gt;1,"P0(후) 유효 1개 아님",IF(NOT(AND(ISNUMBER(O1168),ISNUMBER(Q1168),ISNUMBER(I1168))),"시각 결측",IF(Q1168&lt;=O1168,"P0 시각 역전",IF(OR(I1168&lt;O1168,I1168&gt;Q1168),"측정시각 구간 밖","OK")))))</f>
        <v/>
      </c>
      <c r="O1168" s="48">
        <f>IF(COUNTIFS($C:$C,$C1168,$D:$D,$D1168,$E:$E,"P0(전)",$M:$M,"&gt;0")&lt;&gt;1,"",SUMIFS($I:$I,$C:$C,$C1168,$D:$D,$D1168,$E:$E,"P0(전)"))</f>
        <v/>
      </c>
      <c r="P1168" s="31">
        <f>IF(COUNTIFS($C:$C,$C1168,$D:$D,$D1168,$E:$E,"P0(전)",$M:$M,"&gt;0")&lt;&gt;1,"",SUMIFS($M:$M,$C:$C,$C1168,$D:$D,$D1168,$E:$E,"P0(전)"))</f>
        <v/>
      </c>
      <c r="Q1168" s="48">
        <f>IF(COUNTIFS($C:$C,$C1168,$D:$D,$D1168,$E:$E,"P0(후)",$M:$M,"&gt;0")&lt;&gt;1,"",SUMIFS($I:$I,$C:$C,$C1168,$D:$D,$D1168,$E:$E,"P0(후)"))</f>
        <v/>
      </c>
      <c r="R1168" s="31">
        <f>IF(COUNTIFS($C:$C,$C1168,$D:$D,$D1168,$E:$E,"P0(후)",$M:$M,"&gt;0")&lt;&gt;1,"",SUMIFS($M:$M,$C:$C,$C1168,$D:$D,$D1168,$E:$E,"P0(후)"))</f>
        <v/>
      </c>
      <c r="S1168" s="31">
        <f>IF(N1168&lt;&gt;"OK","",P1168+(R1168-P1168)*(I1168-O1168)/(Q1168-O1168))</f>
        <v/>
      </c>
      <c r="T1168" s="31">
        <f>IF(OR(N1168&lt;&gt;"OK",NOT(ISNUMBER(M1168))),"",M1168-S1168)</f>
        <v/>
      </c>
      <c r="U1168" s="49">
        <f>IF(OR(NOT(ISNUMBER(T1168)),IF(ISNUMBER(H1168),H1168,G1168)=0),"",T1168/IF(ISNUMBER(H1168),H1168,G1168))</f>
        <v/>
      </c>
      <c r="V1168" s="49">
        <f>IF(ISNUMBER(U1168),ABS(U1168),"")</f>
        <v/>
      </c>
      <c r="W1168" s="49">
        <f>IF(OR($E1167&lt;&gt;"측정",$C1167&lt;&gt;$C1168,$D1167&lt;&gt;$D1168,NOT(ISNUMBER(M1168)),NOT(ISNUMBER(M1167)),(IF(ISNUMBER(H1168),H1168,G1168)-IF(ISNUMBER(H1167),H1167,G1167))=0),"",(M1168-M1167)/(IF(ISNUMBER(H1168),H1168,G1168)-IF(ISNUMBER(H1167),H1167,G1167)))</f>
        <v/>
      </c>
      <c r="X1168" s="31">
        <f>IF(NOT(AND(ISNUMBER(O1168),ISNUMBER(Q1168))),"",(Q1168-O1168)*1440)</f>
        <v/>
      </c>
      <c r="Y1168" s="29" t="n"/>
      <c r="Z1168" s="29" t="n"/>
      <c r="AA1168" s="29" t="n"/>
      <c r="AB1168" s="32" t="n"/>
      <c r="AC1168" s="32" t="n"/>
    </row>
    <row r="1169">
      <c r="A1169" s="26" t="inlineStr">
        <is>
          <t>S23</t>
        </is>
      </c>
      <c r="B1169" s="26" t="inlineStr">
        <is>
          <t>덕산 신규점1</t>
        </is>
      </c>
      <c r="C1169" s="26" t="inlineStr">
        <is>
          <t>S23-H서</t>
        </is>
      </c>
      <c r="D1169" s="47" t="n">
        <v>1</v>
      </c>
      <c r="E1169" s="26" t="inlineStr">
        <is>
          <t>측정</t>
        </is>
      </c>
      <c r="F1169" s="26" t="inlineStr">
        <is>
          <t>서</t>
        </is>
      </c>
      <c r="G1169" s="31" t="n">
        <v>5</v>
      </c>
      <c r="H1169" s="30" t="n"/>
      <c r="I1169" s="43" t="n"/>
      <c r="J1169" s="41" t="n"/>
      <c r="K1169" s="41" t="n"/>
      <c r="L1169" s="41" t="n"/>
      <c r="M1169" s="31">
        <f>IF(COUNT(J1169:L1169)=0,"",MEDIAN(J1169:L1169))</f>
        <v/>
      </c>
      <c r="N1169" s="26">
        <f>IF(COUNTIFS($C:$C,$C1169,$D:$D,$D1169,$E:$E,"P0(전)",$M:$M,"&gt;0")&lt;&gt;1,"P0(전) 유효 1개 아님",IF(COUNTIFS($C:$C,$C1169,$D:$D,$D1169,$E:$E,"P0(후)",$M:$M,"&gt;0")&lt;&gt;1,"P0(후) 유효 1개 아님",IF(NOT(AND(ISNUMBER(O1169),ISNUMBER(Q1169),ISNUMBER(I1169))),"시각 결측",IF(Q1169&lt;=O1169,"P0 시각 역전",IF(OR(I1169&lt;O1169,I1169&gt;Q1169),"측정시각 구간 밖","OK")))))</f>
        <v/>
      </c>
      <c r="O1169" s="48">
        <f>IF(COUNTIFS($C:$C,$C1169,$D:$D,$D1169,$E:$E,"P0(전)",$M:$M,"&gt;0")&lt;&gt;1,"",SUMIFS($I:$I,$C:$C,$C1169,$D:$D,$D1169,$E:$E,"P0(전)"))</f>
        <v/>
      </c>
      <c r="P1169" s="31">
        <f>IF(COUNTIFS($C:$C,$C1169,$D:$D,$D1169,$E:$E,"P0(전)",$M:$M,"&gt;0")&lt;&gt;1,"",SUMIFS($M:$M,$C:$C,$C1169,$D:$D,$D1169,$E:$E,"P0(전)"))</f>
        <v/>
      </c>
      <c r="Q1169" s="48">
        <f>IF(COUNTIFS($C:$C,$C1169,$D:$D,$D1169,$E:$E,"P0(후)",$M:$M,"&gt;0")&lt;&gt;1,"",SUMIFS($I:$I,$C:$C,$C1169,$D:$D,$D1169,$E:$E,"P0(후)"))</f>
        <v/>
      </c>
      <c r="R1169" s="31">
        <f>IF(COUNTIFS($C:$C,$C1169,$D:$D,$D1169,$E:$E,"P0(후)",$M:$M,"&gt;0")&lt;&gt;1,"",SUMIFS($M:$M,$C:$C,$C1169,$D:$D,$D1169,$E:$E,"P0(후)"))</f>
        <v/>
      </c>
      <c r="S1169" s="31">
        <f>IF(N1169&lt;&gt;"OK","",P1169+(R1169-P1169)*(I1169-O1169)/(Q1169-O1169))</f>
        <v/>
      </c>
      <c r="T1169" s="31">
        <f>IF(OR(N1169&lt;&gt;"OK",NOT(ISNUMBER(M1169))),"",M1169-S1169)</f>
        <v/>
      </c>
      <c r="U1169" s="49">
        <f>IF(OR(NOT(ISNUMBER(T1169)),IF(ISNUMBER(H1169),H1169,G1169)=0),"",T1169/IF(ISNUMBER(H1169),H1169,G1169))</f>
        <v/>
      </c>
      <c r="V1169" s="49">
        <f>IF(ISNUMBER(U1169),ABS(U1169),"")</f>
        <v/>
      </c>
      <c r="W1169" s="49">
        <f>IF(OR($E1168&lt;&gt;"측정",$C1168&lt;&gt;$C1169,$D1168&lt;&gt;$D1169,NOT(ISNUMBER(M1169)),NOT(ISNUMBER(M1168)),(IF(ISNUMBER(H1169),H1169,G1169)-IF(ISNUMBER(H1168),H1168,G1168))=0),"",(M1169-M1168)/(IF(ISNUMBER(H1169),H1169,G1169)-IF(ISNUMBER(H1168),H1168,G1168)))</f>
        <v/>
      </c>
      <c r="X1169" s="31">
        <f>IF(NOT(AND(ISNUMBER(O1169),ISNUMBER(Q1169))),"",(Q1169-O1169)*1440)</f>
        <v/>
      </c>
      <c r="Y1169" s="29" t="n"/>
      <c r="Z1169" s="29" t="n"/>
      <c r="AA1169" s="29" t="n"/>
      <c r="AB1169" s="32" t="n"/>
      <c r="AC1169" s="32" t="n"/>
    </row>
    <row r="1170">
      <c r="A1170" s="26" t="inlineStr">
        <is>
          <t>S23</t>
        </is>
      </c>
      <c r="B1170" s="26" t="inlineStr">
        <is>
          <t>덕산 신규점1</t>
        </is>
      </c>
      <c r="C1170" s="26" t="inlineStr">
        <is>
          <t>S23-H서</t>
        </is>
      </c>
      <c r="D1170" s="47" t="n">
        <v>1</v>
      </c>
      <c r="E1170" s="26" t="inlineStr">
        <is>
          <t>측정</t>
        </is>
      </c>
      <c r="F1170" s="26" t="inlineStr">
        <is>
          <t>서</t>
        </is>
      </c>
      <c r="G1170" s="31" t="n">
        <v>6</v>
      </c>
      <c r="H1170" s="30" t="n"/>
      <c r="I1170" s="43" t="n"/>
      <c r="J1170" s="41" t="n"/>
      <c r="K1170" s="41" t="n"/>
      <c r="L1170" s="41" t="n"/>
      <c r="M1170" s="31">
        <f>IF(COUNT(J1170:L1170)=0,"",MEDIAN(J1170:L1170))</f>
        <v/>
      </c>
      <c r="N1170" s="26">
        <f>IF(COUNTIFS($C:$C,$C1170,$D:$D,$D1170,$E:$E,"P0(전)",$M:$M,"&gt;0")&lt;&gt;1,"P0(전) 유효 1개 아님",IF(COUNTIFS($C:$C,$C1170,$D:$D,$D1170,$E:$E,"P0(후)",$M:$M,"&gt;0")&lt;&gt;1,"P0(후) 유효 1개 아님",IF(NOT(AND(ISNUMBER(O1170),ISNUMBER(Q1170),ISNUMBER(I1170))),"시각 결측",IF(Q1170&lt;=O1170,"P0 시각 역전",IF(OR(I1170&lt;O1170,I1170&gt;Q1170),"측정시각 구간 밖","OK")))))</f>
        <v/>
      </c>
      <c r="O1170" s="48">
        <f>IF(COUNTIFS($C:$C,$C1170,$D:$D,$D1170,$E:$E,"P0(전)",$M:$M,"&gt;0")&lt;&gt;1,"",SUMIFS($I:$I,$C:$C,$C1170,$D:$D,$D1170,$E:$E,"P0(전)"))</f>
        <v/>
      </c>
      <c r="P1170" s="31">
        <f>IF(COUNTIFS($C:$C,$C1170,$D:$D,$D1170,$E:$E,"P0(전)",$M:$M,"&gt;0")&lt;&gt;1,"",SUMIFS($M:$M,$C:$C,$C1170,$D:$D,$D1170,$E:$E,"P0(전)"))</f>
        <v/>
      </c>
      <c r="Q1170" s="48">
        <f>IF(COUNTIFS($C:$C,$C1170,$D:$D,$D1170,$E:$E,"P0(후)",$M:$M,"&gt;0")&lt;&gt;1,"",SUMIFS($I:$I,$C:$C,$C1170,$D:$D,$D1170,$E:$E,"P0(후)"))</f>
        <v/>
      </c>
      <c r="R1170" s="31">
        <f>IF(COUNTIFS($C:$C,$C1170,$D:$D,$D1170,$E:$E,"P0(후)",$M:$M,"&gt;0")&lt;&gt;1,"",SUMIFS($M:$M,$C:$C,$C1170,$D:$D,$D1170,$E:$E,"P0(후)"))</f>
        <v/>
      </c>
      <c r="S1170" s="31">
        <f>IF(N1170&lt;&gt;"OK","",P1170+(R1170-P1170)*(I1170-O1170)/(Q1170-O1170))</f>
        <v/>
      </c>
      <c r="T1170" s="31">
        <f>IF(OR(N1170&lt;&gt;"OK",NOT(ISNUMBER(M1170))),"",M1170-S1170)</f>
        <v/>
      </c>
      <c r="U1170" s="49">
        <f>IF(OR(NOT(ISNUMBER(T1170)),IF(ISNUMBER(H1170),H1170,G1170)=0),"",T1170/IF(ISNUMBER(H1170),H1170,G1170))</f>
        <v/>
      </c>
      <c r="V1170" s="49">
        <f>IF(ISNUMBER(U1170),ABS(U1170),"")</f>
        <v/>
      </c>
      <c r="W1170" s="49">
        <f>IF(OR($E1169&lt;&gt;"측정",$C1169&lt;&gt;$C1170,$D1169&lt;&gt;$D1170,NOT(ISNUMBER(M1170)),NOT(ISNUMBER(M1169)),(IF(ISNUMBER(H1170),H1170,G1170)-IF(ISNUMBER(H1169),H1169,G1169))=0),"",(M1170-M1169)/(IF(ISNUMBER(H1170),H1170,G1170)-IF(ISNUMBER(H1169),H1169,G1169)))</f>
        <v/>
      </c>
      <c r="X1170" s="31">
        <f>IF(NOT(AND(ISNUMBER(O1170),ISNUMBER(Q1170))),"",(Q1170-O1170)*1440)</f>
        <v/>
      </c>
      <c r="Y1170" s="29" t="n"/>
      <c r="Z1170" s="29" t="n"/>
      <c r="AA1170" s="29" t="n"/>
      <c r="AB1170" s="32" t="n"/>
      <c r="AC1170" s="32" t="n"/>
    </row>
    <row r="1171">
      <c r="A1171" s="26" t="inlineStr">
        <is>
          <t>S23</t>
        </is>
      </c>
      <c r="B1171" s="26" t="inlineStr">
        <is>
          <t>덕산 신규점1</t>
        </is>
      </c>
      <c r="C1171" s="26" t="inlineStr">
        <is>
          <t>S23-H서</t>
        </is>
      </c>
      <c r="D1171" s="47" t="n">
        <v>1</v>
      </c>
      <c r="E1171" s="26" t="inlineStr">
        <is>
          <t>측정</t>
        </is>
      </c>
      <c r="F1171" s="26" t="inlineStr">
        <is>
          <t>서</t>
        </is>
      </c>
      <c r="G1171" s="31" t="n">
        <v>7</v>
      </c>
      <c r="H1171" s="30" t="n"/>
      <c r="I1171" s="43" t="n"/>
      <c r="J1171" s="41" t="n"/>
      <c r="K1171" s="41" t="n"/>
      <c r="L1171" s="41" t="n"/>
      <c r="M1171" s="31">
        <f>IF(COUNT(J1171:L1171)=0,"",MEDIAN(J1171:L1171))</f>
        <v/>
      </c>
      <c r="N1171" s="26">
        <f>IF(COUNTIFS($C:$C,$C1171,$D:$D,$D1171,$E:$E,"P0(전)",$M:$M,"&gt;0")&lt;&gt;1,"P0(전) 유효 1개 아님",IF(COUNTIFS($C:$C,$C1171,$D:$D,$D1171,$E:$E,"P0(후)",$M:$M,"&gt;0")&lt;&gt;1,"P0(후) 유효 1개 아님",IF(NOT(AND(ISNUMBER(O1171),ISNUMBER(Q1171),ISNUMBER(I1171))),"시각 결측",IF(Q1171&lt;=O1171,"P0 시각 역전",IF(OR(I1171&lt;O1171,I1171&gt;Q1171),"측정시각 구간 밖","OK")))))</f>
        <v/>
      </c>
      <c r="O1171" s="48">
        <f>IF(COUNTIFS($C:$C,$C1171,$D:$D,$D1171,$E:$E,"P0(전)",$M:$M,"&gt;0")&lt;&gt;1,"",SUMIFS($I:$I,$C:$C,$C1171,$D:$D,$D1171,$E:$E,"P0(전)"))</f>
        <v/>
      </c>
      <c r="P1171" s="31">
        <f>IF(COUNTIFS($C:$C,$C1171,$D:$D,$D1171,$E:$E,"P0(전)",$M:$M,"&gt;0")&lt;&gt;1,"",SUMIFS($M:$M,$C:$C,$C1171,$D:$D,$D1171,$E:$E,"P0(전)"))</f>
        <v/>
      </c>
      <c r="Q1171" s="48">
        <f>IF(COUNTIFS($C:$C,$C1171,$D:$D,$D1171,$E:$E,"P0(후)",$M:$M,"&gt;0")&lt;&gt;1,"",SUMIFS($I:$I,$C:$C,$C1171,$D:$D,$D1171,$E:$E,"P0(후)"))</f>
        <v/>
      </c>
      <c r="R1171" s="31">
        <f>IF(COUNTIFS($C:$C,$C1171,$D:$D,$D1171,$E:$E,"P0(후)",$M:$M,"&gt;0")&lt;&gt;1,"",SUMIFS($M:$M,$C:$C,$C1171,$D:$D,$D1171,$E:$E,"P0(후)"))</f>
        <v/>
      </c>
      <c r="S1171" s="31">
        <f>IF(N1171&lt;&gt;"OK","",P1171+(R1171-P1171)*(I1171-O1171)/(Q1171-O1171))</f>
        <v/>
      </c>
      <c r="T1171" s="31">
        <f>IF(OR(N1171&lt;&gt;"OK",NOT(ISNUMBER(M1171))),"",M1171-S1171)</f>
        <v/>
      </c>
      <c r="U1171" s="49">
        <f>IF(OR(NOT(ISNUMBER(T1171)),IF(ISNUMBER(H1171),H1171,G1171)=0),"",T1171/IF(ISNUMBER(H1171),H1171,G1171))</f>
        <v/>
      </c>
      <c r="V1171" s="49">
        <f>IF(ISNUMBER(U1171),ABS(U1171),"")</f>
        <v/>
      </c>
      <c r="W1171" s="49">
        <f>IF(OR($E1170&lt;&gt;"측정",$C1170&lt;&gt;$C1171,$D1170&lt;&gt;$D1171,NOT(ISNUMBER(M1171)),NOT(ISNUMBER(M1170)),(IF(ISNUMBER(H1171),H1171,G1171)-IF(ISNUMBER(H1170),H1170,G1170))=0),"",(M1171-M1170)/(IF(ISNUMBER(H1171),H1171,G1171)-IF(ISNUMBER(H1170),H1170,G1170)))</f>
        <v/>
      </c>
      <c r="X1171" s="31">
        <f>IF(NOT(AND(ISNUMBER(O1171),ISNUMBER(Q1171))),"",(Q1171-O1171)*1440)</f>
        <v/>
      </c>
      <c r="Y1171" s="29" t="n"/>
      <c r="Z1171" s="29" t="n"/>
      <c r="AA1171" s="29" t="n"/>
      <c r="AB1171" s="32" t="n"/>
      <c r="AC1171" s="32" t="n"/>
    </row>
    <row r="1172">
      <c r="A1172" s="26" t="inlineStr">
        <is>
          <t>S23</t>
        </is>
      </c>
      <c r="B1172" s="26" t="inlineStr">
        <is>
          <t>덕산 신규점1</t>
        </is>
      </c>
      <c r="C1172" s="26" t="inlineStr">
        <is>
          <t>S23-H서</t>
        </is>
      </c>
      <c r="D1172" s="47" t="n">
        <v>1</v>
      </c>
      <c r="E1172" s="26" t="inlineStr">
        <is>
          <t>측정</t>
        </is>
      </c>
      <c r="F1172" s="26" t="inlineStr">
        <is>
          <t>서</t>
        </is>
      </c>
      <c r="G1172" s="31" t="n">
        <v>8</v>
      </c>
      <c r="H1172" s="30" t="n"/>
      <c r="I1172" s="43" t="n"/>
      <c r="J1172" s="41" t="n"/>
      <c r="K1172" s="41" t="n"/>
      <c r="L1172" s="41" t="n"/>
      <c r="M1172" s="31">
        <f>IF(COUNT(J1172:L1172)=0,"",MEDIAN(J1172:L1172))</f>
        <v/>
      </c>
      <c r="N1172" s="26">
        <f>IF(COUNTIFS($C:$C,$C1172,$D:$D,$D1172,$E:$E,"P0(전)",$M:$M,"&gt;0")&lt;&gt;1,"P0(전) 유효 1개 아님",IF(COUNTIFS($C:$C,$C1172,$D:$D,$D1172,$E:$E,"P0(후)",$M:$M,"&gt;0")&lt;&gt;1,"P0(후) 유효 1개 아님",IF(NOT(AND(ISNUMBER(O1172),ISNUMBER(Q1172),ISNUMBER(I1172))),"시각 결측",IF(Q1172&lt;=O1172,"P0 시각 역전",IF(OR(I1172&lt;O1172,I1172&gt;Q1172),"측정시각 구간 밖","OK")))))</f>
        <v/>
      </c>
      <c r="O1172" s="48">
        <f>IF(COUNTIFS($C:$C,$C1172,$D:$D,$D1172,$E:$E,"P0(전)",$M:$M,"&gt;0")&lt;&gt;1,"",SUMIFS($I:$I,$C:$C,$C1172,$D:$D,$D1172,$E:$E,"P0(전)"))</f>
        <v/>
      </c>
      <c r="P1172" s="31">
        <f>IF(COUNTIFS($C:$C,$C1172,$D:$D,$D1172,$E:$E,"P0(전)",$M:$M,"&gt;0")&lt;&gt;1,"",SUMIFS($M:$M,$C:$C,$C1172,$D:$D,$D1172,$E:$E,"P0(전)"))</f>
        <v/>
      </c>
      <c r="Q1172" s="48">
        <f>IF(COUNTIFS($C:$C,$C1172,$D:$D,$D1172,$E:$E,"P0(후)",$M:$M,"&gt;0")&lt;&gt;1,"",SUMIFS($I:$I,$C:$C,$C1172,$D:$D,$D1172,$E:$E,"P0(후)"))</f>
        <v/>
      </c>
      <c r="R1172" s="31">
        <f>IF(COUNTIFS($C:$C,$C1172,$D:$D,$D1172,$E:$E,"P0(후)",$M:$M,"&gt;0")&lt;&gt;1,"",SUMIFS($M:$M,$C:$C,$C1172,$D:$D,$D1172,$E:$E,"P0(후)"))</f>
        <v/>
      </c>
      <c r="S1172" s="31">
        <f>IF(N1172&lt;&gt;"OK","",P1172+(R1172-P1172)*(I1172-O1172)/(Q1172-O1172))</f>
        <v/>
      </c>
      <c r="T1172" s="31">
        <f>IF(OR(N1172&lt;&gt;"OK",NOT(ISNUMBER(M1172))),"",M1172-S1172)</f>
        <v/>
      </c>
      <c r="U1172" s="49">
        <f>IF(OR(NOT(ISNUMBER(T1172)),IF(ISNUMBER(H1172),H1172,G1172)=0),"",T1172/IF(ISNUMBER(H1172),H1172,G1172))</f>
        <v/>
      </c>
      <c r="V1172" s="49">
        <f>IF(ISNUMBER(U1172),ABS(U1172),"")</f>
        <v/>
      </c>
      <c r="W1172" s="49">
        <f>IF(OR($E1171&lt;&gt;"측정",$C1171&lt;&gt;$C1172,$D1171&lt;&gt;$D1172,NOT(ISNUMBER(M1172)),NOT(ISNUMBER(M1171)),(IF(ISNUMBER(H1172),H1172,G1172)-IF(ISNUMBER(H1171),H1171,G1171))=0),"",(M1172-M1171)/(IF(ISNUMBER(H1172),H1172,G1172)-IF(ISNUMBER(H1171),H1171,G1171)))</f>
        <v/>
      </c>
      <c r="X1172" s="31">
        <f>IF(NOT(AND(ISNUMBER(O1172),ISNUMBER(Q1172))),"",(Q1172-O1172)*1440)</f>
        <v/>
      </c>
      <c r="Y1172" s="29" t="n"/>
      <c r="Z1172" s="29" t="n"/>
      <c r="AA1172" s="29" t="n"/>
      <c r="AB1172" s="32" t="n"/>
      <c r="AC1172" s="32" t="n"/>
    </row>
    <row r="1173">
      <c r="A1173" s="26" t="inlineStr">
        <is>
          <t>S23</t>
        </is>
      </c>
      <c r="B1173" s="26" t="inlineStr">
        <is>
          <t>덕산 신규점1</t>
        </is>
      </c>
      <c r="C1173" s="26" t="inlineStr">
        <is>
          <t>S23-H서</t>
        </is>
      </c>
      <c r="D1173" s="47" t="n">
        <v>1</v>
      </c>
      <c r="E1173" s="26" t="inlineStr">
        <is>
          <t>측정</t>
        </is>
      </c>
      <c r="F1173" s="26" t="inlineStr">
        <is>
          <t>서</t>
        </is>
      </c>
      <c r="G1173" s="31" t="n">
        <v>9</v>
      </c>
      <c r="H1173" s="30" t="n"/>
      <c r="I1173" s="43" t="n"/>
      <c r="J1173" s="41" t="n"/>
      <c r="K1173" s="41" t="n"/>
      <c r="L1173" s="41" t="n"/>
      <c r="M1173" s="31">
        <f>IF(COUNT(J1173:L1173)=0,"",MEDIAN(J1173:L1173))</f>
        <v/>
      </c>
      <c r="N1173" s="26">
        <f>IF(COUNTIFS($C:$C,$C1173,$D:$D,$D1173,$E:$E,"P0(전)",$M:$M,"&gt;0")&lt;&gt;1,"P0(전) 유효 1개 아님",IF(COUNTIFS($C:$C,$C1173,$D:$D,$D1173,$E:$E,"P0(후)",$M:$M,"&gt;0")&lt;&gt;1,"P0(후) 유효 1개 아님",IF(NOT(AND(ISNUMBER(O1173),ISNUMBER(Q1173),ISNUMBER(I1173))),"시각 결측",IF(Q1173&lt;=O1173,"P0 시각 역전",IF(OR(I1173&lt;O1173,I1173&gt;Q1173),"측정시각 구간 밖","OK")))))</f>
        <v/>
      </c>
      <c r="O1173" s="48">
        <f>IF(COUNTIFS($C:$C,$C1173,$D:$D,$D1173,$E:$E,"P0(전)",$M:$M,"&gt;0")&lt;&gt;1,"",SUMIFS($I:$I,$C:$C,$C1173,$D:$D,$D1173,$E:$E,"P0(전)"))</f>
        <v/>
      </c>
      <c r="P1173" s="31">
        <f>IF(COUNTIFS($C:$C,$C1173,$D:$D,$D1173,$E:$E,"P0(전)",$M:$M,"&gt;0")&lt;&gt;1,"",SUMIFS($M:$M,$C:$C,$C1173,$D:$D,$D1173,$E:$E,"P0(전)"))</f>
        <v/>
      </c>
      <c r="Q1173" s="48">
        <f>IF(COUNTIFS($C:$C,$C1173,$D:$D,$D1173,$E:$E,"P0(후)",$M:$M,"&gt;0")&lt;&gt;1,"",SUMIFS($I:$I,$C:$C,$C1173,$D:$D,$D1173,$E:$E,"P0(후)"))</f>
        <v/>
      </c>
      <c r="R1173" s="31">
        <f>IF(COUNTIFS($C:$C,$C1173,$D:$D,$D1173,$E:$E,"P0(후)",$M:$M,"&gt;0")&lt;&gt;1,"",SUMIFS($M:$M,$C:$C,$C1173,$D:$D,$D1173,$E:$E,"P0(후)"))</f>
        <v/>
      </c>
      <c r="S1173" s="31">
        <f>IF(N1173&lt;&gt;"OK","",P1173+(R1173-P1173)*(I1173-O1173)/(Q1173-O1173))</f>
        <v/>
      </c>
      <c r="T1173" s="31">
        <f>IF(OR(N1173&lt;&gt;"OK",NOT(ISNUMBER(M1173))),"",M1173-S1173)</f>
        <v/>
      </c>
      <c r="U1173" s="49">
        <f>IF(OR(NOT(ISNUMBER(T1173)),IF(ISNUMBER(H1173),H1173,G1173)=0),"",T1173/IF(ISNUMBER(H1173),H1173,G1173))</f>
        <v/>
      </c>
      <c r="V1173" s="49">
        <f>IF(ISNUMBER(U1173),ABS(U1173),"")</f>
        <v/>
      </c>
      <c r="W1173" s="49">
        <f>IF(OR($E1172&lt;&gt;"측정",$C1172&lt;&gt;$C1173,$D1172&lt;&gt;$D1173,NOT(ISNUMBER(M1173)),NOT(ISNUMBER(M1172)),(IF(ISNUMBER(H1173),H1173,G1173)-IF(ISNUMBER(H1172),H1172,G1172))=0),"",(M1173-M1172)/(IF(ISNUMBER(H1173),H1173,G1173)-IF(ISNUMBER(H1172),H1172,G1172)))</f>
        <v/>
      </c>
      <c r="X1173" s="31">
        <f>IF(NOT(AND(ISNUMBER(O1173),ISNUMBER(Q1173))),"",(Q1173-O1173)*1440)</f>
        <v/>
      </c>
      <c r="Y1173" s="29" t="n"/>
      <c r="Z1173" s="29" t="n"/>
      <c r="AA1173" s="29" t="n"/>
      <c r="AB1173" s="32" t="n"/>
      <c r="AC1173" s="32" t="n"/>
    </row>
    <row r="1174">
      <c r="A1174" s="26" t="inlineStr">
        <is>
          <t>S23</t>
        </is>
      </c>
      <c r="B1174" s="26" t="inlineStr">
        <is>
          <t>덕산 신규점1</t>
        </is>
      </c>
      <c r="C1174" s="26" t="inlineStr">
        <is>
          <t>S23-H서</t>
        </is>
      </c>
      <c r="D1174" s="47" t="n">
        <v>1</v>
      </c>
      <c r="E1174" s="26" t="inlineStr">
        <is>
          <t>측정</t>
        </is>
      </c>
      <c r="F1174" s="26" t="inlineStr">
        <is>
          <t>서</t>
        </is>
      </c>
      <c r="G1174" s="31" t="n">
        <v>10</v>
      </c>
      <c r="H1174" s="30" t="n"/>
      <c r="I1174" s="43" t="n"/>
      <c r="J1174" s="41" t="n"/>
      <c r="K1174" s="41" t="n"/>
      <c r="L1174" s="41" t="n"/>
      <c r="M1174" s="31">
        <f>IF(COUNT(J1174:L1174)=0,"",MEDIAN(J1174:L1174))</f>
        <v/>
      </c>
      <c r="N1174" s="26">
        <f>IF(COUNTIFS($C:$C,$C1174,$D:$D,$D1174,$E:$E,"P0(전)",$M:$M,"&gt;0")&lt;&gt;1,"P0(전) 유효 1개 아님",IF(COUNTIFS($C:$C,$C1174,$D:$D,$D1174,$E:$E,"P0(후)",$M:$M,"&gt;0")&lt;&gt;1,"P0(후) 유효 1개 아님",IF(NOT(AND(ISNUMBER(O1174),ISNUMBER(Q1174),ISNUMBER(I1174))),"시각 결측",IF(Q1174&lt;=O1174,"P0 시각 역전",IF(OR(I1174&lt;O1174,I1174&gt;Q1174),"측정시각 구간 밖","OK")))))</f>
        <v/>
      </c>
      <c r="O1174" s="48">
        <f>IF(COUNTIFS($C:$C,$C1174,$D:$D,$D1174,$E:$E,"P0(전)",$M:$M,"&gt;0")&lt;&gt;1,"",SUMIFS($I:$I,$C:$C,$C1174,$D:$D,$D1174,$E:$E,"P0(전)"))</f>
        <v/>
      </c>
      <c r="P1174" s="31">
        <f>IF(COUNTIFS($C:$C,$C1174,$D:$D,$D1174,$E:$E,"P0(전)",$M:$M,"&gt;0")&lt;&gt;1,"",SUMIFS($M:$M,$C:$C,$C1174,$D:$D,$D1174,$E:$E,"P0(전)"))</f>
        <v/>
      </c>
      <c r="Q1174" s="48">
        <f>IF(COUNTIFS($C:$C,$C1174,$D:$D,$D1174,$E:$E,"P0(후)",$M:$M,"&gt;0")&lt;&gt;1,"",SUMIFS($I:$I,$C:$C,$C1174,$D:$D,$D1174,$E:$E,"P0(후)"))</f>
        <v/>
      </c>
      <c r="R1174" s="31">
        <f>IF(COUNTIFS($C:$C,$C1174,$D:$D,$D1174,$E:$E,"P0(후)",$M:$M,"&gt;0")&lt;&gt;1,"",SUMIFS($M:$M,$C:$C,$C1174,$D:$D,$D1174,$E:$E,"P0(후)"))</f>
        <v/>
      </c>
      <c r="S1174" s="31">
        <f>IF(N1174&lt;&gt;"OK","",P1174+(R1174-P1174)*(I1174-O1174)/(Q1174-O1174))</f>
        <v/>
      </c>
      <c r="T1174" s="31">
        <f>IF(OR(N1174&lt;&gt;"OK",NOT(ISNUMBER(M1174))),"",M1174-S1174)</f>
        <v/>
      </c>
      <c r="U1174" s="49">
        <f>IF(OR(NOT(ISNUMBER(T1174)),IF(ISNUMBER(H1174),H1174,G1174)=0),"",T1174/IF(ISNUMBER(H1174),H1174,G1174))</f>
        <v/>
      </c>
      <c r="V1174" s="49">
        <f>IF(ISNUMBER(U1174),ABS(U1174),"")</f>
        <v/>
      </c>
      <c r="W1174" s="49">
        <f>IF(OR($E1173&lt;&gt;"측정",$C1173&lt;&gt;$C1174,$D1173&lt;&gt;$D1174,NOT(ISNUMBER(M1174)),NOT(ISNUMBER(M1173)),(IF(ISNUMBER(H1174),H1174,G1174)-IF(ISNUMBER(H1173),H1173,G1173))=0),"",(M1174-M1173)/(IF(ISNUMBER(H1174),H1174,G1174)-IF(ISNUMBER(H1173),H1173,G1173)))</f>
        <v/>
      </c>
      <c r="X1174" s="31">
        <f>IF(NOT(AND(ISNUMBER(O1174),ISNUMBER(Q1174))),"",(Q1174-O1174)*1440)</f>
        <v/>
      </c>
      <c r="Y1174" s="29" t="n"/>
      <c r="Z1174" s="29" t="n"/>
      <c r="AA1174" s="29" t="n"/>
      <c r="AB1174" s="32" t="n"/>
      <c r="AC1174" s="32" t="n"/>
    </row>
    <row r="1175">
      <c r="A1175" s="44" t="inlineStr">
        <is>
          <t>S23</t>
        </is>
      </c>
      <c r="B1175" s="44" t="inlineStr">
        <is>
          <t>덕산 신규점1</t>
        </is>
      </c>
      <c r="C1175" s="44" t="inlineStr">
        <is>
          <t>S23-H서</t>
        </is>
      </c>
      <c r="D1175" s="45" t="n">
        <v>1</v>
      </c>
      <c r="E1175" s="44" t="inlineStr">
        <is>
          <t>P0(후)</t>
        </is>
      </c>
      <c r="F1175" s="44" t="inlineStr">
        <is>
          <t>서</t>
        </is>
      </c>
      <c r="G1175" s="46" t="n"/>
      <c r="H1175" s="30" t="n"/>
      <c r="I1175" s="43" t="n"/>
      <c r="J1175" s="41" t="n"/>
      <c r="K1175" s="41" t="n"/>
      <c r="L1175" s="41" t="n"/>
      <c r="M1175" s="31">
        <f>IF(COUNT(J1175:L1175)=0,"",MEDIAN(J1175:L1175))</f>
        <v/>
      </c>
      <c r="N1175" s="38" t="n"/>
      <c r="O1175" s="38" t="n"/>
      <c r="P1175" s="38" t="n"/>
      <c r="Q1175" s="38" t="n"/>
      <c r="R1175" s="38" t="n"/>
      <c r="S1175" s="38" t="n"/>
      <c r="T1175" s="38" t="n"/>
      <c r="U1175" s="38" t="n"/>
      <c r="V1175" s="38" t="n"/>
      <c r="W1175" s="38" t="n"/>
      <c r="X1175" s="38" t="n"/>
      <c r="Y1175" s="29" t="n"/>
      <c r="Z1175" s="29" t="n"/>
      <c r="AA1175" s="29" t="n"/>
      <c r="AB1175" s="32" t="n"/>
      <c r="AC1175" s="32" t="n"/>
    </row>
    <row r="1176">
      <c r="A1176" s="44" t="inlineStr">
        <is>
          <t>S23</t>
        </is>
      </c>
      <c r="B1176" s="44" t="inlineStr">
        <is>
          <t>덕산 신규점1</t>
        </is>
      </c>
      <c r="C1176" s="44" t="inlineStr">
        <is>
          <t>S23-H남</t>
        </is>
      </c>
      <c r="D1176" s="45" t="n">
        <v>1</v>
      </c>
      <c r="E1176" s="44" t="inlineStr">
        <is>
          <t>P0(전)</t>
        </is>
      </c>
      <c r="F1176" s="44" t="inlineStr">
        <is>
          <t>남</t>
        </is>
      </c>
      <c r="G1176" s="46" t="n"/>
      <c r="H1176" s="30" t="n"/>
      <c r="I1176" s="43" t="n"/>
      <c r="J1176" s="41" t="n"/>
      <c r="K1176" s="41" t="n"/>
      <c r="L1176" s="41" t="n"/>
      <c r="M1176" s="31">
        <f>IF(COUNT(J1176:L1176)=0,"",MEDIAN(J1176:L1176))</f>
        <v/>
      </c>
      <c r="N1176" s="38" t="n"/>
      <c r="O1176" s="38" t="n"/>
      <c r="P1176" s="38" t="n"/>
      <c r="Q1176" s="38" t="n"/>
      <c r="R1176" s="38" t="n"/>
      <c r="S1176" s="38" t="n"/>
      <c r="T1176" s="38" t="n"/>
      <c r="U1176" s="38" t="n"/>
      <c r="V1176" s="38" t="n"/>
      <c r="W1176" s="38" t="n"/>
      <c r="X1176" s="38" t="n"/>
      <c r="Y1176" s="29" t="n"/>
      <c r="Z1176" s="29" t="n"/>
      <c r="AA1176" s="29" t="n"/>
      <c r="AB1176" s="32" t="n"/>
      <c r="AC1176" s="32" t="n"/>
    </row>
    <row r="1177">
      <c r="A1177" s="26" t="inlineStr">
        <is>
          <t>S23</t>
        </is>
      </c>
      <c r="B1177" s="26" t="inlineStr">
        <is>
          <t>덕산 신규점1</t>
        </is>
      </c>
      <c r="C1177" s="26" t="inlineStr">
        <is>
          <t>S23-H남</t>
        </is>
      </c>
      <c r="D1177" s="47" t="n">
        <v>1</v>
      </c>
      <c r="E1177" s="26" t="inlineStr">
        <is>
          <t>측정</t>
        </is>
      </c>
      <c r="F1177" s="26" t="inlineStr">
        <is>
          <t>남</t>
        </is>
      </c>
      <c r="G1177" s="31" t="n">
        <v>0.5</v>
      </c>
      <c r="H1177" s="30" t="n"/>
      <c r="I1177" s="43" t="n"/>
      <c r="J1177" s="41" t="n"/>
      <c r="K1177" s="41" t="n"/>
      <c r="L1177" s="41" t="n"/>
      <c r="M1177" s="31">
        <f>IF(COUNT(J1177:L1177)=0,"",MEDIAN(J1177:L1177))</f>
        <v/>
      </c>
      <c r="N1177" s="26">
        <f>IF(COUNTIFS($C:$C,$C1177,$D:$D,$D1177,$E:$E,"P0(전)",$M:$M,"&gt;0")&lt;&gt;1,"P0(전) 유효 1개 아님",IF(COUNTIFS($C:$C,$C1177,$D:$D,$D1177,$E:$E,"P0(후)",$M:$M,"&gt;0")&lt;&gt;1,"P0(후) 유효 1개 아님",IF(NOT(AND(ISNUMBER(O1177),ISNUMBER(Q1177),ISNUMBER(I1177))),"시각 결측",IF(Q1177&lt;=O1177,"P0 시각 역전",IF(OR(I1177&lt;O1177,I1177&gt;Q1177),"측정시각 구간 밖","OK")))))</f>
        <v/>
      </c>
      <c r="O1177" s="48">
        <f>IF(COUNTIFS($C:$C,$C1177,$D:$D,$D1177,$E:$E,"P0(전)",$M:$M,"&gt;0")&lt;&gt;1,"",SUMIFS($I:$I,$C:$C,$C1177,$D:$D,$D1177,$E:$E,"P0(전)"))</f>
        <v/>
      </c>
      <c r="P1177" s="31">
        <f>IF(COUNTIFS($C:$C,$C1177,$D:$D,$D1177,$E:$E,"P0(전)",$M:$M,"&gt;0")&lt;&gt;1,"",SUMIFS($M:$M,$C:$C,$C1177,$D:$D,$D1177,$E:$E,"P0(전)"))</f>
        <v/>
      </c>
      <c r="Q1177" s="48">
        <f>IF(COUNTIFS($C:$C,$C1177,$D:$D,$D1177,$E:$E,"P0(후)",$M:$M,"&gt;0")&lt;&gt;1,"",SUMIFS($I:$I,$C:$C,$C1177,$D:$D,$D1177,$E:$E,"P0(후)"))</f>
        <v/>
      </c>
      <c r="R1177" s="31">
        <f>IF(COUNTIFS($C:$C,$C1177,$D:$D,$D1177,$E:$E,"P0(후)",$M:$M,"&gt;0")&lt;&gt;1,"",SUMIFS($M:$M,$C:$C,$C1177,$D:$D,$D1177,$E:$E,"P0(후)"))</f>
        <v/>
      </c>
      <c r="S1177" s="31">
        <f>IF(N1177&lt;&gt;"OK","",P1177+(R1177-P1177)*(I1177-O1177)/(Q1177-O1177))</f>
        <v/>
      </c>
      <c r="T1177" s="31">
        <f>IF(OR(N1177&lt;&gt;"OK",NOT(ISNUMBER(M1177))),"",M1177-S1177)</f>
        <v/>
      </c>
      <c r="U1177" s="49">
        <f>IF(OR(NOT(ISNUMBER(T1177)),IF(ISNUMBER(H1177),H1177,G1177)=0),"",T1177/IF(ISNUMBER(H1177),H1177,G1177))</f>
        <v/>
      </c>
      <c r="V1177" s="49">
        <f>IF(ISNUMBER(U1177),ABS(U1177),"")</f>
        <v/>
      </c>
      <c r="W1177" s="49">
        <f>IF(OR($E1176&lt;&gt;"측정",$C1176&lt;&gt;$C1177,$D1176&lt;&gt;$D1177,NOT(ISNUMBER(M1177)),NOT(ISNUMBER(M1176)),(IF(ISNUMBER(H1177),H1177,G1177)-IF(ISNUMBER(H1176),H1176,G1176))=0),"",(M1177-M1176)/(IF(ISNUMBER(H1177),H1177,G1177)-IF(ISNUMBER(H1176),H1176,G1176)))</f>
        <v/>
      </c>
      <c r="X1177" s="31">
        <f>IF(NOT(AND(ISNUMBER(O1177),ISNUMBER(Q1177))),"",(Q1177-O1177)*1440)</f>
        <v/>
      </c>
      <c r="Y1177" s="29" t="n"/>
      <c r="Z1177" s="29" t="n"/>
      <c r="AA1177" s="29" t="n"/>
      <c r="AB1177" s="32" t="n"/>
      <c r="AC1177" s="32" t="n"/>
    </row>
    <row r="1178">
      <c r="A1178" s="26" t="inlineStr">
        <is>
          <t>S23</t>
        </is>
      </c>
      <c r="B1178" s="26" t="inlineStr">
        <is>
          <t>덕산 신규점1</t>
        </is>
      </c>
      <c r="C1178" s="26" t="inlineStr">
        <is>
          <t>S23-H남</t>
        </is>
      </c>
      <c r="D1178" s="47" t="n">
        <v>1</v>
      </c>
      <c r="E1178" s="26" t="inlineStr">
        <is>
          <t>측정</t>
        </is>
      </c>
      <c r="F1178" s="26" t="inlineStr">
        <is>
          <t>남</t>
        </is>
      </c>
      <c r="G1178" s="31" t="n">
        <v>1</v>
      </c>
      <c r="H1178" s="30" t="n"/>
      <c r="I1178" s="43" t="n"/>
      <c r="J1178" s="41" t="n"/>
      <c r="K1178" s="41" t="n"/>
      <c r="L1178" s="41" t="n"/>
      <c r="M1178" s="31">
        <f>IF(COUNT(J1178:L1178)=0,"",MEDIAN(J1178:L1178))</f>
        <v/>
      </c>
      <c r="N1178" s="26">
        <f>IF(COUNTIFS($C:$C,$C1178,$D:$D,$D1178,$E:$E,"P0(전)",$M:$M,"&gt;0")&lt;&gt;1,"P0(전) 유효 1개 아님",IF(COUNTIFS($C:$C,$C1178,$D:$D,$D1178,$E:$E,"P0(후)",$M:$M,"&gt;0")&lt;&gt;1,"P0(후) 유효 1개 아님",IF(NOT(AND(ISNUMBER(O1178),ISNUMBER(Q1178),ISNUMBER(I1178))),"시각 결측",IF(Q1178&lt;=O1178,"P0 시각 역전",IF(OR(I1178&lt;O1178,I1178&gt;Q1178),"측정시각 구간 밖","OK")))))</f>
        <v/>
      </c>
      <c r="O1178" s="48">
        <f>IF(COUNTIFS($C:$C,$C1178,$D:$D,$D1178,$E:$E,"P0(전)",$M:$M,"&gt;0")&lt;&gt;1,"",SUMIFS($I:$I,$C:$C,$C1178,$D:$D,$D1178,$E:$E,"P0(전)"))</f>
        <v/>
      </c>
      <c r="P1178" s="31">
        <f>IF(COUNTIFS($C:$C,$C1178,$D:$D,$D1178,$E:$E,"P0(전)",$M:$M,"&gt;0")&lt;&gt;1,"",SUMIFS($M:$M,$C:$C,$C1178,$D:$D,$D1178,$E:$E,"P0(전)"))</f>
        <v/>
      </c>
      <c r="Q1178" s="48">
        <f>IF(COUNTIFS($C:$C,$C1178,$D:$D,$D1178,$E:$E,"P0(후)",$M:$M,"&gt;0")&lt;&gt;1,"",SUMIFS($I:$I,$C:$C,$C1178,$D:$D,$D1178,$E:$E,"P0(후)"))</f>
        <v/>
      </c>
      <c r="R1178" s="31">
        <f>IF(COUNTIFS($C:$C,$C1178,$D:$D,$D1178,$E:$E,"P0(후)",$M:$M,"&gt;0")&lt;&gt;1,"",SUMIFS($M:$M,$C:$C,$C1178,$D:$D,$D1178,$E:$E,"P0(후)"))</f>
        <v/>
      </c>
      <c r="S1178" s="31">
        <f>IF(N1178&lt;&gt;"OK","",P1178+(R1178-P1178)*(I1178-O1178)/(Q1178-O1178))</f>
        <v/>
      </c>
      <c r="T1178" s="31">
        <f>IF(OR(N1178&lt;&gt;"OK",NOT(ISNUMBER(M1178))),"",M1178-S1178)</f>
        <v/>
      </c>
      <c r="U1178" s="49">
        <f>IF(OR(NOT(ISNUMBER(T1178)),IF(ISNUMBER(H1178),H1178,G1178)=0),"",T1178/IF(ISNUMBER(H1178),H1178,G1178))</f>
        <v/>
      </c>
      <c r="V1178" s="49">
        <f>IF(ISNUMBER(U1178),ABS(U1178),"")</f>
        <v/>
      </c>
      <c r="W1178" s="49">
        <f>IF(OR($E1177&lt;&gt;"측정",$C1177&lt;&gt;$C1178,$D1177&lt;&gt;$D1178,NOT(ISNUMBER(M1178)),NOT(ISNUMBER(M1177)),(IF(ISNUMBER(H1178),H1178,G1178)-IF(ISNUMBER(H1177),H1177,G1177))=0),"",(M1178-M1177)/(IF(ISNUMBER(H1178),H1178,G1178)-IF(ISNUMBER(H1177),H1177,G1177)))</f>
        <v/>
      </c>
      <c r="X1178" s="31">
        <f>IF(NOT(AND(ISNUMBER(O1178),ISNUMBER(Q1178))),"",(Q1178-O1178)*1440)</f>
        <v/>
      </c>
      <c r="Y1178" s="29" t="n"/>
      <c r="Z1178" s="29" t="n"/>
      <c r="AA1178" s="29" t="n"/>
      <c r="AB1178" s="32" t="n"/>
      <c r="AC1178" s="32" t="n"/>
    </row>
    <row r="1179">
      <c r="A1179" s="26" t="inlineStr">
        <is>
          <t>S23</t>
        </is>
      </c>
      <c r="B1179" s="26" t="inlineStr">
        <is>
          <t>덕산 신규점1</t>
        </is>
      </c>
      <c r="C1179" s="26" t="inlineStr">
        <is>
          <t>S23-H남</t>
        </is>
      </c>
      <c r="D1179" s="47" t="n">
        <v>1</v>
      </c>
      <c r="E1179" s="26" t="inlineStr">
        <is>
          <t>측정</t>
        </is>
      </c>
      <c r="F1179" s="26" t="inlineStr">
        <is>
          <t>남</t>
        </is>
      </c>
      <c r="G1179" s="31" t="n">
        <v>2</v>
      </c>
      <c r="H1179" s="30" t="n"/>
      <c r="I1179" s="43" t="n"/>
      <c r="J1179" s="41" t="n"/>
      <c r="K1179" s="41" t="n"/>
      <c r="L1179" s="41" t="n"/>
      <c r="M1179" s="31">
        <f>IF(COUNT(J1179:L1179)=0,"",MEDIAN(J1179:L1179))</f>
        <v/>
      </c>
      <c r="N1179" s="26">
        <f>IF(COUNTIFS($C:$C,$C1179,$D:$D,$D1179,$E:$E,"P0(전)",$M:$M,"&gt;0")&lt;&gt;1,"P0(전) 유효 1개 아님",IF(COUNTIFS($C:$C,$C1179,$D:$D,$D1179,$E:$E,"P0(후)",$M:$M,"&gt;0")&lt;&gt;1,"P0(후) 유효 1개 아님",IF(NOT(AND(ISNUMBER(O1179),ISNUMBER(Q1179),ISNUMBER(I1179))),"시각 결측",IF(Q1179&lt;=O1179,"P0 시각 역전",IF(OR(I1179&lt;O1179,I1179&gt;Q1179),"측정시각 구간 밖","OK")))))</f>
        <v/>
      </c>
      <c r="O1179" s="48">
        <f>IF(COUNTIFS($C:$C,$C1179,$D:$D,$D1179,$E:$E,"P0(전)",$M:$M,"&gt;0")&lt;&gt;1,"",SUMIFS($I:$I,$C:$C,$C1179,$D:$D,$D1179,$E:$E,"P0(전)"))</f>
        <v/>
      </c>
      <c r="P1179" s="31">
        <f>IF(COUNTIFS($C:$C,$C1179,$D:$D,$D1179,$E:$E,"P0(전)",$M:$M,"&gt;0")&lt;&gt;1,"",SUMIFS($M:$M,$C:$C,$C1179,$D:$D,$D1179,$E:$E,"P0(전)"))</f>
        <v/>
      </c>
      <c r="Q1179" s="48">
        <f>IF(COUNTIFS($C:$C,$C1179,$D:$D,$D1179,$E:$E,"P0(후)",$M:$M,"&gt;0")&lt;&gt;1,"",SUMIFS($I:$I,$C:$C,$C1179,$D:$D,$D1179,$E:$E,"P0(후)"))</f>
        <v/>
      </c>
      <c r="R1179" s="31">
        <f>IF(COUNTIFS($C:$C,$C1179,$D:$D,$D1179,$E:$E,"P0(후)",$M:$M,"&gt;0")&lt;&gt;1,"",SUMIFS($M:$M,$C:$C,$C1179,$D:$D,$D1179,$E:$E,"P0(후)"))</f>
        <v/>
      </c>
      <c r="S1179" s="31">
        <f>IF(N1179&lt;&gt;"OK","",P1179+(R1179-P1179)*(I1179-O1179)/(Q1179-O1179))</f>
        <v/>
      </c>
      <c r="T1179" s="31">
        <f>IF(OR(N1179&lt;&gt;"OK",NOT(ISNUMBER(M1179))),"",M1179-S1179)</f>
        <v/>
      </c>
      <c r="U1179" s="49">
        <f>IF(OR(NOT(ISNUMBER(T1179)),IF(ISNUMBER(H1179),H1179,G1179)=0),"",T1179/IF(ISNUMBER(H1179),H1179,G1179))</f>
        <v/>
      </c>
      <c r="V1179" s="49">
        <f>IF(ISNUMBER(U1179),ABS(U1179),"")</f>
        <v/>
      </c>
      <c r="W1179" s="49">
        <f>IF(OR($E1178&lt;&gt;"측정",$C1178&lt;&gt;$C1179,$D1178&lt;&gt;$D1179,NOT(ISNUMBER(M1179)),NOT(ISNUMBER(M1178)),(IF(ISNUMBER(H1179),H1179,G1179)-IF(ISNUMBER(H1178),H1178,G1178))=0),"",(M1179-M1178)/(IF(ISNUMBER(H1179),H1179,G1179)-IF(ISNUMBER(H1178),H1178,G1178)))</f>
        <v/>
      </c>
      <c r="X1179" s="31">
        <f>IF(NOT(AND(ISNUMBER(O1179),ISNUMBER(Q1179))),"",(Q1179-O1179)*1440)</f>
        <v/>
      </c>
      <c r="Y1179" s="29" t="n"/>
      <c r="Z1179" s="29" t="n"/>
      <c r="AA1179" s="29" t="n"/>
      <c r="AB1179" s="32" t="n"/>
      <c r="AC1179" s="32" t="n"/>
    </row>
    <row r="1180">
      <c r="A1180" s="26" t="inlineStr">
        <is>
          <t>S23</t>
        </is>
      </c>
      <c r="B1180" s="26" t="inlineStr">
        <is>
          <t>덕산 신규점1</t>
        </is>
      </c>
      <c r="C1180" s="26" t="inlineStr">
        <is>
          <t>S23-H남</t>
        </is>
      </c>
      <c r="D1180" s="47" t="n">
        <v>1</v>
      </c>
      <c r="E1180" s="26" t="inlineStr">
        <is>
          <t>측정</t>
        </is>
      </c>
      <c r="F1180" s="26" t="inlineStr">
        <is>
          <t>남</t>
        </is>
      </c>
      <c r="G1180" s="31" t="n">
        <v>3</v>
      </c>
      <c r="H1180" s="30" t="n"/>
      <c r="I1180" s="43" t="n"/>
      <c r="J1180" s="41" t="n"/>
      <c r="K1180" s="41" t="n"/>
      <c r="L1180" s="41" t="n"/>
      <c r="M1180" s="31">
        <f>IF(COUNT(J1180:L1180)=0,"",MEDIAN(J1180:L1180))</f>
        <v/>
      </c>
      <c r="N1180" s="26">
        <f>IF(COUNTIFS($C:$C,$C1180,$D:$D,$D1180,$E:$E,"P0(전)",$M:$M,"&gt;0")&lt;&gt;1,"P0(전) 유효 1개 아님",IF(COUNTIFS($C:$C,$C1180,$D:$D,$D1180,$E:$E,"P0(후)",$M:$M,"&gt;0")&lt;&gt;1,"P0(후) 유효 1개 아님",IF(NOT(AND(ISNUMBER(O1180),ISNUMBER(Q1180),ISNUMBER(I1180))),"시각 결측",IF(Q1180&lt;=O1180,"P0 시각 역전",IF(OR(I1180&lt;O1180,I1180&gt;Q1180),"측정시각 구간 밖","OK")))))</f>
        <v/>
      </c>
      <c r="O1180" s="48">
        <f>IF(COUNTIFS($C:$C,$C1180,$D:$D,$D1180,$E:$E,"P0(전)",$M:$M,"&gt;0")&lt;&gt;1,"",SUMIFS($I:$I,$C:$C,$C1180,$D:$D,$D1180,$E:$E,"P0(전)"))</f>
        <v/>
      </c>
      <c r="P1180" s="31">
        <f>IF(COUNTIFS($C:$C,$C1180,$D:$D,$D1180,$E:$E,"P0(전)",$M:$M,"&gt;0")&lt;&gt;1,"",SUMIFS($M:$M,$C:$C,$C1180,$D:$D,$D1180,$E:$E,"P0(전)"))</f>
        <v/>
      </c>
      <c r="Q1180" s="48">
        <f>IF(COUNTIFS($C:$C,$C1180,$D:$D,$D1180,$E:$E,"P0(후)",$M:$M,"&gt;0")&lt;&gt;1,"",SUMIFS($I:$I,$C:$C,$C1180,$D:$D,$D1180,$E:$E,"P0(후)"))</f>
        <v/>
      </c>
      <c r="R1180" s="31">
        <f>IF(COUNTIFS($C:$C,$C1180,$D:$D,$D1180,$E:$E,"P0(후)",$M:$M,"&gt;0")&lt;&gt;1,"",SUMIFS($M:$M,$C:$C,$C1180,$D:$D,$D1180,$E:$E,"P0(후)"))</f>
        <v/>
      </c>
      <c r="S1180" s="31">
        <f>IF(N1180&lt;&gt;"OK","",P1180+(R1180-P1180)*(I1180-O1180)/(Q1180-O1180))</f>
        <v/>
      </c>
      <c r="T1180" s="31">
        <f>IF(OR(N1180&lt;&gt;"OK",NOT(ISNUMBER(M1180))),"",M1180-S1180)</f>
        <v/>
      </c>
      <c r="U1180" s="49">
        <f>IF(OR(NOT(ISNUMBER(T1180)),IF(ISNUMBER(H1180),H1180,G1180)=0),"",T1180/IF(ISNUMBER(H1180),H1180,G1180))</f>
        <v/>
      </c>
      <c r="V1180" s="49">
        <f>IF(ISNUMBER(U1180),ABS(U1180),"")</f>
        <v/>
      </c>
      <c r="W1180" s="49">
        <f>IF(OR($E1179&lt;&gt;"측정",$C1179&lt;&gt;$C1180,$D1179&lt;&gt;$D1180,NOT(ISNUMBER(M1180)),NOT(ISNUMBER(M1179)),(IF(ISNUMBER(H1180),H1180,G1180)-IF(ISNUMBER(H1179),H1179,G1179))=0),"",(M1180-M1179)/(IF(ISNUMBER(H1180),H1180,G1180)-IF(ISNUMBER(H1179),H1179,G1179)))</f>
        <v/>
      </c>
      <c r="X1180" s="31">
        <f>IF(NOT(AND(ISNUMBER(O1180),ISNUMBER(Q1180))),"",(Q1180-O1180)*1440)</f>
        <v/>
      </c>
      <c r="Y1180" s="29" t="n"/>
      <c r="Z1180" s="29" t="n"/>
      <c r="AA1180" s="29" t="n"/>
      <c r="AB1180" s="32" t="n"/>
      <c r="AC1180" s="32" t="n"/>
    </row>
    <row r="1181">
      <c r="A1181" s="26" t="inlineStr">
        <is>
          <t>S23</t>
        </is>
      </c>
      <c r="B1181" s="26" t="inlineStr">
        <is>
          <t>덕산 신규점1</t>
        </is>
      </c>
      <c r="C1181" s="26" t="inlineStr">
        <is>
          <t>S23-H남</t>
        </is>
      </c>
      <c r="D1181" s="47" t="n">
        <v>1</v>
      </c>
      <c r="E1181" s="26" t="inlineStr">
        <is>
          <t>측정</t>
        </is>
      </c>
      <c r="F1181" s="26" t="inlineStr">
        <is>
          <t>남</t>
        </is>
      </c>
      <c r="G1181" s="31" t="n">
        <v>4</v>
      </c>
      <c r="H1181" s="30" t="n"/>
      <c r="I1181" s="43" t="n"/>
      <c r="J1181" s="41" t="n"/>
      <c r="K1181" s="41" t="n"/>
      <c r="L1181" s="41" t="n"/>
      <c r="M1181" s="31">
        <f>IF(COUNT(J1181:L1181)=0,"",MEDIAN(J1181:L1181))</f>
        <v/>
      </c>
      <c r="N1181" s="26">
        <f>IF(COUNTIFS($C:$C,$C1181,$D:$D,$D1181,$E:$E,"P0(전)",$M:$M,"&gt;0")&lt;&gt;1,"P0(전) 유효 1개 아님",IF(COUNTIFS($C:$C,$C1181,$D:$D,$D1181,$E:$E,"P0(후)",$M:$M,"&gt;0")&lt;&gt;1,"P0(후) 유효 1개 아님",IF(NOT(AND(ISNUMBER(O1181),ISNUMBER(Q1181),ISNUMBER(I1181))),"시각 결측",IF(Q1181&lt;=O1181,"P0 시각 역전",IF(OR(I1181&lt;O1181,I1181&gt;Q1181),"측정시각 구간 밖","OK")))))</f>
        <v/>
      </c>
      <c r="O1181" s="48">
        <f>IF(COUNTIFS($C:$C,$C1181,$D:$D,$D1181,$E:$E,"P0(전)",$M:$M,"&gt;0")&lt;&gt;1,"",SUMIFS($I:$I,$C:$C,$C1181,$D:$D,$D1181,$E:$E,"P0(전)"))</f>
        <v/>
      </c>
      <c r="P1181" s="31">
        <f>IF(COUNTIFS($C:$C,$C1181,$D:$D,$D1181,$E:$E,"P0(전)",$M:$M,"&gt;0")&lt;&gt;1,"",SUMIFS($M:$M,$C:$C,$C1181,$D:$D,$D1181,$E:$E,"P0(전)"))</f>
        <v/>
      </c>
      <c r="Q1181" s="48">
        <f>IF(COUNTIFS($C:$C,$C1181,$D:$D,$D1181,$E:$E,"P0(후)",$M:$M,"&gt;0")&lt;&gt;1,"",SUMIFS($I:$I,$C:$C,$C1181,$D:$D,$D1181,$E:$E,"P0(후)"))</f>
        <v/>
      </c>
      <c r="R1181" s="31">
        <f>IF(COUNTIFS($C:$C,$C1181,$D:$D,$D1181,$E:$E,"P0(후)",$M:$M,"&gt;0")&lt;&gt;1,"",SUMIFS($M:$M,$C:$C,$C1181,$D:$D,$D1181,$E:$E,"P0(후)"))</f>
        <v/>
      </c>
      <c r="S1181" s="31">
        <f>IF(N1181&lt;&gt;"OK","",P1181+(R1181-P1181)*(I1181-O1181)/(Q1181-O1181))</f>
        <v/>
      </c>
      <c r="T1181" s="31">
        <f>IF(OR(N1181&lt;&gt;"OK",NOT(ISNUMBER(M1181))),"",M1181-S1181)</f>
        <v/>
      </c>
      <c r="U1181" s="49">
        <f>IF(OR(NOT(ISNUMBER(T1181)),IF(ISNUMBER(H1181),H1181,G1181)=0),"",T1181/IF(ISNUMBER(H1181),H1181,G1181))</f>
        <v/>
      </c>
      <c r="V1181" s="49">
        <f>IF(ISNUMBER(U1181),ABS(U1181),"")</f>
        <v/>
      </c>
      <c r="W1181" s="49">
        <f>IF(OR($E1180&lt;&gt;"측정",$C1180&lt;&gt;$C1181,$D1180&lt;&gt;$D1181,NOT(ISNUMBER(M1181)),NOT(ISNUMBER(M1180)),(IF(ISNUMBER(H1181),H1181,G1181)-IF(ISNUMBER(H1180),H1180,G1180))=0),"",(M1181-M1180)/(IF(ISNUMBER(H1181),H1181,G1181)-IF(ISNUMBER(H1180),H1180,G1180)))</f>
        <v/>
      </c>
      <c r="X1181" s="31">
        <f>IF(NOT(AND(ISNUMBER(O1181),ISNUMBER(Q1181))),"",(Q1181-O1181)*1440)</f>
        <v/>
      </c>
      <c r="Y1181" s="29" t="n"/>
      <c r="Z1181" s="29" t="n"/>
      <c r="AA1181" s="29" t="n"/>
      <c r="AB1181" s="32" t="n"/>
      <c r="AC1181" s="32" t="n"/>
    </row>
    <row r="1182">
      <c r="A1182" s="26" t="inlineStr">
        <is>
          <t>S23</t>
        </is>
      </c>
      <c r="B1182" s="26" t="inlineStr">
        <is>
          <t>덕산 신규점1</t>
        </is>
      </c>
      <c r="C1182" s="26" t="inlineStr">
        <is>
          <t>S23-H남</t>
        </is>
      </c>
      <c r="D1182" s="47" t="n">
        <v>1</v>
      </c>
      <c r="E1182" s="26" t="inlineStr">
        <is>
          <t>측정</t>
        </is>
      </c>
      <c r="F1182" s="26" t="inlineStr">
        <is>
          <t>남</t>
        </is>
      </c>
      <c r="G1182" s="31" t="n">
        <v>5</v>
      </c>
      <c r="H1182" s="30" t="n"/>
      <c r="I1182" s="43" t="n"/>
      <c r="J1182" s="41" t="n"/>
      <c r="K1182" s="41" t="n"/>
      <c r="L1182" s="41" t="n"/>
      <c r="M1182" s="31">
        <f>IF(COUNT(J1182:L1182)=0,"",MEDIAN(J1182:L1182))</f>
        <v/>
      </c>
      <c r="N1182" s="26">
        <f>IF(COUNTIFS($C:$C,$C1182,$D:$D,$D1182,$E:$E,"P0(전)",$M:$M,"&gt;0")&lt;&gt;1,"P0(전) 유효 1개 아님",IF(COUNTIFS($C:$C,$C1182,$D:$D,$D1182,$E:$E,"P0(후)",$M:$M,"&gt;0")&lt;&gt;1,"P0(후) 유효 1개 아님",IF(NOT(AND(ISNUMBER(O1182),ISNUMBER(Q1182),ISNUMBER(I1182))),"시각 결측",IF(Q1182&lt;=O1182,"P0 시각 역전",IF(OR(I1182&lt;O1182,I1182&gt;Q1182),"측정시각 구간 밖","OK")))))</f>
        <v/>
      </c>
      <c r="O1182" s="48">
        <f>IF(COUNTIFS($C:$C,$C1182,$D:$D,$D1182,$E:$E,"P0(전)",$M:$M,"&gt;0")&lt;&gt;1,"",SUMIFS($I:$I,$C:$C,$C1182,$D:$D,$D1182,$E:$E,"P0(전)"))</f>
        <v/>
      </c>
      <c r="P1182" s="31">
        <f>IF(COUNTIFS($C:$C,$C1182,$D:$D,$D1182,$E:$E,"P0(전)",$M:$M,"&gt;0")&lt;&gt;1,"",SUMIFS($M:$M,$C:$C,$C1182,$D:$D,$D1182,$E:$E,"P0(전)"))</f>
        <v/>
      </c>
      <c r="Q1182" s="48">
        <f>IF(COUNTIFS($C:$C,$C1182,$D:$D,$D1182,$E:$E,"P0(후)",$M:$M,"&gt;0")&lt;&gt;1,"",SUMIFS($I:$I,$C:$C,$C1182,$D:$D,$D1182,$E:$E,"P0(후)"))</f>
        <v/>
      </c>
      <c r="R1182" s="31">
        <f>IF(COUNTIFS($C:$C,$C1182,$D:$D,$D1182,$E:$E,"P0(후)",$M:$M,"&gt;0")&lt;&gt;1,"",SUMIFS($M:$M,$C:$C,$C1182,$D:$D,$D1182,$E:$E,"P0(후)"))</f>
        <v/>
      </c>
      <c r="S1182" s="31">
        <f>IF(N1182&lt;&gt;"OK","",P1182+(R1182-P1182)*(I1182-O1182)/(Q1182-O1182))</f>
        <v/>
      </c>
      <c r="T1182" s="31">
        <f>IF(OR(N1182&lt;&gt;"OK",NOT(ISNUMBER(M1182))),"",M1182-S1182)</f>
        <v/>
      </c>
      <c r="U1182" s="49">
        <f>IF(OR(NOT(ISNUMBER(T1182)),IF(ISNUMBER(H1182),H1182,G1182)=0),"",T1182/IF(ISNUMBER(H1182),H1182,G1182))</f>
        <v/>
      </c>
      <c r="V1182" s="49">
        <f>IF(ISNUMBER(U1182),ABS(U1182),"")</f>
        <v/>
      </c>
      <c r="W1182" s="49">
        <f>IF(OR($E1181&lt;&gt;"측정",$C1181&lt;&gt;$C1182,$D1181&lt;&gt;$D1182,NOT(ISNUMBER(M1182)),NOT(ISNUMBER(M1181)),(IF(ISNUMBER(H1182),H1182,G1182)-IF(ISNUMBER(H1181),H1181,G1181))=0),"",(M1182-M1181)/(IF(ISNUMBER(H1182),H1182,G1182)-IF(ISNUMBER(H1181),H1181,G1181)))</f>
        <v/>
      </c>
      <c r="X1182" s="31">
        <f>IF(NOT(AND(ISNUMBER(O1182),ISNUMBER(Q1182))),"",(Q1182-O1182)*1440)</f>
        <v/>
      </c>
      <c r="Y1182" s="29" t="n"/>
      <c r="Z1182" s="29" t="n"/>
      <c r="AA1182" s="29" t="n"/>
      <c r="AB1182" s="32" t="n"/>
      <c r="AC1182" s="32" t="n"/>
    </row>
    <row r="1183">
      <c r="A1183" s="26" t="inlineStr">
        <is>
          <t>S23</t>
        </is>
      </c>
      <c r="B1183" s="26" t="inlineStr">
        <is>
          <t>덕산 신규점1</t>
        </is>
      </c>
      <c r="C1183" s="26" t="inlineStr">
        <is>
          <t>S23-H남</t>
        </is>
      </c>
      <c r="D1183" s="47" t="n">
        <v>1</v>
      </c>
      <c r="E1183" s="26" t="inlineStr">
        <is>
          <t>측정</t>
        </is>
      </c>
      <c r="F1183" s="26" t="inlineStr">
        <is>
          <t>남</t>
        </is>
      </c>
      <c r="G1183" s="31" t="n">
        <v>6</v>
      </c>
      <c r="H1183" s="30" t="n"/>
      <c r="I1183" s="43" t="n"/>
      <c r="J1183" s="41" t="n"/>
      <c r="K1183" s="41" t="n"/>
      <c r="L1183" s="41" t="n"/>
      <c r="M1183" s="31">
        <f>IF(COUNT(J1183:L1183)=0,"",MEDIAN(J1183:L1183))</f>
        <v/>
      </c>
      <c r="N1183" s="26">
        <f>IF(COUNTIFS($C:$C,$C1183,$D:$D,$D1183,$E:$E,"P0(전)",$M:$M,"&gt;0")&lt;&gt;1,"P0(전) 유효 1개 아님",IF(COUNTIFS($C:$C,$C1183,$D:$D,$D1183,$E:$E,"P0(후)",$M:$M,"&gt;0")&lt;&gt;1,"P0(후) 유효 1개 아님",IF(NOT(AND(ISNUMBER(O1183),ISNUMBER(Q1183),ISNUMBER(I1183))),"시각 결측",IF(Q1183&lt;=O1183,"P0 시각 역전",IF(OR(I1183&lt;O1183,I1183&gt;Q1183),"측정시각 구간 밖","OK")))))</f>
        <v/>
      </c>
      <c r="O1183" s="48">
        <f>IF(COUNTIFS($C:$C,$C1183,$D:$D,$D1183,$E:$E,"P0(전)",$M:$M,"&gt;0")&lt;&gt;1,"",SUMIFS($I:$I,$C:$C,$C1183,$D:$D,$D1183,$E:$E,"P0(전)"))</f>
        <v/>
      </c>
      <c r="P1183" s="31">
        <f>IF(COUNTIFS($C:$C,$C1183,$D:$D,$D1183,$E:$E,"P0(전)",$M:$M,"&gt;0")&lt;&gt;1,"",SUMIFS($M:$M,$C:$C,$C1183,$D:$D,$D1183,$E:$E,"P0(전)"))</f>
        <v/>
      </c>
      <c r="Q1183" s="48">
        <f>IF(COUNTIFS($C:$C,$C1183,$D:$D,$D1183,$E:$E,"P0(후)",$M:$M,"&gt;0")&lt;&gt;1,"",SUMIFS($I:$I,$C:$C,$C1183,$D:$D,$D1183,$E:$E,"P0(후)"))</f>
        <v/>
      </c>
      <c r="R1183" s="31">
        <f>IF(COUNTIFS($C:$C,$C1183,$D:$D,$D1183,$E:$E,"P0(후)",$M:$M,"&gt;0")&lt;&gt;1,"",SUMIFS($M:$M,$C:$C,$C1183,$D:$D,$D1183,$E:$E,"P0(후)"))</f>
        <v/>
      </c>
      <c r="S1183" s="31">
        <f>IF(N1183&lt;&gt;"OK","",P1183+(R1183-P1183)*(I1183-O1183)/(Q1183-O1183))</f>
        <v/>
      </c>
      <c r="T1183" s="31">
        <f>IF(OR(N1183&lt;&gt;"OK",NOT(ISNUMBER(M1183))),"",M1183-S1183)</f>
        <v/>
      </c>
      <c r="U1183" s="49">
        <f>IF(OR(NOT(ISNUMBER(T1183)),IF(ISNUMBER(H1183),H1183,G1183)=0),"",T1183/IF(ISNUMBER(H1183),H1183,G1183))</f>
        <v/>
      </c>
      <c r="V1183" s="49">
        <f>IF(ISNUMBER(U1183),ABS(U1183),"")</f>
        <v/>
      </c>
      <c r="W1183" s="49">
        <f>IF(OR($E1182&lt;&gt;"측정",$C1182&lt;&gt;$C1183,$D1182&lt;&gt;$D1183,NOT(ISNUMBER(M1183)),NOT(ISNUMBER(M1182)),(IF(ISNUMBER(H1183),H1183,G1183)-IF(ISNUMBER(H1182),H1182,G1182))=0),"",(M1183-M1182)/(IF(ISNUMBER(H1183),H1183,G1183)-IF(ISNUMBER(H1182),H1182,G1182)))</f>
        <v/>
      </c>
      <c r="X1183" s="31">
        <f>IF(NOT(AND(ISNUMBER(O1183),ISNUMBER(Q1183))),"",(Q1183-O1183)*1440)</f>
        <v/>
      </c>
      <c r="Y1183" s="29" t="n"/>
      <c r="Z1183" s="29" t="n"/>
      <c r="AA1183" s="29" t="n"/>
      <c r="AB1183" s="32" t="n"/>
      <c r="AC1183" s="32" t="n"/>
    </row>
    <row r="1184">
      <c r="A1184" s="26" t="inlineStr">
        <is>
          <t>S23</t>
        </is>
      </c>
      <c r="B1184" s="26" t="inlineStr">
        <is>
          <t>덕산 신규점1</t>
        </is>
      </c>
      <c r="C1184" s="26" t="inlineStr">
        <is>
          <t>S23-H남</t>
        </is>
      </c>
      <c r="D1184" s="47" t="n">
        <v>1</v>
      </c>
      <c r="E1184" s="26" t="inlineStr">
        <is>
          <t>측정</t>
        </is>
      </c>
      <c r="F1184" s="26" t="inlineStr">
        <is>
          <t>남</t>
        </is>
      </c>
      <c r="G1184" s="31" t="n">
        <v>7</v>
      </c>
      <c r="H1184" s="30" t="n"/>
      <c r="I1184" s="43" t="n"/>
      <c r="J1184" s="41" t="n"/>
      <c r="K1184" s="41" t="n"/>
      <c r="L1184" s="41" t="n"/>
      <c r="M1184" s="31">
        <f>IF(COUNT(J1184:L1184)=0,"",MEDIAN(J1184:L1184))</f>
        <v/>
      </c>
      <c r="N1184" s="26">
        <f>IF(COUNTIFS($C:$C,$C1184,$D:$D,$D1184,$E:$E,"P0(전)",$M:$M,"&gt;0")&lt;&gt;1,"P0(전) 유효 1개 아님",IF(COUNTIFS($C:$C,$C1184,$D:$D,$D1184,$E:$E,"P0(후)",$M:$M,"&gt;0")&lt;&gt;1,"P0(후) 유효 1개 아님",IF(NOT(AND(ISNUMBER(O1184),ISNUMBER(Q1184),ISNUMBER(I1184))),"시각 결측",IF(Q1184&lt;=O1184,"P0 시각 역전",IF(OR(I1184&lt;O1184,I1184&gt;Q1184),"측정시각 구간 밖","OK")))))</f>
        <v/>
      </c>
      <c r="O1184" s="48">
        <f>IF(COUNTIFS($C:$C,$C1184,$D:$D,$D1184,$E:$E,"P0(전)",$M:$M,"&gt;0")&lt;&gt;1,"",SUMIFS($I:$I,$C:$C,$C1184,$D:$D,$D1184,$E:$E,"P0(전)"))</f>
        <v/>
      </c>
      <c r="P1184" s="31">
        <f>IF(COUNTIFS($C:$C,$C1184,$D:$D,$D1184,$E:$E,"P0(전)",$M:$M,"&gt;0")&lt;&gt;1,"",SUMIFS($M:$M,$C:$C,$C1184,$D:$D,$D1184,$E:$E,"P0(전)"))</f>
        <v/>
      </c>
      <c r="Q1184" s="48">
        <f>IF(COUNTIFS($C:$C,$C1184,$D:$D,$D1184,$E:$E,"P0(후)",$M:$M,"&gt;0")&lt;&gt;1,"",SUMIFS($I:$I,$C:$C,$C1184,$D:$D,$D1184,$E:$E,"P0(후)"))</f>
        <v/>
      </c>
      <c r="R1184" s="31">
        <f>IF(COUNTIFS($C:$C,$C1184,$D:$D,$D1184,$E:$E,"P0(후)",$M:$M,"&gt;0")&lt;&gt;1,"",SUMIFS($M:$M,$C:$C,$C1184,$D:$D,$D1184,$E:$E,"P0(후)"))</f>
        <v/>
      </c>
      <c r="S1184" s="31">
        <f>IF(N1184&lt;&gt;"OK","",P1184+(R1184-P1184)*(I1184-O1184)/(Q1184-O1184))</f>
        <v/>
      </c>
      <c r="T1184" s="31">
        <f>IF(OR(N1184&lt;&gt;"OK",NOT(ISNUMBER(M1184))),"",M1184-S1184)</f>
        <v/>
      </c>
      <c r="U1184" s="49">
        <f>IF(OR(NOT(ISNUMBER(T1184)),IF(ISNUMBER(H1184),H1184,G1184)=0),"",T1184/IF(ISNUMBER(H1184),H1184,G1184))</f>
        <v/>
      </c>
      <c r="V1184" s="49">
        <f>IF(ISNUMBER(U1184),ABS(U1184),"")</f>
        <v/>
      </c>
      <c r="W1184" s="49">
        <f>IF(OR($E1183&lt;&gt;"측정",$C1183&lt;&gt;$C1184,$D1183&lt;&gt;$D1184,NOT(ISNUMBER(M1184)),NOT(ISNUMBER(M1183)),(IF(ISNUMBER(H1184),H1184,G1184)-IF(ISNUMBER(H1183),H1183,G1183))=0),"",(M1184-M1183)/(IF(ISNUMBER(H1184),H1184,G1184)-IF(ISNUMBER(H1183),H1183,G1183)))</f>
        <v/>
      </c>
      <c r="X1184" s="31">
        <f>IF(NOT(AND(ISNUMBER(O1184),ISNUMBER(Q1184))),"",(Q1184-O1184)*1440)</f>
        <v/>
      </c>
      <c r="Y1184" s="29" t="n"/>
      <c r="Z1184" s="29" t="n"/>
      <c r="AA1184" s="29" t="n"/>
      <c r="AB1184" s="32" t="n"/>
      <c r="AC1184" s="32" t="n"/>
    </row>
    <row r="1185">
      <c r="A1185" s="26" t="inlineStr">
        <is>
          <t>S23</t>
        </is>
      </c>
      <c r="B1185" s="26" t="inlineStr">
        <is>
          <t>덕산 신규점1</t>
        </is>
      </c>
      <c r="C1185" s="26" t="inlineStr">
        <is>
          <t>S23-H남</t>
        </is>
      </c>
      <c r="D1185" s="47" t="n">
        <v>1</v>
      </c>
      <c r="E1185" s="26" t="inlineStr">
        <is>
          <t>측정</t>
        </is>
      </c>
      <c r="F1185" s="26" t="inlineStr">
        <is>
          <t>남</t>
        </is>
      </c>
      <c r="G1185" s="31" t="n">
        <v>8</v>
      </c>
      <c r="H1185" s="30" t="n"/>
      <c r="I1185" s="43" t="n"/>
      <c r="J1185" s="41" t="n"/>
      <c r="K1185" s="41" t="n"/>
      <c r="L1185" s="41" t="n"/>
      <c r="M1185" s="31">
        <f>IF(COUNT(J1185:L1185)=0,"",MEDIAN(J1185:L1185))</f>
        <v/>
      </c>
      <c r="N1185" s="26">
        <f>IF(COUNTIFS($C:$C,$C1185,$D:$D,$D1185,$E:$E,"P0(전)",$M:$M,"&gt;0")&lt;&gt;1,"P0(전) 유효 1개 아님",IF(COUNTIFS($C:$C,$C1185,$D:$D,$D1185,$E:$E,"P0(후)",$M:$M,"&gt;0")&lt;&gt;1,"P0(후) 유효 1개 아님",IF(NOT(AND(ISNUMBER(O1185),ISNUMBER(Q1185),ISNUMBER(I1185))),"시각 결측",IF(Q1185&lt;=O1185,"P0 시각 역전",IF(OR(I1185&lt;O1185,I1185&gt;Q1185),"측정시각 구간 밖","OK")))))</f>
        <v/>
      </c>
      <c r="O1185" s="48">
        <f>IF(COUNTIFS($C:$C,$C1185,$D:$D,$D1185,$E:$E,"P0(전)",$M:$M,"&gt;0")&lt;&gt;1,"",SUMIFS($I:$I,$C:$C,$C1185,$D:$D,$D1185,$E:$E,"P0(전)"))</f>
        <v/>
      </c>
      <c r="P1185" s="31">
        <f>IF(COUNTIFS($C:$C,$C1185,$D:$D,$D1185,$E:$E,"P0(전)",$M:$M,"&gt;0")&lt;&gt;1,"",SUMIFS($M:$M,$C:$C,$C1185,$D:$D,$D1185,$E:$E,"P0(전)"))</f>
        <v/>
      </c>
      <c r="Q1185" s="48">
        <f>IF(COUNTIFS($C:$C,$C1185,$D:$D,$D1185,$E:$E,"P0(후)",$M:$M,"&gt;0")&lt;&gt;1,"",SUMIFS($I:$I,$C:$C,$C1185,$D:$D,$D1185,$E:$E,"P0(후)"))</f>
        <v/>
      </c>
      <c r="R1185" s="31">
        <f>IF(COUNTIFS($C:$C,$C1185,$D:$D,$D1185,$E:$E,"P0(후)",$M:$M,"&gt;0")&lt;&gt;1,"",SUMIFS($M:$M,$C:$C,$C1185,$D:$D,$D1185,$E:$E,"P0(후)"))</f>
        <v/>
      </c>
      <c r="S1185" s="31">
        <f>IF(N1185&lt;&gt;"OK","",P1185+(R1185-P1185)*(I1185-O1185)/(Q1185-O1185))</f>
        <v/>
      </c>
      <c r="T1185" s="31">
        <f>IF(OR(N1185&lt;&gt;"OK",NOT(ISNUMBER(M1185))),"",M1185-S1185)</f>
        <v/>
      </c>
      <c r="U1185" s="49">
        <f>IF(OR(NOT(ISNUMBER(T1185)),IF(ISNUMBER(H1185),H1185,G1185)=0),"",T1185/IF(ISNUMBER(H1185),H1185,G1185))</f>
        <v/>
      </c>
      <c r="V1185" s="49">
        <f>IF(ISNUMBER(U1185),ABS(U1185),"")</f>
        <v/>
      </c>
      <c r="W1185" s="49">
        <f>IF(OR($E1184&lt;&gt;"측정",$C1184&lt;&gt;$C1185,$D1184&lt;&gt;$D1185,NOT(ISNUMBER(M1185)),NOT(ISNUMBER(M1184)),(IF(ISNUMBER(H1185),H1185,G1185)-IF(ISNUMBER(H1184),H1184,G1184))=0),"",(M1185-M1184)/(IF(ISNUMBER(H1185),H1185,G1185)-IF(ISNUMBER(H1184),H1184,G1184)))</f>
        <v/>
      </c>
      <c r="X1185" s="31">
        <f>IF(NOT(AND(ISNUMBER(O1185),ISNUMBER(Q1185))),"",(Q1185-O1185)*1440)</f>
        <v/>
      </c>
      <c r="Y1185" s="29" t="n"/>
      <c r="Z1185" s="29" t="n"/>
      <c r="AA1185" s="29" t="n"/>
      <c r="AB1185" s="32" t="n"/>
      <c r="AC1185" s="32" t="n"/>
    </row>
    <row r="1186">
      <c r="A1186" s="26" t="inlineStr">
        <is>
          <t>S23</t>
        </is>
      </c>
      <c r="B1186" s="26" t="inlineStr">
        <is>
          <t>덕산 신규점1</t>
        </is>
      </c>
      <c r="C1186" s="26" t="inlineStr">
        <is>
          <t>S23-H남</t>
        </is>
      </c>
      <c r="D1186" s="47" t="n">
        <v>1</v>
      </c>
      <c r="E1186" s="26" t="inlineStr">
        <is>
          <t>측정</t>
        </is>
      </c>
      <c r="F1186" s="26" t="inlineStr">
        <is>
          <t>남</t>
        </is>
      </c>
      <c r="G1186" s="31" t="n">
        <v>9</v>
      </c>
      <c r="H1186" s="30" t="n"/>
      <c r="I1186" s="43" t="n"/>
      <c r="J1186" s="41" t="n"/>
      <c r="K1186" s="41" t="n"/>
      <c r="L1186" s="41" t="n"/>
      <c r="M1186" s="31">
        <f>IF(COUNT(J1186:L1186)=0,"",MEDIAN(J1186:L1186))</f>
        <v/>
      </c>
      <c r="N1186" s="26">
        <f>IF(COUNTIFS($C:$C,$C1186,$D:$D,$D1186,$E:$E,"P0(전)",$M:$M,"&gt;0")&lt;&gt;1,"P0(전) 유효 1개 아님",IF(COUNTIFS($C:$C,$C1186,$D:$D,$D1186,$E:$E,"P0(후)",$M:$M,"&gt;0")&lt;&gt;1,"P0(후) 유효 1개 아님",IF(NOT(AND(ISNUMBER(O1186),ISNUMBER(Q1186),ISNUMBER(I1186))),"시각 결측",IF(Q1186&lt;=O1186,"P0 시각 역전",IF(OR(I1186&lt;O1186,I1186&gt;Q1186),"측정시각 구간 밖","OK")))))</f>
        <v/>
      </c>
      <c r="O1186" s="48">
        <f>IF(COUNTIFS($C:$C,$C1186,$D:$D,$D1186,$E:$E,"P0(전)",$M:$M,"&gt;0")&lt;&gt;1,"",SUMIFS($I:$I,$C:$C,$C1186,$D:$D,$D1186,$E:$E,"P0(전)"))</f>
        <v/>
      </c>
      <c r="P1186" s="31">
        <f>IF(COUNTIFS($C:$C,$C1186,$D:$D,$D1186,$E:$E,"P0(전)",$M:$M,"&gt;0")&lt;&gt;1,"",SUMIFS($M:$M,$C:$C,$C1186,$D:$D,$D1186,$E:$E,"P0(전)"))</f>
        <v/>
      </c>
      <c r="Q1186" s="48">
        <f>IF(COUNTIFS($C:$C,$C1186,$D:$D,$D1186,$E:$E,"P0(후)",$M:$M,"&gt;0")&lt;&gt;1,"",SUMIFS($I:$I,$C:$C,$C1186,$D:$D,$D1186,$E:$E,"P0(후)"))</f>
        <v/>
      </c>
      <c r="R1186" s="31">
        <f>IF(COUNTIFS($C:$C,$C1186,$D:$D,$D1186,$E:$E,"P0(후)",$M:$M,"&gt;0")&lt;&gt;1,"",SUMIFS($M:$M,$C:$C,$C1186,$D:$D,$D1186,$E:$E,"P0(후)"))</f>
        <v/>
      </c>
      <c r="S1186" s="31">
        <f>IF(N1186&lt;&gt;"OK","",P1186+(R1186-P1186)*(I1186-O1186)/(Q1186-O1186))</f>
        <v/>
      </c>
      <c r="T1186" s="31">
        <f>IF(OR(N1186&lt;&gt;"OK",NOT(ISNUMBER(M1186))),"",M1186-S1186)</f>
        <v/>
      </c>
      <c r="U1186" s="49">
        <f>IF(OR(NOT(ISNUMBER(T1186)),IF(ISNUMBER(H1186),H1186,G1186)=0),"",T1186/IF(ISNUMBER(H1186),H1186,G1186))</f>
        <v/>
      </c>
      <c r="V1186" s="49">
        <f>IF(ISNUMBER(U1186),ABS(U1186),"")</f>
        <v/>
      </c>
      <c r="W1186" s="49">
        <f>IF(OR($E1185&lt;&gt;"측정",$C1185&lt;&gt;$C1186,$D1185&lt;&gt;$D1186,NOT(ISNUMBER(M1186)),NOT(ISNUMBER(M1185)),(IF(ISNUMBER(H1186),H1186,G1186)-IF(ISNUMBER(H1185),H1185,G1185))=0),"",(M1186-M1185)/(IF(ISNUMBER(H1186),H1186,G1186)-IF(ISNUMBER(H1185),H1185,G1185)))</f>
        <v/>
      </c>
      <c r="X1186" s="31">
        <f>IF(NOT(AND(ISNUMBER(O1186),ISNUMBER(Q1186))),"",(Q1186-O1186)*1440)</f>
        <v/>
      </c>
      <c r="Y1186" s="29" t="n"/>
      <c r="Z1186" s="29" t="n"/>
      <c r="AA1186" s="29" t="n"/>
      <c r="AB1186" s="32" t="n"/>
      <c r="AC1186" s="32" t="n"/>
    </row>
    <row r="1187">
      <c r="A1187" s="26" t="inlineStr">
        <is>
          <t>S23</t>
        </is>
      </c>
      <c r="B1187" s="26" t="inlineStr">
        <is>
          <t>덕산 신규점1</t>
        </is>
      </c>
      <c r="C1187" s="26" t="inlineStr">
        <is>
          <t>S23-H남</t>
        </is>
      </c>
      <c r="D1187" s="47" t="n">
        <v>1</v>
      </c>
      <c r="E1187" s="26" t="inlineStr">
        <is>
          <t>측정</t>
        </is>
      </c>
      <c r="F1187" s="26" t="inlineStr">
        <is>
          <t>남</t>
        </is>
      </c>
      <c r="G1187" s="31" t="n">
        <v>10</v>
      </c>
      <c r="H1187" s="30" t="n"/>
      <c r="I1187" s="43" t="n"/>
      <c r="J1187" s="41" t="n"/>
      <c r="K1187" s="41" t="n"/>
      <c r="L1187" s="41" t="n"/>
      <c r="M1187" s="31">
        <f>IF(COUNT(J1187:L1187)=0,"",MEDIAN(J1187:L1187))</f>
        <v/>
      </c>
      <c r="N1187" s="26">
        <f>IF(COUNTIFS($C:$C,$C1187,$D:$D,$D1187,$E:$E,"P0(전)",$M:$M,"&gt;0")&lt;&gt;1,"P0(전) 유효 1개 아님",IF(COUNTIFS($C:$C,$C1187,$D:$D,$D1187,$E:$E,"P0(후)",$M:$M,"&gt;0")&lt;&gt;1,"P0(후) 유효 1개 아님",IF(NOT(AND(ISNUMBER(O1187),ISNUMBER(Q1187),ISNUMBER(I1187))),"시각 결측",IF(Q1187&lt;=O1187,"P0 시각 역전",IF(OR(I1187&lt;O1187,I1187&gt;Q1187),"측정시각 구간 밖","OK")))))</f>
        <v/>
      </c>
      <c r="O1187" s="48">
        <f>IF(COUNTIFS($C:$C,$C1187,$D:$D,$D1187,$E:$E,"P0(전)",$M:$M,"&gt;0")&lt;&gt;1,"",SUMIFS($I:$I,$C:$C,$C1187,$D:$D,$D1187,$E:$E,"P0(전)"))</f>
        <v/>
      </c>
      <c r="P1187" s="31">
        <f>IF(COUNTIFS($C:$C,$C1187,$D:$D,$D1187,$E:$E,"P0(전)",$M:$M,"&gt;0")&lt;&gt;1,"",SUMIFS($M:$M,$C:$C,$C1187,$D:$D,$D1187,$E:$E,"P0(전)"))</f>
        <v/>
      </c>
      <c r="Q1187" s="48">
        <f>IF(COUNTIFS($C:$C,$C1187,$D:$D,$D1187,$E:$E,"P0(후)",$M:$M,"&gt;0")&lt;&gt;1,"",SUMIFS($I:$I,$C:$C,$C1187,$D:$D,$D1187,$E:$E,"P0(후)"))</f>
        <v/>
      </c>
      <c r="R1187" s="31">
        <f>IF(COUNTIFS($C:$C,$C1187,$D:$D,$D1187,$E:$E,"P0(후)",$M:$M,"&gt;0")&lt;&gt;1,"",SUMIFS($M:$M,$C:$C,$C1187,$D:$D,$D1187,$E:$E,"P0(후)"))</f>
        <v/>
      </c>
      <c r="S1187" s="31">
        <f>IF(N1187&lt;&gt;"OK","",P1187+(R1187-P1187)*(I1187-O1187)/(Q1187-O1187))</f>
        <v/>
      </c>
      <c r="T1187" s="31">
        <f>IF(OR(N1187&lt;&gt;"OK",NOT(ISNUMBER(M1187))),"",M1187-S1187)</f>
        <v/>
      </c>
      <c r="U1187" s="49">
        <f>IF(OR(NOT(ISNUMBER(T1187)),IF(ISNUMBER(H1187),H1187,G1187)=0),"",T1187/IF(ISNUMBER(H1187),H1187,G1187))</f>
        <v/>
      </c>
      <c r="V1187" s="49">
        <f>IF(ISNUMBER(U1187),ABS(U1187),"")</f>
        <v/>
      </c>
      <c r="W1187" s="49">
        <f>IF(OR($E1186&lt;&gt;"측정",$C1186&lt;&gt;$C1187,$D1186&lt;&gt;$D1187,NOT(ISNUMBER(M1187)),NOT(ISNUMBER(M1186)),(IF(ISNUMBER(H1187),H1187,G1187)-IF(ISNUMBER(H1186),H1186,G1186))=0),"",(M1187-M1186)/(IF(ISNUMBER(H1187),H1187,G1187)-IF(ISNUMBER(H1186),H1186,G1186)))</f>
        <v/>
      </c>
      <c r="X1187" s="31">
        <f>IF(NOT(AND(ISNUMBER(O1187),ISNUMBER(Q1187))),"",(Q1187-O1187)*1440)</f>
        <v/>
      </c>
      <c r="Y1187" s="29" t="n"/>
      <c r="Z1187" s="29" t="n"/>
      <c r="AA1187" s="29" t="n"/>
      <c r="AB1187" s="32" t="n"/>
      <c r="AC1187" s="32" t="n"/>
    </row>
    <row r="1188">
      <c r="A1188" s="44" t="inlineStr">
        <is>
          <t>S23</t>
        </is>
      </c>
      <c r="B1188" s="44" t="inlineStr">
        <is>
          <t>덕산 신규점1</t>
        </is>
      </c>
      <c r="C1188" s="44" t="inlineStr">
        <is>
          <t>S23-H남</t>
        </is>
      </c>
      <c r="D1188" s="45" t="n">
        <v>1</v>
      </c>
      <c r="E1188" s="44" t="inlineStr">
        <is>
          <t>P0(후)</t>
        </is>
      </c>
      <c r="F1188" s="44" t="inlineStr">
        <is>
          <t>남</t>
        </is>
      </c>
      <c r="G1188" s="46" t="n"/>
      <c r="H1188" s="30" t="n"/>
      <c r="I1188" s="43" t="n"/>
      <c r="J1188" s="41" t="n"/>
      <c r="K1188" s="41" t="n"/>
      <c r="L1188" s="41" t="n"/>
      <c r="M1188" s="31">
        <f>IF(COUNT(J1188:L1188)=0,"",MEDIAN(J1188:L1188))</f>
        <v/>
      </c>
      <c r="N1188" s="38" t="n"/>
      <c r="O1188" s="38" t="n"/>
      <c r="P1188" s="38" t="n"/>
      <c r="Q1188" s="38" t="n"/>
      <c r="R1188" s="38" t="n"/>
      <c r="S1188" s="38" t="n"/>
      <c r="T1188" s="38" t="n"/>
      <c r="U1188" s="38" t="n"/>
      <c r="V1188" s="38" t="n"/>
      <c r="W1188" s="38" t="n"/>
      <c r="X1188" s="38" t="n"/>
      <c r="Y1188" s="29" t="n"/>
      <c r="Z1188" s="29" t="n"/>
      <c r="AA1188" s="29" t="n"/>
      <c r="AB1188" s="32" t="n"/>
      <c r="AC1188" s="32" t="n"/>
    </row>
    <row r="1189">
      <c r="A1189" s="44" t="inlineStr">
        <is>
          <t>S23</t>
        </is>
      </c>
      <c r="B1189" s="44" t="inlineStr">
        <is>
          <t>덕산 신규점1</t>
        </is>
      </c>
      <c r="C1189" s="44" t="inlineStr">
        <is>
          <t>S23-H북</t>
        </is>
      </c>
      <c r="D1189" s="45" t="n">
        <v>1</v>
      </c>
      <c r="E1189" s="44" t="inlineStr">
        <is>
          <t>P0(전)</t>
        </is>
      </c>
      <c r="F1189" s="44" t="inlineStr">
        <is>
          <t>북</t>
        </is>
      </c>
      <c r="G1189" s="46" t="n"/>
      <c r="H1189" s="30" t="n"/>
      <c r="I1189" s="43" t="n"/>
      <c r="J1189" s="41" t="n"/>
      <c r="K1189" s="41" t="n"/>
      <c r="L1189" s="41" t="n"/>
      <c r="M1189" s="31">
        <f>IF(COUNT(J1189:L1189)=0,"",MEDIAN(J1189:L1189))</f>
        <v/>
      </c>
      <c r="N1189" s="38" t="n"/>
      <c r="O1189" s="38" t="n"/>
      <c r="P1189" s="38" t="n"/>
      <c r="Q1189" s="38" t="n"/>
      <c r="R1189" s="38" t="n"/>
      <c r="S1189" s="38" t="n"/>
      <c r="T1189" s="38" t="n"/>
      <c r="U1189" s="38" t="n"/>
      <c r="V1189" s="38" t="n"/>
      <c r="W1189" s="38" t="n"/>
      <c r="X1189" s="38" t="n"/>
      <c r="Y1189" s="29" t="n"/>
      <c r="Z1189" s="29" t="n"/>
      <c r="AA1189" s="29" t="n"/>
      <c r="AB1189" s="32" t="n"/>
      <c r="AC1189" s="32" t="n"/>
    </row>
    <row r="1190">
      <c r="A1190" s="26" t="inlineStr">
        <is>
          <t>S23</t>
        </is>
      </c>
      <c r="B1190" s="26" t="inlineStr">
        <is>
          <t>덕산 신규점1</t>
        </is>
      </c>
      <c r="C1190" s="26" t="inlineStr">
        <is>
          <t>S23-H북</t>
        </is>
      </c>
      <c r="D1190" s="47" t="n">
        <v>1</v>
      </c>
      <c r="E1190" s="26" t="inlineStr">
        <is>
          <t>측정</t>
        </is>
      </c>
      <c r="F1190" s="26" t="inlineStr">
        <is>
          <t>북</t>
        </is>
      </c>
      <c r="G1190" s="31" t="n">
        <v>0.5</v>
      </c>
      <c r="H1190" s="30" t="n"/>
      <c r="I1190" s="43" t="n"/>
      <c r="J1190" s="41" t="n"/>
      <c r="K1190" s="41" t="n"/>
      <c r="L1190" s="41" t="n"/>
      <c r="M1190" s="31">
        <f>IF(COUNT(J1190:L1190)=0,"",MEDIAN(J1190:L1190))</f>
        <v/>
      </c>
      <c r="N1190" s="26">
        <f>IF(COUNTIFS($C:$C,$C1190,$D:$D,$D1190,$E:$E,"P0(전)",$M:$M,"&gt;0")&lt;&gt;1,"P0(전) 유효 1개 아님",IF(COUNTIFS($C:$C,$C1190,$D:$D,$D1190,$E:$E,"P0(후)",$M:$M,"&gt;0")&lt;&gt;1,"P0(후) 유효 1개 아님",IF(NOT(AND(ISNUMBER(O1190),ISNUMBER(Q1190),ISNUMBER(I1190))),"시각 결측",IF(Q1190&lt;=O1190,"P0 시각 역전",IF(OR(I1190&lt;O1190,I1190&gt;Q1190),"측정시각 구간 밖","OK")))))</f>
        <v/>
      </c>
      <c r="O1190" s="48">
        <f>IF(COUNTIFS($C:$C,$C1190,$D:$D,$D1190,$E:$E,"P0(전)",$M:$M,"&gt;0")&lt;&gt;1,"",SUMIFS($I:$I,$C:$C,$C1190,$D:$D,$D1190,$E:$E,"P0(전)"))</f>
        <v/>
      </c>
      <c r="P1190" s="31">
        <f>IF(COUNTIFS($C:$C,$C1190,$D:$D,$D1190,$E:$E,"P0(전)",$M:$M,"&gt;0")&lt;&gt;1,"",SUMIFS($M:$M,$C:$C,$C1190,$D:$D,$D1190,$E:$E,"P0(전)"))</f>
        <v/>
      </c>
      <c r="Q1190" s="48">
        <f>IF(COUNTIFS($C:$C,$C1190,$D:$D,$D1190,$E:$E,"P0(후)",$M:$M,"&gt;0")&lt;&gt;1,"",SUMIFS($I:$I,$C:$C,$C1190,$D:$D,$D1190,$E:$E,"P0(후)"))</f>
        <v/>
      </c>
      <c r="R1190" s="31">
        <f>IF(COUNTIFS($C:$C,$C1190,$D:$D,$D1190,$E:$E,"P0(후)",$M:$M,"&gt;0")&lt;&gt;1,"",SUMIFS($M:$M,$C:$C,$C1190,$D:$D,$D1190,$E:$E,"P0(후)"))</f>
        <v/>
      </c>
      <c r="S1190" s="31">
        <f>IF(N1190&lt;&gt;"OK","",P1190+(R1190-P1190)*(I1190-O1190)/(Q1190-O1190))</f>
        <v/>
      </c>
      <c r="T1190" s="31">
        <f>IF(OR(N1190&lt;&gt;"OK",NOT(ISNUMBER(M1190))),"",M1190-S1190)</f>
        <v/>
      </c>
      <c r="U1190" s="49">
        <f>IF(OR(NOT(ISNUMBER(T1190)),IF(ISNUMBER(H1190),H1190,G1190)=0),"",T1190/IF(ISNUMBER(H1190),H1190,G1190))</f>
        <v/>
      </c>
      <c r="V1190" s="49">
        <f>IF(ISNUMBER(U1190),ABS(U1190),"")</f>
        <v/>
      </c>
      <c r="W1190" s="49">
        <f>IF(OR($E1189&lt;&gt;"측정",$C1189&lt;&gt;$C1190,$D1189&lt;&gt;$D1190,NOT(ISNUMBER(M1190)),NOT(ISNUMBER(M1189)),(IF(ISNUMBER(H1190),H1190,G1190)-IF(ISNUMBER(H1189),H1189,G1189))=0),"",(M1190-M1189)/(IF(ISNUMBER(H1190),H1190,G1190)-IF(ISNUMBER(H1189),H1189,G1189)))</f>
        <v/>
      </c>
      <c r="X1190" s="31">
        <f>IF(NOT(AND(ISNUMBER(O1190),ISNUMBER(Q1190))),"",(Q1190-O1190)*1440)</f>
        <v/>
      </c>
      <c r="Y1190" s="29" t="n"/>
      <c r="Z1190" s="29" t="n"/>
      <c r="AA1190" s="29" t="n"/>
      <c r="AB1190" s="32" t="n"/>
      <c r="AC1190" s="32" t="n"/>
    </row>
    <row r="1191">
      <c r="A1191" s="26" t="inlineStr">
        <is>
          <t>S23</t>
        </is>
      </c>
      <c r="B1191" s="26" t="inlineStr">
        <is>
          <t>덕산 신규점1</t>
        </is>
      </c>
      <c r="C1191" s="26" t="inlineStr">
        <is>
          <t>S23-H북</t>
        </is>
      </c>
      <c r="D1191" s="47" t="n">
        <v>1</v>
      </c>
      <c r="E1191" s="26" t="inlineStr">
        <is>
          <t>측정</t>
        </is>
      </c>
      <c r="F1191" s="26" t="inlineStr">
        <is>
          <t>북</t>
        </is>
      </c>
      <c r="G1191" s="31" t="n">
        <v>1</v>
      </c>
      <c r="H1191" s="30" t="n"/>
      <c r="I1191" s="43" t="n"/>
      <c r="J1191" s="41" t="n"/>
      <c r="K1191" s="41" t="n"/>
      <c r="L1191" s="41" t="n"/>
      <c r="M1191" s="31">
        <f>IF(COUNT(J1191:L1191)=0,"",MEDIAN(J1191:L1191))</f>
        <v/>
      </c>
      <c r="N1191" s="26">
        <f>IF(COUNTIFS($C:$C,$C1191,$D:$D,$D1191,$E:$E,"P0(전)",$M:$M,"&gt;0")&lt;&gt;1,"P0(전) 유효 1개 아님",IF(COUNTIFS($C:$C,$C1191,$D:$D,$D1191,$E:$E,"P0(후)",$M:$M,"&gt;0")&lt;&gt;1,"P0(후) 유효 1개 아님",IF(NOT(AND(ISNUMBER(O1191),ISNUMBER(Q1191),ISNUMBER(I1191))),"시각 결측",IF(Q1191&lt;=O1191,"P0 시각 역전",IF(OR(I1191&lt;O1191,I1191&gt;Q1191),"측정시각 구간 밖","OK")))))</f>
        <v/>
      </c>
      <c r="O1191" s="48">
        <f>IF(COUNTIFS($C:$C,$C1191,$D:$D,$D1191,$E:$E,"P0(전)",$M:$M,"&gt;0")&lt;&gt;1,"",SUMIFS($I:$I,$C:$C,$C1191,$D:$D,$D1191,$E:$E,"P0(전)"))</f>
        <v/>
      </c>
      <c r="P1191" s="31">
        <f>IF(COUNTIFS($C:$C,$C1191,$D:$D,$D1191,$E:$E,"P0(전)",$M:$M,"&gt;0")&lt;&gt;1,"",SUMIFS($M:$M,$C:$C,$C1191,$D:$D,$D1191,$E:$E,"P0(전)"))</f>
        <v/>
      </c>
      <c r="Q1191" s="48">
        <f>IF(COUNTIFS($C:$C,$C1191,$D:$D,$D1191,$E:$E,"P0(후)",$M:$M,"&gt;0")&lt;&gt;1,"",SUMIFS($I:$I,$C:$C,$C1191,$D:$D,$D1191,$E:$E,"P0(후)"))</f>
        <v/>
      </c>
      <c r="R1191" s="31">
        <f>IF(COUNTIFS($C:$C,$C1191,$D:$D,$D1191,$E:$E,"P0(후)",$M:$M,"&gt;0")&lt;&gt;1,"",SUMIFS($M:$M,$C:$C,$C1191,$D:$D,$D1191,$E:$E,"P0(후)"))</f>
        <v/>
      </c>
      <c r="S1191" s="31">
        <f>IF(N1191&lt;&gt;"OK","",P1191+(R1191-P1191)*(I1191-O1191)/(Q1191-O1191))</f>
        <v/>
      </c>
      <c r="T1191" s="31">
        <f>IF(OR(N1191&lt;&gt;"OK",NOT(ISNUMBER(M1191))),"",M1191-S1191)</f>
        <v/>
      </c>
      <c r="U1191" s="49">
        <f>IF(OR(NOT(ISNUMBER(T1191)),IF(ISNUMBER(H1191),H1191,G1191)=0),"",T1191/IF(ISNUMBER(H1191),H1191,G1191))</f>
        <v/>
      </c>
      <c r="V1191" s="49">
        <f>IF(ISNUMBER(U1191),ABS(U1191),"")</f>
        <v/>
      </c>
      <c r="W1191" s="49">
        <f>IF(OR($E1190&lt;&gt;"측정",$C1190&lt;&gt;$C1191,$D1190&lt;&gt;$D1191,NOT(ISNUMBER(M1191)),NOT(ISNUMBER(M1190)),(IF(ISNUMBER(H1191),H1191,G1191)-IF(ISNUMBER(H1190),H1190,G1190))=0),"",(M1191-M1190)/(IF(ISNUMBER(H1191),H1191,G1191)-IF(ISNUMBER(H1190),H1190,G1190)))</f>
        <v/>
      </c>
      <c r="X1191" s="31">
        <f>IF(NOT(AND(ISNUMBER(O1191),ISNUMBER(Q1191))),"",(Q1191-O1191)*1440)</f>
        <v/>
      </c>
      <c r="Y1191" s="29" t="n"/>
      <c r="Z1191" s="29" t="n"/>
      <c r="AA1191" s="29" t="n"/>
      <c r="AB1191" s="32" t="n"/>
      <c r="AC1191" s="32" t="n"/>
    </row>
    <row r="1192">
      <c r="A1192" s="26" t="inlineStr">
        <is>
          <t>S23</t>
        </is>
      </c>
      <c r="B1192" s="26" t="inlineStr">
        <is>
          <t>덕산 신규점1</t>
        </is>
      </c>
      <c r="C1192" s="26" t="inlineStr">
        <is>
          <t>S23-H북</t>
        </is>
      </c>
      <c r="D1192" s="47" t="n">
        <v>1</v>
      </c>
      <c r="E1192" s="26" t="inlineStr">
        <is>
          <t>측정</t>
        </is>
      </c>
      <c r="F1192" s="26" t="inlineStr">
        <is>
          <t>북</t>
        </is>
      </c>
      <c r="G1192" s="31" t="n">
        <v>2</v>
      </c>
      <c r="H1192" s="30" t="n"/>
      <c r="I1192" s="43" t="n"/>
      <c r="J1192" s="41" t="n"/>
      <c r="K1192" s="41" t="n"/>
      <c r="L1192" s="41" t="n"/>
      <c r="M1192" s="31">
        <f>IF(COUNT(J1192:L1192)=0,"",MEDIAN(J1192:L1192))</f>
        <v/>
      </c>
      <c r="N1192" s="26">
        <f>IF(COUNTIFS($C:$C,$C1192,$D:$D,$D1192,$E:$E,"P0(전)",$M:$M,"&gt;0")&lt;&gt;1,"P0(전) 유효 1개 아님",IF(COUNTIFS($C:$C,$C1192,$D:$D,$D1192,$E:$E,"P0(후)",$M:$M,"&gt;0")&lt;&gt;1,"P0(후) 유효 1개 아님",IF(NOT(AND(ISNUMBER(O1192),ISNUMBER(Q1192),ISNUMBER(I1192))),"시각 결측",IF(Q1192&lt;=O1192,"P0 시각 역전",IF(OR(I1192&lt;O1192,I1192&gt;Q1192),"측정시각 구간 밖","OK")))))</f>
        <v/>
      </c>
      <c r="O1192" s="48">
        <f>IF(COUNTIFS($C:$C,$C1192,$D:$D,$D1192,$E:$E,"P0(전)",$M:$M,"&gt;0")&lt;&gt;1,"",SUMIFS($I:$I,$C:$C,$C1192,$D:$D,$D1192,$E:$E,"P0(전)"))</f>
        <v/>
      </c>
      <c r="P1192" s="31">
        <f>IF(COUNTIFS($C:$C,$C1192,$D:$D,$D1192,$E:$E,"P0(전)",$M:$M,"&gt;0")&lt;&gt;1,"",SUMIFS($M:$M,$C:$C,$C1192,$D:$D,$D1192,$E:$E,"P0(전)"))</f>
        <v/>
      </c>
      <c r="Q1192" s="48">
        <f>IF(COUNTIFS($C:$C,$C1192,$D:$D,$D1192,$E:$E,"P0(후)",$M:$M,"&gt;0")&lt;&gt;1,"",SUMIFS($I:$I,$C:$C,$C1192,$D:$D,$D1192,$E:$E,"P0(후)"))</f>
        <v/>
      </c>
      <c r="R1192" s="31">
        <f>IF(COUNTIFS($C:$C,$C1192,$D:$D,$D1192,$E:$E,"P0(후)",$M:$M,"&gt;0")&lt;&gt;1,"",SUMIFS($M:$M,$C:$C,$C1192,$D:$D,$D1192,$E:$E,"P0(후)"))</f>
        <v/>
      </c>
      <c r="S1192" s="31">
        <f>IF(N1192&lt;&gt;"OK","",P1192+(R1192-P1192)*(I1192-O1192)/(Q1192-O1192))</f>
        <v/>
      </c>
      <c r="T1192" s="31">
        <f>IF(OR(N1192&lt;&gt;"OK",NOT(ISNUMBER(M1192))),"",M1192-S1192)</f>
        <v/>
      </c>
      <c r="U1192" s="49">
        <f>IF(OR(NOT(ISNUMBER(T1192)),IF(ISNUMBER(H1192),H1192,G1192)=0),"",T1192/IF(ISNUMBER(H1192),H1192,G1192))</f>
        <v/>
      </c>
      <c r="V1192" s="49">
        <f>IF(ISNUMBER(U1192),ABS(U1192),"")</f>
        <v/>
      </c>
      <c r="W1192" s="49">
        <f>IF(OR($E1191&lt;&gt;"측정",$C1191&lt;&gt;$C1192,$D1191&lt;&gt;$D1192,NOT(ISNUMBER(M1192)),NOT(ISNUMBER(M1191)),(IF(ISNUMBER(H1192),H1192,G1192)-IF(ISNUMBER(H1191),H1191,G1191))=0),"",(M1192-M1191)/(IF(ISNUMBER(H1192),H1192,G1192)-IF(ISNUMBER(H1191),H1191,G1191)))</f>
        <v/>
      </c>
      <c r="X1192" s="31">
        <f>IF(NOT(AND(ISNUMBER(O1192),ISNUMBER(Q1192))),"",(Q1192-O1192)*1440)</f>
        <v/>
      </c>
      <c r="Y1192" s="29" t="n"/>
      <c r="Z1192" s="29" t="n"/>
      <c r="AA1192" s="29" t="n"/>
      <c r="AB1192" s="32" t="n"/>
      <c r="AC1192" s="32" t="n"/>
    </row>
    <row r="1193">
      <c r="A1193" s="26" t="inlineStr">
        <is>
          <t>S23</t>
        </is>
      </c>
      <c r="B1193" s="26" t="inlineStr">
        <is>
          <t>덕산 신규점1</t>
        </is>
      </c>
      <c r="C1193" s="26" t="inlineStr">
        <is>
          <t>S23-H북</t>
        </is>
      </c>
      <c r="D1193" s="47" t="n">
        <v>1</v>
      </c>
      <c r="E1193" s="26" t="inlineStr">
        <is>
          <t>측정</t>
        </is>
      </c>
      <c r="F1193" s="26" t="inlineStr">
        <is>
          <t>북</t>
        </is>
      </c>
      <c r="G1193" s="31" t="n">
        <v>3</v>
      </c>
      <c r="H1193" s="30" t="n"/>
      <c r="I1193" s="43" t="n"/>
      <c r="J1193" s="41" t="n"/>
      <c r="K1193" s="41" t="n"/>
      <c r="L1193" s="41" t="n"/>
      <c r="M1193" s="31">
        <f>IF(COUNT(J1193:L1193)=0,"",MEDIAN(J1193:L1193))</f>
        <v/>
      </c>
      <c r="N1193" s="26">
        <f>IF(COUNTIFS($C:$C,$C1193,$D:$D,$D1193,$E:$E,"P0(전)",$M:$M,"&gt;0")&lt;&gt;1,"P0(전) 유효 1개 아님",IF(COUNTIFS($C:$C,$C1193,$D:$D,$D1193,$E:$E,"P0(후)",$M:$M,"&gt;0")&lt;&gt;1,"P0(후) 유효 1개 아님",IF(NOT(AND(ISNUMBER(O1193),ISNUMBER(Q1193),ISNUMBER(I1193))),"시각 결측",IF(Q1193&lt;=O1193,"P0 시각 역전",IF(OR(I1193&lt;O1193,I1193&gt;Q1193),"측정시각 구간 밖","OK")))))</f>
        <v/>
      </c>
      <c r="O1193" s="48">
        <f>IF(COUNTIFS($C:$C,$C1193,$D:$D,$D1193,$E:$E,"P0(전)",$M:$M,"&gt;0")&lt;&gt;1,"",SUMIFS($I:$I,$C:$C,$C1193,$D:$D,$D1193,$E:$E,"P0(전)"))</f>
        <v/>
      </c>
      <c r="P1193" s="31">
        <f>IF(COUNTIFS($C:$C,$C1193,$D:$D,$D1193,$E:$E,"P0(전)",$M:$M,"&gt;0")&lt;&gt;1,"",SUMIFS($M:$M,$C:$C,$C1193,$D:$D,$D1193,$E:$E,"P0(전)"))</f>
        <v/>
      </c>
      <c r="Q1193" s="48">
        <f>IF(COUNTIFS($C:$C,$C1193,$D:$D,$D1193,$E:$E,"P0(후)",$M:$M,"&gt;0")&lt;&gt;1,"",SUMIFS($I:$I,$C:$C,$C1193,$D:$D,$D1193,$E:$E,"P0(후)"))</f>
        <v/>
      </c>
      <c r="R1193" s="31">
        <f>IF(COUNTIFS($C:$C,$C1193,$D:$D,$D1193,$E:$E,"P0(후)",$M:$M,"&gt;0")&lt;&gt;1,"",SUMIFS($M:$M,$C:$C,$C1193,$D:$D,$D1193,$E:$E,"P0(후)"))</f>
        <v/>
      </c>
      <c r="S1193" s="31">
        <f>IF(N1193&lt;&gt;"OK","",P1193+(R1193-P1193)*(I1193-O1193)/(Q1193-O1193))</f>
        <v/>
      </c>
      <c r="T1193" s="31">
        <f>IF(OR(N1193&lt;&gt;"OK",NOT(ISNUMBER(M1193))),"",M1193-S1193)</f>
        <v/>
      </c>
      <c r="U1193" s="49">
        <f>IF(OR(NOT(ISNUMBER(T1193)),IF(ISNUMBER(H1193),H1193,G1193)=0),"",T1193/IF(ISNUMBER(H1193),H1193,G1193))</f>
        <v/>
      </c>
      <c r="V1193" s="49">
        <f>IF(ISNUMBER(U1193),ABS(U1193),"")</f>
        <v/>
      </c>
      <c r="W1193" s="49">
        <f>IF(OR($E1192&lt;&gt;"측정",$C1192&lt;&gt;$C1193,$D1192&lt;&gt;$D1193,NOT(ISNUMBER(M1193)),NOT(ISNUMBER(M1192)),(IF(ISNUMBER(H1193),H1193,G1193)-IF(ISNUMBER(H1192),H1192,G1192))=0),"",(M1193-M1192)/(IF(ISNUMBER(H1193),H1193,G1193)-IF(ISNUMBER(H1192),H1192,G1192)))</f>
        <v/>
      </c>
      <c r="X1193" s="31">
        <f>IF(NOT(AND(ISNUMBER(O1193),ISNUMBER(Q1193))),"",(Q1193-O1193)*1440)</f>
        <v/>
      </c>
      <c r="Y1193" s="29" t="n"/>
      <c r="Z1193" s="29" t="n"/>
      <c r="AA1193" s="29" t="n"/>
      <c r="AB1193" s="32" t="n"/>
      <c r="AC1193" s="32" t="n"/>
    </row>
    <row r="1194">
      <c r="A1194" s="26" t="inlineStr">
        <is>
          <t>S23</t>
        </is>
      </c>
      <c r="B1194" s="26" t="inlineStr">
        <is>
          <t>덕산 신규점1</t>
        </is>
      </c>
      <c r="C1194" s="26" t="inlineStr">
        <is>
          <t>S23-H북</t>
        </is>
      </c>
      <c r="D1194" s="47" t="n">
        <v>1</v>
      </c>
      <c r="E1194" s="26" t="inlineStr">
        <is>
          <t>측정</t>
        </is>
      </c>
      <c r="F1194" s="26" t="inlineStr">
        <is>
          <t>북</t>
        </is>
      </c>
      <c r="G1194" s="31" t="n">
        <v>4</v>
      </c>
      <c r="H1194" s="30" t="n"/>
      <c r="I1194" s="43" t="n"/>
      <c r="J1194" s="41" t="n"/>
      <c r="K1194" s="41" t="n"/>
      <c r="L1194" s="41" t="n"/>
      <c r="M1194" s="31">
        <f>IF(COUNT(J1194:L1194)=0,"",MEDIAN(J1194:L1194))</f>
        <v/>
      </c>
      <c r="N1194" s="26">
        <f>IF(COUNTIFS($C:$C,$C1194,$D:$D,$D1194,$E:$E,"P0(전)",$M:$M,"&gt;0")&lt;&gt;1,"P0(전) 유효 1개 아님",IF(COUNTIFS($C:$C,$C1194,$D:$D,$D1194,$E:$E,"P0(후)",$M:$M,"&gt;0")&lt;&gt;1,"P0(후) 유효 1개 아님",IF(NOT(AND(ISNUMBER(O1194),ISNUMBER(Q1194),ISNUMBER(I1194))),"시각 결측",IF(Q1194&lt;=O1194,"P0 시각 역전",IF(OR(I1194&lt;O1194,I1194&gt;Q1194),"측정시각 구간 밖","OK")))))</f>
        <v/>
      </c>
      <c r="O1194" s="48">
        <f>IF(COUNTIFS($C:$C,$C1194,$D:$D,$D1194,$E:$E,"P0(전)",$M:$M,"&gt;0")&lt;&gt;1,"",SUMIFS($I:$I,$C:$C,$C1194,$D:$D,$D1194,$E:$E,"P0(전)"))</f>
        <v/>
      </c>
      <c r="P1194" s="31">
        <f>IF(COUNTIFS($C:$C,$C1194,$D:$D,$D1194,$E:$E,"P0(전)",$M:$M,"&gt;0")&lt;&gt;1,"",SUMIFS($M:$M,$C:$C,$C1194,$D:$D,$D1194,$E:$E,"P0(전)"))</f>
        <v/>
      </c>
      <c r="Q1194" s="48">
        <f>IF(COUNTIFS($C:$C,$C1194,$D:$D,$D1194,$E:$E,"P0(후)",$M:$M,"&gt;0")&lt;&gt;1,"",SUMIFS($I:$I,$C:$C,$C1194,$D:$D,$D1194,$E:$E,"P0(후)"))</f>
        <v/>
      </c>
      <c r="R1194" s="31">
        <f>IF(COUNTIFS($C:$C,$C1194,$D:$D,$D1194,$E:$E,"P0(후)",$M:$M,"&gt;0")&lt;&gt;1,"",SUMIFS($M:$M,$C:$C,$C1194,$D:$D,$D1194,$E:$E,"P0(후)"))</f>
        <v/>
      </c>
      <c r="S1194" s="31">
        <f>IF(N1194&lt;&gt;"OK","",P1194+(R1194-P1194)*(I1194-O1194)/(Q1194-O1194))</f>
        <v/>
      </c>
      <c r="T1194" s="31">
        <f>IF(OR(N1194&lt;&gt;"OK",NOT(ISNUMBER(M1194))),"",M1194-S1194)</f>
        <v/>
      </c>
      <c r="U1194" s="49">
        <f>IF(OR(NOT(ISNUMBER(T1194)),IF(ISNUMBER(H1194),H1194,G1194)=0),"",T1194/IF(ISNUMBER(H1194),H1194,G1194))</f>
        <v/>
      </c>
      <c r="V1194" s="49">
        <f>IF(ISNUMBER(U1194),ABS(U1194),"")</f>
        <v/>
      </c>
      <c r="W1194" s="49">
        <f>IF(OR($E1193&lt;&gt;"측정",$C1193&lt;&gt;$C1194,$D1193&lt;&gt;$D1194,NOT(ISNUMBER(M1194)),NOT(ISNUMBER(M1193)),(IF(ISNUMBER(H1194),H1194,G1194)-IF(ISNUMBER(H1193),H1193,G1193))=0),"",(M1194-M1193)/(IF(ISNUMBER(H1194),H1194,G1194)-IF(ISNUMBER(H1193),H1193,G1193)))</f>
        <v/>
      </c>
      <c r="X1194" s="31">
        <f>IF(NOT(AND(ISNUMBER(O1194),ISNUMBER(Q1194))),"",(Q1194-O1194)*1440)</f>
        <v/>
      </c>
      <c r="Y1194" s="29" t="n"/>
      <c r="Z1194" s="29" t="n"/>
      <c r="AA1194" s="29" t="n"/>
      <c r="AB1194" s="32" t="n"/>
      <c r="AC1194" s="32" t="n"/>
    </row>
    <row r="1195">
      <c r="A1195" s="26" t="inlineStr">
        <is>
          <t>S23</t>
        </is>
      </c>
      <c r="B1195" s="26" t="inlineStr">
        <is>
          <t>덕산 신규점1</t>
        </is>
      </c>
      <c r="C1195" s="26" t="inlineStr">
        <is>
          <t>S23-H북</t>
        </is>
      </c>
      <c r="D1195" s="47" t="n">
        <v>1</v>
      </c>
      <c r="E1195" s="26" t="inlineStr">
        <is>
          <t>측정</t>
        </is>
      </c>
      <c r="F1195" s="26" t="inlineStr">
        <is>
          <t>북</t>
        </is>
      </c>
      <c r="G1195" s="31" t="n">
        <v>5</v>
      </c>
      <c r="H1195" s="30" t="n"/>
      <c r="I1195" s="43" t="n"/>
      <c r="J1195" s="41" t="n"/>
      <c r="K1195" s="41" t="n"/>
      <c r="L1195" s="41" t="n"/>
      <c r="M1195" s="31">
        <f>IF(COUNT(J1195:L1195)=0,"",MEDIAN(J1195:L1195))</f>
        <v/>
      </c>
      <c r="N1195" s="26">
        <f>IF(COUNTIFS($C:$C,$C1195,$D:$D,$D1195,$E:$E,"P0(전)",$M:$M,"&gt;0")&lt;&gt;1,"P0(전) 유효 1개 아님",IF(COUNTIFS($C:$C,$C1195,$D:$D,$D1195,$E:$E,"P0(후)",$M:$M,"&gt;0")&lt;&gt;1,"P0(후) 유효 1개 아님",IF(NOT(AND(ISNUMBER(O1195),ISNUMBER(Q1195),ISNUMBER(I1195))),"시각 결측",IF(Q1195&lt;=O1195,"P0 시각 역전",IF(OR(I1195&lt;O1195,I1195&gt;Q1195),"측정시각 구간 밖","OK")))))</f>
        <v/>
      </c>
      <c r="O1195" s="48">
        <f>IF(COUNTIFS($C:$C,$C1195,$D:$D,$D1195,$E:$E,"P0(전)",$M:$M,"&gt;0")&lt;&gt;1,"",SUMIFS($I:$I,$C:$C,$C1195,$D:$D,$D1195,$E:$E,"P0(전)"))</f>
        <v/>
      </c>
      <c r="P1195" s="31">
        <f>IF(COUNTIFS($C:$C,$C1195,$D:$D,$D1195,$E:$E,"P0(전)",$M:$M,"&gt;0")&lt;&gt;1,"",SUMIFS($M:$M,$C:$C,$C1195,$D:$D,$D1195,$E:$E,"P0(전)"))</f>
        <v/>
      </c>
      <c r="Q1195" s="48">
        <f>IF(COUNTIFS($C:$C,$C1195,$D:$D,$D1195,$E:$E,"P0(후)",$M:$M,"&gt;0")&lt;&gt;1,"",SUMIFS($I:$I,$C:$C,$C1195,$D:$D,$D1195,$E:$E,"P0(후)"))</f>
        <v/>
      </c>
      <c r="R1195" s="31">
        <f>IF(COUNTIFS($C:$C,$C1195,$D:$D,$D1195,$E:$E,"P0(후)",$M:$M,"&gt;0")&lt;&gt;1,"",SUMIFS($M:$M,$C:$C,$C1195,$D:$D,$D1195,$E:$E,"P0(후)"))</f>
        <v/>
      </c>
      <c r="S1195" s="31">
        <f>IF(N1195&lt;&gt;"OK","",P1195+(R1195-P1195)*(I1195-O1195)/(Q1195-O1195))</f>
        <v/>
      </c>
      <c r="T1195" s="31">
        <f>IF(OR(N1195&lt;&gt;"OK",NOT(ISNUMBER(M1195))),"",M1195-S1195)</f>
        <v/>
      </c>
      <c r="U1195" s="49">
        <f>IF(OR(NOT(ISNUMBER(T1195)),IF(ISNUMBER(H1195),H1195,G1195)=0),"",T1195/IF(ISNUMBER(H1195),H1195,G1195))</f>
        <v/>
      </c>
      <c r="V1195" s="49">
        <f>IF(ISNUMBER(U1195),ABS(U1195),"")</f>
        <v/>
      </c>
      <c r="W1195" s="49">
        <f>IF(OR($E1194&lt;&gt;"측정",$C1194&lt;&gt;$C1195,$D1194&lt;&gt;$D1195,NOT(ISNUMBER(M1195)),NOT(ISNUMBER(M1194)),(IF(ISNUMBER(H1195),H1195,G1195)-IF(ISNUMBER(H1194),H1194,G1194))=0),"",(M1195-M1194)/(IF(ISNUMBER(H1195),H1195,G1195)-IF(ISNUMBER(H1194),H1194,G1194)))</f>
        <v/>
      </c>
      <c r="X1195" s="31">
        <f>IF(NOT(AND(ISNUMBER(O1195),ISNUMBER(Q1195))),"",(Q1195-O1195)*1440)</f>
        <v/>
      </c>
      <c r="Y1195" s="29" t="n"/>
      <c r="Z1195" s="29" t="n"/>
      <c r="AA1195" s="29" t="n"/>
      <c r="AB1195" s="32" t="n"/>
      <c r="AC1195" s="32" t="n"/>
    </row>
    <row r="1196">
      <c r="A1196" s="26" t="inlineStr">
        <is>
          <t>S23</t>
        </is>
      </c>
      <c r="B1196" s="26" t="inlineStr">
        <is>
          <t>덕산 신규점1</t>
        </is>
      </c>
      <c r="C1196" s="26" t="inlineStr">
        <is>
          <t>S23-H북</t>
        </is>
      </c>
      <c r="D1196" s="47" t="n">
        <v>1</v>
      </c>
      <c r="E1196" s="26" t="inlineStr">
        <is>
          <t>측정</t>
        </is>
      </c>
      <c r="F1196" s="26" t="inlineStr">
        <is>
          <t>북</t>
        </is>
      </c>
      <c r="G1196" s="31" t="n">
        <v>6</v>
      </c>
      <c r="H1196" s="30" t="n"/>
      <c r="I1196" s="43" t="n"/>
      <c r="J1196" s="41" t="n"/>
      <c r="K1196" s="41" t="n"/>
      <c r="L1196" s="41" t="n"/>
      <c r="M1196" s="31">
        <f>IF(COUNT(J1196:L1196)=0,"",MEDIAN(J1196:L1196))</f>
        <v/>
      </c>
      <c r="N1196" s="26">
        <f>IF(COUNTIFS($C:$C,$C1196,$D:$D,$D1196,$E:$E,"P0(전)",$M:$M,"&gt;0")&lt;&gt;1,"P0(전) 유효 1개 아님",IF(COUNTIFS($C:$C,$C1196,$D:$D,$D1196,$E:$E,"P0(후)",$M:$M,"&gt;0")&lt;&gt;1,"P0(후) 유효 1개 아님",IF(NOT(AND(ISNUMBER(O1196),ISNUMBER(Q1196),ISNUMBER(I1196))),"시각 결측",IF(Q1196&lt;=O1196,"P0 시각 역전",IF(OR(I1196&lt;O1196,I1196&gt;Q1196),"측정시각 구간 밖","OK")))))</f>
        <v/>
      </c>
      <c r="O1196" s="48">
        <f>IF(COUNTIFS($C:$C,$C1196,$D:$D,$D1196,$E:$E,"P0(전)",$M:$M,"&gt;0")&lt;&gt;1,"",SUMIFS($I:$I,$C:$C,$C1196,$D:$D,$D1196,$E:$E,"P0(전)"))</f>
        <v/>
      </c>
      <c r="P1196" s="31">
        <f>IF(COUNTIFS($C:$C,$C1196,$D:$D,$D1196,$E:$E,"P0(전)",$M:$M,"&gt;0")&lt;&gt;1,"",SUMIFS($M:$M,$C:$C,$C1196,$D:$D,$D1196,$E:$E,"P0(전)"))</f>
        <v/>
      </c>
      <c r="Q1196" s="48">
        <f>IF(COUNTIFS($C:$C,$C1196,$D:$D,$D1196,$E:$E,"P0(후)",$M:$M,"&gt;0")&lt;&gt;1,"",SUMIFS($I:$I,$C:$C,$C1196,$D:$D,$D1196,$E:$E,"P0(후)"))</f>
        <v/>
      </c>
      <c r="R1196" s="31">
        <f>IF(COUNTIFS($C:$C,$C1196,$D:$D,$D1196,$E:$E,"P0(후)",$M:$M,"&gt;0")&lt;&gt;1,"",SUMIFS($M:$M,$C:$C,$C1196,$D:$D,$D1196,$E:$E,"P0(후)"))</f>
        <v/>
      </c>
      <c r="S1196" s="31">
        <f>IF(N1196&lt;&gt;"OK","",P1196+(R1196-P1196)*(I1196-O1196)/(Q1196-O1196))</f>
        <v/>
      </c>
      <c r="T1196" s="31">
        <f>IF(OR(N1196&lt;&gt;"OK",NOT(ISNUMBER(M1196))),"",M1196-S1196)</f>
        <v/>
      </c>
      <c r="U1196" s="49">
        <f>IF(OR(NOT(ISNUMBER(T1196)),IF(ISNUMBER(H1196),H1196,G1196)=0),"",T1196/IF(ISNUMBER(H1196),H1196,G1196))</f>
        <v/>
      </c>
      <c r="V1196" s="49">
        <f>IF(ISNUMBER(U1196),ABS(U1196),"")</f>
        <v/>
      </c>
      <c r="W1196" s="49">
        <f>IF(OR($E1195&lt;&gt;"측정",$C1195&lt;&gt;$C1196,$D1195&lt;&gt;$D1196,NOT(ISNUMBER(M1196)),NOT(ISNUMBER(M1195)),(IF(ISNUMBER(H1196),H1196,G1196)-IF(ISNUMBER(H1195),H1195,G1195))=0),"",(M1196-M1195)/(IF(ISNUMBER(H1196),H1196,G1196)-IF(ISNUMBER(H1195),H1195,G1195)))</f>
        <v/>
      </c>
      <c r="X1196" s="31">
        <f>IF(NOT(AND(ISNUMBER(O1196),ISNUMBER(Q1196))),"",(Q1196-O1196)*1440)</f>
        <v/>
      </c>
      <c r="Y1196" s="29" t="n"/>
      <c r="Z1196" s="29" t="n"/>
      <c r="AA1196" s="29" t="n"/>
      <c r="AB1196" s="32" t="n"/>
      <c r="AC1196" s="32" t="n"/>
    </row>
    <row r="1197">
      <c r="A1197" s="26" t="inlineStr">
        <is>
          <t>S23</t>
        </is>
      </c>
      <c r="B1197" s="26" t="inlineStr">
        <is>
          <t>덕산 신규점1</t>
        </is>
      </c>
      <c r="C1197" s="26" t="inlineStr">
        <is>
          <t>S23-H북</t>
        </is>
      </c>
      <c r="D1197" s="47" t="n">
        <v>1</v>
      </c>
      <c r="E1197" s="26" t="inlineStr">
        <is>
          <t>측정</t>
        </is>
      </c>
      <c r="F1197" s="26" t="inlineStr">
        <is>
          <t>북</t>
        </is>
      </c>
      <c r="G1197" s="31" t="n">
        <v>7</v>
      </c>
      <c r="H1197" s="30" t="n"/>
      <c r="I1197" s="43" t="n"/>
      <c r="J1197" s="41" t="n"/>
      <c r="K1197" s="41" t="n"/>
      <c r="L1197" s="41" t="n"/>
      <c r="M1197" s="31">
        <f>IF(COUNT(J1197:L1197)=0,"",MEDIAN(J1197:L1197))</f>
        <v/>
      </c>
      <c r="N1197" s="26">
        <f>IF(COUNTIFS($C:$C,$C1197,$D:$D,$D1197,$E:$E,"P0(전)",$M:$M,"&gt;0")&lt;&gt;1,"P0(전) 유효 1개 아님",IF(COUNTIFS($C:$C,$C1197,$D:$D,$D1197,$E:$E,"P0(후)",$M:$M,"&gt;0")&lt;&gt;1,"P0(후) 유효 1개 아님",IF(NOT(AND(ISNUMBER(O1197),ISNUMBER(Q1197),ISNUMBER(I1197))),"시각 결측",IF(Q1197&lt;=O1197,"P0 시각 역전",IF(OR(I1197&lt;O1197,I1197&gt;Q1197),"측정시각 구간 밖","OK")))))</f>
        <v/>
      </c>
      <c r="O1197" s="48">
        <f>IF(COUNTIFS($C:$C,$C1197,$D:$D,$D1197,$E:$E,"P0(전)",$M:$M,"&gt;0")&lt;&gt;1,"",SUMIFS($I:$I,$C:$C,$C1197,$D:$D,$D1197,$E:$E,"P0(전)"))</f>
        <v/>
      </c>
      <c r="P1197" s="31">
        <f>IF(COUNTIFS($C:$C,$C1197,$D:$D,$D1197,$E:$E,"P0(전)",$M:$M,"&gt;0")&lt;&gt;1,"",SUMIFS($M:$M,$C:$C,$C1197,$D:$D,$D1197,$E:$E,"P0(전)"))</f>
        <v/>
      </c>
      <c r="Q1197" s="48">
        <f>IF(COUNTIFS($C:$C,$C1197,$D:$D,$D1197,$E:$E,"P0(후)",$M:$M,"&gt;0")&lt;&gt;1,"",SUMIFS($I:$I,$C:$C,$C1197,$D:$D,$D1197,$E:$E,"P0(후)"))</f>
        <v/>
      </c>
      <c r="R1197" s="31">
        <f>IF(COUNTIFS($C:$C,$C1197,$D:$D,$D1197,$E:$E,"P0(후)",$M:$M,"&gt;0")&lt;&gt;1,"",SUMIFS($M:$M,$C:$C,$C1197,$D:$D,$D1197,$E:$E,"P0(후)"))</f>
        <v/>
      </c>
      <c r="S1197" s="31">
        <f>IF(N1197&lt;&gt;"OK","",P1197+(R1197-P1197)*(I1197-O1197)/(Q1197-O1197))</f>
        <v/>
      </c>
      <c r="T1197" s="31">
        <f>IF(OR(N1197&lt;&gt;"OK",NOT(ISNUMBER(M1197))),"",M1197-S1197)</f>
        <v/>
      </c>
      <c r="U1197" s="49">
        <f>IF(OR(NOT(ISNUMBER(T1197)),IF(ISNUMBER(H1197),H1197,G1197)=0),"",T1197/IF(ISNUMBER(H1197),H1197,G1197))</f>
        <v/>
      </c>
      <c r="V1197" s="49">
        <f>IF(ISNUMBER(U1197),ABS(U1197),"")</f>
        <v/>
      </c>
      <c r="W1197" s="49">
        <f>IF(OR($E1196&lt;&gt;"측정",$C1196&lt;&gt;$C1197,$D1196&lt;&gt;$D1197,NOT(ISNUMBER(M1197)),NOT(ISNUMBER(M1196)),(IF(ISNUMBER(H1197),H1197,G1197)-IF(ISNUMBER(H1196),H1196,G1196))=0),"",(M1197-M1196)/(IF(ISNUMBER(H1197),H1197,G1197)-IF(ISNUMBER(H1196),H1196,G1196)))</f>
        <v/>
      </c>
      <c r="X1197" s="31">
        <f>IF(NOT(AND(ISNUMBER(O1197),ISNUMBER(Q1197))),"",(Q1197-O1197)*1440)</f>
        <v/>
      </c>
      <c r="Y1197" s="29" t="n"/>
      <c r="Z1197" s="29" t="n"/>
      <c r="AA1197" s="29" t="n"/>
      <c r="AB1197" s="32" t="n"/>
      <c r="AC1197" s="32" t="n"/>
    </row>
    <row r="1198">
      <c r="A1198" s="26" t="inlineStr">
        <is>
          <t>S23</t>
        </is>
      </c>
      <c r="B1198" s="26" t="inlineStr">
        <is>
          <t>덕산 신규점1</t>
        </is>
      </c>
      <c r="C1198" s="26" t="inlineStr">
        <is>
          <t>S23-H북</t>
        </is>
      </c>
      <c r="D1198" s="47" t="n">
        <v>1</v>
      </c>
      <c r="E1198" s="26" t="inlineStr">
        <is>
          <t>측정</t>
        </is>
      </c>
      <c r="F1198" s="26" t="inlineStr">
        <is>
          <t>북</t>
        </is>
      </c>
      <c r="G1198" s="31" t="n">
        <v>8</v>
      </c>
      <c r="H1198" s="30" t="n"/>
      <c r="I1198" s="43" t="n"/>
      <c r="J1198" s="41" t="n"/>
      <c r="K1198" s="41" t="n"/>
      <c r="L1198" s="41" t="n"/>
      <c r="M1198" s="31">
        <f>IF(COUNT(J1198:L1198)=0,"",MEDIAN(J1198:L1198))</f>
        <v/>
      </c>
      <c r="N1198" s="26">
        <f>IF(COUNTIFS($C:$C,$C1198,$D:$D,$D1198,$E:$E,"P0(전)",$M:$M,"&gt;0")&lt;&gt;1,"P0(전) 유효 1개 아님",IF(COUNTIFS($C:$C,$C1198,$D:$D,$D1198,$E:$E,"P0(후)",$M:$M,"&gt;0")&lt;&gt;1,"P0(후) 유효 1개 아님",IF(NOT(AND(ISNUMBER(O1198),ISNUMBER(Q1198),ISNUMBER(I1198))),"시각 결측",IF(Q1198&lt;=O1198,"P0 시각 역전",IF(OR(I1198&lt;O1198,I1198&gt;Q1198),"측정시각 구간 밖","OK")))))</f>
        <v/>
      </c>
      <c r="O1198" s="48">
        <f>IF(COUNTIFS($C:$C,$C1198,$D:$D,$D1198,$E:$E,"P0(전)",$M:$M,"&gt;0")&lt;&gt;1,"",SUMIFS($I:$I,$C:$C,$C1198,$D:$D,$D1198,$E:$E,"P0(전)"))</f>
        <v/>
      </c>
      <c r="P1198" s="31">
        <f>IF(COUNTIFS($C:$C,$C1198,$D:$D,$D1198,$E:$E,"P0(전)",$M:$M,"&gt;0")&lt;&gt;1,"",SUMIFS($M:$M,$C:$C,$C1198,$D:$D,$D1198,$E:$E,"P0(전)"))</f>
        <v/>
      </c>
      <c r="Q1198" s="48">
        <f>IF(COUNTIFS($C:$C,$C1198,$D:$D,$D1198,$E:$E,"P0(후)",$M:$M,"&gt;0")&lt;&gt;1,"",SUMIFS($I:$I,$C:$C,$C1198,$D:$D,$D1198,$E:$E,"P0(후)"))</f>
        <v/>
      </c>
      <c r="R1198" s="31">
        <f>IF(COUNTIFS($C:$C,$C1198,$D:$D,$D1198,$E:$E,"P0(후)",$M:$M,"&gt;0")&lt;&gt;1,"",SUMIFS($M:$M,$C:$C,$C1198,$D:$D,$D1198,$E:$E,"P0(후)"))</f>
        <v/>
      </c>
      <c r="S1198" s="31">
        <f>IF(N1198&lt;&gt;"OK","",P1198+(R1198-P1198)*(I1198-O1198)/(Q1198-O1198))</f>
        <v/>
      </c>
      <c r="T1198" s="31">
        <f>IF(OR(N1198&lt;&gt;"OK",NOT(ISNUMBER(M1198))),"",M1198-S1198)</f>
        <v/>
      </c>
      <c r="U1198" s="49">
        <f>IF(OR(NOT(ISNUMBER(T1198)),IF(ISNUMBER(H1198),H1198,G1198)=0),"",T1198/IF(ISNUMBER(H1198),H1198,G1198))</f>
        <v/>
      </c>
      <c r="V1198" s="49">
        <f>IF(ISNUMBER(U1198),ABS(U1198),"")</f>
        <v/>
      </c>
      <c r="W1198" s="49">
        <f>IF(OR($E1197&lt;&gt;"측정",$C1197&lt;&gt;$C1198,$D1197&lt;&gt;$D1198,NOT(ISNUMBER(M1198)),NOT(ISNUMBER(M1197)),(IF(ISNUMBER(H1198),H1198,G1198)-IF(ISNUMBER(H1197),H1197,G1197))=0),"",(M1198-M1197)/(IF(ISNUMBER(H1198),H1198,G1198)-IF(ISNUMBER(H1197),H1197,G1197)))</f>
        <v/>
      </c>
      <c r="X1198" s="31">
        <f>IF(NOT(AND(ISNUMBER(O1198),ISNUMBER(Q1198))),"",(Q1198-O1198)*1440)</f>
        <v/>
      </c>
      <c r="Y1198" s="29" t="n"/>
      <c r="Z1198" s="29" t="n"/>
      <c r="AA1198" s="29" t="n"/>
      <c r="AB1198" s="32" t="n"/>
      <c r="AC1198" s="32" t="n"/>
    </row>
    <row r="1199">
      <c r="A1199" s="26" t="inlineStr">
        <is>
          <t>S23</t>
        </is>
      </c>
      <c r="B1199" s="26" t="inlineStr">
        <is>
          <t>덕산 신규점1</t>
        </is>
      </c>
      <c r="C1199" s="26" t="inlineStr">
        <is>
          <t>S23-H북</t>
        </is>
      </c>
      <c r="D1199" s="47" t="n">
        <v>1</v>
      </c>
      <c r="E1199" s="26" t="inlineStr">
        <is>
          <t>측정</t>
        </is>
      </c>
      <c r="F1199" s="26" t="inlineStr">
        <is>
          <t>북</t>
        </is>
      </c>
      <c r="G1199" s="31" t="n">
        <v>9</v>
      </c>
      <c r="H1199" s="30" t="n"/>
      <c r="I1199" s="43" t="n"/>
      <c r="J1199" s="41" t="n"/>
      <c r="K1199" s="41" t="n"/>
      <c r="L1199" s="41" t="n"/>
      <c r="M1199" s="31">
        <f>IF(COUNT(J1199:L1199)=0,"",MEDIAN(J1199:L1199))</f>
        <v/>
      </c>
      <c r="N1199" s="26">
        <f>IF(COUNTIFS($C:$C,$C1199,$D:$D,$D1199,$E:$E,"P0(전)",$M:$M,"&gt;0")&lt;&gt;1,"P0(전) 유효 1개 아님",IF(COUNTIFS($C:$C,$C1199,$D:$D,$D1199,$E:$E,"P0(후)",$M:$M,"&gt;0")&lt;&gt;1,"P0(후) 유효 1개 아님",IF(NOT(AND(ISNUMBER(O1199),ISNUMBER(Q1199),ISNUMBER(I1199))),"시각 결측",IF(Q1199&lt;=O1199,"P0 시각 역전",IF(OR(I1199&lt;O1199,I1199&gt;Q1199),"측정시각 구간 밖","OK")))))</f>
        <v/>
      </c>
      <c r="O1199" s="48">
        <f>IF(COUNTIFS($C:$C,$C1199,$D:$D,$D1199,$E:$E,"P0(전)",$M:$M,"&gt;0")&lt;&gt;1,"",SUMIFS($I:$I,$C:$C,$C1199,$D:$D,$D1199,$E:$E,"P0(전)"))</f>
        <v/>
      </c>
      <c r="P1199" s="31">
        <f>IF(COUNTIFS($C:$C,$C1199,$D:$D,$D1199,$E:$E,"P0(전)",$M:$M,"&gt;0")&lt;&gt;1,"",SUMIFS($M:$M,$C:$C,$C1199,$D:$D,$D1199,$E:$E,"P0(전)"))</f>
        <v/>
      </c>
      <c r="Q1199" s="48">
        <f>IF(COUNTIFS($C:$C,$C1199,$D:$D,$D1199,$E:$E,"P0(후)",$M:$M,"&gt;0")&lt;&gt;1,"",SUMIFS($I:$I,$C:$C,$C1199,$D:$D,$D1199,$E:$E,"P0(후)"))</f>
        <v/>
      </c>
      <c r="R1199" s="31">
        <f>IF(COUNTIFS($C:$C,$C1199,$D:$D,$D1199,$E:$E,"P0(후)",$M:$M,"&gt;0")&lt;&gt;1,"",SUMIFS($M:$M,$C:$C,$C1199,$D:$D,$D1199,$E:$E,"P0(후)"))</f>
        <v/>
      </c>
      <c r="S1199" s="31">
        <f>IF(N1199&lt;&gt;"OK","",P1199+(R1199-P1199)*(I1199-O1199)/(Q1199-O1199))</f>
        <v/>
      </c>
      <c r="T1199" s="31">
        <f>IF(OR(N1199&lt;&gt;"OK",NOT(ISNUMBER(M1199))),"",M1199-S1199)</f>
        <v/>
      </c>
      <c r="U1199" s="49">
        <f>IF(OR(NOT(ISNUMBER(T1199)),IF(ISNUMBER(H1199),H1199,G1199)=0),"",T1199/IF(ISNUMBER(H1199),H1199,G1199))</f>
        <v/>
      </c>
      <c r="V1199" s="49">
        <f>IF(ISNUMBER(U1199),ABS(U1199),"")</f>
        <v/>
      </c>
      <c r="W1199" s="49">
        <f>IF(OR($E1198&lt;&gt;"측정",$C1198&lt;&gt;$C1199,$D1198&lt;&gt;$D1199,NOT(ISNUMBER(M1199)),NOT(ISNUMBER(M1198)),(IF(ISNUMBER(H1199),H1199,G1199)-IF(ISNUMBER(H1198),H1198,G1198))=0),"",(M1199-M1198)/(IF(ISNUMBER(H1199),H1199,G1199)-IF(ISNUMBER(H1198),H1198,G1198)))</f>
        <v/>
      </c>
      <c r="X1199" s="31">
        <f>IF(NOT(AND(ISNUMBER(O1199),ISNUMBER(Q1199))),"",(Q1199-O1199)*1440)</f>
        <v/>
      </c>
      <c r="Y1199" s="29" t="n"/>
      <c r="Z1199" s="29" t="n"/>
      <c r="AA1199" s="29" t="n"/>
      <c r="AB1199" s="32" t="n"/>
      <c r="AC1199" s="32" t="n"/>
    </row>
    <row r="1200">
      <c r="A1200" s="26" t="inlineStr">
        <is>
          <t>S23</t>
        </is>
      </c>
      <c r="B1200" s="26" t="inlineStr">
        <is>
          <t>덕산 신규점1</t>
        </is>
      </c>
      <c r="C1200" s="26" t="inlineStr">
        <is>
          <t>S23-H북</t>
        </is>
      </c>
      <c r="D1200" s="47" t="n">
        <v>1</v>
      </c>
      <c r="E1200" s="26" t="inlineStr">
        <is>
          <t>측정</t>
        </is>
      </c>
      <c r="F1200" s="26" t="inlineStr">
        <is>
          <t>북</t>
        </is>
      </c>
      <c r="G1200" s="31" t="n">
        <v>10</v>
      </c>
      <c r="H1200" s="30" t="n"/>
      <c r="I1200" s="43" t="n"/>
      <c r="J1200" s="41" t="n"/>
      <c r="K1200" s="41" t="n"/>
      <c r="L1200" s="41" t="n"/>
      <c r="M1200" s="31">
        <f>IF(COUNT(J1200:L1200)=0,"",MEDIAN(J1200:L1200))</f>
        <v/>
      </c>
      <c r="N1200" s="26">
        <f>IF(COUNTIFS($C:$C,$C1200,$D:$D,$D1200,$E:$E,"P0(전)",$M:$M,"&gt;0")&lt;&gt;1,"P0(전) 유효 1개 아님",IF(COUNTIFS($C:$C,$C1200,$D:$D,$D1200,$E:$E,"P0(후)",$M:$M,"&gt;0")&lt;&gt;1,"P0(후) 유효 1개 아님",IF(NOT(AND(ISNUMBER(O1200),ISNUMBER(Q1200),ISNUMBER(I1200))),"시각 결측",IF(Q1200&lt;=O1200,"P0 시각 역전",IF(OR(I1200&lt;O1200,I1200&gt;Q1200),"측정시각 구간 밖","OK")))))</f>
        <v/>
      </c>
      <c r="O1200" s="48">
        <f>IF(COUNTIFS($C:$C,$C1200,$D:$D,$D1200,$E:$E,"P0(전)",$M:$M,"&gt;0")&lt;&gt;1,"",SUMIFS($I:$I,$C:$C,$C1200,$D:$D,$D1200,$E:$E,"P0(전)"))</f>
        <v/>
      </c>
      <c r="P1200" s="31">
        <f>IF(COUNTIFS($C:$C,$C1200,$D:$D,$D1200,$E:$E,"P0(전)",$M:$M,"&gt;0")&lt;&gt;1,"",SUMIFS($M:$M,$C:$C,$C1200,$D:$D,$D1200,$E:$E,"P0(전)"))</f>
        <v/>
      </c>
      <c r="Q1200" s="48">
        <f>IF(COUNTIFS($C:$C,$C1200,$D:$D,$D1200,$E:$E,"P0(후)",$M:$M,"&gt;0")&lt;&gt;1,"",SUMIFS($I:$I,$C:$C,$C1200,$D:$D,$D1200,$E:$E,"P0(후)"))</f>
        <v/>
      </c>
      <c r="R1200" s="31">
        <f>IF(COUNTIFS($C:$C,$C1200,$D:$D,$D1200,$E:$E,"P0(후)",$M:$M,"&gt;0")&lt;&gt;1,"",SUMIFS($M:$M,$C:$C,$C1200,$D:$D,$D1200,$E:$E,"P0(후)"))</f>
        <v/>
      </c>
      <c r="S1200" s="31">
        <f>IF(N1200&lt;&gt;"OK","",P1200+(R1200-P1200)*(I1200-O1200)/(Q1200-O1200))</f>
        <v/>
      </c>
      <c r="T1200" s="31">
        <f>IF(OR(N1200&lt;&gt;"OK",NOT(ISNUMBER(M1200))),"",M1200-S1200)</f>
        <v/>
      </c>
      <c r="U1200" s="49">
        <f>IF(OR(NOT(ISNUMBER(T1200)),IF(ISNUMBER(H1200),H1200,G1200)=0),"",T1200/IF(ISNUMBER(H1200),H1200,G1200))</f>
        <v/>
      </c>
      <c r="V1200" s="49">
        <f>IF(ISNUMBER(U1200),ABS(U1200),"")</f>
        <v/>
      </c>
      <c r="W1200" s="49">
        <f>IF(OR($E1199&lt;&gt;"측정",$C1199&lt;&gt;$C1200,$D1199&lt;&gt;$D1200,NOT(ISNUMBER(M1200)),NOT(ISNUMBER(M1199)),(IF(ISNUMBER(H1200),H1200,G1200)-IF(ISNUMBER(H1199),H1199,G1199))=0),"",(M1200-M1199)/(IF(ISNUMBER(H1200),H1200,G1200)-IF(ISNUMBER(H1199),H1199,G1199)))</f>
        <v/>
      </c>
      <c r="X1200" s="31">
        <f>IF(NOT(AND(ISNUMBER(O1200),ISNUMBER(Q1200))),"",(Q1200-O1200)*1440)</f>
        <v/>
      </c>
      <c r="Y1200" s="29" t="n"/>
      <c r="Z1200" s="29" t="n"/>
      <c r="AA1200" s="29" t="n"/>
      <c r="AB1200" s="32" t="n"/>
      <c r="AC1200" s="32" t="n"/>
    </row>
    <row r="1201">
      <c r="A1201" s="44" t="inlineStr">
        <is>
          <t>S23</t>
        </is>
      </c>
      <c r="B1201" s="44" t="inlineStr">
        <is>
          <t>덕산 신규점1</t>
        </is>
      </c>
      <c r="C1201" s="44" t="inlineStr">
        <is>
          <t>S23-H북</t>
        </is>
      </c>
      <c r="D1201" s="45" t="n">
        <v>1</v>
      </c>
      <c r="E1201" s="44" t="inlineStr">
        <is>
          <t>P0(후)</t>
        </is>
      </c>
      <c r="F1201" s="44" t="inlineStr">
        <is>
          <t>북</t>
        </is>
      </c>
      <c r="G1201" s="46" t="n"/>
      <c r="H1201" s="30" t="n"/>
      <c r="I1201" s="43" t="n"/>
      <c r="J1201" s="41" t="n"/>
      <c r="K1201" s="41" t="n"/>
      <c r="L1201" s="41" t="n"/>
      <c r="M1201" s="31">
        <f>IF(COUNT(J1201:L1201)=0,"",MEDIAN(J1201:L1201))</f>
        <v/>
      </c>
      <c r="N1201" s="38" t="n"/>
      <c r="O1201" s="38" t="n"/>
      <c r="P1201" s="38" t="n"/>
      <c r="Q1201" s="38" t="n"/>
      <c r="R1201" s="38" t="n"/>
      <c r="S1201" s="38" t="n"/>
      <c r="T1201" s="38" t="n"/>
      <c r="U1201" s="38" t="n"/>
      <c r="V1201" s="38" t="n"/>
      <c r="W1201" s="38" t="n"/>
      <c r="X1201" s="38" t="n"/>
      <c r="Y1201" s="29" t="n"/>
      <c r="Z1201" s="29" t="n"/>
      <c r="AA1201" s="29" t="n"/>
      <c r="AB1201" s="32" t="n"/>
      <c r="AC1201" s="32" t="n"/>
    </row>
    <row r="1202">
      <c r="A1202" s="44" t="inlineStr">
        <is>
          <t>S24</t>
        </is>
      </c>
      <c r="B1202" s="44" t="inlineStr">
        <is>
          <t>회천 신규점2</t>
        </is>
      </c>
      <c r="C1202" s="44" t="inlineStr">
        <is>
          <t>S24-H동</t>
        </is>
      </c>
      <c r="D1202" s="45" t="n">
        <v>1</v>
      </c>
      <c r="E1202" s="44" t="inlineStr">
        <is>
          <t>P0(전)</t>
        </is>
      </c>
      <c r="F1202" s="44" t="inlineStr">
        <is>
          <t>동</t>
        </is>
      </c>
      <c r="G1202" s="46" t="n"/>
      <c r="H1202" s="30" t="n"/>
      <c r="I1202" s="43" t="n"/>
      <c r="J1202" s="41" t="n"/>
      <c r="K1202" s="41" t="n"/>
      <c r="L1202" s="41" t="n"/>
      <c r="M1202" s="31">
        <f>IF(COUNT(J1202:L1202)=0,"",MEDIAN(J1202:L1202))</f>
        <v/>
      </c>
      <c r="N1202" s="38" t="n"/>
      <c r="O1202" s="38" t="n"/>
      <c r="P1202" s="38" t="n"/>
      <c r="Q1202" s="38" t="n"/>
      <c r="R1202" s="38" t="n"/>
      <c r="S1202" s="38" t="n"/>
      <c r="T1202" s="38" t="n"/>
      <c r="U1202" s="38" t="n"/>
      <c r="V1202" s="38" t="n"/>
      <c r="W1202" s="38" t="n"/>
      <c r="X1202" s="38" t="n"/>
      <c r="Y1202" s="29" t="n"/>
      <c r="Z1202" s="29" t="n"/>
      <c r="AA1202" s="29" t="n"/>
      <c r="AB1202" s="32" t="n"/>
      <c r="AC1202" s="32" t="n"/>
    </row>
    <row r="1203">
      <c r="A1203" s="26" t="inlineStr">
        <is>
          <t>S24</t>
        </is>
      </c>
      <c r="B1203" s="26" t="inlineStr">
        <is>
          <t>회천 신규점2</t>
        </is>
      </c>
      <c r="C1203" s="26" t="inlineStr">
        <is>
          <t>S24-H동</t>
        </is>
      </c>
      <c r="D1203" s="47" t="n">
        <v>1</v>
      </c>
      <c r="E1203" s="26" t="inlineStr">
        <is>
          <t>측정</t>
        </is>
      </c>
      <c r="F1203" s="26" t="inlineStr">
        <is>
          <t>동</t>
        </is>
      </c>
      <c r="G1203" s="31" t="n">
        <v>0.5</v>
      </c>
      <c r="H1203" s="30" t="n"/>
      <c r="I1203" s="43" t="n"/>
      <c r="J1203" s="41" t="n"/>
      <c r="K1203" s="41" t="n"/>
      <c r="L1203" s="41" t="n"/>
      <c r="M1203" s="31">
        <f>IF(COUNT(J1203:L1203)=0,"",MEDIAN(J1203:L1203))</f>
        <v/>
      </c>
      <c r="N1203" s="26">
        <f>IF(COUNTIFS($C:$C,$C1203,$D:$D,$D1203,$E:$E,"P0(전)",$M:$M,"&gt;0")&lt;&gt;1,"P0(전) 유효 1개 아님",IF(COUNTIFS($C:$C,$C1203,$D:$D,$D1203,$E:$E,"P0(후)",$M:$M,"&gt;0")&lt;&gt;1,"P0(후) 유효 1개 아님",IF(NOT(AND(ISNUMBER(O1203),ISNUMBER(Q1203),ISNUMBER(I1203))),"시각 결측",IF(Q1203&lt;=O1203,"P0 시각 역전",IF(OR(I1203&lt;O1203,I1203&gt;Q1203),"측정시각 구간 밖","OK")))))</f>
        <v/>
      </c>
      <c r="O1203" s="48">
        <f>IF(COUNTIFS($C:$C,$C1203,$D:$D,$D1203,$E:$E,"P0(전)",$M:$M,"&gt;0")&lt;&gt;1,"",SUMIFS($I:$I,$C:$C,$C1203,$D:$D,$D1203,$E:$E,"P0(전)"))</f>
        <v/>
      </c>
      <c r="P1203" s="31">
        <f>IF(COUNTIFS($C:$C,$C1203,$D:$D,$D1203,$E:$E,"P0(전)",$M:$M,"&gt;0")&lt;&gt;1,"",SUMIFS($M:$M,$C:$C,$C1203,$D:$D,$D1203,$E:$E,"P0(전)"))</f>
        <v/>
      </c>
      <c r="Q1203" s="48">
        <f>IF(COUNTIFS($C:$C,$C1203,$D:$D,$D1203,$E:$E,"P0(후)",$M:$M,"&gt;0")&lt;&gt;1,"",SUMIFS($I:$I,$C:$C,$C1203,$D:$D,$D1203,$E:$E,"P0(후)"))</f>
        <v/>
      </c>
      <c r="R1203" s="31">
        <f>IF(COUNTIFS($C:$C,$C1203,$D:$D,$D1203,$E:$E,"P0(후)",$M:$M,"&gt;0")&lt;&gt;1,"",SUMIFS($M:$M,$C:$C,$C1203,$D:$D,$D1203,$E:$E,"P0(후)"))</f>
        <v/>
      </c>
      <c r="S1203" s="31">
        <f>IF(N1203&lt;&gt;"OK","",P1203+(R1203-P1203)*(I1203-O1203)/(Q1203-O1203))</f>
        <v/>
      </c>
      <c r="T1203" s="31">
        <f>IF(OR(N1203&lt;&gt;"OK",NOT(ISNUMBER(M1203))),"",M1203-S1203)</f>
        <v/>
      </c>
      <c r="U1203" s="49">
        <f>IF(OR(NOT(ISNUMBER(T1203)),IF(ISNUMBER(H1203),H1203,G1203)=0),"",T1203/IF(ISNUMBER(H1203),H1203,G1203))</f>
        <v/>
      </c>
      <c r="V1203" s="49">
        <f>IF(ISNUMBER(U1203),ABS(U1203),"")</f>
        <v/>
      </c>
      <c r="W1203" s="49">
        <f>IF(OR($E1202&lt;&gt;"측정",$C1202&lt;&gt;$C1203,$D1202&lt;&gt;$D1203,NOT(ISNUMBER(M1203)),NOT(ISNUMBER(M1202)),(IF(ISNUMBER(H1203),H1203,G1203)-IF(ISNUMBER(H1202),H1202,G1202))=0),"",(M1203-M1202)/(IF(ISNUMBER(H1203),H1203,G1203)-IF(ISNUMBER(H1202),H1202,G1202)))</f>
        <v/>
      </c>
      <c r="X1203" s="31">
        <f>IF(NOT(AND(ISNUMBER(O1203),ISNUMBER(Q1203))),"",(Q1203-O1203)*1440)</f>
        <v/>
      </c>
      <c r="Y1203" s="29" t="n"/>
      <c r="Z1203" s="29" t="n"/>
      <c r="AA1203" s="29" t="n"/>
      <c r="AB1203" s="32" t="n"/>
      <c r="AC1203" s="32" t="n"/>
    </row>
    <row r="1204">
      <c r="A1204" s="26" t="inlineStr">
        <is>
          <t>S24</t>
        </is>
      </c>
      <c r="B1204" s="26" t="inlineStr">
        <is>
          <t>회천 신규점2</t>
        </is>
      </c>
      <c r="C1204" s="26" t="inlineStr">
        <is>
          <t>S24-H동</t>
        </is>
      </c>
      <c r="D1204" s="47" t="n">
        <v>1</v>
      </c>
      <c r="E1204" s="26" t="inlineStr">
        <is>
          <t>측정</t>
        </is>
      </c>
      <c r="F1204" s="26" t="inlineStr">
        <is>
          <t>동</t>
        </is>
      </c>
      <c r="G1204" s="31" t="n">
        <v>1</v>
      </c>
      <c r="H1204" s="30" t="n"/>
      <c r="I1204" s="43" t="n"/>
      <c r="J1204" s="41" t="n"/>
      <c r="K1204" s="41" t="n"/>
      <c r="L1204" s="41" t="n"/>
      <c r="M1204" s="31">
        <f>IF(COUNT(J1204:L1204)=0,"",MEDIAN(J1204:L1204))</f>
        <v/>
      </c>
      <c r="N1204" s="26">
        <f>IF(COUNTIFS($C:$C,$C1204,$D:$D,$D1204,$E:$E,"P0(전)",$M:$M,"&gt;0")&lt;&gt;1,"P0(전) 유효 1개 아님",IF(COUNTIFS($C:$C,$C1204,$D:$D,$D1204,$E:$E,"P0(후)",$M:$M,"&gt;0")&lt;&gt;1,"P0(후) 유효 1개 아님",IF(NOT(AND(ISNUMBER(O1204),ISNUMBER(Q1204),ISNUMBER(I1204))),"시각 결측",IF(Q1204&lt;=O1204,"P0 시각 역전",IF(OR(I1204&lt;O1204,I1204&gt;Q1204),"측정시각 구간 밖","OK")))))</f>
        <v/>
      </c>
      <c r="O1204" s="48">
        <f>IF(COUNTIFS($C:$C,$C1204,$D:$D,$D1204,$E:$E,"P0(전)",$M:$M,"&gt;0")&lt;&gt;1,"",SUMIFS($I:$I,$C:$C,$C1204,$D:$D,$D1204,$E:$E,"P0(전)"))</f>
        <v/>
      </c>
      <c r="P1204" s="31">
        <f>IF(COUNTIFS($C:$C,$C1204,$D:$D,$D1204,$E:$E,"P0(전)",$M:$M,"&gt;0")&lt;&gt;1,"",SUMIFS($M:$M,$C:$C,$C1204,$D:$D,$D1204,$E:$E,"P0(전)"))</f>
        <v/>
      </c>
      <c r="Q1204" s="48">
        <f>IF(COUNTIFS($C:$C,$C1204,$D:$D,$D1204,$E:$E,"P0(후)",$M:$M,"&gt;0")&lt;&gt;1,"",SUMIFS($I:$I,$C:$C,$C1204,$D:$D,$D1204,$E:$E,"P0(후)"))</f>
        <v/>
      </c>
      <c r="R1204" s="31">
        <f>IF(COUNTIFS($C:$C,$C1204,$D:$D,$D1204,$E:$E,"P0(후)",$M:$M,"&gt;0")&lt;&gt;1,"",SUMIFS($M:$M,$C:$C,$C1204,$D:$D,$D1204,$E:$E,"P0(후)"))</f>
        <v/>
      </c>
      <c r="S1204" s="31">
        <f>IF(N1204&lt;&gt;"OK","",P1204+(R1204-P1204)*(I1204-O1204)/(Q1204-O1204))</f>
        <v/>
      </c>
      <c r="T1204" s="31">
        <f>IF(OR(N1204&lt;&gt;"OK",NOT(ISNUMBER(M1204))),"",M1204-S1204)</f>
        <v/>
      </c>
      <c r="U1204" s="49">
        <f>IF(OR(NOT(ISNUMBER(T1204)),IF(ISNUMBER(H1204),H1204,G1204)=0),"",T1204/IF(ISNUMBER(H1204),H1204,G1204))</f>
        <v/>
      </c>
      <c r="V1204" s="49">
        <f>IF(ISNUMBER(U1204),ABS(U1204),"")</f>
        <v/>
      </c>
      <c r="W1204" s="49">
        <f>IF(OR($E1203&lt;&gt;"측정",$C1203&lt;&gt;$C1204,$D1203&lt;&gt;$D1204,NOT(ISNUMBER(M1204)),NOT(ISNUMBER(M1203)),(IF(ISNUMBER(H1204),H1204,G1204)-IF(ISNUMBER(H1203),H1203,G1203))=0),"",(M1204-M1203)/(IF(ISNUMBER(H1204),H1204,G1204)-IF(ISNUMBER(H1203),H1203,G1203)))</f>
        <v/>
      </c>
      <c r="X1204" s="31">
        <f>IF(NOT(AND(ISNUMBER(O1204),ISNUMBER(Q1204))),"",(Q1204-O1204)*1440)</f>
        <v/>
      </c>
      <c r="Y1204" s="29" t="n"/>
      <c r="Z1204" s="29" t="n"/>
      <c r="AA1204" s="29" t="n"/>
      <c r="AB1204" s="32" t="n"/>
      <c r="AC1204" s="32" t="n"/>
    </row>
    <row r="1205">
      <c r="A1205" s="26" t="inlineStr">
        <is>
          <t>S24</t>
        </is>
      </c>
      <c r="B1205" s="26" t="inlineStr">
        <is>
          <t>회천 신규점2</t>
        </is>
      </c>
      <c r="C1205" s="26" t="inlineStr">
        <is>
          <t>S24-H동</t>
        </is>
      </c>
      <c r="D1205" s="47" t="n">
        <v>1</v>
      </c>
      <c r="E1205" s="26" t="inlineStr">
        <is>
          <t>측정</t>
        </is>
      </c>
      <c r="F1205" s="26" t="inlineStr">
        <is>
          <t>동</t>
        </is>
      </c>
      <c r="G1205" s="31" t="n">
        <v>2</v>
      </c>
      <c r="H1205" s="30" t="n"/>
      <c r="I1205" s="43" t="n"/>
      <c r="J1205" s="41" t="n"/>
      <c r="K1205" s="41" t="n"/>
      <c r="L1205" s="41" t="n"/>
      <c r="M1205" s="31">
        <f>IF(COUNT(J1205:L1205)=0,"",MEDIAN(J1205:L1205))</f>
        <v/>
      </c>
      <c r="N1205" s="26">
        <f>IF(COUNTIFS($C:$C,$C1205,$D:$D,$D1205,$E:$E,"P0(전)",$M:$M,"&gt;0")&lt;&gt;1,"P0(전) 유효 1개 아님",IF(COUNTIFS($C:$C,$C1205,$D:$D,$D1205,$E:$E,"P0(후)",$M:$M,"&gt;0")&lt;&gt;1,"P0(후) 유효 1개 아님",IF(NOT(AND(ISNUMBER(O1205),ISNUMBER(Q1205),ISNUMBER(I1205))),"시각 결측",IF(Q1205&lt;=O1205,"P0 시각 역전",IF(OR(I1205&lt;O1205,I1205&gt;Q1205),"측정시각 구간 밖","OK")))))</f>
        <v/>
      </c>
      <c r="O1205" s="48">
        <f>IF(COUNTIFS($C:$C,$C1205,$D:$D,$D1205,$E:$E,"P0(전)",$M:$M,"&gt;0")&lt;&gt;1,"",SUMIFS($I:$I,$C:$C,$C1205,$D:$D,$D1205,$E:$E,"P0(전)"))</f>
        <v/>
      </c>
      <c r="P1205" s="31">
        <f>IF(COUNTIFS($C:$C,$C1205,$D:$D,$D1205,$E:$E,"P0(전)",$M:$M,"&gt;0")&lt;&gt;1,"",SUMIFS($M:$M,$C:$C,$C1205,$D:$D,$D1205,$E:$E,"P0(전)"))</f>
        <v/>
      </c>
      <c r="Q1205" s="48">
        <f>IF(COUNTIFS($C:$C,$C1205,$D:$D,$D1205,$E:$E,"P0(후)",$M:$M,"&gt;0")&lt;&gt;1,"",SUMIFS($I:$I,$C:$C,$C1205,$D:$D,$D1205,$E:$E,"P0(후)"))</f>
        <v/>
      </c>
      <c r="R1205" s="31">
        <f>IF(COUNTIFS($C:$C,$C1205,$D:$D,$D1205,$E:$E,"P0(후)",$M:$M,"&gt;0")&lt;&gt;1,"",SUMIFS($M:$M,$C:$C,$C1205,$D:$D,$D1205,$E:$E,"P0(후)"))</f>
        <v/>
      </c>
      <c r="S1205" s="31">
        <f>IF(N1205&lt;&gt;"OK","",P1205+(R1205-P1205)*(I1205-O1205)/(Q1205-O1205))</f>
        <v/>
      </c>
      <c r="T1205" s="31">
        <f>IF(OR(N1205&lt;&gt;"OK",NOT(ISNUMBER(M1205))),"",M1205-S1205)</f>
        <v/>
      </c>
      <c r="U1205" s="49">
        <f>IF(OR(NOT(ISNUMBER(T1205)),IF(ISNUMBER(H1205),H1205,G1205)=0),"",T1205/IF(ISNUMBER(H1205),H1205,G1205))</f>
        <v/>
      </c>
      <c r="V1205" s="49">
        <f>IF(ISNUMBER(U1205),ABS(U1205),"")</f>
        <v/>
      </c>
      <c r="W1205" s="49">
        <f>IF(OR($E1204&lt;&gt;"측정",$C1204&lt;&gt;$C1205,$D1204&lt;&gt;$D1205,NOT(ISNUMBER(M1205)),NOT(ISNUMBER(M1204)),(IF(ISNUMBER(H1205),H1205,G1205)-IF(ISNUMBER(H1204),H1204,G1204))=0),"",(M1205-M1204)/(IF(ISNUMBER(H1205),H1205,G1205)-IF(ISNUMBER(H1204),H1204,G1204)))</f>
        <v/>
      </c>
      <c r="X1205" s="31">
        <f>IF(NOT(AND(ISNUMBER(O1205),ISNUMBER(Q1205))),"",(Q1205-O1205)*1440)</f>
        <v/>
      </c>
      <c r="Y1205" s="29" t="n"/>
      <c r="Z1205" s="29" t="n"/>
      <c r="AA1205" s="29" t="n"/>
      <c r="AB1205" s="32" t="n"/>
      <c r="AC1205" s="32" t="n"/>
    </row>
    <row r="1206">
      <c r="A1206" s="26" t="inlineStr">
        <is>
          <t>S24</t>
        </is>
      </c>
      <c r="B1206" s="26" t="inlineStr">
        <is>
          <t>회천 신규점2</t>
        </is>
      </c>
      <c r="C1206" s="26" t="inlineStr">
        <is>
          <t>S24-H동</t>
        </is>
      </c>
      <c r="D1206" s="47" t="n">
        <v>1</v>
      </c>
      <c r="E1206" s="26" t="inlineStr">
        <is>
          <t>측정</t>
        </is>
      </c>
      <c r="F1206" s="26" t="inlineStr">
        <is>
          <t>동</t>
        </is>
      </c>
      <c r="G1206" s="31" t="n">
        <v>3</v>
      </c>
      <c r="H1206" s="30" t="n"/>
      <c r="I1206" s="43" t="n"/>
      <c r="J1206" s="41" t="n"/>
      <c r="K1206" s="41" t="n"/>
      <c r="L1206" s="41" t="n"/>
      <c r="M1206" s="31">
        <f>IF(COUNT(J1206:L1206)=0,"",MEDIAN(J1206:L1206))</f>
        <v/>
      </c>
      <c r="N1206" s="26">
        <f>IF(COUNTIFS($C:$C,$C1206,$D:$D,$D1206,$E:$E,"P0(전)",$M:$M,"&gt;0")&lt;&gt;1,"P0(전) 유효 1개 아님",IF(COUNTIFS($C:$C,$C1206,$D:$D,$D1206,$E:$E,"P0(후)",$M:$M,"&gt;0")&lt;&gt;1,"P0(후) 유효 1개 아님",IF(NOT(AND(ISNUMBER(O1206),ISNUMBER(Q1206),ISNUMBER(I1206))),"시각 결측",IF(Q1206&lt;=O1206,"P0 시각 역전",IF(OR(I1206&lt;O1206,I1206&gt;Q1206),"측정시각 구간 밖","OK")))))</f>
        <v/>
      </c>
      <c r="O1206" s="48">
        <f>IF(COUNTIFS($C:$C,$C1206,$D:$D,$D1206,$E:$E,"P0(전)",$M:$M,"&gt;0")&lt;&gt;1,"",SUMIFS($I:$I,$C:$C,$C1206,$D:$D,$D1206,$E:$E,"P0(전)"))</f>
        <v/>
      </c>
      <c r="P1206" s="31">
        <f>IF(COUNTIFS($C:$C,$C1206,$D:$D,$D1206,$E:$E,"P0(전)",$M:$M,"&gt;0")&lt;&gt;1,"",SUMIFS($M:$M,$C:$C,$C1206,$D:$D,$D1206,$E:$E,"P0(전)"))</f>
        <v/>
      </c>
      <c r="Q1206" s="48">
        <f>IF(COUNTIFS($C:$C,$C1206,$D:$D,$D1206,$E:$E,"P0(후)",$M:$M,"&gt;0")&lt;&gt;1,"",SUMIFS($I:$I,$C:$C,$C1206,$D:$D,$D1206,$E:$E,"P0(후)"))</f>
        <v/>
      </c>
      <c r="R1206" s="31">
        <f>IF(COUNTIFS($C:$C,$C1206,$D:$D,$D1206,$E:$E,"P0(후)",$M:$M,"&gt;0")&lt;&gt;1,"",SUMIFS($M:$M,$C:$C,$C1206,$D:$D,$D1206,$E:$E,"P0(후)"))</f>
        <v/>
      </c>
      <c r="S1206" s="31">
        <f>IF(N1206&lt;&gt;"OK","",P1206+(R1206-P1206)*(I1206-O1206)/(Q1206-O1206))</f>
        <v/>
      </c>
      <c r="T1206" s="31">
        <f>IF(OR(N1206&lt;&gt;"OK",NOT(ISNUMBER(M1206))),"",M1206-S1206)</f>
        <v/>
      </c>
      <c r="U1206" s="49">
        <f>IF(OR(NOT(ISNUMBER(T1206)),IF(ISNUMBER(H1206),H1206,G1206)=0),"",T1206/IF(ISNUMBER(H1206),H1206,G1206))</f>
        <v/>
      </c>
      <c r="V1206" s="49">
        <f>IF(ISNUMBER(U1206),ABS(U1206),"")</f>
        <v/>
      </c>
      <c r="W1206" s="49">
        <f>IF(OR($E1205&lt;&gt;"측정",$C1205&lt;&gt;$C1206,$D1205&lt;&gt;$D1206,NOT(ISNUMBER(M1206)),NOT(ISNUMBER(M1205)),(IF(ISNUMBER(H1206),H1206,G1206)-IF(ISNUMBER(H1205),H1205,G1205))=0),"",(M1206-M1205)/(IF(ISNUMBER(H1206),H1206,G1206)-IF(ISNUMBER(H1205),H1205,G1205)))</f>
        <v/>
      </c>
      <c r="X1206" s="31">
        <f>IF(NOT(AND(ISNUMBER(O1206),ISNUMBER(Q1206))),"",(Q1206-O1206)*1440)</f>
        <v/>
      </c>
      <c r="Y1206" s="29" t="n"/>
      <c r="Z1206" s="29" t="n"/>
      <c r="AA1206" s="29" t="n"/>
      <c r="AB1206" s="32" t="n"/>
      <c r="AC1206" s="32" t="n"/>
    </row>
    <row r="1207">
      <c r="A1207" s="26" t="inlineStr">
        <is>
          <t>S24</t>
        </is>
      </c>
      <c r="B1207" s="26" t="inlineStr">
        <is>
          <t>회천 신규점2</t>
        </is>
      </c>
      <c r="C1207" s="26" t="inlineStr">
        <is>
          <t>S24-H동</t>
        </is>
      </c>
      <c r="D1207" s="47" t="n">
        <v>1</v>
      </c>
      <c r="E1207" s="26" t="inlineStr">
        <is>
          <t>측정</t>
        </is>
      </c>
      <c r="F1207" s="26" t="inlineStr">
        <is>
          <t>동</t>
        </is>
      </c>
      <c r="G1207" s="31" t="n">
        <v>4</v>
      </c>
      <c r="H1207" s="30" t="n"/>
      <c r="I1207" s="43" t="n"/>
      <c r="J1207" s="41" t="n"/>
      <c r="K1207" s="41" t="n"/>
      <c r="L1207" s="41" t="n"/>
      <c r="M1207" s="31">
        <f>IF(COUNT(J1207:L1207)=0,"",MEDIAN(J1207:L1207))</f>
        <v/>
      </c>
      <c r="N1207" s="26">
        <f>IF(COUNTIFS($C:$C,$C1207,$D:$D,$D1207,$E:$E,"P0(전)",$M:$M,"&gt;0")&lt;&gt;1,"P0(전) 유효 1개 아님",IF(COUNTIFS($C:$C,$C1207,$D:$D,$D1207,$E:$E,"P0(후)",$M:$M,"&gt;0")&lt;&gt;1,"P0(후) 유효 1개 아님",IF(NOT(AND(ISNUMBER(O1207),ISNUMBER(Q1207),ISNUMBER(I1207))),"시각 결측",IF(Q1207&lt;=O1207,"P0 시각 역전",IF(OR(I1207&lt;O1207,I1207&gt;Q1207),"측정시각 구간 밖","OK")))))</f>
        <v/>
      </c>
      <c r="O1207" s="48">
        <f>IF(COUNTIFS($C:$C,$C1207,$D:$D,$D1207,$E:$E,"P0(전)",$M:$M,"&gt;0")&lt;&gt;1,"",SUMIFS($I:$I,$C:$C,$C1207,$D:$D,$D1207,$E:$E,"P0(전)"))</f>
        <v/>
      </c>
      <c r="P1207" s="31">
        <f>IF(COUNTIFS($C:$C,$C1207,$D:$D,$D1207,$E:$E,"P0(전)",$M:$M,"&gt;0")&lt;&gt;1,"",SUMIFS($M:$M,$C:$C,$C1207,$D:$D,$D1207,$E:$E,"P0(전)"))</f>
        <v/>
      </c>
      <c r="Q1207" s="48">
        <f>IF(COUNTIFS($C:$C,$C1207,$D:$D,$D1207,$E:$E,"P0(후)",$M:$M,"&gt;0")&lt;&gt;1,"",SUMIFS($I:$I,$C:$C,$C1207,$D:$D,$D1207,$E:$E,"P0(후)"))</f>
        <v/>
      </c>
      <c r="R1207" s="31">
        <f>IF(COUNTIFS($C:$C,$C1207,$D:$D,$D1207,$E:$E,"P0(후)",$M:$M,"&gt;0")&lt;&gt;1,"",SUMIFS($M:$M,$C:$C,$C1207,$D:$D,$D1207,$E:$E,"P0(후)"))</f>
        <v/>
      </c>
      <c r="S1207" s="31">
        <f>IF(N1207&lt;&gt;"OK","",P1207+(R1207-P1207)*(I1207-O1207)/(Q1207-O1207))</f>
        <v/>
      </c>
      <c r="T1207" s="31">
        <f>IF(OR(N1207&lt;&gt;"OK",NOT(ISNUMBER(M1207))),"",M1207-S1207)</f>
        <v/>
      </c>
      <c r="U1207" s="49">
        <f>IF(OR(NOT(ISNUMBER(T1207)),IF(ISNUMBER(H1207),H1207,G1207)=0),"",T1207/IF(ISNUMBER(H1207),H1207,G1207))</f>
        <v/>
      </c>
      <c r="V1207" s="49">
        <f>IF(ISNUMBER(U1207),ABS(U1207),"")</f>
        <v/>
      </c>
      <c r="W1207" s="49">
        <f>IF(OR($E1206&lt;&gt;"측정",$C1206&lt;&gt;$C1207,$D1206&lt;&gt;$D1207,NOT(ISNUMBER(M1207)),NOT(ISNUMBER(M1206)),(IF(ISNUMBER(H1207),H1207,G1207)-IF(ISNUMBER(H1206),H1206,G1206))=0),"",(M1207-M1206)/(IF(ISNUMBER(H1207),H1207,G1207)-IF(ISNUMBER(H1206),H1206,G1206)))</f>
        <v/>
      </c>
      <c r="X1207" s="31">
        <f>IF(NOT(AND(ISNUMBER(O1207),ISNUMBER(Q1207))),"",(Q1207-O1207)*1440)</f>
        <v/>
      </c>
      <c r="Y1207" s="29" t="n"/>
      <c r="Z1207" s="29" t="n"/>
      <c r="AA1207" s="29" t="n"/>
      <c r="AB1207" s="32" t="n"/>
      <c r="AC1207" s="32" t="n"/>
    </row>
    <row r="1208">
      <c r="A1208" s="26" t="inlineStr">
        <is>
          <t>S24</t>
        </is>
      </c>
      <c r="B1208" s="26" t="inlineStr">
        <is>
          <t>회천 신규점2</t>
        </is>
      </c>
      <c r="C1208" s="26" t="inlineStr">
        <is>
          <t>S24-H동</t>
        </is>
      </c>
      <c r="D1208" s="47" t="n">
        <v>1</v>
      </c>
      <c r="E1208" s="26" t="inlineStr">
        <is>
          <t>측정</t>
        </is>
      </c>
      <c r="F1208" s="26" t="inlineStr">
        <is>
          <t>동</t>
        </is>
      </c>
      <c r="G1208" s="31" t="n">
        <v>5</v>
      </c>
      <c r="H1208" s="30" t="n"/>
      <c r="I1208" s="43" t="n"/>
      <c r="J1208" s="41" t="n"/>
      <c r="K1208" s="41" t="n"/>
      <c r="L1208" s="41" t="n"/>
      <c r="M1208" s="31">
        <f>IF(COUNT(J1208:L1208)=0,"",MEDIAN(J1208:L1208))</f>
        <v/>
      </c>
      <c r="N1208" s="26">
        <f>IF(COUNTIFS($C:$C,$C1208,$D:$D,$D1208,$E:$E,"P0(전)",$M:$M,"&gt;0")&lt;&gt;1,"P0(전) 유효 1개 아님",IF(COUNTIFS($C:$C,$C1208,$D:$D,$D1208,$E:$E,"P0(후)",$M:$M,"&gt;0")&lt;&gt;1,"P0(후) 유효 1개 아님",IF(NOT(AND(ISNUMBER(O1208),ISNUMBER(Q1208),ISNUMBER(I1208))),"시각 결측",IF(Q1208&lt;=O1208,"P0 시각 역전",IF(OR(I1208&lt;O1208,I1208&gt;Q1208),"측정시각 구간 밖","OK")))))</f>
        <v/>
      </c>
      <c r="O1208" s="48">
        <f>IF(COUNTIFS($C:$C,$C1208,$D:$D,$D1208,$E:$E,"P0(전)",$M:$M,"&gt;0")&lt;&gt;1,"",SUMIFS($I:$I,$C:$C,$C1208,$D:$D,$D1208,$E:$E,"P0(전)"))</f>
        <v/>
      </c>
      <c r="P1208" s="31">
        <f>IF(COUNTIFS($C:$C,$C1208,$D:$D,$D1208,$E:$E,"P0(전)",$M:$M,"&gt;0")&lt;&gt;1,"",SUMIFS($M:$M,$C:$C,$C1208,$D:$D,$D1208,$E:$E,"P0(전)"))</f>
        <v/>
      </c>
      <c r="Q1208" s="48">
        <f>IF(COUNTIFS($C:$C,$C1208,$D:$D,$D1208,$E:$E,"P0(후)",$M:$M,"&gt;0")&lt;&gt;1,"",SUMIFS($I:$I,$C:$C,$C1208,$D:$D,$D1208,$E:$E,"P0(후)"))</f>
        <v/>
      </c>
      <c r="R1208" s="31">
        <f>IF(COUNTIFS($C:$C,$C1208,$D:$D,$D1208,$E:$E,"P0(후)",$M:$M,"&gt;0")&lt;&gt;1,"",SUMIFS($M:$M,$C:$C,$C1208,$D:$D,$D1208,$E:$E,"P0(후)"))</f>
        <v/>
      </c>
      <c r="S1208" s="31">
        <f>IF(N1208&lt;&gt;"OK","",P1208+(R1208-P1208)*(I1208-O1208)/(Q1208-O1208))</f>
        <v/>
      </c>
      <c r="T1208" s="31">
        <f>IF(OR(N1208&lt;&gt;"OK",NOT(ISNUMBER(M1208))),"",M1208-S1208)</f>
        <v/>
      </c>
      <c r="U1208" s="49">
        <f>IF(OR(NOT(ISNUMBER(T1208)),IF(ISNUMBER(H1208),H1208,G1208)=0),"",T1208/IF(ISNUMBER(H1208),H1208,G1208))</f>
        <v/>
      </c>
      <c r="V1208" s="49">
        <f>IF(ISNUMBER(U1208),ABS(U1208),"")</f>
        <v/>
      </c>
      <c r="W1208" s="49">
        <f>IF(OR($E1207&lt;&gt;"측정",$C1207&lt;&gt;$C1208,$D1207&lt;&gt;$D1208,NOT(ISNUMBER(M1208)),NOT(ISNUMBER(M1207)),(IF(ISNUMBER(H1208),H1208,G1208)-IF(ISNUMBER(H1207),H1207,G1207))=0),"",(M1208-M1207)/(IF(ISNUMBER(H1208),H1208,G1208)-IF(ISNUMBER(H1207),H1207,G1207)))</f>
        <v/>
      </c>
      <c r="X1208" s="31">
        <f>IF(NOT(AND(ISNUMBER(O1208),ISNUMBER(Q1208))),"",(Q1208-O1208)*1440)</f>
        <v/>
      </c>
      <c r="Y1208" s="29" t="n"/>
      <c r="Z1208" s="29" t="n"/>
      <c r="AA1208" s="29" t="n"/>
      <c r="AB1208" s="32" t="n"/>
      <c r="AC1208" s="32" t="n"/>
    </row>
    <row r="1209">
      <c r="A1209" s="26" t="inlineStr">
        <is>
          <t>S24</t>
        </is>
      </c>
      <c r="B1209" s="26" t="inlineStr">
        <is>
          <t>회천 신규점2</t>
        </is>
      </c>
      <c r="C1209" s="26" t="inlineStr">
        <is>
          <t>S24-H동</t>
        </is>
      </c>
      <c r="D1209" s="47" t="n">
        <v>1</v>
      </c>
      <c r="E1209" s="26" t="inlineStr">
        <is>
          <t>측정</t>
        </is>
      </c>
      <c r="F1209" s="26" t="inlineStr">
        <is>
          <t>동</t>
        </is>
      </c>
      <c r="G1209" s="31" t="n">
        <v>6</v>
      </c>
      <c r="H1209" s="30" t="n"/>
      <c r="I1209" s="43" t="n"/>
      <c r="J1209" s="41" t="n"/>
      <c r="K1209" s="41" t="n"/>
      <c r="L1209" s="41" t="n"/>
      <c r="M1209" s="31">
        <f>IF(COUNT(J1209:L1209)=0,"",MEDIAN(J1209:L1209))</f>
        <v/>
      </c>
      <c r="N1209" s="26">
        <f>IF(COUNTIFS($C:$C,$C1209,$D:$D,$D1209,$E:$E,"P0(전)",$M:$M,"&gt;0")&lt;&gt;1,"P0(전) 유효 1개 아님",IF(COUNTIFS($C:$C,$C1209,$D:$D,$D1209,$E:$E,"P0(후)",$M:$M,"&gt;0")&lt;&gt;1,"P0(후) 유효 1개 아님",IF(NOT(AND(ISNUMBER(O1209),ISNUMBER(Q1209),ISNUMBER(I1209))),"시각 결측",IF(Q1209&lt;=O1209,"P0 시각 역전",IF(OR(I1209&lt;O1209,I1209&gt;Q1209),"측정시각 구간 밖","OK")))))</f>
        <v/>
      </c>
      <c r="O1209" s="48">
        <f>IF(COUNTIFS($C:$C,$C1209,$D:$D,$D1209,$E:$E,"P0(전)",$M:$M,"&gt;0")&lt;&gt;1,"",SUMIFS($I:$I,$C:$C,$C1209,$D:$D,$D1209,$E:$E,"P0(전)"))</f>
        <v/>
      </c>
      <c r="P1209" s="31">
        <f>IF(COUNTIFS($C:$C,$C1209,$D:$D,$D1209,$E:$E,"P0(전)",$M:$M,"&gt;0")&lt;&gt;1,"",SUMIFS($M:$M,$C:$C,$C1209,$D:$D,$D1209,$E:$E,"P0(전)"))</f>
        <v/>
      </c>
      <c r="Q1209" s="48">
        <f>IF(COUNTIFS($C:$C,$C1209,$D:$D,$D1209,$E:$E,"P0(후)",$M:$M,"&gt;0")&lt;&gt;1,"",SUMIFS($I:$I,$C:$C,$C1209,$D:$D,$D1209,$E:$E,"P0(후)"))</f>
        <v/>
      </c>
      <c r="R1209" s="31">
        <f>IF(COUNTIFS($C:$C,$C1209,$D:$D,$D1209,$E:$E,"P0(후)",$M:$M,"&gt;0")&lt;&gt;1,"",SUMIFS($M:$M,$C:$C,$C1209,$D:$D,$D1209,$E:$E,"P0(후)"))</f>
        <v/>
      </c>
      <c r="S1209" s="31">
        <f>IF(N1209&lt;&gt;"OK","",P1209+(R1209-P1209)*(I1209-O1209)/(Q1209-O1209))</f>
        <v/>
      </c>
      <c r="T1209" s="31">
        <f>IF(OR(N1209&lt;&gt;"OK",NOT(ISNUMBER(M1209))),"",M1209-S1209)</f>
        <v/>
      </c>
      <c r="U1209" s="49">
        <f>IF(OR(NOT(ISNUMBER(T1209)),IF(ISNUMBER(H1209),H1209,G1209)=0),"",T1209/IF(ISNUMBER(H1209),H1209,G1209))</f>
        <v/>
      </c>
      <c r="V1209" s="49">
        <f>IF(ISNUMBER(U1209),ABS(U1209),"")</f>
        <v/>
      </c>
      <c r="W1209" s="49">
        <f>IF(OR($E1208&lt;&gt;"측정",$C1208&lt;&gt;$C1209,$D1208&lt;&gt;$D1209,NOT(ISNUMBER(M1209)),NOT(ISNUMBER(M1208)),(IF(ISNUMBER(H1209),H1209,G1209)-IF(ISNUMBER(H1208),H1208,G1208))=0),"",(M1209-M1208)/(IF(ISNUMBER(H1209),H1209,G1209)-IF(ISNUMBER(H1208),H1208,G1208)))</f>
        <v/>
      </c>
      <c r="X1209" s="31">
        <f>IF(NOT(AND(ISNUMBER(O1209),ISNUMBER(Q1209))),"",(Q1209-O1209)*1440)</f>
        <v/>
      </c>
      <c r="Y1209" s="29" t="n"/>
      <c r="Z1209" s="29" t="n"/>
      <c r="AA1209" s="29" t="n"/>
      <c r="AB1209" s="32" t="n"/>
      <c r="AC1209" s="32" t="n"/>
    </row>
    <row r="1210">
      <c r="A1210" s="26" t="inlineStr">
        <is>
          <t>S24</t>
        </is>
      </c>
      <c r="B1210" s="26" t="inlineStr">
        <is>
          <t>회천 신규점2</t>
        </is>
      </c>
      <c r="C1210" s="26" t="inlineStr">
        <is>
          <t>S24-H동</t>
        </is>
      </c>
      <c r="D1210" s="47" t="n">
        <v>1</v>
      </c>
      <c r="E1210" s="26" t="inlineStr">
        <is>
          <t>측정</t>
        </is>
      </c>
      <c r="F1210" s="26" t="inlineStr">
        <is>
          <t>동</t>
        </is>
      </c>
      <c r="G1210" s="31" t="n">
        <v>7</v>
      </c>
      <c r="H1210" s="30" t="n"/>
      <c r="I1210" s="43" t="n"/>
      <c r="J1210" s="41" t="n"/>
      <c r="K1210" s="41" t="n"/>
      <c r="L1210" s="41" t="n"/>
      <c r="M1210" s="31">
        <f>IF(COUNT(J1210:L1210)=0,"",MEDIAN(J1210:L1210))</f>
        <v/>
      </c>
      <c r="N1210" s="26">
        <f>IF(COUNTIFS($C:$C,$C1210,$D:$D,$D1210,$E:$E,"P0(전)",$M:$M,"&gt;0")&lt;&gt;1,"P0(전) 유효 1개 아님",IF(COUNTIFS($C:$C,$C1210,$D:$D,$D1210,$E:$E,"P0(후)",$M:$M,"&gt;0")&lt;&gt;1,"P0(후) 유효 1개 아님",IF(NOT(AND(ISNUMBER(O1210),ISNUMBER(Q1210),ISNUMBER(I1210))),"시각 결측",IF(Q1210&lt;=O1210,"P0 시각 역전",IF(OR(I1210&lt;O1210,I1210&gt;Q1210),"측정시각 구간 밖","OK")))))</f>
        <v/>
      </c>
      <c r="O1210" s="48">
        <f>IF(COUNTIFS($C:$C,$C1210,$D:$D,$D1210,$E:$E,"P0(전)",$M:$M,"&gt;0")&lt;&gt;1,"",SUMIFS($I:$I,$C:$C,$C1210,$D:$D,$D1210,$E:$E,"P0(전)"))</f>
        <v/>
      </c>
      <c r="P1210" s="31">
        <f>IF(COUNTIFS($C:$C,$C1210,$D:$D,$D1210,$E:$E,"P0(전)",$M:$M,"&gt;0")&lt;&gt;1,"",SUMIFS($M:$M,$C:$C,$C1210,$D:$D,$D1210,$E:$E,"P0(전)"))</f>
        <v/>
      </c>
      <c r="Q1210" s="48">
        <f>IF(COUNTIFS($C:$C,$C1210,$D:$D,$D1210,$E:$E,"P0(후)",$M:$M,"&gt;0")&lt;&gt;1,"",SUMIFS($I:$I,$C:$C,$C1210,$D:$D,$D1210,$E:$E,"P0(후)"))</f>
        <v/>
      </c>
      <c r="R1210" s="31">
        <f>IF(COUNTIFS($C:$C,$C1210,$D:$D,$D1210,$E:$E,"P0(후)",$M:$M,"&gt;0")&lt;&gt;1,"",SUMIFS($M:$M,$C:$C,$C1210,$D:$D,$D1210,$E:$E,"P0(후)"))</f>
        <v/>
      </c>
      <c r="S1210" s="31">
        <f>IF(N1210&lt;&gt;"OK","",P1210+(R1210-P1210)*(I1210-O1210)/(Q1210-O1210))</f>
        <v/>
      </c>
      <c r="T1210" s="31">
        <f>IF(OR(N1210&lt;&gt;"OK",NOT(ISNUMBER(M1210))),"",M1210-S1210)</f>
        <v/>
      </c>
      <c r="U1210" s="49">
        <f>IF(OR(NOT(ISNUMBER(T1210)),IF(ISNUMBER(H1210),H1210,G1210)=0),"",T1210/IF(ISNUMBER(H1210),H1210,G1210))</f>
        <v/>
      </c>
      <c r="V1210" s="49">
        <f>IF(ISNUMBER(U1210),ABS(U1210),"")</f>
        <v/>
      </c>
      <c r="W1210" s="49">
        <f>IF(OR($E1209&lt;&gt;"측정",$C1209&lt;&gt;$C1210,$D1209&lt;&gt;$D1210,NOT(ISNUMBER(M1210)),NOT(ISNUMBER(M1209)),(IF(ISNUMBER(H1210),H1210,G1210)-IF(ISNUMBER(H1209),H1209,G1209))=0),"",(M1210-M1209)/(IF(ISNUMBER(H1210),H1210,G1210)-IF(ISNUMBER(H1209),H1209,G1209)))</f>
        <v/>
      </c>
      <c r="X1210" s="31">
        <f>IF(NOT(AND(ISNUMBER(O1210),ISNUMBER(Q1210))),"",(Q1210-O1210)*1440)</f>
        <v/>
      </c>
      <c r="Y1210" s="29" t="n"/>
      <c r="Z1210" s="29" t="n"/>
      <c r="AA1210" s="29" t="n"/>
      <c r="AB1210" s="32" t="n"/>
      <c r="AC1210" s="32" t="n"/>
    </row>
    <row r="1211">
      <c r="A1211" s="26" t="inlineStr">
        <is>
          <t>S24</t>
        </is>
      </c>
      <c r="B1211" s="26" t="inlineStr">
        <is>
          <t>회천 신규점2</t>
        </is>
      </c>
      <c r="C1211" s="26" t="inlineStr">
        <is>
          <t>S24-H동</t>
        </is>
      </c>
      <c r="D1211" s="47" t="n">
        <v>1</v>
      </c>
      <c r="E1211" s="26" t="inlineStr">
        <is>
          <t>측정</t>
        </is>
      </c>
      <c r="F1211" s="26" t="inlineStr">
        <is>
          <t>동</t>
        </is>
      </c>
      <c r="G1211" s="31" t="n">
        <v>8</v>
      </c>
      <c r="H1211" s="30" t="n"/>
      <c r="I1211" s="43" t="n"/>
      <c r="J1211" s="41" t="n"/>
      <c r="K1211" s="41" t="n"/>
      <c r="L1211" s="41" t="n"/>
      <c r="M1211" s="31">
        <f>IF(COUNT(J1211:L1211)=0,"",MEDIAN(J1211:L1211))</f>
        <v/>
      </c>
      <c r="N1211" s="26">
        <f>IF(COUNTIFS($C:$C,$C1211,$D:$D,$D1211,$E:$E,"P0(전)",$M:$M,"&gt;0")&lt;&gt;1,"P0(전) 유효 1개 아님",IF(COUNTIFS($C:$C,$C1211,$D:$D,$D1211,$E:$E,"P0(후)",$M:$M,"&gt;0")&lt;&gt;1,"P0(후) 유효 1개 아님",IF(NOT(AND(ISNUMBER(O1211),ISNUMBER(Q1211),ISNUMBER(I1211))),"시각 결측",IF(Q1211&lt;=O1211,"P0 시각 역전",IF(OR(I1211&lt;O1211,I1211&gt;Q1211),"측정시각 구간 밖","OK")))))</f>
        <v/>
      </c>
      <c r="O1211" s="48">
        <f>IF(COUNTIFS($C:$C,$C1211,$D:$D,$D1211,$E:$E,"P0(전)",$M:$M,"&gt;0")&lt;&gt;1,"",SUMIFS($I:$I,$C:$C,$C1211,$D:$D,$D1211,$E:$E,"P0(전)"))</f>
        <v/>
      </c>
      <c r="P1211" s="31">
        <f>IF(COUNTIFS($C:$C,$C1211,$D:$D,$D1211,$E:$E,"P0(전)",$M:$M,"&gt;0")&lt;&gt;1,"",SUMIFS($M:$M,$C:$C,$C1211,$D:$D,$D1211,$E:$E,"P0(전)"))</f>
        <v/>
      </c>
      <c r="Q1211" s="48">
        <f>IF(COUNTIFS($C:$C,$C1211,$D:$D,$D1211,$E:$E,"P0(후)",$M:$M,"&gt;0")&lt;&gt;1,"",SUMIFS($I:$I,$C:$C,$C1211,$D:$D,$D1211,$E:$E,"P0(후)"))</f>
        <v/>
      </c>
      <c r="R1211" s="31">
        <f>IF(COUNTIFS($C:$C,$C1211,$D:$D,$D1211,$E:$E,"P0(후)",$M:$M,"&gt;0")&lt;&gt;1,"",SUMIFS($M:$M,$C:$C,$C1211,$D:$D,$D1211,$E:$E,"P0(후)"))</f>
        <v/>
      </c>
      <c r="S1211" s="31">
        <f>IF(N1211&lt;&gt;"OK","",P1211+(R1211-P1211)*(I1211-O1211)/(Q1211-O1211))</f>
        <v/>
      </c>
      <c r="T1211" s="31">
        <f>IF(OR(N1211&lt;&gt;"OK",NOT(ISNUMBER(M1211))),"",M1211-S1211)</f>
        <v/>
      </c>
      <c r="U1211" s="49">
        <f>IF(OR(NOT(ISNUMBER(T1211)),IF(ISNUMBER(H1211),H1211,G1211)=0),"",T1211/IF(ISNUMBER(H1211),H1211,G1211))</f>
        <v/>
      </c>
      <c r="V1211" s="49">
        <f>IF(ISNUMBER(U1211),ABS(U1211),"")</f>
        <v/>
      </c>
      <c r="W1211" s="49">
        <f>IF(OR($E1210&lt;&gt;"측정",$C1210&lt;&gt;$C1211,$D1210&lt;&gt;$D1211,NOT(ISNUMBER(M1211)),NOT(ISNUMBER(M1210)),(IF(ISNUMBER(H1211),H1211,G1211)-IF(ISNUMBER(H1210),H1210,G1210))=0),"",(M1211-M1210)/(IF(ISNUMBER(H1211),H1211,G1211)-IF(ISNUMBER(H1210),H1210,G1210)))</f>
        <v/>
      </c>
      <c r="X1211" s="31">
        <f>IF(NOT(AND(ISNUMBER(O1211),ISNUMBER(Q1211))),"",(Q1211-O1211)*1440)</f>
        <v/>
      </c>
      <c r="Y1211" s="29" t="n"/>
      <c r="Z1211" s="29" t="n"/>
      <c r="AA1211" s="29" t="n"/>
      <c r="AB1211" s="32" t="n"/>
      <c r="AC1211" s="32" t="n"/>
    </row>
    <row r="1212">
      <c r="A1212" s="26" t="inlineStr">
        <is>
          <t>S24</t>
        </is>
      </c>
      <c r="B1212" s="26" t="inlineStr">
        <is>
          <t>회천 신규점2</t>
        </is>
      </c>
      <c r="C1212" s="26" t="inlineStr">
        <is>
          <t>S24-H동</t>
        </is>
      </c>
      <c r="D1212" s="47" t="n">
        <v>1</v>
      </c>
      <c r="E1212" s="26" t="inlineStr">
        <is>
          <t>측정</t>
        </is>
      </c>
      <c r="F1212" s="26" t="inlineStr">
        <is>
          <t>동</t>
        </is>
      </c>
      <c r="G1212" s="31" t="n">
        <v>9</v>
      </c>
      <c r="H1212" s="30" t="n"/>
      <c r="I1212" s="43" t="n"/>
      <c r="J1212" s="41" t="n"/>
      <c r="K1212" s="41" t="n"/>
      <c r="L1212" s="41" t="n"/>
      <c r="M1212" s="31">
        <f>IF(COUNT(J1212:L1212)=0,"",MEDIAN(J1212:L1212))</f>
        <v/>
      </c>
      <c r="N1212" s="26">
        <f>IF(COUNTIFS($C:$C,$C1212,$D:$D,$D1212,$E:$E,"P0(전)",$M:$M,"&gt;0")&lt;&gt;1,"P0(전) 유효 1개 아님",IF(COUNTIFS($C:$C,$C1212,$D:$D,$D1212,$E:$E,"P0(후)",$M:$M,"&gt;0")&lt;&gt;1,"P0(후) 유효 1개 아님",IF(NOT(AND(ISNUMBER(O1212),ISNUMBER(Q1212),ISNUMBER(I1212))),"시각 결측",IF(Q1212&lt;=O1212,"P0 시각 역전",IF(OR(I1212&lt;O1212,I1212&gt;Q1212),"측정시각 구간 밖","OK")))))</f>
        <v/>
      </c>
      <c r="O1212" s="48">
        <f>IF(COUNTIFS($C:$C,$C1212,$D:$D,$D1212,$E:$E,"P0(전)",$M:$M,"&gt;0")&lt;&gt;1,"",SUMIFS($I:$I,$C:$C,$C1212,$D:$D,$D1212,$E:$E,"P0(전)"))</f>
        <v/>
      </c>
      <c r="P1212" s="31">
        <f>IF(COUNTIFS($C:$C,$C1212,$D:$D,$D1212,$E:$E,"P0(전)",$M:$M,"&gt;0")&lt;&gt;1,"",SUMIFS($M:$M,$C:$C,$C1212,$D:$D,$D1212,$E:$E,"P0(전)"))</f>
        <v/>
      </c>
      <c r="Q1212" s="48">
        <f>IF(COUNTIFS($C:$C,$C1212,$D:$D,$D1212,$E:$E,"P0(후)",$M:$M,"&gt;0")&lt;&gt;1,"",SUMIFS($I:$I,$C:$C,$C1212,$D:$D,$D1212,$E:$E,"P0(후)"))</f>
        <v/>
      </c>
      <c r="R1212" s="31">
        <f>IF(COUNTIFS($C:$C,$C1212,$D:$D,$D1212,$E:$E,"P0(후)",$M:$M,"&gt;0")&lt;&gt;1,"",SUMIFS($M:$M,$C:$C,$C1212,$D:$D,$D1212,$E:$E,"P0(후)"))</f>
        <v/>
      </c>
      <c r="S1212" s="31">
        <f>IF(N1212&lt;&gt;"OK","",P1212+(R1212-P1212)*(I1212-O1212)/(Q1212-O1212))</f>
        <v/>
      </c>
      <c r="T1212" s="31">
        <f>IF(OR(N1212&lt;&gt;"OK",NOT(ISNUMBER(M1212))),"",M1212-S1212)</f>
        <v/>
      </c>
      <c r="U1212" s="49">
        <f>IF(OR(NOT(ISNUMBER(T1212)),IF(ISNUMBER(H1212),H1212,G1212)=0),"",T1212/IF(ISNUMBER(H1212),H1212,G1212))</f>
        <v/>
      </c>
      <c r="V1212" s="49">
        <f>IF(ISNUMBER(U1212),ABS(U1212),"")</f>
        <v/>
      </c>
      <c r="W1212" s="49">
        <f>IF(OR($E1211&lt;&gt;"측정",$C1211&lt;&gt;$C1212,$D1211&lt;&gt;$D1212,NOT(ISNUMBER(M1212)),NOT(ISNUMBER(M1211)),(IF(ISNUMBER(H1212),H1212,G1212)-IF(ISNUMBER(H1211),H1211,G1211))=0),"",(M1212-M1211)/(IF(ISNUMBER(H1212),H1212,G1212)-IF(ISNUMBER(H1211),H1211,G1211)))</f>
        <v/>
      </c>
      <c r="X1212" s="31">
        <f>IF(NOT(AND(ISNUMBER(O1212),ISNUMBER(Q1212))),"",(Q1212-O1212)*1440)</f>
        <v/>
      </c>
      <c r="Y1212" s="29" t="n"/>
      <c r="Z1212" s="29" t="n"/>
      <c r="AA1212" s="29" t="n"/>
      <c r="AB1212" s="32" t="n"/>
      <c r="AC1212" s="32" t="n"/>
    </row>
    <row r="1213">
      <c r="A1213" s="26" t="inlineStr">
        <is>
          <t>S24</t>
        </is>
      </c>
      <c r="B1213" s="26" t="inlineStr">
        <is>
          <t>회천 신규점2</t>
        </is>
      </c>
      <c r="C1213" s="26" t="inlineStr">
        <is>
          <t>S24-H동</t>
        </is>
      </c>
      <c r="D1213" s="47" t="n">
        <v>1</v>
      </c>
      <c r="E1213" s="26" t="inlineStr">
        <is>
          <t>측정</t>
        </is>
      </c>
      <c r="F1213" s="26" t="inlineStr">
        <is>
          <t>동</t>
        </is>
      </c>
      <c r="G1213" s="31" t="n">
        <v>10</v>
      </c>
      <c r="H1213" s="30" t="n"/>
      <c r="I1213" s="43" t="n"/>
      <c r="J1213" s="41" t="n"/>
      <c r="K1213" s="41" t="n"/>
      <c r="L1213" s="41" t="n"/>
      <c r="M1213" s="31">
        <f>IF(COUNT(J1213:L1213)=0,"",MEDIAN(J1213:L1213))</f>
        <v/>
      </c>
      <c r="N1213" s="26">
        <f>IF(COUNTIFS($C:$C,$C1213,$D:$D,$D1213,$E:$E,"P0(전)",$M:$M,"&gt;0")&lt;&gt;1,"P0(전) 유효 1개 아님",IF(COUNTIFS($C:$C,$C1213,$D:$D,$D1213,$E:$E,"P0(후)",$M:$M,"&gt;0")&lt;&gt;1,"P0(후) 유효 1개 아님",IF(NOT(AND(ISNUMBER(O1213),ISNUMBER(Q1213),ISNUMBER(I1213))),"시각 결측",IF(Q1213&lt;=O1213,"P0 시각 역전",IF(OR(I1213&lt;O1213,I1213&gt;Q1213),"측정시각 구간 밖","OK")))))</f>
        <v/>
      </c>
      <c r="O1213" s="48">
        <f>IF(COUNTIFS($C:$C,$C1213,$D:$D,$D1213,$E:$E,"P0(전)",$M:$M,"&gt;0")&lt;&gt;1,"",SUMIFS($I:$I,$C:$C,$C1213,$D:$D,$D1213,$E:$E,"P0(전)"))</f>
        <v/>
      </c>
      <c r="P1213" s="31">
        <f>IF(COUNTIFS($C:$C,$C1213,$D:$D,$D1213,$E:$E,"P0(전)",$M:$M,"&gt;0")&lt;&gt;1,"",SUMIFS($M:$M,$C:$C,$C1213,$D:$D,$D1213,$E:$E,"P0(전)"))</f>
        <v/>
      </c>
      <c r="Q1213" s="48">
        <f>IF(COUNTIFS($C:$C,$C1213,$D:$D,$D1213,$E:$E,"P0(후)",$M:$M,"&gt;0")&lt;&gt;1,"",SUMIFS($I:$I,$C:$C,$C1213,$D:$D,$D1213,$E:$E,"P0(후)"))</f>
        <v/>
      </c>
      <c r="R1213" s="31">
        <f>IF(COUNTIFS($C:$C,$C1213,$D:$D,$D1213,$E:$E,"P0(후)",$M:$M,"&gt;0")&lt;&gt;1,"",SUMIFS($M:$M,$C:$C,$C1213,$D:$D,$D1213,$E:$E,"P0(후)"))</f>
        <v/>
      </c>
      <c r="S1213" s="31">
        <f>IF(N1213&lt;&gt;"OK","",P1213+(R1213-P1213)*(I1213-O1213)/(Q1213-O1213))</f>
        <v/>
      </c>
      <c r="T1213" s="31">
        <f>IF(OR(N1213&lt;&gt;"OK",NOT(ISNUMBER(M1213))),"",M1213-S1213)</f>
        <v/>
      </c>
      <c r="U1213" s="49">
        <f>IF(OR(NOT(ISNUMBER(T1213)),IF(ISNUMBER(H1213),H1213,G1213)=0),"",T1213/IF(ISNUMBER(H1213),H1213,G1213))</f>
        <v/>
      </c>
      <c r="V1213" s="49">
        <f>IF(ISNUMBER(U1213),ABS(U1213),"")</f>
        <v/>
      </c>
      <c r="W1213" s="49">
        <f>IF(OR($E1212&lt;&gt;"측정",$C1212&lt;&gt;$C1213,$D1212&lt;&gt;$D1213,NOT(ISNUMBER(M1213)),NOT(ISNUMBER(M1212)),(IF(ISNUMBER(H1213),H1213,G1213)-IF(ISNUMBER(H1212),H1212,G1212))=0),"",(M1213-M1212)/(IF(ISNUMBER(H1213),H1213,G1213)-IF(ISNUMBER(H1212),H1212,G1212)))</f>
        <v/>
      </c>
      <c r="X1213" s="31">
        <f>IF(NOT(AND(ISNUMBER(O1213),ISNUMBER(Q1213))),"",(Q1213-O1213)*1440)</f>
        <v/>
      </c>
      <c r="Y1213" s="29" t="n"/>
      <c r="Z1213" s="29" t="n"/>
      <c r="AA1213" s="29" t="n"/>
      <c r="AB1213" s="32" t="n"/>
      <c r="AC1213" s="32" t="n"/>
    </row>
    <row r="1214">
      <c r="A1214" s="44" t="inlineStr">
        <is>
          <t>S24</t>
        </is>
      </c>
      <c r="B1214" s="44" t="inlineStr">
        <is>
          <t>회천 신규점2</t>
        </is>
      </c>
      <c r="C1214" s="44" t="inlineStr">
        <is>
          <t>S24-H동</t>
        </is>
      </c>
      <c r="D1214" s="45" t="n">
        <v>1</v>
      </c>
      <c r="E1214" s="44" t="inlineStr">
        <is>
          <t>P0(후)</t>
        </is>
      </c>
      <c r="F1214" s="44" t="inlineStr">
        <is>
          <t>동</t>
        </is>
      </c>
      <c r="G1214" s="46" t="n"/>
      <c r="H1214" s="30" t="n"/>
      <c r="I1214" s="43" t="n"/>
      <c r="J1214" s="41" t="n"/>
      <c r="K1214" s="41" t="n"/>
      <c r="L1214" s="41" t="n"/>
      <c r="M1214" s="31">
        <f>IF(COUNT(J1214:L1214)=0,"",MEDIAN(J1214:L1214))</f>
        <v/>
      </c>
      <c r="N1214" s="38" t="n"/>
      <c r="O1214" s="38" t="n"/>
      <c r="P1214" s="38" t="n"/>
      <c r="Q1214" s="38" t="n"/>
      <c r="R1214" s="38" t="n"/>
      <c r="S1214" s="38" t="n"/>
      <c r="T1214" s="38" t="n"/>
      <c r="U1214" s="38" t="n"/>
      <c r="V1214" s="38" t="n"/>
      <c r="W1214" s="38" t="n"/>
      <c r="X1214" s="38" t="n"/>
      <c r="Y1214" s="29" t="n"/>
      <c r="Z1214" s="29" t="n"/>
      <c r="AA1214" s="29" t="n"/>
      <c r="AB1214" s="32" t="n"/>
      <c r="AC1214" s="32" t="n"/>
    </row>
    <row r="1215">
      <c r="A1215" s="44" t="inlineStr">
        <is>
          <t>S24</t>
        </is>
      </c>
      <c r="B1215" s="44" t="inlineStr">
        <is>
          <t>회천 신규점2</t>
        </is>
      </c>
      <c r="C1215" s="44" t="inlineStr">
        <is>
          <t>S24-H서</t>
        </is>
      </c>
      <c r="D1215" s="45" t="n">
        <v>1</v>
      </c>
      <c r="E1215" s="44" t="inlineStr">
        <is>
          <t>P0(전)</t>
        </is>
      </c>
      <c r="F1215" s="44" t="inlineStr">
        <is>
          <t>서</t>
        </is>
      </c>
      <c r="G1215" s="46" t="n"/>
      <c r="H1215" s="30" t="n"/>
      <c r="I1215" s="43" t="n"/>
      <c r="J1215" s="41" t="n"/>
      <c r="K1215" s="41" t="n"/>
      <c r="L1215" s="41" t="n"/>
      <c r="M1215" s="31">
        <f>IF(COUNT(J1215:L1215)=0,"",MEDIAN(J1215:L1215))</f>
        <v/>
      </c>
      <c r="N1215" s="38" t="n"/>
      <c r="O1215" s="38" t="n"/>
      <c r="P1215" s="38" t="n"/>
      <c r="Q1215" s="38" t="n"/>
      <c r="R1215" s="38" t="n"/>
      <c r="S1215" s="38" t="n"/>
      <c r="T1215" s="38" t="n"/>
      <c r="U1215" s="38" t="n"/>
      <c r="V1215" s="38" t="n"/>
      <c r="W1215" s="38" t="n"/>
      <c r="X1215" s="38" t="n"/>
      <c r="Y1215" s="29" t="n"/>
      <c r="Z1215" s="29" t="n"/>
      <c r="AA1215" s="29" t="n"/>
      <c r="AB1215" s="32" t="n"/>
      <c r="AC1215" s="32" t="n"/>
    </row>
    <row r="1216">
      <c r="A1216" s="26" t="inlineStr">
        <is>
          <t>S24</t>
        </is>
      </c>
      <c r="B1216" s="26" t="inlineStr">
        <is>
          <t>회천 신규점2</t>
        </is>
      </c>
      <c r="C1216" s="26" t="inlineStr">
        <is>
          <t>S24-H서</t>
        </is>
      </c>
      <c r="D1216" s="47" t="n">
        <v>1</v>
      </c>
      <c r="E1216" s="26" t="inlineStr">
        <is>
          <t>측정</t>
        </is>
      </c>
      <c r="F1216" s="26" t="inlineStr">
        <is>
          <t>서</t>
        </is>
      </c>
      <c r="G1216" s="31" t="n">
        <v>0.5</v>
      </c>
      <c r="H1216" s="30" t="n"/>
      <c r="I1216" s="43" t="n"/>
      <c r="J1216" s="41" t="n"/>
      <c r="K1216" s="41" t="n"/>
      <c r="L1216" s="41" t="n"/>
      <c r="M1216" s="31">
        <f>IF(COUNT(J1216:L1216)=0,"",MEDIAN(J1216:L1216))</f>
        <v/>
      </c>
      <c r="N1216" s="26">
        <f>IF(COUNTIFS($C:$C,$C1216,$D:$D,$D1216,$E:$E,"P0(전)",$M:$M,"&gt;0")&lt;&gt;1,"P0(전) 유효 1개 아님",IF(COUNTIFS($C:$C,$C1216,$D:$D,$D1216,$E:$E,"P0(후)",$M:$M,"&gt;0")&lt;&gt;1,"P0(후) 유효 1개 아님",IF(NOT(AND(ISNUMBER(O1216),ISNUMBER(Q1216),ISNUMBER(I1216))),"시각 결측",IF(Q1216&lt;=O1216,"P0 시각 역전",IF(OR(I1216&lt;O1216,I1216&gt;Q1216),"측정시각 구간 밖","OK")))))</f>
        <v/>
      </c>
      <c r="O1216" s="48">
        <f>IF(COUNTIFS($C:$C,$C1216,$D:$D,$D1216,$E:$E,"P0(전)",$M:$M,"&gt;0")&lt;&gt;1,"",SUMIFS($I:$I,$C:$C,$C1216,$D:$D,$D1216,$E:$E,"P0(전)"))</f>
        <v/>
      </c>
      <c r="P1216" s="31">
        <f>IF(COUNTIFS($C:$C,$C1216,$D:$D,$D1216,$E:$E,"P0(전)",$M:$M,"&gt;0")&lt;&gt;1,"",SUMIFS($M:$M,$C:$C,$C1216,$D:$D,$D1216,$E:$E,"P0(전)"))</f>
        <v/>
      </c>
      <c r="Q1216" s="48">
        <f>IF(COUNTIFS($C:$C,$C1216,$D:$D,$D1216,$E:$E,"P0(후)",$M:$M,"&gt;0")&lt;&gt;1,"",SUMIFS($I:$I,$C:$C,$C1216,$D:$D,$D1216,$E:$E,"P0(후)"))</f>
        <v/>
      </c>
      <c r="R1216" s="31">
        <f>IF(COUNTIFS($C:$C,$C1216,$D:$D,$D1216,$E:$E,"P0(후)",$M:$M,"&gt;0")&lt;&gt;1,"",SUMIFS($M:$M,$C:$C,$C1216,$D:$D,$D1216,$E:$E,"P0(후)"))</f>
        <v/>
      </c>
      <c r="S1216" s="31">
        <f>IF(N1216&lt;&gt;"OK","",P1216+(R1216-P1216)*(I1216-O1216)/(Q1216-O1216))</f>
        <v/>
      </c>
      <c r="T1216" s="31">
        <f>IF(OR(N1216&lt;&gt;"OK",NOT(ISNUMBER(M1216))),"",M1216-S1216)</f>
        <v/>
      </c>
      <c r="U1216" s="49">
        <f>IF(OR(NOT(ISNUMBER(T1216)),IF(ISNUMBER(H1216),H1216,G1216)=0),"",T1216/IF(ISNUMBER(H1216),H1216,G1216))</f>
        <v/>
      </c>
      <c r="V1216" s="49">
        <f>IF(ISNUMBER(U1216),ABS(U1216),"")</f>
        <v/>
      </c>
      <c r="W1216" s="49">
        <f>IF(OR($E1215&lt;&gt;"측정",$C1215&lt;&gt;$C1216,$D1215&lt;&gt;$D1216,NOT(ISNUMBER(M1216)),NOT(ISNUMBER(M1215)),(IF(ISNUMBER(H1216),H1216,G1216)-IF(ISNUMBER(H1215),H1215,G1215))=0),"",(M1216-M1215)/(IF(ISNUMBER(H1216),H1216,G1216)-IF(ISNUMBER(H1215),H1215,G1215)))</f>
        <v/>
      </c>
      <c r="X1216" s="31">
        <f>IF(NOT(AND(ISNUMBER(O1216),ISNUMBER(Q1216))),"",(Q1216-O1216)*1440)</f>
        <v/>
      </c>
      <c r="Y1216" s="29" t="n"/>
      <c r="Z1216" s="29" t="n"/>
      <c r="AA1216" s="29" t="n"/>
      <c r="AB1216" s="32" t="n"/>
      <c r="AC1216" s="32" t="n"/>
    </row>
    <row r="1217">
      <c r="A1217" s="26" t="inlineStr">
        <is>
          <t>S24</t>
        </is>
      </c>
      <c r="B1217" s="26" t="inlineStr">
        <is>
          <t>회천 신규점2</t>
        </is>
      </c>
      <c r="C1217" s="26" t="inlineStr">
        <is>
          <t>S24-H서</t>
        </is>
      </c>
      <c r="D1217" s="47" t="n">
        <v>1</v>
      </c>
      <c r="E1217" s="26" t="inlineStr">
        <is>
          <t>측정</t>
        </is>
      </c>
      <c r="F1217" s="26" t="inlineStr">
        <is>
          <t>서</t>
        </is>
      </c>
      <c r="G1217" s="31" t="n">
        <v>1</v>
      </c>
      <c r="H1217" s="30" t="n"/>
      <c r="I1217" s="43" t="n"/>
      <c r="J1217" s="41" t="n"/>
      <c r="K1217" s="41" t="n"/>
      <c r="L1217" s="41" t="n"/>
      <c r="M1217" s="31">
        <f>IF(COUNT(J1217:L1217)=0,"",MEDIAN(J1217:L1217))</f>
        <v/>
      </c>
      <c r="N1217" s="26">
        <f>IF(COUNTIFS($C:$C,$C1217,$D:$D,$D1217,$E:$E,"P0(전)",$M:$M,"&gt;0")&lt;&gt;1,"P0(전) 유효 1개 아님",IF(COUNTIFS($C:$C,$C1217,$D:$D,$D1217,$E:$E,"P0(후)",$M:$M,"&gt;0")&lt;&gt;1,"P0(후) 유효 1개 아님",IF(NOT(AND(ISNUMBER(O1217),ISNUMBER(Q1217),ISNUMBER(I1217))),"시각 결측",IF(Q1217&lt;=O1217,"P0 시각 역전",IF(OR(I1217&lt;O1217,I1217&gt;Q1217),"측정시각 구간 밖","OK")))))</f>
        <v/>
      </c>
      <c r="O1217" s="48">
        <f>IF(COUNTIFS($C:$C,$C1217,$D:$D,$D1217,$E:$E,"P0(전)",$M:$M,"&gt;0")&lt;&gt;1,"",SUMIFS($I:$I,$C:$C,$C1217,$D:$D,$D1217,$E:$E,"P0(전)"))</f>
        <v/>
      </c>
      <c r="P1217" s="31">
        <f>IF(COUNTIFS($C:$C,$C1217,$D:$D,$D1217,$E:$E,"P0(전)",$M:$M,"&gt;0")&lt;&gt;1,"",SUMIFS($M:$M,$C:$C,$C1217,$D:$D,$D1217,$E:$E,"P0(전)"))</f>
        <v/>
      </c>
      <c r="Q1217" s="48">
        <f>IF(COUNTIFS($C:$C,$C1217,$D:$D,$D1217,$E:$E,"P0(후)",$M:$M,"&gt;0")&lt;&gt;1,"",SUMIFS($I:$I,$C:$C,$C1217,$D:$D,$D1217,$E:$E,"P0(후)"))</f>
        <v/>
      </c>
      <c r="R1217" s="31">
        <f>IF(COUNTIFS($C:$C,$C1217,$D:$D,$D1217,$E:$E,"P0(후)",$M:$M,"&gt;0")&lt;&gt;1,"",SUMIFS($M:$M,$C:$C,$C1217,$D:$D,$D1217,$E:$E,"P0(후)"))</f>
        <v/>
      </c>
      <c r="S1217" s="31">
        <f>IF(N1217&lt;&gt;"OK","",P1217+(R1217-P1217)*(I1217-O1217)/(Q1217-O1217))</f>
        <v/>
      </c>
      <c r="T1217" s="31">
        <f>IF(OR(N1217&lt;&gt;"OK",NOT(ISNUMBER(M1217))),"",M1217-S1217)</f>
        <v/>
      </c>
      <c r="U1217" s="49">
        <f>IF(OR(NOT(ISNUMBER(T1217)),IF(ISNUMBER(H1217),H1217,G1217)=0),"",T1217/IF(ISNUMBER(H1217),H1217,G1217))</f>
        <v/>
      </c>
      <c r="V1217" s="49">
        <f>IF(ISNUMBER(U1217),ABS(U1217),"")</f>
        <v/>
      </c>
      <c r="W1217" s="49">
        <f>IF(OR($E1216&lt;&gt;"측정",$C1216&lt;&gt;$C1217,$D1216&lt;&gt;$D1217,NOT(ISNUMBER(M1217)),NOT(ISNUMBER(M1216)),(IF(ISNUMBER(H1217),H1217,G1217)-IF(ISNUMBER(H1216),H1216,G1216))=0),"",(M1217-M1216)/(IF(ISNUMBER(H1217),H1217,G1217)-IF(ISNUMBER(H1216),H1216,G1216)))</f>
        <v/>
      </c>
      <c r="X1217" s="31">
        <f>IF(NOT(AND(ISNUMBER(O1217),ISNUMBER(Q1217))),"",(Q1217-O1217)*1440)</f>
        <v/>
      </c>
      <c r="Y1217" s="29" t="n"/>
      <c r="Z1217" s="29" t="n"/>
      <c r="AA1217" s="29" t="n"/>
      <c r="AB1217" s="32" t="n"/>
      <c r="AC1217" s="32" t="n"/>
    </row>
    <row r="1218">
      <c r="A1218" s="26" t="inlineStr">
        <is>
          <t>S24</t>
        </is>
      </c>
      <c r="B1218" s="26" t="inlineStr">
        <is>
          <t>회천 신규점2</t>
        </is>
      </c>
      <c r="C1218" s="26" t="inlineStr">
        <is>
          <t>S24-H서</t>
        </is>
      </c>
      <c r="D1218" s="47" t="n">
        <v>1</v>
      </c>
      <c r="E1218" s="26" t="inlineStr">
        <is>
          <t>측정</t>
        </is>
      </c>
      <c r="F1218" s="26" t="inlineStr">
        <is>
          <t>서</t>
        </is>
      </c>
      <c r="G1218" s="31" t="n">
        <v>2</v>
      </c>
      <c r="H1218" s="30" t="n"/>
      <c r="I1218" s="43" t="n"/>
      <c r="J1218" s="41" t="n"/>
      <c r="K1218" s="41" t="n"/>
      <c r="L1218" s="41" t="n"/>
      <c r="M1218" s="31">
        <f>IF(COUNT(J1218:L1218)=0,"",MEDIAN(J1218:L1218))</f>
        <v/>
      </c>
      <c r="N1218" s="26">
        <f>IF(COUNTIFS($C:$C,$C1218,$D:$D,$D1218,$E:$E,"P0(전)",$M:$M,"&gt;0")&lt;&gt;1,"P0(전) 유효 1개 아님",IF(COUNTIFS($C:$C,$C1218,$D:$D,$D1218,$E:$E,"P0(후)",$M:$M,"&gt;0")&lt;&gt;1,"P0(후) 유효 1개 아님",IF(NOT(AND(ISNUMBER(O1218),ISNUMBER(Q1218),ISNUMBER(I1218))),"시각 결측",IF(Q1218&lt;=O1218,"P0 시각 역전",IF(OR(I1218&lt;O1218,I1218&gt;Q1218),"측정시각 구간 밖","OK")))))</f>
        <v/>
      </c>
      <c r="O1218" s="48">
        <f>IF(COUNTIFS($C:$C,$C1218,$D:$D,$D1218,$E:$E,"P0(전)",$M:$M,"&gt;0")&lt;&gt;1,"",SUMIFS($I:$I,$C:$C,$C1218,$D:$D,$D1218,$E:$E,"P0(전)"))</f>
        <v/>
      </c>
      <c r="P1218" s="31">
        <f>IF(COUNTIFS($C:$C,$C1218,$D:$D,$D1218,$E:$E,"P0(전)",$M:$M,"&gt;0")&lt;&gt;1,"",SUMIFS($M:$M,$C:$C,$C1218,$D:$D,$D1218,$E:$E,"P0(전)"))</f>
        <v/>
      </c>
      <c r="Q1218" s="48">
        <f>IF(COUNTIFS($C:$C,$C1218,$D:$D,$D1218,$E:$E,"P0(후)",$M:$M,"&gt;0")&lt;&gt;1,"",SUMIFS($I:$I,$C:$C,$C1218,$D:$D,$D1218,$E:$E,"P0(후)"))</f>
        <v/>
      </c>
      <c r="R1218" s="31">
        <f>IF(COUNTIFS($C:$C,$C1218,$D:$D,$D1218,$E:$E,"P0(후)",$M:$M,"&gt;0")&lt;&gt;1,"",SUMIFS($M:$M,$C:$C,$C1218,$D:$D,$D1218,$E:$E,"P0(후)"))</f>
        <v/>
      </c>
      <c r="S1218" s="31">
        <f>IF(N1218&lt;&gt;"OK","",P1218+(R1218-P1218)*(I1218-O1218)/(Q1218-O1218))</f>
        <v/>
      </c>
      <c r="T1218" s="31">
        <f>IF(OR(N1218&lt;&gt;"OK",NOT(ISNUMBER(M1218))),"",M1218-S1218)</f>
        <v/>
      </c>
      <c r="U1218" s="49">
        <f>IF(OR(NOT(ISNUMBER(T1218)),IF(ISNUMBER(H1218),H1218,G1218)=0),"",T1218/IF(ISNUMBER(H1218),H1218,G1218))</f>
        <v/>
      </c>
      <c r="V1218" s="49">
        <f>IF(ISNUMBER(U1218),ABS(U1218),"")</f>
        <v/>
      </c>
      <c r="W1218" s="49">
        <f>IF(OR($E1217&lt;&gt;"측정",$C1217&lt;&gt;$C1218,$D1217&lt;&gt;$D1218,NOT(ISNUMBER(M1218)),NOT(ISNUMBER(M1217)),(IF(ISNUMBER(H1218),H1218,G1218)-IF(ISNUMBER(H1217),H1217,G1217))=0),"",(M1218-M1217)/(IF(ISNUMBER(H1218),H1218,G1218)-IF(ISNUMBER(H1217),H1217,G1217)))</f>
        <v/>
      </c>
      <c r="X1218" s="31">
        <f>IF(NOT(AND(ISNUMBER(O1218),ISNUMBER(Q1218))),"",(Q1218-O1218)*1440)</f>
        <v/>
      </c>
      <c r="Y1218" s="29" t="n"/>
      <c r="Z1218" s="29" t="n"/>
      <c r="AA1218" s="29" t="n"/>
      <c r="AB1218" s="32" t="n"/>
      <c r="AC1218" s="32" t="n"/>
    </row>
    <row r="1219">
      <c r="A1219" s="26" t="inlineStr">
        <is>
          <t>S24</t>
        </is>
      </c>
      <c r="B1219" s="26" t="inlineStr">
        <is>
          <t>회천 신규점2</t>
        </is>
      </c>
      <c r="C1219" s="26" t="inlineStr">
        <is>
          <t>S24-H서</t>
        </is>
      </c>
      <c r="D1219" s="47" t="n">
        <v>1</v>
      </c>
      <c r="E1219" s="26" t="inlineStr">
        <is>
          <t>측정</t>
        </is>
      </c>
      <c r="F1219" s="26" t="inlineStr">
        <is>
          <t>서</t>
        </is>
      </c>
      <c r="G1219" s="31" t="n">
        <v>3</v>
      </c>
      <c r="H1219" s="30" t="n"/>
      <c r="I1219" s="43" t="n"/>
      <c r="J1219" s="41" t="n"/>
      <c r="K1219" s="41" t="n"/>
      <c r="L1219" s="41" t="n"/>
      <c r="M1219" s="31">
        <f>IF(COUNT(J1219:L1219)=0,"",MEDIAN(J1219:L1219))</f>
        <v/>
      </c>
      <c r="N1219" s="26">
        <f>IF(COUNTIFS($C:$C,$C1219,$D:$D,$D1219,$E:$E,"P0(전)",$M:$M,"&gt;0")&lt;&gt;1,"P0(전) 유효 1개 아님",IF(COUNTIFS($C:$C,$C1219,$D:$D,$D1219,$E:$E,"P0(후)",$M:$M,"&gt;0")&lt;&gt;1,"P0(후) 유효 1개 아님",IF(NOT(AND(ISNUMBER(O1219),ISNUMBER(Q1219),ISNUMBER(I1219))),"시각 결측",IF(Q1219&lt;=O1219,"P0 시각 역전",IF(OR(I1219&lt;O1219,I1219&gt;Q1219),"측정시각 구간 밖","OK")))))</f>
        <v/>
      </c>
      <c r="O1219" s="48">
        <f>IF(COUNTIFS($C:$C,$C1219,$D:$D,$D1219,$E:$E,"P0(전)",$M:$M,"&gt;0")&lt;&gt;1,"",SUMIFS($I:$I,$C:$C,$C1219,$D:$D,$D1219,$E:$E,"P0(전)"))</f>
        <v/>
      </c>
      <c r="P1219" s="31">
        <f>IF(COUNTIFS($C:$C,$C1219,$D:$D,$D1219,$E:$E,"P0(전)",$M:$M,"&gt;0")&lt;&gt;1,"",SUMIFS($M:$M,$C:$C,$C1219,$D:$D,$D1219,$E:$E,"P0(전)"))</f>
        <v/>
      </c>
      <c r="Q1219" s="48">
        <f>IF(COUNTIFS($C:$C,$C1219,$D:$D,$D1219,$E:$E,"P0(후)",$M:$M,"&gt;0")&lt;&gt;1,"",SUMIFS($I:$I,$C:$C,$C1219,$D:$D,$D1219,$E:$E,"P0(후)"))</f>
        <v/>
      </c>
      <c r="R1219" s="31">
        <f>IF(COUNTIFS($C:$C,$C1219,$D:$D,$D1219,$E:$E,"P0(후)",$M:$M,"&gt;0")&lt;&gt;1,"",SUMIFS($M:$M,$C:$C,$C1219,$D:$D,$D1219,$E:$E,"P0(후)"))</f>
        <v/>
      </c>
      <c r="S1219" s="31">
        <f>IF(N1219&lt;&gt;"OK","",P1219+(R1219-P1219)*(I1219-O1219)/(Q1219-O1219))</f>
        <v/>
      </c>
      <c r="T1219" s="31">
        <f>IF(OR(N1219&lt;&gt;"OK",NOT(ISNUMBER(M1219))),"",M1219-S1219)</f>
        <v/>
      </c>
      <c r="U1219" s="49">
        <f>IF(OR(NOT(ISNUMBER(T1219)),IF(ISNUMBER(H1219),H1219,G1219)=0),"",T1219/IF(ISNUMBER(H1219),H1219,G1219))</f>
        <v/>
      </c>
      <c r="V1219" s="49">
        <f>IF(ISNUMBER(U1219),ABS(U1219),"")</f>
        <v/>
      </c>
      <c r="W1219" s="49">
        <f>IF(OR($E1218&lt;&gt;"측정",$C1218&lt;&gt;$C1219,$D1218&lt;&gt;$D1219,NOT(ISNUMBER(M1219)),NOT(ISNUMBER(M1218)),(IF(ISNUMBER(H1219),H1219,G1219)-IF(ISNUMBER(H1218),H1218,G1218))=0),"",(M1219-M1218)/(IF(ISNUMBER(H1219),H1219,G1219)-IF(ISNUMBER(H1218),H1218,G1218)))</f>
        <v/>
      </c>
      <c r="X1219" s="31">
        <f>IF(NOT(AND(ISNUMBER(O1219),ISNUMBER(Q1219))),"",(Q1219-O1219)*1440)</f>
        <v/>
      </c>
      <c r="Y1219" s="29" t="n"/>
      <c r="Z1219" s="29" t="n"/>
      <c r="AA1219" s="29" t="n"/>
      <c r="AB1219" s="32" t="n"/>
      <c r="AC1219" s="32" t="n"/>
    </row>
    <row r="1220">
      <c r="A1220" s="26" t="inlineStr">
        <is>
          <t>S24</t>
        </is>
      </c>
      <c r="B1220" s="26" t="inlineStr">
        <is>
          <t>회천 신규점2</t>
        </is>
      </c>
      <c r="C1220" s="26" t="inlineStr">
        <is>
          <t>S24-H서</t>
        </is>
      </c>
      <c r="D1220" s="47" t="n">
        <v>1</v>
      </c>
      <c r="E1220" s="26" t="inlineStr">
        <is>
          <t>측정</t>
        </is>
      </c>
      <c r="F1220" s="26" t="inlineStr">
        <is>
          <t>서</t>
        </is>
      </c>
      <c r="G1220" s="31" t="n">
        <v>4</v>
      </c>
      <c r="H1220" s="30" t="n"/>
      <c r="I1220" s="43" t="n"/>
      <c r="J1220" s="41" t="n"/>
      <c r="K1220" s="41" t="n"/>
      <c r="L1220" s="41" t="n"/>
      <c r="M1220" s="31">
        <f>IF(COUNT(J1220:L1220)=0,"",MEDIAN(J1220:L1220))</f>
        <v/>
      </c>
      <c r="N1220" s="26">
        <f>IF(COUNTIFS($C:$C,$C1220,$D:$D,$D1220,$E:$E,"P0(전)",$M:$M,"&gt;0")&lt;&gt;1,"P0(전) 유효 1개 아님",IF(COUNTIFS($C:$C,$C1220,$D:$D,$D1220,$E:$E,"P0(후)",$M:$M,"&gt;0")&lt;&gt;1,"P0(후) 유효 1개 아님",IF(NOT(AND(ISNUMBER(O1220),ISNUMBER(Q1220),ISNUMBER(I1220))),"시각 결측",IF(Q1220&lt;=O1220,"P0 시각 역전",IF(OR(I1220&lt;O1220,I1220&gt;Q1220),"측정시각 구간 밖","OK")))))</f>
        <v/>
      </c>
      <c r="O1220" s="48">
        <f>IF(COUNTIFS($C:$C,$C1220,$D:$D,$D1220,$E:$E,"P0(전)",$M:$M,"&gt;0")&lt;&gt;1,"",SUMIFS($I:$I,$C:$C,$C1220,$D:$D,$D1220,$E:$E,"P0(전)"))</f>
        <v/>
      </c>
      <c r="P1220" s="31">
        <f>IF(COUNTIFS($C:$C,$C1220,$D:$D,$D1220,$E:$E,"P0(전)",$M:$M,"&gt;0")&lt;&gt;1,"",SUMIFS($M:$M,$C:$C,$C1220,$D:$D,$D1220,$E:$E,"P0(전)"))</f>
        <v/>
      </c>
      <c r="Q1220" s="48">
        <f>IF(COUNTIFS($C:$C,$C1220,$D:$D,$D1220,$E:$E,"P0(후)",$M:$M,"&gt;0")&lt;&gt;1,"",SUMIFS($I:$I,$C:$C,$C1220,$D:$D,$D1220,$E:$E,"P0(후)"))</f>
        <v/>
      </c>
      <c r="R1220" s="31">
        <f>IF(COUNTIFS($C:$C,$C1220,$D:$D,$D1220,$E:$E,"P0(후)",$M:$M,"&gt;0")&lt;&gt;1,"",SUMIFS($M:$M,$C:$C,$C1220,$D:$D,$D1220,$E:$E,"P0(후)"))</f>
        <v/>
      </c>
      <c r="S1220" s="31">
        <f>IF(N1220&lt;&gt;"OK","",P1220+(R1220-P1220)*(I1220-O1220)/(Q1220-O1220))</f>
        <v/>
      </c>
      <c r="T1220" s="31">
        <f>IF(OR(N1220&lt;&gt;"OK",NOT(ISNUMBER(M1220))),"",M1220-S1220)</f>
        <v/>
      </c>
      <c r="U1220" s="49">
        <f>IF(OR(NOT(ISNUMBER(T1220)),IF(ISNUMBER(H1220),H1220,G1220)=0),"",T1220/IF(ISNUMBER(H1220),H1220,G1220))</f>
        <v/>
      </c>
      <c r="V1220" s="49">
        <f>IF(ISNUMBER(U1220),ABS(U1220),"")</f>
        <v/>
      </c>
      <c r="W1220" s="49">
        <f>IF(OR($E1219&lt;&gt;"측정",$C1219&lt;&gt;$C1220,$D1219&lt;&gt;$D1220,NOT(ISNUMBER(M1220)),NOT(ISNUMBER(M1219)),(IF(ISNUMBER(H1220),H1220,G1220)-IF(ISNUMBER(H1219),H1219,G1219))=0),"",(M1220-M1219)/(IF(ISNUMBER(H1220),H1220,G1220)-IF(ISNUMBER(H1219),H1219,G1219)))</f>
        <v/>
      </c>
      <c r="X1220" s="31">
        <f>IF(NOT(AND(ISNUMBER(O1220),ISNUMBER(Q1220))),"",(Q1220-O1220)*1440)</f>
        <v/>
      </c>
      <c r="Y1220" s="29" t="n"/>
      <c r="Z1220" s="29" t="n"/>
      <c r="AA1220" s="29" t="n"/>
      <c r="AB1220" s="32" t="n"/>
      <c r="AC1220" s="32" t="n"/>
    </row>
    <row r="1221">
      <c r="A1221" s="26" t="inlineStr">
        <is>
          <t>S24</t>
        </is>
      </c>
      <c r="B1221" s="26" t="inlineStr">
        <is>
          <t>회천 신규점2</t>
        </is>
      </c>
      <c r="C1221" s="26" t="inlineStr">
        <is>
          <t>S24-H서</t>
        </is>
      </c>
      <c r="D1221" s="47" t="n">
        <v>1</v>
      </c>
      <c r="E1221" s="26" t="inlineStr">
        <is>
          <t>측정</t>
        </is>
      </c>
      <c r="F1221" s="26" t="inlineStr">
        <is>
          <t>서</t>
        </is>
      </c>
      <c r="G1221" s="31" t="n">
        <v>5</v>
      </c>
      <c r="H1221" s="30" t="n"/>
      <c r="I1221" s="43" t="n"/>
      <c r="J1221" s="41" t="n"/>
      <c r="K1221" s="41" t="n"/>
      <c r="L1221" s="41" t="n"/>
      <c r="M1221" s="31">
        <f>IF(COUNT(J1221:L1221)=0,"",MEDIAN(J1221:L1221))</f>
        <v/>
      </c>
      <c r="N1221" s="26">
        <f>IF(COUNTIFS($C:$C,$C1221,$D:$D,$D1221,$E:$E,"P0(전)",$M:$M,"&gt;0")&lt;&gt;1,"P0(전) 유효 1개 아님",IF(COUNTIFS($C:$C,$C1221,$D:$D,$D1221,$E:$E,"P0(후)",$M:$M,"&gt;0")&lt;&gt;1,"P0(후) 유효 1개 아님",IF(NOT(AND(ISNUMBER(O1221),ISNUMBER(Q1221),ISNUMBER(I1221))),"시각 결측",IF(Q1221&lt;=O1221,"P0 시각 역전",IF(OR(I1221&lt;O1221,I1221&gt;Q1221),"측정시각 구간 밖","OK")))))</f>
        <v/>
      </c>
      <c r="O1221" s="48">
        <f>IF(COUNTIFS($C:$C,$C1221,$D:$D,$D1221,$E:$E,"P0(전)",$M:$M,"&gt;0")&lt;&gt;1,"",SUMIFS($I:$I,$C:$C,$C1221,$D:$D,$D1221,$E:$E,"P0(전)"))</f>
        <v/>
      </c>
      <c r="P1221" s="31">
        <f>IF(COUNTIFS($C:$C,$C1221,$D:$D,$D1221,$E:$E,"P0(전)",$M:$M,"&gt;0")&lt;&gt;1,"",SUMIFS($M:$M,$C:$C,$C1221,$D:$D,$D1221,$E:$E,"P0(전)"))</f>
        <v/>
      </c>
      <c r="Q1221" s="48">
        <f>IF(COUNTIFS($C:$C,$C1221,$D:$D,$D1221,$E:$E,"P0(후)",$M:$M,"&gt;0")&lt;&gt;1,"",SUMIFS($I:$I,$C:$C,$C1221,$D:$D,$D1221,$E:$E,"P0(후)"))</f>
        <v/>
      </c>
      <c r="R1221" s="31">
        <f>IF(COUNTIFS($C:$C,$C1221,$D:$D,$D1221,$E:$E,"P0(후)",$M:$M,"&gt;0")&lt;&gt;1,"",SUMIFS($M:$M,$C:$C,$C1221,$D:$D,$D1221,$E:$E,"P0(후)"))</f>
        <v/>
      </c>
      <c r="S1221" s="31">
        <f>IF(N1221&lt;&gt;"OK","",P1221+(R1221-P1221)*(I1221-O1221)/(Q1221-O1221))</f>
        <v/>
      </c>
      <c r="T1221" s="31">
        <f>IF(OR(N1221&lt;&gt;"OK",NOT(ISNUMBER(M1221))),"",M1221-S1221)</f>
        <v/>
      </c>
      <c r="U1221" s="49">
        <f>IF(OR(NOT(ISNUMBER(T1221)),IF(ISNUMBER(H1221),H1221,G1221)=0),"",T1221/IF(ISNUMBER(H1221),H1221,G1221))</f>
        <v/>
      </c>
      <c r="V1221" s="49">
        <f>IF(ISNUMBER(U1221),ABS(U1221),"")</f>
        <v/>
      </c>
      <c r="W1221" s="49">
        <f>IF(OR($E1220&lt;&gt;"측정",$C1220&lt;&gt;$C1221,$D1220&lt;&gt;$D1221,NOT(ISNUMBER(M1221)),NOT(ISNUMBER(M1220)),(IF(ISNUMBER(H1221),H1221,G1221)-IF(ISNUMBER(H1220),H1220,G1220))=0),"",(M1221-M1220)/(IF(ISNUMBER(H1221),H1221,G1221)-IF(ISNUMBER(H1220),H1220,G1220)))</f>
        <v/>
      </c>
      <c r="X1221" s="31">
        <f>IF(NOT(AND(ISNUMBER(O1221),ISNUMBER(Q1221))),"",(Q1221-O1221)*1440)</f>
        <v/>
      </c>
      <c r="Y1221" s="29" t="n"/>
      <c r="Z1221" s="29" t="n"/>
      <c r="AA1221" s="29" t="n"/>
      <c r="AB1221" s="32" t="n"/>
      <c r="AC1221" s="32" t="n"/>
    </row>
    <row r="1222">
      <c r="A1222" s="26" t="inlineStr">
        <is>
          <t>S24</t>
        </is>
      </c>
      <c r="B1222" s="26" t="inlineStr">
        <is>
          <t>회천 신규점2</t>
        </is>
      </c>
      <c r="C1222" s="26" t="inlineStr">
        <is>
          <t>S24-H서</t>
        </is>
      </c>
      <c r="D1222" s="47" t="n">
        <v>1</v>
      </c>
      <c r="E1222" s="26" t="inlineStr">
        <is>
          <t>측정</t>
        </is>
      </c>
      <c r="F1222" s="26" t="inlineStr">
        <is>
          <t>서</t>
        </is>
      </c>
      <c r="G1222" s="31" t="n">
        <v>6</v>
      </c>
      <c r="H1222" s="30" t="n"/>
      <c r="I1222" s="43" t="n"/>
      <c r="J1222" s="41" t="n"/>
      <c r="K1222" s="41" t="n"/>
      <c r="L1222" s="41" t="n"/>
      <c r="M1222" s="31">
        <f>IF(COUNT(J1222:L1222)=0,"",MEDIAN(J1222:L1222))</f>
        <v/>
      </c>
      <c r="N1222" s="26">
        <f>IF(COUNTIFS($C:$C,$C1222,$D:$D,$D1222,$E:$E,"P0(전)",$M:$M,"&gt;0")&lt;&gt;1,"P0(전) 유효 1개 아님",IF(COUNTIFS($C:$C,$C1222,$D:$D,$D1222,$E:$E,"P0(후)",$M:$M,"&gt;0")&lt;&gt;1,"P0(후) 유효 1개 아님",IF(NOT(AND(ISNUMBER(O1222),ISNUMBER(Q1222),ISNUMBER(I1222))),"시각 결측",IF(Q1222&lt;=O1222,"P0 시각 역전",IF(OR(I1222&lt;O1222,I1222&gt;Q1222),"측정시각 구간 밖","OK")))))</f>
        <v/>
      </c>
      <c r="O1222" s="48">
        <f>IF(COUNTIFS($C:$C,$C1222,$D:$D,$D1222,$E:$E,"P0(전)",$M:$M,"&gt;0")&lt;&gt;1,"",SUMIFS($I:$I,$C:$C,$C1222,$D:$D,$D1222,$E:$E,"P0(전)"))</f>
        <v/>
      </c>
      <c r="P1222" s="31">
        <f>IF(COUNTIFS($C:$C,$C1222,$D:$D,$D1222,$E:$E,"P0(전)",$M:$M,"&gt;0")&lt;&gt;1,"",SUMIFS($M:$M,$C:$C,$C1222,$D:$D,$D1222,$E:$E,"P0(전)"))</f>
        <v/>
      </c>
      <c r="Q1222" s="48">
        <f>IF(COUNTIFS($C:$C,$C1222,$D:$D,$D1222,$E:$E,"P0(후)",$M:$M,"&gt;0")&lt;&gt;1,"",SUMIFS($I:$I,$C:$C,$C1222,$D:$D,$D1222,$E:$E,"P0(후)"))</f>
        <v/>
      </c>
      <c r="R1222" s="31">
        <f>IF(COUNTIFS($C:$C,$C1222,$D:$D,$D1222,$E:$E,"P0(후)",$M:$M,"&gt;0")&lt;&gt;1,"",SUMIFS($M:$M,$C:$C,$C1222,$D:$D,$D1222,$E:$E,"P0(후)"))</f>
        <v/>
      </c>
      <c r="S1222" s="31">
        <f>IF(N1222&lt;&gt;"OK","",P1222+(R1222-P1222)*(I1222-O1222)/(Q1222-O1222))</f>
        <v/>
      </c>
      <c r="T1222" s="31">
        <f>IF(OR(N1222&lt;&gt;"OK",NOT(ISNUMBER(M1222))),"",M1222-S1222)</f>
        <v/>
      </c>
      <c r="U1222" s="49">
        <f>IF(OR(NOT(ISNUMBER(T1222)),IF(ISNUMBER(H1222),H1222,G1222)=0),"",T1222/IF(ISNUMBER(H1222),H1222,G1222))</f>
        <v/>
      </c>
      <c r="V1222" s="49">
        <f>IF(ISNUMBER(U1222),ABS(U1222),"")</f>
        <v/>
      </c>
      <c r="W1222" s="49">
        <f>IF(OR($E1221&lt;&gt;"측정",$C1221&lt;&gt;$C1222,$D1221&lt;&gt;$D1222,NOT(ISNUMBER(M1222)),NOT(ISNUMBER(M1221)),(IF(ISNUMBER(H1222),H1222,G1222)-IF(ISNUMBER(H1221),H1221,G1221))=0),"",(M1222-M1221)/(IF(ISNUMBER(H1222),H1222,G1222)-IF(ISNUMBER(H1221),H1221,G1221)))</f>
        <v/>
      </c>
      <c r="X1222" s="31">
        <f>IF(NOT(AND(ISNUMBER(O1222),ISNUMBER(Q1222))),"",(Q1222-O1222)*1440)</f>
        <v/>
      </c>
      <c r="Y1222" s="29" t="n"/>
      <c r="Z1222" s="29" t="n"/>
      <c r="AA1222" s="29" t="n"/>
      <c r="AB1222" s="32" t="n"/>
      <c r="AC1222" s="32" t="n"/>
    </row>
    <row r="1223">
      <c r="A1223" s="26" t="inlineStr">
        <is>
          <t>S24</t>
        </is>
      </c>
      <c r="B1223" s="26" t="inlineStr">
        <is>
          <t>회천 신규점2</t>
        </is>
      </c>
      <c r="C1223" s="26" t="inlineStr">
        <is>
          <t>S24-H서</t>
        </is>
      </c>
      <c r="D1223" s="47" t="n">
        <v>1</v>
      </c>
      <c r="E1223" s="26" t="inlineStr">
        <is>
          <t>측정</t>
        </is>
      </c>
      <c r="F1223" s="26" t="inlineStr">
        <is>
          <t>서</t>
        </is>
      </c>
      <c r="G1223" s="31" t="n">
        <v>7</v>
      </c>
      <c r="H1223" s="30" t="n"/>
      <c r="I1223" s="43" t="n"/>
      <c r="J1223" s="41" t="n"/>
      <c r="K1223" s="41" t="n"/>
      <c r="L1223" s="41" t="n"/>
      <c r="M1223" s="31">
        <f>IF(COUNT(J1223:L1223)=0,"",MEDIAN(J1223:L1223))</f>
        <v/>
      </c>
      <c r="N1223" s="26">
        <f>IF(COUNTIFS($C:$C,$C1223,$D:$D,$D1223,$E:$E,"P0(전)",$M:$M,"&gt;0")&lt;&gt;1,"P0(전) 유효 1개 아님",IF(COUNTIFS($C:$C,$C1223,$D:$D,$D1223,$E:$E,"P0(후)",$M:$M,"&gt;0")&lt;&gt;1,"P0(후) 유효 1개 아님",IF(NOT(AND(ISNUMBER(O1223),ISNUMBER(Q1223),ISNUMBER(I1223))),"시각 결측",IF(Q1223&lt;=O1223,"P0 시각 역전",IF(OR(I1223&lt;O1223,I1223&gt;Q1223),"측정시각 구간 밖","OK")))))</f>
        <v/>
      </c>
      <c r="O1223" s="48">
        <f>IF(COUNTIFS($C:$C,$C1223,$D:$D,$D1223,$E:$E,"P0(전)",$M:$M,"&gt;0")&lt;&gt;1,"",SUMIFS($I:$I,$C:$C,$C1223,$D:$D,$D1223,$E:$E,"P0(전)"))</f>
        <v/>
      </c>
      <c r="P1223" s="31">
        <f>IF(COUNTIFS($C:$C,$C1223,$D:$D,$D1223,$E:$E,"P0(전)",$M:$M,"&gt;0")&lt;&gt;1,"",SUMIFS($M:$M,$C:$C,$C1223,$D:$D,$D1223,$E:$E,"P0(전)"))</f>
        <v/>
      </c>
      <c r="Q1223" s="48">
        <f>IF(COUNTIFS($C:$C,$C1223,$D:$D,$D1223,$E:$E,"P0(후)",$M:$M,"&gt;0")&lt;&gt;1,"",SUMIFS($I:$I,$C:$C,$C1223,$D:$D,$D1223,$E:$E,"P0(후)"))</f>
        <v/>
      </c>
      <c r="R1223" s="31">
        <f>IF(COUNTIFS($C:$C,$C1223,$D:$D,$D1223,$E:$E,"P0(후)",$M:$M,"&gt;0")&lt;&gt;1,"",SUMIFS($M:$M,$C:$C,$C1223,$D:$D,$D1223,$E:$E,"P0(후)"))</f>
        <v/>
      </c>
      <c r="S1223" s="31">
        <f>IF(N1223&lt;&gt;"OK","",P1223+(R1223-P1223)*(I1223-O1223)/(Q1223-O1223))</f>
        <v/>
      </c>
      <c r="T1223" s="31">
        <f>IF(OR(N1223&lt;&gt;"OK",NOT(ISNUMBER(M1223))),"",M1223-S1223)</f>
        <v/>
      </c>
      <c r="U1223" s="49">
        <f>IF(OR(NOT(ISNUMBER(T1223)),IF(ISNUMBER(H1223),H1223,G1223)=0),"",T1223/IF(ISNUMBER(H1223),H1223,G1223))</f>
        <v/>
      </c>
      <c r="V1223" s="49">
        <f>IF(ISNUMBER(U1223),ABS(U1223),"")</f>
        <v/>
      </c>
      <c r="W1223" s="49">
        <f>IF(OR($E1222&lt;&gt;"측정",$C1222&lt;&gt;$C1223,$D1222&lt;&gt;$D1223,NOT(ISNUMBER(M1223)),NOT(ISNUMBER(M1222)),(IF(ISNUMBER(H1223),H1223,G1223)-IF(ISNUMBER(H1222),H1222,G1222))=0),"",(M1223-M1222)/(IF(ISNUMBER(H1223),H1223,G1223)-IF(ISNUMBER(H1222),H1222,G1222)))</f>
        <v/>
      </c>
      <c r="X1223" s="31">
        <f>IF(NOT(AND(ISNUMBER(O1223),ISNUMBER(Q1223))),"",(Q1223-O1223)*1440)</f>
        <v/>
      </c>
      <c r="Y1223" s="29" t="n"/>
      <c r="Z1223" s="29" t="n"/>
      <c r="AA1223" s="29" t="n"/>
      <c r="AB1223" s="32" t="n"/>
      <c r="AC1223" s="32" t="n"/>
    </row>
    <row r="1224">
      <c r="A1224" s="26" t="inlineStr">
        <is>
          <t>S24</t>
        </is>
      </c>
      <c r="B1224" s="26" t="inlineStr">
        <is>
          <t>회천 신규점2</t>
        </is>
      </c>
      <c r="C1224" s="26" t="inlineStr">
        <is>
          <t>S24-H서</t>
        </is>
      </c>
      <c r="D1224" s="47" t="n">
        <v>1</v>
      </c>
      <c r="E1224" s="26" t="inlineStr">
        <is>
          <t>측정</t>
        </is>
      </c>
      <c r="F1224" s="26" t="inlineStr">
        <is>
          <t>서</t>
        </is>
      </c>
      <c r="G1224" s="31" t="n">
        <v>8</v>
      </c>
      <c r="H1224" s="30" t="n"/>
      <c r="I1224" s="43" t="n"/>
      <c r="J1224" s="41" t="n"/>
      <c r="K1224" s="41" t="n"/>
      <c r="L1224" s="41" t="n"/>
      <c r="M1224" s="31">
        <f>IF(COUNT(J1224:L1224)=0,"",MEDIAN(J1224:L1224))</f>
        <v/>
      </c>
      <c r="N1224" s="26">
        <f>IF(COUNTIFS($C:$C,$C1224,$D:$D,$D1224,$E:$E,"P0(전)",$M:$M,"&gt;0")&lt;&gt;1,"P0(전) 유효 1개 아님",IF(COUNTIFS($C:$C,$C1224,$D:$D,$D1224,$E:$E,"P0(후)",$M:$M,"&gt;0")&lt;&gt;1,"P0(후) 유효 1개 아님",IF(NOT(AND(ISNUMBER(O1224),ISNUMBER(Q1224),ISNUMBER(I1224))),"시각 결측",IF(Q1224&lt;=O1224,"P0 시각 역전",IF(OR(I1224&lt;O1224,I1224&gt;Q1224),"측정시각 구간 밖","OK")))))</f>
        <v/>
      </c>
      <c r="O1224" s="48">
        <f>IF(COUNTIFS($C:$C,$C1224,$D:$D,$D1224,$E:$E,"P0(전)",$M:$M,"&gt;0")&lt;&gt;1,"",SUMIFS($I:$I,$C:$C,$C1224,$D:$D,$D1224,$E:$E,"P0(전)"))</f>
        <v/>
      </c>
      <c r="P1224" s="31">
        <f>IF(COUNTIFS($C:$C,$C1224,$D:$D,$D1224,$E:$E,"P0(전)",$M:$M,"&gt;0")&lt;&gt;1,"",SUMIFS($M:$M,$C:$C,$C1224,$D:$D,$D1224,$E:$E,"P0(전)"))</f>
        <v/>
      </c>
      <c r="Q1224" s="48">
        <f>IF(COUNTIFS($C:$C,$C1224,$D:$D,$D1224,$E:$E,"P0(후)",$M:$M,"&gt;0")&lt;&gt;1,"",SUMIFS($I:$I,$C:$C,$C1224,$D:$D,$D1224,$E:$E,"P0(후)"))</f>
        <v/>
      </c>
      <c r="R1224" s="31">
        <f>IF(COUNTIFS($C:$C,$C1224,$D:$D,$D1224,$E:$E,"P0(후)",$M:$M,"&gt;0")&lt;&gt;1,"",SUMIFS($M:$M,$C:$C,$C1224,$D:$D,$D1224,$E:$E,"P0(후)"))</f>
        <v/>
      </c>
      <c r="S1224" s="31">
        <f>IF(N1224&lt;&gt;"OK","",P1224+(R1224-P1224)*(I1224-O1224)/(Q1224-O1224))</f>
        <v/>
      </c>
      <c r="T1224" s="31">
        <f>IF(OR(N1224&lt;&gt;"OK",NOT(ISNUMBER(M1224))),"",M1224-S1224)</f>
        <v/>
      </c>
      <c r="U1224" s="49">
        <f>IF(OR(NOT(ISNUMBER(T1224)),IF(ISNUMBER(H1224),H1224,G1224)=0),"",T1224/IF(ISNUMBER(H1224),H1224,G1224))</f>
        <v/>
      </c>
      <c r="V1224" s="49">
        <f>IF(ISNUMBER(U1224),ABS(U1224),"")</f>
        <v/>
      </c>
      <c r="W1224" s="49">
        <f>IF(OR($E1223&lt;&gt;"측정",$C1223&lt;&gt;$C1224,$D1223&lt;&gt;$D1224,NOT(ISNUMBER(M1224)),NOT(ISNUMBER(M1223)),(IF(ISNUMBER(H1224),H1224,G1224)-IF(ISNUMBER(H1223),H1223,G1223))=0),"",(M1224-M1223)/(IF(ISNUMBER(H1224),H1224,G1224)-IF(ISNUMBER(H1223),H1223,G1223)))</f>
        <v/>
      </c>
      <c r="X1224" s="31">
        <f>IF(NOT(AND(ISNUMBER(O1224),ISNUMBER(Q1224))),"",(Q1224-O1224)*1440)</f>
        <v/>
      </c>
      <c r="Y1224" s="29" t="n"/>
      <c r="Z1224" s="29" t="n"/>
      <c r="AA1224" s="29" t="n"/>
      <c r="AB1224" s="32" t="n"/>
      <c r="AC1224" s="32" t="n"/>
    </row>
    <row r="1225">
      <c r="A1225" s="26" t="inlineStr">
        <is>
          <t>S24</t>
        </is>
      </c>
      <c r="B1225" s="26" t="inlineStr">
        <is>
          <t>회천 신규점2</t>
        </is>
      </c>
      <c r="C1225" s="26" t="inlineStr">
        <is>
          <t>S24-H서</t>
        </is>
      </c>
      <c r="D1225" s="47" t="n">
        <v>1</v>
      </c>
      <c r="E1225" s="26" t="inlineStr">
        <is>
          <t>측정</t>
        </is>
      </c>
      <c r="F1225" s="26" t="inlineStr">
        <is>
          <t>서</t>
        </is>
      </c>
      <c r="G1225" s="31" t="n">
        <v>9</v>
      </c>
      <c r="H1225" s="30" t="n"/>
      <c r="I1225" s="43" t="n"/>
      <c r="J1225" s="41" t="n"/>
      <c r="K1225" s="41" t="n"/>
      <c r="L1225" s="41" t="n"/>
      <c r="M1225" s="31">
        <f>IF(COUNT(J1225:L1225)=0,"",MEDIAN(J1225:L1225))</f>
        <v/>
      </c>
      <c r="N1225" s="26">
        <f>IF(COUNTIFS($C:$C,$C1225,$D:$D,$D1225,$E:$E,"P0(전)",$M:$M,"&gt;0")&lt;&gt;1,"P0(전) 유효 1개 아님",IF(COUNTIFS($C:$C,$C1225,$D:$D,$D1225,$E:$E,"P0(후)",$M:$M,"&gt;0")&lt;&gt;1,"P0(후) 유효 1개 아님",IF(NOT(AND(ISNUMBER(O1225),ISNUMBER(Q1225),ISNUMBER(I1225))),"시각 결측",IF(Q1225&lt;=O1225,"P0 시각 역전",IF(OR(I1225&lt;O1225,I1225&gt;Q1225),"측정시각 구간 밖","OK")))))</f>
        <v/>
      </c>
      <c r="O1225" s="48">
        <f>IF(COUNTIFS($C:$C,$C1225,$D:$D,$D1225,$E:$E,"P0(전)",$M:$M,"&gt;0")&lt;&gt;1,"",SUMIFS($I:$I,$C:$C,$C1225,$D:$D,$D1225,$E:$E,"P0(전)"))</f>
        <v/>
      </c>
      <c r="P1225" s="31">
        <f>IF(COUNTIFS($C:$C,$C1225,$D:$D,$D1225,$E:$E,"P0(전)",$M:$M,"&gt;0")&lt;&gt;1,"",SUMIFS($M:$M,$C:$C,$C1225,$D:$D,$D1225,$E:$E,"P0(전)"))</f>
        <v/>
      </c>
      <c r="Q1225" s="48">
        <f>IF(COUNTIFS($C:$C,$C1225,$D:$D,$D1225,$E:$E,"P0(후)",$M:$M,"&gt;0")&lt;&gt;1,"",SUMIFS($I:$I,$C:$C,$C1225,$D:$D,$D1225,$E:$E,"P0(후)"))</f>
        <v/>
      </c>
      <c r="R1225" s="31">
        <f>IF(COUNTIFS($C:$C,$C1225,$D:$D,$D1225,$E:$E,"P0(후)",$M:$M,"&gt;0")&lt;&gt;1,"",SUMIFS($M:$M,$C:$C,$C1225,$D:$D,$D1225,$E:$E,"P0(후)"))</f>
        <v/>
      </c>
      <c r="S1225" s="31">
        <f>IF(N1225&lt;&gt;"OK","",P1225+(R1225-P1225)*(I1225-O1225)/(Q1225-O1225))</f>
        <v/>
      </c>
      <c r="T1225" s="31">
        <f>IF(OR(N1225&lt;&gt;"OK",NOT(ISNUMBER(M1225))),"",M1225-S1225)</f>
        <v/>
      </c>
      <c r="U1225" s="49">
        <f>IF(OR(NOT(ISNUMBER(T1225)),IF(ISNUMBER(H1225),H1225,G1225)=0),"",T1225/IF(ISNUMBER(H1225),H1225,G1225))</f>
        <v/>
      </c>
      <c r="V1225" s="49">
        <f>IF(ISNUMBER(U1225),ABS(U1225),"")</f>
        <v/>
      </c>
      <c r="W1225" s="49">
        <f>IF(OR($E1224&lt;&gt;"측정",$C1224&lt;&gt;$C1225,$D1224&lt;&gt;$D1225,NOT(ISNUMBER(M1225)),NOT(ISNUMBER(M1224)),(IF(ISNUMBER(H1225),H1225,G1225)-IF(ISNUMBER(H1224),H1224,G1224))=0),"",(M1225-M1224)/(IF(ISNUMBER(H1225),H1225,G1225)-IF(ISNUMBER(H1224),H1224,G1224)))</f>
        <v/>
      </c>
      <c r="X1225" s="31">
        <f>IF(NOT(AND(ISNUMBER(O1225),ISNUMBER(Q1225))),"",(Q1225-O1225)*1440)</f>
        <v/>
      </c>
      <c r="Y1225" s="29" t="n"/>
      <c r="Z1225" s="29" t="n"/>
      <c r="AA1225" s="29" t="n"/>
      <c r="AB1225" s="32" t="n"/>
      <c r="AC1225" s="32" t="n"/>
    </row>
    <row r="1226">
      <c r="A1226" s="26" t="inlineStr">
        <is>
          <t>S24</t>
        </is>
      </c>
      <c r="B1226" s="26" t="inlineStr">
        <is>
          <t>회천 신규점2</t>
        </is>
      </c>
      <c r="C1226" s="26" t="inlineStr">
        <is>
          <t>S24-H서</t>
        </is>
      </c>
      <c r="D1226" s="47" t="n">
        <v>1</v>
      </c>
      <c r="E1226" s="26" t="inlineStr">
        <is>
          <t>측정</t>
        </is>
      </c>
      <c r="F1226" s="26" t="inlineStr">
        <is>
          <t>서</t>
        </is>
      </c>
      <c r="G1226" s="31" t="n">
        <v>10</v>
      </c>
      <c r="H1226" s="30" t="n"/>
      <c r="I1226" s="43" t="n"/>
      <c r="J1226" s="41" t="n"/>
      <c r="K1226" s="41" t="n"/>
      <c r="L1226" s="41" t="n"/>
      <c r="M1226" s="31">
        <f>IF(COUNT(J1226:L1226)=0,"",MEDIAN(J1226:L1226))</f>
        <v/>
      </c>
      <c r="N1226" s="26">
        <f>IF(COUNTIFS($C:$C,$C1226,$D:$D,$D1226,$E:$E,"P0(전)",$M:$M,"&gt;0")&lt;&gt;1,"P0(전) 유효 1개 아님",IF(COUNTIFS($C:$C,$C1226,$D:$D,$D1226,$E:$E,"P0(후)",$M:$M,"&gt;0")&lt;&gt;1,"P0(후) 유효 1개 아님",IF(NOT(AND(ISNUMBER(O1226),ISNUMBER(Q1226),ISNUMBER(I1226))),"시각 결측",IF(Q1226&lt;=O1226,"P0 시각 역전",IF(OR(I1226&lt;O1226,I1226&gt;Q1226),"측정시각 구간 밖","OK")))))</f>
        <v/>
      </c>
      <c r="O1226" s="48">
        <f>IF(COUNTIFS($C:$C,$C1226,$D:$D,$D1226,$E:$E,"P0(전)",$M:$M,"&gt;0")&lt;&gt;1,"",SUMIFS($I:$I,$C:$C,$C1226,$D:$D,$D1226,$E:$E,"P0(전)"))</f>
        <v/>
      </c>
      <c r="P1226" s="31">
        <f>IF(COUNTIFS($C:$C,$C1226,$D:$D,$D1226,$E:$E,"P0(전)",$M:$M,"&gt;0")&lt;&gt;1,"",SUMIFS($M:$M,$C:$C,$C1226,$D:$D,$D1226,$E:$E,"P0(전)"))</f>
        <v/>
      </c>
      <c r="Q1226" s="48">
        <f>IF(COUNTIFS($C:$C,$C1226,$D:$D,$D1226,$E:$E,"P0(후)",$M:$M,"&gt;0")&lt;&gt;1,"",SUMIFS($I:$I,$C:$C,$C1226,$D:$D,$D1226,$E:$E,"P0(후)"))</f>
        <v/>
      </c>
      <c r="R1226" s="31">
        <f>IF(COUNTIFS($C:$C,$C1226,$D:$D,$D1226,$E:$E,"P0(후)",$M:$M,"&gt;0")&lt;&gt;1,"",SUMIFS($M:$M,$C:$C,$C1226,$D:$D,$D1226,$E:$E,"P0(후)"))</f>
        <v/>
      </c>
      <c r="S1226" s="31">
        <f>IF(N1226&lt;&gt;"OK","",P1226+(R1226-P1226)*(I1226-O1226)/(Q1226-O1226))</f>
        <v/>
      </c>
      <c r="T1226" s="31">
        <f>IF(OR(N1226&lt;&gt;"OK",NOT(ISNUMBER(M1226))),"",M1226-S1226)</f>
        <v/>
      </c>
      <c r="U1226" s="49">
        <f>IF(OR(NOT(ISNUMBER(T1226)),IF(ISNUMBER(H1226),H1226,G1226)=0),"",T1226/IF(ISNUMBER(H1226),H1226,G1226))</f>
        <v/>
      </c>
      <c r="V1226" s="49">
        <f>IF(ISNUMBER(U1226),ABS(U1226),"")</f>
        <v/>
      </c>
      <c r="W1226" s="49">
        <f>IF(OR($E1225&lt;&gt;"측정",$C1225&lt;&gt;$C1226,$D1225&lt;&gt;$D1226,NOT(ISNUMBER(M1226)),NOT(ISNUMBER(M1225)),(IF(ISNUMBER(H1226),H1226,G1226)-IF(ISNUMBER(H1225),H1225,G1225))=0),"",(M1226-M1225)/(IF(ISNUMBER(H1226),H1226,G1226)-IF(ISNUMBER(H1225),H1225,G1225)))</f>
        <v/>
      </c>
      <c r="X1226" s="31">
        <f>IF(NOT(AND(ISNUMBER(O1226),ISNUMBER(Q1226))),"",(Q1226-O1226)*1440)</f>
        <v/>
      </c>
      <c r="Y1226" s="29" t="n"/>
      <c r="Z1226" s="29" t="n"/>
      <c r="AA1226" s="29" t="n"/>
      <c r="AB1226" s="32" t="n"/>
      <c r="AC1226" s="32" t="n"/>
    </row>
    <row r="1227">
      <c r="A1227" s="44" t="inlineStr">
        <is>
          <t>S24</t>
        </is>
      </c>
      <c r="B1227" s="44" t="inlineStr">
        <is>
          <t>회천 신규점2</t>
        </is>
      </c>
      <c r="C1227" s="44" t="inlineStr">
        <is>
          <t>S24-H서</t>
        </is>
      </c>
      <c r="D1227" s="45" t="n">
        <v>1</v>
      </c>
      <c r="E1227" s="44" t="inlineStr">
        <is>
          <t>P0(후)</t>
        </is>
      </c>
      <c r="F1227" s="44" t="inlineStr">
        <is>
          <t>서</t>
        </is>
      </c>
      <c r="G1227" s="46" t="n"/>
      <c r="H1227" s="30" t="n"/>
      <c r="I1227" s="43" t="n"/>
      <c r="J1227" s="41" t="n"/>
      <c r="K1227" s="41" t="n"/>
      <c r="L1227" s="41" t="n"/>
      <c r="M1227" s="31">
        <f>IF(COUNT(J1227:L1227)=0,"",MEDIAN(J1227:L1227))</f>
        <v/>
      </c>
      <c r="N1227" s="38" t="n"/>
      <c r="O1227" s="38" t="n"/>
      <c r="P1227" s="38" t="n"/>
      <c r="Q1227" s="38" t="n"/>
      <c r="R1227" s="38" t="n"/>
      <c r="S1227" s="38" t="n"/>
      <c r="T1227" s="38" t="n"/>
      <c r="U1227" s="38" t="n"/>
      <c r="V1227" s="38" t="n"/>
      <c r="W1227" s="38" t="n"/>
      <c r="X1227" s="38" t="n"/>
      <c r="Y1227" s="29" t="n"/>
      <c r="Z1227" s="29" t="n"/>
      <c r="AA1227" s="29" t="n"/>
      <c r="AB1227" s="32" t="n"/>
      <c r="AC1227" s="32" t="n"/>
    </row>
    <row r="1228">
      <c r="A1228" s="44" t="inlineStr">
        <is>
          <t>S24</t>
        </is>
      </c>
      <c r="B1228" s="44" t="inlineStr">
        <is>
          <t>회천 신규점2</t>
        </is>
      </c>
      <c r="C1228" s="44" t="inlineStr">
        <is>
          <t>S24-H남</t>
        </is>
      </c>
      <c r="D1228" s="45" t="n">
        <v>1</v>
      </c>
      <c r="E1228" s="44" t="inlineStr">
        <is>
          <t>P0(전)</t>
        </is>
      </c>
      <c r="F1228" s="44" t="inlineStr">
        <is>
          <t>남</t>
        </is>
      </c>
      <c r="G1228" s="46" t="n"/>
      <c r="H1228" s="30" t="n"/>
      <c r="I1228" s="43" t="n"/>
      <c r="J1228" s="41" t="n"/>
      <c r="K1228" s="41" t="n"/>
      <c r="L1228" s="41" t="n"/>
      <c r="M1228" s="31">
        <f>IF(COUNT(J1228:L1228)=0,"",MEDIAN(J1228:L1228))</f>
        <v/>
      </c>
      <c r="N1228" s="38" t="n"/>
      <c r="O1228" s="38" t="n"/>
      <c r="P1228" s="38" t="n"/>
      <c r="Q1228" s="38" t="n"/>
      <c r="R1228" s="38" t="n"/>
      <c r="S1228" s="38" t="n"/>
      <c r="T1228" s="38" t="n"/>
      <c r="U1228" s="38" t="n"/>
      <c r="V1228" s="38" t="n"/>
      <c r="W1228" s="38" t="n"/>
      <c r="X1228" s="38" t="n"/>
      <c r="Y1228" s="29" t="n"/>
      <c r="Z1228" s="29" t="n"/>
      <c r="AA1228" s="29" t="n"/>
      <c r="AB1228" s="32" t="n"/>
      <c r="AC1228" s="32" t="n"/>
    </row>
    <row r="1229">
      <c r="A1229" s="26" t="inlineStr">
        <is>
          <t>S24</t>
        </is>
      </c>
      <c r="B1229" s="26" t="inlineStr">
        <is>
          <t>회천 신규점2</t>
        </is>
      </c>
      <c r="C1229" s="26" t="inlineStr">
        <is>
          <t>S24-H남</t>
        </is>
      </c>
      <c r="D1229" s="47" t="n">
        <v>1</v>
      </c>
      <c r="E1229" s="26" t="inlineStr">
        <is>
          <t>측정</t>
        </is>
      </c>
      <c r="F1229" s="26" t="inlineStr">
        <is>
          <t>남</t>
        </is>
      </c>
      <c r="G1229" s="31" t="n">
        <v>0.5</v>
      </c>
      <c r="H1229" s="30" t="n"/>
      <c r="I1229" s="43" t="n"/>
      <c r="J1229" s="41" t="n"/>
      <c r="K1229" s="41" t="n"/>
      <c r="L1229" s="41" t="n"/>
      <c r="M1229" s="31">
        <f>IF(COUNT(J1229:L1229)=0,"",MEDIAN(J1229:L1229))</f>
        <v/>
      </c>
      <c r="N1229" s="26">
        <f>IF(COUNTIFS($C:$C,$C1229,$D:$D,$D1229,$E:$E,"P0(전)",$M:$M,"&gt;0")&lt;&gt;1,"P0(전) 유효 1개 아님",IF(COUNTIFS($C:$C,$C1229,$D:$D,$D1229,$E:$E,"P0(후)",$M:$M,"&gt;0")&lt;&gt;1,"P0(후) 유효 1개 아님",IF(NOT(AND(ISNUMBER(O1229),ISNUMBER(Q1229),ISNUMBER(I1229))),"시각 결측",IF(Q1229&lt;=O1229,"P0 시각 역전",IF(OR(I1229&lt;O1229,I1229&gt;Q1229),"측정시각 구간 밖","OK")))))</f>
        <v/>
      </c>
      <c r="O1229" s="48">
        <f>IF(COUNTIFS($C:$C,$C1229,$D:$D,$D1229,$E:$E,"P0(전)",$M:$M,"&gt;0")&lt;&gt;1,"",SUMIFS($I:$I,$C:$C,$C1229,$D:$D,$D1229,$E:$E,"P0(전)"))</f>
        <v/>
      </c>
      <c r="P1229" s="31">
        <f>IF(COUNTIFS($C:$C,$C1229,$D:$D,$D1229,$E:$E,"P0(전)",$M:$M,"&gt;0")&lt;&gt;1,"",SUMIFS($M:$M,$C:$C,$C1229,$D:$D,$D1229,$E:$E,"P0(전)"))</f>
        <v/>
      </c>
      <c r="Q1229" s="48">
        <f>IF(COUNTIFS($C:$C,$C1229,$D:$D,$D1229,$E:$E,"P0(후)",$M:$M,"&gt;0")&lt;&gt;1,"",SUMIFS($I:$I,$C:$C,$C1229,$D:$D,$D1229,$E:$E,"P0(후)"))</f>
        <v/>
      </c>
      <c r="R1229" s="31">
        <f>IF(COUNTIFS($C:$C,$C1229,$D:$D,$D1229,$E:$E,"P0(후)",$M:$M,"&gt;0")&lt;&gt;1,"",SUMIFS($M:$M,$C:$C,$C1229,$D:$D,$D1229,$E:$E,"P0(후)"))</f>
        <v/>
      </c>
      <c r="S1229" s="31">
        <f>IF(N1229&lt;&gt;"OK","",P1229+(R1229-P1229)*(I1229-O1229)/(Q1229-O1229))</f>
        <v/>
      </c>
      <c r="T1229" s="31">
        <f>IF(OR(N1229&lt;&gt;"OK",NOT(ISNUMBER(M1229))),"",M1229-S1229)</f>
        <v/>
      </c>
      <c r="U1229" s="49">
        <f>IF(OR(NOT(ISNUMBER(T1229)),IF(ISNUMBER(H1229),H1229,G1229)=0),"",T1229/IF(ISNUMBER(H1229),H1229,G1229))</f>
        <v/>
      </c>
      <c r="V1229" s="49">
        <f>IF(ISNUMBER(U1229),ABS(U1229),"")</f>
        <v/>
      </c>
      <c r="W1229" s="49">
        <f>IF(OR($E1228&lt;&gt;"측정",$C1228&lt;&gt;$C1229,$D1228&lt;&gt;$D1229,NOT(ISNUMBER(M1229)),NOT(ISNUMBER(M1228)),(IF(ISNUMBER(H1229),H1229,G1229)-IF(ISNUMBER(H1228),H1228,G1228))=0),"",(M1229-M1228)/(IF(ISNUMBER(H1229),H1229,G1229)-IF(ISNUMBER(H1228),H1228,G1228)))</f>
        <v/>
      </c>
      <c r="X1229" s="31">
        <f>IF(NOT(AND(ISNUMBER(O1229),ISNUMBER(Q1229))),"",(Q1229-O1229)*1440)</f>
        <v/>
      </c>
      <c r="Y1229" s="29" t="n"/>
      <c r="Z1229" s="29" t="n"/>
      <c r="AA1229" s="29" t="n"/>
      <c r="AB1229" s="32" t="n"/>
      <c r="AC1229" s="32" t="n"/>
    </row>
    <row r="1230">
      <c r="A1230" s="26" t="inlineStr">
        <is>
          <t>S24</t>
        </is>
      </c>
      <c r="B1230" s="26" t="inlineStr">
        <is>
          <t>회천 신규점2</t>
        </is>
      </c>
      <c r="C1230" s="26" t="inlineStr">
        <is>
          <t>S24-H남</t>
        </is>
      </c>
      <c r="D1230" s="47" t="n">
        <v>1</v>
      </c>
      <c r="E1230" s="26" t="inlineStr">
        <is>
          <t>측정</t>
        </is>
      </c>
      <c r="F1230" s="26" t="inlineStr">
        <is>
          <t>남</t>
        </is>
      </c>
      <c r="G1230" s="31" t="n">
        <v>1</v>
      </c>
      <c r="H1230" s="30" t="n"/>
      <c r="I1230" s="43" t="n"/>
      <c r="J1230" s="41" t="n"/>
      <c r="K1230" s="41" t="n"/>
      <c r="L1230" s="41" t="n"/>
      <c r="M1230" s="31">
        <f>IF(COUNT(J1230:L1230)=0,"",MEDIAN(J1230:L1230))</f>
        <v/>
      </c>
      <c r="N1230" s="26">
        <f>IF(COUNTIFS($C:$C,$C1230,$D:$D,$D1230,$E:$E,"P0(전)",$M:$M,"&gt;0")&lt;&gt;1,"P0(전) 유효 1개 아님",IF(COUNTIFS($C:$C,$C1230,$D:$D,$D1230,$E:$E,"P0(후)",$M:$M,"&gt;0")&lt;&gt;1,"P0(후) 유효 1개 아님",IF(NOT(AND(ISNUMBER(O1230),ISNUMBER(Q1230),ISNUMBER(I1230))),"시각 결측",IF(Q1230&lt;=O1230,"P0 시각 역전",IF(OR(I1230&lt;O1230,I1230&gt;Q1230),"측정시각 구간 밖","OK")))))</f>
        <v/>
      </c>
      <c r="O1230" s="48">
        <f>IF(COUNTIFS($C:$C,$C1230,$D:$D,$D1230,$E:$E,"P0(전)",$M:$M,"&gt;0")&lt;&gt;1,"",SUMIFS($I:$I,$C:$C,$C1230,$D:$D,$D1230,$E:$E,"P0(전)"))</f>
        <v/>
      </c>
      <c r="P1230" s="31">
        <f>IF(COUNTIFS($C:$C,$C1230,$D:$D,$D1230,$E:$E,"P0(전)",$M:$M,"&gt;0")&lt;&gt;1,"",SUMIFS($M:$M,$C:$C,$C1230,$D:$D,$D1230,$E:$E,"P0(전)"))</f>
        <v/>
      </c>
      <c r="Q1230" s="48">
        <f>IF(COUNTIFS($C:$C,$C1230,$D:$D,$D1230,$E:$E,"P0(후)",$M:$M,"&gt;0")&lt;&gt;1,"",SUMIFS($I:$I,$C:$C,$C1230,$D:$D,$D1230,$E:$E,"P0(후)"))</f>
        <v/>
      </c>
      <c r="R1230" s="31">
        <f>IF(COUNTIFS($C:$C,$C1230,$D:$D,$D1230,$E:$E,"P0(후)",$M:$M,"&gt;0")&lt;&gt;1,"",SUMIFS($M:$M,$C:$C,$C1230,$D:$D,$D1230,$E:$E,"P0(후)"))</f>
        <v/>
      </c>
      <c r="S1230" s="31">
        <f>IF(N1230&lt;&gt;"OK","",P1230+(R1230-P1230)*(I1230-O1230)/(Q1230-O1230))</f>
        <v/>
      </c>
      <c r="T1230" s="31">
        <f>IF(OR(N1230&lt;&gt;"OK",NOT(ISNUMBER(M1230))),"",M1230-S1230)</f>
        <v/>
      </c>
      <c r="U1230" s="49">
        <f>IF(OR(NOT(ISNUMBER(T1230)),IF(ISNUMBER(H1230),H1230,G1230)=0),"",T1230/IF(ISNUMBER(H1230),H1230,G1230))</f>
        <v/>
      </c>
      <c r="V1230" s="49">
        <f>IF(ISNUMBER(U1230),ABS(U1230),"")</f>
        <v/>
      </c>
      <c r="W1230" s="49">
        <f>IF(OR($E1229&lt;&gt;"측정",$C1229&lt;&gt;$C1230,$D1229&lt;&gt;$D1230,NOT(ISNUMBER(M1230)),NOT(ISNUMBER(M1229)),(IF(ISNUMBER(H1230),H1230,G1230)-IF(ISNUMBER(H1229),H1229,G1229))=0),"",(M1230-M1229)/(IF(ISNUMBER(H1230),H1230,G1230)-IF(ISNUMBER(H1229),H1229,G1229)))</f>
        <v/>
      </c>
      <c r="X1230" s="31">
        <f>IF(NOT(AND(ISNUMBER(O1230),ISNUMBER(Q1230))),"",(Q1230-O1230)*1440)</f>
        <v/>
      </c>
      <c r="Y1230" s="29" t="n"/>
      <c r="Z1230" s="29" t="n"/>
      <c r="AA1230" s="29" t="n"/>
      <c r="AB1230" s="32" t="n"/>
      <c r="AC1230" s="32" t="n"/>
    </row>
    <row r="1231">
      <c r="A1231" s="26" t="inlineStr">
        <is>
          <t>S24</t>
        </is>
      </c>
      <c r="B1231" s="26" t="inlineStr">
        <is>
          <t>회천 신규점2</t>
        </is>
      </c>
      <c r="C1231" s="26" t="inlineStr">
        <is>
          <t>S24-H남</t>
        </is>
      </c>
      <c r="D1231" s="47" t="n">
        <v>1</v>
      </c>
      <c r="E1231" s="26" t="inlineStr">
        <is>
          <t>측정</t>
        </is>
      </c>
      <c r="F1231" s="26" t="inlineStr">
        <is>
          <t>남</t>
        </is>
      </c>
      <c r="G1231" s="31" t="n">
        <v>2</v>
      </c>
      <c r="H1231" s="30" t="n"/>
      <c r="I1231" s="43" t="n"/>
      <c r="J1231" s="41" t="n"/>
      <c r="K1231" s="41" t="n"/>
      <c r="L1231" s="41" t="n"/>
      <c r="M1231" s="31">
        <f>IF(COUNT(J1231:L1231)=0,"",MEDIAN(J1231:L1231))</f>
        <v/>
      </c>
      <c r="N1231" s="26">
        <f>IF(COUNTIFS($C:$C,$C1231,$D:$D,$D1231,$E:$E,"P0(전)",$M:$M,"&gt;0")&lt;&gt;1,"P0(전) 유효 1개 아님",IF(COUNTIFS($C:$C,$C1231,$D:$D,$D1231,$E:$E,"P0(후)",$M:$M,"&gt;0")&lt;&gt;1,"P0(후) 유효 1개 아님",IF(NOT(AND(ISNUMBER(O1231),ISNUMBER(Q1231),ISNUMBER(I1231))),"시각 결측",IF(Q1231&lt;=O1231,"P0 시각 역전",IF(OR(I1231&lt;O1231,I1231&gt;Q1231),"측정시각 구간 밖","OK")))))</f>
        <v/>
      </c>
      <c r="O1231" s="48">
        <f>IF(COUNTIFS($C:$C,$C1231,$D:$D,$D1231,$E:$E,"P0(전)",$M:$M,"&gt;0")&lt;&gt;1,"",SUMIFS($I:$I,$C:$C,$C1231,$D:$D,$D1231,$E:$E,"P0(전)"))</f>
        <v/>
      </c>
      <c r="P1231" s="31">
        <f>IF(COUNTIFS($C:$C,$C1231,$D:$D,$D1231,$E:$E,"P0(전)",$M:$M,"&gt;0")&lt;&gt;1,"",SUMIFS($M:$M,$C:$C,$C1231,$D:$D,$D1231,$E:$E,"P0(전)"))</f>
        <v/>
      </c>
      <c r="Q1231" s="48">
        <f>IF(COUNTIFS($C:$C,$C1231,$D:$D,$D1231,$E:$E,"P0(후)",$M:$M,"&gt;0")&lt;&gt;1,"",SUMIFS($I:$I,$C:$C,$C1231,$D:$D,$D1231,$E:$E,"P0(후)"))</f>
        <v/>
      </c>
      <c r="R1231" s="31">
        <f>IF(COUNTIFS($C:$C,$C1231,$D:$D,$D1231,$E:$E,"P0(후)",$M:$M,"&gt;0")&lt;&gt;1,"",SUMIFS($M:$M,$C:$C,$C1231,$D:$D,$D1231,$E:$E,"P0(후)"))</f>
        <v/>
      </c>
      <c r="S1231" s="31">
        <f>IF(N1231&lt;&gt;"OK","",P1231+(R1231-P1231)*(I1231-O1231)/(Q1231-O1231))</f>
        <v/>
      </c>
      <c r="T1231" s="31">
        <f>IF(OR(N1231&lt;&gt;"OK",NOT(ISNUMBER(M1231))),"",M1231-S1231)</f>
        <v/>
      </c>
      <c r="U1231" s="49">
        <f>IF(OR(NOT(ISNUMBER(T1231)),IF(ISNUMBER(H1231),H1231,G1231)=0),"",T1231/IF(ISNUMBER(H1231),H1231,G1231))</f>
        <v/>
      </c>
      <c r="V1231" s="49">
        <f>IF(ISNUMBER(U1231),ABS(U1231),"")</f>
        <v/>
      </c>
      <c r="W1231" s="49">
        <f>IF(OR($E1230&lt;&gt;"측정",$C1230&lt;&gt;$C1231,$D1230&lt;&gt;$D1231,NOT(ISNUMBER(M1231)),NOT(ISNUMBER(M1230)),(IF(ISNUMBER(H1231),H1231,G1231)-IF(ISNUMBER(H1230),H1230,G1230))=0),"",(M1231-M1230)/(IF(ISNUMBER(H1231),H1231,G1231)-IF(ISNUMBER(H1230),H1230,G1230)))</f>
        <v/>
      </c>
      <c r="X1231" s="31">
        <f>IF(NOT(AND(ISNUMBER(O1231),ISNUMBER(Q1231))),"",(Q1231-O1231)*1440)</f>
        <v/>
      </c>
      <c r="Y1231" s="29" t="n"/>
      <c r="Z1231" s="29" t="n"/>
      <c r="AA1231" s="29" t="n"/>
      <c r="AB1231" s="32" t="n"/>
      <c r="AC1231" s="32" t="n"/>
    </row>
    <row r="1232">
      <c r="A1232" s="26" t="inlineStr">
        <is>
          <t>S24</t>
        </is>
      </c>
      <c r="B1232" s="26" t="inlineStr">
        <is>
          <t>회천 신규점2</t>
        </is>
      </c>
      <c r="C1232" s="26" t="inlineStr">
        <is>
          <t>S24-H남</t>
        </is>
      </c>
      <c r="D1232" s="47" t="n">
        <v>1</v>
      </c>
      <c r="E1232" s="26" t="inlineStr">
        <is>
          <t>측정</t>
        </is>
      </c>
      <c r="F1232" s="26" t="inlineStr">
        <is>
          <t>남</t>
        </is>
      </c>
      <c r="G1232" s="31" t="n">
        <v>3</v>
      </c>
      <c r="H1232" s="30" t="n"/>
      <c r="I1232" s="43" t="n"/>
      <c r="J1232" s="41" t="n"/>
      <c r="K1232" s="41" t="n"/>
      <c r="L1232" s="41" t="n"/>
      <c r="M1232" s="31">
        <f>IF(COUNT(J1232:L1232)=0,"",MEDIAN(J1232:L1232))</f>
        <v/>
      </c>
      <c r="N1232" s="26">
        <f>IF(COUNTIFS($C:$C,$C1232,$D:$D,$D1232,$E:$E,"P0(전)",$M:$M,"&gt;0")&lt;&gt;1,"P0(전) 유효 1개 아님",IF(COUNTIFS($C:$C,$C1232,$D:$D,$D1232,$E:$E,"P0(후)",$M:$M,"&gt;0")&lt;&gt;1,"P0(후) 유효 1개 아님",IF(NOT(AND(ISNUMBER(O1232),ISNUMBER(Q1232),ISNUMBER(I1232))),"시각 결측",IF(Q1232&lt;=O1232,"P0 시각 역전",IF(OR(I1232&lt;O1232,I1232&gt;Q1232),"측정시각 구간 밖","OK")))))</f>
        <v/>
      </c>
      <c r="O1232" s="48">
        <f>IF(COUNTIFS($C:$C,$C1232,$D:$D,$D1232,$E:$E,"P0(전)",$M:$M,"&gt;0")&lt;&gt;1,"",SUMIFS($I:$I,$C:$C,$C1232,$D:$D,$D1232,$E:$E,"P0(전)"))</f>
        <v/>
      </c>
      <c r="P1232" s="31">
        <f>IF(COUNTIFS($C:$C,$C1232,$D:$D,$D1232,$E:$E,"P0(전)",$M:$M,"&gt;0")&lt;&gt;1,"",SUMIFS($M:$M,$C:$C,$C1232,$D:$D,$D1232,$E:$E,"P0(전)"))</f>
        <v/>
      </c>
      <c r="Q1232" s="48">
        <f>IF(COUNTIFS($C:$C,$C1232,$D:$D,$D1232,$E:$E,"P0(후)",$M:$M,"&gt;0")&lt;&gt;1,"",SUMIFS($I:$I,$C:$C,$C1232,$D:$D,$D1232,$E:$E,"P0(후)"))</f>
        <v/>
      </c>
      <c r="R1232" s="31">
        <f>IF(COUNTIFS($C:$C,$C1232,$D:$D,$D1232,$E:$E,"P0(후)",$M:$M,"&gt;0")&lt;&gt;1,"",SUMIFS($M:$M,$C:$C,$C1232,$D:$D,$D1232,$E:$E,"P0(후)"))</f>
        <v/>
      </c>
      <c r="S1232" s="31">
        <f>IF(N1232&lt;&gt;"OK","",P1232+(R1232-P1232)*(I1232-O1232)/(Q1232-O1232))</f>
        <v/>
      </c>
      <c r="T1232" s="31">
        <f>IF(OR(N1232&lt;&gt;"OK",NOT(ISNUMBER(M1232))),"",M1232-S1232)</f>
        <v/>
      </c>
      <c r="U1232" s="49">
        <f>IF(OR(NOT(ISNUMBER(T1232)),IF(ISNUMBER(H1232),H1232,G1232)=0),"",T1232/IF(ISNUMBER(H1232),H1232,G1232))</f>
        <v/>
      </c>
      <c r="V1232" s="49">
        <f>IF(ISNUMBER(U1232),ABS(U1232),"")</f>
        <v/>
      </c>
      <c r="W1232" s="49">
        <f>IF(OR($E1231&lt;&gt;"측정",$C1231&lt;&gt;$C1232,$D1231&lt;&gt;$D1232,NOT(ISNUMBER(M1232)),NOT(ISNUMBER(M1231)),(IF(ISNUMBER(H1232),H1232,G1232)-IF(ISNUMBER(H1231),H1231,G1231))=0),"",(M1232-M1231)/(IF(ISNUMBER(H1232),H1232,G1232)-IF(ISNUMBER(H1231),H1231,G1231)))</f>
        <v/>
      </c>
      <c r="X1232" s="31">
        <f>IF(NOT(AND(ISNUMBER(O1232),ISNUMBER(Q1232))),"",(Q1232-O1232)*1440)</f>
        <v/>
      </c>
      <c r="Y1232" s="29" t="n"/>
      <c r="Z1232" s="29" t="n"/>
      <c r="AA1232" s="29" t="n"/>
      <c r="AB1232" s="32" t="n"/>
      <c r="AC1232" s="32" t="n"/>
    </row>
    <row r="1233">
      <c r="A1233" s="26" t="inlineStr">
        <is>
          <t>S24</t>
        </is>
      </c>
      <c r="B1233" s="26" t="inlineStr">
        <is>
          <t>회천 신규점2</t>
        </is>
      </c>
      <c r="C1233" s="26" t="inlineStr">
        <is>
          <t>S24-H남</t>
        </is>
      </c>
      <c r="D1233" s="47" t="n">
        <v>1</v>
      </c>
      <c r="E1233" s="26" t="inlineStr">
        <is>
          <t>측정</t>
        </is>
      </c>
      <c r="F1233" s="26" t="inlineStr">
        <is>
          <t>남</t>
        </is>
      </c>
      <c r="G1233" s="31" t="n">
        <v>4</v>
      </c>
      <c r="H1233" s="30" t="n"/>
      <c r="I1233" s="43" t="n"/>
      <c r="J1233" s="41" t="n"/>
      <c r="K1233" s="41" t="n"/>
      <c r="L1233" s="41" t="n"/>
      <c r="M1233" s="31">
        <f>IF(COUNT(J1233:L1233)=0,"",MEDIAN(J1233:L1233))</f>
        <v/>
      </c>
      <c r="N1233" s="26">
        <f>IF(COUNTIFS($C:$C,$C1233,$D:$D,$D1233,$E:$E,"P0(전)",$M:$M,"&gt;0")&lt;&gt;1,"P0(전) 유효 1개 아님",IF(COUNTIFS($C:$C,$C1233,$D:$D,$D1233,$E:$E,"P0(후)",$M:$M,"&gt;0")&lt;&gt;1,"P0(후) 유효 1개 아님",IF(NOT(AND(ISNUMBER(O1233),ISNUMBER(Q1233),ISNUMBER(I1233))),"시각 결측",IF(Q1233&lt;=O1233,"P0 시각 역전",IF(OR(I1233&lt;O1233,I1233&gt;Q1233),"측정시각 구간 밖","OK")))))</f>
        <v/>
      </c>
      <c r="O1233" s="48">
        <f>IF(COUNTIFS($C:$C,$C1233,$D:$D,$D1233,$E:$E,"P0(전)",$M:$M,"&gt;0")&lt;&gt;1,"",SUMIFS($I:$I,$C:$C,$C1233,$D:$D,$D1233,$E:$E,"P0(전)"))</f>
        <v/>
      </c>
      <c r="P1233" s="31">
        <f>IF(COUNTIFS($C:$C,$C1233,$D:$D,$D1233,$E:$E,"P0(전)",$M:$M,"&gt;0")&lt;&gt;1,"",SUMIFS($M:$M,$C:$C,$C1233,$D:$D,$D1233,$E:$E,"P0(전)"))</f>
        <v/>
      </c>
      <c r="Q1233" s="48">
        <f>IF(COUNTIFS($C:$C,$C1233,$D:$D,$D1233,$E:$E,"P0(후)",$M:$M,"&gt;0")&lt;&gt;1,"",SUMIFS($I:$I,$C:$C,$C1233,$D:$D,$D1233,$E:$E,"P0(후)"))</f>
        <v/>
      </c>
      <c r="R1233" s="31">
        <f>IF(COUNTIFS($C:$C,$C1233,$D:$D,$D1233,$E:$E,"P0(후)",$M:$M,"&gt;0")&lt;&gt;1,"",SUMIFS($M:$M,$C:$C,$C1233,$D:$D,$D1233,$E:$E,"P0(후)"))</f>
        <v/>
      </c>
      <c r="S1233" s="31">
        <f>IF(N1233&lt;&gt;"OK","",P1233+(R1233-P1233)*(I1233-O1233)/(Q1233-O1233))</f>
        <v/>
      </c>
      <c r="T1233" s="31">
        <f>IF(OR(N1233&lt;&gt;"OK",NOT(ISNUMBER(M1233))),"",M1233-S1233)</f>
        <v/>
      </c>
      <c r="U1233" s="49">
        <f>IF(OR(NOT(ISNUMBER(T1233)),IF(ISNUMBER(H1233),H1233,G1233)=0),"",T1233/IF(ISNUMBER(H1233),H1233,G1233))</f>
        <v/>
      </c>
      <c r="V1233" s="49">
        <f>IF(ISNUMBER(U1233),ABS(U1233),"")</f>
        <v/>
      </c>
      <c r="W1233" s="49">
        <f>IF(OR($E1232&lt;&gt;"측정",$C1232&lt;&gt;$C1233,$D1232&lt;&gt;$D1233,NOT(ISNUMBER(M1233)),NOT(ISNUMBER(M1232)),(IF(ISNUMBER(H1233),H1233,G1233)-IF(ISNUMBER(H1232),H1232,G1232))=0),"",(M1233-M1232)/(IF(ISNUMBER(H1233),H1233,G1233)-IF(ISNUMBER(H1232),H1232,G1232)))</f>
        <v/>
      </c>
      <c r="X1233" s="31">
        <f>IF(NOT(AND(ISNUMBER(O1233),ISNUMBER(Q1233))),"",(Q1233-O1233)*1440)</f>
        <v/>
      </c>
      <c r="Y1233" s="29" t="n"/>
      <c r="Z1233" s="29" t="n"/>
      <c r="AA1233" s="29" t="n"/>
      <c r="AB1233" s="32" t="n"/>
      <c r="AC1233" s="32" t="n"/>
    </row>
    <row r="1234">
      <c r="A1234" s="26" t="inlineStr">
        <is>
          <t>S24</t>
        </is>
      </c>
      <c r="B1234" s="26" t="inlineStr">
        <is>
          <t>회천 신규점2</t>
        </is>
      </c>
      <c r="C1234" s="26" t="inlineStr">
        <is>
          <t>S24-H남</t>
        </is>
      </c>
      <c r="D1234" s="47" t="n">
        <v>1</v>
      </c>
      <c r="E1234" s="26" t="inlineStr">
        <is>
          <t>측정</t>
        </is>
      </c>
      <c r="F1234" s="26" t="inlineStr">
        <is>
          <t>남</t>
        </is>
      </c>
      <c r="G1234" s="31" t="n">
        <v>5</v>
      </c>
      <c r="H1234" s="30" t="n"/>
      <c r="I1234" s="43" t="n"/>
      <c r="J1234" s="41" t="n"/>
      <c r="K1234" s="41" t="n"/>
      <c r="L1234" s="41" t="n"/>
      <c r="M1234" s="31">
        <f>IF(COUNT(J1234:L1234)=0,"",MEDIAN(J1234:L1234))</f>
        <v/>
      </c>
      <c r="N1234" s="26">
        <f>IF(COUNTIFS($C:$C,$C1234,$D:$D,$D1234,$E:$E,"P0(전)",$M:$M,"&gt;0")&lt;&gt;1,"P0(전) 유효 1개 아님",IF(COUNTIFS($C:$C,$C1234,$D:$D,$D1234,$E:$E,"P0(후)",$M:$M,"&gt;0")&lt;&gt;1,"P0(후) 유효 1개 아님",IF(NOT(AND(ISNUMBER(O1234),ISNUMBER(Q1234),ISNUMBER(I1234))),"시각 결측",IF(Q1234&lt;=O1234,"P0 시각 역전",IF(OR(I1234&lt;O1234,I1234&gt;Q1234),"측정시각 구간 밖","OK")))))</f>
        <v/>
      </c>
      <c r="O1234" s="48">
        <f>IF(COUNTIFS($C:$C,$C1234,$D:$D,$D1234,$E:$E,"P0(전)",$M:$M,"&gt;0")&lt;&gt;1,"",SUMIFS($I:$I,$C:$C,$C1234,$D:$D,$D1234,$E:$E,"P0(전)"))</f>
        <v/>
      </c>
      <c r="P1234" s="31">
        <f>IF(COUNTIFS($C:$C,$C1234,$D:$D,$D1234,$E:$E,"P0(전)",$M:$M,"&gt;0")&lt;&gt;1,"",SUMIFS($M:$M,$C:$C,$C1234,$D:$D,$D1234,$E:$E,"P0(전)"))</f>
        <v/>
      </c>
      <c r="Q1234" s="48">
        <f>IF(COUNTIFS($C:$C,$C1234,$D:$D,$D1234,$E:$E,"P0(후)",$M:$M,"&gt;0")&lt;&gt;1,"",SUMIFS($I:$I,$C:$C,$C1234,$D:$D,$D1234,$E:$E,"P0(후)"))</f>
        <v/>
      </c>
      <c r="R1234" s="31">
        <f>IF(COUNTIFS($C:$C,$C1234,$D:$D,$D1234,$E:$E,"P0(후)",$M:$M,"&gt;0")&lt;&gt;1,"",SUMIFS($M:$M,$C:$C,$C1234,$D:$D,$D1234,$E:$E,"P0(후)"))</f>
        <v/>
      </c>
      <c r="S1234" s="31">
        <f>IF(N1234&lt;&gt;"OK","",P1234+(R1234-P1234)*(I1234-O1234)/(Q1234-O1234))</f>
        <v/>
      </c>
      <c r="T1234" s="31">
        <f>IF(OR(N1234&lt;&gt;"OK",NOT(ISNUMBER(M1234))),"",M1234-S1234)</f>
        <v/>
      </c>
      <c r="U1234" s="49">
        <f>IF(OR(NOT(ISNUMBER(T1234)),IF(ISNUMBER(H1234),H1234,G1234)=0),"",T1234/IF(ISNUMBER(H1234),H1234,G1234))</f>
        <v/>
      </c>
      <c r="V1234" s="49">
        <f>IF(ISNUMBER(U1234),ABS(U1234),"")</f>
        <v/>
      </c>
      <c r="W1234" s="49">
        <f>IF(OR($E1233&lt;&gt;"측정",$C1233&lt;&gt;$C1234,$D1233&lt;&gt;$D1234,NOT(ISNUMBER(M1234)),NOT(ISNUMBER(M1233)),(IF(ISNUMBER(H1234),H1234,G1234)-IF(ISNUMBER(H1233),H1233,G1233))=0),"",(M1234-M1233)/(IF(ISNUMBER(H1234),H1234,G1234)-IF(ISNUMBER(H1233),H1233,G1233)))</f>
        <v/>
      </c>
      <c r="X1234" s="31">
        <f>IF(NOT(AND(ISNUMBER(O1234),ISNUMBER(Q1234))),"",(Q1234-O1234)*1440)</f>
        <v/>
      </c>
      <c r="Y1234" s="29" t="n"/>
      <c r="Z1234" s="29" t="n"/>
      <c r="AA1234" s="29" t="n"/>
      <c r="AB1234" s="32" t="n"/>
      <c r="AC1234" s="32" t="n"/>
    </row>
    <row r="1235">
      <c r="A1235" s="26" t="inlineStr">
        <is>
          <t>S24</t>
        </is>
      </c>
      <c r="B1235" s="26" t="inlineStr">
        <is>
          <t>회천 신규점2</t>
        </is>
      </c>
      <c r="C1235" s="26" t="inlineStr">
        <is>
          <t>S24-H남</t>
        </is>
      </c>
      <c r="D1235" s="47" t="n">
        <v>1</v>
      </c>
      <c r="E1235" s="26" t="inlineStr">
        <is>
          <t>측정</t>
        </is>
      </c>
      <c r="F1235" s="26" t="inlineStr">
        <is>
          <t>남</t>
        </is>
      </c>
      <c r="G1235" s="31" t="n">
        <v>6</v>
      </c>
      <c r="H1235" s="30" t="n"/>
      <c r="I1235" s="43" t="n"/>
      <c r="J1235" s="41" t="n"/>
      <c r="K1235" s="41" t="n"/>
      <c r="L1235" s="41" t="n"/>
      <c r="M1235" s="31">
        <f>IF(COUNT(J1235:L1235)=0,"",MEDIAN(J1235:L1235))</f>
        <v/>
      </c>
      <c r="N1235" s="26">
        <f>IF(COUNTIFS($C:$C,$C1235,$D:$D,$D1235,$E:$E,"P0(전)",$M:$M,"&gt;0")&lt;&gt;1,"P0(전) 유효 1개 아님",IF(COUNTIFS($C:$C,$C1235,$D:$D,$D1235,$E:$E,"P0(후)",$M:$M,"&gt;0")&lt;&gt;1,"P0(후) 유효 1개 아님",IF(NOT(AND(ISNUMBER(O1235),ISNUMBER(Q1235),ISNUMBER(I1235))),"시각 결측",IF(Q1235&lt;=O1235,"P0 시각 역전",IF(OR(I1235&lt;O1235,I1235&gt;Q1235),"측정시각 구간 밖","OK")))))</f>
        <v/>
      </c>
      <c r="O1235" s="48">
        <f>IF(COUNTIFS($C:$C,$C1235,$D:$D,$D1235,$E:$E,"P0(전)",$M:$M,"&gt;0")&lt;&gt;1,"",SUMIFS($I:$I,$C:$C,$C1235,$D:$D,$D1235,$E:$E,"P0(전)"))</f>
        <v/>
      </c>
      <c r="P1235" s="31">
        <f>IF(COUNTIFS($C:$C,$C1235,$D:$D,$D1235,$E:$E,"P0(전)",$M:$M,"&gt;0")&lt;&gt;1,"",SUMIFS($M:$M,$C:$C,$C1235,$D:$D,$D1235,$E:$E,"P0(전)"))</f>
        <v/>
      </c>
      <c r="Q1235" s="48">
        <f>IF(COUNTIFS($C:$C,$C1235,$D:$D,$D1235,$E:$E,"P0(후)",$M:$M,"&gt;0")&lt;&gt;1,"",SUMIFS($I:$I,$C:$C,$C1235,$D:$D,$D1235,$E:$E,"P0(후)"))</f>
        <v/>
      </c>
      <c r="R1235" s="31">
        <f>IF(COUNTIFS($C:$C,$C1235,$D:$D,$D1235,$E:$E,"P0(후)",$M:$M,"&gt;0")&lt;&gt;1,"",SUMIFS($M:$M,$C:$C,$C1235,$D:$D,$D1235,$E:$E,"P0(후)"))</f>
        <v/>
      </c>
      <c r="S1235" s="31">
        <f>IF(N1235&lt;&gt;"OK","",P1235+(R1235-P1235)*(I1235-O1235)/(Q1235-O1235))</f>
        <v/>
      </c>
      <c r="T1235" s="31">
        <f>IF(OR(N1235&lt;&gt;"OK",NOT(ISNUMBER(M1235))),"",M1235-S1235)</f>
        <v/>
      </c>
      <c r="U1235" s="49">
        <f>IF(OR(NOT(ISNUMBER(T1235)),IF(ISNUMBER(H1235),H1235,G1235)=0),"",T1235/IF(ISNUMBER(H1235),H1235,G1235))</f>
        <v/>
      </c>
      <c r="V1235" s="49">
        <f>IF(ISNUMBER(U1235),ABS(U1235),"")</f>
        <v/>
      </c>
      <c r="W1235" s="49">
        <f>IF(OR($E1234&lt;&gt;"측정",$C1234&lt;&gt;$C1235,$D1234&lt;&gt;$D1235,NOT(ISNUMBER(M1235)),NOT(ISNUMBER(M1234)),(IF(ISNUMBER(H1235),H1235,G1235)-IF(ISNUMBER(H1234),H1234,G1234))=0),"",(M1235-M1234)/(IF(ISNUMBER(H1235),H1235,G1235)-IF(ISNUMBER(H1234),H1234,G1234)))</f>
        <v/>
      </c>
      <c r="X1235" s="31">
        <f>IF(NOT(AND(ISNUMBER(O1235),ISNUMBER(Q1235))),"",(Q1235-O1235)*1440)</f>
        <v/>
      </c>
      <c r="Y1235" s="29" t="n"/>
      <c r="Z1235" s="29" t="n"/>
      <c r="AA1235" s="29" t="n"/>
      <c r="AB1235" s="32" t="n"/>
      <c r="AC1235" s="32" t="n"/>
    </row>
    <row r="1236">
      <c r="A1236" s="26" t="inlineStr">
        <is>
          <t>S24</t>
        </is>
      </c>
      <c r="B1236" s="26" t="inlineStr">
        <is>
          <t>회천 신규점2</t>
        </is>
      </c>
      <c r="C1236" s="26" t="inlineStr">
        <is>
          <t>S24-H남</t>
        </is>
      </c>
      <c r="D1236" s="47" t="n">
        <v>1</v>
      </c>
      <c r="E1236" s="26" t="inlineStr">
        <is>
          <t>측정</t>
        </is>
      </c>
      <c r="F1236" s="26" t="inlineStr">
        <is>
          <t>남</t>
        </is>
      </c>
      <c r="G1236" s="31" t="n">
        <v>7</v>
      </c>
      <c r="H1236" s="30" t="n"/>
      <c r="I1236" s="43" t="n"/>
      <c r="J1236" s="41" t="n"/>
      <c r="K1236" s="41" t="n"/>
      <c r="L1236" s="41" t="n"/>
      <c r="M1236" s="31">
        <f>IF(COUNT(J1236:L1236)=0,"",MEDIAN(J1236:L1236))</f>
        <v/>
      </c>
      <c r="N1236" s="26">
        <f>IF(COUNTIFS($C:$C,$C1236,$D:$D,$D1236,$E:$E,"P0(전)",$M:$M,"&gt;0")&lt;&gt;1,"P0(전) 유효 1개 아님",IF(COUNTIFS($C:$C,$C1236,$D:$D,$D1236,$E:$E,"P0(후)",$M:$M,"&gt;0")&lt;&gt;1,"P0(후) 유효 1개 아님",IF(NOT(AND(ISNUMBER(O1236),ISNUMBER(Q1236),ISNUMBER(I1236))),"시각 결측",IF(Q1236&lt;=O1236,"P0 시각 역전",IF(OR(I1236&lt;O1236,I1236&gt;Q1236),"측정시각 구간 밖","OK")))))</f>
        <v/>
      </c>
      <c r="O1236" s="48">
        <f>IF(COUNTIFS($C:$C,$C1236,$D:$D,$D1236,$E:$E,"P0(전)",$M:$M,"&gt;0")&lt;&gt;1,"",SUMIFS($I:$I,$C:$C,$C1236,$D:$D,$D1236,$E:$E,"P0(전)"))</f>
        <v/>
      </c>
      <c r="P1236" s="31">
        <f>IF(COUNTIFS($C:$C,$C1236,$D:$D,$D1236,$E:$E,"P0(전)",$M:$M,"&gt;0")&lt;&gt;1,"",SUMIFS($M:$M,$C:$C,$C1236,$D:$D,$D1236,$E:$E,"P0(전)"))</f>
        <v/>
      </c>
      <c r="Q1236" s="48">
        <f>IF(COUNTIFS($C:$C,$C1236,$D:$D,$D1236,$E:$E,"P0(후)",$M:$M,"&gt;0")&lt;&gt;1,"",SUMIFS($I:$I,$C:$C,$C1236,$D:$D,$D1236,$E:$E,"P0(후)"))</f>
        <v/>
      </c>
      <c r="R1236" s="31">
        <f>IF(COUNTIFS($C:$C,$C1236,$D:$D,$D1236,$E:$E,"P0(후)",$M:$M,"&gt;0")&lt;&gt;1,"",SUMIFS($M:$M,$C:$C,$C1236,$D:$D,$D1236,$E:$E,"P0(후)"))</f>
        <v/>
      </c>
      <c r="S1236" s="31">
        <f>IF(N1236&lt;&gt;"OK","",P1236+(R1236-P1236)*(I1236-O1236)/(Q1236-O1236))</f>
        <v/>
      </c>
      <c r="T1236" s="31">
        <f>IF(OR(N1236&lt;&gt;"OK",NOT(ISNUMBER(M1236))),"",M1236-S1236)</f>
        <v/>
      </c>
      <c r="U1236" s="49">
        <f>IF(OR(NOT(ISNUMBER(T1236)),IF(ISNUMBER(H1236),H1236,G1236)=0),"",T1236/IF(ISNUMBER(H1236),H1236,G1236))</f>
        <v/>
      </c>
      <c r="V1236" s="49">
        <f>IF(ISNUMBER(U1236),ABS(U1236),"")</f>
        <v/>
      </c>
      <c r="W1236" s="49">
        <f>IF(OR($E1235&lt;&gt;"측정",$C1235&lt;&gt;$C1236,$D1235&lt;&gt;$D1236,NOT(ISNUMBER(M1236)),NOT(ISNUMBER(M1235)),(IF(ISNUMBER(H1236),H1236,G1236)-IF(ISNUMBER(H1235),H1235,G1235))=0),"",(M1236-M1235)/(IF(ISNUMBER(H1236),H1236,G1236)-IF(ISNUMBER(H1235),H1235,G1235)))</f>
        <v/>
      </c>
      <c r="X1236" s="31">
        <f>IF(NOT(AND(ISNUMBER(O1236),ISNUMBER(Q1236))),"",(Q1236-O1236)*1440)</f>
        <v/>
      </c>
      <c r="Y1236" s="29" t="n"/>
      <c r="Z1236" s="29" t="n"/>
      <c r="AA1236" s="29" t="n"/>
      <c r="AB1236" s="32" t="n"/>
      <c r="AC1236" s="32" t="n"/>
    </row>
    <row r="1237">
      <c r="A1237" s="26" t="inlineStr">
        <is>
          <t>S24</t>
        </is>
      </c>
      <c r="B1237" s="26" t="inlineStr">
        <is>
          <t>회천 신규점2</t>
        </is>
      </c>
      <c r="C1237" s="26" t="inlineStr">
        <is>
          <t>S24-H남</t>
        </is>
      </c>
      <c r="D1237" s="47" t="n">
        <v>1</v>
      </c>
      <c r="E1237" s="26" t="inlineStr">
        <is>
          <t>측정</t>
        </is>
      </c>
      <c r="F1237" s="26" t="inlineStr">
        <is>
          <t>남</t>
        </is>
      </c>
      <c r="G1237" s="31" t="n">
        <v>8</v>
      </c>
      <c r="H1237" s="30" t="n"/>
      <c r="I1237" s="43" t="n"/>
      <c r="J1237" s="41" t="n"/>
      <c r="K1237" s="41" t="n"/>
      <c r="L1237" s="41" t="n"/>
      <c r="M1237" s="31">
        <f>IF(COUNT(J1237:L1237)=0,"",MEDIAN(J1237:L1237))</f>
        <v/>
      </c>
      <c r="N1237" s="26">
        <f>IF(COUNTIFS($C:$C,$C1237,$D:$D,$D1237,$E:$E,"P0(전)",$M:$M,"&gt;0")&lt;&gt;1,"P0(전) 유효 1개 아님",IF(COUNTIFS($C:$C,$C1237,$D:$D,$D1237,$E:$E,"P0(후)",$M:$M,"&gt;0")&lt;&gt;1,"P0(후) 유효 1개 아님",IF(NOT(AND(ISNUMBER(O1237),ISNUMBER(Q1237),ISNUMBER(I1237))),"시각 결측",IF(Q1237&lt;=O1237,"P0 시각 역전",IF(OR(I1237&lt;O1237,I1237&gt;Q1237),"측정시각 구간 밖","OK")))))</f>
        <v/>
      </c>
      <c r="O1237" s="48">
        <f>IF(COUNTIFS($C:$C,$C1237,$D:$D,$D1237,$E:$E,"P0(전)",$M:$M,"&gt;0")&lt;&gt;1,"",SUMIFS($I:$I,$C:$C,$C1237,$D:$D,$D1237,$E:$E,"P0(전)"))</f>
        <v/>
      </c>
      <c r="P1237" s="31">
        <f>IF(COUNTIFS($C:$C,$C1237,$D:$D,$D1237,$E:$E,"P0(전)",$M:$M,"&gt;0")&lt;&gt;1,"",SUMIFS($M:$M,$C:$C,$C1237,$D:$D,$D1237,$E:$E,"P0(전)"))</f>
        <v/>
      </c>
      <c r="Q1237" s="48">
        <f>IF(COUNTIFS($C:$C,$C1237,$D:$D,$D1237,$E:$E,"P0(후)",$M:$M,"&gt;0")&lt;&gt;1,"",SUMIFS($I:$I,$C:$C,$C1237,$D:$D,$D1237,$E:$E,"P0(후)"))</f>
        <v/>
      </c>
      <c r="R1237" s="31">
        <f>IF(COUNTIFS($C:$C,$C1237,$D:$D,$D1237,$E:$E,"P0(후)",$M:$M,"&gt;0")&lt;&gt;1,"",SUMIFS($M:$M,$C:$C,$C1237,$D:$D,$D1237,$E:$E,"P0(후)"))</f>
        <v/>
      </c>
      <c r="S1237" s="31">
        <f>IF(N1237&lt;&gt;"OK","",P1237+(R1237-P1237)*(I1237-O1237)/(Q1237-O1237))</f>
        <v/>
      </c>
      <c r="T1237" s="31">
        <f>IF(OR(N1237&lt;&gt;"OK",NOT(ISNUMBER(M1237))),"",M1237-S1237)</f>
        <v/>
      </c>
      <c r="U1237" s="49">
        <f>IF(OR(NOT(ISNUMBER(T1237)),IF(ISNUMBER(H1237),H1237,G1237)=0),"",T1237/IF(ISNUMBER(H1237),H1237,G1237))</f>
        <v/>
      </c>
      <c r="V1237" s="49">
        <f>IF(ISNUMBER(U1237),ABS(U1237),"")</f>
        <v/>
      </c>
      <c r="W1237" s="49">
        <f>IF(OR($E1236&lt;&gt;"측정",$C1236&lt;&gt;$C1237,$D1236&lt;&gt;$D1237,NOT(ISNUMBER(M1237)),NOT(ISNUMBER(M1236)),(IF(ISNUMBER(H1237),H1237,G1237)-IF(ISNUMBER(H1236),H1236,G1236))=0),"",(M1237-M1236)/(IF(ISNUMBER(H1237),H1237,G1237)-IF(ISNUMBER(H1236),H1236,G1236)))</f>
        <v/>
      </c>
      <c r="X1237" s="31">
        <f>IF(NOT(AND(ISNUMBER(O1237),ISNUMBER(Q1237))),"",(Q1237-O1237)*1440)</f>
        <v/>
      </c>
      <c r="Y1237" s="29" t="n"/>
      <c r="Z1237" s="29" t="n"/>
      <c r="AA1237" s="29" t="n"/>
      <c r="AB1237" s="32" t="n"/>
      <c r="AC1237" s="32" t="n"/>
    </row>
    <row r="1238">
      <c r="A1238" s="26" t="inlineStr">
        <is>
          <t>S24</t>
        </is>
      </c>
      <c r="B1238" s="26" t="inlineStr">
        <is>
          <t>회천 신규점2</t>
        </is>
      </c>
      <c r="C1238" s="26" t="inlineStr">
        <is>
          <t>S24-H남</t>
        </is>
      </c>
      <c r="D1238" s="47" t="n">
        <v>1</v>
      </c>
      <c r="E1238" s="26" t="inlineStr">
        <is>
          <t>측정</t>
        </is>
      </c>
      <c r="F1238" s="26" t="inlineStr">
        <is>
          <t>남</t>
        </is>
      </c>
      <c r="G1238" s="31" t="n">
        <v>9</v>
      </c>
      <c r="H1238" s="30" t="n"/>
      <c r="I1238" s="43" t="n"/>
      <c r="J1238" s="41" t="n"/>
      <c r="K1238" s="41" t="n"/>
      <c r="L1238" s="41" t="n"/>
      <c r="M1238" s="31">
        <f>IF(COUNT(J1238:L1238)=0,"",MEDIAN(J1238:L1238))</f>
        <v/>
      </c>
      <c r="N1238" s="26">
        <f>IF(COUNTIFS($C:$C,$C1238,$D:$D,$D1238,$E:$E,"P0(전)",$M:$M,"&gt;0")&lt;&gt;1,"P0(전) 유효 1개 아님",IF(COUNTIFS($C:$C,$C1238,$D:$D,$D1238,$E:$E,"P0(후)",$M:$M,"&gt;0")&lt;&gt;1,"P0(후) 유효 1개 아님",IF(NOT(AND(ISNUMBER(O1238),ISNUMBER(Q1238),ISNUMBER(I1238))),"시각 결측",IF(Q1238&lt;=O1238,"P0 시각 역전",IF(OR(I1238&lt;O1238,I1238&gt;Q1238),"측정시각 구간 밖","OK")))))</f>
        <v/>
      </c>
      <c r="O1238" s="48">
        <f>IF(COUNTIFS($C:$C,$C1238,$D:$D,$D1238,$E:$E,"P0(전)",$M:$M,"&gt;0")&lt;&gt;1,"",SUMIFS($I:$I,$C:$C,$C1238,$D:$D,$D1238,$E:$E,"P0(전)"))</f>
        <v/>
      </c>
      <c r="P1238" s="31">
        <f>IF(COUNTIFS($C:$C,$C1238,$D:$D,$D1238,$E:$E,"P0(전)",$M:$M,"&gt;0")&lt;&gt;1,"",SUMIFS($M:$M,$C:$C,$C1238,$D:$D,$D1238,$E:$E,"P0(전)"))</f>
        <v/>
      </c>
      <c r="Q1238" s="48">
        <f>IF(COUNTIFS($C:$C,$C1238,$D:$D,$D1238,$E:$E,"P0(후)",$M:$M,"&gt;0")&lt;&gt;1,"",SUMIFS($I:$I,$C:$C,$C1238,$D:$D,$D1238,$E:$E,"P0(후)"))</f>
        <v/>
      </c>
      <c r="R1238" s="31">
        <f>IF(COUNTIFS($C:$C,$C1238,$D:$D,$D1238,$E:$E,"P0(후)",$M:$M,"&gt;0")&lt;&gt;1,"",SUMIFS($M:$M,$C:$C,$C1238,$D:$D,$D1238,$E:$E,"P0(후)"))</f>
        <v/>
      </c>
      <c r="S1238" s="31">
        <f>IF(N1238&lt;&gt;"OK","",P1238+(R1238-P1238)*(I1238-O1238)/(Q1238-O1238))</f>
        <v/>
      </c>
      <c r="T1238" s="31">
        <f>IF(OR(N1238&lt;&gt;"OK",NOT(ISNUMBER(M1238))),"",M1238-S1238)</f>
        <v/>
      </c>
      <c r="U1238" s="49">
        <f>IF(OR(NOT(ISNUMBER(T1238)),IF(ISNUMBER(H1238),H1238,G1238)=0),"",T1238/IF(ISNUMBER(H1238),H1238,G1238))</f>
        <v/>
      </c>
      <c r="V1238" s="49">
        <f>IF(ISNUMBER(U1238),ABS(U1238),"")</f>
        <v/>
      </c>
      <c r="W1238" s="49">
        <f>IF(OR($E1237&lt;&gt;"측정",$C1237&lt;&gt;$C1238,$D1237&lt;&gt;$D1238,NOT(ISNUMBER(M1238)),NOT(ISNUMBER(M1237)),(IF(ISNUMBER(H1238),H1238,G1238)-IF(ISNUMBER(H1237),H1237,G1237))=0),"",(M1238-M1237)/(IF(ISNUMBER(H1238),H1238,G1238)-IF(ISNUMBER(H1237),H1237,G1237)))</f>
        <v/>
      </c>
      <c r="X1238" s="31">
        <f>IF(NOT(AND(ISNUMBER(O1238),ISNUMBER(Q1238))),"",(Q1238-O1238)*1440)</f>
        <v/>
      </c>
      <c r="Y1238" s="29" t="n"/>
      <c r="Z1238" s="29" t="n"/>
      <c r="AA1238" s="29" t="n"/>
      <c r="AB1238" s="32" t="n"/>
      <c r="AC1238" s="32" t="n"/>
    </row>
    <row r="1239">
      <c r="A1239" s="26" t="inlineStr">
        <is>
          <t>S24</t>
        </is>
      </c>
      <c r="B1239" s="26" t="inlineStr">
        <is>
          <t>회천 신규점2</t>
        </is>
      </c>
      <c r="C1239" s="26" t="inlineStr">
        <is>
          <t>S24-H남</t>
        </is>
      </c>
      <c r="D1239" s="47" t="n">
        <v>1</v>
      </c>
      <c r="E1239" s="26" t="inlineStr">
        <is>
          <t>측정</t>
        </is>
      </c>
      <c r="F1239" s="26" t="inlineStr">
        <is>
          <t>남</t>
        </is>
      </c>
      <c r="G1239" s="31" t="n">
        <v>10</v>
      </c>
      <c r="H1239" s="30" t="n"/>
      <c r="I1239" s="43" t="n"/>
      <c r="J1239" s="41" t="n"/>
      <c r="K1239" s="41" t="n"/>
      <c r="L1239" s="41" t="n"/>
      <c r="M1239" s="31">
        <f>IF(COUNT(J1239:L1239)=0,"",MEDIAN(J1239:L1239))</f>
        <v/>
      </c>
      <c r="N1239" s="26">
        <f>IF(COUNTIFS($C:$C,$C1239,$D:$D,$D1239,$E:$E,"P0(전)",$M:$M,"&gt;0")&lt;&gt;1,"P0(전) 유효 1개 아님",IF(COUNTIFS($C:$C,$C1239,$D:$D,$D1239,$E:$E,"P0(후)",$M:$M,"&gt;0")&lt;&gt;1,"P0(후) 유효 1개 아님",IF(NOT(AND(ISNUMBER(O1239),ISNUMBER(Q1239),ISNUMBER(I1239))),"시각 결측",IF(Q1239&lt;=O1239,"P0 시각 역전",IF(OR(I1239&lt;O1239,I1239&gt;Q1239),"측정시각 구간 밖","OK")))))</f>
        <v/>
      </c>
      <c r="O1239" s="48">
        <f>IF(COUNTIFS($C:$C,$C1239,$D:$D,$D1239,$E:$E,"P0(전)",$M:$M,"&gt;0")&lt;&gt;1,"",SUMIFS($I:$I,$C:$C,$C1239,$D:$D,$D1239,$E:$E,"P0(전)"))</f>
        <v/>
      </c>
      <c r="P1239" s="31">
        <f>IF(COUNTIFS($C:$C,$C1239,$D:$D,$D1239,$E:$E,"P0(전)",$M:$M,"&gt;0")&lt;&gt;1,"",SUMIFS($M:$M,$C:$C,$C1239,$D:$D,$D1239,$E:$E,"P0(전)"))</f>
        <v/>
      </c>
      <c r="Q1239" s="48">
        <f>IF(COUNTIFS($C:$C,$C1239,$D:$D,$D1239,$E:$E,"P0(후)",$M:$M,"&gt;0")&lt;&gt;1,"",SUMIFS($I:$I,$C:$C,$C1239,$D:$D,$D1239,$E:$E,"P0(후)"))</f>
        <v/>
      </c>
      <c r="R1239" s="31">
        <f>IF(COUNTIFS($C:$C,$C1239,$D:$D,$D1239,$E:$E,"P0(후)",$M:$M,"&gt;0")&lt;&gt;1,"",SUMIFS($M:$M,$C:$C,$C1239,$D:$D,$D1239,$E:$E,"P0(후)"))</f>
        <v/>
      </c>
      <c r="S1239" s="31">
        <f>IF(N1239&lt;&gt;"OK","",P1239+(R1239-P1239)*(I1239-O1239)/(Q1239-O1239))</f>
        <v/>
      </c>
      <c r="T1239" s="31">
        <f>IF(OR(N1239&lt;&gt;"OK",NOT(ISNUMBER(M1239))),"",M1239-S1239)</f>
        <v/>
      </c>
      <c r="U1239" s="49">
        <f>IF(OR(NOT(ISNUMBER(T1239)),IF(ISNUMBER(H1239),H1239,G1239)=0),"",T1239/IF(ISNUMBER(H1239),H1239,G1239))</f>
        <v/>
      </c>
      <c r="V1239" s="49">
        <f>IF(ISNUMBER(U1239),ABS(U1239),"")</f>
        <v/>
      </c>
      <c r="W1239" s="49">
        <f>IF(OR($E1238&lt;&gt;"측정",$C1238&lt;&gt;$C1239,$D1238&lt;&gt;$D1239,NOT(ISNUMBER(M1239)),NOT(ISNUMBER(M1238)),(IF(ISNUMBER(H1239),H1239,G1239)-IF(ISNUMBER(H1238),H1238,G1238))=0),"",(M1239-M1238)/(IF(ISNUMBER(H1239),H1239,G1239)-IF(ISNUMBER(H1238),H1238,G1238)))</f>
        <v/>
      </c>
      <c r="X1239" s="31">
        <f>IF(NOT(AND(ISNUMBER(O1239),ISNUMBER(Q1239))),"",(Q1239-O1239)*1440)</f>
        <v/>
      </c>
      <c r="Y1239" s="29" t="n"/>
      <c r="Z1239" s="29" t="n"/>
      <c r="AA1239" s="29" t="n"/>
      <c r="AB1239" s="32" t="n"/>
      <c r="AC1239" s="32" t="n"/>
    </row>
    <row r="1240">
      <c r="A1240" s="44" t="inlineStr">
        <is>
          <t>S24</t>
        </is>
      </c>
      <c r="B1240" s="44" t="inlineStr">
        <is>
          <t>회천 신규점2</t>
        </is>
      </c>
      <c r="C1240" s="44" t="inlineStr">
        <is>
          <t>S24-H남</t>
        </is>
      </c>
      <c r="D1240" s="45" t="n">
        <v>1</v>
      </c>
      <c r="E1240" s="44" t="inlineStr">
        <is>
          <t>P0(후)</t>
        </is>
      </c>
      <c r="F1240" s="44" t="inlineStr">
        <is>
          <t>남</t>
        </is>
      </c>
      <c r="G1240" s="46" t="n"/>
      <c r="H1240" s="30" t="n"/>
      <c r="I1240" s="43" t="n"/>
      <c r="J1240" s="41" t="n"/>
      <c r="K1240" s="41" t="n"/>
      <c r="L1240" s="41" t="n"/>
      <c r="M1240" s="31">
        <f>IF(COUNT(J1240:L1240)=0,"",MEDIAN(J1240:L1240))</f>
        <v/>
      </c>
      <c r="N1240" s="38" t="n"/>
      <c r="O1240" s="38" t="n"/>
      <c r="P1240" s="38" t="n"/>
      <c r="Q1240" s="38" t="n"/>
      <c r="R1240" s="38" t="n"/>
      <c r="S1240" s="38" t="n"/>
      <c r="T1240" s="38" t="n"/>
      <c r="U1240" s="38" t="n"/>
      <c r="V1240" s="38" t="n"/>
      <c r="W1240" s="38" t="n"/>
      <c r="X1240" s="38" t="n"/>
      <c r="Y1240" s="29" t="n"/>
      <c r="Z1240" s="29" t="n"/>
      <c r="AA1240" s="29" t="n"/>
      <c r="AB1240" s="32" t="n"/>
      <c r="AC1240" s="32" t="n"/>
    </row>
    <row r="1241">
      <c r="A1241" s="44" t="inlineStr">
        <is>
          <t>S24</t>
        </is>
      </c>
      <c r="B1241" s="44" t="inlineStr">
        <is>
          <t>회천 신규점2</t>
        </is>
      </c>
      <c r="C1241" s="44" t="inlineStr">
        <is>
          <t>S24-H북</t>
        </is>
      </c>
      <c r="D1241" s="45" t="n">
        <v>1</v>
      </c>
      <c r="E1241" s="44" t="inlineStr">
        <is>
          <t>P0(전)</t>
        </is>
      </c>
      <c r="F1241" s="44" t="inlineStr">
        <is>
          <t>북</t>
        </is>
      </c>
      <c r="G1241" s="46" t="n"/>
      <c r="H1241" s="30" t="n"/>
      <c r="I1241" s="43" t="n"/>
      <c r="J1241" s="41" t="n"/>
      <c r="K1241" s="41" t="n"/>
      <c r="L1241" s="41" t="n"/>
      <c r="M1241" s="31">
        <f>IF(COUNT(J1241:L1241)=0,"",MEDIAN(J1241:L1241))</f>
        <v/>
      </c>
      <c r="N1241" s="38" t="n"/>
      <c r="O1241" s="38" t="n"/>
      <c r="P1241" s="38" t="n"/>
      <c r="Q1241" s="38" t="n"/>
      <c r="R1241" s="38" t="n"/>
      <c r="S1241" s="38" t="n"/>
      <c r="T1241" s="38" t="n"/>
      <c r="U1241" s="38" t="n"/>
      <c r="V1241" s="38" t="n"/>
      <c r="W1241" s="38" t="n"/>
      <c r="X1241" s="38" t="n"/>
      <c r="Y1241" s="29" t="n"/>
      <c r="Z1241" s="29" t="n"/>
      <c r="AA1241" s="29" t="n"/>
      <c r="AB1241" s="32" t="n"/>
      <c r="AC1241" s="32" t="n"/>
    </row>
    <row r="1242">
      <c r="A1242" s="26" t="inlineStr">
        <is>
          <t>S24</t>
        </is>
      </c>
      <c r="B1242" s="26" t="inlineStr">
        <is>
          <t>회천 신규점2</t>
        </is>
      </c>
      <c r="C1242" s="26" t="inlineStr">
        <is>
          <t>S24-H북</t>
        </is>
      </c>
      <c r="D1242" s="47" t="n">
        <v>1</v>
      </c>
      <c r="E1242" s="26" t="inlineStr">
        <is>
          <t>측정</t>
        </is>
      </c>
      <c r="F1242" s="26" t="inlineStr">
        <is>
          <t>북</t>
        </is>
      </c>
      <c r="G1242" s="31" t="n">
        <v>0.5</v>
      </c>
      <c r="H1242" s="30" t="n"/>
      <c r="I1242" s="43" t="n"/>
      <c r="J1242" s="41" t="n"/>
      <c r="K1242" s="41" t="n"/>
      <c r="L1242" s="41" t="n"/>
      <c r="M1242" s="31">
        <f>IF(COUNT(J1242:L1242)=0,"",MEDIAN(J1242:L1242))</f>
        <v/>
      </c>
      <c r="N1242" s="26">
        <f>IF(COUNTIFS($C:$C,$C1242,$D:$D,$D1242,$E:$E,"P0(전)",$M:$M,"&gt;0")&lt;&gt;1,"P0(전) 유효 1개 아님",IF(COUNTIFS($C:$C,$C1242,$D:$D,$D1242,$E:$E,"P0(후)",$M:$M,"&gt;0")&lt;&gt;1,"P0(후) 유효 1개 아님",IF(NOT(AND(ISNUMBER(O1242),ISNUMBER(Q1242),ISNUMBER(I1242))),"시각 결측",IF(Q1242&lt;=O1242,"P0 시각 역전",IF(OR(I1242&lt;O1242,I1242&gt;Q1242),"측정시각 구간 밖","OK")))))</f>
        <v/>
      </c>
      <c r="O1242" s="48">
        <f>IF(COUNTIFS($C:$C,$C1242,$D:$D,$D1242,$E:$E,"P0(전)",$M:$M,"&gt;0")&lt;&gt;1,"",SUMIFS($I:$I,$C:$C,$C1242,$D:$D,$D1242,$E:$E,"P0(전)"))</f>
        <v/>
      </c>
      <c r="P1242" s="31">
        <f>IF(COUNTIFS($C:$C,$C1242,$D:$D,$D1242,$E:$E,"P0(전)",$M:$M,"&gt;0")&lt;&gt;1,"",SUMIFS($M:$M,$C:$C,$C1242,$D:$D,$D1242,$E:$E,"P0(전)"))</f>
        <v/>
      </c>
      <c r="Q1242" s="48">
        <f>IF(COUNTIFS($C:$C,$C1242,$D:$D,$D1242,$E:$E,"P0(후)",$M:$M,"&gt;0")&lt;&gt;1,"",SUMIFS($I:$I,$C:$C,$C1242,$D:$D,$D1242,$E:$E,"P0(후)"))</f>
        <v/>
      </c>
      <c r="R1242" s="31">
        <f>IF(COUNTIFS($C:$C,$C1242,$D:$D,$D1242,$E:$E,"P0(후)",$M:$M,"&gt;0")&lt;&gt;1,"",SUMIFS($M:$M,$C:$C,$C1242,$D:$D,$D1242,$E:$E,"P0(후)"))</f>
        <v/>
      </c>
      <c r="S1242" s="31">
        <f>IF(N1242&lt;&gt;"OK","",P1242+(R1242-P1242)*(I1242-O1242)/(Q1242-O1242))</f>
        <v/>
      </c>
      <c r="T1242" s="31">
        <f>IF(OR(N1242&lt;&gt;"OK",NOT(ISNUMBER(M1242))),"",M1242-S1242)</f>
        <v/>
      </c>
      <c r="U1242" s="49">
        <f>IF(OR(NOT(ISNUMBER(T1242)),IF(ISNUMBER(H1242),H1242,G1242)=0),"",T1242/IF(ISNUMBER(H1242),H1242,G1242))</f>
        <v/>
      </c>
      <c r="V1242" s="49">
        <f>IF(ISNUMBER(U1242),ABS(U1242),"")</f>
        <v/>
      </c>
      <c r="W1242" s="49">
        <f>IF(OR($E1241&lt;&gt;"측정",$C1241&lt;&gt;$C1242,$D1241&lt;&gt;$D1242,NOT(ISNUMBER(M1242)),NOT(ISNUMBER(M1241)),(IF(ISNUMBER(H1242),H1242,G1242)-IF(ISNUMBER(H1241),H1241,G1241))=0),"",(M1242-M1241)/(IF(ISNUMBER(H1242),H1242,G1242)-IF(ISNUMBER(H1241),H1241,G1241)))</f>
        <v/>
      </c>
      <c r="X1242" s="31">
        <f>IF(NOT(AND(ISNUMBER(O1242),ISNUMBER(Q1242))),"",(Q1242-O1242)*1440)</f>
        <v/>
      </c>
      <c r="Y1242" s="29" t="n"/>
      <c r="Z1242" s="29" t="n"/>
      <c r="AA1242" s="29" t="n"/>
      <c r="AB1242" s="32" t="n"/>
      <c r="AC1242" s="32" t="n"/>
    </row>
    <row r="1243">
      <c r="A1243" s="26" t="inlineStr">
        <is>
          <t>S24</t>
        </is>
      </c>
      <c r="B1243" s="26" t="inlineStr">
        <is>
          <t>회천 신규점2</t>
        </is>
      </c>
      <c r="C1243" s="26" t="inlineStr">
        <is>
          <t>S24-H북</t>
        </is>
      </c>
      <c r="D1243" s="47" t="n">
        <v>1</v>
      </c>
      <c r="E1243" s="26" t="inlineStr">
        <is>
          <t>측정</t>
        </is>
      </c>
      <c r="F1243" s="26" t="inlineStr">
        <is>
          <t>북</t>
        </is>
      </c>
      <c r="G1243" s="31" t="n">
        <v>1</v>
      </c>
      <c r="H1243" s="30" t="n"/>
      <c r="I1243" s="43" t="n"/>
      <c r="J1243" s="41" t="n"/>
      <c r="K1243" s="41" t="n"/>
      <c r="L1243" s="41" t="n"/>
      <c r="M1243" s="31">
        <f>IF(COUNT(J1243:L1243)=0,"",MEDIAN(J1243:L1243))</f>
        <v/>
      </c>
      <c r="N1243" s="26">
        <f>IF(COUNTIFS($C:$C,$C1243,$D:$D,$D1243,$E:$E,"P0(전)",$M:$M,"&gt;0")&lt;&gt;1,"P0(전) 유효 1개 아님",IF(COUNTIFS($C:$C,$C1243,$D:$D,$D1243,$E:$E,"P0(후)",$M:$M,"&gt;0")&lt;&gt;1,"P0(후) 유효 1개 아님",IF(NOT(AND(ISNUMBER(O1243),ISNUMBER(Q1243),ISNUMBER(I1243))),"시각 결측",IF(Q1243&lt;=O1243,"P0 시각 역전",IF(OR(I1243&lt;O1243,I1243&gt;Q1243),"측정시각 구간 밖","OK")))))</f>
        <v/>
      </c>
      <c r="O1243" s="48">
        <f>IF(COUNTIFS($C:$C,$C1243,$D:$D,$D1243,$E:$E,"P0(전)",$M:$M,"&gt;0")&lt;&gt;1,"",SUMIFS($I:$I,$C:$C,$C1243,$D:$D,$D1243,$E:$E,"P0(전)"))</f>
        <v/>
      </c>
      <c r="P1243" s="31">
        <f>IF(COUNTIFS($C:$C,$C1243,$D:$D,$D1243,$E:$E,"P0(전)",$M:$M,"&gt;0")&lt;&gt;1,"",SUMIFS($M:$M,$C:$C,$C1243,$D:$D,$D1243,$E:$E,"P0(전)"))</f>
        <v/>
      </c>
      <c r="Q1243" s="48">
        <f>IF(COUNTIFS($C:$C,$C1243,$D:$D,$D1243,$E:$E,"P0(후)",$M:$M,"&gt;0")&lt;&gt;1,"",SUMIFS($I:$I,$C:$C,$C1243,$D:$D,$D1243,$E:$E,"P0(후)"))</f>
        <v/>
      </c>
      <c r="R1243" s="31">
        <f>IF(COUNTIFS($C:$C,$C1243,$D:$D,$D1243,$E:$E,"P0(후)",$M:$M,"&gt;0")&lt;&gt;1,"",SUMIFS($M:$M,$C:$C,$C1243,$D:$D,$D1243,$E:$E,"P0(후)"))</f>
        <v/>
      </c>
      <c r="S1243" s="31">
        <f>IF(N1243&lt;&gt;"OK","",P1243+(R1243-P1243)*(I1243-O1243)/(Q1243-O1243))</f>
        <v/>
      </c>
      <c r="T1243" s="31">
        <f>IF(OR(N1243&lt;&gt;"OK",NOT(ISNUMBER(M1243))),"",M1243-S1243)</f>
        <v/>
      </c>
      <c r="U1243" s="49">
        <f>IF(OR(NOT(ISNUMBER(T1243)),IF(ISNUMBER(H1243),H1243,G1243)=0),"",T1243/IF(ISNUMBER(H1243),H1243,G1243))</f>
        <v/>
      </c>
      <c r="V1243" s="49">
        <f>IF(ISNUMBER(U1243),ABS(U1243),"")</f>
        <v/>
      </c>
      <c r="W1243" s="49">
        <f>IF(OR($E1242&lt;&gt;"측정",$C1242&lt;&gt;$C1243,$D1242&lt;&gt;$D1243,NOT(ISNUMBER(M1243)),NOT(ISNUMBER(M1242)),(IF(ISNUMBER(H1243),H1243,G1243)-IF(ISNUMBER(H1242),H1242,G1242))=0),"",(M1243-M1242)/(IF(ISNUMBER(H1243),H1243,G1243)-IF(ISNUMBER(H1242),H1242,G1242)))</f>
        <v/>
      </c>
      <c r="X1243" s="31">
        <f>IF(NOT(AND(ISNUMBER(O1243),ISNUMBER(Q1243))),"",(Q1243-O1243)*1440)</f>
        <v/>
      </c>
      <c r="Y1243" s="29" t="n"/>
      <c r="Z1243" s="29" t="n"/>
      <c r="AA1243" s="29" t="n"/>
      <c r="AB1243" s="32" t="n"/>
      <c r="AC1243" s="32" t="n"/>
    </row>
    <row r="1244">
      <c r="A1244" s="26" t="inlineStr">
        <is>
          <t>S24</t>
        </is>
      </c>
      <c r="B1244" s="26" t="inlineStr">
        <is>
          <t>회천 신규점2</t>
        </is>
      </c>
      <c r="C1244" s="26" t="inlineStr">
        <is>
          <t>S24-H북</t>
        </is>
      </c>
      <c r="D1244" s="47" t="n">
        <v>1</v>
      </c>
      <c r="E1244" s="26" t="inlineStr">
        <is>
          <t>측정</t>
        </is>
      </c>
      <c r="F1244" s="26" t="inlineStr">
        <is>
          <t>북</t>
        </is>
      </c>
      <c r="G1244" s="31" t="n">
        <v>2</v>
      </c>
      <c r="H1244" s="30" t="n"/>
      <c r="I1244" s="43" t="n"/>
      <c r="J1244" s="41" t="n"/>
      <c r="K1244" s="41" t="n"/>
      <c r="L1244" s="41" t="n"/>
      <c r="M1244" s="31">
        <f>IF(COUNT(J1244:L1244)=0,"",MEDIAN(J1244:L1244))</f>
        <v/>
      </c>
      <c r="N1244" s="26">
        <f>IF(COUNTIFS($C:$C,$C1244,$D:$D,$D1244,$E:$E,"P0(전)",$M:$M,"&gt;0")&lt;&gt;1,"P0(전) 유효 1개 아님",IF(COUNTIFS($C:$C,$C1244,$D:$D,$D1244,$E:$E,"P0(후)",$M:$M,"&gt;0")&lt;&gt;1,"P0(후) 유효 1개 아님",IF(NOT(AND(ISNUMBER(O1244),ISNUMBER(Q1244),ISNUMBER(I1244))),"시각 결측",IF(Q1244&lt;=O1244,"P0 시각 역전",IF(OR(I1244&lt;O1244,I1244&gt;Q1244),"측정시각 구간 밖","OK")))))</f>
        <v/>
      </c>
      <c r="O1244" s="48">
        <f>IF(COUNTIFS($C:$C,$C1244,$D:$D,$D1244,$E:$E,"P0(전)",$M:$M,"&gt;0")&lt;&gt;1,"",SUMIFS($I:$I,$C:$C,$C1244,$D:$D,$D1244,$E:$E,"P0(전)"))</f>
        <v/>
      </c>
      <c r="P1244" s="31">
        <f>IF(COUNTIFS($C:$C,$C1244,$D:$D,$D1244,$E:$E,"P0(전)",$M:$M,"&gt;0")&lt;&gt;1,"",SUMIFS($M:$M,$C:$C,$C1244,$D:$D,$D1244,$E:$E,"P0(전)"))</f>
        <v/>
      </c>
      <c r="Q1244" s="48">
        <f>IF(COUNTIFS($C:$C,$C1244,$D:$D,$D1244,$E:$E,"P0(후)",$M:$M,"&gt;0")&lt;&gt;1,"",SUMIFS($I:$I,$C:$C,$C1244,$D:$D,$D1244,$E:$E,"P0(후)"))</f>
        <v/>
      </c>
      <c r="R1244" s="31">
        <f>IF(COUNTIFS($C:$C,$C1244,$D:$D,$D1244,$E:$E,"P0(후)",$M:$M,"&gt;0")&lt;&gt;1,"",SUMIFS($M:$M,$C:$C,$C1244,$D:$D,$D1244,$E:$E,"P0(후)"))</f>
        <v/>
      </c>
      <c r="S1244" s="31">
        <f>IF(N1244&lt;&gt;"OK","",P1244+(R1244-P1244)*(I1244-O1244)/(Q1244-O1244))</f>
        <v/>
      </c>
      <c r="T1244" s="31">
        <f>IF(OR(N1244&lt;&gt;"OK",NOT(ISNUMBER(M1244))),"",M1244-S1244)</f>
        <v/>
      </c>
      <c r="U1244" s="49">
        <f>IF(OR(NOT(ISNUMBER(T1244)),IF(ISNUMBER(H1244),H1244,G1244)=0),"",T1244/IF(ISNUMBER(H1244),H1244,G1244))</f>
        <v/>
      </c>
      <c r="V1244" s="49">
        <f>IF(ISNUMBER(U1244),ABS(U1244),"")</f>
        <v/>
      </c>
      <c r="W1244" s="49">
        <f>IF(OR($E1243&lt;&gt;"측정",$C1243&lt;&gt;$C1244,$D1243&lt;&gt;$D1244,NOT(ISNUMBER(M1244)),NOT(ISNUMBER(M1243)),(IF(ISNUMBER(H1244),H1244,G1244)-IF(ISNUMBER(H1243),H1243,G1243))=0),"",(M1244-M1243)/(IF(ISNUMBER(H1244),H1244,G1244)-IF(ISNUMBER(H1243),H1243,G1243)))</f>
        <v/>
      </c>
      <c r="X1244" s="31">
        <f>IF(NOT(AND(ISNUMBER(O1244),ISNUMBER(Q1244))),"",(Q1244-O1244)*1440)</f>
        <v/>
      </c>
      <c r="Y1244" s="29" t="n"/>
      <c r="Z1244" s="29" t="n"/>
      <c r="AA1244" s="29" t="n"/>
      <c r="AB1244" s="32" t="n"/>
      <c r="AC1244" s="32" t="n"/>
    </row>
    <row r="1245">
      <c r="A1245" s="26" t="inlineStr">
        <is>
          <t>S24</t>
        </is>
      </c>
      <c r="B1245" s="26" t="inlineStr">
        <is>
          <t>회천 신규점2</t>
        </is>
      </c>
      <c r="C1245" s="26" t="inlineStr">
        <is>
          <t>S24-H북</t>
        </is>
      </c>
      <c r="D1245" s="47" t="n">
        <v>1</v>
      </c>
      <c r="E1245" s="26" t="inlineStr">
        <is>
          <t>측정</t>
        </is>
      </c>
      <c r="F1245" s="26" t="inlineStr">
        <is>
          <t>북</t>
        </is>
      </c>
      <c r="G1245" s="31" t="n">
        <v>3</v>
      </c>
      <c r="H1245" s="30" t="n"/>
      <c r="I1245" s="43" t="n"/>
      <c r="J1245" s="41" t="n"/>
      <c r="K1245" s="41" t="n"/>
      <c r="L1245" s="41" t="n"/>
      <c r="M1245" s="31">
        <f>IF(COUNT(J1245:L1245)=0,"",MEDIAN(J1245:L1245))</f>
        <v/>
      </c>
      <c r="N1245" s="26">
        <f>IF(COUNTIFS($C:$C,$C1245,$D:$D,$D1245,$E:$E,"P0(전)",$M:$M,"&gt;0")&lt;&gt;1,"P0(전) 유효 1개 아님",IF(COUNTIFS($C:$C,$C1245,$D:$D,$D1245,$E:$E,"P0(후)",$M:$M,"&gt;0")&lt;&gt;1,"P0(후) 유효 1개 아님",IF(NOT(AND(ISNUMBER(O1245),ISNUMBER(Q1245),ISNUMBER(I1245))),"시각 결측",IF(Q1245&lt;=O1245,"P0 시각 역전",IF(OR(I1245&lt;O1245,I1245&gt;Q1245),"측정시각 구간 밖","OK")))))</f>
        <v/>
      </c>
      <c r="O1245" s="48">
        <f>IF(COUNTIFS($C:$C,$C1245,$D:$D,$D1245,$E:$E,"P0(전)",$M:$M,"&gt;0")&lt;&gt;1,"",SUMIFS($I:$I,$C:$C,$C1245,$D:$D,$D1245,$E:$E,"P0(전)"))</f>
        <v/>
      </c>
      <c r="P1245" s="31">
        <f>IF(COUNTIFS($C:$C,$C1245,$D:$D,$D1245,$E:$E,"P0(전)",$M:$M,"&gt;0")&lt;&gt;1,"",SUMIFS($M:$M,$C:$C,$C1245,$D:$D,$D1245,$E:$E,"P0(전)"))</f>
        <v/>
      </c>
      <c r="Q1245" s="48">
        <f>IF(COUNTIFS($C:$C,$C1245,$D:$D,$D1245,$E:$E,"P0(후)",$M:$M,"&gt;0")&lt;&gt;1,"",SUMIFS($I:$I,$C:$C,$C1245,$D:$D,$D1245,$E:$E,"P0(후)"))</f>
        <v/>
      </c>
      <c r="R1245" s="31">
        <f>IF(COUNTIFS($C:$C,$C1245,$D:$D,$D1245,$E:$E,"P0(후)",$M:$M,"&gt;0")&lt;&gt;1,"",SUMIFS($M:$M,$C:$C,$C1245,$D:$D,$D1245,$E:$E,"P0(후)"))</f>
        <v/>
      </c>
      <c r="S1245" s="31">
        <f>IF(N1245&lt;&gt;"OK","",P1245+(R1245-P1245)*(I1245-O1245)/(Q1245-O1245))</f>
        <v/>
      </c>
      <c r="T1245" s="31">
        <f>IF(OR(N1245&lt;&gt;"OK",NOT(ISNUMBER(M1245))),"",M1245-S1245)</f>
        <v/>
      </c>
      <c r="U1245" s="49">
        <f>IF(OR(NOT(ISNUMBER(T1245)),IF(ISNUMBER(H1245),H1245,G1245)=0),"",T1245/IF(ISNUMBER(H1245),H1245,G1245))</f>
        <v/>
      </c>
      <c r="V1245" s="49">
        <f>IF(ISNUMBER(U1245),ABS(U1245),"")</f>
        <v/>
      </c>
      <c r="W1245" s="49">
        <f>IF(OR($E1244&lt;&gt;"측정",$C1244&lt;&gt;$C1245,$D1244&lt;&gt;$D1245,NOT(ISNUMBER(M1245)),NOT(ISNUMBER(M1244)),(IF(ISNUMBER(H1245),H1245,G1245)-IF(ISNUMBER(H1244),H1244,G1244))=0),"",(M1245-M1244)/(IF(ISNUMBER(H1245),H1245,G1245)-IF(ISNUMBER(H1244),H1244,G1244)))</f>
        <v/>
      </c>
      <c r="X1245" s="31">
        <f>IF(NOT(AND(ISNUMBER(O1245),ISNUMBER(Q1245))),"",(Q1245-O1245)*1440)</f>
        <v/>
      </c>
      <c r="Y1245" s="29" t="n"/>
      <c r="Z1245" s="29" t="n"/>
      <c r="AA1245" s="29" t="n"/>
      <c r="AB1245" s="32" t="n"/>
      <c r="AC1245" s="32" t="n"/>
    </row>
    <row r="1246">
      <c r="A1246" s="26" t="inlineStr">
        <is>
          <t>S24</t>
        </is>
      </c>
      <c r="B1246" s="26" t="inlineStr">
        <is>
          <t>회천 신규점2</t>
        </is>
      </c>
      <c r="C1246" s="26" t="inlineStr">
        <is>
          <t>S24-H북</t>
        </is>
      </c>
      <c r="D1246" s="47" t="n">
        <v>1</v>
      </c>
      <c r="E1246" s="26" t="inlineStr">
        <is>
          <t>측정</t>
        </is>
      </c>
      <c r="F1246" s="26" t="inlineStr">
        <is>
          <t>북</t>
        </is>
      </c>
      <c r="G1246" s="31" t="n">
        <v>4</v>
      </c>
      <c r="H1246" s="30" t="n"/>
      <c r="I1246" s="43" t="n"/>
      <c r="J1246" s="41" t="n"/>
      <c r="K1246" s="41" t="n"/>
      <c r="L1246" s="41" t="n"/>
      <c r="M1246" s="31">
        <f>IF(COUNT(J1246:L1246)=0,"",MEDIAN(J1246:L1246))</f>
        <v/>
      </c>
      <c r="N1246" s="26">
        <f>IF(COUNTIFS($C:$C,$C1246,$D:$D,$D1246,$E:$E,"P0(전)",$M:$M,"&gt;0")&lt;&gt;1,"P0(전) 유효 1개 아님",IF(COUNTIFS($C:$C,$C1246,$D:$D,$D1246,$E:$E,"P0(후)",$M:$M,"&gt;0")&lt;&gt;1,"P0(후) 유효 1개 아님",IF(NOT(AND(ISNUMBER(O1246),ISNUMBER(Q1246),ISNUMBER(I1246))),"시각 결측",IF(Q1246&lt;=O1246,"P0 시각 역전",IF(OR(I1246&lt;O1246,I1246&gt;Q1246),"측정시각 구간 밖","OK")))))</f>
        <v/>
      </c>
      <c r="O1246" s="48">
        <f>IF(COUNTIFS($C:$C,$C1246,$D:$D,$D1246,$E:$E,"P0(전)",$M:$M,"&gt;0")&lt;&gt;1,"",SUMIFS($I:$I,$C:$C,$C1246,$D:$D,$D1246,$E:$E,"P0(전)"))</f>
        <v/>
      </c>
      <c r="P1246" s="31">
        <f>IF(COUNTIFS($C:$C,$C1246,$D:$D,$D1246,$E:$E,"P0(전)",$M:$M,"&gt;0")&lt;&gt;1,"",SUMIFS($M:$M,$C:$C,$C1246,$D:$D,$D1246,$E:$E,"P0(전)"))</f>
        <v/>
      </c>
      <c r="Q1246" s="48">
        <f>IF(COUNTIFS($C:$C,$C1246,$D:$D,$D1246,$E:$E,"P0(후)",$M:$M,"&gt;0")&lt;&gt;1,"",SUMIFS($I:$I,$C:$C,$C1246,$D:$D,$D1246,$E:$E,"P0(후)"))</f>
        <v/>
      </c>
      <c r="R1246" s="31">
        <f>IF(COUNTIFS($C:$C,$C1246,$D:$D,$D1246,$E:$E,"P0(후)",$M:$M,"&gt;0")&lt;&gt;1,"",SUMIFS($M:$M,$C:$C,$C1246,$D:$D,$D1246,$E:$E,"P0(후)"))</f>
        <v/>
      </c>
      <c r="S1246" s="31">
        <f>IF(N1246&lt;&gt;"OK","",P1246+(R1246-P1246)*(I1246-O1246)/(Q1246-O1246))</f>
        <v/>
      </c>
      <c r="T1246" s="31">
        <f>IF(OR(N1246&lt;&gt;"OK",NOT(ISNUMBER(M1246))),"",M1246-S1246)</f>
        <v/>
      </c>
      <c r="U1246" s="49">
        <f>IF(OR(NOT(ISNUMBER(T1246)),IF(ISNUMBER(H1246),H1246,G1246)=0),"",T1246/IF(ISNUMBER(H1246),H1246,G1246))</f>
        <v/>
      </c>
      <c r="V1246" s="49">
        <f>IF(ISNUMBER(U1246),ABS(U1246),"")</f>
        <v/>
      </c>
      <c r="W1246" s="49">
        <f>IF(OR($E1245&lt;&gt;"측정",$C1245&lt;&gt;$C1246,$D1245&lt;&gt;$D1246,NOT(ISNUMBER(M1246)),NOT(ISNUMBER(M1245)),(IF(ISNUMBER(H1246),H1246,G1246)-IF(ISNUMBER(H1245),H1245,G1245))=0),"",(M1246-M1245)/(IF(ISNUMBER(H1246),H1246,G1246)-IF(ISNUMBER(H1245),H1245,G1245)))</f>
        <v/>
      </c>
      <c r="X1246" s="31">
        <f>IF(NOT(AND(ISNUMBER(O1246),ISNUMBER(Q1246))),"",(Q1246-O1246)*1440)</f>
        <v/>
      </c>
      <c r="Y1246" s="29" t="n"/>
      <c r="Z1246" s="29" t="n"/>
      <c r="AA1246" s="29" t="n"/>
      <c r="AB1246" s="32" t="n"/>
      <c r="AC1246" s="32" t="n"/>
    </row>
    <row r="1247">
      <c r="A1247" s="26" t="inlineStr">
        <is>
          <t>S24</t>
        </is>
      </c>
      <c r="B1247" s="26" t="inlineStr">
        <is>
          <t>회천 신규점2</t>
        </is>
      </c>
      <c r="C1247" s="26" t="inlineStr">
        <is>
          <t>S24-H북</t>
        </is>
      </c>
      <c r="D1247" s="47" t="n">
        <v>1</v>
      </c>
      <c r="E1247" s="26" t="inlineStr">
        <is>
          <t>측정</t>
        </is>
      </c>
      <c r="F1247" s="26" t="inlineStr">
        <is>
          <t>북</t>
        </is>
      </c>
      <c r="G1247" s="31" t="n">
        <v>5</v>
      </c>
      <c r="H1247" s="30" t="n"/>
      <c r="I1247" s="43" t="n"/>
      <c r="J1247" s="41" t="n"/>
      <c r="K1247" s="41" t="n"/>
      <c r="L1247" s="41" t="n"/>
      <c r="M1247" s="31">
        <f>IF(COUNT(J1247:L1247)=0,"",MEDIAN(J1247:L1247))</f>
        <v/>
      </c>
      <c r="N1247" s="26">
        <f>IF(COUNTIFS($C:$C,$C1247,$D:$D,$D1247,$E:$E,"P0(전)",$M:$M,"&gt;0")&lt;&gt;1,"P0(전) 유효 1개 아님",IF(COUNTIFS($C:$C,$C1247,$D:$D,$D1247,$E:$E,"P0(후)",$M:$M,"&gt;0")&lt;&gt;1,"P0(후) 유효 1개 아님",IF(NOT(AND(ISNUMBER(O1247),ISNUMBER(Q1247),ISNUMBER(I1247))),"시각 결측",IF(Q1247&lt;=O1247,"P0 시각 역전",IF(OR(I1247&lt;O1247,I1247&gt;Q1247),"측정시각 구간 밖","OK")))))</f>
        <v/>
      </c>
      <c r="O1247" s="48">
        <f>IF(COUNTIFS($C:$C,$C1247,$D:$D,$D1247,$E:$E,"P0(전)",$M:$M,"&gt;0")&lt;&gt;1,"",SUMIFS($I:$I,$C:$C,$C1247,$D:$D,$D1247,$E:$E,"P0(전)"))</f>
        <v/>
      </c>
      <c r="P1247" s="31">
        <f>IF(COUNTIFS($C:$C,$C1247,$D:$D,$D1247,$E:$E,"P0(전)",$M:$M,"&gt;0")&lt;&gt;1,"",SUMIFS($M:$M,$C:$C,$C1247,$D:$D,$D1247,$E:$E,"P0(전)"))</f>
        <v/>
      </c>
      <c r="Q1247" s="48">
        <f>IF(COUNTIFS($C:$C,$C1247,$D:$D,$D1247,$E:$E,"P0(후)",$M:$M,"&gt;0")&lt;&gt;1,"",SUMIFS($I:$I,$C:$C,$C1247,$D:$D,$D1247,$E:$E,"P0(후)"))</f>
        <v/>
      </c>
      <c r="R1247" s="31">
        <f>IF(COUNTIFS($C:$C,$C1247,$D:$D,$D1247,$E:$E,"P0(후)",$M:$M,"&gt;0")&lt;&gt;1,"",SUMIFS($M:$M,$C:$C,$C1247,$D:$D,$D1247,$E:$E,"P0(후)"))</f>
        <v/>
      </c>
      <c r="S1247" s="31">
        <f>IF(N1247&lt;&gt;"OK","",P1247+(R1247-P1247)*(I1247-O1247)/(Q1247-O1247))</f>
        <v/>
      </c>
      <c r="T1247" s="31">
        <f>IF(OR(N1247&lt;&gt;"OK",NOT(ISNUMBER(M1247))),"",M1247-S1247)</f>
        <v/>
      </c>
      <c r="U1247" s="49">
        <f>IF(OR(NOT(ISNUMBER(T1247)),IF(ISNUMBER(H1247),H1247,G1247)=0),"",T1247/IF(ISNUMBER(H1247),H1247,G1247))</f>
        <v/>
      </c>
      <c r="V1247" s="49">
        <f>IF(ISNUMBER(U1247),ABS(U1247),"")</f>
        <v/>
      </c>
      <c r="W1247" s="49">
        <f>IF(OR($E1246&lt;&gt;"측정",$C1246&lt;&gt;$C1247,$D1246&lt;&gt;$D1247,NOT(ISNUMBER(M1247)),NOT(ISNUMBER(M1246)),(IF(ISNUMBER(H1247),H1247,G1247)-IF(ISNUMBER(H1246),H1246,G1246))=0),"",(M1247-M1246)/(IF(ISNUMBER(H1247),H1247,G1247)-IF(ISNUMBER(H1246),H1246,G1246)))</f>
        <v/>
      </c>
      <c r="X1247" s="31">
        <f>IF(NOT(AND(ISNUMBER(O1247),ISNUMBER(Q1247))),"",(Q1247-O1247)*1440)</f>
        <v/>
      </c>
      <c r="Y1247" s="29" t="n"/>
      <c r="Z1247" s="29" t="n"/>
      <c r="AA1247" s="29" t="n"/>
      <c r="AB1247" s="32" t="n"/>
      <c r="AC1247" s="32" t="n"/>
    </row>
    <row r="1248">
      <c r="A1248" s="26" t="inlineStr">
        <is>
          <t>S24</t>
        </is>
      </c>
      <c r="B1248" s="26" t="inlineStr">
        <is>
          <t>회천 신규점2</t>
        </is>
      </c>
      <c r="C1248" s="26" t="inlineStr">
        <is>
          <t>S24-H북</t>
        </is>
      </c>
      <c r="D1248" s="47" t="n">
        <v>1</v>
      </c>
      <c r="E1248" s="26" t="inlineStr">
        <is>
          <t>측정</t>
        </is>
      </c>
      <c r="F1248" s="26" t="inlineStr">
        <is>
          <t>북</t>
        </is>
      </c>
      <c r="G1248" s="31" t="n">
        <v>6</v>
      </c>
      <c r="H1248" s="30" t="n"/>
      <c r="I1248" s="43" t="n"/>
      <c r="J1248" s="41" t="n"/>
      <c r="K1248" s="41" t="n"/>
      <c r="L1248" s="41" t="n"/>
      <c r="M1248" s="31">
        <f>IF(COUNT(J1248:L1248)=0,"",MEDIAN(J1248:L1248))</f>
        <v/>
      </c>
      <c r="N1248" s="26">
        <f>IF(COUNTIFS($C:$C,$C1248,$D:$D,$D1248,$E:$E,"P0(전)",$M:$M,"&gt;0")&lt;&gt;1,"P0(전) 유효 1개 아님",IF(COUNTIFS($C:$C,$C1248,$D:$D,$D1248,$E:$E,"P0(후)",$M:$M,"&gt;0")&lt;&gt;1,"P0(후) 유효 1개 아님",IF(NOT(AND(ISNUMBER(O1248),ISNUMBER(Q1248),ISNUMBER(I1248))),"시각 결측",IF(Q1248&lt;=O1248,"P0 시각 역전",IF(OR(I1248&lt;O1248,I1248&gt;Q1248),"측정시각 구간 밖","OK")))))</f>
        <v/>
      </c>
      <c r="O1248" s="48">
        <f>IF(COUNTIFS($C:$C,$C1248,$D:$D,$D1248,$E:$E,"P0(전)",$M:$M,"&gt;0")&lt;&gt;1,"",SUMIFS($I:$I,$C:$C,$C1248,$D:$D,$D1248,$E:$E,"P0(전)"))</f>
        <v/>
      </c>
      <c r="P1248" s="31">
        <f>IF(COUNTIFS($C:$C,$C1248,$D:$D,$D1248,$E:$E,"P0(전)",$M:$M,"&gt;0")&lt;&gt;1,"",SUMIFS($M:$M,$C:$C,$C1248,$D:$D,$D1248,$E:$E,"P0(전)"))</f>
        <v/>
      </c>
      <c r="Q1248" s="48">
        <f>IF(COUNTIFS($C:$C,$C1248,$D:$D,$D1248,$E:$E,"P0(후)",$M:$M,"&gt;0")&lt;&gt;1,"",SUMIFS($I:$I,$C:$C,$C1248,$D:$D,$D1248,$E:$E,"P0(후)"))</f>
        <v/>
      </c>
      <c r="R1248" s="31">
        <f>IF(COUNTIFS($C:$C,$C1248,$D:$D,$D1248,$E:$E,"P0(후)",$M:$M,"&gt;0")&lt;&gt;1,"",SUMIFS($M:$M,$C:$C,$C1248,$D:$D,$D1248,$E:$E,"P0(후)"))</f>
        <v/>
      </c>
      <c r="S1248" s="31">
        <f>IF(N1248&lt;&gt;"OK","",P1248+(R1248-P1248)*(I1248-O1248)/(Q1248-O1248))</f>
        <v/>
      </c>
      <c r="T1248" s="31">
        <f>IF(OR(N1248&lt;&gt;"OK",NOT(ISNUMBER(M1248))),"",M1248-S1248)</f>
        <v/>
      </c>
      <c r="U1248" s="49">
        <f>IF(OR(NOT(ISNUMBER(T1248)),IF(ISNUMBER(H1248),H1248,G1248)=0),"",T1248/IF(ISNUMBER(H1248),H1248,G1248))</f>
        <v/>
      </c>
      <c r="V1248" s="49">
        <f>IF(ISNUMBER(U1248),ABS(U1248),"")</f>
        <v/>
      </c>
      <c r="W1248" s="49">
        <f>IF(OR($E1247&lt;&gt;"측정",$C1247&lt;&gt;$C1248,$D1247&lt;&gt;$D1248,NOT(ISNUMBER(M1248)),NOT(ISNUMBER(M1247)),(IF(ISNUMBER(H1248),H1248,G1248)-IF(ISNUMBER(H1247),H1247,G1247))=0),"",(M1248-M1247)/(IF(ISNUMBER(H1248),H1248,G1248)-IF(ISNUMBER(H1247),H1247,G1247)))</f>
        <v/>
      </c>
      <c r="X1248" s="31">
        <f>IF(NOT(AND(ISNUMBER(O1248),ISNUMBER(Q1248))),"",(Q1248-O1248)*1440)</f>
        <v/>
      </c>
      <c r="Y1248" s="29" t="n"/>
      <c r="Z1248" s="29" t="n"/>
      <c r="AA1248" s="29" t="n"/>
      <c r="AB1248" s="32" t="n"/>
      <c r="AC1248" s="32" t="n"/>
    </row>
    <row r="1249">
      <c r="A1249" s="26" t="inlineStr">
        <is>
          <t>S24</t>
        </is>
      </c>
      <c r="B1249" s="26" t="inlineStr">
        <is>
          <t>회천 신규점2</t>
        </is>
      </c>
      <c r="C1249" s="26" t="inlineStr">
        <is>
          <t>S24-H북</t>
        </is>
      </c>
      <c r="D1249" s="47" t="n">
        <v>1</v>
      </c>
      <c r="E1249" s="26" t="inlineStr">
        <is>
          <t>측정</t>
        </is>
      </c>
      <c r="F1249" s="26" t="inlineStr">
        <is>
          <t>북</t>
        </is>
      </c>
      <c r="G1249" s="31" t="n">
        <v>7</v>
      </c>
      <c r="H1249" s="30" t="n"/>
      <c r="I1249" s="43" t="n"/>
      <c r="J1249" s="41" t="n"/>
      <c r="K1249" s="41" t="n"/>
      <c r="L1249" s="41" t="n"/>
      <c r="M1249" s="31">
        <f>IF(COUNT(J1249:L1249)=0,"",MEDIAN(J1249:L1249))</f>
        <v/>
      </c>
      <c r="N1249" s="26">
        <f>IF(COUNTIFS($C:$C,$C1249,$D:$D,$D1249,$E:$E,"P0(전)",$M:$M,"&gt;0")&lt;&gt;1,"P0(전) 유효 1개 아님",IF(COUNTIFS($C:$C,$C1249,$D:$D,$D1249,$E:$E,"P0(후)",$M:$M,"&gt;0")&lt;&gt;1,"P0(후) 유효 1개 아님",IF(NOT(AND(ISNUMBER(O1249),ISNUMBER(Q1249),ISNUMBER(I1249))),"시각 결측",IF(Q1249&lt;=O1249,"P0 시각 역전",IF(OR(I1249&lt;O1249,I1249&gt;Q1249),"측정시각 구간 밖","OK")))))</f>
        <v/>
      </c>
      <c r="O1249" s="48">
        <f>IF(COUNTIFS($C:$C,$C1249,$D:$D,$D1249,$E:$E,"P0(전)",$M:$M,"&gt;0")&lt;&gt;1,"",SUMIFS($I:$I,$C:$C,$C1249,$D:$D,$D1249,$E:$E,"P0(전)"))</f>
        <v/>
      </c>
      <c r="P1249" s="31">
        <f>IF(COUNTIFS($C:$C,$C1249,$D:$D,$D1249,$E:$E,"P0(전)",$M:$M,"&gt;0")&lt;&gt;1,"",SUMIFS($M:$M,$C:$C,$C1249,$D:$D,$D1249,$E:$E,"P0(전)"))</f>
        <v/>
      </c>
      <c r="Q1249" s="48">
        <f>IF(COUNTIFS($C:$C,$C1249,$D:$D,$D1249,$E:$E,"P0(후)",$M:$M,"&gt;0")&lt;&gt;1,"",SUMIFS($I:$I,$C:$C,$C1249,$D:$D,$D1249,$E:$E,"P0(후)"))</f>
        <v/>
      </c>
      <c r="R1249" s="31">
        <f>IF(COUNTIFS($C:$C,$C1249,$D:$D,$D1249,$E:$E,"P0(후)",$M:$M,"&gt;0")&lt;&gt;1,"",SUMIFS($M:$M,$C:$C,$C1249,$D:$D,$D1249,$E:$E,"P0(후)"))</f>
        <v/>
      </c>
      <c r="S1249" s="31">
        <f>IF(N1249&lt;&gt;"OK","",P1249+(R1249-P1249)*(I1249-O1249)/(Q1249-O1249))</f>
        <v/>
      </c>
      <c r="T1249" s="31">
        <f>IF(OR(N1249&lt;&gt;"OK",NOT(ISNUMBER(M1249))),"",M1249-S1249)</f>
        <v/>
      </c>
      <c r="U1249" s="49">
        <f>IF(OR(NOT(ISNUMBER(T1249)),IF(ISNUMBER(H1249),H1249,G1249)=0),"",T1249/IF(ISNUMBER(H1249),H1249,G1249))</f>
        <v/>
      </c>
      <c r="V1249" s="49">
        <f>IF(ISNUMBER(U1249),ABS(U1249),"")</f>
        <v/>
      </c>
      <c r="W1249" s="49">
        <f>IF(OR($E1248&lt;&gt;"측정",$C1248&lt;&gt;$C1249,$D1248&lt;&gt;$D1249,NOT(ISNUMBER(M1249)),NOT(ISNUMBER(M1248)),(IF(ISNUMBER(H1249),H1249,G1249)-IF(ISNUMBER(H1248),H1248,G1248))=0),"",(M1249-M1248)/(IF(ISNUMBER(H1249),H1249,G1249)-IF(ISNUMBER(H1248),H1248,G1248)))</f>
        <v/>
      </c>
      <c r="X1249" s="31">
        <f>IF(NOT(AND(ISNUMBER(O1249),ISNUMBER(Q1249))),"",(Q1249-O1249)*1440)</f>
        <v/>
      </c>
      <c r="Y1249" s="29" t="n"/>
      <c r="Z1249" s="29" t="n"/>
      <c r="AA1249" s="29" t="n"/>
      <c r="AB1249" s="32" t="n"/>
      <c r="AC1249" s="32" t="n"/>
    </row>
    <row r="1250">
      <c r="A1250" s="26" t="inlineStr">
        <is>
          <t>S24</t>
        </is>
      </c>
      <c r="B1250" s="26" t="inlineStr">
        <is>
          <t>회천 신규점2</t>
        </is>
      </c>
      <c r="C1250" s="26" t="inlineStr">
        <is>
          <t>S24-H북</t>
        </is>
      </c>
      <c r="D1250" s="47" t="n">
        <v>1</v>
      </c>
      <c r="E1250" s="26" t="inlineStr">
        <is>
          <t>측정</t>
        </is>
      </c>
      <c r="F1250" s="26" t="inlineStr">
        <is>
          <t>북</t>
        </is>
      </c>
      <c r="G1250" s="31" t="n">
        <v>8</v>
      </c>
      <c r="H1250" s="30" t="n"/>
      <c r="I1250" s="43" t="n"/>
      <c r="J1250" s="41" t="n"/>
      <c r="K1250" s="41" t="n"/>
      <c r="L1250" s="41" t="n"/>
      <c r="M1250" s="31">
        <f>IF(COUNT(J1250:L1250)=0,"",MEDIAN(J1250:L1250))</f>
        <v/>
      </c>
      <c r="N1250" s="26">
        <f>IF(COUNTIFS($C:$C,$C1250,$D:$D,$D1250,$E:$E,"P0(전)",$M:$M,"&gt;0")&lt;&gt;1,"P0(전) 유효 1개 아님",IF(COUNTIFS($C:$C,$C1250,$D:$D,$D1250,$E:$E,"P0(후)",$M:$M,"&gt;0")&lt;&gt;1,"P0(후) 유효 1개 아님",IF(NOT(AND(ISNUMBER(O1250),ISNUMBER(Q1250),ISNUMBER(I1250))),"시각 결측",IF(Q1250&lt;=O1250,"P0 시각 역전",IF(OR(I1250&lt;O1250,I1250&gt;Q1250),"측정시각 구간 밖","OK")))))</f>
        <v/>
      </c>
      <c r="O1250" s="48">
        <f>IF(COUNTIFS($C:$C,$C1250,$D:$D,$D1250,$E:$E,"P0(전)",$M:$M,"&gt;0")&lt;&gt;1,"",SUMIFS($I:$I,$C:$C,$C1250,$D:$D,$D1250,$E:$E,"P0(전)"))</f>
        <v/>
      </c>
      <c r="P1250" s="31">
        <f>IF(COUNTIFS($C:$C,$C1250,$D:$D,$D1250,$E:$E,"P0(전)",$M:$M,"&gt;0")&lt;&gt;1,"",SUMIFS($M:$M,$C:$C,$C1250,$D:$D,$D1250,$E:$E,"P0(전)"))</f>
        <v/>
      </c>
      <c r="Q1250" s="48">
        <f>IF(COUNTIFS($C:$C,$C1250,$D:$D,$D1250,$E:$E,"P0(후)",$M:$M,"&gt;0")&lt;&gt;1,"",SUMIFS($I:$I,$C:$C,$C1250,$D:$D,$D1250,$E:$E,"P0(후)"))</f>
        <v/>
      </c>
      <c r="R1250" s="31">
        <f>IF(COUNTIFS($C:$C,$C1250,$D:$D,$D1250,$E:$E,"P0(후)",$M:$M,"&gt;0")&lt;&gt;1,"",SUMIFS($M:$M,$C:$C,$C1250,$D:$D,$D1250,$E:$E,"P0(후)"))</f>
        <v/>
      </c>
      <c r="S1250" s="31">
        <f>IF(N1250&lt;&gt;"OK","",P1250+(R1250-P1250)*(I1250-O1250)/(Q1250-O1250))</f>
        <v/>
      </c>
      <c r="T1250" s="31">
        <f>IF(OR(N1250&lt;&gt;"OK",NOT(ISNUMBER(M1250))),"",M1250-S1250)</f>
        <v/>
      </c>
      <c r="U1250" s="49">
        <f>IF(OR(NOT(ISNUMBER(T1250)),IF(ISNUMBER(H1250),H1250,G1250)=0),"",T1250/IF(ISNUMBER(H1250),H1250,G1250))</f>
        <v/>
      </c>
      <c r="V1250" s="49">
        <f>IF(ISNUMBER(U1250),ABS(U1250),"")</f>
        <v/>
      </c>
      <c r="W1250" s="49">
        <f>IF(OR($E1249&lt;&gt;"측정",$C1249&lt;&gt;$C1250,$D1249&lt;&gt;$D1250,NOT(ISNUMBER(M1250)),NOT(ISNUMBER(M1249)),(IF(ISNUMBER(H1250),H1250,G1250)-IF(ISNUMBER(H1249),H1249,G1249))=0),"",(M1250-M1249)/(IF(ISNUMBER(H1250),H1250,G1250)-IF(ISNUMBER(H1249),H1249,G1249)))</f>
        <v/>
      </c>
      <c r="X1250" s="31">
        <f>IF(NOT(AND(ISNUMBER(O1250),ISNUMBER(Q1250))),"",(Q1250-O1250)*1440)</f>
        <v/>
      </c>
      <c r="Y1250" s="29" t="n"/>
      <c r="Z1250" s="29" t="n"/>
      <c r="AA1250" s="29" t="n"/>
      <c r="AB1250" s="32" t="n"/>
      <c r="AC1250" s="32" t="n"/>
    </row>
    <row r="1251">
      <c r="A1251" s="26" t="inlineStr">
        <is>
          <t>S24</t>
        </is>
      </c>
      <c r="B1251" s="26" t="inlineStr">
        <is>
          <t>회천 신규점2</t>
        </is>
      </c>
      <c r="C1251" s="26" t="inlineStr">
        <is>
          <t>S24-H북</t>
        </is>
      </c>
      <c r="D1251" s="47" t="n">
        <v>1</v>
      </c>
      <c r="E1251" s="26" t="inlineStr">
        <is>
          <t>측정</t>
        </is>
      </c>
      <c r="F1251" s="26" t="inlineStr">
        <is>
          <t>북</t>
        </is>
      </c>
      <c r="G1251" s="31" t="n">
        <v>9</v>
      </c>
      <c r="H1251" s="30" t="n"/>
      <c r="I1251" s="43" t="n"/>
      <c r="J1251" s="41" t="n"/>
      <c r="K1251" s="41" t="n"/>
      <c r="L1251" s="41" t="n"/>
      <c r="M1251" s="31">
        <f>IF(COUNT(J1251:L1251)=0,"",MEDIAN(J1251:L1251))</f>
        <v/>
      </c>
      <c r="N1251" s="26">
        <f>IF(COUNTIFS($C:$C,$C1251,$D:$D,$D1251,$E:$E,"P0(전)",$M:$M,"&gt;0")&lt;&gt;1,"P0(전) 유효 1개 아님",IF(COUNTIFS($C:$C,$C1251,$D:$D,$D1251,$E:$E,"P0(후)",$M:$M,"&gt;0")&lt;&gt;1,"P0(후) 유효 1개 아님",IF(NOT(AND(ISNUMBER(O1251),ISNUMBER(Q1251),ISNUMBER(I1251))),"시각 결측",IF(Q1251&lt;=O1251,"P0 시각 역전",IF(OR(I1251&lt;O1251,I1251&gt;Q1251),"측정시각 구간 밖","OK")))))</f>
        <v/>
      </c>
      <c r="O1251" s="48">
        <f>IF(COUNTIFS($C:$C,$C1251,$D:$D,$D1251,$E:$E,"P0(전)",$M:$M,"&gt;0")&lt;&gt;1,"",SUMIFS($I:$I,$C:$C,$C1251,$D:$D,$D1251,$E:$E,"P0(전)"))</f>
        <v/>
      </c>
      <c r="P1251" s="31">
        <f>IF(COUNTIFS($C:$C,$C1251,$D:$D,$D1251,$E:$E,"P0(전)",$M:$M,"&gt;0")&lt;&gt;1,"",SUMIFS($M:$M,$C:$C,$C1251,$D:$D,$D1251,$E:$E,"P0(전)"))</f>
        <v/>
      </c>
      <c r="Q1251" s="48">
        <f>IF(COUNTIFS($C:$C,$C1251,$D:$D,$D1251,$E:$E,"P0(후)",$M:$M,"&gt;0")&lt;&gt;1,"",SUMIFS($I:$I,$C:$C,$C1251,$D:$D,$D1251,$E:$E,"P0(후)"))</f>
        <v/>
      </c>
      <c r="R1251" s="31">
        <f>IF(COUNTIFS($C:$C,$C1251,$D:$D,$D1251,$E:$E,"P0(후)",$M:$M,"&gt;0")&lt;&gt;1,"",SUMIFS($M:$M,$C:$C,$C1251,$D:$D,$D1251,$E:$E,"P0(후)"))</f>
        <v/>
      </c>
      <c r="S1251" s="31">
        <f>IF(N1251&lt;&gt;"OK","",P1251+(R1251-P1251)*(I1251-O1251)/(Q1251-O1251))</f>
        <v/>
      </c>
      <c r="T1251" s="31">
        <f>IF(OR(N1251&lt;&gt;"OK",NOT(ISNUMBER(M1251))),"",M1251-S1251)</f>
        <v/>
      </c>
      <c r="U1251" s="49">
        <f>IF(OR(NOT(ISNUMBER(T1251)),IF(ISNUMBER(H1251),H1251,G1251)=0),"",T1251/IF(ISNUMBER(H1251),H1251,G1251))</f>
        <v/>
      </c>
      <c r="V1251" s="49">
        <f>IF(ISNUMBER(U1251),ABS(U1251),"")</f>
        <v/>
      </c>
      <c r="W1251" s="49">
        <f>IF(OR($E1250&lt;&gt;"측정",$C1250&lt;&gt;$C1251,$D1250&lt;&gt;$D1251,NOT(ISNUMBER(M1251)),NOT(ISNUMBER(M1250)),(IF(ISNUMBER(H1251),H1251,G1251)-IF(ISNUMBER(H1250),H1250,G1250))=0),"",(M1251-M1250)/(IF(ISNUMBER(H1251),H1251,G1251)-IF(ISNUMBER(H1250),H1250,G1250)))</f>
        <v/>
      </c>
      <c r="X1251" s="31">
        <f>IF(NOT(AND(ISNUMBER(O1251),ISNUMBER(Q1251))),"",(Q1251-O1251)*1440)</f>
        <v/>
      </c>
      <c r="Y1251" s="29" t="n"/>
      <c r="Z1251" s="29" t="n"/>
      <c r="AA1251" s="29" t="n"/>
      <c r="AB1251" s="32" t="n"/>
      <c r="AC1251" s="32" t="n"/>
    </row>
    <row r="1252">
      <c r="A1252" s="26" t="inlineStr">
        <is>
          <t>S24</t>
        </is>
      </c>
      <c r="B1252" s="26" t="inlineStr">
        <is>
          <t>회천 신규점2</t>
        </is>
      </c>
      <c r="C1252" s="26" t="inlineStr">
        <is>
          <t>S24-H북</t>
        </is>
      </c>
      <c r="D1252" s="47" t="n">
        <v>1</v>
      </c>
      <c r="E1252" s="26" t="inlineStr">
        <is>
          <t>측정</t>
        </is>
      </c>
      <c r="F1252" s="26" t="inlineStr">
        <is>
          <t>북</t>
        </is>
      </c>
      <c r="G1252" s="31" t="n">
        <v>10</v>
      </c>
      <c r="H1252" s="30" t="n"/>
      <c r="I1252" s="43" t="n"/>
      <c r="J1252" s="41" t="n"/>
      <c r="K1252" s="41" t="n"/>
      <c r="L1252" s="41" t="n"/>
      <c r="M1252" s="31">
        <f>IF(COUNT(J1252:L1252)=0,"",MEDIAN(J1252:L1252))</f>
        <v/>
      </c>
      <c r="N1252" s="26">
        <f>IF(COUNTIFS($C:$C,$C1252,$D:$D,$D1252,$E:$E,"P0(전)",$M:$M,"&gt;0")&lt;&gt;1,"P0(전) 유효 1개 아님",IF(COUNTIFS($C:$C,$C1252,$D:$D,$D1252,$E:$E,"P0(후)",$M:$M,"&gt;0")&lt;&gt;1,"P0(후) 유효 1개 아님",IF(NOT(AND(ISNUMBER(O1252),ISNUMBER(Q1252),ISNUMBER(I1252))),"시각 결측",IF(Q1252&lt;=O1252,"P0 시각 역전",IF(OR(I1252&lt;O1252,I1252&gt;Q1252),"측정시각 구간 밖","OK")))))</f>
        <v/>
      </c>
      <c r="O1252" s="48">
        <f>IF(COUNTIFS($C:$C,$C1252,$D:$D,$D1252,$E:$E,"P0(전)",$M:$M,"&gt;0")&lt;&gt;1,"",SUMIFS($I:$I,$C:$C,$C1252,$D:$D,$D1252,$E:$E,"P0(전)"))</f>
        <v/>
      </c>
      <c r="P1252" s="31">
        <f>IF(COUNTIFS($C:$C,$C1252,$D:$D,$D1252,$E:$E,"P0(전)",$M:$M,"&gt;0")&lt;&gt;1,"",SUMIFS($M:$M,$C:$C,$C1252,$D:$D,$D1252,$E:$E,"P0(전)"))</f>
        <v/>
      </c>
      <c r="Q1252" s="48">
        <f>IF(COUNTIFS($C:$C,$C1252,$D:$D,$D1252,$E:$E,"P0(후)",$M:$M,"&gt;0")&lt;&gt;1,"",SUMIFS($I:$I,$C:$C,$C1252,$D:$D,$D1252,$E:$E,"P0(후)"))</f>
        <v/>
      </c>
      <c r="R1252" s="31">
        <f>IF(COUNTIFS($C:$C,$C1252,$D:$D,$D1252,$E:$E,"P0(후)",$M:$M,"&gt;0")&lt;&gt;1,"",SUMIFS($M:$M,$C:$C,$C1252,$D:$D,$D1252,$E:$E,"P0(후)"))</f>
        <v/>
      </c>
      <c r="S1252" s="31">
        <f>IF(N1252&lt;&gt;"OK","",P1252+(R1252-P1252)*(I1252-O1252)/(Q1252-O1252))</f>
        <v/>
      </c>
      <c r="T1252" s="31">
        <f>IF(OR(N1252&lt;&gt;"OK",NOT(ISNUMBER(M1252))),"",M1252-S1252)</f>
        <v/>
      </c>
      <c r="U1252" s="49">
        <f>IF(OR(NOT(ISNUMBER(T1252)),IF(ISNUMBER(H1252),H1252,G1252)=0),"",T1252/IF(ISNUMBER(H1252),H1252,G1252))</f>
        <v/>
      </c>
      <c r="V1252" s="49">
        <f>IF(ISNUMBER(U1252),ABS(U1252),"")</f>
        <v/>
      </c>
      <c r="W1252" s="49">
        <f>IF(OR($E1251&lt;&gt;"측정",$C1251&lt;&gt;$C1252,$D1251&lt;&gt;$D1252,NOT(ISNUMBER(M1252)),NOT(ISNUMBER(M1251)),(IF(ISNUMBER(H1252),H1252,G1252)-IF(ISNUMBER(H1251),H1251,G1251))=0),"",(M1252-M1251)/(IF(ISNUMBER(H1252),H1252,G1252)-IF(ISNUMBER(H1251),H1251,G1251)))</f>
        <v/>
      </c>
      <c r="X1252" s="31">
        <f>IF(NOT(AND(ISNUMBER(O1252),ISNUMBER(Q1252))),"",(Q1252-O1252)*1440)</f>
        <v/>
      </c>
      <c r="Y1252" s="29" t="n"/>
      <c r="Z1252" s="29" t="n"/>
      <c r="AA1252" s="29" t="n"/>
      <c r="AB1252" s="32" t="n"/>
      <c r="AC1252" s="32" t="n"/>
    </row>
    <row r="1253">
      <c r="A1253" s="44" t="inlineStr">
        <is>
          <t>S24</t>
        </is>
      </c>
      <c r="B1253" s="44" t="inlineStr">
        <is>
          <t>회천 신규점2</t>
        </is>
      </c>
      <c r="C1253" s="44" t="inlineStr">
        <is>
          <t>S24-H북</t>
        </is>
      </c>
      <c r="D1253" s="45" t="n">
        <v>1</v>
      </c>
      <c r="E1253" s="44" t="inlineStr">
        <is>
          <t>P0(후)</t>
        </is>
      </c>
      <c r="F1253" s="44" t="inlineStr">
        <is>
          <t>북</t>
        </is>
      </c>
      <c r="G1253" s="46" t="n"/>
      <c r="H1253" s="30" t="n"/>
      <c r="I1253" s="43" t="n"/>
      <c r="J1253" s="41" t="n"/>
      <c r="K1253" s="41" t="n"/>
      <c r="L1253" s="41" t="n"/>
      <c r="M1253" s="31">
        <f>IF(COUNT(J1253:L1253)=0,"",MEDIAN(J1253:L1253))</f>
        <v/>
      </c>
      <c r="N1253" s="38" t="n"/>
      <c r="O1253" s="38" t="n"/>
      <c r="P1253" s="38" t="n"/>
      <c r="Q1253" s="38" t="n"/>
      <c r="R1253" s="38" t="n"/>
      <c r="S1253" s="38" t="n"/>
      <c r="T1253" s="38" t="n"/>
      <c r="U1253" s="38" t="n"/>
      <c r="V1253" s="38" t="n"/>
      <c r="W1253" s="38" t="n"/>
      <c r="X1253" s="38" t="n"/>
      <c r="Y1253" s="29" t="n"/>
      <c r="Z1253" s="29" t="n"/>
      <c r="AA1253" s="29" t="n"/>
      <c r="AB1253" s="32" t="n"/>
      <c r="AC1253" s="32" t="n"/>
    </row>
    <row r="1254">
      <c r="A1254" s="44" t="inlineStr">
        <is>
          <t>S25</t>
        </is>
      </c>
      <c r="B1254" s="44" t="inlineStr">
        <is>
          <t>관리 신규점3</t>
        </is>
      </c>
      <c r="C1254" s="44" t="inlineStr">
        <is>
          <t>S25-H동</t>
        </is>
      </c>
      <c r="D1254" s="45" t="n">
        <v>1</v>
      </c>
      <c r="E1254" s="44" t="inlineStr">
        <is>
          <t>P0(전)</t>
        </is>
      </c>
      <c r="F1254" s="44" t="inlineStr">
        <is>
          <t>동</t>
        </is>
      </c>
      <c r="G1254" s="46" t="n"/>
      <c r="H1254" s="30" t="n"/>
      <c r="I1254" s="43" t="n"/>
      <c r="J1254" s="41" t="n"/>
      <c r="K1254" s="41" t="n"/>
      <c r="L1254" s="41" t="n"/>
      <c r="M1254" s="31">
        <f>IF(COUNT(J1254:L1254)=0,"",MEDIAN(J1254:L1254))</f>
        <v/>
      </c>
      <c r="N1254" s="38" t="n"/>
      <c r="O1254" s="38" t="n"/>
      <c r="P1254" s="38" t="n"/>
      <c r="Q1254" s="38" t="n"/>
      <c r="R1254" s="38" t="n"/>
      <c r="S1254" s="38" t="n"/>
      <c r="T1254" s="38" t="n"/>
      <c r="U1254" s="38" t="n"/>
      <c r="V1254" s="38" t="n"/>
      <c r="W1254" s="38" t="n"/>
      <c r="X1254" s="38" t="n"/>
      <c r="Y1254" s="29" t="n"/>
      <c r="Z1254" s="29" t="n"/>
      <c r="AA1254" s="29" t="n"/>
      <c r="AB1254" s="32" t="n"/>
      <c r="AC1254" s="32" t="n"/>
    </row>
    <row r="1255">
      <c r="A1255" s="26" t="inlineStr">
        <is>
          <t>S25</t>
        </is>
      </c>
      <c r="B1255" s="26" t="inlineStr">
        <is>
          <t>관리 신규점3</t>
        </is>
      </c>
      <c r="C1255" s="26" t="inlineStr">
        <is>
          <t>S25-H동</t>
        </is>
      </c>
      <c r="D1255" s="47" t="n">
        <v>1</v>
      </c>
      <c r="E1255" s="26" t="inlineStr">
        <is>
          <t>측정</t>
        </is>
      </c>
      <c r="F1255" s="26" t="inlineStr">
        <is>
          <t>동</t>
        </is>
      </c>
      <c r="G1255" s="31" t="n">
        <v>0.5</v>
      </c>
      <c r="H1255" s="30" t="n"/>
      <c r="I1255" s="43" t="n"/>
      <c r="J1255" s="41" t="n"/>
      <c r="K1255" s="41" t="n"/>
      <c r="L1255" s="41" t="n"/>
      <c r="M1255" s="31">
        <f>IF(COUNT(J1255:L1255)=0,"",MEDIAN(J1255:L1255))</f>
        <v/>
      </c>
      <c r="N1255" s="26">
        <f>IF(COUNTIFS($C:$C,$C1255,$D:$D,$D1255,$E:$E,"P0(전)",$M:$M,"&gt;0")&lt;&gt;1,"P0(전) 유효 1개 아님",IF(COUNTIFS($C:$C,$C1255,$D:$D,$D1255,$E:$E,"P0(후)",$M:$M,"&gt;0")&lt;&gt;1,"P0(후) 유효 1개 아님",IF(NOT(AND(ISNUMBER(O1255),ISNUMBER(Q1255),ISNUMBER(I1255))),"시각 결측",IF(Q1255&lt;=O1255,"P0 시각 역전",IF(OR(I1255&lt;O1255,I1255&gt;Q1255),"측정시각 구간 밖","OK")))))</f>
        <v/>
      </c>
      <c r="O1255" s="48">
        <f>IF(COUNTIFS($C:$C,$C1255,$D:$D,$D1255,$E:$E,"P0(전)",$M:$M,"&gt;0")&lt;&gt;1,"",SUMIFS($I:$I,$C:$C,$C1255,$D:$D,$D1255,$E:$E,"P0(전)"))</f>
        <v/>
      </c>
      <c r="P1255" s="31">
        <f>IF(COUNTIFS($C:$C,$C1255,$D:$D,$D1255,$E:$E,"P0(전)",$M:$M,"&gt;0")&lt;&gt;1,"",SUMIFS($M:$M,$C:$C,$C1255,$D:$D,$D1255,$E:$E,"P0(전)"))</f>
        <v/>
      </c>
      <c r="Q1255" s="48">
        <f>IF(COUNTIFS($C:$C,$C1255,$D:$D,$D1255,$E:$E,"P0(후)",$M:$M,"&gt;0")&lt;&gt;1,"",SUMIFS($I:$I,$C:$C,$C1255,$D:$D,$D1255,$E:$E,"P0(후)"))</f>
        <v/>
      </c>
      <c r="R1255" s="31">
        <f>IF(COUNTIFS($C:$C,$C1255,$D:$D,$D1255,$E:$E,"P0(후)",$M:$M,"&gt;0")&lt;&gt;1,"",SUMIFS($M:$M,$C:$C,$C1255,$D:$D,$D1255,$E:$E,"P0(후)"))</f>
        <v/>
      </c>
      <c r="S1255" s="31">
        <f>IF(N1255&lt;&gt;"OK","",P1255+(R1255-P1255)*(I1255-O1255)/(Q1255-O1255))</f>
        <v/>
      </c>
      <c r="T1255" s="31">
        <f>IF(OR(N1255&lt;&gt;"OK",NOT(ISNUMBER(M1255))),"",M1255-S1255)</f>
        <v/>
      </c>
      <c r="U1255" s="49">
        <f>IF(OR(NOT(ISNUMBER(T1255)),IF(ISNUMBER(H1255),H1255,G1255)=0),"",T1255/IF(ISNUMBER(H1255),H1255,G1255))</f>
        <v/>
      </c>
      <c r="V1255" s="49">
        <f>IF(ISNUMBER(U1255),ABS(U1255),"")</f>
        <v/>
      </c>
      <c r="W1255" s="49">
        <f>IF(OR($E1254&lt;&gt;"측정",$C1254&lt;&gt;$C1255,$D1254&lt;&gt;$D1255,NOT(ISNUMBER(M1255)),NOT(ISNUMBER(M1254)),(IF(ISNUMBER(H1255),H1255,G1255)-IF(ISNUMBER(H1254),H1254,G1254))=0),"",(M1255-M1254)/(IF(ISNUMBER(H1255),H1255,G1255)-IF(ISNUMBER(H1254),H1254,G1254)))</f>
        <v/>
      </c>
      <c r="X1255" s="31">
        <f>IF(NOT(AND(ISNUMBER(O1255),ISNUMBER(Q1255))),"",(Q1255-O1255)*1440)</f>
        <v/>
      </c>
      <c r="Y1255" s="29" t="n"/>
      <c r="Z1255" s="29" t="n"/>
      <c r="AA1255" s="29" t="n"/>
      <c r="AB1255" s="32" t="n"/>
      <c r="AC1255" s="32" t="n"/>
    </row>
    <row r="1256">
      <c r="A1256" s="26" t="inlineStr">
        <is>
          <t>S25</t>
        </is>
      </c>
      <c r="B1256" s="26" t="inlineStr">
        <is>
          <t>관리 신규점3</t>
        </is>
      </c>
      <c r="C1256" s="26" t="inlineStr">
        <is>
          <t>S25-H동</t>
        </is>
      </c>
      <c r="D1256" s="47" t="n">
        <v>1</v>
      </c>
      <c r="E1256" s="26" t="inlineStr">
        <is>
          <t>측정</t>
        </is>
      </c>
      <c r="F1256" s="26" t="inlineStr">
        <is>
          <t>동</t>
        </is>
      </c>
      <c r="G1256" s="31" t="n">
        <v>1</v>
      </c>
      <c r="H1256" s="30" t="n"/>
      <c r="I1256" s="43" t="n"/>
      <c r="J1256" s="41" t="n"/>
      <c r="K1256" s="41" t="n"/>
      <c r="L1256" s="41" t="n"/>
      <c r="M1256" s="31">
        <f>IF(COUNT(J1256:L1256)=0,"",MEDIAN(J1256:L1256))</f>
        <v/>
      </c>
      <c r="N1256" s="26">
        <f>IF(COUNTIFS($C:$C,$C1256,$D:$D,$D1256,$E:$E,"P0(전)",$M:$M,"&gt;0")&lt;&gt;1,"P0(전) 유효 1개 아님",IF(COUNTIFS($C:$C,$C1256,$D:$D,$D1256,$E:$E,"P0(후)",$M:$M,"&gt;0")&lt;&gt;1,"P0(후) 유효 1개 아님",IF(NOT(AND(ISNUMBER(O1256),ISNUMBER(Q1256),ISNUMBER(I1256))),"시각 결측",IF(Q1256&lt;=O1256,"P0 시각 역전",IF(OR(I1256&lt;O1256,I1256&gt;Q1256),"측정시각 구간 밖","OK")))))</f>
        <v/>
      </c>
      <c r="O1256" s="48">
        <f>IF(COUNTIFS($C:$C,$C1256,$D:$D,$D1256,$E:$E,"P0(전)",$M:$M,"&gt;0")&lt;&gt;1,"",SUMIFS($I:$I,$C:$C,$C1256,$D:$D,$D1256,$E:$E,"P0(전)"))</f>
        <v/>
      </c>
      <c r="P1256" s="31">
        <f>IF(COUNTIFS($C:$C,$C1256,$D:$D,$D1256,$E:$E,"P0(전)",$M:$M,"&gt;0")&lt;&gt;1,"",SUMIFS($M:$M,$C:$C,$C1256,$D:$D,$D1256,$E:$E,"P0(전)"))</f>
        <v/>
      </c>
      <c r="Q1256" s="48">
        <f>IF(COUNTIFS($C:$C,$C1256,$D:$D,$D1256,$E:$E,"P0(후)",$M:$M,"&gt;0")&lt;&gt;1,"",SUMIFS($I:$I,$C:$C,$C1256,$D:$D,$D1256,$E:$E,"P0(후)"))</f>
        <v/>
      </c>
      <c r="R1256" s="31">
        <f>IF(COUNTIFS($C:$C,$C1256,$D:$D,$D1256,$E:$E,"P0(후)",$M:$M,"&gt;0")&lt;&gt;1,"",SUMIFS($M:$M,$C:$C,$C1256,$D:$D,$D1256,$E:$E,"P0(후)"))</f>
        <v/>
      </c>
      <c r="S1256" s="31">
        <f>IF(N1256&lt;&gt;"OK","",P1256+(R1256-P1256)*(I1256-O1256)/(Q1256-O1256))</f>
        <v/>
      </c>
      <c r="T1256" s="31">
        <f>IF(OR(N1256&lt;&gt;"OK",NOT(ISNUMBER(M1256))),"",M1256-S1256)</f>
        <v/>
      </c>
      <c r="U1256" s="49">
        <f>IF(OR(NOT(ISNUMBER(T1256)),IF(ISNUMBER(H1256),H1256,G1256)=0),"",T1256/IF(ISNUMBER(H1256),H1256,G1256))</f>
        <v/>
      </c>
      <c r="V1256" s="49">
        <f>IF(ISNUMBER(U1256),ABS(U1256),"")</f>
        <v/>
      </c>
      <c r="W1256" s="49">
        <f>IF(OR($E1255&lt;&gt;"측정",$C1255&lt;&gt;$C1256,$D1255&lt;&gt;$D1256,NOT(ISNUMBER(M1256)),NOT(ISNUMBER(M1255)),(IF(ISNUMBER(H1256),H1256,G1256)-IF(ISNUMBER(H1255),H1255,G1255))=0),"",(M1256-M1255)/(IF(ISNUMBER(H1256),H1256,G1256)-IF(ISNUMBER(H1255),H1255,G1255)))</f>
        <v/>
      </c>
      <c r="X1256" s="31">
        <f>IF(NOT(AND(ISNUMBER(O1256),ISNUMBER(Q1256))),"",(Q1256-O1256)*1440)</f>
        <v/>
      </c>
      <c r="Y1256" s="29" t="n"/>
      <c r="Z1256" s="29" t="n"/>
      <c r="AA1256" s="29" t="n"/>
      <c r="AB1256" s="32" t="n"/>
      <c r="AC1256" s="32" t="n"/>
    </row>
    <row r="1257">
      <c r="A1257" s="26" t="inlineStr">
        <is>
          <t>S25</t>
        </is>
      </c>
      <c r="B1257" s="26" t="inlineStr">
        <is>
          <t>관리 신규점3</t>
        </is>
      </c>
      <c r="C1257" s="26" t="inlineStr">
        <is>
          <t>S25-H동</t>
        </is>
      </c>
      <c r="D1257" s="47" t="n">
        <v>1</v>
      </c>
      <c r="E1257" s="26" t="inlineStr">
        <is>
          <t>측정</t>
        </is>
      </c>
      <c r="F1257" s="26" t="inlineStr">
        <is>
          <t>동</t>
        </is>
      </c>
      <c r="G1257" s="31" t="n">
        <v>2</v>
      </c>
      <c r="H1257" s="30" t="n"/>
      <c r="I1257" s="43" t="n"/>
      <c r="J1257" s="41" t="n"/>
      <c r="K1257" s="41" t="n"/>
      <c r="L1257" s="41" t="n"/>
      <c r="M1257" s="31">
        <f>IF(COUNT(J1257:L1257)=0,"",MEDIAN(J1257:L1257))</f>
        <v/>
      </c>
      <c r="N1257" s="26">
        <f>IF(COUNTIFS($C:$C,$C1257,$D:$D,$D1257,$E:$E,"P0(전)",$M:$M,"&gt;0")&lt;&gt;1,"P0(전) 유효 1개 아님",IF(COUNTIFS($C:$C,$C1257,$D:$D,$D1257,$E:$E,"P0(후)",$M:$M,"&gt;0")&lt;&gt;1,"P0(후) 유효 1개 아님",IF(NOT(AND(ISNUMBER(O1257),ISNUMBER(Q1257),ISNUMBER(I1257))),"시각 결측",IF(Q1257&lt;=O1257,"P0 시각 역전",IF(OR(I1257&lt;O1257,I1257&gt;Q1257),"측정시각 구간 밖","OK")))))</f>
        <v/>
      </c>
      <c r="O1257" s="48">
        <f>IF(COUNTIFS($C:$C,$C1257,$D:$D,$D1257,$E:$E,"P0(전)",$M:$M,"&gt;0")&lt;&gt;1,"",SUMIFS($I:$I,$C:$C,$C1257,$D:$D,$D1257,$E:$E,"P0(전)"))</f>
        <v/>
      </c>
      <c r="P1257" s="31">
        <f>IF(COUNTIFS($C:$C,$C1257,$D:$D,$D1257,$E:$E,"P0(전)",$M:$M,"&gt;0")&lt;&gt;1,"",SUMIFS($M:$M,$C:$C,$C1257,$D:$D,$D1257,$E:$E,"P0(전)"))</f>
        <v/>
      </c>
      <c r="Q1257" s="48">
        <f>IF(COUNTIFS($C:$C,$C1257,$D:$D,$D1257,$E:$E,"P0(후)",$M:$M,"&gt;0")&lt;&gt;1,"",SUMIFS($I:$I,$C:$C,$C1257,$D:$D,$D1257,$E:$E,"P0(후)"))</f>
        <v/>
      </c>
      <c r="R1257" s="31">
        <f>IF(COUNTIFS($C:$C,$C1257,$D:$D,$D1257,$E:$E,"P0(후)",$M:$M,"&gt;0")&lt;&gt;1,"",SUMIFS($M:$M,$C:$C,$C1257,$D:$D,$D1257,$E:$E,"P0(후)"))</f>
        <v/>
      </c>
      <c r="S1257" s="31">
        <f>IF(N1257&lt;&gt;"OK","",P1257+(R1257-P1257)*(I1257-O1257)/(Q1257-O1257))</f>
        <v/>
      </c>
      <c r="T1257" s="31">
        <f>IF(OR(N1257&lt;&gt;"OK",NOT(ISNUMBER(M1257))),"",M1257-S1257)</f>
        <v/>
      </c>
      <c r="U1257" s="49">
        <f>IF(OR(NOT(ISNUMBER(T1257)),IF(ISNUMBER(H1257),H1257,G1257)=0),"",T1257/IF(ISNUMBER(H1257),H1257,G1257))</f>
        <v/>
      </c>
      <c r="V1257" s="49">
        <f>IF(ISNUMBER(U1257),ABS(U1257),"")</f>
        <v/>
      </c>
      <c r="W1257" s="49">
        <f>IF(OR($E1256&lt;&gt;"측정",$C1256&lt;&gt;$C1257,$D1256&lt;&gt;$D1257,NOT(ISNUMBER(M1257)),NOT(ISNUMBER(M1256)),(IF(ISNUMBER(H1257),H1257,G1257)-IF(ISNUMBER(H1256),H1256,G1256))=0),"",(M1257-M1256)/(IF(ISNUMBER(H1257),H1257,G1257)-IF(ISNUMBER(H1256),H1256,G1256)))</f>
        <v/>
      </c>
      <c r="X1257" s="31">
        <f>IF(NOT(AND(ISNUMBER(O1257),ISNUMBER(Q1257))),"",(Q1257-O1257)*1440)</f>
        <v/>
      </c>
      <c r="Y1257" s="29" t="n"/>
      <c r="Z1257" s="29" t="n"/>
      <c r="AA1257" s="29" t="n"/>
      <c r="AB1257" s="32" t="n"/>
      <c r="AC1257" s="32" t="n"/>
    </row>
    <row r="1258">
      <c r="A1258" s="26" t="inlineStr">
        <is>
          <t>S25</t>
        </is>
      </c>
      <c r="B1258" s="26" t="inlineStr">
        <is>
          <t>관리 신규점3</t>
        </is>
      </c>
      <c r="C1258" s="26" t="inlineStr">
        <is>
          <t>S25-H동</t>
        </is>
      </c>
      <c r="D1258" s="47" t="n">
        <v>1</v>
      </c>
      <c r="E1258" s="26" t="inlineStr">
        <is>
          <t>측정</t>
        </is>
      </c>
      <c r="F1258" s="26" t="inlineStr">
        <is>
          <t>동</t>
        </is>
      </c>
      <c r="G1258" s="31" t="n">
        <v>3</v>
      </c>
      <c r="H1258" s="30" t="n"/>
      <c r="I1258" s="43" t="n"/>
      <c r="J1258" s="41" t="n"/>
      <c r="K1258" s="41" t="n"/>
      <c r="L1258" s="41" t="n"/>
      <c r="M1258" s="31">
        <f>IF(COUNT(J1258:L1258)=0,"",MEDIAN(J1258:L1258))</f>
        <v/>
      </c>
      <c r="N1258" s="26">
        <f>IF(COUNTIFS($C:$C,$C1258,$D:$D,$D1258,$E:$E,"P0(전)",$M:$M,"&gt;0")&lt;&gt;1,"P0(전) 유효 1개 아님",IF(COUNTIFS($C:$C,$C1258,$D:$D,$D1258,$E:$E,"P0(후)",$M:$M,"&gt;0")&lt;&gt;1,"P0(후) 유효 1개 아님",IF(NOT(AND(ISNUMBER(O1258),ISNUMBER(Q1258),ISNUMBER(I1258))),"시각 결측",IF(Q1258&lt;=O1258,"P0 시각 역전",IF(OR(I1258&lt;O1258,I1258&gt;Q1258),"측정시각 구간 밖","OK")))))</f>
        <v/>
      </c>
      <c r="O1258" s="48">
        <f>IF(COUNTIFS($C:$C,$C1258,$D:$D,$D1258,$E:$E,"P0(전)",$M:$M,"&gt;0")&lt;&gt;1,"",SUMIFS($I:$I,$C:$C,$C1258,$D:$D,$D1258,$E:$E,"P0(전)"))</f>
        <v/>
      </c>
      <c r="P1258" s="31">
        <f>IF(COUNTIFS($C:$C,$C1258,$D:$D,$D1258,$E:$E,"P0(전)",$M:$M,"&gt;0")&lt;&gt;1,"",SUMIFS($M:$M,$C:$C,$C1258,$D:$D,$D1258,$E:$E,"P0(전)"))</f>
        <v/>
      </c>
      <c r="Q1258" s="48">
        <f>IF(COUNTIFS($C:$C,$C1258,$D:$D,$D1258,$E:$E,"P0(후)",$M:$M,"&gt;0")&lt;&gt;1,"",SUMIFS($I:$I,$C:$C,$C1258,$D:$D,$D1258,$E:$E,"P0(후)"))</f>
        <v/>
      </c>
      <c r="R1258" s="31">
        <f>IF(COUNTIFS($C:$C,$C1258,$D:$D,$D1258,$E:$E,"P0(후)",$M:$M,"&gt;0")&lt;&gt;1,"",SUMIFS($M:$M,$C:$C,$C1258,$D:$D,$D1258,$E:$E,"P0(후)"))</f>
        <v/>
      </c>
      <c r="S1258" s="31">
        <f>IF(N1258&lt;&gt;"OK","",P1258+(R1258-P1258)*(I1258-O1258)/(Q1258-O1258))</f>
        <v/>
      </c>
      <c r="T1258" s="31">
        <f>IF(OR(N1258&lt;&gt;"OK",NOT(ISNUMBER(M1258))),"",M1258-S1258)</f>
        <v/>
      </c>
      <c r="U1258" s="49">
        <f>IF(OR(NOT(ISNUMBER(T1258)),IF(ISNUMBER(H1258),H1258,G1258)=0),"",T1258/IF(ISNUMBER(H1258),H1258,G1258))</f>
        <v/>
      </c>
      <c r="V1258" s="49">
        <f>IF(ISNUMBER(U1258),ABS(U1258),"")</f>
        <v/>
      </c>
      <c r="W1258" s="49">
        <f>IF(OR($E1257&lt;&gt;"측정",$C1257&lt;&gt;$C1258,$D1257&lt;&gt;$D1258,NOT(ISNUMBER(M1258)),NOT(ISNUMBER(M1257)),(IF(ISNUMBER(H1258),H1258,G1258)-IF(ISNUMBER(H1257),H1257,G1257))=0),"",(M1258-M1257)/(IF(ISNUMBER(H1258),H1258,G1258)-IF(ISNUMBER(H1257),H1257,G1257)))</f>
        <v/>
      </c>
      <c r="X1258" s="31">
        <f>IF(NOT(AND(ISNUMBER(O1258),ISNUMBER(Q1258))),"",(Q1258-O1258)*1440)</f>
        <v/>
      </c>
      <c r="Y1258" s="29" t="n"/>
      <c r="Z1258" s="29" t="n"/>
      <c r="AA1258" s="29" t="n"/>
      <c r="AB1258" s="32" t="n"/>
      <c r="AC1258" s="32" t="n"/>
    </row>
    <row r="1259">
      <c r="A1259" s="26" t="inlineStr">
        <is>
          <t>S25</t>
        </is>
      </c>
      <c r="B1259" s="26" t="inlineStr">
        <is>
          <t>관리 신규점3</t>
        </is>
      </c>
      <c r="C1259" s="26" t="inlineStr">
        <is>
          <t>S25-H동</t>
        </is>
      </c>
      <c r="D1259" s="47" t="n">
        <v>1</v>
      </c>
      <c r="E1259" s="26" t="inlineStr">
        <is>
          <t>측정</t>
        </is>
      </c>
      <c r="F1259" s="26" t="inlineStr">
        <is>
          <t>동</t>
        </is>
      </c>
      <c r="G1259" s="31" t="n">
        <v>4</v>
      </c>
      <c r="H1259" s="30" t="n"/>
      <c r="I1259" s="43" t="n"/>
      <c r="J1259" s="41" t="n"/>
      <c r="K1259" s="41" t="n"/>
      <c r="L1259" s="41" t="n"/>
      <c r="M1259" s="31">
        <f>IF(COUNT(J1259:L1259)=0,"",MEDIAN(J1259:L1259))</f>
        <v/>
      </c>
      <c r="N1259" s="26">
        <f>IF(COUNTIFS($C:$C,$C1259,$D:$D,$D1259,$E:$E,"P0(전)",$M:$M,"&gt;0")&lt;&gt;1,"P0(전) 유효 1개 아님",IF(COUNTIFS($C:$C,$C1259,$D:$D,$D1259,$E:$E,"P0(후)",$M:$M,"&gt;0")&lt;&gt;1,"P0(후) 유효 1개 아님",IF(NOT(AND(ISNUMBER(O1259),ISNUMBER(Q1259),ISNUMBER(I1259))),"시각 결측",IF(Q1259&lt;=O1259,"P0 시각 역전",IF(OR(I1259&lt;O1259,I1259&gt;Q1259),"측정시각 구간 밖","OK")))))</f>
        <v/>
      </c>
      <c r="O1259" s="48">
        <f>IF(COUNTIFS($C:$C,$C1259,$D:$D,$D1259,$E:$E,"P0(전)",$M:$M,"&gt;0")&lt;&gt;1,"",SUMIFS($I:$I,$C:$C,$C1259,$D:$D,$D1259,$E:$E,"P0(전)"))</f>
        <v/>
      </c>
      <c r="P1259" s="31">
        <f>IF(COUNTIFS($C:$C,$C1259,$D:$D,$D1259,$E:$E,"P0(전)",$M:$M,"&gt;0")&lt;&gt;1,"",SUMIFS($M:$M,$C:$C,$C1259,$D:$D,$D1259,$E:$E,"P0(전)"))</f>
        <v/>
      </c>
      <c r="Q1259" s="48">
        <f>IF(COUNTIFS($C:$C,$C1259,$D:$D,$D1259,$E:$E,"P0(후)",$M:$M,"&gt;0")&lt;&gt;1,"",SUMIFS($I:$I,$C:$C,$C1259,$D:$D,$D1259,$E:$E,"P0(후)"))</f>
        <v/>
      </c>
      <c r="R1259" s="31">
        <f>IF(COUNTIFS($C:$C,$C1259,$D:$D,$D1259,$E:$E,"P0(후)",$M:$M,"&gt;0")&lt;&gt;1,"",SUMIFS($M:$M,$C:$C,$C1259,$D:$D,$D1259,$E:$E,"P0(후)"))</f>
        <v/>
      </c>
      <c r="S1259" s="31">
        <f>IF(N1259&lt;&gt;"OK","",P1259+(R1259-P1259)*(I1259-O1259)/(Q1259-O1259))</f>
        <v/>
      </c>
      <c r="T1259" s="31">
        <f>IF(OR(N1259&lt;&gt;"OK",NOT(ISNUMBER(M1259))),"",M1259-S1259)</f>
        <v/>
      </c>
      <c r="U1259" s="49">
        <f>IF(OR(NOT(ISNUMBER(T1259)),IF(ISNUMBER(H1259),H1259,G1259)=0),"",T1259/IF(ISNUMBER(H1259),H1259,G1259))</f>
        <v/>
      </c>
      <c r="V1259" s="49">
        <f>IF(ISNUMBER(U1259),ABS(U1259),"")</f>
        <v/>
      </c>
      <c r="W1259" s="49">
        <f>IF(OR($E1258&lt;&gt;"측정",$C1258&lt;&gt;$C1259,$D1258&lt;&gt;$D1259,NOT(ISNUMBER(M1259)),NOT(ISNUMBER(M1258)),(IF(ISNUMBER(H1259),H1259,G1259)-IF(ISNUMBER(H1258),H1258,G1258))=0),"",(M1259-M1258)/(IF(ISNUMBER(H1259),H1259,G1259)-IF(ISNUMBER(H1258),H1258,G1258)))</f>
        <v/>
      </c>
      <c r="X1259" s="31">
        <f>IF(NOT(AND(ISNUMBER(O1259),ISNUMBER(Q1259))),"",(Q1259-O1259)*1440)</f>
        <v/>
      </c>
      <c r="Y1259" s="29" t="n"/>
      <c r="Z1259" s="29" t="n"/>
      <c r="AA1259" s="29" t="n"/>
      <c r="AB1259" s="32" t="n"/>
      <c r="AC1259" s="32" t="n"/>
    </row>
    <row r="1260">
      <c r="A1260" s="26" t="inlineStr">
        <is>
          <t>S25</t>
        </is>
      </c>
      <c r="B1260" s="26" t="inlineStr">
        <is>
          <t>관리 신규점3</t>
        </is>
      </c>
      <c r="C1260" s="26" t="inlineStr">
        <is>
          <t>S25-H동</t>
        </is>
      </c>
      <c r="D1260" s="47" t="n">
        <v>1</v>
      </c>
      <c r="E1260" s="26" t="inlineStr">
        <is>
          <t>측정</t>
        </is>
      </c>
      <c r="F1260" s="26" t="inlineStr">
        <is>
          <t>동</t>
        </is>
      </c>
      <c r="G1260" s="31" t="n">
        <v>5</v>
      </c>
      <c r="H1260" s="30" t="n"/>
      <c r="I1260" s="43" t="n"/>
      <c r="J1260" s="41" t="n"/>
      <c r="K1260" s="41" t="n"/>
      <c r="L1260" s="41" t="n"/>
      <c r="M1260" s="31">
        <f>IF(COUNT(J1260:L1260)=0,"",MEDIAN(J1260:L1260))</f>
        <v/>
      </c>
      <c r="N1260" s="26">
        <f>IF(COUNTIFS($C:$C,$C1260,$D:$D,$D1260,$E:$E,"P0(전)",$M:$M,"&gt;0")&lt;&gt;1,"P0(전) 유효 1개 아님",IF(COUNTIFS($C:$C,$C1260,$D:$D,$D1260,$E:$E,"P0(후)",$M:$M,"&gt;0")&lt;&gt;1,"P0(후) 유효 1개 아님",IF(NOT(AND(ISNUMBER(O1260),ISNUMBER(Q1260),ISNUMBER(I1260))),"시각 결측",IF(Q1260&lt;=O1260,"P0 시각 역전",IF(OR(I1260&lt;O1260,I1260&gt;Q1260),"측정시각 구간 밖","OK")))))</f>
        <v/>
      </c>
      <c r="O1260" s="48">
        <f>IF(COUNTIFS($C:$C,$C1260,$D:$D,$D1260,$E:$E,"P0(전)",$M:$M,"&gt;0")&lt;&gt;1,"",SUMIFS($I:$I,$C:$C,$C1260,$D:$D,$D1260,$E:$E,"P0(전)"))</f>
        <v/>
      </c>
      <c r="P1260" s="31">
        <f>IF(COUNTIFS($C:$C,$C1260,$D:$D,$D1260,$E:$E,"P0(전)",$M:$M,"&gt;0")&lt;&gt;1,"",SUMIFS($M:$M,$C:$C,$C1260,$D:$D,$D1260,$E:$E,"P0(전)"))</f>
        <v/>
      </c>
      <c r="Q1260" s="48">
        <f>IF(COUNTIFS($C:$C,$C1260,$D:$D,$D1260,$E:$E,"P0(후)",$M:$M,"&gt;0")&lt;&gt;1,"",SUMIFS($I:$I,$C:$C,$C1260,$D:$D,$D1260,$E:$E,"P0(후)"))</f>
        <v/>
      </c>
      <c r="R1260" s="31">
        <f>IF(COUNTIFS($C:$C,$C1260,$D:$D,$D1260,$E:$E,"P0(후)",$M:$M,"&gt;0")&lt;&gt;1,"",SUMIFS($M:$M,$C:$C,$C1260,$D:$D,$D1260,$E:$E,"P0(후)"))</f>
        <v/>
      </c>
      <c r="S1260" s="31">
        <f>IF(N1260&lt;&gt;"OK","",P1260+(R1260-P1260)*(I1260-O1260)/(Q1260-O1260))</f>
        <v/>
      </c>
      <c r="T1260" s="31">
        <f>IF(OR(N1260&lt;&gt;"OK",NOT(ISNUMBER(M1260))),"",M1260-S1260)</f>
        <v/>
      </c>
      <c r="U1260" s="49">
        <f>IF(OR(NOT(ISNUMBER(T1260)),IF(ISNUMBER(H1260),H1260,G1260)=0),"",T1260/IF(ISNUMBER(H1260),H1260,G1260))</f>
        <v/>
      </c>
      <c r="V1260" s="49">
        <f>IF(ISNUMBER(U1260),ABS(U1260),"")</f>
        <v/>
      </c>
      <c r="W1260" s="49">
        <f>IF(OR($E1259&lt;&gt;"측정",$C1259&lt;&gt;$C1260,$D1259&lt;&gt;$D1260,NOT(ISNUMBER(M1260)),NOT(ISNUMBER(M1259)),(IF(ISNUMBER(H1260),H1260,G1260)-IF(ISNUMBER(H1259),H1259,G1259))=0),"",(M1260-M1259)/(IF(ISNUMBER(H1260),H1260,G1260)-IF(ISNUMBER(H1259),H1259,G1259)))</f>
        <v/>
      </c>
      <c r="X1260" s="31">
        <f>IF(NOT(AND(ISNUMBER(O1260),ISNUMBER(Q1260))),"",(Q1260-O1260)*1440)</f>
        <v/>
      </c>
      <c r="Y1260" s="29" t="n"/>
      <c r="Z1260" s="29" t="n"/>
      <c r="AA1260" s="29" t="n"/>
      <c r="AB1260" s="32" t="n"/>
      <c r="AC1260" s="32" t="n"/>
    </row>
    <row r="1261">
      <c r="A1261" s="26" t="inlineStr">
        <is>
          <t>S25</t>
        </is>
      </c>
      <c r="B1261" s="26" t="inlineStr">
        <is>
          <t>관리 신규점3</t>
        </is>
      </c>
      <c r="C1261" s="26" t="inlineStr">
        <is>
          <t>S25-H동</t>
        </is>
      </c>
      <c r="D1261" s="47" t="n">
        <v>1</v>
      </c>
      <c r="E1261" s="26" t="inlineStr">
        <is>
          <t>측정</t>
        </is>
      </c>
      <c r="F1261" s="26" t="inlineStr">
        <is>
          <t>동</t>
        </is>
      </c>
      <c r="G1261" s="31" t="n">
        <v>6</v>
      </c>
      <c r="H1261" s="30" t="n"/>
      <c r="I1261" s="43" t="n"/>
      <c r="J1261" s="41" t="n"/>
      <c r="K1261" s="41" t="n"/>
      <c r="L1261" s="41" t="n"/>
      <c r="M1261" s="31">
        <f>IF(COUNT(J1261:L1261)=0,"",MEDIAN(J1261:L1261))</f>
        <v/>
      </c>
      <c r="N1261" s="26">
        <f>IF(COUNTIFS($C:$C,$C1261,$D:$D,$D1261,$E:$E,"P0(전)",$M:$M,"&gt;0")&lt;&gt;1,"P0(전) 유효 1개 아님",IF(COUNTIFS($C:$C,$C1261,$D:$D,$D1261,$E:$E,"P0(후)",$M:$M,"&gt;0")&lt;&gt;1,"P0(후) 유효 1개 아님",IF(NOT(AND(ISNUMBER(O1261),ISNUMBER(Q1261),ISNUMBER(I1261))),"시각 결측",IF(Q1261&lt;=O1261,"P0 시각 역전",IF(OR(I1261&lt;O1261,I1261&gt;Q1261),"측정시각 구간 밖","OK")))))</f>
        <v/>
      </c>
      <c r="O1261" s="48">
        <f>IF(COUNTIFS($C:$C,$C1261,$D:$D,$D1261,$E:$E,"P0(전)",$M:$M,"&gt;0")&lt;&gt;1,"",SUMIFS($I:$I,$C:$C,$C1261,$D:$D,$D1261,$E:$E,"P0(전)"))</f>
        <v/>
      </c>
      <c r="P1261" s="31">
        <f>IF(COUNTIFS($C:$C,$C1261,$D:$D,$D1261,$E:$E,"P0(전)",$M:$M,"&gt;0")&lt;&gt;1,"",SUMIFS($M:$M,$C:$C,$C1261,$D:$D,$D1261,$E:$E,"P0(전)"))</f>
        <v/>
      </c>
      <c r="Q1261" s="48">
        <f>IF(COUNTIFS($C:$C,$C1261,$D:$D,$D1261,$E:$E,"P0(후)",$M:$M,"&gt;0")&lt;&gt;1,"",SUMIFS($I:$I,$C:$C,$C1261,$D:$D,$D1261,$E:$E,"P0(후)"))</f>
        <v/>
      </c>
      <c r="R1261" s="31">
        <f>IF(COUNTIFS($C:$C,$C1261,$D:$D,$D1261,$E:$E,"P0(후)",$M:$M,"&gt;0")&lt;&gt;1,"",SUMIFS($M:$M,$C:$C,$C1261,$D:$D,$D1261,$E:$E,"P0(후)"))</f>
        <v/>
      </c>
      <c r="S1261" s="31">
        <f>IF(N1261&lt;&gt;"OK","",P1261+(R1261-P1261)*(I1261-O1261)/(Q1261-O1261))</f>
        <v/>
      </c>
      <c r="T1261" s="31">
        <f>IF(OR(N1261&lt;&gt;"OK",NOT(ISNUMBER(M1261))),"",M1261-S1261)</f>
        <v/>
      </c>
      <c r="U1261" s="49">
        <f>IF(OR(NOT(ISNUMBER(T1261)),IF(ISNUMBER(H1261),H1261,G1261)=0),"",T1261/IF(ISNUMBER(H1261),H1261,G1261))</f>
        <v/>
      </c>
      <c r="V1261" s="49">
        <f>IF(ISNUMBER(U1261),ABS(U1261),"")</f>
        <v/>
      </c>
      <c r="W1261" s="49">
        <f>IF(OR($E1260&lt;&gt;"측정",$C1260&lt;&gt;$C1261,$D1260&lt;&gt;$D1261,NOT(ISNUMBER(M1261)),NOT(ISNUMBER(M1260)),(IF(ISNUMBER(H1261),H1261,G1261)-IF(ISNUMBER(H1260),H1260,G1260))=0),"",(M1261-M1260)/(IF(ISNUMBER(H1261),H1261,G1261)-IF(ISNUMBER(H1260),H1260,G1260)))</f>
        <v/>
      </c>
      <c r="X1261" s="31">
        <f>IF(NOT(AND(ISNUMBER(O1261),ISNUMBER(Q1261))),"",(Q1261-O1261)*1440)</f>
        <v/>
      </c>
      <c r="Y1261" s="29" t="n"/>
      <c r="Z1261" s="29" t="n"/>
      <c r="AA1261" s="29" t="n"/>
      <c r="AB1261" s="32" t="n"/>
      <c r="AC1261" s="32" t="n"/>
    </row>
    <row r="1262">
      <c r="A1262" s="26" t="inlineStr">
        <is>
          <t>S25</t>
        </is>
      </c>
      <c r="B1262" s="26" t="inlineStr">
        <is>
          <t>관리 신규점3</t>
        </is>
      </c>
      <c r="C1262" s="26" t="inlineStr">
        <is>
          <t>S25-H동</t>
        </is>
      </c>
      <c r="D1262" s="47" t="n">
        <v>1</v>
      </c>
      <c r="E1262" s="26" t="inlineStr">
        <is>
          <t>측정</t>
        </is>
      </c>
      <c r="F1262" s="26" t="inlineStr">
        <is>
          <t>동</t>
        </is>
      </c>
      <c r="G1262" s="31" t="n">
        <v>7</v>
      </c>
      <c r="H1262" s="30" t="n"/>
      <c r="I1262" s="43" t="n"/>
      <c r="J1262" s="41" t="n"/>
      <c r="K1262" s="41" t="n"/>
      <c r="L1262" s="41" t="n"/>
      <c r="M1262" s="31">
        <f>IF(COUNT(J1262:L1262)=0,"",MEDIAN(J1262:L1262))</f>
        <v/>
      </c>
      <c r="N1262" s="26">
        <f>IF(COUNTIFS($C:$C,$C1262,$D:$D,$D1262,$E:$E,"P0(전)",$M:$M,"&gt;0")&lt;&gt;1,"P0(전) 유효 1개 아님",IF(COUNTIFS($C:$C,$C1262,$D:$D,$D1262,$E:$E,"P0(후)",$M:$M,"&gt;0")&lt;&gt;1,"P0(후) 유효 1개 아님",IF(NOT(AND(ISNUMBER(O1262),ISNUMBER(Q1262),ISNUMBER(I1262))),"시각 결측",IF(Q1262&lt;=O1262,"P0 시각 역전",IF(OR(I1262&lt;O1262,I1262&gt;Q1262),"측정시각 구간 밖","OK")))))</f>
        <v/>
      </c>
      <c r="O1262" s="48">
        <f>IF(COUNTIFS($C:$C,$C1262,$D:$D,$D1262,$E:$E,"P0(전)",$M:$M,"&gt;0")&lt;&gt;1,"",SUMIFS($I:$I,$C:$C,$C1262,$D:$D,$D1262,$E:$E,"P0(전)"))</f>
        <v/>
      </c>
      <c r="P1262" s="31">
        <f>IF(COUNTIFS($C:$C,$C1262,$D:$D,$D1262,$E:$E,"P0(전)",$M:$M,"&gt;0")&lt;&gt;1,"",SUMIFS($M:$M,$C:$C,$C1262,$D:$D,$D1262,$E:$E,"P0(전)"))</f>
        <v/>
      </c>
      <c r="Q1262" s="48">
        <f>IF(COUNTIFS($C:$C,$C1262,$D:$D,$D1262,$E:$E,"P0(후)",$M:$M,"&gt;0")&lt;&gt;1,"",SUMIFS($I:$I,$C:$C,$C1262,$D:$D,$D1262,$E:$E,"P0(후)"))</f>
        <v/>
      </c>
      <c r="R1262" s="31">
        <f>IF(COUNTIFS($C:$C,$C1262,$D:$D,$D1262,$E:$E,"P0(후)",$M:$M,"&gt;0")&lt;&gt;1,"",SUMIFS($M:$M,$C:$C,$C1262,$D:$D,$D1262,$E:$E,"P0(후)"))</f>
        <v/>
      </c>
      <c r="S1262" s="31">
        <f>IF(N1262&lt;&gt;"OK","",P1262+(R1262-P1262)*(I1262-O1262)/(Q1262-O1262))</f>
        <v/>
      </c>
      <c r="T1262" s="31">
        <f>IF(OR(N1262&lt;&gt;"OK",NOT(ISNUMBER(M1262))),"",M1262-S1262)</f>
        <v/>
      </c>
      <c r="U1262" s="49">
        <f>IF(OR(NOT(ISNUMBER(T1262)),IF(ISNUMBER(H1262),H1262,G1262)=0),"",T1262/IF(ISNUMBER(H1262),H1262,G1262))</f>
        <v/>
      </c>
      <c r="V1262" s="49">
        <f>IF(ISNUMBER(U1262),ABS(U1262),"")</f>
        <v/>
      </c>
      <c r="W1262" s="49">
        <f>IF(OR($E1261&lt;&gt;"측정",$C1261&lt;&gt;$C1262,$D1261&lt;&gt;$D1262,NOT(ISNUMBER(M1262)),NOT(ISNUMBER(M1261)),(IF(ISNUMBER(H1262),H1262,G1262)-IF(ISNUMBER(H1261),H1261,G1261))=0),"",(M1262-M1261)/(IF(ISNUMBER(H1262),H1262,G1262)-IF(ISNUMBER(H1261),H1261,G1261)))</f>
        <v/>
      </c>
      <c r="X1262" s="31">
        <f>IF(NOT(AND(ISNUMBER(O1262),ISNUMBER(Q1262))),"",(Q1262-O1262)*1440)</f>
        <v/>
      </c>
      <c r="Y1262" s="29" t="n"/>
      <c r="Z1262" s="29" t="n"/>
      <c r="AA1262" s="29" t="n"/>
      <c r="AB1262" s="32" t="n"/>
      <c r="AC1262" s="32" t="n"/>
    </row>
    <row r="1263">
      <c r="A1263" s="26" t="inlineStr">
        <is>
          <t>S25</t>
        </is>
      </c>
      <c r="B1263" s="26" t="inlineStr">
        <is>
          <t>관리 신규점3</t>
        </is>
      </c>
      <c r="C1263" s="26" t="inlineStr">
        <is>
          <t>S25-H동</t>
        </is>
      </c>
      <c r="D1263" s="47" t="n">
        <v>1</v>
      </c>
      <c r="E1263" s="26" t="inlineStr">
        <is>
          <t>측정</t>
        </is>
      </c>
      <c r="F1263" s="26" t="inlineStr">
        <is>
          <t>동</t>
        </is>
      </c>
      <c r="G1263" s="31" t="n">
        <v>8</v>
      </c>
      <c r="H1263" s="30" t="n"/>
      <c r="I1263" s="43" t="n"/>
      <c r="J1263" s="41" t="n"/>
      <c r="K1263" s="41" t="n"/>
      <c r="L1263" s="41" t="n"/>
      <c r="M1263" s="31">
        <f>IF(COUNT(J1263:L1263)=0,"",MEDIAN(J1263:L1263))</f>
        <v/>
      </c>
      <c r="N1263" s="26">
        <f>IF(COUNTIFS($C:$C,$C1263,$D:$D,$D1263,$E:$E,"P0(전)",$M:$M,"&gt;0")&lt;&gt;1,"P0(전) 유효 1개 아님",IF(COUNTIFS($C:$C,$C1263,$D:$D,$D1263,$E:$E,"P0(후)",$M:$M,"&gt;0")&lt;&gt;1,"P0(후) 유효 1개 아님",IF(NOT(AND(ISNUMBER(O1263),ISNUMBER(Q1263),ISNUMBER(I1263))),"시각 결측",IF(Q1263&lt;=O1263,"P0 시각 역전",IF(OR(I1263&lt;O1263,I1263&gt;Q1263),"측정시각 구간 밖","OK")))))</f>
        <v/>
      </c>
      <c r="O1263" s="48">
        <f>IF(COUNTIFS($C:$C,$C1263,$D:$D,$D1263,$E:$E,"P0(전)",$M:$M,"&gt;0")&lt;&gt;1,"",SUMIFS($I:$I,$C:$C,$C1263,$D:$D,$D1263,$E:$E,"P0(전)"))</f>
        <v/>
      </c>
      <c r="P1263" s="31">
        <f>IF(COUNTIFS($C:$C,$C1263,$D:$D,$D1263,$E:$E,"P0(전)",$M:$M,"&gt;0")&lt;&gt;1,"",SUMIFS($M:$M,$C:$C,$C1263,$D:$D,$D1263,$E:$E,"P0(전)"))</f>
        <v/>
      </c>
      <c r="Q1263" s="48">
        <f>IF(COUNTIFS($C:$C,$C1263,$D:$D,$D1263,$E:$E,"P0(후)",$M:$M,"&gt;0")&lt;&gt;1,"",SUMIFS($I:$I,$C:$C,$C1263,$D:$D,$D1263,$E:$E,"P0(후)"))</f>
        <v/>
      </c>
      <c r="R1263" s="31">
        <f>IF(COUNTIFS($C:$C,$C1263,$D:$D,$D1263,$E:$E,"P0(후)",$M:$M,"&gt;0")&lt;&gt;1,"",SUMIFS($M:$M,$C:$C,$C1263,$D:$D,$D1263,$E:$E,"P0(후)"))</f>
        <v/>
      </c>
      <c r="S1263" s="31">
        <f>IF(N1263&lt;&gt;"OK","",P1263+(R1263-P1263)*(I1263-O1263)/(Q1263-O1263))</f>
        <v/>
      </c>
      <c r="T1263" s="31">
        <f>IF(OR(N1263&lt;&gt;"OK",NOT(ISNUMBER(M1263))),"",M1263-S1263)</f>
        <v/>
      </c>
      <c r="U1263" s="49">
        <f>IF(OR(NOT(ISNUMBER(T1263)),IF(ISNUMBER(H1263),H1263,G1263)=0),"",T1263/IF(ISNUMBER(H1263),H1263,G1263))</f>
        <v/>
      </c>
      <c r="V1263" s="49">
        <f>IF(ISNUMBER(U1263),ABS(U1263),"")</f>
        <v/>
      </c>
      <c r="W1263" s="49">
        <f>IF(OR($E1262&lt;&gt;"측정",$C1262&lt;&gt;$C1263,$D1262&lt;&gt;$D1263,NOT(ISNUMBER(M1263)),NOT(ISNUMBER(M1262)),(IF(ISNUMBER(H1263),H1263,G1263)-IF(ISNUMBER(H1262),H1262,G1262))=0),"",(M1263-M1262)/(IF(ISNUMBER(H1263),H1263,G1263)-IF(ISNUMBER(H1262),H1262,G1262)))</f>
        <v/>
      </c>
      <c r="X1263" s="31">
        <f>IF(NOT(AND(ISNUMBER(O1263),ISNUMBER(Q1263))),"",(Q1263-O1263)*1440)</f>
        <v/>
      </c>
      <c r="Y1263" s="29" t="n"/>
      <c r="Z1263" s="29" t="n"/>
      <c r="AA1263" s="29" t="n"/>
      <c r="AB1263" s="32" t="n"/>
      <c r="AC1263" s="32" t="n"/>
    </row>
    <row r="1264">
      <c r="A1264" s="26" t="inlineStr">
        <is>
          <t>S25</t>
        </is>
      </c>
      <c r="B1264" s="26" t="inlineStr">
        <is>
          <t>관리 신규점3</t>
        </is>
      </c>
      <c r="C1264" s="26" t="inlineStr">
        <is>
          <t>S25-H동</t>
        </is>
      </c>
      <c r="D1264" s="47" t="n">
        <v>1</v>
      </c>
      <c r="E1264" s="26" t="inlineStr">
        <is>
          <t>측정</t>
        </is>
      </c>
      <c r="F1264" s="26" t="inlineStr">
        <is>
          <t>동</t>
        </is>
      </c>
      <c r="G1264" s="31" t="n">
        <v>9</v>
      </c>
      <c r="H1264" s="30" t="n"/>
      <c r="I1264" s="43" t="n"/>
      <c r="J1264" s="41" t="n"/>
      <c r="K1264" s="41" t="n"/>
      <c r="L1264" s="41" t="n"/>
      <c r="M1264" s="31">
        <f>IF(COUNT(J1264:L1264)=0,"",MEDIAN(J1264:L1264))</f>
        <v/>
      </c>
      <c r="N1264" s="26">
        <f>IF(COUNTIFS($C:$C,$C1264,$D:$D,$D1264,$E:$E,"P0(전)",$M:$M,"&gt;0")&lt;&gt;1,"P0(전) 유효 1개 아님",IF(COUNTIFS($C:$C,$C1264,$D:$D,$D1264,$E:$E,"P0(후)",$M:$M,"&gt;0")&lt;&gt;1,"P0(후) 유효 1개 아님",IF(NOT(AND(ISNUMBER(O1264),ISNUMBER(Q1264),ISNUMBER(I1264))),"시각 결측",IF(Q1264&lt;=O1264,"P0 시각 역전",IF(OR(I1264&lt;O1264,I1264&gt;Q1264),"측정시각 구간 밖","OK")))))</f>
        <v/>
      </c>
      <c r="O1264" s="48">
        <f>IF(COUNTIFS($C:$C,$C1264,$D:$D,$D1264,$E:$E,"P0(전)",$M:$M,"&gt;0")&lt;&gt;1,"",SUMIFS($I:$I,$C:$C,$C1264,$D:$D,$D1264,$E:$E,"P0(전)"))</f>
        <v/>
      </c>
      <c r="P1264" s="31">
        <f>IF(COUNTIFS($C:$C,$C1264,$D:$D,$D1264,$E:$E,"P0(전)",$M:$M,"&gt;0")&lt;&gt;1,"",SUMIFS($M:$M,$C:$C,$C1264,$D:$D,$D1264,$E:$E,"P0(전)"))</f>
        <v/>
      </c>
      <c r="Q1264" s="48">
        <f>IF(COUNTIFS($C:$C,$C1264,$D:$D,$D1264,$E:$E,"P0(후)",$M:$M,"&gt;0")&lt;&gt;1,"",SUMIFS($I:$I,$C:$C,$C1264,$D:$D,$D1264,$E:$E,"P0(후)"))</f>
        <v/>
      </c>
      <c r="R1264" s="31">
        <f>IF(COUNTIFS($C:$C,$C1264,$D:$D,$D1264,$E:$E,"P0(후)",$M:$M,"&gt;0")&lt;&gt;1,"",SUMIFS($M:$M,$C:$C,$C1264,$D:$D,$D1264,$E:$E,"P0(후)"))</f>
        <v/>
      </c>
      <c r="S1264" s="31">
        <f>IF(N1264&lt;&gt;"OK","",P1264+(R1264-P1264)*(I1264-O1264)/(Q1264-O1264))</f>
        <v/>
      </c>
      <c r="T1264" s="31">
        <f>IF(OR(N1264&lt;&gt;"OK",NOT(ISNUMBER(M1264))),"",M1264-S1264)</f>
        <v/>
      </c>
      <c r="U1264" s="49">
        <f>IF(OR(NOT(ISNUMBER(T1264)),IF(ISNUMBER(H1264),H1264,G1264)=0),"",T1264/IF(ISNUMBER(H1264),H1264,G1264))</f>
        <v/>
      </c>
      <c r="V1264" s="49">
        <f>IF(ISNUMBER(U1264),ABS(U1264),"")</f>
        <v/>
      </c>
      <c r="W1264" s="49">
        <f>IF(OR($E1263&lt;&gt;"측정",$C1263&lt;&gt;$C1264,$D1263&lt;&gt;$D1264,NOT(ISNUMBER(M1264)),NOT(ISNUMBER(M1263)),(IF(ISNUMBER(H1264),H1264,G1264)-IF(ISNUMBER(H1263),H1263,G1263))=0),"",(M1264-M1263)/(IF(ISNUMBER(H1264),H1264,G1264)-IF(ISNUMBER(H1263),H1263,G1263)))</f>
        <v/>
      </c>
      <c r="X1264" s="31">
        <f>IF(NOT(AND(ISNUMBER(O1264),ISNUMBER(Q1264))),"",(Q1264-O1264)*1440)</f>
        <v/>
      </c>
      <c r="Y1264" s="29" t="n"/>
      <c r="Z1264" s="29" t="n"/>
      <c r="AA1264" s="29" t="n"/>
      <c r="AB1264" s="32" t="n"/>
      <c r="AC1264" s="32" t="n"/>
    </row>
    <row r="1265">
      <c r="A1265" s="26" t="inlineStr">
        <is>
          <t>S25</t>
        </is>
      </c>
      <c r="B1265" s="26" t="inlineStr">
        <is>
          <t>관리 신규점3</t>
        </is>
      </c>
      <c r="C1265" s="26" t="inlineStr">
        <is>
          <t>S25-H동</t>
        </is>
      </c>
      <c r="D1265" s="47" t="n">
        <v>1</v>
      </c>
      <c r="E1265" s="26" t="inlineStr">
        <is>
          <t>측정</t>
        </is>
      </c>
      <c r="F1265" s="26" t="inlineStr">
        <is>
          <t>동</t>
        </is>
      </c>
      <c r="G1265" s="31" t="n">
        <v>10</v>
      </c>
      <c r="H1265" s="30" t="n"/>
      <c r="I1265" s="43" t="n"/>
      <c r="J1265" s="41" t="n"/>
      <c r="K1265" s="41" t="n"/>
      <c r="L1265" s="41" t="n"/>
      <c r="M1265" s="31">
        <f>IF(COUNT(J1265:L1265)=0,"",MEDIAN(J1265:L1265))</f>
        <v/>
      </c>
      <c r="N1265" s="26">
        <f>IF(COUNTIFS($C:$C,$C1265,$D:$D,$D1265,$E:$E,"P0(전)",$M:$M,"&gt;0")&lt;&gt;1,"P0(전) 유효 1개 아님",IF(COUNTIFS($C:$C,$C1265,$D:$D,$D1265,$E:$E,"P0(후)",$M:$M,"&gt;0")&lt;&gt;1,"P0(후) 유효 1개 아님",IF(NOT(AND(ISNUMBER(O1265),ISNUMBER(Q1265),ISNUMBER(I1265))),"시각 결측",IF(Q1265&lt;=O1265,"P0 시각 역전",IF(OR(I1265&lt;O1265,I1265&gt;Q1265),"측정시각 구간 밖","OK")))))</f>
        <v/>
      </c>
      <c r="O1265" s="48">
        <f>IF(COUNTIFS($C:$C,$C1265,$D:$D,$D1265,$E:$E,"P0(전)",$M:$M,"&gt;0")&lt;&gt;1,"",SUMIFS($I:$I,$C:$C,$C1265,$D:$D,$D1265,$E:$E,"P0(전)"))</f>
        <v/>
      </c>
      <c r="P1265" s="31">
        <f>IF(COUNTIFS($C:$C,$C1265,$D:$D,$D1265,$E:$E,"P0(전)",$M:$M,"&gt;0")&lt;&gt;1,"",SUMIFS($M:$M,$C:$C,$C1265,$D:$D,$D1265,$E:$E,"P0(전)"))</f>
        <v/>
      </c>
      <c r="Q1265" s="48">
        <f>IF(COUNTIFS($C:$C,$C1265,$D:$D,$D1265,$E:$E,"P0(후)",$M:$M,"&gt;0")&lt;&gt;1,"",SUMIFS($I:$I,$C:$C,$C1265,$D:$D,$D1265,$E:$E,"P0(후)"))</f>
        <v/>
      </c>
      <c r="R1265" s="31">
        <f>IF(COUNTIFS($C:$C,$C1265,$D:$D,$D1265,$E:$E,"P0(후)",$M:$M,"&gt;0")&lt;&gt;1,"",SUMIFS($M:$M,$C:$C,$C1265,$D:$D,$D1265,$E:$E,"P0(후)"))</f>
        <v/>
      </c>
      <c r="S1265" s="31">
        <f>IF(N1265&lt;&gt;"OK","",P1265+(R1265-P1265)*(I1265-O1265)/(Q1265-O1265))</f>
        <v/>
      </c>
      <c r="T1265" s="31">
        <f>IF(OR(N1265&lt;&gt;"OK",NOT(ISNUMBER(M1265))),"",M1265-S1265)</f>
        <v/>
      </c>
      <c r="U1265" s="49">
        <f>IF(OR(NOT(ISNUMBER(T1265)),IF(ISNUMBER(H1265),H1265,G1265)=0),"",T1265/IF(ISNUMBER(H1265),H1265,G1265))</f>
        <v/>
      </c>
      <c r="V1265" s="49">
        <f>IF(ISNUMBER(U1265),ABS(U1265),"")</f>
        <v/>
      </c>
      <c r="W1265" s="49">
        <f>IF(OR($E1264&lt;&gt;"측정",$C1264&lt;&gt;$C1265,$D1264&lt;&gt;$D1265,NOT(ISNUMBER(M1265)),NOT(ISNUMBER(M1264)),(IF(ISNUMBER(H1265),H1265,G1265)-IF(ISNUMBER(H1264),H1264,G1264))=0),"",(M1265-M1264)/(IF(ISNUMBER(H1265),H1265,G1265)-IF(ISNUMBER(H1264),H1264,G1264)))</f>
        <v/>
      </c>
      <c r="X1265" s="31">
        <f>IF(NOT(AND(ISNUMBER(O1265),ISNUMBER(Q1265))),"",(Q1265-O1265)*1440)</f>
        <v/>
      </c>
      <c r="Y1265" s="29" t="n"/>
      <c r="Z1265" s="29" t="n"/>
      <c r="AA1265" s="29" t="n"/>
      <c r="AB1265" s="32" t="n"/>
      <c r="AC1265" s="32" t="n"/>
    </row>
    <row r="1266">
      <c r="A1266" s="44" t="inlineStr">
        <is>
          <t>S25</t>
        </is>
      </c>
      <c r="B1266" s="44" t="inlineStr">
        <is>
          <t>관리 신규점3</t>
        </is>
      </c>
      <c r="C1266" s="44" t="inlineStr">
        <is>
          <t>S25-H동</t>
        </is>
      </c>
      <c r="D1266" s="45" t="n">
        <v>1</v>
      </c>
      <c r="E1266" s="44" t="inlineStr">
        <is>
          <t>P0(후)</t>
        </is>
      </c>
      <c r="F1266" s="44" t="inlineStr">
        <is>
          <t>동</t>
        </is>
      </c>
      <c r="G1266" s="46" t="n"/>
      <c r="H1266" s="30" t="n"/>
      <c r="I1266" s="43" t="n"/>
      <c r="J1266" s="41" t="n"/>
      <c r="K1266" s="41" t="n"/>
      <c r="L1266" s="41" t="n"/>
      <c r="M1266" s="31">
        <f>IF(COUNT(J1266:L1266)=0,"",MEDIAN(J1266:L1266))</f>
        <v/>
      </c>
      <c r="N1266" s="38" t="n"/>
      <c r="O1266" s="38" t="n"/>
      <c r="P1266" s="38" t="n"/>
      <c r="Q1266" s="38" t="n"/>
      <c r="R1266" s="38" t="n"/>
      <c r="S1266" s="38" t="n"/>
      <c r="T1266" s="38" t="n"/>
      <c r="U1266" s="38" t="n"/>
      <c r="V1266" s="38" t="n"/>
      <c r="W1266" s="38" t="n"/>
      <c r="X1266" s="38" t="n"/>
      <c r="Y1266" s="29" t="n"/>
      <c r="Z1266" s="29" t="n"/>
      <c r="AA1266" s="29" t="n"/>
      <c r="AB1266" s="32" t="n"/>
      <c r="AC1266" s="32" t="n"/>
    </row>
    <row r="1267">
      <c r="A1267" s="44" t="inlineStr">
        <is>
          <t>S25</t>
        </is>
      </c>
      <c r="B1267" s="44" t="inlineStr">
        <is>
          <t>관리 신규점3</t>
        </is>
      </c>
      <c r="C1267" s="44" t="inlineStr">
        <is>
          <t>S25-H서</t>
        </is>
      </c>
      <c r="D1267" s="45" t="n">
        <v>1</v>
      </c>
      <c r="E1267" s="44" t="inlineStr">
        <is>
          <t>P0(전)</t>
        </is>
      </c>
      <c r="F1267" s="44" t="inlineStr">
        <is>
          <t>서</t>
        </is>
      </c>
      <c r="G1267" s="46" t="n"/>
      <c r="H1267" s="30" t="n"/>
      <c r="I1267" s="43" t="n"/>
      <c r="J1267" s="41" t="n"/>
      <c r="K1267" s="41" t="n"/>
      <c r="L1267" s="41" t="n"/>
      <c r="M1267" s="31">
        <f>IF(COUNT(J1267:L1267)=0,"",MEDIAN(J1267:L1267))</f>
        <v/>
      </c>
      <c r="N1267" s="38" t="n"/>
      <c r="O1267" s="38" t="n"/>
      <c r="P1267" s="38" t="n"/>
      <c r="Q1267" s="38" t="n"/>
      <c r="R1267" s="38" t="n"/>
      <c r="S1267" s="38" t="n"/>
      <c r="T1267" s="38" t="n"/>
      <c r="U1267" s="38" t="n"/>
      <c r="V1267" s="38" t="n"/>
      <c r="W1267" s="38" t="n"/>
      <c r="X1267" s="38" t="n"/>
      <c r="Y1267" s="29" t="n"/>
      <c r="Z1267" s="29" t="n"/>
      <c r="AA1267" s="29" t="n"/>
      <c r="AB1267" s="32" t="n"/>
      <c r="AC1267" s="32" t="n"/>
    </row>
    <row r="1268">
      <c r="A1268" s="26" t="inlineStr">
        <is>
          <t>S25</t>
        </is>
      </c>
      <c r="B1268" s="26" t="inlineStr">
        <is>
          <t>관리 신규점3</t>
        </is>
      </c>
      <c r="C1268" s="26" t="inlineStr">
        <is>
          <t>S25-H서</t>
        </is>
      </c>
      <c r="D1268" s="47" t="n">
        <v>1</v>
      </c>
      <c r="E1268" s="26" t="inlineStr">
        <is>
          <t>측정</t>
        </is>
      </c>
      <c r="F1268" s="26" t="inlineStr">
        <is>
          <t>서</t>
        </is>
      </c>
      <c r="G1268" s="31" t="n">
        <v>0.5</v>
      </c>
      <c r="H1268" s="30" t="n"/>
      <c r="I1268" s="43" t="n"/>
      <c r="J1268" s="41" t="n"/>
      <c r="K1268" s="41" t="n"/>
      <c r="L1268" s="41" t="n"/>
      <c r="M1268" s="31">
        <f>IF(COUNT(J1268:L1268)=0,"",MEDIAN(J1268:L1268))</f>
        <v/>
      </c>
      <c r="N1268" s="26">
        <f>IF(COUNTIFS($C:$C,$C1268,$D:$D,$D1268,$E:$E,"P0(전)",$M:$M,"&gt;0")&lt;&gt;1,"P0(전) 유효 1개 아님",IF(COUNTIFS($C:$C,$C1268,$D:$D,$D1268,$E:$E,"P0(후)",$M:$M,"&gt;0")&lt;&gt;1,"P0(후) 유효 1개 아님",IF(NOT(AND(ISNUMBER(O1268),ISNUMBER(Q1268),ISNUMBER(I1268))),"시각 결측",IF(Q1268&lt;=O1268,"P0 시각 역전",IF(OR(I1268&lt;O1268,I1268&gt;Q1268),"측정시각 구간 밖","OK")))))</f>
        <v/>
      </c>
      <c r="O1268" s="48">
        <f>IF(COUNTIFS($C:$C,$C1268,$D:$D,$D1268,$E:$E,"P0(전)",$M:$M,"&gt;0")&lt;&gt;1,"",SUMIFS($I:$I,$C:$C,$C1268,$D:$D,$D1268,$E:$E,"P0(전)"))</f>
        <v/>
      </c>
      <c r="P1268" s="31">
        <f>IF(COUNTIFS($C:$C,$C1268,$D:$D,$D1268,$E:$E,"P0(전)",$M:$M,"&gt;0")&lt;&gt;1,"",SUMIFS($M:$M,$C:$C,$C1268,$D:$D,$D1268,$E:$E,"P0(전)"))</f>
        <v/>
      </c>
      <c r="Q1268" s="48">
        <f>IF(COUNTIFS($C:$C,$C1268,$D:$D,$D1268,$E:$E,"P0(후)",$M:$M,"&gt;0")&lt;&gt;1,"",SUMIFS($I:$I,$C:$C,$C1268,$D:$D,$D1268,$E:$E,"P0(후)"))</f>
        <v/>
      </c>
      <c r="R1268" s="31">
        <f>IF(COUNTIFS($C:$C,$C1268,$D:$D,$D1268,$E:$E,"P0(후)",$M:$M,"&gt;0")&lt;&gt;1,"",SUMIFS($M:$M,$C:$C,$C1268,$D:$D,$D1268,$E:$E,"P0(후)"))</f>
        <v/>
      </c>
      <c r="S1268" s="31">
        <f>IF(N1268&lt;&gt;"OK","",P1268+(R1268-P1268)*(I1268-O1268)/(Q1268-O1268))</f>
        <v/>
      </c>
      <c r="T1268" s="31">
        <f>IF(OR(N1268&lt;&gt;"OK",NOT(ISNUMBER(M1268))),"",M1268-S1268)</f>
        <v/>
      </c>
      <c r="U1268" s="49">
        <f>IF(OR(NOT(ISNUMBER(T1268)),IF(ISNUMBER(H1268),H1268,G1268)=0),"",T1268/IF(ISNUMBER(H1268),H1268,G1268))</f>
        <v/>
      </c>
      <c r="V1268" s="49">
        <f>IF(ISNUMBER(U1268),ABS(U1268),"")</f>
        <v/>
      </c>
      <c r="W1268" s="49">
        <f>IF(OR($E1267&lt;&gt;"측정",$C1267&lt;&gt;$C1268,$D1267&lt;&gt;$D1268,NOT(ISNUMBER(M1268)),NOT(ISNUMBER(M1267)),(IF(ISNUMBER(H1268),H1268,G1268)-IF(ISNUMBER(H1267),H1267,G1267))=0),"",(M1268-M1267)/(IF(ISNUMBER(H1268),H1268,G1268)-IF(ISNUMBER(H1267),H1267,G1267)))</f>
        <v/>
      </c>
      <c r="X1268" s="31">
        <f>IF(NOT(AND(ISNUMBER(O1268),ISNUMBER(Q1268))),"",(Q1268-O1268)*1440)</f>
        <v/>
      </c>
      <c r="Y1268" s="29" t="n"/>
      <c r="Z1268" s="29" t="n"/>
      <c r="AA1268" s="29" t="n"/>
      <c r="AB1268" s="32" t="n"/>
      <c r="AC1268" s="32" t="n"/>
    </row>
    <row r="1269">
      <c r="A1269" s="26" t="inlineStr">
        <is>
          <t>S25</t>
        </is>
      </c>
      <c r="B1269" s="26" t="inlineStr">
        <is>
          <t>관리 신규점3</t>
        </is>
      </c>
      <c r="C1269" s="26" t="inlineStr">
        <is>
          <t>S25-H서</t>
        </is>
      </c>
      <c r="D1269" s="47" t="n">
        <v>1</v>
      </c>
      <c r="E1269" s="26" t="inlineStr">
        <is>
          <t>측정</t>
        </is>
      </c>
      <c r="F1269" s="26" t="inlineStr">
        <is>
          <t>서</t>
        </is>
      </c>
      <c r="G1269" s="31" t="n">
        <v>1</v>
      </c>
      <c r="H1269" s="30" t="n"/>
      <c r="I1269" s="43" t="n"/>
      <c r="J1269" s="41" t="n"/>
      <c r="K1269" s="41" t="n"/>
      <c r="L1269" s="41" t="n"/>
      <c r="M1269" s="31">
        <f>IF(COUNT(J1269:L1269)=0,"",MEDIAN(J1269:L1269))</f>
        <v/>
      </c>
      <c r="N1269" s="26">
        <f>IF(COUNTIFS($C:$C,$C1269,$D:$D,$D1269,$E:$E,"P0(전)",$M:$M,"&gt;0")&lt;&gt;1,"P0(전) 유효 1개 아님",IF(COUNTIFS($C:$C,$C1269,$D:$D,$D1269,$E:$E,"P0(후)",$M:$M,"&gt;0")&lt;&gt;1,"P0(후) 유효 1개 아님",IF(NOT(AND(ISNUMBER(O1269),ISNUMBER(Q1269),ISNUMBER(I1269))),"시각 결측",IF(Q1269&lt;=O1269,"P0 시각 역전",IF(OR(I1269&lt;O1269,I1269&gt;Q1269),"측정시각 구간 밖","OK")))))</f>
        <v/>
      </c>
      <c r="O1269" s="48">
        <f>IF(COUNTIFS($C:$C,$C1269,$D:$D,$D1269,$E:$E,"P0(전)",$M:$M,"&gt;0")&lt;&gt;1,"",SUMIFS($I:$I,$C:$C,$C1269,$D:$D,$D1269,$E:$E,"P0(전)"))</f>
        <v/>
      </c>
      <c r="P1269" s="31">
        <f>IF(COUNTIFS($C:$C,$C1269,$D:$D,$D1269,$E:$E,"P0(전)",$M:$M,"&gt;0")&lt;&gt;1,"",SUMIFS($M:$M,$C:$C,$C1269,$D:$D,$D1269,$E:$E,"P0(전)"))</f>
        <v/>
      </c>
      <c r="Q1269" s="48">
        <f>IF(COUNTIFS($C:$C,$C1269,$D:$D,$D1269,$E:$E,"P0(후)",$M:$M,"&gt;0")&lt;&gt;1,"",SUMIFS($I:$I,$C:$C,$C1269,$D:$D,$D1269,$E:$E,"P0(후)"))</f>
        <v/>
      </c>
      <c r="R1269" s="31">
        <f>IF(COUNTIFS($C:$C,$C1269,$D:$D,$D1269,$E:$E,"P0(후)",$M:$M,"&gt;0")&lt;&gt;1,"",SUMIFS($M:$M,$C:$C,$C1269,$D:$D,$D1269,$E:$E,"P0(후)"))</f>
        <v/>
      </c>
      <c r="S1269" s="31">
        <f>IF(N1269&lt;&gt;"OK","",P1269+(R1269-P1269)*(I1269-O1269)/(Q1269-O1269))</f>
        <v/>
      </c>
      <c r="T1269" s="31">
        <f>IF(OR(N1269&lt;&gt;"OK",NOT(ISNUMBER(M1269))),"",M1269-S1269)</f>
        <v/>
      </c>
      <c r="U1269" s="49">
        <f>IF(OR(NOT(ISNUMBER(T1269)),IF(ISNUMBER(H1269),H1269,G1269)=0),"",T1269/IF(ISNUMBER(H1269),H1269,G1269))</f>
        <v/>
      </c>
      <c r="V1269" s="49">
        <f>IF(ISNUMBER(U1269),ABS(U1269),"")</f>
        <v/>
      </c>
      <c r="W1269" s="49">
        <f>IF(OR($E1268&lt;&gt;"측정",$C1268&lt;&gt;$C1269,$D1268&lt;&gt;$D1269,NOT(ISNUMBER(M1269)),NOT(ISNUMBER(M1268)),(IF(ISNUMBER(H1269),H1269,G1269)-IF(ISNUMBER(H1268),H1268,G1268))=0),"",(M1269-M1268)/(IF(ISNUMBER(H1269),H1269,G1269)-IF(ISNUMBER(H1268),H1268,G1268)))</f>
        <v/>
      </c>
      <c r="X1269" s="31">
        <f>IF(NOT(AND(ISNUMBER(O1269),ISNUMBER(Q1269))),"",(Q1269-O1269)*1440)</f>
        <v/>
      </c>
      <c r="Y1269" s="29" t="n"/>
      <c r="Z1269" s="29" t="n"/>
      <c r="AA1269" s="29" t="n"/>
      <c r="AB1269" s="32" t="n"/>
      <c r="AC1269" s="32" t="n"/>
    </row>
    <row r="1270">
      <c r="A1270" s="26" t="inlineStr">
        <is>
          <t>S25</t>
        </is>
      </c>
      <c r="B1270" s="26" t="inlineStr">
        <is>
          <t>관리 신규점3</t>
        </is>
      </c>
      <c r="C1270" s="26" t="inlineStr">
        <is>
          <t>S25-H서</t>
        </is>
      </c>
      <c r="D1270" s="47" t="n">
        <v>1</v>
      </c>
      <c r="E1270" s="26" t="inlineStr">
        <is>
          <t>측정</t>
        </is>
      </c>
      <c r="F1270" s="26" t="inlineStr">
        <is>
          <t>서</t>
        </is>
      </c>
      <c r="G1270" s="31" t="n">
        <v>2</v>
      </c>
      <c r="H1270" s="30" t="n"/>
      <c r="I1270" s="43" t="n"/>
      <c r="J1270" s="41" t="n"/>
      <c r="K1270" s="41" t="n"/>
      <c r="L1270" s="41" t="n"/>
      <c r="M1270" s="31">
        <f>IF(COUNT(J1270:L1270)=0,"",MEDIAN(J1270:L1270))</f>
        <v/>
      </c>
      <c r="N1270" s="26">
        <f>IF(COUNTIFS($C:$C,$C1270,$D:$D,$D1270,$E:$E,"P0(전)",$M:$M,"&gt;0")&lt;&gt;1,"P0(전) 유효 1개 아님",IF(COUNTIFS($C:$C,$C1270,$D:$D,$D1270,$E:$E,"P0(후)",$M:$M,"&gt;0")&lt;&gt;1,"P0(후) 유효 1개 아님",IF(NOT(AND(ISNUMBER(O1270),ISNUMBER(Q1270),ISNUMBER(I1270))),"시각 결측",IF(Q1270&lt;=O1270,"P0 시각 역전",IF(OR(I1270&lt;O1270,I1270&gt;Q1270),"측정시각 구간 밖","OK")))))</f>
        <v/>
      </c>
      <c r="O1270" s="48">
        <f>IF(COUNTIFS($C:$C,$C1270,$D:$D,$D1270,$E:$E,"P0(전)",$M:$M,"&gt;0")&lt;&gt;1,"",SUMIFS($I:$I,$C:$C,$C1270,$D:$D,$D1270,$E:$E,"P0(전)"))</f>
        <v/>
      </c>
      <c r="P1270" s="31">
        <f>IF(COUNTIFS($C:$C,$C1270,$D:$D,$D1270,$E:$E,"P0(전)",$M:$M,"&gt;0")&lt;&gt;1,"",SUMIFS($M:$M,$C:$C,$C1270,$D:$D,$D1270,$E:$E,"P0(전)"))</f>
        <v/>
      </c>
      <c r="Q1270" s="48">
        <f>IF(COUNTIFS($C:$C,$C1270,$D:$D,$D1270,$E:$E,"P0(후)",$M:$M,"&gt;0")&lt;&gt;1,"",SUMIFS($I:$I,$C:$C,$C1270,$D:$D,$D1270,$E:$E,"P0(후)"))</f>
        <v/>
      </c>
      <c r="R1270" s="31">
        <f>IF(COUNTIFS($C:$C,$C1270,$D:$D,$D1270,$E:$E,"P0(후)",$M:$M,"&gt;0")&lt;&gt;1,"",SUMIFS($M:$M,$C:$C,$C1270,$D:$D,$D1270,$E:$E,"P0(후)"))</f>
        <v/>
      </c>
      <c r="S1270" s="31">
        <f>IF(N1270&lt;&gt;"OK","",P1270+(R1270-P1270)*(I1270-O1270)/(Q1270-O1270))</f>
        <v/>
      </c>
      <c r="T1270" s="31">
        <f>IF(OR(N1270&lt;&gt;"OK",NOT(ISNUMBER(M1270))),"",M1270-S1270)</f>
        <v/>
      </c>
      <c r="U1270" s="49">
        <f>IF(OR(NOT(ISNUMBER(T1270)),IF(ISNUMBER(H1270),H1270,G1270)=0),"",T1270/IF(ISNUMBER(H1270),H1270,G1270))</f>
        <v/>
      </c>
      <c r="V1270" s="49">
        <f>IF(ISNUMBER(U1270),ABS(U1270),"")</f>
        <v/>
      </c>
      <c r="W1270" s="49">
        <f>IF(OR($E1269&lt;&gt;"측정",$C1269&lt;&gt;$C1270,$D1269&lt;&gt;$D1270,NOT(ISNUMBER(M1270)),NOT(ISNUMBER(M1269)),(IF(ISNUMBER(H1270),H1270,G1270)-IF(ISNUMBER(H1269),H1269,G1269))=0),"",(M1270-M1269)/(IF(ISNUMBER(H1270),H1270,G1270)-IF(ISNUMBER(H1269),H1269,G1269)))</f>
        <v/>
      </c>
      <c r="X1270" s="31">
        <f>IF(NOT(AND(ISNUMBER(O1270),ISNUMBER(Q1270))),"",(Q1270-O1270)*1440)</f>
        <v/>
      </c>
      <c r="Y1270" s="29" t="n"/>
      <c r="Z1270" s="29" t="n"/>
      <c r="AA1270" s="29" t="n"/>
      <c r="AB1270" s="32" t="n"/>
      <c r="AC1270" s="32" t="n"/>
    </row>
    <row r="1271">
      <c r="A1271" s="26" t="inlineStr">
        <is>
          <t>S25</t>
        </is>
      </c>
      <c r="B1271" s="26" t="inlineStr">
        <is>
          <t>관리 신규점3</t>
        </is>
      </c>
      <c r="C1271" s="26" t="inlineStr">
        <is>
          <t>S25-H서</t>
        </is>
      </c>
      <c r="D1271" s="47" t="n">
        <v>1</v>
      </c>
      <c r="E1271" s="26" t="inlineStr">
        <is>
          <t>측정</t>
        </is>
      </c>
      <c r="F1271" s="26" t="inlineStr">
        <is>
          <t>서</t>
        </is>
      </c>
      <c r="G1271" s="31" t="n">
        <v>3</v>
      </c>
      <c r="H1271" s="30" t="n"/>
      <c r="I1271" s="43" t="n"/>
      <c r="J1271" s="41" t="n"/>
      <c r="K1271" s="41" t="n"/>
      <c r="L1271" s="41" t="n"/>
      <c r="M1271" s="31">
        <f>IF(COUNT(J1271:L1271)=0,"",MEDIAN(J1271:L1271))</f>
        <v/>
      </c>
      <c r="N1271" s="26">
        <f>IF(COUNTIFS($C:$C,$C1271,$D:$D,$D1271,$E:$E,"P0(전)",$M:$M,"&gt;0")&lt;&gt;1,"P0(전) 유효 1개 아님",IF(COUNTIFS($C:$C,$C1271,$D:$D,$D1271,$E:$E,"P0(후)",$M:$M,"&gt;0")&lt;&gt;1,"P0(후) 유효 1개 아님",IF(NOT(AND(ISNUMBER(O1271),ISNUMBER(Q1271),ISNUMBER(I1271))),"시각 결측",IF(Q1271&lt;=O1271,"P0 시각 역전",IF(OR(I1271&lt;O1271,I1271&gt;Q1271),"측정시각 구간 밖","OK")))))</f>
        <v/>
      </c>
      <c r="O1271" s="48">
        <f>IF(COUNTIFS($C:$C,$C1271,$D:$D,$D1271,$E:$E,"P0(전)",$M:$M,"&gt;0")&lt;&gt;1,"",SUMIFS($I:$I,$C:$C,$C1271,$D:$D,$D1271,$E:$E,"P0(전)"))</f>
        <v/>
      </c>
      <c r="P1271" s="31">
        <f>IF(COUNTIFS($C:$C,$C1271,$D:$D,$D1271,$E:$E,"P0(전)",$M:$M,"&gt;0")&lt;&gt;1,"",SUMIFS($M:$M,$C:$C,$C1271,$D:$D,$D1271,$E:$E,"P0(전)"))</f>
        <v/>
      </c>
      <c r="Q1271" s="48">
        <f>IF(COUNTIFS($C:$C,$C1271,$D:$D,$D1271,$E:$E,"P0(후)",$M:$M,"&gt;0")&lt;&gt;1,"",SUMIFS($I:$I,$C:$C,$C1271,$D:$D,$D1271,$E:$E,"P0(후)"))</f>
        <v/>
      </c>
      <c r="R1271" s="31">
        <f>IF(COUNTIFS($C:$C,$C1271,$D:$D,$D1271,$E:$E,"P0(후)",$M:$M,"&gt;0")&lt;&gt;1,"",SUMIFS($M:$M,$C:$C,$C1271,$D:$D,$D1271,$E:$E,"P0(후)"))</f>
        <v/>
      </c>
      <c r="S1271" s="31">
        <f>IF(N1271&lt;&gt;"OK","",P1271+(R1271-P1271)*(I1271-O1271)/(Q1271-O1271))</f>
        <v/>
      </c>
      <c r="T1271" s="31">
        <f>IF(OR(N1271&lt;&gt;"OK",NOT(ISNUMBER(M1271))),"",M1271-S1271)</f>
        <v/>
      </c>
      <c r="U1271" s="49">
        <f>IF(OR(NOT(ISNUMBER(T1271)),IF(ISNUMBER(H1271),H1271,G1271)=0),"",T1271/IF(ISNUMBER(H1271),H1271,G1271))</f>
        <v/>
      </c>
      <c r="V1271" s="49">
        <f>IF(ISNUMBER(U1271),ABS(U1271),"")</f>
        <v/>
      </c>
      <c r="W1271" s="49">
        <f>IF(OR($E1270&lt;&gt;"측정",$C1270&lt;&gt;$C1271,$D1270&lt;&gt;$D1271,NOT(ISNUMBER(M1271)),NOT(ISNUMBER(M1270)),(IF(ISNUMBER(H1271),H1271,G1271)-IF(ISNUMBER(H1270),H1270,G1270))=0),"",(M1271-M1270)/(IF(ISNUMBER(H1271),H1271,G1271)-IF(ISNUMBER(H1270),H1270,G1270)))</f>
        <v/>
      </c>
      <c r="X1271" s="31">
        <f>IF(NOT(AND(ISNUMBER(O1271),ISNUMBER(Q1271))),"",(Q1271-O1271)*1440)</f>
        <v/>
      </c>
      <c r="Y1271" s="29" t="n"/>
      <c r="Z1271" s="29" t="n"/>
      <c r="AA1271" s="29" t="n"/>
      <c r="AB1271" s="32" t="n"/>
      <c r="AC1271" s="32" t="n"/>
    </row>
    <row r="1272">
      <c r="A1272" s="26" t="inlineStr">
        <is>
          <t>S25</t>
        </is>
      </c>
      <c r="B1272" s="26" t="inlineStr">
        <is>
          <t>관리 신규점3</t>
        </is>
      </c>
      <c r="C1272" s="26" t="inlineStr">
        <is>
          <t>S25-H서</t>
        </is>
      </c>
      <c r="D1272" s="47" t="n">
        <v>1</v>
      </c>
      <c r="E1272" s="26" t="inlineStr">
        <is>
          <t>측정</t>
        </is>
      </c>
      <c r="F1272" s="26" t="inlineStr">
        <is>
          <t>서</t>
        </is>
      </c>
      <c r="G1272" s="31" t="n">
        <v>4</v>
      </c>
      <c r="H1272" s="30" t="n"/>
      <c r="I1272" s="43" t="n"/>
      <c r="J1272" s="41" t="n"/>
      <c r="K1272" s="41" t="n"/>
      <c r="L1272" s="41" t="n"/>
      <c r="M1272" s="31">
        <f>IF(COUNT(J1272:L1272)=0,"",MEDIAN(J1272:L1272))</f>
        <v/>
      </c>
      <c r="N1272" s="26">
        <f>IF(COUNTIFS($C:$C,$C1272,$D:$D,$D1272,$E:$E,"P0(전)",$M:$M,"&gt;0")&lt;&gt;1,"P0(전) 유효 1개 아님",IF(COUNTIFS($C:$C,$C1272,$D:$D,$D1272,$E:$E,"P0(후)",$M:$M,"&gt;0")&lt;&gt;1,"P0(후) 유효 1개 아님",IF(NOT(AND(ISNUMBER(O1272),ISNUMBER(Q1272),ISNUMBER(I1272))),"시각 결측",IF(Q1272&lt;=O1272,"P0 시각 역전",IF(OR(I1272&lt;O1272,I1272&gt;Q1272),"측정시각 구간 밖","OK")))))</f>
        <v/>
      </c>
      <c r="O1272" s="48">
        <f>IF(COUNTIFS($C:$C,$C1272,$D:$D,$D1272,$E:$E,"P0(전)",$M:$M,"&gt;0")&lt;&gt;1,"",SUMIFS($I:$I,$C:$C,$C1272,$D:$D,$D1272,$E:$E,"P0(전)"))</f>
        <v/>
      </c>
      <c r="P1272" s="31">
        <f>IF(COUNTIFS($C:$C,$C1272,$D:$D,$D1272,$E:$E,"P0(전)",$M:$M,"&gt;0")&lt;&gt;1,"",SUMIFS($M:$M,$C:$C,$C1272,$D:$D,$D1272,$E:$E,"P0(전)"))</f>
        <v/>
      </c>
      <c r="Q1272" s="48">
        <f>IF(COUNTIFS($C:$C,$C1272,$D:$D,$D1272,$E:$E,"P0(후)",$M:$M,"&gt;0")&lt;&gt;1,"",SUMIFS($I:$I,$C:$C,$C1272,$D:$D,$D1272,$E:$E,"P0(후)"))</f>
        <v/>
      </c>
      <c r="R1272" s="31">
        <f>IF(COUNTIFS($C:$C,$C1272,$D:$D,$D1272,$E:$E,"P0(후)",$M:$M,"&gt;0")&lt;&gt;1,"",SUMIFS($M:$M,$C:$C,$C1272,$D:$D,$D1272,$E:$E,"P0(후)"))</f>
        <v/>
      </c>
      <c r="S1272" s="31">
        <f>IF(N1272&lt;&gt;"OK","",P1272+(R1272-P1272)*(I1272-O1272)/(Q1272-O1272))</f>
        <v/>
      </c>
      <c r="T1272" s="31">
        <f>IF(OR(N1272&lt;&gt;"OK",NOT(ISNUMBER(M1272))),"",M1272-S1272)</f>
        <v/>
      </c>
      <c r="U1272" s="49">
        <f>IF(OR(NOT(ISNUMBER(T1272)),IF(ISNUMBER(H1272),H1272,G1272)=0),"",T1272/IF(ISNUMBER(H1272),H1272,G1272))</f>
        <v/>
      </c>
      <c r="V1272" s="49">
        <f>IF(ISNUMBER(U1272),ABS(U1272),"")</f>
        <v/>
      </c>
      <c r="W1272" s="49">
        <f>IF(OR($E1271&lt;&gt;"측정",$C1271&lt;&gt;$C1272,$D1271&lt;&gt;$D1272,NOT(ISNUMBER(M1272)),NOT(ISNUMBER(M1271)),(IF(ISNUMBER(H1272),H1272,G1272)-IF(ISNUMBER(H1271),H1271,G1271))=0),"",(M1272-M1271)/(IF(ISNUMBER(H1272),H1272,G1272)-IF(ISNUMBER(H1271),H1271,G1271)))</f>
        <v/>
      </c>
      <c r="X1272" s="31">
        <f>IF(NOT(AND(ISNUMBER(O1272),ISNUMBER(Q1272))),"",(Q1272-O1272)*1440)</f>
        <v/>
      </c>
      <c r="Y1272" s="29" t="n"/>
      <c r="Z1272" s="29" t="n"/>
      <c r="AA1272" s="29" t="n"/>
      <c r="AB1272" s="32" t="n"/>
      <c r="AC1272" s="32" t="n"/>
    </row>
    <row r="1273">
      <c r="A1273" s="26" t="inlineStr">
        <is>
          <t>S25</t>
        </is>
      </c>
      <c r="B1273" s="26" t="inlineStr">
        <is>
          <t>관리 신규점3</t>
        </is>
      </c>
      <c r="C1273" s="26" t="inlineStr">
        <is>
          <t>S25-H서</t>
        </is>
      </c>
      <c r="D1273" s="47" t="n">
        <v>1</v>
      </c>
      <c r="E1273" s="26" t="inlineStr">
        <is>
          <t>측정</t>
        </is>
      </c>
      <c r="F1273" s="26" t="inlineStr">
        <is>
          <t>서</t>
        </is>
      </c>
      <c r="G1273" s="31" t="n">
        <v>5</v>
      </c>
      <c r="H1273" s="30" t="n"/>
      <c r="I1273" s="43" t="n"/>
      <c r="J1273" s="41" t="n"/>
      <c r="K1273" s="41" t="n"/>
      <c r="L1273" s="41" t="n"/>
      <c r="M1273" s="31">
        <f>IF(COUNT(J1273:L1273)=0,"",MEDIAN(J1273:L1273))</f>
        <v/>
      </c>
      <c r="N1273" s="26">
        <f>IF(COUNTIFS($C:$C,$C1273,$D:$D,$D1273,$E:$E,"P0(전)",$M:$M,"&gt;0")&lt;&gt;1,"P0(전) 유효 1개 아님",IF(COUNTIFS($C:$C,$C1273,$D:$D,$D1273,$E:$E,"P0(후)",$M:$M,"&gt;0")&lt;&gt;1,"P0(후) 유효 1개 아님",IF(NOT(AND(ISNUMBER(O1273),ISNUMBER(Q1273),ISNUMBER(I1273))),"시각 결측",IF(Q1273&lt;=O1273,"P0 시각 역전",IF(OR(I1273&lt;O1273,I1273&gt;Q1273),"측정시각 구간 밖","OK")))))</f>
        <v/>
      </c>
      <c r="O1273" s="48">
        <f>IF(COUNTIFS($C:$C,$C1273,$D:$D,$D1273,$E:$E,"P0(전)",$M:$M,"&gt;0")&lt;&gt;1,"",SUMIFS($I:$I,$C:$C,$C1273,$D:$D,$D1273,$E:$E,"P0(전)"))</f>
        <v/>
      </c>
      <c r="P1273" s="31">
        <f>IF(COUNTIFS($C:$C,$C1273,$D:$D,$D1273,$E:$E,"P0(전)",$M:$M,"&gt;0")&lt;&gt;1,"",SUMIFS($M:$M,$C:$C,$C1273,$D:$D,$D1273,$E:$E,"P0(전)"))</f>
        <v/>
      </c>
      <c r="Q1273" s="48">
        <f>IF(COUNTIFS($C:$C,$C1273,$D:$D,$D1273,$E:$E,"P0(후)",$M:$M,"&gt;0")&lt;&gt;1,"",SUMIFS($I:$I,$C:$C,$C1273,$D:$D,$D1273,$E:$E,"P0(후)"))</f>
        <v/>
      </c>
      <c r="R1273" s="31">
        <f>IF(COUNTIFS($C:$C,$C1273,$D:$D,$D1273,$E:$E,"P0(후)",$M:$M,"&gt;0")&lt;&gt;1,"",SUMIFS($M:$M,$C:$C,$C1273,$D:$D,$D1273,$E:$E,"P0(후)"))</f>
        <v/>
      </c>
      <c r="S1273" s="31">
        <f>IF(N1273&lt;&gt;"OK","",P1273+(R1273-P1273)*(I1273-O1273)/(Q1273-O1273))</f>
        <v/>
      </c>
      <c r="T1273" s="31">
        <f>IF(OR(N1273&lt;&gt;"OK",NOT(ISNUMBER(M1273))),"",M1273-S1273)</f>
        <v/>
      </c>
      <c r="U1273" s="49">
        <f>IF(OR(NOT(ISNUMBER(T1273)),IF(ISNUMBER(H1273),H1273,G1273)=0),"",T1273/IF(ISNUMBER(H1273),H1273,G1273))</f>
        <v/>
      </c>
      <c r="V1273" s="49">
        <f>IF(ISNUMBER(U1273),ABS(U1273),"")</f>
        <v/>
      </c>
      <c r="W1273" s="49">
        <f>IF(OR($E1272&lt;&gt;"측정",$C1272&lt;&gt;$C1273,$D1272&lt;&gt;$D1273,NOT(ISNUMBER(M1273)),NOT(ISNUMBER(M1272)),(IF(ISNUMBER(H1273),H1273,G1273)-IF(ISNUMBER(H1272),H1272,G1272))=0),"",(M1273-M1272)/(IF(ISNUMBER(H1273),H1273,G1273)-IF(ISNUMBER(H1272),H1272,G1272)))</f>
        <v/>
      </c>
      <c r="X1273" s="31">
        <f>IF(NOT(AND(ISNUMBER(O1273),ISNUMBER(Q1273))),"",(Q1273-O1273)*1440)</f>
        <v/>
      </c>
      <c r="Y1273" s="29" t="n"/>
      <c r="Z1273" s="29" t="n"/>
      <c r="AA1273" s="29" t="n"/>
      <c r="AB1273" s="32" t="n"/>
      <c r="AC1273" s="32" t="n"/>
    </row>
    <row r="1274">
      <c r="A1274" s="26" t="inlineStr">
        <is>
          <t>S25</t>
        </is>
      </c>
      <c r="B1274" s="26" t="inlineStr">
        <is>
          <t>관리 신규점3</t>
        </is>
      </c>
      <c r="C1274" s="26" t="inlineStr">
        <is>
          <t>S25-H서</t>
        </is>
      </c>
      <c r="D1274" s="47" t="n">
        <v>1</v>
      </c>
      <c r="E1274" s="26" t="inlineStr">
        <is>
          <t>측정</t>
        </is>
      </c>
      <c r="F1274" s="26" t="inlineStr">
        <is>
          <t>서</t>
        </is>
      </c>
      <c r="G1274" s="31" t="n">
        <v>6</v>
      </c>
      <c r="H1274" s="30" t="n"/>
      <c r="I1274" s="43" t="n"/>
      <c r="J1274" s="41" t="n"/>
      <c r="K1274" s="41" t="n"/>
      <c r="L1274" s="41" t="n"/>
      <c r="M1274" s="31">
        <f>IF(COUNT(J1274:L1274)=0,"",MEDIAN(J1274:L1274))</f>
        <v/>
      </c>
      <c r="N1274" s="26">
        <f>IF(COUNTIFS($C:$C,$C1274,$D:$D,$D1274,$E:$E,"P0(전)",$M:$M,"&gt;0")&lt;&gt;1,"P0(전) 유효 1개 아님",IF(COUNTIFS($C:$C,$C1274,$D:$D,$D1274,$E:$E,"P0(후)",$M:$M,"&gt;0")&lt;&gt;1,"P0(후) 유효 1개 아님",IF(NOT(AND(ISNUMBER(O1274),ISNUMBER(Q1274),ISNUMBER(I1274))),"시각 결측",IF(Q1274&lt;=O1274,"P0 시각 역전",IF(OR(I1274&lt;O1274,I1274&gt;Q1274),"측정시각 구간 밖","OK")))))</f>
        <v/>
      </c>
      <c r="O1274" s="48">
        <f>IF(COUNTIFS($C:$C,$C1274,$D:$D,$D1274,$E:$E,"P0(전)",$M:$M,"&gt;0")&lt;&gt;1,"",SUMIFS($I:$I,$C:$C,$C1274,$D:$D,$D1274,$E:$E,"P0(전)"))</f>
        <v/>
      </c>
      <c r="P1274" s="31">
        <f>IF(COUNTIFS($C:$C,$C1274,$D:$D,$D1274,$E:$E,"P0(전)",$M:$M,"&gt;0")&lt;&gt;1,"",SUMIFS($M:$M,$C:$C,$C1274,$D:$D,$D1274,$E:$E,"P0(전)"))</f>
        <v/>
      </c>
      <c r="Q1274" s="48">
        <f>IF(COUNTIFS($C:$C,$C1274,$D:$D,$D1274,$E:$E,"P0(후)",$M:$M,"&gt;0")&lt;&gt;1,"",SUMIFS($I:$I,$C:$C,$C1274,$D:$D,$D1274,$E:$E,"P0(후)"))</f>
        <v/>
      </c>
      <c r="R1274" s="31">
        <f>IF(COUNTIFS($C:$C,$C1274,$D:$D,$D1274,$E:$E,"P0(후)",$M:$M,"&gt;0")&lt;&gt;1,"",SUMIFS($M:$M,$C:$C,$C1274,$D:$D,$D1274,$E:$E,"P0(후)"))</f>
        <v/>
      </c>
      <c r="S1274" s="31">
        <f>IF(N1274&lt;&gt;"OK","",P1274+(R1274-P1274)*(I1274-O1274)/(Q1274-O1274))</f>
        <v/>
      </c>
      <c r="T1274" s="31">
        <f>IF(OR(N1274&lt;&gt;"OK",NOT(ISNUMBER(M1274))),"",M1274-S1274)</f>
        <v/>
      </c>
      <c r="U1274" s="49">
        <f>IF(OR(NOT(ISNUMBER(T1274)),IF(ISNUMBER(H1274),H1274,G1274)=0),"",T1274/IF(ISNUMBER(H1274),H1274,G1274))</f>
        <v/>
      </c>
      <c r="V1274" s="49">
        <f>IF(ISNUMBER(U1274),ABS(U1274),"")</f>
        <v/>
      </c>
      <c r="W1274" s="49">
        <f>IF(OR($E1273&lt;&gt;"측정",$C1273&lt;&gt;$C1274,$D1273&lt;&gt;$D1274,NOT(ISNUMBER(M1274)),NOT(ISNUMBER(M1273)),(IF(ISNUMBER(H1274),H1274,G1274)-IF(ISNUMBER(H1273),H1273,G1273))=0),"",(M1274-M1273)/(IF(ISNUMBER(H1274),H1274,G1274)-IF(ISNUMBER(H1273),H1273,G1273)))</f>
        <v/>
      </c>
      <c r="X1274" s="31">
        <f>IF(NOT(AND(ISNUMBER(O1274),ISNUMBER(Q1274))),"",(Q1274-O1274)*1440)</f>
        <v/>
      </c>
      <c r="Y1274" s="29" t="n"/>
      <c r="Z1274" s="29" t="n"/>
      <c r="AA1274" s="29" t="n"/>
      <c r="AB1274" s="32" t="n"/>
      <c r="AC1274" s="32" t="n"/>
    </row>
    <row r="1275">
      <c r="A1275" s="26" t="inlineStr">
        <is>
          <t>S25</t>
        </is>
      </c>
      <c r="B1275" s="26" t="inlineStr">
        <is>
          <t>관리 신규점3</t>
        </is>
      </c>
      <c r="C1275" s="26" t="inlineStr">
        <is>
          <t>S25-H서</t>
        </is>
      </c>
      <c r="D1275" s="47" t="n">
        <v>1</v>
      </c>
      <c r="E1275" s="26" t="inlineStr">
        <is>
          <t>측정</t>
        </is>
      </c>
      <c r="F1275" s="26" t="inlineStr">
        <is>
          <t>서</t>
        </is>
      </c>
      <c r="G1275" s="31" t="n">
        <v>7</v>
      </c>
      <c r="H1275" s="30" t="n"/>
      <c r="I1275" s="43" t="n"/>
      <c r="J1275" s="41" t="n"/>
      <c r="K1275" s="41" t="n"/>
      <c r="L1275" s="41" t="n"/>
      <c r="M1275" s="31">
        <f>IF(COUNT(J1275:L1275)=0,"",MEDIAN(J1275:L1275))</f>
        <v/>
      </c>
      <c r="N1275" s="26">
        <f>IF(COUNTIFS($C:$C,$C1275,$D:$D,$D1275,$E:$E,"P0(전)",$M:$M,"&gt;0")&lt;&gt;1,"P0(전) 유효 1개 아님",IF(COUNTIFS($C:$C,$C1275,$D:$D,$D1275,$E:$E,"P0(후)",$M:$M,"&gt;0")&lt;&gt;1,"P0(후) 유효 1개 아님",IF(NOT(AND(ISNUMBER(O1275),ISNUMBER(Q1275),ISNUMBER(I1275))),"시각 결측",IF(Q1275&lt;=O1275,"P0 시각 역전",IF(OR(I1275&lt;O1275,I1275&gt;Q1275),"측정시각 구간 밖","OK")))))</f>
        <v/>
      </c>
      <c r="O1275" s="48">
        <f>IF(COUNTIFS($C:$C,$C1275,$D:$D,$D1275,$E:$E,"P0(전)",$M:$M,"&gt;0")&lt;&gt;1,"",SUMIFS($I:$I,$C:$C,$C1275,$D:$D,$D1275,$E:$E,"P0(전)"))</f>
        <v/>
      </c>
      <c r="P1275" s="31">
        <f>IF(COUNTIFS($C:$C,$C1275,$D:$D,$D1275,$E:$E,"P0(전)",$M:$M,"&gt;0")&lt;&gt;1,"",SUMIFS($M:$M,$C:$C,$C1275,$D:$D,$D1275,$E:$E,"P0(전)"))</f>
        <v/>
      </c>
      <c r="Q1275" s="48">
        <f>IF(COUNTIFS($C:$C,$C1275,$D:$D,$D1275,$E:$E,"P0(후)",$M:$M,"&gt;0")&lt;&gt;1,"",SUMIFS($I:$I,$C:$C,$C1275,$D:$D,$D1275,$E:$E,"P0(후)"))</f>
        <v/>
      </c>
      <c r="R1275" s="31">
        <f>IF(COUNTIFS($C:$C,$C1275,$D:$D,$D1275,$E:$E,"P0(후)",$M:$M,"&gt;0")&lt;&gt;1,"",SUMIFS($M:$M,$C:$C,$C1275,$D:$D,$D1275,$E:$E,"P0(후)"))</f>
        <v/>
      </c>
      <c r="S1275" s="31">
        <f>IF(N1275&lt;&gt;"OK","",P1275+(R1275-P1275)*(I1275-O1275)/(Q1275-O1275))</f>
        <v/>
      </c>
      <c r="T1275" s="31">
        <f>IF(OR(N1275&lt;&gt;"OK",NOT(ISNUMBER(M1275))),"",M1275-S1275)</f>
        <v/>
      </c>
      <c r="U1275" s="49">
        <f>IF(OR(NOT(ISNUMBER(T1275)),IF(ISNUMBER(H1275),H1275,G1275)=0),"",T1275/IF(ISNUMBER(H1275),H1275,G1275))</f>
        <v/>
      </c>
      <c r="V1275" s="49">
        <f>IF(ISNUMBER(U1275),ABS(U1275),"")</f>
        <v/>
      </c>
      <c r="W1275" s="49">
        <f>IF(OR($E1274&lt;&gt;"측정",$C1274&lt;&gt;$C1275,$D1274&lt;&gt;$D1275,NOT(ISNUMBER(M1275)),NOT(ISNUMBER(M1274)),(IF(ISNUMBER(H1275),H1275,G1275)-IF(ISNUMBER(H1274),H1274,G1274))=0),"",(M1275-M1274)/(IF(ISNUMBER(H1275),H1275,G1275)-IF(ISNUMBER(H1274),H1274,G1274)))</f>
        <v/>
      </c>
      <c r="X1275" s="31">
        <f>IF(NOT(AND(ISNUMBER(O1275),ISNUMBER(Q1275))),"",(Q1275-O1275)*1440)</f>
        <v/>
      </c>
      <c r="Y1275" s="29" t="n"/>
      <c r="Z1275" s="29" t="n"/>
      <c r="AA1275" s="29" t="n"/>
      <c r="AB1275" s="32" t="n"/>
      <c r="AC1275" s="32" t="n"/>
    </row>
    <row r="1276">
      <c r="A1276" s="26" t="inlineStr">
        <is>
          <t>S25</t>
        </is>
      </c>
      <c r="B1276" s="26" t="inlineStr">
        <is>
          <t>관리 신규점3</t>
        </is>
      </c>
      <c r="C1276" s="26" t="inlineStr">
        <is>
          <t>S25-H서</t>
        </is>
      </c>
      <c r="D1276" s="47" t="n">
        <v>1</v>
      </c>
      <c r="E1276" s="26" t="inlineStr">
        <is>
          <t>측정</t>
        </is>
      </c>
      <c r="F1276" s="26" t="inlineStr">
        <is>
          <t>서</t>
        </is>
      </c>
      <c r="G1276" s="31" t="n">
        <v>8</v>
      </c>
      <c r="H1276" s="30" t="n"/>
      <c r="I1276" s="43" t="n"/>
      <c r="J1276" s="41" t="n"/>
      <c r="K1276" s="41" t="n"/>
      <c r="L1276" s="41" t="n"/>
      <c r="M1276" s="31">
        <f>IF(COUNT(J1276:L1276)=0,"",MEDIAN(J1276:L1276))</f>
        <v/>
      </c>
      <c r="N1276" s="26">
        <f>IF(COUNTIFS($C:$C,$C1276,$D:$D,$D1276,$E:$E,"P0(전)",$M:$M,"&gt;0")&lt;&gt;1,"P0(전) 유효 1개 아님",IF(COUNTIFS($C:$C,$C1276,$D:$D,$D1276,$E:$E,"P0(후)",$M:$M,"&gt;0")&lt;&gt;1,"P0(후) 유효 1개 아님",IF(NOT(AND(ISNUMBER(O1276),ISNUMBER(Q1276),ISNUMBER(I1276))),"시각 결측",IF(Q1276&lt;=O1276,"P0 시각 역전",IF(OR(I1276&lt;O1276,I1276&gt;Q1276),"측정시각 구간 밖","OK")))))</f>
        <v/>
      </c>
      <c r="O1276" s="48">
        <f>IF(COUNTIFS($C:$C,$C1276,$D:$D,$D1276,$E:$E,"P0(전)",$M:$M,"&gt;0")&lt;&gt;1,"",SUMIFS($I:$I,$C:$C,$C1276,$D:$D,$D1276,$E:$E,"P0(전)"))</f>
        <v/>
      </c>
      <c r="P1276" s="31">
        <f>IF(COUNTIFS($C:$C,$C1276,$D:$D,$D1276,$E:$E,"P0(전)",$M:$M,"&gt;0")&lt;&gt;1,"",SUMIFS($M:$M,$C:$C,$C1276,$D:$D,$D1276,$E:$E,"P0(전)"))</f>
        <v/>
      </c>
      <c r="Q1276" s="48">
        <f>IF(COUNTIFS($C:$C,$C1276,$D:$D,$D1276,$E:$E,"P0(후)",$M:$M,"&gt;0")&lt;&gt;1,"",SUMIFS($I:$I,$C:$C,$C1276,$D:$D,$D1276,$E:$E,"P0(후)"))</f>
        <v/>
      </c>
      <c r="R1276" s="31">
        <f>IF(COUNTIFS($C:$C,$C1276,$D:$D,$D1276,$E:$E,"P0(후)",$M:$M,"&gt;0")&lt;&gt;1,"",SUMIFS($M:$M,$C:$C,$C1276,$D:$D,$D1276,$E:$E,"P0(후)"))</f>
        <v/>
      </c>
      <c r="S1276" s="31">
        <f>IF(N1276&lt;&gt;"OK","",P1276+(R1276-P1276)*(I1276-O1276)/(Q1276-O1276))</f>
        <v/>
      </c>
      <c r="T1276" s="31">
        <f>IF(OR(N1276&lt;&gt;"OK",NOT(ISNUMBER(M1276))),"",M1276-S1276)</f>
        <v/>
      </c>
      <c r="U1276" s="49">
        <f>IF(OR(NOT(ISNUMBER(T1276)),IF(ISNUMBER(H1276),H1276,G1276)=0),"",T1276/IF(ISNUMBER(H1276),H1276,G1276))</f>
        <v/>
      </c>
      <c r="V1276" s="49">
        <f>IF(ISNUMBER(U1276),ABS(U1276),"")</f>
        <v/>
      </c>
      <c r="W1276" s="49">
        <f>IF(OR($E1275&lt;&gt;"측정",$C1275&lt;&gt;$C1276,$D1275&lt;&gt;$D1276,NOT(ISNUMBER(M1276)),NOT(ISNUMBER(M1275)),(IF(ISNUMBER(H1276),H1276,G1276)-IF(ISNUMBER(H1275),H1275,G1275))=0),"",(M1276-M1275)/(IF(ISNUMBER(H1276),H1276,G1276)-IF(ISNUMBER(H1275),H1275,G1275)))</f>
        <v/>
      </c>
      <c r="X1276" s="31">
        <f>IF(NOT(AND(ISNUMBER(O1276),ISNUMBER(Q1276))),"",(Q1276-O1276)*1440)</f>
        <v/>
      </c>
      <c r="Y1276" s="29" t="n"/>
      <c r="Z1276" s="29" t="n"/>
      <c r="AA1276" s="29" t="n"/>
      <c r="AB1276" s="32" t="n"/>
      <c r="AC1276" s="32" t="n"/>
    </row>
    <row r="1277">
      <c r="A1277" s="26" t="inlineStr">
        <is>
          <t>S25</t>
        </is>
      </c>
      <c r="B1277" s="26" t="inlineStr">
        <is>
          <t>관리 신규점3</t>
        </is>
      </c>
      <c r="C1277" s="26" t="inlineStr">
        <is>
          <t>S25-H서</t>
        </is>
      </c>
      <c r="D1277" s="47" t="n">
        <v>1</v>
      </c>
      <c r="E1277" s="26" t="inlineStr">
        <is>
          <t>측정</t>
        </is>
      </c>
      <c r="F1277" s="26" t="inlineStr">
        <is>
          <t>서</t>
        </is>
      </c>
      <c r="G1277" s="31" t="n">
        <v>9</v>
      </c>
      <c r="H1277" s="30" t="n"/>
      <c r="I1277" s="43" t="n"/>
      <c r="J1277" s="41" t="n"/>
      <c r="K1277" s="41" t="n"/>
      <c r="L1277" s="41" t="n"/>
      <c r="M1277" s="31">
        <f>IF(COUNT(J1277:L1277)=0,"",MEDIAN(J1277:L1277))</f>
        <v/>
      </c>
      <c r="N1277" s="26">
        <f>IF(COUNTIFS($C:$C,$C1277,$D:$D,$D1277,$E:$E,"P0(전)",$M:$M,"&gt;0")&lt;&gt;1,"P0(전) 유효 1개 아님",IF(COUNTIFS($C:$C,$C1277,$D:$D,$D1277,$E:$E,"P0(후)",$M:$M,"&gt;0")&lt;&gt;1,"P0(후) 유효 1개 아님",IF(NOT(AND(ISNUMBER(O1277),ISNUMBER(Q1277),ISNUMBER(I1277))),"시각 결측",IF(Q1277&lt;=O1277,"P0 시각 역전",IF(OR(I1277&lt;O1277,I1277&gt;Q1277),"측정시각 구간 밖","OK")))))</f>
        <v/>
      </c>
      <c r="O1277" s="48">
        <f>IF(COUNTIFS($C:$C,$C1277,$D:$D,$D1277,$E:$E,"P0(전)",$M:$M,"&gt;0")&lt;&gt;1,"",SUMIFS($I:$I,$C:$C,$C1277,$D:$D,$D1277,$E:$E,"P0(전)"))</f>
        <v/>
      </c>
      <c r="P1277" s="31">
        <f>IF(COUNTIFS($C:$C,$C1277,$D:$D,$D1277,$E:$E,"P0(전)",$M:$M,"&gt;0")&lt;&gt;1,"",SUMIFS($M:$M,$C:$C,$C1277,$D:$D,$D1277,$E:$E,"P0(전)"))</f>
        <v/>
      </c>
      <c r="Q1277" s="48">
        <f>IF(COUNTIFS($C:$C,$C1277,$D:$D,$D1277,$E:$E,"P0(후)",$M:$M,"&gt;0")&lt;&gt;1,"",SUMIFS($I:$I,$C:$C,$C1277,$D:$D,$D1277,$E:$E,"P0(후)"))</f>
        <v/>
      </c>
      <c r="R1277" s="31">
        <f>IF(COUNTIFS($C:$C,$C1277,$D:$D,$D1277,$E:$E,"P0(후)",$M:$M,"&gt;0")&lt;&gt;1,"",SUMIFS($M:$M,$C:$C,$C1277,$D:$D,$D1277,$E:$E,"P0(후)"))</f>
        <v/>
      </c>
      <c r="S1277" s="31">
        <f>IF(N1277&lt;&gt;"OK","",P1277+(R1277-P1277)*(I1277-O1277)/(Q1277-O1277))</f>
        <v/>
      </c>
      <c r="T1277" s="31">
        <f>IF(OR(N1277&lt;&gt;"OK",NOT(ISNUMBER(M1277))),"",M1277-S1277)</f>
        <v/>
      </c>
      <c r="U1277" s="49">
        <f>IF(OR(NOT(ISNUMBER(T1277)),IF(ISNUMBER(H1277),H1277,G1277)=0),"",T1277/IF(ISNUMBER(H1277),H1277,G1277))</f>
        <v/>
      </c>
      <c r="V1277" s="49">
        <f>IF(ISNUMBER(U1277),ABS(U1277),"")</f>
        <v/>
      </c>
      <c r="W1277" s="49">
        <f>IF(OR($E1276&lt;&gt;"측정",$C1276&lt;&gt;$C1277,$D1276&lt;&gt;$D1277,NOT(ISNUMBER(M1277)),NOT(ISNUMBER(M1276)),(IF(ISNUMBER(H1277),H1277,G1277)-IF(ISNUMBER(H1276),H1276,G1276))=0),"",(M1277-M1276)/(IF(ISNUMBER(H1277),H1277,G1277)-IF(ISNUMBER(H1276),H1276,G1276)))</f>
        <v/>
      </c>
      <c r="X1277" s="31">
        <f>IF(NOT(AND(ISNUMBER(O1277),ISNUMBER(Q1277))),"",(Q1277-O1277)*1440)</f>
        <v/>
      </c>
      <c r="Y1277" s="29" t="n"/>
      <c r="Z1277" s="29" t="n"/>
      <c r="AA1277" s="29" t="n"/>
      <c r="AB1277" s="32" t="n"/>
      <c r="AC1277" s="32" t="n"/>
    </row>
    <row r="1278">
      <c r="A1278" s="26" t="inlineStr">
        <is>
          <t>S25</t>
        </is>
      </c>
      <c r="B1278" s="26" t="inlineStr">
        <is>
          <t>관리 신규점3</t>
        </is>
      </c>
      <c r="C1278" s="26" t="inlineStr">
        <is>
          <t>S25-H서</t>
        </is>
      </c>
      <c r="D1278" s="47" t="n">
        <v>1</v>
      </c>
      <c r="E1278" s="26" t="inlineStr">
        <is>
          <t>측정</t>
        </is>
      </c>
      <c r="F1278" s="26" t="inlineStr">
        <is>
          <t>서</t>
        </is>
      </c>
      <c r="G1278" s="31" t="n">
        <v>10</v>
      </c>
      <c r="H1278" s="30" t="n"/>
      <c r="I1278" s="43" t="n"/>
      <c r="J1278" s="41" t="n"/>
      <c r="K1278" s="41" t="n"/>
      <c r="L1278" s="41" t="n"/>
      <c r="M1278" s="31">
        <f>IF(COUNT(J1278:L1278)=0,"",MEDIAN(J1278:L1278))</f>
        <v/>
      </c>
      <c r="N1278" s="26">
        <f>IF(COUNTIFS($C:$C,$C1278,$D:$D,$D1278,$E:$E,"P0(전)",$M:$M,"&gt;0")&lt;&gt;1,"P0(전) 유효 1개 아님",IF(COUNTIFS($C:$C,$C1278,$D:$D,$D1278,$E:$E,"P0(후)",$M:$M,"&gt;0")&lt;&gt;1,"P0(후) 유효 1개 아님",IF(NOT(AND(ISNUMBER(O1278),ISNUMBER(Q1278),ISNUMBER(I1278))),"시각 결측",IF(Q1278&lt;=O1278,"P0 시각 역전",IF(OR(I1278&lt;O1278,I1278&gt;Q1278),"측정시각 구간 밖","OK")))))</f>
        <v/>
      </c>
      <c r="O1278" s="48">
        <f>IF(COUNTIFS($C:$C,$C1278,$D:$D,$D1278,$E:$E,"P0(전)",$M:$M,"&gt;0")&lt;&gt;1,"",SUMIFS($I:$I,$C:$C,$C1278,$D:$D,$D1278,$E:$E,"P0(전)"))</f>
        <v/>
      </c>
      <c r="P1278" s="31">
        <f>IF(COUNTIFS($C:$C,$C1278,$D:$D,$D1278,$E:$E,"P0(전)",$M:$M,"&gt;0")&lt;&gt;1,"",SUMIFS($M:$M,$C:$C,$C1278,$D:$D,$D1278,$E:$E,"P0(전)"))</f>
        <v/>
      </c>
      <c r="Q1278" s="48">
        <f>IF(COUNTIFS($C:$C,$C1278,$D:$D,$D1278,$E:$E,"P0(후)",$M:$M,"&gt;0")&lt;&gt;1,"",SUMIFS($I:$I,$C:$C,$C1278,$D:$D,$D1278,$E:$E,"P0(후)"))</f>
        <v/>
      </c>
      <c r="R1278" s="31">
        <f>IF(COUNTIFS($C:$C,$C1278,$D:$D,$D1278,$E:$E,"P0(후)",$M:$M,"&gt;0")&lt;&gt;1,"",SUMIFS($M:$M,$C:$C,$C1278,$D:$D,$D1278,$E:$E,"P0(후)"))</f>
        <v/>
      </c>
      <c r="S1278" s="31">
        <f>IF(N1278&lt;&gt;"OK","",P1278+(R1278-P1278)*(I1278-O1278)/(Q1278-O1278))</f>
        <v/>
      </c>
      <c r="T1278" s="31">
        <f>IF(OR(N1278&lt;&gt;"OK",NOT(ISNUMBER(M1278))),"",M1278-S1278)</f>
        <v/>
      </c>
      <c r="U1278" s="49">
        <f>IF(OR(NOT(ISNUMBER(T1278)),IF(ISNUMBER(H1278),H1278,G1278)=0),"",T1278/IF(ISNUMBER(H1278),H1278,G1278))</f>
        <v/>
      </c>
      <c r="V1278" s="49">
        <f>IF(ISNUMBER(U1278),ABS(U1278),"")</f>
        <v/>
      </c>
      <c r="W1278" s="49">
        <f>IF(OR($E1277&lt;&gt;"측정",$C1277&lt;&gt;$C1278,$D1277&lt;&gt;$D1278,NOT(ISNUMBER(M1278)),NOT(ISNUMBER(M1277)),(IF(ISNUMBER(H1278),H1278,G1278)-IF(ISNUMBER(H1277),H1277,G1277))=0),"",(M1278-M1277)/(IF(ISNUMBER(H1278),H1278,G1278)-IF(ISNUMBER(H1277),H1277,G1277)))</f>
        <v/>
      </c>
      <c r="X1278" s="31">
        <f>IF(NOT(AND(ISNUMBER(O1278),ISNUMBER(Q1278))),"",(Q1278-O1278)*1440)</f>
        <v/>
      </c>
      <c r="Y1278" s="29" t="n"/>
      <c r="Z1278" s="29" t="n"/>
      <c r="AA1278" s="29" t="n"/>
      <c r="AB1278" s="32" t="n"/>
      <c r="AC1278" s="32" t="n"/>
    </row>
    <row r="1279">
      <c r="A1279" s="44" t="inlineStr">
        <is>
          <t>S25</t>
        </is>
      </c>
      <c r="B1279" s="44" t="inlineStr">
        <is>
          <t>관리 신규점3</t>
        </is>
      </c>
      <c r="C1279" s="44" t="inlineStr">
        <is>
          <t>S25-H서</t>
        </is>
      </c>
      <c r="D1279" s="45" t="n">
        <v>1</v>
      </c>
      <c r="E1279" s="44" t="inlineStr">
        <is>
          <t>P0(후)</t>
        </is>
      </c>
      <c r="F1279" s="44" t="inlineStr">
        <is>
          <t>서</t>
        </is>
      </c>
      <c r="G1279" s="46" t="n"/>
      <c r="H1279" s="30" t="n"/>
      <c r="I1279" s="43" t="n"/>
      <c r="J1279" s="41" t="n"/>
      <c r="K1279" s="41" t="n"/>
      <c r="L1279" s="41" t="n"/>
      <c r="M1279" s="31">
        <f>IF(COUNT(J1279:L1279)=0,"",MEDIAN(J1279:L1279))</f>
        <v/>
      </c>
      <c r="N1279" s="38" t="n"/>
      <c r="O1279" s="38" t="n"/>
      <c r="P1279" s="38" t="n"/>
      <c r="Q1279" s="38" t="n"/>
      <c r="R1279" s="38" t="n"/>
      <c r="S1279" s="38" t="n"/>
      <c r="T1279" s="38" t="n"/>
      <c r="U1279" s="38" t="n"/>
      <c r="V1279" s="38" t="n"/>
      <c r="W1279" s="38" t="n"/>
      <c r="X1279" s="38" t="n"/>
      <c r="Y1279" s="29" t="n"/>
      <c r="Z1279" s="29" t="n"/>
      <c r="AA1279" s="29" t="n"/>
      <c r="AB1279" s="32" t="n"/>
      <c r="AC1279" s="32" t="n"/>
    </row>
    <row r="1280">
      <c r="A1280" s="44" t="inlineStr">
        <is>
          <t>S25</t>
        </is>
      </c>
      <c r="B1280" s="44" t="inlineStr">
        <is>
          <t>관리 신규점3</t>
        </is>
      </c>
      <c r="C1280" s="44" t="inlineStr">
        <is>
          <t>S25-H남</t>
        </is>
      </c>
      <c r="D1280" s="45" t="n">
        <v>1</v>
      </c>
      <c r="E1280" s="44" t="inlineStr">
        <is>
          <t>P0(전)</t>
        </is>
      </c>
      <c r="F1280" s="44" t="inlineStr">
        <is>
          <t>남</t>
        </is>
      </c>
      <c r="G1280" s="46" t="n"/>
      <c r="H1280" s="30" t="n"/>
      <c r="I1280" s="43" t="n"/>
      <c r="J1280" s="41" t="n"/>
      <c r="K1280" s="41" t="n"/>
      <c r="L1280" s="41" t="n"/>
      <c r="M1280" s="31">
        <f>IF(COUNT(J1280:L1280)=0,"",MEDIAN(J1280:L1280))</f>
        <v/>
      </c>
      <c r="N1280" s="38" t="n"/>
      <c r="O1280" s="38" t="n"/>
      <c r="P1280" s="38" t="n"/>
      <c r="Q1280" s="38" t="n"/>
      <c r="R1280" s="38" t="n"/>
      <c r="S1280" s="38" t="n"/>
      <c r="T1280" s="38" t="n"/>
      <c r="U1280" s="38" t="n"/>
      <c r="V1280" s="38" t="n"/>
      <c r="W1280" s="38" t="n"/>
      <c r="X1280" s="38" t="n"/>
      <c r="Y1280" s="29" t="n"/>
      <c r="Z1280" s="29" t="n"/>
      <c r="AA1280" s="29" t="n"/>
      <c r="AB1280" s="32" t="n"/>
      <c r="AC1280" s="32" t="n"/>
    </row>
    <row r="1281">
      <c r="A1281" s="26" t="inlineStr">
        <is>
          <t>S25</t>
        </is>
      </c>
      <c r="B1281" s="26" t="inlineStr">
        <is>
          <t>관리 신규점3</t>
        </is>
      </c>
      <c r="C1281" s="26" t="inlineStr">
        <is>
          <t>S25-H남</t>
        </is>
      </c>
      <c r="D1281" s="47" t="n">
        <v>1</v>
      </c>
      <c r="E1281" s="26" t="inlineStr">
        <is>
          <t>측정</t>
        </is>
      </c>
      <c r="F1281" s="26" t="inlineStr">
        <is>
          <t>남</t>
        </is>
      </c>
      <c r="G1281" s="31" t="n">
        <v>0.5</v>
      </c>
      <c r="H1281" s="30" t="n"/>
      <c r="I1281" s="43" t="n"/>
      <c r="J1281" s="41" t="n"/>
      <c r="K1281" s="41" t="n"/>
      <c r="L1281" s="41" t="n"/>
      <c r="M1281" s="31">
        <f>IF(COUNT(J1281:L1281)=0,"",MEDIAN(J1281:L1281))</f>
        <v/>
      </c>
      <c r="N1281" s="26">
        <f>IF(COUNTIFS($C:$C,$C1281,$D:$D,$D1281,$E:$E,"P0(전)",$M:$M,"&gt;0")&lt;&gt;1,"P0(전) 유효 1개 아님",IF(COUNTIFS($C:$C,$C1281,$D:$D,$D1281,$E:$E,"P0(후)",$M:$M,"&gt;0")&lt;&gt;1,"P0(후) 유효 1개 아님",IF(NOT(AND(ISNUMBER(O1281),ISNUMBER(Q1281),ISNUMBER(I1281))),"시각 결측",IF(Q1281&lt;=O1281,"P0 시각 역전",IF(OR(I1281&lt;O1281,I1281&gt;Q1281),"측정시각 구간 밖","OK")))))</f>
        <v/>
      </c>
      <c r="O1281" s="48">
        <f>IF(COUNTIFS($C:$C,$C1281,$D:$D,$D1281,$E:$E,"P0(전)",$M:$M,"&gt;0")&lt;&gt;1,"",SUMIFS($I:$I,$C:$C,$C1281,$D:$D,$D1281,$E:$E,"P0(전)"))</f>
        <v/>
      </c>
      <c r="P1281" s="31">
        <f>IF(COUNTIFS($C:$C,$C1281,$D:$D,$D1281,$E:$E,"P0(전)",$M:$M,"&gt;0")&lt;&gt;1,"",SUMIFS($M:$M,$C:$C,$C1281,$D:$D,$D1281,$E:$E,"P0(전)"))</f>
        <v/>
      </c>
      <c r="Q1281" s="48">
        <f>IF(COUNTIFS($C:$C,$C1281,$D:$D,$D1281,$E:$E,"P0(후)",$M:$M,"&gt;0")&lt;&gt;1,"",SUMIFS($I:$I,$C:$C,$C1281,$D:$D,$D1281,$E:$E,"P0(후)"))</f>
        <v/>
      </c>
      <c r="R1281" s="31">
        <f>IF(COUNTIFS($C:$C,$C1281,$D:$D,$D1281,$E:$E,"P0(후)",$M:$M,"&gt;0")&lt;&gt;1,"",SUMIFS($M:$M,$C:$C,$C1281,$D:$D,$D1281,$E:$E,"P0(후)"))</f>
        <v/>
      </c>
      <c r="S1281" s="31">
        <f>IF(N1281&lt;&gt;"OK","",P1281+(R1281-P1281)*(I1281-O1281)/(Q1281-O1281))</f>
        <v/>
      </c>
      <c r="T1281" s="31">
        <f>IF(OR(N1281&lt;&gt;"OK",NOT(ISNUMBER(M1281))),"",M1281-S1281)</f>
        <v/>
      </c>
      <c r="U1281" s="49">
        <f>IF(OR(NOT(ISNUMBER(T1281)),IF(ISNUMBER(H1281),H1281,G1281)=0),"",T1281/IF(ISNUMBER(H1281),H1281,G1281))</f>
        <v/>
      </c>
      <c r="V1281" s="49">
        <f>IF(ISNUMBER(U1281),ABS(U1281),"")</f>
        <v/>
      </c>
      <c r="W1281" s="49">
        <f>IF(OR($E1280&lt;&gt;"측정",$C1280&lt;&gt;$C1281,$D1280&lt;&gt;$D1281,NOT(ISNUMBER(M1281)),NOT(ISNUMBER(M1280)),(IF(ISNUMBER(H1281),H1281,G1281)-IF(ISNUMBER(H1280),H1280,G1280))=0),"",(M1281-M1280)/(IF(ISNUMBER(H1281),H1281,G1281)-IF(ISNUMBER(H1280),H1280,G1280)))</f>
        <v/>
      </c>
      <c r="X1281" s="31">
        <f>IF(NOT(AND(ISNUMBER(O1281),ISNUMBER(Q1281))),"",(Q1281-O1281)*1440)</f>
        <v/>
      </c>
      <c r="Y1281" s="29" t="n"/>
      <c r="Z1281" s="29" t="n"/>
      <c r="AA1281" s="29" t="n"/>
      <c r="AB1281" s="32" t="n"/>
      <c r="AC1281" s="32" t="n"/>
    </row>
    <row r="1282">
      <c r="A1282" s="26" t="inlineStr">
        <is>
          <t>S25</t>
        </is>
      </c>
      <c r="B1282" s="26" t="inlineStr">
        <is>
          <t>관리 신규점3</t>
        </is>
      </c>
      <c r="C1282" s="26" t="inlineStr">
        <is>
          <t>S25-H남</t>
        </is>
      </c>
      <c r="D1282" s="47" t="n">
        <v>1</v>
      </c>
      <c r="E1282" s="26" t="inlineStr">
        <is>
          <t>측정</t>
        </is>
      </c>
      <c r="F1282" s="26" t="inlineStr">
        <is>
          <t>남</t>
        </is>
      </c>
      <c r="G1282" s="31" t="n">
        <v>1</v>
      </c>
      <c r="H1282" s="30" t="n"/>
      <c r="I1282" s="43" t="n"/>
      <c r="J1282" s="41" t="n"/>
      <c r="K1282" s="41" t="n"/>
      <c r="L1282" s="41" t="n"/>
      <c r="M1282" s="31">
        <f>IF(COUNT(J1282:L1282)=0,"",MEDIAN(J1282:L1282))</f>
        <v/>
      </c>
      <c r="N1282" s="26">
        <f>IF(COUNTIFS($C:$C,$C1282,$D:$D,$D1282,$E:$E,"P0(전)",$M:$M,"&gt;0")&lt;&gt;1,"P0(전) 유효 1개 아님",IF(COUNTIFS($C:$C,$C1282,$D:$D,$D1282,$E:$E,"P0(후)",$M:$M,"&gt;0")&lt;&gt;1,"P0(후) 유효 1개 아님",IF(NOT(AND(ISNUMBER(O1282),ISNUMBER(Q1282),ISNUMBER(I1282))),"시각 결측",IF(Q1282&lt;=O1282,"P0 시각 역전",IF(OR(I1282&lt;O1282,I1282&gt;Q1282),"측정시각 구간 밖","OK")))))</f>
        <v/>
      </c>
      <c r="O1282" s="48">
        <f>IF(COUNTIFS($C:$C,$C1282,$D:$D,$D1282,$E:$E,"P0(전)",$M:$M,"&gt;0")&lt;&gt;1,"",SUMIFS($I:$I,$C:$C,$C1282,$D:$D,$D1282,$E:$E,"P0(전)"))</f>
        <v/>
      </c>
      <c r="P1282" s="31">
        <f>IF(COUNTIFS($C:$C,$C1282,$D:$D,$D1282,$E:$E,"P0(전)",$M:$M,"&gt;0")&lt;&gt;1,"",SUMIFS($M:$M,$C:$C,$C1282,$D:$D,$D1282,$E:$E,"P0(전)"))</f>
        <v/>
      </c>
      <c r="Q1282" s="48">
        <f>IF(COUNTIFS($C:$C,$C1282,$D:$D,$D1282,$E:$E,"P0(후)",$M:$M,"&gt;0")&lt;&gt;1,"",SUMIFS($I:$I,$C:$C,$C1282,$D:$D,$D1282,$E:$E,"P0(후)"))</f>
        <v/>
      </c>
      <c r="R1282" s="31">
        <f>IF(COUNTIFS($C:$C,$C1282,$D:$D,$D1282,$E:$E,"P0(후)",$M:$M,"&gt;0")&lt;&gt;1,"",SUMIFS($M:$M,$C:$C,$C1282,$D:$D,$D1282,$E:$E,"P0(후)"))</f>
        <v/>
      </c>
      <c r="S1282" s="31">
        <f>IF(N1282&lt;&gt;"OK","",P1282+(R1282-P1282)*(I1282-O1282)/(Q1282-O1282))</f>
        <v/>
      </c>
      <c r="T1282" s="31">
        <f>IF(OR(N1282&lt;&gt;"OK",NOT(ISNUMBER(M1282))),"",M1282-S1282)</f>
        <v/>
      </c>
      <c r="U1282" s="49">
        <f>IF(OR(NOT(ISNUMBER(T1282)),IF(ISNUMBER(H1282),H1282,G1282)=0),"",T1282/IF(ISNUMBER(H1282),H1282,G1282))</f>
        <v/>
      </c>
      <c r="V1282" s="49">
        <f>IF(ISNUMBER(U1282),ABS(U1282),"")</f>
        <v/>
      </c>
      <c r="W1282" s="49">
        <f>IF(OR($E1281&lt;&gt;"측정",$C1281&lt;&gt;$C1282,$D1281&lt;&gt;$D1282,NOT(ISNUMBER(M1282)),NOT(ISNUMBER(M1281)),(IF(ISNUMBER(H1282),H1282,G1282)-IF(ISNUMBER(H1281),H1281,G1281))=0),"",(M1282-M1281)/(IF(ISNUMBER(H1282),H1282,G1282)-IF(ISNUMBER(H1281),H1281,G1281)))</f>
        <v/>
      </c>
      <c r="X1282" s="31">
        <f>IF(NOT(AND(ISNUMBER(O1282),ISNUMBER(Q1282))),"",(Q1282-O1282)*1440)</f>
        <v/>
      </c>
      <c r="Y1282" s="29" t="n"/>
      <c r="Z1282" s="29" t="n"/>
      <c r="AA1282" s="29" t="n"/>
      <c r="AB1282" s="32" t="n"/>
      <c r="AC1282" s="32" t="n"/>
    </row>
    <row r="1283">
      <c r="A1283" s="26" t="inlineStr">
        <is>
          <t>S25</t>
        </is>
      </c>
      <c r="B1283" s="26" t="inlineStr">
        <is>
          <t>관리 신규점3</t>
        </is>
      </c>
      <c r="C1283" s="26" t="inlineStr">
        <is>
          <t>S25-H남</t>
        </is>
      </c>
      <c r="D1283" s="47" t="n">
        <v>1</v>
      </c>
      <c r="E1283" s="26" t="inlineStr">
        <is>
          <t>측정</t>
        </is>
      </c>
      <c r="F1283" s="26" t="inlineStr">
        <is>
          <t>남</t>
        </is>
      </c>
      <c r="G1283" s="31" t="n">
        <v>2</v>
      </c>
      <c r="H1283" s="30" t="n"/>
      <c r="I1283" s="43" t="n"/>
      <c r="J1283" s="41" t="n"/>
      <c r="K1283" s="41" t="n"/>
      <c r="L1283" s="41" t="n"/>
      <c r="M1283" s="31">
        <f>IF(COUNT(J1283:L1283)=0,"",MEDIAN(J1283:L1283))</f>
        <v/>
      </c>
      <c r="N1283" s="26">
        <f>IF(COUNTIFS($C:$C,$C1283,$D:$D,$D1283,$E:$E,"P0(전)",$M:$M,"&gt;0")&lt;&gt;1,"P0(전) 유효 1개 아님",IF(COUNTIFS($C:$C,$C1283,$D:$D,$D1283,$E:$E,"P0(후)",$M:$M,"&gt;0")&lt;&gt;1,"P0(후) 유효 1개 아님",IF(NOT(AND(ISNUMBER(O1283),ISNUMBER(Q1283),ISNUMBER(I1283))),"시각 결측",IF(Q1283&lt;=O1283,"P0 시각 역전",IF(OR(I1283&lt;O1283,I1283&gt;Q1283),"측정시각 구간 밖","OK")))))</f>
        <v/>
      </c>
      <c r="O1283" s="48">
        <f>IF(COUNTIFS($C:$C,$C1283,$D:$D,$D1283,$E:$E,"P0(전)",$M:$M,"&gt;0")&lt;&gt;1,"",SUMIFS($I:$I,$C:$C,$C1283,$D:$D,$D1283,$E:$E,"P0(전)"))</f>
        <v/>
      </c>
      <c r="P1283" s="31">
        <f>IF(COUNTIFS($C:$C,$C1283,$D:$D,$D1283,$E:$E,"P0(전)",$M:$M,"&gt;0")&lt;&gt;1,"",SUMIFS($M:$M,$C:$C,$C1283,$D:$D,$D1283,$E:$E,"P0(전)"))</f>
        <v/>
      </c>
      <c r="Q1283" s="48">
        <f>IF(COUNTIFS($C:$C,$C1283,$D:$D,$D1283,$E:$E,"P0(후)",$M:$M,"&gt;0")&lt;&gt;1,"",SUMIFS($I:$I,$C:$C,$C1283,$D:$D,$D1283,$E:$E,"P0(후)"))</f>
        <v/>
      </c>
      <c r="R1283" s="31">
        <f>IF(COUNTIFS($C:$C,$C1283,$D:$D,$D1283,$E:$E,"P0(후)",$M:$M,"&gt;0")&lt;&gt;1,"",SUMIFS($M:$M,$C:$C,$C1283,$D:$D,$D1283,$E:$E,"P0(후)"))</f>
        <v/>
      </c>
      <c r="S1283" s="31">
        <f>IF(N1283&lt;&gt;"OK","",P1283+(R1283-P1283)*(I1283-O1283)/(Q1283-O1283))</f>
        <v/>
      </c>
      <c r="T1283" s="31">
        <f>IF(OR(N1283&lt;&gt;"OK",NOT(ISNUMBER(M1283))),"",M1283-S1283)</f>
        <v/>
      </c>
      <c r="U1283" s="49">
        <f>IF(OR(NOT(ISNUMBER(T1283)),IF(ISNUMBER(H1283),H1283,G1283)=0),"",T1283/IF(ISNUMBER(H1283),H1283,G1283))</f>
        <v/>
      </c>
      <c r="V1283" s="49">
        <f>IF(ISNUMBER(U1283),ABS(U1283),"")</f>
        <v/>
      </c>
      <c r="W1283" s="49">
        <f>IF(OR($E1282&lt;&gt;"측정",$C1282&lt;&gt;$C1283,$D1282&lt;&gt;$D1283,NOT(ISNUMBER(M1283)),NOT(ISNUMBER(M1282)),(IF(ISNUMBER(H1283),H1283,G1283)-IF(ISNUMBER(H1282),H1282,G1282))=0),"",(M1283-M1282)/(IF(ISNUMBER(H1283),H1283,G1283)-IF(ISNUMBER(H1282),H1282,G1282)))</f>
        <v/>
      </c>
      <c r="X1283" s="31">
        <f>IF(NOT(AND(ISNUMBER(O1283),ISNUMBER(Q1283))),"",(Q1283-O1283)*1440)</f>
        <v/>
      </c>
      <c r="Y1283" s="29" t="n"/>
      <c r="Z1283" s="29" t="n"/>
      <c r="AA1283" s="29" t="n"/>
      <c r="AB1283" s="32" t="n"/>
      <c r="AC1283" s="32" t="n"/>
    </row>
    <row r="1284">
      <c r="A1284" s="26" t="inlineStr">
        <is>
          <t>S25</t>
        </is>
      </c>
      <c r="B1284" s="26" t="inlineStr">
        <is>
          <t>관리 신규점3</t>
        </is>
      </c>
      <c r="C1284" s="26" t="inlineStr">
        <is>
          <t>S25-H남</t>
        </is>
      </c>
      <c r="D1284" s="47" t="n">
        <v>1</v>
      </c>
      <c r="E1284" s="26" t="inlineStr">
        <is>
          <t>측정</t>
        </is>
      </c>
      <c r="F1284" s="26" t="inlineStr">
        <is>
          <t>남</t>
        </is>
      </c>
      <c r="G1284" s="31" t="n">
        <v>3</v>
      </c>
      <c r="H1284" s="30" t="n"/>
      <c r="I1284" s="43" t="n"/>
      <c r="J1284" s="41" t="n"/>
      <c r="K1284" s="41" t="n"/>
      <c r="L1284" s="41" t="n"/>
      <c r="M1284" s="31">
        <f>IF(COUNT(J1284:L1284)=0,"",MEDIAN(J1284:L1284))</f>
        <v/>
      </c>
      <c r="N1284" s="26">
        <f>IF(COUNTIFS($C:$C,$C1284,$D:$D,$D1284,$E:$E,"P0(전)",$M:$M,"&gt;0")&lt;&gt;1,"P0(전) 유효 1개 아님",IF(COUNTIFS($C:$C,$C1284,$D:$D,$D1284,$E:$E,"P0(후)",$M:$M,"&gt;0")&lt;&gt;1,"P0(후) 유효 1개 아님",IF(NOT(AND(ISNUMBER(O1284),ISNUMBER(Q1284),ISNUMBER(I1284))),"시각 결측",IF(Q1284&lt;=O1284,"P0 시각 역전",IF(OR(I1284&lt;O1284,I1284&gt;Q1284),"측정시각 구간 밖","OK")))))</f>
        <v/>
      </c>
      <c r="O1284" s="48">
        <f>IF(COUNTIFS($C:$C,$C1284,$D:$D,$D1284,$E:$E,"P0(전)",$M:$M,"&gt;0")&lt;&gt;1,"",SUMIFS($I:$I,$C:$C,$C1284,$D:$D,$D1284,$E:$E,"P0(전)"))</f>
        <v/>
      </c>
      <c r="P1284" s="31">
        <f>IF(COUNTIFS($C:$C,$C1284,$D:$D,$D1284,$E:$E,"P0(전)",$M:$M,"&gt;0")&lt;&gt;1,"",SUMIFS($M:$M,$C:$C,$C1284,$D:$D,$D1284,$E:$E,"P0(전)"))</f>
        <v/>
      </c>
      <c r="Q1284" s="48">
        <f>IF(COUNTIFS($C:$C,$C1284,$D:$D,$D1284,$E:$E,"P0(후)",$M:$M,"&gt;0")&lt;&gt;1,"",SUMIFS($I:$I,$C:$C,$C1284,$D:$D,$D1284,$E:$E,"P0(후)"))</f>
        <v/>
      </c>
      <c r="R1284" s="31">
        <f>IF(COUNTIFS($C:$C,$C1284,$D:$D,$D1284,$E:$E,"P0(후)",$M:$M,"&gt;0")&lt;&gt;1,"",SUMIFS($M:$M,$C:$C,$C1284,$D:$D,$D1284,$E:$E,"P0(후)"))</f>
        <v/>
      </c>
      <c r="S1284" s="31">
        <f>IF(N1284&lt;&gt;"OK","",P1284+(R1284-P1284)*(I1284-O1284)/(Q1284-O1284))</f>
        <v/>
      </c>
      <c r="T1284" s="31">
        <f>IF(OR(N1284&lt;&gt;"OK",NOT(ISNUMBER(M1284))),"",M1284-S1284)</f>
        <v/>
      </c>
      <c r="U1284" s="49">
        <f>IF(OR(NOT(ISNUMBER(T1284)),IF(ISNUMBER(H1284),H1284,G1284)=0),"",T1284/IF(ISNUMBER(H1284),H1284,G1284))</f>
        <v/>
      </c>
      <c r="V1284" s="49">
        <f>IF(ISNUMBER(U1284),ABS(U1284),"")</f>
        <v/>
      </c>
      <c r="W1284" s="49">
        <f>IF(OR($E1283&lt;&gt;"측정",$C1283&lt;&gt;$C1284,$D1283&lt;&gt;$D1284,NOT(ISNUMBER(M1284)),NOT(ISNUMBER(M1283)),(IF(ISNUMBER(H1284),H1284,G1284)-IF(ISNUMBER(H1283),H1283,G1283))=0),"",(M1284-M1283)/(IF(ISNUMBER(H1284),H1284,G1284)-IF(ISNUMBER(H1283),H1283,G1283)))</f>
        <v/>
      </c>
      <c r="X1284" s="31">
        <f>IF(NOT(AND(ISNUMBER(O1284),ISNUMBER(Q1284))),"",(Q1284-O1284)*1440)</f>
        <v/>
      </c>
      <c r="Y1284" s="29" t="n"/>
      <c r="Z1284" s="29" t="n"/>
      <c r="AA1284" s="29" t="n"/>
      <c r="AB1284" s="32" t="n"/>
      <c r="AC1284" s="32" t="n"/>
    </row>
    <row r="1285">
      <c r="A1285" s="26" t="inlineStr">
        <is>
          <t>S25</t>
        </is>
      </c>
      <c r="B1285" s="26" t="inlineStr">
        <is>
          <t>관리 신규점3</t>
        </is>
      </c>
      <c r="C1285" s="26" t="inlineStr">
        <is>
          <t>S25-H남</t>
        </is>
      </c>
      <c r="D1285" s="47" t="n">
        <v>1</v>
      </c>
      <c r="E1285" s="26" t="inlineStr">
        <is>
          <t>측정</t>
        </is>
      </c>
      <c r="F1285" s="26" t="inlineStr">
        <is>
          <t>남</t>
        </is>
      </c>
      <c r="G1285" s="31" t="n">
        <v>4</v>
      </c>
      <c r="H1285" s="30" t="n"/>
      <c r="I1285" s="43" t="n"/>
      <c r="J1285" s="41" t="n"/>
      <c r="K1285" s="41" t="n"/>
      <c r="L1285" s="41" t="n"/>
      <c r="M1285" s="31">
        <f>IF(COUNT(J1285:L1285)=0,"",MEDIAN(J1285:L1285))</f>
        <v/>
      </c>
      <c r="N1285" s="26">
        <f>IF(COUNTIFS($C:$C,$C1285,$D:$D,$D1285,$E:$E,"P0(전)",$M:$M,"&gt;0")&lt;&gt;1,"P0(전) 유효 1개 아님",IF(COUNTIFS($C:$C,$C1285,$D:$D,$D1285,$E:$E,"P0(후)",$M:$M,"&gt;0")&lt;&gt;1,"P0(후) 유효 1개 아님",IF(NOT(AND(ISNUMBER(O1285),ISNUMBER(Q1285),ISNUMBER(I1285))),"시각 결측",IF(Q1285&lt;=O1285,"P0 시각 역전",IF(OR(I1285&lt;O1285,I1285&gt;Q1285),"측정시각 구간 밖","OK")))))</f>
        <v/>
      </c>
      <c r="O1285" s="48">
        <f>IF(COUNTIFS($C:$C,$C1285,$D:$D,$D1285,$E:$E,"P0(전)",$M:$M,"&gt;0")&lt;&gt;1,"",SUMIFS($I:$I,$C:$C,$C1285,$D:$D,$D1285,$E:$E,"P0(전)"))</f>
        <v/>
      </c>
      <c r="P1285" s="31">
        <f>IF(COUNTIFS($C:$C,$C1285,$D:$D,$D1285,$E:$E,"P0(전)",$M:$M,"&gt;0")&lt;&gt;1,"",SUMIFS($M:$M,$C:$C,$C1285,$D:$D,$D1285,$E:$E,"P0(전)"))</f>
        <v/>
      </c>
      <c r="Q1285" s="48">
        <f>IF(COUNTIFS($C:$C,$C1285,$D:$D,$D1285,$E:$E,"P0(후)",$M:$M,"&gt;0")&lt;&gt;1,"",SUMIFS($I:$I,$C:$C,$C1285,$D:$D,$D1285,$E:$E,"P0(후)"))</f>
        <v/>
      </c>
      <c r="R1285" s="31">
        <f>IF(COUNTIFS($C:$C,$C1285,$D:$D,$D1285,$E:$E,"P0(후)",$M:$M,"&gt;0")&lt;&gt;1,"",SUMIFS($M:$M,$C:$C,$C1285,$D:$D,$D1285,$E:$E,"P0(후)"))</f>
        <v/>
      </c>
      <c r="S1285" s="31">
        <f>IF(N1285&lt;&gt;"OK","",P1285+(R1285-P1285)*(I1285-O1285)/(Q1285-O1285))</f>
        <v/>
      </c>
      <c r="T1285" s="31">
        <f>IF(OR(N1285&lt;&gt;"OK",NOT(ISNUMBER(M1285))),"",M1285-S1285)</f>
        <v/>
      </c>
      <c r="U1285" s="49">
        <f>IF(OR(NOT(ISNUMBER(T1285)),IF(ISNUMBER(H1285),H1285,G1285)=0),"",T1285/IF(ISNUMBER(H1285),H1285,G1285))</f>
        <v/>
      </c>
      <c r="V1285" s="49">
        <f>IF(ISNUMBER(U1285),ABS(U1285),"")</f>
        <v/>
      </c>
      <c r="W1285" s="49">
        <f>IF(OR($E1284&lt;&gt;"측정",$C1284&lt;&gt;$C1285,$D1284&lt;&gt;$D1285,NOT(ISNUMBER(M1285)),NOT(ISNUMBER(M1284)),(IF(ISNUMBER(H1285),H1285,G1285)-IF(ISNUMBER(H1284),H1284,G1284))=0),"",(M1285-M1284)/(IF(ISNUMBER(H1285),H1285,G1285)-IF(ISNUMBER(H1284),H1284,G1284)))</f>
        <v/>
      </c>
      <c r="X1285" s="31">
        <f>IF(NOT(AND(ISNUMBER(O1285),ISNUMBER(Q1285))),"",(Q1285-O1285)*1440)</f>
        <v/>
      </c>
      <c r="Y1285" s="29" t="n"/>
      <c r="Z1285" s="29" t="n"/>
      <c r="AA1285" s="29" t="n"/>
      <c r="AB1285" s="32" t="n"/>
      <c r="AC1285" s="32" t="n"/>
    </row>
    <row r="1286">
      <c r="A1286" s="26" t="inlineStr">
        <is>
          <t>S25</t>
        </is>
      </c>
      <c r="B1286" s="26" t="inlineStr">
        <is>
          <t>관리 신규점3</t>
        </is>
      </c>
      <c r="C1286" s="26" t="inlineStr">
        <is>
          <t>S25-H남</t>
        </is>
      </c>
      <c r="D1286" s="47" t="n">
        <v>1</v>
      </c>
      <c r="E1286" s="26" t="inlineStr">
        <is>
          <t>측정</t>
        </is>
      </c>
      <c r="F1286" s="26" t="inlineStr">
        <is>
          <t>남</t>
        </is>
      </c>
      <c r="G1286" s="31" t="n">
        <v>5</v>
      </c>
      <c r="H1286" s="30" t="n"/>
      <c r="I1286" s="43" t="n"/>
      <c r="J1286" s="41" t="n"/>
      <c r="K1286" s="41" t="n"/>
      <c r="L1286" s="41" t="n"/>
      <c r="M1286" s="31">
        <f>IF(COUNT(J1286:L1286)=0,"",MEDIAN(J1286:L1286))</f>
        <v/>
      </c>
      <c r="N1286" s="26">
        <f>IF(COUNTIFS($C:$C,$C1286,$D:$D,$D1286,$E:$E,"P0(전)",$M:$M,"&gt;0")&lt;&gt;1,"P0(전) 유효 1개 아님",IF(COUNTIFS($C:$C,$C1286,$D:$D,$D1286,$E:$E,"P0(후)",$M:$M,"&gt;0")&lt;&gt;1,"P0(후) 유효 1개 아님",IF(NOT(AND(ISNUMBER(O1286),ISNUMBER(Q1286),ISNUMBER(I1286))),"시각 결측",IF(Q1286&lt;=O1286,"P0 시각 역전",IF(OR(I1286&lt;O1286,I1286&gt;Q1286),"측정시각 구간 밖","OK")))))</f>
        <v/>
      </c>
      <c r="O1286" s="48">
        <f>IF(COUNTIFS($C:$C,$C1286,$D:$D,$D1286,$E:$E,"P0(전)",$M:$M,"&gt;0")&lt;&gt;1,"",SUMIFS($I:$I,$C:$C,$C1286,$D:$D,$D1286,$E:$E,"P0(전)"))</f>
        <v/>
      </c>
      <c r="P1286" s="31">
        <f>IF(COUNTIFS($C:$C,$C1286,$D:$D,$D1286,$E:$E,"P0(전)",$M:$M,"&gt;0")&lt;&gt;1,"",SUMIFS($M:$M,$C:$C,$C1286,$D:$D,$D1286,$E:$E,"P0(전)"))</f>
        <v/>
      </c>
      <c r="Q1286" s="48">
        <f>IF(COUNTIFS($C:$C,$C1286,$D:$D,$D1286,$E:$E,"P0(후)",$M:$M,"&gt;0")&lt;&gt;1,"",SUMIFS($I:$I,$C:$C,$C1286,$D:$D,$D1286,$E:$E,"P0(후)"))</f>
        <v/>
      </c>
      <c r="R1286" s="31">
        <f>IF(COUNTIFS($C:$C,$C1286,$D:$D,$D1286,$E:$E,"P0(후)",$M:$M,"&gt;0")&lt;&gt;1,"",SUMIFS($M:$M,$C:$C,$C1286,$D:$D,$D1286,$E:$E,"P0(후)"))</f>
        <v/>
      </c>
      <c r="S1286" s="31">
        <f>IF(N1286&lt;&gt;"OK","",P1286+(R1286-P1286)*(I1286-O1286)/(Q1286-O1286))</f>
        <v/>
      </c>
      <c r="T1286" s="31">
        <f>IF(OR(N1286&lt;&gt;"OK",NOT(ISNUMBER(M1286))),"",M1286-S1286)</f>
        <v/>
      </c>
      <c r="U1286" s="49">
        <f>IF(OR(NOT(ISNUMBER(T1286)),IF(ISNUMBER(H1286),H1286,G1286)=0),"",T1286/IF(ISNUMBER(H1286),H1286,G1286))</f>
        <v/>
      </c>
      <c r="V1286" s="49">
        <f>IF(ISNUMBER(U1286),ABS(U1286),"")</f>
        <v/>
      </c>
      <c r="W1286" s="49">
        <f>IF(OR($E1285&lt;&gt;"측정",$C1285&lt;&gt;$C1286,$D1285&lt;&gt;$D1286,NOT(ISNUMBER(M1286)),NOT(ISNUMBER(M1285)),(IF(ISNUMBER(H1286),H1286,G1286)-IF(ISNUMBER(H1285),H1285,G1285))=0),"",(M1286-M1285)/(IF(ISNUMBER(H1286),H1286,G1286)-IF(ISNUMBER(H1285),H1285,G1285)))</f>
        <v/>
      </c>
      <c r="X1286" s="31">
        <f>IF(NOT(AND(ISNUMBER(O1286),ISNUMBER(Q1286))),"",(Q1286-O1286)*1440)</f>
        <v/>
      </c>
      <c r="Y1286" s="29" t="n"/>
      <c r="Z1286" s="29" t="n"/>
      <c r="AA1286" s="29" t="n"/>
      <c r="AB1286" s="32" t="n"/>
      <c r="AC1286" s="32" t="n"/>
    </row>
    <row r="1287">
      <c r="A1287" s="26" t="inlineStr">
        <is>
          <t>S25</t>
        </is>
      </c>
      <c r="B1287" s="26" t="inlineStr">
        <is>
          <t>관리 신규점3</t>
        </is>
      </c>
      <c r="C1287" s="26" t="inlineStr">
        <is>
          <t>S25-H남</t>
        </is>
      </c>
      <c r="D1287" s="47" t="n">
        <v>1</v>
      </c>
      <c r="E1287" s="26" t="inlineStr">
        <is>
          <t>측정</t>
        </is>
      </c>
      <c r="F1287" s="26" t="inlineStr">
        <is>
          <t>남</t>
        </is>
      </c>
      <c r="G1287" s="31" t="n">
        <v>6</v>
      </c>
      <c r="H1287" s="30" t="n"/>
      <c r="I1287" s="43" t="n"/>
      <c r="J1287" s="41" t="n"/>
      <c r="K1287" s="41" t="n"/>
      <c r="L1287" s="41" t="n"/>
      <c r="M1287" s="31">
        <f>IF(COUNT(J1287:L1287)=0,"",MEDIAN(J1287:L1287))</f>
        <v/>
      </c>
      <c r="N1287" s="26">
        <f>IF(COUNTIFS($C:$C,$C1287,$D:$D,$D1287,$E:$E,"P0(전)",$M:$M,"&gt;0")&lt;&gt;1,"P0(전) 유효 1개 아님",IF(COUNTIFS($C:$C,$C1287,$D:$D,$D1287,$E:$E,"P0(후)",$M:$M,"&gt;0")&lt;&gt;1,"P0(후) 유효 1개 아님",IF(NOT(AND(ISNUMBER(O1287),ISNUMBER(Q1287),ISNUMBER(I1287))),"시각 결측",IF(Q1287&lt;=O1287,"P0 시각 역전",IF(OR(I1287&lt;O1287,I1287&gt;Q1287),"측정시각 구간 밖","OK")))))</f>
        <v/>
      </c>
      <c r="O1287" s="48">
        <f>IF(COUNTIFS($C:$C,$C1287,$D:$D,$D1287,$E:$E,"P0(전)",$M:$M,"&gt;0")&lt;&gt;1,"",SUMIFS($I:$I,$C:$C,$C1287,$D:$D,$D1287,$E:$E,"P0(전)"))</f>
        <v/>
      </c>
      <c r="P1287" s="31">
        <f>IF(COUNTIFS($C:$C,$C1287,$D:$D,$D1287,$E:$E,"P0(전)",$M:$M,"&gt;0")&lt;&gt;1,"",SUMIFS($M:$M,$C:$C,$C1287,$D:$D,$D1287,$E:$E,"P0(전)"))</f>
        <v/>
      </c>
      <c r="Q1287" s="48">
        <f>IF(COUNTIFS($C:$C,$C1287,$D:$D,$D1287,$E:$E,"P0(후)",$M:$M,"&gt;0")&lt;&gt;1,"",SUMIFS($I:$I,$C:$C,$C1287,$D:$D,$D1287,$E:$E,"P0(후)"))</f>
        <v/>
      </c>
      <c r="R1287" s="31">
        <f>IF(COUNTIFS($C:$C,$C1287,$D:$D,$D1287,$E:$E,"P0(후)",$M:$M,"&gt;0")&lt;&gt;1,"",SUMIFS($M:$M,$C:$C,$C1287,$D:$D,$D1287,$E:$E,"P0(후)"))</f>
        <v/>
      </c>
      <c r="S1287" s="31">
        <f>IF(N1287&lt;&gt;"OK","",P1287+(R1287-P1287)*(I1287-O1287)/(Q1287-O1287))</f>
        <v/>
      </c>
      <c r="T1287" s="31">
        <f>IF(OR(N1287&lt;&gt;"OK",NOT(ISNUMBER(M1287))),"",M1287-S1287)</f>
        <v/>
      </c>
      <c r="U1287" s="49">
        <f>IF(OR(NOT(ISNUMBER(T1287)),IF(ISNUMBER(H1287),H1287,G1287)=0),"",T1287/IF(ISNUMBER(H1287),H1287,G1287))</f>
        <v/>
      </c>
      <c r="V1287" s="49">
        <f>IF(ISNUMBER(U1287),ABS(U1287),"")</f>
        <v/>
      </c>
      <c r="W1287" s="49">
        <f>IF(OR($E1286&lt;&gt;"측정",$C1286&lt;&gt;$C1287,$D1286&lt;&gt;$D1287,NOT(ISNUMBER(M1287)),NOT(ISNUMBER(M1286)),(IF(ISNUMBER(H1287),H1287,G1287)-IF(ISNUMBER(H1286),H1286,G1286))=0),"",(M1287-M1286)/(IF(ISNUMBER(H1287),H1287,G1287)-IF(ISNUMBER(H1286),H1286,G1286)))</f>
        <v/>
      </c>
      <c r="X1287" s="31">
        <f>IF(NOT(AND(ISNUMBER(O1287),ISNUMBER(Q1287))),"",(Q1287-O1287)*1440)</f>
        <v/>
      </c>
      <c r="Y1287" s="29" t="n"/>
      <c r="Z1287" s="29" t="n"/>
      <c r="AA1287" s="29" t="n"/>
      <c r="AB1287" s="32" t="n"/>
      <c r="AC1287" s="32" t="n"/>
    </row>
    <row r="1288">
      <c r="A1288" s="26" t="inlineStr">
        <is>
          <t>S25</t>
        </is>
      </c>
      <c r="B1288" s="26" t="inlineStr">
        <is>
          <t>관리 신규점3</t>
        </is>
      </c>
      <c r="C1288" s="26" t="inlineStr">
        <is>
          <t>S25-H남</t>
        </is>
      </c>
      <c r="D1288" s="47" t="n">
        <v>1</v>
      </c>
      <c r="E1288" s="26" t="inlineStr">
        <is>
          <t>측정</t>
        </is>
      </c>
      <c r="F1288" s="26" t="inlineStr">
        <is>
          <t>남</t>
        </is>
      </c>
      <c r="G1288" s="31" t="n">
        <v>7</v>
      </c>
      <c r="H1288" s="30" t="n"/>
      <c r="I1288" s="43" t="n"/>
      <c r="J1288" s="41" t="n"/>
      <c r="K1288" s="41" t="n"/>
      <c r="L1288" s="41" t="n"/>
      <c r="M1288" s="31">
        <f>IF(COUNT(J1288:L1288)=0,"",MEDIAN(J1288:L1288))</f>
        <v/>
      </c>
      <c r="N1288" s="26">
        <f>IF(COUNTIFS($C:$C,$C1288,$D:$D,$D1288,$E:$E,"P0(전)",$M:$M,"&gt;0")&lt;&gt;1,"P0(전) 유효 1개 아님",IF(COUNTIFS($C:$C,$C1288,$D:$D,$D1288,$E:$E,"P0(후)",$M:$M,"&gt;0")&lt;&gt;1,"P0(후) 유효 1개 아님",IF(NOT(AND(ISNUMBER(O1288),ISNUMBER(Q1288),ISNUMBER(I1288))),"시각 결측",IF(Q1288&lt;=O1288,"P0 시각 역전",IF(OR(I1288&lt;O1288,I1288&gt;Q1288),"측정시각 구간 밖","OK")))))</f>
        <v/>
      </c>
      <c r="O1288" s="48">
        <f>IF(COUNTIFS($C:$C,$C1288,$D:$D,$D1288,$E:$E,"P0(전)",$M:$M,"&gt;0")&lt;&gt;1,"",SUMIFS($I:$I,$C:$C,$C1288,$D:$D,$D1288,$E:$E,"P0(전)"))</f>
        <v/>
      </c>
      <c r="P1288" s="31">
        <f>IF(COUNTIFS($C:$C,$C1288,$D:$D,$D1288,$E:$E,"P0(전)",$M:$M,"&gt;0")&lt;&gt;1,"",SUMIFS($M:$M,$C:$C,$C1288,$D:$D,$D1288,$E:$E,"P0(전)"))</f>
        <v/>
      </c>
      <c r="Q1288" s="48">
        <f>IF(COUNTIFS($C:$C,$C1288,$D:$D,$D1288,$E:$E,"P0(후)",$M:$M,"&gt;0")&lt;&gt;1,"",SUMIFS($I:$I,$C:$C,$C1288,$D:$D,$D1288,$E:$E,"P0(후)"))</f>
        <v/>
      </c>
      <c r="R1288" s="31">
        <f>IF(COUNTIFS($C:$C,$C1288,$D:$D,$D1288,$E:$E,"P0(후)",$M:$M,"&gt;0")&lt;&gt;1,"",SUMIFS($M:$M,$C:$C,$C1288,$D:$D,$D1288,$E:$E,"P0(후)"))</f>
        <v/>
      </c>
      <c r="S1288" s="31">
        <f>IF(N1288&lt;&gt;"OK","",P1288+(R1288-P1288)*(I1288-O1288)/(Q1288-O1288))</f>
        <v/>
      </c>
      <c r="T1288" s="31">
        <f>IF(OR(N1288&lt;&gt;"OK",NOT(ISNUMBER(M1288))),"",M1288-S1288)</f>
        <v/>
      </c>
      <c r="U1288" s="49">
        <f>IF(OR(NOT(ISNUMBER(T1288)),IF(ISNUMBER(H1288),H1288,G1288)=0),"",T1288/IF(ISNUMBER(H1288),H1288,G1288))</f>
        <v/>
      </c>
      <c r="V1288" s="49">
        <f>IF(ISNUMBER(U1288),ABS(U1288),"")</f>
        <v/>
      </c>
      <c r="W1288" s="49">
        <f>IF(OR($E1287&lt;&gt;"측정",$C1287&lt;&gt;$C1288,$D1287&lt;&gt;$D1288,NOT(ISNUMBER(M1288)),NOT(ISNUMBER(M1287)),(IF(ISNUMBER(H1288),H1288,G1288)-IF(ISNUMBER(H1287),H1287,G1287))=0),"",(M1288-M1287)/(IF(ISNUMBER(H1288),H1288,G1288)-IF(ISNUMBER(H1287),H1287,G1287)))</f>
        <v/>
      </c>
      <c r="X1288" s="31">
        <f>IF(NOT(AND(ISNUMBER(O1288),ISNUMBER(Q1288))),"",(Q1288-O1288)*1440)</f>
        <v/>
      </c>
      <c r="Y1288" s="29" t="n"/>
      <c r="Z1288" s="29" t="n"/>
      <c r="AA1288" s="29" t="n"/>
      <c r="AB1288" s="32" t="n"/>
      <c r="AC1288" s="32" t="n"/>
    </row>
    <row r="1289">
      <c r="A1289" s="26" t="inlineStr">
        <is>
          <t>S25</t>
        </is>
      </c>
      <c r="B1289" s="26" t="inlineStr">
        <is>
          <t>관리 신규점3</t>
        </is>
      </c>
      <c r="C1289" s="26" t="inlineStr">
        <is>
          <t>S25-H남</t>
        </is>
      </c>
      <c r="D1289" s="47" t="n">
        <v>1</v>
      </c>
      <c r="E1289" s="26" t="inlineStr">
        <is>
          <t>측정</t>
        </is>
      </c>
      <c r="F1289" s="26" t="inlineStr">
        <is>
          <t>남</t>
        </is>
      </c>
      <c r="G1289" s="31" t="n">
        <v>8</v>
      </c>
      <c r="H1289" s="30" t="n"/>
      <c r="I1289" s="43" t="n"/>
      <c r="J1289" s="41" t="n"/>
      <c r="K1289" s="41" t="n"/>
      <c r="L1289" s="41" t="n"/>
      <c r="M1289" s="31">
        <f>IF(COUNT(J1289:L1289)=0,"",MEDIAN(J1289:L1289))</f>
        <v/>
      </c>
      <c r="N1289" s="26">
        <f>IF(COUNTIFS($C:$C,$C1289,$D:$D,$D1289,$E:$E,"P0(전)",$M:$M,"&gt;0")&lt;&gt;1,"P0(전) 유효 1개 아님",IF(COUNTIFS($C:$C,$C1289,$D:$D,$D1289,$E:$E,"P0(후)",$M:$M,"&gt;0")&lt;&gt;1,"P0(후) 유효 1개 아님",IF(NOT(AND(ISNUMBER(O1289),ISNUMBER(Q1289),ISNUMBER(I1289))),"시각 결측",IF(Q1289&lt;=O1289,"P0 시각 역전",IF(OR(I1289&lt;O1289,I1289&gt;Q1289),"측정시각 구간 밖","OK")))))</f>
        <v/>
      </c>
      <c r="O1289" s="48">
        <f>IF(COUNTIFS($C:$C,$C1289,$D:$D,$D1289,$E:$E,"P0(전)",$M:$M,"&gt;0")&lt;&gt;1,"",SUMIFS($I:$I,$C:$C,$C1289,$D:$D,$D1289,$E:$E,"P0(전)"))</f>
        <v/>
      </c>
      <c r="P1289" s="31">
        <f>IF(COUNTIFS($C:$C,$C1289,$D:$D,$D1289,$E:$E,"P0(전)",$M:$M,"&gt;0")&lt;&gt;1,"",SUMIFS($M:$M,$C:$C,$C1289,$D:$D,$D1289,$E:$E,"P0(전)"))</f>
        <v/>
      </c>
      <c r="Q1289" s="48">
        <f>IF(COUNTIFS($C:$C,$C1289,$D:$D,$D1289,$E:$E,"P0(후)",$M:$M,"&gt;0")&lt;&gt;1,"",SUMIFS($I:$I,$C:$C,$C1289,$D:$D,$D1289,$E:$E,"P0(후)"))</f>
        <v/>
      </c>
      <c r="R1289" s="31">
        <f>IF(COUNTIFS($C:$C,$C1289,$D:$D,$D1289,$E:$E,"P0(후)",$M:$M,"&gt;0")&lt;&gt;1,"",SUMIFS($M:$M,$C:$C,$C1289,$D:$D,$D1289,$E:$E,"P0(후)"))</f>
        <v/>
      </c>
      <c r="S1289" s="31">
        <f>IF(N1289&lt;&gt;"OK","",P1289+(R1289-P1289)*(I1289-O1289)/(Q1289-O1289))</f>
        <v/>
      </c>
      <c r="T1289" s="31">
        <f>IF(OR(N1289&lt;&gt;"OK",NOT(ISNUMBER(M1289))),"",M1289-S1289)</f>
        <v/>
      </c>
      <c r="U1289" s="49">
        <f>IF(OR(NOT(ISNUMBER(T1289)),IF(ISNUMBER(H1289),H1289,G1289)=0),"",T1289/IF(ISNUMBER(H1289),H1289,G1289))</f>
        <v/>
      </c>
      <c r="V1289" s="49">
        <f>IF(ISNUMBER(U1289),ABS(U1289),"")</f>
        <v/>
      </c>
      <c r="W1289" s="49">
        <f>IF(OR($E1288&lt;&gt;"측정",$C1288&lt;&gt;$C1289,$D1288&lt;&gt;$D1289,NOT(ISNUMBER(M1289)),NOT(ISNUMBER(M1288)),(IF(ISNUMBER(H1289),H1289,G1289)-IF(ISNUMBER(H1288),H1288,G1288))=0),"",(M1289-M1288)/(IF(ISNUMBER(H1289),H1289,G1289)-IF(ISNUMBER(H1288),H1288,G1288)))</f>
        <v/>
      </c>
      <c r="X1289" s="31">
        <f>IF(NOT(AND(ISNUMBER(O1289),ISNUMBER(Q1289))),"",(Q1289-O1289)*1440)</f>
        <v/>
      </c>
      <c r="Y1289" s="29" t="n"/>
      <c r="Z1289" s="29" t="n"/>
      <c r="AA1289" s="29" t="n"/>
      <c r="AB1289" s="32" t="n"/>
      <c r="AC1289" s="32" t="n"/>
    </row>
    <row r="1290">
      <c r="A1290" s="26" t="inlineStr">
        <is>
          <t>S25</t>
        </is>
      </c>
      <c r="B1290" s="26" t="inlineStr">
        <is>
          <t>관리 신규점3</t>
        </is>
      </c>
      <c r="C1290" s="26" t="inlineStr">
        <is>
          <t>S25-H남</t>
        </is>
      </c>
      <c r="D1290" s="47" t="n">
        <v>1</v>
      </c>
      <c r="E1290" s="26" t="inlineStr">
        <is>
          <t>측정</t>
        </is>
      </c>
      <c r="F1290" s="26" t="inlineStr">
        <is>
          <t>남</t>
        </is>
      </c>
      <c r="G1290" s="31" t="n">
        <v>9</v>
      </c>
      <c r="H1290" s="30" t="n"/>
      <c r="I1290" s="43" t="n"/>
      <c r="J1290" s="41" t="n"/>
      <c r="K1290" s="41" t="n"/>
      <c r="L1290" s="41" t="n"/>
      <c r="M1290" s="31">
        <f>IF(COUNT(J1290:L1290)=0,"",MEDIAN(J1290:L1290))</f>
        <v/>
      </c>
      <c r="N1290" s="26">
        <f>IF(COUNTIFS($C:$C,$C1290,$D:$D,$D1290,$E:$E,"P0(전)",$M:$M,"&gt;0")&lt;&gt;1,"P0(전) 유효 1개 아님",IF(COUNTIFS($C:$C,$C1290,$D:$D,$D1290,$E:$E,"P0(후)",$M:$M,"&gt;0")&lt;&gt;1,"P0(후) 유효 1개 아님",IF(NOT(AND(ISNUMBER(O1290),ISNUMBER(Q1290),ISNUMBER(I1290))),"시각 결측",IF(Q1290&lt;=O1290,"P0 시각 역전",IF(OR(I1290&lt;O1290,I1290&gt;Q1290),"측정시각 구간 밖","OK")))))</f>
        <v/>
      </c>
      <c r="O1290" s="48">
        <f>IF(COUNTIFS($C:$C,$C1290,$D:$D,$D1290,$E:$E,"P0(전)",$M:$M,"&gt;0")&lt;&gt;1,"",SUMIFS($I:$I,$C:$C,$C1290,$D:$D,$D1290,$E:$E,"P0(전)"))</f>
        <v/>
      </c>
      <c r="P1290" s="31">
        <f>IF(COUNTIFS($C:$C,$C1290,$D:$D,$D1290,$E:$E,"P0(전)",$M:$M,"&gt;0")&lt;&gt;1,"",SUMIFS($M:$M,$C:$C,$C1290,$D:$D,$D1290,$E:$E,"P0(전)"))</f>
        <v/>
      </c>
      <c r="Q1290" s="48">
        <f>IF(COUNTIFS($C:$C,$C1290,$D:$D,$D1290,$E:$E,"P0(후)",$M:$M,"&gt;0")&lt;&gt;1,"",SUMIFS($I:$I,$C:$C,$C1290,$D:$D,$D1290,$E:$E,"P0(후)"))</f>
        <v/>
      </c>
      <c r="R1290" s="31">
        <f>IF(COUNTIFS($C:$C,$C1290,$D:$D,$D1290,$E:$E,"P0(후)",$M:$M,"&gt;0")&lt;&gt;1,"",SUMIFS($M:$M,$C:$C,$C1290,$D:$D,$D1290,$E:$E,"P0(후)"))</f>
        <v/>
      </c>
      <c r="S1290" s="31">
        <f>IF(N1290&lt;&gt;"OK","",P1290+(R1290-P1290)*(I1290-O1290)/(Q1290-O1290))</f>
        <v/>
      </c>
      <c r="T1290" s="31">
        <f>IF(OR(N1290&lt;&gt;"OK",NOT(ISNUMBER(M1290))),"",M1290-S1290)</f>
        <v/>
      </c>
      <c r="U1290" s="49">
        <f>IF(OR(NOT(ISNUMBER(T1290)),IF(ISNUMBER(H1290),H1290,G1290)=0),"",T1290/IF(ISNUMBER(H1290),H1290,G1290))</f>
        <v/>
      </c>
      <c r="V1290" s="49">
        <f>IF(ISNUMBER(U1290),ABS(U1290),"")</f>
        <v/>
      </c>
      <c r="W1290" s="49">
        <f>IF(OR($E1289&lt;&gt;"측정",$C1289&lt;&gt;$C1290,$D1289&lt;&gt;$D1290,NOT(ISNUMBER(M1290)),NOT(ISNUMBER(M1289)),(IF(ISNUMBER(H1290),H1290,G1290)-IF(ISNUMBER(H1289),H1289,G1289))=0),"",(M1290-M1289)/(IF(ISNUMBER(H1290),H1290,G1290)-IF(ISNUMBER(H1289),H1289,G1289)))</f>
        <v/>
      </c>
      <c r="X1290" s="31">
        <f>IF(NOT(AND(ISNUMBER(O1290),ISNUMBER(Q1290))),"",(Q1290-O1290)*1440)</f>
        <v/>
      </c>
      <c r="Y1290" s="29" t="n"/>
      <c r="Z1290" s="29" t="n"/>
      <c r="AA1290" s="29" t="n"/>
      <c r="AB1290" s="32" t="n"/>
      <c r="AC1290" s="32" t="n"/>
    </row>
    <row r="1291">
      <c r="A1291" s="26" t="inlineStr">
        <is>
          <t>S25</t>
        </is>
      </c>
      <c r="B1291" s="26" t="inlineStr">
        <is>
          <t>관리 신규점3</t>
        </is>
      </c>
      <c r="C1291" s="26" t="inlineStr">
        <is>
          <t>S25-H남</t>
        </is>
      </c>
      <c r="D1291" s="47" t="n">
        <v>1</v>
      </c>
      <c r="E1291" s="26" t="inlineStr">
        <is>
          <t>측정</t>
        </is>
      </c>
      <c r="F1291" s="26" t="inlineStr">
        <is>
          <t>남</t>
        </is>
      </c>
      <c r="G1291" s="31" t="n">
        <v>10</v>
      </c>
      <c r="H1291" s="30" t="n"/>
      <c r="I1291" s="43" t="n"/>
      <c r="J1291" s="41" t="n"/>
      <c r="K1291" s="41" t="n"/>
      <c r="L1291" s="41" t="n"/>
      <c r="M1291" s="31">
        <f>IF(COUNT(J1291:L1291)=0,"",MEDIAN(J1291:L1291))</f>
        <v/>
      </c>
      <c r="N1291" s="26">
        <f>IF(COUNTIFS($C:$C,$C1291,$D:$D,$D1291,$E:$E,"P0(전)",$M:$M,"&gt;0")&lt;&gt;1,"P0(전) 유효 1개 아님",IF(COUNTIFS($C:$C,$C1291,$D:$D,$D1291,$E:$E,"P0(후)",$M:$M,"&gt;0")&lt;&gt;1,"P0(후) 유효 1개 아님",IF(NOT(AND(ISNUMBER(O1291),ISNUMBER(Q1291),ISNUMBER(I1291))),"시각 결측",IF(Q1291&lt;=O1291,"P0 시각 역전",IF(OR(I1291&lt;O1291,I1291&gt;Q1291),"측정시각 구간 밖","OK")))))</f>
        <v/>
      </c>
      <c r="O1291" s="48">
        <f>IF(COUNTIFS($C:$C,$C1291,$D:$D,$D1291,$E:$E,"P0(전)",$M:$M,"&gt;0")&lt;&gt;1,"",SUMIFS($I:$I,$C:$C,$C1291,$D:$D,$D1291,$E:$E,"P0(전)"))</f>
        <v/>
      </c>
      <c r="P1291" s="31">
        <f>IF(COUNTIFS($C:$C,$C1291,$D:$D,$D1291,$E:$E,"P0(전)",$M:$M,"&gt;0")&lt;&gt;1,"",SUMIFS($M:$M,$C:$C,$C1291,$D:$D,$D1291,$E:$E,"P0(전)"))</f>
        <v/>
      </c>
      <c r="Q1291" s="48">
        <f>IF(COUNTIFS($C:$C,$C1291,$D:$D,$D1291,$E:$E,"P0(후)",$M:$M,"&gt;0")&lt;&gt;1,"",SUMIFS($I:$I,$C:$C,$C1291,$D:$D,$D1291,$E:$E,"P0(후)"))</f>
        <v/>
      </c>
      <c r="R1291" s="31">
        <f>IF(COUNTIFS($C:$C,$C1291,$D:$D,$D1291,$E:$E,"P0(후)",$M:$M,"&gt;0")&lt;&gt;1,"",SUMIFS($M:$M,$C:$C,$C1291,$D:$D,$D1291,$E:$E,"P0(후)"))</f>
        <v/>
      </c>
      <c r="S1291" s="31">
        <f>IF(N1291&lt;&gt;"OK","",P1291+(R1291-P1291)*(I1291-O1291)/(Q1291-O1291))</f>
        <v/>
      </c>
      <c r="T1291" s="31">
        <f>IF(OR(N1291&lt;&gt;"OK",NOT(ISNUMBER(M1291))),"",M1291-S1291)</f>
        <v/>
      </c>
      <c r="U1291" s="49">
        <f>IF(OR(NOT(ISNUMBER(T1291)),IF(ISNUMBER(H1291),H1291,G1291)=0),"",T1291/IF(ISNUMBER(H1291),H1291,G1291))</f>
        <v/>
      </c>
      <c r="V1291" s="49">
        <f>IF(ISNUMBER(U1291),ABS(U1291),"")</f>
        <v/>
      </c>
      <c r="W1291" s="49">
        <f>IF(OR($E1290&lt;&gt;"측정",$C1290&lt;&gt;$C1291,$D1290&lt;&gt;$D1291,NOT(ISNUMBER(M1291)),NOT(ISNUMBER(M1290)),(IF(ISNUMBER(H1291),H1291,G1291)-IF(ISNUMBER(H1290),H1290,G1290))=0),"",(M1291-M1290)/(IF(ISNUMBER(H1291),H1291,G1291)-IF(ISNUMBER(H1290),H1290,G1290)))</f>
        <v/>
      </c>
      <c r="X1291" s="31">
        <f>IF(NOT(AND(ISNUMBER(O1291),ISNUMBER(Q1291))),"",(Q1291-O1291)*1440)</f>
        <v/>
      </c>
      <c r="Y1291" s="29" t="n"/>
      <c r="Z1291" s="29" t="n"/>
      <c r="AA1291" s="29" t="n"/>
      <c r="AB1291" s="32" t="n"/>
      <c r="AC1291" s="32" t="n"/>
    </row>
    <row r="1292">
      <c r="A1292" s="44" t="inlineStr">
        <is>
          <t>S25</t>
        </is>
      </c>
      <c r="B1292" s="44" t="inlineStr">
        <is>
          <t>관리 신규점3</t>
        </is>
      </c>
      <c r="C1292" s="44" t="inlineStr">
        <is>
          <t>S25-H남</t>
        </is>
      </c>
      <c r="D1292" s="45" t="n">
        <v>1</v>
      </c>
      <c r="E1292" s="44" t="inlineStr">
        <is>
          <t>P0(후)</t>
        </is>
      </c>
      <c r="F1292" s="44" t="inlineStr">
        <is>
          <t>남</t>
        </is>
      </c>
      <c r="G1292" s="46" t="n"/>
      <c r="H1292" s="30" t="n"/>
      <c r="I1292" s="43" t="n"/>
      <c r="J1292" s="41" t="n"/>
      <c r="K1292" s="41" t="n"/>
      <c r="L1292" s="41" t="n"/>
      <c r="M1292" s="31">
        <f>IF(COUNT(J1292:L1292)=0,"",MEDIAN(J1292:L1292))</f>
        <v/>
      </c>
      <c r="N1292" s="38" t="n"/>
      <c r="O1292" s="38" t="n"/>
      <c r="P1292" s="38" t="n"/>
      <c r="Q1292" s="38" t="n"/>
      <c r="R1292" s="38" t="n"/>
      <c r="S1292" s="38" t="n"/>
      <c r="T1292" s="38" t="n"/>
      <c r="U1292" s="38" t="n"/>
      <c r="V1292" s="38" t="n"/>
      <c r="W1292" s="38" t="n"/>
      <c r="X1292" s="38" t="n"/>
      <c r="Y1292" s="29" t="n"/>
      <c r="Z1292" s="29" t="n"/>
      <c r="AA1292" s="29" t="n"/>
      <c r="AB1292" s="32" t="n"/>
      <c r="AC1292" s="32" t="n"/>
    </row>
    <row r="1293">
      <c r="A1293" s="44" t="inlineStr">
        <is>
          <t>S25</t>
        </is>
      </c>
      <c r="B1293" s="44" t="inlineStr">
        <is>
          <t>관리 신규점3</t>
        </is>
      </c>
      <c r="C1293" s="44" t="inlineStr">
        <is>
          <t>S25-H북</t>
        </is>
      </c>
      <c r="D1293" s="45" t="n">
        <v>1</v>
      </c>
      <c r="E1293" s="44" t="inlineStr">
        <is>
          <t>P0(전)</t>
        </is>
      </c>
      <c r="F1293" s="44" t="inlineStr">
        <is>
          <t>북</t>
        </is>
      </c>
      <c r="G1293" s="46" t="n"/>
      <c r="H1293" s="30" t="n"/>
      <c r="I1293" s="43" t="n"/>
      <c r="J1293" s="41" t="n"/>
      <c r="K1293" s="41" t="n"/>
      <c r="L1293" s="41" t="n"/>
      <c r="M1293" s="31">
        <f>IF(COUNT(J1293:L1293)=0,"",MEDIAN(J1293:L1293))</f>
        <v/>
      </c>
      <c r="N1293" s="38" t="n"/>
      <c r="O1293" s="38" t="n"/>
      <c r="P1293" s="38" t="n"/>
      <c r="Q1293" s="38" t="n"/>
      <c r="R1293" s="38" t="n"/>
      <c r="S1293" s="38" t="n"/>
      <c r="T1293" s="38" t="n"/>
      <c r="U1293" s="38" t="n"/>
      <c r="V1293" s="38" t="n"/>
      <c r="W1293" s="38" t="n"/>
      <c r="X1293" s="38" t="n"/>
      <c r="Y1293" s="29" t="n"/>
      <c r="Z1293" s="29" t="n"/>
      <c r="AA1293" s="29" t="n"/>
      <c r="AB1293" s="32" t="n"/>
      <c r="AC1293" s="32" t="n"/>
    </row>
    <row r="1294">
      <c r="A1294" s="26" t="inlineStr">
        <is>
          <t>S25</t>
        </is>
      </c>
      <c r="B1294" s="26" t="inlineStr">
        <is>
          <t>관리 신규점3</t>
        </is>
      </c>
      <c r="C1294" s="26" t="inlineStr">
        <is>
          <t>S25-H북</t>
        </is>
      </c>
      <c r="D1294" s="47" t="n">
        <v>1</v>
      </c>
      <c r="E1294" s="26" t="inlineStr">
        <is>
          <t>측정</t>
        </is>
      </c>
      <c r="F1294" s="26" t="inlineStr">
        <is>
          <t>북</t>
        </is>
      </c>
      <c r="G1294" s="31" t="n">
        <v>0.5</v>
      </c>
      <c r="H1294" s="30" t="n"/>
      <c r="I1294" s="43" t="n"/>
      <c r="J1294" s="41" t="n"/>
      <c r="K1294" s="41" t="n"/>
      <c r="L1294" s="41" t="n"/>
      <c r="M1294" s="31">
        <f>IF(COUNT(J1294:L1294)=0,"",MEDIAN(J1294:L1294))</f>
        <v/>
      </c>
      <c r="N1294" s="26">
        <f>IF(COUNTIFS($C:$C,$C1294,$D:$D,$D1294,$E:$E,"P0(전)",$M:$M,"&gt;0")&lt;&gt;1,"P0(전) 유효 1개 아님",IF(COUNTIFS($C:$C,$C1294,$D:$D,$D1294,$E:$E,"P0(후)",$M:$M,"&gt;0")&lt;&gt;1,"P0(후) 유효 1개 아님",IF(NOT(AND(ISNUMBER(O1294),ISNUMBER(Q1294),ISNUMBER(I1294))),"시각 결측",IF(Q1294&lt;=O1294,"P0 시각 역전",IF(OR(I1294&lt;O1294,I1294&gt;Q1294),"측정시각 구간 밖","OK")))))</f>
        <v/>
      </c>
      <c r="O1294" s="48">
        <f>IF(COUNTIFS($C:$C,$C1294,$D:$D,$D1294,$E:$E,"P0(전)",$M:$M,"&gt;0")&lt;&gt;1,"",SUMIFS($I:$I,$C:$C,$C1294,$D:$D,$D1294,$E:$E,"P0(전)"))</f>
        <v/>
      </c>
      <c r="P1294" s="31">
        <f>IF(COUNTIFS($C:$C,$C1294,$D:$D,$D1294,$E:$E,"P0(전)",$M:$M,"&gt;0")&lt;&gt;1,"",SUMIFS($M:$M,$C:$C,$C1294,$D:$D,$D1294,$E:$E,"P0(전)"))</f>
        <v/>
      </c>
      <c r="Q1294" s="48">
        <f>IF(COUNTIFS($C:$C,$C1294,$D:$D,$D1294,$E:$E,"P0(후)",$M:$M,"&gt;0")&lt;&gt;1,"",SUMIFS($I:$I,$C:$C,$C1294,$D:$D,$D1294,$E:$E,"P0(후)"))</f>
        <v/>
      </c>
      <c r="R1294" s="31">
        <f>IF(COUNTIFS($C:$C,$C1294,$D:$D,$D1294,$E:$E,"P0(후)",$M:$M,"&gt;0")&lt;&gt;1,"",SUMIFS($M:$M,$C:$C,$C1294,$D:$D,$D1294,$E:$E,"P0(후)"))</f>
        <v/>
      </c>
      <c r="S1294" s="31">
        <f>IF(N1294&lt;&gt;"OK","",P1294+(R1294-P1294)*(I1294-O1294)/(Q1294-O1294))</f>
        <v/>
      </c>
      <c r="T1294" s="31">
        <f>IF(OR(N1294&lt;&gt;"OK",NOT(ISNUMBER(M1294))),"",M1294-S1294)</f>
        <v/>
      </c>
      <c r="U1294" s="49">
        <f>IF(OR(NOT(ISNUMBER(T1294)),IF(ISNUMBER(H1294),H1294,G1294)=0),"",T1294/IF(ISNUMBER(H1294),H1294,G1294))</f>
        <v/>
      </c>
      <c r="V1294" s="49">
        <f>IF(ISNUMBER(U1294),ABS(U1294),"")</f>
        <v/>
      </c>
      <c r="W1294" s="49">
        <f>IF(OR($E1293&lt;&gt;"측정",$C1293&lt;&gt;$C1294,$D1293&lt;&gt;$D1294,NOT(ISNUMBER(M1294)),NOT(ISNUMBER(M1293)),(IF(ISNUMBER(H1294),H1294,G1294)-IF(ISNUMBER(H1293),H1293,G1293))=0),"",(M1294-M1293)/(IF(ISNUMBER(H1294),H1294,G1294)-IF(ISNUMBER(H1293),H1293,G1293)))</f>
        <v/>
      </c>
      <c r="X1294" s="31">
        <f>IF(NOT(AND(ISNUMBER(O1294),ISNUMBER(Q1294))),"",(Q1294-O1294)*1440)</f>
        <v/>
      </c>
      <c r="Y1294" s="29" t="n"/>
      <c r="Z1294" s="29" t="n"/>
      <c r="AA1294" s="29" t="n"/>
      <c r="AB1294" s="32" t="n"/>
      <c r="AC1294" s="32" t="n"/>
    </row>
    <row r="1295">
      <c r="A1295" s="26" t="inlineStr">
        <is>
          <t>S25</t>
        </is>
      </c>
      <c r="B1295" s="26" t="inlineStr">
        <is>
          <t>관리 신규점3</t>
        </is>
      </c>
      <c r="C1295" s="26" t="inlineStr">
        <is>
          <t>S25-H북</t>
        </is>
      </c>
      <c r="D1295" s="47" t="n">
        <v>1</v>
      </c>
      <c r="E1295" s="26" t="inlineStr">
        <is>
          <t>측정</t>
        </is>
      </c>
      <c r="F1295" s="26" t="inlineStr">
        <is>
          <t>북</t>
        </is>
      </c>
      <c r="G1295" s="31" t="n">
        <v>1</v>
      </c>
      <c r="H1295" s="30" t="n"/>
      <c r="I1295" s="43" t="n"/>
      <c r="J1295" s="41" t="n"/>
      <c r="K1295" s="41" t="n"/>
      <c r="L1295" s="41" t="n"/>
      <c r="M1295" s="31">
        <f>IF(COUNT(J1295:L1295)=0,"",MEDIAN(J1295:L1295))</f>
        <v/>
      </c>
      <c r="N1295" s="26">
        <f>IF(COUNTIFS($C:$C,$C1295,$D:$D,$D1295,$E:$E,"P0(전)",$M:$M,"&gt;0")&lt;&gt;1,"P0(전) 유효 1개 아님",IF(COUNTIFS($C:$C,$C1295,$D:$D,$D1295,$E:$E,"P0(후)",$M:$M,"&gt;0")&lt;&gt;1,"P0(후) 유효 1개 아님",IF(NOT(AND(ISNUMBER(O1295),ISNUMBER(Q1295),ISNUMBER(I1295))),"시각 결측",IF(Q1295&lt;=O1295,"P0 시각 역전",IF(OR(I1295&lt;O1295,I1295&gt;Q1295),"측정시각 구간 밖","OK")))))</f>
        <v/>
      </c>
      <c r="O1295" s="48">
        <f>IF(COUNTIFS($C:$C,$C1295,$D:$D,$D1295,$E:$E,"P0(전)",$M:$M,"&gt;0")&lt;&gt;1,"",SUMIFS($I:$I,$C:$C,$C1295,$D:$D,$D1295,$E:$E,"P0(전)"))</f>
        <v/>
      </c>
      <c r="P1295" s="31">
        <f>IF(COUNTIFS($C:$C,$C1295,$D:$D,$D1295,$E:$E,"P0(전)",$M:$M,"&gt;0")&lt;&gt;1,"",SUMIFS($M:$M,$C:$C,$C1295,$D:$D,$D1295,$E:$E,"P0(전)"))</f>
        <v/>
      </c>
      <c r="Q1295" s="48">
        <f>IF(COUNTIFS($C:$C,$C1295,$D:$D,$D1295,$E:$E,"P0(후)",$M:$M,"&gt;0")&lt;&gt;1,"",SUMIFS($I:$I,$C:$C,$C1295,$D:$D,$D1295,$E:$E,"P0(후)"))</f>
        <v/>
      </c>
      <c r="R1295" s="31">
        <f>IF(COUNTIFS($C:$C,$C1295,$D:$D,$D1295,$E:$E,"P0(후)",$M:$M,"&gt;0")&lt;&gt;1,"",SUMIFS($M:$M,$C:$C,$C1295,$D:$D,$D1295,$E:$E,"P0(후)"))</f>
        <v/>
      </c>
      <c r="S1295" s="31">
        <f>IF(N1295&lt;&gt;"OK","",P1295+(R1295-P1295)*(I1295-O1295)/(Q1295-O1295))</f>
        <v/>
      </c>
      <c r="T1295" s="31">
        <f>IF(OR(N1295&lt;&gt;"OK",NOT(ISNUMBER(M1295))),"",M1295-S1295)</f>
        <v/>
      </c>
      <c r="U1295" s="49">
        <f>IF(OR(NOT(ISNUMBER(T1295)),IF(ISNUMBER(H1295),H1295,G1295)=0),"",T1295/IF(ISNUMBER(H1295),H1295,G1295))</f>
        <v/>
      </c>
      <c r="V1295" s="49">
        <f>IF(ISNUMBER(U1295),ABS(U1295),"")</f>
        <v/>
      </c>
      <c r="W1295" s="49">
        <f>IF(OR($E1294&lt;&gt;"측정",$C1294&lt;&gt;$C1295,$D1294&lt;&gt;$D1295,NOT(ISNUMBER(M1295)),NOT(ISNUMBER(M1294)),(IF(ISNUMBER(H1295),H1295,G1295)-IF(ISNUMBER(H1294),H1294,G1294))=0),"",(M1295-M1294)/(IF(ISNUMBER(H1295),H1295,G1295)-IF(ISNUMBER(H1294),H1294,G1294)))</f>
        <v/>
      </c>
      <c r="X1295" s="31">
        <f>IF(NOT(AND(ISNUMBER(O1295),ISNUMBER(Q1295))),"",(Q1295-O1295)*1440)</f>
        <v/>
      </c>
      <c r="Y1295" s="29" t="n"/>
      <c r="Z1295" s="29" t="n"/>
      <c r="AA1295" s="29" t="n"/>
      <c r="AB1295" s="32" t="n"/>
      <c r="AC1295" s="32" t="n"/>
    </row>
    <row r="1296">
      <c r="A1296" s="26" t="inlineStr">
        <is>
          <t>S25</t>
        </is>
      </c>
      <c r="B1296" s="26" t="inlineStr">
        <is>
          <t>관리 신규점3</t>
        </is>
      </c>
      <c r="C1296" s="26" t="inlineStr">
        <is>
          <t>S25-H북</t>
        </is>
      </c>
      <c r="D1296" s="47" t="n">
        <v>1</v>
      </c>
      <c r="E1296" s="26" t="inlineStr">
        <is>
          <t>측정</t>
        </is>
      </c>
      <c r="F1296" s="26" t="inlineStr">
        <is>
          <t>북</t>
        </is>
      </c>
      <c r="G1296" s="31" t="n">
        <v>2</v>
      </c>
      <c r="H1296" s="30" t="n"/>
      <c r="I1296" s="43" t="n"/>
      <c r="J1296" s="41" t="n"/>
      <c r="K1296" s="41" t="n"/>
      <c r="L1296" s="41" t="n"/>
      <c r="M1296" s="31">
        <f>IF(COUNT(J1296:L1296)=0,"",MEDIAN(J1296:L1296))</f>
        <v/>
      </c>
      <c r="N1296" s="26">
        <f>IF(COUNTIFS($C:$C,$C1296,$D:$D,$D1296,$E:$E,"P0(전)",$M:$M,"&gt;0")&lt;&gt;1,"P0(전) 유효 1개 아님",IF(COUNTIFS($C:$C,$C1296,$D:$D,$D1296,$E:$E,"P0(후)",$M:$M,"&gt;0")&lt;&gt;1,"P0(후) 유효 1개 아님",IF(NOT(AND(ISNUMBER(O1296),ISNUMBER(Q1296),ISNUMBER(I1296))),"시각 결측",IF(Q1296&lt;=O1296,"P0 시각 역전",IF(OR(I1296&lt;O1296,I1296&gt;Q1296),"측정시각 구간 밖","OK")))))</f>
        <v/>
      </c>
      <c r="O1296" s="48">
        <f>IF(COUNTIFS($C:$C,$C1296,$D:$D,$D1296,$E:$E,"P0(전)",$M:$M,"&gt;0")&lt;&gt;1,"",SUMIFS($I:$I,$C:$C,$C1296,$D:$D,$D1296,$E:$E,"P0(전)"))</f>
        <v/>
      </c>
      <c r="P1296" s="31">
        <f>IF(COUNTIFS($C:$C,$C1296,$D:$D,$D1296,$E:$E,"P0(전)",$M:$M,"&gt;0")&lt;&gt;1,"",SUMIFS($M:$M,$C:$C,$C1296,$D:$D,$D1296,$E:$E,"P0(전)"))</f>
        <v/>
      </c>
      <c r="Q1296" s="48">
        <f>IF(COUNTIFS($C:$C,$C1296,$D:$D,$D1296,$E:$E,"P0(후)",$M:$M,"&gt;0")&lt;&gt;1,"",SUMIFS($I:$I,$C:$C,$C1296,$D:$D,$D1296,$E:$E,"P0(후)"))</f>
        <v/>
      </c>
      <c r="R1296" s="31">
        <f>IF(COUNTIFS($C:$C,$C1296,$D:$D,$D1296,$E:$E,"P0(후)",$M:$M,"&gt;0")&lt;&gt;1,"",SUMIFS($M:$M,$C:$C,$C1296,$D:$D,$D1296,$E:$E,"P0(후)"))</f>
        <v/>
      </c>
      <c r="S1296" s="31">
        <f>IF(N1296&lt;&gt;"OK","",P1296+(R1296-P1296)*(I1296-O1296)/(Q1296-O1296))</f>
        <v/>
      </c>
      <c r="T1296" s="31">
        <f>IF(OR(N1296&lt;&gt;"OK",NOT(ISNUMBER(M1296))),"",M1296-S1296)</f>
        <v/>
      </c>
      <c r="U1296" s="49">
        <f>IF(OR(NOT(ISNUMBER(T1296)),IF(ISNUMBER(H1296),H1296,G1296)=0),"",T1296/IF(ISNUMBER(H1296),H1296,G1296))</f>
        <v/>
      </c>
      <c r="V1296" s="49">
        <f>IF(ISNUMBER(U1296),ABS(U1296),"")</f>
        <v/>
      </c>
      <c r="W1296" s="49">
        <f>IF(OR($E1295&lt;&gt;"측정",$C1295&lt;&gt;$C1296,$D1295&lt;&gt;$D1296,NOT(ISNUMBER(M1296)),NOT(ISNUMBER(M1295)),(IF(ISNUMBER(H1296),H1296,G1296)-IF(ISNUMBER(H1295),H1295,G1295))=0),"",(M1296-M1295)/(IF(ISNUMBER(H1296),H1296,G1296)-IF(ISNUMBER(H1295),H1295,G1295)))</f>
        <v/>
      </c>
      <c r="X1296" s="31">
        <f>IF(NOT(AND(ISNUMBER(O1296),ISNUMBER(Q1296))),"",(Q1296-O1296)*1440)</f>
        <v/>
      </c>
      <c r="Y1296" s="29" t="n"/>
      <c r="Z1296" s="29" t="n"/>
      <c r="AA1296" s="29" t="n"/>
      <c r="AB1296" s="32" t="n"/>
      <c r="AC1296" s="32" t="n"/>
    </row>
    <row r="1297">
      <c r="A1297" s="26" t="inlineStr">
        <is>
          <t>S25</t>
        </is>
      </c>
      <c r="B1297" s="26" t="inlineStr">
        <is>
          <t>관리 신규점3</t>
        </is>
      </c>
      <c r="C1297" s="26" t="inlineStr">
        <is>
          <t>S25-H북</t>
        </is>
      </c>
      <c r="D1297" s="47" t="n">
        <v>1</v>
      </c>
      <c r="E1297" s="26" t="inlineStr">
        <is>
          <t>측정</t>
        </is>
      </c>
      <c r="F1297" s="26" t="inlineStr">
        <is>
          <t>북</t>
        </is>
      </c>
      <c r="G1297" s="31" t="n">
        <v>3</v>
      </c>
      <c r="H1297" s="30" t="n"/>
      <c r="I1297" s="43" t="n"/>
      <c r="J1297" s="41" t="n"/>
      <c r="K1297" s="41" t="n"/>
      <c r="L1297" s="41" t="n"/>
      <c r="M1297" s="31">
        <f>IF(COUNT(J1297:L1297)=0,"",MEDIAN(J1297:L1297))</f>
        <v/>
      </c>
      <c r="N1297" s="26">
        <f>IF(COUNTIFS($C:$C,$C1297,$D:$D,$D1297,$E:$E,"P0(전)",$M:$M,"&gt;0")&lt;&gt;1,"P0(전) 유효 1개 아님",IF(COUNTIFS($C:$C,$C1297,$D:$D,$D1297,$E:$E,"P0(후)",$M:$M,"&gt;0")&lt;&gt;1,"P0(후) 유효 1개 아님",IF(NOT(AND(ISNUMBER(O1297),ISNUMBER(Q1297),ISNUMBER(I1297))),"시각 결측",IF(Q1297&lt;=O1297,"P0 시각 역전",IF(OR(I1297&lt;O1297,I1297&gt;Q1297),"측정시각 구간 밖","OK")))))</f>
        <v/>
      </c>
      <c r="O1297" s="48">
        <f>IF(COUNTIFS($C:$C,$C1297,$D:$D,$D1297,$E:$E,"P0(전)",$M:$M,"&gt;0")&lt;&gt;1,"",SUMIFS($I:$I,$C:$C,$C1297,$D:$D,$D1297,$E:$E,"P0(전)"))</f>
        <v/>
      </c>
      <c r="P1297" s="31">
        <f>IF(COUNTIFS($C:$C,$C1297,$D:$D,$D1297,$E:$E,"P0(전)",$M:$M,"&gt;0")&lt;&gt;1,"",SUMIFS($M:$M,$C:$C,$C1297,$D:$D,$D1297,$E:$E,"P0(전)"))</f>
        <v/>
      </c>
      <c r="Q1297" s="48">
        <f>IF(COUNTIFS($C:$C,$C1297,$D:$D,$D1297,$E:$E,"P0(후)",$M:$M,"&gt;0")&lt;&gt;1,"",SUMIFS($I:$I,$C:$C,$C1297,$D:$D,$D1297,$E:$E,"P0(후)"))</f>
        <v/>
      </c>
      <c r="R1297" s="31">
        <f>IF(COUNTIFS($C:$C,$C1297,$D:$D,$D1297,$E:$E,"P0(후)",$M:$M,"&gt;0")&lt;&gt;1,"",SUMIFS($M:$M,$C:$C,$C1297,$D:$D,$D1297,$E:$E,"P0(후)"))</f>
        <v/>
      </c>
      <c r="S1297" s="31">
        <f>IF(N1297&lt;&gt;"OK","",P1297+(R1297-P1297)*(I1297-O1297)/(Q1297-O1297))</f>
        <v/>
      </c>
      <c r="T1297" s="31">
        <f>IF(OR(N1297&lt;&gt;"OK",NOT(ISNUMBER(M1297))),"",M1297-S1297)</f>
        <v/>
      </c>
      <c r="U1297" s="49">
        <f>IF(OR(NOT(ISNUMBER(T1297)),IF(ISNUMBER(H1297),H1297,G1297)=0),"",T1297/IF(ISNUMBER(H1297),H1297,G1297))</f>
        <v/>
      </c>
      <c r="V1297" s="49">
        <f>IF(ISNUMBER(U1297),ABS(U1297),"")</f>
        <v/>
      </c>
      <c r="W1297" s="49">
        <f>IF(OR($E1296&lt;&gt;"측정",$C1296&lt;&gt;$C1297,$D1296&lt;&gt;$D1297,NOT(ISNUMBER(M1297)),NOT(ISNUMBER(M1296)),(IF(ISNUMBER(H1297),H1297,G1297)-IF(ISNUMBER(H1296),H1296,G1296))=0),"",(M1297-M1296)/(IF(ISNUMBER(H1297),H1297,G1297)-IF(ISNUMBER(H1296),H1296,G1296)))</f>
        <v/>
      </c>
      <c r="X1297" s="31">
        <f>IF(NOT(AND(ISNUMBER(O1297),ISNUMBER(Q1297))),"",(Q1297-O1297)*1440)</f>
        <v/>
      </c>
      <c r="Y1297" s="29" t="n"/>
      <c r="Z1297" s="29" t="n"/>
      <c r="AA1297" s="29" t="n"/>
      <c r="AB1297" s="32" t="n"/>
      <c r="AC1297" s="32" t="n"/>
    </row>
    <row r="1298">
      <c r="A1298" s="26" t="inlineStr">
        <is>
          <t>S25</t>
        </is>
      </c>
      <c r="B1298" s="26" t="inlineStr">
        <is>
          <t>관리 신규점3</t>
        </is>
      </c>
      <c r="C1298" s="26" t="inlineStr">
        <is>
          <t>S25-H북</t>
        </is>
      </c>
      <c r="D1298" s="47" t="n">
        <v>1</v>
      </c>
      <c r="E1298" s="26" t="inlineStr">
        <is>
          <t>측정</t>
        </is>
      </c>
      <c r="F1298" s="26" t="inlineStr">
        <is>
          <t>북</t>
        </is>
      </c>
      <c r="G1298" s="31" t="n">
        <v>4</v>
      </c>
      <c r="H1298" s="30" t="n"/>
      <c r="I1298" s="43" t="n"/>
      <c r="J1298" s="41" t="n"/>
      <c r="K1298" s="41" t="n"/>
      <c r="L1298" s="41" t="n"/>
      <c r="M1298" s="31">
        <f>IF(COUNT(J1298:L1298)=0,"",MEDIAN(J1298:L1298))</f>
        <v/>
      </c>
      <c r="N1298" s="26">
        <f>IF(COUNTIFS($C:$C,$C1298,$D:$D,$D1298,$E:$E,"P0(전)",$M:$M,"&gt;0")&lt;&gt;1,"P0(전) 유효 1개 아님",IF(COUNTIFS($C:$C,$C1298,$D:$D,$D1298,$E:$E,"P0(후)",$M:$M,"&gt;0")&lt;&gt;1,"P0(후) 유효 1개 아님",IF(NOT(AND(ISNUMBER(O1298),ISNUMBER(Q1298),ISNUMBER(I1298))),"시각 결측",IF(Q1298&lt;=O1298,"P0 시각 역전",IF(OR(I1298&lt;O1298,I1298&gt;Q1298),"측정시각 구간 밖","OK")))))</f>
        <v/>
      </c>
      <c r="O1298" s="48">
        <f>IF(COUNTIFS($C:$C,$C1298,$D:$D,$D1298,$E:$E,"P0(전)",$M:$M,"&gt;0")&lt;&gt;1,"",SUMIFS($I:$I,$C:$C,$C1298,$D:$D,$D1298,$E:$E,"P0(전)"))</f>
        <v/>
      </c>
      <c r="P1298" s="31">
        <f>IF(COUNTIFS($C:$C,$C1298,$D:$D,$D1298,$E:$E,"P0(전)",$M:$M,"&gt;0")&lt;&gt;1,"",SUMIFS($M:$M,$C:$C,$C1298,$D:$D,$D1298,$E:$E,"P0(전)"))</f>
        <v/>
      </c>
      <c r="Q1298" s="48">
        <f>IF(COUNTIFS($C:$C,$C1298,$D:$D,$D1298,$E:$E,"P0(후)",$M:$M,"&gt;0")&lt;&gt;1,"",SUMIFS($I:$I,$C:$C,$C1298,$D:$D,$D1298,$E:$E,"P0(후)"))</f>
        <v/>
      </c>
      <c r="R1298" s="31">
        <f>IF(COUNTIFS($C:$C,$C1298,$D:$D,$D1298,$E:$E,"P0(후)",$M:$M,"&gt;0")&lt;&gt;1,"",SUMIFS($M:$M,$C:$C,$C1298,$D:$D,$D1298,$E:$E,"P0(후)"))</f>
        <v/>
      </c>
      <c r="S1298" s="31">
        <f>IF(N1298&lt;&gt;"OK","",P1298+(R1298-P1298)*(I1298-O1298)/(Q1298-O1298))</f>
        <v/>
      </c>
      <c r="T1298" s="31">
        <f>IF(OR(N1298&lt;&gt;"OK",NOT(ISNUMBER(M1298))),"",M1298-S1298)</f>
        <v/>
      </c>
      <c r="U1298" s="49">
        <f>IF(OR(NOT(ISNUMBER(T1298)),IF(ISNUMBER(H1298),H1298,G1298)=0),"",T1298/IF(ISNUMBER(H1298),H1298,G1298))</f>
        <v/>
      </c>
      <c r="V1298" s="49">
        <f>IF(ISNUMBER(U1298),ABS(U1298),"")</f>
        <v/>
      </c>
      <c r="W1298" s="49">
        <f>IF(OR($E1297&lt;&gt;"측정",$C1297&lt;&gt;$C1298,$D1297&lt;&gt;$D1298,NOT(ISNUMBER(M1298)),NOT(ISNUMBER(M1297)),(IF(ISNUMBER(H1298),H1298,G1298)-IF(ISNUMBER(H1297),H1297,G1297))=0),"",(M1298-M1297)/(IF(ISNUMBER(H1298),H1298,G1298)-IF(ISNUMBER(H1297),H1297,G1297)))</f>
        <v/>
      </c>
      <c r="X1298" s="31">
        <f>IF(NOT(AND(ISNUMBER(O1298),ISNUMBER(Q1298))),"",(Q1298-O1298)*1440)</f>
        <v/>
      </c>
      <c r="Y1298" s="29" t="n"/>
      <c r="Z1298" s="29" t="n"/>
      <c r="AA1298" s="29" t="n"/>
      <c r="AB1298" s="32" t="n"/>
      <c r="AC1298" s="32" t="n"/>
    </row>
    <row r="1299">
      <c r="A1299" s="26" t="inlineStr">
        <is>
          <t>S25</t>
        </is>
      </c>
      <c r="B1299" s="26" t="inlineStr">
        <is>
          <t>관리 신규점3</t>
        </is>
      </c>
      <c r="C1299" s="26" t="inlineStr">
        <is>
          <t>S25-H북</t>
        </is>
      </c>
      <c r="D1299" s="47" t="n">
        <v>1</v>
      </c>
      <c r="E1299" s="26" t="inlineStr">
        <is>
          <t>측정</t>
        </is>
      </c>
      <c r="F1299" s="26" t="inlineStr">
        <is>
          <t>북</t>
        </is>
      </c>
      <c r="G1299" s="31" t="n">
        <v>5</v>
      </c>
      <c r="H1299" s="30" t="n"/>
      <c r="I1299" s="43" t="n"/>
      <c r="J1299" s="41" t="n"/>
      <c r="K1299" s="41" t="n"/>
      <c r="L1299" s="41" t="n"/>
      <c r="M1299" s="31">
        <f>IF(COUNT(J1299:L1299)=0,"",MEDIAN(J1299:L1299))</f>
        <v/>
      </c>
      <c r="N1299" s="26">
        <f>IF(COUNTIFS($C:$C,$C1299,$D:$D,$D1299,$E:$E,"P0(전)",$M:$M,"&gt;0")&lt;&gt;1,"P0(전) 유효 1개 아님",IF(COUNTIFS($C:$C,$C1299,$D:$D,$D1299,$E:$E,"P0(후)",$M:$M,"&gt;0")&lt;&gt;1,"P0(후) 유효 1개 아님",IF(NOT(AND(ISNUMBER(O1299),ISNUMBER(Q1299),ISNUMBER(I1299))),"시각 결측",IF(Q1299&lt;=O1299,"P0 시각 역전",IF(OR(I1299&lt;O1299,I1299&gt;Q1299),"측정시각 구간 밖","OK")))))</f>
        <v/>
      </c>
      <c r="O1299" s="48">
        <f>IF(COUNTIFS($C:$C,$C1299,$D:$D,$D1299,$E:$E,"P0(전)",$M:$M,"&gt;0")&lt;&gt;1,"",SUMIFS($I:$I,$C:$C,$C1299,$D:$D,$D1299,$E:$E,"P0(전)"))</f>
        <v/>
      </c>
      <c r="P1299" s="31">
        <f>IF(COUNTIFS($C:$C,$C1299,$D:$D,$D1299,$E:$E,"P0(전)",$M:$M,"&gt;0")&lt;&gt;1,"",SUMIFS($M:$M,$C:$C,$C1299,$D:$D,$D1299,$E:$E,"P0(전)"))</f>
        <v/>
      </c>
      <c r="Q1299" s="48">
        <f>IF(COUNTIFS($C:$C,$C1299,$D:$D,$D1299,$E:$E,"P0(후)",$M:$M,"&gt;0")&lt;&gt;1,"",SUMIFS($I:$I,$C:$C,$C1299,$D:$D,$D1299,$E:$E,"P0(후)"))</f>
        <v/>
      </c>
      <c r="R1299" s="31">
        <f>IF(COUNTIFS($C:$C,$C1299,$D:$D,$D1299,$E:$E,"P0(후)",$M:$M,"&gt;0")&lt;&gt;1,"",SUMIFS($M:$M,$C:$C,$C1299,$D:$D,$D1299,$E:$E,"P0(후)"))</f>
        <v/>
      </c>
      <c r="S1299" s="31">
        <f>IF(N1299&lt;&gt;"OK","",P1299+(R1299-P1299)*(I1299-O1299)/(Q1299-O1299))</f>
        <v/>
      </c>
      <c r="T1299" s="31">
        <f>IF(OR(N1299&lt;&gt;"OK",NOT(ISNUMBER(M1299))),"",M1299-S1299)</f>
        <v/>
      </c>
      <c r="U1299" s="49">
        <f>IF(OR(NOT(ISNUMBER(T1299)),IF(ISNUMBER(H1299),H1299,G1299)=0),"",T1299/IF(ISNUMBER(H1299),H1299,G1299))</f>
        <v/>
      </c>
      <c r="V1299" s="49">
        <f>IF(ISNUMBER(U1299),ABS(U1299),"")</f>
        <v/>
      </c>
      <c r="W1299" s="49">
        <f>IF(OR($E1298&lt;&gt;"측정",$C1298&lt;&gt;$C1299,$D1298&lt;&gt;$D1299,NOT(ISNUMBER(M1299)),NOT(ISNUMBER(M1298)),(IF(ISNUMBER(H1299),H1299,G1299)-IF(ISNUMBER(H1298),H1298,G1298))=0),"",(M1299-M1298)/(IF(ISNUMBER(H1299),H1299,G1299)-IF(ISNUMBER(H1298),H1298,G1298)))</f>
        <v/>
      </c>
      <c r="X1299" s="31">
        <f>IF(NOT(AND(ISNUMBER(O1299),ISNUMBER(Q1299))),"",(Q1299-O1299)*1440)</f>
        <v/>
      </c>
      <c r="Y1299" s="29" t="n"/>
      <c r="Z1299" s="29" t="n"/>
      <c r="AA1299" s="29" t="n"/>
      <c r="AB1299" s="32" t="n"/>
      <c r="AC1299" s="32" t="n"/>
    </row>
    <row r="1300">
      <c r="A1300" s="26" t="inlineStr">
        <is>
          <t>S25</t>
        </is>
      </c>
      <c r="B1300" s="26" t="inlineStr">
        <is>
          <t>관리 신규점3</t>
        </is>
      </c>
      <c r="C1300" s="26" t="inlineStr">
        <is>
          <t>S25-H북</t>
        </is>
      </c>
      <c r="D1300" s="47" t="n">
        <v>1</v>
      </c>
      <c r="E1300" s="26" t="inlineStr">
        <is>
          <t>측정</t>
        </is>
      </c>
      <c r="F1300" s="26" t="inlineStr">
        <is>
          <t>북</t>
        </is>
      </c>
      <c r="G1300" s="31" t="n">
        <v>6</v>
      </c>
      <c r="H1300" s="30" t="n"/>
      <c r="I1300" s="43" t="n"/>
      <c r="J1300" s="41" t="n"/>
      <c r="K1300" s="41" t="n"/>
      <c r="L1300" s="41" t="n"/>
      <c r="M1300" s="31">
        <f>IF(COUNT(J1300:L1300)=0,"",MEDIAN(J1300:L1300))</f>
        <v/>
      </c>
      <c r="N1300" s="26">
        <f>IF(COUNTIFS($C:$C,$C1300,$D:$D,$D1300,$E:$E,"P0(전)",$M:$M,"&gt;0")&lt;&gt;1,"P0(전) 유효 1개 아님",IF(COUNTIFS($C:$C,$C1300,$D:$D,$D1300,$E:$E,"P0(후)",$M:$M,"&gt;0")&lt;&gt;1,"P0(후) 유효 1개 아님",IF(NOT(AND(ISNUMBER(O1300),ISNUMBER(Q1300),ISNUMBER(I1300))),"시각 결측",IF(Q1300&lt;=O1300,"P0 시각 역전",IF(OR(I1300&lt;O1300,I1300&gt;Q1300),"측정시각 구간 밖","OK")))))</f>
        <v/>
      </c>
      <c r="O1300" s="48">
        <f>IF(COUNTIFS($C:$C,$C1300,$D:$D,$D1300,$E:$E,"P0(전)",$M:$M,"&gt;0")&lt;&gt;1,"",SUMIFS($I:$I,$C:$C,$C1300,$D:$D,$D1300,$E:$E,"P0(전)"))</f>
        <v/>
      </c>
      <c r="P1300" s="31">
        <f>IF(COUNTIFS($C:$C,$C1300,$D:$D,$D1300,$E:$E,"P0(전)",$M:$M,"&gt;0")&lt;&gt;1,"",SUMIFS($M:$M,$C:$C,$C1300,$D:$D,$D1300,$E:$E,"P0(전)"))</f>
        <v/>
      </c>
      <c r="Q1300" s="48">
        <f>IF(COUNTIFS($C:$C,$C1300,$D:$D,$D1300,$E:$E,"P0(후)",$M:$M,"&gt;0")&lt;&gt;1,"",SUMIFS($I:$I,$C:$C,$C1300,$D:$D,$D1300,$E:$E,"P0(후)"))</f>
        <v/>
      </c>
      <c r="R1300" s="31">
        <f>IF(COUNTIFS($C:$C,$C1300,$D:$D,$D1300,$E:$E,"P0(후)",$M:$M,"&gt;0")&lt;&gt;1,"",SUMIFS($M:$M,$C:$C,$C1300,$D:$D,$D1300,$E:$E,"P0(후)"))</f>
        <v/>
      </c>
      <c r="S1300" s="31">
        <f>IF(N1300&lt;&gt;"OK","",P1300+(R1300-P1300)*(I1300-O1300)/(Q1300-O1300))</f>
        <v/>
      </c>
      <c r="T1300" s="31">
        <f>IF(OR(N1300&lt;&gt;"OK",NOT(ISNUMBER(M1300))),"",M1300-S1300)</f>
        <v/>
      </c>
      <c r="U1300" s="49">
        <f>IF(OR(NOT(ISNUMBER(T1300)),IF(ISNUMBER(H1300),H1300,G1300)=0),"",T1300/IF(ISNUMBER(H1300),H1300,G1300))</f>
        <v/>
      </c>
      <c r="V1300" s="49">
        <f>IF(ISNUMBER(U1300),ABS(U1300),"")</f>
        <v/>
      </c>
      <c r="W1300" s="49">
        <f>IF(OR($E1299&lt;&gt;"측정",$C1299&lt;&gt;$C1300,$D1299&lt;&gt;$D1300,NOT(ISNUMBER(M1300)),NOT(ISNUMBER(M1299)),(IF(ISNUMBER(H1300),H1300,G1300)-IF(ISNUMBER(H1299),H1299,G1299))=0),"",(M1300-M1299)/(IF(ISNUMBER(H1300),H1300,G1300)-IF(ISNUMBER(H1299),H1299,G1299)))</f>
        <v/>
      </c>
      <c r="X1300" s="31">
        <f>IF(NOT(AND(ISNUMBER(O1300),ISNUMBER(Q1300))),"",(Q1300-O1300)*1440)</f>
        <v/>
      </c>
      <c r="Y1300" s="29" t="n"/>
      <c r="Z1300" s="29" t="n"/>
      <c r="AA1300" s="29" t="n"/>
      <c r="AB1300" s="32" t="n"/>
      <c r="AC1300" s="32" t="n"/>
    </row>
    <row r="1301">
      <c r="A1301" s="26" t="inlineStr">
        <is>
          <t>S25</t>
        </is>
      </c>
      <c r="B1301" s="26" t="inlineStr">
        <is>
          <t>관리 신규점3</t>
        </is>
      </c>
      <c r="C1301" s="26" t="inlineStr">
        <is>
          <t>S25-H북</t>
        </is>
      </c>
      <c r="D1301" s="47" t="n">
        <v>1</v>
      </c>
      <c r="E1301" s="26" t="inlineStr">
        <is>
          <t>측정</t>
        </is>
      </c>
      <c r="F1301" s="26" t="inlineStr">
        <is>
          <t>북</t>
        </is>
      </c>
      <c r="G1301" s="31" t="n">
        <v>7</v>
      </c>
      <c r="H1301" s="30" t="n"/>
      <c r="I1301" s="43" t="n"/>
      <c r="J1301" s="41" t="n"/>
      <c r="K1301" s="41" t="n"/>
      <c r="L1301" s="41" t="n"/>
      <c r="M1301" s="31">
        <f>IF(COUNT(J1301:L1301)=0,"",MEDIAN(J1301:L1301))</f>
        <v/>
      </c>
      <c r="N1301" s="26">
        <f>IF(COUNTIFS($C:$C,$C1301,$D:$D,$D1301,$E:$E,"P0(전)",$M:$M,"&gt;0")&lt;&gt;1,"P0(전) 유효 1개 아님",IF(COUNTIFS($C:$C,$C1301,$D:$D,$D1301,$E:$E,"P0(후)",$M:$M,"&gt;0")&lt;&gt;1,"P0(후) 유효 1개 아님",IF(NOT(AND(ISNUMBER(O1301),ISNUMBER(Q1301),ISNUMBER(I1301))),"시각 결측",IF(Q1301&lt;=O1301,"P0 시각 역전",IF(OR(I1301&lt;O1301,I1301&gt;Q1301),"측정시각 구간 밖","OK")))))</f>
        <v/>
      </c>
      <c r="O1301" s="48">
        <f>IF(COUNTIFS($C:$C,$C1301,$D:$D,$D1301,$E:$E,"P0(전)",$M:$M,"&gt;0")&lt;&gt;1,"",SUMIFS($I:$I,$C:$C,$C1301,$D:$D,$D1301,$E:$E,"P0(전)"))</f>
        <v/>
      </c>
      <c r="P1301" s="31">
        <f>IF(COUNTIFS($C:$C,$C1301,$D:$D,$D1301,$E:$E,"P0(전)",$M:$M,"&gt;0")&lt;&gt;1,"",SUMIFS($M:$M,$C:$C,$C1301,$D:$D,$D1301,$E:$E,"P0(전)"))</f>
        <v/>
      </c>
      <c r="Q1301" s="48">
        <f>IF(COUNTIFS($C:$C,$C1301,$D:$D,$D1301,$E:$E,"P0(후)",$M:$M,"&gt;0")&lt;&gt;1,"",SUMIFS($I:$I,$C:$C,$C1301,$D:$D,$D1301,$E:$E,"P0(후)"))</f>
        <v/>
      </c>
      <c r="R1301" s="31">
        <f>IF(COUNTIFS($C:$C,$C1301,$D:$D,$D1301,$E:$E,"P0(후)",$M:$M,"&gt;0")&lt;&gt;1,"",SUMIFS($M:$M,$C:$C,$C1301,$D:$D,$D1301,$E:$E,"P0(후)"))</f>
        <v/>
      </c>
      <c r="S1301" s="31">
        <f>IF(N1301&lt;&gt;"OK","",P1301+(R1301-P1301)*(I1301-O1301)/(Q1301-O1301))</f>
        <v/>
      </c>
      <c r="T1301" s="31">
        <f>IF(OR(N1301&lt;&gt;"OK",NOT(ISNUMBER(M1301))),"",M1301-S1301)</f>
        <v/>
      </c>
      <c r="U1301" s="49">
        <f>IF(OR(NOT(ISNUMBER(T1301)),IF(ISNUMBER(H1301),H1301,G1301)=0),"",T1301/IF(ISNUMBER(H1301),H1301,G1301))</f>
        <v/>
      </c>
      <c r="V1301" s="49">
        <f>IF(ISNUMBER(U1301),ABS(U1301),"")</f>
        <v/>
      </c>
      <c r="W1301" s="49">
        <f>IF(OR($E1300&lt;&gt;"측정",$C1300&lt;&gt;$C1301,$D1300&lt;&gt;$D1301,NOT(ISNUMBER(M1301)),NOT(ISNUMBER(M1300)),(IF(ISNUMBER(H1301),H1301,G1301)-IF(ISNUMBER(H1300),H1300,G1300))=0),"",(M1301-M1300)/(IF(ISNUMBER(H1301),H1301,G1301)-IF(ISNUMBER(H1300),H1300,G1300)))</f>
        <v/>
      </c>
      <c r="X1301" s="31">
        <f>IF(NOT(AND(ISNUMBER(O1301),ISNUMBER(Q1301))),"",(Q1301-O1301)*1440)</f>
        <v/>
      </c>
      <c r="Y1301" s="29" t="n"/>
      <c r="Z1301" s="29" t="n"/>
      <c r="AA1301" s="29" t="n"/>
      <c r="AB1301" s="32" t="n"/>
      <c r="AC1301" s="32" t="n"/>
    </row>
    <row r="1302">
      <c r="A1302" s="26" t="inlineStr">
        <is>
          <t>S25</t>
        </is>
      </c>
      <c r="B1302" s="26" t="inlineStr">
        <is>
          <t>관리 신규점3</t>
        </is>
      </c>
      <c r="C1302" s="26" t="inlineStr">
        <is>
          <t>S25-H북</t>
        </is>
      </c>
      <c r="D1302" s="47" t="n">
        <v>1</v>
      </c>
      <c r="E1302" s="26" t="inlineStr">
        <is>
          <t>측정</t>
        </is>
      </c>
      <c r="F1302" s="26" t="inlineStr">
        <is>
          <t>북</t>
        </is>
      </c>
      <c r="G1302" s="31" t="n">
        <v>8</v>
      </c>
      <c r="H1302" s="30" t="n"/>
      <c r="I1302" s="43" t="n"/>
      <c r="J1302" s="41" t="n"/>
      <c r="K1302" s="41" t="n"/>
      <c r="L1302" s="41" t="n"/>
      <c r="M1302" s="31">
        <f>IF(COUNT(J1302:L1302)=0,"",MEDIAN(J1302:L1302))</f>
        <v/>
      </c>
      <c r="N1302" s="26">
        <f>IF(COUNTIFS($C:$C,$C1302,$D:$D,$D1302,$E:$E,"P0(전)",$M:$M,"&gt;0")&lt;&gt;1,"P0(전) 유효 1개 아님",IF(COUNTIFS($C:$C,$C1302,$D:$D,$D1302,$E:$E,"P0(후)",$M:$M,"&gt;0")&lt;&gt;1,"P0(후) 유효 1개 아님",IF(NOT(AND(ISNUMBER(O1302),ISNUMBER(Q1302),ISNUMBER(I1302))),"시각 결측",IF(Q1302&lt;=O1302,"P0 시각 역전",IF(OR(I1302&lt;O1302,I1302&gt;Q1302),"측정시각 구간 밖","OK")))))</f>
        <v/>
      </c>
      <c r="O1302" s="48">
        <f>IF(COUNTIFS($C:$C,$C1302,$D:$D,$D1302,$E:$E,"P0(전)",$M:$M,"&gt;0")&lt;&gt;1,"",SUMIFS($I:$I,$C:$C,$C1302,$D:$D,$D1302,$E:$E,"P0(전)"))</f>
        <v/>
      </c>
      <c r="P1302" s="31">
        <f>IF(COUNTIFS($C:$C,$C1302,$D:$D,$D1302,$E:$E,"P0(전)",$M:$M,"&gt;0")&lt;&gt;1,"",SUMIFS($M:$M,$C:$C,$C1302,$D:$D,$D1302,$E:$E,"P0(전)"))</f>
        <v/>
      </c>
      <c r="Q1302" s="48">
        <f>IF(COUNTIFS($C:$C,$C1302,$D:$D,$D1302,$E:$E,"P0(후)",$M:$M,"&gt;0")&lt;&gt;1,"",SUMIFS($I:$I,$C:$C,$C1302,$D:$D,$D1302,$E:$E,"P0(후)"))</f>
        <v/>
      </c>
      <c r="R1302" s="31">
        <f>IF(COUNTIFS($C:$C,$C1302,$D:$D,$D1302,$E:$E,"P0(후)",$M:$M,"&gt;0")&lt;&gt;1,"",SUMIFS($M:$M,$C:$C,$C1302,$D:$D,$D1302,$E:$E,"P0(후)"))</f>
        <v/>
      </c>
      <c r="S1302" s="31">
        <f>IF(N1302&lt;&gt;"OK","",P1302+(R1302-P1302)*(I1302-O1302)/(Q1302-O1302))</f>
        <v/>
      </c>
      <c r="T1302" s="31">
        <f>IF(OR(N1302&lt;&gt;"OK",NOT(ISNUMBER(M1302))),"",M1302-S1302)</f>
        <v/>
      </c>
      <c r="U1302" s="49">
        <f>IF(OR(NOT(ISNUMBER(T1302)),IF(ISNUMBER(H1302),H1302,G1302)=0),"",T1302/IF(ISNUMBER(H1302),H1302,G1302))</f>
        <v/>
      </c>
      <c r="V1302" s="49">
        <f>IF(ISNUMBER(U1302),ABS(U1302),"")</f>
        <v/>
      </c>
      <c r="W1302" s="49">
        <f>IF(OR($E1301&lt;&gt;"측정",$C1301&lt;&gt;$C1302,$D1301&lt;&gt;$D1302,NOT(ISNUMBER(M1302)),NOT(ISNUMBER(M1301)),(IF(ISNUMBER(H1302),H1302,G1302)-IF(ISNUMBER(H1301),H1301,G1301))=0),"",(M1302-M1301)/(IF(ISNUMBER(H1302),H1302,G1302)-IF(ISNUMBER(H1301),H1301,G1301)))</f>
        <v/>
      </c>
      <c r="X1302" s="31">
        <f>IF(NOT(AND(ISNUMBER(O1302),ISNUMBER(Q1302))),"",(Q1302-O1302)*1440)</f>
        <v/>
      </c>
      <c r="Y1302" s="29" t="n"/>
      <c r="Z1302" s="29" t="n"/>
      <c r="AA1302" s="29" t="n"/>
      <c r="AB1302" s="32" t="n"/>
      <c r="AC1302" s="32" t="n"/>
    </row>
    <row r="1303">
      <c r="A1303" s="26" t="inlineStr">
        <is>
          <t>S25</t>
        </is>
      </c>
      <c r="B1303" s="26" t="inlineStr">
        <is>
          <t>관리 신규점3</t>
        </is>
      </c>
      <c r="C1303" s="26" t="inlineStr">
        <is>
          <t>S25-H북</t>
        </is>
      </c>
      <c r="D1303" s="47" t="n">
        <v>1</v>
      </c>
      <c r="E1303" s="26" t="inlineStr">
        <is>
          <t>측정</t>
        </is>
      </c>
      <c r="F1303" s="26" t="inlineStr">
        <is>
          <t>북</t>
        </is>
      </c>
      <c r="G1303" s="31" t="n">
        <v>9</v>
      </c>
      <c r="H1303" s="30" t="n"/>
      <c r="I1303" s="43" t="n"/>
      <c r="J1303" s="41" t="n"/>
      <c r="K1303" s="41" t="n"/>
      <c r="L1303" s="41" t="n"/>
      <c r="M1303" s="31">
        <f>IF(COUNT(J1303:L1303)=0,"",MEDIAN(J1303:L1303))</f>
        <v/>
      </c>
      <c r="N1303" s="26">
        <f>IF(COUNTIFS($C:$C,$C1303,$D:$D,$D1303,$E:$E,"P0(전)",$M:$M,"&gt;0")&lt;&gt;1,"P0(전) 유효 1개 아님",IF(COUNTIFS($C:$C,$C1303,$D:$D,$D1303,$E:$E,"P0(후)",$M:$M,"&gt;0")&lt;&gt;1,"P0(후) 유효 1개 아님",IF(NOT(AND(ISNUMBER(O1303),ISNUMBER(Q1303),ISNUMBER(I1303))),"시각 결측",IF(Q1303&lt;=O1303,"P0 시각 역전",IF(OR(I1303&lt;O1303,I1303&gt;Q1303),"측정시각 구간 밖","OK")))))</f>
        <v/>
      </c>
      <c r="O1303" s="48">
        <f>IF(COUNTIFS($C:$C,$C1303,$D:$D,$D1303,$E:$E,"P0(전)",$M:$M,"&gt;0")&lt;&gt;1,"",SUMIFS($I:$I,$C:$C,$C1303,$D:$D,$D1303,$E:$E,"P0(전)"))</f>
        <v/>
      </c>
      <c r="P1303" s="31">
        <f>IF(COUNTIFS($C:$C,$C1303,$D:$D,$D1303,$E:$E,"P0(전)",$M:$M,"&gt;0")&lt;&gt;1,"",SUMIFS($M:$M,$C:$C,$C1303,$D:$D,$D1303,$E:$E,"P0(전)"))</f>
        <v/>
      </c>
      <c r="Q1303" s="48">
        <f>IF(COUNTIFS($C:$C,$C1303,$D:$D,$D1303,$E:$E,"P0(후)",$M:$M,"&gt;0")&lt;&gt;1,"",SUMIFS($I:$I,$C:$C,$C1303,$D:$D,$D1303,$E:$E,"P0(후)"))</f>
        <v/>
      </c>
      <c r="R1303" s="31">
        <f>IF(COUNTIFS($C:$C,$C1303,$D:$D,$D1303,$E:$E,"P0(후)",$M:$M,"&gt;0")&lt;&gt;1,"",SUMIFS($M:$M,$C:$C,$C1303,$D:$D,$D1303,$E:$E,"P0(후)"))</f>
        <v/>
      </c>
      <c r="S1303" s="31">
        <f>IF(N1303&lt;&gt;"OK","",P1303+(R1303-P1303)*(I1303-O1303)/(Q1303-O1303))</f>
        <v/>
      </c>
      <c r="T1303" s="31">
        <f>IF(OR(N1303&lt;&gt;"OK",NOT(ISNUMBER(M1303))),"",M1303-S1303)</f>
        <v/>
      </c>
      <c r="U1303" s="49">
        <f>IF(OR(NOT(ISNUMBER(T1303)),IF(ISNUMBER(H1303),H1303,G1303)=0),"",T1303/IF(ISNUMBER(H1303),H1303,G1303))</f>
        <v/>
      </c>
      <c r="V1303" s="49">
        <f>IF(ISNUMBER(U1303),ABS(U1303),"")</f>
        <v/>
      </c>
      <c r="W1303" s="49">
        <f>IF(OR($E1302&lt;&gt;"측정",$C1302&lt;&gt;$C1303,$D1302&lt;&gt;$D1303,NOT(ISNUMBER(M1303)),NOT(ISNUMBER(M1302)),(IF(ISNUMBER(H1303),H1303,G1303)-IF(ISNUMBER(H1302),H1302,G1302))=0),"",(M1303-M1302)/(IF(ISNUMBER(H1303),H1303,G1303)-IF(ISNUMBER(H1302),H1302,G1302)))</f>
        <v/>
      </c>
      <c r="X1303" s="31">
        <f>IF(NOT(AND(ISNUMBER(O1303),ISNUMBER(Q1303))),"",(Q1303-O1303)*1440)</f>
        <v/>
      </c>
      <c r="Y1303" s="29" t="n"/>
      <c r="Z1303" s="29" t="n"/>
      <c r="AA1303" s="29" t="n"/>
      <c r="AB1303" s="32" t="n"/>
      <c r="AC1303" s="32" t="n"/>
    </row>
    <row r="1304">
      <c r="A1304" s="26" t="inlineStr">
        <is>
          <t>S25</t>
        </is>
      </c>
      <c r="B1304" s="26" t="inlineStr">
        <is>
          <t>관리 신규점3</t>
        </is>
      </c>
      <c r="C1304" s="26" t="inlineStr">
        <is>
          <t>S25-H북</t>
        </is>
      </c>
      <c r="D1304" s="47" t="n">
        <v>1</v>
      </c>
      <c r="E1304" s="26" t="inlineStr">
        <is>
          <t>측정</t>
        </is>
      </c>
      <c r="F1304" s="26" t="inlineStr">
        <is>
          <t>북</t>
        </is>
      </c>
      <c r="G1304" s="31" t="n">
        <v>10</v>
      </c>
      <c r="H1304" s="30" t="n"/>
      <c r="I1304" s="43" t="n"/>
      <c r="J1304" s="41" t="n"/>
      <c r="K1304" s="41" t="n"/>
      <c r="L1304" s="41" t="n"/>
      <c r="M1304" s="31">
        <f>IF(COUNT(J1304:L1304)=0,"",MEDIAN(J1304:L1304))</f>
        <v/>
      </c>
      <c r="N1304" s="26">
        <f>IF(COUNTIFS($C:$C,$C1304,$D:$D,$D1304,$E:$E,"P0(전)",$M:$M,"&gt;0")&lt;&gt;1,"P0(전) 유효 1개 아님",IF(COUNTIFS($C:$C,$C1304,$D:$D,$D1304,$E:$E,"P0(후)",$M:$M,"&gt;0")&lt;&gt;1,"P0(후) 유효 1개 아님",IF(NOT(AND(ISNUMBER(O1304),ISNUMBER(Q1304),ISNUMBER(I1304))),"시각 결측",IF(Q1304&lt;=O1304,"P0 시각 역전",IF(OR(I1304&lt;O1304,I1304&gt;Q1304),"측정시각 구간 밖","OK")))))</f>
        <v/>
      </c>
      <c r="O1304" s="48">
        <f>IF(COUNTIFS($C:$C,$C1304,$D:$D,$D1304,$E:$E,"P0(전)",$M:$M,"&gt;0")&lt;&gt;1,"",SUMIFS($I:$I,$C:$C,$C1304,$D:$D,$D1304,$E:$E,"P0(전)"))</f>
        <v/>
      </c>
      <c r="P1304" s="31">
        <f>IF(COUNTIFS($C:$C,$C1304,$D:$D,$D1304,$E:$E,"P0(전)",$M:$M,"&gt;0")&lt;&gt;1,"",SUMIFS($M:$M,$C:$C,$C1304,$D:$D,$D1304,$E:$E,"P0(전)"))</f>
        <v/>
      </c>
      <c r="Q1304" s="48">
        <f>IF(COUNTIFS($C:$C,$C1304,$D:$D,$D1304,$E:$E,"P0(후)",$M:$M,"&gt;0")&lt;&gt;1,"",SUMIFS($I:$I,$C:$C,$C1304,$D:$D,$D1304,$E:$E,"P0(후)"))</f>
        <v/>
      </c>
      <c r="R1304" s="31">
        <f>IF(COUNTIFS($C:$C,$C1304,$D:$D,$D1304,$E:$E,"P0(후)",$M:$M,"&gt;0")&lt;&gt;1,"",SUMIFS($M:$M,$C:$C,$C1304,$D:$D,$D1304,$E:$E,"P0(후)"))</f>
        <v/>
      </c>
      <c r="S1304" s="31">
        <f>IF(N1304&lt;&gt;"OK","",P1304+(R1304-P1304)*(I1304-O1304)/(Q1304-O1304))</f>
        <v/>
      </c>
      <c r="T1304" s="31">
        <f>IF(OR(N1304&lt;&gt;"OK",NOT(ISNUMBER(M1304))),"",M1304-S1304)</f>
        <v/>
      </c>
      <c r="U1304" s="49">
        <f>IF(OR(NOT(ISNUMBER(T1304)),IF(ISNUMBER(H1304),H1304,G1304)=0),"",T1304/IF(ISNUMBER(H1304),H1304,G1304))</f>
        <v/>
      </c>
      <c r="V1304" s="49">
        <f>IF(ISNUMBER(U1304),ABS(U1304),"")</f>
        <v/>
      </c>
      <c r="W1304" s="49">
        <f>IF(OR($E1303&lt;&gt;"측정",$C1303&lt;&gt;$C1304,$D1303&lt;&gt;$D1304,NOT(ISNUMBER(M1304)),NOT(ISNUMBER(M1303)),(IF(ISNUMBER(H1304),H1304,G1304)-IF(ISNUMBER(H1303),H1303,G1303))=0),"",(M1304-M1303)/(IF(ISNUMBER(H1304),H1304,G1304)-IF(ISNUMBER(H1303),H1303,G1303)))</f>
        <v/>
      </c>
      <c r="X1304" s="31">
        <f>IF(NOT(AND(ISNUMBER(O1304),ISNUMBER(Q1304))),"",(Q1304-O1304)*1440)</f>
        <v/>
      </c>
      <c r="Y1304" s="29" t="n"/>
      <c r="Z1304" s="29" t="n"/>
      <c r="AA1304" s="29" t="n"/>
      <c r="AB1304" s="32" t="n"/>
      <c r="AC1304" s="32" t="n"/>
    </row>
    <row r="1305">
      <c r="A1305" s="44" t="inlineStr">
        <is>
          <t>S25</t>
        </is>
      </c>
      <c r="B1305" s="44" t="inlineStr">
        <is>
          <t>관리 신규점3</t>
        </is>
      </c>
      <c r="C1305" s="44" t="inlineStr">
        <is>
          <t>S25-H북</t>
        </is>
      </c>
      <c r="D1305" s="45" t="n">
        <v>1</v>
      </c>
      <c r="E1305" s="44" t="inlineStr">
        <is>
          <t>P0(후)</t>
        </is>
      </c>
      <c r="F1305" s="44" t="inlineStr">
        <is>
          <t>북</t>
        </is>
      </c>
      <c r="G1305" s="46" t="n"/>
      <c r="H1305" s="30" t="n"/>
      <c r="I1305" s="43" t="n"/>
      <c r="J1305" s="41" t="n"/>
      <c r="K1305" s="41" t="n"/>
      <c r="L1305" s="41" t="n"/>
      <c r="M1305" s="31">
        <f>IF(COUNT(J1305:L1305)=0,"",MEDIAN(J1305:L1305))</f>
        <v/>
      </c>
      <c r="N1305" s="38" t="n"/>
      <c r="O1305" s="38" t="n"/>
      <c r="P1305" s="38" t="n"/>
      <c r="Q1305" s="38" t="n"/>
      <c r="R1305" s="38" t="n"/>
      <c r="S1305" s="38" t="n"/>
      <c r="T1305" s="38" t="n"/>
      <c r="U1305" s="38" t="n"/>
      <c r="V1305" s="38" t="n"/>
      <c r="W1305" s="38" t="n"/>
      <c r="X1305" s="38" t="n"/>
      <c r="Y1305" s="29" t="n"/>
      <c r="Z1305" s="29" t="n"/>
      <c r="AA1305" s="29" t="n"/>
      <c r="AB1305" s="32" t="n"/>
      <c r="AC1305" s="32" t="n"/>
    </row>
    <row r="1306">
      <c r="A1306" s="44" t="inlineStr">
        <is>
          <t>S26</t>
        </is>
      </c>
      <c r="B1306" s="44" t="inlineStr">
        <is>
          <t>고남 신규점2</t>
        </is>
      </c>
      <c r="C1306" s="44" t="inlineStr">
        <is>
          <t>S26-H동</t>
        </is>
      </c>
      <c r="D1306" s="45" t="n">
        <v>1</v>
      </c>
      <c r="E1306" s="44" t="inlineStr">
        <is>
          <t>P0(전)</t>
        </is>
      </c>
      <c r="F1306" s="44" t="inlineStr">
        <is>
          <t>동</t>
        </is>
      </c>
      <c r="G1306" s="46" t="n"/>
      <c r="H1306" s="30" t="n"/>
      <c r="I1306" s="43" t="n"/>
      <c r="J1306" s="41" t="n"/>
      <c r="K1306" s="41" t="n"/>
      <c r="L1306" s="41" t="n"/>
      <c r="M1306" s="31">
        <f>IF(COUNT(J1306:L1306)=0,"",MEDIAN(J1306:L1306))</f>
        <v/>
      </c>
      <c r="N1306" s="38" t="n"/>
      <c r="O1306" s="38" t="n"/>
      <c r="P1306" s="38" t="n"/>
      <c r="Q1306" s="38" t="n"/>
      <c r="R1306" s="38" t="n"/>
      <c r="S1306" s="38" t="n"/>
      <c r="T1306" s="38" t="n"/>
      <c r="U1306" s="38" t="n"/>
      <c r="V1306" s="38" t="n"/>
      <c r="W1306" s="38" t="n"/>
      <c r="X1306" s="38" t="n"/>
      <c r="Y1306" s="29" t="n"/>
      <c r="Z1306" s="29" t="n"/>
      <c r="AA1306" s="29" t="n"/>
      <c r="AB1306" s="32" t="n"/>
      <c r="AC1306" s="32" t="n"/>
    </row>
    <row r="1307">
      <c r="A1307" s="26" t="inlineStr">
        <is>
          <t>S26</t>
        </is>
      </c>
      <c r="B1307" s="26" t="inlineStr">
        <is>
          <t>고남 신규점2</t>
        </is>
      </c>
      <c r="C1307" s="26" t="inlineStr">
        <is>
          <t>S26-H동</t>
        </is>
      </c>
      <c r="D1307" s="47" t="n">
        <v>1</v>
      </c>
      <c r="E1307" s="26" t="inlineStr">
        <is>
          <t>측정</t>
        </is>
      </c>
      <c r="F1307" s="26" t="inlineStr">
        <is>
          <t>동</t>
        </is>
      </c>
      <c r="G1307" s="31" t="n">
        <v>0.5</v>
      </c>
      <c r="H1307" s="30" t="n"/>
      <c r="I1307" s="43" t="n"/>
      <c r="J1307" s="41" t="n"/>
      <c r="K1307" s="41" t="n"/>
      <c r="L1307" s="41" t="n"/>
      <c r="M1307" s="31">
        <f>IF(COUNT(J1307:L1307)=0,"",MEDIAN(J1307:L1307))</f>
        <v/>
      </c>
      <c r="N1307" s="26">
        <f>IF(COUNTIFS($C:$C,$C1307,$D:$D,$D1307,$E:$E,"P0(전)",$M:$M,"&gt;0")&lt;&gt;1,"P0(전) 유효 1개 아님",IF(COUNTIFS($C:$C,$C1307,$D:$D,$D1307,$E:$E,"P0(후)",$M:$M,"&gt;0")&lt;&gt;1,"P0(후) 유효 1개 아님",IF(NOT(AND(ISNUMBER(O1307),ISNUMBER(Q1307),ISNUMBER(I1307))),"시각 결측",IF(Q1307&lt;=O1307,"P0 시각 역전",IF(OR(I1307&lt;O1307,I1307&gt;Q1307),"측정시각 구간 밖","OK")))))</f>
        <v/>
      </c>
      <c r="O1307" s="48">
        <f>IF(COUNTIFS($C:$C,$C1307,$D:$D,$D1307,$E:$E,"P0(전)",$M:$M,"&gt;0")&lt;&gt;1,"",SUMIFS($I:$I,$C:$C,$C1307,$D:$D,$D1307,$E:$E,"P0(전)"))</f>
        <v/>
      </c>
      <c r="P1307" s="31">
        <f>IF(COUNTIFS($C:$C,$C1307,$D:$D,$D1307,$E:$E,"P0(전)",$M:$M,"&gt;0")&lt;&gt;1,"",SUMIFS($M:$M,$C:$C,$C1307,$D:$D,$D1307,$E:$E,"P0(전)"))</f>
        <v/>
      </c>
      <c r="Q1307" s="48">
        <f>IF(COUNTIFS($C:$C,$C1307,$D:$D,$D1307,$E:$E,"P0(후)",$M:$M,"&gt;0")&lt;&gt;1,"",SUMIFS($I:$I,$C:$C,$C1307,$D:$D,$D1307,$E:$E,"P0(후)"))</f>
        <v/>
      </c>
      <c r="R1307" s="31">
        <f>IF(COUNTIFS($C:$C,$C1307,$D:$D,$D1307,$E:$E,"P0(후)",$M:$M,"&gt;0")&lt;&gt;1,"",SUMIFS($M:$M,$C:$C,$C1307,$D:$D,$D1307,$E:$E,"P0(후)"))</f>
        <v/>
      </c>
      <c r="S1307" s="31">
        <f>IF(N1307&lt;&gt;"OK","",P1307+(R1307-P1307)*(I1307-O1307)/(Q1307-O1307))</f>
        <v/>
      </c>
      <c r="T1307" s="31">
        <f>IF(OR(N1307&lt;&gt;"OK",NOT(ISNUMBER(M1307))),"",M1307-S1307)</f>
        <v/>
      </c>
      <c r="U1307" s="49">
        <f>IF(OR(NOT(ISNUMBER(T1307)),IF(ISNUMBER(H1307),H1307,G1307)=0),"",T1307/IF(ISNUMBER(H1307),H1307,G1307))</f>
        <v/>
      </c>
      <c r="V1307" s="49">
        <f>IF(ISNUMBER(U1307),ABS(U1307),"")</f>
        <v/>
      </c>
      <c r="W1307" s="49">
        <f>IF(OR($E1306&lt;&gt;"측정",$C1306&lt;&gt;$C1307,$D1306&lt;&gt;$D1307,NOT(ISNUMBER(M1307)),NOT(ISNUMBER(M1306)),(IF(ISNUMBER(H1307),H1307,G1307)-IF(ISNUMBER(H1306),H1306,G1306))=0),"",(M1307-M1306)/(IF(ISNUMBER(H1307),H1307,G1307)-IF(ISNUMBER(H1306),H1306,G1306)))</f>
        <v/>
      </c>
      <c r="X1307" s="31">
        <f>IF(NOT(AND(ISNUMBER(O1307),ISNUMBER(Q1307))),"",(Q1307-O1307)*1440)</f>
        <v/>
      </c>
      <c r="Y1307" s="29" t="n"/>
      <c r="Z1307" s="29" t="n"/>
      <c r="AA1307" s="29" t="n"/>
      <c r="AB1307" s="32" t="n"/>
      <c r="AC1307" s="32" t="n"/>
    </row>
    <row r="1308">
      <c r="A1308" s="26" t="inlineStr">
        <is>
          <t>S26</t>
        </is>
      </c>
      <c r="B1308" s="26" t="inlineStr">
        <is>
          <t>고남 신규점2</t>
        </is>
      </c>
      <c r="C1308" s="26" t="inlineStr">
        <is>
          <t>S26-H동</t>
        </is>
      </c>
      <c r="D1308" s="47" t="n">
        <v>1</v>
      </c>
      <c r="E1308" s="26" t="inlineStr">
        <is>
          <t>측정</t>
        </is>
      </c>
      <c r="F1308" s="26" t="inlineStr">
        <is>
          <t>동</t>
        </is>
      </c>
      <c r="G1308" s="31" t="n">
        <v>1</v>
      </c>
      <c r="H1308" s="30" t="n"/>
      <c r="I1308" s="43" t="n"/>
      <c r="J1308" s="41" t="n"/>
      <c r="K1308" s="41" t="n"/>
      <c r="L1308" s="41" t="n"/>
      <c r="M1308" s="31">
        <f>IF(COUNT(J1308:L1308)=0,"",MEDIAN(J1308:L1308))</f>
        <v/>
      </c>
      <c r="N1308" s="26">
        <f>IF(COUNTIFS($C:$C,$C1308,$D:$D,$D1308,$E:$E,"P0(전)",$M:$M,"&gt;0")&lt;&gt;1,"P0(전) 유효 1개 아님",IF(COUNTIFS($C:$C,$C1308,$D:$D,$D1308,$E:$E,"P0(후)",$M:$M,"&gt;0")&lt;&gt;1,"P0(후) 유효 1개 아님",IF(NOT(AND(ISNUMBER(O1308),ISNUMBER(Q1308),ISNUMBER(I1308))),"시각 결측",IF(Q1308&lt;=O1308,"P0 시각 역전",IF(OR(I1308&lt;O1308,I1308&gt;Q1308),"측정시각 구간 밖","OK")))))</f>
        <v/>
      </c>
      <c r="O1308" s="48">
        <f>IF(COUNTIFS($C:$C,$C1308,$D:$D,$D1308,$E:$E,"P0(전)",$M:$M,"&gt;0")&lt;&gt;1,"",SUMIFS($I:$I,$C:$C,$C1308,$D:$D,$D1308,$E:$E,"P0(전)"))</f>
        <v/>
      </c>
      <c r="P1308" s="31">
        <f>IF(COUNTIFS($C:$C,$C1308,$D:$D,$D1308,$E:$E,"P0(전)",$M:$M,"&gt;0")&lt;&gt;1,"",SUMIFS($M:$M,$C:$C,$C1308,$D:$D,$D1308,$E:$E,"P0(전)"))</f>
        <v/>
      </c>
      <c r="Q1308" s="48">
        <f>IF(COUNTIFS($C:$C,$C1308,$D:$D,$D1308,$E:$E,"P0(후)",$M:$M,"&gt;0")&lt;&gt;1,"",SUMIFS($I:$I,$C:$C,$C1308,$D:$D,$D1308,$E:$E,"P0(후)"))</f>
        <v/>
      </c>
      <c r="R1308" s="31">
        <f>IF(COUNTIFS($C:$C,$C1308,$D:$D,$D1308,$E:$E,"P0(후)",$M:$M,"&gt;0")&lt;&gt;1,"",SUMIFS($M:$M,$C:$C,$C1308,$D:$D,$D1308,$E:$E,"P0(후)"))</f>
        <v/>
      </c>
      <c r="S1308" s="31">
        <f>IF(N1308&lt;&gt;"OK","",P1308+(R1308-P1308)*(I1308-O1308)/(Q1308-O1308))</f>
        <v/>
      </c>
      <c r="T1308" s="31">
        <f>IF(OR(N1308&lt;&gt;"OK",NOT(ISNUMBER(M1308))),"",M1308-S1308)</f>
        <v/>
      </c>
      <c r="U1308" s="49">
        <f>IF(OR(NOT(ISNUMBER(T1308)),IF(ISNUMBER(H1308),H1308,G1308)=0),"",T1308/IF(ISNUMBER(H1308),H1308,G1308))</f>
        <v/>
      </c>
      <c r="V1308" s="49">
        <f>IF(ISNUMBER(U1308),ABS(U1308),"")</f>
        <v/>
      </c>
      <c r="W1308" s="49">
        <f>IF(OR($E1307&lt;&gt;"측정",$C1307&lt;&gt;$C1308,$D1307&lt;&gt;$D1308,NOT(ISNUMBER(M1308)),NOT(ISNUMBER(M1307)),(IF(ISNUMBER(H1308),H1308,G1308)-IF(ISNUMBER(H1307),H1307,G1307))=0),"",(M1308-M1307)/(IF(ISNUMBER(H1308),H1308,G1308)-IF(ISNUMBER(H1307),H1307,G1307)))</f>
        <v/>
      </c>
      <c r="X1308" s="31">
        <f>IF(NOT(AND(ISNUMBER(O1308),ISNUMBER(Q1308))),"",(Q1308-O1308)*1440)</f>
        <v/>
      </c>
      <c r="Y1308" s="29" t="n"/>
      <c r="Z1308" s="29" t="n"/>
      <c r="AA1308" s="29" t="n"/>
      <c r="AB1308" s="32" t="n"/>
      <c r="AC1308" s="32" t="n"/>
    </row>
    <row r="1309">
      <c r="A1309" s="26" t="inlineStr">
        <is>
          <t>S26</t>
        </is>
      </c>
      <c r="B1309" s="26" t="inlineStr">
        <is>
          <t>고남 신규점2</t>
        </is>
      </c>
      <c r="C1309" s="26" t="inlineStr">
        <is>
          <t>S26-H동</t>
        </is>
      </c>
      <c r="D1309" s="47" t="n">
        <v>1</v>
      </c>
      <c r="E1309" s="26" t="inlineStr">
        <is>
          <t>측정</t>
        </is>
      </c>
      <c r="F1309" s="26" t="inlineStr">
        <is>
          <t>동</t>
        </is>
      </c>
      <c r="G1309" s="31" t="n">
        <v>2</v>
      </c>
      <c r="H1309" s="30" t="n"/>
      <c r="I1309" s="43" t="n"/>
      <c r="J1309" s="41" t="n"/>
      <c r="K1309" s="41" t="n"/>
      <c r="L1309" s="41" t="n"/>
      <c r="M1309" s="31">
        <f>IF(COUNT(J1309:L1309)=0,"",MEDIAN(J1309:L1309))</f>
        <v/>
      </c>
      <c r="N1309" s="26">
        <f>IF(COUNTIFS($C:$C,$C1309,$D:$D,$D1309,$E:$E,"P0(전)",$M:$M,"&gt;0")&lt;&gt;1,"P0(전) 유효 1개 아님",IF(COUNTIFS($C:$C,$C1309,$D:$D,$D1309,$E:$E,"P0(후)",$M:$M,"&gt;0")&lt;&gt;1,"P0(후) 유효 1개 아님",IF(NOT(AND(ISNUMBER(O1309),ISNUMBER(Q1309),ISNUMBER(I1309))),"시각 결측",IF(Q1309&lt;=O1309,"P0 시각 역전",IF(OR(I1309&lt;O1309,I1309&gt;Q1309),"측정시각 구간 밖","OK")))))</f>
        <v/>
      </c>
      <c r="O1309" s="48">
        <f>IF(COUNTIFS($C:$C,$C1309,$D:$D,$D1309,$E:$E,"P0(전)",$M:$M,"&gt;0")&lt;&gt;1,"",SUMIFS($I:$I,$C:$C,$C1309,$D:$D,$D1309,$E:$E,"P0(전)"))</f>
        <v/>
      </c>
      <c r="P1309" s="31">
        <f>IF(COUNTIFS($C:$C,$C1309,$D:$D,$D1309,$E:$E,"P0(전)",$M:$M,"&gt;0")&lt;&gt;1,"",SUMIFS($M:$M,$C:$C,$C1309,$D:$D,$D1309,$E:$E,"P0(전)"))</f>
        <v/>
      </c>
      <c r="Q1309" s="48">
        <f>IF(COUNTIFS($C:$C,$C1309,$D:$D,$D1309,$E:$E,"P0(후)",$M:$M,"&gt;0")&lt;&gt;1,"",SUMIFS($I:$I,$C:$C,$C1309,$D:$D,$D1309,$E:$E,"P0(후)"))</f>
        <v/>
      </c>
      <c r="R1309" s="31">
        <f>IF(COUNTIFS($C:$C,$C1309,$D:$D,$D1309,$E:$E,"P0(후)",$M:$M,"&gt;0")&lt;&gt;1,"",SUMIFS($M:$M,$C:$C,$C1309,$D:$D,$D1309,$E:$E,"P0(후)"))</f>
        <v/>
      </c>
      <c r="S1309" s="31">
        <f>IF(N1309&lt;&gt;"OK","",P1309+(R1309-P1309)*(I1309-O1309)/(Q1309-O1309))</f>
        <v/>
      </c>
      <c r="T1309" s="31">
        <f>IF(OR(N1309&lt;&gt;"OK",NOT(ISNUMBER(M1309))),"",M1309-S1309)</f>
        <v/>
      </c>
      <c r="U1309" s="49">
        <f>IF(OR(NOT(ISNUMBER(T1309)),IF(ISNUMBER(H1309),H1309,G1309)=0),"",T1309/IF(ISNUMBER(H1309),H1309,G1309))</f>
        <v/>
      </c>
      <c r="V1309" s="49">
        <f>IF(ISNUMBER(U1309),ABS(U1309),"")</f>
        <v/>
      </c>
      <c r="W1309" s="49">
        <f>IF(OR($E1308&lt;&gt;"측정",$C1308&lt;&gt;$C1309,$D1308&lt;&gt;$D1309,NOT(ISNUMBER(M1309)),NOT(ISNUMBER(M1308)),(IF(ISNUMBER(H1309),H1309,G1309)-IF(ISNUMBER(H1308),H1308,G1308))=0),"",(M1309-M1308)/(IF(ISNUMBER(H1309),H1309,G1309)-IF(ISNUMBER(H1308),H1308,G1308)))</f>
        <v/>
      </c>
      <c r="X1309" s="31">
        <f>IF(NOT(AND(ISNUMBER(O1309),ISNUMBER(Q1309))),"",(Q1309-O1309)*1440)</f>
        <v/>
      </c>
      <c r="Y1309" s="29" t="n"/>
      <c r="Z1309" s="29" t="n"/>
      <c r="AA1309" s="29" t="n"/>
      <c r="AB1309" s="32" t="n"/>
      <c r="AC1309" s="32" t="n"/>
    </row>
    <row r="1310">
      <c r="A1310" s="26" t="inlineStr">
        <is>
          <t>S26</t>
        </is>
      </c>
      <c r="B1310" s="26" t="inlineStr">
        <is>
          <t>고남 신규점2</t>
        </is>
      </c>
      <c r="C1310" s="26" t="inlineStr">
        <is>
          <t>S26-H동</t>
        </is>
      </c>
      <c r="D1310" s="47" t="n">
        <v>1</v>
      </c>
      <c r="E1310" s="26" t="inlineStr">
        <is>
          <t>측정</t>
        </is>
      </c>
      <c r="F1310" s="26" t="inlineStr">
        <is>
          <t>동</t>
        </is>
      </c>
      <c r="G1310" s="31" t="n">
        <v>3</v>
      </c>
      <c r="H1310" s="30" t="n"/>
      <c r="I1310" s="43" t="n"/>
      <c r="J1310" s="41" t="n"/>
      <c r="K1310" s="41" t="n"/>
      <c r="L1310" s="41" t="n"/>
      <c r="M1310" s="31">
        <f>IF(COUNT(J1310:L1310)=0,"",MEDIAN(J1310:L1310))</f>
        <v/>
      </c>
      <c r="N1310" s="26">
        <f>IF(COUNTIFS($C:$C,$C1310,$D:$D,$D1310,$E:$E,"P0(전)",$M:$M,"&gt;0")&lt;&gt;1,"P0(전) 유효 1개 아님",IF(COUNTIFS($C:$C,$C1310,$D:$D,$D1310,$E:$E,"P0(후)",$M:$M,"&gt;0")&lt;&gt;1,"P0(후) 유효 1개 아님",IF(NOT(AND(ISNUMBER(O1310),ISNUMBER(Q1310),ISNUMBER(I1310))),"시각 결측",IF(Q1310&lt;=O1310,"P0 시각 역전",IF(OR(I1310&lt;O1310,I1310&gt;Q1310),"측정시각 구간 밖","OK")))))</f>
        <v/>
      </c>
      <c r="O1310" s="48">
        <f>IF(COUNTIFS($C:$C,$C1310,$D:$D,$D1310,$E:$E,"P0(전)",$M:$M,"&gt;0")&lt;&gt;1,"",SUMIFS($I:$I,$C:$C,$C1310,$D:$D,$D1310,$E:$E,"P0(전)"))</f>
        <v/>
      </c>
      <c r="P1310" s="31">
        <f>IF(COUNTIFS($C:$C,$C1310,$D:$D,$D1310,$E:$E,"P0(전)",$M:$M,"&gt;0")&lt;&gt;1,"",SUMIFS($M:$M,$C:$C,$C1310,$D:$D,$D1310,$E:$E,"P0(전)"))</f>
        <v/>
      </c>
      <c r="Q1310" s="48">
        <f>IF(COUNTIFS($C:$C,$C1310,$D:$D,$D1310,$E:$E,"P0(후)",$M:$M,"&gt;0")&lt;&gt;1,"",SUMIFS($I:$I,$C:$C,$C1310,$D:$D,$D1310,$E:$E,"P0(후)"))</f>
        <v/>
      </c>
      <c r="R1310" s="31">
        <f>IF(COUNTIFS($C:$C,$C1310,$D:$D,$D1310,$E:$E,"P0(후)",$M:$M,"&gt;0")&lt;&gt;1,"",SUMIFS($M:$M,$C:$C,$C1310,$D:$D,$D1310,$E:$E,"P0(후)"))</f>
        <v/>
      </c>
      <c r="S1310" s="31">
        <f>IF(N1310&lt;&gt;"OK","",P1310+(R1310-P1310)*(I1310-O1310)/(Q1310-O1310))</f>
        <v/>
      </c>
      <c r="T1310" s="31">
        <f>IF(OR(N1310&lt;&gt;"OK",NOT(ISNUMBER(M1310))),"",M1310-S1310)</f>
        <v/>
      </c>
      <c r="U1310" s="49">
        <f>IF(OR(NOT(ISNUMBER(T1310)),IF(ISNUMBER(H1310),H1310,G1310)=0),"",T1310/IF(ISNUMBER(H1310),H1310,G1310))</f>
        <v/>
      </c>
      <c r="V1310" s="49">
        <f>IF(ISNUMBER(U1310),ABS(U1310),"")</f>
        <v/>
      </c>
      <c r="W1310" s="49">
        <f>IF(OR($E1309&lt;&gt;"측정",$C1309&lt;&gt;$C1310,$D1309&lt;&gt;$D1310,NOT(ISNUMBER(M1310)),NOT(ISNUMBER(M1309)),(IF(ISNUMBER(H1310),H1310,G1310)-IF(ISNUMBER(H1309),H1309,G1309))=0),"",(M1310-M1309)/(IF(ISNUMBER(H1310),H1310,G1310)-IF(ISNUMBER(H1309),H1309,G1309)))</f>
        <v/>
      </c>
      <c r="X1310" s="31">
        <f>IF(NOT(AND(ISNUMBER(O1310),ISNUMBER(Q1310))),"",(Q1310-O1310)*1440)</f>
        <v/>
      </c>
      <c r="Y1310" s="29" t="n"/>
      <c r="Z1310" s="29" t="n"/>
      <c r="AA1310" s="29" t="n"/>
      <c r="AB1310" s="32" t="n"/>
      <c r="AC1310" s="32" t="n"/>
    </row>
    <row r="1311">
      <c r="A1311" s="26" t="inlineStr">
        <is>
          <t>S26</t>
        </is>
      </c>
      <c r="B1311" s="26" t="inlineStr">
        <is>
          <t>고남 신규점2</t>
        </is>
      </c>
      <c r="C1311" s="26" t="inlineStr">
        <is>
          <t>S26-H동</t>
        </is>
      </c>
      <c r="D1311" s="47" t="n">
        <v>1</v>
      </c>
      <c r="E1311" s="26" t="inlineStr">
        <is>
          <t>측정</t>
        </is>
      </c>
      <c r="F1311" s="26" t="inlineStr">
        <is>
          <t>동</t>
        </is>
      </c>
      <c r="G1311" s="31" t="n">
        <v>4</v>
      </c>
      <c r="H1311" s="30" t="n"/>
      <c r="I1311" s="43" t="n"/>
      <c r="J1311" s="41" t="n"/>
      <c r="K1311" s="41" t="n"/>
      <c r="L1311" s="41" t="n"/>
      <c r="M1311" s="31">
        <f>IF(COUNT(J1311:L1311)=0,"",MEDIAN(J1311:L1311))</f>
        <v/>
      </c>
      <c r="N1311" s="26">
        <f>IF(COUNTIFS($C:$C,$C1311,$D:$D,$D1311,$E:$E,"P0(전)",$M:$M,"&gt;0")&lt;&gt;1,"P0(전) 유효 1개 아님",IF(COUNTIFS($C:$C,$C1311,$D:$D,$D1311,$E:$E,"P0(후)",$M:$M,"&gt;0")&lt;&gt;1,"P0(후) 유효 1개 아님",IF(NOT(AND(ISNUMBER(O1311),ISNUMBER(Q1311),ISNUMBER(I1311))),"시각 결측",IF(Q1311&lt;=O1311,"P0 시각 역전",IF(OR(I1311&lt;O1311,I1311&gt;Q1311),"측정시각 구간 밖","OK")))))</f>
        <v/>
      </c>
      <c r="O1311" s="48">
        <f>IF(COUNTIFS($C:$C,$C1311,$D:$D,$D1311,$E:$E,"P0(전)",$M:$M,"&gt;0")&lt;&gt;1,"",SUMIFS($I:$I,$C:$C,$C1311,$D:$D,$D1311,$E:$E,"P0(전)"))</f>
        <v/>
      </c>
      <c r="P1311" s="31">
        <f>IF(COUNTIFS($C:$C,$C1311,$D:$D,$D1311,$E:$E,"P0(전)",$M:$M,"&gt;0")&lt;&gt;1,"",SUMIFS($M:$M,$C:$C,$C1311,$D:$D,$D1311,$E:$E,"P0(전)"))</f>
        <v/>
      </c>
      <c r="Q1311" s="48">
        <f>IF(COUNTIFS($C:$C,$C1311,$D:$D,$D1311,$E:$E,"P0(후)",$M:$M,"&gt;0")&lt;&gt;1,"",SUMIFS($I:$I,$C:$C,$C1311,$D:$D,$D1311,$E:$E,"P0(후)"))</f>
        <v/>
      </c>
      <c r="R1311" s="31">
        <f>IF(COUNTIFS($C:$C,$C1311,$D:$D,$D1311,$E:$E,"P0(후)",$M:$M,"&gt;0")&lt;&gt;1,"",SUMIFS($M:$M,$C:$C,$C1311,$D:$D,$D1311,$E:$E,"P0(후)"))</f>
        <v/>
      </c>
      <c r="S1311" s="31">
        <f>IF(N1311&lt;&gt;"OK","",P1311+(R1311-P1311)*(I1311-O1311)/(Q1311-O1311))</f>
        <v/>
      </c>
      <c r="T1311" s="31">
        <f>IF(OR(N1311&lt;&gt;"OK",NOT(ISNUMBER(M1311))),"",M1311-S1311)</f>
        <v/>
      </c>
      <c r="U1311" s="49">
        <f>IF(OR(NOT(ISNUMBER(T1311)),IF(ISNUMBER(H1311),H1311,G1311)=0),"",T1311/IF(ISNUMBER(H1311),H1311,G1311))</f>
        <v/>
      </c>
      <c r="V1311" s="49">
        <f>IF(ISNUMBER(U1311),ABS(U1311),"")</f>
        <v/>
      </c>
      <c r="W1311" s="49">
        <f>IF(OR($E1310&lt;&gt;"측정",$C1310&lt;&gt;$C1311,$D1310&lt;&gt;$D1311,NOT(ISNUMBER(M1311)),NOT(ISNUMBER(M1310)),(IF(ISNUMBER(H1311),H1311,G1311)-IF(ISNUMBER(H1310),H1310,G1310))=0),"",(M1311-M1310)/(IF(ISNUMBER(H1311),H1311,G1311)-IF(ISNUMBER(H1310),H1310,G1310)))</f>
        <v/>
      </c>
      <c r="X1311" s="31">
        <f>IF(NOT(AND(ISNUMBER(O1311),ISNUMBER(Q1311))),"",(Q1311-O1311)*1440)</f>
        <v/>
      </c>
      <c r="Y1311" s="29" t="n"/>
      <c r="Z1311" s="29" t="n"/>
      <c r="AA1311" s="29" t="n"/>
      <c r="AB1311" s="32" t="n"/>
      <c r="AC1311" s="32" t="n"/>
    </row>
    <row r="1312">
      <c r="A1312" s="26" t="inlineStr">
        <is>
          <t>S26</t>
        </is>
      </c>
      <c r="B1312" s="26" t="inlineStr">
        <is>
          <t>고남 신규점2</t>
        </is>
      </c>
      <c r="C1312" s="26" t="inlineStr">
        <is>
          <t>S26-H동</t>
        </is>
      </c>
      <c r="D1312" s="47" t="n">
        <v>1</v>
      </c>
      <c r="E1312" s="26" t="inlineStr">
        <is>
          <t>측정</t>
        </is>
      </c>
      <c r="F1312" s="26" t="inlineStr">
        <is>
          <t>동</t>
        </is>
      </c>
      <c r="G1312" s="31" t="n">
        <v>5</v>
      </c>
      <c r="H1312" s="30" t="n"/>
      <c r="I1312" s="43" t="n"/>
      <c r="J1312" s="41" t="n"/>
      <c r="K1312" s="41" t="n"/>
      <c r="L1312" s="41" t="n"/>
      <c r="M1312" s="31">
        <f>IF(COUNT(J1312:L1312)=0,"",MEDIAN(J1312:L1312))</f>
        <v/>
      </c>
      <c r="N1312" s="26">
        <f>IF(COUNTIFS($C:$C,$C1312,$D:$D,$D1312,$E:$E,"P0(전)",$M:$M,"&gt;0")&lt;&gt;1,"P0(전) 유효 1개 아님",IF(COUNTIFS($C:$C,$C1312,$D:$D,$D1312,$E:$E,"P0(후)",$M:$M,"&gt;0")&lt;&gt;1,"P0(후) 유효 1개 아님",IF(NOT(AND(ISNUMBER(O1312),ISNUMBER(Q1312),ISNUMBER(I1312))),"시각 결측",IF(Q1312&lt;=O1312,"P0 시각 역전",IF(OR(I1312&lt;O1312,I1312&gt;Q1312),"측정시각 구간 밖","OK")))))</f>
        <v/>
      </c>
      <c r="O1312" s="48">
        <f>IF(COUNTIFS($C:$C,$C1312,$D:$D,$D1312,$E:$E,"P0(전)",$M:$M,"&gt;0")&lt;&gt;1,"",SUMIFS($I:$I,$C:$C,$C1312,$D:$D,$D1312,$E:$E,"P0(전)"))</f>
        <v/>
      </c>
      <c r="P1312" s="31">
        <f>IF(COUNTIFS($C:$C,$C1312,$D:$D,$D1312,$E:$E,"P0(전)",$M:$M,"&gt;0")&lt;&gt;1,"",SUMIFS($M:$M,$C:$C,$C1312,$D:$D,$D1312,$E:$E,"P0(전)"))</f>
        <v/>
      </c>
      <c r="Q1312" s="48">
        <f>IF(COUNTIFS($C:$C,$C1312,$D:$D,$D1312,$E:$E,"P0(후)",$M:$M,"&gt;0")&lt;&gt;1,"",SUMIFS($I:$I,$C:$C,$C1312,$D:$D,$D1312,$E:$E,"P0(후)"))</f>
        <v/>
      </c>
      <c r="R1312" s="31">
        <f>IF(COUNTIFS($C:$C,$C1312,$D:$D,$D1312,$E:$E,"P0(후)",$M:$M,"&gt;0")&lt;&gt;1,"",SUMIFS($M:$M,$C:$C,$C1312,$D:$D,$D1312,$E:$E,"P0(후)"))</f>
        <v/>
      </c>
      <c r="S1312" s="31">
        <f>IF(N1312&lt;&gt;"OK","",P1312+(R1312-P1312)*(I1312-O1312)/(Q1312-O1312))</f>
        <v/>
      </c>
      <c r="T1312" s="31">
        <f>IF(OR(N1312&lt;&gt;"OK",NOT(ISNUMBER(M1312))),"",M1312-S1312)</f>
        <v/>
      </c>
      <c r="U1312" s="49">
        <f>IF(OR(NOT(ISNUMBER(T1312)),IF(ISNUMBER(H1312),H1312,G1312)=0),"",T1312/IF(ISNUMBER(H1312),H1312,G1312))</f>
        <v/>
      </c>
      <c r="V1312" s="49">
        <f>IF(ISNUMBER(U1312),ABS(U1312),"")</f>
        <v/>
      </c>
      <c r="W1312" s="49">
        <f>IF(OR($E1311&lt;&gt;"측정",$C1311&lt;&gt;$C1312,$D1311&lt;&gt;$D1312,NOT(ISNUMBER(M1312)),NOT(ISNUMBER(M1311)),(IF(ISNUMBER(H1312),H1312,G1312)-IF(ISNUMBER(H1311),H1311,G1311))=0),"",(M1312-M1311)/(IF(ISNUMBER(H1312),H1312,G1312)-IF(ISNUMBER(H1311),H1311,G1311)))</f>
        <v/>
      </c>
      <c r="X1312" s="31">
        <f>IF(NOT(AND(ISNUMBER(O1312),ISNUMBER(Q1312))),"",(Q1312-O1312)*1440)</f>
        <v/>
      </c>
      <c r="Y1312" s="29" t="n"/>
      <c r="Z1312" s="29" t="n"/>
      <c r="AA1312" s="29" t="n"/>
      <c r="AB1312" s="32" t="n"/>
      <c r="AC1312" s="32" t="n"/>
    </row>
    <row r="1313">
      <c r="A1313" s="26" t="inlineStr">
        <is>
          <t>S26</t>
        </is>
      </c>
      <c r="B1313" s="26" t="inlineStr">
        <is>
          <t>고남 신규점2</t>
        </is>
      </c>
      <c r="C1313" s="26" t="inlineStr">
        <is>
          <t>S26-H동</t>
        </is>
      </c>
      <c r="D1313" s="47" t="n">
        <v>1</v>
      </c>
      <c r="E1313" s="26" t="inlineStr">
        <is>
          <t>측정</t>
        </is>
      </c>
      <c r="F1313" s="26" t="inlineStr">
        <is>
          <t>동</t>
        </is>
      </c>
      <c r="G1313" s="31" t="n">
        <v>6</v>
      </c>
      <c r="H1313" s="30" t="n"/>
      <c r="I1313" s="43" t="n"/>
      <c r="J1313" s="41" t="n"/>
      <c r="K1313" s="41" t="n"/>
      <c r="L1313" s="41" t="n"/>
      <c r="M1313" s="31">
        <f>IF(COUNT(J1313:L1313)=0,"",MEDIAN(J1313:L1313))</f>
        <v/>
      </c>
      <c r="N1313" s="26">
        <f>IF(COUNTIFS($C:$C,$C1313,$D:$D,$D1313,$E:$E,"P0(전)",$M:$M,"&gt;0")&lt;&gt;1,"P0(전) 유효 1개 아님",IF(COUNTIFS($C:$C,$C1313,$D:$D,$D1313,$E:$E,"P0(후)",$M:$M,"&gt;0")&lt;&gt;1,"P0(후) 유효 1개 아님",IF(NOT(AND(ISNUMBER(O1313),ISNUMBER(Q1313),ISNUMBER(I1313))),"시각 결측",IF(Q1313&lt;=O1313,"P0 시각 역전",IF(OR(I1313&lt;O1313,I1313&gt;Q1313),"측정시각 구간 밖","OK")))))</f>
        <v/>
      </c>
      <c r="O1313" s="48">
        <f>IF(COUNTIFS($C:$C,$C1313,$D:$D,$D1313,$E:$E,"P0(전)",$M:$M,"&gt;0")&lt;&gt;1,"",SUMIFS($I:$I,$C:$C,$C1313,$D:$D,$D1313,$E:$E,"P0(전)"))</f>
        <v/>
      </c>
      <c r="P1313" s="31">
        <f>IF(COUNTIFS($C:$C,$C1313,$D:$D,$D1313,$E:$E,"P0(전)",$M:$M,"&gt;0")&lt;&gt;1,"",SUMIFS($M:$M,$C:$C,$C1313,$D:$D,$D1313,$E:$E,"P0(전)"))</f>
        <v/>
      </c>
      <c r="Q1313" s="48">
        <f>IF(COUNTIFS($C:$C,$C1313,$D:$D,$D1313,$E:$E,"P0(후)",$M:$M,"&gt;0")&lt;&gt;1,"",SUMIFS($I:$I,$C:$C,$C1313,$D:$D,$D1313,$E:$E,"P0(후)"))</f>
        <v/>
      </c>
      <c r="R1313" s="31">
        <f>IF(COUNTIFS($C:$C,$C1313,$D:$D,$D1313,$E:$E,"P0(후)",$M:$M,"&gt;0")&lt;&gt;1,"",SUMIFS($M:$M,$C:$C,$C1313,$D:$D,$D1313,$E:$E,"P0(후)"))</f>
        <v/>
      </c>
      <c r="S1313" s="31">
        <f>IF(N1313&lt;&gt;"OK","",P1313+(R1313-P1313)*(I1313-O1313)/(Q1313-O1313))</f>
        <v/>
      </c>
      <c r="T1313" s="31">
        <f>IF(OR(N1313&lt;&gt;"OK",NOT(ISNUMBER(M1313))),"",M1313-S1313)</f>
        <v/>
      </c>
      <c r="U1313" s="49">
        <f>IF(OR(NOT(ISNUMBER(T1313)),IF(ISNUMBER(H1313),H1313,G1313)=0),"",T1313/IF(ISNUMBER(H1313),H1313,G1313))</f>
        <v/>
      </c>
      <c r="V1313" s="49">
        <f>IF(ISNUMBER(U1313),ABS(U1313),"")</f>
        <v/>
      </c>
      <c r="W1313" s="49">
        <f>IF(OR($E1312&lt;&gt;"측정",$C1312&lt;&gt;$C1313,$D1312&lt;&gt;$D1313,NOT(ISNUMBER(M1313)),NOT(ISNUMBER(M1312)),(IF(ISNUMBER(H1313),H1313,G1313)-IF(ISNUMBER(H1312),H1312,G1312))=0),"",(M1313-M1312)/(IF(ISNUMBER(H1313),H1313,G1313)-IF(ISNUMBER(H1312),H1312,G1312)))</f>
        <v/>
      </c>
      <c r="X1313" s="31">
        <f>IF(NOT(AND(ISNUMBER(O1313),ISNUMBER(Q1313))),"",(Q1313-O1313)*1440)</f>
        <v/>
      </c>
      <c r="Y1313" s="29" t="n"/>
      <c r="Z1313" s="29" t="n"/>
      <c r="AA1313" s="29" t="n"/>
      <c r="AB1313" s="32" t="n"/>
      <c r="AC1313" s="32" t="n"/>
    </row>
    <row r="1314">
      <c r="A1314" s="26" t="inlineStr">
        <is>
          <t>S26</t>
        </is>
      </c>
      <c r="B1314" s="26" t="inlineStr">
        <is>
          <t>고남 신규점2</t>
        </is>
      </c>
      <c r="C1314" s="26" t="inlineStr">
        <is>
          <t>S26-H동</t>
        </is>
      </c>
      <c r="D1314" s="47" t="n">
        <v>1</v>
      </c>
      <c r="E1314" s="26" t="inlineStr">
        <is>
          <t>측정</t>
        </is>
      </c>
      <c r="F1314" s="26" t="inlineStr">
        <is>
          <t>동</t>
        </is>
      </c>
      <c r="G1314" s="31" t="n">
        <v>7</v>
      </c>
      <c r="H1314" s="30" t="n"/>
      <c r="I1314" s="43" t="n"/>
      <c r="J1314" s="41" t="n"/>
      <c r="K1314" s="41" t="n"/>
      <c r="L1314" s="41" t="n"/>
      <c r="M1314" s="31">
        <f>IF(COUNT(J1314:L1314)=0,"",MEDIAN(J1314:L1314))</f>
        <v/>
      </c>
      <c r="N1314" s="26">
        <f>IF(COUNTIFS($C:$C,$C1314,$D:$D,$D1314,$E:$E,"P0(전)",$M:$M,"&gt;0")&lt;&gt;1,"P0(전) 유효 1개 아님",IF(COUNTIFS($C:$C,$C1314,$D:$D,$D1314,$E:$E,"P0(후)",$M:$M,"&gt;0")&lt;&gt;1,"P0(후) 유효 1개 아님",IF(NOT(AND(ISNUMBER(O1314),ISNUMBER(Q1314),ISNUMBER(I1314))),"시각 결측",IF(Q1314&lt;=O1314,"P0 시각 역전",IF(OR(I1314&lt;O1314,I1314&gt;Q1314),"측정시각 구간 밖","OK")))))</f>
        <v/>
      </c>
      <c r="O1314" s="48">
        <f>IF(COUNTIFS($C:$C,$C1314,$D:$D,$D1314,$E:$E,"P0(전)",$M:$M,"&gt;0")&lt;&gt;1,"",SUMIFS($I:$I,$C:$C,$C1314,$D:$D,$D1314,$E:$E,"P0(전)"))</f>
        <v/>
      </c>
      <c r="P1314" s="31">
        <f>IF(COUNTIFS($C:$C,$C1314,$D:$D,$D1314,$E:$E,"P0(전)",$M:$M,"&gt;0")&lt;&gt;1,"",SUMIFS($M:$M,$C:$C,$C1314,$D:$D,$D1314,$E:$E,"P0(전)"))</f>
        <v/>
      </c>
      <c r="Q1314" s="48">
        <f>IF(COUNTIFS($C:$C,$C1314,$D:$D,$D1314,$E:$E,"P0(후)",$M:$M,"&gt;0")&lt;&gt;1,"",SUMIFS($I:$I,$C:$C,$C1314,$D:$D,$D1314,$E:$E,"P0(후)"))</f>
        <v/>
      </c>
      <c r="R1314" s="31">
        <f>IF(COUNTIFS($C:$C,$C1314,$D:$D,$D1314,$E:$E,"P0(후)",$M:$M,"&gt;0")&lt;&gt;1,"",SUMIFS($M:$M,$C:$C,$C1314,$D:$D,$D1314,$E:$E,"P0(후)"))</f>
        <v/>
      </c>
      <c r="S1314" s="31">
        <f>IF(N1314&lt;&gt;"OK","",P1314+(R1314-P1314)*(I1314-O1314)/(Q1314-O1314))</f>
        <v/>
      </c>
      <c r="T1314" s="31">
        <f>IF(OR(N1314&lt;&gt;"OK",NOT(ISNUMBER(M1314))),"",M1314-S1314)</f>
        <v/>
      </c>
      <c r="U1314" s="49">
        <f>IF(OR(NOT(ISNUMBER(T1314)),IF(ISNUMBER(H1314),H1314,G1314)=0),"",T1314/IF(ISNUMBER(H1314),H1314,G1314))</f>
        <v/>
      </c>
      <c r="V1314" s="49">
        <f>IF(ISNUMBER(U1314),ABS(U1314),"")</f>
        <v/>
      </c>
      <c r="W1314" s="49">
        <f>IF(OR($E1313&lt;&gt;"측정",$C1313&lt;&gt;$C1314,$D1313&lt;&gt;$D1314,NOT(ISNUMBER(M1314)),NOT(ISNUMBER(M1313)),(IF(ISNUMBER(H1314),H1314,G1314)-IF(ISNUMBER(H1313),H1313,G1313))=0),"",(M1314-M1313)/(IF(ISNUMBER(H1314),H1314,G1314)-IF(ISNUMBER(H1313),H1313,G1313)))</f>
        <v/>
      </c>
      <c r="X1314" s="31">
        <f>IF(NOT(AND(ISNUMBER(O1314),ISNUMBER(Q1314))),"",(Q1314-O1314)*1440)</f>
        <v/>
      </c>
      <c r="Y1314" s="29" t="n"/>
      <c r="Z1314" s="29" t="n"/>
      <c r="AA1314" s="29" t="n"/>
      <c r="AB1314" s="32" t="n"/>
      <c r="AC1314" s="32" t="n"/>
    </row>
    <row r="1315">
      <c r="A1315" s="26" t="inlineStr">
        <is>
          <t>S26</t>
        </is>
      </c>
      <c r="B1315" s="26" t="inlineStr">
        <is>
          <t>고남 신규점2</t>
        </is>
      </c>
      <c r="C1315" s="26" t="inlineStr">
        <is>
          <t>S26-H동</t>
        </is>
      </c>
      <c r="D1315" s="47" t="n">
        <v>1</v>
      </c>
      <c r="E1315" s="26" t="inlineStr">
        <is>
          <t>측정</t>
        </is>
      </c>
      <c r="F1315" s="26" t="inlineStr">
        <is>
          <t>동</t>
        </is>
      </c>
      <c r="G1315" s="31" t="n">
        <v>8</v>
      </c>
      <c r="H1315" s="30" t="n"/>
      <c r="I1315" s="43" t="n"/>
      <c r="J1315" s="41" t="n"/>
      <c r="K1315" s="41" t="n"/>
      <c r="L1315" s="41" t="n"/>
      <c r="M1315" s="31">
        <f>IF(COUNT(J1315:L1315)=0,"",MEDIAN(J1315:L1315))</f>
        <v/>
      </c>
      <c r="N1315" s="26">
        <f>IF(COUNTIFS($C:$C,$C1315,$D:$D,$D1315,$E:$E,"P0(전)",$M:$M,"&gt;0")&lt;&gt;1,"P0(전) 유효 1개 아님",IF(COUNTIFS($C:$C,$C1315,$D:$D,$D1315,$E:$E,"P0(후)",$M:$M,"&gt;0")&lt;&gt;1,"P0(후) 유효 1개 아님",IF(NOT(AND(ISNUMBER(O1315),ISNUMBER(Q1315),ISNUMBER(I1315))),"시각 결측",IF(Q1315&lt;=O1315,"P0 시각 역전",IF(OR(I1315&lt;O1315,I1315&gt;Q1315),"측정시각 구간 밖","OK")))))</f>
        <v/>
      </c>
      <c r="O1315" s="48">
        <f>IF(COUNTIFS($C:$C,$C1315,$D:$D,$D1315,$E:$E,"P0(전)",$M:$M,"&gt;0")&lt;&gt;1,"",SUMIFS($I:$I,$C:$C,$C1315,$D:$D,$D1315,$E:$E,"P0(전)"))</f>
        <v/>
      </c>
      <c r="P1315" s="31">
        <f>IF(COUNTIFS($C:$C,$C1315,$D:$D,$D1315,$E:$E,"P0(전)",$M:$M,"&gt;0")&lt;&gt;1,"",SUMIFS($M:$M,$C:$C,$C1315,$D:$D,$D1315,$E:$E,"P0(전)"))</f>
        <v/>
      </c>
      <c r="Q1315" s="48">
        <f>IF(COUNTIFS($C:$C,$C1315,$D:$D,$D1315,$E:$E,"P0(후)",$M:$M,"&gt;0")&lt;&gt;1,"",SUMIFS($I:$I,$C:$C,$C1315,$D:$D,$D1315,$E:$E,"P0(후)"))</f>
        <v/>
      </c>
      <c r="R1315" s="31">
        <f>IF(COUNTIFS($C:$C,$C1315,$D:$D,$D1315,$E:$E,"P0(후)",$M:$M,"&gt;0")&lt;&gt;1,"",SUMIFS($M:$M,$C:$C,$C1315,$D:$D,$D1315,$E:$E,"P0(후)"))</f>
        <v/>
      </c>
      <c r="S1315" s="31">
        <f>IF(N1315&lt;&gt;"OK","",P1315+(R1315-P1315)*(I1315-O1315)/(Q1315-O1315))</f>
        <v/>
      </c>
      <c r="T1315" s="31">
        <f>IF(OR(N1315&lt;&gt;"OK",NOT(ISNUMBER(M1315))),"",M1315-S1315)</f>
        <v/>
      </c>
      <c r="U1315" s="49">
        <f>IF(OR(NOT(ISNUMBER(T1315)),IF(ISNUMBER(H1315),H1315,G1315)=0),"",T1315/IF(ISNUMBER(H1315),H1315,G1315))</f>
        <v/>
      </c>
      <c r="V1315" s="49">
        <f>IF(ISNUMBER(U1315),ABS(U1315),"")</f>
        <v/>
      </c>
      <c r="W1315" s="49">
        <f>IF(OR($E1314&lt;&gt;"측정",$C1314&lt;&gt;$C1315,$D1314&lt;&gt;$D1315,NOT(ISNUMBER(M1315)),NOT(ISNUMBER(M1314)),(IF(ISNUMBER(H1315),H1315,G1315)-IF(ISNUMBER(H1314),H1314,G1314))=0),"",(M1315-M1314)/(IF(ISNUMBER(H1315),H1315,G1315)-IF(ISNUMBER(H1314),H1314,G1314)))</f>
        <v/>
      </c>
      <c r="X1315" s="31">
        <f>IF(NOT(AND(ISNUMBER(O1315),ISNUMBER(Q1315))),"",(Q1315-O1315)*1440)</f>
        <v/>
      </c>
      <c r="Y1315" s="29" t="n"/>
      <c r="Z1315" s="29" t="n"/>
      <c r="AA1315" s="29" t="n"/>
      <c r="AB1315" s="32" t="n"/>
      <c r="AC1315" s="32" t="n"/>
    </row>
    <row r="1316">
      <c r="A1316" s="26" t="inlineStr">
        <is>
          <t>S26</t>
        </is>
      </c>
      <c r="B1316" s="26" t="inlineStr">
        <is>
          <t>고남 신규점2</t>
        </is>
      </c>
      <c r="C1316" s="26" t="inlineStr">
        <is>
          <t>S26-H동</t>
        </is>
      </c>
      <c r="D1316" s="47" t="n">
        <v>1</v>
      </c>
      <c r="E1316" s="26" t="inlineStr">
        <is>
          <t>측정</t>
        </is>
      </c>
      <c r="F1316" s="26" t="inlineStr">
        <is>
          <t>동</t>
        </is>
      </c>
      <c r="G1316" s="31" t="n">
        <v>9</v>
      </c>
      <c r="H1316" s="30" t="n"/>
      <c r="I1316" s="43" t="n"/>
      <c r="J1316" s="41" t="n"/>
      <c r="K1316" s="41" t="n"/>
      <c r="L1316" s="41" t="n"/>
      <c r="M1316" s="31">
        <f>IF(COUNT(J1316:L1316)=0,"",MEDIAN(J1316:L1316))</f>
        <v/>
      </c>
      <c r="N1316" s="26">
        <f>IF(COUNTIFS($C:$C,$C1316,$D:$D,$D1316,$E:$E,"P0(전)",$M:$M,"&gt;0")&lt;&gt;1,"P0(전) 유효 1개 아님",IF(COUNTIFS($C:$C,$C1316,$D:$D,$D1316,$E:$E,"P0(후)",$M:$M,"&gt;0")&lt;&gt;1,"P0(후) 유효 1개 아님",IF(NOT(AND(ISNUMBER(O1316),ISNUMBER(Q1316),ISNUMBER(I1316))),"시각 결측",IF(Q1316&lt;=O1316,"P0 시각 역전",IF(OR(I1316&lt;O1316,I1316&gt;Q1316),"측정시각 구간 밖","OK")))))</f>
        <v/>
      </c>
      <c r="O1316" s="48">
        <f>IF(COUNTIFS($C:$C,$C1316,$D:$D,$D1316,$E:$E,"P0(전)",$M:$M,"&gt;0")&lt;&gt;1,"",SUMIFS($I:$I,$C:$C,$C1316,$D:$D,$D1316,$E:$E,"P0(전)"))</f>
        <v/>
      </c>
      <c r="P1316" s="31">
        <f>IF(COUNTIFS($C:$C,$C1316,$D:$D,$D1316,$E:$E,"P0(전)",$M:$M,"&gt;0")&lt;&gt;1,"",SUMIFS($M:$M,$C:$C,$C1316,$D:$D,$D1316,$E:$E,"P0(전)"))</f>
        <v/>
      </c>
      <c r="Q1316" s="48">
        <f>IF(COUNTIFS($C:$C,$C1316,$D:$D,$D1316,$E:$E,"P0(후)",$M:$M,"&gt;0")&lt;&gt;1,"",SUMIFS($I:$I,$C:$C,$C1316,$D:$D,$D1316,$E:$E,"P0(후)"))</f>
        <v/>
      </c>
      <c r="R1316" s="31">
        <f>IF(COUNTIFS($C:$C,$C1316,$D:$D,$D1316,$E:$E,"P0(후)",$M:$M,"&gt;0")&lt;&gt;1,"",SUMIFS($M:$M,$C:$C,$C1316,$D:$D,$D1316,$E:$E,"P0(후)"))</f>
        <v/>
      </c>
      <c r="S1316" s="31">
        <f>IF(N1316&lt;&gt;"OK","",P1316+(R1316-P1316)*(I1316-O1316)/(Q1316-O1316))</f>
        <v/>
      </c>
      <c r="T1316" s="31">
        <f>IF(OR(N1316&lt;&gt;"OK",NOT(ISNUMBER(M1316))),"",M1316-S1316)</f>
        <v/>
      </c>
      <c r="U1316" s="49">
        <f>IF(OR(NOT(ISNUMBER(T1316)),IF(ISNUMBER(H1316),H1316,G1316)=0),"",T1316/IF(ISNUMBER(H1316),H1316,G1316))</f>
        <v/>
      </c>
      <c r="V1316" s="49">
        <f>IF(ISNUMBER(U1316),ABS(U1316),"")</f>
        <v/>
      </c>
      <c r="W1316" s="49">
        <f>IF(OR($E1315&lt;&gt;"측정",$C1315&lt;&gt;$C1316,$D1315&lt;&gt;$D1316,NOT(ISNUMBER(M1316)),NOT(ISNUMBER(M1315)),(IF(ISNUMBER(H1316),H1316,G1316)-IF(ISNUMBER(H1315),H1315,G1315))=0),"",(M1316-M1315)/(IF(ISNUMBER(H1316),H1316,G1316)-IF(ISNUMBER(H1315),H1315,G1315)))</f>
        <v/>
      </c>
      <c r="X1316" s="31">
        <f>IF(NOT(AND(ISNUMBER(O1316),ISNUMBER(Q1316))),"",(Q1316-O1316)*1440)</f>
        <v/>
      </c>
      <c r="Y1316" s="29" t="n"/>
      <c r="Z1316" s="29" t="n"/>
      <c r="AA1316" s="29" t="n"/>
      <c r="AB1316" s="32" t="n"/>
      <c r="AC1316" s="32" t="n"/>
    </row>
    <row r="1317">
      <c r="A1317" s="26" t="inlineStr">
        <is>
          <t>S26</t>
        </is>
      </c>
      <c r="B1317" s="26" t="inlineStr">
        <is>
          <t>고남 신규점2</t>
        </is>
      </c>
      <c r="C1317" s="26" t="inlineStr">
        <is>
          <t>S26-H동</t>
        </is>
      </c>
      <c r="D1317" s="47" t="n">
        <v>1</v>
      </c>
      <c r="E1317" s="26" t="inlineStr">
        <is>
          <t>측정</t>
        </is>
      </c>
      <c r="F1317" s="26" t="inlineStr">
        <is>
          <t>동</t>
        </is>
      </c>
      <c r="G1317" s="31" t="n">
        <v>10</v>
      </c>
      <c r="H1317" s="30" t="n"/>
      <c r="I1317" s="43" t="n"/>
      <c r="J1317" s="41" t="n"/>
      <c r="K1317" s="41" t="n"/>
      <c r="L1317" s="41" t="n"/>
      <c r="M1317" s="31">
        <f>IF(COUNT(J1317:L1317)=0,"",MEDIAN(J1317:L1317))</f>
        <v/>
      </c>
      <c r="N1317" s="26">
        <f>IF(COUNTIFS($C:$C,$C1317,$D:$D,$D1317,$E:$E,"P0(전)",$M:$M,"&gt;0")&lt;&gt;1,"P0(전) 유효 1개 아님",IF(COUNTIFS($C:$C,$C1317,$D:$D,$D1317,$E:$E,"P0(후)",$M:$M,"&gt;0")&lt;&gt;1,"P0(후) 유효 1개 아님",IF(NOT(AND(ISNUMBER(O1317),ISNUMBER(Q1317),ISNUMBER(I1317))),"시각 결측",IF(Q1317&lt;=O1317,"P0 시각 역전",IF(OR(I1317&lt;O1317,I1317&gt;Q1317),"측정시각 구간 밖","OK")))))</f>
        <v/>
      </c>
      <c r="O1317" s="48">
        <f>IF(COUNTIFS($C:$C,$C1317,$D:$D,$D1317,$E:$E,"P0(전)",$M:$M,"&gt;0")&lt;&gt;1,"",SUMIFS($I:$I,$C:$C,$C1317,$D:$D,$D1317,$E:$E,"P0(전)"))</f>
        <v/>
      </c>
      <c r="P1317" s="31">
        <f>IF(COUNTIFS($C:$C,$C1317,$D:$D,$D1317,$E:$E,"P0(전)",$M:$M,"&gt;0")&lt;&gt;1,"",SUMIFS($M:$M,$C:$C,$C1317,$D:$D,$D1317,$E:$E,"P0(전)"))</f>
        <v/>
      </c>
      <c r="Q1317" s="48">
        <f>IF(COUNTIFS($C:$C,$C1317,$D:$D,$D1317,$E:$E,"P0(후)",$M:$M,"&gt;0")&lt;&gt;1,"",SUMIFS($I:$I,$C:$C,$C1317,$D:$D,$D1317,$E:$E,"P0(후)"))</f>
        <v/>
      </c>
      <c r="R1317" s="31">
        <f>IF(COUNTIFS($C:$C,$C1317,$D:$D,$D1317,$E:$E,"P0(후)",$M:$M,"&gt;0")&lt;&gt;1,"",SUMIFS($M:$M,$C:$C,$C1317,$D:$D,$D1317,$E:$E,"P0(후)"))</f>
        <v/>
      </c>
      <c r="S1317" s="31">
        <f>IF(N1317&lt;&gt;"OK","",P1317+(R1317-P1317)*(I1317-O1317)/(Q1317-O1317))</f>
        <v/>
      </c>
      <c r="T1317" s="31">
        <f>IF(OR(N1317&lt;&gt;"OK",NOT(ISNUMBER(M1317))),"",M1317-S1317)</f>
        <v/>
      </c>
      <c r="U1317" s="49">
        <f>IF(OR(NOT(ISNUMBER(T1317)),IF(ISNUMBER(H1317),H1317,G1317)=0),"",T1317/IF(ISNUMBER(H1317),H1317,G1317))</f>
        <v/>
      </c>
      <c r="V1317" s="49">
        <f>IF(ISNUMBER(U1317),ABS(U1317),"")</f>
        <v/>
      </c>
      <c r="W1317" s="49">
        <f>IF(OR($E1316&lt;&gt;"측정",$C1316&lt;&gt;$C1317,$D1316&lt;&gt;$D1317,NOT(ISNUMBER(M1317)),NOT(ISNUMBER(M1316)),(IF(ISNUMBER(H1317),H1317,G1317)-IF(ISNUMBER(H1316),H1316,G1316))=0),"",(M1317-M1316)/(IF(ISNUMBER(H1317),H1317,G1317)-IF(ISNUMBER(H1316),H1316,G1316)))</f>
        <v/>
      </c>
      <c r="X1317" s="31">
        <f>IF(NOT(AND(ISNUMBER(O1317),ISNUMBER(Q1317))),"",(Q1317-O1317)*1440)</f>
        <v/>
      </c>
      <c r="Y1317" s="29" t="n"/>
      <c r="Z1317" s="29" t="n"/>
      <c r="AA1317" s="29" t="n"/>
      <c r="AB1317" s="32" t="n"/>
      <c r="AC1317" s="32" t="n"/>
    </row>
    <row r="1318">
      <c r="A1318" s="44" t="inlineStr">
        <is>
          <t>S26</t>
        </is>
      </c>
      <c r="B1318" s="44" t="inlineStr">
        <is>
          <t>고남 신규점2</t>
        </is>
      </c>
      <c r="C1318" s="44" t="inlineStr">
        <is>
          <t>S26-H동</t>
        </is>
      </c>
      <c r="D1318" s="45" t="n">
        <v>1</v>
      </c>
      <c r="E1318" s="44" t="inlineStr">
        <is>
          <t>P0(후)</t>
        </is>
      </c>
      <c r="F1318" s="44" t="inlineStr">
        <is>
          <t>동</t>
        </is>
      </c>
      <c r="G1318" s="46" t="n"/>
      <c r="H1318" s="30" t="n"/>
      <c r="I1318" s="43" t="n"/>
      <c r="J1318" s="41" t="n"/>
      <c r="K1318" s="41" t="n"/>
      <c r="L1318" s="41" t="n"/>
      <c r="M1318" s="31">
        <f>IF(COUNT(J1318:L1318)=0,"",MEDIAN(J1318:L1318))</f>
        <v/>
      </c>
      <c r="N1318" s="38" t="n"/>
      <c r="O1318" s="38" t="n"/>
      <c r="P1318" s="38" t="n"/>
      <c r="Q1318" s="38" t="n"/>
      <c r="R1318" s="38" t="n"/>
      <c r="S1318" s="38" t="n"/>
      <c r="T1318" s="38" t="n"/>
      <c r="U1318" s="38" t="n"/>
      <c r="V1318" s="38" t="n"/>
      <c r="W1318" s="38" t="n"/>
      <c r="X1318" s="38" t="n"/>
      <c r="Y1318" s="29" t="n"/>
      <c r="Z1318" s="29" t="n"/>
      <c r="AA1318" s="29" t="n"/>
      <c r="AB1318" s="32" t="n"/>
      <c r="AC1318" s="32" t="n"/>
    </row>
    <row r="1319">
      <c r="A1319" s="44" t="inlineStr">
        <is>
          <t>S26</t>
        </is>
      </c>
      <c r="B1319" s="44" t="inlineStr">
        <is>
          <t>고남 신규점2</t>
        </is>
      </c>
      <c r="C1319" s="44" t="inlineStr">
        <is>
          <t>S26-H서</t>
        </is>
      </c>
      <c r="D1319" s="45" t="n">
        <v>1</v>
      </c>
      <c r="E1319" s="44" t="inlineStr">
        <is>
          <t>P0(전)</t>
        </is>
      </c>
      <c r="F1319" s="44" t="inlineStr">
        <is>
          <t>서</t>
        </is>
      </c>
      <c r="G1319" s="46" t="n"/>
      <c r="H1319" s="30" t="n"/>
      <c r="I1319" s="43" t="n"/>
      <c r="J1319" s="41" t="n"/>
      <c r="K1319" s="41" t="n"/>
      <c r="L1319" s="41" t="n"/>
      <c r="M1319" s="31">
        <f>IF(COUNT(J1319:L1319)=0,"",MEDIAN(J1319:L1319))</f>
        <v/>
      </c>
      <c r="N1319" s="38" t="n"/>
      <c r="O1319" s="38" t="n"/>
      <c r="P1319" s="38" t="n"/>
      <c r="Q1319" s="38" t="n"/>
      <c r="R1319" s="38" t="n"/>
      <c r="S1319" s="38" t="n"/>
      <c r="T1319" s="38" t="n"/>
      <c r="U1319" s="38" t="n"/>
      <c r="V1319" s="38" t="n"/>
      <c r="W1319" s="38" t="n"/>
      <c r="X1319" s="38" t="n"/>
      <c r="Y1319" s="29" t="n"/>
      <c r="Z1319" s="29" t="n"/>
      <c r="AA1319" s="29" t="n"/>
      <c r="AB1319" s="32" t="n"/>
      <c r="AC1319" s="32" t="n"/>
    </row>
    <row r="1320">
      <c r="A1320" s="26" t="inlineStr">
        <is>
          <t>S26</t>
        </is>
      </c>
      <c r="B1320" s="26" t="inlineStr">
        <is>
          <t>고남 신규점2</t>
        </is>
      </c>
      <c r="C1320" s="26" t="inlineStr">
        <is>
          <t>S26-H서</t>
        </is>
      </c>
      <c r="D1320" s="47" t="n">
        <v>1</v>
      </c>
      <c r="E1320" s="26" t="inlineStr">
        <is>
          <t>측정</t>
        </is>
      </c>
      <c r="F1320" s="26" t="inlineStr">
        <is>
          <t>서</t>
        </is>
      </c>
      <c r="G1320" s="31" t="n">
        <v>0.5</v>
      </c>
      <c r="H1320" s="30" t="n"/>
      <c r="I1320" s="43" t="n"/>
      <c r="J1320" s="41" t="n"/>
      <c r="K1320" s="41" t="n"/>
      <c r="L1320" s="41" t="n"/>
      <c r="M1320" s="31">
        <f>IF(COUNT(J1320:L1320)=0,"",MEDIAN(J1320:L1320))</f>
        <v/>
      </c>
      <c r="N1320" s="26">
        <f>IF(COUNTIFS($C:$C,$C1320,$D:$D,$D1320,$E:$E,"P0(전)",$M:$M,"&gt;0")&lt;&gt;1,"P0(전) 유효 1개 아님",IF(COUNTIFS($C:$C,$C1320,$D:$D,$D1320,$E:$E,"P0(후)",$M:$M,"&gt;0")&lt;&gt;1,"P0(후) 유효 1개 아님",IF(NOT(AND(ISNUMBER(O1320),ISNUMBER(Q1320),ISNUMBER(I1320))),"시각 결측",IF(Q1320&lt;=O1320,"P0 시각 역전",IF(OR(I1320&lt;O1320,I1320&gt;Q1320),"측정시각 구간 밖","OK")))))</f>
        <v/>
      </c>
      <c r="O1320" s="48">
        <f>IF(COUNTIFS($C:$C,$C1320,$D:$D,$D1320,$E:$E,"P0(전)",$M:$M,"&gt;0")&lt;&gt;1,"",SUMIFS($I:$I,$C:$C,$C1320,$D:$D,$D1320,$E:$E,"P0(전)"))</f>
        <v/>
      </c>
      <c r="P1320" s="31">
        <f>IF(COUNTIFS($C:$C,$C1320,$D:$D,$D1320,$E:$E,"P0(전)",$M:$M,"&gt;0")&lt;&gt;1,"",SUMIFS($M:$M,$C:$C,$C1320,$D:$D,$D1320,$E:$E,"P0(전)"))</f>
        <v/>
      </c>
      <c r="Q1320" s="48">
        <f>IF(COUNTIFS($C:$C,$C1320,$D:$D,$D1320,$E:$E,"P0(후)",$M:$M,"&gt;0")&lt;&gt;1,"",SUMIFS($I:$I,$C:$C,$C1320,$D:$D,$D1320,$E:$E,"P0(후)"))</f>
        <v/>
      </c>
      <c r="R1320" s="31">
        <f>IF(COUNTIFS($C:$C,$C1320,$D:$D,$D1320,$E:$E,"P0(후)",$M:$M,"&gt;0")&lt;&gt;1,"",SUMIFS($M:$M,$C:$C,$C1320,$D:$D,$D1320,$E:$E,"P0(후)"))</f>
        <v/>
      </c>
      <c r="S1320" s="31">
        <f>IF(N1320&lt;&gt;"OK","",P1320+(R1320-P1320)*(I1320-O1320)/(Q1320-O1320))</f>
        <v/>
      </c>
      <c r="T1320" s="31">
        <f>IF(OR(N1320&lt;&gt;"OK",NOT(ISNUMBER(M1320))),"",M1320-S1320)</f>
        <v/>
      </c>
      <c r="U1320" s="49">
        <f>IF(OR(NOT(ISNUMBER(T1320)),IF(ISNUMBER(H1320),H1320,G1320)=0),"",T1320/IF(ISNUMBER(H1320),H1320,G1320))</f>
        <v/>
      </c>
      <c r="V1320" s="49">
        <f>IF(ISNUMBER(U1320),ABS(U1320),"")</f>
        <v/>
      </c>
      <c r="W1320" s="49">
        <f>IF(OR($E1319&lt;&gt;"측정",$C1319&lt;&gt;$C1320,$D1319&lt;&gt;$D1320,NOT(ISNUMBER(M1320)),NOT(ISNUMBER(M1319)),(IF(ISNUMBER(H1320),H1320,G1320)-IF(ISNUMBER(H1319),H1319,G1319))=0),"",(M1320-M1319)/(IF(ISNUMBER(H1320),H1320,G1320)-IF(ISNUMBER(H1319),H1319,G1319)))</f>
        <v/>
      </c>
      <c r="X1320" s="31">
        <f>IF(NOT(AND(ISNUMBER(O1320),ISNUMBER(Q1320))),"",(Q1320-O1320)*1440)</f>
        <v/>
      </c>
      <c r="Y1320" s="29" t="n"/>
      <c r="Z1320" s="29" t="n"/>
      <c r="AA1320" s="29" t="n"/>
      <c r="AB1320" s="32" t="n"/>
      <c r="AC1320" s="32" t="n"/>
    </row>
    <row r="1321">
      <c r="A1321" s="26" t="inlineStr">
        <is>
          <t>S26</t>
        </is>
      </c>
      <c r="B1321" s="26" t="inlineStr">
        <is>
          <t>고남 신규점2</t>
        </is>
      </c>
      <c r="C1321" s="26" t="inlineStr">
        <is>
          <t>S26-H서</t>
        </is>
      </c>
      <c r="D1321" s="47" t="n">
        <v>1</v>
      </c>
      <c r="E1321" s="26" t="inlineStr">
        <is>
          <t>측정</t>
        </is>
      </c>
      <c r="F1321" s="26" t="inlineStr">
        <is>
          <t>서</t>
        </is>
      </c>
      <c r="G1321" s="31" t="n">
        <v>1</v>
      </c>
      <c r="H1321" s="30" t="n"/>
      <c r="I1321" s="43" t="n"/>
      <c r="J1321" s="41" t="n"/>
      <c r="K1321" s="41" t="n"/>
      <c r="L1321" s="41" t="n"/>
      <c r="M1321" s="31">
        <f>IF(COUNT(J1321:L1321)=0,"",MEDIAN(J1321:L1321))</f>
        <v/>
      </c>
      <c r="N1321" s="26">
        <f>IF(COUNTIFS($C:$C,$C1321,$D:$D,$D1321,$E:$E,"P0(전)",$M:$M,"&gt;0")&lt;&gt;1,"P0(전) 유효 1개 아님",IF(COUNTIFS($C:$C,$C1321,$D:$D,$D1321,$E:$E,"P0(후)",$M:$M,"&gt;0")&lt;&gt;1,"P0(후) 유효 1개 아님",IF(NOT(AND(ISNUMBER(O1321),ISNUMBER(Q1321),ISNUMBER(I1321))),"시각 결측",IF(Q1321&lt;=O1321,"P0 시각 역전",IF(OR(I1321&lt;O1321,I1321&gt;Q1321),"측정시각 구간 밖","OK")))))</f>
        <v/>
      </c>
      <c r="O1321" s="48">
        <f>IF(COUNTIFS($C:$C,$C1321,$D:$D,$D1321,$E:$E,"P0(전)",$M:$M,"&gt;0")&lt;&gt;1,"",SUMIFS($I:$I,$C:$C,$C1321,$D:$D,$D1321,$E:$E,"P0(전)"))</f>
        <v/>
      </c>
      <c r="P1321" s="31">
        <f>IF(COUNTIFS($C:$C,$C1321,$D:$D,$D1321,$E:$E,"P0(전)",$M:$M,"&gt;0")&lt;&gt;1,"",SUMIFS($M:$M,$C:$C,$C1321,$D:$D,$D1321,$E:$E,"P0(전)"))</f>
        <v/>
      </c>
      <c r="Q1321" s="48">
        <f>IF(COUNTIFS($C:$C,$C1321,$D:$D,$D1321,$E:$E,"P0(후)",$M:$M,"&gt;0")&lt;&gt;1,"",SUMIFS($I:$I,$C:$C,$C1321,$D:$D,$D1321,$E:$E,"P0(후)"))</f>
        <v/>
      </c>
      <c r="R1321" s="31">
        <f>IF(COUNTIFS($C:$C,$C1321,$D:$D,$D1321,$E:$E,"P0(후)",$M:$M,"&gt;0")&lt;&gt;1,"",SUMIFS($M:$M,$C:$C,$C1321,$D:$D,$D1321,$E:$E,"P0(후)"))</f>
        <v/>
      </c>
      <c r="S1321" s="31">
        <f>IF(N1321&lt;&gt;"OK","",P1321+(R1321-P1321)*(I1321-O1321)/(Q1321-O1321))</f>
        <v/>
      </c>
      <c r="T1321" s="31">
        <f>IF(OR(N1321&lt;&gt;"OK",NOT(ISNUMBER(M1321))),"",M1321-S1321)</f>
        <v/>
      </c>
      <c r="U1321" s="49">
        <f>IF(OR(NOT(ISNUMBER(T1321)),IF(ISNUMBER(H1321),H1321,G1321)=0),"",T1321/IF(ISNUMBER(H1321),H1321,G1321))</f>
        <v/>
      </c>
      <c r="V1321" s="49">
        <f>IF(ISNUMBER(U1321),ABS(U1321),"")</f>
        <v/>
      </c>
      <c r="W1321" s="49">
        <f>IF(OR($E1320&lt;&gt;"측정",$C1320&lt;&gt;$C1321,$D1320&lt;&gt;$D1321,NOT(ISNUMBER(M1321)),NOT(ISNUMBER(M1320)),(IF(ISNUMBER(H1321),H1321,G1321)-IF(ISNUMBER(H1320),H1320,G1320))=0),"",(M1321-M1320)/(IF(ISNUMBER(H1321),H1321,G1321)-IF(ISNUMBER(H1320),H1320,G1320)))</f>
        <v/>
      </c>
      <c r="X1321" s="31">
        <f>IF(NOT(AND(ISNUMBER(O1321),ISNUMBER(Q1321))),"",(Q1321-O1321)*1440)</f>
        <v/>
      </c>
      <c r="Y1321" s="29" t="n"/>
      <c r="Z1321" s="29" t="n"/>
      <c r="AA1321" s="29" t="n"/>
      <c r="AB1321" s="32" t="n"/>
      <c r="AC1321" s="32" t="n"/>
    </row>
    <row r="1322">
      <c r="A1322" s="26" t="inlineStr">
        <is>
          <t>S26</t>
        </is>
      </c>
      <c r="B1322" s="26" t="inlineStr">
        <is>
          <t>고남 신규점2</t>
        </is>
      </c>
      <c r="C1322" s="26" t="inlineStr">
        <is>
          <t>S26-H서</t>
        </is>
      </c>
      <c r="D1322" s="47" t="n">
        <v>1</v>
      </c>
      <c r="E1322" s="26" t="inlineStr">
        <is>
          <t>측정</t>
        </is>
      </c>
      <c r="F1322" s="26" t="inlineStr">
        <is>
          <t>서</t>
        </is>
      </c>
      <c r="G1322" s="31" t="n">
        <v>2</v>
      </c>
      <c r="H1322" s="30" t="n"/>
      <c r="I1322" s="43" t="n"/>
      <c r="J1322" s="41" t="n"/>
      <c r="K1322" s="41" t="n"/>
      <c r="L1322" s="41" t="n"/>
      <c r="M1322" s="31">
        <f>IF(COUNT(J1322:L1322)=0,"",MEDIAN(J1322:L1322))</f>
        <v/>
      </c>
      <c r="N1322" s="26">
        <f>IF(COUNTIFS($C:$C,$C1322,$D:$D,$D1322,$E:$E,"P0(전)",$M:$M,"&gt;0")&lt;&gt;1,"P0(전) 유효 1개 아님",IF(COUNTIFS($C:$C,$C1322,$D:$D,$D1322,$E:$E,"P0(후)",$M:$M,"&gt;0")&lt;&gt;1,"P0(후) 유효 1개 아님",IF(NOT(AND(ISNUMBER(O1322),ISNUMBER(Q1322),ISNUMBER(I1322))),"시각 결측",IF(Q1322&lt;=O1322,"P0 시각 역전",IF(OR(I1322&lt;O1322,I1322&gt;Q1322),"측정시각 구간 밖","OK")))))</f>
        <v/>
      </c>
      <c r="O1322" s="48">
        <f>IF(COUNTIFS($C:$C,$C1322,$D:$D,$D1322,$E:$E,"P0(전)",$M:$M,"&gt;0")&lt;&gt;1,"",SUMIFS($I:$I,$C:$C,$C1322,$D:$D,$D1322,$E:$E,"P0(전)"))</f>
        <v/>
      </c>
      <c r="P1322" s="31">
        <f>IF(COUNTIFS($C:$C,$C1322,$D:$D,$D1322,$E:$E,"P0(전)",$M:$M,"&gt;0")&lt;&gt;1,"",SUMIFS($M:$M,$C:$C,$C1322,$D:$D,$D1322,$E:$E,"P0(전)"))</f>
        <v/>
      </c>
      <c r="Q1322" s="48">
        <f>IF(COUNTIFS($C:$C,$C1322,$D:$D,$D1322,$E:$E,"P0(후)",$M:$M,"&gt;0")&lt;&gt;1,"",SUMIFS($I:$I,$C:$C,$C1322,$D:$D,$D1322,$E:$E,"P0(후)"))</f>
        <v/>
      </c>
      <c r="R1322" s="31">
        <f>IF(COUNTIFS($C:$C,$C1322,$D:$D,$D1322,$E:$E,"P0(후)",$M:$M,"&gt;0")&lt;&gt;1,"",SUMIFS($M:$M,$C:$C,$C1322,$D:$D,$D1322,$E:$E,"P0(후)"))</f>
        <v/>
      </c>
      <c r="S1322" s="31">
        <f>IF(N1322&lt;&gt;"OK","",P1322+(R1322-P1322)*(I1322-O1322)/(Q1322-O1322))</f>
        <v/>
      </c>
      <c r="T1322" s="31">
        <f>IF(OR(N1322&lt;&gt;"OK",NOT(ISNUMBER(M1322))),"",M1322-S1322)</f>
        <v/>
      </c>
      <c r="U1322" s="49">
        <f>IF(OR(NOT(ISNUMBER(T1322)),IF(ISNUMBER(H1322),H1322,G1322)=0),"",T1322/IF(ISNUMBER(H1322),H1322,G1322))</f>
        <v/>
      </c>
      <c r="V1322" s="49">
        <f>IF(ISNUMBER(U1322),ABS(U1322),"")</f>
        <v/>
      </c>
      <c r="W1322" s="49">
        <f>IF(OR($E1321&lt;&gt;"측정",$C1321&lt;&gt;$C1322,$D1321&lt;&gt;$D1322,NOT(ISNUMBER(M1322)),NOT(ISNUMBER(M1321)),(IF(ISNUMBER(H1322),H1322,G1322)-IF(ISNUMBER(H1321),H1321,G1321))=0),"",(M1322-M1321)/(IF(ISNUMBER(H1322),H1322,G1322)-IF(ISNUMBER(H1321),H1321,G1321)))</f>
        <v/>
      </c>
      <c r="X1322" s="31">
        <f>IF(NOT(AND(ISNUMBER(O1322),ISNUMBER(Q1322))),"",(Q1322-O1322)*1440)</f>
        <v/>
      </c>
      <c r="Y1322" s="29" t="n"/>
      <c r="Z1322" s="29" t="n"/>
      <c r="AA1322" s="29" t="n"/>
      <c r="AB1322" s="32" t="n"/>
      <c r="AC1322" s="32" t="n"/>
    </row>
    <row r="1323">
      <c r="A1323" s="26" t="inlineStr">
        <is>
          <t>S26</t>
        </is>
      </c>
      <c r="B1323" s="26" t="inlineStr">
        <is>
          <t>고남 신규점2</t>
        </is>
      </c>
      <c r="C1323" s="26" t="inlineStr">
        <is>
          <t>S26-H서</t>
        </is>
      </c>
      <c r="D1323" s="47" t="n">
        <v>1</v>
      </c>
      <c r="E1323" s="26" t="inlineStr">
        <is>
          <t>측정</t>
        </is>
      </c>
      <c r="F1323" s="26" t="inlineStr">
        <is>
          <t>서</t>
        </is>
      </c>
      <c r="G1323" s="31" t="n">
        <v>3</v>
      </c>
      <c r="H1323" s="30" t="n"/>
      <c r="I1323" s="43" t="n"/>
      <c r="J1323" s="41" t="n"/>
      <c r="K1323" s="41" t="n"/>
      <c r="L1323" s="41" t="n"/>
      <c r="M1323" s="31">
        <f>IF(COUNT(J1323:L1323)=0,"",MEDIAN(J1323:L1323))</f>
        <v/>
      </c>
      <c r="N1323" s="26">
        <f>IF(COUNTIFS($C:$C,$C1323,$D:$D,$D1323,$E:$E,"P0(전)",$M:$M,"&gt;0")&lt;&gt;1,"P0(전) 유효 1개 아님",IF(COUNTIFS($C:$C,$C1323,$D:$D,$D1323,$E:$E,"P0(후)",$M:$M,"&gt;0")&lt;&gt;1,"P0(후) 유효 1개 아님",IF(NOT(AND(ISNUMBER(O1323),ISNUMBER(Q1323),ISNUMBER(I1323))),"시각 결측",IF(Q1323&lt;=O1323,"P0 시각 역전",IF(OR(I1323&lt;O1323,I1323&gt;Q1323),"측정시각 구간 밖","OK")))))</f>
        <v/>
      </c>
      <c r="O1323" s="48">
        <f>IF(COUNTIFS($C:$C,$C1323,$D:$D,$D1323,$E:$E,"P0(전)",$M:$M,"&gt;0")&lt;&gt;1,"",SUMIFS($I:$I,$C:$C,$C1323,$D:$D,$D1323,$E:$E,"P0(전)"))</f>
        <v/>
      </c>
      <c r="P1323" s="31">
        <f>IF(COUNTIFS($C:$C,$C1323,$D:$D,$D1323,$E:$E,"P0(전)",$M:$M,"&gt;0")&lt;&gt;1,"",SUMIFS($M:$M,$C:$C,$C1323,$D:$D,$D1323,$E:$E,"P0(전)"))</f>
        <v/>
      </c>
      <c r="Q1323" s="48">
        <f>IF(COUNTIFS($C:$C,$C1323,$D:$D,$D1323,$E:$E,"P0(후)",$M:$M,"&gt;0")&lt;&gt;1,"",SUMIFS($I:$I,$C:$C,$C1323,$D:$D,$D1323,$E:$E,"P0(후)"))</f>
        <v/>
      </c>
      <c r="R1323" s="31">
        <f>IF(COUNTIFS($C:$C,$C1323,$D:$D,$D1323,$E:$E,"P0(후)",$M:$M,"&gt;0")&lt;&gt;1,"",SUMIFS($M:$M,$C:$C,$C1323,$D:$D,$D1323,$E:$E,"P0(후)"))</f>
        <v/>
      </c>
      <c r="S1323" s="31">
        <f>IF(N1323&lt;&gt;"OK","",P1323+(R1323-P1323)*(I1323-O1323)/(Q1323-O1323))</f>
        <v/>
      </c>
      <c r="T1323" s="31">
        <f>IF(OR(N1323&lt;&gt;"OK",NOT(ISNUMBER(M1323))),"",M1323-S1323)</f>
        <v/>
      </c>
      <c r="U1323" s="49">
        <f>IF(OR(NOT(ISNUMBER(T1323)),IF(ISNUMBER(H1323),H1323,G1323)=0),"",T1323/IF(ISNUMBER(H1323),H1323,G1323))</f>
        <v/>
      </c>
      <c r="V1323" s="49">
        <f>IF(ISNUMBER(U1323),ABS(U1323),"")</f>
        <v/>
      </c>
      <c r="W1323" s="49">
        <f>IF(OR($E1322&lt;&gt;"측정",$C1322&lt;&gt;$C1323,$D1322&lt;&gt;$D1323,NOT(ISNUMBER(M1323)),NOT(ISNUMBER(M1322)),(IF(ISNUMBER(H1323),H1323,G1323)-IF(ISNUMBER(H1322),H1322,G1322))=0),"",(M1323-M1322)/(IF(ISNUMBER(H1323),H1323,G1323)-IF(ISNUMBER(H1322),H1322,G1322)))</f>
        <v/>
      </c>
      <c r="X1323" s="31">
        <f>IF(NOT(AND(ISNUMBER(O1323),ISNUMBER(Q1323))),"",(Q1323-O1323)*1440)</f>
        <v/>
      </c>
      <c r="Y1323" s="29" t="n"/>
      <c r="Z1323" s="29" t="n"/>
      <c r="AA1323" s="29" t="n"/>
      <c r="AB1323" s="32" t="n"/>
      <c r="AC1323" s="32" t="n"/>
    </row>
    <row r="1324">
      <c r="A1324" s="26" t="inlineStr">
        <is>
          <t>S26</t>
        </is>
      </c>
      <c r="B1324" s="26" t="inlineStr">
        <is>
          <t>고남 신규점2</t>
        </is>
      </c>
      <c r="C1324" s="26" t="inlineStr">
        <is>
          <t>S26-H서</t>
        </is>
      </c>
      <c r="D1324" s="47" t="n">
        <v>1</v>
      </c>
      <c r="E1324" s="26" t="inlineStr">
        <is>
          <t>측정</t>
        </is>
      </c>
      <c r="F1324" s="26" t="inlineStr">
        <is>
          <t>서</t>
        </is>
      </c>
      <c r="G1324" s="31" t="n">
        <v>4</v>
      </c>
      <c r="H1324" s="30" t="n"/>
      <c r="I1324" s="43" t="n"/>
      <c r="J1324" s="41" t="n"/>
      <c r="K1324" s="41" t="n"/>
      <c r="L1324" s="41" t="n"/>
      <c r="M1324" s="31">
        <f>IF(COUNT(J1324:L1324)=0,"",MEDIAN(J1324:L1324))</f>
        <v/>
      </c>
      <c r="N1324" s="26">
        <f>IF(COUNTIFS($C:$C,$C1324,$D:$D,$D1324,$E:$E,"P0(전)",$M:$M,"&gt;0")&lt;&gt;1,"P0(전) 유효 1개 아님",IF(COUNTIFS($C:$C,$C1324,$D:$D,$D1324,$E:$E,"P0(후)",$M:$M,"&gt;0")&lt;&gt;1,"P0(후) 유효 1개 아님",IF(NOT(AND(ISNUMBER(O1324),ISNUMBER(Q1324),ISNUMBER(I1324))),"시각 결측",IF(Q1324&lt;=O1324,"P0 시각 역전",IF(OR(I1324&lt;O1324,I1324&gt;Q1324),"측정시각 구간 밖","OK")))))</f>
        <v/>
      </c>
      <c r="O1324" s="48">
        <f>IF(COUNTIFS($C:$C,$C1324,$D:$D,$D1324,$E:$E,"P0(전)",$M:$M,"&gt;0")&lt;&gt;1,"",SUMIFS($I:$I,$C:$C,$C1324,$D:$D,$D1324,$E:$E,"P0(전)"))</f>
        <v/>
      </c>
      <c r="P1324" s="31">
        <f>IF(COUNTIFS($C:$C,$C1324,$D:$D,$D1324,$E:$E,"P0(전)",$M:$M,"&gt;0")&lt;&gt;1,"",SUMIFS($M:$M,$C:$C,$C1324,$D:$D,$D1324,$E:$E,"P0(전)"))</f>
        <v/>
      </c>
      <c r="Q1324" s="48">
        <f>IF(COUNTIFS($C:$C,$C1324,$D:$D,$D1324,$E:$E,"P0(후)",$M:$M,"&gt;0")&lt;&gt;1,"",SUMIFS($I:$I,$C:$C,$C1324,$D:$D,$D1324,$E:$E,"P0(후)"))</f>
        <v/>
      </c>
      <c r="R1324" s="31">
        <f>IF(COUNTIFS($C:$C,$C1324,$D:$D,$D1324,$E:$E,"P0(후)",$M:$M,"&gt;0")&lt;&gt;1,"",SUMIFS($M:$M,$C:$C,$C1324,$D:$D,$D1324,$E:$E,"P0(후)"))</f>
        <v/>
      </c>
      <c r="S1324" s="31">
        <f>IF(N1324&lt;&gt;"OK","",P1324+(R1324-P1324)*(I1324-O1324)/(Q1324-O1324))</f>
        <v/>
      </c>
      <c r="T1324" s="31">
        <f>IF(OR(N1324&lt;&gt;"OK",NOT(ISNUMBER(M1324))),"",M1324-S1324)</f>
        <v/>
      </c>
      <c r="U1324" s="49">
        <f>IF(OR(NOT(ISNUMBER(T1324)),IF(ISNUMBER(H1324),H1324,G1324)=0),"",T1324/IF(ISNUMBER(H1324),H1324,G1324))</f>
        <v/>
      </c>
      <c r="V1324" s="49">
        <f>IF(ISNUMBER(U1324),ABS(U1324),"")</f>
        <v/>
      </c>
      <c r="W1324" s="49">
        <f>IF(OR($E1323&lt;&gt;"측정",$C1323&lt;&gt;$C1324,$D1323&lt;&gt;$D1324,NOT(ISNUMBER(M1324)),NOT(ISNUMBER(M1323)),(IF(ISNUMBER(H1324),H1324,G1324)-IF(ISNUMBER(H1323),H1323,G1323))=0),"",(M1324-M1323)/(IF(ISNUMBER(H1324),H1324,G1324)-IF(ISNUMBER(H1323),H1323,G1323)))</f>
        <v/>
      </c>
      <c r="X1324" s="31">
        <f>IF(NOT(AND(ISNUMBER(O1324),ISNUMBER(Q1324))),"",(Q1324-O1324)*1440)</f>
        <v/>
      </c>
      <c r="Y1324" s="29" t="n"/>
      <c r="Z1324" s="29" t="n"/>
      <c r="AA1324" s="29" t="n"/>
      <c r="AB1324" s="32" t="n"/>
      <c r="AC1324" s="32" t="n"/>
    </row>
    <row r="1325">
      <c r="A1325" s="26" t="inlineStr">
        <is>
          <t>S26</t>
        </is>
      </c>
      <c r="B1325" s="26" t="inlineStr">
        <is>
          <t>고남 신규점2</t>
        </is>
      </c>
      <c r="C1325" s="26" t="inlineStr">
        <is>
          <t>S26-H서</t>
        </is>
      </c>
      <c r="D1325" s="47" t="n">
        <v>1</v>
      </c>
      <c r="E1325" s="26" t="inlineStr">
        <is>
          <t>측정</t>
        </is>
      </c>
      <c r="F1325" s="26" t="inlineStr">
        <is>
          <t>서</t>
        </is>
      </c>
      <c r="G1325" s="31" t="n">
        <v>5</v>
      </c>
      <c r="H1325" s="30" t="n"/>
      <c r="I1325" s="43" t="n"/>
      <c r="J1325" s="41" t="n"/>
      <c r="K1325" s="41" t="n"/>
      <c r="L1325" s="41" t="n"/>
      <c r="M1325" s="31">
        <f>IF(COUNT(J1325:L1325)=0,"",MEDIAN(J1325:L1325))</f>
        <v/>
      </c>
      <c r="N1325" s="26">
        <f>IF(COUNTIFS($C:$C,$C1325,$D:$D,$D1325,$E:$E,"P0(전)",$M:$M,"&gt;0")&lt;&gt;1,"P0(전) 유효 1개 아님",IF(COUNTIFS($C:$C,$C1325,$D:$D,$D1325,$E:$E,"P0(후)",$M:$M,"&gt;0")&lt;&gt;1,"P0(후) 유효 1개 아님",IF(NOT(AND(ISNUMBER(O1325),ISNUMBER(Q1325),ISNUMBER(I1325))),"시각 결측",IF(Q1325&lt;=O1325,"P0 시각 역전",IF(OR(I1325&lt;O1325,I1325&gt;Q1325),"측정시각 구간 밖","OK")))))</f>
        <v/>
      </c>
      <c r="O1325" s="48">
        <f>IF(COUNTIFS($C:$C,$C1325,$D:$D,$D1325,$E:$E,"P0(전)",$M:$M,"&gt;0")&lt;&gt;1,"",SUMIFS($I:$I,$C:$C,$C1325,$D:$D,$D1325,$E:$E,"P0(전)"))</f>
        <v/>
      </c>
      <c r="P1325" s="31">
        <f>IF(COUNTIFS($C:$C,$C1325,$D:$D,$D1325,$E:$E,"P0(전)",$M:$M,"&gt;0")&lt;&gt;1,"",SUMIFS($M:$M,$C:$C,$C1325,$D:$D,$D1325,$E:$E,"P0(전)"))</f>
        <v/>
      </c>
      <c r="Q1325" s="48">
        <f>IF(COUNTIFS($C:$C,$C1325,$D:$D,$D1325,$E:$E,"P0(후)",$M:$M,"&gt;0")&lt;&gt;1,"",SUMIFS($I:$I,$C:$C,$C1325,$D:$D,$D1325,$E:$E,"P0(후)"))</f>
        <v/>
      </c>
      <c r="R1325" s="31">
        <f>IF(COUNTIFS($C:$C,$C1325,$D:$D,$D1325,$E:$E,"P0(후)",$M:$M,"&gt;0")&lt;&gt;1,"",SUMIFS($M:$M,$C:$C,$C1325,$D:$D,$D1325,$E:$E,"P0(후)"))</f>
        <v/>
      </c>
      <c r="S1325" s="31">
        <f>IF(N1325&lt;&gt;"OK","",P1325+(R1325-P1325)*(I1325-O1325)/(Q1325-O1325))</f>
        <v/>
      </c>
      <c r="T1325" s="31">
        <f>IF(OR(N1325&lt;&gt;"OK",NOT(ISNUMBER(M1325))),"",M1325-S1325)</f>
        <v/>
      </c>
      <c r="U1325" s="49">
        <f>IF(OR(NOT(ISNUMBER(T1325)),IF(ISNUMBER(H1325),H1325,G1325)=0),"",T1325/IF(ISNUMBER(H1325),H1325,G1325))</f>
        <v/>
      </c>
      <c r="V1325" s="49">
        <f>IF(ISNUMBER(U1325),ABS(U1325),"")</f>
        <v/>
      </c>
      <c r="W1325" s="49">
        <f>IF(OR($E1324&lt;&gt;"측정",$C1324&lt;&gt;$C1325,$D1324&lt;&gt;$D1325,NOT(ISNUMBER(M1325)),NOT(ISNUMBER(M1324)),(IF(ISNUMBER(H1325),H1325,G1325)-IF(ISNUMBER(H1324),H1324,G1324))=0),"",(M1325-M1324)/(IF(ISNUMBER(H1325),H1325,G1325)-IF(ISNUMBER(H1324),H1324,G1324)))</f>
        <v/>
      </c>
      <c r="X1325" s="31">
        <f>IF(NOT(AND(ISNUMBER(O1325),ISNUMBER(Q1325))),"",(Q1325-O1325)*1440)</f>
        <v/>
      </c>
      <c r="Y1325" s="29" t="n"/>
      <c r="Z1325" s="29" t="n"/>
      <c r="AA1325" s="29" t="n"/>
      <c r="AB1325" s="32" t="n"/>
      <c r="AC1325" s="32" t="n"/>
    </row>
    <row r="1326">
      <c r="A1326" s="26" t="inlineStr">
        <is>
          <t>S26</t>
        </is>
      </c>
      <c r="B1326" s="26" t="inlineStr">
        <is>
          <t>고남 신규점2</t>
        </is>
      </c>
      <c r="C1326" s="26" t="inlineStr">
        <is>
          <t>S26-H서</t>
        </is>
      </c>
      <c r="D1326" s="47" t="n">
        <v>1</v>
      </c>
      <c r="E1326" s="26" t="inlineStr">
        <is>
          <t>측정</t>
        </is>
      </c>
      <c r="F1326" s="26" t="inlineStr">
        <is>
          <t>서</t>
        </is>
      </c>
      <c r="G1326" s="31" t="n">
        <v>6</v>
      </c>
      <c r="H1326" s="30" t="n"/>
      <c r="I1326" s="43" t="n"/>
      <c r="J1326" s="41" t="n"/>
      <c r="K1326" s="41" t="n"/>
      <c r="L1326" s="41" t="n"/>
      <c r="M1326" s="31">
        <f>IF(COUNT(J1326:L1326)=0,"",MEDIAN(J1326:L1326))</f>
        <v/>
      </c>
      <c r="N1326" s="26">
        <f>IF(COUNTIFS($C:$C,$C1326,$D:$D,$D1326,$E:$E,"P0(전)",$M:$M,"&gt;0")&lt;&gt;1,"P0(전) 유효 1개 아님",IF(COUNTIFS($C:$C,$C1326,$D:$D,$D1326,$E:$E,"P0(후)",$M:$M,"&gt;0")&lt;&gt;1,"P0(후) 유효 1개 아님",IF(NOT(AND(ISNUMBER(O1326),ISNUMBER(Q1326),ISNUMBER(I1326))),"시각 결측",IF(Q1326&lt;=O1326,"P0 시각 역전",IF(OR(I1326&lt;O1326,I1326&gt;Q1326),"측정시각 구간 밖","OK")))))</f>
        <v/>
      </c>
      <c r="O1326" s="48">
        <f>IF(COUNTIFS($C:$C,$C1326,$D:$D,$D1326,$E:$E,"P0(전)",$M:$M,"&gt;0")&lt;&gt;1,"",SUMIFS($I:$I,$C:$C,$C1326,$D:$D,$D1326,$E:$E,"P0(전)"))</f>
        <v/>
      </c>
      <c r="P1326" s="31">
        <f>IF(COUNTIFS($C:$C,$C1326,$D:$D,$D1326,$E:$E,"P0(전)",$M:$M,"&gt;0")&lt;&gt;1,"",SUMIFS($M:$M,$C:$C,$C1326,$D:$D,$D1326,$E:$E,"P0(전)"))</f>
        <v/>
      </c>
      <c r="Q1326" s="48">
        <f>IF(COUNTIFS($C:$C,$C1326,$D:$D,$D1326,$E:$E,"P0(후)",$M:$M,"&gt;0")&lt;&gt;1,"",SUMIFS($I:$I,$C:$C,$C1326,$D:$D,$D1326,$E:$E,"P0(후)"))</f>
        <v/>
      </c>
      <c r="R1326" s="31">
        <f>IF(COUNTIFS($C:$C,$C1326,$D:$D,$D1326,$E:$E,"P0(후)",$M:$M,"&gt;0")&lt;&gt;1,"",SUMIFS($M:$M,$C:$C,$C1326,$D:$D,$D1326,$E:$E,"P0(후)"))</f>
        <v/>
      </c>
      <c r="S1326" s="31">
        <f>IF(N1326&lt;&gt;"OK","",P1326+(R1326-P1326)*(I1326-O1326)/(Q1326-O1326))</f>
        <v/>
      </c>
      <c r="T1326" s="31">
        <f>IF(OR(N1326&lt;&gt;"OK",NOT(ISNUMBER(M1326))),"",M1326-S1326)</f>
        <v/>
      </c>
      <c r="U1326" s="49">
        <f>IF(OR(NOT(ISNUMBER(T1326)),IF(ISNUMBER(H1326),H1326,G1326)=0),"",T1326/IF(ISNUMBER(H1326),H1326,G1326))</f>
        <v/>
      </c>
      <c r="V1326" s="49">
        <f>IF(ISNUMBER(U1326),ABS(U1326),"")</f>
        <v/>
      </c>
      <c r="W1326" s="49">
        <f>IF(OR($E1325&lt;&gt;"측정",$C1325&lt;&gt;$C1326,$D1325&lt;&gt;$D1326,NOT(ISNUMBER(M1326)),NOT(ISNUMBER(M1325)),(IF(ISNUMBER(H1326),H1326,G1326)-IF(ISNUMBER(H1325),H1325,G1325))=0),"",(M1326-M1325)/(IF(ISNUMBER(H1326),H1326,G1326)-IF(ISNUMBER(H1325),H1325,G1325)))</f>
        <v/>
      </c>
      <c r="X1326" s="31">
        <f>IF(NOT(AND(ISNUMBER(O1326),ISNUMBER(Q1326))),"",(Q1326-O1326)*1440)</f>
        <v/>
      </c>
      <c r="Y1326" s="29" t="n"/>
      <c r="Z1326" s="29" t="n"/>
      <c r="AA1326" s="29" t="n"/>
      <c r="AB1326" s="32" t="n"/>
      <c r="AC1326" s="32" t="n"/>
    </row>
    <row r="1327">
      <c r="A1327" s="26" t="inlineStr">
        <is>
          <t>S26</t>
        </is>
      </c>
      <c r="B1327" s="26" t="inlineStr">
        <is>
          <t>고남 신규점2</t>
        </is>
      </c>
      <c r="C1327" s="26" t="inlineStr">
        <is>
          <t>S26-H서</t>
        </is>
      </c>
      <c r="D1327" s="47" t="n">
        <v>1</v>
      </c>
      <c r="E1327" s="26" t="inlineStr">
        <is>
          <t>측정</t>
        </is>
      </c>
      <c r="F1327" s="26" t="inlineStr">
        <is>
          <t>서</t>
        </is>
      </c>
      <c r="G1327" s="31" t="n">
        <v>7</v>
      </c>
      <c r="H1327" s="30" t="n"/>
      <c r="I1327" s="43" t="n"/>
      <c r="J1327" s="41" t="n"/>
      <c r="K1327" s="41" t="n"/>
      <c r="L1327" s="41" t="n"/>
      <c r="M1327" s="31">
        <f>IF(COUNT(J1327:L1327)=0,"",MEDIAN(J1327:L1327))</f>
        <v/>
      </c>
      <c r="N1327" s="26">
        <f>IF(COUNTIFS($C:$C,$C1327,$D:$D,$D1327,$E:$E,"P0(전)",$M:$M,"&gt;0")&lt;&gt;1,"P0(전) 유효 1개 아님",IF(COUNTIFS($C:$C,$C1327,$D:$D,$D1327,$E:$E,"P0(후)",$M:$M,"&gt;0")&lt;&gt;1,"P0(후) 유효 1개 아님",IF(NOT(AND(ISNUMBER(O1327),ISNUMBER(Q1327),ISNUMBER(I1327))),"시각 결측",IF(Q1327&lt;=O1327,"P0 시각 역전",IF(OR(I1327&lt;O1327,I1327&gt;Q1327),"측정시각 구간 밖","OK")))))</f>
        <v/>
      </c>
      <c r="O1327" s="48">
        <f>IF(COUNTIFS($C:$C,$C1327,$D:$D,$D1327,$E:$E,"P0(전)",$M:$M,"&gt;0")&lt;&gt;1,"",SUMIFS($I:$I,$C:$C,$C1327,$D:$D,$D1327,$E:$E,"P0(전)"))</f>
        <v/>
      </c>
      <c r="P1327" s="31">
        <f>IF(COUNTIFS($C:$C,$C1327,$D:$D,$D1327,$E:$E,"P0(전)",$M:$M,"&gt;0")&lt;&gt;1,"",SUMIFS($M:$M,$C:$C,$C1327,$D:$D,$D1327,$E:$E,"P0(전)"))</f>
        <v/>
      </c>
      <c r="Q1327" s="48">
        <f>IF(COUNTIFS($C:$C,$C1327,$D:$D,$D1327,$E:$E,"P0(후)",$M:$M,"&gt;0")&lt;&gt;1,"",SUMIFS($I:$I,$C:$C,$C1327,$D:$D,$D1327,$E:$E,"P0(후)"))</f>
        <v/>
      </c>
      <c r="R1327" s="31">
        <f>IF(COUNTIFS($C:$C,$C1327,$D:$D,$D1327,$E:$E,"P0(후)",$M:$M,"&gt;0")&lt;&gt;1,"",SUMIFS($M:$M,$C:$C,$C1327,$D:$D,$D1327,$E:$E,"P0(후)"))</f>
        <v/>
      </c>
      <c r="S1327" s="31">
        <f>IF(N1327&lt;&gt;"OK","",P1327+(R1327-P1327)*(I1327-O1327)/(Q1327-O1327))</f>
        <v/>
      </c>
      <c r="T1327" s="31">
        <f>IF(OR(N1327&lt;&gt;"OK",NOT(ISNUMBER(M1327))),"",M1327-S1327)</f>
        <v/>
      </c>
      <c r="U1327" s="49">
        <f>IF(OR(NOT(ISNUMBER(T1327)),IF(ISNUMBER(H1327),H1327,G1327)=0),"",T1327/IF(ISNUMBER(H1327),H1327,G1327))</f>
        <v/>
      </c>
      <c r="V1327" s="49">
        <f>IF(ISNUMBER(U1327),ABS(U1327),"")</f>
        <v/>
      </c>
      <c r="W1327" s="49">
        <f>IF(OR($E1326&lt;&gt;"측정",$C1326&lt;&gt;$C1327,$D1326&lt;&gt;$D1327,NOT(ISNUMBER(M1327)),NOT(ISNUMBER(M1326)),(IF(ISNUMBER(H1327),H1327,G1327)-IF(ISNUMBER(H1326),H1326,G1326))=0),"",(M1327-M1326)/(IF(ISNUMBER(H1327),H1327,G1327)-IF(ISNUMBER(H1326),H1326,G1326)))</f>
        <v/>
      </c>
      <c r="X1327" s="31">
        <f>IF(NOT(AND(ISNUMBER(O1327),ISNUMBER(Q1327))),"",(Q1327-O1327)*1440)</f>
        <v/>
      </c>
      <c r="Y1327" s="29" t="n"/>
      <c r="Z1327" s="29" t="n"/>
      <c r="AA1327" s="29" t="n"/>
      <c r="AB1327" s="32" t="n"/>
      <c r="AC1327" s="32" t="n"/>
    </row>
    <row r="1328">
      <c r="A1328" s="26" t="inlineStr">
        <is>
          <t>S26</t>
        </is>
      </c>
      <c r="B1328" s="26" t="inlineStr">
        <is>
          <t>고남 신규점2</t>
        </is>
      </c>
      <c r="C1328" s="26" t="inlineStr">
        <is>
          <t>S26-H서</t>
        </is>
      </c>
      <c r="D1328" s="47" t="n">
        <v>1</v>
      </c>
      <c r="E1328" s="26" t="inlineStr">
        <is>
          <t>측정</t>
        </is>
      </c>
      <c r="F1328" s="26" t="inlineStr">
        <is>
          <t>서</t>
        </is>
      </c>
      <c r="G1328" s="31" t="n">
        <v>8</v>
      </c>
      <c r="H1328" s="30" t="n"/>
      <c r="I1328" s="43" t="n"/>
      <c r="J1328" s="41" t="n"/>
      <c r="K1328" s="41" t="n"/>
      <c r="L1328" s="41" t="n"/>
      <c r="M1328" s="31">
        <f>IF(COUNT(J1328:L1328)=0,"",MEDIAN(J1328:L1328))</f>
        <v/>
      </c>
      <c r="N1328" s="26">
        <f>IF(COUNTIFS($C:$C,$C1328,$D:$D,$D1328,$E:$E,"P0(전)",$M:$M,"&gt;0")&lt;&gt;1,"P0(전) 유효 1개 아님",IF(COUNTIFS($C:$C,$C1328,$D:$D,$D1328,$E:$E,"P0(후)",$M:$M,"&gt;0")&lt;&gt;1,"P0(후) 유효 1개 아님",IF(NOT(AND(ISNUMBER(O1328),ISNUMBER(Q1328),ISNUMBER(I1328))),"시각 결측",IF(Q1328&lt;=O1328,"P0 시각 역전",IF(OR(I1328&lt;O1328,I1328&gt;Q1328),"측정시각 구간 밖","OK")))))</f>
        <v/>
      </c>
      <c r="O1328" s="48">
        <f>IF(COUNTIFS($C:$C,$C1328,$D:$D,$D1328,$E:$E,"P0(전)",$M:$M,"&gt;0")&lt;&gt;1,"",SUMIFS($I:$I,$C:$C,$C1328,$D:$D,$D1328,$E:$E,"P0(전)"))</f>
        <v/>
      </c>
      <c r="P1328" s="31">
        <f>IF(COUNTIFS($C:$C,$C1328,$D:$D,$D1328,$E:$E,"P0(전)",$M:$M,"&gt;0")&lt;&gt;1,"",SUMIFS($M:$M,$C:$C,$C1328,$D:$D,$D1328,$E:$E,"P0(전)"))</f>
        <v/>
      </c>
      <c r="Q1328" s="48">
        <f>IF(COUNTIFS($C:$C,$C1328,$D:$D,$D1328,$E:$E,"P0(후)",$M:$M,"&gt;0")&lt;&gt;1,"",SUMIFS($I:$I,$C:$C,$C1328,$D:$D,$D1328,$E:$E,"P0(후)"))</f>
        <v/>
      </c>
      <c r="R1328" s="31">
        <f>IF(COUNTIFS($C:$C,$C1328,$D:$D,$D1328,$E:$E,"P0(후)",$M:$M,"&gt;0")&lt;&gt;1,"",SUMIFS($M:$M,$C:$C,$C1328,$D:$D,$D1328,$E:$E,"P0(후)"))</f>
        <v/>
      </c>
      <c r="S1328" s="31">
        <f>IF(N1328&lt;&gt;"OK","",P1328+(R1328-P1328)*(I1328-O1328)/(Q1328-O1328))</f>
        <v/>
      </c>
      <c r="T1328" s="31">
        <f>IF(OR(N1328&lt;&gt;"OK",NOT(ISNUMBER(M1328))),"",M1328-S1328)</f>
        <v/>
      </c>
      <c r="U1328" s="49">
        <f>IF(OR(NOT(ISNUMBER(T1328)),IF(ISNUMBER(H1328),H1328,G1328)=0),"",T1328/IF(ISNUMBER(H1328),H1328,G1328))</f>
        <v/>
      </c>
      <c r="V1328" s="49">
        <f>IF(ISNUMBER(U1328),ABS(U1328),"")</f>
        <v/>
      </c>
      <c r="W1328" s="49">
        <f>IF(OR($E1327&lt;&gt;"측정",$C1327&lt;&gt;$C1328,$D1327&lt;&gt;$D1328,NOT(ISNUMBER(M1328)),NOT(ISNUMBER(M1327)),(IF(ISNUMBER(H1328),H1328,G1328)-IF(ISNUMBER(H1327),H1327,G1327))=0),"",(M1328-M1327)/(IF(ISNUMBER(H1328),H1328,G1328)-IF(ISNUMBER(H1327),H1327,G1327)))</f>
        <v/>
      </c>
      <c r="X1328" s="31">
        <f>IF(NOT(AND(ISNUMBER(O1328),ISNUMBER(Q1328))),"",(Q1328-O1328)*1440)</f>
        <v/>
      </c>
      <c r="Y1328" s="29" t="n"/>
      <c r="Z1328" s="29" t="n"/>
      <c r="AA1328" s="29" t="n"/>
      <c r="AB1328" s="32" t="n"/>
      <c r="AC1328" s="32" t="n"/>
    </row>
    <row r="1329">
      <c r="A1329" s="26" t="inlineStr">
        <is>
          <t>S26</t>
        </is>
      </c>
      <c r="B1329" s="26" t="inlineStr">
        <is>
          <t>고남 신규점2</t>
        </is>
      </c>
      <c r="C1329" s="26" t="inlineStr">
        <is>
          <t>S26-H서</t>
        </is>
      </c>
      <c r="D1329" s="47" t="n">
        <v>1</v>
      </c>
      <c r="E1329" s="26" t="inlineStr">
        <is>
          <t>측정</t>
        </is>
      </c>
      <c r="F1329" s="26" t="inlineStr">
        <is>
          <t>서</t>
        </is>
      </c>
      <c r="G1329" s="31" t="n">
        <v>9</v>
      </c>
      <c r="H1329" s="30" t="n"/>
      <c r="I1329" s="43" t="n"/>
      <c r="J1329" s="41" t="n"/>
      <c r="K1329" s="41" t="n"/>
      <c r="L1329" s="41" t="n"/>
      <c r="M1329" s="31">
        <f>IF(COUNT(J1329:L1329)=0,"",MEDIAN(J1329:L1329))</f>
        <v/>
      </c>
      <c r="N1329" s="26">
        <f>IF(COUNTIFS($C:$C,$C1329,$D:$D,$D1329,$E:$E,"P0(전)",$M:$M,"&gt;0")&lt;&gt;1,"P0(전) 유효 1개 아님",IF(COUNTIFS($C:$C,$C1329,$D:$D,$D1329,$E:$E,"P0(후)",$M:$M,"&gt;0")&lt;&gt;1,"P0(후) 유효 1개 아님",IF(NOT(AND(ISNUMBER(O1329),ISNUMBER(Q1329),ISNUMBER(I1329))),"시각 결측",IF(Q1329&lt;=O1329,"P0 시각 역전",IF(OR(I1329&lt;O1329,I1329&gt;Q1329),"측정시각 구간 밖","OK")))))</f>
        <v/>
      </c>
      <c r="O1329" s="48">
        <f>IF(COUNTIFS($C:$C,$C1329,$D:$D,$D1329,$E:$E,"P0(전)",$M:$M,"&gt;0")&lt;&gt;1,"",SUMIFS($I:$I,$C:$C,$C1329,$D:$D,$D1329,$E:$E,"P0(전)"))</f>
        <v/>
      </c>
      <c r="P1329" s="31">
        <f>IF(COUNTIFS($C:$C,$C1329,$D:$D,$D1329,$E:$E,"P0(전)",$M:$M,"&gt;0")&lt;&gt;1,"",SUMIFS($M:$M,$C:$C,$C1329,$D:$D,$D1329,$E:$E,"P0(전)"))</f>
        <v/>
      </c>
      <c r="Q1329" s="48">
        <f>IF(COUNTIFS($C:$C,$C1329,$D:$D,$D1329,$E:$E,"P0(후)",$M:$M,"&gt;0")&lt;&gt;1,"",SUMIFS($I:$I,$C:$C,$C1329,$D:$D,$D1329,$E:$E,"P0(후)"))</f>
        <v/>
      </c>
      <c r="R1329" s="31">
        <f>IF(COUNTIFS($C:$C,$C1329,$D:$D,$D1329,$E:$E,"P0(후)",$M:$M,"&gt;0")&lt;&gt;1,"",SUMIFS($M:$M,$C:$C,$C1329,$D:$D,$D1329,$E:$E,"P0(후)"))</f>
        <v/>
      </c>
      <c r="S1329" s="31">
        <f>IF(N1329&lt;&gt;"OK","",P1329+(R1329-P1329)*(I1329-O1329)/(Q1329-O1329))</f>
        <v/>
      </c>
      <c r="T1329" s="31">
        <f>IF(OR(N1329&lt;&gt;"OK",NOT(ISNUMBER(M1329))),"",M1329-S1329)</f>
        <v/>
      </c>
      <c r="U1329" s="49">
        <f>IF(OR(NOT(ISNUMBER(T1329)),IF(ISNUMBER(H1329),H1329,G1329)=0),"",T1329/IF(ISNUMBER(H1329),H1329,G1329))</f>
        <v/>
      </c>
      <c r="V1329" s="49">
        <f>IF(ISNUMBER(U1329),ABS(U1329),"")</f>
        <v/>
      </c>
      <c r="W1329" s="49">
        <f>IF(OR($E1328&lt;&gt;"측정",$C1328&lt;&gt;$C1329,$D1328&lt;&gt;$D1329,NOT(ISNUMBER(M1329)),NOT(ISNUMBER(M1328)),(IF(ISNUMBER(H1329),H1329,G1329)-IF(ISNUMBER(H1328),H1328,G1328))=0),"",(M1329-M1328)/(IF(ISNUMBER(H1329),H1329,G1329)-IF(ISNUMBER(H1328),H1328,G1328)))</f>
        <v/>
      </c>
      <c r="X1329" s="31">
        <f>IF(NOT(AND(ISNUMBER(O1329),ISNUMBER(Q1329))),"",(Q1329-O1329)*1440)</f>
        <v/>
      </c>
      <c r="Y1329" s="29" t="n"/>
      <c r="Z1329" s="29" t="n"/>
      <c r="AA1329" s="29" t="n"/>
      <c r="AB1329" s="32" t="n"/>
      <c r="AC1329" s="32" t="n"/>
    </row>
    <row r="1330">
      <c r="A1330" s="26" t="inlineStr">
        <is>
          <t>S26</t>
        </is>
      </c>
      <c r="B1330" s="26" t="inlineStr">
        <is>
          <t>고남 신규점2</t>
        </is>
      </c>
      <c r="C1330" s="26" t="inlineStr">
        <is>
          <t>S26-H서</t>
        </is>
      </c>
      <c r="D1330" s="47" t="n">
        <v>1</v>
      </c>
      <c r="E1330" s="26" t="inlineStr">
        <is>
          <t>측정</t>
        </is>
      </c>
      <c r="F1330" s="26" t="inlineStr">
        <is>
          <t>서</t>
        </is>
      </c>
      <c r="G1330" s="31" t="n">
        <v>10</v>
      </c>
      <c r="H1330" s="30" t="n"/>
      <c r="I1330" s="43" t="n"/>
      <c r="J1330" s="41" t="n"/>
      <c r="K1330" s="41" t="n"/>
      <c r="L1330" s="41" t="n"/>
      <c r="M1330" s="31">
        <f>IF(COUNT(J1330:L1330)=0,"",MEDIAN(J1330:L1330))</f>
        <v/>
      </c>
      <c r="N1330" s="26">
        <f>IF(COUNTIFS($C:$C,$C1330,$D:$D,$D1330,$E:$E,"P0(전)",$M:$M,"&gt;0")&lt;&gt;1,"P0(전) 유효 1개 아님",IF(COUNTIFS($C:$C,$C1330,$D:$D,$D1330,$E:$E,"P0(후)",$M:$M,"&gt;0")&lt;&gt;1,"P0(후) 유효 1개 아님",IF(NOT(AND(ISNUMBER(O1330),ISNUMBER(Q1330),ISNUMBER(I1330))),"시각 결측",IF(Q1330&lt;=O1330,"P0 시각 역전",IF(OR(I1330&lt;O1330,I1330&gt;Q1330),"측정시각 구간 밖","OK")))))</f>
        <v/>
      </c>
      <c r="O1330" s="48">
        <f>IF(COUNTIFS($C:$C,$C1330,$D:$D,$D1330,$E:$E,"P0(전)",$M:$M,"&gt;0")&lt;&gt;1,"",SUMIFS($I:$I,$C:$C,$C1330,$D:$D,$D1330,$E:$E,"P0(전)"))</f>
        <v/>
      </c>
      <c r="P1330" s="31">
        <f>IF(COUNTIFS($C:$C,$C1330,$D:$D,$D1330,$E:$E,"P0(전)",$M:$M,"&gt;0")&lt;&gt;1,"",SUMIFS($M:$M,$C:$C,$C1330,$D:$D,$D1330,$E:$E,"P0(전)"))</f>
        <v/>
      </c>
      <c r="Q1330" s="48">
        <f>IF(COUNTIFS($C:$C,$C1330,$D:$D,$D1330,$E:$E,"P0(후)",$M:$M,"&gt;0")&lt;&gt;1,"",SUMIFS($I:$I,$C:$C,$C1330,$D:$D,$D1330,$E:$E,"P0(후)"))</f>
        <v/>
      </c>
      <c r="R1330" s="31">
        <f>IF(COUNTIFS($C:$C,$C1330,$D:$D,$D1330,$E:$E,"P0(후)",$M:$M,"&gt;0")&lt;&gt;1,"",SUMIFS($M:$M,$C:$C,$C1330,$D:$D,$D1330,$E:$E,"P0(후)"))</f>
        <v/>
      </c>
      <c r="S1330" s="31">
        <f>IF(N1330&lt;&gt;"OK","",P1330+(R1330-P1330)*(I1330-O1330)/(Q1330-O1330))</f>
        <v/>
      </c>
      <c r="T1330" s="31">
        <f>IF(OR(N1330&lt;&gt;"OK",NOT(ISNUMBER(M1330))),"",M1330-S1330)</f>
        <v/>
      </c>
      <c r="U1330" s="49">
        <f>IF(OR(NOT(ISNUMBER(T1330)),IF(ISNUMBER(H1330),H1330,G1330)=0),"",T1330/IF(ISNUMBER(H1330),H1330,G1330))</f>
        <v/>
      </c>
      <c r="V1330" s="49">
        <f>IF(ISNUMBER(U1330),ABS(U1330),"")</f>
        <v/>
      </c>
      <c r="W1330" s="49">
        <f>IF(OR($E1329&lt;&gt;"측정",$C1329&lt;&gt;$C1330,$D1329&lt;&gt;$D1330,NOT(ISNUMBER(M1330)),NOT(ISNUMBER(M1329)),(IF(ISNUMBER(H1330),H1330,G1330)-IF(ISNUMBER(H1329),H1329,G1329))=0),"",(M1330-M1329)/(IF(ISNUMBER(H1330),H1330,G1330)-IF(ISNUMBER(H1329),H1329,G1329)))</f>
        <v/>
      </c>
      <c r="X1330" s="31">
        <f>IF(NOT(AND(ISNUMBER(O1330),ISNUMBER(Q1330))),"",(Q1330-O1330)*1440)</f>
        <v/>
      </c>
      <c r="Y1330" s="29" t="n"/>
      <c r="Z1330" s="29" t="n"/>
      <c r="AA1330" s="29" t="n"/>
      <c r="AB1330" s="32" t="n"/>
      <c r="AC1330" s="32" t="n"/>
    </row>
    <row r="1331">
      <c r="A1331" s="44" t="inlineStr">
        <is>
          <t>S26</t>
        </is>
      </c>
      <c r="B1331" s="44" t="inlineStr">
        <is>
          <t>고남 신규점2</t>
        </is>
      </c>
      <c r="C1331" s="44" t="inlineStr">
        <is>
          <t>S26-H서</t>
        </is>
      </c>
      <c r="D1331" s="45" t="n">
        <v>1</v>
      </c>
      <c r="E1331" s="44" t="inlineStr">
        <is>
          <t>P0(후)</t>
        </is>
      </c>
      <c r="F1331" s="44" t="inlineStr">
        <is>
          <t>서</t>
        </is>
      </c>
      <c r="G1331" s="46" t="n"/>
      <c r="H1331" s="30" t="n"/>
      <c r="I1331" s="43" t="n"/>
      <c r="J1331" s="41" t="n"/>
      <c r="K1331" s="41" t="n"/>
      <c r="L1331" s="41" t="n"/>
      <c r="M1331" s="31">
        <f>IF(COUNT(J1331:L1331)=0,"",MEDIAN(J1331:L1331))</f>
        <v/>
      </c>
      <c r="N1331" s="38" t="n"/>
      <c r="O1331" s="38" t="n"/>
      <c r="P1331" s="38" t="n"/>
      <c r="Q1331" s="38" t="n"/>
      <c r="R1331" s="38" t="n"/>
      <c r="S1331" s="38" t="n"/>
      <c r="T1331" s="38" t="n"/>
      <c r="U1331" s="38" t="n"/>
      <c r="V1331" s="38" t="n"/>
      <c r="W1331" s="38" t="n"/>
      <c r="X1331" s="38" t="n"/>
      <c r="Y1331" s="29" t="n"/>
      <c r="Z1331" s="29" t="n"/>
      <c r="AA1331" s="29" t="n"/>
      <c r="AB1331" s="32" t="n"/>
      <c r="AC1331" s="32" t="n"/>
    </row>
    <row r="1332">
      <c r="A1332" s="44" t="inlineStr">
        <is>
          <t>S26</t>
        </is>
      </c>
      <c r="B1332" s="44" t="inlineStr">
        <is>
          <t>고남 신규점2</t>
        </is>
      </c>
      <c r="C1332" s="44" t="inlineStr">
        <is>
          <t>S26-H남</t>
        </is>
      </c>
      <c r="D1332" s="45" t="n">
        <v>1</v>
      </c>
      <c r="E1332" s="44" t="inlineStr">
        <is>
          <t>P0(전)</t>
        </is>
      </c>
      <c r="F1332" s="44" t="inlineStr">
        <is>
          <t>남</t>
        </is>
      </c>
      <c r="G1332" s="46" t="n"/>
      <c r="H1332" s="30" t="n"/>
      <c r="I1332" s="43" t="n"/>
      <c r="J1332" s="41" t="n"/>
      <c r="K1332" s="41" t="n"/>
      <c r="L1332" s="41" t="n"/>
      <c r="M1332" s="31">
        <f>IF(COUNT(J1332:L1332)=0,"",MEDIAN(J1332:L1332))</f>
        <v/>
      </c>
      <c r="N1332" s="38" t="n"/>
      <c r="O1332" s="38" t="n"/>
      <c r="P1332" s="38" t="n"/>
      <c r="Q1332" s="38" t="n"/>
      <c r="R1332" s="38" t="n"/>
      <c r="S1332" s="38" t="n"/>
      <c r="T1332" s="38" t="n"/>
      <c r="U1332" s="38" t="n"/>
      <c r="V1332" s="38" t="n"/>
      <c r="W1332" s="38" t="n"/>
      <c r="X1332" s="38" t="n"/>
      <c r="Y1332" s="29" t="n"/>
      <c r="Z1332" s="29" t="n"/>
      <c r="AA1332" s="29" t="n"/>
      <c r="AB1332" s="32" t="n"/>
      <c r="AC1332" s="32" t="n"/>
    </row>
    <row r="1333">
      <c r="A1333" s="26" t="inlineStr">
        <is>
          <t>S26</t>
        </is>
      </c>
      <c r="B1333" s="26" t="inlineStr">
        <is>
          <t>고남 신규점2</t>
        </is>
      </c>
      <c r="C1333" s="26" t="inlineStr">
        <is>
          <t>S26-H남</t>
        </is>
      </c>
      <c r="D1333" s="47" t="n">
        <v>1</v>
      </c>
      <c r="E1333" s="26" t="inlineStr">
        <is>
          <t>측정</t>
        </is>
      </c>
      <c r="F1333" s="26" t="inlineStr">
        <is>
          <t>남</t>
        </is>
      </c>
      <c r="G1333" s="31" t="n">
        <v>0.5</v>
      </c>
      <c r="H1333" s="30" t="n"/>
      <c r="I1333" s="43" t="n"/>
      <c r="J1333" s="41" t="n"/>
      <c r="K1333" s="41" t="n"/>
      <c r="L1333" s="41" t="n"/>
      <c r="M1333" s="31">
        <f>IF(COUNT(J1333:L1333)=0,"",MEDIAN(J1333:L1333))</f>
        <v/>
      </c>
      <c r="N1333" s="26">
        <f>IF(COUNTIFS($C:$C,$C1333,$D:$D,$D1333,$E:$E,"P0(전)",$M:$M,"&gt;0")&lt;&gt;1,"P0(전) 유효 1개 아님",IF(COUNTIFS($C:$C,$C1333,$D:$D,$D1333,$E:$E,"P0(후)",$M:$M,"&gt;0")&lt;&gt;1,"P0(후) 유효 1개 아님",IF(NOT(AND(ISNUMBER(O1333),ISNUMBER(Q1333),ISNUMBER(I1333))),"시각 결측",IF(Q1333&lt;=O1333,"P0 시각 역전",IF(OR(I1333&lt;O1333,I1333&gt;Q1333),"측정시각 구간 밖","OK")))))</f>
        <v/>
      </c>
      <c r="O1333" s="48">
        <f>IF(COUNTIFS($C:$C,$C1333,$D:$D,$D1333,$E:$E,"P0(전)",$M:$M,"&gt;0")&lt;&gt;1,"",SUMIFS($I:$I,$C:$C,$C1333,$D:$D,$D1333,$E:$E,"P0(전)"))</f>
        <v/>
      </c>
      <c r="P1333" s="31">
        <f>IF(COUNTIFS($C:$C,$C1333,$D:$D,$D1333,$E:$E,"P0(전)",$M:$M,"&gt;0")&lt;&gt;1,"",SUMIFS($M:$M,$C:$C,$C1333,$D:$D,$D1333,$E:$E,"P0(전)"))</f>
        <v/>
      </c>
      <c r="Q1333" s="48">
        <f>IF(COUNTIFS($C:$C,$C1333,$D:$D,$D1333,$E:$E,"P0(후)",$M:$M,"&gt;0")&lt;&gt;1,"",SUMIFS($I:$I,$C:$C,$C1333,$D:$D,$D1333,$E:$E,"P0(후)"))</f>
        <v/>
      </c>
      <c r="R1333" s="31">
        <f>IF(COUNTIFS($C:$C,$C1333,$D:$D,$D1333,$E:$E,"P0(후)",$M:$M,"&gt;0")&lt;&gt;1,"",SUMIFS($M:$M,$C:$C,$C1333,$D:$D,$D1333,$E:$E,"P0(후)"))</f>
        <v/>
      </c>
      <c r="S1333" s="31">
        <f>IF(N1333&lt;&gt;"OK","",P1333+(R1333-P1333)*(I1333-O1333)/(Q1333-O1333))</f>
        <v/>
      </c>
      <c r="T1333" s="31">
        <f>IF(OR(N1333&lt;&gt;"OK",NOT(ISNUMBER(M1333))),"",M1333-S1333)</f>
        <v/>
      </c>
      <c r="U1333" s="49">
        <f>IF(OR(NOT(ISNUMBER(T1333)),IF(ISNUMBER(H1333),H1333,G1333)=0),"",T1333/IF(ISNUMBER(H1333),H1333,G1333))</f>
        <v/>
      </c>
      <c r="V1333" s="49">
        <f>IF(ISNUMBER(U1333),ABS(U1333),"")</f>
        <v/>
      </c>
      <c r="W1333" s="49">
        <f>IF(OR($E1332&lt;&gt;"측정",$C1332&lt;&gt;$C1333,$D1332&lt;&gt;$D1333,NOT(ISNUMBER(M1333)),NOT(ISNUMBER(M1332)),(IF(ISNUMBER(H1333),H1333,G1333)-IF(ISNUMBER(H1332),H1332,G1332))=0),"",(M1333-M1332)/(IF(ISNUMBER(H1333),H1333,G1333)-IF(ISNUMBER(H1332),H1332,G1332)))</f>
        <v/>
      </c>
      <c r="X1333" s="31">
        <f>IF(NOT(AND(ISNUMBER(O1333),ISNUMBER(Q1333))),"",(Q1333-O1333)*1440)</f>
        <v/>
      </c>
      <c r="Y1333" s="29" t="n"/>
      <c r="Z1333" s="29" t="n"/>
      <c r="AA1333" s="29" t="n"/>
      <c r="AB1333" s="32" t="n"/>
      <c r="AC1333" s="32" t="n"/>
    </row>
    <row r="1334">
      <c r="A1334" s="26" t="inlineStr">
        <is>
          <t>S26</t>
        </is>
      </c>
      <c r="B1334" s="26" t="inlineStr">
        <is>
          <t>고남 신규점2</t>
        </is>
      </c>
      <c r="C1334" s="26" t="inlineStr">
        <is>
          <t>S26-H남</t>
        </is>
      </c>
      <c r="D1334" s="47" t="n">
        <v>1</v>
      </c>
      <c r="E1334" s="26" t="inlineStr">
        <is>
          <t>측정</t>
        </is>
      </c>
      <c r="F1334" s="26" t="inlineStr">
        <is>
          <t>남</t>
        </is>
      </c>
      <c r="G1334" s="31" t="n">
        <v>1</v>
      </c>
      <c r="H1334" s="30" t="n"/>
      <c r="I1334" s="43" t="n"/>
      <c r="J1334" s="41" t="n"/>
      <c r="K1334" s="41" t="n"/>
      <c r="L1334" s="41" t="n"/>
      <c r="M1334" s="31">
        <f>IF(COUNT(J1334:L1334)=0,"",MEDIAN(J1334:L1334))</f>
        <v/>
      </c>
      <c r="N1334" s="26">
        <f>IF(COUNTIFS($C:$C,$C1334,$D:$D,$D1334,$E:$E,"P0(전)",$M:$M,"&gt;0")&lt;&gt;1,"P0(전) 유효 1개 아님",IF(COUNTIFS($C:$C,$C1334,$D:$D,$D1334,$E:$E,"P0(후)",$M:$M,"&gt;0")&lt;&gt;1,"P0(후) 유효 1개 아님",IF(NOT(AND(ISNUMBER(O1334),ISNUMBER(Q1334),ISNUMBER(I1334))),"시각 결측",IF(Q1334&lt;=O1334,"P0 시각 역전",IF(OR(I1334&lt;O1334,I1334&gt;Q1334),"측정시각 구간 밖","OK")))))</f>
        <v/>
      </c>
      <c r="O1334" s="48">
        <f>IF(COUNTIFS($C:$C,$C1334,$D:$D,$D1334,$E:$E,"P0(전)",$M:$M,"&gt;0")&lt;&gt;1,"",SUMIFS($I:$I,$C:$C,$C1334,$D:$D,$D1334,$E:$E,"P0(전)"))</f>
        <v/>
      </c>
      <c r="P1334" s="31">
        <f>IF(COUNTIFS($C:$C,$C1334,$D:$D,$D1334,$E:$E,"P0(전)",$M:$M,"&gt;0")&lt;&gt;1,"",SUMIFS($M:$M,$C:$C,$C1334,$D:$D,$D1334,$E:$E,"P0(전)"))</f>
        <v/>
      </c>
      <c r="Q1334" s="48">
        <f>IF(COUNTIFS($C:$C,$C1334,$D:$D,$D1334,$E:$E,"P0(후)",$M:$M,"&gt;0")&lt;&gt;1,"",SUMIFS($I:$I,$C:$C,$C1334,$D:$D,$D1334,$E:$E,"P0(후)"))</f>
        <v/>
      </c>
      <c r="R1334" s="31">
        <f>IF(COUNTIFS($C:$C,$C1334,$D:$D,$D1334,$E:$E,"P0(후)",$M:$M,"&gt;0")&lt;&gt;1,"",SUMIFS($M:$M,$C:$C,$C1334,$D:$D,$D1334,$E:$E,"P0(후)"))</f>
        <v/>
      </c>
      <c r="S1334" s="31">
        <f>IF(N1334&lt;&gt;"OK","",P1334+(R1334-P1334)*(I1334-O1334)/(Q1334-O1334))</f>
        <v/>
      </c>
      <c r="T1334" s="31">
        <f>IF(OR(N1334&lt;&gt;"OK",NOT(ISNUMBER(M1334))),"",M1334-S1334)</f>
        <v/>
      </c>
      <c r="U1334" s="49">
        <f>IF(OR(NOT(ISNUMBER(T1334)),IF(ISNUMBER(H1334),H1334,G1334)=0),"",T1334/IF(ISNUMBER(H1334),H1334,G1334))</f>
        <v/>
      </c>
      <c r="V1334" s="49">
        <f>IF(ISNUMBER(U1334),ABS(U1334),"")</f>
        <v/>
      </c>
      <c r="W1334" s="49">
        <f>IF(OR($E1333&lt;&gt;"측정",$C1333&lt;&gt;$C1334,$D1333&lt;&gt;$D1334,NOT(ISNUMBER(M1334)),NOT(ISNUMBER(M1333)),(IF(ISNUMBER(H1334),H1334,G1334)-IF(ISNUMBER(H1333),H1333,G1333))=0),"",(M1334-M1333)/(IF(ISNUMBER(H1334),H1334,G1334)-IF(ISNUMBER(H1333),H1333,G1333)))</f>
        <v/>
      </c>
      <c r="X1334" s="31">
        <f>IF(NOT(AND(ISNUMBER(O1334),ISNUMBER(Q1334))),"",(Q1334-O1334)*1440)</f>
        <v/>
      </c>
      <c r="Y1334" s="29" t="n"/>
      <c r="Z1334" s="29" t="n"/>
      <c r="AA1334" s="29" t="n"/>
      <c r="AB1334" s="32" t="n"/>
      <c r="AC1334" s="32" t="n"/>
    </row>
    <row r="1335">
      <c r="A1335" s="26" t="inlineStr">
        <is>
          <t>S26</t>
        </is>
      </c>
      <c r="B1335" s="26" t="inlineStr">
        <is>
          <t>고남 신규점2</t>
        </is>
      </c>
      <c r="C1335" s="26" t="inlineStr">
        <is>
          <t>S26-H남</t>
        </is>
      </c>
      <c r="D1335" s="47" t="n">
        <v>1</v>
      </c>
      <c r="E1335" s="26" t="inlineStr">
        <is>
          <t>측정</t>
        </is>
      </c>
      <c r="F1335" s="26" t="inlineStr">
        <is>
          <t>남</t>
        </is>
      </c>
      <c r="G1335" s="31" t="n">
        <v>2</v>
      </c>
      <c r="H1335" s="30" t="n"/>
      <c r="I1335" s="43" t="n"/>
      <c r="J1335" s="41" t="n"/>
      <c r="K1335" s="41" t="n"/>
      <c r="L1335" s="41" t="n"/>
      <c r="M1335" s="31">
        <f>IF(COUNT(J1335:L1335)=0,"",MEDIAN(J1335:L1335))</f>
        <v/>
      </c>
      <c r="N1335" s="26">
        <f>IF(COUNTIFS($C:$C,$C1335,$D:$D,$D1335,$E:$E,"P0(전)",$M:$M,"&gt;0")&lt;&gt;1,"P0(전) 유효 1개 아님",IF(COUNTIFS($C:$C,$C1335,$D:$D,$D1335,$E:$E,"P0(후)",$M:$M,"&gt;0")&lt;&gt;1,"P0(후) 유효 1개 아님",IF(NOT(AND(ISNUMBER(O1335),ISNUMBER(Q1335),ISNUMBER(I1335))),"시각 결측",IF(Q1335&lt;=O1335,"P0 시각 역전",IF(OR(I1335&lt;O1335,I1335&gt;Q1335),"측정시각 구간 밖","OK")))))</f>
        <v/>
      </c>
      <c r="O1335" s="48">
        <f>IF(COUNTIFS($C:$C,$C1335,$D:$D,$D1335,$E:$E,"P0(전)",$M:$M,"&gt;0")&lt;&gt;1,"",SUMIFS($I:$I,$C:$C,$C1335,$D:$D,$D1335,$E:$E,"P0(전)"))</f>
        <v/>
      </c>
      <c r="P1335" s="31">
        <f>IF(COUNTIFS($C:$C,$C1335,$D:$D,$D1335,$E:$E,"P0(전)",$M:$M,"&gt;0")&lt;&gt;1,"",SUMIFS($M:$M,$C:$C,$C1335,$D:$D,$D1335,$E:$E,"P0(전)"))</f>
        <v/>
      </c>
      <c r="Q1335" s="48">
        <f>IF(COUNTIFS($C:$C,$C1335,$D:$D,$D1335,$E:$E,"P0(후)",$M:$M,"&gt;0")&lt;&gt;1,"",SUMIFS($I:$I,$C:$C,$C1335,$D:$D,$D1335,$E:$E,"P0(후)"))</f>
        <v/>
      </c>
      <c r="R1335" s="31">
        <f>IF(COUNTIFS($C:$C,$C1335,$D:$D,$D1335,$E:$E,"P0(후)",$M:$M,"&gt;0")&lt;&gt;1,"",SUMIFS($M:$M,$C:$C,$C1335,$D:$D,$D1335,$E:$E,"P0(후)"))</f>
        <v/>
      </c>
      <c r="S1335" s="31">
        <f>IF(N1335&lt;&gt;"OK","",P1335+(R1335-P1335)*(I1335-O1335)/(Q1335-O1335))</f>
        <v/>
      </c>
      <c r="T1335" s="31">
        <f>IF(OR(N1335&lt;&gt;"OK",NOT(ISNUMBER(M1335))),"",M1335-S1335)</f>
        <v/>
      </c>
      <c r="U1335" s="49">
        <f>IF(OR(NOT(ISNUMBER(T1335)),IF(ISNUMBER(H1335),H1335,G1335)=0),"",T1335/IF(ISNUMBER(H1335),H1335,G1335))</f>
        <v/>
      </c>
      <c r="V1335" s="49">
        <f>IF(ISNUMBER(U1335),ABS(U1335),"")</f>
        <v/>
      </c>
      <c r="W1335" s="49">
        <f>IF(OR($E1334&lt;&gt;"측정",$C1334&lt;&gt;$C1335,$D1334&lt;&gt;$D1335,NOT(ISNUMBER(M1335)),NOT(ISNUMBER(M1334)),(IF(ISNUMBER(H1335),H1335,G1335)-IF(ISNUMBER(H1334),H1334,G1334))=0),"",(M1335-M1334)/(IF(ISNUMBER(H1335),H1335,G1335)-IF(ISNUMBER(H1334),H1334,G1334)))</f>
        <v/>
      </c>
      <c r="X1335" s="31">
        <f>IF(NOT(AND(ISNUMBER(O1335),ISNUMBER(Q1335))),"",(Q1335-O1335)*1440)</f>
        <v/>
      </c>
      <c r="Y1335" s="29" t="n"/>
      <c r="Z1335" s="29" t="n"/>
      <c r="AA1335" s="29" t="n"/>
      <c r="AB1335" s="32" t="n"/>
      <c r="AC1335" s="32" t="n"/>
    </row>
    <row r="1336">
      <c r="A1336" s="26" t="inlineStr">
        <is>
          <t>S26</t>
        </is>
      </c>
      <c r="B1336" s="26" t="inlineStr">
        <is>
          <t>고남 신규점2</t>
        </is>
      </c>
      <c r="C1336" s="26" t="inlineStr">
        <is>
          <t>S26-H남</t>
        </is>
      </c>
      <c r="D1336" s="47" t="n">
        <v>1</v>
      </c>
      <c r="E1336" s="26" t="inlineStr">
        <is>
          <t>측정</t>
        </is>
      </c>
      <c r="F1336" s="26" t="inlineStr">
        <is>
          <t>남</t>
        </is>
      </c>
      <c r="G1336" s="31" t="n">
        <v>3</v>
      </c>
      <c r="H1336" s="30" t="n"/>
      <c r="I1336" s="43" t="n"/>
      <c r="J1336" s="41" t="n"/>
      <c r="K1336" s="41" t="n"/>
      <c r="L1336" s="41" t="n"/>
      <c r="M1336" s="31">
        <f>IF(COUNT(J1336:L1336)=0,"",MEDIAN(J1336:L1336))</f>
        <v/>
      </c>
      <c r="N1336" s="26">
        <f>IF(COUNTIFS($C:$C,$C1336,$D:$D,$D1336,$E:$E,"P0(전)",$M:$M,"&gt;0")&lt;&gt;1,"P0(전) 유효 1개 아님",IF(COUNTIFS($C:$C,$C1336,$D:$D,$D1336,$E:$E,"P0(후)",$M:$M,"&gt;0")&lt;&gt;1,"P0(후) 유효 1개 아님",IF(NOT(AND(ISNUMBER(O1336),ISNUMBER(Q1336),ISNUMBER(I1336))),"시각 결측",IF(Q1336&lt;=O1336,"P0 시각 역전",IF(OR(I1336&lt;O1336,I1336&gt;Q1336),"측정시각 구간 밖","OK")))))</f>
        <v/>
      </c>
      <c r="O1336" s="48">
        <f>IF(COUNTIFS($C:$C,$C1336,$D:$D,$D1336,$E:$E,"P0(전)",$M:$M,"&gt;0")&lt;&gt;1,"",SUMIFS($I:$I,$C:$C,$C1336,$D:$D,$D1336,$E:$E,"P0(전)"))</f>
        <v/>
      </c>
      <c r="P1336" s="31">
        <f>IF(COUNTIFS($C:$C,$C1336,$D:$D,$D1336,$E:$E,"P0(전)",$M:$M,"&gt;0")&lt;&gt;1,"",SUMIFS($M:$M,$C:$C,$C1336,$D:$D,$D1336,$E:$E,"P0(전)"))</f>
        <v/>
      </c>
      <c r="Q1336" s="48">
        <f>IF(COUNTIFS($C:$C,$C1336,$D:$D,$D1336,$E:$E,"P0(후)",$M:$M,"&gt;0")&lt;&gt;1,"",SUMIFS($I:$I,$C:$C,$C1336,$D:$D,$D1336,$E:$E,"P0(후)"))</f>
        <v/>
      </c>
      <c r="R1336" s="31">
        <f>IF(COUNTIFS($C:$C,$C1336,$D:$D,$D1336,$E:$E,"P0(후)",$M:$M,"&gt;0")&lt;&gt;1,"",SUMIFS($M:$M,$C:$C,$C1336,$D:$D,$D1336,$E:$E,"P0(후)"))</f>
        <v/>
      </c>
      <c r="S1336" s="31">
        <f>IF(N1336&lt;&gt;"OK","",P1336+(R1336-P1336)*(I1336-O1336)/(Q1336-O1336))</f>
        <v/>
      </c>
      <c r="T1336" s="31">
        <f>IF(OR(N1336&lt;&gt;"OK",NOT(ISNUMBER(M1336))),"",M1336-S1336)</f>
        <v/>
      </c>
      <c r="U1336" s="49">
        <f>IF(OR(NOT(ISNUMBER(T1336)),IF(ISNUMBER(H1336),H1336,G1336)=0),"",T1336/IF(ISNUMBER(H1336),H1336,G1336))</f>
        <v/>
      </c>
      <c r="V1336" s="49">
        <f>IF(ISNUMBER(U1336),ABS(U1336),"")</f>
        <v/>
      </c>
      <c r="W1336" s="49">
        <f>IF(OR($E1335&lt;&gt;"측정",$C1335&lt;&gt;$C1336,$D1335&lt;&gt;$D1336,NOT(ISNUMBER(M1336)),NOT(ISNUMBER(M1335)),(IF(ISNUMBER(H1336),H1336,G1336)-IF(ISNUMBER(H1335),H1335,G1335))=0),"",(M1336-M1335)/(IF(ISNUMBER(H1336),H1336,G1336)-IF(ISNUMBER(H1335),H1335,G1335)))</f>
        <v/>
      </c>
      <c r="X1336" s="31">
        <f>IF(NOT(AND(ISNUMBER(O1336),ISNUMBER(Q1336))),"",(Q1336-O1336)*1440)</f>
        <v/>
      </c>
      <c r="Y1336" s="29" t="n"/>
      <c r="Z1336" s="29" t="n"/>
      <c r="AA1336" s="29" t="n"/>
      <c r="AB1336" s="32" t="n"/>
      <c r="AC1336" s="32" t="n"/>
    </row>
    <row r="1337">
      <c r="A1337" s="26" t="inlineStr">
        <is>
          <t>S26</t>
        </is>
      </c>
      <c r="B1337" s="26" t="inlineStr">
        <is>
          <t>고남 신규점2</t>
        </is>
      </c>
      <c r="C1337" s="26" t="inlineStr">
        <is>
          <t>S26-H남</t>
        </is>
      </c>
      <c r="D1337" s="47" t="n">
        <v>1</v>
      </c>
      <c r="E1337" s="26" t="inlineStr">
        <is>
          <t>측정</t>
        </is>
      </c>
      <c r="F1337" s="26" t="inlineStr">
        <is>
          <t>남</t>
        </is>
      </c>
      <c r="G1337" s="31" t="n">
        <v>4</v>
      </c>
      <c r="H1337" s="30" t="n"/>
      <c r="I1337" s="43" t="n"/>
      <c r="J1337" s="41" t="n"/>
      <c r="K1337" s="41" t="n"/>
      <c r="L1337" s="41" t="n"/>
      <c r="M1337" s="31">
        <f>IF(COUNT(J1337:L1337)=0,"",MEDIAN(J1337:L1337))</f>
        <v/>
      </c>
      <c r="N1337" s="26">
        <f>IF(COUNTIFS($C:$C,$C1337,$D:$D,$D1337,$E:$E,"P0(전)",$M:$M,"&gt;0")&lt;&gt;1,"P0(전) 유효 1개 아님",IF(COUNTIFS($C:$C,$C1337,$D:$D,$D1337,$E:$E,"P0(후)",$M:$M,"&gt;0")&lt;&gt;1,"P0(후) 유효 1개 아님",IF(NOT(AND(ISNUMBER(O1337),ISNUMBER(Q1337),ISNUMBER(I1337))),"시각 결측",IF(Q1337&lt;=O1337,"P0 시각 역전",IF(OR(I1337&lt;O1337,I1337&gt;Q1337),"측정시각 구간 밖","OK")))))</f>
        <v/>
      </c>
      <c r="O1337" s="48">
        <f>IF(COUNTIFS($C:$C,$C1337,$D:$D,$D1337,$E:$E,"P0(전)",$M:$M,"&gt;0")&lt;&gt;1,"",SUMIFS($I:$I,$C:$C,$C1337,$D:$D,$D1337,$E:$E,"P0(전)"))</f>
        <v/>
      </c>
      <c r="P1337" s="31">
        <f>IF(COUNTIFS($C:$C,$C1337,$D:$D,$D1337,$E:$E,"P0(전)",$M:$M,"&gt;0")&lt;&gt;1,"",SUMIFS($M:$M,$C:$C,$C1337,$D:$D,$D1337,$E:$E,"P0(전)"))</f>
        <v/>
      </c>
      <c r="Q1337" s="48">
        <f>IF(COUNTIFS($C:$C,$C1337,$D:$D,$D1337,$E:$E,"P0(후)",$M:$M,"&gt;0")&lt;&gt;1,"",SUMIFS($I:$I,$C:$C,$C1337,$D:$D,$D1337,$E:$E,"P0(후)"))</f>
        <v/>
      </c>
      <c r="R1337" s="31">
        <f>IF(COUNTIFS($C:$C,$C1337,$D:$D,$D1337,$E:$E,"P0(후)",$M:$M,"&gt;0")&lt;&gt;1,"",SUMIFS($M:$M,$C:$C,$C1337,$D:$D,$D1337,$E:$E,"P0(후)"))</f>
        <v/>
      </c>
      <c r="S1337" s="31">
        <f>IF(N1337&lt;&gt;"OK","",P1337+(R1337-P1337)*(I1337-O1337)/(Q1337-O1337))</f>
        <v/>
      </c>
      <c r="T1337" s="31">
        <f>IF(OR(N1337&lt;&gt;"OK",NOT(ISNUMBER(M1337))),"",M1337-S1337)</f>
        <v/>
      </c>
      <c r="U1337" s="49">
        <f>IF(OR(NOT(ISNUMBER(T1337)),IF(ISNUMBER(H1337),H1337,G1337)=0),"",T1337/IF(ISNUMBER(H1337),H1337,G1337))</f>
        <v/>
      </c>
      <c r="V1337" s="49">
        <f>IF(ISNUMBER(U1337),ABS(U1337),"")</f>
        <v/>
      </c>
      <c r="W1337" s="49">
        <f>IF(OR($E1336&lt;&gt;"측정",$C1336&lt;&gt;$C1337,$D1336&lt;&gt;$D1337,NOT(ISNUMBER(M1337)),NOT(ISNUMBER(M1336)),(IF(ISNUMBER(H1337),H1337,G1337)-IF(ISNUMBER(H1336),H1336,G1336))=0),"",(M1337-M1336)/(IF(ISNUMBER(H1337),H1337,G1337)-IF(ISNUMBER(H1336),H1336,G1336)))</f>
        <v/>
      </c>
      <c r="X1337" s="31">
        <f>IF(NOT(AND(ISNUMBER(O1337),ISNUMBER(Q1337))),"",(Q1337-O1337)*1440)</f>
        <v/>
      </c>
      <c r="Y1337" s="29" t="n"/>
      <c r="Z1337" s="29" t="n"/>
      <c r="AA1337" s="29" t="n"/>
      <c r="AB1337" s="32" t="n"/>
      <c r="AC1337" s="32" t="n"/>
    </row>
    <row r="1338">
      <c r="A1338" s="26" t="inlineStr">
        <is>
          <t>S26</t>
        </is>
      </c>
      <c r="B1338" s="26" t="inlineStr">
        <is>
          <t>고남 신규점2</t>
        </is>
      </c>
      <c r="C1338" s="26" t="inlineStr">
        <is>
          <t>S26-H남</t>
        </is>
      </c>
      <c r="D1338" s="47" t="n">
        <v>1</v>
      </c>
      <c r="E1338" s="26" t="inlineStr">
        <is>
          <t>측정</t>
        </is>
      </c>
      <c r="F1338" s="26" t="inlineStr">
        <is>
          <t>남</t>
        </is>
      </c>
      <c r="G1338" s="31" t="n">
        <v>5</v>
      </c>
      <c r="H1338" s="30" t="n"/>
      <c r="I1338" s="43" t="n"/>
      <c r="J1338" s="41" t="n"/>
      <c r="K1338" s="41" t="n"/>
      <c r="L1338" s="41" t="n"/>
      <c r="M1338" s="31">
        <f>IF(COUNT(J1338:L1338)=0,"",MEDIAN(J1338:L1338))</f>
        <v/>
      </c>
      <c r="N1338" s="26">
        <f>IF(COUNTIFS($C:$C,$C1338,$D:$D,$D1338,$E:$E,"P0(전)",$M:$M,"&gt;0")&lt;&gt;1,"P0(전) 유효 1개 아님",IF(COUNTIFS($C:$C,$C1338,$D:$D,$D1338,$E:$E,"P0(후)",$M:$M,"&gt;0")&lt;&gt;1,"P0(후) 유효 1개 아님",IF(NOT(AND(ISNUMBER(O1338),ISNUMBER(Q1338),ISNUMBER(I1338))),"시각 결측",IF(Q1338&lt;=O1338,"P0 시각 역전",IF(OR(I1338&lt;O1338,I1338&gt;Q1338),"측정시각 구간 밖","OK")))))</f>
        <v/>
      </c>
      <c r="O1338" s="48">
        <f>IF(COUNTIFS($C:$C,$C1338,$D:$D,$D1338,$E:$E,"P0(전)",$M:$M,"&gt;0")&lt;&gt;1,"",SUMIFS($I:$I,$C:$C,$C1338,$D:$D,$D1338,$E:$E,"P0(전)"))</f>
        <v/>
      </c>
      <c r="P1338" s="31">
        <f>IF(COUNTIFS($C:$C,$C1338,$D:$D,$D1338,$E:$E,"P0(전)",$M:$M,"&gt;0")&lt;&gt;1,"",SUMIFS($M:$M,$C:$C,$C1338,$D:$D,$D1338,$E:$E,"P0(전)"))</f>
        <v/>
      </c>
      <c r="Q1338" s="48">
        <f>IF(COUNTIFS($C:$C,$C1338,$D:$D,$D1338,$E:$E,"P0(후)",$M:$M,"&gt;0")&lt;&gt;1,"",SUMIFS($I:$I,$C:$C,$C1338,$D:$D,$D1338,$E:$E,"P0(후)"))</f>
        <v/>
      </c>
      <c r="R1338" s="31">
        <f>IF(COUNTIFS($C:$C,$C1338,$D:$D,$D1338,$E:$E,"P0(후)",$M:$M,"&gt;0")&lt;&gt;1,"",SUMIFS($M:$M,$C:$C,$C1338,$D:$D,$D1338,$E:$E,"P0(후)"))</f>
        <v/>
      </c>
      <c r="S1338" s="31">
        <f>IF(N1338&lt;&gt;"OK","",P1338+(R1338-P1338)*(I1338-O1338)/(Q1338-O1338))</f>
        <v/>
      </c>
      <c r="T1338" s="31">
        <f>IF(OR(N1338&lt;&gt;"OK",NOT(ISNUMBER(M1338))),"",M1338-S1338)</f>
        <v/>
      </c>
      <c r="U1338" s="49">
        <f>IF(OR(NOT(ISNUMBER(T1338)),IF(ISNUMBER(H1338),H1338,G1338)=0),"",T1338/IF(ISNUMBER(H1338),H1338,G1338))</f>
        <v/>
      </c>
      <c r="V1338" s="49">
        <f>IF(ISNUMBER(U1338),ABS(U1338),"")</f>
        <v/>
      </c>
      <c r="W1338" s="49">
        <f>IF(OR($E1337&lt;&gt;"측정",$C1337&lt;&gt;$C1338,$D1337&lt;&gt;$D1338,NOT(ISNUMBER(M1338)),NOT(ISNUMBER(M1337)),(IF(ISNUMBER(H1338),H1338,G1338)-IF(ISNUMBER(H1337),H1337,G1337))=0),"",(M1338-M1337)/(IF(ISNUMBER(H1338),H1338,G1338)-IF(ISNUMBER(H1337),H1337,G1337)))</f>
        <v/>
      </c>
      <c r="X1338" s="31">
        <f>IF(NOT(AND(ISNUMBER(O1338),ISNUMBER(Q1338))),"",(Q1338-O1338)*1440)</f>
        <v/>
      </c>
      <c r="Y1338" s="29" t="n"/>
      <c r="Z1338" s="29" t="n"/>
      <c r="AA1338" s="29" t="n"/>
      <c r="AB1338" s="32" t="n"/>
      <c r="AC1338" s="32" t="n"/>
    </row>
    <row r="1339">
      <c r="A1339" s="26" t="inlineStr">
        <is>
          <t>S26</t>
        </is>
      </c>
      <c r="B1339" s="26" t="inlineStr">
        <is>
          <t>고남 신규점2</t>
        </is>
      </c>
      <c r="C1339" s="26" t="inlineStr">
        <is>
          <t>S26-H남</t>
        </is>
      </c>
      <c r="D1339" s="47" t="n">
        <v>1</v>
      </c>
      <c r="E1339" s="26" t="inlineStr">
        <is>
          <t>측정</t>
        </is>
      </c>
      <c r="F1339" s="26" t="inlineStr">
        <is>
          <t>남</t>
        </is>
      </c>
      <c r="G1339" s="31" t="n">
        <v>6</v>
      </c>
      <c r="H1339" s="30" t="n"/>
      <c r="I1339" s="43" t="n"/>
      <c r="J1339" s="41" t="n"/>
      <c r="K1339" s="41" t="n"/>
      <c r="L1339" s="41" t="n"/>
      <c r="M1339" s="31">
        <f>IF(COUNT(J1339:L1339)=0,"",MEDIAN(J1339:L1339))</f>
        <v/>
      </c>
      <c r="N1339" s="26">
        <f>IF(COUNTIFS($C:$C,$C1339,$D:$D,$D1339,$E:$E,"P0(전)",$M:$M,"&gt;0")&lt;&gt;1,"P0(전) 유효 1개 아님",IF(COUNTIFS($C:$C,$C1339,$D:$D,$D1339,$E:$E,"P0(후)",$M:$M,"&gt;0")&lt;&gt;1,"P0(후) 유효 1개 아님",IF(NOT(AND(ISNUMBER(O1339),ISNUMBER(Q1339),ISNUMBER(I1339))),"시각 결측",IF(Q1339&lt;=O1339,"P0 시각 역전",IF(OR(I1339&lt;O1339,I1339&gt;Q1339),"측정시각 구간 밖","OK")))))</f>
        <v/>
      </c>
      <c r="O1339" s="48">
        <f>IF(COUNTIFS($C:$C,$C1339,$D:$D,$D1339,$E:$E,"P0(전)",$M:$M,"&gt;0")&lt;&gt;1,"",SUMIFS($I:$I,$C:$C,$C1339,$D:$D,$D1339,$E:$E,"P0(전)"))</f>
        <v/>
      </c>
      <c r="P1339" s="31">
        <f>IF(COUNTIFS($C:$C,$C1339,$D:$D,$D1339,$E:$E,"P0(전)",$M:$M,"&gt;0")&lt;&gt;1,"",SUMIFS($M:$M,$C:$C,$C1339,$D:$D,$D1339,$E:$E,"P0(전)"))</f>
        <v/>
      </c>
      <c r="Q1339" s="48">
        <f>IF(COUNTIFS($C:$C,$C1339,$D:$D,$D1339,$E:$E,"P0(후)",$M:$M,"&gt;0")&lt;&gt;1,"",SUMIFS($I:$I,$C:$C,$C1339,$D:$D,$D1339,$E:$E,"P0(후)"))</f>
        <v/>
      </c>
      <c r="R1339" s="31">
        <f>IF(COUNTIFS($C:$C,$C1339,$D:$D,$D1339,$E:$E,"P0(후)",$M:$M,"&gt;0")&lt;&gt;1,"",SUMIFS($M:$M,$C:$C,$C1339,$D:$D,$D1339,$E:$E,"P0(후)"))</f>
        <v/>
      </c>
      <c r="S1339" s="31">
        <f>IF(N1339&lt;&gt;"OK","",P1339+(R1339-P1339)*(I1339-O1339)/(Q1339-O1339))</f>
        <v/>
      </c>
      <c r="T1339" s="31">
        <f>IF(OR(N1339&lt;&gt;"OK",NOT(ISNUMBER(M1339))),"",M1339-S1339)</f>
        <v/>
      </c>
      <c r="U1339" s="49">
        <f>IF(OR(NOT(ISNUMBER(T1339)),IF(ISNUMBER(H1339),H1339,G1339)=0),"",T1339/IF(ISNUMBER(H1339),H1339,G1339))</f>
        <v/>
      </c>
      <c r="V1339" s="49">
        <f>IF(ISNUMBER(U1339),ABS(U1339),"")</f>
        <v/>
      </c>
      <c r="W1339" s="49">
        <f>IF(OR($E1338&lt;&gt;"측정",$C1338&lt;&gt;$C1339,$D1338&lt;&gt;$D1339,NOT(ISNUMBER(M1339)),NOT(ISNUMBER(M1338)),(IF(ISNUMBER(H1339),H1339,G1339)-IF(ISNUMBER(H1338),H1338,G1338))=0),"",(M1339-M1338)/(IF(ISNUMBER(H1339),H1339,G1339)-IF(ISNUMBER(H1338),H1338,G1338)))</f>
        <v/>
      </c>
      <c r="X1339" s="31">
        <f>IF(NOT(AND(ISNUMBER(O1339),ISNUMBER(Q1339))),"",(Q1339-O1339)*1440)</f>
        <v/>
      </c>
      <c r="Y1339" s="29" t="n"/>
      <c r="Z1339" s="29" t="n"/>
      <c r="AA1339" s="29" t="n"/>
      <c r="AB1339" s="32" t="n"/>
      <c r="AC1339" s="32" t="n"/>
    </row>
    <row r="1340">
      <c r="A1340" s="26" t="inlineStr">
        <is>
          <t>S26</t>
        </is>
      </c>
      <c r="B1340" s="26" t="inlineStr">
        <is>
          <t>고남 신규점2</t>
        </is>
      </c>
      <c r="C1340" s="26" t="inlineStr">
        <is>
          <t>S26-H남</t>
        </is>
      </c>
      <c r="D1340" s="47" t="n">
        <v>1</v>
      </c>
      <c r="E1340" s="26" t="inlineStr">
        <is>
          <t>측정</t>
        </is>
      </c>
      <c r="F1340" s="26" t="inlineStr">
        <is>
          <t>남</t>
        </is>
      </c>
      <c r="G1340" s="31" t="n">
        <v>7</v>
      </c>
      <c r="H1340" s="30" t="n"/>
      <c r="I1340" s="43" t="n"/>
      <c r="J1340" s="41" t="n"/>
      <c r="K1340" s="41" t="n"/>
      <c r="L1340" s="41" t="n"/>
      <c r="M1340" s="31">
        <f>IF(COUNT(J1340:L1340)=0,"",MEDIAN(J1340:L1340))</f>
        <v/>
      </c>
      <c r="N1340" s="26">
        <f>IF(COUNTIFS($C:$C,$C1340,$D:$D,$D1340,$E:$E,"P0(전)",$M:$M,"&gt;0")&lt;&gt;1,"P0(전) 유효 1개 아님",IF(COUNTIFS($C:$C,$C1340,$D:$D,$D1340,$E:$E,"P0(후)",$M:$M,"&gt;0")&lt;&gt;1,"P0(후) 유효 1개 아님",IF(NOT(AND(ISNUMBER(O1340),ISNUMBER(Q1340),ISNUMBER(I1340))),"시각 결측",IF(Q1340&lt;=O1340,"P0 시각 역전",IF(OR(I1340&lt;O1340,I1340&gt;Q1340),"측정시각 구간 밖","OK")))))</f>
        <v/>
      </c>
      <c r="O1340" s="48">
        <f>IF(COUNTIFS($C:$C,$C1340,$D:$D,$D1340,$E:$E,"P0(전)",$M:$M,"&gt;0")&lt;&gt;1,"",SUMIFS($I:$I,$C:$C,$C1340,$D:$D,$D1340,$E:$E,"P0(전)"))</f>
        <v/>
      </c>
      <c r="P1340" s="31">
        <f>IF(COUNTIFS($C:$C,$C1340,$D:$D,$D1340,$E:$E,"P0(전)",$M:$M,"&gt;0")&lt;&gt;1,"",SUMIFS($M:$M,$C:$C,$C1340,$D:$D,$D1340,$E:$E,"P0(전)"))</f>
        <v/>
      </c>
      <c r="Q1340" s="48">
        <f>IF(COUNTIFS($C:$C,$C1340,$D:$D,$D1340,$E:$E,"P0(후)",$M:$M,"&gt;0")&lt;&gt;1,"",SUMIFS($I:$I,$C:$C,$C1340,$D:$D,$D1340,$E:$E,"P0(후)"))</f>
        <v/>
      </c>
      <c r="R1340" s="31">
        <f>IF(COUNTIFS($C:$C,$C1340,$D:$D,$D1340,$E:$E,"P0(후)",$M:$M,"&gt;0")&lt;&gt;1,"",SUMIFS($M:$M,$C:$C,$C1340,$D:$D,$D1340,$E:$E,"P0(후)"))</f>
        <v/>
      </c>
      <c r="S1340" s="31">
        <f>IF(N1340&lt;&gt;"OK","",P1340+(R1340-P1340)*(I1340-O1340)/(Q1340-O1340))</f>
        <v/>
      </c>
      <c r="T1340" s="31">
        <f>IF(OR(N1340&lt;&gt;"OK",NOT(ISNUMBER(M1340))),"",M1340-S1340)</f>
        <v/>
      </c>
      <c r="U1340" s="49">
        <f>IF(OR(NOT(ISNUMBER(T1340)),IF(ISNUMBER(H1340),H1340,G1340)=0),"",T1340/IF(ISNUMBER(H1340),H1340,G1340))</f>
        <v/>
      </c>
      <c r="V1340" s="49">
        <f>IF(ISNUMBER(U1340),ABS(U1340),"")</f>
        <v/>
      </c>
      <c r="W1340" s="49">
        <f>IF(OR($E1339&lt;&gt;"측정",$C1339&lt;&gt;$C1340,$D1339&lt;&gt;$D1340,NOT(ISNUMBER(M1340)),NOT(ISNUMBER(M1339)),(IF(ISNUMBER(H1340),H1340,G1340)-IF(ISNUMBER(H1339),H1339,G1339))=0),"",(M1340-M1339)/(IF(ISNUMBER(H1340),H1340,G1340)-IF(ISNUMBER(H1339),H1339,G1339)))</f>
        <v/>
      </c>
      <c r="X1340" s="31">
        <f>IF(NOT(AND(ISNUMBER(O1340),ISNUMBER(Q1340))),"",(Q1340-O1340)*1440)</f>
        <v/>
      </c>
      <c r="Y1340" s="29" t="n"/>
      <c r="Z1340" s="29" t="n"/>
      <c r="AA1340" s="29" t="n"/>
      <c r="AB1340" s="32" t="n"/>
      <c r="AC1340" s="32" t="n"/>
    </row>
    <row r="1341">
      <c r="A1341" s="26" t="inlineStr">
        <is>
          <t>S26</t>
        </is>
      </c>
      <c r="B1341" s="26" t="inlineStr">
        <is>
          <t>고남 신규점2</t>
        </is>
      </c>
      <c r="C1341" s="26" t="inlineStr">
        <is>
          <t>S26-H남</t>
        </is>
      </c>
      <c r="D1341" s="47" t="n">
        <v>1</v>
      </c>
      <c r="E1341" s="26" t="inlineStr">
        <is>
          <t>측정</t>
        </is>
      </c>
      <c r="F1341" s="26" t="inlineStr">
        <is>
          <t>남</t>
        </is>
      </c>
      <c r="G1341" s="31" t="n">
        <v>8</v>
      </c>
      <c r="H1341" s="30" t="n"/>
      <c r="I1341" s="43" t="n"/>
      <c r="J1341" s="41" t="n"/>
      <c r="K1341" s="41" t="n"/>
      <c r="L1341" s="41" t="n"/>
      <c r="M1341" s="31">
        <f>IF(COUNT(J1341:L1341)=0,"",MEDIAN(J1341:L1341))</f>
        <v/>
      </c>
      <c r="N1341" s="26">
        <f>IF(COUNTIFS($C:$C,$C1341,$D:$D,$D1341,$E:$E,"P0(전)",$M:$M,"&gt;0")&lt;&gt;1,"P0(전) 유효 1개 아님",IF(COUNTIFS($C:$C,$C1341,$D:$D,$D1341,$E:$E,"P0(후)",$M:$M,"&gt;0")&lt;&gt;1,"P0(후) 유효 1개 아님",IF(NOT(AND(ISNUMBER(O1341),ISNUMBER(Q1341),ISNUMBER(I1341))),"시각 결측",IF(Q1341&lt;=O1341,"P0 시각 역전",IF(OR(I1341&lt;O1341,I1341&gt;Q1341),"측정시각 구간 밖","OK")))))</f>
        <v/>
      </c>
      <c r="O1341" s="48">
        <f>IF(COUNTIFS($C:$C,$C1341,$D:$D,$D1341,$E:$E,"P0(전)",$M:$M,"&gt;0")&lt;&gt;1,"",SUMIFS($I:$I,$C:$C,$C1341,$D:$D,$D1341,$E:$E,"P0(전)"))</f>
        <v/>
      </c>
      <c r="P1341" s="31">
        <f>IF(COUNTIFS($C:$C,$C1341,$D:$D,$D1341,$E:$E,"P0(전)",$M:$M,"&gt;0")&lt;&gt;1,"",SUMIFS($M:$M,$C:$C,$C1341,$D:$D,$D1341,$E:$E,"P0(전)"))</f>
        <v/>
      </c>
      <c r="Q1341" s="48">
        <f>IF(COUNTIFS($C:$C,$C1341,$D:$D,$D1341,$E:$E,"P0(후)",$M:$M,"&gt;0")&lt;&gt;1,"",SUMIFS($I:$I,$C:$C,$C1341,$D:$D,$D1341,$E:$E,"P0(후)"))</f>
        <v/>
      </c>
      <c r="R1341" s="31">
        <f>IF(COUNTIFS($C:$C,$C1341,$D:$D,$D1341,$E:$E,"P0(후)",$M:$M,"&gt;0")&lt;&gt;1,"",SUMIFS($M:$M,$C:$C,$C1341,$D:$D,$D1341,$E:$E,"P0(후)"))</f>
        <v/>
      </c>
      <c r="S1341" s="31">
        <f>IF(N1341&lt;&gt;"OK","",P1341+(R1341-P1341)*(I1341-O1341)/(Q1341-O1341))</f>
        <v/>
      </c>
      <c r="T1341" s="31">
        <f>IF(OR(N1341&lt;&gt;"OK",NOT(ISNUMBER(M1341))),"",M1341-S1341)</f>
        <v/>
      </c>
      <c r="U1341" s="49">
        <f>IF(OR(NOT(ISNUMBER(T1341)),IF(ISNUMBER(H1341),H1341,G1341)=0),"",T1341/IF(ISNUMBER(H1341),H1341,G1341))</f>
        <v/>
      </c>
      <c r="V1341" s="49">
        <f>IF(ISNUMBER(U1341),ABS(U1341),"")</f>
        <v/>
      </c>
      <c r="W1341" s="49">
        <f>IF(OR($E1340&lt;&gt;"측정",$C1340&lt;&gt;$C1341,$D1340&lt;&gt;$D1341,NOT(ISNUMBER(M1341)),NOT(ISNUMBER(M1340)),(IF(ISNUMBER(H1341),H1341,G1341)-IF(ISNUMBER(H1340),H1340,G1340))=0),"",(M1341-M1340)/(IF(ISNUMBER(H1341),H1341,G1341)-IF(ISNUMBER(H1340),H1340,G1340)))</f>
        <v/>
      </c>
      <c r="X1341" s="31">
        <f>IF(NOT(AND(ISNUMBER(O1341),ISNUMBER(Q1341))),"",(Q1341-O1341)*1440)</f>
        <v/>
      </c>
      <c r="Y1341" s="29" t="n"/>
      <c r="Z1341" s="29" t="n"/>
      <c r="AA1341" s="29" t="n"/>
      <c r="AB1341" s="32" t="n"/>
      <c r="AC1341" s="32" t="n"/>
    </row>
    <row r="1342">
      <c r="A1342" s="26" t="inlineStr">
        <is>
          <t>S26</t>
        </is>
      </c>
      <c r="B1342" s="26" t="inlineStr">
        <is>
          <t>고남 신규점2</t>
        </is>
      </c>
      <c r="C1342" s="26" t="inlineStr">
        <is>
          <t>S26-H남</t>
        </is>
      </c>
      <c r="D1342" s="47" t="n">
        <v>1</v>
      </c>
      <c r="E1342" s="26" t="inlineStr">
        <is>
          <t>측정</t>
        </is>
      </c>
      <c r="F1342" s="26" t="inlineStr">
        <is>
          <t>남</t>
        </is>
      </c>
      <c r="G1342" s="31" t="n">
        <v>9</v>
      </c>
      <c r="H1342" s="30" t="n"/>
      <c r="I1342" s="43" t="n"/>
      <c r="J1342" s="41" t="n"/>
      <c r="K1342" s="41" t="n"/>
      <c r="L1342" s="41" t="n"/>
      <c r="M1342" s="31">
        <f>IF(COUNT(J1342:L1342)=0,"",MEDIAN(J1342:L1342))</f>
        <v/>
      </c>
      <c r="N1342" s="26">
        <f>IF(COUNTIFS($C:$C,$C1342,$D:$D,$D1342,$E:$E,"P0(전)",$M:$M,"&gt;0")&lt;&gt;1,"P0(전) 유효 1개 아님",IF(COUNTIFS($C:$C,$C1342,$D:$D,$D1342,$E:$E,"P0(후)",$M:$M,"&gt;0")&lt;&gt;1,"P0(후) 유효 1개 아님",IF(NOT(AND(ISNUMBER(O1342),ISNUMBER(Q1342),ISNUMBER(I1342))),"시각 결측",IF(Q1342&lt;=O1342,"P0 시각 역전",IF(OR(I1342&lt;O1342,I1342&gt;Q1342),"측정시각 구간 밖","OK")))))</f>
        <v/>
      </c>
      <c r="O1342" s="48">
        <f>IF(COUNTIFS($C:$C,$C1342,$D:$D,$D1342,$E:$E,"P0(전)",$M:$M,"&gt;0")&lt;&gt;1,"",SUMIFS($I:$I,$C:$C,$C1342,$D:$D,$D1342,$E:$E,"P0(전)"))</f>
        <v/>
      </c>
      <c r="P1342" s="31">
        <f>IF(COUNTIFS($C:$C,$C1342,$D:$D,$D1342,$E:$E,"P0(전)",$M:$M,"&gt;0")&lt;&gt;1,"",SUMIFS($M:$M,$C:$C,$C1342,$D:$D,$D1342,$E:$E,"P0(전)"))</f>
        <v/>
      </c>
      <c r="Q1342" s="48">
        <f>IF(COUNTIFS($C:$C,$C1342,$D:$D,$D1342,$E:$E,"P0(후)",$M:$M,"&gt;0")&lt;&gt;1,"",SUMIFS($I:$I,$C:$C,$C1342,$D:$D,$D1342,$E:$E,"P0(후)"))</f>
        <v/>
      </c>
      <c r="R1342" s="31">
        <f>IF(COUNTIFS($C:$C,$C1342,$D:$D,$D1342,$E:$E,"P0(후)",$M:$M,"&gt;0")&lt;&gt;1,"",SUMIFS($M:$M,$C:$C,$C1342,$D:$D,$D1342,$E:$E,"P0(후)"))</f>
        <v/>
      </c>
      <c r="S1342" s="31">
        <f>IF(N1342&lt;&gt;"OK","",P1342+(R1342-P1342)*(I1342-O1342)/(Q1342-O1342))</f>
        <v/>
      </c>
      <c r="T1342" s="31">
        <f>IF(OR(N1342&lt;&gt;"OK",NOT(ISNUMBER(M1342))),"",M1342-S1342)</f>
        <v/>
      </c>
      <c r="U1342" s="49">
        <f>IF(OR(NOT(ISNUMBER(T1342)),IF(ISNUMBER(H1342),H1342,G1342)=0),"",T1342/IF(ISNUMBER(H1342),H1342,G1342))</f>
        <v/>
      </c>
      <c r="V1342" s="49">
        <f>IF(ISNUMBER(U1342),ABS(U1342),"")</f>
        <v/>
      </c>
      <c r="W1342" s="49">
        <f>IF(OR($E1341&lt;&gt;"측정",$C1341&lt;&gt;$C1342,$D1341&lt;&gt;$D1342,NOT(ISNUMBER(M1342)),NOT(ISNUMBER(M1341)),(IF(ISNUMBER(H1342),H1342,G1342)-IF(ISNUMBER(H1341),H1341,G1341))=0),"",(M1342-M1341)/(IF(ISNUMBER(H1342),H1342,G1342)-IF(ISNUMBER(H1341),H1341,G1341)))</f>
        <v/>
      </c>
      <c r="X1342" s="31">
        <f>IF(NOT(AND(ISNUMBER(O1342),ISNUMBER(Q1342))),"",(Q1342-O1342)*1440)</f>
        <v/>
      </c>
      <c r="Y1342" s="29" t="n"/>
      <c r="Z1342" s="29" t="n"/>
      <c r="AA1342" s="29" t="n"/>
      <c r="AB1342" s="32" t="n"/>
      <c r="AC1342" s="32" t="n"/>
    </row>
    <row r="1343">
      <c r="A1343" s="26" t="inlineStr">
        <is>
          <t>S26</t>
        </is>
      </c>
      <c r="B1343" s="26" t="inlineStr">
        <is>
          <t>고남 신규점2</t>
        </is>
      </c>
      <c r="C1343" s="26" t="inlineStr">
        <is>
          <t>S26-H남</t>
        </is>
      </c>
      <c r="D1343" s="47" t="n">
        <v>1</v>
      </c>
      <c r="E1343" s="26" t="inlineStr">
        <is>
          <t>측정</t>
        </is>
      </c>
      <c r="F1343" s="26" t="inlineStr">
        <is>
          <t>남</t>
        </is>
      </c>
      <c r="G1343" s="31" t="n">
        <v>10</v>
      </c>
      <c r="H1343" s="30" t="n"/>
      <c r="I1343" s="43" t="n"/>
      <c r="J1343" s="41" t="n"/>
      <c r="K1343" s="41" t="n"/>
      <c r="L1343" s="41" t="n"/>
      <c r="M1343" s="31">
        <f>IF(COUNT(J1343:L1343)=0,"",MEDIAN(J1343:L1343))</f>
        <v/>
      </c>
      <c r="N1343" s="26">
        <f>IF(COUNTIFS($C:$C,$C1343,$D:$D,$D1343,$E:$E,"P0(전)",$M:$M,"&gt;0")&lt;&gt;1,"P0(전) 유효 1개 아님",IF(COUNTIFS($C:$C,$C1343,$D:$D,$D1343,$E:$E,"P0(후)",$M:$M,"&gt;0")&lt;&gt;1,"P0(후) 유효 1개 아님",IF(NOT(AND(ISNUMBER(O1343),ISNUMBER(Q1343),ISNUMBER(I1343))),"시각 결측",IF(Q1343&lt;=O1343,"P0 시각 역전",IF(OR(I1343&lt;O1343,I1343&gt;Q1343),"측정시각 구간 밖","OK")))))</f>
        <v/>
      </c>
      <c r="O1343" s="48">
        <f>IF(COUNTIFS($C:$C,$C1343,$D:$D,$D1343,$E:$E,"P0(전)",$M:$M,"&gt;0")&lt;&gt;1,"",SUMIFS($I:$I,$C:$C,$C1343,$D:$D,$D1343,$E:$E,"P0(전)"))</f>
        <v/>
      </c>
      <c r="P1343" s="31">
        <f>IF(COUNTIFS($C:$C,$C1343,$D:$D,$D1343,$E:$E,"P0(전)",$M:$M,"&gt;0")&lt;&gt;1,"",SUMIFS($M:$M,$C:$C,$C1343,$D:$D,$D1343,$E:$E,"P0(전)"))</f>
        <v/>
      </c>
      <c r="Q1343" s="48">
        <f>IF(COUNTIFS($C:$C,$C1343,$D:$D,$D1343,$E:$E,"P0(후)",$M:$M,"&gt;0")&lt;&gt;1,"",SUMIFS($I:$I,$C:$C,$C1343,$D:$D,$D1343,$E:$E,"P0(후)"))</f>
        <v/>
      </c>
      <c r="R1343" s="31">
        <f>IF(COUNTIFS($C:$C,$C1343,$D:$D,$D1343,$E:$E,"P0(후)",$M:$M,"&gt;0")&lt;&gt;1,"",SUMIFS($M:$M,$C:$C,$C1343,$D:$D,$D1343,$E:$E,"P0(후)"))</f>
        <v/>
      </c>
      <c r="S1343" s="31">
        <f>IF(N1343&lt;&gt;"OK","",P1343+(R1343-P1343)*(I1343-O1343)/(Q1343-O1343))</f>
        <v/>
      </c>
      <c r="T1343" s="31">
        <f>IF(OR(N1343&lt;&gt;"OK",NOT(ISNUMBER(M1343))),"",M1343-S1343)</f>
        <v/>
      </c>
      <c r="U1343" s="49">
        <f>IF(OR(NOT(ISNUMBER(T1343)),IF(ISNUMBER(H1343),H1343,G1343)=0),"",T1343/IF(ISNUMBER(H1343),H1343,G1343))</f>
        <v/>
      </c>
      <c r="V1343" s="49">
        <f>IF(ISNUMBER(U1343),ABS(U1343),"")</f>
        <v/>
      </c>
      <c r="W1343" s="49">
        <f>IF(OR($E1342&lt;&gt;"측정",$C1342&lt;&gt;$C1343,$D1342&lt;&gt;$D1343,NOT(ISNUMBER(M1343)),NOT(ISNUMBER(M1342)),(IF(ISNUMBER(H1343),H1343,G1343)-IF(ISNUMBER(H1342),H1342,G1342))=0),"",(M1343-M1342)/(IF(ISNUMBER(H1343),H1343,G1343)-IF(ISNUMBER(H1342),H1342,G1342)))</f>
        <v/>
      </c>
      <c r="X1343" s="31">
        <f>IF(NOT(AND(ISNUMBER(O1343),ISNUMBER(Q1343))),"",(Q1343-O1343)*1440)</f>
        <v/>
      </c>
      <c r="Y1343" s="29" t="n"/>
      <c r="Z1343" s="29" t="n"/>
      <c r="AA1343" s="29" t="n"/>
      <c r="AB1343" s="32" t="n"/>
      <c r="AC1343" s="32" t="n"/>
    </row>
    <row r="1344">
      <c r="A1344" s="44" t="inlineStr">
        <is>
          <t>S26</t>
        </is>
      </c>
      <c r="B1344" s="44" t="inlineStr">
        <is>
          <t>고남 신규점2</t>
        </is>
      </c>
      <c r="C1344" s="44" t="inlineStr">
        <is>
          <t>S26-H남</t>
        </is>
      </c>
      <c r="D1344" s="45" t="n">
        <v>1</v>
      </c>
      <c r="E1344" s="44" t="inlineStr">
        <is>
          <t>P0(후)</t>
        </is>
      </c>
      <c r="F1344" s="44" t="inlineStr">
        <is>
          <t>남</t>
        </is>
      </c>
      <c r="G1344" s="46" t="n"/>
      <c r="H1344" s="30" t="n"/>
      <c r="I1344" s="43" t="n"/>
      <c r="J1344" s="41" t="n"/>
      <c r="K1344" s="41" t="n"/>
      <c r="L1344" s="41" t="n"/>
      <c r="M1344" s="31">
        <f>IF(COUNT(J1344:L1344)=0,"",MEDIAN(J1344:L1344))</f>
        <v/>
      </c>
      <c r="N1344" s="38" t="n"/>
      <c r="O1344" s="38" t="n"/>
      <c r="P1344" s="38" t="n"/>
      <c r="Q1344" s="38" t="n"/>
      <c r="R1344" s="38" t="n"/>
      <c r="S1344" s="38" t="n"/>
      <c r="T1344" s="38" t="n"/>
      <c r="U1344" s="38" t="n"/>
      <c r="V1344" s="38" t="n"/>
      <c r="W1344" s="38" t="n"/>
      <c r="X1344" s="38" t="n"/>
      <c r="Y1344" s="29" t="n"/>
      <c r="Z1344" s="29" t="n"/>
      <c r="AA1344" s="29" t="n"/>
      <c r="AB1344" s="32" t="n"/>
      <c r="AC1344" s="32" t="n"/>
    </row>
    <row r="1345">
      <c r="A1345" s="44" t="inlineStr">
        <is>
          <t>S26</t>
        </is>
      </c>
      <c r="B1345" s="44" t="inlineStr">
        <is>
          <t>고남 신규점2</t>
        </is>
      </c>
      <c r="C1345" s="44" t="inlineStr">
        <is>
          <t>S26-H북</t>
        </is>
      </c>
      <c r="D1345" s="45" t="n">
        <v>1</v>
      </c>
      <c r="E1345" s="44" t="inlineStr">
        <is>
          <t>P0(전)</t>
        </is>
      </c>
      <c r="F1345" s="44" t="inlineStr">
        <is>
          <t>북</t>
        </is>
      </c>
      <c r="G1345" s="46" t="n"/>
      <c r="H1345" s="30" t="n"/>
      <c r="I1345" s="43" t="n"/>
      <c r="J1345" s="41" t="n"/>
      <c r="K1345" s="41" t="n"/>
      <c r="L1345" s="41" t="n"/>
      <c r="M1345" s="31">
        <f>IF(COUNT(J1345:L1345)=0,"",MEDIAN(J1345:L1345))</f>
        <v/>
      </c>
      <c r="N1345" s="38" t="n"/>
      <c r="O1345" s="38" t="n"/>
      <c r="P1345" s="38" t="n"/>
      <c r="Q1345" s="38" t="n"/>
      <c r="R1345" s="38" t="n"/>
      <c r="S1345" s="38" t="n"/>
      <c r="T1345" s="38" t="n"/>
      <c r="U1345" s="38" t="n"/>
      <c r="V1345" s="38" t="n"/>
      <c r="W1345" s="38" t="n"/>
      <c r="X1345" s="38" t="n"/>
      <c r="Y1345" s="29" t="n"/>
      <c r="Z1345" s="29" t="n"/>
      <c r="AA1345" s="29" t="n"/>
      <c r="AB1345" s="32" t="n"/>
      <c r="AC1345" s="32" t="n"/>
    </row>
    <row r="1346">
      <c r="A1346" s="26" t="inlineStr">
        <is>
          <t>S26</t>
        </is>
      </c>
      <c r="B1346" s="26" t="inlineStr">
        <is>
          <t>고남 신규점2</t>
        </is>
      </c>
      <c r="C1346" s="26" t="inlineStr">
        <is>
          <t>S26-H북</t>
        </is>
      </c>
      <c r="D1346" s="47" t="n">
        <v>1</v>
      </c>
      <c r="E1346" s="26" t="inlineStr">
        <is>
          <t>측정</t>
        </is>
      </c>
      <c r="F1346" s="26" t="inlineStr">
        <is>
          <t>북</t>
        </is>
      </c>
      <c r="G1346" s="31" t="n">
        <v>0.5</v>
      </c>
      <c r="H1346" s="30" t="n"/>
      <c r="I1346" s="43" t="n"/>
      <c r="J1346" s="41" t="n"/>
      <c r="K1346" s="41" t="n"/>
      <c r="L1346" s="41" t="n"/>
      <c r="M1346" s="31">
        <f>IF(COUNT(J1346:L1346)=0,"",MEDIAN(J1346:L1346))</f>
        <v/>
      </c>
      <c r="N1346" s="26">
        <f>IF(COUNTIFS($C:$C,$C1346,$D:$D,$D1346,$E:$E,"P0(전)",$M:$M,"&gt;0")&lt;&gt;1,"P0(전) 유효 1개 아님",IF(COUNTIFS($C:$C,$C1346,$D:$D,$D1346,$E:$E,"P0(후)",$M:$M,"&gt;0")&lt;&gt;1,"P0(후) 유효 1개 아님",IF(NOT(AND(ISNUMBER(O1346),ISNUMBER(Q1346),ISNUMBER(I1346))),"시각 결측",IF(Q1346&lt;=O1346,"P0 시각 역전",IF(OR(I1346&lt;O1346,I1346&gt;Q1346),"측정시각 구간 밖","OK")))))</f>
        <v/>
      </c>
      <c r="O1346" s="48">
        <f>IF(COUNTIFS($C:$C,$C1346,$D:$D,$D1346,$E:$E,"P0(전)",$M:$M,"&gt;0")&lt;&gt;1,"",SUMIFS($I:$I,$C:$C,$C1346,$D:$D,$D1346,$E:$E,"P0(전)"))</f>
        <v/>
      </c>
      <c r="P1346" s="31">
        <f>IF(COUNTIFS($C:$C,$C1346,$D:$D,$D1346,$E:$E,"P0(전)",$M:$M,"&gt;0")&lt;&gt;1,"",SUMIFS($M:$M,$C:$C,$C1346,$D:$D,$D1346,$E:$E,"P0(전)"))</f>
        <v/>
      </c>
      <c r="Q1346" s="48">
        <f>IF(COUNTIFS($C:$C,$C1346,$D:$D,$D1346,$E:$E,"P0(후)",$M:$M,"&gt;0")&lt;&gt;1,"",SUMIFS($I:$I,$C:$C,$C1346,$D:$D,$D1346,$E:$E,"P0(후)"))</f>
        <v/>
      </c>
      <c r="R1346" s="31">
        <f>IF(COUNTIFS($C:$C,$C1346,$D:$D,$D1346,$E:$E,"P0(후)",$M:$M,"&gt;0")&lt;&gt;1,"",SUMIFS($M:$M,$C:$C,$C1346,$D:$D,$D1346,$E:$E,"P0(후)"))</f>
        <v/>
      </c>
      <c r="S1346" s="31">
        <f>IF(N1346&lt;&gt;"OK","",P1346+(R1346-P1346)*(I1346-O1346)/(Q1346-O1346))</f>
        <v/>
      </c>
      <c r="T1346" s="31">
        <f>IF(OR(N1346&lt;&gt;"OK",NOT(ISNUMBER(M1346))),"",M1346-S1346)</f>
        <v/>
      </c>
      <c r="U1346" s="49">
        <f>IF(OR(NOT(ISNUMBER(T1346)),IF(ISNUMBER(H1346),H1346,G1346)=0),"",T1346/IF(ISNUMBER(H1346),H1346,G1346))</f>
        <v/>
      </c>
      <c r="V1346" s="49">
        <f>IF(ISNUMBER(U1346),ABS(U1346),"")</f>
        <v/>
      </c>
      <c r="W1346" s="49">
        <f>IF(OR($E1345&lt;&gt;"측정",$C1345&lt;&gt;$C1346,$D1345&lt;&gt;$D1346,NOT(ISNUMBER(M1346)),NOT(ISNUMBER(M1345)),(IF(ISNUMBER(H1346),H1346,G1346)-IF(ISNUMBER(H1345),H1345,G1345))=0),"",(M1346-M1345)/(IF(ISNUMBER(H1346),H1346,G1346)-IF(ISNUMBER(H1345),H1345,G1345)))</f>
        <v/>
      </c>
      <c r="X1346" s="31">
        <f>IF(NOT(AND(ISNUMBER(O1346),ISNUMBER(Q1346))),"",(Q1346-O1346)*1440)</f>
        <v/>
      </c>
      <c r="Y1346" s="29" t="n"/>
      <c r="Z1346" s="29" t="n"/>
      <c r="AA1346" s="29" t="n"/>
      <c r="AB1346" s="32" t="n"/>
      <c r="AC1346" s="32" t="n"/>
    </row>
    <row r="1347">
      <c r="A1347" s="26" t="inlineStr">
        <is>
          <t>S26</t>
        </is>
      </c>
      <c r="B1347" s="26" t="inlineStr">
        <is>
          <t>고남 신규점2</t>
        </is>
      </c>
      <c r="C1347" s="26" t="inlineStr">
        <is>
          <t>S26-H북</t>
        </is>
      </c>
      <c r="D1347" s="47" t="n">
        <v>1</v>
      </c>
      <c r="E1347" s="26" t="inlineStr">
        <is>
          <t>측정</t>
        </is>
      </c>
      <c r="F1347" s="26" t="inlineStr">
        <is>
          <t>북</t>
        </is>
      </c>
      <c r="G1347" s="31" t="n">
        <v>1</v>
      </c>
      <c r="H1347" s="30" t="n"/>
      <c r="I1347" s="43" t="n"/>
      <c r="J1347" s="41" t="n"/>
      <c r="K1347" s="41" t="n"/>
      <c r="L1347" s="41" t="n"/>
      <c r="M1347" s="31">
        <f>IF(COUNT(J1347:L1347)=0,"",MEDIAN(J1347:L1347))</f>
        <v/>
      </c>
      <c r="N1347" s="26">
        <f>IF(COUNTIFS($C:$C,$C1347,$D:$D,$D1347,$E:$E,"P0(전)",$M:$M,"&gt;0")&lt;&gt;1,"P0(전) 유효 1개 아님",IF(COUNTIFS($C:$C,$C1347,$D:$D,$D1347,$E:$E,"P0(후)",$M:$M,"&gt;0")&lt;&gt;1,"P0(후) 유효 1개 아님",IF(NOT(AND(ISNUMBER(O1347),ISNUMBER(Q1347),ISNUMBER(I1347))),"시각 결측",IF(Q1347&lt;=O1347,"P0 시각 역전",IF(OR(I1347&lt;O1347,I1347&gt;Q1347),"측정시각 구간 밖","OK")))))</f>
        <v/>
      </c>
      <c r="O1347" s="48">
        <f>IF(COUNTIFS($C:$C,$C1347,$D:$D,$D1347,$E:$E,"P0(전)",$M:$M,"&gt;0")&lt;&gt;1,"",SUMIFS($I:$I,$C:$C,$C1347,$D:$D,$D1347,$E:$E,"P0(전)"))</f>
        <v/>
      </c>
      <c r="P1347" s="31">
        <f>IF(COUNTIFS($C:$C,$C1347,$D:$D,$D1347,$E:$E,"P0(전)",$M:$M,"&gt;0")&lt;&gt;1,"",SUMIFS($M:$M,$C:$C,$C1347,$D:$D,$D1347,$E:$E,"P0(전)"))</f>
        <v/>
      </c>
      <c r="Q1347" s="48">
        <f>IF(COUNTIFS($C:$C,$C1347,$D:$D,$D1347,$E:$E,"P0(후)",$M:$M,"&gt;0")&lt;&gt;1,"",SUMIFS($I:$I,$C:$C,$C1347,$D:$D,$D1347,$E:$E,"P0(후)"))</f>
        <v/>
      </c>
      <c r="R1347" s="31">
        <f>IF(COUNTIFS($C:$C,$C1347,$D:$D,$D1347,$E:$E,"P0(후)",$M:$M,"&gt;0")&lt;&gt;1,"",SUMIFS($M:$M,$C:$C,$C1347,$D:$D,$D1347,$E:$E,"P0(후)"))</f>
        <v/>
      </c>
      <c r="S1347" s="31">
        <f>IF(N1347&lt;&gt;"OK","",P1347+(R1347-P1347)*(I1347-O1347)/(Q1347-O1347))</f>
        <v/>
      </c>
      <c r="T1347" s="31">
        <f>IF(OR(N1347&lt;&gt;"OK",NOT(ISNUMBER(M1347))),"",M1347-S1347)</f>
        <v/>
      </c>
      <c r="U1347" s="49">
        <f>IF(OR(NOT(ISNUMBER(T1347)),IF(ISNUMBER(H1347),H1347,G1347)=0),"",T1347/IF(ISNUMBER(H1347),H1347,G1347))</f>
        <v/>
      </c>
      <c r="V1347" s="49">
        <f>IF(ISNUMBER(U1347),ABS(U1347),"")</f>
        <v/>
      </c>
      <c r="W1347" s="49">
        <f>IF(OR($E1346&lt;&gt;"측정",$C1346&lt;&gt;$C1347,$D1346&lt;&gt;$D1347,NOT(ISNUMBER(M1347)),NOT(ISNUMBER(M1346)),(IF(ISNUMBER(H1347),H1347,G1347)-IF(ISNUMBER(H1346),H1346,G1346))=0),"",(M1347-M1346)/(IF(ISNUMBER(H1347),H1347,G1347)-IF(ISNUMBER(H1346),H1346,G1346)))</f>
        <v/>
      </c>
      <c r="X1347" s="31">
        <f>IF(NOT(AND(ISNUMBER(O1347),ISNUMBER(Q1347))),"",(Q1347-O1347)*1440)</f>
        <v/>
      </c>
      <c r="Y1347" s="29" t="n"/>
      <c r="Z1347" s="29" t="n"/>
      <c r="AA1347" s="29" t="n"/>
      <c r="AB1347" s="32" t="n"/>
      <c r="AC1347" s="32" t="n"/>
    </row>
    <row r="1348">
      <c r="A1348" s="26" t="inlineStr">
        <is>
          <t>S26</t>
        </is>
      </c>
      <c r="B1348" s="26" t="inlineStr">
        <is>
          <t>고남 신규점2</t>
        </is>
      </c>
      <c r="C1348" s="26" t="inlineStr">
        <is>
          <t>S26-H북</t>
        </is>
      </c>
      <c r="D1348" s="47" t="n">
        <v>1</v>
      </c>
      <c r="E1348" s="26" t="inlineStr">
        <is>
          <t>측정</t>
        </is>
      </c>
      <c r="F1348" s="26" t="inlineStr">
        <is>
          <t>북</t>
        </is>
      </c>
      <c r="G1348" s="31" t="n">
        <v>2</v>
      </c>
      <c r="H1348" s="30" t="n"/>
      <c r="I1348" s="43" t="n"/>
      <c r="J1348" s="41" t="n"/>
      <c r="K1348" s="41" t="n"/>
      <c r="L1348" s="41" t="n"/>
      <c r="M1348" s="31">
        <f>IF(COUNT(J1348:L1348)=0,"",MEDIAN(J1348:L1348))</f>
        <v/>
      </c>
      <c r="N1348" s="26">
        <f>IF(COUNTIFS($C:$C,$C1348,$D:$D,$D1348,$E:$E,"P0(전)",$M:$M,"&gt;0")&lt;&gt;1,"P0(전) 유효 1개 아님",IF(COUNTIFS($C:$C,$C1348,$D:$D,$D1348,$E:$E,"P0(후)",$M:$M,"&gt;0")&lt;&gt;1,"P0(후) 유효 1개 아님",IF(NOT(AND(ISNUMBER(O1348),ISNUMBER(Q1348),ISNUMBER(I1348))),"시각 결측",IF(Q1348&lt;=O1348,"P0 시각 역전",IF(OR(I1348&lt;O1348,I1348&gt;Q1348),"측정시각 구간 밖","OK")))))</f>
        <v/>
      </c>
      <c r="O1348" s="48">
        <f>IF(COUNTIFS($C:$C,$C1348,$D:$D,$D1348,$E:$E,"P0(전)",$M:$M,"&gt;0")&lt;&gt;1,"",SUMIFS($I:$I,$C:$C,$C1348,$D:$D,$D1348,$E:$E,"P0(전)"))</f>
        <v/>
      </c>
      <c r="P1348" s="31">
        <f>IF(COUNTIFS($C:$C,$C1348,$D:$D,$D1348,$E:$E,"P0(전)",$M:$M,"&gt;0")&lt;&gt;1,"",SUMIFS($M:$M,$C:$C,$C1348,$D:$D,$D1348,$E:$E,"P0(전)"))</f>
        <v/>
      </c>
      <c r="Q1348" s="48">
        <f>IF(COUNTIFS($C:$C,$C1348,$D:$D,$D1348,$E:$E,"P0(후)",$M:$M,"&gt;0")&lt;&gt;1,"",SUMIFS($I:$I,$C:$C,$C1348,$D:$D,$D1348,$E:$E,"P0(후)"))</f>
        <v/>
      </c>
      <c r="R1348" s="31">
        <f>IF(COUNTIFS($C:$C,$C1348,$D:$D,$D1348,$E:$E,"P0(후)",$M:$M,"&gt;0")&lt;&gt;1,"",SUMIFS($M:$M,$C:$C,$C1348,$D:$D,$D1348,$E:$E,"P0(후)"))</f>
        <v/>
      </c>
      <c r="S1348" s="31">
        <f>IF(N1348&lt;&gt;"OK","",P1348+(R1348-P1348)*(I1348-O1348)/(Q1348-O1348))</f>
        <v/>
      </c>
      <c r="T1348" s="31">
        <f>IF(OR(N1348&lt;&gt;"OK",NOT(ISNUMBER(M1348))),"",M1348-S1348)</f>
        <v/>
      </c>
      <c r="U1348" s="49">
        <f>IF(OR(NOT(ISNUMBER(T1348)),IF(ISNUMBER(H1348),H1348,G1348)=0),"",T1348/IF(ISNUMBER(H1348),H1348,G1348))</f>
        <v/>
      </c>
      <c r="V1348" s="49">
        <f>IF(ISNUMBER(U1348),ABS(U1348),"")</f>
        <v/>
      </c>
      <c r="W1348" s="49">
        <f>IF(OR($E1347&lt;&gt;"측정",$C1347&lt;&gt;$C1348,$D1347&lt;&gt;$D1348,NOT(ISNUMBER(M1348)),NOT(ISNUMBER(M1347)),(IF(ISNUMBER(H1348),H1348,G1348)-IF(ISNUMBER(H1347),H1347,G1347))=0),"",(M1348-M1347)/(IF(ISNUMBER(H1348),H1348,G1348)-IF(ISNUMBER(H1347),H1347,G1347)))</f>
        <v/>
      </c>
      <c r="X1348" s="31">
        <f>IF(NOT(AND(ISNUMBER(O1348),ISNUMBER(Q1348))),"",(Q1348-O1348)*1440)</f>
        <v/>
      </c>
      <c r="Y1348" s="29" t="n"/>
      <c r="Z1348" s="29" t="n"/>
      <c r="AA1348" s="29" t="n"/>
      <c r="AB1348" s="32" t="n"/>
      <c r="AC1348" s="32" t="n"/>
    </row>
    <row r="1349">
      <c r="A1349" s="26" t="inlineStr">
        <is>
          <t>S26</t>
        </is>
      </c>
      <c r="B1349" s="26" t="inlineStr">
        <is>
          <t>고남 신규점2</t>
        </is>
      </c>
      <c r="C1349" s="26" t="inlineStr">
        <is>
          <t>S26-H북</t>
        </is>
      </c>
      <c r="D1349" s="47" t="n">
        <v>1</v>
      </c>
      <c r="E1349" s="26" t="inlineStr">
        <is>
          <t>측정</t>
        </is>
      </c>
      <c r="F1349" s="26" t="inlineStr">
        <is>
          <t>북</t>
        </is>
      </c>
      <c r="G1349" s="31" t="n">
        <v>3</v>
      </c>
      <c r="H1349" s="30" t="n"/>
      <c r="I1349" s="43" t="n"/>
      <c r="J1349" s="41" t="n"/>
      <c r="K1349" s="41" t="n"/>
      <c r="L1349" s="41" t="n"/>
      <c r="M1349" s="31">
        <f>IF(COUNT(J1349:L1349)=0,"",MEDIAN(J1349:L1349))</f>
        <v/>
      </c>
      <c r="N1349" s="26">
        <f>IF(COUNTIFS($C:$C,$C1349,$D:$D,$D1349,$E:$E,"P0(전)",$M:$M,"&gt;0")&lt;&gt;1,"P0(전) 유효 1개 아님",IF(COUNTIFS($C:$C,$C1349,$D:$D,$D1349,$E:$E,"P0(후)",$M:$M,"&gt;0")&lt;&gt;1,"P0(후) 유효 1개 아님",IF(NOT(AND(ISNUMBER(O1349),ISNUMBER(Q1349),ISNUMBER(I1349))),"시각 결측",IF(Q1349&lt;=O1349,"P0 시각 역전",IF(OR(I1349&lt;O1349,I1349&gt;Q1349),"측정시각 구간 밖","OK")))))</f>
        <v/>
      </c>
      <c r="O1349" s="48">
        <f>IF(COUNTIFS($C:$C,$C1349,$D:$D,$D1349,$E:$E,"P0(전)",$M:$M,"&gt;0")&lt;&gt;1,"",SUMIFS($I:$I,$C:$C,$C1349,$D:$D,$D1349,$E:$E,"P0(전)"))</f>
        <v/>
      </c>
      <c r="P1349" s="31">
        <f>IF(COUNTIFS($C:$C,$C1349,$D:$D,$D1349,$E:$E,"P0(전)",$M:$M,"&gt;0")&lt;&gt;1,"",SUMIFS($M:$M,$C:$C,$C1349,$D:$D,$D1349,$E:$E,"P0(전)"))</f>
        <v/>
      </c>
      <c r="Q1349" s="48">
        <f>IF(COUNTIFS($C:$C,$C1349,$D:$D,$D1349,$E:$E,"P0(후)",$M:$M,"&gt;0")&lt;&gt;1,"",SUMIFS($I:$I,$C:$C,$C1349,$D:$D,$D1349,$E:$E,"P0(후)"))</f>
        <v/>
      </c>
      <c r="R1349" s="31">
        <f>IF(COUNTIFS($C:$C,$C1349,$D:$D,$D1349,$E:$E,"P0(후)",$M:$M,"&gt;0")&lt;&gt;1,"",SUMIFS($M:$M,$C:$C,$C1349,$D:$D,$D1349,$E:$E,"P0(후)"))</f>
        <v/>
      </c>
      <c r="S1349" s="31">
        <f>IF(N1349&lt;&gt;"OK","",P1349+(R1349-P1349)*(I1349-O1349)/(Q1349-O1349))</f>
        <v/>
      </c>
      <c r="T1349" s="31">
        <f>IF(OR(N1349&lt;&gt;"OK",NOT(ISNUMBER(M1349))),"",M1349-S1349)</f>
        <v/>
      </c>
      <c r="U1349" s="49">
        <f>IF(OR(NOT(ISNUMBER(T1349)),IF(ISNUMBER(H1349),H1349,G1349)=0),"",T1349/IF(ISNUMBER(H1349),H1349,G1349))</f>
        <v/>
      </c>
      <c r="V1349" s="49">
        <f>IF(ISNUMBER(U1349),ABS(U1349),"")</f>
        <v/>
      </c>
      <c r="W1349" s="49">
        <f>IF(OR($E1348&lt;&gt;"측정",$C1348&lt;&gt;$C1349,$D1348&lt;&gt;$D1349,NOT(ISNUMBER(M1349)),NOT(ISNUMBER(M1348)),(IF(ISNUMBER(H1349),H1349,G1349)-IF(ISNUMBER(H1348),H1348,G1348))=0),"",(M1349-M1348)/(IF(ISNUMBER(H1349),H1349,G1349)-IF(ISNUMBER(H1348),H1348,G1348)))</f>
        <v/>
      </c>
      <c r="X1349" s="31">
        <f>IF(NOT(AND(ISNUMBER(O1349),ISNUMBER(Q1349))),"",(Q1349-O1349)*1440)</f>
        <v/>
      </c>
      <c r="Y1349" s="29" t="n"/>
      <c r="Z1349" s="29" t="n"/>
      <c r="AA1349" s="29" t="n"/>
      <c r="AB1349" s="32" t="n"/>
      <c r="AC1349" s="32" t="n"/>
    </row>
    <row r="1350">
      <c r="A1350" s="26" t="inlineStr">
        <is>
          <t>S26</t>
        </is>
      </c>
      <c r="B1350" s="26" t="inlineStr">
        <is>
          <t>고남 신규점2</t>
        </is>
      </c>
      <c r="C1350" s="26" t="inlineStr">
        <is>
          <t>S26-H북</t>
        </is>
      </c>
      <c r="D1350" s="47" t="n">
        <v>1</v>
      </c>
      <c r="E1350" s="26" t="inlineStr">
        <is>
          <t>측정</t>
        </is>
      </c>
      <c r="F1350" s="26" t="inlineStr">
        <is>
          <t>북</t>
        </is>
      </c>
      <c r="G1350" s="31" t="n">
        <v>4</v>
      </c>
      <c r="H1350" s="30" t="n"/>
      <c r="I1350" s="43" t="n"/>
      <c r="J1350" s="41" t="n"/>
      <c r="K1350" s="41" t="n"/>
      <c r="L1350" s="41" t="n"/>
      <c r="M1350" s="31">
        <f>IF(COUNT(J1350:L1350)=0,"",MEDIAN(J1350:L1350))</f>
        <v/>
      </c>
      <c r="N1350" s="26">
        <f>IF(COUNTIFS($C:$C,$C1350,$D:$D,$D1350,$E:$E,"P0(전)",$M:$M,"&gt;0")&lt;&gt;1,"P0(전) 유효 1개 아님",IF(COUNTIFS($C:$C,$C1350,$D:$D,$D1350,$E:$E,"P0(후)",$M:$M,"&gt;0")&lt;&gt;1,"P0(후) 유효 1개 아님",IF(NOT(AND(ISNUMBER(O1350),ISNUMBER(Q1350),ISNUMBER(I1350))),"시각 결측",IF(Q1350&lt;=O1350,"P0 시각 역전",IF(OR(I1350&lt;O1350,I1350&gt;Q1350),"측정시각 구간 밖","OK")))))</f>
        <v/>
      </c>
      <c r="O1350" s="48">
        <f>IF(COUNTIFS($C:$C,$C1350,$D:$D,$D1350,$E:$E,"P0(전)",$M:$M,"&gt;0")&lt;&gt;1,"",SUMIFS($I:$I,$C:$C,$C1350,$D:$D,$D1350,$E:$E,"P0(전)"))</f>
        <v/>
      </c>
      <c r="P1350" s="31">
        <f>IF(COUNTIFS($C:$C,$C1350,$D:$D,$D1350,$E:$E,"P0(전)",$M:$M,"&gt;0")&lt;&gt;1,"",SUMIFS($M:$M,$C:$C,$C1350,$D:$D,$D1350,$E:$E,"P0(전)"))</f>
        <v/>
      </c>
      <c r="Q1350" s="48">
        <f>IF(COUNTIFS($C:$C,$C1350,$D:$D,$D1350,$E:$E,"P0(후)",$M:$M,"&gt;0")&lt;&gt;1,"",SUMIFS($I:$I,$C:$C,$C1350,$D:$D,$D1350,$E:$E,"P0(후)"))</f>
        <v/>
      </c>
      <c r="R1350" s="31">
        <f>IF(COUNTIFS($C:$C,$C1350,$D:$D,$D1350,$E:$E,"P0(후)",$M:$M,"&gt;0")&lt;&gt;1,"",SUMIFS($M:$M,$C:$C,$C1350,$D:$D,$D1350,$E:$E,"P0(후)"))</f>
        <v/>
      </c>
      <c r="S1350" s="31">
        <f>IF(N1350&lt;&gt;"OK","",P1350+(R1350-P1350)*(I1350-O1350)/(Q1350-O1350))</f>
        <v/>
      </c>
      <c r="T1350" s="31">
        <f>IF(OR(N1350&lt;&gt;"OK",NOT(ISNUMBER(M1350))),"",M1350-S1350)</f>
        <v/>
      </c>
      <c r="U1350" s="49">
        <f>IF(OR(NOT(ISNUMBER(T1350)),IF(ISNUMBER(H1350),H1350,G1350)=0),"",T1350/IF(ISNUMBER(H1350),H1350,G1350))</f>
        <v/>
      </c>
      <c r="V1350" s="49">
        <f>IF(ISNUMBER(U1350),ABS(U1350),"")</f>
        <v/>
      </c>
      <c r="W1350" s="49">
        <f>IF(OR($E1349&lt;&gt;"측정",$C1349&lt;&gt;$C1350,$D1349&lt;&gt;$D1350,NOT(ISNUMBER(M1350)),NOT(ISNUMBER(M1349)),(IF(ISNUMBER(H1350),H1350,G1350)-IF(ISNUMBER(H1349),H1349,G1349))=0),"",(M1350-M1349)/(IF(ISNUMBER(H1350),H1350,G1350)-IF(ISNUMBER(H1349),H1349,G1349)))</f>
        <v/>
      </c>
      <c r="X1350" s="31">
        <f>IF(NOT(AND(ISNUMBER(O1350),ISNUMBER(Q1350))),"",(Q1350-O1350)*1440)</f>
        <v/>
      </c>
      <c r="Y1350" s="29" t="n"/>
      <c r="Z1350" s="29" t="n"/>
      <c r="AA1350" s="29" t="n"/>
      <c r="AB1350" s="32" t="n"/>
      <c r="AC1350" s="32" t="n"/>
    </row>
    <row r="1351">
      <c r="A1351" s="26" t="inlineStr">
        <is>
          <t>S26</t>
        </is>
      </c>
      <c r="B1351" s="26" t="inlineStr">
        <is>
          <t>고남 신규점2</t>
        </is>
      </c>
      <c r="C1351" s="26" t="inlineStr">
        <is>
          <t>S26-H북</t>
        </is>
      </c>
      <c r="D1351" s="47" t="n">
        <v>1</v>
      </c>
      <c r="E1351" s="26" t="inlineStr">
        <is>
          <t>측정</t>
        </is>
      </c>
      <c r="F1351" s="26" t="inlineStr">
        <is>
          <t>북</t>
        </is>
      </c>
      <c r="G1351" s="31" t="n">
        <v>5</v>
      </c>
      <c r="H1351" s="30" t="n"/>
      <c r="I1351" s="43" t="n"/>
      <c r="J1351" s="41" t="n"/>
      <c r="K1351" s="41" t="n"/>
      <c r="L1351" s="41" t="n"/>
      <c r="M1351" s="31">
        <f>IF(COUNT(J1351:L1351)=0,"",MEDIAN(J1351:L1351))</f>
        <v/>
      </c>
      <c r="N1351" s="26">
        <f>IF(COUNTIFS($C:$C,$C1351,$D:$D,$D1351,$E:$E,"P0(전)",$M:$M,"&gt;0")&lt;&gt;1,"P0(전) 유효 1개 아님",IF(COUNTIFS($C:$C,$C1351,$D:$D,$D1351,$E:$E,"P0(후)",$M:$M,"&gt;0")&lt;&gt;1,"P0(후) 유효 1개 아님",IF(NOT(AND(ISNUMBER(O1351),ISNUMBER(Q1351),ISNUMBER(I1351))),"시각 결측",IF(Q1351&lt;=O1351,"P0 시각 역전",IF(OR(I1351&lt;O1351,I1351&gt;Q1351),"측정시각 구간 밖","OK")))))</f>
        <v/>
      </c>
      <c r="O1351" s="48">
        <f>IF(COUNTIFS($C:$C,$C1351,$D:$D,$D1351,$E:$E,"P0(전)",$M:$M,"&gt;0")&lt;&gt;1,"",SUMIFS($I:$I,$C:$C,$C1351,$D:$D,$D1351,$E:$E,"P0(전)"))</f>
        <v/>
      </c>
      <c r="P1351" s="31">
        <f>IF(COUNTIFS($C:$C,$C1351,$D:$D,$D1351,$E:$E,"P0(전)",$M:$M,"&gt;0")&lt;&gt;1,"",SUMIFS($M:$M,$C:$C,$C1351,$D:$D,$D1351,$E:$E,"P0(전)"))</f>
        <v/>
      </c>
      <c r="Q1351" s="48">
        <f>IF(COUNTIFS($C:$C,$C1351,$D:$D,$D1351,$E:$E,"P0(후)",$M:$M,"&gt;0")&lt;&gt;1,"",SUMIFS($I:$I,$C:$C,$C1351,$D:$D,$D1351,$E:$E,"P0(후)"))</f>
        <v/>
      </c>
      <c r="R1351" s="31">
        <f>IF(COUNTIFS($C:$C,$C1351,$D:$D,$D1351,$E:$E,"P0(후)",$M:$M,"&gt;0")&lt;&gt;1,"",SUMIFS($M:$M,$C:$C,$C1351,$D:$D,$D1351,$E:$E,"P0(후)"))</f>
        <v/>
      </c>
      <c r="S1351" s="31">
        <f>IF(N1351&lt;&gt;"OK","",P1351+(R1351-P1351)*(I1351-O1351)/(Q1351-O1351))</f>
        <v/>
      </c>
      <c r="T1351" s="31">
        <f>IF(OR(N1351&lt;&gt;"OK",NOT(ISNUMBER(M1351))),"",M1351-S1351)</f>
        <v/>
      </c>
      <c r="U1351" s="49">
        <f>IF(OR(NOT(ISNUMBER(T1351)),IF(ISNUMBER(H1351),H1351,G1351)=0),"",T1351/IF(ISNUMBER(H1351),H1351,G1351))</f>
        <v/>
      </c>
      <c r="V1351" s="49">
        <f>IF(ISNUMBER(U1351),ABS(U1351),"")</f>
        <v/>
      </c>
      <c r="W1351" s="49">
        <f>IF(OR($E1350&lt;&gt;"측정",$C1350&lt;&gt;$C1351,$D1350&lt;&gt;$D1351,NOT(ISNUMBER(M1351)),NOT(ISNUMBER(M1350)),(IF(ISNUMBER(H1351),H1351,G1351)-IF(ISNUMBER(H1350),H1350,G1350))=0),"",(M1351-M1350)/(IF(ISNUMBER(H1351),H1351,G1351)-IF(ISNUMBER(H1350),H1350,G1350)))</f>
        <v/>
      </c>
      <c r="X1351" s="31">
        <f>IF(NOT(AND(ISNUMBER(O1351),ISNUMBER(Q1351))),"",(Q1351-O1351)*1440)</f>
        <v/>
      </c>
      <c r="Y1351" s="29" t="n"/>
      <c r="Z1351" s="29" t="n"/>
      <c r="AA1351" s="29" t="n"/>
      <c r="AB1351" s="32" t="n"/>
      <c r="AC1351" s="32" t="n"/>
    </row>
    <row r="1352">
      <c r="A1352" s="26" t="inlineStr">
        <is>
          <t>S26</t>
        </is>
      </c>
      <c r="B1352" s="26" t="inlineStr">
        <is>
          <t>고남 신규점2</t>
        </is>
      </c>
      <c r="C1352" s="26" t="inlineStr">
        <is>
          <t>S26-H북</t>
        </is>
      </c>
      <c r="D1352" s="47" t="n">
        <v>1</v>
      </c>
      <c r="E1352" s="26" t="inlineStr">
        <is>
          <t>측정</t>
        </is>
      </c>
      <c r="F1352" s="26" t="inlineStr">
        <is>
          <t>북</t>
        </is>
      </c>
      <c r="G1352" s="31" t="n">
        <v>6</v>
      </c>
      <c r="H1352" s="30" t="n"/>
      <c r="I1352" s="43" t="n"/>
      <c r="J1352" s="41" t="n"/>
      <c r="K1352" s="41" t="n"/>
      <c r="L1352" s="41" t="n"/>
      <c r="M1352" s="31">
        <f>IF(COUNT(J1352:L1352)=0,"",MEDIAN(J1352:L1352))</f>
        <v/>
      </c>
      <c r="N1352" s="26">
        <f>IF(COUNTIFS($C:$C,$C1352,$D:$D,$D1352,$E:$E,"P0(전)",$M:$M,"&gt;0")&lt;&gt;1,"P0(전) 유효 1개 아님",IF(COUNTIFS($C:$C,$C1352,$D:$D,$D1352,$E:$E,"P0(후)",$M:$M,"&gt;0")&lt;&gt;1,"P0(후) 유효 1개 아님",IF(NOT(AND(ISNUMBER(O1352),ISNUMBER(Q1352),ISNUMBER(I1352))),"시각 결측",IF(Q1352&lt;=O1352,"P0 시각 역전",IF(OR(I1352&lt;O1352,I1352&gt;Q1352),"측정시각 구간 밖","OK")))))</f>
        <v/>
      </c>
      <c r="O1352" s="48">
        <f>IF(COUNTIFS($C:$C,$C1352,$D:$D,$D1352,$E:$E,"P0(전)",$M:$M,"&gt;0")&lt;&gt;1,"",SUMIFS($I:$I,$C:$C,$C1352,$D:$D,$D1352,$E:$E,"P0(전)"))</f>
        <v/>
      </c>
      <c r="P1352" s="31">
        <f>IF(COUNTIFS($C:$C,$C1352,$D:$D,$D1352,$E:$E,"P0(전)",$M:$M,"&gt;0")&lt;&gt;1,"",SUMIFS($M:$M,$C:$C,$C1352,$D:$D,$D1352,$E:$E,"P0(전)"))</f>
        <v/>
      </c>
      <c r="Q1352" s="48">
        <f>IF(COUNTIFS($C:$C,$C1352,$D:$D,$D1352,$E:$E,"P0(후)",$M:$M,"&gt;0")&lt;&gt;1,"",SUMIFS($I:$I,$C:$C,$C1352,$D:$D,$D1352,$E:$E,"P0(후)"))</f>
        <v/>
      </c>
      <c r="R1352" s="31">
        <f>IF(COUNTIFS($C:$C,$C1352,$D:$D,$D1352,$E:$E,"P0(후)",$M:$M,"&gt;0")&lt;&gt;1,"",SUMIFS($M:$M,$C:$C,$C1352,$D:$D,$D1352,$E:$E,"P0(후)"))</f>
        <v/>
      </c>
      <c r="S1352" s="31">
        <f>IF(N1352&lt;&gt;"OK","",P1352+(R1352-P1352)*(I1352-O1352)/(Q1352-O1352))</f>
        <v/>
      </c>
      <c r="T1352" s="31">
        <f>IF(OR(N1352&lt;&gt;"OK",NOT(ISNUMBER(M1352))),"",M1352-S1352)</f>
        <v/>
      </c>
      <c r="U1352" s="49">
        <f>IF(OR(NOT(ISNUMBER(T1352)),IF(ISNUMBER(H1352),H1352,G1352)=0),"",T1352/IF(ISNUMBER(H1352),H1352,G1352))</f>
        <v/>
      </c>
      <c r="V1352" s="49">
        <f>IF(ISNUMBER(U1352),ABS(U1352),"")</f>
        <v/>
      </c>
      <c r="W1352" s="49">
        <f>IF(OR($E1351&lt;&gt;"측정",$C1351&lt;&gt;$C1352,$D1351&lt;&gt;$D1352,NOT(ISNUMBER(M1352)),NOT(ISNUMBER(M1351)),(IF(ISNUMBER(H1352),H1352,G1352)-IF(ISNUMBER(H1351),H1351,G1351))=0),"",(M1352-M1351)/(IF(ISNUMBER(H1352),H1352,G1352)-IF(ISNUMBER(H1351),H1351,G1351)))</f>
        <v/>
      </c>
      <c r="X1352" s="31">
        <f>IF(NOT(AND(ISNUMBER(O1352),ISNUMBER(Q1352))),"",(Q1352-O1352)*1440)</f>
        <v/>
      </c>
      <c r="Y1352" s="29" t="n"/>
      <c r="Z1352" s="29" t="n"/>
      <c r="AA1352" s="29" t="n"/>
      <c r="AB1352" s="32" t="n"/>
      <c r="AC1352" s="32" t="n"/>
    </row>
    <row r="1353">
      <c r="A1353" s="26" t="inlineStr">
        <is>
          <t>S26</t>
        </is>
      </c>
      <c r="B1353" s="26" t="inlineStr">
        <is>
          <t>고남 신규점2</t>
        </is>
      </c>
      <c r="C1353" s="26" t="inlineStr">
        <is>
          <t>S26-H북</t>
        </is>
      </c>
      <c r="D1353" s="47" t="n">
        <v>1</v>
      </c>
      <c r="E1353" s="26" t="inlineStr">
        <is>
          <t>측정</t>
        </is>
      </c>
      <c r="F1353" s="26" t="inlineStr">
        <is>
          <t>북</t>
        </is>
      </c>
      <c r="G1353" s="31" t="n">
        <v>7</v>
      </c>
      <c r="H1353" s="30" t="n"/>
      <c r="I1353" s="43" t="n"/>
      <c r="J1353" s="41" t="n"/>
      <c r="K1353" s="41" t="n"/>
      <c r="L1353" s="41" t="n"/>
      <c r="M1353" s="31">
        <f>IF(COUNT(J1353:L1353)=0,"",MEDIAN(J1353:L1353))</f>
        <v/>
      </c>
      <c r="N1353" s="26">
        <f>IF(COUNTIFS($C:$C,$C1353,$D:$D,$D1353,$E:$E,"P0(전)",$M:$M,"&gt;0")&lt;&gt;1,"P0(전) 유효 1개 아님",IF(COUNTIFS($C:$C,$C1353,$D:$D,$D1353,$E:$E,"P0(후)",$M:$M,"&gt;0")&lt;&gt;1,"P0(후) 유효 1개 아님",IF(NOT(AND(ISNUMBER(O1353),ISNUMBER(Q1353),ISNUMBER(I1353))),"시각 결측",IF(Q1353&lt;=O1353,"P0 시각 역전",IF(OR(I1353&lt;O1353,I1353&gt;Q1353),"측정시각 구간 밖","OK")))))</f>
        <v/>
      </c>
      <c r="O1353" s="48">
        <f>IF(COUNTIFS($C:$C,$C1353,$D:$D,$D1353,$E:$E,"P0(전)",$M:$M,"&gt;0")&lt;&gt;1,"",SUMIFS($I:$I,$C:$C,$C1353,$D:$D,$D1353,$E:$E,"P0(전)"))</f>
        <v/>
      </c>
      <c r="P1353" s="31">
        <f>IF(COUNTIFS($C:$C,$C1353,$D:$D,$D1353,$E:$E,"P0(전)",$M:$M,"&gt;0")&lt;&gt;1,"",SUMIFS($M:$M,$C:$C,$C1353,$D:$D,$D1353,$E:$E,"P0(전)"))</f>
        <v/>
      </c>
      <c r="Q1353" s="48">
        <f>IF(COUNTIFS($C:$C,$C1353,$D:$D,$D1353,$E:$E,"P0(후)",$M:$M,"&gt;0")&lt;&gt;1,"",SUMIFS($I:$I,$C:$C,$C1353,$D:$D,$D1353,$E:$E,"P0(후)"))</f>
        <v/>
      </c>
      <c r="R1353" s="31">
        <f>IF(COUNTIFS($C:$C,$C1353,$D:$D,$D1353,$E:$E,"P0(후)",$M:$M,"&gt;0")&lt;&gt;1,"",SUMIFS($M:$M,$C:$C,$C1353,$D:$D,$D1353,$E:$E,"P0(후)"))</f>
        <v/>
      </c>
      <c r="S1353" s="31">
        <f>IF(N1353&lt;&gt;"OK","",P1353+(R1353-P1353)*(I1353-O1353)/(Q1353-O1353))</f>
        <v/>
      </c>
      <c r="T1353" s="31">
        <f>IF(OR(N1353&lt;&gt;"OK",NOT(ISNUMBER(M1353))),"",M1353-S1353)</f>
        <v/>
      </c>
      <c r="U1353" s="49">
        <f>IF(OR(NOT(ISNUMBER(T1353)),IF(ISNUMBER(H1353),H1353,G1353)=0),"",T1353/IF(ISNUMBER(H1353),H1353,G1353))</f>
        <v/>
      </c>
      <c r="V1353" s="49">
        <f>IF(ISNUMBER(U1353),ABS(U1353),"")</f>
        <v/>
      </c>
      <c r="W1353" s="49">
        <f>IF(OR($E1352&lt;&gt;"측정",$C1352&lt;&gt;$C1353,$D1352&lt;&gt;$D1353,NOT(ISNUMBER(M1353)),NOT(ISNUMBER(M1352)),(IF(ISNUMBER(H1353),H1353,G1353)-IF(ISNUMBER(H1352),H1352,G1352))=0),"",(M1353-M1352)/(IF(ISNUMBER(H1353),H1353,G1353)-IF(ISNUMBER(H1352),H1352,G1352)))</f>
        <v/>
      </c>
      <c r="X1353" s="31">
        <f>IF(NOT(AND(ISNUMBER(O1353),ISNUMBER(Q1353))),"",(Q1353-O1353)*1440)</f>
        <v/>
      </c>
      <c r="Y1353" s="29" t="n"/>
      <c r="Z1353" s="29" t="n"/>
      <c r="AA1353" s="29" t="n"/>
      <c r="AB1353" s="32" t="n"/>
      <c r="AC1353" s="32" t="n"/>
    </row>
    <row r="1354">
      <c r="A1354" s="26" t="inlineStr">
        <is>
          <t>S26</t>
        </is>
      </c>
      <c r="B1354" s="26" t="inlineStr">
        <is>
          <t>고남 신규점2</t>
        </is>
      </c>
      <c r="C1354" s="26" t="inlineStr">
        <is>
          <t>S26-H북</t>
        </is>
      </c>
      <c r="D1354" s="47" t="n">
        <v>1</v>
      </c>
      <c r="E1354" s="26" t="inlineStr">
        <is>
          <t>측정</t>
        </is>
      </c>
      <c r="F1354" s="26" t="inlineStr">
        <is>
          <t>북</t>
        </is>
      </c>
      <c r="G1354" s="31" t="n">
        <v>8</v>
      </c>
      <c r="H1354" s="30" t="n"/>
      <c r="I1354" s="43" t="n"/>
      <c r="J1354" s="41" t="n"/>
      <c r="K1354" s="41" t="n"/>
      <c r="L1354" s="41" t="n"/>
      <c r="M1354" s="31">
        <f>IF(COUNT(J1354:L1354)=0,"",MEDIAN(J1354:L1354))</f>
        <v/>
      </c>
      <c r="N1354" s="26">
        <f>IF(COUNTIFS($C:$C,$C1354,$D:$D,$D1354,$E:$E,"P0(전)",$M:$M,"&gt;0")&lt;&gt;1,"P0(전) 유효 1개 아님",IF(COUNTIFS($C:$C,$C1354,$D:$D,$D1354,$E:$E,"P0(후)",$M:$M,"&gt;0")&lt;&gt;1,"P0(후) 유효 1개 아님",IF(NOT(AND(ISNUMBER(O1354),ISNUMBER(Q1354),ISNUMBER(I1354))),"시각 결측",IF(Q1354&lt;=O1354,"P0 시각 역전",IF(OR(I1354&lt;O1354,I1354&gt;Q1354),"측정시각 구간 밖","OK")))))</f>
        <v/>
      </c>
      <c r="O1354" s="48">
        <f>IF(COUNTIFS($C:$C,$C1354,$D:$D,$D1354,$E:$E,"P0(전)",$M:$M,"&gt;0")&lt;&gt;1,"",SUMIFS($I:$I,$C:$C,$C1354,$D:$D,$D1354,$E:$E,"P0(전)"))</f>
        <v/>
      </c>
      <c r="P1354" s="31">
        <f>IF(COUNTIFS($C:$C,$C1354,$D:$D,$D1354,$E:$E,"P0(전)",$M:$M,"&gt;0")&lt;&gt;1,"",SUMIFS($M:$M,$C:$C,$C1354,$D:$D,$D1354,$E:$E,"P0(전)"))</f>
        <v/>
      </c>
      <c r="Q1354" s="48">
        <f>IF(COUNTIFS($C:$C,$C1354,$D:$D,$D1354,$E:$E,"P0(후)",$M:$M,"&gt;0")&lt;&gt;1,"",SUMIFS($I:$I,$C:$C,$C1354,$D:$D,$D1354,$E:$E,"P0(후)"))</f>
        <v/>
      </c>
      <c r="R1354" s="31">
        <f>IF(COUNTIFS($C:$C,$C1354,$D:$D,$D1354,$E:$E,"P0(후)",$M:$M,"&gt;0")&lt;&gt;1,"",SUMIFS($M:$M,$C:$C,$C1354,$D:$D,$D1354,$E:$E,"P0(후)"))</f>
        <v/>
      </c>
      <c r="S1354" s="31">
        <f>IF(N1354&lt;&gt;"OK","",P1354+(R1354-P1354)*(I1354-O1354)/(Q1354-O1354))</f>
        <v/>
      </c>
      <c r="T1354" s="31">
        <f>IF(OR(N1354&lt;&gt;"OK",NOT(ISNUMBER(M1354))),"",M1354-S1354)</f>
        <v/>
      </c>
      <c r="U1354" s="49">
        <f>IF(OR(NOT(ISNUMBER(T1354)),IF(ISNUMBER(H1354),H1354,G1354)=0),"",T1354/IF(ISNUMBER(H1354),H1354,G1354))</f>
        <v/>
      </c>
      <c r="V1354" s="49">
        <f>IF(ISNUMBER(U1354),ABS(U1354),"")</f>
        <v/>
      </c>
      <c r="W1354" s="49">
        <f>IF(OR($E1353&lt;&gt;"측정",$C1353&lt;&gt;$C1354,$D1353&lt;&gt;$D1354,NOT(ISNUMBER(M1354)),NOT(ISNUMBER(M1353)),(IF(ISNUMBER(H1354),H1354,G1354)-IF(ISNUMBER(H1353),H1353,G1353))=0),"",(M1354-M1353)/(IF(ISNUMBER(H1354),H1354,G1354)-IF(ISNUMBER(H1353),H1353,G1353)))</f>
        <v/>
      </c>
      <c r="X1354" s="31">
        <f>IF(NOT(AND(ISNUMBER(O1354),ISNUMBER(Q1354))),"",(Q1354-O1354)*1440)</f>
        <v/>
      </c>
      <c r="Y1354" s="29" t="n"/>
      <c r="Z1354" s="29" t="n"/>
      <c r="AA1354" s="29" t="n"/>
      <c r="AB1354" s="32" t="n"/>
      <c r="AC1354" s="32" t="n"/>
    </row>
    <row r="1355">
      <c r="A1355" s="26" t="inlineStr">
        <is>
          <t>S26</t>
        </is>
      </c>
      <c r="B1355" s="26" t="inlineStr">
        <is>
          <t>고남 신규점2</t>
        </is>
      </c>
      <c r="C1355" s="26" t="inlineStr">
        <is>
          <t>S26-H북</t>
        </is>
      </c>
      <c r="D1355" s="47" t="n">
        <v>1</v>
      </c>
      <c r="E1355" s="26" t="inlineStr">
        <is>
          <t>측정</t>
        </is>
      </c>
      <c r="F1355" s="26" t="inlineStr">
        <is>
          <t>북</t>
        </is>
      </c>
      <c r="G1355" s="31" t="n">
        <v>9</v>
      </c>
      <c r="H1355" s="30" t="n"/>
      <c r="I1355" s="43" t="n"/>
      <c r="J1355" s="41" t="n"/>
      <c r="K1355" s="41" t="n"/>
      <c r="L1355" s="41" t="n"/>
      <c r="M1355" s="31">
        <f>IF(COUNT(J1355:L1355)=0,"",MEDIAN(J1355:L1355))</f>
        <v/>
      </c>
      <c r="N1355" s="26">
        <f>IF(COUNTIFS($C:$C,$C1355,$D:$D,$D1355,$E:$E,"P0(전)",$M:$M,"&gt;0")&lt;&gt;1,"P0(전) 유효 1개 아님",IF(COUNTIFS($C:$C,$C1355,$D:$D,$D1355,$E:$E,"P0(후)",$M:$M,"&gt;0")&lt;&gt;1,"P0(후) 유효 1개 아님",IF(NOT(AND(ISNUMBER(O1355),ISNUMBER(Q1355),ISNUMBER(I1355))),"시각 결측",IF(Q1355&lt;=O1355,"P0 시각 역전",IF(OR(I1355&lt;O1355,I1355&gt;Q1355),"측정시각 구간 밖","OK")))))</f>
        <v/>
      </c>
      <c r="O1355" s="48">
        <f>IF(COUNTIFS($C:$C,$C1355,$D:$D,$D1355,$E:$E,"P0(전)",$M:$M,"&gt;0")&lt;&gt;1,"",SUMIFS($I:$I,$C:$C,$C1355,$D:$D,$D1355,$E:$E,"P0(전)"))</f>
        <v/>
      </c>
      <c r="P1355" s="31">
        <f>IF(COUNTIFS($C:$C,$C1355,$D:$D,$D1355,$E:$E,"P0(전)",$M:$M,"&gt;0")&lt;&gt;1,"",SUMIFS($M:$M,$C:$C,$C1355,$D:$D,$D1355,$E:$E,"P0(전)"))</f>
        <v/>
      </c>
      <c r="Q1355" s="48">
        <f>IF(COUNTIFS($C:$C,$C1355,$D:$D,$D1355,$E:$E,"P0(후)",$M:$M,"&gt;0")&lt;&gt;1,"",SUMIFS($I:$I,$C:$C,$C1355,$D:$D,$D1355,$E:$E,"P0(후)"))</f>
        <v/>
      </c>
      <c r="R1355" s="31">
        <f>IF(COUNTIFS($C:$C,$C1355,$D:$D,$D1355,$E:$E,"P0(후)",$M:$M,"&gt;0")&lt;&gt;1,"",SUMIFS($M:$M,$C:$C,$C1355,$D:$D,$D1355,$E:$E,"P0(후)"))</f>
        <v/>
      </c>
      <c r="S1355" s="31">
        <f>IF(N1355&lt;&gt;"OK","",P1355+(R1355-P1355)*(I1355-O1355)/(Q1355-O1355))</f>
        <v/>
      </c>
      <c r="T1355" s="31">
        <f>IF(OR(N1355&lt;&gt;"OK",NOT(ISNUMBER(M1355))),"",M1355-S1355)</f>
        <v/>
      </c>
      <c r="U1355" s="49">
        <f>IF(OR(NOT(ISNUMBER(T1355)),IF(ISNUMBER(H1355),H1355,G1355)=0),"",T1355/IF(ISNUMBER(H1355),H1355,G1355))</f>
        <v/>
      </c>
      <c r="V1355" s="49">
        <f>IF(ISNUMBER(U1355),ABS(U1355),"")</f>
        <v/>
      </c>
      <c r="W1355" s="49">
        <f>IF(OR($E1354&lt;&gt;"측정",$C1354&lt;&gt;$C1355,$D1354&lt;&gt;$D1355,NOT(ISNUMBER(M1355)),NOT(ISNUMBER(M1354)),(IF(ISNUMBER(H1355),H1355,G1355)-IF(ISNUMBER(H1354),H1354,G1354))=0),"",(M1355-M1354)/(IF(ISNUMBER(H1355),H1355,G1355)-IF(ISNUMBER(H1354),H1354,G1354)))</f>
        <v/>
      </c>
      <c r="X1355" s="31">
        <f>IF(NOT(AND(ISNUMBER(O1355),ISNUMBER(Q1355))),"",(Q1355-O1355)*1440)</f>
        <v/>
      </c>
      <c r="Y1355" s="29" t="n"/>
      <c r="Z1355" s="29" t="n"/>
      <c r="AA1355" s="29" t="n"/>
      <c r="AB1355" s="32" t="n"/>
      <c r="AC1355" s="32" t="n"/>
    </row>
    <row r="1356">
      <c r="A1356" s="26" t="inlineStr">
        <is>
          <t>S26</t>
        </is>
      </c>
      <c r="B1356" s="26" t="inlineStr">
        <is>
          <t>고남 신규점2</t>
        </is>
      </c>
      <c r="C1356" s="26" t="inlineStr">
        <is>
          <t>S26-H북</t>
        </is>
      </c>
      <c r="D1356" s="47" t="n">
        <v>1</v>
      </c>
      <c r="E1356" s="26" t="inlineStr">
        <is>
          <t>측정</t>
        </is>
      </c>
      <c r="F1356" s="26" t="inlineStr">
        <is>
          <t>북</t>
        </is>
      </c>
      <c r="G1356" s="31" t="n">
        <v>10</v>
      </c>
      <c r="H1356" s="30" t="n"/>
      <c r="I1356" s="43" t="n"/>
      <c r="J1356" s="41" t="n"/>
      <c r="K1356" s="41" t="n"/>
      <c r="L1356" s="41" t="n"/>
      <c r="M1356" s="31">
        <f>IF(COUNT(J1356:L1356)=0,"",MEDIAN(J1356:L1356))</f>
        <v/>
      </c>
      <c r="N1356" s="26">
        <f>IF(COUNTIFS($C:$C,$C1356,$D:$D,$D1356,$E:$E,"P0(전)",$M:$M,"&gt;0")&lt;&gt;1,"P0(전) 유효 1개 아님",IF(COUNTIFS($C:$C,$C1356,$D:$D,$D1356,$E:$E,"P0(후)",$M:$M,"&gt;0")&lt;&gt;1,"P0(후) 유효 1개 아님",IF(NOT(AND(ISNUMBER(O1356),ISNUMBER(Q1356),ISNUMBER(I1356))),"시각 결측",IF(Q1356&lt;=O1356,"P0 시각 역전",IF(OR(I1356&lt;O1356,I1356&gt;Q1356),"측정시각 구간 밖","OK")))))</f>
        <v/>
      </c>
      <c r="O1356" s="48">
        <f>IF(COUNTIFS($C:$C,$C1356,$D:$D,$D1356,$E:$E,"P0(전)",$M:$M,"&gt;0")&lt;&gt;1,"",SUMIFS($I:$I,$C:$C,$C1356,$D:$D,$D1356,$E:$E,"P0(전)"))</f>
        <v/>
      </c>
      <c r="P1356" s="31">
        <f>IF(COUNTIFS($C:$C,$C1356,$D:$D,$D1356,$E:$E,"P0(전)",$M:$M,"&gt;0")&lt;&gt;1,"",SUMIFS($M:$M,$C:$C,$C1356,$D:$D,$D1356,$E:$E,"P0(전)"))</f>
        <v/>
      </c>
      <c r="Q1356" s="48">
        <f>IF(COUNTIFS($C:$C,$C1356,$D:$D,$D1356,$E:$E,"P0(후)",$M:$M,"&gt;0")&lt;&gt;1,"",SUMIFS($I:$I,$C:$C,$C1356,$D:$D,$D1356,$E:$E,"P0(후)"))</f>
        <v/>
      </c>
      <c r="R1356" s="31">
        <f>IF(COUNTIFS($C:$C,$C1356,$D:$D,$D1356,$E:$E,"P0(후)",$M:$M,"&gt;0")&lt;&gt;1,"",SUMIFS($M:$M,$C:$C,$C1356,$D:$D,$D1356,$E:$E,"P0(후)"))</f>
        <v/>
      </c>
      <c r="S1356" s="31">
        <f>IF(N1356&lt;&gt;"OK","",P1356+(R1356-P1356)*(I1356-O1356)/(Q1356-O1356))</f>
        <v/>
      </c>
      <c r="T1356" s="31">
        <f>IF(OR(N1356&lt;&gt;"OK",NOT(ISNUMBER(M1356))),"",M1356-S1356)</f>
        <v/>
      </c>
      <c r="U1356" s="49">
        <f>IF(OR(NOT(ISNUMBER(T1356)),IF(ISNUMBER(H1356),H1356,G1356)=0),"",T1356/IF(ISNUMBER(H1356),H1356,G1356))</f>
        <v/>
      </c>
      <c r="V1356" s="49">
        <f>IF(ISNUMBER(U1356),ABS(U1356),"")</f>
        <v/>
      </c>
      <c r="W1356" s="49">
        <f>IF(OR($E1355&lt;&gt;"측정",$C1355&lt;&gt;$C1356,$D1355&lt;&gt;$D1356,NOT(ISNUMBER(M1356)),NOT(ISNUMBER(M1355)),(IF(ISNUMBER(H1356),H1356,G1356)-IF(ISNUMBER(H1355),H1355,G1355))=0),"",(M1356-M1355)/(IF(ISNUMBER(H1356),H1356,G1356)-IF(ISNUMBER(H1355),H1355,G1355)))</f>
        <v/>
      </c>
      <c r="X1356" s="31">
        <f>IF(NOT(AND(ISNUMBER(O1356),ISNUMBER(Q1356))),"",(Q1356-O1356)*1440)</f>
        <v/>
      </c>
      <c r="Y1356" s="29" t="n"/>
      <c r="Z1356" s="29" t="n"/>
      <c r="AA1356" s="29" t="n"/>
      <c r="AB1356" s="32" t="n"/>
      <c r="AC1356" s="32" t="n"/>
    </row>
    <row r="1357">
      <c r="A1357" s="44" t="inlineStr">
        <is>
          <t>S26</t>
        </is>
      </c>
      <c r="B1357" s="44" t="inlineStr">
        <is>
          <t>고남 신규점2</t>
        </is>
      </c>
      <c r="C1357" s="44" t="inlineStr">
        <is>
          <t>S26-H북</t>
        </is>
      </c>
      <c r="D1357" s="45" t="n">
        <v>1</v>
      </c>
      <c r="E1357" s="44" t="inlineStr">
        <is>
          <t>P0(후)</t>
        </is>
      </c>
      <c r="F1357" s="44" t="inlineStr">
        <is>
          <t>북</t>
        </is>
      </c>
      <c r="G1357" s="46" t="n"/>
      <c r="H1357" s="30" t="n"/>
      <c r="I1357" s="43" t="n"/>
      <c r="J1357" s="41" t="n"/>
      <c r="K1357" s="41" t="n"/>
      <c r="L1357" s="41" t="n"/>
      <c r="M1357" s="31">
        <f>IF(COUNT(J1357:L1357)=0,"",MEDIAN(J1357:L1357))</f>
        <v/>
      </c>
      <c r="N1357" s="38" t="n"/>
      <c r="O1357" s="38" t="n"/>
      <c r="P1357" s="38" t="n"/>
      <c r="Q1357" s="38" t="n"/>
      <c r="R1357" s="38" t="n"/>
      <c r="S1357" s="38" t="n"/>
      <c r="T1357" s="38" t="n"/>
      <c r="U1357" s="38" t="n"/>
      <c r="V1357" s="38" t="n"/>
      <c r="W1357" s="38" t="n"/>
      <c r="X1357" s="38" t="n"/>
      <c r="Y1357" s="29" t="n"/>
      <c r="Z1357" s="29" t="n"/>
      <c r="AA1357" s="29" t="n"/>
      <c r="AB1357" s="32" t="n"/>
      <c r="AC1357" s="32" t="n"/>
    </row>
    <row r="1358">
      <c r="A1358" s="44" t="inlineStr">
        <is>
          <t>S27</t>
        </is>
      </c>
      <c r="B1358" s="44" t="inlineStr">
        <is>
          <t>전의 신규점</t>
        </is>
      </c>
      <c r="C1358" s="44" t="inlineStr">
        <is>
          <t>S27-H동</t>
        </is>
      </c>
      <c r="D1358" s="45" t="n">
        <v>1</v>
      </c>
      <c r="E1358" s="44" t="inlineStr">
        <is>
          <t>P0(전)</t>
        </is>
      </c>
      <c r="F1358" s="44" t="inlineStr">
        <is>
          <t>동</t>
        </is>
      </c>
      <c r="G1358" s="46" t="n"/>
      <c r="H1358" s="30" t="n"/>
      <c r="I1358" s="43" t="n"/>
      <c r="J1358" s="41" t="n"/>
      <c r="K1358" s="41" t="n"/>
      <c r="L1358" s="41" t="n"/>
      <c r="M1358" s="31">
        <f>IF(COUNT(J1358:L1358)=0,"",MEDIAN(J1358:L1358))</f>
        <v/>
      </c>
      <c r="N1358" s="38" t="n"/>
      <c r="O1358" s="38" t="n"/>
      <c r="P1358" s="38" t="n"/>
      <c r="Q1358" s="38" t="n"/>
      <c r="R1358" s="38" t="n"/>
      <c r="S1358" s="38" t="n"/>
      <c r="T1358" s="38" t="n"/>
      <c r="U1358" s="38" t="n"/>
      <c r="V1358" s="38" t="n"/>
      <c r="W1358" s="38" t="n"/>
      <c r="X1358" s="38" t="n"/>
      <c r="Y1358" s="29" t="n"/>
      <c r="Z1358" s="29" t="n"/>
      <c r="AA1358" s="29" t="n"/>
      <c r="AB1358" s="32" t="n"/>
      <c r="AC1358" s="32" t="n"/>
    </row>
    <row r="1359">
      <c r="A1359" s="26" t="inlineStr">
        <is>
          <t>S27</t>
        </is>
      </c>
      <c r="B1359" s="26" t="inlineStr">
        <is>
          <t>전의 신규점</t>
        </is>
      </c>
      <c r="C1359" s="26" t="inlineStr">
        <is>
          <t>S27-H동</t>
        </is>
      </c>
      <c r="D1359" s="47" t="n">
        <v>1</v>
      </c>
      <c r="E1359" s="26" t="inlineStr">
        <is>
          <t>측정</t>
        </is>
      </c>
      <c r="F1359" s="26" t="inlineStr">
        <is>
          <t>동</t>
        </is>
      </c>
      <c r="G1359" s="31" t="n">
        <v>0.5</v>
      </c>
      <c r="H1359" s="30" t="n"/>
      <c r="I1359" s="43" t="n"/>
      <c r="J1359" s="41" t="n"/>
      <c r="K1359" s="41" t="n"/>
      <c r="L1359" s="41" t="n"/>
      <c r="M1359" s="31">
        <f>IF(COUNT(J1359:L1359)=0,"",MEDIAN(J1359:L1359))</f>
        <v/>
      </c>
      <c r="N1359" s="26">
        <f>IF(COUNTIFS($C:$C,$C1359,$D:$D,$D1359,$E:$E,"P0(전)",$M:$M,"&gt;0")&lt;&gt;1,"P0(전) 유효 1개 아님",IF(COUNTIFS($C:$C,$C1359,$D:$D,$D1359,$E:$E,"P0(후)",$M:$M,"&gt;0")&lt;&gt;1,"P0(후) 유효 1개 아님",IF(NOT(AND(ISNUMBER(O1359),ISNUMBER(Q1359),ISNUMBER(I1359))),"시각 결측",IF(Q1359&lt;=O1359,"P0 시각 역전",IF(OR(I1359&lt;O1359,I1359&gt;Q1359),"측정시각 구간 밖","OK")))))</f>
        <v/>
      </c>
      <c r="O1359" s="48">
        <f>IF(COUNTIFS($C:$C,$C1359,$D:$D,$D1359,$E:$E,"P0(전)",$M:$M,"&gt;0")&lt;&gt;1,"",SUMIFS($I:$I,$C:$C,$C1359,$D:$D,$D1359,$E:$E,"P0(전)"))</f>
        <v/>
      </c>
      <c r="P1359" s="31">
        <f>IF(COUNTIFS($C:$C,$C1359,$D:$D,$D1359,$E:$E,"P0(전)",$M:$M,"&gt;0")&lt;&gt;1,"",SUMIFS($M:$M,$C:$C,$C1359,$D:$D,$D1359,$E:$E,"P0(전)"))</f>
        <v/>
      </c>
      <c r="Q1359" s="48">
        <f>IF(COUNTIFS($C:$C,$C1359,$D:$D,$D1359,$E:$E,"P0(후)",$M:$M,"&gt;0")&lt;&gt;1,"",SUMIFS($I:$I,$C:$C,$C1359,$D:$D,$D1359,$E:$E,"P0(후)"))</f>
        <v/>
      </c>
      <c r="R1359" s="31">
        <f>IF(COUNTIFS($C:$C,$C1359,$D:$D,$D1359,$E:$E,"P0(후)",$M:$M,"&gt;0")&lt;&gt;1,"",SUMIFS($M:$M,$C:$C,$C1359,$D:$D,$D1359,$E:$E,"P0(후)"))</f>
        <v/>
      </c>
      <c r="S1359" s="31">
        <f>IF(N1359&lt;&gt;"OK","",P1359+(R1359-P1359)*(I1359-O1359)/(Q1359-O1359))</f>
        <v/>
      </c>
      <c r="T1359" s="31">
        <f>IF(OR(N1359&lt;&gt;"OK",NOT(ISNUMBER(M1359))),"",M1359-S1359)</f>
        <v/>
      </c>
      <c r="U1359" s="49">
        <f>IF(OR(NOT(ISNUMBER(T1359)),IF(ISNUMBER(H1359),H1359,G1359)=0),"",T1359/IF(ISNUMBER(H1359),H1359,G1359))</f>
        <v/>
      </c>
      <c r="V1359" s="49">
        <f>IF(ISNUMBER(U1359),ABS(U1359),"")</f>
        <v/>
      </c>
      <c r="W1359" s="49">
        <f>IF(OR($E1358&lt;&gt;"측정",$C1358&lt;&gt;$C1359,$D1358&lt;&gt;$D1359,NOT(ISNUMBER(M1359)),NOT(ISNUMBER(M1358)),(IF(ISNUMBER(H1359),H1359,G1359)-IF(ISNUMBER(H1358),H1358,G1358))=0),"",(M1359-M1358)/(IF(ISNUMBER(H1359),H1359,G1359)-IF(ISNUMBER(H1358),H1358,G1358)))</f>
        <v/>
      </c>
      <c r="X1359" s="31">
        <f>IF(NOT(AND(ISNUMBER(O1359),ISNUMBER(Q1359))),"",(Q1359-O1359)*1440)</f>
        <v/>
      </c>
      <c r="Y1359" s="29" t="n"/>
      <c r="Z1359" s="29" t="n"/>
      <c r="AA1359" s="29" t="n"/>
      <c r="AB1359" s="32" t="n"/>
      <c r="AC1359" s="32" t="n"/>
    </row>
    <row r="1360">
      <c r="A1360" s="26" t="inlineStr">
        <is>
          <t>S27</t>
        </is>
      </c>
      <c r="B1360" s="26" t="inlineStr">
        <is>
          <t>전의 신규점</t>
        </is>
      </c>
      <c r="C1360" s="26" t="inlineStr">
        <is>
          <t>S27-H동</t>
        </is>
      </c>
      <c r="D1360" s="47" t="n">
        <v>1</v>
      </c>
      <c r="E1360" s="26" t="inlineStr">
        <is>
          <t>측정</t>
        </is>
      </c>
      <c r="F1360" s="26" t="inlineStr">
        <is>
          <t>동</t>
        </is>
      </c>
      <c r="G1360" s="31" t="n">
        <v>1</v>
      </c>
      <c r="H1360" s="30" t="n"/>
      <c r="I1360" s="43" t="n"/>
      <c r="J1360" s="41" t="n"/>
      <c r="K1360" s="41" t="n"/>
      <c r="L1360" s="41" t="n"/>
      <c r="M1360" s="31">
        <f>IF(COUNT(J1360:L1360)=0,"",MEDIAN(J1360:L1360))</f>
        <v/>
      </c>
      <c r="N1360" s="26">
        <f>IF(COUNTIFS($C:$C,$C1360,$D:$D,$D1360,$E:$E,"P0(전)",$M:$M,"&gt;0")&lt;&gt;1,"P0(전) 유효 1개 아님",IF(COUNTIFS($C:$C,$C1360,$D:$D,$D1360,$E:$E,"P0(후)",$M:$M,"&gt;0")&lt;&gt;1,"P0(후) 유효 1개 아님",IF(NOT(AND(ISNUMBER(O1360),ISNUMBER(Q1360),ISNUMBER(I1360))),"시각 결측",IF(Q1360&lt;=O1360,"P0 시각 역전",IF(OR(I1360&lt;O1360,I1360&gt;Q1360),"측정시각 구간 밖","OK")))))</f>
        <v/>
      </c>
      <c r="O1360" s="48">
        <f>IF(COUNTIFS($C:$C,$C1360,$D:$D,$D1360,$E:$E,"P0(전)",$M:$M,"&gt;0")&lt;&gt;1,"",SUMIFS($I:$I,$C:$C,$C1360,$D:$D,$D1360,$E:$E,"P0(전)"))</f>
        <v/>
      </c>
      <c r="P1360" s="31">
        <f>IF(COUNTIFS($C:$C,$C1360,$D:$D,$D1360,$E:$E,"P0(전)",$M:$M,"&gt;0")&lt;&gt;1,"",SUMIFS($M:$M,$C:$C,$C1360,$D:$D,$D1360,$E:$E,"P0(전)"))</f>
        <v/>
      </c>
      <c r="Q1360" s="48">
        <f>IF(COUNTIFS($C:$C,$C1360,$D:$D,$D1360,$E:$E,"P0(후)",$M:$M,"&gt;0")&lt;&gt;1,"",SUMIFS($I:$I,$C:$C,$C1360,$D:$D,$D1360,$E:$E,"P0(후)"))</f>
        <v/>
      </c>
      <c r="R1360" s="31">
        <f>IF(COUNTIFS($C:$C,$C1360,$D:$D,$D1360,$E:$E,"P0(후)",$M:$M,"&gt;0")&lt;&gt;1,"",SUMIFS($M:$M,$C:$C,$C1360,$D:$D,$D1360,$E:$E,"P0(후)"))</f>
        <v/>
      </c>
      <c r="S1360" s="31">
        <f>IF(N1360&lt;&gt;"OK","",P1360+(R1360-P1360)*(I1360-O1360)/(Q1360-O1360))</f>
        <v/>
      </c>
      <c r="T1360" s="31">
        <f>IF(OR(N1360&lt;&gt;"OK",NOT(ISNUMBER(M1360))),"",M1360-S1360)</f>
        <v/>
      </c>
      <c r="U1360" s="49">
        <f>IF(OR(NOT(ISNUMBER(T1360)),IF(ISNUMBER(H1360),H1360,G1360)=0),"",T1360/IF(ISNUMBER(H1360),H1360,G1360))</f>
        <v/>
      </c>
      <c r="V1360" s="49">
        <f>IF(ISNUMBER(U1360),ABS(U1360),"")</f>
        <v/>
      </c>
      <c r="W1360" s="49">
        <f>IF(OR($E1359&lt;&gt;"측정",$C1359&lt;&gt;$C1360,$D1359&lt;&gt;$D1360,NOT(ISNUMBER(M1360)),NOT(ISNUMBER(M1359)),(IF(ISNUMBER(H1360),H1360,G1360)-IF(ISNUMBER(H1359),H1359,G1359))=0),"",(M1360-M1359)/(IF(ISNUMBER(H1360),H1360,G1360)-IF(ISNUMBER(H1359),H1359,G1359)))</f>
        <v/>
      </c>
      <c r="X1360" s="31">
        <f>IF(NOT(AND(ISNUMBER(O1360),ISNUMBER(Q1360))),"",(Q1360-O1360)*1440)</f>
        <v/>
      </c>
      <c r="Y1360" s="29" t="n"/>
      <c r="Z1360" s="29" t="n"/>
      <c r="AA1360" s="29" t="n"/>
      <c r="AB1360" s="32" t="n"/>
      <c r="AC1360" s="32" t="n"/>
    </row>
    <row r="1361">
      <c r="A1361" s="26" t="inlineStr">
        <is>
          <t>S27</t>
        </is>
      </c>
      <c r="B1361" s="26" t="inlineStr">
        <is>
          <t>전의 신규점</t>
        </is>
      </c>
      <c r="C1361" s="26" t="inlineStr">
        <is>
          <t>S27-H동</t>
        </is>
      </c>
      <c r="D1361" s="47" t="n">
        <v>1</v>
      </c>
      <c r="E1361" s="26" t="inlineStr">
        <is>
          <t>측정</t>
        </is>
      </c>
      <c r="F1361" s="26" t="inlineStr">
        <is>
          <t>동</t>
        </is>
      </c>
      <c r="G1361" s="31" t="n">
        <v>2</v>
      </c>
      <c r="H1361" s="30" t="n"/>
      <c r="I1361" s="43" t="n"/>
      <c r="J1361" s="41" t="n"/>
      <c r="K1361" s="41" t="n"/>
      <c r="L1361" s="41" t="n"/>
      <c r="M1361" s="31">
        <f>IF(COUNT(J1361:L1361)=0,"",MEDIAN(J1361:L1361))</f>
        <v/>
      </c>
      <c r="N1361" s="26">
        <f>IF(COUNTIFS($C:$C,$C1361,$D:$D,$D1361,$E:$E,"P0(전)",$M:$M,"&gt;0")&lt;&gt;1,"P0(전) 유효 1개 아님",IF(COUNTIFS($C:$C,$C1361,$D:$D,$D1361,$E:$E,"P0(후)",$M:$M,"&gt;0")&lt;&gt;1,"P0(후) 유효 1개 아님",IF(NOT(AND(ISNUMBER(O1361),ISNUMBER(Q1361),ISNUMBER(I1361))),"시각 결측",IF(Q1361&lt;=O1361,"P0 시각 역전",IF(OR(I1361&lt;O1361,I1361&gt;Q1361),"측정시각 구간 밖","OK")))))</f>
        <v/>
      </c>
      <c r="O1361" s="48">
        <f>IF(COUNTIFS($C:$C,$C1361,$D:$D,$D1361,$E:$E,"P0(전)",$M:$M,"&gt;0")&lt;&gt;1,"",SUMIFS($I:$I,$C:$C,$C1361,$D:$D,$D1361,$E:$E,"P0(전)"))</f>
        <v/>
      </c>
      <c r="P1361" s="31">
        <f>IF(COUNTIFS($C:$C,$C1361,$D:$D,$D1361,$E:$E,"P0(전)",$M:$M,"&gt;0")&lt;&gt;1,"",SUMIFS($M:$M,$C:$C,$C1361,$D:$D,$D1361,$E:$E,"P0(전)"))</f>
        <v/>
      </c>
      <c r="Q1361" s="48">
        <f>IF(COUNTIFS($C:$C,$C1361,$D:$D,$D1361,$E:$E,"P0(후)",$M:$M,"&gt;0")&lt;&gt;1,"",SUMIFS($I:$I,$C:$C,$C1361,$D:$D,$D1361,$E:$E,"P0(후)"))</f>
        <v/>
      </c>
      <c r="R1361" s="31">
        <f>IF(COUNTIFS($C:$C,$C1361,$D:$D,$D1361,$E:$E,"P0(후)",$M:$M,"&gt;0")&lt;&gt;1,"",SUMIFS($M:$M,$C:$C,$C1361,$D:$D,$D1361,$E:$E,"P0(후)"))</f>
        <v/>
      </c>
      <c r="S1361" s="31">
        <f>IF(N1361&lt;&gt;"OK","",P1361+(R1361-P1361)*(I1361-O1361)/(Q1361-O1361))</f>
        <v/>
      </c>
      <c r="T1361" s="31">
        <f>IF(OR(N1361&lt;&gt;"OK",NOT(ISNUMBER(M1361))),"",M1361-S1361)</f>
        <v/>
      </c>
      <c r="U1361" s="49">
        <f>IF(OR(NOT(ISNUMBER(T1361)),IF(ISNUMBER(H1361),H1361,G1361)=0),"",T1361/IF(ISNUMBER(H1361),H1361,G1361))</f>
        <v/>
      </c>
      <c r="V1361" s="49">
        <f>IF(ISNUMBER(U1361),ABS(U1361),"")</f>
        <v/>
      </c>
      <c r="W1361" s="49">
        <f>IF(OR($E1360&lt;&gt;"측정",$C1360&lt;&gt;$C1361,$D1360&lt;&gt;$D1361,NOT(ISNUMBER(M1361)),NOT(ISNUMBER(M1360)),(IF(ISNUMBER(H1361),H1361,G1361)-IF(ISNUMBER(H1360),H1360,G1360))=0),"",(M1361-M1360)/(IF(ISNUMBER(H1361),H1361,G1361)-IF(ISNUMBER(H1360),H1360,G1360)))</f>
        <v/>
      </c>
      <c r="X1361" s="31">
        <f>IF(NOT(AND(ISNUMBER(O1361),ISNUMBER(Q1361))),"",(Q1361-O1361)*1440)</f>
        <v/>
      </c>
      <c r="Y1361" s="29" t="n"/>
      <c r="Z1361" s="29" t="n"/>
      <c r="AA1361" s="29" t="n"/>
      <c r="AB1361" s="32" t="n"/>
      <c r="AC1361" s="32" t="n"/>
    </row>
    <row r="1362">
      <c r="A1362" s="26" t="inlineStr">
        <is>
          <t>S27</t>
        </is>
      </c>
      <c r="B1362" s="26" t="inlineStr">
        <is>
          <t>전의 신규점</t>
        </is>
      </c>
      <c r="C1362" s="26" t="inlineStr">
        <is>
          <t>S27-H동</t>
        </is>
      </c>
      <c r="D1362" s="47" t="n">
        <v>1</v>
      </c>
      <c r="E1362" s="26" t="inlineStr">
        <is>
          <t>측정</t>
        </is>
      </c>
      <c r="F1362" s="26" t="inlineStr">
        <is>
          <t>동</t>
        </is>
      </c>
      <c r="G1362" s="31" t="n">
        <v>3</v>
      </c>
      <c r="H1362" s="30" t="n"/>
      <c r="I1362" s="43" t="n"/>
      <c r="J1362" s="41" t="n"/>
      <c r="K1362" s="41" t="n"/>
      <c r="L1362" s="41" t="n"/>
      <c r="M1362" s="31">
        <f>IF(COUNT(J1362:L1362)=0,"",MEDIAN(J1362:L1362))</f>
        <v/>
      </c>
      <c r="N1362" s="26">
        <f>IF(COUNTIFS($C:$C,$C1362,$D:$D,$D1362,$E:$E,"P0(전)",$M:$M,"&gt;0")&lt;&gt;1,"P0(전) 유효 1개 아님",IF(COUNTIFS($C:$C,$C1362,$D:$D,$D1362,$E:$E,"P0(후)",$M:$M,"&gt;0")&lt;&gt;1,"P0(후) 유효 1개 아님",IF(NOT(AND(ISNUMBER(O1362),ISNUMBER(Q1362),ISNUMBER(I1362))),"시각 결측",IF(Q1362&lt;=O1362,"P0 시각 역전",IF(OR(I1362&lt;O1362,I1362&gt;Q1362),"측정시각 구간 밖","OK")))))</f>
        <v/>
      </c>
      <c r="O1362" s="48">
        <f>IF(COUNTIFS($C:$C,$C1362,$D:$D,$D1362,$E:$E,"P0(전)",$M:$M,"&gt;0")&lt;&gt;1,"",SUMIFS($I:$I,$C:$C,$C1362,$D:$D,$D1362,$E:$E,"P0(전)"))</f>
        <v/>
      </c>
      <c r="P1362" s="31">
        <f>IF(COUNTIFS($C:$C,$C1362,$D:$D,$D1362,$E:$E,"P0(전)",$M:$M,"&gt;0")&lt;&gt;1,"",SUMIFS($M:$M,$C:$C,$C1362,$D:$D,$D1362,$E:$E,"P0(전)"))</f>
        <v/>
      </c>
      <c r="Q1362" s="48">
        <f>IF(COUNTIFS($C:$C,$C1362,$D:$D,$D1362,$E:$E,"P0(후)",$M:$M,"&gt;0")&lt;&gt;1,"",SUMIFS($I:$I,$C:$C,$C1362,$D:$D,$D1362,$E:$E,"P0(후)"))</f>
        <v/>
      </c>
      <c r="R1362" s="31">
        <f>IF(COUNTIFS($C:$C,$C1362,$D:$D,$D1362,$E:$E,"P0(후)",$M:$M,"&gt;0")&lt;&gt;1,"",SUMIFS($M:$M,$C:$C,$C1362,$D:$D,$D1362,$E:$E,"P0(후)"))</f>
        <v/>
      </c>
      <c r="S1362" s="31">
        <f>IF(N1362&lt;&gt;"OK","",P1362+(R1362-P1362)*(I1362-O1362)/(Q1362-O1362))</f>
        <v/>
      </c>
      <c r="T1362" s="31">
        <f>IF(OR(N1362&lt;&gt;"OK",NOT(ISNUMBER(M1362))),"",M1362-S1362)</f>
        <v/>
      </c>
      <c r="U1362" s="49">
        <f>IF(OR(NOT(ISNUMBER(T1362)),IF(ISNUMBER(H1362),H1362,G1362)=0),"",T1362/IF(ISNUMBER(H1362),H1362,G1362))</f>
        <v/>
      </c>
      <c r="V1362" s="49">
        <f>IF(ISNUMBER(U1362),ABS(U1362),"")</f>
        <v/>
      </c>
      <c r="W1362" s="49">
        <f>IF(OR($E1361&lt;&gt;"측정",$C1361&lt;&gt;$C1362,$D1361&lt;&gt;$D1362,NOT(ISNUMBER(M1362)),NOT(ISNUMBER(M1361)),(IF(ISNUMBER(H1362),H1362,G1362)-IF(ISNUMBER(H1361),H1361,G1361))=0),"",(M1362-M1361)/(IF(ISNUMBER(H1362),H1362,G1362)-IF(ISNUMBER(H1361),H1361,G1361)))</f>
        <v/>
      </c>
      <c r="X1362" s="31">
        <f>IF(NOT(AND(ISNUMBER(O1362),ISNUMBER(Q1362))),"",(Q1362-O1362)*1440)</f>
        <v/>
      </c>
      <c r="Y1362" s="29" t="n"/>
      <c r="Z1362" s="29" t="n"/>
      <c r="AA1362" s="29" t="n"/>
      <c r="AB1362" s="32" t="n"/>
      <c r="AC1362" s="32" t="n"/>
    </row>
    <row r="1363">
      <c r="A1363" s="26" t="inlineStr">
        <is>
          <t>S27</t>
        </is>
      </c>
      <c r="B1363" s="26" t="inlineStr">
        <is>
          <t>전의 신규점</t>
        </is>
      </c>
      <c r="C1363" s="26" t="inlineStr">
        <is>
          <t>S27-H동</t>
        </is>
      </c>
      <c r="D1363" s="47" t="n">
        <v>1</v>
      </c>
      <c r="E1363" s="26" t="inlineStr">
        <is>
          <t>측정</t>
        </is>
      </c>
      <c r="F1363" s="26" t="inlineStr">
        <is>
          <t>동</t>
        </is>
      </c>
      <c r="G1363" s="31" t="n">
        <v>4</v>
      </c>
      <c r="H1363" s="30" t="n"/>
      <c r="I1363" s="43" t="n"/>
      <c r="J1363" s="41" t="n"/>
      <c r="K1363" s="41" t="n"/>
      <c r="L1363" s="41" t="n"/>
      <c r="M1363" s="31">
        <f>IF(COUNT(J1363:L1363)=0,"",MEDIAN(J1363:L1363))</f>
        <v/>
      </c>
      <c r="N1363" s="26">
        <f>IF(COUNTIFS($C:$C,$C1363,$D:$D,$D1363,$E:$E,"P0(전)",$M:$M,"&gt;0")&lt;&gt;1,"P0(전) 유효 1개 아님",IF(COUNTIFS($C:$C,$C1363,$D:$D,$D1363,$E:$E,"P0(후)",$M:$M,"&gt;0")&lt;&gt;1,"P0(후) 유효 1개 아님",IF(NOT(AND(ISNUMBER(O1363),ISNUMBER(Q1363),ISNUMBER(I1363))),"시각 결측",IF(Q1363&lt;=O1363,"P0 시각 역전",IF(OR(I1363&lt;O1363,I1363&gt;Q1363),"측정시각 구간 밖","OK")))))</f>
        <v/>
      </c>
      <c r="O1363" s="48">
        <f>IF(COUNTIFS($C:$C,$C1363,$D:$D,$D1363,$E:$E,"P0(전)",$M:$M,"&gt;0")&lt;&gt;1,"",SUMIFS($I:$I,$C:$C,$C1363,$D:$D,$D1363,$E:$E,"P0(전)"))</f>
        <v/>
      </c>
      <c r="P1363" s="31">
        <f>IF(COUNTIFS($C:$C,$C1363,$D:$D,$D1363,$E:$E,"P0(전)",$M:$M,"&gt;0")&lt;&gt;1,"",SUMIFS($M:$M,$C:$C,$C1363,$D:$D,$D1363,$E:$E,"P0(전)"))</f>
        <v/>
      </c>
      <c r="Q1363" s="48">
        <f>IF(COUNTIFS($C:$C,$C1363,$D:$D,$D1363,$E:$E,"P0(후)",$M:$M,"&gt;0")&lt;&gt;1,"",SUMIFS($I:$I,$C:$C,$C1363,$D:$D,$D1363,$E:$E,"P0(후)"))</f>
        <v/>
      </c>
      <c r="R1363" s="31">
        <f>IF(COUNTIFS($C:$C,$C1363,$D:$D,$D1363,$E:$E,"P0(후)",$M:$M,"&gt;0")&lt;&gt;1,"",SUMIFS($M:$M,$C:$C,$C1363,$D:$D,$D1363,$E:$E,"P0(후)"))</f>
        <v/>
      </c>
      <c r="S1363" s="31">
        <f>IF(N1363&lt;&gt;"OK","",P1363+(R1363-P1363)*(I1363-O1363)/(Q1363-O1363))</f>
        <v/>
      </c>
      <c r="T1363" s="31">
        <f>IF(OR(N1363&lt;&gt;"OK",NOT(ISNUMBER(M1363))),"",M1363-S1363)</f>
        <v/>
      </c>
      <c r="U1363" s="49">
        <f>IF(OR(NOT(ISNUMBER(T1363)),IF(ISNUMBER(H1363),H1363,G1363)=0),"",T1363/IF(ISNUMBER(H1363),H1363,G1363))</f>
        <v/>
      </c>
      <c r="V1363" s="49">
        <f>IF(ISNUMBER(U1363),ABS(U1363),"")</f>
        <v/>
      </c>
      <c r="W1363" s="49">
        <f>IF(OR($E1362&lt;&gt;"측정",$C1362&lt;&gt;$C1363,$D1362&lt;&gt;$D1363,NOT(ISNUMBER(M1363)),NOT(ISNUMBER(M1362)),(IF(ISNUMBER(H1363),H1363,G1363)-IF(ISNUMBER(H1362),H1362,G1362))=0),"",(M1363-M1362)/(IF(ISNUMBER(H1363),H1363,G1363)-IF(ISNUMBER(H1362),H1362,G1362)))</f>
        <v/>
      </c>
      <c r="X1363" s="31">
        <f>IF(NOT(AND(ISNUMBER(O1363),ISNUMBER(Q1363))),"",(Q1363-O1363)*1440)</f>
        <v/>
      </c>
      <c r="Y1363" s="29" t="n"/>
      <c r="Z1363" s="29" t="n"/>
      <c r="AA1363" s="29" t="n"/>
      <c r="AB1363" s="32" t="n"/>
      <c r="AC1363" s="32" t="n"/>
    </row>
    <row r="1364">
      <c r="A1364" s="26" t="inlineStr">
        <is>
          <t>S27</t>
        </is>
      </c>
      <c r="B1364" s="26" t="inlineStr">
        <is>
          <t>전의 신규점</t>
        </is>
      </c>
      <c r="C1364" s="26" t="inlineStr">
        <is>
          <t>S27-H동</t>
        </is>
      </c>
      <c r="D1364" s="47" t="n">
        <v>1</v>
      </c>
      <c r="E1364" s="26" t="inlineStr">
        <is>
          <t>측정</t>
        </is>
      </c>
      <c r="F1364" s="26" t="inlineStr">
        <is>
          <t>동</t>
        </is>
      </c>
      <c r="G1364" s="31" t="n">
        <v>5</v>
      </c>
      <c r="H1364" s="30" t="n"/>
      <c r="I1364" s="43" t="n"/>
      <c r="J1364" s="41" t="n"/>
      <c r="K1364" s="41" t="n"/>
      <c r="L1364" s="41" t="n"/>
      <c r="M1364" s="31">
        <f>IF(COUNT(J1364:L1364)=0,"",MEDIAN(J1364:L1364))</f>
        <v/>
      </c>
      <c r="N1364" s="26">
        <f>IF(COUNTIFS($C:$C,$C1364,$D:$D,$D1364,$E:$E,"P0(전)",$M:$M,"&gt;0")&lt;&gt;1,"P0(전) 유효 1개 아님",IF(COUNTIFS($C:$C,$C1364,$D:$D,$D1364,$E:$E,"P0(후)",$M:$M,"&gt;0")&lt;&gt;1,"P0(후) 유효 1개 아님",IF(NOT(AND(ISNUMBER(O1364),ISNUMBER(Q1364),ISNUMBER(I1364))),"시각 결측",IF(Q1364&lt;=O1364,"P0 시각 역전",IF(OR(I1364&lt;O1364,I1364&gt;Q1364),"측정시각 구간 밖","OK")))))</f>
        <v/>
      </c>
      <c r="O1364" s="48">
        <f>IF(COUNTIFS($C:$C,$C1364,$D:$D,$D1364,$E:$E,"P0(전)",$M:$M,"&gt;0")&lt;&gt;1,"",SUMIFS($I:$I,$C:$C,$C1364,$D:$D,$D1364,$E:$E,"P0(전)"))</f>
        <v/>
      </c>
      <c r="P1364" s="31">
        <f>IF(COUNTIFS($C:$C,$C1364,$D:$D,$D1364,$E:$E,"P0(전)",$M:$M,"&gt;0")&lt;&gt;1,"",SUMIFS($M:$M,$C:$C,$C1364,$D:$D,$D1364,$E:$E,"P0(전)"))</f>
        <v/>
      </c>
      <c r="Q1364" s="48">
        <f>IF(COUNTIFS($C:$C,$C1364,$D:$D,$D1364,$E:$E,"P0(후)",$M:$M,"&gt;0")&lt;&gt;1,"",SUMIFS($I:$I,$C:$C,$C1364,$D:$D,$D1364,$E:$E,"P0(후)"))</f>
        <v/>
      </c>
      <c r="R1364" s="31">
        <f>IF(COUNTIFS($C:$C,$C1364,$D:$D,$D1364,$E:$E,"P0(후)",$M:$M,"&gt;0")&lt;&gt;1,"",SUMIFS($M:$M,$C:$C,$C1364,$D:$D,$D1364,$E:$E,"P0(후)"))</f>
        <v/>
      </c>
      <c r="S1364" s="31">
        <f>IF(N1364&lt;&gt;"OK","",P1364+(R1364-P1364)*(I1364-O1364)/(Q1364-O1364))</f>
        <v/>
      </c>
      <c r="T1364" s="31">
        <f>IF(OR(N1364&lt;&gt;"OK",NOT(ISNUMBER(M1364))),"",M1364-S1364)</f>
        <v/>
      </c>
      <c r="U1364" s="49">
        <f>IF(OR(NOT(ISNUMBER(T1364)),IF(ISNUMBER(H1364),H1364,G1364)=0),"",T1364/IF(ISNUMBER(H1364),H1364,G1364))</f>
        <v/>
      </c>
      <c r="V1364" s="49">
        <f>IF(ISNUMBER(U1364),ABS(U1364),"")</f>
        <v/>
      </c>
      <c r="W1364" s="49">
        <f>IF(OR($E1363&lt;&gt;"측정",$C1363&lt;&gt;$C1364,$D1363&lt;&gt;$D1364,NOT(ISNUMBER(M1364)),NOT(ISNUMBER(M1363)),(IF(ISNUMBER(H1364),H1364,G1364)-IF(ISNUMBER(H1363),H1363,G1363))=0),"",(M1364-M1363)/(IF(ISNUMBER(H1364),H1364,G1364)-IF(ISNUMBER(H1363),H1363,G1363)))</f>
        <v/>
      </c>
      <c r="X1364" s="31">
        <f>IF(NOT(AND(ISNUMBER(O1364),ISNUMBER(Q1364))),"",(Q1364-O1364)*1440)</f>
        <v/>
      </c>
      <c r="Y1364" s="29" t="n"/>
      <c r="Z1364" s="29" t="n"/>
      <c r="AA1364" s="29" t="n"/>
      <c r="AB1364" s="32" t="n"/>
      <c r="AC1364" s="32" t="n"/>
    </row>
    <row r="1365">
      <c r="A1365" s="26" t="inlineStr">
        <is>
          <t>S27</t>
        </is>
      </c>
      <c r="B1365" s="26" t="inlineStr">
        <is>
          <t>전의 신규점</t>
        </is>
      </c>
      <c r="C1365" s="26" t="inlineStr">
        <is>
          <t>S27-H동</t>
        </is>
      </c>
      <c r="D1365" s="47" t="n">
        <v>1</v>
      </c>
      <c r="E1365" s="26" t="inlineStr">
        <is>
          <t>측정</t>
        </is>
      </c>
      <c r="F1365" s="26" t="inlineStr">
        <is>
          <t>동</t>
        </is>
      </c>
      <c r="G1365" s="31" t="n">
        <v>6</v>
      </c>
      <c r="H1365" s="30" t="n"/>
      <c r="I1365" s="43" t="n"/>
      <c r="J1365" s="41" t="n"/>
      <c r="K1365" s="41" t="n"/>
      <c r="L1365" s="41" t="n"/>
      <c r="M1365" s="31">
        <f>IF(COUNT(J1365:L1365)=0,"",MEDIAN(J1365:L1365))</f>
        <v/>
      </c>
      <c r="N1365" s="26">
        <f>IF(COUNTIFS($C:$C,$C1365,$D:$D,$D1365,$E:$E,"P0(전)",$M:$M,"&gt;0")&lt;&gt;1,"P0(전) 유효 1개 아님",IF(COUNTIFS($C:$C,$C1365,$D:$D,$D1365,$E:$E,"P0(후)",$M:$M,"&gt;0")&lt;&gt;1,"P0(후) 유효 1개 아님",IF(NOT(AND(ISNUMBER(O1365),ISNUMBER(Q1365),ISNUMBER(I1365))),"시각 결측",IF(Q1365&lt;=O1365,"P0 시각 역전",IF(OR(I1365&lt;O1365,I1365&gt;Q1365),"측정시각 구간 밖","OK")))))</f>
        <v/>
      </c>
      <c r="O1365" s="48">
        <f>IF(COUNTIFS($C:$C,$C1365,$D:$D,$D1365,$E:$E,"P0(전)",$M:$M,"&gt;0")&lt;&gt;1,"",SUMIFS($I:$I,$C:$C,$C1365,$D:$D,$D1365,$E:$E,"P0(전)"))</f>
        <v/>
      </c>
      <c r="P1365" s="31">
        <f>IF(COUNTIFS($C:$C,$C1365,$D:$D,$D1365,$E:$E,"P0(전)",$M:$M,"&gt;0")&lt;&gt;1,"",SUMIFS($M:$M,$C:$C,$C1365,$D:$D,$D1365,$E:$E,"P0(전)"))</f>
        <v/>
      </c>
      <c r="Q1365" s="48">
        <f>IF(COUNTIFS($C:$C,$C1365,$D:$D,$D1365,$E:$E,"P0(후)",$M:$M,"&gt;0")&lt;&gt;1,"",SUMIFS($I:$I,$C:$C,$C1365,$D:$D,$D1365,$E:$E,"P0(후)"))</f>
        <v/>
      </c>
      <c r="R1365" s="31">
        <f>IF(COUNTIFS($C:$C,$C1365,$D:$D,$D1365,$E:$E,"P0(후)",$M:$M,"&gt;0")&lt;&gt;1,"",SUMIFS($M:$M,$C:$C,$C1365,$D:$D,$D1365,$E:$E,"P0(후)"))</f>
        <v/>
      </c>
      <c r="S1365" s="31">
        <f>IF(N1365&lt;&gt;"OK","",P1365+(R1365-P1365)*(I1365-O1365)/(Q1365-O1365))</f>
        <v/>
      </c>
      <c r="T1365" s="31">
        <f>IF(OR(N1365&lt;&gt;"OK",NOT(ISNUMBER(M1365))),"",M1365-S1365)</f>
        <v/>
      </c>
      <c r="U1365" s="49">
        <f>IF(OR(NOT(ISNUMBER(T1365)),IF(ISNUMBER(H1365),H1365,G1365)=0),"",T1365/IF(ISNUMBER(H1365),H1365,G1365))</f>
        <v/>
      </c>
      <c r="V1365" s="49">
        <f>IF(ISNUMBER(U1365),ABS(U1365),"")</f>
        <v/>
      </c>
      <c r="W1365" s="49">
        <f>IF(OR($E1364&lt;&gt;"측정",$C1364&lt;&gt;$C1365,$D1364&lt;&gt;$D1365,NOT(ISNUMBER(M1365)),NOT(ISNUMBER(M1364)),(IF(ISNUMBER(H1365),H1365,G1365)-IF(ISNUMBER(H1364),H1364,G1364))=0),"",(M1365-M1364)/(IF(ISNUMBER(H1365),H1365,G1365)-IF(ISNUMBER(H1364),H1364,G1364)))</f>
        <v/>
      </c>
      <c r="X1365" s="31">
        <f>IF(NOT(AND(ISNUMBER(O1365),ISNUMBER(Q1365))),"",(Q1365-O1365)*1440)</f>
        <v/>
      </c>
      <c r="Y1365" s="29" t="n"/>
      <c r="Z1365" s="29" t="n"/>
      <c r="AA1365" s="29" t="n"/>
      <c r="AB1365" s="32" t="n"/>
      <c r="AC1365" s="32" t="n"/>
    </row>
    <row r="1366">
      <c r="A1366" s="26" t="inlineStr">
        <is>
          <t>S27</t>
        </is>
      </c>
      <c r="B1366" s="26" t="inlineStr">
        <is>
          <t>전의 신규점</t>
        </is>
      </c>
      <c r="C1366" s="26" t="inlineStr">
        <is>
          <t>S27-H동</t>
        </is>
      </c>
      <c r="D1366" s="47" t="n">
        <v>1</v>
      </c>
      <c r="E1366" s="26" t="inlineStr">
        <is>
          <t>측정</t>
        </is>
      </c>
      <c r="F1366" s="26" t="inlineStr">
        <is>
          <t>동</t>
        </is>
      </c>
      <c r="G1366" s="31" t="n">
        <v>7</v>
      </c>
      <c r="H1366" s="30" t="n"/>
      <c r="I1366" s="43" t="n"/>
      <c r="J1366" s="41" t="n"/>
      <c r="K1366" s="41" t="n"/>
      <c r="L1366" s="41" t="n"/>
      <c r="M1366" s="31">
        <f>IF(COUNT(J1366:L1366)=0,"",MEDIAN(J1366:L1366))</f>
        <v/>
      </c>
      <c r="N1366" s="26">
        <f>IF(COUNTIFS($C:$C,$C1366,$D:$D,$D1366,$E:$E,"P0(전)",$M:$M,"&gt;0")&lt;&gt;1,"P0(전) 유효 1개 아님",IF(COUNTIFS($C:$C,$C1366,$D:$D,$D1366,$E:$E,"P0(후)",$M:$M,"&gt;0")&lt;&gt;1,"P0(후) 유효 1개 아님",IF(NOT(AND(ISNUMBER(O1366),ISNUMBER(Q1366),ISNUMBER(I1366))),"시각 결측",IF(Q1366&lt;=O1366,"P0 시각 역전",IF(OR(I1366&lt;O1366,I1366&gt;Q1366),"측정시각 구간 밖","OK")))))</f>
        <v/>
      </c>
      <c r="O1366" s="48">
        <f>IF(COUNTIFS($C:$C,$C1366,$D:$D,$D1366,$E:$E,"P0(전)",$M:$M,"&gt;0")&lt;&gt;1,"",SUMIFS($I:$I,$C:$C,$C1366,$D:$D,$D1366,$E:$E,"P0(전)"))</f>
        <v/>
      </c>
      <c r="P1366" s="31">
        <f>IF(COUNTIFS($C:$C,$C1366,$D:$D,$D1366,$E:$E,"P0(전)",$M:$M,"&gt;0")&lt;&gt;1,"",SUMIFS($M:$M,$C:$C,$C1366,$D:$D,$D1366,$E:$E,"P0(전)"))</f>
        <v/>
      </c>
      <c r="Q1366" s="48">
        <f>IF(COUNTIFS($C:$C,$C1366,$D:$D,$D1366,$E:$E,"P0(후)",$M:$M,"&gt;0")&lt;&gt;1,"",SUMIFS($I:$I,$C:$C,$C1366,$D:$D,$D1366,$E:$E,"P0(후)"))</f>
        <v/>
      </c>
      <c r="R1366" s="31">
        <f>IF(COUNTIFS($C:$C,$C1366,$D:$D,$D1366,$E:$E,"P0(후)",$M:$M,"&gt;0")&lt;&gt;1,"",SUMIFS($M:$M,$C:$C,$C1366,$D:$D,$D1366,$E:$E,"P0(후)"))</f>
        <v/>
      </c>
      <c r="S1366" s="31">
        <f>IF(N1366&lt;&gt;"OK","",P1366+(R1366-P1366)*(I1366-O1366)/(Q1366-O1366))</f>
        <v/>
      </c>
      <c r="T1366" s="31">
        <f>IF(OR(N1366&lt;&gt;"OK",NOT(ISNUMBER(M1366))),"",M1366-S1366)</f>
        <v/>
      </c>
      <c r="U1366" s="49">
        <f>IF(OR(NOT(ISNUMBER(T1366)),IF(ISNUMBER(H1366),H1366,G1366)=0),"",T1366/IF(ISNUMBER(H1366),H1366,G1366))</f>
        <v/>
      </c>
      <c r="V1366" s="49">
        <f>IF(ISNUMBER(U1366),ABS(U1366),"")</f>
        <v/>
      </c>
      <c r="W1366" s="49">
        <f>IF(OR($E1365&lt;&gt;"측정",$C1365&lt;&gt;$C1366,$D1365&lt;&gt;$D1366,NOT(ISNUMBER(M1366)),NOT(ISNUMBER(M1365)),(IF(ISNUMBER(H1366),H1366,G1366)-IF(ISNUMBER(H1365),H1365,G1365))=0),"",(M1366-M1365)/(IF(ISNUMBER(H1366),H1366,G1366)-IF(ISNUMBER(H1365),H1365,G1365)))</f>
        <v/>
      </c>
      <c r="X1366" s="31">
        <f>IF(NOT(AND(ISNUMBER(O1366),ISNUMBER(Q1366))),"",(Q1366-O1366)*1440)</f>
        <v/>
      </c>
      <c r="Y1366" s="29" t="n"/>
      <c r="Z1366" s="29" t="n"/>
      <c r="AA1366" s="29" t="n"/>
      <c r="AB1366" s="32" t="n"/>
      <c r="AC1366" s="32" t="n"/>
    </row>
    <row r="1367">
      <c r="A1367" s="26" t="inlineStr">
        <is>
          <t>S27</t>
        </is>
      </c>
      <c r="B1367" s="26" t="inlineStr">
        <is>
          <t>전의 신규점</t>
        </is>
      </c>
      <c r="C1367" s="26" t="inlineStr">
        <is>
          <t>S27-H동</t>
        </is>
      </c>
      <c r="D1367" s="47" t="n">
        <v>1</v>
      </c>
      <c r="E1367" s="26" t="inlineStr">
        <is>
          <t>측정</t>
        </is>
      </c>
      <c r="F1367" s="26" t="inlineStr">
        <is>
          <t>동</t>
        </is>
      </c>
      <c r="G1367" s="31" t="n">
        <v>8</v>
      </c>
      <c r="H1367" s="30" t="n"/>
      <c r="I1367" s="43" t="n"/>
      <c r="J1367" s="41" t="n"/>
      <c r="K1367" s="41" t="n"/>
      <c r="L1367" s="41" t="n"/>
      <c r="M1367" s="31">
        <f>IF(COUNT(J1367:L1367)=0,"",MEDIAN(J1367:L1367))</f>
        <v/>
      </c>
      <c r="N1367" s="26">
        <f>IF(COUNTIFS($C:$C,$C1367,$D:$D,$D1367,$E:$E,"P0(전)",$M:$M,"&gt;0")&lt;&gt;1,"P0(전) 유효 1개 아님",IF(COUNTIFS($C:$C,$C1367,$D:$D,$D1367,$E:$E,"P0(후)",$M:$M,"&gt;0")&lt;&gt;1,"P0(후) 유효 1개 아님",IF(NOT(AND(ISNUMBER(O1367),ISNUMBER(Q1367),ISNUMBER(I1367))),"시각 결측",IF(Q1367&lt;=O1367,"P0 시각 역전",IF(OR(I1367&lt;O1367,I1367&gt;Q1367),"측정시각 구간 밖","OK")))))</f>
        <v/>
      </c>
      <c r="O1367" s="48">
        <f>IF(COUNTIFS($C:$C,$C1367,$D:$D,$D1367,$E:$E,"P0(전)",$M:$M,"&gt;0")&lt;&gt;1,"",SUMIFS($I:$I,$C:$C,$C1367,$D:$D,$D1367,$E:$E,"P0(전)"))</f>
        <v/>
      </c>
      <c r="P1367" s="31">
        <f>IF(COUNTIFS($C:$C,$C1367,$D:$D,$D1367,$E:$E,"P0(전)",$M:$M,"&gt;0")&lt;&gt;1,"",SUMIFS($M:$M,$C:$C,$C1367,$D:$D,$D1367,$E:$E,"P0(전)"))</f>
        <v/>
      </c>
      <c r="Q1367" s="48">
        <f>IF(COUNTIFS($C:$C,$C1367,$D:$D,$D1367,$E:$E,"P0(후)",$M:$M,"&gt;0")&lt;&gt;1,"",SUMIFS($I:$I,$C:$C,$C1367,$D:$D,$D1367,$E:$E,"P0(후)"))</f>
        <v/>
      </c>
      <c r="R1367" s="31">
        <f>IF(COUNTIFS($C:$C,$C1367,$D:$D,$D1367,$E:$E,"P0(후)",$M:$M,"&gt;0")&lt;&gt;1,"",SUMIFS($M:$M,$C:$C,$C1367,$D:$D,$D1367,$E:$E,"P0(후)"))</f>
        <v/>
      </c>
      <c r="S1367" s="31">
        <f>IF(N1367&lt;&gt;"OK","",P1367+(R1367-P1367)*(I1367-O1367)/(Q1367-O1367))</f>
        <v/>
      </c>
      <c r="T1367" s="31">
        <f>IF(OR(N1367&lt;&gt;"OK",NOT(ISNUMBER(M1367))),"",M1367-S1367)</f>
        <v/>
      </c>
      <c r="U1367" s="49">
        <f>IF(OR(NOT(ISNUMBER(T1367)),IF(ISNUMBER(H1367),H1367,G1367)=0),"",T1367/IF(ISNUMBER(H1367),H1367,G1367))</f>
        <v/>
      </c>
      <c r="V1367" s="49">
        <f>IF(ISNUMBER(U1367),ABS(U1367),"")</f>
        <v/>
      </c>
      <c r="W1367" s="49">
        <f>IF(OR($E1366&lt;&gt;"측정",$C1366&lt;&gt;$C1367,$D1366&lt;&gt;$D1367,NOT(ISNUMBER(M1367)),NOT(ISNUMBER(M1366)),(IF(ISNUMBER(H1367),H1367,G1367)-IF(ISNUMBER(H1366),H1366,G1366))=0),"",(M1367-M1366)/(IF(ISNUMBER(H1367),H1367,G1367)-IF(ISNUMBER(H1366),H1366,G1366)))</f>
        <v/>
      </c>
      <c r="X1367" s="31">
        <f>IF(NOT(AND(ISNUMBER(O1367),ISNUMBER(Q1367))),"",(Q1367-O1367)*1440)</f>
        <v/>
      </c>
      <c r="Y1367" s="29" t="n"/>
      <c r="Z1367" s="29" t="n"/>
      <c r="AA1367" s="29" t="n"/>
      <c r="AB1367" s="32" t="n"/>
      <c r="AC1367" s="32" t="n"/>
    </row>
    <row r="1368">
      <c r="A1368" s="26" t="inlineStr">
        <is>
          <t>S27</t>
        </is>
      </c>
      <c r="B1368" s="26" t="inlineStr">
        <is>
          <t>전의 신규점</t>
        </is>
      </c>
      <c r="C1368" s="26" t="inlineStr">
        <is>
          <t>S27-H동</t>
        </is>
      </c>
      <c r="D1368" s="47" t="n">
        <v>1</v>
      </c>
      <c r="E1368" s="26" t="inlineStr">
        <is>
          <t>측정</t>
        </is>
      </c>
      <c r="F1368" s="26" t="inlineStr">
        <is>
          <t>동</t>
        </is>
      </c>
      <c r="G1368" s="31" t="n">
        <v>9</v>
      </c>
      <c r="H1368" s="30" t="n"/>
      <c r="I1368" s="43" t="n"/>
      <c r="J1368" s="41" t="n"/>
      <c r="K1368" s="41" t="n"/>
      <c r="L1368" s="41" t="n"/>
      <c r="M1368" s="31">
        <f>IF(COUNT(J1368:L1368)=0,"",MEDIAN(J1368:L1368))</f>
        <v/>
      </c>
      <c r="N1368" s="26">
        <f>IF(COUNTIFS($C:$C,$C1368,$D:$D,$D1368,$E:$E,"P0(전)",$M:$M,"&gt;0")&lt;&gt;1,"P0(전) 유효 1개 아님",IF(COUNTIFS($C:$C,$C1368,$D:$D,$D1368,$E:$E,"P0(후)",$M:$M,"&gt;0")&lt;&gt;1,"P0(후) 유효 1개 아님",IF(NOT(AND(ISNUMBER(O1368),ISNUMBER(Q1368),ISNUMBER(I1368))),"시각 결측",IF(Q1368&lt;=O1368,"P0 시각 역전",IF(OR(I1368&lt;O1368,I1368&gt;Q1368),"측정시각 구간 밖","OK")))))</f>
        <v/>
      </c>
      <c r="O1368" s="48">
        <f>IF(COUNTIFS($C:$C,$C1368,$D:$D,$D1368,$E:$E,"P0(전)",$M:$M,"&gt;0")&lt;&gt;1,"",SUMIFS($I:$I,$C:$C,$C1368,$D:$D,$D1368,$E:$E,"P0(전)"))</f>
        <v/>
      </c>
      <c r="P1368" s="31">
        <f>IF(COUNTIFS($C:$C,$C1368,$D:$D,$D1368,$E:$E,"P0(전)",$M:$M,"&gt;0")&lt;&gt;1,"",SUMIFS($M:$M,$C:$C,$C1368,$D:$D,$D1368,$E:$E,"P0(전)"))</f>
        <v/>
      </c>
      <c r="Q1368" s="48">
        <f>IF(COUNTIFS($C:$C,$C1368,$D:$D,$D1368,$E:$E,"P0(후)",$M:$M,"&gt;0")&lt;&gt;1,"",SUMIFS($I:$I,$C:$C,$C1368,$D:$D,$D1368,$E:$E,"P0(후)"))</f>
        <v/>
      </c>
      <c r="R1368" s="31">
        <f>IF(COUNTIFS($C:$C,$C1368,$D:$D,$D1368,$E:$E,"P0(후)",$M:$M,"&gt;0")&lt;&gt;1,"",SUMIFS($M:$M,$C:$C,$C1368,$D:$D,$D1368,$E:$E,"P0(후)"))</f>
        <v/>
      </c>
      <c r="S1368" s="31">
        <f>IF(N1368&lt;&gt;"OK","",P1368+(R1368-P1368)*(I1368-O1368)/(Q1368-O1368))</f>
        <v/>
      </c>
      <c r="T1368" s="31">
        <f>IF(OR(N1368&lt;&gt;"OK",NOT(ISNUMBER(M1368))),"",M1368-S1368)</f>
        <v/>
      </c>
      <c r="U1368" s="49">
        <f>IF(OR(NOT(ISNUMBER(T1368)),IF(ISNUMBER(H1368),H1368,G1368)=0),"",T1368/IF(ISNUMBER(H1368),H1368,G1368))</f>
        <v/>
      </c>
      <c r="V1368" s="49">
        <f>IF(ISNUMBER(U1368),ABS(U1368),"")</f>
        <v/>
      </c>
      <c r="W1368" s="49">
        <f>IF(OR($E1367&lt;&gt;"측정",$C1367&lt;&gt;$C1368,$D1367&lt;&gt;$D1368,NOT(ISNUMBER(M1368)),NOT(ISNUMBER(M1367)),(IF(ISNUMBER(H1368),H1368,G1368)-IF(ISNUMBER(H1367),H1367,G1367))=0),"",(M1368-M1367)/(IF(ISNUMBER(H1368),H1368,G1368)-IF(ISNUMBER(H1367),H1367,G1367)))</f>
        <v/>
      </c>
      <c r="X1368" s="31">
        <f>IF(NOT(AND(ISNUMBER(O1368),ISNUMBER(Q1368))),"",(Q1368-O1368)*1440)</f>
        <v/>
      </c>
      <c r="Y1368" s="29" t="n"/>
      <c r="Z1368" s="29" t="n"/>
      <c r="AA1368" s="29" t="n"/>
      <c r="AB1368" s="32" t="n"/>
      <c r="AC1368" s="32" t="n"/>
    </row>
    <row r="1369">
      <c r="A1369" s="26" t="inlineStr">
        <is>
          <t>S27</t>
        </is>
      </c>
      <c r="B1369" s="26" t="inlineStr">
        <is>
          <t>전의 신규점</t>
        </is>
      </c>
      <c r="C1369" s="26" t="inlineStr">
        <is>
          <t>S27-H동</t>
        </is>
      </c>
      <c r="D1369" s="47" t="n">
        <v>1</v>
      </c>
      <c r="E1369" s="26" t="inlineStr">
        <is>
          <t>측정</t>
        </is>
      </c>
      <c r="F1369" s="26" t="inlineStr">
        <is>
          <t>동</t>
        </is>
      </c>
      <c r="G1369" s="31" t="n">
        <v>10</v>
      </c>
      <c r="H1369" s="30" t="n"/>
      <c r="I1369" s="43" t="n"/>
      <c r="J1369" s="41" t="n"/>
      <c r="K1369" s="41" t="n"/>
      <c r="L1369" s="41" t="n"/>
      <c r="M1369" s="31">
        <f>IF(COUNT(J1369:L1369)=0,"",MEDIAN(J1369:L1369))</f>
        <v/>
      </c>
      <c r="N1369" s="26">
        <f>IF(COUNTIFS($C:$C,$C1369,$D:$D,$D1369,$E:$E,"P0(전)",$M:$M,"&gt;0")&lt;&gt;1,"P0(전) 유효 1개 아님",IF(COUNTIFS($C:$C,$C1369,$D:$D,$D1369,$E:$E,"P0(후)",$M:$M,"&gt;0")&lt;&gt;1,"P0(후) 유효 1개 아님",IF(NOT(AND(ISNUMBER(O1369),ISNUMBER(Q1369),ISNUMBER(I1369))),"시각 결측",IF(Q1369&lt;=O1369,"P0 시각 역전",IF(OR(I1369&lt;O1369,I1369&gt;Q1369),"측정시각 구간 밖","OK")))))</f>
        <v/>
      </c>
      <c r="O1369" s="48">
        <f>IF(COUNTIFS($C:$C,$C1369,$D:$D,$D1369,$E:$E,"P0(전)",$M:$M,"&gt;0")&lt;&gt;1,"",SUMIFS($I:$I,$C:$C,$C1369,$D:$D,$D1369,$E:$E,"P0(전)"))</f>
        <v/>
      </c>
      <c r="P1369" s="31">
        <f>IF(COUNTIFS($C:$C,$C1369,$D:$D,$D1369,$E:$E,"P0(전)",$M:$M,"&gt;0")&lt;&gt;1,"",SUMIFS($M:$M,$C:$C,$C1369,$D:$D,$D1369,$E:$E,"P0(전)"))</f>
        <v/>
      </c>
      <c r="Q1369" s="48">
        <f>IF(COUNTIFS($C:$C,$C1369,$D:$D,$D1369,$E:$E,"P0(후)",$M:$M,"&gt;0")&lt;&gt;1,"",SUMIFS($I:$I,$C:$C,$C1369,$D:$D,$D1369,$E:$E,"P0(후)"))</f>
        <v/>
      </c>
      <c r="R1369" s="31">
        <f>IF(COUNTIFS($C:$C,$C1369,$D:$D,$D1369,$E:$E,"P0(후)",$M:$M,"&gt;0")&lt;&gt;1,"",SUMIFS($M:$M,$C:$C,$C1369,$D:$D,$D1369,$E:$E,"P0(후)"))</f>
        <v/>
      </c>
      <c r="S1369" s="31">
        <f>IF(N1369&lt;&gt;"OK","",P1369+(R1369-P1369)*(I1369-O1369)/(Q1369-O1369))</f>
        <v/>
      </c>
      <c r="T1369" s="31">
        <f>IF(OR(N1369&lt;&gt;"OK",NOT(ISNUMBER(M1369))),"",M1369-S1369)</f>
        <v/>
      </c>
      <c r="U1369" s="49">
        <f>IF(OR(NOT(ISNUMBER(T1369)),IF(ISNUMBER(H1369),H1369,G1369)=0),"",T1369/IF(ISNUMBER(H1369),H1369,G1369))</f>
        <v/>
      </c>
      <c r="V1369" s="49">
        <f>IF(ISNUMBER(U1369),ABS(U1369),"")</f>
        <v/>
      </c>
      <c r="W1369" s="49">
        <f>IF(OR($E1368&lt;&gt;"측정",$C1368&lt;&gt;$C1369,$D1368&lt;&gt;$D1369,NOT(ISNUMBER(M1369)),NOT(ISNUMBER(M1368)),(IF(ISNUMBER(H1369),H1369,G1369)-IF(ISNUMBER(H1368),H1368,G1368))=0),"",(M1369-M1368)/(IF(ISNUMBER(H1369),H1369,G1369)-IF(ISNUMBER(H1368),H1368,G1368)))</f>
        <v/>
      </c>
      <c r="X1369" s="31">
        <f>IF(NOT(AND(ISNUMBER(O1369),ISNUMBER(Q1369))),"",(Q1369-O1369)*1440)</f>
        <v/>
      </c>
      <c r="Y1369" s="29" t="n"/>
      <c r="Z1369" s="29" t="n"/>
      <c r="AA1369" s="29" t="n"/>
      <c r="AB1369" s="32" t="n"/>
      <c r="AC1369" s="32" t="n"/>
    </row>
    <row r="1370">
      <c r="A1370" s="44" t="inlineStr">
        <is>
          <t>S27</t>
        </is>
      </c>
      <c r="B1370" s="44" t="inlineStr">
        <is>
          <t>전의 신규점</t>
        </is>
      </c>
      <c r="C1370" s="44" t="inlineStr">
        <is>
          <t>S27-H동</t>
        </is>
      </c>
      <c r="D1370" s="45" t="n">
        <v>1</v>
      </c>
      <c r="E1370" s="44" t="inlineStr">
        <is>
          <t>P0(후)</t>
        </is>
      </c>
      <c r="F1370" s="44" t="inlineStr">
        <is>
          <t>동</t>
        </is>
      </c>
      <c r="G1370" s="46" t="n"/>
      <c r="H1370" s="30" t="n"/>
      <c r="I1370" s="43" t="n"/>
      <c r="J1370" s="41" t="n"/>
      <c r="K1370" s="41" t="n"/>
      <c r="L1370" s="41" t="n"/>
      <c r="M1370" s="31">
        <f>IF(COUNT(J1370:L1370)=0,"",MEDIAN(J1370:L1370))</f>
        <v/>
      </c>
      <c r="N1370" s="38" t="n"/>
      <c r="O1370" s="38" t="n"/>
      <c r="P1370" s="38" t="n"/>
      <c r="Q1370" s="38" t="n"/>
      <c r="R1370" s="38" t="n"/>
      <c r="S1370" s="38" t="n"/>
      <c r="T1370" s="38" t="n"/>
      <c r="U1370" s="38" t="n"/>
      <c r="V1370" s="38" t="n"/>
      <c r="W1370" s="38" t="n"/>
      <c r="X1370" s="38" t="n"/>
      <c r="Y1370" s="29" t="n"/>
      <c r="Z1370" s="29" t="n"/>
      <c r="AA1370" s="29" t="n"/>
      <c r="AB1370" s="32" t="n"/>
      <c r="AC1370" s="32" t="n"/>
    </row>
    <row r="1371">
      <c r="A1371" s="44" t="inlineStr">
        <is>
          <t>S27</t>
        </is>
      </c>
      <c r="B1371" s="44" t="inlineStr">
        <is>
          <t>전의 신규점</t>
        </is>
      </c>
      <c r="C1371" s="44" t="inlineStr">
        <is>
          <t>S27-H서</t>
        </is>
      </c>
      <c r="D1371" s="45" t="n">
        <v>1</v>
      </c>
      <c r="E1371" s="44" t="inlineStr">
        <is>
          <t>P0(전)</t>
        </is>
      </c>
      <c r="F1371" s="44" t="inlineStr">
        <is>
          <t>서</t>
        </is>
      </c>
      <c r="G1371" s="46" t="n"/>
      <c r="H1371" s="30" t="n"/>
      <c r="I1371" s="43" t="n"/>
      <c r="J1371" s="41" t="n"/>
      <c r="K1371" s="41" t="n"/>
      <c r="L1371" s="41" t="n"/>
      <c r="M1371" s="31">
        <f>IF(COUNT(J1371:L1371)=0,"",MEDIAN(J1371:L1371))</f>
        <v/>
      </c>
      <c r="N1371" s="38" t="n"/>
      <c r="O1371" s="38" t="n"/>
      <c r="P1371" s="38" t="n"/>
      <c r="Q1371" s="38" t="n"/>
      <c r="R1371" s="38" t="n"/>
      <c r="S1371" s="38" t="n"/>
      <c r="T1371" s="38" t="n"/>
      <c r="U1371" s="38" t="n"/>
      <c r="V1371" s="38" t="n"/>
      <c r="W1371" s="38" t="n"/>
      <c r="X1371" s="38" t="n"/>
      <c r="Y1371" s="29" t="n"/>
      <c r="Z1371" s="29" t="n"/>
      <c r="AA1371" s="29" t="n"/>
      <c r="AB1371" s="32" t="n"/>
      <c r="AC1371" s="32" t="n"/>
    </row>
    <row r="1372">
      <c r="A1372" s="26" t="inlineStr">
        <is>
          <t>S27</t>
        </is>
      </c>
      <c r="B1372" s="26" t="inlineStr">
        <is>
          <t>전의 신규점</t>
        </is>
      </c>
      <c r="C1372" s="26" t="inlineStr">
        <is>
          <t>S27-H서</t>
        </is>
      </c>
      <c r="D1372" s="47" t="n">
        <v>1</v>
      </c>
      <c r="E1372" s="26" t="inlineStr">
        <is>
          <t>측정</t>
        </is>
      </c>
      <c r="F1372" s="26" t="inlineStr">
        <is>
          <t>서</t>
        </is>
      </c>
      <c r="G1372" s="31" t="n">
        <v>0.5</v>
      </c>
      <c r="H1372" s="30" t="n"/>
      <c r="I1372" s="43" t="n"/>
      <c r="J1372" s="41" t="n"/>
      <c r="K1372" s="41" t="n"/>
      <c r="L1372" s="41" t="n"/>
      <c r="M1372" s="31">
        <f>IF(COUNT(J1372:L1372)=0,"",MEDIAN(J1372:L1372))</f>
        <v/>
      </c>
      <c r="N1372" s="26">
        <f>IF(COUNTIFS($C:$C,$C1372,$D:$D,$D1372,$E:$E,"P0(전)",$M:$M,"&gt;0")&lt;&gt;1,"P0(전) 유효 1개 아님",IF(COUNTIFS($C:$C,$C1372,$D:$D,$D1372,$E:$E,"P0(후)",$M:$M,"&gt;0")&lt;&gt;1,"P0(후) 유효 1개 아님",IF(NOT(AND(ISNUMBER(O1372),ISNUMBER(Q1372),ISNUMBER(I1372))),"시각 결측",IF(Q1372&lt;=O1372,"P0 시각 역전",IF(OR(I1372&lt;O1372,I1372&gt;Q1372),"측정시각 구간 밖","OK")))))</f>
        <v/>
      </c>
      <c r="O1372" s="48">
        <f>IF(COUNTIFS($C:$C,$C1372,$D:$D,$D1372,$E:$E,"P0(전)",$M:$M,"&gt;0")&lt;&gt;1,"",SUMIFS($I:$I,$C:$C,$C1372,$D:$D,$D1372,$E:$E,"P0(전)"))</f>
        <v/>
      </c>
      <c r="P1372" s="31">
        <f>IF(COUNTIFS($C:$C,$C1372,$D:$D,$D1372,$E:$E,"P0(전)",$M:$M,"&gt;0")&lt;&gt;1,"",SUMIFS($M:$M,$C:$C,$C1372,$D:$D,$D1372,$E:$E,"P0(전)"))</f>
        <v/>
      </c>
      <c r="Q1372" s="48">
        <f>IF(COUNTIFS($C:$C,$C1372,$D:$D,$D1372,$E:$E,"P0(후)",$M:$M,"&gt;0")&lt;&gt;1,"",SUMIFS($I:$I,$C:$C,$C1372,$D:$D,$D1372,$E:$E,"P0(후)"))</f>
        <v/>
      </c>
      <c r="R1372" s="31">
        <f>IF(COUNTIFS($C:$C,$C1372,$D:$D,$D1372,$E:$E,"P0(후)",$M:$M,"&gt;0")&lt;&gt;1,"",SUMIFS($M:$M,$C:$C,$C1372,$D:$D,$D1372,$E:$E,"P0(후)"))</f>
        <v/>
      </c>
      <c r="S1372" s="31">
        <f>IF(N1372&lt;&gt;"OK","",P1372+(R1372-P1372)*(I1372-O1372)/(Q1372-O1372))</f>
        <v/>
      </c>
      <c r="T1372" s="31">
        <f>IF(OR(N1372&lt;&gt;"OK",NOT(ISNUMBER(M1372))),"",M1372-S1372)</f>
        <v/>
      </c>
      <c r="U1372" s="49">
        <f>IF(OR(NOT(ISNUMBER(T1372)),IF(ISNUMBER(H1372),H1372,G1372)=0),"",T1372/IF(ISNUMBER(H1372),H1372,G1372))</f>
        <v/>
      </c>
      <c r="V1372" s="49">
        <f>IF(ISNUMBER(U1372),ABS(U1372),"")</f>
        <v/>
      </c>
      <c r="W1372" s="49">
        <f>IF(OR($E1371&lt;&gt;"측정",$C1371&lt;&gt;$C1372,$D1371&lt;&gt;$D1372,NOT(ISNUMBER(M1372)),NOT(ISNUMBER(M1371)),(IF(ISNUMBER(H1372),H1372,G1372)-IF(ISNUMBER(H1371),H1371,G1371))=0),"",(M1372-M1371)/(IF(ISNUMBER(H1372),H1372,G1372)-IF(ISNUMBER(H1371),H1371,G1371)))</f>
        <v/>
      </c>
      <c r="X1372" s="31">
        <f>IF(NOT(AND(ISNUMBER(O1372),ISNUMBER(Q1372))),"",(Q1372-O1372)*1440)</f>
        <v/>
      </c>
      <c r="Y1372" s="29" t="n"/>
      <c r="Z1372" s="29" t="n"/>
      <c r="AA1372" s="29" t="n"/>
      <c r="AB1372" s="32" t="n"/>
      <c r="AC1372" s="32" t="n"/>
    </row>
    <row r="1373">
      <c r="A1373" s="26" t="inlineStr">
        <is>
          <t>S27</t>
        </is>
      </c>
      <c r="B1373" s="26" t="inlineStr">
        <is>
          <t>전의 신규점</t>
        </is>
      </c>
      <c r="C1373" s="26" t="inlineStr">
        <is>
          <t>S27-H서</t>
        </is>
      </c>
      <c r="D1373" s="47" t="n">
        <v>1</v>
      </c>
      <c r="E1373" s="26" t="inlineStr">
        <is>
          <t>측정</t>
        </is>
      </c>
      <c r="F1373" s="26" t="inlineStr">
        <is>
          <t>서</t>
        </is>
      </c>
      <c r="G1373" s="31" t="n">
        <v>1</v>
      </c>
      <c r="H1373" s="30" t="n"/>
      <c r="I1373" s="43" t="n"/>
      <c r="J1373" s="41" t="n"/>
      <c r="K1373" s="41" t="n"/>
      <c r="L1373" s="41" t="n"/>
      <c r="M1373" s="31">
        <f>IF(COUNT(J1373:L1373)=0,"",MEDIAN(J1373:L1373))</f>
        <v/>
      </c>
      <c r="N1373" s="26">
        <f>IF(COUNTIFS($C:$C,$C1373,$D:$D,$D1373,$E:$E,"P0(전)",$M:$M,"&gt;0")&lt;&gt;1,"P0(전) 유효 1개 아님",IF(COUNTIFS($C:$C,$C1373,$D:$D,$D1373,$E:$E,"P0(후)",$M:$M,"&gt;0")&lt;&gt;1,"P0(후) 유효 1개 아님",IF(NOT(AND(ISNUMBER(O1373),ISNUMBER(Q1373),ISNUMBER(I1373))),"시각 결측",IF(Q1373&lt;=O1373,"P0 시각 역전",IF(OR(I1373&lt;O1373,I1373&gt;Q1373),"측정시각 구간 밖","OK")))))</f>
        <v/>
      </c>
      <c r="O1373" s="48">
        <f>IF(COUNTIFS($C:$C,$C1373,$D:$D,$D1373,$E:$E,"P0(전)",$M:$M,"&gt;0")&lt;&gt;1,"",SUMIFS($I:$I,$C:$C,$C1373,$D:$D,$D1373,$E:$E,"P0(전)"))</f>
        <v/>
      </c>
      <c r="P1373" s="31">
        <f>IF(COUNTIFS($C:$C,$C1373,$D:$D,$D1373,$E:$E,"P0(전)",$M:$M,"&gt;0")&lt;&gt;1,"",SUMIFS($M:$M,$C:$C,$C1373,$D:$D,$D1373,$E:$E,"P0(전)"))</f>
        <v/>
      </c>
      <c r="Q1373" s="48">
        <f>IF(COUNTIFS($C:$C,$C1373,$D:$D,$D1373,$E:$E,"P0(후)",$M:$M,"&gt;0")&lt;&gt;1,"",SUMIFS($I:$I,$C:$C,$C1373,$D:$D,$D1373,$E:$E,"P0(후)"))</f>
        <v/>
      </c>
      <c r="R1373" s="31">
        <f>IF(COUNTIFS($C:$C,$C1373,$D:$D,$D1373,$E:$E,"P0(후)",$M:$M,"&gt;0")&lt;&gt;1,"",SUMIFS($M:$M,$C:$C,$C1373,$D:$D,$D1373,$E:$E,"P0(후)"))</f>
        <v/>
      </c>
      <c r="S1373" s="31">
        <f>IF(N1373&lt;&gt;"OK","",P1373+(R1373-P1373)*(I1373-O1373)/(Q1373-O1373))</f>
        <v/>
      </c>
      <c r="T1373" s="31">
        <f>IF(OR(N1373&lt;&gt;"OK",NOT(ISNUMBER(M1373))),"",M1373-S1373)</f>
        <v/>
      </c>
      <c r="U1373" s="49">
        <f>IF(OR(NOT(ISNUMBER(T1373)),IF(ISNUMBER(H1373),H1373,G1373)=0),"",T1373/IF(ISNUMBER(H1373),H1373,G1373))</f>
        <v/>
      </c>
      <c r="V1373" s="49">
        <f>IF(ISNUMBER(U1373),ABS(U1373),"")</f>
        <v/>
      </c>
      <c r="W1373" s="49">
        <f>IF(OR($E1372&lt;&gt;"측정",$C1372&lt;&gt;$C1373,$D1372&lt;&gt;$D1373,NOT(ISNUMBER(M1373)),NOT(ISNUMBER(M1372)),(IF(ISNUMBER(H1373),H1373,G1373)-IF(ISNUMBER(H1372),H1372,G1372))=0),"",(M1373-M1372)/(IF(ISNUMBER(H1373),H1373,G1373)-IF(ISNUMBER(H1372),H1372,G1372)))</f>
        <v/>
      </c>
      <c r="X1373" s="31">
        <f>IF(NOT(AND(ISNUMBER(O1373),ISNUMBER(Q1373))),"",(Q1373-O1373)*1440)</f>
        <v/>
      </c>
      <c r="Y1373" s="29" t="n"/>
      <c r="Z1373" s="29" t="n"/>
      <c r="AA1373" s="29" t="n"/>
      <c r="AB1373" s="32" t="n"/>
      <c r="AC1373" s="32" t="n"/>
    </row>
    <row r="1374">
      <c r="A1374" s="26" t="inlineStr">
        <is>
          <t>S27</t>
        </is>
      </c>
      <c r="B1374" s="26" t="inlineStr">
        <is>
          <t>전의 신규점</t>
        </is>
      </c>
      <c r="C1374" s="26" t="inlineStr">
        <is>
          <t>S27-H서</t>
        </is>
      </c>
      <c r="D1374" s="47" t="n">
        <v>1</v>
      </c>
      <c r="E1374" s="26" t="inlineStr">
        <is>
          <t>측정</t>
        </is>
      </c>
      <c r="F1374" s="26" t="inlineStr">
        <is>
          <t>서</t>
        </is>
      </c>
      <c r="G1374" s="31" t="n">
        <v>2</v>
      </c>
      <c r="H1374" s="30" t="n"/>
      <c r="I1374" s="43" t="n"/>
      <c r="J1374" s="41" t="n"/>
      <c r="K1374" s="41" t="n"/>
      <c r="L1374" s="41" t="n"/>
      <c r="M1374" s="31">
        <f>IF(COUNT(J1374:L1374)=0,"",MEDIAN(J1374:L1374))</f>
        <v/>
      </c>
      <c r="N1374" s="26">
        <f>IF(COUNTIFS($C:$C,$C1374,$D:$D,$D1374,$E:$E,"P0(전)",$M:$M,"&gt;0")&lt;&gt;1,"P0(전) 유효 1개 아님",IF(COUNTIFS($C:$C,$C1374,$D:$D,$D1374,$E:$E,"P0(후)",$M:$M,"&gt;0")&lt;&gt;1,"P0(후) 유효 1개 아님",IF(NOT(AND(ISNUMBER(O1374),ISNUMBER(Q1374),ISNUMBER(I1374))),"시각 결측",IF(Q1374&lt;=O1374,"P0 시각 역전",IF(OR(I1374&lt;O1374,I1374&gt;Q1374),"측정시각 구간 밖","OK")))))</f>
        <v/>
      </c>
      <c r="O1374" s="48">
        <f>IF(COUNTIFS($C:$C,$C1374,$D:$D,$D1374,$E:$E,"P0(전)",$M:$M,"&gt;0")&lt;&gt;1,"",SUMIFS($I:$I,$C:$C,$C1374,$D:$D,$D1374,$E:$E,"P0(전)"))</f>
        <v/>
      </c>
      <c r="P1374" s="31">
        <f>IF(COUNTIFS($C:$C,$C1374,$D:$D,$D1374,$E:$E,"P0(전)",$M:$M,"&gt;0")&lt;&gt;1,"",SUMIFS($M:$M,$C:$C,$C1374,$D:$D,$D1374,$E:$E,"P0(전)"))</f>
        <v/>
      </c>
      <c r="Q1374" s="48">
        <f>IF(COUNTIFS($C:$C,$C1374,$D:$D,$D1374,$E:$E,"P0(후)",$M:$M,"&gt;0")&lt;&gt;1,"",SUMIFS($I:$I,$C:$C,$C1374,$D:$D,$D1374,$E:$E,"P0(후)"))</f>
        <v/>
      </c>
      <c r="R1374" s="31">
        <f>IF(COUNTIFS($C:$C,$C1374,$D:$D,$D1374,$E:$E,"P0(후)",$M:$M,"&gt;0")&lt;&gt;1,"",SUMIFS($M:$M,$C:$C,$C1374,$D:$D,$D1374,$E:$E,"P0(후)"))</f>
        <v/>
      </c>
      <c r="S1374" s="31">
        <f>IF(N1374&lt;&gt;"OK","",P1374+(R1374-P1374)*(I1374-O1374)/(Q1374-O1374))</f>
        <v/>
      </c>
      <c r="T1374" s="31">
        <f>IF(OR(N1374&lt;&gt;"OK",NOT(ISNUMBER(M1374))),"",M1374-S1374)</f>
        <v/>
      </c>
      <c r="U1374" s="49">
        <f>IF(OR(NOT(ISNUMBER(T1374)),IF(ISNUMBER(H1374),H1374,G1374)=0),"",T1374/IF(ISNUMBER(H1374),H1374,G1374))</f>
        <v/>
      </c>
      <c r="V1374" s="49">
        <f>IF(ISNUMBER(U1374),ABS(U1374),"")</f>
        <v/>
      </c>
      <c r="W1374" s="49">
        <f>IF(OR($E1373&lt;&gt;"측정",$C1373&lt;&gt;$C1374,$D1373&lt;&gt;$D1374,NOT(ISNUMBER(M1374)),NOT(ISNUMBER(M1373)),(IF(ISNUMBER(H1374),H1374,G1374)-IF(ISNUMBER(H1373),H1373,G1373))=0),"",(M1374-M1373)/(IF(ISNUMBER(H1374),H1374,G1374)-IF(ISNUMBER(H1373),H1373,G1373)))</f>
        <v/>
      </c>
      <c r="X1374" s="31">
        <f>IF(NOT(AND(ISNUMBER(O1374),ISNUMBER(Q1374))),"",(Q1374-O1374)*1440)</f>
        <v/>
      </c>
      <c r="Y1374" s="29" t="n"/>
      <c r="Z1374" s="29" t="n"/>
      <c r="AA1374" s="29" t="n"/>
      <c r="AB1374" s="32" t="n"/>
      <c r="AC1374" s="32" t="n"/>
    </row>
    <row r="1375">
      <c r="A1375" s="26" t="inlineStr">
        <is>
          <t>S27</t>
        </is>
      </c>
      <c r="B1375" s="26" t="inlineStr">
        <is>
          <t>전의 신규점</t>
        </is>
      </c>
      <c r="C1375" s="26" t="inlineStr">
        <is>
          <t>S27-H서</t>
        </is>
      </c>
      <c r="D1375" s="47" t="n">
        <v>1</v>
      </c>
      <c r="E1375" s="26" t="inlineStr">
        <is>
          <t>측정</t>
        </is>
      </c>
      <c r="F1375" s="26" t="inlineStr">
        <is>
          <t>서</t>
        </is>
      </c>
      <c r="G1375" s="31" t="n">
        <v>3</v>
      </c>
      <c r="H1375" s="30" t="n"/>
      <c r="I1375" s="43" t="n"/>
      <c r="J1375" s="41" t="n"/>
      <c r="K1375" s="41" t="n"/>
      <c r="L1375" s="41" t="n"/>
      <c r="M1375" s="31">
        <f>IF(COUNT(J1375:L1375)=0,"",MEDIAN(J1375:L1375))</f>
        <v/>
      </c>
      <c r="N1375" s="26">
        <f>IF(COUNTIFS($C:$C,$C1375,$D:$D,$D1375,$E:$E,"P0(전)",$M:$M,"&gt;0")&lt;&gt;1,"P0(전) 유효 1개 아님",IF(COUNTIFS($C:$C,$C1375,$D:$D,$D1375,$E:$E,"P0(후)",$M:$M,"&gt;0")&lt;&gt;1,"P0(후) 유효 1개 아님",IF(NOT(AND(ISNUMBER(O1375),ISNUMBER(Q1375),ISNUMBER(I1375))),"시각 결측",IF(Q1375&lt;=O1375,"P0 시각 역전",IF(OR(I1375&lt;O1375,I1375&gt;Q1375),"측정시각 구간 밖","OK")))))</f>
        <v/>
      </c>
      <c r="O1375" s="48">
        <f>IF(COUNTIFS($C:$C,$C1375,$D:$D,$D1375,$E:$E,"P0(전)",$M:$M,"&gt;0")&lt;&gt;1,"",SUMIFS($I:$I,$C:$C,$C1375,$D:$D,$D1375,$E:$E,"P0(전)"))</f>
        <v/>
      </c>
      <c r="P1375" s="31">
        <f>IF(COUNTIFS($C:$C,$C1375,$D:$D,$D1375,$E:$E,"P0(전)",$M:$M,"&gt;0")&lt;&gt;1,"",SUMIFS($M:$M,$C:$C,$C1375,$D:$D,$D1375,$E:$E,"P0(전)"))</f>
        <v/>
      </c>
      <c r="Q1375" s="48">
        <f>IF(COUNTIFS($C:$C,$C1375,$D:$D,$D1375,$E:$E,"P0(후)",$M:$M,"&gt;0")&lt;&gt;1,"",SUMIFS($I:$I,$C:$C,$C1375,$D:$D,$D1375,$E:$E,"P0(후)"))</f>
        <v/>
      </c>
      <c r="R1375" s="31">
        <f>IF(COUNTIFS($C:$C,$C1375,$D:$D,$D1375,$E:$E,"P0(후)",$M:$M,"&gt;0")&lt;&gt;1,"",SUMIFS($M:$M,$C:$C,$C1375,$D:$D,$D1375,$E:$E,"P0(후)"))</f>
        <v/>
      </c>
      <c r="S1375" s="31">
        <f>IF(N1375&lt;&gt;"OK","",P1375+(R1375-P1375)*(I1375-O1375)/(Q1375-O1375))</f>
        <v/>
      </c>
      <c r="T1375" s="31">
        <f>IF(OR(N1375&lt;&gt;"OK",NOT(ISNUMBER(M1375))),"",M1375-S1375)</f>
        <v/>
      </c>
      <c r="U1375" s="49">
        <f>IF(OR(NOT(ISNUMBER(T1375)),IF(ISNUMBER(H1375),H1375,G1375)=0),"",T1375/IF(ISNUMBER(H1375),H1375,G1375))</f>
        <v/>
      </c>
      <c r="V1375" s="49">
        <f>IF(ISNUMBER(U1375),ABS(U1375),"")</f>
        <v/>
      </c>
      <c r="W1375" s="49">
        <f>IF(OR($E1374&lt;&gt;"측정",$C1374&lt;&gt;$C1375,$D1374&lt;&gt;$D1375,NOT(ISNUMBER(M1375)),NOT(ISNUMBER(M1374)),(IF(ISNUMBER(H1375),H1375,G1375)-IF(ISNUMBER(H1374),H1374,G1374))=0),"",(M1375-M1374)/(IF(ISNUMBER(H1375),H1375,G1375)-IF(ISNUMBER(H1374),H1374,G1374)))</f>
        <v/>
      </c>
      <c r="X1375" s="31">
        <f>IF(NOT(AND(ISNUMBER(O1375),ISNUMBER(Q1375))),"",(Q1375-O1375)*1440)</f>
        <v/>
      </c>
      <c r="Y1375" s="29" t="n"/>
      <c r="Z1375" s="29" t="n"/>
      <c r="AA1375" s="29" t="n"/>
      <c r="AB1375" s="32" t="n"/>
      <c r="AC1375" s="32" t="n"/>
    </row>
    <row r="1376">
      <c r="A1376" s="26" t="inlineStr">
        <is>
          <t>S27</t>
        </is>
      </c>
      <c r="B1376" s="26" t="inlineStr">
        <is>
          <t>전의 신규점</t>
        </is>
      </c>
      <c r="C1376" s="26" t="inlineStr">
        <is>
          <t>S27-H서</t>
        </is>
      </c>
      <c r="D1376" s="47" t="n">
        <v>1</v>
      </c>
      <c r="E1376" s="26" t="inlineStr">
        <is>
          <t>측정</t>
        </is>
      </c>
      <c r="F1376" s="26" t="inlineStr">
        <is>
          <t>서</t>
        </is>
      </c>
      <c r="G1376" s="31" t="n">
        <v>4</v>
      </c>
      <c r="H1376" s="30" t="n"/>
      <c r="I1376" s="43" t="n"/>
      <c r="J1376" s="41" t="n"/>
      <c r="K1376" s="41" t="n"/>
      <c r="L1376" s="41" t="n"/>
      <c r="M1376" s="31">
        <f>IF(COUNT(J1376:L1376)=0,"",MEDIAN(J1376:L1376))</f>
        <v/>
      </c>
      <c r="N1376" s="26">
        <f>IF(COUNTIFS($C:$C,$C1376,$D:$D,$D1376,$E:$E,"P0(전)",$M:$M,"&gt;0")&lt;&gt;1,"P0(전) 유효 1개 아님",IF(COUNTIFS($C:$C,$C1376,$D:$D,$D1376,$E:$E,"P0(후)",$M:$M,"&gt;0")&lt;&gt;1,"P0(후) 유효 1개 아님",IF(NOT(AND(ISNUMBER(O1376),ISNUMBER(Q1376),ISNUMBER(I1376))),"시각 결측",IF(Q1376&lt;=O1376,"P0 시각 역전",IF(OR(I1376&lt;O1376,I1376&gt;Q1376),"측정시각 구간 밖","OK")))))</f>
        <v/>
      </c>
      <c r="O1376" s="48">
        <f>IF(COUNTIFS($C:$C,$C1376,$D:$D,$D1376,$E:$E,"P0(전)",$M:$M,"&gt;0")&lt;&gt;1,"",SUMIFS($I:$I,$C:$C,$C1376,$D:$D,$D1376,$E:$E,"P0(전)"))</f>
        <v/>
      </c>
      <c r="P1376" s="31">
        <f>IF(COUNTIFS($C:$C,$C1376,$D:$D,$D1376,$E:$E,"P0(전)",$M:$M,"&gt;0")&lt;&gt;1,"",SUMIFS($M:$M,$C:$C,$C1376,$D:$D,$D1376,$E:$E,"P0(전)"))</f>
        <v/>
      </c>
      <c r="Q1376" s="48">
        <f>IF(COUNTIFS($C:$C,$C1376,$D:$D,$D1376,$E:$E,"P0(후)",$M:$M,"&gt;0")&lt;&gt;1,"",SUMIFS($I:$I,$C:$C,$C1376,$D:$D,$D1376,$E:$E,"P0(후)"))</f>
        <v/>
      </c>
      <c r="R1376" s="31">
        <f>IF(COUNTIFS($C:$C,$C1376,$D:$D,$D1376,$E:$E,"P0(후)",$M:$M,"&gt;0")&lt;&gt;1,"",SUMIFS($M:$M,$C:$C,$C1376,$D:$D,$D1376,$E:$E,"P0(후)"))</f>
        <v/>
      </c>
      <c r="S1376" s="31">
        <f>IF(N1376&lt;&gt;"OK","",P1376+(R1376-P1376)*(I1376-O1376)/(Q1376-O1376))</f>
        <v/>
      </c>
      <c r="T1376" s="31">
        <f>IF(OR(N1376&lt;&gt;"OK",NOT(ISNUMBER(M1376))),"",M1376-S1376)</f>
        <v/>
      </c>
      <c r="U1376" s="49">
        <f>IF(OR(NOT(ISNUMBER(T1376)),IF(ISNUMBER(H1376),H1376,G1376)=0),"",T1376/IF(ISNUMBER(H1376),H1376,G1376))</f>
        <v/>
      </c>
      <c r="V1376" s="49">
        <f>IF(ISNUMBER(U1376),ABS(U1376),"")</f>
        <v/>
      </c>
      <c r="W1376" s="49">
        <f>IF(OR($E1375&lt;&gt;"측정",$C1375&lt;&gt;$C1376,$D1375&lt;&gt;$D1376,NOT(ISNUMBER(M1376)),NOT(ISNUMBER(M1375)),(IF(ISNUMBER(H1376),H1376,G1376)-IF(ISNUMBER(H1375),H1375,G1375))=0),"",(M1376-M1375)/(IF(ISNUMBER(H1376),H1376,G1376)-IF(ISNUMBER(H1375),H1375,G1375)))</f>
        <v/>
      </c>
      <c r="X1376" s="31">
        <f>IF(NOT(AND(ISNUMBER(O1376),ISNUMBER(Q1376))),"",(Q1376-O1376)*1440)</f>
        <v/>
      </c>
      <c r="Y1376" s="29" t="n"/>
      <c r="Z1376" s="29" t="n"/>
      <c r="AA1376" s="29" t="n"/>
      <c r="AB1376" s="32" t="n"/>
      <c r="AC1376" s="32" t="n"/>
    </row>
    <row r="1377">
      <c r="A1377" s="26" t="inlineStr">
        <is>
          <t>S27</t>
        </is>
      </c>
      <c r="B1377" s="26" t="inlineStr">
        <is>
          <t>전의 신규점</t>
        </is>
      </c>
      <c r="C1377" s="26" t="inlineStr">
        <is>
          <t>S27-H서</t>
        </is>
      </c>
      <c r="D1377" s="47" t="n">
        <v>1</v>
      </c>
      <c r="E1377" s="26" t="inlineStr">
        <is>
          <t>측정</t>
        </is>
      </c>
      <c r="F1377" s="26" t="inlineStr">
        <is>
          <t>서</t>
        </is>
      </c>
      <c r="G1377" s="31" t="n">
        <v>5</v>
      </c>
      <c r="H1377" s="30" t="n"/>
      <c r="I1377" s="43" t="n"/>
      <c r="J1377" s="41" t="n"/>
      <c r="K1377" s="41" t="n"/>
      <c r="L1377" s="41" t="n"/>
      <c r="M1377" s="31">
        <f>IF(COUNT(J1377:L1377)=0,"",MEDIAN(J1377:L1377))</f>
        <v/>
      </c>
      <c r="N1377" s="26">
        <f>IF(COUNTIFS($C:$C,$C1377,$D:$D,$D1377,$E:$E,"P0(전)",$M:$M,"&gt;0")&lt;&gt;1,"P0(전) 유효 1개 아님",IF(COUNTIFS($C:$C,$C1377,$D:$D,$D1377,$E:$E,"P0(후)",$M:$M,"&gt;0")&lt;&gt;1,"P0(후) 유효 1개 아님",IF(NOT(AND(ISNUMBER(O1377),ISNUMBER(Q1377),ISNUMBER(I1377))),"시각 결측",IF(Q1377&lt;=O1377,"P0 시각 역전",IF(OR(I1377&lt;O1377,I1377&gt;Q1377),"측정시각 구간 밖","OK")))))</f>
        <v/>
      </c>
      <c r="O1377" s="48">
        <f>IF(COUNTIFS($C:$C,$C1377,$D:$D,$D1377,$E:$E,"P0(전)",$M:$M,"&gt;0")&lt;&gt;1,"",SUMIFS($I:$I,$C:$C,$C1377,$D:$D,$D1377,$E:$E,"P0(전)"))</f>
        <v/>
      </c>
      <c r="P1377" s="31">
        <f>IF(COUNTIFS($C:$C,$C1377,$D:$D,$D1377,$E:$E,"P0(전)",$M:$M,"&gt;0")&lt;&gt;1,"",SUMIFS($M:$M,$C:$C,$C1377,$D:$D,$D1377,$E:$E,"P0(전)"))</f>
        <v/>
      </c>
      <c r="Q1377" s="48">
        <f>IF(COUNTIFS($C:$C,$C1377,$D:$D,$D1377,$E:$E,"P0(후)",$M:$M,"&gt;0")&lt;&gt;1,"",SUMIFS($I:$I,$C:$C,$C1377,$D:$D,$D1377,$E:$E,"P0(후)"))</f>
        <v/>
      </c>
      <c r="R1377" s="31">
        <f>IF(COUNTIFS($C:$C,$C1377,$D:$D,$D1377,$E:$E,"P0(후)",$M:$M,"&gt;0")&lt;&gt;1,"",SUMIFS($M:$M,$C:$C,$C1377,$D:$D,$D1377,$E:$E,"P0(후)"))</f>
        <v/>
      </c>
      <c r="S1377" s="31">
        <f>IF(N1377&lt;&gt;"OK","",P1377+(R1377-P1377)*(I1377-O1377)/(Q1377-O1377))</f>
        <v/>
      </c>
      <c r="T1377" s="31">
        <f>IF(OR(N1377&lt;&gt;"OK",NOT(ISNUMBER(M1377))),"",M1377-S1377)</f>
        <v/>
      </c>
      <c r="U1377" s="49">
        <f>IF(OR(NOT(ISNUMBER(T1377)),IF(ISNUMBER(H1377),H1377,G1377)=0),"",T1377/IF(ISNUMBER(H1377),H1377,G1377))</f>
        <v/>
      </c>
      <c r="V1377" s="49">
        <f>IF(ISNUMBER(U1377),ABS(U1377),"")</f>
        <v/>
      </c>
      <c r="W1377" s="49">
        <f>IF(OR($E1376&lt;&gt;"측정",$C1376&lt;&gt;$C1377,$D1376&lt;&gt;$D1377,NOT(ISNUMBER(M1377)),NOT(ISNUMBER(M1376)),(IF(ISNUMBER(H1377),H1377,G1377)-IF(ISNUMBER(H1376),H1376,G1376))=0),"",(M1377-M1376)/(IF(ISNUMBER(H1377),H1377,G1377)-IF(ISNUMBER(H1376),H1376,G1376)))</f>
        <v/>
      </c>
      <c r="X1377" s="31">
        <f>IF(NOT(AND(ISNUMBER(O1377),ISNUMBER(Q1377))),"",(Q1377-O1377)*1440)</f>
        <v/>
      </c>
      <c r="Y1377" s="29" t="n"/>
      <c r="Z1377" s="29" t="n"/>
      <c r="AA1377" s="29" t="n"/>
      <c r="AB1377" s="32" t="n"/>
      <c r="AC1377" s="32" t="n"/>
    </row>
    <row r="1378">
      <c r="A1378" s="26" t="inlineStr">
        <is>
          <t>S27</t>
        </is>
      </c>
      <c r="B1378" s="26" t="inlineStr">
        <is>
          <t>전의 신규점</t>
        </is>
      </c>
      <c r="C1378" s="26" t="inlineStr">
        <is>
          <t>S27-H서</t>
        </is>
      </c>
      <c r="D1378" s="47" t="n">
        <v>1</v>
      </c>
      <c r="E1378" s="26" t="inlineStr">
        <is>
          <t>측정</t>
        </is>
      </c>
      <c r="F1378" s="26" t="inlineStr">
        <is>
          <t>서</t>
        </is>
      </c>
      <c r="G1378" s="31" t="n">
        <v>6</v>
      </c>
      <c r="H1378" s="30" t="n"/>
      <c r="I1378" s="43" t="n"/>
      <c r="J1378" s="41" t="n"/>
      <c r="K1378" s="41" t="n"/>
      <c r="L1378" s="41" t="n"/>
      <c r="M1378" s="31">
        <f>IF(COUNT(J1378:L1378)=0,"",MEDIAN(J1378:L1378))</f>
        <v/>
      </c>
      <c r="N1378" s="26">
        <f>IF(COUNTIFS($C:$C,$C1378,$D:$D,$D1378,$E:$E,"P0(전)",$M:$M,"&gt;0")&lt;&gt;1,"P0(전) 유효 1개 아님",IF(COUNTIFS($C:$C,$C1378,$D:$D,$D1378,$E:$E,"P0(후)",$M:$M,"&gt;0")&lt;&gt;1,"P0(후) 유효 1개 아님",IF(NOT(AND(ISNUMBER(O1378),ISNUMBER(Q1378),ISNUMBER(I1378))),"시각 결측",IF(Q1378&lt;=O1378,"P0 시각 역전",IF(OR(I1378&lt;O1378,I1378&gt;Q1378),"측정시각 구간 밖","OK")))))</f>
        <v/>
      </c>
      <c r="O1378" s="48">
        <f>IF(COUNTIFS($C:$C,$C1378,$D:$D,$D1378,$E:$E,"P0(전)",$M:$M,"&gt;0")&lt;&gt;1,"",SUMIFS($I:$I,$C:$C,$C1378,$D:$D,$D1378,$E:$E,"P0(전)"))</f>
        <v/>
      </c>
      <c r="P1378" s="31">
        <f>IF(COUNTIFS($C:$C,$C1378,$D:$D,$D1378,$E:$E,"P0(전)",$M:$M,"&gt;0")&lt;&gt;1,"",SUMIFS($M:$M,$C:$C,$C1378,$D:$D,$D1378,$E:$E,"P0(전)"))</f>
        <v/>
      </c>
      <c r="Q1378" s="48">
        <f>IF(COUNTIFS($C:$C,$C1378,$D:$D,$D1378,$E:$E,"P0(후)",$M:$M,"&gt;0")&lt;&gt;1,"",SUMIFS($I:$I,$C:$C,$C1378,$D:$D,$D1378,$E:$E,"P0(후)"))</f>
        <v/>
      </c>
      <c r="R1378" s="31">
        <f>IF(COUNTIFS($C:$C,$C1378,$D:$D,$D1378,$E:$E,"P0(후)",$M:$M,"&gt;0")&lt;&gt;1,"",SUMIFS($M:$M,$C:$C,$C1378,$D:$D,$D1378,$E:$E,"P0(후)"))</f>
        <v/>
      </c>
      <c r="S1378" s="31">
        <f>IF(N1378&lt;&gt;"OK","",P1378+(R1378-P1378)*(I1378-O1378)/(Q1378-O1378))</f>
        <v/>
      </c>
      <c r="T1378" s="31">
        <f>IF(OR(N1378&lt;&gt;"OK",NOT(ISNUMBER(M1378))),"",M1378-S1378)</f>
        <v/>
      </c>
      <c r="U1378" s="49">
        <f>IF(OR(NOT(ISNUMBER(T1378)),IF(ISNUMBER(H1378),H1378,G1378)=0),"",T1378/IF(ISNUMBER(H1378),H1378,G1378))</f>
        <v/>
      </c>
      <c r="V1378" s="49">
        <f>IF(ISNUMBER(U1378),ABS(U1378),"")</f>
        <v/>
      </c>
      <c r="W1378" s="49">
        <f>IF(OR($E1377&lt;&gt;"측정",$C1377&lt;&gt;$C1378,$D1377&lt;&gt;$D1378,NOT(ISNUMBER(M1378)),NOT(ISNUMBER(M1377)),(IF(ISNUMBER(H1378),H1378,G1378)-IF(ISNUMBER(H1377),H1377,G1377))=0),"",(M1378-M1377)/(IF(ISNUMBER(H1378),H1378,G1378)-IF(ISNUMBER(H1377),H1377,G1377)))</f>
        <v/>
      </c>
      <c r="X1378" s="31">
        <f>IF(NOT(AND(ISNUMBER(O1378),ISNUMBER(Q1378))),"",(Q1378-O1378)*1440)</f>
        <v/>
      </c>
      <c r="Y1378" s="29" t="n"/>
      <c r="Z1378" s="29" t="n"/>
      <c r="AA1378" s="29" t="n"/>
      <c r="AB1378" s="32" t="n"/>
      <c r="AC1378" s="32" t="n"/>
    </row>
    <row r="1379">
      <c r="A1379" s="26" t="inlineStr">
        <is>
          <t>S27</t>
        </is>
      </c>
      <c r="B1379" s="26" t="inlineStr">
        <is>
          <t>전의 신규점</t>
        </is>
      </c>
      <c r="C1379" s="26" t="inlineStr">
        <is>
          <t>S27-H서</t>
        </is>
      </c>
      <c r="D1379" s="47" t="n">
        <v>1</v>
      </c>
      <c r="E1379" s="26" t="inlineStr">
        <is>
          <t>측정</t>
        </is>
      </c>
      <c r="F1379" s="26" t="inlineStr">
        <is>
          <t>서</t>
        </is>
      </c>
      <c r="G1379" s="31" t="n">
        <v>7</v>
      </c>
      <c r="H1379" s="30" t="n"/>
      <c r="I1379" s="43" t="n"/>
      <c r="J1379" s="41" t="n"/>
      <c r="K1379" s="41" t="n"/>
      <c r="L1379" s="41" t="n"/>
      <c r="M1379" s="31">
        <f>IF(COUNT(J1379:L1379)=0,"",MEDIAN(J1379:L1379))</f>
        <v/>
      </c>
      <c r="N1379" s="26">
        <f>IF(COUNTIFS($C:$C,$C1379,$D:$D,$D1379,$E:$E,"P0(전)",$M:$M,"&gt;0")&lt;&gt;1,"P0(전) 유효 1개 아님",IF(COUNTIFS($C:$C,$C1379,$D:$D,$D1379,$E:$E,"P0(후)",$M:$M,"&gt;0")&lt;&gt;1,"P0(후) 유효 1개 아님",IF(NOT(AND(ISNUMBER(O1379),ISNUMBER(Q1379),ISNUMBER(I1379))),"시각 결측",IF(Q1379&lt;=O1379,"P0 시각 역전",IF(OR(I1379&lt;O1379,I1379&gt;Q1379),"측정시각 구간 밖","OK")))))</f>
        <v/>
      </c>
      <c r="O1379" s="48">
        <f>IF(COUNTIFS($C:$C,$C1379,$D:$D,$D1379,$E:$E,"P0(전)",$M:$M,"&gt;0")&lt;&gt;1,"",SUMIFS($I:$I,$C:$C,$C1379,$D:$D,$D1379,$E:$E,"P0(전)"))</f>
        <v/>
      </c>
      <c r="P1379" s="31">
        <f>IF(COUNTIFS($C:$C,$C1379,$D:$D,$D1379,$E:$E,"P0(전)",$M:$M,"&gt;0")&lt;&gt;1,"",SUMIFS($M:$M,$C:$C,$C1379,$D:$D,$D1379,$E:$E,"P0(전)"))</f>
        <v/>
      </c>
      <c r="Q1379" s="48">
        <f>IF(COUNTIFS($C:$C,$C1379,$D:$D,$D1379,$E:$E,"P0(후)",$M:$M,"&gt;0")&lt;&gt;1,"",SUMIFS($I:$I,$C:$C,$C1379,$D:$D,$D1379,$E:$E,"P0(후)"))</f>
        <v/>
      </c>
      <c r="R1379" s="31">
        <f>IF(COUNTIFS($C:$C,$C1379,$D:$D,$D1379,$E:$E,"P0(후)",$M:$M,"&gt;0")&lt;&gt;1,"",SUMIFS($M:$M,$C:$C,$C1379,$D:$D,$D1379,$E:$E,"P0(후)"))</f>
        <v/>
      </c>
      <c r="S1379" s="31">
        <f>IF(N1379&lt;&gt;"OK","",P1379+(R1379-P1379)*(I1379-O1379)/(Q1379-O1379))</f>
        <v/>
      </c>
      <c r="T1379" s="31">
        <f>IF(OR(N1379&lt;&gt;"OK",NOT(ISNUMBER(M1379))),"",M1379-S1379)</f>
        <v/>
      </c>
      <c r="U1379" s="49">
        <f>IF(OR(NOT(ISNUMBER(T1379)),IF(ISNUMBER(H1379),H1379,G1379)=0),"",T1379/IF(ISNUMBER(H1379),H1379,G1379))</f>
        <v/>
      </c>
      <c r="V1379" s="49">
        <f>IF(ISNUMBER(U1379),ABS(U1379),"")</f>
        <v/>
      </c>
      <c r="W1379" s="49">
        <f>IF(OR($E1378&lt;&gt;"측정",$C1378&lt;&gt;$C1379,$D1378&lt;&gt;$D1379,NOT(ISNUMBER(M1379)),NOT(ISNUMBER(M1378)),(IF(ISNUMBER(H1379),H1379,G1379)-IF(ISNUMBER(H1378),H1378,G1378))=0),"",(M1379-M1378)/(IF(ISNUMBER(H1379),H1379,G1379)-IF(ISNUMBER(H1378),H1378,G1378)))</f>
        <v/>
      </c>
      <c r="X1379" s="31">
        <f>IF(NOT(AND(ISNUMBER(O1379),ISNUMBER(Q1379))),"",(Q1379-O1379)*1440)</f>
        <v/>
      </c>
      <c r="Y1379" s="29" t="n"/>
      <c r="Z1379" s="29" t="n"/>
      <c r="AA1379" s="29" t="n"/>
      <c r="AB1379" s="32" t="n"/>
      <c r="AC1379" s="32" t="n"/>
    </row>
    <row r="1380">
      <c r="A1380" s="26" t="inlineStr">
        <is>
          <t>S27</t>
        </is>
      </c>
      <c r="B1380" s="26" t="inlineStr">
        <is>
          <t>전의 신규점</t>
        </is>
      </c>
      <c r="C1380" s="26" t="inlineStr">
        <is>
          <t>S27-H서</t>
        </is>
      </c>
      <c r="D1380" s="47" t="n">
        <v>1</v>
      </c>
      <c r="E1380" s="26" t="inlineStr">
        <is>
          <t>측정</t>
        </is>
      </c>
      <c r="F1380" s="26" t="inlineStr">
        <is>
          <t>서</t>
        </is>
      </c>
      <c r="G1380" s="31" t="n">
        <v>8</v>
      </c>
      <c r="H1380" s="30" t="n"/>
      <c r="I1380" s="43" t="n"/>
      <c r="J1380" s="41" t="n"/>
      <c r="K1380" s="41" t="n"/>
      <c r="L1380" s="41" t="n"/>
      <c r="M1380" s="31">
        <f>IF(COUNT(J1380:L1380)=0,"",MEDIAN(J1380:L1380))</f>
        <v/>
      </c>
      <c r="N1380" s="26">
        <f>IF(COUNTIFS($C:$C,$C1380,$D:$D,$D1380,$E:$E,"P0(전)",$M:$M,"&gt;0")&lt;&gt;1,"P0(전) 유효 1개 아님",IF(COUNTIFS($C:$C,$C1380,$D:$D,$D1380,$E:$E,"P0(후)",$M:$M,"&gt;0")&lt;&gt;1,"P0(후) 유효 1개 아님",IF(NOT(AND(ISNUMBER(O1380),ISNUMBER(Q1380),ISNUMBER(I1380))),"시각 결측",IF(Q1380&lt;=O1380,"P0 시각 역전",IF(OR(I1380&lt;O1380,I1380&gt;Q1380),"측정시각 구간 밖","OK")))))</f>
        <v/>
      </c>
      <c r="O1380" s="48">
        <f>IF(COUNTIFS($C:$C,$C1380,$D:$D,$D1380,$E:$E,"P0(전)",$M:$M,"&gt;0")&lt;&gt;1,"",SUMIFS($I:$I,$C:$C,$C1380,$D:$D,$D1380,$E:$E,"P0(전)"))</f>
        <v/>
      </c>
      <c r="P1380" s="31">
        <f>IF(COUNTIFS($C:$C,$C1380,$D:$D,$D1380,$E:$E,"P0(전)",$M:$M,"&gt;0")&lt;&gt;1,"",SUMIFS($M:$M,$C:$C,$C1380,$D:$D,$D1380,$E:$E,"P0(전)"))</f>
        <v/>
      </c>
      <c r="Q1380" s="48">
        <f>IF(COUNTIFS($C:$C,$C1380,$D:$D,$D1380,$E:$E,"P0(후)",$M:$M,"&gt;0")&lt;&gt;1,"",SUMIFS($I:$I,$C:$C,$C1380,$D:$D,$D1380,$E:$E,"P0(후)"))</f>
        <v/>
      </c>
      <c r="R1380" s="31">
        <f>IF(COUNTIFS($C:$C,$C1380,$D:$D,$D1380,$E:$E,"P0(후)",$M:$M,"&gt;0")&lt;&gt;1,"",SUMIFS($M:$M,$C:$C,$C1380,$D:$D,$D1380,$E:$E,"P0(후)"))</f>
        <v/>
      </c>
      <c r="S1380" s="31">
        <f>IF(N1380&lt;&gt;"OK","",P1380+(R1380-P1380)*(I1380-O1380)/(Q1380-O1380))</f>
        <v/>
      </c>
      <c r="T1380" s="31">
        <f>IF(OR(N1380&lt;&gt;"OK",NOT(ISNUMBER(M1380))),"",M1380-S1380)</f>
        <v/>
      </c>
      <c r="U1380" s="49">
        <f>IF(OR(NOT(ISNUMBER(T1380)),IF(ISNUMBER(H1380),H1380,G1380)=0),"",T1380/IF(ISNUMBER(H1380),H1380,G1380))</f>
        <v/>
      </c>
      <c r="V1380" s="49">
        <f>IF(ISNUMBER(U1380),ABS(U1380),"")</f>
        <v/>
      </c>
      <c r="W1380" s="49">
        <f>IF(OR($E1379&lt;&gt;"측정",$C1379&lt;&gt;$C1380,$D1379&lt;&gt;$D1380,NOT(ISNUMBER(M1380)),NOT(ISNUMBER(M1379)),(IF(ISNUMBER(H1380),H1380,G1380)-IF(ISNUMBER(H1379),H1379,G1379))=0),"",(M1380-M1379)/(IF(ISNUMBER(H1380),H1380,G1380)-IF(ISNUMBER(H1379),H1379,G1379)))</f>
        <v/>
      </c>
      <c r="X1380" s="31">
        <f>IF(NOT(AND(ISNUMBER(O1380),ISNUMBER(Q1380))),"",(Q1380-O1380)*1440)</f>
        <v/>
      </c>
      <c r="Y1380" s="29" t="n"/>
      <c r="Z1380" s="29" t="n"/>
      <c r="AA1380" s="29" t="n"/>
      <c r="AB1380" s="32" t="n"/>
      <c r="AC1380" s="32" t="n"/>
    </row>
    <row r="1381">
      <c r="A1381" s="26" t="inlineStr">
        <is>
          <t>S27</t>
        </is>
      </c>
      <c r="B1381" s="26" t="inlineStr">
        <is>
          <t>전의 신규점</t>
        </is>
      </c>
      <c r="C1381" s="26" t="inlineStr">
        <is>
          <t>S27-H서</t>
        </is>
      </c>
      <c r="D1381" s="47" t="n">
        <v>1</v>
      </c>
      <c r="E1381" s="26" t="inlineStr">
        <is>
          <t>측정</t>
        </is>
      </c>
      <c r="F1381" s="26" t="inlineStr">
        <is>
          <t>서</t>
        </is>
      </c>
      <c r="G1381" s="31" t="n">
        <v>9</v>
      </c>
      <c r="H1381" s="30" t="n"/>
      <c r="I1381" s="43" t="n"/>
      <c r="J1381" s="41" t="n"/>
      <c r="K1381" s="41" t="n"/>
      <c r="L1381" s="41" t="n"/>
      <c r="M1381" s="31">
        <f>IF(COUNT(J1381:L1381)=0,"",MEDIAN(J1381:L1381))</f>
        <v/>
      </c>
      <c r="N1381" s="26">
        <f>IF(COUNTIFS($C:$C,$C1381,$D:$D,$D1381,$E:$E,"P0(전)",$M:$M,"&gt;0")&lt;&gt;1,"P0(전) 유효 1개 아님",IF(COUNTIFS($C:$C,$C1381,$D:$D,$D1381,$E:$E,"P0(후)",$M:$M,"&gt;0")&lt;&gt;1,"P0(후) 유효 1개 아님",IF(NOT(AND(ISNUMBER(O1381),ISNUMBER(Q1381),ISNUMBER(I1381))),"시각 결측",IF(Q1381&lt;=O1381,"P0 시각 역전",IF(OR(I1381&lt;O1381,I1381&gt;Q1381),"측정시각 구간 밖","OK")))))</f>
        <v/>
      </c>
      <c r="O1381" s="48">
        <f>IF(COUNTIFS($C:$C,$C1381,$D:$D,$D1381,$E:$E,"P0(전)",$M:$M,"&gt;0")&lt;&gt;1,"",SUMIFS($I:$I,$C:$C,$C1381,$D:$D,$D1381,$E:$E,"P0(전)"))</f>
        <v/>
      </c>
      <c r="P1381" s="31">
        <f>IF(COUNTIFS($C:$C,$C1381,$D:$D,$D1381,$E:$E,"P0(전)",$M:$M,"&gt;0")&lt;&gt;1,"",SUMIFS($M:$M,$C:$C,$C1381,$D:$D,$D1381,$E:$E,"P0(전)"))</f>
        <v/>
      </c>
      <c r="Q1381" s="48">
        <f>IF(COUNTIFS($C:$C,$C1381,$D:$D,$D1381,$E:$E,"P0(후)",$M:$M,"&gt;0")&lt;&gt;1,"",SUMIFS($I:$I,$C:$C,$C1381,$D:$D,$D1381,$E:$E,"P0(후)"))</f>
        <v/>
      </c>
      <c r="R1381" s="31">
        <f>IF(COUNTIFS($C:$C,$C1381,$D:$D,$D1381,$E:$E,"P0(후)",$M:$M,"&gt;0")&lt;&gt;1,"",SUMIFS($M:$M,$C:$C,$C1381,$D:$D,$D1381,$E:$E,"P0(후)"))</f>
        <v/>
      </c>
      <c r="S1381" s="31">
        <f>IF(N1381&lt;&gt;"OK","",P1381+(R1381-P1381)*(I1381-O1381)/(Q1381-O1381))</f>
        <v/>
      </c>
      <c r="T1381" s="31">
        <f>IF(OR(N1381&lt;&gt;"OK",NOT(ISNUMBER(M1381))),"",M1381-S1381)</f>
        <v/>
      </c>
      <c r="U1381" s="49">
        <f>IF(OR(NOT(ISNUMBER(T1381)),IF(ISNUMBER(H1381),H1381,G1381)=0),"",T1381/IF(ISNUMBER(H1381),H1381,G1381))</f>
        <v/>
      </c>
      <c r="V1381" s="49">
        <f>IF(ISNUMBER(U1381),ABS(U1381),"")</f>
        <v/>
      </c>
      <c r="W1381" s="49">
        <f>IF(OR($E1380&lt;&gt;"측정",$C1380&lt;&gt;$C1381,$D1380&lt;&gt;$D1381,NOT(ISNUMBER(M1381)),NOT(ISNUMBER(M1380)),(IF(ISNUMBER(H1381),H1381,G1381)-IF(ISNUMBER(H1380),H1380,G1380))=0),"",(M1381-M1380)/(IF(ISNUMBER(H1381),H1381,G1381)-IF(ISNUMBER(H1380),H1380,G1380)))</f>
        <v/>
      </c>
      <c r="X1381" s="31">
        <f>IF(NOT(AND(ISNUMBER(O1381),ISNUMBER(Q1381))),"",(Q1381-O1381)*1440)</f>
        <v/>
      </c>
      <c r="Y1381" s="29" t="n"/>
      <c r="Z1381" s="29" t="n"/>
      <c r="AA1381" s="29" t="n"/>
      <c r="AB1381" s="32" t="n"/>
      <c r="AC1381" s="32" t="n"/>
    </row>
    <row r="1382">
      <c r="A1382" s="26" t="inlineStr">
        <is>
          <t>S27</t>
        </is>
      </c>
      <c r="B1382" s="26" t="inlineStr">
        <is>
          <t>전의 신규점</t>
        </is>
      </c>
      <c r="C1382" s="26" t="inlineStr">
        <is>
          <t>S27-H서</t>
        </is>
      </c>
      <c r="D1382" s="47" t="n">
        <v>1</v>
      </c>
      <c r="E1382" s="26" t="inlineStr">
        <is>
          <t>측정</t>
        </is>
      </c>
      <c r="F1382" s="26" t="inlineStr">
        <is>
          <t>서</t>
        </is>
      </c>
      <c r="G1382" s="31" t="n">
        <v>10</v>
      </c>
      <c r="H1382" s="30" t="n"/>
      <c r="I1382" s="43" t="n"/>
      <c r="J1382" s="41" t="n"/>
      <c r="K1382" s="41" t="n"/>
      <c r="L1382" s="41" t="n"/>
      <c r="M1382" s="31">
        <f>IF(COUNT(J1382:L1382)=0,"",MEDIAN(J1382:L1382))</f>
        <v/>
      </c>
      <c r="N1382" s="26">
        <f>IF(COUNTIFS($C:$C,$C1382,$D:$D,$D1382,$E:$E,"P0(전)",$M:$M,"&gt;0")&lt;&gt;1,"P0(전) 유효 1개 아님",IF(COUNTIFS($C:$C,$C1382,$D:$D,$D1382,$E:$E,"P0(후)",$M:$M,"&gt;0")&lt;&gt;1,"P0(후) 유효 1개 아님",IF(NOT(AND(ISNUMBER(O1382),ISNUMBER(Q1382),ISNUMBER(I1382))),"시각 결측",IF(Q1382&lt;=O1382,"P0 시각 역전",IF(OR(I1382&lt;O1382,I1382&gt;Q1382),"측정시각 구간 밖","OK")))))</f>
        <v/>
      </c>
      <c r="O1382" s="48">
        <f>IF(COUNTIFS($C:$C,$C1382,$D:$D,$D1382,$E:$E,"P0(전)",$M:$M,"&gt;0")&lt;&gt;1,"",SUMIFS($I:$I,$C:$C,$C1382,$D:$D,$D1382,$E:$E,"P0(전)"))</f>
        <v/>
      </c>
      <c r="P1382" s="31">
        <f>IF(COUNTIFS($C:$C,$C1382,$D:$D,$D1382,$E:$E,"P0(전)",$M:$M,"&gt;0")&lt;&gt;1,"",SUMIFS($M:$M,$C:$C,$C1382,$D:$D,$D1382,$E:$E,"P0(전)"))</f>
        <v/>
      </c>
      <c r="Q1382" s="48">
        <f>IF(COUNTIFS($C:$C,$C1382,$D:$D,$D1382,$E:$E,"P0(후)",$M:$M,"&gt;0")&lt;&gt;1,"",SUMIFS($I:$I,$C:$C,$C1382,$D:$D,$D1382,$E:$E,"P0(후)"))</f>
        <v/>
      </c>
      <c r="R1382" s="31">
        <f>IF(COUNTIFS($C:$C,$C1382,$D:$D,$D1382,$E:$E,"P0(후)",$M:$M,"&gt;0")&lt;&gt;1,"",SUMIFS($M:$M,$C:$C,$C1382,$D:$D,$D1382,$E:$E,"P0(후)"))</f>
        <v/>
      </c>
      <c r="S1382" s="31">
        <f>IF(N1382&lt;&gt;"OK","",P1382+(R1382-P1382)*(I1382-O1382)/(Q1382-O1382))</f>
        <v/>
      </c>
      <c r="T1382" s="31">
        <f>IF(OR(N1382&lt;&gt;"OK",NOT(ISNUMBER(M1382))),"",M1382-S1382)</f>
        <v/>
      </c>
      <c r="U1382" s="49">
        <f>IF(OR(NOT(ISNUMBER(T1382)),IF(ISNUMBER(H1382),H1382,G1382)=0),"",T1382/IF(ISNUMBER(H1382),H1382,G1382))</f>
        <v/>
      </c>
      <c r="V1382" s="49">
        <f>IF(ISNUMBER(U1382),ABS(U1382),"")</f>
        <v/>
      </c>
      <c r="W1382" s="49">
        <f>IF(OR($E1381&lt;&gt;"측정",$C1381&lt;&gt;$C1382,$D1381&lt;&gt;$D1382,NOT(ISNUMBER(M1382)),NOT(ISNUMBER(M1381)),(IF(ISNUMBER(H1382),H1382,G1382)-IF(ISNUMBER(H1381),H1381,G1381))=0),"",(M1382-M1381)/(IF(ISNUMBER(H1382),H1382,G1382)-IF(ISNUMBER(H1381),H1381,G1381)))</f>
        <v/>
      </c>
      <c r="X1382" s="31">
        <f>IF(NOT(AND(ISNUMBER(O1382),ISNUMBER(Q1382))),"",(Q1382-O1382)*1440)</f>
        <v/>
      </c>
      <c r="Y1382" s="29" t="n"/>
      <c r="Z1382" s="29" t="n"/>
      <c r="AA1382" s="29" t="n"/>
      <c r="AB1382" s="32" t="n"/>
      <c r="AC1382" s="32" t="n"/>
    </row>
    <row r="1383">
      <c r="A1383" s="44" t="inlineStr">
        <is>
          <t>S27</t>
        </is>
      </c>
      <c r="B1383" s="44" t="inlineStr">
        <is>
          <t>전의 신규점</t>
        </is>
      </c>
      <c r="C1383" s="44" t="inlineStr">
        <is>
          <t>S27-H서</t>
        </is>
      </c>
      <c r="D1383" s="45" t="n">
        <v>1</v>
      </c>
      <c r="E1383" s="44" t="inlineStr">
        <is>
          <t>P0(후)</t>
        </is>
      </c>
      <c r="F1383" s="44" t="inlineStr">
        <is>
          <t>서</t>
        </is>
      </c>
      <c r="G1383" s="46" t="n"/>
      <c r="H1383" s="30" t="n"/>
      <c r="I1383" s="43" t="n"/>
      <c r="J1383" s="41" t="n"/>
      <c r="K1383" s="41" t="n"/>
      <c r="L1383" s="41" t="n"/>
      <c r="M1383" s="31">
        <f>IF(COUNT(J1383:L1383)=0,"",MEDIAN(J1383:L1383))</f>
        <v/>
      </c>
      <c r="N1383" s="38" t="n"/>
      <c r="O1383" s="38" t="n"/>
      <c r="P1383" s="38" t="n"/>
      <c r="Q1383" s="38" t="n"/>
      <c r="R1383" s="38" t="n"/>
      <c r="S1383" s="38" t="n"/>
      <c r="T1383" s="38" t="n"/>
      <c r="U1383" s="38" t="n"/>
      <c r="V1383" s="38" t="n"/>
      <c r="W1383" s="38" t="n"/>
      <c r="X1383" s="38" t="n"/>
      <c r="Y1383" s="29" t="n"/>
      <c r="Z1383" s="29" t="n"/>
      <c r="AA1383" s="29" t="n"/>
      <c r="AB1383" s="32" t="n"/>
      <c r="AC1383" s="32" t="n"/>
    </row>
    <row r="1384">
      <c r="A1384" s="44" t="inlineStr">
        <is>
          <t>S27</t>
        </is>
      </c>
      <c r="B1384" s="44" t="inlineStr">
        <is>
          <t>전의 신규점</t>
        </is>
      </c>
      <c r="C1384" s="44" t="inlineStr">
        <is>
          <t>S27-H남</t>
        </is>
      </c>
      <c r="D1384" s="45" t="n">
        <v>1</v>
      </c>
      <c r="E1384" s="44" t="inlineStr">
        <is>
          <t>P0(전)</t>
        </is>
      </c>
      <c r="F1384" s="44" t="inlineStr">
        <is>
          <t>남</t>
        </is>
      </c>
      <c r="G1384" s="46" t="n"/>
      <c r="H1384" s="30" t="n"/>
      <c r="I1384" s="43" t="n"/>
      <c r="J1384" s="41" t="n"/>
      <c r="K1384" s="41" t="n"/>
      <c r="L1384" s="41" t="n"/>
      <c r="M1384" s="31">
        <f>IF(COUNT(J1384:L1384)=0,"",MEDIAN(J1384:L1384))</f>
        <v/>
      </c>
      <c r="N1384" s="38" t="n"/>
      <c r="O1384" s="38" t="n"/>
      <c r="P1384" s="38" t="n"/>
      <c r="Q1384" s="38" t="n"/>
      <c r="R1384" s="38" t="n"/>
      <c r="S1384" s="38" t="n"/>
      <c r="T1384" s="38" t="n"/>
      <c r="U1384" s="38" t="n"/>
      <c r="V1384" s="38" t="n"/>
      <c r="W1384" s="38" t="n"/>
      <c r="X1384" s="38" t="n"/>
      <c r="Y1384" s="29" t="n"/>
      <c r="Z1384" s="29" t="n"/>
      <c r="AA1384" s="29" t="n"/>
      <c r="AB1384" s="32" t="n"/>
      <c r="AC1384" s="32" t="n"/>
    </row>
    <row r="1385">
      <c r="A1385" s="26" t="inlineStr">
        <is>
          <t>S27</t>
        </is>
      </c>
      <c r="B1385" s="26" t="inlineStr">
        <is>
          <t>전의 신규점</t>
        </is>
      </c>
      <c r="C1385" s="26" t="inlineStr">
        <is>
          <t>S27-H남</t>
        </is>
      </c>
      <c r="D1385" s="47" t="n">
        <v>1</v>
      </c>
      <c r="E1385" s="26" t="inlineStr">
        <is>
          <t>측정</t>
        </is>
      </c>
      <c r="F1385" s="26" t="inlineStr">
        <is>
          <t>남</t>
        </is>
      </c>
      <c r="G1385" s="31" t="n">
        <v>0.5</v>
      </c>
      <c r="H1385" s="30" t="n"/>
      <c r="I1385" s="43" t="n"/>
      <c r="J1385" s="41" t="n"/>
      <c r="K1385" s="41" t="n"/>
      <c r="L1385" s="41" t="n"/>
      <c r="M1385" s="31">
        <f>IF(COUNT(J1385:L1385)=0,"",MEDIAN(J1385:L1385))</f>
        <v/>
      </c>
      <c r="N1385" s="26">
        <f>IF(COUNTIFS($C:$C,$C1385,$D:$D,$D1385,$E:$E,"P0(전)",$M:$M,"&gt;0")&lt;&gt;1,"P0(전) 유효 1개 아님",IF(COUNTIFS($C:$C,$C1385,$D:$D,$D1385,$E:$E,"P0(후)",$M:$M,"&gt;0")&lt;&gt;1,"P0(후) 유효 1개 아님",IF(NOT(AND(ISNUMBER(O1385),ISNUMBER(Q1385),ISNUMBER(I1385))),"시각 결측",IF(Q1385&lt;=O1385,"P0 시각 역전",IF(OR(I1385&lt;O1385,I1385&gt;Q1385),"측정시각 구간 밖","OK")))))</f>
        <v/>
      </c>
      <c r="O1385" s="48">
        <f>IF(COUNTIFS($C:$C,$C1385,$D:$D,$D1385,$E:$E,"P0(전)",$M:$M,"&gt;0")&lt;&gt;1,"",SUMIFS($I:$I,$C:$C,$C1385,$D:$D,$D1385,$E:$E,"P0(전)"))</f>
        <v/>
      </c>
      <c r="P1385" s="31">
        <f>IF(COUNTIFS($C:$C,$C1385,$D:$D,$D1385,$E:$E,"P0(전)",$M:$M,"&gt;0")&lt;&gt;1,"",SUMIFS($M:$M,$C:$C,$C1385,$D:$D,$D1385,$E:$E,"P0(전)"))</f>
        <v/>
      </c>
      <c r="Q1385" s="48">
        <f>IF(COUNTIFS($C:$C,$C1385,$D:$D,$D1385,$E:$E,"P0(후)",$M:$M,"&gt;0")&lt;&gt;1,"",SUMIFS($I:$I,$C:$C,$C1385,$D:$D,$D1385,$E:$E,"P0(후)"))</f>
        <v/>
      </c>
      <c r="R1385" s="31">
        <f>IF(COUNTIFS($C:$C,$C1385,$D:$D,$D1385,$E:$E,"P0(후)",$M:$M,"&gt;0")&lt;&gt;1,"",SUMIFS($M:$M,$C:$C,$C1385,$D:$D,$D1385,$E:$E,"P0(후)"))</f>
        <v/>
      </c>
      <c r="S1385" s="31">
        <f>IF(N1385&lt;&gt;"OK","",P1385+(R1385-P1385)*(I1385-O1385)/(Q1385-O1385))</f>
        <v/>
      </c>
      <c r="T1385" s="31">
        <f>IF(OR(N1385&lt;&gt;"OK",NOT(ISNUMBER(M1385))),"",M1385-S1385)</f>
        <v/>
      </c>
      <c r="U1385" s="49">
        <f>IF(OR(NOT(ISNUMBER(T1385)),IF(ISNUMBER(H1385),H1385,G1385)=0),"",T1385/IF(ISNUMBER(H1385),H1385,G1385))</f>
        <v/>
      </c>
      <c r="V1385" s="49">
        <f>IF(ISNUMBER(U1385),ABS(U1385),"")</f>
        <v/>
      </c>
      <c r="W1385" s="49">
        <f>IF(OR($E1384&lt;&gt;"측정",$C1384&lt;&gt;$C1385,$D1384&lt;&gt;$D1385,NOT(ISNUMBER(M1385)),NOT(ISNUMBER(M1384)),(IF(ISNUMBER(H1385),H1385,G1385)-IF(ISNUMBER(H1384),H1384,G1384))=0),"",(M1385-M1384)/(IF(ISNUMBER(H1385),H1385,G1385)-IF(ISNUMBER(H1384),H1384,G1384)))</f>
        <v/>
      </c>
      <c r="X1385" s="31">
        <f>IF(NOT(AND(ISNUMBER(O1385),ISNUMBER(Q1385))),"",(Q1385-O1385)*1440)</f>
        <v/>
      </c>
      <c r="Y1385" s="29" t="n"/>
      <c r="Z1385" s="29" t="n"/>
      <c r="AA1385" s="29" t="n"/>
      <c r="AB1385" s="32" t="n"/>
      <c r="AC1385" s="32" t="n"/>
    </row>
    <row r="1386">
      <c r="A1386" s="26" t="inlineStr">
        <is>
          <t>S27</t>
        </is>
      </c>
      <c r="B1386" s="26" t="inlineStr">
        <is>
          <t>전의 신규점</t>
        </is>
      </c>
      <c r="C1386" s="26" t="inlineStr">
        <is>
          <t>S27-H남</t>
        </is>
      </c>
      <c r="D1386" s="47" t="n">
        <v>1</v>
      </c>
      <c r="E1386" s="26" t="inlineStr">
        <is>
          <t>측정</t>
        </is>
      </c>
      <c r="F1386" s="26" t="inlineStr">
        <is>
          <t>남</t>
        </is>
      </c>
      <c r="G1386" s="31" t="n">
        <v>1</v>
      </c>
      <c r="H1386" s="30" t="n"/>
      <c r="I1386" s="43" t="n"/>
      <c r="J1386" s="41" t="n"/>
      <c r="K1386" s="41" t="n"/>
      <c r="L1386" s="41" t="n"/>
      <c r="M1386" s="31">
        <f>IF(COUNT(J1386:L1386)=0,"",MEDIAN(J1386:L1386))</f>
        <v/>
      </c>
      <c r="N1386" s="26">
        <f>IF(COUNTIFS($C:$C,$C1386,$D:$D,$D1386,$E:$E,"P0(전)",$M:$M,"&gt;0")&lt;&gt;1,"P0(전) 유효 1개 아님",IF(COUNTIFS($C:$C,$C1386,$D:$D,$D1386,$E:$E,"P0(후)",$M:$M,"&gt;0")&lt;&gt;1,"P0(후) 유효 1개 아님",IF(NOT(AND(ISNUMBER(O1386),ISNUMBER(Q1386),ISNUMBER(I1386))),"시각 결측",IF(Q1386&lt;=O1386,"P0 시각 역전",IF(OR(I1386&lt;O1386,I1386&gt;Q1386),"측정시각 구간 밖","OK")))))</f>
        <v/>
      </c>
      <c r="O1386" s="48">
        <f>IF(COUNTIFS($C:$C,$C1386,$D:$D,$D1386,$E:$E,"P0(전)",$M:$M,"&gt;0")&lt;&gt;1,"",SUMIFS($I:$I,$C:$C,$C1386,$D:$D,$D1386,$E:$E,"P0(전)"))</f>
        <v/>
      </c>
      <c r="P1386" s="31">
        <f>IF(COUNTIFS($C:$C,$C1386,$D:$D,$D1386,$E:$E,"P0(전)",$M:$M,"&gt;0")&lt;&gt;1,"",SUMIFS($M:$M,$C:$C,$C1386,$D:$D,$D1386,$E:$E,"P0(전)"))</f>
        <v/>
      </c>
      <c r="Q1386" s="48">
        <f>IF(COUNTIFS($C:$C,$C1386,$D:$D,$D1386,$E:$E,"P0(후)",$M:$M,"&gt;0")&lt;&gt;1,"",SUMIFS($I:$I,$C:$C,$C1386,$D:$D,$D1386,$E:$E,"P0(후)"))</f>
        <v/>
      </c>
      <c r="R1386" s="31">
        <f>IF(COUNTIFS($C:$C,$C1386,$D:$D,$D1386,$E:$E,"P0(후)",$M:$M,"&gt;0")&lt;&gt;1,"",SUMIFS($M:$M,$C:$C,$C1386,$D:$D,$D1386,$E:$E,"P0(후)"))</f>
        <v/>
      </c>
      <c r="S1386" s="31">
        <f>IF(N1386&lt;&gt;"OK","",P1386+(R1386-P1386)*(I1386-O1386)/(Q1386-O1386))</f>
        <v/>
      </c>
      <c r="T1386" s="31">
        <f>IF(OR(N1386&lt;&gt;"OK",NOT(ISNUMBER(M1386))),"",M1386-S1386)</f>
        <v/>
      </c>
      <c r="U1386" s="49">
        <f>IF(OR(NOT(ISNUMBER(T1386)),IF(ISNUMBER(H1386),H1386,G1386)=0),"",T1386/IF(ISNUMBER(H1386),H1386,G1386))</f>
        <v/>
      </c>
      <c r="V1386" s="49">
        <f>IF(ISNUMBER(U1386),ABS(U1386),"")</f>
        <v/>
      </c>
      <c r="W1386" s="49">
        <f>IF(OR($E1385&lt;&gt;"측정",$C1385&lt;&gt;$C1386,$D1385&lt;&gt;$D1386,NOT(ISNUMBER(M1386)),NOT(ISNUMBER(M1385)),(IF(ISNUMBER(H1386),H1386,G1386)-IF(ISNUMBER(H1385),H1385,G1385))=0),"",(M1386-M1385)/(IF(ISNUMBER(H1386),H1386,G1386)-IF(ISNUMBER(H1385),H1385,G1385)))</f>
        <v/>
      </c>
      <c r="X1386" s="31">
        <f>IF(NOT(AND(ISNUMBER(O1386),ISNUMBER(Q1386))),"",(Q1386-O1386)*1440)</f>
        <v/>
      </c>
      <c r="Y1386" s="29" t="n"/>
      <c r="Z1386" s="29" t="n"/>
      <c r="AA1386" s="29" t="n"/>
      <c r="AB1386" s="32" t="n"/>
      <c r="AC1386" s="32" t="n"/>
    </row>
    <row r="1387">
      <c r="A1387" s="26" t="inlineStr">
        <is>
          <t>S27</t>
        </is>
      </c>
      <c r="B1387" s="26" t="inlineStr">
        <is>
          <t>전의 신규점</t>
        </is>
      </c>
      <c r="C1387" s="26" t="inlineStr">
        <is>
          <t>S27-H남</t>
        </is>
      </c>
      <c r="D1387" s="47" t="n">
        <v>1</v>
      </c>
      <c r="E1387" s="26" t="inlineStr">
        <is>
          <t>측정</t>
        </is>
      </c>
      <c r="F1387" s="26" t="inlineStr">
        <is>
          <t>남</t>
        </is>
      </c>
      <c r="G1387" s="31" t="n">
        <v>2</v>
      </c>
      <c r="H1387" s="30" t="n"/>
      <c r="I1387" s="43" t="n"/>
      <c r="J1387" s="41" t="n"/>
      <c r="K1387" s="41" t="n"/>
      <c r="L1387" s="41" t="n"/>
      <c r="M1387" s="31">
        <f>IF(COUNT(J1387:L1387)=0,"",MEDIAN(J1387:L1387))</f>
        <v/>
      </c>
      <c r="N1387" s="26">
        <f>IF(COUNTIFS($C:$C,$C1387,$D:$D,$D1387,$E:$E,"P0(전)",$M:$M,"&gt;0")&lt;&gt;1,"P0(전) 유효 1개 아님",IF(COUNTIFS($C:$C,$C1387,$D:$D,$D1387,$E:$E,"P0(후)",$M:$M,"&gt;0")&lt;&gt;1,"P0(후) 유효 1개 아님",IF(NOT(AND(ISNUMBER(O1387),ISNUMBER(Q1387),ISNUMBER(I1387))),"시각 결측",IF(Q1387&lt;=O1387,"P0 시각 역전",IF(OR(I1387&lt;O1387,I1387&gt;Q1387),"측정시각 구간 밖","OK")))))</f>
        <v/>
      </c>
      <c r="O1387" s="48">
        <f>IF(COUNTIFS($C:$C,$C1387,$D:$D,$D1387,$E:$E,"P0(전)",$M:$M,"&gt;0")&lt;&gt;1,"",SUMIFS($I:$I,$C:$C,$C1387,$D:$D,$D1387,$E:$E,"P0(전)"))</f>
        <v/>
      </c>
      <c r="P1387" s="31">
        <f>IF(COUNTIFS($C:$C,$C1387,$D:$D,$D1387,$E:$E,"P0(전)",$M:$M,"&gt;0")&lt;&gt;1,"",SUMIFS($M:$M,$C:$C,$C1387,$D:$D,$D1387,$E:$E,"P0(전)"))</f>
        <v/>
      </c>
      <c r="Q1387" s="48">
        <f>IF(COUNTIFS($C:$C,$C1387,$D:$D,$D1387,$E:$E,"P0(후)",$M:$M,"&gt;0")&lt;&gt;1,"",SUMIFS($I:$I,$C:$C,$C1387,$D:$D,$D1387,$E:$E,"P0(후)"))</f>
        <v/>
      </c>
      <c r="R1387" s="31">
        <f>IF(COUNTIFS($C:$C,$C1387,$D:$D,$D1387,$E:$E,"P0(후)",$M:$M,"&gt;0")&lt;&gt;1,"",SUMIFS($M:$M,$C:$C,$C1387,$D:$D,$D1387,$E:$E,"P0(후)"))</f>
        <v/>
      </c>
      <c r="S1387" s="31">
        <f>IF(N1387&lt;&gt;"OK","",P1387+(R1387-P1387)*(I1387-O1387)/(Q1387-O1387))</f>
        <v/>
      </c>
      <c r="T1387" s="31">
        <f>IF(OR(N1387&lt;&gt;"OK",NOT(ISNUMBER(M1387))),"",M1387-S1387)</f>
        <v/>
      </c>
      <c r="U1387" s="49">
        <f>IF(OR(NOT(ISNUMBER(T1387)),IF(ISNUMBER(H1387),H1387,G1387)=0),"",T1387/IF(ISNUMBER(H1387),H1387,G1387))</f>
        <v/>
      </c>
      <c r="V1387" s="49">
        <f>IF(ISNUMBER(U1387),ABS(U1387),"")</f>
        <v/>
      </c>
      <c r="W1387" s="49">
        <f>IF(OR($E1386&lt;&gt;"측정",$C1386&lt;&gt;$C1387,$D1386&lt;&gt;$D1387,NOT(ISNUMBER(M1387)),NOT(ISNUMBER(M1386)),(IF(ISNUMBER(H1387),H1387,G1387)-IF(ISNUMBER(H1386),H1386,G1386))=0),"",(M1387-M1386)/(IF(ISNUMBER(H1387),H1387,G1387)-IF(ISNUMBER(H1386),H1386,G1386)))</f>
        <v/>
      </c>
      <c r="X1387" s="31">
        <f>IF(NOT(AND(ISNUMBER(O1387),ISNUMBER(Q1387))),"",(Q1387-O1387)*1440)</f>
        <v/>
      </c>
      <c r="Y1387" s="29" t="n"/>
      <c r="Z1387" s="29" t="n"/>
      <c r="AA1387" s="29" t="n"/>
      <c r="AB1387" s="32" t="n"/>
      <c r="AC1387" s="32" t="n"/>
    </row>
    <row r="1388">
      <c r="A1388" s="26" t="inlineStr">
        <is>
          <t>S27</t>
        </is>
      </c>
      <c r="B1388" s="26" t="inlineStr">
        <is>
          <t>전의 신규점</t>
        </is>
      </c>
      <c r="C1388" s="26" t="inlineStr">
        <is>
          <t>S27-H남</t>
        </is>
      </c>
      <c r="D1388" s="47" t="n">
        <v>1</v>
      </c>
      <c r="E1388" s="26" t="inlineStr">
        <is>
          <t>측정</t>
        </is>
      </c>
      <c r="F1388" s="26" t="inlineStr">
        <is>
          <t>남</t>
        </is>
      </c>
      <c r="G1388" s="31" t="n">
        <v>3</v>
      </c>
      <c r="H1388" s="30" t="n"/>
      <c r="I1388" s="43" t="n"/>
      <c r="J1388" s="41" t="n"/>
      <c r="K1388" s="41" t="n"/>
      <c r="L1388" s="41" t="n"/>
      <c r="M1388" s="31">
        <f>IF(COUNT(J1388:L1388)=0,"",MEDIAN(J1388:L1388))</f>
        <v/>
      </c>
      <c r="N1388" s="26">
        <f>IF(COUNTIFS($C:$C,$C1388,$D:$D,$D1388,$E:$E,"P0(전)",$M:$M,"&gt;0")&lt;&gt;1,"P0(전) 유효 1개 아님",IF(COUNTIFS($C:$C,$C1388,$D:$D,$D1388,$E:$E,"P0(후)",$M:$M,"&gt;0")&lt;&gt;1,"P0(후) 유효 1개 아님",IF(NOT(AND(ISNUMBER(O1388),ISNUMBER(Q1388),ISNUMBER(I1388))),"시각 결측",IF(Q1388&lt;=O1388,"P0 시각 역전",IF(OR(I1388&lt;O1388,I1388&gt;Q1388),"측정시각 구간 밖","OK")))))</f>
        <v/>
      </c>
      <c r="O1388" s="48">
        <f>IF(COUNTIFS($C:$C,$C1388,$D:$D,$D1388,$E:$E,"P0(전)",$M:$M,"&gt;0")&lt;&gt;1,"",SUMIFS($I:$I,$C:$C,$C1388,$D:$D,$D1388,$E:$E,"P0(전)"))</f>
        <v/>
      </c>
      <c r="P1388" s="31">
        <f>IF(COUNTIFS($C:$C,$C1388,$D:$D,$D1388,$E:$E,"P0(전)",$M:$M,"&gt;0")&lt;&gt;1,"",SUMIFS($M:$M,$C:$C,$C1388,$D:$D,$D1388,$E:$E,"P0(전)"))</f>
        <v/>
      </c>
      <c r="Q1388" s="48">
        <f>IF(COUNTIFS($C:$C,$C1388,$D:$D,$D1388,$E:$E,"P0(후)",$M:$M,"&gt;0")&lt;&gt;1,"",SUMIFS($I:$I,$C:$C,$C1388,$D:$D,$D1388,$E:$E,"P0(후)"))</f>
        <v/>
      </c>
      <c r="R1388" s="31">
        <f>IF(COUNTIFS($C:$C,$C1388,$D:$D,$D1388,$E:$E,"P0(후)",$M:$M,"&gt;0")&lt;&gt;1,"",SUMIFS($M:$M,$C:$C,$C1388,$D:$D,$D1388,$E:$E,"P0(후)"))</f>
        <v/>
      </c>
      <c r="S1388" s="31">
        <f>IF(N1388&lt;&gt;"OK","",P1388+(R1388-P1388)*(I1388-O1388)/(Q1388-O1388))</f>
        <v/>
      </c>
      <c r="T1388" s="31">
        <f>IF(OR(N1388&lt;&gt;"OK",NOT(ISNUMBER(M1388))),"",M1388-S1388)</f>
        <v/>
      </c>
      <c r="U1388" s="49">
        <f>IF(OR(NOT(ISNUMBER(T1388)),IF(ISNUMBER(H1388),H1388,G1388)=0),"",T1388/IF(ISNUMBER(H1388),H1388,G1388))</f>
        <v/>
      </c>
      <c r="V1388" s="49">
        <f>IF(ISNUMBER(U1388),ABS(U1388),"")</f>
        <v/>
      </c>
      <c r="W1388" s="49">
        <f>IF(OR($E1387&lt;&gt;"측정",$C1387&lt;&gt;$C1388,$D1387&lt;&gt;$D1388,NOT(ISNUMBER(M1388)),NOT(ISNUMBER(M1387)),(IF(ISNUMBER(H1388),H1388,G1388)-IF(ISNUMBER(H1387),H1387,G1387))=0),"",(M1388-M1387)/(IF(ISNUMBER(H1388),H1388,G1388)-IF(ISNUMBER(H1387),H1387,G1387)))</f>
        <v/>
      </c>
      <c r="X1388" s="31">
        <f>IF(NOT(AND(ISNUMBER(O1388),ISNUMBER(Q1388))),"",(Q1388-O1388)*1440)</f>
        <v/>
      </c>
      <c r="Y1388" s="29" t="n"/>
      <c r="Z1388" s="29" t="n"/>
      <c r="AA1388" s="29" t="n"/>
      <c r="AB1388" s="32" t="n"/>
      <c r="AC1388" s="32" t="n"/>
    </row>
    <row r="1389">
      <c r="A1389" s="26" t="inlineStr">
        <is>
          <t>S27</t>
        </is>
      </c>
      <c r="B1389" s="26" t="inlineStr">
        <is>
          <t>전의 신규점</t>
        </is>
      </c>
      <c r="C1389" s="26" t="inlineStr">
        <is>
          <t>S27-H남</t>
        </is>
      </c>
      <c r="D1389" s="47" t="n">
        <v>1</v>
      </c>
      <c r="E1389" s="26" t="inlineStr">
        <is>
          <t>측정</t>
        </is>
      </c>
      <c r="F1389" s="26" t="inlineStr">
        <is>
          <t>남</t>
        </is>
      </c>
      <c r="G1389" s="31" t="n">
        <v>4</v>
      </c>
      <c r="H1389" s="30" t="n"/>
      <c r="I1389" s="43" t="n"/>
      <c r="J1389" s="41" t="n"/>
      <c r="K1389" s="41" t="n"/>
      <c r="L1389" s="41" t="n"/>
      <c r="M1389" s="31">
        <f>IF(COUNT(J1389:L1389)=0,"",MEDIAN(J1389:L1389))</f>
        <v/>
      </c>
      <c r="N1389" s="26">
        <f>IF(COUNTIFS($C:$C,$C1389,$D:$D,$D1389,$E:$E,"P0(전)",$M:$M,"&gt;0")&lt;&gt;1,"P0(전) 유효 1개 아님",IF(COUNTIFS($C:$C,$C1389,$D:$D,$D1389,$E:$E,"P0(후)",$M:$M,"&gt;0")&lt;&gt;1,"P0(후) 유효 1개 아님",IF(NOT(AND(ISNUMBER(O1389),ISNUMBER(Q1389),ISNUMBER(I1389))),"시각 결측",IF(Q1389&lt;=O1389,"P0 시각 역전",IF(OR(I1389&lt;O1389,I1389&gt;Q1389),"측정시각 구간 밖","OK")))))</f>
        <v/>
      </c>
      <c r="O1389" s="48">
        <f>IF(COUNTIFS($C:$C,$C1389,$D:$D,$D1389,$E:$E,"P0(전)",$M:$M,"&gt;0")&lt;&gt;1,"",SUMIFS($I:$I,$C:$C,$C1389,$D:$D,$D1389,$E:$E,"P0(전)"))</f>
        <v/>
      </c>
      <c r="P1389" s="31">
        <f>IF(COUNTIFS($C:$C,$C1389,$D:$D,$D1389,$E:$E,"P0(전)",$M:$M,"&gt;0")&lt;&gt;1,"",SUMIFS($M:$M,$C:$C,$C1389,$D:$D,$D1389,$E:$E,"P0(전)"))</f>
        <v/>
      </c>
      <c r="Q1389" s="48">
        <f>IF(COUNTIFS($C:$C,$C1389,$D:$D,$D1389,$E:$E,"P0(후)",$M:$M,"&gt;0")&lt;&gt;1,"",SUMIFS($I:$I,$C:$C,$C1389,$D:$D,$D1389,$E:$E,"P0(후)"))</f>
        <v/>
      </c>
      <c r="R1389" s="31">
        <f>IF(COUNTIFS($C:$C,$C1389,$D:$D,$D1389,$E:$E,"P0(후)",$M:$M,"&gt;0")&lt;&gt;1,"",SUMIFS($M:$M,$C:$C,$C1389,$D:$D,$D1389,$E:$E,"P0(후)"))</f>
        <v/>
      </c>
      <c r="S1389" s="31">
        <f>IF(N1389&lt;&gt;"OK","",P1389+(R1389-P1389)*(I1389-O1389)/(Q1389-O1389))</f>
        <v/>
      </c>
      <c r="T1389" s="31">
        <f>IF(OR(N1389&lt;&gt;"OK",NOT(ISNUMBER(M1389))),"",M1389-S1389)</f>
        <v/>
      </c>
      <c r="U1389" s="49">
        <f>IF(OR(NOT(ISNUMBER(T1389)),IF(ISNUMBER(H1389),H1389,G1389)=0),"",T1389/IF(ISNUMBER(H1389),H1389,G1389))</f>
        <v/>
      </c>
      <c r="V1389" s="49">
        <f>IF(ISNUMBER(U1389),ABS(U1389),"")</f>
        <v/>
      </c>
      <c r="W1389" s="49">
        <f>IF(OR($E1388&lt;&gt;"측정",$C1388&lt;&gt;$C1389,$D1388&lt;&gt;$D1389,NOT(ISNUMBER(M1389)),NOT(ISNUMBER(M1388)),(IF(ISNUMBER(H1389),H1389,G1389)-IF(ISNUMBER(H1388),H1388,G1388))=0),"",(M1389-M1388)/(IF(ISNUMBER(H1389),H1389,G1389)-IF(ISNUMBER(H1388),H1388,G1388)))</f>
        <v/>
      </c>
      <c r="X1389" s="31">
        <f>IF(NOT(AND(ISNUMBER(O1389),ISNUMBER(Q1389))),"",(Q1389-O1389)*1440)</f>
        <v/>
      </c>
      <c r="Y1389" s="29" t="n"/>
      <c r="Z1389" s="29" t="n"/>
      <c r="AA1389" s="29" t="n"/>
      <c r="AB1389" s="32" t="n"/>
      <c r="AC1389" s="32" t="n"/>
    </row>
    <row r="1390">
      <c r="A1390" s="26" t="inlineStr">
        <is>
          <t>S27</t>
        </is>
      </c>
      <c r="B1390" s="26" t="inlineStr">
        <is>
          <t>전의 신규점</t>
        </is>
      </c>
      <c r="C1390" s="26" t="inlineStr">
        <is>
          <t>S27-H남</t>
        </is>
      </c>
      <c r="D1390" s="47" t="n">
        <v>1</v>
      </c>
      <c r="E1390" s="26" t="inlineStr">
        <is>
          <t>측정</t>
        </is>
      </c>
      <c r="F1390" s="26" t="inlineStr">
        <is>
          <t>남</t>
        </is>
      </c>
      <c r="G1390" s="31" t="n">
        <v>5</v>
      </c>
      <c r="H1390" s="30" t="n"/>
      <c r="I1390" s="43" t="n"/>
      <c r="J1390" s="41" t="n"/>
      <c r="K1390" s="41" t="n"/>
      <c r="L1390" s="41" t="n"/>
      <c r="M1390" s="31">
        <f>IF(COUNT(J1390:L1390)=0,"",MEDIAN(J1390:L1390))</f>
        <v/>
      </c>
      <c r="N1390" s="26">
        <f>IF(COUNTIFS($C:$C,$C1390,$D:$D,$D1390,$E:$E,"P0(전)",$M:$M,"&gt;0")&lt;&gt;1,"P0(전) 유효 1개 아님",IF(COUNTIFS($C:$C,$C1390,$D:$D,$D1390,$E:$E,"P0(후)",$M:$M,"&gt;0")&lt;&gt;1,"P0(후) 유효 1개 아님",IF(NOT(AND(ISNUMBER(O1390),ISNUMBER(Q1390),ISNUMBER(I1390))),"시각 결측",IF(Q1390&lt;=O1390,"P0 시각 역전",IF(OR(I1390&lt;O1390,I1390&gt;Q1390),"측정시각 구간 밖","OK")))))</f>
        <v/>
      </c>
      <c r="O1390" s="48">
        <f>IF(COUNTIFS($C:$C,$C1390,$D:$D,$D1390,$E:$E,"P0(전)",$M:$M,"&gt;0")&lt;&gt;1,"",SUMIFS($I:$I,$C:$C,$C1390,$D:$D,$D1390,$E:$E,"P0(전)"))</f>
        <v/>
      </c>
      <c r="P1390" s="31">
        <f>IF(COUNTIFS($C:$C,$C1390,$D:$D,$D1390,$E:$E,"P0(전)",$M:$M,"&gt;0")&lt;&gt;1,"",SUMIFS($M:$M,$C:$C,$C1390,$D:$D,$D1390,$E:$E,"P0(전)"))</f>
        <v/>
      </c>
      <c r="Q1390" s="48">
        <f>IF(COUNTIFS($C:$C,$C1390,$D:$D,$D1390,$E:$E,"P0(후)",$M:$M,"&gt;0")&lt;&gt;1,"",SUMIFS($I:$I,$C:$C,$C1390,$D:$D,$D1390,$E:$E,"P0(후)"))</f>
        <v/>
      </c>
      <c r="R1390" s="31">
        <f>IF(COUNTIFS($C:$C,$C1390,$D:$D,$D1390,$E:$E,"P0(후)",$M:$M,"&gt;0")&lt;&gt;1,"",SUMIFS($M:$M,$C:$C,$C1390,$D:$D,$D1390,$E:$E,"P0(후)"))</f>
        <v/>
      </c>
      <c r="S1390" s="31">
        <f>IF(N1390&lt;&gt;"OK","",P1390+(R1390-P1390)*(I1390-O1390)/(Q1390-O1390))</f>
        <v/>
      </c>
      <c r="T1390" s="31">
        <f>IF(OR(N1390&lt;&gt;"OK",NOT(ISNUMBER(M1390))),"",M1390-S1390)</f>
        <v/>
      </c>
      <c r="U1390" s="49">
        <f>IF(OR(NOT(ISNUMBER(T1390)),IF(ISNUMBER(H1390),H1390,G1390)=0),"",T1390/IF(ISNUMBER(H1390),H1390,G1390))</f>
        <v/>
      </c>
      <c r="V1390" s="49">
        <f>IF(ISNUMBER(U1390),ABS(U1390),"")</f>
        <v/>
      </c>
      <c r="W1390" s="49">
        <f>IF(OR($E1389&lt;&gt;"측정",$C1389&lt;&gt;$C1390,$D1389&lt;&gt;$D1390,NOT(ISNUMBER(M1390)),NOT(ISNUMBER(M1389)),(IF(ISNUMBER(H1390),H1390,G1390)-IF(ISNUMBER(H1389),H1389,G1389))=0),"",(M1390-M1389)/(IF(ISNUMBER(H1390),H1390,G1390)-IF(ISNUMBER(H1389),H1389,G1389)))</f>
        <v/>
      </c>
      <c r="X1390" s="31">
        <f>IF(NOT(AND(ISNUMBER(O1390),ISNUMBER(Q1390))),"",(Q1390-O1390)*1440)</f>
        <v/>
      </c>
      <c r="Y1390" s="29" t="n"/>
      <c r="Z1390" s="29" t="n"/>
      <c r="AA1390" s="29" t="n"/>
      <c r="AB1390" s="32" t="n"/>
      <c r="AC1390" s="32" t="n"/>
    </row>
    <row r="1391">
      <c r="A1391" s="26" t="inlineStr">
        <is>
          <t>S27</t>
        </is>
      </c>
      <c r="B1391" s="26" t="inlineStr">
        <is>
          <t>전의 신규점</t>
        </is>
      </c>
      <c r="C1391" s="26" t="inlineStr">
        <is>
          <t>S27-H남</t>
        </is>
      </c>
      <c r="D1391" s="47" t="n">
        <v>1</v>
      </c>
      <c r="E1391" s="26" t="inlineStr">
        <is>
          <t>측정</t>
        </is>
      </c>
      <c r="F1391" s="26" t="inlineStr">
        <is>
          <t>남</t>
        </is>
      </c>
      <c r="G1391" s="31" t="n">
        <v>6</v>
      </c>
      <c r="H1391" s="30" t="n"/>
      <c r="I1391" s="43" t="n"/>
      <c r="J1391" s="41" t="n"/>
      <c r="K1391" s="41" t="n"/>
      <c r="L1391" s="41" t="n"/>
      <c r="M1391" s="31">
        <f>IF(COUNT(J1391:L1391)=0,"",MEDIAN(J1391:L1391))</f>
        <v/>
      </c>
      <c r="N1391" s="26">
        <f>IF(COUNTIFS($C:$C,$C1391,$D:$D,$D1391,$E:$E,"P0(전)",$M:$M,"&gt;0")&lt;&gt;1,"P0(전) 유효 1개 아님",IF(COUNTIFS($C:$C,$C1391,$D:$D,$D1391,$E:$E,"P0(후)",$M:$M,"&gt;0")&lt;&gt;1,"P0(후) 유효 1개 아님",IF(NOT(AND(ISNUMBER(O1391),ISNUMBER(Q1391),ISNUMBER(I1391))),"시각 결측",IF(Q1391&lt;=O1391,"P0 시각 역전",IF(OR(I1391&lt;O1391,I1391&gt;Q1391),"측정시각 구간 밖","OK")))))</f>
        <v/>
      </c>
      <c r="O1391" s="48">
        <f>IF(COUNTIFS($C:$C,$C1391,$D:$D,$D1391,$E:$E,"P0(전)",$M:$M,"&gt;0")&lt;&gt;1,"",SUMIFS($I:$I,$C:$C,$C1391,$D:$D,$D1391,$E:$E,"P0(전)"))</f>
        <v/>
      </c>
      <c r="P1391" s="31">
        <f>IF(COUNTIFS($C:$C,$C1391,$D:$D,$D1391,$E:$E,"P0(전)",$M:$M,"&gt;0")&lt;&gt;1,"",SUMIFS($M:$M,$C:$C,$C1391,$D:$D,$D1391,$E:$E,"P0(전)"))</f>
        <v/>
      </c>
      <c r="Q1391" s="48">
        <f>IF(COUNTIFS($C:$C,$C1391,$D:$D,$D1391,$E:$E,"P0(후)",$M:$M,"&gt;0")&lt;&gt;1,"",SUMIFS($I:$I,$C:$C,$C1391,$D:$D,$D1391,$E:$E,"P0(후)"))</f>
        <v/>
      </c>
      <c r="R1391" s="31">
        <f>IF(COUNTIFS($C:$C,$C1391,$D:$D,$D1391,$E:$E,"P0(후)",$M:$M,"&gt;0")&lt;&gt;1,"",SUMIFS($M:$M,$C:$C,$C1391,$D:$D,$D1391,$E:$E,"P0(후)"))</f>
        <v/>
      </c>
      <c r="S1391" s="31">
        <f>IF(N1391&lt;&gt;"OK","",P1391+(R1391-P1391)*(I1391-O1391)/(Q1391-O1391))</f>
        <v/>
      </c>
      <c r="T1391" s="31">
        <f>IF(OR(N1391&lt;&gt;"OK",NOT(ISNUMBER(M1391))),"",M1391-S1391)</f>
        <v/>
      </c>
      <c r="U1391" s="49">
        <f>IF(OR(NOT(ISNUMBER(T1391)),IF(ISNUMBER(H1391),H1391,G1391)=0),"",T1391/IF(ISNUMBER(H1391),H1391,G1391))</f>
        <v/>
      </c>
      <c r="V1391" s="49">
        <f>IF(ISNUMBER(U1391),ABS(U1391),"")</f>
        <v/>
      </c>
      <c r="W1391" s="49">
        <f>IF(OR($E1390&lt;&gt;"측정",$C1390&lt;&gt;$C1391,$D1390&lt;&gt;$D1391,NOT(ISNUMBER(M1391)),NOT(ISNUMBER(M1390)),(IF(ISNUMBER(H1391),H1391,G1391)-IF(ISNUMBER(H1390),H1390,G1390))=0),"",(M1391-M1390)/(IF(ISNUMBER(H1391),H1391,G1391)-IF(ISNUMBER(H1390),H1390,G1390)))</f>
        <v/>
      </c>
      <c r="X1391" s="31">
        <f>IF(NOT(AND(ISNUMBER(O1391),ISNUMBER(Q1391))),"",(Q1391-O1391)*1440)</f>
        <v/>
      </c>
      <c r="Y1391" s="29" t="n"/>
      <c r="Z1391" s="29" t="n"/>
      <c r="AA1391" s="29" t="n"/>
      <c r="AB1391" s="32" t="n"/>
      <c r="AC1391" s="32" t="n"/>
    </row>
    <row r="1392">
      <c r="A1392" s="26" t="inlineStr">
        <is>
          <t>S27</t>
        </is>
      </c>
      <c r="B1392" s="26" t="inlineStr">
        <is>
          <t>전의 신규점</t>
        </is>
      </c>
      <c r="C1392" s="26" t="inlineStr">
        <is>
          <t>S27-H남</t>
        </is>
      </c>
      <c r="D1392" s="47" t="n">
        <v>1</v>
      </c>
      <c r="E1392" s="26" t="inlineStr">
        <is>
          <t>측정</t>
        </is>
      </c>
      <c r="F1392" s="26" t="inlineStr">
        <is>
          <t>남</t>
        </is>
      </c>
      <c r="G1392" s="31" t="n">
        <v>7</v>
      </c>
      <c r="H1392" s="30" t="n"/>
      <c r="I1392" s="43" t="n"/>
      <c r="J1392" s="41" t="n"/>
      <c r="K1392" s="41" t="n"/>
      <c r="L1392" s="41" t="n"/>
      <c r="M1392" s="31">
        <f>IF(COUNT(J1392:L1392)=0,"",MEDIAN(J1392:L1392))</f>
        <v/>
      </c>
      <c r="N1392" s="26">
        <f>IF(COUNTIFS($C:$C,$C1392,$D:$D,$D1392,$E:$E,"P0(전)",$M:$M,"&gt;0")&lt;&gt;1,"P0(전) 유효 1개 아님",IF(COUNTIFS($C:$C,$C1392,$D:$D,$D1392,$E:$E,"P0(후)",$M:$M,"&gt;0")&lt;&gt;1,"P0(후) 유효 1개 아님",IF(NOT(AND(ISNUMBER(O1392),ISNUMBER(Q1392),ISNUMBER(I1392))),"시각 결측",IF(Q1392&lt;=O1392,"P0 시각 역전",IF(OR(I1392&lt;O1392,I1392&gt;Q1392),"측정시각 구간 밖","OK")))))</f>
        <v/>
      </c>
      <c r="O1392" s="48">
        <f>IF(COUNTIFS($C:$C,$C1392,$D:$D,$D1392,$E:$E,"P0(전)",$M:$M,"&gt;0")&lt;&gt;1,"",SUMIFS($I:$I,$C:$C,$C1392,$D:$D,$D1392,$E:$E,"P0(전)"))</f>
        <v/>
      </c>
      <c r="P1392" s="31">
        <f>IF(COUNTIFS($C:$C,$C1392,$D:$D,$D1392,$E:$E,"P0(전)",$M:$M,"&gt;0")&lt;&gt;1,"",SUMIFS($M:$M,$C:$C,$C1392,$D:$D,$D1392,$E:$E,"P0(전)"))</f>
        <v/>
      </c>
      <c r="Q1392" s="48">
        <f>IF(COUNTIFS($C:$C,$C1392,$D:$D,$D1392,$E:$E,"P0(후)",$M:$M,"&gt;0")&lt;&gt;1,"",SUMIFS($I:$I,$C:$C,$C1392,$D:$D,$D1392,$E:$E,"P0(후)"))</f>
        <v/>
      </c>
      <c r="R1392" s="31">
        <f>IF(COUNTIFS($C:$C,$C1392,$D:$D,$D1392,$E:$E,"P0(후)",$M:$M,"&gt;0")&lt;&gt;1,"",SUMIFS($M:$M,$C:$C,$C1392,$D:$D,$D1392,$E:$E,"P0(후)"))</f>
        <v/>
      </c>
      <c r="S1392" s="31">
        <f>IF(N1392&lt;&gt;"OK","",P1392+(R1392-P1392)*(I1392-O1392)/(Q1392-O1392))</f>
        <v/>
      </c>
      <c r="T1392" s="31">
        <f>IF(OR(N1392&lt;&gt;"OK",NOT(ISNUMBER(M1392))),"",M1392-S1392)</f>
        <v/>
      </c>
      <c r="U1392" s="49">
        <f>IF(OR(NOT(ISNUMBER(T1392)),IF(ISNUMBER(H1392),H1392,G1392)=0),"",T1392/IF(ISNUMBER(H1392),H1392,G1392))</f>
        <v/>
      </c>
      <c r="V1392" s="49">
        <f>IF(ISNUMBER(U1392),ABS(U1392),"")</f>
        <v/>
      </c>
      <c r="W1392" s="49">
        <f>IF(OR($E1391&lt;&gt;"측정",$C1391&lt;&gt;$C1392,$D1391&lt;&gt;$D1392,NOT(ISNUMBER(M1392)),NOT(ISNUMBER(M1391)),(IF(ISNUMBER(H1392),H1392,G1392)-IF(ISNUMBER(H1391),H1391,G1391))=0),"",(M1392-M1391)/(IF(ISNUMBER(H1392),H1392,G1392)-IF(ISNUMBER(H1391),H1391,G1391)))</f>
        <v/>
      </c>
      <c r="X1392" s="31">
        <f>IF(NOT(AND(ISNUMBER(O1392),ISNUMBER(Q1392))),"",(Q1392-O1392)*1440)</f>
        <v/>
      </c>
      <c r="Y1392" s="29" t="n"/>
      <c r="Z1392" s="29" t="n"/>
      <c r="AA1392" s="29" t="n"/>
      <c r="AB1392" s="32" t="n"/>
      <c r="AC1392" s="32" t="n"/>
    </row>
    <row r="1393">
      <c r="A1393" s="26" t="inlineStr">
        <is>
          <t>S27</t>
        </is>
      </c>
      <c r="B1393" s="26" t="inlineStr">
        <is>
          <t>전의 신규점</t>
        </is>
      </c>
      <c r="C1393" s="26" t="inlineStr">
        <is>
          <t>S27-H남</t>
        </is>
      </c>
      <c r="D1393" s="47" t="n">
        <v>1</v>
      </c>
      <c r="E1393" s="26" t="inlineStr">
        <is>
          <t>측정</t>
        </is>
      </c>
      <c r="F1393" s="26" t="inlineStr">
        <is>
          <t>남</t>
        </is>
      </c>
      <c r="G1393" s="31" t="n">
        <v>8</v>
      </c>
      <c r="H1393" s="30" t="n"/>
      <c r="I1393" s="43" t="n"/>
      <c r="J1393" s="41" t="n"/>
      <c r="K1393" s="41" t="n"/>
      <c r="L1393" s="41" t="n"/>
      <c r="M1393" s="31">
        <f>IF(COUNT(J1393:L1393)=0,"",MEDIAN(J1393:L1393))</f>
        <v/>
      </c>
      <c r="N1393" s="26">
        <f>IF(COUNTIFS($C:$C,$C1393,$D:$D,$D1393,$E:$E,"P0(전)",$M:$M,"&gt;0")&lt;&gt;1,"P0(전) 유효 1개 아님",IF(COUNTIFS($C:$C,$C1393,$D:$D,$D1393,$E:$E,"P0(후)",$M:$M,"&gt;0")&lt;&gt;1,"P0(후) 유효 1개 아님",IF(NOT(AND(ISNUMBER(O1393),ISNUMBER(Q1393),ISNUMBER(I1393))),"시각 결측",IF(Q1393&lt;=O1393,"P0 시각 역전",IF(OR(I1393&lt;O1393,I1393&gt;Q1393),"측정시각 구간 밖","OK")))))</f>
        <v/>
      </c>
      <c r="O1393" s="48">
        <f>IF(COUNTIFS($C:$C,$C1393,$D:$D,$D1393,$E:$E,"P0(전)",$M:$M,"&gt;0")&lt;&gt;1,"",SUMIFS($I:$I,$C:$C,$C1393,$D:$D,$D1393,$E:$E,"P0(전)"))</f>
        <v/>
      </c>
      <c r="P1393" s="31">
        <f>IF(COUNTIFS($C:$C,$C1393,$D:$D,$D1393,$E:$E,"P0(전)",$M:$M,"&gt;0")&lt;&gt;1,"",SUMIFS($M:$M,$C:$C,$C1393,$D:$D,$D1393,$E:$E,"P0(전)"))</f>
        <v/>
      </c>
      <c r="Q1393" s="48">
        <f>IF(COUNTIFS($C:$C,$C1393,$D:$D,$D1393,$E:$E,"P0(후)",$M:$M,"&gt;0")&lt;&gt;1,"",SUMIFS($I:$I,$C:$C,$C1393,$D:$D,$D1393,$E:$E,"P0(후)"))</f>
        <v/>
      </c>
      <c r="R1393" s="31">
        <f>IF(COUNTIFS($C:$C,$C1393,$D:$D,$D1393,$E:$E,"P0(후)",$M:$M,"&gt;0")&lt;&gt;1,"",SUMIFS($M:$M,$C:$C,$C1393,$D:$D,$D1393,$E:$E,"P0(후)"))</f>
        <v/>
      </c>
      <c r="S1393" s="31">
        <f>IF(N1393&lt;&gt;"OK","",P1393+(R1393-P1393)*(I1393-O1393)/(Q1393-O1393))</f>
        <v/>
      </c>
      <c r="T1393" s="31">
        <f>IF(OR(N1393&lt;&gt;"OK",NOT(ISNUMBER(M1393))),"",M1393-S1393)</f>
        <v/>
      </c>
      <c r="U1393" s="49">
        <f>IF(OR(NOT(ISNUMBER(T1393)),IF(ISNUMBER(H1393),H1393,G1393)=0),"",T1393/IF(ISNUMBER(H1393),H1393,G1393))</f>
        <v/>
      </c>
      <c r="V1393" s="49">
        <f>IF(ISNUMBER(U1393),ABS(U1393),"")</f>
        <v/>
      </c>
      <c r="W1393" s="49">
        <f>IF(OR($E1392&lt;&gt;"측정",$C1392&lt;&gt;$C1393,$D1392&lt;&gt;$D1393,NOT(ISNUMBER(M1393)),NOT(ISNUMBER(M1392)),(IF(ISNUMBER(H1393),H1393,G1393)-IF(ISNUMBER(H1392),H1392,G1392))=0),"",(M1393-M1392)/(IF(ISNUMBER(H1393),H1393,G1393)-IF(ISNUMBER(H1392),H1392,G1392)))</f>
        <v/>
      </c>
      <c r="X1393" s="31">
        <f>IF(NOT(AND(ISNUMBER(O1393),ISNUMBER(Q1393))),"",(Q1393-O1393)*1440)</f>
        <v/>
      </c>
      <c r="Y1393" s="29" t="n"/>
      <c r="Z1393" s="29" t="n"/>
      <c r="AA1393" s="29" t="n"/>
      <c r="AB1393" s="32" t="n"/>
      <c r="AC1393" s="32" t="n"/>
    </row>
    <row r="1394">
      <c r="A1394" s="26" t="inlineStr">
        <is>
          <t>S27</t>
        </is>
      </c>
      <c r="B1394" s="26" t="inlineStr">
        <is>
          <t>전의 신규점</t>
        </is>
      </c>
      <c r="C1394" s="26" t="inlineStr">
        <is>
          <t>S27-H남</t>
        </is>
      </c>
      <c r="D1394" s="47" t="n">
        <v>1</v>
      </c>
      <c r="E1394" s="26" t="inlineStr">
        <is>
          <t>측정</t>
        </is>
      </c>
      <c r="F1394" s="26" t="inlineStr">
        <is>
          <t>남</t>
        </is>
      </c>
      <c r="G1394" s="31" t="n">
        <v>9</v>
      </c>
      <c r="H1394" s="30" t="n"/>
      <c r="I1394" s="43" t="n"/>
      <c r="J1394" s="41" t="n"/>
      <c r="K1394" s="41" t="n"/>
      <c r="L1394" s="41" t="n"/>
      <c r="M1394" s="31">
        <f>IF(COUNT(J1394:L1394)=0,"",MEDIAN(J1394:L1394))</f>
        <v/>
      </c>
      <c r="N1394" s="26">
        <f>IF(COUNTIFS($C:$C,$C1394,$D:$D,$D1394,$E:$E,"P0(전)",$M:$M,"&gt;0")&lt;&gt;1,"P0(전) 유효 1개 아님",IF(COUNTIFS($C:$C,$C1394,$D:$D,$D1394,$E:$E,"P0(후)",$M:$M,"&gt;0")&lt;&gt;1,"P0(후) 유효 1개 아님",IF(NOT(AND(ISNUMBER(O1394),ISNUMBER(Q1394),ISNUMBER(I1394))),"시각 결측",IF(Q1394&lt;=O1394,"P0 시각 역전",IF(OR(I1394&lt;O1394,I1394&gt;Q1394),"측정시각 구간 밖","OK")))))</f>
        <v/>
      </c>
      <c r="O1394" s="48">
        <f>IF(COUNTIFS($C:$C,$C1394,$D:$D,$D1394,$E:$E,"P0(전)",$M:$M,"&gt;0")&lt;&gt;1,"",SUMIFS($I:$I,$C:$C,$C1394,$D:$D,$D1394,$E:$E,"P0(전)"))</f>
        <v/>
      </c>
      <c r="P1394" s="31">
        <f>IF(COUNTIFS($C:$C,$C1394,$D:$D,$D1394,$E:$E,"P0(전)",$M:$M,"&gt;0")&lt;&gt;1,"",SUMIFS($M:$M,$C:$C,$C1394,$D:$D,$D1394,$E:$E,"P0(전)"))</f>
        <v/>
      </c>
      <c r="Q1394" s="48">
        <f>IF(COUNTIFS($C:$C,$C1394,$D:$D,$D1394,$E:$E,"P0(후)",$M:$M,"&gt;0")&lt;&gt;1,"",SUMIFS($I:$I,$C:$C,$C1394,$D:$D,$D1394,$E:$E,"P0(후)"))</f>
        <v/>
      </c>
      <c r="R1394" s="31">
        <f>IF(COUNTIFS($C:$C,$C1394,$D:$D,$D1394,$E:$E,"P0(후)",$M:$M,"&gt;0")&lt;&gt;1,"",SUMIFS($M:$M,$C:$C,$C1394,$D:$D,$D1394,$E:$E,"P0(후)"))</f>
        <v/>
      </c>
      <c r="S1394" s="31">
        <f>IF(N1394&lt;&gt;"OK","",P1394+(R1394-P1394)*(I1394-O1394)/(Q1394-O1394))</f>
        <v/>
      </c>
      <c r="T1394" s="31">
        <f>IF(OR(N1394&lt;&gt;"OK",NOT(ISNUMBER(M1394))),"",M1394-S1394)</f>
        <v/>
      </c>
      <c r="U1394" s="49">
        <f>IF(OR(NOT(ISNUMBER(T1394)),IF(ISNUMBER(H1394),H1394,G1394)=0),"",T1394/IF(ISNUMBER(H1394),H1394,G1394))</f>
        <v/>
      </c>
      <c r="V1394" s="49">
        <f>IF(ISNUMBER(U1394),ABS(U1394),"")</f>
        <v/>
      </c>
      <c r="W1394" s="49">
        <f>IF(OR($E1393&lt;&gt;"측정",$C1393&lt;&gt;$C1394,$D1393&lt;&gt;$D1394,NOT(ISNUMBER(M1394)),NOT(ISNUMBER(M1393)),(IF(ISNUMBER(H1394),H1394,G1394)-IF(ISNUMBER(H1393),H1393,G1393))=0),"",(M1394-M1393)/(IF(ISNUMBER(H1394),H1394,G1394)-IF(ISNUMBER(H1393),H1393,G1393)))</f>
        <v/>
      </c>
      <c r="X1394" s="31">
        <f>IF(NOT(AND(ISNUMBER(O1394),ISNUMBER(Q1394))),"",(Q1394-O1394)*1440)</f>
        <v/>
      </c>
      <c r="Y1394" s="29" t="n"/>
      <c r="Z1394" s="29" t="n"/>
      <c r="AA1394" s="29" t="n"/>
      <c r="AB1394" s="32" t="n"/>
      <c r="AC1394" s="32" t="n"/>
    </row>
    <row r="1395">
      <c r="A1395" s="26" t="inlineStr">
        <is>
          <t>S27</t>
        </is>
      </c>
      <c r="B1395" s="26" t="inlineStr">
        <is>
          <t>전의 신규점</t>
        </is>
      </c>
      <c r="C1395" s="26" t="inlineStr">
        <is>
          <t>S27-H남</t>
        </is>
      </c>
      <c r="D1395" s="47" t="n">
        <v>1</v>
      </c>
      <c r="E1395" s="26" t="inlineStr">
        <is>
          <t>측정</t>
        </is>
      </c>
      <c r="F1395" s="26" t="inlineStr">
        <is>
          <t>남</t>
        </is>
      </c>
      <c r="G1395" s="31" t="n">
        <v>10</v>
      </c>
      <c r="H1395" s="30" t="n"/>
      <c r="I1395" s="43" t="n"/>
      <c r="J1395" s="41" t="n"/>
      <c r="K1395" s="41" t="n"/>
      <c r="L1395" s="41" t="n"/>
      <c r="M1395" s="31">
        <f>IF(COUNT(J1395:L1395)=0,"",MEDIAN(J1395:L1395))</f>
        <v/>
      </c>
      <c r="N1395" s="26">
        <f>IF(COUNTIFS($C:$C,$C1395,$D:$D,$D1395,$E:$E,"P0(전)",$M:$M,"&gt;0")&lt;&gt;1,"P0(전) 유효 1개 아님",IF(COUNTIFS($C:$C,$C1395,$D:$D,$D1395,$E:$E,"P0(후)",$M:$M,"&gt;0")&lt;&gt;1,"P0(후) 유효 1개 아님",IF(NOT(AND(ISNUMBER(O1395),ISNUMBER(Q1395),ISNUMBER(I1395))),"시각 결측",IF(Q1395&lt;=O1395,"P0 시각 역전",IF(OR(I1395&lt;O1395,I1395&gt;Q1395),"측정시각 구간 밖","OK")))))</f>
        <v/>
      </c>
      <c r="O1395" s="48">
        <f>IF(COUNTIFS($C:$C,$C1395,$D:$D,$D1395,$E:$E,"P0(전)",$M:$M,"&gt;0")&lt;&gt;1,"",SUMIFS($I:$I,$C:$C,$C1395,$D:$D,$D1395,$E:$E,"P0(전)"))</f>
        <v/>
      </c>
      <c r="P1395" s="31">
        <f>IF(COUNTIFS($C:$C,$C1395,$D:$D,$D1395,$E:$E,"P0(전)",$M:$M,"&gt;0")&lt;&gt;1,"",SUMIFS($M:$M,$C:$C,$C1395,$D:$D,$D1395,$E:$E,"P0(전)"))</f>
        <v/>
      </c>
      <c r="Q1395" s="48">
        <f>IF(COUNTIFS($C:$C,$C1395,$D:$D,$D1395,$E:$E,"P0(후)",$M:$M,"&gt;0")&lt;&gt;1,"",SUMIFS($I:$I,$C:$C,$C1395,$D:$D,$D1395,$E:$E,"P0(후)"))</f>
        <v/>
      </c>
      <c r="R1395" s="31">
        <f>IF(COUNTIFS($C:$C,$C1395,$D:$D,$D1395,$E:$E,"P0(후)",$M:$M,"&gt;0")&lt;&gt;1,"",SUMIFS($M:$M,$C:$C,$C1395,$D:$D,$D1395,$E:$E,"P0(후)"))</f>
        <v/>
      </c>
      <c r="S1395" s="31">
        <f>IF(N1395&lt;&gt;"OK","",P1395+(R1395-P1395)*(I1395-O1395)/(Q1395-O1395))</f>
        <v/>
      </c>
      <c r="T1395" s="31">
        <f>IF(OR(N1395&lt;&gt;"OK",NOT(ISNUMBER(M1395))),"",M1395-S1395)</f>
        <v/>
      </c>
      <c r="U1395" s="49">
        <f>IF(OR(NOT(ISNUMBER(T1395)),IF(ISNUMBER(H1395),H1395,G1395)=0),"",T1395/IF(ISNUMBER(H1395),H1395,G1395))</f>
        <v/>
      </c>
      <c r="V1395" s="49">
        <f>IF(ISNUMBER(U1395),ABS(U1395),"")</f>
        <v/>
      </c>
      <c r="W1395" s="49">
        <f>IF(OR($E1394&lt;&gt;"측정",$C1394&lt;&gt;$C1395,$D1394&lt;&gt;$D1395,NOT(ISNUMBER(M1395)),NOT(ISNUMBER(M1394)),(IF(ISNUMBER(H1395),H1395,G1395)-IF(ISNUMBER(H1394),H1394,G1394))=0),"",(M1395-M1394)/(IF(ISNUMBER(H1395),H1395,G1395)-IF(ISNUMBER(H1394),H1394,G1394)))</f>
        <v/>
      </c>
      <c r="X1395" s="31">
        <f>IF(NOT(AND(ISNUMBER(O1395),ISNUMBER(Q1395))),"",(Q1395-O1395)*1440)</f>
        <v/>
      </c>
      <c r="Y1395" s="29" t="n"/>
      <c r="Z1395" s="29" t="n"/>
      <c r="AA1395" s="29" t="n"/>
      <c r="AB1395" s="32" t="n"/>
      <c r="AC1395" s="32" t="n"/>
    </row>
    <row r="1396">
      <c r="A1396" s="44" t="inlineStr">
        <is>
          <t>S27</t>
        </is>
      </c>
      <c r="B1396" s="44" t="inlineStr">
        <is>
          <t>전의 신규점</t>
        </is>
      </c>
      <c r="C1396" s="44" t="inlineStr">
        <is>
          <t>S27-H남</t>
        </is>
      </c>
      <c r="D1396" s="45" t="n">
        <v>1</v>
      </c>
      <c r="E1396" s="44" t="inlineStr">
        <is>
          <t>P0(후)</t>
        </is>
      </c>
      <c r="F1396" s="44" t="inlineStr">
        <is>
          <t>남</t>
        </is>
      </c>
      <c r="G1396" s="46" t="n"/>
      <c r="H1396" s="30" t="n"/>
      <c r="I1396" s="43" t="n"/>
      <c r="J1396" s="41" t="n"/>
      <c r="K1396" s="41" t="n"/>
      <c r="L1396" s="41" t="n"/>
      <c r="M1396" s="31">
        <f>IF(COUNT(J1396:L1396)=0,"",MEDIAN(J1396:L1396))</f>
        <v/>
      </c>
      <c r="N1396" s="38" t="n"/>
      <c r="O1396" s="38" t="n"/>
      <c r="P1396" s="38" t="n"/>
      <c r="Q1396" s="38" t="n"/>
      <c r="R1396" s="38" t="n"/>
      <c r="S1396" s="38" t="n"/>
      <c r="T1396" s="38" t="n"/>
      <c r="U1396" s="38" t="n"/>
      <c r="V1396" s="38" t="n"/>
      <c r="W1396" s="38" t="n"/>
      <c r="X1396" s="38" t="n"/>
      <c r="Y1396" s="29" t="n"/>
      <c r="Z1396" s="29" t="n"/>
      <c r="AA1396" s="29" t="n"/>
      <c r="AB1396" s="32" t="n"/>
      <c r="AC1396" s="32" t="n"/>
    </row>
    <row r="1397">
      <c r="A1397" s="44" t="inlineStr">
        <is>
          <t>S27</t>
        </is>
      </c>
      <c r="B1397" s="44" t="inlineStr">
        <is>
          <t>전의 신규점</t>
        </is>
      </c>
      <c r="C1397" s="44" t="inlineStr">
        <is>
          <t>S27-H북</t>
        </is>
      </c>
      <c r="D1397" s="45" t="n">
        <v>1</v>
      </c>
      <c r="E1397" s="44" t="inlineStr">
        <is>
          <t>P0(전)</t>
        </is>
      </c>
      <c r="F1397" s="44" t="inlineStr">
        <is>
          <t>북</t>
        </is>
      </c>
      <c r="G1397" s="46" t="n"/>
      <c r="H1397" s="30" t="n"/>
      <c r="I1397" s="43" t="n"/>
      <c r="J1397" s="41" t="n"/>
      <c r="K1397" s="41" t="n"/>
      <c r="L1397" s="41" t="n"/>
      <c r="M1397" s="31">
        <f>IF(COUNT(J1397:L1397)=0,"",MEDIAN(J1397:L1397))</f>
        <v/>
      </c>
      <c r="N1397" s="38" t="n"/>
      <c r="O1397" s="38" t="n"/>
      <c r="P1397" s="38" t="n"/>
      <c r="Q1397" s="38" t="n"/>
      <c r="R1397" s="38" t="n"/>
      <c r="S1397" s="38" t="n"/>
      <c r="T1397" s="38" t="n"/>
      <c r="U1397" s="38" t="n"/>
      <c r="V1397" s="38" t="n"/>
      <c r="W1397" s="38" t="n"/>
      <c r="X1397" s="38" t="n"/>
      <c r="Y1397" s="29" t="n"/>
      <c r="Z1397" s="29" t="n"/>
      <c r="AA1397" s="29" t="n"/>
      <c r="AB1397" s="32" t="n"/>
      <c r="AC1397" s="32" t="n"/>
    </row>
    <row r="1398">
      <c r="A1398" s="26" t="inlineStr">
        <is>
          <t>S27</t>
        </is>
      </c>
      <c r="B1398" s="26" t="inlineStr">
        <is>
          <t>전의 신규점</t>
        </is>
      </c>
      <c r="C1398" s="26" t="inlineStr">
        <is>
          <t>S27-H북</t>
        </is>
      </c>
      <c r="D1398" s="47" t="n">
        <v>1</v>
      </c>
      <c r="E1398" s="26" t="inlineStr">
        <is>
          <t>측정</t>
        </is>
      </c>
      <c r="F1398" s="26" t="inlineStr">
        <is>
          <t>북</t>
        </is>
      </c>
      <c r="G1398" s="31" t="n">
        <v>0.5</v>
      </c>
      <c r="H1398" s="30" t="n"/>
      <c r="I1398" s="43" t="n"/>
      <c r="J1398" s="41" t="n"/>
      <c r="K1398" s="41" t="n"/>
      <c r="L1398" s="41" t="n"/>
      <c r="M1398" s="31">
        <f>IF(COUNT(J1398:L1398)=0,"",MEDIAN(J1398:L1398))</f>
        <v/>
      </c>
      <c r="N1398" s="26">
        <f>IF(COUNTIFS($C:$C,$C1398,$D:$D,$D1398,$E:$E,"P0(전)",$M:$M,"&gt;0")&lt;&gt;1,"P0(전) 유효 1개 아님",IF(COUNTIFS($C:$C,$C1398,$D:$D,$D1398,$E:$E,"P0(후)",$M:$M,"&gt;0")&lt;&gt;1,"P0(후) 유효 1개 아님",IF(NOT(AND(ISNUMBER(O1398),ISNUMBER(Q1398),ISNUMBER(I1398))),"시각 결측",IF(Q1398&lt;=O1398,"P0 시각 역전",IF(OR(I1398&lt;O1398,I1398&gt;Q1398),"측정시각 구간 밖","OK")))))</f>
        <v/>
      </c>
      <c r="O1398" s="48">
        <f>IF(COUNTIFS($C:$C,$C1398,$D:$D,$D1398,$E:$E,"P0(전)",$M:$M,"&gt;0")&lt;&gt;1,"",SUMIFS($I:$I,$C:$C,$C1398,$D:$D,$D1398,$E:$E,"P0(전)"))</f>
        <v/>
      </c>
      <c r="P1398" s="31">
        <f>IF(COUNTIFS($C:$C,$C1398,$D:$D,$D1398,$E:$E,"P0(전)",$M:$M,"&gt;0")&lt;&gt;1,"",SUMIFS($M:$M,$C:$C,$C1398,$D:$D,$D1398,$E:$E,"P0(전)"))</f>
        <v/>
      </c>
      <c r="Q1398" s="48">
        <f>IF(COUNTIFS($C:$C,$C1398,$D:$D,$D1398,$E:$E,"P0(후)",$M:$M,"&gt;0")&lt;&gt;1,"",SUMIFS($I:$I,$C:$C,$C1398,$D:$D,$D1398,$E:$E,"P0(후)"))</f>
        <v/>
      </c>
      <c r="R1398" s="31">
        <f>IF(COUNTIFS($C:$C,$C1398,$D:$D,$D1398,$E:$E,"P0(후)",$M:$M,"&gt;0")&lt;&gt;1,"",SUMIFS($M:$M,$C:$C,$C1398,$D:$D,$D1398,$E:$E,"P0(후)"))</f>
        <v/>
      </c>
      <c r="S1398" s="31">
        <f>IF(N1398&lt;&gt;"OK","",P1398+(R1398-P1398)*(I1398-O1398)/(Q1398-O1398))</f>
        <v/>
      </c>
      <c r="T1398" s="31">
        <f>IF(OR(N1398&lt;&gt;"OK",NOT(ISNUMBER(M1398))),"",M1398-S1398)</f>
        <v/>
      </c>
      <c r="U1398" s="49">
        <f>IF(OR(NOT(ISNUMBER(T1398)),IF(ISNUMBER(H1398),H1398,G1398)=0),"",T1398/IF(ISNUMBER(H1398),H1398,G1398))</f>
        <v/>
      </c>
      <c r="V1398" s="49">
        <f>IF(ISNUMBER(U1398),ABS(U1398),"")</f>
        <v/>
      </c>
      <c r="W1398" s="49">
        <f>IF(OR($E1397&lt;&gt;"측정",$C1397&lt;&gt;$C1398,$D1397&lt;&gt;$D1398,NOT(ISNUMBER(M1398)),NOT(ISNUMBER(M1397)),(IF(ISNUMBER(H1398),H1398,G1398)-IF(ISNUMBER(H1397),H1397,G1397))=0),"",(M1398-M1397)/(IF(ISNUMBER(H1398),H1398,G1398)-IF(ISNUMBER(H1397),H1397,G1397)))</f>
        <v/>
      </c>
      <c r="X1398" s="31">
        <f>IF(NOT(AND(ISNUMBER(O1398),ISNUMBER(Q1398))),"",(Q1398-O1398)*1440)</f>
        <v/>
      </c>
      <c r="Y1398" s="29" t="n"/>
      <c r="Z1398" s="29" t="n"/>
      <c r="AA1398" s="29" t="n"/>
      <c r="AB1398" s="32" t="n"/>
      <c r="AC1398" s="32" t="n"/>
    </row>
    <row r="1399">
      <c r="A1399" s="26" t="inlineStr">
        <is>
          <t>S27</t>
        </is>
      </c>
      <c r="B1399" s="26" t="inlineStr">
        <is>
          <t>전의 신규점</t>
        </is>
      </c>
      <c r="C1399" s="26" t="inlineStr">
        <is>
          <t>S27-H북</t>
        </is>
      </c>
      <c r="D1399" s="47" t="n">
        <v>1</v>
      </c>
      <c r="E1399" s="26" t="inlineStr">
        <is>
          <t>측정</t>
        </is>
      </c>
      <c r="F1399" s="26" t="inlineStr">
        <is>
          <t>북</t>
        </is>
      </c>
      <c r="G1399" s="31" t="n">
        <v>1</v>
      </c>
      <c r="H1399" s="30" t="n"/>
      <c r="I1399" s="43" t="n"/>
      <c r="J1399" s="41" t="n"/>
      <c r="K1399" s="41" t="n"/>
      <c r="L1399" s="41" t="n"/>
      <c r="M1399" s="31">
        <f>IF(COUNT(J1399:L1399)=0,"",MEDIAN(J1399:L1399))</f>
        <v/>
      </c>
      <c r="N1399" s="26">
        <f>IF(COUNTIFS($C:$C,$C1399,$D:$D,$D1399,$E:$E,"P0(전)",$M:$M,"&gt;0")&lt;&gt;1,"P0(전) 유효 1개 아님",IF(COUNTIFS($C:$C,$C1399,$D:$D,$D1399,$E:$E,"P0(후)",$M:$M,"&gt;0")&lt;&gt;1,"P0(후) 유효 1개 아님",IF(NOT(AND(ISNUMBER(O1399),ISNUMBER(Q1399),ISNUMBER(I1399))),"시각 결측",IF(Q1399&lt;=O1399,"P0 시각 역전",IF(OR(I1399&lt;O1399,I1399&gt;Q1399),"측정시각 구간 밖","OK")))))</f>
        <v/>
      </c>
      <c r="O1399" s="48">
        <f>IF(COUNTIFS($C:$C,$C1399,$D:$D,$D1399,$E:$E,"P0(전)",$M:$M,"&gt;0")&lt;&gt;1,"",SUMIFS($I:$I,$C:$C,$C1399,$D:$D,$D1399,$E:$E,"P0(전)"))</f>
        <v/>
      </c>
      <c r="P1399" s="31">
        <f>IF(COUNTIFS($C:$C,$C1399,$D:$D,$D1399,$E:$E,"P0(전)",$M:$M,"&gt;0")&lt;&gt;1,"",SUMIFS($M:$M,$C:$C,$C1399,$D:$D,$D1399,$E:$E,"P0(전)"))</f>
        <v/>
      </c>
      <c r="Q1399" s="48">
        <f>IF(COUNTIFS($C:$C,$C1399,$D:$D,$D1399,$E:$E,"P0(후)",$M:$M,"&gt;0")&lt;&gt;1,"",SUMIFS($I:$I,$C:$C,$C1399,$D:$D,$D1399,$E:$E,"P0(후)"))</f>
        <v/>
      </c>
      <c r="R1399" s="31">
        <f>IF(COUNTIFS($C:$C,$C1399,$D:$D,$D1399,$E:$E,"P0(후)",$M:$M,"&gt;0")&lt;&gt;1,"",SUMIFS($M:$M,$C:$C,$C1399,$D:$D,$D1399,$E:$E,"P0(후)"))</f>
        <v/>
      </c>
      <c r="S1399" s="31">
        <f>IF(N1399&lt;&gt;"OK","",P1399+(R1399-P1399)*(I1399-O1399)/(Q1399-O1399))</f>
        <v/>
      </c>
      <c r="T1399" s="31">
        <f>IF(OR(N1399&lt;&gt;"OK",NOT(ISNUMBER(M1399))),"",M1399-S1399)</f>
        <v/>
      </c>
      <c r="U1399" s="49">
        <f>IF(OR(NOT(ISNUMBER(T1399)),IF(ISNUMBER(H1399),H1399,G1399)=0),"",T1399/IF(ISNUMBER(H1399),H1399,G1399))</f>
        <v/>
      </c>
      <c r="V1399" s="49">
        <f>IF(ISNUMBER(U1399),ABS(U1399),"")</f>
        <v/>
      </c>
      <c r="W1399" s="49">
        <f>IF(OR($E1398&lt;&gt;"측정",$C1398&lt;&gt;$C1399,$D1398&lt;&gt;$D1399,NOT(ISNUMBER(M1399)),NOT(ISNUMBER(M1398)),(IF(ISNUMBER(H1399),H1399,G1399)-IF(ISNUMBER(H1398),H1398,G1398))=0),"",(M1399-M1398)/(IF(ISNUMBER(H1399),H1399,G1399)-IF(ISNUMBER(H1398),H1398,G1398)))</f>
        <v/>
      </c>
      <c r="X1399" s="31">
        <f>IF(NOT(AND(ISNUMBER(O1399),ISNUMBER(Q1399))),"",(Q1399-O1399)*1440)</f>
        <v/>
      </c>
      <c r="Y1399" s="29" t="n"/>
      <c r="Z1399" s="29" t="n"/>
      <c r="AA1399" s="29" t="n"/>
      <c r="AB1399" s="32" t="n"/>
      <c r="AC1399" s="32" t="n"/>
    </row>
    <row r="1400">
      <c r="A1400" s="26" t="inlineStr">
        <is>
          <t>S27</t>
        </is>
      </c>
      <c r="B1400" s="26" t="inlineStr">
        <is>
          <t>전의 신규점</t>
        </is>
      </c>
      <c r="C1400" s="26" t="inlineStr">
        <is>
          <t>S27-H북</t>
        </is>
      </c>
      <c r="D1400" s="47" t="n">
        <v>1</v>
      </c>
      <c r="E1400" s="26" t="inlineStr">
        <is>
          <t>측정</t>
        </is>
      </c>
      <c r="F1400" s="26" t="inlineStr">
        <is>
          <t>북</t>
        </is>
      </c>
      <c r="G1400" s="31" t="n">
        <v>2</v>
      </c>
      <c r="H1400" s="30" t="n"/>
      <c r="I1400" s="43" t="n"/>
      <c r="J1400" s="41" t="n"/>
      <c r="K1400" s="41" t="n"/>
      <c r="L1400" s="41" t="n"/>
      <c r="M1400" s="31">
        <f>IF(COUNT(J1400:L1400)=0,"",MEDIAN(J1400:L1400))</f>
        <v/>
      </c>
      <c r="N1400" s="26">
        <f>IF(COUNTIFS($C:$C,$C1400,$D:$D,$D1400,$E:$E,"P0(전)",$M:$M,"&gt;0")&lt;&gt;1,"P0(전) 유효 1개 아님",IF(COUNTIFS($C:$C,$C1400,$D:$D,$D1400,$E:$E,"P0(후)",$M:$M,"&gt;0")&lt;&gt;1,"P0(후) 유효 1개 아님",IF(NOT(AND(ISNUMBER(O1400),ISNUMBER(Q1400),ISNUMBER(I1400))),"시각 결측",IF(Q1400&lt;=O1400,"P0 시각 역전",IF(OR(I1400&lt;O1400,I1400&gt;Q1400),"측정시각 구간 밖","OK")))))</f>
        <v/>
      </c>
      <c r="O1400" s="48">
        <f>IF(COUNTIFS($C:$C,$C1400,$D:$D,$D1400,$E:$E,"P0(전)",$M:$M,"&gt;0")&lt;&gt;1,"",SUMIFS($I:$I,$C:$C,$C1400,$D:$D,$D1400,$E:$E,"P0(전)"))</f>
        <v/>
      </c>
      <c r="P1400" s="31">
        <f>IF(COUNTIFS($C:$C,$C1400,$D:$D,$D1400,$E:$E,"P0(전)",$M:$M,"&gt;0")&lt;&gt;1,"",SUMIFS($M:$M,$C:$C,$C1400,$D:$D,$D1400,$E:$E,"P0(전)"))</f>
        <v/>
      </c>
      <c r="Q1400" s="48">
        <f>IF(COUNTIFS($C:$C,$C1400,$D:$D,$D1400,$E:$E,"P0(후)",$M:$M,"&gt;0")&lt;&gt;1,"",SUMIFS($I:$I,$C:$C,$C1400,$D:$D,$D1400,$E:$E,"P0(후)"))</f>
        <v/>
      </c>
      <c r="R1400" s="31">
        <f>IF(COUNTIFS($C:$C,$C1400,$D:$D,$D1400,$E:$E,"P0(후)",$M:$M,"&gt;0")&lt;&gt;1,"",SUMIFS($M:$M,$C:$C,$C1400,$D:$D,$D1400,$E:$E,"P0(후)"))</f>
        <v/>
      </c>
      <c r="S1400" s="31">
        <f>IF(N1400&lt;&gt;"OK","",P1400+(R1400-P1400)*(I1400-O1400)/(Q1400-O1400))</f>
        <v/>
      </c>
      <c r="T1400" s="31">
        <f>IF(OR(N1400&lt;&gt;"OK",NOT(ISNUMBER(M1400))),"",M1400-S1400)</f>
        <v/>
      </c>
      <c r="U1400" s="49">
        <f>IF(OR(NOT(ISNUMBER(T1400)),IF(ISNUMBER(H1400),H1400,G1400)=0),"",T1400/IF(ISNUMBER(H1400),H1400,G1400))</f>
        <v/>
      </c>
      <c r="V1400" s="49">
        <f>IF(ISNUMBER(U1400),ABS(U1400),"")</f>
        <v/>
      </c>
      <c r="W1400" s="49">
        <f>IF(OR($E1399&lt;&gt;"측정",$C1399&lt;&gt;$C1400,$D1399&lt;&gt;$D1400,NOT(ISNUMBER(M1400)),NOT(ISNUMBER(M1399)),(IF(ISNUMBER(H1400),H1400,G1400)-IF(ISNUMBER(H1399),H1399,G1399))=0),"",(M1400-M1399)/(IF(ISNUMBER(H1400),H1400,G1400)-IF(ISNUMBER(H1399),H1399,G1399)))</f>
        <v/>
      </c>
      <c r="X1400" s="31">
        <f>IF(NOT(AND(ISNUMBER(O1400),ISNUMBER(Q1400))),"",(Q1400-O1400)*1440)</f>
        <v/>
      </c>
      <c r="Y1400" s="29" t="n"/>
      <c r="Z1400" s="29" t="n"/>
      <c r="AA1400" s="29" t="n"/>
      <c r="AB1400" s="32" t="n"/>
      <c r="AC1400" s="32" t="n"/>
    </row>
    <row r="1401">
      <c r="A1401" s="26" t="inlineStr">
        <is>
          <t>S27</t>
        </is>
      </c>
      <c r="B1401" s="26" t="inlineStr">
        <is>
          <t>전의 신규점</t>
        </is>
      </c>
      <c r="C1401" s="26" t="inlineStr">
        <is>
          <t>S27-H북</t>
        </is>
      </c>
      <c r="D1401" s="47" t="n">
        <v>1</v>
      </c>
      <c r="E1401" s="26" t="inlineStr">
        <is>
          <t>측정</t>
        </is>
      </c>
      <c r="F1401" s="26" t="inlineStr">
        <is>
          <t>북</t>
        </is>
      </c>
      <c r="G1401" s="31" t="n">
        <v>3</v>
      </c>
      <c r="H1401" s="30" t="n"/>
      <c r="I1401" s="43" t="n"/>
      <c r="J1401" s="41" t="n"/>
      <c r="K1401" s="41" t="n"/>
      <c r="L1401" s="41" t="n"/>
      <c r="M1401" s="31">
        <f>IF(COUNT(J1401:L1401)=0,"",MEDIAN(J1401:L1401))</f>
        <v/>
      </c>
      <c r="N1401" s="26">
        <f>IF(COUNTIFS($C:$C,$C1401,$D:$D,$D1401,$E:$E,"P0(전)",$M:$M,"&gt;0")&lt;&gt;1,"P0(전) 유효 1개 아님",IF(COUNTIFS($C:$C,$C1401,$D:$D,$D1401,$E:$E,"P0(후)",$M:$M,"&gt;0")&lt;&gt;1,"P0(후) 유효 1개 아님",IF(NOT(AND(ISNUMBER(O1401),ISNUMBER(Q1401),ISNUMBER(I1401))),"시각 결측",IF(Q1401&lt;=O1401,"P0 시각 역전",IF(OR(I1401&lt;O1401,I1401&gt;Q1401),"측정시각 구간 밖","OK")))))</f>
        <v/>
      </c>
      <c r="O1401" s="48">
        <f>IF(COUNTIFS($C:$C,$C1401,$D:$D,$D1401,$E:$E,"P0(전)",$M:$M,"&gt;0")&lt;&gt;1,"",SUMIFS($I:$I,$C:$C,$C1401,$D:$D,$D1401,$E:$E,"P0(전)"))</f>
        <v/>
      </c>
      <c r="P1401" s="31">
        <f>IF(COUNTIFS($C:$C,$C1401,$D:$D,$D1401,$E:$E,"P0(전)",$M:$M,"&gt;0")&lt;&gt;1,"",SUMIFS($M:$M,$C:$C,$C1401,$D:$D,$D1401,$E:$E,"P0(전)"))</f>
        <v/>
      </c>
      <c r="Q1401" s="48">
        <f>IF(COUNTIFS($C:$C,$C1401,$D:$D,$D1401,$E:$E,"P0(후)",$M:$M,"&gt;0")&lt;&gt;1,"",SUMIFS($I:$I,$C:$C,$C1401,$D:$D,$D1401,$E:$E,"P0(후)"))</f>
        <v/>
      </c>
      <c r="R1401" s="31">
        <f>IF(COUNTIFS($C:$C,$C1401,$D:$D,$D1401,$E:$E,"P0(후)",$M:$M,"&gt;0")&lt;&gt;1,"",SUMIFS($M:$M,$C:$C,$C1401,$D:$D,$D1401,$E:$E,"P0(후)"))</f>
        <v/>
      </c>
      <c r="S1401" s="31">
        <f>IF(N1401&lt;&gt;"OK","",P1401+(R1401-P1401)*(I1401-O1401)/(Q1401-O1401))</f>
        <v/>
      </c>
      <c r="T1401" s="31">
        <f>IF(OR(N1401&lt;&gt;"OK",NOT(ISNUMBER(M1401))),"",M1401-S1401)</f>
        <v/>
      </c>
      <c r="U1401" s="49">
        <f>IF(OR(NOT(ISNUMBER(T1401)),IF(ISNUMBER(H1401),H1401,G1401)=0),"",T1401/IF(ISNUMBER(H1401),H1401,G1401))</f>
        <v/>
      </c>
      <c r="V1401" s="49">
        <f>IF(ISNUMBER(U1401),ABS(U1401),"")</f>
        <v/>
      </c>
      <c r="W1401" s="49">
        <f>IF(OR($E1400&lt;&gt;"측정",$C1400&lt;&gt;$C1401,$D1400&lt;&gt;$D1401,NOT(ISNUMBER(M1401)),NOT(ISNUMBER(M1400)),(IF(ISNUMBER(H1401),H1401,G1401)-IF(ISNUMBER(H1400),H1400,G1400))=0),"",(M1401-M1400)/(IF(ISNUMBER(H1401),H1401,G1401)-IF(ISNUMBER(H1400),H1400,G1400)))</f>
        <v/>
      </c>
      <c r="X1401" s="31">
        <f>IF(NOT(AND(ISNUMBER(O1401),ISNUMBER(Q1401))),"",(Q1401-O1401)*1440)</f>
        <v/>
      </c>
      <c r="Y1401" s="29" t="n"/>
      <c r="Z1401" s="29" t="n"/>
      <c r="AA1401" s="29" t="n"/>
      <c r="AB1401" s="32" t="n"/>
      <c r="AC1401" s="32" t="n"/>
    </row>
    <row r="1402">
      <c r="A1402" s="26" t="inlineStr">
        <is>
          <t>S27</t>
        </is>
      </c>
      <c r="B1402" s="26" t="inlineStr">
        <is>
          <t>전의 신규점</t>
        </is>
      </c>
      <c r="C1402" s="26" t="inlineStr">
        <is>
          <t>S27-H북</t>
        </is>
      </c>
      <c r="D1402" s="47" t="n">
        <v>1</v>
      </c>
      <c r="E1402" s="26" t="inlineStr">
        <is>
          <t>측정</t>
        </is>
      </c>
      <c r="F1402" s="26" t="inlineStr">
        <is>
          <t>북</t>
        </is>
      </c>
      <c r="G1402" s="31" t="n">
        <v>4</v>
      </c>
      <c r="H1402" s="30" t="n"/>
      <c r="I1402" s="43" t="n"/>
      <c r="J1402" s="41" t="n"/>
      <c r="K1402" s="41" t="n"/>
      <c r="L1402" s="41" t="n"/>
      <c r="M1402" s="31">
        <f>IF(COUNT(J1402:L1402)=0,"",MEDIAN(J1402:L1402))</f>
        <v/>
      </c>
      <c r="N1402" s="26">
        <f>IF(COUNTIFS($C:$C,$C1402,$D:$D,$D1402,$E:$E,"P0(전)",$M:$M,"&gt;0")&lt;&gt;1,"P0(전) 유효 1개 아님",IF(COUNTIFS($C:$C,$C1402,$D:$D,$D1402,$E:$E,"P0(후)",$M:$M,"&gt;0")&lt;&gt;1,"P0(후) 유효 1개 아님",IF(NOT(AND(ISNUMBER(O1402),ISNUMBER(Q1402),ISNUMBER(I1402))),"시각 결측",IF(Q1402&lt;=O1402,"P0 시각 역전",IF(OR(I1402&lt;O1402,I1402&gt;Q1402),"측정시각 구간 밖","OK")))))</f>
        <v/>
      </c>
      <c r="O1402" s="48">
        <f>IF(COUNTIFS($C:$C,$C1402,$D:$D,$D1402,$E:$E,"P0(전)",$M:$M,"&gt;0")&lt;&gt;1,"",SUMIFS($I:$I,$C:$C,$C1402,$D:$D,$D1402,$E:$E,"P0(전)"))</f>
        <v/>
      </c>
      <c r="P1402" s="31">
        <f>IF(COUNTIFS($C:$C,$C1402,$D:$D,$D1402,$E:$E,"P0(전)",$M:$M,"&gt;0")&lt;&gt;1,"",SUMIFS($M:$M,$C:$C,$C1402,$D:$D,$D1402,$E:$E,"P0(전)"))</f>
        <v/>
      </c>
      <c r="Q1402" s="48">
        <f>IF(COUNTIFS($C:$C,$C1402,$D:$D,$D1402,$E:$E,"P0(후)",$M:$M,"&gt;0")&lt;&gt;1,"",SUMIFS($I:$I,$C:$C,$C1402,$D:$D,$D1402,$E:$E,"P0(후)"))</f>
        <v/>
      </c>
      <c r="R1402" s="31">
        <f>IF(COUNTIFS($C:$C,$C1402,$D:$D,$D1402,$E:$E,"P0(후)",$M:$M,"&gt;0")&lt;&gt;1,"",SUMIFS($M:$M,$C:$C,$C1402,$D:$D,$D1402,$E:$E,"P0(후)"))</f>
        <v/>
      </c>
      <c r="S1402" s="31">
        <f>IF(N1402&lt;&gt;"OK","",P1402+(R1402-P1402)*(I1402-O1402)/(Q1402-O1402))</f>
        <v/>
      </c>
      <c r="T1402" s="31">
        <f>IF(OR(N1402&lt;&gt;"OK",NOT(ISNUMBER(M1402))),"",M1402-S1402)</f>
        <v/>
      </c>
      <c r="U1402" s="49">
        <f>IF(OR(NOT(ISNUMBER(T1402)),IF(ISNUMBER(H1402),H1402,G1402)=0),"",T1402/IF(ISNUMBER(H1402),H1402,G1402))</f>
        <v/>
      </c>
      <c r="V1402" s="49">
        <f>IF(ISNUMBER(U1402),ABS(U1402),"")</f>
        <v/>
      </c>
      <c r="W1402" s="49">
        <f>IF(OR($E1401&lt;&gt;"측정",$C1401&lt;&gt;$C1402,$D1401&lt;&gt;$D1402,NOT(ISNUMBER(M1402)),NOT(ISNUMBER(M1401)),(IF(ISNUMBER(H1402),H1402,G1402)-IF(ISNUMBER(H1401),H1401,G1401))=0),"",(M1402-M1401)/(IF(ISNUMBER(H1402),H1402,G1402)-IF(ISNUMBER(H1401),H1401,G1401)))</f>
        <v/>
      </c>
      <c r="X1402" s="31">
        <f>IF(NOT(AND(ISNUMBER(O1402),ISNUMBER(Q1402))),"",(Q1402-O1402)*1440)</f>
        <v/>
      </c>
      <c r="Y1402" s="29" t="n"/>
      <c r="Z1402" s="29" t="n"/>
      <c r="AA1402" s="29" t="n"/>
      <c r="AB1402" s="32" t="n"/>
      <c r="AC1402" s="32" t="n"/>
    </row>
    <row r="1403">
      <c r="A1403" s="26" t="inlineStr">
        <is>
          <t>S27</t>
        </is>
      </c>
      <c r="B1403" s="26" t="inlineStr">
        <is>
          <t>전의 신규점</t>
        </is>
      </c>
      <c r="C1403" s="26" t="inlineStr">
        <is>
          <t>S27-H북</t>
        </is>
      </c>
      <c r="D1403" s="47" t="n">
        <v>1</v>
      </c>
      <c r="E1403" s="26" t="inlineStr">
        <is>
          <t>측정</t>
        </is>
      </c>
      <c r="F1403" s="26" t="inlineStr">
        <is>
          <t>북</t>
        </is>
      </c>
      <c r="G1403" s="31" t="n">
        <v>5</v>
      </c>
      <c r="H1403" s="30" t="n"/>
      <c r="I1403" s="43" t="n"/>
      <c r="J1403" s="41" t="n"/>
      <c r="K1403" s="41" t="n"/>
      <c r="L1403" s="41" t="n"/>
      <c r="M1403" s="31">
        <f>IF(COUNT(J1403:L1403)=0,"",MEDIAN(J1403:L1403))</f>
        <v/>
      </c>
      <c r="N1403" s="26">
        <f>IF(COUNTIFS($C:$C,$C1403,$D:$D,$D1403,$E:$E,"P0(전)",$M:$M,"&gt;0")&lt;&gt;1,"P0(전) 유효 1개 아님",IF(COUNTIFS($C:$C,$C1403,$D:$D,$D1403,$E:$E,"P0(후)",$M:$M,"&gt;0")&lt;&gt;1,"P0(후) 유효 1개 아님",IF(NOT(AND(ISNUMBER(O1403),ISNUMBER(Q1403),ISNUMBER(I1403))),"시각 결측",IF(Q1403&lt;=O1403,"P0 시각 역전",IF(OR(I1403&lt;O1403,I1403&gt;Q1403),"측정시각 구간 밖","OK")))))</f>
        <v/>
      </c>
      <c r="O1403" s="48">
        <f>IF(COUNTIFS($C:$C,$C1403,$D:$D,$D1403,$E:$E,"P0(전)",$M:$M,"&gt;0")&lt;&gt;1,"",SUMIFS($I:$I,$C:$C,$C1403,$D:$D,$D1403,$E:$E,"P0(전)"))</f>
        <v/>
      </c>
      <c r="P1403" s="31">
        <f>IF(COUNTIFS($C:$C,$C1403,$D:$D,$D1403,$E:$E,"P0(전)",$M:$M,"&gt;0")&lt;&gt;1,"",SUMIFS($M:$M,$C:$C,$C1403,$D:$D,$D1403,$E:$E,"P0(전)"))</f>
        <v/>
      </c>
      <c r="Q1403" s="48">
        <f>IF(COUNTIFS($C:$C,$C1403,$D:$D,$D1403,$E:$E,"P0(후)",$M:$M,"&gt;0")&lt;&gt;1,"",SUMIFS($I:$I,$C:$C,$C1403,$D:$D,$D1403,$E:$E,"P0(후)"))</f>
        <v/>
      </c>
      <c r="R1403" s="31">
        <f>IF(COUNTIFS($C:$C,$C1403,$D:$D,$D1403,$E:$E,"P0(후)",$M:$M,"&gt;0")&lt;&gt;1,"",SUMIFS($M:$M,$C:$C,$C1403,$D:$D,$D1403,$E:$E,"P0(후)"))</f>
        <v/>
      </c>
      <c r="S1403" s="31">
        <f>IF(N1403&lt;&gt;"OK","",P1403+(R1403-P1403)*(I1403-O1403)/(Q1403-O1403))</f>
        <v/>
      </c>
      <c r="T1403" s="31">
        <f>IF(OR(N1403&lt;&gt;"OK",NOT(ISNUMBER(M1403))),"",M1403-S1403)</f>
        <v/>
      </c>
      <c r="U1403" s="49">
        <f>IF(OR(NOT(ISNUMBER(T1403)),IF(ISNUMBER(H1403),H1403,G1403)=0),"",T1403/IF(ISNUMBER(H1403),H1403,G1403))</f>
        <v/>
      </c>
      <c r="V1403" s="49">
        <f>IF(ISNUMBER(U1403),ABS(U1403),"")</f>
        <v/>
      </c>
      <c r="W1403" s="49">
        <f>IF(OR($E1402&lt;&gt;"측정",$C1402&lt;&gt;$C1403,$D1402&lt;&gt;$D1403,NOT(ISNUMBER(M1403)),NOT(ISNUMBER(M1402)),(IF(ISNUMBER(H1403),H1403,G1403)-IF(ISNUMBER(H1402),H1402,G1402))=0),"",(M1403-M1402)/(IF(ISNUMBER(H1403),H1403,G1403)-IF(ISNUMBER(H1402),H1402,G1402)))</f>
        <v/>
      </c>
      <c r="X1403" s="31">
        <f>IF(NOT(AND(ISNUMBER(O1403),ISNUMBER(Q1403))),"",(Q1403-O1403)*1440)</f>
        <v/>
      </c>
      <c r="Y1403" s="29" t="n"/>
      <c r="Z1403" s="29" t="n"/>
      <c r="AA1403" s="29" t="n"/>
      <c r="AB1403" s="32" t="n"/>
      <c r="AC1403" s="32" t="n"/>
    </row>
    <row r="1404">
      <c r="A1404" s="26" t="inlineStr">
        <is>
          <t>S27</t>
        </is>
      </c>
      <c r="B1404" s="26" t="inlineStr">
        <is>
          <t>전의 신규점</t>
        </is>
      </c>
      <c r="C1404" s="26" t="inlineStr">
        <is>
          <t>S27-H북</t>
        </is>
      </c>
      <c r="D1404" s="47" t="n">
        <v>1</v>
      </c>
      <c r="E1404" s="26" t="inlineStr">
        <is>
          <t>측정</t>
        </is>
      </c>
      <c r="F1404" s="26" t="inlineStr">
        <is>
          <t>북</t>
        </is>
      </c>
      <c r="G1404" s="31" t="n">
        <v>6</v>
      </c>
      <c r="H1404" s="30" t="n"/>
      <c r="I1404" s="43" t="n"/>
      <c r="J1404" s="41" t="n"/>
      <c r="K1404" s="41" t="n"/>
      <c r="L1404" s="41" t="n"/>
      <c r="M1404" s="31">
        <f>IF(COUNT(J1404:L1404)=0,"",MEDIAN(J1404:L1404))</f>
        <v/>
      </c>
      <c r="N1404" s="26">
        <f>IF(COUNTIFS($C:$C,$C1404,$D:$D,$D1404,$E:$E,"P0(전)",$M:$M,"&gt;0")&lt;&gt;1,"P0(전) 유효 1개 아님",IF(COUNTIFS($C:$C,$C1404,$D:$D,$D1404,$E:$E,"P0(후)",$M:$M,"&gt;0")&lt;&gt;1,"P0(후) 유효 1개 아님",IF(NOT(AND(ISNUMBER(O1404),ISNUMBER(Q1404),ISNUMBER(I1404))),"시각 결측",IF(Q1404&lt;=O1404,"P0 시각 역전",IF(OR(I1404&lt;O1404,I1404&gt;Q1404),"측정시각 구간 밖","OK")))))</f>
        <v/>
      </c>
      <c r="O1404" s="48">
        <f>IF(COUNTIFS($C:$C,$C1404,$D:$D,$D1404,$E:$E,"P0(전)",$M:$M,"&gt;0")&lt;&gt;1,"",SUMIFS($I:$I,$C:$C,$C1404,$D:$D,$D1404,$E:$E,"P0(전)"))</f>
        <v/>
      </c>
      <c r="P1404" s="31">
        <f>IF(COUNTIFS($C:$C,$C1404,$D:$D,$D1404,$E:$E,"P0(전)",$M:$M,"&gt;0")&lt;&gt;1,"",SUMIFS($M:$M,$C:$C,$C1404,$D:$D,$D1404,$E:$E,"P0(전)"))</f>
        <v/>
      </c>
      <c r="Q1404" s="48">
        <f>IF(COUNTIFS($C:$C,$C1404,$D:$D,$D1404,$E:$E,"P0(후)",$M:$M,"&gt;0")&lt;&gt;1,"",SUMIFS($I:$I,$C:$C,$C1404,$D:$D,$D1404,$E:$E,"P0(후)"))</f>
        <v/>
      </c>
      <c r="R1404" s="31">
        <f>IF(COUNTIFS($C:$C,$C1404,$D:$D,$D1404,$E:$E,"P0(후)",$M:$M,"&gt;0")&lt;&gt;1,"",SUMIFS($M:$M,$C:$C,$C1404,$D:$D,$D1404,$E:$E,"P0(후)"))</f>
        <v/>
      </c>
      <c r="S1404" s="31">
        <f>IF(N1404&lt;&gt;"OK","",P1404+(R1404-P1404)*(I1404-O1404)/(Q1404-O1404))</f>
        <v/>
      </c>
      <c r="T1404" s="31">
        <f>IF(OR(N1404&lt;&gt;"OK",NOT(ISNUMBER(M1404))),"",M1404-S1404)</f>
        <v/>
      </c>
      <c r="U1404" s="49">
        <f>IF(OR(NOT(ISNUMBER(T1404)),IF(ISNUMBER(H1404),H1404,G1404)=0),"",T1404/IF(ISNUMBER(H1404),H1404,G1404))</f>
        <v/>
      </c>
      <c r="V1404" s="49">
        <f>IF(ISNUMBER(U1404),ABS(U1404),"")</f>
        <v/>
      </c>
      <c r="W1404" s="49">
        <f>IF(OR($E1403&lt;&gt;"측정",$C1403&lt;&gt;$C1404,$D1403&lt;&gt;$D1404,NOT(ISNUMBER(M1404)),NOT(ISNUMBER(M1403)),(IF(ISNUMBER(H1404),H1404,G1404)-IF(ISNUMBER(H1403),H1403,G1403))=0),"",(M1404-M1403)/(IF(ISNUMBER(H1404),H1404,G1404)-IF(ISNUMBER(H1403),H1403,G1403)))</f>
        <v/>
      </c>
      <c r="X1404" s="31">
        <f>IF(NOT(AND(ISNUMBER(O1404),ISNUMBER(Q1404))),"",(Q1404-O1404)*1440)</f>
        <v/>
      </c>
      <c r="Y1404" s="29" t="n"/>
      <c r="Z1404" s="29" t="n"/>
      <c r="AA1404" s="29" t="n"/>
      <c r="AB1404" s="32" t="n"/>
      <c r="AC1404" s="32" t="n"/>
    </row>
    <row r="1405">
      <c r="A1405" s="26" t="inlineStr">
        <is>
          <t>S27</t>
        </is>
      </c>
      <c r="B1405" s="26" t="inlineStr">
        <is>
          <t>전의 신규점</t>
        </is>
      </c>
      <c r="C1405" s="26" t="inlineStr">
        <is>
          <t>S27-H북</t>
        </is>
      </c>
      <c r="D1405" s="47" t="n">
        <v>1</v>
      </c>
      <c r="E1405" s="26" t="inlineStr">
        <is>
          <t>측정</t>
        </is>
      </c>
      <c r="F1405" s="26" t="inlineStr">
        <is>
          <t>북</t>
        </is>
      </c>
      <c r="G1405" s="31" t="n">
        <v>7</v>
      </c>
      <c r="H1405" s="30" t="n"/>
      <c r="I1405" s="43" t="n"/>
      <c r="J1405" s="41" t="n"/>
      <c r="K1405" s="41" t="n"/>
      <c r="L1405" s="41" t="n"/>
      <c r="M1405" s="31">
        <f>IF(COUNT(J1405:L1405)=0,"",MEDIAN(J1405:L1405))</f>
        <v/>
      </c>
      <c r="N1405" s="26">
        <f>IF(COUNTIFS($C:$C,$C1405,$D:$D,$D1405,$E:$E,"P0(전)",$M:$M,"&gt;0")&lt;&gt;1,"P0(전) 유효 1개 아님",IF(COUNTIFS($C:$C,$C1405,$D:$D,$D1405,$E:$E,"P0(후)",$M:$M,"&gt;0")&lt;&gt;1,"P0(후) 유효 1개 아님",IF(NOT(AND(ISNUMBER(O1405),ISNUMBER(Q1405),ISNUMBER(I1405))),"시각 결측",IF(Q1405&lt;=O1405,"P0 시각 역전",IF(OR(I1405&lt;O1405,I1405&gt;Q1405),"측정시각 구간 밖","OK")))))</f>
        <v/>
      </c>
      <c r="O1405" s="48">
        <f>IF(COUNTIFS($C:$C,$C1405,$D:$D,$D1405,$E:$E,"P0(전)",$M:$M,"&gt;0")&lt;&gt;1,"",SUMIFS($I:$I,$C:$C,$C1405,$D:$D,$D1405,$E:$E,"P0(전)"))</f>
        <v/>
      </c>
      <c r="P1405" s="31">
        <f>IF(COUNTIFS($C:$C,$C1405,$D:$D,$D1405,$E:$E,"P0(전)",$M:$M,"&gt;0")&lt;&gt;1,"",SUMIFS($M:$M,$C:$C,$C1405,$D:$D,$D1405,$E:$E,"P0(전)"))</f>
        <v/>
      </c>
      <c r="Q1405" s="48">
        <f>IF(COUNTIFS($C:$C,$C1405,$D:$D,$D1405,$E:$E,"P0(후)",$M:$M,"&gt;0")&lt;&gt;1,"",SUMIFS($I:$I,$C:$C,$C1405,$D:$D,$D1405,$E:$E,"P0(후)"))</f>
        <v/>
      </c>
      <c r="R1405" s="31">
        <f>IF(COUNTIFS($C:$C,$C1405,$D:$D,$D1405,$E:$E,"P0(후)",$M:$M,"&gt;0")&lt;&gt;1,"",SUMIFS($M:$M,$C:$C,$C1405,$D:$D,$D1405,$E:$E,"P0(후)"))</f>
        <v/>
      </c>
      <c r="S1405" s="31">
        <f>IF(N1405&lt;&gt;"OK","",P1405+(R1405-P1405)*(I1405-O1405)/(Q1405-O1405))</f>
        <v/>
      </c>
      <c r="T1405" s="31">
        <f>IF(OR(N1405&lt;&gt;"OK",NOT(ISNUMBER(M1405))),"",M1405-S1405)</f>
        <v/>
      </c>
      <c r="U1405" s="49">
        <f>IF(OR(NOT(ISNUMBER(T1405)),IF(ISNUMBER(H1405),H1405,G1405)=0),"",T1405/IF(ISNUMBER(H1405),H1405,G1405))</f>
        <v/>
      </c>
      <c r="V1405" s="49">
        <f>IF(ISNUMBER(U1405),ABS(U1405),"")</f>
        <v/>
      </c>
      <c r="W1405" s="49">
        <f>IF(OR($E1404&lt;&gt;"측정",$C1404&lt;&gt;$C1405,$D1404&lt;&gt;$D1405,NOT(ISNUMBER(M1405)),NOT(ISNUMBER(M1404)),(IF(ISNUMBER(H1405),H1405,G1405)-IF(ISNUMBER(H1404),H1404,G1404))=0),"",(M1405-M1404)/(IF(ISNUMBER(H1405),H1405,G1405)-IF(ISNUMBER(H1404),H1404,G1404)))</f>
        <v/>
      </c>
      <c r="X1405" s="31">
        <f>IF(NOT(AND(ISNUMBER(O1405),ISNUMBER(Q1405))),"",(Q1405-O1405)*1440)</f>
        <v/>
      </c>
      <c r="Y1405" s="29" t="n"/>
      <c r="Z1405" s="29" t="n"/>
      <c r="AA1405" s="29" t="n"/>
      <c r="AB1405" s="32" t="n"/>
      <c r="AC1405" s="32" t="n"/>
    </row>
    <row r="1406">
      <c r="A1406" s="26" t="inlineStr">
        <is>
          <t>S27</t>
        </is>
      </c>
      <c r="B1406" s="26" t="inlineStr">
        <is>
          <t>전의 신규점</t>
        </is>
      </c>
      <c r="C1406" s="26" t="inlineStr">
        <is>
          <t>S27-H북</t>
        </is>
      </c>
      <c r="D1406" s="47" t="n">
        <v>1</v>
      </c>
      <c r="E1406" s="26" t="inlineStr">
        <is>
          <t>측정</t>
        </is>
      </c>
      <c r="F1406" s="26" t="inlineStr">
        <is>
          <t>북</t>
        </is>
      </c>
      <c r="G1406" s="31" t="n">
        <v>8</v>
      </c>
      <c r="H1406" s="30" t="n"/>
      <c r="I1406" s="43" t="n"/>
      <c r="J1406" s="41" t="n"/>
      <c r="K1406" s="41" t="n"/>
      <c r="L1406" s="41" t="n"/>
      <c r="M1406" s="31">
        <f>IF(COUNT(J1406:L1406)=0,"",MEDIAN(J1406:L1406))</f>
        <v/>
      </c>
      <c r="N1406" s="26">
        <f>IF(COUNTIFS($C:$C,$C1406,$D:$D,$D1406,$E:$E,"P0(전)",$M:$M,"&gt;0")&lt;&gt;1,"P0(전) 유효 1개 아님",IF(COUNTIFS($C:$C,$C1406,$D:$D,$D1406,$E:$E,"P0(후)",$M:$M,"&gt;0")&lt;&gt;1,"P0(후) 유효 1개 아님",IF(NOT(AND(ISNUMBER(O1406),ISNUMBER(Q1406),ISNUMBER(I1406))),"시각 결측",IF(Q1406&lt;=O1406,"P0 시각 역전",IF(OR(I1406&lt;O1406,I1406&gt;Q1406),"측정시각 구간 밖","OK")))))</f>
        <v/>
      </c>
      <c r="O1406" s="48">
        <f>IF(COUNTIFS($C:$C,$C1406,$D:$D,$D1406,$E:$E,"P0(전)",$M:$M,"&gt;0")&lt;&gt;1,"",SUMIFS($I:$I,$C:$C,$C1406,$D:$D,$D1406,$E:$E,"P0(전)"))</f>
        <v/>
      </c>
      <c r="P1406" s="31">
        <f>IF(COUNTIFS($C:$C,$C1406,$D:$D,$D1406,$E:$E,"P0(전)",$M:$M,"&gt;0")&lt;&gt;1,"",SUMIFS($M:$M,$C:$C,$C1406,$D:$D,$D1406,$E:$E,"P0(전)"))</f>
        <v/>
      </c>
      <c r="Q1406" s="48">
        <f>IF(COUNTIFS($C:$C,$C1406,$D:$D,$D1406,$E:$E,"P0(후)",$M:$M,"&gt;0")&lt;&gt;1,"",SUMIFS($I:$I,$C:$C,$C1406,$D:$D,$D1406,$E:$E,"P0(후)"))</f>
        <v/>
      </c>
      <c r="R1406" s="31">
        <f>IF(COUNTIFS($C:$C,$C1406,$D:$D,$D1406,$E:$E,"P0(후)",$M:$M,"&gt;0")&lt;&gt;1,"",SUMIFS($M:$M,$C:$C,$C1406,$D:$D,$D1406,$E:$E,"P0(후)"))</f>
        <v/>
      </c>
      <c r="S1406" s="31">
        <f>IF(N1406&lt;&gt;"OK","",P1406+(R1406-P1406)*(I1406-O1406)/(Q1406-O1406))</f>
        <v/>
      </c>
      <c r="T1406" s="31">
        <f>IF(OR(N1406&lt;&gt;"OK",NOT(ISNUMBER(M1406))),"",M1406-S1406)</f>
        <v/>
      </c>
      <c r="U1406" s="49">
        <f>IF(OR(NOT(ISNUMBER(T1406)),IF(ISNUMBER(H1406),H1406,G1406)=0),"",T1406/IF(ISNUMBER(H1406),H1406,G1406))</f>
        <v/>
      </c>
      <c r="V1406" s="49">
        <f>IF(ISNUMBER(U1406),ABS(U1406),"")</f>
        <v/>
      </c>
      <c r="W1406" s="49">
        <f>IF(OR($E1405&lt;&gt;"측정",$C1405&lt;&gt;$C1406,$D1405&lt;&gt;$D1406,NOT(ISNUMBER(M1406)),NOT(ISNUMBER(M1405)),(IF(ISNUMBER(H1406),H1406,G1406)-IF(ISNUMBER(H1405),H1405,G1405))=0),"",(M1406-M1405)/(IF(ISNUMBER(H1406),H1406,G1406)-IF(ISNUMBER(H1405),H1405,G1405)))</f>
        <v/>
      </c>
      <c r="X1406" s="31">
        <f>IF(NOT(AND(ISNUMBER(O1406),ISNUMBER(Q1406))),"",(Q1406-O1406)*1440)</f>
        <v/>
      </c>
      <c r="Y1406" s="29" t="n"/>
      <c r="Z1406" s="29" t="n"/>
      <c r="AA1406" s="29" t="n"/>
      <c r="AB1406" s="32" t="n"/>
      <c r="AC1406" s="32" t="n"/>
    </row>
    <row r="1407">
      <c r="A1407" s="26" t="inlineStr">
        <is>
          <t>S27</t>
        </is>
      </c>
      <c r="B1407" s="26" t="inlineStr">
        <is>
          <t>전의 신규점</t>
        </is>
      </c>
      <c r="C1407" s="26" t="inlineStr">
        <is>
          <t>S27-H북</t>
        </is>
      </c>
      <c r="D1407" s="47" t="n">
        <v>1</v>
      </c>
      <c r="E1407" s="26" t="inlineStr">
        <is>
          <t>측정</t>
        </is>
      </c>
      <c r="F1407" s="26" t="inlineStr">
        <is>
          <t>북</t>
        </is>
      </c>
      <c r="G1407" s="31" t="n">
        <v>9</v>
      </c>
      <c r="H1407" s="30" t="n"/>
      <c r="I1407" s="43" t="n"/>
      <c r="J1407" s="41" t="n"/>
      <c r="K1407" s="41" t="n"/>
      <c r="L1407" s="41" t="n"/>
      <c r="M1407" s="31">
        <f>IF(COUNT(J1407:L1407)=0,"",MEDIAN(J1407:L1407))</f>
        <v/>
      </c>
      <c r="N1407" s="26">
        <f>IF(COUNTIFS($C:$C,$C1407,$D:$D,$D1407,$E:$E,"P0(전)",$M:$M,"&gt;0")&lt;&gt;1,"P0(전) 유효 1개 아님",IF(COUNTIFS($C:$C,$C1407,$D:$D,$D1407,$E:$E,"P0(후)",$M:$M,"&gt;0")&lt;&gt;1,"P0(후) 유효 1개 아님",IF(NOT(AND(ISNUMBER(O1407),ISNUMBER(Q1407),ISNUMBER(I1407))),"시각 결측",IF(Q1407&lt;=O1407,"P0 시각 역전",IF(OR(I1407&lt;O1407,I1407&gt;Q1407),"측정시각 구간 밖","OK")))))</f>
        <v/>
      </c>
      <c r="O1407" s="48">
        <f>IF(COUNTIFS($C:$C,$C1407,$D:$D,$D1407,$E:$E,"P0(전)",$M:$M,"&gt;0")&lt;&gt;1,"",SUMIFS($I:$I,$C:$C,$C1407,$D:$D,$D1407,$E:$E,"P0(전)"))</f>
        <v/>
      </c>
      <c r="P1407" s="31">
        <f>IF(COUNTIFS($C:$C,$C1407,$D:$D,$D1407,$E:$E,"P0(전)",$M:$M,"&gt;0")&lt;&gt;1,"",SUMIFS($M:$M,$C:$C,$C1407,$D:$D,$D1407,$E:$E,"P0(전)"))</f>
        <v/>
      </c>
      <c r="Q1407" s="48">
        <f>IF(COUNTIFS($C:$C,$C1407,$D:$D,$D1407,$E:$E,"P0(후)",$M:$M,"&gt;0")&lt;&gt;1,"",SUMIFS($I:$I,$C:$C,$C1407,$D:$D,$D1407,$E:$E,"P0(후)"))</f>
        <v/>
      </c>
      <c r="R1407" s="31">
        <f>IF(COUNTIFS($C:$C,$C1407,$D:$D,$D1407,$E:$E,"P0(후)",$M:$M,"&gt;0")&lt;&gt;1,"",SUMIFS($M:$M,$C:$C,$C1407,$D:$D,$D1407,$E:$E,"P0(후)"))</f>
        <v/>
      </c>
      <c r="S1407" s="31">
        <f>IF(N1407&lt;&gt;"OK","",P1407+(R1407-P1407)*(I1407-O1407)/(Q1407-O1407))</f>
        <v/>
      </c>
      <c r="T1407" s="31">
        <f>IF(OR(N1407&lt;&gt;"OK",NOT(ISNUMBER(M1407))),"",M1407-S1407)</f>
        <v/>
      </c>
      <c r="U1407" s="49">
        <f>IF(OR(NOT(ISNUMBER(T1407)),IF(ISNUMBER(H1407),H1407,G1407)=0),"",T1407/IF(ISNUMBER(H1407),H1407,G1407))</f>
        <v/>
      </c>
      <c r="V1407" s="49">
        <f>IF(ISNUMBER(U1407),ABS(U1407),"")</f>
        <v/>
      </c>
      <c r="W1407" s="49">
        <f>IF(OR($E1406&lt;&gt;"측정",$C1406&lt;&gt;$C1407,$D1406&lt;&gt;$D1407,NOT(ISNUMBER(M1407)),NOT(ISNUMBER(M1406)),(IF(ISNUMBER(H1407),H1407,G1407)-IF(ISNUMBER(H1406),H1406,G1406))=0),"",(M1407-M1406)/(IF(ISNUMBER(H1407),H1407,G1407)-IF(ISNUMBER(H1406),H1406,G1406)))</f>
        <v/>
      </c>
      <c r="X1407" s="31">
        <f>IF(NOT(AND(ISNUMBER(O1407),ISNUMBER(Q1407))),"",(Q1407-O1407)*1440)</f>
        <v/>
      </c>
      <c r="Y1407" s="29" t="n"/>
      <c r="Z1407" s="29" t="n"/>
      <c r="AA1407" s="29" t="n"/>
      <c r="AB1407" s="32" t="n"/>
      <c r="AC1407" s="32" t="n"/>
    </row>
    <row r="1408">
      <c r="A1408" s="26" t="inlineStr">
        <is>
          <t>S27</t>
        </is>
      </c>
      <c r="B1408" s="26" t="inlineStr">
        <is>
          <t>전의 신규점</t>
        </is>
      </c>
      <c r="C1408" s="26" t="inlineStr">
        <is>
          <t>S27-H북</t>
        </is>
      </c>
      <c r="D1408" s="47" t="n">
        <v>1</v>
      </c>
      <c r="E1408" s="26" t="inlineStr">
        <is>
          <t>측정</t>
        </is>
      </c>
      <c r="F1408" s="26" t="inlineStr">
        <is>
          <t>북</t>
        </is>
      </c>
      <c r="G1408" s="31" t="n">
        <v>10</v>
      </c>
      <c r="H1408" s="30" t="n"/>
      <c r="I1408" s="43" t="n"/>
      <c r="J1408" s="41" t="n"/>
      <c r="K1408" s="41" t="n"/>
      <c r="L1408" s="41" t="n"/>
      <c r="M1408" s="31">
        <f>IF(COUNT(J1408:L1408)=0,"",MEDIAN(J1408:L1408))</f>
        <v/>
      </c>
      <c r="N1408" s="26">
        <f>IF(COUNTIFS($C:$C,$C1408,$D:$D,$D1408,$E:$E,"P0(전)",$M:$M,"&gt;0")&lt;&gt;1,"P0(전) 유효 1개 아님",IF(COUNTIFS($C:$C,$C1408,$D:$D,$D1408,$E:$E,"P0(후)",$M:$M,"&gt;0")&lt;&gt;1,"P0(후) 유효 1개 아님",IF(NOT(AND(ISNUMBER(O1408),ISNUMBER(Q1408),ISNUMBER(I1408))),"시각 결측",IF(Q1408&lt;=O1408,"P0 시각 역전",IF(OR(I1408&lt;O1408,I1408&gt;Q1408),"측정시각 구간 밖","OK")))))</f>
        <v/>
      </c>
      <c r="O1408" s="48">
        <f>IF(COUNTIFS($C:$C,$C1408,$D:$D,$D1408,$E:$E,"P0(전)",$M:$M,"&gt;0")&lt;&gt;1,"",SUMIFS($I:$I,$C:$C,$C1408,$D:$D,$D1408,$E:$E,"P0(전)"))</f>
        <v/>
      </c>
      <c r="P1408" s="31">
        <f>IF(COUNTIFS($C:$C,$C1408,$D:$D,$D1408,$E:$E,"P0(전)",$M:$M,"&gt;0")&lt;&gt;1,"",SUMIFS($M:$M,$C:$C,$C1408,$D:$D,$D1408,$E:$E,"P0(전)"))</f>
        <v/>
      </c>
      <c r="Q1408" s="48">
        <f>IF(COUNTIFS($C:$C,$C1408,$D:$D,$D1408,$E:$E,"P0(후)",$M:$M,"&gt;0")&lt;&gt;1,"",SUMIFS($I:$I,$C:$C,$C1408,$D:$D,$D1408,$E:$E,"P0(후)"))</f>
        <v/>
      </c>
      <c r="R1408" s="31">
        <f>IF(COUNTIFS($C:$C,$C1408,$D:$D,$D1408,$E:$E,"P0(후)",$M:$M,"&gt;0")&lt;&gt;1,"",SUMIFS($M:$M,$C:$C,$C1408,$D:$D,$D1408,$E:$E,"P0(후)"))</f>
        <v/>
      </c>
      <c r="S1408" s="31">
        <f>IF(N1408&lt;&gt;"OK","",P1408+(R1408-P1408)*(I1408-O1408)/(Q1408-O1408))</f>
        <v/>
      </c>
      <c r="T1408" s="31">
        <f>IF(OR(N1408&lt;&gt;"OK",NOT(ISNUMBER(M1408))),"",M1408-S1408)</f>
        <v/>
      </c>
      <c r="U1408" s="49">
        <f>IF(OR(NOT(ISNUMBER(T1408)),IF(ISNUMBER(H1408),H1408,G1408)=0),"",T1408/IF(ISNUMBER(H1408),H1408,G1408))</f>
        <v/>
      </c>
      <c r="V1408" s="49">
        <f>IF(ISNUMBER(U1408),ABS(U1408),"")</f>
        <v/>
      </c>
      <c r="W1408" s="49">
        <f>IF(OR($E1407&lt;&gt;"측정",$C1407&lt;&gt;$C1408,$D1407&lt;&gt;$D1408,NOT(ISNUMBER(M1408)),NOT(ISNUMBER(M1407)),(IF(ISNUMBER(H1408),H1408,G1408)-IF(ISNUMBER(H1407),H1407,G1407))=0),"",(M1408-M1407)/(IF(ISNUMBER(H1408),H1408,G1408)-IF(ISNUMBER(H1407),H1407,G1407)))</f>
        <v/>
      </c>
      <c r="X1408" s="31">
        <f>IF(NOT(AND(ISNUMBER(O1408),ISNUMBER(Q1408))),"",(Q1408-O1408)*1440)</f>
        <v/>
      </c>
      <c r="Y1408" s="29" t="n"/>
      <c r="Z1408" s="29" t="n"/>
      <c r="AA1408" s="29" t="n"/>
      <c r="AB1408" s="32" t="n"/>
      <c r="AC1408" s="32" t="n"/>
    </row>
    <row r="1409">
      <c r="A1409" s="44" t="inlineStr">
        <is>
          <t>S27</t>
        </is>
      </c>
      <c r="B1409" s="44" t="inlineStr">
        <is>
          <t>전의 신규점</t>
        </is>
      </c>
      <c r="C1409" s="44" t="inlineStr">
        <is>
          <t>S27-H북</t>
        </is>
      </c>
      <c r="D1409" s="45" t="n">
        <v>1</v>
      </c>
      <c r="E1409" s="44" t="inlineStr">
        <is>
          <t>P0(후)</t>
        </is>
      </c>
      <c r="F1409" s="44" t="inlineStr">
        <is>
          <t>북</t>
        </is>
      </c>
      <c r="G1409" s="46" t="n"/>
      <c r="H1409" s="30" t="n"/>
      <c r="I1409" s="43" t="n"/>
      <c r="J1409" s="41" t="n"/>
      <c r="K1409" s="41" t="n"/>
      <c r="L1409" s="41" t="n"/>
      <c r="M1409" s="31">
        <f>IF(COUNT(J1409:L1409)=0,"",MEDIAN(J1409:L1409))</f>
        <v/>
      </c>
      <c r="N1409" s="38" t="n"/>
      <c r="O1409" s="38" t="n"/>
      <c r="P1409" s="38" t="n"/>
      <c r="Q1409" s="38" t="n"/>
      <c r="R1409" s="38" t="n"/>
      <c r="S1409" s="38" t="n"/>
      <c r="T1409" s="38" t="n"/>
      <c r="U1409" s="38" t="n"/>
      <c r="V1409" s="38" t="n"/>
      <c r="W1409" s="38" t="n"/>
      <c r="X1409" s="38" t="n"/>
      <c r="Y1409" s="29" t="n"/>
      <c r="Z1409" s="29" t="n"/>
      <c r="AA1409" s="29" t="n"/>
      <c r="AB1409" s="32" t="n"/>
      <c r="AC1409" s="32" t="n"/>
    </row>
    <row r="1410">
      <c r="A1410" s="44" t="inlineStr">
        <is>
          <t>S28</t>
        </is>
      </c>
      <c r="B1410" s="44" t="inlineStr">
        <is>
          <t>이원 신규점</t>
        </is>
      </c>
      <c r="C1410" s="44" t="inlineStr">
        <is>
          <t>S28-H동</t>
        </is>
      </c>
      <c r="D1410" s="45" t="n">
        <v>1</v>
      </c>
      <c r="E1410" s="44" t="inlineStr">
        <is>
          <t>P0(전)</t>
        </is>
      </c>
      <c r="F1410" s="44" t="inlineStr">
        <is>
          <t>동</t>
        </is>
      </c>
      <c r="G1410" s="46" t="n"/>
      <c r="H1410" s="30" t="n"/>
      <c r="I1410" s="43" t="n"/>
      <c r="J1410" s="41" t="n"/>
      <c r="K1410" s="41" t="n"/>
      <c r="L1410" s="41" t="n"/>
      <c r="M1410" s="31">
        <f>IF(COUNT(J1410:L1410)=0,"",MEDIAN(J1410:L1410))</f>
        <v/>
      </c>
      <c r="N1410" s="38" t="n"/>
      <c r="O1410" s="38" t="n"/>
      <c r="P1410" s="38" t="n"/>
      <c r="Q1410" s="38" t="n"/>
      <c r="R1410" s="38" t="n"/>
      <c r="S1410" s="38" t="n"/>
      <c r="T1410" s="38" t="n"/>
      <c r="U1410" s="38" t="n"/>
      <c r="V1410" s="38" t="n"/>
      <c r="W1410" s="38" t="n"/>
      <c r="X1410" s="38" t="n"/>
      <c r="Y1410" s="29" t="n"/>
      <c r="Z1410" s="29" t="n"/>
      <c r="AA1410" s="29" t="n"/>
      <c r="AB1410" s="32" t="n"/>
      <c r="AC1410" s="32" t="n"/>
    </row>
    <row r="1411">
      <c r="A1411" s="26" t="inlineStr">
        <is>
          <t>S28</t>
        </is>
      </c>
      <c r="B1411" s="26" t="inlineStr">
        <is>
          <t>이원 신규점</t>
        </is>
      </c>
      <c r="C1411" s="26" t="inlineStr">
        <is>
          <t>S28-H동</t>
        </is>
      </c>
      <c r="D1411" s="47" t="n">
        <v>1</v>
      </c>
      <c r="E1411" s="26" t="inlineStr">
        <is>
          <t>측정</t>
        </is>
      </c>
      <c r="F1411" s="26" t="inlineStr">
        <is>
          <t>동</t>
        </is>
      </c>
      <c r="G1411" s="31" t="n">
        <v>0.5</v>
      </c>
      <c r="H1411" s="30" t="n"/>
      <c r="I1411" s="43" t="n"/>
      <c r="J1411" s="41" t="n"/>
      <c r="K1411" s="41" t="n"/>
      <c r="L1411" s="41" t="n"/>
      <c r="M1411" s="31">
        <f>IF(COUNT(J1411:L1411)=0,"",MEDIAN(J1411:L1411))</f>
        <v/>
      </c>
      <c r="N1411" s="26">
        <f>IF(COUNTIFS($C:$C,$C1411,$D:$D,$D1411,$E:$E,"P0(전)",$M:$M,"&gt;0")&lt;&gt;1,"P0(전) 유효 1개 아님",IF(COUNTIFS($C:$C,$C1411,$D:$D,$D1411,$E:$E,"P0(후)",$M:$M,"&gt;0")&lt;&gt;1,"P0(후) 유효 1개 아님",IF(NOT(AND(ISNUMBER(O1411),ISNUMBER(Q1411),ISNUMBER(I1411))),"시각 결측",IF(Q1411&lt;=O1411,"P0 시각 역전",IF(OR(I1411&lt;O1411,I1411&gt;Q1411),"측정시각 구간 밖","OK")))))</f>
        <v/>
      </c>
      <c r="O1411" s="48">
        <f>IF(COUNTIFS($C:$C,$C1411,$D:$D,$D1411,$E:$E,"P0(전)",$M:$M,"&gt;0")&lt;&gt;1,"",SUMIFS($I:$I,$C:$C,$C1411,$D:$D,$D1411,$E:$E,"P0(전)"))</f>
        <v/>
      </c>
      <c r="P1411" s="31">
        <f>IF(COUNTIFS($C:$C,$C1411,$D:$D,$D1411,$E:$E,"P0(전)",$M:$M,"&gt;0")&lt;&gt;1,"",SUMIFS($M:$M,$C:$C,$C1411,$D:$D,$D1411,$E:$E,"P0(전)"))</f>
        <v/>
      </c>
      <c r="Q1411" s="48">
        <f>IF(COUNTIFS($C:$C,$C1411,$D:$D,$D1411,$E:$E,"P0(후)",$M:$M,"&gt;0")&lt;&gt;1,"",SUMIFS($I:$I,$C:$C,$C1411,$D:$D,$D1411,$E:$E,"P0(후)"))</f>
        <v/>
      </c>
      <c r="R1411" s="31">
        <f>IF(COUNTIFS($C:$C,$C1411,$D:$D,$D1411,$E:$E,"P0(후)",$M:$M,"&gt;0")&lt;&gt;1,"",SUMIFS($M:$M,$C:$C,$C1411,$D:$D,$D1411,$E:$E,"P0(후)"))</f>
        <v/>
      </c>
      <c r="S1411" s="31">
        <f>IF(N1411&lt;&gt;"OK","",P1411+(R1411-P1411)*(I1411-O1411)/(Q1411-O1411))</f>
        <v/>
      </c>
      <c r="T1411" s="31">
        <f>IF(OR(N1411&lt;&gt;"OK",NOT(ISNUMBER(M1411))),"",M1411-S1411)</f>
        <v/>
      </c>
      <c r="U1411" s="49">
        <f>IF(OR(NOT(ISNUMBER(T1411)),IF(ISNUMBER(H1411),H1411,G1411)=0),"",T1411/IF(ISNUMBER(H1411),H1411,G1411))</f>
        <v/>
      </c>
      <c r="V1411" s="49">
        <f>IF(ISNUMBER(U1411),ABS(U1411),"")</f>
        <v/>
      </c>
      <c r="W1411" s="49">
        <f>IF(OR($E1410&lt;&gt;"측정",$C1410&lt;&gt;$C1411,$D1410&lt;&gt;$D1411,NOT(ISNUMBER(M1411)),NOT(ISNUMBER(M1410)),(IF(ISNUMBER(H1411),H1411,G1411)-IF(ISNUMBER(H1410),H1410,G1410))=0),"",(M1411-M1410)/(IF(ISNUMBER(H1411),H1411,G1411)-IF(ISNUMBER(H1410),H1410,G1410)))</f>
        <v/>
      </c>
      <c r="X1411" s="31">
        <f>IF(NOT(AND(ISNUMBER(O1411),ISNUMBER(Q1411))),"",(Q1411-O1411)*1440)</f>
        <v/>
      </c>
      <c r="Y1411" s="29" t="n"/>
      <c r="Z1411" s="29" t="n"/>
      <c r="AA1411" s="29" t="n"/>
      <c r="AB1411" s="32" t="n"/>
      <c r="AC1411" s="32" t="n"/>
    </row>
    <row r="1412">
      <c r="A1412" s="26" t="inlineStr">
        <is>
          <t>S28</t>
        </is>
      </c>
      <c r="B1412" s="26" t="inlineStr">
        <is>
          <t>이원 신규점</t>
        </is>
      </c>
      <c r="C1412" s="26" t="inlineStr">
        <is>
          <t>S28-H동</t>
        </is>
      </c>
      <c r="D1412" s="47" t="n">
        <v>1</v>
      </c>
      <c r="E1412" s="26" t="inlineStr">
        <is>
          <t>측정</t>
        </is>
      </c>
      <c r="F1412" s="26" t="inlineStr">
        <is>
          <t>동</t>
        </is>
      </c>
      <c r="G1412" s="31" t="n">
        <v>1</v>
      </c>
      <c r="H1412" s="30" t="n"/>
      <c r="I1412" s="43" t="n"/>
      <c r="J1412" s="41" t="n"/>
      <c r="K1412" s="41" t="n"/>
      <c r="L1412" s="41" t="n"/>
      <c r="M1412" s="31">
        <f>IF(COUNT(J1412:L1412)=0,"",MEDIAN(J1412:L1412))</f>
        <v/>
      </c>
      <c r="N1412" s="26">
        <f>IF(COUNTIFS($C:$C,$C1412,$D:$D,$D1412,$E:$E,"P0(전)",$M:$M,"&gt;0")&lt;&gt;1,"P0(전) 유효 1개 아님",IF(COUNTIFS($C:$C,$C1412,$D:$D,$D1412,$E:$E,"P0(후)",$M:$M,"&gt;0")&lt;&gt;1,"P0(후) 유효 1개 아님",IF(NOT(AND(ISNUMBER(O1412),ISNUMBER(Q1412),ISNUMBER(I1412))),"시각 결측",IF(Q1412&lt;=O1412,"P0 시각 역전",IF(OR(I1412&lt;O1412,I1412&gt;Q1412),"측정시각 구간 밖","OK")))))</f>
        <v/>
      </c>
      <c r="O1412" s="48">
        <f>IF(COUNTIFS($C:$C,$C1412,$D:$D,$D1412,$E:$E,"P0(전)",$M:$M,"&gt;0")&lt;&gt;1,"",SUMIFS($I:$I,$C:$C,$C1412,$D:$D,$D1412,$E:$E,"P0(전)"))</f>
        <v/>
      </c>
      <c r="P1412" s="31">
        <f>IF(COUNTIFS($C:$C,$C1412,$D:$D,$D1412,$E:$E,"P0(전)",$M:$M,"&gt;0")&lt;&gt;1,"",SUMIFS($M:$M,$C:$C,$C1412,$D:$D,$D1412,$E:$E,"P0(전)"))</f>
        <v/>
      </c>
      <c r="Q1412" s="48">
        <f>IF(COUNTIFS($C:$C,$C1412,$D:$D,$D1412,$E:$E,"P0(후)",$M:$M,"&gt;0")&lt;&gt;1,"",SUMIFS($I:$I,$C:$C,$C1412,$D:$D,$D1412,$E:$E,"P0(후)"))</f>
        <v/>
      </c>
      <c r="R1412" s="31">
        <f>IF(COUNTIFS($C:$C,$C1412,$D:$D,$D1412,$E:$E,"P0(후)",$M:$M,"&gt;0")&lt;&gt;1,"",SUMIFS($M:$M,$C:$C,$C1412,$D:$D,$D1412,$E:$E,"P0(후)"))</f>
        <v/>
      </c>
      <c r="S1412" s="31">
        <f>IF(N1412&lt;&gt;"OK","",P1412+(R1412-P1412)*(I1412-O1412)/(Q1412-O1412))</f>
        <v/>
      </c>
      <c r="T1412" s="31">
        <f>IF(OR(N1412&lt;&gt;"OK",NOT(ISNUMBER(M1412))),"",M1412-S1412)</f>
        <v/>
      </c>
      <c r="U1412" s="49">
        <f>IF(OR(NOT(ISNUMBER(T1412)),IF(ISNUMBER(H1412),H1412,G1412)=0),"",T1412/IF(ISNUMBER(H1412),H1412,G1412))</f>
        <v/>
      </c>
      <c r="V1412" s="49">
        <f>IF(ISNUMBER(U1412),ABS(U1412),"")</f>
        <v/>
      </c>
      <c r="W1412" s="49">
        <f>IF(OR($E1411&lt;&gt;"측정",$C1411&lt;&gt;$C1412,$D1411&lt;&gt;$D1412,NOT(ISNUMBER(M1412)),NOT(ISNUMBER(M1411)),(IF(ISNUMBER(H1412),H1412,G1412)-IF(ISNUMBER(H1411),H1411,G1411))=0),"",(M1412-M1411)/(IF(ISNUMBER(H1412),H1412,G1412)-IF(ISNUMBER(H1411),H1411,G1411)))</f>
        <v/>
      </c>
      <c r="X1412" s="31">
        <f>IF(NOT(AND(ISNUMBER(O1412),ISNUMBER(Q1412))),"",(Q1412-O1412)*1440)</f>
        <v/>
      </c>
      <c r="Y1412" s="29" t="n"/>
      <c r="Z1412" s="29" t="n"/>
      <c r="AA1412" s="29" t="n"/>
      <c r="AB1412" s="32" t="n"/>
      <c r="AC1412" s="32" t="n"/>
    </row>
    <row r="1413">
      <c r="A1413" s="26" t="inlineStr">
        <is>
          <t>S28</t>
        </is>
      </c>
      <c r="B1413" s="26" t="inlineStr">
        <is>
          <t>이원 신규점</t>
        </is>
      </c>
      <c r="C1413" s="26" t="inlineStr">
        <is>
          <t>S28-H동</t>
        </is>
      </c>
      <c r="D1413" s="47" t="n">
        <v>1</v>
      </c>
      <c r="E1413" s="26" t="inlineStr">
        <is>
          <t>측정</t>
        </is>
      </c>
      <c r="F1413" s="26" t="inlineStr">
        <is>
          <t>동</t>
        </is>
      </c>
      <c r="G1413" s="31" t="n">
        <v>2</v>
      </c>
      <c r="H1413" s="30" t="n"/>
      <c r="I1413" s="43" t="n"/>
      <c r="J1413" s="41" t="n"/>
      <c r="K1413" s="41" t="n"/>
      <c r="L1413" s="41" t="n"/>
      <c r="M1413" s="31">
        <f>IF(COUNT(J1413:L1413)=0,"",MEDIAN(J1413:L1413))</f>
        <v/>
      </c>
      <c r="N1413" s="26">
        <f>IF(COUNTIFS($C:$C,$C1413,$D:$D,$D1413,$E:$E,"P0(전)",$M:$M,"&gt;0")&lt;&gt;1,"P0(전) 유효 1개 아님",IF(COUNTIFS($C:$C,$C1413,$D:$D,$D1413,$E:$E,"P0(후)",$M:$M,"&gt;0")&lt;&gt;1,"P0(후) 유효 1개 아님",IF(NOT(AND(ISNUMBER(O1413),ISNUMBER(Q1413),ISNUMBER(I1413))),"시각 결측",IF(Q1413&lt;=O1413,"P0 시각 역전",IF(OR(I1413&lt;O1413,I1413&gt;Q1413),"측정시각 구간 밖","OK")))))</f>
        <v/>
      </c>
      <c r="O1413" s="48">
        <f>IF(COUNTIFS($C:$C,$C1413,$D:$D,$D1413,$E:$E,"P0(전)",$M:$M,"&gt;0")&lt;&gt;1,"",SUMIFS($I:$I,$C:$C,$C1413,$D:$D,$D1413,$E:$E,"P0(전)"))</f>
        <v/>
      </c>
      <c r="P1413" s="31">
        <f>IF(COUNTIFS($C:$C,$C1413,$D:$D,$D1413,$E:$E,"P0(전)",$M:$M,"&gt;0")&lt;&gt;1,"",SUMIFS($M:$M,$C:$C,$C1413,$D:$D,$D1413,$E:$E,"P0(전)"))</f>
        <v/>
      </c>
      <c r="Q1413" s="48">
        <f>IF(COUNTIFS($C:$C,$C1413,$D:$D,$D1413,$E:$E,"P0(후)",$M:$M,"&gt;0")&lt;&gt;1,"",SUMIFS($I:$I,$C:$C,$C1413,$D:$D,$D1413,$E:$E,"P0(후)"))</f>
        <v/>
      </c>
      <c r="R1413" s="31">
        <f>IF(COUNTIFS($C:$C,$C1413,$D:$D,$D1413,$E:$E,"P0(후)",$M:$M,"&gt;0")&lt;&gt;1,"",SUMIFS($M:$M,$C:$C,$C1413,$D:$D,$D1413,$E:$E,"P0(후)"))</f>
        <v/>
      </c>
      <c r="S1413" s="31">
        <f>IF(N1413&lt;&gt;"OK","",P1413+(R1413-P1413)*(I1413-O1413)/(Q1413-O1413))</f>
        <v/>
      </c>
      <c r="T1413" s="31">
        <f>IF(OR(N1413&lt;&gt;"OK",NOT(ISNUMBER(M1413))),"",M1413-S1413)</f>
        <v/>
      </c>
      <c r="U1413" s="49">
        <f>IF(OR(NOT(ISNUMBER(T1413)),IF(ISNUMBER(H1413),H1413,G1413)=0),"",T1413/IF(ISNUMBER(H1413),H1413,G1413))</f>
        <v/>
      </c>
      <c r="V1413" s="49">
        <f>IF(ISNUMBER(U1413),ABS(U1413),"")</f>
        <v/>
      </c>
      <c r="W1413" s="49">
        <f>IF(OR($E1412&lt;&gt;"측정",$C1412&lt;&gt;$C1413,$D1412&lt;&gt;$D1413,NOT(ISNUMBER(M1413)),NOT(ISNUMBER(M1412)),(IF(ISNUMBER(H1413),H1413,G1413)-IF(ISNUMBER(H1412),H1412,G1412))=0),"",(M1413-M1412)/(IF(ISNUMBER(H1413),H1413,G1413)-IF(ISNUMBER(H1412),H1412,G1412)))</f>
        <v/>
      </c>
      <c r="X1413" s="31">
        <f>IF(NOT(AND(ISNUMBER(O1413),ISNUMBER(Q1413))),"",(Q1413-O1413)*1440)</f>
        <v/>
      </c>
      <c r="Y1413" s="29" t="n"/>
      <c r="Z1413" s="29" t="n"/>
      <c r="AA1413" s="29" t="n"/>
      <c r="AB1413" s="32" t="n"/>
      <c r="AC1413" s="32" t="n"/>
    </row>
    <row r="1414">
      <c r="A1414" s="26" t="inlineStr">
        <is>
          <t>S28</t>
        </is>
      </c>
      <c r="B1414" s="26" t="inlineStr">
        <is>
          <t>이원 신규점</t>
        </is>
      </c>
      <c r="C1414" s="26" t="inlineStr">
        <is>
          <t>S28-H동</t>
        </is>
      </c>
      <c r="D1414" s="47" t="n">
        <v>1</v>
      </c>
      <c r="E1414" s="26" t="inlineStr">
        <is>
          <t>측정</t>
        </is>
      </c>
      <c r="F1414" s="26" t="inlineStr">
        <is>
          <t>동</t>
        </is>
      </c>
      <c r="G1414" s="31" t="n">
        <v>3</v>
      </c>
      <c r="H1414" s="30" t="n"/>
      <c r="I1414" s="43" t="n"/>
      <c r="J1414" s="41" t="n"/>
      <c r="K1414" s="41" t="n"/>
      <c r="L1414" s="41" t="n"/>
      <c r="M1414" s="31">
        <f>IF(COUNT(J1414:L1414)=0,"",MEDIAN(J1414:L1414))</f>
        <v/>
      </c>
      <c r="N1414" s="26">
        <f>IF(COUNTIFS($C:$C,$C1414,$D:$D,$D1414,$E:$E,"P0(전)",$M:$M,"&gt;0")&lt;&gt;1,"P0(전) 유효 1개 아님",IF(COUNTIFS($C:$C,$C1414,$D:$D,$D1414,$E:$E,"P0(후)",$M:$M,"&gt;0")&lt;&gt;1,"P0(후) 유효 1개 아님",IF(NOT(AND(ISNUMBER(O1414),ISNUMBER(Q1414),ISNUMBER(I1414))),"시각 결측",IF(Q1414&lt;=O1414,"P0 시각 역전",IF(OR(I1414&lt;O1414,I1414&gt;Q1414),"측정시각 구간 밖","OK")))))</f>
        <v/>
      </c>
      <c r="O1414" s="48">
        <f>IF(COUNTIFS($C:$C,$C1414,$D:$D,$D1414,$E:$E,"P0(전)",$M:$M,"&gt;0")&lt;&gt;1,"",SUMIFS($I:$I,$C:$C,$C1414,$D:$D,$D1414,$E:$E,"P0(전)"))</f>
        <v/>
      </c>
      <c r="P1414" s="31">
        <f>IF(COUNTIFS($C:$C,$C1414,$D:$D,$D1414,$E:$E,"P0(전)",$M:$M,"&gt;0")&lt;&gt;1,"",SUMIFS($M:$M,$C:$C,$C1414,$D:$D,$D1414,$E:$E,"P0(전)"))</f>
        <v/>
      </c>
      <c r="Q1414" s="48">
        <f>IF(COUNTIFS($C:$C,$C1414,$D:$D,$D1414,$E:$E,"P0(후)",$M:$M,"&gt;0")&lt;&gt;1,"",SUMIFS($I:$I,$C:$C,$C1414,$D:$D,$D1414,$E:$E,"P0(후)"))</f>
        <v/>
      </c>
      <c r="R1414" s="31">
        <f>IF(COUNTIFS($C:$C,$C1414,$D:$D,$D1414,$E:$E,"P0(후)",$M:$M,"&gt;0")&lt;&gt;1,"",SUMIFS($M:$M,$C:$C,$C1414,$D:$D,$D1414,$E:$E,"P0(후)"))</f>
        <v/>
      </c>
      <c r="S1414" s="31">
        <f>IF(N1414&lt;&gt;"OK","",P1414+(R1414-P1414)*(I1414-O1414)/(Q1414-O1414))</f>
        <v/>
      </c>
      <c r="T1414" s="31">
        <f>IF(OR(N1414&lt;&gt;"OK",NOT(ISNUMBER(M1414))),"",M1414-S1414)</f>
        <v/>
      </c>
      <c r="U1414" s="49">
        <f>IF(OR(NOT(ISNUMBER(T1414)),IF(ISNUMBER(H1414),H1414,G1414)=0),"",T1414/IF(ISNUMBER(H1414),H1414,G1414))</f>
        <v/>
      </c>
      <c r="V1414" s="49">
        <f>IF(ISNUMBER(U1414),ABS(U1414),"")</f>
        <v/>
      </c>
      <c r="W1414" s="49">
        <f>IF(OR($E1413&lt;&gt;"측정",$C1413&lt;&gt;$C1414,$D1413&lt;&gt;$D1414,NOT(ISNUMBER(M1414)),NOT(ISNUMBER(M1413)),(IF(ISNUMBER(H1414),H1414,G1414)-IF(ISNUMBER(H1413),H1413,G1413))=0),"",(M1414-M1413)/(IF(ISNUMBER(H1414),H1414,G1414)-IF(ISNUMBER(H1413),H1413,G1413)))</f>
        <v/>
      </c>
      <c r="X1414" s="31">
        <f>IF(NOT(AND(ISNUMBER(O1414),ISNUMBER(Q1414))),"",(Q1414-O1414)*1440)</f>
        <v/>
      </c>
      <c r="Y1414" s="29" t="n"/>
      <c r="Z1414" s="29" t="n"/>
      <c r="AA1414" s="29" t="n"/>
      <c r="AB1414" s="32" t="n"/>
      <c r="AC1414" s="32" t="n"/>
    </row>
    <row r="1415">
      <c r="A1415" s="26" t="inlineStr">
        <is>
          <t>S28</t>
        </is>
      </c>
      <c r="B1415" s="26" t="inlineStr">
        <is>
          <t>이원 신규점</t>
        </is>
      </c>
      <c r="C1415" s="26" t="inlineStr">
        <is>
          <t>S28-H동</t>
        </is>
      </c>
      <c r="D1415" s="47" t="n">
        <v>1</v>
      </c>
      <c r="E1415" s="26" t="inlineStr">
        <is>
          <t>측정</t>
        </is>
      </c>
      <c r="F1415" s="26" t="inlineStr">
        <is>
          <t>동</t>
        </is>
      </c>
      <c r="G1415" s="31" t="n">
        <v>4</v>
      </c>
      <c r="H1415" s="30" t="n"/>
      <c r="I1415" s="43" t="n"/>
      <c r="J1415" s="41" t="n"/>
      <c r="K1415" s="41" t="n"/>
      <c r="L1415" s="41" t="n"/>
      <c r="M1415" s="31">
        <f>IF(COUNT(J1415:L1415)=0,"",MEDIAN(J1415:L1415))</f>
        <v/>
      </c>
      <c r="N1415" s="26">
        <f>IF(COUNTIFS($C:$C,$C1415,$D:$D,$D1415,$E:$E,"P0(전)",$M:$M,"&gt;0")&lt;&gt;1,"P0(전) 유효 1개 아님",IF(COUNTIFS($C:$C,$C1415,$D:$D,$D1415,$E:$E,"P0(후)",$M:$M,"&gt;0")&lt;&gt;1,"P0(후) 유효 1개 아님",IF(NOT(AND(ISNUMBER(O1415),ISNUMBER(Q1415),ISNUMBER(I1415))),"시각 결측",IF(Q1415&lt;=O1415,"P0 시각 역전",IF(OR(I1415&lt;O1415,I1415&gt;Q1415),"측정시각 구간 밖","OK")))))</f>
        <v/>
      </c>
      <c r="O1415" s="48">
        <f>IF(COUNTIFS($C:$C,$C1415,$D:$D,$D1415,$E:$E,"P0(전)",$M:$M,"&gt;0")&lt;&gt;1,"",SUMIFS($I:$I,$C:$C,$C1415,$D:$D,$D1415,$E:$E,"P0(전)"))</f>
        <v/>
      </c>
      <c r="P1415" s="31">
        <f>IF(COUNTIFS($C:$C,$C1415,$D:$D,$D1415,$E:$E,"P0(전)",$M:$M,"&gt;0")&lt;&gt;1,"",SUMIFS($M:$M,$C:$C,$C1415,$D:$D,$D1415,$E:$E,"P0(전)"))</f>
        <v/>
      </c>
      <c r="Q1415" s="48">
        <f>IF(COUNTIFS($C:$C,$C1415,$D:$D,$D1415,$E:$E,"P0(후)",$M:$M,"&gt;0")&lt;&gt;1,"",SUMIFS($I:$I,$C:$C,$C1415,$D:$D,$D1415,$E:$E,"P0(후)"))</f>
        <v/>
      </c>
      <c r="R1415" s="31">
        <f>IF(COUNTIFS($C:$C,$C1415,$D:$D,$D1415,$E:$E,"P0(후)",$M:$M,"&gt;0")&lt;&gt;1,"",SUMIFS($M:$M,$C:$C,$C1415,$D:$D,$D1415,$E:$E,"P0(후)"))</f>
        <v/>
      </c>
      <c r="S1415" s="31">
        <f>IF(N1415&lt;&gt;"OK","",P1415+(R1415-P1415)*(I1415-O1415)/(Q1415-O1415))</f>
        <v/>
      </c>
      <c r="T1415" s="31">
        <f>IF(OR(N1415&lt;&gt;"OK",NOT(ISNUMBER(M1415))),"",M1415-S1415)</f>
        <v/>
      </c>
      <c r="U1415" s="49">
        <f>IF(OR(NOT(ISNUMBER(T1415)),IF(ISNUMBER(H1415),H1415,G1415)=0),"",T1415/IF(ISNUMBER(H1415),H1415,G1415))</f>
        <v/>
      </c>
      <c r="V1415" s="49">
        <f>IF(ISNUMBER(U1415),ABS(U1415),"")</f>
        <v/>
      </c>
      <c r="W1415" s="49">
        <f>IF(OR($E1414&lt;&gt;"측정",$C1414&lt;&gt;$C1415,$D1414&lt;&gt;$D1415,NOT(ISNUMBER(M1415)),NOT(ISNUMBER(M1414)),(IF(ISNUMBER(H1415),H1415,G1415)-IF(ISNUMBER(H1414),H1414,G1414))=0),"",(M1415-M1414)/(IF(ISNUMBER(H1415),H1415,G1415)-IF(ISNUMBER(H1414),H1414,G1414)))</f>
        <v/>
      </c>
      <c r="X1415" s="31">
        <f>IF(NOT(AND(ISNUMBER(O1415),ISNUMBER(Q1415))),"",(Q1415-O1415)*1440)</f>
        <v/>
      </c>
      <c r="Y1415" s="29" t="n"/>
      <c r="Z1415" s="29" t="n"/>
      <c r="AA1415" s="29" t="n"/>
      <c r="AB1415" s="32" t="n"/>
      <c r="AC1415" s="32" t="n"/>
    </row>
    <row r="1416">
      <c r="A1416" s="26" t="inlineStr">
        <is>
          <t>S28</t>
        </is>
      </c>
      <c r="B1416" s="26" t="inlineStr">
        <is>
          <t>이원 신규점</t>
        </is>
      </c>
      <c r="C1416" s="26" t="inlineStr">
        <is>
          <t>S28-H동</t>
        </is>
      </c>
      <c r="D1416" s="47" t="n">
        <v>1</v>
      </c>
      <c r="E1416" s="26" t="inlineStr">
        <is>
          <t>측정</t>
        </is>
      </c>
      <c r="F1416" s="26" t="inlineStr">
        <is>
          <t>동</t>
        </is>
      </c>
      <c r="G1416" s="31" t="n">
        <v>5</v>
      </c>
      <c r="H1416" s="30" t="n"/>
      <c r="I1416" s="43" t="n"/>
      <c r="J1416" s="41" t="n"/>
      <c r="K1416" s="41" t="n"/>
      <c r="L1416" s="41" t="n"/>
      <c r="M1416" s="31">
        <f>IF(COUNT(J1416:L1416)=0,"",MEDIAN(J1416:L1416))</f>
        <v/>
      </c>
      <c r="N1416" s="26">
        <f>IF(COUNTIFS($C:$C,$C1416,$D:$D,$D1416,$E:$E,"P0(전)",$M:$M,"&gt;0")&lt;&gt;1,"P0(전) 유효 1개 아님",IF(COUNTIFS($C:$C,$C1416,$D:$D,$D1416,$E:$E,"P0(후)",$M:$M,"&gt;0")&lt;&gt;1,"P0(후) 유효 1개 아님",IF(NOT(AND(ISNUMBER(O1416),ISNUMBER(Q1416),ISNUMBER(I1416))),"시각 결측",IF(Q1416&lt;=O1416,"P0 시각 역전",IF(OR(I1416&lt;O1416,I1416&gt;Q1416),"측정시각 구간 밖","OK")))))</f>
        <v/>
      </c>
      <c r="O1416" s="48">
        <f>IF(COUNTIFS($C:$C,$C1416,$D:$D,$D1416,$E:$E,"P0(전)",$M:$M,"&gt;0")&lt;&gt;1,"",SUMIFS($I:$I,$C:$C,$C1416,$D:$D,$D1416,$E:$E,"P0(전)"))</f>
        <v/>
      </c>
      <c r="P1416" s="31">
        <f>IF(COUNTIFS($C:$C,$C1416,$D:$D,$D1416,$E:$E,"P0(전)",$M:$M,"&gt;0")&lt;&gt;1,"",SUMIFS($M:$M,$C:$C,$C1416,$D:$D,$D1416,$E:$E,"P0(전)"))</f>
        <v/>
      </c>
      <c r="Q1416" s="48">
        <f>IF(COUNTIFS($C:$C,$C1416,$D:$D,$D1416,$E:$E,"P0(후)",$M:$M,"&gt;0")&lt;&gt;1,"",SUMIFS($I:$I,$C:$C,$C1416,$D:$D,$D1416,$E:$E,"P0(후)"))</f>
        <v/>
      </c>
      <c r="R1416" s="31">
        <f>IF(COUNTIFS($C:$C,$C1416,$D:$D,$D1416,$E:$E,"P0(후)",$M:$M,"&gt;0")&lt;&gt;1,"",SUMIFS($M:$M,$C:$C,$C1416,$D:$D,$D1416,$E:$E,"P0(후)"))</f>
        <v/>
      </c>
      <c r="S1416" s="31">
        <f>IF(N1416&lt;&gt;"OK","",P1416+(R1416-P1416)*(I1416-O1416)/(Q1416-O1416))</f>
        <v/>
      </c>
      <c r="T1416" s="31">
        <f>IF(OR(N1416&lt;&gt;"OK",NOT(ISNUMBER(M1416))),"",M1416-S1416)</f>
        <v/>
      </c>
      <c r="U1416" s="49">
        <f>IF(OR(NOT(ISNUMBER(T1416)),IF(ISNUMBER(H1416),H1416,G1416)=0),"",T1416/IF(ISNUMBER(H1416),H1416,G1416))</f>
        <v/>
      </c>
      <c r="V1416" s="49">
        <f>IF(ISNUMBER(U1416),ABS(U1416),"")</f>
        <v/>
      </c>
      <c r="W1416" s="49">
        <f>IF(OR($E1415&lt;&gt;"측정",$C1415&lt;&gt;$C1416,$D1415&lt;&gt;$D1416,NOT(ISNUMBER(M1416)),NOT(ISNUMBER(M1415)),(IF(ISNUMBER(H1416),H1416,G1416)-IF(ISNUMBER(H1415),H1415,G1415))=0),"",(M1416-M1415)/(IF(ISNUMBER(H1416),H1416,G1416)-IF(ISNUMBER(H1415),H1415,G1415)))</f>
        <v/>
      </c>
      <c r="X1416" s="31">
        <f>IF(NOT(AND(ISNUMBER(O1416),ISNUMBER(Q1416))),"",(Q1416-O1416)*1440)</f>
        <v/>
      </c>
      <c r="Y1416" s="29" t="n"/>
      <c r="Z1416" s="29" t="n"/>
      <c r="AA1416" s="29" t="n"/>
      <c r="AB1416" s="32" t="n"/>
      <c r="AC1416" s="32" t="n"/>
    </row>
    <row r="1417">
      <c r="A1417" s="26" t="inlineStr">
        <is>
          <t>S28</t>
        </is>
      </c>
      <c r="B1417" s="26" t="inlineStr">
        <is>
          <t>이원 신규점</t>
        </is>
      </c>
      <c r="C1417" s="26" t="inlineStr">
        <is>
          <t>S28-H동</t>
        </is>
      </c>
      <c r="D1417" s="47" t="n">
        <v>1</v>
      </c>
      <c r="E1417" s="26" t="inlineStr">
        <is>
          <t>측정</t>
        </is>
      </c>
      <c r="F1417" s="26" t="inlineStr">
        <is>
          <t>동</t>
        </is>
      </c>
      <c r="G1417" s="31" t="n">
        <v>6</v>
      </c>
      <c r="H1417" s="30" t="n"/>
      <c r="I1417" s="43" t="n"/>
      <c r="J1417" s="41" t="n"/>
      <c r="K1417" s="41" t="n"/>
      <c r="L1417" s="41" t="n"/>
      <c r="M1417" s="31">
        <f>IF(COUNT(J1417:L1417)=0,"",MEDIAN(J1417:L1417))</f>
        <v/>
      </c>
      <c r="N1417" s="26">
        <f>IF(COUNTIFS($C:$C,$C1417,$D:$D,$D1417,$E:$E,"P0(전)",$M:$M,"&gt;0")&lt;&gt;1,"P0(전) 유효 1개 아님",IF(COUNTIFS($C:$C,$C1417,$D:$D,$D1417,$E:$E,"P0(후)",$M:$M,"&gt;0")&lt;&gt;1,"P0(후) 유효 1개 아님",IF(NOT(AND(ISNUMBER(O1417),ISNUMBER(Q1417),ISNUMBER(I1417))),"시각 결측",IF(Q1417&lt;=O1417,"P0 시각 역전",IF(OR(I1417&lt;O1417,I1417&gt;Q1417),"측정시각 구간 밖","OK")))))</f>
        <v/>
      </c>
      <c r="O1417" s="48">
        <f>IF(COUNTIFS($C:$C,$C1417,$D:$D,$D1417,$E:$E,"P0(전)",$M:$M,"&gt;0")&lt;&gt;1,"",SUMIFS($I:$I,$C:$C,$C1417,$D:$D,$D1417,$E:$E,"P0(전)"))</f>
        <v/>
      </c>
      <c r="P1417" s="31">
        <f>IF(COUNTIFS($C:$C,$C1417,$D:$D,$D1417,$E:$E,"P0(전)",$M:$M,"&gt;0")&lt;&gt;1,"",SUMIFS($M:$M,$C:$C,$C1417,$D:$D,$D1417,$E:$E,"P0(전)"))</f>
        <v/>
      </c>
      <c r="Q1417" s="48">
        <f>IF(COUNTIFS($C:$C,$C1417,$D:$D,$D1417,$E:$E,"P0(후)",$M:$M,"&gt;0")&lt;&gt;1,"",SUMIFS($I:$I,$C:$C,$C1417,$D:$D,$D1417,$E:$E,"P0(후)"))</f>
        <v/>
      </c>
      <c r="R1417" s="31">
        <f>IF(COUNTIFS($C:$C,$C1417,$D:$D,$D1417,$E:$E,"P0(후)",$M:$M,"&gt;0")&lt;&gt;1,"",SUMIFS($M:$M,$C:$C,$C1417,$D:$D,$D1417,$E:$E,"P0(후)"))</f>
        <v/>
      </c>
      <c r="S1417" s="31">
        <f>IF(N1417&lt;&gt;"OK","",P1417+(R1417-P1417)*(I1417-O1417)/(Q1417-O1417))</f>
        <v/>
      </c>
      <c r="T1417" s="31">
        <f>IF(OR(N1417&lt;&gt;"OK",NOT(ISNUMBER(M1417))),"",M1417-S1417)</f>
        <v/>
      </c>
      <c r="U1417" s="49">
        <f>IF(OR(NOT(ISNUMBER(T1417)),IF(ISNUMBER(H1417),H1417,G1417)=0),"",T1417/IF(ISNUMBER(H1417),H1417,G1417))</f>
        <v/>
      </c>
      <c r="V1417" s="49">
        <f>IF(ISNUMBER(U1417),ABS(U1417),"")</f>
        <v/>
      </c>
      <c r="W1417" s="49">
        <f>IF(OR($E1416&lt;&gt;"측정",$C1416&lt;&gt;$C1417,$D1416&lt;&gt;$D1417,NOT(ISNUMBER(M1417)),NOT(ISNUMBER(M1416)),(IF(ISNUMBER(H1417),H1417,G1417)-IF(ISNUMBER(H1416),H1416,G1416))=0),"",(M1417-M1416)/(IF(ISNUMBER(H1417),H1417,G1417)-IF(ISNUMBER(H1416),H1416,G1416)))</f>
        <v/>
      </c>
      <c r="X1417" s="31">
        <f>IF(NOT(AND(ISNUMBER(O1417),ISNUMBER(Q1417))),"",(Q1417-O1417)*1440)</f>
        <v/>
      </c>
      <c r="Y1417" s="29" t="n"/>
      <c r="Z1417" s="29" t="n"/>
      <c r="AA1417" s="29" t="n"/>
      <c r="AB1417" s="32" t="n"/>
      <c r="AC1417" s="32" t="n"/>
    </row>
    <row r="1418">
      <c r="A1418" s="26" t="inlineStr">
        <is>
          <t>S28</t>
        </is>
      </c>
      <c r="B1418" s="26" t="inlineStr">
        <is>
          <t>이원 신규점</t>
        </is>
      </c>
      <c r="C1418" s="26" t="inlineStr">
        <is>
          <t>S28-H동</t>
        </is>
      </c>
      <c r="D1418" s="47" t="n">
        <v>1</v>
      </c>
      <c r="E1418" s="26" t="inlineStr">
        <is>
          <t>측정</t>
        </is>
      </c>
      <c r="F1418" s="26" t="inlineStr">
        <is>
          <t>동</t>
        </is>
      </c>
      <c r="G1418" s="31" t="n">
        <v>7</v>
      </c>
      <c r="H1418" s="30" t="n"/>
      <c r="I1418" s="43" t="n"/>
      <c r="J1418" s="41" t="n"/>
      <c r="K1418" s="41" t="n"/>
      <c r="L1418" s="41" t="n"/>
      <c r="M1418" s="31">
        <f>IF(COUNT(J1418:L1418)=0,"",MEDIAN(J1418:L1418))</f>
        <v/>
      </c>
      <c r="N1418" s="26">
        <f>IF(COUNTIFS($C:$C,$C1418,$D:$D,$D1418,$E:$E,"P0(전)",$M:$M,"&gt;0")&lt;&gt;1,"P0(전) 유효 1개 아님",IF(COUNTIFS($C:$C,$C1418,$D:$D,$D1418,$E:$E,"P0(후)",$M:$M,"&gt;0")&lt;&gt;1,"P0(후) 유효 1개 아님",IF(NOT(AND(ISNUMBER(O1418),ISNUMBER(Q1418),ISNUMBER(I1418))),"시각 결측",IF(Q1418&lt;=O1418,"P0 시각 역전",IF(OR(I1418&lt;O1418,I1418&gt;Q1418),"측정시각 구간 밖","OK")))))</f>
        <v/>
      </c>
      <c r="O1418" s="48">
        <f>IF(COUNTIFS($C:$C,$C1418,$D:$D,$D1418,$E:$E,"P0(전)",$M:$M,"&gt;0")&lt;&gt;1,"",SUMIFS($I:$I,$C:$C,$C1418,$D:$D,$D1418,$E:$E,"P0(전)"))</f>
        <v/>
      </c>
      <c r="P1418" s="31">
        <f>IF(COUNTIFS($C:$C,$C1418,$D:$D,$D1418,$E:$E,"P0(전)",$M:$M,"&gt;0")&lt;&gt;1,"",SUMIFS($M:$M,$C:$C,$C1418,$D:$D,$D1418,$E:$E,"P0(전)"))</f>
        <v/>
      </c>
      <c r="Q1418" s="48">
        <f>IF(COUNTIFS($C:$C,$C1418,$D:$D,$D1418,$E:$E,"P0(후)",$M:$M,"&gt;0")&lt;&gt;1,"",SUMIFS($I:$I,$C:$C,$C1418,$D:$D,$D1418,$E:$E,"P0(후)"))</f>
        <v/>
      </c>
      <c r="R1418" s="31">
        <f>IF(COUNTIFS($C:$C,$C1418,$D:$D,$D1418,$E:$E,"P0(후)",$M:$M,"&gt;0")&lt;&gt;1,"",SUMIFS($M:$M,$C:$C,$C1418,$D:$D,$D1418,$E:$E,"P0(후)"))</f>
        <v/>
      </c>
      <c r="S1418" s="31">
        <f>IF(N1418&lt;&gt;"OK","",P1418+(R1418-P1418)*(I1418-O1418)/(Q1418-O1418))</f>
        <v/>
      </c>
      <c r="T1418" s="31">
        <f>IF(OR(N1418&lt;&gt;"OK",NOT(ISNUMBER(M1418))),"",M1418-S1418)</f>
        <v/>
      </c>
      <c r="U1418" s="49">
        <f>IF(OR(NOT(ISNUMBER(T1418)),IF(ISNUMBER(H1418),H1418,G1418)=0),"",T1418/IF(ISNUMBER(H1418),H1418,G1418))</f>
        <v/>
      </c>
      <c r="V1418" s="49">
        <f>IF(ISNUMBER(U1418),ABS(U1418),"")</f>
        <v/>
      </c>
      <c r="W1418" s="49">
        <f>IF(OR($E1417&lt;&gt;"측정",$C1417&lt;&gt;$C1418,$D1417&lt;&gt;$D1418,NOT(ISNUMBER(M1418)),NOT(ISNUMBER(M1417)),(IF(ISNUMBER(H1418),H1418,G1418)-IF(ISNUMBER(H1417),H1417,G1417))=0),"",(M1418-M1417)/(IF(ISNUMBER(H1418),H1418,G1418)-IF(ISNUMBER(H1417),H1417,G1417)))</f>
        <v/>
      </c>
      <c r="X1418" s="31">
        <f>IF(NOT(AND(ISNUMBER(O1418),ISNUMBER(Q1418))),"",(Q1418-O1418)*1440)</f>
        <v/>
      </c>
      <c r="Y1418" s="29" t="n"/>
      <c r="Z1418" s="29" t="n"/>
      <c r="AA1418" s="29" t="n"/>
      <c r="AB1418" s="32" t="n"/>
      <c r="AC1418" s="32" t="n"/>
    </row>
    <row r="1419">
      <c r="A1419" s="26" t="inlineStr">
        <is>
          <t>S28</t>
        </is>
      </c>
      <c r="B1419" s="26" t="inlineStr">
        <is>
          <t>이원 신규점</t>
        </is>
      </c>
      <c r="C1419" s="26" t="inlineStr">
        <is>
          <t>S28-H동</t>
        </is>
      </c>
      <c r="D1419" s="47" t="n">
        <v>1</v>
      </c>
      <c r="E1419" s="26" t="inlineStr">
        <is>
          <t>측정</t>
        </is>
      </c>
      <c r="F1419" s="26" t="inlineStr">
        <is>
          <t>동</t>
        </is>
      </c>
      <c r="G1419" s="31" t="n">
        <v>8</v>
      </c>
      <c r="H1419" s="30" t="n"/>
      <c r="I1419" s="43" t="n"/>
      <c r="J1419" s="41" t="n"/>
      <c r="K1419" s="41" t="n"/>
      <c r="L1419" s="41" t="n"/>
      <c r="M1419" s="31">
        <f>IF(COUNT(J1419:L1419)=0,"",MEDIAN(J1419:L1419))</f>
        <v/>
      </c>
      <c r="N1419" s="26">
        <f>IF(COUNTIFS($C:$C,$C1419,$D:$D,$D1419,$E:$E,"P0(전)",$M:$M,"&gt;0")&lt;&gt;1,"P0(전) 유효 1개 아님",IF(COUNTIFS($C:$C,$C1419,$D:$D,$D1419,$E:$E,"P0(후)",$M:$M,"&gt;0")&lt;&gt;1,"P0(후) 유효 1개 아님",IF(NOT(AND(ISNUMBER(O1419),ISNUMBER(Q1419),ISNUMBER(I1419))),"시각 결측",IF(Q1419&lt;=O1419,"P0 시각 역전",IF(OR(I1419&lt;O1419,I1419&gt;Q1419),"측정시각 구간 밖","OK")))))</f>
        <v/>
      </c>
      <c r="O1419" s="48">
        <f>IF(COUNTIFS($C:$C,$C1419,$D:$D,$D1419,$E:$E,"P0(전)",$M:$M,"&gt;0")&lt;&gt;1,"",SUMIFS($I:$I,$C:$C,$C1419,$D:$D,$D1419,$E:$E,"P0(전)"))</f>
        <v/>
      </c>
      <c r="P1419" s="31">
        <f>IF(COUNTIFS($C:$C,$C1419,$D:$D,$D1419,$E:$E,"P0(전)",$M:$M,"&gt;0")&lt;&gt;1,"",SUMIFS($M:$M,$C:$C,$C1419,$D:$D,$D1419,$E:$E,"P0(전)"))</f>
        <v/>
      </c>
      <c r="Q1419" s="48">
        <f>IF(COUNTIFS($C:$C,$C1419,$D:$D,$D1419,$E:$E,"P0(후)",$M:$M,"&gt;0")&lt;&gt;1,"",SUMIFS($I:$I,$C:$C,$C1419,$D:$D,$D1419,$E:$E,"P0(후)"))</f>
        <v/>
      </c>
      <c r="R1419" s="31">
        <f>IF(COUNTIFS($C:$C,$C1419,$D:$D,$D1419,$E:$E,"P0(후)",$M:$M,"&gt;0")&lt;&gt;1,"",SUMIFS($M:$M,$C:$C,$C1419,$D:$D,$D1419,$E:$E,"P0(후)"))</f>
        <v/>
      </c>
      <c r="S1419" s="31">
        <f>IF(N1419&lt;&gt;"OK","",P1419+(R1419-P1419)*(I1419-O1419)/(Q1419-O1419))</f>
        <v/>
      </c>
      <c r="T1419" s="31">
        <f>IF(OR(N1419&lt;&gt;"OK",NOT(ISNUMBER(M1419))),"",M1419-S1419)</f>
        <v/>
      </c>
      <c r="U1419" s="49">
        <f>IF(OR(NOT(ISNUMBER(T1419)),IF(ISNUMBER(H1419),H1419,G1419)=0),"",T1419/IF(ISNUMBER(H1419),H1419,G1419))</f>
        <v/>
      </c>
      <c r="V1419" s="49">
        <f>IF(ISNUMBER(U1419),ABS(U1419),"")</f>
        <v/>
      </c>
      <c r="W1419" s="49">
        <f>IF(OR($E1418&lt;&gt;"측정",$C1418&lt;&gt;$C1419,$D1418&lt;&gt;$D1419,NOT(ISNUMBER(M1419)),NOT(ISNUMBER(M1418)),(IF(ISNUMBER(H1419),H1419,G1419)-IF(ISNUMBER(H1418),H1418,G1418))=0),"",(M1419-M1418)/(IF(ISNUMBER(H1419),H1419,G1419)-IF(ISNUMBER(H1418),H1418,G1418)))</f>
        <v/>
      </c>
      <c r="X1419" s="31">
        <f>IF(NOT(AND(ISNUMBER(O1419),ISNUMBER(Q1419))),"",(Q1419-O1419)*1440)</f>
        <v/>
      </c>
      <c r="Y1419" s="29" t="n"/>
      <c r="Z1419" s="29" t="n"/>
      <c r="AA1419" s="29" t="n"/>
      <c r="AB1419" s="32" t="n"/>
      <c r="AC1419" s="32" t="n"/>
    </row>
    <row r="1420">
      <c r="A1420" s="26" t="inlineStr">
        <is>
          <t>S28</t>
        </is>
      </c>
      <c r="B1420" s="26" t="inlineStr">
        <is>
          <t>이원 신규점</t>
        </is>
      </c>
      <c r="C1420" s="26" t="inlineStr">
        <is>
          <t>S28-H동</t>
        </is>
      </c>
      <c r="D1420" s="47" t="n">
        <v>1</v>
      </c>
      <c r="E1420" s="26" t="inlineStr">
        <is>
          <t>측정</t>
        </is>
      </c>
      <c r="F1420" s="26" t="inlineStr">
        <is>
          <t>동</t>
        </is>
      </c>
      <c r="G1420" s="31" t="n">
        <v>9</v>
      </c>
      <c r="H1420" s="30" t="n"/>
      <c r="I1420" s="43" t="n"/>
      <c r="J1420" s="41" t="n"/>
      <c r="K1420" s="41" t="n"/>
      <c r="L1420" s="41" t="n"/>
      <c r="M1420" s="31">
        <f>IF(COUNT(J1420:L1420)=0,"",MEDIAN(J1420:L1420))</f>
        <v/>
      </c>
      <c r="N1420" s="26">
        <f>IF(COUNTIFS($C:$C,$C1420,$D:$D,$D1420,$E:$E,"P0(전)",$M:$M,"&gt;0")&lt;&gt;1,"P0(전) 유효 1개 아님",IF(COUNTIFS($C:$C,$C1420,$D:$D,$D1420,$E:$E,"P0(후)",$M:$M,"&gt;0")&lt;&gt;1,"P0(후) 유효 1개 아님",IF(NOT(AND(ISNUMBER(O1420),ISNUMBER(Q1420),ISNUMBER(I1420))),"시각 결측",IF(Q1420&lt;=O1420,"P0 시각 역전",IF(OR(I1420&lt;O1420,I1420&gt;Q1420),"측정시각 구간 밖","OK")))))</f>
        <v/>
      </c>
      <c r="O1420" s="48">
        <f>IF(COUNTIFS($C:$C,$C1420,$D:$D,$D1420,$E:$E,"P0(전)",$M:$M,"&gt;0")&lt;&gt;1,"",SUMIFS($I:$I,$C:$C,$C1420,$D:$D,$D1420,$E:$E,"P0(전)"))</f>
        <v/>
      </c>
      <c r="P1420" s="31">
        <f>IF(COUNTIFS($C:$C,$C1420,$D:$D,$D1420,$E:$E,"P0(전)",$M:$M,"&gt;0")&lt;&gt;1,"",SUMIFS($M:$M,$C:$C,$C1420,$D:$D,$D1420,$E:$E,"P0(전)"))</f>
        <v/>
      </c>
      <c r="Q1420" s="48">
        <f>IF(COUNTIFS($C:$C,$C1420,$D:$D,$D1420,$E:$E,"P0(후)",$M:$M,"&gt;0")&lt;&gt;1,"",SUMIFS($I:$I,$C:$C,$C1420,$D:$D,$D1420,$E:$E,"P0(후)"))</f>
        <v/>
      </c>
      <c r="R1420" s="31">
        <f>IF(COUNTIFS($C:$C,$C1420,$D:$D,$D1420,$E:$E,"P0(후)",$M:$M,"&gt;0")&lt;&gt;1,"",SUMIFS($M:$M,$C:$C,$C1420,$D:$D,$D1420,$E:$E,"P0(후)"))</f>
        <v/>
      </c>
      <c r="S1420" s="31">
        <f>IF(N1420&lt;&gt;"OK","",P1420+(R1420-P1420)*(I1420-O1420)/(Q1420-O1420))</f>
        <v/>
      </c>
      <c r="T1420" s="31">
        <f>IF(OR(N1420&lt;&gt;"OK",NOT(ISNUMBER(M1420))),"",M1420-S1420)</f>
        <v/>
      </c>
      <c r="U1420" s="49">
        <f>IF(OR(NOT(ISNUMBER(T1420)),IF(ISNUMBER(H1420),H1420,G1420)=0),"",T1420/IF(ISNUMBER(H1420),H1420,G1420))</f>
        <v/>
      </c>
      <c r="V1420" s="49">
        <f>IF(ISNUMBER(U1420),ABS(U1420),"")</f>
        <v/>
      </c>
      <c r="W1420" s="49">
        <f>IF(OR($E1419&lt;&gt;"측정",$C1419&lt;&gt;$C1420,$D1419&lt;&gt;$D1420,NOT(ISNUMBER(M1420)),NOT(ISNUMBER(M1419)),(IF(ISNUMBER(H1420),H1420,G1420)-IF(ISNUMBER(H1419),H1419,G1419))=0),"",(M1420-M1419)/(IF(ISNUMBER(H1420),H1420,G1420)-IF(ISNUMBER(H1419),H1419,G1419)))</f>
        <v/>
      </c>
      <c r="X1420" s="31">
        <f>IF(NOT(AND(ISNUMBER(O1420),ISNUMBER(Q1420))),"",(Q1420-O1420)*1440)</f>
        <v/>
      </c>
      <c r="Y1420" s="29" t="n"/>
      <c r="Z1420" s="29" t="n"/>
      <c r="AA1420" s="29" t="n"/>
      <c r="AB1420" s="32" t="n"/>
      <c r="AC1420" s="32" t="n"/>
    </row>
    <row r="1421">
      <c r="A1421" s="26" t="inlineStr">
        <is>
          <t>S28</t>
        </is>
      </c>
      <c r="B1421" s="26" t="inlineStr">
        <is>
          <t>이원 신규점</t>
        </is>
      </c>
      <c r="C1421" s="26" t="inlineStr">
        <is>
          <t>S28-H동</t>
        </is>
      </c>
      <c r="D1421" s="47" t="n">
        <v>1</v>
      </c>
      <c r="E1421" s="26" t="inlineStr">
        <is>
          <t>측정</t>
        </is>
      </c>
      <c r="F1421" s="26" t="inlineStr">
        <is>
          <t>동</t>
        </is>
      </c>
      <c r="G1421" s="31" t="n">
        <v>10</v>
      </c>
      <c r="H1421" s="30" t="n"/>
      <c r="I1421" s="43" t="n"/>
      <c r="J1421" s="41" t="n"/>
      <c r="K1421" s="41" t="n"/>
      <c r="L1421" s="41" t="n"/>
      <c r="M1421" s="31">
        <f>IF(COUNT(J1421:L1421)=0,"",MEDIAN(J1421:L1421))</f>
        <v/>
      </c>
      <c r="N1421" s="26">
        <f>IF(COUNTIFS($C:$C,$C1421,$D:$D,$D1421,$E:$E,"P0(전)",$M:$M,"&gt;0")&lt;&gt;1,"P0(전) 유효 1개 아님",IF(COUNTIFS($C:$C,$C1421,$D:$D,$D1421,$E:$E,"P0(후)",$M:$M,"&gt;0")&lt;&gt;1,"P0(후) 유효 1개 아님",IF(NOT(AND(ISNUMBER(O1421),ISNUMBER(Q1421),ISNUMBER(I1421))),"시각 결측",IF(Q1421&lt;=O1421,"P0 시각 역전",IF(OR(I1421&lt;O1421,I1421&gt;Q1421),"측정시각 구간 밖","OK")))))</f>
        <v/>
      </c>
      <c r="O1421" s="48">
        <f>IF(COUNTIFS($C:$C,$C1421,$D:$D,$D1421,$E:$E,"P0(전)",$M:$M,"&gt;0")&lt;&gt;1,"",SUMIFS($I:$I,$C:$C,$C1421,$D:$D,$D1421,$E:$E,"P0(전)"))</f>
        <v/>
      </c>
      <c r="P1421" s="31">
        <f>IF(COUNTIFS($C:$C,$C1421,$D:$D,$D1421,$E:$E,"P0(전)",$M:$M,"&gt;0")&lt;&gt;1,"",SUMIFS($M:$M,$C:$C,$C1421,$D:$D,$D1421,$E:$E,"P0(전)"))</f>
        <v/>
      </c>
      <c r="Q1421" s="48">
        <f>IF(COUNTIFS($C:$C,$C1421,$D:$D,$D1421,$E:$E,"P0(후)",$M:$M,"&gt;0")&lt;&gt;1,"",SUMIFS($I:$I,$C:$C,$C1421,$D:$D,$D1421,$E:$E,"P0(후)"))</f>
        <v/>
      </c>
      <c r="R1421" s="31">
        <f>IF(COUNTIFS($C:$C,$C1421,$D:$D,$D1421,$E:$E,"P0(후)",$M:$M,"&gt;0")&lt;&gt;1,"",SUMIFS($M:$M,$C:$C,$C1421,$D:$D,$D1421,$E:$E,"P0(후)"))</f>
        <v/>
      </c>
      <c r="S1421" s="31">
        <f>IF(N1421&lt;&gt;"OK","",P1421+(R1421-P1421)*(I1421-O1421)/(Q1421-O1421))</f>
        <v/>
      </c>
      <c r="T1421" s="31">
        <f>IF(OR(N1421&lt;&gt;"OK",NOT(ISNUMBER(M1421))),"",M1421-S1421)</f>
        <v/>
      </c>
      <c r="U1421" s="49">
        <f>IF(OR(NOT(ISNUMBER(T1421)),IF(ISNUMBER(H1421),H1421,G1421)=0),"",T1421/IF(ISNUMBER(H1421),H1421,G1421))</f>
        <v/>
      </c>
      <c r="V1421" s="49">
        <f>IF(ISNUMBER(U1421),ABS(U1421),"")</f>
        <v/>
      </c>
      <c r="W1421" s="49">
        <f>IF(OR($E1420&lt;&gt;"측정",$C1420&lt;&gt;$C1421,$D1420&lt;&gt;$D1421,NOT(ISNUMBER(M1421)),NOT(ISNUMBER(M1420)),(IF(ISNUMBER(H1421),H1421,G1421)-IF(ISNUMBER(H1420),H1420,G1420))=0),"",(M1421-M1420)/(IF(ISNUMBER(H1421),H1421,G1421)-IF(ISNUMBER(H1420),H1420,G1420)))</f>
        <v/>
      </c>
      <c r="X1421" s="31">
        <f>IF(NOT(AND(ISNUMBER(O1421),ISNUMBER(Q1421))),"",(Q1421-O1421)*1440)</f>
        <v/>
      </c>
      <c r="Y1421" s="29" t="n"/>
      <c r="Z1421" s="29" t="n"/>
      <c r="AA1421" s="29" t="n"/>
      <c r="AB1421" s="32" t="n"/>
      <c r="AC1421" s="32" t="n"/>
    </row>
    <row r="1422">
      <c r="A1422" s="44" t="inlineStr">
        <is>
          <t>S28</t>
        </is>
      </c>
      <c r="B1422" s="44" t="inlineStr">
        <is>
          <t>이원 신규점</t>
        </is>
      </c>
      <c r="C1422" s="44" t="inlineStr">
        <is>
          <t>S28-H동</t>
        </is>
      </c>
      <c r="D1422" s="45" t="n">
        <v>1</v>
      </c>
      <c r="E1422" s="44" t="inlineStr">
        <is>
          <t>P0(후)</t>
        </is>
      </c>
      <c r="F1422" s="44" t="inlineStr">
        <is>
          <t>동</t>
        </is>
      </c>
      <c r="G1422" s="46" t="n"/>
      <c r="H1422" s="30" t="n"/>
      <c r="I1422" s="43" t="n"/>
      <c r="J1422" s="41" t="n"/>
      <c r="K1422" s="41" t="n"/>
      <c r="L1422" s="41" t="n"/>
      <c r="M1422" s="31">
        <f>IF(COUNT(J1422:L1422)=0,"",MEDIAN(J1422:L1422))</f>
        <v/>
      </c>
      <c r="N1422" s="38" t="n"/>
      <c r="O1422" s="38" t="n"/>
      <c r="P1422" s="38" t="n"/>
      <c r="Q1422" s="38" t="n"/>
      <c r="R1422" s="38" t="n"/>
      <c r="S1422" s="38" t="n"/>
      <c r="T1422" s="38" t="n"/>
      <c r="U1422" s="38" t="n"/>
      <c r="V1422" s="38" t="n"/>
      <c r="W1422" s="38" t="n"/>
      <c r="X1422" s="38" t="n"/>
      <c r="Y1422" s="29" t="n"/>
      <c r="Z1422" s="29" t="n"/>
      <c r="AA1422" s="29" t="n"/>
      <c r="AB1422" s="32" t="n"/>
      <c r="AC1422" s="32" t="n"/>
    </row>
    <row r="1423">
      <c r="A1423" s="44" t="inlineStr">
        <is>
          <t>S28</t>
        </is>
      </c>
      <c r="B1423" s="44" t="inlineStr">
        <is>
          <t>이원 신규점</t>
        </is>
      </c>
      <c r="C1423" s="44" t="inlineStr">
        <is>
          <t>S28-H서</t>
        </is>
      </c>
      <c r="D1423" s="45" t="n">
        <v>1</v>
      </c>
      <c r="E1423" s="44" t="inlineStr">
        <is>
          <t>P0(전)</t>
        </is>
      </c>
      <c r="F1423" s="44" t="inlineStr">
        <is>
          <t>서</t>
        </is>
      </c>
      <c r="G1423" s="46" t="n"/>
      <c r="H1423" s="30" t="n"/>
      <c r="I1423" s="43" t="n"/>
      <c r="J1423" s="41" t="n"/>
      <c r="K1423" s="41" t="n"/>
      <c r="L1423" s="41" t="n"/>
      <c r="M1423" s="31">
        <f>IF(COUNT(J1423:L1423)=0,"",MEDIAN(J1423:L1423))</f>
        <v/>
      </c>
      <c r="N1423" s="38" t="n"/>
      <c r="O1423" s="38" t="n"/>
      <c r="P1423" s="38" t="n"/>
      <c r="Q1423" s="38" t="n"/>
      <c r="R1423" s="38" t="n"/>
      <c r="S1423" s="38" t="n"/>
      <c r="T1423" s="38" t="n"/>
      <c r="U1423" s="38" t="n"/>
      <c r="V1423" s="38" t="n"/>
      <c r="W1423" s="38" t="n"/>
      <c r="X1423" s="38" t="n"/>
      <c r="Y1423" s="29" t="n"/>
      <c r="Z1423" s="29" t="n"/>
      <c r="AA1423" s="29" t="n"/>
      <c r="AB1423" s="32" t="n"/>
      <c r="AC1423" s="32" t="n"/>
    </row>
    <row r="1424">
      <c r="A1424" s="26" t="inlineStr">
        <is>
          <t>S28</t>
        </is>
      </c>
      <c r="B1424" s="26" t="inlineStr">
        <is>
          <t>이원 신규점</t>
        </is>
      </c>
      <c r="C1424" s="26" t="inlineStr">
        <is>
          <t>S28-H서</t>
        </is>
      </c>
      <c r="D1424" s="47" t="n">
        <v>1</v>
      </c>
      <c r="E1424" s="26" t="inlineStr">
        <is>
          <t>측정</t>
        </is>
      </c>
      <c r="F1424" s="26" t="inlineStr">
        <is>
          <t>서</t>
        </is>
      </c>
      <c r="G1424" s="31" t="n">
        <v>0.5</v>
      </c>
      <c r="H1424" s="30" t="n"/>
      <c r="I1424" s="43" t="n"/>
      <c r="J1424" s="41" t="n"/>
      <c r="K1424" s="41" t="n"/>
      <c r="L1424" s="41" t="n"/>
      <c r="M1424" s="31">
        <f>IF(COUNT(J1424:L1424)=0,"",MEDIAN(J1424:L1424))</f>
        <v/>
      </c>
      <c r="N1424" s="26">
        <f>IF(COUNTIFS($C:$C,$C1424,$D:$D,$D1424,$E:$E,"P0(전)",$M:$M,"&gt;0")&lt;&gt;1,"P0(전) 유효 1개 아님",IF(COUNTIFS($C:$C,$C1424,$D:$D,$D1424,$E:$E,"P0(후)",$M:$M,"&gt;0")&lt;&gt;1,"P0(후) 유효 1개 아님",IF(NOT(AND(ISNUMBER(O1424),ISNUMBER(Q1424),ISNUMBER(I1424))),"시각 결측",IF(Q1424&lt;=O1424,"P0 시각 역전",IF(OR(I1424&lt;O1424,I1424&gt;Q1424),"측정시각 구간 밖","OK")))))</f>
        <v/>
      </c>
      <c r="O1424" s="48">
        <f>IF(COUNTIFS($C:$C,$C1424,$D:$D,$D1424,$E:$E,"P0(전)",$M:$M,"&gt;0")&lt;&gt;1,"",SUMIFS($I:$I,$C:$C,$C1424,$D:$D,$D1424,$E:$E,"P0(전)"))</f>
        <v/>
      </c>
      <c r="P1424" s="31">
        <f>IF(COUNTIFS($C:$C,$C1424,$D:$D,$D1424,$E:$E,"P0(전)",$M:$M,"&gt;0")&lt;&gt;1,"",SUMIFS($M:$M,$C:$C,$C1424,$D:$D,$D1424,$E:$E,"P0(전)"))</f>
        <v/>
      </c>
      <c r="Q1424" s="48">
        <f>IF(COUNTIFS($C:$C,$C1424,$D:$D,$D1424,$E:$E,"P0(후)",$M:$M,"&gt;0")&lt;&gt;1,"",SUMIFS($I:$I,$C:$C,$C1424,$D:$D,$D1424,$E:$E,"P0(후)"))</f>
        <v/>
      </c>
      <c r="R1424" s="31">
        <f>IF(COUNTIFS($C:$C,$C1424,$D:$D,$D1424,$E:$E,"P0(후)",$M:$M,"&gt;0")&lt;&gt;1,"",SUMIFS($M:$M,$C:$C,$C1424,$D:$D,$D1424,$E:$E,"P0(후)"))</f>
        <v/>
      </c>
      <c r="S1424" s="31">
        <f>IF(N1424&lt;&gt;"OK","",P1424+(R1424-P1424)*(I1424-O1424)/(Q1424-O1424))</f>
        <v/>
      </c>
      <c r="T1424" s="31">
        <f>IF(OR(N1424&lt;&gt;"OK",NOT(ISNUMBER(M1424))),"",M1424-S1424)</f>
        <v/>
      </c>
      <c r="U1424" s="49">
        <f>IF(OR(NOT(ISNUMBER(T1424)),IF(ISNUMBER(H1424),H1424,G1424)=0),"",T1424/IF(ISNUMBER(H1424),H1424,G1424))</f>
        <v/>
      </c>
      <c r="V1424" s="49">
        <f>IF(ISNUMBER(U1424),ABS(U1424),"")</f>
        <v/>
      </c>
      <c r="W1424" s="49">
        <f>IF(OR($E1423&lt;&gt;"측정",$C1423&lt;&gt;$C1424,$D1423&lt;&gt;$D1424,NOT(ISNUMBER(M1424)),NOT(ISNUMBER(M1423)),(IF(ISNUMBER(H1424),H1424,G1424)-IF(ISNUMBER(H1423),H1423,G1423))=0),"",(M1424-M1423)/(IF(ISNUMBER(H1424),H1424,G1424)-IF(ISNUMBER(H1423),H1423,G1423)))</f>
        <v/>
      </c>
      <c r="X1424" s="31">
        <f>IF(NOT(AND(ISNUMBER(O1424),ISNUMBER(Q1424))),"",(Q1424-O1424)*1440)</f>
        <v/>
      </c>
      <c r="Y1424" s="29" t="n"/>
      <c r="Z1424" s="29" t="n"/>
      <c r="AA1424" s="29" t="n"/>
      <c r="AB1424" s="32" t="n"/>
      <c r="AC1424" s="32" t="n"/>
    </row>
    <row r="1425">
      <c r="A1425" s="26" t="inlineStr">
        <is>
          <t>S28</t>
        </is>
      </c>
      <c r="B1425" s="26" t="inlineStr">
        <is>
          <t>이원 신규점</t>
        </is>
      </c>
      <c r="C1425" s="26" t="inlineStr">
        <is>
          <t>S28-H서</t>
        </is>
      </c>
      <c r="D1425" s="47" t="n">
        <v>1</v>
      </c>
      <c r="E1425" s="26" t="inlineStr">
        <is>
          <t>측정</t>
        </is>
      </c>
      <c r="F1425" s="26" t="inlineStr">
        <is>
          <t>서</t>
        </is>
      </c>
      <c r="G1425" s="31" t="n">
        <v>1</v>
      </c>
      <c r="H1425" s="30" t="n"/>
      <c r="I1425" s="43" t="n"/>
      <c r="J1425" s="41" t="n"/>
      <c r="K1425" s="41" t="n"/>
      <c r="L1425" s="41" t="n"/>
      <c r="M1425" s="31">
        <f>IF(COUNT(J1425:L1425)=0,"",MEDIAN(J1425:L1425))</f>
        <v/>
      </c>
      <c r="N1425" s="26">
        <f>IF(COUNTIFS($C:$C,$C1425,$D:$D,$D1425,$E:$E,"P0(전)",$M:$M,"&gt;0")&lt;&gt;1,"P0(전) 유효 1개 아님",IF(COUNTIFS($C:$C,$C1425,$D:$D,$D1425,$E:$E,"P0(후)",$M:$M,"&gt;0")&lt;&gt;1,"P0(후) 유효 1개 아님",IF(NOT(AND(ISNUMBER(O1425),ISNUMBER(Q1425),ISNUMBER(I1425))),"시각 결측",IF(Q1425&lt;=O1425,"P0 시각 역전",IF(OR(I1425&lt;O1425,I1425&gt;Q1425),"측정시각 구간 밖","OK")))))</f>
        <v/>
      </c>
      <c r="O1425" s="48">
        <f>IF(COUNTIFS($C:$C,$C1425,$D:$D,$D1425,$E:$E,"P0(전)",$M:$M,"&gt;0")&lt;&gt;1,"",SUMIFS($I:$I,$C:$C,$C1425,$D:$D,$D1425,$E:$E,"P0(전)"))</f>
        <v/>
      </c>
      <c r="P1425" s="31">
        <f>IF(COUNTIFS($C:$C,$C1425,$D:$D,$D1425,$E:$E,"P0(전)",$M:$M,"&gt;0")&lt;&gt;1,"",SUMIFS($M:$M,$C:$C,$C1425,$D:$D,$D1425,$E:$E,"P0(전)"))</f>
        <v/>
      </c>
      <c r="Q1425" s="48">
        <f>IF(COUNTIFS($C:$C,$C1425,$D:$D,$D1425,$E:$E,"P0(후)",$M:$M,"&gt;0")&lt;&gt;1,"",SUMIFS($I:$I,$C:$C,$C1425,$D:$D,$D1425,$E:$E,"P0(후)"))</f>
        <v/>
      </c>
      <c r="R1425" s="31">
        <f>IF(COUNTIFS($C:$C,$C1425,$D:$D,$D1425,$E:$E,"P0(후)",$M:$M,"&gt;0")&lt;&gt;1,"",SUMIFS($M:$M,$C:$C,$C1425,$D:$D,$D1425,$E:$E,"P0(후)"))</f>
        <v/>
      </c>
      <c r="S1425" s="31">
        <f>IF(N1425&lt;&gt;"OK","",P1425+(R1425-P1425)*(I1425-O1425)/(Q1425-O1425))</f>
        <v/>
      </c>
      <c r="T1425" s="31">
        <f>IF(OR(N1425&lt;&gt;"OK",NOT(ISNUMBER(M1425))),"",M1425-S1425)</f>
        <v/>
      </c>
      <c r="U1425" s="49">
        <f>IF(OR(NOT(ISNUMBER(T1425)),IF(ISNUMBER(H1425),H1425,G1425)=0),"",T1425/IF(ISNUMBER(H1425),H1425,G1425))</f>
        <v/>
      </c>
      <c r="V1425" s="49">
        <f>IF(ISNUMBER(U1425),ABS(U1425),"")</f>
        <v/>
      </c>
      <c r="W1425" s="49">
        <f>IF(OR($E1424&lt;&gt;"측정",$C1424&lt;&gt;$C1425,$D1424&lt;&gt;$D1425,NOT(ISNUMBER(M1425)),NOT(ISNUMBER(M1424)),(IF(ISNUMBER(H1425),H1425,G1425)-IF(ISNUMBER(H1424),H1424,G1424))=0),"",(M1425-M1424)/(IF(ISNUMBER(H1425),H1425,G1425)-IF(ISNUMBER(H1424),H1424,G1424)))</f>
        <v/>
      </c>
      <c r="X1425" s="31">
        <f>IF(NOT(AND(ISNUMBER(O1425),ISNUMBER(Q1425))),"",(Q1425-O1425)*1440)</f>
        <v/>
      </c>
      <c r="Y1425" s="29" t="n"/>
      <c r="Z1425" s="29" t="n"/>
      <c r="AA1425" s="29" t="n"/>
      <c r="AB1425" s="32" t="n"/>
      <c r="AC1425" s="32" t="n"/>
    </row>
    <row r="1426">
      <c r="A1426" s="26" t="inlineStr">
        <is>
          <t>S28</t>
        </is>
      </c>
      <c r="B1426" s="26" t="inlineStr">
        <is>
          <t>이원 신규점</t>
        </is>
      </c>
      <c r="C1426" s="26" t="inlineStr">
        <is>
          <t>S28-H서</t>
        </is>
      </c>
      <c r="D1426" s="47" t="n">
        <v>1</v>
      </c>
      <c r="E1426" s="26" t="inlineStr">
        <is>
          <t>측정</t>
        </is>
      </c>
      <c r="F1426" s="26" t="inlineStr">
        <is>
          <t>서</t>
        </is>
      </c>
      <c r="G1426" s="31" t="n">
        <v>2</v>
      </c>
      <c r="H1426" s="30" t="n"/>
      <c r="I1426" s="43" t="n"/>
      <c r="J1426" s="41" t="n"/>
      <c r="K1426" s="41" t="n"/>
      <c r="L1426" s="41" t="n"/>
      <c r="M1426" s="31">
        <f>IF(COUNT(J1426:L1426)=0,"",MEDIAN(J1426:L1426))</f>
        <v/>
      </c>
      <c r="N1426" s="26">
        <f>IF(COUNTIFS($C:$C,$C1426,$D:$D,$D1426,$E:$E,"P0(전)",$M:$M,"&gt;0")&lt;&gt;1,"P0(전) 유효 1개 아님",IF(COUNTIFS($C:$C,$C1426,$D:$D,$D1426,$E:$E,"P0(후)",$M:$M,"&gt;0")&lt;&gt;1,"P0(후) 유효 1개 아님",IF(NOT(AND(ISNUMBER(O1426),ISNUMBER(Q1426),ISNUMBER(I1426))),"시각 결측",IF(Q1426&lt;=O1426,"P0 시각 역전",IF(OR(I1426&lt;O1426,I1426&gt;Q1426),"측정시각 구간 밖","OK")))))</f>
        <v/>
      </c>
      <c r="O1426" s="48">
        <f>IF(COUNTIFS($C:$C,$C1426,$D:$D,$D1426,$E:$E,"P0(전)",$M:$M,"&gt;0")&lt;&gt;1,"",SUMIFS($I:$I,$C:$C,$C1426,$D:$D,$D1426,$E:$E,"P0(전)"))</f>
        <v/>
      </c>
      <c r="P1426" s="31">
        <f>IF(COUNTIFS($C:$C,$C1426,$D:$D,$D1426,$E:$E,"P0(전)",$M:$M,"&gt;0")&lt;&gt;1,"",SUMIFS($M:$M,$C:$C,$C1426,$D:$D,$D1426,$E:$E,"P0(전)"))</f>
        <v/>
      </c>
      <c r="Q1426" s="48">
        <f>IF(COUNTIFS($C:$C,$C1426,$D:$D,$D1426,$E:$E,"P0(후)",$M:$M,"&gt;0")&lt;&gt;1,"",SUMIFS($I:$I,$C:$C,$C1426,$D:$D,$D1426,$E:$E,"P0(후)"))</f>
        <v/>
      </c>
      <c r="R1426" s="31">
        <f>IF(COUNTIFS($C:$C,$C1426,$D:$D,$D1426,$E:$E,"P0(후)",$M:$M,"&gt;0")&lt;&gt;1,"",SUMIFS($M:$M,$C:$C,$C1426,$D:$D,$D1426,$E:$E,"P0(후)"))</f>
        <v/>
      </c>
      <c r="S1426" s="31">
        <f>IF(N1426&lt;&gt;"OK","",P1426+(R1426-P1426)*(I1426-O1426)/(Q1426-O1426))</f>
        <v/>
      </c>
      <c r="T1426" s="31">
        <f>IF(OR(N1426&lt;&gt;"OK",NOT(ISNUMBER(M1426))),"",M1426-S1426)</f>
        <v/>
      </c>
      <c r="U1426" s="49">
        <f>IF(OR(NOT(ISNUMBER(T1426)),IF(ISNUMBER(H1426),H1426,G1426)=0),"",T1426/IF(ISNUMBER(H1426),H1426,G1426))</f>
        <v/>
      </c>
      <c r="V1426" s="49">
        <f>IF(ISNUMBER(U1426),ABS(U1426),"")</f>
        <v/>
      </c>
      <c r="W1426" s="49">
        <f>IF(OR($E1425&lt;&gt;"측정",$C1425&lt;&gt;$C1426,$D1425&lt;&gt;$D1426,NOT(ISNUMBER(M1426)),NOT(ISNUMBER(M1425)),(IF(ISNUMBER(H1426),H1426,G1426)-IF(ISNUMBER(H1425),H1425,G1425))=0),"",(M1426-M1425)/(IF(ISNUMBER(H1426),H1426,G1426)-IF(ISNUMBER(H1425),H1425,G1425)))</f>
        <v/>
      </c>
      <c r="X1426" s="31">
        <f>IF(NOT(AND(ISNUMBER(O1426),ISNUMBER(Q1426))),"",(Q1426-O1426)*1440)</f>
        <v/>
      </c>
      <c r="Y1426" s="29" t="n"/>
      <c r="Z1426" s="29" t="n"/>
      <c r="AA1426" s="29" t="n"/>
      <c r="AB1426" s="32" t="n"/>
      <c r="AC1426" s="32" t="n"/>
    </row>
    <row r="1427">
      <c r="A1427" s="26" t="inlineStr">
        <is>
          <t>S28</t>
        </is>
      </c>
      <c r="B1427" s="26" t="inlineStr">
        <is>
          <t>이원 신규점</t>
        </is>
      </c>
      <c r="C1427" s="26" t="inlineStr">
        <is>
          <t>S28-H서</t>
        </is>
      </c>
      <c r="D1427" s="47" t="n">
        <v>1</v>
      </c>
      <c r="E1427" s="26" t="inlineStr">
        <is>
          <t>측정</t>
        </is>
      </c>
      <c r="F1427" s="26" t="inlineStr">
        <is>
          <t>서</t>
        </is>
      </c>
      <c r="G1427" s="31" t="n">
        <v>3</v>
      </c>
      <c r="H1427" s="30" t="n"/>
      <c r="I1427" s="43" t="n"/>
      <c r="J1427" s="41" t="n"/>
      <c r="K1427" s="41" t="n"/>
      <c r="L1427" s="41" t="n"/>
      <c r="M1427" s="31">
        <f>IF(COUNT(J1427:L1427)=0,"",MEDIAN(J1427:L1427))</f>
        <v/>
      </c>
      <c r="N1427" s="26">
        <f>IF(COUNTIFS($C:$C,$C1427,$D:$D,$D1427,$E:$E,"P0(전)",$M:$M,"&gt;0")&lt;&gt;1,"P0(전) 유효 1개 아님",IF(COUNTIFS($C:$C,$C1427,$D:$D,$D1427,$E:$E,"P0(후)",$M:$M,"&gt;0")&lt;&gt;1,"P0(후) 유효 1개 아님",IF(NOT(AND(ISNUMBER(O1427),ISNUMBER(Q1427),ISNUMBER(I1427))),"시각 결측",IF(Q1427&lt;=O1427,"P0 시각 역전",IF(OR(I1427&lt;O1427,I1427&gt;Q1427),"측정시각 구간 밖","OK")))))</f>
        <v/>
      </c>
      <c r="O1427" s="48">
        <f>IF(COUNTIFS($C:$C,$C1427,$D:$D,$D1427,$E:$E,"P0(전)",$M:$M,"&gt;0")&lt;&gt;1,"",SUMIFS($I:$I,$C:$C,$C1427,$D:$D,$D1427,$E:$E,"P0(전)"))</f>
        <v/>
      </c>
      <c r="P1427" s="31">
        <f>IF(COUNTIFS($C:$C,$C1427,$D:$D,$D1427,$E:$E,"P0(전)",$M:$M,"&gt;0")&lt;&gt;1,"",SUMIFS($M:$M,$C:$C,$C1427,$D:$D,$D1427,$E:$E,"P0(전)"))</f>
        <v/>
      </c>
      <c r="Q1427" s="48">
        <f>IF(COUNTIFS($C:$C,$C1427,$D:$D,$D1427,$E:$E,"P0(후)",$M:$M,"&gt;0")&lt;&gt;1,"",SUMIFS($I:$I,$C:$C,$C1427,$D:$D,$D1427,$E:$E,"P0(후)"))</f>
        <v/>
      </c>
      <c r="R1427" s="31">
        <f>IF(COUNTIFS($C:$C,$C1427,$D:$D,$D1427,$E:$E,"P0(후)",$M:$M,"&gt;0")&lt;&gt;1,"",SUMIFS($M:$M,$C:$C,$C1427,$D:$D,$D1427,$E:$E,"P0(후)"))</f>
        <v/>
      </c>
      <c r="S1427" s="31">
        <f>IF(N1427&lt;&gt;"OK","",P1427+(R1427-P1427)*(I1427-O1427)/(Q1427-O1427))</f>
        <v/>
      </c>
      <c r="T1427" s="31">
        <f>IF(OR(N1427&lt;&gt;"OK",NOT(ISNUMBER(M1427))),"",M1427-S1427)</f>
        <v/>
      </c>
      <c r="U1427" s="49">
        <f>IF(OR(NOT(ISNUMBER(T1427)),IF(ISNUMBER(H1427),H1427,G1427)=0),"",T1427/IF(ISNUMBER(H1427),H1427,G1427))</f>
        <v/>
      </c>
      <c r="V1427" s="49">
        <f>IF(ISNUMBER(U1427),ABS(U1427),"")</f>
        <v/>
      </c>
      <c r="W1427" s="49">
        <f>IF(OR($E1426&lt;&gt;"측정",$C1426&lt;&gt;$C1427,$D1426&lt;&gt;$D1427,NOT(ISNUMBER(M1427)),NOT(ISNUMBER(M1426)),(IF(ISNUMBER(H1427),H1427,G1427)-IF(ISNUMBER(H1426),H1426,G1426))=0),"",(M1427-M1426)/(IF(ISNUMBER(H1427),H1427,G1427)-IF(ISNUMBER(H1426),H1426,G1426)))</f>
        <v/>
      </c>
      <c r="X1427" s="31">
        <f>IF(NOT(AND(ISNUMBER(O1427),ISNUMBER(Q1427))),"",(Q1427-O1427)*1440)</f>
        <v/>
      </c>
      <c r="Y1427" s="29" t="n"/>
      <c r="Z1427" s="29" t="n"/>
      <c r="AA1427" s="29" t="n"/>
      <c r="AB1427" s="32" t="n"/>
      <c r="AC1427" s="32" t="n"/>
    </row>
    <row r="1428">
      <c r="A1428" s="26" t="inlineStr">
        <is>
          <t>S28</t>
        </is>
      </c>
      <c r="B1428" s="26" t="inlineStr">
        <is>
          <t>이원 신규점</t>
        </is>
      </c>
      <c r="C1428" s="26" t="inlineStr">
        <is>
          <t>S28-H서</t>
        </is>
      </c>
      <c r="D1428" s="47" t="n">
        <v>1</v>
      </c>
      <c r="E1428" s="26" t="inlineStr">
        <is>
          <t>측정</t>
        </is>
      </c>
      <c r="F1428" s="26" t="inlineStr">
        <is>
          <t>서</t>
        </is>
      </c>
      <c r="G1428" s="31" t="n">
        <v>4</v>
      </c>
      <c r="H1428" s="30" t="n"/>
      <c r="I1428" s="43" t="n"/>
      <c r="J1428" s="41" t="n"/>
      <c r="K1428" s="41" t="n"/>
      <c r="L1428" s="41" t="n"/>
      <c r="M1428" s="31">
        <f>IF(COUNT(J1428:L1428)=0,"",MEDIAN(J1428:L1428))</f>
        <v/>
      </c>
      <c r="N1428" s="26">
        <f>IF(COUNTIFS($C:$C,$C1428,$D:$D,$D1428,$E:$E,"P0(전)",$M:$M,"&gt;0")&lt;&gt;1,"P0(전) 유효 1개 아님",IF(COUNTIFS($C:$C,$C1428,$D:$D,$D1428,$E:$E,"P0(후)",$M:$M,"&gt;0")&lt;&gt;1,"P0(후) 유효 1개 아님",IF(NOT(AND(ISNUMBER(O1428),ISNUMBER(Q1428),ISNUMBER(I1428))),"시각 결측",IF(Q1428&lt;=O1428,"P0 시각 역전",IF(OR(I1428&lt;O1428,I1428&gt;Q1428),"측정시각 구간 밖","OK")))))</f>
        <v/>
      </c>
      <c r="O1428" s="48">
        <f>IF(COUNTIFS($C:$C,$C1428,$D:$D,$D1428,$E:$E,"P0(전)",$M:$M,"&gt;0")&lt;&gt;1,"",SUMIFS($I:$I,$C:$C,$C1428,$D:$D,$D1428,$E:$E,"P0(전)"))</f>
        <v/>
      </c>
      <c r="P1428" s="31">
        <f>IF(COUNTIFS($C:$C,$C1428,$D:$D,$D1428,$E:$E,"P0(전)",$M:$M,"&gt;0")&lt;&gt;1,"",SUMIFS($M:$M,$C:$C,$C1428,$D:$D,$D1428,$E:$E,"P0(전)"))</f>
        <v/>
      </c>
      <c r="Q1428" s="48">
        <f>IF(COUNTIFS($C:$C,$C1428,$D:$D,$D1428,$E:$E,"P0(후)",$M:$M,"&gt;0")&lt;&gt;1,"",SUMIFS($I:$I,$C:$C,$C1428,$D:$D,$D1428,$E:$E,"P0(후)"))</f>
        <v/>
      </c>
      <c r="R1428" s="31">
        <f>IF(COUNTIFS($C:$C,$C1428,$D:$D,$D1428,$E:$E,"P0(후)",$M:$M,"&gt;0")&lt;&gt;1,"",SUMIFS($M:$M,$C:$C,$C1428,$D:$D,$D1428,$E:$E,"P0(후)"))</f>
        <v/>
      </c>
      <c r="S1428" s="31">
        <f>IF(N1428&lt;&gt;"OK","",P1428+(R1428-P1428)*(I1428-O1428)/(Q1428-O1428))</f>
        <v/>
      </c>
      <c r="T1428" s="31">
        <f>IF(OR(N1428&lt;&gt;"OK",NOT(ISNUMBER(M1428))),"",M1428-S1428)</f>
        <v/>
      </c>
      <c r="U1428" s="49">
        <f>IF(OR(NOT(ISNUMBER(T1428)),IF(ISNUMBER(H1428),H1428,G1428)=0),"",T1428/IF(ISNUMBER(H1428),H1428,G1428))</f>
        <v/>
      </c>
      <c r="V1428" s="49">
        <f>IF(ISNUMBER(U1428),ABS(U1428),"")</f>
        <v/>
      </c>
      <c r="W1428" s="49">
        <f>IF(OR($E1427&lt;&gt;"측정",$C1427&lt;&gt;$C1428,$D1427&lt;&gt;$D1428,NOT(ISNUMBER(M1428)),NOT(ISNUMBER(M1427)),(IF(ISNUMBER(H1428),H1428,G1428)-IF(ISNUMBER(H1427),H1427,G1427))=0),"",(M1428-M1427)/(IF(ISNUMBER(H1428),H1428,G1428)-IF(ISNUMBER(H1427),H1427,G1427)))</f>
        <v/>
      </c>
      <c r="X1428" s="31">
        <f>IF(NOT(AND(ISNUMBER(O1428),ISNUMBER(Q1428))),"",(Q1428-O1428)*1440)</f>
        <v/>
      </c>
      <c r="Y1428" s="29" t="n"/>
      <c r="Z1428" s="29" t="n"/>
      <c r="AA1428" s="29" t="n"/>
      <c r="AB1428" s="32" t="n"/>
      <c r="AC1428" s="32" t="n"/>
    </row>
    <row r="1429">
      <c r="A1429" s="26" t="inlineStr">
        <is>
          <t>S28</t>
        </is>
      </c>
      <c r="B1429" s="26" t="inlineStr">
        <is>
          <t>이원 신규점</t>
        </is>
      </c>
      <c r="C1429" s="26" t="inlineStr">
        <is>
          <t>S28-H서</t>
        </is>
      </c>
      <c r="D1429" s="47" t="n">
        <v>1</v>
      </c>
      <c r="E1429" s="26" t="inlineStr">
        <is>
          <t>측정</t>
        </is>
      </c>
      <c r="F1429" s="26" t="inlineStr">
        <is>
          <t>서</t>
        </is>
      </c>
      <c r="G1429" s="31" t="n">
        <v>5</v>
      </c>
      <c r="H1429" s="30" t="n"/>
      <c r="I1429" s="43" t="n"/>
      <c r="J1429" s="41" t="n"/>
      <c r="K1429" s="41" t="n"/>
      <c r="L1429" s="41" t="n"/>
      <c r="M1429" s="31">
        <f>IF(COUNT(J1429:L1429)=0,"",MEDIAN(J1429:L1429))</f>
        <v/>
      </c>
      <c r="N1429" s="26">
        <f>IF(COUNTIFS($C:$C,$C1429,$D:$D,$D1429,$E:$E,"P0(전)",$M:$M,"&gt;0")&lt;&gt;1,"P0(전) 유효 1개 아님",IF(COUNTIFS($C:$C,$C1429,$D:$D,$D1429,$E:$E,"P0(후)",$M:$M,"&gt;0")&lt;&gt;1,"P0(후) 유효 1개 아님",IF(NOT(AND(ISNUMBER(O1429),ISNUMBER(Q1429),ISNUMBER(I1429))),"시각 결측",IF(Q1429&lt;=O1429,"P0 시각 역전",IF(OR(I1429&lt;O1429,I1429&gt;Q1429),"측정시각 구간 밖","OK")))))</f>
        <v/>
      </c>
      <c r="O1429" s="48">
        <f>IF(COUNTIFS($C:$C,$C1429,$D:$D,$D1429,$E:$E,"P0(전)",$M:$M,"&gt;0")&lt;&gt;1,"",SUMIFS($I:$I,$C:$C,$C1429,$D:$D,$D1429,$E:$E,"P0(전)"))</f>
        <v/>
      </c>
      <c r="P1429" s="31">
        <f>IF(COUNTIFS($C:$C,$C1429,$D:$D,$D1429,$E:$E,"P0(전)",$M:$M,"&gt;0")&lt;&gt;1,"",SUMIFS($M:$M,$C:$C,$C1429,$D:$D,$D1429,$E:$E,"P0(전)"))</f>
        <v/>
      </c>
      <c r="Q1429" s="48">
        <f>IF(COUNTIFS($C:$C,$C1429,$D:$D,$D1429,$E:$E,"P0(후)",$M:$M,"&gt;0")&lt;&gt;1,"",SUMIFS($I:$I,$C:$C,$C1429,$D:$D,$D1429,$E:$E,"P0(후)"))</f>
        <v/>
      </c>
      <c r="R1429" s="31">
        <f>IF(COUNTIFS($C:$C,$C1429,$D:$D,$D1429,$E:$E,"P0(후)",$M:$M,"&gt;0")&lt;&gt;1,"",SUMIFS($M:$M,$C:$C,$C1429,$D:$D,$D1429,$E:$E,"P0(후)"))</f>
        <v/>
      </c>
      <c r="S1429" s="31">
        <f>IF(N1429&lt;&gt;"OK","",P1429+(R1429-P1429)*(I1429-O1429)/(Q1429-O1429))</f>
        <v/>
      </c>
      <c r="T1429" s="31">
        <f>IF(OR(N1429&lt;&gt;"OK",NOT(ISNUMBER(M1429))),"",M1429-S1429)</f>
        <v/>
      </c>
      <c r="U1429" s="49">
        <f>IF(OR(NOT(ISNUMBER(T1429)),IF(ISNUMBER(H1429),H1429,G1429)=0),"",T1429/IF(ISNUMBER(H1429),H1429,G1429))</f>
        <v/>
      </c>
      <c r="V1429" s="49">
        <f>IF(ISNUMBER(U1429),ABS(U1429),"")</f>
        <v/>
      </c>
      <c r="W1429" s="49">
        <f>IF(OR($E1428&lt;&gt;"측정",$C1428&lt;&gt;$C1429,$D1428&lt;&gt;$D1429,NOT(ISNUMBER(M1429)),NOT(ISNUMBER(M1428)),(IF(ISNUMBER(H1429),H1429,G1429)-IF(ISNUMBER(H1428),H1428,G1428))=0),"",(M1429-M1428)/(IF(ISNUMBER(H1429),H1429,G1429)-IF(ISNUMBER(H1428),H1428,G1428)))</f>
        <v/>
      </c>
      <c r="X1429" s="31">
        <f>IF(NOT(AND(ISNUMBER(O1429),ISNUMBER(Q1429))),"",(Q1429-O1429)*1440)</f>
        <v/>
      </c>
      <c r="Y1429" s="29" t="n"/>
      <c r="Z1429" s="29" t="n"/>
      <c r="AA1429" s="29" t="n"/>
      <c r="AB1429" s="32" t="n"/>
      <c r="AC1429" s="32" t="n"/>
    </row>
    <row r="1430">
      <c r="A1430" s="26" t="inlineStr">
        <is>
          <t>S28</t>
        </is>
      </c>
      <c r="B1430" s="26" t="inlineStr">
        <is>
          <t>이원 신규점</t>
        </is>
      </c>
      <c r="C1430" s="26" t="inlineStr">
        <is>
          <t>S28-H서</t>
        </is>
      </c>
      <c r="D1430" s="47" t="n">
        <v>1</v>
      </c>
      <c r="E1430" s="26" t="inlineStr">
        <is>
          <t>측정</t>
        </is>
      </c>
      <c r="F1430" s="26" t="inlineStr">
        <is>
          <t>서</t>
        </is>
      </c>
      <c r="G1430" s="31" t="n">
        <v>6</v>
      </c>
      <c r="H1430" s="30" t="n"/>
      <c r="I1430" s="43" t="n"/>
      <c r="J1430" s="41" t="n"/>
      <c r="K1430" s="41" t="n"/>
      <c r="L1430" s="41" t="n"/>
      <c r="M1430" s="31">
        <f>IF(COUNT(J1430:L1430)=0,"",MEDIAN(J1430:L1430))</f>
        <v/>
      </c>
      <c r="N1430" s="26">
        <f>IF(COUNTIFS($C:$C,$C1430,$D:$D,$D1430,$E:$E,"P0(전)",$M:$M,"&gt;0")&lt;&gt;1,"P0(전) 유효 1개 아님",IF(COUNTIFS($C:$C,$C1430,$D:$D,$D1430,$E:$E,"P0(후)",$M:$M,"&gt;0")&lt;&gt;1,"P0(후) 유효 1개 아님",IF(NOT(AND(ISNUMBER(O1430),ISNUMBER(Q1430),ISNUMBER(I1430))),"시각 결측",IF(Q1430&lt;=O1430,"P0 시각 역전",IF(OR(I1430&lt;O1430,I1430&gt;Q1430),"측정시각 구간 밖","OK")))))</f>
        <v/>
      </c>
      <c r="O1430" s="48">
        <f>IF(COUNTIFS($C:$C,$C1430,$D:$D,$D1430,$E:$E,"P0(전)",$M:$M,"&gt;0")&lt;&gt;1,"",SUMIFS($I:$I,$C:$C,$C1430,$D:$D,$D1430,$E:$E,"P0(전)"))</f>
        <v/>
      </c>
      <c r="P1430" s="31">
        <f>IF(COUNTIFS($C:$C,$C1430,$D:$D,$D1430,$E:$E,"P0(전)",$M:$M,"&gt;0")&lt;&gt;1,"",SUMIFS($M:$M,$C:$C,$C1430,$D:$D,$D1430,$E:$E,"P0(전)"))</f>
        <v/>
      </c>
      <c r="Q1430" s="48">
        <f>IF(COUNTIFS($C:$C,$C1430,$D:$D,$D1430,$E:$E,"P0(후)",$M:$M,"&gt;0")&lt;&gt;1,"",SUMIFS($I:$I,$C:$C,$C1430,$D:$D,$D1430,$E:$E,"P0(후)"))</f>
        <v/>
      </c>
      <c r="R1430" s="31">
        <f>IF(COUNTIFS($C:$C,$C1430,$D:$D,$D1430,$E:$E,"P0(후)",$M:$M,"&gt;0")&lt;&gt;1,"",SUMIFS($M:$M,$C:$C,$C1430,$D:$D,$D1430,$E:$E,"P0(후)"))</f>
        <v/>
      </c>
      <c r="S1430" s="31">
        <f>IF(N1430&lt;&gt;"OK","",P1430+(R1430-P1430)*(I1430-O1430)/(Q1430-O1430))</f>
        <v/>
      </c>
      <c r="T1430" s="31">
        <f>IF(OR(N1430&lt;&gt;"OK",NOT(ISNUMBER(M1430))),"",M1430-S1430)</f>
        <v/>
      </c>
      <c r="U1430" s="49">
        <f>IF(OR(NOT(ISNUMBER(T1430)),IF(ISNUMBER(H1430),H1430,G1430)=0),"",T1430/IF(ISNUMBER(H1430),H1430,G1430))</f>
        <v/>
      </c>
      <c r="V1430" s="49">
        <f>IF(ISNUMBER(U1430),ABS(U1430),"")</f>
        <v/>
      </c>
      <c r="W1430" s="49">
        <f>IF(OR($E1429&lt;&gt;"측정",$C1429&lt;&gt;$C1430,$D1429&lt;&gt;$D1430,NOT(ISNUMBER(M1430)),NOT(ISNUMBER(M1429)),(IF(ISNUMBER(H1430),H1430,G1430)-IF(ISNUMBER(H1429),H1429,G1429))=0),"",(M1430-M1429)/(IF(ISNUMBER(H1430),H1430,G1430)-IF(ISNUMBER(H1429),H1429,G1429)))</f>
        <v/>
      </c>
      <c r="X1430" s="31">
        <f>IF(NOT(AND(ISNUMBER(O1430),ISNUMBER(Q1430))),"",(Q1430-O1430)*1440)</f>
        <v/>
      </c>
      <c r="Y1430" s="29" t="n"/>
      <c r="Z1430" s="29" t="n"/>
      <c r="AA1430" s="29" t="n"/>
      <c r="AB1430" s="32" t="n"/>
      <c r="AC1430" s="32" t="n"/>
    </row>
    <row r="1431">
      <c r="A1431" s="26" t="inlineStr">
        <is>
          <t>S28</t>
        </is>
      </c>
      <c r="B1431" s="26" t="inlineStr">
        <is>
          <t>이원 신규점</t>
        </is>
      </c>
      <c r="C1431" s="26" t="inlineStr">
        <is>
          <t>S28-H서</t>
        </is>
      </c>
      <c r="D1431" s="47" t="n">
        <v>1</v>
      </c>
      <c r="E1431" s="26" t="inlineStr">
        <is>
          <t>측정</t>
        </is>
      </c>
      <c r="F1431" s="26" t="inlineStr">
        <is>
          <t>서</t>
        </is>
      </c>
      <c r="G1431" s="31" t="n">
        <v>7</v>
      </c>
      <c r="H1431" s="30" t="n"/>
      <c r="I1431" s="43" t="n"/>
      <c r="J1431" s="41" t="n"/>
      <c r="K1431" s="41" t="n"/>
      <c r="L1431" s="41" t="n"/>
      <c r="M1431" s="31">
        <f>IF(COUNT(J1431:L1431)=0,"",MEDIAN(J1431:L1431))</f>
        <v/>
      </c>
      <c r="N1431" s="26">
        <f>IF(COUNTIFS($C:$C,$C1431,$D:$D,$D1431,$E:$E,"P0(전)",$M:$M,"&gt;0")&lt;&gt;1,"P0(전) 유효 1개 아님",IF(COUNTIFS($C:$C,$C1431,$D:$D,$D1431,$E:$E,"P0(후)",$M:$M,"&gt;0")&lt;&gt;1,"P0(후) 유효 1개 아님",IF(NOT(AND(ISNUMBER(O1431),ISNUMBER(Q1431),ISNUMBER(I1431))),"시각 결측",IF(Q1431&lt;=O1431,"P0 시각 역전",IF(OR(I1431&lt;O1431,I1431&gt;Q1431),"측정시각 구간 밖","OK")))))</f>
        <v/>
      </c>
      <c r="O1431" s="48">
        <f>IF(COUNTIFS($C:$C,$C1431,$D:$D,$D1431,$E:$E,"P0(전)",$M:$M,"&gt;0")&lt;&gt;1,"",SUMIFS($I:$I,$C:$C,$C1431,$D:$D,$D1431,$E:$E,"P0(전)"))</f>
        <v/>
      </c>
      <c r="P1431" s="31">
        <f>IF(COUNTIFS($C:$C,$C1431,$D:$D,$D1431,$E:$E,"P0(전)",$M:$M,"&gt;0")&lt;&gt;1,"",SUMIFS($M:$M,$C:$C,$C1431,$D:$D,$D1431,$E:$E,"P0(전)"))</f>
        <v/>
      </c>
      <c r="Q1431" s="48">
        <f>IF(COUNTIFS($C:$C,$C1431,$D:$D,$D1431,$E:$E,"P0(후)",$M:$M,"&gt;0")&lt;&gt;1,"",SUMIFS($I:$I,$C:$C,$C1431,$D:$D,$D1431,$E:$E,"P0(후)"))</f>
        <v/>
      </c>
      <c r="R1431" s="31">
        <f>IF(COUNTIFS($C:$C,$C1431,$D:$D,$D1431,$E:$E,"P0(후)",$M:$M,"&gt;0")&lt;&gt;1,"",SUMIFS($M:$M,$C:$C,$C1431,$D:$D,$D1431,$E:$E,"P0(후)"))</f>
        <v/>
      </c>
      <c r="S1431" s="31">
        <f>IF(N1431&lt;&gt;"OK","",P1431+(R1431-P1431)*(I1431-O1431)/(Q1431-O1431))</f>
        <v/>
      </c>
      <c r="T1431" s="31">
        <f>IF(OR(N1431&lt;&gt;"OK",NOT(ISNUMBER(M1431))),"",M1431-S1431)</f>
        <v/>
      </c>
      <c r="U1431" s="49">
        <f>IF(OR(NOT(ISNUMBER(T1431)),IF(ISNUMBER(H1431),H1431,G1431)=0),"",T1431/IF(ISNUMBER(H1431),H1431,G1431))</f>
        <v/>
      </c>
      <c r="V1431" s="49">
        <f>IF(ISNUMBER(U1431),ABS(U1431),"")</f>
        <v/>
      </c>
      <c r="W1431" s="49">
        <f>IF(OR($E1430&lt;&gt;"측정",$C1430&lt;&gt;$C1431,$D1430&lt;&gt;$D1431,NOT(ISNUMBER(M1431)),NOT(ISNUMBER(M1430)),(IF(ISNUMBER(H1431),H1431,G1431)-IF(ISNUMBER(H1430),H1430,G1430))=0),"",(M1431-M1430)/(IF(ISNUMBER(H1431),H1431,G1431)-IF(ISNUMBER(H1430),H1430,G1430)))</f>
        <v/>
      </c>
      <c r="X1431" s="31">
        <f>IF(NOT(AND(ISNUMBER(O1431),ISNUMBER(Q1431))),"",(Q1431-O1431)*1440)</f>
        <v/>
      </c>
      <c r="Y1431" s="29" t="n"/>
      <c r="Z1431" s="29" t="n"/>
      <c r="AA1431" s="29" t="n"/>
      <c r="AB1431" s="32" t="n"/>
      <c r="AC1431" s="32" t="n"/>
    </row>
    <row r="1432">
      <c r="A1432" s="26" t="inlineStr">
        <is>
          <t>S28</t>
        </is>
      </c>
      <c r="B1432" s="26" t="inlineStr">
        <is>
          <t>이원 신규점</t>
        </is>
      </c>
      <c r="C1432" s="26" t="inlineStr">
        <is>
          <t>S28-H서</t>
        </is>
      </c>
      <c r="D1432" s="47" t="n">
        <v>1</v>
      </c>
      <c r="E1432" s="26" t="inlineStr">
        <is>
          <t>측정</t>
        </is>
      </c>
      <c r="F1432" s="26" t="inlineStr">
        <is>
          <t>서</t>
        </is>
      </c>
      <c r="G1432" s="31" t="n">
        <v>8</v>
      </c>
      <c r="H1432" s="30" t="n"/>
      <c r="I1432" s="43" t="n"/>
      <c r="J1432" s="41" t="n"/>
      <c r="K1432" s="41" t="n"/>
      <c r="L1432" s="41" t="n"/>
      <c r="M1432" s="31">
        <f>IF(COUNT(J1432:L1432)=0,"",MEDIAN(J1432:L1432))</f>
        <v/>
      </c>
      <c r="N1432" s="26">
        <f>IF(COUNTIFS($C:$C,$C1432,$D:$D,$D1432,$E:$E,"P0(전)",$M:$M,"&gt;0")&lt;&gt;1,"P0(전) 유효 1개 아님",IF(COUNTIFS($C:$C,$C1432,$D:$D,$D1432,$E:$E,"P0(후)",$M:$M,"&gt;0")&lt;&gt;1,"P0(후) 유효 1개 아님",IF(NOT(AND(ISNUMBER(O1432),ISNUMBER(Q1432),ISNUMBER(I1432))),"시각 결측",IF(Q1432&lt;=O1432,"P0 시각 역전",IF(OR(I1432&lt;O1432,I1432&gt;Q1432),"측정시각 구간 밖","OK")))))</f>
        <v/>
      </c>
      <c r="O1432" s="48">
        <f>IF(COUNTIFS($C:$C,$C1432,$D:$D,$D1432,$E:$E,"P0(전)",$M:$M,"&gt;0")&lt;&gt;1,"",SUMIFS($I:$I,$C:$C,$C1432,$D:$D,$D1432,$E:$E,"P0(전)"))</f>
        <v/>
      </c>
      <c r="P1432" s="31">
        <f>IF(COUNTIFS($C:$C,$C1432,$D:$D,$D1432,$E:$E,"P0(전)",$M:$M,"&gt;0")&lt;&gt;1,"",SUMIFS($M:$M,$C:$C,$C1432,$D:$D,$D1432,$E:$E,"P0(전)"))</f>
        <v/>
      </c>
      <c r="Q1432" s="48">
        <f>IF(COUNTIFS($C:$C,$C1432,$D:$D,$D1432,$E:$E,"P0(후)",$M:$M,"&gt;0")&lt;&gt;1,"",SUMIFS($I:$I,$C:$C,$C1432,$D:$D,$D1432,$E:$E,"P0(후)"))</f>
        <v/>
      </c>
      <c r="R1432" s="31">
        <f>IF(COUNTIFS($C:$C,$C1432,$D:$D,$D1432,$E:$E,"P0(후)",$M:$M,"&gt;0")&lt;&gt;1,"",SUMIFS($M:$M,$C:$C,$C1432,$D:$D,$D1432,$E:$E,"P0(후)"))</f>
        <v/>
      </c>
      <c r="S1432" s="31">
        <f>IF(N1432&lt;&gt;"OK","",P1432+(R1432-P1432)*(I1432-O1432)/(Q1432-O1432))</f>
        <v/>
      </c>
      <c r="T1432" s="31">
        <f>IF(OR(N1432&lt;&gt;"OK",NOT(ISNUMBER(M1432))),"",M1432-S1432)</f>
        <v/>
      </c>
      <c r="U1432" s="49">
        <f>IF(OR(NOT(ISNUMBER(T1432)),IF(ISNUMBER(H1432),H1432,G1432)=0),"",T1432/IF(ISNUMBER(H1432),H1432,G1432))</f>
        <v/>
      </c>
      <c r="V1432" s="49">
        <f>IF(ISNUMBER(U1432),ABS(U1432),"")</f>
        <v/>
      </c>
      <c r="W1432" s="49">
        <f>IF(OR($E1431&lt;&gt;"측정",$C1431&lt;&gt;$C1432,$D1431&lt;&gt;$D1432,NOT(ISNUMBER(M1432)),NOT(ISNUMBER(M1431)),(IF(ISNUMBER(H1432),H1432,G1432)-IF(ISNUMBER(H1431),H1431,G1431))=0),"",(M1432-M1431)/(IF(ISNUMBER(H1432),H1432,G1432)-IF(ISNUMBER(H1431),H1431,G1431)))</f>
        <v/>
      </c>
      <c r="X1432" s="31">
        <f>IF(NOT(AND(ISNUMBER(O1432),ISNUMBER(Q1432))),"",(Q1432-O1432)*1440)</f>
        <v/>
      </c>
      <c r="Y1432" s="29" t="n"/>
      <c r="Z1432" s="29" t="n"/>
      <c r="AA1432" s="29" t="n"/>
      <c r="AB1432" s="32" t="n"/>
      <c r="AC1432" s="32" t="n"/>
    </row>
    <row r="1433">
      <c r="A1433" s="26" t="inlineStr">
        <is>
          <t>S28</t>
        </is>
      </c>
      <c r="B1433" s="26" t="inlineStr">
        <is>
          <t>이원 신규점</t>
        </is>
      </c>
      <c r="C1433" s="26" t="inlineStr">
        <is>
          <t>S28-H서</t>
        </is>
      </c>
      <c r="D1433" s="47" t="n">
        <v>1</v>
      </c>
      <c r="E1433" s="26" t="inlineStr">
        <is>
          <t>측정</t>
        </is>
      </c>
      <c r="F1433" s="26" t="inlineStr">
        <is>
          <t>서</t>
        </is>
      </c>
      <c r="G1433" s="31" t="n">
        <v>9</v>
      </c>
      <c r="H1433" s="30" t="n"/>
      <c r="I1433" s="43" t="n"/>
      <c r="J1433" s="41" t="n"/>
      <c r="K1433" s="41" t="n"/>
      <c r="L1433" s="41" t="n"/>
      <c r="M1433" s="31">
        <f>IF(COUNT(J1433:L1433)=0,"",MEDIAN(J1433:L1433))</f>
        <v/>
      </c>
      <c r="N1433" s="26">
        <f>IF(COUNTIFS($C:$C,$C1433,$D:$D,$D1433,$E:$E,"P0(전)",$M:$M,"&gt;0")&lt;&gt;1,"P0(전) 유효 1개 아님",IF(COUNTIFS($C:$C,$C1433,$D:$D,$D1433,$E:$E,"P0(후)",$M:$M,"&gt;0")&lt;&gt;1,"P0(후) 유효 1개 아님",IF(NOT(AND(ISNUMBER(O1433),ISNUMBER(Q1433),ISNUMBER(I1433))),"시각 결측",IF(Q1433&lt;=O1433,"P0 시각 역전",IF(OR(I1433&lt;O1433,I1433&gt;Q1433),"측정시각 구간 밖","OK")))))</f>
        <v/>
      </c>
      <c r="O1433" s="48">
        <f>IF(COUNTIFS($C:$C,$C1433,$D:$D,$D1433,$E:$E,"P0(전)",$M:$M,"&gt;0")&lt;&gt;1,"",SUMIFS($I:$I,$C:$C,$C1433,$D:$D,$D1433,$E:$E,"P0(전)"))</f>
        <v/>
      </c>
      <c r="P1433" s="31">
        <f>IF(COUNTIFS($C:$C,$C1433,$D:$D,$D1433,$E:$E,"P0(전)",$M:$M,"&gt;0")&lt;&gt;1,"",SUMIFS($M:$M,$C:$C,$C1433,$D:$D,$D1433,$E:$E,"P0(전)"))</f>
        <v/>
      </c>
      <c r="Q1433" s="48">
        <f>IF(COUNTIFS($C:$C,$C1433,$D:$D,$D1433,$E:$E,"P0(후)",$M:$M,"&gt;0")&lt;&gt;1,"",SUMIFS($I:$I,$C:$C,$C1433,$D:$D,$D1433,$E:$E,"P0(후)"))</f>
        <v/>
      </c>
      <c r="R1433" s="31">
        <f>IF(COUNTIFS($C:$C,$C1433,$D:$D,$D1433,$E:$E,"P0(후)",$M:$M,"&gt;0")&lt;&gt;1,"",SUMIFS($M:$M,$C:$C,$C1433,$D:$D,$D1433,$E:$E,"P0(후)"))</f>
        <v/>
      </c>
      <c r="S1433" s="31">
        <f>IF(N1433&lt;&gt;"OK","",P1433+(R1433-P1433)*(I1433-O1433)/(Q1433-O1433))</f>
        <v/>
      </c>
      <c r="T1433" s="31">
        <f>IF(OR(N1433&lt;&gt;"OK",NOT(ISNUMBER(M1433))),"",M1433-S1433)</f>
        <v/>
      </c>
      <c r="U1433" s="49">
        <f>IF(OR(NOT(ISNUMBER(T1433)),IF(ISNUMBER(H1433),H1433,G1433)=0),"",T1433/IF(ISNUMBER(H1433),H1433,G1433))</f>
        <v/>
      </c>
      <c r="V1433" s="49">
        <f>IF(ISNUMBER(U1433),ABS(U1433),"")</f>
        <v/>
      </c>
      <c r="W1433" s="49">
        <f>IF(OR($E1432&lt;&gt;"측정",$C1432&lt;&gt;$C1433,$D1432&lt;&gt;$D1433,NOT(ISNUMBER(M1433)),NOT(ISNUMBER(M1432)),(IF(ISNUMBER(H1433),H1433,G1433)-IF(ISNUMBER(H1432),H1432,G1432))=0),"",(M1433-M1432)/(IF(ISNUMBER(H1433),H1433,G1433)-IF(ISNUMBER(H1432),H1432,G1432)))</f>
        <v/>
      </c>
      <c r="X1433" s="31">
        <f>IF(NOT(AND(ISNUMBER(O1433),ISNUMBER(Q1433))),"",(Q1433-O1433)*1440)</f>
        <v/>
      </c>
      <c r="Y1433" s="29" t="n"/>
      <c r="Z1433" s="29" t="n"/>
      <c r="AA1433" s="29" t="n"/>
      <c r="AB1433" s="32" t="n"/>
      <c r="AC1433" s="32" t="n"/>
    </row>
    <row r="1434">
      <c r="A1434" s="26" t="inlineStr">
        <is>
          <t>S28</t>
        </is>
      </c>
      <c r="B1434" s="26" t="inlineStr">
        <is>
          <t>이원 신규점</t>
        </is>
      </c>
      <c r="C1434" s="26" t="inlineStr">
        <is>
          <t>S28-H서</t>
        </is>
      </c>
      <c r="D1434" s="47" t="n">
        <v>1</v>
      </c>
      <c r="E1434" s="26" t="inlineStr">
        <is>
          <t>측정</t>
        </is>
      </c>
      <c r="F1434" s="26" t="inlineStr">
        <is>
          <t>서</t>
        </is>
      </c>
      <c r="G1434" s="31" t="n">
        <v>10</v>
      </c>
      <c r="H1434" s="30" t="n"/>
      <c r="I1434" s="43" t="n"/>
      <c r="J1434" s="41" t="n"/>
      <c r="K1434" s="41" t="n"/>
      <c r="L1434" s="41" t="n"/>
      <c r="M1434" s="31">
        <f>IF(COUNT(J1434:L1434)=0,"",MEDIAN(J1434:L1434))</f>
        <v/>
      </c>
      <c r="N1434" s="26">
        <f>IF(COUNTIFS($C:$C,$C1434,$D:$D,$D1434,$E:$E,"P0(전)",$M:$M,"&gt;0")&lt;&gt;1,"P0(전) 유효 1개 아님",IF(COUNTIFS($C:$C,$C1434,$D:$D,$D1434,$E:$E,"P0(후)",$M:$M,"&gt;0")&lt;&gt;1,"P0(후) 유효 1개 아님",IF(NOT(AND(ISNUMBER(O1434),ISNUMBER(Q1434),ISNUMBER(I1434))),"시각 결측",IF(Q1434&lt;=O1434,"P0 시각 역전",IF(OR(I1434&lt;O1434,I1434&gt;Q1434),"측정시각 구간 밖","OK")))))</f>
        <v/>
      </c>
      <c r="O1434" s="48">
        <f>IF(COUNTIFS($C:$C,$C1434,$D:$D,$D1434,$E:$E,"P0(전)",$M:$M,"&gt;0")&lt;&gt;1,"",SUMIFS($I:$I,$C:$C,$C1434,$D:$D,$D1434,$E:$E,"P0(전)"))</f>
        <v/>
      </c>
      <c r="P1434" s="31">
        <f>IF(COUNTIFS($C:$C,$C1434,$D:$D,$D1434,$E:$E,"P0(전)",$M:$M,"&gt;0")&lt;&gt;1,"",SUMIFS($M:$M,$C:$C,$C1434,$D:$D,$D1434,$E:$E,"P0(전)"))</f>
        <v/>
      </c>
      <c r="Q1434" s="48">
        <f>IF(COUNTIFS($C:$C,$C1434,$D:$D,$D1434,$E:$E,"P0(후)",$M:$M,"&gt;0")&lt;&gt;1,"",SUMIFS($I:$I,$C:$C,$C1434,$D:$D,$D1434,$E:$E,"P0(후)"))</f>
        <v/>
      </c>
      <c r="R1434" s="31">
        <f>IF(COUNTIFS($C:$C,$C1434,$D:$D,$D1434,$E:$E,"P0(후)",$M:$M,"&gt;0")&lt;&gt;1,"",SUMIFS($M:$M,$C:$C,$C1434,$D:$D,$D1434,$E:$E,"P0(후)"))</f>
        <v/>
      </c>
      <c r="S1434" s="31">
        <f>IF(N1434&lt;&gt;"OK","",P1434+(R1434-P1434)*(I1434-O1434)/(Q1434-O1434))</f>
        <v/>
      </c>
      <c r="T1434" s="31">
        <f>IF(OR(N1434&lt;&gt;"OK",NOT(ISNUMBER(M1434))),"",M1434-S1434)</f>
        <v/>
      </c>
      <c r="U1434" s="49">
        <f>IF(OR(NOT(ISNUMBER(T1434)),IF(ISNUMBER(H1434),H1434,G1434)=0),"",T1434/IF(ISNUMBER(H1434),H1434,G1434))</f>
        <v/>
      </c>
      <c r="V1434" s="49">
        <f>IF(ISNUMBER(U1434),ABS(U1434),"")</f>
        <v/>
      </c>
      <c r="W1434" s="49">
        <f>IF(OR($E1433&lt;&gt;"측정",$C1433&lt;&gt;$C1434,$D1433&lt;&gt;$D1434,NOT(ISNUMBER(M1434)),NOT(ISNUMBER(M1433)),(IF(ISNUMBER(H1434),H1434,G1434)-IF(ISNUMBER(H1433),H1433,G1433))=0),"",(M1434-M1433)/(IF(ISNUMBER(H1434),H1434,G1434)-IF(ISNUMBER(H1433),H1433,G1433)))</f>
        <v/>
      </c>
      <c r="X1434" s="31">
        <f>IF(NOT(AND(ISNUMBER(O1434),ISNUMBER(Q1434))),"",(Q1434-O1434)*1440)</f>
        <v/>
      </c>
      <c r="Y1434" s="29" t="n"/>
      <c r="Z1434" s="29" t="n"/>
      <c r="AA1434" s="29" t="n"/>
      <c r="AB1434" s="32" t="n"/>
      <c r="AC1434" s="32" t="n"/>
    </row>
    <row r="1435">
      <c r="A1435" s="44" t="inlineStr">
        <is>
          <t>S28</t>
        </is>
      </c>
      <c r="B1435" s="44" t="inlineStr">
        <is>
          <t>이원 신규점</t>
        </is>
      </c>
      <c r="C1435" s="44" t="inlineStr">
        <is>
          <t>S28-H서</t>
        </is>
      </c>
      <c r="D1435" s="45" t="n">
        <v>1</v>
      </c>
      <c r="E1435" s="44" t="inlineStr">
        <is>
          <t>P0(후)</t>
        </is>
      </c>
      <c r="F1435" s="44" t="inlineStr">
        <is>
          <t>서</t>
        </is>
      </c>
      <c r="G1435" s="46" t="n"/>
      <c r="H1435" s="30" t="n"/>
      <c r="I1435" s="43" t="n"/>
      <c r="J1435" s="41" t="n"/>
      <c r="K1435" s="41" t="n"/>
      <c r="L1435" s="41" t="n"/>
      <c r="M1435" s="31">
        <f>IF(COUNT(J1435:L1435)=0,"",MEDIAN(J1435:L1435))</f>
        <v/>
      </c>
      <c r="N1435" s="38" t="n"/>
      <c r="O1435" s="38" t="n"/>
      <c r="P1435" s="38" t="n"/>
      <c r="Q1435" s="38" t="n"/>
      <c r="R1435" s="38" t="n"/>
      <c r="S1435" s="38" t="n"/>
      <c r="T1435" s="38" t="n"/>
      <c r="U1435" s="38" t="n"/>
      <c r="V1435" s="38" t="n"/>
      <c r="W1435" s="38" t="n"/>
      <c r="X1435" s="38" t="n"/>
      <c r="Y1435" s="29" t="n"/>
      <c r="Z1435" s="29" t="n"/>
      <c r="AA1435" s="29" t="n"/>
      <c r="AB1435" s="32" t="n"/>
      <c r="AC1435" s="32" t="n"/>
    </row>
    <row r="1436">
      <c r="A1436" s="44" t="inlineStr">
        <is>
          <t>S28</t>
        </is>
      </c>
      <c r="B1436" s="44" t="inlineStr">
        <is>
          <t>이원 신규점</t>
        </is>
      </c>
      <c r="C1436" s="44" t="inlineStr">
        <is>
          <t>S28-H남</t>
        </is>
      </c>
      <c r="D1436" s="45" t="n">
        <v>1</v>
      </c>
      <c r="E1436" s="44" t="inlineStr">
        <is>
          <t>P0(전)</t>
        </is>
      </c>
      <c r="F1436" s="44" t="inlineStr">
        <is>
          <t>남</t>
        </is>
      </c>
      <c r="G1436" s="46" t="n"/>
      <c r="H1436" s="30" t="n"/>
      <c r="I1436" s="43" t="n"/>
      <c r="J1436" s="41" t="n"/>
      <c r="K1436" s="41" t="n"/>
      <c r="L1436" s="41" t="n"/>
      <c r="M1436" s="31">
        <f>IF(COUNT(J1436:L1436)=0,"",MEDIAN(J1436:L1436))</f>
        <v/>
      </c>
      <c r="N1436" s="38" t="n"/>
      <c r="O1436" s="38" t="n"/>
      <c r="P1436" s="38" t="n"/>
      <c r="Q1436" s="38" t="n"/>
      <c r="R1436" s="38" t="n"/>
      <c r="S1436" s="38" t="n"/>
      <c r="T1436" s="38" t="n"/>
      <c r="U1436" s="38" t="n"/>
      <c r="V1436" s="38" t="n"/>
      <c r="W1436" s="38" t="n"/>
      <c r="X1436" s="38" t="n"/>
      <c r="Y1436" s="29" t="n"/>
      <c r="Z1436" s="29" t="n"/>
      <c r="AA1436" s="29" t="n"/>
      <c r="AB1436" s="32" t="n"/>
      <c r="AC1436" s="32" t="n"/>
    </row>
    <row r="1437">
      <c r="A1437" s="26" t="inlineStr">
        <is>
          <t>S28</t>
        </is>
      </c>
      <c r="B1437" s="26" t="inlineStr">
        <is>
          <t>이원 신규점</t>
        </is>
      </c>
      <c r="C1437" s="26" t="inlineStr">
        <is>
          <t>S28-H남</t>
        </is>
      </c>
      <c r="D1437" s="47" t="n">
        <v>1</v>
      </c>
      <c r="E1437" s="26" t="inlineStr">
        <is>
          <t>측정</t>
        </is>
      </c>
      <c r="F1437" s="26" t="inlineStr">
        <is>
          <t>남</t>
        </is>
      </c>
      <c r="G1437" s="31" t="n">
        <v>0.5</v>
      </c>
      <c r="H1437" s="30" t="n"/>
      <c r="I1437" s="43" t="n"/>
      <c r="J1437" s="41" t="n"/>
      <c r="K1437" s="41" t="n"/>
      <c r="L1437" s="41" t="n"/>
      <c r="M1437" s="31">
        <f>IF(COUNT(J1437:L1437)=0,"",MEDIAN(J1437:L1437))</f>
        <v/>
      </c>
      <c r="N1437" s="26">
        <f>IF(COUNTIFS($C:$C,$C1437,$D:$D,$D1437,$E:$E,"P0(전)",$M:$M,"&gt;0")&lt;&gt;1,"P0(전) 유효 1개 아님",IF(COUNTIFS($C:$C,$C1437,$D:$D,$D1437,$E:$E,"P0(후)",$M:$M,"&gt;0")&lt;&gt;1,"P0(후) 유효 1개 아님",IF(NOT(AND(ISNUMBER(O1437),ISNUMBER(Q1437),ISNUMBER(I1437))),"시각 결측",IF(Q1437&lt;=O1437,"P0 시각 역전",IF(OR(I1437&lt;O1437,I1437&gt;Q1437),"측정시각 구간 밖","OK")))))</f>
        <v/>
      </c>
      <c r="O1437" s="48">
        <f>IF(COUNTIFS($C:$C,$C1437,$D:$D,$D1437,$E:$E,"P0(전)",$M:$M,"&gt;0")&lt;&gt;1,"",SUMIFS($I:$I,$C:$C,$C1437,$D:$D,$D1437,$E:$E,"P0(전)"))</f>
        <v/>
      </c>
      <c r="P1437" s="31">
        <f>IF(COUNTIFS($C:$C,$C1437,$D:$D,$D1437,$E:$E,"P0(전)",$M:$M,"&gt;0")&lt;&gt;1,"",SUMIFS($M:$M,$C:$C,$C1437,$D:$D,$D1437,$E:$E,"P0(전)"))</f>
        <v/>
      </c>
      <c r="Q1437" s="48">
        <f>IF(COUNTIFS($C:$C,$C1437,$D:$D,$D1437,$E:$E,"P0(후)",$M:$M,"&gt;0")&lt;&gt;1,"",SUMIFS($I:$I,$C:$C,$C1437,$D:$D,$D1437,$E:$E,"P0(후)"))</f>
        <v/>
      </c>
      <c r="R1437" s="31">
        <f>IF(COUNTIFS($C:$C,$C1437,$D:$D,$D1437,$E:$E,"P0(후)",$M:$M,"&gt;0")&lt;&gt;1,"",SUMIFS($M:$M,$C:$C,$C1437,$D:$D,$D1437,$E:$E,"P0(후)"))</f>
        <v/>
      </c>
      <c r="S1437" s="31">
        <f>IF(N1437&lt;&gt;"OK","",P1437+(R1437-P1437)*(I1437-O1437)/(Q1437-O1437))</f>
        <v/>
      </c>
      <c r="T1437" s="31">
        <f>IF(OR(N1437&lt;&gt;"OK",NOT(ISNUMBER(M1437))),"",M1437-S1437)</f>
        <v/>
      </c>
      <c r="U1437" s="49">
        <f>IF(OR(NOT(ISNUMBER(T1437)),IF(ISNUMBER(H1437),H1437,G1437)=0),"",T1437/IF(ISNUMBER(H1437),H1437,G1437))</f>
        <v/>
      </c>
      <c r="V1437" s="49">
        <f>IF(ISNUMBER(U1437),ABS(U1437),"")</f>
        <v/>
      </c>
      <c r="W1437" s="49">
        <f>IF(OR($E1436&lt;&gt;"측정",$C1436&lt;&gt;$C1437,$D1436&lt;&gt;$D1437,NOT(ISNUMBER(M1437)),NOT(ISNUMBER(M1436)),(IF(ISNUMBER(H1437),H1437,G1437)-IF(ISNUMBER(H1436),H1436,G1436))=0),"",(M1437-M1436)/(IF(ISNUMBER(H1437),H1437,G1437)-IF(ISNUMBER(H1436),H1436,G1436)))</f>
        <v/>
      </c>
      <c r="X1437" s="31">
        <f>IF(NOT(AND(ISNUMBER(O1437),ISNUMBER(Q1437))),"",(Q1437-O1437)*1440)</f>
        <v/>
      </c>
      <c r="Y1437" s="29" t="n"/>
      <c r="Z1437" s="29" t="n"/>
      <c r="AA1437" s="29" t="n"/>
      <c r="AB1437" s="32" t="n"/>
      <c r="AC1437" s="32" t="n"/>
    </row>
    <row r="1438">
      <c r="A1438" s="26" t="inlineStr">
        <is>
          <t>S28</t>
        </is>
      </c>
      <c r="B1438" s="26" t="inlineStr">
        <is>
          <t>이원 신규점</t>
        </is>
      </c>
      <c r="C1438" s="26" t="inlineStr">
        <is>
          <t>S28-H남</t>
        </is>
      </c>
      <c r="D1438" s="47" t="n">
        <v>1</v>
      </c>
      <c r="E1438" s="26" t="inlineStr">
        <is>
          <t>측정</t>
        </is>
      </c>
      <c r="F1438" s="26" t="inlineStr">
        <is>
          <t>남</t>
        </is>
      </c>
      <c r="G1438" s="31" t="n">
        <v>1</v>
      </c>
      <c r="H1438" s="30" t="n"/>
      <c r="I1438" s="43" t="n"/>
      <c r="J1438" s="41" t="n"/>
      <c r="K1438" s="41" t="n"/>
      <c r="L1438" s="41" t="n"/>
      <c r="M1438" s="31">
        <f>IF(COUNT(J1438:L1438)=0,"",MEDIAN(J1438:L1438))</f>
        <v/>
      </c>
      <c r="N1438" s="26">
        <f>IF(COUNTIFS($C:$C,$C1438,$D:$D,$D1438,$E:$E,"P0(전)",$M:$M,"&gt;0")&lt;&gt;1,"P0(전) 유효 1개 아님",IF(COUNTIFS($C:$C,$C1438,$D:$D,$D1438,$E:$E,"P0(후)",$M:$M,"&gt;0")&lt;&gt;1,"P0(후) 유효 1개 아님",IF(NOT(AND(ISNUMBER(O1438),ISNUMBER(Q1438),ISNUMBER(I1438))),"시각 결측",IF(Q1438&lt;=O1438,"P0 시각 역전",IF(OR(I1438&lt;O1438,I1438&gt;Q1438),"측정시각 구간 밖","OK")))))</f>
        <v/>
      </c>
      <c r="O1438" s="48">
        <f>IF(COUNTIFS($C:$C,$C1438,$D:$D,$D1438,$E:$E,"P0(전)",$M:$M,"&gt;0")&lt;&gt;1,"",SUMIFS($I:$I,$C:$C,$C1438,$D:$D,$D1438,$E:$E,"P0(전)"))</f>
        <v/>
      </c>
      <c r="P1438" s="31">
        <f>IF(COUNTIFS($C:$C,$C1438,$D:$D,$D1438,$E:$E,"P0(전)",$M:$M,"&gt;0")&lt;&gt;1,"",SUMIFS($M:$M,$C:$C,$C1438,$D:$D,$D1438,$E:$E,"P0(전)"))</f>
        <v/>
      </c>
      <c r="Q1438" s="48">
        <f>IF(COUNTIFS($C:$C,$C1438,$D:$D,$D1438,$E:$E,"P0(후)",$M:$M,"&gt;0")&lt;&gt;1,"",SUMIFS($I:$I,$C:$C,$C1438,$D:$D,$D1438,$E:$E,"P0(후)"))</f>
        <v/>
      </c>
      <c r="R1438" s="31">
        <f>IF(COUNTIFS($C:$C,$C1438,$D:$D,$D1438,$E:$E,"P0(후)",$M:$M,"&gt;0")&lt;&gt;1,"",SUMIFS($M:$M,$C:$C,$C1438,$D:$D,$D1438,$E:$E,"P0(후)"))</f>
        <v/>
      </c>
      <c r="S1438" s="31">
        <f>IF(N1438&lt;&gt;"OK","",P1438+(R1438-P1438)*(I1438-O1438)/(Q1438-O1438))</f>
        <v/>
      </c>
      <c r="T1438" s="31">
        <f>IF(OR(N1438&lt;&gt;"OK",NOT(ISNUMBER(M1438))),"",M1438-S1438)</f>
        <v/>
      </c>
      <c r="U1438" s="49">
        <f>IF(OR(NOT(ISNUMBER(T1438)),IF(ISNUMBER(H1438),H1438,G1438)=0),"",T1438/IF(ISNUMBER(H1438),H1438,G1438))</f>
        <v/>
      </c>
      <c r="V1438" s="49">
        <f>IF(ISNUMBER(U1438),ABS(U1438),"")</f>
        <v/>
      </c>
      <c r="W1438" s="49">
        <f>IF(OR($E1437&lt;&gt;"측정",$C1437&lt;&gt;$C1438,$D1437&lt;&gt;$D1438,NOT(ISNUMBER(M1438)),NOT(ISNUMBER(M1437)),(IF(ISNUMBER(H1438),H1438,G1438)-IF(ISNUMBER(H1437),H1437,G1437))=0),"",(M1438-M1437)/(IF(ISNUMBER(H1438),H1438,G1438)-IF(ISNUMBER(H1437),H1437,G1437)))</f>
        <v/>
      </c>
      <c r="X1438" s="31">
        <f>IF(NOT(AND(ISNUMBER(O1438),ISNUMBER(Q1438))),"",(Q1438-O1438)*1440)</f>
        <v/>
      </c>
      <c r="Y1438" s="29" t="n"/>
      <c r="Z1438" s="29" t="n"/>
      <c r="AA1438" s="29" t="n"/>
      <c r="AB1438" s="32" t="n"/>
      <c r="AC1438" s="32" t="n"/>
    </row>
    <row r="1439">
      <c r="A1439" s="26" t="inlineStr">
        <is>
          <t>S28</t>
        </is>
      </c>
      <c r="B1439" s="26" t="inlineStr">
        <is>
          <t>이원 신규점</t>
        </is>
      </c>
      <c r="C1439" s="26" t="inlineStr">
        <is>
          <t>S28-H남</t>
        </is>
      </c>
      <c r="D1439" s="47" t="n">
        <v>1</v>
      </c>
      <c r="E1439" s="26" t="inlineStr">
        <is>
          <t>측정</t>
        </is>
      </c>
      <c r="F1439" s="26" t="inlineStr">
        <is>
          <t>남</t>
        </is>
      </c>
      <c r="G1439" s="31" t="n">
        <v>2</v>
      </c>
      <c r="H1439" s="30" t="n"/>
      <c r="I1439" s="43" t="n"/>
      <c r="J1439" s="41" t="n"/>
      <c r="K1439" s="41" t="n"/>
      <c r="L1439" s="41" t="n"/>
      <c r="M1439" s="31">
        <f>IF(COUNT(J1439:L1439)=0,"",MEDIAN(J1439:L1439))</f>
        <v/>
      </c>
      <c r="N1439" s="26">
        <f>IF(COUNTIFS($C:$C,$C1439,$D:$D,$D1439,$E:$E,"P0(전)",$M:$M,"&gt;0")&lt;&gt;1,"P0(전) 유효 1개 아님",IF(COUNTIFS($C:$C,$C1439,$D:$D,$D1439,$E:$E,"P0(후)",$M:$M,"&gt;0")&lt;&gt;1,"P0(후) 유효 1개 아님",IF(NOT(AND(ISNUMBER(O1439),ISNUMBER(Q1439),ISNUMBER(I1439))),"시각 결측",IF(Q1439&lt;=O1439,"P0 시각 역전",IF(OR(I1439&lt;O1439,I1439&gt;Q1439),"측정시각 구간 밖","OK")))))</f>
        <v/>
      </c>
      <c r="O1439" s="48">
        <f>IF(COUNTIFS($C:$C,$C1439,$D:$D,$D1439,$E:$E,"P0(전)",$M:$M,"&gt;0")&lt;&gt;1,"",SUMIFS($I:$I,$C:$C,$C1439,$D:$D,$D1439,$E:$E,"P0(전)"))</f>
        <v/>
      </c>
      <c r="P1439" s="31">
        <f>IF(COUNTIFS($C:$C,$C1439,$D:$D,$D1439,$E:$E,"P0(전)",$M:$M,"&gt;0")&lt;&gt;1,"",SUMIFS($M:$M,$C:$C,$C1439,$D:$D,$D1439,$E:$E,"P0(전)"))</f>
        <v/>
      </c>
      <c r="Q1439" s="48">
        <f>IF(COUNTIFS($C:$C,$C1439,$D:$D,$D1439,$E:$E,"P0(후)",$M:$M,"&gt;0")&lt;&gt;1,"",SUMIFS($I:$I,$C:$C,$C1439,$D:$D,$D1439,$E:$E,"P0(후)"))</f>
        <v/>
      </c>
      <c r="R1439" s="31">
        <f>IF(COUNTIFS($C:$C,$C1439,$D:$D,$D1439,$E:$E,"P0(후)",$M:$M,"&gt;0")&lt;&gt;1,"",SUMIFS($M:$M,$C:$C,$C1439,$D:$D,$D1439,$E:$E,"P0(후)"))</f>
        <v/>
      </c>
      <c r="S1439" s="31">
        <f>IF(N1439&lt;&gt;"OK","",P1439+(R1439-P1439)*(I1439-O1439)/(Q1439-O1439))</f>
        <v/>
      </c>
      <c r="T1439" s="31">
        <f>IF(OR(N1439&lt;&gt;"OK",NOT(ISNUMBER(M1439))),"",M1439-S1439)</f>
        <v/>
      </c>
      <c r="U1439" s="49">
        <f>IF(OR(NOT(ISNUMBER(T1439)),IF(ISNUMBER(H1439),H1439,G1439)=0),"",T1439/IF(ISNUMBER(H1439),H1439,G1439))</f>
        <v/>
      </c>
      <c r="V1439" s="49">
        <f>IF(ISNUMBER(U1439),ABS(U1439),"")</f>
        <v/>
      </c>
      <c r="W1439" s="49">
        <f>IF(OR($E1438&lt;&gt;"측정",$C1438&lt;&gt;$C1439,$D1438&lt;&gt;$D1439,NOT(ISNUMBER(M1439)),NOT(ISNUMBER(M1438)),(IF(ISNUMBER(H1439),H1439,G1439)-IF(ISNUMBER(H1438),H1438,G1438))=0),"",(M1439-M1438)/(IF(ISNUMBER(H1439),H1439,G1439)-IF(ISNUMBER(H1438),H1438,G1438)))</f>
        <v/>
      </c>
      <c r="X1439" s="31">
        <f>IF(NOT(AND(ISNUMBER(O1439),ISNUMBER(Q1439))),"",(Q1439-O1439)*1440)</f>
        <v/>
      </c>
      <c r="Y1439" s="29" t="n"/>
      <c r="Z1439" s="29" t="n"/>
      <c r="AA1439" s="29" t="n"/>
      <c r="AB1439" s="32" t="n"/>
      <c r="AC1439" s="32" t="n"/>
    </row>
    <row r="1440">
      <c r="A1440" s="26" t="inlineStr">
        <is>
          <t>S28</t>
        </is>
      </c>
      <c r="B1440" s="26" t="inlineStr">
        <is>
          <t>이원 신규점</t>
        </is>
      </c>
      <c r="C1440" s="26" t="inlineStr">
        <is>
          <t>S28-H남</t>
        </is>
      </c>
      <c r="D1440" s="47" t="n">
        <v>1</v>
      </c>
      <c r="E1440" s="26" t="inlineStr">
        <is>
          <t>측정</t>
        </is>
      </c>
      <c r="F1440" s="26" t="inlineStr">
        <is>
          <t>남</t>
        </is>
      </c>
      <c r="G1440" s="31" t="n">
        <v>3</v>
      </c>
      <c r="H1440" s="30" t="n"/>
      <c r="I1440" s="43" t="n"/>
      <c r="J1440" s="41" t="n"/>
      <c r="K1440" s="41" t="n"/>
      <c r="L1440" s="41" t="n"/>
      <c r="M1440" s="31">
        <f>IF(COUNT(J1440:L1440)=0,"",MEDIAN(J1440:L1440))</f>
        <v/>
      </c>
      <c r="N1440" s="26">
        <f>IF(COUNTIFS($C:$C,$C1440,$D:$D,$D1440,$E:$E,"P0(전)",$M:$M,"&gt;0")&lt;&gt;1,"P0(전) 유효 1개 아님",IF(COUNTIFS($C:$C,$C1440,$D:$D,$D1440,$E:$E,"P0(후)",$M:$M,"&gt;0")&lt;&gt;1,"P0(후) 유효 1개 아님",IF(NOT(AND(ISNUMBER(O1440),ISNUMBER(Q1440),ISNUMBER(I1440))),"시각 결측",IF(Q1440&lt;=O1440,"P0 시각 역전",IF(OR(I1440&lt;O1440,I1440&gt;Q1440),"측정시각 구간 밖","OK")))))</f>
        <v/>
      </c>
      <c r="O1440" s="48">
        <f>IF(COUNTIFS($C:$C,$C1440,$D:$D,$D1440,$E:$E,"P0(전)",$M:$M,"&gt;0")&lt;&gt;1,"",SUMIFS($I:$I,$C:$C,$C1440,$D:$D,$D1440,$E:$E,"P0(전)"))</f>
        <v/>
      </c>
      <c r="P1440" s="31">
        <f>IF(COUNTIFS($C:$C,$C1440,$D:$D,$D1440,$E:$E,"P0(전)",$M:$M,"&gt;0")&lt;&gt;1,"",SUMIFS($M:$M,$C:$C,$C1440,$D:$D,$D1440,$E:$E,"P0(전)"))</f>
        <v/>
      </c>
      <c r="Q1440" s="48">
        <f>IF(COUNTIFS($C:$C,$C1440,$D:$D,$D1440,$E:$E,"P0(후)",$M:$M,"&gt;0")&lt;&gt;1,"",SUMIFS($I:$I,$C:$C,$C1440,$D:$D,$D1440,$E:$E,"P0(후)"))</f>
        <v/>
      </c>
      <c r="R1440" s="31">
        <f>IF(COUNTIFS($C:$C,$C1440,$D:$D,$D1440,$E:$E,"P0(후)",$M:$M,"&gt;0")&lt;&gt;1,"",SUMIFS($M:$M,$C:$C,$C1440,$D:$D,$D1440,$E:$E,"P0(후)"))</f>
        <v/>
      </c>
      <c r="S1440" s="31">
        <f>IF(N1440&lt;&gt;"OK","",P1440+(R1440-P1440)*(I1440-O1440)/(Q1440-O1440))</f>
        <v/>
      </c>
      <c r="T1440" s="31">
        <f>IF(OR(N1440&lt;&gt;"OK",NOT(ISNUMBER(M1440))),"",M1440-S1440)</f>
        <v/>
      </c>
      <c r="U1440" s="49">
        <f>IF(OR(NOT(ISNUMBER(T1440)),IF(ISNUMBER(H1440),H1440,G1440)=0),"",T1440/IF(ISNUMBER(H1440),H1440,G1440))</f>
        <v/>
      </c>
      <c r="V1440" s="49">
        <f>IF(ISNUMBER(U1440),ABS(U1440),"")</f>
        <v/>
      </c>
      <c r="W1440" s="49">
        <f>IF(OR($E1439&lt;&gt;"측정",$C1439&lt;&gt;$C1440,$D1439&lt;&gt;$D1440,NOT(ISNUMBER(M1440)),NOT(ISNUMBER(M1439)),(IF(ISNUMBER(H1440),H1440,G1440)-IF(ISNUMBER(H1439),H1439,G1439))=0),"",(M1440-M1439)/(IF(ISNUMBER(H1440),H1440,G1440)-IF(ISNUMBER(H1439),H1439,G1439)))</f>
        <v/>
      </c>
      <c r="X1440" s="31">
        <f>IF(NOT(AND(ISNUMBER(O1440),ISNUMBER(Q1440))),"",(Q1440-O1440)*1440)</f>
        <v/>
      </c>
      <c r="Y1440" s="29" t="n"/>
      <c r="Z1440" s="29" t="n"/>
      <c r="AA1440" s="29" t="n"/>
      <c r="AB1440" s="32" t="n"/>
      <c r="AC1440" s="32" t="n"/>
    </row>
    <row r="1441">
      <c r="A1441" s="26" t="inlineStr">
        <is>
          <t>S28</t>
        </is>
      </c>
      <c r="B1441" s="26" t="inlineStr">
        <is>
          <t>이원 신규점</t>
        </is>
      </c>
      <c r="C1441" s="26" t="inlineStr">
        <is>
          <t>S28-H남</t>
        </is>
      </c>
      <c r="D1441" s="47" t="n">
        <v>1</v>
      </c>
      <c r="E1441" s="26" t="inlineStr">
        <is>
          <t>측정</t>
        </is>
      </c>
      <c r="F1441" s="26" t="inlineStr">
        <is>
          <t>남</t>
        </is>
      </c>
      <c r="G1441" s="31" t="n">
        <v>4</v>
      </c>
      <c r="H1441" s="30" t="n"/>
      <c r="I1441" s="43" t="n"/>
      <c r="J1441" s="41" t="n"/>
      <c r="K1441" s="41" t="n"/>
      <c r="L1441" s="41" t="n"/>
      <c r="M1441" s="31">
        <f>IF(COUNT(J1441:L1441)=0,"",MEDIAN(J1441:L1441))</f>
        <v/>
      </c>
      <c r="N1441" s="26">
        <f>IF(COUNTIFS($C:$C,$C1441,$D:$D,$D1441,$E:$E,"P0(전)",$M:$M,"&gt;0")&lt;&gt;1,"P0(전) 유효 1개 아님",IF(COUNTIFS($C:$C,$C1441,$D:$D,$D1441,$E:$E,"P0(후)",$M:$M,"&gt;0")&lt;&gt;1,"P0(후) 유효 1개 아님",IF(NOT(AND(ISNUMBER(O1441),ISNUMBER(Q1441),ISNUMBER(I1441))),"시각 결측",IF(Q1441&lt;=O1441,"P0 시각 역전",IF(OR(I1441&lt;O1441,I1441&gt;Q1441),"측정시각 구간 밖","OK")))))</f>
        <v/>
      </c>
      <c r="O1441" s="48">
        <f>IF(COUNTIFS($C:$C,$C1441,$D:$D,$D1441,$E:$E,"P0(전)",$M:$M,"&gt;0")&lt;&gt;1,"",SUMIFS($I:$I,$C:$C,$C1441,$D:$D,$D1441,$E:$E,"P0(전)"))</f>
        <v/>
      </c>
      <c r="P1441" s="31">
        <f>IF(COUNTIFS($C:$C,$C1441,$D:$D,$D1441,$E:$E,"P0(전)",$M:$M,"&gt;0")&lt;&gt;1,"",SUMIFS($M:$M,$C:$C,$C1441,$D:$D,$D1441,$E:$E,"P0(전)"))</f>
        <v/>
      </c>
      <c r="Q1441" s="48">
        <f>IF(COUNTIFS($C:$C,$C1441,$D:$D,$D1441,$E:$E,"P0(후)",$M:$M,"&gt;0")&lt;&gt;1,"",SUMIFS($I:$I,$C:$C,$C1441,$D:$D,$D1441,$E:$E,"P0(후)"))</f>
        <v/>
      </c>
      <c r="R1441" s="31">
        <f>IF(COUNTIFS($C:$C,$C1441,$D:$D,$D1441,$E:$E,"P0(후)",$M:$M,"&gt;0")&lt;&gt;1,"",SUMIFS($M:$M,$C:$C,$C1441,$D:$D,$D1441,$E:$E,"P0(후)"))</f>
        <v/>
      </c>
      <c r="S1441" s="31">
        <f>IF(N1441&lt;&gt;"OK","",P1441+(R1441-P1441)*(I1441-O1441)/(Q1441-O1441))</f>
        <v/>
      </c>
      <c r="T1441" s="31">
        <f>IF(OR(N1441&lt;&gt;"OK",NOT(ISNUMBER(M1441))),"",M1441-S1441)</f>
        <v/>
      </c>
      <c r="U1441" s="49">
        <f>IF(OR(NOT(ISNUMBER(T1441)),IF(ISNUMBER(H1441),H1441,G1441)=0),"",T1441/IF(ISNUMBER(H1441),H1441,G1441))</f>
        <v/>
      </c>
      <c r="V1441" s="49">
        <f>IF(ISNUMBER(U1441),ABS(U1441),"")</f>
        <v/>
      </c>
      <c r="W1441" s="49">
        <f>IF(OR($E1440&lt;&gt;"측정",$C1440&lt;&gt;$C1441,$D1440&lt;&gt;$D1441,NOT(ISNUMBER(M1441)),NOT(ISNUMBER(M1440)),(IF(ISNUMBER(H1441),H1441,G1441)-IF(ISNUMBER(H1440),H1440,G1440))=0),"",(M1441-M1440)/(IF(ISNUMBER(H1441),H1441,G1441)-IF(ISNUMBER(H1440),H1440,G1440)))</f>
        <v/>
      </c>
      <c r="X1441" s="31">
        <f>IF(NOT(AND(ISNUMBER(O1441),ISNUMBER(Q1441))),"",(Q1441-O1441)*1440)</f>
        <v/>
      </c>
      <c r="Y1441" s="29" t="n"/>
      <c r="Z1441" s="29" t="n"/>
      <c r="AA1441" s="29" t="n"/>
      <c r="AB1441" s="32" t="n"/>
      <c r="AC1441" s="32" t="n"/>
    </row>
    <row r="1442">
      <c r="A1442" s="26" t="inlineStr">
        <is>
          <t>S28</t>
        </is>
      </c>
      <c r="B1442" s="26" t="inlineStr">
        <is>
          <t>이원 신규점</t>
        </is>
      </c>
      <c r="C1442" s="26" t="inlineStr">
        <is>
          <t>S28-H남</t>
        </is>
      </c>
      <c r="D1442" s="47" t="n">
        <v>1</v>
      </c>
      <c r="E1442" s="26" t="inlineStr">
        <is>
          <t>측정</t>
        </is>
      </c>
      <c r="F1442" s="26" t="inlineStr">
        <is>
          <t>남</t>
        </is>
      </c>
      <c r="G1442" s="31" t="n">
        <v>5</v>
      </c>
      <c r="H1442" s="30" t="n"/>
      <c r="I1442" s="43" t="n"/>
      <c r="J1442" s="41" t="n"/>
      <c r="K1442" s="41" t="n"/>
      <c r="L1442" s="41" t="n"/>
      <c r="M1442" s="31">
        <f>IF(COUNT(J1442:L1442)=0,"",MEDIAN(J1442:L1442))</f>
        <v/>
      </c>
      <c r="N1442" s="26">
        <f>IF(COUNTIFS($C:$C,$C1442,$D:$D,$D1442,$E:$E,"P0(전)",$M:$M,"&gt;0")&lt;&gt;1,"P0(전) 유효 1개 아님",IF(COUNTIFS($C:$C,$C1442,$D:$D,$D1442,$E:$E,"P0(후)",$M:$M,"&gt;0")&lt;&gt;1,"P0(후) 유효 1개 아님",IF(NOT(AND(ISNUMBER(O1442),ISNUMBER(Q1442),ISNUMBER(I1442))),"시각 결측",IF(Q1442&lt;=O1442,"P0 시각 역전",IF(OR(I1442&lt;O1442,I1442&gt;Q1442),"측정시각 구간 밖","OK")))))</f>
        <v/>
      </c>
      <c r="O1442" s="48">
        <f>IF(COUNTIFS($C:$C,$C1442,$D:$D,$D1442,$E:$E,"P0(전)",$M:$M,"&gt;0")&lt;&gt;1,"",SUMIFS($I:$I,$C:$C,$C1442,$D:$D,$D1442,$E:$E,"P0(전)"))</f>
        <v/>
      </c>
      <c r="P1442" s="31">
        <f>IF(COUNTIFS($C:$C,$C1442,$D:$D,$D1442,$E:$E,"P0(전)",$M:$M,"&gt;0")&lt;&gt;1,"",SUMIFS($M:$M,$C:$C,$C1442,$D:$D,$D1442,$E:$E,"P0(전)"))</f>
        <v/>
      </c>
      <c r="Q1442" s="48">
        <f>IF(COUNTIFS($C:$C,$C1442,$D:$D,$D1442,$E:$E,"P0(후)",$M:$M,"&gt;0")&lt;&gt;1,"",SUMIFS($I:$I,$C:$C,$C1442,$D:$D,$D1442,$E:$E,"P0(후)"))</f>
        <v/>
      </c>
      <c r="R1442" s="31">
        <f>IF(COUNTIFS($C:$C,$C1442,$D:$D,$D1442,$E:$E,"P0(후)",$M:$M,"&gt;0")&lt;&gt;1,"",SUMIFS($M:$M,$C:$C,$C1442,$D:$D,$D1442,$E:$E,"P0(후)"))</f>
        <v/>
      </c>
      <c r="S1442" s="31">
        <f>IF(N1442&lt;&gt;"OK","",P1442+(R1442-P1442)*(I1442-O1442)/(Q1442-O1442))</f>
        <v/>
      </c>
      <c r="T1442" s="31">
        <f>IF(OR(N1442&lt;&gt;"OK",NOT(ISNUMBER(M1442))),"",M1442-S1442)</f>
        <v/>
      </c>
      <c r="U1442" s="49">
        <f>IF(OR(NOT(ISNUMBER(T1442)),IF(ISNUMBER(H1442),H1442,G1442)=0),"",T1442/IF(ISNUMBER(H1442),H1442,G1442))</f>
        <v/>
      </c>
      <c r="V1442" s="49">
        <f>IF(ISNUMBER(U1442),ABS(U1442),"")</f>
        <v/>
      </c>
      <c r="W1442" s="49">
        <f>IF(OR($E1441&lt;&gt;"측정",$C1441&lt;&gt;$C1442,$D1441&lt;&gt;$D1442,NOT(ISNUMBER(M1442)),NOT(ISNUMBER(M1441)),(IF(ISNUMBER(H1442),H1442,G1442)-IF(ISNUMBER(H1441),H1441,G1441))=0),"",(M1442-M1441)/(IF(ISNUMBER(H1442),H1442,G1442)-IF(ISNUMBER(H1441),H1441,G1441)))</f>
        <v/>
      </c>
      <c r="X1442" s="31">
        <f>IF(NOT(AND(ISNUMBER(O1442),ISNUMBER(Q1442))),"",(Q1442-O1442)*1440)</f>
        <v/>
      </c>
      <c r="Y1442" s="29" t="n"/>
      <c r="Z1442" s="29" t="n"/>
      <c r="AA1442" s="29" t="n"/>
      <c r="AB1442" s="32" t="n"/>
      <c r="AC1442" s="32" t="n"/>
    </row>
    <row r="1443">
      <c r="A1443" s="26" t="inlineStr">
        <is>
          <t>S28</t>
        </is>
      </c>
      <c r="B1443" s="26" t="inlineStr">
        <is>
          <t>이원 신규점</t>
        </is>
      </c>
      <c r="C1443" s="26" t="inlineStr">
        <is>
          <t>S28-H남</t>
        </is>
      </c>
      <c r="D1443" s="47" t="n">
        <v>1</v>
      </c>
      <c r="E1443" s="26" t="inlineStr">
        <is>
          <t>측정</t>
        </is>
      </c>
      <c r="F1443" s="26" t="inlineStr">
        <is>
          <t>남</t>
        </is>
      </c>
      <c r="G1443" s="31" t="n">
        <v>6</v>
      </c>
      <c r="H1443" s="30" t="n"/>
      <c r="I1443" s="43" t="n"/>
      <c r="J1443" s="41" t="n"/>
      <c r="K1443" s="41" t="n"/>
      <c r="L1443" s="41" t="n"/>
      <c r="M1443" s="31">
        <f>IF(COUNT(J1443:L1443)=0,"",MEDIAN(J1443:L1443))</f>
        <v/>
      </c>
      <c r="N1443" s="26">
        <f>IF(COUNTIFS($C:$C,$C1443,$D:$D,$D1443,$E:$E,"P0(전)",$M:$M,"&gt;0")&lt;&gt;1,"P0(전) 유효 1개 아님",IF(COUNTIFS($C:$C,$C1443,$D:$D,$D1443,$E:$E,"P0(후)",$M:$M,"&gt;0")&lt;&gt;1,"P0(후) 유효 1개 아님",IF(NOT(AND(ISNUMBER(O1443),ISNUMBER(Q1443),ISNUMBER(I1443))),"시각 결측",IF(Q1443&lt;=O1443,"P0 시각 역전",IF(OR(I1443&lt;O1443,I1443&gt;Q1443),"측정시각 구간 밖","OK")))))</f>
        <v/>
      </c>
      <c r="O1443" s="48">
        <f>IF(COUNTIFS($C:$C,$C1443,$D:$D,$D1443,$E:$E,"P0(전)",$M:$M,"&gt;0")&lt;&gt;1,"",SUMIFS($I:$I,$C:$C,$C1443,$D:$D,$D1443,$E:$E,"P0(전)"))</f>
        <v/>
      </c>
      <c r="P1443" s="31">
        <f>IF(COUNTIFS($C:$C,$C1443,$D:$D,$D1443,$E:$E,"P0(전)",$M:$M,"&gt;0")&lt;&gt;1,"",SUMIFS($M:$M,$C:$C,$C1443,$D:$D,$D1443,$E:$E,"P0(전)"))</f>
        <v/>
      </c>
      <c r="Q1443" s="48">
        <f>IF(COUNTIFS($C:$C,$C1443,$D:$D,$D1443,$E:$E,"P0(후)",$M:$M,"&gt;0")&lt;&gt;1,"",SUMIFS($I:$I,$C:$C,$C1443,$D:$D,$D1443,$E:$E,"P0(후)"))</f>
        <v/>
      </c>
      <c r="R1443" s="31">
        <f>IF(COUNTIFS($C:$C,$C1443,$D:$D,$D1443,$E:$E,"P0(후)",$M:$M,"&gt;0")&lt;&gt;1,"",SUMIFS($M:$M,$C:$C,$C1443,$D:$D,$D1443,$E:$E,"P0(후)"))</f>
        <v/>
      </c>
      <c r="S1443" s="31">
        <f>IF(N1443&lt;&gt;"OK","",P1443+(R1443-P1443)*(I1443-O1443)/(Q1443-O1443))</f>
        <v/>
      </c>
      <c r="T1443" s="31">
        <f>IF(OR(N1443&lt;&gt;"OK",NOT(ISNUMBER(M1443))),"",M1443-S1443)</f>
        <v/>
      </c>
      <c r="U1443" s="49">
        <f>IF(OR(NOT(ISNUMBER(T1443)),IF(ISNUMBER(H1443),H1443,G1443)=0),"",T1443/IF(ISNUMBER(H1443),H1443,G1443))</f>
        <v/>
      </c>
      <c r="V1443" s="49">
        <f>IF(ISNUMBER(U1443),ABS(U1443),"")</f>
        <v/>
      </c>
      <c r="W1443" s="49">
        <f>IF(OR($E1442&lt;&gt;"측정",$C1442&lt;&gt;$C1443,$D1442&lt;&gt;$D1443,NOT(ISNUMBER(M1443)),NOT(ISNUMBER(M1442)),(IF(ISNUMBER(H1443),H1443,G1443)-IF(ISNUMBER(H1442),H1442,G1442))=0),"",(M1443-M1442)/(IF(ISNUMBER(H1443),H1443,G1443)-IF(ISNUMBER(H1442),H1442,G1442)))</f>
        <v/>
      </c>
      <c r="X1443" s="31">
        <f>IF(NOT(AND(ISNUMBER(O1443),ISNUMBER(Q1443))),"",(Q1443-O1443)*1440)</f>
        <v/>
      </c>
      <c r="Y1443" s="29" t="n"/>
      <c r="Z1443" s="29" t="n"/>
      <c r="AA1443" s="29" t="n"/>
      <c r="AB1443" s="32" t="n"/>
      <c r="AC1443" s="32" t="n"/>
    </row>
    <row r="1444">
      <c r="A1444" s="26" t="inlineStr">
        <is>
          <t>S28</t>
        </is>
      </c>
      <c r="B1444" s="26" t="inlineStr">
        <is>
          <t>이원 신규점</t>
        </is>
      </c>
      <c r="C1444" s="26" t="inlineStr">
        <is>
          <t>S28-H남</t>
        </is>
      </c>
      <c r="D1444" s="47" t="n">
        <v>1</v>
      </c>
      <c r="E1444" s="26" t="inlineStr">
        <is>
          <t>측정</t>
        </is>
      </c>
      <c r="F1444" s="26" t="inlineStr">
        <is>
          <t>남</t>
        </is>
      </c>
      <c r="G1444" s="31" t="n">
        <v>7</v>
      </c>
      <c r="H1444" s="30" t="n"/>
      <c r="I1444" s="43" t="n"/>
      <c r="J1444" s="41" t="n"/>
      <c r="K1444" s="41" t="n"/>
      <c r="L1444" s="41" t="n"/>
      <c r="M1444" s="31">
        <f>IF(COUNT(J1444:L1444)=0,"",MEDIAN(J1444:L1444))</f>
        <v/>
      </c>
      <c r="N1444" s="26">
        <f>IF(COUNTIFS($C:$C,$C1444,$D:$D,$D1444,$E:$E,"P0(전)",$M:$M,"&gt;0")&lt;&gt;1,"P0(전) 유효 1개 아님",IF(COUNTIFS($C:$C,$C1444,$D:$D,$D1444,$E:$E,"P0(후)",$M:$M,"&gt;0")&lt;&gt;1,"P0(후) 유효 1개 아님",IF(NOT(AND(ISNUMBER(O1444),ISNUMBER(Q1444),ISNUMBER(I1444))),"시각 결측",IF(Q1444&lt;=O1444,"P0 시각 역전",IF(OR(I1444&lt;O1444,I1444&gt;Q1444),"측정시각 구간 밖","OK")))))</f>
        <v/>
      </c>
      <c r="O1444" s="48">
        <f>IF(COUNTIFS($C:$C,$C1444,$D:$D,$D1444,$E:$E,"P0(전)",$M:$M,"&gt;0")&lt;&gt;1,"",SUMIFS($I:$I,$C:$C,$C1444,$D:$D,$D1444,$E:$E,"P0(전)"))</f>
        <v/>
      </c>
      <c r="P1444" s="31">
        <f>IF(COUNTIFS($C:$C,$C1444,$D:$D,$D1444,$E:$E,"P0(전)",$M:$M,"&gt;0")&lt;&gt;1,"",SUMIFS($M:$M,$C:$C,$C1444,$D:$D,$D1444,$E:$E,"P0(전)"))</f>
        <v/>
      </c>
      <c r="Q1444" s="48">
        <f>IF(COUNTIFS($C:$C,$C1444,$D:$D,$D1444,$E:$E,"P0(후)",$M:$M,"&gt;0")&lt;&gt;1,"",SUMIFS($I:$I,$C:$C,$C1444,$D:$D,$D1444,$E:$E,"P0(후)"))</f>
        <v/>
      </c>
      <c r="R1444" s="31">
        <f>IF(COUNTIFS($C:$C,$C1444,$D:$D,$D1444,$E:$E,"P0(후)",$M:$M,"&gt;0")&lt;&gt;1,"",SUMIFS($M:$M,$C:$C,$C1444,$D:$D,$D1444,$E:$E,"P0(후)"))</f>
        <v/>
      </c>
      <c r="S1444" s="31">
        <f>IF(N1444&lt;&gt;"OK","",P1444+(R1444-P1444)*(I1444-O1444)/(Q1444-O1444))</f>
        <v/>
      </c>
      <c r="T1444" s="31">
        <f>IF(OR(N1444&lt;&gt;"OK",NOT(ISNUMBER(M1444))),"",M1444-S1444)</f>
        <v/>
      </c>
      <c r="U1444" s="49">
        <f>IF(OR(NOT(ISNUMBER(T1444)),IF(ISNUMBER(H1444),H1444,G1444)=0),"",T1444/IF(ISNUMBER(H1444),H1444,G1444))</f>
        <v/>
      </c>
      <c r="V1444" s="49">
        <f>IF(ISNUMBER(U1444),ABS(U1444),"")</f>
        <v/>
      </c>
      <c r="W1444" s="49">
        <f>IF(OR($E1443&lt;&gt;"측정",$C1443&lt;&gt;$C1444,$D1443&lt;&gt;$D1444,NOT(ISNUMBER(M1444)),NOT(ISNUMBER(M1443)),(IF(ISNUMBER(H1444),H1444,G1444)-IF(ISNUMBER(H1443),H1443,G1443))=0),"",(M1444-M1443)/(IF(ISNUMBER(H1444),H1444,G1444)-IF(ISNUMBER(H1443),H1443,G1443)))</f>
        <v/>
      </c>
      <c r="X1444" s="31">
        <f>IF(NOT(AND(ISNUMBER(O1444),ISNUMBER(Q1444))),"",(Q1444-O1444)*1440)</f>
        <v/>
      </c>
      <c r="Y1444" s="29" t="n"/>
      <c r="Z1444" s="29" t="n"/>
      <c r="AA1444" s="29" t="n"/>
      <c r="AB1444" s="32" t="n"/>
      <c r="AC1444" s="32" t="n"/>
    </row>
    <row r="1445">
      <c r="A1445" s="26" t="inlineStr">
        <is>
          <t>S28</t>
        </is>
      </c>
      <c r="B1445" s="26" t="inlineStr">
        <is>
          <t>이원 신규점</t>
        </is>
      </c>
      <c r="C1445" s="26" t="inlineStr">
        <is>
          <t>S28-H남</t>
        </is>
      </c>
      <c r="D1445" s="47" t="n">
        <v>1</v>
      </c>
      <c r="E1445" s="26" t="inlineStr">
        <is>
          <t>측정</t>
        </is>
      </c>
      <c r="F1445" s="26" t="inlineStr">
        <is>
          <t>남</t>
        </is>
      </c>
      <c r="G1445" s="31" t="n">
        <v>8</v>
      </c>
      <c r="H1445" s="30" t="n"/>
      <c r="I1445" s="43" t="n"/>
      <c r="J1445" s="41" t="n"/>
      <c r="K1445" s="41" t="n"/>
      <c r="L1445" s="41" t="n"/>
      <c r="M1445" s="31">
        <f>IF(COUNT(J1445:L1445)=0,"",MEDIAN(J1445:L1445))</f>
        <v/>
      </c>
      <c r="N1445" s="26">
        <f>IF(COUNTIFS($C:$C,$C1445,$D:$D,$D1445,$E:$E,"P0(전)",$M:$M,"&gt;0")&lt;&gt;1,"P0(전) 유효 1개 아님",IF(COUNTIFS($C:$C,$C1445,$D:$D,$D1445,$E:$E,"P0(후)",$M:$M,"&gt;0")&lt;&gt;1,"P0(후) 유효 1개 아님",IF(NOT(AND(ISNUMBER(O1445),ISNUMBER(Q1445),ISNUMBER(I1445))),"시각 결측",IF(Q1445&lt;=O1445,"P0 시각 역전",IF(OR(I1445&lt;O1445,I1445&gt;Q1445),"측정시각 구간 밖","OK")))))</f>
        <v/>
      </c>
      <c r="O1445" s="48">
        <f>IF(COUNTIFS($C:$C,$C1445,$D:$D,$D1445,$E:$E,"P0(전)",$M:$M,"&gt;0")&lt;&gt;1,"",SUMIFS($I:$I,$C:$C,$C1445,$D:$D,$D1445,$E:$E,"P0(전)"))</f>
        <v/>
      </c>
      <c r="P1445" s="31">
        <f>IF(COUNTIFS($C:$C,$C1445,$D:$D,$D1445,$E:$E,"P0(전)",$M:$M,"&gt;0")&lt;&gt;1,"",SUMIFS($M:$M,$C:$C,$C1445,$D:$D,$D1445,$E:$E,"P0(전)"))</f>
        <v/>
      </c>
      <c r="Q1445" s="48">
        <f>IF(COUNTIFS($C:$C,$C1445,$D:$D,$D1445,$E:$E,"P0(후)",$M:$M,"&gt;0")&lt;&gt;1,"",SUMIFS($I:$I,$C:$C,$C1445,$D:$D,$D1445,$E:$E,"P0(후)"))</f>
        <v/>
      </c>
      <c r="R1445" s="31">
        <f>IF(COUNTIFS($C:$C,$C1445,$D:$D,$D1445,$E:$E,"P0(후)",$M:$M,"&gt;0")&lt;&gt;1,"",SUMIFS($M:$M,$C:$C,$C1445,$D:$D,$D1445,$E:$E,"P0(후)"))</f>
        <v/>
      </c>
      <c r="S1445" s="31">
        <f>IF(N1445&lt;&gt;"OK","",P1445+(R1445-P1445)*(I1445-O1445)/(Q1445-O1445))</f>
        <v/>
      </c>
      <c r="T1445" s="31">
        <f>IF(OR(N1445&lt;&gt;"OK",NOT(ISNUMBER(M1445))),"",M1445-S1445)</f>
        <v/>
      </c>
      <c r="U1445" s="49">
        <f>IF(OR(NOT(ISNUMBER(T1445)),IF(ISNUMBER(H1445),H1445,G1445)=0),"",T1445/IF(ISNUMBER(H1445),H1445,G1445))</f>
        <v/>
      </c>
      <c r="V1445" s="49">
        <f>IF(ISNUMBER(U1445),ABS(U1445),"")</f>
        <v/>
      </c>
      <c r="W1445" s="49">
        <f>IF(OR($E1444&lt;&gt;"측정",$C1444&lt;&gt;$C1445,$D1444&lt;&gt;$D1445,NOT(ISNUMBER(M1445)),NOT(ISNUMBER(M1444)),(IF(ISNUMBER(H1445),H1445,G1445)-IF(ISNUMBER(H1444),H1444,G1444))=0),"",(M1445-M1444)/(IF(ISNUMBER(H1445),H1445,G1445)-IF(ISNUMBER(H1444),H1444,G1444)))</f>
        <v/>
      </c>
      <c r="X1445" s="31">
        <f>IF(NOT(AND(ISNUMBER(O1445),ISNUMBER(Q1445))),"",(Q1445-O1445)*1440)</f>
        <v/>
      </c>
      <c r="Y1445" s="29" t="n"/>
      <c r="Z1445" s="29" t="n"/>
      <c r="AA1445" s="29" t="n"/>
      <c r="AB1445" s="32" t="n"/>
      <c r="AC1445" s="32" t="n"/>
    </row>
    <row r="1446">
      <c r="A1446" s="26" t="inlineStr">
        <is>
          <t>S28</t>
        </is>
      </c>
      <c r="B1446" s="26" t="inlineStr">
        <is>
          <t>이원 신규점</t>
        </is>
      </c>
      <c r="C1446" s="26" t="inlineStr">
        <is>
          <t>S28-H남</t>
        </is>
      </c>
      <c r="D1446" s="47" t="n">
        <v>1</v>
      </c>
      <c r="E1446" s="26" t="inlineStr">
        <is>
          <t>측정</t>
        </is>
      </c>
      <c r="F1446" s="26" t="inlineStr">
        <is>
          <t>남</t>
        </is>
      </c>
      <c r="G1446" s="31" t="n">
        <v>9</v>
      </c>
      <c r="H1446" s="30" t="n"/>
      <c r="I1446" s="43" t="n"/>
      <c r="J1446" s="41" t="n"/>
      <c r="K1446" s="41" t="n"/>
      <c r="L1446" s="41" t="n"/>
      <c r="M1446" s="31">
        <f>IF(COUNT(J1446:L1446)=0,"",MEDIAN(J1446:L1446))</f>
        <v/>
      </c>
      <c r="N1446" s="26">
        <f>IF(COUNTIFS($C:$C,$C1446,$D:$D,$D1446,$E:$E,"P0(전)",$M:$M,"&gt;0")&lt;&gt;1,"P0(전) 유효 1개 아님",IF(COUNTIFS($C:$C,$C1446,$D:$D,$D1446,$E:$E,"P0(후)",$M:$M,"&gt;0")&lt;&gt;1,"P0(후) 유효 1개 아님",IF(NOT(AND(ISNUMBER(O1446),ISNUMBER(Q1446),ISNUMBER(I1446))),"시각 결측",IF(Q1446&lt;=O1446,"P0 시각 역전",IF(OR(I1446&lt;O1446,I1446&gt;Q1446),"측정시각 구간 밖","OK")))))</f>
        <v/>
      </c>
      <c r="O1446" s="48">
        <f>IF(COUNTIFS($C:$C,$C1446,$D:$D,$D1446,$E:$E,"P0(전)",$M:$M,"&gt;0")&lt;&gt;1,"",SUMIFS($I:$I,$C:$C,$C1446,$D:$D,$D1446,$E:$E,"P0(전)"))</f>
        <v/>
      </c>
      <c r="P1446" s="31">
        <f>IF(COUNTIFS($C:$C,$C1446,$D:$D,$D1446,$E:$E,"P0(전)",$M:$M,"&gt;0")&lt;&gt;1,"",SUMIFS($M:$M,$C:$C,$C1446,$D:$D,$D1446,$E:$E,"P0(전)"))</f>
        <v/>
      </c>
      <c r="Q1446" s="48">
        <f>IF(COUNTIFS($C:$C,$C1446,$D:$D,$D1446,$E:$E,"P0(후)",$M:$M,"&gt;0")&lt;&gt;1,"",SUMIFS($I:$I,$C:$C,$C1446,$D:$D,$D1446,$E:$E,"P0(후)"))</f>
        <v/>
      </c>
      <c r="R1446" s="31">
        <f>IF(COUNTIFS($C:$C,$C1446,$D:$D,$D1446,$E:$E,"P0(후)",$M:$M,"&gt;0")&lt;&gt;1,"",SUMIFS($M:$M,$C:$C,$C1446,$D:$D,$D1446,$E:$E,"P0(후)"))</f>
        <v/>
      </c>
      <c r="S1446" s="31">
        <f>IF(N1446&lt;&gt;"OK","",P1446+(R1446-P1446)*(I1446-O1446)/(Q1446-O1446))</f>
        <v/>
      </c>
      <c r="T1446" s="31">
        <f>IF(OR(N1446&lt;&gt;"OK",NOT(ISNUMBER(M1446))),"",M1446-S1446)</f>
        <v/>
      </c>
      <c r="U1446" s="49">
        <f>IF(OR(NOT(ISNUMBER(T1446)),IF(ISNUMBER(H1446),H1446,G1446)=0),"",T1446/IF(ISNUMBER(H1446),H1446,G1446))</f>
        <v/>
      </c>
      <c r="V1446" s="49">
        <f>IF(ISNUMBER(U1446),ABS(U1446),"")</f>
        <v/>
      </c>
      <c r="W1446" s="49">
        <f>IF(OR($E1445&lt;&gt;"측정",$C1445&lt;&gt;$C1446,$D1445&lt;&gt;$D1446,NOT(ISNUMBER(M1446)),NOT(ISNUMBER(M1445)),(IF(ISNUMBER(H1446),H1446,G1446)-IF(ISNUMBER(H1445),H1445,G1445))=0),"",(M1446-M1445)/(IF(ISNUMBER(H1446),H1446,G1446)-IF(ISNUMBER(H1445),H1445,G1445)))</f>
        <v/>
      </c>
      <c r="X1446" s="31">
        <f>IF(NOT(AND(ISNUMBER(O1446),ISNUMBER(Q1446))),"",(Q1446-O1446)*1440)</f>
        <v/>
      </c>
      <c r="Y1446" s="29" t="n"/>
      <c r="Z1446" s="29" t="n"/>
      <c r="AA1446" s="29" t="n"/>
      <c r="AB1446" s="32" t="n"/>
      <c r="AC1446" s="32" t="n"/>
    </row>
    <row r="1447">
      <c r="A1447" s="26" t="inlineStr">
        <is>
          <t>S28</t>
        </is>
      </c>
      <c r="B1447" s="26" t="inlineStr">
        <is>
          <t>이원 신규점</t>
        </is>
      </c>
      <c r="C1447" s="26" t="inlineStr">
        <is>
          <t>S28-H남</t>
        </is>
      </c>
      <c r="D1447" s="47" t="n">
        <v>1</v>
      </c>
      <c r="E1447" s="26" t="inlineStr">
        <is>
          <t>측정</t>
        </is>
      </c>
      <c r="F1447" s="26" t="inlineStr">
        <is>
          <t>남</t>
        </is>
      </c>
      <c r="G1447" s="31" t="n">
        <v>10</v>
      </c>
      <c r="H1447" s="30" t="n"/>
      <c r="I1447" s="43" t="n"/>
      <c r="J1447" s="41" t="n"/>
      <c r="K1447" s="41" t="n"/>
      <c r="L1447" s="41" t="n"/>
      <c r="M1447" s="31">
        <f>IF(COUNT(J1447:L1447)=0,"",MEDIAN(J1447:L1447))</f>
        <v/>
      </c>
      <c r="N1447" s="26">
        <f>IF(COUNTIFS($C:$C,$C1447,$D:$D,$D1447,$E:$E,"P0(전)",$M:$M,"&gt;0")&lt;&gt;1,"P0(전) 유효 1개 아님",IF(COUNTIFS($C:$C,$C1447,$D:$D,$D1447,$E:$E,"P0(후)",$M:$M,"&gt;0")&lt;&gt;1,"P0(후) 유효 1개 아님",IF(NOT(AND(ISNUMBER(O1447),ISNUMBER(Q1447),ISNUMBER(I1447))),"시각 결측",IF(Q1447&lt;=O1447,"P0 시각 역전",IF(OR(I1447&lt;O1447,I1447&gt;Q1447),"측정시각 구간 밖","OK")))))</f>
        <v/>
      </c>
      <c r="O1447" s="48">
        <f>IF(COUNTIFS($C:$C,$C1447,$D:$D,$D1447,$E:$E,"P0(전)",$M:$M,"&gt;0")&lt;&gt;1,"",SUMIFS($I:$I,$C:$C,$C1447,$D:$D,$D1447,$E:$E,"P0(전)"))</f>
        <v/>
      </c>
      <c r="P1447" s="31">
        <f>IF(COUNTIFS($C:$C,$C1447,$D:$D,$D1447,$E:$E,"P0(전)",$M:$M,"&gt;0")&lt;&gt;1,"",SUMIFS($M:$M,$C:$C,$C1447,$D:$D,$D1447,$E:$E,"P0(전)"))</f>
        <v/>
      </c>
      <c r="Q1447" s="48">
        <f>IF(COUNTIFS($C:$C,$C1447,$D:$D,$D1447,$E:$E,"P0(후)",$M:$M,"&gt;0")&lt;&gt;1,"",SUMIFS($I:$I,$C:$C,$C1447,$D:$D,$D1447,$E:$E,"P0(후)"))</f>
        <v/>
      </c>
      <c r="R1447" s="31">
        <f>IF(COUNTIFS($C:$C,$C1447,$D:$D,$D1447,$E:$E,"P0(후)",$M:$M,"&gt;0")&lt;&gt;1,"",SUMIFS($M:$M,$C:$C,$C1447,$D:$D,$D1447,$E:$E,"P0(후)"))</f>
        <v/>
      </c>
      <c r="S1447" s="31">
        <f>IF(N1447&lt;&gt;"OK","",P1447+(R1447-P1447)*(I1447-O1447)/(Q1447-O1447))</f>
        <v/>
      </c>
      <c r="T1447" s="31">
        <f>IF(OR(N1447&lt;&gt;"OK",NOT(ISNUMBER(M1447))),"",M1447-S1447)</f>
        <v/>
      </c>
      <c r="U1447" s="49">
        <f>IF(OR(NOT(ISNUMBER(T1447)),IF(ISNUMBER(H1447),H1447,G1447)=0),"",T1447/IF(ISNUMBER(H1447),H1447,G1447))</f>
        <v/>
      </c>
      <c r="V1447" s="49">
        <f>IF(ISNUMBER(U1447),ABS(U1447),"")</f>
        <v/>
      </c>
      <c r="W1447" s="49">
        <f>IF(OR($E1446&lt;&gt;"측정",$C1446&lt;&gt;$C1447,$D1446&lt;&gt;$D1447,NOT(ISNUMBER(M1447)),NOT(ISNUMBER(M1446)),(IF(ISNUMBER(H1447),H1447,G1447)-IF(ISNUMBER(H1446),H1446,G1446))=0),"",(M1447-M1446)/(IF(ISNUMBER(H1447),H1447,G1447)-IF(ISNUMBER(H1446),H1446,G1446)))</f>
        <v/>
      </c>
      <c r="X1447" s="31">
        <f>IF(NOT(AND(ISNUMBER(O1447),ISNUMBER(Q1447))),"",(Q1447-O1447)*1440)</f>
        <v/>
      </c>
      <c r="Y1447" s="29" t="n"/>
      <c r="Z1447" s="29" t="n"/>
      <c r="AA1447" s="29" t="n"/>
      <c r="AB1447" s="32" t="n"/>
      <c r="AC1447" s="32" t="n"/>
    </row>
    <row r="1448">
      <c r="A1448" s="44" t="inlineStr">
        <is>
          <t>S28</t>
        </is>
      </c>
      <c r="B1448" s="44" t="inlineStr">
        <is>
          <t>이원 신규점</t>
        </is>
      </c>
      <c r="C1448" s="44" t="inlineStr">
        <is>
          <t>S28-H남</t>
        </is>
      </c>
      <c r="D1448" s="45" t="n">
        <v>1</v>
      </c>
      <c r="E1448" s="44" t="inlineStr">
        <is>
          <t>P0(후)</t>
        </is>
      </c>
      <c r="F1448" s="44" t="inlineStr">
        <is>
          <t>남</t>
        </is>
      </c>
      <c r="G1448" s="46" t="n"/>
      <c r="H1448" s="30" t="n"/>
      <c r="I1448" s="43" t="n"/>
      <c r="J1448" s="41" t="n"/>
      <c r="K1448" s="41" t="n"/>
      <c r="L1448" s="41" t="n"/>
      <c r="M1448" s="31">
        <f>IF(COUNT(J1448:L1448)=0,"",MEDIAN(J1448:L1448))</f>
        <v/>
      </c>
      <c r="N1448" s="38" t="n"/>
      <c r="O1448" s="38" t="n"/>
      <c r="P1448" s="38" t="n"/>
      <c r="Q1448" s="38" t="n"/>
      <c r="R1448" s="38" t="n"/>
      <c r="S1448" s="38" t="n"/>
      <c r="T1448" s="38" t="n"/>
      <c r="U1448" s="38" t="n"/>
      <c r="V1448" s="38" t="n"/>
      <c r="W1448" s="38" t="n"/>
      <c r="X1448" s="38" t="n"/>
      <c r="Y1448" s="29" t="n"/>
      <c r="Z1448" s="29" t="n"/>
      <c r="AA1448" s="29" t="n"/>
      <c r="AB1448" s="32" t="n"/>
      <c r="AC1448" s="32" t="n"/>
    </row>
    <row r="1449">
      <c r="A1449" s="44" t="inlineStr">
        <is>
          <t>S28</t>
        </is>
      </c>
      <c r="B1449" s="44" t="inlineStr">
        <is>
          <t>이원 신규점</t>
        </is>
      </c>
      <c r="C1449" s="44" t="inlineStr">
        <is>
          <t>S28-H북</t>
        </is>
      </c>
      <c r="D1449" s="45" t="n">
        <v>1</v>
      </c>
      <c r="E1449" s="44" t="inlineStr">
        <is>
          <t>P0(전)</t>
        </is>
      </c>
      <c r="F1449" s="44" t="inlineStr">
        <is>
          <t>북</t>
        </is>
      </c>
      <c r="G1449" s="46" t="n"/>
      <c r="H1449" s="30" t="n"/>
      <c r="I1449" s="43" t="n"/>
      <c r="J1449" s="41" t="n"/>
      <c r="K1449" s="41" t="n"/>
      <c r="L1449" s="41" t="n"/>
      <c r="M1449" s="31">
        <f>IF(COUNT(J1449:L1449)=0,"",MEDIAN(J1449:L1449))</f>
        <v/>
      </c>
      <c r="N1449" s="38" t="n"/>
      <c r="O1449" s="38" t="n"/>
      <c r="P1449" s="38" t="n"/>
      <c r="Q1449" s="38" t="n"/>
      <c r="R1449" s="38" t="n"/>
      <c r="S1449" s="38" t="n"/>
      <c r="T1449" s="38" t="n"/>
      <c r="U1449" s="38" t="n"/>
      <c r="V1449" s="38" t="n"/>
      <c r="W1449" s="38" t="n"/>
      <c r="X1449" s="38" t="n"/>
      <c r="Y1449" s="29" t="n"/>
      <c r="Z1449" s="29" t="n"/>
      <c r="AA1449" s="29" t="n"/>
      <c r="AB1449" s="32" t="n"/>
      <c r="AC1449" s="32" t="n"/>
    </row>
    <row r="1450">
      <c r="A1450" s="26" t="inlineStr">
        <is>
          <t>S28</t>
        </is>
      </c>
      <c r="B1450" s="26" t="inlineStr">
        <is>
          <t>이원 신규점</t>
        </is>
      </c>
      <c r="C1450" s="26" t="inlineStr">
        <is>
          <t>S28-H북</t>
        </is>
      </c>
      <c r="D1450" s="47" t="n">
        <v>1</v>
      </c>
      <c r="E1450" s="26" t="inlineStr">
        <is>
          <t>측정</t>
        </is>
      </c>
      <c r="F1450" s="26" t="inlineStr">
        <is>
          <t>북</t>
        </is>
      </c>
      <c r="G1450" s="31" t="n">
        <v>0.5</v>
      </c>
      <c r="H1450" s="30" t="n"/>
      <c r="I1450" s="43" t="n"/>
      <c r="J1450" s="41" t="n"/>
      <c r="K1450" s="41" t="n"/>
      <c r="L1450" s="41" t="n"/>
      <c r="M1450" s="31">
        <f>IF(COUNT(J1450:L1450)=0,"",MEDIAN(J1450:L1450))</f>
        <v/>
      </c>
      <c r="N1450" s="26">
        <f>IF(COUNTIFS($C:$C,$C1450,$D:$D,$D1450,$E:$E,"P0(전)",$M:$M,"&gt;0")&lt;&gt;1,"P0(전) 유효 1개 아님",IF(COUNTIFS($C:$C,$C1450,$D:$D,$D1450,$E:$E,"P0(후)",$M:$M,"&gt;0")&lt;&gt;1,"P0(후) 유효 1개 아님",IF(NOT(AND(ISNUMBER(O1450),ISNUMBER(Q1450),ISNUMBER(I1450))),"시각 결측",IF(Q1450&lt;=O1450,"P0 시각 역전",IF(OR(I1450&lt;O1450,I1450&gt;Q1450),"측정시각 구간 밖","OK")))))</f>
        <v/>
      </c>
      <c r="O1450" s="48">
        <f>IF(COUNTIFS($C:$C,$C1450,$D:$D,$D1450,$E:$E,"P0(전)",$M:$M,"&gt;0")&lt;&gt;1,"",SUMIFS($I:$I,$C:$C,$C1450,$D:$D,$D1450,$E:$E,"P0(전)"))</f>
        <v/>
      </c>
      <c r="P1450" s="31">
        <f>IF(COUNTIFS($C:$C,$C1450,$D:$D,$D1450,$E:$E,"P0(전)",$M:$M,"&gt;0")&lt;&gt;1,"",SUMIFS($M:$M,$C:$C,$C1450,$D:$D,$D1450,$E:$E,"P0(전)"))</f>
        <v/>
      </c>
      <c r="Q1450" s="48">
        <f>IF(COUNTIFS($C:$C,$C1450,$D:$D,$D1450,$E:$E,"P0(후)",$M:$M,"&gt;0")&lt;&gt;1,"",SUMIFS($I:$I,$C:$C,$C1450,$D:$D,$D1450,$E:$E,"P0(후)"))</f>
        <v/>
      </c>
      <c r="R1450" s="31">
        <f>IF(COUNTIFS($C:$C,$C1450,$D:$D,$D1450,$E:$E,"P0(후)",$M:$M,"&gt;0")&lt;&gt;1,"",SUMIFS($M:$M,$C:$C,$C1450,$D:$D,$D1450,$E:$E,"P0(후)"))</f>
        <v/>
      </c>
      <c r="S1450" s="31">
        <f>IF(N1450&lt;&gt;"OK","",P1450+(R1450-P1450)*(I1450-O1450)/(Q1450-O1450))</f>
        <v/>
      </c>
      <c r="T1450" s="31">
        <f>IF(OR(N1450&lt;&gt;"OK",NOT(ISNUMBER(M1450))),"",M1450-S1450)</f>
        <v/>
      </c>
      <c r="U1450" s="49">
        <f>IF(OR(NOT(ISNUMBER(T1450)),IF(ISNUMBER(H1450),H1450,G1450)=0),"",T1450/IF(ISNUMBER(H1450),H1450,G1450))</f>
        <v/>
      </c>
      <c r="V1450" s="49">
        <f>IF(ISNUMBER(U1450),ABS(U1450),"")</f>
        <v/>
      </c>
      <c r="W1450" s="49">
        <f>IF(OR($E1449&lt;&gt;"측정",$C1449&lt;&gt;$C1450,$D1449&lt;&gt;$D1450,NOT(ISNUMBER(M1450)),NOT(ISNUMBER(M1449)),(IF(ISNUMBER(H1450),H1450,G1450)-IF(ISNUMBER(H1449),H1449,G1449))=0),"",(M1450-M1449)/(IF(ISNUMBER(H1450),H1450,G1450)-IF(ISNUMBER(H1449),H1449,G1449)))</f>
        <v/>
      </c>
      <c r="X1450" s="31">
        <f>IF(NOT(AND(ISNUMBER(O1450),ISNUMBER(Q1450))),"",(Q1450-O1450)*1440)</f>
        <v/>
      </c>
      <c r="Y1450" s="29" t="n"/>
      <c r="Z1450" s="29" t="n"/>
      <c r="AA1450" s="29" t="n"/>
      <c r="AB1450" s="32" t="n"/>
      <c r="AC1450" s="32" t="n"/>
    </row>
    <row r="1451">
      <c r="A1451" s="26" t="inlineStr">
        <is>
          <t>S28</t>
        </is>
      </c>
      <c r="B1451" s="26" t="inlineStr">
        <is>
          <t>이원 신규점</t>
        </is>
      </c>
      <c r="C1451" s="26" t="inlineStr">
        <is>
          <t>S28-H북</t>
        </is>
      </c>
      <c r="D1451" s="47" t="n">
        <v>1</v>
      </c>
      <c r="E1451" s="26" t="inlineStr">
        <is>
          <t>측정</t>
        </is>
      </c>
      <c r="F1451" s="26" t="inlineStr">
        <is>
          <t>북</t>
        </is>
      </c>
      <c r="G1451" s="31" t="n">
        <v>1</v>
      </c>
      <c r="H1451" s="30" t="n"/>
      <c r="I1451" s="43" t="n"/>
      <c r="J1451" s="41" t="n"/>
      <c r="K1451" s="41" t="n"/>
      <c r="L1451" s="41" t="n"/>
      <c r="M1451" s="31">
        <f>IF(COUNT(J1451:L1451)=0,"",MEDIAN(J1451:L1451))</f>
        <v/>
      </c>
      <c r="N1451" s="26">
        <f>IF(COUNTIFS($C:$C,$C1451,$D:$D,$D1451,$E:$E,"P0(전)",$M:$M,"&gt;0")&lt;&gt;1,"P0(전) 유효 1개 아님",IF(COUNTIFS($C:$C,$C1451,$D:$D,$D1451,$E:$E,"P0(후)",$M:$M,"&gt;0")&lt;&gt;1,"P0(후) 유효 1개 아님",IF(NOT(AND(ISNUMBER(O1451),ISNUMBER(Q1451),ISNUMBER(I1451))),"시각 결측",IF(Q1451&lt;=O1451,"P0 시각 역전",IF(OR(I1451&lt;O1451,I1451&gt;Q1451),"측정시각 구간 밖","OK")))))</f>
        <v/>
      </c>
      <c r="O1451" s="48">
        <f>IF(COUNTIFS($C:$C,$C1451,$D:$D,$D1451,$E:$E,"P0(전)",$M:$M,"&gt;0")&lt;&gt;1,"",SUMIFS($I:$I,$C:$C,$C1451,$D:$D,$D1451,$E:$E,"P0(전)"))</f>
        <v/>
      </c>
      <c r="P1451" s="31">
        <f>IF(COUNTIFS($C:$C,$C1451,$D:$D,$D1451,$E:$E,"P0(전)",$M:$M,"&gt;0")&lt;&gt;1,"",SUMIFS($M:$M,$C:$C,$C1451,$D:$D,$D1451,$E:$E,"P0(전)"))</f>
        <v/>
      </c>
      <c r="Q1451" s="48">
        <f>IF(COUNTIFS($C:$C,$C1451,$D:$D,$D1451,$E:$E,"P0(후)",$M:$M,"&gt;0")&lt;&gt;1,"",SUMIFS($I:$I,$C:$C,$C1451,$D:$D,$D1451,$E:$E,"P0(후)"))</f>
        <v/>
      </c>
      <c r="R1451" s="31">
        <f>IF(COUNTIFS($C:$C,$C1451,$D:$D,$D1451,$E:$E,"P0(후)",$M:$M,"&gt;0")&lt;&gt;1,"",SUMIFS($M:$M,$C:$C,$C1451,$D:$D,$D1451,$E:$E,"P0(후)"))</f>
        <v/>
      </c>
      <c r="S1451" s="31">
        <f>IF(N1451&lt;&gt;"OK","",P1451+(R1451-P1451)*(I1451-O1451)/(Q1451-O1451))</f>
        <v/>
      </c>
      <c r="T1451" s="31">
        <f>IF(OR(N1451&lt;&gt;"OK",NOT(ISNUMBER(M1451))),"",M1451-S1451)</f>
        <v/>
      </c>
      <c r="U1451" s="49">
        <f>IF(OR(NOT(ISNUMBER(T1451)),IF(ISNUMBER(H1451),H1451,G1451)=0),"",T1451/IF(ISNUMBER(H1451),H1451,G1451))</f>
        <v/>
      </c>
      <c r="V1451" s="49">
        <f>IF(ISNUMBER(U1451),ABS(U1451),"")</f>
        <v/>
      </c>
      <c r="W1451" s="49">
        <f>IF(OR($E1450&lt;&gt;"측정",$C1450&lt;&gt;$C1451,$D1450&lt;&gt;$D1451,NOT(ISNUMBER(M1451)),NOT(ISNUMBER(M1450)),(IF(ISNUMBER(H1451),H1451,G1451)-IF(ISNUMBER(H1450),H1450,G1450))=0),"",(M1451-M1450)/(IF(ISNUMBER(H1451),H1451,G1451)-IF(ISNUMBER(H1450),H1450,G1450)))</f>
        <v/>
      </c>
      <c r="X1451" s="31">
        <f>IF(NOT(AND(ISNUMBER(O1451),ISNUMBER(Q1451))),"",(Q1451-O1451)*1440)</f>
        <v/>
      </c>
      <c r="Y1451" s="29" t="n"/>
      <c r="Z1451" s="29" t="n"/>
      <c r="AA1451" s="29" t="n"/>
      <c r="AB1451" s="32" t="n"/>
      <c r="AC1451" s="32" t="n"/>
    </row>
    <row r="1452">
      <c r="A1452" s="26" t="inlineStr">
        <is>
          <t>S28</t>
        </is>
      </c>
      <c r="B1452" s="26" t="inlineStr">
        <is>
          <t>이원 신규점</t>
        </is>
      </c>
      <c r="C1452" s="26" t="inlineStr">
        <is>
          <t>S28-H북</t>
        </is>
      </c>
      <c r="D1452" s="47" t="n">
        <v>1</v>
      </c>
      <c r="E1452" s="26" t="inlineStr">
        <is>
          <t>측정</t>
        </is>
      </c>
      <c r="F1452" s="26" t="inlineStr">
        <is>
          <t>북</t>
        </is>
      </c>
      <c r="G1452" s="31" t="n">
        <v>2</v>
      </c>
      <c r="H1452" s="30" t="n"/>
      <c r="I1452" s="43" t="n"/>
      <c r="J1452" s="41" t="n"/>
      <c r="K1452" s="41" t="n"/>
      <c r="L1452" s="41" t="n"/>
      <c r="M1452" s="31">
        <f>IF(COUNT(J1452:L1452)=0,"",MEDIAN(J1452:L1452))</f>
        <v/>
      </c>
      <c r="N1452" s="26">
        <f>IF(COUNTIFS($C:$C,$C1452,$D:$D,$D1452,$E:$E,"P0(전)",$M:$M,"&gt;0")&lt;&gt;1,"P0(전) 유효 1개 아님",IF(COUNTIFS($C:$C,$C1452,$D:$D,$D1452,$E:$E,"P0(후)",$M:$M,"&gt;0")&lt;&gt;1,"P0(후) 유효 1개 아님",IF(NOT(AND(ISNUMBER(O1452),ISNUMBER(Q1452),ISNUMBER(I1452))),"시각 결측",IF(Q1452&lt;=O1452,"P0 시각 역전",IF(OR(I1452&lt;O1452,I1452&gt;Q1452),"측정시각 구간 밖","OK")))))</f>
        <v/>
      </c>
      <c r="O1452" s="48">
        <f>IF(COUNTIFS($C:$C,$C1452,$D:$D,$D1452,$E:$E,"P0(전)",$M:$M,"&gt;0")&lt;&gt;1,"",SUMIFS($I:$I,$C:$C,$C1452,$D:$D,$D1452,$E:$E,"P0(전)"))</f>
        <v/>
      </c>
      <c r="P1452" s="31">
        <f>IF(COUNTIFS($C:$C,$C1452,$D:$D,$D1452,$E:$E,"P0(전)",$M:$M,"&gt;0")&lt;&gt;1,"",SUMIFS($M:$M,$C:$C,$C1452,$D:$D,$D1452,$E:$E,"P0(전)"))</f>
        <v/>
      </c>
      <c r="Q1452" s="48">
        <f>IF(COUNTIFS($C:$C,$C1452,$D:$D,$D1452,$E:$E,"P0(후)",$M:$M,"&gt;0")&lt;&gt;1,"",SUMIFS($I:$I,$C:$C,$C1452,$D:$D,$D1452,$E:$E,"P0(후)"))</f>
        <v/>
      </c>
      <c r="R1452" s="31">
        <f>IF(COUNTIFS($C:$C,$C1452,$D:$D,$D1452,$E:$E,"P0(후)",$M:$M,"&gt;0")&lt;&gt;1,"",SUMIFS($M:$M,$C:$C,$C1452,$D:$D,$D1452,$E:$E,"P0(후)"))</f>
        <v/>
      </c>
      <c r="S1452" s="31">
        <f>IF(N1452&lt;&gt;"OK","",P1452+(R1452-P1452)*(I1452-O1452)/(Q1452-O1452))</f>
        <v/>
      </c>
      <c r="T1452" s="31">
        <f>IF(OR(N1452&lt;&gt;"OK",NOT(ISNUMBER(M1452))),"",M1452-S1452)</f>
        <v/>
      </c>
      <c r="U1452" s="49">
        <f>IF(OR(NOT(ISNUMBER(T1452)),IF(ISNUMBER(H1452),H1452,G1452)=0),"",T1452/IF(ISNUMBER(H1452),H1452,G1452))</f>
        <v/>
      </c>
      <c r="V1452" s="49">
        <f>IF(ISNUMBER(U1452),ABS(U1452),"")</f>
        <v/>
      </c>
      <c r="W1452" s="49">
        <f>IF(OR($E1451&lt;&gt;"측정",$C1451&lt;&gt;$C1452,$D1451&lt;&gt;$D1452,NOT(ISNUMBER(M1452)),NOT(ISNUMBER(M1451)),(IF(ISNUMBER(H1452),H1452,G1452)-IF(ISNUMBER(H1451),H1451,G1451))=0),"",(M1452-M1451)/(IF(ISNUMBER(H1452),H1452,G1452)-IF(ISNUMBER(H1451),H1451,G1451)))</f>
        <v/>
      </c>
      <c r="X1452" s="31">
        <f>IF(NOT(AND(ISNUMBER(O1452),ISNUMBER(Q1452))),"",(Q1452-O1452)*1440)</f>
        <v/>
      </c>
      <c r="Y1452" s="29" t="n"/>
      <c r="Z1452" s="29" t="n"/>
      <c r="AA1452" s="29" t="n"/>
      <c r="AB1452" s="32" t="n"/>
      <c r="AC1452" s="32" t="n"/>
    </row>
    <row r="1453">
      <c r="A1453" s="26" t="inlineStr">
        <is>
          <t>S28</t>
        </is>
      </c>
      <c r="B1453" s="26" t="inlineStr">
        <is>
          <t>이원 신규점</t>
        </is>
      </c>
      <c r="C1453" s="26" t="inlineStr">
        <is>
          <t>S28-H북</t>
        </is>
      </c>
      <c r="D1453" s="47" t="n">
        <v>1</v>
      </c>
      <c r="E1453" s="26" t="inlineStr">
        <is>
          <t>측정</t>
        </is>
      </c>
      <c r="F1453" s="26" t="inlineStr">
        <is>
          <t>북</t>
        </is>
      </c>
      <c r="G1453" s="31" t="n">
        <v>3</v>
      </c>
      <c r="H1453" s="30" t="n"/>
      <c r="I1453" s="43" t="n"/>
      <c r="J1453" s="41" t="n"/>
      <c r="K1453" s="41" t="n"/>
      <c r="L1453" s="41" t="n"/>
      <c r="M1453" s="31">
        <f>IF(COUNT(J1453:L1453)=0,"",MEDIAN(J1453:L1453))</f>
        <v/>
      </c>
      <c r="N1453" s="26">
        <f>IF(COUNTIFS($C:$C,$C1453,$D:$D,$D1453,$E:$E,"P0(전)",$M:$M,"&gt;0")&lt;&gt;1,"P0(전) 유효 1개 아님",IF(COUNTIFS($C:$C,$C1453,$D:$D,$D1453,$E:$E,"P0(후)",$M:$M,"&gt;0")&lt;&gt;1,"P0(후) 유효 1개 아님",IF(NOT(AND(ISNUMBER(O1453),ISNUMBER(Q1453),ISNUMBER(I1453))),"시각 결측",IF(Q1453&lt;=O1453,"P0 시각 역전",IF(OR(I1453&lt;O1453,I1453&gt;Q1453),"측정시각 구간 밖","OK")))))</f>
        <v/>
      </c>
      <c r="O1453" s="48">
        <f>IF(COUNTIFS($C:$C,$C1453,$D:$D,$D1453,$E:$E,"P0(전)",$M:$M,"&gt;0")&lt;&gt;1,"",SUMIFS($I:$I,$C:$C,$C1453,$D:$D,$D1453,$E:$E,"P0(전)"))</f>
        <v/>
      </c>
      <c r="P1453" s="31">
        <f>IF(COUNTIFS($C:$C,$C1453,$D:$D,$D1453,$E:$E,"P0(전)",$M:$M,"&gt;0")&lt;&gt;1,"",SUMIFS($M:$M,$C:$C,$C1453,$D:$D,$D1453,$E:$E,"P0(전)"))</f>
        <v/>
      </c>
      <c r="Q1453" s="48">
        <f>IF(COUNTIFS($C:$C,$C1453,$D:$D,$D1453,$E:$E,"P0(후)",$M:$M,"&gt;0")&lt;&gt;1,"",SUMIFS($I:$I,$C:$C,$C1453,$D:$D,$D1453,$E:$E,"P0(후)"))</f>
        <v/>
      </c>
      <c r="R1453" s="31">
        <f>IF(COUNTIFS($C:$C,$C1453,$D:$D,$D1453,$E:$E,"P0(후)",$M:$M,"&gt;0")&lt;&gt;1,"",SUMIFS($M:$M,$C:$C,$C1453,$D:$D,$D1453,$E:$E,"P0(후)"))</f>
        <v/>
      </c>
      <c r="S1453" s="31">
        <f>IF(N1453&lt;&gt;"OK","",P1453+(R1453-P1453)*(I1453-O1453)/(Q1453-O1453))</f>
        <v/>
      </c>
      <c r="T1453" s="31">
        <f>IF(OR(N1453&lt;&gt;"OK",NOT(ISNUMBER(M1453))),"",M1453-S1453)</f>
        <v/>
      </c>
      <c r="U1453" s="49">
        <f>IF(OR(NOT(ISNUMBER(T1453)),IF(ISNUMBER(H1453),H1453,G1453)=0),"",T1453/IF(ISNUMBER(H1453),H1453,G1453))</f>
        <v/>
      </c>
      <c r="V1453" s="49">
        <f>IF(ISNUMBER(U1453),ABS(U1453),"")</f>
        <v/>
      </c>
      <c r="W1453" s="49">
        <f>IF(OR($E1452&lt;&gt;"측정",$C1452&lt;&gt;$C1453,$D1452&lt;&gt;$D1453,NOT(ISNUMBER(M1453)),NOT(ISNUMBER(M1452)),(IF(ISNUMBER(H1453),H1453,G1453)-IF(ISNUMBER(H1452),H1452,G1452))=0),"",(M1453-M1452)/(IF(ISNUMBER(H1453),H1453,G1453)-IF(ISNUMBER(H1452),H1452,G1452)))</f>
        <v/>
      </c>
      <c r="X1453" s="31">
        <f>IF(NOT(AND(ISNUMBER(O1453),ISNUMBER(Q1453))),"",(Q1453-O1453)*1440)</f>
        <v/>
      </c>
      <c r="Y1453" s="29" t="n"/>
      <c r="Z1453" s="29" t="n"/>
      <c r="AA1453" s="29" t="n"/>
      <c r="AB1453" s="32" t="n"/>
      <c r="AC1453" s="32" t="n"/>
    </row>
    <row r="1454">
      <c r="A1454" s="26" t="inlineStr">
        <is>
          <t>S28</t>
        </is>
      </c>
      <c r="B1454" s="26" t="inlineStr">
        <is>
          <t>이원 신규점</t>
        </is>
      </c>
      <c r="C1454" s="26" t="inlineStr">
        <is>
          <t>S28-H북</t>
        </is>
      </c>
      <c r="D1454" s="47" t="n">
        <v>1</v>
      </c>
      <c r="E1454" s="26" t="inlineStr">
        <is>
          <t>측정</t>
        </is>
      </c>
      <c r="F1454" s="26" t="inlineStr">
        <is>
          <t>북</t>
        </is>
      </c>
      <c r="G1454" s="31" t="n">
        <v>4</v>
      </c>
      <c r="H1454" s="30" t="n"/>
      <c r="I1454" s="43" t="n"/>
      <c r="J1454" s="41" t="n"/>
      <c r="K1454" s="41" t="n"/>
      <c r="L1454" s="41" t="n"/>
      <c r="M1454" s="31">
        <f>IF(COUNT(J1454:L1454)=0,"",MEDIAN(J1454:L1454))</f>
        <v/>
      </c>
      <c r="N1454" s="26">
        <f>IF(COUNTIFS($C:$C,$C1454,$D:$D,$D1454,$E:$E,"P0(전)",$M:$M,"&gt;0")&lt;&gt;1,"P0(전) 유효 1개 아님",IF(COUNTIFS($C:$C,$C1454,$D:$D,$D1454,$E:$E,"P0(후)",$M:$M,"&gt;0")&lt;&gt;1,"P0(후) 유효 1개 아님",IF(NOT(AND(ISNUMBER(O1454),ISNUMBER(Q1454),ISNUMBER(I1454))),"시각 결측",IF(Q1454&lt;=O1454,"P0 시각 역전",IF(OR(I1454&lt;O1454,I1454&gt;Q1454),"측정시각 구간 밖","OK")))))</f>
        <v/>
      </c>
      <c r="O1454" s="48">
        <f>IF(COUNTIFS($C:$C,$C1454,$D:$D,$D1454,$E:$E,"P0(전)",$M:$M,"&gt;0")&lt;&gt;1,"",SUMIFS($I:$I,$C:$C,$C1454,$D:$D,$D1454,$E:$E,"P0(전)"))</f>
        <v/>
      </c>
      <c r="P1454" s="31">
        <f>IF(COUNTIFS($C:$C,$C1454,$D:$D,$D1454,$E:$E,"P0(전)",$M:$M,"&gt;0")&lt;&gt;1,"",SUMIFS($M:$M,$C:$C,$C1454,$D:$D,$D1454,$E:$E,"P0(전)"))</f>
        <v/>
      </c>
      <c r="Q1454" s="48">
        <f>IF(COUNTIFS($C:$C,$C1454,$D:$D,$D1454,$E:$E,"P0(후)",$M:$M,"&gt;0")&lt;&gt;1,"",SUMIFS($I:$I,$C:$C,$C1454,$D:$D,$D1454,$E:$E,"P0(후)"))</f>
        <v/>
      </c>
      <c r="R1454" s="31">
        <f>IF(COUNTIFS($C:$C,$C1454,$D:$D,$D1454,$E:$E,"P0(후)",$M:$M,"&gt;0")&lt;&gt;1,"",SUMIFS($M:$M,$C:$C,$C1454,$D:$D,$D1454,$E:$E,"P0(후)"))</f>
        <v/>
      </c>
      <c r="S1454" s="31">
        <f>IF(N1454&lt;&gt;"OK","",P1454+(R1454-P1454)*(I1454-O1454)/(Q1454-O1454))</f>
        <v/>
      </c>
      <c r="T1454" s="31">
        <f>IF(OR(N1454&lt;&gt;"OK",NOT(ISNUMBER(M1454))),"",M1454-S1454)</f>
        <v/>
      </c>
      <c r="U1454" s="49">
        <f>IF(OR(NOT(ISNUMBER(T1454)),IF(ISNUMBER(H1454),H1454,G1454)=0),"",T1454/IF(ISNUMBER(H1454),H1454,G1454))</f>
        <v/>
      </c>
      <c r="V1454" s="49">
        <f>IF(ISNUMBER(U1454),ABS(U1454),"")</f>
        <v/>
      </c>
      <c r="W1454" s="49">
        <f>IF(OR($E1453&lt;&gt;"측정",$C1453&lt;&gt;$C1454,$D1453&lt;&gt;$D1454,NOT(ISNUMBER(M1454)),NOT(ISNUMBER(M1453)),(IF(ISNUMBER(H1454),H1454,G1454)-IF(ISNUMBER(H1453),H1453,G1453))=0),"",(M1454-M1453)/(IF(ISNUMBER(H1454),H1454,G1454)-IF(ISNUMBER(H1453),H1453,G1453)))</f>
        <v/>
      </c>
      <c r="X1454" s="31">
        <f>IF(NOT(AND(ISNUMBER(O1454),ISNUMBER(Q1454))),"",(Q1454-O1454)*1440)</f>
        <v/>
      </c>
      <c r="Y1454" s="29" t="n"/>
      <c r="Z1454" s="29" t="n"/>
      <c r="AA1454" s="29" t="n"/>
      <c r="AB1454" s="32" t="n"/>
      <c r="AC1454" s="32" t="n"/>
    </row>
    <row r="1455">
      <c r="A1455" s="26" t="inlineStr">
        <is>
          <t>S28</t>
        </is>
      </c>
      <c r="B1455" s="26" t="inlineStr">
        <is>
          <t>이원 신규점</t>
        </is>
      </c>
      <c r="C1455" s="26" t="inlineStr">
        <is>
          <t>S28-H북</t>
        </is>
      </c>
      <c r="D1455" s="47" t="n">
        <v>1</v>
      </c>
      <c r="E1455" s="26" t="inlineStr">
        <is>
          <t>측정</t>
        </is>
      </c>
      <c r="F1455" s="26" t="inlineStr">
        <is>
          <t>북</t>
        </is>
      </c>
      <c r="G1455" s="31" t="n">
        <v>5</v>
      </c>
      <c r="H1455" s="30" t="n"/>
      <c r="I1455" s="43" t="n"/>
      <c r="J1455" s="41" t="n"/>
      <c r="K1455" s="41" t="n"/>
      <c r="L1455" s="41" t="n"/>
      <c r="M1455" s="31">
        <f>IF(COUNT(J1455:L1455)=0,"",MEDIAN(J1455:L1455))</f>
        <v/>
      </c>
      <c r="N1455" s="26">
        <f>IF(COUNTIFS($C:$C,$C1455,$D:$D,$D1455,$E:$E,"P0(전)",$M:$M,"&gt;0")&lt;&gt;1,"P0(전) 유효 1개 아님",IF(COUNTIFS($C:$C,$C1455,$D:$D,$D1455,$E:$E,"P0(후)",$M:$M,"&gt;0")&lt;&gt;1,"P0(후) 유효 1개 아님",IF(NOT(AND(ISNUMBER(O1455),ISNUMBER(Q1455),ISNUMBER(I1455))),"시각 결측",IF(Q1455&lt;=O1455,"P0 시각 역전",IF(OR(I1455&lt;O1455,I1455&gt;Q1455),"측정시각 구간 밖","OK")))))</f>
        <v/>
      </c>
      <c r="O1455" s="48">
        <f>IF(COUNTIFS($C:$C,$C1455,$D:$D,$D1455,$E:$E,"P0(전)",$M:$M,"&gt;0")&lt;&gt;1,"",SUMIFS($I:$I,$C:$C,$C1455,$D:$D,$D1455,$E:$E,"P0(전)"))</f>
        <v/>
      </c>
      <c r="P1455" s="31">
        <f>IF(COUNTIFS($C:$C,$C1455,$D:$D,$D1455,$E:$E,"P0(전)",$M:$M,"&gt;0")&lt;&gt;1,"",SUMIFS($M:$M,$C:$C,$C1455,$D:$D,$D1455,$E:$E,"P0(전)"))</f>
        <v/>
      </c>
      <c r="Q1455" s="48">
        <f>IF(COUNTIFS($C:$C,$C1455,$D:$D,$D1455,$E:$E,"P0(후)",$M:$M,"&gt;0")&lt;&gt;1,"",SUMIFS($I:$I,$C:$C,$C1455,$D:$D,$D1455,$E:$E,"P0(후)"))</f>
        <v/>
      </c>
      <c r="R1455" s="31">
        <f>IF(COUNTIFS($C:$C,$C1455,$D:$D,$D1455,$E:$E,"P0(후)",$M:$M,"&gt;0")&lt;&gt;1,"",SUMIFS($M:$M,$C:$C,$C1455,$D:$D,$D1455,$E:$E,"P0(후)"))</f>
        <v/>
      </c>
      <c r="S1455" s="31">
        <f>IF(N1455&lt;&gt;"OK","",P1455+(R1455-P1455)*(I1455-O1455)/(Q1455-O1455))</f>
        <v/>
      </c>
      <c r="T1455" s="31">
        <f>IF(OR(N1455&lt;&gt;"OK",NOT(ISNUMBER(M1455))),"",M1455-S1455)</f>
        <v/>
      </c>
      <c r="U1455" s="49">
        <f>IF(OR(NOT(ISNUMBER(T1455)),IF(ISNUMBER(H1455),H1455,G1455)=0),"",T1455/IF(ISNUMBER(H1455),H1455,G1455))</f>
        <v/>
      </c>
      <c r="V1455" s="49">
        <f>IF(ISNUMBER(U1455),ABS(U1455),"")</f>
        <v/>
      </c>
      <c r="W1455" s="49">
        <f>IF(OR($E1454&lt;&gt;"측정",$C1454&lt;&gt;$C1455,$D1454&lt;&gt;$D1455,NOT(ISNUMBER(M1455)),NOT(ISNUMBER(M1454)),(IF(ISNUMBER(H1455),H1455,G1455)-IF(ISNUMBER(H1454),H1454,G1454))=0),"",(M1455-M1454)/(IF(ISNUMBER(H1455),H1455,G1455)-IF(ISNUMBER(H1454),H1454,G1454)))</f>
        <v/>
      </c>
      <c r="X1455" s="31">
        <f>IF(NOT(AND(ISNUMBER(O1455),ISNUMBER(Q1455))),"",(Q1455-O1455)*1440)</f>
        <v/>
      </c>
      <c r="Y1455" s="29" t="n"/>
      <c r="Z1455" s="29" t="n"/>
      <c r="AA1455" s="29" t="n"/>
      <c r="AB1455" s="32" t="n"/>
      <c r="AC1455" s="32" t="n"/>
    </row>
    <row r="1456">
      <c r="A1456" s="26" t="inlineStr">
        <is>
          <t>S28</t>
        </is>
      </c>
      <c r="B1456" s="26" t="inlineStr">
        <is>
          <t>이원 신규점</t>
        </is>
      </c>
      <c r="C1456" s="26" t="inlineStr">
        <is>
          <t>S28-H북</t>
        </is>
      </c>
      <c r="D1456" s="47" t="n">
        <v>1</v>
      </c>
      <c r="E1456" s="26" t="inlineStr">
        <is>
          <t>측정</t>
        </is>
      </c>
      <c r="F1456" s="26" t="inlineStr">
        <is>
          <t>북</t>
        </is>
      </c>
      <c r="G1456" s="31" t="n">
        <v>6</v>
      </c>
      <c r="H1456" s="30" t="n"/>
      <c r="I1456" s="43" t="n"/>
      <c r="J1456" s="41" t="n"/>
      <c r="K1456" s="41" t="n"/>
      <c r="L1456" s="41" t="n"/>
      <c r="M1456" s="31">
        <f>IF(COUNT(J1456:L1456)=0,"",MEDIAN(J1456:L1456))</f>
        <v/>
      </c>
      <c r="N1456" s="26">
        <f>IF(COUNTIFS($C:$C,$C1456,$D:$D,$D1456,$E:$E,"P0(전)",$M:$M,"&gt;0")&lt;&gt;1,"P0(전) 유효 1개 아님",IF(COUNTIFS($C:$C,$C1456,$D:$D,$D1456,$E:$E,"P0(후)",$M:$M,"&gt;0")&lt;&gt;1,"P0(후) 유효 1개 아님",IF(NOT(AND(ISNUMBER(O1456),ISNUMBER(Q1456),ISNUMBER(I1456))),"시각 결측",IF(Q1456&lt;=O1456,"P0 시각 역전",IF(OR(I1456&lt;O1456,I1456&gt;Q1456),"측정시각 구간 밖","OK")))))</f>
        <v/>
      </c>
      <c r="O1456" s="48">
        <f>IF(COUNTIFS($C:$C,$C1456,$D:$D,$D1456,$E:$E,"P0(전)",$M:$M,"&gt;0")&lt;&gt;1,"",SUMIFS($I:$I,$C:$C,$C1456,$D:$D,$D1456,$E:$E,"P0(전)"))</f>
        <v/>
      </c>
      <c r="P1456" s="31">
        <f>IF(COUNTIFS($C:$C,$C1456,$D:$D,$D1456,$E:$E,"P0(전)",$M:$M,"&gt;0")&lt;&gt;1,"",SUMIFS($M:$M,$C:$C,$C1456,$D:$D,$D1456,$E:$E,"P0(전)"))</f>
        <v/>
      </c>
      <c r="Q1456" s="48">
        <f>IF(COUNTIFS($C:$C,$C1456,$D:$D,$D1456,$E:$E,"P0(후)",$M:$M,"&gt;0")&lt;&gt;1,"",SUMIFS($I:$I,$C:$C,$C1456,$D:$D,$D1456,$E:$E,"P0(후)"))</f>
        <v/>
      </c>
      <c r="R1456" s="31">
        <f>IF(COUNTIFS($C:$C,$C1456,$D:$D,$D1456,$E:$E,"P0(후)",$M:$M,"&gt;0")&lt;&gt;1,"",SUMIFS($M:$M,$C:$C,$C1456,$D:$D,$D1456,$E:$E,"P0(후)"))</f>
        <v/>
      </c>
      <c r="S1456" s="31">
        <f>IF(N1456&lt;&gt;"OK","",P1456+(R1456-P1456)*(I1456-O1456)/(Q1456-O1456))</f>
        <v/>
      </c>
      <c r="T1456" s="31">
        <f>IF(OR(N1456&lt;&gt;"OK",NOT(ISNUMBER(M1456))),"",M1456-S1456)</f>
        <v/>
      </c>
      <c r="U1456" s="49">
        <f>IF(OR(NOT(ISNUMBER(T1456)),IF(ISNUMBER(H1456),H1456,G1456)=0),"",T1456/IF(ISNUMBER(H1456),H1456,G1456))</f>
        <v/>
      </c>
      <c r="V1456" s="49">
        <f>IF(ISNUMBER(U1456),ABS(U1456),"")</f>
        <v/>
      </c>
      <c r="W1456" s="49">
        <f>IF(OR($E1455&lt;&gt;"측정",$C1455&lt;&gt;$C1456,$D1455&lt;&gt;$D1456,NOT(ISNUMBER(M1456)),NOT(ISNUMBER(M1455)),(IF(ISNUMBER(H1456),H1456,G1456)-IF(ISNUMBER(H1455),H1455,G1455))=0),"",(M1456-M1455)/(IF(ISNUMBER(H1456),H1456,G1456)-IF(ISNUMBER(H1455),H1455,G1455)))</f>
        <v/>
      </c>
      <c r="X1456" s="31">
        <f>IF(NOT(AND(ISNUMBER(O1456),ISNUMBER(Q1456))),"",(Q1456-O1456)*1440)</f>
        <v/>
      </c>
      <c r="Y1456" s="29" t="n"/>
      <c r="Z1456" s="29" t="n"/>
      <c r="AA1456" s="29" t="n"/>
      <c r="AB1456" s="32" t="n"/>
      <c r="AC1456" s="32" t="n"/>
    </row>
    <row r="1457">
      <c r="A1457" s="26" t="inlineStr">
        <is>
          <t>S28</t>
        </is>
      </c>
      <c r="B1457" s="26" t="inlineStr">
        <is>
          <t>이원 신규점</t>
        </is>
      </c>
      <c r="C1457" s="26" t="inlineStr">
        <is>
          <t>S28-H북</t>
        </is>
      </c>
      <c r="D1457" s="47" t="n">
        <v>1</v>
      </c>
      <c r="E1457" s="26" t="inlineStr">
        <is>
          <t>측정</t>
        </is>
      </c>
      <c r="F1457" s="26" t="inlineStr">
        <is>
          <t>북</t>
        </is>
      </c>
      <c r="G1457" s="31" t="n">
        <v>7</v>
      </c>
      <c r="H1457" s="30" t="n"/>
      <c r="I1457" s="43" t="n"/>
      <c r="J1457" s="41" t="n"/>
      <c r="K1457" s="41" t="n"/>
      <c r="L1457" s="41" t="n"/>
      <c r="M1457" s="31">
        <f>IF(COUNT(J1457:L1457)=0,"",MEDIAN(J1457:L1457))</f>
        <v/>
      </c>
      <c r="N1457" s="26">
        <f>IF(COUNTIFS($C:$C,$C1457,$D:$D,$D1457,$E:$E,"P0(전)",$M:$M,"&gt;0")&lt;&gt;1,"P0(전) 유효 1개 아님",IF(COUNTIFS($C:$C,$C1457,$D:$D,$D1457,$E:$E,"P0(후)",$M:$M,"&gt;0")&lt;&gt;1,"P0(후) 유효 1개 아님",IF(NOT(AND(ISNUMBER(O1457),ISNUMBER(Q1457),ISNUMBER(I1457))),"시각 결측",IF(Q1457&lt;=O1457,"P0 시각 역전",IF(OR(I1457&lt;O1457,I1457&gt;Q1457),"측정시각 구간 밖","OK")))))</f>
        <v/>
      </c>
      <c r="O1457" s="48">
        <f>IF(COUNTIFS($C:$C,$C1457,$D:$D,$D1457,$E:$E,"P0(전)",$M:$M,"&gt;0")&lt;&gt;1,"",SUMIFS($I:$I,$C:$C,$C1457,$D:$D,$D1457,$E:$E,"P0(전)"))</f>
        <v/>
      </c>
      <c r="P1457" s="31">
        <f>IF(COUNTIFS($C:$C,$C1457,$D:$D,$D1457,$E:$E,"P0(전)",$M:$M,"&gt;0")&lt;&gt;1,"",SUMIFS($M:$M,$C:$C,$C1457,$D:$D,$D1457,$E:$E,"P0(전)"))</f>
        <v/>
      </c>
      <c r="Q1457" s="48">
        <f>IF(COUNTIFS($C:$C,$C1457,$D:$D,$D1457,$E:$E,"P0(후)",$M:$M,"&gt;0")&lt;&gt;1,"",SUMIFS($I:$I,$C:$C,$C1457,$D:$D,$D1457,$E:$E,"P0(후)"))</f>
        <v/>
      </c>
      <c r="R1457" s="31">
        <f>IF(COUNTIFS($C:$C,$C1457,$D:$D,$D1457,$E:$E,"P0(후)",$M:$M,"&gt;0")&lt;&gt;1,"",SUMIFS($M:$M,$C:$C,$C1457,$D:$D,$D1457,$E:$E,"P0(후)"))</f>
        <v/>
      </c>
      <c r="S1457" s="31">
        <f>IF(N1457&lt;&gt;"OK","",P1457+(R1457-P1457)*(I1457-O1457)/(Q1457-O1457))</f>
        <v/>
      </c>
      <c r="T1457" s="31">
        <f>IF(OR(N1457&lt;&gt;"OK",NOT(ISNUMBER(M1457))),"",M1457-S1457)</f>
        <v/>
      </c>
      <c r="U1457" s="49">
        <f>IF(OR(NOT(ISNUMBER(T1457)),IF(ISNUMBER(H1457),H1457,G1457)=0),"",T1457/IF(ISNUMBER(H1457),H1457,G1457))</f>
        <v/>
      </c>
      <c r="V1457" s="49">
        <f>IF(ISNUMBER(U1457),ABS(U1457),"")</f>
        <v/>
      </c>
      <c r="W1457" s="49">
        <f>IF(OR($E1456&lt;&gt;"측정",$C1456&lt;&gt;$C1457,$D1456&lt;&gt;$D1457,NOT(ISNUMBER(M1457)),NOT(ISNUMBER(M1456)),(IF(ISNUMBER(H1457),H1457,G1457)-IF(ISNUMBER(H1456),H1456,G1456))=0),"",(M1457-M1456)/(IF(ISNUMBER(H1457),H1457,G1457)-IF(ISNUMBER(H1456),H1456,G1456)))</f>
        <v/>
      </c>
      <c r="X1457" s="31">
        <f>IF(NOT(AND(ISNUMBER(O1457),ISNUMBER(Q1457))),"",(Q1457-O1457)*1440)</f>
        <v/>
      </c>
      <c r="Y1457" s="29" t="n"/>
      <c r="Z1457" s="29" t="n"/>
      <c r="AA1457" s="29" t="n"/>
      <c r="AB1457" s="32" t="n"/>
      <c r="AC1457" s="32" t="n"/>
    </row>
    <row r="1458">
      <c r="A1458" s="26" t="inlineStr">
        <is>
          <t>S28</t>
        </is>
      </c>
      <c r="B1458" s="26" t="inlineStr">
        <is>
          <t>이원 신규점</t>
        </is>
      </c>
      <c r="C1458" s="26" t="inlineStr">
        <is>
          <t>S28-H북</t>
        </is>
      </c>
      <c r="D1458" s="47" t="n">
        <v>1</v>
      </c>
      <c r="E1458" s="26" t="inlineStr">
        <is>
          <t>측정</t>
        </is>
      </c>
      <c r="F1458" s="26" t="inlineStr">
        <is>
          <t>북</t>
        </is>
      </c>
      <c r="G1458" s="31" t="n">
        <v>8</v>
      </c>
      <c r="H1458" s="30" t="n"/>
      <c r="I1458" s="43" t="n"/>
      <c r="J1458" s="41" t="n"/>
      <c r="K1458" s="41" t="n"/>
      <c r="L1458" s="41" t="n"/>
      <c r="M1458" s="31">
        <f>IF(COUNT(J1458:L1458)=0,"",MEDIAN(J1458:L1458))</f>
        <v/>
      </c>
      <c r="N1458" s="26">
        <f>IF(COUNTIFS($C:$C,$C1458,$D:$D,$D1458,$E:$E,"P0(전)",$M:$M,"&gt;0")&lt;&gt;1,"P0(전) 유효 1개 아님",IF(COUNTIFS($C:$C,$C1458,$D:$D,$D1458,$E:$E,"P0(후)",$M:$M,"&gt;0")&lt;&gt;1,"P0(후) 유효 1개 아님",IF(NOT(AND(ISNUMBER(O1458),ISNUMBER(Q1458),ISNUMBER(I1458))),"시각 결측",IF(Q1458&lt;=O1458,"P0 시각 역전",IF(OR(I1458&lt;O1458,I1458&gt;Q1458),"측정시각 구간 밖","OK")))))</f>
        <v/>
      </c>
      <c r="O1458" s="48">
        <f>IF(COUNTIFS($C:$C,$C1458,$D:$D,$D1458,$E:$E,"P0(전)",$M:$M,"&gt;0")&lt;&gt;1,"",SUMIFS($I:$I,$C:$C,$C1458,$D:$D,$D1458,$E:$E,"P0(전)"))</f>
        <v/>
      </c>
      <c r="P1458" s="31">
        <f>IF(COUNTIFS($C:$C,$C1458,$D:$D,$D1458,$E:$E,"P0(전)",$M:$M,"&gt;0")&lt;&gt;1,"",SUMIFS($M:$M,$C:$C,$C1458,$D:$D,$D1458,$E:$E,"P0(전)"))</f>
        <v/>
      </c>
      <c r="Q1458" s="48">
        <f>IF(COUNTIFS($C:$C,$C1458,$D:$D,$D1458,$E:$E,"P0(후)",$M:$M,"&gt;0")&lt;&gt;1,"",SUMIFS($I:$I,$C:$C,$C1458,$D:$D,$D1458,$E:$E,"P0(후)"))</f>
        <v/>
      </c>
      <c r="R1458" s="31">
        <f>IF(COUNTIFS($C:$C,$C1458,$D:$D,$D1458,$E:$E,"P0(후)",$M:$M,"&gt;0")&lt;&gt;1,"",SUMIFS($M:$M,$C:$C,$C1458,$D:$D,$D1458,$E:$E,"P0(후)"))</f>
        <v/>
      </c>
      <c r="S1458" s="31">
        <f>IF(N1458&lt;&gt;"OK","",P1458+(R1458-P1458)*(I1458-O1458)/(Q1458-O1458))</f>
        <v/>
      </c>
      <c r="T1458" s="31">
        <f>IF(OR(N1458&lt;&gt;"OK",NOT(ISNUMBER(M1458))),"",M1458-S1458)</f>
        <v/>
      </c>
      <c r="U1458" s="49">
        <f>IF(OR(NOT(ISNUMBER(T1458)),IF(ISNUMBER(H1458),H1458,G1458)=0),"",T1458/IF(ISNUMBER(H1458),H1458,G1458))</f>
        <v/>
      </c>
      <c r="V1458" s="49">
        <f>IF(ISNUMBER(U1458),ABS(U1458),"")</f>
        <v/>
      </c>
      <c r="W1458" s="49">
        <f>IF(OR($E1457&lt;&gt;"측정",$C1457&lt;&gt;$C1458,$D1457&lt;&gt;$D1458,NOT(ISNUMBER(M1458)),NOT(ISNUMBER(M1457)),(IF(ISNUMBER(H1458),H1458,G1458)-IF(ISNUMBER(H1457),H1457,G1457))=0),"",(M1458-M1457)/(IF(ISNUMBER(H1458),H1458,G1458)-IF(ISNUMBER(H1457),H1457,G1457)))</f>
        <v/>
      </c>
      <c r="X1458" s="31">
        <f>IF(NOT(AND(ISNUMBER(O1458),ISNUMBER(Q1458))),"",(Q1458-O1458)*1440)</f>
        <v/>
      </c>
      <c r="Y1458" s="29" t="n"/>
      <c r="Z1458" s="29" t="n"/>
      <c r="AA1458" s="29" t="n"/>
      <c r="AB1458" s="32" t="n"/>
      <c r="AC1458" s="32" t="n"/>
    </row>
    <row r="1459">
      <c r="A1459" s="26" t="inlineStr">
        <is>
          <t>S28</t>
        </is>
      </c>
      <c r="B1459" s="26" t="inlineStr">
        <is>
          <t>이원 신규점</t>
        </is>
      </c>
      <c r="C1459" s="26" t="inlineStr">
        <is>
          <t>S28-H북</t>
        </is>
      </c>
      <c r="D1459" s="47" t="n">
        <v>1</v>
      </c>
      <c r="E1459" s="26" t="inlineStr">
        <is>
          <t>측정</t>
        </is>
      </c>
      <c r="F1459" s="26" t="inlineStr">
        <is>
          <t>북</t>
        </is>
      </c>
      <c r="G1459" s="31" t="n">
        <v>9</v>
      </c>
      <c r="H1459" s="30" t="n"/>
      <c r="I1459" s="43" t="n"/>
      <c r="J1459" s="41" t="n"/>
      <c r="K1459" s="41" t="n"/>
      <c r="L1459" s="41" t="n"/>
      <c r="M1459" s="31">
        <f>IF(COUNT(J1459:L1459)=0,"",MEDIAN(J1459:L1459))</f>
        <v/>
      </c>
      <c r="N1459" s="26">
        <f>IF(COUNTIFS($C:$C,$C1459,$D:$D,$D1459,$E:$E,"P0(전)",$M:$M,"&gt;0")&lt;&gt;1,"P0(전) 유효 1개 아님",IF(COUNTIFS($C:$C,$C1459,$D:$D,$D1459,$E:$E,"P0(후)",$M:$M,"&gt;0")&lt;&gt;1,"P0(후) 유효 1개 아님",IF(NOT(AND(ISNUMBER(O1459),ISNUMBER(Q1459),ISNUMBER(I1459))),"시각 결측",IF(Q1459&lt;=O1459,"P0 시각 역전",IF(OR(I1459&lt;O1459,I1459&gt;Q1459),"측정시각 구간 밖","OK")))))</f>
        <v/>
      </c>
      <c r="O1459" s="48">
        <f>IF(COUNTIFS($C:$C,$C1459,$D:$D,$D1459,$E:$E,"P0(전)",$M:$M,"&gt;0")&lt;&gt;1,"",SUMIFS($I:$I,$C:$C,$C1459,$D:$D,$D1459,$E:$E,"P0(전)"))</f>
        <v/>
      </c>
      <c r="P1459" s="31">
        <f>IF(COUNTIFS($C:$C,$C1459,$D:$D,$D1459,$E:$E,"P0(전)",$M:$M,"&gt;0")&lt;&gt;1,"",SUMIFS($M:$M,$C:$C,$C1459,$D:$D,$D1459,$E:$E,"P0(전)"))</f>
        <v/>
      </c>
      <c r="Q1459" s="48">
        <f>IF(COUNTIFS($C:$C,$C1459,$D:$D,$D1459,$E:$E,"P0(후)",$M:$M,"&gt;0")&lt;&gt;1,"",SUMIFS($I:$I,$C:$C,$C1459,$D:$D,$D1459,$E:$E,"P0(후)"))</f>
        <v/>
      </c>
      <c r="R1459" s="31">
        <f>IF(COUNTIFS($C:$C,$C1459,$D:$D,$D1459,$E:$E,"P0(후)",$M:$M,"&gt;0")&lt;&gt;1,"",SUMIFS($M:$M,$C:$C,$C1459,$D:$D,$D1459,$E:$E,"P0(후)"))</f>
        <v/>
      </c>
      <c r="S1459" s="31">
        <f>IF(N1459&lt;&gt;"OK","",P1459+(R1459-P1459)*(I1459-O1459)/(Q1459-O1459))</f>
        <v/>
      </c>
      <c r="T1459" s="31">
        <f>IF(OR(N1459&lt;&gt;"OK",NOT(ISNUMBER(M1459))),"",M1459-S1459)</f>
        <v/>
      </c>
      <c r="U1459" s="49">
        <f>IF(OR(NOT(ISNUMBER(T1459)),IF(ISNUMBER(H1459),H1459,G1459)=0),"",T1459/IF(ISNUMBER(H1459),H1459,G1459))</f>
        <v/>
      </c>
      <c r="V1459" s="49">
        <f>IF(ISNUMBER(U1459),ABS(U1459),"")</f>
        <v/>
      </c>
      <c r="W1459" s="49">
        <f>IF(OR($E1458&lt;&gt;"측정",$C1458&lt;&gt;$C1459,$D1458&lt;&gt;$D1459,NOT(ISNUMBER(M1459)),NOT(ISNUMBER(M1458)),(IF(ISNUMBER(H1459),H1459,G1459)-IF(ISNUMBER(H1458),H1458,G1458))=0),"",(M1459-M1458)/(IF(ISNUMBER(H1459),H1459,G1459)-IF(ISNUMBER(H1458),H1458,G1458)))</f>
        <v/>
      </c>
      <c r="X1459" s="31">
        <f>IF(NOT(AND(ISNUMBER(O1459),ISNUMBER(Q1459))),"",(Q1459-O1459)*1440)</f>
        <v/>
      </c>
      <c r="Y1459" s="29" t="n"/>
      <c r="Z1459" s="29" t="n"/>
      <c r="AA1459" s="29" t="n"/>
      <c r="AB1459" s="32" t="n"/>
      <c r="AC1459" s="32" t="n"/>
    </row>
    <row r="1460">
      <c r="A1460" s="26" t="inlineStr">
        <is>
          <t>S28</t>
        </is>
      </c>
      <c r="B1460" s="26" t="inlineStr">
        <is>
          <t>이원 신규점</t>
        </is>
      </c>
      <c r="C1460" s="26" t="inlineStr">
        <is>
          <t>S28-H북</t>
        </is>
      </c>
      <c r="D1460" s="47" t="n">
        <v>1</v>
      </c>
      <c r="E1460" s="26" t="inlineStr">
        <is>
          <t>측정</t>
        </is>
      </c>
      <c r="F1460" s="26" t="inlineStr">
        <is>
          <t>북</t>
        </is>
      </c>
      <c r="G1460" s="31" t="n">
        <v>10</v>
      </c>
      <c r="H1460" s="30" t="n"/>
      <c r="I1460" s="43" t="n"/>
      <c r="J1460" s="41" t="n"/>
      <c r="K1460" s="41" t="n"/>
      <c r="L1460" s="41" t="n"/>
      <c r="M1460" s="31">
        <f>IF(COUNT(J1460:L1460)=0,"",MEDIAN(J1460:L1460))</f>
        <v/>
      </c>
      <c r="N1460" s="26">
        <f>IF(COUNTIFS($C:$C,$C1460,$D:$D,$D1460,$E:$E,"P0(전)",$M:$M,"&gt;0")&lt;&gt;1,"P0(전) 유효 1개 아님",IF(COUNTIFS($C:$C,$C1460,$D:$D,$D1460,$E:$E,"P0(후)",$M:$M,"&gt;0")&lt;&gt;1,"P0(후) 유효 1개 아님",IF(NOT(AND(ISNUMBER(O1460),ISNUMBER(Q1460),ISNUMBER(I1460))),"시각 결측",IF(Q1460&lt;=O1460,"P0 시각 역전",IF(OR(I1460&lt;O1460,I1460&gt;Q1460),"측정시각 구간 밖","OK")))))</f>
        <v/>
      </c>
      <c r="O1460" s="48">
        <f>IF(COUNTIFS($C:$C,$C1460,$D:$D,$D1460,$E:$E,"P0(전)",$M:$M,"&gt;0")&lt;&gt;1,"",SUMIFS($I:$I,$C:$C,$C1460,$D:$D,$D1460,$E:$E,"P0(전)"))</f>
        <v/>
      </c>
      <c r="P1460" s="31">
        <f>IF(COUNTIFS($C:$C,$C1460,$D:$D,$D1460,$E:$E,"P0(전)",$M:$M,"&gt;0")&lt;&gt;1,"",SUMIFS($M:$M,$C:$C,$C1460,$D:$D,$D1460,$E:$E,"P0(전)"))</f>
        <v/>
      </c>
      <c r="Q1460" s="48">
        <f>IF(COUNTIFS($C:$C,$C1460,$D:$D,$D1460,$E:$E,"P0(후)",$M:$M,"&gt;0")&lt;&gt;1,"",SUMIFS($I:$I,$C:$C,$C1460,$D:$D,$D1460,$E:$E,"P0(후)"))</f>
        <v/>
      </c>
      <c r="R1460" s="31">
        <f>IF(COUNTIFS($C:$C,$C1460,$D:$D,$D1460,$E:$E,"P0(후)",$M:$M,"&gt;0")&lt;&gt;1,"",SUMIFS($M:$M,$C:$C,$C1460,$D:$D,$D1460,$E:$E,"P0(후)"))</f>
        <v/>
      </c>
      <c r="S1460" s="31">
        <f>IF(N1460&lt;&gt;"OK","",P1460+(R1460-P1460)*(I1460-O1460)/(Q1460-O1460))</f>
        <v/>
      </c>
      <c r="T1460" s="31">
        <f>IF(OR(N1460&lt;&gt;"OK",NOT(ISNUMBER(M1460))),"",M1460-S1460)</f>
        <v/>
      </c>
      <c r="U1460" s="49">
        <f>IF(OR(NOT(ISNUMBER(T1460)),IF(ISNUMBER(H1460),H1460,G1460)=0),"",T1460/IF(ISNUMBER(H1460),H1460,G1460))</f>
        <v/>
      </c>
      <c r="V1460" s="49">
        <f>IF(ISNUMBER(U1460),ABS(U1460),"")</f>
        <v/>
      </c>
      <c r="W1460" s="49">
        <f>IF(OR($E1459&lt;&gt;"측정",$C1459&lt;&gt;$C1460,$D1459&lt;&gt;$D1460,NOT(ISNUMBER(M1460)),NOT(ISNUMBER(M1459)),(IF(ISNUMBER(H1460),H1460,G1460)-IF(ISNUMBER(H1459),H1459,G1459))=0),"",(M1460-M1459)/(IF(ISNUMBER(H1460),H1460,G1460)-IF(ISNUMBER(H1459),H1459,G1459)))</f>
        <v/>
      </c>
      <c r="X1460" s="31">
        <f>IF(NOT(AND(ISNUMBER(O1460),ISNUMBER(Q1460))),"",(Q1460-O1460)*1440)</f>
        <v/>
      </c>
      <c r="Y1460" s="29" t="n"/>
      <c r="Z1460" s="29" t="n"/>
      <c r="AA1460" s="29" t="n"/>
      <c r="AB1460" s="32" t="n"/>
      <c r="AC1460" s="32" t="n"/>
    </row>
    <row r="1461">
      <c r="A1461" s="44" t="inlineStr">
        <is>
          <t>S28</t>
        </is>
      </c>
      <c r="B1461" s="44" t="inlineStr">
        <is>
          <t>이원 신규점</t>
        </is>
      </c>
      <c r="C1461" s="44" t="inlineStr">
        <is>
          <t>S28-H북</t>
        </is>
      </c>
      <c r="D1461" s="45" t="n">
        <v>1</v>
      </c>
      <c r="E1461" s="44" t="inlineStr">
        <is>
          <t>P0(후)</t>
        </is>
      </c>
      <c r="F1461" s="44" t="inlineStr">
        <is>
          <t>북</t>
        </is>
      </c>
      <c r="G1461" s="46" t="n"/>
      <c r="H1461" s="30" t="n"/>
      <c r="I1461" s="43" t="n"/>
      <c r="J1461" s="41" t="n"/>
      <c r="K1461" s="41" t="n"/>
      <c r="L1461" s="41" t="n"/>
      <c r="M1461" s="31">
        <f>IF(COUNT(J1461:L1461)=0,"",MEDIAN(J1461:L1461))</f>
        <v/>
      </c>
      <c r="N1461" s="38" t="n"/>
      <c r="O1461" s="38" t="n"/>
      <c r="P1461" s="38" t="n"/>
      <c r="Q1461" s="38" t="n"/>
      <c r="R1461" s="38" t="n"/>
      <c r="S1461" s="38" t="n"/>
      <c r="T1461" s="38" t="n"/>
      <c r="U1461" s="38" t="n"/>
      <c r="V1461" s="38" t="n"/>
      <c r="W1461" s="38" t="n"/>
      <c r="X1461" s="38" t="n"/>
      <c r="Y1461" s="29" t="n"/>
      <c r="Z1461" s="29" t="n"/>
      <c r="AA1461" s="29" t="n"/>
      <c r="AB1461" s="32" t="n"/>
      <c r="AC1461" s="32" t="n"/>
    </row>
    <row r="1462">
      <c r="A1462" s="44" t="inlineStr">
        <is>
          <t>S29</t>
        </is>
      </c>
      <c r="B1462" s="44" t="inlineStr">
        <is>
          <t>가야 신규점1</t>
        </is>
      </c>
      <c r="C1462" s="44" t="inlineStr">
        <is>
          <t>S29-H동</t>
        </is>
      </c>
      <c r="D1462" s="45" t="n">
        <v>1</v>
      </c>
      <c r="E1462" s="44" t="inlineStr">
        <is>
          <t>P0(전)</t>
        </is>
      </c>
      <c r="F1462" s="44" t="inlineStr">
        <is>
          <t>동</t>
        </is>
      </c>
      <c r="G1462" s="46" t="n"/>
      <c r="H1462" s="30" t="n"/>
      <c r="I1462" s="43" t="n"/>
      <c r="J1462" s="41" t="n"/>
      <c r="K1462" s="41" t="n"/>
      <c r="L1462" s="41" t="n"/>
      <c r="M1462" s="31">
        <f>IF(COUNT(J1462:L1462)=0,"",MEDIAN(J1462:L1462))</f>
        <v/>
      </c>
      <c r="N1462" s="38" t="n"/>
      <c r="O1462" s="38" t="n"/>
      <c r="P1462" s="38" t="n"/>
      <c r="Q1462" s="38" t="n"/>
      <c r="R1462" s="38" t="n"/>
      <c r="S1462" s="38" t="n"/>
      <c r="T1462" s="38" t="n"/>
      <c r="U1462" s="38" t="n"/>
      <c r="V1462" s="38" t="n"/>
      <c r="W1462" s="38" t="n"/>
      <c r="X1462" s="38" t="n"/>
      <c r="Y1462" s="29" t="n"/>
      <c r="Z1462" s="29" t="n"/>
      <c r="AA1462" s="29" t="n"/>
      <c r="AB1462" s="32" t="n"/>
      <c r="AC1462" s="32" t="n"/>
    </row>
    <row r="1463">
      <c r="A1463" s="26" t="inlineStr">
        <is>
          <t>S29</t>
        </is>
      </c>
      <c r="B1463" s="26" t="inlineStr">
        <is>
          <t>가야 신규점1</t>
        </is>
      </c>
      <c r="C1463" s="26" t="inlineStr">
        <is>
          <t>S29-H동</t>
        </is>
      </c>
      <c r="D1463" s="47" t="n">
        <v>1</v>
      </c>
      <c r="E1463" s="26" t="inlineStr">
        <is>
          <t>측정</t>
        </is>
      </c>
      <c r="F1463" s="26" t="inlineStr">
        <is>
          <t>동</t>
        </is>
      </c>
      <c r="G1463" s="31" t="n">
        <v>0.5</v>
      </c>
      <c r="H1463" s="30" t="n"/>
      <c r="I1463" s="43" t="n"/>
      <c r="J1463" s="41" t="n"/>
      <c r="K1463" s="41" t="n"/>
      <c r="L1463" s="41" t="n"/>
      <c r="M1463" s="31">
        <f>IF(COUNT(J1463:L1463)=0,"",MEDIAN(J1463:L1463))</f>
        <v/>
      </c>
      <c r="N1463" s="26">
        <f>IF(COUNTIFS($C:$C,$C1463,$D:$D,$D1463,$E:$E,"P0(전)",$M:$M,"&gt;0")&lt;&gt;1,"P0(전) 유효 1개 아님",IF(COUNTIFS($C:$C,$C1463,$D:$D,$D1463,$E:$E,"P0(후)",$M:$M,"&gt;0")&lt;&gt;1,"P0(후) 유효 1개 아님",IF(NOT(AND(ISNUMBER(O1463),ISNUMBER(Q1463),ISNUMBER(I1463))),"시각 결측",IF(Q1463&lt;=O1463,"P0 시각 역전",IF(OR(I1463&lt;O1463,I1463&gt;Q1463),"측정시각 구간 밖","OK")))))</f>
        <v/>
      </c>
      <c r="O1463" s="48">
        <f>IF(COUNTIFS($C:$C,$C1463,$D:$D,$D1463,$E:$E,"P0(전)",$M:$M,"&gt;0")&lt;&gt;1,"",SUMIFS($I:$I,$C:$C,$C1463,$D:$D,$D1463,$E:$E,"P0(전)"))</f>
        <v/>
      </c>
      <c r="P1463" s="31">
        <f>IF(COUNTIFS($C:$C,$C1463,$D:$D,$D1463,$E:$E,"P0(전)",$M:$M,"&gt;0")&lt;&gt;1,"",SUMIFS($M:$M,$C:$C,$C1463,$D:$D,$D1463,$E:$E,"P0(전)"))</f>
        <v/>
      </c>
      <c r="Q1463" s="48">
        <f>IF(COUNTIFS($C:$C,$C1463,$D:$D,$D1463,$E:$E,"P0(후)",$M:$M,"&gt;0")&lt;&gt;1,"",SUMIFS($I:$I,$C:$C,$C1463,$D:$D,$D1463,$E:$E,"P0(후)"))</f>
        <v/>
      </c>
      <c r="R1463" s="31">
        <f>IF(COUNTIFS($C:$C,$C1463,$D:$D,$D1463,$E:$E,"P0(후)",$M:$M,"&gt;0")&lt;&gt;1,"",SUMIFS($M:$M,$C:$C,$C1463,$D:$D,$D1463,$E:$E,"P0(후)"))</f>
        <v/>
      </c>
      <c r="S1463" s="31">
        <f>IF(N1463&lt;&gt;"OK","",P1463+(R1463-P1463)*(I1463-O1463)/(Q1463-O1463))</f>
        <v/>
      </c>
      <c r="T1463" s="31">
        <f>IF(OR(N1463&lt;&gt;"OK",NOT(ISNUMBER(M1463))),"",M1463-S1463)</f>
        <v/>
      </c>
      <c r="U1463" s="49">
        <f>IF(OR(NOT(ISNUMBER(T1463)),IF(ISNUMBER(H1463),H1463,G1463)=0),"",T1463/IF(ISNUMBER(H1463),H1463,G1463))</f>
        <v/>
      </c>
      <c r="V1463" s="49">
        <f>IF(ISNUMBER(U1463),ABS(U1463),"")</f>
        <v/>
      </c>
      <c r="W1463" s="49">
        <f>IF(OR($E1462&lt;&gt;"측정",$C1462&lt;&gt;$C1463,$D1462&lt;&gt;$D1463,NOT(ISNUMBER(M1463)),NOT(ISNUMBER(M1462)),(IF(ISNUMBER(H1463),H1463,G1463)-IF(ISNUMBER(H1462),H1462,G1462))=0),"",(M1463-M1462)/(IF(ISNUMBER(H1463),H1463,G1463)-IF(ISNUMBER(H1462),H1462,G1462)))</f>
        <v/>
      </c>
      <c r="X1463" s="31">
        <f>IF(NOT(AND(ISNUMBER(O1463),ISNUMBER(Q1463))),"",(Q1463-O1463)*1440)</f>
        <v/>
      </c>
      <c r="Y1463" s="29" t="n"/>
      <c r="Z1463" s="29" t="n"/>
      <c r="AA1463" s="29" t="n"/>
      <c r="AB1463" s="32" t="n"/>
      <c r="AC1463" s="32" t="n"/>
    </row>
    <row r="1464">
      <c r="A1464" s="26" t="inlineStr">
        <is>
          <t>S29</t>
        </is>
      </c>
      <c r="B1464" s="26" t="inlineStr">
        <is>
          <t>가야 신규점1</t>
        </is>
      </c>
      <c r="C1464" s="26" t="inlineStr">
        <is>
          <t>S29-H동</t>
        </is>
      </c>
      <c r="D1464" s="47" t="n">
        <v>1</v>
      </c>
      <c r="E1464" s="26" t="inlineStr">
        <is>
          <t>측정</t>
        </is>
      </c>
      <c r="F1464" s="26" t="inlineStr">
        <is>
          <t>동</t>
        </is>
      </c>
      <c r="G1464" s="31" t="n">
        <v>1</v>
      </c>
      <c r="H1464" s="30" t="n"/>
      <c r="I1464" s="43" t="n"/>
      <c r="J1464" s="41" t="n"/>
      <c r="K1464" s="41" t="n"/>
      <c r="L1464" s="41" t="n"/>
      <c r="M1464" s="31">
        <f>IF(COUNT(J1464:L1464)=0,"",MEDIAN(J1464:L1464))</f>
        <v/>
      </c>
      <c r="N1464" s="26">
        <f>IF(COUNTIFS($C:$C,$C1464,$D:$D,$D1464,$E:$E,"P0(전)",$M:$M,"&gt;0")&lt;&gt;1,"P0(전) 유효 1개 아님",IF(COUNTIFS($C:$C,$C1464,$D:$D,$D1464,$E:$E,"P0(후)",$M:$M,"&gt;0")&lt;&gt;1,"P0(후) 유효 1개 아님",IF(NOT(AND(ISNUMBER(O1464),ISNUMBER(Q1464),ISNUMBER(I1464))),"시각 결측",IF(Q1464&lt;=O1464,"P0 시각 역전",IF(OR(I1464&lt;O1464,I1464&gt;Q1464),"측정시각 구간 밖","OK")))))</f>
        <v/>
      </c>
      <c r="O1464" s="48">
        <f>IF(COUNTIFS($C:$C,$C1464,$D:$D,$D1464,$E:$E,"P0(전)",$M:$M,"&gt;0")&lt;&gt;1,"",SUMIFS($I:$I,$C:$C,$C1464,$D:$D,$D1464,$E:$E,"P0(전)"))</f>
        <v/>
      </c>
      <c r="P1464" s="31">
        <f>IF(COUNTIFS($C:$C,$C1464,$D:$D,$D1464,$E:$E,"P0(전)",$M:$M,"&gt;0")&lt;&gt;1,"",SUMIFS($M:$M,$C:$C,$C1464,$D:$D,$D1464,$E:$E,"P0(전)"))</f>
        <v/>
      </c>
      <c r="Q1464" s="48">
        <f>IF(COUNTIFS($C:$C,$C1464,$D:$D,$D1464,$E:$E,"P0(후)",$M:$M,"&gt;0")&lt;&gt;1,"",SUMIFS($I:$I,$C:$C,$C1464,$D:$D,$D1464,$E:$E,"P0(후)"))</f>
        <v/>
      </c>
      <c r="R1464" s="31">
        <f>IF(COUNTIFS($C:$C,$C1464,$D:$D,$D1464,$E:$E,"P0(후)",$M:$M,"&gt;0")&lt;&gt;1,"",SUMIFS($M:$M,$C:$C,$C1464,$D:$D,$D1464,$E:$E,"P0(후)"))</f>
        <v/>
      </c>
      <c r="S1464" s="31">
        <f>IF(N1464&lt;&gt;"OK","",P1464+(R1464-P1464)*(I1464-O1464)/(Q1464-O1464))</f>
        <v/>
      </c>
      <c r="T1464" s="31">
        <f>IF(OR(N1464&lt;&gt;"OK",NOT(ISNUMBER(M1464))),"",M1464-S1464)</f>
        <v/>
      </c>
      <c r="U1464" s="49">
        <f>IF(OR(NOT(ISNUMBER(T1464)),IF(ISNUMBER(H1464),H1464,G1464)=0),"",T1464/IF(ISNUMBER(H1464),H1464,G1464))</f>
        <v/>
      </c>
      <c r="V1464" s="49">
        <f>IF(ISNUMBER(U1464),ABS(U1464),"")</f>
        <v/>
      </c>
      <c r="W1464" s="49">
        <f>IF(OR($E1463&lt;&gt;"측정",$C1463&lt;&gt;$C1464,$D1463&lt;&gt;$D1464,NOT(ISNUMBER(M1464)),NOT(ISNUMBER(M1463)),(IF(ISNUMBER(H1464),H1464,G1464)-IF(ISNUMBER(H1463),H1463,G1463))=0),"",(M1464-M1463)/(IF(ISNUMBER(H1464),H1464,G1464)-IF(ISNUMBER(H1463),H1463,G1463)))</f>
        <v/>
      </c>
      <c r="X1464" s="31">
        <f>IF(NOT(AND(ISNUMBER(O1464),ISNUMBER(Q1464))),"",(Q1464-O1464)*1440)</f>
        <v/>
      </c>
      <c r="Y1464" s="29" t="n"/>
      <c r="Z1464" s="29" t="n"/>
      <c r="AA1464" s="29" t="n"/>
      <c r="AB1464" s="32" t="n"/>
      <c r="AC1464" s="32" t="n"/>
    </row>
    <row r="1465">
      <c r="A1465" s="26" t="inlineStr">
        <is>
          <t>S29</t>
        </is>
      </c>
      <c r="B1465" s="26" t="inlineStr">
        <is>
          <t>가야 신규점1</t>
        </is>
      </c>
      <c r="C1465" s="26" t="inlineStr">
        <is>
          <t>S29-H동</t>
        </is>
      </c>
      <c r="D1465" s="47" t="n">
        <v>1</v>
      </c>
      <c r="E1465" s="26" t="inlineStr">
        <is>
          <t>측정</t>
        </is>
      </c>
      <c r="F1465" s="26" t="inlineStr">
        <is>
          <t>동</t>
        </is>
      </c>
      <c r="G1465" s="31" t="n">
        <v>2</v>
      </c>
      <c r="H1465" s="30" t="n"/>
      <c r="I1465" s="43" t="n"/>
      <c r="J1465" s="41" t="n"/>
      <c r="K1465" s="41" t="n"/>
      <c r="L1465" s="41" t="n"/>
      <c r="M1465" s="31">
        <f>IF(COUNT(J1465:L1465)=0,"",MEDIAN(J1465:L1465))</f>
        <v/>
      </c>
      <c r="N1465" s="26">
        <f>IF(COUNTIFS($C:$C,$C1465,$D:$D,$D1465,$E:$E,"P0(전)",$M:$M,"&gt;0")&lt;&gt;1,"P0(전) 유효 1개 아님",IF(COUNTIFS($C:$C,$C1465,$D:$D,$D1465,$E:$E,"P0(후)",$M:$M,"&gt;0")&lt;&gt;1,"P0(후) 유효 1개 아님",IF(NOT(AND(ISNUMBER(O1465),ISNUMBER(Q1465),ISNUMBER(I1465))),"시각 결측",IF(Q1465&lt;=O1465,"P0 시각 역전",IF(OR(I1465&lt;O1465,I1465&gt;Q1465),"측정시각 구간 밖","OK")))))</f>
        <v/>
      </c>
      <c r="O1465" s="48">
        <f>IF(COUNTIFS($C:$C,$C1465,$D:$D,$D1465,$E:$E,"P0(전)",$M:$M,"&gt;0")&lt;&gt;1,"",SUMIFS($I:$I,$C:$C,$C1465,$D:$D,$D1465,$E:$E,"P0(전)"))</f>
        <v/>
      </c>
      <c r="P1465" s="31">
        <f>IF(COUNTIFS($C:$C,$C1465,$D:$D,$D1465,$E:$E,"P0(전)",$M:$M,"&gt;0")&lt;&gt;1,"",SUMIFS($M:$M,$C:$C,$C1465,$D:$D,$D1465,$E:$E,"P0(전)"))</f>
        <v/>
      </c>
      <c r="Q1465" s="48">
        <f>IF(COUNTIFS($C:$C,$C1465,$D:$D,$D1465,$E:$E,"P0(후)",$M:$M,"&gt;0")&lt;&gt;1,"",SUMIFS($I:$I,$C:$C,$C1465,$D:$D,$D1465,$E:$E,"P0(후)"))</f>
        <v/>
      </c>
      <c r="R1465" s="31">
        <f>IF(COUNTIFS($C:$C,$C1465,$D:$D,$D1465,$E:$E,"P0(후)",$M:$M,"&gt;0")&lt;&gt;1,"",SUMIFS($M:$M,$C:$C,$C1465,$D:$D,$D1465,$E:$E,"P0(후)"))</f>
        <v/>
      </c>
      <c r="S1465" s="31">
        <f>IF(N1465&lt;&gt;"OK","",P1465+(R1465-P1465)*(I1465-O1465)/(Q1465-O1465))</f>
        <v/>
      </c>
      <c r="T1465" s="31">
        <f>IF(OR(N1465&lt;&gt;"OK",NOT(ISNUMBER(M1465))),"",M1465-S1465)</f>
        <v/>
      </c>
      <c r="U1465" s="49">
        <f>IF(OR(NOT(ISNUMBER(T1465)),IF(ISNUMBER(H1465),H1465,G1465)=0),"",T1465/IF(ISNUMBER(H1465),H1465,G1465))</f>
        <v/>
      </c>
      <c r="V1465" s="49">
        <f>IF(ISNUMBER(U1465),ABS(U1465),"")</f>
        <v/>
      </c>
      <c r="W1465" s="49">
        <f>IF(OR($E1464&lt;&gt;"측정",$C1464&lt;&gt;$C1465,$D1464&lt;&gt;$D1465,NOT(ISNUMBER(M1465)),NOT(ISNUMBER(M1464)),(IF(ISNUMBER(H1465),H1465,G1465)-IF(ISNUMBER(H1464),H1464,G1464))=0),"",(M1465-M1464)/(IF(ISNUMBER(H1465),H1465,G1465)-IF(ISNUMBER(H1464),H1464,G1464)))</f>
        <v/>
      </c>
      <c r="X1465" s="31">
        <f>IF(NOT(AND(ISNUMBER(O1465),ISNUMBER(Q1465))),"",(Q1465-O1465)*1440)</f>
        <v/>
      </c>
      <c r="Y1465" s="29" t="n"/>
      <c r="Z1465" s="29" t="n"/>
      <c r="AA1465" s="29" t="n"/>
      <c r="AB1465" s="32" t="n"/>
      <c r="AC1465" s="32" t="n"/>
    </row>
    <row r="1466">
      <c r="A1466" s="26" t="inlineStr">
        <is>
          <t>S29</t>
        </is>
      </c>
      <c r="B1466" s="26" t="inlineStr">
        <is>
          <t>가야 신규점1</t>
        </is>
      </c>
      <c r="C1466" s="26" t="inlineStr">
        <is>
          <t>S29-H동</t>
        </is>
      </c>
      <c r="D1466" s="47" t="n">
        <v>1</v>
      </c>
      <c r="E1466" s="26" t="inlineStr">
        <is>
          <t>측정</t>
        </is>
      </c>
      <c r="F1466" s="26" t="inlineStr">
        <is>
          <t>동</t>
        </is>
      </c>
      <c r="G1466" s="31" t="n">
        <v>3</v>
      </c>
      <c r="H1466" s="30" t="n"/>
      <c r="I1466" s="43" t="n"/>
      <c r="J1466" s="41" t="n"/>
      <c r="K1466" s="41" t="n"/>
      <c r="L1466" s="41" t="n"/>
      <c r="M1466" s="31">
        <f>IF(COUNT(J1466:L1466)=0,"",MEDIAN(J1466:L1466))</f>
        <v/>
      </c>
      <c r="N1466" s="26">
        <f>IF(COUNTIFS($C:$C,$C1466,$D:$D,$D1466,$E:$E,"P0(전)",$M:$M,"&gt;0")&lt;&gt;1,"P0(전) 유효 1개 아님",IF(COUNTIFS($C:$C,$C1466,$D:$D,$D1466,$E:$E,"P0(후)",$M:$M,"&gt;0")&lt;&gt;1,"P0(후) 유효 1개 아님",IF(NOT(AND(ISNUMBER(O1466),ISNUMBER(Q1466),ISNUMBER(I1466))),"시각 결측",IF(Q1466&lt;=O1466,"P0 시각 역전",IF(OR(I1466&lt;O1466,I1466&gt;Q1466),"측정시각 구간 밖","OK")))))</f>
        <v/>
      </c>
      <c r="O1466" s="48">
        <f>IF(COUNTIFS($C:$C,$C1466,$D:$D,$D1466,$E:$E,"P0(전)",$M:$M,"&gt;0")&lt;&gt;1,"",SUMIFS($I:$I,$C:$C,$C1466,$D:$D,$D1466,$E:$E,"P0(전)"))</f>
        <v/>
      </c>
      <c r="P1466" s="31">
        <f>IF(COUNTIFS($C:$C,$C1466,$D:$D,$D1466,$E:$E,"P0(전)",$M:$M,"&gt;0")&lt;&gt;1,"",SUMIFS($M:$M,$C:$C,$C1466,$D:$D,$D1466,$E:$E,"P0(전)"))</f>
        <v/>
      </c>
      <c r="Q1466" s="48">
        <f>IF(COUNTIFS($C:$C,$C1466,$D:$D,$D1466,$E:$E,"P0(후)",$M:$M,"&gt;0")&lt;&gt;1,"",SUMIFS($I:$I,$C:$C,$C1466,$D:$D,$D1466,$E:$E,"P0(후)"))</f>
        <v/>
      </c>
      <c r="R1466" s="31">
        <f>IF(COUNTIFS($C:$C,$C1466,$D:$D,$D1466,$E:$E,"P0(후)",$M:$M,"&gt;0")&lt;&gt;1,"",SUMIFS($M:$M,$C:$C,$C1466,$D:$D,$D1466,$E:$E,"P0(후)"))</f>
        <v/>
      </c>
      <c r="S1466" s="31">
        <f>IF(N1466&lt;&gt;"OK","",P1466+(R1466-P1466)*(I1466-O1466)/(Q1466-O1466))</f>
        <v/>
      </c>
      <c r="T1466" s="31">
        <f>IF(OR(N1466&lt;&gt;"OK",NOT(ISNUMBER(M1466))),"",M1466-S1466)</f>
        <v/>
      </c>
      <c r="U1466" s="49">
        <f>IF(OR(NOT(ISNUMBER(T1466)),IF(ISNUMBER(H1466),H1466,G1466)=0),"",T1466/IF(ISNUMBER(H1466),H1466,G1466))</f>
        <v/>
      </c>
      <c r="V1466" s="49">
        <f>IF(ISNUMBER(U1466),ABS(U1466),"")</f>
        <v/>
      </c>
      <c r="W1466" s="49">
        <f>IF(OR($E1465&lt;&gt;"측정",$C1465&lt;&gt;$C1466,$D1465&lt;&gt;$D1466,NOT(ISNUMBER(M1466)),NOT(ISNUMBER(M1465)),(IF(ISNUMBER(H1466),H1466,G1466)-IF(ISNUMBER(H1465),H1465,G1465))=0),"",(M1466-M1465)/(IF(ISNUMBER(H1466),H1466,G1466)-IF(ISNUMBER(H1465),H1465,G1465)))</f>
        <v/>
      </c>
      <c r="X1466" s="31">
        <f>IF(NOT(AND(ISNUMBER(O1466),ISNUMBER(Q1466))),"",(Q1466-O1466)*1440)</f>
        <v/>
      </c>
      <c r="Y1466" s="29" t="n"/>
      <c r="Z1466" s="29" t="n"/>
      <c r="AA1466" s="29" t="n"/>
      <c r="AB1466" s="32" t="n"/>
      <c r="AC1466" s="32" t="n"/>
    </row>
    <row r="1467">
      <c r="A1467" s="26" t="inlineStr">
        <is>
          <t>S29</t>
        </is>
      </c>
      <c r="B1467" s="26" t="inlineStr">
        <is>
          <t>가야 신규점1</t>
        </is>
      </c>
      <c r="C1467" s="26" t="inlineStr">
        <is>
          <t>S29-H동</t>
        </is>
      </c>
      <c r="D1467" s="47" t="n">
        <v>1</v>
      </c>
      <c r="E1467" s="26" t="inlineStr">
        <is>
          <t>측정</t>
        </is>
      </c>
      <c r="F1467" s="26" t="inlineStr">
        <is>
          <t>동</t>
        </is>
      </c>
      <c r="G1467" s="31" t="n">
        <v>4</v>
      </c>
      <c r="H1467" s="30" t="n"/>
      <c r="I1467" s="43" t="n"/>
      <c r="J1467" s="41" t="n"/>
      <c r="K1467" s="41" t="n"/>
      <c r="L1467" s="41" t="n"/>
      <c r="M1467" s="31">
        <f>IF(COUNT(J1467:L1467)=0,"",MEDIAN(J1467:L1467))</f>
        <v/>
      </c>
      <c r="N1467" s="26">
        <f>IF(COUNTIFS($C:$C,$C1467,$D:$D,$D1467,$E:$E,"P0(전)",$M:$M,"&gt;0")&lt;&gt;1,"P0(전) 유효 1개 아님",IF(COUNTIFS($C:$C,$C1467,$D:$D,$D1467,$E:$E,"P0(후)",$M:$M,"&gt;0")&lt;&gt;1,"P0(후) 유효 1개 아님",IF(NOT(AND(ISNUMBER(O1467),ISNUMBER(Q1467),ISNUMBER(I1467))),"시각 결측",IF(Q1467&lt;=O1467,"P0 시각 역전",IF(OR(I1467&lt;O1467,I1467&gt;Q1467),"측정시각 구간 밖","OK")))))</f>
        <v/>
      </c>
      <c r="O1467" s="48">
        <f>IF(COUNTIFS($C:$C,$C1467,$D:$D,$D1467,$E:$E,"P0(전)",$M:$M,"&gt;0")&lt;&gt;1,"",SUMIFS($I:$I,$C:$C,$C1467,$D:$D,$D1467,$E:$E,"P0(전)"))</f>
        <v/>
      </c>
      <c r="P1467" s="31">
        <f>IF(COUNTIFS($C:$C,$C1467,$D:$D,$D1467,$E:$E,"P0(전)",$M:$M,"&gt;0")&lt;&gt;1,"",SUMIFS($M:$M,$C:$C,$C1467,$D:$D,$D1467,$E:$E,"P0(전)"))</f>
        <v/>
      </c>
      <c r="Q1467" s="48">
        <f>IF(COUNTIFS($C:$C,$C1467,$D:$D,$D1467,$E:$E,"P0(후)",$M:$M,"&gt;0")&lt;&gt;1,"",SUMIFS($I:$I,$C:$C,$C1467,$D:$D,$D1467,$E:$E,"P0(후)"))</f>
        <v/>
      </c>
      <c r="R1467" s="31">
        <f>IF(COUNTIFS($C:$C,$C1467,$D:$D,$D1467,$E:$E,"P0(후)",$M:$M,"&gt;0")&lt;&gt;1,"",SUMIFS($M:$M,$C:$C,$C1467,$D:$D,$D1467,$E:$E,"P0(후)"))</f>
        <v/>
      </c>
      <c r="S1467" s="31">
        <f>IF(N1467&lt;&gt;"OK","",P1467+(R1467-P1467)*(I1467-O1467)/(Q1467-O1467))</f>
        <v/>
      </c>
      <c r="T1467" s="31">
        <f>IF(OR(N1467&lt;&gt;"OK",NOT(ISNUMBER(M1467))),"",M1467-S1467)</f>
        <v/>
      </c>
      <c r="U1467" s="49">
        <f>IF(OR(NOT(ISNUMBER(T1467)),IF(ISNUMBER(H1467),H1467,G1467)=0),"",T1467/IF(ISNUMBER(H1467),H1467,G1467))</f>
        <v/>
      </c>
      <c r="V1467" s="49">
        <f>IF(ISNUMBER(U1467),ABS(U1467),"")</f>
        <v/>
      </c>
      <c r="W1467" s="49">
        <f>IF(OR($E1466&lt;&gt;"측정",$C1466&lt;&gt;$C1467,$D1466&lt;&gt;$D1467,NOT(ISNUMBER(M1467)),NOT(ISNUMBER(M1466)),(IF(ISNUMBER(H1467),H1467,G1467)-IF(ISNUMBER(H1466),H1466,G1466))=0),"",(M1467-M1466)/(IF(ISNUMBER(H1467),H1467,G1467)-IF(ISNUMBER(H1466),H1466,G1466)))</f>
        <v/>
      </c>
      <c r="X1467" s="31">
        <f>IF(NOT(AND(ISNUMBER(O1467),ISNUMBER(Q1467))),"",(Q1467-O1467)*1440)</f>
        <v/>
      </c>
      <c r="Y1467" s="29" t="n"/>
      <c r="Z1467" s="29" t="n"/>
      <c r="AA1467" s="29" t="n"/>
      <c r="AB1467" s="32" t="n"/>
      <c r="AC1467" s="32" t="n"/>
    </row>
    <row r="1468">
      <c r="A1468" s="26" t="inlineStr">
        <is>
          <t>S29</t>
        </is>
      </c>
      <c r="B1468" s="26" t="inlineStr">
        <is>
          <t>가야 신규점1</t>
        </is>
      </c>
      <c r="C1468" s="26" t="inlineStr">
        <is>
          <t>S29-H동</t>
        </is>
      </c>
      <c r="D1468" s="47" t="n">
        <v>1</v>
      </c>
      <c r="E1468" s="26" t="inlineStr">
        <is>
          <t>측정</t>
        </is>
      </c>
      <c r="F1468" s="26" t="inlineStr">
        <is>
          <t>동</t>
        </is>
      </c>
      <c r="G1468" s="31" t="n">
        <v>5</v>
      </c>
      <c r="H1468" s="30" t="n"/>
      <c r="I1468" s="43" t="n"/>
      <c r="J1468" s="41" t="n"/>
      <c r="K1468" s="41" t="n"/>
      <c r="L1468" s="41" t="n"/>
      <c r="M1468" s="31">
        <f>IF(COUNT(J1468:L1468)=0,"",MEDIAN(J1468:L1468))</f>
        <v/>
      </c>
      <c r="N1468" s="26">
        <f>IF(COUNTIFS($C:$C,$C1468,$D:$D,$D1468,$E:$E,"P0(전)",$M:$M,"&gt;0")&lt;&gt;1,"P0(전) 유효 1개 아님",IF(COUNTIFS($C:$C,$C1468,$D:$D,$D1468,$E:$E,"P0(후)",$M:$M,"&gt;0")&lt;&gt;1,"P0(후) 유효 1개 아님",IF(NOT(AND(ISNUMBER(O1468),ISNUMBER(Q1468),ISNUMBER(I1468))),"시각 결측",IF(Q1468&lt;=O1468,"P0 시각 역전",IF(OR(I1468&lt;O1468,I1468&gt;Q1468),"측정시각 구간 밖","OK")))))</f>
        <v/>
      </c>
      <c r="O1468" s="48">
        <f>IF(COUNTIFS($C:$C,$C1468,$D:$D,$D1468,$E:$E,"P0(전)",$M:$M,"&gt;0")&lt;&gt;1,"",SUMIFS($I:$I,$C:$C,$C1468,$D:$D,$D1468,$E:$E,"P0(전)"))</f>
        <v/>
      </c>
      <c r="P1468" s="31">
        <f>IF(COUNTIFS($C:$C,$C1468,$D:$D,$D1468,$E:$E,"P0(전)",$M:$M,"&gt;0")&lt;&gt;1,"",SUMIFS($M:$M,$C:$C,$C1468,$D:$D,$D1468,$E:$E,"P0(전)"))</f>
        <v/>
      </c>
      <c r="Q1468" s="48">
        <f>IF(COUNTIFS($C:$C,$C1468,$D:$D,$D1468,$E:$E,"P0(후)",$M:$M,"&gt;0")&lt;&gt;1,"",SUMIFS($I:$I,$C:$C,$C1468,$D:$D,$D1468,$E:$E,"P0(후)"))</f>
        <v/>
      </c>
      <c r="R1468" s="31">
        <f>IF(COUNTIFS($C:$C,$C1468,$D:$D,$D1468,$E:$E,"P0(후)",$M:$M,"&gt;0")&lt;&gt;1,"",SUMIFS($M:$M,$C:$C,$C1468,$D:$D,$D1468,$E:$E,"P0(후)"))</f>
        <v/>
      </c>
      <c r="S1468" s="31">
        <f>IF(N1468&lt;&gt;"OK","",P1468+(R1468-P1468)*(I1468-O1468)/(Q1468-O1468))</f>
        <v/>
      </c>
      <c r="T1468" s="31">
        <f>IF(OR(N1468&lt;&gt;"OK",NOT(ISNUMBER(M1468))),"",M1468-S1468)</f>
        <v/>
      </c>
      <c r="U1468" s="49">
        <f>IF(OR(NOT(ISNUMBER(T1468)),IF(ISNUMBER(H1468),H1468,G1468)=0),"",T1468/IF(ISNUMBER(H1468),H1468,G1468))</f>
        <v/>
      </c>
      <c r="V1468" s="49">
        <f>IF(ISNUMBER(U1468),ABS(U1468),"")</f>
        <v/>
      </c>
      <c r="W1468" s="49">
        <f>IF(OR($E1467&lt;&gt;"측정",$C1467&lt;&gt;$C1468,$D1467&lt;&gt;$D1468,NOT(ISNUMBER(M1468)),NOT(ISNUMBER(M1467)),(IF(ISNUMBER(H1468),H1468,G1468)-IF(ISNUMBER(H1467),H1467,G1467))=0),"",(M1468-M1467)/(IF(ISNUMBER(H1468),H1468,G1468)-IF(ISNUMBER(H1467),H1467,G1467)))</f>
        <v/>
      </c>
      <c r="X1468" s="31">
        <f>IF(NOT(AND(ISNUMBER(O1468),ISNUMBER(Q1468))),"",(Q1468-O1468)*1440)</f>
        <v/>
      </c>
      <c r="Y1468" s="29" t="n"/>
      <c r="Z1468" s="29" t="n"/>
      <c r="AA1468" s="29" t="n"/>
      <c r="AB1468" s="32" t="n"/>
      <c r="AC1468" s="32" t="n"/>
    </row>
    <row r="1469">
      <c r="A1469" s="26" t="inlineStr">
        <is>
          <t>S29</t>
        </is>
      </c>
      <c r="B1469" s="26" t="inlineStr">
        <is>
          <t>가야 신규점1</t>
        </is>
      </c>
      <c r="C1469" s="26" t="inlineStr">
        <is>
          <t>S29-H동</t>
        </is>
      </c>
      <c r="D1469" s="47" t="n">
        <v>1</v>
      </c>
      <c r="E1469" s="26" t="inlineStr">
        <is>
          <t>측정</t>
        </is>
      </c>
      <c r="F1469" s="26" t="inlineStr">
        <is>
          <t>동</t>
        </is>
      </c>
      <c r="G1469" s="31" t="n">
        <v>6</v>
      </c>
      <c r="H1469" s="30" t="n"/>
      <c r="I1469" s="43" t="n"/>
      <c r="J1469" s="41" t="n"/>
      <c r="K1469" s="41" t="n"/>
      <c r="L1469" s="41" t="n"/>
      <c r="M1469" s="31">
        <f>IF(COUNT(J1469:L1469)=0,"",MEDIAN(J1469:L1469))</f>
        <v/>
      </c>
      <c r="N1469" s="26">
        <f>IF(COUNTIFS($C:$C,$C1469,$D:$D,$D1469,$E:$E,"P0(전)",$M:$M,"&gt;0")&lt;&gt;1,"P0(전) 유효 1개 아님",IF(COUNTIFS($C:$C,$C1469,$D:$D,$D1469,$E:$E,"P0(후)",$M:$M,"&gt;0")&lt;&gt;1,"P0(후) 유효 1개 아님",IF(NOT(AND(ISNUMBER(O1469),ISNUMBER(Q1469),ISNUMBER(I1469))),"시각 결측",IF(Q1469&lt;=O1469,"P0 시각 역전",IF(OR(I1469&lt;O1469,I1469&gt;Q1469),"측정시각 구간 밖","OK")))))</f>
        <v/>
      </c>
      <c r="O1469" s="48">
        <f>IF(COUNTIFS($C:$C,$C1469,$D:$D,$D1469,$E:$E,"P0(전)",$M:$M,"&gt;0")&lt;&gt;1,"",SUMIFS($I:$I,$C:$C,$C1469,$D:$D,$D1469,$E:$E,"P0(전)"))</f>
        <v/>
      </c>
      <c r="P1469" s="31">
        <f>IF(COUNTIFS($C:$C,$C1469,$D:$D,$D1469,$E:$E,"P0(전)",$M:$M,"&gt;0")&lt;&gt;1,"",SUMIFS($M:$M,$C:$C,$C1469,$D:$D,$D1469,$E:$E,"P0(전)"))</f>
        <v/>
      </c>
      <c r="Q1469" s="48">
        <f>IF(COUNTIFS($C:$C,$C1469,$D:$D,$D1469,$E:$E,"P0(후)",$M:$M,"&gt;0")&lt;&gt;1,"",SUMIFS($I:$I,$C:$C,$C1469,$D:$D,$D1469,$E:$E,"P0(후)"))</f>
        <v/>
      </c>
      <c r="R1469" s="31">
        <f>IF(COUNTIFS($C:$C,$C1469,$D:$D,$D1469,$E:$E,"P0(후)",$M:$M,"&gt;0")&lt;&gt;1,"",SUMIFS($M:$M,$C:$C,$C1469,$D:$D,$D1469,$E:$E,"P0(후)"))</f>
        <v/>
      </c>
      <c r="S1469" s="31">
        <f>IF(N1469&lt;&gt;"OK","",P1469+(R1469-P1469)*(I1469-O1469)/(Q1469-O1469))</f>
        <v/>
      </c>
      <c r="T1469" s="31">
        <f>IF(OR(N1469&lt;&gt;"OK",NOT(ISNUMBER(M1469))),"",M1469-S1469)</f>
        <v/>
      </c>
      <c r="U1469" s="49">
        <f>IF(OR(NOT(ISNUMBER(T1469)),IF(ISNUMBER(H1469),H1469,G1469)=0),"",T1469/IF(ISNUMBER(H1469),H1469,G1469))</f>
        <v/>
      </c>
      <c r="V1469" s="49">
        <f>IF(ISNUMBER(U1469),ABS(U1469),"")</f>
        <v/>
      </c>
      <c r="W1469" s="49">
        <f>IF(OR($E1468&lt;&gt;"측정",$C1468&lt;&gt;$C1469,$D1468&lt;&gt;$D1469,NOT(ISNUMBER(M1469)),NOT(ISNUMBER(M1468)),(IF(ISNUMBER(H1469),H1469,G1469)-IF(ISNUMBER(H1468),H1468,G1468))=0),"",(M1469-M1468)/(IF(ISNUMBER(H1469),H1469,G1469)-IF(ISNUMBER(H1468),H1468,G1468)))</f>
        <v/>
      </c>
      <c r="X1469" s="31">
        <f>IF(NOT(AND(ISNUMBER(O1469),ISNUMBER(Q1469))),"",(Q1469-O1469)*1440)</f>
        <v/>
      </c>
      <c r="Y1469" s="29" t="n"/>
      <c r="Z1469" s="29" t="n"/>
      <c r="AA1469" s="29" t="n"/>
      <c r="AB1469" s="32" t="n"/>
      <c r="AC1469" s="32" t="n"/>
    </row>
    <row r="1470">
      <c r="A1470" s="26" t="inlineStr">
        <is>
          <t>S29</t>
        </is>
      </c>
      <c r="B1470" s="26" t="inlineStr">
        <is>
          <t>가야 신규점1</t>
        </is>
      </c>
      <c r="C1470" s="26" t="inlineStr">
        <is>
          <t>S29-H동</t>
        </is>
      </c>
      <c r="D1470" s="47" t="n">
        <v>1</v>
      </c>
      <c r="E1470" s="26" t="inlineStr">
        <is>
          <t>측정</t>
        </is>
      </c>
      <c r="F1470" s="26" t="inlineStr">
        <is>
          <t>동</t>
        </is>
      </c>
      <c r="G1470" s="31" t="n">
        <v>7</v>
      </c>
      <c r="H1470" s="30" t="n"/>
      <c r="I1470" s="43" t="n"/>
      <c r="J1470" s="41" t="n"/>
      <c r="K1470" s="41" t="n"/>
      <c r="L1470" s="41" t="n"/>
      <c r="M1470" s="31">
        <f>IF(COUNT(J1470:L1470)=0,"",MEDIAN(J1470:L1470))</f>
        <v/>
      </c>
      <c r="N1470" s="26">
        <f>IF(COUNTIFS($C:$C,$C1470,$D:$D,$D1470,$E:$E,"P0(전)",$M:$M,"&gt;0")&lt;&gt;1,"P0(전) 유효 1개 아님",IF(COUNTIFS($C:$C,$C1470,$D:$D,$D1470,$E:$E,"P0(후)",$M:$M,"&gt;0")&lt;&gt;1,"P0(후) 유효 1개 아님",IF(NOT(AND(ISNUMBER(O1470),ISNUMBER(Q1470),ISNUMBER(I1470))),"시각 결측",IF(Q1470&lt;=O1470,"P0 시각 역전",IF(OR(I1470&lt;O1470,I1470&gt;Q1470),"측정시각 구간 밖","OK")))))</f>
        <v/>
      </c>
      <c r="O1470" s="48">
        <f>IF(COUNTIFS($C:$C,$C1470,$D:$D,$D1470,$E:$E,"P0(전)",$M:$M,"&gt;0")&lt;&gt;1,"",SUMIFS($I:$I,$C:$C,$C1470,$D:$D,$D1470,$E:$E,"P0(전)"))</f>
        <v/>
      </c>
      <c r="P1470" s="31">
        <f>IF(COUNTIFS($C:$C,$C1470,$D:$D,$D1470,$E:$E,"P0(전)",$M:$M,"&gt;0")&lt;&gt;1,"",SUMIFS($M:$M,$C:$C,$C1470,$D:$D,$D1470,$E:$E,"P0(전)"))</f>
        <v/>
      </c>
      <c r="Q1470" s="48">
        <f>IF(COUNTIFS($C:$C,$C1470,$D:$D,$D1470,$E:$E,"P0(후)",$M:$M,"&gt;0")&lt;&gt;1,"",SUMIFS($I:$I,$C:$C,$C1470,$D:$D,$D1470,$E:$E,"P0(후)"))</f>
        <v/>
      </c>
      <c r="R1470" s="31">
        <f>IF(COUNTIFS($C:$C,$C1470,$D:$D,$D1470,$E:$E,"P0(후)",$M:$M,"&gt;0")&lt;&gt;1,"",SUMIFS($M:$M,$C:$C,$C1470,$D:$D,$D1470,$E:$E,"P0(후)"))</f>
        <v/>
      </c>
      <c r="S1470" s="31">
        <f>IF(N1470&lt;&gt;"OK","",P1470+(R1470-P1470)*(I1470-O1470)/(Q1470-O1470))</f>
        <v/>
      </c>
      <c r="T1470" s="31">
        <f>IF(OR(N1470&lt;&gt;"OK",NOT(ISNUMBER(M1470))),"",M1470-S1470)</f>
        <v/>
      </c>
      <c r="U1470" s="49">
        <f>IF(OR(NOT(ISNUMBER(T1470)),IF(ISNUMBER(H1470),H1470,G1470)=0),"",T1470/IF(ISNUMBER(H1470),H1470,G1470))</f>
        <v/>
      </c>
      <c r="V1470" s="49">
        <f>IF(ISNUMBER(U1470),ABS(U1470),"")</f>
        <v/>
      </c>
      <c r="W1470" s="49">
        <f>IF(OR($E1469&lt;&gt;"측정",$C1469&lt;&gt;$C1470,$D1469&lt;&gt;$D1470,NOT(ISNUMBER(M1470)),NOT(ISNUMBER(M1469)),(IF(ISNUMBER(H1470),H1470,G1470)-IF(ISNUMBER(H1469),H1469,G1469))=0),"",(M1470-M1469)/(IF(ISNUMBER(H1470),H1470,G1470)-IF(ISNUMBER(H1469),H1469,G1469)))</f>
        <v/>
      </c>
      <c r="X1470" s="31">
        <f>IF(NOT(AND(ISNUMBER(O1470),ISNUMBER(Q1470))),"",(Q1470-O1470)*1440)</f>
        <v/>
      </c>
      <c r="Y1470" s="29" t="n"/>
      <c r="Z1470" s="29" t="n"/>
      <c r="AA1470" s="29" t="n"/>
      <c r="AB1470" s="32" t="n"/>
      <c r="AC1470" s="32" t="n"/>
    </row>
    <row r="1471">
      <c r="A1471" s="26" t="inlineStr">
        <is>
          <t>S29</t>
        </is>
      </c>
      <c r="B1471" s="26" t="inlineStr">
        <is>
          <t>가야 신규점1</t>
        </is>
      </c>
      <c r="C1471" s="26" t="inlineStr">
        <is>
          <t>S29-H동</t>
        </is>
      </c>
      <c r="D1471" s="47" t="n">
        <v>1</v>
      </c>
      <c r="E1471" s="26" t="inlineStr">
        <is>
          <t>측정</t>
        </is>
      </c>
      <c r="F1471" s="26" t="inlineStr">
        <is>
          <t>동</t>
        </is>
      </c>
      <c r="G1471" s="31" t="n">
        <v>8</v>
      </c>
      <c r="H1471" s="30" t="n"/>
      <c r="I1471" s="43" t="n"/>
      <c r="J1471" s="41" t="n"/>
      <c r="K1471" s="41" t="n"/>
      <c r="L1471" s="41" t="n"/>
      <c r="M1471" s="31">
        <f>IF(COUNT(J1471:L1471)=0,"",MEDIAN(J1471:L1471))</f>
        <v/>
      </c>
      <c r="N1471" s="26">
        <f>IF(COUNTIFS($C:$C,$C1471,$D:$D,$D1471,$E:$E,"P0(전)",$M:$M,"&gt;0")&lt;&gt;1,"P0(전) 유효 1개 아님",IF(COUNTIFS($C:$C,$C1471,$D:$D,$D1471,$E:$E,"P0(후)",$M:$M,"&gt;0")&lt;&gt;1,"P0(후) 유효 1개 아님",IF(NOT(AND(ISNUMBER(O1471),ISNUMBER(Q1471),ISNUMBER(I1471))),"시각 결측",IF(Q1471&lt;=O1471,"P0 시각 역전",IF(OR(I1471&lt;O1471,I1471&gt;Q1471),"측정시각 구간 밖","OK")))))</f>
        <v/>
      </c>
      <c r="O1471" s="48">
        <f>IF(COUNTIFS($C:$C,$C1471,$D:$D,$D1471,$E:$E,"P0(전)",$M:$M,"&gt;0")&lt;&gt;1,"",SUMIFS($I:$I,$C:$C,$C1471,$D:$D,$D1471,$E:$E,"P0(전)"))</f>
        <v/>
      </c>
      <c r="P1471" s="31">
        <f>IF(COUNTIFS($C:$C,$C1471,$D:$D,$D1471,$E:$E,"P0(전)",$M:$M,"&gt;0")&lt;&gt;1,"",SUMIFS($M:$M,$C:$C,$C1471,$D:$D,$D1471,$E:$E,"P0(전)"))</f>
        <v/>
      </c>
      <c r="Q1471" s="48">
        <f>IF(COUNTIFS($C:$C,$C1471,$D:$D,$D1471,$E:$E,"P0(후)",$M:$M,"&gt;0")&lt;&gt;1,"",SUMIFS($I:$I,$C:$C,$C1471,$D:$D,$D1471,$E:$E,"P0(후)"))</f>
        <v/>
      </c>
      <c r="R1471" s="31">
        <f>IF(COUNTIFS($C:$C,$C1471,$D:$D,$D1471,$E:$E,"P0(후)",$M:$M,"&gt;0")&lt;&gt;1,"",SUMIFS($M:$M,$C:$C,$C1471,$D:$D,$D1471,$E:$E,"P0(후)"))</f>
        <v/>
      </c>
      <c r="S1471" s="31">
        <f>IF(N1471&lt;&gt;"OK","",P1471+(R1471-P1471)*(I1471-O1471)/(Q1471-O1471))</f>
        <v/>
      </c>
      <c r="T1471" s="31">
        <f>IF(OR(N1471&lt;&gt;"OK",NOT(ISNUMBER(M1471))),"",M1471-S1471)</f>
        <v/>
      </c>
      <c r="U1471" s="49">
        <f>IF(OR(NOT(ISNUMBER(T1471)),IF(ISNUMBER(H1471),H1471,G1471)=0),"",T1471/IF(ISNUMBER(H1471),H1471,G1471))</f>
        <v/>
      </c>
      <c r="V1471" s="49">
        <f>IF(ISNUMBER(U1471),ABS(U1471),"")</f>
        <v/>
      </c>
      <c r="W1471" s="49">
        <f>IF(OR($E1470&lt;&gt;"측정",$C1470&lt;&gt;$C1471,$D1470&lt;&gt;$D1471,NOT(ISNUMBER(M1471)),NOT(ISNUMBER(M1470)),(IF(ISNUMBER(H1471),H1471,G1471)-IF(ISNUMBER(H1470),H1470,G1470))=0),"",(M1471-M1470)/(IF(ISNUMBER(H1471),H1471,G1471)-IF(ISNUMBER(H1470),H1470,G1470)))</f>
        <v/>
      </c>
      <c r="X1471" s="31">
        <f>IF(NOT(AND(ISNUMBER(O1471),ISNUMBER(Q1471))),"",(Q1471-O1471)*1440)</f>
        <v/>
      </c>
      <c r="Y1471" s="29" t="n"/>
      <c r="Z1471" s="29" t="n"/>
      <c r="AA1471" s="29" t="n"/>
      <c r="AB1471" s="32" t="n"/>
      <c r="AC1471" s="32" t="n"/>
    </row>
    <row r="1472">
      <c r="A1472" s="26" t="inlineStr">
        <is>
          <t>S29</t>
        </is>
      </c>
      <c r="B1472" s="26" t="inlineStr">
        <is>
          <t>가야 신규점1</t>
        </is>
      </c>
      <c r="C1472" s="26" t="inlineStr">
        <is>
          <t>S29-H동</t>
        </is>
      </c>
      <c r="D1472" s="47" t="n">
        <v>1</v>
      </c>
      <c r="E1472" s="26" t="inlineStr">
        <is>
          <t>측정</t>
        </is>
      </c>
      <c r="F1472" s="26" t="inlineStr">
        <is>
          <t>동</t>
        </is>
      </c>
      <c r="G1472" s="31" t="n">
        <v>9</v>
      </c>
      <c r="H1472" s="30" t="n"/>
      <c r="I1472" s="43" t="n"/>
      <c r="J1472" s="41" t="n"/>
      <c r="K1472" s="41" t="n"/>
      <c r="L1472" s="41" t="n"/>
      <c r="M1472" s="31">
        <f>IF(COUNT(J1472:L1472)=0,"",MEDIAN(J1472:L1472))</f>
        <v/>
      </c>
      <c r="N1472" s="26">
        <f>IF(COUNTIFS($C:$C,$C1472,$D:$D,$D1472,$E:$E,"P0(전)",$M:$M,"&gt;0")&lt;&gt;1,"P0(전) 유효 1개 아님",IF(COUNTIFS($C:$C,$C1472,$D:$D,$D1472,$E:$E,"P0(후)",$M:$M,"&gt;0")&lt;&gt;1,"P0(후) 유효 1개 아님",IF(NOT(AND(ISNUMBER(O1472),ISNUMBER(Q1472),ISNUMBER(I1472))),"시각 결측",IF(Q1472&lt;=O1472,"P0 시각 역전",IF(OR(I1472&lt;O1472,I1472&gt;Q1472),"측정시각 구간 밖","OK")))))</f>
        <v/>
      </c>
      <c r="O1472" s="48">
        <f>IF(COUNTIFS($C:$C,$C1472,$D:$D,$D1472,$E:$E,"P0(전)",$M:$M,"&gt;0")&lt;&gt;1,"",SUMIFS($I:$I,$C:$C,$C1472,$D:$D,$D1472,$E:$E,"P0(전)"))</f>
        <v/>
      </c>
      <c r="P1472" s="31">
        <f>IF(COUNTIFS($C:$C,$C1472,$D:$D,$D1472,$E:$E,"P0(전)",$M:$M,"&gt;0")&lt;&gt;1,"",SUMIFS($M:$M,$C:$C,$C1472,$D:$D,$D1472,$E:$E,"P0(전)"))</f>
        <v/>
      </c>
      <c r="Q1472" s="48">
        <f>IF(COUNTIFS($C:$C,$C1472,$D:$D,$D1472,$E:$E,"P0(후)",$M:$M,"&gt;0")&lt;&gt;1,"",SUMIFS($I:$I,$C:$C,$C1472,$D:$D,$D1472,$E:$E,"P0(후)"))</f>
        <v/>
      </c>
      <c r="R1472" s="31">
        <f>IF(COUNTIFS($C:$C,$C1472,$D:$D,$D1472,$E:$E,"P0(후)",$M:$M,"&gt;0")&lt;&gt;1,"",SUMIFS($M:$M,$C:$C,$C1472,$D:$D,$D1472,$E:$E,"P0(후)"))</f>
        <v/>
      </c>
      <c r="S1472" s="31">
        <f>IF(N1472&lt;&gt;"OK","",P1472+(R1472-P1472)*(I1472-O1472)/(Q1472-O1472))</f>
        <v/>
      </c>
      <c r="T1472" s="31">
        <f>IF(OR(N1472&lt;&gt;"OK",NOT(ISNUMBER(M1472))),"",M1472-S1472)</f>
        <v/>
      </c>
      <c r="U1472" s="49">
        <f>IF(OR(NOT(ISNUMBER(T1472)),IF(ISNUMBER(H1472),H1472,G1472)=0),"",T1472/IF(ISNUMBER(H1472),H1472,G1472))</f>
        <v/>
      </c>
      <c r="V1472" s="49">
        <f>IF(ISNUMBER(U1472),ABS(U1472),"")</f>
        <v/>
      </c>
      <c r="W1472" s="49">
        <f>IF(OR($E1471&lt;&gt;"측정",$C1471&lt;&gt;$C1472,$D1471&lt;&gt;$D1472,NOT(ISNUMBER(M1472)),NOT(ISNUMBER(M1471)),(IF(ISNUMBER(H1472),H1472,G1472)-IF(ISNUMBER(H1471),H1471,G1471))=0),"",(M1472-M1471)/(IF(ISNUMBER(H1472),H1472,G1472)-IF(ISNUMBER(H1471),H1471,G1471)))</f>
        <v/>
      </c>
      <c r="X1472" s="31">
        <f>IF(NOT(AND(ISNUMBER(O1472),ISNUMBER(Q1472))),"",(Q1472-O1472)*1440)</f>
        <v/>
      </c>
      <c r="Y1472" s="29" t="n"/>
      <c r="Z1472" s="29" t="n"/>
      <c r="AA1472" s="29" t="n"/>
      <c r="AB1472" s="32" t="n"/>
      <c r="AC1472" s="32" t="n"/>
    </row>
    <row r="1473">
      <c r="A1473" s="26" t="inlineStr">
        <is>
          <t>S29</t>
        </is>
      </c>
      <c r="B1473" s="26" t="inlineStr">
        <is>
          <t>가야 신규점1</t>
        </is>
      </c>
      <c r="C1473" s="26" t="inlineStr">
        <is>
          <t>S29-H동</t>
        </is>
      </c>
      <c r="D1473" s="47" t="n">
        <v>1</v>
      </c>
      <c r="E1473" s="26" t="inlineStr">
        <is>
          <t>측정</t>
        </is>
      </c>
      <c r="F1473" s="26" t="inlineStr">
        <is>
          <t>동</t>
        </is>
      </c>
      <c r="G1473" s="31" t="n">
        <v>10</v>
      </c>
      <c r="H1473" s="30" t="n"/>
      <c r="I1473" s="43" t="n"/>
      <c r="J1473" s="41" t="n"/>
      <c r="K1473" s="41" t="n"/>
      <c r="L1473" s="41" t="n"/>
      <c r="M1473" s="31">
        <f>IF(COUNT(J1473:L1473)=0,"",MEDIAN(J1473:L1473))</f>
        <v/>
      </c>
      <c r="N1473" s="26">
        <f>IF(COUNTIFS($C:$C,$C1473,$D:$D,$D1473,$E:$E,"P0(전)",$M:$M,"&gt;0")&lt;&gt;1,"P0(전) 유효 1개 아님",IF(COUNTIFS($C:$C,$C1473,$D:$D,$D1473,$E:$E,"P0(후)",$M:$M,"&gt;0")&lt;&gt;1,"P0(후) 유효 1개 아님",IF(NOT(AND(ISNUMBER(O1473),ISNUMBER(Q1473),ISNUMBER(I1473))),"시각 결측",IF(Q1473&lt;=O1473,"P0 시각 역전",IF(OR(I1473&lt;O1473,I1473&gt;Q1473),"측정시각 구간 밖","OK")))))</f>
        <v/>
      </c>
      <c r="O1473" s="48">
        <f>IF(COUNTIFS($C:$C,$C1473,$D:$D,$D1473,$E:$E,"P0(전)",$M:$M,"&gt;0")&lt;&gt;1,"",SUMIFS($I:$I,$C:$C,$C1473,$D:$D,$D1473,$E:$E,"P0(전)"))</f>
        <v/>
      </c>
      <c r="P1473" s="31">
        <f>IF(COUNTIFS($C:$C,$C1473,$D:$D,$D1473,$E:$E,"P0(전)",$M:$M,"&gt;0")&lt;&gt;1,"",SUMIFS($M:$M,$C:$C,$C1473,$D:$D,$D1473,$E:$E,"P0(전)"))</f>
        <v/>
      </c>
      <c r="Q1473" s="48">
        <f>IF(COUNTIFS($C:$C,$C1473,$D:$D,$D1473,$E:$E,"P0(후)",$M:$M,"&gt;0")&lt;&gt;1,"",SUMIFS($I:$I,$C:$C,$C1473,$D:$D,$D1473,$E:$E,"P0(후)"))</f>
        <v/>
      </c>
      <c r="R1473" s="31">
        <f>IF(COUNTIFS($C:$C,$C1473,$D:$D,$D1473,$E:$E,"P0(후)",$M:$M,"&gt;0")&lt;&gt;1,"",SUMIFS($M:$M,$C:$C,$C1473,$D:$D,$D1473,$E:$E,"P0(후)"))</f>
        <v/>
      </c>
      <c r="S1473" s="31">
        <f>IF(N1473&lt;&gt;"OK","",P1473+(R1473-P1473)*(I1473-O1473)/(Q1473-O1473))</f>
        <v/>
      </c>
      <c r="T1473" s="31">
        <f>IF(OR(N1473&lt;&gt;"OK",NOT(ISNUMBER(M1473))),"",M1473-S1473)</f>
        <v/>
      </c>
      <c r="U1473" s="49">
        <f>IF(OR(NOT(ISNUMBER(T1473)),IF(ISNUMBER(H1473),H1473,G1473)=0),"",T1473/IF(ISNUMBER(H1473),H1473,G1473))</f>
        <v/>
      </c>
      <c r="V1473" s="49">
        <f>IF(ISNUMBER(U1473),ABS(U1473),"")</f>
        <v/>
      </c>
      <c r="W1473" s="49">
        <f>IF(OR($E1472&lt;&gt;"측정",$C1472&lt;&gt;$C1473,$D1472&lt;&gt;$D1473,NOT(ISNUMBER(M1473)),NOT(ISNUMBER(M1472)),(IF(ISNUMBER(H1473),H1473,G1473)-IF(ISNUMBER(H1472),H1472,G1472))=0),"",(M1473-M1472)/(IF(ISNUMBER(H1473),H1473,G1473)-IF(ISNUMBER(H1472),H1472,G1472)))</f>
        <v/>
      </c>
      <c r="X1473" s="31">
        <f>IF(NOT(AND(ISNUMBER(O1473),ISNUMBER(Q1473))),"",(Q1473-O1473)*1440)</f>
        <v/>
      </c>
      <c r="Y1473" s="29" t="n"/>
      <c r="Z1473" s="29" t="n"/>
      <c r="AA1473" s="29" t="n"/>
      <c r="AB1473" s="32" t="n"/>
      <c r="AC1473" s="32" t="n"/>
    </row>
    <row r="1474">
      <c r="A1474" s="44" t="inlineStr">
        <is>
          <t>S29</t>
        </is>
      </c>
      <c r="B1474" s="44" t="inlineStr">
        <is>
          <t>가야 신규점1</t>
        </is>
      </c>
      <c r="C1474" s="44" t="inlineStr">
        <is>
          <t>S29-H동</t>
        </is>
      </c>
      <c r="D1474" s="45" t="n">
        <v>1</v>
      </c>
      <c r="E1474" s="44" t="inlineStr">
        <is>
          <t>P0(후)</t>
        </is>
      </c>
      <c r="F1474" s="44" t="inlineStr">
        <is>
          <t>동</t>
        </is>
      </c>
      <c r="G1474" s="46" t="n"/>
      <c r="H1474" s="30" t="n"/>
      <c r="I1474" s="43" t="n"/>
      <c r="J1474" s="41" t="n"/>
      <c r="K1474" s="41" t="n"/>
      <c r="L1474" s="41" t="n"/>
      <c r="M1474" s="31">
        <f>IF(COUNT(J1474:L1474)=0,"",MEDIAN(J1474:L1474))</f>
        <v/>
      </c>
      <c r="N1474" s="38" t="n"/>
      <c r="O1474" s="38" t="n"/>
      <c r="P1474" s="38" t="n"/>
      <c r="Q1474" s="38" t="n"/>
      <c r="R1474" s="38" t="n"/>
      <c r="S1474" s="38" t="n"/>
      <c r="T1474" s="38" t="n"/>
      <c r="U1474" s="38" t="n"/>
      <c r="V1474" s="38" t="n"/>
      <c r="W1474" s="38" t="n"/>
      <c r="X1474" s="38" t="n"/>
      <c r="Y1474" s="29" t="n"/>
      <c r="Z1474" s="29" t="n"/>
      <c r="AA1474" s="29" t="n"/>
      <c r="AB1474" s="32" t="n"/>
      <c r="AC1474" s="32" t="n"/>
    </row>
    <row r="1475">
      <c r="A1475" s="44" t="inlineStr">
        <is>
          <t>S29</t>
        </is>
      </c>
      <c r="B1475" s="44" t="inlineStr">
        <is>
          <t>가야 신규점1</t>
        </is>
      </c>
      <c r="C1475" s="44" t="inlineStr">
        <is>
          <t>S29-H서</t>
        </is>
      </c>
      <c r="D1475" s="45" t="n">
        <v>1</v>
      </c>
      <c r="E1475" s="44" t="inlineStr">
        <is>
          <t>P0(전)</t>
        </is>
      </c>
      <c r="F1475" s="44" t="inlineStr">
        <is>
          <t>서</t>
        </is>
      </c>
      <c r="G1475" s="46" t="n"/>
      <c r="H1475" s="30" t="n"/>
      <c r="I1475" s="43" t="n"/>
      <c r="J1475" s="41" t="n"/>
      <c r="K1475" s="41" t="n"/>
      <c r="L1475" s="41" t="n"/>
      <c r="M1475" s="31">
        <f>IF(COUNT(J1475:L1475)=0,"",MEDIAN(J1475:L1475))</f>
        <v/>
      </c>
      <c r="N1475" s="38" t="n"/>
      <c r="O1475" s="38" t="n"/>
      <c r="P1475" s="38" t="n"/>
      <c r="Q1475" s="38" t="n"/>
      <c r="R1475" s="38" t="n"/>
      <c r="S1475" s="38" t="n"/>
      <c r="T1475" s="38" t="n"/>
      <c r="U1475" s="38" t="n"/>
      <c r="V1475" s="38" t="n"/>
      <c r="W1475" s="38" t="n"/>
      <c r="X1475" s="38" t="n"/>
      <c r="Y1475" s="29" t="n"/>
      <c r="Z1475" s="29" t="n"/>
      <c r="AA1475" s="29" t="n"/>
      <c r="AB1475" s="32" t="n"/>
      <c r="AC1475" s="32" t="n"/>
    </row>
    <row r="1476">
      <c r="A1476" s="26" t="inlineStr">
        <is>
          <t>S29</t>
        </is>
      </c>
      <c r="B1476" s="26" t="inlineStr">
        <is>
          <t>가야 신규점1</t>
        </is>
      </c>
      <c r="C1476" s="26" t="inlineStr">
        <is>
          <t>S29-H서</t>
        </is>
      </c>
      <c r="D1476" s="47" t="n">
        <v>1</v>
      </c>
      <c r="E1476" s="26" t="inlineStr">
        <is>
          <t>측정</t>
        </is>
      </c>
      <c r="F1476" s="26" t="inlineStr">
        <is>
          <t>서</t>
        </is>
      </c>
      <c r="G1476" s="31" t="n">
        <v>0.5</v>
      </c>
      <c r="H1476" s="30" t="n"/>
      <c r="I1476" s="43" t="n"/>
      <c r="J1476" s="41" t="n"/>
      <c r="K1476" s="41" t="n"/>
      <c r="L1476" s="41" t="n"/>
      <c r="M1476" s="31">
        <f>IF(COUNT(J1476:L1476)=0,"",MEDIAN(J1476:L1476))</f>
        <v/>
      </c>
      <c r="N1476" s="26">
        <f>IF(COUNTIFS($C:$C,$C1476,$D:$D,$D1476,$E:$E,"P0(전)",$M:$M,"&gt;0")&lt;&gt;1,"P0(전) 유효 1개 아님",IF(COUNTIFS($C:$C,$C1476,$D:$D,$D1476,$E:$E,"P0(후)",$M:$M,"&gt;0")&lt;&gt;1,"P0(후) 유효 1개 아님",IF(NOT(AND(ISNUMBER(O1476),ISNUMBER(Q1476),ISNUMBER(I1476))),"시각 결측",IF(Q1476&lt;=O1476,"P0 시각 역전",IF(OR(I1476&lt;O1476,I1476&gt;Q1476),"측정시각 구간 밖","OK")))))</f>
        <v/>
      </c>
      <c r="O1476" s="48">
        <f>IF(COUNTIFS($C:$C,$C1476,$D:$D,$D1476,$E:$E,"P0(전)",$M:$M,"&gt;0")&lt;&gt;1,"",SUMIFS($I:$I,$C:$C,$C1476,$D:$D,$D1476,$E:$E,"P0(전)"))</f>
        <v/>
      </c>
      <c r="P1476" s="31">
        <f>IF(COUNTIFS($C:$C,$C1476,$D:$D,$D1476,$E:$E,"P0(전)",$M:$M,"&gt;0")&lt;&gt;1,"",SUMIFS($M:$M,$C:$C,$C1476,$D:$D,$D1476,$E:$E,"P0(전)"))</f>
        <v/>
      </c>
      <c r="Q1476" s="48">
        <f>IF(COUNTIFS($C:$C,$C1476,$D:$D,$D1476,$E:$E,"P0(후)",$M:$M,"&gt;0")&lt;&gt;1,"",SUMIFS($I:$I,$C:$C,$C1476,$D:$D,$D1476,$E:$E,"P0(후)"))</f>
        <v/>
      </c>
      <c r="R1476" s="31">
        <f>IF(COUNTIFS($C:$C,$C1476,$D:$D,$D1476,$E:$E,"P0(후)",$M:$M,"&gt;0")&lt;&gt;1,"",SUMIFS($M:$M,$C:$C,$C1476,$D:$D,$D1476,$E:$E,"P0(후)"))</f>
        <v/>
      </c>
      <c r="S1476" s="31">
        <f>IF(N1476&lt;&gt;"OK","",P1476+(R1476-P1476)*(I1476-O1476)/(Q1476-O1476))</f>
        <v/>
      </c>
      <c r="T1476" s="31">
        <f>IF(OR(N1476&lt;&gt;"OK",NOT(ISNUMBER(M1476))),"",M1476-S1476)</f>
        <v/>
      </c>
      <c r="U1476" s="49">
        <f>IF(OR(NOT(ISNUMBER(T1476)),IF(ISNUMBER(H1476),H1476,G1476)=0),"",T1476/IF(ISNUMBER(H1476),H1476,G1476))</f>
        <v/>
      </c>
      <c r="V1476" s="49">
        <f>IF(ISNUMBER(U1476),ABS(U1476),"")</f>
        <v/>
      </c>
      <c r="W1476" s="49">
        <f>IF(OR($E1475&lt;&gt;"측정",$C1475&lt;&gt;$C1476,$D1475&lt;&gt;$D1476,NOT(ISNUMBER(M1476)),NOT(ISNUMBER(M1475)),(IF(ISNUMBER(H1476),H1476,G1476)-IF(ISNUMBER(H1475),H1475,G1475))=0),"",(M1476-M1475)/(IF(ISNUMBER(H1476),H1476,G1476)-IF(ISNUMBER(H1475),H1475,G1475)))</f>
        <v/>
      </c>
      <c r="X1476" s="31">
        <f>IF(NOT(AND(ISNUMBER(O1476),ISNUMBER(Q1476))),"",(Q1476-O1476)*1440)</f>
        <v/>
      </c>
      <c r="Y1476" s="29" t="n"/>
      <c r="Z1476" s="29" t="n"/>
      <c r="AA1476" s="29" t="n"/>
      <c r="AB1476" s="32" t="n"/>
      <c r="AC1476" s="32" t="n"/>
    </row>
    <row r="1477">
      <c r="A1477" s="26" t="inlineStr">
        <is>
          <t>S29</t>
        </is>
      </c>
      <c r="B1477" s="26" t="inlineStr">
        <is>
          <t>가야 신규점1</t>
        </is>
      </c>
      <c r="C1477" s="26" t="inlineStr">
        <is>
          <t>S29-H서</t>
        </is>
      </c>
      <c r="D1477" s="47" t="n">
        <v>1</v>
      </c>
      <c r="E1477" s="26" t="inlineStr">
        <is>
          <t>측정</t>
        </is>
      </c>
      <c r="F1477" s="26" t="inlineStr">
        <is>
          <t>서</t>
        </is>
      </c>
      <c r="G1477" s="31" t="n">
        <v>1</v>
      </c>
      <c r="H1477" s="30" t="n"/>
      <c r="I1477" s="43" t="n"/>
      <c r="J1477" s="41" t="n"/>
      <c r="K1477" s="41" t="n"/>
      <c r="L1477" s="41" t="n"/>
      <c r="M1477" s="31">
        <f>IF(COUNT(J1477:L1477)=0,"",MEDIAN(J1477:L1477))</f>
        <v/>
      </c>
      <c r="N1477" s="26">
        <f>IF(COUNTIFS($C:$C,$C1477,$D:$D,$D1477,$E:$E,"P0(전)",$M:$M,"&gt;0")&lt;&gt;1,"P0(전) 유효 1개 아님",IF(COUNTIFS($C:$C,$C1477,$D:$D,$D1477,$E:$E,"P0(후)",$M:$M,"&gt;0")&lt;&gt;1,"P0(후) 유효 1개 아님",IF(NOT(AND(ISNUMBER(O1477),ISNUMBER(Q1477),ISNUMBER(I1477))),"시각 결측",IF(Q1477&lt;=O1477,"P0 시각 역전",IF(OR(I1477&lt;O1477,I1477&gt;Q1477),"측정시각 구간 밖","OK")))))</f>
        <v/>
      </c>
      <c r="O1477" s="48">
        <f>IF(COUNTIFS($C:$C,$C1477,$D:$D,$D1477,$E:$E,"P0(전)",$M:$M,"&gt;0")&lt;&gt;1,"",SUMIFS($I:$I,$C:$C,$C1477,$D:$D,$D1477,$E:$E,"P0(전)"))</f>
        <v/>
      </c>
      <c r="P1477" s="31">
        <f>IF(COUNTIFS($C:$C,$C1477,$D:$D,$D1477,$E:$E,"P0(전)",$M:$M,"&gt;0")&lt;&gt;1,"",SUMIFS($M:$M,$C:$C,$C1477,$D:$D,$D1477,$E:$E,"P0(전)"))</f>
        <v/>
      </c>
      <c r="Q1477" s="48">
        <f>IF(COUNTIFS($C:$C,$C1477,$D:$D,$D1477,$E:$E,"P0(후)",$M:$M,"&gt;0")&lt;&gt;1,"",SUMIFS($I:$I,$C:$C,$C1477,$D:$D,$D1477,$E:$E,"P0(후)"))</f>
        <v/>
      </c>
      <c r="R1477" s="31">
        <f>IF(COUNTIFS($C:$C,$C1477,$D:$D,$D1477,$E:$E,"P0(후)",$M:$M,"&gt;0")&lt;&gt;1,"",SUMIFS($M:$M,$C:$C,$C1477,$D:$D,$D1477,$E:$E,"P0(후)"))</f>
        <v/>
      </c>
      <c r="S1477" s="31">
        <f>IF(N1477&lt;&gt;"OK","",P1477+(R1477-P1477)*(I1477-O1477)/(Q1477-O1477))</f>
        <v/>
      </c>
      <c r="T1477" s="31">
        <f>IF(OR(N1477&lt;&gt;"OK",NOT(ISNUMBER(M1477))),"",M1477-S1477)</f>
        <v/>
      </c>
      <c r="U1477" s="49">
        <f>IF(OR(NOT(ISNUMBER(T1477)),IF(ISNUMBER(H1477),H1477,G1477)=0),"",T1477/IF(ISNUMBER(H1477),H1477,G1477))</f>
        <v/>
      </c>
      <c r="V1477" s="49">
        <f>IF(ISNUMBER(U1477),ABS(U1477),"")</f>
        <v/>
      </c>
      <c r="W1477" s="49">
        <f>IF(OR($E1476&lt;&gt;"측정",$C1476&lt;&gt;$C1477,$D1476&lt;&gt;$D1477,NOT(ISNUMBER(M1477)),NOT(ISNUMBER(M1476)),(IF(ISNUMBER(H1477),H1477,G1477)-IF(ISNUMBER(H1476),H1476,G1476))=0),"",(M1477-M1476)/(IF(ISNUMBER(H1477),H1477,G1477)-IF(ISNUMBER(H1476),H1476,G1476)))</f>
        <v/>
      </c>
      <c r="X1477" s="31">
        <f>IF(NOT(AND(ISNUMBER(O1477),ISNUMBER(Q1477))),"",(Q1477-O1477)*1440)</f>
        <v/>
      </c>
      <c r="Y1477" s="29" t="n"/>
      <c r="Z1477" s="29" t="n"/>
      <c r="AA1477" s="29" t="n"/>
      <c r="AB1477" s="32" t="n"/>
      <c r="AC1477" s="32" t="n"/>
    </row>
    <row r="1478">
      <c r="A1478" s="26" t="inlineStr">
        <is>
          <t>S29</t>
        </is>
      </c>
      <c r="B1478" s="26" t="inlineStr">
        <is>
          <t>가야 신규점1</t>
        </is>
      </c>
      <c r="C1478" s="26" t="inlineStr">
        <is>
          <t>S29-H서</t>
        </is>
      </c>
      <c r="D1478" s="47" t="n">
        <v>1</v>
      </c>
      <c r="E1478" s="26" t="inlineStr">
        <is>
          <t>측정</t>
        </is>
      </c>
      <c r="F1478" s="26" t="inlineStr">
        <is>
          <t>서</t>
        </is>
      </c>
      <c r="G1478" s="31" t="n">
        <v>2</v>
      </c>
      <c r="H1478" s="30" t="n"/>
      <c r="I1478" s="43" t="n"/>
      <c r="J1478" s="41" t="n"/>
      <c r="K1478" s="41" t="n"/>
      <c r="L1478" s="41" t="n"/>
      <c r="M1478" s="31">
        <f>IF(COUNT(J1478:L1478)=0,"",MEDIAN(J1478:L1478))</f>
        <v/>
      </c>
      <c r="N1478" s="26">
        <f>IF(COUNTIFS($C:$C,$C1478,$D:$D,$D1478,$E:$E,"P0(전)",$M:$M,"&gt;0")&lt;&gt;1,"P0(전) 유효 1개 아님",IF(COUNTIFS($C:$C,$C1478,$D:$D,$D1478,$E:$E,"P0(후)",$M:$M,"&gt;0")&lt;&gt;1,"P0(후) 유효 1개 아님",IF(NOT(AND(ISNUMBER(O1478),ISNUMBER(Q1478),ISNUMBER(I1478))),"시각 결측",IF(Q1478&lt;=O1478,"P0 시각 역전",IF(OR(I1478&lt;O1478,I1478&gt;Q1478),"측정시각 구간 밖","OK")))))</f>
        <v/>
      </c>
      <c r="O1478" s="48">
        <f>IF(COUNTIFS($C:$C,$C1478,$D:$D,$D1478,$E:$E,"P0(전)",$M:$M,"&gt;0")&lt;&gt;1,"",SUMIFS($I:$I,$C:$C,$C1478,$D:$D,$D1478,$E:$E,"P0(전)"))</f>
        <v/>
      </c>
      <c r="P1478" s="31">
        <f>IF(COUNTIFS($C:$C,$C1478,$D:$D,$D1478,$E:$E,"P0(전)",$M:$M,"&gt;0")&lt;&gt;1,"",SUMIFS($M:$M,$C:$C,$C1478,$D:$D,$D1478,$E:$E,"P0(전)"))</f>
        <v/>
      </c>
      <c r="Q1478" s="48">
        <f>IF(COUNTIFS($C:$C,$C1478,$D:$D,$D1478,$E:$E,"P0(후)",$M:$M,"&gt;0")&lt;&gt;1,"",SUMIFS($I:$I,$C:$C,$C1478,$D:$D,$D1478,$E:$E,"P0(후)"))</f>
        <v/>
      </c>
      <c r="R1478" s="31">
        <f>IF(COUNTIFS($C:$C,$C1478,$D:$D,$D1478,$E:$E,"P0(후)",$M:$M,"&gt;0")&lt;&gt;1,"",SUMIFS($M:$M,$C:$C,$C1478,$D:$D,$D1478,$E:$E,"P0(후)"))</f>
        <v/>
      </c>
      <c r="S1478" s="31">
        <f>IF(N1478&lt;&gt;"OK","",P1478+(R1478-P1478)*(I1478-O1478)/(Q1478-O1478))</f>
        <v/>
      </c>
      <c r="T1478" s="31">
        <f>IF(OR(N1478&lt;&gt;"OK",NOT(ISNUMBER(M1478))),"",M1478-S1478)</f>
        <v/>
      </c>
      <c r="U1478" s="49">
        <f>IF(OR(NOT(ISNUMBER(T1478)),IF(ISNUMBER(H1478),H1478,G1478)=0),"",T1478/IF(ISNUMBER(H1478),H1478,G1478))</f>
        <v/>
      </c>
      <c r="V1478" s="49">
        <f>IF(ISNUMBER(U1478),ABS(U1478),"")</f>
        <v/>
      </c>
      <c r="W1478" s="49">
        <f>IF(OR($E1477&lt;&gt;"측정",$C1477&lt;&gt;$C1478,$D1477&lt;&gt;$D1478,NOT(ISNUMBER(M1478)),NOT(ISNUMBER(M1477)),(IF(ISNUMBER(H1478),H1478,G1478)-IF(ISNUMBER(H1477),H1477,G1477))=0),"",(M1478-M1477)/(IF(ISNUMBER(H1478),H1478,G1478)-IF(ISNUMBER(H1477),H1477,G1477)))</f>
        <v/>
      </c>
      <c r="X1478" s="31">
        <f>IF(NOT(AND(ISNUMBER(O1478),ISNUMBER(Q1478))),"",(Q1478-O1478)*1440)</f>
        <v/>
      </c>
      <c r="Y1478" s="29" t="n"/>
      <c r="Z1478" s="29" t="n"/>
      <c r="AA1478" s="29" t="n"/>
      <c r="AB1478" s="32" t="n"/>
      <c r="AC1478" s="32" t="n"/>
    </row>
    <row r="1479">
      <c r="A1479" s="26" t="inlineStr">
        <is>
          <t>S29</t>
        </is>
      </c>
      <c r="B1479" s="26" t="inlineStr">
        <is>
          <t>가야 신규점1</t>
        </is>
      </c>
      <c r="C1479" s="26" t="inlineStr">
        <is>
          <t>S29-H서</t>
        </is>
      </c>
      <c r="D1479" s="47" t="n">
        <v>1</v>
      </c>
      <c r="E1479" s="26" t="inlineStr">
        <is>
          <t>측정</t>
        </is>
      </c>
      <c r="F1479" s="26" t="inlineStr">
        <is>
          <t>서</t>
        </is>
      </c>
      <c r="G1479" s="31" t="n">
        <v>3</v>
      </c>
      <c r="H1479" s="30" t="n"/>
      <c r="I1479" s="43" t="n"/>
      <c r="J1479" s="41" t="n"/>
      <c r="K1479" s="41" t="n"/>
      <c r="L1479" s="41" t="n"/>
      <c r="M1479" s="31">
        <f>IF(COUNT(J1479:L1479)=0,"",MEDIAN(J1479:L1479))</f>
        <v/>
      </c>
      <c r="N1479" s="26">
        <f>IF(COUNTIFS($C:$C,$C1479,$D:$D,$D1479,$E:$E,"P0(전)",$M:$M,"&gt;0")&lt;&gt;1,"P0(전) 유효 1개 아님",IF(COUNTIFS($C:$C,$C1479,$D:$D,$D1479,$E:$E,"P0(후)",$M:$M,"&gt;0")&lt;&gt;1,"P0(후) 유효 1개 아님",IF(NOT(AND(ISNUMBER(O1479),ISNUMBER(Q1479),ISNUMBER(I1479))),"시각 결측",IF(Q1479&lt;=O1479,"P0 시각 역전",IF(OR(I1479&lt;O1479,I1479&gt;Q1479),"측정시각 구간 밖","OK")))))</f>
        <v/>
      </c>
      <c r="O1479" s="48">
        <f>IF(COUNTIFS($C:$C,$C1479,$D:$D,$D1479,$E:$E,"P0(전)",$M:$M,"&gt;0")&lt;&gt;1,"",SUMIFS($I:$I,$C:$C,$C1479,$D:$D,$D1479,$E:$E,"P0(전)"))</f>
        <v/>
      </c>
      <c r="P1479" s="31">
        <f>IF(COUNTIFS($C:$C,$C1479,$D:$D,$D1479,$E:$E,"P0(전)",$M:$M,"&gt;0")&lt;&gt;1,"",SUMIFS($M:$M,$C:$C,$C1479,$D:$D,$D1479,$E:$E,"P0(전)"))</f>
        <v/>
      </c>
      <c r="Q1479" s="48">
        <f>IF(COUNTIFS($C:$C,$C1479,$D:$D,$D1479,$E:$E,"P0(후)",$M:$M,"&gt;0")&lt;&gt;1,"",SUMIFS($I:$I,$C:$C,$C1479,$D:$D,$D1479,$E:$E,"P0(후)"))</f>
        <v/>
      </c>
      <c r="R1479" s="31">
        <f>IF(COUNTIFS($C:$C,$C1479,$D:$D,$D1479,$E:$E,"P0(후)",$M:$M,"&gt;0")&lt;&gt;1,"",SUMIFS($M:$M,$C:$C,$C1479,$D:$D,$D1479,$E:$E,"P0(후)"))</f>
        <v/>
      </c>
      <c r="S1479" s="31">
        <f>IF(N1479&lt;&gt;"OK","",P1479+(R1479-P1479)*(I1479-O1479)/(Q1479-O1479))</f>
        <v/>
      </c>
      <c r="T1479" s="31">
        <f>IF(OR(N1479&lt;&gt;"OK",NOT(ISNUMBER(M1479))),"",M1479-S1479)</f>
        <v/>
      </c>
      <c r="U1479" s="49">
        <f>IF(OR(NOT(ISNUMBER(T1479)),IF(ISNUMBER(H1479),H1479,G1479)=0),"",T1479/IF(ISNUMBER(H1479),H1479,G1479))</f>
        <v/>
      </c>
      <c r="V1479" s="49">
        <f>IF(ISNUMBER(U1479),ABS(U1479),"")</f>
        <v/>
      </c>
      <c r="W1479" s="49">
        <f>IF(OR($E1478&lt;&gt;"측정",$C1478&lt;&gt;$C1479,$D1478&lt;&gt;$D1479,NOT(ISNUMBER(M1479)),NOT(ISNUMBER(M1478)),(IF(ISNUMBER(H1479),H1479,G1479)-IF(ISNUMBER(H1478),H1478,G1478))=0),"",(M1479-M1478)/(IF(ISNUMBER(H1479),H1479,G1479)-IF(ISNUMBER(H1478),H1478,G1478)))</f>
        <v/>
      </c>
      <c r="X1479" s="31">
        <f>IF(NOT(AND(ISNUMBER(O1479),ISNUMBER(Q1479))),"",(Q1479-O1479)*1440)</f>
        <v/>
      </c>
      <c r="Y1479" s="29" t="n"/>
      <c r="Z1479" s="29" t="n"/>
      <c r="AA1479" s="29" t="n"/>
      <c r="AB1479" s="32" t="n"/>
      <c r="AC1479" s="32" t="n"/>
    </row>
    <row r="1480">
      <c r="A1480" s="26" t="inlineStr">
        <is>
          <t>S29</t>
        </is>
      </c>
      <c r="B1480" s="26" t="inlineStr">
        <is>
          <t>가야 신규점1</t>
        </is>
      </c>
      <c r="C1480" s="26" t="inlineStr">
        <is>
          <t>S29-H서</t>
        </is>
      </c>
      <c r="D1480" s="47" t="n">
        <v>1</v>
      </c>
      <c r="E1480" s="26" t="inlineStr">
        <is>
          <t>측정</t>
        </is>
      </c>
      <c r="F1480" s="26" t="inlineStr">
        <is>
          <t>서</t>
        </is>
      </c>
      <c r="G1480" s="31" t="n">
        <v>4</v>
      </c>
      <c r="H1480" s="30" t="n"/>
      <c r="I1480" s="43" t="n"/>
      <c r="J1480" s="41" t="n"/>
      <c r="K1480" s="41" t="n"/>
      <c r="L1480" s="41" t="n"/>
      <c r="M1480" s="31">
        <f>IF(COUNT(J1480:L1480)=0,"",MEDIAN(J1480:L1480))</f>
        <v/>
      </c>
      <c r="N1480" s="26">
        <f>IF(COUNTIFS($C:$C,$C1480,$D:$D,$D1480,$E:$E,"P0(전)",$M:$M,"&gt;0")&lt;&gt;1,"P0(전) 유효 1개 아님",IF(COUNTIFS($C:$C,$C1480,$D:$D,$D1480,$E:$E,"P0(후)",$M:$M,"&gt;0")&lt;&gt;1,"P0(후) 유효 1개 아님",IF(NOT(AND(ISNUMBER(O1480),ISNUMBER(Q1480),ISNUMBER(I1480))),"시각 결측",IF(Q1480&lt;=O1480,"P0 시각 역전",IF(OR(I1480&lt;O1480,I1480&gt;Q1480),"측정시각 구간 밖","OK")))))</f>
        <v/>
      </c>
      <c r="O1480" s="48">
        <f>IF(COUNTIFS($C:$C,$C1480,$D:$D,$D1480,$E:$E,"P0(전)",$M:$M,"&gt;0")&lt;&gt;1,"",SUMIFS($I:$I,$C:$C,$C1480,$D:$D,$D1480,$E:$E,"P0(전)"))</f>
        <v/>
      </c>
      <c r="P1480" s="31">
        <f>IF(COUNTIFS($C:$C,$C1480,$D:$D,$D1480,$E:$E,"P0(전)",$M:$M,"&gt;0")&lt;&gt;1,"",SUMIFS($M:$M,$C:$C,$C1480,$D:$D,$D1480,$E:$E,"P0(전)"))</f>
        <v/>
      </c>
      <c r="Q1480" s="48">
        <f>IF(COUNTIFS($C:$C,$C1480,$D:$D,$D1480,$E:$E,"P0(후)",$M:$M,"&gt;0")&lt;&gt;1,"",SUMIFS($I:$I,$C:$C,$C1480,$D:$D,$D1480,$E:$E,"P0(후)"))</f>
        <v/>
      </c>
      <c r="R1480" s="31">
        <f>IF(COUNTIFS($C:$C,$C1480,$D:$D,$D1480,$E:$E,"P0(후)",$M:$M,"&gt;0")&lt;&gt;1,"",SUMIFS($M:$M,$C:$C,$C1480,$D:$D,$D1480,$E:$E,"P0(후)"))</f>
        <v/>
      </c>
      <c r="S1480" s="31">
        <f>IF(N1480&lt;&gt;"OK","",P1480+(R1480-P1480)*(I1480-O1480)/(Q1480-O1480))</f>
        <v/>
      </c>
      <c r="T1480" s="31">
        <f>IF(OR(N1480&lt;&gt;"OK",NOT(ISNUMBER(M1480))),"",M1480-S1480)</f>
        <v/>
      </c>
      <c r="U1480" s="49">
        <f>IF(OR(NOT(ISNUMBER(T1480)),IF(ISNUMBER(H1480),H1480,G1480)=0),"",T1480/IF(ISNUMBER(H1480),H1480,G1480))</f>
        <v/>
      </c>
      <c r="V1480" s="49">
        <f>IF(ISNUMBER(U1480),ABS(U1480),"")</f>
        <v/>
      </c>
      <c r="W1480" s="49">
        <f>IF(OR($E1479&lt;&gt;"측정",$C1479&lt;&gt;$C1480,$D1479&lt;&gt;$D1480,NOT(ISNUMBER(M1480)),NOT(ISNUMBER(M1479)),(IF(ISNUMBER(H1480),H1480,G1480)-IF(ISNUMBER(H1479),H1479,G1479))=0),"",(M1480-M1479)/(IF(ISNUMBER(H1480),H1480,G1480)-IF(ISNUMBER(H1479),H1479,G1479)))</f>
        <v/>
      </c>
      <c r="X1480" s="31">
        <f>IF(NOT(AND(ISNUMBER(O1480),ISNUMBER(Q1480))),"",(Q1480-O1480)*1440)</f>
        <v/>
      </c>
      <c r="Y1480" s="29" t="n"/>
      <c r="Z1480" s="29" t="n"/>
      <c r="AA1480" s="29" t="n"/>
      <c r="AB1480" s="32" t="n"/>
      <c r="AC1480" s="32" t="n"/>
    </row>
    <row r="1481">
      <c r="A1481" s="26" t="inlineStr">
        <is>
          <t>S29</t>
        </is>
      </c>
      <c r="B1481" s="26" t="inlineStr">
        <is>
          <t>가야 신규점1</t>
        </is>
      </c>
      <c r="C1481" s="26" t="inlineStr">
        <is>
          <t>S29-H서</t>
        </is>
      </c>
      <c r="D1481" s="47" t="n">
        <v>1</v>
      </c>
      <c r="E1481" s="26" t="inlineStr">
        <is>
          <t>측정</t>
        </is>
      </c>
      <c r="F1481" s="26" t="inlineStr">
        <is>
          <t>서</t>
        </is>
      </c>
      <c r="G1481" s="31" t="n">
        <v>5</v>
      </c>
      <c r="H1481" s="30" t="n"/>
      <c r="I1481" s="43" t="n"/>
      <c r="J1481" s="41" t="n"/>
      <c r="K1481" s="41" t="n"/>
      <c r="L1481" s="41" t="n"/>
      <c r="M1481" s="31">
        <f>IF(COUNT(J1481:L1481)=0,"",MEDIAN(J1481:L1481))</f>
        <v/>
      </c>
      <c r="N1481" s="26">
        <f>IF(COUNTIFS($C:$C,$C1481,$D:$D,$D1481,$E:$E,"P0(전)",$M:$M,"&gt;0")&lt;&gt;1,"P0(전) 유효 1개 아님",IF(COUNTIFS($C:$C,$C1481,$D:$D,$D1481,$E:$E,"P0(후)",$M:$M,"&gt;0")&lt;&gt;1,"P0(후) 유효 1개 아님",IF(NOT(AND(ISNUMBER(O1481),ISNUMBER(Q1481),ISNUMBER(I1481))),"시각 결측",IF(Q1481&lt;=O1481,"P0 시각 역전",IF(OR(I1481&lt;O1481,I1481&gt;Q1481),"측정시각 구간 밖","OK")))))</f>
        <v/>
      </c>
      <c r="O1481" s="48">
        <f>IF(COUNTIFS($C:$C,$C1481,$D:$D,$D1481,$E:$E,"P0(전)",$M:$M,"&gt;0")&lt;&gt;1,"",SUMIFS($I:$I,$C:$C,$C1481,$D:$D,$D1481,$E:$E,"P0(전)"))</f>
        <v/>
      </c>
      <c r="P1481" s="31">
        <f>IF(COUNTIFS($C:$C,$C1481,$D:$D,$D1481,$E:$E,"P0(전)",$M:$M,"&gt;0")&lt;&gt;1,"",SUMIFS($M:$M,$C:$C,$C1481,$D:$D,$D1481,$E:$E,"P0(전)"))</f>
        <v/>
      </c>
      <c r="Q1481" s="48">
        <f>IF(COUNTIFS($C:$C,$C1481,$D:$D,$D1481,$E:$E,"P0(후)",$M:$M,"&gt;0")&lt;&gt;1,"",SUMIFS($I:$I,$C:$C,$C1481,$D:$D,$D1481,$E:$E,"P0(후)"))</f>
        <v/>
      </c>
      <c r="R1481" s="31">
        <f>IF(COUNTIFS($C:$C,$C1481,$D:$D,$D1481,$E:$E,"P0(후)",$M:$M,"&gt;0")&lt;&gt;1,"",SUMIFS($M:$M,$C:$C,$C1481,$D:$D,$D1481,$E:$E,"P0(후)"))</f>
        <v/>
      </c>
      <c r="S1481" s="31">
        <f>IF(N1481&lt;&gt;"OK","",P1481+(R1481-P1481)*(I1481-O1481)/(Q1481-O1481))</f>
        <v/>
      </c>
      <c r="T1481" s="31">
        <f>IF(OR(N1481&lt;&gt;"OK",NOT(ISNUMBER(M1481))),"",M1481-S1481)</f>
        <v/>
      </c>
      <c r="U1481" s="49">
        <f>IF(OR(NOT(ISNUMBER(T1481)),IF(ISNUMBER(H1481),H1481,G1481)=0),"",T1481/IF(ISNUMBER(H1481),H1481,G1481))</f>
        <v/>
      </c>
      <c r="V1481" s="49">
        <f>IF(ISNUMBER(U1481),ABS(U1481),"")</f>
        <v/>
      </c>
      <c r="W1481" s="49">
        <f>IF(OR($E1480&lt;&gt;"측정",$C1480&lt;&gt;$C1481,$D1480&lt;&gt;$D1481,NOT(ISNUMBER(M1481)),NOT(ISNUMBER(M1480)),(IF(ISNUMBER(H1481),H1481,G1481)-IF(ISNUMBER(H1480),H1480,G1480))=0),"",(M1481-M1480)/(IF(ISNUMBER(H1481),H1481,G1481)-IF(ISNUMBER(H1480),H1480,G1480)))</f>
        <v/>
      </c>
      <c r="X1481" s="31">
        <f>IF(NOT(AND(ISNUMBER(O1481),ISNUMBER(Q1481))),"",(Q1481-O1481)*1440)</f>
        <v/>
      </c>
      <c r="Y1481" s="29" t="n"/>
      <c r="Z1481" s="29" t="n"/>
      <c r="AA1481" s="29" t="n"/>
      <c r="AB1481" s="32" t="n"/>
      <c r="AC1481" s="32" t="n"/>
    </row>
    <row r="1482">
      <c r="A1482" s="26" t="inlineStr">
        <is>
          <t>S29</t>
        </is>
      </c>
      <c r="B1482" s="26" t="inlineStr">
        <is>
          <t>가야 신규점1</t>
        </is>
      </c>
      <c r="C1482" s="26" t="inlineStr">
        <is>
          <t>S29-H서</t>
        </is>
      </c>
      <c r="D1482" s="47" t="n">
        <v>1</v>
      </c>
      <c r="E1482" s="26" t="inlineStr">
        <is>
          <t>측정</t>
        </is>
      </c>
      <c r="F1482" s="26" t="inlineStr">
        <is>
          <t>서</t>
        </is>
      </c>
      <c r="G1482" s="31" t="n">
        <v>6</v>
      </c>
      <c r="H1482" s="30" t="n"/>
      <c r="I1482" s="43" t="n"/>
      <c r="J1482" s="41" t="n"/>
      <c r="K1482" s="41" t="n"/>
      <c r="L1482" s="41" t="n"/>
      <c r="M1482" s="31">
        <f>IF(COUNT(J1482:L1482)=0,"",MEDIAN(J1482:L1482))</f>
        <v/>
      </c>
      <c r="N1482" s="26">
        <f>IF(COUNTIFS($C:$C,$C1482,$D:$D,$D1482,$E:$E,"P0(전)",$M:$M,"&gt;0")&lt;&gt;1,"P0(전) 유효 1개 아님",IF(COUNTIFS($C:$C,$C1482,$D:$D,$D1482,$E:$E,"P0(후)",$M:$M,"&gt;0")&lt;&gt;1,"P0(후) 유효 1개 아님",IF(NOT(AND(ISNUMBER(O1482),ISNUMBER(Q1482),ISNUMBER(I1482))),"시각 결측",IF(Q1482&lt;=O1482,"P0 시각 역전",IF(OR(I1482&lt;O1482,I1482&gt;Q1482),"측정시각 구간 밖","OK")))))</f>
        <v/>
      </c>
      <c r="O1482" s="48">
        <f>IF(COUNTIFS($C:$C,$C1482,$D:$D,$D1482,$E:$E,"P0(전)",$M:$M,"&gt;0")&lt;&gt;1,"",SUMIFS($I:$I,$C:$C,$C1482,$D:$D,$D1482,$E:$E,"P0(전)"))</f>
        <v/>
      </c>
      <c r="P1482" s="31">
        <f>IF(COUNTIFS($C:$C,$C1482,$D:$D,$D1482,$E:$E,"P0(전)",$M:$M,"&gt;0")&lt;&gt;1,"",SUMIFS($M:$M,$C:$C,$C1482,$D:$D,$D1482,$E:$E,"P0(전)"))</f>
        <v/>
      </c>
      <c r="Q1482" s="48">
        <f>IF(COUNTIFS($C:$C,$C1482,$D:$D,$D1482,$E:$E,"P0(후)",$M:$M,"&gt;0")&lt;&gt;1,"",SUMIFS($I:$I,$C:$C,$C1482,$D:$D,$D1482,$E:$E,"P0(후)"))</f>
        <v/>
      </c>
      <c r="R1482" s="31">
        <f>IF(COUNTIFS($C:$C,$C1482,$D:$D,$D1482,$E:$E,"P0(후)",$M:$M,"&gt;0")&lt;&gt;1,"",SUMIFS($M:$M,$C:$C,$C1482,$D:$D,$D1482,$E:$E,"P0(후)"))</f>
        <v/>
      </c>
      <c r="S1482" s="31">
        <f>IF(N1482&lt;&gt;"OK","",P1482+(R1482-P1482)*(I1482-O1482)/(Q1482-O1482))</f>
        <v/>
      </c>
      <c r="T1482" s="31">
        <f>IF(OR(N1482&lt;&gt;"OK",NOT(ISNUMBER(M1482))),"",M1482-S1482)</f>
        <v/>
      </c>
      <c r="U1482" s="49">
        <f>IF(OR(NOT(ISNUMBER(T1482)),IF(ISNUMBER(H1482),H1482,G1482)=0),"",T1482/IF(ISNUMBER(H1482),H1482,G1482))</f>
        <v/>
      </c>
      <c r="V1482" s="49">
        <f>IF(ISNUMBER(U1482),ABS(U1482),"")</f>
        <v/>
      </c>
      <c r="W1482" s="49">
        <f>IF(OR($E1481&lt;&gt;"측정",$C1481&lt;&gt;$C1482,$D1481&lt;&gt;$D1482,NOT(ISNUMBER(M1482)),NOT(ISNUMBER(M1481)),(IF(ISNUMBER(H1482),H1482,G1482)-IF(ISNUMBER(H1481),H1481,G1481))=0),"",(M1482-M1481)/(IF(ISNUMBER(H1482),H1482,G1482)-IF(ISNUMBER(H1481),H1481,G1481)))</f>
        <v/>
      </c>
      <c r="X1482" s="31">
        <f>IF(NOT(AND(ISNUMBER(O1482),ISNUMBER(Q1482))),"",(Q1482-O1482)*1440)</f>
        <v/>
      </c>
      <c r="Y1482" s="29" t="n"/>
      <c r="Z1482" s="29" t="n"/>
      <c r="AA1482" s="29" t="n"/>
      <c r="AB1482" s="32" t="n"/>
      <c r="AC1482" s="32" t="n"/>
    </row>
    <row r="1483">
      <c r="A1483" s="26" t="inlineStr">
        <is>
          <t>S29</t>
        </is>
      </c>
      <c r="B1483" s="26" t="inlineStr">
        <is>
          <t>가야 신규점1</t>
        </is>
      </c>
      <c r="C1483" s="26" t="inlineStr">
        <is>
          <t>S29-H서</t>
        </is>
      </c>
      <c r="D1483" s="47" t="n">
        <v>1</v>
      </c>
      <c r="E1483" s="26" t="inlineStr">
        <is>
          <t>측정</t>
        </is>
      </c>
      <c r="F1483" s="26" t="inlineStr">
        <is>
          <t>서</t>
        </is>
      </c>
      <c r="G1483" s="31" t="n">
        <v>7</v>
      </c>
      <c r="H1483" s="30" t="n"/>
      <c r="I1483" s="43" t="n"/>
      <c r="J1483" s="41" t="n"/>
      <c r="K1483" s="41" t="n"/>
      <c r="L1483" s="41" t="n"/>
      <c r="M1483" s="31">
        <f>IF(COUNT(J1483:L1483)=0,"",MEDIAN(J1483:L1483))</f>
        <v/>
      </c>
      <c r="N1483" s="26">
        <f>IF(COUNTIFS($C:$C,$C1483,$D:$D,$D1483,$E:$E,"P0(전)",$M:$M,"&gt;0")&lt;&gt;1,"P0(전) 유효 1개 아님",IF(COUNTIFS($C:$C,$C1483,$D:$D,$D1483,$E:$E,"P0(후)",$M:$M,"&gt;0")&lt;&gt;1,"P0(후) 유효 1개 아님",IF(NOT(AND(ISNUMBER(O1483),ISNUMBER(Q1483),ISNUMBER(I1483))),"시각 결측",IF(Q1483&lt;=O1483,"P0 시각 역전",IF(OR(I1483&lt;O1483,I1483&gt;Q1483),"측정시각 구간 밖","OK")))))</f>
        <v/>
      </c>
      <c r="O1483" s="48">
        <f>IF(COUNTIFS($C:$C,$C1483,$D:$D,$D1483,$E:$E,"P0(전)",$M:$M,"&gt;0")&lt;&gt;1,"",SUMIFS($I:$I,$C:$C,$C1483,$D:$D,$D1483,$E:$E,"P0(전)"))</f>
        <v/>
      </c>
      <c r="P1483" s="31">
        <f>IF(COUNTIFS($C:$C,$C1483,$D:$D,$D1483,$E:$E,"P0(전)",$M:$M,"&gt;0")&lt;&gt;1,"",SUMIFS($M:$M,$C:$C,$C1483,$D:$D,$D1483,$E:$E,"P0(전)"))</f>
        <v/>
      </c>
      <c r="Q1483" s="48">
        <f>IF(COUNTIFS($C:$C,$C1483,$D:$D,$D1483,$E:$E,"P0(후)",$M:$M,"&gt;0")&lt;&gt;1,"",SUMIFS($I:$I,$C:$C,$C1483,$D:$D,$D1483,$E:$E,"P0(후)"))</f>
        <v/>
      </c>
      <c r="R1483" s="31">
        <f>IF(COUNTIFS($C:$C,$C1483,$D:$D,$D1483,$E:$E,"P0(후)",$M:$M,"&gt;0")&lt;&gt;1,"",SUMIFS($M:$M,$C:$C,$C1483,$D:$D,$D1483,$E:$E,"P0(후)"))</f>
        <v/>
      </c>
      <c r="S1483" s="31">
        <f>IF(N1483&lt;&gt;"OK","",P1483+(R1483-P1483)*(I1483-O1483)/(Q1483-O1483))</f>
        <v/>
      </c>
      <c r="T1483" s="31">
        <f>IF(OR(N1483&lt;&gt;"OK",NOT(ISNUMBER(M1483))),"",M1483-S1483)</f>
        <v/>
      </c>
      <c r="U1483" s="49">
        <f>IF(OR(NOT(ISNUMBER(T1483)),IF(ISNUMBER(H1483),H1483,G1483)=0),"",T1483/IF(ISNUMBER(H1483),H1483,G1483))</f>
        <v/>
      </c>
      <c r="V1483" s="49">
        <f>IF(ISNUMBER(U1483),ABS(U1483),"")</f>
        <v/>
      </c>
      <c r="W1483" s="49">
        <f>IF(OR($E1482&lt;&gt;"측정",$C1482&lt;&gt;$C1483,$D1482&lt;&gt;$D1483,NOT(ISNUMBER(M1483)),NOT(ISNUMBER(M1482)),(IF(ISNUMBER(H1483),H1483,G1483)-IF(ISNUMBER(H1482),H1482,G1482))=0),"",(M1483-M1482)/(IF(ISNUMBER(H1483),H1483,G1483)-IF(ISNUMBER(H1482),H1482,G1482)))</f>
        <v/>
      </c>
      <c r="X1483" s="31">
        <f>IF(NOT(AND(ISNUMBER(O1483),ISNUMBER(Q1483))),"",(Q1483-O1483)*1440)</f>
        <v/>
      </c>
      <c r="Y1483" s="29" t="n"/>
      <c r="Z1483" s="29" t="n"/>
      <c r="AA1483" s="29" t="n"/>
      <c r="AB1483" s="32" t="n"/>
      <c r="AC1483" s="32" t="n"/>
    </row>
    <row r="1484">
      <c r="A1484" s="26" t="inlineStr">
        <is>
          <t>S29</t>
        </is>
      </c>
      <c r="B1484" s="26" t="inlineStr">
        <is>
          <t>가야 신규점1</t>
        </is>
      </c>
      <c r="C1484" s="26" t="inlineStr">
        <is>
          <t>S29-H서</t>
        </is>
      </c>
      <c r="D1484" s="47" t="n">
        <v>1</v>
      </c>
      <c r="E1484" s="26" t="inlineStr">
        <is>
          <t>측정</t>
        </is>
      </c>
      <c r="F1484" s="26" t="inlineStr">
        <is>
          <t>서</t>
        </is>
      </c>
      <c r="G1484" s="31" t="n">
        <v>8</v>
      </c>
      <c r="H1484" s="30" t="n"/>
      <c r="I1484" s="43" t="n"/>
      <c r="J1484" s="41" t="n"/>
      <c r="K1484" s="41" t="n"/>
      <c r="L1484" s="41" t="n"/>
      <c r="M1484" s="31">
        <f>IF(COUNT(J1484:L1484)=0,"",MEDIAN(J1484:L1484))</f>
        <v/>
      </c>
      <c r="N1484" s="26">
        <f>IF(COUNTIFS($C:$C,$C1484,$D:$D,$D1484,$E:$E,"P0(전)",$M:$M,"&gt;0")&lt;&gt;1,"P0(전) 유효 1개 아님",IF(COUNTIFS($C:$C,$C1484,$D:$D,$D1484,$E:$E,"P0(후)",$M:$M,"&gt;0")&lt;&gt;1,"P0(후) 유효 1개 아님",IF(NOT(AND(ISNUMBER(O1484),ISNUMBER(Q1484),ISNUMBER(I1484))),"시각 결측",IF(Q1484&lt;=O1484,"P0 시각 역전",IF(OR(I1484&lt;O1484,I1484&gt;Q1484),"측정시각 구간 밖","OK")))))</f>
        <v/>
      </c>
      <c r="O1484" s="48">
        <f>IF(COUNTIFS($C:$C,$C1484,$D:$D,$D1484,$E:$E,"P0(전)",$M:$M,"&gt;0")&lt;&gt;1,"",SUMIFS($I:$I,$C:$C,$C1484,$D:$D,$D1484,$E:$E,"P0(전)"))</f>
        <v/>
      </c>
      <c r="P1484" s="31">
        <f>IF(COUNTIFS($C:$C,$C1484,$D:$D,$D1484,$E:$E,"P0(전)",$M:$M,"&gt;0")&lt;&gt;1,"",SUMIFS($M:$M,$C:$C,$C1484,$D:$D,$D1484,$E:$E,"P0(전)"))</f>
        <v/>
      </c>
      <c r="Q1484" s="48">
        <f>IF(COUNTIFS($C:$C,$C1484,$D:$D,$D1484,$E:$E,"P0(후)",$M:$M,"&gt;0")&lt;&gt;1,"",SUMIFS($I:$I,$C:$C,$C1484,$D:$D,$D1484,$E:$E,"P0(후)"))</f>
        <v/>
      </c>
      <c r="R1484" s="31">
        <f>IF(COUNTIFS($C:$C,$C1484,$D:$D,$D1484,$E:$E,"P0(후)",$M:$M,"&gt;0")&lt;&gt;1,"",SUMIFS($M:$M,$C:$C,$C1484,$D:$D,$D1484,$E:$E,"P0(후)"))</f>
        <v/>
      </c>
      <c r="S1484" s="31">
        <f>IF(N1484&lt;&gt;"OK","",P1484+(R1484-P1484)*(I1484-O1484)/(Q1484-O1484))</f>
        <v/>
      </c>
      <c r="T1484" s="31">
        <f>IF(OR(N1484&lt;&gt;"OK",NOT(ISNUMBER(M1484))),"",M1484-S1484)</f>
        <v/>
      </c>
      <c r="U1484" s="49">
        <f>IF(OR(NOT(ISNUMBER(T1484)),IF(ISNUMBER(H1484),H1484,G1484)=0),"",T1484/IF(ISNUMBER(H1484),H1484,G1484))</f>
        <v/>
      </c>
      <c r="V1484" s="49">
        <f>IF(ISNUMBER(U1484),ABS(U1484),"")</f>
        <v/>
      </c>
      <c r="W1484" s="49">
        <f>IF(OR($E1483&lt;&gt;"측정",$C1483&lt;&gt;$C1484,$D1483&lt;&gt;$D1484,NOT(ISNUMBER(M1484)),NOT(ISNUMBER(M1483)),(IF(ISNUMBER(H1484),H1484,G1484)-IF(ISNUMBER(H1483),H1483,G1483))=0),"",(M1484-M1483)/(IF(ISNUMBER(H1484),H1484,G1484)-IF(ISNUMBER(H1483),H1483,G1483)))</f>
        <v/>
      </c>
      <c r="X1484" s="31">
        <f>IF(NOT(AND(ISNUMBER(O1484),ISNUMBER(Q1484))),"",(Q1484-O1484)*1440)</f>
        <v/>
      </c>
      <c r="Y1484" s="29" t="n"/>
      <c r="Z1484" s="29" t="n"/>
      <c r="AA1484" s="29" t="n"/>
      <c r="AB1484" s="32" t="n"/>
      <c r="AC1484" s="32" t="n"/>
    </row>
    <row r="1485">
      <c r="A1485" s="26" t="inlineStr">
        <is>
          <t>S29</t>
        </is>
      </c>
      <c r="B1485" s="26" t="inlineStr">
        <is>
          <t>가야 신규점1</t>
        </is>
      </c>
      <c r="C1485" s="26" t="inlineStr">
        <is>
          <t>S29-H서</t>
        </is>
      </c>
      <c r="D1485" s="47" t="n">
        <v>1</v>
      </c>
      <c r="E1485" s="26" t="inlineStr">
        <is>
          <t>측정</t>
        </is>
      </c>
      <c r="F1485" s="26" t="inlineStr">
        <is>
          <t>서</t>
        </is>
      </c>
      <c r="G1485" s="31" t="n">
        <v>9</v>
      </c>
      <c r="H1485" s="30" t="n"/>
      <c r="I1485" s="43" t="n"/>
      <c r="J1485" s="41" t="n"/>
      <c r="K1485" s="41" t="n"/>
      <c r="L1485" s="41" t="n"/>
      <c r="M1485" s="31">
        <f>IF(COUNT(J1485:L1485)=0,"",MEDIAN(J1485:L1485))</f>
        <v/>
      </c>
      <c r="N1485" s="26">
        <f>IF(COUNTIFS($C:$C,$C1485,$D:$D,$D1485,$E:$E,"P0(전)",$M:$M,"&gt;0")&lt;&gt;1,"P0(전) 유효 1개 아님",IF(COUNTIFS($C:$C,$C1485,$D:$D,$D1485,$E:$E,"P0(후)",$M:$M,"&gt;0")&lt;&gt;1,"P0(후) 유효 1개 아님",IF(NOT(AND(ISNUMBER(O1485),ISNUMBER(Q1485),ISNUMBER(I1485))),"시각 결측",IF(Q1485&lt;=O1485,"P0 시각 역전",IF(OR(I1485&lt;O1485,I1485&gt;Q1485),"측정시각 구간 밖","OK")))))</f>
        <v/>
      </c>
      <c r="O1485" s="48">
        <f>IF(COUNTIFS($C:$C,$C1485,$D:$D,$D1485,$E:$E,"P0(전)",$M:$M,"&gt;0")&lt;&gt;1,"",SUMIFS($I:$I,$C:$C,$C1485,$D:$D,$D1485,$E:$E,"P0(전)"))</f>
        <v/>
      </c>
      <c r="P1485" s="31">
        <f>IF(COUNTIFS($C:$C,$C1485,$D:$D,$D1485,$E:$E,"P0(전)",$M:$M,"&gt;0")&lt;&gt;1,"",SUMIFS($M:$M,$C:$C,$C1485,$D:$D,$D1485,$E:$E,"P0(전)"))</f>
        <v/>
      </c>
      <c r="Q1485" s="48">
        <f>IF(COUNTIFS($C:$C,$C1485,$D:$D,$D1485,$E:$E,"P0(후)",$M:$M,"&gt;0")&lt;&gt;1,"",SUMIFS($I:$I,$C:$C,$C1485,$D:$D,$D1485,$E:$E,"P0(후)"))</f>
        <v/>
      </c>
      <c r="R1485" s="31">
        <f>IF(COUNTIFS($C:$C,$C1485,$D:$D,$D1485,$E:$E,"P0(후)",$M:$M,"&gt;0")&lt;&gt;1,"",SUMIFS($M:$M,$C:$C,$C1485,$D:$D,$D1485,$E:$E,"P0(후)"))</f>
        <v/>
      </c>
      <c r="S1485" s="31">
        <f>IF(N1485&lt;&gt;"OK","",P1485+(R1485-P1485)*(I1485-O1485)/(Q1485-O1485))</f>
        <v/>
      </c>
      <c r="T1485" s="31">
        <f>IF(OR(N1485&lt;&gt;"OK",NOT(ISNUMBER(M1485))),"",M1485-S1485)</f>
        <v/>
      </c>
      <c r="U1485" s="49">
        <f>IF(OR(NOT(ISNUMBER(T1485)),IF(ISNUMBER(H1485),H1485,G1485)=0),"",T1485/IF(ISNUMBER(H1485),H1485,G1485))</f>
        <v/>
      </c>
      <c r="V1485" s="49">
        <f>IF(ISNUMBER(U1485),ABS(U1485),"")</f>
        <v/>
      </c>
      <c r="W1485" s="49">
        <f>IF(OR($E1484&lt;&gt;"측정",$C1484&lt;&gt;$C1485,$D1484&lt;&gt;$D1485,NOT(ISNUMBER(M1485)),NOT(ISNUMBER(M1484)),(IF(ISNUMBER(H1485),H1485,G1485)-IF(ISNUMBER(H1484),H1484,G1484))=0),"",(M1485-M1484)/(IF(ISNUMBER(H1485),H1485,G1485)-IF(ISNUMBER(H1484),H1484,G1484)))</f>
        <v/>
      </c>
      <c r="X1485" s="31">
        <f>IF(NOT(AND(ISNUMBER(O1485),ISNUMBER(Q1485))),"",(Q1485-O1485)*1440)</f>
        <v/>
      </c>
      <c r="Y1485" s="29" t="n"/>
      <c r="Z1485" s="29" t="n"/>
      <c r="AA1485" s="29" t="n"/>
      <c r="AB1485" s="32" t="n"/>
      <c r="AC1485" s="32" t="n"/>
    </row>
    <row r="1486">
      <c r="A1486" s="26" t="inlineStr">
        <is>
          <t>S29</t>
        </is>
      </c>
      <c r="B1486" s="26" t="inlineStr">
        <is>
          <t>가야 신규점1</t>
        </is>
      </c>
      <c r="C1486" s="26" t="inlineStr">
        <is>
          <t>S29-H서</t>
        </is>
      </c>
      <c r="D1486" s="47" t="n">
        <v>1</v>
      </c>
      <c r="E1486" s="26" t="inlineStr">
        <is>
          <t>측정</t>
        </is>
      </c>
      <c r="F1486" s="26" t="inlineStr">
        <is>
          <t>서</t>
        </is>
      </c>
      <c r="G1486" s="31" t="n">
        <v>10</v>
      </c>
      <c r="H1486" s="30" t="n"/>
      <c r="I1486" s="43" t="n"/>
      <c r="J1486" s="41" t="n"/>
      <c r="K1486" s="41" t="n"/>
      <c r="L1486" s="41" t="n"/>
      <c r="M1486" s="31">
        <f>IF(COUNT(J1486:L1486)=0,"",MEDIAN(J1486:L1486))</f>
        <v/>
      </c>
      <c r="N1486" s="26">
        <f>IF(COUNTIFS($C:$C,$C1486,$D:$D,$D1486,$E:$E,"P0(전)",$M:$M,"&gt;0")&lt;&gt;1,"P0(전) 유효 1개 아님",IF(COUNTIFS($C:$C,$C1486,$D:$D,$D1486,$E:$E,"P0(후)",$M:$M,"&gt;0")&lt;&gt;1,"P0(후) 유효 1개 아님",IF(NOT(AND(ISNUMBER(O1486),ISNUMBER(Q1486),ISNUMBER(I1486))),"시각 결측",IF(Q1486&lt;=O1486,"P0 시각 역전",IF(OR(I1486&lt;O1486,I1486&gt;Q1486),"측정시각 구간 밖","OK")))))</f>
        <v/>
      </c>
      <c r="O1486" s="48">
        <f>IF(COUNTIFS($C:$C,$C1486,$D:$D,$D1486,$E:$E,"P0(전)",$M:$M,"&gt;0")&lt;&gt;1,"",SUMIFS($I:$I,$C:$C,$C1486,$D:$D,$D1486,$E:$E,"P0(전)"))</f>
        <v/>
      </c>
      <c r="P1486" s="31">
        <f>IF(COUNTIFS($C:$C,$C1486,$D:$D,$D1486,$E:$E,"P0(전)",$M:$M,"&gt;0")&lt;&gt;1,"",SUMIFS($M:$M,$C:$C,$C1486,$D:$D,$D1486,$E:$E,"P0(전)"))</f>
        <v/>
      </c>
      <c r="Q1486" s="48">
        <f>IF(COUNTIFS($C:$C,$C1486,$D:$D,$D1486,$E:$E,"P0(후)",$M:$M,"&gt;0")&lt;&gt;1,"",SUMIFS($I:$I,$C:$C,$C1486,$D:$D,$D1486,$E:$E,"P0(후)"))</f>
        <v/>
      </c>
      <c r="R1486" s="31">
        <f>IF(COUNTIFS($C:$C,$C1486,$D:$D,$D1486,$E:$E,"P0(후)",$M:$M,"&gt;0")&lt;&gt;1,"",SUMIFS($M:$M,$C:$C,$C1486,$D:$D,$D1486,$E:$E,"P0(후)"))</f>
        <v/>
      </c>
      <c r="S1486" s="31">
        <f>IF(N1486&lt;&gt;"OK","",P1486+(R1486-P1486)*(I1486-O1486)/(Q1486-O1486))</f>
        <v/>
      </c>
      <c r="T1486" s="31">
        <f>IF(OR(N1486&lt;&gt;"OK",NOT(ISNUMBER(M1486))),"",M1486-S1486)</f>
        <v/>
      </c>
      <c r="U1486" s="49">
        <f>IF(OR(NOT(ISNUMBER(T1486)),IF(ISNUMBER(H1486),H1486,G1486)=0),"",T1486/IF(ISNUMBER(H1486),H1486,G1486))</f>
        <v/>
      </c>
      <c r="V1486" s="49">
        <f>IF(ISNUMBER(U1486),ABS(U1486),"")</f>
        <v/>
      </c>
      <c r="W1486" s="49">
        <f>IF(OR($E1485&lt;&gt;"측정",$C1485&lt;&gt;$C1486,$D1485&lt;&gt;$D1486,NOT(ISNUMBER(M1486)),NOT(ISNUMBER(M1485)),(IF(ISNUMBER(H1486),H1486,G1486)-IF(ISNUMBER(H1485),H1485,G1485))=0),"",(M1486-M1485)/(IF(ISNUMBER(H1486),H1486,G1486)-IF(ISNUMBER(H1485),H1485,G1485)))</f>
        <v/>
      </c>
      <c r="X1486" s="31">
        <f>IF(NOT(AND(ISNUMBER(O1486),ISNUMBER(Q1486))),"",(Q1486-O1486)*1440)</f>
        <v/>
      </c>
      <c r="Y1486" s="29" t="n"/>
      <c r="Z1486" s="29" t="n"/>
      <c r="AA1486" s="29" t="n"/>
      <c r="AB1486" s="32" t="n"/>
      <c r="AC1486" s="32" t="n"/>
    </row>
    <row r="1487">
      <c r="A1487" s="44" t="inlineStr">
        <is>
          <t>S29</t>
        </is>
      </c>
      <c r="B1487" s="44" t="inlineStr">
        <is>
          <t>가야 신규점1</t>
        </is>
      </c>
      <c r="C1487" s="44" t="inlineStr">
        <is>
          <t>S29-H서</t>
        </is>
      </c>
      <c r="D1487" s="45" t="n">
        <v>1</v>
      </c>
      <c r="E1487" s="44" t="inlineStr">
        <is>
          <t>P0(후)</t>
        </is>
      </c>
      <c r="F1487" s="44" t="inlineStr">
        <is>
          <t>서</t>
        </is>
      </c>
      <c r="G1487" s="46" t="n"/>
      <c r="H1487" s="30" t="n"/>
      <c r="I1487" s="43" t="n"/>
      <c r="J1487" s="41" t="n"/>
      <c r="K1487" s="41" t="n"/>
      <c r="L1487" s="41" t="n"/>
      <c r="M1487" s="31">
        <f>IF(COUNT(J1487:L1487)=0,"",MEDIAN(J1487:L1487))</f>
        <v/>
      </c>
      <c r="N1487" s="38" t="n"/>
      <c r="O1487" s="38" t="n"/>
      <c r="P1487" s="38" t="n"/>
      <c r="Q1487" s="38" t="n"/>
      <c r="R1487" s="38" t="n"/>
      <c r="S1487" s="38" t="n"/>
      <c r="T1487" s="38" t="n"/>
      <c r="U1487" s="38" t="n"/>
      <c r="V1487" s="38" t="n"/>
      <c r="W1487" s="38" t="n"/>
      <c r="X1487" s="38" t="n"/>
      <c r="Y1487" s="29" t="n"/>
      <c r="Z1487" s="29" t="n"/>
      <c r="AA1487" s="29" t="n"/>
      <c r="AB1487" s="32" t="n"/>
      <c r="AC1487" s="32" t="n"/>
    </row>
    <row r="1488">
      <c r="A1488" s="44" t="inlineStr">
        <is>
          <t>S29</t>
        </is>
      </c>
      <c r="B1488" s="44" t="inlineStr">
        <is>
          <t>가야 신규점1</t>
        </is>
      </c>
      <c r="C1488" s="44" t="inlineStr">
        <is>
          <t>S29-H남</t>
        </is>
      </c>
      <c r="D1488" s="45" t="n">
        <v>1</v>
      </c>
      <c r="E1488" s="44" t="inlineStr">
        <is>
          <t>P0(전)</t>
        </is>
      </c>
      <c r="F1488" s="44" t="inlineStr">
        <is>
          <t>남</t>
        </is>
      </c>
      <c r="G1488" s="46" t="n"/>
      <c r="H1488" s="30" t="n"/>
      <c r="I1488" s="43" t="n"/>
      <c r="J1488" s="41" t="n"/>
      <c r="K1488" s="41" t="n"/>
      <c r="L1488" s="41" t="n"/>
      <c r="M1488" s="31">
        <f>IF(COUNT(J1488:L1488)=0,"",MEDIAN(J1488:L1488))</f>
        <v/>
      </c>
      <c r="N1488" s="38" t="n"/>
      <c r="O1488" s="38" t="n"/>
      <c r="P1488" s="38" t="n"/>
      <c r="Q1488" s="38" t="n"/>
      <c r="R1488" s="38" t="n"/>
      <c r="S1488" s="38" t="n"/>
      <c r="T1488" s="38" t="n"/>
      <c r="U1488" s="38" t="n"/>
      <c r="V1488" s="38" t="n"/>
      <c r="W1488" s="38" t="n"/>
      <c r="X1488" s="38" t="n"/>
      <c r="Y1488" s="29" t="n"/>
      <c r="Z1488" s="29" t="n"/>
      <c r="AA1488" s="29" t="n"/>
      <c r="AB1488" s="32" t="n"/>
      <c r="AC1488" s="32" t="n"/>
    </row>
    <row r="1489">
      <c r="A1489" s="26" t="inlineStr">
        <is>
          <t>S29</t>
        </is>
      </c>
      <c r="B1489" s="26" t="inlineStr">
        <is>
          <t>가야 신규점1</t>
        </is>
      </c>
      <c r="C1489" s="26" t="inlineStr">
        <is>
          <t>S29-H남</t>
        </is>
      </c>
      <c r="D1489" s="47" t="n">
        <v>1</v>
      </c>
      <c r="E1489" s="26" t="inlineStr">
        <is>
          <t>측정</t>
        </is>
      </c>
      <c r="F1489" s="26" t="inlineStr">
        <is>
          <t>남</t>
        </is>
      </c>
      <c r="G1489" s="31" t="n">
        <v>0.5</v>
      </c>
      <c r="H1489" s="30" t="n"/>
      <c r="I1489" s="43" t="n"/>
      <c r="J1489" s="41" t="n"/>
      <c r="K1489" s="41" t="n"/>
      <c r="L1489" s="41" t="n"/>
      <c r="M1489" s="31">
        <f>IF(COUNT(J1489:L1489)=0,"",MEDIAN(J1489:L1489))</f>
        <v/>
      </c>
      <c r="N1489" s="26">
        <f>IF(COUNTIFS($C:$C,$C1489,$D:$D,$D1489,$E:$E,"P0(전)",$M:$M,"&gt;0")&lt;&gt;1,"P0(전) 유효 1개 아님",IF(COUNTIFS($C:$C,$C1489,$D:$D,$D1489,$E:$E,"P0(후)",$M:$M,"&gt;0")&lt;&gt;1,"P0(후) 유효 1개 아님",IF(NOT(AND(ISNUMBER(O1489),ISNUMBER(Q1489),ISNUMBER(I1489))),"시각 결측",IF(Q1489&lt;=O1489,"P0 시각 역전",IF(OR(I1489&lt;O1489,I1489&gt;Q1489),"측정시각 구간 밖","OK")))))</f>
        <v/>
      </c>
      <c r="O1489" s="48">
        <f>IF(COUNTIFS($C:$C,$C1489,$D:$D,$D1489,$E:$E,"P0(전)",$M:$M,"&gt;0")&lt;&gt;1,"",SUMIFS($I:$I,$C:$C,$C1489,$D:$D,$D1489,$E:$E,"P0(전)"))</f>
        <v/>
      </c>
      <c r="P1489" s="31">
        <f>IF(COUNTIFS($C:$C,$C1489,$D:$D,$D1489,$E:$E,"P0(전)",$M:$M,"&gt;0")&lt;&gt;1,"",SUMIFS($M:$M,$C:$C,$C1489,$D:$D,$D1489,$E:$E,"P0(전)"))</f>
        <v/>
      </c>
      <c r="Q1489" s="48">
        <f>IF(COUNTIFS($C:$C,$C1489,$D:$D,$D1489,$E:$E,"P0(후)",$M:$M,"&gt;0")&lt;&gt;1,"",SUMIFS($I:$I,$C:$C,$C1489,$D:$D,$D1489,$E:$E,"P0(후)"))</f>
        <v/>
      </c>
      <c r="R1489" s="31">
        <f>IF(COUNTIFS($C:$C,$C1489,$D:$D,$D1489,$E:$E,"P0(후)",$M:$M,"&gt;0")&lt;&gt;1,"",SUMIFS($M:$M,$C:$C,$C1489,$D:$D,$D1489,$E:$E,"P0(후)"))</f>
        <v/>
      </c>
      <c r="S1489" s="31">
        <f>IF(N1489&lt;&gt;"OK","",P1489+(R1489-P1489)*(I1489-O1489)/(Q1489-O1489))</f>
        <v/>
      </c>
      <c r="T1489" s="31">
        <f>IF(OR(N1489&lt;&gt;"OK",NOT(ISNUMBER(M1489))),"",M1489-S1489)</f>
        <v/>
      </c>
      <c r="U1489" s="49">
        <f>IF(OR(NOT(ISNUMBER(T1489)),IF(ISNUMBER(H1489),H1489,G1489)=0),"",T1489/IF(ISNUMBER(H1489),H1489,G1489))</f>
        <v/>
      </c>
      <c r="V1489" s="49">
        <f>IF(ISNUMBER(U1489),ABS(U1489),"")</f>
        <v/>
      </c>
      <c r="W1489" s="49">
        <f>IF(OR($E1488&lt;&gt;"측정",$C1488&lt;&gt;$C1489,$D1488&lt;&gt;$D1489,NOT(ISNUMBER(M1489)),NOT(ISNUMBER(M1488)),(IF(ISNUMBER(H1489),H1489,G1489)-IF(ISNUMBER(H1488),H1488,G1488))=0),"",(M1489-M1488)/(IF(ISNUMBER(H1489),H1489,G1489)-IF(ISNUMBER(H1488),H1488,G1488)))</f>
        <v/>
      </c>
      <c r="X1489" s="31">
        <f>IF(NOT(AND(ISNUMBER(O1489),ISNUMBER(Q1489))),"",(Q1489-O1489)*1440)</f>
        <v/>
      </c>
      <c r="Y1489" s="29" t="n"/>
      <c r="Z1489" s="29" t="n"/>
      <c r="AA1489" s="29" t="n"/>
      <c r="AB1489" s="32" t="n"/>
      <c r="AC1489" s="32" t="n"/>
    </row>
    <row r="1490">
      <c r="A1490" s="26" t="inlineStr">
        <is>
          <t>S29</t>
        </is>
      </c>
      <c r="B1490" s="26" t="inlineStr">
        <is>
          <t>가야 신규점1</t>
        </is>
      </c>
      <c r="C1490" s="26" t="inlineStr">
        <is>
          <t>S29-H남</t>
        </is>
      </c>
      <c r="D1490" s="47" t="n">
        <v>1</v>
      </c>
      <c r="E1490" s="26" t="inlineStr">
        <is>
          <t>측정</t>
        </is>
      </c>
      <c r="F1490" s="26" t="inlineStr">
        <is>
          <t>남</t>
        </is>
      </c>
      <c r="G1490" s="31" t="n">
        <v>1</v>
      </c>
      <c r="H1490" s="30" t="n"/>
      <c r="I1490" s="43" t="n"/>
      <c r="J1490" s="41" t="n"/>
      <c r="K1490" s="41" t="n"/>
      <c r="L1490" s="41" t="n"/>
      <c r="M1490" s="31">
        <f>IF(COUNT(J1490:L1490)=0,"",MEDIAN(J1490:L1490))</f>
        <v/>
      </c>
      <c r="N1490" s="26">
        <f>IF(COUNTIFS($C:$C,$C1490,$D:$D,$D1490,$E:$E,"P0(전)",$M:$M,"&gt;0")&lt;&gt;1,"P0(전) 유효 1개 아님",IF(COUNTIFS($C:$C,$C1490,$D:$D,$D1490,$E:$E,"P0(후)",$M:$M,"&gt;0")&lt;&gt;1,"P0(후) 유효 1개 아님",IF(NOT(AND(ISNUMBER(O1490),ISNUMBER(Q1490),ISNUMBER(I1490))),"시각 결측",IF(Q1490&lt;=O1490,"P0 시각 역전",IF(OR(I1490&lt;O1490,I1490&gt;Q1490),"측정시각 구간 밖","OK")))))</f>
        <v/>
      </c>
      <c r="O1490" s="48">
        <f>IF(COUNTIFS($C:$C,$C1490,$D:$D,$D1490,$E:$E,"P0(전)",$M:$M,"&gt;0")&lt;&gt;1,"",SUMIFS($I:$I,$C:$C,$C1490,$D:$D,$D1490,$E:$E,"P0(전)"))</f>
        <v/>
      </c>
      <c r="P1490" s="31">
        <f>IF(COUNTIFS($C:$C,$C1490,$D:$D,$D1490,$E:$E,"P0(전)",$M:$M,"&gt;0")&lt;&gt;1,"",SUMIFS($M:$M,$C:$C,$C1490,$D:$D,$D1490,$E:$E,"P0(전)"))</f>
        <v/>
      </c>
      <c r="Q1490" s="48">
        <f>IF(COUNTIFS($C:$C,$C1490,$D:$D,$D1490,$E:$E,"P0(후)",$M:$M,"&gt;0")&lt;&gt;1,"",SUMIFS($I:$I,$C:$C,$C1490,$D:$D,$D1490,$E:$E,"P0(후)"))</f>
        <v/>
      </c>
      <c r="R1490" s="31">
        <f>IF(COUNTIFS($C:$C,$C1490,$D:$D,$D1490,$E:$E,"P0(후)",$M:$M,"&gt;0")&lt;&gt;1,"",SUMIFS($M:$M,$C:$C,$C1490,$D:$D,$D1490,$E:$E,"P0(후)"))</f>
        <v/>
      </c>
      <c r="S1490" s="31">
        <f>IF(N1490&lt;&gt;"OK","",P1490+(R1490-P1490)*(I1490-O1490)/(Q1490-O1490))</f>
        <v/>
      </c>
      <c r="T1490" s="31">
        <f>IF(OR(N1490&lt;&gt;"OK",NOT(ISNUMBER(M1490))),"",M1490-S1490)</f>
        <v/>
      </c>
      <c r="U1490" s="49">
        <f>IF(OR(NOT(ISNUMBER(T1490)),IF(ISNUMBER(H1490),H1490,G1490)=0),"",T1490/IF(ISNUMBER(H1490),H1490,G1490))</f>
        <v/>
      </c>
      <c r="V1490" s="49">
        <f>IF(ISNUMBER(U1490),ABS(U1490),"")</f>
        <v/>
      </c>
      <c r="W1490" s="49">
        <f>IF(OR($E1489&lt;&gt;"측정",$C1489&lt;&gt;$C1490,$D1489&lt;&gt;$D1490,NOT(ISNUMBER(M1490)),NOT(ISNUMBER(M1489)),(IF(ISNUMBER(H1490),H1490,G1490)-IF(ISNUMBER(H1489),H1489,G1489))=0),"",(M1490-M1489)/(IF(ISNUMBER(H1490),H1490,G1490)-IF(ISNUMBER(H1489),H1489,G1489)))</f>
        <v/>
      </c>
      <c r="X1490" s="31">
        <f>IF(NOT(AND(ISNUMBER(O1490),ISNUMBER(Q1490))),"",(Q1490-O1490)*1440)</f>
        <v/>
      </c>
      <c r="Y1490" s="29" t="n"/>
      <c r="Z1490" s="29" t="n"/>
      <c r="AA1490" s="29" t="n"/>
      <c r="AB1490" s="32" t="n"/>
      <c r="AC1490" s="32" t="n"/>
    </row>
    <row r="1491">
      <c r="A1491" s="26" t="inlineStr">
        <is>
          <t>S29</t>
        </is>
      </c>
      <c r="B1491" s="26" t="inlineStr">
        <is>
          <t>가야 신규점1</t>
        </is>
      </c>
      <c r="C1491" s="26" t="inlineStr">
        <is>
          <t>S29-H남</t>
        </is>
      </c>
      <c r="D1491" s="47" t="n">
        <v>1</v>
      </c>
      <c r="E1491" s="26" t="inlineStr">
        <is>
          <t>측정</t>
        </is>
      </c>
      <c r="F1491" s="26" t="inlineStr">
        <is>
          <t>남</t>
        </is>
      </c>
      <c r="G1491" s="31" t="n">
        <v>2</v>
      </c>
      <c r="H1491" s="30" t="n"/>
      <c r="I1491" s="43" t="n"/>
      <c r="J1491" s="41" t="n"/>
      <c r="K1491" s="41" t="n"/>
      <c r="L1491" s="41" t="n"/>
      <c r="M1491" s="31">
        <f>IF(COUNT(J1491:L1491)=0,"",MEDIAN(J1491:L1491))</f>
        <v/>
      </c>
      <c r="N1491" s="26">
        <f>IF(COUNTIFS($C:$C,$C1491,$D:$D,$D1491,$E:$E,"P0(전)",$M:$M,"&gt;0")&lt;&gt;1,"P0(전) 유효 1개 아님",IF(COUNTIFS($C:$C,$C1491,$D:$D,$D1491,$E:$E,"P0(후)",$M:$M,"&gt;0")&lt;&gt;1,"P0(후) 유효 1개 아님",IF(NOT(AND(ISNUMBER(O1491),ISNUMBER(Q1491),ISNUMBER(I1491))),"시각 결측",IF(Q1491&lt;=O1491,"P0 시각 역전",IF(OR(I1491&lt;O1491,I1491&gt;Q1491),"측정시각 구간 밖","OK")))))</f>
        <v/>
      </c>
      <c r="O1491" s="48">
        <f>IF(COUNTIFS($C:$C,$C1491,$D:$D,$D1491,$E:$E,"P0(전)",$M:$M,"&gt;0")&lt;&gt;1,"",SUMIFS($I:$I,$C:$C,$C1491,$D:$D,$D1491,$E:$E,"P0(전)"))</f>
        <v/>
      </c>
      <c r="P1491" s="31">
        <f>IF(COUNTIFS($C:$C,$C1491,$D:$D,$D1491,$E:$E,"P0(전)",$M:$M,"&gt;0")&lt;&gt;1,"",SUMIFS($M:$M,$C:$C,$C1491,$D:$D,$D1491,$E:$E,"P0(전)"))</f>
        <v/>
      </c>
      <c r="Q1491" s="48">
        <f>IF(COUNTIFS($C:$C,$C1491,$D:$D,$D1491,$E:$E,"P0(후)",$M:$M,"&gt;0")&lt;&gt;1,"",SUMIFS($I:$I,$C:$C,$C1491,$D:$D,$D1491,$E:$E,"P0(후)"))</f>
        <v/>
      </c>
      <c r="R1491" s="31">
        <f>IF(COUNTIFS($C:$C,$C1491,$D:$D,$D1491,$E:$E,"P0(후)",$M:$M,"&gt;0")&lt;&gt;1,"",SUMIFS($M:$M,$C:$C,$C1491,$D:$D,$D1491,$E:$E,"P0(후)"))</f>
        <v/>
      </c>
      <c r="S1491" s="31">
        <f>IF(N1491&lt;&gt;"OK","",P1491+(R1491-P1491)*(I1491-O1491)/(Q1491-O1491))</f>
        <v/>
      </c>
      <c r="T1491" s="31">
        <f>IF(OR(N1491&lt;&gt;"OK",NOT(ISNUMBER(M1491))),"",M1491-S1491)</f>
        <v/>
      </c>
      <c r="U1491" s="49">
        <f>IF(OR(NOT(ISNUMBER(T1491)),IF(ISNUMBER(H1491),H1491,G1491)=0),"",T1491/IF(ISNUMBER(H1491),H1491,G1491))</f>
        <v/>
      </c>
      <c r="V1491" s="49">
        <f>IF(ISNUMBER(U1491),ABS(U1491),"")</f>
        <v/>
      </c>
      <c r="W1491" s="49">
        <f>IF(OR($E1490&lt;&gt;"측정",$C1490&lt;&gt;$C1491,$D1490&lt;&gt;$D1491,NOT(ISNUMBER(M1491)),NOT(ISNUMBER(M1490)),(IF(ISNUMBER(H1491),H1491,G1491)-IF(ISNUMBER(H1490),H1490,G1490))=0),"",(M1491-M1490)/(IF(ISNUMBER(H1491),H1491,G1491)-IF(ISNUMBER(H1490),H1490,G1490)))</f>
        <v/>
      </c>
      <c r="X1491" s="31">
        <f>IF(NOT(AND(ISNUMBER(O1491),ISNUMBER(Q1491))),"",(Q1491-O1491)*1440)</f>
        <v/>
      </c>
      <c r="Y1491" s="29" t="n"/>
      <c r="Z1491" s="29" t="n"/>
      <c r="AA1491" s="29" t="n"/>
      <c r="AB1491" s="32" t="n"/>
      <c r="AC1491" s="32" t="n"/>
    </row>
    <row r="1492">
      <c r="A1492" s="26" t="inlineStr">
        <is>
          <t>S29</t>
        </is>
      </c>
      <c r="B1492" s="26" t="inlineStr">
        <is>
          <t>가야 신규점1</t>
        </is>
      </c>
      <c r="C1492" s="26" t="inlineStr">
        <is>
          <t>S29-H남</t>
        </is>
      </c>
      <c r="D1492" s="47" t="n">
        <v>1</v>
      </c>
      <c r="E1492" s="26" t="inlineStr">
        <is>
          <t>측정</t>
        </is>
      </c>
      <c r="F1492" s="26" t="inlineStr">
        <is>
          <t>남</t>
        </is>
      </c>
      <c r="G1492" s="31" t="n">
        <v>3</v>
      </c>
      <c r="H1492" s="30" t="n"/>
      <c r="I1492" s="43" t="n"/>
      <c r="J1492" s="41" t="n"/>
      <c r="K1492" s="41" t="n"/>
      <c r="L1492" s="41" t="n"/>
      <c r="M1492" s="31">
        <f>IF(COUNT(J1492:L1492)=0,"",MEDIAN(J1492:L1492))</f>
        <v/>
      </c>
      <c r="N1492" s="26">
        <f>IF(COUNTIFS($C:$C,$C1492,$D:$D,$D1492,$E:$E,"P0(전)",$M:$M,"&gt;0")&lt;&gt;1,"P0(전) 유효 1개 아님",IF(COUNTIFS($C:$C,$C1492,$D:$D,$D1492,$E:$E,"P0(후)",$M:$M,"&gt;0")&lt;&gt;1,"P0(후) 유효 1개 아님",IF(NOT(AND(ISNUMBER(O1492),ISNUMBER(Q1492),ISNUMBER(I1492))),"시각 결측",IF(Q1492&lt;=O1492,"P0 시각 역전",IF(OR(I1492&lt;O1492,I1492&gt;Q1492),"측정시각 구간 밖","OK")))))</f>
        <v/>
      </c>
      <c r="O1492" s="48">
        <f>IF(COUNTIFS($C:$C,$C1492,$D:$D,$D1492,$E:$E,"P0(전)",$M:$M,"&gt;0")&lt;&gt;1,"",SUMIFS($I:$I,$C:$C,$C1492,$D:$D,$D1492,$E:$E,"P0(전)"))</f>
        <v/>
      </c>
      <c r="P1492" s="31">
        <f>IF(COUNTIFS($C:$C,$C1492,$D:$D,$D1492,$E:$E,"P0(전)",$M:$M,"&gt;0")&lt;&gt;1,"",SUMIFS($M:$M,$C:$C,$C1492,$D:$D,$D1492,$E:$E,"P0(전)"))</f>
        <v/>
      </c>
      <c r="Q1492" s="48">
        <f>IF(COUNTIFS($C:$C,$C1492,$D:$D,$D1492,$E:$E,"P0(후)",$M:$M,"&gt;0")&lt;&gt;1,"",SUMIFS($I:$I,$C:$C,$C1492,$D:$D,$D1492,$E:$E,"P0(후)"))</f>
        <v/>
      </c>
      <c r="R1492" s="31">
        <f>IF(COUNTIFS($C:$C,$C1492,$D:$D,$D1492,$E:$E,"P0(후)",$M:$M,"&gt;0")&lt;&gt;1,"",SUMIFS($M:$M,$C:$C,$C1492,$D:$D,$D1492,$E:$E,"P0(후)"))</f>
        <v/>
      </c>
      <c r="S1492" s="31">
        <f>IF(N1492&lt;&gt;"OK","",P1492+(R1492-P1492)*(I1492-O1492)/(Q1492-O1492))</f>
        <v/>
      </c>
      <c r="T1492" s="31">
        <f>IF(OR(N1492&lt;&gt;"OK",NOT(ISNUMBER(M1492))),"",M1492-S1492)</f>
        <v/>
      </c>
      <c r="U1492" s="49">
        <f>IF(OR(NOT(ISNUMBER(T1492)),IF(ISNUMBER(H1492),H1492,G1492)=0),"",T1492/IF(ISNUMBER(H1492),H1492,G1492))</f>
        <v/>
      </c>
      <c r="V1492" s="49">
        <f>IF(ISNUMBER(U1492),ABS(U1492),"")</f>
        <v/>
      </c>
      <c r="W1492" s="49">
        <f>IF(OR($E1491&lt;&gt;"측정",$C1491&lt;&gt;$C1492,$D1491&lt;&gt;$D1492,NOT(ISNUMBER(M1492)),NOT(ISNUMBER(M1491)),(IF(ISNUMBER(H1492),H1492,G1492)-IF(ISNUMBER(H1491),H1491,G1491))=0),"",(M1492-M1491)/(IF(ISNUMBER(H1492),H1492,G1492)-IF(ISNUMBER(H1491),H1491,G1491)))</f>
        <v/>
      </c>
      <c r="X1492" s="31">
        <f>IF(NOT(AND(ISNUMBER(O1492),ISNUMBER(Q1492))),"",(Q1492-O1492)*1440)</f>
        <v/>
      </c>
      <c r="Y1492" s="29" t="n"/>
      <c r="Z1492" s="29" t="n"/>
      <c r="AA1492" s="29" t="n"/>
      <c r="AB1492" s="32" t="n"/>
      <c r="AC1492" s="32" t="n"/>
    </row>
    <row r="1493">
      <c r="A1493" s="26" t="inlineStr">
        <is>
          <t>S29</t>
        </is>
      </c>
      <c r="B1493" s="26" t="inlineStr">
        <is>
          <t>가야 신규점1</t>
        </is>
      </c>
      <c r="C1493" s="26" t="inlineStr">
        <is>
          <t>S29-H남</t>
        </is>
      </c>
      <c r="D1493" s="47" t="n">
        <v>1</v>
      </c>
      <c r="E1493" s="26" t="inlineStr">
        <is>
          <t>측정</t>
        </is>
      </c>
      <c r="F1493" s="26" t="inlineStr">
        <is>
          <t>남</t>
        </is>
      </c>
      <c r="G1493" s="31" t="n">
        <v>4</v>
      </c>
      <c r="H1493" s="30" t="n"/>
      <c r="I1493" s="43" t="n"/>
      <c r="J1493" s="41" t="n"/>
      <c r="K1493" s="41" t="n"/>
      <c r="L1493" s="41" t="n"/>
      <c r="M1493" s="31">
        <f>IF(COUNT(J1493:L1493)=0,"",MEDIAN(J1493:L1493))</f>
        <v/>
      </c>
      <c r="N1493" s="26">
        <f>IF(COUNTIFS($C:$C,$C1493,$D:$D,$D1493,$E:$E,"P0(전)",$M:$M,"&gt;0")&lt;&gt;1,"P0(전) 유효 1개 아님",IF(COUNTIFS($C:$C,$C1493,$D:$D,$D1493,$E:$E,"P0(후)",$M:$M,"&gt;0")&lt;&gt;1,"P0(후) 유효 1개 아님",IF(NOT(AND(ISNUMBER(O1493),ISNUMBER(Q1493),ISNUMBER(I1493))),"시각 결측",IF(Q1493&lt;=O1493,"P0 시각 역전",IF(OR(I1493&lt;O1493,I1493&gt;Q1493),"측정시각 구간 밖","OK")))))</f>
        <v/>
      </c>
      <c r="O1493" s="48">
        <f>IF(COUNTIFS($C:$C,$C1493,$D:$D,$D1493,$E:$E,"P0(전)",$M:$M,"&gt;0")&lt;&gt;1,"",SUMIFS($I:$I,$C:$C,$C1493,$D:$D,$D1493,$E:$E,"P0(전)"))</f>
        <v/>
      </c>
      <c r="P1493" s="31">
        <f>IF(COUNTIFS($C:$C,$C1493,$D:$D,$D1493,$E:$E,"P0(전)",$M:$M,"&gt;0")&lt;&gt;1,"",SUMIFS($M:$M,$C:$C,$C1493,$D:$D,$D1493,$E:$E,"P0(전)"))</f>
        <v/>
      </c>
      <c r="Q1493" s="48">
        <f>IF(COUNTIFS($C:$C,$C1493,$D:$D,$D1493,$E:$E,"P0(후)",$M:$M,"&gt;0")&lt;&gt;1,"",SUMIFS($I:$I,$C:$C,$C1493,$D:$D,$D1493,$E:$E,"P0(후)"))</f>
        <v/>
      </c>
      <c r="R1493" s="31">
        <f>IF(COUNTIFS($C:$C,$C1493,$D:$D,$D1493,$E:$E,"P0(후)",$M:$M,"&gt;0")&lt;&gt;1,"",SUMIFS($M:$M,$C:$C,$C1493,$D:$D,$D1493,$E:$E,"P0(후)"))</f>
        <v/>
      </c>
      <c r="S1493" s="31">
        <f>IF(N1493&lt;&gt;"OK","",P1493+(R1493-P1493)*(I1493-O1493)/(Q1493-O1493))</f>
        <v/>
      </c>
      <c r="T1493" s="31">
        <f>IF(OR(N1493&lt;&gt;"OK",NOT(ISNUMBER(M1493))),"",M1493-S1493)</f>
        <v/>
      </c>
      <c r="U1493" s="49">
        <f>IF(OR(NOT(ISNUMBER(T1493)),IF(ISNUMBER(H1493),H1493,G1493)=0),"",T1493/IF(ISNUMBER(H1493),H1493,G1493))</f>
        <v/>
      </c>
      <c r="V1493" s="49">
        <f>IF(ISNUMBER(U1493),ABS(U1493),"")</f>
        <v/>
      </c>
      <c r="W1493" s="49">
        <f>IF(OR($E1492&lt;&gt;"측정",$C1492&lt;&gt;$C1493,$D1492&lt;&gt;$D1493,NOT(ISNUMBER(M1493)),NOT(ISNUMBER(M1492)),(IF(ISNUMBER(H1493),H1493,G1493)-IF(ISNUMBER(H1492),H1492,G1492))=0),"",(M1493-M1492)/(IF(ISNUMBER(H1493),H1493,G1493)-IF(ISNUMBER(H1492),H1492,G1492)))</f>
        <v/>
      </c>
      <c r="X1493" s="31">
        <f>IF(NOT(AND(ISNUMBER(O1493),ISNUMBER(Q1493))),"",(Q1493-O1493)*1440)</f>
        <v/>
      </c>
      <c r="Y1493" s="29" t="n"/>
      <c r="Z1493" s="29" t="n"/>
      <c r="AA1493" s="29" t="n"/>
      <c r="AB1493" s="32" t="n"/>
      <c r="AC1493" s="32" t="n"/>
    </row>
    <row r="1494">
      <c r="A1494" s="26" t="inlineStr">
        <is>
          <t>S29</t>
        </is>
      </c>
      <c r="B1494" s="26" t="inlineStr">
        <is>
          <t>가야 신규점1</t>
        </is>
      </c>
      <c r="C1494" s="26" t="inlineStr">
        <is>
          <t>S29-H남</t>
        </is>
      </c>
      <c r="D1494" s="47" t="n">
        <v>1</v>
      </c>
      <c r="E1494" s="26" t="inlineStr">
        <is>
          <t>측정</t>
        </is>
      </c>
      <c r="F1494" s="26" t="inlineStr">
        <is>
          <t>남</t>
        </is>
      </c>
      <c r="G1494" s="31" t="n">
        <v>5</v>
      </c>
      <c r="H1494" s="30" t="n"/>
      <c r="I1494" s="43" t="n"/>
      <c r="J1494" s="41" t="n"/>
      <c r="K1494" s="41" t="n"/>
      <c r="L1494" s="41" t="n"/>
      <c r="M1494" s="31">
        <f>IF(COUNT(J1494:L1494)=0,"",MEDIAN(J1494:L1494))</f>
        <v/>
      </c>
      <c r="N1494" s="26">
        <f>IF(COUNTIFS($C:$C,$C1494,$D:$D,$D1494,$E:$E,"P0(전)",$M:$M,"&gt;0")&lt;&gt;1,"P0(전) 유효 1개 아님",IF(COUNTIFS($C:$C,$C1494,$D:$D,$D1494,$E:$E,"P0(후)",$M:$M,"&gt;0")&lt;&gt;1,"P0(후) 유효 1개 아님",IF(NOT(AND(ISNUMBER(O1494),ISNUMBER(Q1494),ISNUMBER(I1494))),"시각 결측",IF(Q1494&lt;=O1494,"P0 시각 역전",IF(OR(I1494&lt;O1494,I1494&gt;Q1494),"측정시각 구간 밖","OK")))))</f>
        <v/>
      </c>
      <c r="O1494" s="48">
        <f>IF(COUNTIFS($C:$C,$C1494,$D:$D,$D1494,$E:$E,"P0(전)",$M:$M,"&gt;0")&lt;&gt;1,"",SUMIFS($I:$I,$C:$C,$C1494,$D:$D,$D1494,$E:$E,"P0(전)"))</f>
        <v/>
      </c>
      <c r="P1494" s="31">
        <f>IF(COUNTIFS($C:$C,$C1494,$D:$D,$D1494,$E:$E,"P0(전)",$M:$M,"&gt;0")&lt;&gt;1,"",SUMIFS($M:$M,$C:$C,$C1494,$D:$D,$D1494,$E:$E,"P0(전)"))</f>
        <v/>
      </c>
      <c r="Q1494" s="48">
        <f>IF(COUNTIFS($C:$C,$C1494,$D:$D,$D1494,$E:$E,"P0(후)",$M:$M,"&gt;0")&lt;&gt;1,"",SUMIFS($I:$I,$C:$C,$C1494,$D:$D,$D1494,$E:$E,"P0(후)"))</f>
        <v/>
      </c>
      <c r="R1494" s="31">
        <f>IF(COUNTIFS($C:$C,$C1494,$D:$D,$D1494,$E:$E,"P0(후)",$M:$M,"&gt;0")&lt;&gt;1,"",SUMIFS($M:$M,$C:$C,$C1494,$D:$D,$D1494,$E:$E,"P0(후)"))</f>
        <v/>
      </c>
      <c r="S1494" s="31">
        <f>IF(N1494&lt;&gt;"OK","",P1494+(R1494-P1494)*(I1494-O1494)/(Q1494-O1494))</f>
        <v/>
      </c>
      <c r="T1494" s="31">
        <f>IF(OR(N1494&lt;&gt;"OK",NOT(ISNUMBER(M1494))),"",M1494-S1494)</f>
        <v/>
      </c>
      <c r="U1494" s="49">
        <f>IF(OR(NOT(ISNUMBER(T1494)),IF(ISNUMBER(H1494),H1494,G1494)=0),"",T1494/IF(ISNUMBER(H1494),H1494,G1494))</f>
        <v/>
      </c>
      <c r="V1494" s="49">
        <f>IF(ISNUMBER(U1494),ABS(U1494),"")</f>
        <v/>
      </c>
      <c r="W1494" s="49">
        <f>IF(OR($E1493&lt;&gt;"측정",$C1493&lt;&gt;$C1494,$D1493&lt;&gt;$D1494,NOT(ISNUMBER(M1494)),NOT(ISNUMBER(M1493)),(IF(ISNUMBER(H1494),H1494,G1494)-IF(ISNUMBER(H1493),H1493,G1493))=0),"",(M1494-M1493)/(IF(ISNUMBER(H1494),H1494,G1494)-IF(ISNUMBER(H1493),H1493,G1493)))</f>
        <v/>
      </c>
      <c r="X1494" s="31">
        <f>IF(NOT(AND(ISNUMBER(O1494),ISNUMBER(Q1494))),"",(Q1494-O1494)*1440)</f>
        <v/>
      </c>
      <c r="Y1494" s="29" t="n"/>
      <c r="Z1494" s="29" t="n"/>
      <c r="AA1494" s="29" t="n"/>
      <c r="AB1494" s="32" t="n"/>
      <c r="AC1494" s="32" t="n"/>
    </row>
    <row r="1495">
      <c r="A1495" s="26" t="inlineStr">
        <is>
          <t>S29</t>
        </is>
      </c>
      <c r="B1495" s="26" t="inlineStr">
        <is>
          <t>가야 신규점1</t>
        </is>
      </c>
      <c r="C1495" s="26" t="inlineStr">
        <is>
          <t>S29-H남</t>
        </is>
      </c>
      <c r="D1495" s="47" t="n">
        <v>1</v>
      </c>
      <c r="E1495" s="26" t="inlineStr">
        <is>
          <t>측정</t>
        </is>
      </c>
      <c r="F1495" s="26" t="inlineStr">
        <is>
          <t>남</t>
        </is>
      </c>
      <c r="G1495" s="31" t="n">
        <v>6</v>
      </c>
      <c r="H1495" s="30" t="n"/>
      <c r="I1495" s="43" t="n"/>
      <c r="J1495" s="41" t="n"/>
      <c r="K1495" s="41" t="n"/>
      <c r="L1495" s="41" t="n"/>
      <c r="M1495" s="31">
        <f>IF(COUNT(J1495:L1495)=0,"",MEDIAN(J1495:L1495))</f>
        <v/>
      </c>
      <c r="N1495" s="26">
        <f>IF(COUNTIFS($C:$C,$C1495,$D:$D,$D1495,$E:$E,"P0(전)",$M:$M,"&gt;0")&lt;&gt;1,"P0(전) 유효 1개 아님",IF(COUNTIFS($C:$C,$C1495,$D:$D,$D1495,$E:$E,"P0(후)",$M:$M,"&gt;0")&lt;&gt;1,"P0(후) 유효 1개 아님",IF(NOT(AND(ISNUMBER(O1495),ISNUMBER(Q1495),ISNUMBER(I1495))),"시각 결측",IF(Q1495&lt;=O1495,"P0 시각 역전",IF(OR(I1495&lt;O1495,I1495&gt;Q1495),"측정시각 구간 밖","OK")))))</f>
        <v/>
      </c>
      <c r="O1495" s="48">
        <f>IF(COUNTIFS($C:$C,$C1495,$D:$D,$D1495,$E:$E,"P0(전)",$M:$M,"&gt;0")&lt;&gt;1,"",SUMIFS($I:$I,$C:$C,$C1495,$D:$D,$D1495,$E:$E,"P0(전)"))</f>
        <v/>
      </c>
      <c r="P1495" s="31">
        <f>IF(COUNTIFS($C:$C,$C1495,$D:$D,$D1495,$E:$E,"P0(전)",$M:$M,"&gt;0")&lt;&gt;1,"",SUMIFS($M:$M,$C:$C,$C1495,$D:$D,$D1495,$E:$E,"P0(전)"))</f>
        <v/>
      </c>
      <c r="Q1495" s="48">
        <f>IF(COUNTIFS($C:$C,$C1495,$D:$D,$D1495,$E:$E,"P0(후)",$M:$M,"&gt;0")&lt;&gt;1,"",SUMIFS($I:$I,$C:$C,$C1495,$D:$D,$D1495,$E:$E,"P0(후)"))</f>
        <v/>
      </c>
      <c r="R1495" s="31">
        <f>IF(COUNTIFS($C:$C,$C1495,$D:$D,$D1495,$E:$E,"P0(후)",$M:$M,"&gt;0")&lt;&gt;1,"",SUMIFS($M:$M,$C:$C,$C1495,$D:$D,$D1495,$E:$E,"P0(후)"))</f>
        <v/>
      </c>
      <c r="S1495" s="31">
        <f>IF(N1495&lt;&gt;"OK","",P1495+(R1495-P1495)*(I1495-O1495)/(Q1495-O1495))</f>
        <v/>
      </c>
      <c r="T1495" s="31">
        <f>IF(OR(N1495&lt;&gt;"OK",NOT(ISNUMBER(M1495))),"",M1495-S1495)</f>
        <v/>
      </c>
      <c r="U1495" s="49">
        <f>IF(OR(NOT(ISNUMBER(T1495)),IF(ISNUMBER(H1495),H1495,G1495)=0),"",T1495/IF(ISNUMBER(H1495),H1495,G1495))</f>
        <v/>
      </c>
      <c r="V1495" s="49">
        <f>IF(ISNUMBER(U1495),ABS(U1495),"")</f>
        <v/>
      </c>
      <c r="W1495" s="49">
        <f>IF(OR($E1494&lt;&gt;"측정",$C1494&lt;&gt;$C1495,$D1494&lt;&gt;$D1495,NOT(ISNUMBER(M1495)),NOT(ISNUMBER(M1494)),(IF(ISNUMBER(H1495),H1495,G1495)-IF(ISNUMBER(H1494),H1494,G1494))=0),"",(M1495-M1494)/(IF(ISNUMBER(H1495),H1495,G1495)-IF(ISNUMBER(H1494),H1494,G1494)))</f>
        <v/>
      </c>
      <c r="X1495" s="31">
        <f>IF(NOT(AND(ISNUMBER(O1495),ISNUMBER(Q1495))),"",(Q1495-O1495)*1440)</f>
        <v/>
      </c>
      <c r="Y1495" s="29" t="n"/>
      <c r="Z1495" s="29" t="n"/>
      <c r="AA1495" s="29" t="n"/>
      <c r="AB1495" s="32" t="n"/>
      <c r="AC1495" s="32" t="n"/>
    </row>
    <row r="1496">
      <c r="A1496" s="26" t="inlineStr">
        <is>
          <t>S29</t>
        </is>
      </c>
      <c r="B1496" s="26" t="inlineStr">
        <is>
          <t>가야 신규점1</t>
        </is>
      </c>
      <c r="C1496" s="26" t="inlineStr">
        <is>
          <t>S29-H남</t>
        </is>
      </c>
      <c r="D1496" s="47" t="n">
        <v>1</v>
      </c>
      <c r="E1496" s="26" t="inlineStr">
        <is>
          <t>측정</t>
        </is>
      </c>
      <c r="F1496" s="26" t="inlineStr">
        <is>
          <t>남</t>
        </is>
      </c>
      <c r="G1496" s="31" t="n">
        <v>7</v>
      </c>
      <c r="H1496" s="30" t="n"/>
      <c r="I1496" s="43" t="n"/>
      <c r="J1496" s="41" t="n"/>
      <c r="K1496" s="41" t="n"/>
      <c r="L1496" s="41" t="n"/>
      <c r="M1496" s="31">
        <f>IF(COUNT(J1496:L1496)=0,"",MEDIAN(J1496:L1496))</f>
        <v/>
      </c>
      <c r="N1496" s="26">
        <f>IF(COUNTIFS($C:$C,$C1496,$D:$D,$D1496,$E:$E,"P0(전)",$M:$M,"&gt;0")&lt;&gt;1,"P0(전) 유효 1개 아님",IF(COUNTIFS($C:$C,$C1496,$D:$D,$D1496,$E:$E,"P0(후)",$M:$M,"&gt;0")&lt;&gt;1,"P0(후) 유효 1개 아님",IF(NOT(AND(ISNUMBER(O1496),ISNUMBER(Q1496),ISNUMBER(I1496))),"시각 결측",IF(Q1496&lt;=O1496,"P0 시각 역전",IF(OR(I1496&lt;O1496,I1496&gt;Q1496),"측정시각 구간 밖","OK")))))</f>
        <v/>
      </c>
      <c r="O1496" s="48">
        <f>IF(COUNTIFS($C:$C,$C1496,$D:$D,$D1496,$E:$E,"P0(전)",$M:$M,"&gt;0")&lt;&gt;1,"",SUMIFS($I:$I,$C:$C,$C1496,$D:$D,$D1496,$E:$E,"P0(전)"))</f>
        <v/>
      </c>
      <c r="P1496" s="31">
        <f>IF(COUNTIFS($C:$C,$C1496,$D:$D,$D1496,$E:$E,"P0(전)",$M:$M,"&gt;0")&lt;&gt;1,"",SUMIFS($M:$M,$C:$C,$C1496,$D:$D,$D1496,$E:$E,"P0(전)"))</f>
        <v/>
      </c>
      <c r="Q1496" s="48">
        <f>IF(COUNTIFS($C:$C,$C1496,$D:$D,$D1496,$E:$E,"P0(후)",$M:$M,"&gt;0")&lt;&gt;1,"",SUMIFS($I:$I,$C:$C,$C1496,$D:$D,$D1496,$E:$E,"P0(후)"))</f>
        <v/>
      </c>
      <c r="R1496" s="31">
        <f>IF(COUNTIFS($C:$C,$C1496,$D:$D,$D1496,$E:$E,"P0(후)",$M:$M,"&gt;0")&lt;&gt;1,"",SUMIFS($M:$M,$C:$C,$C1496,$D:$D,$D1496,$E:$E,"P0(후)"))</f>
        <v/>
      </c>
      <c r="S1496" s="31">
        <f>IF(N1496&lt;&gt;"OK","",P1496+(R1496-P1496)*(I1496-O1496)/(Q1496-O1496))</f>
        <v/>
      </c>
      <c r="T1496" s="31">
        <f>IF(OR(N1496&lt;&gt;"OK",NOT(ISNUMBER(M1496))),"",M1496-S1496)</f>
        <v/>
      </c>
      <c r="U1496" s="49">
        <f>IF(OR(NOT(ISNUMBER(T1496)),IF(ISNUMBER(H1496),H1496,G1496)=0),"",T1496/IF(ISNUMBER(H1496),H1496,G1496))</f>
        <v/>
      </c>
      <c r="V1496" s="49">
        <f>IF(ISNUMBER(U1496),ABS(U1496),"")</f>
        <v/>
      </c>
      <c r="W1496" s="49">
        <f>IF(OR($E1495&lt;&gt;"측정",$C1495&lt;&gt;$C1496,$D1495&lt;&gt;$D1496,NOT(ISNUMBER(M1496)),NOT(ISNUMBER(M1495)),(IF(ISNUMBER(H1496),H1496,G1496)-IF(ISNUMBER(H1495),H1495,G1495))=0),"",(M1496-M1495)/(IF(ISNUMBER(H1496),H1496,G1496)-IF(ISNUMBER(H1495),H1495,G1495)))</f>
        <v/>
      </c>
      <c r="X1496" s="31">
        <f>IF(NOT(AND(ISNUMBER(O1496),ISNUMBER(Q1496))),"",(Q1496-O1496)*1440)</f>
        <v/>
      </c>
      <c r="Y1496" s="29" t="n"/>
      <c r="Z1496" s="29" t="n"/>
      <c r="AA1496" s="29" t="n"/>
      <c r="AB1496" s="32" t="n"/>
      <c r="AC1496" s="32" t="n"/>
    </row>
    <row r="1497">
      <c r="A1497" s="26" t="inlineStr">
        <is>
          <t>S29</t>
        </is>
      </c>
      <c r="B1497" s="26" t="inlineStr">
        <is>
          <t>가야 신규점1</t>
        </is>
      </c>
      <c r="C1497" s="26" t="inlineStr">
        <is>
          <t>S29-H남</t>
        </is>
      </c>
      <c r="D1497" s="47" t="n">
        <v>1</v>
      </c>
      <c r="E1497" s="26" t="inlineStr">
        <is>
          <t>측정</t>
        </is>
      </c>
      <c r="F1497" s="26" t="inlineStr">
        <is>
          <t>남</t>
        </is>
      </c>
      <c r="G1497" s="31" t="n">
        <v>8</v>
      </c>
      <c r="H1497" s="30" t="n"/>
      <c r="I1497" s="43" t="n"/>
      <c r="J1497" s="41" t="n"/>
      <c r="K1497" s="41" t="n"/>
      <c r="L1497" s="41" t="n"/>
      <c r="M1497" s="31">
        <f>IF(COUNT(J1497:L1497)=0,"",MEDIAN(J1497:L1497))</f>
        <v/>
      </c>
      <c r="N1497" s="26">
        <f>IF(COUNTIFS($C:$C,$C1497,$D:$D,$D1497,$E:$E,"P0(전)",$M:$M,"&gt;0")&lt;&gt;1,"P0(전) 유효 1개 아님",IF(COUNTIFS($C:$C,$C1497,$D:$D,$D1497,$E:$E,"P0(후)",$M:$M,"&gt;0")&lt;&gt;1,"P0(후) 유효 1개 아님",IF(NOT(AND(ISNUMBER(O1497),ISNUMBER(Q1497),ISNUMBER(I1497))),"시각 결측",IF(Q1497&lt;=O1497,"P0 시각 역전",IF(OR(I1497&lt;O1497,I1497&gt;Q1497),"측정시각 구간 밖","OK")))))</f>
        <v/>
      </c>
      <c r="O1497" s="48">
        <f>IF(COUNTIFS($C:$C,$C1497,$D:$D,$D1497,$E:$E,"P0(전)",$M:$M,"&gt;0")&lt;&gt;1,"",SUMIFS($I:$I,$C:$C,$C1497,$D:$D,$D1497,$E:$E,"P0(전)"))</f>
        <v/>
      </c>
      <c r="P1497" s="31">
        <f>IF(COUNTIFS($C:$C,$C1497,$D:$D,$D1497,$E:$E,"P0(전)",$M:$M,"&gt;0")&lt;&gt;1,"",SUMIFS($M:$M,$C:$C,$C1497,$D:$D,$D1497,$E:$E,"P0(전)"))</f>
        <v/>
      </c>
      <c r="Q1497" s="48">
        <f>IF(COUNTIFS($C:$C,$C1497,$D:$D,$D1497,$E:$E,"P0(후)",$M:$M,"&gt;0")&lt;&gt;1,"",SUMIFS($I:$I,$C:$C,$C1497,$D:$D,$D1497,$E:$E,"P0(후)"))</f>
        <v/>
      </c>
      <c r="R1497" s="31">
        <f>IF(COUNTIFS($C:$C,$C1497,$D:$D,$D1497,$E:$E,"P0(후)",$M:$M,"&gt;0")&lt;&gt;1,"",SUMIFS($M:$M,$C:$C,$C1497,$D:$D,$D1497,$E:$E,"P0(후)"))</f>
        <v/>
      </c>
      <c r="S1497" s="31">
        <f>IF(N1497&lt;&gt;"OK","",P1497+(R1497-P1497)*(I1497-O1497)/(Q1497-O1497))</f>
        <v/>
      </c>
      <c r="T1497" s="31">
        <f>IF(OR(N1497&lt;&gt;"OK",NOT(ISNUMBER(M1497))),"",M1497-S1497)</f>
        <v/>
      </c>
      <c r="U1497" s="49">
        <f>IF(OR(NOT(ISNUMBER(T1497)),IF(ISNUMBER(H1497),H1497,G1497)=0),"",T1497/IF(ISNUMBER(H1497),H1497,G1497))</f>
        <v/>
      </c>
      <c r="V1497" s="49">
        <f>IF(ISNUMBER(U1497),ABS(U1497),"")</f>
        <v/>
      </c>
      <c r="W1497" s="49">
        <f>IF(OR($E1496&lt;&gt;"측정",$C1496&lt;&gt;$C1497,$D1496&lt;&gt;$D1497,NOT(ISNUMBER(M1497)),NOT(ISNUMBER(M1496)),(IF(ISNUMBER(H1497),H1497,G1497)-IF(ISNUMBER(H1496),H1496,G1496))=0),"",(M1497-M1496)/(IF(ISNUMBER(H1497),H1497,G1497)-IF(ISNUMBER(H1496),H1496,G1496)))</f>
        <v/>
      </c>
      <c r="X1497" s="31">
        <f>IF(NOT(AND(ISNUMBER(O1497),ISNUMBER(Q1497))),"",(Q1497-O1497)*1440)</f>
        <v/>
      </c>
      <c r="Y1497" s="29" t="n"/>
      <c r="Z1497" s="29" t="n"/>
      <c r="AA1497" s="29" t="n"/>
      <c r="AB1497" s="32" t="n"/>
      <c r="AC1497" s="32" t="n"/>
    </row>
    <row r="1498">
      <c r="A1498" s="26" t="inlineStr">
        <is>
          <t>S29</t>
        </is>
      </c>
      <c r="B1498" s="26" t="inlineStr">
        <is>
          <t>가야 신규점1</t>
        </is>
      </c>
      <c r="C1498" s="26" t="inlineStr">
        <is>
          <t>S29-H남</t>
        </is>
      </c>
      <c r="D1498" s="47" t="n">
        <v>1</v>
      </c>
      <c r="E1498" s="26" t="inlineStr">
        <is>
          <t>측정</t>
        </is>
      </c>
      <c r="F1498" s="26" t="inlineStr">
        <is>
          <t>남</t>
        </is>
      </c>
      <c r="G1498" s="31" t="n">
        <v>9</v>
      </c>
      <c r="H1498" s="30" t="n"/>
      <c r="I1498" s="43" t="n"/>
      <c r="J1498" s="41" t="n"/>
      <c r="K1498" s="41" t="n"/>
      <c r="L1498" s="41" t="n"/>
      <c r="M1498" s="31">
        <f>IF(COUNT(J1498:L1498)=0,"",MEDIAN(J1498:L1498))</f>
        <v/>
      </c>
      <c r="N1498" s="26">
        <f>IF(COUNTIFS($C:$C,$C1498,$D:$D,$D1498,$E:$E,"P0(전)",$M:$M,"&gt;0")&lt;&gt;1,"P0(전) 유효 1개 아님",IF(COUNTIFS($C:$C,$C1498,$D:$D,$D1498,$E:$E,"P0(후)",$M:$M,"&gt;0")&lt;&gt;1,"P0(후) 유효 1개 아님",IF(NOT(AND(ISNUMBER(O1498),ISNUMBER(Q1498),ISNUMBER(I1498))),"시각 결측",IF(Q1498&lt;=O1498,"P0 시각 역전",IF(OR(I1498&lt;O1498,I1498&gt;Q1498),"측정시각 구간 밖","OK")))))</f>
        <v/>
      </c>
      <c r="O1498" s="48">
        <f>IF(COUNTIFS($C:$C,$C1498,$D:$D,$D1498,$E:$E,"P0(전)",$M:$M,"&gt;0")&lt;&gt;1,"",SUMIFS($I:$I,$C:$C,$C1498,$D:$D,$D1498,$E:$E,"P0(전)"))</f>
        <v/>
      </c>
      <c r="P1498" s="31">
        <f>IF(COUNTIFS($C:$C,$C1498,$D:$D,$D1498,$E:$E,"P0(전)",$M:$M,"&gt;0")&lt;&gt;1,"",SUMIFS($M:$M,$C:$C,$C1498,$D:$D,$D1498,$E:$E,"P0(전)"))</f>
        <v/>
      </c>
      <c r="Q1498" s="48">
        <f>IF(COUNTIFS($C:$C,$C1498,$D:$D,$D1498,$E:$E,"P0(후)",$M:$M,"&gt;0")&lt;&gt;1,"",SUMIFS($I:$I,$C:$C,$C1498,$D:$D,$D1498,$E:$E,"P0(후)"))</f>
        <v/>
      </c>
      <c r="R1498" s="31">
        <f>IF(COUNTIFS($C:$C,$C1498,$D:$D,$D1498,$E:$E,"P0(후)",$M:$M,"&gt;0")&lt;&gt;1,"",SUMIFS($M:$M,$C:$C,$C1498,$D:$D,$D1498,$E:$E,"P0(후)"))</f>
        <v/>
      </c>
      <c r="S1498" s="31">
        <f>IF(N1498&lt;&gt;"OK","",P1498+(R1498-P1498)*(I1498-O1498)/(Q1498-O1498))</f>
        <v/>
      </c>
      <c r="T1498" s="31">
        <f>IF(OR(N1498&lt;&gt;"OK",NOT(ISNUMBER(M1498))),"",M1498-S1498)</f>
        <v/>
      </c>
      <c r="U1498" s="49">
        <f>IF(OR(NOT(ISNUMBER(T1498)),IF(ISNUMBER(H1498),H1498,G1498)=0),"",T1498/IF(ISNUMBER(H1498),H1498,G1498))</f>
        <v/>
      </c>
      <c r="V1498" s="49">
        <f>IF(ISNUMBER(U1498),ABS(U1498),"")</f>
        <v/>
      </c>
      <c r="W1498" s="49">
        <f>IF(OR($E1497&lt;&gt;"측정",$C1497&lt;&gt;$C1498,$D1497&lt;&gt;$D1498,NOT(ISNUMBER(M1498)),NOT(ISNUMBER(M1497)),(IF(ISNUMBER(H1498),H1498,G1498)-IF(ISNUMBER(H1497),H1497,G1497))=0),"",(M1498-M1497)/(IF(ISNUMBER(H1498),H1498,G1498)-IF(ISNUMBER(H1497),H1497,G1497)))</f>
        <v/>
      </c>
      <c r="X1498" s="31">
        <f>IF(NOT(AND(ISNUMBER(O1498),ISNUMBER(Q1498))),"",(Q1498-O1498)*1440)</f>
        <v/>
      </c>
      <c r="Y1498" s="29" t="n"/>
      <c r="Z1498" s="29" t="n"/>
      <c r="AA1498" s="29" t="n"/>
      <c r="AB1498" s="32" t="n"/>
      <c r="AC1498" s="32" t="n"/>
    </row>
    <row r="1499">
      <c r="A1499" s="26" t="inlineStr">
        <is>
          <t>S29</t>
        </is>
      </c>
      <c r="B1499" s="26" t="inlineStr">
        <is>
          <t>가야 신규점1</t>
        </is>
      </c>
      <c r="C1499" s="26" t="inlineStr">
        <is>
          <t>S29-H남</t>
        </is>
      </c>
      <c r="D1499" s="47" t="n">
        <v>1</v>
      </c>
      <c r="E1499" s="26" t="inlineStr">
        <is>
          <t>측정</t>
        </is>
      </c>
      <c r="F1499" s="26" t="inlineStr">
        <is>
          <t>남</t>
        </is>
      </c>
      <c r="G1499" s="31" t="n">
        <v>10</v>
      </c>
      <c r="H1499" s="30" t="n"/>
      <c r="I1499" s="43" t="n"/>
      <c r="J1499" s="41" t="n"/>
      <c r="K1499" s="41" t="n"/>
      <c r="L1499" s="41" t="n"/>
      <c r="M1499" s="31">
        <f>IF(COUNT(J1499:L1499)=0,"",MEDIAN(J1499:L1499))</f>
        <v/>
      </c>
      <c r="N1499" s="26">
        <f>IF(COUNTIFS($C:$C,$C1499,$D:$D,$D1499,$E:$E,"P0(전)",$M:$M,"&gt;0")&lt;&gt;1,"P0(전) 유효 1개 아님",IF(COUNTIFS($C:$C,$C1499,$D:$D,$D1499,$E:$E,"P0(후)",$M:$M,"&gt;0")&lt;&gt;1,"P0(후) 유효 1개 아님",IF(NOT(AND(ISNUMBER(O1499),ISNUMBER(Q1499),ISNUMBER(I1499))),"시각 결측",IF(Q1499&lt;=O1499,"P0 시각 역전",IF(OR(I1499&lt;O1499,I1499&gt;Q1499),"측정시각 구간 밖","OK")))))</f>
        <v/>
      </c>
      <c r="O1499" s="48">
        <f>IF(COUNTIFS($C:$C,$C1499,$D:$D,$D1499,$E:$E,"P0(전)",$M:$M,"&gt;0")&lt;&gt;1,"",SUMIFS($I:$I,$C:$C,$C1499,$D:$D,$D1499,$E:$E,"P0(전)"))</f>
        <v/>
      </c>
      <c r="P1499" s="31">
        <f>IF(COUNTIFS($C:$C,$C1499,$D:$D,$D1499,$E:$E,"P0(전)",$M:$M,"&gt;0")&lt;&gt;1,"",SUMIFS($M:$M,$C:$C,$C1499,$D:$D,$D1499,$E:$E,"P0(전)"))</f>
        <v/>
      </c>
      <c r="Q1499" s="48">
        <f>IF(COUNTIFS($C:$C,$C1499,$D:$D,$D1499,$E:$E,"P0(후)",$M:$M,"&gt;0")&lt;&gt;1,"",SUMIFS($I:$I,$C:$C,$C1499,$D:$D,$D1499,$E:$E,"P0(후)"))</f>
        <v/>
      </c>
      <c r="R1499" s="31">
        <f>IF(COUNTIFS($C:$C,$C1499,$D:$D,$D1499,$E:$E,"P0(후)",$M:$M,"&gt;0")&lt;&gt;1,"",SUMIFS($M:$M,$C:$C,$C1499,$D:$D,$D1499,$E:$E,"P0(후)"))</f>
        <v/>
      </c>
      <c r="S1499" s="31">
        <f>IF(N1499&lt;&gt;"OK","",P1499+(R1499-P1499)*(I1499-O1499)/(Q1499-O1499))</f>
        <v/>
      </c>
      <c r="T1499" s="31">
        <f>IF(OR(N1499&lt;&gt;"OK",NOT(ISNUMBER(M1499))),"",M1499-S1499)</f>
        <v/>
      </c>
      <c r="U1499" s="49">
        <f>IF(OR(NOT(ISNUMBER(T1499)),IF(ISNUMBER(H1499),H1499,G1499)=0),"",T1499/IF(ISNUMBER(H1499),H1499,G1499))</f>
        <v/>
      </c>
      <c r="V1499" s="49">
        <f>IF(ISNUMBER(U1499),ABS(U1499),"")</f>
        <v/>
      </c>
      <c r="W1499" s="49">
        <f>IF(OR($E1498&lt;&gt;"측정",$C1498&lt;&gt;$C1499,$D1498&lt;&gt;$D1499,NOT(ISNUMBER(M1499)),NOT(ISNUMBER(M1498)),(IF(ISNUMBER(H1499),H1499,G1499)-IF(ISNUMBER(H1498),H1498,G1498))=0),"",(M1499-M1498)/(IF(ISNUMBER(H1499),H1499,G1499)-IF(ISNUMBER(H1498),H1498,G1498)))</f>
        <v/>
      </c>
      <c r="X1499" s="31">
        <f>IF(NOT(AND(ISNUMBER(O1499),ISNUMBER(Q1499))),"",(Q1499-O1499)*1440)</f>
        <v/>
      </c>
      <c r="Y1499" s="29" t="n"/>
      <c r="Z1499" s="29" t="n"/>
      <c r="AA1499" s="29" t="n"/>
      <c r="AB1499" s="32" t="n"/>
      <c r="AC1499" s="32" t="n"/>
    </row>
    <row r="1500">
      <c r="A1500" s="44" t="inlineStr">
        <is>
          <t>S29</t>
        </is>
      </c>
      <c r="B1500" s="44" t="inlineStr">
        <is>
          <t>가야 신규점1</t>
        </is>
      </c>
      <c r="C1500" s="44" t="inlineStr">
        <is>
          <t>S29-H남</t>
        </is>
      </c>
      <c r="D1500" s="45" t="n">
        <v>1</v>
      </c>
      <c r="E1500" s="44" t="inlineStr">
        <is>
          <t>P0(후)</t>
        </is>
      </c>
      <c r="F1500" s="44" t="inlineStr">
        <is>
          <t>남</t>
        </is>
      </c>
      <c r="G1500" s="46" t="n"/>
      <c r="H1500" s="30" t="n"/>
      <c r="I1500" s="43" t="n"/>
      <c r="J1500" s="41" t="n"/>
      <c r="K1500" s="41" t="n"/>
      <c r="L1500" s="41" t="n"/>
      <c r="M1500" s="31">
        <f>IF(COUNT(J1500:L1500)=0,"",MEDIAN(J1500:L1500))</f>
        <v/>
      </c>
      <c r="N1500" s="38" t="n"/>
      <c r="O1500" s="38" t="n"/>
      <c r="P1500" s="38" t="n"/>
      <c r="Q1500" s="38" t="n"/>
      <c r="R1500" s="38" t="n"/>
      <c r="S1500" s="38" t="n"/>
      <c r="T1500" s="38" t="n"/>
      <c r="U1500" s="38" t="n"/>
      <c r="V1500" s="38" t="n"/>
      <c r="W1500" s="38" t="n"/>
      <c r="X1500" s="38" t="n"/>
      <c r="Y1500" s="29" t="n"/>
      <c r="Z1500" s="29" t="n"/>
      <c r="AA1500" s="29" t="n"/>
      <c r="AB1500" s="32" t="n"/>
      <c r="AC1500" s="32" t="n"/>
    </row>
    <row r="1501">
      <c r="A1501" s="44" t="inlineStr">
        <is>
          <t>S29</t>
        </is>
      </c>
      <c r="B1501" s="44" t="inlineStr">
        <is>
          <t>가야 신규점1</t>
        </is>
      </c>
      <c r="C1501" s="44" t="inlineStr">
        <is>
          <t>S29-H북</t>
        </is>
      </c>
      <c r="D1501" s="45" t="n">
        <v>1</v>
      </c>
      <c r="E1501" s="44" t="inlineStr">
        <is>
          <t>P0(전)</t>
        </is>
      </c>
      <c r="F1501" s="44" t="inlineStr">
        <is>
          <t>북</t>
        </is>
      </c>
      <c r="G1501" s="46" t="n"/>
      <c r="H1501" s="30" t="n"/>
      <c r="I1501" s="43" t="n"/>
      <c r="J1501" s="41" t="n"/>
      <c r="K1501" s="41" t="n"/>
      <c r="L1501" s="41" t="n"/>
      <c r="M1501" s="31">
        <f>IF(COUNT(J1501:L1501)=0,"",MEDIAN(J1501:L1501))</f>
        <v/>
      </c>
      <c r="N1501" s="38" t="n"/>
      <c r="O1501" s="38" t="n"/>
      <c r="P1501" s="38" t="n"/>
      <c r="Q1501" s="38" t="n"/>
      <c r="R1501" s="38" t="n"/>
      <c r="S1501" s="38" t="n"/>
      <c r="T1501" s="38" t="n"/>
      <c r="U1501" s="38" t="n"/>
      <c r="V1501" s="38" t="n"/>
      <c r="W1501" s="38" t="n"/>
      <c r="X1501" s="38" t="n"/>
      <c r="Y1501" s="29" t="n"/>
      <c r="Z1501" s="29" t="n"/>
      <c r="AA1501" s="29" t="n"/>
      <c r="AB1501" s="32" t="n"/>
      <c r="AC1501" s="32" t="n"/>
    </row>
    <row r="1502">
      <c r="A1502" s="26" t="inlineStr">
        <is>
          <t>S29</t>
        </is>
      </c>
      <c r="B1502" s="26" t="inlineStr">
        <is>
          <t>가야 신규점1</t>
        </is>
      </c>
      <c r="C1502" s="26" t="inlineStr">
        <is>
          <t>S29-H북</t>
        </is>
      </c>
      <c r="D1502" s="47" t="n">
        <v>1</v>
      </c>
      <c r="E1502" s="26" t="inlineStr">
        <is>
          <t>측정</t>
        </is>
      </c>
      <c r="F1502" s="26" t="inlineStr">
        <is>
          <t>북</t>
        </is>
      </c>
      <c r="G1502" s="31" t="n">
        <v>0.5</v>
      </c>
      <c r="H1502" s="30" t="n"/>
      <c r="I1502" s="43" t="n"/>
      <c r="J1502" s="41" t="n"/>
      <c r="K1502" s="41" t="n"/>
      <c r="L1502" s="41" t="n"/>
      <c r="M1502" s="31">
        <f>IF(COUNT(J1502:L1502)=0,"",MEDIAN(J1502:L1502))</f>
        <v/>
      </c>
      <c r="N1502" s="26">
        <f>IF(COUNTIFS($C:$C,$C1502,$D:$D,$D1502,$E:$E,"P0(전)",$M:$M,"&gt;0")&lt;&gt;1,"P0(전) 유효 1개 아님",IF(COUNTIFS($C:$C,$C1502,$D:$D,$D1502,$E:$E,"P0(후)",$M:$M,"&gt;0")&lt;&gt;1,"P0(후) 유효 1개 아님",IF(NOT(AND(ISNUMBER(O1502),ISNUMBER(Q1502),ISNUMBER(I1502))),"시각 결측",IF(Q1502&lt;=O1502,"P0 시각 역전",IF(OR(I1502&lt;O1502,I1502&gt;Q1502),"측정시각 구간 밖","OK")))))</f>
        <v/>
      </c>
      <c r="O1502" s="48">
        <f>IF(COUNTIFS($C:$C,$C1502,$D:$D,$D1502,$E:$E,"P0(전)",$M:$M,"&gt;0")&lt;&gt;1,"",SUMIFS($I:$I,$C:$C,$C1502,$D:$D,$D1502,$E:$E,"P0(전)"))</f>
        <v/>
      </c>
      <c r="P1502" s="31">
        <f>IF(COUNTIFS($C:$C,$C1502,$D:$D,$D1502,$E:$E,"P0(전)",$M:$M,"&gt;0")&lt;&gt;1,"",SUMIFS($M:$M,$C:$C,$C1502,$D:$D,$D1502,$E:$E,"P0(전)"))</f>
        <v/>
      </c>
      <c r="Q1502" s="48">
        <f>IF(COUNTIFS($C:$C,$C1502,$D:$D,$D1502,$E:$E,"P0(후)",$M:$M,"&gt;0")&lt;&gt;1,"",SUMIFS($I:$I,$C:$C,$C1502,$D:$D,$D1502,$E:$E,"P0(후)"))</f>
        <v/>
      </c>
      <c r="R1502" s="31">
        <f>IF(COUNTIFS($C:$C,$C1502,$D:$D,$D1502,$E:$E,"P0(후)",$M:$M,"&gt;0")&lt;&gt;1,"",SUMIFS($M:$M,$C:$C,$C1502,$D:$D,$D1502,$E:$E,"P0(후)"))</f>
        <v/>
      </c>
      <c r="S1502" s="31">
        <f>IF(N1502&lt;&gt;"OK","",P1502+(R1502-P1502)*(I1502-O1502)/(Q1502-O1502))</f>
        <v/>
      </c>
      <c r="T1502" s="31">
        <f>IF(OR(N1502&lt;&gt;"OK",NOT(ISNUMBER(M1502))),"",M1502-S1502)</f>
        <v/>
      </c>
      <c r="U1502" s="49">
        <f>IF(OR(NOT(ISNUMBER(T1502)),IF(ISNUMBER(H1502),H1502,G1502)=0),"",T1502/IF(ISNUMBER(H1502),H1502,G1502))</f>
        <v/>
      </c>
      <c r="V1502" s="49">
        <f>IF(ISNUMBER(U1502),ABS(U1502),"")</f>
        <v/>
      </c>
      <c r="W1502" s="49">
        <f>IF(OR($E1501&lt;&gt;"측정",$C1501&lt;&gt;$C1502,$D1501&lt;&gt;$D1502,NOT(ISNUMBER(M1502)),NOT(ISNUMBER(M1501)),(IF(ISNUMBER(H1502),H1502,G1502)-IF(ISNUMBER(H1501),H1501,G1501))=0),"",(M1502-M1501)/(IF(ISNUMBER(H1502),H1502,G1502)-IF(ISNUMBER(H1501),H1501,G1501)))</f>
        <v/>
      </c>
      <c r="X1502" s="31">
        <f>IF(NOT(AND(ISNUMBER(O1502),ISNUMBER(Q1502))),"",(Q1502-O1502)*1440)</f>
        <v/>
      </c>
      <c r="Y1502" s="29" t="n"/>
      <c r="Z1502" s="29" t="n"/>
      <c r="AA1502" s="29" t="n"/>
      <c r="AB1502" s="32" t="n"/>
      <c r="AC1502" s="32" t="n"/>
    </row>
    <row r="1503">
      <c r="A1503" s="26" t="inlineStr">
        <is>
          <t>S29</t>
        </is>
      </c>
      <c r="B1503" s="26" t="inlineStr">
        <is>
          <t>가야 신규점1</t>
        </is>
      </c>
      <c r="C1503" s="26" t="inlineStr">
        <is>
          <t>S29-H북</t>
        </is>
      </c>
      <c r="D1503" s="47" t="n">
        <v>1</v>
      </c>
      <c r="E1503" s="26" t="inlineStr">
        <is>
          <t>측정</t>
        </is>
      </c>
      <c r="F1503" s="26" t="inlineStr">
        <is>
          <t>북</t>
        </is>
      </c>
      <c r="G1503" s="31" t="n">
        <v>1</v>
      </c>
      <c r="H1503" s="30" t="n"/>
      <c r="I1503" s="43" t="n"/>
      <c r="J1503" s="41" t="n"/>
      <c r="K1503" s="41" t="n"/>
      <c r="L1503" s="41" t="n"/>
      <c r="M1503" s="31">
        <f>IF(COUNT(J1503:L1503)=0,"",MEDIAN(J1503:L1503))</f>
        <v/>
      </c>
      <c r="N1503" s="26">
        <f>IF(COUNTIFS($C:$C,$C1503,$D:$D,$D1503,$E:$E,"P0(전)",$M:$M,"&gt;0")&lt;&gt;1,"P0(전) 유효 1개 아님",IF(COUNTIFS($C:$C,$C1503,$D:$D,$D1503,$E:$E,"P0(후)",$M:$M,"&gt;0")&lt;&gt;1,"P0(후) 유효 1개 아님",IF(NOT(AND(ISNUMBER(O1503),ISNUMBER(Q1503),ISNUMBER(I1503))),"시각 결측",IF(Q1503&lt;=O1503,"P0 시각 역전",IF(OR(I1503&lt;O1503,I1503&gt;Q1503),"측정시각 구간 밖","OK")))))</f>
        <v/>
      </c>
      <c r="O1503" s="48">
        <f>IF(COUNTIFS($C:$C,$C1503,$D:$D,$D1503,$E:$E,"P0(전)",$M:$M,"&gt;0")&lt;&gt;1,"",SUMIFS($I:$I,$C:$C,$C1503,$D:$D,$D1503,$E:$E,"P0(전)"))</f>
        <v/>
      </c>
      <c r="P1503" s="31">
        <f>IF(COUNTIFS($C:$C,$C1503,$D:$D,$D1503,$E:$E,"P0(전)",$M:$M,"&gt;0")&lt;&gt;1,"",SUMIFS($M:$M,$C:$C,$C1503,$D:$D,$D1503,$E:$E,"P0(전)"))</f>
        <v/>
      </c>
      <c r="Q1503" s="48">
        <f>IF(COUNTIFS($C:$C,$C1503,$D:$D,$D1503,$E:$E,"P0(후)",$M:$M,"&gt;0")&lt;&gt;1,"",SUMIFS($I:$I,$C:$C,$C1503,$D:$D,$D1503,$E:$E,"P0(후)"))</f>
        <v/>
      </c>
      <c r="R1503" s="31">
        <f>IF(COUNTIFS($C:$C,$C1503,$D:$D,$D1503,$E:$E,"P0(후)",$M:$M,"&gt;0")&lt;&gt;1,"",SUMIFS($M:$M,$C:$C,$C1503,$D:$D,$D1503,$E:$E,"P0(후)"))</f>
        <v/>
      </c>
      <c r="S1503" s="31">
        <f>IF(N1503&lt;&gt;"OK","",P1503+(R1503-P1503)*(I1503-O1503)/(Q1503-O1503))</f>
        <v/>
      </c>
      <c r="T1503" s="31">
        <f>IF(OR(N1503&lt;&gt;"OK",NOT(ISNUMBER(M1503))),"",M1503-S1503)</f>
        <v/>
      </c>
      <c r="U1503" s="49">
        <f>IF(OR(NOT(ISNUMBER(T1503)),IF(ISNUMBER(H1503),H1503,G1503)=0),"",T1503/IF(ISNUMBER(H1503),H1503,G1503))</f>
        <v/>
      </c>
      <c r="V1503" s="49">
        <f>IF(ISNUMBER(U1503),ABS(U1503),"")</f>
        <v/>
      </c>
      <c r="W1503" s="49">
        <f>IF(OR($E1502&lt;&gt;"측정",$C1502&lt;&gt;$C1503,$D1502&lt;&gt;$D1503,NOT(ISNUMBER(M1503)),NOT(ISNUMBER(M1502)),(IF(ISNUMBER(H1503),H1503,G1503)-IF(ISNUMBER(H1502),H1502,G1502))=0),"",(M1503-M1502)/(IF(ISNUMBER(H1503),H1503,G1503)-IF(ISNUMBER(H1502),H1502,G1502)))</f>
        <v/>
      </c>
      <c r="X1503" s="31">
        <f>IF(NOT(AND(ISNUMBER(O1503),ISNUMBER(Q1503))),"",(Q1503-O1503)*1440)</f>
        <v/>
      </c>
      <c r="Y1503" s="29" t="n"/>
      <c r="Z1503" s="29" t="n"/>
      <c r="AA1503" s="29" t="n"/>
      <c r="AB1503" s="32" t="n"/>
      <c r="AC1503" s="32" t="n"/>
    </row>
    <row r="1504">
      <c r="A1504" s="26" t="inlineStr">
        <is>
          <t>S29</t>
        </is>
      </c>
      <c r="B1504" s="26" t="inlineStr">
        <is>
          <t>가야 신규점1</t>
        </is>
      </c>
      <c r="C1504" s="26" t="inlineStr">
        <is>
          <t>S29-H북</t>
        </is>
      </c>
      <c r="D1504" s="47" t="n">
        <v>1</v>
      </c>
      <c r="E1504" s="26" t="inlineStr">
        <is>
          <t>측정</t>
        </is>
      </c>
      <c r="F1504" s="26" t="inlineStr">
        <is>
          <t>북</t>
        </is>
      </c>
      <c r="G1504" s="31" t="n">
        <v>2</v>
      </c>
      <c r="H1504" s="30" t="n"/>
      <c r="I1504" s="43" t="n"/>
      <c r="J1504" s="41" t="n"/>
      <c r="K1504" s="41" t="n"/>
      <c r="L1504" s="41" t="n"/>
      <c r="M1504" s="31">
        <f>IF(COUNT(J1504:L1504)=0,"",MEDIAN(J1504:L1504))</f>
        <v/>
      </c>
      <c r="N1504" s="26">
        <f>IF(COUNTIFS($C:$C,$C1504,$D:$D,$D1504,$E:$E,"P0(전)",$M:$M,"&gt;0")&lt;&gt;1,"P0(전) 유효 1개 아님",IF(COUNTIFS($C:$C,$C1504,$D:$D,$D1504,$E:$E,"P0(후)",$M:$M,"&gt;0")&lt;&gt;1,"P0(후) 유효 1개 아님",IF(NOT(AND(ISNUMBER(O1504),ISNUMBER(Q1504),ISNUMBER(I1504))),"시각 결측",IF(Q1504&lt;=O1504,"P0 시각 역전",IF(OR(I1504&lt;O1504,I1504&gt;Q1504),"측정시각 구간 밖","OK")))))</f>
        <v/>
      </c>
      <c r="O1504" s="48">
        <f>IF(COUNTIFS($C:$C,$C1504,$D:$D,$D1504,$E:$E,"P0(전)",$M:$M,"&gt;0")&lt;&gt;1,"",SUMIFS($I:$I,$C:$C,$C1504,$D:$D,$D1504,$E:$E,"P0(전)"))</f>
        <v/>
      </c>
      <c r="P1504" s="31">
        <f>IF(COUNTIFS($C:$C,$C1504,$D:$D,$D1504,$E:$E,"P0(전)",$M:$M,"&gt;0")&lt;&gt;1,"",SUMIFS($M:$M,$C:$C,$C1504,$D:$D,$D1504,$E:$E,"P0(전)"))</f>
        <v/>
      </c>
      <c r="Q1504" s="48">
        <f>IF(COUNTIFS($C:$C,$C1504,$D:$D,$D1504,$E:$E,"P0(후)",$M:$M,"&gt;0")&lt;&gt;1,"",SUMIFS($I:$I,$C:$C,$C1504,$D:$D,$D1504,$E:$E,"P0(후)"))</f>
        <v/>
      </c>
      <c r="R1504" s="31">
        <f>IF(COUNTIFS($C:$C,$C1504,$D:$D,$D1504,$E:$E,"P0(후)",$M:$M,"&gt;0")&lt;&gt;1,"",SUMIFS($M:$M,$C:$C,$C1504,$D:$D,$D1504,$E:$E,"P0(후)"))</f>
        <v/>
      </c>
      <c r="S1504" s="31">
        <f>IF(N1504&lt;&gt;"OK","",P1504+(R1504-P1504)*(I1504-O1504)/(Q1504-O1504))</f>
        <v/>
      </c>
      <c r="T1504" s="31">
        <f>IF(OR(N1504&lt;&gt;"OK",NOT(ISNUMBER(M1504))),"",M1504-S1504)</f>
        <v/>
      </c>
      <c r="U1504" s="49">
        <f>IF(OR(NOT(ISNUMBER(T1504)),IF(ISNUMBER(H1504),H1504,G1504)=0),"",T1504/IF(ISNUMBER(H1504),H1504,G1504))</f>
        <v/>
      </c>
      <c r="V1504" s="49">
        <f>IF(ISNUMBER(U1504),ABS(U1504),"")</f>
        <v/>
      </c>
      <c r="W1504" s="49">
        <f>IF(OR($E1503&lt;&gt;"측정",$C1503&lt;&gt;$C1504,$D1503&lt;&gt;$D1504,NOT(ISNUMBER(M1504)),NOT(ISNUMBER(M1503)),(IF(ISNUMBER(H1504),H1504,G1504)-IF(ISNUMBER(H1503),H1503,G1503))=0),"",(M1504-M1503)/(IF(ISNUMBER(H1504),H1504,G1504)-IF(ISNUMBER(H1503),H1503,G1503)))</f>
        <v/>
      </c>
      <c r="X1504" s="31">
        <f>IF(NOT(AND(ISNUMBER(O1504),ISNUMBER(Q1504))),"",(Q1504-O1504)*1440)</f>
        <v/>
      </c>
      <c r="Y1504" s="29" t="n"/>
      <c r="Z1504" s="29" t="n"/>
      <c r="AA1504" s="29" t="n"/>
      <c r="AB1504" s="32" t="n"/>
      <c r="AC1504" s="32" t="n"/>
    </row>
    <row r="1505">
      <c r="A1505" s="26" t="inlineStr">
        <is>
          <t>S29</t>
        </is>
      </c>
      <c r="B1505" s="26" t="inlineStr">
        <is>
          <t>가야 신규점1</t>
        </is>
      </c>
      <c r="C1505" s="26" t="inlineStr">
        <is>
          <t>S29-H북</t>
        </is>
      </c>
      <c r="D1505" s="47" t="n">
        <v>1</v>
      </c>
      <c r="E1505" s="26" t="inlineStr">
        <is>
          <t>측정</t>
        </is>
      </c>
      <c r="F1505" s="26" t="inlineStr">
        <is>
          <t>북</t>
        </is>
      </c>
      <c r="G1505" s="31" t="n">
        <v>3</v>
      </c>
      <c r="H1505" s="30" t="n"/>
      <c r="I1505" s="43" t="n"/>
      <c r="J1505" s="41" t="n"/>
      <c r="K1505" s="41" t="n"/>
      <c r="L1505" s="41" t="n"/>
      <c r="M1505" s="31">
        <f>IF(COUNT(J1505:L1505)=0,"",MEDIAN(J1505:L1505))</f>
        <v/>
      </c>
      <c r="N1505" s="26">
        <f>IF(COUNTIFS($C:$C,$C1505,$D:$D,$D1505,$E:$E,"P0(전)",$M:$M,"&gt;0")&lt;&gt;1,"P0(전) 유효 1개 아님",IF(COUNTIFS($C:$C,$C1505,$D:$D,$D1505,$E:$E,"P0(후)",$M:$M,"&gt;0")&lt;&gt;1,"P0(후) 유효 1개 아님",IF(NOT(AND(ISNUMBER(O1505),ISNUMBER(Q1505),ISNUMBER(I1505))),"시각 결측",IF(Q1505&lt;=O1505,"P0 시각 역전",IF(OR(I1505&lt;O1505,I1505&gt;Q1505),"측정시각 구간 밖","OK")))))</f>
        <v/>
      </c>
      <c r="O1505" s="48">
        <f>IF(COUNTIFS($C:$C,$C1505,$D:$D,$D1505,$E:$E,"P0(전)",$M:$M,"&gt;0")&lt;&gt;1,"",SUMIFS($I:$I,$C:$C,$C1505,$D:$D,$D1505,$E:$E,"P0(전)"))</f>
        <v/>
      </c>
      <c r="P1505" s="31">
        <f>IF(COUNTIFS($C:$C,$C1505,$D:$D,$D1505,$E:$E,"P0(전)",$M:$M,"&gt;0")&lt;&gt;1,"",SUMIFS($M:$M,$C:$C,$C1505,$D:$D,$D1505,$E:$E,"P0(전)"))</f>
        <v/>
      </c>
      <c r="Q1505" s="48">
        <f>IF(COUNTIFS($C:$C,$C1505,$D:$D,$D1505,$E:$E,"P0(후)",$M:$M,"&gt;0")&lt;&gt;1,"",SUMIFS($I:$I,$C:$C,$C1505,$D:$D,$D1505,$E:$E,"P0(후)"))</f>
        <v/>
      </c>
      <c r="R1505" s="31">
        <f>IF(COUNTIFS($C:$C,$C1505,$D:$D,$D1505,$E:$E,"P0(후)",$M:$M,"&gt;0")&lt;&gt;1,"",SUMIFS($M:$M,$C:$C,$C1505,$D:$D,$D1505,$E:$E,"P0(후)"))</f>
        <v/>
      </c>
      <c r="S1505" s="31">
        <f>IF(N1505&lt;&gt;"OK","",P1505+(R1505-P1505)*(I1505-O1505)/(Q1505-O1505))</f>
        <v/>
      </c>
      <c r="T1505" s="31">
        <f>IF(OR(N1505&lt;&gt;"OK",NOT(ISNUMBER(M1505))),"",M1505-S1505)</f>
        <v/>
      </c>
      <c r="U1505" s="49">
        <f>IF(OR(NOT(ISNUMBER(T1505)),IF(ISNUMBER(H1505),H1505,G1505)=0),"",T1505/IF(ISNUMBER(H1505),H1505,G1505))</f>
        <v/>
      </c>
      <c r="V1505" s="49">
        <f>IF(ISNUMBER(U1505),ABS(U1505),"")</f>
        <v/>
      </c>
      <c r="W1505" s="49">
        <f>IF(OR($E1504&lt;&gt;"측정",$C1504&lt;&gt;$C1505,$D1504&lt;&gt;$D1505,NOT(ISNUMBER(M1505)),NOT(ISNUMBER(M1504)),(IF(ISNUMBER(H1505),H1505,G1505)-IF(ISNUMBER(H1504),H1504,G1504))=0),"",(M1505-M1504)/(IF(ISNUMBER(H1505),H1505,G1505)-IF(ISNUMBER(H1504),H1504,G1504)))</f>
        <v/>
      </c>
      <c r="X1505" s="31">
        <f>IF(NOT(AND(ISNUMBER(O1505),ISNUMBER(Q1505))),"",(Q1505-O1505)*1440)</f>
        <v/>
      </c>
      <c r="Y1505" s="29" t="n"/>
      <c r="Z1505" s="29" t="n"/>
      <c r="AA1505" s="29" t="n"/>
      <c r="AB1505" s="32" t="n"/>
      <c r="AC1505" s="32" t="n"/>
    </row>
    <row r="1506">
      <c r="A1506" s="26" t="inlineStr">
        <is>
          <t>S29</t>
        </is>
      </c>
      <c r="B1506" s="26" t="inlineStr">
        <is>
          <t>가야 신규점1</t>
        </is>
      </c>
      <c r="C1506" s="26" t="inlineStr">
        <is>
          <t>S29-H북</t>
        </is>
      </c>
      <c r="D1506" s="47" t="n">
        <v>1</v>
      </c>
      <c r="E1506" s="26" t="inlineStr">
        <is>
          <t>측정</t>
        </is>
      </c>
      <c r="F1506" s="26" t="inlineStr">
        <is>
          <t>북</t>
        </is>
      </c>
      <c r="G1506" s="31" t="n">
        <v>4</v>
      </c>
      <c r="H1506" s="30" t="n"/>
      <c r="I1506" s="43" t="n"/>
      <c r="J1506" s="41" t="n"/>
      <c r="K1506" s="41" t="n"/>
      <c r="L1506" s="41" t="n"/>
      <c r="M1506" s="31">
        <f>IF(COUNT(J1506:L1506)=0,"",MEDIAN(J1506:L1506))</f>
        <v/>
      </c>
      <c r="N1506" s="26">
        <f>IF(COUNTIFS($C:$C,$C1506,$D:$D,$D1506,$E:$E,"P0(전)",$M:$M,"&gt;0")&lt;&gt;1,"P0(전) 유효 1개 아님",IF(COUNTIFS($C:$C,$C1506,$D:$D,$D1506,$E:$E,"P0(후)",$M:$M,"&gt;0")&lt;&gt;1,"P0(후) 유효 1개 아님",IF(NOT(AND(ISNUMBER(O1506),ISNUMBER(Q1506),ISNUMBER(I1506))),"시각 결측",IF(Q1506&lt;=O1506,"P0 시각 역전",IF(OR(I1506&lt;O1506,I1506&gt;Q1506),"측정시각 구간 밖","OK")))))</f>
        <v/>
      </c>
      <c r="O1506" s="48">
        <f>IF(COUNTIFS($C:$C,$C1506,$D:$D,$D1506,$E:$E,"P0(전)",$M:$M,"&gt;0")&lt;&gt;1,"",SUMIFS($I:$I,$C:$C,$C1506,$D:$D,$D1506,$E:$E,"P0(전)"))</f>
        <v/>
      </c>
      <c r="P1506" s="31">
        <f>IF(COUNTIFS($C:$C,$C1506,$D:$D,$D1506,$E:$E,"P0(전)",$M:$M,"&gt;0")&lt;&gt;1,"",SUMIFS($M:$M,$C:$C,$C1506,$D:$D,$D1506,$E:$E,"P0(전)"))</f>
        <v/>
      </c>
      <c r="Q1506" s="48">
        <f>IF(COUNTIFS($C:$C,$C1506,$D:$D,$D1506,$E:$E,"P0(후)",$M:$M,"&gt;0")&lt;&gt;1,"",SUMIFS($I:$I,$C:$C,$C1506,$D:$D,$D1506,$E:$E,"P0(후)"))</f>
        <v/>
      </c>
      <c r="R1506" s="31">
        <f>IF(COUNTIFS($C:$C,$C1506,$D:$D,$D1506,$E:$E,"P0(후)",$M:$M,"&gt;0")&lt;&gt;1,"",SUMIFS($M:$M,$C:$C,$C1506,$D:$D,$D1506,$E:$E,"P0(후)"))</f>
        <v/>
      </c>
      <c r="S1506" s="31">
        <f>IF(N1506&lt;&gt;"OK","",P1506+(R1506-P1506)*(I1506-O1506)/(Q1506-O1506))</f>
        <v/>
      </c>
      <c r="T1506" s="31">
        <f>IF(OR(N1506&lt;&gt;"OK",NOT(ISNUMBER(M1506))),"",M1506-S1506)</f>
        <v/>
      </c>
      <c r="U1506" s="49">
        <f>IF(OR(NOT(ISNUMBER(T1506)),IF(ISNUMBER(H1506),H1506,G1506)=0),"",T1506/IF(ISNUMBER(H1506),H1506,G1506))</f>
        <v/>
      </c>
      <c r="V1506" s="49">
        <f>IF(ISNUMBER(U1506),ABS(U1506),"")</f>
        <v/>
      </c>
      <c r="W1506" s="49">
        <f>IF(OR($E1505&lt;&gt;"측정",$C1505&lt;&gt;$C1506,$D1505&lt;&gt;$D1506,NOT(ISNUMBER(M1506)),NOT(ISNUMBER(M1505)),(IF(ISNUMBER(H1506),H1506,G1506)-IF(ISNUMBER(H1505),H1505,G1505))=0),"",(M1506-M1505)/(IF(ISNUMBER(H1506),H1506,G1506)-IF(ISNUMBER(H1505),H1505,G1505)))</f>
        <v/>
      </c>
      <c r="X1506" s="31">
        <f>IF(NOT(AND(ISNUMBER(O1506),ISNUMBER(Q1506))),"",(Q1506-O1506)*1440)</f>
        <v/>
      </c>
      <c r="Y1506" s="29" t="n"/>
      <c r="Z1506" s="29" t="n"/>
      <c r="AA1506" s="29" t="n"/>
      <c r="AB1506" s="32" t="n"/>
      <c r="AC1506" s="32" t="n"/>
    </row>
    <row r="1507">
      <c r="A1507" s="26" t="inlineStr">
        <is>
          <t>S29</t>
        </is>
      </c>
      <c r="B1507" s="26" t="inlineStr">
        <is>
          <t>가야 신규점1</t>
        </is>
      </c>
      <c r="C1507" s="26" t="inlineStr">
        <is>
          <t>S29-H북</t>
        </is>
      </c>
      <c r="D1507" s="47" t="n">
        <v>1</v>
      </c>
      <c r="E1507" s="26" t="inlineStr">
        <is>
          <t>측정</t>
        </is>
      </c>
      <c r="F1507" s="26" t="inlineStr">
        <is>
          <t>북</t>
        </is>
      </c>
      <c r="G1507" s="31" t="n">
        <v>5</v>
      </c>
      <c r="H1507" s="30" t="n"/>
      <c r="I1507" s="43" t="n"/>
      <c r="J1507" s="41" t="n"/>
      <c r="K1507" s="41" t="n"/>
      <c r="L1507" s="41" t="n"/>
      <c r="M1507" s="31">
        <f>IF(COUNT(J1507:L1507)=0,"",MEDIAN(J1507:L1507))</f>
        <v/>
      </c>
      <c r="N1507" s="26">
        <f>IF(COUNTIFS($C:$C,$C1507,$D:$D,$D1507,$E:$E,"P0(전)",$M:$M,"&gt;0")&lt;&gt;1,"P0(전) 유효 1개 아님",IF(COUNTIFS($C:$C,$C1507,$D:$D,$D1507,$E:$E,"P0(후)",$M:$M,"&gt;0")&lt;&gt;1,"P0(후) 유효 1개 아님",IF(NOT(AND(ISNUMBER(O1507),ISNUMBER(Q1507),ISNUMBER(I1507))),"시각 결측",IF(Q1507&lt;=O1507,"P0 시각 역전",IF(OR(I1507&lt;O1507,I1507&gt;Q1507),"측정시각 구간 밖","OK")))))</f>
        <v/>
      </c>
      <c r="O1507" s="48">
        <f>IF(COUNTIFS($C:$C,$C1507,$D:$D,$D1507,$E:$E,"P0(전)",$M:$M,"&gt;0")&lt;&gt;1,"",SUMIFS($I:$I,$C:$C,$C1507,$D:$D,$D1507,$E:$E,"P0(전)"))</f>
        <v/>
      </c>
      <c r="P1507" s="31">
        <f>IF(COUNTIFS($C:$C,$C1507,$D:$D,$D1507,$E:$E,"P0(전)",$M:$M,"&gt;0")&lt;&gt;1,"",SUMIFS($M:$M,$C:$C,$C1507,$D:$D,$D1507,$E:$E,"P0(전)"))</f>
        <v/>
      </c>
      <c r="Q1507" s="48">
        <f>IF(COUNTIFS($C:$C,$C1507,$D:$D,$D1507,$E:$E,"P0(후)",$M:$M,"&gt;0")&lt;&gt;1,"",SUMIFS($I:$I,$C:$C,$C1507,$D:$D,$D1507,$E:$E,"P0(후)"))</f>
        <v/>
      </c>
      <c r="R1507" s="31">
        <f>IF(COUNTIFS($C:$C,$C1507,$D:$D,$D1507,$E:$E,"P0(후)",$M:$M,"&gt;0")&lt;&gt;1,"",SUMIFS($M:$M,$C:$C,$C1507,$D:$D,$D1507,$E:$E,"P0(후)"))</f>
        <v/>
      </c>
      <c r="S1507" s="31">
        <f>IF(N1507&lt;&gt;"OK","",P1507+(R1507-P1507)*(I1507-O1507)/(Q1507-O1507))</f>
        <v/>
      </c>
      <c r="T1507" s="31">
        <f>IF(OR(N1507&lt;&gt;"OK",NOT(ISNUMBER(M1507))),"",M1507-S1507)</f>
        <v/>
      </c>
      <c r="U1507" s="49">
        <f>IF(OR(NOT(ISNUMBER(T1507)),IF(ISNUMBER(H1507),H1507,G1507)=0),"",T1507/IF(ISNUMBER(H1507),H1507,G1507))</f>
        <v/>
      </c>
      <c r="V1507" s="49">
        <f>IF(ISNUMBER(U1507),ABS(U1507),"")</f>
        <v/>
      </c>
      <c r="W1507" s="49">
        <f>IF(OR($E1506&lt;&gt;"측정",$C1506&lt;&gt;$C1507,$D1506&lt;&gt;$D1507,NOT(ISNUMBER(M1507)),NOT(ISNUMBER(M1506)),(IF(ISNUMBER(H1507),H1507,G1507)-IF(ISNUMBER(H1506),H1506,G1506))=0),"",(M1507-M1506)/(IF(ISNUMBER(H1507),H1507,G1507)-IF(ISNUMBER(H1506),H1506,G1506)))</f>
        <v/>
      </c>
      <c r="X1507" s="31">
        <f>IF(NOT(AND(ISNUMBER(O1507),ISNUMBER(Q1507))),"",(Q1507-O1507)*1440)</f>
        <v/>
      </c>
      <c r="Y1507" s="29" t="n"/>
      <c r="Z1507" s="29" t="n"/>
      <c r="AA1507" s="29" t="n"/>
      <c r="AB1507" s="32" t="n"/>
      <c r="AC1507" s="32" t="n"/>
    </row>
    <row r="1508">
      <c r="A1508" s="26" t="inlineStr">
        <is>
          <t>S29</t>
        </is>
      </c>
      <c r="B1508" s="26" t="inlineStr">
        <is>
          <t>가야 신규점1</t>
        </is>
      </c>
      <c r="C1508" s="26" t="inlineStr">
        <is>
          <t>S29-H북</t>
        </is>
      </c>
      <c r="D1508" s="47" t="n">
        <v>1</v>
      </c>
      <c r="E1508" s="26" t="inlineStr">
        <is>
          <t>측정</t>
        </is>
      </c>
      <c r="F1508" s="26" t="inlineStr">
        <is>
          <t>북</t>
        </is>
      </c>
      <c r="G1508" s="31" t="n">
        <v>6</v>
      </c>
      <c r="H1508" s="30" t="n"/>
      <c r="I1508" s="43" t="n"/>
      <c r="J1508" s="41" t="n"/>
      <c r="K1508" s="41" t="n"/>
      <c r="L1508" s="41" t="n"/>
      <c r="M1508" s="31">
        <f>IF(COUNT(J1508:L1508)=0,"",MEDIAN(J1508:L1508))</f>
        <v/>
      </c>
      <c r="N1508" s="26">
        <f>IF(COUNTIFS($C:$C,$C1508,$D:$D,$D1508,$E:$E,"P0(전)",$M:$M,"&gt;0")&lt;&gt;1,"P0(전) 유효 1개 아님",IF(COUNTIFS($C:$C,$C1508,$D:$D,$D1508,$E:$E,"P0(후)",$M:$M,"&gt;0")&lt;&gt;1,"P0(후) 유효 1개 아님",IF(NOT(AND(ISNUMBER(O1508),ISNUMBER(Q1508),ISNUMBER(I1508))),"시각 결측",IF(Q1508&lt;=O1508,"P0 시각 역전",IF(OR(I1508&lt;O1508,I1508&gt;Q1508),"측정시각 구간 밖","OK")))))</f>
        <v/>
      </c>
      <c r="O1508" s="48">
        <f>IF(COUNTIFS($C:$C,$C1508,$D:$D,$D1508,$E:$E,"P0(전)",$M:$M,"&gt;0")&lt;&gt;1,"",SUMIFS($I:$I,$C:$C,$C1508,$D:$D,$D1508,$E:$E,"P0(전)"))</f>
        <v/>
      </c>
      <c r="P1508" s="31">
        <f>IF(COUNTIFS($C:$C,$C1508,$D:$D,$D1508,$E:$E,"P0(전)",$M:$M,"&gt;0")&lt;&gt;1,"",SUMIFS($M:$M,$C:$C,$C1508,$D:$D,$D1508,$E:$E,"P0(전)"))</f>
        <v/>
      </c>
      <c r="Q1508" s="48">
        <f>IF(COUNTIFS($C:$C,$C1508,$D:$D,$D1508,$E:$E,"P0(후)",$M:$M,"&gt;0")&lt;&gt;1,"",SUMIFS($I:$I,$C:$C,$C1508,$D:$D,$D1508,$E:$E,"P0(후)"))</f>
        <v/>
      </c>
      <c r="R1508" s="31">
        <f>IF(COUNTIFS($C:$C,$C1508,$D:$D,$D1508,$E:$E,"P0(후)",$M:$M,"&gt;0")&lt;&gt;1,"",SUMIFS($M:$M,$C:$C,$C1508,$D:$D,$D1508,$E:$E,"P0(후)"))</f>
        <v/>
      </c>
      <c r="S1508" s="31">
        <f>IF(N1508&lt;&gt;"OK","",P1508+(R1508-P1508)*(I1508-O1508)/(Q1508-O1508))</f>
        <v/>
      </c>
      <c r="T1508" s="31">
        <f>IF(OR(N1508&lt;&gt;"OK",NOT(ISNUMBER(M1508))),"",M1508-S1508)</f>
        <v/>
      </c>
      <c r="U1508" s="49">
        <f>IF(OR(NOT(ISNUMBER(T1508)),IF(ISNUMBER(H1508),H1508,G1508)=0),"",T1508/IF(ISNUMBER(H1508),H1508,G1508))</f>
        <v/>
      </c>
      <c r="V1508" s="49">
        <f>IF(ISNUMBER(U1508),ABS(U1508),"")</f>
        <v/>
      </c>
      <c r="W1508" s="49">
        <f>IF(OR($E1507&lt;&gt;"측정",$C1507&lt;&gt;$C1508,$D1507&lt;&gt;$D1508,NOT(ISNUMBER(M1508)),NOT(ISNUMBER(M1507)),(IF(ISNUMBER(H1508),H1508,G1508)-IF(ISNUMBER(H1507),H1507,G1507))=0),"",(M1508-M1507)/(IF(ISNUMBER(H1508),H1508,G1508)-IF(ISNUMBER(H1507),H1507,G1507)))</f>
        <v/>
      </c>
      <c r="X1508" s="31">
        <f>IF(NOT(AND(ISNUMBER(O1508),ISNUMBER(Q1508))),"",(Q1508-O1508)*1440)</f>
        <v/>
      </c>
      <c r="Y1508" s="29" t="n"/>
      <c r="Z1508" s="29" t="n"/>
      <c r="AA1508" s="29" t="n"/>
      <c r="AB1508" s="32" t="n"/>
      <c r="AC1508" s="32" t="n"/>
    </row>
    <row r="1509">
      <c r="A1509" s="26" t="inlineStr">
        <is>
          <t>S29</t>
        </is>
      </c>
      <c r="B1509" s="26" t="inlineStr">
        <is>
          <t>가야 신규점1</t>
        </is>
      </c>
      <c r="C1509" s="26" t="inlineStr">
        <is>
          <t>S29-H북</t>
        </is>
      </c>
      <c r="D1509" s="47" t="n">
        <v>1</v>
      </c>
      <c r="E1509" s="26" t="inlineStr">
        <is>
          <t>측정</t>
        </is>
      </c>
      <c r="F1509" s="26" t="inlineStr">
        <is>
          <t>북</t>
        </is>
      </c>
      <c r="G1509" s="31" t="n">
        <v>7</v>
      </c>
      <c r="H1509" s="30" t="n"/>
      <c r="I1509" s="43" t="n"/>
      <c r="J1509" s="41" t="n"/>
      <c r="K1509" s="41" t="n"/>
      <c r="L1509" s="41" t="n"/>
      <c r="M1509" s="31">
        <f>IF(COUNT(J1509:L1509)=0,"",MEDIAN(J1509:L1509))</f>
        <v/>
      </c>
      <c r="N1509" s="26">
        <f>IF(COUNTIFS($C:$C,$C1509,$D:$D,$D1509,$E:$E,"P0(전)",$M:$M,"&gt;0")&lt;&gt;1,"P0(전) 유효 1개 아님",IF(COUNTIFS($C:$C,$C1509,$D:$D,$D1509,$E:$E,"P0(후)",$M:$M,"&gt;0")&lt;&gt;1,"P0(후) 유효 1개 아님",IF(NOT(AND(ISNUMBER(O1509),ISNUMBER(Q1509),ISNUMBER(I1509))),"시각 결측",IF(Q1509&lt;=O1509,"P0 시각 역전",IF(OR(I1509&lt;O1509,I1509&gt;Q1509),"측정시각 구간 밖","OK")))))</f>
        <v/>
      </c>
      <c r="O1509" s="48">
        <f>IF(COUNTIFS($C:$C,$C1509,$D:$D,$D1509,$E:$E,"P0(전)",$M:$M,"&gt;0")&lt;&gt;1,"",SUMIFS($I:$I,$C:$C,$C1509,$D:$D,$D1509,$E:$E,"P0(전)"))</f>
        <v/>
      </c>
      <c r="P1509" s="31">
        <f>IF(COUNTIFS($C:$C,$C1509,$D:$D,$D1509,$E:$E,"P0(전)",$M:$M,"&gt;0")&lt;&gt;1,"",SUMIFS($M:$M,$C:$C,$C1509,$D:$D,$D1509,$E:$E,"P0(전)"))</f>
        <v/>
      </c>
      <c r="Q1509" s="48">
        <f>IF(COUNTIFS($C:$C,$C1509,$D:$D,$D1509,$E:$E,"P0(후)",$M:$M,"&gt;0")&lt;&gt;1,"",SUMIFS($I:$I,$C:$C,$C1509,$D:$D,$D1509,$E:$E,"P0(후)"))</f>
        <v/>
      </c>
      <c r="R1509" s="31">
        <f>IF(COUNTIFS($C:$C,$C1509,$D:$D,$D1509,$E:$E,"P0(후)",$M:$M,"&gt;0")&lt;&gt;1,"",SUMIFS($M:$M,$C:$C,$C1509,$D:$D,$D1509,$E:$E,"P0(후)"))</f>
        <v/>
      </c>
      <c r="S1509" s="31">
        <f>IF(N1509&lt;&gt;"OK","",P1509+(R1509-P1509)*(I1509-O1509)/(Q1509-O1509))</f>
        <v/>
      </c>
      <c r="T1509" s="31">
        <f>IF(OR(N1509&lt;&gt;"OK",NOT(ISNUMBER(M1509))),"",M1509-S1509)</f>
        <v/>
      </c>
      <c r="U1509" s="49">
        <f>IF(OR(NOT(ISNUMBER(T1509)),IF(ISNUMBER(H1509),H1509,G1509)=0),"",T1509/IF(ISNUMBER(H1509),H1509,G1509))</f>
        <v/>
      </c>
      <c r="V1509" s="49">
        <f>IF(ISNUMBER(U1509),ABS(U1509),"")</f>
        <v/>
      </c>
      <c r="W1509" s="49">
        <f>IF(OR($E1508&lt;&gt;"측정",$C1508&lt;&gt;$C1509,$D1508&lt;&gt;$D1509,NOT(ISNUMBER(M1509)),NOT(ISNUMBER(M1508)),(IF(ISNUMBER(H1509),H1509,G1509)-IF(ISNUMBER(H1508),H1508,G1508))=0),"",(M1509-M1508)/(IF(ISNUMBER(H1509),H1509,G1509)-IF(ISNUMBER(H1508),H1508,G1508)))</f>
        <v/>
      </c>
      <c r="X1509" s="31">
        <f>IF(NOT(AND(ISNUMBER(O1509),ISNUMBER(Q1509))),"",(Q1509-O1509)*1440)</f>
        <v/>
      </c>
      <c r="Y1509" s="29" t="n"/>
      <c r="Z1509" s="29" t="n"/>
      <c r="AA1509" s="29" t="n"/>
      <c r="AB1509" s="32" t="n"/>
      <c r="AC1509" s="32" t="n"/>
    </row>
    <row r="1510">
      <c r="A1510" s="26" t="inlineStr">
        <is>
          <t>S29</t>
        </is>
      </c>
      <c r="B1510" s="26" t="inlineStr">
        <is>
          <t>가야 신규점1</t>
        </is>
      </c>
      <c r="C1510" s="26" t="inlineStr">
        <is>
          <t>S29-H북</t>
        </is>
      </c>
      <c r="D1510" s="47" t="n">
        <v>1</v>
      </c>
      <c r="E1510" s="26" t="inlineStr">
        <is>
          <t>측정</t>
        </is>
      </c>
      <c r="F1510" s="26" t="inlineStr">
        <is>
          <t>북</t>
        </is>
      </c>
      <c r="G1510" s="31" t="n">
        <v>8</v>
      </c>
      <c r="H1510" s="30" t="n"/>
      <c r="I1510" s="43" t="n"/>
      <c r="J1510" s="41" t="n"/>
      <c r="K1510" s="41" t="n"/>
      <c r="L1510" s="41" t="n"/>
      <c r="M1510" s="31">
        <f>IF(COUNT(J1510:L1510)=0,"",MEDIAN(J1510:L1510))</f>
        <v/>
      </c>
      <c r="N1510" s="26">
        <f>IF(COUNTIFS($C:$C,$C1510,$D:$D,$D1510,$E:$E,"P0(전)",$M:$M,"&gt;0")&lt;&gt;1,"P0(전) 유효 1개 아님",IF(COUNTIFS($C:$C,$C1510,$D:$D,$D1510,$E:$E,"P0(후)",$M:$M,"&gt;0")&lt;&gt;1,"P0(후) 유효 1개 아님",IF(NOT(AND(ISNUMBER(O1510),ISNUMBER(Q1510),ISNUMBER(I1510))),"시각 결측",IF(Q1510&lt;=O1510,"P0 시각 역전",IF(OR(I1510&lt;O1510,I1510&gt;Q1510),"측정시각 구간 밖","OK")))))</f>
        <v/>
      </c>
      <c r="O1510" s="48">
        <f>IF(COUNTIFS($C:$C,$C1510,$D:$D,$D1510,$E:$E,"P0(전)",$M:$M,"&gt;0")&lt;&gt;1,"",SUMIFS($I:$I,$C:$C,$C1510,$D:$D,$D1510,$E:$E,"P0(전)"))</f>
        <v/>
      </c>
      <c r="P1510" s="31">
        <f>IF(COUNTIFS($C:$C,$C1510,$D:$D,$D1510,$E:$E,"P0(전)",$M:$M,"&gt;0")&lt;&gt;1,"",SUMIFS($M:$M,$C:$C,$C1510,$D:$D,$D1510,$E:$E,"P0(전)"))</f>
        <v/>
      </c>
      <c r="Q1510" s="48">
        <f>IF(COUNTIFS($C:$C,$C1510,$D:$D,$D1510,$E:$E,"P0(후)",$M:$M,"&gt;0")&lt;&gt;1,"",SUMIFS($I:$I,$C:$C,$C1510,$D:$D,$D1510,$E:$E,"P0(후)"))</f>
        <v/>
      </c>
      <c r="R1510" s="31">
        <f>IF(COUNTIFS($C:$C,$C1510,$D:$D,$D1510,$E:$E,"P0(후)",$M:$M,"&gt;0")&lt;&gt;1,"",SUMIFS($M:$M,$C:$C,$C1510,$D:$D,$D1510,$E:$E,"P0(후)"))</f>
        <v/>
      </c>
      <c r="S1510" s="31">
        <f>IF(N1510&lt;&gt;"OK","",P1510+(R1510-P1510)*(I1510-O1510)/(Q1510-O1510))</f>
        <v/>
      </c>
      <c r="T1510" s="31">
        <f>IF(OR(N1510&lt;&gt;"OK",NOT(ISNUMBER(M1510))),"",M1510-S1510)</f>
        <v/>
      </c>
      <c r="U1510" s="49">
        <f>IF(OR(NOT(ISNUMBER(T1510)),IF(ISNUMBER(H1510),H1510,G1510)=0),"",T1510/IF(ISNUMBER(H1510),H1510,G1510))</f>
        <v/>
      </c>
      <c r="V1510" s="49">
        <f>IF(ISNUMBER(U1510),ABS(U1510),"")</f>
        <v/>
      </c>
      <c r="W1510" s="49">
        <f>IF(OR($E1509&lt;&gt;"측정",$C1509&lt;&gt;$C1510,$D1509&lt;&gt;$D1510,NOT(ISNUMBER(M1510)),NOT(ISNUMBER(M1509)),(IF(ISNUMBER(H1510),H1510,G1510)-IF(ISNUMBER(H1509),H1509,G1509))=0),"",(M1510-M1509)/(IF(ISNUMBER(H1510),H1510,G1510)-IF(ISNUMBER(H1509),H1509,G1509)))</f>
        <v/>
      </c>
      <c r="X1510" s="31">
        <f>IF(NOT(AND(ISNUMBER(O1510),ISNUMBER(Q1510))),"",(Q1510-O1510)*1440)</f>
        <v/>
      </c>
      <c r="Y1510" s="29" t="n"/>
      <c r="Z1510" s="29" t="n"/>
      <c r="AA1510" s="29" t="n"/>
      <c r="AB1510" s="32" t="n"/>
      <c r="AC1510" s="32" t="n"/>
    </row>
    <row r="1511">
      <c r="A1511" s="26" t="inlineStr">
        <is>
          <t>S29</t>
        </is>
      </c>
      <c r="B1511" s="26" t="inlineStr">
        <is>
          <t>가야 신규점1</t>
        </is>
      </c>
      <c r="C1511" s="26" t="inlineStr">
        <is>
          <t>S29-H북</t>
        </is>
      </c>
      <c r="D1511" s="47" t="n">
        <v>1</v>
      </c>
      <c r="E1511" s="26" t="inlineStr">
        <is>
          <t>측정</t>
        </is>
      </c>
      <c r="F1511" s="26" t="inlineStr">
        <is>
          <t>북</t>
        </is>
      </c>
      <c r="G1511" s="31" t="n">
        <v>9</v>
      </c>
      <c r="H1511" s="30" t="n"/>
      <c r="I1511" s="43" t="n"/>
      <c r="J1511" s="41" t="n"/>
      <c r="K1511" s="41" t="n"/>
      <c r="L1511" s="41" t="n"/>
      <c r="M1511" s="31">
        <f>IF(COUNT(J1511:L1511)=0,"",MEDIAN(J1511:L1511))</f>
        <v/>
      </c>
      <c r="N1511" s="26">
        <f>IF(COUNTIFS($C:$C,$C1511,$D:$D,$D1511,$E:$E,"P0(전)",$M:$M,"&gt;0")&lt;&gt;1,"P0(전) 유효 1개 아님",IF(COUNTIFS($C:$C,$C1511,$D:$D,$D1511,$E:$E,"P0(후)",$M:$M,"&gt;0")&lt;&gt;1,"P0(후) 유효 1개 아님",IF(NOT(AND(ISNUMBER(O1511),ISNUMBER(Q1511),ISNUMBER(I1511))),"시각 결측",IF(Q1511&lt;=O1511,"P0 시각 역전",IF(OR(I1511&lt;O1511,I1511&gt;Q1511),"측정시각 구간 밖","OK")))))</f>
        <v/>
      </c>
      <c r="O1511" s="48">
        <f>IF(COUNTIFS($C:$C,$C1511,$D:$D,$D1511,$E:$E,"P0(전)",$M:$M,"&gt;0")&lt;&gt;1,"",SUMIFS($I:$I,$C:$C,$C1511,$D:$D,$D1511,$E:$E,"P0(전)"))</f>
        <v/>
      </c>
      <c r="P1511" s="31">
        <f>IF(COUNTIFS($C:$C,$C1511,$D:$D,$D1511,$E:$E,"P0(전)",$M:$M,"&gt;0")&lt;&gt;1,"",SUMIFS($M:$M,$C:$C,$C1511,$D:$D,$D1511,$E:$E,"P0(전)"))</f>
        <v/>
      </c>
      <c r="Q1511" s="48">
        <f>IF(COUNTIFS($C:$C,$C1511,$D:$D,$D1511,$E:$E,"P0(후)",$M:$M,"&gt;0")&lt;&gt;1,"",SUMIFS($I:$I,$C:$C,$C1511,$D:$D,$D1511,$E:$E,"P0(후)"))</f>
        <v/>
      </c>
      <c r="R1511" s="31">
        <f>IF(COUNTIFS($C:$C,$C1511,$D:$D,$D1511,$E:$E,"P0(후)",$M:$M,"&gt;0")&lt;&gt;1,"",SUMIFS($M:$M,$C:$C,$C1511,$D:$D,$D1511,$E:$E,"P0(후)"))</f>
        <v/>
      </c>
      <c r="S1511" s="31">
        <f>IF(N1511&lt;&gt;"OK","",P1511+(R1511-P1511)*(I1511-O1511)/(Q1511-O1511))</f>
        <v/>
      </c>
      <c r="T1511" s="31">
        <f>IF(OR(N1511&lt;&gt;"OK",NOT(ISNUMBER(M1511))),"",M1511-S1511)</f>
        <v/>
      </c>
      <c r="U1511" s="49">
        <f>IF(OR(NOT(ISNUMBER(T1511)),IF(ISNUMBER(H1511),H1511,G1511)=0),"",T1511/IF(ISNUMBER(H1511),H1511,G1511))</f>
        <v/>
      </c>
      <c r="V1511" s="49">
        <f>IF(ISNUMBER(U1511),ABS(U1511),"")</f>
        <v/>
      </c>
      <c r="W1511" s="49">
        <f>IF(OR($E1510&lt;&gt;"측정",$C1510&lt;&gt;$C1511,$D1510&lt;&gt;$D1511,NOT(ISNUMBER(M1511)),NOT(ISNUMBER(M1510)),(IF(ISNUMBER(H1511),H1511,G1511)-IF(ISNUMBER(H1510),H1510,G1510))=0),"",(M1511-M1510)/(IF(ISNUMBER(H1511),H1511,G1511)-IF(ISNUMBER(H1510),H1510,G1510)))</f>
        <v/>
      </c>
      <c r="X1511" s="31">
        <f>IF(NOT(AND(ISNUMBER(O1511),ISNUMBER(Q1511))),"",(Q1511-O1511)*1440)</f>
        <v/>
      </c>
      <c r="Y1511" s="29" t="n"/>
      <c r="Z1511" s="29" t="n"/>
      <c r="AA1511" s="29" t="n"/>
      <c r="AB1511" s="32" t="n"/>
      <c r="AC1511" s="32" t="n"/>
    </row>
    <row r="1512">
      <c r="A1512" s="26" t="inlineStr">
        <is>
          <t>S29</t>
        </is>
      </c>
      <c r="B1512" s="26" t="inlineStr">
        <is>
          <t>가야 신규점1</t>
        </is>
      </c>
      <c r="C1512" s="26" t="inlineStr">
        <is>
          <t>S29-H북</t>
        </is>
      </c>
      <c r="D1512" s="47" t="n">
        <v>1</v>
      </c>
      <c r="E1512" s="26" t="inlineStr">
        <is>
          <t>측정</t>
        </is>
      </c>
      <c r="F1512" s="26" t="inlineStr">
        <is>
          <t>북</t>
        </is>
      </c>
      <c r="G1512" s="31" t="n">
        <v>10</v>
      </c>
      <c r="H1512" s="30" t="n"/>
      <c r="I1512" s="43" t="n"/>
      <c r="J1512" s="41" t="n"/>
      <c r="K1512" s="41" t="n"/>
      <c r="L1512" s="41" t="n"/>
      <c r="M1512" s="31">
        <f>IF(COUNT(J1512:L1512)=0,"",MEDIAN(J1512:L1512))</f>
        <v/>
      </c>
      <c r="N1512" s="26">
        <f>IF(COUNTIFS($C:$C,$C1512,$D:$D,$D1512,$E:$E,"P0(전)",$M:$M,"&gt;0")&lt;&gt;1,"P0(전) 유효 1개 아님",IF(COUNTIFS($C:$C,$C1512,$D:$D,$D1512,$E:$E,"P0(후)",$M:$M,"&gt;0")&lt;&gt;1,"P0(후) 유효 1개 아님",IF(NOT(AND(ISNUMBER(O1512),ISNUMBER(Q1512),ISNUMBER(I1512))),"시각 결측",IF(Q1512&lt;=O1512,"P0 시각 역전",IF(OR(I1512&lt;O1512,I1512&gt;Q1512),"측정시각 구간 밖","OK")))))</f>
        <v/>
      </c>
      <c r="O1512" s="48">
        <f>IF(COUNTIFS($C:$C,$C1512,$D:$D,$D1512,$E:$E,"P0(전)",$M:$M,"&gt;0")&lt;&gt;1,"",SUMIFS($I:$I,$C:$C,$C1512,$D:$D,$D1512,$E:$E,"P0(전)"))</f>
        <v/>
      </c>
      <c r="P1512" s="31">
        <f>IF(COUNTIFS($C:$C,$C1512,$D:$D,$D1512,$E:$E,"P0(전)",$M:$M,"&gt;0")&lt;&gt;1,"",SUMIFS($M:$M,$C:$C,$C1512,$D:$D,$D1512,$E:$E,"P0(전)"))</f>
        <v/>
      </c>
      <c r="Q1512" s="48">
        <f>IF(COUNTIFS($C:$C,$C1512,$D:$D,$D1512,$E:$E,"P0(후)",$M:$M,"&gt;0")&lt;&gt;1,"",SUMIFS($I:$I,$C:$C,$C1512,$D:$D,$D1512,$E:$E,"P0(후)"))</f>
        <v/>
      </c>
      <c r="R1512" s="31">
        <f>IF(COUNTIFS($C:$C,$C1512,$D:$D,$D1512,$E:$E,"P0(후)",$M:$M,"&gt;0")&lt;&gt;1,"",SUMIFS($M:$M,$C:$C,$C1512,$D:$D,$D1512,$E:$E,"P0(후)"))</f>
        <v/>
      </c>
      <c r="S1512" s="31">
        <f>IF(N1512&lt;&gt;"OK","",P1512+(R1512-P1512)*(I1512-O1512)/(Q1512-O1512))</f>
        <v/>
      </c>
      <c r="T1512" s="31">
        <f>IF(OR(N1512&lt;&gt;"OK",NOT(ISNUMBER(M1512))),"",M1512-S1512)</f>
        <v/>
      </c>
      <c r="U1512" s="49">
        <f>IF(OR(NOT(ISNUMBER(T1512)),IF(ISNUMBER(H1512),H1512,G1512)=0),"",T1512/IF(ISNUMBER(H1512),H1512,G1512))</f>
        <v/>
      </c>
      <c r="V1512" s="49">
        <f>IF(ISNUMBER(U1512),ABS(U1512),"")</f>
        <v/>
      </c>
      <c r="W1512" s="49">
        <f>IF(OR($E1511&lt;&gt;"측정",$C1511&lt;&gt;$C1512,$D1511&lt;&gt;$D1512,NOT(ISNUMBER(M1512)),NOT(ISNUMBER(M1511)),(IF(ISNUMBER(H1512),H1512,G1512)-IF(ISNUMBER(H1511),H1511,G1511))=0),"",(M1512-M1511)/(IF(ISNUMBER(H1512),H1512,G1512)-IF(ISNUMBER(H1511),H1511,G1511)))</f>
        <v/>
      </c>
      <c r="X1512" s="31">
        <f>IF(NOT(AND(ISNUMBER(O1512),ISNUMBER(Q1512))),"",(Q1512-O1512)*1440)</f>
        <v/>
      </c>
      <c r="Y1512" s="29" t="n"/>
      <c r="Z1512" s="29" t="n"/>
      <c r="AA1512" s="29" t="n"/>
      <c r="AB1512" s="32" t="n"/>
      <c r="AC1512" s="32" t="n"/>
    </row>
    <row r="1513">
      <c r="A1513" s="44" t="inlineStr">
        <is>
          <t>S29</t>
        </is>
      </c>
      <c r="B1513" s="44" t="inlineStr">
        <is>
          <t>가야 신규점1</t>
        </is>
      </c>
      <c r="C1513" s="44" t="inlineStr">
        <is>
          <t>S29-H북</t>
        </is>
      </c>
      <c r="D1513" s="45" t="n">
        <v>1</v>
      </c>
      <c r="E1513" s="44" t="inlineStr">
        <is>
          <t>P0(후)</t>
        </is>
      </c>
      <c r="F1513" s="44" t="inlineStr">
        <is>
          <t>북</t>
        </is>
      </c>
      <c r="G1513" s="46" t="n"/>
      <c r="H1513" s="30" t="n"/>
      <c r="I1513" s="43" t="n"/>
      <c r="J1513" s="41" t="n"/>
      <c r="K1513" s="41" t="n"/>
      <c r="L1513" s="41" t="n"/>
      <c r="M1513" s="31">
        <f>IF(COUNT(J1513:L1513)=0,"",MEDIAN(J1513:L1513))</f>
        <v/>
      </c>
      <c r="N1513" s="38" t="n"/>
      <c r="O1513" s="38" t="n"/>
      <c r="P1513" s="38" t="n"/>
      <c r="Q1513" s="38" t="n"/>
      <c r="R1513" s="38" t="n"/>
      <c r="S1513" s="38" t="n"/>
      <c r="T1513" s="38" t="n"/>
      <c r="U1513" s="38" t="n"/>
      <c r="V1513" s="38" t="n"/>
      <c r="W1513" s="38" t="n"/>
      <c r="X1513" s="38" t="n"/>
      <c r="Y1513" s="29" t="n"/>
      <c r="Z1513" s="29" t="n"/>
      <c r="AA1513" s="29" t="n"/>
      <c r="AB1513" s="32" t="n"/>
      <c r="AC1513" s="32" t="n"/>
    </row>
    <row r="1514">
      <c r="A1514" s="44" t="inlineStr">
        <is>
          <t>S30</t>
        </is>
      </c>
      <c r="B1514" s="44" t="inlineStr">
        <is>
          <t>창녕 신규점</t>
        </is>
      </c>
      <c r="C1514" s="44" t="inlineStr">
        <is>
          <t>S30-H동</t>
        </is>
      </c>
      <c r="D1514" s="45" t="n">
        <v>1</v>
      </c>
      <c r="E1514" s="44" t="inlineStr">
        <is>
          <t>P0(전)</t>
        </is>
      </c>
      <c r="F1514" s="44" t="inlineStr">
        <is>
          <t>동</t>
        </is>
      </c>
      <c r="G1514" s="46" t="n"/>
      <c r="H1514" s="30" t="n"/>
      <c r="I1514" s="43" t="n"/>
      <c r="J1514" s="41" t="n"/>
      <c r="K1514" s="41" t="n"/>
      <c r="L1514" s="41" t="n"/>
      <c r="M1514" s="31">
        <f>IF(COUNT(J1514:L1514)=0,"",MEDIAN(J1514:L1514))</f>
        <v/>
      </c>
      <c r="N1514" s="38" t="n"/>
      <c r="O1514" s="38" t="n"/>
      <c r="P1514" s="38" t="n"/>
      <c r="Q1514" s="38" t="n"/>
      <c r="R1514" s="38" t="n"/>
      <c r="S1514" s="38" t="n"/>
      <c r="T1514" s="38" t="n"/>
      <c r="U1514" s="38" t="n"/>
      <c r="V1514" s="38" t="n"/>
      <c r="W1514" s="38" t="n"/>
      <c r="X1514" s="38" t="n"/>
      <c r="Y1514" s="29" t="n"/>
      <c r="Z1514" s="29" t="n"/>
      <c r="AA1514" s="29" t="n"/>
      <c r="AB1514" s="32" t="n"/>
      <c r="AC1514" s="32" t="n"/>
    </row>
    <row r="1515">
      <c r="A1515" s="26" t="inlineStr">
        <is>
          <t>S30</t>
        </is>
      </c>
      <c r="B1515" s="26" t="inlineStr">
        <is>
          <t>창녕 신규점</t>
        </is>
      </c>
      <c r="C1515" s="26" t="inlineStr">
        <is>
          <t>S30-H동</t>
        </is>
      </c>
      <c r="D1515" s="47" t="n">
        <v>1</v>
      </c>
      <c r="E1515" s="26" t="inlineStr">
        <is>
          <t>측정</t>
        </is>
      </c>
      <c r="F1515" s="26" t="inlineStr">
        <is>
          <t>동</t>
        </is>
      </c>
      <c r="G1515" s="31" t="n">
        <v>0.5</v>
      </c>
      <c r="H1515" s="30" t="n"/>
      <c r="I1515" s="43" t="n"/>
      <c r="J1515" s="41" t="n"/>
      <c r="K1515" s="41" t="n"/>
      <c r="L1515" s="41" t="n"/>
      <c r="M1515" s="31">
        <f>IF(COUNT(J1515:L1515)=0,"",MEDIAN(J1515:L1515))</f>
        <v/>
      </c>
      <c r="N1515" s="26">
        <f>IF(COUNTIFS($C:$C,$C1515,$D:$D,$D1515,$E:$E,"P0(전)",$M:$M,"&gt;0")&lt;&gt;1,"P0(전) 유효 1개 아님",IF(COUNTIFS($C:$C,$C1515,$D:$D,$D1515,$E:$E,"P0(후)",$M:$M,"&gt;0")&lt;&gt;1,"P0(후) 유효 1개 아님",IF(NOT(AND(ISNUMBER(O1515),ISNUMBER(Q1515),ISNUMBER(I1515))),"시각 결측",IF(Q1515&lt;=O1515,"P0 시각 역전",IF(OR(I1515&lt;O1515,I1515&gt;Q1515),"측정시각 구간 밖","OK")))))</f>
        <v/>
      </c>
      <c r="O1515" s="48">
        <f>IF(COUNTIFS($C:$C,$C1515,$D:$D,$D1515,$E:$E,"P0(전)",$M:$M,"&gt;0")&lt;&gt;1,"",SUMIFS($I:$I,$C:$C,$C1515,$D:$D,$D1515,$E:$E,"P0(전)"))</f>
        <v/>
      </c>
      <c r="P1515" s="31">
        <f>IF(COUNTIFS($C:$C,$C1515,$D:$D,$D1515,$E:$E,"P0(전)",$M:$M,"&gt;0")&lt;&gt;1,"",SUMIFS($M:$M,$C:$C,$C1515,$D:$D,$D1515,$E:$E,"P0(전)"))</f>
        <v/>
      </c>
      <c r="Q1515" s="48">
        <f>IF(COUNTIFS($C:$C,$C1515,$D:$D,$D1515,$E:$E,"P0(후)",$M:$M,"&gt;0")&lt;&gt;1,"",SUMIFS($I:$I,$C:$C,$C1515,$D:$D,$D1515,$E:$E,"P0(후)"))</f>
        <v/>
      </c>
      <c r="R1515" s="31">
        <f>IF(COUNTIFS($C:$C,$C1515,$D:$D,$D1515,$E:$E,"P0(후)",$M:$M,"&gt;0")&lt;&gt;1,"",SUMIFS($M:$M,$C:$C,$C1515,$D:$D,$D1515,$E:$E,"P0(후)"))</f>
        <v/>
      </c>
      <c r="S1515" s="31">
        <f>IF(N1515&lt;&gt;"OK","",P1515+(R1515-P1515)*(I1515-O1515)/(Q1515-O1515))</f>
        <v/>
      </c>
      <c r="T1515" s="31">
        <f>IF(OR(N1515&lt;&gt;"OK",NOT(ISNUMBER(M1515))),"",M1515-S1515)</f>
        <v/>
      </c>
      <c r="U1515" s="49">
        <f>IF(OR(NOT(ISNUMBER(T1515)),IF(ISNUMBER(H1515),H1515,G1515)=0),"",T1515/IF(ISNUMBER(H1515),H1515,G1515))</f>
        <v/>
      </c>
      <c r="V1515" s="49">
        <f>IF(ISNUMBER(U1515),ABS(U1515),"")</f>
        <v/>
      </c>
      <c r="W1515" s="49">
        <f>IF(OR($E1514&lt;&gt;"측정",$C1514&lt;&gt;$C1515,$D1514&lt;&gt;$D1515,NOT(ISNUMBER(M1515)),NOT(ISNUMBER(M1514)),(IF(ISNUMBER(H1515),H1515,G1515)-IF(ISNUMBER(H1514),H1514,G1514))=0),"",(M1515-M1514)/(IF(ISNUMBER(H1515),H1515,G1515)-IF(ISNUMBER(H1514),H1514,G1514)))</f>
        <v/>
      </c>
      <c r="X1515" s="31">
        <f>IF(NOT(AND(ISNUMBER(O1515),ISNUMBER(Q1515))),"",(Q1515-O1515)*1440)</f>
        <v/>
      </c>
      <c r="Y1515" s="29" t="n"/>
      <c r="Z1515" s="29" t="n"/>
      <c r="AA1515" s="29" t="n"/>
      <c r="AB1515" s="32" t="n"/>
      <c r="AC1515" s="32" t="n"/>
    </row>
    <row r="1516">
      <c r="A1516" s="26" t="inlineStr">
        <is>
          <t>S30</t>
        </is>
      </c>
      <c r="B1516" s="26" t="inlineStr">
        <is>
          <t>창녕 신규점</t>
        </is>
      </c>
      <c r="C1516" s="26" t="inlineStr">
        <is>
          <t>S30-H동</t>
        </is>
      </c>
      <c r="D1516" s="47" t="n">
        <v>1</v>
      </c>
      <c r="E1516" s="26" t="inlineStr">
        <is>
          <t>측정</t>
        </is>
      </c>
      <c r="F1516" s="26" t="inlineStr">
        <is>
          <t>동</t>
        </is>
      </c>
      <c r="G1516" s="31" t="n">
        <v>1</v>
      </c>
      <c r="H1516" s="30" t="n"/>
      <c r="I1516" s="43" t="n"/>
      <c r="J1516" s="41" t="n"/>
      <c r="K1516" s="41" t="n"/>
      <c r="L1516" s="41" t="n"/>
      <c r="M1516" s="31">
        <f>IF(COUNT(J1516:L1516)=0,"",MEDIAN(J1516:L1516))</f>
        <v/>
      </c>
      <c r="N1516" s="26">
        <f>IF(COUNTIFS($C:$C,$C1516,$D:$D,$D1516,$E:$E,"P0(전)",$M:$M,"&gt;0")&lt;&gt;1,"P0(전) 유효 1개 아님",IF(COUNTIFS($C:$C,$C1516,$D:$D,$D1516,$E:$E,"P0(후)",$M:$M,"&gt;0")&lt;&gt;1,"P0(후) 유효 1개 아님",IF(NOT(AND(ISNUMBER(O1516),ISNUMBER(Q1516),ISNUMBER(I1516))),"시각 결측",IF(Q1516&lt;=O1516,"P0 시각 역전",IF(OR(I1516&lt;O1516,I1516&gt;Q1516),"측정시각 구간 밖","OK")))))</f>
        <v/>
      </c>
      <c r="O1516" s="48">
        <f>IF(COUNTIFS($C:$C,$C1516,$D:$D,$D1516,$E:$E,"P0(전)",$M:$M,"&gt;0")&lt;&gt;1,"",SUMIFS($I:$I,$C:$C,$C1516,$D:$D,$D1516,$E:$E,"P0(전)"))</f>
        <v/>
      </c>
      <c r="P1516" s="31">
        <f>IF(COUNTIFS($C:$C,$C1516,$D:$D,$D1516,$E:$E,"P0(전)",$M:$M,"&gt;0")&lt;&gt;1,"",SUMIFS($M:$M,$C:$C,$C1516,$D:$D,$D1516,$E:$E,"P0(전)"))</f>
        <v/>
      </c>
      <c r="Q1516" s="48">
        <f>IF(COUNTIFS($C:$C,$C1516,$D:$D,$D1516,$E:$E,"P0(후)",$M:$M,"&gt;0")&lt;&gt;1,"",SUMIFS($I:$I,$C:$C,$C1516,$D:$D,$D1516,$E:$E,"P0(후)"))</f>
        <v/>
      </c>
      <c r="R1516" s="31">
        <f>IF(COUNTIFS($C:$C,$C1516,$D:$D,$D1516,$E:$E,"P0(후)",$M:$M,"&gt;0")&lt;&gt;1,"",SUMIFS($M:$M,$C:$C,$C1516,$D:$D,$D1516,$E:$E,"P0(후)"))</f>
        <v/>
      </c>
      <c r="S1516" s="31">
        <f>IF(N1516&lt;&gt;"OK","",P1516+(R1516-P1516)*(I1516-O1516)/(Q1516-O1516))</f>
        <v/>
      </c>
      <c r="T1516" s="31">
        <f>IF(OR(N1516&lt;&gt;"OK",NOT(ISNUMBER(M1516))),"",M1516-S1516)</f>
        <v/>
      </c>
      <c r="U1516" s="49">
        <f>IF(OR(NOT(ISNUMBER(T1516)),IF(ISNUMBER(H1516),H1516,G1516)=0),"",T1516/IF(ISNUMBER(H1516),H1516,G1516))</f>
        <v/>
      </c>
      <c r="V1516" s="49">
        <f>IF(ISNUMBER(U1516),ABS(U1516),"")</f>
        <v/>
      </c>
      <c r="W1516" s="49">
        <f>IF(OR($E1515&lt;&gt;"측정",$C1515&lt;&gt;$C1516,$D1515&lt;&gt;$D1516,NOT(ISNUMBER(M1516)),NOT(ISNUMBER(M1515)),(IF(ISNUMBER(H1516),H1516,G1516)-IF(ISNUMBER(H1515),H1515,G1515))=0),"",(M1516-M1515)/(IF(ISNUMBER(H1516),H1516,G1516)-IF(ISNUMBER(H1515),H1515,G1515)))</f>
        <v/>
      </c>
      <c r="X1516" s="31">
        <f>IF(NOT(AND(ISNUMBER(O1516),ISNUMBER(Q1516))),"",(Q1516-O1516)*1440)</f>
        <v/>
      </c>
      <c r="Y1516" s="29" t="n"/>
      <c r="Z1516" s="29" t="n"/>
      <c r="AA1516" s="29" t="n"/>
      <c r="AB1516" s="32" t="n"/>
      <c r="AC1516" s="32" t="n"/>
    </row>
    <row r="1517">
      <c r="A1517" s="26" t="inlineStr">
        <is>
          <t>S30</t>
        </is>
      </c>
      <c r="B1517" s="26" t="inlineStr">
        <is>
          <t>창녕 신규점</t>
        </is>
      </c>
      <c r="C1517" s="26" t="inlineStr">
        <is>
          <t>S30-H동</t>
        </is>
      </c>
      <c r="D1517" s="47" t="n">
        <v>1</v>
      </c>
      <c r="E1517" s="26" t="inlineStr">
        <is>
          <t>측정</t>
        </is>
      </c>
      <c r="F1517" s="26" t="inlineStr">
        <is>
          <t>동</t>
        </is>
      </c>
      <c r="G1517" s="31" t="n">
        <v>2</v>
      </c>
      <c r="H1517" s="30" t="n"/>
      <c r="I1517" s="43" t="n"/>
      <c r="J1517" s="41" t="n"/>
      <c r="K1517" s="41" t="n"/>
      <c r="L1517" s="41" t="n"/>
      <c r="M1517" s="31">
        <f>IF(COUNT(J1517:L1517)=0,"",MEDIAN(J1517:L1517))</f>
        <v/>
      </c>
      <c r="N1517" s="26">
        <f>IF(COUNTIFS($C:$C,$C1517,$D:$D,$D1517,$E:$E,"P0(전)",$M:$M,"&gt;0")&lt;&gt;1,"P0(전) 유효 1개 아님",IF(COUNTIFS($C:$C,$C1517,$D:$D,$D1517,$E:$E,"P0(후)",$M:$M,"&gt;0")&lt;&gt;1,"P0(후) 유효 1개 아님",IF(NOT(AND(ISNUMBER(O1517),ISNUMBER(Q1517),ISNUMBER(I1517))),"시각 결측",IF(Q1517&lt;=O1517,"P0 시각 역전",IF(OR(I1517&lt;O1517,I1517&gt;Q1517),"측정시각 구간 밖","OK")))))</f>
        <v/>
      </c>
      <c r="O1517" s="48">
        <f>IF(COUNTIFS($C:$C,$C1517,$D:$D,$D1517,$E:$E,"P0(전)",$M:$M,"&gt;0")&lt;&gt;1,"",SUMIFS($I:$I,$C:$C,$C1517,$D:$D,$D1517,$E:$E,"P0(전)"))</f>
        <v/>
      </c>
      <c r="P1517" s="31">
        <f>IF(COUNTIFS($C:$C,$C1517,$D:$D,$D1517,$E:$E,"P0(전)",$M:$M,"&gt;0")&lt;&gt;1,"",SUMIFS($M:$M,$C:$C,$C1517,$D:$D,$D1517,$E:$E,"P0(전)"))</f>
        <v/>
      </c>
      <c r="Q1517" s="48">
        <f>IF(COUNTIFS($C:$C,$C1517,$D:$D,$D1517,$E:$E,"P0(후)",$M:$M,"&gt;0")&lt;&gt;1,"",SUMIFS($I:$I,$C:$C,$C1517,$D:$D,$D1517,$E:$E,"P0(후)"))</f>
        <v/>
      </c>
      <c r="R1517" s="31">
        <f>IF(COUNTIFS($C:$C,$C1517,$D:$D,$D1517,$E:$E,"P0(후)",$M:$M,"&gt;0")&lt;&gt;1,"",SUMIFS($M:$M,$C:$C,$C1517,$D:$D,$D1517,$E:$E,"P0(후)"))</f>
        <v/>
      </c>
      <c r="S1517" s="31">
        <f>IF(N1517&lt;&gt;"OK","",P1517+(R1517-P1517)*(I1517-O1517)/(Q1517-O1517))</f>
        <v/>
      </c>
      <c r="T1517" s="31">
        <f>IF(OR(N1517&lt;&gt;"OK",NOT(ISNUMBER(M1517))),"",M1517-S1517)</f>
        <v/>
      </c>
      <c r="U1517" s="49">
        <f>IF(OR(NOT(ISNUMBER(T1517)),IF(ISNUMBER(H1517),H1517,G1517)=0),"",T1517/IF(ISNUMBER(H1517),H1517,G1517))</f>
        <v/>
      </c>
      <c r="V1517" s="49">
        <f>IF(ISNUMBER(U1517),ABS(U1517),"")</f>
        <v/>
      </c>
      <c r="W1517" s="49">
        <f>IF(OR($E1516&lt;&gt;"측정",$C1516&lt;&gt;$C1517,$D1516&lt;&gt;$D1517,NOT(ISNUMBER(M1517)),NOT(ISNUMBER(M1516)),(IF(ISNUMBER(H1517),H1517,G1517)-IF(ISNUMBER(H1516),H1516,G1516))=0),"",(M1517-M1516)/(IF(ISNUMBER(H1517),H1517,G1517)-IF(ISNUMBER(H1516),H1516,G1516)))</f>
        <v/>
      </c>
      <c r="X1517" s="31">
        <f>IF(NOT(AND(ISNUMBER(O1517),ISNUMBER(Q1517))),"",(Q1517-O1517)*1440)</f>
        <v/>
      </c>
      <c r="Y1517" s="29" t="n"/>
      <c r="Z1517" s="29" t="n"/>
      <c r="AA1517" s="29" t="n"/>
      <c r="AB1517" s="32" t="n"/>
      <c r="AC1517" s="32" t="n"/>
    </row>
    <row r="1518">
      <c r="A1518" s="26" t="inlineStr">
        <is>
          <t>S30</t>
        </is>
      </c>
      <c r="B1518" s="26" t="inlineStr">
        <is>
          <t>창녕 신규점</t>
        </is>
      </c>
      <c r="C1518" s="26" t="inlineStr">
        <is>
          <t>S30-H동</t>
        </is>
      </c>
      <c r="D1518" s="47" t="n">
        <v>1</v>
      </c>
      <c r="E1518" s="26" t="inlineStr">
        <is>
          <t>측정</t>
        </is>
      </c>
      <c r="F1518" s="26" t="inlineStr">
        <is>
          <t>동</t>
        </is>
      </c>
      <c r="G1518" s="31" t="n">
        <v>3</v>
      </c>
      <c r="H1518" s="30" t="n"/>
      <c r="I1518" s="43" t="n"/>
      <c r="J1518" s="41" t="n"/>
      <c r="K1518" s="41" t="n"/>
      <c r="L1518" s="41" t="n"/>
      <c r="M1518" s="31">
        <f>IF(COUNT(J1518:L1518)=0,"",MEDIAN(J1518:L1518))</f>
        <v/>
      </c>
      <c r="N1518" s="26">
        <f>IF(COUNTIFS($C:$C,$C1518,$D:$D,$D1518,$E:$E,"P0(전)",$M:$M,"&gt;0")&lt;&gt;1,"P0(전) 유효 1개 아님",IF(COUNTIFS($C:$C,$C1518,$D:$D,$D1518,$E:$E,"P0(후)",$M:$M,"&gt;0")&lt;&gt;1,"P0(후) 유효 1개 아님",IF(NOT(AND(ISNUMBER(O1518),ISNUMBER(Q1518),ISNUMBER(I1518))),"시각 결측",IF(Q1518&lt;=O1518,"P0 시각 역전",IF(OR(I1518&lt;O1518,I1518&gt;Q1518),"측정시각 구간 밖","OK")))))</f>
        <v/>
      </c>
      <c r="O1518" s="48">
        <f>IF(COUNTIFS($C:$C,$C1518,$D:$D,$D1518,$E:$E,"P0(전)",$M:$M,"&gt;0")&lt;&gt;1,"",SUMIFS($I:$I,$C:$C,$C1518,$D:$D,$D1518,$E:$E,"P0(전)"))</f>
        <v/>
      </c>
      <c r="P1518" s="31">
        <f>IF(COUNTIFS($C:$C,$C1518,$D:$D,$D1518,$E:$E,"P0(전)",$M:$M,"&gt;0")&lt;&gt;1,"",SUMIFS($M:$M,$C:$C,$C1518,$D:$D,$D1518,$E:$E,"P0(전)"))</f>
        <v/>
      </c>
      <c r="Q1518" s="48">
        <f>IF(COUNTIFS($C:$C,$C1518,$D:$D,$D1518,$E:$E,"P0(후)",$M:$M,"&gt;0")&lt;&gt;1,"",SUMIFS($I:$I,$C:$C,$C1518,$D:$D,$D1518,$E:$E,"P0(후)"))</f>
        <v/>
      </c>
      <c r="R1518" s="31">
        <f>IF(COUNTIFS($C:$C,$C1518,$D:$D,$D1518,$E:$E,"P0(후)",$M:$M,"&gt;0")&lt;&gt;1,"",SUMIFS($M:$M,$C:$C,$C1518,$D:$D,$D1518,$E:$E,"P0(후)"))</f>
        <v/>
      </c>
      <c r="S1518" s="31">
        <f>IF(N1518&lt;&gt;"OK","",P1518+(R1518-P1518)*(I1518-O1518)/(Q1518-O1518))</f>
        <v/>
      </c>
      <c r="T1518" s="31">
        <f>IF(OR(N1518&lt;&gt;"OK",NOT(ISNUMBER(M1518))),"",M1518-S1518)</f>
        <v/>
      </c>
      <c r="U1518" s="49">
        <f>IF(OR(NOT(ISNUMBER(T1518)),IF(ISNUMBER(H1518),H1518,G1518)=0),"",T1518/IF(ISNUMBER(H1518),H1518,G1518))</f>
        <v/>
      </c>
      <c r="V1518" s="49">
        <f>IF(ISNUMBER(U1518),ABS(U1518),"")</f>
        <v/>
      </c>
      <c r="W1518" s="49">
        <f>IF(OR($E1517&lt;&gt;"측정",$C1517&lt;&gt;$C1518,$D1517&lt;&gt;$D1518,NOT(ISNUMBER(M1518)),NOT(ISNUMBER(M1517)),(IF(ISNUMBER(H1518),H1518,G1518)-IF(ISNUMBER(H1517),H1517,G1517))=0),"",(M1518-M1517)/(IF(ISNUMBER(H1518),H1518,G1518)-IF(ISNUMBER(H1517),H1517,G1517)))</f>
        <v/>
      </c>
      <c r="X1518" s="31">
        <f>IF(NOT(AND(ISNUMBER(O1518),ISNUMBER(Q1518))),"",(Q1518-O1518)*1440)</f>
        <v/>
      </c>
      <c r="Y1518" s="29" t="n"/>
      <c r="Z1518" s="29" t="n"/>
      <c r="AA1518" s="29" t="n"/>
      <c r="AB1518" s="32" t="n"/>
      <c r="AC1518" s="32" t="n"/>
    </row>
    <row r="1519">
      <c r="A1519" s="26" t="inlineStr">
        <is>
          <t>S30</t>
        </is>
      </c>
      <c r="B1519" s="26" t="inlineStr">
        <is>
          <t>창녕 신규점</t>
        </is>
      </c>
      <c r="C1519" s="26" t="inlineStr">
        <is>
          <t>S30-H동</t>
        </is>
      </c>
      <c r="D1519" s="47" t="n">
        <v>1</v>
      </c>
      <c r="E1519" s="26" t="inlineStr">
        <is>
          <t>측정</t>
        </is>
      </c>
      <c r="F1519" s="26" t="inlineStr">
        <is>
          <t>동</t>
        </is>
      </c>
      <c r="G1519" s="31" t="n">
        <v>4</v>
      </c>
      <c r="H1519" s="30" t="n"/>
      <c r="I1519" s="43" t="n"/>
      <c r="J1519" s="41" t="n"/>
      <c r="K1519" s="41" t="n"/>
      <c r="L1519" s="41" t="n"/>
      <c r="M1519" s="31">
        <f>IF(COUNT(J1519:L1519)=0,"",MEDIAN(J1519:L1519))</f>
        <v/>
      </c>
      <c r="N1519" s="26">
        <f>IF(COUNTIFS($C:$C,$C1519,$D:$D,$D1519,$E:$E,"P0(전)",$M:$M,"&gt;0")&lt;&gt;1,"P0(전) 유효 1개 아님",IF(COUNTIFS($C:$C,$C1519,$D:$D,$D1519,$E:$E,"P0(후)",$M:$M,"&gt;0")&lt;&gt;1,"P0(후) 유효 1개 아님",IF(NOT(AND(ISNUMBER(O1519),ISNUMBER(Q1519),ISNUMBER(I1519))),"시각 결측",IF(Q1519&lt;=O1519,"P0 시각 역전",IF(OR(I1519&lt;O1519,I1519&gt;Q1519),"측정시각 구간 밖","OK")))))</f>
        <v/>
      </c>
      <c r="O1519" s="48">
        <f>IF(COUNTIFS($C:$C,$C1519,$D:$D,$D1519,$E:$E,"P0(전)",$M:$M,"&gt;0")&lt;&gt;1,"",SUMIFS($I:$I,$C:$C,$C1519,$D:$D,$D1519,$E:$E,"P0(전)"))</f>
        <v/>
      </c>
      <c r="P1519" s="31">
        <f>IF(COUNTIFS($C:$C,$C1519,$D:$D,$D1519,$E:$E,"P0(전)",$M:$M,"&gt;0")&lt;&gt;1,"",SUMIFS($M:$M,$C:$C,$C1519,$D:$D,$D1519,$E:$E,"P0(전)"))</f>
        <v/>
      </c>
      <c r="Q1519" s="48">
        <f>IF(COUNTIFS($C:$C,$C1519,$D:$D,$D1519,$E:$E,"P0(후)",$M:$M,"&gt;0")&lt;&gt;1,"",SUMIFS($I:$I,$C:$C,$C1519,$D:$D,$D1519,$E:$E,"P0(후)"))</f>
        <v/>
      </c>
      <c r="R1519" s="31">
        <f>IF(COUNTIFS($C:$C,$C1519,$D:$D,$D1519,$E:$E,"P0(후)",$M:$M,"&gt;0")&lt;&gt;1,"",SUMIFS($M:$M,$C:$C,$C1519,$D:$D,$D1519,$E:$E,"P0(후)"))</f>
        <v/>
      </c>
      <c r="S1519" s="31">
        <f>IF(N1519&lt;&gt;"OK","",P1519+(R1519-P1519)*(I1519-O1519)/(Q1519-O1519))</f>
        <v/>
      </c>
      <c r="T1519" s="31">
        <f>IF(OR(N1519&lt;&gt;"OK",NOT(ISNUMBER(M1519))),"",M1519-S1519)</f>
        <v/>
      </c>
      <c r="U1519" s="49">
        <f>IF(OR(NOT(ISNUMBER(T1519)),IF(ISNUMBER(H1519),H1519,G1519)=0),"",T1519/IF(ISNUMBER(H1519),H1519,G1519))</f>
        <v/>
      </c>
      <c r="V1519" s="49">
        <f>IF(ISNUMBER(U1519),ABS(U1519),"")</f>
        <v/>
      </c>
      <c r="W1519" s="49">
        <f>IF(OR($E1518&lt;&gt;"측정",$C1518&lt;&gt;$C1519,$D1518&lt;&gt;$D1519,NOT(ISNUMBER(M1519)),NOT(ISNUMBER(M1518)),(IF(ISNUMBER(H1519),H1519,G1519)-IF(ISNUMBER(H1518),H1518,G1518))=0),"",(M1519-M1518)/(IF(ISNUMBER(H1519),H1519,G1519)-IF(ISNUMBER(H1518),H1518,G1518)))</f>
        <v/>
      </c>
      <c r="X1519" s="31">
        <f>IF(NOT(AND(ISNUMBER(O1519),ISNUMBER(Q1519))),"",(Q1519-O1519)*1440)</f>
        <v/>
      </c>
      <c r="Y1519" s="29" t="n"/>
      <c r="Z1519" s="29" t="n"/>
      <c r="AA1519" s="29" t="n"/>
      <c r="AB1519" s="32" t="n"/>
      <c r="AC1519" s="32" t="n"/>
    </row>
    <row r="1520">
      <c r="A1520" s="26" t="inlineStr">
        <is>
          <t>S30</t>
        </is>
      </c>
      <c r="B1520" s="26" t="inlineStr">
        <is>
          <t>창녕 신규점</t>
        </is>
      </c>
      <c r="C1520" s="26" t="inlineStr">
        <is>
          <t>S30-H동</t>
        </is>
      </c>
      <c r="D1520" s="47" t="n">
        <v>1</v>
      </c>
      <c r="E1520" s="26" t="inlineStr">
        <is>
          <t>측정</t>
        </is>
      </c>
      <c r="F1520" s="26" t="inlineStr">
        <is>
          <t>동</t>
        </is>
      </c>
      <c r="G1520" s="31" t="n">
        <v>5</v>
      </c>
      <c r="H1520" s="30" t="n"/>
      <c r="I1520" s="43" t="n"/>
      <c r="J1520" s="41" t="n"/>
      <c r="K1520" s="41" t="n"/>
      <c r="L1520" s="41" t="n"/>
      <c r="M1520" s="31">
        <f>IF(COUNT(J1520:L1520)=0,"",MEDIAN(J1520:L1520))</f>
        <v/>
      </c>
      <c r="N1520" s="26">
        <f>IF(COUNTIFS($C:$C,$C1520,$D:$D,$D1520,$E:$E,"P0(전)",$M:$M,"&gt;0")&lt;&gt;1,"P0(전) 유효 1개 아님",IF(COUNTIFS($C:$C,$C1520,$D:$D,$D1520,$E:$E,"P0(후)",$M:$M,"&gt;0")&lt;&gt;1,"P0(후) 유효 1개 아님",IF(NOT(AND(ISNUMBER(O1520),ISNUMBER(Q1520),ISNUMBER(I1520))),"시각 결측",IF(Q1520&lt;=O1520,"P0 시각 역전",IF(OR(I1520&lt;O1520,I1520&gt;Q1520),"측정시각 구간 밖","OK")))))</f>
        <v/>
      </c>
      <c r="O1520" s="48">
        <f>IF(COUNTIFS($C:$C,$C1520,$D:$D,$D1520,$E:$E,"P0(전)",$M:$M,"&gt;0")&lt;&gt;1,"",SUMIFS($I:$I,$C:$C,$C1520,$D:$D,$D1520,$E:$E,"P0(전)"))</f>
        <v/>
      </c>
      <c r="P1520" s="31">
        <f>IF(COUNTIFS($C:$C,$C1520,$D:$D,$D1520,$E:$E,"P0(전)",$M:$M,"&gt;0")&lt;&gt;1,"",SUMIFS($M:$M,$C:$C,$C1520,$D:$D,$D1520,$E:$E,"P0(전)"))</f>
        <v/>
      </c>
      <c r="Q1520" s="48">
        <f>IF(COUNTIFS($C:$C,$C1520,$D:$D,$D1520,$E:$E,"P0(후)",$M:$M,"&gt;0")&lt;&gt;1,"",SUMIFS($I:$I,$C:$C,$C1520,$D:$D,$D1520,$E:$E,"P0(후)"))</f>
        <v/>
      </c>
      <c r="R1520" s="31">
        <f>IF(COUNTIFS($C:$C,$C1520,$D:$D,$D1520,$E:$E,"P0(후)",$M:$M,"&gt;0")&lt;&gt;1,"",SUMIFS($M:$M,$C:$C,$C1520,$D:$D,$D1520,$E:$E,"P0(후)"))</f>
        <v/>
      </c>
      <c r="S1520" s="31">
        <f>IF(N1520&lt;&gt;"OK","",P1520+(R1520-P1520)*(I1520-O1520)/(Q1520-O1520))</f>
        <v/>
      </c>
      <c r="T1520" s="31">
        <f>IF(OR(N1520&lt;&gt;"OK",NOT(ISNUMBER(M1520))),"",M1520-S1520)</f>
        <v/>
      </c>
      <c r="U1520" s="49">
        <f>IF(OR(NOT(ISNUMBER(T1520)),IF(ISNUMBER(H1520),H1520,G1520)=0),"",T1520/IF(ISNUMBER(H1520),H1520,G1520))</f>
        <v/>
      </c>
      <c r="V1520" s="49">
        <f>IF(ISNUMBER(U1520),ABS(U1520),"")</f>
        <v/>
      </c>
      <c r="W1520" s="49">
        <f>IF(OR($E1519&lt;&gt;"측정",$C1519&lt;&gt;$C1520,$D1519&lt;&gt;$D1520,NOT(ISNUMBER(M1520)),NOT(ISNUMBER(M1519)),(IF(ISNUMBER(H1520),H1520,G1520)-IF(ISNUMBER(H1519),H1519,G1519))=0),"",(M1520-M1519)/(IF(ISNUMBER(H1520),H1520,G1520)-IF(ISNUMBER(H1519),H1519,G1519)))</f>
        <v/>
      </c>
      <c r="X1520" s="31">
        <f>IF(NOT(AND(ISNUMBER(O1520),ISNUMBER(Q1520))),"",(Q1520-O1520)*1440)</f>
        <v/>
      </c>
      <c r="Y1520" s="29" t="n"/>
      <c r="Z1520" s="29" t="n"/>
      <c r="AA1520" s="29" t="n"/>
      <c r="AB1520" s="32" t="n"/>
      <c r="AC1520" s="32" t="n"/>
    </row>
    <row r="1521">
      <c r="A1521" s="26" t="inlineStr">
        <is>
          <t>S30</t>
        </is>
      </c>
      <c r="B1521" s="26" t="inlineStr">
        <is>
          <t>창녕 신규점</t>
        </is>
      </c>
      <c r="C1521" s="26" t="inlineStr">
        <is>
          <t>S30-H동</t>
        </is>
      </c>
      <c r="D1521" s="47" t="n">
        <v>1</v>
      </c>
      <c r="E1521" s="26" t="inlineStr">
        <is>
          <t>측정</t>
        </is>
      </c>
      <c r="F1521" s="26" t="inlineStr">
        <is>
          <t>동</t>
        </is>
      </c>
      <c r="G1521" s="31" t="n">
        <v>6</v>
      </c>
      <c r="H1521" s="30" t="n"/>
      <c r="I1521" s="43" t="n"/>
      <c r="J1521" s="41" t="n"/>
      <c r="K1521" s="41" t="n"/>
      <c r="L1521" s="41" t="n"/>
      <c r="M1521" s="31">
        <f>IF(COUNT(J1521:L1521)=0,"",MEDIAN(J1521:L1521))</f>
        <v/>
      </c>
      <c r="N1521" s="26">
        <f>IF(COUNTIFS($C:$C,$C1521,$D:$D,$D1521,$E:$E,"P0(전)",$M:$M,"&gt;0")&lt;&gt;1,"P0(전) 유효 1개 아님",IF(COUNTIFS($C:$C,$C1521,$D:$D,$D1521,$E:$E,"P0(후)",$M:$M,"&gt;0")&lt;&gt;1,"P0(후) 유효 1개 아님",IF(NOT(AND(ISNUMBER(O1521),ISNUMBER(Q1521),ISNUMBER(I1521))),"시각 결측",IF(Q1521&lt;=O1521,"P0 시각 역전",IF(OR(I1521&lt;O1521,I1521&gt;Q1521),"측정시각 구간 밖","OK")))))</f>
        <v/>
      </c>
      <c r="O1521" s="48">
        <f>IF(COUNTIFS($C:$C,$C1521,$D:$D,$D1521,$E:$E,"P0(전)",$M:$M,"&gt;0")&lt;&gt;1,"",SUMIFS($I:$I,$C:$C,$C1521,$D:$D,$D1521,$E:$E,"P0(전)"))</f>
        <v/>
      </c>
      <c r="P1521" s="31">
        <f>IF(COUNTIFS($C:$C,$C1521,$D:$D,$D1521,$E:$E,"P0(전)",$M:$M,"&gt;0")&lt;&gt;1,"",SUMIFS($M:$M,$C:$C,$C1521,$D:$D,$D1521,$E:$E,"P0(전)"))</f>
        <v/>
      </c>
      <c r="Q1521" s="48">
        <f>IF(COUNTIFS($C:$C,$C1521,$D:$D,$D1521,$E:$E,"P0(후)",$M:$M,"&gt;0")&lt;&gt;1,"",SUMIFS($I:$I,$C:$C,$C1521,$D:$D,$D1521,$E:$E,"P0(후)"))</f>
        <v/>
      </c>
      <c r="R1521" s="31">
        <f>IF(COUNTIFS($C:$C,$C1521,$D:$D,$D1521,$E:$E,"P0(후)",$M:$M,"&gt;0")&lt;&gt;1,"",SUMIFS($M:$M,$C:$C,$C1521,$D:$D,$D1521,$E:$E,"P0(후)"))</f>
        <v/>
      </c>
      <c r="S1521" s="31">
        <f>IF(N1521&lt;&gt;"OK","",P1521+(R1521-P1521)*(I1521-O1521)/(Q1521-O1521))</f>
        <v/>
      </c>
      <c r="T1521" s="31">
        <f>IF(OR(N1521&lt;&gt;"OK",NOT(ISNUMBER(M1521))),"",M1521-S1521)</f>
        <v/>
      </c>
      <c r="U1521" s="49">
        <f>IF(OR(NOT(ISNUMBER(T1521)),IF(ISNUMBER(H1521),H1521,G1521)=0),"",T1521/IF(ISNUMBER(H1521),H1521,G1521))</f>
        <v/>
      </c>
      <c r="V1521" s="49">
        <f>IF(ISNUMBER(U1521),ABS(U1521),"")</f>
        <v/>
      </c>
      <c r="W1521" s="49">
        <f>IF(OR($E1520&lt;&gt;"측정",$C1520&lt;&gt;$C1521,$D1520&lt;&gt;$D1521,NOT(ISNUMBER(M1521)),NOT(ISNUMBER(M1520)),(IF(ISNUMBER(H1521),H1521,G1521)-IF(ISNUMBER(H1520),H1520,G1520))=0),"",(M1521-M1520)/(IF(ISNUMBER(H1521),H1521,G1521)-IF(ISNUMBER(H1520),H1520,G1520)))</f>
        <v/>
      </c>
      <c r="X1521" s="31">
        <f>IF(NOT(AND(ISNUMBER(O1521),ISNUMBER(Q1521))),"",(Q1521-O1521)*1440)</f>
        <v/>
      </c>
      <c r="Y1521" s="29" t="n"/>
      <c r="Z1521" s="29" t="n"/>
      <c r="AA1521" s="29" t="n"/>
      <c r="AB1521" s="32" t="n"/>
      <c r="AC1521" s="32" t="n"/>
    </row>
    <row r="1522">
      <c r="A1522" s="26" t="inlineStr">
        <is>
          <t>S30</t>
        </is>
      </c>
      <c r="B1522" s="26" t="inlineStr">
        <is>
          <t>창녕 신규점</t>
        </is>
      </c>
      <c r="C1522" s="26" t="inlineStr">
        <is>
          <t>S30-H동</t>
        </is>
      </c>
      <c r="D1522" s="47" t="n">
        <v>1</v>
      </c>
      <c r="E1522" s="26" t="inlineStr">
        <is>
          <t>측정</t>
        </is>
      </c>
      <c r="F1522" s="26" t="inlineStr">
        <is>
          <t>동</t>
        </is>
      </c>
      <c r="G1522" s="31" t="n">
        <v>7</v>
      </c>
      <c r="H1522" s="30" t="n"/>
      <c r="I1522" s="43" t="n"/>
      <c r="J1522" s="41" t="n"/>
      <c r="K1522" s="41" t="n"/>
      <c r="L1522" s="41" t="n"/>
      <c r="M1522" s="31">
        <f>IF(COUNT(J1522:L1522)=0,"",MEDIAN(J1522:L1522))</f>
        <v/>
      </c>
      <c r="N1522" s="26">
        <f>IF(COUNTIFS($C:$C,$C1522,$D:$D,$D1522,$E:$E,"P0(전)",$M:$M,"&gt;0")&lt;&gt;1,"P0(전) 유효 1개 아님",IF(COUNTIFS($C:$C,$C1522,$D:$D,$D1522,$E:$E,"P0(후)",$M:$M,"&gt;0")&lt;&gt;1,"P0(후) 유효 1개 아님",IF(NOT(AND(ISNUMBER(O1522),ISNUMBER(Q1522),ISNUMBER(I1522))),"시각 결측",IF(Q1522&lt;=O1522,"P0 시각 역전",IF(OR(I1522&lt;O1522,I1522&gt;Q1522),"측정시각 구간 밖","OK")))))</f>
        <v/>
      </c>
      <c r="O1522" s="48">
        <f>IF(COUNTIFS($C:$C,$C1522,$D:$D,$D1522,$E:$E,"P0(전)",$M:$M,"&gt;0")&lt;&gt;1,"",SUMIFS($I:$I,$C:$C,$C1522,$D:$D,$D1522,$E:$E,"P0(전)"))</f>
        <v/>
      </c>
      <c r="P1522" s="31">
        <f>IF(COUNTIFS($C:$C,$C1522,$D:$D,$D1522,$E:$E,"P0(전)",$M:$M,"&gt;0")&lt;&gt;1,"",SUMIFS($M:$M,$C:$C,$C1522,$D:$D,$D1522,$E:$E,"P0(전)"))</f>
        <v/>
      </c>
      <c r="Q1522" s="48">
        <f>IF(COUNTIFS($C:$C,$C1522,$D:$D,$D1522,$E:$E,"P0(후)",$M:$M,"&gt;0")&lt;&gt;1,"",SUMIFS($I:$I,$C:$C,$C1522,$D:$D,$D1522,$E:$E,"P0(후)"))</f>
        <v/>
      </c>
      <c r="R1522" s="31">
        <f>IF(COUNTIFS($C:$C,$C1522,$D:$D,$D1522,$E:$E,"P0(후)",$M:$M,"&gt;0")&lt;&gt;1,"",SUMIFS($M:$M,$C:$C,$C1522,$D:$D,$D1522,$E:$E,"P0(후)"))</f>
        <v/>
      </c>
      <c r="S1522" s="31">
        <f>IF(N1522&lt;&gt;"OK","",P1522+(R1522-P1522)*(I1522-O1522)/(Q1522-O1522))</f>
        <v/>
      </c>
      <c r="T1522" s="31">
        <f>IF(OR(N1522&lt;&gt;"OK",NOT(ISNUMBER(M1522))),"",M1522-S1522)</f>
        <v/>
      </c>
      <c r="U1522" s="49">
        <f>IF(OR(NOT(ISNUMBER(T1522)),IF(ISNUMBER(H1522),H1522,G1522)=0),"",T1522/IF(ISNUMBER(H1522),H1522,G1522))</f>
        <v/>
      </c>
      <c r="V1522" s="49">
        <f>IF(ISNUMBER(U1522),ABS(U1522),"")</f>
        <v/>
      </c>
      <c r="W1522" s="49">
        <f>IF(OR($E1521&lt;&gt;"측정",$C1521&lt;&gt;$C1522,$D1521&lt;&gt;$D1522,NOT(ISNUMBER(M1522)),NOT(ISNUMBER(M1521)),(IF(ISNUMBER(H1522),H1522,G1522)-IF(ISNUMBER(H1521),H1521,G1521))=0),"",(M1522-M1521)/(IF(ISNUMBER(H1522),H1522,G1522)-IF(ISNUMBER(H1521),H1521,G1521)))</f>
        <v/>
      </c>
      <c r="X1522" s="31">
        <f>IF(NOT(AND(ISNUMBER(O1522),ISNUMBER(Q1522))),"",(Q1522-O1522)*1440)</f>
        <v/>
      </c>
      <c r="Y1522" s="29" t="n"/>
      <c r="Z1522" s="29" t="n"/>
      <c r="AA1522" s="29" t="n"/>
      <c r="AB1522" s="32" t="n"/>
      <c r="AC1522" s="32" t="n"/>
    </row>
    <row r="1523">
      <c r="A1523" s="26" t="inlineStr">
        <is>
          <t>S30</t>
        </is>
      </c>
      <c r="B1523" s="26" t="inlineStr">
        <is>
          <t>창녕 신규점</t>
        </is>
      </c>
      <c r="C1523" s="26" t="inlineStr">
        <is>
          <t>S30-H동</t>
        </is>
      </c>
      <c r="D1523" s="47" t="n">
        <v>1</v>
      </c>
      <c r="E1523" s="26" t="inlineStr">
        <is>
          <t>측정</t>
        </is>
      </c>
      <c r="F1523" s="26" t="inlineStr">
        <is>
          <t>동</t>
        </is>
      </c>
      <c r="G1523" s="31" t="n">
        <v>8</v>
      </c>
      <c r="H1523" s="30" t="n"/>
      <c r="I1523" s="43" t="n"/>
      <c r="J1523" s="41" t="n"/>
      <c r="K1523" s="41" t="n"/>
      <c r="L1523" s="41" t="n"/>
      <c r="M1523" s="31">
        <f>IF(COUNT(J1523:L1523)=0,"",MEDIAN(J1523:L1523))</f>
        <v/>
      </c>
      <c r="N1523" s="26">
        <f>IF(COUNTIFS($C:$C,$C1523,$D:$D,$D1523,$E:$E,"P0(전)",$M:$M,"&gt;0")&lt;&gt;1,"P0(전) 유효 1개 아님",IF(COUNTIFS($C:$C,$C1523,$D:$D,$D1523,$E:$E,"P0(후)",$M:$M,"&gt;0")&lt;&gt;1,"P0(후) 유효 1개 아님",IF(NOT(AND(ISNUMBER(O1523),ISNUMBER(Q1523),ISNUMBER(I1523))),"시각 결측",IF(Q1523&lt;=O1523,"P0 시각 역전",IF(OR(I1523&lt;O1523,I1523&gt;Q1523),"측정시각 구간 밖","OK")))))</f>
        <v/>
      </c>
      <c r="O1523" s="48">
        <f>IF(COUNTIFS($C:$C,$C1523,$D:$D,$D1523,$E:$E,"P0(전)",$M:$M,"&gt;0")&lt;&gt;1,"",SUMIFS($I:$I,$C:$C,$C1523,$D:$D,$D1523,$E:$E,"P0(전)"))</f>
        <v/>
      </c>
      <c r="P1523" s="31">
        <f>IF(COUNTIFS($C:$C,$C1523,$D:$D,$D1523,$E:$E,"P0(전)",$M:$M,"&gt;0")&lt;&gt;1,"",SUMIFS($M:$M,$C:$C,$C1523,$D:$D,$D1523,$E:$E,"P0(전)"))</f>
        <v/>
      </c>
      <c r="Q1523" s="48">
        <f>IF(COUNTIFS($C:$C,$C1523,$D:$D,$D1523,$E:$E,"P0(후)",$M:$M,"&gt;0")&lt;&gt;1,"",SUMIFS($I:$I,$C:$C,$C1523,$D:$D,$D1523,$E:$E,"P0(후)"))</f>
        <v/>
      </c>
      <c r="R1523" s="31">
        <f>IF(COUNTIFS($C:$C,$C1523,$D:$D,$D1523,$E:$E,"P0(후)",$M:$M,"&gt;0")&lt;&gt;1,"",SUMIFS($M:$M,$C:$C,$C1523,$D:$D,$D1523,$E:$E,"P0(후)"))</f>
        <v/>
      </c>
      <c r="S1523" s="31">
        <f>IF(N1523&lt;&gt;"OK","",P1523+(R1523-P1523)*(I1523-O1523)/(Q1523-O1523))</f>
        <v/>
      </c>
      <c r="T1523" s="31">
        <f>IF(OR(N1523&lt;&gt;"OK",NOT(ISNUMBER(M1523))),"",M1523-S1523)</f>
        <v/>
      </c>
      <c r="U1523" s="49">
        <f>IF(OR(NOT(ISNUMBER(T1523)),IF(ISNUMBER(H1523),H1523,G1523)=0),"",T1523/IF(ISNUMBER(H1523),H1523,G1523))</f>
        <v/>
      </c>
      <c r="V1523" s="49">
        <f>IF(ISNUMBER(U1523),ABS(U1523),"")</f>
        <v/>
      </c>
      <c r="W1523" s="49">
        <f>IF(OR($E1522&lt;&gt;"측정",$C1522&lt;&gt;$C1523,$D1522&lt;&gt;$D1523,NOT(ISNUMBER(M1523)),NOT(ISNUMBER(M1522)),(IF(ISNUMBER(H1523),H1523,G1523)-IF(ISNUMBER(H1522),H1522,G1522))=0),"",(M1523-M1522)/(IF(ISNUMBER(H1523),H1523,G1523)-IF(ISNUMBER(H1522),H1522,G1522)))</f>
        <v/>
      </c>
      <c r="X1523" s="31">
        <f>IF(NOT(AND(ISNUMBER(O1523),ISNUMBER(Q1523))),"",(Q1523-O1523)*1440)</f>
        <v/>
      </c>
      <c r="Y1523" s="29" t="n"/>
      <c r="Z1523" s="29" t="n"/>
      <c r="AA1523" s="29" t="n"/>
      <c r="AB1523" s="32" t="n"/>
      <c r="AC1523" s="32" t="n"/>
    </row>
    <row r="1524">
      <c r="A1524" s="26" t="inlineStr">
        <is>
          <t>S30</t>
        </is>
      </c>
      <c r="B1524" s="26" t="inlineStr">
        <is>
          <t>창녕 신규점</t>
        </is>
      </c>
      <c r="C1524" s="26" t="inlineStr">
        <is>
          <t>S30-H동</t>
        </is>
      </c>
      <c r="D1524" s="47" t="n">
        <v>1</v>
      </c>
      <c r="E1524" s="26" t="inlineStr">
        <is>
          <t>측정</t>
        </is>
      </c>
      <c r="F1524" s="26" t="inlineStr">
        <is>
          <t>동</t>
        </is>
      </c>
      <c r="G1524" s="31" t="n">
        <v>9</v>
      </c>
      <c r="H1524" s="30" t="n"/>
      <c r="I1524" s="43" t="n"/>
      <c r="J1524" s="41" t="n"/>
      <c r="K1524" s="41" t="n"/>
      <c r="L1524" s="41" t="n"/>
      <c r="M1524" s="31">
        <f>IF(COUNT(J1524:L1524)=0,"",MEDIAN(J1524:L1524))</f>
        <v/>
      </c>
      <c r="N1524" s="26">
        <f>IF(COUNTIFS($C:$C,$C1524,$D:$D,$D1524,$E:$E,"P0(전)",$M:$M,"&gt;0")&lt;&gt;1,"P0(전) 유효 1개 아님",IF(COUNTIFS($C:$C,$C1524,$D:$D,$D1524,$E:$E,"P0(후)",$M:$M,"&gt;0")&lt;&gt;1,"P0(후) 유효 1개 아님",IF(NOT(AND(ISNUMBER(O1524),ISNUMBER(Q1524),ISNUMBER(I1524))),"시각 결측",IF(Q1524&lt;=O1524,"P0 시각 역전",IF(OR(I1524&lt;O1524,I1524&gt;Q1524),"측정시각 구간 밖","OK")))))</f>
        <v/>
      </c>
      <c r="O1524" s="48">
        <f>IF(COUNTIFS($C:$C,$C1524,$D:$D,$D1524,$E:$E,"P0(전)",$M:$M,"&gt;0")&lt;&gt;1,"",SUMIFS($I:$I,$C:$C,$C1524,$D:$D,$D1524,$E:$E,"P0(전)"))</f>
        <v/>
      </c>
      <c r="P1524" s="31">
        <f>IF(COUNTIFS($C:$C,$C1524,$D:$D,$D1524,$E:$E,"P0(전)",$M:$M,"&gt;0")&lt;&gt;1,"",SUMIFS($M:$M,$C:$C,$C1524,$D:$D,$D1524,$E:$E,"P0(전)"))</f>
        <v/>
      </c>
      <c r="Q1524" s="48">
        <f>IF(COUNTIFS($C:$C,$C1524,$D:$D,$D1524,$E:$E,"P0(후)",$M:$M,"&gt;0")&lt;&gt;1,"",SUMIFS($I:$I,$C:$C,$C1524,$D:$D,$D1524,$E:$E,"P0(후)"))</f>
        <v/>
      </c>
      <c r="R1524" s="31">
        <f>IF(COUNTIFS($C:$C,$C1524,$D:$D,$D1524,$E:$E,"P0(후)",$M:$M,"&gt;0")&lt;&gt;1,"",SUMIFS($M:$M,$C:$C,$C1524,$D:$D,$D1524,$E:$E,"P0(후)"))</f>
        <v/>
      </c>
      <c r="S1524" s="31">
        <f>IF(N1524&lt;&gt;"OK","",P1524+(R1524-P1524)*(I1524-O1524)/(Q1524-O1524))</f>
        <v/>
      </c>
      <c r="T1524" s="31">
        <f>IF(OR(N1524&lt;&gt;"OK",NOT(ISNUMBER(M1524))),"",M1524-S1524)</f>
        <v/>
      </c>
      <c r="U1524" s="49">
        <f>IF(OR(NOT(ISNUMBER(T1524)),IF(ISNUMBER(H1524),H1524,G1524)=0),"",T1524/IF(ISNUMBER(H1524),H1524,G1524))</f>
        <v/>
      </c>
      <c r="V1524" s="49">
        <f>IF(ISNUMBER(U1524),ABS(U1524),"")</f>
        <v/>
      </c>
      <c r="W1524" s="49">
        <f>IF(OR($E1523&lt;&gt;"측정",$C1523&lt;&gt;$C1524,$D1523&lt;&gt;$D1524,NOT(ISNUMBER(M1524)),NOT(ISNUMBER(M1523)),(IF(ISNUMBER(H1524),H1524,G1524)-IF(ISNUMBER(H1523),H1523,G1523))=0),"",(M1524-M1523)/(IF(ISNUMBER(H1524),H1524,G1524)-IF(ISNUMBER(H1523),H1523,G1523)))</f>
        <v/>
      </c>
      <c r="X1524" s="31">
        <f>IF(NOT(AND(ISNUMBER(O1524),ISNUMBER(Q1524))),"",(Q1524-O1524)*1440)</f>
        <v/>
      </c>
      <c r="Y1524" s="29" t="n"/>
      <c r="Z1524" s="29" t="n"/>
      <c r="AA1524" s="29" t="n"/>
      <c r="AB1524" s="32" t="n"/>
      <c r="AC1524" s="32" t="n"/>
    </row>
    <row r="1525">
      <c r="A1525" s="26" t="inlineStr">
        <is>
          <t>S30</t>
        </is>
      </c>
      <c r="B1525" s="26" t="inlineStr">
        <is>
          <t>창녕 신규점</t>
        </is>
      </c>
      <c r="C1525" s="26" t="inlineStr">
        <is>
          <t>S30-H동</t>
        </is>
      </c>
      <c r="D1525" s="47" t="n">
        <v>1</v>
      </c>
      <c r="E1525" s="26" t="inlineStr">
        <is>
          <t>측정</t>
        </is>
      </c>
      <c r="F1525" s="26" t="inlineStr">
        <is>
          <t>동</t>
        </is>
      </c>
      <c r="G1525" s="31" t="n">
        <v>10</v>
      </c>
      <c r="H1525" s="30" t="n"/>
      <c r="I1525" s="43" t="n"/>
      <c r="J1525" s="41" t="n"/>
      <c r="K1525" s="41" t="n"/>
      <c r="L1525" s="41" t="n"/>
      <c r="M1525" s="31">
        <f>IF(COUNT(J1525:L1525)=0,"",MEDIAN(J1525:L1525))</f>
        <v/>
      </c>
      <c r="N1525" s="26">
        <f>IF(COUNTIFS($C:$C,$C1525,$D:$D,$D1525,$E:$E,"P0(전)",$M:$M,"&gt;0")&lt;&gt;1,"P0(전) 유효 1개 아님",IF(COUNTIFS($C:$C,$C1525,$D:$D,$D1525,$E:$E,"P0(후)",$M:$M,"&gt;0")&lt;&gt;1,"P0(후) 유효 1개 아님",IF(NOT(AND(ISNUMBER(O1525),ISNUMBER(Q1525),ISNUMBER(I1525))),"시각 결측",IF(Q1525&lt;=O1525,"P0 시각 역전",IF(OR(I1525&lt;O1525,I1525&gt;Q1525),"측정시각 구간 밖","OK")))))</f>
        <v/>
      </c>
      <c r="O1525" s="48">
        <f>IF(COUNTIFS($C:$C,$C1525,$D:$D,$D1525,$E:$E,"P0(전)",$M:$M,"&gt;0")&lt;&gt;1,"",SUMIFS($I:$I,$C:$C,$C1525,$D:$D,$D1525,$E:$E,"P0(전)"))</f>
        <v/>
      </c>
      <c r="P1525" s="31">
        <f>IF(COUNTIFS($C:$C,$C1525,$D:$D,$D1525,$E:$E,"P0(전)",$M:$M,"&gt;0")&lt;&gt;1,"",SUMIFS($M:$M,$C:$C,$C1525,$D:$D,$D1525,$E:$E,"P0(전)"))</f>
        <v/>
      </c>
      <c r="Q1525" s="48">
        <f>IF(COUNTIFS($C:$C,$C1525,$D:$D,$D1525,$E:$E,"P0(후)",$M:$M,"&gt;0")&lt;&gt;1,"",SUMIFS($I:$I,$C:$C,$C1525,$D:$D,$D1525,$E:$E,"P0(후)"))</f>
        <v/>
      </c>
      <c r="R1525" s="31">
        <f>IF(COUNTIFS($C:$C,$C1525,$D:$D,$D1525,$E:$E,"P0(후)",$M:$M,"&gt;0")&lt;&gt;1,"",SUMIFS($M:$M,$C:$C,$C1525,$D:$D,$D1525,$E:$E,"P0(후)"))</f>
        <v/>
      </c>
      <c r="S1525" s="31">
        <f>IF(N1525&lt;&gt;"OK","",P1525+(R1525-P1525)*(I1525-O1525)/(Q1525-O1525))</f>
        <v/>
      </c>
      <c r="T1525" s="31">
        <f>IF(OR(N1525&lt;&gt;"OK",NOT(ISNUMBER(M1525))),"",M1525-S1525)</f>
        <v/>
      </c>
      <c r="U1525" s="49">
        <f>IF(OR(NOT(ISNUMBER(T1525)),IF(ISNUMBER(H1525),H1525,G1525)=0),"",T1525/IF(ISNUMBER(H1525),H1525,G1525))</f>
        <v/>
      </c>
      <c r="V1525" s="49">
        <f>IF(ISNUMBER(U1525),ABS(U1525),"")</f>
        <v/>
      </c>
      <c r="W1525" s="49">
        <f>IF(OR($E1524&lt;&gt;"측정",$C1524&lt;&gt;$C1525,$D1524&lt;&gt;$D1525,NOT(ISNUMBER(M1525)),NOT(ISNUMBER(M1524)),(IF(ISNUMBER(H1525),H1525,G1525)-IF(ISNUMBER(H1524),H1524,G1524))=0),"",(M1525-M1524)/(IF(ISNUMBER(H1525),H1525,G1525)-IF(ISNUMBER(H1524),H1524,G1524)))</f>
        <v/>
      </c>
      <c r="X1525" s="31">
        <f>IF(NOT(AND(ISNUMBER(O1525),ISNUMBER(Q1525))),"",(Q1525-O1525)*1440)</f>
        <v/>
      </c>
      <c r="Y1525" s="29" t="n"/>
      <c r="Z1525" s="29" t="n"/>
      <c r="AA1525" s="29" t="n"/>
      <c r="AB1525" s="32" t="n"/>
      <c r="AC1525" s="32" t="n"/>
    </row>
    <row r="1526">
      <c r="A1526" s="44" t="inlineStr">
        <is>
          <t>S30</t>
        </is>
      </c>
      <c r="B1526" s="44" t="inlineStr">
        <is>
          <t>창녕 신규점</t>
        </is>
      </c>
      <c r="C1526" s="44" t="inlineStr">
        <is>
          <t>S30-H동</t>
        </is>
      </c>
      <c r="D1526" s="45" t="n">
        <v>1</v>
      </c>
      <c r="E1526" s="44" t="inlineStr">
        <is>
          <t>P0(후)</t>
        </is>
      </c>
      <c r="F1526" s="44" t="inlineStr">
        <is>
          <t>동</t>
        </is>
      </c>
      <c r="G1526" s="46" t="n"/>
      <c r="H1526" s="30" t="n"/>
      <c r="I1526" s="43" t="n"/>
      <c r="J1526" s="41" t="n"/>
      <c r="K1526" s="41" t="n"/>
      <c r="L1526" s="41" t="n"/>
      <c r="M1526" s="31">
        <f>IF(COUNT(J1526:L1526)=0,"",MEDIAN(J1526:L1526))</f>
        <v/>
      </c>
      <c r="N1526" s="38" t="n"/>
      <c r="O1526" s="38" t="n"/>
      <c r="P1526" s="38" t="n"/>
      <c r="Q1526" s="38" t="n"/>
      <c r="R1526" s="38" t="n"/>
      <c r="S1526" s="38" t="n"/>
      <c r="T1526" s="38" t="n"/>
      <c r="U1526" s="38" t="n"/>
      <c r="V1526" s="38" t="n"/>
      <c r="W1526" s="38" t="n"/>
      <c r="X1526" s="38" t="n"/>
      <c r="Y1526" s="29" t="n"/>
      <c r="Z1526" s="29" t="n"/>
      <c r="AA1526" s="29" t="n"/>
      <c r="AB1526" s="32" t="n"/>
      <c r="AC1526" s="32" t="n"/>
    </row>
    <row r="1527">
      <c r="A1527" s="44" t="inlineStr">
        <is>
          <t>S30</t>
        </is>
      </c>
      <c r="B1527" s="44" t="inlineStr">
        <is>
          <t>창녕 신규점</t>
        </is>
      </c>
      <c r="C1527" s="44" t="inlineStr">
        <is>
          <t>S30-H서</t>
        </is>
      </c>
      <c r="D1527" s="45" t="n">
        <v>1</v>
      </c>
      <c r="E1527" s="44" t="inlineStr">
        <is>
          <t>P0(전)</t>
        </is>
      </c>
      <c r="F1527" s="44" t="inlineStr">
        <is>
          <t>서</t>
        </is>
      </c>
      <c r="G1527" s="46" t="n"/>
      <c r="H1527" s="30" t="n"/>
      <c r="I1527" s="43" t="n"/>
      <c r="J1527" s="41" t="n"/>
      <c r="K1527" s="41" t="n"/>
      <c r="L1527" s="41" t="n"/>
      <c r="M1527" s="31">
        <f>IF(COUNT(J1527:L1527)=0,"",MEDIAN(J1527:L1527))</f>
        <v/>
      </c>
      <c r="N1527" s="38" t="n"/>
      <c r="O1527" s="38" t="n"/>
      <c r="P1527" s="38" t="n"/>
      <c r="Q1527" s="38" t="n"/>
      <c r="R1527" s="38" t="n"/>
      <c r="S1527" s="38" t="n"/>
      <c r="T1527" s="38" t="n"/>
      <c r="U1527" s="38" t="n"/>
      <c r="V1527" s="38" t="n"/>
      <c r="W1527" s="38" t="n"/>
      <c r="X1527" s="38" t="n"/>
      <c r="Y1527" s="29" t="n"/>
      <c r="Z1527" s="29" t="n"/>
      <c r="AA1527" s="29" t="n"/>
      <c r="AB1527" s="32" t="n"/>
      <c r="AC1527" s="32" t="n"/>
    </row>
    <row r="1528">
      <c r="A1528" s="26" t="inlineStr">
        <is>
          <t>S30</t>
        </is>
      </c>
      <c r="B1528" s="26" t="inlineStr">
        <is>
          <t>창녕 신규점</t>
        </is>
      </c>
      <c r="C1528" s="26" t="inlineStr">
        <is>
          <t>S30-H서</t>
        </is>
      </c>
      <c r="D1528" s="47" t="n">
        <v>1</v>
      </c>
      <c r="E1528" s="26" t="inlineStr">
        <is>
          <t>측정</t>
        </is>
      </c>
      <c r="F1528" s="26" t="inlineStr">
        <is>
          <t>서</t>
        </is>
      </c>
      <c r="G1528" s="31" t="n">
        <v>0.5</v>
      </c>
      <c r="H1528" s="30" t="n"/>
      <c r="I1528" s="43" t="n"/>
      <c r="J1528" s="41" t="n"/>
      <c r="K1528" s="41" t="n"/>
      <c r="L1528" s="41" t="n"/>
      <c r="M1528" s="31">
        <f>IF(COUNT(J1528:L1528)=0,"",MEDIAN(J1528:L1528))</f>
        <v/>
      </c>
      <c r="N1528" s="26">
        <f>IF(COUNTIFS($C:$C,$C1528,$D:$D,$D1528,$E:$E,"P0(전)",$M:$M,"&gt;0")&lt;&gt;1,"P0(전) 유효 1개 아님",IF(COUNTIFS($C:$C,$C1528,$D:$D,$D1528,$E:$E,"P0(후)",$M:$M,"&gt;0")&lt;&gt;1,"P0(후) 유효 1개 아님",IF(NOT(AND(ISNUMBER(O1528),ISNUMBER(Q1528),ISNUMBER(I1528))),"시각 결측",IF(Q1528&lt;=O1528,"P0 시각 역전",IF(OR(I1528&lt;O1528,I1528&gt;Q1528),"측정시각 구간 밖","OK")))))</f>
        <v/>
      </c>
      <c r="O1528" s="48">
        <f>IF(COUNTIFS($C:$C,$C1528,$D:$D,$D1528,$E:$E,"P0(전)",$M:$M,"&gt;0")&lt;&gt;1,"",SUMIFS($I:$I,$C:$C,$C1528,$D:$D,$D1528,$E:$E,"P0(전)"))</f>
        <v/>
      </c>
      <c r="P1528" s="31">
        <f>IF(COUNTIFS($C:$C,$C1528,$D:$D,$D1528,$E:$E,"P0(전)",$M:$M,"&gt;0")&lt;&gt;1,"",SUMIFS($M:$M,$C:$C,$C1528,$D:$D,$D1528,$E:$E,"P0(전)"))</f>
        <v/>
      </c>
      <c r="Q1528" s="48">
        <f>IF(COUNTIFS($C:$C,$C1528,$D:$D,$D1528,$E:$E,"P0(후)",$M:$M,"&gt;0")&lt;&gt;1,"",SUMIFS($I:$I,$C:$C,$C1528,$D:$D,$D1528,$E:$E,"P0(후)"))</f>
        <v/>
      </c>
      <c r="R1528" s="31">
        <f>IF(COUNTIFS($C:$C,$C1528,$D:$D,$D1528,$E:$E,"P0(후)",$M:$M,"&gt;0")&lt;&gt;1,"",SUMIFS($M:$M,$C:$C,$C1528,$D:$D,$D1528,$E:$E,"P0(후)"))</f>
        <v/>
      </c>
      <c r="S1528" s="31">
        <f>IF(N1528&lt;&gt;"OK","",P1528+(R1528-P1528)*(I1528-O1528)/(Q1528-O1528))</f>
        <v/>
      </c>
      <c r="T1528" s="31">
        <f>IF(OR(N1528&lt;&gt;"OK",NOT(ISNUMBER(M1528))),"",M1528-S1528)</f>
        <v/>
      </c>
      <c r="U1528" s="49">
        <f>IF(OR(NOT(ISNUMBER(T1528)),IF(ISNUMBER(H1528),H1528,G1528)=0),"",T1528/IF(ISNUMBER(H1528),H1528,G1528))</f>
        <v/>
      </c>
      <c r="V1528" s="49">
        <f>IF(ISNUMBER(U1528),ABS(U1528),"")</f>
        <v/>
      </c>
      <c r="W1528" s="49">
        <f>IF(OR($E1527&lt;&gt;"측정",$C1527&lt;&gt;$C1528,$D1527&lt;&gt;$D1528,NOT(ISNUMBER(M1528)),NOT(ISNUMBER(M1527)),(IF(ISNUMBER(H1528),H1528,G1528)-IF(ISNUMBER(H1527),H1527,G1527))=0),"",(M1528-M1527)/(IF(ISNUMBER(H1528),H1528,G1528)-IF(ISNUMBER(H1527),H1527,G1527)))</f>
        <v/>
      </c>
      <c r="X1528" s="31">
        <f>IF(NOT(AND(ISNUMBER(O1528),ISNUMBER(Q1528))),"",(Q1528-O1528)*1440)</f>
        <v/>
      </c>
      <c r="Y1528" s="29" t="n"/>
      <c r="Z1528" s="29" t="n"/>
      <c r="AA1528" s="29" t="n"/>
      <c r="AB1528" s="32" t="n"/>
      <c r="AC1528" s="32" t="n"/>
    </row>
    <row r="1529">
      <c r="A1529" s="26" t="inlineStr">
        <is>
          <t>S30</t>
        </is>
      </c>
      <c r="B1529" s="26" t="inlineStr">
        <is>
          <t>창녕 신규점</t>
        </is>
      </c>
      <c r="C1529" s="26" t="inlineStr">
        <is>
          <t>S30-H서</t>
        </is>
      </c>
      <c r="D1529" s="47" t="n">
        <v>1</v>
      </c>
      <c r="E1529" s="26" t="inlineStr">
        <is>
          <t>측정</t>
        </is>
      </c>
      <c r="F1529" s="26" t="inlineStr">
        <is>
          <t>서</t>
        </is>
      </c>
      <c r="G1529" s="31" t="n">
        <v>1</v>
      </c>
      <c r="H1529" s="30" t="n"/>
      <c r="I1529" s="43" t="n"/>
      <c r="J1529" s="41" t="n"/>
      <c r="K1529" s="41" t="n"/>
      <c r="L1529" s="41" t="n"/>
      <c r="M1529" s="31">
        <f>IF(COUNT(J1529:L1529)=0,"",MEDIAN(J1529:L1529))</f>
        <v/>
      </c>
      <c r="N1529" s="26">
        <f>IF(COUNTIFS($C:$C,$C1529,$D:$D,$D1529,$E:$E,"P0(전)",$M:$M,"&gt;0")&lt;&gt;1,"P0(전) 유효 1개 아님",IF(COUNTIFS($C:$C,$C1529,$D:$D,$D1529,$E:$E,"P0(후)",$M:$M,"&gt;0")&lt;&gt;1,"P0(후) 유효 1개 아님",IF(NOT(AND(ISNUMBER(O1529),ISNUMBER(Q1529),ISNUMBER(I1529))),"시각 결측",IF(Q1529&lt;=O1529,"P0 시각 역전",IF(OR(I1529&lt;O1529,I1529&gt;Q1529),"측정시각 구간 밖","OK")))))</f>
        <v/>
      </c>
      <c r="O1529" s="48">
        <f>IF(COUNTIFS($C:$C,$C1529,$D:$D,$D1529,$E:$E,"P0(전)",$M:$M,"&gt;0")&lt;&gt;1,"",SUMIFS($I:$I,$C:$C,$C1529,$D:$D,$D1529,$E:$E,"P0(전)"))</f>
        <v/>
      </c>
      <c r="P1529" s="31">
        <f>IF(COUNTIFS($C:$C,$C1529,$D:$D,$D1529,$E:$E,"P0(전)",$M:$M,"&gt;0")&lt;&gt;1,"",SUMIFS($M:$M,$C:$C,$C1529,$D:$D,$D1529,$E:$E,"P0(전)"))</f>
        <v/>
      </c>
      <c r="Q1529" s="48">
        <f>IF(COUNTIFS($C:$C,$C1529,$D:$D,$D1529,$E:$E,"P0(후)",$M:$M,"&gt;0")&lt;&gt;1,"",SUMIFS($I:$I,$C:$C,$C1529,$D:$D,$D1529,$E:$E,"P0(후)"))</f>
        <v/>
      </c>
      <c r="R1529" s="31">
        <f>IF(COUNTIFS($C:$C,$C1529,$D:$D,$D1529,$E:$E,"P0(후)",$M:$M,"&gt;0")&lt;&gt;1,"",SUMIFS($M:$M,$C:$C,$C1529,$D:$D,$D1529,$E:$E,"P0(후)"))</f>
        <v/>
      </c>
      <c r="S1529" s="31">
        <f>IF(N1529&lt;&gt;"OK","",P1529+(R1529-P1529)*(I1529-O1529)/(Q1529-O1529))</f>
        <v/>
      </c>
      <c r="T1529" s="31">
        <f>IF(OR(N1529&lt;&gt;"OK",NOT(ISNUMBER(M1529))),"",M1529-S1529)</f>
        <v/>
      </c>
      <c r="U1529" s="49">
        <f>IF(OR(NOT(ISNUMBER(T1529)),IF(ISNUMBER(H1529),H1529,G1529)=0),"",T1529/IF(ISNUMBER(H1529),H1529,G1529))</f>
        <v/>
      </c>
      <c r="V1529" s="49">
        <f>IF(ISNUMBER(U1529),ABS(U1529),"")</f>
        <v/>
      </c>
      <c r="W1529" s="49">
        <f>IF(OR($E1528&lt;&gt;"측정",$C1528&lt;&gt;$C1529,$D1528&lt;&gt;$D1529,NOT(ISNUMBER(M1529)),NOT(ISNUMBER(M1528)),(IF(ISNUMBER(H1529),H1529,G1529)-IF(ISNUMBER(H1528),H1528,G1528))=0),"",(M1529-M1528)/(IF(ISNUMBER(H1529),H1529,G1529)-IF(ISNUMBER(H1528),H1528,G1528)))</f>
        <v/>
      </c>
      <c r="X1529" s="31">
        <f>IF(NOT(AND(ISNUMBER(O1529),ISNUMBER(Q1529))),"",(Q1529-O1529)*1440)</f>
        <v/>
      </c>
      <c r="Y1529" s="29" t="n"/>
      <c r="Z1529" s="29" t="n"/>
      <c r="AA1529" s="29" t="n"/>
      <c r="AB1529" s="32" t="n"/>
      <c r="AC1529" s="32" t="n"/>
    </row>
    <row r="1530">
      <c r="A1530" s="26" t="inlineStr">
        <is>
          <t>S30</t>
        </is>
      </c>
      <c r="B1530" s="26" t="inlineStr">
        <is>
          <t>창녕 신규점</t>
        </is>
      </c>
      <c r="C1530" s="26" t="inlineStr">
        <is>
          <t>S30-H서</t>
        </is>
      </c>
      <c r="D1530" s="47" t="n">
        <v>1</v>
      </c>
      <c r="E1530" s="26" t="inlineStr">
        <is>
          <t>측정</t>
        </is>
      </c>
      <c r="F1530" s="26" t="inlineStr">
        <is>
          <t>서</t>
        </is>
      </c>
      <c r="G1530" s="31" t="n">
        <v>2</v>
      </c>
      <c r="H1530" s="30" t="n"/>
      <c r="I1530" s="43" t="n"/>
      <c r="J1530" s="41" t="n"/>
      <c r="K1530" s="41" t="n"/>
      <c r="L1530" s="41" t="n"/>
      <c r="M1530" s="31">
        <f>IF(COUNT(J1530:L1530)=0,"",MEDIAN(J1530:L1530))</f>
        <v/>
      </c>
      <c r="N1530" s="26">
        <f>IF(COUNTIFS($C:$C,$C1530,$D:$D,$D1530,$E:$E,"P0(전)",$M:$M,"&gt;0")&lt;&gt;1,"P0(전) 유효 1개 아님",IF(COUNTIFS($C:$C,$C1530,$D:$D,$D1530,$E:$E,"P0(후)",$M:$M,"&gt;0")&lt;&gt;1,"P0(후) 유효 1개 아님",IF(NOT(AND(ISNUMBER(O1530),ISNUMBER(Q1530),ISNUMBER(I1530))),"시각 결측",IF(Q1530&lt;=O1530,"P0 시각 역전",IF(OR(I1530&lt;O1530,I1530&gt;Q1530),"측정시각 구간 밖","OK")))))</f>
        <v/>
      </c>
      <c r="O1530" s="48">
        <f>IF(COUNTIFS($C:$C,$C1530,$D:$D,$D1530,$E:$E,"P0(전)",$M:$M,"&gt;0")&lt;&gt;1,"",SUMIFS($I:$I,$C:$C,$C1530,$D:$D,$D1530,$E:$E,"P0(전)"))</f>
        <v/>
      </c>
      <c r="P1530" s="31">
        <f>IF(COUNTIFS($C:$C,$C1530,$D:$D,$D1530,$E:$E,"P0(전)",$M:$M,"&gt;0")&lt;&gt;1,"",SUMIFS($M:$M,$C:$C,$C1530,$D:$D,$D1530,$E:$E,"P0(전)"))</f>
        <v/>
      </c>
      <c r="Q1530" s="48">
        <f>IF(COUNTIFS($C:$C,$C1530,$D:$D,$D1530,$E:$E,"P0(후)",$M:$M,"&gt;0")&lt;&gt;1,"",SUMIFS($I:$I,$C:$C,$C1530,$D:$D,$D1530,$E:$E,"P0(후)"))</f>
        <v/>
      </c>
      <c r="R1530" s="31">
        <f>IF(COUNTIFS($C:$C,$C1530,$D:$D,$D1530,$E:$E,"P0(후)",$M:$M,"&gt;0")&lt;&gt;1,"",SUMIFS($M:$M,$C:$C,$C1530,$D:$D,$D1530,$E:$E,"P0(후)"))</f>
        <v/>
      </c>
      <c r="S1530" s="31">
        <f>IF(N1530&lt;&gt;"OK","",P1530+(R1530-P1530)*(I1530-O1530)/(Q1530-O1530))</f>
        <v/>
      </c>
      <c r="T1530" s="31">
        <f>IF(OR(N1530&lt;&gt;"OK",NOT(ISNUMBER(M1530))),"",M1530-S1530)</f>
        <v/>
      </c>
      <c r="U1530" s="49">
        <f>IF(OR(NOT(ISNUMBER(T1530)),IF(ISNUMBER(H1530),H1530,G1530)=0),"",T1530/IF(ISNUMBER(H1530),H1530,G1530))</f>
        <v/>
      </c>
      <c r="V1530" s="49">
        <f>IF(ISNUMBER(U1530),ABS(U1530),"")</f>
        <v/>
      </c>
      <c r="W1530" s="49">
        <f>IF(OR($E1529&lt;&gt;"측정",$C1529&lt;&gt;$C1530,$D1529&lt;&gt;$D1530,NOT(ISNUMBER(M1530)),NOT(ISNUMBER(M1529)),(IF(ISNUMBER(H1530),H1530,G1530)-IF(ISNUMBER(H1529),H1529,G1529))=0),"",(M1530-M1529)/(IF(ISNUMBER(H1530),H1530,G1530)-IF(ISNUMBER(H1529),H1529,G1529)))</f>
        <v/>
      </c>
      <c r="X1530" s="31">
        <f>IF(NOT(AND(ISNUMBER(O1530),ISNUMBER(Q1530))),"",(Q1530-O1530)*1440)</f>
        <v/>
      </c>
      <c r="Y1530" s="29" t="n"/>
      <c r="Z1530" s="29" t="n"/>
      <c r="AA1530" s="29" t="n"/>
      <c r="AB1530" s="32" t="n"/>
      <c r="AC1530" s="32" t="n"/>
    </row>
    <row r="1531">
      <c r="A1531" s="26" t="inlineStr">
        <is>
          <t>S30</t>
        </is>
      </c>
      <c r="B1531" s="26" t="inlineStr">
        <is>
          <t>창녕 신규점</t>
        </is>
      </c>
      <c r="C1531" s="26" t="inlineStr">
        <is>
          <t>S30-H서</t>
        </is>
      </c>
      <c r="D1531" s="47" t="n">
        <v>1</v>
      </c>
      <c r="E1531" s="26" t="inlineStr">
        <is>
          <t>측정</t>
        </is>
      </c>
      <c r="F1531" s="26" t="inlineStr">
        <is>
          <t>서</t>
        </is>
      </c>
      <c r="G1531" s="31" t="n">
        <v>3</v>
      </c>
      <c r="H1531" s="30" t="n"/>
      <c r="I1531" s="43" t="n"/>
      <c r="J1531" s="41" t="n"/>
      <c r="K1531" s="41" t="n"/>
      <c r="L1531" s="41" t="n"/>
      <c r="M1531" s="31">
        <f>IF(COUNT(J1531:L1531)=0,"",MEDIAN(J1531:L1531))</f>
        <v/>
      </c>
      <c r="N1531" s="26">
        <f>IF(COUNTIFS($C:$C,$C1531,$D:$D,$D1531,$E:$E,"P0(전)",$M:$M,"&gt;0")&lt;&gt;1,"P0(전) 유효 1개 아님",IF(COUNTIFS($C:$C,$C1531,$D:$D,$D1531,$E:$E,"P0(후)",$M:$M,"&gt;0")&lt;&gt;1,"P0(후) 유효 1개 아님",IF(NOT(AND(ISNUMBER(O1531),ISNUMBER(Q1531),ISNUMBER(I1531))),"시각 결측",IF(Q1531&lt;=O1531,"P0 시각 역전",IF(OR(I1531&lt;O1531,I1531&gt;Q1531),"측정시각 구간 밖","OK")))))</f>
        <v/>
      </c>
      <c r="O1531" s="48">
        <f>IF(COUNTIFS($C:$C,$C1531,$D:$D,$D1531,$E:$E,"P0(전)",$M:$M,"&gt;0")&lt;&gt;1,"",SUMIFS($I:$I,$C:$C,$C1531,$D:$D,$D1531,$E:$E,"P0(전)"))</f>
        <v/>
      </c>
      <c r="P1531" s="31">
        <f>IF(COUNTIFS($C:$C,$C1531,$D:$D,$D1531,$E:$E,"P0(전)",$M:$M,"&gt;0")&lt;&gt;1,"",SUMIFS($M:$M,$C:$C,$C1531,$D:$D,$D1531,$E:$E,"P0(전)"))</f>
        <v/>
      </c>
      <c r="Q1531" s="48">
        <f>IF(COUNTIFS($C:$C,$C1531,$D:$D,$D1531,$E:$E,"P0(후)",$M:$M,"&gt;0")&lt;&gt;1,"",SUMIFS($I:$I,$C:$C,$C1531,$D:$D,$D1531,$E:$E,"P0(후)"))</f>
        <v/>
      </c>
      <c r="R1531" s="31">
        <f>IF(COUNTIFS($C:$C,$C1531,$D:$D,$D1531,$E:$E,"P0(후)",$M:$M,"&gt;0")&lt;&gt;1,"",SUMIFS($M:$M,$C:$C,$C1531,$D:$D,$D1531,$E:$E,"P0(후)"))</f>
        <v/>
      </c>
      <c r="S1531" s="31">
        <f>IF(N1531&lt;&gt;"OK","",P1531+(R1531-P1531)*(I1531-O1531)/(Q1531-O1531))</f>
        <v/>
      </c>
      <c r="T1531" s="31">
        <f>IF(OR(N1531&lt;&gt;"OK",NOT(ISNUMBER(M1531))),"",M1531-S1531)</f>
        <v/>
      </c>
      <c r="U1531" s="49">
        <f>IF(OR(NOT(ISNUMBER(T1531)),IF(ISNUMBER(H1531),H1531,G1531)=0),"",T1531/IF(ISNUMBER(H1531),H1531,G1531))</f>
        <v/>
      </c>
      <c r="V1531" s="49">
        <f>IF(ISNUMBER(U1531),ABS(U1531),"")</f>
        <v/>
      </c>
      <c r="W1531" s="49">
        <f>IF(OR($E1530&lt;&gt;"측정",$C1530&lt;&gt;$C1531,$D1530&lt;&gt;$D1531,NOT(ISNUMBER(M1531)),NOT(ISNUMBER(M1530)),(IF(ISNUMBER(H1531),H1531,G1531)-IF(ISNUMBER(H1530),H1530,G1530))=0),"",(M1531-M1530)/(IF(ISNUMBER(H1531),H1531,G1531)-IF(ISNUMBER(H1530),H1530,G1530)))</f>
        <v/>
      </c>
      <c r="X1531" s="31">
        <f>IF(NOT(AND(ISNUMBER(O1531),ISNUMBER(Q1531))),"",(Q1531-O1531)*1440)</f>
        <v/>
      </c>
      <c r="Y1531" s="29" t="n"/>
      <c r="Z1531" s="29" t="n"/>
      <c r="AA1531" s="29" t="n"/>
      <c r="AB1531" s="32" t="n"/>
      <c r="AC1531" s="32" t="n"/>
    </row>
    <row r="1532">
      <c r="A1532" s="26" t="inlineStr">
        <is>
          <t>S30</t>
        </is>
      </c>
      <c r="B1532" s="26" t="inlineStr">
        <is>
          <t>창녕 신규점</t>
        </is>
      </c>
      <c r="C1532" s="26" t="inlineStr">
        <is>
          <t>S30-H서</t>
        </is>
      </c>
      <c r="D1532" s="47" t="n">
        <v>1</v>
      </c>
      <c r="E1532" s="26" t="inlineStr">
        <is>
          <t>측정</t>
        </is>
      </c>
      <c r="F1532" s="26" t="inlineStr">
        <is>
          <t>서</t>
        </is>
      </c>
      <c r="G1532" s="31" t="n">
        <v>4</v>
      </c>
      <c r="H1532" s="30" t="n"/>
      <c r="I1532" s="43" t="n"/>
      <c r="J1532" s="41" t="n"/>
      <c r="K1532" s="41" t="n"/>
      <c r="L1532" s="41" t="n"/>
      <c r="M1532" s="31">
        <f>IF(COUNT(J1532:L1532)=0,"",MEDIAN(J1532:L1532))</f>
        <v/>
      </c>
      <c r="N1532" s="26">
        <f>IF(COUNTIFS($C:$C,$C1532,$D:$D,$D1532,$E:$E,"P0(전)",$M:$M,"&gt;0")&lt;&gt;1,"P0(전) 유효 1개 아님",IF(COUNTIFS($C:$C,$C1532,$D:$D,$D1532,$E:$E,"P0(후)",$M:$M,"&gt;0")&lt;&gt;1,"P0(후) 유효 1개 아님",IF(NOT(AND(ISNUMBER(O1532),ISNUMBER(Q1532),ISNUMBER(I1532))),"시각 결측",IF(Q1532&lt;=O1532,"P0 시각 역전",IF(OR(I1532&lt;O1532,I1532&gt;Q1532),"측정시각 구간 밖","OK")))))</f>
        <v/>
      </c>
      <c r="O1532" s="48">
        <f>IF(COUNTIFS($C:$C,$C1532,$D:$D,$D1532,$E:$E,"P0(전)",$M:$M,"&gt;0")&lt;&gt;1,"",SUMIFS($I:$I,$C:$C,$C1532,$D:$D,$D1532,$E:$E,"P0(전)"))</f>
        <v/>
      </c>
      <c r="P1532" s="31">
        <f>IF(COUNTIFS($C:$C,$C1532,$D:$D,$D1532,$E:$E,"P0(전)",$M:$M,"&gt;0")&lt;&gt;1,"",SUMIFS($M:$M,$C:$C,$C1532,$D:$D,$D1532,$E:$E,"P0(전)"))</f>
        <v/>
      </c>
      <c r="Q1532" s="48">
        <f>IF(COUNTIFS($C:$C,$C1532,$D:$D,$D1532,$E:$E,"P0(후)",$M:$M,"&gt;0")&lt;&gt;1,"",SUMIFS($I:$I,$C:$C,$C1532,$D:$D,$D1532,$E:$E,"P0(후)"))</f>
        <v/>
      </c>
      <c r="R1532" s="31">
        <f>IF(COUNTIFS($C:$C,$C1532,$D:$D,$D1532,$E:$E,"P0(후)",$M:$M,"&gt;0")&lt;&gt;1,"",SUMIFS($M:$M,$C:$C,$C1532,$D:$D,$D1532,$E:$E,"P0(후)"))</f>
        <v/>
      </c>
      <c r="S1532" s="31">
        <f>IF(N1532&lt;&gt;"OK","",P1532+(R1532-P1532)*(I1532-O1532)/(Q1532-O1532))</f>
        <v/>
      </c>
      <c r="T1532" s="31">
        <f>IF(OR(N1532&lt;&gt;"OK",NOT(ISNUMBER(M1532))),"",M1532-S1532)</f>
        <v/>
      </c>
      <c r="U1532" s="49">
        <f>IF(OR(NOT(ISNUMBER(T1532)),IF(ISNUMBER(H1532),H1532,G1532)=0),"",T1532/IF(ISNUMBER(H1532),H1532,G1532))</f>
        <v/>
      </c>
      <c r="V1532" s="49">
        <f>IF(ISNUMBER(U1532),ABS(U1532),"")</f>
        <v/>
      </c>
      <c r="W1532" s="49">
        <f>IF(OR($E1531&lt;&gt;"측정",$C1531&lt;&gt;$C1532,$D1531&lt;&gt;$D1532,NOT(ISNUMBER(M1532)),NOT(ISNUMBER(M1531)),(IF(ISNUMBER(H1532),H1532,G1532)-IF(ISNUMBER(H1531),H1531,G1531))=0),"",(M1532-M1531)/(IF(ISNUMBER(H1532),H1532,G1532)-IF(ISNUMBER(H1531),H1531,G1531)))</f>
        <v/>
      </c>
      <c r="X1532" s="31">
        <f>IF(NOT(AND(ISNUMBER(O1532),ISNUMBER(Q1532))),"",(Q1532-O1532)*1440)</f>
        <v/>
      </c>
      <c r="Y1532" s="29" t="n"/>
      <c r="Z1532" s="29" t="n"/>
      <c r="AA1532" s="29" t="n"/>
      <c r="AB1532" s="32" t="n"/>
      <c r="AC1532" s="32" t="n"/>
    </row>
    <row r="1533">
      <c r="A1533" s="26" t="inlineStr">
        <is>
          <t>S30</t>
        </is>
      </c>
      <c r="B1533" s="26" t="inlineStr">
        <is>
          <t>창녕 신규점</t>
        </is>
      </c>
      <c r="C1533" s="26" t="inlineStr">
        <is>
          <t>S30-H서</t>
        </is>
      </c>
      <c r="D1533" s="47" t="n">
        <v>1</v>
      </c>
      <c r="E1533" s="26" t="inlineStr">
        <is>
          <t>측정</t>
        </is>
      </c>
      <c r="F1533" s="26" t="inlineStr">
        <is>
          <t>서</t>
        </is>
      </c>
      <c r="G1533" s="31" t="n">
        <v>5</v>
      </c>
      <c r="H1533" s="30" t="n"/>
      <c r="I1533" s="43" t="n"/>
      <c r="J1533" s="41" t="n"/>
      <c r="K1533" s="41" t="n"/>
      <c r="L1533" s="41" t="n"/>
      <c r="M1533" s="31">
        <f>IF(COUNT(J1533:L1533)=0,"",MEDIAN(J1533:L1533))</f>
        <v/>
      </c>
      <c r="N1533" s="26">
        <f>IF(COUNTIFS($C:$C,$C1533,$D:$D,$D1533,$E:$E,"P0(전)",$M:$M,"&gt;0")&lt;&gt;1,"P0(전) 유효 1개 아님",IF(COUNTIFS($C:$C,$C1533,$D:$D,$D1533,$E:$E,"P0(후)",$M:$M,"&gt;0")&lt;&gt;1,"P0(후) 유효 1개 아님",IF(NOT(AND(ISNUMBER(O1533),ISNUMBER(Q1533),ISNUMBER(I1533))),"시각 결측",IF(Q1533&lt;=O1533,"P0 시각 역전",IF(OR(I1533&lt;O1533,I1533&gt;Q1533),"측정시각 구간 밖","OK")))))</f>
        <v/>
      </c>
      <c r="O1533" s="48">
        <f>IF(COUNTIFS($C:$C,$C1533,$D:$D,$D1533,$E:$E,"P0(전)",$M:$M,"&gt;0")&lt;&gt;1,"",SUMIFS($I:$I,$C:$C,$C1533,$D:$D,$D1533,$E:$E,"P0(전)"))</f>
        <v/>
      </c>
      <c r="P1533" s="31">
        <f>IF(COUNTIFS($C:$C,$C1533,$D:$D,$D1533,$E:$E,"P0(전)",$M:$M,"&gt;0")&lt;&gt;1,"",SUMIFS($M:$M,$C:$C,$C1533,$D:$D,$D1533,$E:$E,"P0(전)"))</f>
        <v/>
      </c>
      <c r="Q1533" s="48">
        <f>IF(COUNTIFS($C:$C,$C1533,$D:$D,$D1533,$E:$E,"P0(후)",$M:$M,"&gt;0")&lt;&gt;1,"",SUMIFS($I:$I,$C:$C,$C1533,$D:$D,$D1533,$E:$E,"P0(후)"))</f>
        <v/>
      </c>
      <c r="R1533" s="31">
        <f>IF(COUNTIFS($C:$C,$C1533,$D:$D,$D1533,$E:$E,"P0(후)",$M:$M,"&gt;0")&lt;&gt;1,"",SUMIFS($M:$M,$C:$C,$C1533,$D:$D,$D1533,$E:$E,"P0(후)"))</f>
        <v/>
      </c>
      <c r="S1533" s="31">
        <f>IF(N1533&lt;&gt;"OK","",P1533+(R1533-P1533)*(I1533-O1533)/(Q1533-O1533))</f>
        <v/>
      </c>
      <c r="T1533" s="31">
        <f>IF(OR(N1533&lt;&gt;"OK",NOT(ISNUMBER(M1533))),"",M1533-S1533)</f>
        <v/>
      </c>
      <c r="U1533" s="49">
        <f>IF(OR(NOT(ISNUMBER(T1533)),IF(ISNUMBER(H1533),H1533,G1533)=0),"",T1533/IF(ISNUMBER(H1533),H1533,G1533))</f>
        <v/>
      </c>
      <c r="V1533" s="49">
        <f>IF(ISNUMBER(U1533),ABS(U1533),"")</f>
        <v/>
      </c>
      <c r="W1533" s="49">
        <f>IF(OR($E1532&lt;&gt;"측정",$C1532&lt;&gt;$C1533,$D1532&lt;&gt;$D1533,NOT(ISNUMBER(M1533)),NOT(ISNUMBER(M1532)),(IF(ISNUMBER(H1533),H1533,G1533)-IF(ISNUMBER(H1532),H1532,G1532))=0),"",(M1533-M1532)/(IF(ISNUMBER(H1533),H1533,G1533)-IF(ISNUMBER(H1532),H1532,G1532)))</f>
        <v/>
      </c>
      <c r="X1533" s="31">
        <f>IF(NOT(AND(ISNUMBER(O1533),ISNUMBER(Q1533))),"",(Q1533-O1533)*1440)</f>
        <v/>
      </c>
      <c r="Y1533" s="29" t="n"/>
      <c r="Z1533" s="29" t="n"/>
      <c r="AA1533" s="29" t="n"/>
      <c r="AB1533" s="32" t="n"/>
      <c r="AC1533" s="32" t="n"/>
    </row>
    <row r="1534">
      <c r="A1534" s="26" t="inlineStr">
        <is>
          <t>S30</t>
        </is>
      </c>
      <c r="B1534" s="26" t="inlineStr">
        <is>
          <t>창녕 신규점</t>
        </is>
      </c>
      <c r="C1534" s="26" t="inlineStr">
        <is>
          <t>S30-H서</t>
        </is>
      </c>
      <c r="D1534" s="47" t="n">
        <v>1</v>
      </c>
      <c r="E1534" s="26" t="inlineStr">
        <is>
          <t>측정</t>
        </is>
      </c>
      <c r="F1534" s="26" t="inlineStr">
        <is>
          <t>서</t>
        </is>
      </c>
      <c r="G1534" s="31" t="n">
        <v>6</v>
      </c>
      <c r="H1534" s="30" t="n"/>
      <c r="I1534" s="43" t="n"/>
      <c r="J1534" s="41" t="n"/>
      <c r="K1534" s="41" t="n"/>
      <c r="L1534" s="41" t="n"/>
      <c r="M1534" s="31">
        <f>IF(COUNT(J1534:L1534)=0,"",MEDIAN(J1534:L1534))</f>
        <v/>
      </c>
      <c r="N1534" s="26">
        <f>IF(COUNTIFS($C:$C,$C1534,$D:$D,$D1534,$E:$E,"P0(전)",$M:$M,"&gt;0")&lt;&gt;1,"P0(전) 유효 1개 아님",IF(COUNTIFS($C:$C,$C1534,$D:$D,$D1534,$E:$E,"P0(후)",$M:$M,"&gt;0")&lt;&gt;1,"P0(후) 유효 1개 아님",IF(NOT(AND(ISNUMBER(O1534),ISNUMBER(Q1534),ISNUMBER(I1534))),"시각 결측",IF(Q1534&lt;=O1534,"P0 시각 역전",IF(OR(I1534&lt;O1534,I1534&gt;Q1534),"측정시각 구간 밖","OK")))))</f>
        <v/>
      </c>
      <c r="O1534" s="48">
        <f>IF(COUNTIFS($C:$C,$C1534,$D:$D,$D1534,$E:$E,"P0(전)",$M:$M,"&gt;0")&lt;&gt;1,"",SUMIFS($I:$I,$C:$C,$C1534,$D:$D,$D1534,$E:$E,"P0(전)"))</f>
        <v/>
      </c>
      <c r="P1534" s="31">
        <f>IF(COUNTIFS($C:$C,$C1534,$D:$D,$D1534,$E:$E,"P0(전)",$M:$M,"&gt;0")&lt;&gt;1,"",SUMIFS($M:$M,$C:$C,$C1534,$D:$D,$D1534,$E:$E,"P0(전)"))</f>
        <v/>
      </c>
      <c r="Q1534" s="48">
        <f>IF(COUNTIFS($C:$C,$C1534,$D:$D,$D1534,$E:$E,"P0(후)",$M:$M,"&gt;0")&lt;&gt;1,"",SUMIFS($I:$I,$C:$C,$C1534,$D:$D,$D1534,$E:$E,"P0(후)"))</f>
        <v/>
      </c>
      <c r="R1534" s="31">
        <f>IF(COUNTIFS($C:$C,$C1534,$D:$D,$D1534,$E:$E,"P0(후)",$M:$M,"&gt;0")&lt;&gt;1,"",SUMIFS($M:$M,$C:$C,$C1534,$D:$D,$D1534,$E:$E,"P0(후)"))</f>
        <v/>
      </c>
      <c r="S1534" s="31">
        <f>IF(N1534&lt;&gt;"OK","",P1534+(R1534-P1534)*(I1534-O1534)/(Q1534-O1534))</f>
        <v/>
      </c>
      <c r="T1534" s="31">
        <f>IF(OR(N1534&lt;&gt;"OK",NOT(ISNUMBER(M1534))),"",M1534-S1534)</f>
        <v/>
      </c>
      <c r="U1534" s="49">
        <f>IF(OR(NOT(ISNUMBER(T1534)),IF(ISNUMBER(H1534),H1534,G1534)=0),"",T1534/IF(ISNUMBER(H1534),H1534,G1534))</f>
        <v/>
      </c>
      <c r="V1534" s="49">
        <f>IF(ISNUMBER(U1534),ABS(U1534),"")</f>
        <v/>
      </c>
      <c r="W1534" s="49">
        <f>IF(OR($E1533&lt;&gt;"측정",$C1533&lt;&gt;$C1534,$D1533&lt;&gt;$D1534,NOT(ISNUMBER(M1534)),NOT(ISNUMBER(M1533)),(IF(ISNUMBER(H1534),H1534,G1534)-IF(ISNUMBER(H1533),H1533,G1533))=0),"",(M1534-M1533)/(IF(ISNUMBER(H1534),H1534,G1534)-IF(ISNUMBER(H1533),H1533,G1533)))</f>
        <v/>
      </c>
      <c r="X1534" s="31">
        <f>IF(NOT(AND(ISNUMBER(O1534),ISNUMBER(Q1534))),"",(Q1534-O1534)*1440)</f>
        <v/>
      </c>
      <c r="Y1534" s="29" t="n"/>
      <c r="Z1534" s="29" t="n"/>
      <c r="AA1534" s="29" t="n"/>
      <c r="AB1534" s="32" t="n"/>
      <c r="AC1534" s="32" t="n"/>
    </row>
    <row r="1535">
      <c r="A1535" s="26" t="inlineStr">
        <is>
          <t>S30</t>
        </is>
      </c>
      <c r="B1535" s="26" t="inlineStr">
        <is>
          <t>창녕 신규점</t>
        </is>
      </c>
      <c r="C1535" s="26" t="inlineStr">
        <is>
          <t>S30-H서</t>
        </is>
      </c>
      <c r="D1535" s="47" t="n">
        <v>1</v>
      </c>
      <c r="E1535" s="26" t="inlineStr">
        <is>
          <t>측정</t>
        </is>
      </c>
      <c r="F1535" s="26" t="inlineStr">
        <is>
          <t>서</t>
        </is>
      </c>
      <c r="G1535" s="31" t="n">
        <v>7</v>
      </c>
      <c r="H1535" s="30" t="n"/>
      <c r="I1535" s="43" t="n"/>
      <c r="J1535" s="41" t="n"/>
      <c r="K1535" s="41" t="n"/>
      <c r="L1535" s="41" t="n"/>
      <c r="M1535" s="31">
        <f>IF(COUNT(J1535:L1535)=0,"",MEDIAN(J1535:L1535))</f>
        <v/>
      </c>
      <c r="N1535" s="26">
        <f>IF(COUNTIFS($C:$C,$C1535,$D:$D,$D1535,$E:$E,"P0(전)",$M:$M,"&gt;0")&lt;&gt;1,"P0(전) 유효 1개 아님",IF(COUNTIFS($C:$C,$C1535,$D:$D,$D1535,$E:$E,"P0(후)",$M:$M,"&gt;0")&lt;&gt;1,"P0(후) 유효 1개 아님",IF(NOT(AND(ISNUMBER(O1535),ISNUMBER(Q1535),ISNUMBER(I1535))),"시각 결측",IF(Q1535&lt;=O1535,"P0 시각 역전",IF(OR(I1535&lt;O1535,I1535&gt;Q1535),"측정시각 구간 밖","OK")))))</f>
        <v/>
      </c>
      <c r="O1535" s="48">
        <f>IF(COUNTIFS($C:$C,$C1535,$D:$D,$D1535,$E:$E,"P0(전)",$M:$M,"&gt;0")&lt;&gt;1,"",SUMIFS($I:$I,$C:$C,$C1535,$D:$D,$D1535,$E:$E,"P0(전)"))</f>
        <v/>
      </c>
      <c r="P1535" s="31">
        <f>IF(COUNTIFS($C:$C,$C1535,$D:$D,$D1535,$E:$E,"P0(전)",$M:$M,"&gt;0")&lt;&gt;1,"",SUMIFS($M:$M,$C:$C,$C1535,$D:$D,$D1535,$E:$E,"P0(전)"))</f>
        <v/>
      </c>
      <c r="Q1535" s="48">
        <f>IF(COUNTIFS($C:$C,$C1535,$D:$D,$D1535,$E:$E,"P0(후)",$M:$M,"&gt;0")&lt;&gt;1,"",SUMIFS($I:$I,$C:$C,$C1535,$D:$D,$D1535,$E:$E,"P0(후)"))</f>
        <v/>
      </c>
      <c r="R1535" s="31">
        <f>IF(COUNTIFS($C:$C,$C1535,$D:$D,$D1535,$E:$E,"P0(후)",$M:$M,"&gt;0")&lt;&gt;1,"",SUMIFS($M:$M,$C:$C,$C1535,$D:$D,$D1535,$E:$E,"P0(후)"))</f>
        <v/>
      </c>
      <c r="S1535" s="31">
        <f>IF(N1535&lt;&gt;"OK","",P1535+(R1535-P1535)*(I1535-O1535)/(Q1535-O1535))</f>
        <v/>
      </c>
      <c r="T1535" s="31">
        <f>IF(OR(N1535&lt;&gt;"OK",NOT(ISNUMBER(M1535))),"",M1535-S1535)</f>
        <v/>
      </c>
      <c r="U1535" s="49">
        <f>IF(OR(NOT(ISNUMBER(T1535)),IF(ISNUMBER(H1535),H1535,G1535)=0),"",T1535/IF(ISNUMBER(H1535),H1535,G1535))</f>
        <v/>
      </c>
      <c r="V1535" s="49">
        <f>IF(ISNUMBER(U1535),ABS(U1535),"")</f>
        <v/>
      </c>
      <c r="W1535" s="49">
        <f>IF(OR($E1534&lt;&gt;"측정",$C1534&lt;&gt;$C1535,$D1534&lt;&gt;$D1535,NOT(ISNUMBER(M1535)),NOT(ISNUMBER(M1534)),(IF(ISNUMBER(H1535),H1535,G1535)-IF(ISNUMBER(H1534),H1534,G1534))=0),"",(M1535-M1534)/(IF(ISNUMBER(H1535),H1535,G1535)-IF(ISNUMBER(H1534),H1534,G1534)))</f>
        <v/>
      </c>
      <c r="X1535" s="31">
        <f>IF(NOT(AND(ISNUMBER(O1535),ISNUMBER(Q1535))),"",(Q1535-O1535)*1440)</f>
        <v/>
      </c>
      <c r="Y1535" s="29" t="n"/>
      <c r="Z1535" s="29" t="n"/>
      <c r="AA1535" s="29" t="n"/>
      <c r="AB1535" s="32" t="n"/>
      <c r="AC1535" s="32" t="n"/>
    </row>
    <row r="1536">
      <c r="A1536" s="26" t="inlineStr">
        <is>
          <t>S30</t>
        </is>
      </c>
      <c r="B1536" s="26" t="inlineStr">
        <is>
          <t>창녕 신규점</t>
        </is>
      </c>
      <c r="C1536" s="26" t="inlineStr">
        <is>
          <t>S30-H서</t>
        </is>
      </c>
      <c r="D1536" s="47" t="n">
        <v>1</v>
      </c>
      <c r="E1536" s="26" t="inlineStr">
        <is>
          <t>측정</t>
        </is>
      </c>
      <c r="F1536" s="26" t="inlineStr">
        <is>
          <t>서</t>
        </is>
      </c>
      <c r="G1536" s="31" t="n">
        <v>8</v>
      </c>
      <c r="H1536" s="30" t="n"/>
      <c r="I1536" s="43" t="n"/>
      <c r="J1536" s="41" t="n"/>
      <c r="K1536" s="41" t="n"/>
      <c r="L1536" s="41" t="n"/>
      <c r="M1536" s="31">
        <f>IF(COUNT(J1536:L1536)=0,"",MEDIAN(J1536:L1536))</f>
        <v/>
      </c>
      <c r="N1536" s="26">
        <f>IF(COUNTIFS($C:$C,$C1536,$D:$D,$D1536,$E:$E,"P0(전)",$M:$M,"&gt;0")&lt;&gt;1,"P0(전) 유효 1개 아님",IF(COUNTIFS($C:$C,$C1536,$D:$D,$D1536,$E:$E,"P0(후)",$M:$M,"&gt;0")&lt;&gt;1,"P0(후) 유효 1개 아님",IF(NOT(AND(ISNUMBER(O1536),ISNUMBER(Q1536),ISNUMBER(I1536))),"시각 결측",IF(Q1536&lt;=O1536,"P0 시각 역전",IF(OR(I1536&lt;O1536,I1536&gt;Q1536),"측정시각 구간 밖","OK")))))</f>
        <v/>
      </c>
      <c r="O1536" s="48">
        <f>IF(COUNTIFS($C:$C,$C1536,$D:$D,$D1536,$E:$E,"P0(전)",$M:$M,"&gt;0")&lt;&gt;1,"",SUMIFS($I:$I,$C:$C,$C1536,$D:$D,$D1536,$E:$E,"P0(전)"))</f>
        <v/>
      </c>
      <c r="P1536" s="31">
        <f>IF(COUNTIFS($C:$C,$C1536,$D:$D,$D1536,$E:$E,"P0(전)",$M:$M,"&gt;0")&lt;&gt;1,"",SUMIFS($M:$M,$C:$C,$C1536,$D:$D,$D1536,$E:$E,"P0(전)"))</f>
        <v/>
      </c>
      <c r="Q1536" s="48">
        <f>IF(COUNTIFS($C:$C,$C1536,$D:$D,$D1536,$E:$E,"P0(후)",$M:$M,"&gt;0")&lt;&gt;1,"",SUMIFS($I:$I,$C:$C,$C1536,$D:$D,$D1536,$E:$E,"P0(후)"))</f>
        <v/>
      </c>
      <c r="R1536" s="31">
        <f>IF(COUNTIFS($C:$C,$C1536,$D:$D,$D1536,$E:$E,"P0(후)",$M:$M,"&gt;0")&lt;&gt;1,"",SUMIFS($M:$M,$C:$C,$C1536,$D:$D,$D1536,$E:$E,"P0(후)"))</f>
        <v/>
      </c>
      <c r="S1536" s="31">
        <f>IF(N1536&lt;&gt;"OK","",P1536+(R1536-P1536)*(I1536-O1536)/(Q1536-O1536))</f>
        <v/>
      </c>
      <c r="T1536" s="31">
        <f>IF(OR(N1536&lt;&gt;"OK",NOT(ISNUMBER(M1536))),"",M1536-S1536)</f>
        <v/>
      </c>
      <c r="U1536" s="49">
        <f>IF(OR(NOT(ISNUMBER(T1536)),IF(ISNUMBER(H1536),H1536,G1536)=0),"",T1536/IF(ISNUMBER(H1536),H1536,G1536))</f>
        <v/>
      </c>
      <c r="V1536" s="49">
        <f>IF(ISNUMBER(U1536),ABS(U1536),"")</f>
        <v/>
      </c>
      <c r="W1536" s="49">
        <f>IF(OR($E1535&lt;&gt;"측정",$C1535&lt;&gt;$C1536,$D1535&lt;&gt;$D1536,NOT(ISNUMBER(M1536)),NOT(ISNUMBER(M1535)),(IF(ISNUMBER(H1536),H1536,G1536)-IF(ISNUMBER(H1535),H1535,G1535))=0),"",(M1536-M1535)/(IF(ISNUMBER(H1536),H1536,G1536)-IF(ISNUMBER(H1535),H1535,G1535)))</f>
        <v/>
      </c>
      <c r="X1536" s="31">
        <f>IF(NOT(AND(ISNUMBER(O1536),ISNUMBER(Q1536))),"",(Q1536-O1536)*1440)</f>
        <v/>
      </c>
      <c r="Y1536" s="29" t="n"/>
      <c r="Z1536" s="29" t="n"/>
      <c r="AA1536" s="29" t="n"/>
      <c r="AB1536" s="32" t="n"/>
      <c r="AC1536" s="32" t="n"/>
    </row>
    <row r="1537">
      <c r="A1537" s="26" t="inlineStr">
        <is>
          <t>S30</t>
        </is>
      </c>
      <c r="B1537" s="26" t="inlineStr">
        <is>
          <t>창녕 신규점</t>
        </is>
      </c>
      <c r="C1537" s="26" t="inlineStr">
        <is>
          <t>S30-H서</t>
        </is>
      </c>
      <c r="D1537" s="47" t="n">
        <v>1</v>
      </c>
      <c r="E1537" s="26" t="inlineStr">
        <is>
          <t>측정</t>
        </is>
      </c>
      <c r="F1537" s="26" t="inlineStr">
        <is>
          <t>서</t>
        </is>
      </c>
      <c r="G1537" s="31" t="n">
        <v>9</v>
      </c>
      <c r="H1537" s="30" t="n"/>
      <c r="I1537" s="43" t="n"/>
      <c r="J1537" s="41" t="n"/>
      <c r="K1537" s="41" t="n"/>
      <c r="L1537" s="41" t="n"/>
      <c r="M1537" s="31">
        <f>IF(COUNT(J1537:L1537)=0,"",MEDIAN(J1537:L1537))</f>
        <v/>
      </c>
      <c r="N1537" s="26">
        <f>IF(COUNTIFS($C:$C,$C1537,$D:$D,$D1537,$E:$E,"P0(전)",$M:$M,"&gt;0")&lt;&gt;1,"P0(전) 유효 1개 아님",IF(COUNTIFS($C:$C,$C1537,$D:$D,$D1537,$E:$E,"P0(후)",$M:$M,"&gt;0")&lt;&gt;1,"P0(후) 유효 1개 아님",IF(NOT(AND(ISNUMBER(O1537),ISNUMBER(Q1537),ISNUMBER(I1537))),"시각 결측",IF(Q1537&lt;=O1537,"P0 시각 역전",IF(OR(I1537&lt;O1537,I1537&gt;Q1537),"측정시각 구간 밖","OK")))))</f>
        <v/>
      </c>
      <c r="O1537" s="48">
        <f>IF(COUNTIFS($C:$C,$C1537,$D:$D,$D1537,$E:$E,"P0(전)",$M:$M,"&gt;0")&lt;&gt;1,"",SUMIFS($I:$I,$C:$C,$C1537,$D:$D,$D1537,$E:$E,"P0(전)"))</f>
        <v/>
      </c>
      <c r="P1537" s="31">
        <f>IF(COUNTIFS($C:$C,$C1537,$D:$D,$D1537,$E:$E,"P0(전)",$M:$M,"&gt;0")&lt;&gt;1,"",SUMIFS($M:$M,$C:$C,$C1537,$D:$D,$D1537,$E:$E,"P0(전)"))</f>
        <v/>
      </c>
      <c r="Q1537" s="48">
        <f>IF(COUNTIFS($C:$C,$C1537,$D:$D,$D1537,$E:$E,"P0(후)",$M:$M,"&gt;0")&lt;&gt;1,"",SUMIFS($I:$I,$C:$C,$C1537,$D:$D,$D1537,$E:$E,"P0(후)"))</f>
        <v/>
      </c>
      <c r="R1537" s="31">
        <f>IF(COUNTIFS($C:$C,$C1537,$D:$D,$D1537,$E:$E,"P0(후)",$M:$M,"&gt;0")&lt;&gt;1,"",SUMIFS($M:$M,$C:$C,$C1537,$D:$D,$D1537,$E:$E,"P0(후)"))</f>
        <v/>
      </c>
      <c r="S1537" s="31">
        <f>IF(N1537&lt;&gt;"OK","",P1537+(R1537-P1537)*(I1537-O1537)/(Q1537-O1537))</f>
        <v/>
      </c>
      <c r="T1537" s="31">
        <f>IF(OR(N1537&lt;&gt;"OK",NOT(ISNUMBER(M1537))),"",M1537-S1537)</f>
        <v/>
      </c>
      <c r="U1537" s="49">
        <f>IF(OR(NOT(ISNUMBER(T1537)),IF(ISNUMBER(H1537),H1537,G1537)=0),"",T1537/IF(ISNUMBER(H1537),H1537,G1537))</f>
        <v/>
      </c>
      <c r="V1537" s="49">
        <f>IF(ISNUMBER(U1537),ABS(U1537),"")</f>
        <v/>
      </c>
      <c r="W1537" s="49">
        <f>IF(OR($E1536&lt;&gt;"측정",$C1536&lt;&gt;$C1537,$D1536&lt;&gt;$D1537,NOT(ISNUMBER(M1537)),NOT(ISNUMBER(M1536)),(IF(ISNUMBER(H1537),H1537,G1537)-IF(ISNUMBER(H1536),H1536,G1536))=0),"",(M1537-M1536)/(IF(ISNUMBER(H1537),H1537,G1537)-IF(ISNUMBER(H1536),H1536,G1536)))</f>
        <v/>
      </c>
      <c r="X1537" s="31">
        <f>IF(NOT(AND(ISNUMBER(O1537),ISNUMBER(Q1537))),"",(Q1537-O1537)*1440)</f>
        <v/>
      </c>
      <c r="Y1537" s="29" t="n"/>
      <c r="Z1537" s="29" t="n"/>
      <c r="AA1537" s="29" t="n"/>
      <c r="AB1537" s="32" t="n"/>
      <c r="AC1537" s="32" t="n"/>
    </row>
    <row r="1538">
      <c r="A1538" s="26" t="inlineStr">
        <is>
          <t>S30</t>
        </is>
      </c>
      <c r="B1538" s="26" t="inlineStr">
        <is>
          <t>창녕 신규점</t>
        </is>
      </c>
      <c r="C1538" s="26" t="inlineStr">
        <is>
          <t>S30-H서</t>
        </is>
      </c>
      <c r="D1538" s="47" t="n">
        <v>1</v>
      </c>
      <c r="E1538" s="26" t="inlineStr">
        <is>
          <t>측정</t>
        </is>
      </c>
      <c r="F1538" s="26" t="inlineStr">
        <is>
          <t>서</t>
        </is>
      </c>
      <c r="G1538" s="31" t="n">
        <v>10</v>
      </c>
      <c r="H1538" s="30" t="n"/>
      <c r="I1538" s="43" t="n"/>
      <c r="J1538" s="41" t="n"/>
      <c r="K1538" s="41" t="n"/>
      <c r="L1538" s="41" t="n"/>
      <c r="M1538" s="31">
        <f>IF(COUNT(J1538:L1538)=0,"",MEDIAN(J1538:L1538))</f>
        <v/>
      </c>
      <c r="N1538" s="26">
        <f>IF(COUNTIFS($C:$C,$C1538,$D:$D,$D1538,$E:$E,"P0(전)",$M:$M,"&gt;0")&lt;&gt;1,"P0(전) 유효 1개 아님",IF(COUNTIFS($C:$C,$C1538,$D:$D,$D1538,$E:$E,"P0(후)",$M:$M,"&gt;0")&lt;&gt;1,"P0(후) 유효 1개 아님",IF(NOT(AND(ISNUMBER(O1538),ISNUMBER(Q1538),ISNUMBER(I1538))),"시각 결측",IF(Q1538&lt;=O1538,"P0 시각 역전",IF(OR(I1538&lt;O1538,I1538&gt;Q1538),"측정시각 구간 밖","OK")))))</f>
        <v/>
      </c>
      <c r="O1538" s="48">
        <f>IF(COUNTIFS($C:$C,$C1538,$D:$D,$D1538,$E:$E,"P0(전)",$M:$M,"&gt;0")&lt;&gt;1,"",SUMIFS($I:$I,$C:$C,$C1538,$D:$D,$D1538,$E:$E,"P0(전)"))</f>
        <v/>
      </c>
      <c r="P1538" s="31">
        <f>IF(COUNTIFS($C:$C,$C1538,$D:$D,$D1538,$E:$E,"P0(전)",$M:$M,"&gt;0")&lt;&gt;1,"",SUMIFS($M:$M,$C:$C,$C1538,$D:$D,$D1538,$E:$E,"P0(전)"))</f>
        <v/>
      </c>
      <c r="Q1538" s="48">
        <f>IF(COUNTIFS($C:$C,$C1538,$D:$D,$D1538,$E:$E,"P0(후)",$M:$M,"&gt;0")&lt;&gt;1,"",SUMIFS($I:$I,$C:$C,$C1538,$D:$D,$D1538,$E:$E,"P0(후)"))</f>
        <v/>
      </c>
      <c r="R1538" s="31">
        <f>IF(COUNTIFS($C:$C,$C1538,$D:$D,$D1538,$E:$E,"P0(후)",$M:$M,"&gt;0")&lt;&gt;1,"",SUMIFS($M:$M,$C:$C,$C1538,$D:$D,$D1538,$E:$E,"P0(후)"))</f>
        <v/>
      </c>
      <c r="S1538" s="31">
        <f>IF(N1538&lt;&gt;"OK","",P1538+(R1538-P1538)*(I1538-O1538)/(Q1538-O1538))</f>
        <v/>
      </c>
      <c r="T1538" s="31">
        <f>IF(OR(N1538&lt;&gt;"OK",NOT(ISNUMBER(M1538))),"",M1538-S1538)</f>
        <v/>
      </c>
      <c r="U1538" s="49">
        <f>IF(OR(NOT(ISNUMBER(T1538)),IF(ISNUMBER(H1538),H1538,G1538)=0),"",T1538/IF(ISNUMBER(H1538),H1538,G1538))</f>
        <v/>
      </c>
      <c r="V1538" s="49">
        <f>IF(ISNUMBER(U1538),ABS(U1538),"")</f>
        <v/>
      </c>
      <c r="W1538" s="49">
        <f>IF(OR($E1537&lt;&gt;"측정",$C1537&lt;&gt;$C1538,$D1537&lt;&gt;$D1538,NOT(ISNUMBER(M1538)),NOT(ISNUMBER(M1537)),(IF(ISNUMBER(H1538),H1538,G1538)-IF(ISNUMBER(H1537),H1537,G1537))=0),"",(M1538-M1537)/(IF(ISNUMBER(H1538),H1538,G1538)-IF(ISNUMBER(H1537),H1537,G1537)))</f>
        <v/>
      </c>
      <c r="X1538" s="31">
        <f>IF(NOT(AND(ISNUMBER(O1538),ISNUMBER(Q1538))),"",(Q1538-O1538)*1440)</f>
        <v/>
      </c>
      <c r="Y1538" s="29" t="n"/>
      <c r="Z1538" s="29" t="n"/>
      <c r="AA1538" s="29" t="n"/>
      <c r="AB1538" s="32" t="n"/>
      <c r="AC1538" s="32" t="n"/>
    </row>
    <row r="1539">
      <c r="A1539" s="44" t="inlineStr">
        <is>
          <t>S30</t>
        </is>
      </c>
      <c r="B1539" s="44" t="inlineStr">
        <is>
          <t>창녕 신규점</t>
        </is>
      </c>
      <c r="C1539" s="44" t="inlineStr">
        <is>
          <t>S30-H서</t>
        </is>
      </c>
      <c r="D1539" s="45" t="n">
        <v>1</v>
      </c>
      <c r="E1539" s="44" t="inlineStr">
        <is>
          <t>P0(후)</t>
        </is>
      </c>
      <c r="F1539" s="44" t="inlineStr">
        <is>
          <t>서</t>
        </is>
      </c>
      <c r="G1539" s="46" t="n"/>
      <c r="H1539" s="30" t="n"/>
      <c r="I1539" s="43" t="n"/>
      <c r="J1539" s="41" t="n"/>
      <c r="K1539" s="41" t="n"/>
      <c r="L1539" s="41" t="n"/>
      <c r="M1539" s="31">
        <f>IF(COUNT(J1539:L1539)=0,"",MEDIAN(J1539:L1539))</f>
        <v/>
      </c>
      <c r="N1539" s="38" t="n"/>
      <c r="O1539" s="38" t="n"/>
      <c r="P1539" s="38" t="n"/>
      <c r="Q1539" s="38" t="n"/>
      <c r="R1539" s="38" t="n"/>
      <c r="S1539" s="38" t="n"/>
      <c r="T1539" s="38" t="n"/>
      <c r="U1539" s="38" t="n"/>
      <c r="V1539" s="38" t="n"/>
      <c r="W1539" s="38" t="n"/>
      <c r="X1539" s="38" t="n"/>
      <c r="Y1539" s="29" t="n"/>
      <c r="Z1539" s="29" t="n"/>
      <c r="AA1539" s="29" t="n"/>
      <c r="AB1539" s="32" t="n"/>
      <c r="AC1539" s="32" t="n"/>
    </row>
    <row r="1540">
      <c r="A1540" s="44" t="inlineStr">
        <is>
          <t>S30</t>
        </is>
      </c>
      <c r="B1540" s="44" t="inlineStr">
        <is>
          <t>창녕 신규점</t>
        </is>
      </c>
      <c r="C1540" s="44" t="inlineStr">
        <is>
          <t>S30-H남</t>
        </is>
      </c>
      <c r="D1540" s="45" t="n">
        <v>1</v>
      </c>
      <c r="E1540" s="44" t="inlineStr">
        <is>
          <t>P0(전)</t>
        </is>
      </c>
      <c r="F1540" s="44" t="inlineStr">
        <is>
          <t>남</t>
        </is>
      </c>
      <c r="G1540" s="46" t="n"/>
      <c r="H1540" s="30" t="n"/>
      <c r="I1540" s="43" t="n"/>
      <c r="J1540" s="41" t="n"/>
      <c r="K1540" s="41" t="n"/>
      <c r="L1540" s="41" t="n"/>
      <c r="M1540" s="31">
        <f>IF(COUNT(J1540:L1540)=0,"",MEDIAN(J1540:L1540))</f>
        <v/>
      </c>
      <c r="N1540" s="38" t="n"/>
      <c r="O1540" s="38" t="n"/>
      <c r="P1540" s="38" t="n"/>
      <c r="Q1540" s="38" t="n"/>
      <c r="R1540" s="38" t="n"/>
      <c r="S1540" s="38" t="n"/>
      <c r="T1540" s="38" t="n"/>
      <c r="U1540" s="38" t="n"/>
      <c r="V1540" s="38" t="n"/>
      <c r="W1540" s="38" t="n"/>
      <c r="X1540" s="38" t="n"/>
      <c r="Y1540" s="29" t="n"/>
      <c r="Z1540" s="29" t="n"/>
      <c r="AA1540" s="29" t="n"/>
      <c r="AB1540" s="32" t="n"/>
      <c r="AC1540" s="32" t="n"/>
    </row>
    <row r="1541">
      <c r="A1541" s="26" t="inlineStr">
        <is>
          <t>S30</t>
        </is>
      </c>
      <c r="B1541" s="26" t="inlineStr">
        <is>
          <t>창녕 신규점</t>
        </is>
      </c>
      <c r="C1541" s="26" t="inlineStr">
        <is>
          <t>S30-H남</t>
        </is>
      </c>
      <c r="D1541" s="47" t="n">
        <v>1</v>
      </c>
      <c r="E1541" s="26" t="inlineStr">
        <is>
          <t>측정</t>
        </is>
      </c>
      <c r="F1541" s="26" t="inlineStr">
        <is>
          <t>남</t>
        </is>
      </c>
      <c r="G1541" s="31" t="n">
        <v>0.5</v>
      </c>
      <c r="H1541" s="30" t="n"/>
      <c r="I1541" s="43" t="n"/>
      <c r="J1541" s="41" t="n"/>
      <c r="K1541" s="41" t="n"/>
      <c r="L1541" s="41" t="n"/>
      <c r="M1541" s="31">
        <f>IF(COUNT(J1541:L1541)=0,"",MEDIAN(J1541:L1541))</f>
        <v/>
      </c>
      <c r="N1541" s="26">
        <f>IF(COUNTIFS($C:$C,$C1541,$D:$D,$D1541,$E:$E,"P0(전)",$M:$M,"&gt;0")&lt;&gt;1,"P0(전) 유효 1개 아님",IF(COUNTIFS($C:$C,$C1541,$D:$D,$D1541,$E:$E,"P0(후)",$M:$M,"&gt;0")&lt;&gt;1,"P0(후) 유효 1개 아님",IF(NOT(AND(ISNUMBER(O1541),ISNUMBER(Q1541),ISNUMBER(I1541))),"시각 결측",IF(Q1541&lt;=O1541,"P0 시각 역전",IF(OR(I1541&lt;O1541,I1541&gt;Q1541),"측정시각 구간 밖","OK")))))</f>
        <v/>
      </c>
      <c r="O1541" s="48">
        <f>IF(COUNTIFS($C:$C,$C1541,$D:$D,$D1541,$E:$E,"P0(전)",$M:$M,"&gt;0")&lt;&gt;1,"",SUMIFS($I:$I,$C:$C,$C1541,$D:$D,$D1541,$E:$E,"P0(전)"))</f>
        <v/>
      </c>
      <c r="P1541" s="31">
        <f>IF(COUNTIFS($C:$C,$C1541,$D:$D,$D1541,$E:$E,"P0(전)",$M:$M,"&gt;0")&lt;&gt;1,"",SUMIFS($M:$M,$C:$C,$C1541,$D:$D,$D1541,$E:$E,"P0(전)"))</f>
        <v/>
      </c>
      <c r="Q1541" s="48">
        <f>IF(COUNTIFS($C:$C,$C1541,$D:$D,$D1541,$E:$E,"P0(후)",$M:$M,"&gt;0")&lt;&gt;1,"",SUMIFS($I:$I,$C:$C,$C1541,$D:$D,$D1541,$E:$E,"P0(후)"))</f>
        <v/>
      </c>
      <c r="R1541" s="31">
        <f>IF(COUNTIFS($C:$C,$C1541,$D:$D,$D1541,$E:$E,"P0(후)",$M:$M,"&gt;0")&lt;&gt;1,"",SUMIFS($M:$M,$C:$C,$C1541,$D:$D,$D1541,$E:$E,"P0(후)"))</f>
        <v/>
      </c>
      <c r="S1541" s="31">
        <f>IF(N1541&lt;&gt;"OK","",P1541+(R1541-P1541)*(I1541-O1541)/(Q1541-O1541))</f>
        <v/>
      </c>
      <c r="T1541" s="31">
        <f>IF(OR(N1541&lt;&gt;"OK",NOT(ISNUMBER(M1541))),"",M1541-S1541)</f>
        <v/>
      </c>
      <c r="U1541" s="49">
        <f>IF(OR(NOT(ISNUMBER(T1541)),IF(ISNUMBER(H1541),H1541,G1541)=0),"",T1541/IF(ISNUMBER(H1541),H1541,G1541))</f>
        <v/>
      </c>
      <c r="V1541" s="49">
        <f>IF(ISNUMBER(U1541),ABS(U1541),"")</f>
        <v/>
      </c>
      <c r="W1541" s="49">
        <f>IF(OR($E1540&lt;&gt;"측정",$C1540&lt;&gt;$C1541,$D1540&lt;&gt;$D1541,NOT(ISNUMBER(M1541)),NOT(ISNUMBER(M1540)),(IF(ISNUMBER(H1541),H1541,G1541)-IF(ISNUMBER(H1540),H1540,G1540))=0),"",(M1541-M1540)/(IF(ISNUMBER(H1541),H1541,G1541)-IF(ISNUMBER(H1540),H1540,G1540)))</f>
        <v/>
      </c>
      <c r="X1541" s="31">
        <f>IF(NOT(AND(ISNUMBER(O1541),ISNUMBER(Q1541))),"",(Q1541-O1541)*1440)</f>
        <v/>
      </c>
      <c r="Y1541" s="29" t="n"/>
      <c r="Z1541" s="29" t="n"/>
      <c r="AA1541" s="29" t="n"/>
      <c r="AB1541" s="32" t="n"/>
      <c r="AC1541" s="32" t="n"/>
    </row>
    <row r="1542">
      <c r="A1542" s="26" t="inlineStr">
        <is>
          <t>S30</t>
        </is>
      </c>
      <c r="B1542" s="26" t="inlineStr">
        <is>
          <t>창녕 신규점</t>
        </is>
      </c>
      <c r="C1542" s="26" t="inlineStr">
        <is>
          <t>S30-H남</t>
        </is>
      </c>
      <c r="D1542" s="47" t="n">
        <v>1</v>
      </c>
      <c r="E1542" s="26" t="inlineStr">
        <is>
          <t>측정</t>
        </is>
      </c>
      <c r="F1542" s="26" t="inlineStr">
        <is>
          <t>남</t>
        </is>
      </c>
      <c r="G1542" s="31" t="n">
        <v>1</v>
      </c>
      <c r="H1542" s="30" t="n"/>
      <c r="I1542" s="43" t="n"/>
      <c r="J1542" s="41" t="n"/>
      <c r="K1542" s="41" t="n"/>
      <c r="L1542" s="41" t="n"/>
      <c r="M1542" s="31">
        <f>IF(COUNT(J1542:L1542)=0,"",MEDIAN(J1542:L1542))</f>
        <v/>
      </c>
      <c r="N1542" s="26">
        <f>IF(COUNTIFS($C:$C,$C1542,$D:$D,$D1542,$E:$E,"P0(전)",$M:$M,"&gt;0")&lt;&gt;1,"P0(전) 유효 1개 아님",IF(COUNTIFS($C:$C,$C1542,$D:$D,$D1542,$E:$E,"P0(후)",$M:$M,"&gt;0")&lt;&gt;1,"P0(후) 유효 1개 아님",IF(NOT(AND(ISNUMBER(O1542),ISNUMBER(Q1542),ISNUMBER(I1542))),"시각 결측",IF(Q1542&lt;=O1542,"P0 시각 역전",IF(OR(I1542&lt;O1542,I1542&gt;Q1542),"측정시각 구간 밖","OK")))))</f>
        <v/>
      </c>
      <c r="O1542" s="48">
        <f>IF(COUNTIFS($C:$C,$C1542,$D:$D,$D1542,$E:$E,"P0(전)",$M:$M,"&gt;0")&lt;&gt;1,"",SUMIFS($I:$I,$C:$C,$C1542,$D:$D,$D1542,$E:$E,"P0(전)"))</f>
        <v/>
      </c>
      <c r="P1542" s="31">
        <f>IF(COUNTIFS($C:$C,$C1542,$D:$D,$D1542,$E:$E,"P0(전)",$M:$M,"&gt;0")&lt;&gt;1,"",SUMIFS($M:$M,$C:$C,$C1542,$D:$D,$D1542,$E:$E,"P0(전)"))</f>
        <v/>
      </c>
      <c r="Q1542" s="48">
        <f>IF(COUNTIFS($C:$C,$C1542,$D:$D,$D1542,$E:$E,"P0(후)",$M:$M,"&gt;0")&lt;&gt;1,"",SUMIFS($I:$I,$C:$C,$C1542,$D:$D,$D1542,$E:$E,"P0(후)"))</f>
        <v/>
      </c>
      <c r="R1542" s="31">
        <f>IF(COUNTIFS($C:$C,$C1542,$D:$D,$D1542,$E:$E,"P0(후)",$M:$M,"&gt;0")&lt;&gt;1,"",SUMIFS($M:$M,$C:$C,$C1542,$D:$D,$D1542,$E:$E,"P0(후)"))</f>
        <v/>
      </c>
      <c r="S1542" s="31">
        <f>IF(N1542&lt;&gt;"OK","",P1542+(R1542-P1542)*(I1542-O1542)/(Q1542-O1542))</f>
        <v/>
      </c>
      <c r="T1542" s="31">
        <f>IF(OR(N1542&lt;&gt;"OK",NOT(ISNUMBER(M1542))),"",M1542-S1542)</f>
        <v/>
      </c>
      <c r="U1542" s="49">
        <f>IF(OR(NOT(ISNUMBER(T1542)),IF(ISNUMBER(H1542),H1542,G1542)=0),"",T1542/IF(ISNUMBER(H1542),H1542,G1542))</f>
        <v/>
      </c>
      <c r="V1542" s="49">
        <f>IF(ISNUMBER(U1542),ABS(U1542),"")</f>
        <v/>
      </c>
      <c r="W1542" s="49">
        <f>IF(OR($E1541&lt;&gt;"측정",$C1541&lt;&gt;$C1542,$D1541&lt;&gt;$D1542,NOT(ISNUMBER(M1542)),NOT(ISNUMBER(M1541)),(IF(ISNUMBER(H1542),H1542,G1542)-IF(ISNUMBER(H1541),H1541,G1541))=0),"",(M1542-M1541)/(IF(ISNUMBER(H1542),H1542,G1542)-IF(ISNUMBER(H1541),H1541,G1541)))</f>
        <v/>
      </c>
      <c r="X1542" s="31">
        <f>IF(NOT(AND(ISNUMBER(O1542),ISNUMBER(Q1542))),"",(Q1542-O1542)*1440)</f>
        <v/>
      </c>
      <c r="Y1542" s="29" t="n"/>
      <c r="Z1542" s="29" t="n"/>
      <c r="AA1542" s="29" t="n"/>
      <c r="AB1542" s="32" t="n"/>
      <c r="AC1542" s="32" t="n"/>
    </row>
    <row r="1543">
      <c r="A1543" s="26" t="inlineStr">
        <is>
          <t>S30</t>
        </is>
      </c>
      <c r="B1543" s="26" t="inlineStr">
        <is>
          <t>창녕 신규점</t>
        </is>
      </c>
      <c r="C1543" s="26" t="inlineStr">
        <is>
          <t>S30-H남</t>
        </is>
      </c>
      <c r="D1543" s="47" t="n">
        <v>1</v>
      </c>
      <c r="E1543" s="26" t="inlineStr">
        <is>
          <t>측정</t>
        </is>
      </c>
      <c r="F1543" s="26" t="inlineStr">
        <is>
          <t>남</t>
        </is>
      </c>
      <c r="G1543" s="31" t="n">
        <v>2</v>
      </c>
      <c r="H1543" s="30" t="n"/>
      <c r="I1543" s="43" t="n"/>
      <c r="J1543" s="41" t="n"/>
      <c r="K1543" s="41" t="n"/>
      <c r="L1543" s="41" t="n"/>
      <c r="M1543" s="31">
        <f>IF(COUNT(J1543:L1543)=0,"",MEDIAN(J1543:L1543))</f>
        <v/>
      </c>
      <c r="N1543" s="26">
        <f>IF(COUNTIFS($C:$C,$C1543,$D:$D,$D1543,$E:$E,"P0(전)",$M:$M,"&gt;0")&lt;&gt;1,"P0(전) 유효 1개 아님",IF(COUNTIFS($C:$C,$C1543,$D:$D,$D1543,$E:$E,"P0(후)",$M:$M,"&gt;0")&lt;&gt;1,"P0(후) 유효 1개 아님",IF(NOT(AND(ISNUMBER(O1543),ISNUMBER(Q1543),ISNUMBER(I1543))),"시각 결측",IF(Q1543&lt;=O1543,"P0 시각 역전",IF(OR(I1543&lt;O1543,I1543&gt;Q1543),"측정시각 구간 밖","OK")))))</f>
        <v/>
      </c>
      <c r="O1543" s="48">
        <f>IF(COUNTIFS($C:$C,$C1543,$D:$D,$D1543,$E:$E,"P0(전)",$M:$M,"&gt;0")&lt;&gt;1,"",SUMIFS($I:$I,$C:$C,$C1543,$D:$D,$D1543,$E:$E,"P0(전)"))</f>
        <v/>
      </c>
      <c r="P1543" s="31">
        <f>IF(COUNTIFS($C:$C,$C1543,$D:$D,$D1543,$E:$E,"P0(전)",$M:$M,"&gt;0")&lt;&gt;1,"",SUMIFS($M:$M,$C:$C,$C1543,$D:$D,$D1543,$E:$E,"P0(전)"))</f>
        <v/>
      </c>
      <c r="Q1543" s="48">
        <f>IF(COUNTIFS($C:$C,$C1543,$D:$D,$D1543,$E:$E,"P0(후)",$M:$M,"&gt;0")&lt;&gt;1,"",SUMIFS($I:$I,$C:$C,$C1543,$D:$D,$D1543,$E:$E,"P0(후)"))</f>
        <v/>
      </c>
      <c r="R1543" s="31">
        <f>IF(COUNTIFS($C:$C,$C1543,$D:$D,$D1543,$E:$E,"P0(후)",$M:$M,"&gt;0")&lt;&gt;1,"",SUMIFS($M:$M,$C:$C,$C1543,$D:$D,$D1543,$E:$E,"P0(후)"))</f>
        <v/>
      </c>
      <c r="S1543" s="31">
        <f>IF(N1543&lt;&gt;"OK","",P1543+(R1543-P1543)*(I1543-O1543)/(Q1543-O1543))</f>
        <v/>
      </c>
      <c r="T1543" s="31">
        <f>IF(OR(N1543&lt;&gt;"OK",NOT(ISNUMBER(M1543))),"",M1543-S1543)</f>
        <v/>
      </c>
      <c r="U1543" s="49">
        <f>IF(OR(NOT(ISNUMBER(T1543)),IF(ISNUMBER(H1543),H1543,G1543)=0),"",T1543/IF(ISNUMBER(H1543),H1543,G1543))</f>
        <v/>
      </c>
      <c r="V1543" s="49">
        <f>IF(ISNUMBER(U1543),ABS(U1543),"")</f>
        <v/>
      </c>
      <c r="W1543" s="49">
        <f>IF(OR($E1542&lt;&gt;"측정",$C1542&lt;&gt;$C1543,$D1542&lt;&gt;$D1543,NOT(ISNUMBER(M1543)),NOT(ISNUMBER(M1542)),(IF(ISNUMBER(H1543),H1543,G1543)-IF(ISNUMBER(H1542),H1542,G1542))=0),"",(M1543-M1542)/(IF(ISNUMBER(H1543),H1543,G1543)-IF(ISNUMBER(H1542),H1542,G1542)))</f>
        <v/>
      </c>
      <c r="X1543" s="31">
        <f>IF(NOT(AND(ISNUMBER(O1543),ISNUMBER(Q1543))),"",(Q1543-O1543)*1440)</f>
        <v/>
      </c>
      <c r="Y1543" s="29" t="n"/>
      <c r="Z1543" s="29" t="n"/>
      <c r="AA1543" s="29" t="n"/>
      <c r="AB1543" s="32" t="n"/>
      <c r="AC1543" s="32" t="n"/>
    </row>
    <row r="1544">
      <c r="A1544" s="26" t="inlineStr">
        <is>
          <t>S30</t>
        </is>
      </c>
      <c r="B1544" s="26" t="inlineStr">
        <is>
          <t>창녕 신규점</t>
        </is>
      </c>
      <c r="C1544" s="26" t="inlineStr">
        <is>
          <t>S30-H남</t>
        </is>
      </c>
      <c r="D1544" s="47" t="n">
        <v>1</v>
      </c>
      <c r="E1544" s="26" t="inlineStr">
        <is>
          <t>측정</t>
        </is>
      </c>
      <c r="F1544" s="26" t="inlineStr">
        <is>
          <t>남</t>
        </is>
      </c>
      <c r="G1544" s="31" t="n">
        <v>3</v>
      </c>
      <c r="H1544" s="30" t="n"/>
      <c r="I1544" s="43" t="n"/>
      <c r="J1544" s="41" t="n"/>
      <c r="K1544" s="41" t="n"/>
      <c r="L1544" s="41" t="n"/>
      <c r="M1544" s="31">
        <f>IF(COUNT(J1544:L1544)=0,"",MEDIAN(J1544:L1544))</f>
        <v/>
      </c>
      <c r="N1544" s="26">
        <f>IF(COUNTIFS($C:$C,$C1544,$D:$D,$D1544,$E:$E,"P0(전)",$M:$M,"&gt;0")&lt;&gt;1,"P0(전) 유효 1개 아님",IF(COUNTIFS($C:$C,$C1544,$D:$D,$D1544,$E:$E,"P0(후)",$M:$M,"&gt;0")&lt;&gt;1,"P0(후) 유효 1개 아님",IF(NOT(AND(ISNUMBER(O1544),ISNUMBER(Q1544),ISNUMBER(I1544))),"시각 결측",IF(Q1544&lt;=O1544,"P0 시각 역전",IF(OR(I1544&lt;O1544,I1544&gt;Q1544),"측정시각 구간 밖","OK")))))</f>
        <v/>
      </c>
      <c r="O1544" s="48">
        <f>IF(COUNTIFS($C:$C,$C1544,$D:$D,$D1544,$E:$E,"P0(전)",$M:$M,"&gt;0")&lt;&gt;1,"",SUMIFS($I:$I,$C:$C,$C1544,$D:$D,$D1544,$E:$E,"P0(전)"))</f>
        <v/>
      </c>
      <c r="P1544" s="31">
        <f>IF(COUNTIFS($C:$C,$C1544,$D:$D,$D1544,$E:$E,"P0(전)",$M:$M,"&gt;0")&lt;&gt;1,"",SUMIFS($M:$M,$C:$C,$C1544,$D:$D,$D1544,$E:$E,"P0(전)"))</f>
        <v/>
      </c>
      <c r="Q1544" s="48">
        <f>IF(COUNTIFS($C:$C,$C1544,$D:$D,$D1544,$E:$E,"P0(후)",$M:$M,"&gt;0")&lt;&gt;1,"",SUMIFS($I:$I,$C:$C,$C1544,$D:$D,$D1544,$E:$E,"P0(후)"))</f>
        <v/>
      </c>
      <c r="R1544" s="31">
        <f>IF(COUNTIFS($C:$C,$C1544,$D:$D,$D1544,$E:$E,"P0(후)",$M:$M,"&gt;0")&lt;&gt;1,"",SUMIFS($M:$M,$C:$C,$C1544,$D:$D,$D1544,$E:$E,"P0(후)"))</f>
        <v/>
      </c>
      <c r="S1544" s="31">
        <f>IF(N1544&lt;&gt;"OK","",P1544+(R1544-P1544)*(I1544-O1544)/(Q1544-O1544))</f>
        <v/>
      </c>
      <c r="T1544" s="31">
        <f>IF(OR(N1544&lt;&gt;"OK",NOT(ISNUMBER(M1544))),"",M1544-S1544)</f>
        <v/>
      </c>
      <c r="U1544" s="49">
        <f>IF(OR(NOT(ISNUMBER(T1544)),IF(ISNUMBER(H1544),H1544,G1544)=0),"",T1544/IF(ISNUMBER(H1544),H1544,G1544))</f>
        <v/>
      </c>
      <c r="V1544" s="49">
        <f>IF(ISNUMBER(U1544),ABS(U1544),"")</f>
        <v/>
      </c>
      <c r="W1544" s="49">
        <f>IF(OR($E1543&lt;&gt;"측정",$C1543&lt;&gt;$C1544,$D1543&lt;&gt;$D1544,NOT(ISNUMBER(M1544)),NOT(ISNUMBER(M1543)),(IF(ISNUMBER(H1544),H1544,G1544)-IF(ISNUMBER(H1543),H1543,G1543))=0),"",(M1544-M1543)/(IF(ISNUMBER(H1544),H1544,G1544)-IF(ISNUMBER(H1543),H1543,G1543)))</f>
        <v/>
      </c>
      <c r="X1544" s="31">
        <f>IF(NOT(AND(ISNUMBER(O1544),ISNUMBER(Q1544))),"",(Q1544-O1544)*1440)</f>
        <v/>
      </c>
      <c r="Y1544" s="29" t="n"/>
      <c r="Z1544" s="29" t="n"/>
      <c r="AA1544" s="29" t="n"/>
      <c r="AB1544" s="32" t="n"/>
      <c r="AC1544" s="32" t="n"/>
    </row>
    <row r="1545">
      <c r="A1545" s="26" t="inlineStr">
        <is>
          <t>S30</t>
        </is>
      </c>
      <c r="B1545" s="26" t="inlineStr">
        <is>
          <t>창녕 신규점</t>
        </is>
      </c>
      <c r="C1545" s="26" t="inlineStr">
        <is>
          <t>S30-H남</t>
        </is>
      </c>
      <c r="D1545" s="47" t="n">
        <v>1</v>
      </c>
      <c r="E1545" s="26" t="inlineStr">
        <is>
          <t>측정</t>
        </is>
      </c>
      <c r="F1545" s="26" t="inlineStr">
        <is>
          <t>남</t>
        </is>
      </c>
      <c r="G1545" s="31" t="n">
        <v>4</v>
      </c>
      <c r="H1545" s="30" t="n"/>
      <c r="I1545" s="43" t="n"/>
      <c r="J1545" s="41" t="n"/>
      <c r="K1545" s="41" t="n"/>
      <c r="L1545" s="41" t="n"/>
      <c r="M1545" s="31">
        <f>IF(COUNT(J1545:L1545)=0,"",MEDIAN(J1545:L1545))</f>
        <v/>
      </c>
      <c r="N1545" s="26">
        <f>IF(COUNTIFS($C:$C,$C1545,$D:$D,$D1545,$E:$E,"P0(전)",$M:$M,"&gt;0")&lt;&gt;1,"P0(전) 유효 1개 아님",IF(COUNTIFS($C:$C,$C1545,$D:$D,$D1545,$E:$E,"P0(후)",$M:$M,"&gt;0")&lt;&gt;1,"P0(후) 유효 1개 아님",IF(NOT(AND(ISNUMBER(O1545),ISNUMBER(Q1545),ISNUMBER(I1545))),"시각 결측",IF(Q1545&lt;=O1545,"P0 시각 역전",IF(OR(I1545&lt;O1545,I1545&gt;Q1545),"측정시각 구간 밖","OK")))))</f>
        <v/>
      </c>
      <c r="O1545" s="48">
        <f>IF(COUNTIFS($C:$C,$C1545,$D:$D,$D1545,$E:$E,"P0(전)",$M:$M,"&gt;0")&lt;&gt;1,"",SUMIFS($I:$I,$C:$C,$C1545,$D:$D,$D1545,$E:$E,"P0(전)"))</f>
        <v/>
      </c>
      <c r="P1545" s="31">
        <f>IF(COUNTIFS($C:$C,$C1545,$D:$D,$D1545,$E:$E,"P0(전)",$M:$M,"&gt;0")&lt;&gt;1,"",SUMIFS($M:$M,$C:$C,$C1545,$D:$D,$D1545,$E:$E,"P0(전)"))</f>
        <v/>
      </c>
      <c r="Q1545" s="48">
        <f>IF(COUNTIFS($C:$C,$C1545,$D:$D,$D1545,$E:$E,"P0(후)",$M:$M,"&gt;0")&lt;&gt;1,"",SUMIFS($I:$I,$C:$C,$C1545,$D:$D,$D1545,$E:$E,"P0(후)"))</f>
        <v/>
      </c>
      <c r="R1545" s="31">
        <f>IF(COUNTIFS($C:$C,$C1545,$D:$D,$D1545,$E:$E,"P0(후)",$M:$M,"&gt;0")&lt;&gt;1,"",SUMIFS($M:$M,$C:$C,$C1545,$D:$D,$D1545,$E:$E,"P0(후)"))</f>
        <v/>
      </c>
      <c r="S1545" s="31">
        <f>IF(N1545&lt;&gt;"OK","",P1545+(R1545-P1545)*(I1545-O1545)/(Q1545-O1545))</f>
        <v/>
      </c>
      <c r="T1545" s="31">
        <f>IF(OR(N1545&lt;&gt;"OK",NOT(ISNUMBER(M1545))),"",M1545-S1545)</f>
        <v/>
      </c>
      <c r="U1545" s="49">
        <f>IF(OR(NOT(ISNUMBER(T1545)),IF(ISNUMBER(H1545),H1545,G1545)=0),"",T1545/IF(ISNUMBER(H1545),H1545,G1545))</f>
        <v/>
      </c>
      <c r="V1545" s="49">
        <f>IF(ISNUMBER(U1545),ABS(U1545),"")</f>
        <v/>
      </c>
      <c r="W1545" s="49">
        <f>IF(OR($E1544&lt;&gt;"측정",$C1544&lt;&gt;$C1545,$D1544&lt;&gt;$D1545,NOT(ISNUMBER(M1545)),NOT(ISNUMBER(M1544)),(IF(ISNUMBER(H1545),H1545,G1545)-IF(ISNUMBER(H1544),H1544,G1544))=0),"",(M1545-M1544)/(IF(ISNUMBER(H1545),H1545,G1545)-IF(ISNUMBER(H1544),H1544,G1544)))</f>
        <v/>
      </c>
      <c r="X1545" s="31">
        <f>IF(NOT(AND(ISNUMBER(O1545),ISNUMBER(Q1545))),"",(Q1545-O1545)*1440)</f>
        <v/>
      </c>
      <c r="Y1545" s="29" t="n"/>
      <c r="Z1545" s="29" t="n"/>
      <c r="AA1545" s="29" t="n"/>
      <c r="AB1545" s="32" t="n"/>
      <c r="AC1545" s="32" t="n"/>
    </row>
    <row r="1546">
      <c r="A1546" s="26" t="inlineStr">
        <is>
          <t>S30</t>
        </is>
      </c>
      <c r="B1546" s="26" t="inlineStr">
        <is>
          <t>창녕 신규점</t>
        </is>
      </c>
      <c r="C1546" s="26" t="inlineStr">
        <is>
          <t>S30-H남</t>
        </is>
      </c>
      <c r="D1546" s="47" t="n">
        <v>1</v>
      </c>
      <c r="E1546" s="26" t="inlineStr">
        <is>
          <t>측정</t>
        </is>
      </c>
      <c r="F1546" s="26" t="inlineStr">
        <is>
          <t>남</t>
        </is>
      </c>
      <c r="G1546" s="31" t="n">
        <v>5</v>
      </c>
      <c r="H1546" s="30" t="n"/>
      <c r="I1546" s="43" t="n"/>
      <c r="J1546" s="41" t="n"/>
      <c r="K1546" s="41" t="n"/>
      <c r="L1546" s="41" t="n"/>
      <c r="M1546" s="31">
        <f>IF(COUNT(J1546:L1546)=0,"",MEDIAN(J1546:L1546))</f>
        <v/>
      </c>
      <c r="N1546" s="26">
        <f>IF(COUNTIFS($C:$C,$C1546,$D:$D,$D1546,$E:$E,"P0(전)",$M:$M,"&gt;0")&lt;&gt;1,"P0(전) 유효 1개 아님",IF(COUNTIFS($C:$C,$C1546,$D:$D,$D1546,$E:$E,"P0(후)",$M:$M,"&gt;0")&lt;&gt;1,"P0(후) 유효 1개 아님",IF(NOT(AND(ISNUMBER(O1546),ISNUMBER(Q1546),ISNUMBER(I1546))),"시각 결측",IF(Q1546&lt;=O1546,"P0 시각 역전",IF(OR(I1546&lt;O1546,I1546&gt;Q1546),"측정시각 구간 밖","OK")))))</f>
        <v/>
      </c>
      <c r="O1546" s="48">
        <f>IF(COUNTIFS($C:$C,$C1546,$D:$D,$D1546,$E:$E,"P0(전)",$M:$M,"&gt;0")&lt;&gt;1,"",SUMIFS($I:$I,$C:$C,$C1546,$D:$D,$D1546,$E:$E,"P0(전)"))</f>
        <v/>
      </c>
      <c r="P1546" s="31">
        <f>IF(COUNTIFS($C:$C,$C1546,$D:$D,$D1546,$E:$E,"P0(전)",$M:$M,"&gt;0")&lt;&gt;1,"",SUMIFS($M:$M,$C:$C,$C1546,$D:$D,$D1546,$E:$E,"P0(전)"))</f>
        <v/>
      </c>
      <c r="Q1546" s="48">
        <f>IF(COUNTIFS($C:$C,$C1546,$D:$D,$D1546,$E:$E,"P0(후)",$M:$M,"&gt;0")&lt;&gt;1,"",SUMIFS($I:$I,$C:$C,$C1546,$D:$D,$D1546,$E:$E,"P0(후)"))</f>
        <v/>
      </c>
      <c r="R1546" s="31">
        <f>IF(COUNTIFS($C:$C,$C1546,$D:$D,$D1546,$E:$E,"P0(후)",$M:$M,"&gt;0")&lt;&gt;1,"",SUMIFS($M:$M,$C:$C,$C1546,$D:$D,$D1546,$E:$E,"P0(후)"))</f>
        <v/>
      </c>
      <c r="S1546" s="31">
        <f>IF(N1546&lt;&gt;"OK","",P1546+(R1546-P1546)*(I1546-O1546)/(Q1546-O1546))</f>
        <v/>
      </c>
      <c r="T1546" s="31">
        <f>IF(OR(N1546&lt;&gt;"OK",NOT(ISNUMBER(M1546))),"",M1546-S1546)</f>
        <v/>
      </c>
      <c r="U1546" s="49">
        <f>IF(OR(NOT(ISNUMBER(T1546)),IF(ISNUMBER(H1546),H1546,G1546)=0),"",T1546/IF(ISNUMBER(H1546),H1546,G1546))</f>
        <v/>
      </c>
      <c r="V1546" s="49">
        <f>IF(ISNUMBER(U1546),ABS(U1546),"")</f>
        <v/>
      </c>
      <c r="W1546" s="49">
        <f>IF(OR($E1545&lt;&gt;"측정",$C1545&lt;&gt;$C1546,$D1545&lt;&gt;$D1546,NOT(ISNUMBER(M1546)),NOT(ISNUMBER(M1545)),(IF(ISNUMBER(H1546),H1546,G1546)-IF(ISNUMBER(H1545),H1545,G1545))=0),"",(M1546-M1545)/(IF(ISNUMBER(H1546),H1546,G1546)-IF(ISNUMBER(H1545),H1545,G1545)))</f>
        <v/>
      </c>
      <c r="X1546" s="31">
        <f>IF(NOT(AND(ISNUMBER(O1546),ISNUMBER(Q1546))),"",(Q1546-O1546)*1440)</f>
        <v/>
      </c>
      <c r="Y1546" s="29" t="n"/>
      <c r="Z1546" s="29" t="n"/>
      <c r="AA1546" s="29" t="n"/>
      <c r="AB1546" s="32" t="n"/>
      <c r="AC1546" s="32" t="n"/>
    </row>
    <row r="1547">
      <c r="A1547" s="26" t="inlineStr">
        <is>
          <t>S30</t>
        </is>
      </c>
      <c r="B1547" s="26" t="inlineStr">
        <is>
          <t>창녕 신규점</t>
        </is>
      </c>
      <c r="C1547" s="26" t="inlineStr">
        <is>
          <t>S30-H남</t>
        </is>
      </c>
      <c r="D1547" s="47" t="n">
        <v>1</v>
      </c>
      <c r="E1547" s="26" t="inlineStr">
        <is>
          <t>측정</t>
        </is>
      </c>
      <c r="F1547" s="26" t="inlineStr">
        <is>
          <t>남</t>
        </is>
      </c>
      <c r="G1547" s="31" t="n">
        <v>6</v>
      </c>
      <c r="H1547" s="30" t="n"/>
      <c r="I1547" s="43" t="n"/>
      <c r="J1547" s="41" t="n"/>
      <c r="K1547" s="41" t="n"/>
      <c r="L1547" s="41" t="n"/>
      <c r="M1547" s="31">
        <f>IF(COUNT(J1547:L1547)=0,"",MEDIAN(J1547:L1547))</f>
        <v/>
      </c>
      <c r="N1547" s="26">
        <f>IF(COUNTIFS($C:$C,$C1547,$D:$D,$D1547,$E:$E,"P0(전)",$M:$M,"&gt;0")&lt;&gt;1,"P0(전) 유효 1개 아님",IF(COUNTIFS($C:$C,$C1547,$D:$D,$D1547,$E:$E,"P0(후)",$M:$M,"&gt;0")&lt;&gt;1,"P0(후) 유효 1개 아님",IF(NOT(AND(ISNUMBER(O1547),ISNUMBER(Q1547),ISNUMBER(I1547))),"시각 결측",IF(Q1547&lt;=O1547,"P0 시각 역전",IF(OR(I1547&lt;O1547,I1547&gt;Q1547),"측정시각 구간 밖","OK")))))</f>
        <v/>
      </c>
      <c r="O1547" s="48">
        <f>IF(COUNTIFS($C:$C,$C1547,$D:$D,$D1547,$E:$E,"P0(전)",$M:$M,"&gt;0")&lt;&gt;1,"",SUMIFS($I:$I,$C:$C,$C1547,$D:$D,$D1547,$E:$E,"P0(전)"))</f>
        <v/>
      </c>
      <c r="P1547" s="31">
        <f>IF(COUNTIFS($C:$C,$C1547,$D:$D,$D1547,$E:$E,"P0(전)",$M:$M,"&gt;0")&lt;&gt;1,"",SUMIFS($M:$M,$C:$C,$C1547,$D:$D,$D1547,$E:$E,"P0(전)"))</f>
        <v/>
      </c>
      <c r="Q1547" s="48">
        <f>IF(COUNTIFS($C:$C,$C1547,$D:$D,$D1547,$E:$E,"P0(후)",$M:$M,"&gt;0")&lt;&gt;1,"",SUMIFS($I:$I,$C:$C,$C1547,$D:$D,$D1547,$E:$E,"P0(후)"))</f>
        <v/>
      </c>
      <c r="R1547" s="31">
        <f>IF(COUNTIFS($C:$C,$C1547,$D:$D,$D1547,$E:$E,"P0(후)",$M:$M,"&gt;0")&lt;&gt;1,"",SUMIFS($M:$M,$C:$C,$C1547,$D:$D,$D1547,$E:$E,"P0(후)"))</f>
        <v/>
      </c>
      <c r="S1547" s="31">
        <f>IF(N1547&lt;&gt;"OK","",P1547+(R1547-P1547)*(I1547-O1547)/(Q1547-O1547))</f>
        <v/>
      </c>
      <c r="T1547" s="31">
        <f>IF(OR(N1547&lt;&gt;"OK",NOT(ISNUMBER(M1547))),"",M1547-S1547)</f>
        <v/>
      </c>
      <c r="U1547" s="49">
        <f>IF(OR(NOT(ISNUMBER(T1547)),IF(ISNUMBER(H1547),H1547,G1547)=0),"",T1547/IF(ISNUMBER(H1547),H1547,G1547))</f>
        <v/>
      </c>
      <c r="V1547" s="49">
        <f>IF(ISNUMBER(U1547),ABS(U1547),"")</f>
        <v/>
      </c>
      <c r="W1547" s="49">
        <f>IF(OR($E1546&lt;&gt;"측정",$C1546&lt;&gt;$C1547,$D1546&lt;&gt;$D1547,NOT(ISNUMBER(M1547)),NOT(ISNUMBER(M1546)),(IF(ISNUMBER(H1547),H1547,G1547)-IF(ISNUMBER(H1546),H1546,G1546))=0),"",(M1547-M1546)/(IF(ISNUMBER(H1547),H1547,G1547)-IF(ISNUMBER(H1546),H1546,G1546)))</f>
        <v/>
      </c>
      <c r="X1547" s="31">
        <f>IF(NOT(AND(ISNUMBER(O1547),ISNUMBER(Q1547))),"",(Q1547-O1547)*1440)</f>
        <v/>
      </c>
      <c r="Y1547" s="29" t="n"/>
      <c r="Z1547" s="29" t="n"/>
      <c r="AA1547" s="29" t="n"/>
      <c r="AB1547" s="32" t="n"/>
      <c r="AC1547" s="32" t="n"/>
    </row>
    <row r="1548">
      <c r="A1548" s="26" t="inlineStr">
        <is>
          <t>S30</t>
        </is>
      </c>
      <c r="B1548" s="26" t="inlineStr">
        <is>
          <t>창녕 신규점</t>
        </is>
      </c>
      <c r="C1548" s="26" t="inlineStr">
        <is>
          <t>S30-H남</t>
        </is>
      </c>
      <c r="D1548" s="47" t="n">
        <v>1</v>
      </c>
      <c r="E1548" s="26" t="inlineStr">
        <is>
          <t>측정</t>
        </is>
      </c>
      <c r="F1548" s="26" t="inlineStr">
        <is>
          <t>남</t>
        </is>
      </c>
      <c r="G1548" s="31" t="n">
        <v>7</v>
      </c>
      <c r="H1548" s="30" t="n"/>
      <c r="I1548" s="43" t="n"/>
      <c r="J1548" s="41" t="n"/>
      <c r="K1548" s="41" t="n"/>
      <c r="L1548" s="41" t="n"/>
      <c r="M1548" s="31">
        <f>IF(COUNT(J1548:L1548)=0,"",MEDIAN(J1548:L1548))</f>
        <v/>
      </c>
      <c r="N1548" s="26">
        <f>IF(COUNTIFS($C:$C,$C1548,$D:$D,$D1548,$E:$E,"P0(전)",$M:$M,"&gt;0")&lt;&gt;1,"P0(전) 유효 1개 아님",IF(COUNTIFS($C:$C,$C1548,$D:$D,$D1548,$E:$E,"P0(후)",$M:$M,"&gt;0")&lt;&gt;1,"P0(후) 유효 1개 아님",IF(NOT(AND(ISNUMBER(O1548),ISNUMBER(Q1548),ISNUMBER(I1548))),"시각 결측",IF(Q1548&lt;=O1548,"P0 시각 역전",IF(OR(I1548&lt;O1548,I1548&gt;Q1548),"측정시각 구간 밖","OK")))))</f>
        <v/>
      </c>
      <c r="O1548" s="48">
        <f>IF(COUNTIFS($C:$C,$C1548,$D:$D,$D1548,$E:$E,"P0(전)",$M:$M,"&gt;0")&lt;&gt;1,"",SUMIFS($I:$I,$C:$C,$C1548,$D:$D,$D1548,$E:$E,"P0(전)"))</f>
        <v/>
      </c>
      <c r="P1548" s="31">
        <f>IF(COUNTIFS($C:$C,$C1548,$D:$D,$D1548,$E:$E,"P0(전)",$M:$M,"&gt;0")&lt;&gt;1,"",SUMIFS($M:$M,$C:$C,$C1548,$D:$D,$D1548,$E:$E,"P0(전)"))</f>
        <v/>
      </c>
      <c r="Q1548" s="48">
        <f>IF(COUNTIFS($C:$C,$C1548,$D:$D,$D1548,$E:$E,"P0(후)",$M:$M,"&gt;0")&lt;&gt;1,"",SUMIFS($I:$I,$C:$C,$C1548,$D:$D,$D1548,$E:$E,"P0(후)"))</f>
        <v/>
      </c>
      <c r="R1548" s="31">
        <f>IF(COUNTIFS($C:$C,$C1548,$D:$D,$D1548,$E:$E,"P0(후)",$M:$M,"&gt;0")&lt;&gt;1,"",SUMIFS($M:$M,$C:$C,$C1548,$D:$D,$D1548,$E:$E,"P0(후)"))</f>
        <v/>
      </c>
      <c r="S1548" s="31">
        <f>IF(N1548&lt;&gt;"OK","",P1548+(R1548-P1548)*(I1548-O1548)/(Q1548-O1548))</f>
        <v/>
      </c>
      <c r="T1548" s="31">
        <f>IF(OR(N1548&lt;&gt;"OK",NOT(ISNUMBER(M1548))),"",M1548-S1548)</f>
        <v/>
      </c>
      <c r="U1548" s="49">
        <f>IF(OR(NOT(ISNUMBER(T1548)),IF(ISNUMBER(H1548),H1548,G1548)=0),"",T1548/IF(ISNUMBER(H1548),H1548,G1548))</f>
        <v/>
      </c>
      <c r="V1548" s="49">
        <f>IF(ISNUMBER(U1548),ABS(U1548),"")</f>
        <v/>
      </c>
      <c r="W1548" s="49">
        <f>IF(OR($E1547&lt;&gt;"측정",$C1547&lt;&gt;$C1548,$D1547&lt;&gt;$D1548,NOT(ISNUMBER(M1548)),NOT(ISNUMBER(M1547)),(IF(ISNUMBER(H1548),H1548,G1548)-IF(ISNUMBER(H1547),H1547,G1547))=0),"",(M1548-M1547)/(IF(ISNUMBER(H1548),H1548,G1548)-IF(ISNUMBER(H1547),H1547,G1547)))</f>
        <v/>
      </c>
      <c r="X1548" s="31">
        <f>IF(NOT(AND(ISNUMBER(O1548),ISNUMBER(Q1548))),"",(Q1548-O1548)*1440)</f>
        <v/>
      </c>
      <c r="Y1548" s="29" t="n"/>
      <c r="Z1548" s="29" t="n"/>
      <c r="AA1548" s="29" t="n"/>
      <c r="AB1548" s="32" t="n"/>
      <c r="AC1548" s="32" t="n"/>
    </row>
    <row r="1549">
      <c r="A1549" s="26" t="inlineStr">
        <is>
          <t>S30</t>
        </is>
      </c>
      <c r="B1549" s="26" t="inlineStr">
        <is>
          <t>창녕 신규점</t>
        </is>
      </c>
      <c r="C1549" s="26" t="inlineStr">
        <is>
          <t>S30-H남</t>
        </is>
      </c>
      <c r="D1549" s="47" t="n">
        <v>1</v>
      </c>
      <c r="E1549" s="26" t="inlineStr">
        <is>
          <t>측정</t>
        </is>
      </c>
      <c r="F1549" s="26" t="inlineStr">
        <is>
          <t>남</t>
        </is>
      </c>
      <c r="G1549" s="31" t="n">
        <v>8</v>
      </c>
      <c r="H1549" s="30" t="n"/>
      <c r="I1549" s="43" t="n"/>
      <c r="J1549" s="41" t="n"/>
      <c r="K1549" s="41" t="n"/>
      <c r="L1549" s="41" t="n"/>
      <c r="M1549" s="31">
        <f>IF(COUNT(J1549:L1549)=0,"",MEDIAN(J1549:L1549))</f>
        <v/>
      </c>
      <c r="N1549" s="26">
        <f>IF(COUNTIFS($C:$C,$C1549,$D:$D,$D1549,$E:$E,"P0(전)",$M:$M,"&gt;0")&lt;&gt;1,"P0(전) 유효 1개 아님",IF(COUNTIFS($C:$C,$C1549,$D:$D,$D1549,$E:$E,"P0(후)",$M:$M,"&gt;0")&lt;&gt;1,"P0(후) 유효 1개 아님",IF(NOT(AND(ISNUMBER(O1549),ISNUMBER(Q1549),ISNUMBER(I1549))),"시각 결측",IF(Q1549&lt;=O1549,"P0 시각 역전",IF(OR(I1549&lt;O1549,I1549&gt;Q1549),"측정시각 구간 밖","OK")))))</f>
        <v/>
      </c>
      <c r="O1549" s="48">
        <f>IF(COUNTIFS($C:$C,$C1549,$D:$D,$D1549,$E:$E,"P0(전)",$M:$M,"&gt;0")&lt;&gt;1,"",SUMIFS($I:$I,$C:$C,$C1549,$D:$D,$D1549,$E:$E,"P0(전)"))</f>
        <v/>
      </c>
      <c r="P1549" s="31">
        <f>IF(COUNTIFS($C:$C,$C1549,$D:$D,$D1549,$E:$E,"P0(전)",$M:$M,"&gt;0")&lt;&gt;1,"",SUMIFS($M:$M,$C:$C,$C1549,$D:$D,$D1549,$E:$E,"P0(전)"))</f>
        <v/>
      </c>
      <c r="Q1549" s="48">
        <f>IF(COUNTIFS($C:$C,$C1549,$D:$D,$D1549,$E:$E,"P0(후)",$M:$M,"&gt;0")&lt;&gt;1,"",SUMIFS($I:$I,$C:$C,$C1549,$D:$D,$D1549,$E:$E,"P0(후)"))</f>
        <v/>
      </c>
      <c r="R1549" s="31">
        <f>IF(COUNTIFS($C:$C,$C1549,$D:$D,$D1549,$E:$E,"P0(후)",$M:$M,"&gt;0")&lt;&gt;1,"",SUMIFS($M:$M,$C:$C,$C1549,$D:$D,$D1549,$E:$E,"P0(후)"))</f>
        <v/>
      </c>
      <c r="S1549" s="31">
        <f>IF(N1549&lt;&gt;"OK","",P1549+(R1549-P1549)*(I1549-O1549)/(Q1549-O1549))</f>
        <v/>
      </c>
      <c r="T1549" s="31">
        <f>IF(OR(N1549&lt;&gt;"OK",NOT(ISNUMBER(M1549))),"",M1549-S1549)</f>
        <v/>
      </c>
      <c r="U1549" s="49">
        <f>IF(OR(NOT(ISNUMBER(T1549)),IF(ISNUMBER(H1549),H1549,G1549)=0),"",T1549/IF(ISNUMBER(H1549),H1549,G1549))</f>
        <v/>
      </c>
      <c r="V1549" s="49">
        <f>IF(ISNUMBER(U1549),ABS(U1549),"")</f>
        <v/>
      </c>
      <c r="W1549" s="49">
        <f>IF(OR($E1548&lt;&gt;"측정",$C1548&lt;&gt;$C1549,$D1548&lt;&gt;$D1549,NOT(ISNUMBER(M1549)),NOT(ISNUMBER(M1548)),(IF(ISNUMBER(H1549),H1549,G1549)-IF(ISNUMBER(H1548),H1548,G1548))=0),"",(M1549-M1548)/(IF(ISNUMBER(H1549),H1549,G1549)-IF(ISNUMBER(H1548),H1548,G1548)))</f>
        <v/>
      </c>
      <c r="X1549" s="31">
        <f>IF(NOT(AND(ISNUMBER(O1549),ISNUMBER(Q1549))),"",(Q1549-O1549)*1440)</f>
        <v/>
      </c>
      <c r="Y1549" s="29" t="n"/>
      <c r="Z1549" s="29" t="n"/>
      <c r="AA1549" s="29" t="n"/>
      <c r="AB1549" s="32" t="n"/>
      <c r="AC1549" s="32" t="n"/>
    </row>
    <row r="1550">
      <c r="A1550" s="26" t="inlineStr">
        <is>
          <t>S30</t>
        </is>
      </c>
      <c r="B1550" s="26" t="inlineStr">
        <is>
          <t>창녕 신규점</t>
        </is>
      </c>
      <c r="C1550" s="26" t="inlineStr">
        <is>
          <t>S30-H남</t>
        </is>
      </c>
      <c r="D1550" s="47" t="n">
        <v>1</v>
      </c>
      <c r="E1550" s="26" t="inlineStr">
        <is>
          <t>측정</t>
        </is>
      </c>
      <c r="F1550" s="26" t="inlineStr">
        <is>
          <t>남</t>
        </is>
      </c>
      <c r="G1550" s="31" t="n">
        <v>9</v>
      </c>
      <c r="H1550" s="30" t="n"/>
      <c r="I1550" s="43" t="n"/>
      <c r="J1550" s="41" t="n"/>
      <c r="K1550" s="41" t="n"/>
      <c r="L1550" s="41" t="n"/>
      <c r="M1550" s="31">
        <f>IF(COUNT(J1550:L1550)=0,"",MEDIAN(J1550:L1550))</f>
        <v/>
      </c>
      <c r="N1550" s="26">
        <f>IF(COUNTIFS($C:$C,$C1550,$D:$D,$D1550,$E:$E,"P0(전)",$M:$M,"&gt;0")&lt;&gt;1,"P0(전) 유효 1개 아님",IF(COUNTIFS($C:$C,$C1550,$D:$D,$D1550,$E:$E,"P0(후)",$M:$M,"&gt;0")&lt;&gt;1,"P0(후) 유효 1개 아님",IF(NOT(AND(ISNUMBER(O1550),ISNUMBER(Q1550),ISNUMBER(I1550))),"시각 결측",IF(Q1550&lt;=O1550,"P0 시각 역전",IF(OR(I1550&lt;O1550,I1550&gt;Q1550),"측정시각 구간 밖","OK")))))</f>
        <v/>
      </c>
      <c r="O1550" s="48">
        <f>IF(COUNTIFS($C:$C,$C1550,$D:$D,$D1550,$E:$E,"P0(전)",$M:$M,"&gt;0")&lt;&gt;1,"",SUMIFS($I:$I,$C:$C,$C1550,$D:$D,$D1550,$E:$E,"P0(전)"))</f>
        <v/>
      </c>
      <c r="P1550" s="31">
        <f>IF(COUNTIFS($C:$C,$C1550,$D:$D,$D1550,$E:$E,"P0(전)",$M:$M,"&gt;0")&lt;&gt;1,"",SUMIFS($M:$M,$C:$C,$C1550,$D:$D,$D1550,$E:$E,"P0(전)"))</f>
        <v/>
      </c>
      <c r="Q1550" s="48">
        <f>IF(COUNTIFS($C:$C,$C1550,$D:$D,$D1550,$E:$E,"P0(후)",$M:$M,"&gt;0")&lt;&gt;1,"",SUMIFS($I:$I,$C:$C,$C1550,$D:$D,$D1550,$E:$E,"P0(후)"))</f>
        <v/>
      </c>
      <c r="R1550" s="31">
        <f>IF(COUNTIFS($C:$C,$C1550,$D:$D,$D1550,$E:$E,"P0(후)",$M:$M,"&gt;0")&lt;&gt;1,"",SUMIFS($M:$M,$C:$C,$C1550,$D:$D,$D1550,$E:$E,"P0(후)"))</f>
        <v/>
      </c>
      <c r="S1550" s="31">
        <f>IF(N1550&lt;&gt;"OK","",P1550+(R1550-P1550)*(I1550-O1550)/(Q1550-O1550))</f>
        <v/>
      </c>
      <c r="T1550" s="31">
        <f>IF(OR(N1550&lt;&gt;"OK",NOT(ISNUMBER(M1550))),"",M1550-S1550)</f>
        <v/>
      </c>
      <c r="U1550" s="49">
        <f>IF(OR(NOT(ISNUMBER(T1550)),IF(ISNUMBER(H1550),H1550,G1550)=0),"",T1550/IF(ISNUMBER(H1550),H1550,G1550))</f>
        <v/>
      </c>
      <c r="V1550" s="49">
        <f>IF(ISNUMBER(U1550),ABS(U1550),"")</f>
        <v/>
      </c>
      <c r="W1550" s="49">
        <f>IF(OR($E1549&lt;&gt;"측정",$C1549&lt;&gt;$C1550,$D1549&lt;&gt;$D1550,NOT(ISNUMBER(M1550)),NOT(ISNUMBER(M1549)),(IF(ISNUMBER(H1550),H1550,G1550)-IF(ISNUMBER(H1549),H1549,G1549))=0),"",(M1550-M1549)/(IF(ISNUMBER(H1550),H1550,G1550)-IF(ISNUMBER(H1549),H1549,G1549)))</f>
        <v/>
      </c>
      <c r="X1550" s="31">
        <f>IF(NOT(AND(ISNUMBER(O1550),ISNUMBER(Q1550))),"",(Q1550-O1550)*1440)</f>
        <v/>
      </c>
      <c r="Y1550" s="29" t="n"/>
      <c r="Z1550" s="29" t="n"/>
      <c r="AA1550" s="29" t="n"/>
      <c r="AB1550" s="32" t="n"/>
      <c r="AC1550" s="32" t="n"/>
    </row>
    <row r="1551">
      <c r="A1551" s="26" t="inlineStr">
        <is>
          <t>S30</t>
        </is>
      </c>
      <c r="B1551" s="26" t="inlineStr">
        <is>
          <t>창녕 신규점</t>
        </is>
      </c>
      <c r="C1551" s="26" t="inlineStr">
        <is>
          <t>S30-H남</t>
        </is>
      </c>
      <c r="D1551" s="47" t="n">
        <v>1</v>
      </c>
      <c r="E1551" s="26" t="inlineStr">
        <is>
          <t>측정</t>
        </is>
      </c>
      <c r="F1551" s="26" t="inlineStr">
        <is>
          <t>남</t>
        </is>
      </c>
      <c r="G1551" s="31" t="n">
        <v>10</v>
      </c>
      <c r="H1551" s="30" t="n"/>
      <c r="I1551" s="43" t="n"/>
      <c r="J1551" s="41" t="n"/>
      <c r="K1551" s="41" t="n"/>
      <c r="L1551" s="41" t="n"/>
      <c r="M1551" s="31">
        <f>IF(COUNT(J1551:L1551)=0,"",MEDIAN(J1551:L1551))</f>
        <v/>
      </c>
      <c r="N1551" s="26">
        <f>IF(COUNTIFS($C:$C,$C1551,$D:$D,$D1551,$E:$E,"P0(전)",$M:$M,"&gt;0")&lt;&gt;1,"P0(전) 유효 1개 아님",IF(COUNTIFS($C:$C,$C1551,$D:$D,$D1551,$E:$E,"P0(후)",$M:$M,"&gt;0")&lt;&gt;1,"P0(후) 유효 1개 아님",IF(NOT(AND(ISNUMBER(O1551),ISNUMBER(Q1551),ISNUMBER(I1551))),"시각 결측",IF(Q1551&lt;=O1551,"P0 시각 역전",IF(OR(I1551&lt;O1551,I1551&gt;Q1551),"측정시각 구간 밖","OK")))))</f>
        <v/>
      </c>
      <c r="O1551" s="48">
        <f>IF(COUNTIFS($C:$C,$C1551,$D:$D,$D1551,$E:$E,"P0(전)",$M:$M,"&gt;0")&lt;&gt;1,"",SUMIFS($I:$I,$C:$C,$C1551,$D:$D,$D1551,$E:$E,"P0(전)"))</f>
        <v/>
      </c>
      <c r="P1551" s="31">
        <f>IF(COUNTIFS($C:$C,$C1551,$D:$D,$D1551,$E:$E,"P0(전)",$M:$M,"&gt;0")&lt;&gt;1,"",SUMIFS($M:$M,$C:$C,$C1551,$D:$D,$D1551,$E:$E,"P0(전)"))</f>
        <v/>
      </c>
      <c r="Q1551" s="48">
        <f>IF(COUNTIFS($C:$C,$C1551,$D:$D,$D1551,$E:$E,"P0(후)",$M:$M,"&gt;0")&lt;&gt;1,"",SUMIFS($I:$I,$C:$C,$C1551,$D:$D,$D1551,$E:$E,"P0(후)"))</f>
        <v/>
      </c>
      <c r="R1551" s="31">
        <f>IF(COUNTIFS($C:$C,$C1551,$D:$D,$D1551,$E:$E,"P0(후)",$M:$M,"&gt;0")&lt;&gt;1,"",SUMIFS($M:$M,$C:$C,$C1551,$D:$D,$D1551,$E:$E,"P0(후)"))</f>
        <v/>
      </c>
      <c r="S1551" s="31">
        <f>IF(N1551&lt;&gt;"OK","",P1551+(R1551-P1551)*(I1551-O1551)/(Q1551-O1551))</f>
        <v/>
      </c>
      <c r="T1551" s="31">
        <f>IF(OR(N1551&lt;&gt;"OK",NOT(ISNUMBER(M1551))),"",M1551-S1551)</f>
        <v/>
      </c>
      <c r="U1551" s="49">
        <f>IF(OR(NOT(ISNUMBER(T1551)),IF(ISNUMBER(H1551),H1551,G1551)=0),"",T1551/IF(ISNUMBER(H1551),H1551,G1551))</f>
        <v/>
      </c>
      <c r="V1551" s="49">
        <f>IF(ISNUMBER(U1551),ABS(U1551),"")</f>
        <v/>
      </c>
      <c r="W1551" s="49">
        <f>IF(OR($E1550&lt;&gt;"측정",$C1550&lt;&gt;$C1551,$D1550&lt;&gt;$D1551,NOT(ISNUMBER(M1551)),NOT(ISNUMBER(M1550)),(IF(ISNUMBER(H1551),H1551,G1551)-IF(ISNUMBER(H1550),H1550,G1550))=0),"",(M1551-M1550)/(IF(ISNUMBER(H1551),H1551,G1551)-IF(ISNUMBER(H1550),H1550,G1550)))</f>
        <v/>
      </c>
      <c r="X1551" s="31">
        <f>IF(NOT(AND(ISNUMBER(O1551),ISNUMBER(Q1551))),"",(Q1551-O1551)*1440)</f>
        <v/>
      </c>
      <c r="Y1551" s="29" t="n"/>
      <c r="Z1551" s="29" t="n"/>
      <c r="AA1551" s="29" t="n"/>
      <c r="AB1551" s="32" t="n"/>
      <c r="AC1551" s="32" t="n"/>
    </row>
    <row r="1552">
      <c r="A1552" s="44" t="inlineStr">
        <is>
          <t>S30</t>
        </is>
      </c>
      <c r="B1552" s="44" t="inlineStr">
        <is>
          <t>창녕 신규점</t>
        </is>
      </c>
      <c r="C1552" s="44" t="inlineStr">
        <is>
          <t>S30-H남</t>
        </is>
      </c>
      <c r="D1552" s="45" t="n">
        <v>1</v>
      </c>
      <c r="E1552" s="44" t="inlineStr">
        <is>
          <t>P0(후)</t>
        </is>
      </c>
      <c r="F1552" s="44" t="inlineStr">
        <is>
          <t>남</t>
        </is>
      </c>
      <c r="G1552" s="46" t="n"/>
      <c r="H1552" s="30" t="n"/>
      <c r="I1552" s="43" t="n"/>
      <c r="J1552" s="41" t="n"/>
      <c r="K1552" s="41" t="n"/>
      <c r="L1552" s="41" t="n"/>
      <c r="M1552" s="31">
        <f>IF(COUNT(J1552:L1552)=0,"",MEDIAN(J1552:L1552))</f>
        <v/>
      </c>
      <c r="N1552" s="38" t="n"/>
      <c r="O1552" s="38" t="n"/>
      <c r="P1552" s="38" t="n"/>
      <c r="Q1552" s="38" t="n"/>
      <c r="R1552" s="38" t="n"/>
      <c r="S1552" s="38" t="n"/>
      <c r="T1552" s="38" t="n"/>
      <c r="U1552" s="38" t="n"/>
      <c r="V1552" s="38" t="n"/>
      <c r="W1552" s="38" t="n"/>
      <c r="X1552" s="38" t="n"/>
      <c r="Y1552" s="29" t="n"/>
      <c r="Z1552" s="29" t="n"/>
      <c r="AA1552" s="29" t="n"/>
      <c r="AB1552" s="32" t="n"/>
      <c r="AC1552" s="32" t="n"/>
    </row>
    <row r="1553">
      <c r="A1553" s="44" t="inlineStr">
        <is>
          <t>S30</t>
        </is>
      </c>
      <c r="B1553" s="44" t="inlineStr">
        <is>
          <t>창녕 신규점</t>
        </is>
      </c>
      <c r="C1553" s="44" t="inlineStr">
        <is>
          <t>S30-H북</t>
        </is>
      </c>
      <c r="D1553" s="45" t="n">
        <v>1</v>
      </c>
      <c r="E1553" s="44" t="inlineStr">
        <is>
          <t>P0(전)</t>
        </is>
      </c>
      <c r="F1553" s="44" t="inlineStr">
        <is>
          <t>북</t>
        </is>
      </c>
      <c r="G1553" s="46" t="n"/>
      <c r="H1553" s="30" t="n"/>
      <c r="I1553" s="43" t="n"/>
      <c r="J1553" s="41" t="n"/>
      <c r="K1553" s="41" t="n"/>
      <c r="L1553" s="41" t="n"/>
      <c r="M1553" s="31">
        <f>IF(COUNT(J1553:L1553)=0,"",MEDIAN(J1553:L1553))</f>
        <v/>
      </c>
      <c r="N1553" s="38" t="n"/>
      <c r="O1553" s="38" t="n"/>
      <c r="P1553" s="38" t="n"/>
      <c r="Q1553" s="38" t="n"/>
      <c r="R1553" s="38" t="n"/>
      <c r="S1553" s="38" t="n"/>
      <c r="T1553" s="38" t="n"/>
      <c r="U1553" s="38" t="n"/>
      <c r="V1553" s="38" t="n"/>
      <c r="W1553" s="38" t="n"/>
      <c r="X1553" s="38" t="n"/>
      <c r="Y1553" s="29" t="n"/>
      <c r="Z1553" s="29" t="n"/>
      <c r="AA1553" s="29" t="n"/>
      <c r="AB1553" s="32" t="n"/>
      <c r="AC1553" s="32" t="n"/>
    </row>
    <row r="1554">
      <c r="A1554" s="26" t="inlineStr">
        <is>
          <t>S30</t>
        </is>
      </c>
      <c r="B1554" s="26" t="inlineStr">
        <is>
          <t>창녕 신규점</t>
        </is>
      </c>
      <c r="C1554" s="26" t="inlineStr">
        <is>
          <t>S30-H북</t>
        </is>
      </c>
      <c r="D1554" s="47" t="n">
        <v>1</v>
      </c>
      <c r="E1554" s="26" t="inlineStr">
        <is>
          <t>측정</t>
        </is>
      </c>
      <c r="F1554" s="26" t="inlineStr">
        <is>
          <t>북</t>
        </is>
      </c>
      <c r="G1554" s="31" t="n">
        <v>0.5</v>
      </c>
      <c r="H1554" s="30" t="n"/>
      <c r="I1554" s="43" t="n"/>
      <c r="J1554" s="41" t="n"/>
      <c r="K1554" s="41" t="n"/>
      <c r="L1554" s="41" t="n"/>
      <c r="M1554" s="31">
        <f>IF(COUNT(J1554:L1554)=0,"",MEDIAN(J1554:L1554))</f>
        <v/>
      </c>
      <c r="N1554" s="26">
        <f>IF(COUNTIFS($C:$C,$C1554,$D:$D,$D1554,$E:$E,"P0(전)",$M:$M,"&gt;0")&lt;&gt;1,"P0(전) 유효 1개 아님",IF(COUNTIFS($C:$C,$C1554,$D:$D,$D1554,$E:$E,"P0(후)",$M:$M,"&gt;0")&lt;&gt;1,"P0(후) 유효 1개 아님",IF(NOT(AND(ISNUMBER(O1554),ISNUMBER(Q1554),ISNUMBER(I1554))),"시각 결측",IF(Q1554&lt;=O1554,"P0 시각 역전",IF(OR(I1554&lt;O1554,I1554&gt;Q1554),"측정시각 구간 밖","OK")))))</f>
        <v/>
      </c>
      <c r="O1554" s="48">
        <f>IF(COUNTIFS($C:$C,$C1554,$D:$D,$D1554,$E:$E,"P0(전)",$M:$M,"&gt;0")&lt;&gt;1,"",SUMIFS($I:$I,$C:$C,$C1554,$D:$D,$D1554,$E:$E,"P0(전)"))</f>
        <v/>
      </c>
      <c r="P1554" s="31">
        <f>IF(COUNTIFS($C:$C,$C1554,$D:$D,$D1554,$E:$E,"P0(전)",$M:$M,"&gt;0")&lt;&gt;1,"",SUMIFS($M:$M,$C:$C,$C1554,$D:$D,$D1554,$E:$E,"P0(전)"))</f>
        <v/>
      </c>
      <c r="Q1554" s="48">
        <f>IF(COUNTIFS($C:$C,$C1554,$D:$D,$D1554,$E:$E,"P0(후)",$M:$M,"&gt;0")&lt;&gt;1,"",SUMIFS($I:$I,$C:$C,$C1554,$D:$D,$D1554,$E:$E,"P0(후)"))</f>
        <v/>
      </c>
      <c r="R1554" s="31">
        <f>IF(COUNTIFS($C:$C,$C1554,$D:$D,$D1554,$E:$E,"P0(후)",$M:$M,"&gt;0")&lt;&gt;1,"",SUMIFS($M:$M,$C:$C,$C1554,$D:$D,$D1554,$E:$E,"P0(후)"))</f>
        <v/>
      </c>
      <c r="S1554" s="31">
        <f>IF(N1554&lt;&gt;"OK","",P1554+(R1554-P1554)*(I1554-O1554)/(Q1554-O1554))</f>
        <v/>
      </c>
      <c r="T1554" s="31">
        <f>IF(OR(N1554&lt;&gt;"OK",NOT(ISNUMBER(M1554))),"",M1554-S1554)</f>
        <v/>
      </c>
      <c r="U1554" s="49">
        <f>IF(OR(NOT(ISNUMBER(T1554)),IF(ISNUMBER(H1554),H1554,G1554)=0),"",T1554/IF(ISNUMBER(H1554),H1554,G1554))</f>
        <v/>
      </c>
      <c r="V1554" s="49">
        <f>IF(ISNUMBER(U1554),ABS(U1554),"")</f>
        <v/>
      </c>
      <c r="W1554" s="49">
        <f>IF(OR($E1553&lt;&gt;"측정",$C1553&lt;&gt;$C1554,$D1553&lt;&gt;$D1554,NOT(ISNUMBER(M1554)),NOT(ISNUMBER(M1553)),(IF(ISNUMBER(H1554),H1554,G1554)-IF(ISNUMBER(H1553),H1553,G1553))=0),"",(M1554-M1553)/(IF(ISNUMBER(H1554),H1554,G1554)-IF(ISNUMBER(H1553),H1553,G1553)))</f>
        <v/>
      </c>
      <c r="X1554" s="31">
        <f>IF(NOT(AND(ISNUMBER(O1554),ISNUMBER(Q1554))),"",(Q1554-O1554)*1440)</f>
        <v/>
      </c>
      <c r="Y1554" s="29" t="n"/>
      <c r="Z1554" s="29" t="n"/>
      <c r="AA1554" s="29" t="n"/>
      <c r="AB1554" s="32" t="n"/>
      <c r="AC1554" s="32" t="n"/>
    </row>
    <row r="1555">
      <c r="A1555" s="26" t="inlineStr">
        <is>
          <t>S30</t>
        </is>
      </c>
      <c r="B1555" s="26" t="inlineStr">
        <is>
          <t>창녕 신규점</t>
        </is>
      </c>
      <c r="C1555" s="26" t="inlineStr">
        <is>
          <t>S30-H북</t>
        </is>
      </c>
      <c r="D1555" s="47" t="n">
        <v>1</v>
      </c>
      <c r="E1555" s="26" t="inlineStr">
        <is>
          <t>측정</t>
        </is>
      </c>
      <c r="F1555" s="26" t="inlineStr">
        <is>
          <t>북</t>
        </is>
      </c>
      <c r="G1555" s="31" t="n">
        <v>1</v>
      </c>
      <c r="H1555" s="30" t="n"/>
      <c r="I1555" s="43" t="n"/>
      <c r="J1555" s="41" t="n"/>
      <c r="K1555" s="41" t="n"/>
      <c r="L1555" s="41" t="n"/>
      <c r="M1555" s="31">
        <f>IF(COUNT(J1555:L1555)=0,"",MEDIAN(J1555:L1555))</f>
        <v/>
      </c>
      <c r="N1555" s="26">
        <f>IF(COUNTIFS($C:$C,$C1555,$D:$D,$D1555,$E:$E,"P0(전)",$M:$M,"&gt;0")&lt;&gt;1,"P0(전) 유효 1개 아님",IF(COUNTIFS($C:$C,$C1555,$D:$D,$D1555,$E:$E,"P0(후)",$M:$M,"&gt;0")&lt;&gt;1,"P0(후) 유효 1개 아님",IF(NOT(AND(ISNUMBER(O1555),ISNUMBER(Q1555),ISNUMBER(I1555))),"시각 결측",IF(Q1555&lt;=O1555,"P0 시각 역전",IF(OR(I1555&lt;O1555,I1555&gt;Q1555),"측정시각 구간 밖","OK")))))</f>
        <v/>
      </c>
      <c r="O1555" s="48">
        <f>IF(COUNTIFS($C:$C,$C1555,$D:$D,$D1555,$E:$E,"P0(전)",$M:$M,"&gt;0")&lt;&gt;1,"",SUMIFS($I:$I,$C:$C,$C1555,$D:$D,$D1555,$E:$E,"P0(전)"))</f>
        <v/>
      </c>
      <c r="P1555" s="31">
        <f>IF(COUNTIFS($C:$C,$C1555,$D:$D,$D1555,$E:$E,"P0(전)",$M:$M,"&gt;0")&lt;&gt;1,"",SUMIFS($M:$M,$C:$C,$C1555,$D:$D,$D1555,$E:$E,"P0(전)"))</f>
        <v/>
      </c>
      <c r="Q1555" s="48">
        <f>IF(COUNTIFS($C:$C,$C1555,$D:$D,$D1555,$E:$E,"P0(후)",$M:$M,"&gt;0")&lt;&gt;1,"",SUMIFS($I:$I,$C:$C,$C1555,$D:$D,$D1555,$E:$E,"P0(후)"))</f>
        <v/>
      </c>
      <c r="R1555" s="31">
        <f>IF(COUNTIFS($C:$C,$C1555,$D:$D,$D1555,$E:$E,"P0(후)",$M:$M,"&gt;0")&lt;&gt;1,"",SUMIFS($M:$M,$C:$C,$C1555,$D:$D,$D1555,$E:$E,"P0(후)"))</f>
        <v/>
      </c>
      <c r="S1555" s="31">
        <f>IF(N1555&lt;&gt;"OK","",P1555+(R1555-P1555)*(I1555-O1555)/(Q1555-O1555))</f>
        <v/>
      </c>
      <c r="T1555" s="31">
        <f>IF(OR(N1555&lt;&gt;"OK",NOT(ISNUMBER(M1555))),"",M1555-S1555)</f>
        <v/>
      </c>
      <c r="U1555" s="49">
        <f>IF(OR(NOT(ISNUMBER(T1555)),IF(ISNUMBER(H1555),H1555,G1555)=0),"",T1555/IF(ISNUMBER(H1555),H1555,G1555))</f>
        <v/>
      </c>
      <c r="V1555" s="49">
        <f>IF(ISNUMBER(U1555),ABS(U1555),"")</f>
        <v/>
      </c>
      <c r="W1555" s="49">
        <f>IF(OR($E1554&lt;&gt;"측정",$C1554&lt;&gt;$C1555,$D1554&lt;&gt;$D1555,NOT(ISNUMBER(M1555)),NOT(ISNUMBER(M1554)),(IF(ISNUMBER(H1555),H1555,G1555)-IF(ISNUMBER(H1554),H1554,G1554))=0),"",(M1555-M1554)/(IF(ISNUMBER(H1555),H1555,G1555)-IF(ISNUMBER(H1554),H1554,G1554)))</f>
        <v/>
      </c>
      <c r="X1555" s="31">
        <f>IF(NOT(AND(ISNUMBER(O1555),ISNUMBER(Q1555))),"",(Q1555-O1555)*1440)</f>
        <v/>
      </c>
      <c r="Y1555" s="29" t="n"/>
      <c r="Z1555" s="29" t="n"/>
      <c r="AA1555" s="29" t="n"/>
      <c r="AB1555" s="32" t="n"/>
      <c r="AC1555" s="32" t="n"/>
    </row>
    <row r="1556">
      <c r="A1556" s="26" t="inlineStr">
        <is>
          <t>S30</t>
        </is>
      </c>
      <c r="B1556" s="26" t="inlineStr">
        <is>
          <t>창녕 신규점</t>
        </is>
      </c>
      <c r="C1556" s="26" t="inlineStr">
        <is>
          <t>S30-H북</t>
        </is>
      </c>
      <c r="D1556" s="47" t="n">
        <v>1</v>
      </c>
      <c r="E1556" s="26" t="inlineStr">
        <is>
          <t>측정</t>
        </is>
      </c>
      <c r="F1556" s="26" t="inlineStr">
        <is>
          <t>북</t>
        </is>
      </c>
      <c r="G1556" s="31" t="n">
        <v>2</v>
      </c>
      <c r="H1556" s="30" t="n"/>
      <c r="I1556" s="43" t="n"/>
      <c r="J1556" s="41" t="n"/>
      <c r="K1556" s="41" t="n"/>
      <c r="L1556" s="41" t="n"/>
      <c r="M1556" s="31">
        <f>IF(COUNT(J1556:L1556)=0,"",MEDIAN(J1556:L1556))</f>
        <v/>
      </c>
      <c r="N1556" s="26">
        <f>IF(COUNTIFS($C:$C,$C1556,$D:$D,$D1556,$E:$E,"P0(전)",$M:$M,"&gt;0")&lt;&gt;1,"P0(전) 유효 1개 아님",IF(COUNTIFS($C:$C,$C1556,$D:$D,$D1556,$E:$E,"P0(후)",$M:$M,"&gt;0")&lt;&gt;1,"P0(후) 유효 1개 아님",IF(NOT(AND(ISNUMBER(O1556),ISNUMBER(Q1556),ISNUMBER(I1556))),"시각 결측",IF(Q1556&lt;=O1556,"P0 시각 역전",IF(OR(I1556&lt;O1556,I1556&gt;Q1556),"측정시각 구간 밖","OK")))))</f>
        <v/>
      </c>
      <c r="O1556" s="48">
        <f>IF(COUNTIFS($C:$C,$C1556,$D:$D,$D1556,$E:$E,"P0(전)",$M:$M,"&gt;0")&lt;&gt;1,"",SUMIFS($I:$I,$C:$C,$C1556,$D:$D,$D1556,$E:$E,"P0(전)"))</f>
        <v/>
      </c>
      <c r="P1556" s="31">
        <f>IF(COUNTIFS($C:$C,$C1556,$D:$D,$D1556,$E:$E,"P0(전)",$M:$M,"&gt;0")&lt;&gt;1,"",SUMIFS($M:$M,$C:$C,$C1556,$D:$D,$D1556,$E:$E,"P0(전)"))</f>
        <v/>
      </c>
      <c r="Q1556" s="48">
        <f>IF(COUNTIFS($C:$C,$C1556,$D:$D,$D1556,$E:$E,"P0(후)",$M:$M,"&gt;0")&lt;&gt;1,"",SUMIFS($I:$I,$C:$C,$C1556,$D:$D,$D1556,$E:$E,"P0(후)"))</f>
        <v/>
      </c>
      <c r="R1556" s="31">
        <f>IF(COUNTIFS($C:$C,$C1556,$D:$D,$D1556,$E:$E,"P0(후)",$M:$M,"&gt;0")&lt;&gt;1,"",SUMIFS($M:$M,$C:$C,$C1556,$D:$D,$D1556,$E:$E,"P0(후)"))</f>
        <v/>
      </c>
      <c r="S1556" s="31">
        <f>IF(N1556&lt;&gt;"OK","",P1556+(R1556-P1556)*(I1556-O1556)/(Q1556-O1556))</f>
        <v/>
      </c>
      <c r="T1556" s="31">
        <f>IF(OR(N1556&lt;&gt;"OK",NOT(ISNUMBER(M1556))),"",M1556-S1556)</f>
        <v/>
      </c>
      <c r="U1556" s="49">
        <f>IF(OR(NOT(ISNUMBER(T1556)),IF(ISNUMBER(H1556),H1556,G1556)=0),"",T1556/IF(ISNUMBER(H1556),H1556,G1556))</f>
        <v/>
      </c>
      <c r="V1556" s="49">
        <f>IF(ISNUMBER(U1556),ABS(U1556),"")</f>
        <v/>
      </c>
      <c r="W1556" s="49">
        <f>IF(OR($E1555&lt;&gt;"측정",$C1555&lt;&gt;$C1556,$D1555&lt;&gt;$D1556,NOT(ISNUMBER(M1556)),NOT(ISNUMBER(M1555)),(IF(ISNUMBER(H1556),H1556,G1556)-IF(ISNUMBER(H1555),H1555,G1555))=0),"",(M1556-M1555)/(IF(ISNUMBER(H1556),H1556,G1556)-IF(ISNUMBER(H1555),H1555,G1555)))</f>
        <v/>
      </c>
      <c r="X1556" s="31">
        <f>IF(NOT(AND(ISNUMBER(O1556),ISNUMBER(Q1556))),"",(Q1556-O1556)*1440)</f>
        <v/>
      </c>
      <c r="Y1556" s="29" t="n"/>
      <c r="Z1556" s="29" t="n"/>
      <c r="AA1556" s="29" t="n"/>
      <c r="AB1556" s="32" t="n"/>
      <c r="AC1556" s="32" t="n"/>
    </row>
    <row r="1557">
      <c r="A1557" s="26" t="inlineStr">
        <is>
          <t>S30</t>
        </is>
      </c>
      <c r="B1557" s="26" t="inlineStr">
        <is>
          <t>창녕 신규점</t>
        </is>
      </c>
      <c r="C1557" s="26" t="inlineStr">
        <is>
          <t>S30-H북</t>
        </is>
      </c>
      <c r="D1557" s="47" t="n">
        <v>1</v>
      </c>
      <c r="E1557" s="26" t="inlineStr">
        <is>
          <t>측정</t>
        </is>
      </c>
      <c r="F1557" s="26" t="inlineStr">
        <is>
          <t>북</t>
        </is>
      </c>
      <c r="G1557" s="31" t="n">
        <v>3</v>
      </c>
      <c r="H1557" s="30" t="n"/>
      <c r="I1557" s="43" t="n"/>
      <c r="J1557" s="41" t="n"/>
      <c r="K1557" s="41" t="n"/>
      <c r="L1557" s="41" t="n"/>
      <c r="M1557" s="31">
        <f>IF(COUNT(J1557:L1557)=0,"",MEDIAN(J1557:L1557))</f>
        <v/>
      </c>
      <c r="N1557" s="26">
        <f>IF(COUNTIFS($C:$C,$C1557,$D:$D,$D1557,$E:$E,"P0(전)",$M:$M,"&gt;0")&lt;&gt;1,"P0(전) 유효 1개 아님",IF(COUNTIFS($C:$C,$C1557,$D:$D,$D1557,$E:$E,"P0(후)",$M:$M,"&gt;0")&lt;&gt;1,"P0(후) 유효 1개 아님",IF(NOT(AND(ISNUMBER(O1557),ISNUMBER(Q1557),ISNUMBER(I1557))),"시각 결측",IF(Q1557&lt;=O1557,"P0 시각 역전",IF(OR(I1557&lt;O1557,I1557&gt;Q1557),"측정시각 구간 밖","OK")))))</f>
        <v/>
      </c>
      <c r="O1557" s="48">
        <f>IF(COUNTIFS($C:$C,$C1557,$D:$D,$D1557,$E:$E,"P0(전)",$M:$M,"&gt;0")&lt;&gt;1,"",SUMIFS($I:$I,$C:$C,$C1557,$D:$D,$D1557,$E:$E,"P0(전)"))</f>
        <v/>
      </c>
      <c r="P1557" s="31">
        <f>IF(COUNTIFS($C:$C,$C1557,$D:$D,$D1557,$E:$E,"P0(전)",$M:$M,"&gt;0")&lt;&gt;1,"",SUMIFS($M:$M,$C:$C,$C1557,$D:$D,$D1557,$E:$E,"P0(전)"))</f>
        <v/>
      </c>
      <c r="Q1557" s="48">
        <f>IF(COUNTIFS($C:$C,$C1557,$D:$D,$D1557,$E:$E,"P0(후)",$M:$M,"&gt;0")&lt;&gt;1,"",SUMIFS($I:$I,$C:$C,$C1557,$D:$D,$D1557,$E:$E,"P0(후)"))</f>
        <v/>
      </c>
      <c r="R1557" s="31">
        <f>IF(COUNTIFS($C:$C,$C1557,$D:$D,$D1557,$E:$E,"P0(후)",$M:$M,"&gt;0")&lt;&gt;1,"",SUMIFS($M:$M,$C:$C,$C1557,$D:$D,$D1557,$E:$E,"P0(후)"))</f>
        <v/>
      </c>
      <c r="S1557" s="31">
        <f>IF(N1557&lt;&gt;"OK","",P1557+(R1557-P1557)*(I1557-O1557)/(Q1557-O1557))</f>
        <v/>
      </c>
      <c r="T1557" s="31">
        <f>IF(OR(N1557&lt;&gt;"OK",NOT(ISNUMBER(M1557))),"",M1557-S1557)</f>
        <v/>
      </c>
      <c r="U1557" s="49">
        <f>IF(OR(NOT(ISNUMBER(T1557)),IF(ISNUMBER(H1557),H1557,G1557)=0),"",T1557/IF(ISNUMBER(H1557),H1557,G1557))</f>
        <v/>
      </c>
      <c r="V1557" s="49">
        <f>IF(ISNUMBER(U1557),ABS(U1557),"")</f>
        <v/>
      </c>
      <c r="W1557" s="49">
        <f>IF(OR($E1556&lt;&gt;"측정",$C1556&lt;&gt;$C1557,$D1556&lt;&gt;$D1557,NOT(ISNUMBER(M1557)),NOT(ISNUMBER(M1556)),(IF(ISNUMBER(H1557),H1557,G1557)-IF(ISNUMBER(H1556),H1556,G1556))=0),"",(M1557-M1556)/(IF(ISNUMBER(H1557),H1557,G1557)-IF(ISNUMBER(H1556),H1556,G1556)))</f>
        <v/>
      </c>
      <c r="X1557" s="31">
        <f>IF(NOT(AND(ISNUMBER(O1557),ISNUMBER(Q1557))),"",(Q1557-O1557)*1440)</f>
        <v/>
      </c>
      <c r="Y1557" s="29" t="n"/>
      <c r="Z1557" s="29" t="n"/>
      <c r="AA1557" s="29" t="n"/>
      <c r="AB1557" s="32" t="n"/>
      <c r="AC1557" s="32" t="n"/>
    </row>
    <row r="1558">
      <c r="A1558" s="26" t="inlineStr">
        <is>
          <t>S30</t>
        </is>
      </c>
      <c r="B1558" s="26" t="inlineStr">
        <is>
          <t>창녕 신규점</t>
        </is>
      </c>
      <c r="C1558" s="26" t="inlineStr">
        <is>
          <t>S30-H북</t>
        </is>
      </c>
      <c r="D1558" s="47" t="n">
        <v>1</v>
      </c>
      <c r="E1558" s="26" t="inlineStr">
        <is>
          <t>측정</t>
        </is>
      </c>
      <c r="F1558" s="26" t="inlineStr">
        <is>
          <t>북</t>
        </is>
      </c>
      <c r="G1558" s="31" t="n">
        <v>4</v>
      </c>
      <c r="H1558" s="30" t="n"/>
      <c r="I1558" s="43" t="n"/>
      <c r="J1558" s="41" t="n"/>
      <c r="K1558" s="41" t="n"/>
      <c r="L1558" s="41" t="n"/>
      <c r="M1558" s="31">
        <f>IF(COUNT(J1558:L1558)=0,"",MEDIAN(J1558:L1558))</f>
        <v/>
      </c>
      <c r="N1558" s="26">
        <f>IF(COUNTIFS($C:$C,$C1558,$D:$D,$D1558,$E:$E,"P0(전)",$M:$M,"&gt;0")&lt;&gt;1,"P0(전) 유효 1개 아님",IF(COUNTIFS($C:$C,$C1558,$D:$D,$D1558,$E:$E,"P0(후)",$M:$M,"&gt;0")&lt;&gt;1,"P0(후) 유효 1개 아님",IF(NOT(AND(ISNUMBER(O1558),ISNUMBER(Q1558),ISNUMBER(I1558))),"시각 결측",IF(Q1558&lt;=O1558,"P0 시각 역전",IF(OR(I1558&lt;O1558,I1558&gt;Q1558),"측정시각 구간 밖","OK")))))</f>
        <v/>
      </c>
      <c r="O1558" s="48">
        <f>IF(COUNTIFS($C:$C,$C1558,$D:$D,$D1558,$E:$E,"P0(전)",$M:$M,"&gt;0")&lt;&gt;1,"",SUMIFS($I:$I,$C:$C,$C1558,$D:$D,$D1558,$E:$E,"P0(전)"))</f>
        <v/>
      </c>
      <c r="P1558" s="31">
        <f>IF(COUNTIFS($C:$C,$C1558,$D:$D,$D1558,$E:$E,"P0(전)",$M:$M,"&gt;0")&lt;&gt;1,"",SUMIFS($M:$M,$C:$C,$C1558,$D:$D,$D1558,$E:$E,"P0(전)"))</f>
        <v/>
      </c>
      <c r="Q1558" s="48">
        <f>IF(COUNTIFS($C:$C,$C1558,$D:$D,$D1558,$E:$E,"P0(후)",$M:$M,"&gt;0")&lt;&gt;1,"",SUMIFS($I:$I,$C:$C,$C1558,$D:$D,$D1558,$E:$E,"P0(후)"))</f>
        <v/>
      </c>
      <c r="R1558" s="31">
        <f>IF(COUNTIFS($C:$C,$C1558,$D:$D,$D1558,$E:$E,"P0(후)",$M:$M,"&gt;0")&lt;&gt;1,"",SUMIFS($M:$M,$C:$C,$C1558,$D:$D,$D1558,$E:$E,"P0(후)"))</f>
        <v/>
      </c>
      <c r="S1558" s="31">
        <f>IF(N1558&lt;&gt;"OK","",P1558+(R1558-P1558)*(I1558-O1558)/(Q1558-O1558))</f>
        <v/>
      </c>
      <c r="T1558" s="31">
        <f>IF(OR(N1558&lt;&gt;"OK",NOT(ISNUMBER(M1558))),"",M1558-S1558)</f>
        <v/>
      </c>
      <c r="U1558" s="49">
        <f>IF(OR(NOT(ISNUMBER(T1558)),IF(ISNUMBER(H1558),H1558,G1558)=0),"",T1558/IF(ISNUMBER(H1558),H1558,G1558))</f>
        <v/>
      </c>
      <c r="V1558" s="49">
        <f>IF(ISNUMBER(U1558),ABS(U1558),"")</f>
        <v/>
      </c>
      <c r="W1558" s="49">
        <f>IF(OR($E1557&lt;&gt;"측정",$C1557&lt;&gt;$C1558,$D1557&lt;&gt;$D1558,NOT(ISNUMBER(M1558)),NOT(ISNUMBER(M1557)),(IF(ISNUMBER(H1558),H1558,G1558)-IF(ISNUMBER(H1557),H1557,G1557))=0),"",(M1558-M1557)/(IF(ISNUMBER(H1558),H1558,G1558)-IF(ISNUMBER(H1557),H1557,G1557)))</f>
        <v/>
      </c>
      <c r="X1558" s="31">
        <f>IF(NOT(AND(ISNUMBER(O1558),ISNUMBER(Q1558))),"",(Q1558-O1558)*1440)</f>
        <v/>
      </c>
      <c r="Y1558" s="29" t="n"/>
      <c r="Z1558" s="29" t="n"/>
      <c r="AA1558" s="29" t="n"/>
      <c r="AB1558" s="32" t="n"/>
      <c r="AC1558" s="32" t="n"/>
    </row>
    <row r="1559">
      <c r="A1559" s="26" t="inlineStr">
        <is>
          <t>S30</t>
        </is>
      </c>
      <c r="B1559" s="26" t="inlineStr">
        <is>
          <t>창녕 신규점</t>
        </is>
      </c>
      <c r="C1559" s="26" t="inlineStr">
        <is>
          <t>S30-H북</t>
        </is>
      </c>
      <c r="D1559" s="47" t="n">
        <v>1</v>
      </c>
      <c r="E1559" s="26" t="inlineStr">
        <is>
          <t>측정</t>
        </is>
      </c>
      <c r="F1559" s="26" t="inlineStr">
        <is>
          <t>북</t>
        </is>
      </c>
      <c r="G1559" s="31" t="n">
        <v>5</v>
      </c>
      <c r="H1559" s="30" t="n"/>
      <c r="I1559" s="43" t="n"/>
      <c r="J1559" s="41" t="n"/>
      <c r="K1559" s="41" t="n"/>
      <c r="L1559" s="41" t="n"/>
      <c r="M1559" s="31">
        <f>IF(COUNT(J1559:L1559)=0,"",MEDIAN(J1559:L1559))</f>
        <v/>
      </c>
      <c r="N1559" s="26">
        <f>IF(COUNTIFS($C:$C,$C1559,$D:$D,$D1559,$E:$E,"P0(전)",$M:$M,"&gt;0")&lt;&gt;1,"P0(전) 유효 1개 아님",IF(COUNTIFS($C:$C,$C1559,$D:$D,$D1559,$E:$E,"P0(후)",$M:$M,"&gt;0")&lt;&gt;1,"P0(후) 유효 1개 아님",IF(NOT(AND(ISNUMBER(O1559),ISNUMBER(Q1559),ISNUMBER(I1559))),"시각 결측",IF(Q1559&lt;=O1559,"P0 시각 역전",IF(OR(I1559&lt;O1559,I1559&gt;Q1559),"측정시각 구간 밖","OK")))))</f>
        <v/>
      </c>
      <c r="O1559" s="48">
        <f>IF(COUNTIFS($C:$C,$C1559,$D:$D,$D1559,$E:$E,"P0(전)",$M:$M,"&gt;0")&lt;&gt;1,"",SUMIFS($I:$I,$C:$C,$C1559,$D:$D,$D1559,$E:$E,"P0(전)"))</f>
        <v/>
      </c>
      <c r="P1559" s="31">
        <f>IF(COUNTIFS($C:$C,$C1559,$D:$D,$D1559,$E:$E,"P0(전)",$M:$M,"&gt;0")&lt;&gt;1,"",SUMIFS($M:$M,$C:$C,$C1559,$D:$D,$D1559,$E:$E,"P0(전)"))</f>
        <v/>
      </c>
      <c r="Q1559" s="48">
        <f>IF(COUNTIFS($C:$C,$C1559,$D:$D,$D1559,$E:$E,"P0(후)",$M:$M,"&gt;0")&lt;&gt;1,"",SUMIFS($I:$I,$C:$C,$C1559,$D:$D,$D1559,$E:$E,"P0(후)"))</f>
        <v/>
      </c>
      <c r="R1559" s="31">
        <f>IF(COUNTIFS($C:$C,$C1559,$D:$D,$D1559,$E:$E,"P0(후)",$M:$M,"&gt;0")&lt;&gt;1,"",SUMIFS($M:$M,$C:$C,$C1559,$D:$D,$D1559,$E:$E,"P0(후)"))</f>
        <v/>
      </c>
      <c r="S1559" s="31">
        <f>IF(N1559&lt;&gt;"OK","",P1559+(R1559-P1559)*(I1559-O1559)/(Q1559-O1559))</f>
        <v/>
      </c>
      <c r="T1559" s="31">
        <f>IF(OR(N1559&lt;&gt;"OK",NOT(ISNUMBER(M1559))),"",M1559-S1559)</f>
        <v/>
      </c>
      <c r="U1559" s="49">
        <f>IF(OR(NOT(ISNUMBER(T1559)),IF(ISNUMBER(H1559),H1559,G1559)=0),"",T1559/IF(ISNUMBER(H1559),H1559,G1559))</f>
        <v/>
      </c>
      <c r="V1559" s="49">
        <f>IF(ISNUMBER(U1559),ABS(U1559),"")</f>
        <v/>
      </c>
      <c r="W1559" s="49">
        <f>IF(OR($E1558&lt;&gt;"측정",$C1558&lt;&gt;$C1559,$D1558&lt;&gt;$D1559,NOT(ISNUMBER(M1559)),NOT(ISNUMBER(M1558)),(IF(ISNUMBER(H1559),H1559,G1559)-IF(ISNUMBER(H1558),H1558,G1558))=0),"",(M1559-M1558)/(IF(ISNUMBER(H1559),H1559,G1559)-IF(ISNUMBER(H1558),H1558,G1558)))</f>
        <v/>
      </c>
      <c r="X1559" s="31">
        <f>IF(NOT(AND(ISNUMBER(O1559),ISNUMBER(Q1559))),"",(Q1559-O1559)*1440)</f>
        <v/>
      </c>
      <c r="Y1559" s="29" t="n"/>
      <c r="Z1559" s="29" t="n"/>
      <c r="AA1559" s="29" t="n"/>
      <c r="AB1559" s="32" t="n"/>
      <c r="AC1559" s="32" t="n"/>
    </row>
    <row r="1560">
      <c r="A1560" s="26" t="inlineStr">
        <is>
          <t>S30</t>
        </is>
      </c>
      <c r="B1560" s="26" t="inlineStr">
        <is>
          <t>창녕 신규점</t>
        </is>
      </c>
      <c r="C1560" s="26" t="inlineStr">
        <is>
          <t>S30-H북</t>
        </is>
      </c>
      <c r="D1560" s="47" t="n">
        <v>1</v>
      </c>
      <c r="E1560" s="26" t="inlineStr">
        <is>
          <t>측정</t>
        </is>
      </c>
      <c r="F1560" s="26" t="inlineStr">
        <is>
          <t>북</t>
        </is>
      </c>
      <c r="G1560" s="31" t="n">
        <v>6</v>
      </c>
      <c r="H1560" s="30" t="n"/>
      <c r="I1560" s="43" t="n"/>
      <c r="J1560" s="41" t="n"/>
      <c r="K1560" s="41" t="n"/>
      <c r="L1560" s="41" t="n"/>
      <c r="M1560" s="31">
        <f>IF(COUNT(J1560:L1560)=0,"",MEDIAN(J1560:L1560))</f>
        <v/>
      </c>
      <c r="N1560" s="26">
        <f>IF(COUNTIFS($C:$C,$C1560,$D:$D,$D1560,$E:$E,"P0(전)",$M:$M,"&gt;0")&lt;&gt;1,"P0(전) 유효 1개 아님",IF(COUNTIFS($C:$C,$C1560,$D:$D,$D1560,$E:$E,"P0(후)",$M:$M,"&gt;0")&lt;&gt;1,"P0(후) 유효 1개 아님",IF(NOT(AND(ISNUMBER(O1560),ISNUMBER(Q1560),ISNUMBER(I1560))),"시각 결측",IF(Q1560&lt;=O1560,"P0 시각 역전",IF(OR(I1560&lt;O1560,I1560&gt;Q1560),"측정시각 구간 밖","OK")))))</f>
        <v/>
      </c>
      <c r="O1560" s="48">
        <f>IF(COUNTIFS($C:$C,$C1560,$D:$D,$D1560,$E:$E,"P0(전)",$M:$M,"&gt;0")&lt;&gt;1,"",SUMIFS($I:$I,$C:$C,$C1560,$D:$D,$D1560,$E:$E,"P0(전)"))</f>
        <v/>
      </c>
      <c r="P1560" s="31">
        <f>IF(COUNTIFS($C:$C,$C1560,$D:$D,$D1560,$E:$E,"P0(전)",$M:$M,"&gt;0")&lt;&gt;1,"",SUMIFS($M:$M,$C:$C,$C1560,$D:$D,$D1560,$E:$E,"P0(전)"))</f>
        <v/>
      </c>
      <c r="Q1560" s="48">
        <f>IF(COUNTIFS($C:$C,$C1560,$D:$D,$D1560,$E:$E,"P0(후)",$M:$M,"&gt;0")&lt;&gt;1,"",SUMIFS($I:$I,$C:$C,$C1560,$D:$D,$D1560,$E:$E,"P0(후)"))</f>
        <v/>
      </c>
      <c r="R1560" s="31">
        <f>IF(COUNTIFS($C:$C,$C1560,$D:$D,$D1560,$E:$E,"P0(후)",$M:$M,"&gt;0")&lt;&gt;1,"",SUMIFS($M:$M,$C:$C,$C1560,$D:$D,$D1560,$E:$E,"P0(후)"))</f>
        <v/>
      </c>
      <c r="S1560" s="31">
        <f>IF(N1560&lt;&gt;"OK","",P1560+(R1560-P1560)*(I1560-O1560)/(Q1560-O1560))</f>
        <v/>
      </c>
      <c r="T1560" s="31">
        <f>IF(OR(N1560&lt;&gt;"OK",NOT(ISNUMBER(M1560))),"",M1560-S1560)</f>
        <v/>
      </c>
      <c r="U1560" s="49">
        <f>IF(OR(NOT(ISNUMBER(T1560)),IF(ISNUMBER(H1560),H1560,G1560)=0),"",T1560/IF(ISNUMBER(H1560),H1560,G1560))</f>
        <v/>
      </c>
      <c r="V1560" s="49">
        <f>IF(ISNUMBER(U1560),ABS(U1560),"")</f>
        <v/>
      </c>
      <c r="W1560" s="49">
        <f>IF(OR($E1559&lt;&gt;"측정",$C1559&lt;&gt;$C1560,$D1559&lt;&gt;$D1560,NOT(ISNUMBER(M1560)),NOT(ISNUMBER(M1559)),(IF(ISNUMBER(H1560),H1560,G1560)-IF(ISNUMBER(H1559),H1559,G1559))=0),"",(M1560-M1559)/(IF(ISNUMBER(H1560),H1560,G1560)-IF(ISNUMBER(H1559),H1559,G1559)))</f>
        <v/>
      </c>
      <c r="X1560" s="31">
        <f>IF(NOT(AND(ISNUMBER(O1560),ISNUMBER(Q1560))),"",(Q1560-O1560)*1440)</f>
        <v/>
      </c>
      <c r="Y1560" s="29" t="n"/>
      <c r="Z1560" s="29" t="n"/>
      <c r="AA1560" s="29" t="n"/>
      <c r="AB1560" s="32" t="n"/>
      <c r="AC1560" s="32" t="n"/>
    </row>
    <row r="1561">
      <c r="A1561" s="26" t="inlineStr">
        <is>
          <t>S30</t>
        </is>
      </c>
      <c r="B1561" s="26" t="inlineStr">
        <is>
          <t>창녕 신규점</t>
        </is>
      </c>
      <c r="C1561" s="26" t="inlineStr">
        <is>
          <t>S30-H북</t>
        </is>
      </c>
      <c r="D1561" s="47" t="n">
        <v>1</v>
      </c>
      <c r="E1561" s="26" t="inlineStr">
        <is>
          <t>측정</t>
        </is>
      </c>
      <c r="F1561" s="26" t="inlineStr">
        <is>
          <t>북</t>
        </is>
      </c>
      <c r="G1561" s="31" t="n">
        <v>7</v>
      </c>
      <c r="H1561" s="30" t="n"/>
      <c r="I1561" s="43" t="n"/>
      <c r="J1561" s="41" t="n"/>
      <c r="K1561" s="41" t="n"/>
      <c r="L1561" s="41" t="n"/>
      <c r="M1561" s="31">
        <f>IF(COUNT(J1561:L1561)=0,"",MEDIAN(J1561:L1561))</f>
        <v/>
      </c>
      <c r="N1561" s="26">
        <f>IF(COUNTIFS($C:$C,$C1561,$D:$D,$D1561,$E:$E,"P0(전)",$M:$M,"&gt;0")&lt;&gt;1,"P0(전) 유효 1개 아님",IF(COUNTIFS($C:$C,$C1561,$D:$D,$D1561,$E:$E,"P0(후)",$M:$M,"&gt;0")&lt;&gt;1,"P0(후) 유효 1개 아님",IF(NOT(AND(ISNUMBER(O1561),ISNUMBER(Q1561),ISNUMBER(I1561))),"시각 결측",IF(Q1561&lt;=O1561,"P0 시각 역전",IF(OR(I1561&lt;O1561,I1561&gt;Q1561),"측정시각 구간 밖","OK")))))</f>
        <v/>
      </c>
      <c r="O1561" s="48">
        <f>IF(COUNTIFS($C:$C,$C1561,$D:$D,$D1561,$E:$E,"P0(전)",$M:$M,"&gt;0")&lt;&gt;1,"",SUMIFS($I:$I,$C:$C,$C1561,$D:$D,$D1561,$E:$E,"P0(전)"))</f>
        <v/>
      </c>
      <c r="P1561" s="31">
        <f>IF(COUNTIFS($C:$C,$C1561,$D:$D,$D1561,$E:$E,"P0(전)",$M:$M,"&gt;0")&lt;&gt;1,"",SUMIFS($M:$M,$C:$C,$C1561,$D:$D,$D1561,$E:$E,"P0(전)"))</f>
        <v/>
      </c>
      <c r="Q1561" s="48">
        <f>IF(COUNTIFS($C:$C,$C1561,$D:$D,$D1561,$E:$E,"P0(후)",$M:$M,"&gt;0")&lt;&gt;1,"",SUMIFS($I:$I,$C:$C,$C1561,$D:$D,$D1561,$E:$E,"P0(후)"))</f>
        <v/>
      </c>
      <c r="R1561" s="31">
        <f>IF(COUNTIFS($C:$C,$C1561,$D:$D,$D1561,$E:$E,"P0(후)",$M:$M,"&gt;0")&lt;&gt;1,"",SUMIFS($M:$M,$C:$C,$C1561,$D:$D,$D1561,$E:$E,"P0(후)"))</f>
        <v/>
      </c>
      <c r="S1561" s="31">
        <f>IF(N1561&lt;&gt;"OK","",P1561+(R1561-P1561)*(I1561-O1561)/(Q1561-O1561))</f>
        <v/>
      </c>
      <c r="T1561" s="31">
        <f>IF(OR(N1561&lt;&gt;"OK",NOT(ISNUMBER(M1561))),"",M1561-S1561)</f>
        <v/>
      </c>
      <c r="U1561" s="49">
        <f>IF(OR(NOT(ISNUMBER(T1561)),IF(ISNUMBER(H1561),H1561,G1561)=0),"",T1561/IF(ISNUMBER(H1561),H1561,G1561))</f>
        <v/>
      </c>
      <c r="V1561" s="49">
        <f>IF(ISNUMBER(U1561),ABS(U1561),"")</f>
        <v/>
      </c>
      <c r="W1561" s="49">
        <f>IF(OR($E1560&lt;&gt;"측정",$C1560&lt;&gt;$C1561,$D1560&lt;&gt;$D1561,NOT(ISNUMBER(M1561)),NOT(ISNUMBER(M1560)),(IF(ISNUMBER(H1561),H1561,G1561)-IF(ISNUMBER(H1560),H1560,G1560))=0),"",(M1561-M1560)/(IF(ISNUMBER(H1561),H1561,G1561)-IF(ISNUMBER(H1560),H1560,G1560)))</f>
        <v/>
      </c>
      <c r="X1561" s="31">
        <f>IF(NOT(AND(ISNUMBER(O1561),ISNUMBER(Q1561))),"",(Q1561-O1561)*1440)</f>
        <v/>
      </c>
      <c r="Y1561" s="29" t="n"/>
      <c r="Z1561" s="29" t="n"/>
      <c r="AA1561" s="29" t="n"/>
      <c r="AB1561" s="32" t="n"/>
      <c r="AC1561" s="32" t="n"/>
    </row>
    <row r="1562">
      <c r="A1562" s="26" t="inlineStr">
        <is>
          <t>S30</t>
        </is>
      </c>
      <c r="B1562" s="26" t="inlineStr">
        <is>
          <t>창녕 신규점</t>
        </is>
      </c>
      <c r="C1562" s="26" t="inlineStr">
        <is>
          <t>S30-H북</t>
        </is>
      </c>
      <c r="D1562" s="47" t="n">
        <v>1</v>
      </c>
      <c r="E1562" s="26" t="inlineStr">
        <is>
          <t>측정</t>
        </is>
      </c>
      <c r="F1562" s="26" t="inlineStr">
        <is>
          <t>북</t>
        </is>
      </c>
      <c r="G1562" s="31" t="n">
        <v>8</v>
      </c>
      <c r="H1562" s="30" t="n"/>
      <c r="I1562" s="43" t="n"/>
      <c r="J1562" s="41" t="n"/>
      <c r="K1562" s="41" t="n"/>
      <c r="L1562" s="41" t="n"/>
      <c r="M1562" s="31">
        <f>IF(COUNT(J1562:L1562)=0,"",MEDIAN(J1562:L1562))</f>
        <v/>
      </c>
      <c r="N1562" s="26">
        <f>IF(COUNTIFS($C:$C,$C1562,$D:$D,$D1562,$E:$E,"P0(전)",$M:$M,"&gt;0")&lt;&gt;1,"P0(전) 유효 1개 아님",IF(COUNTIFS($C:$C,$C1562,$D:$D,$D1562,$E:$E,"P0(후)",$M:$M,"&gt;0")&lt;&gt;1,"P0(후) 유효 1개 아님",IF(NOT(AND(ISNUMBER(O1562),ISNUMBER(Q1562),ISNUMBER(I1562))),"시각 결측",IF(Q1562&lt;=O1562,"P0 시각 역전",IF(OR(I1562&lt;O1562,I1562&gt;Q1562),"측정시각 구간 밖","OK")))))</f>
        <v/>
      </c>
      <c r="O1562" s="48">
        <f>IF(COUNTIFS($C:$C,$C1562,$D:$D,$D1562,$E:$E,"P0(전)",$M:$M,"&gt;0")&lt;&gt;1,"",SUMIFS($I:$I,$C:$C,$C1562,$D:$D,$D1562,$E:$E,"P0(전)"))</f>
        <v/>
      </c>
      <c r="P1562" s="31">
        <f>IF(COUNTIFS($C:$C,$C1562,$D:$D,$D1562,$E:$E,"P0(전)",$M:$M,"&gt;0")&lt;&gt;1,"",SUMIFS($M:$M,$C:$C,$C1562,$D:$D,$D1562,$E:$E,"P0(전)"))</f>
        <v/>
      </c>
      <c r="Q1562" s="48">
        <f>IF(COUNTIFS($C:$C,$C1562,$D:$D,$D1562,$E:$E,"P0(후)",$M:$M,"&gt;0")&lt;&gt;1,"",SUMIFS($I:$I,$C:$C,$C1562,$D:$D,$D1562,$E:$E,"P0(후)"))</f>
        <v/>
      </c>
      <c r="R1562" s="31">
        <f>IF(COUNTIFS($C:$C,$C1562,$D:$D,$D1562,$E:$E,"P0(후)",$M:$M,"&gt;0")&lt;&gt;1,"",SUMIFS($M:$M,$C:$C,$C1562,$D:$D,$D1562,$E:$E,"P0(후)"))</f>
        <v/>
      </c>
      <c r="S1562" s="31">
        <f>IF(N1562&lt;&gt;"OK","",P1562+(R1562-P1562)*(I1562-O1562)/(Q1562-O1562))</f>
        <v/>
      </c>
      <c r="T1562" s="31">
        <f>IF(OR(N1562&lt;&gt;"OK",NOT(ISNUMBER(M1562))),"",M1562-S1562)</f>
        <v/>
      </c>
      <c r="U1562" s="49">
        <f>IF(OR(NOT(ISNUMBER(T1562)),IF(ISNUMBER(H1562),H1562,G1562)=0),"",T1562/IF(ISNUMBER(H1562),H1562,G1562))</f>
        <v/>
      </c>
      <c r="V1562" s="49">
        <f>IF(ISNUMBER(U1562),ABS(U1562),"")</f>
        <v/>
      </c>
      <c r="W1562" s="49">
        <f>IF(OR($E1561&lt;&gt;"측정",$C1561&lt;&gt;$C1562,$D1561&lt;&gt;$D1562,NOT(ISNUMBER(M1562)),NOT(ISNUMBER(M1561)),(IF(ISNUMBER(H1562),H1562,G1562)-IF(ISNUMBER(H1561),H1561,G1561))=0),"",(M1562-M1561)/(IF(ISNUMBER(H1562),H1562,G1562)-IF(ISNUMBER(H1561),H1561,G1561)))</f>
        <v/>
      </c>
      <c r="X1562" s="31">
        <f>IF(NOT(AND(ISNUMBER(O1562),ISNUMBER(Q1562))),"",(Q1562-O1562)*1440)</f>
        <v/>
      </c>
      <c r="Y1562" s="29" t="n"/>
      <c r="Z1562" s="29" t="n"/>
      <c r="AA1562" s="29" t="n"/>
      <c r="AB1562" s="32" t="n"/>
      <c r="AC1562" s="32" t="n"/>
    </row>
    <row r="1563">
      <c r="A1563" s="26" t="inlineStr">
        <is>
          <t>S30</t>
        </is>
      </c>
      <c r="B1563" s="26" t="inlineStr">
        <is>
          <t>창녕 신규점</t>
        </is>
      </c>
      <c r="C1563" s="26" t="inlineStr">
        <is>
          <t>S30-H북</t>
        </is>
      </c>
      <c r="D1563" s="47" t="n">
        <v>1</v>
      </c>
      <c r="E1563" s="26" t="inlineStr">
        <is>
          <t>측정</t>
        </is>
      </c>
      <c r="F1563" s="26" t="inlineStr">
        <is>
          <t>북</t>
        </is>
      </c>
      <c r="G1563" s="31" t="n">
        <v>9</v>
      </c>
      <c r="H1563" s="30" t="n"/>
      <c r="I1563" s="43" t="n"/>
      <c r="J1563" s="41" t="n"/>
      <c r="K1563" s="41" t="n"/>
      <c r="L1563" s="41" t="n"/>
      <c r="M1563" s="31">
        <f>IF(COUNT(J1563:L1563)=0,"",MEDIAN(J1563:L1563))</f>
        <v/>
      </c>
      <c r="N1563" s="26">
        <f>IF(COUNTIFS($C:$C,$C1563,$D:$D,$D1563,$E:$E,"P0(전)",$M:$M,"&gt;0")&lt;&gt;1,"P0(전) 유효 1개 아님",IF(COUNTIFS($C:$C,$C1563,$D:$D,$D1563,$E:$E,"P0(후)",$M:$M,"&gt;0")&lt;&gt;1,"P0(후) 유효 1개 아님",IF(NOT(AND(ISNUMBER(O1563),ISNUMBER(Q1563),ISNUMBER(I1563))),"시각 결측",IF(Q1563&lt;=O1563,"P0 시각 역전",IF(OR(I1563&lt;O1563,I1563&gt;Q1563),"측정시각 구간 밖","OK")))))</f>
        <v/>
      </c>
      <c r="O1563" s="48">
        <f>IF(COUNTIFS($C:$C,$C1563,$D:$D,$D1563,$E:$E,"P0(전)",$M:$M,"&gt;0")&lt;&gt;1,"",SUMIFS($I:$I,$C:$C,$C1563,$D:$D,$D1563,$E:$E,"P0(전)"))</f>
        <v/>
      </c>
      <c r="P1563" s="31">
        <f>IF(COUNTIFS($C:$C,$C1563,$D:$D,$D1563,$E:$E,"P0(전)",$M:$M,"&gt;0")&lt;&gt;1,"",SUMIFS($M:$M,$C:$C,$C1563,$D:$D,$D1563,$E:$E,"P0(전)"))</f>
        <v/>
      </c>
      <c r="Q1563" s="48">
        <f>IF(COUNTIFS($C:$C,$C1563,$D:$D,$D1563,$E:$E,"P0(후)",$M:$M,"&gt;0")&lt;&gt;1,"",SUMIFS($I:$I,$C:$C,$C1563,$D:$D,$D1563,$E:$E,"P0(후)"))</f>
        <v/>
      </c>
      <c r="R1563" s="31">
        <f>IF(COUNTIFS($C:$C,$C1563,$D:$D,$D1563,$E:$E,"P0(후)",$M:$M,"&gt;0")&lt;&gt;1,"",SUMIFS($M:$M,$C:$C,$C1563,$D:$D,$D1563,$E:$E,"P0(후)"))</f>
        <v/>
      </c>
      <c r="S1563" s="31">
        <f>IF(N1563&lt;&gt;"OK","",P1563+(R1563-P1563)*(I1563-O1563)/(Q1563-O1563))</f>
        <v/>
      </c>
      <c r="T1563" s="31">
        <f>IF(OR(N1563&lt;&gt;"OK",NOT(ISNUMBER(M1563))),"",M1563-S1563)</f>
        <v/>
      </c>
      <c r="U1563" s="49">
        <f>IF(OR(NOT(ISNUMBER(T1563)),IF(ISNUMBER(H1563),H1563,G1563)=0),"",T1563/IF(ISNUMBER(H1563),H1563,G1563))</f>
        <v/>
      </c>
      <c r="V1563" s="49">
        <f>IF(ISNUMBER(U1563),ABS(U1563),"")</f>
        <v/>
      </c>
      <c r="W1563" s="49">
        <f>IF(OR($E1562&lt;&gt;"측정",$C1562&lt;&gt;$C1563,$D1562&lt;&gt;$D1563,NOT(ISNUMBER(M1563)),NOT(ISNUMBER(M1562)),(IF(ISNUMBER(H1563),H1563,G1563)-IF(ISNUMBER(H1562),H1562,G1562))=0),"",(M1563-M1562)/(IF(ISNUMBER(H1563),H1563,G1563)-IF(ISNUMBER(H1562),H1562,G1562)))</f>
        <v/>
      </c>
      <c r="X1563" s="31">
        <f>IF(NOT(AND(ISNUMBER(O1563),ISNUMBER(Q1563))),"",(Q1563-O1563)*1440)</f>
        <v/>
      </c>
      <c r="Y1563" s="29" t="n"/>
      <c r="Z1563" s="29" t="n"/>
      <c r="AA1563" s="29" t="n"/>
      <c r="AB1563" s="32" t="n"/>
      <c r="AC1563" s="32" t="n"/>
    </row>
    <row r="1564">
      <c r="A1564" s="26" t="inlineStr">
        <is>
          <t>S30</t>
        </is>
      </c>
      <c r="B1564" s="26" t="inlineStr">
        <is>
          <t>창녕 신규점</t>
        </is>
      </c>
      <c r="C1564" s="26" t="inlineStr">
        <is>
          <t>S30-H북</t>
        </is>
      </c>
      <c r="D1564" s="47" t="n">
        <v>1</v>
      </c>
      <c r="E1564" s="26" t="inlineStr">
        <is>
          <t>측정</t>
        </is>
      </c>
      <c r="F1564" s="26" t="inlineStr">
        <is>
          <t>북</t>
        </is>
      </c>
      <c r="G1564" s="31" t="n">
        <v>10</v>
      </c>
      <c r="H1564" s="30" t="n"/>
      <c r="I1564" s="43" t="n"/>
      <c r="J1564" s="41" t="n"/>
      <c r="K1564" s="41" t="n"/>
      <c r="L1564" s="41" t="n"/>
      <c r="M1564" s="31">
        <f>IF(COUNT(J1564:L1564)=0,"",MEDIAN(J1564:L1564))</f>
        <v/>
      </c>
      <c r="N1564" s="26">
        <f>IF(COUNTIFS($C:$C,$C1564,$D:$D,$D1564,$E:$E,"P0(전)",$M:$M,"&gt;0")&lt;&gt;1,"P0(전) 유효 1개 아님",IF(COUNTIFS($C:$C,$C1564,$D:$D,$D1564,$E:$E,"P0(후)",$M:$M,"&gt;0")&lt;&gt;1,"P0(후) 유효 1개 아님",IF(NOT(AND(ISNUMBER(O1564),ISNUMBER(Q1564),ISNUMBER(I1564))),"시각 결측",IF(Q1564&lt;=O1564,"P0 시각 역전",IF(OR(I1564&lt;O1564,I1564&gt;Q1564),"측정시각 구간 밖","OK")))))</f>
        <v/>
      </c>
      <c r="O1564" s="48">
        <f>IF(COUNTIFS($C:$C,$C1564,$D:$D,$D1564,$E:$E,"P0(전)",$M:$M,"&gt;0")&lt;&gt;1,"",SUMIFS($I:$I,$C:$C,$C1564,$D:$D,$D1564,$E:$E,"P0(전)"))</f>
        <v/>
      </c>
      <c r="P1564" s="31">
        <f>IF(COUNTIFS($C:$C,$C1564,$D:$D,$D1564,$E:$E,"P0(전)",$M:$M,"&gt;0")&lt;&gt;1,"",SUMIFS($M:$M,$C:$C,$C1564,$D:$D,$D1564,$E:$E,"P0(전)"))</f>
        <v/>
      </c>
      <c r="Q1564" s="48">
        <f>IF(COUNTIFS($C:$C,$C1564,$D:$D,$D1564,$E:$E,"P0(후)",$M:$M,"&gt;0")&lt;&gt;1,"",SUMIFS($I:$I,$C:$C,$C1564,$D:$D,$D1564,$E:$E,"P0(후)"))</f>
        <v/>
      </c>
      <c r="R1564" s="31">
        <f>IF(COUNTIFS($C:$C,$C1564,$D:$D,$D1564,$E:$E,"P0(후)",$M:$M,"&gt;0")&lt;&gt;1,"",SUMIFS($M:$M,$C:$C,$C1564,$D:$D,$D1564,$E:$E,"P0(후)"))</f>
        <v/>
      </c>
      <c r="S1564" s="31">
        <f>IF(N1564&lt;&gt;"OK","",P1564+(R1564-P1564)*(I1564-O1564)/(Q1564-O1564))</f>
        <v/>
      </c>
      <c r="T1564" s="31">
        <f>IF(OR(N1564&lt;&gt;"OK",NOT(ISNUMBER(M1564))),"",M1564-S1564)</f>
        <v/>
      </c>
      <c r="U1564" s="49">
        <f>IF(OR(NOT(ISNUMBER(T1564)),IF(ISNUMBER(H1564),H1564,G1564)=0),"",T1564/IF(ISNUMBER(H1564),H1564,G1564))</f>
        <v/>
      </c>
      <c r="V1564" s="49">
        <f>IF(ISNUMBER(U1564),ABS(U1564),"")</f>
        <v/>
      </c>
      <c r="W1564" s="49">
        <f>IF(OR($E1563&lt;&gt;"측정",$C1563&lt;&gt;$C1564,$D1563&lt;&gt;$D1564,NOT(ISNUMBER(M1564)),NOT(ISNUMBER(M1563)),(IF(ISNUMBER(H1564),H1564,G1564)-IF(ISNUMBER(H1563),H1563,G1563))=0),"",(M1564-M1563)/(IF(ISNUMBER(H1564),H1564,G1564)-IF(ISNUMBER(H1563),H1563,G1563)))</f>
        <v/>
      </c>
      <c r="X1564" s="31">
        <f>IF(NOT(AND(ISNUMBER(O1564),ISNUMBER(Q1564))),"",(Q1564-O1564)*1440)</f>
        <v/>
      </c>
      <c r="Y1564" s="29" t="n"/>
      <c r="Z1564" s="29" t="n"/>
      <c r="AA1564" s="29" t="n"/>
      <c r="AB1564" s="32" t="n"/>
      <c r="AC1564" s="32" t="n"/>
    </row>
    <row r="1565">
      <c r="A1565" s="44" t="inlineStr">
        <is>
          <t>S30</t>
        </is>
      </c>
      <c r="B1565" s="44" t="inlineStr">
        <is>
          <t>창녕 신규점</t>
        </is>
      </c>
      <c r="C1565" s="44" t="inlineStr">
        <is>
          <t>S30-H북</t>
        </is>
      </c>
      <c r="D1565" s="45" t="n">
        <v>1</v>
      </c>
      <c r="E1565" s="44" t="inlineStr">
        <is>
          <t>P0(후)</t>
        </is>
      </c>
      <c r="F1565" s="44" t="inlineStr">
        <is>
          <t>북</t>
        </is>
      </c>
      <c r="G1565" s="46" t="n"/>
      <c r="H1565" s="30" t="n"/>
      <c r="I1565" s="43" t="n"/>
      <c r="J1565" s="41" t="n"/>
      <c r="K1565" s="41" t="n"/>
      <c r="L1565" s="41" t="n"/>
      <c r="M1565" s="31">
        <f>IF(COUNT(J1565:L1565)=0,"",MEDIAN(J1565:L1565))</f>
        <v/>
      </c>
      <c r="N1565" s="38" t="n"/>
      <c r="O1565" s="38" t="n"/>
      <c r="P1565" s="38" t="n"/>
      <c r="Q1565" s="38" t="n"/>
      <c r="R1565" s="38" t="n"/>
      <c r="S1565" s="38" t="n"/>
      <c r="T1565" s="38" t="n"/>
      <c r="U1565" s="38" t="n"/>
      <c r="V1565" s="38" t="n"/>
      <c r="W1565" s="38" t="n"/>
      <c r="X1565" s="38" t="n"/>
      <c r="Y1565" s="29" t="n"/>
      <c r="Z1565" s="29" t="n"/>
      <c r="AA1565" s="29" t="n"/>
      <c r="AB1565" s="32" t="n"/>
      <c r="AC1565" s="32" t="n"/>
    </row>
    <row r="1566">
      <c r="A1566" s="44" t="inlineStr">
        <is>
          <t>S31</t>
        </is>
      </c>
      <c r="B1566" s="44" t="inlineStr">
        <is>
          <t>언양 신규점3</t>
        </is>
      </c>
      <c r="C1566" s="44" t="inlineStr">
        <is>
          <t>S31-H동</t>
        </is>
      </c>
      <c r="D1566" s="45" t="n">
        <v>1</v>
      </c>
      <c r="E1566" s="44" t="inlineStr">
        <is>
          <t>P0(전)</t>
        </is>
      </c>
      <c r="F1566" s="44" t="inlineStr">
        <is>
          <t>동</t>
        </is>
      </c>
      <c r="G1566" s="46" t="n"/>
      <c r="H1566" s="30" t="n"/>
      <c r="I1566" s="43" t="n"/>
      <c r="J1566" s="41" t="n"/>
      <c r="K1566" s="41" t="n"/>
      <c r="L1566" s="41" t="n"/>
      <c r="M1566" s="31">
        <f>IF(COUNT(J1566:L1566)=0,"",MEDIAN(J1566:L1566))</f>
        <v/>
      </c>
      <c r="N1566" s="38" t="n"/>
      <c r="O1566" s="38" t="n"/>
      <c r="P1566" s="38" t="n"/>
      <c r="Q1566" s="38" t="n"/>
      <c r="R1566" s="38" t="n"/>
      <c r="S1566" s="38" t="n"/>
      <c r="T1566" s="38" t="n"/>
      <c r="U1566" s="38" t="n"/>
      <c r="V1566" s="38" t="n"/>
      <c r="W1566" s="38" t="n"/>
      <c r="X1566" s="38" t="n"/>
      <c r="Y1566" s="29" t="n"/>
      <c r="Z1566" s="29" t="n"/>
      <c r="AA1566" s="29" t="n"/>
      <c r="AB1566" s="32" t="n"/>
      <c r="AC1566" s="32" t="n"/>
    </row>
    <row r="1567">
      <c r="A1567" s="26" t="inlineStr">
        <is>
          <t>S31</t>
        </is>
      </c>
      <c r="B1567" s="26" t="inlineStr">
        <is>
          <t>언양 신규점3</t>
        </is>
      </c>
      <c r="C1567" s="26" t="inlineStr">
        <is>
          <t>S31-H동</t>
        </is>
      </c>
      <c r="D1567" s="47" t="n">
        <v>1</v>
      </c>
      <c r="E1567" s="26" t="inlineStr">
        <is>
          <t>측정</t>
        </is>
      </c>
      <c r="F1567" s="26" t="inlineStr">
        <is>
          <t>동</t>
        </is>
      </c>
      <c r="G1567" s="31" t="n">
        <v>0.5</v>
      </c>
      <c r="H1567" s="30" t="n"/>
      <c r="I1567" s="43" t="n"/>
      <c r="J1567" s="41" t="n"/>
      <c r="K1567" s="41" t="n"/>
      <c r="L1567" s="41" t="n"/>
      <c r="M1567" s="31">
        <f>IF(COUNT(J1567:L1567)=0,"",MEDIAN(J1567:L1567))</f>
        <v/>
      </c>
      <c r="N1567" s="26">
        <f>IF(COUNTIFS($C:$C,$C1567,$D:$D,$D1567,$E:$E,"P0(전)",$M:$M,"&gt;0")&lt;&gt;1,"P0(전) 유효 1개 아님",IF(COUNTIFS($C:$C,$C1567,$D:$D,$D1567,$E:$E,"P0(후)",$M:$M,"&gt;0")&lt;&gt;1,"P0(후) 유효 1개 아님",IF(NOT(AND(ISNUMBER(O1567),ISNUMBER(Q1567),ISNUMBER(I1567))),"시각 결측",IF(Q1567&lt;=O1567,"P0 시각 역전",IF(OR(I1567&lt;O1567,I1567&gt;Q1567),"측정시각 구간 밖","OK")))))</f>
        <v/>
      </c>
      <c r="O1567" s="48">
        <f>IF(COUNTIFS($C:$C,$C1567,$D:$D,$D1567,$E:$E,"P0(전)",$M:$M,"&gt;0")&lt;&gt;1,"",SUMIFS($I:$I,$C:$C,$C1567,$D:$D,$D1567,$E:$E,"P0(전)"))</f>
        <v/>
      </c>
      <c r="P1567" s="31">
        <f>IF(COUNTIFS($C:$C,$C1567,$D:$D,$D1567,$E:$E,"P0(전)",$M:$M,"&gt;0")&lt;&gt;1,"",SUMIFS($M:$M,$C:$C,$C1567,$D:$D,$D1567,$E:$E,"P0(전)"))</f>
        <v/>
      </c>
      <c r="Q1567" s="48">
        <f>IF(COUNTIFS($C:$C,$C1567,$D:$D,$D1567,$E:$E,"P0(후)",$M:$M,"&gt;0")&lt;&gt;1,"",SUMIFS($I:$I,$C:$C,$C1567,$D:$D,$D1567,$E:$E,"P0(후)"))</f>
        <v/>
      </c>
      <c r="R1567" s="31">
        <f>IF(COUNTIFS($C:$C,$C1567,$D:$D,$D1567,$E:$E,"P0(후)",$M:$M,"&gt;0")&lt;&gt;1,"",SUMIFS($M:$M,$C:$C,$C1567,$D:$D,$D1567,$E:$E,"P0(후)"))</f>
        <v/>
      </c>
      <c r="S1567" s="31">
        <f>IF(N1567&lt;&gt;"OK","",P1567+(R1567-P1567)*(I1567-O1567)/(Q1567-O1567))</f>
        <v/>
      </c>
      <c r="T1567" s="31">
        <f>IF(OR(N1567&lt;&gt;"OK",NOT(ISNUMBER(M1567))),"",M1567-S1567)</f>
        <v/>
      </c>
      <c r="U1567" s="49">
        <f>IF(OR(NOT(ISNUMBER(T1567)),IF(ISNUMBER(H1567),H1567,G1567)=0),"",T1567/IF(ISNUMBER(H1567),H1567,G1567))</f>
        <v/>
      </c>
      <c r="V1567" s="49">
        <f>IF(ISNUMBER(U1567),ABS(U1567),"")</f>
        <v/>
      </c>
      <c r="W1567" s="49">
        <f>IF(OR($E1566&lt;&gt;"측정",$C1566&lt;&gt;$C1567,$D1566&lt;&gt;$D1567,NOT(ISNUMBER(M1567)),NOT(ISNUMBER(M1566)),(IF(ISNUMBER(H1567),H1567,G1567)-IF(ISNUMBER(H1566),H1566,G1566))=0),"",(M1567-M1566)/(IF(ISNUMBER(H1567),H1567,G1567)-IF(ISNUMBER(H1566),H1566,G1566)))</f>
        <v/>
      </c>
      <c r="X1567" s="31">
        <f>IF(NOT(AND(ISNUMBER(O1567),ISNUMBER(Q1567))),"",(Q1567-O1567)*1440)</f>
        <v/>
      </c>
      <c r="Y1567" s="29" t="n"/>
      <c r="Z1567" s="29" t="n"/>
      <c r="AA1567" s="29" t="n"/>
      <c r="AB1567" s="32" t="n"/>
      <c r="AC1567" s="32" t="n"/>
    </row>
    <row r="1568">
      <c r="A1568" s="26" t="inlineStr">
        <is>
          <t>S31</t>
        </is>
      </c>
      <c r="B1568" s="26" t="inlineStr">
        <is>
          <t>언양 신규점3</t>
        </is>
      </c>
      <c r="C1568" s="26" t="inlineStr">
        <is>
          <t>S31-H동</t>
        </is>
      </c>
      <c r="D1568" s="47" t="n">
        <v>1</v>
      </c>
      <c r="E1568" s="26" t="inlineStr">
        <is>
          <t>측정</t>
        </is>
      </c>
      <c r="F1568" s="26" t="inlineStr">
        <is>
          <t>동</t>
        </is>
      </c>
      <c r="G1568" s="31" t="n">
        <v>1</v>
      </c>
      <c r="H1568" s="30" t="n"/>
      <c r="I1568" s="43" t="n"/>
      <c r="J1568" s="41" t="n"/>
      <c r="K1568" s="41" t="n"/>
      <c r="L1568" s="41" t="n"/>
      <c r="M1568" s="31">
        <f>IF(COUNT(J1568:L1568)=0,"",MEDIAN(J1568:L1568))</f>
        <v/>
      </c>
      <c r="N1568" s="26">
        <f>IF(COUNTIFS($C:$C,$C1568,$D:$D,$D1568,$E:$E,"P0(전)",$M:$M,"&gt;0")&lt;&gt;1,"P0(전) 유효 1개 아님",IF(COUNTIFS($C:$C,$C1568,$D:$D,$D1568,$E:$E,"P0(후)",$M:$M,"&gt;0")&lt;&gt;1,"P0(후) 유효 1개 아님",IF(NOT(AND(ISNUMBER(O1568),ISNUMBER(Q1568),ISNUMBER(I1568))),"시각 결측",IF(Q1568&lt;=O1568,"P0 시각 역전",IF(OR(I1568&lt;O1568,I1568&gt;Q1568),"측정시각 구간 밖","OK")))))</f>
        <v/>
      </c>
      <c r="O1568" s="48">
        <f>IF(COUNTIFS($C:$C,$C1568,$D:$D,$D1568,$E:$E,"P0(전)",$M:$M,"&gt;0")&lt;&gt;1,"",SUMIFS($I:$I,$C:$C,$C1568,$D:$D,$D1568,$E:$E,"P0(전)"))</f>
        <v/>
      </c>
      <c r="P1568" s="31">
        <f>IF(COUNTIFS($C:$C,$C1568,$D:$D,$D1568,$E:$E,"P0(전)",$M:$M,"&gt;0")&lt;&gt;1,"",SUMIFS($M:$M,$C:$C,$C1568,$D:$D,$D1568,$E:$E,"P0(전)"))</f>
        <v/>
      </c>
      <c r="Q1568" s="48">
        <f>IF(COUNTIFS($C:$C,$C1568,$D:$D,$D1568,$E:$E,"P0(후)",$M:$M,"&gt;0")&lt;&gt;1,"",SUMIFS($I:$I,$C:$C,$C1568,$D:$D,$D1568,$E:$E,"P0(후)"))</f>
        <v/>
      </c>
      <c r="R1568" s="31">
        <f>IF(COUNTIFS($C:$C,$C1568,$D:$D,$D1568,$E:$E,"P0(후)",$M:$M,"&gt;0")&lt;&gt;1,"",SUMIFS($M:$M,$C:$C,$C1568,$D:$D,$D1568,$E:$E,"P0(후)"))</f>
        <v/>
      </c>
      <c r="S1568" s="31">
        <f>IF(N1568&lt;&gt;"OK","",P1568+(R1568-P1568)*(I1568-O1568)/(Q1568-O1568))</f>
        <v/>
      </c>
      <c r="T1568" s="31">
        <f>IF(OR(N1568&lt;&gt;"OK",NOT(ISNUMBER(M1568))),"",M1568-S1568)</f>
        <v/>
      </c>
      <c r="U1568" s="49">
        <f>IF(OR(NOT(ISNUMBER(T1568)),IF(ISNUMBER(H1568),H1568,G1568)=0),"",T1568/IF(ISNUMBER(H1568),H1568,G1568))</f>
        <v/>
      </c>
      <c r="V1568" s="49">
        <f>IF(ISNUMBER(U1568),ABS(U1568),"")</f>
        <v/>
      </c>
      <c r="W1568" s="49">
        <f>IF(OR($E1567&lt;&gt;"측정",$C1567&lt;&gt;$C1568,$D1567&lt;&gt;$D1568,NOT(ISNUMBER(M1568)),NOT(ISNUMBER(M1567)),(IF(ISNUMBER(H1568),H1568,G1568)-IF(ISNUMBER(H1567),H1567,G1567))=0),"",(M1568-M1567)/(IF(ISNUMBER(H1568),H1568,G1568)-IF(ISNUMBER(H1567),H1567,G1567)))</f>
        <v/>
      </c>
      <c r="X1568" s="31">
        <f>IF(NOT(AND(ISNUMBER(O1568),ISNUMBER(Q1568))),"",(Q1568-O1568)*1440)</f>
        <v/>
      </c>
      <c r="Y1568" s="29" t="n"/>
      <c r="Z1568" s="29" t="n"/>
      <c r="AA1568" s="29" t="n"/>
      <c r="AB1568" s="32" t="n"/>
      <c r="AC1568" s="32" t="n"/>
    </row>
    <row r="1569">
      <c r="A1569" s="26" t="inlineStr">
        <is>
          <t>S31</t>
        </is>
      </c>
      <c r="B1569" s="26" t="inlineStr">
        <is>
          <t>언양 신규점3</t>
        </is>
      </c>
      <c r="C1569" s="26" t="inlineStr">
        <is>
          <t>S31-H동</t>
        </is>
      </c>
      <c r="D1569" s="47" t="n">
        <v>1</v>
      </c>
      <c r="E1569" s="26" t="inlineStr">
        <is>
          <t>측정</t>
        </is>
      </c>
      <c r="F1569" s="26" t="inlineStr">
        <is>
          <t>동</t>
        </is>
      </c>
      <c r="G1569" s="31" t="n">
        <v>2</v>
      </c>
      <c r="H1569" s="30" t="n"/>
      <c r="I1569" s="43" t="n"/>
      <c r="J1569" s="41" t="n"/>
      <c r="K1569" s="41" t="n"/>
      <c r="L1569" s="41" t="n"/>
      <c r="M1569" s="31">
        <f>IF(COUNT(J1569:L1569)=0,"",MEDIAN(J1569:L1569))</f>
        <v/>
      </c>
      <c r="N1569" s="26">
        <f>IF(COUNTIFS($C:$C,$C1569,$D:$D,$D1569,$E:$E,"P0(전)",$M:$M,"&gt;0")&lt;&gt;1,"P0(전) 유효 1개 아님",IF(COUNTIFS($C:$C,$C1569,$D:$D,$D1569,$E:$E,"P0(후)",$M:$M,"&gt;0")&lt;&gt;1,"P0(후) 유효 1개 아님",IF(NOT(AND(ISNUMBER(O1569),ISNUMBER(Q1569),ISNUMBER(I1569))),"시각 결측",IF(Q1569&lt;=O1569,"P0 시각 역전",IF(OR(I1569&lt;O1569,I1569&gt;Q1569),"측정시각 구간 밖","OK")))))</f>
        <v/>
      </c>
      <c r="O1569" s="48">
        <f>IF(COUNTIFS($C:$C,$C1569,$D:$D,$D1569,$E:$E,"P0(전)",$M:$M,"&gt;0")&lt;&gt;1,"",SUMIFS($I:$I,$C:$C,$C1569,$D:$D,$D1569,$E:$E,"P0(전)"))</f>
        <v/>
      </c>
      <c r="P1569" s="31">
        <f>IF(COUNTIFS($C:$C,$C1569,$D:$D,$D1569,$E:$E,"P0(전)",$M:$M,"&gt;0")&lt;&gt;1,"",SUMIFS($M:$M,$C:$C,$C1569,$D:$D,$D1569,$E:$E,"P0(전)"))</f>
        <v/>
      </c>
      <c r="Q1569" s="48">
        <f>IF(COUNTIFS($C:$C,$C1569,$D:$D,$D1569,$E:$E,"P0(후)",$M:$M,"&gt;0")&lt;&gt;1,"",SUMIFS($I:$I,$C:$C,$C1569,$D:$D,$D1569,$E:$E,"P0(후)"))</f>
        <v/>
      </c>
      <c r="R1569" s="31">
        <f>IF(COUNTIFS($C:$C,$C1569,$D:$D,$D1569,$E:$E,"P0(후)",$M:$M,"&gt;0")&lt;&gt;1,"",SUMIFS($M:$M,$C:$C,$C1569,$D:$D,$D1569,$E:$E,"P0(후)"))</f>
        <v/>
      </c>
      <c r="S1569" s="31">
        <f>IF(N1569&lt;&gt;"OK","",P1569+(R1569-P1569)*(I1569-O1569)/(Q1569-O1569))</f>
        <v/>
      </c>
      <c r="T1569" s="31">
        <f>IF(OR(N1569&lt;&gt;"OK",NOT(ISNUMBER(M1569))),"",M1569-S1569)</f>
        <v/>
      </c>
      <c r="U1569" s="49">
        <f>IF(OR(NOT(ISNUMBER(T1569)),IF(ISNUMBER(H1569),H1569,G1569)=0),"",T1569/IF(ISNUMBER(H1569),H1569,G1569))</f>
        <v/>
      </c>
      <c r="V1569" s="49">
        <f>IF(ISNUMBER(U1569),ABS(U1569),"")</f>
        <v/>
      </c>
      <c r="W1569" s="49">
        <f>IF(OR($E1568&lt;&gt;"측정",$C1568&lt;&gt;$C1569,$D1568&lt;&gt;$D1569,NOT(ISNUMBER(M1569)),NOT(ISNUMBER(M1568)),(IF(ISNUMBER(H1569),H1569,G1569)-IF(ISNUMBER(H1568),H1568,G1568))=0),"",(M1569-M1568)/(IF(ISNUMBER(H1569),H1569,G1569)-IF(ISNUMBER(H1568),H1568,G1568)))</f>
        <v/>
      </c>
      <c r="X1569" s="31">
        <f>IF(NOT(AND(ISNUMBER(O1569),ISNUMBER(Q1569))),"",(Q1569-O1569)*1440)</f>
        <v/>
      </c>
      <c r="Y1569" s="29" t="n"/>
      <c r="Z1569" s="29" t="n"/>
      <c r="AA1569" s="29" t="n"/>
      <c r="AB1569" s="32" t="n"/>
      <c r="AC1569" s="32" t="n"/>
    </row>
    <row r="1570">
      <c r="A1570" s="26" t="inlineStr">
        <is>
          <t>S31</t>
        </is>
      </c>
      <c r="B1570" s="26" t="inlineStr">
        <is>
          <t>언양 신규점3</t>
        </is>
      </c>
      <c r="C1570" s="26" t="inlineStr">
        <is>
          <t>S31-H동</t>
        </is>
      </c>
      <c r="D1570" s="47" t="n">
        <v>1</v>
      </c>
      <c r="E1570" s="26" t="inlineStr">
        <is>
          <t>측정</t>
        </is>
      </c>
      <c r="F1570" s="26" t="inlineStr">
        <is>
          <t>동</t>
        </is>
      </c>
      <c r="G1570" s="31" t="n">
        <v>3</v>
      </c>
      <c r="H1570" s="30" t="n"/>
      <c r="I1570" s="43" t="n"/>
      <c r="J1570" s="41" t="n"/>
      <c r="K1570" s="41" t="n"/>
      <c r="L1570" s="41" t="n"/>
      <c r="M1570" s="31">
        <f>IF(COUNT(J1570:L1570)=0,"",MEDIAN(J1570:L1570))</f>
        <v/>
      </c>
      <c r="N1570" s="26">
        <f>IF(COUNTIFS($C:$C,$C1570,$D:$D,$D1570,$E:$E,"P0(전)",$M:$M,"&gt;0")&lt;&gt;1,"P0(전) 유효 1개 아님",IF(COUNTIFS($C:$C,$C1570,$D:$D,$D1570,$E:$E,"P0(후)",$M:$M,"&gt;0")&lt;&gt;1,"P0(후) 유효 1개 아님",IF(NOT(AND(ISNUMBER(O1570),ISNUMBER(Q1570),ISNUMBER(I1570))),"시각 결측",IF(Q1570&lt;=O1570,"P0 시각 역전",IF(OR(I1570&lt;O1570,I1570&gt;Q1570),"측정시각 구간 밖","OK")))))</f>
        <v/>
      </c>
      <c r="O1570" s="48">
        <f>IF(COUNTIFS($C:$C,$C1570,$D:$D,$D1570,$E:$E,"P0(전)",$M:$M,"&gt;0")&lt;&gt;1,"",SUMIFS($I:$I,$C:$C,$C1570,$D:$D,$D1570,$E:$E,"P0(전)"))</f>
        <v/>
      </c>
      <c r="P1570" s="31">
        <f>IF(COUNTIFS($C:$C,$C1570,$D:$D,$D1570,$E:$E,"P0(전)",$M:$M,"&gt;0")&lt;&gt;1,"",SUMIFS($M:$M,$C:$C,$C1570,$D:$D,$D1570,$E:$E,"P0(전)"))</f>
        <v/>
      </c>
      <c r="Q1570" s="48">
        <f>IF(COUNTIFS($C:$C,$C1570,$D:$D,$D1570,$E:$E,"P0(후)",$M:$M,"&gt;0")&lt;&gt;1,"",SUMIFS($I:$I,$C:$C,$C1570,$D:$D,$D1570,$E:$E,"P0(후)"))</f>
        <v/>
      </c>
      <c r="R1570" s="31">
        <f>IF(COUNTIFS($C:$C,$C1570,$D:$D,$D1570,$E:$E,"P0(후)",$M:$M,"&gt;0")&lt;&gt;1,"",SUMIFS($M:$M,$C:$C,$C1570,$D:$D,$D1570,$E:$E,"P0(후)"))</f>
        <v/>
      </c>
      <c r="S1570" s="31">
        <f>IF(N1570&lt;&gt;"OK","",P1570+(R1570-P1570)*(I1570-O1570)/(Q1570-O1570))</f>
        <v/>
      </c>
      <c r="T1570" s="31">
        <f>IF(OR(N1570&lt;&gt;"OK",NOT(ISNUMBER(M1570))),"",M1570-S1570)</f>
        <v/>
      </c>
      <c r="U1570" s="49">
        <f>IF(OR(NOT(ISNUMBER(T1570)),IF(ISNUMBER(H1570),H1570,G1570)=0),"",T1570/IF(ISNUMBER(H1570),H1570,G1570))</f>
        <v/>
      </c>
      <c r="V1570" s="49">
        <f>IF(ISNUMBER(U1570),ABS(U1570),"")</f>
        <v/>
      </c>
      <c r="W1570" s="49">
        <f>IF(OR($E1569&lt;&gt;"측정",$C1569&lt;&gt;$C1570,$D1569&lt;&gt;$D1570,NOT(ISNUMBER(M1570)),NOT(ISNUMBER(M1569)),(IF(ISNUMBER(H1570),H1570,G1570)-IF(ISNUMBER(H1569),H1569,G1569))=0),"",(M1570-M1569)/(IF(ISNUMBER(H1570),H1570,G1570)-IF(ISNUMBER(H1569),H1569,G1569)))</f>
        <v/>
      </c>
      <c r="X1570" s="31">
        <f>IF(NOT(AND(ISNUMBER(O1570),ISNUMBER(Q1570))),"",(Q1570-O1570)*1440)</f>
        <v/>
      </c>
      <c r="Y1570" s="29" t="n"/>
      <c r="Z1570" s="29" t="n"/>
      <c r="AA1570" s="29" t="n"/>
      <c r="AB1570" s="32" t="n"/>
      <c r="AC1570" s="32" t="n"/>
    </row>
    <row r="1571">
      <c r="A1571" s="26" t="inlineStr">
        <is>
          <t>S31</t>
        </is>
      </c>
      <c r="B1571" s="26" t="inlineStr">
        <is>
          <t>언양 신규점3</t>
        </is>
      </c>
      <c r="C1571" s="26" t="inlineStr">
        <is>
          <t>S31-H동</t>
        </is>
      </c>
      <c r="D1571" s="47" t="n">
        <v>1</v>
      </c>
      <c r="E1571" s="26" t="inlineStr">
        <is>
          <t>측정</t>
        </is>
      </c>
      <c r="F1571" s="26" t="inlineStr">
        <is>
          <t>동</t>
        </is>
      </c>
      <c r="G1571" s="31" t="n">
        <v>4</v>
      </c>
      <c r="H1571" s="30" t="n"/>
      <c r="I1571" s="43" t="n"/>
      <c r="J1571" s="41" t="n"/>
      <c r="K1571" s="41" t="n"/>
      <c r="L1571" s="41" t="n"/>
      <c r="M1571" s="31">
        <f>IF(COUNT(J1571:L1571)=0,"",MEDIAN(J1571:L1571))</f>
        <v/>
      </c>
      <c r="N1571" s="26">
        <f>IF(COUNTIFS($C:$C,$C1571,$D:$D,$D1571,$E:$E,"P0(전)",$M:$M,"&gt;0")&lt;&gt;1,"P0(전) 유효 1개 아님",IF(COUNTIFS($C:$C,$C1571,$D:$D,$D1571,$E:$E,"P0(후)",$M:$M,"&gt;0")&lt;&gt;1,"P0(후) 유효 1개 아님",IF(NOT(AND(ISNUMBER(O1571),ISNUMBER(Q1571),ISNUMBER(I1571))),"시각 결측",IF(Q1571&lt;=O1571,"P0 시각 역전",IF(OR(I1571&lt;O1571,I1571&gt;Q1571),"측정시각 구간 밖","OK")))))</f>
        <v/>
      </c>
      <c r="O1571" s="48">
        <f>IF(COUNTIFS($C:$C,$C1571,$D:$D,$D1571,$E:$E,"P0(전)",$M:$M,"&gt;0")&lt;&gt;1,"",SUMIFS($I:$I,$C:$C,$C1571,$D:$D,$D1571,$E:$E,"P0(전)"))</f>
        <v/>
      </c>
      <c r="P1571" s="31">
        <f>IF(COUNTIFS($C:$C,$C1571,$D:$D,$D1571,$E:$E,"P0(전)",$M:$M,"&gt;0")&lt;&gt;1,"",SUMIFS($M:$M,$C:$C,$C1571,$D:$D,$D1571,$E:$E,"P0(전)"))</f>
        <v/>
      </c>
      <c r="Q1571" s="48">
        <f>IF(COUNTIFS($C:$C,$C1571,$D:$D,$D1571,$E:$E,"P0(후)",$M:$M,"&gt;0")&lt;&gt;1,"",SUMIFS($I:$I,$C:$C,$C1571,$D:$D,$D1571,$E:$E,"P0(후)"))</f>
        <v/>
      </c>
      <c r="R1571" s="31">
        <f>IF(COUNTIFS($C:$C,$C1571,$D:$D,$D1571,$E:$E,"P0(후)",$M:$M,"&gt;0")&lt;&gt;1,"",SUMIFS($M:$M,$C:$C,$C1571,$D:$D,$D1571,$E:$E,"P0(후)"))</f>
        <v/>
      </c>
      <c r="S1571" s="31">
        <f>IF(N1571&lt;&gt;"OK","",P1571+(R1571-P1571)*(I1571-O1571)/(Q1571-O1571))</f>
        <v/>
      </c>
      <c r="T1571" s="31">
        <f>IF(OR(N1571&lt;&gt;"OK",NOT(ISNUMBER(M1571))),"",M1571-S1571)</f>
        <v/>
      </c>
      <c r="U1571" s="49">
        <f>IF(OR(NOT(ISNUMBER(T1571)),IF(ISNUMBER(H1571),H1571,G1571)=0),"",T1571/IF(ISNUMBER(H1571),H1571,G1571))</f>
        <v/>
      </c>
      <c r="V1571" s="49">
        <f>IF(ISNUMBER(U1571),ABS(U1571),"")</f>
        <v/>
      </c>
      <c r="W1571" s="49">
        <f>IF(OR($E1570&lt;&gt;"측정",$C1570&lt;&gt;$C1571,$D1570&lt;&gt;$D1571,NOT(ISNUMBER(M1571)),NOT(ISNUMBER(M1570)),(IF(ISNUMBER(H1571),H1571,G1571)-IF(ISNUMBER(H1570),H1570,G1570))=0),"",(M1571-M1570)/(IF(ISNUMBER(H1571),H1571,G1571)-IF(ISNUMBER(H1570),H1570,G1570)))</f>
        <v/>
      </c>
      <c r="X1571" s="31">
        <f>IF(NOT(AND(ISNUMBER(O1571),ISNUMBER(Q1571))),"",(Q1571-O1571)*1440)</f>
        <v/>
      </c>
      <c r="Y1571" s="29" t="n"/>
      <c r="Z1571" s="29" t="n"/>
      <c r="AA1571" s="29" t="n"/>
      <c r="AB1571" s="32" t="n"/>
      <c r="AC1571" s="32" t="n"/>
    </row>
    <row r="1572">
      <c r="A1572" s="26" t="inlineStr">
        <is>
          <t>S31</t>
        </is>
      </c>
      <c r="B1572" s="26" t="inlineStr">
        <is>
          <t>언양 신규점3</t>
        </is>
      </c>
      <c r="C1572" s="26" t="inlineStr">
        <is>
          <t>S31-H동</t>
        </is>
      </c>
      <c r="D1572" s="47" t="n">
        <v>1</v>
      </c>
      <c r="E1572" s="26" t="inlineStr">
        <is>
          <t>측정</t>
        </is>
      </c>
      <c r="F1572" s="26" t="inlineStr">
        <is>
          <t>동</t>
        </is>
      </c>
      <c r="G1572" s="31" t="n">
        <v>5</v>
      </c>
      <c r="H1572" s="30" t="n"/>
      <c r="I1572" s="43" t="n"/>
      <c r="J1572" s="41" t="n"/>
      <c r="K1572" s="41" t="n"/>
      <c r="L1572" s="41" t="n"/>
      <c r="M1572" s="31">
        <f>IF(COUNT(J1572:L1572)=0,"",MEDIAN(J1572:L1572))</f>
        <v/>
      </c>
      <c r="N1572" s="26">
        <f>IF(COUNTIFS($C:$C,$C1572,$D:$D,$D1572,$E:$E,"P0(전)",$M:$M,"&gt;0")&lt;&gt;1,"P0(전) 유효 1개 아님",IF(COUNTIFS($C:$C,$C1572,$D:$D,$D1572,$E:$E,"P0(후)",$M:$M,"&gt;0")&lt;&gt;1,"P0(후) 유효 1개 아님",IF(NOT(AND(ISNUMBER(O1572),ISNUMBER(Q1572),ISNUMBER(I1572))),"시각 결측",IF(Q1572&lt;=O1572,"P0 시각 역전",IF(OR(I1572&lt;O1572,I1572&gt;Q1572),"측정시각 구간 밖","OK")))))</f>
        <v/>
      </c>
      <c r="O1572" s="48">
        <f>IF(COUNTIFS($C:$C,$C1572,$D:$D,$D1572,$E:$E,"P0(전)",$M:$M,"&gt;0")&lt;&gt;1,"",SUMIFS($I:$I,$C:$C,$C1572,$D:$D,$D1572,$E:$E,"P0(전)"))</f>
        <v/>
      </c>
      <c r="P1572" s="31">
        <f>IF(COUNTIFS($C:$C,$C1572,$D:$D,$D1572,$E:$E,"P0(전)",$M:$M,"&gt;0")&lt;&gt;1,"",SUMIFS($M:$M,$C:$C,$C1572,$D:$D,$D1572,$E:$E,"P0(전)"))</f>
        <v/>
      </c>
      <c r="Q1572" s="48">
        <f>IF(COUNTIFS($C:$C,$C1572,$D:$D,$D1572,$E:$E,"P0(후)",$M:$M,"&gt;0")&lt;&gt;1,"",SUMIFS($I:$I,$C:$C,$C1572,$D:$D,$D1572,$E:$E,"P0(후)"))</f>
        <v/>
      </c>
      <c r="R1572" s="31">
        <f>IF(COUNTIFS($C:$C,$C1572,$D:$D,$D1572,$E:$E,"P0(후)",$M:$M,"&gt;0")&lt;&gt;1,"",SUMIFS($M:$M,$C:$C,$C1572,$D:$D,$D1572,$E:$E,"P0(후)"))</f>
        <v/>
      </c>
      <c r="S1572" s="31">
        <f>IF(N1572&lt;&gt;"OK","",P1572+(R1572-P1572)*(I1572-O1572)/(Q1572-O1572))</f>
        <v/>
      </c>
      <c r="T1572" s="31">
        <f>IF(OR(N1572&lt;&gt;"OK",NOT(ISNUMBER(M1572))),"",M1572-S1572)</f>
        <v/>
      </c>
      <c r="U1572" s="49">
        <f>IF(OR(NOT(ISNUMBER(T1572)),IF(ISNUMBER(H1572),H1572,G1572)=0),"",T1572/IF(ISNUMBER(H1572),H1572,G1572))</f>
        <v/>
      </c>
      <c r="V1572" s="49">
        <f>IF(ISNUMBER(U1572),ABS(U1572),"")</f>
        <v/>
      </c>
      <c r="W1572" s="49">
        <f>IF(OR($E1571&lt;&gt;"측정",$C1571&lt;&gt;$C1572,$D1571&lt;&gt;$D1572,NOT(ISNUMBER(M1572)),NOT(ISNUMBER(M1571)),(IF(ISNUMBER(H1572),H1572,G1572)-IF(ISNUMBER(H1571),H1571,G1571))=0),"",(M1572-M1571)/(IF(ISNUMBER(H1572),H1572,G1572)-IF(ISNUMBER(H1571),H1571,G1571)))</f>
        <v/>
      </c>
      <c r="X1572" s="31">
        <f>IF(NOT(AND(ISNUMBER(O1572),ISNUMBER(Q1572))),"",(Q1572-O1572)*1440)</f>
        <v/>
      </c>
      <c r="Y1572" s="29" t="n"/>
      <c r="Z1572" s="29" t="n"/>
      <c r="AA1572" s="29" t="n"/>
      <c r="AB1572" s="32" t="n"/>
      <c r="AC1572" s="32" t="n"/>
    </row>
    <row r="1573">
      <c r="A1573" s="26" t="inlineStr">
        <is>
          <t>S31</t>
        </is>
      </c>
      <c r="B1573" s="26" t="inlineStr">
        <is>
          <t>언양 신규점3</t>
        </is>
      </c>
      <c r="C1573" s="26" t="inlineStr">
        <is>
          <t>S31-H동</t>
        </is>
      </c>
      <c r="D1573" s="47" t="n">
        <v>1</v>
      </c>
      <c r="E1573" s="26" t="inlineStr">
        <is>
          <t>측정</t>
        </is>
      </c>
      <c r="F1573" s="26" t="inlineStr">
        <is>
          <t>동</t>
        </is>
      </c>
      <c r="G1573" s="31" t="n">
        <v>6</v>
      </c>
      <c r="H1573" s="30" t="n"/>
      <c r="I1573" s="43" t="n"/>
      <c r="J1573" s="41" t="n"/>
      <c r="K1573" s="41" t="n"/>
      <c r="L1573" s="41" t="n"/>
      <c r="M1573" s="31">
        <f>IF(COUNT(J1573:L1573)=0,"",MEDIAN(J1573:L1573))</f>
        <v/>
      </c>
      <c r="N1573" s="26">
        <f>IF(COUNTIFS($C:$C,$C1573,$D:$D,$D1573,$E:$E,"P0(전)",$M:$M,"&gt;0")&lt;&gt;1,"P0(전) 유효 1개 아님",IF(COUNTIFS($C:$C,$C1573,$D:$D,$D1573,$E:$E,"P0(후)",$M:$M,"&gt;0")&lt;&gt;1,"P0(후) 유효 1개 아님",IF(NOT(AND(ISNUMBER(O1573),ISNUMBER(Q1573),ISNUMBER(I1573))),"시각 결측",IF(Q1573&lt;=O1573,"P0 시각 역전",IF(OR(I1573&lt;O1573,I1573&gt;Q1573),"측정시각 구간 밖","OK")))))</f>
        <v/>
      </c>
      <c r="O1573" s="48">
        <f>IF(COUNTIFS($C:$C,$C1573,$D:$D,$D1573,$E:$E,"P0(전)",$M:$M,"&gt;0")&lt;&gt;1,"",SUMIFS($I:$I,$C:$C,$C1573,$D:$D,$D1573,$E:$E,"P0(전)"))</f>
        <v/>
      </c>
      <c r="P1573" s="31">
        <f>IF(COUNTIFS($C:$C,$C1573,$D:$D,$D1573,$E:$E,"P0(전)",$M:$M,"&gt;0")&lt;&gt;1,"",SUMIFS($M:$M,$C:$C,$C1573,$D:$D,$D1573,$E:$E,"P0(전)"))</f>
        <v/>
      </c>
      <c r="Q1573" s="48">
        <f>IF(COUNTIFS($C:$C,$C1573,$D:$D,$D1573,$E:$E,"P0(후)",$M:$M,"&gt;0")&lt;&gt;1,"",SUMIFS($I:$I,$C:$C,$C1573,$D:$D,$D1573,$E:$E,"P0(후)"))</f>
        <v/>
      </c>
      <c r="R1573" s="31">
        <f>IF(COUNTIFS($C:$C,$C1573,$D:$D,$D1573,$E:$E,"P0(후)",$M:$M,"&gt;0")&lt;&gt;1,"",SUMIFS($M:$M,$C:$C,$C1573,$D:$D,$D1573,$E:$E,"P0(후)"))</f>
        <v/>
      </c>
      <c r="S1573" s="31">
        <f>IF(N1573&lt;&gt;"OK","",P1573+(R1573-P1573)*(I1573-O1573)/(Q1573-O1573))</f>
        <v/>
      </c>
      <c r="T1573" s="31">
        <f>IF(OR(N1573&lt;&gt;"OK",NOT(ISNUMBER(M1573))),"",M1573-S1573)</f>
        <v/>
      </c>
      <c r="U1573" s="49">
        <f>IF(OR(NOT(ISNUMBER(T1573)),IF(ISNUMBER(H1573),H1573,G1573)=0),"",T1573/IF(ISNUMBER(H1573),H1573,G1573))</f>
        <v/>
      </c>
      <c r="V1573" s="49">
        <f>IF(ISNUMBER(U1573),ABS(U1573),"")</f>
        <v/>
      </c>
      <c r="W1573" s="49">
        <f>IF(OR($E1572&lt;&gt;"측정",$C1572&lt;&gt;$C1573,$D1572&lt;&gt;$D1573,NOT(ISNUMBER(M1573)),NOT(ISNUMBER(M1572)),(IF(ISNUMBER(H1573),H1573,G1573)-IF(ISNUMBER(H1572),H1572,G1572))=0),"",(M1573-M1572)/(IF(ISNUMBER(H1573),H1573,G1573)-IF(ISNUMBER(H1572),H1572,G1572)))</f>
        <v/>
      </c>
      <c r="X1573" s="31">
        <f>IF(NOT(AND(ISNUMBER(O1573),ISNUMBER(Q1573))),"",(Q1573-O1573)*1440)</f>
        <v/>
      </c>
      <c r="Y1573" s="29" t="n"/>
      <c r="Z1573" s="29" t="n"/>
      <c r="AA1573" s="29" t="n"/>
      <c r="AB1573" s="32" t="n"/>
      <c r="AC1573" s="32" t="n"/>
    </row>
    <row r="1574">
      <c r="A1574" s="26" t="inlineStr">
        <is>
          <t>S31</t>
        </is>
      </c>
      <c r="B1574" s="26" t="inlineStr">
        <is>
          <t>언양 신규점3</t>
        </is>
      </c>
      <c r="C1574" s="26" t="inlineStr">
        <is>
          <t>S31-H동</t>
        </is>
      </c>
      <c r="D1574" s="47" t="n">
        <v>1</v>
      </c>
      <c r="E1574" s="26" t="inlineStr">
        <is>
          <t>측정</t>
        </is>
      </c>
      <c r="F1574" s="26" t="inlineStr">
        <is>
          <t>동</t>
        </is>
      </c>
      <c r="G1574" s="31" t="n">
        <v>7</v>
      </c>
      <c r="H1574" s="30" t="n"/>
      <c r="I1574" s="43" t="n"/>
      <c r="J1574" s="41" t="n"/>
      <c r="K1574" s="41" t="n"/>
      <c r="L1574" s="41" t="n"/>
      <c r="M1574" s="31">
        <f>IF(COUNT(J1574:L1574)=0,"",MEDIAN(J1574:L1574))</f>
        <v/>
      </c>
      <c r="N1574" s="26">
        <f>IF(COUNTIFS($C:$C,$C1574,$D:$D,$D1574,$E:$E,"P0(전)",$M:$M,"&gt;0")&lt;&gt;1,"P0(전) 유효 1개 아님",IF(COUNTIFS($C:$C,$C1574,$D:$D,$D1574,$E:$E,"P0(후)",$M:$M,"&gt;0")&lt;&gt;1,"P0(후) 유효 1개 아님",IF(NOT(AND(ISNUMBER(O1574),ISNUMBER(Q1574),ISNUMBER(I1574))),"시각 결측",IF(Q1574&lt;=O1574,"P0 시각 역전",IF(OR(I1574&lt;O1574,I1574&gt;Q1574),"측정시각 구간 밖","OK")))))</f>
        <v/>
      </c>
      <c r="O1574" s="48">
        <f>IF(COUNTIFS($C:$C,$C1574,$D:$D,$D1574,$E:$E,"P0(전)",$M:$M,"&gt;0")&lt;&gt;1,"",SUMIFS($I:$I,$C:$C,$C1574,$D:$D,$D1574,$E:$E,"P0(전)"))</f>
        <v/>
      </c>
      <c r="P1574" s="31">
        <f>IF(COUNTIFS($C:$C,$C1574,$D:$D,$D1574,$E:$E,"P0(전)",$M:$M,"&gt;0")&lt;&gt;1,"",SUMIFS($M:$M,$C:$C,$C1574,$D:$D,$D1574,$E:$E,"P0(전)"))</f>
        <v/>
      </c>
      <c r="Q1574" s="48">
        <f>IF(COUNTIFS($C:$C,$C1574,$D:$D,$D1574,$E:$E,"P0(후)",$M:$M,"&gt;0")&lt;&gt;1,"",SUMIFS($I:$I,$C:$C,$C1574,$D:$D,$D1574,$E:$E,"P0(후)"))</f>
        <v/>
      </c>
      <c r="R1574" s="31">
        <f>IF(COUNTIFS($C:$C,$C1574,$D:$D,$D1574,$E:$E,"P0(후)",$M:$M,"&gt;0")&lt;&gt;1,"",SUMIFS($M:$M,$C:$C,$C1574,$D:$D,$D1574,$E:$E,"P0(후)"))</f>
        <v/>
      </c>
      <c r="S1574" s="31">
        <f>IF(N1574&lt;&gt;"OK","",P1574+(R1574-P1574)*(I1574-O1574)/(Q1574-O1574))</f>
        <v/>
      </c>
      <c r="T1574" s="31">
        <f>IF(OR(N1574&lt;&gt;"OK",NOT(ISNUMBER(M1574))),"",M1574-S1574)</f>
        <v/>
      </c>
      <c r="U1574" s="49">
        <f>IF(OR(NOT(ISNUMBER(T1574)),IF(ISNUMBER(H1574),H1574,G1574)=0),"",T1574/IF(ISNUMBER(H1574),H1574,G1574))</f>
        <v/>
      </c>
      <c r="V1574" s="49">
        <f>IF(ISNUMBER(U1574),ABS(U1574),"")</f>
        <v/>
      </c>
      <c r="W1574" s="49">
        <f>IF(OR($E1573&lt;&gt;"측정",$C1573&lt;&gt;$C1574,$D1573&lt;&gt;$D1574,NOT(ISNUMBER(M1574)),NOT(ISNUMBER(M1573)),(IF(ISNUMBER(H1574),H1574,G1574)-IF(ISNUMBER(H1573),H1573,G1573))=0),"",(M1574-M1573)/(IF(ISNUMBER(H1574),H1574,G1574)-IF(ISNUMBER(H1573),H1573,G1573)))</f>
        <v/>
      </c>
      <c r="X1574" s="31">
        <f>IF(NOT(AND(ISNUMBER(O1574),ISNUMBER(Q1574))),"",(Q1574-O1574)*1440)</f>
        <v/>
      </c>
      <c r="Y1574" s="29" t="n"/>
      <c r="Z1574" s="29" t="n"/>
      <c r="AA1574" s="29" t="n"/>
      <c r="AB1574" s="32" t="n"/>
      <c r="AC1574" s="32" t="n"/>
    </row>
    <row r="1575">
      <c r="A1575" s="26" t="inlineStr">
        <is>
          <t>S31</t>
        </is>
      </c>
      <c r="B1575" s="26" t="inlineStr">
        <is>
          <t>언양 신규점3</t>
        </is>
      </c>
      <c r="C1575" s="26" t="inlineStr">
        <is>
          <t>S31-H동</t>
        </is>
      </c>
      <c r="D1575" s="47" t="n">
        <v>1</v>
      </c>
      <c r="E1575" s="26" t="inlineStr">
        <is>
          <t>측정</t>
        </is>
      </c>
      <c r="F1575" s="26" t="inlineStr">
        <is>
          <t>동</t>
        </is>
      </c>
      <c r="G1575" s="31" t="n">
        <v>8</v>
      </c>
      <c r="H1575" s="30" t="n"/>
      <c r="I1575" s="43" t="n"/>
      <c r="J1575" s="41" t="n"/>
      <c r="K1575" s="41" t="n"/>
      <c r="L1575" s="41" t="n"/>
      <c r="M1575" s="31">
        <f>IF(COUNT(J1575:L1575)=0,"",MEDIAN(J1575:L1575))</f>
        <v/>
      </c>
      <c r="N1575" s="26">
        <f>IF(COUNTIFS($C:$C,$C1575,$D:$D,$D1575,$E:$E,"P0(전)",$M:$M,"&gt;0")&lt;&gt;1,"P0(전) 유효 1개 아님",IF(COUNTIFS($C:$C,$C1575,$D:$D,$D1575,$E:$E,"P0(후)",$M:$M,"&gt;0")&lt;&gt;1,"P0(후) 유효 1개 아님",IF(NOT(AND(ISNUMBER(O1575),ISNUMBER(Q1575),ISNUMBER(I1575))),"시각 결측",IF(Q1575&lt;=O1575,"P0 시각 역전",IF(OR(I1575&lt;O1575,I1575&gt;Q1575),"측정시각 구간 밖","OK")))))</f>
        <v/>
      </c>
      <c r="O1575" s="48">
        <f>IF(COUNTIFS($C:$C,$C1575,$D:$D,$D1575,$E:$E,"P0(전)",$M:$M,"&gt;0")&lt;&gt;1,"",SUMIFS($I:$I,$C:$C,$C1575,$D:$D,$D1575,$E:$E,"P0(전)"))</f>
        <v/>
      </c>
      <c r="P1575" s="31">
        <f>IF(COUNTIFS($C:$C,$C1575,$D:$D,$D1575,$E:$E,"P0(전)",$M:$M,"&gt;0")&lt;&gt;1,"",SUMIFS($M:$M,$C:$C,$C1575,$D:$D,$D1575,$E:$E,"P0(전)"))</f>
        <v/>
      </c>
      <c r="Q1575" s="48">
        <f>IF(COUNTIFS($C:$C,$C1575,$D:$D,$D1575,$E:$E,"P0(후)",$M:$M,"&gt;0")&lt;&gt;1,"",SUMIFS($I:$I,$C:$C,$C1575,$D:$D,$D1575,$E:$E,"P0(후)"))</f>
        <v/>
      </c>
      <c r="R1575" s="31">
        <f>IF(COUNTIFS($C:$C,$C1575,$D:$D,$D1575,$E:$E,"P0(후)",$M:$M,"&gt;0")&lt;&gt;1,"",SUMIFS($M:$M,$C:$C,$C1575,$D:$D,$D1575,$E:$E,"P0(후)"))</f>
        <v/>
      </c>
      <c r="S1575" s="31">
        <f>IF(N1575&lt;&gt;"OK","",P1575+(R1575-P1575)*(I1575-O1575)/(Q1575-O1575))</f>
        <v/>
      </c>
      <c r="T1575" s="31">
        <f>IF(OR(N1575&lt;&gt;"OK",NOT(ISNUMBER(M1575))),"",M1575-S1575)</f>
        <v/>
      </c>
      <c r="U1575" s="49">
        <f>IF(OR(NOT(ISNUMBER(T1575)),IF(ISNUMBER(H1575),H1575,G1575)=0),"",T1575/IF(ISNUMBER(H1575),H1575,G1575))</f>
        <v/>
      </c>
      <c r="V1575" s="49">
        <f>IF(ISNUMBER(U1575),ABS(U1575),"")</f>
        <v/>
      </c>
      <c r="W1575" s="49">
        <f>IF(OR($E1574&lt;&gt;"측정",$C1574&lt;&gt;$C1575,$D1574&lt;&gt;$D1575,NOT(ISNUMBER(M1575)),NOT(ISNUMBER(M1574)),(IF(ISNUMBER(H1575),H1575,G1575)-IF(ISNUMBER(H1574),H1574,G1574))=0),"",(M1575-M1574)/(IF(ISNUMBER(H1575),H1575,G1575)-IF(ISNUMBER(H1574),H1574,G1574)))</f>
        <v/>
      </c>
      <c r="X1575" s="31">
        <f>IF(NOT(AND(ISNUMBER(O1575),ISNUMBER(Q1575))),"",(Q1575-O1575)*1440)</f>
        <v/>
      </c>
      <c r="Y1575" s="29" t="n"/>
      <c r="Z1575" s="29" t="n"/>
      <c r="AA1575" s="29" t="n"/>
      <c r="AB1575" s="32" t="n"/>
      <c r="AC1575" s="32" t="n"/>
    </row>
    <row r="1576">
      <c r="A1576" s="26" t="inlineStr">
        <is>
          <t>S31</t>
        </is>
      </c>
      <c r="B1576" s="26" t="inlineStr">
        <is>
          <t>언양 신규점3</t>
        </is>
      </c>
      <c r="C1576" s="26" t="inlineStr">
        <is>
          <t>S31-H동</t>
        </is>
      </c>
      <c r="D1576" s="47" t="n">
        <v>1</v>
      </c>
      <c r="E1576" s="26" t="inlineStr">
        <is>
          <t>측정</t>
        </is>
      </c>
      <c r="F1576" s="26" t="inlineStr">
        <is>
          <t>동</t>
        </is>
      </c>
      <c r="G1576" s="31" t="n">
        <v>9</v>
      </c>
      <c r="H1576" s="30" t="n"/>
      <c r="I1576" s="43" t="n"/>
      <c r="J1576" s="41" t="n"/>
      <c r="K1576" s="41" t="n"/>
      <c r="L1576" s="41" t="n"/>
      <c r="M1576" s="31">
        <f>IF(COUNT(J1576:L1576)=0,"",MEDIAN(J1576:L1576))</f>
        <v/>
      </c>
      <c r="N1576" s="26">
        <f>IF(COUNTIFS($C:$C,$C1576,$D:$D,$D1576,$E:$E,"P0(전)",$M:$M,"&gt;0")&lt;&gt;1,"P0(전) 유효 1개 아님",IF(COUNTIFS($C:$C,$C1576,$D:$D,$D1576,$E:$E,"P0(후)",$M:$M,"&gt;0")&lt;&gt;1,"P0(후) 유효 1개 아님",IF(NOT(AND(ISNUMBER(O1576),ISNUMBER(Q1576),ISNUMBER(I1576))),"시각 결측",IF(Q1576&lt;=O1576,"P0 시각 역전",IF(OR(I1576&lt;O1576,I1576&gt;Q1576),"측정시각 구간 밖","OK")))))</f>
        <v/>
      </c>
      <c r="O1576" s="48">
        <f>IF(COUNTIFS($C:$C,$C1576,$D:$D,$D1576,$E:$E,"P0(전)",$M:$M,"&gt;0")&lt;&gt;1,"",SUMIFS($I:$I,$C:$C,$C1576,$D:$D,$D1576,$E:$E,"P0(전)"))</f>
        <v/>
      </c>
      <c r="P1576" s="31">
        <f>IF(COUNTIFS($C:$C,$C1576,$D:$D,$D1576,$E:$E,"P0(전)",$M:$M,"&gt;0")&lt;&gt;1,"",SUMIFS($M:$M,$C:$C,$C1576,$D:$D,$D1576,$E:$E,"P0(전)"))</f>
        <v/>
      </c>
      <c r="Q1576" s="48">
        <f>IF(COUNTIFS($C:$C,$C1576,$D:$D,$D1576,$E:$E,"P0(후)",$M:$M,"&gt;0")&lt;&gt;1,"",SUMIFS($I:$I,$C:$C,$C1576,$D:$D,$D1576,$E:$E,"P0(후)"))</f>
        <v/>
      </c>
      <c r="R1576" s="31">
        <f>IF(COUNTIFS($C:$C,$C1576,$D:$D,$D1576,$E:$E,"P0(후)",$M:$M,"&gt;0")&lt;&gt;1,"",SUMIFS($M:$M,$C:$C,$C1576,$D:$D,$D1576,$E:$E,"P0(후)"))</f>
        <v/>
      </c>
      <c r="S1576" s="31">
        <f>IF(N1576&lt;&gt;"OK","",P1576+(R1576-P1576)*(I1576-O1576)/(Q1576-O1576))</f>
        <v/>
      </c>
      <c r="T1576" s="31">
        <f>IF(OR(N1576&lt;&gt;"OK",NOT(ISNUMBER(M1576))),"",M1576-S1576)</f>
        <v/>
      </c>
      <c r="U1576" s="49">
        <f>IF(OR(NOT(ISNUMBER(T1576)),IF(ISNUMBER(H1576),H1576,G1576)=0),"",T1576/IF(ISNUMBER(H1576),H1576,G1576))</f>
        <v/>
      </c>
      <c r="V1576" s="49">
        <f>IF(ISNUMBER(U1576),ABS(U1576),"")</f>
        <v/>
      </c>
      <c r="W1576" s="49">
        <f>IF(OR($E1575&lt;&gt;"측정",$C1575&lt;&gt;$C1576,$D1575&lt;&gt;$D1576,NOT(ISNUMBER(M1576)),NOT(ISNUMBER(M1575)),(IF(ISNUMBER(H1576),H1576,G1576)-IF(ISNUMBER(H1575),H1575,G1575))=0),"",(M1576-M1575)/(IF(ISNUMBER(H1576),H1576,G1576)-IF(ISNUMBER(H1575),H1575,G1575)))</f>
        <v/>
      </c>
      <c r="X1576" s="31">
        <f>IF(NOT(AND(ISNUMBER(O1576),ISNUMBER(Q1576))),"",(Q1576-O1576)*1440)</f>
        <v/>
      </c>
      <c r="Y1576" s="29" t="n"/>
      <c r="Z1576" s="29" t="n"/>
      <c r="AA1576" s="29" t="n"/>
      <c r="AB1576" s="32" t="n"/>
      <c r="AC1576" s="32" t="n"/>
    </row>
    <row r="1577">
      <c r="A1577" s="26" t="inlineStr">
        <is>
          <t>S31</t>
        </is>
      </c>
      <c r="B1577" s="26" t="inlineStr">
        <is>
          <t>언양 신규점3</t>
        </is>
      </c>
      <c r="C1577" s="26" t="inlineStr">
        <is>
          <t>S31-H동</t>
        </is>
      </c>
      <c r="D1577" s="47" t="n">
        <v>1</v>
      </c>
      <c r="E1577" s="26" t="inlineStr">
        <is>
          <t>측정</t>
        </is>
      </c>
      <c r="F1577" s="26" t="inlineStr">
        <is>
          <t>동</t>
        </is>
      </c>
      <c r="G1577" s="31" t="n">
        <v>10</v>
      </c>
      <c r="H1577" s="30" t="n"/>
      <c r="I1577" s="43" t="n"/>
      <c r="J1577" s="41" t="n"/>
      <c r="K1577" s="41" t="n"/>
      <c r="L1577" s="41" t="n"/>
      <c r="M1577" s="31">
        <f>IF(COUNT(J1577:L1577)=0,"",MEDIAN(J1577:L1577))</f>
        <v/>
      </c>
      <c r="N1577" s="26">
        <f>IF(COUNTIFS($C:$C,$C1577,$D:$D,$D1577,$E:$E,"P0(전)",$M:$M,"&gt;0")&lt;&gt;1,"P0(전) 유효 1개 아님",IF(COUNTIFS($C:$C,$C1577,$D:$D,$D1577,$E:$E,"P0(후)",$M:$M,"&gt;0")&lt;&gt;1,"P0(후) 유효 1개 아님",IF(NOT(AND(ISNUMBER(O1577),ISNUMBER(Q1577),ISNUMBER(I1577))),"시각 결측",IF(Q1577&lt;=O1577,"P0 시각 역전",IF(OR(I1577&lt;O1577,I1577&gt;Q1577),"측정시각 구간 밖","OK")))))</f>
        <v/>
      </c>
      <c r="O1577" s="48">
        <f>IF(COUNTIFS($C:$C,$C1577,$D:$D,$D1577,$E:$E,"P0(전)",$M:$M,"&gt;0")&lt;&gt;1,"",SUMIFS($I:$I,$C:$C,$C1577,$D:$D,$D1577,$E:$E,"P0(전)"))</f>
        <v/>
      </c>
      <c r="P1577" s="31">
        <f>IF(COUNTIFS($C:$C,$C1577,$D:$D,$D1577,$E:$E,"P0(전)",$M:$M,"&gt;0")&lt;&gt;1,"",SUMIFS($M:$M,$C:$C,$C1577,$D:$D,$D1577,$E:$E,"P0(전)"))</f>
        <v/>
      </c>
      <c r="Q1577" s="48">
        <f>IF(COUNTIFS($C:$C,$C1577,$D:$D,$D1577,$E:$E,"P0(후)",$M:$M,"&gt;0")&lt;&gt;1,"",SUMIFS($I:$I,$C:$C,$C1577,$D:$D,$D1577,$E:$E,"P0(후)"))</f>
        <v/>
      </c>
      <c r="R1577" s="31">
        <f>IF(COUNTIFS($C:$C,$C1577,$D:$D,$D1577,$E:$E,"P0(후)",$M:$M,"&gt;0")&lt;&gt;1,"",SUMIFS($M:$M,$C:$C,$C1577,$D:$D,$D1577,$E:$E,"P0(후)"))</f>
        <v/>
      </c>
      <c r="S1577" s="31">
        <f>IF(N1577&lt;&gt;"OK","",P1577+(R1577-P1577)*(I1577-O1577)/(Q1577-O1577))</f>
        <v/>
      </c>
      <c r="T1577" s="31">
        <f>IF(OR(N1577&lt;&gt;"OK",NOT(ISNUMBER(M1577))),"",M1577-S1577)</f>
        <v/>
      </c>
      <c r="U1577" s="49">
        <f>IF(OR(NOT(ISNUMBER(T1577)),IF(ISNUMBER(H1577),H1577,G1577)=0),"",T1577/IF(ISNUMBER(H1577),H1577,G1577))</f>
        <v/>
      </c>
      <c r="V1577" s="49">
        <f>IF(ISNUMBER(U1577),ABS(U1577),"")</f>
        <v/>
      </c>
      <c r="W1577" s="49">
        <f>IF(OR($E1576&lt;&gt;"측정",$C1576&lt;&gt;$C1577,$D1576&lt;&gt;$D1577,NOT(ISNUMBER(M1577)),NOT(ISNUMBER(M1576)),(IF(ISNUMBER(H1577),H1577,G1577)-IF(ISNUMBER(H1576),H1576,G1576))=0),"",(M1577-M1576)/(IF(ISNUMBER(H1577),H1577,G1577)-IF(ISNUMBER(H1576),H1576,G1576)))</f>
        <v/>
      </c>
      <c r="X1577" s="31">
        <f>IF(NOT(AND(ISNUMBER(O1577),ISNUMBER(Q1577))),"",(Q1577-O1577)*1440)</f>
        <v/>
      </c>
      <c r="Y1577" s="29" t="n"/>
      <c r="Z1577" s="29" t="n"/>
      <c r="AA1577" s="29" t="n"/>
      <c r="AB1577" s="32" t="n"/>
      <c r="AC1577" s="32" t="n"/>
    </row>
    <row r="1578">
      <c r="A1578" s="44" t="inlineStr">
        <is>
          <t>S31</t>
        </is>
      </c>
      <c r="B1578" s="44" t="inlineStr">
        <is>
          <t>언양 신규점3</t>
        </is>
      </c>
      <c r="C1578" s="44" t="inlineStr">
        <is>
          <t>S31-H동</t>
        </is>
      </c>
      <c r="D1578" s="45" t="n">
        <v>1</v>
      </c>
      <c r="E1578" s="44" t="inlineStr">
        <is>
          <t>P0(후)</t>
        </is>
      </c>
      <c r="F1578" s="44" t="inlineStr">
        <is>
          <t>동</t>
        </is>
      </c>
      <c r="G1578" s="46" t="n"/>
      <c r="H1578" s="30" t="n"/>
      <c r="I1578" s="43" t="n"/>
      <c r="J1578" s="41" t="n"/>
      <c r="K1578" s="41" t="n"/>
      <c r="L1578" s="41" t="n"/>
      <c r="M1578" s="31">
        <f>IF(COUNT(J1578:L1578)=0,"",MEDIAN(J1578:L1578))</f>
        <v/>
      </c>
      <c r="N1578" s="38" t="n"/>
      <c r="O1578" s="38" t="n"/>
      <c r="P1578" s="38" t="n"/>
      <c r="Q1578" s="38" t="n"/>
      <c r="R1578" s="38" t="n"/>
      <c r="S1578" s="38" t="n"/>
      <c r="T1578" s="38" t="n"/>
      <c r="U1578" s="38" t="n"/>
      <c r="V1578" s="38" t="n"/>
      <c r="W1578" s="38" t="n"/>
      <c r="X1578" s="38" t="n"/>
      <c r="Y1578" s="29" t="n"/>
      <c r="Z1578" s="29" t="n"/>
      <c r="AA1578" s="29" t="n"/>
      <c r="AB1578" s="32" t="n"/>
      <c r="AC1578" s="32" t="n"/>
    </row>
    <row r="1579">
      <c r="A1579" s="44" t="inlineStr">
        <is>
          <t>S31</t>
        </is>
      </c>
      <c r="B1579" s="44" t="inlineStr">
        <is>
          <t>언양 신규점3</t>
        </is>
      </c>
      <c r="C1579" s="44" t="inlineStr">
        <is>
          <t>S31-H서</t>
        </is>
      </c>
      <c r="D1579" s="45" t="n">
        <v>1</v>
      </c>
      <c r="E1579" s="44" t="inlineStr">
        <is>
          <t>P0(전)</t>
        </is>
      </c>
      <c r="F1579" s="44" t="inlineStr">
        <is>
          <t>서</t>
        </is>
      </c>
      <c r="G1579" s="46" t="n"/>
      <c r="H1579" s="30" t="n"/>
      <c r="I1579" s="43" t="n"/>
      <c r="J1579" s="41" t="n"/>
      <c r="K1579" s="41" t="n"/>
      <c r="L1579" s="41" t="n"/>
      <c r="M1579" s="31">
        <f>IF(COUNT(J1579:L1579)=0,"",MEDIAN(J1579:L1579))</f>
        <v/>
      </c>
      <c r="N1579" s="38" t="n"/>
      <c r="O1579" s="38" t="n"/>
      <c r="P1579" s="38" t="n"/>
      <c r="Q1579" s="38" t="n"/>
      <c r="R1579" s="38" t="n"/>
      <c r="S1579" s="38" t="n"/>
      <c r="T1579" s="38" t="n"/>
      <c r="U1579" s="38" t="n"/>
      <c r="V1579" s="38" t="n"/>
      <c r="W1579" s="38" t="n"/>
      <c r="X1579" s="38" t="n"/>
      <c r="Y1579" s="29" t="n"/>
      <c r="Z1579" s="29" t="n"/>
      <c r="AA1579" s="29" t="n"/>
      <c r="AB1579" s="32" t="n"/>
      <c r="AC1579" s="32" t="n"/>
    </row>
    <row r="1580">
      <c r="A1580" s="26" t="inlineStr">
        <is>
          <t>S31</t>
        </is>
      </c>
      <c r="B1580" s="26" t="inlineStr">
        <is>
          <t>언양 신규점3</t>
        </is>
      </c>
      <c r="C1580" s="26" t="inlineStr">
        <is>
          <t>S31-H서</t>
        </is>
      </c>
      <c r="D1580" s="47" t="n">
        <v>1</v>
      </c>
      <c r="E1580" s="26" t="inlineStr">
        <is>
          <t>측정</t>
        </is>
      </c>
      <c r="F1580" s="26" t="inlineStr">
        <is>
          <t>서</t>
        </is>
      </c>
      <c r="G1580" s="31" t="n">
        <v>0.5</v>
      </c>
      <c r="H1580" s="30" t="n"/>
      <c r="I1580" s="43" t="n"/>
      <c r="J1580" s="41" t="n"/>
      <c r="K1580" s="41" t="n"/>
      <c r="L1580" s="41" t="n"/>
      <c r="M1580" s="31">
        <f>IF(COUNT(J1580:L1580)=0,"",MEDIAN(J1580:L1580))</f>
        <v/>
      </c>
      <c r="N1580" s="26">
        <f>IF(COUNTIFS($C:$C,$C1580,$D:$D,$D1580,$E:$E,"P0(전)",$M:$M,"&gt;0")&lt;&gt;1,"P0(전) 유효 1개 아님",IF(COUNTIFS($C:$C,$C1580,$D:$D,$D1580,$E:$E,"P0(후)",$M:$M,"&gt;0")&lt;&gt;1,"P0(후) 유효 1개 아님",IF(NOT(AND(ISNUMBER(O1580),ISNUMBER(Q1580),ISNUMBER(I1580))),"시각 결측",IF(Q1580&lt;=O1580,"P0 시각 역전",IF(OR(I1580&lt;O1580,I1580&gt;Q1580),"측정시각 구간 밖","OK")))))</f>
        <v/>
      </c>
      <c r="O1580" s="48">
        <f>IF(COUNTIFS($C:$C,$C1580,$D:$D,$D1580,$E:$E,"P0(전)",$M:$M,"&gt;0")&lt;&gt;1,"",SUMIFS($I:$I,$C:$C,$C1580,$D:$D,$D1580,$E:$E,"P0(전)"))</f>
        <v/>
      </c>
      <c r="P1580" s="31">
        <f>IF(COUNTIFS($C:$C,$C1580,$D:$D,$D1580,$E:$E,"P0(전)",$M:$M,"&gt;0")&lt;&gt;1,"",SUMIFS($M:$M,$C:$C,$C1580,$D:$D,$D1580,$E:$E,"P0(전)"))</f>
        <v/>
      </c>
      <c r="Q1580" s="48">
        <f>IF(COUNTIFS($C:$C,$C1580,$D:$D,$D1580,$E:$E,"P0(후)",$M:$M,"&gt;0")&lt;&gt;1,"",SUMIFS($I:$I,$C:$C,$C1580,$D:$D,$D1580,$E:$E,"P0(후)"))</f>
        <v/>
      </c>
      <c r="R1580" s="31">
        <f>IF(COUNTIFS($C:$C,$C1580,$D:$D,$D1580,$E:$E,"P0(후)",$M:$M,"&gt;0")&lt;&gt;1,"",SUMIFS($M:$M,$C:$C,$C1580,$D:$D,$D1580,$E:$E,"P0(후)"))</f>
        <v/>
      </c>
      <c r="S1580" s="31">
        <f>IF(N1580&lt;&gt;"OK","",P1580+(R1580-P1580)*(I1580-O1580)/(Q1580-O1580))</f>
        <v/>
      </c>
      <c r="T1580" s="31">
        <f>IF(OR(N1580&lt;&gt;"OK",NOT(ISNUMBER(M1580))),"",M1580-S1580)</f>
        <v/>
      </c>
      <c r="U1580" s="49">
        <f>IF(OR(NOT(ISNUMBER(T1580)),IF(ISNUMBER(H1580),H1580,G1580)=0),"",T1580/IF(ISNUMBER(H1580),H1580,G1580))</f>
        <v/>
      </c>
      <c r="V1580" s="49">
        <f>IF(ISNUMBER(U1580),ABS(U1580),"")</f>
        <v/>
      </c>
      <c r="W1580" s="49">
        <f>IF(OR($E1579&lt;&gt;"측정",$C1579&lt;&gt;$C1580,$D1579&lt;&gt;$D1580,NOT(ISNUMBER(M1580)),NOT(ISNUMBER(M1579)),(IF(ISNUMBER(H1580),H1580,G1580)-IF(ISNUMBER(H1579),H1579,G1579))=0),"",(M1580-M1579)/(IF(ISNUMBER(H1580),H1580,G1580)-IF(ISNUMBER(H1579),H1579,G1579)))</f>
        <v/>
      </c>
      <c r="X1580" s="31">
        <f>IF(NOT(AND(ISNUMBER(O1580),ISNUMBER(Q1580))),"",(Q1580-O1580)*1440)</f>
        <v/>
      </c>
      <c r="Y1580" s="29" t="n"/>
      <c r="Z1580" s="29" t="n"/>
      <c r="AA1580" s="29" t="n"/>
      <c r="AB1580" s="32" t="n"/>
      <c r="AC1580" s="32" t="n"/>
    </row>
    <row r="1581">
      <c r="A1581" s="26" t="inlineStr">
        <is>
          <t>S31</t>
        </is>
      </c>
      <c r="B1581" s="26" t="inlineStr">
        <is>
          <t>언양 신규점3</t>
        </is>
      </c>
      <c r="C1581" s="26" t="inlineStr">
        <is>
          <t>S31-H서</t>
        </is>
      </c>
      <c r="D1581" s="47" t="n">
        <v>1</v>
      </c>
      <c r="E1581" s="26" t="inlineStr">
        <is>
          <t>측정</t>
        </is>
      </c>
      <c r="F1581" s="26" t="inlineStr">
        <is>
          <t>서</t>
        </is>
      </c>
      <c r="G1581" s="31" t="n">
        <v>1</v>
      </c>
      <c r="H1581" s="30" t="n"/>
      <c r="I1581" s="43" t="n"/>
      <c r="J1581" s="41" t="n"/>
      <c r="K1581" s="41" t="n"/>
      <c r="L1581" s="41" t="n"/>
      <c r="M1581" s="31">
        <f>IF(COUNT(J1581:L1581)=0,"",MEDIAN(J1581:L1581))</f>
        <v/>
      </c>
      <c r="N1581" s="26">
        <f>IF(COUNTIFS($C:$C,$C1581,$D:$D,$D1581,$E:$E,"P0(전)",$M:$M,"&gt;0")&lt;&gt;1,"P0(전) 유효 1개 아님",IF(COUNTIFS($C:$C,$C1581,$D:$D,$D1581,$E:$E,"P0(후)",$M:$M,"&gt;0")&lt;&gt;1,"P0(후) 유효 1개 아님",IF(NOT(AND(ISNUMBER(O1581),ISNUMBER(Q1581),ISNUMBER(I1581))),"시각 결측",IF(Q1581&lt;=O1581,"P0 시각 역전",IF(OR(I1581&lt;O1581,I1581&gt;Q1581),"측정시각 구간 밖","OK")))))</f>
        <v/>
      </c>
      <c r="O1581" s="48">
        <f>IF(COUNTIFS($C:$C,$C1581,$D:$D,$D1581,$E:$E,"P0(전)",$M:$M,"&gt;0")&lt;&gt;1,"",SUMIFS($I:$I,$C:$C,$C1581,$D:$D,$D1581,$E:$E,"P0(전)"))</f>
        <v/>
      </c>
      <c r="P1581" s="31">
        <f>IF(COUNTIFS($C:$C,$C1581,$D:$D,$D1581,$E:$E,"P0(전)",$M:$M,"&gt;0")&lt;&gt;1,"",SUMIFS($M:$M,$C:$C,$C1581,$D:$D,$D1581,$E:$E,"P0(전)"))</f>
        <v/>
      </c>
      <c r="Q1581" s="48">
        <f>IF(COUNTIFS($C:$C,$C1581,$D:$D,$D1581,$E:$E,"P0(후)",$M:$M,"&gt;0")&lt;&gt;1,"",SUMIFS($I:$I,$C:$C,$C1581,$D:$D,$D1581,$E:$E,"P0(후)"))</f>
        <v/>
      </c>
      <c r="R1581" s="31">
        <f>IF(COUNTIFS($C:$C,$C1581,$D:$D,$D1581,$E:$E,"P0(후)",$M:$M,"&gt;0")&lt;&gt;1,"",SUMIFS($M:$M,$C:$C,$C1581,$D:$D,$D1581,$E:$E,"P0(후)"))</f>
        <v/>
      </c>
      <c r="S1581" s="31">
        <f>IF(N1581&lt;&gt;"OK","",P1581+(R1581-P1581)*(I1581-O1581)/(Q1581-O1581))</f>
        <v/>
      </c>
      <c r="T1581" s="31">
        <f>IF(OR(N1581&lt;&gt;"OK",NOT(ISNUMBER(M1581))),"",M1581-S1581)</f>
        <v/>
      </c>
      <c r="U1581" s="49">
        <f>IF(OR(NOT(ISNUMBER(T1581)),IF(ISNUMBER(H1581),H1581,G1581)=0),"",T1581/IF(ISNUMBER(H1581),H1581,G1581))</f>
        <v/>
      </c>
      <c r="V1581" s="49">
        <f>IF(ISNUMBER(U1581),ABS(U1581),"")</f>
        <v/>
      </c>
      <c r="W1581" s="49">
        <f>IF(OR($E1580&lt;&gt;"측정",$C1580&lt;&gt;$C1581,$D1580&lt;&gt;$D1581,NOT(ISNUMBER(M1581)),NOT(ISNUMBER(M1580)),(IF(ISNUMBER(H1581),H1581,G1581)-IF(ISNUMBER(H1580),H1580,G1580))=0),"",(M1581-M1580)/(IF(ISNUMBER(H1581),H1581,G1581)-IF(ISNUMBER(H1580),H1580,G1580)))</f>
        <v/>
      </c>
      <c r="X1581" s="31">
        <f>IF(NOT(AND(ISNUMBER(O1581),ISNUMBER(Q1581))),"",(Q1581-O1581)*1440)</f>
        <v/>
      </c>
      <c r="Y1581" s="29" t="n"/>
      <c r="Z1581" s="29" t="n"/>
      <c r="AA1581" s="29" t="n"/>
      <c r="AB1581" s="32" t="n"/>
      <c r="AC1581" s="32" t="n"/>
    </row>
    <row r="1582">
      <c r="A1582" s="26" t="inlineStr">
        <is>
          <t>S31</t>
        </is>
      </c>
      <c r="B1582" s="26" t="inlineStr">
        <is>
          <t>언양 신규점3</t>
        </is>
      </c>
      <c r="C1582" s="26" t="inlineStr">
        <is>
          <t>S31-H서</t>
        </is>
      </c>
      <c r="D1582" s="47" t="n">
        <v>1</v>
      </c>
      <c r="E1582" s="26" t="inlineStr">
        <is>
          <t>측정</t>
        </is>
      </c>
      <c r="F1582" s="26" t="inlineStr">
        <is>
          <t>서</t>
        </is>
      </c>
      <c r="G1582" s="31" t="n">
        <v>2</v>
      </c>
      <c r="H1582" s="30" t="n"/>
      <c r="I1582" s="43" t="n"/>
      <c r="J1582" s="41" t="n"/>
      <c r="K1582" s="41" t="n"/>
      <c r="L1582" s="41" t="n"/>
      <c r="M1582" s="31">
        <f>IF(COUNT(J1582:L1582)=0,"",MEDIAN(J1582:L1582))</f>
        <v/>
      </c>
      <c r="N1582" s="26">
        <f>IF(COUNTIFS($C:$C,$C1582,$D:$D,$D1582,$E:$E,"P0(전)",$M:$M,"&gt;0")&lt;&gt;1,"P0(전) 유효 1개 아님",IF(COUNTIFS($C:$C,$C1582,$D:$D,$D1582,$E:$E,"P0(후)",$M:$M,"&gt;0")&lt;&gt;1,"P0(후) 유효 1개 아님",IF(NOT(AND(ISNUMBER(O1582),ISNUMBER(Q1582),ISNUMBER(I1582))),"시각 결측",IF(Q1582&lt;=O1582,"P0 시각 역전",IF(OR(I1582&lt;O1582,I1582&gt;Q1582),"측정시각 구간 밖","OK")))))</f>
        <v/>
      </c>
      <c r="O1582" s="48">
        <f>IF(COUNTIFS($C:$C,$C1582,$D:$D,$D1582,$E:$E,"P0(전)",$M:$M,"&gt;0")&lt;&gt;1,"",SUMIFS($I:$I,$C:$C,$C1582,$D:$D,$D1582,$E:$E,"P0(전)"))</f>
        <v/>
      </c>
      <c r="P1582" s="31">
        <f>IF(COUNTIFS($C:$C,$C1582,$D:$D,$D1582,$E:$E,"P0(전)",$M:$M,"&gt;0")&lt;&gt;1,"",SUMIFS($M:$M,$C:$C,$C1582,$D:$D,$D1582,$E:$E,"P0(전)"))</f>
        <v/>
      </c>
      <c r="Q1582" s="48">
        <f>IF(COUNTIFS($C:$C,$C1582,$D:$D,$D1582,$E:$E,"P0(후)",$M:$M,"&gt;0")&lt;&gt;1,"",SUMIFS($I:$I,$C:$C,$C1582,$D:$D,$D1582,$E:$E,"P0(후)"))</f>
        <v/>
      </c>
      <c r="R1582" s="31">
        <f>IF(COUNTIFS($C:$C,$C1582,$D:$D,$D1582,$E:$E,"P0(후)",$M:$M,"&gt;0")&lt;&gt;1,"",SUMIFS($M:$M,$C:$C,$C1582,$D:$D,$D1582,$E:$E,"P0(후)"))</f>
        <v/>
      </c>
      <c r="S1582" s="31">
        <f>IF(N1582&lt;&gt;"OK","",P1582+(R1582-P1582)*(I1582-O1582)/(Q1582-O1582))</f>
        <v/>
      </c>
      <c r="T1582" s="31">
        <f>IF(OR(N1582&lt;&gt;"OK",NOT(ISNUMBER(M1582))),"",M1582-S1582)</f>
        <v/>
      </c>
      <c r="U1582" s="49">
        <f>IF(OR(NOT(ISNUMBER(T1582)),IF(ISNUMBER(H1582),H1582,G1582)=0),"",T1582/IF(ISNUMBER(H1582),H1582,G1582))</f>
        <v/>
      </c>
      <c r="V1582" s="49">
        <f>IF(ISNUMBER(U1582),ABS(U1582),"")</f>
        <v/>
      </c>
      <c r="W1582" s="49">
        <f>IF(OR($E1581&lt;&gt;"측정",$C1581&lt;&gt;$C1582,$D1581&lt;&gt;$D1582,NOT(ISNUMBER(M1582)),NOT(ISNUMBER(M1581)),(IF(ISNUMBER(H1582),H1582,G1582)-IF(ISNUMBER(H1581),H1581,G1581))=0),"",(M1582-M1581)/(IF(ISNUMBER(H1582),H1582,G1582)-IF(ISNUMBER(H1581),H1581,G1581)))</f>
        <v/>
      </c>
      <c r="X1582" s="31">
        <f>IF(NOT(AND(ISNUMBER(O1582),ISNUMBER(Q1582))),"",(Q1582-O1582)*1440)</f>
        <v/>
      </c>
      <c r="Y1582" s="29" t="n"/>
      <c r="Z1582" s="29" t="n"/>
      <c r="AA1582" s="29" t="n"/>
      <c r="AB1582" s="32" t="n"/>
      <c r="AC1582" s="32" t="n"/>
    </row>
    <row r="1583">
      <c r="A1583" s="26" t="inlineStr">
        <is>
          <t>S31</t>
        </is>
      </c>
      <c r="B1583" s="26" t="inlineStr">
        <is>
          <t>언양 신규점3</t>
        </is>
      </c>
      <c r="C1583" s="26" t="inlineStr">
        <is>
          <t>S31-H서</t>
        </is>
      </c>
      <c r="D1583" s="47" t="n">
        <v>1</v>
      </c>
      <c r="E1583" s="26" t="inlineStr">
        <is>
          <t>측정</t>
        </is>
      </c>
      <c r="F1583" s="26" t="inlineStr">
        <is>
          <t>서</t>
        </is>
      </c>
      <c r="G1583" s="31" t="n">
        <v>3</v>
      </c>
      <c r="H1583" s="30" t="n"/>
      <c r="I1583" s="43" t="n"/>
      <c r="J1583" s="41" t="n"/>
      <c r="K1583" s="41" t="n"/>
      <c r="L1583" s="41" t="n"/>
      <c r="M1583" s="31">
        <f>IF(COUNT(J1583:L1583)=0,"",MEDIAN(J1583:L1583))</f>
        <v/>
      </c>
      <c r="N1583" s="26">
        <f>IF(COUNTIFS($C:$C,$C1583,$D:$D,$D1583,$E:$E,"P0(전)",$M:$M,"&gt;0")&lt;&gt;1,"P0(전) 유효 1개 아님",IF(COUNTIFS($C:$C,$C1583,$D:$D,$D1583,$E:$E,"P0(후)",$M:$M,"&gt;0")&lt;&gt;1,"P0(후) 유효 1개 아님",IF(NOT(AND(ISNUMBER(O1583),ISNUMBER(Q1583),ISNUMBER(I1583))),"시각 결측",IF(Q1583&lt;=O1583,"P0 시각 역전",IF(OR(I1583&lt;O1583,I1583&gt;Q1583),"측정시각 구간 밖","OK")))))</f>
        <v/>
      </c>
      <c r="O1583" s="48">
        <f>IF(COUNTIFS($C:$C,$C1583,$D:$D,$D1583,$E:$E,"P0(전)",$M:$M,"&gt;0")&lt;&gt;1,"",SUMIFS($I:$I,$C:$C,$C1583,$D:$D,$D1583,$E:$E,"P0(전)"))</f>
        <v/>
      </c>
      <c r="P1583" s="31">
        <f>IF(COUNTIFS($C:$C,$C1583,$D:$D,$D1583,$E:$E,"P0(전)",$M:$M,"&gt;0")&lt;&gt;1,"",SUMIFS($M:$M,$C:$C,$C1583,$D:$D,$D1583,$E:$E,"P0(전)"))</f>
        <v/>
      </c>
      <c r="Q1583" s="48">
        <f>IF(COUNTIFS($C:$C,$C1583,$D:$D,$D1583,$E:$E,"P0(후)",$M:$M,"&gt;0")&lt;&gt;1,"",SUMIFS($I:$I,$C:$C,$C1583,$D:$D,$D1583,$E:$E,"P0(후)"))</f>
        <v/>
      </c>
      <c r="R1583" s="31">
        <f>IF(COUNTIFS($C:$C,$C1583,$D:$D,$D1583,$E:$E,"P0(후)",$M:$M,"&gt;0")&lt;&gt;1,"",SUMIFS($M:$M,$C:$C,$C1583,$D:$D,$D1583,$E:$E,"P0(후)"))</f>
        <v/>
      </c>
      <c r="S1583" s="31">
        <f>IF(N1583&lt;&gt;"OK","",P1583+(R1583-P1583)*(I1583-O1583)/(Q1583-O1583))</f>
        <v/>
      </c>
      <c r="T1583" s="31">
        <f>IF(OR(N1583&lt;&gt;"OK",NOT(ISNUMBER(M1583))),"",M1583-S1583)</f>
        <v/>
      </c>
      <c r="U1583" s="49">
        <f>IF(OR(NOT(ISNUMBER(T1583)),IF(ISNUMBER(H1583),H1583,G1583)=0),"",T1583/IF(ISNUMBER(H1583),H1583,G1583))</f>
        <v/>
      </c>
      <c r="V1583" s="49">
        <f>IF(ISNUMBER(U1583),ABS(U1583),"")</f>
        <v/>
      </c>
      <c r="W1583" s="49">
        <f>IF(OR($E1582&lt;&gt;"측정",$C1582&lt;&gt;$C1583,$D1582&lt;&gt;$D1583,NOT(ISNUMBER(M1583)),NOT(ISNUMBER(M1582)),(IF(ISNUMBER(H1583),H1583,G1583)-IF(ISNUMBER(H1582),H1582,G1582))=0),"",(M1583-M1582)/(IF(ISNUMBER(H1583),H1583,G1583)-IF(ISNUMBER(H1582),H1582,G1582)))</f>
        <v/>
      </c>
      <c r="X1583" s="31">
        <f>IF(NOT(AND(ISNUMBER(O1583),ISNUMBER(Q1583))),"",(Q1583-O1583)*1440)</f>
        <v/>
      </c>
      <c r="Y1583" s="29" t="n"/>
      <c r="Z1583" s="29" t="n"/>
      <c r="AA1583" s="29" t="n"/>
      <c r="AB1583" s="32" t="n"/>
      <c r="AC1583" s="32" t="n"/>
    </row>
    <row r="1584">
      <c r="A1584" s="26" t="inlineStr">
        <is>
          <t>S31</t>
        </is>
      </c>
      <c r="B1584" s="26" t="inlineStr">
        <is>
          <t>언양 신규점3</t>
        </is>
      </c>
      <c r="C1584" s="26" t="inlineStr">
        <is>
          <t>S31-H서</t>
        </is>
      </c>
      <c r="D1584" s="47" t="n">
        <v>1</v>
      </c>
      <c r="E1584" s="26" t="inlineStr">
        <is>
          <t>측정</t>
        </is>
      </c>
      <c r="F1584" s="26" t="inlineStr">
        <is>
          <t>서</t>
        </is>
      </c>
      <c r="G1584" s="31" t="n">
        <v>4</v>
      </c>
      <c r="H1584" s="30" t="n"/>
      <c r="I1584" s="43" t="n"/>
      <c r="J1584" s="41" t="n"/>
      <c r="K1584" s="41" t="n"/>
      <c r="L1584" s="41" t="n"/>
      <c r="M1584" s="31">
        <f>IF(COUNT(J1584:L1584)=0,"",MEDIAN(J1584:L1584))</f>
        <v/>
      </c>
      <c r="N1584" s="26">
        <f>IF(COUNTIFS($C:$C,$C1584,$D:$D,$D1584,$E:$E,"P0(전)",$M:$M,"&gt;0")&lt;&gt;1,"P0(전) 유효 1개 아님",IF(COUNTIFS($C:$C,$C1584,$D:$D,$D1584,$E:$E,"P0(후)",$M:$M,"&gt;0")&lt;&gt;1,"P0(후) 유효 1개 아님",IF(NOT(AND(ISNUMBER(O1584),ISNUMBER(Q1584),ISNUMBER(I1584))),"시각 결측",IF(Q1584&lt;=O1584,"P0 시각 역전",IF(OR(I1584&lt;O1584,I1584&gt;Q1584),"측정시각 구간 밖","OK")))))</f>
        <v/>
      </c>
      <c r="O1584" s="48">
        <f>IF(COUNTIFS($C:$C,$C1584,$D:$D,$D1584,$E:$E,"P0(전)",$M:$M,"&gt;0")&lt;&gt;1,"",SUMIFS($I:$I,$C:$C,$C1584,$D:$D,$D1584,$E:$E,"P0(전)"))</f>
        <v/>
      </c>
      <c r="P1584" s="31">
        <f>IF(COUNTIFS($C:$C,$C1584,$D:$D,$D1584,$E:$E,"P0(전)",$M:$M,"&gt;0")&lt;&gt;1,"",SUMIFS($M:$M,$C:$C,$C1584,$D:$D,$D1584,$E:$E,"P0(전)"))</f>
        <v/>
      </c>
      <c r="Q1584" s="48">
        <f>IF(COUNTIFS($C:$C,$C1584,$D:$D,$D1584,$E:$E,"P0(후)",$M:$M,"&gt;0")&lt;&gt;1,"",SUMIFS($I:$I,$C:$C,$C1584,$D:$D,$D1584,$E:$E,"P0(후)"))</f>
        <v/>
      </c>
      <c r="R1584" s="31">
        <f>IF(COUNTIFS($C:$C,$C1584,$D:$D,$D1584,$E:$E,"P0(후)",$M:$M,"&gt;0")&lt;&gt;1,"",SUMIFS($M:$M,$C:$C,$C1584,$D:$D,$D1584,$E:$E,"P0(후)"))</f>
        <v/>
      </c>
      <c r="S1584" s="31">
        <f>IF(N1584&lt;&gt;"OK","",P1584+(R1584-P1584)*(I1584-O1584)/(Q1584-O1584))</f>
        <v/>
      </c>
      <c r="T1584" s="31">
        <f>IF(OR(N1584&lt;&gt;"OK",NOT(ISNUMBER(M1584))),"",M1584-S1584)</f>
        <v/>
      </c>
      <c r="U1584" s="49">
        <f>IF(OR(NOT(ISNUMBER(T1584)),IF(ISNUMBER(H1584),H1584,G1584)=0),"",T1584/IF(ISNUMBER(H1584),H1584,G1584))</f>
        <v/>
      </c>
      <c r="V1584" s="49">
        <f>IF(ISNUMBER(U1584),ABS(U1584),"")</f>
        <v/>
      </c>
      <c r="W1584" s="49">
        <f>IF(OR($E1583&lt;&gt;"측정",$C1583&lt;&gt;$C1584,$D1583&lt;&gt;$D1584,NOT(ISNUMBER(M1584)),NOT(ISNUMBER(M1583)),(IF(ISNUMBER(H1584),H1584,G1584)-IF(ISNUMBER(H1583),H1583,G1583))=0),"",(M1584-M1583)/(IF(ISNUMBER(H1584),H1584,G1584)-IF(ISNUMBER(H1583),H1583,G1583)))</f>
        <v/>
      </c>
      <c r="X1584" s="31">
        <f>IF(NOT(AND(ISNUMBER(O1584),ISNUMBER(Q1584))),"",(Q1584-O1584)*1440)</f>
        <v/>
      </c>
      <c r="Y1584" s="29" t="n"/>
      <c r="Z1584" s="29" t="n"/>
      <c r="AA1584" s="29" t="n"/>
      <c r="AB1584" s="32" t="n"/>
      <c r="AC1584" s="32" t="n"/>
    </row>
    <row r="1585">
      <c r="A1585" s="26" t="inlineStr">
        <is>
          <t>S31</t>
        </is>
      </c>
      <c r="B1585" s="26" t="inlineStr">
        <is>
          <t>언양 신규점3</t>
        </is>
      </c>
      <c r="C1585" s="26" t="inlineStr">
        <is>
          <t>S31-H서</t>
        </is>
      </c>
      <c r="D1585" s="47" t="n">
        <v>1</v>
      </c>
      <c r="E1585" s="26" t="inlineStr">
        <is>
          <t>측정</t>
        </is>
      </c>
      <c r="F1585" s="26" t="inlineStr">
        <is>
          <t>서</t>
        </is>
      </c>
      <c r="G1585" s="31" t="n">
        <v>5</v>
      </c>
      <c r="H1585" s="30" t="n"/>
      <c r="I1585" s="43" t="n"/>
      <c r="J1585" s="41" t="n"/>
      <c r="K1585" s="41" t="n"/>
      <c r="L1585" s="41" t="n"/>
      <c r="M1585" s="31">
        <f>IF(COUNT(J1585:L1585)=0,"",MEDIAN(J1585:L1585))</f>
        <v/>
      </c>
      <c r="N1585" s="26">
        <f>IF(COUNTIFS($C:$C,$C1585,$D:$D,$D1585,$E:$E,"P0(전)",$M:$M,"&gt;0")&lt;&gt;1,"P0(전) 유효 1개 아님",IF(COUNTIFS($C:$C,$C1585,$D:$D,$D1585,$E:$E,"P0(후)",$M:$M,"&gt;0")&lt;&gt;1,"P0(후) 유효 1개 아님",IF(NOT(AND(ISNUMBER(O1585),ISNUMBER(Q1585),ISNUMBER(I1585))),"시각 결측",IF(Q1585&lt;=O1585,"P0 시각 역전",IF(OR(I1585&lt;O1585,I1585&gt;Q1585),"측정시각 구간 밖","OK")))))</f>
        <v/>
      </c>
      <c r="O1585" s="48">
        <f>IF(COUNTIFS($C:$C,$C1585,$D:$D,$D1585,$E:$E,"P0(전)",$M:$M,"&gt;0")&lt;&gt;1,"",SUMIFS($I:$I,$C:$C,$C1585,$D:$D,$D1585,$E:$E,"P0(전)"))</f>
        <v/>
      </c>
      <c r="P1585" s="31">
        <f>IF(COUNTIFS($C:$C,$C1585,$D:$D,$D1585,$E:$E,"P0(전)",$M:$M,"&gt;0")&lt;&gt;1,"",SUMIFS($M:$M,$C:$C,$C1585,$D:$D,$D1585,$E:$E,"P0(전)"))</f>
        <v/>
      </c>
      <c r="Q1585" s="48">
        <f>IF(COUNTIFS($C:$C,$C1585,$D:$D,$D1585,$E:$E,"P0(후)",$M:$M,"&gt;0")&lt;&gt;1,"",SUMIFS($I:$I,$C:$C,$C1585,$D:$D,$D1585,$E:$E,"P0(후)"))</f>
        <v/>
      </c>
      <c r="R1585" s="31">
        <f>IF(COUNTIFS($C:$C,$C1585,$D:$D,$D1585,$E:$E,"P0(후)",$M:$M,"&gt;0")&lt;&gt;1,"",SUMIFS($M:$M,$C:$C,$C1585,$D:$D,$D1585,$E:$E,"P0(후)"))</f>
        <v/>
      </c>
      <c r="S1585" s="31">
        <f>IF(N1585&lt;&gt;"OK","",P1585+(R1585-P1585)*(I1585-O1585)/(Q1585-O1585))</f>
        <v/>
      </c>
      <c r="T1585" s="31">
        <f>IF(OR(N1585&lt;&gt;"OK",NOT(ISNUMBER(M1585))),"",M1585-S1585)</f>
        <v/>
      </c>
      <c r="U1585" s="49">
        <f>IF(OR(NOT(ISNUMBER(T1585)),IF(ISNUMBER(H1585),H1585,G1585)=0),"",T1585/IF(ISNUMBER(H1585),H1585,G1585))</f>
        <v/>
      </c>
      <c r="V1585" s="49">
        <f>IF(ISNUMBER(U1585),ABS(U1585),"")</f>
        <v/>
      </c>
      <c r="W1585" s="49">
        <f>IF(OR($E1584&lt;&gt;"측정",$C1584&lt;&gt;$C1585,$D1584&lt;&gt;$D1585,NOT(ISNUMBER(M1585)),NOT(ISNUMBER(M1584)),(IF(ISNUMBER(H1585),H1585,G1585)-IF(ISNUMBER(H1584),H1584,G1584))=0),"",(M1585-M1584)/(IF(ISNUMBER(H1585),H1585,G1585)-IF(ISNUMBER(H1584),H1584,G1584)))</f>
        <v/>
      </c>
      <c r="X1585" s="31">
        <f>IF(NOT(AND(ISNUMBER(O1585),ISNUMBER(Q1585))),"",(Q1585-O1585)*1440)</f>
        <v/>
      </c>
      <c r="Y1585" s="29" t="n"/>
      <c r="Z1585" s="29" t="n"/>
      <c r="AA1585" s="29" t="n"/>
      <c r="AB1585" s="32" t="n"/>
      <c r="AC1585" s="32" t="n"/>
    </row>
    <row r="1586">
      <c r="A1586" s="26" t="inlineStr">
        <is>
          <t>S31</t>
        </is>
      </c>
      <c r="B1586" s="26" t="inlineStr">
        <is>
          <t>언양 신규점3</t>
        </is>
      </c>
      <c r="C1586" s="26" t="inlineStr">
        <is>
          <t>S31-H서</t>
        </is>
      </c>
      <c r="D1586" s="47" t="n">
        <v>1</v>
      </c>
      <c r="E1586" s="26" t="inlineStr">
        <is>
          <t>측정</t>
        </is>
      </c>
      <c r="F1586" s="26" t="inlineStr">
        <is>
          <t>서</t>
        </is>
      </c>
      <c r="G1586" s="31" t="n">
        <v>6</v>
      </c>
      <c r="H1586" s="30" t="n"/>
      <c r="I1586" s="43" t="n"/>
      <c r="J1586" s="41" t="n"/>
      <c r="K1586" s="41" t="n"/>
      <c r="L1586" s="41" t="n"/>
      <c r="M1586" s="31">
        <f>IF(COUNT(J1586:L1586)=0,"",MEDIAN(J1586:L1586))</f>
        <v/>
      </c>
      <c r="N1586" s="26">
        <f>IF(COUNTIFS($C:$C,$C1586,$D:$D,$D1586,$E:$E,"P0(전)",$M:$M,"&gt;0")&lt;&gt;1,"P0(전) 유효 1개 아님",IF(COUNTIFS($C:$C,$C1586,$D:$D,$D1586,$E:$E,"P0(후)",$M:$M,"&gt;0")&lt;&gt;1,"P0(후) 유효 1개 아님",IF(NOT(AND(ISNUMBER(O1586),ISNUMBER(Q1586),ISNUMBER(I1586))),"시각 결측",IF(Q1586&lt;=O1586,"P0 시각 역전",IF(OR(I1586&lt;O1586,I1586&gt;Q1586),"측정시각 구간 밖","OK")))))</f>
        <v/>
      </c>
      <c r="O1586" s="48">
        <f>IF(COUNTIFS($C:$C,$C1586,$D:$D,$D1586,$E:$E,"P0(전)",$M:$M,"&gt;0")&lt;&gt;1,"",SUMIFS($I:$I,$C:$C,$C1586,$D:$D,$D1586,$E:$E,"P0(전)"))</f>
        <v/>
      </c>
      <c r="P1586" s="31">
        <f>IF(COUNTIFS($C:$C,$C1586,$D:$D,$D1586,$E:$E,"P0(전)",$M:$M,"&gt;0")&lt;&gt;1,"",SUMIFS($M:$M,$C:$C,$C1586,$D:$D,$D1586,$E:$E,"P0(전)"))</f>
        <v/>
      </c>
      <c r="Q1586" s="48">
        <f>IF(COUNTIFS($C:$C,$C1586,$D:$D,$D1586,$E:$E,"P0(후)",$M:$M,"&gt;0")&lt;&gt;1,"",SUMIFS($I:$I,$C:$C,$C1586,$D:$D,$D1586,$E:$E,"P0(후)"))</f>
        <v/>
      </c>
      <c r="R1586" s="31">
        <f>IF(COUNTIFS($C:$C,$C1586,$D:$D,$D1586,$E:$E,"P0(후)",$M:$M,"&gt;0")&lt;&gt;1,"",SUMIFS($M:$M,$C:$C,$C1586,$D:$D,$D1586,$E:$E,"P0(후)"))</f>
        <v/>
      </c>
      <c r="S1586" s="31">
        <f>IF(N1586&lt;&gt;"OK","",P1586+(R1586-P1586)*(I1586-O1586)/(Q1586-O1586))</f>
        <v/>
      </c>
      <c r="T1586" s="31">
        <f>IF(OR(N1586&lt;&gt;"OK",NOT(ISNUMBER(M1586))),"",M1586-S1586)</f>
        <v/>
      </c>
      <c r="U1586" s="49">
        <f>IF(OR(NOT(ISNUMBER(T1586)),IF(ISNUMBER(H1586),H1586,G1586)=0),"",T1586/IF(ISNUMBER(H1586),H1586,G1586))</f>
        <v/>
      </c>
      <c r="V1586" s="49">
        <f>IF(ISNUMBER(U1586),ABS(U1586),"")</f>
        <v/>
      </c>
      <c r="W1586" s="49">
        <f>IF(OR($E1585&lt;&gt;"측정",$C1585&lt;&gt;$C1586,$D1585&lt;&gt;$D1586,NOT(ISNUMBER(M1586)),NOT(ISNUMBER(M1585)),(IF(ISNUMBER(H1586),H1586,G1586)-IF(ISNUMBER(H1585),H1585,G1585))=0),"",(M1586-M1585)/(IF(ISNUMBER(H1586),H1586,G1586)-IF(ISNUMBER(H1585),H1585,G1585)))</f>
        <v/>
      </c>
      <c r="X1586" s="31">
        <f>IF(NOT(AND(ISNUMBER(O1586),ISNUMBER(Q1586))),"",(Q1586-O1586)*1440)</f>
        <v/>
      </c>
      <c r="Y1586" s="29" t="n"/>
      <c r="Z1586" s="29" t="n"/>
      <c r="AA1586" s="29" t="n"/>
      <c r="AB1586" s="32" t="n"/>
      <c r="AC1586" s="32" t="n"/>
    </row>
    <row r="1587">
      <c r="A1587" s="26" t="inlineStr">
        <is>
          <t>S31</t>
        </is>
      </c>
      <c r="B1587" s="26" t="inlineStr">
        <is>
          <t>언양 신규점3</t>
        </is>
      </c>
      <c r="C1587" s="26" t="inlineStr">
        <is>
          <t>S31-H서</t>
        </is>
      </c>
      <c r="D1587" s="47" t="n">
        <v>1</v>
      </c>
      <c r="E1587" s="26" t="inlineStr">
        <is>
          <t>측정</t>
        </is>
      </c>
      <c r="F1587" s="26" t="inlineStr">
        <is>
          <t>서</t>
        </is>
      </c>
      <c r="G1587" s="31" t="n">
        <v>7</v>
      </c>
      <c r="H1587" s="30" t="n"/>
      <c r="I1587" s="43" t="n"/>
      <c r="J1587" s="41" t="n"/>
      <c r="K1587" s="41" t="n"/>
      <c r="L1587" s="41" t="n"/>
      <c r="M1587" s="31">
        <f>IF(COUNT(J1587:L1587)=0,"",MEDIAN(J1587:L1587))</f>
        <v/>
      </c>
      <c r="N1587" s="26">
        <f>IF(COUNTIFS($C:$C,$C1587,$D:$D,$D1587,$E:$E,"P0(전)",$M:$M,"&gt;0")&lt;&gt;1,"P0(전) 유효 1개 아님",IF(COUNTIFS($C:$C,$C1587,$D:$D,$D1587,$E:$E,"P0(후)",$M:$M,"&gt;0")&lt;&gt;1,"P0(후) 유효 1개 아님",IF(NOT(AND(ISNUMBER(O1587),ISNUMBER(Q1587),ISNUMBER(I1587))),"시각 결측",IF(Q1587&lt;=O1587,"P0 시각 역전",IF(OR(I1587&lt;O1587,I1587&gt;Q1587),"측정시각 구간 밖","OK")))))</f>
        <v/>
      </c>
      <c r="O1587" s="48">
        <f>IF(COUNTIFS($C:$C,$C1587,$D:$D,$D1587,$E:$E,"P0(전)",$M:$M,"&gt;0")&lt;&gt;1,"",SUMIFS($I:$I,$C:$C,$C1587,$D:$D,$D1587,$E:$E,"P0(전)"))</f>
        <v/>
      </c>
      <c r="P1587" s="31">
        <f>IF(COUNTIFS($C:$C,$C1587,$D:$D,$D1587,$E:$E,"P0(전)",$M:$M,"&gt;0")&lt;&gt;1,"",SUMIFS($M:$M,$C:$C,$C1587,$D:$D,$D1587,$E:$E,"P0(전)"))</f>
        <v/>
      </c>
      <c r="Q1587" s="48">
        <f>IF(COUNTIFS($C:$C,$C1587,$D:$D,$D1587,$E:$E,"P0(후)",$M:$M,"&gt;0")&lt;&gt;1,"",SUMIFS($I:$I,$C:$C,$C1587,$D:$D,$D1587,$E:$E,"P0(후)"))</f>
        <v/>
      </c>
      <c r="R1587" s="31">
        <f>IF(COUNTIFS($C:$C,$C1587,$D:$D,$D1587,$E:$E,"P0(후)",$M:$M,"&gt;0")&lt;&gt;1,"",SUMIFS($M:$M,$C:$C,$C1587,$D:$D,$D1587,$E:$E,"P0(후)"))</f>
        <v/>
      </c>
      <c r="S1587" s="31">
        <f>IF(N1587&lt;&gt;"OK","",P1587+(R1587-P1587)*(I1587-O1587)/(Q1587-O1587))</f>
        <v/>
      </c>
      <c r="T1587" s="31">
        <f>IF(OR(N1587&lt;&gt;"OK",NOT(ISNUMBER(M1587))),"",M1587-S1587)</f>
        <v/>
      </c>
      <c r="U1587" s="49">
        <f>IF(OR(NOT(ISNUMBER(T1587)),IF(ISNUMBER(H1587),H1587,G1587)=0),"",T1587/IF(ISNUMBER(H1587),H1587,G1587))</f>
        <v/>
      </c>
      <c r="V1587" s="49">
        <f>IF(ISNUMBER(U1587),ABS(U1587),"")</f>
        <v/>
      </c>
      <c r="W1587" s="49">
        <f>IF(OR($E1586&lt;&gt;"측정",$C1586&lt;&gt;$C1587,$D1586&lt;&gt;$D1587,NOT(ISNUMBER(M1587)),NOT(ISNUMBER(M1586)),(IF(ISNUMBER(H1587),H1587,G1587)-IF(ISNUMBER(H1586),H1586,G1586))=0),"",(M1587-M1586)/(IF(ISNUMBER(H1587),H1587,G1587)-IF(ISNUMBER(H1586),H1586,G1586)))</f>
        <v/>
      </c>
      <c r="X1587" s="31">
        <f>IF(NOT(AND(ISNUMBER(O1587),ISNUMBER(Q1587))),"",(Q1587-O1587)*1440)</f>
        <v/>
      </c>
      <c r="Y1587" s="29" t="n"/>
      <c r="Z1587" s="29" t="n"/>
      <c r="AA1587" s="29" t="n"/>
      <c r="AB1587" s="32" t="n"/>
      <c r="AC1587" s="32" t="n"/>
    </row>
    <row r="1588">
      <c r="A1588" s="26" t="inlineStr">
        <is>
          <t>S31</t>
        </is>
      </c>
      <c r="B1588" s="26" t="inlineStr">
        <is>
          <t>언양 신규점3</t>
        </is>
      </c>
      <c r="C1588" s="26" t="inlineStr">
        <is>
          <t>S31-H서</t>
        </is>
      </c>
      <c r="D1588" s="47" t="n">
        <v>1</v>
      </c>
      <c r="E1588" s="26" t="inlineStr">
        <is>
          <t>측정</t>
        </is>
      </c>
      <c r="F1588" s="26" t="inlineStr">
        <is>
          <t>서</t>
        </is>
      </c>
      <c r="G1588" s="31" t="n">
        <v>8</v>
      </c>
      <c r="H1588" s="30" t="n"/>
      <c r="I1588" s="43" t="n"/>
      <c r="J1588" s="41" t="n"/>
      <c r="K1588" s="41" t="n"/>
      <c r="L1588" s="41" t="n"/>
      <c r="M1588" s="31">
        <f>IF(COUNT(J1588:L1588)=0,"",MEDIAN(J1588:L1588))</f>
        <v/>
      </c>
      <c r="N1588" s="26">
        <f>IF(COUNTIFS($C:$C,$C1588,$D:$D,$D1588,$E:$E,"P0(전)",$M:$M,"&gt;0")&lt;&gt;1,"P0(전) 유효 1개 아님",IF(COUNTIFS($C:$C,$C1588,$D:$D,$D1588,$E:$E,"P0(후)",$M:$M,"&gt;0")&lt;&gt;1,"P0(후) 유효 1개 아님",IF(NOT(AND(ISNUMBER(O1588),ISNUMBER(Q1588),ISNUMBER(I1588))),"시각 결측",IF(Q1588&lt;=O1588,"P0 시각 역전",IF(OR(I1588&lt;O1588,I1588&gt;Q1588),"측정시각 구간 밖","OK")))))</f>
        <v/>
      </c>
      <c r="O1588" s="48">
        <f>IF(COUNTIFS($C:$C,$C1588,$D:$D,$D1588,$E:$E,"P0(전)",$M:$M,"&gt;0")&lt;&gt;1,"",SUMIFS($I:$I,$C:$C,$C1588,$D:$D,$D1588,$E:$E,"P0(전)"))</f>
        <v/>
      </c>
      <c r="P1588" s="31">
        <f>IF(COUNTIFS($C:$C,$C1588,$D:$D,$D1588,$E:$E,"P0(전)",$M:$M,"&gt;0")&lt;&gt;1,"",SUMIFS($M:$M,$C:$C,$C1588,$D:$D,$D1588,$E:$E,"P0(전)"))</f>
        <v/>
      </c>
      <c r="Q1588" s="48">
        <f>IF(COUNTIFS($C:$C,$C1588,$D:$D,$D1588,$E:$E,"P0(후)",$M:$M,"&gt;0")&lt;&gt;1,"",SUMIFS($I:$I,$C:$C,$C1588,$D:$D,$D1588,$E:$E,"P0(후)"))</f>
        <v/>
      </c>
      <c r="R1588" s="31">
        <f>IF(COUNTIFS($C:$C,$C1588,$D:$D,$D1588,$E:$E,"P0(후)",$M:$M,"&gt;0")&lt;&gt;1,"",SUMIFS($M:$M,$C:$C,$C1588,$D:$D,$D1588,$E:$E,"P0(후)"))</f>
        <v/>
      </c>
      <c r="S1588" s="31">
        <f>IF(N1588&lt;&gt;"OK","",P1588+(R1588-P1588)*(I1588-O1588)/(Q1588-O1588))</f>
        <v/>
      </c>
      <c r="T1588" s="31">
        <f>IF(OR(N1588&lt;&gt;"OK",NOT(ISNUMBER(M1588))),"",M1588-S1588)</f>
        <v/>
      </c>
      <c r="U1588" s="49">
        <f>IF(OR(NOT(ISNUMBER(T1588)),IF(ISNUMBER(H1588),H1588,G1588)=0),"",T1588/IF(ISNUMBER(H1588),H1588,G1588))</f>
        <v/>
      </c>
      <c r="V1588" s="49">
        <f>IF(ISNUMBER(U1588),ABS(U1588),"")</f>
        <v/>
      </c>
      <c r="W1588" s="49">
        <f>IF(OR($E1587&lt;&gt;"측정",$C1587&lt;&gt;$C1588,$D1587&lt;&gt;$D1588,NOT(ISNUMBER(M1588)),NOT(ISNUMBER(M1587)),(IF(ISNUMBER(H1588),H1588,G1588)-IF(ISNUMBER(H1587),H1587,G1587))=0),"",(M1588-M1587)/(IF(ISNUMBER(H1588),H1588,G1588)-IF(ISNUMBER(H1587),H1587,G1587)))</f>
        <v/>
      </c>
      <c r="X1588" s="31">
        <f>IF(NOT(AND(ISNUMBER(O1588),ISNUMBER(Q1588))),"",(Q1588-O1588)*1440)</f>
        <v/>
      </c>
      <c r="Y1588" s="29" t="n"/>
      <c r="Z1588" s="29" t="n"/>
      <c r="AA1588" s="29" t="n"/>
      <c r="AB1588" s="32" t="n"/>
      <c r="AC1588" s="32" t="n"/>
    </row>
    <row r="1589">
      <c r="A1589" s="26" t="inlineStr">
        <is>
          <t>S31</t>
        </is>
      </c>
      <c r="B1589" s="26" t="inlineStr">
        <is>
          <t>언양 신규점3</t>
        </is>
      </c>
      <c r="C1589" s="26" t="inlineStr">
        <is>
          <t>S31-H서</t>
        </is>
      </c>
      <c r="D1589" s="47" t="n">
        <v>1</v>
      </c>
      <c r="E1589" s="26" t="inlineStr">
        <is>
          <t>측정</t>
        </is>
      </c>
      <c r="F1589" s="26" t="inlineStr">
        <is>
          <t>서</t>
        </is>
      </c>
      <c r="G1589" s="31" t="n">
        <v>9</v>
      </c>
      <c r="H1589" s="30" t="n"/>
      <c r="I1589" s="43" t="n"/>
      <c r="J1589" s="41" t="n"/>
      <c r="K1589" s="41" t="n"/>
      <c r="L1589" s="41" t="n"/>
      <c r="M1589" s="31">
        <f>IF(COUNT(J1589:L1589)=0,"",MEDIAN(J1589:L1589))</f>
        <v/>
      </c>
      <c r="N1589" s="26">
        <f>IF(COUNTIFS($C:$C,$C1589,$D:$D,$D1589,$E:$E,"P0(전)",$M:$M,"&gt;0")&lt;&gt;1,"P0(전) 유효 1개 아님",IF(COUNTIFS($C:$C,$C1589,$D:$D,$D1589,$E:$E,"P0(후)",$M:$M,"&gt;0")&lt;&gt;1,"P0(후) 유효 1개 아님",IF(NOT(AND(ISNUMBER(O1589),ISNUMBER(Q1589),ISNUMBER(I1589))),"시각 결측",IF(Q1589&lt;=O1589,"P0 시각 역전",IF(OR(I1589&lt;O1589,I1589&gt;Q1589),"측정시각 구간 밖","OK")))))</f>
        <v/>
      </c>
      <c r="O1589" s="48">
        <f>IF(COUNTIFS($C:$C,$C1589,$D:$D,$D1589,$E:$E,"P0(전)",$M:$M,"&gt;0")&lt;&gt;1,"",SUMIFS($I:$I,$C:$C,$C1589,$D:$D,$D1589,$E:$E,"P0(전)"))</f>
        <v/>
      </c>
      <c r="P1589" s="31">
        <f>IF(COUNTIFS($C:$C,$C1589,$D:$D,$D1589,$E:$E,"P0(전)",$M:$M,"&gt;0")&lt;&gt;1,"",SUMIFS($M:$M,$C:$C,$C1589,$D:$D,$D1589,$E:$E,"P0(전)"))</f>
        <v/>
      </c>
      <c r="Q1589" s="48">
        <f>IF(COUNTIFS($C:$C,$C1589,$D:$D,$D1589,$E:$E,"P0(후)",$M:$M,"&gt;0")&lt;&gt;1,"",SUMIFS($I:$I,$C:$C,$C1589,$D:$D,$D1589,$E:$E,"P0(후)"))</f>
        <v/>
      </c>
      <c r="R1589" s="31">
        <f>IF(COUNTIFS($C:$C,$C1589,$D:$D,$D1589,$E:$E,"P0(후)",$M:$M,"&gt;0")&lt;&gt;1,"",SUMIFS($M:$M,$C:$C,$C1589,$D:$D,$D1589,$E:$E,"P0(후)"))</f>
        <v/>
      </c>
      <c r="S1589" s="31">
        <f>IF(N1589&lt;&gt;"OK","",P1589+(R1589-P1589)*(I1589-O1589)/(Q1589-O1589))</f>
        <v/>
      </c>
      <c r="T1589" s="31">
        <f>IF(OR(N1589&lt;&gt;"OK",NOT(ISNUMBER(M1589))),"",M1589-S1589)</f>
        <v/>
      </c>
      <c r="U1589" s="49">
        <f>IF(OR(NOT(ISNUMBER(T1589)),IF(ISNUMBER(H1589),H1589,G1589)=0),"",T1589/IF(ISNUMBER(H1589),H1589,G1589))</f>
        <v/>
      </c>
      <c r="V1589" s="49">
        <f>IF(ISNUMBER(U1589),ABS(U1589),"")</f>
        <v/>
      </c>
      <c r="W1589" s="49">
        <f>IF(OR($E1588&lt;&gt;"측정",$C1588&lt;&gt;$C1589,$D1588&lt;&gt;$D1589,NOT(ISNUMBER(M1589)),NOT(ISNUMBER(M1588)),(IF(ISNUMBER(H1589),H1589,G1589)-IF(ISNUMBER(H1588),H1588,G1588))=0),"",(M1589-M1588)/(IF(ISNUMBER(H1589),H1589,G1589)-IF(ISNUMBER(H1588),H1588,G1588)))</f>
        <v/>
      </c>
      <c r="X1589" s="31">
        <f>IF(NOT(AND(ISNUMBER(O1589),ISNUMBER(Q1589))),"",(Q1589-O1589)*1440)</f>
        <v/>
      </c>
      <c r="Y1589" s="29" t="n"/>
      <c r="Z1589" s="29" t="n"/>
      <c r="AA1589" s="29" t="n"/>
      <c r="AB1589" s="32" t="n"/>
      <c r="AC1589" s="32" t="n"/>
    </row>
    <row r="1590">
      <c r="A1590" s="26" t="inlineStr">
        <is>
          <t>S31</t>
        </is>
      </c>
      <c r="B1590" s="26" t="inlineStr">
        <is>
          <t>언양 신규점3</t>
        </is>
      </c>
      <c r="C1590" s="26" t="inlineStr">
        <is>
          <t>S31-H서</t>
        </is>
      </c>
      <c r="D1590" s="47" t="n">
        <v>1</v>
      </c>
      <c r="E1590" s="26" t="inlineStr">
        <is>
          <t>측정</t>
        </is>
      </c>
      <c r="F1590" s="26" t="inlineStr">
        <is>
          <t>서</t>
        </is>
      </c>
      <c r="G1590" s="31" t="n">
        <v>10</v>
      </c>
      <c r="H1590" s="30" t="n"/>
      <c r="I1590" s="43" t="n"/>
      <c r="J1590" s="41" t="n"/>
      <c r="K1590" s="41" t="n"/>
      <c r="L1590" s="41" t="n"/>
      <c r="M1590" s="31">
        <f>IF(COUNT(J1590:L1590)=0,"",MEDIAN(J1590:L1590))</f>
        <v/>
      </c>
      <c r="N1590" s="26">
        <f>IF(COUNTIFS($C:$C,$C1590,$D:$D,$D1590,$E:$E,"P0(전)",$M:$M,"&gt;0")&lt;&gt;1,"P0(전) 유효 1개 아님",IF(COUNTIFS($C:$C,$C1590,$D:$D,$D1590,$E:$E,"P0(후)",$M:$M,"&gt;0")&lt;&gt;1,"P0(후) 유효 1개 아님",IF(NOT(AND(ISNUMBER(O1590),ISNUMBER(Q1590),ISNUMBER(I1590))),"시각 결측",IF(Q1590&lt;=O1590,"P0 시각 역전",IF(OR(I1590&lt;O1590,I1590&gt;Q1590),"측정시각 구간 밖","OK")))))</f>
        <v/>
      </c>
      <c r="O1590" s="48">
        <f>IF(COUNTIFS($C:$C,$C1590,$D:$D,$D1590,$E:$E,"P0(전)",$M:$M,"&gt;0")&lt;&gt;1,"",SUMIFS($I:$I,$C:$C,$C1590,$D:$D,$D1590,$E:$E,"P0(전)"))</f>
        <v/>
      </c>
      <c r="P1590" s="31">
        <f>IF(COUNTIFS($C:$C,$C1590,$D:$D,$D1590,$E:$E,"P0(전)",$M:$M,"&gt;0")&lt;&gt;1,"",SUMIFS($M:$M,$C:$C,$C1590,$D:$D,$D1590,$E:$E,"P0(전)"))</f>
        <v/>
      </c>
      <c r="Q1590" s="48">
        <f>IF(COUNTIFS($C:$C,$C1590,$D:$D,$D1590,$E:$E,"P0(후)",$M:$M,"&gt;0")&lt;&gt;1,"",SUMIFS($I:$I,$C:$C,$C1590,$D:$D,$D1590,$E:$E,"P0(후)"))</f>
        <v/>
      </c>
      <c r="R1590" s="31">
        <f>IF(COUNTIFS($C:$C,$C1590,$D:$D,$D1590,$E:$E,"P0(후)",$M:$M,"&gt;0")&lt;&gt;1,"",SUMIFS($M:$M,$C:$C,$C1590,$D:$D,$D1590,$E:$E,"P0(후)"))</f>
        <v/>
      </c>
      <c r="S1590" s="31">
        <f>IF(N1590&lt;&gt;"OK","",P1590+(R1590-P1590)*(I1590-O1590)/(Q1590-O1590))</f>
        <v/>
      </c>
      <c r="T1590" s="31">
        <f>IF(OR(N1590&lt;&gt;"OK",NOT(ISNUMBER(M1590))),"",M1590-S1590)</f>
        <v/>
      </c>
      <c r="U1590" s="49">
        <f>IF(OR(NOT(ISNUMBER(T1590)),IF(ISNUMBER(H1590),H1590,G1590)=0),"",T1590/IF(ISNUMBER(H1590),H1590,G1590))</f>
        <v/>
      </c>
      <c r="V1590" s="49">
        <f>IF(ISNUMBER(U1590),ABS(U1590),"")</f>
        <v/>
      </c>
      <c r="W1590" s="49">
        <f>IF(OR($E1589&lt;&gt;"측정",$C1589&lt;&gt;$C1590,$D1589&lt;&gt;$D1590,NOT(ISNUMBER(M1590)),NOT(ISNUMBER(M1589)),(IF(ISNUMBER(H1590),H1590,G1590)-IF(ISNUMBER(H1589),H1589,G1589))=0),"",(M1590-M1589)/(IF(ISNUMBER(H1590),H1590,G1590)-IF(ISNUMBER(H1589),H1589,G1589)))</f>
        <v/>
      </c>
      <c r="X1590" s="31">
        <f>IF(NOT(AND(ISNUMBER(O1590),ISNUMBER(Q1590))),"",(Q1590-O1590)*1440)</f>
        <v/>
      </c>
      <c r="Y1590" s="29" t="n"/>
      <c r="Z1590" s="29" t="n"/>
      <c r="AA1590" s="29" t="n"/>
      <c r="AB1590" s="32" t="n"/>
      <c r="AC1590" s="32" t="n"/>
    </row>
    <row r="1591">
      <c r="A1591" s="44" t="inlineStr">
        <is>
          <t>S31</t>
        </is>
      </c>
      <c r="B1591" s="44" t="inlineStr">
        <is>
          <t>언양 신규점3</t>
        </is>
      </c>
      <c r="C1591" s="44" t="inlineStr">
        <is>
          <t>S31-H서</t>
        </is>
      </c>
      <c r="D1591" s="45" t="n">
        <v>1</v>
      </c>
      <c r="E1591" s="44" t="inlineStr">
        <is>
          <t>P0(후)</t>
        </is>
      </c>
      <c r="F1591" s="44" t="inlineStr">
        <is>
          <t>서</t>
        </is>
      </c>
      <c r="G1591" s="46" t="n"/>
      <c r="H1591" s="30" t="n"/>
      <c r="I1591" s="43" t="n"/>
      <c r="J1591" s="41" t="n"/>
      <c r="K1591" s="41" t="n"/>
      <c r="L1591" s="41" t="n"/>
      <c r="M1591" s="31">
        <f>IF(COUNT(J1591:L1591)=0,"",MEDIAN(J1591:L1591))</f>
        <v/>
      </c>
      <c r="N1591" s="38" t="n"/>
      <c r="O1591" s="38" t="n"/>
      <c r="P1591" s="38" t="n"/>
      <c r="Q1591" s="38" t="n"/>
      <c r="R1591" s="38" t="n"/>
      <c r="S1591" s="38" t="n"/>
      <c r="T1591" s="38" t="n"/>
      <c r="U1591" s="38" t="n"/>
      <c r="V1591" s="38" t="n"/>
      <c r="W1591" s="38" t="n"/>
      <c r="X1591" s="38" t="n"/>
      <c r="Y1591" s="29" t="n"/>
      <c r="Z1591" s="29" t="n"/>
      <c r="AA1591" s="29" t="n"/>
      <c r="AB1591" s="32" t="n"/>
      <c r="AC1591" s="32" t="n"/>
    </row>
    <row r="1592">
      <c r="A1592" s="44" t="inlineStr">
        <is>
          <t>S31</t>
        </is>
      </c>
      <c r="B1592" s="44" t="inlineStr">
        <is>
          <t>언양 신규점3</t>
        </is>
      </c>
      <c r="C1592" s="44" t="inlineStr">
        <is>
          <t>S31-H남</t>
        </is>
      </c>
      <c r="D1592" s="45" t="n">
        <v>1</v>
      </c>
      <c r="E1592" s="44" t="inlineStr">
        <is>
          <t>P0(전)</t>
        </is>
      </c>
      <c r="F1592" s="44" t="inlineStr">
        <is>
          <t>남</t>
        </is>
      </c>
      <c r="G1592" s="46" t="n"/>
      <c r="H1592" s="30" t="n"/>
      <c r="I1592" s="43" t="n"/>
      <c r="J1592" s="41" t="n"/>
      <c r="K1592" s="41" t="n"/>
      <c r="L1592" s="41" t="n"/>
      <c r="M1592" s="31">
        <f>IF(COUNT(J1592:L1592)=0,"",MEDIAN(J1592:L1592))</f>
        <v/>
      </c>
      <c r="N1592" s="38" t="n"/>
      <c r="O1592" s="38" t="n"/>
      <c r="P1592" s="38" t="n"/>
      <c r="Q1592" s="38" t="n"/>
      <c r="R1592" s="38" t="n"/>
      <c r="S1592" s="38" t="n"/>
      <c r="T1592" s="38" t="n"/>
      <c r="U1592" s="38" t="n"/>
      <c r="V1592" s="38" t="n"/>
      <c r="W1592" s="38" t="n"/>
      <c r="X1592" s="38" t="n"/>
      <c r="Y1592" s="29" t="n"/>
      <c r="Z1592" s="29" t="n"/>
      <c r="AA1592" s="29" t="n"/>
      <c r="AB1592" s="32" t="n"/>
      <c r="AC1592" s="32" t="n"/>
    </row>
    <row r="1593">
      <c r="A1593" s="26" t="inlineStr">
        <is>
          <t>S31</t>
        </is>
      </c>
      <c r="B1593" s="26" t="inlineStr">
        <is>
          <t>언양 신규점3</t>
        </is>
      </c>
      <c r="C1593" s="26" t="inlineStr">
        <is>
          <t>S31-H남</t>
        </is>
      </c>
      <c r="D1593" s="47" t="n">
        <v>1</v>
      </c>
      <c r="E1593" s="26" t="inlineStr">
        <is>
          <t>측정</t>
        </is>
      </c>
      <c r="F1593" s="26" t="inlineStr">
        <is>
          <t>남</t>
        </is>
      </c>
      <c r="G1593" s="31" t="n">
        <v>0.5</v>
      </c>
      <c r="H1593" s="30" t="n"/>
      <c r="I1593" s="43" t="n"/>
      <c r="J1593" s="41" t="n"/>
      <c r="K1593" s="41" t="n"/>
      <c r="L1593" s="41" t="n"/>
      <c r="M1593" s="31">
        <f>IF(COUNT(J1593:L1593)=0,"",MEDIAN(J1593:L1593))</f>
        <v/>
      </c>
      <c r="N1593" s="26">
        <f>IF(COUNTIFS($C:$C,$C1593,$D:$D,$D1593,$E:$E,"P0(전)",$M:$M,"&gt;0")&lt;&gt;1,"P0(전) 유효 1개 아님",IF(COUNTIFS($C:$C,$C1593,$D:$D,$D1593,$E:$E,"P0(후)",$M:$M,"&gt;0")&lt;&gt;1,"P0(후) 유효 1개 아님",IF(NOT(AND(ISNUMBER(O1593),ISNUMBER(Q1593),ISNUMBER(I1593))),"시각 결측",IF(Q1593&lt;=O1593,"P0 시각 역전",IF(OR(I1593&lt;O1593,I1593&gt;Q1593),"측정시각 구간 밖","OK")))))</f>
        <v/>
      </c>
      <c r="O1593" s="48">
        <f>IF(COUNTIFS($C:$C,$C1593,$D:$D,$D1593,$E:$E,"P0(전)",$M:$M,"&gt;0")&lt;&gt;1,"",SUMIFS($I:$I,$C:$C,$C1593,$D:$D,$D1593,$E:$E,"P0(전)"))</f>
        <v/>
      </c>
      <c r="P1593" s="31">
        <f>IF(COUNTIFS($C:$C,$C1593,$D:$D,$D1593,$E:$E,"P0(전)",$M:$M,"&gt;0")&lt;&gt;1,"",SUMIFS($M:$M,$C:$C,$C1593,$D:$D,$D1593,$E:$E,"P0(전)"))</f>
        <v/>
      </c>
      <c r="Q1593" s="48">
        <f>IF(COUNTIFS($C:$C,$C1593,$D:$D,$D1593,$E:$E,"P0(후)",$M:$M,"&gt;0")&lt;&gt;1,"",SUMIFS($I:$I,$C:$C,$C1593,$D:$D,$D1593,$E:$E,"P0(후)"))</f>
        <v/>
      </c>
      <c r="R1593" s="31">
        <f>IF(COUNTIFS($C:$C,$C1593,$D:$D,$D1593,$E:$E,"P0(후)",$M:$M,"&gt;0")&lt;&gt;1,"",SUMIFS($M:$M,$C:$C,$C1593,$D:$D,$D1593,$E:$E,"P0(후)"))</f>
        <v/>
      </c>
      <c r="S1593" s="31">
        <f>IF(N1593&lt;&gt;"OK","",P1593+(R1593-P1593)*(I1593-O1593)/(Q1593-O1593))</f>
        <v/>
      </c>
      <c r="T1593" s="31">
        <f>IF(OR(N1593&lt;&gt;"OK",NOT(ISNUMBER(M1593))),"",M1593-S1593)</f>
        <v/>
      </c>
      <c r="U1593" s="49">
        <f>IF(OR(NOT(ISNUMBER(T1593)),IF(ISNUMBER(H1593),H1593,G1593)=0),"",T1593/IF(ISNUMBER(H1593),H1593,G1593))</f>
        <v/>
      </c>
      <c r="V1593" s="49">
        <f>IF(ISNUMBER(U1593),ABS(U1593),"")</f>
        <v/>
      </c>
      <c r="W1593" s="49">
        <f>IF(OR($E1592&lt;&gt;"측정",$C1592&lt;&gt;$C1593,$D1592&lt;&gt;$D1593,NOT(ISNUMBER(M1593)),NOT(ISNUMBER(M1592)),(IF(ISNUMBER(H1593),H1593,G1593)-IF(ISNUMBER(H1592),H1592,G1592))=0),"",(M1593-M1592)/(IF(ISNUMBER(H1593),H1593,G1593)-IF(ISNUMBER(H1592),H1592,G1592)))</f>
        <v/>
      </c>
      <c r="X1593" s="31">
        <f>IF(NOT(AND(ISNUMBER(O1593),ISNUMBER(Q1593))),"",(Q1593-O1593)*1440)</f>
        <v/>
      </c>
      <c r="Y1593" s="29" t="n"/>
      <c r="Z1593" s="29" t="n"/>
      <c r="AA1593" s="29" t="n"/>
      <c r="AB1593" s="32" t="n"/>
      <c r="AC1593" s="32" t="n"/>
    </row>
    <row r="1594">
      <c r="A1594" s="26" t="inlineStr">
        <is>
          <t>S31</t>
        </is>
      </c>
      <c r="B1594" s="26" t="inlineStr">
        <is>
          <t>언양 신규점3</t>
        </is>
      </c>
      <c r="C1594" s="26" t="inlineStr">
        <is>
          <t>S31-H남</t>
        </is>
      </c>
      <c r="D1594" s="47" t="n">
        <v>1</v>
      </c>
      <c r="E1594" s="26" t="inlineStr">
        <is>
          <t>측정</t>
        </is>
      </c>
      <c r="F1594" s="26" t="inlineStr">
        <is>
          <t>남</t>
        </is>
      </c>
      <c r="G1594" s="31" t="n">
        <v>1</v>
      </c>
      <c r="H1594" s="30" t="n"/>
      <c r="I1594" s="43" t="n"/>
      <c r="J1594" s="41" t="n"/>
      <c r="K1594" s="41" t="n"/>
      <c r="L1594" s="41" t="n"/>
      <c r="M1594" s="31">
        <f>IF(COUNT(J1594:L1594)=0,"",MEDIAN(J1594:L1594))</f>
        <v/>
      </c>
      <c r="N1594" s="26">
        <f>IF(COUNTIFS($C:$C,$C1594,$D:$D,$D1594,$E:$E,"P0(전)",$M:$M,"&gt;0")&lt;&gt;1,"P0(전) 유효 1개 아님",IF(COUNTIFS($C:$C,$C1594,$D:$D,$D1594,$E:$E,"P0(후)",$M:$M,"&gt;0")&lt;&gt;1,"P0(후) 유효 1개 아님",IF(NOT(AND(ISNUMBER(O1594),ISNUMBER(Q1594),ISNUMBER(I1594))),"시각 결측",IF(Q1594&lt;=O1594,"P0 시각 역전",IF(OR(I1594&lt;O1594,I1594&gt;Q1594),"측정시각 구간 밖","OK")))))</f>
        <v/>
      </c>
      <c r="O1594" s="48">
        <f>IF(COUNTIFS($C:$C,$C1594,$D:$D,$D1594,$E:$E,"P0(전)",$M:$M,"&gt;0")&lt;&gt;1,"",SUMIFS($I:$I,$C:$C,$C1594,$D:$D,$D1594,$E:$E,"P0(전)"))</f>
        <v/>
      </c>
      <c r="P1594" s="31">
        <f>IF(COUNTIFS($C:$C,$C1594,$D:$D,$D1594,$E:$E,"P0(전)",$M:$M,"&gt;0")&lt;&gt;1,"",SUMIFS($M:$M,$C:$C,$C1594,$D:$D,$D1594,$E:$E,"P0(전)"))</f>
        <v/>
      </c>
      <c r="Q1594" s="48">
        <f>IF(COUNTIFS($C:$C,$C1594,$D:$D,$D1594,$E:$E,"P0(후)",$M:$M,"&gt;0")&lt;&gt;1,"",SUMIFS($I:$I,$C:$C,$C1594,$D:$D,$D1594,$E:$E,"P0(후)"))</f>
        <v/>
      </c>
      <c r="R1594" s="31">
        <f>IF(COUNTIFS($C:$C,$C1594,$D:$D,$D1594,$E:$E,"P0(후)",$M:$M,"&gt;0")&lt;&gt;1,"",SUMIFS($M:$M,$C:$C,$C1594,$D:$D,$D1594,$E:$E,"P0(후)"))</f>
        <v/>
      </c>
      <c r="S1594" s="31">
        <f>IF(N1594&lt;&gt;"OK","",P1594+(R1594-P1594)*(I1594-O1594)/(Q1594-O1594))</f>
        <v/>
      </c>
      <c r="T1594" s="31">
        <f>IF(OR(N1594&lt;&gt;"OK",NOT(ISNUMBER(M1594))),"",M1594-S1594)</f>
        <v/>
      </c>
      <c r="U1594" s="49">
        <f>IF(OR(NOT(ISNUMBER(T1594)),IF(ISNUMBER(H1594),H1594,G1594)=0),"",T1594/IF(ISNUMBER(H1594),H1594,G1594))</f>
        <v/>
      </c>
      <c r="V1594" s="49">
        <f>IF(ISNUMBER(U1594),ABS(U1594),"")</f>
        <v/>
      </c>
      <c r="W1594" s="49">
        <f>IF(OR($E1593&lt;&gt;"측정",$C1593&lt;&gt;$C1594,$D1593&lt;&gt;$D1594,NOT(ISNUMBER(M1594)),NOT(ISNUMBER(M1593)),(IF(ISNUMBER(H1594),H1594,G1594)-IF(ISNUMBER(H1593),H1593,G1593))=0),"",(M1594-M1593)/(IF(ISNUMBER(H1594),H1594,G1594)-IF(ISNUMBER(H1593),H1593,G1593)))</f>
        <v/>
      </c>
      <c r="X1594" s="31">
        <f>IF(NOT(AND(ISNUMBER(O1594),ISNUMBER(Q1594))),"",(Q1594-O1594)*1440)</f>
        <v/>
      </c>
      <c r="Y1594" s="29" t="n"/>
      <c r="Z1594" s="29" t="n"/>
      <c r="AA1594" s="29" t="n"/>
      <c r="AB1594" s="32" t="n"/>
      <c r="AC1594" s="32" t="n"/>
    </row>
    <row r="1595">
      <c r="A1595" s="26" t="inlineStr">
        <is>
          <t>S31</t>
        </is>
      </c>
      <c r="B1595" s="26" t="inlineStr">
        <is>
          <t>언양 신규점3</t>
        </is>
      </c>
      <c r="C1595" s="26" t="inlineStr">
        <is>
          <t>S31-H남</t>
        </is>
      </c>
      <c r="D1595" s="47" t="n">
        <v>1</v>
      </c>
      <c r="E1595" s="26" t="inlineStr">
        <is>
          <t>측정</t>
        </is>
      </c>
      <c r="F1595" s="26" t="inlineStr">
        <is>
          <t>남</t>
        </is>
      </c>
      <c r="G1595" s="31" t="n">
        <v>2</v>
      </c>
      <c r="H1595" s="30" t="n"/>
      <c r="I1595" s="43" t="n"/>
      <c r="J1595" s="41" t="n"/>
      <c r="K1595" s="41" t="n"/>
      <c r="L1595" s="41" t="n"/>
      <c r="M1595" s="31">
        <f>IF(COUNT(J1595:L1595)=0,"",MEDIAN(J1595:L1595))</f>
        <v/>
      </c>
      <c r="N1595" s="26">
        <f>IF(COUNTIFS($C:$C,$C1595,$D:$D,$D1595,$E:$E,"P0(전)",$M:$M,"&gt;0")&lt;&gt;1,"P0(전) 유효 1개 아님",IF(COUNTIFS($C:$C,$C1595,$D:$D,$D1595,$E:$E,"P0(후)",$M:$M,"&gt;0")&lt;&gt;1,"P0(후) 유효 1개 아님",IF(NOT(AND(ISNUMBER(O1595),ISNUMBER(Q1595),ISNUMBER(I1595))),"시각 결측",IF(Q1595&lt;=O1595,"P0 시각 역전",IF(OR(I1595&lt;O1595,I1595&gt;Q1595),"측정시각 구간 밖","OK")))))</f>
        <v/>
      </c>
      <c r="O1595" s="48">
        <f>IF(COUNTIFS($C:$C,$C1595,$D:$D,$D1595,$E:$E,"P0(전)",$M:$M,"&gt;0")&lt;&gt;1,"",SUMIFS($I:$I,$C:$C,$C1595,$D:$D,$D1595,$E:$E,"P0(전)"))</f>
        <v/>
      </c>
      <c r="P1595" s="31">
        <f>IF(COUNTIFS($C:$C,$C1595,$D:$D,$D1595,$E:$E,"P0(전)",$M:$M,"&gt;0")&lt;&gt;1,"",SUMIFS($M:$M,$C:$C,$C1595,$D:$D,$D1595,$E:$E,"P0(전)"))</f>
        <v/>
      </c>
      <c r="Q1595" s="48">
        <f>IF(COUNTIFS($C:$C,$C1595,$D:$D,$D1595,$E:$E,"P0(후)",$M:$M,"&gt;0")&lt;&gt;1,"",SUMIFS($I:$I,$C:$C,$C1595,$D:$D,$D1595,$E:$E,"P0(후)"))</f>
        <v/>
      </c>
      <c r="R1595" s="31">
        <f>IF(COUNTIFS($C:$C,$C1595,$D:$D,$D1595,$E:$E,"P0(후)",$M:$M,"&gt;0")&lt;&gt;1,"",SUMIFS($M:$M,$C:$C,$C1595,$D:$D,$D1595,$E:$E,"P0(후)"))</f>
        <v/>
      </c>
      <c r="S1595" s="31">
        <f>IF(N1595&lt;&gt;"OK","",P1595+(R1595-P1595)*(I1595-O1595)/(Q1595-O1595))</f>
        <v/>
      </c>
      <c r="T1595" s="31">
        <f>IF(OR(N1595&lt;&gt;"OK",NOT(ISNUMBER(M1595))),"",M1595-S1595)</f>
        <v/>
      </c>
      <c r="U1595" s="49">
        <f>IF(OR(NOT(ISNUMBER(T1595)),IF(ISNUMBER(H1595),H1595,G1595)=0),"",T1595/IF(ISNUMBER(H1595),H1595,G1595))</f>
        <v/>
      </c>
      <c r="V1595" s="49">
        <f>IF(ISNUMBER(U1595),ABS(U1595),"")</f>
        <v/>
      </c>
      <c r="W1595" s="49">
        <f>IF(OR($E1594&lt;&gt;"측정",$C1594&lt;&gt;$C1595,$D1594&lt;&gt;$D1595,NOT(ISNUMBER(M1595)),NOT(ISNUMBER(M1594)),(IF(ISNUMBER(H1595),H1595,G1595)-IF(ISNUMBER(H1594),H1594,G1594))=0),"",(M1595-M1594)/(IF(ISNUMBER(H1595),H1595,G1595)-IF(ISNUMBER(H1594),H1594,G1594)))</f>
        <v/>
      </c>
      <c r="X1595" s="31">
        <f>IF(NOT(AND(ISNUMBER(O1595),ISNUMBER(Q1595))),"",(Q1595-O1595)*1440)</f>
        <v/>
      </c>
      <c r="Y1595" s="29" t="n"/>
      <c r="Z1595" s="29" t="n"/>
      <c r="AA1595" s="29" t="n"/>
      <c r="AB1595" s="32" t="n"/>
      <c r="AC1595" s="32" t="n"/>
    </row>
    <row r="1596">
      <c r="A1596" s="26" t="inlineStr">
        <is>
          <t>S31</t>
        </is>
      </c>
      <c r="B1596" s="26" t="inlineStr">
        <is>
          <t>언양 신규점3</t>
        </is>
      </c>
      <c r="C1596" s="26" t="inlineStr">
        <is>
          <t>S31-H남</t>
        </is>
      </c>
      <c r="D1596" s="47" t="n">
        <v>1</v>
      </c>
      <c r="E1596" s="26" t="inlineStr">
        <is>
          <t>측정</t>
        </is>
      </c>
      <c r="F1596" s="26" t="inlineStr">
        <is>
          <t>남</t>
        </is>
      </c>
      <c r="G1596" s="31" t="n">
        <v>3</v>
      </c>
      <c r="H1596" s="30" t="n"/>
      <c r="I1596" s="43" t="n"/>
      <c r="J1596" s="41" t="n"/>
      <c r="K1596" s="41" t="n"/>
      <c r="L1596" s="41" t="n"/>
      <c r="M1596" s="31">
        <f>IF(COUNT(J1596:L1596)=0,"",MEDIAN(J1596:L1596))</f>
        <v/>
      </c>
      <c r="N1596" s="26">
        <f>IF(COUNTIFS($C:$C,$C1596,$D:$D,$D1596,$E:$E,"P0(전)",$M:$M,"&gt;0")&lt;&gt;1,"P0(전) 유효 1개 아님",IF(COUNTIFS($C:$C,$C1596,$D:$D,$D1596,$E:$E,"P0(후)",$M:$M,"&gt;0")&lt;&gt;1,"P0(후) 유효 1개 아님",IF(NOT(AND(ISNUMBER(O1596),ISNUMBER(Q1596),ISNUMBER(I1596))),"시각 결측",IF(Q1596&lt;=O1596,"P0 시각 역전",IF(OR(I1596&lt;O1596,I1596&gt;Q1596),"측정시각 구간 밖","OK")))))</f>
        <v/>
      </c>
      <c r="O1596" s="48">
        <f>IF(COUNTIFS($C:$C,$C1596,$D:$D,$D1596,$E:$E,"P0(전)",$M:$M,"&gt;0")&lt;&gt;1,"",SUMIFS($I:$I,$C:$C,$C1596,$D:$D,$D1596,$E:$E,"P0(전)"))</f>
        <v/>
      </c>
      <c r="P1596" s="31">
        <f>IF(COUNTIFS($C:$C,$C1596,$D:$D,$D1596,$E:$E,"P0(전)",$M:$M,"&gt;0")&lt;&gt;1,"",SUMIFS($M:$M,$C:$C,$C1596,$D:$D,$D1596,$E:$E,"P0(전)"))</f>
        <v/>
      </c>
      <c r="Q1596" s="48">
        <f>IF(COUNTIFS($C:$C,$C1596,$D:$D,$D1596,$E:$E,"P0(후)",$M:$M,"&gt;0")&lt;&gt;1,"",SUMIFS($I:$I,$C:$C,$C1596,$D:$D,$D1596,$E:$E,"P0(후)"))</f>
        <v/>
      </c>
      <c r="R1596" s="31">
        <f>IF(COUNTIFS($C:$C,$C1596,$D:$D,$D1596,$E:$E,"P0(후)",$M:$M,"&gt;0")&lt;&gt;1,"",SUMIFS($M:$M,$C:$C,$C1596,$D:$D,$D1596,$E:$E,"P0(후)"))</f>
        <v/>
      </c>
      <c r="S1596" s="31">
        <f>IF(N1596&lt;&gt;"OK","",P1596+(R1596-P1596)*(I1596-O1596)/(Q1596-O1596))</f>
        <v/>
      </c>
      <c r="T1596" s="31">
        <f>IF(OR(N1596&lt;&gt;"OK",NOT(ISNUMBER(M1596))),"",M1596-S1596)</f>
        <v/>
      </c>
      <c r="U1596" s="49">
        <f>IF(OR(NOT(ISNUMBER(T1596)),IF(ISNUMBER(H1596),H1596,G1596)=0),"",T1596/IF(ISNUMBER(H1596),H1596,G1596))</f>
        <v/>
      </c>
      <c r="V1596" s="49">
        <f>IF(ISNUMBER(U1596),ABS(U1596),"")</f>
        <v/>
      </c>
      <c r="W1596" s="49">
        <f>IF(OR($E1595&lt;&gt;"측정",$C1595&lt;&gt;$C1596,$D1595&lt;&gt;$D1596,NOT(ISNUMBER(M1596)),NOT(ISNUMBER(M1595)),(IF(ISNUMBER(H1596),H1596,G1596)-IF(ISNUMBER(H1595),H1595,G1595))=0),"",(M1596-M1595)/(IF(ISNUMBER(H1596),H1596,G1596)-IF(ISNUMBER(H1595),H1595,G1595)))</f>
        <v/>
      </c>
      <c r="X1596" s="31">
        <f>IF(NOT(AND(ISNUMBER(O1596),ISNUMBER(Q1596))),"",(Q1596-O1596)*1440)</f>
        <v/>
      </c>
      <c r="Y1596" s="29" t="n"/>
      <c r="Z1596" s="29" t="n"/>
      <c r="AA1596" s="29" t="n"/>
      <c r="AB1596" s="32" t="n"/>
      <c r="AC1596" s="32" t="n"/>
    </row>
    <row r="1597">
      <c r="A1597" s="26" t="inlineStr">
        <is>
          <t>S31</t>
        </is>
      </c>
      <c r="B1597" s="26" t="inlineStr">
        <is>
          <t>언양 신규점3</t>
        </is>
      </c>
      <c r="C1597" s="26" t="inlineStr">
        <is>
          <t>S31-H남</t>
        </is>
      </c>
      <c r="D1597" s="47" t="n">
        <v>1</v>
      </c>
      <c r="E1597" s="26" t="inlineStr">
        <is>
          <t>측정</t>
        </is>
      </c>
      <c r="F1597" s="26" t="inlineStr">
        <is>
          <t>남</t>
        </is>
      </c>
      <c r="G1597" s="31" t="n">
        <v>4</v>
      </c>
      <c r="H1597" s="30" t="n"/>
      <c r="I1597" s="43" t="n"/>
      <c r="J1597" s="41" t="n"/>
      <c r="K1597" s="41" t="n"/>
      <c r="L1597" s="41" t="n"/>
      <c r="M1597" s="31">
        <f>IF(COUNT(J1597:L1597)=0,"",MEDIAN(J1597:L1597))</f>
        <v/>
      </c>
      <c r="N1597" s="26">
        <f>IF(COUNTIFS($C:$C,$C1597,$D:$D,$D1597,$E:$E,"P0(전)",$M:$M,"&gt;0")&lt;&gt;1,"P0(전) 유효 1개 아님",IF(COUNTIFS($C:$C,$C1597,$D:$D,$D1597,$E:$E,"P0(후)",$M:$M,"&gt;0")&lt;&gt;1,"P0(후) 유효 1개 아님",IF(NOT(AND(ISNUMBER(O1597),ISNUMBER(Q1597),ISNUMBER(I1597))),"시각 결측",IF(Q1597&lt;=O1597,"P0 시각 역전",IF(OR(I1597&lt;O1597,I1597&gt;Q1597),"측정시각 구간 밖","OK")))))</f>
        <v/>
      </c>
      <c r="O1597" s="48">
        <f>IF(COUNTIFS($C:$C,$C1597,$D:$D,$D1597,$E:$E,"P0(전)",$M:$M,"&gt;0")&lt;&gt;1,"",SUMIFS($I:$I,$C:$C,$C1597,$D:$D,$D1597,$E:$E,"P0(전)"))</f>
        <v/>
      </c>
      <c r="P1597" s="31">
        <f>IF(COUNTIFS($C:$C,$C1597,$D:$D,$D1597,$E:$E,"P0(전)",$M:$M,"&gt;0")&lt;&gt;1,"",SUMIFS($M:$M,$C:$C,$C1597,$D:$D,$D1597,$E:$E,"P0(전)"))</f>
        <v/>
      </c>
      <c r="Q1597" s="48">
        <f>IF(COUNTIFS($C:$C,$C1597,$D:$D,$D1597,$E:$E,"P0(후)",$M:$M,"&gt;0")&lt;&gt;1,"",SUMIFS($I:$I,$C:$C,$C1597,$D:$D,$D1597,$E:$E,"P0(후)"))</f>
        <v/>
      </c>
      <c r="R1597" s="31">
        <f>IF(COUNTIFS($C:$C,$C1597,$D:$D,$D1597,$E:$E,"P0(후)",$M:$M,"&gt;0")&lt;&gt;1,"",SUMIFS($M:$M,$C:$C,$C1597,$D:$D,$D1597,$E:$E,"P0(후)"))</f>
        <v/>
      </c>
      <c r="S1597" s="31">
        <f>IF(N1597&lt;&gt;"OK","",P1597+(R1597-P1597)*(I1597-O1597)/(Q1597-O1597))</f>
        <v/>
      </c>
      <c r="T1597" s="31">
        <f>IF(OR(N1597&lt;&gt;"OK",NOT(ISNUMBER(M1597))),"",M1597-S1597)</f>
        <v/>
      </c>
      <c r="U1597" s="49">
        <f>IF(OR(NOT(ISNUMBER(T1597)),IF(ISNUMBER(H1597),H1597,G1597)=0),"",T1597/IF(ISNUMBER(H1597),H1597,G1597))</f>
        <v/>
      </c>
      <c r="V1597" s="49">
        <f>IF(ISNUMBER(U1597),ABS(U1597),"")</f>
        <v/>
      </c>
      <c r="W1597" s="49">
        <f>IF(OR($E1596&lt;&gt;"측정",$C1596&lt;&gt;$C1597,$D1596&lt;&gt;$D1597,NOT(ISNUMBER(M1597)),NOT(ISNUMBER(M1596)),(IF(ISNUMBER(H1597),H1597,G1597)-IF(ISNUMBER(H1596),H1596,G1596))=0),"",(M1597-M1596)/(IF(ISNUMBER(H1597),H1597,G1597)-IF(ISNUMBER(H1596),H1596,G1596)))</f>
        <v/>
      </c>
      <c r="X1597" s="31">
        <f>IF(NOT(AND(ISNUMBER(O1597),ISNUMBER(Q1597))),"",(Q1597-O1597)*1440)</f>
        <v/>
      </c>
      <c r="Y1597" s="29" t="n"/>
      <c r="Z1597" s="29" t="n"/>
      <c r="AA1597" s="29" t="n"/>
      <c r="AB1597" s="32" t="n"/>
      <c r="AC1597" s="32" t="n"/>
    </row>
    <row r="1598">
      <c r="A1598" s="26" t="inlineStr">
        <is>
          <t>S31</t>
        </is>
      </c>
      <c r="B1598" s="26" t="inlineStr">
        <is>
          <t>언양 신규점3</t>
        </is>
      </c>
      <c r="C1598" s="26" t="inlineStr">
        <is>
          <t>S31-H남</t>
        </is>
      </c>
      <c r="D1598" s="47" t="n">
        <v>1</v>
      </c>
      <c r="E1598" s="26" t="inlineStr">
        <is>
          <t>측정</t>
        </is>
      </c>
      <c r="F1598" s="26" t="inlineStr">
        <is>
          <t>남</t>
        </is>
      </c>
      <c r="G1598" s="31" t="n">
        <v>5</v>
      </c>
      <c r="H1598" s="30" t="n"/>
      <c r="I1598" s="43" t="n"/>
      <c r="J1598" s="41" t="n"/>
      <c r="K1598" s="41" t="n"/>
      <c r="L1598" s="41" t="n"/>
      <c r="M1598" s="31">
        <f>IF(COUNT(J1598:L1598)=0,"",MEDIAN(J1598:L1598))</f>
        <v/>
      </c>
      <c r="N1598" s="26">
        <f>IF(COUNTIFS($C:$C,$C1598,$D:$D,$D1598,$E:$E,"P0(전)",$M:$M,"&gt;0")&lt;&gt;1,"P0(전) 유효 1개 아님",IF(COUNTIFS($C:$C,$C1598,$D:$D,$D1598,$E:$E,"P0(후)",$M:$M,"&gt;0")&lt;&gt;1,"P0(후) 유효 1개 아님",IF(NOT(AND(ISNUMBER(O1598),ISNUMBER(Q1598),ISNUMBER(I1598))),"시각 결측",IF(Q1598&lt;=O1598,"P0 시각 역전",IF(OR(I1598&lt;O1598,I1598&gt;Q1598),"측정시각 구간 밖","OK")))))</f>
        <v/>
      </c>
      <c r="O1598" s="48">
        <f>IF(COUNTIFS($C:$C,$C1598,$D:$D,$D1598,$E:$E,"P0(전)",$M:$M,"&gt;0")&lt;&gt;1,"",SUMIFS($I:$I,$C:$C,$C1598,$D:$D,$D1598,$E:$E,"P0(전)"))</f>
        <v/>
      </c>
      <c r="P1598" s="31">
        <f>IF(COUNTIFS($C:$C,$C1598,$D:$D,$D1598,$E:$E,"P0(전)",$M:$M,"&gt;0")&lt;&gt;1,"",SUMIFS($M:$M,$C:$C,$C1598,$D:$D,$D1598,$E:$E,"P0(전)"))</f>
        <v/>
      </c>
      <c r="Q1598" s="48">
        <f>IF(COUNTIFS($C:$C,$C1598,$D:$D,$D1598,$E:$E,"P0(후)",$M:$M,"&gt;0")&lt;&gt;1,"",SUMIFS($I:$I,$C:$C,$C1598,$D:$D,$D1598,$E:$E,"P0(후)"))</f>
        <v/>
      </c>
      <c r="R1598" s="31">
        <f>IF(COUNTIFS($C:$C,$C1598,$D:$D,$D1598,$E:$E,"P0(후)",$M:$M,"&gt;0")&lt;&gt;1,"",SUMIFS($M:$M,$C:$C,$C1598,$D:$D,$D1598,$E:$E,"P0(후)"))</f>
        <v/>
      </c>
      <c r="S1598" s="31">
        <f>IF(N1598&lt;&gt;"OK","",P1598+(R1598-P1598)*(I1598-O1598)/(Q1598-O1598))</f>
        <v/>
      </c>
      <c r="T1598" s="31">
        <f>IF(OR(N1598&lt;&gt;"OK",NOT(ISNUMBER(M1598))),"",M1598-S1598)</f>
        <v/>
      </c>
      <c r="U1598" s="49">
        <f>IF(OR(NOT(ISNUMBER(T1598)),IF(ISNUMBER(H1598),H1598,G1598)=0),"",T1598/IF(ISNUMBER(H1598),H1598,G1598))</f>
        <v/>
      </c>
      <c r="V1598" s="49">
        <f>IF(ISNUMBER(U1598),ABS(U1598),"")</f>
        <v/>
      </c>
      <c r="W1598" s="49">
        <f>IF(OR($E1597&lt;&gt;"측정",$C1597&lt;&gt;$C1598,$D1597&lt;&gt;$D1598,NOT(ISNUMBER(M1598)),NOT(ISNUMBER(M1597)),(IF(ISNUMBER(H1598),H1598,G1598)-IF(ISNUMBER(H1597),H1597,G1597))=0),"",(M1598-M1597)/(IF(ISNUMBER(H1598),H1598,G1598)-IF(ISNUMBER(H1597),H1597,G1597)))</f>
        <v/>
      </c>
      <c r="X1598" s="31">
        <f>IF(NOT(AND(ISNUMBER(O1598),ISNUMBER(Q1598))),"",(Q1598-O1598)*1440)</f>
        <v/>
      </c>
      <c r="Y1598" s="29" t="n"/>
      <c r="Z1598" s="29" t="n"/>
      <c r="AA1598" s="29" t="n"/>
      <c r="AB1598" s="32" t="n"/>
      <c r="AC1598" s="32" t="n"/>
    </row>
    <row r="1599">
      <c r="A1599" s="26" t="inlineStr">
        <is>
          <t>S31</t>
        </is>
      </c>
      <c r="B1599" s="26" t="inlineStr">
        <is>
          <t>언양 신규점3</t>
        </is>
      </c>
      <c r="C1599" s="26" t="inlineStr">
        <is>
          <t>S31-H남</t>
        </is>
      </c>
      <c r="D1599" s="47" t="n">
        <v>1</v>
      </c>
      <c r="E1599" s="26" t="inlineStr">
        <is>
          <t>측정</t>
        </is>
      </c>
      <c r="F1599" s="26" t="inlineStr">
        <is>
          <t>남</t>
        </is>
      </c>
      <c r="G1599" s="31" t="n">
        <v>6</v>
      </c>
      <c r="H1599" s="30" t="n"/>
      <c r="I1599" s="43" t="n"/>
      <c r="J1599" s="41" t="n"/>
      <c r="K1599" s="41" t="n"/>
      <c r="L1599" s="41" t="n"/>
      <c r="M1599" s="31">
        <f>IF(COUNT(J1599:L1599)=0,"",MEDIAN(J1599:L1599))</f>
        <v/>
      </c>
      <c r="N1599" s="26">
        <f>IF(COUNTIFS($C:$C,$C1599,$D:$D,$D1599,$E:$E,"P0(전)",$M:$M,"&gt;0")&lt;&gt;1,"P0(전) 유효 1개 아님",IF(COUNTIFS($C:$C,$C1599,$D:$D,$D1599,$E:$E,"P0(후)",$M:$M,"&gt;0")&lt;&gt;1,"P0(후) 유효 1개 아님",IF(NOT(AND(ISNUMBER(O1599),ISNUMBER(Q1599),ISNUMBER(I1599))),"시각 결측",IF(Q1599&lt;=O1599,"P0 시각 역전",IF(OR(I1599&lt;O1599,I1599&gt;Q1599),"측정시각 구간 밖","OK")))))</f>
        <v/>
      </c>
      <c r="O1599" s="48">
        <f>IF(COUNTIFS($C:$C,$C1599,$D:$D,$D1599,$E:$E,"P0(전)",$M:$M,"&gt;0")&lt;&gt;1,"",SUMIFS($I:$I,$C:$C,$C1599,$D:$D,$D1599,$E:$E,"P0(전)"))</f>
        <v/>
      </c>
      <c r="P1599" s="31">
        <f>IF(COUNTIFS($C:$C,$C1599,$D:$D,$D1599,$E:$E,"P0(전)",$M:$M,"&gt;0")&lt;&gt;1,"",SUMIFS($M:$M,$C:$C,$C1599,$D:$D,$D1599,$E:$E,"P0(전)"))</f>
        <v/>
      </c>
      <c r="Q1599" s="48">
        <f>IF(COUNTIFS($C:$C,$C1599,$D:$D,$D1599,$E:$E,"P0(후)",$M:$M,"&gt;0")&lt;&gt;1,"",SUMIFS($I:$I,$C:$C,$C1599,$D:$D,$D1599,$E:$E,"P0(후)"))</f>
        <v/>
      </c>
      <c r="R1599" s="31">
        <f>IF(COUNTIFS($C:$C,$C1599,$D:$D,$D1599,$E:$E,"P0(후)",$M:$M,"&gt;0")&lt;&gt;1,"",SUMIFS($M:$M,$C:$C,$C1599,$D:$D,$D1599,$E:$E,"P0(후)"))</f>
        <v/>
      </c>
      <c r="S1599" s="31">
        <f>IF(N1599&lt;&gt;"OK","",P1599+(R1599-P1599)*(I1599-O1599)/(Q1599-O1599))</f>
        <v/>
      </c>
      <c r="T1599" s="31">
        <f>IF(OR(N1599&lt;&gt;"OK",NOT(ISNUMBER(M1599))),"",M1599-S1599)</f>
        <v/>
      </c>
      <c r="U1599" s="49">
        <f>IF(OR(NOT(ISNUMBER(T1599)),IF(ISNUMBER(H1599),H1599,G1599)=0),"",T1599/IF(ISNUMBER(H1599),H1599,G1599))</f>
        <v/>
      </c>
      <c r="V1599" s="49">
        <f>IF(ISNUMBER(U1599),ABS(U1599),"")</f>
        <v/>
      </c>
      <c r="W1599" s="49">
        <f>IF(OR($E1598&lt;&gt;"측정",$C1598&lt;&gt;$C1599,$D1598&lt;&gt;$D1599,NOT(ISNUMBER(M1599)),NOT(ISNUMBER(M1598)),(IF(ISNUMBER(H1599),H1599,G1599)-IF(ISNUMBER(H1598),H1598,G1598))=0),"",(M1599-M1598)/(IF(ISNUMBER(H1599),H1599,G1599)-IF(ISNUMBER(H1598),H1598,G1598)))</f>
        <v/>
      </c>
      <c r="X1599" s="31">
        <f>IF(NOT(AND(ISNUMBER(O1599),ISNUMBER(Q1599))),"",(Q1599-O1599)*1440)</f>
        <v/>
      </c>
      <c r="Y1599" s="29" t="n"/>
      <c r="Z1599" s="29" t="n"/>
      <c r="AA1599" s="29" t="n"/>
      <c r="AB1599" s="32" t="n"/>
      <c r="AC1599" s="32" t="n"/>
    </row>
    <row r="1600">
      <c r="A1600" s="26" t="inlineStr">
        <is>
          <t>S31</t>
        </is>
      </c>
      <c r="B1600" s="26" t="inlineStr">
        <is>
          <t>언양 신규점3</t>
        </is>
      </c>
      <c r="C1600" s="26" t="inlineStr">
        <is>
          <t>S31-H남</t>
        </is>
      </c>
      <c r="D1600" s="47" t="n">
        <v>1</v>
      </c>
      <c r="E1600" s="26" t="inlineStr">
        <is>
          <t>측정</t>
        </is>
      </c>
      <c r="F1600" s="26" t="inlineStr">
        <is>
          <t>남</t>
        </is>
      </c>
      <c r="G1600" s="31" t="n">
        <v>7</v>
      </c>
      <c r="H1600" s="30" t="n"/>
      <c r="I1600" s="43" t="n"/>
      <c r="J1600" s="41" t="n"/>
      <c r="K1600" s="41" t="n"/>
      <c r="L1600" s="41" t="n"/>
      <c r="M1600" s="31">
        <f>IF(COUNT(J1600:L1600)=0,"",MEDIAN(J1600:L1600))</f>
        <v/>
      </c>
      <c r="N1600" s="26">
        <f>IF(COUNTIFS($C:$C,$C1600,$D:$D,$D1600,$E:$E,"P0(전)",$M:$M,"&gt;0")&lt;&gt;1,"P0(전) 유효 1개 아님",IF(COUNTIFS($C:$C,$C1600,$D:$D,$D1600,$E:$E,"P0(후)",$M:$M,"&gt;0")&lt;&gt;1,"P0(후) 유효 1개 아님",IF(NOT(AND(ISNUMBER(O1600),ISNUMBER(Q1600),ISNUMBER(I1600))),"시각 결측",IF(Q1600&lt;=O1600,"P0 시각 역전",IF(OR(I1600&lt;O1600,I1600&gt;Q1600),"측정시각 구간 밖","OK")))))</f>
        <v/>
      </c>
      <c r="O1600" s="48">
        <f>IF(COUNTIFS($C:$C,$C1600,$D:$D,$D1600,$E:$E,"P0(전)",$M:$M,"&gt;0")&lt;&gt;1,"",SUMIFS($I:$I,$C:$C,$C1600,$D:$D,$D1600,$E:$E,"P0(전)"))</f>
        <v/>
      </c>
      <c r="P1600" s="31">
        <f>IF(COUNTIFS($C:$C,$C1600,$D:$D,$D1600,$E:$E,"P0(전)",$M:$M,"&gt;0")&lt;&gt;1,"",SUMIFS($M:$M,$C:$C,$C1600,$D:$D,$D1600,$E:$E,"P0(전)"))</f>
        <v/>
      </c>
      <c r="Q1600" s="48">
        <f>IF(COUNTIFS($C:$C,$C1600,$D:$D,$D1600,$E:$E,"P0(후)",$M:$M,"&gt;0")&lt;&gt;1,"",SUMIFS($I:$I,$C:$C,$C1600,$D:$D,$D1600,$E:$E,"P0(후)"))</f>
        <v/>
      </c>
      <c r="R1600" s="31">
        <f>IF(COUNTIFS($C:$C,$C1600,$D:$D,$D1600,$E:$E,"P0(후)",$M:$M,"&gt;0")&lt;&gt;1,"",SUMIFS($M:$M,$C:$C,$C1600,$D:$D,$D1600,$E:$E,"P0(후)"))</f>
        <v/>
      </c>
      <c r="S1600" s="31">
        <f>IF(N1600&lt;&gt;"OK","",P1600+(R1600-P1600)*(I1600-O1600)/(Q1600-O1600))</f>
        <v/>
      </c>
      <c r="T1600" s="31">
        <f>IF(OR(N1600&lt;&gt;"OK",NOT(ISNUMBER(M1600))),"",M1600-S1600)</f>
        <v/>
      </c>
      <c r="U1600" s="49">
        <f>IF(OR(NOT(ISNUMBER(T1600)),IF(ISNUMBER(H1600),H1600,G1600)=0),"",T1600/IF(ISNUMBER(H1600),H1600,G1600))</f>
        <v/>
      </c>
      <c r="V1600" s="49">
        <f>IF(ISNUMBER(U1600),ABS(U1600),"")</f>
        <v/>
      </c>
      <c r="W1600" s="49">
        <f>IF(OR($E1599&lt;&gt;"측정",$C1599&lt;&gt;$C1600,$D1599&lt;&gt;$D1600,NOT(ISNUMBER(M1600)),NOT(ISNUMBER(M1599)),(IF(ISNUMBER(H1600),H1600,G1600)-IF(ISNUMBER(H1599),H1599,G1599))=0),"",(M1600-M1599)/(IF(ISNUMBER(H1600),H1600,G1600)-IF(ISNUMBER(H1599),H1599,G1599)))</f>
        <v/>
      </c>
      <c r="X1600" s="31">
        <f>IF(NOT(AND(ISNUMBER(O1600),ISNUMBER(Q1600))),"",(Q1600-O1600)*1440)</f>
        <v/>
      </c>
      <c r="Y1600" s="29" t="n"/>
      <c r="Z1600" s="29" t="n"/>
      <c r="AA1600" s="29" t="n"/>
      <c r="AB1600" s="32" t="n"/>
      <c r="AC1600" s="32" t="n"/>
    </row>
    <row r="1601">
      <c r="A1601" s="26" t="inlineStr">
        <is>
          <t>S31</t>
        </is>
      </c>
      <c r="B1601" s="26" t="inlineStr">
        <is>
          <t>언양 신규점3</t>
        </is>
      </c>
      <c r="C1601" s="26" t="inlineStr">
        <is>
          <t>S31-H남</t>
        </is>
      </c>
      <c r="D1601" s="47" t="n">
        <v>1</v>
      </c>
      <c r="E1601" s="26" t="inlineStr">
        <is>
          <t>측정</t>
        </is>
      </c>
      <c r="F1601" s="26" t="inlineStr">
        <is>
          <t>남</t>
        </is>
      </c>
      <c r="G1601" s="31" t="n">
        <v>8</v>
      </c>
      <c r="H1601" s="30" t="n"/>
      <c r="I1601" s="43" t="n"/>
      <c r="J1601" s="41" t="n"/>
      <c r="K1601" s="41" t="n"/>
      <c r="L1601" s="41" t="n"/>
      <c r="M1601" s="31">
        <f>IF(COUNT(J1601:L1601)=0,"",MEDIAN(J1601:L1601))</f>
        <v/>
      </c>
      <c r="N1601" s="26">
        <f>IF(COUNTIFS($C:$C,$C1601,$D:$D,$D1601,$E:$E,"P0(전)",$M:$M,"&gt;0")&lt;&gt;1,"P0(전) 유효 1개 아님",IF(COUNTIFS($C:$C,$C1601,$D:$D,$D1601,$E:$E,"P0(후)",$M:$M,"&gt;0")&lt;&gt;1,"P0(후) 유효 1개 아님",IF(NOT(AND(ISNUMBER(O1601),ISNUMBER(Q1601),ISNUMBER(I1601))),"시각 결측",IF(Q1601&lt;=O1601,"P0 시각 역전",IF(OR(I1601&lt;O1601,I1601&gt;Q1601),"측정시각 구간 밖","OK")))))</f>
        <v/>
      </c>
      <c r="O1601" s="48">
        <f>IF(COUNTIFS($C:$C,$C1601,$D:$D,$D1601,$E:$E,"P0(전)",$M:$M,"&gt;0")&lt;&gt;1,"",SUMIFS($I:$I,$C:$C,$C1601,$D:$D,$D1601,$E:$E,"P0(전)"))</f>
        <v/>
      </c>
      <c r="P1601" s="31">
        <f>IF(COUNTIFS($C:$C,$C1601,$D:$D,$D1601,$E:$E,"P0(전)",$M:$M,"&gt;0")&lt;&gt;1,"",SUMIFS($M:$M,$C:$C,$C1601,$D:$D,$D1601,$E:$E,"P0(전)"))</f>
        <v/>
      </c>
      <c r="Q1601" s="48">
        <f>IF(COUNTIFS($C:$C,$C1601,$D:$D,$D1601,$E:$E,"P0(후)",$M:$M,"&gt;0")&lt;&gt;1,"",SUMIFS($I:$I,$C:$C,$C1601,$D:$D,$D1601,$E:$E,"P0(후)"))</f>
        <v/>
      </c>
      <c r="R1601" s="31">
        <f>IF(COUNTIFS($C:$C,$C1601,$D:$D,$D1601,$E:$E,"P0(후)",$M:$M,"&gt;0")&lt;&gt;1,"",SUMIFS($M:$M,$C:$C,$C1601,$D:$D,$D1601,$E:$E,"P0(후)"))</f>
        <v/>
      </c>
      <c r="S1601" s="31">
        <f>IF(N1601&lt;&gt;"OK","",P1601+(R1601-P1601)*(I1601-O1601)/(Q1601-O1601))</f>
        <v/>
      </c>
      <c r="T1601" s="31">
        <f>IF(OR(N1601&lt;&gt;"OK",NOT(ISNUMBER(M1601))),"",M1601-S1601)</f>
        <v/>
      </c>
      <c r="U1601" s="49">
        <f>IF(OR(NOT(ISNUMBER(T1601)),IF(ISNUMBER(H1601),H1601,G1601)=0),"",T1601/IF(ISNUMBER(H1601),H1601,G1601))</f>
        <v/>
      </c>
      <c r="V1601" s="49">
        <f>IF(ISNUMBER(U1601),ABS(U1601),"")</f>
        <v/>
      </c>
      <c r="W1601" s="49">
        <f>IF(OR($E1600&lt;&gt;"측정",$C1600&lt;&gt;$C1601,$D1600&lt;&gt;$D1601,NOT(ISNUMBER(M1601)),NOT(ISNUMBER(M1600)),(IF(ISNUMBER(H1601),H1601,G1601)-IF(ISNUMBER(H1600),H1600,G1600))=0),"",(M1601-M1600)/(IF(ISNUMBER(H1601),H1601,G1601)-IF(ISNUMBER(H1600),H1600,G1600)))</f>
        <v/>
      </c>
      <c r="X1601" s="31">
        <f>IF(NOT(AND(ISNUMBER(O1601),ISNUMBER(Q1601))),"",(Q1601-O1601)*1440)</f>
        <v/>
      </c>
      <c r="Y1601" s="29" t="n"/>
      <c r="Z1601" s="29" t="n"/>
      <c r="AA1601" s="29" t="n"/>
      <c r="AB1601" s="32" t="n"/>
      <c r="AC1601" s="32" t="n"/>
    </row>
    <row r="1602">
      <c r="A1602" s="26" t="inlineStr">
        <is>
          <t>S31</t>
        </is>
      </c>
      <c r="B1602" s="26" t="inlineStr">
        <is>
          <t>언양 신규점3</t>
        </is>
      </c>
      <c r="C1602" s="26" t="inlineStr">
        <is>
          <t>S31-H남</t>
        </is>
      </c>
      <c r="D1602" s="47" t="n">
        <v>1</v>
      </c>
      <c r="E1602" s="26" t="inlineStr">
        <is>
          <t>측정</t>
        </is>
      </c>
      <c r="F1602" s="26" t="inlineStr">
        <is>
          <t>남</t>
        </is>
      </c>
      <c r="G1602" s="31" t="n">
        <v>9</v>
      </c>
      <c r="H1602" s="30" t="n"/>
      <c r="I1602" s="43" t="n"/>
      <c r="J1602" s="41" t="n"/>
      <c r="K1602" s="41" t="n"/>
      <c r="L1602" s="41" t="n"/>
      <c r="M1602" s="31">
        <f>IF(COUNT(J1602:L1602)=0,"",MEDIAN(J1602:L1602))</f>
        <v/>
      </c>
      <c r="N1602" s="26">
        <f>IF(COUNTIFS($C:$C,$C1602,$D:$D,$D1602,$E:$E,"P0(전)",$M:$M,"&gt;0")&lt;&gt;1,"P0(전) 유효 1개 아님",IF(COUNTIFS($C:$C,$C1602,$D:$D,$D1602,$E:$E,"P0(후)",$M:$M,"&gt;0")&lt;&gt;1,"P0(후) 유효 1개 아님",IF(NOT(AND(ISNUMBER(O1602),ISNUMBER(Q1602),ISNUMBER(I1602))),"시각 결측",IF(Q1602&lt;=O1602,"P0 시각 역전",IF(OR(I1602&lt;O1602,I1602&gt;Q1602),"측정시각 구간 밖","OK")))))</f>
        <v/>
      </c>
      <c r="O1602" s="48">
        <f>IF(COUNTIFS($C:$C,$C1602,$D:$D,$D1602,$E:$E,"P0(전)",$M:$M,"&gt;0")&lt;&gt;1,"",SUMIFS($I:$I,$C:$C,$C1602,$D:$D,$D1602,$E:$E,"P0(전)"))</f>
        <v/>
      </c>
      <c r="P1602" s="31">
        <f>IF(COUNTIFS($C:$C,$C1602,$D:$D,$D1602,$E:$E,"P0(전)",$M:$M,"&gt;0")&lt;&gt;1,"",SUMIFS($M:$M,$C:$C,$C1602,$D:$D,$D1602,$E:$E,"P0(전)"))</f>
        <v/>
      </c>
      <c r="Q1602" s="48">
        <f>IF(COUNTIFS($C:$C,$C1602,$D:$D,$D1602,$E:$E,"P0(후)",$M:$M,"&gt;0")&lt;&gt;1,"",SUMIFS($I:$I,$C:$C,$C1602,$D:$D,$D1602,$E:$E,"P0(후)"))</f>
        <v/>
      </c>
      <c r="R1602" s="31">
        <f>IF(COUNTIFS($C:$C,$C1602,$D:$D,$D1602,$E:$E,"P0(후)",$M:$M,"&gt;0")&lt;&gt;1,"",SUMIFS($M:$M,$C:$C,$C1602,$D:$D,$D1602,$E:$E,"P0(후)"))</f>
        <v/>
      </c>
      <c r="S1602" s="31">
        <f>IF(N1602&lt;&gt;"OK","",P1602+(R1602-P1602)*(I1602-O1602)/(Q1602-O1602))</f>
        <v/>
      </c>
      <c r="T1602" s="31">
        <f>IF(OR(N1602&lt;&gt;"OK",NOT(ISNUMBER(M1602))),"",M1602-S1602)</f>
        <v/>
      </c>
      <c r="U1602" s="49">
        <f>IF(OR(NOT(ISNUMBER(T1602)),IF(ISNUMBER(H1602),H1602,G1602)=0),"",T1602/IF(ISNUMBER(H1602),H1602,G1602))</f>
        <v/>
      </c>
      <c r="V1602" s="49">
        <f>IF(ISNUMBER(U1602),ABS(U1602),"")</f>
        <v/>
      </c>
      <c r="W1602" s="49">
        <f>IF(OR($E1601&lt;&gt;"측정",$C1601&lt;&gt;$C1602,$D1601&lt;&gt;$D1602,NOT(ISNUMBER(M1602)),NOT(ISNUMBER(M1601)),(IF(ISNUMBER(H1602),H1602,G1602)-IF(ISNUMBER(H1601),H1601,G1601))=0),"",(M1602-M1601)/(IF(ISNUMBER(H1602),H1602,G1602)-IF(ISNUMBER(H1601),H1601,G1601)))</f>
        <v/>
      </c>
      <c r="X1602" s="31">
        <f>IF(NOT(AND(ISNUMBER(O1602),ISNUMBER(Q1602))),"",(Q1602-O1602)*1440)</f>
        <v/>
      </c>
      <c r="Y1602" s="29" t="n"/>
      <c r="Z1602" s="29" t="n"/>
      <c r="AA1602" s="29" t="n"/>
      <c r="AB1602" s="32" t="n"/>
      <c r="AC1602" s="32" t="n"/>
    </row>
    <row r="1603">
      <c r="A1603" s="26" t="inlineStr">
        <is>
          <t>S31</t>
        </is>
      </c>
      <c r="B1603" s="26" t="inlineStr">
        <is>
          <t>언양 신규점3</t>
        </is>
      </c>
      <c r="C1603" s="26" t="inlineStr">
        <is>
          <t>S31-H남</t>
        </is>
      </c>
      <c r="D1603" s="47" t="n">
        <v>1</v>
      </c>
      <c r="E1603" s="26" t="inlineStr">
        <is>
          <t>측정</t>
        </is>
      </c>
      <c r="F1603" s="26" t="inlineStr">
        <is>
          <t>남</t>
        </is>
      </c>
      <c r="G1603" s="31" t="n">
        <v>10</v>
      </c>
      <c r="H1603" s="30" t="n"/>
      <c r="I1603" s="43" t="n"/>
      <c r="J1603" s="41" t="n"/>
      <c r="K1603" s="41" t="n"/>
      <c r="L1603" s="41" t="n"/>
      <c r="M1603" s="31">
        <f>IF(COUNT(J1603:L1603)=0,"",MEDIAN(J1603:L1603))</f>
        <v/>
      </c>
      <c r="N1603" s="26">
        <f>IF(COUNTIFS($C:$C,$C1603,$D:$D,$D1603,$E:$E,"P0(전)",$M:$M,"&gt;0")&lt;&gt;1,"P0(전) 유효 1개 아님",IF(COUNTIFS($C:$C,$C1603,$D:$D,$D1603,$E:$E,"P0(후)",$M:$M,"&gt;0")&lt;&gt;1,"P0(후) 유효 1개 아님",IF(NOT(AND(ISNUMBER(O1603),ISNUMBER(Q1603),ISNUMBER(I1603))),"시각 결측",IF(Q1603&lt;=O1603,"P0 시각 역전",IF(OR(I1603&lt;O1603,I1603&gt;Q1603),"측정시각 구간 밖","OK")))))</f>
        <v/>
      </c>
      <c r="O1603" s="48">
        <f>IF(COUNTIFS($C:$C,$C1603,$D:$D,$D1603,$E:$E,"P0(전)",$M:$M,"&gt;0")&lt;&gt;1,"",SUMIFS($I:$I,$C:$C,$C1603,$D:$D,$D1603,$E:$E,"P0(전)"))</f>
        <v/>
      </c>
      <c r="P1603" s="31">
        <f>IF(COUNTIFS($C:$C,$C1603,$D:$D,$D1603,$E:$E,"P0(전)",$M:$M,"&gt;0")&lt;&gt;1,"",SUMIFS($M:$M,$C:$C,$C1603,$D:$D,$D1603,$E:$E,"P0(전)"))</f>
        <v/>
      </c>
      <c r="Q1603" s="48">
        <f>IF(COUNTIFS($C:$C,$C1603,$D:$D,$D1603,$E:$E,"P0(후)",$M:$M,"&gt;0")&lt;&gt;1,"",SUMIFS($I:$I,$C:$C,$C1603,$D:$D,$D1603,$E:$E,"P0(후)"))</f>
        <v/>
      </c>
      <c r="R1603" s="31">
        <f>IF(COUNTIFS($C:$C,$C1603,$D:$D,$D1603,$E:$E,"P0(후)",$M:$M,"&gt;0")&lt;&gt;1,"",SUMIFS($M:$M,$C:$C,$C1603,$D:$D,$D1603,$E:$E,"P0(후)"))</f>
        <v/>
      </c>
      <c r="S1603" s="31">
        <f>IF(N1603&lt;&gt;"OK","",P1603+(R1603-P1603)*(I1603-O1603)/(Q1603-O1603))</f>
        <v/>
      </c>
      <c r="T1603" s="31">
        <f>IF(OR(N1603&lt;&gt;"OK",NOT(ISNUMBER(M1603))),"",M1603-S1603)</f>
        <v/>
      </c>
      <c r="U1603" s="49">
        <f>IF(OR(NOT(ISNUMBER(T1603)),IF(ISNUMBER(H1603),H1603,G1603)=0),"",T1603/IF(ISNUMBER(H1603),H1603,G1603))</f>
        <v/>
      </c>
      <c r="V1603" s="49">
        <f>IF(ISNUMBER(U1603),ABS(U1603),"")</f>
        <v/>
      </c>
      <c r="W1603" s="49">
        <f>IF(OR($E1602&lt;&gt;"측정",$C1602&lt;&gt;$C1603,$D1602&lt;&gt;$D1603,NOT(ISNUMBER(M1603)),NOT(ISNUMBER(M1602)),(IF(ISNUMBER(H1603),H1603,G1603)-IF(ISNUMBER(H1602),H1602,G1602))=0),"",(M1603-M1602)/(IF(ISNUMBER(H1603),H1603,G1603)-IF(ISNUMBER(H1602),H1602,G1602)))</f>
        <v/>
      </c>
      <c r="X1603" s="31">
        <f>IF(NOT(AND(ISNUMBER(O1603),ISNUMBER(Q1603))),"",(Q1603-O1603)*1440)</f>
        <v/>
      </c>
      <c r="Y1603" s="29" t="n"/>
      <c r="Z1603" s="29" t="n"/>
      <c r="AA1603" s="29" t="n"/>
      <c r="AB1603" s="32" t="n"/>
      <c r="AC1603" s="32" t="n"/>
    </row>
    <row r="1604">
      <c r="A1604" s="44" t="inlineStr">
        <is>
          <t>S31</t>
        </is>
      </c>
      <c r="B1604" s="44" t="inlineStr">
        <is>
          <t>언양 신규점3</t>
        </is>
      </c>
      <c r="C1604" s="44" t="inlineStr">
        <is>
          <t>S31-H남</t>
        </is>
      </c>
      <c r="D1604" s="45" t="n">
        <v>1</v>
      </c>
      <c r="E1604" s="44" t="inlineStr">
        <is>
          <t>P0(후)</t>
        </is>
      </c>
      <c r="F1604" s="44" t="inlineStr">
        <is>
          <t>남</t>
        </is>
      </c>
      <c r="G1604" s="46" t="n"/>
      <c r="H1604" s="30" t="n"/>
      <c r="I1604" s="43" t="n"/>
      <c r="J1604" s="41" t="n"/>
      <c r="K1604" s="41" t="n"/>
      <c r="L1604" s="41" t="n"/>
      <c r="M1604" s="31">
        <f>IF(COUNT(J1604:L1604)=0,"",MEDIAN(J1604:L1604))</f>
        <v/>
      </c>
      <c r="N1604" s="38" t="n"/>
      <c r="O1604" s="38" t="n"/>
      <c r="P1604" s="38" t="n"/>
      <c r="Q1604" s="38" t="n"/>
      <c r="R1604" s="38" t="n"/>
      <c r="S1604" s="38" t="n"/>
      <c r="T1604" s="38" t="n"/>
      <c r="U1604" s="38" t="n"/>
      <c r="V1604" s="38" t="n"/>
      <c r="W1604" s="38" t="n"/>
      <c r="X1604" s="38" t="n"/>
      <c r="Y1604" s="29" t="n"/>
      <c r="Z1604" s="29" t="n"/>
      <c r="AA1604" s="29" t="n"/>
      <c r="AB1604" s="32" t="n"/>
      <c r="AC1604" s="32" t="n"/>
    </row>
    <row r="1605">
      <c r="A1605" s="44" t="inlineStr">
        <is>
          <t>S31</t>
        </is>
      </c>
      <c r="B1605" s="44" t="inlineStr">
        <is>
          <t>언양 신규점3</t>
        </is>
      </c>
      <c r="C1605" s="44" t="inlineStr">
        <is>
          <t>S31-H북</t>
        </is>
      </c>
      <c r="D1605" s="45" t="n">
        <v>1</v>
      </c>
      <c r="E1605" s="44" t="inlineStr">
        <is>
          <t>P0(전)</t>
        </is>
      </c>
      <c r="F1605" s="44" t="inlineStr">
        <is>
          <t>북</t>
        </is>
      </c>
      <c r="G1605" s="46" t="n"/>
      <c r="H1605" s="30" t="n"/>
      <c r="I1605" s="43" t="n"/>
      <c r="J1605" s="41" t="n"/>
      <c r="K1605" s="41" t="n"/>
      <c r="L1605" s="41" t="n"/>
      <c r="M1605" s="31">
        <f>IF(COUNT(J1605:L1605)=0,"",MEDIAN(J1605:L1605))</f>
        <v/>
      </c>
      <c r="N1605" s="38" t="n"/>
      <c r="O1605" s="38" t="n"/>
      <c r="P1605" s="38" t="n"/>
      <c r="Q1605" s="38" t="n"/>
      <c r="R1605" s="38" t="n"/>
      <c r="S1605" s="38" t="n"/>
      <c r="T1605" s="38" t="n"/>
      <c r="U1605" s="38" t="n"/>
      <c r="V1605" s="38" t="n"/>
      <c r="W1605" s="38" t="n"/>
      <c r="X1605" s="38" t="n"/>
      <c r="Y1605" s="29" t="n"/>
      <c r="Z1605" s="29" t="n"/>
      <c r="AA1605" s="29" t="n"/>
      <c r="AB1605" s="32" t="n"/>
      <c r="AC1605" s="32" t="n"/>
    </row>
    <row r="1606">
      <c r="A1606" s="26" t="inlineStr">
        <is>
          <t>S31</t>
        </is>
      </c>
      <c r="B1606" s="26" t="inlineStr">
        <is>
          <t>언양 신규점3</t>
        </is>
      </c>
      <c r="C1606" s="26" t="inlineStr">
        <is>
          <t>S31-H북</t>
        </is>
      </c>
      <c r="D1606" s="47" t="n">
        <v>1</v>
      </c>
      <c r="E1606" s="26" t="inlineStr">
        <is>
          <t>측정</t>
        </is>
      </c>
      <c r="F1606" s="26" t="inlineStr">
        <is>
          <t>북</t>
        </is>
      </c>
      <c r="G1606" s="31" t="n">
        <v>0.5</v>
      </c>
      <c r="H1606" s="30" t="n"/>
      <c r="I1606" s="43" t="n"/>
      <c r="J1606" s="41" t="n"/>
      <c r="K1606" s="41" t="n"/>
      <c r="L1606" s="41" t="n"/>
      <c r="M1606" s="31">
        <f>IF(COUNT(J1606:L1606)=0,"",MEDIAN(J1606:L1606))</f>
        <v/>
      </c>
      <c r="N1606" s="26">
        <f>IF(COUNTIFS($C:$C,$C1606,$D:$D,$D1606,$E:$E,"P0(전)",$M:$M,"&gt;0")&lt;&gt;1,"P0(전) 유효 1개 아님",IF(COUNTIFS($C:$C,$C1606,$D:$D,$D1606,$E:$E,"P0(후)",$M:$M,"&gt;0")&lt;&gt;1,"P0(후) 유효 1개 아님",IF(NOT(AND(ISNUMBER(O1606),ISNUMBER(Q1606),ISNUMBER(I1606))),"시각 결측",IF(Q1606&lt;=O1606,"P0 시각 역전",IF(OR(I1606&lt;O1606,I1606&gt;Q1606),"측정시각 구간 밖","OK")))))</f>
        <v/>
      </c>
      <c r="O1606" s="48">
        <f>IF(COUNTIFS($C:$C,$C1606,$D:$D,$D1606,$E:$E,"P0(전)",$M:$M,"&gt;0")&lt;&gt;1,"",SUMIFS($I:$I,$C:$C,$C1606,$D:$D,$D1606,$E:$E,"P0(전)"))</f>
        <v/>
      </c>
      <c r="P1606" s="31">
        <f>IF(COUNTIFS($C:$C,$C1606,$D:$D,$D1606,$E:$E,"P0(전)",$M:$M,"&gt;0")&lt;&gt;1,"",SUMIFS($M:$M,$C:$C,$C1606,$D:$D,$D1606,$E:$E,"P0(전)"))</f>
        <v/>
      </c>
      <c r="Q1606" s="48">
        <f>IF(COUNTIFS($C:$C,$C1606,$D:$D,$D1606,$E:$E,"P0(후)",$M:$M,"&gt;0")&lt;&gt;1,"",SUMIFS($I:$I,$C:$C,$C1606,$D:$D,$D1606,$E:$E,"P0(후)"))</f>
        <v/>
      </c>
      <c r="R1606" s="31">
        <f>IF(COUNTIFS($C:$C,$C1606,$D:$D,$D1606,$E:$E,"P0(후)",$M:$M,"&gt;0")&lt;&gt;1,"",SUMIFS($M:$M,$C:$C,$C1606,$D:$D,$D1606,$E:$E,"P0(후)"))</f>
        <v/>
      </c>
      <c r="S1606" s="31">
        <f>IF(N1606&lt;&gt;"OK","",P1606+(R1606-P1606)*(I1606-O1606)/(Q1606-O1606))</f>
        <v/>
      </c>
      <c r="T1606" s="31">
        <f>IF(OR(N1606&lt;&gt;"OK",NOT(ISNUMBER(M1606))),"",M1606-S1606)</f>
        <v/>
      </c>
      <c r="U1606" s="49">
        <f>IF(OR(NOT(ISNUMBER(T1606)),IF(ISNUMBER(H1606),H1606,G1606)=0),"",T1606/IF(ISNUMBER(H1606),H1606,G1606))</f>
        <v/>
      </c>
      <c r="V1606" s="49">
        <f>IF(ISNUMBER(U1606),ABS(U1606),"")</f>
        <v/>
      </c>
      <c r="W1606" s="49">
        <f>IF(OR($E1605&lt;&gt;"측정",$C1605&lt;&gt;$C1606,$D1605&lt;&gt;$D1606,NOT(ISNUMBER(M1606)),NOT(ISNUMBER(M1605)),(IF(ISNUMBER(H1606),H1606,G1606)-IF(ISNUMBER(H1605),H1605,G1605))=0),"",(M1606-M1605)/(IF(ISNUMBER(H1606),H1606,G1606)-IF(ISNUMBER(H1605),H1605,G1605)))</f>
        <v/>
      </c>
      <c r="X1606" s="31">
        <f>IF(NOT(AND(ISNUMBER(O1606),ISNUMBER(Q1606))),"",(Q1606-O1606)*1440)</f>
        <v/>
      </c>
      <c r="Y1606" s="29" t="n"/>
      <c r="Z1606" s="29" t="n"/>
      <c r="AA1606" s="29" t="n"/>
      <c r="AB1606" s="32" t="n"/>
      <c r="AC1606" s="32" t="n"/>
    </row>
    <row r="1607">
      <c r="A1607" s="26" t="inlineStr">
        <is>
          <t>S31</t>
        </is>
      </c>
      <c r="B1607" s="26" t="inlineStr">
        <is>
          <t>언양 신규점3</t>
        </is>
      </c>
      <c r="C1607" s="26" t="inlineStr">
        <is>
          <t>S31-H북</t>
        </is>
      </c>
      <c r="D1607" s="47" t="n">
        <v>1</v>
      </c>
      <c r="E1607" s="26" t="inlineStr">
        <is>
          <t>측정</t>
        </is>
      </c>
      <c r="F1607" s="26" t="inlineStr">
        <is>
          <t>북</t>
        </is>
      </c>
      <c r="G1607" s="31" t="n">
        <v>1</v>
      </c>
      <c r="H1607" s="30" t="n"/>
      <c r="I1607" s="43" t="n"/>
      <c r="J1607" s="41" t="n"/>
      <c r="K1607" s="41" t="n"/>
      <c r="L1607" s="41" t="n"/>
      <c r="M1607" s="31">
        <f>IF(COUNT(J1607:L1607)=0,"",MEDIAN(J1607:L1607))</f>
        <v/>
      </c>
      <c r="N1607" s="26">
        <f>IF(COUNTIFS($C:$C,$C1607,$D:$D,$D1607,$E:$E,"P0(전)",$M:$M,"&gt;0")&lt;&gt;1,"P0(전) 유효 1개 아님",IF(COUNTIFS($C:$C,$C1607,$D:$D,$D1607,$E:$E,"P0(후)",$M:$M,"&gt;0")&lt;&gt;1,"P0(후) 유효 1개 아님",IF(NOT(AND(ISNUMBER(O1607),ISNUMBER(Q1607),ISNUMBER(I1607))),"시각 결측",IF(Q1607&lt;=O1607,"P0 시각 역전",IF(OR(I1607&lt;O1607,I1607&gt;Q1607),"측정시각 구간 밖","OK")))))</f>
        <v/>
      </c>
      <c r="O1607" s="48">
        <f>IF(COUNTIFS($C:$C,$C1607,$D:$D,$D1607,$E:$E,"P0(전)",$M:$M,"&gt;0")&lt;&gt;1,"",SUMIFS($I:$I,$C:$C,$C1607,$D:$D,$D1607,$E:$E,"P0(전)"))</f>
        <v/>
      </c>
      <c r="P1607" s="31">
        <f>IF(COUNTIFS($C:$C,$C1607,$D:$D,$D1607,$E:$E,"P0(전)",$M:$M,"&gt;0")&lt;&gt;1,"",SUMIFS($M:$M,$C:$C,$C1607,$D:$D,$D1607,$E:$E,"P0(전)"))</f>
        <v/>
      </c>
      <c r="Q1607" s="48">
        <f>IF(COUNTIFS($C:$C,$C1607,$D:$D,$D1607,$E:$E,"P0(후)",$M:$M,"&gt;0")&lt;&gt;1,"",SUMIFS($I:$I,$C:$C,$C1607,$D:$D,$D1607,$E:$E,"P0(후)"))</f>
        <v/>
      </c>
      <c r="R1607" s="31">
        <f>IF(COUNTIFS($C:$C,$C1607,$D:$D,$D1607,$E:$E,"P0(후)",$M:$M,"&gt;0")&lt;&gt;1,"",SUMIFS($M:$M,$C:$C,$C1607,$D:$D,$D1607,$E:$E,"P0(후)"))</f>
        <v/>
      </c>
      <c r="S1607" s="31">
        <f>IF(N1607&lt;&gt;"OK","",P1607+(R1607-P1607)*(I1607-O1607)/(Q1607-O1607))</f>
        <v/>
      </c>
      <c r="T1607" s="31">
        <f>IF(OR(N1607&lt;&gt;"OK",NOT(ISNUMBER(M1607))),"",M1607-S1607)</f>
        <v/>
      </c>
      <c r="U1607" s="49">
        <f>IF(OR(NOT(ISNUMBER(T1607)),IF(ISNUMBER(H1607),H1607,G1607)=0),"",T1607/IF(ISNUMBER(H1607),H1607,G1607))</f>
        <v/>
      </c>
      <c r="V1607" s="49">
        <f>IF(ISNUMBER(U1607),ABS(U1607),"")</f>
        <v/>
      </c>
      <c r="W1607" s="49">
        <f>IF(OR($E1606&lt;&gt;"측정",$C1606&lt;&gt;$C1607,$D1606&lt;&gt;$D1607,NOT(ISNUMBER(M1607)),NOT(ISNUMBER(M1606)),(IF(ISNUMBER(H1607),H1607,G1607)-IF(ISNUMBER(H1606),H1606,G1606))=0),"",(M1607-M1606)/(IF(ISNUMBER(H1607),H1607,G1607)-IF(ISNUMBER(H1606),H1606,G1606)))</f>
        <v/>
      </c>
      <c r="X1607" s="31">
        <f>IF(NOT(AND(ISNUMBER(O1607),ISNUMBER(Q1607))),"",(Q1607-O1607)*1440)</f>
        <v/>
      </c>
      <c r="Y1607" s="29" t="n"/>
      <c r="Z1607" s="29" t="n"/>
      <c r="AA1607" s="29" t="n"/>
      <c r="AB1607" s="32" t="n"/>
      <c r="AC1607" s="32" t="n"/>
    </row>
    <row r="1608">
      <c r="A1608" s="26" t="inlineStr">
        <is>
          <t>S31</t>
        </is>
      </c>
      <c r="B1608" s="26" t="inlineStr">
        <is>
          <t>언양 신규점3</t>
        </is>
      </c>
      <c r="C1608" s="26" t="inlineStr">
        <is>
          <t>S31-H북</t>
        </is>
      </c>
      <c r="D1608" s="47" t="n">
        <v>1</v>
      </c>
      <c r="E1608" s="26" t="inlineStr">
        <is>
          <t>측정</t>
        </is>
      </c>
      <c r="F1608" s="26" t="inlineStr">
        <is>
          <t>북</t>
        </is>
      </c>
      <c r="G1608" s="31" t="n">
        <v>2</v>
      </c>
      <c r="H1608" s="30" t="n"/>
      <c r="I1608" s="43" t="n"/>
      <c r="J1608" s="41" t="n"/>
      <c r="K1608" s="41" t="n"/>
      <c r="L1608" s="41" t="n"/>
      <c r="M1608" s="31">
        <f>IF(COUNT(J1608:L1608)=0,"",MEDIAN(J1608:L1608))</f>
        <v/>
      </c>
      <c r="N1608" s="26">
        <f>IF(COUNTIFS($C:$C,$C1608,$D:$D,$D1608,$E:$E,"P0(전)",$M:$M,"&gt;0")&lt;&gt;1,"P0(전) 유효 1개 아님",IF(COUNTIFS($C:$C,$C1608,$D:$D,$D1608,$E:$E,"P0(후)",$M:$M,"&gt;0")&lt;&gt;1,"P0(후) 유효 1개 아님",IF(NOT(AND(ISNUMBER(O1608),ISNUMBER(Q1608),ISNUMBER(I1608))),"시각 결측",IF(Q1608&lt;=O1608,"P0 시각 역전",IF(OR(I1608&lt;O1608,I1608&gt;Q1608),"측정시각 구간 밖","OK")))))</f>
        <v/>
      </c>
      <c r="O1608" s="48">
        <f>IF(COUNTIFS($C:$C,$C1608,$D:$D,$D1608,$E:$E,"P0(전)",$M:$M,"&gt;0")&lt;&gt;1,"",SUMIFS($I:$I,$C:$C,$C1608,$D:$D,$D1608,$E:$E,"P0(전)"))</f>
        <v/>
      </c>
      <c r="P1608" s="31">
        <f>IF(COUNTIFS($C:$C,$C1608,$D:$D,$D1608,$E:$E,"P0(전)",$M:$M,"&gt;0")&lt;&gt;1,"",SUMIFS($M:$M,$C:$C,$C1608,$D:$D,$D1608,$E:$E,"P0(전)"))</f>
        <v/>
      </c>
      <c r="Q1608" s="48">
        <f>IF(COUNTIFS($C:$C,$C1608,$D:$D,$D1608,$E:$E,"P0(후)",$M:$M,"&gt;0")&lt;&gt;1,"",SUMIFS($I:$I,$C:$C,$C1608,$D:$D,$D1608,$E:$E,"P0(후)"))</f>
        <v/>
      </c>
      <c r="R1608" s="31">
        <f>IF(COUNTIFS($C:$C,$C1608,$D:$D,$D1608,$E:$E,"P0(후)",$M:$M,"&gt;0")&lt;&gt;1,"",SUMIFS($M:$M,$C:$C,$C1608,$D:$D,$D1608,$E:$E,"P0(후)"))</f>
        <v/>
      </c>
      <c r="S1608" s="31">
        <f>IF(N1608&lt;&gt;"OK","",P1608+(R1608-P1608)*(I1608-O1608)/(Q1608-O1608))</f>
        <v/>
      </c>
      <c r="T1608" s="31">
        <f>IF(OR(N1608&lt;&gt;"OK",NOT(ISNUMBER(M1608))),"",M1608-S1608)</f>
        <v/>
      </c>
      <c r="U1608" s="49">
        <f>IF(OR(NOT(ISNUMBER(T1608)),IF(ISNUMBER(H1608),H1608,G1608)=0),"",T1608/IF(ISNUMBER(H1608),H1608,G1608))</f>
        <v/>
      </c>
      <c r="V1608" s="49">
        <f>IF(ISNUMBER(U1608),ABS(U1608),"")</f>
        <v/>
      </c>
      <c r="W1608" s="49">
        <f>IF(OR($E1607&lt;&gt;"측정",$C1607&lt;&gt;$C1608,$D1607&lt;&gt;$D1608,NOT(ISNUMBER(M1608)),NOT(ISNUMBER(M1607)),(IF(ISNUMBER(H1608),H1608,G1608)-IF(ISNUMBER(H1607),H1607,G1607))=0),"",(M1608-M1607)/(IF(ISNUMBER(H1608),H1608,G1608)-IF(ISNUMBER(H1607),H1607,G1607)))</f>
        <v/>
      </c>
      <c r="X1608" s="31">
        <f>IF(NOT(AND(ISNUMBER(O1608),ISNUMBER(Q1608))),"",(Q1608-O1608)*1440)</f>
        <v/>
      </c>
      <c r="Y1608" s="29" t="n"/>
      <c r="Z1608" s="29" t="n"/>
      <c r="AA1608" s="29" t="n"/>
      <c r="AB1608" s="32" t="n"/>
      <c r="AC1608" s="32" t="n"/>
    </row>
    <row r="1609">
      <c r="A1609" s="26" t="inlineStr">
        <is>
          <t>S31</t>
        </is>
      </c>
      <c r="B1609" s="26" t="inlineStr">
        <is>
          <t>언양 신규점3</t>
        </is>
      </c>
      <c r="C1609" s="26" t="inlineStr">
        <is>
          <t>S31-H북</t>
        </is>
      </c>
      <c r="D1609" s="47" t="n">
        <v>1</v>
      </c>
      <c r="E1609" s="26" t="inlineStr">
        <is>
          <t>측정</t>
        </is>
      </c>
      <c r="F1609" s="26" t="inlineStr">
        <is>
          <t>북</t>
        </is>
      </c>
      <c r="G1609" s="31" t="n">
        <v>3</v>
      </c>
      <c r="H1609" s="30" t="n"/>
      <c r="I1609" s="43" t="n"/>
      <c r="J1609" s="41" t="n"/>
      <c r="K1609" s="41" t="n"/>
      <c r="L1609" s="41" t="n"/>
      <c r="M1609" s="31">
        <f>IF(COUNT(J1609:L1609)=0,"",MEDIAN(J1609:L1609))</f>
        <v/>
      </c>
      <c r="N1609" s="26">
        <f>IF(COUNTIFS($C:$C,$C1609,$D:$D,$D1609,$E:$E,"P0(전)",$M:$M,"&gt;0")&lt;&gt;1,"P0(전) 유효 1개 아님",IF(COUNTIFS($C:$C,$C1609,$D:$D,$D1609,$E:$E,"P0(후)",$M:$M,"&gt;0")&lt;&gt;1,"P0(후) 유효 1개 아님",IF(NOT(AND(ISNUMBER(O1609),ISNUMBER(Q1609),ISNUMBER(I1609))),"시각 결측",IF(Q1609&lt;=O1609,"P0 시각 역전",IF(OR(I1609&lt;O1609,I1609&gt;Q1609),"측정시각 구간 밖","OK")))))</f>
        <v/>
      </c>
      <c r="O1609" s="48">
        <f>IF(COUNTIFS($C:$C,$C1609,$D:$D,$D1609,$E:$E,"P0(전)",$M:$M,"&gt;0")&lt;&gt;1,"",SUMIFS($I:$I,$C:$C,$C1609,$D:$D,$D1609,$E:$E,"P0(전)"))</f>
        <v/>
      </c>
      <c r="P1609" s="31">
        <f>IF(COUNTIFS($C:$C,$C1609,$D:$D,$D1609,$E:$E,"P0(전)",$M:$M,"&gt;0")&lt;&gt;1,"",SUMIFS($M:$M,$C:$C,$C1609,$D:$D,$D1609,$E:$E,"P0(전)"))</f>
        <v/>
      </c>
      <c r="Q1609" s="48">
        <f>IF(COUNTIFS($C:$C,$C1609,$D:$D,$D1609,$E:$E,"P0(후)",$M:$M,"&gt;0")&lt;&gt;1,"",SUMIFS($I:$I,$C:$C,$C1609,$D:$D,$D1609,$E:$E,"P0(후)"))</f>
        <v/>
      </c>
      <c r="R1609" s="31">
        <f>IF(COUNTIFS($C:$C,$C1609,$D:$D,$D1609,$E:$E,"P0(후)",$M:$M,"&gt;0")&lt;&gt;1,"",SUMIFS($M:$M,$C:$C,$C1609,$D:$D,$D1609,$E:$E,"P0(후)"))</f>
        <v/>
      </c>
      <c r="S1609" s="31">
        <f>IF(N1609&lt;&gt;"OK","",P1609+(R1609-P1609)*(I1609-O1609)/(Q1609-O1609))</f>
        <v/>
      </c>
      <c r="T1609" s="31">
        <f>IF(OR(N1609&lt;&gt;"OK",NOT(ISNUMBER(M1609))),"",M1609-S1609)</f>
        <v/>
      </c>
      <c r="U1609" s="49">
        <f>IF(OR(NOT(ISNUMBER(T1609)),IF(ISNUMBER(H1609),H1609,G1609)=0),"",T1609/IF(ISNUMBER(H1609),H1609,G1609))</f>
        <v/>
      </c>
      <c r="V1609" s="49">
        <f>IF(ISNUMBER(U1609),ABS(U1609),"")</f>
        <v/>
      </c>
      <c r="W1609" s="49">
        <f>IF(OR($E1608&lt;&gt;"측정",$C1608&lt;&gt;$C1609,$D1608&lt;&gt;$D1609,NOT(ISNUMBER(M1609)),NOT(ISNUMBER(M1608)),(IF(ISNUMBER(H1609),H1609,G1609)-IF(ISNUMBER(H1608),H1608,G1608))=0),"",(M1609-M1608)/(IF(ISNUMBER(H1609),H1609,G1609)-IF(ISNUMBER(H1608),H1608,G1608)))</f>
        <v/>
      </c>
      <c r="X1609" s="31">
        <f>IF(NOT(AND(ISNUMBER(O1609),ISNUMBER(Q1609))),"",(Q1609-O1609)*1440)</f>
        <v/>
      </c>
      <c r="Y1609" s="29" t="n"/>
      <c r="Z1609" s="29" t="n"/>
      <c r="AA1609" s="29" t="n"/>
      <c r="AB1609" s="32" t="n"/>
      <c r="AC1609" s="32" t="n"/>
    </row>
    <row r="1610">
      <c r="A1610" s="26" t="inlineStr">
        <is>
          <t>S31</t>
        </is>
      </c>
      <c r="B1610" s="26" t="inlineStr">
        <is>
          <t>언양 신규점3</t>
        </is>
      </c>
      <c r="C1610" s="26" t="inlineStr">
        <is>
          <t>S31-H북</t>
        </is>
      </c>
      <c r="D1610" s="47" t="n">
        <v>1</v>
      </c>
      <c r="E1610" s="26" t="inlineStr">
        <is>
          <t>측정</t>
        </is>
      </c>
      <c r="F1610" s="26" t="inlineStr">
        <is>
          <t>북</t>
        </is>
      </c>
      <c r="G1610" s="31" t="n">
        <v>4</v>
      </c>
      <c r="H1610" s="30" t="n"/>
      <c r="I1610" s="43" t="n"/>
      <c r="J1610" s="41" t="n"/>
      <c r="K1610" s="41" t="n"/>
      <c r="L1610" s="41" t="n"/>
      <c r="M1610" s="31">
        <f>IF(COUNT(J1610:L1610)=0,"",MEDIAN(J1610:L1610))</f>
        <v/>
      </c>
      <c r="N1610" s="26">
        <f>IF(COUNTIFS($C:$C,$C1610,$D:$D,$D1610,$E:$E,"P0(전)",$M:$M,"&gt;0")&lt;&gt;1,"P0(전) 유효 1개 아님",IF(COUNTIFS($C:$C,$C1610,$D:$D,$D1610,$E:$E,"P0(후)",$M:$M,"&gt;0")&lt;&gt;1,"P0(후) 유효 1개 아님",IF(NOT(AND(ISNUMBER(O1610),ISNUMBER(Q1610),ISNUMBER(I1610))),"시각 결측",IF(Q1610&lt;=O1610,"P0 시각 역전",IF(OR(I1610&lt;O1610,I1610&gt;Q1610),"측정시각 구간 밖","OK")))))</f>
        <v/>
      </c>
      <c r="O1610" s="48">
        <f>IF(COUNTIFS($C:$C,$C1610,$D:$D,$D1610,$E:$E,"P0(전)",$M:$M,"&gt;0")&lt;&gt;1,"",SUMIFS($I:$I,$C:$C,$C1610,$D:$D,$D1610,$E:$E,"P0(전)"))</f>
        <v/>
      </c>
      <c r="P1610" s="31">
        <f>IF(COUNTIFS($C:$C,$C1610,$D:$D,$D1610,$E:$E,"P0(전)",$M:$M,"&gt;0")&lt;&gt;1,"",SUMIFS($M:$M,$C:$C,$C1610,$D:$D,$D1610,$E:$E,"P0(전)"))</f>
        <v/>
      </c>
      <c r="Q1610" s="48">
        <f>IF(COUNTIFS($C:$C,$C1610,$D:$D,$D1610,$E:$E,"P0(후)",$M:$M,"&gt;0")&lt;&gt;1,"",SUMIFS($I:$I,$C:$C,$C1610,$D:$D,$D1610,$E:$E,"P0(후)"))</f>
        <v/>
      </c>
      <c r="R1610" s="31">
        <f>IF(COUNTIFS($C:$C,$C1610,$D:$D,$D1610,$E:$E,"P0(후)",$M:$M,"&gt;0")&lt;&gt;1,"",SUMIFS($M:$M,$C:$C,$C1610,$D:$D,$D1610,$E:$E,"P0(후)"))</f>
        <v/>
      </c>
      <c r="S1610" s="31">
        <f>IF(N1610&lt;&gt;"OK","",P1610+(R1610-P1610)*(I1610-O1610)/(Q1610-O1610))</f>
        <v/>
      </c>
      <c r="T1610" s="31">
        <f>IF(OR(N1610&lt;&gt;"OK",NOT(ISNUMBER(M1610))),"",M1610-S1610)</f>
        <v/>
      </c>
      <c r="U1610" s="49">
        <f>IF(OR(NOT(ISNUMBER(T1610)),IF(ISNUMBER(H1610),H1610,G1610)=0),"",T1610/IF(ISNUMBER(H1610),H1610,G1610))</f>
        <v/>
      </c>
      <c r="V1610" s="49">
        <f>IF(ISNUMBER(U1610),ABS(U1610),"")</f>
        <v/>
      </c>
      <c r="W1610" s="49">
        <f>IF(OR($E1609&lt;&gt;"측정",$C1609&lt;&gt;$C1610,$D1609&lt;&gt;$D1610,NOT(ISNUMBER(M1610)),NOT(ISNUMBER(M1609)),(IF(ISNUMBER(H1610),H1610,G1610)-IF(ISNUMBER(H1609),H1609,G1609))=0),"",(M1610-M1609)/(IF(ISNUMBER(H1610),H1610,G1610)-IF(ISNUMBER(H1609),H1609,G1609)))</f>
        <v/>
      </c>
      <c r="X1610" s="31">
        <f>IF(NOT(AND(ISNUMBER(O1610),ISNUMBER(Q1610))),"",(Q1610-O1610)*1440)</f>
        <v/>
      </c>
      <c r="Y1610" s="29" t="n"/>
      <c r="Z1610" s="29" t="n"/>
      <c r="AA1610" s="29" t="n"/>
      <c r="AB1610" s="32" t="n"/>
      <c r="AC1610" s="32" t="n"/>
    </row>
    <row r="1611">
      <c r="A1611" s="26" t="inlineStr">
        <is>
          <t>S31</t>
        </is>
      </c>
      <c r="B1611" s="26" t="inlineStr">
        <is>
          <t>언양 신규점3</t>
        </is>
      </c>
      <c r="C1611" s="26" t="inlineStr">
        <is>
          <t>S31-H북</t>
        </is>
      </c>
      <c r="D1611" s="47" t="n">
        <v>1</v>
      </c>
      <c r="E1611" s="26" t="inlineStr">
        <is>
          <t>측정</t>
        </is>
      </c>
      <c r="F1611" s="26" t="inlineStr">
        <is>
          <t>북</t>
        </is>
      </c>
      <c r="G1611" s="31" t="n">
        <v>5</v>
      </c>
      <c r="H1611" s="30" t="n"/>
      <c r="I1611" s="43" t="n"/>
      <c r="J1611" s="41" t="n"/>
      <c r="K1611" s="41" t="n"/>
      <c r="L1611" s="41" t="n"/>
      <c r="M1611" s="31">
        <f>IF(COUNT(J1611:L1611)=0,"",MEDIAN(J1611:L1611))</f>
        <v/>
      </c>
      <c r="N1611" s="26">
        <f>IF(COUNTIFS($C:$C,$C1611,$D:$D,$D1611,$E:$E,"P0(전)",$M:$M,"&gt;0")&lt;&gt;1,"P0(전) 유효 1개 아님",IF(COUNTIFS($C:$C,$C1611,$D:$D,$D1611,$E:$E,"P0(후)",$M:$M,"&gt;0")&lt;&gt;1,"P0(후) 유효 1개 아님",IF(NOT(AND(ISNUMBER(O1611),ISNUMBER(Q1611),ISNUMBER(I1611))),"시각 결측",IF(Q1611&lt;=O1611,"P0 시각 역전",IF(OR(I1611&lt;O1611,I1611&gt;Q1611),"측정시각 구간 밖","OK")))))</f>
        <v/>
      </c>
      <c r="O1611" s="48">
        <f>IF(COUNTIFS($C:$C,$C1611,$D:$D,$D1611,$E:$E,"P0(전)",$M:$M,"&gt;0")&lt;&gt;1,"",SUMIFS($I:$I,$C:$C,$C1611,$D:$D,$D1611,$E:$E,"P0(전)"))</f>
        <v/>
      </c>
      <c r="P1611" s="31">
        <f>IF(COUNTIFS($C:$C,$C1611,$D:$D,$D1611,$E:$E,"P0(전)",$M:$M,"&gt;0")&lt;&gt;1,"",SUMIFS($M:$M,$C:$C,$C1611,$D:$D,$D1611,$E:$E,"P0(전)"))</f>
        <v/>
      </c>
      <c r="Q1611" s="48">
        <f>IF(COUNTIFS($C:$C,$C1611,$D:$D,$D1611,$E:$E,"P0(후)",$M:$M,"&gt;0")&lt;&gt;1,"",SUMIFS($I:$I,$C:$C,$C1611,$D:$D,$D1611,$E:$E,"P0(후)"))</f>
        <v/>
      </c>
      <c r="R1611" s="31">
        <f>IF(COUNTIFS($C:$C,$C1611,$D:$D,$D1611,$E:$E,"P0(후)",$M:$M,"&gt;0")&lt;&gt;1,"",SUMIFS($M:$M,$C:$C,$C1611,$D:$D,$D1611,$E:$E,"P0(후)"))</f>
        <v/>
      </c>
      <c r="S1611" s="31">
        <f>IF(N1611&lt;&gt;"OK","",P1611+(R1611-P1611)*(I1611-O1611)/(Q1611-O1611))</f>
        <v/>
      </c>
      <c r="T1611" s="31">
        <f>IF(OR(N1611&lt;&gt;"OK",NOT(ISNUMBER(M1611))),"",M1611-S1611)</f>
        <v/>
      </c>
      <c r="U1611" s="49">
        <f>IF(OR(NOT(ISNUMBER(T1611)),IF(ISNUMBER(H1611),H1611,G1611)=0),"",T1611/IF(ISNUMBER(H1611),H1611,G1611))</f>
        <v/>
      </c>
      <c r="V1611" s="49">
        <f>IF(ISNUMBER(U1611),ABS(U1611),"")</f>
        <v/>
      </c>
      <c r="W1611" s="49">
        <f>IF(OR($E1610&lt;&gt;"측정",$C1610&lt;&gt;$C1611,$D1610&lt;&gt;$D1611,NOT(ISNUMBER(M1611)),NOT(ISNUMBER(M1610)),(IF(ISNUMBER(H1611),H1611,G1611)-IF(ISNUMBER(H1610),H1610,G1610))=0),"",(M1611-M1610)/(IF(ISNUMBER(H1611),H1611,G1611)-IF(ISNUMBER(H1610),H1610,G1610)))</f>
        <v/>
      </c>
      <c r="X1611" s="31">
        <f>IF(NOT(AND(ISNUMBER(O1611),ISNUMBER(Q1611))),"",(Q1611-O1611)*1440)</f>
        <v/>
      </c>
      <c r="Y1611" s="29" t="n"/>
      <c r="Z1611" s="29" t="n"/>
      <c r="AA1611" s="29" t="n"/>
      <c r="AB1611" s="32" t="n"/>
      <c r="AC1611" s="32" t="n"/>
    </row>
    <row r="1612">
      <c r="A1612" s="26" t="inlineStr">
        <is>
          <t>S31</t>
        </is>
      </c>
      <c r="B1612" s="26" t="inlineStr">
        <is>
          <t>언양 신규점3</t>
        </is>
      </c>
      <c r="C1612" s="26" t="inlineStr">
        <is>
          <t>S31-H북</t>
        </is>
      </c>
      <c r="D1612" s="47" t="n">
        <v>1</v>
      </c>
      <c r="E1612" s="26" t="inlineStr">
        <is>
          <t>측정</t>
        </is>
      </c>
      <c r="F1612" s="26" t="inlineStr">
        <is>
          <t>북</t>
        </is>
      </c>
      <c r="G1612" s="31" t="n">
        <v>6</v>
      </c>
      <c r="H1612" s="30" t="n"/>
      <c r="I1612" s="43" t="n"/>
      <c r="J1612" s="41" t="n"/>
      <c r="K1612" s="41" t="n"/>
      <c r="L1612" s="41" t="n"/>
      <c r="M1612" s="31">
        <f>IF(COUNT(J1612:L1612)=0,"",MEDIAN(J1612:L1612))</f>
        <v/>
      </c>
      <c r="N1612" s="26">
        <f>IF(COUNTIFS($C:$C,$C1612,$D:$D,$D1612,$E:$E,"P0(전)",$M:$M,"&gt;0")&lt;&gt;1,"P0(전) 유효 1개 아님",IF(COUNTIFS($C:$C,$C1612,$D:$D,$D1612,$E:$E,"P0(후)",$M:$M,"&gt;0")&lt;&gt;1,"P0(후) 유효 1개 아님",IF(NOT(AND(ISNUMBER(O1612),ISNUMBER(Q1612),ISNUMBER(I1612))),"시각 결측",IF(Q1612&lt;=O1612,"P0 시각 역전",IF(OR(I1612&lt;O1612,I1612&gt;Q1612),"측정시각 구간 밖","OK")))))</f>
        <v/>
      </c>
      <c r="O1612" s="48">
        <f>IF(COUNTIFS($C:$C,$C1612,$D:$D,$D1612,$E:$E,"P0(전)",$M:$M,"&gt;0")&lt;&gt;1,"",SUMIFS($I:$I,$C:$C,$C1612,$D:$D,$D1612,$E:$E,"P0(전)"))</f>
        <v/>
      </c>
      <c r="P1612" s="31">
        <f>IF(COUNTIFS($C:$C,$C1612,$D:$D,$D1612,$E:$E,"P0(전)",$M:$M,"&gt;0")&lt;&gt;1,"",SUMIFS($M:$M,$C:$C,$C1612,$D:$D,$D1612,$E:$E,"P0(전)"))</f>
        <v/>
      </c>
      <c r="Q1612" s="48">
        <f>IF(COUNTIFS($C:$C,$C1612,$D:$D,$D1612,$E:$E,"P0(후)",$M:$M,"&gt;0")&lt;&gt;1,"",SUMIFS($I:$I,$C:$C,$C1612,$D:$D,$D1612,$E:$E,"P0(후)"))</f>
        <v/>
      </c>
      <c r="R1612" s="31">
        <f>IF(COUNTIFS($C:$C,$C1612,$D:$D,$D1612,$E:$E,"P0(후)",$M:$M,"&gt;0")&lt;&gt;1,"",SUMIFS($M:$M,$C:$C,$C1612,$D:$D,$D1612,$E:$E,"P0(후)"))</f>
        <v/>
      </c>
      <c r="S1612" s="31">
        <f>IF(N1612&lt;&gt;"OK","",P1612+(R1612-P1612)*(I1612-O1612)/(Q1612-O1612))</f>
        <v/>
      </c>
      <c r="T1612" s="31">
        <f>IF(OR(N1612&lt;&gt;"OK",NOT(ISNUMBER(M1612))),"",M1612-S1612)</f>
        <v/>
      </c>
      <c r="U1612" s="49">
        <f>IF(OR(NOT(ISNUMBER(T1612)),IF(ISNUMBER(H1612),H1612,G1612)=0),"",T1612/IF(ISNUMBER(H1612),H1612,G1612))</f>
        <v/>
      </c>
      <c r="V1612" s="49">
        <f>IF(ISNUMBER(U1612),ABS(U1612),"")</f>
        <v/>
      </c>
      <c r="W1612" s="49">
        <f>IF(OR($E1611&lt;&gt;"측정",$C1611&lt;&gt;$C1612,$D1611&lt;&gt;$D1612,NOT(ISNUMBER(M1612)),NOT(ISNUMBER(M1611)),(IF(ISNUMBER(H1612),H1612,G1612)-IF(ISNUMBER(H1611),H1611,G1611))=0),"",(M1612-M1611)/(IF(ISNUMBER(H1612),H1612,G1612)-IF(ISNUMBER(H1611),H1611,G1611)))</f>
        <v/>
      </c>
      <c r="X1612" s="31">
        <f>IF(NOT(AND(ISNUMBER(O1612),ISNUMBER(Q1612))),"",(Q1612-O1612)*1440)</f>
        <v/>
      </c>
      <c r="Y1612" s="29" t="n"/>
      <c r="Z1612" s="29" t="n"/>
      <c r="AA1612" s="29" t="n"/>
      <c r="AB1612" s="32" t="n"/>
      <c r="AC1612" s="32" t="n"/>
    </row>
    <row r="1613">
      <c r="A1613" s="26" t="inlineStr">
        <is>
          <t>S31</t>
        </is>
      </c>
      <c r="B1613" s="26" t="inlineStr">
        <is>
          <t>언양 신규점3</t>
        </is>
      </c>
      <c r="C1613" s="26" t="inlineStr">
        <is>
          <t>S31-H북</t>
        </is>
      </c>
      <c r="D1613" s="47" t="n">
        <v>1</v>
      </c>
      <c r="E1613" s="26" t="inlineStr">
        <is>
          <t>측정</t>
        </is>
      </c>
      <c r="F1613" s="26" t="inlineStr">
        <is>
          <t>북</t>
        </is>
      </c>
      <c r="G1613" s="31" t="n">
        <v>7</v>
      </c>
      <c r="H1613" s="30" t="n"/>
      <c r="I1613" s="43" t="n"/>
      <c r="J1613" s="41" t="n"/>
      <c r="K1613" s="41" t="n"/>
      <c r="L1613" s="41" t="n"/>
      <c r="M1613" s="31">
        <f>IF(COUNT(J1613:L1613)=0,"",MEDIAN(J1613:L1613))</f>
        <v/>
      </c>
      <c r="N1613" s="26">
        <f>IF(COUNTIFS($C:$C,$C1613,$D:$D,$D1613,$E:$E,"P0(전)",$M:$M,"&gt;0")&lt;&gt;1,"P0(전) 유효 1개 아님",IF(COUNTIFS($C:$C,$C1613,$D:$D,$D1613,$E:$E,"P0(후)",$M:$M,"&gt;0")&lt;&gt;1,"P0(후) 유효 1개 아님",IF(NOT(AND(ISNUMBER(O1613),ISNUMBER(Q1613),ISNUMBER(I1613))),"시각 결측",IF(Q1613&lt;=O1613,"P0 시각 역전",IF(OR(I1613&lt;O1613,I1613&gt;Q1613),"측정시각 구간 밖","OK")))))</f>
        <v/>
      </c>
      <c r="O1613" s="48">
        <f>IF(COUNTIFS($C:$C,$C1613,$D:$D,$D1613,$E:$E,"P0(전)",$M:$M,"&gt;0")&lt;&gt;1,"",SUMIFS($I:$I,$C:$C,$C1613,$D:$D,$D1613,$E:$E,"P0(전)"))</f>
        <v/>
      </c>
      <c r="P1613" s="31">
        <f>IF(COUNTIFS($C:$C,$C1613,$D:$D,$D1613,$E:$E,"P0(전)",$M:$M,"&gt;0")&lt;&gt;1,"",SUMIFS($M:$M,$C:$C,$C1613,$D:$D,$D1613,$E:$E,"P0(전)"))</f>
        <v/>
      </c>
      <c r="Q1613" s="48">
        <f>IF(COUNTIFS($C:$C,$C1613,$D:$D,$D1613,$E:$E,"P0(후)",$M:$M,"&gt;0")&lt;&gt;1,"",SUMIFS($I:$I,$C:$C,$C1613,$D:$D,$D1613,$E:$E,"P0(후)"))</f>
        <v/>
      </c>
      <c r="R1613" s="31">
        <f>IF(COUNTIFS($C:$C,$C1613,$D:$D,$D1613,$E:$E,"P0(후)",$M:$M,"&gt;0")&lt;&gt;1,"",SUMIFS($M:$M,$C:$C,$C1613,$D:$D,$D1613,$E:$E,"P0(후)"))</f>
        <v/>
      </c>
      <c r="S1613" s="31">
        <f>IF(N1613&lt;&gt;"OK","",P1613+(R1613-P1613)*(I1613-O1613)/(Q1613-O1613))</f>
        <v/>
      </c>
      <c r="T1613" s="31">
        <f>IF(OR(N1613&lt;&gt;"OK",NOT(ISNUMBER(M1613))),"",M1613-S1613)</f>
        <v/>
      </c>
      <c r="U1613" s="49">
        <f>IF(OR(NOT(ISNUMBER(T1613)),IF(ISNUMBER(H1613),H1613,G1613)=0),"",T1613/IF(ISNUMBER(H1613),H1613,G1613))</f>
        <v/>
      </c>
      <c r="V1613" s="49">
        <f>IF(ISNUMBER(U1613),ABS(U1613),"")</f>
        <v/>
      </c>
      <c r="W1613" s="49">
        <f>IF(OR($E1612&lt;&gt;"측정",$C1612&lt;&gt;$C1613,$D1612&lt;&gt;$D1613,NOT(ISNUMBER(M1613)),NOT(ISNUMBER(M1612)),(IF(ISNUMBER(H1613),H1613,G1613)-IF(ISNUMBER(H1612),H1612,G1612))=0),"",(M1613-M1612)/(IF(ISNUMBER(H1613),H1613,G1613)-IF(ISNUMBER(H1612),H1612,G1612)))</f>
        <v/>
      </c>
      <c r="X1613" s="31">
        <f>IF(NOT(AND(ISNUMBER(O1613),ISNUMBER(Q1613))),"",(Q1613-O1613)*1440)</f>
        <v/>
      </c>
      <c r="Y1613" s="29" t="n"/>
      <c r="Z1613" s="29" t="n"/>
      <c r="AA1613" s="29" t="n"/>
      <c r="AB1613" s="32" t="n"/>
      <c r="AC1613" s="32" t="n"/>
    </row>
    <row r="1614">
      <c r="A1614" s="26" t="inlineStr">
        <is>
          <t>S31</t>
        </is>
      </c>
      <c r="B1614" s="26" t="inlineStr">
        <is>
          <t>언양 신규점3</t>
        </is>
      </c>
      <c r="C1614" s="26" t="inlineStr">
        <is>
          <t>S31-H북</t>
        </is>
      </c>
      <c r="D1614" s="47" t="n">
        <v>1</v>
      </c>
      <c r="E1614" s="26" t="inlineStr">
        <is>
          <t>측정</t>
        </is>
      </c>
      <c r="F1614" s="26" t="inlineStr">
        <is>
          <t>북</t>
        </is>
      </c>
      <c r="G1614" s="31" t="n">
        <v>8</v>
      </c>
      <c r="H1614" s="30" t="n"/>
      <c r="I1614" s="43" t="n"/>
      <c r="J1614" s="41" t="n"/>
      <c r="K1614" s="41" t="n"/>
      <c r="L1614" s="41" t="n"/>
      <c r="M1614" s="31">
        <f>IF(COUNT(J1614:L1614)=0,"",MEDIAN(J1614:L1614))</f>
        <v/>
      </c>
      <c r="N1614" s="26">
        <f>IF(COUNTIFS($C:$C,$C1614,$D:$D,$D1614,$E:$E,"P0(전)",$M:$M,"&gt;0")&lt;&gt;1,"P0(전) 유효 1개 아님",IF(COUNTIFS($C:$C,$C1614,$D:$D,$D1614,$E:$E,"P0(후)",$M:$M,"&gt;0")&lt;&gt;1,"P0(후) 유효 1개 아님",IF(NOT(AND(ISNUMBER(O1614),ISNUMBER(Q1614),ISNUMBER(I1614))),"시각 결측",IF(Q1614&lt;=O1614,"P0 시각 역전",IF(OR(I1614&lt;O1614,I1614&gt;Q1614),"측정시각 구간 밖","OK")))))</f>
        <v/>
      </c>
      <c r="O1614" s="48">
        <f>IF(COUNTIFS($C:$C,$C1614,$D:$D,$D1614,$E:$E,"P0(전)",$M:$M,"&gt;0")&lt;&gt;1,"",SUMIFS($I:$I,$C:$C,$C1614,$D:$D,$D1614,$E:$E,"P0(전)"))</f>
        <v/>
      </c>
      <c r="P1614" s="31">
        <f>IF(COUNTIFS($C:$C,$C1614,$D:$D,$D1614,$E:$E,"P0(전)",$M:$M,"&gt;0")&lt;&gt;1,"",SUMIFS($M:$M,$C:$C,$C1614,$D:$D,$D1614,$E:$E,"P0(전)"))</f>
        <v/>
      </c>
      <c r="Q1614" s="48">
        <f>IF(COUNTIFS($C:$C,$C1614,$D:$D,$D1614,$E:$E,"P0(후)",$M:$M,"&gt;0")&lt;&gt;1,"",SUMIFS($I:$I,$C:$C,$C1614,$D:$D,$D1614,$E:$E,"P0(후)"))</f>
        <v/>
      </c>
      <c r="R1614" s="31">
        <f>IF(COUNTIFS($C:$C,$C1614,$D:$D,$D1614,$E:$E,"P0(후)",$M:$M,"&gt;0")&lt;&gt;1,"",SUMIFS($M:$M,$C:$C,$C1614,$D:$D,$D1614,$E:$E,"P0(후)"))</f>
        <v/>
      </c>
      <c r="S1614" s="31">
        <f>IF(N1614&lt;&gt;"OK","",P1614+(R1614-P1614)*(I1614-O1614)/(Q1614-O1614))</f>
        <v/>
      </c>
      <c r="T1614" s="31">
        <f>IF(OR(N1614&lt;&gt;"OK",NOT(ISNUMBER(M1614))),"",M1614-S1614)</f>
        <v/>
      </c>
      <c r="U1614" s="49">
        <f>IF(OR(NOT(ISNUMBER(T1614)),IF(ISNUMBER(H1614),H1614,G1614)=0),"",T1614/IF(ISNUMBER(H1614),H1614,G1614))</f>
        <v/>
      </c>
      <c r="V1614" s="49">
        <f>IF(ISNUMBER(U1614),ABS(U1614),"")</f>
        <v/>
      </c>
      <c r="W1614" s="49">
        <f>IF(OR($E1613&lt;&gt;"측정",$C1613&lt;&gt;$C1614,$D1613&lt;&gt;$D1614,NOT(ISNUMBER(M1614)),NOT(ISNUMBER(M1613)),(IF(ISNUMBER(H1614),H1614,G1614)-IF(ISNUMBER(H1613),H1613,G1613))=0),"",(M1614-M1613)/(IF(ISNUMBER(H1614),H1614,G1614)-IF(ISNUMBER(H1613),H1613,G1613)))</f>
        <v/>
      </c>
      <c r="X1614" s="31">
        <f>IF(NOT(AND(ISNUMBER(O1614),ISNUMBER(Q1614))),"",(Q1614-O1614)*1440)</f>
        <v/>
      </c>
      <c r="Y1614" s="29" t="n"/>
      <c r="Z1614" s="29" t="n"/>
      <c r="AA1614" s="29" t="n"/>
      <c r="AB1614" s="32" t="n"/>
      <c r="AC1614" s="32" t="n"/>
    </row>
    <row r="1615">
      <c r="A1615" s="26" t="inlineStr">
        <is>
          <t>S31</t>
        </is>
      </c>
      <c r="B1615" s="26" t="inlineStr">
        <is>
          <t>언양 신규점3</t>
        </is>
      </c>
      <c r="C1615" s="26" t="inlineStr">
        <is>
          <t>S31-H북</t>
        </is>
      </c>
      <c r="D1615" s="47" t="n">
        <v>1</v>
      </c>
      <c r="E1615" s="26" t="inlineStr">
        <is>
          <t>측정</t>
        </is>
      </c>
      <c r="F1615" s="26" t="inlineStr">
        <is>
          <t>북</t>
        </is>
      </c>
      <c r="G1615" s="31" t="n">
        <v>9</v>
      </c>
      <c r="H1615" s="30" t="n"/>
      <c r="I1615" s="43" t="n"/>
      <c r="J1615" s="41" t="n"/>
      <c r="K1615" s="41" t="n"/>
      <c r="L1615" s="41" t="n"/>
      <c r="M1615" s="31">
        <f>IF(COUNT(J1615:L1615)=0,"",MEDIAN(J1615:L1615))</f>
        <v/>
      </c>
      <c r="N1615" s="26">
        <f>IF(COUNTIFS($C:$C,$C1615,$D:$D,$D1615,$E:$E,"P0(전)",$M:$M,"&gt;0")&lt;&gt;1,"P0(전) 유효 1개 아님",IF(COUNTIFS($C:$C,$C1615,$D:$D,$D1615,$E:$E,"P0(후)",$M:$M,"&gt;0")&lt;&gt;1,"P0(후) 유효 1개 아님",IF(NOT(AND(ISNUMBER(O1615),ISNUMBER(Q1615),ISNUMBER(I1615))),"시각 결측",IF(Q1615&lt;=O1615,"P0 시각 역전",IF(OR(I1615&lt;O1615,I1615&gt;Q1615),"측정시각 구간 밖","OK")))))</f>
        <v/>
      </c>
      <c r="O1615" s="48">
        <f>IF(COUNTIFS($C:$C,$C1615,$D:$D,$D1615,$E:$E,"P0(전)",$M:$M,"&gt;0")&lt;&gt;1,"",SUMIFS($I:$I,$C:$C,$C1615,$D:$D,$D1615,$E:$E,"P0(전)"))</f>
        <v/>
      </c>
      <c r="P1615" s="31">
        <f>IF(COUNTIFS($C:$C,$C1615,$D:$D,$D1615,$E:$E,"P0(전)",$M:$M,"&gt;0")&lt;&gt;1,"",SUMIFS($M:$M,$C:$C,$C1615,$D:$D,$D1615,$E:$E,"P0(전)"))</f>
        <v/>
      </c>
      <c r="Q1615" s="48">
        <f>IF(COUNTIFS($C:$C,$C1615,$D:$D,$D1615,$E:$E,"P0(후)",$M:$M,"&gt;0")&lt;&gt;1,"",SUMIFS($I:$I,$C:$C,$C1615,$D:$D,$D1615,$E:$E,"P0(후)"))</f>
        <v/>
      </c>
      <c r="R1615" s="31">
        <f>IF(COUNTIFS($C:$C,$C1615,$D:$D,$D1615,$E:$E,"P0(후)",$M:$M,"&gt;0")&lt;&gt;1,"",SUMIFS($M:$M,$C:$C,$C1615,$D:$D,$D1615,$E:$E,"P0(후)"))</f>
        <v/>
      </c>
      <c r="S1615" s="31">
        <f>IF(N1615&lt;&gt;"OK","",P1615+(R1615-P1615)*(I1615-O1615)/(Q1615-O1615))</f>
        <v/>
      </c>
      <c r="T1615" s="31">
        <f>IF(OR(N1615&lt;&gt;"OK",NOT(ISNUMBER(M1615))),"",M1615-S1615)</f>
        <v/>
      </c>
      <c r="U1615" s="49">
        <f>IF(OR(NOT(ISNUMBER(T1615)),IF(ISNUMBER(H1615),H1615,G1615)=0),"",T1615/IF(ISNUMBER(H1615),H1615,G1615))</f>
        <v/>
      </c>
      <c r="V1615" s="49">
        <f>IF(ISNUMBER(U1615),ABS(U1615),"")</f>
        <v/>
      </c>
      <c r="W1615" s="49">
        <f>IF(OR($E1614&lt;&gt;"측정",$C1614&lt;&gt;$C1615,$D1614&lt;&gt;$D1615,NOT(ISNUMBER(M1615)),NOT(ISNUMBER(M1614)),(IF(ISNUMBER(H1615),H1615,G1615)-IF(ISNUMBER(H1614),H1614,G1614))=0),"",(M1615-M1614)/(IF(ISNUMBER(H1615),H1615,G1615)-IF(ISNUMBER(H1614),H1614,G1614)))</f>
        <v/>
      </c>
      <c r="X1615" s="31">
        <f>IF(NOT(AND(ISNUMBER(O1615),ISNUMBER(Q1615))),"",(Q1615-O1615)*1440)</f>
        <v/>
      </c>
      <c r="Y1615" s="29" t="n"/>
      <c r="Z1615" s="29" t="n"/>
      <c r="AA1615" s="29" t="n"/>
      <c r="AB1615" s="32" t="n"/>
      <c r="AC1615" s="32" t="n"/>
    </row>
    <row r="1616">
      <c r="A1616" s="26" t="inlineStr">
        <is>
          <t>S31</t>
        </is>
      </c>
      <c r="B1616" s="26" t="inlineStr">
        <is>
          <t>언양 신규점3</t>
        </is>
      </c>
      <c r="C1616" s="26" t="inlineStr">
        <is>
          <t>S31-H북</t>
        </is>
      </c>
      <c r="D1616" s="47" t="n">
        <v>1</v>
      </c>
      <c r="E1616" s="26" t="inlineStr">
        <is>
          <t>측정</t>
        </is>
      </c>
      <c r="F1616" s="26" t="inlineStr">
        <is>
          <t>북</t>
        </is>
      </c>
      <c r="G1616" s="31" t="n">
        <v>10</v>
      </c>
      <c r="H1616" s="30" t="n"/>
      <c r="I1616" s="43" t="n"/>
      <c r="J1616" s="41" t="n"/>
      <c r="K1616" s="41" t="n"/>
      <c r="L1616" s="41" t="n"/>
      <c r="M1616" s="31">
        <f>IF(COUNT(J1616:L1616)=0,"",MEDIAN(J1616:L1616))</f>
        <v/>
      </c>
      <c r="N1616" s="26">
        <f>IF(COUNTIFS($C:$C,$C1616,$D:$D,$D1616,$E:$E,"P0(전)",$M:$M,"&gt;0")&lt;&gt;1,"P0(전) 유효 1개 아님",IF(COUNTIFS($C:$C,$C1616,$D:$D,$D1616,$E:$E,"P0(후)",$M:$M,"&gt;0")&lt;&gt;1,"P0(후) 유효 1개 아님",IF(NOT(AND(ISNUMBER(O1616),ISNUMBER(Q1616),ISNUMBER(I1616))),"시각 결측",IF(Q1616&lt;=O1616,"P0 시각 역전",IF(OR(I1616&lt;O1616,I1616&gt;Q1616),"측정시각 구간 밖","OK")))))</f>
        <v/>
      </c>
      <c r="O1616" s="48">
        <f>IF(COUNTIFS($C:$C,$C1616,$D:$D,$D1616,$E:$E,"P0(전)",$M:$M,"&gt;0")&lt;&gt;1,"",SUMIFS($I:$I,$C:$C,$C1616,$D:$D,$D1616,$E:$E,"P0(전)"))</f>
        <v/>
      </c>
      <c r="P1616" s="31">
        <f>IF(COUNTIFS($C:$C,$C1616,$D:$D,$D1616,$E:$E,"P0(전)",$M:$M,"&gt;0")&lt;&gt;1,"",SUMIFS($M:$M,$C:$C,$C1616,$D:$D,$D1616,$E:$E,"P0(전)"))</f>
        <v/>
      </c>
      <c r="Q1616" s="48">
        <f>IF(COUNTIFS($C:$C,$C1616,$D:$D,$D1616,$E:$E,"P0(후)",$M:$M,"&gt;0")&lt;&gt;1,"",SUMIFS($I:$I,$C:$C,$C1616,$D:$D,$D1616,$E:$E,"P0(후)"))</f>
        <v/>
      </c>
      <c r="R1616" s="31">
        <f>IF(COUNTIFS($C:$C,$C1616,$D:$D,$D1616,$E:$E,"P0(후)",$M:$M,"&gt;0")&lt;&gt;1,"",SUMIFS($M:$M,$C:$C,$C1616,$D:$D,$D1616,$E:$E,"P0(후)"))</f>
        <v/>
      </c>
      <c r="S1616" s="31">
        <f>IF(N1616&lt;&gt;"OK","",P1616+(R1616-P1616)*(I1616-O1616)/(Q1616-O1616))</f>
        <v/>
      </c>
      <c r="T1616" s="31">
        <f>IF(OR(N1616&lt;&gt;"OK",NOT(ISNUMBER(M1616))),"",M1616-S1616)</f>
        <v/>
      </c>
      <c r="U1616" s="49">
        <f>IF(OR(NOT(ISNUMBER(T1616)),IF(ISNUMBER(H1616),H1616,G1616)=0),"",T1616/IF(ISNUMBER(H1616),H1616,G1616))</f>
        <v/>
      </c>
      <c r="V1616" s="49">
        <f>IF(ISNUMBER(U1616),ABS(U1616),"")</f>
        <v/>
      </c>
      <c r="W1616" s="49">
        <f>IF(OR($E1615&lt;&gt;"측정",$C1615&lt;&gt;$C1616,$D1615&lt;&gt;$D1616,NOT(ISNUMBER(M1616)),NOT(ISNUMBER(M1615)),(IF(ISNUMBER(H1616),H1616,G1616)-IF(ISNUMBER(H1615),H1615,G1615))=0),"",(M1616-M1615)/(IF(ISNUMBER(H1616),H1616,G1616)-IF(ISNUMBER(H1615),H1615,G1615)))</f>
        <v/>
      </c>
      <c r="X1616" s="31">
        <f>IF(NOT(AND(ISNUMBER(O1616),ISNUMBER(Q1616))),"",(Q1616-O1616)*1440)</f>
        <v/>
      </c>
      <c r="Y1616" s="29" t="n"/>
      <c r="Z1616" s="29" t="n"/>
      <c r="AA1616" s="29" t="n"/>
      <c r="AB1616" s="32" t="n"/>
      <c r="AC1616" s="32" t="n"/>
    </row>
    <row r="1617">
      <c r="A1617" s="44" t="inlineStr">
        <is>
          <t>S31</t>
        </is>
      </c>
      <c r="B1617" s="44" t="inlineStr">
        <is>
          <t>언양 신규점3</t>
        </is>
      </c>
      <c r="C1617" s="44" t="inlineStr">
        <is>
          <t>S31-H북</t>
        </is>
      </c>
      <c r="D1617" s="45" t="n">
        <v>1</v>
      </c>
      <c r="E1617" s="44" t="inlineStr">
        <is>
          <t>P0(후)</t>
        </is>
      </c>
      <c r="F1617" s="44" t="inlineStr">
        <is>
          <t>북</t>
        </is>
      </c>
      <c r="G1617" s="46" t="n"/>
      <c r="H1617" s="30" t="n"/>
      <c r="I1617" s="43" t="n"/>
      <c r="J1617" s="41" t="n"/>
      <c r="K1617" s="41" t="n"/>
      <c r="L1617" s="41" t="n"/>
      <c r="M1617" s="31">
        <f>IF(COUNT(J1617:L1617)=0,"",MEDIAN(J1617:L1617))</f>
        <v/>
      </c>
      <c r="N1617" s="38" t="n"/>
      <c r="O1617" s="38" t="n"/>
      <c r="P1617" s="38" t="n"/>
      <c r="Q1617" s="38" t="n"/>
      <c r="R1617" s="38" t="n"/>
      <c r="S1617" s="38" t="n"/>
      <c r="T1617" s="38" t="n"/>
      <c r="U1617" s="38" t="n"/>
      <c r="V1617" s="38" t="n"/>
      <c r="W1617" s="38" t="n"/>
      <c r="X1617" s="38" t="n"/>
      <c r="Y1617" s="29" t="n"/>
      <c r="Z1617" s="29" t="n"/>
      <c r="AA1617" s="29" t="n"/>
      <c r="AB1617" s="32" t="n"/>
      <c r="AC1617" s="32" t="n"/>
    </row>
    <row r="1618">
      <c r="A1618" s="44" t="inlineStr">
        <is>
          <t>S32</t>
        </is>
      </c>
      <c r="B1618" s="44" t="inlineStr">
        <is>
          <t>함양 신규점</t>
        </is>
      </c>
      <c r="C1618" s="44" t="inlineStr">
        <is>
          <t>S32-H동</t>
        </is>
      </c>
      <c r="D1618" s="45" t="n">
        <v>1</v>
      </c>
      <c r="E1618" s="44" t="inlineStr">
        <is>
          <t>P0(전)</t>
        </is>
      </c>
      <c r="F1618" s="44" t="inlineStr">
        <is>
          <t>동</t>
        </is>
      </c>
      <c r="G1618" s="46" t="n"/>
      <c r="H1618" s="30" t="n"/>
      <c r="I1618" s="43" t="n"/>
      <c r="J1618" s="41" t="n"/>
      <c r="K1618" s="41" t="n"/>
      <c r="L1618" s="41" t="n"/>
      <c r="M1618" s="31">
        <f>IF(COUNT(J1618:L1618)=0,"",MEDIAN(J1618:L1618))</f>
        <v/>
      </c>
      <c r="N1618" s="38" t="n"/>
      <c r="O1618" s="38" t="n"/>
      <c r="P1618" s="38" t="n"/>
      <c r="Q1618" s="38" t="n"/>
      <c r="R1618" s="38" t="n"/>
      <c r="S1618" s="38" t="n"/>
      <c r="T1618" s="38" t="n"/>
      <c r="U1618" s="38" t="n"/>
      <c r="V1618" s="38" t="n"/>
      <c r="W1618" s="38" t="n"/>
      <c r="X1618" s="38" t="n"/>
      <c r="Y1618" s="29" t="n"/>
      <c r="Z1618" s="29" t="n"/>
      <c r="AA1618" s="29" t="n"/>
      <c r="AB1618" s="32" t="n"/>
      <c r="AC1618" s="32" t="n"/>
    </row>
    <row r="1619">
      <c r="A1619" s="26" t="inlineStr">
        <is>
          <t>S32</t>
        </is>
      </c>
      <c r="B1619" s="26" t="inlineStr">
        <is>
          <t>함양 신규점</t>
        </is>
      </c>
      <c r="C1619" s="26" t="inlineStr">
        <is>
          <t>S32-H동</t>
        </is>
      </c>
      <c r="D1619" s="47" t="n">
        <v>1</v>
      </c>
      <c r="E1619" s="26" t="inlineStr">
        <is>
          <t>측정</t>
        </is>
      </c>
      <c r="F1619" s="26" t="inlineStr">
        <is>
          <t>동</t>
        </is>
      </c>
      <c r="G1619" s="31" t="n">
        <v>0.5</v>
      </c>
      <c r="H1619" s="30" t="n"/>
      <c r="I1619" s="43" t="n"/>
      <c r="J1619" s="41" t="n"/>
      <c r="K1619" s="41" t="n"/>
      <c r="L1619" s="41" t="n"/>
      <c r="M1619" s="31">
        <f>IF(COUNT(J1619:L1619)=0,"",MEDIAN(J1619:L1619))</f>
        <v/>
      </c>
      <c r="N1619" s="26">
        <f>IF(COUNTIFS($C:$C,$C1619,$D:$D,$D1619,$E:$E,"P0(전)",$M:$M,"&gt;0")&lt;&gt;1,"P0(전) 유효 1개 아님",IF(COUNTIFS($C:$C,$C1619,$D:$D,$D1619,$E:$E,"P0(후)",$M:$M,"&gt;0")&lt;&gt;1,"P0(후) 유효 1개 아님",IF(NOT(AND(ISNUMBER(O1619),ISNUMBER(Q1619),ISNUMBER(I1619))),"시각 결측",IF(Q1619&lt;=O1619,"P0 시각 역전",IF(OR(I1619&lt;O1619,I1619&gt;Q1619),"측정시각 구간 밖","OK")))))</f>
        <v/>
      </c>
      <c r="O1619" s="48">
        <f>IF(COUNTIFS($C:$C,$C1619,$D:$D,$D1619,$E:$E,"P0(전)",$M:$M,"&gt;0")&lt;&gt;1,"",SUMIFS($I:$I,$C:$C,$C1619,$D:$D,$D1619,$E:$E,"P0(전)"))</f>
        <v/>
      </c>
      <c r="P1619" s="31">
        <f>IF(COUNTIFS($C:$C,$C1619,$D:$D,$D1619,$E:$E,"P0(전)",$M:$M,"&gt;0")&lt;&gt;1,"",SUMIFS($M:$M,$C:$C,$C1619,$D:$D,$D1619,$E:$E,"P0(전)"))</f>
        <v/>
      </c>
      <c r="Q1619" s="48">
        <f>IF(COUNTIFS($C:$C,$C1619,$D:$D,$D1619,$E:$E,"P0(후)",$M:$M,"&gt;0")&lt;&gt;1,"",SUMIFS($I:$I,$C:$C,$C1619,$D:$D,$D1619,$E:$E,"P0(후)"))</f>
        <v/>
      </c>
      <c r="R1619" s="31">
        <f>IF(COUNTIFS($C:$C,$C1619,$D:$D,$D1619,$E:$E,"P0(후)",$M:$M,"&gt;0")&lt;&gt;1,"",SUMIFS($M:$M,$C:$C,$C1619,$D:$D,$D1619,$E:$E,"P0(후)"))</f>
        <v/>
      </c>
      <c r="S1619" s="31">
        <f>IF(N1619&lt;&gt;"OK","",P1619+(R1619-P1619)*(I1619-O1619)/(Q1619-O1619))</f>
        <v/>
      </c>
      <c r="T1619" s="31">
        <f>IF(OR(N1619&lt;&gt;"OK",NOT(ISNUMBER(M1619))),"",M1619-S1619)</f>
        <v/>
      </c>
      <c r="U1619" s="49">
        <f>IF(OR(NOT(ISNUMBER(T1619)),IF(ISNUMBER(H1619),H1619,G1619)=0),"",T1619/IF(ISNUMBER(H1619),H1619,G1619))</f>
        <v/>
      </c>
      <c r="V1619" s="49">
        <f>IF(ISNUMBER(U1619),ABS(U1619),"")</f>
        <v/>
      </c>
      <c r="W1619" s="49">
        <f>IF(OR($E1618&lt;&gt;"측정",$C1618&lt;&gt;$C1619,$D1618&lt;&gt;$D1619,NOT(ISNUMBER(M1619)),NOT(ISNUMBER(M1618)),(IF(ISNUMBER(H1619),H1619,G1619)-IF(ISNUMBER(H1618),H1618,G1618))=0),"",(M1619-M1618)/(IF(ISNUMBER(H1619),H1619,G1619)-IF(ISNUMBER(H1618),H1618,G1618)))</f>
        <v/>
      </c>
      <c r="X1619" s="31">
        <f>IF(NOT(AND(ISNUMBER(O1619),ISNUMBER(Q1619))),"",(Q1619-O1619)*1440)</f>
        <v/>
      </c>
      <c r="Y1619" s="29" t="n"/>
      <c r="Z1619" s="29" t="n"/>
      <c r="AA1619" s="29" t="n"/>
      <c r="AB1619" s="32" t="n"/>
      <c r="AC1619" s="32" t="n"/>
    </row>
    <row r="1620">
      <c r="A1620" s="26" t="inlineStr">
        <is>
          <t>S32</t>
        </is>
      </c>
      <c r="B1620" s="26" t="inlineStr">
        <is>
          <t>함양 신규점</t>
        </is>
      </c>
      <c r="C1620" s="26" t="inlineStr">
        <is>
          <t>S32-H동</t>
        </is>
      </c>
      <c r="D1620" s="47" t="n">
        <v>1</v>
      </c>
      <c r="E1620" s="26" t="inlineStr">
        <is>
          <t>측정</t>
        </is>
      </c>
      <c r="F1620" s="26" t="inlineStr">
        <is>
          <t>동</t>
        </is>
      </c>
      <c r="G1620" s="31" t="n">
        <v>1</v>
      </c>
      <c r="H1620" s="30" t="n"/>
      <c r="I1620" s="43" t="n"/>
      <c r="J1620" s="41" t="n"/>
      <c r="K1620" s="41" t="n"/>
      <c r="L1620" s="41" t="n"/>
      <c r="M1620" s="31">
        <f>IF(COUNT(J1620:L1620)=0,"",MEDIAN(J1620:L1620))</f>
        <v/>
      </c>
      <c r="N1620" s="26">
        <f>IF(COUNTIFS($C:$C,$C1620,$D:$D,$D1620,$E:$E,"P0(전)",$M:$M,"&gt;0")&lt;&gt;1,"P0(전) 유효 1개 아님",IF(COUNTIFS($C:$C,$C1620,$D:$D,$D1620,$E:$E,"P0(후)",$M:$M,"&gt;0")&lt;&gt;1,"P0(후) 유효 1개 아님",IF(NOT(AND(ISNUMBER(O1620),ISNUMBER(Q1620),ISNUMBER(I1620))),"시각 결측",IF(Q1620&lt;=O1620,"P0 시각 역전",IF(OR(I1620&lt;O1620,I1620&gt;Q1620),"측정시각 구간 밖","OK")))))</f>
        <v/>
      </c>
      <c r="O1620" s="48">
        <f>IF(COUNTIFS($C:$C,$C1620,$D:$D,$D1620,$E:$E,"P0(전)",$M:$M,"&gt;0")&lt;&gt;1,"",SUMIFS($I:$I,$C:$C,$C1620,$D:$D,$D1620,$E:$E,"P0(전)"))</f>
        <v/>
      </c>
      <c r="P1620" s="31">
        <f>IF(COUNTIFS($C:$C,$C1620,$D:$D,$D1620,$E:$E,"P0(전)",$M:$M,"&gt;0")&lt;&gt;1,"",SUMIFS($M:$M,$C:$C,$C1620,$D:$D,$D1620,$E:$E,"P0(전)"))</f>
        <v/>
      </c>
      <c r="Q1620" s="48">
        <f>IF(COUNTIFS($C:$C,$C1620,$D:$D,$D1620,$E:$E,"P0(후)",$M:$M,"&gt;0")&lt;&gt;1,"",SUMIFS($I:$I,$C:$C,$C1620,$D:$D,$D1620,$E:$E,"P0(후)"))</f>
        <v/>
      </c>
      <c r="R1620" s="31">
        <f>IF(COUNTIFS($C:$C,$C1620,$D:$D,$D1620,$E:$E,"P0(후)",$M:$M,"&gt;0")&lt;&gt;1,"",SUMIFS($M:$M,$C:$C,$C1620,$D:$D,$D1620,$E:$E,"P0(후)"))</f>
        <v/>
      </c>
      <c r="S1620" s="31">
        <f>IF(N1620&lt;&gt;"OK","",P1620+(R1620-P1620)*(I1620-O1620)/(Q1620-O1620))</f>
        <v/>
      </c>
      <c r="T1620" s="31">
        <f>IF(OR(N1620&lt;&gt;"OK",NOT(ISNUMBER(M1620))),"",M1620-S1620)</f>
        <v/>
      </c>
      <c r="U1620" s="49">
        <f>IF(OR(NOT(ISNUMBER(T1620)),IF(ISNUMBER(H1620),H1620,G1620)=0),"",T1620/IF(ISNUMBER(H1620),H1620,G1620))</f>
        <v/>
      </c>
      <c r="V1620" s="49">
        <f>IF(ISNUMBER(U1620),ABS(U1620),"")</f>
        <v/>
      </c>
      <c r="W1620" s="49">
        <f>IF(OR($E1619&lt;&gt;"측정",$C1619&lt;&gt;$C1620,$D1619&lt;&gt;$D1620,NOT(ISNUMBER(M1620)),NOT(ISNUMBER(M1619)),(IF(ISNUMBER(H1620),H1620,G1620)-IF(ISNUMBER(H1619),H1619,G1619))=0),"",(M1620-M1619)/(IF(ISNUMBER(H1620),H1620,G1620)-IF(ISNUMBER(H1619),H1619,G1619)))</f>
        <v/>
      </c>
      <c r="X1620" s="31">
        <f>IF(NOT(AND(ISNUMBER(O1620),ISNUMBER(Q1620))),"",(Q1620-O1620)*1440)</f>
        <v/>
      </c>
      <c r="Y1620" s="29" t="n"/>
      <c r="Z1620" s="29" t="n"/>
      <c r="AA1620" s="29" t="n"/>
      <c r="AB1620" s="32" t="n"/>
      <c r="AC1620" s="32" t="n"/>
    </row>
    <row r="1621">
      <c r="A1621" s="26" t="inlineStr">
        <is>
          <t>S32</t>
        </is>
      </c>
      <c r="B1621" s="26" t="inlineStr">
        <is>
          <t>함양 신규점</t>
        </is>
      </c>
      <c r="C1621" s="26" t="inlineStr">
        <is>
          <t>S32-H동</t>
        </is>
      </c>
      <c r="D1621" s="47" t="n">
        <v>1</v>
      </c>
      <c r="E1621" s="26" t="inlineStr">
        <is>
          <t>측정</t>
        </is>
      </c>
      <c r="F1621" s="26" t="inlineStr">
        <is>
          <t>동</t>
        </is>
      </c>
      <c r="G1621" s="31" t="n">
        <v>2</v>
      </c>
      <c r="H1621" s="30" t="n"/>
      <c r="I1621" s="43" t="n"/>
      <c r="J1621" s="41" t="n"/>
      <c r="K1621" s="41" t="n"/>
      <c r="L1621" s="41" t="n"/>
      <c r="M1621" s="31">
        <f>IF(COUNT(J1621:L1621)=0,"",MEDIAN(J1621:L1621))</f>
        <v/>
      </c>
      <c r="N1621" s="26">
        <f>IF(COUNTIFS($C:$C,$C1621,$D:$D,$D1621,$E:$E,"P0(전)",$M:$M,"&gt;0")&lt;&gt;1,"P0(전) 유효 1개 아님",IF(COUNTIFS($C:$C,$C1621,$D:$D,$D1621,$E:$E,"P0(후)",$M:$M,"&gt;0")&lt;&gt;1,"P0(후) 유효 1개 아님",IF(NOT(AND(ISNUMBER(O1621),ISNUMBER(Q1621),ISNUMBER(I1621))),"시각 결측",IF(Q1621&lt;=O1621,"P0 시각 역전",IF(OR(I1621&lt;O1621,I1621&gt;Q1621),"측정시각 구간 밖","OK")))))</f>
        <v/>
      </c>
      <c r="O1621" s="48">
        <f>IF(COUNTIFS($C:$C,$C1621,$D:$D,$D1621,$E:$E,"P0(전)",$M:$M,"&gt;0")&lt;&gt;1,"",SUMIFS($I:$I,$C:$C,$C1621,$D:$D,$D1621,$E:$E,"P0(전)"))</f>
        <v/>
      </c>
      <c r="P1621" s="31">
        <f>IF(COUNTIFS($C:$C,$C1621,$D:$D,$D1621,$E:$E,"P0(전)",$M:$M,"&gt;0")&lt;&gt;1,"",SUMIFS($M:$M,$C:$C,$C1621,$D:$D,$D1621,$E:$E,"P0(전)"))</f>
        <v/>
      </c>
      <c r="Q1621" s="48">
        <f>IF(COUNTIFS($C:$C,$C1621,$D:$D,$D1621,$E:$E,"P0(후)",$M:$M,"&gt;0")&lt;&gt;1,"",SUMIFS($I:$I,$C:$C,$C1621,$D:$D,$D1621,$E:$E,"P0(후)"))</f>
        <v/>
      </c>
      <c r="R1621" s="31">
        <f>IF(COUNTIFS($C:$C,$C1621,$D:$D,$D1621,$E:$E,"P0(후)",$M:$M,"&gt;0")&lt;&gt;1,"",SUMIFS($M:$M,$C:$C,$C1621,$D:$D,$D1621,$E:$E,"P0(후)"))</f>
        <v/>
      </c>
      <c r="S1621" s="31">
        <f>IF(N1621&lt;&gt;"OK","",P1621+(R1621-P1621)*(I1621-O1621)/(Q1621-O1621))</f>
        <v/>
      </c>
      <c r="T1621" s="31">
        <f>IF(OR(N1621&lt;&gt;"OK",NOT(ISNUMBER(M1621))),"",M1621-S1621)</f>
        <v/>
      </c>
      <c r="U1621" s="49">
        <f>IF(OR(NOT(ISNUMBER(T1621)),IF(ISNUMBER(H1621),H1621,G1621)=0),"",T1621/IF(ISNUMBER(H1621),H1621,G1621))</f>
        <v/>
      </c>
      <c r="V1621" s="49">
        <f>IF(ISNUMBER(U1621),ABS(U1621),"")</f>
        <v/>
      </c>
      <c r="W1621" s="49">
        <f>IF(OR($E1620&lt;&gt;"측정",$C1620&lt;&gt;$C1621,$D1620&lt;&gt;$D1621,NOT(ISNUMBER(M1621)),NOT(ISNUMBER(M1620)),(IF(ISNUMBER(H1621),H1621,G1621)-IF(ISNUMBER(H1620),H1620,G1620))=0),"",(M1621-M1620)/(IF(ISNUMBER(H1621),H1621,G1621)-IF(ISNUMBER(H1620),H1620,G1620)))</f>
        <v/>
      </c>
      <c r="X1621" s="31">
        <f>IF(NOT(AND(ISNUMBER(O1621),ISNUMBER(Q1621))),"",(Q1621-O1621)*1440)</f>
        <v/>
      </c>
      <c r="Y1621" s="29" t="n"/>
      <c r="Z1621" s="29" t="n"/>
      <c r="AA1621" s="29" t="n"/>
      <c r="AB1621" s="32" t="n"/>
      <c r="AC1621" s="32" t="n"/>
    </row>
    <row r="1622">
      <c r="A1622" s="26" t="inlineStr">
        <is>
          <t>S32</t>
        </is>
      </c>
      <c r="B1622" s="26" t="inlineStr">
        <is>
          <t>함양 신규점</t>
        </is>
      </c>
      <c r="C1622" s="26" t="inlineStr">
        <is>
          <t>S32-H동</t>
        </is>
      </c>
      <c r="D1622" s="47" t="n">
        <v>1</v>
      </c>
      <c r="E1622" s="26" t="inlineStr">
        <is>
          <t>측정</t>
        </is>
      </c>
      <c r="F1622" s="26" t="inlineStr">
        <is>
          <t>동</t>
        </is>
      </c>
      <c r="G1622" s="31" t="n">
        <v>3</v>
      </c>
      <c r="H1622" s="30" t="n"/>
      <c r="I1622" s="43" t="n"/>
      <c r="J1622" s="41" t="n"/>
      <c r="K1622" s="41" t="n"/>
      <c r="L1622" s="41" t="n"/>
      <c r="M1622" s="31">
        <f>IF(COUNT(J1622:L1622)=0,"",MEDIAN(J1622:L1622))</f>
        <v/>
      </c>
      <c r="N1622" s="26">
        <f>IF(COUNTIFS($C:$C,$C1622,$D:$D,$D1622,$E:$E,"P0(전)",$M:$M,"&gt;0")&lt;&gt;1,"P0(전) 유효 1개 아님",IF(COUNTIFS($C:$C,$C1622,$D:$D,$D1622,$E:$E,"P0(후)",$M:$M,"&gt;0")&lt;&gt;1,"P0(후) 유효 1개 아님",IF(NOT(AND(ISNUMBER(O1622),ISNUMBER(Q1622),ISNUMBER(I1622))),"시각 결측",IF(Q1622&lt;=O1622,"P0 시각 역전",IF(OR(I1622&lt;O1622,I1622&gt;Q1622),"측정시각 구간 밖","OK")))))</f>
        <v/>
      </c>
      <c r="O1622" s="48">
        <f>IF(COUNTIFS($C:$C,$C1622,$D:$D,$D1622,$E:$E,"P0(전)",$M:$M,"&gt;0")&lt;&gt;1,"",SUMIFS($I:$I,$C:$C,$C1622,$D:$D,$D1622,$E:$E,"P0(전)"))</f>
        <v/>
      </c>
      <c r="P1622" s="31">
        <f>IF(COUNTIFS($C:$C,$C1622,$D:$D,$D1622,$E:$E,"P0(전)",$M:$M,"&gt;0")&lt;&gt;1,"",SUMIFS($M:$M,$C:$C,$C1622,$D:$D,$D1622,$E:$E,"P0(전)"))</f>
        <v/>
      </c>
      <c r="Q1622" s="48">
        <f>IF(COUNTIFS($C:$C,$C1622,$D:$D,$D1622,$E:$E,"P0(후)",$M:$M,"&gt;0")&lt;&gt;1,"",SUMIFS($I:$I,$C:$C,$C1622,$D:$D,$D1622,$E:$E,"P0(후)"))</f>
        <v/>
      </c>
      <c r="R1622" s="31">
        <f>IF(COUNTIFS($C:$C,$C1622,$D:$D,$D1622,$E:$E,"P0(후)",$M:$M,"&gt;0")&lt;&gt;1,"",SUMIFS($M:$M,$C:$C,$C1622,$D:$D,$D1622,$E:$E,"P0(후)"))</f>
        <v/>
      </c>
      <c r="S1622" s="31">
        <f>IF(N1622&lt;&gt;"OK","",P1622+(R1622-P1622)*(I1622-O1622)/(Q1622-O1622))</f>
        <v/>
      </c>
      <c r="T1622" s="31">
        <f>IF(OR(N1622&lt;&gt;"OK",NOT(ISNUMBER(M1622))),"",M1622-S1622)</f>
        <v/>
      </c>
      <c r="U1622" s="49">
        <f>IF(OR(NOT(ISNUMBER(T1622)),IF(ISNUMBER(H1622),H1622,G1622)=0),"",T1622/IF(ISNUMBER(H1622),H1622,G1622))</f>
        <v/>
      </c>
      <c r="V1622" s="49">
        <f>IF(ISNUMBER(U1622),ABS(U1622),"")</f>
        <v/>
      </c>
      <c r="W1622" s="49">
        <f>IF(OR($E1621&lt;&gt;"측정",$C1621&lt;&gt;$C1622,$D1621&lt;&gt;$D1622,NOT(ISNUMBER(M1622)),NOT(ISNUMBER(M1621)),(IF(ISNUMBER(H1622),H1622,G1622)-IF(ISNUMBER(H1621),H1621,G1621))=0),"",(M1622-M1621)/(IF(ISNUMBER(H1622),H1622,G1622)-IF(ISNUMBER(H1621),H1621,G1621)))</f>
        <v/>
      </c>
      <c r="X1622" s="31">
        <f>IF(NOT(AND(ISNUMBER(O1622),ISNUMBER(Q1622))),"",(Q1622-O1622)*1440)</f>
        <v/>
      </c>
      <c r="Y1622" s="29" t="n"/>
      <c r="Z1622" s="29" t="n"/>
      <c r="AA1622" s="29" t="n"/>
      <c r="AB1622" s="32" t="n"/>
      <c r="AC1622" s="32" t="n"/>
    </row>
    <row r="1623">
      <c r="A1623" s="26" t="inlineStr">
        <is>
          <t>S32</t>
        </is>
      </c>
      <c r="B1623" s="26" t="inlineStr">
        <is>
          <t>함양 신규점</t>
        </is>
      </c>
      <c r="C1623" s="26" t="inlineStr">
        <is>
          <t>S32-H동</t>
        </is>
      </c>
      <c r="D1623" s="47" t="n">
        <v>1</v>
      </c>
      <c r="E1623" s="26" t="inlineStr">
        <is>
          <t>측정</t>
        </is>
      </c>
      <c r="F1623" s="26" t="inlineStr">
        <is>
          <t>동</t>
        </is>
      </c>
      <c r="G1623" s="31" t="n">
        <v>4</v>
      </c>
      <c r="H1623" s="30" t="n"/>
      <c r="I1623" s="43" t="n"/>
      <c r="J1623" s="41" t="n"/>
      <c r="K1623" s="41" t="n"/>
      <c r="L1623" s="41" t="n"/>
      <c r="M1623" s="31">
        <f>IF(COUNT(J1623:L1623)=0,"",MEDIAN(J1623:L1623))</f>
        <v/>
      </c>
      <c r="N1623" s="26">
        <f>IF(COUNTIFS($C:$C,$C1623,$D:$D,$D1623,$E:$E,"P0(전)",$M:$M,"&gt;0")&lt;&gt;1,"P0(전) 유효 1개 아님",IF(COUNTIFS($C:$C,$C1623,$D:$D,$D1623,$E:$E,"P0(후)",$M:$M,"&gt;0")&lt;&gt;1,"P0(후) 유효 1개 아님",IF(NOT(AND(ISNUMBER(O1623),ISNUMBER(Q1623),ISNUMBER(I1623))),"시각 결측",IF(Q1623&lt;=O1623,"P0 시각 역전",IF(OR(I1623&lt;O1623,I1623&gt;Q1623),"측정시각 구간 밖","OK")))))</f>
        <v/>
      </c>
      <c r="O1623" s="48">
        <f>IF(COUNTIFS($C:$C,$C1623,$D:$D,$D1623,$E:$E,"P0(전)",$M:$M,"&gt;0")&lt;&gt;1,"",SUMIFS($I:$I,$C:$C,$C1623,$D:$D,$D1623,$E:$E,"P0(전)"))</f>
        <v/>
      </c>
      <c r="P1623" s="31">
        <f>IF(COUNTIFS($C:$C,$C1623,$D:$D,$D1623,$E:$E,"P0(전)",$M:$M,"&gt;0")&lt;&gt;1,"",SUMIFS($M:$M,$C:$C,$C1623,$D:$D,$D1623,$E:$E,"P0(전)"))</f>
        <v/>
      </c>
      <c r="Q1623" s="48">
        <f>IF(COUNTIFS($C:$C,$C1623,$D:$D,$D1623,$E:$E,"P0(후)",$M:$M,"&gt;0")&lt;&gt;1,"",SUMIFS($I:$I,$C:$C,$C1623,$D:$D,$D1623,$E:$E,"P0(후)"))</f>
        <v/>
      </c>
      <c r="R1623" s="31">
        <f>IF(COUNTIFS($C:$C,$C1623,$D:$D,$D1623,$E:$E,"P0(후)",$M:$M,"&gt;0")&lt;&gt;1,"",SUMIFS($M:$M,$C:$C,$C1623,$D:$D,$D1623,$E:$E,"P0(후)"))</f>
        <v/>
      </c>
      <c r="S1623" s="31">
        <f>IF(N1623&lt;&gt;"OK","",P1623+(R1623-P1623)*(I1623-O1623)/(Q1623-O1623))</f>
        <v/>
      </c>
      <c r="T1623" s="31">
        <f>IF(OR(N1623&lt;&gt;"OK",NOT(ISNUMBER(M1623))),"",M1623-S1623)</f>
        <v/>
      </c>
      <c r="U1623" s="49">
        <f>IF(OR(NOT(ISNUMBER(T1623)),IF(ISNUMBER(H1623),H1623,G1623)=0),"",T1623/IF(ISNUMBER(H1623),H1623,G1623))</f>
        <v/>
      </c>
      <c r="V1623" s="49">
        <f>IF(ISNUMBER(U1623),ABS(U1623),"")</f>
        <v/>
      </c>
      <c r="W1623" s="49">
        <f>IF(OR($E1622&lt;&gt;"측정",$C1622&lt;&gt;$C1623,$D1622&lt;&gt;$D1623,NOT(ISNUMBER(M1623)),NOT(ISNUMBER(M1622)),(IF(ISNUMBER(H1623),H1623,G1623)-IF(ISNUMBER(H1622),H1622,G1622))=0),"",(M1623-M1622)/(IF(ISNUMBER(H1623),H1623,G1623)-IF(ISNUMBER(H1622),H1622,G1622)))</f>
        <v/>
      </c>
      <c r="X1623" s="31">
        <f>IF(NOT(AND(ISNUMBER(O1623),ISNUMBER(Q1623))),"",(Q1623-O1623)*1440)</f>
        <v/>
      </c>
      <c r="Y1623" s="29" t="n"/>
      <c r="Z1623" s="29" t="n"/>
      <c r="AA1623" s="29" t="n"/>
      <c r="AB1623" s="32" t="n"/>
      <c r="AC1623" s="32" t="n"/>
    </row>
    <row r="1624">
      <c r="A1624" s="26" t="inlineStr">
        <is>
          <t>S32</t>
        </is>
      </c>
      <c r="B1624" s="26" t="inlineStr">
        <is>
          <t>함양 신규점</t>
        </is>
      </c>
      <c r="C1624" s="26" t="inlineStr">
        <is>
          <t>S32-H동</t>
        </is>
      </c>
      <c r="D1624" s="47" t="n">
        <v>1</v>
      </c>
      <c r="E1624" s="26" t="inlineStr">
        <is>
          <t>측정</t>
        </is>
      </c>
      <c r="F1624" s="26" t="inlineStr">
        <is>
          <t>동</t>
        </is>
      </c>
      <c r="G1624" s="31" t="n">
        <v>5</v>
      </c>
      <c r="H1624" s="30" t="n"/>
      <c r="I1624" s="43" t="n"/>
      <c r="J1624" s="41" t="n"/>
      <c r="K1624" s="41" t="n"/>
      <c r="L1624" s="41" t="n"/>
      <c r="M1624" s="31">
        <f>IF(COUNT(J1624:L1624)=0,"",MEDIAN(J1624:L1624))</f>
        <v/>
      </c>
      <c r="N1624" s="26">
        <f>IF(COUNTIFS($C:$C,$C1624,$D:$D,$D1624,$E:$E,"P0(전)",$M:$M,"&gt;0")&lt;&gt;1,"P0(전) 유효 1개 아님",IF(COUNTIFS($C:$C,$C1624,$D:$D,$D1624,$E:$E,"P0(후)",$M:$M,"&gt;0")&lt;&gt;1,"P0(후) 유효 1개 아님",IF(NOT(AND(ISNUMBER(O1624),ISNUMBER(Q1624),ISNUMBER(I1624))),"시각 결측",IF(Q1624&lt;=O1624,"P0 시각 역전",IF(OR(I1624&lt;O1624,I1624&gt;Q1624),"측정시각 구간 밖","OK")))))</f>
        <v/>
      </c>
      <c r="O1624" s="48">
        <f>IF(COUNTIFS($C:$C,$C1624,$D:$D,$D1624,$E:$E,"P0(전)",$M:$M,"&gt;0")&lt;&gt;1,"",SUMIFS($I:$I,$C:$C,$C1624,$D:$D,$D1624,$E:$E,"P0(전)"))</f>
        <v/>
      </c>
      <c r="P1624" s="31">
        <f>IF(COUNTIFS($C:$C,$C1624,$D:$D,$D1624,$E:$E,"P0(전)",$M:$M,"&gt;0")&lt;&gt;1,"",SUMIFS($M:$M,$C:$C,$C1624,$D:$D,$D1624,$E:$E,"P0(전)"))</f>
        <v/>
      </c>
      <c r="Q1624" s="48">
        <f>IF(COUNTIFS($C:$C,$C1624,$D:$D,$D1624,$E:$E,"P0(후)",$M:$M,"&gt;0")&lt;&gt;1,"",SUMIFS($I:$I,$C:$C,$C1624,$D:$D,$D1624,$E:$E,"P0(후)"))</f>
        <v/>
      </c>
      <c r="R1624" s="31">
        <f>IF(COUNTIFS($C:$C,$C1624,$D:$D,$D1624,$E:$E,"P0(후)",$M:$M,"&gt;0")&lt;&gt;1,"",SUMIFS($M:$M,$C:$C,$C1624,$D:$D,$D1624,$E:$E,"P0(후)"))</f>
        <v/>
      </c>
      <c r="S1624" s="31">
        <f>IF(N1624&lt;&gt;"OK","",P1624+(R1624-P1624)*(I1624-O1624)/(Q1624-O1624))</f>
        <v/>
      </c>
      <c r="T1624" s="31">
        <f>IF(OR(N1624&lt;&gt;"OK",NOT(ISNUMBER(M1624))),"",M1624-S1624)</f>
        <v/>
      </c>
      <c r="U1624" s="49">
        <f>IF(OR(NOT(ISNUMBER(T1624)),IF(ISNUMBER(H1624),H1624,G1624)=0),"",T1624/IF(ISNUMBER(H1624),H1624,G1624))</f>
        <v/>
      </c>
      <c r="V1624" s="49">
        <f>IF(ISNUMBER(U1624),ABS(U1624),"")</f>
        <v/>
      </c>
      <c r="W1624" s="49">
        <f>IF(OR($E1623&lt;&gt;"측정",$C1623&lt;&gt;$C1624,$D1623&lt;&gt;$D1624,NOT(ISNUMBER(M1624)),NOT(ISNUMBER(M1623)),(IF(ISNUMBER(H1624),H1624,G1624)-IF(ISNUMBER(H1623),H1623,G1623))=0),"",(M1624-M1623)/(IF(ISNUMBER(H1624),H1624,G1624)-IF(ISNUMBER(H1623),H1623,G1623)))</f>
        <v/>
      </c>
      <c r="X1624" s="31">
        <f>IF(NOT(AND(ISNUMBER(O1624),ISNUMBER(Q1624))),"",(Q1624-O1624)*1440)</f>
        <v/>
      </c>
      <c r="Y1624" s="29" t="n"/>
      <c r="Z1624" s="29" t="n"/>
      <c r="AA1624" s="29" t="n"/>
      <c r="AB1624" s="32" t="n"/>
      <c r="AC1624" s="32" t="n"/>
    </row>
    <row r="1625">
      <c r="A1625" s="26" t="inlineStr">
        <is>
          <t>S32</t>
        </is>
      </c>
      <c r="B1625" s="26" t="inlineStr">
        <is>
          <t>함양 신규점</t>
        </is>
      </c>
      <c r="C1625" s="26" t="inlineStr">
        <is>
          <t>S32-H동</t>
        </is>
      </c>
      <c r="D1625" s="47" t="n">
        <v>1</v>
      </c>
      <c r="E1625" s="26" t="inlineStr">
        <is>
          <t>측정</t>
        </is>
      </c>
      <c r="F1625" s="26" t="inlineStr">
        <is>
          <t>동</t>
        </is>
      </c>
      <c r="G1625" s="31" t="n">
        <v>6</v>
      </c>
      <c r="H1625" s="30" t="n"/>
      <c r="I1625" s="43" t="n"/>
      <c r="J1625" s="41" t="n"/>
      <c r="K1625" s="41" t="n"/>
      <c r="L1625" s="41" t="n"/>
      <c r="M1625" s="31">
        <f>IF(COUNT(J1625:L1625)=0,"",MEDIAN(J1625:L1625))</f>
        <v/>
      </c>
      <c r="N1625" s="26">
        <f>IF(COUNTIFS($C:$C,$C1625,$D:$D,$D1625,$E:$E,"P0(전)",$M:$M,"&gt;0")&lt;&gt;1,"P0(전) 유효 1개 아님",IF(COUNTIFS($C:$C,$C1625,$D:$D,$D1625,$E:$E,"P0(후)",$M:$M,"&gt;0")&lt;&gt;1,"P0(후) 유효 1개 아님",IF(NOT(AND(ISNUMBER(O1625),ISNUMBER(Q1625),ISNUMBER(I1625))),"시각 결측",IF(Q1625&lt;=O1625,"P0 시각 역전",IF(OR(I1625&lt;O1625,I1625&gt;Q1625),"측정시각 구간 밖","OK")))))</f>
        <v/>
      </c>
      <c r="O1625" s="48">
        <f>IF(COUNTIFS($C:$C,$C1625,$D:$D,$D1625,$E:$E,"P0(전)",$M:$M,"&gt;0")&lt;&gt;1,"",SUMIFS($I:$I,$C:$C,$C1625,$D:$D,$D1625,$E:$E,"P0(전)"))</f>
        <v/>
      </c>
      <c r="P1625" s="31">
        <f>IF(COUNTIFS($C:$C,$C1625,$D:$D,$D1625,$E:$E,"P0(전)",$M:$M,"&gt;0")&lt;&gt;1,"",SUMIFS($M:$M,$C:$C,$C1625,$D:$D,$D1625,$E:$E,"P0(전)"))</f>
        <v/>
      </c>
      <c r="Q1625" s="48">
        <f>IF(COUNTIFS($C:$C,$C1625,$D:$D,$D1625,$E:$E,"P0(후)",$M:$M,"&gt;0")&lt;&gt;1,"",SUMIFS($I:$I,$C:$C,$C1625,$D:$D,$D1625,$E:$E,"P0(후)"))</f>
        <v/>
      </c>
      <c r="R1625" s="31">
        <f>IF(COUNTIFS($C:$C,$C1625,$D:$D,$D1625,$E:$E,"P0(후)",$M:$M,"&gt;0")&lt;&gt;1,"",SUMIFS($M:$M,$C:$C,$C1625,$D:$D,$D1625,$E:$E,"P0(후)"))</f>
        <v/>
      </c>
      <c r="S1625" s="31">
        <f>IF(N1625&lt;&gt;"OK","",P1625+(R1625-P1625)*(I1625-O1625)/(Q1625-O1625))</f>
        <v/>
      </c>
      <c r="T1625" s="31">
        <f>IF(OR(N1625&lt;&gt;"OK",NOT(ISNUMBER(M1625))),"",M1625-S1625)</f>
        <v/>
      </c>
      <c r="U1625" s="49">
        <f>IF(OR(NOT(ISNUMBER(T1625)),IF(ISNUMBER(H1625),H1625,G1625)=0),"",T1625/IF(ISNUMBER(H1625),H1625,G1625))</f>
        <v/>
      </c>
      <c r="V1625" s="49">
        <f>IF(ISNUMBER(U1625),ABS(U1625),"")</f>
        <v/>
      </c>
      <c r="W1625" s="49">
        <f>IF(OR($E1624&lt;&gt;"측정",$C1624&lt;&gt;$C1625,$D1624&lt;&gt;$D1625,NOT(ISNUMBER(M1625)),NOT(ISNUMBER(M1624)),(IF(ISNUMBER(H1625),H1625,G1625)-IF(ISNUMBER(H1624),H1624,G1624))=0),"",(M1625-M1624)/(IF(ISNUMBER(H1625),H1625,G1625)-IF(ISNUMBER(H1624),H1624,G1624)))</f>
        <v/>
      </c>
      <c r="X1625" s="31">
        <f>IF(NOT(AND(ISNUMBER(O1625),ISNUMBER(Q1625))),"",(Q1625-O1625)*1440)</f>
        <v/>
      </c>
      <c r="Y1625" s="29" t="n"/>
      <c r="Z1625" s="29" t="n"/>
      <c r="AA1625" s="29" t="n"/>
      <c r="AB1625" s="32" t="n"/>
      <c r="AC1625" s="32" t="n"/>
    </row>
    <row r="1626">
      <c r="A1626" s="26" t="inlineStr">
        <is>
          <t>S32</t>
        </is>
      </c>
      <c r="B1626" s="26" t="inlineStr">
        <is>
          <t>함양 신규점</t>
        </is>
      </c>
      <c r="C1626" s="26" t="inlineStr">
        <is>
          <t>S32-H동</t>
        </is>
      </c>
      <c r="D1626" s="47" t="n">
        <v>1</v>
      </c>
      <c r="E1626" s="26" t="inlineStr">
        <is>
          <t>측정</t>
        </is>
      </c>
      <c r="F1626" s="26" t="inlineStr">
        <is>
          <t>동</t>
        </is>
      </c>
      <c r="G1626" s="31" t="n">
        <v>7</v>
      </c>
      <c r="H1626" s="30" t="n"/>
      <c r="I1626" s="43" t="n"/>
      <c r="J1626" s="41" t="n"/>
      <c r="K1626" s="41" t="n"/>
      <c r="L1626" s="41" t="n"/>
      <c r="M1626" s="31">
        <f>IF(COUNT(J1626:L1626)=0,"",MEDIAN(J1626:L1626))</f>
        <v/>
      </c>
      <c r="N1626" s="26">
        <f>IF(COUNTIFS($C:$C,$C1626,$D:$D,$D1626,$E:$E,"P0(전)",$M:$M,"&gt;0")&lt;&gt;1,"P0(전) 유효 1개 아님",IF(COUNTIFS($C:$C,$C1626,$D:$D,$D1626,$E:$E,"P0(후)",$M:$M,"&gt;0")&lt;&gt;1,"P0(후) 유효 1개 아님",IF(NOT(AND(ISNUMBER(O1626),ISNUMBER(Q1626),ISNUMBER(I1626))),"시각 결측",IF(Q1626&lt;=O1626,"P0 시각 역전",IF(OR(I1626&lt;O1626,I1626&gt;Q1626),"측정시각 구간 밖","OK")))))</f>
        <v/>
      </c>
      <c r="O1626" s="48">
        <f>IF(COUNTIFS($C:$C,$C1626,$D:$D,$D1626,$E:$E,"P0(전)",$M:$M,"&gt;0")&lt;&gt;1,"",SUMIFS($I:$I,$C:$C,$C1626,$D:$D,$D1626,$E:$E,"P0(전)"))</f>
        <v/>
      </c>
      <c r="P1626" s="31">
        <f>IF(COUNTIFS($C:$C,$C1626,$D:$D,$D1626,$E:$E,"P0(전)",$M:$M,"&gt;0")&lt;&gt;1,"",SUMIFS($M:$M,$C:$C,$C1626,$D:$D,$D1626,$E:$E,"P0(전)"))</f>
        <v/>
      </c>
      <c r="Q1626" s="48">
        <f>IF(COUNTIFS($C:$C,$C1626,$D:$D,$D1626,$E:$E,"P0(후)",$M:$M,"&gt;0")&lt;&gt;1,"",SUMIFS($I:$I,$C:$C,$C1626,$D:$D,$D1626,$E:$E,"P0(후)"))</f>
        <v/>
      </c>
      <c r="R1626" s="31">
        <f>IF(COUNTIFS($C:$C,$C1626,$D:$D,$D1626,$E:$E,"P0(후)",$M:$M,"&gt;0")&lt;&gt;1,"",SUMIFS($M:$M,$C:$C,$C1626,$D:$D,$D1626,$E:$E,"P0(후)"))</f>
        <v/>
      </c>
      <c r="S1626" s="31">
        <f>IF(N1626&lt;&gt;"OK","",P1626+(R1626-P1626)*(I1626-O1626)/(Q1626-O1626))</f>
        <v/>
      </c>
      <c r="T1626" s="31">
        <f>IF(OR(N1626&lt;&gt;"OK",NOT(ISNUMBER(M1626))),"",M1626-S1626)</f>
        <v/>
      </c>
      <c r="U1626" s="49">
        <f>IF(OR(NOT(ISNUMBER(T1626)),IF(ISNUMBER(H1626),H1626,G1626)=0),"",T1626/IF(ISNUMBER(H1626),H1626,G1626))</f>
        <v/>
      </c>
      <c r="V1626" s="49">
        <f>IF(ISNUMBER(U1626),ABS(U1626),"")</f>
        <v/>
      </c>
      <c r="W1626" s="49">
        <f>IF(OR($E1625&lt;&gt;"측정",$C1625&lt;&gt;$C1626,$D1625&lt;&gt;$D1626,NOT(ISNUMBER(M1626)),NOT(ISNUMBER(M1625)),(IF(ISNUMBER(H1626),H1626,G1626)-IF(ISNUMBER(H1625),H1625,G1625))=0),"",(M1626-M1625)/(IF(ISNUMBER(H1626),H1626,G1626)-IF(ISNUMBER(H1625),H1625,G1625)))</f>
        <v/>
      </c>
      <c r="X1626" s="31">
        <f>IF(NOT(AND(ISNUMBER(O1626),ISNUMBER(Q1626))),"",(Q1626-O1626)*1440)</f>
        <v/>
      </c>
      <c r="Y1626" s="29" t="n"/>
      <c r="Z1626" s="29" t="n"/>
      <c r="AA1626" s="29" t="n"/>
      <c r="AB1626" s="32" t="n"/>
      <c r="AC1626" s="32" t="n"/>
    </row>
    <row r="1627">
      <c r="A1627" s="26" t="inlineStr">
        <is>
          <t>S32</t>
        </is>
      </c>
      <c r="B1627" s="26" t="inlineStr">
        <is>
          <t>함양 신규점</t>
        </is>
      </c>
      <c r="C1627" s="26" t="inlineStr">
        <is>
          <t>S32-H동</t>
        </is>
      </c>
      <c r="D1627" s="47" t="n">
        <v>1</v>
      </c>
      <c r="E1627" s="26" t="inlineStr">
        <is>
          <t>측정</t>
        </is>
      </c>
      <c r="F1627" s="26" t="inlineStr">
        <is>
          <t>동</t>
        </is>
      </c>
      <c r="G1627" s="31" t="n">
        <v>8</v>
      </c>
      <c r="H1627" s="30" t="n"/>
      <c r="I1627" s="43" t="n"/>
      <c r="J1627" s="41" t="n"/>
      <c r="K1627" s="41" t="n"/>
      <c r="L1627" s="41" t="n"/>
      <c r="M1627" s="31">
        <f>IF(COUNT(J1627:L1627)=0,"",MEDIAN(J1627:L1627))</f>
        <v/>
      </c>
      <c r="N1627" s="26">
        <f>IF(COUNTIFS($C:$C,$C1627,$D:$D,$D1627,$E:$E,"P0(전)",$M:$M,"&gt;0")&lt;&gt;1,"P0(전) 유효 1개 아님",IF(COUNTIFS($C:$C,$C1627,$D:$D,$D1627,$E:$E,"P0(후)",$M:$M,"&gt;0")&lt;&gt;1,"P0(후) 유효 1개 아님",IF(NOT(AND(ISNUMBER(O1627),ISNUMBER(Q1627),ISNUMBER(I1627))),"시각 결측",IF(Q1627&lt;=O1627,"P0 시각 역전",IF(OR(I1627&lt;O1627,I1627&gt;Q1627),"측정시각 구간 밖","OK")))))</f>
        <v/>
      </c>
      <c r="O1627" s="48">
        <f>IF(COUNTIFS($C:$C,$C1627,$D:$D,$D1627,$E:$E,"P0(전)",$M:$M,"&gt;0")&lt;&gt;1,"",SUMIFS($I:$I,$C:$C,$C1627,$D:$D,$D1627,$E:$E,"P0(전)"))</f>
        <v/>
      </c>
      <c r="P1627" s="31">
        <f>IF(COUNTIFS($C:$C,$C1627,$D:$D,$D1627,$E:$E,"P0(전)",$M:$M,"&gt;0")&lt;&gt;1,"",SUMIFS($M:$M,$C:$C,$C1627,$D:$D,$D1627,$E:$E,"P0(전)"))</f>
        <v/>
      </c>
      <c r="Q1627" s="48">
        <f>IF(COUNTIFS($C:$C,$C1627,$D:$D,$D1627,$E:$E,"P0(후)",$M:$M,"&gt;0")&lt;&gt;1,"",SUMIFS($I:$I,$C:$C,$C1627,$D:$D,$D1627,$E:$E,"P0(후)"))</f>
        <v/>
      </c>
      <c r="R1627" s="31">
        <f>IF(COUNTIFS($C:$C,$C1627,$D:$D,$D1627,$E:$E,"P0(후)",$M:$M,"&gt;0")&lt;&gt;1,"",SUMIFS($M:$M,$C:$C,$C1627,$D:$D,$D1627,$E:$E,"P0(후)"))</f>
        <v/>
      </c>
      <c r="S1627" s="31">
        <f>IF(N1627&lt;&gt;"OK","",P1627+(R1627-P1627)*(I1627-O1627)/(Q1627-O1627))</f>
        <v/>
      </c>
      <c r="T1627" s="31">
        <f>IF(OR(N1627&lt;&gt;"OK",NOT(ISNUMBER(M1627))),"",M1627-S1627)</f>
        <v/>
      </c>
      <c r="U1627" s="49">
        <f>IF(OR(NOT(ISNUMBER(T1627)),IF(ISNUMBER(H1627),H1627,G1627)=0),"",T1627/IF(ISNUMBER(H1627),H1627,G1627))</f>
        <v/>
      </c>
      <c r="V1627" s="49">
        <f>IF(ISNUMBER(U1627),ABS(U1627),"")</f>
        <v/>
      </c>
      <c r="W1627" s="49">
        <f>IF(OR($E1626&lt;&gt;"측정",$C1626&lt;&gt;$C1627,$D1626&lt;&gt;$D1627,NOT(ISNUMBER(M1627)),NOT(ISNUMBER(M1626)),(IF(ISNUMBER(H1627),H1627,G1627)-IF(ISNUMBER(H1626),H1626,G1626))=0),"",(M1627-M1626)/(IF(ISNUMBER(H1627),H1627,G1627)-IF(ISNUMBER(H1626),H1626,G1626)))</f>
        <v/>
      </c>
      <c r="X1627" s="31">
        <f>IF(NOT(AND(ISNUMBER(O1627),ISNUMBER(Q1627))),"",(Q1627-O1627)*1440)</f>
        <v/>
      </c>
      <c r="Y1627" s="29" t="n"/>
      <c r="Z1627" s="29" t="n"/>
      <c r="AA1627" s="29" t="n"/>
      <c r="AB1627" s="32" t="n"/>
      <c r="AC1627" s="32" t="n"/>
    </row>
    <row r="1628">
      <c r="A1628" s="26" t="inlineStr">
        <is>
          <t>S32</t>
        </is>
      </c>
      <c r="B1628" s="26" t="inlineStr">
        <is>
          <t>함양 신규점</t>
        </is>
      </c>
      <c r="C1628" s="26" t="inlineStr">
        <is>
          <t>S32-H동</t>
        </is>
      </c>
      <c r="D1628" s="47" t="n">
        <v>1</v>
      </c>
      <c r="E1628" s="26" t="inlineStr">
        <is>
          <t>측정</t>
        </is>
      </c>
      <c r="F1628" s="26" t="inlineStr">
        <is>
          <t>동</t>
        </is>
      </c>
      <c r="G1628" s="31" t="n">
        <v>9</v>
      </c>
      <c r="H1628" s="30" t="n"/>
      <c r="I1628" s="43" t="n"/>
      <c r="J1628" s="41" t="n"/>
      <c r="K1628" s="41" t="n"/>
      <c r="L1628" s="41" t="n"/>
      <c r="M1628" s="31">
        <f>IF(COUNT(J1628:L1628)=0,"",MEDIAN(J1628:L1628))</f>
        <v/>
      </c>
      <c r="N1628" s="26">
        <f>IF(COUNTIFS($C:$C,$C1628,$D:$D,$D1628,$E:$E,"P0(전)",$M:$M,"&gt;0")&lt;&gt;1,"P0(전) 유효 1개 아님",IF(COUNTIFS($C:$C,$C1628,$D:$D,$D1628,$E:$E,"P0(후)",$M:$M,"&gt;0")&lt;&gt;1,"P0(후) 유효 1개 아님",IF(NOT(AND(ISNUMBER(O1628),ISNUMBER(Q1628),ISNUMBER(I1628))),"시각 결측",IF(Q1628&lt;=O1628,"P0 시각 역전",IF(OR(I1628&lt;O1628,I1628&gt;Q1628),"측정시각 구간 밖","OK")))))</f>
        <v/>
      </c>
      <c r="O1628" s="48">
        <f>IF(COUNTIFS($C:$C,$C1628,$D:$D,$D1628,$E:$E,"P0(전)",$M:$M,"&gt;0")&lt;&gt;1,"",SUMIFS($I:$I,$C:$C,$C1628,$D:$D,$D1628,$E:$E,"P0(전)"))</f>
        <v/>
      </c>
      <c r="P1628" s="31">
        <f>IF(COUNTIFS($C:$C,$C1628,$D:$D,$D1628,$E:$E,"P0(전)",$M:$M,"&gt;0")&lt;&gt;1,"",SUMIFS($M:$M,$C:$C,$C1628,$D:$D,$D1628,$E:$E,"P0(전)"))</f>
        <v/>
      </c>
      <c r="Q1628" s="48">
        <f>IF(COUNTIFS($C:$C,$C1628,$D:$D,$D1628,$E:$E,"P0(후)",$M:$M,"&gt;0")&lt;&gt;1,"",SUMIFS($I:$I,$C:$C,$C1628,$D:$D,$D1628,$E:$E,"P0(후)"))</f>
        <v/>
      </c>
      <c r="R1628" s="31">
        <f>IF(COUNTIFS($C:$C,$C1628,$D:$D,$D1628,$E:$E,"P0(후)",$M:$M,"&gt;0")&lt;&gt;1,"",SUMIFS($M:$M,$C:$C,$C1628,$D:$D,$D1628,$E:$E,"P0(후)"))</f>
        <v/>
      </c>
      <c r="S1628" s="31">
        <f>IF(N1628&lt;&gt;"OK","",P1628+(R1628-P1628)*(I1628-O1628)/(Q1628-O1628))</f>
        <v/>
      </c>
      <c r="T1628" s="31">
        <f>IF(OR(N1628&lt;&gt;"OK",NOT(ISNUMBER(M1628))),"",M1628-S1628)</f>
        <v/>
      </c>
      <c r="U1628" s="49">
        <f>IF(OR(NOT(ISNUMBER(T1628)),IF(ISNUMBER(H1628),H1628,G1628)=0),"",T1628/IF(ISNUMBER(H1628),H1628,G1628))</f>
        <v/>
      </c>
      <c r="V1628" s="49">
        <f>IF(ISNUMBER(U1628),ABS(U1628),"")</f>
        <v/>
      </c>
      <c r="W1628" s="49">
        <f>IF(OR($E1627&lt;&gt;"측정",$C1627&lt;&gt;$C1628,$D1627&lt;&gt;$D1628,NOT(ISNUMBER(M1628)),NOT(ISNUMBER(M1627)),(IF(ISNUMBER(H1628),H1628,G1628)-IF(ISNUMBER(H1627),H1627,G1627))=0),"",(M1628-M1627)/(IF(ISNUMBER(H1628),H1628,G1628)-IF(ISNUMBER(H1627),H1627,G1627)))</f>
        <v/>
      </c>
      <c r="X1628" s="31">
        <f>IF(NOT(AND(ISNUMBER(O1628),ISNUMBER(Q1628))),"",(Q1628-O1628)*1440)</f>
        <v/>
      </c>
      <c r="Y1628" s="29" t="n"/>
      <c r="Z1628" s="29" t="n"/>
      <c r="AA1628" s="29" t="n"/>
      <c r="AB1628" s="32" t="n"/>
      <c r="AC1628" s="32" t="n"/>
    </row>
    <row r="1629">
      <c r="A1629" s="26" t="inlineStr">
        <is>
          <t>S32</t>
        </is>
      </c>
      <c r="B1629" s="26" t="inlineStr">
        <is>
          <t>함양 신규점</t>
        </is>
      </c>
      <c r="C1629" s="26" t="inlineStr">
        <is>
          <t>S32-H동</t>
        </is>
      </c>
      <c r="D1629" s="47" t="n">
        <v>1</v>
      </c>
      <c r="E1629" s="26" t="inlineStr">
        <is>
          <t>측정</t>
        </is>
      </c>
      <c r="F1629" s="26" t="inlineStr">
        <is>
          <t>동</t>
        </is>
      </c>
      <c r="G1629" s="31" t="n">
        <v>10</v>
      </c>
      <c r="H1629" s="30" t="n"/>
      <c r="I1629" s="43" t="n"/>
      <c r="J1629" s="41" t="n"/>
      <c r="K1629" s="41" t="n"/>
      <c r="L1629" s="41" t="n"/>
      <c r="M1629" s="31">
        <f>IF(COUNT(J1629:L1629)=0,"",MEDIAN(J1629:L1629))</f>
        <v/>
      </c>
      <c r="N1629" s="26">
        <f>IF(COUNTIFS($C:$C,$C1629,$D:$D,$D1629,$E:$E,"P0(전)",$M:$M,"&gt;0")&lt;&gt;1,"P0(전) 유효 1개 아님",IF(COUNTIFS($C:$C,$C1629,$D:$D,$D1629,$E:$E,"P0(후)",$M:$M,"&gt;0")&lt;&gt;1,"P0(후) 유효 1개 아님",IF(NOT(AND(ISNUMBER(O1629),ISNUMBER(Q1629),ISNUMBER(I1629))),"시각 결측",IF(Q1629&lt;=O1629,"P0 시각 역전",IF(OR(I1629&lt;O1629,I1629&gt;Q1629),"측정시각 구간 밖","OK")))))</f>
        <v/>
      </c>
      <c r="O1629" s="48">
        <f>IF(COUNTIFS($C:$C,$C1629,$D:$D,$D1629,$E:$E,"P0(전)",$M:$M,"&gt;0")&lt;&gt;1,"",SUMIFS($I:$I,$C:$C,$C1629,$D:$D,$D1629,$E:$E,"P0(전)"))</f>
        <v/>
      </c>
      <c r="P1629" s="31">
        <f>IF(COUNTIFS($C:$C,$C1629,$D:$D,$D1629,$E:$E,"P0(전)",$M:$M,"&gt;0")&lt;&gt;1,"",SUMIFS($M:$M,$C:$C,$C1629,$D:$D,$D1629,$E:$E,"P0(전)"))</f>
        <v/>
      </c>
      <c r="Q1629" s="48">
        <f>IF(COUNTIFS($C:$C,$C1629,$D:$D,$D1629,$E:$E,"P0(후)",$M:$M,"&gt;0")&lt;&gt;1,"",SUMIFS($I:$I,$C:$C,$C1629,$D:$D,$D1629,$E:$E,"P0(후)"))</f>
        <v/>
      </c>
      <c r="R1629" s="31">
        <f>IF(COUNTIFS($C:$C,$C1629,$D:$D,$D1629,$E:$E,"P0(후)",$M:$M,"&gt;0")&lt;&gt;1,"",SUMIFS($M:$M,$C:$C,$C1629,$D:$D,$D1629,$E:$E,"P0(후)"))</f>
        <v/>
      </c>
      <c r="S1629" s="31">
        <f>IF(N1629&lt;&gt;"OK","",P1629+(R1629-P1629)*(I1629-O1629)/(Q1629-O1629))</f>
        <v/>
      </c>
      <c r="T1629" s="31">
        <f>IF(OR(N1629&lt;&gt;"OK",NOT(ISNUMBER(M1629))),"",M1629-S1629)</f>
        <v/>
      </c>
      <c r="U1629" s="49">
        <f>IF(OR(NOT(ISNUMBER(T1629)),IF(ISNUMBER(H1629),H1629,G1629)=0),"",T1629/IF(ISNUMBER(H1629),H1629,G1629))</f>
        <v/>
      </c>
      <c r="V1629" s="49">
        <f>IF(ISNUMBER(U1629),ABS(U1629),"")</f>
        <v/>
      </c>
      <c r="W1629" s="49">
        <f>IF(OR($E1628&lt;&gt;"측정",$C1628&lt;&gt;$C1629,$D1628&lt;&gt;$D1629,NOT(ISNUMBER(M1629)),NOT(ISNUMBER(M1628)),(IF(ISNUMBER(H1629),H1629,G1629)-IF(ISNUMBER(H1628),H1628,G1628))=0),"",(M1629-M1628)/(IF(ISNUMBER(H1629),H1629,G1629)-IF(ISNUMBER(H1628),H1628,G1628)))</f>
        <v/>
      </c>
      <c r="X1629" s="31">
        <f>IF(NOT(AND(ISNUMBER(O1629),ISNUMBER(Q1629))),"",(Q1629-O1629)*1440)</f>
        <v/>
      </c>
      <c r="Y1629" s="29" t="n"/>
      <c r="Z1629" s="29" t="n"/>
      <c r="AA1629" s="29" t="n"/>
      <c r="AB1629" s="32" t="n"/>
      <c r="AC1629" s="32" t="n"/>
    </row>
    <row r="1630">
      <c r="A1630" s="44" t="inlineStr">
        <is>
          <t>S32</t>
        </is>
      </c>
      <c r="B1630" s="44" t="inlineStr">
        <is>
          <t>함양 신규점</t>
        </is>
      </c>
      <c r="C1630" s="44" t="inlineStr">
        <is>
          <t>S32-H동</t>
        </is>
      </c>
      <c r="D1630" s="45" t="n">
        <v>1</v>
      </c>
      <c r="E1630" s="44" t="inlineStr">
        <is>
          <t>P0(후)</t>
        </is>
      </c>
      <c r="F1630" s="44" t="inlineStr">
        <is>
          <t>동</t>
        </is>
      </c>
      <c r="G1630" s="46" t="n"/>
      <c r="H1630" s="30" t="n"/>
      <c r="I1630" s="43" t="n"/>
      <c r="J1630" s="41" t="n"/>
      <c r="K1630" s="41" t="n"/>
      <c r="L1630" s="41" t="n"/>
      <c r="M1630" s="31">
        <f>IF(COUNT(J1630:L1630)=0,"",MEDIAN(J1630:L1630))</f>
        <v/>
      </c>
      <c r="N1630" s="38" t="n"/>
      <c r="O1630" s="38" t="n"/>
      <c r="P1630" s="38" t="n"/>
      <c r="Q1630" s="38" t="n"/>
      <c r="R1630" s="38" t="n"/>
      <c r="S1630" s="38" t="n"/>
      <c r="T1630" s="38" t="n"/>
      <c r="U1630" s="38" t="n"/>
      <c r="V1630" s="38" t="n"/>
      <c r="W1630" s="38" t="n"/>
      <c r="X1630" s="38" t="n"/>
      <c r="Y1630" s="29" t="n"/>
      <c r="Z1630" s="29" t="n"/>
      <c r="AA1630" s="29" t="n"/>
      <c r="AB1630" s="32" t="n"/>
      <c r="AC1630" s="32" t="n"/>
    </row>
    <row r="1631">
      <c r="A1631" s="44" t="inlineStr">
        <is>
          <t>S32</t>
        </is>
      </c>
      <c r="B1631" s="44" t="inlineStr">
        <is>
          <t>함양 신규점</t>
        </is>
      </c>
      <c r="C1631" s="44" t="inlineStr">
        <is>
          <t>S32-H서</t>
        </is>
      </c>
      <c r="D1631" s="45" t="n">
        <v>1</v>
      </c>
      <c r="E1631" s="44" t="inlineStr">
        <is>
          <t>P0(전)</t>
        </is>
      </c>
      <c r="F1631" s="44" t="inlineStr">
        <is>
          <t>서</t>
        </is>
      </c>
      <c r="G1631" s="46" t="n"/>
      <c r="H1631" s="30" t="n"/>
      <c r="I1631" s="43" t="n"/>
      <c r="J1631" s="41" t="n"/>
      <c r="K1631" s="41" t="n"/>
      <c r="L1631" s="41" t="n"/>
      <c r="M1631" s="31">
        <f>IF(COUNT(J1631:L1631)=0,"",MEDIAN(J1631:L1631))</f>
        <v/>
      </c>
      <c r="N1631" s="38" t="n"/>
      <c r="O1631" s="38" t="n"/>
      <c r="P1631" s="38" t="n"/>
      <c r="Q1631" s="38" t="n"/>
      <c r="R1631" s="38" t="n"/>
      <c r="S1631" s="38" t="n"/>
      <c r="T1631" s="38" t="n"/>
      <c r="U1631" s="38" t="n"/>
      <c r="V1631" s="38" t="n"/>
      <c r="W1631" s="38" t="n"/>
      <c r="X1631" s="38" t="n"/>
      <c r="Y1631" s="29" t="n"/>
      <c r="Z1631" s="29" t="n"/>
      <c r="AA1631" s="29" t="n"/>
      <c r="AB1631" s="32" t="n"/>
      <c r="AC1631" s="32" t="n"/>
    </row>
    <row r="1632">
      <c r="A1632" s="26" t="inlineStr">
        <is>
          <t>S32</t>
        </is>
      </c>
      <c r="B1632" s="26" t="inlineStr">
        <is>
          <t>함양 신규점</t>
        </is>
      </c>
      <c r="C1632" s="26" t="inlineStr">
        <is>
          <t>S32-H서</t>
        </is>
      </c>
      <c r="D1632" s="47" t="n">
        <v>1</v>
      </c>
      <c r="E1632" s="26" t="inlineStr">
        <is>
          <t>측정</t>
        </is>
      </c>
      <c r="F1632" s="26" t="inlineStr">
        <is>
          <t>서</t>
        </is>
      </c>
      <c r="G1632" s="31" t="n">
        <v>0.5</v>
      </c>
      <c r="H1632" s="30" t="n"/>
      <c r="I1632" s="43" t="n"/>
      <c r="J1632" s="41" t="n"/>
      <c r="K1632" s="41" t="n"/>
      <c r="L1632" s="41" t="n"/>
      <c r="M1632" s="31">
        <f>IF(COUNT(J1632:L1632)=0,"",MEDIAN(J1632:L1632))</f>
        <v/>
      </c>
      <c r="N1632" s="26">
        <f>IF(COUNTIFS($C:$C,$C1632,$D:$D,$D1632,$E:$E,"P0(전)",$M:$M,"&gt;0")&lt;&gt;1,"P0(전) 유효 1개 아님",IF(COUNTIFS($C:$C,$C1632,$D:$D,$D1632,$E:$E,"P0(후)",$M:$M,"&gt;0")&lt;&gt;1,"P0(후) 유효 1개 아님",IF(NOT(AND(ISNUMBER(O1632),ISNUMBER(Q1632),ISNUMBER(I1632))),"시각 결측",IF(Q1632&lt;=O1632,"P0 시각 역전",IF(OR(I1632&lt;O1632,I1632&gt;Q1632),"측정시각 구간 밖","OK")))))</f>
        <v/>
      </c>
      <c r="O1632" s="48">
        <f>IF(COUNTIFS($C:$C,$C1632,$D:$D,$D1632,$E:$E,"P0(전)",$M:$M,"&gt;0")&lt;&gt;1,"",SUMIFS($I:$I,$C:$C,$C1632,$D:$D,$D1632,$E:$E,"P0(전)"))</f>
        <v/>
      </c>
      <c r="P1632" s="31">
        <f>IF(COUNTIFS($C:$C,$C1632,$D:$D,$D1632,$E:$E,"P0(전)",$M:$M,"&gt;0")&lt;&gt;1,"",SUMIFS($M:$M,$C:$C,$C1632,$D:$D,$D1632,$E:$E,"P0(전)"))</f>
        <v/>
      </c>
      <c r="Q1632" s="48">
        <f>IF(COUNTIFS($C:$C,$C1632,$D:$D,$D1632,$E:$E,"P0(후)",$M:$M,"&gt;0")&lt;&gt;1,"",SUMIFS($I:$I,$C:$C,$C1632,$D:$D,$D1632,$E:$E,"P0(후)"))</f>
        <v/>
      </c>
      <c r="R1632" s="31">
        <f>IF(COUNTIFS($C:$C,$C1632,$D:$D,$D1632,$E:$E,"P0(후)",$M:$M,"&gt;0")&lt;&gt;1,"",SUMIFS($M:$M,$C:$C,$C1632,$D:$D,$D1632,$E:$E,"P0(후)"))</f>
        <v/>
      </c>
      <c r="S1632" s="31">
        <f>IF(N1632&lt;&gt;"OK","",P1632+(R1632-P1632)*(I1632-O1632)/(Q1632-O1632))</f>
        <v/>
      </c>
      <c r="T1632" s="31">
        <f>IF(OR(N1632&lt;&gt;"OK",NOT(ISNUMBER(M1632))),"",M1632-S1632)</f>
        <v/>
      </c>
      <c r="U1632" s="49">
        <f>IF(OR(NOT(ISNUMBER(T1632)),IF(ISNUMBER(H1632),H1632,G1632)=0),"",T1632/IF(ISNUMBER(H1632),H1632,G1632))</f>
        <v/>
      </c>
      <c r="V1632" s="49">
        <f>IF(ISNUMBER(U1632),ABS(U1632),"")</f>
        <v/>
      </c>
      <c r="W1632" s="49">
        <f>IF(OR($E1631&lt;&gt;"측정",$C1631&lt;&gt;$C1632,$D1631&lt;&gt;$D1632,NOT(ISNUMBER(M1632)),NOT(ISNUMBER(M1631)),(IF(ISNUMBER(H1632),H1632,G1632)-IF(ISNUMBER(H1631),H1631,G1631))=0),"",(M1632-M1631)/(IF(ISNUMBER(H1632),H1632,G1632)-IF(ISNUMBER(H1631),H1631,G1631)))</f>
        <v/>
      </c>
      <c r="X1632" s="31">
        <f>IF(NOT(AND(ISNUMBER(O1632),ISNUMBER(Q1632))),"",(Q1632-O1632)*1440)</f>
        <v/>
      </c>
      <c r="Y1632" s="29" t="n"/>
      <c r="Z1632" s="29" t="n"/>
      <c r="AA1632" s="29" t="n"/>
      <c r="AB1632" s="32" t="n"/>
      <c r="AC1632" s="32" t="n"/>
    </row>
    <row r="1633">
      <c r="A1633" s="26" t="inlineStr">
        <is>
          <t>S32</t>
        </is>
      </c>
      <c r="B1633" s="26" t="inlineStr">
        <is>
          <t>함양 신규점</t>
        </is>
      </c>
      <c r="C1633" s="26" t="inlineStr">
        <is>
          <t>S32-H서</t>
        </is>
      </c>
      <c r="D1633" s="47" t="n">
        <v>1</v>
      </c>
      <c r="E1633" s="26" t="inlineStr">
        <is>
          <t>측정</t>
        </is>
      </c>
      <c r="F1633" s="26" t="inlineStr">
        <is>
          <t>서</t>
        </is>
      </c>
      <c r="G1633" s="31" t="n">
        <v>1</v>
      </c>
      <c r="H1633" s="30" t="n"/>
      <c r="I1633" s="43" t="n"/>
      <c r="J1633" s="41" t="n"/>
      <c r="K1633" s="41" t="n"/>
      <c r="L1633" s="41" t="n"/>
      <c r="M1633" s="31">
        <f>IF(COUNT(J1633:L1633)=0,"",MEDIAN(J1633:L1633))</f>
        <v/>
      </c>
      <c r="N1633" s="26">
        <f>IF(COUNTIFS($C:$C,$C1633,$D:$D,$D1633,$E:$E,"P0(전)",$M:$M,"&gt;0")&lt;&gt;1,"P0(전) 유효 1개 아님",IF(COUNTIFS($C:$C,$C1633,$D:$D,$D1633,$E:$E,"P0(후)",$M:$M,"&gt;0")&lt;&gt;1,"P0(후) 유효 1개 아님",IF(NOT(AND(ISNUMBER(O1633),ISNUMBER(Q1633),ISNUMBER(I1633))),"시각 결측",IF(Q1633&lt;=O1633,"P0 시각 역전",IF(OR(I1633&lt;O1633,I1633&gt;Q1633),"측정시각 구간 밖","OK")))))</f>
        <v/>
      </c>
      <c r="O1633" s="48">
        <f>IF(COUNTIFS($C:$C,$C1633,$D:$D,$D1633,$E:$E,"P0(전)",$M:$M,"&gt;0")&lt;&gt;1,"",SUMIFS($I:$I,$C:$C,$C1633,$D:$D,$D1633,$E:$E,"P0(전)"))</f>
        <v/>
      </c>
      <c r="P1633" s="31">
        <f>IF(COUNTIFS($C:$C,$C1633,$D:$D,$D1633,$E:$E,"P0(전)",$M:$M,"&gt;0")&lt;&gt;1,"",SUMIFS($M:$M,$C:$C,$C1633,$D:$D,$D1633,$E:$E,"P0(전)"))</f>
        <v/>
      </c>
      <c r="Q1633" s="48">
        <f>IF(COUNTIFS($C:$C,$C1633,$D:$D,$D1633,$E:$E,"P0(후)",$M:$M,"&gt;0")&lt;&gt;1,"",SUMIFS($I:$I,$C:$C,$C1633,$D:$D,$D1633,$E:$E,"P0(후)"))</f>
        <v/>
      </c>
      <c r="R1633" s="31">
        <f>IF(COUNTIFS($C:$C,$C1633,$D:$D,$D1633,$E:$E,"P0(후)",$M:$M,"&gt;0")&lt;&gt;1,"",SUMIFS($M:$M,$C:$C,$C1633,$D:$D,$D1633,$E:$E,"P0(후)"))</f>
        <v/>
      </c>
      <c r="S1633" s="31">
        <f>IF(N1633&lt;&gt;"OK","",P1633+(R1633-P1633)*(I1633-O1633)/(Q1633-O1633))</f>
        <v/>
      </c>
      <c r="T1633" s="31">
        <f>IF(OR(N1633&lt;&gt;"OK",NOT(ISNUMBER(M1633))),"",M1633-S1633)</f>
        <v/>
      </c>
      <c r="U1633" s="49">
        <f>IF(OR(NOT(ISNUMBER(T1633)),IF(ISNUMBER(H1633),H1633,G1633)=0),"",T1633/IF(ISNUMBER(H1633),H1633,G1633))</f>
        <v/>
      </c>
      <c r="V1633" s="49">
        <f>IF(ISNUMBER(U1633),ABS(U1633),"")</f>
        <v/>
      </c>
      <c r="W1633" s="49">
        <f>IF(OR($E1632&lt;&gt;"측정",$C1632&lt;&gt;$C1633,$D1632&lt;&gt;$D1633,NOT(ISNUMBER(M1633)),NOT(ISNUMBER(M1632)),(IF(ISNUMBER(H1633),H1633,G1633)-IF(ISNUMBER(H1632),H1632,G1632))=0),"",(M1633-M1632)/(IF(ISNUMBER(H1633),H1633,G1633)-IF(ISNUMBER(H1632),H1632,G1632)))</f>
        <v/>
      </c>
      <c r="X1633" s="31">
        <f>IF(NOT(AND(ISNUMBER(O1633),ISNUMBER(Q1633))),"",(Q1633-O1633)*1440)</f>
        <v/>
      </c>
      <c r="Y1633" s="29" t="n"/>
      <c r="Z1633" s="29" t="n"/>
      <c r="AA1633" s="29" t="n"/>
      <c r="AB1633" s="32" t="n"/>
      <c r="AC1633" s="32" t="n"/>
    </row>
    <row r="1634">
      <c r="A1634" s="26" t="inlineStr">
        <is>
          <t>S32</t>
        </is>
      </c>
      <c r="B1634" s="26" t="inlineStr">
        <is>
          <t>함양 신규점</t>
        </is>
      </c>
      <c r="C1634" s="26" t="inlineStr">
        <is>
          <t>S32-H서</t>
        </is>
      </c>
      <c r="D1634" s="47" t="n">
        <v>1</v>
      </c>
      <c r="E1634" s="26" t="inlineStr">
        <is>
          <t>측정</t>
        </is>
      </c>
      <c r="F1634" s="26" t="inlineStr">
        <is>
          <t>서</t>
        </is>
      </c>
      <c r="G1634" s="31" t="n">
        <v>2</v>
      </c>
      <c r="H1634" s="30" t="n"/>
      <c r="I1634" s="43" t="n"/>
      <c r="J1634" s="41" t="n"/>
      <c r="K1634" s="41" t="n"/>
      <c r="L1634" s="41" t="n"/>
      <c r="M1634" s="31">
        <f>IF(COUNT(J1634:L1634)=0,"",MEDIAN(J1634:L1634))</f>
        <v/>
      </c>
      <c r="N1634" s="26">
        <f>IF(COUNTIFS($C:$C,$C1634,$D:$D,$D1634,$E:$E,"P0(전)",$M:$M,"&gt;0")&lt;&gt;1,"P0(전) 유효 1개 아님",IF(COUNTIFS($C:$C,$C1634,$D:$D,$D1634,$E:$E,"P0(후)",$M:$M,"&gt;0")&lt;&gt;1,"P0(후) 유효 1개 아님",IF(NOT(AND(ISNUMBER(O1634),ISNUMBER(Q1634),ISNUMBER(I1634))),"시각 결측",IF(Q1634&lt;=O1634,"P0 시각 역전",IF(OR(I1634&lt;O1634,I1634&gt;Q1634),"측정시각 구간 밖","OK")))))</f>
        <v/>
      </c>
      <c r="O1634" s="48">
        <f>IF(COUNTIFS($C:$C,$C1634,$D:$D,$D1634,$E:$E,"P0(전)",$M:$M,"&gt;0")&lt;&gt;1,"",SUMIFS($I:$I,$C:$C,$C1634,$D:$D,$D1634,$E:$E,"P0(전)"))</f>
        <v/>
      </c>
      <c r="P1634" s="31">
        <f>IF(COUNTIFS($C:$C,$C1634,$D:$D,$D1634,$E:$E,"P0(전)",$M:$M,"&gt;0")&lt;&gt;1,"",SUMIFS($M:$M,$C:$C,$C1634,$D:$D,$D1634,$E:$E,"P0(전)"))</f>
        <v/>
      </c>
      <c r="Q1634" s="48">
        <f>IF(COUNTIFS($C:$C,$C1634,$D:$D,$D1634,$E:$E,"P0(후)",$M:$M,"&gt;0")&lt;&gt;1,"",SUMIFS($I:$I,$C:$C,$C1634,$D:$D,$D1634,$E:$E,"P0(후)"))</f>
        <v/>
      </c>
      <c r="R1634" s="31">
        <f>IF(COUNTIFS($C:$C,$C1634,$D:$D,$D1634,$E:$E,"P0(후)",$M:$M,"&gt;0")&lt;&gt;1,"",SUMIFS($M:$M,$C:$C,$C1634,$D:$D,$D1634,$E:$E,"P0(후)"))</f>
        <v/>
      </c>
      <c r="S1634" s="31">
        <f>IF(N1634&lt;&gt;"OK","",P1634+(R1634-P1634)*(I1634-O1634)/(Q1634-O1634))</f>
        <v/>
      </c>
      <c r="T1634" s="31">
        <f>IF(OR(N1634&lt;&gt;"OK",NOT(ISNUMBER(M1634))),"",M1634-S1634)</f>
        <v/>
      </c>
      <c r="U1634" s="49">
        <f>IF(OR(NOT(ISNUMBER(T1634)),IF(ISNUMBER(H1634),H1634,G1634)=0),"",T1634/IF(ISNUMBER(H1634),H1634,G1634))</f>
        <v/>
      </c>
      <c r="V1634" s="49">
        <f>IF(ISNUMBER(U1634),ABS(U1634),"")</f>
        <v/>
      </c>
      <c r="W1634" s="49">
        <f>IF(OR($E1633&lt;&gt;"측정",$C1633&lt;&gt;$C1634,$D1633&lt;&gt;$D1634,NOT(ISNUMBER(M1634)),NOT(ISNUMBER(M1633)),(IF(ISNUMBER(H1634),H1634,G1634)-IF(ISNUMBER(H1633),H1633,G1633))=0),"",(M1634-M1633)/(IF(ISNUMBER(H1634),H1634,G1634)-IF(ISNUMBER(H1633),H1633,G1633)))</f>
        <v/>
      </c>
      <c r="X1634" s="31">
        <f>IF(NOT(AND(ISNUMBER(O1634),ISNUMBER(Q1634))),"",(Q1634-O1634)*1440)</f>
        <v/>
      </c>
      <c r="Y1634" s="29" t="n"/>
      <c r="Z1634" s="29" t="n"/>
      <c r="AA1634" s="29" t="n"/>
      <c r="AB1634" s="32" t="n"/>
      <c r="AC1634" s="32" t="n"/>
    </row>
    <row r="1635">
      <c r="A1635" s="26" t="inlineStr">
        <is>
          <t>S32</t>
        </is>
      </c>
      <c r="B1635" s="26" t="inlineStr">
        <is>
          <t>함양 신규점</t>
        </is>
      </c>
      <c r="C1635" s="26" t="inlineStr">
        <is>
          <t>S32-H서</t>
        </is>
      </c>
      <c r="D1635" s="47" t="n">
        <v>1</v>
      </c>
      <c r="E1635" s="26" t="inlineStr">
        <is>
          <t>측정</t>
        </is>
      </c>
      <c r="F1635" s="26" t="inlineStr">
        <is>
          <t>서</t>
        </is>
      </c>
      <c r="G1635" s="31" t="n">
        <v>3</v>
      </c>
      <c r="H1635" s="30" t="n"/>
      <c r="I1635" s="43" t="n"/>
      <c r="J1635" s="41" t="n"/>
      <c r="K1635" s="41" t="n"/>
      <c r="L1635" s="41" t="n"/>
      <c r="M1635" s="31">
        <f>IF(COUNT(J1635:L1635)=0,"",MEDIAN(J1635:L1635))</f>
        <v/>
      </c>
      <c r="N1635" s="26">
        <f>IF(COUNTIFS($C:$C,$C1635,$D:$D,$D1635,$E:$E,"P0(전)",$M:$M,"&gt;0")&lt;&gt;1,"P0(전) 유효 1개 아님",IF(COUNTIFS($C:$C,$C1635,$D:$D,$D1635,$E:$E,"P0(후)",$M:$M,"&gt;0")&lt;&gt;1,"P0(후) 유효 1개 아님",IF(NOT(AND(ISNUMBER(O1635),ISNUMBER(Q1635),ISNUMBER(I1635))),"시각 결측",IF(Q1635&lt;=O1635,"P0 시각 역전",IF(OR(I1635&lt;O1635,I1635&gt;Q1635),"측정시각 구간 밖","OK")))))</f>
        <v/>
      </c>
      <c r="O1635" s="48">
        <f>IF(COUNTIFS($C:$C,$C1635,$D:$D,$D1635,$E:$E,"P0(전)",$M:$M,"&gt;0")&lt;&gt;1,"",SUMIFS($I:$I,$C:$C,$C1635,$D:$D,$D1635,$E:$E,"P0(전)"))</f>
        <v/>
      </c>
      <c r="P1635" s="31">
        <f>IF(COUNTIFS($C:$C,$C1635,$D:$D,$D1635,$E:$E,"P0(전)",$M:$M,"&gt;0")&lt;&gt;1,"",SUMIFS($M:$M,$C:$C,$C1635,$D:$D,$D1635,$E:$E,"P0(전)"))</f>
        <v/>
      </c>
      <c r="Q1635" s="48">
        <f>IF(COUNTIFS($C:$C,$C1635,$D:$D,$D1635,$E:$E,"P0(후)",$M:$M,"&gt;0")&lt;&gt;1,"",SUMIFS($I:$I,$C:$C,$C1635,$D:$D,$D1635,$E:$E,"P0(후)"))</f>
        <v/>
      </c>
      <c r="R1635" s="31">
        <f>IF(COUNTIFS($C:$C,$C1635,$D:$D,$D1635,$E:$E,"P0(후)",$M:$M,"&gt;0")&lt;&gt;1,"",SUMIFS($M:$M,$C:$C,$C1635,$D:$D,$D1635,$E:$E,"P0(후)"))</f>
        <v/>
      </c>
      <c r="S1635" s="31">
        <f>IF(N1635&lt;&gt;"OK","",P1635+(R1635-P1635)*(I1635-O1635)/(Q1635-O1635))</f>
        <v/>
      </c>
      <c r="T1635" s="31">
        <f>IF(OR(N1635&lt;&gt;"OK",NOT(ISNUMBER(M1635))),"",M1635-S1635)</f>
        <v/>
      </c>
      <c r="U1635" s="49">
        <f>IF(OR(NOT(ISNUMBER(T1635)),IF(ISNUMBER(H1635),H1635,G1635)=0),"",T1635/IF(ISNUMBER(H1635),H1635,G1635))</f>
        <v/>
      </c>
      <c r="V1635" s="49">
        <f>IF(ISNUMBER(U1635),ABS(U1635),"")</f>
        <v/>
      </c>
      <c r="W1635" s="49">
        <f>IF(OR($E1634&lt;&gt;"측정",$C1634&lt;&gt;$C1635,$D1634&lt;&gt;$D1635,NOT(ISNUMBER(M1635)),NOT(ISNUMBER(M1634)),(IF(ISNUMBER(H1635),H1635,G1635)-IF(ISNUMBER(H1634),H1634,G1634))=0),"",(M1635-M1634)/(IF(ISNUMBER(H1635),H1635,G1635)-IF(ISNUMBER(H1634),H1634,G1634)))</f>
        <v/>
      </c>
      <c r="X1635" s="31">
        <f>IF(NOT(AND(ISNUMBER(O1635),ISNUMBER(Q1635))),"",(Q1635-O1635)*1440)</f>
        <v/>
      </c>
      <c r="Y1635" s="29" t="n"/>
      <c r="Z1635" s="29" t="n"/>
      <c r="AA1635" s="29" t="n"/>
      <c r="AB1635" s="32" t="n"/>
      <c r="AC1635" s="32" t="n"/>
    </row>
    <row r="1636">
      <c r="A1636" s="26" t="inlineStr">
        <is>
          <t>S32</t>
        </is>
      </c>
      <c r="B1636" s="26" t="inlineStr">
        <is>
          <t>함양 신규점</t>
        </is>
      </c>
      <c r="C1636" s="26" t="inlineStr">
        <is>
          <t>S32-H서</t>
        </is>
      </c>
      <c r="D1636" s="47" t="n">
        <v>1</v>
      </c>
      <c r="E1636" s="26" t="inlineStr">
        <is>
          <t>측정</t>
        </is>
      </c>
      <c r="F1636" s="26" t="inlineStr">
        <is>
          <t>서</t>
        </is>
      </c>
      <c r="G1636" s="31" t="n">
        <v>4</v>
      </c>
      <c r="H1636" s="30" t="n"/>
      <c r="I1636" s="43" t="n"/>
      <c r="J1636" s="41" t="n"/>
      <c r="K1636" s="41" t="n"/>
      <c r="L1636" s="41" t="n"/>
      <c r="M1636" s="31">
        <f>IF(COUNT(J1636:L1636)=0,"",MEDIAN(J1636:L1636))</f>
        <v/>
      </c>
      <c r="N1636" s="26">
        <f>IF(COUNTIFS($C:$C,$C1636,$D:$D,$D1636,$E:$E,"P0(전)",$M:$M,"&gt;0")&lt;&gt;1,"P0(전) 유효 1개 아님",IF(COUNTIFS($C:$C,$C1636,$D:$D,$D1636,$E:$E,"P0(후)",$M:$M,"&gt;0")&lt;&gt;1,"P0(후) 유효 1개 아님",IF(NOT(AND(ISNUMBER(O1636),ISNUMBER(Q1636),ISNUMBER(I1636))),"시각 결측",IF(Q1636&lt;=O1636,"P0 시각 역전",IF(OR(I1636&lt;O1636,I1636&gt;Q1636),"측정시각 구간 밖","OK")))))</f>
        <v/>
      </c>
      <c r="O1636" s="48">
        <f>IF(COUNTIFS($C:$C,$C1636,$D:$D,$D1636,$E:$E,"P0(전)",$M:$M,"&gt;0")&lt;&gt;1,"",SUMIFS($I:$I,$C:$C,$C1636,$D:$D,$D1636,$E:$E,"P0(전)"))</f>
        <v/>
      </c>
      <c r="P1636" s="31">
        <f>IF(COUNTIFS($C:$C,$C1636,$D:$D,$D1636,$E:$E,"P0(전)",$M:$M,"&gt;0")&lt;&gt;1,"",SUMIFS($M:$M,$C:$C,$C1636,$D:$D,$D1636,$E:$E,"P0(전)"))</f>
        <v/>
      </c>
      <c r="Q1636" s="48">
        <f>IF(COUNTIFS($C:$C,$C1636,$D:$D,$D1636,$E:$E,"P0(후)",$M:$M,"&gt;0")&lt;&gt;1,"",SUMIFS($I:$I,$C:$C,$C1636,$D:$D,$D1636,$E:$E,"P0(후)"))</f>
        <v/>
      </c>
      <c r="R1636" s="31">
        <f>IF(COUNTIFS($C:$C,$C1636,$D:$D,$D1636,$E:$E,"P0(후)",$M:$M,"&gt;0")&lt;&gt;1,"",SUMIFS($M:$M,$C:$C,$C1636,$D:$D,$D1636,$E:$E,"P0(후)"))</f>
        <v/>
      </c>
      <c r="S1636" s="31">
        <f>IF(N1636&lt;&gt;"OK","",P1636+(R1636-P1636)*(I1636-O1636)/(Q1636-O1636))</f>
        <v/>
      </c>
      <c r="T1636" s="31">
        <f>IF(OR(N1636&lt;&gt;"OK",NOT(ISNUMBER(M1636))),"",M1636-S1636)</f>
        <v/>
      </c>
      <c r="U1636" s="49">
        <f>IF(OR(NOT(ISNUMBER(T1636)),IF(ISNUMBER(H1636),H1636,G1636)=0),"",T1636/IF(ISNUMBER(H1636),H1636,G1636))</f>
        <v/>
      </c>
      <c r="V1636" s="49">
        <f>IF(ISNUMBER(U1636),ABS(U1636),"")</f>
        <v/>
      </c>
      <c r="W1636" s="49">
        <f>IF(OR($E1635&lt;&gt;"측정",$C1635&lt;&gt;$C1636,$D1635&lt;&gt;$D1636,NOT(ISNUMBER(M1636)),NOT(ISNUMBER(M1635)),(IF(ISNUMBER(H1636),H1636,G1636)-IF(ISNUMBER(H1635),H1635,G1635))=0),"",(M1636-M1635)/(IF(ISNUMBER(H1636),H1636,G1636)-IF(ISNUMBER(H1635),H1635,G1635)))</f>
        <v/>
      </c>
      <c r="X1636" s="31">
        <f>IF(NOT(AND(ISNUMBER(O1636),ISNUMBER(Q1636))),"",(Q1636-O1636)*1440)</f>
        <v/>
      </c>
      <c r="Y1636" s="29" t="n"/>
      <c r="Z1636" s="29" t="n"/>
      <c r="AA1636" s="29" t="n"/>
      <c r="AB1636" s="32" t="n"/>
      <c r="AC1636" s="32" t="n"/>
    </row>
    <row r="1637">
      <c r="A1637" s="26" t="inlineStr">
        <is>
          <t>S32</t>
        </is>
      </c>
      <c r="B1637" s="26" t="inlineStr">
        <is>
          <t>함양 신규점</t>
        </is>
      </c>
      <c r="C1637" s="26" t="inlineStr">
        <is>
          <t>S32-H서</t>
        </is>
      </c>
      <c r="D1637" s="47" t="n">
        <v>1</v>
      </c>
      <c r="E1637" s="26" t="inlineStr">
        <is>
          <t>측정</t>
        </is>
      </c>
      <c r="F1637" s="26" t="inlineStr">
        <is>
          <t>서</t>
        </is>
      </c>
      <c r="G1637" s="31" t="n">
        <v>5</v>
      </c>
      <c r="H1637" s="30" t="n"/>
      <c r="I1637" s="43" t="n"/>
      <c r="J1637" s="41" t="n"/>
      <c r="K1637" s="41" t="n"/>
      <c r="L1637" s="41" t="n"/>
      <c r="M1637" s="31">
        <f>IF(COUNT(J1637:L1637)=0,"",MEDIAN(J1637:L1637))</f>
        <v/>
      </c>
      <c r="N1637" s="26">
        <f>IF(COUNTIFS($C:$C,$C1637,$D:$D,$D1637,$E:$E,"P0(전)",$M:$M,"&gt;0")&lt;&gt;1,"P0(전) 유효 1개 아님",IF(COUNTIFS($C:$C,$C1637,$D:$D,$D1637,$E:$E,"P0(후)",$M:$M,"&gt;0")&lt;&gt;1,"P0(후) 유효 1개 아님",IF(NOT(AND(ISNUMBER(O1637),ISNUMBER(Q1637),ISNUMBER(I1637))),"시각 결측",IF(Q1637&lt;=O1637,"P0 시각 역전",IF(OR(I1637&lt;O1637,I1637&gt;Q1637),"측정시각 구간 밖","OK")))))</f>
        <v/>
      </c>
      <c r="O1637" s="48">
        <f>IF(COUNTIFS($C:$C,$C1637,$D:$D,$D1637,$E:$E,"P0(전)",$M:$M,"&gt;0")&lt;&gt;1,"",SUMIFS($I:$I,$C:$C,$C1637,$D:$D,$D1637,$E:$E,"P0(전)"))</f>
        <v/>
      </c>
      <c r="P1637" s="31">
        <f>IF(COUNTIFS($C:$C,$C1637,$D:$D,$D1637,$E:$E,"P0(전)",$M:$M,"&gt;0")&lt;&gt;1,"",SUMIFS($M:$M,$C:$C,$C1637,$D:$D,$D1637,$E:$E,"P0(전)"))</f>
        <v/>
      </c>
      <c r="Q1637" s="48">
        <f>IF(COUNTIFS($C:$C,$C1637,$D:$D,$D1637,$E:$E,"P0(후)",$M:$M,"&gt;0")&lt;&gt;1,"",SUMIFS($I:$I,$C:$C,$C1637,$D:$D,$D1637,$E:$E,"P0(후)"))</f>
        <v/>
      </c>
      <c r="R1637" s="31">
        <f>IF(COUNTIFS($C:$C,$C1637,$D:$D,$D1637,$E:$E,"P0(후)",$M:$M,"&gt;0")&lt;&gt;1,"",SUMIFS($M:$M,$C:$C,$C1637,$D:$D,$D1637,$E:$E,"P0(후)"))</f>
        <v/>
      </c>
      <c r="S1637" s="31">
        <f>IF(N1637&lt;&gt;"OK","",P1637+(R1637-P1637)*(I1637-O1637)/(Q1637-O1637))</f>
        <v/>
      </c>
      <c r="T1637" s="31">
        <f>IF(OR(N1637&lt;&gt;"OK",NOT(ISNUMBER(M1637))),"",M1637-S1637)</f>
        <v/>
      </c>
      <c r="U1637" s="49">
        <f>IF(OR(NOT(ISNUMBER(T1637)),IF(ISNUMBER(H1637),H1637,G1637)=0),"",T1637/IF(ISNUMBER(H1637),H1637,G1637))</f>
        <v/>
      </c>
      <c r="V1637" s="49">
        <f>IF(ISNUMBER(U1637),ABS(U1637),"")</f>
        <v/>
      </c>
      <c r="W1637" s="49">
        <f>IF(OR($E1636&lt;&gt;"측정",$C1636&lt;&gt;$C1637,$D1636&lt;&gt;$D1637,NOT(ISNUMBER(M1637)),NOT(ISNUMBER(M1636)),(IF(ISNUMBER(H1637),H1637,G1637)-IF(ISNUMBER(H1636),H1636,G1636))=0),"",(M1637-M1636)/(IF(ISNUMBER(H1637),H1637,G1637)-IF(ISNUMBER(H1636),H1636,G1636)))</f>
        <v/>
      </c>
      <c r="X1637" s="31">
        <f>IF(NOT(AND(ISNUMBER(O1637),ISNUMBER(Q1637))),"",(Q1637-O1637)*1440)</f>
        <v/>
      </c>
      <c r="Y1637" s="29" t="n"/>
      <c r="Z1637" s="29" t="n"/>
      <c r="AA1637" s="29" t="n"/>
      <c r="AB1637" s="32" t="n"/>
      <c r="AC1637" s="32" t="n"/>
    </row>
    <row r="1638">
      <c r="A1638" s="26" t="inlineStr">
        <is>
          <t>S32</t>
        </is>
      </c>
      <c r="B1638" s="26" t="inlineStr">
        <is>
          <t>함양 신규점</t>
        </is>
      </c>
      <c r="C1638" s="26" t="inlineStr">
        <is>
          <t>S32-H서</t>
        </is>
      </c>
      <c r="D1638" s="47" t="n">
        <v>1</v>
      </c>
      <c r="E1638" s="26" t="inlineStr">
        <is>
          <t>측정</t>
        </is>
      </c>
      <c r="F1638" s="26" t="inlineStr">
        <is>
          <t>서</t>
        </is>
      </c>
      <c r="G1638" s="31" t="n">
        <v>6</v>
      </c>
      <c r="H1638" s="30" t="n"/>
      <c r="I1638" s="43" t="n"/>
      <c r="J1638" s="41" t="n"/>
      <c r="K1638" s="41" t="n"/>
      <c r="L1638" s="41" t="n"/>
      <c r="M1638" s="31">
        <f>IF(COUNT(J1638:L1638)=0,"",MEDIAN(J1638:L1638))</f>
        <v/>
      </c>
      <c r="N1638" s="26">
        <f>IF(COUNTIFS($C:$C,$C1638,$D:$D,$D1638,$E:$E,"P0(전)",$M:$M,"&gt;0")&lt;&gt;1,"P0(전) 유효 1개 아님",IF(COUNTIFS($C:$C,$C1638,$D:$D,$D1638,$E:$E,"P0(후)",$M:$M,"&gt;0")&lt;&gt;1,"P0(후) 유효 1개 아님",IF(NOT(AND(ISNUMBER(O1638),ISNUMBER(Q1638),ISNUMBER(I1638))),"시각 결측",IF(Q1638&lt;=O1638,"P0 시각 역전",IF(OR(I1638&lt;O1638,I1638&gt;Q1638),"측정시각 구간 밖","OK")))))</f>
        <v/>
      </c>
      <c r="O1638" s="48">
        <f>IF(COUNTIFS($C:$C,$C1638,$D:$D,$D1638,$E:$E,"P0(전)",$M:$M,"&gt;0")&lt;&gt;1,"",SUMIFS($I:$I,$C:$C,$C1638,$D:$D,$D1638,$E:$E,"P0(전)"))</f>
        <v/>
      </c>
      <c r="P1638" s="31">
        <f>IF(COUNTIFS($C:$C,$C1638,$D:$D,$D1638,$E:$E,"P0(전)",$M:$M,"&gt;0")&lt;&gt;1,"",SUMIFS($M:$M,$C:$C,$C1638,$D:$D,$D1638,$E:$E,"P0(전)"))</f>
        <v/>
      </c>
      <c r="Q1638" s="48">
        <f>IF(COUNTIFS($C:$C,$C1638,$D:$D,$D1638,$E:$E,"P0(후)",$M:$M,"&gt;0")&lt;&gt;1,"",SUMIFS($I:$I,$C:$C,$C1638,$D:$D,$D1638,$E:$E,"P0(후)"))</f>
        <v/>
      </c>
      <c r="R1638" s="31">
        <f>IF(COUNTIFS($C:$C,$C1638,$D:$D,$D1638,$E:$E,"P0(후)",$M:$M,"&gt;0")&lt;&gt;1,"",SUMIFS($M:$M,$C:$C,$C1638,$D:$D,$D1638,$E:$E,"P0(후)"))</f>
        <v/>
      </c>
      <c r="S1638" s="31">
        <f>IF(N1638&lt;&gt;"OK","",P1638+(R1638-P1638)*(I1638-O1638)/(Q1638-O1638))</f>
        <v/>
      </c>
      <c r="T1638" s="31">
        <f>IF(OR(N1638&lt;&gt;"OK",NOT(ISNUMBER(M1638))),"",M1638-S1638)</f>
        <v/>
      </c>
      <c r="U1638" s="49">
        <f>IF(OR(NOT(ISNUMBER(T1638)),IF(ISNUMBER(H1638),H1638,G1638)=0),"",T1638/IF(ISNUMBER(H1638),H1638,G1638))</f>
        <v/>
      </c>
      <c r="V1638" s="49">
        <f>IF(ISNUMBER(U1638),ABS(U1638),"")</f>
        <v/>
      </c>
      <c r="W1638" s="49">
        <f>IF(OR($E1637&lt;&gt;"측정",$C1637&lt;&gt;$C1638,$D1637&lt;&gt;$D1638,NOT(ISNUMBER(M1638)),NOT(ISNUMBER(M1637)),(IF(ISNUMBER(H1638),H1638,G1638)-IF(ISNUMBER(H1637),H1637,G1637))=0),"",(M1638-M1637)/(IF(ISNUMBER(H1638),H1638,G1638)-IF(ISNUMBER(H1637),H1637,G1637)))</f>
        <v/>
      </c>
      <c r="X1638" s="31">
        <f>IF(NOT(AND(ISNUMBER(O1638),ISNUMBER(Q1638))),"",(Q1638-O1638)*1440)</f>
        <v/>
      </c>
      <c r="Y1638" s="29" t="n"/>
      <c r="Z1638" s="29" t="n"/>
      <c r="AA1638" s="29" t="n"/>
      <c r="AB1638" s="32" t="n"/>
      <c r="AC1638" s="32" t="n"/>
    </row>
    <row r="1639">
      <c r="A1639" s="26" t="inlineStr">
        <is>
          <t>S32</t>
        </is>
      </c>
      <c r="B1639" s="26" t="inlineStr">
        <is>
          <t>함양 신규점</t>
        </is>
      </c>
      <c r="C1639" s="26" t="inlineStr">
        <is>
          <t>S32-H서</t>
        </is>
      </c>
      <c r="D1639" s="47" t="n">
        <v>1</v>
      </c>
      <c r="E1639" s="26" t="inlineStr">
        <is>
          <t>측정</t>
        </is>
      </c>
      <c r="F1639" s="26" t="inlineStr">
        <is>
          <t>서</t>
        </is>
      </c>
      <c r="G1639" s="31" t="n">
        <v>7</v>
      </c>
      <c r="H1639" s="30" t="n"/>
      <c r="I1639" s="43" t="n"/>
      <c r="J1639" s="41" t="n"/>
      <c r="K1639" s="41" t="n"/>
      <c r="L1639" s="41" t="n"/>
      <c r="M1639" s="31">
        <f>IF(COUNT(J1639:L1639)=0,"",MEDIAN(J1639:L1639))</f>
        <v/>
      </c>
      <c r="N1639" s="26">
        <f>IF(COUNTIFS($C:$C,$C1639,$D:$D,$D1639,$E:$E,"P0(전)",$M:$M,"&gt;0")&lt;&gt;1,"P0(전) 유효 1개 아님",IF(COUNTIFS($C:$C,$C1639,$D:$D,$D1639,$E:$E,"P0(후)",$M:$M,"&gt;0")&lt;&gt;1,"P0(후) 유효 1개 아님",IF(NOT(AND(ISNUMBER(O1639),ISNUMBER(Q1639),ISNUMBER(I1639))),"시각 결측",IF(Q1639&lt;=O1639,"P0 시각 역전",IF(OR(I1639&lt;O1639,I1639&gt;Q1639),"측정시각 구간 밖","OK")))))</f>
        <v/>
      </c>
      <c r="O1639" s="48">
        <f>IF(COUNTIFS($C:$C,$C1639,$D:$D,$D1639,$E:$E,"P0(전)",$M:$M,"&gt;0")&lt;&gt;1,"",SUMIFS($I:$I,$C:$C,$C1639,$D:$D,$D1639,$E:$E,"P0(전)"))</f>
        <v/>
      </c>
      <c r="P1639" s="31">
        <f>IF(COUNTIFS($C:$C,$C1639,$D:$D,$D1639,$E:$E,"P0(전)",$M:$M,"&gt;0")&lt;&gt;1,"",SUMIFS($M:$M,$C:$C,$C1639,$D:$D,$D1639,$E:$E,"P0(전)"))</f>
        <v/>
      </c>
      <c r="Q1639" s="48">
        <f>IF(COUNTIFS($C:$C,$C1639,$D:$D,$D1639,$E:$E,"P0(후)",$M:$M,"&gt;0")&lt;&gt;1,"",SUMIFS($I:$I,$C:$C,$C1639,$D:$D,$D1639,$E:$E,"P0(후)"))</f>
        <v/>
      </c>
      <c r="R1639" s="31">
        <f>IF(COUNTIFS($C:$C,$C1639,$D:$D,$D1639,$E:$E,"P0(후)",$M:$M,"&gt;0")&lt;&gt;1,"",SUMIFS($M:$M,$C:$C,$C1639,$D:$D,$D1639,$E:$E,"P0(후)"))</f>
        <v/>
      </c>
      <c r="S1639" s="31">
        <f>IF(N1639&lt;&gt;"OK","",P1639+(R1639-P1639)*(I1639-O1639)/(Q1639-O1639))</f>
        <v/>
      </c>
      <c r="T1639" s="31">
        <f>IF(OR(N1639&lt;&gt;"OK",NOT(ISNUMBER(M1639))),"",M1639-S1639)</f>
        <v/>
      </c>
      <c r="U1639" s="49">
        <f>IF(OR(NOT(ISNUMBER(T1639)),IF(ISNUMBER(H1639),H1639,G1639)=0),"",T1639/IF(ISNUMBER(H1639),H1639,G1639))</f>
        <v/>
      </c>
      <c r="V1639" s="49">
        <f>IF(ISNUMBER(U1639),ABS(U1639),"")</f>
        <v/>
      </c>
      <c r="W1639" s="49">
        <f>IF(OR($E1638&lt;&gt;"측정",$C1638&lt;&gt;$C1639,$D1638&lt;&gt;$D1639,NOT(ISNUMBER(M1639)),NOT(ISNUMBER(M1638)),(IF(ISNUMBER(H1639),H1639,G1639)-IF(ISNUMBER(H1638),H1638,G1638))=0),"",(M1639-M1638)/(IF(ISNUMBER(H1639),H1639,G1639)-IF(ISNUMBER(H1638),H1638,G1638)))</f>
        <v/>
      </c>
      <c r="X1639" s="31">
        <f>IF(NOT(AND(ISNUMBER(O1639),ISNUMBER(Q1639))),"",(Q1639-O1639)*1440)</f>
        <v/>
      </c>
      <c r="Y1639" s="29" t="n"/>
      <c r="Z1639" s="29" t="n"/>
      <c r="AA1639" s="29" t="n"/>
      <c r="AB1639" s="32" t="n"/>
      <c r="AC1639" s="32" t="n"/>
    </row>
    <row r="1640">
      <c r="A1640" s="26" t="inlineStr">
        <is>
          <t>S32</t>
        </is>
      </c>
      <c r="B1640" s="26" t="inlineStr">
        <is>
          <t>함양 신규점</t>
        </is>
      </c>
      <c r="C1640" s="26" t="inlineStr">
        <is>
          <t>S32-H서</t>
        </is>
      </c>
      <c r="D1640" s="47" t="n">
        <v>1</v>
      </c>
      <c r="E1640" s="26" t="inlineStr">
        <is>
          <t>측정</t>
        </is>
      </c>
      <c r="F1640" s="26" t="inlineStr">
        <is>
          <t>서</t>
        </is>
      </c>
      <c r="G1640" s="31" t="n">
        <v>8</v>
      </c>
      <c r="H1640" s="30" t="n"/>
      <c r="I1640" s="43" t="n"/>
      <c r="J1640" s="41" t="n"/>
      <c r="K1640" s="41" t="n"/>
      <c r="L1640" s="41" t="n"/>
      <c r="M1640" s="31">
        <f>IF(COUNT(J1640:L1640)=0,"",MEDIAN(J1640:L1640))</f>
        <v/>
      </c>
      <c r="N1640" s="26">
        <f>IF(COUNTIFS($C:$C,$C1640,$D:$D,$D1640,$E:$E,"P0(전)",$M:$M,"&gt;0")&lt;&gt;1,"P0(전) 유효 1개 아님",IF(COUNTIFS($C:$C,$C1640,$D:$D,$D1640,$E:$E,"P0(후)",$M:$M,"&gt;0")&lt;&gt;1,"P0(후) 유효 1개 아님",IF(NOT(AND(ISNUMBER(O1640),ISNUMBER(Q1640),ISNUMBER(I1640))),"시각 결측",IF(Q1640&lt;=O1640,"P0 시각 역전",IF(OR(I1640&lt;O1640,I1640&gt;Q1640),"측정시각 구간 밖","OK")))))</f>
        <v/>
      </c>
      <c r="O1640" s="48">
        <f>IF(COUNTIFS($C:$C,$C1640,$D:$D,$D1640,$E:$E,"P0(전)",$M:$M,"&gt;0")&lt;&gt;1,"",SUMIFS($I:$I,$C:$C,$C1640,$D:$D,$D1640,$E:$E,"P0(전)"))</f>
        <v/>
      </c>
      <c r="P1640" s="31">
        <f>IF(COUNTIFS($C:$C,$C1640,$D:$D,$D1640,$E:$E,"P0(전)",$M:$M,"&gt;0")&lt;&gt;1,"",SUMIFS($M:$M,$C:$C,$C1640,$D:$D,$D1640,$E:$E,"P0(전)"))</f>
        <v/>
      </c>
      <c r="Q1640" s="48">
        <f>IF(COUNTIFS($C:$C,$C1640,$D:$D,$D1640,$E:$E,"P0(후)",$M:$M,"&gt;0")&lt;&gt;1,"",SUMIFS($I:$I,$C:$C,$C1640,$D:$D,$D1640,$E:$E,"P0(후)"))</f>
        <v/>
      </c>
      <c r="R1640" s="31">
        <f>IF(COUNTIFS($C:$C,$C1640,$D:$D,$D1640,$E:$E,"P0(후)",$M:$M,"&gt;0")&lt;&gt;1,"",SUMIFS($M:$M,$C:$C,$C1640,$D:$D,$D1640,$E:$E,"P0(후)"))</f>
        <v/>
      </c>
      <c r="S1640" s="31">
        <f>IF(N1640&lt;&gt;"OK","",P1640+(R1640-P1640)*(I1640-O1640)/(Q1640-O1640))</f>
        <v/>
      </c>
      <c r="T1640" s="31">
        <f>IF(OR(N1640&lt;&gt;"OK",NOT(ISNUMBER(M1640))),"",M1640-S1640)</f>
        <v/>
      </c>
      <c r="U1640" s="49">
        <f>IF(OR(NOT(ISNUMBER(T1640)),IF(ISNUMBER(H1640),H1640,G1640)=0),"",T1640/IF(ISNUMBER(H1640),H1640,G1640))</f>
        <v/>
      </c>
      <c r="V1640" s="49">
        <f>IF(ISNUMBER(U1640),ABS(U1640),"")</f>
        <v/>
      </c>
      <c r="W1640" s="49">
        <f>IF(OR($E1639&lt;&gt;"측정",$C1639&lt;&gt;$C1640,$D1639&lt;&gt;$D1640,NOT(ISNUMBER(M1640)),NOT(ISNUMBER(M1639)),(IF(ISNUMBER(H1640),H1640,G1640)-IF(ISNUMBER(H1639),H1639,G1639))=0),"",(M1640-M1639)/(IF(ISNUMBER(H1640),H1640,G1640)-IF(ISNUMBER(H1639),H1639,G1639)))</f>
        <v/>
      </c>
      <c r="X1640" s="31">
        <f>IF(NOT(AND(ISNUMBER(O1640),ISNUMBER(Q1640))),"",(Q1640-O1640)*1440)</f>
        <v/>
      </c>
      <c r="Y1640" s="29" t="n"/>
      <c r="Z1640" s="29" t="n"/>
      <c r="AA1640" s="29" t="n"/>
      <c r="AB1640" s="32" t="n"/>
      <c r="AC1640" s="32" t="n"/>
    </row>
    <row r="1641">
      <c r="A1641" s="26" t="inlineStr">
        <is>
          <t>S32</t>
        </is>
      </c>
      <c r="B1641" s="26" t="inlineStr">
        <is>
          <t>함양 신규점</t>
        </is>
      </c>
      <c r="C1641" s="26" t="inlineStr">
        <is>
          <t>S32-H서</t>
        </is>
      </c>
      <c r="D1641" s="47" t="n">
        <v>1</v>
      </c>
      <c r="E1641" s="26" t="inlineStr">
        <is>
          <t>측정</t>
        </is>
      </c>
      <c r="F1641" s="26" t="inlineStr">
        <is>
          <t>서</t>
        </is>
      </c>
      <c r="G1641" s="31" t="n">
        <v>9</v>
      </c>
      <c r="H1641" s="30" t="n"/>
      <c r="I1641" s="43" t="n"/>
      <c r="J1641" s="41" t="n"/>
      <c r="K1641" s="41" t="n"/>
      <c r="L1641" s="41" t="n"/>
      <c r="M1641" s="31">
        <f>IF(COUNT(J1641:L1641)=0,"",MEDIAN(J1641:L1641))</f>
        <v/>
      </c>
      <c r="N1641" s="26">
        <f>IF(COUNTIFS($C:$C,$C1641,$D:$D,$D1641,$E:$E,"P0(전)",$M:$M,"&gt;0")&lt;&gt;1,"P0(전) 유효 1개 아님",IF(COUNTIFS($C:$C,$C1641,$D:$D,$D1641,$E:$E,"P0(후)",$M:$M,"&gt;0")&lt;&gt;1,"P0(후) 유효 1개 아님",IF(NOT(AND(ISNUMBER(O1641),ISNUMBER(Q1641),ISNUMBER(I1641))),"시각 결측",IF(Q1641&lt;=O1641,"P0 시각 역전",IF(OR(I1641&lt;O1641,I1641&gt;Q1641),"측정시각 구간 밖","OK")))))</f>
        <v/>
      </c>
      <c r="O1641" s="48">
        <f>IF(COUNTIFS($C:$C,$C1641,$D:$D,$D1641,$E:$E,"P0(전)",$M:$M,"&gt;0")&lt;&gt;1,"",SUMIFS($I:$I,$C:$C,$C1641,$D:$D,$D1641,$E:$E,"P0(전)"))</f>
        <v/>
      </c>
      <c r="P1641" s="31">
        <f>IF(COUNTIFS($C:$C,$C1641,$D:$D,$D1641,$E:$E,"P0(전)",$M:$M,"&gt;0")&lt;&gt;1,"",SUMIFS($M:$M,$C:$C,$C1641,$D:$D,$D1641,$E:$E,"P0(전)"))</f>
        <v/>
      </c>
      <c r="Q1641" s="48">
        <f>IF(COUNTIFS($C:$C,$C1641,$D:$D,$D1641,$E:$E,"P0(후)",$M:$M,"&gt;0")&lt;&gt;1,"",SUMIFS($I:$I,$C:$C,$C1641,$D:$D,$D1641,$E:$E,"P0(후)"))</f>
        <v/>
      </c>
      <c r="R1641" s="31">
        <f>IF(COUNTIFS($C:$C,$C1641,$D:$D,$D1641,$E:$E,"P0(후)",$M:$M,"&gt;0")&lt;&gt;1,"",SUMIFS($M:$M,$C:$C,$C1641,$D:$D,$D1641,$E:$E,"P0(후)"))</f>
        <v/>
      </c>
      <c r="S1641" s="31">
        <f>IF(N1641&lt;&gt;"OK","",P1641+(R1641-P1641)*(I1641-O1641)/(Q1641-O1641))</f>
        <v/>
      </c>
      <c r="T1641" s="31">
        <f>IF(OR(N1641&lt;&gt;"OK",NOT(ISNUMBER(M1641))),"",M1641-S1641)</f>
        <v/>
      </c>
      <c r="U1641" s="49">
        <f>IF(OR(NOT(ISNUMBER(T1641)),IF(ISNUMBER(H1641),H1641,G1641)=0),"",T1641/IF(ISNUMBER(H1641),H1641,G1641))</f>
        <v/>
      </c>
      <c r="V1641" s="49">
        <f>IF(ISNUMBER(U1641),ABS(U1641),"")</f>
        <v/>
      </c>
      <c r="W1641" s="49">
        <f>IF(OR($E1640&lt;&gt;"측정",$C1640&lt;&gt;$C1641,$D1640&lt;&gt;$D1641,NOT(ISNUMBER(M1641)),NOT(ISNUMBER(M1640)),(IF(ISNUMBER(H1641),H1641,G1641)-IF(ISNUMBER(H1640),H1640,G1640))=0),"",(M1641-M1640)/(IF(ISNUMBER(H1641),H1641,G1641)-IF(ISNUMBER(H1640),H1640,G1640)))</f>
        <v/>
      </c>
      <c r="X1641" s="31">
        <f>IF(NOT(AND(ISNUMBER(O1641),ISNUMBER(Q1641))),"",(Q1641-O1641)*1440)</f>
        <v/>
      </c>
      <c r="Y1641" s="29" t="n"/>
      <c r="Z1641" s="29" t="n"/>
      <c r="AA1641" s="29" t="n"/>
      <c r="AB1641" s="32" t="n"/>
      <c r="AC1641" s="32" t="n"/>
    </row>
    <row r="1642">
      <c r="A1642" s="26" t="inlineStr">
        <is>
          <t>S32</t>
        </is>
      </c>
      <c r="B1642" s="26" t="inlineStr">
        <is>
          <t>함양 신규점</t>
        </is>
      </c>
      <c r="C1642" s="26" t="inlineStr">
        <is>
          <t>S32-H서</t>
        </is>
      </c>
      <c r="D1642" s="47" t="n">
        <v>1</v>
      </c>
      <c r="E1642" s="26" t="inlineStr">
        <is>
          <t>측정</t>
        </is>
      </c>
      <c r="F1642" s="26" t="inlineStr">
        <is>
          <t>서</t>
        </is>
      </c>
      <c r="G1642" s="31" t="n">
        <v>10</v>
      </c>
      <c r="H1642" s="30" t="n"/>
      <c r="I1642" s="43" t="n"/>
      <c r="J1642" s="41" t="n"/>
      <c r="K1642" s="41" t="n"/>
      <c r="L1642" s="41" t="n"/>
      <c r="M1642" s="31">
        <f>IF(COUNT(J1642:L1642)=0,"",MEDIAN(J1642:L1642))</f>
        <v/>
      </c>
      <c r="N1642" s="26">
        <f>IF(COUNTIFS($C:$C,$C1642,$D:$D,$D1642,$E:$E,"P0(전)",$M:$M,"&gt;0")&lt;&gt;1,"P0(전) 유효 1개 아님",IF(COUNTIFS($C:$C,$C1642,$D:$D,$D1642,$E:$E,"P0(후)",$M:$M,"&gt;0")&lt;&gt;1,"P0(후) 유효 1개 아님",IF(NOT(AND(ISNUMBER(O1642),ISNUMBER(Q1642),ISNUMBER(I1642))),"시각 결측",IF(Q1642&lt;=O1642,"P0 시각 역전",IF(OR(I1642&lt;O1642,I1642&gt;Q1642),"측정시각 구간 밖","OK")))))</f>
        <v/>
      </c>
      <c r="O1642" s="48">
        <f>IF(COUNTIFS($C:$C,$C1642,$D:$D,$D1642,$E:$E,"P0(전)",$M:$M,"&gt;0")&lt;&gt;1,"",SUMIFS($I:$I,$C:$C,$C1642,$D:$D,$D1642,$E:$E,"P0(전)"))</f>
        <v/>
      </c>
      <c r="P1642" s="31">
        <f>IF(COUNTIFS($C:$C,$C1642,$D:$D,$D1642,$E:$E,"P0(전)",$M:$M,"&gt;0")&lt;&gt;1,"",SUMIFS($M:$M,$C:$C,$C1642,$D:$D,$D1642,$E:$E,"P0(전)"))</f>
        <v/>
      </c>
      <c r="Q1642" s="48">
        <f>IF(COUNTIFS($C:$C,$C1642,$D:$D,$D1642,$E:$E,"P0(후)",$M:$M,"&gt;0")&lt;&gt;1,"",SUMIFS($I:$I,$C:$C,$C1642,$D:$D,$D1642,$E:$E,"P0(후)"))</f>
        <v/>
      </c>
      <c r="R1642" s="31">
        <f>IF(COUNTIFS($C:$C,$C1642,$D:$D,$D1642,$E:$E,"P0(후)",$M:$M,"&gt;0")&lt;&gt;1,"",SUMIFS($M:$M,$C:$C,$C1642,$D:$D,$D1642,$E:$E,"P0(후)"))</f>
        <v/>
      </c>
      <c r="S1642" s="31">
        <f>IF(N1642&lt;&gt;"OK","",P1642+(R1642-P1642)*(I1642-O1642)/(Q1642-O1642))</f>
        <v/>
      </c>
      <c r="T1642" s="31">
        <f>IF(OR(N1642&lt;&gt;"OK",NOT(ISNUMBER(M1642))),"",M1642-S1642)</f>
        <v/>
      </c>
      <c r="U1642" s="49">
        <f>IF(OR(NOT(ISNUMBER(T1642)),IF(ISNUMBER(H1642),H1642,G1642)=0),"",T1642/IF(ISNUMBER(H1642),H1642,G1642))</f>
        <v/>
      </c>
      <c r="V1642" s="49">
        <f>IF(ISNUMBER(U1642),ABS(U1642),"")</f>
        <v/>
      </c>
      <c r="W1642" s="49">
        <f>IF(OR($E1641&lt;&gt;"측정",$C1641&lt;&gt;$C1642,$D1641&lt;&gt;$D1642,NOT(ISNUMBER(M1642)),NOT(ISNUMBER(M1641)),(IF(ISNUMBER(H1642),H1642,G1642)-IF(ISNUMBER(H1641),H1641,G1641))=0),"",(M1642-M1641)/(IF(ISNUMBER(H1642),H1642,G1642)-IF(ISNUMBER(H1641),H1641,G1641)))</f>
        <v/>
      </c>
      <c r="X1642" s="31">
        <f>IF(NOT(AND(ISNUMBER(O1642),ISNUMBER(Q1642))),"",(Q1642-O1642)*1440)</f>
        <v/>
      </c>
      <c r="Y1642" s="29" t="n"/>
      <c r="Z1642" s="29" t="n"/>
      <c r="AA1642" s="29" t="n"/>
      <c r="AB1642" s="32" t="n"/>
      <c r="AC1642" s="32" t="n"/>
    </row>
    <row r="1643">
      <c r="A1643" s="44" t="inlineStr">
        <is>
          <t>S32</t>
        </is>
      </c>
      <c r="B1643" s="44" t="inlineStr">
        <is>
          <t>함양 신규점</t>
        </is>
      </c>
      <c r="C1643" s="44" t="inlineStr">
        <is>
          <t>S32-H서</t>
        </is>
      </c>
      <c r="D1643" s="45" t="n">
        <v>1</v>
      </c>
      <c r="E1643" s="44" t="inlineStr">
        <is>
          <t>P0(후)</t>
        </is>
      </c>
      <c r="F1643" s="44" t="inlineStr">
        <is>
          <t>서</t>
        </is>
      </c>
      <c r="G1643" s="46" t="n"/>
      <c r="H1643" s="30" t="n"/>
      <c r="I1643" s="43" t="n"/>
      <c r="J1643" s="41" t="n"/>
      <c r="K1643" s="41" t="n"/>
      <c r="L1643" s="41" t="n"/>
      <c r="M1643" s="31">
        <f>IF(COUNT(J1643:L1643)=0,"",MEDIAN(J1643:L1643))</f>
        <v/>
      </c>
      <c r="N1643" s="38" t="n"/>
      <c r="O1643" s="38" t="n"/>
      <c r="P1643" s="38" t="n"/>
      <c r="Q1643" s="38" t="n"/>
      <c r="R1643" s="38" t="n"/>
      <c r="S1643" s="38" t="n"/>
      <c r="T1643" s="38" t="n"/>
      <c r="U1643" s="38" t="n"/>
      <c r="V1643" s="38" t="n"/>
      <c r="W1643" s="38" t="n"/>
      <c r="X1643" s="38" t="n"/>
      <c r="Y1643" s="29" t="n"/>
      <c r="Z1643" s="29" t="n"/>
      <c r="AA1643" s="29" t="n"/>
      <c r="AB1643" s="32" t="n"/>
      <c r="AC1643" s="32" t="n"/>
    </row>
    <row r="1644">
      <c r="A1644" s="44" t="inlineStr">
        <is>
          <t>S32</t>
        </is>
      </c>
      <c r="B1644" s="44" t="inlineStr">
        <is>
          <t>함양 신규점</t>
        </is>
      </c>
      <c r="C1644" s="44" t="inlineStr">
        <is>
          <t>S32-H남</t>
        </is>
      </c>
      <c r="D1644" s="45" t="n">
        <v>1</v>
      </c>
      <c r="E1644" s="44" t="inlineStr">
        <is>
          <t>P0(전)</t>
        </is>
      </c>
      <c r="F1644" s="44" t="inlineStr">
        <is>
          <t>남</t>
        </is>
      </c>
      <c r="G1644" s="46" t="n"/>
      <c r="H1644" s="30" t="n"/>
      <c r="I1644" s="43" t="n"/>
      <c r="J1644" s="41" t="n"/>
      <c r="K1644" s="41" t="n"/>
      <c r="L1644" s="41" t="n"/>
      <c r="M1644" s="31">
        <f>IF(COUNT(J1644:L1644)=0,"",MEDIAN(J1644:L1644))</f>
        <v/>
      </c>
      <c r="N1644" s="38" t="n"/>
      <c r="O1644" s="38" t="n"/>
      <c r="P1644" s="38" t="n"/>
      <c r="Q1644" s="38" t="n"/>
      <c r="R1644" s="38" t="n"/>
      <c r="S1644" s="38" t="n"/>
      <c r="T1644" s="38" t="n"/>
      <c r="U1644" s="38" t="n"/>
      <c r="V1644" s="38" t="n"/>
      <c r="W1644" s="38" t="n"/>
      <c r="X1644" s="38" t="n"/>
      <c r="Y1644" s="29" t="n"/>
      <c r="Z1644" s="29" t="n"/>
      <c r="AA1644" s="29" t="n"/>
      <c r="AB1644" s="32" t="n"/>
      <c r="AC1644" s="32" t="n"/>
    </row>
    <row r="1645">
      <c r="A1645" s="26" t="inlineStr">
        <is>
          <t>S32</t>
        </is>
      </c>
      <c r="B1645" s="26" t="inlineStr">
        <is>
          <t>함양 신규점</t>
        </is>
      </c>
      <c r="C1645" s="26" t="inlineStr">
        <is>
          <t>S32-H남</t>
        </is>
      </c>
      <c r="D1645" s="47" t="n">
        <v>1</v>
      </c>
      <c r="E1645" s="26" t="inlineStr">
        <is>
          <t>측정</t>
        </is>
      </c>
      <c r="F1645" s="26" t="inlineStr">
        <is>
          <t>남</t>
        </is>
      </c>
      <c r="G1645" s="31" t="n">
        <v>0.5</v>
      </c>
      <c r="H1645" s="30" t="n"/>
      <c r="I1645" s="43" t="n"/>
      <c r="J1645" s="41" t="n"/>
      <c r="K1645" s="41" t="n"/>
      <c r="L1645" s="41" t="n"/>
      <c r="M1645" s="31">
        <f>IF(COUNT(J1645:L1645)=0,"",MEDIAN(J1645:L1645))</f>
        <v/>
      </c>
      <c r="N1645" s="26">
        <f>IF(COUNTIFS($C:$C,$C1645,$D:$D,$D1645,$E:$E,"P0(전)",$M:$M,"&gt;0")&lt;&gt;1,"P0(전) 유효 1개 아님",IF(COUNTIFS($C:$C,$C1645,$D:$D,$D1645,$E:$E,"P0(후)",$M:$M,"&gt;0")&lt;&gt;1,"P0(후) 유효 1개 아님",IF(NOT(AND(ISNUMBER(O1645),ISNUMBER(Q1645),ISNUMBER(I1645))),"시각 결측",IF(Q1645&lt;=O1645,"P0 시각 역전",IF(OR(I1645&lt;O1645,I1645&gt;Q1645),"측정시각 구간 밖","OK")))))</f>
        <v/>
      </c>
      <c r="O1645" s="48">
        <f>IF(COUNTIFS($C:$C,$C1645,$D:$D,$D1645,$E:$E,"P0(전)",$M:$M,"&gt;0")&lt;&gt;1,"",SUMIFS($I:$I,$C:$C,$C1645,$D:$D,$D1645,$E:$E,"P0(전)"))</f>
        <v/>
      </c>
      <c r="P1645" s="31">
        <f>IF(COUNTIFS($C:$C,$C1645,$D:$D,$D1645,$E:$E,"P0(전)",$M:$M,"&gt;0")&lt;&gt;1,"",SUMIFS($M:$M,$C:$C,$C1645,$D:$D,$D1645,$E:$E,"P0(전)"))</f>
        <v/>
      </c>
      <c r="Q1645" s="48">
        <f>IF(COUNTIFS($C:$C,$C1645,$D:$D,$D1645,$E:$E,"P0(후)",$M:$M,"&gt;0")&lt;&gt;1,"",SUMIFS($I:$I,$C:$C,$C1645,$D:$D,$D1645,$E:$E,"P0(후)"))</f>
        <v/>
      </c>
      <c r="R1645" s="31">
        <f>IF(COUNTIFS($C:$C,$C1645,$D:$D,$D1645,$E:$E,"P0(후)",$M:$M,"&gt;0")&lt;&gt;1,"",SUMIFS($M:$M,$C:$C,$C1645,$D:$D,$D1645,$E:$E,"P0(후)"))</f>
        <v/>
      </c>
      <c r="S1645" s="31">
        <f>IF(N1645&lt;&gt;"OK","",P1645+(R1645-P1645)*(I1645-O1645)/(Q1645-O1645))</f>
        <v/>
      </c>
      <c r="T1645" s="31">
        <f>IF(OR(N1645&lt;&gt;"OK",NOT(ISNUMBER(M1645))),"",M1645-S1645)</f>
        <v/>
      </c>
      <c r="U1645" s="49">
        <f>IF(OR(NOT(ISNUMBER(T1645)),IF(ISNUMBER(H1645),H1645,G1645)=0),"",T1645/IF(ISNUMBER(H1645),H1645,G1645))</f>
        <v/>
      </c>
      <c r="V1645" s="49">
        <f>IF(ISNUMBER(U1645),ABS(U1645),"")</f>
        <v/>
      </c>
      <c r="W1645" s="49">
        <f>IF(OR($E1644&lt;&gt;"측정",$C1644&lt;&gt;$C1645,$D1644&lt;&gt;$D1645,NOT(ISNUMBER(M1645)),NOT(ISNUMBER(M1644)),(IF(ISNUMBER(H1645),H1645,G1645)-IF(ISNUMBER(H1644),H1644,G1644))=0),"",(M1645-M1644)/(IF(ISNUMBER(H1645),H1645,G1645)-IF(ISNUMBER(H1644),H1644,G1644)))</f>
        <v/>
      </c>
      <c r="X1645" s="31">
        <f>IF(NOT(AND(ISNUMBER(O1645),ISNUMBER(Q1645))),"",(Q1645-O1645)*1440)</f>
        <v/>
      </c>
      <c r="Y1645" s="29" t="n"/>
      <c r="Z1645" s="29" t="n"/>
      <c r="AA1645" s="29" t="n"/>
      <c r="AB1645" s="32" t="n"/>
      <c r="AC1645" s="32" t="n"/>
    </row>
    <row r="1646">
      <c r="A1646" s="26" t="inlineStr">
        <is>
          <t>S32</t>
        </is>
      </c>
      <c r="B1646" s="26" t="inlineStr">
        <is>
          <t>함양 신규점</t>
        </is>
      </c>
      <c r="C1646" s="26" t="inlineStr">
        <is>
          <t>S32-H남</t>
        </is>
      </c>
      <c r="D1646" s="47" t="n">
        <v>1</v>
      </c>
      <c r="E1646" s="26" t="inlineStr">
        <is>
          <t>측정</t>
        </is>
      </c>
      <c r="F1646" s="26" t="inlineStr">
        <is>
          <t>남</t>
        </is>
      </c>
      <c r="G1646" s="31" t="n">
        <v>1</v>
      </c>
      <c r="H1646" s="30" t="n"/>
      <c r="I1646" s="43" t="n"/>
      <c r="J1646" s="41" t="n"/>
      <c r="K1646" s="41" t="n"/>
      <c r="L1646" s="41" t="n"/>
      <c r="M1646" s="31">
        <f>IF(COUNT(J1646:L1646)=0,"",MEDIAN(J1646:L1646))</f>
        <v/>
      </c>
      <c r="N1646" s="26">
        <f>IF(COUNTIFS($C:$C,$C1646,$D:$D,$D1646,$E:$E,"P0(전)",$M:$M,"&gt;0")&lt;&gt;1,"P0(전) 유효 1개 아님",IF(COUNTIFS($C:$C,$C1646,$D:$D,$D1646,$E:$E,"P0(후)",$M:$M,"&gt;0")&lt;&gt;1,"P0(후) 유효 1개 아님",IF(NOT(AND(ISNUMBER(O1646),ISNUMBER(Q1646),ISNUMBER(I1646))),"시각 결측",IF(Q1646&lt;=O1646,"P0 시각 역전",IF(OR(I1646&lt;O1646,I1646&gt;Q1646),"측정시각 구간 밖","OK")))))</f>
        <v/>
      </c>
      <c r="O1646" s="48">
        <f>IF(COUNTIFS($C:$C,$C1646,$D:$D,$D1646,$E:$E,"P0(전)",$M:$M,"&gt;0")&lt;&gt;1,"",SUMIFS($I:$I,$C:$C,$C1646,$D:$D,$D1646,$E:$E,"P0(전)"))</f>
        <v/>
      </c>
      <c r="P1646" s="31">
        <f>IF(COUNTIFS($C:$C,$C1646,$D:$D,$D1646,$E:$E,"P0(전)",$M:$M,"&gt;0")&lt;&gt;1,"",SUMIFS($M:$M,$C:$C,$C1646,$D:$D,$D1646,$E:$E,"P0(전)"))</f>
        <v/>
      </c>
      <c r="Q1646" s="48">
        <f>IF(COUNTIFS($C:$C,$C1646,$D:$D,$D1646,$E:$E,"P0(후)",$M:$M,"&gt;0")&lt;&gt;1,"",SUMIFS($I:$I,$C:$C,$C1646,$D:$D,$D1646,$E:$E,"P0(후)"))</f>
        <v/>
      </c>
      <c r="R1646" s="31">
        <f>IF(COUNTIFS($C:$C,$C1646,$D:$D,$D1646,$E:$E,"P0(후)",$M:$M,"&gt;0")&lt;&gt;1,"",SUMIFS($M:$M,$C:$C,$C1646,$D:$D,$D1646,$E:$E,"P0(후)"))</f>
        <v/>
      </c>
      <c r="S1646" s="31">
        <f>IF(N1646&lt;&gt;"OK","",P1646+(R1646-P1646)*(I1646-O1646)/(Q1646-O1646))</f>
        <v/>
      </c>
      <c r="T1646" s="31">
        <f>IF(OR(N1646&lt;&gt;"OK",NOT(ISNUMBER(M1646))),"",M1646-S1646)</f>
        <v/>
      </c>
      <c r="U1646" s="49">
        <f>IF(OR(NOT(ISNUMBER(T1646)),IF(ISNUMBER(H1646),H1646,G1646)=0),"",T1646/IF(ISNUMBER(H1646),H1646,G1646))</f>
        <v/>
      </c>
      <c r="V1646" s="49">
        <f>IF(ISNUMBER(U1646),ABS(U1646),"")</f>
        <v/>
      </c>
      <c r="W1646" s="49">
        <f>IF(OR($E1645&lt;&gt;"측정",$C1645&lt;&gt;$C1646,$D1645&lt;&gt;$D1646,NOT(ISNUMBER(M1646)),NOT(ISNUMBER(M1645)),(IF(ISNUMBER(H1646),H1646,G1646)-IF(ISNUMBER(H1645),H1645,G1645))=0),"",(M1646-M1645)/(IF(ISNUMBER(H1646),H1646,G1646)-IF(ISNUMBER(H1645),H1645,G1645)))</f>
        <v/>
      </c>
      <c r="X1646" s="31">
        <f>IF(NOT(AND(ISNUMBER(O1646),ISNUMBER(Q1646))),"",(Q1646-O1646)*1440)</f>
        <v/>
      </c>
      <c r="Y1646" s="29" t="n"/>
      <c r="Z1646" s="29" t="n"/>
      <c r="AA1646" s="29" t="n"/>
      <c r="AB1646" s="32" t="n"/>
      <c r="AC1646" s="32" t="n"/>
    </row>
    <row r="1647">
      <c r="A1647" s="26" t="inlineStr">
        <is>
          <t>S32</t>
        </is>
      </c>
      <c r="B1647" s="26" t="inlineStr">
        <is>
          <t>함양 신규점</t>
        </is>
      </c>
      <c r="C1647" s="26" t="inlineStr">
        <is>
          <t>S32-H남</t>
        </is>
      </c>
      <c r="D1647" s="47" t="n">
        <v>1</v>
      </c>
      <c r="E1647" s="26" t="inlineStr">
        <is>
          <t>측정</t>
        </is>
      </c>
      <c r="F1647" s="26" t="inlineStr">
        <is>
          <t>남</t>
        </is>
      </c>
      <c r="G1647" s="31" t="n">
        <v>2</v>
      </c>
      <c r="H1647" s="30" t="n"/>
      <c r="I1647" s="43" t="n"/>
      <c r="J1647" s="41" t="n"/>
      <c r="K1647" s="41" t="n"/>
      <c r="L1647" s="41" t="n"/>
      <c r="M1647" s="31">
        <f>IF(COUNT(J1647:L1647)=0,"",MEDIAN(J1647:L1647))</f>
        <v/>
      </c>
      <c r="N1647" s="26">
        <f>IF(COUNTIFS($C:$C,$C1647,$D:$D,$D1647,$E:$E,"P0(전)",$M:$M,"&gt;0")&lt;&gt;1,"P0(전) 유효 1개 아님",IF(COUNTIFS($C:$C,$C1647,$D:$D,$D1647,$E:$E,"P0(후)",$M:$M,"&gt;0")&lt;&gt;1,"P0(후) 유효 1개 아님",IF(NOT(AND(ISNUMBER(O1647),ISNUMBER(Q1647),ISNUMBER(I1647))),"시각 결측",IF(Q1647&lt;=O1647,"P0 시각 역전",IF(OR(I1647&lt;O1647,I1647&gt;Q1647),"측정시각 구간 밖","OK")))))</f>
        <v/>
      </c>
      <c r="O1647" s="48">
        <f>IF(COUNTIFS($C:$C,$C1647,$D:$D,$D1647,$E:$E,"P0(전)",$M:$M,"&gt;0")&lt;&gt;1,"",SUMIFS($I:$I,$C:$C,$C1647,$D:$D,$D1647,$E:$E,"P0(전)"))</f>
        <v/>
      </c>
      <c r="P1647" s="31">
        <f>IF(COUNTIFS($C:$C,$C1647,$D:$D,$D1647,$E:$E,"P0(전)",$M:$M,"&gt;0")&lt;&gt;1,"",SUMIFS($M:$M,$C:$C,$C1647,$D:$D,$D1647,$E:$E,"P0(전)"))</f>
        <v/>
      </c>
      <c r="Q1647" s="48">
        <f>IF(COUNTIFS($C:$C,$C1647,$D:$D,$D1647,$E:$E,"P0(후)",$M:$M,"&gt;0")&lt;&gt;1,"",SUMIFS($I:$I,$C:$C,$C1647,$D:$D,$D1647,$E:$E,"P0(후)"))</f>
        <v/>
      </c>
      <c r="R1647" s="31">
        <f>IF(COUNTIFS($C:$C,$C1647,$D:$D,$D1647,$E:$E,"P0(후)",$M:$M,"&gt;0")&lt;&gt;1,"",SUMIFS($M:$M,$C:$C,$C1647,$D:$D,$D1647,$E:$E,"P0(후)"))</f>
        <v/>
      </c>
      <c r="S1647" s="31">
        <f>IF(N1647&lt;&gt;"OK","",P1647+(R1647-P1647)*(I1647-O1647)/(Q1647-O1647))</f>
        <v/>
      </c>
      <c r="T1647" s="31">
        <f>IF(OR(N1647&lt;&gt;"OK",NOT(ISNUMBER(M1647))),"",M1647-S1647)</f>
        <v/>
      </c>
      <c r="U1647" s="49">
        <f>IF(OR(NOT(ISNUMBER(T1647)),IF(ISNUMBER(H1647),H1647,G1647)=0),"",T1647/IF(ISNUMBER(H1647),H1647,G1647))</f>
        <v/>
      </c>
      <c r="V1647" s="49">
        <f>IF(ISNUMBER(U1647),ABS(U1647),"")</f>
        <v/>
      </c>
      <c r="W1647" s="49">
        <f>IF(OR($E1646&lt;&gt;"측정",$C1646&lt;&gt;$C1647,$D1646&lt;&gt;$D1647,NOT(ISNUMBER(M1647)),NOT(ISNUMBER(M1646)),(IF(ISNUMBER(H1647),H1647,G1647)-IF(ISNUMBER(H1646),H1646,G1646))=0),"",(M1647-M1646)/(IF(ISNUMBER(H1647),H1647,G1647)-IF(ISNUMBER(H1646),H1646,G1646)))</f>
        <v/>
      </c>
      <c r="X1647" s="31">
        <f>IF(NOT(AND(ISNUMBER(O1647),ISNUMBER(Q1647))),"",(Q1647-O1647)*1440)</f>
        <v/>
      </c>
      <c r="Y1647" s="29" t="n"/>
      <c r="Z1647" s="29" t="n"/>
      <c r="AA1647" s="29" t="n"/>
      <c r="AB1647" s="32" t="n"/>
      <c r="AC1647" s="32" t="n"/>
    </row>
    <row r="1648">
      <c r="A1648" s="26" t="inlineStr">
        <is>
          <t>S32</t>
        </is>
      </c>
      <c r="B1648" s="26" t="inlineStr">
        <is>
          <t>함양 신규점</t>
        </is>
      </c>
      <c r="C1648" s="26" t="inlineStr">
        <is>
          <t>S32-H남</t>
        </is>
      </c>
      <c r="D1648" s="47" t="n">
        <v>1</v>
      </c>
      <c r="E1648" s="26" t="inlineStr">
        <is>
          <t>측정</t>
        </is>
      </c>
      <c r="F1648" s="26" t="inlineStr">
        <is>
          <t>남</t>
        </is>
      </c>
      <c r="G1648" s="31" t="n">
        <v>3</v>
      </c>
      <c r="H1648" s="30" t="n"/>
      <c r="I1648" s="43" t="n"/>
      <c r="J1648" s="41" t="n"/>
      <c r="K1648" s="41" t="n"/>
      <c r="L1648" s="41" t="n"/>
      <c r="M1648" s="31">
        <f>IF(COUNT(J1648:L1648)=0,"",MEDIAN(J1648:L1648))</f>
        <v/>
      </c>
      <c r="N1648" s="26">
        <f>IF(COUNTIFS($C:$C,$C1648,$D:$D,$D1648,$E:$E,"P0(전)",$M:$M,"&gt;0")&lt;&gt;1,"P0(전) 유효 1개 아님",IF(COUNTIFS($C:$C,$C1648,$D:$D,$D1648,$E:$E,"P0(후)",$M:$M,"&gt;0")&lt;&gt;1,"P0(후) 유효 1개 아님",IF(NOT(AND(ISNUMBER(O1648),ISNUMBER(Q1648),ISNUMBER(I1648))),"시각 결측",IF(Q1648&lt;=O1648,"P0 시각 역전",IF(OR(I1648&lt;O1648,I1648&gt;Q1648),"측정시각 구간 밖","OK")))))</f>
        <v/>
      </c>
      <c r="O1648" s="48">
        <f>IF(COUNTIFS($C:$C,$C1648,$D:$D,$D1648,$E:$E,"P0(전)",$M:$M,"&gt;0")&lt;&gt;1,"",SUMIFS($I:$I,$C:$C,$C1648,$D:$D,$D1648,$E:$E,"P0(전)"))</f>
        <v/>
      </c>
      <c r="P1648" s="31">
        <f>IF(COUNTIFS($C:$C,$C1648,$D:$D,$D1648,$E:$E,"P0(전)",$M:$M,"&gt;0")&lt;&gt;1,"",SUMIFS($M:$M,$C:$C,$C1648,$D:$D,$D1648,$E:$E,"P0(전)"))</f>
        <v/>
      </c>
      <c r="Q1648" s="48">
        <f>IF(COUNTIFS($C:$C,$C1648,$D:$D,$D1648,$E:$E,"P0(후)",$M:$M,"&gt;0")&lt;&gt;1,"",SUMIFS($I:$I,$C:$C,$C1648,$D:$D,$D1648,$E:$E,"P0(후)"))</f>
        <v/>
      </c>
      <c r="R1648" s="31">
        <f>IF(COUNTIFS($C:$C,$C1648,$D:$D,$D1648,$E:$E,"P0(후)",$M:$M,"&gt;0")&lt;&gt;1,"",SUMIFS($M:$M,$C:$C,$C1648,$D:$D,$D1648,$E:$E,"P0(후)"))</f>
        <v/>
      </c>
      <c r="S1648" s="31">
        <f>IF(N1648&lt;&gt;"OK","",P1648+(R1648-P1648)*(I1648-O1648)/(Q1648-O1648))</f>
        <v/>
      </c>
      <c r="T1648" s="31">
        <f>IF(OR(N1648&lt;&gt;"OK",NOT(ISNUMBER(M1648))),"",M1648-S1648)</f>
        <v/>
      </c>
      <c r="U1648" s="49">
        <f>IF(OR(NOT(ISNUMBER(T1648)),IF(ISNUMBER(H1648),H1648,G1648)=0),"",T1648/IF(ISNUMBER(H1648),H1648,G1648))</f>
        <v/>
      </c>
      <c r="V1648" s="49">
        <f>IF(ISNUMBER(U1648),ABS(U1648),"")</f>
        <v/>
      </c>
      <c r="W1648" s="49">
        <f>IF(OR($E1647&lt;&gt;"측정",$C1647&lt;&gt;$C1648,$D1647&lt;&gt;$D1648,NOT(ISNUMBER(M1648)),NOT(ISNUMBER(M1647)),(IF(ISNUMBER(H1648),H1648,G1648)-IF(ISNUMBER(H1647),H1647,G1647))=0),"",(M1648-M1647)/(IF(ISNUMBER(H1648),H1648,G1648)-IF(ISNUMBER(H1647),H1647,G1647)))</f>
        <v/>
      </c>
      <c r="X1648" s="31">
        <f>IF(NOT(AND(ISNUMBER(O1648),ISNUMBER(Q1648))),"",(Q1648-O1648)*1440)</f>
        <v/>
      </c>
      <c r="Y1648" s="29" t="n"/>
      <c r="Z1648" s="29" t="n"/>
      <c r="AA1648" s="29" t="n"/>
      <c r="AB1648" s="32" t="n"/>
      <c r="AC1648" s="32" t="n"/>
    </row>
    <row r="1649">
      <c r="A1649" s="26" t="inlineStr">
        <is>
          <t>S32</t>
        </is>
      </c>
      <c r="B1649" s="26" t="inlineStr">
        <is>
          <t>함양 신규점</t>
        </is>
      </c>
      <c r="C1649" s="26" t="inlineStr">
        <is>
          <t>S32-H남</t>
        </is>
      </c>
      <c r="D1649" s="47" t="n">
        <v>1</v>
      </c>
      <c r="E1649" s="26" t="inlineStr">
        <is>
          <t>측정</t>
        </is>
      </c>
      <c r="F1649" s="26" t="inlineStr">
        <is>
          <t>남</t>
        </is>
      </c>
      <c r="G1649" s="31" t="n">
        <v>4</v>
      </c>
      <c r="H1649" s="30" t="n"/>
      <c r="I1649" s="43" t="n"/>
      <c r="J1649" s="41" t="n"/>
      <c r="K1649" s="41" t="n"/>
      <c r="L1649" s="41" t="n"/>
      <c r="M1649" s="31">
        <f>IF(COUNT(J1649:L1649)=0,"",MEDIAN(J1649:L1649))</f>
        <v/>
      </c>
      <c r="N1649" s="26">
        <f>IF(COUNTIFS($C:$C,$C1649,$D:$D,$D1649,$E:$E,"P0(전)",$M:$M,"&gt;0")&lt;&gt;1,"P0(전) 유효 1개 아님",IF(COUNTIFS($C:$C,$C1649,$D:$D,$D1649,$E:$E,"P0(후)",$M:$M,"&gt;0")&lt;&gt;1,"P0(후) 유효 1개 아님",IF(NOT(AND(ISNUMBER(O1649),ISNUMBER(Q1649),ISNUMBER(I1649))),"시각 결측",IF(Q1649&lt;=O1649,"P0 시각 역전",IF(OR(I1649&lt;O1649,I1649&gt;Q1649),"측정시각 구간 밖","OK")))))</f>
        <v/>
      </c>
      <c r="O1649" s="48">
        <f>IF(COUNTIFS($C:$C,$C1649,$D:$D,$D1649,$E:$E,"P0(전)",$M:$M,"&gt;0")&lt;&gt;1,"",SUMIFS($I:$I,$C:$C,$C1649,$D:$D,$D1649,$E:$E,"P0(전)"))</f>
        <v/>
      </c>
      <c r="P1649" s="31">
        <f>IF(COUNTIFS($C:$C,$C1649,$D:$D,$D1649,$E:$E,"P0(전)",$M:$M,"&gt;0")&lt;&gt;1,"",SUMIFS($M:$M,$C:$C,$C1649,$D:$D,$D1649,$E:$E,"P0(전)"))</f>
        <v/>
      </c>
      <c r="Q1649" s="48">
        <f>IF(COUNTIFS($C:$C,$C1649,$D:$D,$D1649,$E:$E,"P0(후)",$M:$M,"&gt;0")&lt;&gt;1,"",SUMIFS($I:$I,$C:$C,$C1649,$D:$D,$D1649,$E:$E,"P0(후)"))</f>
        <v/>
      </c>
      <c r="R1649" s="31">
        <f>IF(COUNTIFS($C:$C,$C1649,$D:$D,$D1649,$E:$E,"P0(후)",$M:$M,"&gt;0")&lt;&gt;1,"",SUMIFS($M:$M,$C:$C,$C1649,$D:$D,$D1649,$E:$E,"P0(후)"))</f>
        <v/>
      </c>
      <c r="S1649" s="31">
        <f>IF(N1649&lt;&gt;"OK","",P1649+(R1649-P1649)*(I1649-O1649)/(Q1649-O1649))</f>
        <v/>
      </c>
      <c r="T1649" s="31">
        <f>IF(OR(N1649&lt;&gt;"OK",NOT(ISNUMBER(M1649))),"",M1649-S1649)</f>
        <v/>
      </c>
      <c r="U1649" s="49">
        <f>IF(OR(NOT(ISNUMBER(T1649)),IF(ISNUMBER(H1649),H1649,G1649)=0),"",T1649/IF(ISNUMBER(H1649),H1649,G1649))</f>
        <v/>
      </c>
      <c r="V1649" s="49">
        <f>IF(ISNUMBER(U1649),ABS(U1649),"")</f>
        <v/>
      </c>
      <c r="W1649" s="49">
        <f>IF(OR($E1648&lt;&gt;"측정",$C1648&lt;&gt;$C1649,$D1648&lt;&gt;$D1649,NOT(ISNUMBER(M1649)),NOT(ISNUMBER(M1648)),(IF(ISNUMBER(H1649),H1649,G1649)-IF(ISNUMBER(H1648),H1648,G1648))=0),"",(M1649-M1648)/(IF(ISNUMBER(H1649),H1649,G1649)-IF(ISNUMBER(H1648),H1648,G1648)))</f>
        <v/>
      </c>
      <c r="X1649" s="31">
        <f>IF(NOT(AND(ISNUMBER(O1649),ISNUMBER(Q1649))),"",(Q1649-O1649)*1440)</f>
        <v/>
      </c>
      <c r="Y1649" s="29" t="n"/>
      <c r="Z1649" s="29" t="n"/>
      <c r="AA1649" s="29" t="n"/>
      <c r="AB1649" s="32" t="n"/>
      <c r="AC1649" s="32" t="n"/>
    </row>
    <row r="1650">
      <c r="A1650" s="26" t="inlineStr">
        <is>
          <t>S32</t>
        </is>
      </c>
      <c r="B1650" s="26" t="inlineStr">
        <is>
          <t>함양 신규점</t>
        </is>
      </c>
      <c r="C1650" s="26" t="inlineStr">
        <is>
          <t>S32-H남</t>
        </is>
      </c>
      <c r="D1650" s="47" t="n">
        <v>1</v>
      </c>
      <c r="E1650" s="26" t="inlineStr">
        <is>
          <t>측정</t>
        </is>
      </c>
      <c r="F1650" s="26" t="inlineStr">
        <is>
          <t>남</t>
        </is>
      </c>
      <c r="G1650" s="31" t="n">
        <v>5</v>
      </c>
      <c r="H1650" s="30" t="n"/>
      <c r="I1650" s="43" t="n"/>
      <c r="J1650" s="41" t="n"/>
      <c r="K1650" s="41" t="n"/>
      <c r="L1650" s="41" t="n"/>
      <c r="M1650" s="31">
        <f>IF(COUNT(J1650:L1650)=0,"",MEDIAN(J1650:L1650))</f>
        <v/>
      </c>
      <c r="N1650" s="26">
        <f>IF(COUNTIFS($C:$C,$C1650,$D:$D,$D1650,$E:$E,"P0(전)",$M:$M,"&gt;0")&lt;&gt;1,"P0(전) 유효 1개 아님",IF(COUNTIFS($C:$C,$C1650,$D:$D,$D1650,$E:$E,"P0(후)",$M:$M,"&gt;0")&lt;&gt;1,"P0(후) 유효 1개 아님",IF(NOT(AND(ISNUMBER(O1650),ISNUMBER(Q1650),ISNUMBER(I1650))),"시각 결측",IF(Q1650&lt;=O1650,"P0 시각 역전",IF(OR(I1650&lt;O1650,I1650&gt;Q1650),"측정시각 구간 밖","OK")))))</f>
        <v/>
      </c>
      <c r="O1650" s="48">
        <f>IF(COUNTIFS($C:$C,$C1650,$D:$D,$D1650,$E:$E,"P0(전)",$M:$M,"&gt;0")&lt;&gt;1,"",SUMIFS($I:$I,$C:$C,$C1650,$D:$D,$D1650,$E:$E,"P0(전)"))</f>
        <v/>
      </c>
      <c r="P1650" s="31">
        <f>IF(COUNTIFS($C:$C,$C1650,$D:$D,$D1650,$E:$E,"P0(전)",$M:$M,"&gt;0")&lt;&gt;1,"",SUMIFS($M:$M,$C:$C,$C1650,$D:$D,$D1650,$E:$E,"P0(전)"))</f>
        <v/>
      </c>
      <c r="Q1650" s="48">
        <f>IF(COUNTIFS($C:$C,$C1650,$D:$D,$D1650,$E:$E,"P0(후)",$M:$M,"&gt;0")&lt;&gt;1,"",SUMIFS($I:$I,$C:$C,$C1650,$D:$D,$D1650,$E:$E,"P0(후)"))</f>
        <v/>
      </c>
      <c r="R1650" s="31">
        <f>IF(COUNTIFS($C:$C,$C1650,$D:$D,$D1650,$E:$E,"P0(후)",$M:$M,"&gt;0")&lt;&gt;1,"",SUMIFS($M:$M,$C:$C,$C1650,$D:$D,$D1650,$E:$E,"P0(후)"))</f>
        <v/>
      </c>
      <c r="S1650" s="31">
        <f>IF(N1650&lt;&gt;"OK","",P1650+(R1650-P1650)*(I1650-O1650)/(Q1650-O1650))</f>
        <v/>
      </c>
      <c r="T1650" s="31">
        <f>IF(OR(N1650&lt;&gt;"OK",NOT(ISNUMBER(M1650))),"",M1650-S1650)</f>
        <v/>
      </c>
      <c r="U1650" s="49">
        <f>IF(OR(NOT(ISNUMBER(T1650)),IF(ISNUMBER(H1650),H1650,G1650)=0),"",T1650/IF(ISNUMBER(H1650),H1650,G1650))</f>
        <v/>
      </c>
      <c r="V1650" s="49">
        <f>IF(ISNUMBER(U1650),ABS(U1650),"")</f>
        <v/>
      </c>
      <c r="W1650" s="49">
        <f>IF(OR($E1649&lt;&gt;"측정",$C1649&lt;&gt;$C1650,$D1649&lt;&gt;$D1650,NOT(ISNUMBER(M1650)),NOT(ISNUMBER(M1649)),(IF(ISNUMBER(H1650),H1650,G1650)-IF(ISNUMBER(H1649),H1649,G1649))=0),"",(M1650-M1649)/(IF(ISNUMBER(H1650),H1650,G1650)-IF(ISNUMBER(H1649),H1649,G1649)))</f>
        <v/>
      </c>
      <c r="X1650" s="31">
        <f>IF(NOT(AND(ISNUMBER(O1650),ISNUMBER(Q1650))),"",(Q1650-O1650)*1440)</f>
        <v/>
      </c>
      <c r="Y1650" s="29" t="n"/>
      <c r="Z1650" s="29" t="n"/>
      <c r="AA1650" s="29" t="n"/>
      <c r="AB1650" s="32" t="n"/>
      <c r="AC1650" s="32" t="n"/>
    </row>
    <row r="1651">
      <c r="A1651" s="26" t="inlineStr">
        <is>
          <t>S32</t>
        </is>
      </c>
      <c r="B1651" s="26" t="inlineStr">
        <is>
          <t>함양 신규점</t>
        </is>
      </c>
      <c r="C1651" s="26" t="inlineStr">
        <is>
          <t>S32-H남</t>
        </is>
      </c>
      <c r="D1651" s="47" t="n">
        <v>1</v>
      </c>
      <c r="E1651" s="26" t="inlineStr">
        <is>
          <t>측정</t>
        </is>
      </c>
      <c r="F1651" s="26" t="inlineStr">
        <is>
          <t>남</t>
        </is>
      </c>
      <c r="G1651" s="31" t="n">
        <v>6</v>
      </c>
      <c r="H1651" s="30" t="n"/>
      <c r="I1651" s="43" t="n"/>
      <c r="J1651" s="41" t="n"/>
      <c r="K1651" s="41" t="n"/>
      <c r="L1651" s="41" t="n"/>
      <c r="M1651" s="31">
        <f>IF(COUNT(J1651:L1651)=0,"",MEDIAN(J1651:L1651))</f>
        <v/>
      </c>
      <c r="N1651" s="26">
        <f>IF(COUNTIFS($C:$C,$C1651,$D:$D,$D1651,$E:$E,"P0(전)",$M:$M,"&gt;0")&lt;&gt;1,"P0(전) 유효 1개 아님",IF(COUNTIFS($C:$C,$C1651,$D:$D,$D1651,$E:$E,"P0(후)",$M:$M,"&gt;0")&lt;&gt;1,"P0(후) 유효 1개 아님",IF(NOT(AND(ISNUMBER(O1651),ISNUMBER(Q1651),ISNUMBER(I1651))),"시각 결측",IF(Q1651&lt;=O1651,"P0 시각 역전",IF(OR(I1651&lt;O1651,I1651&gt;Q1651),"측정시각 구간 밖","OK")))))</f>
        <v/>
      </c>
      <c r="O1651" s="48">
        <f>IF(COUNTIFS($C:$C,$C1651,$D:$D,$D1651,$E:$E,"P0(전)",$M:$M,"&gt;0")&lt;&gt;1,"",SUMIFS($I:$I,$C:$C,$C1651,$D:$D,$D1651,$E:$E,"P0(전)"))</f>
        <v/>
      </c>
      <c r="P1651" s="31">
        <f>IF(COUNTIFS($C:$C,$C1651,$D:$D,$D1651,$E:$E,"P0(전)",$M:$M,"&gt;0")&lt;&gt;1,"",SUMIFS($M:$M,$C:$C,$C1651,$D:$D,$D1651,$E:$E,"P0(전)"))</f>
        <v/>
      </c>
      <c r="Q1651" s="48">
        <f>IF(COUNTIFS($C:$C,$C1651,$D:$D,$D1651,$E:$E,"P0(후)",$M:$M,"&gt;0")&lt;&gt;1,"",SUMIFS($I:$I,$C:$C,$C1651,$D:$D,$D1651,$E:$E,"P0(후)"))</f>
        <v/>
      </c>
      <c r="R1651" s="31">
        <f>IF(COUNTIFS($C:$C,$C1651,$D:$D,$D1651,$E:$E,"P0(후)",$M:$M,"&gt;0")&lt;&gt;1,"",SUMIFS($M:$M,$C:$C,$C1651,$D:$D,$D1651,$E:$E,"P0(후)"))</f>
        <v/>
      </c>
      <c r="S1651" s="31">
        <f>IF(N1651&lt;&gt;"OK","",P1651+(R1651-P1651)*(I1651-O1651)/(Q1651-O1651))</f>
        <v/>
      </c>
      <c r="T1651" s="31">
        <f>IF(OR(N1651&lt;&gt;"OK",NOT(ISNUMBER(M1651))),"",M1651-S1651)</f>
        <v/>
      </c>
      <c r="U1651" s="49">
        <f>IF(OR(NOT(ISNUMBER(T1651)),IF(ISNUMBER(H1651),H1651,G1651)=0),"",T1651/IF(ISNUMBER(H1651),H1651,G1651))</f>
        <v/>
      </c>
      <c r="V1651" s="49">
        <f>IF(ISNUMBER(U1651),ABS(U1651),"")</f>
        <v/>
      </c>
      <c r="W1651" s="49">
        <f>IF(OR($E1650&lt;&gt;"측정",$C1650&lt;&gt;$C1651,$D1650&lt;&gt;$D1651,NOT(ISNUMBER(M1651)),NOT(ISNUMBER(M1650)),(IF(ISNUMBER(H1651),H1651,G1651)-IF(ISNUMBER(H1650),H1650,G1650))=0),"",(M1651-M1650)/(IF(ISNUMBER(H1651),H1651,G1651)-IF(ISNUMBER(H1650),H1650,G1650)))</f>
        <v/>
      </c>
      <c r="X1651" s="31">
        <f>IF(NOT(AND(ISNUMBER(O1651),ISNUMBER(Q1651))),"",(Q1651-O1651)*1440)</f>
        <v/>
      </c>
      <c r="Y1651" s="29" t="n"/>
      <c r="Z1651" s="29" t="n"/>
      <c r="AA1651" s="29" t="n"/>
      <c r="AB1651" s="32" t="n"/>
      <c r="AC1651" s="32" t="n"/>
    </row>
    <row r="1652">
      <c r="A1652" s="26" t="inlineStr">
        <is>
          <t>S32</t>
        </is>
      </c>
      <c r="B1652" s="26" t="inlineStr">
        <is>
          <t>함양 신규점</t>
        </is>
      </c>
      <c r="C1652" s="26" t="inlineStr">
        <is>
          <t>S32-H남</t>
        </is>
      </c>
      <c r="D1652" s="47" t="n">
        <v>1</v>
      </c>
      <c r="E1652" s="26" t="inlineStr">
        <is>
          <t>측정</t>
        </is>
      </c>
      <c r="F1652" s="26" t="inlineStr">
        <is>
          <t>남</t>
        </is>
      </c>
      <c r="G1652" s="31" t="n">
        <v>7</v>
      </c>
      <c r="H1652" s="30" t="n"/>
      <c r="I1652" s="43" t="n"/>
      <c r="J1652" s="41" t="n"/>
      <c r="K1652" s="41" t="n"/>
      <c r="L1652" s="41" t="n"/>
      <c r="M1652" s="31">
        <f>IF(COUNT(J1652:L1652)=0,"",MEDIAN(J1652:L1652))</f>
        <v/>
      </c>
      <c r="N1652" s="26">
        <f>IF(COUNTIFS($C:$C,$C1652,$D:$D,$D1652,$E:$E,"P0(전)",$M:$M,"&gt;0")&lt;&gt;1,"P0(전) 유효 1개 아님",IF(COUNTIFS($C:$C,$C1652,$D:$D,$D1652,$E:$E,"P0(후)",$M:$M,"&gt;0")&lt;&gt;1,"P0(후) 유효 1개 아님",IF(NOT(AND(ISNUMBER(O1652),ISNUMBER(Q1652),ISNUMBER(I1652))),"시각 결측",IF(Q1652&lt;=O1652,"P0 시각 역전",IF(OR(I1652&lt;O1652,I1652&gt;Q1652),"측정시각 구간 밖","OK")))))</f>
        <v/>
      </c>
      <c r="O1652" s="48">
        <f>IF(COUNTIFS($C:$C,$C1652,$D:$D,$D1652,$E:$E,"P0(전)",$M:$M,"&gt;0")&lt;&gt;1,"",SUMIFS($I:$I,$C:$C,$C1652,$D:$D,$D1652,$E:$E,"P0(전)"))</f>
        <v/>
      </c>
      <c r="P1652" s="31">
        <f>IF(COUNTIFS($C:$C,$C1652,$D:$D,$D1652,$E:$E,"P0(전)",$M:$M,"&gt;0")&lt;&gt;1,"",SUMIFS($M:$M,$C:$C,$C1652,$D:$D,$D1652,$E:$E,"P0(전)"))</f>
        <v/>
      </c>
      <c r="Q1652" s="48">
        <f>IF(COUNTIFS($C:$C,$C1652,$D:$D,$D1652,$E:$E,"P0(후)",$M:$M,"&gt;0")&lt;&gt;1,"",SUMIFS($I:$I,$C:$C,$C1652,$D:$D,$D1652,$E:$E,"P0(후)"))</f>
        <v/>
      </c>
      <c r="R1652" s="31">
        <f>IF(COUNTIFS($C:$C,$C1652,$D:$D,$D1652,$E:$E,"P0(후)",$M:$M,"&gt;0")&lt;&gt;1,"",SUMIFS($M:$M,$C:$C,$C1652,$D:$D,$D1652,$E:$E,"P0(후)"))</f>
        <v/>
      </c>
      <c r="S1652" s="31">
        <f>IF(N1652&lt;&gt;"OK","",P1652+(R1652-P1652)*(I1652-O1652)/(Q1652-O1652))</f>
        <v/>
      </c>
      <c r="T1652" s="31">
        <f>IF(OR(N1652&lt;&gt;"OK",NOT(ISNUMBER(M1652))),"",M1652-S1652)</f>
        <v/>
      </c>
      <c r="U1652" s="49">
        <f>IF(OR(NOT(ISNUMBER(T1652)),IF(ISNUMBER(H1652),H1652,G1652)=0),"",T1652/IF(ISNUMBER(H1652),H1652,G1652))</f>
        <v/>
      </c>
      <c r="V1652" s="49">
        <f>IF(ISNUMBER(U1652),ABS(U1652),"")</f>
        <v/>
      </c>
      <c r="W1652" s="49">
        <f>IF(OR($E1651&lt;&gt;"측정",$C1651&lt;&gt;$C1652,$D1651&lt;&gt;$D1652,NOT(ISNUMBER(M1652)),NOT(ISNUMBER(M1651)),(IF(ISNUMBER(H1652),H1652,G1652)-IF(ISNUMBER(H1651),H1651,G1651))=0),"",(M1652-M1651)/(IF(ISNUMBER(H1652),H1652,G1652)-IF(ISNUMBER(H1651),H1651,G1651)))</f>
        <v/>
      </c>
      <c r="X1652" s="31">
        <f>IF(NOT(AND(ISNUMBER(O1652),ISNUMBER(Q1652))),"",(Q1652-O1652)*1440)</f>
        <v/>
      </c>
      <c r="Y1652" s="29" t="n"/>
      <c r="Z1652" s="29" t="n"/>
      <c r="AA1652" s="29" t="n"/>
      <c r="AB1652" s="32" t="n"/>
      <c r="AC1652" s="32" t="n"/>
    </row>
    <row r="1653">
      <c r="A1653" s="26" t="inlineStr">
        <is>
          <t>S32</t>
        </is>
      </c>
      <c r="B1653" s="26" t="inlineStr">
        <is>
          <t>함양 신규점</t>
        </is>
      </c>
      <c r="C1653" s="26" t="inlineStr">
        <is>
          <t>S32-H남</t>
        </is>
      </c>
      <c r="D1653" s="47" t="n">
        <v>1</v>
      </c>
      <c r="E1653" s="26" t="inlineStr">
        <is>
          <t>측정</t>
        </is>
      </c>
      <c r="F1653" s="26" t="inlineStr">
        <is>
          <t>남</t>
        </is>
      </c>
      <c r="G1653" s="31" t="n">
        <v>8</v>
      </c>
      <c r="H1653" s="30" t="n"/>
      <c r="I1653" s="43" t="n"/>
      <c r="J1653" s="41" t="n"/>
      <c r="K1653" s="41" t="n"/>
      <c r="L1653" s="41" t="n"/>
      <c r="M1653" s="31">
        <f>IF(COUNT(J1653:L1653)=0,"",MEDIAN(J1653:L1653))</f>
        <v/>
      </c>
      <c r="N1653" s="26">
        <f>IF(COUNTIFS($C:$C,$C1653,$D:$D,$D1653,$E:$E,"P0(전)",$M:$M,"&gt;0")&lt;&gt;1,"P0(전) 유효 1개 아님",IF(COUNTIFS($C:$C,$C1653,$D:$D,$D1653,$E:$E,"P0(후)",$M:$M,"&gt;0")&lt;&gt;1,"P0(후) 유효 1개 아님",IF(NOT(AND(ISNUMBER(O1653),ISNUMBER(Q1653),ISNUMBER(I1653))),"시각 결측",IF(Q1653&lt;=O1653,"P0 시각 역전",IF(OR(I1653&lt;O1653,I1653&gt;Q1653),"측정시각 구간 밖","OK")))))</f>
        <v/>
      </c>
      <c r="O1653" s="48">
        <f>IF(COUNTIFS($C:$C,$C1653,$D:$D,$D1653,$E:$E,"P0(전)",$M:$M,"&gt;0")&lt;&gt;1,"",SUMIFS($I:$I,$C:$C,$C1653,$D:$D,$D1653,$E:$E,"P0(전)"))</f>
        <v/>
      </c>
      <c r="P1653" s="31">
        <f>IF(COUNTIFS($C:$C,$C1653,$D:$D,$D1653,$E:$E,"P0(전)",$M:$M,"&gt;0")&lt;&gt;1,"",SUMIFS($M:$M,$C:$C,$C1653,$D:$D,$D1653,$E:$E,"P0(전)"))</f>
        <v/>
      </c>
      <c r="Q1653" s="48">
        <f>IF(COUNTIFS($C:$C,$C1653,$D:$D,$D1653,$E:$E,"P0(후)",$M:$M,"&gt;0")&lt;&gt;1,"",SUMIFS($I:$I,$C:$C,$C1653,$D:$D,$D1653,$E:$E,"P0(후)"))</f>
        <v/>
      </c>
      <c r="R1653" s="31">
        <f>IF(COUNTIFS($C:$C,$C1653,$D:$D,$D1653,$E:$E,"P0(후)",$M:$M,"&gt;0")&lt;&gt;1,"",SUMIFS($M:$M,$C:$C,$C1653,$D:$D,$D1653,$E:$E,"P0(후)"))</f>
        <v/>
      </c>
      <c r="S1653" s="31">
        <f>IF(N1653&lt;&gt;"OK","",P1653+(R1653-P1653)*(I1653-O1653)/(Q1653-O1653))</f>
        <v/>
      </c>
      <c r="T1653" s="31">
        <f>IF(OR(N1653&lt;&gt;"OK",NOT(ISNUMBER(M1653))),"",M1653-S1653)</f>
        <v/>
      </c>
      <c r="U1653" s="49">
        <f>IF(OR(NOT(ISNUMBER(T1653)),IF(ISNUMBER(H1653),H1653,G1653)=0),"",T1653/IF(ISNUMBER(H1653),H1653,G1653))</f>
        <v/>
      </c>
      <c r="V1653" s="49">
        <f>IF(ISNUMBER(U1653),ABS(U1653),"")</f>
        <v/>
      </c>
      <c r="W1653" s="49">
        <f>IF(OR($E1652&lt;&gt;"측정",$C1652&lt;&gt;$C1653,$D1652&lt;&gt;$D1653,NOT(ISNUMBER(M1653)),NOT(ISNUMBER(M1652)),(IF(ISNUMBER(H1653),H1653,G1653)-IF(ISNUMBER(H1652),H1652,G1652))=0),"",(M1653-M1652)/(IF(ISNUMBER(H1653),H1653,G1653)-IF(ISNUMBER(H1652),H1652,G1652)))</f>
        <v/>
      </c>
      <c r="X1653" s="31">
        <f>IF(NOT(AND(ISNUMBER(O1653),ISNUMBER(Q1653))),"",(Q1653-O1653)*1440)</f>
        <v/>
      </c>
      <c r="Y1653" s="29" t="n"/>
      <c r="Z1653" s="29" t="n"/>
      <c r="AA1653" s="29" t="n"/>
      <c r="AB1653" s="32" t="n"/>
      <c r="AC1653" s="32" t="n"/>
    </row>
    <row r="1654">
      <c r="A1654" s="26" t="inlineStr">
        <is>
          <t>S32</t>
        </is>
      </c>
      <c r="B1654" s="26" t="inlineStr">
        <is>
          <t>함양 신규점</t>
        </is>
      </c>
      <c r="C1654" s="26" t="inlineStr">
        <is>
          <t>S32-H남</t>
        </is>
      </c>
      <c r="D1654" s="47" t="n">
        <v>1</v>
      </c>
      <c r="E1654" s="26" t="inlineStr">
        <is>
          <t>측정</t>
        </is>
      </c>
      <c r="F1654" s="26" t="inlineStr">
        <is>
          <t>남</t>
        </is>
      </c>
      <c r="G1654" s="31" t="n">
        <v>9</v>
      </c>
      <c r="H1654" s="30" t="n"/>
      <c r="I1654" s="43" t="n"/>
      <c r="J1654" s="41" t="n"/>
      <c r="K1654" s="41" t="n"/>
      <c r="L1654" s="41" t="n"/>
      <c r="M1654" s="31">
        <f>IF(COUNT(J1654:L1654)=0,"",MEDIAN(J1654:L1654))</f>
        <v/>
      </c>
      <c r="N1654" s="26">
        <f>IF(COUNTIFS($C:$C,$C1654,$D:$D,$D1654,$E:$E,"P0(전)",$M:$M,"&gt;0")&lt;&gt;1,"P0(전) 유효 1개 아님",IF(COUNTIFS($C:$C,$C1654,$D:$D,$D1654,$E:$E,"P0(후)",$M:$M,"&gt;0")&lt;&gt;1,"P0(후) 유효 1개 아님",IF(NOT(AND(ISNUMBER(O1654),ISNUMBER(Q1654),ISNUMBER(I1654))),"시각 결측",IF(Q1654&lt;=O1654,"P0 시각 역전",IF(OR(I1654&lt;O1654,I1654&gt;Q1654),"측정시각 구간 밖","OK")))))</f>
        <v/>
      </c>
      <c r="O1654" s="48">
        <f>IF(COUNTIFS($C:$C,$C1654,$D:$D,$D1654,$E:$E,"P0(전)",$M:$M,"&gt;0")&lt;&gt;1,"",SUMIFS($I:$I,$C:$C,$C1654,$D:$D,$D1654,$E:$E,"P0(전)"))</f>
        <v/>
      </c>
      <c r="P1654" s="31">
        <f>IF(COUNTIFS($C:$C,$C1654,$D:$D,$D1654,$E:$E,"P0(전)",$M:$M,"&gt;0")&lt;&gt;1,"",SUMIFS($M:$M,$C:$C,$C1654,$D:$D,$D1654,$E:$E,"P0(전)"))</f>
        <v/>
      </c>
      <c r="Q1654" s="48">
        <f>IF(COUNTIFS($C:$C,$C1654,$D:$D,$D1654,$E:$E,"P0(후)",$M:$M,"&gt;0")&lt;&gt;1,"",SUMIFS($I:$I,$C:$C,$C1654,$D:$D,$D1654,$E:$E,"P0(후)"))</f>
        <v/>
      </c>
      <c r="R1654" s="31">
        <f>IF(COUNTIFS($C:$C,$C1654,$D:$D,$D1654,$E:$E,"P0(후)",$M:$M,"&gt;0")&lt;&gt;1,"",SUMIFS($M:$M,$C:$C,$C1654,$D:$D,$D1654,$E:$E,"P0(후)"))</f>
        <v/>
      </c>
      <c r="S1654" s="31">
        <f>IF(N1654&lt;&gt;"OK","",P1654+(R1654-P1654)*(I1654-O1654)/(Q1654-O1654))</f>
        <v/>
      </c>
      <c r="T1654" s="31">
        <f>IF(OR(N1654&lt;&gt;"OK",NOT(ISNUMBER(M1654))),"",M1654-S1654)</f>
        <v/>
      </c>
      <c r="U1654" s="49">
        <f>IF(OR(NOT(ISNUMBER(T1654)),IF(ISNUMBER(H1654),H1654,G1654)=0),"",T1654/IF(ISNUMBER(H1654),H1654,G1654))</f>
        <v/>
      </c>
      <c r="V1654" s="49">
        <f>IF(ISNUMBER(U1654),ABS(U1654),"")</f>
        <v/>
      </c>
      <c r="W1654" s="49">
        <f>IF(OR($E1653&lt;&gt;"측정",$C1653&lt;&gt;$C1654,$D1653&lt;&gt;$D1654,NOT(ISNUMBER(M1654)),NOT(ISNUMBER(M1653)),(IF(ISNUMBER(H1654),H1654,G1654)-IF(ISNUMBER(H1653),H1653,G1653))=0),"",(M1654-M1653)/(IF(ISNUMBER(H1654),H1654,G1654)-IF(ISNUMBER(H1653),H1653,G1653)))</f>
        <v/>
      </c>
      <c r="X1654" s="31">
        <f>IF(NOT(AND(ISNUMBER(O1654),ISNUMBER(Q1654))),"",(Q1654-O1654)*1440)</f>
        <v/>
      </c>
      <c r="Y1654" s="29" t="n"/>
      <c r="Z1654" s="29" t="n"/>
      <c r="AA1654" s="29" t="n"/>
      <c r="AB1654" s="32" t="n"/>
      <c r="AC1654" s="32" t="n"/>
    </row>
    <row r="1655">
      <c r="A1655" s="26" t="inlineStr">
        <is>
          <t>S32</t>
        </is>
      </c>
      <c r="B1655" s="26" t="inlineStr">
        <is>
          <t>함양 신규점</t>
        </is>
      </c>
      <c r="C1655" s="26" t="inlineStr">
        <is>
          <t>S32-H남</t>
        </is>
      </c>
      <c r="D1655" s="47" t="n">
        <v>1</v>
      </c>
      <c r="E1655" s="26" t="inlineStr">
        <is>
          <t>측정</t>
        </is>
      </c>
      <c r="F1655" s="26" t="inlineStr">
        <is>
          <t>남</t>
        </is>
      </c>
      <c r="G1655" s="31" t="n">
        <v>10</v>
      </c>
      <c r="H1655" s="30" t="n"/>
      <c r="I1655" s="43" t="n"/>
      <c r="J1655" s="41" t="n"/>
      <c r="K1655" s="41" t="n"/>
      <c r="L1655" s="41" t="n"/>
      <c r="M1655" s="31">
        <f>IF(COUNT(J1655:L1655)=0,"",MEDIAN(J1655:L1655))</f>
        <v/>
      </c>
      <c r="N1655" s="26">
        <f>IF(COUNTIFS($C:$C,$C1655,$D:$D,$D1655,$E:$E,"P0(전)",$M:$M,"&gt;0")&lt;&gt;1,"P0(전) 유효 1개 아님",IF(COUNTIFS($C:$C,$C1655,$D:$D,$D1655,$E:$E,"P0(후)",$M:$M,"&gt;0")&lt;&gt;1,"P0(후) 유효 1개 아님",IF(NOT(AND(ISNUMBER(O1655),ISNUMBER(Q1655),ISNUMBER(I1655))),"시각 결측",IF(Q1655&lt;=O1655,"P0 시각 역전",IF(OR(I1655&lt;O1655,I1655&gt;Q1655),"측정시각 구간 밖","OK")))))</f>
        <v/>
      </c>
      <c r="O1655" s="48">
        <f>IF(COUNTIFS($C:$C,$C1655,$D:$D,$D1655,$E:$E,"P0(전)",$M:$M,"&gt;0")&lt;&gt;1,"",SUMIFS($I:$I,$C:$C,$C1655,$D:$D,$D1655,$E:$E,"P0(전)"))</f>
        <v/>
      </c>
      <c r="P1655" s="31">
        <f>IF(COUNTIFS($C:$C,$C1655,$D:$D,$D1655,$E:$E,"P0(전)",$M:$M,"&gt;0")&lt;&gt;1,"",SUMIFS($M:$M,$C:$C,$C1655,$D:$D,$D1655,$E:$E,"P0(전)"))</f>
        <v/>
      </c>
      <c r="Q1655" s="48">
        <f>IF(COUNTIFS($C:$C,$C1655,$D:$D,$D1655,$E:$E,"P0(후)",$M:$M,"&gt;0")&lt;&gt;1,"",SUMIFS($I:$I,$C:$C,$C1655,$D:$D,$D1655,$E:$E,"P0(후)"))</f>
        <v/>
      </c>
      <c r="R1655" s="31">
        <f>IF(COUNTIFS($C:$C,$C1655,$D:$D,$D1655,$E:$E,"P0(후)",$M:$M,"&gt;0")&lt;&gt;1,"",SUMIFS($M:$M,$C:$C,$C1655,$D:$D,$D1655,$E:$E,"P0(후)"))</f>
        <v/>
      </c>
      <c r="S1655" s="31">
        <f>IF(N1655&lt;&gt;"OK","",P1655+(R1655-P1655)*(I1655-O1655)/(Q1655-O1655))</f>
        <v/>
      </c>
      <c r="T1655" s="31">
        <f>IF(OR(N1655&lt;&gt;"OK",NOT(ISNUMBER(M1655))),"",M1655-S1655)</f>
        <v/>
      </c>
      <c r="U1655" s="49">
        <f>IF(OR(NOT(ISNUMBER(T1655)),IF(ISNUMBER(H1655),H1655,G1655)=0),"",T1655/IF(ISNUMBER(H1655),H1655,G1655))</f>
        <v/>
      </c>
      <c r="V1655" s="49">
        <f>IF(ISNUMBER(U1655),ABS(U1655),"")</f>
        <v/>
      </c>
      <c r="W1655" s="49">
        <f>IF(OR($E1654&lt;&gt;"측정",$C1654&lt;&gt;$C1655,$D1654&lt;&gt;$D1655,NOT(ISNUMBER(M1655)),NOT(ISNUMBER(M1654)),(IF(ISNUMBER(H1655),H1655,G1655)-IF(ISNUMBER(H1654),H1654,G1654))=0),"",(M1655-M1654)/(IF(ISNUMBER(H1655),H1655,G1655)-IF(ISNUMBER(H1654),H1654,G1654)))</f>
        <v/>
      </c>
      <c r="X1655" s="31">
        <f>IF(NOT(AND(ISNUMBER(O1655),ISNUMBER(Q1655))),"",(Q1655-O1655)*1440)</f>
        <v/>
      </c>
      <c r="Y1655" s="29" t="n"/>
      <c r="Z1655" s="29" t="n"/>
      <c r="AA1655" s="29" t="n"/>
      <c r="AB1655" s="32" t="n"/>
      <c r="AC1655" s="32" t="n"/>
    </row>
    <row r="1656">
      <c r="A1656" s="44" t="inlineStr">
        <is>
          <t>S32</t>
        </is>
      </c>
      <c r="B1656" s="44" t="inlineStr">
        <is>
          <t>함양 신규점</t>
        </is>
      </c>
      <c r="C1656" s="44" t="inlineStr">
        <is>
          <t>S32-H남</t>
        </is>
      </c>
      <c r="D1656" s="45" t="n">
        <v>1</v>
      </c>
      <c r="E1656" s="44" t="inlineStr">
        <is>
          <t>P0(후)</t>
        </is>
      </c>
      <c r="F1656" s="44" t="inlineStr">
        <is>
          <t>남</t>
        </is>
      </c>
      <c r="G1656" s="46" t="n"/>
      <c r="H1656" s="30" t="n"/>
      <c r="I1656" s="43" t="n"/>
      <c r="J1656" s="41" t="n"/>
      <c r="K1656" s="41" t="n"/>
      <c r="L1656" s="41" t="n"/>
      <c r="M1656" s="31">
        <f>IF(COUNT(J1656:L1656)=0,"",MEDIAN(J1656:L1656))</f>
        <v/>
      </c>
      <c r="N1656" s="38" t="n"/>
      <c r="O1656" s="38" t="n"/>
      <c r="P1656" s="38" t="n"/>
      <c r="Q1656" s="38" t="n"/>
      <c r="R1656" s="38" t="n"/>
      <c r="S1656" s="38" t="n"/>
      <c r="T1656" s="38" t="n"/>
      <c r="U1656" s="38" t="n"/>
      <c r="V1656" s="38" t="n"/>
      <c r="W1656" s="38" t="n"/>
      <c r="X1656" s="38" t="n"/>
      <c r="Y1656" s="29" t="n"/>
      <c r="Z1656" s="29" t="n"/>
      <c r="AA1656" s="29" t="n"/>
      <c r="AB1656" s="32" t="n"/>
      <c r="AC1656" s="32" t="n"/>
    </row>
    <row r="1657">
      <c r="A1657" s="44" t="inlineStr">
        <is>
          <t>S32</t>
        </is>
      </c>
      <c r="B1657" s="44" t="inlineStr">
        <is>
          <t>함양 신규점</t>
        </is>
      </c>
      <c r="C1657" s="44" t="inlineStr">
        <is>
          <t>S32-H북</t>
        </is>
      </c>
      <c r="D1657" s="45" t="n">
        <v>1</v>
      </c>
      <c r="E1657" s="44" t="inlineStr">
        <is>
          <t>P0(전)</t>
        </is>
      </c>
      <c r="F1657" s="44" t="inlineStr">
        <is>
          <t>북</t>
        </is>
      </c>
      <c r="G1657" s="46" t="n"/>
      <c r="H1657" s="30" t="n"/>
      <c r="I1657" s="43" t="n"/>
      <c r="J1657" s="41" t="n"/>
      <c r="K1657" s="41" t="n"/>
      <c r="L1657" s="41" t="n"/>
      <c r="M1657" s="31">
        <f>IF(COUNT(J1657:L1657)=0,"",MEDIAN(J1657:L1657))</f>
        <v/>
      </c>
      <c r="N1657" s="38" t="n"/>
      <c r="O1657" s="38" t="n"/>
      <c r="P1657" s="38" t="n"/>
      <c r="Q1657" s="38" t="n"/>
      <c r="R1657" s="38" t="n"/>
      <c r="S1657" s="38" t="n"/>
      <c r="T1657" s="38" t="n"/>
      <c r="U1657" s="38" t="n"/>
      <c r="V1657" s="38" t="n"/>
      <c r="W1657" s="38" t="n"/>
      <c r="X1657" s="38" t="n"/>
      <c r="Y1657" s="29" t="n"/>
      <c r="Z1657" s="29" t="n"/>
      <c r="AA1657" s="29" t="n"/>
      <c r="AB1657" s="32" t="n"/>
      <c r="AC1657" s="32" t="n"/>
    </row>
    <row r="1658">
      <c r="A1658" s="26" t="inlineStr">
        <is>
          <t>S32</t>
        </is>
      </c>
      <c r="B1658" s="26" t="inlineStr">
        <is>
          <t>함양 신규점</t>
        </is>
      </c>
      <c r="C1658" s="26" t="inlineStr">
        <is>
          <t>S32-H북</t>
        </is>
      </c>
      <c r="D1658" s="47" t="n">
        <v>1</v>
      </c>
      <c r="E1658" s="26" t="inlineStr">
        <is>
          <t>측정</t>
        </is>
      </c>
      <c r="F1658" s="26" t="inlineStr">
        <is>
          <t>북</t>
        </is>
      </c>
      <c r="G1658" s="31" t="n">
        <v>0.5</v>
      </c>
      <c r="H1658" s="30" t="n"/>
      <c r="I1658" s="43" t="n"/>
      <c r="J1658" s="41" t="n"/>
      <c r="K1658" s="41" t="n"/>
      <c r="L1658" s="41" t="n"/>
      <c r="M1658" s="31">
        <f>IF(COUNT(J1658:L1658)=0,"",MEDIAN(J1658:L1658))</f>
        <v/>
      </c>
      <c r="N1658" s="26">
        <f>IF(COUNTIFS($C:$C,$C1658,$D:$D,$D1658,$E:$E,"P0(전)",$M:$M,"&gt;0")&lt;&gt;1,"P0(전) 유효 1개 아님",IF(COUNTIFS($C:$C,$C1658,$D:$D,$D1658,$E:$E,"P0(후)",$M:$M,"&gt;0")&lt;&gt;1,"P0(후) 유효 1개 아님",IF(NOT(AND(ISNUMBER(O1658),ISNUMBER(Q1658),ISNUMBER(I1658))),"시각 결측",IF(Q1658&lt;=O1658,"P0 시각 역전",IF(OR(I1658&lt;O1658,I1658&gt;Q1658),"측정시각 구간 밖","OK")))))</f>
        <v/>
      </c>
      <c r="O1658" s="48">
        <f>IF(COUNTIFS($C:$C,$C1658,$D:$D,$D1658,$E:$E,"P0(전)",$M:$M,"&gt;0")&lt;&gt;1,"",SUMIFS($I:$I,$C:$C,$C1658,$D:$D,$D1658,$E:$E,"P0(전)"))</f>
        <v/>
      </c>
      <c r="P1658" s="31">
        <f>IF(COUNTIFS($C:$C,$C1658,$D:$D,$D1658,$E:$E,"P0(전)",$M:$M,"&gt;0")&lt;&gt;1,"",SUMIFS($M:$M,$C:$C,$C1658,$D:$D,$D1658,$E:$E,"P0(전)"))</f>
        <v/>
      </c>
      <c r="Q1658" s="48">
        <f>IF(COUNTIFS($C:$C,$C1658,$D:$D,$D1658,$E:$E,"P0(후)",$M:$M,"&gt;0")&lt;&gt;1,"",SUMIFS($I:$I,$C:$C,$C1658,$D:$D,$D1658,$E:$E,"P0(후)"))</f>
        <v/>
      </c>
      <c r="R1658" s="31">
        <f>IF(COUNTIFS($C:$C,$C1658,$D:$D,$D1658,$E:$E,"P0(후)",$M:$M,"&gt;0")&lt;&gt;1,"",SUMIFS($M:$M,$C:$C,$C1658,$D:$D,$D1658,$E:$E,"P0(후)"))</f>
        <v/>
      </c>
      <c r="S1658" s="31">
        <f>IF(N1658&lt;&gt;"OK","",P1658+(R1658-P1658)*(I1658-O1658)/(Q1658-O1658))</f>
        <v/>
      </c>
      <c r="T1658" s="31">
        <f>IF(OR(N1658&lt;&gt;"OK",NOT(ISNUMBER(M1658))),"",M1658-S1658)</f>
        <v/>
      </c>
      <c r="U1658" s="49">
        <f>IF(OR(NOT(ISNUMBER(T1658)),IF(ISNUMBER(H1658),H1658,G1658)=0),"",T1658/IF(ISNUMBER(H1658),H1658,G1658))</f>
        <v/>
      </c>
      <c r="V1658" s="49">
        <f>IF(ISNUMBER(U1658),ABS(U1658),"")</f>
        <v/>
      </c>
      <c r="W1658" s="49">
        <f>IF(OR($E1657&lt;&gt;"측정",$C1657&lt;&gt;$C1658,$D1657&lt;&gt;$D1658,NOT(ISNUMBER(M1658)),NOT(ISNUMBER(M1657)),(IF(ISNUMBER(H1658),H1658,G1658)-IF(ISNUMBER(H1657),H1657,G1657))=0),"",(M1658-M1657)/(IF(ISNUMBER(H1658),H1658,G1658)-IF(ISNUMBER(H1657),H1657,G1657)))</f>
        <v/>
      </c>
      <c r="X1658" s="31">
        <f>IF(NOT(AND(ISNUMBER(O1658),ISNUMBER(Q1658))),"",(Q1658-O1658)*1440)</f>
        <v/>
      </c>
      <c r="Y1658" s="29" t="n"/>
      <c r="Z1658" s="29" t="n"/>
      <c r="AA1658" s="29" t="n"/>
      <c r="AB1658" s="32" t="n"/>
      <c r="AC1658" s="32" t="n"/>
    </row>
    <row r="1659">
      <c r="A1659" s="26" t="inlineStr">
        <is>
          <t>S32</t>
        </is>
      </c>
      <c r="B1659" s="26" t="inlineStr">
        <is>
          <t>함양 신규점</t>
        </is>
      </c>
      <c r="C1659" s="26" t="inlineStr">
        <is>
          <t>S32-H북</t>
        </is>
      </c>
      <c r="D1659" s="47" t="n">
        <v>1</v>
      </c>
      <c r="E1659" s="26" t="inlineStr">
        <is>
          <t>측정</t>
        </is>
      </c>
      <c r="F1659" s="26" t="inlineStr">
        <is>
          <t>북</t>
        </is>
      </c>
      <c r="G1659" s="31" t="n">
        <v>1</v>
      </c>
      <c r="H1659" s="30" t="n"/>
      <c r="I1659" s="43" t="n"/>
      <c r="J1659" s="41" t="n"/>
      <c r="K1659" s="41" t="n"/>
      <c r="L1659" s="41" t="n"/>
      <c r="M1659" s="31">
        <f>IF(COUNT(J1659:L1659)=0,"",MEDIAN(J1659:L1659))</f>
        <v/>
      </c>
      <c r="N1659" s="26">
        <f>IF(COUNTIFS($C:$C,$C1659,$D:$D,$D1659,$E:$E,"P0(전)",$M:$M,"&gt;0")&lt;&gt;1,"P0(전) 유효 1개 아님",IF(COUNTIFS($C:$C,$C1659,$D:$D,$D1659,$E:$E,"P0(후)",$M:$M,"&gt;0")&lt;&gt;1,"P0(후) 유효 1개 아님",IF(NOT(AND(ISNUMBER(O1659),ISNUMBER(Q1659),ISNUMBER(I1659))),"시각 결측",IF(Q1659&lt;=O1659,"P0 시각 역전",IF(OR(I1659&lt;O1659,I1659&gt;Q1659),"측정시각 구간 밖","OK")))))</f>
        <v/>
      </c>
      <c r="O1659" s="48">
        <f>IF(COUNTIFS($C:$C,$C1659,$D:$D,$D1659,$E:$E,"P0(전)",$M:$M,"&gt;0")&lt;&gt;1,"",SUMIFS($I:$I,$C:$C,$C1659,$D:$D,$D1659,$E:$E,"P0(전)"))</f>
        <v/>
      </c>
      <c r="P1659" s="31">
        <f>IF(COUNTIFS($C:$C,$C1659,$D:$D,$D1659,$E:$E,"P0(전)",$M:$M,"&gt;0")&lt;&gt;1,"",SUMIFS($M:$M,$C:$C,$C1659,$D:$D,$D1659,$E:$E,"P0(전)"))</f>
        <v/>
      </c>
      <c r="Q1659" s="48">
        <f>IF(COUNTIFS($C:$C,$C1659,$D:$D,$D1659,$E:$E,"P0(후)",$M:$M,"&gt;0")&lt;&gt;1,"",SUMIFS($I:$I,$C:$C,$C1659,$D:$D,$D1659,$E:$E,"P0(후)"))</f>
        <v/>
      </c>
      <c r="R1659" s="31">
        <f>IF(COUNTIFS($C:$C,$C1659,$D:$D,$D1659,$E:$E,"P0(후)",$M:$M,"&gt;0")&lt;&gt;1,"",SUMIFS($M:$M,$C:$C,$C1659,$D:$D,$D1659,$E:$E,"P0(후)"))</f>
        <v/>
      </c>
      <c r="S1659" s="31">
        <f>IF(N1659&lt;&gt;"OK","",P1659+(R1659-P1659)*(I1659-O1659)/(Q1659-O1659))</f>
        <v/>
      </c>
      <c r="T1659" s="31">
        <f>IF(OR(N1659&lt;&gt;"OK",NOT(ISNUMBER(M1659))),"",M1659-S1659)</f>
        <v/>
      </c>
      <c r="U1659" s="49">
        <f>IF(OR(NOT(ISNUMBER(T1659)),IF(ISNUMBER(H1659),H1659,G1659)=0),"",T1659/IF(ISNUMBER(H1659),H1659,G1659))</f>
        <v/>
      </c>
      <c r="V1659" s="49">
        <f>IF(ISNUMBER(U1659),ABS(U1659),"")</f>
        <v/>
      </c>
      <c r="W1659" s="49">
        <f>IF(OR($E1658&lt;&gt;"측정",$C1658&lt;&gt;$C1659,$D1658&lt;&gt;$D1659,NOT(ISNUMBER(M1659)),NOT(ISNUMBER(M1658)),(IF(ISNUMBER(H1659),H1659,G1659)-IF(ISNUMBER(H1658),H1658,G1658))=0),"",(M1659-M1658)/(IF(ISNUMBER(H1659),H1659,G1659)-IF(ISNUMBER(H1658),H1658,G1658)))</f>
        <v/>
      </c>
      <c r="X1659" s="31">
        <f>IF(NOT(AND(ISNUMBER(O1659),ISNUMBER(Q1659))),"",(Q1659-O1659)*1440)</f>
        <v/>
      </c>
      <c r="Y1659" s="29" t="n"/>
      <c r="Z1659" s="29" t="n"/>
      <c r="AA1659" s="29" t="n"/>
      <c r="AB1659" s="32" t="n"/>
      <c r="AC1659" s="32" t="n"/>
    </row>
    <row r="1660">
      <c r="A1660" s="26" t="inlineStr">
        <is>
          <t>S32</t>
        </is>
      </c>
      <c r="B1660" s="26" t="inlineStr">
        <is>
          <t>함양 신규점</t>
        </is>
      </c>
      <c r="C1660" s="26" t="inlineStr">
        <is>
          <t>S32-H북</t>
        </is>
      </c>
      <c r="D1660" s="47" t="n">
        <v>1</v>
      </c>
      <c r="E1660" s="26" t="inlineStr">
        <is>
          <t>측정</t>
        </is>
      </c>
      <c r="F1660" s="26" t="inlineStr">
        <is>
          <t>북</t>
        </is>
      </c>
      <c r="G1660" s="31" t="n">
        <v>2</v>
      </c>
      <c r="H1660" s="30" t="n"/>
      <c r="I1660" s="43" t="n"/>
      <c r="J1660" s="41" t="n"/>
      <c r="K1660" s="41" t="n"/>
      <c r="L1660" s="41" t="n"/>
      <c r="M1660" s="31">
        <f>IF(COUNT(J1660:L1660)=0,"",MEDIAN(J1660:L1660))</f>
        <v/>
      </c>
      <c r="N1660" s="26">
        <f>IF(COUNTIFS($C:$C,$C1660,$D:$D,$D1660,$E:$E,"P0(전)",$M:$M,"&gt;0")&lt;&gt;1,"P0(전) 유효 1개 아님",IF(COUNTIFS($C:$C,$C1660,$D:$D,$D1660,$E:$E,"P0(후)",$M:$M,"&gt;0")&lt;&gt;1,"P0(후) 유효 1개 아님",IF(NOT(AND(ISNUMBER(O1660),ISNUMBER(Q1660),ISNUMBER(I1660))),"시각 결측",IF(Q1660&lt;=O1660,"P0 시각 역전",IF(OR(I1660&lt;O1660,I1660&gt;Q1660),"측정시각 구간 밖","OK")))))</f>
        <v/>
      </c>
      <c r="O1660" s="48">
        <f>IF(COUNTIFS($C:$C,$C1660,$D:$D,$D1660,$E:$E,"P0(전)",$M:$M,"&gt;0")&lt;&gt;1,"",SUMIFS($I:$I,$C:$C,$C1660,$D:$D,$D1660,$E:$E,"P0(전)"))</f>
        <v/>
      </c>
      <c r="P1660" s="31">
        <f>IF(COUNTIFS($C:$C,$C1660,$D:$D,$D1660,$E:$E,"P0(전)",$M:$M,"&gt;0")&lt;&gt;1,"",SUMIFS($M:$M,$C:$C,$C1660,$D:$D,$D1660,$E:$E,"P0(전)"))</f>
        <v/>
      </c>
      <c r="Q1660" s="48">
        <f>IF(COUNTIFS($C:$C,$C1660,$D:$D,$D1660,$E:$E,"P0(후)",$M:$M,"&gt;0")&lt;&gt;1,"",SUMIFS($I:$I,$C:$C,$C1660,$D:$D,$D1660,$E:$E,"P0(후)"))</f>
        <v/>
      </c>
      <c r="R1660" s="31">
        <f>IF(COUNTIFS($C:$C,$C1660,$D:$D,$D1660,$E:$E,"P0(후)",$M:$M,"&gt;0")&lt;&gt;1,"",SUMIFS($M:$M,$C:$C,$C1660,$D:$D,$D1660,$E:$E,"P0(후)"))</f>
        <v/>
      </c>
      <c r="S1660" s="31">
        <f>IF(N1660&lt;&gt;"OK","",P1660+(R1660-P1660)*(I1660-O1660)/(Q1660-O1660))</f>
        <v/>
      </c>
      <c r="T1660" s="31">
        <f>IF(OR(N1660&lt;&gt;"OK",NOT(ISNUMBER(M1660))),"",M1660-S1660)</f>
        <v/>
      </c>
      <c r="U1660" s="49">
        <f>IF(OR(NOT(ISNUMBER(T1660)),IF(ISNUMBER(H1660),H1660,G1660)=0),"",T1660/IF(ISNUMBER(H1660),H1660,G1660))</f>
        <v/>
      </c>
      <c r="V1660" s="49">
        <f>IF(ISNUMBER(U1660),ABS(U1660),"")</f>
        <v/>
      </c>
      <c r="W1660" s="49">
        <f>IF(OR($E1659&lt;&gt;"측정",$C1659&lt;&gt;$C1660,$D1659&lt;&gt;$D1660,NOT(ISNUMBER(M1660)),NOT(ISNUMBER(M1659)),(IF(ISNUMBER(H1660),H1660,G1660)-IF(ISNUMBER(H1659),H1659,G1659))=0),"",(M1660-M1659)/(IF(ISNUMBER(H1660),H1660,G1660)-IF(ISNUMBER(H1659),H1659,G1659)))</f>
        <v/>
      </c>
      <c r="X1660" s="31">
        <f>IF(NOT(AND(ISNUMBER(O1660),ISNUMBER(Q1660))),"",(Q1660-O1660)*1440)</f>
        <v/>
      </c>
      <c r="Y1660" s="29" t="n"/>
      <c r="Z1660" s="29" t="n"/>
      <c r="AA1660" s="29" t="n"/>
      <c r="AB1660" s="32" t="n"/>
      <c r="AC1660" s="32" t="n"/>
    </row>
    <row r="1661">
      <c r="A1661" s="26" t="inlineStr">
        <is>
          <t>S32</t>
        </is>
      </c>
      <c r="B1661" s="26" t="inlineStr">
        <is>
          <t>함양 신규점</t>
        </is>
      </c>
      <c r="C1661" s="26" t="inlineStr">
        <is>
          <t>S32-H북</t>
        </is>
      </c>
      <c r="D1661" s="47" t="n">
        <v>1</v>
      </c>
      <c r="E1661" s="26" t="inlineStr">
        <is>
          <t>측정</t>
        </is>
      </c>
      <c r="F1661" s="26" t="inlineStr">
        <is>
          <t>북</t>
        </is>
      </c>
      <c r="G1661" s="31" t="n">
        <v>3</v>
      </c>
      <c r="H1661" s="30" t="n"/>
      <c r="I1661" s="43" t="n"/>
      <c r="J1661" s="41" t="n"/>
      <c r="K1661" s="41" t="n"/>
      <c r="L1661" s="41" t="n"/>
      <c r="M1661" s="31">
        <f>IF(COUNT(J1661:L1661)=0,"",MEDIAN(J1661:L1661))</f>
        <v/>
      </c>
      <c r="N1661" s="26">
        <f>IF(COUNTIFS($C:$C,$C1661,$D:$D,$D1661,$E:$E,"P0(전)",$M:$M,"&gt;0")&lt;&gt;1,"P0(전) 유효 1개 아님",IF(COUNTIFS($C:$C,$C1661,$D:$D,$D1661,$E:$E,"P0(후)",$M:$M,"&gt;0")&lt;&gt;1,"P0(후) 유효 1개 아님",IF(NOT(AND(ISNUMBER(O1661),ISNUMBER(Q1661),ISNUMBER(I1661))),"시각 결측",IF(Q1661&lt;=O1661,"P0 시각 역전",IF(OR(I1661&lt;O1661,I1661&gt;Q1661),"측정시각 구간 밖","OK")))))</f>
        <v/>
      </c>
      <c r="O1661" s="48">
        <f>IF(COUNTIFS($C:$C,$C1661,$D:$D,$D1661,$E:$E,"P0(전)",$M:$M,"&gt;0")&lt;&gt;1,"",SUMIFS($I:$I,$C:$C,$C1661,$D:$D,$D1661,$E:$E,"P0(전)"))</f>
        <v/>
      </c>
      <c r="P1661" s="31">
        <f>IF(COUNTIFS($C:$C,$C1661,$D:$D,$D1661,$E:$E,"P0(전)",$M:$M,"&gt;0")&lt;&gt;1,"",SUMIFS($M:$M,$C:$C,$C1661,$D:$D,$D1661,$E:$E,"P0(전)"))</f>
        <v/>
      </c>
      <c r="Q1661" s="48">
        <f>IF(COUNTIFS($C:$C,$C1661,$D:$D,$D1661,$E:$E,"P0(후)",$M:$M,"&gt;0")&lt;&gt;1,"",SUMIFS($I:$I,$C:$C,$C1661,$D:$D,$D1661,$E:$E,"P0(후)"))</f>
        <v/>
      </c>
      <c r="R1661" s="31">
        <f>IF(COUNTIFS($C:$C,$C1661,$D:$D,$D1661,$E:$E,"P0(후)",$M:$M,"&gt;0")&lt;&gt;1,"",SUMIFS($M:$M,$C:$C,$C1661,$D:$D,$D1661,$E:$E,"P0(후)"))</f>
        <v/>
      </c>
      <c r="S1661" s="31">
        <f>IF(N1661&lt;&gt;"OK","",P1661+(R1661-P1661)*(I1661-O1661)/(Q1661-O1661))</f>
        <v/>
      </c>
      <c r="T1661" s="31">
        <f>IF(OR(N1661&lt;&gt;"OK",NOT(ISNUMBER(M1661))),"",M1661-S1661)</f>
        <v/>
      </c>
      <c r="U1661" s="49">
        <f>IF(OR(NOT(ISNUMBER(T1661)),IF(ISNUMBER(H1661),H1661,G1661)=0),"",T1661/IF(ISNUMBER(H1661),H1661,G1661))</f>
        <v/>
      </c>
      <c r="V1661" s="49">
        <f>IF(ISNUMBER(U1661),ABS(U1661),"")</f>
        <v/>
      </c>
      <c r="W1661" s="49">
        <f>IF(OR($E1660&lt;&gt;"측정",$C1660&lt;&gt;$C1661,$D1660&lt;&gt;$D1661,NOT(ISNUMBER(M1661)),NOT(ISNUMBER(M1660)),(IF(ISNUMBER(H1661),H1661,G1661)-IF(ISNUMBER(H1660),H1660,G1660))=0),"",(M1661-M1660)/(IF(ISNUMBER(H1661),H1661,G1661)-IF(ISNUMBER(H1660),H1660,G1660)))</f>
        <v/>
      </c>
      <c r="X1661" s="31">
        <f>IF(NOT(AND(ISNUMBER(O1661),ISNUMBER(Q1661))),"",(Q1661-O1661)*1440)</f>
        <v/>
      </c>
      <c r="Y1661" s="29" t="n"/>
      <c r="Z1661" s="29" t="n"/>
      <c r="AA1661" s="29" t="n"/>
      <c r="AB1661" s="32" t="n"/>
      <c r="AC1661" s="32" t="n"/>
    </row>
    <row r="1662">
      <c r="A1662" s="26" t="inlineStr">
        <is>
          <t>S32</t>
        </is>
      </c>
      <c r="B1662" s="26" t="inlineStr">
        <is>
          <t>함양 신규점</t>
        </is>
      </c>
      <c r="C1662" s="26" t="inlineStr">
        <is>
          <t>S32-H북</t>
        </is>
      </c>
      <c r="D1662" s="47" t="n">
        <v>1</v>
      </c>
      <c r="E1662" s="26" t="inlineStr">
        <is>
          <t>측정</t>
        </is>
      </c>
      <c r="F1662" s="26" t="inlineStr">
        <is>
          <t>북</t>
        </is>
      </c>
      <c r="G1662" s="31" t="n">
        <v>4</v>
      </c>
      <c r="H1662" s="30" t="n"/>
      <c r="I1662" s="43" t="n"/>
      <c r="J1662" s="41" t="n"/>
      <c r="K1662" s="41" t="n"/>
      <c r="L1662" s="41" t="n"/>
      <c r="M1662" s="31">
        <f>IF(COUNT(J1662:L1662)=0,"",MEDIAN(J1662:L1662))</f>
        <v/>
      </c>
      <c r="N1662" s="26">
        <f>IF(COUNTIFS($C:$C,$C1662,$D:$D,$D1662,$E:$E,"P0(전)",$M:$M,"&gt;0")&lt;&gt;1,"P0(전) 유효 1개 아님",IF(COUNTIFS($C:$C,$C1662,$D:$D,$D1662,$E:$E,"P0(후)",$M:$M,"&gt;0")&lt;&gt;1,"P0(후) 유효 1개 아님",IF(NOT(AND(ISNUMBER(O1662),ISNUMBER(Q1662),ISNUMBER(I1662))),"시각 결측",IF(Q1662&lt;=O1662,"P0 시각 역전",IF(OR(I1662&lt;O1662,I1662&gt;Q1662),"측정시각 구간 밖","OK")))))</f>
        <v/>
      </c>
      <c r="O1662" s="48">
        <f>IF(COUNTIFS($C:$C,$C1662,$D:$D,$D1662,$E:$E,"P0(전)",$M:$M,"&gt;0")&lt;&gt;1,"",SUMIFS($I:$I,$C:$C,$C1662,$D:$D,$D1662,$E:$E,"P0(전)"))</f>
        <v/>
      </c>
      <c r="P1662" s="31">
        <f>IF(COUNTIFS($C:$C,$C1662,$D:$D,$D1662,$E:$E,"P0(전)",$M:$M,"&gt;0")&lt;&gt;1,"",SUMIFS($M:$M,$C:$C,$C1662,$D:$D,$D1662,$E:$E,"P0(전)"))</f>
        <v/>
      </c>
      <c r="Q1662" s="48">
        <f>IF(COUNTIFS($C:$C,$C1662,$D:$D,$D1662,$E:$E,"P0(후)",$M:$M,"&gt;0")&lt;&gt;1,"",SUMIFS($I:$I,$C:$C,$C1662,$D:$D,$D1662,$E:$E,"P0(후)"))</f>
        <v/>
      </c>
      <c r="R1662" s="31">
        <f>IF(COUNTIFS($C:$C,$C1662,$D:$D,$D1662,$E:$E,"P0(후)",$M:$M,"&gt;0")&lt;&gt;1,"",SUMIFS($M:$M,$C:$C,$C1662,$D:$D,$D1662,$E:$E,"P0(후)"))</f>
        <v/>
      </c>
      <c r="S1662" s="31">
        <f>IF(N1662&lt;&gt;"OK","",P1662+(R1662-P1662)*(I1662-O1662)/(Q1662-O1662))</f>
        <v/>
      </c>
      <c r="T1662" s="31">
        <f>IF(OR(N1662&lt;&gt;"OK",NOT(ISNUMBER(M1662))),"",M1662-S1662)</f>
        <v/>
      </c>
      <c r="U1662" s="49">
        <f>IF(OR(NOT(ISNUMBER(T1662)),IF(ISNUMBER(H1662),H1662,G1662)=0),"",T1662/IF(ISNUMBER(H1662),H1662,G1662))</f>
        <v/>
      </c>
      <c r="V1662" s="49">
        <f>IF(ISNUMBER(U1662),ABS(U1662),"")</f>
        <v/>
      </c>
      <c r="W1662" s="49">
        <f>IF(OR($E1661&lt;&gt;"측정",$C1661&lt;&gt;$C1662,$D1661&lt;&gt;$D1662,NOT(ISNUMBER(M1662)),NOT(ISNUMBER(M1661)),(IF(ISNUMBER(H1662),H1662,G1662)-IF(ISNUMBER(H1661),H1661,G1661))=0),"",(M1662-M1661)/(IF(ISNUMBER(H1662),H1662,G1662)-IF(ISNUMBER(H1661),H1661,G1661)))</f>
        <v/>
      </c>
      <c r="X1662" s="31">
        <f>IF(NOT(AND(ISNUMBER(O1662),ISNUMBER(Q1662))),"",(Q1662-O1662)*1440)</f>
        <v/>
      </c>
      <c r="Y1662" s="29" t="n"/>
      <c r="Z1662" s="29" t="n"/>
      <c r="AA1662" s="29" t="n"/>
      <c r="AB1662" s="32" t="n"/>
      <c r="AC1662" s="32" t="n"/>
    </row>
    <row r="1663">
      <c r="A1663" s="26" t="inlineStr">
        <is>
          <t>S32</t>
        </is>
      </c>
      <c r="B1663" s="26" t="inlineStr">
        <is>
          <t>함양 신규점</t>
        </is>
      </c>
      <c r="C1663" s="26" t="inlineStr">
        <is>
          <t>S32-H북</t>
        </is>
      </c>
      <c r="D1663" s="47" t="n">
        <v>1</v>
      </c>
      <c r="E1663" s="26" t="inlineStr">
        <is>
          <t>측정</t>
        </is>
      </c>
      <c r="F1663" s="26" t="inlineStr">
        <is>
          <t>북</t>
        </is>
      </c>
      <c r="G1663" s="31" t="n">
        <v>5</v>
      </c>
      <c r="H1663" s="30" t="n"/>
      <c r="I1663" s="43" t="n"/>
      <c r="J1663" s="41" t="n"/>
      <c r="K1663" s="41" t="n"/>
      <c r="L1663" s="41" t="n"/>
      <c r="M1663" s="31">
        <f>IF(COUNT(J1663:L1663)=0,"",MEDIAN(J1663:L1663))</f>
        <v/>
      </c>
      <c r="N1663" s="26">
        <f>IF(COUNTIFS($C:$C,$C1663,$D:$D,$D1663,$E:$E,"P0(전)",$M:$M,"&gt;0")&lt;&gt;1,"P0(전) 유효 1개 아님",IF(COUNTIFS($C:$C,$C1663,$D:$D,$D1663,$E:$E,"P0(후)",$M:$M,"&gt;0")&lt;&gt;1,"P0(후) 유효 1개 아님",IF(NOT(AND(ISNUMBER(O1663),ISNUMBER(Q1663),ISNUMBER(I1663))),"시각 결측",IF(Q1663&lt;=O1663,"P0 시각 역전",IF(OR(I1663&lt;O1663,I1663&gt;Q1663),"측정시각 구간 밖","OK")))))</f>
        <v/>
      </c>
      <c r="O1663" s="48">
        <f>IF(COUNTIFS($C:$C,$C1663,$D:$D,$D1663,$E:$E,"P0(전)",$M:$M,"&gt;0")&lt;&gt;1,"",SUMIFS($I:$I,$C:$C,$C1663,$D:$D,$D1663,$E:$E,"P0(전)"))</f>
        <v/>
      </c>
      <c r="P1663" s="31">
        <f>IF(COUNTIFS($C:$C,$C1663,$D:$D,$D1663,$E:$E,"P0(전)",$M:$M,"&gt;0")&lt;&gt;1,"",SUMIFS($M:$M,$C:$C,$C1663,$D:$D,$D1663,$E:$E,"P0(전)"))</f>
        <v/>
      </c>
      <c r="Q1663" s="48">
        <f>IF(COUNTIFS($C:$C,$C1663,$D:$D,$D1663,$E:$E,"P0(후)",$M:$M,"&gt;0")&lt;&gt;1,"",SUMIFS($I:$I,$C:$C,$C1663,$D:$D,$D1663,$E:$E,"P0(후)"))</f>
        <v/>
      </c>
      <c r="R1663" s="31">
        <f>IF(COUNTIFS($C:$C,$C1663,$D:$D,$D1663,$E:$E,"P0(후)",$M:$M,"&gt;0")&lt;&gt;1,"",SUMIFS($M:$M,$C:$C,$C1663,$D:$D,$D1663,$E:$E,"P0(후)"))</f>
        <v/>
      </c>
      <c r="S1663" s="31">
        <f>IF(N1663&lt;&gt;"OK","",P1663+(R1663-P1663)*(I1663-O1663)/(Q1663-O1663))</f>
        <v/>
      </c>
      <c r="T1663" s="31">
        <f>IF(OR(N1663&lt;&gt;"OK",NOT(ISNUMBER(M1663))),"",M1663-S1663)</f>
        <v/>
      </c>
      <c r="U1663" s="49">
        <f>IF(OR(NOT(ISNUMBER(T1663)),IF(ISNUMBER(H1663),H1663,G1663)=0),"",T1663/IF(ISNUMBER(H1663),H1663,G1663))</f>
        <v/>
      </c>
      <c r="V1663" s="49">
        <f>IF(ISNUMBER(U1663),ABS(U1663),"")</f>
        <v/>
      </c>
      <c r="W1663" s="49">
        <f>IF(OR($E1662&lt;&gt;"측정",$C1662&lt;&gt;$C1663,$D1662&lt;&gt;$D1663,NOT(ISNUMBER(M1663)),NOT(ISNUMBER(M1662)),(IF(ISNUMBER(H1663),H1663,G1663)-IF(ISNUMBER(H1662),H1662,G1662))=0),"",(M1663-M1662)/(IF(ISNUMBER(H1663),H1663,G1663)-IF(ISNUMBER(H1662),H1662,G1662)))</f>
        <v/>
      </c>
      <c r="X1663" s="31">
        <f>IF(NOT(AND(ISNUMBER(O1663),ISNUMBER(Q1663))),"",(Q1663-O1663)*1440)</f>
        <v/>
      </c>
      <c r="Y1663" s="29" t="n"/>
      <c r="Z1663" s="29" t="n"/>
      <c r="AA1663" s="29" t="n"/>
      <c r="AB1663" s="32" t="n"/>
      <c r="AC1663" s="32" t="n"/>
    </row>
    <row r="1664">
      <c r="A1664" s="26" t="inlineStr">
        <is>
          <t>S32</t>
        </is>
      </c>
      <c r="B1664" s="26" t="inlineStr">
        <is>
          <t>함양 신규점</t>
        </is>
      </c>
      <c r="C1664" s="26" t="inlineStr">
        <is>
          <t>S32-H북</t>
        </is>
      </c>
      <c r="D1664" s="47" t="n">
        <v>1</v>
      </c>
      <c r="E1664" s="26" t="inlineStr">
        <is>
          <t>측정</t>
        </is>
      </c>
      <c r="F1664" s="26" t="inlineStr">
        <is>
          <t>북</t>
        </is>
      </c>
      <c r="G1664" s="31" t="n">
        <v>6</v>
      </c>
      <c r="H1664" s="30" t="n"/>
      <c r="I1664" s="43" t="n"/>
      <c r="J1664" s="41" t="n"/>
      <c r="K1664" s="41" t="n"/>
      <c r="L1664" s="41" t="n"/>
      <c r="M1664" s="31">
        <f>IF(COUNT(J1664:L1664)=0,"",MEDIAN(J1664:L1664))</f>
        <v/>
      </c>
      <c r="N1664" s="26">
        <f>IF(COUNTIFS($C:$C,$C1664,$D:$D,$D1664,$E:$E,"P0(전)",$M:$M,"&gt;0")&lt;&gt;1,"P0(전) 유효 1개 아님",IF(COUNTIFS($C:$C,$C1664,$D:$D,$D1664,$E:$E,"P0(후)",$M:$M,"&gt;0")&lt;&gt;1,"P0(후) 유효 1개 아님",IF(NOT(AND(ISNUMBER(O1664),ISNUMBER(Q1664),ISNUMBER(I1664))),"시각 결측",IF(Q1664&lt;=O1664,"P0 시각 역전",IF(OR(I1664&lt;O1664,I1664&gt;Q1664),"측정시각 구간 밖","OK")))))</f>
        <v/>
      </c>
      <c r="O1664" s="48">
        <f>IF(COUNTIFS($C:$C,$C1664,$D:$D,$D1664,$E:$E,"P0(전)",$M:$M,"&gt;0")&lt;&gt;1,"",SUMIFS($I:$I,$C:$C,$C1664,$D:$D,$D1664,$E:$E,"P0(전)"))</f>
        <v/>
      </c>
      <c r="P1664" s="31">
        <f>IF(COUNTIFS($C:$C,$C1664,$D:$D,$D1664,$E:$E,"P0(전)",$M:$M,"&gt;0")&lt;&gt;1,"",SUMIFS($M:$M,$C:$C,$C1664,$D:$D,$D1664,$E:$E,"P0(전)"))</f>
        <v/>
      </c>
      <c r="Q1664" s="48">
        <f>IF(COUNTIFS($C:$C,$C1664,$D:$D,$D1664,$E:$E,"P0(후)",$M:$M,"&gt;0")&lt;&gt;1,"",SUMIFS($I:$I,$C:$C,$C1664,$D:$D,$D1664,$E:$E,"P0(후)"))</f>
        <v/>
      </c>
      <c r="R1664" s="31">
        <f>IF(COUNTIFS($C:$C,$C1664,$D:$D,$D1664,$E:$E,"P0(후)",$M:$M,"&gt;0")&lt;&gt;1,"",SUMIFS($M:$M,$C:$C,$C1664,$D:$D,$D1664,$E:$E,"P0(후)"))</f>
        <v/>
      </c>
      <c r="S1664" s="31">
        <f>IF(N1664&lt;&gt;"OK","",P1664+(R1664-P1664)*(I1664-O1664)/(Q1664-O1664))</f>
        <v/>
      </c>
      <c r="T1664" s="31">
        <f>IF(OR(N1664&lt;&gt;"OK",NOT(ISNUMBER(M1664))),"",M1664-S1664)</f>
        <v/>
      </c>
      <c r="U1664" s="49">
        <f>IF(OR(NOT(ISNUMBER(T1664)),IF(ISNUMBER(H1664),H1664,G1664)=0),"",T1664/IF(ISNUMBER(H1664),H1664,G1664))</f>
        <v/>
      </c>
      <c r="V1664" s="49">
        <f>IF(ISNUMBER(U1664),ABS(U1664),"")</f>
        <v/>
      </c>
      <c r="W1664" s="49">
        <f>IF(OR($E1663&lt;&gt;"측정",$C1663&lt;&gt;$C1664,$D1663&lt;&gt;$D1664,NOT(ISNUMBER(M1664)),NOT(ISNUMBER(M1663)),(IF(ISNUMBER(H1664),H1664,G1664)-IF(ISNUMBER(H1663),H1663,G1663))=0),"",(M1664-M1663)/(IF(ISNUMBER(H1664),H1664,G1664)-IF(ISNUMBER(H1663),H1663,G1663)))</f>
        <v/>
      </c>
      <c r="X1664" s="31">
        <f>IF(NOT(AND(ISNUMBER(O1664),ISNUMBER(Q1664))),"",(Q1664-O1664)*1440)</f>
        <v/>
      </c>
      <c r="Y1664" s="29" t="n"/>
      <c r="Z1664" s="29" t="n"/>
      <c r="AA1664" s="29" t="n"/>
      <c r="AB1664" s="32" t="n"/>
      <c r="AC1664" s="32" t="n"/>
    </row>
    <row r="1665">
      <c r="A1665" s="26" t="inlineStr">
        <is>
          <t>S32</t>
        </is>
      </c>
      <c r="B1665" s="26" t="inlineStr">
        <is>
          <t>함양 신규점</t>
        </is>
      </c>
      <c r="C1665" s="26" t="inlineStr">
        <is>
          <t>S32-H북</t>
        </is>
      </c>
      <c r="D1665" s="47" t="n">
        <v>1</v>
      </c>
      <c r="E1665" s="26" t="inlineStr">
        <is>
          <t>측정</t>
        </is>
      </c>
      <c r="F1665" s="26" t="inlineStr">
        <is>
          <t>북</t>
        </is>
      </c>
      <c r="G1665" s="31" t="n">
        <v>7</v>
      </c>
      <c r="H1665" s="30" t="n"/>
      <c r="I1665" s="43" t="n"/>
      <c r="J1665" s="41" t="n"/>
      <c r="K1665" s="41" t="n"/>
      <c r="L1665" s="41" t="n"/>
      <c r="M1665" s="31">
        <f>IF(COUNT(J1665:L1665)=0,"",MEDIAN(J1665:L1665))</f>
        <v/>
      </c>
      <c r="N1665" s="26">
        <f>IF(COUNTIFS($C:$C,$C1665,$D:$D,$D1665,$E:$E,"P0(전)",$M:$M,"&gt;0")&lt;&gt;1,"P0(전) 유효 1개 아님",IF(COUNTIFS($C:$C,$C1665,$D:$D,$D1665,$E:$E,"P0(후)",$M:$M,"&gt;0")&lt;&gt;1,"P0(후) 유효 1개 아님",IF(NOT(AND(ISNUMBER(O1665),ISNUMBER(Q1665),ISNUMBER(I1665))),"시각 결측",IF(Q1665&lt;=O1665,"P0 시각 역전",IF(OR(I1665&lt;O1665,I1665&gt;Q1665),"측정시각 구간 밖","OK")))))</f>
        <v/>
      </c>
      <c r="O1665" s="48">
        <f>IF(COUNTIFS($C:$C,$C1665,$D:$D,$D1665,$E:$E,"P0(전)",$M:$M,"&gt;0")&lt;&gt;1,"",SUMIFS($I:$I,$C:$C,$C1665,$D:$D,$D1665,$E:$E,"P0(전)"))</f>
        <v/>
      </c>
      <c r="P1665" s="31">
        <f>IF(COUNTIFS($C:$C,$C1665,$D:$D,$D1665,$E:$E,"P0(전)",$M:$M,"&gt;0")&lt;&gt;1,"",SUMIFS($M:$M,$C:$C,$C1665,$D:$D,$D1665,$E:$E,"P0(전)"))</f>
        <v/>
      </c>
      <c r="Q1665" s="48">
        <f>IF(COUNTIFS($C:$C,$C1665,$D:$D,$D1665,$E:$E,"P0(후)",$M:$M,"&gt;0")&lt;&gt;1,"",SUMIFS($I:$I,$C:$C,$C1665,$D:$D,$D1665,$E:$E,"P0(후)"))</f>
        <v/>
      </c>
      <c r="R1665" s="31">
        <f>IF(COUNTIFS($C:$C,$C1665,$D:$D,$D1665,$E:$E,"P0(후)",$M:$M,"&gt;0")&lt;&gt;1,"",SUMIFS($M:$M,$C:$C,$C1665,$D:$D,$D1665,$E:$E,"P0(후)"))</f>
        <v/>
      </c>
      <c r="S1665" s="31">
        <f>IF(N1665&lt;&gt;"OK","",P1665+(R1665-P1665)*(I1665-O1665)/(Q1665-O1665))</f>
        <v/>
      </c>
      <c r="T1665" s="31">
        <f>IF(OR(N1665&lt;&gt;"OK",NOT(ISNUMBER(M1665))),"",M1665-S1665)</f>
        <v/>
      </c>
      <c r="U1665" s="49">
        <f>IF(OR(NOT(ISNUMBER(T1665)),IF(ISNUMBER(H1665),H1665,G1665)=0),"",T1665/IF(ISNUMBER(H1665),H1665,G1665))</f>
        <v/>
      </c>
      <c r="V1665" s="49">
        <f>IF(ISNUMBER(U1665),ABS(U1665),"")</f>
        <v/>
      </c>
      <c r="W1665" s="49">
        <f>IF(OR($E1664&lt;&gt;"측정",$C1664&lt;&gt;$C1665,$D1664&lt;&gt;$D1665,NOT(ISNUMBER(M1665)),NOT(ISNUMBER(M1664)),(IF(ISNUMBER(H1665),H1665,G1665)-IF(ISNUMBER(H1664),H1664,G1664))=0),"",(M1665-M1664)/(IF(ISNUMBER(H1665),H1665,G1665)-IF(ISNUMBER(H1664),H1664,G1664)))</f>
        <v/>
      </c>
      <c r="X1665" s="31">
        <f>IF(NOT(AND(ISNUMBER(O1665),ISNUMBER(Q1665))),"",(Q1665-O1665)*1440)</f>
        <v/>
      </c>
      <c r="Y1665" s="29" t="n"/>
      <c r="Z1665" s="29" t="n"/>
      <c r="AA1665" s="29" t="n"/>
      <c r="AB1665" s="32" t="n"/>
      <c r="AC1665" s="32" t="n"/>
    </row>
    <row r="1666">
      <c r="A1666" s="26" t="inlineStr">
        <is>
          <t>S32</t>
        </is>
      </c>
      <c r="B1666" s="26" t="inlineStr">
        <is>
          <t>함양 신규점</t>
        </is>
      </c>
      <c r="C1666" s="26" t="inlineStr">
        <is>
          <t>S32-H북</t>
        </is>
      </c>
      <c r="D1666" s="47" t="n">
        <v>1</v>
      </c>
      <c r="E1666" s="26" t="inlineStr">
        <is>
          <t>측정</t>
        </is>
      </c>
      <c r="F1666" s="26" t="inlineStr">
        <is>
          <t>북</t>
        </is>
      </c>
      <c r="G1666" s="31" t="n">
        <v>8</v>
      </c>
      <c r="H1666" s="30" t="n"/>
      <c r="I1666" s="43" t="n"/>
      <c r="J1666" s="41" t="n"/>
      <c r="K1666" s="41" t="n"/>
      <c r="L1666" s="41" t="n"/>
      <c r="M1666" s="31">
        <f>IF(COUNT(J1666:L1666)=0,"",MEDIAN(J1666:L1666))</f>
        <v/>
      </c>
      <c r="N1666" s="26">
        <f>IF(COUNTIFS($C:$C,$C1666,$D:$D,$D1666,$E:$E,"P0(전)",$M:$M,"&gt;0")&lt;&gt;1,"P0(전) 유효 1개 아님",IF(COUNTIFS($C:$C,$C1666,$D:$D,$D1666,$E:$E,"P0(후)",$M:$M,"&gt;0")&lt;&gt;1,"P0(후) 유효 1개 아님",IF(NOT(AND(ISNUMBER(O1666),ISNUMBER(Q1666),ISNUMBER(I1666))),"시각 결측",IF(Q1666&lt;=O1666,"P0 시각 역전",IF(OR(I1666&lt;O1666,I1666&gt;Q1666),"측정시각 구간 밖","OK")))))</f>
        <v/>
      </c>
      <c r="O1666" s="48">
        <f>IF(COUNTIFS($C:$C,$C1666,$D:$D,$D1666,$E:$E,"P0(전)",$M:$M,"&gt;0")&lt;&gt;1,"",SUMIFS($I:$I,$C:$C,$C1666,$D:$D,$D1666,$E:$E,"P0(전)"))</f>
        <v/>
      </c>
      <c r="P1666" s="31">
        <f>IF(COUNTIFS($C:$C,$C1666,$D:$D,$D1666,$E:$E,"P0(전)",$M:$M,"&gt;0")&lt;&gt;1,"",SUMIFS($M:$M,$C:$C,$C1666,$D:$D,$D1666,$E:$E,"P0(전)"))</f>
        <v/>
      </c>
      <c r="Q1666" s="48">
        <f>IF(COUNTIFS($C:$C,$C1666,$D:$D,$D1666,$E:$E,"P0(후)",$M:$M,"&gt;0")&lt;&gt;1,"",SUMIFS($I:$I,$C:$C,$C1666,$D:$D,$D1666,$E:$E,"P0(후)"))</f>
        <v/>
      </c>
      <c r="R1666" s="31">
        <f>IF(COUNTIFS($C:$C,$C1666,$D:$D,$D1666,$E:$E,"P0(후)",$M:$M,"&gt;0")&lt;&gt;1,"",SUMIFS($M:$M,$C:$C,$C1666,$D:$D,$D1666,$E:$E,"P0(후)"))</f>
        <v/>
      </c>
      <c r="S1666" s="31">
        <f>IF(N1666&lt;&gt;"OK","",P1666+(R1666-P1666)*(I1666-O1666)/(Q1666-O1666))</f>
        <v/>
      </c>
      <c r="T1666" s="31">
        <f>IF(OR(N1666&lt;&gt;"OK",NOT(ISNUMBER(M1666))),"",M1666-S1666)</f>
        <v/>
      </c>
      <c r="U1666" s="49">
        <f>IF(OR(NOT(ISNUMBER(T1666)),IF(ISNUMBER(H1666),H1666,G1666)=0),"",T1666/IF(ISNUMBER(H1666),H1666,G1666))</f>
        <v/>
      </c>
      <c r="V1666" s="49">
        <f>IF(ISNUMBER(U1666),ABS(U1666),"")</f>
        <v/>
      </c>
      <c r="W1666" s="49">
        <f>IF(OR($E1665&lt;&gt;"측정",$C1665&lt;&gt;$C1666,$D1665&lt;&gt;$D1666,NOT(ISNUMBER(M1666)),NOT(ISNUMBER(M1665)),(IF(ISNUMBER(H1666),H1666,G1666)-IF(ISNUMBER(H1665),H1665,G1665))=0),"",(M1666-M1665)/(IF(ISNUMBER(H1666),H1666,G1666)-IF(ISNUMBER(H1665),H1665,G1665)))</f>
        <v/>
      </c>
      <c r="X1666" s="31">
        <f>IF(NOT(AND(ISNUMBER(O1666),ISNUMBER(Q1666))),"",(Q1666-O1666)*1440)</f>
        <v/>
      </c>
      <c r="Y1666" s="29" t="n"/>
      <c r="Z1666" s="29" t="n"/>
      <c r="AA1666" s="29" t="n"/>
      <c r="AB1666" s="32" t="n"/>
      <c r="AC1666" s="32" t="n"/>
    </row>
    <row r="1667">
      <c r="A1667" s="26" t="inlineStr">
        <is>
          <t>S32</t>
        </is>
      </c>
      <c r="B1667" s="26" t="inlineStr">
        <is>
          <t>함양 신규점</t>
        </is>
      </c>
      <c r="C1667" s="26" t="inlineStr">
        <is>
          <t>S32-H북</t>
        </is>
      </c>
      <c r="D1667" s="47" t="n">
        <v>1</v>
      </c>
      <c r="E1667" s="26" t="inlineStr">
        <is>
          <t>측정</t>
        </is>
      </c>
      <c r="F1667" s="26" t="inlineStr">
        <is>
          <t>북</t>
        </is>
      </c>
      <c r="G1667" s="31" t="n">
        <v>9</v>
      </c>
      <c r="H1667" s="30" t="n"/>
      <c r="I1667" s="43" t="n"/>
      <c r="J1667" s="41" t="n"/>
      <c r="K1667" s="41" t="n"/>
      <c r="L1667" s="41" t="n"/>
      <c r="M1667" s="31">
        <f>IF(COUNT(J1667:L1667)=0,"",MEDIAN(J1667:L1667))</f>
        <v/>
      </c>
      <c r="N1667" s="26">
        <f>IF(COUNTIFS($C:$C,$C1667,$D:$D,$D1667,$E:$E,"P0(전)",$M:$M,"&gt;0")&lt;&gt;1,"P0(전) 유효 1개 아님",IF(COUNTIFS($C:$C,$C1667,$D:$D,$D1667,$E:$E,"P0(후)",$M:$M,"&gt;0")&lt;&gt;1,"P0(후) 유효 1개 아님",IF(NOT(AND(ISNUMBER(O1667),ISNUMBER(Q1667),ISNUMBER(I1667))),"시각 결측",IF(Q1667&lt;=O1667,"P0 시각 역전",IF(OR(I1667&lt;O1667,I1667&gt;Q1667),"측정시각 구간 밖","OK")))))</f>
        <v/>
      </c>
      <c r="O1667" s="48">
        <f>IF(COUNTIFS($C:$C,$C1667,$D:$D,$D1667,$E:$E,"P0(전)",$M:$M,"&gt;0")&lt;&gt;1,"",SUMIFS($I:$I,$C:$C,$C1667,$D:$D,$D1667,$E:$E,"P0(전)"))</f>
        <v/>
      </c>
      <c r="P1667" s="31">
        <f>IF(COUNTIFS($C:$C,$C1667,$D:$D,$D1667,$E:$E,"P0(전)",$M:$M,"&gt;0")&lt;&gt;1,"",SUMIFS($M:$M,$C:$C,$C1667,$D:$D,$D1667,$E:$E,"P0(전)"))</f>
        <v/>
      </c>
      <c r="Q1667" s="48">
        <f>IF(COUNTIFS($C:$C,$C1667,$D:$D,$D1667,$E:$E,"P0(후)",$M:$M,"&gt;0")&lt;&gt;1,"",SUMIFS($I:$I,$C:$C,$C1667,$D:$D,$D1667,$E:$E,"P0(후)"))</f>
        <v/>
      </c>
      <c r="R1667" s="31">
        <f>IF(COUNTIFS($C:$C,$C1667,$D:$D,$D1667,$E:$E,"P0(후)",$M:$M,"&gt;0")&lt;&gt;1,"",SUMIFS($M:$M,$C:$C,$C1667,$D:$D,$D1667,$E:$E,"P0(후)"))</f>
        <v/>
      </c>
      <c r="S1667" s="31">
        <f>IF(N1667&lt;&gt;"OK","",P1667+(R1667-P1667)*(I1667-O1667)/(Q1667-O1667))</f>
        <v/>
      </c>
      <c r="T1667" s="31">
        <f>IF(OR(N1667&lt;&gt;"OK",NOT(ISNUMBER(M1667))),"",M1667-S1667)</f>
        <v/>
      </c>
      <c r="U1667" s="49">
        <f>IF(OR(NOT(ISNUMBER(T1667)),IF(ISNUMBER(H1667),H1667,G1667)=0),"",T1667/IF(ISNUMBER(H1667),H1667,G1667))</f>
        <v/>
      </c>
      <c r="V1667" s="49">
        <f>IF(ISNUMBER(U1667),ABS(U1667),"")</f>
        <v/>
      </c>
      <c r="W1667" s="49">
        <f>IF(OR($E1666&lt;&gt;"측정",$C1666&lt;&gt;$C1667,$D1666&lt;&gt;$D1667,NOT(ISNUMBER(M1667)),NOT(ISNUMBER(M1666)),(IF(ISNUMBER(H1667),H1667,G1667)-IF(ISNUMBER(H1666),H1666,G1666))=0),"",(M1667-M1666)/(IF(ISNUMBER(H1667),H1667,G1667)-IF(ISNUMBER(H1666),H1666,G1666)))</f>
        <v/>
      </c>
      <c r="X1667" s="31">
        <f>IF(NOT(AND(ISNUMBER(O1667),ISNUMBER(Q1667))),"",(Q1667-O1667)*1440)</f>
        <v/>
      </c>
      <c r="Y1667" s="29" t="n"/>
      <c r="Z1667" s="29" t="n"/>
      <c r="AA1667" s="29" t="n"/>
      <c r="AB1667" s="32" t="n"/>
      <c r="AC1667" s="32" t="n"/>
    </row>
    <row r="1668">
      <c r="A1668" s="26" t="inlineStr">
        <is>
          <t>S32</t>
        </is>
      </c>
      <c r="B1668" s="26" t="inlineStr">
        <is>
          <t>함양 신규점</t>
        </is>
      </c>
      <c r="C1668" s="26" t="inlineStr">
        <is>
          <t>S32-H북</t>
        </is>
      </c>
      <c r="D1668" s="47" t="n">
        <v>1</v>
      </c>
      <c r="E1668" s="26" t="inlineStr">
        <is>
          <t>측정</t>
        </is>
      </c>
      <c r="F1668" s="26" t="inlineStr">
        <is>
          <t>북</t>
        </is>
      </c>
      <c r="G1668" s="31" t="n">
        <v>10</v>
      </c>
      <c r="H1668" s="30" t="n"/>
      <c r="I1668" s="43" t="n"/>
      <c r="J1668" s="41" t="n"/>
      <c r="K1668" s="41" t="n"/>
      <c r="L1668" s="41" t="n"/>
      <c r="M1668" s="31">
        <f>IF(COUNT(J1668:L1668)=0,"",MEDIAN(J1668:L1668))</f>
        <v/>
      </c>
      <c r="N1668" s="26">
        <f>IF(COUNTIFS($C:$C,$C1668,$D:$D,$D1668,$E:$E,"P0(전)",$M:$M,"&gt;0")&lt;&gt;1,"P0(전) 유효 1개 아님",IF(COUNTIFS($C:$C,$C1668,$D:$D,$D1668,$E:$E,"P0(후)",$M:$M,"&gt;0")&lt;&gt;1,"P0(후) 유효 1개 아님",IF(NOT(AND(ISNUMBER(O1668),ISNUMBER(Q1668),ISNUMBER(I1668))),"시각 결측",IF(Q1668&lt;=O1668,"P0 시각 역전",IF(OR(I1668&lt;O1668,I1668&gt;Q1668),"측정시각 구간 밖","OK")))))</f>
        <v/>
      </c>
      <c r="O1668" s="48">
        <f>IF(COUNTIFS($C:$C,$C1668,$D:$D,$D1668,$E:$E,"P0(전)",$M:$M,"&gt;0")&lt;&gt;1,"",SUMIFS($I:$I,$C:$C,$C1668,$D:$D,$D1668,$E:$E,"P0(전)"))</f>
        <v/>
      </c>
      <c r="P1668" s="31">
        <f>IF(COUNTIFS($C:$C,$C1668,$D:$D,$D1668,$E:$E,"P0(전)",$M:$M,"&gt;0")&lt;&gt;1,"",SUMIFS($M:$M,$C:$C,$C1668,$D:$D,$D1668,$E:$E,"P0(전)"))</f>
        <v/>
      </c>
      <c r="Q1668" s="48">
        <f>IF(COUNTIFS($C:$C,$C1668,$D:$D,$D1668,$E:$E,"P0(후)",$M:$M,"&gt;0")&lt;&gt;1,"",SUMIFS($I:$I,$C:$C,$C1668,$D:$D,$D1668,$E:$E,"P0(후)"))</f>
        <v/>
      </c>
      <c r="R1668" s="31">
        <f>IF(COUNTIFS($C:$C,$C1668,$D:$D,$D1668,$E:$E,"P0(후)",$M:$M,"&gt;0")&lt;&gt;1,"",SUMIFS($M:$M,$C:$C,$C1668,$D:$D,$D1668,$E:$E,"P0(후)"))</f>
        <v/>
      </c>
      <c r="S1668" s="31">
        <f>IF(N1668&lt;&gt;"OK","",P1668+(R1668-P1668)*(I1668-O1668)/(Q1668-O1668))</f>
        <v/>
      </c>
      <c r="T1668" s="31">
        <f>IF(OR(N1668&lt;&gt;"OK",NOT(ISNUMBER(M1668))),"",M1668-S1668)</f>
        <v/>
      </c>
      <c r="U1668" s="49">
        <f>IF(OR(NOT(ISNUMBER(T1668)),IF(ISNUMBER(H1668),H1668,G1668)=0),"",T1668/IF(ISNUMBER(H1668),H1668,G1668))</f>
        <v/>
      </c>
      <c r="V1668" s="49">
        <f>IF(ISNUMBER(U1668),ABS(U1668),"")</f>
        <v/>
      </c>
      <c r="W1668" s="49">
        <f>IF(OR($E1667&lt;&gt;"측정",$C1667&lt;&gt;$C1668,$D1667&lt;&gt;$D1668,NOT(ISNUMBER(M1668)),NOT(ISNUMBER(M1667)),(IF(ISNUMBER(H1668),H1668,G1668)-IF(ISNUMBER(H1667),H1667,G1667))=0),"",(M1668-M1667)/(IF(ISNUMBER(H1668),H1668,G1668)-IF(ISNUMBER(H1667),H1667,G1667)))</f>
        <v/>
      </c>
      <c r="X1668" s="31">
        <f>IF(NOT(AND(ISNUMBER(O1668),ISNUMBER(Q1668))),"",(Q1668-O1668)*1440)</f>
        <v/>
      </c>
      <c r="Y1668" s="29" t="n"/>
      <c r="Z1668" s="29" t="n"/>
      <c r="AA1668" s="29" t="n"/>
      <c r="AB1668" s="32" t="n"/>
      <c r="AC1668" s="32" t="n"/>
    </row>
    <row r="1669">
      <c r="A1669" s="44" t="inlineStr">
        <is>
          <t>S32</t>
        </is>
      </c>
      <c r="B1669" s="44" t="inlineStr">
        <is>
          <t>함양 신규점</t>
        </is>
      </c>
      <c r="C1669" s="44" t="inlineStr">
        <is>
          <t>S32-H북</t>
        </is>
      </c>
      <c r="D1669" s="45" t="n">
        <v>1</v>
      </c>
      <c r="E1669" s="44" t="inlineStr">
        <is>
          <t>P0(후)</t>
        </is>
      </c>
      <c r="F1669" s="44" t="inlineStr">
        <is>
          <t>북</t>
        </is>
      </c>
      <c r="G1669" s="46" t="n"/>
      <c r="H1669" s="30" t="n"/>
      <c r="I1669" s="43" t="n"/>
      <c r="J1669" s="41" t="n"/>
      <c r="K1669" s="41" t="n"/>
      <c r="L1669" s="41" t="n"/>
      <c r="M1669" s="31">
        <f>IF(COUNT(J1669:L1669)=0,"",MEDIAN(J1669:L1669))</f>
        <v/>
      </c>
      <c r="N1669" s="38" t="n"/>
      <c r="O1669" s="38" t="n"/>
      <c r="P1669" s="38" t="n"/>
      <c r="Q1669" s="38" t="n"/>
      <c r="R1669" s="38" t="n"/>
      <c r="S1669" s="38" t="n"/>
      <c r="T1669" s="38" t="n"/>
      <c r="U1669" s="38" t="n"/>
      <c r="V1669" s="38" t="n"/>
      <c r="W1669" s="38" t="n"/>
      <c r="X1669" s="38" t="n"/>
      <c r="Y1669" s="29" t="n"/>
      <c r="Z1669" s="29" t="n"/>
      <c r="AA1669" s="29" t="n"/>
      <c r="AB1669" s="32" t="n"/>
      <c r="AC1669" s="32" t="n"/>
    </row>
    <row r="1670">
      <c r="A1670" s="44" t="inlineStr">
        <is>
          <t>S33</t>
        </is>
      </c>
      <c r="B1670" s="44" t="inlineStr">
        <is>
          <t>문산 신규점</t>
        </is>
      </c>
      <c r="C1670" s="44" t="inlineStr">
        <is>
          <t>S33-H동</t>
        </is>
      </c>
      <c r="D1670" s="45" t="n">
        <v>1</v>
      </c>
      <c r="E1670" s="44" t="inlineStr">
        <is>
          <t>P0(전)</t>
        </is>
      </c>
      <c r="F1670" s="44" t="inlineStr">
        <is>
          <t>동</t>
        </is>
      </c>
      <c r="G1670" s="46" t="n"/>
      <c r="H1670" s="30" t="n"/>
      <c r="I1670" s="43" t="n"/>
      <c r="J1670" s="41" t="n"/>
      <c r="K1670" s="41" t="n"/>
      <c r="L1670" s="41" t="n"/>
      <c r="M1670" s="31">
        <f>IF(COUNT(J1670:L1670)=0,"",MEDIAN(J1670:L1670))</f>
        <v/>
      </c>
      <c r="N1670" s="38" t="n"/>
      <c r="O1670" s="38" t="n"/>
      <c r="P1670" s="38" t="n"/>
      <c r="Q1670" s="38" t="n"/>
      <c r="R1670" s="38" t="n"/>
      <c r="S1670" s="38" t="n"/>
      <c r="T1670" s="38" t="n"/>
      <c r="U1670" s="38" t="n"/>
      <c r="V1670" s="38" t="n"/>
      <c r="W1670" s="38" t="n"/>
      <c r="X1670" s="38" t="n"/>
      <c r="Y1670" s="29" t="n"/>
      <c r="Z1670" s="29" t="n"/>
      <c r="AA1670" s="29" t="n"/>
      <c r="AB1670" s="32" t="n"/>
      <c r="AC1670" s="32" t="n"/>
    </row>
    <row r="1671">
      <c r="A1671" s="26" t="inlineStr">
        <is>
          <t>S33</t>
        </is>
      </c>
      <c r="B1671" s="26" t="inlineStr">
        <is>
          <t>문산 신규점</t>
        </is>
      </c>
      <c r="C1671" s="26" t="inlineStr">
        <is>
          <t>S33-H동</t>
        </is>
      </c>
      <c r="D1671" s="47" t="n">
        <v>1</v>
      </c>
      <c r="E1671" s="26" t="inlineStr">
        <is>
          <t>측정</t>
        </is>
      </c>
      <c r="F1671" s="26" t="inlineStr">
        <is>
          <t>동</t>
        </is>
      </c>
      <c r="G1671" s="31" t="n">
        <v>0.5</v>
      </c>
      <c r="H1671" s="30" t="n"/>
      <c r="I1671" s="43" t="n"/>
      <c r="J1671" s="41" t="n"/>
      <c r="K1671" s="41" t="n"/>
      <c r="L1671" s="41" t="n"/>
      <c r="M1671" s="31">
        <f>IF(COUNT(J1671:L1671)=0,"",MEDIAN(J1671:L1671))</f>
        <v/>
      </c>
      <c r="N1671" s="26">
        <f>IF(COUNTIFS($C:$C,$C1671,$D:$D,$D1671,$E:$E,"P0(전)",$M:$M,"&gt;0")&lt;&gt;1,"P0(전) 유효 1개 아님",IF(COUNTIFS($C:$C,$C1671,$D:$D,$D1671,$E:$E,"P0(후)",$M:$M,"&gt;0")&lt;&gt;1,"P0(후) 유효 1개 아님",IF(NOT(AND(ISNUMBER(O1671),ISNUMBER(Q1671),ISNUMBER(I1671))),"시각 결측",IF(Q1671&lt;=O1671,"P0 시각 역전",IF(OR(I1671&lt;O1671,I1671&gt;Q1671),"측정시각 구간 밖","OK")))))</f>
        <v/>
      </c>
      <c r="O1671" s="48">
        <f>IF(COUNTIFS($C:$C,$C1671,$D:$D,$D1671,$E:$E,"P0(전)",$M:$M,"&gt;0")&lt;&gt;1,"",SUMIFS($I:$I,$C:$C,$C1671,$D:$D,$D1671,$E:$E,"P0(전)"))</f>
        <v/>
      </c>
      <c r="P1671" s="31">
        <f>IF(COUNTIFS($C:$C,$C1671,$D:$D,$D1671,$E:$E,"P0(전)",$M:$M,"&gt;0")&lt;&gt;1,"",SUMIFS($M:$M,$C:$C,$C1671,$D:$D,$D1671,$E:$E,"P0(전)"))</f>
        <v/>
      </c>
      <c r="Q1671" s="48">
        <f>IF(COUNTIFS($C:$C,$C1671,$D:$D,$D1671,$E:$E,"P0(후)",$M:$M,"&gt;0")&lt;&gt;1,"",SUMIFS($I:$I,$C:$C,$C1671,$D:$D,$D1671,$E:$E,"P0(후)"))</f>
        <v/>
      </c>
      <c r="R1671" s="31">
        <f>IF(COUNTIFS($C:$C,$C1671,$D:$D,$D1671,$E:$E,"P0(후)",$M:$M,"&gt;0")&lt;&gt;1,"",SUMIFS($M:$M,$C:$C,$C1671,$D:$D,$D1671,$E:$E,"P0(후)"))</f>
        <v/>
      </c>
      <c r="S1671" s="31">
        <f>IF(N1671&lt;&gt;"OK","",P1671+(R1671-P1671)*(I1671-O1671)/(Q1671-O1671))</f>
        <v/>
      </c>
      <c r="T1671" s="31">
        <f>IF(OR(N1671&lt;&gt;"OK",NOT(ISNUMBER(M1671))),"",M1671-S1671)</f>
        <v/>
      </c>
      <c r="U1671" s="49">
        <f>IF(OR(NOT(ISNUMBER(T1671)),IF(ISNUMBER(H1671),H1671,G1671)=0),"",T1671/IF(ISNUMBER(H1671),H1671,G1671))</f>
        <v/>
      </c>
      <c r="V1671" s="49">
        <f>IF(ISNUMBER(U1671),ABS(U1671),"")</f>
        <v/>
      </c>
      <c r="W1671" s="49">
        <f>IF(OR($E1670&lt;&gt;"측정",$C1670&lt;&gt;$C1671,$D1670&lt;&gt;$D1671,NOT(ISNUMBER(M1671)),NOT(ISNUMBER(M1670)),(IF(ISNUMBER(H1671),H1671,G1671)-IF(ISNUMBER(H1670),H1670,G1670))=0),"",(M1671-M1670)/(IF(ISNUMBER(H1671),H1671,G1671)-IF(ISNUMBER(H1670),H1670,G1670)))</f>
        <v/>
      </c>
      <c r="X1671" s="31">
        <f>IF(NOT(AND(ISNUMBER(O1671),ISNUMBER(Q1671))),"",(Q1671-O1671)*1440)</f>
        <v/>
      </c>
      <c r="Y1671" s="29" t="n"/>
      <c r="Z1671" s="29" t="n"/>
      <c r="AA1671" s="29" t="n"/>
      <c r="AB1671" s="32" t="n"/>
      <c r="AC1671" s="32" t="n"/>
    </row>
    <row r="1672">
      <c r="A1672" s="26" t="inlineStr">
        <is>
          <t>S33</t>
        </is>
      </c>
      <c r="B1672" s="26" t="inlineStr">
        <is>
          <t>문산 신규점</t>
        </is>
      </c>
      <c r="C1672" s="26" t="inlineStr">
        <is>
          <t>S33-H동</t>
        </is>
      </c>
      <c r="D1672" s="47" t="n">
        <v>1</v>
      </c>
      <c r="E1672" s="26" t="inlineStr">
        <is>
          <t>측정</t>
        </is>
      </c>
      <c r="F1672" s="26" t="inlineStr">
        <is>
          <t>동</t>
        </is>
      </c>
      <c r="G1672" s="31" t="n">
        <v>1</v>
      </c>
      <c r="H1672" s="30" t="n"/>
      <c r="I1672" s="43" t="n"/>
      <c r="J1672" s="41" t="n"/>
      <c r="K1672" s="41" t="n"/>
      <c r="L1672" s="41" t="n"/>
      <c r="M1672" s="31">
        <f>IF(COUNT(J1672:L1672)=0,"",MEDIAN(J1672:L1672))</f>
        <v/>
      </c>
      <c r="N1672" s="26">
        <f>IF(COUNTIFS($C:$C,$C1672,$D:$D,$D1672,$E:$E,"P0(전)",$M:$M,"&gt;0")&lt;&gt;1,"P0(전) 유효 1개 아님",IF(COUNTIFS($C:$C,$C1672,$D:$D,$D1672,$E:$E,"P0(후)",$M:$M,"&gt;0")&lt;&gt;1,"P0(후) 유효 1개 아님",IF(NOT(AND(ISNUMBER(O1672),ISNUMBER(Q1672),ISNUMBER(I1672))),"시각 결측",IF(Q1672&lt;=O1672,"P0 시각 역전",IF(OR(I1672&lt;O1672,I1672&gt;Q1672),"측정시각 구간 밖","OK")))))</f>
        <v/>
      </c>
      <c r="O1672" s="48">
        <f>IF(COUNTIFS($C:$C,$C1672,$D:$D,$D1672,$E:$E,"P0(전)",$M:$M,"&gt;0")&lt;&gt;1,"",SUMIFS($I:$I,$C:$C,$C1672,$D:$D,$D1672,$E:$E,"P0(전)"))</f>
        <v/>
      </c>
      <c r="P1672" s="31">
        <f>IF(COUNTIFS($C:$C,$C1672,$D:$D,$D1672,$E:$E,"P0(전)",$M:$M,"&gt;0")&lt;&gt;1,"",SUMIFS($M:$M,$C:$C,$C1672,$D:$D,$D1672,$E:$E,"P0(전)"))</f>
        <v/>
      </c>
      <c r="Q1672" s="48">
        <f>IF(COUNTIFS($C:$C,$C1672,$D:$D,$D1672,$E:$E,"P0(후)",$M:$M,"&gt;0")&lt;&gt;1,"",SUMIFS($I:$I,$C:$C,$C1672,$D:$D,$D1672,$E:$E,"P0(후)"))</f>
        <v/>
      </c>
      <c r="R1672" s="31">
        <f>IF(COUNTIFS($C:$C,$C1672,$D:$D,$D1672,$E:$E,"P0(후)",$M:$M,"&gt;0")&lt;&gt;1,"",SUMIFS($M:$M,$C:$C,$C1672,$D:$D,$D1672,$E:$E,"P0(후)"))</f>
        <v/>
      </c>
      <c r="S1672" s="31">
        <f>IF(N1672&lt;&gt;"OK","",P1672+(R1672-P1672)*(I1672-O1672)/(Q1672-O1672))</f>
        <v/>
      </c>
      <c r="T1672" s="31">
        <f>IF(OR(N1672&lt;&gt;"OK",NOT(ISNUMBER(M1672))),"",M1672-S1672)</f>
        <v/>
      </c>
      <c r="U1672" s="49">
        <f>IF(OR(NOT(ISNUMBER(T1672)),IF(ISNUMBER(H1672),H1672,G1672)=0),"",T1672/IF(ISNUMBER(H1672),H1672,G1672))</f>
        <v/>
      </c>
      <c r="V1672" s="49">
        <f>IF(ISNUMBER(U1672),ABS(U1672),"")</f>
        <v/>
      </c>
      <c r="W1672" s="49">
        <f>IF(OR($E1671&lt;&gt;"측정",$C1671&lt;&gt;$C1672,$D1671&lt;&gt;$D1672,NOT(ISNUMBER(M1672)),NOT(ISNUMBER(M1671)),(IF(ISNUMBER(H1672),H1672,G1672)-IF(ISNUMBER(H1671),H1671,G1671))=0),"",(M1672-M1671)/(IF(ISNUMBER(H1672),H1672,G1672)-IF(ISNUMBER(H1671),H1671,G1671)))</f>
        <v/>
      </c>
      <c r="X1672" s="31">
        <f>IF(NOT(AND(ISNUMBER(O1672),ISNUMBER(Q1672))),"",(Q1672-O1672)*1440)</f>
        <v/>
      </c>
      <c r="Y1672" s="29" t="n"/>
      <c r="Z1672" s="29" t="n"/>
      <c r="AA1672" s="29" t="n"/>
      <c r="AB1672" s="32" t="n"/>
      <c r="AC1672" s="32" t="n"/>
    </row>
    <row r="1673">
      <c r="A1673" s="26" t="inlineStr">
        <is>
          <t>S33</t>
        </is>
      </c>
      <c r="B1673" s="26" t="inlineStr">
        <is>
          <t>문산 신규점</t>
        </is>
      </c>
      <c r="C1673" s="26" t="inlineStr">
        <is>
          <t>S33-H동</t>
        </is>
      </c>
      <c r="D1673" s="47" t="n">
        <v>1</v>
      </c>
      <c r="E1673" s="26" t="inlineStr">
        <is>
          <t>측정</t>
        </is>
      </c>
      <c r="F1673" s="26" t="inlineStr">
        <is>
          <t>동</t>
        </is>
      </c>
      <c r="G1673" s="31" t="n">
        <v>2</v>
      </c>
      <c r="H1673" s="30" t="n"/>
      <c r="I1673" s="43" t="n"/>
      <c r="J1673" s="41" t="n"/>
      <c r="K1673" s="41" t="n"/>
      <c r="L1673" s="41" t="n"/>
      <c r="M1673" s="31">
        <f>IF(COUNT(J1673:L1673)=0,"",MEDIAN(J1673:L1673))</f>
        <v/>
      </c>
      <c r="N1673" s="26">
        <f>IF(COUNTIFS($C:$C,$C1673,$D:$D,$D1673,$E:$E,"P0(전)",$M:$M,"&gt;0")&lt;&gt;1,"P0(전) 유효 1개 아님",IF(COUNTIFS($C:$C,$C1673,$D:$D,$D1673,$E:$E,"P0(후)",$M:$M,"&gt;0")&lt;&gt;1,"P0(후) 유효 1개 아님",IF(NOT(AND(ISNUMBER(O1673),ISNUMBER(Q1673),ISNUMBER(I1673))),"시각 결측",IF(Q1673&lt;=O1673,"P0 시각 역전",IF(OR(I1673&lt;O1673,I1673&gt;Q1673),"측정시각 구간 밖","OK")))))</f>
        <v/>
      </c>
      <c r="O1673" s="48">
        <f>IF(COUNTIFS($C:$C,$C1673,$D:$D,$D1673,$E:$E,"P0(전)",$M:$M,"&gt;0")&lt;&gt;1,"",SUMIFS($I:$I,$C:$C,$C1673,$D:$D,$D1673,$E:$E,"P0(전)"))</f>
        <v/>
      </c>
      <c r="P1673" s="31">
        <f>IF(COUNTIFS($C:$C,$C1673,$D:$D,$D1673,$E:$E,"P0(전)",$M:$M,"&gt;0")&lt;&gt;1,"",SUMIFS($M:$M,$C:$C,$C1673,$D:$D,$D1673,$E:$E,"P0(전)"))</f>
        <v/>
      </c>
      <c r="Q1673" s="48">
        <f>IF(COUNTIFS($C:$C,$C1673,$D:$D,$D1673,$E:$E,"P0(후)",$M:$M,"&gt;0")&lt;&gt;1,"",SUMIFS($I:$I,$C:$C,$C1673,$D:$D,$D1673,$E:$E,"P0(후)"))</f>
        <v/>
      </c>
      <c r="R1673" s="31">
        <f>IF(COUNTIFS($C:$C,$C1673,$D:$D,$D1673,$E:$E,"P0(후)",$M:$M,"&gt;0")&lt;&gt;1,"",SUMIFS($M:$M,$C:$C,$C1673,$D:$D,$D1673,$E:$E,"P0(후)"))</f>
        <v/>
      </c>
      <c r="S1673" s="31">
        <f>IF(N1673&lt;&gt;"OK","",P1673+(R1673-P1673)*(I1673-O1673)/(Q1673-O1673))</f>
        <v/>
      </c>
      <c r="T1673" s="31">
        <f>IF(OR(N1673&lt;&gt;"OK",NOT(ISNUMBER(M1673))),"",M1673-S1673)</f>
        <v/>
      </c>
      <c r="U1673" s="49">
        <f>IF(OR(NOT(ISNUMBER(T1673)),IF(ISNUMBER(H1673),H1673,G1673)=0),"",T1673/IF(ISNUMBER(H1673),H1673,G1673))</f>
        <v/>
      </c>
      <c r="V1673" s="49">
        <f>IF(ISNUMBER(U1673),ABS(U1673),"")</f>
        <v/>
      </c>
      <c r="W1673" s="49">
        <f>IF(OR($E1672&lt;&gt;"측정",$C1672&lt;&gt;$C1673,$D1672&lt;&gt;$D1673,NOT(ISNUMBER(M1673)),NOT(ISNUMBER(M1672)),(IF(ISNUMBER(H1673),H1673,G1673)-IF(ISNUMBER(H1672),H1672,G1672))=0),"",(M1673-M1672)/(IF(ISNUMBER(H1673),H1673,G1673)-IF(ISNUMBER(H1672),H1672,G1672)))</f>
        <v/>
      </c>
      <c r="X1673" s="31">
        <f>IF(NOT(AND(ISNUMBER(O1673),ISNUMBER(Q1673))),"",(Q1673-O1673)*1440)</f>
        <v/>
      </c>
      <c r="Y1673" s="29" t="n"/>
      <c r="Z1673" s="29" t="n"/>
      <c r="AA1673" s="29" t="n"/>
      <c r="AB1673" s="32" t="n"/>
      <c r="AC1673" s="32" t="n"/>
    </row>
    <row r="1674">
      <c r="A1674" s="26" t="inlineStr">
        <is>
          <t>S33</t>
        </is>
      </c>
      <c r="B1674" s="26" t="inlineStr">
        <is>
          <t>문산 신규점</t>
        </is>
      </c>
      <c r="C1674" s="26" t="inlineStr">
        <is>
          <t>S33-H동</t>
        </is>
      </c>
      <c r="D1674" s="47" t="n">
        <v>1</v>
      </c>
      <c r="E1674" s="26" t="inlineStr">
        <is>
          <t>측정</t>
        </is>
      </c>
      <c r="F1674" s="26" t="inlineStr">
        <is>
          <t>동</t>
        </is>
      </c>
      <c r="G1674" s="31" t="n">
        <v>3</v>
      </c>
      <c r="H1674" s="30" t="n"/>
      <c r="I1674" s="43" t="n"/>
      <c r="J1674" s="41" t="n"/>
      <c r="K1674" s="41" t="n"/>
      <c r="L1674" s="41" t="n"/>
      <c r="M1674" s="31">
        <f>IF(COUNT(J1674:L1674)=0,"",MEDIAN(J1674:L1674))</f>
        <v/>
      </c>
      <c r="N1674" s="26">
        <f>IF(COUNTIFS($C:$C,$C1674,$D:$D,$D1674,$E:$E,"P0(전)",$M:$M,"&gt;0")&lt;&gt;1,"P0(전) 유효 1개 아님",IF(COUNTIFS($C:$C,$C1674,$D:$D,$D1674,$E:$E,"P0(후)",$M:$M,"&gt;0")&lt;&gt;1,"P0(후) 유효 1개 아님",IF(NOT(AND(ISNUMBER(O1674),ISNUMBER(Q1674),ISNUMBER(I1674))),"시각 결측",IF(Q1674&lt;=O1674,"P0 시각 역전",IF(OR(I1674&lt;O1674,I1674&gt;Q1674),"측정시각 구간 밖","OK")))))</f>
        <v/>
      </c>
      <c r="O1674" s="48">
        <f>IF(COUNTIFS($C:$C,$C1674,$D:$D,$D1674,$E:$E,"P0(전)",$M:$M,"&gt;0")&lt;&gt;1,"",SUMIFS($I:$I,$C:$C,$C1674,$D:$D,$D1674,$E:$E,"P0(전)"))</f>
        <v/>
      </c>
      <c r="P1674" s="31">
        <f>IF(COUNTIFS($C:$C,$C1674,$D:$D,$D1674,$E:$E,"P0(전)",$M:$M,"&gt;0")&lt;&gt;1,"",SUMIFS($M:$M,$C:$C,$C1674,$D:$D,$D1674,$E:$E,"P0(전)"))</f>
        <v/>
      </c>
      <c r="Q1674" s="48">
        <f>IF(COUNTIFS($C:$C,$C1674,$D:$D,$D1674,$E:$E,"P0(후)",$M:$M,"&gt;0")&lt;&gt;1,"",SUMIFS($I:$I,$C:$C,$C1674,$D:$D,$D1674,$E:$E,"P0(후)"))</f>
        <v/>
      </c>
      <c r="R1674" s="31">
        <f>IF(COUNTIFS($C:$C,$C1674,$D:$D,$D1674,$E:$E,"P0(후)",$M:$M,"&gt;0")&lt;&gt;1,"",SUMIFS($M:$M,$C:$C,$C1674,$D:$D,$D1674,$E:$E,"P0(후)"))</f>
        <v/>
      </c>
      <c r="S1674" s="31">
        <f>IF(N1674&lt;&gt;"OK","",P1674+(R1674-P1674)*(I1674-O1674)/(Q1674-O1674))</f>
        <v/>
      </c>
      <c r="T1674" s="31">
        <f>IF(OR(N1674&lt;&gt;"OK",NOT(ISNUMBER(M1674))),"",M1674-S1674)</f>
        <v/>
      </c>
      <c r="U1674" s="49">
        <f>IF(OR(NOT(ISNUMBER(T1674)),IF(ISNUMBER(H1674),H1674,G1674)=0),"",T1674/IF(ISNUMBER(H1674),H1674,G1674))</f>
        <v/>
      </c>
      <c r="V1674" s="49">
        <f>IF(ISNUMBER(U1674),ABS(U1674),"")</f>
        <v/>
      </c>
      <c r="W1674" s="49">
        <f>IF(OR($E1673&lt;&gt;"측정",$C1673&lt;&gt;$C1674,$D1673&lt;&gt;$D1674,NOT(ISNUMBER(M1674)),NOT(ISNUMBER(M1673)),(IF(ISNUMBER(H1674),H1674,G1674)-IF(ISNUMBER(H1673),H1673,G1673))=0),"",(M1674-M1673)/(IF(ISNUMBER(H1674),H1674,G1674)-IF(ISNUMBER(H1673),H1673,G1673)))</f>
        <v/>
      </c>
      <c r="X1674" s="31">
        <f>IF(NOT(AND(ISNUMBER(O1674),ISNUMBER(Q1674))),"",(Q1674-O1674)*1440)</f>
        <v/>
      </c>
      <c r="Y1674" s="29" t="n"/>
      <c r="Z1674" s="29" t="n"/>
      <c r="AA1674" s="29" t="n"/>
      <c r="AB1674" s="32" t="n"/>
      <c r="AC1674" s="32" t="n"/>
    </row>
    <row r="1675">
      <c r="A1675" s="26" t="inlineStr">
        <is>
          <t>S33</t>
        </is>
      </c>
      <c r="B1675" s="26" t="inlineStr">
        <is>
          <t>문산 신규점</t>
        </is>
      </c>
      <c r="C1675" s="26" t="inlineStr">
        <is>
          <t>S33-H동</t>
        </is>
      </c>
      <c r="D1675" s="47" t="n">
        <v>1</v>
      </c>
      <c r="E1675" s="26" t="inlineStr">
        <is>
          <t>측정</t>
        </is>
      </c>
      <c r="F1675" s="26" t="inlineStr">
        <is>
          <t>동</t>
        </is>
      </c>
      <c r="G1675" s="31" t="n">
        <v>4</v>
      </c>
      <c r="H1675" s="30" t="n"/>
      <c r="I1675" s="43" t="n"/>
      <c r="J1675" s="41" t="n"/>
      <c r="K1675" s="41" t="n"/>
      <c r="L1675" s="41" t="n"/>
      <c r="M1675" s="31">
        <f>IF(COUNT(J1675:L1675)=0,"",MEDIAN(J1675:L1675))</f>
        <v/>
      </c>
      <c r="N1675" s="26">
        <f>IF(COUNTIFS($C:$C,$C1675,$D:$D,$D1675,$E:$E,"P0(전)",$M:$M,"&gt;0")&lt;&gt;1,"P0(전) 유효 1개 아님",IF(COUNTIFS($C:$C,$C1675,$D:$D,$D1675,$E:$E,"P0(후)",$M:$M,"&gt;0")&lt;&gt;1,"P0(후) 유효 1개 아님",IF(NOT(AND(ISNUMBER(O1675),ISNUMBER(Q1675),ISNUMBER(I1675))),"시각 결측",IF(Q1675&lt;=O1675,"P0 시각 역전",IF(OR(I1675&lt;O1675,I1675&gt;Q1675),"측정시각 구간 밖","OK")))))</f>
        <v/>
      </c>
      <c r="O1675" s="48">
        <f>IF(COUNTIFS($C:$C,$C1675,$D:$D,$D1675,$E:$E,"P0(전)",$M:$M,"&gt;0")&lt;&gt;1,"",SUMIFS($I:$I,$C:$C,$C1675,$D:$D,$D1675,$E:$E,"P0(전)"))</f>
        <v/>
      </c>
      <c r="P1675" s="31">
        <f>IF(COUNTIFS($C:$C,$C1675,$D:$D,$D1675,$E:$E,"P0(전)",$M:$M,"&gt;0")&lt;&gt;1,"",SUMIFS($M:$M,$C:$C,$C1675,$D:$D,$D1675,$E:$E,"P0(전)"))</f>
        <v/>
      </c>
      <c r="Q1675" s="48">
        <f>IF(COUNTIFS($C:$C,$C1675,$D:$D,$D1675,$E:$E,"P0(후)",$M:$M,"&gt;0")&lt;&gt;1,"",SUMIFS($I:$I,$C:$C,$C1675,$D:$D,$D1675,$E:$E,"P0(후)"))</f>
        <v/>
      </c>
      <c r="R1675" s="31">
        <f>IF(COUNTIFS($C:$C,$C1675,$D:$D,$D1675,$E:$E,"P0(후)",$M:$M,"&gt;0")&lt;&gt;1,"",SUMIFS($M:$M,$C:$C,$C1675,$D:$D,$D1675,$E:$E,"P0(후)"))</f>
        <v/>
      </c>
      <c r="S1675" s="31">
        <f>IF(N1675&lt;&gt;"OK","",P1675+(R1675-P1675)*(I1675-O1675)/(Q1675-O1675))</f>
        <v/>
      </c>
      <c r="T1675" s="31">
        <f>IF(OR(N1675&lt;&gt;"OK",NOT(ISNUMBER(M1675))),"",M1675-S1675)</f>
        <v/>
      </c>
      <c r="U1675" s="49">
        <f>IF(OR(NOT(ISNUMBER(T1675)),IF(ISNUMBER(H1675),H1675,G1675)=0),"",T1675/IF(ISNUMBER(H1675),H1675,G1675))</f>
        <v/>
      </c>
      <c r="V1675" s="49">
        <f>IF(ISNUMBER(U1675),ABS(U1675),"")</f>
        <v/>
      </c>
      <c r="W1675" s="49">
        <f>IF(OR($E1674&lt;&gt;"측정",$C1674&lt;&gt;$C1675,$D1674&lt;&gt;$D1675,NOT(ISNUMBER(M1675)),NOT(ISNUMBER(M1674)),(IF(ISNUMBER(H1675),H1675,G1675)-IF(ISNUMBER(H1674),H1674,G1674))=0),"",(M1675-M1674)/(IF(ISNUMBER(H1675),H1675,G1675)-IF(ISNUMBER(H1674),H1674,G1674)))</f>
        <v/>
      </c>
      <c r="X1675" s="31">
        <f>IF(NOT(AND(ISNUMBER(O1675),ISNUMBER(Q1675))),"",(Q1675-O1675)*1440)</f>
        <v/>
      </c>
      <c r="Y1675" s="29" t="n"/>
      <c r="Z1675" s="29" t="n"/>
      <c r="AA1675" s="29" t="n"/>
      <c r="AB1675" s="32" t="n"/>
      <c r="AC1675" s="32" t="n"/>
    </row>
    <row r="1676">
      <c r="A1676" s="26" t="inlineStr">
        <is>
          <t>S33</t>
        </is>
      </c>
      <c r="B1676" s="26" t="inlineStr">
        <is>
          <t>문산 신규점</t>
        </is>
      </c>
      <c r="C1676" s="26" t="inlineStr">
        <is>
          <t>S33-H동</t>
        </is>
      </c>
      <c r="D1676" s="47" t="n">
        <v>1</v>
      </c>
      <c r="E1676" s="26" t="inlineStr">
        <is>
          <t>측정</t>
        </is>
      </c>
      <c r="F1676" s="26" t="inlineStr">
        <is>
          <t>동</t>
        </is>
      </c>
      <c r="G1676" s="31" t="n">
        <v>5</v>
      </c>
      <c r="H1676" s="30" t="n"/>
      <c r="I1676" s="43" t="n"/>
      <c r="J1676" s="41" t="n"/>
      <c r="K1676" s="41" t="n"/>
      <c r="L1676" s="41" t="n"/>
      <c r="M1676" s="31">
        <f>IF(COUNT(J1676:L1676)=0,"",MEDIAN(J1676:L1676))</f>
        <v/>
      </c>
      <c r="N1676" s="26">
        <f>IF(COUNTIFS($C:$C,$C1676,$D:$D,$D1676,$E:$E,"P0(전)",$M:$M,"&gt;0")&lt;&gt;1,"P0(전) 유효 1개 아님",IF(COUNTIFS($C:$C,$C1676,$D:$D,$D1676,$E:$E,"P0(후)",$M:$M,"&gt;0")&lt;&gt;1,"P0(후) 유효 1개 아님",IF(NOT(AND(ISNUMBER(O1676),ISNUMBER(Q1676),ISNUMBER(I1676))),"시각 결측",IF(Q1676&lt;=O1676,"P0 시각 역전",IF(OR(I1676&lt;O1676,I1676&gt;Q1676),"측정시각 구간 밖","OK")))))</f>
        <v/>
      </c>
      <c r="O1676" s="48">
        <f>IF(COUNTIFS($C:$C,$C1676,$D:$D,$D1676,$E:$E,"P0(전)",$M:$M,"&gt;0")&lt;&gt;1,"",SUMIFS($I:$I,$C:$C,$C1676,$D:$D,$D1676,$E:$E,"P0(전)"))</f>
        <v/>
      </c>
      <c r="P1676" s="31">
        <f>IF(COUNTIFS($C:$C,$C1676,$D:$D,$D1676,$E:$E,"P0(전)",$M:$M,"&gt;0")&lt;&gt;1,"",SUMIFS($M:$M,$C:$C,$C1676,$D:$D,$D1676,$E:$E,"P0(전)"))</f>
        <v/>
      </c>
      <c r="Q1676" s="48">
        <f>IF(COUNTIFS($C:$C,$C1676,$D:$D,$D1676,$E:$E,"P0(후)",$M:$M,"&gt;0")&lt;&gt;1,"",SUMIFS($I:$I,$C:$C,$C1676,$D:$D,$D1676,$E:$E,"P0(후)"))</f>
        <v/>
      </c>
      <c r="R1676" s="31">
        <f>IF(COUNTIFS($C:$C,$C1676,$D:$D,$D1676,$E:$E,"P0(후)",$M:$M,"&gt;0")&lt;&gt;1,"",SUMIFS($M:$M,$C:$C,$C1676,$D:$D,$D1676,$E:$E,"P0(후)"))</f>
        <v/>
      </c>
      <c r="S1676" s="31">
        <f>IF(N1676&lt;&gt;"OK","",P1676+(R1676-P1676)*(I1676-O1676)/(Q1676-O1676))</f>
        <v/>
      </c>
      <c r="T1676" s="31">
        <f>IF(OR(N1676&lt;&gt;"OK",NOT(ISNUMBER(M1676))),"",M1676-S1676)</f>
        <v/>
      </c>
      <c r="U1676" s="49">
        <f>IF(OR(NOT(ISNUMBER(T1676)),IF(ISNUMBER(H1676),H1676,G1676)=0),"",T1676/IF(ISNUMBER(H1676),H1676,G1676))</f>
        <v/>
      </c>
      <c r="V1676" s="49">
        <f>IF(ISNUMBER(U1676),ABS(U1676),"")</f>
        <v/>
      </c>
      <c r="W1676" s="49">
        <f>IF(OR($E1675&lt;&gt;"측정",$C1675&lt;&gt;$C1676,$D1675&lt;&gt;$D1676,NOT(ISNUMBER(M1676)),NOT(ISNUMBER(M1675)),(IF(ISNUMBER(H1676),H1676,G1676)-IF(ISNUMBER(H1675),H1675,G1675))=0),"",(M1676-M1675)/(IF(ISNUMBER(H1676),H1676,G1676)-IF(ISNUMBER(H1675),H1675,G1675)))</f>
        <v/>
      </c>
      <c r="X1676" s="31">
        <f>IF(NOT(AND(ISNUMBER(O1676),ISNUMBER(Q1676))),"",(Q1676-O1676)*1440)</f>
        <v/>
      </c>
      <c r="Y1676" s="29" t="n"/>
      <c r="Z1676" s="29" t="n"/>
      <c r="AA1676" s="29" t="n"/>
      <c r="AB1676" s="32" t="n"/>
      <c r="AC1676" s="32" t="n"/>
    </row>
    <row r="1677">
      <c r="A1677" s="26" t="inlineStr">
        <is>
          <t>S33</t>
        </is>
      </c>
      <c r="B1677" s="26" t="inlineStr">
        <is>
          <t>문산 신규점</t>
        </is>
      </c>
      <c r="C1677" s="26" t="inlineStr">
        <is>
          <t>S33-H동</t>
        </is>
      </c>
      <c r="D1677" s="47" t="n">
        <v>1</v>
      </c>
      <c r="E1677" s="26" t="inlineStr">
        <is>
          <t>측정</t>
        </is>
      </c>
      <c r="F1677" s="26" t="inlineStr">
        <is>
          <t>동</t>
        </is>
      </c>
      <c r="G1677" s="31" t="n">
        <v>6</v>
      </c>
      <c r="H1677" s="30" t="n"/>
      <c r="I1677" s="43" t="n"/>
      <c r="J1677" s="41" t="n"/>
      <c r="K1677" s="41" t="n"/>
      <c r="L1677" s="41" t="n"/>
      <c r="M1677" s="31">
        <f>IF(COUNT(J1677:L1677)=0,"",MEDIAN(J1677:L1677))</f>
        <v/>
      </c>
      <c r="N1677" s="26">
        <f>IF(COUNTIFS($C:$C,$C1677,$D:$D,$D1677,$E:$E,"P0(전)",$M:$M,"&gt;0")&lt;&gt;1,"P0(전) 유효 1개 아님",IF(COUNTIFS($C:$C,$C1677,$D:$D,$D1677,$E:$E,"P0(후)",$M:$M,"&gt;0")&lt;&gt;1,"P0(후) 유효 1개 아님",IF(NOT(AND(ISNUMBER(O1677),ISNUMBER(Q1677),ISNUMBER(I1677))),"시각 결측",IF(Q1677&lt;=O1677,"P0 시각 역전",IF(OR(I1677&lt;O1677,I1677&gt;Q1677),"측정시각 구간 밖","OK")))))</f>
        <v/>
      </c>
      <c r="O1677" s="48">
        <f>IF(COUNTIFS($C:$C,$C1677,$D:$D,$D1677,$E:$E,"P0(전)",$M:$M,"&gt;0")&lt;&gt;1,"",SUMIFS($I:$I,$C:$C,$C1677,$D:$D,$D1677,$E:$E,"P0(전)"))</f>
        <v/>
      </c>
      <c r="P1677" s="31">
        <f>IF(COUNTIFS($C:$C,$C1677,$D:$D,$D1677,$E:$E,"P0(전)",$M:$M,"&gt;0")&lt;&gt;1,"",SUMIFS($M:$M,$C:$C,$C1677,$D:$D,$D1677,$E:$E,"P0(전)"))</f>
        <v/>
      </c>
      <c r="Q1677" s="48">
        <f>IF(COUNTIFS($C:$C,$C1677,$D:$D,$D1677,$E:$E,"P0(후)",$M:$M,"&gt;0")&lt;&gt;1,"",SUMIFS($I:$I,$C:$C,$C1677,$D:$D,$D1677,$E:$E,"P0(후)"))</f>
        <v/>
      </c>
      <c r="R1677" s="31">
        <f>IF(COUNTIFS($C:$C,$C1677,$D:$D,$D1677,$E:$E,"P0(후)",$M:$M,"&gt;0")&lt;&gt;1,"",SUMIFS($M:$M,$C:$C,$C1677,$D:$D,$D1677,$E:$E,"P0(후)"))</f>
        <v/>
      </c>
      <c r="S1677" s="31">
        <f>IF(N1677&lt;&gt;"OK","",P1677+(R1677-P1677)*(I1677-O1677)/(Q1677-O1677))</f>
        <v/>
      </c>
      <c r="T1677" s="31">
        <f>IF(OR(N1677&lt;&gt;"OK",NOT(ISNUMBER(M1677))),"",M1677-S1677)</f>
        <v/>
      </c>
      <c r="U1677" s="49">
        <f>IF(OR(NOT(ISNUMBER(T1677)),IF(ISNUMBER(H1677),H1677,G1677)=0),"",T1677/IF(ISNUMBER(H1677),H1677,G1677))</f>
        <v/>
      </c>
      <c r="V1677" s="49">
        <f>IF(ISNUMBER(U1677),ABS(U1677),"")</f>
        <v/>
      </c>
      <c r="W1677" s="49">
        <f>IF(OR($E1676&lt;&gt;"측정",$C1676&lt;&gt;$C1677,$D1676&lt;&gt;$D1677,NOT(ISNUMBER(M1677)),NOT(ISNUMBER(M1676)),(IF(ISNUMBER(H1677),H1677,G1677)-IF(ISNUMBER(H1676),H1676,G1676))=0),"",(M1677-M1676)/(IF(ISNUMBER(H1677),H1677,G1677)-IF(ISNUMBER(H1676),H1676,G1676)))</f>
        <v/>
      </c>
      <c r="X1677" s="31">
        <f>IF(NOT(AND(ISNUMBER(O1677),ISNUMBER(Q1677))),"",(Q1677-O1677)*1440)</f>
        <v/>
      </c>
      <c r="Y1677" s="29" t="n"/>
      <c r="Z1677" s="29" t="n"/>
      <c r="AA1677" s="29" t="n"/>
      <c r="AB1677" s="32" t="n"/>
      <c r="AC1677" s="32" t="n"/>
    </row>
    <row r="1678">
      <c r="A1678" s="26" t="inlineStr">
        <is>
          <t>S33</t>
        </is>
      </c>
      <c r="B1678" s="26" t="inlineStr">
        <is>
          <t>문산 신규점</t>
        </is>
      </c>
      <c r="C1678" s="26" t="inlineStr">
        <is>
          <t>S33-H동</t>
        </is>
      </c>
      <c r="D1678" s="47" t="n">
        <v>1</v>
      </c>
      <c r="E1678" s="26" t="inlineStr">
        <is>
          <t>측정</t>
        </is>
      </c>
      <c r="F1678" s="26" t="inlineStr">
        <is>
          <t>동</t>
        </is>
      </c>
      <c r="G1678" s="31" t="n">
        <v>7</v>
      </c>
      <c r="H1678" s="30" t="n"/>
      <c r="I1678" s="43" t="n"/>
      <c r="J1678" s="41" t="n"/>
      <c r="K1678" s="41" t="n"/>
      <c r="L1678" s="41" t="n"/>
      <c r="M1678" s="31">
        <f>IF(COUNT(J1678:L1678)=0,"",MEDIAN(J1678:L1678))</f>
        <v/>
      </c>
      <c r="N1678" s="26">
        <f>IF(COUNTIFS($C:$C,$C1678,$D:$D,$D1678,$E:$E,"P0(전)",$M:$M,"&gt;0")&lt;&gt;1,"P0(전) 유효 1개 아님",IF(COUNTIFS($C:$C,$C1678,$D:$D,$D1678,$E:$E,"P0(후)",$M:$M,"&gt;0")&lt;&gt;1,"P0(후) 유효 1개 아님",IF(NOT(AND(ISNUMBER(O1678),ISNUMBER(Q1678),ISNUMBER(I1678))),"시각 결측",IF(Q1678&lt;=O1678,"P0 시각 역전",IF(OR(I1678&lt;O1678,I1678&gt;Q1678),"측정시각 구간 밖","OK")))))</f>
        <v/>
      </c>
      <c r="O1678" s="48">
        <f>IF(COUNTIFS($C:$C,$C1678,$D:$D,$D1678,$E:$E,"P0(전)",$M:$M,"&gt;0")&lt;&gt;1,"",SUMIFS($I:$I,$C:$C,$C1678,$D:$D,$D1678,$E:$E,"P0(전)"))</f>
        <v/>
      </c>
      <c r="P1678" s="31">
        <f>IF(COUNTIFS($C:$C,$C1678,$D:$D,$D1678,$E:$E,"P0(전)",$M:$M,"&gt;0")&lt;&gt;1,"",SUMIFS($M:$M,$C:$C,$C1678,$D:$D,$D1678,$E:$E,"P0(전)"))</f>
        <v/>
      </c>
      <c r="Q1678" s="48">
        <f>IF(COUNTIFS($C:$C,$C1678,$D:$D,$D1678,$E:$E,"P0(후)",$M:$M,"&gt;0")&lt;&gt;1,"",SUMIFS($I:$I,$C:$C,$C1678,$D:$D,$D1678,$E:$E,"P0(후)"))</f>
        <v/>
      </c>
      <c r="R1678" s="31">
        <f>IF(COUNTIFS($C:$C,$C1678,$D:$D,$D1678,$E:$E,"P0(후)",$M:$M,"&gt;0")&lt;&gt;1,"",SUMIFS($M:$M,$C:$C,$C1678,$D:$D,$D1678,$E:$E,"P0(후)"))</f>
        <v/>
      </c>
      <c r="S1678" s="31">
        <f>IF(N1678&lt;&gt;"OK","",P1678+(R1678-P1678)*(I1678-O1678)/(Q1678-O1678))</f>
        <v/>
      </c>
      <c r="T1678" s="31">
        <f>IF(OR(N1678&lt;&gt;"OK",NOT(ISNUMBER(M1678))),"",M1678-S1678)</f>
        <v/>
      </c>
      <c r="U1678" s="49">
        <f>IF(OR(NOT(ISNUMBER(T1678)),IF(ISNUMBER(H1678),H1678,G1678)=0),"",T1678/IF(ISNUMBER(H1678),H1678,G1678))</f>
        <v/>
      </c>
      <c r="V1678" s="49">
        <f>IF(ISNUMBER(U1678),ABS(U1678),"")</f>
        <v/>
      </c>
      <c r="W1678" s="49">
        <f>IF(OR($E1677&lt;&gt;"측정",$C1677&lt;&gt;$C1678,$D1677&lt;&gt;$D1678,NOT(ISNUMBER(M1678)),NOT(ISNUMBER(M1677)),(IF(ISNUMBER(H1678),H1678,G1678)-IF(ISNUMBER(H1677),H1677,G1677))=0),"",(M1678-M1677)/(IF(ISNUMBER(H1678),H1678,G1678)-IF(ISNUMBER(H1677),H1677,G1677)))</f>
        <v/>
      </c>
      <c r="X1678" s="31">
        <f>IF(NOT(AND(ISNUMBER(O1678),ISNUMBER(Q1678))),"",(Q1678-O1678)*1440)</f>
        <v/>
      </c>
      <c r="Y1678" s="29" t="n"/>
      <c r="Z1678" s="29" t="n"/>
      <c r="AA1678" s="29" t="n"/>
      <c r="AB1678" s="32" t="n"/>
      <c r="AC1678" s="32" t="n"/>
    </row>
    <row r="1679">
      <c r="A1679" s="26" t="inlineStr">
        <is>
          <t>S33</t>
        </is>
      </c>
      <c r="B1679" s="26" t="inlineStr">
        <is>
          <t>문산 신규점</t>
        </is>
      </c>
      <c r="C1679" s="26" t="inlineStr">
        <is>
          <t>S33-H동</t>
        </is>
      </c>
      <c r="D1679" s="47" t="n">
        <v>1</v>
      </c>
      <c r="E1679" s="26" t="inlineStr">
        <is>
          <t>측정</t>
        </is>
      </c>
      <c r="F1679" s="26" t="inlineStr">
        <is>
          <t>동</t>
        </is>
      </c>
      <c r="G1679" s="31" t="n">
        <v>8</v>
      </c>
      <c r="H1679" s="30" t="n"/>
      <c r="I1679" s="43" t="n"/>
      <c r="J1679" s="41" t="n"/>
      <c r="K1679" s="41" t="n"/>
      <c r="L1679" s="41" t="n"/>
      <c r="M1679" s="31">
        <f>IF(COUNT(J1679:L1679)=0,"",MEDIAN(J1679:L1679))</f>
        <v/>
      </c>
      <c r="N1679" s="26">
        <f>IF(COUNTIFS($C:$C,$C1679,$D:$D,$D1679,$E:$E,"P0(전)",$M:$M,"&gt;0")&lt;&gt;1,"P0(전) 유효 1개 아님",IF(COUNTIFS($C:$C,$C1679,$D:$D,$D1679,$E:$E,"P0(후)",$M:$M,"&gt;0")&lt;&gt;1,"P0(후) 유효 1개 아님",IF(NOT(AND(ISNUMBER(O1679),ISNUMBER(Q1679),ISNUMBER(I1679))),"시각 결측",IF(Q1679&lt;=O1679,"P0 시각 역전",IF(OR(I1679&lt;O1679,I1679&gt;Q1679),"측정시각 구간 밖","OK")))))</f>
        <v/>
      </c>
      <c r="O1679" s="48">
        <f>IF(COUNTIFS($C:$C,$C1679,$D:$D,$D1679,$E:$E,"P0(전)",$M:$M,"&gt;0")&lt;&gt;1,"",SUMIFS($I:$I,$C:$C,$C1679,$D:$D,$D1679,$E:$E,"P0(전)"))</f>
        <v/>
      </c>
      <c r="P1679" s="31">
        <f>IF(COUNTIFS($C:$C,$C1679,$D:$D,$D1679,$E:$E,"P0(전)",$M:$M,"&gt;0")&lt;&gt;1,"",SUMIFS($M:$M,$C:$C,$C1679,$D:$D,$D1679,$E:$E,"P0(전)"))</f>
        <v/>
      </c>
      <c r="Q1679" s="48">
        <f>IF(COUNTIFS($C:$C,$C1679,$D:$D,$D1679,$E:$E,"P0(후)",$M:$M,"&gt;0")&lt;&gt;1,"",SUMIFS($I:$I,$C:$C,$C1679,$D:$D,$D1679,$E:$E,"P0(후)"))</f>
        <v/>
      </c>
      <c r="R1679" s="31">
        <f>IF(COUNTIFS($C:$C,$C1679,$D:$D,$D1679,$E:$E,"P0(후)",$M:$M,"&gt;0")&lt;&gt;1,"",SUMIFS($M:$M,$C:$C,$C1679,$D:$D,$D1679,$E:$E,"P0(후)"))</f>
        <v/>
      </c>
      <c r="S1679" s="31">
        <f>IF(N1679&lt;&gt;"OK","",P1679+(R1679-P1679)*(I1679-O1679)/(Q1679-O1679))</f>
        <v/>
      </c>
      <c r="T1679" s="31">
        <f>IF(OR(N1679&lt;&gt;"OK",NOT(ISNUMBER(M1679))),"",M1679-S1679)</f>
        <v/>
      </c>
      <c r="U1679" s="49">
        <f>IF(OR(NOT(ISNUMBER(T1679)),IF(ISNUMBER(H1679),H1679,G1679)=0),"",T1679/IF(ISNUMBER(H1679),H1679,G1679))</f>
        <v/>
      </c>
      <c r="V1679" s="49">
        <f>IF(ISNUMBER(U1679),ABS(U1679),"")</f>
        <v/>
      </c>
      <c r="W1679" s="49">
        <f>IF(OR($E1678&lt;&gt;"측정",$C1678&lt;&gt;$C1679,$D1678&lt;&gt;$D1679,NOT(ISNUMBER(M1679)),NOT(ISNUMBER(M1678)),(IF(ISNUMBER(H1679),H1679,G1679)-IF(ISNUMBER(H1678),H1678,G1678))=0),"",(M1679-M1678)/(IF(ISNUMBER(H1679),H1679,G1679)-IF(ISNUMBER(H1678),H1678,G1678)))</f>
        <v/>
      </c>
      <c r="X1679" s="31">
        <f>IF(NOT(AND(ISNUMBER(O1679),ISNUMBER(Q1679))),"",(Q1679-O1679)*1440)</f>
        <v/>
      </c>
      <c r="Y1679" s="29" t="n"/>
      <c r="Z1679" s="29" t="n"/>
      <c r="AA1679" s="29" t="n"/>
      <c r="AB1679" s="32" t="n"/>
      <c r="AC1679" s="32" t="n"/>
    </row>
    <row r="1680">
      <c r="A1680" s="26" t="inlineStr">
        <is>
          <t>S33</t>
        </is>
      </c>
      <c r="B1680" s="26" t="inlineStr">
        <is>
          <t>문산 신규점</t>
        </is>
      </c>
      <c r="C1680" s="26" t="inlineStr">
        <is>
          <t>S33-H동</t>
        </is>
      </c>
      <c r="D1680" s="47" t="n">
        <v>1</v>
      </c>
      <c r="E1680" s="26" t="inlineStr">
        <is>
          <t>측정</t>
        </is>
      </c>
      <c r="F1680" s="26" t="inlineStr">
        <is>
          <t>동</t>
        </is>
      </c>
      <c r="G1680" s="31" t="n">
        <v>9</v>
      </c>
      <c r="H1680" s="30" t="n"/>
      <c r="I1680" s="43" t="n"/>
      <c r="J1680" s="41" t="n"/>
      <c r="K1680" s="41" t="n"/>
      <c r="L1680" s="41" t="n"/>
      <c r="M1680" s="31">
        <f>IF(COUNT(J1680:L1680)=0,"",MEDIAN(J1680:L1680))</f>
        <v/>
      </c>
      <c r="N1680" s="26">
        <f>IF(COUNTIFS($C:$C,$C1680,$D:$D,$D1680,$E:$E,"P0(전)",$M:$M,"&gt;0")&lt;&gt;1,"P0(전) 유효 1개 아님",IF(COUNTIFS($C:$C,$C1680,$D:$D,$D1680,$E:$E,"P0(후)",$M:$M,"&gt;0")&lt;&gt;1,"P0(후) 유효 1개 아님",IF(NOT(AND(ISNUMBER(O1680),ISNUMBER(Q1680),ISNUMBER(I1680))),"시각 결측",IF(Q1680&lt;=O1680,"P0 시각 역전",IF(OR(I1680&lt;O1680,I1680&gt;Q1680),"측정시각 구간 밖","OK")))))</f>
        <v/>
      </c>
      <c r="O1680" s="48">
        <f>IF(COUNTIFS($C:$C,$C1680,$D:$D,$D1680,$E:$E,"P0(전)",$M:$M,"&gt;0")&lt;&gt;1,"",SUMIFS($I:$I,$C:$C,$C1680,$D:$D,$D1680,$E:$E,"P0(전)"))</f>
        <v/>
      </c>
      <c r="P1680" s="31">
        <f>IF(COUNTIFS($C:$C,$C1680,$D:$D,$D1680,$E:$E,"P0(전)",$M:$M,"&gt;0")&lt;&gt;1,"",SUMIFS($M:$M,$C:$C,$C1680,$D:$D,$D1680,$E:$E,"P0(전)"))</f>
        <v/>
      </c>
      <c r="Q1680" s="48">
        <f>IF(COUNTIFS($C:$C,$C1680,$D:$D,$D1680,$E:$E,"P0(후)",$M:$M,"&gt;0")&lt;&gt;1,"",SUMIFS($I:$I,$C:$C,$C1680,$D:$D,$D1680,$E:$E,"P0(후)"))</f>
        <v/>
      </c>
      <c r="R1680" s="31">
        <f>IF(COUNTIFS($C:$C,$C1680,$D:$D,$D1680,$E:$E,"P0(후)",$M:$M,"&gt;0")&lt;&gt;1,"",SUMIFS($M:$M,$C:$C,$C1680,$D:$D,$D1680,$E:$E,"P0(후)"))</f>
        <v/>
      </c>
      <c r="S1680" s="31">
        <f>IF(N1680&lt;&gt;"OK","",P1680+(R1680-P1680)*(I1680-O1680)/(Q1680-O1680))</f>
        <v/>
      </c>
      <c r="T1680" s="31">
        <f>IF(OR(N1680&lt;&gt;"OK",NOT(ISNUMBER(M1680))),"",M1680-S1680)</f>
        <v/>
      </c>
      <c r="U1680" s="49">
        <f>IF(OR(NOT(ISNUMBER(T1680)),IF(ISNUMBER(H1680),H1680,G1680)=0),"",T1680/IF(ISNUMBER(H1680),H1680,G1680))</f>
        <v/>
      </c>
      <c r="V1680" s="49">
        <f>IF(ISNUMBER(U1680),ABS(U1680),"")</f>
        <v/>
      </c>
      <c r="W1680" s="49">
        <f>IF(OR($E1679&lt;&gt;"측정",$C1679&lt;&gt;$C1680,$D1679&lt;&gt;$D1680,NOT(ISNUMBER(M1680)),NOT(ISNUMBER(M1679)),(IF(ISNUMBER(H1680),H1680,G1680)-IF(ISNUMBER(H1679),H1679,G1679))=0),"",(M1680-M1679)/(IF(ISNUMBER(H1680),H1680,G1680)-IF(ISNUMBER(H1679),H1679,G1679)))</f>
        <v/>
      </c>
      <c r="X1680" s="31">
        <f>IF(NOT(AND(ISNUMBER(O1680),ISNUMBER(Q1680))),"",(Q1680-O1680)*1440)</f>
        <v/>
      </c>
      <c r="Y1680" s="29" t="n"/>
      <c r="Z1680" s="29" t="n"/>
      <c r="AA1680" s="29" t="n"/>
      <c r="AB1680" s="32" t="n"/>
      <c r="AC1680" s="32" t="n"/>
    </row>
    <row r="1681">
      <c r="A1681" s="26" t="inlineStr">
        <is>
          <t>S33</t>
        </is>
      </c>
      <c r="B1681" s="26" t="inlineStr">
        <is>
          <t>문산 신규점</t>
        </is>
      </c>
      <c r="C1681" s="26" t="inlineStr">
        <is>
          <t>S33-H동</t>
        </is>
      </c>
      <c r="D1681" s="47" t="n">
        <v>1</v>
      </c>
      <c r="E1681" s="26" t="inlineStr">
        <is>
          <t>측정</t>
        </is>
      </c>
      <c r="F1681" s="26" t="inlineStr">
        <is>
          <t>동</t>
        </is>
      </c>
      <c r="G1681" s="31" t="n">
        <v>10</v>
      </c>
      <c r="H1681" s="30" t="n"/>
      <c r="I1681" s="43" t="n"/>
      <c r="J1681" s="41" t="n"/>
      <c r="K1681" s="41" t="n"/>
      <c r="L1681" s="41" t="n"/>
      <c r="M1681" s="31">
        <f>IF(COUNT(J1681:L1681)=0,"",MEDIAN(J1681:L1681))</f>
        <v/>
      </c>
      <c r="N1681" s="26">
        <f>IF(COUNTIFS($C:$C,$C1681,$D:$D,$D1681,$E:$E,"P0(전)",$M:$M,"&gt;0")&lt;&gt;1,"P0(전) 유효 1개 아님",IF(COUNTIFS($C:$C,$C1681,$D:$D,$D1681,$E:$E,"P0(후)",$M:$M,"&gt;0")&lt;&gt;1,"P0(후) 유효 1개 아님",IF(NOT(AND(ISNUMBER(O1681),ISNUMBER(Q1681),ISNUMBER(I1681))),"시각 결측",IF(Q1681&lt;=O1681,"P0 시각 역전",IF(OR(I1681&lt;O1681,I1681&gt;Q1681),"측정시각 구간 밖","OK")))))</f>
        <v/>
      </c>
      <c r="O1681" s="48">
        <f>IF(COUNTIFS($C:$C,$C1681,$D:$D,$D1681,$E:$E,"P0(전)",$M:$M,"&gt;0")&lt;&gt;1,"",SUMIFS($I:$I,$C:$C,$C1681,$D:$D,$D1681,$E:$E,"P0(전)"))</f>
        <v/>
      </c>
      <c r="P1681" s="31">
        <f>IF(COUNTIFS($C:$C,$C1681,$D:$D,$D1681,$E:$E,"P0(전)",$M:$M,"&gt;0")&lt;&gt;1,"",SUMIFS($M:$M,$C:$C,$C1681,$D:$D,$D1681,$E:$E,"P0(전)"))</f>
        <v/>
      </c>
      <c r="Q1681" s="48">
        <f>IF(COUNTIFS($C:$C,$C1681,$D:$D,$D1681,$E:$E,"P0(후)",$M:$M,"&gt;0")&lt;&gt;1,"",SUMIFS($I:$I,$C:$C,$C1681,$D:$D,$D1681,$E:$E,"P0(후)"))</f>
        <v/>
      </c>
      <c r="R1681" s="31">
        <f>IF(COUNTIFS($C:$C,$C1681,$D:$D,$D1681,$E:$E,"P0(후)",$M:$M,"&gt;0")&lt;&gt;1,"",SUMIFS($M:$M,$C:$C,$C1681,$D:$D,$D1681,$E:$E,"P0(후)"))</f>
        <v/>
      </c>
      <c r="S1681" s="31">
        <f>IF(N1681&lt;&gt;"OK","",P1681+(R1681-P1681)*(I1681-O1681)/(Q1681-O1681))</f>
        <v/>
      </c>
      <c r="T1681" s="31">
        <f>IF(OR(N1681&lt;&gt;"OK",NOT(ISNUMBER(M1681))),"",M1681-S1681)</f>
        <v/>
      </c>
      <c r="U1681" s="49">
        <f>IF(OR(NOT(ISNUMBER(T1681)),IF(ISNUMBER(H1681),H1681,G1681)=0),"",T1681/IF(ISNUMBER(H1681),H1681,G1681))</f>
        <v/>
      </c>
      <c r="V1681" s="49">
        <f>IF(ISNUMBER(U1681),ABS(U1681),"")</f>
        <v/>
      </c>
      <c r="W1681" s="49">
        <f>IF(OR($E1680&lt;&gt;"측정",$C1680&lt;&gt;$C1681,$D1680&lt;&gt;$D1681,NOT(ISNUMBER(M1681)),NOT(ISNUMBER(M1680)),(IF(ISNUMBER(H1681),H1681,G1681)-IF(ISNUMBER(H1680),H1680,G1680))=0),"",(M1681-M1680)/(IF(ISNUMBER(H1681),H1681,G1681)-IF(ISNUMBER(H1680),H1680,G1680)))</f>
        <v/>
      </c>
      <c r="X1681" s="31">
        <f>IF(NOT(AND(ISNUMBER(O1681),ISNUMBER(Q1681))),"",(Q1681-O1681)*1440)</f>
        <v/>
      </c>
      <c r="Y1681" s="29" t="n"/>
      <c r="Z1681" s="29" t="n"/>
      <c r="AA1681" s="29" t="n"/>
      <c r="AB1681" s="32" t="n"/>
      <c r="AC1681" s="32" t="n"/>
    </row>
    <row r="1682">
      <c r="A1682" s="44" t="inlineStr">
        <is>
          <t>S33</t>
        </is>
      </c>
      <c r="B1682" s="44" t="inlineStr">
        <is>
          <t>문산 신규점</t>
        </is>
      </c>
      <c r="C1682" s="44" t="inlineStr">
        <is>
          <t>S33-H동</t>
        </is>
      </c>
      <c r="D1682" s="45" t="n">
        <v>1</v>
      </c>
      <c r="E1682" s="44" t="inlineStr">
        <is>
          <t>P0(후)</t>
        </is>
      </c>
      <c r="F1682" s="44" t="inlineStr">
        <is>
          <t>동</t>
        </is>
      </c>
      <c r="G1682" s="46" t="n"/>
      <c r="H1682" s="30" t="n"/>
      <c r="I1682" s="43" t="n"/>
      <c r="J1682" s="41" t="n"/>
      <c r="K1682" s="41" t="n"/>
      <c r="L1682" s="41" t="n"/>
      <c r="M1682" s="31">
        <f>IF(COUNT(J1682:L1682)=0,"",MEDIAN(J1682:L1682))</f>
        <v/>
      </c>
      <c r="N1682" s="38" t="n"/>
      <c r="O1682" s="38" t="n"/>
      <c r="P1682" s="38" t="n"/>
      <c r="Q1682" s="38" t="n"/>
      <c r="R1682" s="38" t="n"/>
      <c r="S1682" s="38" t="n"/>
      <c r="T1682" s="38" t="n"/>
      <c r="U1682" s="38" t="n"/>
      <c r="V1682" s="38" t="n"/>
      <c r="W1682" s="38" t="n"/>
      <c r="X1682" s="38" t="n"/>
      <c r="Y1682" s="29" t="n"/>
      <c r="Z1682" s="29" t="n"/>
      <c r="AA1682" s="29" t="n"/>
      <c r="AB1682" s="32" t="n"/>
      <c r="AC1682" s="32" t="n"/>
    </row>
    <row r="1683">
      <c r="A1683" s="44" t="inlineStr">
        <is>
          <t>S33</t>
        </is>
      </c>
      <c r="B1683" s="44" t="inlineStr">
        <is>
          <t>문산 신규점</t>
        </is>
      </c>
      <c r="C1683" s="44" t="inlineStr">
        <is>
          <t>S33-H서</t>
        </is>
      </c>
      <c r="D1683" s="45" t="n">
        <v>1</v>
      </c>
      <c r="E1683" s="44" t="inlineStr">
        <is>
          <t>P0(전)</t>
        </is>
      </c>
      <c r="F1683" s="44" t="inlineStr">
        <is>
          <t>서</t>
        </is>
      </c>
      <c r="G1683" s="46" t="n"/>
      <c r="H1683" s="30" t="n"/>
      <c r="I1683" s="43" t="n"/>
      <c r="J1683" s="41" t="n"/>
      <c r="K1683" s="41" t="n"/>
      <c r="L1683" s="41" t="n"/>
      <c r="M1683" s="31">
        <f>IF(COUNT(J1683:L1683)=0,"",MEDIAN(J1683:L1683))</f>
        <v/>
      </c>
      <c r="N1683" s="38" t="n"/>
      <c r="O1683" s="38" t="n"/>
      <c r="P1683" s="38" t="n"/>
      <c r="Q1683" s="38" t="n"/>
      <c r="R1683" s="38" t="n"/>
      <c r="S1683" s="38" t="n"/>
      <c r="T1683" s="38" t="n"/>
      <c r="U1683" s="38" t="n"/>
      <c r="V1683" s="38" t="n"/>
      <c r="W1683" s="38" t="n"/>
      <c r="X1683" s="38" t="n"/>
      <c r="Y1683" s="29" t="n"/>
      <c r="Z1683" s="29" t="n"/>
      <c r="AA1683" s="29" t="n"/>
      <c r="AB1683" s="32" t="n"/>
      <c r="AC1683" s="32" t="n"/>
    </row>
    <row r="1684">
      <c r="A1684" s="26" t="inlineStr">
        <is>
          <t>S33</t>
        </is>
      </c>
      <c r="B1684" s="26" t="inlineStr">
        <is>
          <t>문산 신규점</t>
        </is>
      </c>
      <c r="C1684" s="26" t="inlineStr">
        <is>
          <t>S33-H서</t>
        </is>
      </c>
      <c r="D1684" s="47" t="n">
        <v>1</v>
      </c>
      <c r="E1684" s="26" t="inlineStr">
        <is>
          <t>측정</t>
        </is>
      </c>
      <c r="F1684" s="26" t="inlineStr">
        <is>
          <t>서</t>
        </is>
      </c>
      <c r="G1684" s="31" t="n">
        <v>0.5</v>
      </c>
      <c r="H1684" s="30" t="n"/>
      <c r="I1684" s="43" t="n"/>
      <c r="J1684" s="41" t="n"/>
      <c r="K1684" s="41" t="n"/>
      <c r="L1684" s="41" t="n"/>
      <c r="M1684" s="31">
        <f>IF(COUNT(J1684:L1684)=0,"",MEDIAN(J1684:L1684))</f>
        <v/>
      </c>
      <c r="N1684" s="26">
        <f>IF(COUNTIFS($C:$C,$C1684,$D:$D,$D1684,$E:$E,"P0(전)",$M:$M,"&gt;0")&lt;&gt;1,"P0(전) 유효 1개 아님",IF(COUNTIFS($C:$C,$C1684,$D:$D,$D1684,$E:$E,"P0(후)",$M:$M,"&gt;0")&lt;&gt;1,"P0(후) 유효 1개 아님",IF(NOT(AND(ISNUMBER(O1684),ISNUMBER(Q1684),ISNUMBER(I1684))),"시각 결측",IF(Q1684&lt;=O1684,"P0 시각 역전",IF(OR(I1684&lt;O1684,I1684&gt;Q1684),"측정시각 구간 밖","OK")))))</f>
        <v/>
      </c>
      <c r="O1684" s="48">
        <f>IF(COUNTIFS($C:$C,$C1684,$D:$D,$D1684,$E:$E,"P0(전)",$M:$M,"&gt;0")&lt;&gt;1,"",SUMIFS($I:$I,$C:$C,$C1684,$D:$D,$D1684,$E:$E,"P0(전)"))</f>
        <v/>
      </c>
      <c r="P1684" s="31">
        <f>IF(COUNTIFS($C:$C,$C1684,$D:$D,$D1684,$E:$E,"P0(전)",$M:$M,"&gt;0")&lt;&gt;1,"",SUMIFS($M:$M,$C:$C,$C1684,$D:$D,$D1684,$E:$E,"P0(전)"))</f>
        <v/>
      </c>
      <c r="Q1684" s="48">
        <f>IF(COUNTIFS($C:$C,$C1684,$D:$D,$D1684,$E:$E,"P0(후)",$M:$M,"&gt;0")&lt;&gt;1,"",SUMIFS($I:$I,$C:$C,$C1684,$D:$D,$D1684,$E:$E,"P0(후)"))</f>
        <v/>
      </c>
      <c r="R1684" s="31">
        <f>IF(COUNTIFS($C:$C,$C1684,$D:$D,$D1684,$E:$E,"P0(후)",$M:$M,"&gt;0")&lt;&gt;1,"",SUMIFS($M:$M,$C:$C,$C1684,$D:$D,$D1684,$E:$E,"P0(후)"))</f>
        <v/>
      </c>
      <c r="S1684" s="31">
        <f>IF(N1684&lt;&gt;"OK","",P1684+(R1684-P1684)*(I1684-O1684)/(Q1684-O1684))</f>
        <v/>
      </c>
      <c r="T1684" s="31">
        <f>IF(OR(N1684&lt;&gt;"OK",NOT(ISNUMBER(M1684))),"",M1684-S1684)</f>
        <v/>
      </c>
      <c r="U1684" s="49">
        <f>IF(OR(NOT(ISNUMBER(T1684)),IF(ISNUMBER(H1684),H1684,G1684)=0),"",T1684/IF(ISNUMBER(H1684),H1684,G1684))</f>
        <v/>
      </c>
      <c r="V1684" s="49">
        <f>IF(ISNUMBER(U1684),ABS(U1684),"")</f>
        <v/>
      </c>
      <c r="W1684" s="49">
        <f>IF(OR($E1683&lt;&gt;"측정",$C1683&lt;&gt;$C1684,$D1683&lt;&gt;$D1684,NOT(ISNUMBER(M1684)),NOT(ISNUMBER(M1683)),(IF(ISNUMBER(H1684),H1684,G1684)-IF(ISNUMBER(H1683),H1683,G1683))=0),"",(M1684-M1683)/(IF(ISNUMBER(H1684),H1684,G1684)-IF(ISNUMBER(H1683),H1683,G1683)))</f>
        <v/>
      </c>
      <c r="X1684" s="31">
        <f>IF(NOT(AND(ISNUMBER(O1684),ISNUMBER(Q1684))),"",(Q1684-O1684)*1440)</f>
        <v/>
      </c>
      <c r="Y1684" s="29" t="n"/>
      <c r="Z1684" s="29" t="n"/>
      <c r="AA1684" s="29" t="n"/>
      <c r="AB1684" s="32" t="n"/>
      <c r="AC1684" s="32" t="n"/>
    </row>
    <row r="1685">
      <c r="A1685" s="26" t="inlineStr">
        <is>
          <t>S33</t>
        </is>
      </c>
      <c r="B1685" s="26" t="inlineStr">
        <is>
          <t>문산 신규점</t>
        </is>
      </c>
      <c r="C1685" s="26" t="inlineStr">
        <is>
          <t>S33-H서</t>
        </is>
      </c>
      <c r="D1685" s="47" t="n">
        <v>1</v>
      </c>
      <c r="E1685" s="26" t="inlineStr">
        <is>
          <t>측정</t>
        </is>
      </c>
      <c r="F1685" s="26" t="inlineStr">
        <is>
          <t>서</t>
        </is>
      </c>
      <c r="G1685" s="31" t="n">
        <v>1</v>
      </c>
      <c r="H1685" s="30" t="n"/>
      <c r="I1685" s="43" t="n"/>
      <c r="J1685" s="41" t="n"/>
      <c r="K1685" s="41" t="n"/>
      <c r="L1685" s="41" t="n"/>
      <c r="M1685" s="31">
        <f>IF(COUNT(J1685:L1685)=0,"",MEDIAN(J1685:L1685))</f>
        <v/>
      </c>
      <c r="N1685" s="26">
        <f>IF(COUNTIFS($C:$C,$C1685,$D:$D,$D1685,$E:$E,"P0(전)",$M:$M,"&gt;0")&lt;&gt;1,"P0(전) 유효 1개 아님",IF(COUNTIFS($C:$C,$C1685,$D:$D,$D1685,$E:$E,"P0(후)",$M:$M,"&gt;0")&lt;&gt;1,"P0(후) 유효 1개 아님",IF(NOT(AND(ISNUMBER(O1685),ISNUMBER(Q1685),ISNUMBER(I1685))),"시각 결측",IF(Q1685&lt;=O1685,"P0 시각 역전",IF(OR(I1685&lt;O1685,I1685&gt;Q1685),"측정시각 구간 밖","OK")))))</f>
        <v/>
      </c>
      <c r="O1685" s="48">
        <f>IF(COUNTIFS($C:$C,$C1685,$D:$D,$D1685,$E:$E,"P0(전)",$M:$M,"&gt;0")&lt;&gt;1,"",SUMIFS($I:$I,$C:$C,$C1685,$D:$D,$D1685,$E:$E,"P0(전)"))</f>
        <v/>
      </c>
      <c r="P1685" s="31">
        <f>IF(COUNTIFS($C:$C,$C1685,$D:$D,$D1685,$E:$E,"P0(전)",$M:$M,"&gt;0")&lt;&gt;1,"",SUMIFS($M:$M,$C:$C,$C1685,$D:$D,$D1685,$E:$E,"P0(전)"))</f>
        <v/>
      </c>
      <c r="Q1685" s="48">
        <f>IF(COUNTIFS($C:$C,$C1685,$D:$D,$D1685,$E:$E,"P0(후)",$M:$M,"&gt;0")&lt;&gt;1,"",SUMIFS($I:$I,$C:$C,$C1685,$D:$D,$D1685,$E:$E,"P0(후)"))</f>
        <v/>
      </c>
      <c r="R1685" s="31">
        <f>IF(COUNTIFS($C:$C,$C1685,$D:$D,$D1685,$E:$E,"P0(후)",$M:$M,"&gt;0")&lt;&gt;1,"",SUMIFS($M:$M,$C:$C,$C1685,$D:$D,$D1685,$E:$E,"P0(후)"))</f>
        <v/>
      </c>
      <c r="S1685" s="31">
        <f>IF(N1685&lt;&gt;"OK","",P1685+(R1685-P1685)*(I1685-O1685)/(Q1685-O1685))</f>
        <v/>
      </c>
      <c r="T1685" s="31">
        <f>IF(OR(N1685&lt;&gt;"OK",NOT(ISNUMBER(M1685))),"",M1685-S1685)</f>
        <v/>
      </c>
      <c r="U1685" s="49">
        <f>IF(OR(NOT(ISNUMBER(T1685)),IF(ISNUMBER(H1685),H1685,G1685)=0),"",T1685/IF(ISNUMBER(H1685),H1685,G1685))</f>
        <v/>
      </c>
      <c r="V1685" s="49">
        <f>IF(ISNUMBER(U1685),ABS(U1685),"")</f>
        <v/>
      </c>
      <c r="W1685" s="49">
        <f>IF(OR($E1684&lt;&gt;"측정",$C1684&lt;&gt;$C1685,$D1684&lt;&gt;$D1685,NOT(ISNUMBER(M1685)),NOT(ISNUMBER(M1684)),(IF(ISNUMBER(H1685),H1685,G1685)-IF(ISNUMBER(H1684),H1684,G1684))=0),"",(M1685-M1684)/(IF(ISNUMBER(H1685),H1685,G1685)-IF(ISNUMBER(H1684),H1684,G1684)))</f>
        <v/>
      </c>
      <c r="X1685" s="31">
        <f>IF(NOT(AND(ISNUMBER(O1685),ISNUMBER(Q1685))),"",(Q1685-O1685)*1440)</f>
        <v/>
      </c>
      <c r="Y1685" s="29" t="n"/>
      <c r="Z1685" s="29" t="n"/>
      <c r="AA1685" s="29" t="n"/>
      <c r="AB1685" s="32" t="n"/>
      <c r="AC1685" s="32" t="n"/>
    </row>
    <row r="1686">
      <c r="A1686" s="26" t="inlineStr">
        <is>
          <t>S33</t>
        </is>
      </c>
      <c r="B1686" s="26" t="inlineStr">
        <is>
          <t>문산 신규점</t>
        </is>
      </c>
      <c r="C1686" s="26" t="inlineStr">
        <is>
          <t>S33-H서</t>
        </is>
      </c>
      <c r="D1686" s="47" t="n">
        <v>1</v>
      </c>
      <c r="E1686" s="26" t="inlineStr">
        <is>
          <t>측정</t>
        </is>
      </c>
      <c r="F1686" s="26" t="inlineStr">
        <is>
          <t>서</t>
        </is>
      </c>
      <c r="G1686" s="31" t="n">
        <v>2</v>
      </c>
      <c r="H1686" s="30" t="n"/>
      <c r="I1686" s="43" t="n"/>
      <c r="J1686" s="41" t="n"/>
      <c r="K1686" s="41" t="n"/>
      <c r="L1686" s="41" t="n"/>
      <c r="M1686" s="31">
        <f>IF(COUNT(J1686:L1686)=0,"",MEDIAN(J1686:L1686))</f>
        <v/>
      </c>
      <c r="N1686" s="26">
        <f>IF(COUNTIFS($C:$C,$C1686,$D:$D,$D1686,$E:$E,"P0(전)",$M:$M,"&gt;0")&lt;&gt;1,"P0(전) 유효 1개 아님",IF(COUNTIFS($C:$C,$C1686,$D:$D,$D1686,$E:$E,"P0(후)",$M:$M,"&gt;0")&lt;&gt;1,"P0(후) 유효 1개 아님",IF(NOT(AND(ISNUMBER(O1686),ISNUMBER(Q1686),ISNUMBER(I1686))),"시각 결측",IF(Q1686&lt;=O1686,"P0 시각 역전",IF(OR(I1686&lt;O1686,I1686&gt;Q1686),"측정시각 구간 밖","OK")))))</f>
        <v/>
      </c>
      <c r="O1686" s="48">
        <f>IF(COUNTIFS($C:$C,$C1686,$D:$D,$D1686,$E:$E,"P0(전)",$M:$M,"&gt;0")&lt;&gt;1,"",SUMIFS($I:$I,$C:$C,$C1686,$D:$D,$D1686,$E:$E,"P0(전)"))</f>
        <v/>
      </c>
      <c r="P1686" s="31">
        <f>IF(COUNTIFS($C:$C,$C1686,$D:$D,$D1686,$E:$E,"P0(전)",$M:$M,"&gt;0")&lt;&gt;1,"",SUMIFS($M:$M,$C:$C,$C1686,$D:$D,$D1686,$E:$E,"P0(전)"))</f>
        <v/>
      </c>
      <c r="Q1686" s="48">
        <f>IF(COUNTIFS($C:$C,$C1686,$D:$D,$D1686,$E:$E,"P0(후)",$M:$M,"&gt;0")&lt;&gt;1,"",SUMIFS($I:$I,$C:$C,$C1686,$D:$D,$D1686,$E:$E,"P0(후)"))</f>
        <v/>
      </c>
      <c r="R1686" s="31">
        <f>IF(COUNTIFS($C:$C,$C1686,$D:$D,$D1686,$E:$E,"P0(후)",$M:$M,"&gt;0")&lt;&gt;1,"",SUMIFS($M:$M,$C:$C,$C1686,$D:$D,$D1686,$E:$E,"P0(후)"))</f>
        <v/>
      </c>
      <c r="S1686" s="31">
        <f>IF(N1686&lt;&gt;"OK","",P1686+(R1686-P1686)*(I1686-O1686)/(Q1686-O1686))</f>
        <v/>
      </c>
      <c r="T1686" s="31">
        <f>IF(OR(N1686&lt;&gt;"OK",NOT(ISNUMBER(M1686))),"",M1686-S1686)</f>
        <v/>
      </c>
      <c r="U1686" s="49">
        <f>IF(OR(NOT(ISNUMBER(T1686)),IF(ISNUMBER(H1686),H1686,G1686)=0),"",T1686/IF(ISNUMBER(H1686),H1686,G1686))</f>
        <v/>
      </c>
      <c r="V1686" s="49">
        <f>IF(ISNUMBER(U1686),ABS(U1686),"")</f>
        <v/>
      </c>
      <c r="W1686" s="49">
        <f>IF(OR($E1685&lt;&gt;"측정",$C1685&lt;&gt;$C1686,$D1685&lt;&gt;$D1686,NOT(ISNUMBER(M1686)),NOT(ISNUMBER(M1685)),(IF(ISNUMBER(H1686),H1686,G1686)-IF(ISNUMBER(H1685),H1685,G1685))=0),"",(M1686-M1685)/(IF(ISNUMBER(H1686),H1686,G1686)-IF(ISNUMBER(H1685),H1685,G1685)))</f>
        <v/>
      </c>
      <c r="X1686" s="31">
        <f>IF(NOT(AND(ISNUMBER(O1686),ISNUMBER(Q1686))),"",(Q1686-O1686)*1440)</f>
        <v/>
      </c>
      <c r="Y1686" s="29" t="n"/>
      <c r="Z1686" s="29" t="n"/>
      <c r="AA1686" s="29" t="n"/>
      <c r="AB1686" s="32" t="n"/>
      <c r="AC1686" s="32" t="n"/>
    </row>
    <row r="1687">
      <c r="A1687" s="26" t="inlineStr">
        <is>
          <t>S33</t>
        </is>
      </c>
      <c r="B1687" s="26" t="inlineStr">
        <is>
          <t>문산 신규점</t>
        </is>
      </c>
      <c r="C1687" s="26" t="inlineStr">
        <is>
          <t>S33-H서</t>
        </is>
      </c>
      <c r="D1687" s="47" t="n">
        <v>1</v>
      </c>
      <c r="E1687" s="26" t="inlineStr">
        <is>
          <t>측정</t>
        </is>
      </c>
      <c r="F1687" s="26" t="inlineStr">
        <is>
          <t>서</t>
        </is>
      </c>
      <c r="G1687" s="31" t="n">
        <v>3</v>
      </c>
      <c r="H1687" s="30" t="n"/>
      <c r="I1687" s="43" t="n"/>
      <c r="J1687" s="41" t="n"/>
      <c r="K1687" s="41" t="n"/>
      <c r="L1687" s="41" t="n"/>
      <c r="M1687" s="31">
        <f>IF(COUNT(J1687:L1687)=0,"",MEDIAN(J1687:L1687))</f>
        <v/>
      </c>
      <c r="N1687" s="26">
        <f>IF(COUNTIFS($C:$C,$C1687,$D:$D,$D1687,$E:$E,"P0(전)",$M:$M,"&gt;0")&lt;&gt;1,"P0(전) 유효 1개 아님",IF(COUNTIFS($C:$C,$C1687,$D:$D,$D1687,$E:$E,"P0(후)",$M:$M,"&gt;0")&lt;&gt;1,"P0(후) 유효 1개 아님",IF(NOT(AND(ISNUMBER(O1687),ISNUMBER(Q1687),ISNUMBER(I1687))),"시각 결측",IF(Q1687&lt;=O1687,"P0 시각 역전",IF(OR(I1687&lt;O1687,I1687&gt;Q1687),"측정시각 구간 밖","OK")))))</f>
        <v/>
      </c>
      <c r="O1687" s="48">
        <f>IF(COUNTIFS($C:$C,$C1687,$D:$D,$D1687,$E:$E,"P0(전)",$M:$M,"&gt;0")&lt;&gt;1,"",SUMIFS($I:$I,$C:$C,$C1687,$D:$D,$D1687,$E:$E,"P0(전)"))</f>
        <v/>
      </c>
      <c r="P1687" s="31">
        <f>IF(COUNTIFS($C:$C,$C1687,$D:$D,$D1687,$E:$E,"P0(전)",$M:$M,"&gt;0")&lt;&gt;1,"",SUMIFS($M:$M,$C:$C,$C1687,$D:$D,$D1687,$E:$E,"P0(전)"))</f>
        <v/>
      </c>
      <c r="Q1687" s="48">
        <f>IF(COUNTIFS($C:$C,$C1687,$D:$D,$D1687,$E:$E,"P0(후)",$M:$M,"&gt;0")&lt;&gt;1,"",SUMIFS($I:$I,$C:$C,$C1687,$D:$D,$D1687,$E:$E,"P0(후)"))</f>
        <v/>
      </c>
      <c r="R1687" s="31">
        <f>IF(COUNTIFS($C:$C,$C1687,$D:$D,$D1687,$E:$E,"P0(후)",$M:$M,"&gt;0")&lt;&gt;1,"",SUMIFS($M:$M,$C:$C,$C1687,$D:$D,$D1687,$E:$E,"P0(후)"))</f>
        <v/>
      </c>
      <c r="S1687" s="31">
        <f>IF(N1687&lt;&gt;"OK","",P1687+(R1687-P1687)*(I1687-O1687)/(Q1687-O1687))</f>
        <v/>
      </c>
      <c r="T1687" s="31">
        <f>IF(OR(N1687&lt;&gt;"OK",NOT(ISNUMBER(M1687))),"",M1687-S1687)</f>
        <v/>
      </c>
      <c r="U1687" s="49">
        <f>IF(OR(NOT(ISNUMBER(T1687)),IF(ISNUMBER(H1687),H1687,G1687)=0),"",T1687/IF(ISNUMBER(H1687),H1687,G1687))</f>
        <v/>
      </c>
      <c r="V1687" s="49">
        <f>IF(ISNUMBER(U1687),ABS(U1687),"")</f>
        <v/>
      </c>
      <c r="W1687" s="49">
        <f>IF(OR($E1686&lt;&gt;"측정",$C1686&lt;&gt;$C1687,$D1686&lt;&gt;$D1687,NOT(ISNUMBER(M1687)),NOT(ISNUMBER(M1686)),(IF(ISNUMBER(H1687),H1687,G1687)-IF(ISNUMBER(H1686),H1686,G1686))=0),"",(M1687-M1686)/(IF(ISNUMBER(H1687),H1687,G1687)-IF(ISNUMBER(H1686),H1686,G1686)))</f>
        <v/>
      </c>
      <c r="X1687" s="31">
        <f>IF(NOT(AND(ISNUMBER(O1687),ISNUMBER(Q1687))),"",(Q1687-O1687)*1440)</f>
        <v/>
      </c>
      <c r="Y1687" s="29" t="n"/>
      <c r="Z1687" s="29" t="n"/>
      <c r="AA1687" s="29" t="n"/>
      <c r="AB1687" s="32" t="n"/>
      <c r="AC1687" s="32" t="n"/>
    </row>
    <row r="1688">
      <c r="A1688" s="26" t="inlineStr">
        <is>
          <t>S33</t>
        </is>
      </c>
      <c r="B1688" s="26" t="inlineStr">
        <is>
          <t>문산 신규점</t>
        </is>
      </c>
      <c r="C1688" s="26" t="inlineStr">
        <is>
          <t>S33-H서</t>
        </is>
      </c>
      <c r="D1688" s="47" t="n">
        <v>1</v>
      </c>
      <c r="E1688" s="26" t="inlineStr">
        <is>
          <t>측정</t>
        </is>
      </c>
      <c r="F1688" s="26" t="inlineStr">
        <is>
          <t>서</t>
        </is>
      </c>
      <c r="G1688" s="31" t="n">
        <v>4</v>
      </c>
      <c r="H1688" s="30" t="n"/>
      <c r="I1688" s="43" t="n"/>
      <c r="J1688" s="41" t="n"/>
      <c r="K1688" s="41" t="n"/>
      <c r="L1688" s="41" t="n"/>
      <c r="M1688" s="31">
        <f>IF(COUNT(J1688:L1688)=0,"",MEDIAN(J1688:L1688))</f>
        <v/>
      </c>
      <c r="N1688" s="26">
        <f>IF(COUNTIFS($C:$C,$C1688,$D:$D,$D1688,$E:$E,"P0(전)",$M:$M,"&gt;0")&lt;&gt;1,"P0(전) 유효 1개 아님",IF(COUNTIFS($C:$C,$C1688,$D:$D,$D1688,$E:$E,"P0(후)",$M:$M,"&gt;0")&lt;&gt;1,"P0(후) 유효 1개 아님",IF(NOT(AND(ISNUMBER(O1688),ISNUMBER(Q1688),ISNUMBER(I1688))),"시각 결측",IF(Q1688&lt;=O1688,"P0 시각 역전",IF(OR(I1688&lt;O1688,I1688&gt;Q1688),"측정시각 구간 밖","OK")))))</f>
        <v/>
      </c>
      <c r="O1688" s="48">
        <f>IF(COUNTIFS($C:$C,$C1688,$D:$D,$D1688,$E:$E,"P0(전)",$M:$M,"&gt;0")&lt;&gt;1,"",SUMIFS($I:$I,$C:$C,$C1688,$D:$D,$D1688,$E:$E,"P0(전)"))</f>
        <v/>
      </c>
      <c r="P1688" s="31">
        <f>IF(COUNTIFS($C:$C,$C1688,$D:$D,$D1688,$E:$E,"P0(전)",$M:$M,"&gt;0")&lt;&gt;1,"",SUMIFS($M:$M,$C:$C,$C1688,$D:$D,$D1688,$E:$E,"P0(전)"))</f>
        <v/>
      </c>
      <c r="Q1688" s="48">
        <f>IF(COUNTIFS($C:$C,$C1688,$D:$D,$D1688,$E:$E,"P0(후)",$M:$M,"&gt;0")&lt;&gt;1,"",SUMIFS($I:$I,$C:$C,$C1688,$D:$D,$D1688,$E:$E,"P0(후)"))</f>
        <v/>
      </c>
      <c r="R1688" s="31">
        <f>IF(COUNTIFS($C:$C,$C1688,$D:$D,$D1688,$E:$E,"P0(후)",$M:$M,"&gt;0")&lt;&gt;1,"",SUMIFS($M:$M,$C:$C,$C1688,$D:$D,$D1688,$E:$E,"P0(후)"))</f>
        <v/>
      </c>
      <c r="S1688" s="31">
        <f>IF(N1688&lt;&gt;"OK","",P1688+(R1688-P1688)*(I1688-O1688)/(Q1688-O1688))</f>
        <v/>
      </c>
      <c r="T1688" s="31">
        <f>IF(OR(N1688&lt;&gt;"OK",NOT(ISNUMBER(M1688))),"",M1688-S1688)</f>
        <v/>
      </c>
      <c r="U1688" s="49">
        <f>IF(OR(NOT(ISNUMBER(T1688)),IF(ISNUMBER(H1688),H1688,G1688)=0),"",T1688/IF(ISNUMBER(H1688),H1688,G1688))</f>
        <v/>
      </c>
      <c r="V1688" s="49">
        <f>IF(ISNUMBER(U1688),ABS(U1688),"")</f>
        <v/>
      </c>
      <c r="W1688" s="49">
        <f>IF(OR($E1687&lt;&gt;"측정",$C1687&lt;&gt;$C1688,$D1687&lt;&gt;$D1688,NOT(ISNUMBER(M1688)),NOT(ISNUMBER(M1687)),(IF(ISNUMBER(H1688),H1688,G1688)-IF(ISNUMBER(H1687),H1687,G1687))=0),"",(M1688-M1687)/(IF(ISNUMBER(H1688),H1688,G1688)-IF(ISNUMBER(H1687),H1687,G1687)))</f>
        <v/>
      </c>
      <c r="X1688" s="31">
        <f>IF(NOT(AND(ISNUMBER(O1688),ISNUMBER(Q1688))),"",(Q1688-O1688)*1440)</f>
        <v/>
      </c>
      <c r="Y1688" s="29" t="n"/>
      <c r="Z1688" s="29" t="n"/>
      <c r="AA1688" s="29" t="n"/>
      <c r="AB1688" s="32" t="n"/>
      <c r="AC1688" s="32" t="n"/>
    </row>
    <row r="1689">
      <c r="A1689" s="26" t="inlineStr">
        <is>
          <t>S33</t>
        </is>
      </c>
      <c r="B1689" s="26" t="inlineStr">
        <is>
          <t>문산 신규점</t>
        </is>
      </c>
      <c r="C1689" s="26" t="inlineStr">
        <is>
          <t>S33-H서</t>
        </is>
      </c>
      <c r="D1689" s="47" t="n">
        <v>1</v>
      </c>
      <c r="E1689" s="26" t="inlineStr">
        <is>
          <t>측정</t>
        </is>
      </c>
      <c r="F1689" s="26" t="inlineStr">
        <is>
          <t>서</t>
        </is>
      </c>
      <c r="G1689" s="31" t="n">
        <v>5</v>
      </c>
      <c r="H1689" s="30" t="n"/>
      <c r="I1689" s="43" t="n"/>
      <c r="J1689" s="41" t="n"/>
      <c r="K1689" s="41" t="n"/>
      <c r="L1689" s="41" t="n"/>
      <c r="M1689" s="31">
        <f>IF(COUNT(J1689:L1689)=0,"",MEDIAN(J1689:L1689))</f>
        <v/>
      </c>
      <c r="N1689" s="26">
        <f>IF(COUNTIFS($C:$C,$C1689,$D:$D,$D1689,$E:$E,"P0(전)",$M:$M,"&gt;0")&lt;&gt;1,"P0(전) 유효 1개 아님",IF(COUNTIFS($C:$C,$C1689,$D:$D,$D1689,$E:$E,"P0(후)",$M:$M,"&gt;0")&lt;&gt;1,"P0(후) 유효 1개 아님",IF(NOT(AND(ISNUMBER(O1689),ISNUMBER(Q1689),ISNUMBER(I1689))),"시각 결측",IF(Q1689&lt;=O1689,"P0 시각 역전",IF(OR(I1689&lt;O1689,I1689&gt;Q1689),"측정시각 구간 밖","OK")))))</f>
        <v/>
      </c>
      <c r="O1689" s="48">
        <f>IF(COUNTIFS($C:$C,$C1689,$D:$D,$D1689,$E:$E,"P0(전)",$M:$M,"&gt;0")&lt;&gt;1,"",SUMIFS($I:$I,$C:$C,$C1689,$D:$D,$D1689,$E:$E,"P0(전)"))</f>
        <v/>
      </c>
      <c r="P1689" s="31">
        <f>IF(COUNTIFS($C:$C,$C1689,$D:$D,$D1689,$E:$E,"P0(전)",$M:$M,"&gt;0")&lt;&gt;1,"",SUMIFS($M:$M,$C:$C,$C1689,$D:$D,$D1689,$E:$E,"P0(전)"))</f>
        <v/>
      </c>
      <c r="Q1689" s="48">
        <f>IF(COUNTIFS($C:$C,$C1689,$D:$D,$D1689,$E:$E,"P0(후)",$M:$M,"&gt;0")&lt;&gt;1,"",SUMIFS($I:$I,$C:$C,$C1689,$D:$D,$D1689,$E:$E,"P0(후)"))</f>
        <v/>
      </c>
      <c r="R1689" s="31">
        <f>IF(COUNTIFS($C:$C,$C1689,$D:$D,$D1689,$E:$E,"P0(후)",$M:$M,"&gt;0")&lt;&gt;1,"",SUMIFS($M:$M,$C:$C,$C1689,$D:$D,$D1689,$E:$E,"P0(후)"))</f>
        <v/>
      </c>
      <c r="S1689" s="31">
        <f>IF(N1689&lt;&gt;"OK","",P1689+(R1689-P1689)*(I1689-O1689)/(Q1689-O1689))</f>
        <v/>
      </c>
      <c r="T1689" s="31">
        <f>IF(OR(N1689&lt;&gt;"OK",NOT(ISNUMBER(M1689))),"",M1689-S1689)</f>
        <v/>
      </c>
      <c r="U1689" s="49">
        <f>IF(OR(NOT(ISNUMBER(T1689)),IF(ISNUMBER(H1689),H1689,G1689)=0),"",T1689/IF(ISNUMBER(H1689),H1689,G1689))</f>
        <v/>
      </c>
      <c r="V1689" s="49">
        <f>IF(ISNUMBER(U1689),ABS(U1689),"")</f>
        <v/>
      </c>
      <c r="W1689" s="49">
        <f>IF(OR($E1688&lt;&gt;"측정",$C1688&lt;&gt;$C1689,$D1688&lt;&gt;$D1689,NOT(ISNUMBER(M1689)),NOT(ISNUMBER(M1688)),(IF(ISNUMBER(H1689),H1689,G1689)-IF(ISNUMBER(H1688),H1688,G1688))=0),"",(M1689-M1688)/(IF(ISNUMBER(H1689),H1689,G1689)-IF(ISNUMBER(H1688),H1688,G1688)))</f>
        <v/>
      </c>
      <c r="X1689" s="31">
        <f>IF(NOT(AND(ISNUMBER(O1689),ISNUMBER(Q1689))),"",(Q1689-O1689)*1440)</f>
        <v/>
      </c>
      <c r="Y1689" s="29" t="n"/>
      <c r="Z1689" s="29" t="n"/>
      <c r="AA1689" s="29" t="n"/>
      <c r="AB1689" s="32" t="n"/>
      <c r="AC1689" s="32" t="n"/>
    </row>
    <row r="1690">
      <c r="A1690" s="26" t="inlineStr">
        <is>
          <t>S33</t>
        </is>
      </c>
      <c r="B1690" s="26" t="inlineStr">
        <is>
          <t>문산 신규점</t>
        </is>
      </c>
      <c r="C1690" s="26" t="inlineStr">
        <is>
          <t>S33-H서</t>
        </is>
      </c>
      <c r="D1690" s="47" t="n">
        <v>1</v>
      </c>
      <c r="E1690" s="26" t="inlineStr">
        <is>
          <t>측정</t>
        </is>
      </c>
      <c r="F1690" s="26" t="inlineStr">
        <is>
          <t>서</t>
        </is>
      </c>
      <c r="G1690" s="31" t="n">
        <v>6</v>
      </c>
      <c r="H1690" s="30" t="n"/>
      <c r="I1690" s="43" t="n"/>
      <c r="J1690" s="41" t="n"/>
      <c r="K1690" s="41" t="n"/>
      <c r="L1690" s="41" t="n"/>
      <c r="M1690" s="31">
        <f>IF(COUNT(J1690:L1690)=0,"",MEDIAN(J1690:L1690))</f>
        <v/>
      </c>
      <c r="N1690" s="26">
        <f>IF(COUNTIFS($C:$C,$C1690,$D:$D,$D1690,$E:$E,"P0(전)",$M:$M,"&gt;0")&lt;&gt;1,"P0(전) 유효 1개 아님",IF(COUNTIFS($C:$C,$C1690,$D:$D,$D1690,$E:$E,"P0(후)",$M:$M,"&gt;0")&lt;&gt;1,"P0(후) 유효 1개 아님",IF(NOT(AND(ISNUMBER(O1690),ISNUMBER(Q1690),ISNUMBER(I1690))),"시각 결측",IF(Q1690&lt;=O1690,"P0 시각 역전",IF(OR(I1690&lt;O1690,I1690&gt;Q1690),"측정시각 구간 밖","OK")))))</f>
        <v/>
      </c>
      <c r="O1690" s="48">
        <f>IF(COUNTIFS($C:$C,$C1690,$D:$D,$D1690,$E:$E,"P0(전)",$M:$M,"&gt;0")&lt;&gt;1,"",SUMIFS($I:$I,$C:$C,$C1690,$D:$D,$D1690,$E:$E,"P0(전)"))</f>
        <v/>
      </c>
      <c r="P1690" s="31">
        <f>IF(COUNTIFS($C:$C,$C1690,$D:$D,$D1690,$E:$E,"P0(전)",$M:$M,"&gt;0")&lt;&gt;1,"",SUMIFS($M:$M,$C:$C,$C1690,$D:$D,$D1690,$E:$E,"P0(전)"))</f>
        <v/>
      </c>
      <c r="Q1690" s="48">
        <f>IF(COUNTIFS($C:$C,$C1690,$D:$D,$D1690,$E:$E,"P0(후)",$M:$M,"&gt;0")&lt;&gt;1,"",SUMIFS($I:$I,$C:$C,$C1690,$D:$D,$D1690,$E:$E,"P0(후)"))</f>
        <v/>
      </c>
      <c r="R1690" s="31">
        <f>IF(COUNTIFS($C:$C,$C1690,$D:$D,$D1690,$E:$E,"P0(후)",$M:$M,"&gt;0")&lt;&gt;1,"",SUMIFS($M:$M,$C:$C,$C1690,$D:$D,$D1690,$E:$E,"P0(후)"))</f>
        <v/>
      </c>
      <c r="S1690" s="31">
        <f>IF(N1690&lt;&gt;"OK","",P1690+(R1690-P1690)*(I1690-O1690)/(Q1690-O1690))</f>
        <v/>
      </c>
      <c r="T1690" s="31">
        <f>IF(OR(N1690&lt;&gt;"OK",NOT(ISNUMBER(M1690))),"",M1690-S1690)</f>
        <v/>
      </c>
      <c r="U1690" s="49">
        <f>IF(OR(NOT(ISNUMBER(T1690)),IF(ISNUMBER(H1690),H1690,G1690)=0),"",T1690/IF(ISNUMBER(H1690),H1690,G1690))</f>
        <v/>
      </c>
      <c r="V1690" s="49">
        <f>IF(ISNUMBER(U1690),ABS(U1690),"")</f>
        <v/>
      </c>
      <c r="W1690" s="49">
        <f>IF(OR($E1689&lt;&gt;"측정",$C1689&lt;&gt;$C1690,$D1689&lt;&gt;$D1690,NOT(ISNUMBER(M1690)),NOT(ISNUMBER(M1689)),(IF(ISNUMBER(H1690),H1690,G1690)-IF(ISNUMBER(H1689),H1689,G1689))=0),"",(M1690-M1689)/(IF(ISNUMBER(H1690),H1690,G1690)-IF(ISNUMBER(H1689),H1689,G1689)))</f>
        <v/>
      </c>
      <c r="X1690" s="31">
        <f>IF(NOT(AND(ISNUMBER(O1690),ISNUMBER(Q1690))),"",(Q1690-O1690)*1440)</f>
        <v/>
      </c>
      <c r="Y1690" s="29" t="n"/>
      <c r="Z1690" s="29" t="n"/>
      <c r="AA1690" s="29" t="n"/>
      <c r="AB1690" s="32" t="n"/>
      <c r="AC1690" s="32" t="n"/>
    </row>
    <row r="1691">
      <c r="A1691" s="26" t="inlineStr">
        <is>
          <t>S33</t>
        </is>
      </c>
      <c r="B1691" s="26" t="inlineStr">
        <is>
          <t>문산 신규점</t>
        </is>
      </c>
      <c r="C1691" s="26" t="inlineStr">
        <is>
          <t>S33-H서</t>
        </is>
      </c>
      <c r="D1691" s="47" t="n">
        <v>1</v>
      </c>
      <c r="E1691" s="26" t="inlineStr">
        <is>
          <t>측정</t>
        </is>
      </c>
      <c r="F1691" s="26" t="inlineStr">
        <is>
          <t>서</t>
        </is>
      </c>
      <c r="G1691" s="31" t="n">
        <v>7</v>
      </c>
      <c r="H1691" s="30" t="n"/>
      <c r="I1691" s="43" t="n"/>
      <c r="J1691" s="41" t="n"/>
      <c r="K1691" s="41" t="n"/>
      <c r="L1691" s="41" t="n"/>
      <c r="M1691" s="31">
        <f>IF(COUNT(J1691:L1691)=0,"",MEDIAN(J1691:L1691))</f>
        <v/>
      </c>
      <c r="N1691" s="26">
        <f>IF(COUNTIFS($C:$C,$C1691,$D:$D,$D1691,$E:$E,"P0(전)",$M:$M,"&gt;0")&lt;&gt;1,"P0(전) 유효 1개 아님",IF(COUNTIFS($C:$C,$C1691,$D:$D,$D1691,$E:$E,"P0(후)",$M:$M,"&gt;0")&lt;&gt;1,"P0(후) 유효 1개 아님",IF(NOT(AND(ISNUMBER(O1691),ISNUMBER(Q1691),ISNUMBER(I1691))),"시각 결측",IF(Q1691&lt;=O1691,"P0 시각 역전",IF(OR(I1691&lt;O1691,I1691&gt;Q1691),"측정시각 구간 밖","OK")))))</f>
        <v/>
      </c>
      <c r="O1691" s="48">
        <f>IF(COUNTIFS($C:$C,$C1691,$D:$D,$D1691,$E:$E,"P0(전)",$M:$M,"&gt;0")&lt;&gt;1,"",SUMIFS($I:$I,$C:$C,$C1691,$D:$D,$D1691,$E:$E,"P0(전)"))</f>
        <v/>
      </c>
      <c r="P1691" s="31">
        <f>IF(COUNTIFS($C:$C,$C1691,$D:$D,$D1691,$E:$E,"P0(전)",$M:$M,"&gt;0")&lt;&gt;1,"",SUMIFS($M:$M,$C:$C,$C1691,$D:$D,$D1691,$E:$E,"P0(전)"))</f>
        <v/>
      </c>
      <c r="Q1691" s="48">
        <f>IF(COUNTIFS($C:$C,$C1691,$D:$D,$D1691,$E:$E,"P0(후)",$M:$M,"&gt;0")&lt;&gt;1,"",SUMIFS($I:$I,$C:$C,$C1691,$D:$D,$D1691,$E:$E,"P0(후)"))</f>
        <v/>
      </c>
      <c r="R1691" s="31">
        <f>IF(COUNTIFS($C:$C,$C1691,$D:$D,$D1691,$E:$E,"P0(후)",$M:$M,"&gt;0")&lt;&gt;1,"",SUMIFS($M:$M,$C:$C,$C1691,$D:$D,$D1691,$E:$E,"P0(후)"))</f>
        <v/>
      </c>
      <c r="S1691" s="31">
        <f>IF(N1691&lt;&gt;"OK","",P1691+(R1691-P1691)*(I1691-O1691)/(Q1691-O1691))</f>
        <v/>
      </c>
      <c r="T1691" s="31">
        <f>IF(OR(N1691&lt;&gt;"OK",NOT(ISNUMBER(M1691))),"",M1691-S1691)</f>
        <v/>
      </c>
      <c r="U1691" s="49">
        <f>IF(OR(NOT(ISNUMBER(T1691)),IF(ISNUMBER(H1691),H1691,G1691)=0),"",T1691/IF(ISNUMBER(H1691),H1691,G1691))</f>
        <v/>
      </c>
      <c r="V1691" s="49">
        <f>IF(ISNUMBER(U1691),ABS(U1691),"")</f>
        <v/>
      </c>
      <c r="W1691" s="49">
        <f>IF(OR($E1690&lt;&gt;"측정",$C1690&lt;&gt;$C1691,$D1690&lt;&gt;$D1691,NOT(ISNUMBER(M1691)),NOT(ISNUMBER(M1690)),(IF(ISNUMBER(H1691),H1691,G1691)-IF(ISNUMBER(H1690),H1690,G1690))=0),"",(M1691-M1690)/(IF(ISNUMBER(H1691),H1691,G1691)-IF(ISNUMBER(H1690),H1690,G1690)))</f>
        <v/>
      </c>
      <c r="X1691" s="31">
        <f>IF(NOT(AND(ISNUMBER(O1691),ISNUMBER(Q1691))),"",(Q1691-O1691)*1440)</f>
        <v/>
      </c>
      <c r="Y1691" s="29" t="n"/>
      <c r="Z1691" s="29" t="n"/>
      <c r="AA1691" s="29" t="n"/>
      <c r="AB1691" s="32" t="n"/>
      <c r="AC1691" s="32" t="n"/>
    </row>
    <row r="1692">
      <c r="A1692" s="26" t="inlineStr">
        <is>
          <t>S33</t>
        </is>
      </c>
      <c r="B1692" s="26" t="inlineStr">
        <is>
          <t>문산 신규점</t>
        </is>
      </c>
      <c r="C1692" s="26" t="inlineStr">
        <is>
          <t>S33-H서</t>
        </is>
      </c>
      <c r="D1692" s="47" t="n">
        <v>1</v>
      </c>
      <c r="E1692" s="26" t="inlineStr">
        <is>
          <t>측정</t>
        </is>
      </c>
      <c r="F1692" s="26" t="inlineStr">
        <is>
          <t>서</t>
        </is>
      </c>
      <c r="G1692" s="31" t="n">
        <v>8</v>
      </c>
      <c r="H1692" s="30" t="n"/>
      <c r="I1692" s="43" t="n"/>
      <c r="J1692" s="41" t="n"/>
      <c r="K1692" s="41" t="n"/>
      <c r="L1692" s="41" t="n"/>
      <c r="M1692" s="31">
        <f>IF(COUNT(J1692:L1692)=0,"",MEDIAN(J1692:L1692))</f>
        <v/>
      </c>
      <c r="N1692" s="26">
        <f>IF(COUNTIFS($C:$C,$C1692,$D:$D,$D1692,$E:$E,"P0(전)",$M:$M,"&gt;0")&lt;&gt;1,"P0(전) 유효 1개 아님",IF(COUNTIFS($C:$C,$C1692,$D:$D,$D1692,$E:$E,"P0(후)",$M:$M,"&gt;0")&lt;&gt;1,"P0(후) 유효 1개 아님",IF(NOT(AND(ISNUMBER(O1692),ISNUMBER(Q1692),ISNUMBER(I1692))),"시각 결측",IF(Q1692&lt;=O1692,"P0 시각 역전",IF(OR(I1692&lt;O1692,I1692&gt;Q1692),"측정시각 구간 밖","OK")))))</f>
        <v/>
      </c>
      <c r="O1692" s="48">
        <f>IF(COUNTIFS($C:$C,$C1692,$D:$D,$D1692,$E:$E,"P0(전)",$M:$M,"&gt;0")&lt;&gt;1,"",SUMIFS($I:$I,$C:$C,$C1692,$D:$D,$D1692,$E:$E,"P0(전)"))</f>
        <v/>
      </c>
      <c r="P1692" s="31">
        <f>IF(COUNTIFS($C:$C,$C1692,$D:$D,$D1692,$E:$E,"P0(전)",$M:$M,"&gt;0")&lt;&gt;1,"",SUMIFS($M:$M,$C:$C,$C1692,$D:$D,$D1692,$E:$E,"P0(전)"))</f>
        <v/>
      </c>
      <c r="Q1692" s="48">
        <f>IF(COUNTIFS($C:$C,$C1692,$D:$D,$D1692,$E:$E,"P0(후)",$M:$M,"&gt;0")&lt;&gt;1,"",SUMIFS($I:$I,$C:$C,$C1692,$D:$D,$D1692,$E:$E,"P0(후)"))</f>
        <v/>
      </c>
      <c r="R1692" s="31">
        <f>IF(COUNTIFS($C:$C,$C1692,$D:$D,$D1692,$E:$E,"P0(후)",$M:$M,"&gt;0")&lt;&gt;1,"",SUMIFS($M:$M,$C:$C,$C1692,$D:$D,$D1692,$E:$E,"P0(후)"))</f>
        <v/>
      </c>
      <c r="S1692" s="31">
        <f>IF(N1692&lt;&gt;"OK","",P1692+(R1692-P1692)*(I1692-O1692)/(Q1692-O1692))</f>
        <v/>
      </c>
      <c r="T1692" s="31">
        <f>IF(OR(N1692&lt;&gt;"OK",NOT(ISNUMBER(M1692))),"",M1692-S1692)</f>
        <v/>
      </c>
      <c r="U1692" s="49">
        <f>IF(OR(NOT(ISNUMBER(T1692)),IF(ISNUMBER(H1692),H1692,G1692)=0),"",T1692/IF(ISNUMBER(H1692),H1692,G1692))</f>
        <v/>
      </c>
      <c r="V1692" s="49">
        <f>IF(ISNUMBER(U1692),ABS(U1692),"")</f>
        <v/>
      </c>
      <c r="W1692" s="49">
        <f>IF(OR($E1691&lt;&gt;"측정",$C1691&lt;&gt;$C1692,$D1691&lt;&gt;$D1692,NOT(ISNUMBER(M1692)),NOT(ISNUMBER(M1691)),(IF(ISNUMBER(H1692),H1692,G1692)-IF(ISNUMBER(H1691),H1691,G1691))=0),"",(M1692-M1691)/(IF(ISNUMBER(H1692),H1692,G1692)-IF(ISNUMBER(H1691),H1691,G1691)))</f>
        <v/>
      </c>
      <c r="X1692" s="31">
        <f>IF(NOT(AND(ISNUMBER(O1692),ISNUMBER(Q1692))),"",(Q1692-O1692)*1440)</f>
        <v/>
      </c>
      <c r="Y1692" s="29" t="n"/>
      <c r="Z1692" s="29" t="n"/>
      <c r="AA1692" s="29" t="n"/>
      <c r="AB1692" s="32" t="n"/>
      <c r="AC1692" s="32" t="n"/>
    </row>
    <row r="1693">
      <c r="A1693" s="26" t="inlineStr">
        <is>
          <t>S33</t>
        </is>
      </c>
      <c r="B1693" s="26" t="inlineStr">
        <is>
          <t>문산 신규점</t>
        </is>
      </c>
      <c r="C1693" s="26" t="inlineStr">
        <is>
          <t>S33-H서</t>
        </is>
      </c>
      <c r="D1693" s="47" t="n">
        <v>1</v>
      </c>
      <c r="E1693" s="26" t="inlineStr">
        <is>
          <t>측정</t>
        </is>
      </c>
      <c r="F1693" s="26" t="inlineStr">
        <is>
          <t>서</t>
        </is>
      </c>
      <c r="G1693" s="31" t="n">
        <v>9</v>
      </c>
      <c r="H1693" s="30" t="n"/>
      <c r="I1693" s="43" t="n"/>
      <c r="J1693" s="41" t="n"/>
      <c r="K1693" s="41" t="n"/>
      <c r="L1693" s="41" t="n"/>
      <c r="M1693" s="31">
        <f>IF(COUNT(J1693:L1693)=0,"",MEDIAN(J1693:L1693))</f>
        <v/>
      </c>
      <c r="N1693" s="26">
        <f>IF(COUNTIFS($C:$C,$C1693,$D:$D,$D1693,$E:$E,"P0(전)",$M:$M,"&gt;0")&lt;&gt;1,"P0(전) 유효 1개 아님",IF(COUNTIFS($C:$C,$C1693,$D:$D,$D1693,$E:$E,"P0(후)",$M:$M,"&gt;0")&lt;&gt;1,"P0(후) 유효 1개 아님",IF(NOT(AND(ISNUMBER(O1693),ISNUMBER(Q1693),ISNUMBER(I1693))),"시각 결측",IF(Q1693&lt;=O1693,"P0 시각 역전",IF(OR(I1693&lt;O1693,I1693&gt;Q1693),"측정시각 구간 밖","OK")))))</f>
        <v/>
      </c>
      <c r="O1693" s="48">
        <f>IF(COUNTIFS($C:$C,$C1693,$D:$D,$D1693,$E:$E,"P0(전)",$M:$M,"&gt;0")&lt;&gt;1,"",SUMIFS($I:$I,$C:$C,$C1693,$D:$D,$D1693,$E:$E,"P0(전)"))</f>
        <v/>
      </c>
      <c r="P1693" s="31">
        <f>IF(COUNTIFS($C:$C,$C1693,$D:$D,$D1693,$E:$E,"P0(전)",$M:$M,"&gt;0")&lt;&gt;1,"",SUMIFS($M:$M,$C:$C,$C1693,$D:$D,$D1693,$E:$E,"P0(전)"))</f>
        <v/>
      </c>
      <c r="Q1693" s="48">
        <f>IF(COUNTIFS($C:$C,$C1693,$D:$D,$D1693,$E:$E,"P0(후)",$M:$M,"&gt;0")&lt;&gt;1,"",SUMIFS($I:$I,$C:$C,$C1693,$D:$D,$D1693,$E:$E,"P0(후)"))</f>
        <v/>
      </c>
      <c r="R1693" s="31">
        <f>IF(COUNTIFS($C:$C,$C1693,$D:$D,$D1693,$E:$E,"P0(후)",$M:$M,"&gt;0")&lt;&gt;1,"",SUMIFS($M:$M,$C:$C,$C1693,$D:$D,$D1693,$E:$E,"P0(후)"))</f>
        <v/>
      </c>
      <c r="S1693" s="31">
        <f>IF(N1693&lt;&gt;"OK","",P1693+(R1693-P1693)*(I1693-O1693)/(Q1693-O1693))</f>
        <v/>
      </c>
      <c r="T1693" s="31">
        <f>IF(OR(N1693&lt;&gt;"OK",NOT(ISNUMBER(M1693))),"",M1693-S1693)</f>
        <v/>
      </c>
      <c r="U1693" s="49">
        <f>IF(OR(NOT(ISNUMBER(T1693)),IF(ISNUMBER(H1693),H1693,G1693)=0),"",T1693/IF(ISNUMBER(H1693),H1693,G1693))</f>
        <v/>
      </c>
      <c r="V1693" s="49">
        <f>IF(ISNUMBER(U1693),ABS(U1693),"")</f>
        <v/>
      </c>
      <c r="W1693" s="49">
        <f>IF(OR($E1692&lt;&gt;"측정",$C1692&lt;&gt;$C1693,$D1692&lt;&gt;$D1693,NOT(ISNUMBER(M1693)),NOT(ISNUMBER(M1692)),(IF(ISNUMBER(H1693),H1693,G1693)-IF(ISNUMBER(H1692),H1692,G1692))=0),"",(M1693-M1692)/(IF(ISNUMBER(H1693),H1693,G1693)-IF(ISNUMBER(H1692),H1692,G1692)))</f>
        <v/>
      </c>
      <c r="X1693" s="31">
        <f>IF(NOT(AND(ISNUMBER(O1693),ISNUMBER(Q1693))),"",(Q1693-O1693)*1440)</f>
        <v/>
      </c>
      <c r="Y1693" s="29" t="n"/>
      <c r="Z1693" s="29" t="n"/>
      <c r="AA1693" s="29" t="n"/>
      <c r="AB1693" s="32" t="n"/>
      <c r="AC1693" s="32" t="n"/>
    </row>
    <row r="1694">
      <c r="A1694" s="26" t="inlineStr">
        <is>
          <t>S33</t>
        </is>
      </c>
      <c r="B1694" s="26" t="inlineStr">
        <is>
          <t>문산 신규점</t>
        </is>
      </c>
      <c r="C1694" s="26" t="inlineStr">
        <is>
          <t>S33-H서</t>
        </is>
      </c>
      <c r="D1694" s="47" t="n">
        <v>1</v>
      </c>
      <c r="E1694" s="26" t="inlineStr">
        <is>
          <t>측정</t>
        </is>
      </c>
      <c r="F1694" s="26" t="inlineStr">
        <is>
          <t>서</t>
        </is>
      </c>
      <c r="G1694" s="31" t="n">
        <v>10</v>
      </c>
      <c r="H1694" s="30" t="n"/>
      <c r="I1694" s="43" t="n"/>
      <c r="J1694" s="41" t="n"/>
      <c r="K1694" s="41" t="n"/>
      <c r="L1694" s="41" t="n"/>
      <c r="M1694" s="31">
        <f>IF(COUNT(J1694:L1694)=0,"",MEDIAN(J1694:L1694))</f>
        <v/>
      </c>
      <c r="N1694" s="26">
        <f>IF(COUNTIFS($C:$C,$C1694,$D:$D,$D1694,$E:$E,"P0(전)",$M:$M,"&gt;0")&lt;&gt;1,"P0(전) 유효 1개 아님",IF(COUNTIFS($C:$C,$C1694,$D:$D,$D1694,$E:$E,"P0(후)",$M:$M,"&gt;0")&lt;&gt;1,"P0(후) 유효 1개 아님",IF(NOT(AND(ISNUMBER(O1694),ISNUMBER(Q1694),ISNUMBER(I1694))),"시각 결측",IF(Q1694&lt;=O1694,"P0 시각 역전",IF(OR(I1694&lt;O1694,I1694&gt;Q1694),"측정시각 구간 밖","OK")))))</f>
        <v/>
      </c>
      <c r="O1694" s="48">
        <f>IF(COUNTIFS($C:$C,$C1694,$D:$D,$D1694,$E:$E,"P0(전)",$M:$M,"&gt;0")&lt;&gt;1,"",SUMIFS($I:$I,$C:$C,$C1694,$D:$D,$D1694,$E:$E,"P0(전)"))</f>
        <v/>
      </c>
      <c r="P1694" s="31">
        <f>IF(COUNTIFS($C:$C,$C1694,$D:$D,$D1694,$E:$E,"P0(전)",$M:$M,"&gt;0")&lt;&gt;1,"",SUMIFS($M:$M,$C:$C,$C1694,$D:$D,$D1694,$E:$E,"P0(전)"))</f>
        <v/>
      </c>
      <c r="Q1694" s="48">
        <f>IF(COUNTIFS($C:$C,$C1694,$D:$D,$D1694,$E:$E,"P0(후)",$M:$M,"&gt;0")&lt;&gt;1,"",SUMIFS($I:$I,$C:$C,$C1694,$D:$D,$D1694,$E:$E,"P0(후)"))</f>
        <v/>
      </c>
      <c r="R1694" s="31">
        <f>IF(COUNTIFS($C:$C,$C1694,$D:$D,$D1694,$E:$E,"P0(후)",$M:$M,"&gt;0")&lt;&gt;1,"",SUMIFS($M:$M,$C:$C,$C1694,$D:$D,$D1694,$E:$E,"P0(후)"))</f>
        <v/>
      </c>
      <c r="S1694" s="31">
        <f>IF(N1694&lt;&gt;"OK","",P1694+(R1694-P1694)*(I1694-O1694)/(Q1694-O1694))</f>
        <v/>
      </c>
      <c r="T1694" s="31">
        <f>IF(OR(N1694&lt;&gt;"OK",NOT(ISNUMBER(M1694))),"",M1694-S1694)</f>
        <v/>
      </c>
      <c r="U1694" s="49">
        <f>IF(OR(NOT(ISNUMBER(T1694)),IF(ISNUMBER(H1694),H1694,G1694)=0),"",T1694/IF(ISNUMBER(H1694),H1694,G1694))</f>
        <v/>
      </c>
      <c r="V1694" s="49">
        <f>IF(ISNUMBER(U1694),ABS(U1694),"")</f>
        <v/>
      </c>
      <c r="W1694" s="49">
        <f>IF(OR($E1693&lt;&gt;"측정",$C1693&lt;&gt;$C1694,$D1693&lt;&gt;$D1694,NOT(ISNUMBER(M1694)),NOT(ISNUMBER(M1693)),(IF(ISNUMBER(H1694),H1694,G1694)-IF(ISNUMBER(H1693),H1693,G1693))=0),"",(M1694-M1693)/(IF(ISNUMBER(H1694),H1694,G1694)-IF(ISNUMBER(H1693),H1693,G1693)))</f>
        <v/>
      </c>
      <c r="X1694" s="31">
        <f>IF(NOT(AND(ISNUMBER(O1694),ISNUMBER(Q1694))),"",(Q1694-O1694)*1440)</f>
        <v/>
      </c>
      <c r="Y1694" s="29" t="n"/>
      <c r="Z1694" s="29" t="n"/>
      <c r="AA1694" s="29" t="n"/>
      <c r="AB1694" s="32" t="n"/>
      <c r="AC1694" s="32" t="n"/>
    </row>
    <row r="1695">
      <c r="A1695" s="44" t="inlineStr">
        <is>
          <t>S33</t>
        </is>
      </c>
      <c r="B1695" s="44" t="inlineStr">
        <is>
          <t>문산 신규점</t>
        </is>
      </c>
      <c r="C1695" s="44" t="inlineStr">
        <is>
          <t>S33-H서</t>
        </is>
      </c>
      <c r="D1695" s="45" t="n">
        <v>1</v>
      </c>
      <c r="E1695" s="44" t="inlineStr">
        <is>
          <t>P0(후)</t>
        </is>
      </c>
      <c r="F1695" s="44" t="inlineStr">
        <is>
          <t>서</t>
        </is>
      </c>
      <c r="G1695" s="46" t="n"/>
      <c r="H1695" s="30" t="n"/>
      <c r="I1695" s="43" t="n"/>
      <c r="J1695" s="41" t="n"/>
      <c r="K1695" s="41" t="n"/>
      <c r="L1695" s="41" t="n"/>
      <c r="M1695" s="31">
        <f>IF(COUNT(J1695:L1695)=0,"",MEDIAN(J1695:L1695))</f>
        <v/>
      </c>
      <c r="N1695" s="38" t="n"/>
      <c r="O1695" s="38" t="n"/>
      <c r="P1695" s="38" t="n"/>
      <c r="Q1695" s="38" t="n"/>
      <c r="R1695" s="38" t="n"/>
      <c r="S1695" s="38" t="n"/>
      <c r="T1695" s="38" t="n"/>
      <c r="U1695" s="38" t="n"/>
      <c r="V1695" s="38" t="n"/>
      <c r="W1695" s="38" t="n"/>
      <c r="X1695" s="38" t="n"/>
      <c r="Y1695" s="29" t="n"/>
      <c r="Z1695" s="29" t="n"/>
      <c r="AA1695" s="29" t="n"/>
      <c r="AB1695" s="32" t="n"/>
      <c r="AC1695" s="32" t="n"/>
    </row>
    <row r="1696">
      <c r="A1696" s="44" t="inlineStr">
        <is>
          <t>S33</t>
        </is>
      </c>
      <c r="B1696" s="44" t="inlineStr">
        <is>
          <t>문산 신규점</t>
        </is>
      </c>
      <c r="C1696" s="44" t="inlineStr">
        <is>
          <t>S33-H남</t>
        </is>
      </c>
      <c r="D1696" s="45" t="n">
        <v>1</v>
      </c>
      <c r="E1696" s="44" t="inlineStr">
        <is>
          <t>P0(전)</t>
        </is>
      </c>
      <c r="F1696" s="44" t="inlineStr">
        <is>
          <t>남</t>
        </is>
      </c>
      <c r="G1696" s="46" t="n"/>
      <c r="H1696" s="30" t="n"/>
      <c r="I1696" s="43" t="n"/>
      <c r="J1696" s="41" t="n"/>
      <c r="K1696" s="41" t="n"/>
      <c r="L1696" s="41" t="n"/>
      <c r="M1696" s="31">
        <f>IF(COUNT(J1696:L1696)=0,"",MEDIAN(J1696:L1696))</f>
        <v/>
      </c>
      <c r="N1696" s="38" t="n"/>
      <c r="O1696" s="38" t="n"/>
      <c r="P1696" s="38" t="n"/>
      <c r="Q1696" s="38" t="n"/>
      <c r="R1696" s="38" t="n"/>
      <c r="S1696" s="38" t="n"/>
      <c r="T1696" s="38" t="n"/>
      <c r="U1696" s="38" t="n"/>
      <c r="V1696" s="38" t="n"/>
      <c r="W1696" s="38" t="n"/>
      <c r="X1696" s="38" t="n"/>
      <c r="Y1696" s="29" t="n"/>
      <c r="Z1696" s="29" t="n"/>
      <c r="AA1696" s="29" t="n"/>
      <c r="AB1696" s="32" t="n"/>
      <c r="AC1696" s="32" t="n"/>
    </row>
    <row r="1697">
      <c r="A1697" s="26" t="inlineStr">
        <is>
          <t>S33</t>
        </is>
      </c>
      <c r="B1697" s="26" t="inlineStr">
        <is>
          <t>문산 신규점</t>
        </is>
      </c>
      <c r="C1697" s="26" t="inlineStr">
        <is>
          <t>S33-H남</t>
        </is>
      </c>
      <c r="D1697" s="47" t="n">
        <v>1</v>
      </c>
      <c r="E1697" s="26" t="inlineStr">
        <is>
          <t>측정</t>
        </is>
      </c>
      <c r="F1697" s="26" t="inlineStr">
        <is>
          <t>남</t>
        </is>
      </c>
      <c r="G1697" s="31" t="n">
        <v>0.5</v>
      </c>
      <c r="H1697" s="30" t="n"/>
      <c r="I1697" s="43" t="n"/>
      <c r="J1697" s="41" t="n"/>
      <c r="K1697" s="41" t="n"/>
      <c r="L1697" s="41" t="n"/>
      <c r="M1697" s="31">
        <f>IF(COUNT(J1697:L1697)=0,"",MEDIAN(J1697:L1697))</f>
        <v/>
      </c>
      <c r="N1697" s="26">
        <f>IF(COUNTIFS($C:$C,$C1697,$D:$D,$D1697,$E:$E,"P0(전)",$M:$M,"&gt;0")&lt;&gt;1,"P0(전) 유효 1개 아님",IF(COUNTIFS($C:$C,$C1697,$D:$D,$D1697,$E:$E,"P0(후)",$M:$M,"&gt;0")&lt;&gt;1,"P0(후) 유효 1개 아님",IF(NOT(AND(ISNUMBER(O1697),ISNUMBER(Q1697),ISNUMBER(I1697))),"시각 결측",IF(Q1697&lt;=O1697,"P0 시각 역전",IF(OR(I1697&lt;O1697,I1697&gt;Q1697),"측정시각 구간 밖","OK")))))</f>
        <v/>
      </c>
      <c r="O1697" s="48">
        <f>IF(COUNTIFS($C:$C,$C1697,$D:$D,$D1697,$E:$E,"P0(전)",$M:$M,"&gt;0")&lt;&gt;1,"",SUMIFS($I:$I,$C:$C,$C1697,$D:$D,$D1697,$E:$E,"P0(전)"))</f>
        <v/>
      </c>
      <c r="P1697" s="31">
        <f>IF(COUNTIFS($C:$C,$C1697,$D:$D,$D1697,$E:$E,"P0(전)",$M:$M,"&gt;0")&lt;&gt;1,"",SUMIFS($M:$M,$C:$C,$C1697,$D:$D,$D1697,$E:$E,"P0(전)"))</f>
        <v/>
      </c>
      <c r="Q1697" s="48">
        <f>IF(COUNTIFS($C:$C,$C1697,$D:$D,$D1697,$E:$E,"P0(후)",$M:$M,"&gt;0")&lt;&gt;1,"",SUMIFS($I:$I,$C:$C,$C1697,$D:$D,$D1697,$E:$E,"P0(후)"))</f>
        <v/>
      </c>
      <c r="R1697" s="31">
        <f>IF(COUNTIFS($C:$C,$C1697,$D:$D,$D1697,$E:$E,"P0(후)",$M:$M,"&gt;0")&lt;&gt;1,"",SUMIFS($M:$M,$C:$C,$C1697,$D:$D,$D1697,$E:$E,"P0(후)"))</f>
        <v/>
      </c>
      <c r="S1697" s="31">
        <f>IF(N1697&lt;&gt;"OK","",P1697+(R1697-P1697)*(I1697-O1697)/(Q1697-O1697))</f>
        <v/>
      </c>
      <c r="T1697" s="31">
        <f>IF(OR(N1697&lt;&gt;"OK",NOT(ISNUMBER(M1697))),"",M1697-S1697)</f>
        <v/>
      </c>
      <c r="U1697" s="49">
        <f>IF(OR(NOT(ISNUMBER(T1697)),IF(ISNUMBER(H1697),H1697,G1697)=0),"",T1697/IF(ISNUMBER(H1697),H1697,G1697))</f>
        <v/>
      </c>
      <c r="V1697" s="49">
        <f>IF(ISNUMBER(U1697),ABS(U1697),"")</f>
        <v/>
      </c>
      <c r="W1697" s="49">
        <f>IF(OR($E1696&lt;&gt;"측정",$C1696&lt;&gt;$C1697,$D1696&lt;&gt;$D1697,NOT(ISNUMBER(M1697)),NOT(ISNUMBER(M1696)),(IF(ISNUMBER(H1697),H1697,G1697)-IF(ISNUMBER(H1696),H1696,G1696))=0),"",(M1697-M1696)/(IF(ISNUMBER(H1697),H1697,G1697)-IF(ISNUMBER(H1696),H1696,G1696)))</f>
        <v/>
      </c>
      <c r="X1697" s="31">
        <f>IF(NOT(AND(ISNUMBER(O1697),ISNUMBER(Q1697))),"",(Q1697-O1697)*1440)</f>
        <v/>
      </c>
      <c r="Y1697" s="29" t="n"/>
      <c r="Z1697" s="29" t="n"/>
      <c r="AA1697" s="29" t="n"/>
      <c r="AB1697" s="32" t="n"/>
      <c r="AC1697" s="32" t="n"/>
    </row>
    <row r="1698">
      <c r="A1698" s="26" t="inlineStr">
        <is>
          <t>S33</t>
        </is>
      </c>
      <c r="B1698" s="26" t="inlineStr">
        <is>
          <t>문산 신규점</t>
        </is>
      </c>
      <c r="C1698" s="26" t="inlineStr">
        <is>
          <t>S33-H남</t>
        </is>
      </c>
      <c r="D1698" s="47" t="n">
        <v>1</v>
      </c>
      <c r="E1698" s="26" t="inlineStr">
        <is>
          <t>측정</t>
        </is>
      </c>
      <c r="F1698" s="26" t="inlineStr">
        <is>
          <t>남</t>
        </is>
      </c>
      <c r="G1698" s="31" t="n">
        <v>1</v>
      </c>
      <c r="H1698" s="30" t="n"/>
      <c r="I1698" s="43" t="n"/>
      <c r="J1698" s="41" t="n"/>
      <c r="K1698" s="41" t="n"/>
      <c r="L1698" s="41" t="n"/>
      <c r="M1698" s="31">
        <f>IF(COUNT(J1698:L1698)=0,"",MEDIAN(J1698:L1698))</f>
        <v/>
      </c>
      <c r="N1698" s="26">
        <f>IF(COUNTIFS($C:$C,$C1698,$D:$D,$D1698,$E:$E,"P0(전)",$M:$M,"&gt;0")&lt;&gt;1,"P0(전) 유효 1개 아님",IF(COUNTIFS($C:$C,$C1698,$D:$D,$D1698,$E:$E,"P0(후)",$M:$M,"&gt;0")&lt;&gt;1,"P0(후) 유효 1개 아님",IF(NOT(AND(ISNUMBER(O1698),ISNUMBER(Q1698),ISNUMBER(I1698))),"시각 결측",IF(Q1698&lt;=O1698,"P0 시각 역전",IF(OR(I1698&lt;O1698,I1698&gt;Q1698),"측정시각 구간 밖","OK")))))</f>
        <v/>
      </c>
      <c r="O1698" s="48">
        <f>IF(COUNTIFS($C:$C,$C1698,$D:$D,$D1698,$E:$E,"P0(전)",$M:$M,"&gt;0")&lt;&gt;1,"",SUMIFS($I:$I,$C:$C,$C1698,$D:$D,$D1698,$E:$E,"P0(전)"))</f>
        <v/>
      </c>
      <c r="P1698" s="31">
        <f>IF(COUNTIFS($C:$C,$C1698,$D:$D,$D1698,$E:$E,"P0(전)",$M:$M,"&gt;0")&lt;&gt;1,"",SUMIFS($M:$M,$C:$C,$C1698,$D:$D,$D1698,$E:$E,"P0(전)"))</f>
        <v/>
      </c>
      <c r="Q1698" s="48">
        <f>IF(COUNTIFS($C:$C,$C1698,$D:$D,$D1698,$E:$E,"P0(후)",$M:$M,"&gt;0")&lt;&gt;1,"",SUMIFS($I:$I,$C:$C,$C1698,$D:$D,$D1698,$E:$E,"P0(후)"))</f>
        <v/>
      </c>
      <c r="R1698" s="31">
        <f>IF(COUNTIFS($C:$C,$C1698,$D:$D,$D1698,$E:$E,"P0(후)",$M:$M,"&gt;0")&lt;&gt;1,"",SUMIFS($M:$M,$C:$C,$C1698,$D:$D,$D1698,$E:$E,"P0(후)"))</f>
        <v/>
      </c>
      <c r="S1698" s="31">
        <f>IF(N1698&lt;&gt;"OK","",P1698+(R1698-P1698)*(I1698-O1698)/(Q1698-O1698))</f>
        <v/>
      </c>
      <c r="T1698" s="31">
        <f>IF(OR(N1698&lt;&gt;"OK",NOT(ISNUMBER(M1698))),"",M1698-S1698)</f>
        <v/>
      </c>
      <c r="U1698" s="49">
        <f>IF(OR(NOT(ISNUMBER(T1698)),IF(ISNUMBER(H1698),H1698,G1698)=0),"",T1698/IF(ISNUMBER(H1698),H1698,G1698))</f>
        <v/>
      </c>
      <c r="V1698" s="49">
        <f>IF(ISNUMBER(U1698),ABS(U1698),"")</f>
        <v/>
      </c>
      <c r="W1698" s="49">
        <f>IF(OR($E1697&lt;&gt;"측정",$C1697&lt;&gt;$C1698,$D1697&lt;&gt;$D1698,NOT(ISNUMBER(M1698)),NOT(ISNUMBER(M1697)),(IF(ISNUMBER(H1698),H1698,G1698)-IF(ISNUMBER(H1697),H1697,G1697))=0),"",(M1698-M1697)/(IF(ISNUMBER(H1698),H1698,G1698)-IF(ISNUMBER(H1697),H1697,G1697)))</f>
        <v/>
      </c>
      <c r="X1698" s="31">
        <f>IF(NOT(AND(ISNUMBER(O1698),ISNUMBER(Q1698))),"",(Q1698-O1698)*1440)</f>
        <v/>
      </c>
      <c r="Y1698" s="29" t="n"/>
      <c r="Z1698" s="29" t="n"/>
      <c r="AA1698" s="29" t="n"/>
      <c r="AB1698" s="32" t="n"/>
      <c r="AC1698" s="32" t="n"/>
    </row>
    <row r="1699">
      <c r="A1699" s="26" t="inlineStr">
        <is>
          <t>S33</t>
        </is>
      </c>
      <c r="B1699" s="26" t="inlineStr">
        <is>
          <t>문산 신규점</t>
        </is>
      </c>
      <c r="C1699" s="26" t="inlineStr">
        <is>
          <t>S33-H남</t>
        </is>
      </c>
      <c r="D1699" s="47" t="n">
        <v>1</v>
      </c>
      <c r="E1699" s="26" t="inlineStr">
        <is>
          <t>측정</t>
        </is>
      </c>
      <c r="F1699" s="26" t="inlineStr">
        <is>
          <t>남</t>
        </is>
      </c>
      <c r="G1699" s="31" t="n">
        <v>2</v>
      </c>
      <c r="H1699" s="30" t="n"/>
      <c r="I1699" s="43" t="n"/>
      <c r="J1699" s="41" t="n"/>
      <c r="K1699" s="41" t="n"/>
      <c r="L1699" s="41" t="n"/>
      <c r="M1699" s="31">
        <f>IF(COUNT(J1699:L1699)=0,"",MEDIAN(J1699:L1699))</f>
        <v/>
      </c>
      <c r="N1699" s="26">
        <f>IF(COUNTIFS($C:$C,$C1699,$D:$D,$D1699,$E:$E,"P0(전)",$M:$M,"&gt;0")&lt;&gt;1,"P0(전) 유효 1개 아님",IF(COUNTIFS($C:$C,$C1699,$D:$D,$D1699,$E:$E,"P0(후)",$M:$M,"&gt;0")&lt;&gt;1,"P0(후) 유효 1개 아님",IF(NOT(AND(ISNUMBER(O1699),ISNUMBER(Q1699),ISNUMBER(I1699))),"시각 결측",IF(Q1699&lt;=O1699,"P0 시각 역전",IF(OR(I1699&lt;O1699,I1699&gt;Q1699),"측정시각 구간 밖","OK")))))</f>
        <v/>
      </c>
      <c r="O1699" s="48">
        <f>IF(COUNTIFS($C:$C,$C1699,$D:$D,$D1699,$E:$E,"P0(전)",$M:$M,"&gt;0")&lt;&gt;1,"",SUMIFS($I:$I,$C:$C,$C1699,$D:$D,$D1699,$E:$E,"P0(전)"))</f>
        <v/>
      </c>
      <c r="P1699" s="31">
        <f>IF(COUNTIFS($C:$C,$C1699,$D:$D,$D1699,$E:$E,"P0(전)",$M:$M,"&gt;0")&lt;&gt;1,"",SUMIFS($M:$M,$C:$C,$C1699,$D:$D,$D1699,$E:$E,"P0(전)"))</f>
        <v/>
      </c>
      <c r="Q1699" s="48">
        <f>IF(COUNTIFS($C:$C,$C1699,$D:$D,$D1699,$E:$E,"P0(후)",$M:$M,"&gt;0")&lt;&gt;1,"",SUMIFS($I:$I,$C:$C,$C1699,$D:$D,$D1699,$E:$E,"P0(후)"))</f>
        <v/>
      </c>
      <c r="R1699" s="31">
        <f>IF(COUNTIFS($C:$C,$C1699,$D:$D,$D1699,$E:$E,"P0(후)",$M:$M,"&gt;0")&lt;&gt;1,"",SUMIFS($M:$M,$C:$C,$C1699,$D:$D,$D1699,$E:$E,"P0(후)"))</f>
        <v/>
      </c>
      <c r="S1699" s="31">
        <f>IF(N1699&lt;&gt;"OK","",P1699+(R1699-P1699)*(I1699-O1699)/(Q1699-O1699))</f>
        <v/>
      </c>
      <c r="T1699" s="31">
        <f>IF(OR(N1699&lt;&gt;"OK",NOT(ISNUMBER(M1699))),"",M1699-S1699)</f>
        <v/>
      </c>
      <c r="U1699" s="49">
        <f>IF(OR(NOT(ISNUMBER(T1699)),IF(ISNUMBER(H1699),H1699,G1699)=0),"",T1699/IF(ISNUMBER(H1699),H1699,G1699))</f>
        <v/>
      </c>
      <c r="V1699" s="49">
        <f>IF(ISNUMBER(U1699),ABS(U1699),"")</f>
        <v/>
      </c>
      <c r="W1699" s="49">
        <f>IF(OR($E1698&lt;&gt;"측정",$C1698&lt;&gt;$C1699,$D1698&lt;&gt;$D1699,NOT(ISNUMBER(M1699)),NOT(ISNUMBER(M1698)),(IF(ISNUMBER(H1699),H1699,G1699)-IF(ISNUMBER(H1698),H1698,G1698))=0),"",(M1699-M1698)/(IF(ISNUMBER(H1699),H1699,G1699)-IF(ISNUMBER(H1698),H1698,G1698)))</f>
        <v/>
      </c>
      <c r="X1699" s="31">
        <f>IF(NOT(AND(ISNUMBER(O1699),ISNUMBER(Q1699))),"",(Q1699-O1699)*1440)</f>
        <v/>
      </c>
      <c r="Y1699" s="29" t="n"/>
      <c r="Z1699" s="29" t="n"/>
      <c r="AA1699" s="29" t="n"/>
      <c r="AB1699" s="32" t="n"/>
      <c r="AC1699" s="32" t="n"/>
    </row>
    <row r="1700">
      <c r="A1700" s="26" t="inlineStr">
        <is>
          <t>S33</t>
        </is>
      </c>
      <c r="B1700" s="26" t="inlineStr">
        <is>
          <t>문산 신규점</t>
        </is>
      </c>
      <c r="C1700" s="26" t="inlineStr">
        <is>
          <t>S33-H남</t>
        </is>
      </c>
      <c r="D1700" s="47" t="n">
        <v>1</v>
      </c>
      <c r="E1700" s="26" t="inlineStr">
        <is>
          <t>측정</t>
        </is>
      </c>
      <c r="F1700" s="26" t="inlineStr">
        <is>
          <t>남</t>
        </is>
      </c>
      <c r="G1700" s="31" t="n">
        <v>3</v>
      </c>
      <c r="H1700" s="30" t="n"/>
      <c r="I1700" s="43" t="n"/>
      <c r="J1700" s="41" t="n"/>
      <c r="K1700" s="41" t="n"/>
      <c r="L1700" s="41" t="n"/>
      <c r="M1700" s="31">
        <f>IF(COUNT(J1700:L1700)=0,"",MEDIAN(J1700:L1700))</f>
        <v/>
      </c>
      <c r="N1700" s="26">
        <f>IF(COUNTIFS($C:$C,$C1700,$D:$D,$D1700,$E:$E,"P0(전)",$M:$M,"&gt;0")&lt;&gt;1,"P0(전) 유효 1개 아님",IF(COUNTIFS($C:$C,$C1700,$D:$D,$D1700,$E:$E,"P0(후)",$M:$M,"&gt;0")&lt;&gt;1,"P0(후) 유효 1개 아님",IF(NOT(AND(ISNUMBER(O1700),ISNUMBER(Q1700),ISNUMBER(I1700))),"시각 결측",IF(Q1700&lt;=O1700,"P0 시각 역전",IF(OR(I1700&lt;O1700,I1700&gt;Q1700),"측정시각 구간 밖","OK")))))</f>
        <v/>
      </c>
      <c r="O1700" s="48">
        <f>IF(COUNTIFS($C:$C,$C1700,$D:$D,$D1700,$E:$E,"P0(전)",$M:$M,"&gt;0")&lt;&gt;1,"",SUMIFS($I:$I,$C:$C,$C1700,$D:$D,$D1700,$E:$E,"P0(전)"))</f>
        <v/>
      </c>
      <c r="P1700" s="31">
        <f>IF(COUNTIFS($C:$C,$C1700,$D:$D,$D1700,$E:$E,"P0(전)",$M:$M,"&gt;0")&lt;&gt;1,"",SUMIFS($M:$M,$C:$C,$C1700,$D:$D,$D1700,$E:$E,"P0(전)"))</f>
        <v/>
      </c>
      <c r="Q1700" s="48">
        <f>IF(COUNTIFS($C:$C,$C1700,$D:$D,$D1700,$E:$E,"P0(후)",$M:$M,"&gt;0")&lt;&gt;1,"",SUMIFS($I:$I,$C:$C,$C1700,$D:$D,$D1700,$E:$E,"P0(후)"))</f>
        <v/>
      </c>
      <c r="R1700" s="31">
        <f>IF(COUNTIFS($C:$C,$C1700,$D:$D,$D1700,$E:$E,"P0(후)",$M:$M,"&gt;0")&lt;&gt;1,"",SUMIFS($M:$M,$C:$C,$C1700,$D:$D,$D1700,$E:$E,"P0(후)"))</f>
        <v/>
      </c>
      <c r="S1700" s="31">
        <f>IF(N1700&lt;&gt;"OK","",P1700+(R1700-P1700)*(I1700-O1700)/(Q1700-O1700))</f>
        <v/>
      </c>
      <c r="T1700" s="31">
        <f>IF(OR(N1700&lt;&gt;"OK",NOT(ISNUMBER(M1700))),"",M1700-S1700)</f>
        <v/>
      </c>
      <c r="U1700" s="49">
        <f>IF(OR(NOT(ISNUMBER(T1700)),IF(ISNUMBER(H1700),H1700,G1700)=0),"",T1700/IF(ISNUMBER(H1700),H1700,G1700))</f>
        <v/>
      </c>
      <c r="V1700" s="49">
        <f>IF(ISNUMBER(U1700),ABS(U1700),"")</f>
        <v/>
      </c>
      <c r="W1700" s="49">
        <f>IF(OR($E1699&lt;&gt;"측정",$C1699&lt;&gt;$C1700,$D1699&lt;&gt;$D1700,NOT(ISNUMBER(M1700)),NOT(ISNUMBER(M1699)),(IF(ISNUMBER(H1700),H1700,G1700)-IF(ISNUMBER(H1699),H1699,G1699))=0),"",(M1700-M1699)/(IF(ISNUMBER(H1700),H1700,G1700)-IF(ISNUMBER(H1699),H1699,G1699)))</f>
        <v/>
      </c>
      <c r="X1700" s="31">
        <f>IF(NOT(AND(ISNUMBER(O1700),ISNUMBER(Q1700))),"",(Q1700-O1700)*1440)</f>
        <v/>
      </c>
      <c r="Y1700" s="29" t="n"/>
      <c r="Z1700" s="29" t="n"/>
      <c r="AA1700" s="29" t="n"/>
      <c r="AB1700" s="32" t="n"/>
      <c r="AC1700" s="32" t="n"/>
    </row>
    <row r="1701">
      <c r="A1701" s="26" t="inlineStr">
        <is>
          <t>S33</t>
        </is>
      </c>
      <c r="B1701" s="26" t="inlineStr">
        <is>
          <t>문산 신규점</t>
        </is>
      </c>
      <c r="C1701" s="26" t="inlineStr">
        <is>
          <t>S33-H남</t>
        </is>
      </c>
      <c r="D1701" s="47" t="n">
        <v>1</v>
      </c>
      <c r="E1701" s="26" t="inlineStr">
        <is>
          <t>측정</t>
        </is>
      </c>
      <c r="F1701" s="26" t="inlineStr">
        <is>
          <t>남</t>
        </is>
      </c>
      <c r="G1701" s="31" t="n">
        <v>4</v>
      </c>
      <c r="H1701" s="30" t="n"/>
      <c r="I1701" s="43" t="n"/>
      <c r="J1701" s="41" t="n"/>
      <c r="K1701" s="41" t="n"/>
      <c r="L1701" s="41" t="n"/>
      <c r="M1701" s="31">
        <f>IF(COUNT(J1701:L1701)=0,"",MEDIAN(J1701:L1701))</f>
        <v/>
      </c>
      <c r="N1701" s="26">
        <f>IF(COUNTIFS($C:$C,$C1701,$D:$D,$D1701,$E:$E,"P0(전)",$M:$M,"&gt;0")&lt;&gt;1,"P0(전) 유효 1개 아님",IF(COUNTIFS($C:$C,$C1701,$D:$D,$D1701,$E:$E,"P0(후)",$M:$M,"&gt;0")&lt;&gt;1,"P0(후) 유효 1개 아님",IF(NOT(AND(ISNUMBER(O1701),ISNUMBER(Q1701),ISNUMBER(I1701))),"시각 결측",IF(Q1701&lt;=O1701,"P0 시각 역전",IF(OR(I1701&lt;O1701,I1701&gt;Q1701),"측정시각 구간 밖","OK")))))</f>
        <v/>
      </c>
      <c r="O1701" s="48">
        <f>IF(COUNTIFS($C:$C,$C1701,$D:$D,$D1701,$E:$E,"P0(전)",$M:$M,"&gt;0")&lt;&gt;1,"",SUMIFS($I:$I,$C:$C,$C1701,$D:$D,$D1701,$E:$E,"P0(전)"))</f>
        <v/>
      </c>
      <c r="P1701" s="31">
        <f>IF(COUNTIFS($C:$C,$C1701,$D:$D,$D1701,$E:$E,"P0(전)",$M:$M,"&gt;0")&lt;&gt;1,"",SUMIFS($M:$M,$C:$C,$C1701,$D:$D,$D1701,$E:$E,"P0(전)"))</f>
        <v/>
      </c>
      <c r="Q1701" s="48">
        <f>IF(COUNTIFS($C:$C,$C1701,$D:$D,$D1701,$E:$E,"P0(후)",$M:$M,"&gt;0")&lt;&gt;1,"",SUMIFS($I:$I,$C:$C,$C1701,$D:$D,$D1701,$E:$E,"P0(후)"))</f>
        <v/>
      </c>
      <c r="R1701" s="31">
        <f>IF(COUNTIFS($C:$C,$C1701,$D:$D,$D1701,$E:$E,"P0(후)",$M:$M,"&gt;0")&lt;&gt;1,"",SUMIFS($M:$M,$C:$C,$C1701,$D:$D,$D1701,$E:$E,"P0(후)"))</f>
        <v/>
      </c>
      <c r="S1701" s="31">
        <f>IF(N1701&lt;&gt;"OK","",P1701+(R1701-P1701)*(I1701-O1701)/(Q1701-O1701))</f>
        <v/>
      </c>
      <c r="T1701" s="31">
        <f>IF(OR(N1701&lt;&gt;"OK",NOT(ISNUMBER(M1701))),"",M1701-S1701)</f>
        <v/>
      </c>
      <c r="U1701" s="49">
        <f>IF(OR(NOT(ISNUMBER(T1701)),IF(ISNUMBER(H1701),H1701,G1701)=0),"",T1701/IF(ISNUMBER(H1701),H1701,G1701))</f>
        <v/>
      </c>
      <c r="V1701" s="49">
        <f>IF(ISNUMBER(U1701),ABS(U1701),"")</f>
        <v/>
      </c>
      <c r="W1701" s="49">
        <f>IF(OR($E1700&lt;&gt;"측정",$C1700&lt;&gt;$C1701,$D1700&lt;&gt;$D1701,NOT(ISNUMBER(M1701)),NOT(ISNUMBER(M1700)),(IF(ISNUMBER(H1701),H1701,G1701)-IF(ISNUMBER(H1700),H1700,G1700))=0),"",(M1701-M1700)/(IF(ISNUMBER(H1701),H1701,G1701)-IF(ISNUMBER(H1700),H1700,G1700)))</f>
        <v/>
      </c>
      <c r="X1701" s="31">
        <f>IF(NOT(AND(ISNUMBER(O1701),ISNUMBER(Q1701))),"",(Q1701-O1701)*1440)</f>
        <v/>
      </c>
      <c r="Y1701" s="29" t="n"/>
      <c r="Z1701" s="29" t="n"/>
      <c r="AA1701" s="29" t="n"/>
      <c r="AB1701" s="32" t="n"/>
      <c r="AC1701" s="32" t="n"/>
    </row>
    <row r="1702">
      <c r="A1702" s="26" t="inlineStr">
        <is>
          <t>S33</t>
        </is>
      </c>
      <c r="B1702" s="26" t="inlineStr">
        <is>
          <t>문산 신규점</t>
        </is>
      </c>
      <c r="C1702" s="26" t="inlineStr">
        <is>
          <t>S33-H남</t>
        </is>
      </c>
      <c r="D1702" s="47" t="n">
        <v>1</v>
      </c>
      <c r="E1702" s="26" t="inlineStr">
        <is>
          <t>측정</t>
        </is>
      </c>
      <c r="F1702" s="26" t="inlineStr">
        <is>
          <t>남</t>
        </is>
      </c>
      <c r="G1702" s="31" t="n">
        <v>5</v>
      </c>
      <c r="H1702" s="30" t="n"/>
      <c r="I1702" s="43" t="n"/>
      <c r="J1702" s="41" t="n"/>
      <c r="K1702" s="41" t="n"/>
      <c r="L1702" s="41" t="n"/>
      <c r="M1702" s="31">
        <f>IF(COUNT(J1702:L1702)=0,"",MEDIAN(J1702:L1702))</f>
        <v/>
      </c>
      <c r="N1702" s="26">
        <f>IF(COUNTIFS($C:$C,$C1702,$D:$D,$D1702,$E:$E,"P0(전)",$M:$M,"&gt;0")&lt;&gt;1,"P0(전) 유효 1개 아님",IF(COUNTIFS($C:$C,$C1702,$D:$D,$D1702,$E:$E,"P0(후)",$M:$M,"&gt;0")&lt;&gt;1,"P0(후) 유효 1개 아님",IF(NOT(AND(ISNUMBER(O1702),ISNUMBER(Q1702),ISNUMBER(I1702))),"시각 결측",IF(Q1702&lt;=O1702,"P0 시각 역전",IF(OR(I1702&lt;O1702,I1702&gt;Q1702),"측정시각 구간 밖","OK")))))</f>
        <v/>
      </c>
      <c r="O1702" s="48">
        <f>IF(COUNTIFS($C:$C,$C1702,$D:$D,$D1702,$E:$E,"P0(전)",$M:$M,"&gt;0")&lt;&gt;1,"",SUMIFS($I:$I,$C:$C,$C1702,$D:$D,$D1702,$E:$E,"P0(전)"))</f>
        <v/>
      </c>
      <c r="P1702" s="31">
        <f>IF(COUNTIFS($C:$C,$C1702,$D:$D,$D1702,$E:$E,"P0(전)",$M:$M,"&gt;0")&lt;&gt;1,"",SUMIFS($M:$M,$C:$C,$C1702,$D:$D,$D1702,$E:$E,"P0(전)"))</f>
        <v/>
      </c>
      <c r="Q1702" s="48">
        <f>IF(COUNTIFS($C:$C,$C1702,$D:$D,$D1702,$E:$E,"P0(후)",$M:$M,"&gt;0")&lt;&gt;1,"",SUMIFS($I:$I,$C:$C,$C1702,$D:$D,$D1702,$E:$E,"P0(후)"))</f>
        <v/>
      </c>
      <c r="R1702" s="31">
        <f>IF(COUNTIFS($C:$C,$C1702,$D:$D,$D1702,$E:$E,"P0(후)",$M:$M,"&gt;0")&lt;&gt;1,"",SUMIFS($M:$M,$C:$C,$C1702,$D:$D,$D1702,$E:$E,"P0(후)"))</f>
        <v/>
      </c>
      <c r="S1702" s="31">
        <f>IF(N1702&lt;&gt;"OK","",P1702+(R1702-P1702)*(I1702-O1702)/(Q1702-O1702))</f>
        <v/>
      </c>
      <c r="T1702" s="31">
        <f>IF(OR(N1702&lt;&gt;"OK",NOT(ISNUMBER(M1702))),"",M1702-S1702)</f>
        <v/>
      </c>
      <c r="U1702" s="49">
        <f>IF(OR(NOT(ISNUMBER(T1702)),IF(ISNUMBER(H1702),H1702,G1702)=0),"",T1702/IF(ISNUMBER(H1702),H1702,G1702))</f>
        <v/>
      </c>
      <c r="V1702" s="49">
        <f>IF(ISNUMBER(U1702),ABS(U1702),"")</f>
        <v/>
      </c>
      <c r="W1702" s="49">
        <f>IF(OR($E1701&lt;&gt;"측정",$C1701&lt;&gt;$C1702,$D1701&lt;&gt;$D1702,NOT(ISNUMBER(M1702)),NOT(ISNUMBER(M1701)),(IF(ISNUMBER(H1702),H1702,G1702)-IF(ISNUMBER(H1701),H1701,G1701))=0),"",(M1702-M1701)/(IF(ISNUMBER(H1702),H1702,G1702)-IF(ISNUMBER(H1701),H1701,G1701)))</f>
        <v/>
      </c>
      <c r="X1702" s="31">
        <f>IF(NOT(AND(ISNUMBER(O1702),ISNUMBER(Q1702))),"",(Q1702-O1702)*1440)</f>
        <v/>
      </c>
      <c r="Y1702" s="29" t="n"/>
      <c r="Z1702" s="29" t="n"/>
      <c r="AA1702" s="29" t="n"/>
      <c r="AB1702" s="32" t="n"/>
      <c r="AC1702" s="32" t="n"/>
    </row>
    <row r="1703">
      <c r="A1703" s="26" t="inlineStr">
        <is>
          <t>S33</t>
        </is>
      </c>
      <c r="B1703" s="26" t="inlineStr">
        <is>
          <t>문산 신규점</t>
        </is>
      </c>
      <c r="C1703" s="26" t="inlineStr">
        <is>
          <t>S33-H남</t>
        </is>
      </c>
      <c r="D1703" s="47" t="n">
        <v>1</v>
      </c>
      <c r="E1703" s="26" t="inlineStr">
        <is>
          <t>측정</t>
        </is>
      </c>
      <c r="F1703" s="26" t="inlineStr">
        <is>
          <t>남</t>
        </is>
      </c>
      <c r="G1703" s="31" t="n">
        <v>6</v>
      </c>
      <c r="H1703" s="30" t="n"/>
      <c r="I1703" s="43" t="n"/>
      <c r="J1703" s="41" t="n"/>
      <c r="K1703" s="41" t="n"/>
      <c r="L1703" s="41" t="n"/>
      <c r="M1703" s="31">
        <f>IF(COUNT(J1703:L1703)=0,"",MEDIAN(J1703:L1703))</f>
        <v/>
      </c>
      <c r="N1703" s="26">
        <f>IF(COUNTIFS($C:$C,$C1703,$D:$D,$D1703,$E:$E,"P0(전)",$M:$M,"&gt;0")&lt;&gt;1,"P0(전) 유효 1개 아님",IF(COUNTIFS($C:$C,$C1703,$D:$D,$D1703,$E:$E,"P0(후)",$M:$M,"&gt;0")&lt;&gt;1,"P0(후) 유효 1개 아님",IF(NOT(AND(ISNUMBER(O1703),ISNUMBER(Q1703),ISNUMBER(I1703))),"시각 결측",IF(Q1703&lt;=O1703,"P0 시각 역전",IF(OR(I1703&lt;O1703,I1703&gt;Q1703),"측정시각 구간 밖","OK")))))</f>
        <v/>
      </c>
      <c r="O1703" s="48">
        <f>IF(COUNTIFS($C:$C,$C1703,$D:$D,$D1703,$E:$E,"P0(전)",$M:$M,"&gt;0")&lt;&gt;1,"",SUMIFS($I:$I,$C:$C,$C1703,$D:$D,$D1703,$E:$E,"P0(전)"))</f>
        <v/>
      </c>
      <c r="P1703" s="31">
        <f>IF(COUNTIFS($C:$C,$C1703,$D:$D,$D1703,$E:$E,"P0(전)",$M:$M,"&gt;0")&lt;&gt;1,"",SUMIFS($M:$M,$C:$C,$C1703,$D:$D,$D1703,$E:$E,"P0(전)"))</f>
        <v/>
      </c>
      <c r="Q1703" s="48">
        <f>IF(COUNTIFS($C:$C,$C1703,$D:$D,$D1703,$E:$E,"P0(후)",$M:$M,"&gt;0")&lt;&gt;1,"",SUMIFS($I:$I,$C:$C,$C1703,$D:$D,$D1703,$E:$E,"P0(후)"))</f>
        <v/>
      </c>
      <c r="R1703" s="31">
        <f>IF(COUNTIFS($C:$C,$C1703,$D:$D,$D1703,$E:$E,"P0(후)",$M:$M,"&gt;0")&lt;&gt;1,"",SUMIFS($M:$M,$C:$C,$C1703,$D:$D,$D1703,$E:$E,"P0(후)"))</f>
        <v/>
      </c>
      <c r="S1703" s="31">
        <f>IF(N1703&lt;&gt;"OK","",P1703+(R1703-P1703)*(I1703-O1703)/(Q1703-O1703))</f>
        <v/>
      </c>
      <c r="T1703" s="31">
        <f>IF(OR(N1703&lt;&gt;"OK",NOT(ISNUMBER(M1703))),"",M1703-S1703)</f>
        <v/>
      </c>
      <c r="U1703" s="49">
        <f>IF(OR(NOT(ISNUMBER(T1703)),IF(ISNUMBER(H1703),H1703,G1703)=0),"",T1703/IF(ISNUMBER(H1703),H1703,G1703))</f>
        <v/>
      </c>
      <c r="V1703" s="49">
        <f>IF(ISNUMBER(U1703),ABS(U1703),"")</f>
        <v/>
      </c>
      <c r="W1703" s="49">
        <f>IF(OR($E1702&lt;&gt;"측정",$C1702&lt;&gt;$C1703,$D1702&lt;&gt;$D1703,NOT(ISNUMBER(M1703)),NOT(ISNUMBER(M1702)),(IF(ISNUMBER(H1703),H1703,G1703)-IF(ISNUMBER(H1702),H1702,G1702))=0),"",(M1703-M1702)/(IF(ISNUMBER(H1703),H1703,G1703)-IF(ISNUMBER(H1702),H1702,G1702)))</f>
        <v/>
      </c>
      <c r="X1703" s="31">
        <f>IF(NOT(AND(ISNUMBER(O1703),ISNUMBER(Q1703))),"",(Q1703-O1703)*1440)</f>
        <v/>
      </c>
      <c r="Y1703" s="29" t="n"/>
      <c r="Z1703" s="29" t="n"/>
      <c r="AA1703" s="29" t="n"/>
      <c r="AB1703" s="32" t="n"/>
      <c r="AC1703" s="32" t="n"/>
    </row>
    <row r="1704">
      <c r="A1704" s="26" t="inlineStr">
        <is>
          <t>S33</t>
        </is>
      </c>
      <c r="B1704" s="26" t="inlineStr">
        <is>
          <t>문산 신규점</t>
        </is>
      </c>
      <c r="C1704" s="26" t="inlineStr">
        <is>
          <t>S33-H남</t>
        </is>
      </c>
      <c r="D1704" s="47" t="n">
        <v>1</v>
      </c>
      <c r="E1704" s="26" t="inlineStr">
        <is>
          <t>측정</t>
        </is>
      </c>
      <c r="F1704" s="26" t="inlineStr">
        <is>
          <t>남</t>
        </is>
      </c>
      <c r="G1704" s="31" t="n">
        <v>7</v>
      </c>
      <c r="H1704" s="30" t="n"/>
      <c r="I1704" s="43" t="n"/>
      <c r="J1704" s="41" t="n"/>
      <c r="K1704" s="41" t="n"/>
      <c r="L1704" s="41" t="n"/>
      <c r="M1704" s="31">
        <f>IF(COUNT(J1704:L1704)=0,"",MEDIAN(J1704:L1704))</f>
        <v/>
      </c>
      <c r="N1704" s="26">
        <f>IF(COUNTIFS($C:$C,$C1704,$D:$D,$D1704,$E:$E,"P0(전)",$M:$M,"&gt;0")&lt;&gt;1,"P0(전) 유효 1개 아님",IF(COUNTIFS($C:$C,$C1704,$D:$D,$D1704,$E:$E,"P0(후)",$M:$M,"&gt;0")&lt;&gt;1,"P0(후) 유효 1개 아님",IF(NOT(AND(ISNUMBER(O1704),ISNUMBER(Q1704),ISNUMBER(I1704))),"시각 결측",IF(Q1704&lt;=O1704,"P0 시각 역전",IF(OR(I1704&lt;O1704,I1704&gt;Q1704),"측정시각 구간 밖","OK")))))</f>
        <v/>
      </c>
      <c r="O1704" s="48">
        <f>IF(COUNTIFS($C:$C,$C1704,$D:$D,$D1704,$E:$E,"P0(전)",$M:$M,"&gt;0")&lt;&gt;1,"",SUMIFS($I:$I,$C:$C,$C1704,$D:$D,$D1704,$E:$E,"P0(전)"))</f>
        <v/>
      </c>
      <c r="P1704" s="31">
        <f>IF(COUNTIFS($C:$C,$C1704,$D:$D,$D1704,$E:$E,"P0(전)",$M:$M,"&gt;0")&lt;&gt;1,"",SUMIFS($M:$M,$C:$C,$C1704,$D:$D,$D1704,$E:$E,"P0(전)"))</f>
        <v/>
      </c>
      <c r="Q1704" s="48">
        <f>IF(COUNTIFS($C:$C,$C1704,$D:$D,$D1704,$E:$E,"P0(후)",$M:$M,"&gt;0")&lt;&gt;1,"",SUMIFS($I:$I,$C:$C,$C1704,$D:$D,$D1704,$E:$E,"P0(후)"))</f>
        <v/>
      </c>
      <c r="R1704" s="31">
        <f>IF(COUNTIFS($C:$C,$C1704,$D:$D,$D1704,$E:$E,"P0(후)",$M:$M,"&gt;0")&lt;&gt;1,"",SUMIFS($M:$M,$C:$C,$C1704,$D:$D,$D1704,$E:$E,"P0(후)"))</f>
        <v/>
      </c>
      <c r="S1704" s="31">
        <f>IF(N1704&lt;&gt;"OK","",P1704+(R1704-P1704)*(I1704-O1704)/(Q1704-O1704))</f>
        <v/>
      </c>
      <c r="T1704" s="31">
        <f>IF(OR(N1704&lt;&gt;"OK",NOT(ISNUMBER(M1704))),"",M1704-S1704)</f>
        <v/>
      </c>
      <c r="U1704" s="49">
        <f>IF(OR(NOT(ISNUMBER(T1704)),IF(ISNUMBER(H1704),H1704,G1704)=0),"",T1704/IF(ISNUMBER(H1704),H1704,G1704))</f>
        <v/>
      </c>
      <c r="V1704" s="49">
        <f>IF(ISNUMBER(U1704),ABS(U1704),"")</f>
        <v/>
      </c>
      <c r="W1704" s="49">
        <f>IF(OR($E1703&lt;&gt;"측정",$C1703&lt;&gt;$C1704,$D1703&lt;&gt;$D1704,NOT(ISNUMBER(M1704)),NOT(ISNUMBER(M1703)),(IF(ISNUMBER(H1704),H1704,G1704)-IF(ISNUMBER(H1703),H1703,G1703))=0),"",(M1704-M1703)/(IF(ISNUMBER(H1704),H1704,G1704)-IF(ISNUMBER(H1703),H1703,G1703)))</f>
        <v/>
      </c>
      <c r="X1704" s="31">
        <f>IF(NOT(AND(ISNUMBER(O1704),ISNUMBER(Q1704))),"",(Q1704-O1704)*1440)</f>
        <v/>
      </c>
      <c r="Y1704" s="29" t="n"/>
      <c r="Z1704" s="29" t="n"/>
      <c r="AA1704" s="29" t="n"/>
      <c r="AB1704" s="32" t="n"/>
      <c r="AC1704" s="32" t="n"/>
    </row>
    <row r="1705">
      <c r="A1705" s="26" t="inlineStr">
        <is>
          <t>S33</t>
        </is>
      </c>
      <c r="B1705" s="26" t="inlineStr">
        <is>
          <t>문산 신규점</t>
        </is>
      </c>
      <c r="C1705" s="26" t="inlineStr">
        <is>
          <t>S33-H남</t>
        </is>
      </c>
      <c r="D1705" s="47" t="n">
        <v>1</v>
      </c>
      <c r="E1705" s="26" t="inlineStr">
        <is>
          <t>측정</t>
        </is>
      </c>
      <c r="F1705" s="26" t="inlineStr">
        <is>
          <t>남</t>
        </is>
      </c>
      <c r="G1705" s="31" t="n">
        <v>8</v>
      </c>
      <c r="H1705" s="30" t="n"/>
      <c r="I1705" s="43" t="n"/>
      <c r="J1705" s="41" t="n"/>
      <c r="K1705" s="41" t="n"/>
      <c r="L1705" s="41" t="n"/>
      <c r="M1705" s="31">
        <f>IF(COUNT(J1705:L1705)=0,"",MEDIAN(J1705:L1705))</f>
        <v/>
      </c>
      <c r="N1705" s="26">
        <f>IF(COUNTIFS($C:$C,$C1705,$D:$D,$D1705,$E:$E,"P0(전)",$M:$M,"&gt;0")&lt;&gt;1,"P0(전) 유효 1개 아님",IF(COUNTIFS($C:$C,$C1705,$D:$D,$D1705,$E:$E,"P0(후)",$M:$M,"&gt;0")&lt;&gt;1,"P0(후) 유효 1개 아님",IF(NOT(AND(ISNUMBER(O1705),ISNUMBER(Q1705),ISNUMBER(I1705))),"시각 결측",IF(Q1705&lt;=O1705,"P0 시각 역전",IF(OR(I1705&lt;O1705,I1705&gt;Q1705),"측정시각 구간 밖","OK")))))</f>
        <v/>
      </c>
      <c r="O1705" s="48">
        <f>IF(COUNTIFS($C:$C,$C1705,$D:$D,$D1705,$E:$E,"P0(전)",$M:$M,"&gt;0")&lt;&gt;1,"",SUMIFS($I:$I,$C:$C,$C1705,$D:$D,$D1705,$E:$E,"P0(전)"))</f>
        <v/>
      </c>
      <c r="P1705" s="31">
        <f>IF(COUNTIFS($C:$C,$C1705,$D:$D,$D1705,$E:$E,"P0(전)",$M:$M,"&gt;0")&lt;&gt;1,"",SUMIFS($M:$M,$C:$C,$C1705,$D:$D,$D1705,$E:$E,"P0(전)"))</f>
        <v/>
      </c>
      <c r="Q1705" s="48">
        <f>IF(COUNTIFS($C:$C,$C1705,$D:$D,$D1705,$E:$E,"P0(후)",$M:$M,"&gt;0")&lt;&gt;1,"",SUMIFS($I:$I,$C:$C,$C1705,$D:$D,$D1705,$E:$E,"P0(후)"))</f>
        <v/>
      </c>
      <c r="R1705" s="31">
        <f>IF(COUNTIFS($C:$C,$C1705,$D:$D,$D1705,$E:$E,"P0(후)",$M:$M,"&gt;0")&lt;&gt;1,"",SUMIFS($M:$M,$C:$C,$C1705,$D:$D,$D1705,$E:$E,"P0(후)"))</f>
        <v/>
      </c>
      <c r="S1705" s="31">
        <f>IF(N1705&lt;&gt;"OK","",P1705+(R1705-P1705)*(I1705-O1705)/(Q1705-O1705))</f>
        <v/>
      </c>
      <c r="T1705" s="31">
        <f>IF(OR(N1705&lt;&gt;"OK",NOT(ISNUMBER(M1705))),"",M1705-S1705)</f>
        <v/>
      </c>
      <c r="U1705" s="49">
        <f>IF(OR(NOT(ISNUMBER(T1705)),IF(ISNUMBER(H1705),H1705,G1705)=0),"",T1705/IF(ISNUMBER(H1705),H1705,G1705))</f>
        <v/>
      </c>
      <c r="V1705" s="49">
        <f>IF(ISNUMBER(U1705),ABS(U1705),"")</f>
        <v/>
      </c>
      <c r="W1705" s="49">
        <f>IF(OR($E1704&lt;&gt;"측정",$C1704&lt;&gt;$C1705,$D1704&lt;&gt;$D1705,NOT(ISNUMBER(M1705)),NOT(ISNUMBER(M1704)),(IF(ISNUMBER(H1705),H1705,G1705)-IF(ISNUMBER(H1704),H1704,G1704))=0),"",(M1705-M1704)/(IF(ISNUMBER(H1705),H1705,G1705)-IF(ISNUMBER(H1704),H1704,G1704)))</f>
        <v/>
      </c>
      <c r="X1705" s="31">
        <f>IF(NOT(AND(ISNUMBER(O1705),ISNUMBER(Q1705))),"",(Q1705-O1705)*1440)</f>
        <v/>
      </c>
      <c r="Y1705" s="29" t="n"/>
      <c r="Z1705" s="29" t="n"/>
      <c r="AA1705" s="29" t="n"/>
      <c r="AB1705" s="32" t="n"/>
      <c r="AC1705" s="32" t="n"/>
    </row>
    <row r="1706">
      <c r="A1706" s="26" t="inlineStr">
        <is>
          <t>S33</t>
        </is>
      </c>
      <c r="B1706" s="26" t="inlineStr">
        <is>
          <t>문산 신규점</t>
        </is>
      </c>
      <c r="C1706" s="26" t="inlineStr">
        <is>
          <t>S33-H남</t>
        </is>
      </c>
      <c r="D1706" s="47" t="n">
        <v>1</v>
      </c>
      <c r="E1706" s="26" t="inlineStr">
        <is>
          <t>측정</t>
        </is>
      </c>
      <c r="F1706" s="26" t="inlineStr">
        <is>
          <t>남</t>
        </is>
      </c>
      <c r="G1706" s="31" t="n">
        <v>9</v>
      </c>
      <c r="H1706" s="30" t="n"/>
      <c r="I1706" s="43" t="n"/>
      <c r="J1706" s="41" t="n"/>
      <c r="K1706" s="41" t="n"/>
      <c r="L1706" s="41" t="n"/>
      <c r="M1706" s="31">
        <f>IF(COUNT(J1706:L1706)=0,"",MEDIAN(J1706:L1706))</f>
        <v/>
      </c>
      <c r="N1706" s="26">
        <f>IF(COUNTIFS($C:$C,$C1706,$D:$D,$D1706,$E:$E,"P0(전)",$M:$M,"&gt;0")&lt;&gt;1,"P0(전) 유효 1개 아님",IF(COUNTIFS($C:$C,$C1706,$D:$D,$D1706,$E:$E,"P0(후)",$M:$M,"&gt;0")&lt;&gt;1,"P0(후) 유효 1개 아님",IF(NOT(AND(ISNUMBER(O1706),ISNUMBER(Q1706),ISNUMBER(I1706))),"시각 결측",IF(Q1706&lt;=O1706,"P0 시각 역전",IF(OR(I1706&lt;O1706,I1706&gt;Q1706),"측정시각 구간 밖","OK")))))</f>
        <v/>
      </c>
      <c r="O1706" s="48">
        <f>IF(COUNTIFS($C:$C,$C1706,$D:$D,$D1706,$E:$E,"P0(전)",$M:$M,"&gt;0")&lt;&gt;1,"",SUMIFS($I:$I,$C:$C,$C1706,$D:$D,$D1706,$E:$E,"P0(전)"))</f>
        <v/>
      </c>
      <c r="P1706" s="31">
        <f>IF(COUNTIFS($C:$C,$C1706,$D:$D,$D1706,$E:$E,"P0(전)",$M:$M,"&gt;0")&lt;&gt;1,"",SUMIFS($M:$M,$C:$C,$C1706,$D:$D,$D1706,$E:$E,"P0(전)"))</f>
        <v/>
      </c>
      <c r="Q1706" s="48">
        <f>IF(COUNTIFS($C:$C,$C1706,$D:$D,$D1706,$E:$E,"P0(후)",$M:$M,"&gt;0")&lt;&gt;1,"",SUMIFS($I:$I,$C:$C,$C1706,$D:$D,$D1706,$E:$E,"P0(후)"))</f>
        <v/>
      </c>
      <c r="R1706" s="31">
        <f>IF(COUNTIFS($C:$C,$C1706,$D:$D,$D1706,$E:$E,"P0(후)",$M:$M,"&gt;0")&lt;&gt;1,"",SUMIFS($M:$M,$C:$C,$C1706,$D:$D,$D1706,$E:$E,"P0(후)"))</f>
        <v/>
      </c>
      <c r="S1706" s="31">
        <f>IF(N1706&lt;&gt;"OK","",P1706+(R1706-P1706)*(I1706-O1706)/(Q1706-O1706))</f>
        <v/>
      </c>
      <c r="T1706" s="31">
        <f>IF(OR(N1706&lt;&gt;"OK",NOT(ISNUMBER(M1706))),"",M1706-S1706)</f>
        <v/>
      </c>
      <c r="U1706" s="49">
        <f>IF(OR(NOT(ISNUMBER(T1706)),IF(ISNUMBER(H1706),H1706,G1706)=0),"",T1706/IF(ISNUMBER(H1706),H1706,G1706))</f>
        <v/>
      </c>
      <c r="V1706" s="49">
        <f>IF(ISNUMBER(U1706),ABS(U1706),"")</f>
        <v/>
      </c>
      <c r="W1706" s="49">
        <f>IF(OR($E1705&lt;&gt;"측정",$C1705&lt;&gt;$C1706,$D1705&lt;&gt;$D1706,NOT(ISNUMBER(M1706)),NOT(ISNUMBER(M1705)),(IF(ISNUMBER(H1706),H1706,G1706)-IF(ISNUMBER(H1705),H1705,G1705))=0),"",(M1706-M1705)/(IF(ISNUMBER(H1706),H1706,G1706)-IF(ISNUMBER(H1705),H1705,G1705)))</f>
        <v/>
      </c>
      <c r="X1706" s="31">
        <f>IF(NOT(AND(ISNUMBER(O1706),ISNUMBER(Q1706))),"",(Q1706-O1706)*1440)</f>
        <v/>
      </c>
      <c r="Y1706" s="29" t="n"/>
      <c r="Z1706" s="29" t="n"/>
      <c r="AA1706" s="29" t="n"/>
      <c r="AB1706" s="32" t="n"/>
      <c r="AC1706" s="32" t="n"/>
    </row>
    <row r="1707">
      <c r="A1707" s="26" t="inlineStr">
        <is>
          <t>S33</t>
        </is>
      </c>
      <c r="B1707" s="26" t="inlineStr">
        <is>
          <t>문산 신규점</t>
        </is>
      </c>
      <c r="C1707" s="26" t="inlineStr">
        <is>
          <t>S33-H남</t>
        </is>
      </c>
      <c r="D1707" s="47" t="n">
        <v>1</v>
      </c>
      <c r="E1707" s="26" t="inlineStr">
        <is>
          <t>측정</t>
        </is>
      </c>
      <c r="F1707" s="26" t="inlineStr">
        <is>
          <t>남</t>
        </is>
      </c>
      <c r="G1707" s="31" t="n">
        <v>10</v>
      </c>
      <c r="H1707" s="30" t="n"/>
      <c r="I1707" s="43" t="n"/>
      <c r="J1707" s="41" t="n"/>
      <c r="K1707" s="41" t="n"/>
      <c r="L1707" s="41" t="n"/>
      <c r="M1707" s="31">
        <f>IF(COUNT(J1707:L1707)=0,"",MEDIAN(J1707:L1707))</f>
        <v/>
      </c>
      <c r="N1707" s="26">
        <f>IF(COUNTIFS($C:$C,$C1707,$D:$D,$D1707,$E:$E,"P0(전)",$M:$M,"&gt;0")&lt;&gt;1,"P0(전) 유효 1개 아님",IF(COUNTIFS($C:$C,$C1707,$D:$D,$D1707,$E:$E,"P0(후)",$M:$M,"&gt;0")&lt;&gt;1,"P0(후) 유효 1개 아님",IF(NOT(AND(ISNUMBER(O1707),ISNUMBER(Q1707),ISNUMBER(I1707))),"시각 결측",IF(Q1707&lt;=O1707,"P0 시각 역전",IF(OR(I1707&lt;O1707,I1707&gt;Q1707),"측정시각 구간 밖","OK")))))</f>
        <v/>
      </c>
      <c r="O1707" s="48">
        <f>IF(COUNTIFS($C:$C,$C1707,$D:$D,$D1707,$E:$E,"P0(전)",$M:$M,"&gt;0")&lt;&gt;1,"",SUMIFS($I:$I,$C:$C,$C1707,$D:$D,$D1707,$E:$E,"P0(전)"))</f>
        <v/>
      </c>
      <c r="P1707" s="31">
        <f>IF(COUNTIFS($C:$C,$C1707,$D:$D,$D1707,$E:$E,"P0(전)",$M:$M,"&gt;0")&lt;&gt;1,"",SUMIFS($M:$M,$C:$C,$C1707,$D:$D,$D1707,$E:$E,"P0(전)"))</f>
        <v/>
      </c>
      <c r="Q1707" s="48">
        <f>IF(COUNTIFS($C:$C,$C1707,$D:$D,$D1707,$E:$E,"P0(후)",$M:$M,"&gt;0")&lt;&gt;1,"",SUMIFS($I:$I,$C:$C,$C1707,$D:$D,$D1707,$E:$E,"P0(후)"))</f>
        <v/>
      </c>
      <c r="R1707" s="31">
        <f>IF(COUNTIFS($C:$C,$C1707,$D:$D,$D1707,$E:$E,"P0(후)",$M:$M,"&gt;0")&lt;&gt;1,"",SUMIFS($M:$M,$C:$C,$C1707,$D:$D,$D1707,$E:$E,"P0(후)"))</f>
        <v/>
      </c>
      <c r="S1707" s="31">
        <f>IF(N1707&lt;&gt;"OK","",P1707+(R1707-P1707)*(I1707-O1707)/(Q1707-O1707))</f>
        <v/>
      </c>
      <c r="T1707" s="31">
        <f>IF(OR(N1707&lt;&gt;"OK",NOT(ISNUMBER(M1707))),"",M1707-S1707)</f>
        <v/>
      </c>
      <c r="U1707" s="49">
        <f>IF(OR(NOT(ISNUMBER(T1707)),IF(ISNUMBER(H1707),H1707,G1707)=0),"",T1707/IF(ISNUMBER(H1707),H1707,G1707))</f>
        <v/>
      </c>
      <c r="V1707" s="49">
        <f>IF(ISNUMBER(U1707),ABS(U1707),"")</f>
        <v/>
      </c>
      <c r="W1707" s="49">
        <f>IF(OR($E1706&lt;&gt;"측정",$C1706&lt;&gt;$C1707,$D1706&lt;&gt;$D1707,NOT(ISNUMBER(M1707)),NOT(ISNUMBER(M1706)),(IF(ISNUMBER(H1707),H1707,G1707)-IF(ISNUMBER(H1706),H1706,G1706))=0),"",(M1707-M1706)/(IF(ISNUMBER(H1707),H1707,G1707)-IF(ISNUMBER(H1706),H1706,G1706)))</f>
        <v/>
      </c>
      <c r="X1707" s="31">
        <f>IF(NOT(AND(ISNUMBER(O1707),ISNUMBER(Q1707))),"",(Q1707-O1707)*1440)</f>
        <v/>
      </c>
      <c r="Y1707" s="29" t="n"/>
      <c r="Z1707" s="29" t="n"/>
      <c r="AA1707" s="29" t="n"/>
      <c r="AB1707" s="32" t="n"/>
      <c r="AC1707" s="32" t="n"/>
    </row>
    <row r="1708">
      <c r="A1708" s="44" t="inlineStr">
        <is>
          <t>S33</t>
        </is>
      </c>
      <c r="B1708" s="44" t="inlineStr">
        <is>
          <t>문산 신규점</t>
        </is>
      </c>
      <c r="C1708" s="44" t="inlineStr">
        <is>
          <t>S33-H남</t>
        </is>
      </c>
      <c r="D1708" s="45" t="n">
        <v>1</v>
      </c>
      <c r="E1708" s="44" t="inlineStr">
        <is>
          <t>P0(후)</t>
        </is>
      </c>
      <c r="F1708" s="44" t="inlineStr">
        <is>
          <t>남</t>
        </is>
      </c>
      <c r="G1708" s="46" t="n"/>
      <c r="H1708" s="30" t="n"/>
      <c r="I1708" s="43" t="n"/>
      <c r="J1708" s="41" t="n"/>
      <c r="K1708" s="41" t="n"/>
      <c r="L1708" s="41" t="n"/>
      <c r="M1708" s="31">
        <f>IF(COUNT(J1708:L1708)=0,"",MEDIAN(J1708:L1708))</f>
        <v/>
      </c>
      <c r="N1708" s="38" t="n"/>
      <c r="O1708" s="38" t="n"/>
      <c r="P1708" s="38" t="n"/>
      <c r="Q1708" s="38" t="n"/>
      <c r="R1708" s="38" t="n"/>
      <c r="S1708" s="38" t="n"/>
      <c r="T1708" s="38" t="n"/>
      <c r="U1708" s="38" t="n"/>
      <c r="V1708" s="38" t="n"/>
      <c r="W1708" s="38" t="n"/>
      <c r="X1708" s="38" t="n"/>
      <c r="Y1708" s="29" t="n"/>
      <c r="Z1708" s="29" t="n"/>
      <c r="AA1708" s="29" t="n"/>
      <c r="AB1708" s="32" t="n"/>
      <c r="AC1708" s="32" t="n"/>
    </row>
    <row r="1709">
      <c r="A1709" s="44" t="inlineStr">
        <is>
          <t>S33</t>
        </is>
      </c>
      <c r="B1709" s="44" t="inlineStr">
        <is>
          <t>문산 신규점</t>
        </is>
      </c>
      <c r="C1709" s="44" t="inlineStr">
        <is>
          <t>S33-H북</t>
        </is>
      </c>
      <c r="D1709" s="45" t="n">
        <v>1</v>
      </c>
      <c r="E1709" s="44" t="inlineStr">
        <is>
          <t>P0(전)</t>
        </is>
      </c>
      <c r="F1709" s="44" t="inlineStr">
        <is>
          <t>북</t>
        </is>
      </c>
      <c r="G1709" s="46" t="n"/>
      <c r="H1709" s="30" t="n"/>
      <c r="I1709" s="43" t="n"/>
      <c r="J1709" s="41" t="n"/>
      <c r="K1709" s="41" t="n"/>
      <c r="L1709" s="41" t="n"/>
      <c r="M1709" s="31">
        <f>IF(COUNT(J1709:L1709)=0,"",MEDIAN(J1709:L1709))</f>
        <v/>
      </c>
      <c r="N1709" s="38" t="n"/>
      <c r="O1709" s="38" t="n"/>
      <c r="P1709" s="38" t="n"/>
      <c r="Q1709" s="38" t="n"/>
      <c r="R1709" s="38" t="n"/>
      <c r="S1709" s="38" t="n"/>
      <c r="T1709" s="38" t="n"/>
      <c r="U1709" s="38" t="n"/>
      <c r="V1709" s="38" t="n"/>
      <c r="W1709" s="38" t="n"/>
      <c r="X1709" s="38" t="n"/>
      <c r="Y1709" s="29" t="n"/>
      <c r="Z1709" s="29" t="n"/>
      <c r="AA1709" s="29" t="n"/>
      <c r="AB1709" s="32" t="n"/>
      <c r="AC1709" s="32" t="n"/>
    </row>
    <row r="1710">
      <c r="A1710" s="26" t="inlineStr">
        <is>
          <t>S33</t>
        </is>
      </c>
      <c r="B1710" s="26" t="inlineStr">
        <is>
          <t>문산 신규점</t>
        </is>
      </c>
      <c r="C1710" s="26" t="inlineStr">
        <is>
          <t>S33-H북</t>
        </is>
      </c>
      <c r="D1710" s="47" t="n">
        <v>1</v>
      </c>
      <c r="E1710" s="26" t="inlineStr">
        <is>
          <t>측정</t>
        </is>
      </c>
      <c r="F1710" s="26" t="inlineStr">
        <is>
          <t>북</t>
        </is>
      </c>
      <c r="G1710" s="31" t="n">
        <v>0.5</v>
      </c>
      <c r="H1710" s="30" t="n"/>
      <c r="I1710" s="43" t="n"/>
      <c r="J1710" s="41" t="n"/>
      <c r="K1710" s="41" t="n"/>
      <c r="L1710" s="41" t="n"/>
      <c r="M1710" s="31">
        <f>IF(COUNT(J1710:L1710)=0,"",MEDIAN(J1710:L1710))</f>
        <v/>
      </c>
      <c r="N1710" s="26">
        <f>IF(COUNTIFS($C:$C,$C1710,$D:$D,$D1710,$E:$E,"P0(전)",$M:$M,"&gt;0")&lt;&gt;1,"P0(전) 유효 1개 아님",IF(COUNTIFS($C:$C,$C1710,$D:$D,$D1710,$E:$E,"P0(후)",$M:$M,"&gt;0")&lt;&gt;1,"P0(후) 유효 1개 아님",IF(NOT(AND(ISNUMBER(O1710),ISNUMBER(Q1710),ISNUMBER(I1710))),"시각 결측",IF(Q1710&lt;=O1710,"P0 시각 역전",IF(OR(I1710&lt;O1710,I1710&gt;Q1710),"측정시각 구간 밖","OK")))))</f>
        <v/>
      </c>
      <c r="O1710" s="48">
        <f>IF(COUNTIFS($C:$C,$C1710,$D:$D,$D1710,$E:$E,"P0(전)",$M:$M,"&gt;0")&lt;&gt;1,"",SUMIFS($I:$I,$C:$C,$C1710,$D:$D,$D1710,$E:$E,"P0(전)"))</f>
        <v/>
      </c>
      <c r="P1710" s="31">
        <f>IF(COUNTIFS($C:$C,$C1710,$D:$D,$D1710,$E:$E,"P0(전)",$M:$M,"&gt;0")&lt;&gt;1,"",SUMIFS($M:$M,$C:$C,$C1710,$D:$D,$D1710,$E:$E,"P0(전)"))</f>
        <v/>
      </c>
      <c r="Q1710" s="48">
        <f>IF(COUNTIFS($C:$C,$C1710,$D:$D,$D1710,$E:$E,"P0(후)",$M:$M,"&gt;0")&lt;&gt;1,"",SUMIFS($I:$I,$C:$C,$C1710,$D:$D,$D1710,$E:$E,"P0(후)"))</f>
        <v/>
      </c>
      <c r="R1710" s="31">
        <f>IF(COUNTIFS($C:$C,$C1710,$D:$D,$D1710,$E:$E,"P0(후)",$M:$M,"&gt;0")&lt;&gt;1,"",SUMIFS($M:$M,$C:$C,$C1710,$D:$D,$D1710,$E:$E,"P0(후)"))</f>
        <v/>
      </c>
      <c r="S1710" s="31">
        <f>IF(N1710&lt;&gt;"OK","",P1710+(R1710-P1710)*(I1710-O1710)/(Q1710-O1710))</f>
        <v/>
      </c>
      <c r="T1710" s="31">
        <f>IF(OR(N1710&lt;&gt;"OK",NOT(ISNUMBER(M1710))),"",M1710-S1710)</f>
        <v/>
      </c>
      <c r="U1710" s="49">
        <f>IF(OR(NOT(ISNUMBER(T1710)),IF(ISNUMBER(H1710),H1710,G1710)=0),"",T1710/IF(ISNUMBER(H1710),H1710,G1710))</f>
        <v/>
      </c>
      <c r="V1710" s="49">
        <f>IF(ISNUMBER(U1710),ABS(U1710),"")</f>
        <v/>
      </c>
      <c r="W1710" s="49">
        <f>IF(OR($E1709&lt;&gt;"측정",$C1709&lt;&gt;$C1710,$D1709&lt;&gt;$D1710,NOT(ISNUMBER(M1710)),NOT(ISNUMBER(M1709)),(IF(ISNUMBER(H1710),H1710,G1710)-IF(ISNUMBER(H1709),H1709,G1709))=0),"",(M1710-M1709)/(IF(ISNUMBER(H1710),H1710,G1710)-IF(ISNUMBER(H1709),H1709,G1709)))</f>
        <v/>
      </c>
      <c r="X1710" s="31">
        <f>IF(NOT(AND(ISNUMBER(O1710),ISNUMBER(Q1710))),"",(Q1710-O1710)*1440)</f>
        <v/>
      </c>
      <c r="Y1710" s="29" t="n"/>
      <c r="Z1710" s="29" t="n"/>
      <c r="AA1710" s="29" t="n"/>
      <c r="AB1710" s="32" t="n"/>
      <c r="AC1710" s="32" t="n"/>
    </row>
    <row r="1711">
      <c r="A1711" s="26" t="inlineStr">
        <is>
          <t>S33</t>
        </is>
      </c>
      <c r="B1711" s="26" t="inlineStr">
        <is>
          <t>문산 신규점</t>
        </is>
      </c>
      <c r="C1711" s="26" t="inlineStr">
        <is>
          <t>S33-H북</t>
        </is>
      </c>
      <c r="D1711" s="47" t="n">
        <v>1</v>
      </c>
      <c r="E1711" s="26" t="inlineStr">
        <is>
          <t>측정</t>
        </is>
      </c>
      <c r="F1711" s="26" t="inlineStr">
        <is>
          <t>북</t>
        </is>
      </c>
      <c r="G1711" s="31" t="n">
        <v>1</v>
      </c>
      <c r="H1711" s="30" t="n"/>
      <c r="I1711" s="43" t="n"/>
      <c r="J1711" s="41" t="n"/>
      <c r="K1711" s="41" t="n"/>
      <c r="L1711" s="41" t="n"/>
      <c r="M1711" s="31">
        <f>IF(COUNT(J1711:L1711)=0,"",MEDIAN(J1711:L1711))</f>
        <v/>
      </c>
      <c r="N1711" s="26">
        <f>IF(COUNTIFS($C:$C,$C1711,$D:$D,$D1711,$E:$E,"P0(전)",$M:$M,"&gt;0")&lt;&gt;1,"P0(전) 유효 1개 아님",IF(COUNTIFS($C:$C,$C1711,$D:$D,$D1711,$E:$E,"P0(후)",$M:$M,"&gt;0")&lt;&gt;1,"P0(후) 유효 1개 아님",IF(NOT(AND(ISNUMBER(O1711),ISNUMBER(Q1711),ISNUMBER(I1711))),"시각 결측",IF(Q1711&lt;=O1711,"P0 시각 역전",IF(OR(I1711&lt;O1711,I1711&gt;Q1711),"측정시각 구간 밖","OK")))))</f>
        <v/>
      </c>
      <c r="O1711" s="48">
        <f>IF(COUNTIFS($C:$C,$C1711,$D:$D,$D1711,$E:$E,"P0(전)",$M:$M,"&gt;0")&lt;&gt;1,"",SUMIFS($I:$I,$C:$C,$C1711,$D:$D,$D1711,$E:$E,"P0(전)"))</f>
        <v/>
      </c>
      <c r="P1711" s="31">
        <f>IF(COUNTIFS($C:$C,$C1711,$D:$D,$D1711,$E:$E,"P0(전)",$M:$M,"&gt;0")&lt;&gt;1,"",SUMIFS($M:$M,$C:$C,$C1711,$D:$D,$D1711,$E:$E,"P0(전)"))</f>
        <v/>
      </c>
      <c r="Q1711" s="48">
        <f>IF(COUNTIFS($C:$C,$C1711,$D:$D,$D1711,$E:$E,"P0(후)",$M:$M,"&gt;0")&lt;&gt;1,"",SUMIFS($I:$I,$C:$C,$C1711,$D:$D,$D1711,$E:$E,"P0(후)"))</f>
        <v/>
      </c>
      <c r="R1711" s="31">
        <f>IF(COUNTIFS($C:$C,$C1711,$D:$D,$D1711,$E:$E,"P0(후)",$M:$M,"&gt;0")&lt;&gt;1,"",SUMIFS($M:$M,$C:$C,$C1711,$D:$D,$D1711,$E:$E,"P0(후)"))</f>
        <v/>
      </c>
      <c r="S1711" s="31">
        <f>IF(N1711&lt;&gt;"OK","",P1711+(R1711-P1711)*(I1711-O1711)/(Q1711-O1711))</f>
        <v/>
      </c>
      <c r="T1711" s="31">
        <f>IF(OR(N1711&lt;&gt;"OK",NOT(ISNUMBER(M1711))),"",M1711-S1711)</f>
        <v/>
      </c>
      <c r="U1711" s="49">
        <f>IF(OR(NOT(ISNUMBER(T1711)),IF(ISNUMBER(H1711),H1711,G1711)=0),"",T1711/IF(ISNUMBER(H1711),H1711,G1711))</f>
        <v/>
      </c>
      <c r="V1711" s="49">
        <f>IF(ISNUMBER(U1711),ABS(U1711),"")</f>
        <v/>
      </c>
      <c r="W1711" s="49">
        <f>IF(OR($E1710&lt;&gt;"측정",$C1710&lt;&gt;$C1711,$D1710&lt;&gt;$D1711,NOT(ISNUMBER(M1711)),NOT(ISNUMBER(M1710)),(IF(ISNUMBER(H1711),H1711,G1711)-IF(ISNUMBER(H1710),H1710,G1710))=0),"",(M1711-M1710)/(IF(ISNUMBER(H1711),H1711,G1711)-IF(ISNUMBER(H1710),H1710,G1710)))</f>
        <v/>
      </c>
      <c r="X1711" s="31">
        <f>IF(NOT(AND(ISNUMBER(O1711),ISNUMBER(Q1711))),"",(Q1711-O1711)*1440)</f>
        <v/>
      </c>
      <c r="Y1711" s="29" t="n"/>
      <c r="Z1711" s="29" t="n"/>
      <c r="AA1711" s="29" t="n"/>
      <c r="AB1711" s="32" t="n"/>
      <c r="AC1711" s="32" t="n"/>
    </row>
    <row r="1712">
      <c r="A1712" s="26" t="inlineStr">
        <is>
          <t>S33</t>
        </is>
      </c>
      <c r="B1712" s="26" t="inlineStr">
        <is>
          <t>문산 신규점</t>
        </is>
      </c>
      <c r="C1712" s="26" t="inlineStr">
        <is>
          <t>S33-H북</t>
        </is>
      </c>
      <c r="D1712" s="47" t="n">
        <v>1</v>
      </c>
      <c r="E1712" s="26" t="inlineStr">
        <is>
          <t>측정</t>
        </is>
      </c>
      <c r="F1712" s="26" t="inlineStr">
        <is>
          <t>북</t>
        </is>
      </c>
      <c r="G1712" s="31" t="n">
        <v>2</v>
      </c>
      <c r="H1712" s="30" t="n"/>
      <c r="I1712" s="43" t="n"/>
      <c r="J1712" s="41" t="n"/>
      <c r="K1712" s="41" t="n"/>
      <c r="L1712" s="41" t="n"/>
      <c r="M1712" s="31">
        <f>IF(COUNT(J1712:L1712)=0,"",MEDIAN(J1712:L1712))</f>
        <v/>
      </c>
      <c r="N1712" s="26">
        <f>IF(COUNTIFS($C:$C,$C1712,$D:$D,$D1712,$E:$E,"P0(전)",$M:$M,"&gt;0")&lt;&gt;1,"P0(전) 유효 1개 아님",IF(COUNTIFS($C:$C,$C1712,$D:$D,$D1712,$E:$E,"P0(후)",$M:$M,"&gt;0")&lt;&gt;1,"P0(후) 유효 1개 아님",IF(NOT(AND(ISNUMBER(O1712),ISNUMBER(Q1712),ISNUMBER(I1712))),"시각 결측",IF(Q1712&lt;=O1712,"P0 시각 역전",IF(OR(I1712&lt;O1712,I1712&gt;Q1712),"측정시각 구간 밖","OK")))))</f>
        <v/>
      </c>
      <c r="O1712" s="48">
        <f>IF(COUNTIFS($C:$C,$C1712,$D:$D,$D1712,$E:$E,"P0(전)",$M:$M,"&gt;0")&lt;&gt;1,"",SUMIFS($I:$I,$C:$C,$C1712,$D:$D,$D1712,$E:$E,"P0(전)"))</f>
        <v/>
      </c>
      <c r="P1712" s="31">
        <f>IF(COUNTIFS($C:$C,$C1712,$D:$D,$D1712,$E:$E,"P0(전)",$M:$M,"&gt;0")&lt;&gt;1,"",SUMIFS($M:$M,$C:$C,$C1712,$D:$D,$D1712,$E:$E,"P0(전)"))</f>
        <v/>
      </c>
      <c r="Q1712" s="48">
        <f>IF(COUNTIFS($C:$C,$C1712,$D:$D,$D1712,$E:$E,"P0(후)",$M:$M,"&gt;0")&lt;&gt;1,"",SUMIFS($I:$I,$C:$C,$C1712,$D:$D,$D1712,$E:$E,"P0(후)"))</f>
        <v/>
      </c>
      <c r="R1712" s="31">
        <f>IF(COUNTIFS($C:$C,$C1712,$D:$D,$D1712,$E:$E,"P0(후)",$M:$M,"&gt;0")&lt;&gt;1,"",SUMIFS($M:$M,$C:$C,$C1712,$D:$D,$D1712,$E:$E,"P0(후)"))</f>
        <v/>
      </c>
      <c r="S1712" s="31">
        <f>IF(N1712&lt;&gt;"OK","",P1712+(R1712-P1712)*(I1712-O1712)/(Q1712-O1712))</f>
        <v/>
      </c>
      <c r="T1712" s="31">
        <f>IF(OR(N1712&lt;&gt;"OK",NOT(ISNUMBER(M1712))),"",M1712-S1712)</f>
        <v/>
      </c>
      <c r="U1712" s="49">
        <f>IF(OR(NOT(ISNUMBER(T1712)),IF(ISNUMBER(H1712),H1712,G1712)=0),"",T1712/IF(ISNUMBER(H1712),H1712,G1712))</f>
        <v/>
      </c>
      <c r="V1712" s="49">
        <f>IF(ISNUMBER(U1712),ABS(U1712),"")</f>
        <v/>
      </c>
      <c r="W1712" s="49">
        <f>IF(OR($E1711&lt;&gt;"측정",$C1711&lt;&gt;$C1712,$D1711&lt;&gt;$D1712,NOT(ISNUMBER(M1712)),NOT(ISNUMBER(M1711)),(IF(ISNUMBER(H1712),H1712,G1712)-IF(ISNUMBER(H1711),H1711,G1711))=0),"",(M1712-M1711)/(IF(ISNUMBER(H1712),H1712,G1712)-IF(ISNUMBER(H1711),H1711,G1711)))</f>
        <v/>
      </c>
      <c r="X1712" s="31">
        <f>IF(NOT(AND(ISNUMBER(O1712),ISNUMBER(Q1712))),"",(Q1712-O1712)*1440)</f>
        <v/>
      </c>
      <c r="Y1712" s="29" t="n"/>
      <c r="Z1712" s="29" t="n"/>
      <c r="AA1712" s="29" t="n"/>
      <c r="AB1712" s="32" t="n"/>
      <c r="AC1712" s="32" t="n"/>
    </row>
    <row r="1713">
      <c r="A1713" s="26" t="inlineStr">
        <is>
          <t>S33</t>
        </is>
      </c>
      <c r="B1713" s="26" t="inlineStr">
        <is>
          <t>문산 신규점</t>
        </is>
      </c>
      <c r="C1713" s="26" t="inlineStr">
        <is>
          <t>S33-H북</t>
        </is>
      </c>
      <c r="D1713" s="47" t="n">
        <v>1</v>
      </c>
      <c r="E1713" s="26" t="inlineStr">
        <is>
          <t>측정</t>
        </is>
      </c>
      <c r="F1713" s="26" t="inlineStr">
        <is>
          <t>북</t>
        </is>
      </c>
      <c r="G1713" s="31" t="n">
        <v>3</v>
      </c>
      <c r="H1713" s="30" t="n"/>
      <c r="I1713" s="43" t="n"/>
      <c r="J1713" s="41" t="n"/>
      <c r="K1713" s="41" t="n"/>
      <c r="L1713" s="41" t="n"/>
      <c r="M1713" s="31">
        <f>IF(COUNT(J1713:L1713)=0,"",MEDIAN(J1713:L1713))</f>
        <v/>
      </c>
      <c r="N1713" s="26">
        <f>IF(COUNTIFS($C:$C,$C1713,$D:$D,$D1713,$E:$E,"P0(전)",$M:$M,"&gt;0")&lt;&gt;1,"P0(전) 유효 1개 아님",IF(COUNTIFS($C:$C,$C1713,$D:$D,$D1713,$E:$E,"P0(후)",$M:$M,"&gt;0")&lt;&gt;1,"P0(후) 유효 1개 아님",IF(NOT(AND(ISNUMBER(O1713),ISNUMBER(Q1713),ISNUMBER(I1713))),"시각 결측",IF(Q1713&lt;=O1713,"P0 시각 역전",IF(OR(I1713&lt;O1713,I1713&gt;Q1713),"측정시각 구간 밖","OK")))))</f>
        <v/>
      </c>
      <c r="O1713" s="48">
        <f>IF(COUNTIFS($C:$C,$C1713,$D:$D,$D1713,$E:$E,"P0(전)",$M:$M,"&gt;0")&lt;&gt;1,"",SUMIFS($I:$I,$C:$C,$C1713,$D:$D,$D1713,$E:$E,"P0(전)"))</f>
        <v/>
      </c>
      <c r="P1713" s="31">
        <f>IF(COUNTIFS($C:$C,$C1713,$D:$D,$D1713,$E:$E,"P0(전)",$M:$M,"&gt;0")&lt;&gt;1,"",SUMIFS($M:$M,$C:$C,$C1713,$D:$D,$D1713,$E:$E,"P0(전)"))</f>
        <v/>
      </c>
      <c r="Q1713" s="48">
        <f>IF(COUNTIFS($C:$C,$C1713,$D:$D,$D1713,$E:$E,"P0(후)",$M:$M,"&gt;0")&lt;&gt;1,"",SUMIFS($I:$I,$C:$C,$C1713,$D:$D,$D1713,$E:$E,"P0(후)"))</f>
        <v/>
      </c>
      <c r="R1713" s="31">
        <f>IF(COUNTIFS($C:$C,$C1713,$D:$D,$D1713,$E:$E,"P0(후)",$M:$M,"&gt;0")&lt;&gt;1,"",SUMIFS($M:$M,$C:$C,$C1713,$D:$D,$D1713,$E:$E,"P0(후)"))</f>
        <v/>
      </c>
      <c r="S1713" s="31">
        <f>IF(N1713&lt;&gt;"OK","",P1713+(R1713-P1713)*(I1713-O1713)/(Q1713-O1713))</f>
        <v/>
      </c>
      <c r="T1713" s="31">
        <f>IF(OR(N1713&lt;&gt;"OK",NOT(ISNUMBER(M1713))),"",M1713-S1713)</f>
        <v/>
      </c>
      <c r="U1713" s="49">
        <f>IF(OR(NOT(ISNUMBER(T1713)),IF(ISNUMBER(H1713),H1713,G1713)=0),"",T1713/IF(ISNUMBER(H1713),H1713,G1713))</f>
        <v/>
      </c>
      <c r="V1713" s="49">
        <f>IF(ISNUMBER(U1713),ABS(U1713),"")</f>
        <v/>
      </c>
      <c r="W1713" s="49">
        <f>IF(OR($E1712&lt;&gt;"측정",$C1712&lt;&gt;$C1713,$D1712&lt;&gt;$D1713,NOT(ISNUMBER(M1713)),NOT(ISNUMBER(M1712)),(IF(ISNUMBER(H1713),H1713,G1713)-IF(ISNUMBER(H1712),H1712,G1712))=0),"",(M1713-M1712)/(IF(ISNUMBER(H1713),H1713,G1713)-IF(ISNUMBER(H1712),H1712,G1712)))</f>
        <v/>
      </c>
      <c r="X1713" s="31">
        <f>IF(NOT(AND(ISNUMBER(O1713),ISNUMBER(Q1713))),"",(Q1713-O1713)*1440)</f>
        <v/>
      </c>
      <c r="Y1713" s="29" t="n"/>
      <c r="Z1713" s="29" t="n"/>
      <c r="AA1713" s="29" t="n"/>
      <c r="AB1713" s="32" t="n"/>
      <c r="AC1713" s="32" t="n"/>
    </row>
    <row r="1714">
      <c r="A1714" s="26" t="inlineStr">
        <is>
          <t>S33</t>
        </is>
      </c>
      <c r="B1714" s="26" t="inlineStr">
        <is>
          <t>문산 신규점</t>
        </is>
      </c>
      <c r="C1714" s="26" t="inlineStr">
        <is>
          <t>S33-H북</t>
        </is>
      </c>
      <c r="D1714" s="47" t="n">
        <v>1</v>
      </c>
      <c r="E1714" s="26" t="inlineStr">
        <is>
          <t>측정</t>
        </is>
      </c>
      <c r="F1714" s="26" t="inlineStr">
        <is>
          <t>북</t>
        </is>
      </c>
      <c r="G1714" s="31" t="n">
        <v>4</v>
      </c>
      <c r="H1714" s="30" t="n"/>
      <c r="I1714" s="43" t="n"/>
      <c r="J1714" s="41" t="n"/>
      <c r="K1714" s="41" t="n"/>
      <c r="L1714" s="41" t="n"/>
      <c r="M1714" s="31">
        <f>IF(COUNT(J1714:L1714)=0,"",MEDIAN(J1714:L1714))</f>
        <v/>
      </c>
      <c r="N1714" s="26">
        <f>IF(COUNTIFS($C:$C,$C1714,$D:$D,$D1714,$E:$E,"P0(전)",$M:$M,"&gt;0")&lt;&gt;1,"P0(전) 유효 1개 아님",IF(COUNTIFS($C:$C,$C1714,$D:$D,$D1714,$E:$E,"P0(후)",$M:$M,"&gt;0")&lt;&gt;1,"P0(후) 유효 1개 아님",IF(NOT(AND(ISNUMBER(O1714),ISNUMBER(Q1714),ISNUMBER(I1714))),"시각 결측",IF(Q1714&lt;=O1714,"P0 시각 역전",IF(OR(I1714&lt;O1714,I1714&gt;Q1714),"측정시각 구간 밖","OK")))))</f>
        <v/>
      </c>
      <c r="O1714" s="48">
        <f>IF(COUNTIFS($C:$C,$C1714,$D:$D,$D1714,$E:$E,"P0(전)",$M:$M,"&gt;0")&lt;&gt;1,"",SUMIFS($I:$I,$C:$C,$C1714,$D:$D,$D1714,$E:$E,"P0(전)"))</f>
        <v/>
      </c>
      <c r="P1714" s="31">
        <f>IF(COUNTIFS($C:$C,$C1714,$D:$D,$D1714,$E:$E,"P0(전)",$M:$M,"&gt;0")&lt;&gt;1,"",SUMIFS($M:$M,$C:$C,$C1714,$D:$D,$D1714,$E:$E,"P0(전)"))</f>
        <v/>
      </c>
      <c r="Q1714" s="48">
        <f>IF(COUNTIFS($C:$C,$C1714,$D:$D,$D1714,$E:$E,"P0(후)",$M:$M,"&gt;0")&lt;&gt;1,"",SUMIFS($I:$I,$C:$C,$C1714,$D:$D,$D1714,$E:$E,"P0(후)"))</f>
        <v/>
      </c>
      <c r="R1714" s="31">
        <f>IF(COUNTIFS($C:$C,$C1714,$D:$D,$D1714,$E:$E,"P0(후)",$M:$M,"&gt;0")&lt;&gt;1,"",SUMIFS($M:$M,$C:$C,$C1714,$D:$D,$D1714,$E:$E,"P0(후)"))</f>
        <v/>
      </c>
      <c r="S1714" s="31">
        <f>IF(N1714&lt;&gt;"OK","",P1714+(R1714-P1714)*(I1714-O1714)/(Q1714-O1714))</f>
        <v/>
      </c>
      <c r="T1714" s="31">
        <f>IF(OR(N1714&lt;&gt;"OK",NOT(ISNUMBER(M1714))),"",M1714-S1714)</f>
        <v/>
      </c>
      <c r="U1714" s="49">
        <f>IF(OR(NOT(ISNUMBER(T1714)),IF(ISNUMBER(H1714),H1714,G1714)=0),"",T1714/IF(ISNUMBER(H1714),H1714,G1714))</f>
        <v/>
      </c>
      <c r="V1714" s="49">
        <f>IF(ISNUMBER(U1714),ABS(U1714),"")</f>
        <v/>
      </c>
      <c r="W1714" s="49">
        <f>IF(OR($E1713&lt;&gt;"측정",$C1713&lt;&gt;$C1714,$D1713&lt;&gt;$D1714,NOT(ISNUMBER(M1714)),NOT(ISNUMBER(M1713)),(IF(ISNUMBER(H1714),H1714,G1714)-IF(ISNUMBER(H1713),H1713,G1713))=0),"",(M1714-M1713)/(IF(ISNUMBER(H1714),H1714,G1714)-IF(ISNUMBER(H1713),H1713,G1713)))</f>
        <v/>
      </c>
      <c r="X1714" s="31">
        <f>IF(NOT(AND(ISNUMBER(O1714),ISNUMBER(Q1714))),"",(Q1714-O1714)*1440)</f>
        <v/>
      </c>
      <c r="Y1714" s="29" t="n"/>
      <c r="Z1714" s="29" t="n"/>
      <c r="AA1714" s="29" t="n"/>
      <c r="AB1714" s="32" t="n"/>
      <c r="AC1714" s="32" t="n"/>
    </row>
    <row r="1715">
      <c r="A1715" s="26" t="inlineStr">
        <is>
          <t>S33</t>
        </is>
      </c>
      <c r="B1715" s="26" t="inlineStr">
        <is>
          <t>문산 신규점</t>
        </is>
      </c>
      <c r="C1715" s="26" t="inlineStr">
        <is>
          <t>S33-H북</t>
        </is>
      </c>
      <c r="D1715" s="47" t="n">
        <v>1</v>
      </c>
      <c r="E1715" s="26" t="inlineStr">
        <is>
          <t>측정</t>
        </is>
      </c>
      <c r="F1715" s="26" t="inlineStr">
        <is>
          <t>북</t>
        </is>
      </c>
      <c r="G1715" s="31" t="n">
        <v>5</v>
      </c>
      <c r="H1715" s="30" t="n"/>
      <c r="I1715" s="43" t="n"/>
      <c r="J1715" s="41" t="n"/>
      <c r="K1715" s="41" t="n"/>
      <c r="L1715" s="41" t="n"/>
      <c r="M1715" s="31">
        <f>IF(COUNT(J1715:L1715)=0,"",MEDIAN(J1715:L1715))</f>
        <v/>
      </c>
      <c r="N1715" s="26">
        <f>IF(COUNTIFS($C:$C,$C1715,$D:$D,$D1715,$E:$E,"P0(전)",$M:$M,"&gt;0")&lt;&gt;1,"P0(전) 유효 1개 아님",IF(COUNTIFS($C:$C,$C1715,$D:$D,$D1715,$E:$E,"P0(후)",$M:$M,"&gt;0")&lt;&gt;1,"P0(후) 유효 1개 아님",IF(NOT(AND(ISNUMBER(O1715),ISNUMBER(Q1715),ISNUMBER(I1715))),"시각 결측",IF(Q1715&lt;=O1715,"P0 시각 역전",IF(OR(I1715&lt;O1715,I1715&gt;Q1715),"측정시각 구간 밖","OK")))))</f>
        <v/>
      </c>
      <c r="O1715" s="48">
        <f>IF(COUNTIFS($C:$C,$C1715,$D:$D,$D1715,$E:$E,"P0(전)",$M:$M,"&gt;0")&lt;&gt;1,"",SUMIFS($I:$I,$C:$C,$C1715,$D:$D,$D1715,$E:$E,"P0(전)"))</f>
        <v/>
      </c>
      <c r="P1715" s="31">
        <f>IF(COUNTIFS($C:$C,$C1715,$D:$D,$D1715,$E:$E,"P0(전)",$M:$M,"&gt;0")&lt;&gt;1,"",SUMIFS($M:$M,$C:$C,$C1715,$D:$D,$D1715,$E:$E,"P0(전)"))</f>
        <v/>
      </c>
      <c r="Q1715" s="48">
        <f>IF(COUNTIFS($C:$C,$C1715,$D:$D,$D1715,$E:$E,"P0(후)",$M:$M,"&gt;0")&lt;&gt;1,"",SUMIFS($I:$I,$C:$C,$C1715,$D:$D,$D1715,$E:$E,"P0(후)"))</f>
        <v/>
      </c>
      <c r="R1715" s="31">
        <f>IF(COUNTIFS($C:$C,$C1715,$D:$D,$D1715,$E:$E,"P0(후)",$M:$M,"&gt;0")&lt;&gt;1,"",SUMIFS($M:$M,$C:$C,$C1715,$D:$D,$D1715,$E:$E,"P0(후)"))</f>
        <v/>
      </c>
      <c r="S1715" s="31">
        <f>IF(N1715&lt;&gt;"OK","",P1715+(R1715-P1715)*(I1715-O1715)/(Q1715-O1715))</f>
        <v/>
      </c>
      <c r="T1715" s="31">
        <f>IF(OR(N1715&lt;&gt;"OK",NOT(ISNUMBER(M1715))),"",M1715-S1715)</f>
        <v/>
      </c>
      <c r="U1715" s="49">
        <f>IF(OR(NOT(ISNUMBER(T1715)),IF(ISNUMBER(H1715),H1715,G1715)=0),"",T1715/IF(ISNUMBER(H1715),H1715,G1715))</f>
        <v/>
      </c>
      <c r="V1715" s="49">
        <f>IF(ISNUMBER(U1715),ABS(U1715),"")</f>
        <v/>
      </c>
      <c r="W1715" s="49">
        <f>IF(OR($E1714&lt;&gt;"측정",$C1714&lt;&gt;$C1715,$D1714&lt;&gt;$D1715,NOT(ISNUMBER(M1715)),NOT(ISNUMBER(M1714)),(IF(ISNUMBER(H1715),H1715,G1715)-IF(ISNUMBER(H1714),H1714,G1714))=0),"",(M1715-M1714)/(IF(ISNUMBER(H1715),H1715,G1715)-IF(ISNUMBER(H1714),H1714,G1714)))</f>
        <v/>
      </c>
      <c r="X1715" s="31">
        <f>IF(NOT(AND(ISNUMBER(O1715),ISNUMBER(Q1715))),"",(Q1715-O1715)*1440)</f>
        <v/>
      </c>
      <c r="Y1715" s="29" t="n"/>
      <c r="Z1715" s="29" t="n"/>
      <c r="AA1715" s="29" t="n"/>
      <c r="AB1715" s="32" t="n"/>
      <c r="AC1715" s="32" t="n"/>
    </row>
    <row r="1716">
      <c r="A1716" s="26" t="inlineStr">
        <is>
          <t>S33</t>
        </is>
      </c>
      <c r="B1716" s="26" t="inlineStr">
        <is>
          <t>문산 신규점</t>
        </is>
      </c>
      <c r="C1716" s="26" t="inlineStr">
        <is>
          <t>S33-H북</t>
        </is>
      </c>
      <c r="D1716" s="47" t="n">
        <v>1</v>
      </c>
      <c r="E1716" s="26" t="inlineStr">
        <is>
          <t>측정</t>
        </is>
      </c>
      <c r="F1716" s="26" t="inlineStr">
        <is>
          <t>북</t>
        </is>
      </c>
      <c r="G1716" s="31" t="n">
        <v>6</v>
      </c>
      <c r="H1716" s="30" t="n"/>
      <c r="I1716" s="43" t="n"/>
      <c r="J1716" s="41" t="n"/>
      <c r="K1716" s="41" t="n"/>
      <c r="L1716" s="41" t="n"/>
      <c r="M1716" s="31">
        <f>IF(COUNT(J1716:L1716)=0,"",MEDIAN(J1716:L1716))</f>
        <v/>
      </c>
      <c r="N1716" s="26">
        <f>IF(COUNTIFS($C:$C,$C1716,$D:$D,$D1716,$E:$E,"P0(전)",$M:$M,"&gt;0")&lt;&gt;1,"P0(전) 유효 1개 아님",IF(COUNTIFS($C:$C,$C1716,$D:$D,$D1716,$E:$E,"P0(후)",$M:$M,"&gt;0")&lt;&gt;1,"P0(후) 유효 1개 아님",IF(NOT(AND(ISNUMBER(O1716),ISNUMBER(Q1716),ISNUMBER(I1716))),"시각 결측",IF(Q1716&lt;=O1716,"P0 시각 역전",IF(OR(I1716&lt;O1716,I1716&gt;Q1716),"측정시각 구간 밖","OK")))))</f>
        <v/>
      </c>
      <c r="O1716" s="48">
        <f>IF(COUNTIFS($C:$C,$C1716,$D:$D,$D1716,$E:$E,"P0(전)",$M:$M,"&gt;0")&lt;&gt;1,"",SUMIFS($I:$I,$C:$C,$C1716,$D:$D,$D1716,$E:$E,"P0(전)"))</f>
        <v/>
      </c>
      <c r="P1716" s="31">
        <f>IF(COUNTIFS($C:$C,$C1716,$D:$D,$D1716,$E:$E,"P0(전)",$M:$M,"&gt;0")&lt;&gt;1,"",SUMIFS($M:$M,$C:$C,$C1716,$D:$D,$D1716,$E:$E,"P0(전)"))</f>
        <v/>
      </c>
      <c r="Q1716" s="48">
        <f>IF(COUNTIFS($C:$C,$C1716,$D:$D,$D1716,$E:$E,"P0(후)",$M:$M,"&gt;0")&lt;&gt;1,"",SUMIFS($I:$I,$C:$C,$C1716,$D:$D,$D1716,$E:$E,"P0(후)"))</f>
        <v/>
      </c>
      <c r="R1716" s="31">
        <f>IF(COUNTIFS($C:$C,$C1716,$D:$D,$D1716,$E:$E,"P0(후)",$M:$M,"&gt;0")&lt;&gt;1,"",SUMIFS($M:$M,$C:$C,$C1716,$D:$D,$D1716,$E:$E,"P0(후)"))</f>
        <v/>
      </c>
      <c r="S1716" s="31">
        <f>IF(N1716&lt;&gt;"OK","",P1716+(R1716-P1716)*(I1716-O1716)/(Q1716-O1716))</f>
        <v/>
      </c>
      <c r="T1716" s="31">
        <f>IF(OR(N1716&lt;&gt;"OK",NOT(ISNUMBER(M1716))),"",M1716-S1716)</f>
        <v/>
      </c>
      <c r="U1716" s="49">
        <f>IF(OR(NOT(ISNUMBER(T1716)),IF(ISNUMBER(H1716),H1716,G1716)=0),"",T1716/IF(ISNUMBER(H1716),H1716,G1716))</f>
        <v/>
      </c>
      <c r="V1716" s="49">
        <f>IF(ISNUMBER(U1716),ABS(U1716),"")</f>
        <v/>
      </c>
      <c r="W1716" s="49">
        <f>IF(OR($E1715&lt;&gt;"측정",$C1715&lt;&gt;$C1716,$D1715&lt;&gt;$D1716,NOT(ISNUMBER(M1716)),NOT(ISNUMBER(M1715)),(IF(ISNUMBER(H1716),H1716,G1716)-IF(ISNUMBER(H1715),H1715,G1715))=0),"",(M1716-M1715)/(IF(ISNUMBER(H1716),H1716,G1716)-IF(ISNUMBER(H1715),H1715,G1715)))</f>
        <v/>
      </c>
      <c r="X1716" s="31">
        <f>IF(NOT(AND(ISNUMBER(O1716),ISNUMBER(Q1716))),"",(Q1716-O1716)*1440)</f>
        <v/>
      </c>
      <c r="Y1716" s="29" t="n"/>
      <c r="Z1716" s="29" t="n"/>
      <c r="AA1716" s="29" t="n"/>
      <c r="AB1716" s="32" t="n"/>
      <c r="AC1716" s="32" t="n"/>
    </row>
    <row r="1717">
      <c r="A1717" s="26" t="inlineStr">
        <is>
          <t>S33</t>
        </is>
      </c>
      <c r="B1717" s="26" t="inlineStr">
        <is>
          <t>문산 신규점</t>
        </is>
      </c>
      <c r="C1717" s="26" t="inlineStr">
        <is>
          <t>S33-H북</t>
        </is>
      </c>
      <c r="D1717" s="47" t="n">
        <v>1</v>
      </c>
      <c r="E1717" s="26" t="inlineStr">
        <is>
          <t>측정</t>
        </is>
      </c>
      <c r="F1717" s="26" t="inlineStr">
        <is>
          <t>북</t>
        </is>
      </c>
      <c r="G1717" s="31" t="n">
        <v>7</v>
      </c>
      <c r="H1717" s="30" t="n"/>
      <c r="I1717" s="43" t="n"/>
      <c r="J1717" s="41" t="n"/>
      <c r="K1717" s="41" t="n"/>
      <c r="L1717" s="41" t="n"/>
      <c r="M1717" s="31">
        <f>IF(COUNT(J1717:L1717)=0,"",MEDIAN(J1717:L1717))</f>
        <v/>
      </c>
      <c r="N1717" s="26">
        <f>IF(COUNTIFS($C:$C,$C1717,$D:$D,$D1717,$E:$E,"P0(전)",$M:$M,"&gt;0")&lt;&gt;1,"P0(전) 유효 1개 아님",IF(COUNTIFS($C:$C,$C1717,$D:$D,$D1717,$E:$E,"P0(후)",$M:$M,"&gt;0")&lt;&gt;1,"P0(후) 유효 1개 아님",IF(NOT(AND(ISNUMBER(O1717),ISNUMBER(Q1717),ISNUMBER(I1717))),"시각 결측",IF(Q1717&lt;=O1717,"P0 시각 역전",IF(OR(I1717&lt;O1717,I1717&gt;Q1717),"측정시각 구간 밖","OK")))))</f>
        <v/>
      </c>
      <c r="O1717" s="48">
        <f>IF(COUNTIFS($C:$C,$C1717,$D:$D,$D1717,$E:$E,"P0(전)",$M:$M,"&gt;0")&lt;&gt;1,"",SUMIFS($I:$I,$C:$C,$C1717,$D:$D,$D1717,$E:$E,"P0(전)"))</f>
        <v/>
      </c>
      <c r="P1717" s="31">
        <f>IF(COUNTIFS($C:$C,$C1717,$D:$D,$D1717,$E:$E,"P0(전)",$M:$M,"&gt;0")&lt;&gt;1,"",SUMIFS($M:$M,$C:$C,$C1717,$D:$D,$D1717,$E:$E,"P0(전)"))</f>
        <v/>
      </c>
      <c r="Q1717" s="48">
        <f>IF(COUNTIFS($C:$C,$C1717,$D:$D,$D1717,$E:$E,"P0(후)",$M:$M,"&gt;0")&lt;&gt;1,"",SUMIFS($I:$I,$C:$C,$C1717,$D:$D,$D1717,$E:$E,"P0(후)"))</f>
        <v/>
      </c>
      <c r="R1717" s="31">
        <f>IF(COUNTIFS($C:$C,$C1717,$D:$D,$D1717,$E:$E,"P0(후)",$M:$M,"&gt;0")&lt;&gt;1,"",SUMIFS($M:$M,$C:$C,$C1717,$D:$D,$D1717,$E:$E,"P0(후)"))</f>
        <v/>
      </c>
      <c r="S1717" s="31">
        <f>IF(N1717&lt;&gt;"OK","",P1717+(R1717-P1717)*(I1717-O1717)/(Q1717-O1717))</f>
        <v/>
      </c>
      <c r="T1717" s="31">
        <f>IF(OR(N1717&lt;&gt;"OK",NOT(ISNUMBER(M1717))),"",M1717-S1717)</f>
        <v/>
      </c>
      <c r="U1717" s="49">
        <f>IF(OR(NOT(ISNUMBER(T1717)),IF(ISNUMBER(H1717),H1717,G1717)=0),"",T1717/IF(ISNUMBER(H1717),H1717,G1717))</f>
        <v/>
      </c>
      <c r="V1717" s="49">
        <f>IF(ISNUMBER(U1717),ABS(U1717),"")</f>
        <v/>
      </c>
      <c r="W1717" s="49">
        <f>IF(OR($E1716&lt;&gt;"측정",$C1716&lt;&gt;$C1717,$D1716&lt;&gt;$D1717,NOT(ISNUMBER(M1717)),NOT(ISNUMBER(M1716)),(IF(ISNUMBER(H1717),H1717,G1717)-IF(ISNUMBER(H1716),H1716,G1716))=0),"",(M1717-M1716)/(IF(ISNUMBER(H1717),H1717,G1717)-IF(ISNUMBER(H1716),H1716,G1716)))</f>
        <v/>
      </c>
      <c r="X1717" s="31">
        <f>IF(NOT(AND(ISNUMBER(O1717),ISNUMBER(Q1717))),"",(Q1717-O1717)*1440)</f>
        <v/>
      </c>
      <c r="Y1717" s="29" t="n"/>
      <c r="Z1717" s="29" t="n"/>
      <c r="AA1717" s="29" t="n"/>
      <c r="AB1717" s="32" t="n"/>
      <c r="AC1717" s="32" t="n"/>
    </row>
    <row r="1718">
      <c r="A1718" s="26" t="inlineStr">
        <is>
          <t>S33</t>
        </is>
      </c>
      <c r="B1718" s="26" t="inlineStr">
        <is>
          <t>문산 신규점</t>
        </is>
      </c>
      <c r="C1718" s="26" t="inlineStr">
        <is>
          <t>S33-H북</t>
        </is>
      </c>
      <c r="D1718" s="47" t="n">
        <v>1</v>
      </c>
      <c r="E1718" s="26" t="inlineStr">
        <is>
          <t>측정</t>
        </is>
      </c>
      <c r="F1718" s="26" t="inlineStr">
        <is>
          <t>북</t>
        </is>
      </c>
      <c r="G1718" s="31" t="n">
        <v>8</v>
      </c>
      <c r="H1718" s="30" t="n"/>
      <c r="I1718" s="43" t="n"/>
      <c r="J1718" s="41" t="n"/>
      <c r="K1718" s="41" t="n"/>
      <c r="L1718" s="41" t="n"/>
      <c r="M1718" s="31">
        <f>IF(COUNT(J1718:L1718)=0,"",MEDIAN(J1718:L1718))</f>
        <v/>
      </c>
      <c r="N1718" s="26">
        <f>IF(COUNTIFS($C:$C,$C1718,$D:$D,$D1718,$E:$E,"P0(전)",$M:$M,"&gt;0")&lt;&gt;1,"P0(전) 유효 1개 아님",IF(COUNTIFS($C:$C,$C1718,$D:$D,$D1718,$E:$E,"P0(후)",$M:$M,"&gt;0")&lt;&gt;1,"P0(후) 유효 1개 아님",IF(NOT(AND(ISNUMBER(O1718),ISNUMBER(Q1718),ISNUMBER(I1718))),"시각 결측",IF(Q1718&lt;=O1718,"P0 시각 역전",IF(OR(I1718&lt;O1718,I1718&gt;Q1718),"측정시각 구간 밖","OK")))))</f>
        <v/>
      </c>
      <c r="O1718" s="48">
        <f>IF(COUNTIFS($C:$C,$C1718,$D:$D,$D1718,$E:$E,"P0(전)",$M:$M,"&gt;0")&lt;&gt;1,"",SUMIFS($I:$I,$C:$C,$C1718,$D:$D,$D1718,$E:$E,"P0(전)"))</f>
        <v/>
      </c>
      <c r="P1718" s="31">
        <f>IF(COUNTIFS($C:$C,$C1718,$D:$D,$D1718,$E:$E,"P0(전)",$M:$M,"&gt;0")&lt;&gt;1,"",SUMIFS($M:$M,$C:$C,$C1718,$D:$D,$D1718,$E:$E,"P0(전)"))</f>
        <v/>
      </c>
      <c r="Q1718" s="48">
        <f>IF(COUNTIFS($C:$C,$C1718,$D:$D,$D1718,$E:$E,"P0(후)",$M:$M,"&gt;0")&lt;&gt;1,"",SUMIFS($I:$I,$C:$C,$C1718,$D:$D,$D1718,$E:$E,"P0(후)"))</f>
        <v/>
      </c>
      <c r="R1718" s="31">
        <f>IF(COUNTIFS($C:$C,$C1718,$D:$D,$D1718,$E:$E,"P0(후)",$M:$M,"&gt;0")&lt;&gt;1,"",SUMIFS($M:$M,$C:$C,$C1718,$D:$D,$D1718,$E:$E,"P0(후)"))</f>
        <v/>
      </c>
      <c r="S1718" s="31">
        <f>IF(N1718&lt;&gt;"OK","",P1718+(R1718-P1718)*(I1718-O1718)/(Q1718-O1718))</f>
        <v/>
      </c>
      <c r="T1718" s="31">
        <f>IF(OR(N1718&lt;&gt;"OK",NOT(ISNUMBER(M1718))),"",M1718-S1718)</f>
        <v/>
      </c>
      <c r="U1718" s="49">
        <f>IF(OR(NOT(ISNUMBER(T1718)),IF(ISNUMBER(H1718),H1718,G1718)=0),"",T1718/IF(ISNUMBER(H1718),H1718,G1718))</f>
        <v/>
      </c>
      <c r="V1718" s="49">
        <f>IF(ISNUMBER(U1718),ABS(U1718),"")</f>
        <v/>
      </c>
      <c r="W1718" s="49">
        <f>IF(OR($E1717&lt;&gt;"측정",$C1717&lt;&gt;$C1718,$D1717&lt;&gt;$D1718,NOT(ISNUMBER(M1718)),NOT(ISNUMBER(M1717)),(IF(ISNUMBER(H1718),H1718,G1718)-IF(ISNUMBER(H1717),H1717,G1717))=0),"",(M1718-M1717)/(IF(ISNUMBER(H1718),H1718,G1718)-IF(ISNUMBER(H1717),H1717,G1717)))</f>
        <v/>
      </c>
      <c r="X1718" s="31">
        <f>IF(NOT(AND(ISNUMBER(O1718),ISNUMBER(Q1718))),"",(Q1718-O1718)*1440)</f>
        <v/>
      </c>
      <c r="Y1718" s="29" t="n"/>
      <c r="Z1718" s="29" t="n"/>
      <c r="AA1718" s="29" t="n"/>
      <c r="AB1718" s="32" t="n"/>
      <c r="AC1718" s="32" t="n"/>
    </row>
    <row r="1719">
      <c r="A1719" s="26" t="inlineStr">
        <is>
          <t>S33</t>
        </is>
      </c>
      <c r="B1719" s="26" t="inlineStr">
        <is>
          <t>문산 신규점</t>
        </is>
      </c>
      <c r="C1719" s="26" t="inlineStr">
        <is>
          <t>S33-H북</t>
        </is>
      </c>
      <c r="D1719" s="47" t="n">
        <v>1</v>
      </c>
      <c r="E1719" s="26" t="inlineStr">
        <is>
          <t>측정</t>
        </is>
      </c>
      <c r="F1719" s="26" t="inlineStr">
        <is>
          <t>북</t>
        </is>
      </c>
      <c r="G1719" s="31" t="n">
        <v>9</v>
      </c>
      <c r="H1719" s="30" t="n"/>
      <c r="I1719" s="43" t="n"/>
      <c r="J1719" s="41" t="n"/>
      <c r="K1719" s="41" t="n"/>
      <c r="L1719" s="41" t="n"/>
      <c r="M1719" s="31">
        <f>IF(COUNT(J1719:L1719)=0,"",MEDIAN(J1719:L1719))</f>
        <v/>
      </c>
      <c r="N1719" s="26">
        <f>IF(COUNTIFS($C:$C,$C1719,$D:$D,$D1719,$E:$E,"P0(전)",$M:$M,"&gt;0")&lt;&gt;1,"P0(전) 유효 1개 아님",IF(COUNTIFS($C:$C,$C1719,$D:$D,$D1719,$E:$E,"P0(후)",$M:$M,"&gt;0")&lt;&gt;1,"P0(후) 유효 1개 아님",IF(NOT(AND(ISNUMBER(O1719),ISNUMBER(Q1719),ISNUMBER(I1719))),"시각 결측",IF(Q1719&lt;=O1719,"P0 시각 역전",IF(OR(I1719&lt;O1719,I1719&gt;Q1719),"측정시각 구간 밖","OK")))))</f>
        <v/>
      </c>
      <c r="O1719" s="48">
        <f>IF(COUNTIFS($C:$C,$C1719,$D:$D,$D1719,$E:$E,"P0(전)",$M:$M,"&gt;0")&lt;&gt;1,"",SUMIFS($I:$I,$C:$C,$C1719,$D:$D,$D1719,$E:$E,"P0(전)"))</f>
        <v/>
      </c>
      <c r="P1719" s="31">
        <f>IF(COUNTIFS($C:$C,$C1719,$D:$D,$D1719,$E:$E,"P0(전)",$M:$M,"&gt;0")&lt;&gt;1,"",SUMIFS($M:$M,$C:$C,$C1719,$D:$D,$D1719,$E:$E,"P0(전)"))</f>
        <v/>
      </c>
      <c r="Q1719" s="48">
        <f>IF(COUNTIFS($C:$C,$C1719,$D:$D,$D1719,$E:$E,"P0(후)",$M:$M,"&gt;0")&lt;&gt;1,"",SUMIFS($I:$I,$C:$C,$C1719,$D:$D,$D1719,$E:$E,"P0(후)"))</f>
        <v/>
      </c>
      <c r="R1719" s="31">
        <f>IF(COUNTIFS($C:$C,$C1719,$D:$D,$D1719,$E:$E,"P0(후)",$M:$M,"&gt;0")&lt;&gt;1,"",SUMIFS($M:$M,$C:$C,$C1719,$D:$D,$D1719,$E:$E,"P0(후)"))</f>
        <v/>
      </c>
      <c r="S1719" s="31">
        <f>IF(N1719&lt;&gt;"OK","",P1719+(R1719-P1719)*(I1719-O1719)/(Q1719-O1719))</f>
        <v/>
      </c>
      <c r="T1719" s="31">
        <f>IF(OR(N1719&lt;&gt;"OK",NOT(ISNUMBER(M1719))),"",M1719-S1719)</f>
        <v/>
      </c>
      <c r="U1719" s="49">
        <f>IF(OR(NOT(ISNUMBER(T1719)),IF(ISNUMBER(H1719),H1719,G1719)=0),"",T1719/IF(ISNUMBER(H1719),H1719,G1719))</f>
        <v/>
      </c>
      <c r="V1719" s="49">
        <f>IF(ISNUMBER(U1719),ABS(U1719),"")</f>
        <v/>
      </c>
      <c r="W1719" s="49">
        <f>IF(OR($E1718&lt;&gt;"측정",$C1718&lt;&gt;$C1719,$D1718&lt;&gt;$D1719,NOT(ISNUMBER(M1719)),NOT(ISNUMBER(M1718)),(IF(ISNUMBER(H1719),H1719,G1719)-IF(ISNUMBER(H1718),H1718,G1718))=0),"",(M1719-M1718)/(IF(ISNUMBER(H1719),H1719,G1719)-IF(ISNUMBER(H1718),H1718,G1718)))</f>
        <v/>
      </c>
      <c r="X1719" s="31">
        <f>IF(NOT(AND(ISNUMBER(O1719),ISNUMBER(Q1719))),"",(Q1719-O1719)*1440)</f>
        <v/>
      </c>
      <c r="Y1719" s="29" t="n"/>
      <c r="Z1719" s="29" t="n"/>
      <c r="AA1719" s="29" t="n"/>
      <c r="AB1719" s="32" t="n"/>
      <c r="AC1719" s="32" t="n"/>
    </row>
    <row r="1720">
      <c r="A1720" s="26" t="inlineStr">
        <is>
          <t>S33</t>
        </is>
      </c>
      <c r="B1720" s="26" t="inlineStr">
        <is>
          <t>문산 신규점</t>
        </is>
      </c>
      <c r="C1720" s="26" t="inlineStr">
        <is>
          <t>S33-H북</t>
        </is>
      </c>
      <c r="D1720" s="47" t="n">
        <v>1</v>
      </c>
      <c r="E1720" s="26" t="inlineStr">
        <is>
          <t>측정</t>
        </is>
      </c>
      <c r="F1720" s="26" t="inlineStr">
        <is>
          <t>북</t>
        </is>
      </c>
      <c r="G1720" s="31" t="n">
        <v>10</v>
      </c>
      <c r="H1720" s="30" t="n"/>
      <c r="I1720" s="43" t="n"/>
      <c r="J1720" s="41" t="n"/>
      <c r="K1720" s="41" t="n"/>
      <c r="L1720" s="41" t="n"/>
      <c r="M1720" s="31">
        <f>IF(COUNT(J1720:L1720)=0,"",MEDIAN(J1720:L1720))</f>
        <v/>
      </c>
      <c r="N1720" s="26">
        <f>IF(COUNTIFS($C:$C,$C1720,$D:$D,$D1720,$E:$E,"P0(전)",$M:$M,"&gt;0")&lt;&gt;1,"P0(전) 유효 1개 아님",IF(COUNTIFS($C:$C,$C1720,$D:$D,$D1720,$E:$E,"P0(후)",$M:$M,"&gt;0")&lt;&gt;1,"P0(후) 유효 1개 아님",IF(NOT(AND(ISNUMBER(O1720),ISNUMBER(Q1720),ISNUMBER(I1720))),"시각 결측",IF(Q1720&lt;=O1720,"P0 시각 역전",IF(OR(I1720&lt;O1720,I1720&gt;Q1720),"측정시각 구간 밖","OK")))))</f>
        <v/>
      </c>
      <c r="O1720" s="48">
        <f>IF(COUNTIFS($C:$C,$C1720,$D:$D,$D1720,$E:$E,"P0(전)",$M:$M,"&gt;0")&lt;&gt;1,"",SUMIFS($I:$I,$C:$C,$C1720,$D:$D,$D1720,$E:$E,"P0(전)"))</f>
        <v/>
      </c>
      <c r="P1720" s="31">
        <f>IF(COUNTIFS($C:$C,$C1720,$D:$D,$D1720,$E:$E,"P0(전)",$M:$M,"&gt;0")&lt;&gt;1,"",SUMIFS($M:$M,$C:$C,$C1720,$D:$D,$D1720,$E:$E,"P0(전)"))</f>
        <v/>
      </c>
      <c r="Q1720" s="48">
        <f>IF(COUNTIFS($C:$C,$C1720,$D:$D,$D1720,$E:$E,"P0(후)",$M:$M,"&gt;0")&lt;&gt;1,"",SUMIFS($I:$I,$C:$C,$C1720,$D:$D,$D1720,$E:$E,"P0(후)"))</f>
        <v/>
      </c>
      <c r="R1720" s="31">
        <f>IF(COUNTIFS($C:$C,$C1720,$D:$D,$D1720,$E:$E,"P0(후)",$M:$M,"&gt;0")&lt;&gt;1,"",SUMIFS($M:$M,$C:$C,$C1720,$D:$D,$D1720,$E:$E,"P0(후)"))</f>
        <v/>
      </c>
      <c r="S1720" s="31">
        <f>IF(N1720&lt;&gt;"OK","",P1720+(R1720-P1720)*(I1720-O1720)/(Q1720-O1720))</f>
        <v/>
      </c>
      <c r="T1720" s="31">
        <f>IF(OR(N1720&lt;&gt;"OK",NOT(ISNUMBER(M1720))),"",M1720-S1720)</f>
        <v/>
      </c>
      <c r="U1720" s="49">
        <f>IF(OR(NOT(ISNUMBER(T1720)),IF(ISNUMBER(H1720),H1720,G1720)=0),"",T1720/IF(ISNUMBER(H1720),H1720,G1720))</f>
        <v/>
      </c>
      <c r="V1720" s="49">
        <f>IF(ISNUMBER(U1720),ABS(U1720),"")</f>
        <v/>
      </c>
      <c r="W1720" s="49">
        <f>IF(OR($E1719&lt;&gt;"측정",$C1719&lt;&gt;$C1720,$D1719&lt;&gt;$D1720,NOT(ISNUMBER(M1720)),NOT(ISNUMBER(M1719)),(IF(ISNUMBER(H1720),H1720,G1720)-IF(ISNUMBER(H1719),H1719,G1719))=0),"",(M1720-M1719)/(IF(ISNUMBER(H1720),H1720,G1720)-IF(ISNUMBER(H1719),H1719,G1719)))</f>
        <v/>
      </c>
      <c r="X1720" s="31">
        <f>IF(NOT(AND(ISNUMBER(O1720),ISNUMBER(Q1720))),"",(Q1720-O1720)*1440)</f>
        <v/>
      </c>
      <c r="Y1720" s="29" t="n"/>
      <c r="Z1720" s="29" t="n"/>
      <c r="AA1720" s="29" t="n"/>
      <c r="AB1720" s="32" t="n"/>
      <c r="AC1720" s="32" t="n"/>
    </row>
    <row r="1721">
      <c r="A1721" s="44" t="inlineStr">
        <is>
          <t>S33</t>
        </is>
      </c>
      <c r="B1721" s="44" t="inlineStr">
        <is>
          <t>문산 신규점</t>
        </is>
      </c>
      <c r="C1721" s="44" t="inlineStr">
        <is>
          <t>S33-H북</t>
        </is>
      </c>
      <c r="D1721" s="45" t="n">
        <v>1</v>
      </c>
      <c r="E1721" s="44" t="inlineStr">
        <is>
          <t>P0(후)</t>
        </is>
      </c>
      <c r="F1721" s="44" t="inlineStr">
        <is>
          <t>북</t>
        </is>
      </c>
      <c r="G1721" s="46" t="n"/>
      <c r="H1721" s="30" t="n"/>
      <c r="I1721" s="43" t="n"/>
      <c r="J1721" s="41" t="n"/>
      <c r="K1721" s="41" t="n"/>
      <c r="L1721" s="41" t="n"/>
      <c r="M1721" s="31">
        <f>IF(COUNT(J1721:L1721)=0,"",MEDIAN(J1721:L1721))</f>
        <v/>
      </c>
      <c r="N1721" s="38" t="n"/>
      <c r="O1721" s="38" t="n"/>
      <c r="P1721" s="38" t="n"/>
      <c r="Q1721" s="38" t="n"/>
      <c r="R1721" s="38" t="n"/>
      <c r="S1721" s="38" t="n"/>
      <c r="T1721" s="38" t="n"/>
      <c r="U1721" s="38" t="n"/>
      <c r="V1721" s="38" t="n"/>
      <c r="W1721" s="38" t="n"/>
      <c r="X1721" s="38" t="n"/>
      <c r="Y1721" s="29" t="n"/>
      <c r="Z1721" s="29" t="n"/>
      <c r="AA1721" s="29" t="n"/>
      <c r="AB1721" s="32" t="n"/>
      <c r="AC1721" s="32" t="n"/>
    </row>
    <row r="1722">
      <c r="A1722" s="44" t="inlineStr">
        <is>
          <t>S34</t>
        </is>
      </c>
      <c r="B1722" s="44" t="inlineStr">
        <is>
          <t>부안 신규점</t>
        </is>
      </c>
      <c r="C1722" s="44" t="inlineStr">
        <is>
          <t>S34-H동</t>
        </is>
      </c>
      <c r="D1722" s="45" t="n">
        <v>1</v>
      </c>
      <c r="E1722" s="44" t="inlineStr">
        <is>
          <t>P0(전)</t>
        </is>
      </c>
      <c r="F1722" s="44" t="inlineStr">
        <is>
          <t>동</t>
        </is>
      </c>
      <c r="G1722" s="46" t="n"/>
      <c r="H1722" s="30" t="n"/>
      <c r="I1722" s="43" t="n"/>
      <c r="J1722" s="41" t="n"/>
      <c r="K1722" s="41" t="n"/>
      <c r="L1722" s="41" t="n"/>
      <c r="M1722" s="31">
        <f>IF(COUNT(J1722:L1722)=0,"",MEDIAN(J1722:L1722))</f>
        <v/>
      </c>
      <c r="N1722" s="38" t="n"/>
      <c r="O1722" s="38" t="n"/>
      <c r="P1722" s="38" t="n"/>
      <c r="Q1722" s="38" t="n"/>
      <c r="R1722" s="38" t="n"/>
      <c r="S1722" s="38" t="n"/>
      <c r="T1722" s="38" t="n"/>
      <c r="U1722" s="38" t="n"/>
      <c r="V1722" s="38" t="n"/>
      <c r="W1722" s="38" t="n"/>
      <c r="X1722" s="38" t="n"/>
      <c r="Y1722" s="29" t="n"/>
      <c r="Z1722" s="29" t="n"/>
      <c r="AA1722" s="29" t="n"/>
      <c r="AB1722" s="32" t="n"/>
      <c r="AC1722" s="32" t="n"/>
    </row>
    <row r="1723">
      <c r="A1723" s="26" t="inlineStr">
        <is>
          <t>S34</t>
        </is>
      </c>
      <c r="B1723" s="26" t="inlineStr">
        <is>
          <t>부안 신규점</t>
        </is>
      </c>
      <c r="C1723" s="26" t="inlineStr">
        <is>
          <t>S34-H동</t>
        </is>
      </c>
      <c r="D1723" s="47" t="n">
        <v>1</v>
      </c>
      <c r="E1723" s="26" t="inlineStr">
        <is>
          <t>측정</t>
        </is>
      </c>
      <c r="F1723" s="26" t="inlineStr">
        <is>
          <t>동</t>
        </is>
      </c>
      <c r="G1723" s="31" t="n">
        <v>0.5</v>
      </c>
      <c r="H1723" s="30" t="n"/>
      <c r="I1723" s="43" t="n"/>
      <c r="J1723" s="41" t="n"/>
      <c r="K1723" s="41" t="n"/>
      <c r="L1723" s="41" t="n"/>
      <c r="M1723" s="31">
        <f>IF(COUNT(J1723:L1723)=0,"",MEDIAN(J1723:L1723))</f>
        <v/>
      </c>
      <c r="N1723" s="26">
        <f>IF(COUNTIFS($C:$C,$C1723,$D:$D,$D1723,$E:$E,"P0(전)",$M:$M,"&gt;0")&lt;&gt;1,"P0(전) 유효 1개 아님",IF(COUNTIFS($C:$C,$C1723,$D:$D,$D1723,$E:$E,"P0(후)",$M:$M,"&gt;0")&lt;&gt;1,"P0(후) 유효 1개 아님",IF(NOT(AND(ISNUMBER(O1723),ISNUMBER(Q1723),ISNUMBER(I1723))),"시각 결측",IF(Q1723&lt;=O1723,"P0 시각 역전",IF(OR(I1723&lt;O1723,I1723&gt;Q1723),"측정시각 구간 밖","OK")))))</f>
        <v/>
      </c>
      <c r="O1723" s="48">
        <f>IF(COUNTIFS($C:$C,$C1723,$D:$D,$D1723,$E:$E,"P0(전)",$M:$M,"&gt;0")&lt;&gt;1,"",SUMIFS($I:$I,$C:$C,$C1723,$D:$D,$D1723,$E:$E,"P0(전)"))</f>
        <v/>
      </c>
      <c r="P1723" s="31">
        <f>IF(COUNTIFS($C:$C,$C1723,$D:$D,$D1723,$E:$E,"P0(전)",$M:$M,"&gt;0")&lt;&gt;1,"",SUMIFS($M:$M,$C:$C,$C1723,$D:$D,$D1723,$E:$E,"P0(전)"))</f>
        <v/>
      </c>
      <c r="Q1723" s="48">
        <f>IF(COUNTIFS($C:$C,$C1723,$D:$D,$D1723,$E:$E,"P0(후)",$M:$M,"&gt;0")&lt;&gt;1,"",SUMIFS($I:$I,$C:$C,$C1723,$D:$D,$D1723,$E:$E,"P0(후)"))</f>
        <v/>
      </c>
      <c r="R1723" s="31">
        <f>IF(COUNTIFS($C:$C,$C1723,$D:$D,$D1723,$E:$E,"P0(후)",$M:$M,"&gt;0")&lt;&gt;1,"",SUMIFS($M:$M,$C:$C,$C1723,$D:$D,$D1723,$E:$E,"P0(후)"))</f>
        <v/>
      </c>
      <c r="S1723" s="31">
        <f>IF(N1723&lt;&gt;"OK","",P1723+(R1723-P1723)*(I1723-O1723)/(Q1723-O1723))</f>
        <v/>
      </c>
      <c r="T1723" s="31">
        <f>IF(OR(N1723&lt;&gt;"OK",NOT(ISNUMBER(M1723))),"",M1723-S1723)</f>
        <v/>
      </c>
      <c r="U1723" s="49">
        <f>IF(OR(NOT(ISNUMBER(T1723)),IF(ISNUMBER(H1723),H1723,G1723)=0),"",T1723/IF(ISNUMBER(H1723),H1723,G1723))</f>
        <v/>
      </c>
      <c r="V1723" s="49">
        <f>IF(ISNUMBER(U1723),ABS(U1723),"")</f>
        <v/>
      </c>
      <c r="W1723" s="49">
        <f>IF(OR($E1722&lt;&gt;"측정",$C1722&lt;&gt;$C1723,$D1722&lt;&gt;$D1723,NOT(ISNUMBER(M1723)),NOT(ISNUMBER(M1722)),(IF(ISNUMBER(H1723),H1723,G1723)-IF(ISNUMBER(H1722),H1722,G1722))=0),"",(M1723-M1722)/(IF(ISNUMBER(H1723),H1723,G1723)-IF(ISNUMBER(H1722),H1722,G1722)))</f>
        <v/>
      </c>
      <c r="X1723" s="31">
        <f>IF(NOT(AND(ISNUMBER(O1723),ISNUMBER(Q1723))),"",(Q1723-O1723)*1440)</f>
        <v/>
      </c>
      <c r="Y1723" s="29" t="n"/>
      <c r="Z1723" s="29" t="n"/>
      <c r="AA1723" s="29" t="n"/>
      <c r="AB1723" s="32" t="n"/>
      <c r="AC1723" s="32" t="n"/>
    </row>
    <row r="1724">
      <c r="A1724" s="26" t="inlineStr">
        <is>
          <t>S34</t>
        </is>
      </c>
      <c r="B1724" s="26" t="inlineStr">
        <is>
          <t>부안 신규점</t>
        </is>
      </c>
      <c r="C1724" s="26" t="inlineStr">
        <is>
          <t>S34-H동</t>
        </is>
      </c>
      <c r="D1724" s="47" t="n">
        <v>1</v>
      </c>
      <c r="E1724" s="26" t="inlineStr">
        <is>
          <t>측정</t>
        </is>
      </c>
      <c r="F1724" s="26" t="inlineStr">
        <is>
          <t>동</t>
        </is>
      </c>
      <c r="G1724" s="31" t="n">
        <v>1</v>
      </c>
      <c r="H1724" s="30" t="n"/>
      <c r="I1724" s="43" t="n"/>
      <c r="J1724" s="41" t="n"/>
      <c r="K1724" s="41" t="n"/>
      <c r="L1724" s="41" t="n"/>
      <c r="M1724" s="31">
        <f>IF(COUNT(J1724:L1724)=0,"",MEDIAN(J1724:L1724))</f>
        <v/>
      </c>
      <c r="N1724" s="26">
        <f>IF(COUNTIFS($C:$C,$C1724,$D:$D,$D1724,$E:$E,"P0(전)",$M:$M,"&gt;0")&lt;&gt;1,"P0(전) 유효 1개 아님",IF(COUNTIFS($C:$C,$C1724,$D:$D,$D1724,$E:$E,"P0(후)",$M:$M,"&gt;0")&lt;&gt;1,"P0(후) 유효 1개 아님",IF(NOT(AND(ISNUMBER(O1724),ISNUMBER(Q1724),ISNUMBER(I1724))),"시각 결측",IF(Q1724&lt;=O1724,"P0 시각 역전",IF(OR(I1724&lt;O1724,I1724&gt;Q1724),"측정시각 구간 밖","OK")))))</f>
        <v/>
      </c>
      <c r="O1724" s="48">
        <f>IF(COUNTIFS($C:$C,$C1724,$D:$D,$D1724,$E:$E,"P0(전)",$M:$M,"&gt;0")&lt;&gt;1,"",SUMIFS($I:$I,$C:$C,$C1724,$D:$D,$D1724,$E:$E,"P0(전)"))</f>
        <v/>
      </c>
      <c r="P1724" s="31">
        <f>IF(COUNTIFS($C:$C,$C1724,$D:$D,$D1724,$E:$E,"P0(전)",$M:$M,"&gt;0")&lt;&gt;1,"",SUMIFS($M:$M,$C:$C,$C1724,$D:$D,$D1724,$E:$E,"P0(전)"))</f>
        <v/>
      </c>
      <c r="Q1724" s="48">
        <f>IF(COUNTIFS($C:$C,$C1724,$D:$D,$D1724,$E:$E,"P0(후)",$M:$M,"&gt;0")&lt;&gt;1,"",SUMIFS($I:$I,$C:$C,$C1724,$D:$D,$D1724,$E:$E,"P0(후)"))</f>
        <v/>
      </c>
      <c r="R1724" s="31">
        <f>IF(COUNTIFS($C:$C,$C1724,$D:$D,$D1724,$E:$E,"P0(후)",$M:$M,"&gt;0")&lt;&gt;1,"",SUMIFS($M:$M,$C:$C,$C1724,$D:$D,$D1724,$E:$E,"P0(후)"))</f>
        <v/>
      </c>
      <c r="S1724" s="31">
        <f>IF(N1724&lt;&gt;"OK","",P1724+(R1724-P1724)*(I1724-O1724)/(Q1724-O1724))</f>
        <v/>
      </c>
      <c r="T1724" s="31">
        <f>IF(OR(N1724&lt;&gt;"OK",NOT(ISNUMBER(M1724))),"",M1724-S1724)</f>
        <v/>
      </c>
      <c r="U1724" s="49">
        <f>IF(OR(NOT(ISNUMBER(T1724)),IF(ISNUMBER(H1724),H1724,G1724)=0),"",T1724/IF(ISNUMBER(H1724),H1724,G1724))</f>
        <v/>
      </c>
      <c r="V1724" s="49">
        <f>IF(ISNUMBER(U1724),ABS(U1724),"")</f>
        <v/>
      </c>
      <c r="W1724" s="49">
        <f>IF(OR($E1723&lt;&gt;"측정",$C1723&lt;&gt;$C1724,$D1723&lt;&gt;$D1724,NOT(ISNUMBER(M1724)),NOT(ISNUMBER(M1723)),(IF(ISNUMBER(H1724),H1724,G1724)-IF(ISNUMBER(H1723),H1723,G1723))=0),"",(M1724-M1723)/(IF(ISNUMBER(H1724),H1724,G1724)-IF(ISNUMBER(H1723),H1723,G1723)))</f>
        <v/>
      </c>
      <c r="X1724" s="31">
        <f>IF(NOT(AND(ISNUMBER(O1724),ISNUMBER(Q1724))),"",(Q1724-O1724)*1440)</f>
        <v/>
      </c>
      <c r="Y1724" s="29" t="n"/>
      <c r="Z1724" s="29" t="n"/>
      <c r="AA1724" s="29" t="n"/>
      <c r="AB1724" s="32" t="n"/>
      <c r="AC1724" s="32" t="n"/>
    </row>
    <row r="1725">
      <c r="A1725" s="26" t="inlineStr">
        <is>
          <t>S34</t>
        </is>
      </c>
      <c r="B1725" s="26" t="inlineStr">
        <is>
          <t>부안 신규점</t>
        </is>
      </c>
      <c r="C1725" s="26" t="inlineStr">
        <is>
          <t>S34-H동</t>
        </is>
      </c>
      <c r="D1725" s="47" t="n">
        <v>1</v>
      </c>
      <c r="E1725" s="26" t="inlineStr">
        <is>
          <t>측정</t>
        </is>
      </c>
      <c r="F1725" s="26" t="inlineStr">
        <is>
          <t>동</t>
        </is>
      </c>
      <c r="G1725" s="31" t="n">
        <v>2</v>
      </c>
      <c r="H1725" s="30" t="n"/>
      <c r="I1725" s="43" t="n"/>
      <c r="J1725" s="41" t="n"/>
      <c r="K1725" s="41" t="n"/>
      <c r="L1725" s="41" t="n"/>
      <c r="M1725" s="31">
        <f>IF(COUNT(J1725:L1725)=0,"",MEDIAN(J1725:L1725))</f>
        <v/>
      </c>
      <c r="N1725" s="26">
        <f>IF(COUNTIFS($C:$C,$C1725,$D:$D,$D1725,$E:$E,"P0(전)",$M:$M,"&gt;0")&lt;&gt;1,"P0(전) 유효 1개 아님",IF(COUNTIFS($C:$C,$C1725,$D:$D,$D1725,$E:$E,"P0(후)",$M:$M,"&gt;0")&lt;&gt;1,"P0(후) 유효 1개 아님",IF(NOT(AND(ISNUMBER(O1725),ISNUMBER(Q1725),ISNUMBER(I1725))),"시각 결측",IF(Q1725&lt;=O1725,"P0 시각 역전",IF(OR(I1725&lt;O1725,I1725&gt;Q1725),"측정시각 구간 밖","OK")))))</f>
        <v/>
      </c>
      <c r="O1725" s="48">
        <f>IF(COUNTIFS($C:$C,$C1725,$D:$D,$D1725,$E:$E,"P0(전)",$M:$M,"&gt;0")&lt;&gt;1,"",SUMIFS($I:$I,$C:$C,$C1725,$D:$D,$D1725,$E:$E,"P0(전)"))</f>
        <v/>
      </c>
      <c r="P1725" s="31">
        <f>IF(COUNTIFS($C:$C,$C1725,$D:$D,$D1725,$E:$E,"P0(전)",$M:$M,"&gt;0")&lt;&gt;1,"",SUMIFS($M:$M,$C:$C,$C1725,$D:$D,$D1725,$E:$E,"P0(전)"))</f>
        <v/>
      </c>
      <c r="Q1725" s="48">
        <f>IF(COUNTIFS($C:$C,$C1725,$D:$D,$D1725,$E:$E,"P0(후)",$M:$M,"&gt;0")&lt;&gt;1,"",SUMIFS($I:$I,$C:$C,$C1725,$D:$D,$D1725,$E:$E,"P0(후)"))</f>
        <v/>
      </c>
      <c r="R1725" s="31">
        <f>IF(COUNTIFS($C:$C,$C1725,$D:$D,$D1725,$E:$E,"P0(후)",$M:$M,"&gt;0")&lt;&gt;1,"",SUMIFS($M:$M,$C:$C,$C1725,$D:$D,$D1725,$E:$E,"P0(후)"))</f>
        <v/>
      </c>
      <c r="S1725" s="31">
        <f>IF(N1725&lt;&gt;"OK","",P1725+(R1725-P1725)*(I1725-O1725)/(Q1725-O1725))</f>
        <v/>
      </c>
      <c r="T1725" s="31">
        <f>IF(OR(N1725&lt;&gt;"OK",NOT(ISNUMBER(M1725))),"",M1725-S1725)</f>
        <v/>
      </c>
      <c r="U1725" s="49">
        <f>IF(OR(NOT(ISNUMBER(T1725)),IF(ISNUMBER(H1725),H1725,G1725)=0),"",T1725/IF(ISNUMBER(H1725),H1725,G1725))</f>
        <v/>
      </c>
      <c r="V1725" s="49">
        <f>IF(ISNUMBER(U1725),ABS(U1725),"")</f>
        <v/>
      </c>
      <c r="W1725" s="49">
        <f>IF(OR($E1724&lt;&gt;"측정",$C1724&lt;&gt;$C1725,$D1724&lt;&gt;$D1725,NOT(ISNUMBER(M1725)),NOT(ISNUMBER(M1724)),(IF(ISNUMBER(H1725),H1725,G1725)-IF(ISNUMBER(H1724),H1724,G1724))=0),"",(M1725-M1724)/(IF(ISNUMBER(H1725),H1725,G1725)-IF(ISNUMBER(H1724),H1724,G1724)))</f>
        <v/>
      </c>
      <c r="X1725" s="31">
        <f>IF(NOT(AND(ISNUMBER(O1725),ISNUMBER(Q1725))),"",(Q1725-O1725)*1440)</f>
        <v/>
      </c>
      <c r="Y1725" s="29" t="n"/>
      <c r="Z1725" s="29" t="n"/>
      <c r="AA1725" s="29" t="n"/>
      <c r="AB1725" s="32" t="n"/>
      <c r="AC1725" s="32" t="n"/>
    </row>
    <row r="1726">
      <c r="A1726" s="26" t="inlineStr">
        <is>
          <t>S34</t>
        </is>
      </c>
      <c r="B1726" s="26" t="inlineStr">
        <is>
          <t>부안 신규점</t>
        </is>
      </c>
      <c r="C1726" s="26" t="inlineStr">
        <is>
          <t>S34-H동</t>
        </is>
      </c>
      <c r="D1726" s="47" t="n">
        <v>1</v>
      </c>
      <c r="E1726" s="26" t="inlineStr">
        <is>
          <t>측정</t>
        </is>
      </c>
      <c r="F1726" s="26" t="inlineStr">
        <is>
          <t>동</t>
        </is>
      </c>
      <c r="G1726" s="31" t="n">
        <v>3</v>
      </c>
      <c r="H1726" s="30" t="n"/>
      <c r="I1726" s="43" t="n"/>
      <c r="J1726" s="41" t="n"/>
      <c r="K1726" s="41" t="n"/>
      <c r="L1726" s="41" t="n"/>
      <c r="M1726" s="31">
        <f>IF(COUNT(J1726:L1726)=0,"",MEDIAN(J1726:L1726))</f>
        <v/>
      </c>
      <c r="N1726" s="26">
        <f>IF(COUNTIFS($C:$C,$C1726,$D:$D,$D1726,$E:$E,"P0(전)",$M:$M,"&gt;0")&lt;&gt;1,"P0(전) 유효 1개 아님",IF(COUNTIFS($C:$C,$C1726,$D:$D,$D1726,$E:$E,"P0(후)",$M:$M,"&gt;0")&lt;&gt;1,"P0(후) 유효 1개 아님",IF(NOT(AND(ISNUMBER(O1726),ISNUMBER(Q1726),ISNUMBER(I1726))),"시각 결측",IF(Q1726&lt;=O1726,"P0 시각 역전",IF(OR(I1726&lt;O1726,I1726&gt;Q1726),"측정시각 구간 밖","OK")))))</f>
        <v/>
      </c>
      <c r="O1726" s="48">
        <f>IF(COUNTIFS($C:$C,$C1726,$D:$D,$D1726,$E:$E,"P0(전)",$M:$M,"&gt;0")&lt;&gt;1,"",SUMIFS($I:$I,$C:$C,$C1726,$D:$D,$D1726,$E:$E,"P0(전)"))</f>
        <v/>
      </c>
      <c r="P1726" s="31">
        <f>IF(COUNTIFS($C:$C,$C1726,$D:$D,$D1726,$E:$E,"P0(전)",$M:$M,"&gt;0")&lt;&gt;1,"",SUMIFS($M:$M,$C:$C,$C1726,$D:$D,$D1726,$E:$E,"P0(전)"))</f>
        <v/>
      </c>
      <c r="Q1726" s="48">
        <f>IF(COUNTIFS($C:$C,$C1726,$D:$D,$D1726,$E:$E,"P0(후)",$M:$M,"&gt;0")&lt;&gt;1,"",SUMIFS($I:$I,$C:$C,$C1726,$D:$D,$D1726,$E:$E,"P0(후)"))</f>
        <v/>
      </c>
      <c r="R1726" s="31">
        <f>IF(COUNTIFS($C:$C,$C1726,$D:$D,$D1726,$E:$E,"P0(후)",$M:$M,"&gt;0")&lt;&gt;1,"",SUMIFS($M:$M,$C:$C,$C1726,$D:$D,$D1726,$E:$E,"P0(후)"))</f>
        <v/>
      </c>
      <c r="S1726" s="31">
        <f>IF(N1726&lt;&gt;"OK","",P1726+(R1726-P1726)*(I1726-O1726)/(Q1726-O1726))</f>
        <v/>
      </c>
      <c r="T1726" s="31">
        <f>IF(OR(N1726&lt;&gt;"OK",NOT(ISNUMBER(M1726))),"",M1726-S1726)</f>
        <v/>
      </c>
      <c r="U1726" s="49">
        <f>IF(OR(NOT(ISNUMBER(T1726)),IF(ISNUMBER(H1726),H1726,G1726)=0),"",T1726/IF(ISNUMBER(H1726),H1726,G1726))</f>
        <v/>
      </c>
      <c r="V1726" s="49">
        <f>IF(ISNUMBER(U1726),ABS(U1726),"")</f>
        <v/>
      </c>
      <c r="W1726" s="49">
        <f>IF(OR($E1725&lt;&gt;"측정",$C1725&lt;&gt;$C1726,$D1725&lt;&gt;$D1726,NOT(ISNUMBER(M1726)),NOT(ISNUMBER(M1725)),(IF(ISNUMBER(H1726),H1726,G1726)-IF(ISNUMBER(H1725),H1725,G1725))=0),"",(M1726-M1725)/(IF(ISNUMBER(H1726),H1726,G1726)-IF(ISNUMBER(H1725),H1725,G1725)))</f>
        <v/>
      </c>
      <c r="X1726" s="31">
        <f>IF(NOT(AND(ISNUMBER(O1726),ISNUMBER(Q1726))),"",(Q1726-O1726)*1440)</f>
        <v/>
      </c>
      <c r="Y1726" s="29" t="n"/>
      <c r="Z1726" s="29" t="n"/>
      <c r="AA1726" s="29" t="n"/>
      <c r="AB1726" s="32" t="n"/>
      <c r="AC1726" s="32" t="n"/>
    </row>
    <row r="1727">
      <c r="A1727" s="26" t="inlineStr">
        <is>
          <t>S34</t>
        </is>
      </c>
      <c r="B1727" s="26" t="inlineStr">
        <is>
          <t>부안 신규점</t>
        </is>
      </c>
      <c r="C1727" s="26" t="inlineStr">
        <is>
          <t>S34-H동</t>
        </is>
      </c>
      <c r="D1727" s="47" t="n">
        <v>1</v>
      </c>
      <c r="E1727" s="26" t="inlineStr">
        <is>
          <t>측정</t>
        </is>
      </c>
      <c r="F1727" s="26" t="inlineStr">
        <is>
          <t>동</t>
        </is>
      </c>
      <c r="G1727" s="31" t="n">
        <v>4</v>
      </c>
      <c r="H1727" s="30" t="n"/>
      <c r="I1727" s="43" t="n"/>
      <c r="J1727" s="41" t="n"/>
      <c r="K1727" s="41" t="n"/>
      <c r="L1727" s="41" t="n"/>
      <c r="M1727" s="31">
        <f>IF(COUNT(J1727:L1727)=0,"",MEDIAN(J1727:L1727))</f>
        <v/>
      </c>
      <c r="N1727" s="26">
        <f>IF(COUNTIFS($C:$C,$C1727,$D:$D,$D1727,$E:$E,"P0(전)",$M:$M,"&gt;0")&lt;&gt;1,"P0(전) 유효 1개 아님",IF(COUNTIFS($C:$C,$C1727,$D:$D,$D1727,$E:$E,"P0(후)",$M:$M,"&gt;0")&lt;&gt;1,"P0(후) 유효 1개 아님",IF(NOT(AND(ISNUMBER(O1727),ISNUMBER(Q1727),ISNUMBER(I1727))),"시각 결측",IF(Q1727&lt;=O1727,"P0 시각 역전",IF(OR(I1727&lt;O1727,I1727&gt;Q1727),"측정시각 구간 밖","OK")))))</f>
        <v/>
      </c>
      <c r="O1727" s="48">
        <f>IF(COUNTIFS($C:$C,$C1727,$D:$D,$D1727,$E:$E,"P0(전)",$M:$M,"&gt;0")&lt;&gt;1,"",SUMIFS($I:$I,$C:$C,$C1727,$D:$D,$D1727,$E:$E,"P0(전)"))</f>
        <v/>
      </c>
      <c r="P1727" s="31">
        <f>IF(COUNTIFS($C:$C,$C1727,$D:$D,$D1727,$E:$E,"P0(전)",$M:$M,"&gt;0")&lt;&gt;1,"",SUMIFS($M:$M,$C:$C,$C1727,$D:$D,$D1727,$E:$E,"P0(전)"))</f>
        <v/>
      </c>
      <c r="Q1727" s="48">
        <f>IF(COUNTIFS($C:$C,$C1727,$D:$D,$D1727,$E:$E,"P0(후)",$M:$M,"&gt;0")&lt;&gt;1,"",SUMIFS($I:$I,$C:$C,$C1727,$D:$D,$D1727,$E:$E,"P0(후)"))</f>
        <v/>
      </c>
      <c r="R1727" s="31">
        <f>IF(COUNTIFS($C:$C,$C1727,$D:$D,$D1727,$E:$E,"P0(후)",$M:$M,"&gt;0")&lt;&gt;1,"",SUMIFS($M:$M,$C:$C,$C1727,$D:$D,$D1727,$E:$E,"P0(후)"))</f>
        <v/>
      </c>
      <c r="S1727" s="31">
        <f>IF(N1727&lt;&gt;"OK","",P1727+(R1727-P1727)*(I1727-O1727)/(Q1727-O1727))</f>
        <v/>
      </c>
      <c r="T1727" s="31">
        <f>IF(OR(N1727&lt;&gt;"OK",NOT(ISNUMBER(M1727))),"",M1727-S1727)</f>
        <v/>
      </c>
      <c r="U1727" s="49">
        <f>IF(OR(NOT(ISNUMBER(T1727)),IF(ISNUMBER(H1727),H1727,G1727)=0),"",T1727/IF(ISNUMBER(H1727),H1727,G1727))</f>
        <v/>
      </c>
      <c r="V1727" s="49">
        <f>IF(ISNUMBER(U1727),ABS(U1727),"")</f>
        <v/>
      </c>
      <c r="W1727" s="49">
        <f>IF(OR($E1726&lt;&gt;"측정",$C1726&lt;&gt;$C1727,$D1726&lt;&gt;$D1727,NOT(ISNUMBER(M1727)),NOT(ISNUMBER(M1726)),(IF(ISNUMBER(H1727),H1727,G1727)-IF(ISNUMBER(H1726),H1726,G1726))=0),"",(M1727-M1726)/(IF(ISNUMBER(H1727),H1727,G1727)-IF(ISNUMBER(H1726),H1726,G1726)))</f>
        <v/>
      </c>
      <c r="X1727" s="31">
        <f>IF(NOT(AND(ISNUMBER(O1727),ISNUMBER(Q1727))),"",(Q1727-O1727)*1440)</f>
        <v/>
      </c>
      <c r="Y1727" s="29" t="n"/>
      <c r="Z1727" s="29" t="n"/>
      <c r="AA1727" s="29" t="n"/>
      <c r="AB1727" s="32" t="n"/>
      <c r="AC1727" s="32" t="n"/>
    </row>
    <row r="1728">
      <c r="A1728" s="26" t="inlineStr">
        <is>
          <t>S34</t>
        </is>
      </c>
      <c r="B1728" s="26" t="inlineStr">
        <is>
          <t>부안 신규점</t>
        </is>
      </c>
      <c r="C1728" s="26" t="inlineStr">
        <is>
          <t>S34-H동</t>
        </is>
      </c>
      <c r="D1728" s="47" t="n">
        <v>1</v>
      </c>
      <c r="E1728" s="26" t="inlineStr">
        <is>
          <t>측정</t>
        </is>
      </c>
      <c r="F1728" s="26" t="inlineStr">
        <is>
          <t>동</t>
        </is>
      </c>
      <c r="G1728" s="31" t="n">
        <v>5</v>
      </c>
      <c r="H1728" s="30" t="n"/>
      <c r="I1728" s="43" t="n"/>
      <c r="J1728" s="41" t="n"/>
      <c r="K1728" s="41" t="n"/>
      <c r="L1728" s="41" t="n"/>
      <c r="M1728" s="31">
        <f>IF(COUNT(J1728:L1728)=0,"",MEDIAN(J1728:L1728))</f>
        <v/>
      </c>
      <c r="N1728" s="26">
        <f>IF(COUNTIFS($C:$C,$C1728,$D:$D,$D1728,$E:$E,"P0(전)",$M:$M,"&gt;0")&lt;&gt;1,"P0(전) 유효 1개 아님",IF(COUNTIFS($C:$C,$C1728,$D:$D,$D1728,$E:$E,"P0(후)",$M:$M,"&gt;0")&lt;&gt;1,"P0(후) 유효 1개 아님",IF(NOT(AND(ISNUMBER(O1728),ISNUMBER(Q1728),ISNUMBER(I1728))),"시각 결측",IF(Q1728&lt;=O1728,"P0 시각 역전",IF(OR(I1728&lt;O1728,I1728&gt;Q1728),"측정시각 구간 밖","OK")))))</f>
        <v/>
      </c>
      <c r="O1728" s="48">
        <f>IF(COUNTIFS($C:$C,$C1728,$D:$D,$D1728,$E:$E,"P0(전)",$M:$M,"&gt;0")&lt;&gt;1,"",SUMIFS($I:$I,$C:$C,$C1728,$D:$D,$D1728,$E:$E,"P0(전)"))</f>
        <v/>
      </c>
      <c r="P1728" s="31">
        <f>IF(COUNTIFS($C:$C,$C1728,$D:$D,$D1728,$E:$E,"P0(전)",$M:$M,"&gt;0")&lt;&gt;1,"",SUMIFS($M:$M,$C:$C,$C1728,$D:$D,$D1728,$E:$E,"P0(전)"))</f>
        <v/>
      </c>
      <c r="Q1728" s="48">
        <f>IF(COUNTIFS($C:$C,$C1728,$D:$D,$D1728,$E:$E,"P0(후)",$M:$M,"&gt;0")&lt;&gt;1,"",SUMIFS($I:$I,$C:$C,$C1728,$D:$D,$D1728,$E:$E,"P0(후)"))</f>
        <v/>
      </c>
      <c r="R1728" s="31">
        <f>IF(COUNTIFS($C:$C,$C1728,$D:$D,$D1728,$E:$E,"P0(후)",$M:$M,"&gt;0")&lt;&gt;1,"",SUMIFS($M:$M,$C:$C,$C1728,$D:$D,$D1728,$E:$E,"P0(후)"))</f>
        <v/>
      </c>
      <c r="S1728" s="31">
        <f>IF(N1728&lt;&gt;"OK","",P1728+(R1728-P1728)*(I1728-O1728)/(Q1728-O1728))</f>
        <v/>
      </c>
      <c r="T1728" s="31">
        <f>IF(OR(N1728&lt;&gt;"OK",NOT(ISNUMBER(M1728))),"",M1728-S1728)</f>
        <v/>
      </c>
      <c r="U1728" s="49">
        <f>IF(OR(NOT(ISNUMBER(T1728)),IF(ISNUMBER(H1728),H1728,G1728)=0),"",T1728/IF(ISNUMBER(H1728),H1728,G1728))</f>
        <v/>
      </c>
      <c r="V1728" s="49">
        <f>IF(ISNUMBER(U1728),ABS(U1728),"")</f>
        <v/>
      </c>
      <c r="W1728" s="49">
        <f>IF(OR($E1727&lt;&gt;"측정",$C1727&lt;&gt;$C1728,$D1727&lt;&gt;$D1728,NOT(ISNUMBER(M1728)),NOT(ISNUMBER(M1727)),(IF(ISNUMBER(H1728),H1728,G1728)-IF(ISNUMBER(H1727),H1727,G1727))=0),"",(M1728-M1727)/(IF(ISNUMBER(H1728),H1728,G1728)-IF(ISNUMBER(H1727),H1727,G1727)))</f>
        <v/>
      </c>
      <c r="X1728" s="31">
        <f>IF(NOT(AND(ISNUMBER(O1728),ISNUMBER(Q1728))),"",(Q1728-O1728)*1440)</f>
        <v/>
      </c>
      <c r="Y1728" s="29" t="n"/>
      <c r="Z1728" s="29" t="n"/>
      <c r="AA1728" s="29" t="n"/>
      <c r="AB1728" s="32" t="n"/>
      <c r="AC1728" s="32" t="n"/>
    </row>
    <row r="1729">
      <c r="A1729" s="26" t="inlineStr">
        <is>
          <t>S34</t>
        </is>
      </c>
      <c r="B1729" s="26" t="inlineStr">
        <is>
          <t>부안 신규점</t>
        </is>
      </c>
      <c r="C1729" s="26" t="inlineStr">
        <is>
          <t>S34-H동</t>
        </is>
      </c>
      <c r="D1729" s="47" t="n">
        <v>1</v>
      </c>
      <c r="E1729" s="26" t="inlineStr">
        <is>
          <t>측정</t>
        </is>
      </c>
      <c r="F1729" s="26" t="inlineStr">
        <is>
          <t>동</t>
        </is>
      </c>
      <c r="G1729" s="31" t="n">
        <v>6</v>
      </c>
      <c r="H1729" s="30" t="n"/>
      <c r="I1729" s="43" t="n"/>
      <c r="J1729" s="41" t="n"/>
      <c r="K1729" s="41" t="n"/>
      <c r="L1729" s="41" t="n"/>
      <c r="M1729" s="31">
        <f>IF(COUNT(J1729:L1729)=0,"",MEDIAN(J1729:L1729))</f>
        <v/>
      </c>
      <c r="N1729" s="26">
        <f>IF(COUNTIFS($C:$C,$C1729,$D:$D,$D1729,$E:$E,"P0(전)",$M:$M,"&gt;0")&lt;&gt;1,"P0(전) 유효 1개 아님",IF(COUNTIFS($C:$C,$C1729,$D:$D,$D1729,$E:$E,"P0(후)",$M:$M,"&gt;0")&lt;&gt;1,"P0(후) 유효 1개 아님",IF(NOT(AND(ISNUMBER(O1729),ISNUMBER(Q1729),ISNUMBER(I1729))),"시각 결측",IF(Q1729&lt;=O1729,"P0 시각 역전",IF(OR(I1729&lt;O1729,I1729&gt;Q1729),"측정시각 구간 밖","OK")))))</f>
        <v/>
      </c>
      <c r="O1729" s="48">
        <f>IF(COUNTIFS($C:$C,$C1729,$D:$D,$D1729,$E:$E,"P0(전)",$M:$M,"&gt;0")&lt;&gt;1,"",SUMIFS($I:$I,$C:$C,$C1729,$D:$D,$D1729,$E:$E,"P0(전)"))</f>
        <v/>
      </c>
      <c r="P1729" s="31">
        <f>IF(COUNTIFS($C:$C,$C1729,$D:$D,$D1729,$E:$E,"P0(전)",$M:$M,"&gt;0")&lt;&gt;1,"",SUMIFS($M:$M,$C:$C,$C1729,$D:$D,$D1729,$E:$E,"P0(전)"))</f>
        <v/>
      </c>
      <c r="Q1729" s="48">
        <f>IF(COUNTIFS($C:$C,$C1729,$D:$D,$D1729,$E:$E,"P0(후)",$M:$M,"&gt;0")&lt;&gt;1,"",SUMIFS($I:$I,$C:$C,$C1729,$D:$D,$D1729,$E:$E,"P0(후)"))</f>
        <v/>
      </c>
      <c r="R1729" s="31">
        <f>IF(COUNTIFS($C:$C,$C1729,$D:$D,$D1729,$E:$E,"P0(후)",$M:$M,"&gt;0")&lt;&gt;1,"",SUMIFS($M:$M,$C:$C,$C1729,$D:$D,$D1729,$E:$E,"P0(후)"))</f>
        <v/>
      </c>
      <c r="S1729" s="31">
        <f>IF(N1729&lt;&gt;"OK","",P1729+(R1729-P1729)*(I1729-O1729)/(Q1729-O1729))</f>
        <v/>
      </c>
      <c r="T1729" s="31">
        <f>IF(OR(N1729&lt;&gt;"OK",NOT(ISNUMBER(M1729))),"",M1729-S1729)</f>
        <v/>
      </c>
      <c r="U1729" s="49">
        <f>IF(OR(NOT(ISNUMBER(T1729)),IF(ISNUMBER(H1729),H1729,G1729)=0),"",T1729/IF(ISNUMBER(H1729),H1729,G1729))</f>
        <v/>
      </c>
      <c r="V1729" s="49">
        <f>IF(ISNUMBER(U1729),ABS(U1729),"")</f>
        <v/>
      </c>
      <c r="W1729" s="49">
        <f>IF(OR($E1728&lt;&gt;"측정",$C1728&lt;&gt;$C1729,$D1728&lt;&gt;$D1729,NOT(ISNUMBER(M1729)),NOT(ISNUMBER(M1728)),(IF(ISNUMBER(H1729),H1729,G1729)-IF(ISNUMBER(H1728),H1728,G1728))=0),"",(M1729-M1728)/(IF(ISNUMBER(H1729),H1729,G1729)-IF(ISNUMBER(H1728),H1728,G1728)))</f>
        <v/>
      </c>
      <c r="X1729" s="31">
        <f>IF(NOT(AND(ISNUMBER(O1729),ISNUMBER(Q1729))),"",(Q1729-O1729)*1440)</f>
        <v/>
      </c>
      <c r="Y1729" s="29" t="n"/>
      <c r="Z1729" s="29" t="n"/>
      <c r="AA1729" s="29" t="n"/>
      <c r="AB1729" s="32" t="n"/>
      <c r="AC1729" s="32" t="n"/>
    </row>
    <row r="1730">
      <c r="A1730" s="26" t="inlineStr">
        <is>
          <t>S34</t>
        </is>
      </c>
      <c r="B1730" s="26" t="inlineStr">
        <is>
          <t>부안 신규점</t>
        </is>
      </c>
      <c r="C1730" s="26" t="inlineStr">
        <is>
          <t>S34-H동</t>
        </is>
      </c>
      <c r="D1730" s="47" t="n">
        <v>1</v>
      </c>
      <c r="E1730" s="26" t="inlineStr">
        <is>
          <t>측정</t>
        </is>
      </c>
      <c r="F1730" s="26" t="inlineStr">
        <is>
          <t>동</t>
        </is>
      </c>
      <c r="G1730" s="31" t="n">
        <v>7</v>
      </c>
      <c r="H1730" s="30" t="n"/>
      <c r="I1730" s="43" t="n"/>
      <c r="J1730" s="41" t="n"/>
      <c r="K1730" s="41" t="n"/>
      <c r="L1730" s="41" t="n"/>
      <c r="M1730" s="31">
        <f>IF(COUNT(J1730:L1730)=0,"",MEDIAN(J1730:L1730))</f>
        <v/>
      </c>
      <c r="N1730" s="26">
        <f>IF(COUNTIFS($C:$C,$C1730,$D:$D,$D1730,$E:$E,"P0(전)",$M:$M,"&gt;0")&lt;&gt;1,"P0(전) 유효 1개 아님",IF(COUNTIFS($C:$C,$C1730,$D:$D,$D1730,$E:$E,"P0(후)",$M:$M,"&gt;0")&lt;&gt;1,"P0(후) 유효 1개 아님",IF(NOT(AND(ISNUMBER(O1730),ISNUMBER(Q1730),ISNUMBER(I1730))),"시각 결측",IF(Q1730&lt;=O1730,"P0 시각 역전",IF(OR(I1730&lt;O1730,I1730&gt;Q1730),"측정시각 구간 밖","OK")))))</f>
        <v/>
      </c>
      <c r="O1730" s="48">
        <f>IF(COUNTIFS($C:$C,$C1730,$D:$D,$D1730,$E:$E,"P0(전)",$M:$M,"&gt;0")&lt;&gt;1,"",SUMIFS($I:$I,$C:$C,$C1730,$D:$D,$D1730,$E:$E,"P0(전)"))</f>
        <v/>
      </c>
      <c r="P1730" s="31">
        <f>IF(COUNTIFS($C:$C,$C1730,$D:$D,$D1730,$E:$E,"P0(전)",$M:$M,"&gt;0")&lt;&gt;1,"",SUMIFS($M:$M,$C:$C,$C1730,$D:$D,$D1730,$E:$E,"P0(전)"))</f>
        <v/>
      </c>
      <c r="Q1730" s="48">
        <f>IF(COUNTIFS($C:$C,$C1730,$D:$D,$D1730,$E:$E,"P0(후)",$M:$M,"&gt;0")&lt;&gt;1,"",SUMIFS($I:$I,$C:$C,$C1730,$D:$D,$D1730,$E:$E,"P0(후)"))</f>
        <v/>
      </c>
      <c r="R1730" s="31">
        <f>IF(COUNTIFS($C:$C,$C1730,$D:$D,$D1730,$E:$E,"P0(후)",$M:$M,"&gt;0")&lt;&gt;1,"",SUMIFS($M:$M,$C:$C,$C1730,$D:$D,$D1730,$E:$E,"P0(후)"))</f>
        <v/>
      </c>
      <c r="S1730" s="31">
        <f>IF(N1730&lt;&gt;"OK","",P1730+(R1730-P1730)*(I1730-O1730)/(Q1730-O1730))</f>
        <v/>
      </c>
      <c r="T1730" s="31">
        <f>IF(OR(N1730&lt;&gt;"OK",NOT(ISNUMBER(M1730))),"",M1730-S1730)</f>
        <v/>
      </c>
      <c r="U1730" s="49">
        <f>IF(OR(NOT(ISNUMBER(T1730)),IF(ISNUMBER(H1730),H1730,G1730)=0),"",T1730/IF(ISNUMBER(H1730),H1730,G1730))</f>
        <v/>
      </c>
      <c r="V1730" s="49">
        <f>IF(ISNUMBER(U1730),ABS(U1730),"")</f>
        <v/>
      </c>
      <c r="W1730" s="49">
        <f>IF(OR($E1729&lt;&gt;"측정",$C1729&lt;&gt;$C1730,$D1729&lt;&gt;$D1730,NOT(ISNUMBER(M1730)),NOT(ISNUMBER(M1729)),(IF(ISNUMBER(H1730),H1730,G1730)-IF(ISNUMBER(H1729),H1729,G1729))=0),"",(M1730-M1729)/(IF(ISNUMBER(H1730),H1730,G1730)-IF(ISNUMBER(H1729),H1729,G1729)))</f>
        <v/>
      </c>
      <c r="X1730" s="31">
        <f>IF(NOT(AND(ISNUMBER(O1730),ISNUMBER(Q1730))),"",(Q1730-O1730)*1440)</f>
        <v/>
      </c>
      <c r="Y1730" s="29" t="n"/>
      <c r="Z1730" s="29" t="n"/>
      <c r="AA1730" s="29" t="n"/>
      <c r="AB1730" s="32" t="n"/>
      <c r="AC1730" s="32" t="n"/>
    </row>
    <row r="1731">
      <c r="A1731" s="26" t="inlineStr">
        <is>
          <t>S34</t>
        </is>
      </c>
      <c r="B1731" s="26" t="inlineStr">
        <is>
          <t>부안 신규점</t>
        </is>
      </c>
      <c r="C1731" s="26" t="inlineStr">
        <is>
          <t>S34-H동</t>
        </is>
      </c>
      <c r="D1731" s="47" t="n">
        <v>1</v>
      </c>
      <c r="E1731" s="26" t="inlineStr">
        <is>
          <t>측정</t>
        </is>
      </c>
      <c r="F1731" s="26" t="inlineStr">
        <is>
          <t>동</t>
        </is>
      </c>
      <c r="G1731" s="31" t="n">
        <v>8</v>
      </c>
      <c r="H1731" s="30" t="n"/>
      <c r="I1731" s="43" t="n"/>
      <c r="J1731" s="41" t="n"/>
      <c r="K1731" s="41" t="n"/>
      <c r="L1731" s="41" t="n"/>
      <c r="M1731" s="31">
        <f>IF(COUNT(J1731:L1731)=0,"",MEDIAN(J1731:L1731))</f>
        <v/>
      </c>
      <c r="N1731" s="26">
        <f>IF(COUNTIFS($C:$C,$C1731,$D:$D,$D1731,$E:$E,"P0(전)",$M:$M,"&gt;0")&lt;&gt;1,"P0(전) 유효 1개 아님",IF(COUNTIFS($C:$C,$C1731,$D:$D,$D1731,$E:$E,"P0(후)",$M:$M,"&gt;0")&lt;&gt;1,"P0(후) 유효 1개 아님",IF(NOT(AND(ISNUMBER(O1731),ISNUMBER(Q1731),ISNUMBER(I1731))),"시각 결측",IF(Q1731&lt;=O1731,"P0 시각 역전",IF(OR(I1731&lt;O1731,I1731&gt;Q1731),"측정시각 구간 밖","OK")))))</f>
        <v/>
      </c>
      <c r="O1731" s="48">
        <f>IF(COUNTIFS($C:$C,$C1731,$D:$D,$D1731,$E:$E,"P0(전)",$M:$M,"&gt;0")&lt;&gt;1,"",SUMIFS($I:$I,$C:$C,$C1731,$D:$D,$D1731,$E:$E,"P0(전)"))</f>
        <v/>
      </c>
      <c r="P1731" s="31">
        <f>IF(COUNTIFS($C:$C,$C1731,$D:$D,$D1731,$E:$E,"P0(전)",$M:$M,"&gt;0")&lt;&gt;1,"",SUMIFS($M:$M,$C:$C,$C1731,$D:$D,$D1731,$E:$E,"P0(전)"))</f>
        <v/>
      </c>
      <c r="Q1731" s="48">
        <f>IF(COUNTIFS($C:$C,$C1731,$D:$D,$D1731,$E:$E,"P0(후)",$M:$M,"&gt;0")&lt;&gt;1,"",SUMIFS($I:$I,$C:$C,$C1731,$D:$D,$D1731,$E:$E,"P0(후)"))</f>
        <v/>
      </c>
      <c r="R1731" s="31">
        <f>IF(COUNTIFS($C:$C,$C1731,$D:$D,$D1731,$E:$E,"P0(후)",$M:$M,"&gt;0")&lt;&gt;1,"",SUMIFS($M:$M,$C:$C,$C1731,$D:$D,$D1731,$E:$E,"P0(후)"))</f>
        <v/>
      </c>
      <c r="S1731" s="31">
        <f>IF(N1731&lt;&gt;"OK","",P1731+(R1731-P1731)*(I1731-O1731)/(Q1731-O1731))</f>
        <v/>
      </c>
      <c r="T1731" s="31">
        <f>IF(OR(N1731&lt;&gt;"OK",NOT(ISNUMBER(M1731))),"",M1731-S1731)</f>
        <v/>
      </c>
      <c r="U1731" s="49">
        <f>IF(OR(NOT(ISNUMBER(T1731)),IF(ISNUMBER(H1731),H1731,G1731)=0),"",T1731/IF(ISNUMBER(H1731),H1731,G1731))</f>
        <v/>
      </c>
      <c r="V1731" s="49">
        <f>IF(ISNUMBER(U1731),ABS(U1731),"")</f>
        <v/>
      </c>
      <c r="W1731" s="49">
        <f>IF(OR($E1730&lt;&gt;"측정",$C1730&lt;&gt;$C1731,$D1730&lt;&gt;$D1731,NOT(ISNUMBER(M1731)),NOT(ISNUMBER(M1730)),(IF(ISNUMBER(H1731),H1731,G1731)-IF(ISNUMBER(H1730),H1730,G1730))=0),"",(M1731-M1730)/(IF(ISNUMBER(H1731),H1731,G1731)-IF(ISNUMBER(H1730),H1730,G1730)))</f>
        <v/>
      </c>
      <c r="X1731" s="31">
        <f>IF(NOT(AND(ISNUMBER(O1731),ISNUMBER(Q1731))),"",(Q1731-O1731)*1440)</f>
        <v/>
      </c>
      <c r="Y1731" s="29" t="n"/>
      <c r="Z1731" s="29" t="n"/>
      <c r="AA1731" s="29" t="n"/>
      <c r="AB1731" s="32" t="n"/>
      <c r="AC1731" s="32" t="n"/>
    </row>
    <row r="1732">
      <c r="A1732" s="26" t="inlineStr">
        <is>
          <t>S34</t>
        </is>
      </c>
      <c r="B1732" s="26" t="inlineStr">
        <is>
          <t>부안 신규점</t>
        </is>
      </c>
      <c r="C1732" s="26" t="inlineStr">
        <is>
          <t>S34-H동</t>
        </is>
      </c>
      <c r="D1732" s="47" t="n">
        <v>1</v>
      </c>
      <c r="E1732" s="26" t="inlineStr">
        <is>
          <t>측정</t>
        </is>
      </c>
      <c r="F1732" s="26" t="inlineStr">
        <is>
          <t>동</t>
        </is>
      </c>
      <c r="G1732" s="31" t="n">
        <v>9</v>
      </c>
      <c r="H1732" s="30" t="n"/>
      <c r="I1732" s="43" t="n"/>
      <c r="J1732" s="41" t="n"/>
      <c r="K1732" s="41" t="n"/>
      <c r="L1732" s="41" t="n"/>
      <c r="M1732" s="31">
        <f>IF(COUNT(J1732:L1732)=0,"",MEDIAN(J1732:L1732))</f>
        <v/>
      </c>
      <c r="N1732" s="26">
        <f>IF(COUNTIFS($C:$C,$C1732,$D:$D,$D1732,$E:$E,"P0(전)",$M:$M,"&gt;0")&lt;&gt;1,"P0(전) 유효 1개 아님",IF(COUNTIFS($C:$C,$C1732,$D:$D,$D1732,$E:$E,"P0(후)",$M:$M,"&gt;0")&lt;&gt;1,"P0(후) 유효 1개 아님",IF(NOT(AND(ISNUMBER(O1732),ISNUMBER(Q1732),ISNUMBER(I1732))),"시각 결측",IF(Q1732&lt;=O1732,"P0 시각 역전",IF(OR(I1732&lt;O1732,I1732&gt;Q1732),"측정시각 구간 밖","OK")))))</f>
        <v/>
      </c>
      <c r="O1732" s="48">
        <f>IF(COUNTIFS($C:$C,$C1732,$D:$D,$D1732,$E:$E,"P0(전)",$M:$M,"&gt;0")&lt;&gt;1,"",SUMIFS($I:$I,$C:$C,$C1732,$D:$D,$D1732,$E:$E,"P0(전)"))</f>
        <v/>
      </c>
      <c r="P1732" s="31">
        <f>IF(COUNTIFS($C:$C,$C1732,$D:$D,$D1732,$E:$E,"P0(전)",$M:$M,"&gt;0")&lt;&gt;1,"",SUMIFS($M:$M,$C:$C,$C1732,$D:$D,$D1732,$E:$E,"P0(전)"))</f>
        <v/>
      </c>
      <c r="Q1732" s="48">
        <f>IF(COUNTIFS($C:$C,$C1732,$D:$D,$D1732,$E:$E,"P0(후)",$M:$M,"&gt;0")&lt;&gt;1,"",SUMIFS($I:$I,$C:$C,$C1732,$D:$D,$D1732,$E:$E,"P0(후)"))</f>
        <v/>
      </c>
      <c r="R1732" s="31">
        <f>IF(COUNTIFS($C:$C,$C1732,$D:$D,$D1732,$E:$E,"P0(후)",$M:$M,"&gt;0")&lt;&gt;1,"",SUMIFS($M:$M,$C:$C,$C1732,$D:$D,$D1732,$E:$E,"P0(후)"))</f>
        <v/>
      </c>
      <c r="S1732" s="31">
        <f>IF(N1732&lt;&gt;"OK","",P1732+(R1732-P1732)*(I1732-O1732)/(Q1732-O1732))</f>
        <v/>
      </c>
      <c r="T1732" s="31">
        <f>IF(OR(N1732&lt;&gt;"OK",NOT(ISNUMBER(M1732))),"",M1732-S1732)</f>
        <v/>
      </c>
      <c r="U1732" s="49">
        <f>IF(OR(NOT(ISNUMBER(T1732)),IF(ISNUMBER(H1732),H1732,G1732)=0),"",T1732/IF(ISNUMBER(H1732),H1732,G1732))</f>
        <v/>
      </c>
      <c r="V1732" s="49">
        <f>IF(ISNUMBER(U1732),ABS(U1732),"")</f>
        <v/>
      </c>
      <c r="W1732" s="49">
        <f>IF(OR($E1731&lt;&gt;"측정",$C1731&lt;&gt;$C1732,$D1731&lt;&gt;$D1732,NOT(ISNUMBER(M1732)),NOT(ISNUMBER(M1731)),(IF(ISNUMBER(H1732),H1732,G1732)-IF(ISNUMBER(H1731),H1731,G1731))=0),"",(M1732-M1731)/(IF(ISNUMBER(H1732),H1732,G1732)-IF(ISNUMBER(H1731),H1731,G1731)))</f>
        <v/>
      </c>
      <c r="X1732" s="31">
        <f>IF(NOT(AND(ISNUMBER(O1732),ISNUMBER(Q1732))),"",(Q1732-O1732)*1440)</f>
        <v/>
      </c>
      <c r="Y1732" s="29" t="n"/>
      <c r="Z1732" s="29" t="n"/>
      <c r="AA1732" s="29" t="n"/>
      <c r="AB1732" s="32" t="n"/>
      <c r="AC1732" s="32" t="n"/>
    </row>
    <row r="1733">
      <c r="A1733" s="26" t="inlineStr">
        <is>
          <t>S34</t>
        </is>
      </c>
      <c r="B1733" s="26" t="inlineStr">
        <is>
          <t>부안 신규점</t>
        </is>
      </c>
      <c r="C1733" s="26" t="inlineStr">
        <is>
          <t>S34-H동</t>
        </is>
      </c>
      <c r="D1733" s="47" t="n">
        <v>1</v>
      </c>
      <c r="E1733" s="26" t="inlineStr">
        <is>
          <t>측정</t>
        </is>
      </c>
      <c r="F1733" s="26" t="inlineStr">
        <is>
          <t>동</t>
        </is>
      </c>
      <c r="G1733" s="31" t="n">
        <v>10</v>
      </c>
      <c r="H1733" s="30" t="n"/>
      <c r="I1733" s="43" t="n"/>
      <c r="J1733" s="41" t="n"/>
      <c r="K1733" s="41" t="n"/>
      <c r="L1733" s="41" t="n"/>
      <c r="M1733" s="31">
        <f>IF(COUNT(J1733:L1733)=0,"",MEDIAN(J1733:L1733))</f>
        <v/>
      </c>
      <c r="N1733" s="26">
        <f>IF(COUNTIFS($C:$C,$C1733,$D:$D,$D1733,$E:$E,"P0(전)",$M:$M,"&gt;0")&lt;&gt;1,"P0(전) 유효 1개 아님",IF(COUNTIFS($C:$C,$C1733,$D:$D,$D1733,$E:$E,"P0(후)",$M:$M,"&gt;0")&lt;&gt;1,"P0(후) 유효 1개 아님",IF(NOT(AND(ISNUMBER(O1733),ISNUMBER(Q1733),ISNUMBER(I1733))),"시각 결측",IF(Q1733&lt;=O1733,"P0 시각 역전",IF(OR(I1733&lt;O1733,I1733&gt;Q1733),"측정시각 구간 밖","OK")))))</f>
        <v/>
      </c>
      <c r="O1733" s="48">
        <f>IF(COUNTIFS($C:$C,$C1733,$D:$D,$D1733,$E:$E,"P0(전)",$M:$M,"&gt;0")&lt;&gt;1,"",SUMIFS($I:$I,$C:$C,$C1733,$D:$D,$D1733,$E:$E,"P0(전)"))</f>
        <v/>
      </c>
      <c r="P1733" s="31">
        <f>IF(COUNTIFS($C:$C,$C1733,$D:$D,$D1733,$E:$E,"P0(전)",$M:$M,"&gt;0")&lt;&gt;1,"",SUMIFS($M:$M,$C:$C,$C1733,$D:$D,$D1733,$E:$E,"P0(전)"))</f>
        <v/>
      </c>
      <c r="Q1733" s="48">
        <f>IF(COUNTIFS($C:$C,$C1733,$D:$D,$D1733,$E:$E,"P0(후)",$M:$M,"&gt;0")&lt;&gt;1,"",SUMIFS($I:$I,$C:$C,$C1733,$D:$D,$D1733,$E:$E,"P0(후)"))</f>
        <v/>
      </c>
      <c r="R1733" s="31">
        <f>IF(COUNTIFS($C:$C,$C1733,$D:$D,$D1733,$E:$E,"P0(후)",$M:$M,"&gt;0")&lt;&gt;1,"",SUMIFS($M:$M,$C:$C,$C1733,$D:$D,$D1733,$E:$E,"P0(후)"))</f>
        <v/>
      </c>
      <c r="S1733" s="31">
        <f>IF(N1733&lt;&gt;"OK","",P1733+(R1733-P1733)*(I1733-O1733)/(Q1733-O1733))</f>
        <v/>
      </c>
      <c r="T1733" s="31">
        <f>IF(OR(N1733&lt;&gt;"OK",NOT(ISNUMBER(M1733))),"",M1733-S1733)</f>
        <v/>
      </c>
      <c r="U1733" s="49">
        <f>IF(OR(NOT(ISNUMBER(T1733)),IF(ISNUMBER(H1733),H1733,G1733)=0),"",T1733/IF(ISNUMBER(H1733),H1733,G1733))</f>
        <v/>
      </c>
      <c r="V1733" s="49">
        <f>IF(ISNUMBER(U1733),ABS(U1733),"")</f>
        <v/>
      </c>
      <c r="W1733" s="49">
        <f>IF(OR($E1732&lt;&gt;"측정",$C1732&lt;&gt;$C1733,$D1732&lt;&gt;$D1733,NOT(ISNUMBER(M1733)),NOT(ISNUMBER(M1732)),(IF(ISNUMBER(H1733),H1733,G1733)-IF(ISNUMBER(H1732),H1732,G1732))=0),"",(M1733-M1732)/(IF(ISNUMBER(H1733),H1733,G1733)-IF(ISNUMBER(H1732),H1732,G1732)))</f>
        <v/>
      </c>
      <c r="X1733" s="31">
        <f>IF(NOT(AND(ISNUMBER(O1733),ISNUMBER(Q1733))),"",(Q1733-O1733)*1440)</f>
        <v/>
      </c>
      <c r="Y1733" s="29" t="n"/>
      <c r="Z1733" s="29" t="n"/>
      <c r="AA1733" s="29" t="n"/>
      <c r="AB1733" s="32" t="n"/>
      <c r="AC1733" s="32" t="n"/>
    </row>
    <row r="1734">
      <c r="A1734" s="44" t="inlineStr">
        <is>
          <t>S34</t>
        </is>
      </c>
      <c r="B1734" s="44" t="inlineStr">
        <is>
          <t>부안 신규점</t>
        </is>
      </c>
      <c r="C1734" s="44" t="inlineStr">
        <is>
          <t>S34-H동</t>
        </is>
      </c>
      <c r="D1734" s="45" t="n">
        <v>1</v>
      </c>
      <c r="E1734" s="44" t="inlineStr">
        <is>
          <t>P0(후)</t>
        </is>
      </c>
      <c r="F1734" s="44" t="inlineStr">
        <is>
          <t>동</t>
        </is>
      </c>
      <c r="G1734" s="46" t="n"/>
      <c r="H1734" s="30" t="n"/>
      <c r="I1734" s="43" t="n"/>
      <c r="J1734" s="41" t="n"/>
      <c r="K1734" s="41" t="n"/>
      <c r="L1734" s="41" t="n"/>
      <c r="M1734" s="31">
        <f>IF(COUNT(J1734:L1734)=0,"",MEDIAN(J1734:L1734))</f>
        <v/>
      </c>
      <c r="N1734" s="38" t="n"/>
      <c r="O1734" s="38" t="n"/>
      <c r="P1734" s="38" t="n"/>
      <c r="Q1734" s="38" t="n"/>
      <c r="R1734" s="38" t="n"/>
      <c r="S1734" s="38" t="n"/>
      <c r="T1734" s="38" t="n"/>
      <c r="U1734" s="38" t="n"/>
      <c r="V1734" s="38" t="n"/>
      <c r="W1734" s="38" t="n"/>
      <c r="X1734" s="38" t="n"/>
      <c r="Y1734" s="29" t="n"/>
      <c r="Z1734" s="29" t="n"/>
      <c r="AA1734" s="29" t="n"/>
      <c r="AB1734" s="32" t="n"/>
      <c r="AC1734" s="32" t="n"/>
    </row>
    <row r="1735">
      <c r="A1735" s="44" t="inlineStr">
        <is>
          <t>S34</t>
        </is>
      </c>
      <c r="B1735" s="44" t="inlineStr">
        <is>
          <t>부안 신규점</t>
        </is>
      </c>
      <c r="C1735" s="44" t="inlineStr">
        <is>
          <t>S34-H서</t>
        </is>
      </c>
      <c r="D1735" s="45" t="n">
        <v>1</v>
      </c>
      <c r="E1735" s="44" t="inlineStr">
        <is>
          <t>P0(전)</t>
        </is>
      </c>
      <c r="F1735" s="44" t="inlineStr">
        <is>
          <t>서</t>
        </is>
      </c>
      <c r="G1735" s="46" t="n"/>
      <c r="H1735" s="30" t="n"/>
      <c r="I1735" s="43" t="n"/>
      <c r="J1735" s="41" t="n"/>
      <c r="K1735" s="41" t="n"/>
      <c r="L1735" s="41" t="n"/>
      <c r="M1735" s="31">
        <f>IF(COUNT(J1735:L1735)=0,"",MEDIAN(J1735:L1735))</f>
        <v/>
      </c>
      <c r="N1735" s="38" t="n"/>
      <c r="O1735" s="38" t="n"/>
      <c r="P1735" s="38" t="n"/>
      <c r="Q1735" s="38" t="n"/>
      <c r="R1735" s="38" t="n"/>
      <c r="S1735" s="38" t="n"/>
      <c r="T1735" s="38" t="n"/>
      <c r="U1735" s="38" t="n"/>
      <c r="V1735" s="38" t="n"/>
      <c r="W1735" s="38" t="n"/>
      <c r="X1735" s="38" t="n"/>
      <c r="Y1735" s="29" t="n"/>
      <c r="Z1735" s="29" t="n"/>
      <c r="AA1735" s="29" t="n"/>
      <c r="AB1735" s="32" t="n"/>
      <c r="AC1735" s="32" t="n"/>
    </row>
    <row r="1736">
      <c r="A1736" s="26" t="inlineStr">
        <is>
          <t>S34</t>
        </is>
      </c>
      <c r="B1736" s="26" t="inlineStr">
        <is>
          <t>부안 신규점</t>
        </is>
      </c>
      <c r="C1736" s="26" t="inlineStr">
        <is>
          <t>S34-H서</t>
        </is>
      </c>
      <c r="D1736" s="47" t="n">
        <v>1</v>
      </c>
      <c r="E1736" s="26" t="inlineStr">
        <is>
          <t>측정</t>
        </is>
      </c>
      <c r="F1736" s="26" t="inlineStr">
        <is>
          <t>서</t>
        </is>
      </c>
      <c r="G1736" s="31" t="n">
        <v>0.5</v>
      </c>
      <c r="H1736" s="30" t="n"/>
      <c r="I1736" s="43" t="n"/>
      <c r="J1736" s="41" t="n"/>
      <c r="K1736" s="41" t="n"/>
      <c r="L1736" s="41" t="n"/>
      <c r="M1736" s="31">
        <f>IF(COUNT(J1736:L1736)=0,"",MEDIAN(J1736:L1736))</f>
        <v/>
      </c>
      <c r="N1736" s="26">
        <f>IF(COUNTIFS($C:$C,$C1736,$D:$D,$D1736,$E:$E,"P0(전)",$M:$M,"&gt;0")&lt;&gt;1,"P0(전) 유효 1개 아님",IF(COUNTIFS($C:$C,$C1736,$D:$D,$D1736,$E:$E,"P0(후)",$M:$M,"&gt;0")&lt;&gt;1,"P0(후) 유효 1개 아님",IF(NOT(AND(ISNUMBER(O1736),ISNUMBER(Q1736),ISNUMBER(I1736))),"시각 결측",IF(Q1736&lt;=O1736,"P0 시각 역전",IF(OR(I1736&lt;O1736,I1736&gt;Q1736),"측정시각 구간 밖","OK")))))</f>
        <v/>
      </c>
      <c r="O1736" s="48">
        <f>IF(COUNTIFS($C:$C,$C1736,$D:$D,$D1736,$E:$E,"P0(전)",$M:$M,"&gt;0")&lt;&gt;1,"",SUMIFS($I:$I,$C:$C,$C1736,$D:$D,$D1736,$E:$E,"P0(전)"))</f>
        <v/>
      </c>
      <c r="P1736" s="31">
        <f>IF(COUNTIFS($C:$C,$C1736,$D:$D,$D1736,$E:$E,"P0(전)",$M:$M,"&gt;0")&lt;&gt;1,"",SUMIFS($M:$M,$C:$C,$C1736,$D:$D,$D1736,$E:$E,"P0(전)"))</f>
        <v/>
      </c>
      <c r="Q1736" s="48">
        <f>IF(COUNTIFS($C:$C,$C1736,$D:$D,$D1736,$E:$E,"P0(후)",$M:$M,"&gt;0")&lt;&gt;1,"",SUMIFS($I:$I,$C:$C,$C1736,$D:$D,$D1736,$E:$E,"P0(후)"))</f>
        <v/>
      </c>
      <c r="R1736" s="31">
        <f>IF(COUNTIFS($C:$C,$C1736,$D:$D,$D1736,$E:$E,"P0(후)",$M:$M,"&gt;0")&lt;&gt;1,"",SUMIFS($M:$M,$C:$C,$C1736,$D:$D,$D1736,$E:$E,"P0(후)"))</f>
        <v/>
      </c>
      <c r="S1736" s="31">
        <f>IF(N1736&lt;&gt;"OK","",P1736+(R1736-P1736)*(I1736-O1736)/(Q1736-O1736))</f>
        <v/>
      </c>
      <c r="T1736" s="31">
        <f>IF(OR(N1736&lt;&gt;"OK",NOT(ISNUMBER(M1736))),"",M1736-S1736)</f>
        <v/>
      </c>
      <c r="U1736" s="49">
        <f>IF(OR(NOT(ISNUMBER(T1736)),IF(ISNUMBER(H1736),H1736,G1736)=0),"",T1736/IF(ISNUMBER(H1736),H1736,G1736))</f>
        <v/>
      </c>
      <c r="V1736" s="49">
        <f>IF(ISNUMBER(U1736),ABS(U1736),"")</f>
        <v/>
      </c>
      <c r="W1736" s="49">
        <f>IF(OR($E1735&lt;&gt;"측정",$C1735&lt;&gt;$C1736,$D1735&lt;&gt;$D1736,NOT(ISNUMBER(M1736)),NOT(ISNUMBER(M1735)),(IF(ISNUMBER(H1736),H1736,G1736)-IF(ISNUMBER(H1735),H1735,G1735))=0),"",(M1736-M1735)/(IF(ISNUMBER(H1736),H1736,G1736)-IF(ISNUMBER(H1735),H1735,G1735)))</f>
        <v/>
      </c>
      <c r="X1736" s="31">
        <f>IF(NOT(AND(ISNUMBER(O1736),ISNUMBER(Q1736))),"",(Q1736-O1736)*1440)</f>
        <v/>
      </c>
      <c r="Y1736" s="29" t="n"/>
      <c r="Z1736" s="29" t="n"/>
      <c r="AA1736" s="29" t="n"/>
      <c r="AB1736" s="32" t="n"/>
      <c r="AC1736" s="32" t="n"/>
    </row>
    <row r="1737">
      <c r="A1737" s="26" t="inlineStr">
        <is>
          <t>S34</t>
        </is>
      </c>
      <c r="B1737" s="26" t="inlineStr">
        <is>
          <t>부안 신규점</t>
        </is>
      </c>
      <c r="C1737" s="26" t="inlineStr">
        <is>
          <t>S34-H서</t>
        </is>
      </c>
      <c r="D1737" s="47" t="n">
        <v>1</v>
      </c>
      <c r="E1737" s="26" t="inlineStr">
        <is>
          <t>측정</t>
        </is>
      </c>
      <c r="F1737" s="26" t="inlineStr">
        <is>
          <t>서</t>
        </is>
      </c>
      <c r="G1737" s="31" t="n">
        <v>1</v>
      </c>
      <c r="H1737" s="30" t="n"/>
      <c r="I1737" s="43" t="n"/>
      <c r="J1737" s="41" t="n"/>
      <c r="K1737" s="41" t="n"/>
      <c r="L1737" s="41" t="n"/>
      <c r="M1737" s="31">
        <f>IF(COUNT(J1737:L1737)=0,"",MEDIAN(J1737:L1737))</f>
        <v/>
      </c>
      <c r="N1737" s="26">
        <f>IF(COUNTIFS($C:$C,$C1737,$D:$D,$D1737,$E:$E,"P0(전)",$M:$M,"&gt;0")&lt;&gt;1,"P0(전) 유효 1개 아님",IF(COUNTIFS($C:$C,$C1737,$D:$D,$D1737,$E:$E,"P0(후)",$M:$M,"&gt;0")&lt;&gt;1,"P0(후) 유효 1개 아님",IF(NOT(AND(ISNUMBER(O1737),ISNUMBER(Q1737),ISNUMBER(I1737))),"시각 결측",IF(Q1737&lt;=O1737,"P0 시각 역전",IF(OR(I1737&lt;O1737,I1737&gt;Q1737),"측정시각 구간 밖","OK")))))</f>
        <v/>
      </c>
      <c r="O1737" s="48">
        <f>IF(COUNTIFS($C:$C,$C1737,$D:$D,$D1737,$E:$E,"P0(전)",$M:$M,"&gt;0")&lt;&gt;1,"",SUMIFS($I:$I,$C:$C,$C1737,$D:$D,$D1737,$E:$E,"P0(전)"))</f>
        <v/>
      </c>
      <c r="P1737" s="31">
        <f>IF(COUNTIFS($C:$C,$C1737,$D:$D,$D1737,$E:$E,"P0(전)",$M:$M,"&gt;0")&lt;&gt;1,"",SUMIFS($M:$M,$C:$C,$C1737,$D:$D,$D1737,$E:$E,"P0(전)"))</f>
        <v/>
      </c>
      <c r="Q1737" s="48">
        <f>IF(COUNTIFS($C:$C,$C1737,$D:$D,$D1737,$E:$E,"P0(후)",$M:$M,"&gt;0")&lt;&gt;1,"",SUMIFS($I:$I,$C:$C,$C1737,$D:$D,$D1737,$E:$E,"P0(후)"))</f>
        <v/>
      </c>
      <c r="R1737" s="31">
        <f>IF(COUNTIFS($C:$C,$C1737,$D:$D,$D1737,$E:$E,"P0(후)",$M:$M,"&gt;0")&lt;&gt;1,"",SUMIFS($M:$M,$C:$C,$C1737,$D:$D,$D1737,$E:$E,"P0(후)"))</f>
        <v/>
      </c>
      <c r="S1737" s="31">
        <f>IF(N1737&lt;&gt;"OK","",P1737+(R1737-P1737)*(I1737-O1737)/(Q1737-O1737))</f>
        <v/>
      </c>
      <c r="T1737" s="31">
        <f>IF(OR(N1737&lt;&gt;"OK",NOT(ISNUMBER(M1737))),"",M1737-S1737)</f>
        <v/>
      </c>
      <c r="U1737" s="49">
        <f>IF(OR(NOT(ISNUMBER(T1737)),IF(ISNUMBER(H1737),H1737,G1737)=0),"",T1737/IF(ISNUMBER(H1737),H1737,G1737))</f>
        <v/>
      </c>
      <c r="V1737" s="49">
        <f>IF(ISNUMBER(U1737),ABS(U1737),"")</f>
        <v/>
      </c>
      <c r="W1737" s="49">
        <f>IF(OR($E1736&lt;&gt;"측정",$C1736&lt;&gt;$C1737,$D1736&lt;&gt;$D1737,NOT(ISNUMBER(M1737)),NOT(ISNUMBER(M1736)),(IF(ISNUMBER(H1737),H1737,G1737)-IF(ISNUMBER(H1736),H1736,G1736))=0),"",(M1737-M1736)/(IF(ISNUMBER(H1737),H1737,G1737)-IF(ISNUMBER(H1736),H1736,G1736)))</f>
        <v/>
      </c>
      <c r="X1737" s="31">
        <f>IF(NOT(AND(ISNUMBER(O1737),ISNUMBER(Q1737))),"",(Q1737-O1737)*1440)</f>
        <v/>
      </c>
      <c r="Y1737" s="29" t="n"/>
      <c r="Z1737" s="29" t="n"/>
      <c r="AA1737" s="29" t="n"/>
      <c r="AB1737" s="32" t="n"/>
      <c r="AC1737" s="32" t="n"/>
    </row>
    <row r="1738">
      <c r="A1738" s="26" t="inlineStr">
        <is>
          <t>S34</t>
        </is>
      </c>
      <c r="B1738" s="26" t="inlineStr">
        <is>
          <t>부안 신규점</t>
        </is>
      </c>
      <c r="C1738" s="26" t="inlineStr">
        <is>
          <t>S34-H서</t>
        </is>
      </c>
      <c r="D1738" s="47" t="n">
        <v>1</v>
      </c>
      <c r="E1738" s="26" t="inlineStr">
        <is>
          <t>측정</t>
        </is>
      </c>
      <c r="F1738" s="26" t="inlineStr">
        <is>
          <t>서</t>
        </is>
      </c>
      <c r="G1738" s="31" t="n">
        <v>2</v>
      </c>
      <c r="H1738" s="30" t="n"/>
      <c r="I1738" s="43" t="n"/>
      <c r="J1738" s="41" t="n"/>
      <c r="K1738" s="41" t="n"/>
      <c r="L1738" s="41" t="n"/>
      <c r="M1738" s="31">
        <f>IF(COUNT(J1738:L1738)=0,"",MEDIAN(J1738:L1738))</f>
        <v/>
      </c>
      <c r="N1738" s="26">
        <f>IF(COUNTIFS($C:$C,$C1738,$D:$D,$D1738,$E:$E,"P0(전)",$M:$M,"&gt;0")&lt;&gt;1,"P0(전) 유효 1개 아님",IF(COUNTIFS($C:$C,$C1738,$D:$D,$D1738,$E:$E,"P0(후)",$M:$M,"&gt;0")&lt;&gt;1,"P0(후) 유효 1개 아님",IF(NOT(AND(ISNUMBER(O1738),ISNUMBER(Q1738),ISNUMBER(I1738))),"시각 결측",IF(Q1738&lt;=O1738,"P0 시각 역전",IF(OR(I1738&lt;O1738,I1738&gt;Q1738),"측정시각 구간 밖","OK")))))</f>
        <v/>
      </c>
      <c r="O1738" s="48">
        <f>IF(COUNTIFS($C:$C,$C1738,$D:$D,$D1738,$E:$E,"P0(전)",$M:$M,"&gt;0")&lt;&gt;1,"",SUMIFS($I:$I,$C:$C,$C1738,$D:$D,$D1738,$E:$E,"P0(전)"))</f>
        <v/>
      </c>
      <c r="P1738" s="31">
        <f>IF(COUNTIFS($C:$C,$C1738,$D:$D,$D1738,$E:$E,"P0(전)",$M:$M,"&gt;0")&lt;&gt;1,"",SUMIFS($M:$M,$C:$C,$C1738,$D:$D,$D1738,$E:$E,"P0(전)"))</f>
        <v/>
      </c>
      <c r="Q1738" s="48">
        <f>IF(COUNTIFS($C:$C,$C1738,$D:$D,$D1738,$E:$E,"P0(후)",$M:$M,"&gt;0")&lt;&gt;1,"",SUMIFS($I:$I,$C:$C,$C1738,$D:$D,$D1738,$E:$E,"P0(후)"))</f>
        <v/>
      </c>
      <c r="R1738" s="31">
        <f>IF(COUNTIFS($C:$C,$C1738,$D:$D,$D1738,$E:$E,"P0(후)",$M:$M,"&gt;0")&lt;&gt;1,"",SUMIFS($M:$M,$C:$C,$C1738,$D:$D,$D1738,$E:$E,"P0(후)"))</f>
        <v/>
      </c>
      <c r="S1738" s="31">
        <f>IF(N1738&lt;&gt;"OK","",P1738+(R1738-P1738)*(I1738-O1738)/(Q1738-O1738))</f>
        <v/>
      </c>
      <c r="T1738" s="31">
        <f>IF(OR(N1738&lt;&gt;"OK",NOT(ISNUMBER(M1738))),"",M1738-S1738)</f>
        <v/>
      </c>
      <c r="U1738" s="49">
        <f>IF(OR(NOT(ISNUMBER(T1738)),IF(ISNUMBER(H1738),H1738,G1738)=0),"",T1738/IF(ISNUMBER(H1738),H1738,G1738))</f>
        <v/>
      </c>
      <c r="V1738" s="49">
        <f>IF(ISNUMBER(U1738),ABS(U1738),"")</f>
        <v/>
      </c>
      <c r="W1738" s="49">
        <f>IF(OR($E1737&lt;&gt;"측정",$C1737&lt;&gt;$C1738,$D1737&lt;&gt;$D1738,NOT(ISNUMBER(M1738)),NOT(ISNUMBER(M1737)),(IF(ISNUMBER(H1738),H1738,G1738)-IF(ISNUMBER(H1737),H1737,G1737))=0),"",(M1738-M1737)/(IF(ISNUMBER(H1738),H1738,G1738)-IF(ISNUMBER(H1737),H1737,G1737)))</f>
        <v/>
      </c>
      <c r="X1738" s="31">
        <f>IF(NOT(AND(ISNUMBER(O1738),ISNUMBER(Q1738))),"",(Q1738-O1738)*1440)</f>
        <v/>
      </c>
      <c r="Y1738" s="29" t="n"/>
      <c r="Z1738" s="29" t="n"/>
      <c r="AA1738" s="29" t="n"/>
      <c r="AB1738" s="32" t="n"/>
      <c r="AC1738" s="32" t="n"/>
    </row>
    <row r="1739">
      <c r="A1739" s="26" t="inlineStr">
        <is>
          <t>S34</t>
        </is>
      </c>
      <c r="B1739" s="26" t="inlineStr">
        <is>
          <t>부안 신규점</t>
        </is>
      </c>
      <c r="C1739" s="26" t="inlineStr">
        <is>
          <t>S34-H서</t>
        </is>
      </c>
      <c r="D1739" s="47" t="n">
        <v>1</v>
      </c>
      <c r="E1739" s="26" t="inlineStr">
        <is>
          <t>측정</t>
        </is>
      </c>
      <c r="F1739" s="26" t="inlineStr">
        <is>
          <t>서</t>
        </is>
      </c>
      <c r="G1739" s="31" t="n">
        <v>3</v>
      </c>
      <c r="H1739" s="30" t="n"/>
      <c r="I1739" s="43" t="n"/>
      <c r="J1739" s="41" t="n"/>
      <c r="K1739" s="41" t="n"/>
      <c r="L1739" s="41" t="n"/>
      <c r="M1739" s="31">
        <f>IF(COUNT(J1739:L1739)=0,"",MEDIAN(J1739:L1739))</f>
        <v/>
      </c>
      <c r="N1739" s="26">
        <f>IF(COUNTIFS($C:$C,$C1739,$D:$D,$D1739,$E:$E,"P0(전)",$M:$M,"&gt;0")&lt;&gt;1,"P0(전) 유효 1개 아님",IF(COUNTIFS($C:$C,$C1739,$D:$D,$D1739,$E:$E,"P0(후)",$M:$M,"&gt;0")&lt;&gt;1,"P0(후) 유효 1개 아님",IF(NOT(AND(ISNUMBER(O1739),ISNUMBER(Q1739),ISNUMBER(I1739))),"시각 결측",IF(Q1739&lt;=O1739,"P0 시각 역전",IF(OR(I1739&lt;O1739,I1739&gt;Q1739),"측정시각 구간 밖","OK")))))</f>
        <v/>
      </c>
      <c r="O1739" s="48">
        <f>IF(COUNTIFS($C:$C,$C1739,$D:$D,$D1739,$E:$E,"P0(전)",$M:$M,"&gt;0")&lt;&gt;1,"",SUMIFS($I:$I,$C:$C,$C1739,$D:$D,$D1739,$E:$E,"P0(전)"))</f>
        <v/>
      </c>
      <c r="P1739" s="31">
        <f>IF(COUNTIFS($C:$C,$C1739,$D:$D,$D1739,$E:$E,"P0(전)",$M:$M,"&gt;0")&lt;&gt;1,"",SUMIFS($M:$M,$C:$C,$C1739,$D:$D,$D1739,$E:$E,"P0(전)"))</f>
        <v/>
      </c>
      <c r="Q1739" s="48">
        <f>IF(COUNTIFS($C:$C,$C1739,$D:$D,$D1739,$E:$E,"P0(후)",$M:$M,"&gt;0")&lt;&gt;1,"",SUMIFS($I:$I,$C:$C,$C1739,$D:$D,$D1739,$E:$E,"P0(후)"))</f>
        <v/>
      </c>
      <c r="R1739" s="31">
        <f>IF(COUNTIFS($C:$C,$C1739,$D:$D,$D1739,$E:$E,"P0(후)",$M:$M,"&gt;0")&lt;&gt;1,"",SUMIFS($M:$M,$C:$C,$C1739,$D:$D,$D1739,$E:$E,"P0(후)"))</f>
        <v/>
      </c>
      <c r="S1739" s="31">
        <f>IF(N1739&lt;&gt;"OK","",P1739+(R1739-P1739)*(I1739-O1739)/(Q1739-O1739))</f>
        <v/>
      </c>
      <c r="T1739" s="31">
        <f>IF(OR(N1739&lt;&gt;"OK",NOT(ISNUMBER(M1739))),"",M1739-S1739)</f>
        <v/>
      </c>
      <c r="U1739" s="49">
        <f>IF(OR(NOT(ISNUMBER(T1739)),IF(ISNUMBER(H1739),H1739,G1739)=0),"",T1739/IF(ISNUMBER(H1739),H1739,G1739))</f>
        <v/>
      </c>
      <c r="V1739" s="49">
        <f>IF(ISNUMBER(U1739),ABS(U1739),"")</f>
        <v/>
      </c>
      <c r="W1739" s="49">
        <f>IF(OR($E1738&lt;&gt;"측정",$C1738&lt;&gt;$C1739,$D1738&lt;&gt;$D1739,NOT(ISNUMBER(M1739)),NOT(ISNUMBER(M1738)),(IF(ISNUMBER(H1739),H1739,G1739)-IF(ISNUMBER(H1738),H1738,G1738))=0),"",(M1739-M1738)/(IF(ISNUMBER(H1739),H1739,G1739)-IF(ISNUMBER(H1738),H1738,G1738)))</f>
        <v/>
      </c>
      <c r="X1739" s="31">
        <f>IF(NOT(AND(ISNUMBER(O1739),ISNUMBER(Q1739))),"",(Q1739-O1739)*1440)</f>
        <v/>
      </c>
      <c r="Y1739" s="29" t="n"/>
      <c r="Z1739" s="29" t="n"/>
      <c r="AA1739" s="29" t="n"/>
      <c r="AB1739" s="32" t="n"/>
      <c r="AC1739" s="32" t="n"/>
    </row>
    <row r="1740">
      <c r="A1740" s="26" t="inlineStr">
        <is>
          <t>S34</t>
        </is>
      </c>
      <c r="B1740" s="26" t="inlineStr">
        <is>
          <t>부안 신규점</t>
        </is>
      </c>
      <c r="C1740" s="26" t="inlineStr">
        <is>
          <t>S34-H서</t>
        </is>
      </c>
      <c r="D1740" s="47" t="n">
        <v>1</v>
      </c>
      <c r="E1740" s="26" t="inlineStr">
        <is>
          <t>측정</t>
        </is>
      </c>
      <c r="F1740" s="26" t="inlineStr">
        <is>
          <t>서</t>
        </is>
      </c>
      <c r="G1740" s="31" t="n">
        <v>4</v>
      </c>
      <c r="H1740" s="30" t="n"/>
      <c r="I1740" s="43" t="n"/>
      <c r="J1740" s="41" t="n"/>
      <c r="K1740" s="41" t="n"/>
      <c r="L1740" s="41" t="n"/>
      <c r="M1740" s="31">
        <f>IF(COUNT(J1740:L1740)=0,"",MEDIAN(J1740:L1740))</f>
        <v/>
      </c>
      <c r="N1740" s="26">
        <f>IF(COUNTIFS($C:$C,$C1740,$D:$D,$D1740,$E:$E,"P0(전)",$M:$M,"&gt;0")&lt;&gt;1,"P0(전) 유효 1개 아님",IF(COUNTIFS($C:$C,$C1740,$D:$D,$D1740,$E:$E,"P0(후)",$M:$M,"&gt;0")&lt;&gt;1,"P0(후) 유효 1개 아님",IF(NOT(AND(ISNUMBER(O1740),ISNUMBER(Q1740),ISNUMBER(I1740))),"시각 결측",IF(Q1740&lt;=O1740,"P0 시각 역전",IF(OR(I1740&lt;O1740,I1740&gt;Q1740),"측정시각 구간 밖","OK")))))</f>
        <v/>
      </c>
      <c r="O1740" s="48">
        <f>IF(COUNTIFS($C:$C,$C1740,$D:$D,$D1740,$E:$E,"P0(전)",$M:$M,"&gt;0")&lt;&gt;1,"",SUMIFS($I:$I,$C:$C,$C1740,$D:$D,$D1740,$E:$E,"P0(전)"))</f>
        <v/>
      </c>
      <c r="P1740" s="31">
        <f>IF(COUNTIFS($C:$C,$C1740,$D:$D,$D1740,$E:$E,"P0(전)",$M:$M,"&gt;0")&lt;&gt;1,"",SUMIFS($M:$M,$C:$C,$C1740,$D:$D,$D1740,$E:$E,"P0(전)"))</f>
        <v/>
      </c>
      <c r="Q1740" s="48">
        <f>IF(COUNTIFS($C:$C,$C1740,$D:$D,$D1740,$E:$E,"P0(후)",$M:$M,"&gt;0")&lt;&gt;1,"",SUMIFS($I:$I,$C:$C,$C1740,$D:$D,$D1740,$E:$E,"P0(후)"))</f>
        <v/>
      </c>
      <c r="R1740" s="31">
        <f>IF(COUNTIFS($C:$C,$C1740,$D:$D,$D1740,$E:$E,"P0(후)",$M:$M,"&gt;0")&lt;&gt;1,"",SUMIFS($M:$M,$C:$C,$C1740,$D:$D,$D1740,$E:$E,"P0(후)"))</f>
        <v/>
      </c>
      <c r="S1740" s="31">
        <f>IF(N1740&lt;&gt;"OK","",P1740+(R1740-P1740)*(I1740-O1740)/(Q1740-O1740))</f>
        <v/>
      </c>
      <c r="T1740" s="31">
        <f>IF(OR(N1740&lt;&gt;"OK",NOT(ISNUMBER(M1740))),"",M1740-S1740)</f>
        <v/>
      </c>
      <c r="U1740" s="49">
        <f>IF(OR(NOT(ISNUMBER(T1740)),IF(ISNUMBER(H1740),H1740,G1740)=0),"",T1740/IF(ISNUMBER(H1740),H1740,G1740))</f>
        <v/>
      </c>
      <c r="V1740" s="49">
        <f>IF(ISNUMBER(U1740),ABS(U1740),"")</f>
        <v/>
      </c>
      <c r="W1740" s="49">
        <f>IF(OR($E1739&lt;&gt;"측정",$C1739&lt;&gt;$C1740,$D1739&lt;&gt;$D1740,NOT(ISNUMBER(M1740)),NOT(ISNUMBER(M1739)),(IF(ISNUMBER(H1740),H1740,G1740)-IF(ISNUMBER(H1739),H1739,G1739))=0),"",(M1740-M1739)/(IF(ISNUMBER(H1740),H1740,G1740)-IF(ISNUMBER(H1739),H1739,G1739)))</f>
        <v/>
      </c>
      <c r="X1740" s="31">
        <f>IF(NOT(AND(ISNUMBER(O1740),ISNUMBER(Q1740))),"",(Q1740-O1740)*1440)</f>
        <v/>
      </c>
      <c r="Y1740" s="29" t="n"/>
      <c r="Z1740" s="29" t="n"/>
      <c r="AA1740" s="29" t="n"/>
      <c r="AB1740" s="32" t="n"/>
      <c r="AC1740" s="32" t="n"/>
    </row>
    <row r="1741">
      <c r="A1741" s="26" t="inlineStr">
        <is>
          <t>S34</t>
        </is>
      </c>
      <c r="B1741" s="26" t="inlineStr">
        <is>
          <t>부안 신규점</t>
        </is>
      </c>
      <c r="C1741" s="26" t="inlineStr">
        <is>
          <t>S34-H서</t>
        </is>
      </c>
      <c r="D1741" s="47" t="n">
        <v>1</v>
      </c>
      <c r="E1741" s="26" t="inlineStr">
        <is>
          <t>측정</t>
        </is>
      </c>
      <c r="F1741" s="26" t="inlineStr">
        <is>
          <t>서</t>
        </is>
      </c>
      <c r="G1741" s="31" t="n">
        <v>5</v>
      </c>
      <c r="H1741" s="30" t="n"/>
      <c r="I1741" s="43" t="n"/>
      <c r="J1741" s="41" t="n"/>
      <c r="K1741" s="41" t="n"/>
      <c r="L1741" s="41" t="n"/>
      <c r="M1741" s="31">
        <f>IF(COUNT(J1741:L1741)=0,"",MEDIAN(J1741:L1741))</f>
        <v/>
      </c>
      <c r="N1741" s="26">
        <f>IF(COUNTIFS($C:$C,$C1741,$D:$D,$D1741,$E:$E,"P0(전)",$M:$M,"&gt;0")&lt;&gt;1,"P0(전) 유효 1개 아님",IF(COUNTIFS($C:$C,$C1741,$D:$D,$D1741,$E:$E,"P0(후)",$M:$M,"&gt;0")&lt;&gt;1,"P0(후) 유효 1개 아님",IF(NOT(AND(ISNUMBER(O1741),ISNUMBER(Q1741),ISNUMBER(I1741))),"시각 결측",IF(Q1741&lt;=O1741,"P0 시각 역전",IF(OR(I1741&lt;O1741,I1741&gt;Q1741),"측정시각 구간 밖","OK")))))</f>
        <v/>
      </c>
      <c r="O1741" s="48">
        <f>IF(COUNTIFS($C:$C,$C1741,$D:$D,$D1741,$E:$E,"P0(전)",$M:$M,"&gt;0")&lt;&gt;1,"",SUMIFS($I:$I,$C:$C,$C1741,$D:$D,$D1741,$E:$E,"P0(전)"))</f>
        <v/>
      </c>
      <c r="P1741" s="31">
        <f>IF(COUNTIFS($C:$C,$C1741,$D:$D,$D1741,$E:$E,"P0(전)",$M:$M,"&gt;0")&lt;&gt;1,"",SUMIFS($M:$M,$C:$C,$C1741,$D:$D,$D1741,$E:$E,"P0(전)"))</f>
        <v/>
      </c>
      <c r="Q1741" s="48">
        <f>IF(COUNTIFS($C:$C,$C1741,$D:$D,$D1741,$E:$E,"P0(후)",$M:$M,"&gt;0")&lt;&gt;1,"",SUMIFS($I:$I,$C:$C,$C1741,$D:$D,$D1741,$E:$E,"P0(후)"))</f>
        <v/>
      </c>
      <c r="R1741" s="31">
        <f>IF(COUNTIFS($C:$C,$C1741,$D:$D,$D1741,$E:$E,"P0(후)",$M:$M,"&gt;0")&lt;&gt;1,"",SUMIFS($M:$M,$C:$C,$C1741,$D:$D,$D1741,$E:$E,"P0(후)"))</f>
        <v/>
      </c>
      <c r="S1741" s="31">
        <f>IF(N1741&lt;&gt;"OK","",P1741+(R1741-P1741)*(I1741-O1741)/(Q1741-O1741))</f>
        <v/>
      </c>
      <c r="T1741" s="31">
        <f>IF(OR(N1741&lt;&gt;"OK",NOT(ISNUMBER(M1741))),"",M1741-S1741)</f>
        <v/>
      </c>
      <c r="U1741" s="49">
        <f>IF(OR(NOT(ISNUMBER(T1741)),IF(ISNUMBER(H1741),H1741,G1741)=0),"",T1741/IF(ISNUMBER(H1741),H1741,G1741))</f>
        <v/>
      </c>
      <c r="V1741" s="49">
        <f>IF(ISNUMBER(U1741),ABS(U1741),"")</f>
        <v/>
      </c>
      <c r="W1741" s="49">
        <f>IF(OR($E1740&lt;&gt;"측정",$C1740&lt;&gt;$C1741,$D1740&lt;&gt;$D1741,NOT(ISNUMBER(M1741)),NOT(ISNUMBER(M1740)),(IF(ISNUMBER(H1741),H1741,G1741)-IF(ISNUMBER(H1740),H1740,G1740))=0),"",(M1741-M1740)/(IF(ISNUMBER(H1741),H1741,G1741)-IF(ISNUMBER(H1740),H1740,G1740)))</f>
        <v/>
      </c>
      <c r="X1741" s="31">
        <f>IF(NOT(AND(ISNUMBER(O1741),ISNUMBER(Q1741))),"",(Q1741-O1741)*1440)</f>
        <v/>
      </c>
      <c r="Y1741" s="29" t="n"/>
      <c r="Z1741" s="29" t="n"/>
      <c r="AA1741" s="29" t="n"/>
      <c r="AB1741" s="32" t="n"/>
      <c r="AC1741" s="32" t="n"/>
    </row>
    <row r="1742">
      <c r="A1742" s="26" t="inlineStr">
        <is>
          <t>S34</t>
        </is>
      </c>
      <c r="B1742" s="26" t="inlineStr">
        <is>
          <t>부안 신규점</t>
        </is>
      </c>
      <c r="C1742" s="26" t="inlineStr">
        <is>
          <t>S34-H서</t>
        </is>
      </c>
      <c r="D1742" s="47" t="n">
        <v>1</v>
      </c>
      <c r="E1742" s="26" t="inlineStr">
        <is>
          <t>측정</t>
        </is>
      </c>
      <c r="F1742" s="26" t="inlineStr">
        <is>
          <t>서</t>
        </is>
      </c>
      <c r="G1742" s="31" t="n">
        <v>6</v>
      </c>
      <c r="H1742" s="30" t="n"/>
      <c r="I1742" s="43" t="n"/>
      <c r="J1742" s="41" t="n"/>
      <c r="K1742" s="41" t="n"/>
      <c r="L1742" s="41" t="n"/>
      <c r="M1742" s="31">
        <f>IF(COUNT(J1742:L1742)=0,"",MEDIAN(J1742:L1742))</f>
        <v/>
      </c>
      <c r="N1742" s="26">
        <f>IF(COUNTIFS($C:$C,$C1742,$D:$D,$D1742,$E:$E,"P0(전)",$M:$M,"&gt;0")&lt;&gt;1,"P0(전) 유효 1개 아님",IF(COUNTIFS($C:$C,$C1742,$D:$D,$D1742,$E:$E,"P0(후)",$M:$M,"&gt;0")&lt;&gt;1,"P0(후) 유효 1개 아님",IF(NOT(AND(ISNUMBER(O1742),ISNUMBER(Q1742),ISNUMBER(I1742))),"시각 결측",IF(Q1742&lt;=O1742,"P0 시각 역전",IF(OR(I1742&lt;O1742,I1742&gt;Q1742),"측정시각 구간 밖","OK")))))</f>
        <v/>
      </c>
      <c r="O1742" s="48">
        <f>IF(COUNTIFS($C:$C,$C1742,$D:$D,$D1742,$E:$E,"P0(전)",$M:$M,"&gt;0")&lt;&gt;1,"",SUMIFS($I:$I,$C:$C,$C1742,$D:$D,$D1742,$E:$E,"P0(전)"))</f>
        <v/>
      </c>
      <c r="P1742" s="31">
        <f>IF(COUNTIFS($C:$C,$C1742,$D:$D,$D1742,$E:$E,"P0(전)",$M:$M,"&gt;0")&lt;&gt;1,"",SUMIFS($M:$M,$C:$C,$C1742,$D:$D,$D1742,$E:$E,"P0(전)"))</f>
        <v/>
      </c>
      <c r="Q1742" s="48">
        <f>IF(COUNTIFS($C:$C,$C1742,$D:$D,$D1742,$E:$E,"P0(후)",$M:$M,"&gt;0")&lt;&gt;1,"",SUMIFS($I:$I,$C:$C,$C1742,$D:$D,$D1742,$E:$E,"P0(후)"))</f>
        <v/>
      </c>
      <c r="R1742" s="31">
        <f>IF(COUNTIFS($C:$C,$C1742,$D:$D,$D1742,$E:$E,"P0(후)",$M:$M,"&gt;0")&lt;&gt;1,"",SUMIFS($M:$M,$C:$C,$C1742,$D:$D,$D1742,$E:$E,"P0(후)"))</f>
        <v/>
      </c>
      <c r="S1742" s="31">
        <f>IF(N1742&lt;&gt;"OK","",P1742+(R1742-P1742)*(I1742-O1742)/(Q1742-O1742))</f>
        <v/>
      </c>
      <c r="T1742" s="31">
        <f>IF(OR(N1742&lt;&gt;"OK",NOT(ISNUMBER(M1742))),"",M1742-S1742)</f>
        <v/>
      </c>
      <c r="U1742" s="49">
        <f>IF(OR(NOT(ISNUMBER(T1742)),IF(ISNUMBER(H1742),H1742,G1742)=0),"",T1742/IF(ISNUMBER(H1742),H1742,G1742))</f>
        <v/>
      </c>
      <c r="V1742" s="49">
        <f>IF(ISNUMBER(U1742),ABS(U1742),"")</f>
        <v/>
      </c>
      <c r="W1742" s="49">
        <f>IF(OR($E1741&lt;&gt;"측정",$C1741&lt;&gt;$C1742,$D1741&lt;&gt;$D1742,NOT(ISNUMBER(M1742)),NOT(ISNUMBER(M1741)),(IF(ISNUMBER(H1742),H1742,G1742)-IF(ISNUMBER(H1741),H1741,G1741))=0),"",(M1742-M1741)/(IF(ISNUMBER(H1742),H1742,G1742)-IF(ISNUMBER(H1741),H1741,G1741)))</f>
        <v/>
      </c>
      <c r="X1742" s="31">
        <f>IF(NOT(AND(ISNUMBER(O1742),ISNUMBER(Q1742))),"",(Q1742-O1742)*1440)</f>
        <v/>
      </c>
      <c r="Y1742" s="29" t="n"/>
      <c r="Z1742" s="29" t="n"/>
      <c r="AA1742" s="29" t="n"/>
      <c r="AB1742" s="32" t="n"/>
      <c r="AC1742" s="32" t="n"/>
    </row>
    <row r="1743">
      <c r="A1743" s="26" t="inlineStr">
        <is>
          <t>S34</t>
        </is>
      </c>
      <c r="B1743" s="26" t="inlineStr">
        <is>
          <t>부안 신규점</t>
        </is>
      </c>
      <c r="C1743" s="26" t="inlineStr">
        <is>
          <t>S34-H서</t>
        </is>
      </c>
      <c r="D1743" s="47" t="n">
        <v>1</v>
      </c>
      <c r="E1743" s="26" t="inlineStr">
        <is>
          <t>측정</t>
        </is>
      </c>
      <c r="F1743" s="26" t="inlineStr">
        <is>
          <t>서</t>
        </is>
      </c>
      <c r="G1743" s="31" t="n">
        <v>7</v>
      </c>
      <c r="H1743" s="30" t="n"/>
      <c r="I1743" s="43" t="n"/>
      <c r="J1743" s="41" t="n"/>
      <c r="K1743" s="41" t="n"/>
      <c r="L1743" s="41" t="n"/>
      <c r="M1743" s="31">
        <f>IF(COUNT(J1743:L1743)=0,"",MEDIAN(J1743:L1743))</f>
        <v/>
      </c>
      <c r="N1743" s="26">
        <f>IF(COUNTIFS($C:$C,$C1743,$D:$D,$D1743,$E:$E,"P0(전)",$M:$M,"&gt;0")&lt;&gt;1,"P0(전) 유효 1개 아님",IF(COUNTIFS($C:$C,$C1743,$D:$D,$D1743,$E:$E,"P0(후)",$M:$M,"&gt;0")&lt;&gt;1,"P0(후) 유효 1개 아님",IF(NOT(AND(ISNUMBER(O1743),ISNUMBER(Q1743),ISNUMBER(I1743))),"시각 결측",IF(Q1743&lt;=O1743,"P0 시각 역전",IF(OR(I1743&lt;O1743,I1743&gt;Q1743),"측정시각 구간 밖","OK")))))</f>
        <v/>
      </c>
      <c r="O1743" s="48">
        <f>IF(COUNTIFS($C:$C,$C1743,$D:$D,$D1743,$E:$E,"P0(전)",$M:$M,"&gt;0")&lt;&gt;1,"",SUMIFS($I:$I,$C:$C,$C1743,$D:$D,$D1743,$E:$E,"P0(전)"))</f>
        <v/>
      </c>
      <c r="P1743" s="31">
        <f>IF(COUNTIFS($C:$C,$C1743,$D:$D,$D1743,$E:$E,"P0(전)",$M:$M,"&gt;0")&lt;&gt;1,"",SUMIFS($M:$M,$C:$C,$C1743,$D:$D,$D1743,$E:$E,"P0(전)"))</f>
        <v/>
      </c>
      <c r="Q1743" s="48">
        <f>IF(COUNTIFS($C:$C,$C1743,$D:$D,$D1743,$E:$E,"P0(후)",$M:$M,"&gt;0")&lt;&gt;1,"",SUMIFS($I:$I,$C:$C,$C1743,$D:$D,$D1743,$E:$E,"P0(후)"))</f>
        <v/>
      </c>
      <c r="R1743" s="31">
        <f>IF(COUNTIFS($C:$C,$C1743,$D:$D,$D1743,$E:$E,"P0(후)",$M:$M,"&gt;0")&lt;&gt;1,"",SUMIFS($M:$M,$C:$C,$C1743,$D:$D,$D1743,$E:$E,"P0(후)"))</f>
        <v/>
      </c>
      <c r="S1743" s="31">
        <f>IF(N1743&lt;&gt;"OK","",P1743+(R1743-P1743)*(I1743-O1743)/(Q1743-O1743))</f>
        <v/>
      </c>
      <c r="T1743" s="31">
        <f>IF(OR(N1743&lt;&gt;"OK",NOT(ISNUMBER(M1743))),"",M1743-S1743)</f>
        <v/>
      </c>
      <c r="U1743" s="49">
        <f>IF(OR(NOT(ISNUMBER(T1743)),IF(ISNUMBER(H1743),H1743,G1743)=0),"",T1743/IF(ISNUMBER(H1743),H1743,G1743))</f>
        <v/>
      </c>
      <c r="V1743" s="49">
        <f>IF(ISNUMBER(U1743),ABS(U1743),"")</f>
        <v/>
      </c>
      <c r="W1743" s="49">
        <f>IF(OR($E1742&lt;&gt;"측정",$C1742&lt;&gt;$C1743,$D1742&lt;&gt;$D1743,NOT(ISNUMBER(M1743)),NOT(ISNUMBER(M1742)),(IF(ISNUMBER(H1743),H1743,G1743)-IF(ISNUMBER(H1742),H1742,G1742))=0),"",(M1743-M1742)/(IF(ISNUMBER(H1743),H1743,G1743)-IF(ISNUMBER(H1742),H1742,G1742)))</f>
        <v/>
      </c>
      <c r="X1743" s="31">
        <f>IF(NOT(AND(ISNUMBER(O1743),ISNUMBER(Q1743))),"",(Q1743-O1743)*1440)</f>
        <v/>
      </c>
      <c r="Y1743" s="29" t="n"/>
      <c r="Z1743" s="29" t="n"/>
      <c r="AA1743" s="29" t="n"/>
      <c r="AB1743" s="32" t="n"/>
      <c r="AC1743" s="32" t="n"/>
    </row>
    <row r="1744">
      <c r="A1744" s="26" t="inlineStr">
        <is>
          <t>S34</t>
        </is>
      </c>
      <c r="B1744" s="26" t="inlineStr">
        <is>
          <t>부안 신규점</t>
        </is>
      </c>
      <c r="C1744" s="26" t="inlineStr">
        <is>
          <t>S34-H서</t>
        </is>
      </c>
      <c r="D1744" s="47" t="n">
        <v>1</v>
      </c>
      <c r="E1744" s="26" t="inlineStr">
        <is>
          <t>측정</t>
        </is>
      </c>
      <c r="F1744" s="26" t="inlineStr">
        <is>
          <t>서</t>
        </is>
      </c>
      <c r="G1744" s="31" t="n">
        <v>8</v>
      </c>
      <c r="H1744" s="30" t="n"/>
      <c r="I1744" s="43" t="n"/>
      <c r="J1744" s="41" t="n"/>
      <c r="K1744" s="41" t="n"/>
      <c r="L1744" s="41" t="n"/>
      <c r="M1744" s="31">
        <f>IF(COUNT(J1744:L1744)=0,"",MEDIAN(J1744:L1744))</f>
        <v/>
      </c>
      <c r="N1744" s="26">
        <f>IF(COUNTIFS($C:$C,$C1744,$D:$D,$D1744,$E:$E,"P0(전)",$M:$M,"&gt;0")&lt;&gt;1,"P0(전) 유효 1개 아님",IF(COUNTIFS($C:$C,$C1744,$D:$D,$D1744,$E:$E,"P0(후)",$M:$M,"&gt;0")&lt;&gt;1,"P0(후) 유효 1개 아님",IF(NOT(AND(ISNUMBER(O1744),ISNUMBER(Q1744),ISNUMBER(I1744))),"시각 결측",IF(Q1744&lt;=O1744,"P0 시각 역전",IF(OR(I1744&lt;O1744,I1744&gt;Q1744),"측정시각 구간 밖","OK")))))</f>
        <v/>
      </c>
      <c r="O1744" s="48">
        <f>IF(COUNTIFS($C:$C,$C1744,$D:$D,$D1744,$E:$E,"P0(전)",$M:$M,"&gt;0")&lt;&gt;1,"",SUMIFS($I:$I,$C:$C,$C1744,$D:$D,$D1744,$E:$E,"P0(전)"))</f>
        <v/>
      </c>
      <c r="P1744" s="31">
        <f>IF(COUNTIFS($C:$C,$C1744,$D:$D,$D1744,$E:$E,"P0(전)",$M:$M,"&gt;0")&lt;&gt;1,"",SUMIFS($M:$M,$C:$C,$C1744,$D:$D,$D1744,$E:$E,"P0(전)"))</f>
        <v/>
      </c>
      <c r="Q1744" s="48">
        <f>IF(COUNTIFS($C:$C,$C1744,$D:$D,$D1744,$E:$E,"P0(후)",$M:$M,"&gt;0")&lt;&gt;1,"",SUMIFS($I:$I,$C:$C,$C1744,$D:$D,$D1744,$E:$E,"P0(후)"))</f>
        <v/>
      </c>
      <c r="R1744" s="31">
        <f>IF(COUNTIFS($C:$C,$C1744,$D:$D,$D1744,$E:$E,"P0(후)",$M:$M,"&gt;0")&lt;&gt;1,"",SUMIFS($M:$M,$C:$C,$C1744,$D:$D,$D1744,$E:$E,"P0(후)"))</f>
        <v/>
      </c>
      <c r="S1744" s="31">
        <f>IF(N1744&lt;&gt;"OK","",P1744+(R1744-P1744)*(I1744-O1744)/(Q1744-O1744))</f>
        <v/>
      </c>
      <c r="T1744" s="31">
        <f>IF(OR(N1744&lt;&gt;"OK",NOT(ISNUMBER(M1744))),"",M1744-S1744)</f>
        <v/>
      </c>
      <c r="U1744" s="49">
        <f>IF(OR(NOT(ISNUMBER(T1744)),IF(ISNUMBER(H1744),H1744,G1744)=0),"",T1744/IF(ISNUMBER(H1744),H1744,G1744))</f>
        <v/>
      </c>
      <c r="V1744" s="49">
        <f>IF(ISNUMBER(U1744),ABS(U1744),"")</f>
        <v/>
      </c>
      <c r="W1744" s="49">
        <f>IF(OR($E1743&lt;&gt;"측정",$C1743&lt;&gt;$C1744,$D1743&lt;&gt;$D1744,NOT(ISNUMBER(M1744)),NOT(ISNUMBER(M1743)),(IF(ISNUMBER(H1744),H1744,G1744)-IF(ISNUMBER(H1743),H1743,G1743))=0),"",(M1744-M1743)/(IF(ISNUMBER(H1744),H1744,G1744)-IF(ISNUMBER(H1743),H1743,G1743)))</f>
        <v/>
      </c>
      <c r="X1744" s="31">
        <f>IF(NOT(AND(ISNUMBER(O1744),ISNUMBER(Q1744))),"",(Q1744-O1744)*1440)</f>
        <v/>
      </c>
      <c r="Y1744" s="29" t="n"/>
      <c r="Z1744" s="29" t="n"/>
      <c r="AA1744" s="29" t="n"/>
      <c r="AB1744" s="32" t="n"/>
      <c r="AC1744" s="32" t="n"/>
    </row>
    <row r="1745">
      <c r="A1745" s="26" t="inlineStr">
        <is>
          <t>S34</t>
        </is>
      </c>
      <c r="B1745" s="26" t="inlineStr">
        <is>
          <t>부안 신규점</t>
        </is>
      </c>
      <c r="C1745" s="26" t="inlineStr">
        <is>
          <t>S34-H서</t>
        </is>
      </c>
      <c r="D1745" s="47" t="n">
        <v>1</v>
      </c>
      <c r="E1745" s="26" t="inlineStr">
        <is>
          <t>측정</t>
        </is>
      </c>
      <c r="F1745" s="26" t="inlineStr">
        <is>
          <t>서</t>
        </is>
      </c>
      <c r="G1745" s="31" t="n">
        <v>9</v>
      </c>
      <c r="H1745" s="30" t="n"/>
      <c r="I1745" s="43" t="n"/>
      <c r="J1745" s="41" t="n"/>
      <c r="K1745" s="41" t="n"/>
      <c r="L1745" s="41" t="n"/>
      <c r="M1745" s="31">
        <f>IF(COUNT(J1745:L1745)=0,"",MEDIAN(J1745:L1745))</f>
        <v/>
      </c>
      <c r="N1745" s="26">
        <f>IF(COUNTIFS($C:$C,$C1745,$D:$D,$D1745,$E:$E,"P0(전)",$M:$M,"&gt;0")&lt;&gt;1,"P0(전) 유효 1개 아님",IF(COUNTIFS($C:$C,$C1745,$D:$D,$D1745,$E:$E,"P0(후)",$M:$M,"&gt;0")&lt;&gt;1,"P0(후) 유효 1개 아님",IF(NOT(AND(ISNUMBER(O1745),ISNUMBER(Q1745),ISNUMBER(I1745))),"시각 결측",IF(Q1745&lt;=O1745,"P0 시각 역전",IF(OR(I1745&lt;O1745,I1745&gt;Q1745),"측정시각 구간 밖","OK")))))</f>
        <v/>
      </c>
      <c r="O1745" s="48">
        <f>IF(COUNTIFS($C:$C,$C1745,$D:$D,$D1745,$E:$E,"P0(전)",$M:$M,"&gt;0")&lt;&gt;1,"",SUMIFS($I:$I,$C:$C,$C1745,$D:$D,$D1745,$E:$E,"P0(전)"))</f>
        <v/>
      </c>
      <c r="P1745" s="31">
        <f>IF(COUNTIFS($C:$C,$C1745,$D:$D,$D1745,$E:$E,"P0(전)",$M:$M,"&gt;0")&lt;&gt;1,"",SUMIFS($M:$M,$C:$C,$C1745,$D:$D,$D1745,$E:$E,"P0(전)"))</f>
        <v/>
      </c>
      <c r="Q1745" s="48">
        <f>IF(COUNTIFS($C:$C,$C1745,$D:$D,$D1745,$E:$E,"P0(후)",$M:$M,"&gt;0")&lt;&gt;1,"",SUMIFS($I:$I,$C:$C,$C1745,$D:$D,$D1745,$E:$E,"P0(후)"))</f>
        <v/>
      </c>
      <c r="R1745" s="31">
        <f>IF(COUNTIFS($C:$C,$C1745,$D:$D,$D1745,$E:$E,"P0(후)",$M:$M,"&gt;0")&lt;&gt;1,"",SUMIFS($M:$M,$C:$C,$C1745,$D:$D,$D1745,$E:$E,"P0(후)"))</f>
        <v/>
      </c>
      <c r="S1745" s="31">
        <f>IF(N1745&lt;&gt;"OK","",P1745+(R1745-P1745)*(I1745-O1745)/(Q1745-O1745))</f>
        <v/>
      </c>
      <c r="T1745" s="31">
        <f>IF(OR(N1745&lt;&gt;"OK",NOT(ISNUMBER(M1745))),"",M1745-S1745)</f>
        <v/>
      </c>
      <c r="U1745" s="49">
        <f>IF(OR(NOT(ISNUMBER(T1745)),IF(ISNUMBER(H1745),H1745,G1745)=0),"",T1745/IF(ISNUMBER(H1745),H1745,G1745))</f>
        <v/>
      </c>
      <c r="V1745" s="49">
        <f>IF(ISNUMBER(U1745),ABS(U1745),"")</f>
        <v/>
      </c>
      <c r="W1745" s="49">
        <f>IF(OR($E1744&lt;&gt;"측정",$C1744&lt;&gt;$C1745,$D1744&lt;&gt;$D1745,NOT(ISNUMBER(M1745)),NOT(ISNUMBER(M1744)),(IF(ISNUMBER(H1745),H1745,G1745)-IF(ISNUMBER(H1744),H1744,G1744))=0),"",(M1745-M1744)/(IF(ISNUMBER(H1745),H1745,G1745)-IF(ISNUMBER(H1744),H1744,G1744)))</f>
        <v/>
      </c>
      <c r="X1745" s="31">
        <f>IF(NOT(AND(ISNUMBER(O1745),ISNUMBER(Q1745))),"",(Q1745-O1745)*1440)</f>
        <v/>
      </c>
      <c r="Y1745" s="29" t="n"/>
      <c r="Z1745" s="29" t="n"/>
      <c r="AA1745" s="29" t="n"/>
      <c r="AB1745" s="32" t="n"/>
      <c r="AC1745" s="32" t="n"/>
    </row>
    <row r="1746">
      <c r="A1746" s="26" t="inlineStr">
        <is>
          <t>S34</t>
        </is>
      </c>
      <c r="B1746" s="26" t="inlineStr">
        <is>
          <t>부안 신규점</t>
        </is>
      </c>
      <c r="C1746" s="26" t="inlineStr">
        <is>
          <t>S34-H서</t>
        </is>
      </c>
      <c r="D1746" s="47" t="n">
        <v>1</v>
      </c>
      <c r="E1746" s="26" t="inlineStr">
        <is>
          <t>측정</t>
        </is>
      </c>
      <c r="F1746" s="26" t="inlineStr">
        <is>
          <t>서</t>
        </is>
      </c>
      <c r="G1746" s="31" t="n">
        <v>10</v>
      </c>
      <c r="H1746" s="30" t="n"/>
      <c r="I1746" s="43" t="n"/>
      <c r="J1746" s="41" t="n"/>
      <c r="K1746" s="41" t="n"/>
      <c r="L1746" s="41" t="n"/>
      <c r="M1746" s="31">
        <f>IF(COUNT(J1746:L1746)=0,"",MEDIAN(J1746:L1746))</f>
        <v/>
      </c>
      <c r="N1746" s="26">
        <f>IF(COUNTIFS($C:$C,$C1746,$D:$D,$D1746,$E:$E,"P0(전)",$M:$M,"&gt;0")&lt;&gt;1,"P0(전) 유효 1개 아님",IF(COUNTIFS($C:$C,$C1746,$D:$D,$D1746,$E:$E,"P0(후)",$M:$M,"&gt;0")&lt;&gt;1,"P0(후) 유효 1개 아님",IF(NOT(AND(ISNUMBER(O1746),ISNUMBER(Q1746),ISNUMBER(I1746))),"시각 결측",IF(Q1746&lt;=O1746,"P0 시각 역전",IF(OR(I1746&lt;O1746,I1746&gt;Q1746),"측정시각 구간 밖","OK")))))</f>
        <v/>
      </c>
      <c r="O1746" s="48">
        <f>IF(COUNTIFS($C:$C,$C1746,$D:$D,$D1746,$E:$E,"P0(전)",$M:$M,"&gt;0")&lt;&gt;1,"",SUMIFS($I:$I,$C:$C,$C1746,$D:$D,$D1746,$E:$E,"P0(전)"))</f>
        <v/>
      </c>
      <c r="P1746" s="31">
        <f>IF(COUNTIFS($C:$C,$C1746,$D:$D,$D1746,$E:$E,"P0(전)",$M:$M,"&gt;0")&lt;&gt;1,"",SUMIFS($M:$M,$C:$C,$C1746,$D:$D,$D1746,$E:$E,"P0(전)"))</f>
        <v/>
      </c>
      <c r="Q1746" s="48">
        <f>IF(COUNTIFS($C:$C,$C1746,$D:$D,$D1746,$E:$E,"P0(후)",$M:$M,"&gt;0")&lt;&gt;1,"",SUMIFS($I:$I,$C:$C,$C1746,$D:$D,$D1746,$E:$E,"P0(후)"))</f>
        <v/>
      </c>
      <c r="R1746" s="31">
        <f>IF(COUNTIFS($C:$C,$C1746,$D:$D,$D1746,$E:$E,"P0(후)",$M:$M,"&gt;0")&lt;&gt;1,"",SUMIFS($M:$M,$C:$C,$C1746,$D:$D,$D1746,$E:$E,"P0(후)"))</f>
        <v/>
      </c>
      <c r="S1746" s="31">
        <f>IF(N1746&lt;&gt;"OK","",P1746+(R1746-P1746)*(I1746-O1746)/(Q1746-O1746))</f>
        <v/>
      </c>
      <c r="T1746" s="31">
        <f>IF(OR(N1746&lt;&gt;"OK",NOT(ISNUMBER(M1746))),"",M1746-S1746)</f>
        <v/>
      </c>
      <c r="U1746" s="49">
        <f>IF(OR(NOT(ISNUMBER(T1746)),IF(ISNUMBER(H1746),H1746,G1746)=0),"",T1746/IF(ISNUMBER(H1746),H1746,G1746))</f>
        <v/>
      </c>
      <c r="V1746" s="49">
        <f>IF(ISNUMBER(U1746),ABS(U1746),"")</f>
        <v/>
      </c>
      <c r="W1746" s="49">
        <f>IF(OR($E1745&lt;&gt;"측정",$C1745&lt;&gt;$C1746,$D1745&lt;&gt;$D1746,NOT(ISNUMBER(M1746)),NOT(ISNUMBER(M1745)),(IF(ISNUMBER(H1746),H1746,G1746)-IF(ISNUMBER(H1745),H1745,G1745))=0),"",(M1746-M1745)/(IF(ISNUMBER(H1746),H1746,G1746)-IF(ISNUMBER(H1745),H1745,G1745)))</f>
        <v/>
      </c>
      <c r="X1746" s="31">
        <f>IF(NOT(AND(ISNUMBER(O1746),ISNUMBER(Q1746))),"",(Q1746-O1746)*1440)</f>
        <v/>
      </c>
      <c r="Y1746" s="29" t="n"/>
      <c r="Z1746" s="29" t="n"/>
      <c r="AA1746" s="29" t="n"/>
      <c r="AB1746" s="32" t="n"/>
      <c r="AC1746" s="32" t="n"/>
    </row>
    <row r="1747">
      <c r="A1747" s="44" t="inlineStr">
        <is>
          <t>S34</t>
        </is>
      </c>
      <c r="B1747" s="44" t="inlineStr">
        <is>
          <t>부안 신규점</t>
        </is>
      </c>
      <c r="C1747" s="44" t="inlineStr">
        <is>
          <t>S34-H서</t>
        </is>
      </c>
      <c r="D1747" s="45" t="n">
        <v>1</v>
      </c>
      <c r="E1747" s="44" t="inlineStr">
        <is>
          <t>P0(후)</t>
        </is>
      </c>
      <c r="F1747" s="44" t="inlineStr">
        <is>
          <t>서</t>
        </is>
      </c>
      <c r="G1747" s="46" t="n"/>
      <c r="H1747" s="30" t="n"/>
      <c r="I1747" s="43" t="n"/>
      <c r="J1747" s="41" t="n"/>
      <c r="K1747" s="41" t="n"/>
      <c r="L1747" s="41" t="n"/>
      <c r="M1747" s="31">
        <f>IF(COUNT(J1747:L1747)=0,"",MEDIAN(J1747:L1747))</f>
        <v/>
      </c>
      <c r="N1747" s="38" t="n"/>
      <c r="O1747" s="38" t="n"/>
      <c r="P1747" s="38" t="n"/>
      <c r="Q1747" s="38" t="n"/>
      <c r="R1747" s="38" t="n"/>
      <c r="S1747" s="38" t="n"/>
      <c r="T1747" s="38" t="n"/>
      <c r="U1747" s="38" t="n"/>
      <c r="V1747" s="38" t="n"/>
      <c r="W1747" s="38" t="n"/>
      <c r="X1747" s="38" t="n"/>
      <c r="Y1747" s="29" t="n"/>
      <c r="Z1747" s="29" t="n"/>
      <c r="AA1747" s="29" t="n"/>
      <c r="AB1747" s="32" t="n"/>
      <c r="AC1747" s="32" t="n"/>
    </row>
    <row r="1748">
      <c r="A1748" s="44" t="inlineStr">
        <is>
          <t>S34</t>
        </is>
      </c>
      <c r="B1748" s="44" t="inlineStr">
        <is>
          <t>부안 신규점</t>
        </is>
      </c>
      <c r="C1748" s="44" t="inlineStr">
        <is>
          <t>S34-H남</t>
        </is>
      </c>
      <c r="D1748" s="45" t="n">
        <v>1</v>
      </c>
      <c r="E1748" s="44" t="inlineStr">
        <is>
          <t>P0(전)</t>
        </is>
      </c>
      <c r="F1748" s="44" t="inlineStr">
        <is>
          <t>남</t>
        </is>
      </c>
      <c r="G1748" s="46" t="n"/>
      <c r="H1748" s="30" t="n"/>
      <c r="I1748" s="43" t="n"/>
      <c r="J1748" s="41" t="n"/>
      <c r="K1748" s="41" t="n"/>
      <c r="L1748" s="41" t="n"/>
      <c r="M1748" s="31">
        <f>IF(COUNT(J1748:L1748)=0,"",MEDIAN(J1748:L1748))</f>
        <v/>
      </c>
      <c r="N1748" s="38" t="n"/>
      <c r="O1748" s="38" t="n"/>
      <c r="P1748" s="38" t="n"/>
      <c r="Q1748" s="38" t="n"/>
      <c r="R1748" s="38" t="n"/>
      <c r="S1748" s="38" t="n"/>
      <c r="T1748" s="38" t="n"/>
      <c r="U1748" s="38" t="n"/>
      <c r="V1748" s="38" t="n"/>
      <c r="W1748" s="38" t="n"/>
      <c r="X1748" s="38" t="n"/>
      <c r="Y1748" s="29" t="n"/>
      <c r="Z1748" s="29" t="n"/>
      <c r="AA1748" s="29" t="n"/>
      <c r="AB1748" s="32" t="n"/>
      <c r="AC1748" s="32" t="n"/>
    </row>
    <row r="1749">
      <c r="A1749" s="26" t="inlineStr">
        <is>
          <t>S34</t>
        </is>
      </c>
      <c r="B1749" s="26" t="inlineStr">
        <is>
          <t>부안 신규점</t>
        </is>
      </c>
      <c r="C1749" s="26" t="inlineStr">
        <is>
          <t>S34-H남</t>
        </is>
      </c>
      <c r="D1749" s="47" t="n">
        <v>1</v>
      </c>
      <c r="E1749" s="26" t="inlineStr">
        <is>
          <t>측정</t>
        </is>
      </c>
      <c r="F1749" s="26" t="inlineStr">
        <is>
          <t>남</t>
        </is>
      </c>
      <c r="G1749" s="31" t="n">
        <v>0.5</v>
      </c>
      <c r="H1749" s="30" t="n"/>
      <c r="I1749" s="43" t="n"/>
      <c r="J1749" s="41" t="n"/>
      <c r="K1749" s="41" t="n"/>
      <c r="L1749" s="41" t="n"/>
      <c r="M1749" s="31">
        <f>IF(COUNT(J1749:L1749)=0,"",MEDIAN(J1749:L1749))</f>
        <v/>
      </c>
      <c r="N1749" s="26">
        <f>IF(COUNTIFS($C:$C,$C1749,$D:$D,$D1749,$E:$E,"P0(전)",$M:$M,"&gt;0")&lt;&gt;1,"P0(전) 유효 1개 아님",IF(COUNTIFS($C:$C,$C1749,$D:$D,$D1749,$E:$E,"P0(후)",$M:$M,"&gt;0")&lt;&gt;1,"P0(후) 유효 1개 아님",IF(NOT(AND(ISNUMBER(O1749),ISNUMBER(Q1749),ISNUMBER(I1749))),"시각 결측",IF(Q1749&lt;=O1749,"P0 시각 역전",IF(OR(I1749&lt;O1749,I1749&gt;Q1749),"측정시각 구간 밖","OK")))))</f>
        <v/>
      </c>
      <c r="O1749" s="48">
        <f>IF(COUNTIFS($C:$C,$C1749,$D:$D,$D1749,$E:$E,"P0(전)",$M:$M,"&gt;0")&lt;&gt;1,"",SUMIFS($I:$I,$C:$C,$C1749,$D:$D,$D1749,$E:$E,"P0(전)"))</f>
        <v/>
      </c>
      <c r="P1749" s="31">
        <f>IF(COUNTIFS($C:$C,$C1749,$D:$D,$D1749,$E:$E,"P0(전)",$M:$M,"&gt;0")&lt;&gt;1,"",SUMIFS($M:$M,$C:$C,$C1749,$D:$D,$D1749,$E:$E,"P0(전)"))</f>
        <v/>
      </c>
      <c r="Q1749" s="48">
        <f>IF(COUNTIFS($C:$C,$C1749,$D:$D,$D1749,$E:$E,"P0(후)",$M:$M,"&gt;0")&lt;&gt;1,"",SUMIFS($I:$I,$C:$C,$C1749,$D:$D,$D1749,$E:$E,"P0(후)"))</f>
        <v/>
      </c>
      <c r="R1749" s="31">
        <f>IF(COUNTIFS($C:$C,$C1749,$D:$D,$D1749,$E:$E,"P0(후)",$M:$M,"&gt;0")&lt;&gt;1,"",SUMIFS($M:$M,$C:$C,$C1749,$D:$D,$D1749,$E:$E,"P0(후)"))</f>
        <v/>
      </c>
      <c r="S1749" s="31">
        <f>IF(N1749&lt;&gt;"OK","",P1749+(R1749-P1749)*(I1749-O1749)/(Q1749-O1749))</f>
        <v/>
      </c>
      <c r="T1749" s="31">
        <f>IF(OR(N1749&lt;&gt;"OK",NOT(ISNUMBER(M1749))),"",M1749-S1749)</f>
        <v/>
      </c>
      <c r="U1749" s="49">
        <f>IF(OR(NOT(ISNUMBER(T1749)),IF(ISNUMBER(H1749),H1749,G1749)=0),"",T1749/IF(ISNUMBER(H1749),H1749,G1749))</f>
        <v/>
      </c>
      <c r="V1749" s="49">
        <f>IF(ISNUMBER(U1749),ABS(U1749),"")</f>
        <v/>
      </c>
      <c r="W1749" s="49">
        <f>IF(OR($E1748&lt;&gt;"측정",$C1748&lt;&gt;$C1749,$D1748&lt;&gt;$D1749,NOT(ISNUMBER(M1749)),NOT(ISNUMBER(M1748)),(IF(ISNUMBER(H1749),H1749,G1749)-IF(ISNUMBER(H1748),H1748,G1748))=0),"",(M1749-M1748)/(IF(ISNUMBER(H1749),H1749,G1749)-IF(ISNUMBER(H1748),H1748,G1748)))</f>
        <v/>
      </c>
      <c r="X1749" s="31">
        <f>IF(NOT(AND(ISNUMBER(O1749),ISNUMBER(Q1749))),"",(Q1749-O1749)*1440)</f>
        <v/>
      </c>
      <c r="Y1749" s="29" t="n"/>
      <c r="Z1749" s="29" t="n"/>
      <c r="AA1749" s="29" t="n"/>
      <c r="AB1749" s="32" t="n"/>
      <c r="AC1749" s="32" t="n"/>
    </row>
    <row r="1750">
      <c r="A1750" s="26" t="inlineStr">
        <is>
          <t>S34</t>
        </is>
      </c>
      <c r="B1750" s="26" t="inlineStr">
        <is>
          <t>부안 신규점</t>
        </is>
      </c>
      <c r="C1750" s="26" t="inlineStr">
        <is>
          <t>S34-H남</t>
        </is>
      </c>
      <c r="D1750" s="47" t="n">
        <v>1</v>
      </c>
      <c r="E1750" s="26" t="inlineStr">
        <is>
          <t>측정</t>
        </is>
      </c>
      <c r="F1750" s="26" t="inlineStr">
        <is>
          <t>남</t>
        </is>
      </c>
      <c r="G1750" s="31" t="n">
        <v>1</v>
      </c>
      <c r="H1750" s="30" t="n"/>
      <c r="I1750" s="43" t="n"/>
      <c r="J1750" s="41" t="n"/>
      <c r="K1750" s="41" t="n"/>
      <c r="L1750" s="41" t="n"/>
      <c r="M1750" s="31">
        <f>IF(COUNT(J1750:L1750)=0,"",MEDIAN(J1750:L1750))</f>
        <v/>
      </c>
      <c r="N1750" s="26">
        <f>IF(COUNTIFS($C:$C,$C1750,$D:$D,$D1750,$E:$E,"P0(전)",$M:$M,"&gt;0")&lt;&gt;1,"P0(전) 유효 1개 아님",IF(COUNTIFS($C:$C,$C1750,$D:$D,$D1750,$E:$E,"P0(후)",$M:$M,"&gt;0")&lt;&gt;1,"P0(후) 유효 1개 아님",IF(NOT(AND(ISNUMBER(O1750),ISNUMBER(Q1750),ISNUMBER(I1750))),"시각 결측",IF(Q1750&lt;=O1750,"P0 시각 역전",IF(OR(I1750&lt;O1750,I1750&gt;Q1750),"측정시각 구간 밖","OK")))))</f>
        <v/>
      </c>
      <c r="O1750" s="48">
        <f>IF(COUNTIFS($C:$C,$C1750,$D:$D,$D1750,$E:$E,"P0(전)",$M:$M,"&gt;0")&lt;&gt;1,"",SUMIFS($I:$I,$C:$C,$C1750,$D:$D,$D1750,$E:$E,"P0(전)"))</f>
        <v/>
      </c>
      <c r="P1750" s="31">
        <f>IF(COUNTIFS($C:$C,$C1750,$D:$D,$D1750,$E:$E,"P0(전)",$M:$M,"&gt;0")&lt;&gt;1,"",SUMIFS($M:$M,$C:$C,$C1750,$D:$D,$D1750,$E:$E,"P0(전)"))</f>
        <v/>
      </c>
      <c r="Q1750" s="48">
        <f>IF(COUNTIFS($C:$C,$C1750,$D:$D,$D1750,$E:$E,"P0(후)",$M:$M,"&gt;0")&lt;&gt;1,"",SUMIFS($I:$I,$C:$C,$C1750,$D:$D,$D1750,$E:$E,"P0(후)"))</f>
        <v/>
      </c>
      <c r="R1750" s="31">
        <f>IF(COUNTIFS($C:$C,$C1750,$D:$D,$D1750,$E:$E,"P0(후)",$M:$M,"&gt;0")&lt;&gt;1,"",SUMIFS($M:$M,$C:$C,$C1750,$D:$D,$D1750,$E:$E,"P0(후)"))</f>
        <v/>
      </c>
      <c r="S1750" s="31">
        <f>IF(N1750&lt;&gt;"OK","",P1750+(R1750-P1750)*(I1750-O1750)/(Q1750-O1750))</f>
        <v/>
      </c>
      <c r="T1750" s="31">
        <f>IF(OR(N1750&lt;&gt;"OK",NOT(ISNUMBER(M1750))),"",M1750-S1750)</f>
        <v/>
      </c>
      <c r="U1750" s="49">
        <f>IF(OR(NOT(ISNUMBER(T1750)),IF(ISNUMBER(H1750),H1750,G1750)=0),"",T1750/IF(ISNUMBER(H1750),H1750,G1750))</f>
        <v/>
      </c>
      <c r="V1750" s="49">
        <f>IF(ISNUMBER(U1750),ABS(U1750),"")</f>
        <v/>
      </c>
      <c r="W1750" s="49">
        <f>IF(OR($E1749&lt;&gt;"측정",$C1749&lt;&gt;$C1750,$D1749&lt;&gt;$D1750,NOT(ISNUMBER(M1750)),NOT(ISNUMBER(M1749)),(IF(ISNUMBER(H1750),H1750,G1750)-IF(ISNUMBER(H1749),H1749,G1749))=0),"",(M1750-M1749)/(IF(ISNUMBER(H1750),H1750,G1750)-IF(ISNUMBER(H1749),H1749,G1749)))</f>
        <v/>
      </c>
      <c r="X1750" s="31">
        <f>IF(NOT(AND(ISNUMBER(O1750),ISNUMBER(Q1750))),"",(Q1750-O1750)*1440)</f>
        <v/>
      </c>
      <c r="Y1750" s="29" t="n"/>
      <c r="Z1750" s="29" t="n"/>
      <c r="AA1750" s="29" t="n"/>
      <c r="AB1750" s="32" t="n"/>
      <c r="AC1750" s="32" t="n"/>
    </row>
    <row r="1751">
      <c r="A1751" s="26" t="inlineStr">
        <is>
          <t>S34</t>
        </is>
      </c>
      <c r="B1751" s="26" t="inlineStr">
        <is>
          <t>부안 신규점</t>
        </is>
      </c>
      <c r="C1751" s="26" t="inlineStr">
        <is>
          <t>S34-H남</t>
        </is>
      </c>
      <c r="D1751" s="47" t="n">
        <v>1</v>
      </c>
      <c r="E1751" s="26" t="inlineStr">
        <is>
          <t>측정</t>
        </is>
      </c>
      <c r="F1751" s="26" t="inlineStr">
        <is>
          <t>남</t>
        </is>
      </c>
      <c r="G1751" s="31" t="n">
        <v>2</v>
      </c>
      <c r="H1751" s="30" t="n"/>
      <c r="I1751" s="43" t="n"/>
      <c r="J1751" s="41" t="n"/>
      <c r="K1751" s="41" t="n"/>
      <c r="L1751" s="41" t="n"/>
      <c r="M1751" s="31">
        <f>IF(COUNT(J1751:L1751)=0,"",MEDIAN(J1751:L1751))</f>
        <v/>
      </c>
      <c r="N1751" s="26">
        <f>IF(COUNTIFS($C:$C,$C1751,$D:$D,$D1751,$E:$E,"P0(전)",$M:$M,"&gt;0")&lt;&gt;1,"P0(전) 유효 1개 아님",IF(COUNTIFS($C:$C,$C1751,$D:$D,$D1751,$E:$E,"P0(후)",$M:$M,"&gt;0")&lt;&gt;1,"P0(후) 유효 1개 아님",IF(NOT(AND(ISNUMBER(O1751),ISNUMBER(Q1751),ISNUMBER(I1751))),"시각 결측",IF(Q1751&lt;=O1751,"P0 시각 역전",IF(OR(I1751&lt;O1751,I1751&gt;Q1751),"측정시각 구간 밖","OK")))))</f>
        <v/>
      </c>
      <c r="O1751" s="48">
        <f>IF(COUNTIFS($C:$C,$C1751,$D:$D,$D1751,$E:$E,"P0(전)",$M:$M,"&gt;0")&lt;&gt;1,"",SUMIFS($I:$I,$C:$C,$C1751,$D:$D,$D1751,$E:$E,"P0(전)"))</f>
        <v/>
      </c>
      <c r="P1751" s="31">
        <f>IF(COUNTIFS($C:$C,$C1751,$D:$D,$D1751,$E:$E,"P0(전)",$M:$M,"&gt;0")&lt;&gt;1,"",SUMIFS($M:$M,$C:$C,$C1751,$D:$D,$D1751,$E:$E,"P0(전)"))</f>
        <v/>
      </c>
      <c r="Q1751" s="48">
        <f>IF(COUNTIFS($C:$C,$C1751,$D:$D,$D1751,$E:$E,"P0(후)",$M:$M,"&gt;0")&lt;&gt;1,"",SUMIFS($I:$I,$C:$C,$C1751,$D:$D,$D1751,$E:$E,"P0(후)"))</f>
        <v/>
      </c>
      <c r="R1751" s="31">
        <f>IF(COUNTIFS($C:$C,$C1751,$D:$D,$D1751,$E:$E,"P0(후)",$M:$M,"&gt;0")&lt;&gt;1,"",SUMIFS($M:$M,$C:$C,$C1751,$D:$D,$D1751,$E:$E,"P0(후)"))</f>
        <v/>
      </c>
      <c r="S1751" s="31">
        <f>IF(N1751&lt;&gt;"OK","",P1751+(R1751-P1751)*(I1751-O1751)/(Q1751-O1751))</f>
        <v/>
      </c>
      <c r="T1751" s="31">
        <f>IF(OR(N1751&lt;&gt;"OK",NOT(ISNUMBER(M1751))),"",M1751-S1751)</f>
        <v/>
      </c>
      <c r="U1751" s="49">
        <f>IF(OR(NOT(ISNUMBER(T1751)),IF(ISNUMBER(H1751),H1751,G1751)=0),"",T1751/IF(ISNUMBER(H1751),H1751,G1751))</f>
        <v/>
      </c>
      <c r="V1751" s="49">
        <f>IF(ISNUMBER(U1751),ABS(U1751),"")</f>
        <v/>
      </c>
      <c r="W1751" s="49">
        <f>IF(OR($E1750&lt;&gt;"측정",$C1750&lt;&gt;$C1751,$D1750&lt;&gt;$D1751,NOT(ISNUMBER(M1751)),NOT(ISNUMBER(M1750)),(IF(ISNUMBER(H1751),H1751,G1751)-IF(ISNUMBER(H1750),H1750,G1750))=0),"",(M1751-M1750)/(IF(ISNUMBER(H1751),H1751,G1751)-IF(ISNUMBER(H1750),H1750,G1750)))</f>
        <v/>
      </c>
      <c r="X1751" s="31">
        <f>IF(NOT(AND(ISNUMBER(O1751),ISNUMBER(Q1751))),"",(Q1751-O1751)*1440)</f>
        <v/>
      </c>
      <c r="Y1751" s="29" t="n"/>
      <c r="Z1751" s="29" t="n"/>
      <c r="AA1751" s="29" t="n"/>
      <c r="AB1751" s="32" t="n"/>
      <c r="AC1751" s="32" t="n"/>
    </row>
    <row r="1752">
      <c r="A1752" s="26" t="inlineStr">
        <is>
          <t>S34</t>
        </is>
      </c>
      <c r="B1752" s="26" t="inlineStr">
        <is>
          <t>부안 신규점</t>
        </is>
      </c>
      <c r="C1752" s="26" t="inlineStr">
        <is>
          <t>S34-H남</t>
        </is>
      </c>
      <c r="D1752" s="47" t="n">
        <v>1</v>
      </c>
      <c r="E1752" s="26" t="inlineStr">
        <is>
          <t>측정</t>
        </is>
      </c>
      <c r="F1752" s="26" t="inlineStr">
        <is>
          <t>남</t>
        </is>
      </c>
      <c r="G1752" s="31" t="n">
        <v>3</v>
      </c>
      <c r="H1752" s="30" t="n"/>
      <c r="I1752" s="43" t="n"/>
      <c r="J1752" s="41" t="n"/>
      <c r="K1752" s="41" t="n"/>
      <c r="L1752" s="41" t="n"/>
      <c r="M1752" s="31">
        <f>IF(COUNT(J1752:L1752)=0,"",MEDIAN(J1752:L1752))</f>
        <v/>
      </c>
      <c r="N1752" s="26">
        <f>IF(COUNTIFS($C:$C,$C1752,$D:$D,$D1752,$E:$E,"P0(전)",$M:$M,"&gt;0")&lt;&gt;1,"P0(전) 유효 1개 아님",IF(COUNTIFS($C:$C,$C1752,$D:$D,$D1752,$E:$E,"P0(후)",$M:$M,"&gt;0")&lt;&gt;1,"P0(후) 유효 1개 아님",IF(NOT(AND(ISNUMBER(O1752),ISNUMBER(Q1752),ISNUMBER(I1752))),"시각 결측",IF(Q1752&lt;=O1752,"P0 시각 역전",IF(OR(I1752&lt;O1752,I1752&gt;Q1752),"측정시각 구간 밖","OK")))))</f>
        <v/>
      </c>
      <c r="O1752" s="48">
        <f>IF(COUNTIFS($C:$C,$C1752,$D:$D,$D1752,$E:$E,"P0(전)",$M:$M,"&gt;0")&lt;&gt;1,"",SUMIFS($I:$I,$C:$C,$C1752,$D:$D,$D1752,$E:$E,"P0(전)"))</f>
        <v/>
      </c>
      <c r="P1752" s="31">
        <f>IF(COUNTIFS($C:$C,$C1752,$D:$D,$D1752,$E:$E,"P0(전)",$M:$M,"&gt;0")&lt;&gt;1,"",SUMIFS($M:$M,$C:$C,$C1752,$D:$D,$D1752,$E:$E,"P0(전)"))</f>
        <v/>
      </c>
      <c r="Q1752" s="48">
        <f>IF(COUNTIFS($C:$C,$C1752,$D:$D,$D1752,$E:$E,"P0(후)",$M:$M,"&gt;0")&lt;&gt;1,"",SUMIFS($I:$I,$C:$C,$C1752,$D:$D,$D1752,$E:$E,"P0(후)"))</f>
        <v/>
      </c>
      <c r="R1752" s="31">
        <f>IF(COUNTIFS($C:$C,$C1752,$D:$D,$D1752,$E:$E,"P0(후)",$M:$M,"&gt;0")&lt;&gt;1,"",SUMIFS($M:$M,$C:$C,$C1752,$D:$D,$D1752,$E:$E,"P0(후)"))</f>
        <v/>
      </c>
      <c r="S1752" s="31">
        <f>IF(N1752&lt;&gt;"OK","",P1752+(R1752-P1752)*(I1752-O1752)/(Q1752-O1752))</f>
        <v/>
      </c>
      <c r="T1752" s="31">
        <f>IF(OR(N1752&lt;&gt;"OK",NOT(ISNUMBER(M1752))),"",M1752-S1752)</f>
        <v/>
      </c>
      <c r="U1752" s="49">
        <f>IF(OR(NOT(ISNUMBER(T1752)),IF(ISNUMBER(H1752),H1752,G1752)=0),"",T1752/IF(ISNUMBER(H1752),H1752,G1752))</f>
        <v/>
      </c>
      <c r="V1752" s="49">
        <f>IF(ISNUMBER(U1752),ABS(U1752),"")</f>
        <v/>
      </c>
      <c r="W1752" s="49">
        <f>IF(OR($E1751&lt;&gt;"측정",$C1751&lt;&gt;$C1752,$D1751&lt;&gt;$D1752,NOT(ISNUMBER(M1752)),NOT(ISNUMBER(M1751)),(IF(ISNUMBER(H1752),H1752,G1752)-IF(ISNUMBER(H1751),H1751,G1751))=0),"",(M1752-M1751)/(IF(ISNUMBER(H1752),H1752,G1752)-IF(ISNUMBER(H1751),H1751,G1751)))</f>
        <v/>
      </c>
      <c r="X1752" s="31">
        <f>IF(NOT(AND(ISNUMBER(O1752),ISNUMBER(Q1752))),"",(Q1752-O1752)*1440)</f>
        <v/>
      </c>
      <c r="Y1752" s="29" t="n"/>
      <c r="Z1752" s="29" t="n"/>
      <c r="AA1752" s="29" t="n"/>
      <c r="AB1752" s="32" t="n"/>
      <c r="AC1752" s="32" t="n"/>
    </row>
    <row r="1753">
      <c r="A1753" s="26" t="inlineStr">
        <is>
          <t>S34</t>
        </is>
      </c>
      <c r="B1753" s="26" t="inlineStr">
        <is>
          <t>부안 신규점</t>
        </is>
      </c>
      <c r="C1753" s="26" t="inlineStr">
        <is>
          <t>S34-H남</t>
        </is>
      </c>
      <c r="D1753" s="47" t="n">
        <v>1</v>
      </c>
      <c r="E1753" s="26" t="inlineStr">
        <is>
          <t>측정</t>
        </is>
      </c>
      <c r="F1753" s="26" t="inlineStr">
        <is>
          <t>남</t>
        </is>
      </c>
      <c r="G1753" s="31" t="n">
        <v>4</v>
      </c>
      <c r="H1753" s="30" t="n"/>
      <c r="I1753" s="43" t="n"/>
      <c r="J1753" s="41" t="n"/>
      <c r="K1753" s="41" t="n"/>
      <c r="L1753" s="41" t="n"/>
      <c r="M1753" s="31">
        <f>IF(COUNT(J1753:L1753)=0,"",MEDIAN(J1753:L1753))</f>
        <v/>
      </c>
      <c r="N1753" s="26">
        <f>IF(COUNTIFS($C:$C,$C1753,$D:$D,$D1753,$E:$E,"P0(전)",$M:$M,"&gt;0")&lt;&gt;1,"P0(전) 유효 1개 아님",IF(COUNTIFS($C:$C,$C1753,$D:$D,$D1753,$E:$E,"P0(후)",$M:$M,"&gt;0")&lt;&gt;1,"P0(후) 유효 1개 아님",IF(NOT(AND(ISNUMBER(O1753),ISNUMBER(Q1753),ISNUMBER(I1753))),"시각 결측",IF(Q1753&lt;=O1753,"P0 시각 역전",IF(OR(I1753&lt;O1753,I1753&gt;Q1753),"측정시각 구간 밖","OK")))))</f>
        <v/>
      </c>
      <c r="O1753" s="48">
        <f>IF(COUNTIFS($C:$C,$C1753,$D:$D,$D1753,$E:$E,"P0(전)",$M:$M,"&gt;0")&lt;&gt;1,"",SUMIFS($I:$I,$C:$C,$C1753,$D:$D,$D1753,$E:$E,"P0(전)"))</f>
        <v/>
      </c>
      <c r="P1753" s="31">
        <f>IF(COUNTIFS($C:$C,$C1753,$D:$D,$D1753,$E:$E,"P0(전)",$M:$M,"&gt;0")&lt;&gt;1,"",SUMIFS($M:$M,$C:$C,$C1753,$D:$D,$D1753,$E:$E,"P0(전)"))</f>
        <v/>
      </c>
      <c r="Q1753" s="48">
        <f>IF(COUNTIFS($C:$C,$C1753,$D:$D,$D1753,$E:$E,"P0(후)",$M:$M,"&gt;0")&lt;&gt;1,"",SUMIFS($I:$I,$C:$C,$C1753,$D:$D,$D1753,$E:$E,"P0(후)"))</f>
        <v/>
      </c>
      <c r="R1753" s="31">
        <f>IF(COUNTIFS($C:$C,$C1753,$D:$D,$D1753,$E:$E,"P0(후)",$M:$M,"&gt;0")&lt;&gt;1,"",SUMIFS($M:$M,$C:$C,$C1753,$D:$D,$D1753,$E:$E,"P0(후)"))</f>
        <v/>
      </c>
      <c r="S1753" s="31">
        <f>IF(N1753&lt;&gt;"OK","",P1753+(R1753-P1753)*(I1753-O1753)/(Q1753-O1753))</f>
        <v/>
      </c>
      <c r="T1753" s="31">
        <f>IF(OR(N1753&lt;&gt;"OK",NOT(ISNUMBER(M1753))),"",M1753-S1753)</f>
        <v/>
      </c>
      <c r="U1753" s="49">
        <f>IF(OR(NOT(ISNUMBER(T1753)),IF(ISNUMBER(H1753),H1753,G1753)=0),"",T1753/IF(ISNUMBER(H1753),H1753,G1753))</f>
        <v/>
      </c>
      <c r="V1753" s="49">
        <f>IF(ISNUMBER(U1753),ABS(U1753),"")</f>
        <v/>
      </c>
      <c r="W1753" s="49">
        <f>IF(OR($E1752&lt;&gt;"측정",$C1752&lt;&gt;$C1753,$D1752&lt;&gt;$D1753,NOT(ISNUMBER(M1753)),NOT(ISNUMBER(M1752)),(IF(ISNUMBER(H1753),H1753,G1753)-IF(ISNUMBER(H1752),H1752,G1752))=0),"",(M1753-M1752)/(IF(ISNUMBER(H1753),H1753,G1753)-IF(ISNUMBER(H1752),H1752,G1752)))</f>
        <v/>
      </c>
      <c r="X1753" s="31">
        <f>IF(NOT(AND(ISNUMBER(O1753),ISNUMBER(Q1753))),"",(Q1753-O1753)*1440)</f>
        <v/>
      </c>
      <c r="Y1753" s="29" t="n"/>
      <c r="Z1753" s="29" t="n"/>
      <c r="AA1753" s="29" t="n"/>
      <c r="AB1753" s="32" t="n"/>
      <c r="AC1753" s="32" t="n"/>
    </row>
    <row r="1754">
      <c r="A1754" s="26" t="inlineStr">
        <is>
          <t>S34</t>
        </is>
      </c>
      <c r="B1754" s="26" t="inlineStr">
        <is>
          <t>부안 신규점</t>
        </is>
      </c>
      <c r="C1754" s="26" t="inlineStr">
        <is>
          <t>S34-H남</t>
        </is>
      </c>
      <c r="D1754" s="47" t="n">
        <v>1</v>
      </c>
      <c r="E1754" s="26" t="inlineStr">
        <is>
          <t>측정</t>
        </is>
      </c>
      <c r="F1754" s="26" t="inlineStr">
        <is>
          <t>남</t>
        </is>
      </c>
      <c r="G1754" s="31" t="n">
        <v>5</v>
      </c>
      <c r="H1754" s="30" t="n"/>
      <c r="I1754" s="43" t="n"/>
      <c r="J1754" s="41" t="n"/>
      <c r="K1754" s="41" t="n"/>
      <c r="L1754" s="41" t="n"/>
      <c r="M1754" s="31">
        <f>IF(COUNT(J1754:L1754)=0,"",MEDIAN(J1754:L1754))</f>
        <v/>
      </c>
      <c r="N1754" s="26">
        <f>IF(COUNTIFS($C:$C,$C1754,$D:$D,$D1754,$E:$E,"P0(전)",$M:$M,"&gt;0")&lt;&gt;1,"P0(전) 유효 1개 아님",IF(COUNTIFS($C:$C,$C1754,$D:$D,$D1754,$E:$E,"P0(후)",$M:$M,"&gt;0")&lt;&gt;1,"P0(후) 유효 1개 아님",IF(NOT(AND(ISNUMBER(O1754),ISNUMBER(Q1754),ISNUMBER(I1754))),"시각 결측",IF(Q1754&lt;=O1754,"P0 시각 역전",IF(OR(I1754&lt;O1754,I1754&gt;Q1754),"측정시각 구간 밖","OK")))))</f>
        <v/>
      </c>
      <c r="O1754" s="48">
        <f>IF(COUNTIFS($C:$C,$C1754,$D:$D,$D1754,$E:$E,"P0(전)",$M:$M,"&gt;0")&lt;&gt;1,"",SUMIFS($I:$I,$C:$C,$C1754,$D:$D,$D1754,$E:$E,"P0(전)"))</f>
        <v/>
      </c>
      <c r="P1754" s="31">
        <f>IF(COUNTIFS($C:$C,$C1754,$D:$D,$D1754,$E:$E,"P0(전)",$M:$M,"&gt;0")&lt;&gt;1,"",SUMIFS($M:$M,$C:$C,$C1754,$D:$D,$D1754,$E:$E,"P0(전)"))</f>
        <v/>
      </c>
      <c r="Q1754" s="48">
        <f>IF(COUNTIFS($C:$C,$C1754,$D:$D,$D1754,$E:$E,"P0(후)",$M:$M,"&gt;0")&lt;&gt;1,"",SUMIFS($I:$I,$C:$C,$C1754,$D:$D,$D1754,$E:$E,"P0(후)"))</f>
        <v/>
      </c>
      <c r="R1754" s="31">
        <f>IF(COUNTIFS($C:$C,$C1754,$D:$D,$D1754,$E:$E,"P0(후)",$M:$M,"&gt;0")&lt;&gt;1,"",SUMIFS($M:$M,$C:$C,$C1754,$D:$D,$D1754,$E:$E,"P0(후)"))</f>
        <v/>
      </c>
      <c r="S1754" s="31">
        <f>IF(N1754&lt;&gt;"OK","",P1754+(R1754-P1754)*(I1754-O1754)/(Q1754-O1754))</f>
        <v/>
      </c>
      <c r="T1754" s="31">
        <f>IF(OR(N1754&lt;&gt;"OK",NOT(ISNUMBER(M1754))),"",M1754-S1754)</f>
        <v/>
      </c>
      <c r="U1754" s="49">
        <f>IF(OR(NOT(ISNUMBER(T1754)),IF(ISNUMBER(H1754),H1754,G1754)=0),"",T1754/IF(ISNUMBER(H1754),H1754,G1754))</f>
        <v/>
      </c>
      <c r="V1754" s="49">
        <f>IF(ISNUMBER(U1754),ABS(U1754),"")</f>
        <v/>
      </c>
      <c r="W1754" s="49">
        <f>IF(OR($E1753&lt;&gt;"측정",$C1753&lt;&gt;$C1754,$D1753&lt;&gt;$D1754,NOT(ISNUMBER(M1754)),NOT(ISNUMBER(M1753)),(IF(ISNUMBER(H1754),H1754,G1754)-IF(ISNUMBER(H1753),H1753,G1753))=0),"",(M1754-M1753)/(IF(ISNUMBER(H1754),H1754,G1754)-IF(ISNUMBER(H1753),H1753,G1753)))</f>
        <v/>
      </c>
      <c r="X1754" s="31">
        <f>IF(NOT(AND(ISNUMBER(O1754),ISNUMBER(Q1754))),"",(Q1754-O1754)*1440)</f>
        <v/>
      </c>
      <c r="Y1754" s="29" t="n"/>
      <c r="Z1754" s="29" t="n"/>
      <c r="AA1754" s="29" t="n"/>
      <c r="AB1754" s="32" t="n"/>
      <c r="AC1754" s="32" t="n"/>
    </row>
    <row r="1755">
      <c r="A1755" s="26" t="inlineStr">
        <is>
          <t>S34</t>
        </is>
      </c>
      <c r="B1755" s="26" t="inlineStr">
        <is>
          <t>부안 신규점</t>
        </is>
      </c>
      <c r="C1755" s="26" t="inlineStr">
        <is>
          <t>S34-H남</t>
        </is>
      </c>
      <c r="D1755" s="47" t="n">
        <v>1</v>
      </c>
      <c r="E1755" s="26" t="inlineStr">
        <is>
          <t>측정</t>
        </is>
      </c>
      <c r="F1755" s="26" t="inlineStr">
        <is>
          <t>남</t>
        </is>
      </c>
      <c r="G1755" s="31" t="n">
        <v>6</v>
      </c>
      <c r="H1755" s="30" t="n"/>
      <c r="I1755" s="43" t="n"/>
      <c r="J1755" s="41" t="n"/>
      <c r="K1755" s="41" t="n"/>
      <c r="L1755" s="41" t="n"/>
      <c r="M1755" s="31">
        <f>IF(COUNT(J1755:L1755)=0,"",MEDIAN(J1755:L1755))</f>
        <v/>
      </c>
      <c r="N1755" s="26">
        <f>IF(COUNTIFS($C:$C,$C1755,$D:$D,$D1755,$E:$E,"P0(전)",$M:$M,"&gt;0")&lt;&gt;1,"P0(전) 유효 1개 아님",IF(COUNTIFS($C:$C,$C1755,$D:$D,$D1755,$E:$E,"P0(후)",$M:$M,"&gt;0")&lt;&gt;1,"P0(후) 유효 1개 아님",IF(NOT(AND(ISNUMBER(O1755),ISNUMBER(Q1755),ISNUMBER(I1755))),"시각 결측",IF(Q1755&lt;=O1755,"P0 시각 역전",IF(OR(I1755&lt;O1755,I1755&gt;Q1755),"측정시각 구간 밖","OK")))))</f>
        <v/>
      </c>
      <c r="O1755" s="48">
        <f>IF(COUNTIFS($C:$C,$C1755,$D:$D,$D1755,$E:$E,"P0(전)",$M:$M,"&gt;0")&lt;&gt;1,"",SUMIFS($I:$I,$C:$C,$C1755,$D:$D,$D1755,$E:$E,"P0(전)"))</f>
        <v/>
      </c>
      <c r="P1755" s="31">
        <f>IF(COUNTIFS($C:$C,$C1755,$D:$D,$D1755,$E:$E,"P0(전)",$M:$M,"&gt;0")&lt;&gt;1,"",SUMIFS($M:$M,$C:$C,$C1755,$D:$D,$D1755,$E:$E,"P0(전)"))</f>
        <v/>
      </c>
      <c r="Q1755" s="48">
        <f>IF(COUNTIFS($C:$C,$C1755,$D:$D,$D1755,$E:$E,"P0(후)",$M:$M,"&gt;0")&lt;&gt;1,"",SUMIFS($I:$I,$C:$C,$C1755,$D:$D,$D1755,$E:$E,"P0(후)"))</f>
        <v/>
      </c>
      <c r="R1755" s="31">
        <f>IF(COUNTIFS($C:$C,$C1755,$D:$D,$D1755,$E:$E,"P0(후)",$M:$M,"&gt;0")&lt;&gt;1,"",SUMIFS($M:$M,$C:$C,$C1755,$D:$D,$D1755,$E:$E,"P0(후)"))</f>
        <v/>
      </c>
      <c r="S1755" s="31">
        <f>IF(N1755&lt;&gt;"OK","",P1755+(R1755-P1755)*(I1755-O1755)/(Q1755-O1755))</f>
        <v/>
      </c>
      <c r="T1755" s="31">
        <f>IF(OR(N1755&lt;&gt;"OK",NOT(ISNUMBER(M1755))),"",M1755-S1755)</f>
        <v/>
      </c>
      <c r="U1755" s="49">
        <f>IF(OR(NOT(ISNUMBER(T1755)),IF(ISNUMBER(H1755),H1755,G1755)=0),"",T1755/IF(ISNUMBER(H1755),H1755,G1755))</f>
        <v/>
      </c>
      <c r="V1755" s="49">
        <f>IF(ISNUMBER(U1755),ABS(U1755),"")</f>
        <v/>
      </c>
      <c r="W1755" s="49">
        <f>IF(OR($E1754&lt;&gt;"측정",$C1754&lt;&gt;$C1755,$D1754&lt;&gt;$D1755,NOT(ISNUMBER(M1755)),NOT(ISNUMBER(M1754)),(IF(ISNUMBER(H1755),H1755,G1755)-IF(ISNUMBER(H1754),H1754,G1754))=0),"",(M1755-M1754)/(IF(ISNUMBER(H1755),H1755,G1755)-IF(ISNUMBER(H1754),H1754,G1754)))</f>
        <v/>
      </c>
      <c r="X1755" s="31">
        <f>IF(NOT(AND(ISNUMBER(O1755),ISNUMBER(Q1755))),"",(Q1755-O1755)*1440)</f>
        <v/>
      </c>
      <c r="Y1755" s="29" t="n"/>
      <c r="Z1755" s="29" t="n"/>
      <c r="AA1755" s="29" t="n"/>
      <c r="AB1755" s="32" t="n"/>
      <c r="AC1755" s="32" t="n"/>
    </row>
    <row r="1756">
      <c r="A1756" s="26" t="inlineStr">
        <is>
          <t>S34</t>
        </is>
      </c>
      <c r="B1756" s="26" t="inlineStr">
        <is>
          <t>부안 신규점</t>
        </is>
      </c>
      <c r="C1756" s="26" t="inlineStr">
        <is>
          <t>S34-H남</t>
        </is>
      </c>
      <c r="D1756" s="47" t="n">
        <v>1</v>
      </c>
      <c r="E1756" s="26" t="inlineStr">
        <is>
          <t>측정</t>
        </is>
      </c>
      <c r="F1756" s="26" t="inlineStr">
        <is>
          <t>남</t>
        </is>
      </c>
      <c r="G1756" s="31" t="n">
        <v>7</v>
      </c>
      <c r="H1756" s="30" t="n"/>
      <c r="I1756" s="43" t="n"/>
      <c r="J1756" s="41" t="n"/>
      <c r="K1756" s="41" t="n"/>
      <c r="L1756" s="41" t="n"/>
      <c r="M1756" s="31">
        <f>IF(COUNT(J1756:L1756)=0,"",MEDIAN(J1756:L1756))</f>
        <v/>
      </c>
      <c r="N1756" s="26">
        <f>IF(COUNTIFS($C:$C,$C1756,$D:$D,$D1756,$E:$E,"P0(전)",$M:$M,"&gt;0")&lt;&gt;1,"P0(전) 유효 1개 아님",IF(COUNTIFS($C:$C,$C1756,$D:$D,$D1756,$E:$E,"P0(후)",$M:$M,"&gt;0")&lt;&gt;1,"P0(후) 유효 1개 아님",IF(NOT(AND(ISNUMBER(O1756),ISNUMBER(Q1756),ISNUMBER(I1756))),"시각 결측",IF(Q1756&lt;=O1756,"P0 시각 역전",IF(OR(I1756&lt;O1756,I1756&gt;Q1756),"측정시각 구간 밖","OK")))))</f>
        <v/>
      </c>
      <c r="O1756" s="48">
        <f>IF(COUNTIFS($C:$C,$C1756,$D:$D,$D1756,$E:$E,"P0(전)",$M:$M,"&gt;0")&lt;&gt;1,"",SUMIFS($I:$I,$C:$C,$C1756,$D:$D,$D1756,$E:$E,"P0(전)"))</f>
        <v/>
      </c>
      <c r="P1756" s="31">
        <f>IF(COUNTIFS($C:$C,$C1756,$D:$D,$D1756,$E:$E,"P0(전)",$M:$M,"&gt;0")&lt;&gt;1,"",SUMIFS($M:$M,$C:$C,$C1756,$D:$D,$D1756,$E:$E,"P0(전)"))</f>
        <v/>
      </c>
      <c r="Q1756" s="48">
        <f>IF(COUNTIFS($C:$C,$C1756,$D:$D,$D1756,$E:$E,"P0(후)",$M:$M,"&gt;0")&lt;&gt;1,"",SUMIFS($I:$I,$C:$C,$C1756,$D:$D,$D1756,$E:$E,"P0(후)"))</f>
        <v/>
      </c>
      <c r="R1756" s="31">
        <f>IF(COUNTIFS($C:$C,$C1756,$D:$D,$D1756,$E:$E,"P0(후)",$M:$M,"&gt;0")&lt;&gt;1,"",SUMIFS($M:$M,$C:$C,$C1756,$D:$D,$D1756,$E:$E,"P0(후)"))</f>
        <v/>
      </c>
      <c r="S1756" s="31">
        <f>IF(N1756&lt;&gt;"OK","",P1756+(R1756-P1756)*(I1756-O1756)/(Q1756-O1756))</f>
        <v/>
      </c>
      <c r="T1756" s="31">
        <f>IF(OR(N1756&lt;&gt;"OK",NOT(ISNUMBER(M1756))),"",M1756-S1756)</f>
        <v/>
      </c>
      <c r="U1756" s="49">
        <f>IF(OR(NOT(ISNUMBER(T1756)),IF(ISNUMBER(H1756),H1756,G1756)=0),"",T1756/IF(ISNUMBER(H1756),H1756,G1756))</f>
        <v/>
      </c>
      <c r="V1756" s="49">
        <f>IF(ISNUMBER(U1756),ABS(U1756),"")</f>
        <v/>
      </c>
      <c r="W1756" s="49">
        <f>IF(OR($E1755&lt;&gt;"측정",$C1755&lt;&gt;$C1756,$D1755&lt;&gt;$D1756,NOT(ISNUMBER(M1756)),NOT(ISNUMBER(M1755)),(IF(ISNUMBER(H1756),H1756,G1756)-IF(ISNUMBER(H1755),H1755,G1755))=0),"",(M1756-M1755)/(IF(ISNUMBER(H1756),H1756,G1756)-IF(ISNUMBER(H1755),H1755,G1755)))</f>
        <v/>
      </c>
      <c r="X1756" s="31">
        <f>IF(NOT(AND(ISNUMBER(O1756),ISNUMBER(Q1756))),"",(Q1756-O1756)*1440)</f>
        <v/>
      </c>
      <c r="Y1756" s="29" t="n"/>
      <c r="Z1756" s="29" t="n"/>
      <c r="AA1756" s="29" t="n"/>
      <c r="AB1756" s="32" t="n"/>
      <c r="AC1756" s="32" t="n"/>
    </row>
    <row r="1757">
      <c r="A1757" s="26" t="inlineStr">
        <is>
          <t>S34</t>
        </is>
      </c>
      <c r="B1757" s="26" t="inlineStr">
        <is>
          <t>부안 신규점</t>
        </is>
      </c>
      <c r="C1757" s="26" t="inlineStr">
        <is>
          <t>S34-H남</t>
        </is>
      </c>
      <c r="D1757" s="47" t="n">
        <v>1</v>
      </c>
      <c r="E1757" s="26" t="inlineStr">
        <is>
          <t>측정</t>
        </is>
      </c>
      <c r="F1757" s="26" t="inlineStr">
        <is>
          <t>남</t>
        </is>
      </c>
      <c r="G1757" s="31" t="n">
        <v>8</v>
      </c>
      <c r="H1757" s="30" t="n"/>
      <c r="I1757" s="43" t="n"/>
      <c r="J1757" s="41" t="n"/>
      <c r="K1757" s="41" t="n"/>
      <c r="L1757" s="41" t="n"/>
      <c r="M1757" s="31">
        <f>IF(COUNT(J1757:L1757)=0,"",MEDIAN(J1757:L1757))</f>
        <v/>
      </c>
      <c r="N1757" s="26">
        <f>IF(COUNTIFS($C:$C,$C1757,$D:$D,$D1757,$E:$E,"P0(전)",$M:$M,"&gt;0")&lt;&gt;1,"P0(전) 유효 1개 아님",IF(COUNTIFS($C:$C,$C1757,$D:$D,$D1757,$E:$E,"P0(후)",$M:$M,"&gt;0")&lt;&gt;1,"P0(후) 유효 1개 아님",IF(NOT(AND(ISNUMBER(O1757),ISNUMBER(Q1757),ISNUMBER(I1757))),"시각 결측",IF(Q1757&lt;=O1757,"P0 시각 역전",IF(OR(I1757&lt;O1757,I1757&gt;Q1757),"측정시각 구간 밖","OK")))))</f>
        <v/>
      </c>
      <c r="O1757" s="48">
        <f>IF(COUNTIFS($C:$C,$C1757,$D:$D,$D1757,$E:$E,"P0(전)",$M:$M,"&gt;0")&lt;&gt;1,"",SUMIFS($I:$I,$C:$C,$C1757,$D:$D,$D1757,$E:$E,"P0(전)"))</f>
        <v/>
      </c>
      <c r="P1757" s="31">
        <f>IF(COUNTIFS($C:$C,$C1757,$D:$D,$D1757,$E:$E,"P0(전)",$M:$M,"&gt;0")&lt;&gt;1,"",SUMIFS($M:$M,$C:$C,$C1757,$D:$D,$D1757,$E:$E,"P0(전)"))</f>
        <v/>
      </c>
      <c r="Q1757" s="48">
        <f>IF(COUNTIFS($C:$C,$C1757,$D:$D,$D1757,$E:$E,"P0(후)",$M:$M,"&gt;0")&lt;&gt;1,"",SUMIFS($I:$I,$C:$C,$C1757,$D:$D,$D1757,$E:$E,"P0(후)"))</f>
        <v/>
      </c>
      <c r="R1757" s="31">
        <f>IF(COUNTIFS($C:$C,$C1757,$D:$D,$D1757,$E:$E,"P0(후)",$M:$M,"&gt;0")&lt;&gt;1,"",SUMIFS($M:$M,$C:$C,$C1757,$D:$D,$D1757,$E:$E,"P0(후)"))</f>
        <v/>
      </c>
      <c r="S1757" s="31">
        <f>IF(N1757&lt;&gt;"OK","",P1757+(R1757-P1757)*(I1757-O1757)/(Q1757-O1757))</f>
        <v/>
      </c>
      <c r="T1757" s="31">
        <f>IF(OR(N1757&lt;&gt;"OK",NOT(ISNUMBER(M1757))),"",M1757-S1757)</f>
        <v/>
      </c>
      <c r="U1757" s="49">
        <f>IF(OR(NOT(ISNUMBER(T1757)),IF(ISNUMBER(H1757),H1757,G1757)=0),"",T1757/IF(ISNUMBER(H1757),H1757,G1757))</f>
        <v/>
      </c>
      <c r="V1757" s="49">
        <f>IF(ISNUMBER(U1757),ABS(U1757),"")</f>
        <v/>
      </c>
      <c r="W1757" s="49">
        <f>IF(OR($E1756&lt;&gt;"측정",$C1756&lt;&gt;$C1757,$D1756&lt;&gt;$D1757,NOT(ISNUMBER(M1757)),NOT(ISNUMBER(M1756)),(IF(ISNUMBER(H1757),H1757,G1757)-IF(ISNUMBER(H1756),H1756,G1756))=0),"",(M1757-M1756)/(IF(ISNUMBER(H1757),H1757,G1757)-IF(ISNUMBER(H1756),H1756,G1756)))</f>
        <v/>
      </c>
      <c r="X1757" s="31">
        <f>IF(NOT(AND(ISNUMBER(O1757),ISNUMBER(Q1757))),"",(Q1757-O1757)*1440)</f>
        <v/>
      </c>
      <c r="Y1757" s="29" t="n"/>
      <c r="Z1757" s="29" t="n"/>
      <c r="AA1757" s="29" t="n"/>
      <c r="AB1757" s="32" t="n"/>
      <c r="AC1757" s="32" t="n"/>
    </row>
    <row r="1758">
      <c r="A1758" s="26" t="inlineStr">
        <is>
          <t>S34</t>
        </is>
      </c>
      <c r="B1758" s="26" t="inlineStr">
        <is>
          <t>부안 신규점</t>
        </is>
      </c>
      <c r="C1758" s="26" t="inlineStr">
        <is>
          <t>S34-H남</t>
        </is>
      </c>
      <c r="D1758" s="47" t="n">
        <v>1</v>
      </c>
      <c r="E1758" s="26" t="inlineStr">
        <is>
          <t>측정</t>
        </is>
      </c>
      <c r="F1758" s="26" t="inlineStr">
        <is>
          <t>남</t>
        </is>
      </c>
      <c r="G1758" s="31" t="n">
        <v>9</v>
      </c>
      <c r="H1758" s="30" t="n"/>
      <c r="I1758" s="43" t="n"/>
      <c r="J1758" s="41" t="n"/>
      <c r="K1758" s="41" t="n"/>
      <c r="L1758" s="41" t="n"/>
      <c r="M1758" s="31">
        <f>IF(COUNT(J1758:L1758)=0,"",MEDIAN(J1758:L1758))</f>
        <v/>
      </c>
      <c r="N1758" s="26">
        <f>IF(COUNTIFS($C:$C,$C1758,$D:$D,$D1758,$E:$E,"P0(전)",$M:$M,"&gt;0")&lt;&gt;1,"P0(전) 유효 1개 아님",IF(COUNTIFS($C:$C,$C1758,$D:$D,$D1758,$E:$E,"P0(후)",$M:$M,"&gt;0")&lt;&gt;1,"P0(후) 유효 1개 아님",IF(NOT(AND(ISNUMBER(O1758),ISNUMBER(Q1758),ISNUMBER(I1758))),"시각 결측",IF(Q1758&lt;=O1758,"P0 시각 역전",IF(OR(I1758&lt;O1758,I1758&gt;Q1758),"측정시각 구간 밖","OK")))))</f>
        <v/>
      </c>
      <c r="O1758" s="48">
        <f>IF(COUNTIFS($C:$C,$C1758,$D:$D,$D1758,$E:$E,"P0(전)",$M:$M,"&gt;0")&lt;&gt;1,"",SUMIFS($I:$I,$C:$C,$C1758,$D:$D,$D1758,$E:$E,"P0(전)"))</f>
        <v/>
      </c>
      <c r="P1758" s="31">
        <f>IF(COUNTIFS($C:$C,$C1758,$D:$D,$D1758,$E:$E,"P0(전)",$M:$M,"&gt;0")&lt;&gt;1,"",SUMIFS($M:$M,$C:$C,$C1758,$D:$D,$D1758,$E:$E,"P0(전)"))</f>
        <v/>
      </c>
      <c r="Q1758" s="48">
        <f>IF(COUNTIFS($C:$C,$C1758,$D:$D,$D1758,$E:$E,"P0(후)",$M:$M,"&gt;0")&lt;&gt;1,"",SUMIFS($I:$I,$C:$C,$C1758,$D:$D,$D1758,$E:$E,"P0(후)"))</f>
        <v/>
      </c>
      <c r="R1758" s="31">
        <f>IF(COUNTIFS($C:$C,$C1758,$D:$D,$D1758,$E:$E,"P0(후)",$M:$M,"&gt;0")&lt;&gt;1,"",SUMIFS($M:$M,$C:$C,$C1758,$D:$D,$D1758,$E:$E,"P0(후)"))</f>
        <v/>
      </c>
      <c r="S1758" s="31">
        <f>IF(N1758&lt;&gt;"OK","",P1758+(R1758-P1758)*(I1758-O1758)/(Q1758-O1758))</f>
        <v/>
      </c>
      <c r="T1758" s="31">
        <f>IF(OR(N1758&lt;&gt;"OK",NOT(ISNUMBER(M1758))),"",M1758-S1758)</f>
        <v/>
      </c>
      <c r="U1758" s="49">
        <f>IF(OR(NOT(ISNUMBER(T1758)),IF(ISNUMBER(H1758),H1758,G1758)=0),"",T1758/IF(ISNUMBER(H1758),H1758,G1758))</f>
        <v/>
      </c>
      <c r="V1758" s="49">
        <f>IF(ISNUMBER(U1758),ABS(U1758),"")</f>
        <v/>
      </c>
      <c r="W1758" s="49">
        <f>IF(OR($E1757&lt;&gt;"측정",$C1757&lt;&gt;$C1758,$D1757&lt;&gt;$D1758,NOT(ISNUMBER(M1758)),NOT(ISNUMBER(M1757)),(IF(ISNUMBER(H1758),H1758,G1758)-IF(ISNUMBER(H1757),H1757,G1757))=0),"",(M1758-M1757)/(IF(ISNUMBER(H1758),H1758,G1758)-IF(ISNUMBER(H1757),H1757,G1757)))</f>
        <v/>
      </c>
      <c r="X1758" s="31">
        <f>IF(NOT(AND(ISNUMBER(O1758),ISNUMBER(Q1758))),"",(Q1758-O1758)*1440)</f>
        <v/>
      </c>
      <c r="Y1758" s="29" t="n"/>
      <c r="Z1758" s="29" t="n"/>
      <c r="AA1758" s="29" t="n"/>
      <c r="AB1758" s="32" t="n"/>
      <c r="AC1758" s="32" t="n"/>
    </row>
    <row r="1759">
      <c r="A1759" s="26" t="inlineStr">
        <is>
          <t>S34</t>
        </is>
      </c>
      <c r="B1759" s="26" t="inlineStr">
        <is>
          <t>부안 신규점</t>
        </is>
      </c>
      <c r="C1759" s="26" t="inlineStr">
        <is>
          <t>S34-H남</t>
        </is>
      </c>
      <c r="D1759" s="47" t="n">
        <v>1</v>
      </c>
      <c r="E1759" s="26" t="inlineStr">
        <is>
          <t>측정</t>
        </is>
      </c>
      <c r="F1759" s="26" t="inlineStr">
        <is>
          <t>남</t>
        </is>
      </c>
      <c r="G1759" s="31" t="n">
        <v>10</v>
      </c>
      <c r="H1759" s="30" t="n"/>
      <c r="I1759" s="43" t="n"/>
      <c r="J1759" s="41" t="n"/>
      <c r="K1759" s="41" t="n"/>
      <c r="L1759" s="41" t="n"/>
      <c r="M1759" s="31">
        <f>IF(COUNT(J1759:L1759)=0,"",MEDIAN(J1759:L1759))</f>
        <v/>
      </c>
      <c r="N1759" s="26">
        <f>IF(COUNTIFS($C:$C,$C1759,$D:$D,$D1759,$E:$E,"P0(전)",$M:$M,"&gt;0")&lt;&gt;1,"P0(전) 유효 1개 아님",IF(COUNTIFS($C:$C,$C1759,$D:$D,$D1759,$E:$E,"P0(후)",$M:$M,"&gt;0")&lt;&gt;1,"P0(후) 유효 1개 아님",IF(NOT(AND(ISNUMBER(O1759),ISNUMBER(Q1759),ISNUMBER(I1759))),"시각 결측",IF(Q1759&lt;=O1759,"P0 시각 역전",IF(OR(I1759&lt;O1759,I1759&gt;Q1759),"측정시각 구간 밖","OK")))))</f>
        <v/>
      </c>
      <c r="O1759" s="48">
        <f>IF(COUNTIFS($C:$C,$C1759,$D:$D,$D1759,$E:$E,"P0(전)",$M:$M,"&gt;0")&lt;&gt;1,"",SUMIFS($I:$I,$C:$C,$C1759,$D:$D,$D1759,$E:$E,"P0(전)"))</f>
        <v/>
      </c>
      <c r="P1759" s="31">
        <f>IF(COUNTIFS($C:$C,$C1759,$D:$D,$D1759,$E:$E,"P0(전)",$M:$M,"&gt;0")&lt;&gt;1,"",SUMIFS($M:$M,$C:$C,$C1759,$D:$D,$D1759,$E:$E,"P0(전)"))</f>
        <v/>
      </c>
      <c r="Q1759" s="48">
        <f>IF(COUNTIFS($C:$C,$C1759,$D:$D,$D1759,$E:$E,"P0(후)",$M:$M,"&gt;0")&lt;&gt;1,"",SUMIFS($I:$I,$C:$C,$C1759,$D:$D,$D1759,$E:$E,"P0(후)"))</f>
        <v/>
      </c>
      <c r="R1759" s="31">
        <f>IF(COUNTIFS($C:$C,$C1759,$D:$D,$D1759,$E:$E,"P0(후)",$M:$M,"&gt;0")&lt;&gt;1,"",SUMIFS($M:$M,$C:$C,$C1759,$D:$D,$D1759,$E:$E,"P0(후)"))</f>
        <v/>
      </c>
      <c r="S1759" s="31">
        <f>IF(N1759&lt;&gt;"OK","",P1759+(R1759-P1759)*(I1759-O1759)/(Q1759-O1759))</f>
        <v/>
      </c>
      <c r="T1759" s="31">
        <f>IF(OR(N1759&lt;&gt;"OK",NOT(ISNUMBER(M1759))),"",M1759-S1759)</f>
        <v/>
      </c>
      <c r="U1759" s="49">
        <f>IF(OR(NOT(ISNUMBER(T1759)),IF(ISNUMBER(H1759),H1759,G1759)=0),"",T1759/IF(ISNUMBER(H1759),H1759,G1759))</f>
        <v/>
      </c>
      <c r="V1759" s="49">
        <f>IF(ISNUMBER(U1759),ABS(U1759),"")</f>
        <v/>
      </c>
      <c r="W1759" s="49">
        <f>IF(OR($E1758&lt;&gt;"측정",$C1758&lt;&gt;$C1759,$D1758&lt;&gt;$D1759,NOT(ISNUMBER(M1759)),NOT(ISNUMBER(M1758)),(IF(ISNUMBER(H1759),H1759,G1759)-IF(ISNUMBER(H1758),H1758,G1758))=0),"",(M1759-M1758)/(IF(ISNUMBER(H1759),H1759,G1759)-IF(ISNUMBER(H1758),H1758,G1758)))</f>
        <v/>
      </c>
      <c r="X1759" s="31">
        <f>IF(NOT(AND(ISNUMBER(O1759),ISNUMBER(Q1759))),"",(Q1759-O1759)*1440)</f>
        <v/>
      </c>
      <c r="Y1759" s="29" t="n"/>
      <c r="Z1759" s="29" t="n"/>
      <c r="AA1759" s="29" t="n"/>
      <c r="AB1759" s="32" t="n"/>
      <c r="AC1759" s="32" t="n"/>
    </row>
    <row r="1760">
      <c r="A1760" s="44" t="inlineStr">
        <is>
          <t>S34</t>
        </is>
      </c>
      <c r="B1760" s="44" t="inlineStr">
        <is>
          <t>부안 신규점</t>
        </is>
      </c>
      <c r="C1760" s="44" t="inlineStr">
        <is>
          <t>S34-H남</t>
        </is>
      </c>
      <c r="D1760" s="45" t="n">
        <v>1</v>
      </c>
      <c r="E1760" s="44" t="inlineStr">
        <is>
          <t>P0(후)</t>
        </is>
      </c>
      <c r="F1760" s="44" t="inlineStr">
        <is>
          <t>남</t>
        </is>
      </c>
      <c r="G1760" s="46" t="n"/>
      <c r="H1760" s="30" t="n"/>
      <c r="I1760" s="43" t="n"/>
      <c r="J1760" s="41" t="n"/>
      <c r="K1760" s="41" t="n"/>
      <c r="L1760" s="41" t="n"/>
      <c r="M1760" s="31">
        <f>IF(COUNT(J1760:L1760)=0,"",MEDIAN(J1760:L1760))</f>
        <v/>
      </c>
      <c r="N1760" s="38" t="n"/>
      <c r="O1760" s="38" t="n"/>
      <c r="P1760" s="38" t="n"/>
      <c r="Q1760" s="38" t="n"/>
      <c r="R1760" s="38" t="n"/>
      <c r="S1760" s="38" t="n"/>
      <c r="T1760" s="38" t="n"/>
      <c r="U1760" s="38" t="n"/>
      <c r="V1760" s="38" t="n"/>
      <c r="W1760" s="38" t="n"/>
      <c r="X1760" s="38" t="n"/>
      <c r="Y1760" s="29" t="n"/>
      <c r="Z1760" s="29" t="n"/>
      <c r="AA1760" s="29" t="n"/>
      <c r="AB1760" s="32" t="n"/>
      <c r="AC1760" s="32" t="n"/>
    </row>
    <row r="1761">
      <c r="A1761" s="44" t="inlineStr">
        <is>
          <t>S34</t>
        </is>
      </c>
      <c r="B1761" s="44" t="inlineStr">
        <is>
          <t>부안 신규점</t>
        </is>
      </c>
      <c r="C1761" s="44" t="inlineStr">
        <is>
          <t>S34-H북</t>
        </is>
      </c>
      <c r="D1761" s="45" t="n">
        <v>1</v>
      </c>
      <c r="E1761" s="44" t="inlineStr">
        <is>
          <t>P0(전)</t>
        </is>
      </c>
      <c r="F1761" s="44" t="inlineStr">
        <is>
          <t>북</t>
        </is>
      </c>
      <c r="G1761" s="46" t="n"/>
      <c r="H1761" s="30" t="n"/>
      <c r="I1761" s="43" t="n"/>
      <c r="J1761" s="41" t="n"/>
      <c r="K1761" s="41" t="n"/>
      <c r="L1761" s="41" t="n"/>
      <c r="M1761" s="31">
        <f>IF(COUNT(J1761:L1761)=0,"",MEDIAN(J1761:L1761))</f>
        <v/>
      </c>
      <c r="N1761" s="38" t="n"/>
      <c r="O1761" s="38" t="n"/>
      <c r="P1761" s="38" t="n"/>
      <c r="Q1761" s="38" t="n"/>
      <c r="R1761" s="38" t="n"/>
      <c r="S1761" s="38" t="n"/>
      <c r="T1761" s="38" t="n"/>
      <c r="U1761" s="38" t="n"/>
      <c r="V1761" s="38" t="n"/>
      <c r="W1761" s="38" t="n"/>
      <c r="X1761" s="38" t="n"/>
      <c r="Y1761" s="29" t="n"/>
      <c r="Z1761" s="29" t="n"/>
      <c r="AA1761" s="29" t="n"/>
      <c r="AB1761" s="32" t="n"/>
      <c r="AC1761" s="32" t="n"/>
    </row>
    <row r="1762">
      <c r="A1762" s="26" t="inlineStr">
        <is>
          <t>S34</t>
        </is>
      </c>
      <c r="B1762" s="26" t="inlineStr">
        <is>
          <t>부안 신규점</t>
        </is>
      </c>
      <c r="C1762" s="26" t="inlineStr">
        <is>
          <t>S34-H북</t>
        </is>
      </c>
      <c r="D1762" s="47" t="n">
        <v>1</v>
      </c>
      <c r="E1762" s="26" t="inlineStr">
        <is>
          <t>측정</t>
        </is>
      </c>
      <c r="F1762" s="26" t="inlineStr">
        <is>
          <t>북</t>
        </is>
      </c>
      <c r="G1762" s="31" t="n">
        <v>0.5</v>
      </c>
      <c r="H1762" s="30" t="n"/>
      <c r="I1762" s="43" t="n"/>
      <c r="J1762" s="41" t="n"/>
      <c r="K1762" s="41" t="n"/>
      <c r="L1762" s="41" t="n"/>
      <c r="M1762" s="31">
        <f>IF(COUNT(J1762:L1762)=0,"",MEDIAN(J1762:L1762))</f>
        <v/>
      </c>
      <c r="N1762" s="26">
        <f>IF(COUNTIFS($C:$C,$C1762,$D:$D,$D1762,$E:$E,"P0(전)",$M:$M,"&gt;0")&lt;&gt;1,"P0(전) 유효 1개 아님",IF(COUNTIFS($C:$C,$C1762,$D:$D,$D1762,$E:$E,"P0(후)",$M:$M,"&gt;0")&lt;&gt;1,"P0(후) 유효 1개 아님",IF(NOT(AND(ISNUMBER(O1762),ISNUMBER(Q1762),ISNUMBER(I1762))),"시각 결측",IF(Q1762&lt;=O1762,"P0 시각 역전",IF(OR(I1762&lt;O1762,I1762&gt;Q1762),"측정시각 구간 밖","OK")))))</f>
        <v/>
      </c>
      <c r="O1762" s="48">
        <f>IF(COUNTIFS($C:$C,$C1762,$D:$D,$D1762,$E:$E,"P0(전)",$M:$M,"&gt;0")&lt;&gt;1,"",SUMIFS($I:$I,$C:$C,$C1762,$D:$D,$D1762,$E:$E,"P0(전)"))</f>
        <v/>
      </c>
      <c r="P1762" s="31">
        <f>IF(COUNTIFS($C:$C,$C1762,$D:$D,$D1762,$E:$E,"P0(전)",$M:$M,"&gt;0")&lt;&gt;1,"",SUMIFS($M:$M,$C:$C,$C1762,$D:$D,$D1762,$E:$E,"P0(전)"))</f>
        <v/>
      </c>
      <c r="Q1762" s="48">
        <f>IF(COUNTIFS($C:$C,$C1762,$D:$D,$D1762,$E:$E,"P0(후)",$M:$M,"&gt;0")&lt;&gt;1,"",SUMIFS($I:$I,$C:$C,$C1762,$D:$D,$D1762,$E:$E,"P0(후)"))</f>
        <v/>
      </c>
      <c r="R1762" s="31">
        <f>IF(COUNTIFS($C:$C,$C1762,$D:$D,$D1762,$E:$E,"P0(후)",$M:$M,"&gt;0")&lt;&gt;1,"",SUMIFS($M:$M,$C:$C,$C1762,$D:$D,$D1762,$E:$E,"P0(후)"))</f>
        <v/>
      </c>
      <c r="S1762" s="31">
        <f>IF(N1762&lt;&gt;"OK","",P1762+(R1762-P1762)*(I1762-O1762)/(Q1762-O1762))</f>
        <v/>
      </c>
      <c r="T1762" s="31">
        <f>IF(OR(N1762&lt;&gt;"OK",NOT(ISNUMBER(M1762))),"",M1762-S1762)</f>
        <v/>
      </c>
      <c r="U1762" s="49">
        <f>IF(OR(NOT(ISNUMBER(T1762)),IF(ISNUMBER(H1762),H1762,G1762)=0),"",T1762/IF(ISNUMBER(H1762),H1762,G1762))</f>
        <v/>
      </c>
      <c r="V1762" s="49">
        <f>IF(ISNUMBER(U1762),ABS(U1762),"")</f>
        <v/>
      </c>
      <c r="W1762" s="49">
        <f>IF(OR($E1761&lt;&gt;"측정",$C1761&lt;&gt;$C1762,$D1761&lt;&gt;$D1762,NOT(ISNUMBER(M1762)),NOT(ISNUMBER(M1761)),(IF(ISNUMBER(H1762),H1762,G1762)-IF(ISNUMBER(H1761),H1761,G1761))=0),"",(M1762-M1761)/(IF(ISNUMBER(H1762),H1762,G1762)-IF(ISNUMBER(H1761),H1761,G1761)))</f>
        <v/>
      </c>
      <c r="X1762" s="31">
        <f>IF(NOT(AND(ISNUMBER(O1762),ISNUMBER(Q1762))),"",(Q1762-O1762)*1440)</f>
        <v/>
      </c>
      <c r="Y1762" s="29" t="n"/>
      <c r="Z1762" s="29" t="n"/>
      <c r="AA1762" s="29" t="n"/>
      <c r="AB1762" s="32" t="n"/>
      <c r="AC1762" s="32" t="n"/>
    </row>
    <row r="1763">
      <c r="A1763" s="26" t="inlineStr">
        <is>
          <t>S34</t>
        </is>
      </c>
      <c r="B1763" s="26" t="inlineStr">
        <is>
          <t>부안 신규점</t>
        </is>
      </c>
      <c r="C1763" s="26" t="inlineStr">
        <is>
          <t>S34-H북</t>
        </is>
      </c>
      <c r="D1763" s="47" t="n">
        <v>1</v>
      </c>
      <c r="E1763" s="26" t="inlineStr">
        <is>
          <t>측정</t>
        </is>
      </c>
      <c r="F1763" s="26" t="inlineStr">
        <is>
          <t>북</t>
        </is>
      </c>
      <c r="G1763" s="31" t="n">
        <v>1</v>
      </c>
      <c r="H1763" s="30" t="n"/>
      <c r="I1763" s="43" t="n"/>
      <c r="J1763" s="41" t="n"/>
      <c r="K1763" s="41" t="n"/>
      <c r="L1763" s="41" t="n"/>
      <c r="M1763" s="31">
        <f>IF(COUNT(J1763:L1763)=0,"",MEDIAN(J1763:L1763))</f>
        <v/>
      </c>
      <c r="N1763" s="26">
        <f>IF(COUNTIFS($C:$C,$C1763,$D:$D,$D1763,$E:$E,"P0(전)",$M:$M,"&gt;0")&lt;&gt;1,"P0(전) 유효 1개 아님",IF(COUNTIFS($C:$C,$C1763,$D:$D,$D1763,$E:$E,"P0(후)",$M:$M,"&gt;0")&lt;&gt;1,"P0(후) 유효 1개 아님",IF(NOT(AND(ISNUMBER(O1763),ISNUMBER(Q1763),ISNUMBER(I1763))),"시각 결측",IF(Q1763&lt;=O1763,"P0 시각 역전",IF(OR(I1763&lt;O1763,I1763&gt;Q1763),"측정시각 구간 밖","OK")))))</f>
        <v/>
      </c>
      <c r="O1763" s="48">
        <f>IF(COUNTIFS($C:$C,$C1763,$D:$D,$D1763,$E:$E,"P0(전)",$M:$M,"&gt;0")&lt;&gt;1,"",SUMIFS($I:$I,$C:$C,$C1763,$D:$D,$D1763,$E:$E,"P0(전)"))</f>
        <v/>
      </c>
      <c r="P1763" s="31">
        <f>IF(COUNTIFS($C:$C,$C1763,$D:$D,$D1763,$E:$E,"P0(전)",$M:$M,"&gt;0")&lt;&gt;1,"",SUMIFS($M:$M,$C:$C,$C1763,$D:$D,$D1763,$E:$E,"P0(전)"))</f>
        <v/>
      </c>
      <c r="Q1763" s="48">
        <f>IF(COUNTIFS($C:$C,$C1763,$D:$D,$D1763,$E:$E,"P0(후)",$M:$M,"&gt;0")&lt;&gt;1,"",SUMIFS($I:$I,$C:$C,$C1763,$D:$D,$D1763,$E:$E,"P0(후)"))</f>
        <v/>
      </c>
      <c r="R1763" s="31">
        <f>IF(COUNTIFS($C:$C,$C1763,$D:$D,$D1763,$E:$E,"P0(후)",$M:$M,"&gt;0")&lt;&gt;1,"",SUMIFS($M:$M,$C:$C,$C1763,$D:$D,$D1763,$E:$E,"P0(후)"))</f>
        <v/>
      </c>
      <c r="S1763" s="31">
        <f>IF(N1763&lt;&gt;"OK","",P1763+(R1763-P1763)*(I1763-O1763)/(Q1763-O1763))</f>
        <v/>
      </c>
      <c r="T1763" s="31">
        <f>IF(OR(N1763&lt;&gt;"OK",NOT(ISNUMBER(M1763))),"",M1763-S1763)</f>
        <v/>
      </c>
      <c r="U1763" s="49">
        <f>IF(OR(NOT(ISNUMBER(T1763)),IF(ISNUMBER(H1763),H1763,G1763)=0),"",T1763/IF(ISNUMBER(H1763),H1763,G1763))</f>
        <v/>
      </c>
      <c r="V1763" s="49">
        <f>IF(ISNUMBER(U1763),ABS(U1763),"")</f>
        <v/>
      </c>
      <c r="W1763" s="49">
        <f>IF(OR($E1762&lt;&gt;"측정",$C1762&lt;&gt;$C1763,$D1762&lt;&gt;$D1763,NOT(ISNUMBER(M1763)),NOT(ISNUMBER(M1762)),(IF(ISNUMBER(H1763),H1763,G1763)-IF(ISNUMBER(H1762),H1762,G1762))=0),"",(M1763-M1762)/(IF(ISNUMBER(H1763),H1763,G1763)-IF(ISNUMBER(H1762),H1762,G1762)))</f>
        <v/>
      </c>
      <c r="X1763" s="31">
        <f>IF(NOT(AND(ISNUMBER(O1763),ISNUMBER(Q1763))),"",(Q1763-O1763)*1440)</f>
        <v/>
      </c>
      <c r="Y1763" s="29" t="n"/>
      <c r="Z1763" s="29" t="n"/>
      <c r="AA1763" s="29" t="n"/>
      <c r="AB1763" s="32" t="n"/>
      <c r="AC1763" s="32" t="n"/>
    </row>
    <row r="1764">
      <c r="A1764" s="26" t="inlineStr">
        <is>
          <t>S34</t>
        </is>
      </c>
      <c r="B1764" s="26" t="inlineStr">
        <is>
          <t>부안 신규점</t>
        </is>
      </c>
      <c r="C1764" s="26" t="inlineStr">
        <is>
          <t>S34-H북</t>
        </is>
      </c>
      <c r="D1764" s="47" t="n">
        <v>1</v>
      </c>
      <c r="E1764" s="26" t="inlineStr">
        <is>
          <t>측정</t>
        </is>
      </c>
      <c r="F1764" s="26" t="inlineStr">
        <is>
          <t>북</t>
        </is>
      </c>
      <c r="G1764" s="31" t="n">
        <v>2</v>
      </c>
      <c r="H1764" s="30" t="n"/>
      <c r="I1764" s="43" t="n"/>
      <c r="J1764" s="41" t="n"/>
      <c r="K1764" s="41" t="n"/>
      <c r="L1764" s="41" t="n"/>
      <c r="M1764" s="31">
        <f>IF(COUNT(J1764:L1764)=0,"",MEDIAN(J1764:L1764))</f>
        <v/>
      </c>
      <c r="N1764" s="26">
        <f>IF(COUNTIFS($C:$C,$C1764,$D:$D,$D1764,$E:$E,"P0(전)",$M:$M,"&gt;0")&lt;&gt;1,"P0(전) 유효 1개 아님",IF(COUNTIFS($C:$C,$C1764,$D:$D,$D1764,$E:$E,"P0(후)",$M:$M,"&gt;0")&lt;&gt;1,"P0(후) 유효 1개 아님",IF(NOT(AND(ISNUMBER(O1764),ISNUMBER(Q1764),ISNUMBER(I1764))),"시각 결측",IF(Q1764&lt;=O1764,"P0 시각 역전",IF(OR(I1764&lt;O1764,I1764&gt;Q1764),"측정시각 구간 밖","OK")))))</f>
        <v/>
      </c>
      <c r="O1764" s="48">
        <f>IF(COUNTIFS($C:$C,$C1764,$D:$D,$D1764,$E:$E,"P0(전)",$M:$M,"&gt;0")&lt;&gt;1,"",SUMIFS($I:$I,$C:$C,$C1764,$D:$D,$D1764,$E:$E,"P0(전)"))</f>
        <v/>
      </c>
      <c r="P1764" s="31">
        <f>IF(COUNTIFS($C:$C,$C1764,$D:$D,$D1764,$E:$E,"P0(전)",$M:$M,"&gt;0")&lt;&gt;1,"",SUMIFS($M:$M,$C:$C,$C1764,$D:$D,$D1764,$E:$E,"P0(전)"))</f>
        <v/>
      </c>
      <c r="Q1764" s="48">
        <f>IF(COUNTIFS($C:$C,$C1764,$D:$D,$D1764,$E:$E,"P0(후)",$M:$M,"&gt;0")&lt;&gt;1,"",SUMIFS($I:$I,$C:$C,$C1764,$D:$D,$D1764,$E:$E,"P0(후)"))</f>
        <v/>
      </c>
      <c r="R1764" s="31">
        <f>IF(COUNTIFS($C:$C,$C1764,$D:$D,$D1764,$E:$E,"P0(후)",$M:$M,"&gt;0")&lt;&gt;1,"",SUMIFS($M:$M,$C:$C,$C1764,$D:$D,$D1764,$E:$E,"P0(후)"))</f>
        <v/>
      </c>
      <c r="S1764" s="31">
        <f>IF(N1764&lt;&gt;"OK","",P1764+(R1764-P1764)*(I1764-O1764)/(Q1764-O1764))</f>
        <v/>
      </c>
      <c r="T1764" s="31">
        <f>IF(OR(N1764&lt;&gt;"OK",NOT(ISNUMBER(M1764))),"",M1764-S1764)</f>
        <v/>
      </c>
      <c r="U1764" s="49">
        <f>IF(OR(NOT(ISNUMBER(T1764)),IF(ISNUMBER(H1764),H1764,G1764)=0),"",T1764/IF(ISNUMBER(H1764),H1764,G1764))</f>
        <v/>
      </c>
      <c r="V1764" s="49">
        <f>IF(ISNUMBER(U1764),ABS(U1764),"")</f>
        <v/>
      </c>
      <c r="W1764" s="49">
        <f>IF(OR($E1763&lt;&gt;"측정",$C1763&lt;&gt;$C1764,$D1763&lt;&gt;$D1764,NOT(ISNUMBER(M1764)),NOT(ISNUMBER(M1763)),(IF(ISNUMBER(H1764),H1764,G1764)-IF(ISNUMBER(H1763),H1763,G1763))=0),"",(M1764-M1763)/(IF(ISNUMBER(H1764),H1764,G1764)-IF(ISNUMBER(H1763),H1763,G1763)))</f>
        <v/>
      </c>
      <c r="X1764" s="31">
        <f>IF(NOT(AND(ISNUMBER(O1764),ISNUMBER(Q1764))),"",(Q1764-O1764)*1440)</f>
        <v/>
      </c>
      <c r="Y1764" s="29" t="n"/>
      <c r="Z1764" s="29" t="n"/>
      <c r="AA1764" s="29" t="n"/>
      <c r="AB1764" s="32" t="n"/>
      <c r="AC1764" s="32" t="n"/>
    </row>
    <row r="1765">
      <c r="A1765" s="26" t="inlineStr">
        <is>
          <t>S34</t>
        </is>
      </c>
      <c r="B1765" s="26" t="inlineStr">
        <is>
          <t>부안 신규점</t>
        </is>
      </c>
      <c r="C1765" s="26" t="inlineStr">
        <is>
          <t>S34-H북</t>
        </is>
      </c>
      <c r="D1765" s="47" t="n">
        <v>1</v>
      </c>
      <c r="E1765" s="26" t="inlineStr">
        <is>
          <t>측정</t>
        </is>
      </c>
      <c r="F1765" s="26" t="inlineStr">
        <is>
          <t>북</t>
        </is>
      </c>
      <c r="G1765" s="31" t="n">
        <v>3</v>
      </c>
      <c r="H1765" s="30" t="n"/>
      <c r="I1765" s="43" t="n"/>
      <c r="J1765" s="41" t="n"/>
      <c r="K1765" s="41" t="n"/>
      <c r="L1765" s="41" t="n"/>
      <c r="M1765" s="31">
        <f>IF(COUNT(J1765:L1765)=0,"",MEDIAN(J1765:L1765))</f>
        <v/>
      </c>
      <c r="N1765" s="26">
        <f>IF(COUNTIFS($C:$C,$C1765,$D:$D,$D1765,$E:$E,"P0(전)",$M:$M,"&gt;0")&lt;&gt;1,"P0(전) 유효 1개 아님",IF(COUNTIFS($C:$C,$C1765,$D:$D,$D1765,$E:$E,"P0(후)",$M:$M,"&gt;0")&lt;&gt;1,"P0(후) 유효 1개 아님",IF(NOT(AND(ISNUMBER(O1765),ISNUMBER(Q1765),ISNUMBER(I1765))),"시각 결측",IF(Q1765&lt;=O1765,"P0 시각 역전",IF(OR(I1765&lt;O1765,I1765&gt;Q1765),"측정시각 구간 밖","OK")))))</f>
        <v/>
      </c>
      <c r="O1765" s="48">
        <f>IF(COUNTIFS($C:$C,$C1765,$D:$D,$D1765,$E:$E,"P0(전)",$M:$M,"&gt;0")&lt;&gt;1,"",SUMIFS($I:$I,$C:$C,$C1765,$D:$D,$D1765,$E:$E,"P0(전)"))</f>
        <v/>
      </c>
      <c r="P1765" s="31">
        <f>IF(COUNTIFS($C:$C,$C1765,$D:$D,$D1765,$E:$E,"P0(전)",$M:$M,"&gt;0")&lt;&gt;1,"",SUMIFS($M:$M,$C:$C,$C1765,$D:$D,$D1765,$E:$E,"P0(전)"))</f>
        <v/>
      </c>
      <c r="Q1765" s="48">
        <f>IF(COUNTIFS($C:$C,$C1765,$D:$D,$D1765,$E:$E,"P0(후)",$M:$M,"&gt;0")&lt;&gt;1,"",SUMIFS($I:$I,$C:$C,$C1765,$D:$D,$D1765,$E:$E,"P0(후)"))</f>
        <v/>
      </c>
      <c r="R1765" s="31">
        <f>IF(COUNTIFS($C:$C,$C1765,$D:$D,$D1765,$E:$E,"P0(후)",$M:$M,"&gt;0")&lt;&gt;1,"",SUMIFS($M:$M,$C:$C,$C1765,$D:$D,$D1765,$E:$E,"P0(후)"))</f>
        <v/>
      </c>
      <c r="S1765" s="31">
        <f>IF(N1765&lt;&gt;"OK","",P1765+(R1765-P1765)*(I1765-O1765)/(Q1765-O1765))</f>
        <v/>
      </c>
      <c r="T1765" s="31">
        <f>IF(OR(N1765&lt;&gt;"OK",NOT(ISNUMBER(M1765))),"",M1765-S1765)</f>
        <v/>
      </c>
      <c r="U1765" s="49">
        <f>IF(OR(NOT(ISNUMBER(T1765)),IF(ISNUMBER(H1765),H1765,G1765)=0),"",T1765/IF(ISNUMBER(H1765),H1765,G1765))</f>
        <v/>
      </c>
      <c r="V1765" s="49">
        <f>IF(ISNUMBER(U1765),ABS(U1765),"")</f>
        <v/>
      </c>
      <c r="W1765" s="49">
        <f>IF(OR($E1764&lt;&gt;"측정",$C1764&lt;&gt;$C1765,$D1764&lt;&gt;$D1765,NOT(ISNUMBER(M1765)),NOT(ISNUMBER(M1764)),(IF(ISNUMBER(H1765),H1765,G1765)-IF(ISNUMBER(H1764),H1764,G1764))=0),"",(M1765-M1764)/(IF(ISNUMBER(H1765),H1765,G1765)-IF(ISNUMBER(H1764),H1764,G1764)))</f>
        <v/>
      </c>
      <c r="X1765" s="31">
        <f>IF(NOT(AND(ISNUMBER(O1765),ISNUMBER(Q1765))),"",(Q1765-O1765)*1440)</f>
        <v/>
      </c>
      <c r="Y1765" s="29" t="n"/>
      <c r="Z1765" s="29" t="n"/>
      <c r="AA1765" s="29" t="n"/>
      <c r="AB1765" s="32" t="n"/>
      <c r="AC1765" s="32" t="n"/>
    </row>
    <row r="1766">
      <c r="A1766" s="26" t="inlineStr">
        <is>
          <t>S34</t>
        </is>
      </c>
      <c r="B1766" s="26" t="inlineStr">
        <is>
          <t>부안 신규점</t>
        </is>
      </c>
      <c r="C1766" s="26" t="inlineStr">
        <is>
          <t>S34-H북</t>
        </is>
      </c>
      <c r="D1766" s="47" t="n">
        <v>1</v>
      </c>
      <c r="E1766" s="26" t="inlineStr">
        <is>
          <t>측정</t>
        </is>
      </c>
      <c r="F1766" s="26" t="inlineStr">
        <is>
          <t>북</t>
        </is>
      </c>
      <c r="G1766" s="31" t="n">
        <v>4</v>
      </c>
      <c r="H1766" s="30" t="n"/>
      <c r="I1766" s="43" t="n"/>
      <c r="J1766" s="41" t="n"/>
      <c r="K1766" s="41" t="n"/>
      <c r="L1766" s="41" t="n"/>
      <c r="M1766" s="31">
        <f>IF(COUNT(J1766:L1766)=0,"",MEDIAN(J1766:L1766))</f>
        <v/>
      </c>
      <c r="N1766" s="26">
        <f>IF(COUNTIFS($C:$C,$C1766,$D:$D,$D1766,$E:$E,"P0(전)",$M:$M,"&gt;0")&lt;&gt;1,"P0(전) 유효 1개 아님",IF(COUNTIFS($C:$C,$C1766,$D:$D,$D1766,$E:$E,"P0(후)",$M:$M,"&gt;0")&lt;&gt;1,"P0(후) 유효 1개 아님",IF(NOT(AND(ISNUMBER(O1766),ISNUMBER(Q1766),ISNUMBER(I1766))),"시각 결측",IF(Q1766&lt;=O1766,"P0 시각 역전",IF(OR(I1766&lt;O1766,I1766&gt;Q1766),"측정시각 구간 밖","OK")))))</f>
        <v/>
      </c>
      <c r="O1766" s="48">
        <f>IF(COUNTIFS($C:$C,$C1766,$D:$D,$D1766,$E:$E,"P0(전)",$M:$M,"&gt;0")&lt;&gt;1,"",SUMIFS($I:$I,$C:$C,$C1766,$D:$D,$D1766,$E:$E,"P0(전)"))</f>
        <v/>
      </c>
      <c r="P1766" s="31">
        <f>IF(COUNTIFS($C:$C,$C1766,$D:$D,$D1766,$E:$E,"P0(전)",$M:$M,"&gt;0")&lt;&gt;1,"",SUMIFS($M:$M,$C:$C,$C1766,$D:$D,$D1766,$E:$E,"P0(전)"))</f>
        <v/>
      </c>
      <c r="Q1766" s="48">
        <f>IF(COUNTIFS($C:$C,$C1766,$D:$D,$D1766,$E:$E,"P0(후)",$M:$M,"&gt;0")&lt;&gt;1,"",SUMIFS($I:$I,$C:$C,$C1766,$D:$D,$D1766,$E:$E,"P0(후)"))</f>
        <v/>
      </c>
      <c r="R1766" s="31">
        <f>IF(COUNTIFS($C:$C,$C1766,$D:$D,$D1766,$E:$E,"P0(후)",$M:$M,"&gt;0")&lt;&gt;1,"",SUMIFS($M:$M,$C:$C,$C1766,$D:$D,$D1766,$E:$E,"P0(후)"))</f>
        <v/>
      </c>
      <c r="S1766" s="31">
        <f>IF(N1766&lt;&gt;"OK","",P1766+(R1766-P1766)*(I1766-O1766)/(Q1766-O1766))</f>
        <v/>
      </c>
      <c r="T1766" s="31">
        <f>IF(OR(N1766&lt;&gt;"OK",NOT(ISNUMBER(M1766))),"",M1766-S1766)</f>
        <v/>
      </c>
      <c r="U1766" s="49">
        <f>IF(OR(NOT(ISNUMBER(T1766)),IF(ISNUMBER(H1766),H1766,G1766)=0),"",T1766/IF(ISNUMBER(H1766),H1766,G1766))</f>
        <v/>
      </c>
      <c r="V1766" s="49">
        <f>IF(ISNUMBER(U1766),ABS(U1766),"")</f>
        <v/>
      </c>
      <c r="W1766" s="49">
        <f>IF(OR($E1765&lt;&gt;"측정",$C1765&lt;&gt;$C1766,$D1765&lt;&gt;$D1766,NOT(ISNUMBER(M1766)),NOT(ISNUMBER(M1765)),(IF(ISNUMBER(H1766),H1766,G1766)-IF(ISNUMBER(H1765),H1765,G1765))=0),"",(M1766-M1765)/(IF(ISNUMBER(H1766),H1766,G1766)-IF(ISNUMBER(H1765),H1765,G1765)))</f>
        <v/>
      </c>
      <c r="X1766" s="31">
        <f>IF(NOT(AND(ISNUMBER(O1766),ISNUMBER(Q1766))),"",(Q1766-O1766)*1440)</f>
        <v/>
      </c>
      <c r="Y1766" s="29" t="n"/>
      <c r="Z1766" s="29" t="n"/>
      <c r="AA1766" s="29" t="n"/>
      <c r="AB1766" s="32" t="n"/>
      <c r="AC1766" s="32" t="n"/>
    </row>
    <row r="1767">
      <c r="A1767" s="26" t="inlineStr">
        <is>
          <t>S34</t>
        </is>
      </c>
      <c r="B1767" s="26" t="inlineStr">
        <is>
          <t>부안 신규점</t>
        </is>
      </c>
      <c r="C1767" s="26" t="inlineStr">
        <is>
          <t>S34-H북</t>
        </is>
      </c>
      <c r="D1767" s="47" t="n">
        <v>1</v>
      </c>
      <c r="E1767" s="26" t="inlineStr">
        <is>
          <t>측정</t>
        </is>
      </c>
      <c r="F1767" s="26" t="inlineStr">
        <is>
          <t>북</t>
        </is>
      </c>
      <c r="G1767" s="31" t="n">
        <v>5</v>
      </c>
      <c r="H1767" s="30" t="n"/>
      <c r="I1767" s="43" t="n"/>
      <c r="J1767" s="41" t="n"/>
      <c r="K1767" s="41" t="n"/>
      <c r="L1767" s="41" t="n"/>
      <c r="M1767" s="31">
        <f>IF(COUNT(J1767:L1767)=0,"",MEDIAN(J1767:L1767))</f>
        <v/>
      </c>
      <c r="N1767" s="26">
        <f>IF(COUNTIFS($C:$C,$C1767,$D:$D,$D1767,$E:$E,"P0(전)",$M:$M,"&gt;0")&lt;&gt;1,"P0(전) 유효 1개 아님",IF(COUNTIFS($C:$C,$C1767,$D:$D,$D1767,$E:$E,"P0(후)",$M:$M,"&gt;0")&lt;&gt;1,"P0(후) 유효 1개 아님",IF(NOT(AND(ISNUMBER(O1767),ISNUMBER(Q1767),ISNUMBER(I1767))),"시각 결측",IF(Q1767&lt;=O1767,"P0 시각 역전",IF(OR(I1767&lt;O1767,I1767&gt;Q1767),"측정시각 구간 밖","OK")))))</f>
        <v/>
      </c>
      <c r="O1767" s="48">
        <f>IF(COUNTIFS($C:$C,$C1767,$D:$D,$D1767,$E:$E,"P0(전)",$M:$M,"&gt;0")&lt;&gt;1,"",SUMIFS($I:$I,$C:$C,$C1767,$D:$D,$D1767,$E:$E,"P0(전)"))</f>
        <v/>
      </c>
      <c r="P1767" s="31">
        <f>IF(COUNTIFS($C:$C,$C1767,$D:$D,$D1767,$E:$E,"P0(전)",$M:$M,"&gt;0")&lt;&gt;1,"",SUMIFS($M:$M,$C:$C,$C1767,$D:$D,$D1767,$E:$E,"P0(전)"))</f>
        <v/>
      </c>
      <c r="Q1767" s="48">
        <f>IF(COUNTIFS($C:$C,$C1767,$D:$D,$D1767,$E:$E,"P0(후)",$M:$M,"&gt;0")&lt;&gt;1,"",SUMIFS($I:$I,$C:$C,$C1767,$D:$D,$D1767,$E:$E,"P0(후)"))</f>
        <v/>
      </c>
      <c r="R1767" s="31">
        <f>IF(COUNTIFS($C:$C,$C1767,$D:$D,$D1767,$E:$E,"P0(후)",$M:$M,"&gt;0")&lt;&gt;1,"",SUMIFS($M:$M,$C:$C,$C1767,$D:$D,$D1767,$E:$E,"P0(후)"))</f>
        <v/>
      </c>
      <c r="S1767" s="31">
        <f>IF(N1767&lt;&gt;"OK","",P1767+(R1767-P1767)*(I1767-O1767)/(Q1767-O1767))</f>
        <v/>
      </c>
      <c r="T1767" s="31">
        <f>IF(OR(N1767&lt;&gt;"OK",NOT(ISNUMBER(M1767))),"",M1767-S1767)</f>
        <v/>
      </c>
      <c r="U1767" s="49">
        <f>IF(OR(NOT(ISNUMBER(T1767)),IF(ISNUMBER(H1767),H1767,G1767)=0),"",T1767/IF(ISNUMBER(H1767),H1767,G1767))</f>
        <v/>
      </c>
      <c r="V1767" s="49">
        <f>IF(ISNUMBER(U1767),ABS(U1767),"")</f>
        <v/>
      </c>
      <c r="W1767" s="49">
        <f>IF(OR($E1766&lt;&gt;"측정",$C1766&lt;&gt;$C1767,$D1766&lt;&gt;$D1767,NOT(ISNUMBER(M1767)),NOT(ISNUMBER(M1766)),(IF(ISNUMBER(H1767),H1767,G1767)-IF(ISNUMBER(H1766),H1766,G1766))=0),"",(M1767-M1766)/(IF(ISNUMBER(H1767),H1767,G1767)-IF(ISNUMBER(H1766),H1766,G1766)))</f>
        <v/>
      </c>
      <c r="X1767" s="31">
        <f>IF(NOT(AND(ISNUMBER(O1767),ISNUMBER(Q1767))),"",(Q1767-O1767)*1440)</f>
        <v/>
      </c>
      <c r="Y1767" s="29" t="n"/>
      <c r="Z1767" s="29" t="n"/>
      <c r="AA1767" s="29" t="n"/>
      <c r="AB1767" s="32" t="n"/>
      <c r="AC1767" s="32" t="n"/>
    </row>
    <row r="1768">
      <c r="A1768" s="26" t="inlineStr">
        <is>
          <t>S34</t>
        </is>
      </c>
      <c r="B1768" s="26" t="inlineStr">
        <is>
          <t>부안 신규점</t>
        </is>
      </c>
      <c r="C1768" s="26" t="inlineStr">
        <is>
          <t>S34-H북</t>
        </is>
      </c>
      <c r="D1768" s="47" t="n">
        <v>1</v>
      </c>
      <c r="E1768" s="26" t="inlineStr">
        <is>
          <t>측정</t>
        </is>
      </c>
      <c r="F1768" s="26" t="inlineStr">
        <is>
          <t>북</t>
        </is>
      </c>
      <c r="G1768" s="31" t="n">
        <v>6</v>
      </c>
      <c r="H1768" s="30" t="n"/>
      <c r="I1768" s="43" t="n"/>
      <c r="J1768" s="41" t="n"/>
      <c r="K1768" s="41" t="n"/>
      <c r="L1768" s="41" t="n"/>
      <c r="M1768" s="31">
        <f>IF(COUNT(J1768:L1768)=0,"",MEDIAN(J1768:L1768))</f>
        <v/>
      </c>
      <c r="N1768" s="26">
        <f>IF(COUNTIFS($C:$C,$C1768,$D:$D,$D1768,$E:$E,"P0(전)",$M:$M,"&gt;0")&lt;&gt;1,"P0(전) 유효 1개 아님",IF(COUNTIFS($C:$C,$C1768,$D:$D,$D1768,$E:$E,"P0(후)",$M:$M,"&gt;0")&lt;&gt;1,"P0(후) 유효 1개 아님",IF(NOT(AND(ISNUMBER(O1768),ISNUMBER(Q1768),ISNUMBER(I1768))),"시각 결측",IF(Q1768&lt;=O1768,"P0 시각 역전",IF(OR(I1768&lt;O1768,I1768&gt;Q1768),"측정시각 구간 밖","OK")))))</f>
        <v/>
      </c>
      <c r="O1768" s="48">
        <f>IF(COUNTIFS($C:$C,$C1768,$D:$D,$D1768,$E:$E,"P0(전)",$M:$M,"&gt;0")&lt;&gt;1,"",SUMIFS($I:$I,$C:$C,$C1768,$D:$D,$D1768,$E:$E,"P0(전)"))</f>
        <v/>
      </c>
      <c r="P1768" s="31">
        <f>IF(COUNTIFS($C:$C,$C1768,$D:$D,$D1768,$E:$E,"P0(전)",$M:$M,"&gt;0")&lt;&gt;1,"",SUMIFS($M:$M,$C:$C,$C1768,$D:$D,$D1768,$E:$E,"P0(전)"))</f>
        <v/>
      </c>
      <c r="Q1768" s="48">
        <f>IF(COUNTIFS($C:$C,$C1768,$D:$D,$D1768,$E:$E,"P0(후)",$M:$M,"&gt;0")&lt;&gt;1,"",SUMIFS($I:$I,$C:$C,$C1768,$D:$D,$D1768,$E:$E,"P0(후)"))</f>
        <v/>
      </c>
      <c r="R1768" s="31">
        <f>IF(COUNTIFS($C:$C,$C1768,$D:$D,$D1768,$E:$E,"P0(후)",$M:$M,"&gt;0")&lt;&gt;1,"",SUMIFS($M:$M,$C:$C,$C1768,$D:$D,$D1768,$E:$E,"P0(후)"))</f>
        <v/>
      </c>
      <c r="S1768" s="31">
        <f>IF(N1768&lt;&gt;"OK","",P1768+(R1768-P1768)*(I1768-O1768)/(Q1768-O1768))</f>
        <v/>
      </c>
      <c r="T1768" s="31">
        <f>IF(OR(N1768&lt;&gt;"OK",NOT(ISNUMBER(M1768))),"",M1768-S1768)</f>
        <v/>
      </c>
      <c r="U1768" s="49">
        <f>IF(OR(NOT(ISNUMBER(T1768)),IF(ISNUMBER(H1768),H1768,G1768)=0),"",T1768/IF(ISNUMBER(H1768),H1768,G1768))</f>
        <v/>
      </c>
      <c r="V1768" s="49">
        <f>IF(ISNUMBER(U1768),ABS(U1768),"")</f>
        <v/>
      </c>
      <c r="W1768" s="49">
        <f>IF(OR($E1767&lt;&gt;"측정",$C1767&lt;&gt;$C1768,$D1767&lt;&gt;$D1768,NOT(ISNUMBER(M1768)),NOT(ISNUMBER(M1767)),(IF(ISNUMBER(H1768),H1768,G1768)-IF(ISNUMBER(H1767),H1767,G1767))=0),"",(M1768-M1767)/(IF(ISNUMBER(H1768),H1768,G1768)-IF(ISNUMBER(H1767),H1767,G1767)))</f>
        <v/>
      </c>
      <c r="X1768" s="31">
        <f>IF(NOT(AND(ISNUMBER(O1768),ISNUMBER(Q1768))),"",(Q1768-O1768)*1440)</f>
        <v/>
      </c>
      <c r="Y1768" s="29" t="n"/>
      <c r="Z1768" s="29" t="n"/>
      <c r="AA1768" s="29" t="n"/>
      <c r="AB1768" s="32" t="n"/>
      <c r="AC1768" s="32" t="n"/>
    </row>
    <row r="1769">
      <c r="A1769" s="26" t="inlineStr">
        <is>
          <t>S34</t>
        </is>
      </c>
      <c r="B1769" s="26" t="inlineStr">
        <is>
          <t>부안 신규점</t>
        </is>
      </c>
      <c r="C1769" s="26" t="inlineStr">
        <is>
          <t>S34-H북</t>
        </is>
      </c>
      <c r="D1769" s="47" t="n">
        <v>1</v>
      </c>
      <c r="E1769" s="26" t="inlineStr">
        <is>
          <t>측정</t>
        </is>
      </c>
      <c r="F1769" s="26" t="inlineStr">
        <is>
          <t>북</t>
        </is>
      </c>
      <c r="G1769" s="31" t="n">
        <v>7</v>
      </c>
      <c r="H1769" s="30" t="n"/>
      <c r="I1769" s="43" t="n"/>
      <c r="J1769" s="41" t="n"/>
      <c r="K1769" s="41" t="n"/>
      <c r="L1769" s="41" t="n"/>
      <c r="M1769" s="31">
        <f>IF(COUNT(J1769:L1769)=0,"",MEDIAN(J1769:L1769))</f>
        <v/>
      </c>
      <c r="N1769" s="26">
        <f>IF(COUNTIFS($C:$C,$C1769,$D:$D,$D1769,$E:$E,"P0(전)",$M:$M,"&gt;0")&lt;&gt;1,"P0(전) 유효 1개 아님",IF(COUNTIFS($C:$C,$C1769,$D:$D,$D1769,$E:$E,"P0(후)",$M:$M,"&gt;0")&lt;&gt;1,"P0(후) 유효 1개 아님",IF(NOT(AND(ISNUMBER(O1769),ISNUMBER(Q1769),ISNUMBER(I1769))),"시각 결측",IF(Q1769&lt;=O1769,"P0 시각 역전",IF(OR(I1769&lt;O1769,I1769&gt;Q1769),"측정시각 구간 밖","OK")))))</f>
        <v/>
      </c>
      <c r="O1769" s="48">
        <f>IF(COUNTIFS($C:$C,$C1769,$D:$D,$D1769,$E:$E,"P0(전)",$M:$M,"&gt;0")&lt;&gt;1,"",SUMIFS($I:$I,$C:$C,$C1769,$D:$D,$D1769,$E:$E,"P0(전)"))</f>
        <v/>
      </c>
      <c r="P1769" s="31">
        <f>IF(COUNTIFS($C:$C,$C1769,$D:$D,$D1769,$E:$E,"P0(전)",$M:$M,"&gt;0")&lt;&gt;1,"",SUMIFS($M:$M,$C:$C,$C1769,$D:$D,$D1769,$E:$E,"P0(전)"))</f>
        <v/>
      </c>
      <c r="Q1769" s="48">
        <f>IF(COUNTIFS($C:$C,$C1769,$D:$D,$D1769,$E:$E,"P0(후)",$M:$M,"&gt;0")&lt;&gt;1,"",SUMIFS($I:$I,$C:$C,$C1769,$D:$D,$D1769,$E:$E,"P0(후)"))</f>
        <v/>
      </c>
      <c r="R1769" s="31">
        <f>IF(COUNTIFS($C:$C,$C1769,$D:$D,$D1769,$E:$E,"P0(후)",$M:$M,"&gt;0")&lt;&gt;1,"",SUMIFS($M:$M,$C:$C,$C1769,$D:$D,$D1769,$E:$E,"P0(후)"))</f>
        <v/>
      </c>
      <c r="S1769" s="31">
        <f>IF(N1769&lt;&gt;"OK","",P1769+(R1769-P1769)*(I1769-O1769)/(Q1769-O1769))</f>
        <v/>
      </c>
      <c r="T1769" s="31">
        <f>IF(OR(N1769&lt;&gt;"OK",NOT(ISNUMBER(M1769))),"",M1769-S1769)</f>
        <v/>
      </c>
      <c r="U1769" s="49">
        <f>IF(OR(NOT(ISNUMBER(T1769)),IF(ISNUMBER(H1769),H1769,G1769)=0),"",T1769/IF(ISNUMBER(H1769),H1769,G1769))</f>
        <v/>
      </c>
      <c r="V1769" s="49">
        <f>IF(ISNUMBER(U1769),ABS(U1769),"")</f>
        <v/>
      </c>
      <c r="W1769" s="49">
        <f>IF(OR($E1768&lt;&gt;"측정",$C1768&lt;&gt;$C1769,$D1768&lt;&gt;$D1769,NOT(ISNUMBER(M1769)),NOT(ISNUMBER(M1768)),(IF(ISNUMBER(H1769),H1769,G1769)-IF(ISNUMBER(H1768),H1768,G1768))=0),"",(M1769-M1768)/(IF(ISNUMBER(H1769),H1769,G1769)-IF(ISNUMBER(H1768),H1768,G1768)))</f>
        <v/>
      </c>
      <c r="X1769" s="31">
        <f>IF(NOT(AND(ISNUMBER(O1769),ISNUMBER(Q1769))),"",(Q1769-O1769)*1440)</f>
        <v/>
      </c>
      <c r="Y1769" s="29" t="n"/>
      <c r="Z1769" s="29" t="n"/>
      <c r="AA1769" s="29" t="n"/>
      <c r="AB1769" s="32" t="n"/>
      <c r="AC1769" s="32" t="n"/>
    </row>
    <row r="1770">
      <c r="A1770" s="26" t="inlineStr">
        <is>
          <t>S34</t>
        </is>
      </c>
      <c r="B1770" s="26" t="inlineStr">
        <is>
          <t>부안 신규점</t>
        </is>
      </c>
      <c r="C1770" s="26" t="inlineStr">
        <is>
          <t>S34-H북</t>
        </is>
      </c>
      <c r="D1770" s="47" t="n">
        <v>1</v>
      </c>
      <c r="E1770" s="26" t="inlineStr">
        <is>
          <t>측정</t>
        </is>
      </c>
      <c r="F1770" s="26" t="inlineStr">
        <is>
          <t>북</t>
        </is>
      </c>
      <c r="G1770" s="31" t="n">
        <v>8</v>
      </c>
      <c r="H1770" s="30" t="n"/>
      <c r="I1770" s="43" t="n"/>
      <c r="J1770" s="41" t="n"/>
      <c r="K1770" s="41" t="n"/>
      <c r="L1770" s="41" t="n"/>
      <c r="M1770" s="31">
        <f>IF(COUNT(J1770:L1770)=0,"",MEDIAN(J1770:L1770))</f>
        <v/>
      </c>
      <c r="N1770" s="26">
        <f>IF(COUNTIFS($C:$C,$C1770,$D:$D,$D1770,$E:$E,"P0(전)",$M:$M,"&gt;0")&lt;&gt;1,"P0(전) 유효 1개 아님",IF(COUNTIFS($C:$C,$C1770,$D:$D,$D1770,$E:$E,"P0(후)",$M:$M,"&gt;0")&lt;&gt;1,"P0(후) 유효 1개 아님",IF(NOT(AND(ISNUMBER(O1770),ISNUMBER(Q1770),ISNUMBER(I1770))),"시각 결측",IF(Q1770&lt;=O1770,"P0 시각 역전",IF(OR(I1770&lt;O1770,I1770&gt;Q1770),"측정시각 구간 밖","OK")))))</f>
        <v/>
      </c>
      <c r="O1770" s="48">
        <f>IF(COUNTIFS($C:$C,$C1770,$D:$D,$D1770,$E:$E,"P0(전)",$M:$M,"&gt;0")&lt;&gt;1,"",SUMIFS($I:$I,$C:$C,$C1770,$D:$D,$D1770,$E:$E,"P0(전)"))</f>
        <v/>
      </c>
      <c r="P1770" s="31">
        <f>IF(COUNTIFS($C:$C,$C1770,$D:$D,$D1770,$E:$E,"P0(전)",$M:$M,"&gt;0")&lt;&gt;1,"",SUMIFS($M:$M,$C:$C,$C1770,$D:$D,$D1770,$E:$E,"P0(전)"))</f>
        <v/>
      </c>
      <c r="Q1770" s="48">
        <f>IF(COUNTIFS($C:$C,$C1770,$D:$D,$D1770,$E:$E,"P0(후)",$M:$M,"&gt;0")&lt;&gt;1,"",SUMIFS($I:$I,$C:$C,$C1770,$D:$D,$D1770,$E:$E,"P0(후)"))</f>
        <v/>
      </c>
      <c r="R1770" s="31">
        <f>IF(COUNTIFS($C:$C,$C1770,$D:$D,$D1770,$E:$E,"P0(후)",$M:$M,"&gt;0")&lt;&gt;1,"",SUMIFS($M:$M,$C:$C,$C1770,$D:$D,$D1770,$E:$E,"P0(후)"))</f>
        <v/>
      </c>
      <c r="S1770" s="31">
        <f>IF(N1770&lt;&gt;"OK","",P1770+(R1770-P1770)*(I1770-O1770)/(Q1770-O1770))</f>
        <v/>
      </c>
      <c r="T1770" s="31">
        <f>IF(OR(N1770&lt;&gt;"OK",NOT(ISNUMBER(M1770))),"",M1770-S1770)</f>
        <v/>
      </c>
      <c r="U1770" s="49">
        <f>IF(OR(NOT(ISNUMBER(T1770)),IF(ISNUMBER(H1770),H1770,G1770)=0),"",T1770/IF(ISNUMBER(H1770),H1770,G1770))</f>
        <v/>
      </c>
      <c r="V1770" s="49">
        <f>IF(ISNUMBER(U1770),ABS(U1770),"")</f>
        <v/>
      </c>
      <c r="W1770" s="49">
        <f>IF(OR($E1769&lt;&gt;"측정",$C1769&lt;&gt;$C1770,$D1769&lt;&gt;$D1770,NOT(ISNUMBER(M1770)),NOT(ISNUMBER(M1769)),(IF(ISNUMBER(H1770),H1770,G1770)-IF(ISNUMBER(H1769),H1769,G1769))=0),"",(M1770-M1769)/(IF(ISNUMBER(H1770),H1770,G1770)-IF(ISNUMBER(H1769),H1769,G1769)))</f>
        <v/>
      </c>
      <c r="X1770" s="31">
        <f>IF(NOT(AND(ISNUMBER(O1770),ISNUMBER(Q1770))),"",(Q1770-O1770)*1440)</f>
        <v/>
      </c>
      <c r="Y1770" s="29" t="n"/>
      <c r="Z1770" s="29" t="n"/>
      <c r="AA1770" s="29" t="n"/>
      <c r="AB1770" s="32" t="n"/>
      <c r="AC1770" s="32" t="n"/>
    </row>
    <row r="1771">
      <c r="A1771" s="26" t="inlineStr">
        <is>
          <t>S34</t>
        </is>
      </c>
      <c r="B1771" s="26" t="inlineStr">
        <is>
          <t>부안 신규점</t>
        </is>
      </c>
      <c r="C1771" s="26" t="inlineStr">
        <is>
          <t>S34-H북</t>
        </is>
      </c>
      <c r="D1771" s="47" t="n">
        <v>1</v>
      </c>
      <c r="E1771" s="26" t="inlineStr">
        <is>
          <t>측정</t>
        </is>
      </c>
      <c r="F1771" s="26" t="inlineStr">
        <is>
          <t>북</t>
        </is>
      </c>
      <c r="G1771" s="31" t="n">
        <v>9</v>
      </c>
      <c r="H1771" s="30" t="n"/>
      <c r="I1771" s="43" t="n"/>
      <c r="J1771" s="41" t="n"/>
      <c r="K1771" s="41" t="n"/>
      <c r="L1771" s="41" t="n"/>
      <c r="M1771" s="31">
        <f>IF(COUNT(J1771:L1771)=0,"",MEDIAN(J1771:L1771))</f>
        <v/>
      </c>
      <c r="N1771" s="26">
        <f>IF(COUNTIFS($C:$C,$C1771,$D:$D,$D1771,$E:$E,"P0(전)",$M:$M,"&gt;0")&lt;&gt;1,"P0(전) 유효 1개 아님",IF(COUNTIFS($C:$C,$C1771,$D:$D,$D1771,$E:$E,"P0(후)",$M:$M,"&gt;0")&lt;&gt;1,"P0(후) 유효 1개 아님",IF(NOT(AND(ISNUMBER(O1771),ISNUMBER(Q1771),ISNUMBER(I1771))),"시각 결측",IF(Q1771&lt;=O1771,"P0 시각 역전",IF(OR(I1771&lt;O1771,I1771&gt;Q1771),"측정시각 구간 밖","OK")))))</f>
        <v/>
      </c>
      <c r="O1771" s="48">
        <f>IF(COUNTIFS($C:$C,$C1771,$D:$D,$D1771,$E:$E,"P0(전)",$M:$M,"&gt;0")&lt;&gt;1,"",SUMIFS($I:$I,$C:$C,$C1771,$D:$D,$D1771,$E:$E,"P0(전)"))</f>
        <v/>
      </c>
      <c r="P1771" s="31">
        <f>IF(COUNTIFS($C:$C,$C1771,$D:$D,$D1771,$E:$E,"P0(전)",$M:$M,"&gt;0")&lt;&gt;1,"",SUMIFS($M:$M,$C:$C,$C1771,$D:$D,$D1771,$E:$E,"P0(전)"))</f>
        <v/>
      </c>
      <c r="Q1771" s="48">
        <f>IF(COUNTIFS($C:$C,$C1771,$D:$D,$D1771,$E:$E,"P0(후)",$M:$M,"&gt;0")&lt;&gt;1,"",SUMIFS($I:$I,$C:$C,$C1771,$D:$D,$D1771,$E:$E,"P0(후)"))</f>
        <v/>
      </c>
      <c r="R1771" s="31">
        <f>IF(COUNTIFS($C:$C,$C1771,$D:$D,$D1771,$E:$E,"P0(후)",$M:$M,"&gt;0")&lt;&gt;1,"",SUMIFS($M:$M,$C:$C,$C1771,$D:$D,$D1771,$E:$E,"P0(후)"))</f>
        <v/>
      </c>
      <c r="S1771" s="31">
        <f>IF(N1771&lt;&gt;"OK","",P1771+(R1771-P1771)*(I1771-O1771)/(Q1771-O1771))</f>
        <v/>
      </c>
      <c r="T1771" s="31">
        <f>IF(OR(N1771&lt;&gt;"OK",NOT(ISNUMBER(M1771))),"",M1771-S1771)</f>
        <v/>
      </c>
      <c r="U1771" s="49">
        <f>IF(OR(NOT(ISNUMBER(T1771)),IF(ISNUMBER(H1771),H1771,G1771)=0),"",T1771/IF(ISNUMBER(H1771),H1771,G1771))</f>
        <v/>
      </c>
      <c r="V1771" s="49">
        <f>IF(ISNUMBER(U1771),ABS(U1771),"")</f>
        <v/>
      </c>
      <c r="W1771" s="49">
        <f>IF(OR($E1770&lt;&gt;"측정",$C1770&lt;&gt;$C1771,$D1770&lt;&gt;$D1771,NOT(ISNUMBER(M1771)),NOT(ISNUMBER(M1770)),(IF(ISNUMBER(H1771),H1771,G1771)-IF(ISNUMBER(H1770),H1770,G1770))=0),"",(M1771-M1770)/(IF(ISNUMBER(H1771),H1771,G1771)-IF(ISNUMBER(H1770),H1770,G1770)))</f>
        <v/>
      </c>
      <c r="X1771" s="31">
        <f>IF(NOT(AND(ISNUMBER(O1771),ISNUMBER(Q1771))),"",(Q1771-O1771)*1440)</f>
        <v/>
      </c>
      <c r="Y1771" s="29" t="n"/>
      <c r="Z1771" s="29" t="n"/>
      <c r="AA1771" s="29" t="n"/>
      <c r="AB1771" s="32" t="n"/>
      <c r="AC1771" s="32" t="n"/>
    </row>
    <row r="1772">
      <c r="A1772" s="26" t="inlineStr">
        <is>
          <t>S34</t>
        </is>
      </c>
      <c r="B1772" s="26" t="inlineStr">
        <is>
          <t>부안 신규점</t>
        </is>
      </c>
      <c r="C1772" s="26" t="inlineStr">
        <is>
          <t>S34-H북</t>
        </is>
      </c>
      <c r="D1772" s="47" t="n">
        <v>1</v>
      </c>
      <c r="E1772" s="26" t="inlineStr">
        <is>
          <t>측정</t>
        </is>
      </c>
      <c r="F1772" s="26" t="inlineStr">
        <is>
          <t>북</t>
        </is>
      </c>
      <c r="G1772" s="31" t="n">
        <v>10</v>
      </c>
      <c r="H1772" s="30" t="n"/>
      <c r="I1772" s="43" t="n"/>
      <c r="J1772" s="41" t="n"/>
      <c r="K1772" s="41" t="n"/>
      <c r="L1772" s="41" t="n"/>
      <c r="M1772" s="31">
        <f>IF(COUNT(J1772:L1772)=0,"",MEDIAN(J1772:L1772))</f>
        <v/>
      </c>
      <c r="N1772" s="26">
        <f>IF(COUNTIFS($C:$C,$C1772,$D:$D,$D1772,$E:$E,"P0(전)",$M:$M,"&gt;0")&lt;&gt;1,"P0(전) 유효 1개 아님",IF(COUNTIFS($C:$C,$C1772,$D:$D,$D1772,$E:$E,"P0(후)",$M:$M,"&gt;0")&lt;&gt;1,"P0(후) 유효 1개 아님",IF(NOT(AND(ISNUMBER(O1772),ISNUMBER(Q1772),ISNUMBER(I1772))),"시각 결측",IF(Q1772&lt;=O1772,"P0 시각 역전",IF(OR(I1772&lt;O1772,I1772&gt;Q1772),"측정시각 구간 밖","OK")))))</f>
        <v/>
      </c>
      <c r="O1772" s="48">
        <f>IF(COUNTIFS($C:$C,$C1772,$D:$D,$D1772,$E:$E,"P0(전)",$M:$M,"&gt;0")&lt;&gt;1,"",SUMIFS($I:$I,$C:$C,$C1772,$D:$D,$D1772,$E:$E,"P0(전)"))</f>
        <v/>
      </c>
      <c r="P1772" s="31">
        <f>IF(COUNTIFS($C:$C,$C1772,$D:$D,$D1772,$E:$E,"P0(전)",$M:$M,"&gt;0")&lt;&gt;1,"",SUMIFS($M:$M,$C:$C,$C1772,$D:$D,$D1772,$E:$E,"P0(전)"))</f>
        <v/>
      </c>
      <c r="Q1772" s="48">
        <f>IF(COUNTIFS($C:$C,$C1772,$D:$D,$D1772,$E:$E,"P0(후)",$M:$M,"&gt;0")&lt;&gt;1,"",SUMIFS($I:$I,$C:$C,$C1772,$D:$D,$D1772,$E:$E,"P0(후)"))</f>
        <v/>
      </c>
      <c r="R1772" s="31">
        <f>IF(COUNTIFS($C:$C,$C1772,$D:$D,$D1772,$E:$E,"P0(후)",$M:$M,"&gt;0")&lt;&gt;1,"",SUMIFS($M:$M,$C:$C,$C1772,$D:$D,$D1772,$E:$E,"P0(후)"))</f>
        <v/>
      </c>
      <c r="S1772" s="31">
        <f>IF(N1772&lt;&gt;"OK","",P1772+(R1772-P1772)*(I1772-O1772)/(Q1772-O1772))</f>
        <v/>
      </c>
      <c r="T1772" s="31">
        <f>IF(OR(N1772&lt;&gt;"OK",NOT(ISNUMBER(M1772))),"",M1772-S1772)</f>
        <v/>
      </c>
      <c r="U1772" s="49">
        <f>IF(OR(NOT(ISNUMBER(T1772)),IF(ISNUMBER(H1772),H1772,G1772)=0),"",T1772/IF(ISNUMBER(H1772),H1772,G1772))</f>
        <v/>
      </c>
      <c r="V1772" s="49">
        <f>IF(ISNUMBER(U1772),ABS(U1772),"")</f>
        <v/>
      </c>
      <c r="W1772" s="49">
        <f>IF(OR($E1771&lt;&gt;"측정",$C1771&lt;&gt;$C1772,$D1771&lt;&gt;$D1772,NOT(ISNUMBER(M1772)),NOT(ISNUMBER(M1771)),(IF(ISNUMBER(H1772),H1772,G1772)-IF(ISNUMBER(H1771),H1771,G1771))=0),"",(M1772-M1771)/(IF(ISNUMBER(H1772),H1772,G1772)-IF(ISNUMBER(H1771),H1771,G1771)))</f>
        <v/>
      </c>
      <c r="X1772" s="31">
        <f>IF(NOT(AND(ISNUMBER(O1772),ISNUMBER(Q1772))),"",(Q1772-O1772)*1440)</f>
        <v/>
      </c>
      <c r="Y1772" s="29" t="n"/>
      <c r="Z1772" s="29" t="n"/>
      <c r="AA1772" s="29" t="n"/>
      <c r="AB1772" s="32" t="n"/>
      <c r="AC1772" s="32" t="n"/>
    </row>
    <row r="1773">
      <c r="A1773" s="44" t="inlineStr">
        <is>
          <t>S34</t>
        </is>
      </c>
      <c r="B1773" s="44" t="inlineStr">
        <is>
          <t>부안 신규점</t>
        </is>
      </c>
      <c r="C1773" s="44" t="inlineStr">
        <is>
          <t>S34-H북</t>
        </is>
      </c>
      <c r="D1773" s="45" t="n">
        <v>1</v>
      </c>
      <c r="E1773" s="44" t="inlineStr">
        <is>
          <t>P0(후)</t>
        </is>
      </c>
      <c r="F1773" s="44" t="inlineStr">
        <is>
          <t>북</t>
        </is>
      </c>
      <c r="G1773" s="46" t="n"/>
      <c r="H1773" s="30" t="n"/>
      <c r="I1773" s="43" t="n"/>
      <c r="J1773" s="41" t="n"/>
      <c r="K1773" s="41" t="n"/>
      <c r="L1773" s="41" t="n"/>
      <c r="M1773" s="31">
        <f>IF(COUNT(J1773:L1773)=0,"",MEDIAN(J1773:L1773))</f>
        <v/>
      </c>
      <c r="N1773" s="38" t="n"/>
      <c r="O1773" s="38" t="n"/>
      <c r="P1773" s="38" t="n"/>
      <c r="Q1773" s="38" t="n"/>
      <c r="R1773" s="38" t="n"/>
      <c r="S1773" s="38" t="n"/>
      <c r="T1773" s="38" t="n"/>
      <c r="U1773" s="38" t="n"/>
      <c r="V1773" s="38" t="n"/>
      <c r="W1773" s="38" t="n"/>
      <c r="X1773" s="38" t="n"/>
      <c r="Y1773" s="29" t="n"/>
      <c r="Z1773" s="29" t="n"/>
      <c r="AA1773" s="29" t="n"/>
      <c r="AB1773" s="32" t="n"/>
      <c r="AC1773" s="32" t="n"/>
    </row>
    <row r="1774">
      <c r="A1774" s="44" t="inlineStr">
        <is>
          <t>S35</t>
        </is>
      </c>
      <c r="B1774" s="44" t="inlineStr">
        <is>
          <t>상주</t>
        </is>
      </c>
      <c r="C1774" s="44" t="inlineStr">
        <is>
          <t>S35-H동</t>
        </is>
      </c>
      <c r="D1774" s="45" t="n">
        <v>1</v>
      </c>
      <c r="E1774" s="44" t="inlineStr">
        <is>
          <t>P0(전)</t>
        </is>
      </c>
      <c r="F1774" s="44" t="inlineStr">
        <is>
          <t>동</t>
        </is>
      </c>
      <c r="G1774" s="46" t="n"/>
      <c r="H1774" s="30" t="n"/>
      <c r="I1774" s="43" t="n"/>
      <c r="J1774" s="41" t="n"/>
      <c r="K1774" s="41" t="n"/>
      <c r="L1774" s="41" t="n"/>
      <c r="M1774" s="31">
        <f>IF(COUNT(J1774:L1774)=0,"",MEDIAN(J1774:L1774))</f>
        <v/>
      </c>
      <c r="N1774" s="38" t="n"/>
      <c r="O1774" s="38" t="n"/>
      <c r="P1774" s="38" t="n"/>
      <c r="Q1774" s="38" t="n"/>
      <c r="R1774" s="38" t="n"/>
      <c r="S1774" s="38" t="n"/>
      <c r="T1774" s="38" t="n"/>
      <c r="U1774" s="38" t="n"/>
      <c r="V1774" s="38" t="n"/>
      <c r="W1774" s="38" t="n"/>
      <c r="X1774" s="38" t="n"/>
      <c r="Y1774" s="29" t="n"/>
      <c r="Z1774" s="29" t="n"/>
      <c r="AA1774" s="29" t="n"/>
      <c r="AB1774" s="32" t="n"/>
      <c r="AC1774" s="32" t="n"/>
    </row>
    <row r="1775">
      <c r="A1775" s="26" t="inlineStr">
        <is>
          <t>S35</t>
        </is>
      </c>
      <c r="B1775" s="26" t="inlineStr">
        <is>
          <t>상주</t>
        </is>
      </c>
      <c r="C1775" s="26" t="inlineStr">
        <is>
          <t>S35-H동</t>
        </is>
      </c>
      <c r="D1775" s="47" t="n">
        <v>1</v>
      </c>
      <c r="E1775" s="26" t="inlineStr">
        <is>
          <t>측정</t>
        </is>
      </c>
      <c r="F1775" s="26" t="inlineStr">
        <is>
          <t>동</t>
        </is>
      </c>
      <c r="G1775" s="31" t="n">
        <v>0.5</v>
      </c>
      <c r="H1775" s="30" t="n"/>
      <c r="I1775" s="43" t="n"/>
      <c r="J1775" s="41" t="n"/>
      <c r="K1775" s="41" t="n"/>
      <c r="L1775" s="41" t="n"/>
      <c r="M1775" s="31">
        <f>IF(COUNT(J1775:L1775)=0,"",MEDIAN(J1775:L1775))</f>
        <v/>
      </c>
      <c r="N1775" s="26">
        <f>IF(COUNTIFS($C:$C,$C1775,$D:$D,$D1775,$E:$E,"P0(전)",$M:$M,"&gt;0")&lt;&gt;1,"P0(전) 유효 1개 아님",IF(COUNTIFS($C:$C,$C1775,$D:$D,$D1775,$E:$E,"P0(후)",$M:$M,"&gt;0")&lt;&gt;1,"P0(후) 유효 1개 아님",IF(NOT(AND(ISNUMBER(O1775),ISNUMBER(Q1775),ISNUMBER(I1775))),"시각 결측",IF(Q1775&lt;=O1775,"P0 시각 역전",IF(OR(I1775&lt;O1775,I1775&gt;Q1775),"측정시각 구간 밖","OK")))))</f>
        <v/>
      </c>
      <c r="O1775" s="48">
        <f>IF(COUNTIFS($C:$C,$C1775,$D:$D,$D1775,$E:$E,"P0(전)",$M:$M,"&gt;0")&lt;&gt;1,"",SUMIFS($I:$I,$C:$C,$C1775,$D:$D,$D1775,$E:$E,"P0(전)"))</f>
        <v/>
      </c>
      <c r="P1775" s="31">
        <f>IF(COUNTIFS($C:$C,$C1775,$D:$D,$D1775,$E:$E,"P0(전)",$M:$M,"&gt;0")&lt;&gt;1,"",SUMIFS($M:$M,$C:$C,$C1775,$D:$D,$D1775,$E:$E,"P0(전)"))</f>
        <v/>
      </c>
      <c r="Q1775" s="48">
        <f>IF(COUNTIFS($C:$C,$C1775,$D:$D,$D1775,$E:$E,"P0(후)",$M:$M,"&gt;0")&lt;&gt;1,"",SUMIFS($I:$I,$C:$C,$C1775,$D:$D,$D1775,$E:$E,"P0(후)"))</f>
        <v/>
      </c>
      <c r="R1775" s="31">
        <f>IF(COUNTIFS($C:$C,$C1775,$D:$D,$D1775,$E:$E,"P0(후)",$M:$M,"&gt;0")&lt;&gt;1,"",SUMIFS($M:$M,$C:$C,$C1775,$D:$D,$D1775,$E:$E,"P0(후)"))</f>
        <v/>
      </c>
      <c r="S1775" s="31">
        <f>IF(N1775&lt;&gt;"OK","",P1775+(R1775-P1775)*(I1775-O1775)/(Q1775-O1775))</f>
        <v/>
      </c>
      <c r="T1775" s="31">
        <f>IF(OR(N1775&lt;&gt;"OK",NOT(ISNUMBER(M1775))),"",M1775-S1775)</f>
        <v/>
      </c>
      <c r="U1775" s="49">
        <f>IF(OR(NOT(ISNUMBER(T1775)),IF(ISNUMBER(H1775),H1775,G1775)=0),"",T1775/IF(ISNUMBER(H1775),H1775,G1775))</f>
        <v/>
      </c>
      <c r="V1775" s="49">
        <f>IF(ISNUMBER(U1775),ABS(U1775),"")</f>
        <v/>
      </c>
      <c r="W1775" s="49">
        <f>IF(OR($E1774&lt;&gt;"측정",$C1774&lt;&gt;$C1775,$D1774&lt;&gt;$D1775,NOT(ISNUMBER(M1775)),NOT(ISNUMBER(M1774)),(IF(ISNUMBER(H1775),H1775,G1775)-IF(ISNUMBER(H1774),H1774,G1774))=0),"",(M1775-M1774)/(IF(ISNUMBER(H1775),H1775,G1775)-IF(ISNUMBER(H1774),H1774,G1774)))</f>
        <v/>
      </c>
      <c r="X1775" s="31">
        <f>IF(NOT(AND(ISNUMBER(O1775),ISNUMBER(Q1775))),"",(Q1775-O1775)*1440)</f>
        <v/>
      </c>
      <c r="Y1775" s="29" t="n"/>
      <c r="Z1775" s="29" t="n"/>
      <c r="AA1775" s="29" t="n"/>
      <c r="AB1775" s="32" t="n"/>
      <c r="AC1775" s="32" t="n"/>
    </row>
    <row r="1776">
      <c r="A1776" s="26" t="inlineStr">
        <is>
          <t>S35</t>
        </is>
      </c>
      <c r="B1776" s="26" t="inlineStr">
        <is>
          <t>상주</t>
        </is>
      </c>
      <c r="C1776" s="26" t="inlineStr">
        <is>
          <t>S35-H동</t>
        </is>
      </c>
      <c r="D1776" s="47" t="n">
        <v>1</v>
      </c>
      <c r="E1776" s="26" t="inlineStr">
        <is>
          <t>측정</t>
        </is>
      </c>
      <c r="F1776" s="26" t="inlineStr">
        <is>
          <t>동</t>
        </is>
      </c>
      <c r="G1776" s="31" t="n">
        <v>1</v>
      </c>
      <c r="H1776" s="30" t="n"/>
      <c r="I1776" s="43" t="n"/>
      <c r="J1776" s="41" t="n"/>
      <c r="K1776" s="41" t="n"/>
      <c r="L1776" s="41" t="n"/>
      <c r="M1776" s="31">
        <f>IF(COUNT(J1776:L1776)=0,"",MEDIAN(J1776:L1776))</f>
        <v/>
      </c>
      <c r="N1776" s="26">
        <f>IF(COUNTIFS($C:$C,$C1776,$D:$D,$D1776,$E:$E,"P0(전)",$M:$M,"&gt;0")&lt;&gt;1,"P0(전) 유효 1개 아님",IF(COUNTIFS($C:$C,$C1776,$D:$D,$D1776,$E:$E,"P0(후)",$M:$M,"&gt;0")&lt;&gt;1,"P0(후) 유효 1개 아님",IF(NOT(AND(ISNUMBER(O1776),ISNUMBER(Q1776),ISNUMBER(I1776))),"시각 결측",IF(Q1776&lt;=O1776,"P0 시각 역전",IF(OR(I1776&lt;O1776,I1776&gt;Q1776),"측정시각 구간 밖","OK")))))</f>
        <v/>
      </c>
      <c r="O1776" s="48">
        <f>IF(COUNTIFS($C:$C,$C1776,$D:$D,$D1776,$E:$E,"P0(전)",$M:$M,"&gt;0")&lt;&gt;1,"",SUMIFS($I:$I,$C:$C,$C1776,$D:$D,$D1776,$E:$E,"P0(전)"))</f>
        <v/>
      </c>
      <c r="P1776" s="31">
        <f>IF(COUNTIFS($C:$C,$C1776,$D:$D,$D1776,$E:$E,"P0(전)",$M:$M,"&gt;0")&lt;&gt;1,"",SUMIFS($M:$M,$C:$C,$C1776,$D:$D,$D1776,$E:$E,"P0(전)"))</f>
        <v/>
      </c>
      <c r="Q1776" s="48">
        <f>IF(COUNTIFS($C:$C,$C1776,$D:$D,$D1776,$E:$E,"P0(후)",$M:$M,"&gt;0")&lt;&gt;1,"",SUMIFS($I:$I,$C:$C,$C1776,$D:$D,$D1776,$E:$E,"P0(후)"))</f>
        <v/>
      </c>
      <c r="R1776" s="31">
        <f>IF(COUNTIFS($C:$C,$C1776,$D:$D,$D1776,$E:$E,"P0(후)",$M:$M,"&gt;0")&lt;&gt;1,"",SUMIFS($M:$M,$C:$C,$C1776,$D:$D,$D1776,$E:$E,"P0(후)"))</f>
        <v/>
      </c>
      <c r="S1776" s="31">
        <f>IF(N1776&lt;&gt;"OK","",P1776+(R1776-P1776)*(I1776-O1776)/(Q1776-O1776))</f>
        <v/>
      </c>
      <c r="T1776" s="31">
        <f>IF(OR(N1776&lt;&gt;"OK",NOT(ISNUMBER(M1776))),"",M1776-S1776)</f>
        <v/>
      </c>
      <c r="U1776" s="49">
        <f>IF(OR(NOT(ISNUMBER(T1776)),IF(ISNUMBER(H1776),H1776,G1776)=0),"",T1776/IF(ISNUMBER(H1776),H1776,G1776))</f>
        <v/>
      </c>
      <c r="V1776" s="49">
        <f>IF(ISNUMBER(U1776),ABS(U1776),"")</f>
        <v/>
      </c>
      <c r="W1776" s="49">
        <f>IF(OR($E1775&lt;&gt;"측정",$C1775&lt;&gt;$C1776,$D1775&lt;&gt;$D1776,NOT(ISNUMBER(M1776)),NOT(ISNUMBER(M1775)),(IF(ISNUMBER(H1776),H1776,G1776)-IF(ISNUMBER(H1775),H1775,G1775))=0),"",(M1776-M1775)/(IF(ISNUMBER(H1776),H1776,G1776)-IF(ISNUMBER(H1775),H1775,G1775)))</f>
        <v/>
      </c>
      <c r="X1776" s="31">
        <f>IF(NOT(AND(ISNUMBER(O1776),ISNUMBER(Q1776))),"",(Q1776-O1776)*1440)</f>
        <v/>
      </c>
      <c r="Y1776" s="29" t="n"/>
      <c r="Z1776" s="29" t="n"/>
      <c r="AA1776" s="29" t="n"/>
      <c r="AB1776" s="32" t="n"/>
      <c r="AC1776" s="32" t="n"/>
    </row>
    <row r="1777">
      <c r="A1777" s="26" t="inlineStr">
        <is>
          <t>S35</t>
        </is>
      </c>
      <c r="B1777" s="26" t="inlineStr">
        <is>
          <t>상주</t>
        </is>
      </c>
      <c r="C1777" s="26" t="inlineStr">
        <is>
          <t>S35-H동</t>
        </is>
      </c>
      <c r="D1777" s="47" t="n">
        <v>1</v>
      </c>
      <c r="E1777" s="26" t="inlineStr">
        <is>
          <t>측정</t>
        </is>
      </c>
      <c r="F1777" s="26" t="inlineStr">
        <is>
          <t>동</t>
        </is>
      </c>
      <c r="G1777" s="31" t="n">
        <v>2</v>
      </c>
      <c r="H1777" s="30" t="n"/>
      <c r="I1777" s="43" t="n"/>
      <c r="J1777" s="41" t="n"/>
      <c r="K1777" s="41" t="n"/>
      <c r="L1777" s="41" t="n"/>
      <c r="M1777" s="31">
        <f>IF(COUNT(J1777:L1777)=0,"",MEDIAN(J1777:L1777))</f>
        <v/>
      </c>
      <c r="N1777" s="26">
        <f>IF(COUNTIFS($C:$C,$C1777,$D:$D,$D1777,$E:$E,"P0(전)",$M:$M,"&gt;0")&lt;&gt;1,"P0(전) 유효 1개 아님",IF(COUNTIFS($C:$C,$C1777,$D:$D,$D1777,$E:$E,"P0(후)",$M:$M,"&gt;0")&lt;&gt;1,"P0(후) 유효 1개 아님",IF(NOT(AND(ISNUMBER(O1777),ISNUMBER(Q1777),ISNUMBER(I1777))),"시각 결측",IF(Q1777&lt;=O1777,"P0 시각 역전",IF(OR(I1777&lt;O1777,I1777&gt;Q1777),"측정시각 구간 밖","OK")))))</f>
        <v/>
      </c>
      <c r="O1777" s="48">
        <f>IF(COUNTIFS($C:$C,$C1777,$D:$D,$D1777,$E:$E,"P0(전)",$M:$M,"&gt;0")&lt;&gt;1,"",SUMIFS($I:$I,$C:$C,$C1777,$D:$D,$D1777,$E:$E,"P0(전)"))</f>
        <v/>
      </c>
      <c r="P1777" s="31">
        <f>IF(COUNTIFS($C:$C,$C1777,$D:$D,$D1777,$E:$E,"P0(전)",$M:$M,"&gt;0")&lt;&gt;1,"",SUMIFS($M:$M,$C:$C,$C1777,$D:$D,$D1777,$E:$E,"P0(전)"))</f>
        <v/>
      </c>
      <c r="Q1777" s="48">
        <f>IF(COUNTIFS($C:$C,$C1777,$D:$D,$D1777,$E:$E,"P0(후)",$M:$M,"&gt;0")&lt;&gt;1,"",SUMIFS($I:$I,$C:$C,$C1777,$D:$D,$D1777,$E:$E,"P0(후)"))</f>
        <v/>
      </c>
      <c r="R1777" s="31">
        <f>IF(COUNTIFS($C:$C,$C1777,$D:$D,$D1777,$E:$E,"P0(후)",$M:$M,"&gt;0")&lt;&gt;1,"",SUMIFS($M:$M,$C:$C,$C1777,$D:$D,$D1777,$E:$E,"P0(후)"))</f>
        <v/>
      </c>
      <c r="S1777" s="31">
        <f>IF(N1777&lt;&gt;"OK","",P1777+(R1777-P1777)*(I1777-O1777)/(Q1777-O1777))</f>
        <v/>
      </c>
      <c r="T1777" s="31">
        <f>IF(OR(N1777&lt;&gt;"OK",NOT(ISNUMBER(M1777))),"",M1777-S1777)</f>
        <v/>
      </c>
      <c r="U1777" s="49">
        <f>IF(OR(NOT(ISNUMBER(T1777)),IF(ISNUMBER(H1777),H1777,G1777)=0),"",T1777/IF(ISNUMBER(H1777),H1777,G1777))</f>
        <v/>
      </c>
      <c r="V1777" s="49">
        <f>IF(ISNUMBER(U1777),ABS(U1777),"")</f>
        <v/>
      </c>
      <c r="W1777" s="49">
        <f>IF(OR($E1776&lt;&gt;"측정",$C1776&lt;&gt;$C1777,$D1776&lt;&gt;$D1777,NOT(ISNUMBER(M1777)),NOT(ISNUMBER(M1776)),(IF(ISNUMBER(H1777),H1777,G1777)-IF(ISNUMBER(H1776),H1776,G1776))=0),"",(M1777-M1776)/(IF(ISNUMBER(H1777),H1777,G1777)-IF(ISNUMBER(H1776),H1776,G1776)))</f>
        <v/>
      </c>
      <c r="X1777" s="31">
        <f>IF(NOT(AND(ISNUMBER(O1777),ISNUMBER(Q1777))),"",(Q1777-O1777)*1440)</f>
        <v/>
      </c>
      <c r="Y1777" s="29" t="n"/>
      <c r="Z1777" s="29" t="n"/>
      <c r="AA1777" s="29" t="n"/>
      <c r="AB1777" s="32" t="n"/>
      <c r="AC1777" s="32" t="n"/>
    </row>
    <row r="1778">
      <c r="A1778" s="26" t="inlineStr">
        <is>
          <t>S35</t>
        </is>
      </c>
      <c r="B1778" s="26" t="inlineStr">
        <is>
          <t>상주</t>
        </is>
      </c>
      <c r="C1778" s="26" t="inlineStr">
        <is>
          <t>S35-H동</t>
        </is>
      </c>
      <c r="D1778" s="47" t="n">
        <v>1</v>
      </c>
      <c r="E1778" s="26" t="inlineStr">
        <is>
          <t>측정</t>
        </is>
      </c>
      <c r="F1778" s="26" t="inlineStr">
        <is>
          <t>동</t>
        </is>
      </c>
      <c r="G1778" s="31" t="n">
        <v>3</v>
      </c>
      <c r="H1778" s="30" t="n"/>
      <c r="I1778" s="43" t="n"/>
      <c r="J1778" s="41" t="n"/>
      <c r="K1778" s="41" t="n"/>
      <c r="L1778" s="41" t="n"/>
      <c r="M1778" s="31">
        <f>IF(COUNT(J1778:L1778)=0,"",MEDIAN(J1778:L1778))</f>
        <v/>
      </c>
      <c r="N1778" s="26">
        <f>IF(COUNTIFS($C:$C,$C1778,$D:$D,$D1778,$E:$E,"P0(전)",$M:$M,"&gt;0")&lt;&gt;1,"P0(전) 유효 1개 아님",IF(COUNTIFS($C:$C,$C1778,$D:$D,$D1778,$E:$E,"P0(후)",$M:$M,"&gt;0")&lt;&gt;1,"P0(후) 유효 1개 아님",IF(NOT(AND(ISNUMBER(O1778),ISNUMBER(Q1778),ISNUMBER(I1778))),"시각 결측",IF(Q1778&lt;=O1778,"P0 시각 역전",IF(OR(I1778&lt;O1778,I1778&gt;Q1778),"측정시각 구간 밖","OK")))))</f>
        <v/>
      </c>
      <c r="O1778" s="48">
        <f>IF(COUNTIFS($C:$C,$C1778,$D:$D,$D1778,$E:$E,"P0(전)",$M:$M,"&gt;0")&lt;&gt;1,"",SUMIFS($I:$I,$C:$C,$C1778,$D:$D,$D1778,$E:$E,"P0(전)"))</f>
        <v/>
      </c>
      <c r="P1778" s="31">
        <f>IF(COUNTIFS($C:$C,$C1778,$D:$D,$D1778,$E:$E,"P0(전)",$M:$M,"&gt;0")&lt;&gt;1,"",SUMIFS($M:$M,$C:$C,$C1778,$D:$D,$D1778,$E:$E,"P0(전)"))</f>
        <v/>
      </c>
      <c r="Q1778" s="48">
        <f>IF(COUNTIFS($C:$C,$C1778,$D:$D,$D1778,$E:$E,"P0(후)",$M:$M,"&gt;0")&lt;&gt;1,"",SUMIFS($I:$I,$C:$C,$C1778,$D:$D,$D1778,$E:$E,"P0(후)"))</f>
        <v/>
      </c>
      <c r="R1778" s="31">
        <f>IF(COUNTIFS($C:$C,$C1778,$D:$D,$D1778,$E:$E,"P0(후)",$M:$M,"&gt;0")&lt;&gt;1,"",SUMIFS($M:$M,$C:$C,$C1778,$D:$D,$D1778,$E:$E,"P0(후)"))</f>
        <v/>
      </c>
      <c r="S1778" s="31">
        <f>IF(N1778&lt;&gt;"OK","",P1778+(R1778-P1778)*(I1778-O1778)/(Q1778-O1778))</f>
        <v/>
      </c>
      <c r="T1778" s="31">
        <f>IF(OR(N1778&lt;&gt;"OK",NOT(ISNUMBER(M1778))),"",M1778-S1778)</f>
        <v/>
      </c>
      <c r="U1778" s="49">
        <f>IF(OR(NOT(ISNUMBER(T1778)),IF(ISNUMBER(H1778),H1778,G1778)=0),"",T1778/IF(ISNUMBER(H1778),H1778,G1778))</f>
        <v/>
      </c>
      <c r="V1778" s="49">
        <f>IF(ISNUMBER(U1778),ABS(U1778),"")</f>
        <v/>
      </c>
      <c r="W1778" s="49">
        <f>IF(OR($E1777&lt;&gt;"측정",$C1777&lt;&gt;$C1778,$D1777&lt;&gt;$D1778,NOT(ISNUMBER(M1778)),NOT(ISNUMBER(M1777)),(IF(ISNUMBER(H1778),H1778,G1778)-IF(ISNUMBER(H1777),H1777,G1777))=0),"",(M1778-M1777)/(IF(ISNUMBER(H1778),H1778,G1778)-IF(ISNUMBER(H1777),H1777,G1777)))</f>
        <v/>
      </c>
      <c r="X1778" s="31">
        <f>IF(NOT(AND(ISNUMBER(O1778),ISNUMBER(Q1778))),"",(Q1778-O1778)*1440)</f>
        <v/>
      </c>
      <c r="Y1778" s="29" t="n"/>
      <c r="Z1778" s="29" t="n"/>
      <c r="AA1778" s="29" t="n"/>
      <c r="AB1778" s="32" t="n"/>
      <c r="AC1778" s="32" t="n"/>
    </row>
    <row r="1779">
      <c r="A1779" s="26" t="inlineStr">
        <is>
          <t>S35</t>
        </is>
      </c>
      <c r="B1779" s="26" t="inlineStr">
        <is>
          <t>상주</t>
        </is>
      </c>
      <c r="C1779" s="26" t="inlineStr">
        <is>
          <t>S35-H동</t>
        </is>
      </c>
      <c r="D1779" s="47" t="n">
        <v>1</v>
      </c>
      <c r="E1779" s="26" t="inlineStr">
        <is>
          <t>측정</t>
        </is>
      </c>
      <c r="F1779" s="26" t="inlineStr">
        <is>
          <t>동</t>
        </is>
      </c>
      <c r="G1779" s="31" t="n">
        <v>4</v>
      </c>
      <c r="H1779" s="30" t="n"/>
      <c r="I1779" s="43" t="n"/>
      <c r="J1779" s="41" t="n"/>
      <c r="K1779" s="41" t="n"/>
      <c r="L1779" s="41" t="n"/>
      <c r="M1779" s="31">
        <f>IF(COUNT(J1779:L1779)=0,"",MEDIAN(J1779:L1779))</f>
        <v/>
      </c>
      <c r="N1779" s="26">
        <f>IF(COUNTIFS($C:$C,$C1779,$D:$D,$D1779,$E:$E,"P0(전)",$M:$M,"&gt;0")&lt;&gt;1,"P0(전) 유효 1개 아님",IF(COUNTIFS($C:$C,$C1779,$D:$D,$D1779,$E:$E,"P0(후)",$M:$M,"&gt;0")&lt;&gt;1,"P0(후) 유효 1개 아님",IF(NOT(AND(ISNUMBER(O1779),ISNUMBER(Q1779),ISNUMBER(I1779))),"시각 결측",IF(Q1779&lt;=O1779,"P0 시각 역전",IF(OR(I1779&lt;O1779,I1779&gt;Q1779),"측정시각 구간 밖","OK")))))</f>
        <v/>
      </c>
      <c r="O1779" s="48">
        <f>IF(COUNTIFS($C:$C,$C1779,$D:$D,$D1779,$E:$E,"P0(전)",$M:$M,"&gt;0")&lt;&gt;1,"",SUMIFS($I:$I,$C:$C,$C1779,$D:$D,$D1779,$E:$E,"P0(전)"))</f>
        <v/>
      </c>
      <c r="P1779" s="31">
        <f>IF(COUNTIFS($C:$C,$C1779,$D:$D,$D1779,$E:$E,"P0(전)",$M:$M,"&gt;0")&lt;&gt;1,"",SUMIFS($M:$M,$C:$C,$C1779,$D:$D,$D1779,$E:$E,"P0(전)"))</f>
        <v/>
      </c>
      <c r="Q1779" s="48">
        <f>IF(COUNTIFS($C:$C,$C1779,$D:$D,$D1779,$E:$E,"P0(후)",$M:$M,"&gt;0")&lt;&gt;1,"",SUMIFS($I:$I,$C:$C,$C1779,$D:$D,$D1779,$E:$E,"P0(후)"))</f>
        <v/>
      </c>
      <c r="R1779" s="31">
        <f>IF(COUNTIFS($C:$C,$C1779,$D:$D,$D1779,$E:$E,"P0(후)",$M:$M,"&gt;0")&lt;&gt;1,"",SUMIFS($M:$M,$C:$C,$C1779,$D:$D,$D1779,$E:$E,"P0(후)"))</f>
        <v/>
      </c>
      <c r="S1779" s="31">
        <f>IF(N1779&lt;&gt;"OK","",P1779+(R1779-P1779)*(I1779-O1779)/(Q1779-O1779))</f>
        <v/>
      </c>
      <c r="T1779" s="31">
        <f>IF(OR(N1779&lt;&gt;"OK",NOT(ISNUMBER(M1779))),"",M1779-S1779)</f>
        <v/>
      </c>
      <c r="U1779" s="49">
        <f>IF(OR(NOT(ISNUMBER(T1779)),IF(ISNUMBER(H1779),H1779,G1779)=0),"",T1779/IF(ISNUMBER(H1779),H1779,G1779))</f>
        <v/>
      </c>
      <c r="V1779" s="49">
        <f>IF(ISNUMBER(U1779),ABS(U1779),"")</f>
        <v/>
      </c>
      <c r="W1779" s="49">
        <f>IF(OR($E1778&lt;&gt;"측정",$C1778&lt;&gt;$C1779,$D1778&lt;&gt;$D1779,NOT(ISNUMBER(M1779)),NOT(ISNUMBER(M1778)),(IF(ISNUMBER(H1779),H1779,G1779)-IF(ISNUMBER(H1778),H1778,G1778))=0),"",(M1779-M1778)/(IF(ISNUMBER(H1779),H1779,G1779)-IF(ISNUMBER(H1778),H1778,G1778)))</f>
        <v/>
      </c>
      <c r="X1779" s="31">
        <f>IF(NOT(AND(ISNUMBER(O1779),ISNUMBER(Q1779))),"",(Q1779-O1779)*1440)</f>
        <v/>
      </c>
      <c r="Y1779" s="29" t="n"/>
      <c r="Z1779" s="29" t="n"/>
      <c r="AA1779" s="29" t="n"/>
      <c r="AB1779" s="32" t="n"/>
      <c r="AC1779" s="32" t="n"/>
    </row>
    <row r="1780">
      <c r="A1780" s="26" t="inlineStr">
        <is>
          <t>S35</t>
        </is>
      </c>
      <c r="B1780" s="26" t="inlineStr">
        <is>
          <t>상주</t>
        </is>
      </c>
      <c r="C1780" s="26" t="inlineStr">
        <is>
          <t>S35-H동</t>
        </is>
      </c>
      <c r="D1780" s="47" t="n">
        <v>1</v>
      </c>
      <c r="E1780" s="26" t="inlineStr">
        <is>
          <t>측정</t>
        </is>
      </c>
      <c r="F1780" s="26" t="inlineStr">
        <is>
          <t>동</t>
        </is>
      </c>
      <c r="G1780" s="31" t="n">
        <v>5</v>
      </c>
      <c r="H1780" s="30" t="n"/>
      <c r="I1780" s="43" t="n"/>
      <c r="J1780" s="41" t="n"/>
      <c r="K1780" s="41" t="n"/>
      <c r="L1780" s="41" t="n"/>
      <c r="M1780" s="31">
        <f>IF(COUNT(J1780:L1780)=0,"",MEDIAN(J1780:L1780))</f>
        <v/>
      </c>
      <c r="N1780" s="26">
        <f>IF(COUNTIFS($C:$C,$C1780,$D:$D,$D1780,$E:$E,"P0(전)",$M:$M,"&gt;0")&lt;&gt;1,"P0(전) 유효 1개 아님",IF(COUNTIFS($C:$C,$C1780,$D:$D,$D1780,$E:$E,"P0(후)",$M:$M,"&gt;0")&lt;&gt;1,"P0(후) 유효 1개 아님",IF(NOT(AND(ISNUMBER(O1780),ISNUMBER(Q1780),ISNUMBER(I1780))),"시각 결측",IF(Q1780&lt;=O1780,"P0 시각 역전",IF(OR(I1780&lt;O1780,I1780&gt;Q1780),"측정시각 구간 밖","OK")))))</f>
        <v/>
      </c>
      <c r="O1780" s="48">
        <f>IF(COUNTIFS($C:$C,$C1780,$D:$D,$D1780,$E:$E,"P0(전)",$M:$M,"&gt;0")&lt;&gt;1,"",SUMIFS($I:$I,$C:$C,$C1780,$D:$D,$D1780,$E:$E,"P0(전)"))</f>
        <v/>
      </c>
      <c r="P1780" s="31">
        <f>IF(COUNTIFS($C:$C,$C1780,$D:$D,$D1780,$E:$E,"P0(전)",$M:$M,"&gt;0")&lt;&gt;1,"",SUMIFS($M:$M,$C:$C,$C1780,$D:$D,$D1780,$E:$E,"P0(전)"))</f>
        <v/>
      </c>
      <c r="Q1780" s="48">
        <f>IF(COUNTIFS($C:$C,$C1780,$D:$D,$D1780,$E:$E,"P0(후)",$M:$M,"&gt;0")&lt;&gt;1,"",SUMIFS($I:$I,$C:$C,$C1780,$D:$D,$D1780,$E:$E,"P0(후)"))</f>
        <v/>
      </c>
      <c r="R1780" s="31">
        <f>IF(COUNTIFS($C:$C,$C1780,$D:$D,$D1780,$E:$E,"P0(후)",$M:$M,"&gt;0")&lt;&gt;1,"",SUMIFS($M:$M,$C:$C,$C1780,$D:$D,$D1780,$E:$E,"P0(후)"))</f>
        <v/>
      </c>
      <c r="S1780" s="31">
        <f>IF(N1780&lt;&gt;"OK","",P1780+(R1780-P1780)*(I1780-O1780)/(Q1780-O1780))</f>
        <v/>
      </c>
      <c r="T1780" s="31">
        <f>IF(OR(N1780&lt;&gt;"OK",NOT(ISNUMBER(M1780))),"",M1780-S1780)</f>
        <v/>
      </c>
      <c r="U1780" s="49">
        <f>IF(OR(NOT(ISNUMBER(T1780)),IF(ISNUMBER(H1780),H1780,G1780)=0),"",T1780/IF(ISNUMBER(H1780),H1780,G1780))</f>
        <v/>
      </c>
      <c r="V1780" s="49">
        <f>IF(ISNUMBER(U1780),ABS(U1780),"")</f>
        <v/>
      </c>
      <c r="W1780" s="49">
        <f>IF(OR($E1779&lt;&gt;"측정",$C1779&lt;&gt;$C1780,$D1779&lt;&gt;$D1780,NOT(ISNUMBER(M1780)),NOT(ISNUMBER(M1779)),(IF(ISNUMBER(H1780),H1780,G1780)-IF(ISNUMBER(H1779),H1779,G1779))=0),"",(M1780-M1779)/(IF(ISNUMBER(H1780),H1780,G1780)-IF(ISNUMBER(H1779),H1779,G1779)))</f>
        <v/>
      </c>
      <c r="X1780" s="31">
        <f>IF(NOT(AND(ISNUMBER(O1780),ISNUMBER(Q1780))),"",(Q1780-O1780)*1440)</f>
        <v/>
      </c>
      <c r="Y1780" s="29" t="n"/>
      <c r="Z1780" s="29" t="n"/>
      <c r="AA1780" s="29" t="n"/>
      <c r="AB1780" s="32" t="n"/>
      <c r="AC1780" s="32" t="n"/>
    </row>
    <row r="1781">
      <c r="A1781" s="26" t="inlineStr">
        <is>
          <t>S35</t>
        </is>
      </c>
      <c r="B1781" s="26" t="inlineStr">
        <is>
          <t>상주</t>
        </is>
      </c>
      <c r="C1781" s="26" t="inlineStr">
        <is>
          <t>S35-H동</t>
        </is>
      </c>
      <c r="D1781" s="47" t="n">
        <v>1</v>
      </c>
      <c r="E1781" s="26" t="inlineStr">
        <is>
          <t>측정</t>
        </is>
      </c>
      <c r="F1781" s="26" t="inlineStr">
        <is>
          <t>동</t>
        </is>
      </c>
      <c r="G1781" s="31" t="n">
        <v>6</v>
      </c>
      <c r="H1781" s="30" t="n"/>
      <c r="I1781" s="43" t="n"/>
      <c r="J1781" s="41" t="n"/>
      <c r="K1781" s="41" t="n"/>
      <c r="L1781" s="41" t="n"/>
      <c r="M1781" s="31">
        <f>IF(COUNT(J1781:L1781)=0,"",MEDIAN(J1781:L1781))</f>
        <v/>
      </c>
      <c r="N1781" s="26">
        <f>IF(COUNTIFS($C:$C,$C1781,$D:$D,$D1781,$E:$E,"P0(전)",$M:$M,"&gt;0")&lt;&gt;1,"P0(전) 유효 1개 아님",IF(COUNTIFS($C:$C,$C1781,$D:$D,$D1781,$E:$E,"P0(후)",$M:$M,"&gt;0")&lt;&gt;1,"P0(후) 유효 1개 아님",IF(NOT(AND(ISNUMBER(O1781),ISNUMBER(Q1781),ISNUMBER(I1781))),"시각 결측",IF(Q1781&lt;=O1781,"P0 시각 역전",IF(OR(I1781&lt;O1781,I1781&gt;Q1781),"측정시각 구간 밖","OK")))))</f>
        <v/>
      </c>
      <c r="O1781" s="48">
        <f>IF(COUNTIFS($C:$C,$C1781,$D:$D,$D1781,$E:$E,"P0(전)",$M:$M,"&gt;0")&lt;&gt;1,"",SUMIFS($I:$I,$C:$C,$C1781,$D:$D,$D1781,$E:$E,"P0(전)"))</f>
        <v/>
      </c>
      <c r="P1781" s="31">
        <f>IF(COUNTIFS($C:$C,$C1781,$D:$D,$D1781,$E:$E,"P0(전)",$M:$M,"&gt;0")&lt;&gt;1,"",SUMIFS($M:$M,$C:$C,$C1781,$D:$D,$D1781,$E:$E,"P0(전)"))</f>
        <v/>
      </c>
      <c r="Q1781" s="48">
        <f>IF(COUNTIFS($C:$C,$C1781,$D:$D,$D1781,$E:$E,"P0(후)",$M:$M,"&gt;0")&lt;&gt;1,"",SUMIFS($I:$I,$C:$C,$C1781,$D:$D,$D1781,$E:$E,"P0(후)"))</f>
        <v/>
      </c>
      <c r="R1781" s="31">
        <f>IF(COUNTIFS($C:$C,$C1781,$D:$D,$D1781,$E:$E,"P0(후)",$M:$M,"&gt;0")&lt;&gt;1,"",SUMIFS($M:$M,$C:$C,$C1781,$D:$D,$D1781,$E:$E,"P0(후)"))</f>
        <v/>
      </c>
      <c r="S1781" s="31">
        <f>IF(N1781&lt;&gt;"OK","",P1781+(R1781-P1781)*(I1781-O1781)/(Q1781-O1781))</f>
        <v/>
      </c>
      <c r="T1781" s="31">
        <f>IF(OR(N1781&lt;&gt;"OK",NOT(ISNUMBER(M1781))),"",M1781-S1781)</f>
        <v/>
      </c>
      <c r="U1781" s="49">
        <f>IF(OR(NOT(ISNUMBER(T1781)),IF(ISNUMBER(H1781),H1781,G1781)=0),"",T1781/IF(ISNUMBER(H1781),H1781,G1781))</f>
        <v/>
      </c>
      <c r="V1781" s="49">
        <f>IF(ISNUMBER(U1781),ABS(U1781),"")</f>
        <v/>
      </c>
      <c r="W1781" s="49">
        <f>IF(OR($E1780&lt;&gt;"측정",$C1780&lt;&gt;$C1781,$D1780&lt;&gt;$D1781,NOT(ISNUMBER(M1781)),NOT(ISNUMBER(M1780)),(IF(ISNUMBER(H1781),H1781,G1781)-IF(ISNUMBER(H1780),H1780,G1780))=0),"",(M1781-M1780)/(IF(ISNUMBER(H1781),H1781,G1781)-IF(ISNUMBER(H1780),H1780,G1780)))</f>
        <v/>
      </c>
      <c r="X1781" s="31">
        <f>IF(NOT(AND(ISNUMBER(O1781),ISNUMBER(Q1781))),"",(Q1781-O1781)*1440)</f>
        <v/>
      </c>
      <c r="Y1781" s="29" t="n"/>
      <c r="Z1781" s="29" t="n"/>
      <c r="AA1781" s="29" t="n"/>
      <c r="AB1781" s="32" t="n"/>
      <c r="AC1781" s="32" t="n"/>
    </row>
    <row r="1782">
      <c r="A1782" s="26" t="inlineStr">
        <is>
          <t>S35</t>
        </is>
      </c>
      <c r="B1782" s="26" t="inlineStr">
        <is>
          <t>상주</t>
        </is>
      </c>
      <c r="C1782" s="26" t="inlineStr">
        <is>
          <t>S35-H동</t>
        </is>
      </c>
      <c r="D1782" s="47" t="n">
        <v>1</v>
      </c>
      <c r="E1782" s="26" t="inlineStr">
        <is>
          <t>측정</t>
        </is>
      </c>
      <c r="F1782" s="26" t="inlineStr">
        <is>
          <t>동</t>
        </is>
      </c>
      <c r="G1782" s="31" t="n">
        <v>7</v>
      </c>
      <c r="H1782" s="30" t="n"/>
      <c r="I1782" s="43" t="n"/>
      <c r="J1782" s="41" t="n"/>
      <c r="K1782" s="41" t="n"/>
      <c r="L1782" s="41" t="n"/>
      <c r="M1782" s="31">
        <f>IF(COUNT(J1782:L1782)=0,"",MEDIAN(J1782:L1782))</f>
        <v/>
      </c>
      <c r="N1782" s="26">
        <f>IF(COUNTIFS($C:$C,$C1782,$D:$D,$D1782,$E:$E,"P0(전)",$M:$M,"&gt;0")&lt;&gt;1,"P0(전) 유효 1개 아님",IF(COUNTIFS($C:$C,$C1782,$D:$D,$D1782,$E:$E,"P0(후)",$M:$M,"&gt;0")&lt;&gt;1,"P0(후) 유효 1개 아님",IF(NOT(AND(ISNUMBER(O1782),ISNUMBER(Q1782),ISNUMBER(I1782))),"시각 결측",IF(Q1782&lt;=O1782,"P0 시각 역전",IF(OR(I1782&lt;O1782,I1782&gt;Q1782),"측정시각 구간 밖","OK")))))</f>
        <v/>
      </c>
      <c r="O1782" s="48">
        <f>IF(COUNTIFS($C:$C,$C1782,$D:$D,$D1782,$E:$E,"P0(전)",$M:$M,"&gt;0")&lt;&gt;1,"",SUMIFS($I:$I,$C:$C,$C1782,$D:$D,$D1782,$E:$E,"P0(전)"))</f>
        <v/>
      </c>
      <c r="P1782" s="31">
        <f>IF(COUNTIFS($C:$C,$C1782,$D:$D,$D1782,$E:$E,"P0(전)",$M:$M,"&gt;0")&lt;&gt;1,"",SUMIFS($M:$M,$C:$C,$C1782,$D:$D,$D1782,$E:$E,"P0(전)"))</f>
        <v/>
      </c>
      <c r="Q1782" s="48">
        <f>IF(COUNTIFS($C:$C,$C1782,$D:$D,$D1782,$E:$E,"P0(후)",$M:$M,"&gt;0")&lt;&gt;1,"",SUMIFS($I:$I,$C:$C,$C1782,$D:$D,$D1782,$E:$E,"P0(후)"))</f>
        <v/>
      </c>
      <c r="R1782" s="31">
        <f>IF(COUNTIFS($C:$C,$C1782,$D:$D,$D1782,$E:$E,"P0(후)",$M:$M,"&gt;0")&lt;&gt;1,"",SUMIFS($M:$M,$C:$C,$C1782,$D:$D,$D1782,$E:$E,"P0(후)"))</f>
        <v/>
      </c>
      <c r="S1782" s="31">
        <f>IF(N1782&lt;&gt;"OK","",P1782+(R1782-P1782)*(I1782-O1782)/(Q1782-O1782))</f>
        <v/>
      </c>
      <c r="T1782" s="31">
        <f>IF(OR(N1782&lt;&gt;"OK",NOT(ISNUMBER(M1782))),"",M1782-S1782)</f>
        <v/>
      </c>
      <c r="U1782" s="49">
        <f>IF(OR(NOT(ISNUMBER(T1782)),IF(ISNUMBER(H1782),H1782,G1782)=0),"",T1782/IF(ISNUMBER(H1782),H1782,G1782))</f>
        <v/>
      </c>
      <c r="V1782" s="49">
        <f>IF(ISNUMBER(U1782),ABS(U1782),"")</f>
        <v/>
      </c>
      <c r="W1782" s="49">
        <f>IF(OR($E1781&lt;&gt;"측정",$C1781&lt;&gt;$C1782,$D1781&lt;&gt;$D1782,NOT(ISNUMBER(M1782)),NOT(ISNUMBER(M1781)),(IF(ISNUMBER(H1782),H1782,G1782)-IF(ISNUMBER(H1781),H1781,G1781))=0),"",(M1782-M1781)/(IF(ISNUMBER(H1782),H1782,G1782)-IF(ISNUMBER(H1781),H1781,G1781)))</f>
        <v/>
      </c>
      <c r="X1782" s="31">
        <f>IF(NOT(AND(ISNUMBER(O1782),ISNUMBER(Q1782))),"",(Q1782-O1782)*1440)</f>
        <v/>
      </c>
      <c r="Y1782" s="29" t="n"/>
      <c r="Z1782" s="29" t="n"/>
      <c r="AA1782" s="29" t="n"/>
      <c r="AB1782" s="32" t="n"/>
      <c r="AC1782" s="32" t="n"/>
    </row>
    <row r="1783">
      <c r="A1783" s="26" t="inlineStr">
        <is>
          <t>S35</t>
        </is>
      </c>
      <c r="B1783" s="26" t="inlineStr">
        <is>
          <t>상주</t>
        </is>
      </c>
      <c r="C1783" s="26" t="inlineStr">
        <is>
          <t>S35-H동</t>
        </is>
      </c>
      <c r="D1783" s="47" t="n">
        <v>1</v>
      </c>
      <c r="E1783" s="26" t="inlineStr">
        <is>
          <t>측정</t>
        </is>
      </c>
      <c r="F1783" s="26" t="inlineStr">
        <is>
          <t>동</t>
        </is>
      </c>
      <c r="G1783" s="31" t="n">
        <v>8</v>
      </c>
      <c r="H1783" s="30" t="n"/>
      <c r="I1783" s="43" t="n"/>
      <c r="J1783" s="41" t="n"/>
      <c r="K1783" s="41" t="n"/>
      <c r="L1783" s="41" t="n"/>
      <c r="M1783" s="31">
        <f>IF(COUNT(J1783:L1783)=0,"",MEDIAN(J1783:L1783))</f>
        <v/>
      </c>
      <c r="N1783" s="26">
        <f>IF(COUNTIFS($C:$C,$C1783,$D:$D,$D1783,$E:$E,"P0(전)",$M:$M,"&gt;0")&lt;&gt;1,"P0(전) 유효 1개 아님",IF(COUNTIFS($C:$C,$C1783,$D:$D,$D1783,$E:$E,"P0(후)",$M:$M,"&gt;0")&lt;&gt;1,"P0(후) 유효 1개 아님",IF(NOT(AND(ISNUMBER(O1783),ISNUMBER(Q1783),ISNUMBER(I1783))),"시각 결측",IF(Q1783&lt;=O1783,"P0 시각 역전",IF(OR(I1783&lt;O1783,I1783&gt;Q1783),"측정시각 구간 밖","OK")))))</f>
        <v/>
      </c>
      <c r="O1783" s="48">
        <f>IF(COUNTIFS($C:$C,$C1783,$D:$D,$D1783,$E:$E,"P0(전)",$M:$M,"&gt;0")&lt;&gt;1,"",SUMIFS($I:$I,$C:$C,$C1783,$D:$D,$D1783,$E:$E,"P0(전)"))</f>
        <v/>
      </c>
      <c r="P1783" s="31">
        <f>IF(COUNTIFS($C:$C,$C1783,$D:$D,$D1783,$E:$E,"P0(전)",$M:$M,"&gt;0")&lt;&gt;1,"",SUMIFS($M:$M,$C:$C,$C1783,$D:$D,$D1783,$E:$E,"P0(전)"))</f>
        <v/>
      </c>
      <c r="Q1783" s="48">
        <f>IF(COUNTIFS($C:$C,$C1783,$D:$D,$D1783,$E:$E,"P0(후)",$M:$M,"&gt;0")&lt;&gt;1,"",SUMIFS($I:$I,$C:$C,$C1783,$D:$D,$D1783,$E:$E,"P0(후)"))</f>
        <v/>
      </c>
      <c r="R1783" s="31">
        <f>IF(COUNTIFS($C:$C,$C1783,$D:$D,$D1783,$E:$E,"P0(후)",$M:$M,"&gt;0")&lt;&gt;1,"",SUMIFS($M:$M,$C:$C,$C1783,$D:$D,$D1783,$E:$E,"P0(후)"))</f>
        <v/>
      </c>
      <c r="S1783" s="31">
        <f>IF(N1783&lt;&gt;"OK","",P1783+(R1783-P1783)*(I1783-O1783)/(Q1783-O1783))</f>
        <v/>
      </c>
      <c r="T1783" s="31">
        <f>IF(OR(N1783&lt;&gt;"OK",NOT(ISNUMBER(M1783))),"",M1783-S1783)</f>
        <v/>
      </c>
      <c r="U1783" s="49">
        <f>IF(OR(NOT(ISNUMBER(T1783)),IF(ISNUMBER(H1783),H1783,G1783)=0),"",T1783/IF(ISNUMBER(H1783),H1783,G1783))</f>
        <v/>
      </c>
      <c r="V1783" s="49">
        <f>IF(ISNUMBER(U1783),ABS(U1783),"")</f>
        <v/>
      </c>
      <c r="W1783" s="49">
        <f>IF(OR($E1782&lt;&gt;"측정",$C1782&lt;&gt;$C1783,$D1782&lt;&gt;$D1783,NOT(ISNUMBER(M1783)),NOT(ISNUMBER(M1782)),(IF(ISNUMBER(H1783),H1783,G1783)-IF(ISNUMBER(H1782),H1782,G1782))=0),"",(M1783-M1782)/(IF(ISNUMBER(H1783),H1783,G1783)-IF(ISNUMBER(H1782),H1782,G1782)))</f>
        <v/>
      </c>
      <c r="X1783" s="31">
        <f>IF(NOT(AND(ISNUMBER(O1783),ISNUMBER(Q1783))),"",(Q1783-O1783)*1440)</f>
        <v/>
      </c>
      <c r="Y1783" s="29" t="n"/>
      <c r="Z1783" s="29" t="n"/>
      <c r="AA1783" s="29" t="n"/>
      <c r="AB1783" s="32" t="n"/>
      <c r="AC1783" s="32" t="n"/>
    </row>
    <row r="1784">
      <c r="A1784" s="26" t="inlineStr">
        <is>
          <t>S35</t>
        </is>
      </c>
      <c r="B1784" s="26" t="inlineStr">
        <is>
          <t>상주</t>
        </is>
      </c>
      <c r="C1784" s="26" t="inlineStr">
        <is>
          <t>S35-H동</t>
        </is>
      </c>
      <c r="D1784" s="47" t="n">
        <v>1</v>
      </c>
      <c r="E1784" s="26" t="inlineStr">
        <is>
          <t>측정</t>
        </is>
      </c>
      <c r="F1784" s="26" t="inlineStr">
        <is>
          <t>동</t>
        </is>
      </c>
      <c r="G1784" s="31" t="n">
        <v>9</v>
      </c>
      <c r="H1784" s="30" t="n"/>
      <c r="I1784" s="43" t="n"/>
      <c r="J1784" s="41" t="n"/>
      <c r="K1784" s="41" t="n"/>
      <c r="L1784" s="41" t="n"/>
      <c r="M1784" s="31">
        <f>IF(COUNT(J1784:L1784)=0,"",MEDIAN(J1784:L1784))</f>
        <v/>
      </c>
      <c r="N1784" s="26">
        <f>IF(COUNTIFS($C:$C,$C1784,$D:$D,$D1784,$E:$E,"P0(전)",$M:$M,"&gt;0")&lt;&gt;1,"P0(전) 유효 1개 아님",IF(COUNTIFS($C:$C,$C1784,$D:$D,$D1784,$E:$E,"P0(후)",$M:$M,"&gt;0")&lt;&gt;1,"P0(후) 유효 1개 아님",IF(NOT(AND(ISNUMBER(O1784),ISNUMBER(Q1784),ISNUMBER(I1784))),"시각 결측",IF(Q1784&lt;=O1784,"P0 시각 역전",IF(OR(I1784&lt;O1784,I1784&gt;Q1784),"측정시각 구간 밖","OK")))))</f>
        <v/>
      </c>
      <c r="O1784" s="48">
        <f>IF(COUNTIFS($C:$C,$C1784,$D:$D,$D1784,$E:$E,"P0(전)",$M:$M,"&gt;0")&lt;&gt;1,"",SUMIFS($I:$I,$C:$C,$C1784,$D:$D,$D1784,$E:$E,"P0(전)"))</f>
        <v/>
      </c>
      <c r="P1784" s="31">
        <f>IF(COUNTIFS($C:$C,$C1784,$D:$D,$D1784,$E:$E,"P0(전)",$M:$M,"&gt;0")&lt;&gt;1,"",SUMIFS($M:$M,$C:$C,$C1784,$D:$D,$D1784,$E:$E,"P0(전)"))</f>
        <v/>
      </c>
      <c r="Q1784" s="48">
        <f>IF(COUNTIFS($C:$C,$C1784,$D:$D,$D1784,$E:$E,"P0(후)",$M:$M,"&gt;0")&lt;&gt;1,"",SUMIFS($I:$I,$C:$C,$C1784,$D:$D,$D1784,$E:$E,"P0(후)"))</f>
        <v/>
      </c>
      <c r="R1784" s="31">
        <f>IF(COUNTIFS($C:$C,$C1784,$D:$D,$D1784,$E:$E,"P0(후)",$M:$M,"&gt;0")&lt;&gt;1,"",SUMIFS($M:$M,$C:$C,$C1784,$D:$D,$D1784,$E:$E,"P0(후)"))</f>
        <v/>
      </c>
      <c r="S1784" s="31">
        <f>IF(N1784&lt;&gt;"OK","",P1784+(R1784-P1784)*(I1784-O1784)/(Q1784-O1784))</f>
        <v/>
      </c>
      <c r="T1784" s="31">
        <f>IF(OR(N1784&lt;&gt;"OK",NOT(ISNUMBER(M1784))),"",M1784-S1784)</f>
        <v/>
      </c>
      <c r="U1784" s="49">
        <f>IF(OR(NOT(ISNUMBER(T1784)),IF(ISNUMBER(H1784),H1784,G1784)=0),"",T1784/IF(ISNUMBER(H1784),H1784,G1784))</f>
        <v/>
      </c>
      <c r="V1784" s="49">
        <f>IF(ISNUMBER(U1784),ABS(U1784),"")</f>
        <v/>
      </c>
      <c r="W1784" s="49">
        <f>IF(OR($E1783&lt;&gt;"측정",$C1783&lt;&gt;$C1784,$D1783&lt;&gt;$D1784,NOT(ISNUMBER(M1784)),NOT(ISNUMBER(M1783)),(IF(ISNUMBER(H1784),H1784,G1784)-IF(ISNUMBER(H1783),H1783,G1783))=0),"",(M1784-M1783)/(IF(ISNUMBER(H1784),H1784,G1784)-IF(ISNUMBER(H1783),H1783,G1783)))</f>
        <v/>
      </c>
      <c r="X1784" s="31">
        <f>IF(NOT(AND(ISNUMBER(O1784),ISNUMBER(Q1784))),"",(Q1784-O1784)*1440)</f>
        <v/>
      </c>
      <c r="Y1784" s="29" t="n"/>
      <c r="Z1784" s="29" t="n"/>
      <c r="AA1784" s="29" t="n"/>
      <c r="AB1784" s="32" t="n"/>
      <c r="AC1784" s="32" t="n"/>
    </row>
    <row r="1785">
      <c r="A1785" s="26" t="inlineStr">
        <is>
          <t>S35</t>
        </is>
      </c>
      <c r="B1785" s="26" t="inlineStr">
        <is>
          <t>상주</t>
        </is>
      </c>
      <c r="C1785" s="26" t="inlineStr">
        <is>
          <t>S35-H동</t>
        </is>
      </c>
      <c r="D1785" s="47" t="n">
        <v>1</v>
      </c>
      <c r="E1785" s="26" t="inlineStr">
        <is>
          <t>측정</t>
        </is>
      </c>
      <c r="F1785" s="26" t="inlineStr">
        <is>
          <t>동</t>
        </is>
      </c>
      <c r="G1785" s="31" t="n">
        <v>10</v>
      </c>
      <c r="H1785" s="30" t="n"/>
      <c r="I1785" s="43" t="n"/>
      <c r="J1785" s="41" t="n"/>
      <c r="K1785" s="41" t="n"/>
      <c r="L1785" s="41" t="n"/>
      <c r="M1785" s="31">
        <f>IF(COUNT(J1785:L1785)=0,"",MEDIAN(J1785:L1785))</f>
        <v/>
      </c>
      <c r="N1785" s="26">
        <f>IF(COUNTIFS($C:$C,$C1785,$D:$D,$D1785,$E:$E,"P0(전)",$M:$M,"&gt;0")&lt;&gt;1,"P0(전) 유효 1개 아님",IF(COUNTIFS($C:$C,$C1785,$D:$D,$D1785,$E:$E,"P0(후)",$M:$M,"&gt;0")&lt;&gt;1,"P0(후) 유효 1개 아님",IF(NOT(AND(ISNUMBER(O1785),ISNUMBER(Q1785),ISNUMBER(I1785))),"시각 결측",IF(Q1785&lt;=O1785,"P0 시각 역전",IF(OR(I1785&lt;O1785,I1785&gt;Q1785),"측정시각 구간 밖","OK")))))</f>
        <v/>
      </c>
      <c r="O1785" s="48">
        <f>IF(COUNTIFS($C:$C,$C1785,$D:$D,$D1785,$E:$E,"P0(전)",$M:$M,"&gt;0")&lt;&gt;1,"",SUMIFS($I:$I,$C:$C,$C1785,$D:$D,$D1785,$E:$E,"P0(전)"))</f>
        <v/>
      </c>
      <c r="P1785" s="31">
        <f>IF(COUNTIFS($C:$C,$C1785,$D:$D,$D1785,$E:$E,"P0(전)",$M:$M,"&gt;0")&lt;&gt;1,"",SUMIFS($M:$M,$C:$C,$C1785,$D:$D,$D1785,$E:$E,"P0(전)"))</f>
        <v/>
      </c>
      <c r="Q1785" s="48">
        <f>IF(COUNTIFS($C:$C,$C1785,$D:$D,$D1785,$E:$E,"P0(후)",$M:$M,"&gt;0")&lt;&gt;1,"",SUMIFS($I:$I,$C:$C,$C1785,$D:$D,$D1785,$E:$E,"P0(후)"))</f>
        <v/>
      </c>
      <c r="R1785" s="31">
        <f>IF(COUNTIFS($C:$C,$C1785,$D:$D,$D1785,$E:$E,"P0(후)",$M:$M,"&gt;0")&lt;&gt;1,"",SUMIFS($M:$M,$C:$C,$C1785,$D:$D,$D1785,$E:$E,"P0(후)"))</f>
        <v/>
      </c>
      <c r="S1785" s="31">
        <f>IF(N1785&lt;&gt;"OK","",P1785+(R1785-P1785)*(I1785-O1785)/(Q1785-O1785))</f>
        <v/>
      </c>
      <c r="T1785" s="31">
        <f>IF(OR(N1785&lt;&gt;"OK",NOT(ISNUMBER(M1785))),"",M1785-S1785)</f>
        <v/>
      </c>
      <c r="U1785" s="49">
        <f>IF(OR(NOT(ISNUMBER(T1785)),IF(ISNUMBER(H1785),H1785,G1785)=0),"",T1785/IF(ISNUMBER(H1785),H1785,G1785))</f>
        <v/>
      </c>
      <c r="V1785" s="49">
        <f>IF(ISNUMBER(U1785),ABS(U1785),"")</f>
        <v/>
      </c>
      <c r="W1785" s="49">
        <f>IF(OR($E1784&lt;&gt;"측정",$C1784&lt;&gt;$C1785,$D1784&lt;&gt;$D1785,NOT(ISNUMBER(M1785)),NOT(ISNUMBER(M1784)),(IF(ISNUMBER(H1785),H1785,G1785)-IF(ISNUMBER(H1784),H1784,G1784))=0),"",(M1785-M1784)/(IF(ISNUMBER(H1785),H1785,G1785)-IF(ISNUMBER(H1784),H1784,G1784)))</f>
        <v/>
      </c>
      <c r="X1785" s="31">
        <f>IF(NOT(AND(ISNUMBER(O1785),ISNUMBER(Q1785))),"",(Q1785-O1785)*1440)</f>
        <v/>
      </c>
      <c r="Y1785" s="29" t="n"/>
      <c r="Z1785" s="29" t="n"/>
      <c r="AA1785" s="29" t="n"/>
      <c r="AB1785" s="32" t="n"/>
      <c r="AC1785" s="32" t="n"/>
    </row>
    <row r="1786">
      <c r="A1786" s="44" t="inlineStr">
        <is>
          <t>S35</t>
        </is>
      </c>
      <c r="B1786" s="44" t="inlineStr">
        <is>
          <t>상주</t>
        </is>
      </c>
      <c r="C1786" s="44" t="inlineStr">
        <is>
          <t>S35-H동</t>
        </is>
      </c>
      <c r="D1786" s="45" t="n">
        <v>1</v>
      </c>
      <c r="E1786" s="44" t="inlineStr">
        <is>
          <t>P0(후)</t>
        </is>
      </c>
      <c r="F1786" s="44" t="inlineStr">
        <is>
          <t>동</t>
        </is>
      </c>
      <c r="G1786" s="46" t="n"/>
      <c r="H1786" s="30" t="n"/>
      <c r="I1786" s="43" t="n"/>
      <c r="J1786" s="41" t="n"/>
      <c r="K1786" s="41" t="n"/>
      <c r="L1786" s="41" t="n"/>
      <c r="M1786" s="31">
        <f>IF(COUNT(J1786:L1786)=0,"",MEDIAN(J1786:L1786))</f>
        <v/>
      </c>
      <c r="N1786" s="38" t="n"/>
      <c r="O1786" s="38" t="n"/>
      <c r="P1786" s="38" t="n"/>
      <c r="Q1786" s="38" t="n"/>
      <c r="R1786" s="38" t="n"/>
      <c r="S1786" s="38" t="n"/>
      <c r="T1786" s="38" t="n"/>
      <c r="U1786" s="38" t="n"/>
      <c r="V1786" s="38" t="n"/>
      <c r="W1786" s="38" t="n"/>
      <c r="X1786" s="38" t="n"/>
      <c r="Y1786" s="29" t="n"/>
      <c r="Z1786" s="29" t="n"/>
      <c r="AA1786" s="29" t="n"/>
      <c r="AB1786" s="32" t="n"/>
      <c r="AC1786" s="32" t="n"/>
    </row>
    <row r="1787">
      <c r="A1787" s="44" t="inlineStr">
        <is>
          <t>S35</t>
        </is>
      </c>
      <c r="B1787" s="44" t="inlineStr">
        <is>
          <t>상주</t>
        </is>
      </c>
      <c r="C1787" s="44" t="inlineStr">
        <is>
          <t>S35-H서</t>
        </is>
      </c>
      <c r="D1787" s="45" t="n">
        <v>1</v>
      </c>
      <c r="E1787" s="44" t="inlineStr">
        <is>
          <t>P0(전)</t>
        </is>
      </c>
      <c r="F1787" s="44" t="inlineStr">
        <is>
          <t>서</t>
        </is>
      </c>
      <c r="G1787" s="46" t="n"/>
      <c r="H1787" s="30" t="n"/>
      <c r="I1787" s="43" t="n"/>
      <c r="J1787" s="41" t="n"/>
      <c r="K1787" s="41" t="n"/>
      <c r="L1787" s="41" t="n"/>
      <c r="M1787" s="31">
        <f>IF(COUNT(J1787:L1787)=0,"",MEDIAN(J1787:L1787))</f>
        <v/>
      </c>
      <c r="N1787" s="38" t="n"/>
      <c r="O1787" s="38" t="n"/>
      <c r="P1787" s="38" t="n"/>
      <c r="Q1787" s="38" t="n"/>
      <c r="R1787" s="38" t="n"/>
      <c r="S1787" s="38" t="n"/>
      <c r="T1787" s="38" t="n"/>
      <c r="U1787" s="38" t="n"/>
      <c r="V1787" s="38" t="n"/>
      <c r="W1787" s="38" t="n"/>
      <c r="X1787" s="38" t="n"/>
      <c r="Y1787" s="29" t="n"/>
      <c r="Z1787" s="29" t="n"/>
      <c r="AA1787" s="29" t="n"/>
      <c r="AB1787" s="32" t="n"/>
      <c r="AC1787" s="32" t="n"/>
    </row>
    <row r="1788">
      <c r="A1788" s="26" t="inlineStr">
        <is>
          <t>S35</t>
        </is>
      </c>
      <c r="B1788" s="26" t="inlineStr">
        <is>
          <t>상주</t>
        </is>
      </c>
      <c r="C1788" s="26" t="inlineStr">
        <is>
          <t>S35-H서</t>
        </is>
      </c>
      <c r="D1788" s="47" t="n">
        <v>1</v>
      </c>
      <c r="E1788" s="26" t="inlineStr">
        <is>
          <t>측정</t>
        </is>
      </c>
      <c r="F1788" s="26" t="inlineStr">
        <is>
          <t>서</t>
        </is>
      </c>
      <c r="G1788" s="31" t="n">
        <v>0.5</v>
      </c>
      <c r="H1788" s="30" t="n"/>
      <c r="I1788" s="43" t="n"/>
      <c r="J1788" s="41" t="n"/>
      <c r="K1788" s="41" t="n"/>
      <c r="L1788" s="41" t="n"/>
      <c r="M1788" s="31">
        <f>IF(COUNT(J1788:L1788)=0,"",MEDIAN(J1788:L1788))</f>
        <v/>
      </c>
      <c r="N1788" s="26">
        <f>IF(COUNTIFS($C:$C,$C1788,$D:$D,$D1788,$E:$E,"P0(전)",$M:$M,"&gt;0")&lt;&gt;1,"P0(전) 유효 1개 아님",IF(COUNTIFS($C:$C,$C1788,$D:$D,$D1788,$E:$E,"P0(후)",$M:$M,"&gt;0")&lt;&gt;1,"P0(후) 유효 1개 아님",IF(NOT(AND(ISNUMBER(O1788),ISNUMBER(Q1788),ISNUMBER(I1788))),"시각 결측",IF(Q1788&lt;=O1788,"P0 시각 역전",IF(OR(I1788&lt;O1788,I1788&gt;Q1788),"측정시각 구간 밖","OK")))))</f>
        <v/>
      </c>
      <c r="O1788" s="48">
        <f>IF(COUNTIFS($C:$C,$C1788,$D:$D,$D1788,$E:$E,"P0(전)",$M:$M,"&gt;0")&lt;&gt;1,"",SUMIFS($I:$I,$C:$C,$C1788,$D:$D,$D1788,$E:$E,"P0(전)"))</f>
        <v/>
      </c>
      <c r="P1788" s="31">
        <f>IF(COUNTIFS($C:$C,$C1788,$D:$D,$D1788,$E:$E,"P0(전)",$M:$M,"&gt;0")&lt;&gt;1,"",SUMIFS($M:$M,$C:$C,$C1788,$D:$D,$D1788,$E:$E,"P0(전)"))</f>
        <v/>
      </c>
      <c r="Q1788" s="48">
        <f>IF(COUNTIFS($C:$C,$C1788,$D:$D,$D1788,$E:$E,"P0(후)",$M:$M,"&gt;0")&lt;&gt;1,"",SUMIFS($I:$I,$C:$C,$C1788,$D:$D,$D1788,$E:$E,"P0(후)"))</f>
        <v/>
      </c>
      <c r="R1788" s="31">
        <f>IF(COUNTIFS($C:$C,$C1788,$D:$D,$D1788,$E:$E,"P0(후)",$M:$M,"&gt;0")&lt;&gt;1,"",SUMIFS($M:$M,$C:$C,$C1788,$D:$D,$D1788,$E:$E,"P0(후)"))</f>
        <v/>
      </c>
      <c r="S1788" s="31">
        <f>IF(N1788&lt;&gt;"OK","",P1788+(R1788-P1788)*(I1788-O1788)/(Q1788-O1788))</f>
        <v/>
      </c>
      <c r="T1788" s="31">
        <f>IF(OR(N1788&lt;&gt;"OK",NOT(ISNUMBER(M1788))),"",M1788-S1788)</f>
        <v/>
      </c>
      <c r="U1788" s="49">
        <f>IF(OR(NOT(ISNUMBER(T1788)),IF(ISNUMBER(H1788),H1788,G1788)=0),"",T1788/IF(ISNUMBER(H1788),H1788,G1788))</f>
        <v/>
      </c>
      <c r="V1788" s="49">
        <f>IF(ISNUMBER(U1788),ABS(U1788),"")</f>
        <v/>
      </c>
      <c r="W1788" s="49">
        <f>IF(OR($E1787&lt;&gt;"측정",$C1787&lt;&gt;$C1788,$D1787&lt;&gt;$D1788,NOT(ISNUMBER(M1788)),NOT(ISNUMBER(M1787)),(IF(ISNUMBER(H1788),H1788,G1788)-IF(ISNUMBER(H1787),H1787,G1787))=0),"",(M1788-M1787)/(IF(ISNUMBER(H1788),H1788,G1788)-IF(ISNUMBER(H1787),H1787,G1787)))</f>
        <v/>
      </c>
      <c r="X1788" s="31">
        <f>IF(NOT(AND(ISNUMBER(O1788),ISNUMBER(Q1788))),"",(Q1788-O1788)*1440)</f>
        <v/>
      </c>
      <c r="Y1788" s="29" t="n"/>
      <c r="Z1788" s="29" t="n"/>
      <c r="AA1788" s="29" t="n"/>
      <c r="AB1788" s="32" t="n"/>
      <c r="AC1788" s="32" t="n"/>
    </row>
    <row r="1789">
      <c r="A1789" s="26" t="inlineStr">
        <is>
          <t>S35</t>
        </is>
      </c>
      <c r="B1789" s="26" t="inlineStr">
        <is>
          <t>상주</t>
        </is>
      </c>
      <c r="C1789" s="26" t="inlineStr">
        <is>
          <t>S35-H서</t>
        </is>
      </c>
      <c r="D1789" s="47" t="n">
        <v>1</v>
      </c>
      <c r="E1789" s="26" t="inlineStr">
        <is>
          <t>측정</t>
        </is>
      </c>
      <c r="F1789" s="26" t="inlineStr">
        <is>
          <t>서</t>
        </is>
      </c>
      <c r="G1789" s="31" t="n">
        <v>1</v>
      </c>
      <c r="H1789" s="30" t="n"/>
      <c r="I1789" s="43" t="n"/>
      <c r="J1789" s="41" t="n"/>
      <c r="K1789" s="41" t="n"/>
      <c r="L1789" s="41" t="n"/>
      <c r="M1789" s="31">
        <f>IF(COUNT(J1789:L1789)=0,"",MEDIAN(J1789:L1789))</f>
        <v/>
      </c>
      <c r="N1789" s="26">
        <f>IF(COUNTIFS($C:$C,$C1789,$D:$D,$D1789,$E:$E,"P0(전)",$M:$M,"&gt;0")&lt;&gt;1,"P0(전) 유효 1개 아님",IF(COUNTIFS($C:$C,$C1789,$D:$D,$D1789,$E:$E,"P0(후)",$M:$M,"&gt;0")&lt;&gt;1,"P0(후) 유효 1개 아님",IF(NOT(AND(ISNUMBER(O1789),ISNUMBER(Q1789),ISNUMBER(I1789))),"시각 결측",IF(Q1789&lt;=O1789,"P0 시각 역전",IF(OR(I1789&lt;O1789,I1789&gt;Q1789),"측정시각 구간 밖","OK")))))</f>
        <v/>
      </c>
      <c r="O1789" s="48">
        <f>IF(COUNTIFS($C:$C,$C1789,$D:$D,$D1789,$E:$E,"P0(전)",$M:$M,"&gt;0")&lt;&gt;1,"",SUMIFS($I:$I,$C:$C,$C1789,$D:$D,$D1789,$E:$E,"P0(전)"))</f>
        <v/>
      </c>
      <c r="P1789" s="31">
        <f>IF(COUNTIFS($C:$C,$C1789,$D:$D,$D1789,$E:$E,"P0(전)",$M:$M,"&gt;0")&lt;&gt;1,"",SUMIFS($M:$M,$C:$C,$C1789,$D:$D,$D1789,$E:$E,"P0(전)"))</f>
        <v/>
      </c>
      <c r="Q1789" s="48">
        <f>IF(COUNTIFS($C:$C,$C1789,$D:$D,$D1789,$E:$E,"P0(후)",$M:$M,"&gt;0")&lt;&gt;1,"",SUMIFS($I:$I,$C:$C,$C1789,$D:$D,$D1789,$E:$E,"P0(후)"))</f>
        <v/>
      </c>
      <c r="R1789" s="31">
        <f>IF(COUNTIFS($C:$C,$C1789,$D:$D,$D1789,$E:$E,"P0(후)",$M:$M,"&gt;0")&lt;&gt;1,"",SUMIFS($M:$M,$C:$C,$C1789,$D:$D,$D1789,$E:$E,"P0(후)"))</f>
        <v/>
      </c>
      <c r="S1789" s="31">
        <f>IF(N1789&lt;&gt;"OK","",P1789+(R1789-P1789)*(I1789-O1789)/(Q1789-O1789))</f>
        <v/>
      </c>
      <c r="T1789" s="31">
        <f>IF(OR(N1789&lt;&gt;"OK",NOT(ISNUMBER(M1789))),"",M1789-S1789)</f>
        <v/>
      </c>
      <c r="U1789" s="49">
        <f>IF(OR(NOT(ISNUMBER(T1789)),IF(ISNUMBER(H1789),H1789,G1789)=0),"",T1789/IF(ISNUMBER(H1789),H1789,G1789))</f>
        <v/>
      </c>
      <c r="V1789" s="49">
        <f>IF(ISNUMBER(U1789),ABS(U1789),"")</f>
        <v/>
      </c>
      <c r="W1789" s="49">
        <f>IF(OR($E1788&lt;&gt;"측정",$C1788&lt;&gt;$C1789,$D1788&lt;&gt;$D1789,NOT(ISNUMBER(M1789)),NOT(ISNUMBER(M1788)),(IF(ISNUMBER(H1789),H1789,G1789)-IF(ISNUMBER(H1788),H1788,G1788))=0),"",(M1789-M1788)/(IF(ISNUMBER(H1789),H1789,G1789)-IF(ISNUMBER(H1788),H1788,G1788)))</f>
        <v/>
      </c>
      <c r="X1789" s="31">
        <f>IF(NOT(AND(ISNUMBER(O1789),ISNUMBER(Q1789))),"",(Q1789-O1789)*1440)</f>
        <v/>
      </c>
      <c r="Y1789" s="29" t="n"/>
      <c r="Z1789" s="29" t="n"/>
      <c r="AA1789" s="29" t="n"/>
      <c r="AB1789" s="32" t="n"/>
      <c r="AC1789" s="32" t="n"/>
    </row>
    <row r="1790">
      <c r="A1790" s="26" t="inlineStr">
        <is>
          <t>S35</t>
        </is>
      </c>
      <c r="B1790" s="26" t="inlineStr">
        <is>
          <t>상주</t>
        </is>
      </c>
      <c r="C1790" s="26" t="inlineStr">
        <is>
          <t>S35-H서</t>
        </is>
      </c>
      <c r="D1790" s="47" t="n">
        <v>1</v>
      </c>
      <c r="E1790" s="26" t="inlineStr">
        <is>
          <t>측정</t>
        </is>
      </c>
      <c r="F1790" s="26" t="inlineStr">
        <is>
          <t>서</t>
        </is>
      </c>
      <c r="G1790" s="31" t="n">
        <v>2</v>
      </c>
      <c r="H1790" s="30" t="n"/>
      <c r="I1790" s="43" t="n"/>
      <c r="J1790" s="41" t="n"/>
      <c r="K1790" s="41" t="n"/>
      <c r="L1790" s="41" t="n"/>
      <c r="M1790" s="31">
        <f>IF(COUNT(J1790:L1790)=0,"",MEDIAN(J1790:L1790))</f>
        <v/>
      </c>
      <c r="N1790" s="26">
        <f>IF(COUNTIFS($C:$C,$C1790,$D:$D,$D1790,$E:$E,"P0(전)",$M:$M,"&gt;0")&lt;&gt;1,"P0(전) 유효 1개 아님",IF(COUNTIFS($C:$C,$C1790,$D:$D,$D1790,$E:$E,"P0(후)",$M:$M,"&gt;0")&lt;&gt;1,"P0(후) 유효 1개 아님",IF(NOT(AND(ISNUMBER(O1790),ISNUMBER(Q1790),ISNUMBER(I1790))),"시각 결측",IF(Q1790&lt;=O1790,"P0 시각 역전",IF(OR(I1790&lt;O1790,I1790&gt;Q1790),"측정시각 구간 밖","OK")))))</f>
        <v/>
      </c>
      <c r="O1790" s="48">
        <f>IF(COUNTIFS($C:$C,$C1790,$D:$D,$D1790,$E:$E,"P0(전)",$M:$M,"&gt;0")&lt;&gt;1,"",SUMIFS($I:$I,$C:$C,$C1790,$D:$D,$D1790,$E:$E,"P0(전)"))</f>
        <v/>
      </c>
      <c r="P1790" s="31">
        <f>IF(COUNTIFS($C:$C,$C1790,$D:$D,$D1790,$E:$E,"P0(전)",$M:$M,"&gt;0")&lt;&gt;1,"",SUMIFS($M:$M,$C:$C,$C1790,$D:$D,$D1790,$E:$E,"P0(전)"))</f>
        <v/>
      </c>
      <c r="Q1790" s="48">
        <f>IF(COUNTIFS($C:$C,$C1790,$D:$D,$D1790,$E:$E,"P0(후)",$M:$M,"&gt;0")&lt;&gt;1,"",SUMIFS($I:$I,$C:$C,$C1790,$D:$D,$D1790,$E:$E,"P0(후)"))</f>
        <v/>
      </c>
      <c r="R1790" s="31">
        <f>IF(COUNTIFS($C:$C,$C1790,$D:$D,$D1790,$E:$E,"P0(후)",$M:$M,"&gt;0")&lt;&gt;1,"",SUMIFS($M:$M,$C:$C,$C1790,$D:$D,$D1790,$E:$E,"P0(후)"))</f>
        <v/>
      </c>
      <c r="S1790" s="31">
        <f>IF(N1790&lt;&gt;"OK","",P1790+(R1790-P1790)*(I1790-O1790)/(Q1790-O1790))</f>
        <v/>
      </c>
      <c r="T1790" s="31">
        <f>IF(OR(N1790&lt;&gt;"OK",NOT(ISNUMBER(M1790))),"",M1790-S1790)</f>
        <v/>
      </c>
      <c r="U1790" s="49">
        <f>IF(OR(NOT(ISNUMBER(T1790)),IF(ISNUMBER(H1790),H1790,G1790)=0),"",T1790/IF(ISNUMBER(H1790),H1790,G1790))</f>
        <v/>
      </c>
      <c r="V1790" s="49">
        <f>IF(ISNUMBER(U1790),ABS(U1790),"")</f>
        <v/>
      </c>
      <c r="W1790" s="49">
        <f>IF(OR($E1789&lt;&gt;"측정",$C1789&lt;&gt;$C1790,$D1789&lt;&gt;$D1790,NOT(ISNUMBER(M1790)),NOT(ISNUMBER(M1789)),(IF(ISNUMBER(H1790),H1790,G1790)-IF(ISNUMBER(H1789),H1789,G1789))=0),"",(M1790-M1789)/(IF(ISNUMBER(H1790),H1790,G1790)-IF(ISNUMBER(H1789),H1789,G1789)))</f>
        <v/>
      </c>
      <c r="X1790" s="31">
        <f>IF(NOT(AND(ISNUMBER(O1790),ISNUMBER(Q1790))),"",(Q1790-O1790)*1440)</f>
        <v/>
      </c>
      <c r="Y1790" s="29" t="n"/>
      <c r="Z1790" s="29" t="n"/>
      <c r="AA1790" s="29" t="n"/>
      <c r="AB1790" s="32" t="n"/>
      <c r="AC1790" s="32" t="n"/>
    </row>
    <row r="1791">
      <c r="A1791" s="26" t="inlineStr">
        <is>
          <t>S35</t>
        </is>
      </c>
      <c r="B1791" s="26" t="inlineStr">
        <is>
          <t>상주</t>
        </is>
      </c>
      <c r="C1791" s="26" t="inlineStr">
        <is>
          <t>S35-H서</t>
        </is>
      </c>
      <c r="D1791" s="47" t="n">
        <v>1</v>
      </c>
      <c r="E1791" s="26" t="inlineStr">
        <is>
          <t>측정</t>
        </is>
      </c>
      <c r="F1791" s="26" t="inlineStr">
        <is>
          <t>서</t>
        </is>
      </c>
      <c r="G1791" s="31" t="n">
        <v>3</v>
      </c>
      <c r="H1791" s="30" t="n"/>
      <c r="I1791" s="43" t="n"/>
      <c r="J1791" s="41" t="n"/>
      <c r="K1791" s="41" t="n"/>
      <c r="L1791" s="41" t="n"/>
      <c r="M1791" s="31">
        <f>IF(COUNT(J1791:L1791)=0,"",MEDIAN(J1791:L1791))</f>
        <v/>
      </c>
      <c r="N1791" s="26">
        <f>IF(COUNTIFS($C:$C,$C1791,$D:$D,$D1791,$E:$E,"P0(전)",$M:$M,"&gt;0")&lt;&gt;1,"P0(전) 유효 1개 아님",IF(COUNTIFS($C:$C,$C1791,$D:$D,$D1791,$E:$E,"P0(후)",$M:$M,"&gt;0")&lt;&gt;1,"P0(후) 유효 1개 아님",IF(NOT(AND(ISNUMBER(O1791),ISNUMBER(Q1791),ISNUMBER(I1791))),"시각 결측",IF(Q1791&lt;=O1791,"P0 시각 역전",IF(OR(I1791&lt;O1791,I1791&gt;Q1791),"측정시각 구간 밖","OK")))))</f>
        <v/>
      </c>
      <c r="O1791" s="48">
        <f>IF(COUNTIFS($C:$C,$C1791,$D:$D,$D1791,$E:$E,"P0(전)",$M:$M,"&gt;0")&lt;&gt;1,"",SUMIFS($I:$I,$C:$C,$C1791,$D:$D,$D1791,$E:$E,"P0(전)"))</f>
        <v/>
      </c>
      <c r="P1791" s="31">
        <f>IF(COUNTIFS($C:$C,$C1791,$D:$D,$D1791,$E:$E,"P0(전)",$M:$M,"&gt;0")&lt;&gt;1,"",SUMIFS($M:$M,$C:$C,$C1791,$D:$D,$D1791,$E:$E,"P0(전)"))</f>
        <v/>
      </c>
      <c r="Q1791" s="48">
        <f>IF(COUNTIFS($C:$C,$C1791,$D:$D,$D1791,$E:$E,"P0(후)",$M:$M,"&gt;0")&lt;&gt;1,"",SUMIFS($I:$I,$C:$C,$C1791,$D:$D,$D1791,$E:$E,"P0(후)"))</f>
        <v/>
      </c>
      <c r="R1791" s="31">
        <f>IF(COUNTIFS($C:$C,$C1791,$D:$D,$D1791,$E:$E,"P0(후)",$M:$M,"&gt;0")&lt;&gt;1,"",SUMIFS($M:$M,$C:$C,$C1791,$D:$D,$D1791,$E:$E,"P0(후)"))</f>
        <v/>
      </c>
      <c r="S1791" s="31">
        <f>IF(N1791&lt;&gt;"OK","",P1791+(R1791-P1791)*(I1791-O1791)/(Q1791-O1791))</f>
        <v/>
      </c>
      <c r="T1791" s="31">
        <f>IF(OR(N1791&lt;&gt;"OK",NOT(ISNUMBER(M1791))),"",M1791-S1791)</f>
        <v/>
      </c>
      <c r="U1791" s="49">
        <f>IF(OR(NOT(ISNUMBER(T1791)),IF(ISNUMBER(H1791),H1791,G1791)=0),"",T1791/IF(ISNUMBER(H1791),H1791,G1791))</f>
        <v/>
      </c>
      <c r="V1791" s="49">
        <f>IF(ISNUMBER(U1791),ABS(U1791),"")</f>
        <v/>
      </c>
      <c r="W1791" s="49">
        <f>IF(OR($E1790&lt;&gt;"측정",$C1790&lt;&gt;$C1791,$D1790&lt;&gt;$D1791,NOT(ISNUMBER(M1791)),NOT(ISNUMBER(M1790)),(IF(ISNUMBER(H1791),H1791,G1791)-IF(ISNUMBER(H1790),H1790,G1790))=0),"",(M1791-M1790)/(IF(ISNUMBER(H1791),H1791,G1791)-IF(ISNUMBER(H1790),H1790,G1790)))</f>
        <v/>
      </c>
      <c r="X1791" s="31">
        <f>IF(NOT(AND(ISNUMBER(O1791),ISNUMBER(Q1791))),"",(Q1791-O1791)*1440)</f>
        <v/>
      </c>
      <c r="Y1791" s="29" t="n"/>
      <c r="Z1791" s="29" t="n"/>
      <c r="AA1791" s="29" t="n"/>
      <c r="AB1791" s="32" t="n"/>
      <c r="AC1791" s="32" t="n"/>
    </row>
    <row r="1792">
      <c r="A1792" s="26" t="inlineStr">
        <is>
          <t>S35</t>
        </is>
      </c>
      <c r="B1792" s="26" t="inlineStr">
        <is>
          <t>상주</t>
        </is>
      </c>
      <c r="C1792" s="26" t="inlineStr">
        <is>
          <t>S35-H서</t>
        </is>
      </c>
      <c r="D1792" s="47" t="n">
        <v>1</v>
      </c>
      <c r="E1792" s="26" t="inlineStr">
        <is>
          <t>측정</t>
        </is>
      </c>
      <c r="F1792" s="26" t="inlineStr">
        <is>
          <t>서</t>
        </is>
      </c>
      <c r="G1792" s="31" t="n">
        <v>4</v>
      </c>
      <c r="H1792" s="30" t="n"/>
      <c r="I1792" s="43" t="n"/>
      <c r="J1792" s="41" t="n"/>
      <c r="K1792" s="41" t="n"/>
      <c r="L1792" s="41" t="n"/>
      <c r="M1792" s="31">
        <f>IF(COUNT(J1792:L1792)=0,"",MEDIAN(J1792:L1792))</f>
        <v/>
      </c>
      <c r="N1792" s="26">
        <f>IF(COUNTIFS($C:$C,$C1792,$D:$D,$D1792,$E:$E,"P0(전)",$M:$M,"&gt;0")&lt;&gt;1,"P0(전) 유효 1개 아님",IF(COUNTIFS($C:$C,$C1792,$D:$D,$D1792,$E:$E,"P0(후)",$M:$M,"&gt;0")&lt;&gt;1,"P0(후) 유효 1개 아님",IF(NOT(AND(ISNUMBER(O1792),ISNUMBER(Q1792),ISNUMBER(I1792))),"시각 결측",IF(Q1792&lt;=O1792,"P0 시각 역전",IF(OR(I1792&lt;O1792,I1792&gt;Q1792),"측정시각 구간 밖","OK")))))</f>
        <v/>
      </c>
      <c r="O1792" s="48">
        <f>IF(COUNTIFS($C:$C,$C1792,$D:$D,$D1792,$E:$E,"P0(전)",$M:$M,"&gt;0")&lt;&gt;1,"",SUMIFS($I:$I,$C:$C,$C1792,$D:$D,$D1792,$E:$E,"P0(전)"))</f>
        <v/>
      </c>
      <c r="P1792" s="31">
        <f>IF(COUNTIFS($C:$C,$C1792,$D:$D,$D1792,$E:$E,"P0(전)",$M:$M,"&gt;0")&lt;&gt;1,"",SUMIFS($M:$M,$C:$C,$C1792,$D:$D,$D1792,$E:$E,"P0(전)"))</f>
        <v/>
      </c>
      <c r="Q1792" s="48">
        <f>IF(COUNTIFS($C:$C,$C1792,$D:$D,$D1792,$E:$E,"P0(후)",$M:$M,"&gt;0")&lt;&gt;1,"",SUMIFS($I:$I,$C:$C,$C1792,$D:$D,$D1792,$E:$E,"P0(후)"))</f>
        <v/>
      </c>
      <c r="R1792" s="31">
        <f>IF(COUNTIFS($C:$C,$C1792,$D:$D,$D1792,$E:$E,"P0(후)",$M:$M,"&gt;0")&lt;&gt;1,"",SUMIFS($M:$M,$C:$C,$C1792,$D:$D,$D1792,$E:$E,"P0(후)"))</f>
        <v/>
      </c>
      <c r="S1792" s="31">
        <f>IF(N1792&lt;&gt;"OK","",P1792+(R1792-P1792)*(I1792-O1792)/(Q1792-O1792))</f>
        <v/>
      </c>
      <c r="T1792" s="31">
        <f>IF(OR(N1792&lt;&gt;"OK",NOT(ISNUMBER(M1792))),"",M1792-S1792)</f>
        <v/>
      </c>
      <c r="U1792" s="49">
        <f>IF(OR(NOT(ISNUMBER(T1792)),IF(ISNUMBER(H1792),H1792,G1792)=0),"",T1792/IF(ISNUMBER(H1792),H1792,G1792))</f>
        <v/>
      </c>
      <c r="V1792" s="49">
        <f>IF(ISNUMBER(U1792),ABS(U1792),"")</f>
        <v/>
      </c>
      <c r="W1792" s="49">
        <f>IF(OR($E1791&lt;&gt;"측정",$C1791&lt;&gt;$C1792,$D1791&lt;&gt;$D1792,NOT(ISNUMBER(M1792)),NOT(ISNUMBER(M1791)),(IF(ISNUMBER(H1792),H1792,G1792)-IF(ISNUMBER(H1791),H1791,G1791))=0),"",(M1792-M1791)/(IF(ISNUMBER(H1792),H1792,G1792)-IF(ISNUMBER(H1791),H1791,G1791)))</f>
        <v/>
      </c>
      <c r="X1792" s="31">
        <f>IF(NOT(AND(ISNUMBER(O1792),ISNUMBER(Q1792))),"",(Q1792-O1792)*1440)</f>
        <v/>
      </c>
      <c r="Y1792" s="29" t="n"/>
      <c r="Z1792" s="29" t="n"/>
      <c r="AA1792" s="29" t="n"/>
      <c r="AB1792" s="32" t="n"/>
      <c r="AC1792" s="32" t="n"/>
    </row>
    <row r="1793">
      <c r="A1793" s="26" t="inlineStr">
        <is>
          <t>S35</t>
        </is>
      </c>
      <c r="B1793" s="26" t="inlineStr">
        <is>
          <t>상주</t>
        </is>
      </c>
      <c r="C1793" s="26" t="inlineStr">
        <is>
          <t>S35-H서</t>
        </is>
      </c>
      <c r="D1793" s="47" t="n">
        <v>1</v>
      </c>
      <c r="E1793" s="26" t="inlineStr">
        <is>
          <t>측정</t>
        </is>
      </c>
      <c r="F1793" s="26" t="inlineStr">
        <is>
          <t>서</t>
        </is>
      </c>
      <c r="G1793" s="31" t="n">
        <v>5</v>
      </c>
      <c r="H1793" s="30" t="n"/>
      <c r="I1793" s="43" t="n"/>
      <c r="J1793" s="41" t="n"/>
      <c r="K1793" s="41" t="n"/>
      <c r="L1793" s="41" t="n"/>
      <c r="M1793" s="31">
        <f>IF(COUNT(J1793:L1793)=0,"",MEDIAN(J1793:L1793))</f>
        <v/>
      </c>
      <c r="N1793" s="26">
        <f>IF(COUNTIFS($C:$C,$C1793,$D:$D,$D1793,$E:$E,"P0(전)",$M:$M,"&gt;0")&lt;&gt;1,"P0(전) 유효 1개 아님",IF(COUNTIFS($C:$C,$C1793,$D:$D,$D1793,$E:$E,"P0(후)",$M:$M,"&gt;0")&lt;&gt;1,"P0(후) 유효 1개 아님",IF(NOT(AND(ISNUMBER(O1793),ISNUMBER(Q1793),ISNUMBER(I1793))),"시각 결측",IF(Q1793&lt;=O1793,"P0 시각 역전",IF(OR(I1793&lt;O1793,I1793&gt;Q1793),"측정시각 구간 밖","OK")))))</f>
        <v/>
      </c>
      <c r="O1793" s="48">
        <f>IF(COUNTIFS($C:$C,$C1793,$D:$D,$D1793,$E:$E,"P0(전)",$M:$M,"&gt;0")&lt;&gt;1,"",SUMIFS($I:$I,$C:$C,$C1793,$D:$D,$D1793,$E:$E,"P0(전)"))</f>
        <v/>
      </c>
      <c r="P1793" s="31">
        <f>IF(COUNTIFS($C:$C,$C1793,$D:$D,$D1793,$E:$E,"P0(전)",$M:$M,"&gt;0")&lt;&gt;1,"",SUMIFS($M:$M,$C:$C,$C1793,$D:$D,$D1793,$E:$E,"P0(전)"))</f>
        <v/>
      </c>
      <c r="Q1793" s="48">
        <f>IF(COUNTIFS($C:$C,$C1793,$D:$D,$D1793,$E:$E,"P0(후)",$M:$M,"&gt;0")&lt;&gt;1,"",SUMIFS($I:$I,$C:$C,$C1793,$D:$D,$D1793,$E:$E,"P0(후)"))</f>
        <v/>
      </c>
      <c r="R1793" s="31">
        <f>IF(COUNTIFS($C:$C,$C1793,$D:$D,$D1793,$E:$E,"P0(후)",$M:$M,"&gt;0")&lt;&gt;1,"",SUMIFS($M:$M,$C:$C,$C1793,$D:$D,$D1793,$E:$E,"P0(후)"))</f>
        <v/>
      </c>
      <c r="S1793" s="31">
        <f>IF(N1793&lt;&gt;"OK","",P1793+(R1793-P1793)*(I1793-O1793)/(Q1793-O1793))</f>
        <v/>
      </c>
      <c r="T1793" s="31">
        <f>IF(OR(N1793&lt;&gt;"OK",NOT(ISNUMBER(M1793))),"",M1793-S1793)</f>
        <v/>
      </c>
      <c r="U1793" s="49">
        <f>IF(OR(NOT(ISNUMBER(T1793)),IF(ISNUMBER(H1793),H1793,G1793)=0),"",T1793/IF(ISNUMBER(H1793),H1793,G1793))</f>
        <v/>
      </c>
      <c r="V1793" s="49">
        <f>IF(ISNUMBER(U1793),ABS(U1793),"")</f>
        <v/>
      </c>
      <c r="W1793" s="49">
        <f>IF(OR($E1792&lt;&gt;"측정",$C1792&lt;&gt;$C1793,$D1792&lt;&gt;$D1793,NOT(ISNUMBER(M1793)),NOT(ISNUMBER(M1792)),(IF(ISNUMBER(H1793),H1793,G1793)-IF(ISNUMBER(H1792),H1792,G1792))=0),"",(M1793-M1792)/(IF(ISNUMBER(H1793),H1793,G1793)-IF(ISNUMBER(H1792),H1792,G1792)))</f>
        <v/>
      </c>
      <c r="X1793" s="31">
        <f>IF(NOT(AND(ISNUMBER(O1793),ISNUMBER(Q1793))),"",(Q1793-O1793)*1440)</f>
        <v/>
      </c>
      <c r="Y1793" s="29" t="n"/>
      <c r="Z1793" s="29" t="n"/>
      <c r="AA1793" s="29" t="n"/>
      <c r="AB1793" s="32" t="n"/>
      <c r="AC1793" s="32" t="n"/>
    </row>
    <row r="1794">
      <c r="A1794" s="26" t="inlineStr">
        <is>
          <t>S35</t>
        </is>
      </c>
      <c r="B1794" s="26" t="inlineStr">
        <is>
          <t>상주</t>
        </is>
      </c>
      <c r="C1794" s="26" t="inlineStr">
        <is>
          <t>S35-H서</t>
        </is>
      </c>
      <c r="D1794" s="47" t="n">
        <v>1</v>
      </c>
      <c r="E1794" s="26" t="inlineStr">
        <is>
          <t>측정</t>
        </is>
      </c>
      <c r="F1794" s="26" t="inlineStr">
        <is>
          <t>서</t>
        </is>
      </c>
      <c r="G1794" s="31" t="n">
        <v>6</v>
      </c>
      <c r="H1794" s="30" t="n"/>
      <c r="I1794" s="43" t="n"/>
      <c r="J1794" s="41" t="n"/>
      <c r="K1794" s="41" t="n"/>
      <c r="L1794" s="41" t="n"/>
      <c r="M1794" s="31">
        <f>IF(COUNT(J1794:L1794)=0,"",MEDIAN(J1794:L1794))</f>
        <v/>
      </c>
      <c r="N1794" s="26">
        <f>IF(COUNTIFS($C:$C,$C1794,$D:$D,$D1794,$E:$E,"P0(전)",$M:$M,"&gt;0")&lt;&gt;1,"P0(전) 유효 1개 아님",IF(COUNTIFS($C:$C,$C1794,$D:$D,$D1794,$E:$E,"P0(후)",$M:$M,"&gt;0")&lt;&gt;1,"P0(후) 유효 1개 아님",IF(NOT(AND(ISNUMBER(O1794),ISNUMBER(Q1794),ISNUMBER(I1794))),"시각 결측",IF(Q1794&lt;=O1794,"P0 시각 역전",IF(OR(I1794&lt;O1794,I1794&gt;Q1794),"측정시각 구간 밖","OK")))))</f>
        <v/>
      </c>
      <c r="O1794" s="48">
        <f>IF(COUNTIFS($C:$C,$C1794,$D:$D,$D1794,$E:$E,"P0(전)",$M:$M,"&gt;0")&lt;&gt;1,"",SUMIFS($I:$I,$C:$C,$C1794,$D:$D,$D1794,$E:$E,"P0(전)"))</f>
        <v/>
      </c>
      <c r="P1794" s="31">
        <f>IF(COUNTIFS($C:$C,$C1794,$D:$D,$D1794,$E:$E,"P0(전)",$M:$M,"&gt;0")&lt;&gt;1,"",SUMIFS($M:$M,$C:$C,$C1794,$D:$D,$D1794,$E:$E,"P0(전)"))</f>
        <v/>
      </c>
      <c r="Q1794" s="48">
        <f>IF(COUNTIFS($C:$C,$C1794,$D:$D,$D1794,$E:$E,"P0(후)",$M:$M,"&gt;0")&lt;&gt;1,"",SUMIFS($I:$I,$C:$C,$C1794,$D:$D,$D1794,$E:$E,"P0(후)"))</f>
        <v/>
      </c>
      <c r="R1794" s="31">
        <f>IF(COUNTIFS($C:$C,$C1794,$D:$D,$D1794,$E:$E,"P0(후)",$M:$M,"&gt;0")&lt;&gt;1,"",SUMIFS($M:$M,$C:$C,$C1794,$D:$D,$D1794,$E:$E,"P0(후)"))</f>
        <v/>
      </c>
      <c r="S1794" s="31">
        <f>IF(N1794&lt;&gt;"OK","",P1794+(R1794-P1794)*(I1794-O1794)/(Q1794-O1794))</f>
        <v/>
      </c>
      <c r="T1794" s="31">
        <f>IF(OR(N1794&lt;&gt;"OK",NOT(ISNUMBER(M1794))),"",M1794-S1794)</f>
        <v/>
      </c>
      <c r="U1794" s="49">
        <f>IF(OR(NOT(ISNUMBER(T1794)),IF(ISNUMBER(H1794),H1794,G1794)=0),"",T1794/IF(ISNUMBER(H1794),H1794,G1794))</f>
        <v/>
      </c>
      <c r="V1794" s="49">
        <f>IF(ISNUMBER(U1794),ABS(U1794),"")</f>
        <v/>
      </c>
      <c r="W1794" s="49">
        <f>IF(OR($E1793&lt;&gt;"측정",$C1793&lt;&gt;$C1794,$D1793&lt;&gt;$D1794,NOT(ISNUMBER(M1794)),NOT(ISNUMBER(M1793)),(IF(ISNUMBER(H1794),H1794,G1794)-IF(ISNUMBER(H1793),H1793,G1793))=0),"",(M1794-M1793)/(IF(ISNUMBER(H1794),H1794,G1794)-IF(ISNUMBER(H1793),H1793,G1793)))</f>
        <v/>
      </c>
      <c r="X1794" s="31">
        <f>IF(NOT(AND(ISNUMBER(O1794),ISNUMBER(Q1794))),"",(Q1794-O1794)*1440)</f>
        <v/>
      </c>
      <c r="Y1794" s="29" t="n"/>
      <c r="Z1794" s="29" t="n"/>
      <c r="AA1794" s="29" t="n"/>
      <c r="AB1794" s="32" t="n"/>
      <c r="AC1794" s="32" t="n"/>
    </row>
    <row r="1795">
      <c r="A1795" s="26" t="inlineStr">
        <is>
          <t>S35</t>
        </is>
      </c>
      <c r="B1795" s="26" t="inlineStr">
        <is>
          <t>상주</t>
        </is>
      </c>
      <c r="C1795" s="26" t="inlineStr">
        <is>
          <t>S35-H서</t>
        </is>
      </c>
      <c r="D1795" s="47" t="n">
        <v>1</v>
      </c>
      <c r="E1795" s="26" t="inlineStr">
        <is>
          <t>측정</t>
        </is>
      </c>
      <c r="F1795" s="26" t="inlineStr">
        <is>
          <t>서</t>
        </is>
      </c>
      <c r="G1795" s="31" t="n">
        <v>7</v>
      </c>
      <c r="H1795" s="30" t="n"/>
      <c r="I1795" s="43" t="n"/>
      <c r="J1795" s="41" t="n"/>
      <c r="K1795" s="41" t="n"/>
      <c r="L1795" s="41" t="n"/>
      <c r="M1795" s="31">
        <f>IF(COUNT(J1795:L1795)=0,"",MEDIAN(J1795:L1795))</f>
        <v/>
      </c>
      <c r="N1795" s="26">
        <f>IF(COUNTIFS($C:$C,$C1795,$D:$D,$D1795,$E:$E,"P0(전)",$M:$M,"&gt;0")&lt;&gt;1,"P0(전) 유효 1개 아님",IF(COUNTIFS($C:$C,$C1795,$D:$D,$D1795,$E:$E,"P0(후)",$M:$M,"&gt;0")&lt;&gt;1,"P0(후) 유효 1개 아님",IF(NOT(AND(ISNUMBER(O1795),ISNUMBER(Q1795),ISNUMBER(I1795))),"시각 결측",IF(Q1795&lt;=O1795,"P0 시각 역전",IF(OR(I1795&lt;O1795,I1795&gt;Q1795),"측정시각 구간 밖","OK")))))</f>
        <v/>
      </c>
      <c r="O1795" s="48">
        <f>IF(COUNTIFS($C:$C,$C1795,$D:$D,$D1795,$E:$E,"P0(전)",$M:$M,"&gt;0")&lt;&gt;1,"",SUMIFS($I:$I,$C:$C,$C1795,$D:$D,$D1795,$E:$E,"P0(전)"))</f>
        <v/>
      </c>
      <c r="P1795" s="31">
        <f>IF(COUNTIFS($C:$C,$C1795,$D:$D,$D1795,$E:$E,"P0(전)",$M:$M,"&gt;0")&lt;&gt;1,"",SUMIFS($M:$M,$C:$C,$C1795,$D:$D,$D1795,$E:$E,"P0(전)"))</f>
        <v/>
      </c>
      <c r="Q1795" s="48">
        <f>IF(COUNTIFS($C:$C,$C1795,$D:$D,$D1795,$E:$E,"P0(후)",$M:$M,"&gt;0")&lt;&gt;1,"",SUMIFS($I:$I,$C:$C,$C1795,$D:$D,$D1795,$E:$E,"P0(후)"))</f>
        <v/>
      </c>
      <c r="R1795" s="31">
        <f>IF(COUNTIFS($C:$C,$C1795,$D:$D,$D1795,$E:$E,"P0(후)",$M:$M,"&gt;0")&lt;&gt;1,"",SUMIFS($M:$M,$C:$C,$C1795,$D:$D,$D1795,$E:$E,"P0(후)"))</f>
        <v/>
      </c>
      <c r="S1795" s="31">
        <f>IF(N1795&lt;&gt;"OK","",P1795+(R1795-P1795)*(I1795-O1795)/(Q1795-O1795))</f>
        <v/>
      </c>
      <c r="T1795" s="31">
        <f>IF(OR(N1795&lt;&gt;"OK",NOT(ISNUMBER(M1795))),"",M1795-S1795)</f>
        <v/>
      </c>
      <c r="U1795" s="49">
        <f>IF(OR(NOT(ISNUMBER(T1795)),IF(ISNUMBER(H1795),H1795,G1795)=0),"",T1795/IF(ISNUMBER(H1795),H1795,G1795))</f>
        <v/>
      </c>
      <c r="V1795" s="49">
        <f>IF(ISNUMBER(U1795),ABS(U1795),"")</f>
        <v/>
      </c>
      <c r="W1795" s="49">
        <f>IF(OR($E1794&lt;&gt;"측정",$C1794&lt;&gt;$C1795,$D1794&lt;&gt;$D1795,NOT(ISNUMBER(M1795)),NOT(ISNUMBER(M1794)),(IF(ISNUMBER(H1795),H1795,G1795)-IF(ISNUMBER(H1794),H1794,G1794))=0),"",(M1795-M1794)/(IF(ISNUMBER(H1795),H1795,G1795)-IF(ISNUMBER(H1794),H1794,G1794)))</f>
        <v/>
      </c>
      <c r="X1795" s="31">
        <f>IF(NOT(AND(ISNUMBER(O1795),ISNUMBER(Q1795))),"",(Q1795-O1795)*1440)</f>
        <v/>
      </c>
      <c r="Y1795" s="29" t="n"/>
      <c r="Z1795" s="29" t="n"/>
      <c r="AA1795" s="29" t="n"/>
      <c r="AB1795" s="32" t="n"/>
      <c r="AC1795" s="32" t="n"/>
    </row>
    <row r="1796">
      <c r="A1796" s="26" t="inlineStr">
        <is>
          <t>S35</t>
        </is>
      </c>
      <c r="B1796" s="26" t="inlineStr">
        <is>
          <t>상주</t>
        </is>
      </c>
      <c r="C1796" s="26" t="inlineStr">
        <is>
          <t>S35-H서</t>
        </is>
      </c>
      <c r="D1796" s="47" t="n">
        <v>1</v>
      </c>
      <c r="E1796" s="26" t="inlineStr">
        <is>
          <t>측정</t>
        </is>
      </c>
      <c r="F1796" s="26" t="inlineStr">
        <is>
          <t>서</t>
        </is>
      </c>
      <c r="G1796" s="31" t="n">
        <v>8</v>
      </c>
      <c r="H1796" s="30" t="n"/>
      <c r="I1796" s="43" t="n"/>
      <c r="J1796" s="41" t="n"/>
      <c r="K1796" s="41" t="n"/>
      <c r="L1796" s="41" t="n"/>
      <c r="M1796" s="31">
        <f>IF(COUNT(J1796:L1796)=0,"",MEDIAN(J1796:L1796))</f>
        <v/>
      </c>
      <c r="N1796" s="26">
        <f>IF(COUNTIFS($C:$C,$C1796,$D:$D,$D1796,$E:$E,"P0(전)",$M:$M,"&gt;0")&lt;&gt;1,"P0(전) 유효 1개 아님",IF(COUNTIFS($C:$C,$C1796,$D:$D,$D1796,$E:$E,"P0(후)",$M:$M,"&gt;0")&lt;&gt;1,"P0(후) 유효 1개 아님",IF(NOT(AND(ISNUMBER(O1796),ISNUMBER(Q1796),ISNUMBER(I1796))),"시각 결측",IF(Q1796&lt;=O1796,"P0 시각 역전",IF(OR(I1796&lt;O1796,I1796&gt;Q1796),"측정시각 구간 밖","OK")))))</f>
        <v/>
      </c>
      <c r="O1796" s="48">
        <f>IF(COUNTIFS($C:$C,$C1796,$D:$D,$D1796,$E:$E,"P0(전)",$M:$M,"&gt;0")&lt;&gt;1,"",SUMIFS($I:$I,$C:$C,$C1796,$D:$D,$D1796,$E:$E,"P0(전)"))</f>
        <v/>
      </c>
      <c r="P1796" s="31">
        <f>IF(COUNTIFS($C:$C,$C1796,$D:$D,$D1796,$E:$E,"P0(전)",$M:$M,"&gt;0")&lt;&gt;1,"",SUMIFS($M:$M,$C:$C,$C1796,$D:$D,$D1796,$E:$E,"P0(전)"))</f>
        <v/>
      </c>
      <c r="Q1796" s="48">
        <f>IF(COUNTIFS($C:$C,$C1796,$D:$D,$D1796,$E:$E,"P0(후)",$M:$M,"&gt;0")&lt;&gt;1,"",SUMIFS($I:$I,$C:$C,$C1796,$D:$D,$D1796,$E:$E,"P0(후)"))</f>
        <v/>
      </c>
      <c r="R1796" s="31">
        <f>IF(COUNTIFS($C:$C,$C1796,$D:$D,$D1796,$E:$E,"P0(후)",$M:$M,"&gt;0")&lt;&gt;1,"",SUMIFS($M:$M,$C:$C,$C1796,$D:$D,$D1796,$E:$E,"P0(후)"))</f>
        <v/>
      </c>
      <c r="S1796" s="31">
        <f>IF(N1796&lt;&gt;"OK","",P1796+(R1796-P1796)*(I1796-O1796)/(Q1796-O1796))</f>
        <v/>
      </c>
      <c r="T1796" s="31">
        <f>IF(OR(N1796&lt;&gt;"OK",NOT(ISNUMBER(M1796))),"",M1796-S1796)</f>
        <v/>
      </c>
      <c r="U1796" s="49">
        <f>IF(OR(NOT(ISNUMBER(T1796)),IF(ISNUMBER(H1796),H1796,G1796)=0),"",T1796/IF(ISNUMBER(H1796),H1796,G1796))</f>
        <v/>
      </c>
      <c r="V1796" s="49">
        <f>IF(ISNUMBER(U1796),ABS(U1796),"")</f>
        <v/>
      </c>
      <c r="W1796" s="49">
        <f>IF(OR($E1795&lt;&gt;"측정",$C1795&lt;&gt;$C1796,$D1795&lt;&gt;$D1796,NOT(ISNUMBER(M1796)),NOT(ISNUMBER(M1795)),(IF(ISNUMBER(H1796),H1796,G1796)-IF(ISNUMBER(H1795),H1795,G1795))=0),"",(M1796-M1795)/(IF(ISNUMBER(H1796),H1796,G1796)-IF(ISNUMBER(H1795),H1795,G1795)))</f>
        <v/>
      </c>
      <c r="X1796" s="31">
        <f>IF(NOT(AND(ISNUMBER(O1796),ISNUMBER(Q1796))),"",(Q1796-O1796)*1440)</f>
        <v/>
      </c>
      <c r="Y1796" s="29" t="n"/>
      <c r="Z1796" s="29" t="n"/>
      <c r="AA1796" s="29" t="n"/>
      <c r="AB1796" s="32" t="n"/>
      <c r="AC1796" s="32" t="n"/>
    </row>
    <row r="1797">
      <c r="A1797" s="26" t="inlineStr">
        <is>
          <t>S35</t>
        </is>
      </c>
      <c r="B1797" s="26" t="inlineStr">
        <is>
          <t>상주</t>
        </is>
      </c>
      <c r="C1797" s="26" t="inlineStr">
        <is>
          <t>S35-H서</t>
        </is>
      </c>
      <c r="D1797" s="47" t="n">
        <v>1</v>
      </c>
      <c r="E1797" s="26" t="inlineStr">
        <is>
          <t>측정</t>
        </is>
      </c>
      <c r="F1797" s="26" t="inlineStr">
        <is>
          <t>서</t>
        </is>
      </c>
      <c r="G1797" s="31" t="n">
        <v>9</v>
      </c>
      <c r="H1797" s="30" t="n"/>
      <c r="I1797" s="43" t="n"/>
      <c r="J1797" s="41" t="n"/>
      <c r="K1797" s="41" t="n"/>
      <c r="L1797" s="41" t="n"/>
      <c r="M1797" s="31">
        <f>IF(COUNT(J1797:L1797)=0,"",MEDIAN(J1797:L1797))</f>
        <v/>
      </c>
      <c r="N1797" s="26">
        <f>IF(COUNTIFS($C:$C,$C1797,$D:$D,$D1797,$E:$E,"P0(전)",$M:$M,"&gt;0")&lt;&gt;1,"P0(전) 유효 1개 아님",IF(COUNTIFS($C:$C,$C1797,$D:$D,$D1797,$E:$E,"P0(후)",$M:$M,"&gt;0")&lt;&gt;1,"P0(후) 유효 1개 아님",IF(NOT(AND(ISNUMBER(O1797),ISNUMBER(Q1797),ISNUMBER(I1797))),"시각 결측",IF(Q1797&lt;=O1797,"P0 시각 역전",IF(OR(I1797&lt;O1797,I1797&gt;Q1797),"측정시각 구간 밖","OK")))))</f>
        <v/>
      </c>
      <c r="O1797" s="48">
        <f>IF(COUNTIFS($C:$C,$C1797,$D:$D,$D1797,$E:$E,"P0(전)",$M:$M,"&gt;0")&lt;&gt;1,"",SUMIFS($I:$I,$C:$C,$C1797,$D:$D,$D1797,$E:$E,"P0(전)"))</f>
        <v/>
      </c>
      <c r="P1797" s="31">
        <f>IF(COUNTIFS($C:$C,$C1797,$D:$D,$D1797,$E:$E,"P0(전)",$M:$M,"&gt;0")&lt;&gt;1,"",SUMIFS($M:$M,$C:$C,$C1797,$D:$D,$D1797,$E:$E,"P0(전)"))</f>
        <v/>
      </c>
      <c r="Q1797" s="48">
        <f>IF(COUNTIFS($C:$C,$C1797,$D:$D,$D1797,$E:$E,"P0(후)",$M:$M,"&gt;0")&lt;&gt;1,"",SUMIFS($I:$I,$C:$C,$C1797,$D:$D,$D1797,$E:$E,"P0(후)"))</f>
        <v/>
      </c>
      <c r="R1797" s="31">
        <f>IF(COUNTIFS($C:$C,$C1797,$D:$D,$D1797,$E:$E,"P0(후)",$M:$M,"&gt;0")&lt;&gt;1,"",SUMIFS($M:$M,$C:$C,$C1797,$D:$D,$D1797,$E:$E,"P0(후)"))</f>
        <v/>
      </c>
      <c r="S1797" s="31">
        <f>IF(N1797&lt;&gt;"OK","",P1797+(R1797-P1797)*(I1797-O1797)/(Q1797-O1797))</f>
        <v/>
      </c>
      <c r="T1797" s="31">
        <f>IF(OR(N1797&lt;&gt;"OK",NOT(ISNUMBER(M1797))),"",M1797-S1797)</f>
        <v/>
      </c>
      <c r="U1797" s="49">
        <f>IF(OR(NOT(ISNUMBER(T1797)),IF(ISNUMBER(H1797),H1797,G1797)=0),"",T1797/IF(ISNUMBER(H1797),H1797,G1797))</f>
        <v/>
      </c>
      <c r="V1797" s="49">
        <f>IF(ISNUMBER(U1797),ABS(U1797),"")</f>
        <v/>
      </c>
      <c r="W1797" s="49">
        <f>IF(OR($E1796&lt;&gt;"측정",$C1796&lt;&gt;$C1797,$D1796&lt;&gt;$D1797,NOT(ISNUMBER(M1797)),NOT(ISNUMBER(M1796)),(IF(ISNUMBER(H1797),H1797,G1797)-IF(ISNUMBER(H1796),H1796,G1796))=0),"",(M1797-M1796)/(IF(ISNUMBER(H1797),H1797,G1797)-IF(ISNUMBER(H1796),H1796,G1796)))</f>
        <v/>
      </c>
      <c r="X1797" s="31">
        <f>IF(NOT(AND(ISNUMBER(O1797),ISNUMBER(Q1797))),"",(Q1797-O1797)*1440)</f>
        <v/>
      </c>
      <c r="Y1797" s="29" t="n"/>
      <c r="Z1797" s="29" t="n"/>
      <c r="AA1797" s="29" t="n"/>
      <c r="AB1797" s="32" t="n"/>
      <c r="AC1797" s="32" t="n"/>
    </row>
    <row r="1798">
      <c r="A1798" s="26" t="inlineStr">
        <is>
          <t>S35</t>
        </is>
      </c>
      <c r="B1798" s="26" t="inlineStr">
        <is>
          <t>상주</t>
        </is>
      </c>
      <c r="C1798" s="26" t="inlineStr">
        <is>
          <t>S35-H서</t>
        </is>
      </c>
      <c r="D1798" s="47" t="n">
        <v>1</v>
      </c>
      <c r="E1798" s="26" t="inlineStr">
        <is>
          <t>측정</t>
        </is>
      </c>
      <c r="F1798" s="26" t="inlineStr">
        <is>
          <t>서</t>
        </is>
      </c>
      <c r="G1798" s="31" t="n">
        <v>10</v>
      </c>
      <c r="H1798" s="30" t="n"/>
      <c r="I1798" s="43" t="n"/>
      <c r="J1798" s="41" t="n"/>
      <c r="K1798" s="41" t="n"/>
      <c r="L1798" s="41" t="n"/>
      <c r="M1798" s="31">
        <f>IF(COUNT(J1798:L1798)=0,"",MEDIAN(J1798:L1798))</f>
        <v/>
      </c>
      <c r="N1798" s="26">
        <f>IF(COUNTIFS($C:$C,$C1798,$D:$D,$D1798,$E:$E,"P0(전)",$M:$M,"&gt;0")&lt;&gt;1,"P0(전) 유효 1개 아님",IF(COUNTIFS($C:$C,$C1798,$D:$D,$D1798,$E:$E,"P0(후)",$M:$M,"&gt;0")&lt;&gt;1,"P0(후) 유효 1개 아님",IF(NOT(AND(ISNUMBER(O1798),ISNUMBER(Q1798),ISNUMBER(I1798))),"시각 결측",IF(Q1798&lt;=O1798,"P0 시각 역전",IF(OR(I1798&lt;O1798,I1798&gt;Q1798),"측정시각 구간 밖","OK")))))</f>
        <v/>
      </c>
      <c r="O1798" s="48">
        <f>IF(COUNTIFS($C:$C,$C1798,$D:$D,$D1798,$E:$E,"P0(전)",$M:$M,"&gt;0")&lt;&gt;1,"",SUMIFS($I:$I,$C:$C,$C1798,$D:$D,$D1798,$E:$E,"P0(전)"))</f>
        <v/>
      </c>
      <c r="P1798" s="31">
        <f>IF(COUNTIFS($C:$C,$C1798,$D:$D,$D1798,$E:$E,"P0(전)",$M:$M,"&gt;0")&lt;&gt;1,"",SUMIFS($M:$M,$C:$C,$C1798,$D:$D,$D1798,$E:$E,"P0(전)"))</f>
        <v/>
      </c>
      <c r="Q1798" s="48">
        <f>IF(COUNTIFS($C:$C,$C1798,$D:$D,$D1798,$E:$E,"P0(후)",$M:$M,"&gt;0")&lt;&gt;1,"",SUMIFS($I:$I,$C:$C,$C1798,$D:$D,$D1798,$E:$E,"P0(후)"))</f>
        <v/>
      </c>
      <c r="R1798" s="31">
        <f>IF(COUNTIFS($C:$C,$C1798,$D:$D,$D1798,$E:$E,"P0(후)",$M:$M,"&gt;0")&lt;&gt;1,"",SUMIFS($M:$M,$C:$C,$C1798,$D:$D,$D1798,$E:$E,"P0(후)"))</f>
        <v/>
      </c>
      <c r="S1798" s="31">
        <f>IF(N1798&lt;&gt;"OK","",P1798+(R1798-P1798)*(I1798-O1798)/(Q1798-O1798))</f>
        <v/>
      </c>
      <c r="T1798" s="31">
        <f>IF(OR(N1798&lt;&gt;"OK",NOT(ISNUMBER(M1798))),"",M1798-S1798)</f>
        <v/>
      </c>
      <c r="U1798" s="49">
        <f>IF(OR(NOT(ISNUMBER(T1798)),IF(ISNUMBER(H1798),H1798,G1798)=0),"",T1798/IF(ISNUMBER(H1798),H1798,G1798))</f>
        <v/>
      </c>
      <c r="V1798" s="49">
        <f>IF(ISNUMBER(U1798),ABS(U1798),"")</f>
        <v/>
      </c>
      <c r="W1798" s="49">
        <f>IF(OR($E1797&lt;&gt;"측정",$C1797&lt;&gt;$C1798,$D1797&lt;&gt;$D1798,NOT(ISNUMBER(M1798)),NOT(ISNUMBER(M1797)),(IF(ISNUMBER(H1798),H1798,G1798)-IF(ISNUMBER(H1797),H1797,G1797))=0),"",(M1798-M1797)/(IF(ISNUMBER(H1798),H1798,G1798)-IF(ISNUMBER(H1797),H1797,G1797)))</f>
        <v/>
      </c>
      <c r="X1798" s="31">
        <f>IF(NOT(AND(ISNUMBER(O1798),ISNUMBER(Q1798))),"",(Q1798-O1798)*1440)</f>
        <v/>
      </c>
      <c r="Y1798" s="29" t="n"/>
      <c r="Z1798" s="29" t="n"/>
      <c r="AA1798" s="29" t="n"/>
      <c r="AB1798" s="32" t="n"/>
      <c r="AC1798" s="32" t="n"/>
    </row>
    <row r="1799">
      <c r="A1799" s="44" t="inlineStr">
        <is>
          <t>S35</t>
        </is>
      </c>
      <c r="B1799" s="44" t="inlineStr">
        <is>
          <t>상주</t>
        </is>
      </c>
      <c r="C1799" s="44" t="inlineStr">
        <is>
          <t>S35-H서</t>
        </is>
      </c>
      <c r="D1799" s="45" t="n">
        <v>1</v>
      </c>
      <c r="E1799" s="44" t="inlineStr">
        <is>
          <t>P0(후)</t>
        </is>
      </c>
      <c r="F1799" s="44" t="inlineStr">
        <is>
          <t>서</t>
        </is>
      </c>
      <c r="G1799" s="46" t="n"/>
      <c r="H1799" s="30" t="n"/>
      <c r="I1799" s="43" t="n"/>
      <c r="J1799" s="41" t="n"/>
      <c r="K1799" s="41" t="n"/>
      <c r="L1799" s="41" t="n"/>
      <c r="M1799" s="31">
        <f>IF(COUNT(J1799:L1799)=0,"",MEDIAN(J1799:L1799))</f>
        <v/>
      </c>
      <c r="N1799" s="38" t="n"/>
      <c r="O1799" s="38" t="n"/>
      <c r="P1799" s="38" t="n"/>
      <c r="Q1799" s="38" t="n"/>
      <c r="R1799" s="38" t="n"/>
      <c r="S1799" s="38" t="n"/>
      <c r="T1799" s="38" t="n"/>
      <c r="U1799" s="38" t="n"/>
      <c r="V1799" s="38" t="n"/>
      <c r="W1799" s="38" t="n"/>
      <c r="X1799" s="38" t="n"/>
      <c r="Y1799" s="29" t="n"/>
      <c r="Z1799" s="29" t="n"/>
      <c r="AA1799" s="29" t="n"/>
      <c r="AB1799" s="32" t="n"/>
      <c r="AC1799" s="32" t="n"/>
    </row>
    <row r="1800">
      <c r="A1800" s="44" t="inlineStr">
        <is>
          <t>S35</t>
        </is>
      </c>
      <c r="B1800" s="44" t="inlineStr">
        <is>
          <t>상주</t>
        </is>
      </c>
      <c r="C1800" s="44" t="inlineStr">
        <is>
          <t>S35-H남</t>
        </is>
      </c>
      <c r="D1800" s="45" t="n">
        <v>1</v>
      </c>
      <c r="E1800" s="44" t="inlineStr">
        <is>
          <t>P0(전)</t>
        </is>
      </c>
      <c r="F1800" s="44" t="inlineStr">
        <is>
          <t>남</t>
        </is>
      </c>
      <c r="G1800" s="46" t="n"/>
      <c r="H1800" s="30" t="n"/>
      <c r="I1800" s="43" t="n"/>
      <c r="J1800" s="41" t="n"/>
      <c r="K1800" s="41" t="n"/>
      <c r="L1800" s="41" t="n"/>
      <c r="M1800" s="31">
        <f>IF(COUNT(J1800:L1800)=0,"",MEDIAN(J1800:L1800))</f>
        <v/>
      </c>
      <c r="N1800" s="38" t="n"/>
      <c r="O1800" s="38" t="n"/>
      <c r="P1800" s="38" t="n"/>
      <c r="Q1800" s="38" t="n"/>
      <c r="R1800" s="38" t="n"/>
      <c r="S1800" s="38" t="n"/>
      <c r="T1800" s="38" t="n"/>
      <c r="U1800" s="38" t="n"/>
      <c r="V1800" s="38" t="n"/>
      <c r="W1800" s="38" t="n"/>
      <c r="X1800" s="38" t="n"/>
      <c r="Y1800" s="29" t="n"/>
      <c r="Z1800" s="29" t="n"/>
      <c r="AA1800" s="29" t="n"/>
      <c r="AB1800" s="32" t="n"/>
      <c r="AC1800" s="32" t="n"/>
    </row>
    <row r="1801">
      <c r="A1801" s="26" t="inlineStr">
        <is>
          <t>S35</t>
        </is>
      </c>
      <c r="B1801" s="26" t="inlineStr">
        <is>
          <t>상주</t>
        </is>
      </c>
      <c r="C1801" s="26" t="inlineStr">
        <is>
          <t>S35-H남</t>
        </is>
      </c>
      <c r="D1801" s="47" t="n">
        <v>1</v>
      </c>
      <c r="E1801" s="26" t="inlineStr">
        <is>
          <t>측정</t>
        </is>
      </c>
      <c r="F1801" s="26" t="inlineStr">
        <is>
          <t>남</t>
        </is>
      </c>
      <c r="G1801" s="31" t="n">
        <v>0.5</v>
      </c>
      <c r="H1801" s="30" t="n"/>
      <c r="I1801" s="43" t="n"/>
      <c r="J1801" s="41" t="n"/>
      <c r="K1801" s="41" t="n"/>
      <c r="L1801" s="41" t="n"/>
      <c r="M1801" s="31">
        <f>IF(COUNT(J1801:L1801)=0,"",MEDIAN(J1801:L1801))</f>
        <v/>
      </c>
      <c r="N1801" s="26">
        <f>IF(COUNTIFS($C:$C,$C1801,$D:$D,$D1801,$E:$E,"P0(전)",$M:$M,"&gt;0")&lt;&gt;1,"P0(전) 유효 1개 아님",IF(COUNTIFS($C:$C,$C1801,$D:$D,$D1801,$E:$E,"P0(후)",$M:$M,"&gt;0")&lt;&gt;1,"P0(후) 유효 1개 아님",IF(NOT(AND(ISNUMBER(O1801),ISNUMBER(Q1801),ISNUMBER(I1801))),"시각 결측",IF(Q1801&lt;=O1801,"P0 시각 역전",IF(OR(I1801&lt;O1801,I1801&gt;Q1801),"측정시각 구간 밖","OK")))))</f>
        <v/>
      </c>
      <c r="O1801" s="48">
        <f>IF(COUNTIFS($C:$C,$C1801,$D:$D,$D1801,$E:$E,"P0(전)",$M:$M,"&gt;0")&lt;&gt;1,"",SUMIFS($I:$I,$C:$C,$C1801,$D:$D,$D1801,$E:$E,"P0(전)"))</f>
        <v/>
      </c>
      <c r="P1801" s="31">
        <f>IF(COUNTIFS($C:$C,$C1801,$D:$D,$D1801,$E:$E,"P0(전)",$M:$M,"&gt;0")&lt;&gt;1,"",SUMIFS($M:$M,$C:$C,$C1801,$D:$D,$D1801,$E:$E,"P0(전)"))</f>
        <v/>
      </c>
      <c r="Q1801" s="48">
        <f>IF(COUNTIFS($C:$C,$C1801,$D:$D,$D1801,$E:$E,"P0(후)",$M:$M,"&gt;0")&lt;&gt;1,"",SUMIFS($I:$I,$C:$C,$C1801,$D:$D,$D1801,$E:$E,"P0(후)"))</f>
        <v/>
      </c>
      <c r="R1801" s="31">
        <f>IF(COUNTIFS($C:$C,$C1801,$D:$D,$D1801,$E:$E,"P0(후)",$M:$M,"&gt;0")&lt;&gt;1,"",SUMIFS($M:$M,$C:$C,$C1801,$D:$D,$D1801,$E:$E,"P0(후)"))</f>
        <v/>
      </c>
      <c r="S1801" s="31">
        <f>IF(N1801&lt;&gt;"OK","",P1801+(R1801-P1801)*(I1801-O1801)/(Q1801-O1801))</f>
        <v/>
      </c>
      <c r="T1801" s="31">
        <f>IF(OR(N1801&lt;&gt;"OK",NOT(ISNUMBER(M1801))),"",M1801-S1801)</f>
        <v/>
      </c>
      <c r="U1801" s="49">
        <f>IF(OR(NOT(ISNUMBER(T1801)),IF(ISNUMBER(H1801),H1801,G1801)=0),"",T1801/IF(ISNUMBER(H1801),H1801,G1801))</f>
        <v/>
      </c>
      <c r="V1801" s="49">
        <f>IF(ISNUMBER(U1801),ABS(U1801),"")</f>
        <v/>
      </c>
      <c r="W1801" s="49">
        <f>IF(OR($E1800&lt;&gt;"측정",$C1800&lt;&gt;$C1801,$D1800&lt;&gt;$D1801,NOT(ISNUMBER(M1801)),NOT(ISNUMBER(M1800)),(IF(ISNUMBER(H1801),H1801,G1801)-IF(ISNUMBER(H1800),H1800,G1800))=0),"",(M1801-M1800)/(IF(ISNUMBER(H1801),H1801,G1801)-IF(ISNUMBER(H1800),H1800,G1800)))</f>
        <v/>
      </c>
      <c r="X1801" s="31">
        <f>IF(NOT(AND(ISNUMBER(O1801),ISNUMBER(Q1801))),"",(Q1801-O1801)*1440)</f>
        <v/>
      </c>
      <c r="Y1801" s="29" t="n"/>
      <c r="Z1801" s="29" t="n"/>
      <c r="AA1801" s="29" t="n"/>
      <c r="AB1801" s="32" t="n"/>
      <c r="AC1801" s="32" t="n"/>
    </row>
    <row r="1802">
      <c r="A1802" s="26" t="inlineStr">
        <is>
          <t>S35</t>
        </is>
      </c>
      <c r="B1802" s="26" t="inlineStr">
        <is>
          <t>상주</t>
        </is>
      </c>
      <c r="C1802" s="26" t="inlineStr">
        <is>
          <t>S35-H남</t>
        </is>
      </c>
      <c r="D1802" s="47" t="n">
        <v>1</v>
      </c>
      <c r="E1802" s="26" t="inlineStr">
        <is>
          <t>측정</t>
        </is>
      </c>
      <c r="F1802" s="26" t="inlineStr">
        <is>
          <t>남</t>
        </is>
      </c>
      <c r="G1802" s="31" t="n">
        <v>1</v>
      </c>
      <c r="H1802" s="30" t="n"/>
      <c r="I1802" s="43" t="n"/>
      <c r="J1802" s="41" t="n"/>
      <c r="K1802" s="41" t="n"/>
      <c r="L1802" s="41" t="n"/>
      <c r="M1802" s="31">
        <f>IF(COUNT(J1802:L1802)=0,"",MEDIAN(J1802:L1802))</f>
        <v/>
      </c>
      <c r="N1802" s="26">
        <f>IF(COUNTIFS($C:$C,$C1802,$D:$D,$D1802,$E:$E,"P0(전)",$M:$M,"&gt;0")&lt;&gt;1,"P0(전) 유효 1개 아님",IF(COUNTIFS($C:$C,$C1802,$D:$D,$D1802,$E:$E,"P0(후)",$M:$M,"&gt;0")&lt;&gt;1,"P0(후) 유효 1개 아님",IF(NOT(AND(ISNUMBER(O1802),ISNUMBER(Q1802),ISNUMBER(I1802))),"시각 결측",IF(Q1802&lt;=O1802,"P0 시각 역전",IF(OR(I1802&lt;O1802,I1802&gt;Q1802),"측정시각 구간 밖","OK")))))</f>
        <v/>
      </c>
      <c r="O1802" s="48">
        <f>IF(COUNTIFS($C:$C,$C1802,$D:$D,$D1802,$E:$E,"P0(전)",$M:$M,"&gt;0")&lt;&gt;1,"",SUMIFS($I:$I,$C:$C,$C1802,$D:$D,$D1802,$E:$E,"P0(전)"))</f>
        <v/>
      </c>
      <c r="P1802" s="31">
        <f>IF(COUNTIFS($C:$C,$C1802,$D:$D,$D1802,$E:$E,"P0(전)",$M:$M,"&gt;0")&lt;&gt;1,"",SUMIFS($M:$M,$C:$C,$C1802,$D:$D,$D1802,$E:$E,"P0(전)"))</f>
        <v/>
      </c>
      <c r="Q1802" s="48">
        <f>IF(COUNTIFS($C:$C,$C1802,$D:$D,$D1802,$E:$E,"P0(후)",$M:$M,"&gt;0")&lt;&gt;1,"",SUMIFS($I:$I,$C:$C,$C1802,$D:$D,$D1802,$E:$E,"P0(후)"))</f>
        <v/>
      </c>
      <c r="R1802" s="31">
        <f>IF(COUNTIFS($C:$C,$C1802,$D:$D,$D1802,$E:$E,"P0(후)",$M:$M,"&gt;0")&lt;&gt;1,"",SUMIFS($M:$M,$C:$C,$C1802,$D:$D,$D1802,$E:$E,"P0(후)"))</f>
        <v/>
      </c>
      <c r="S1802" s="31">
        <f>IF(N1802&lt;&gt;"OK","",P1802+(R1802-P1802)*(I1802-O1802)/(Q1802-O1802))</f>
        <v/>
      </c>
      <c r="T1802" s="31">
        <f>IF(OR(N1802&lt;&gt;"OK",NOT(ISNUMBER(M1802))),"",M1802-S1802)</f>
        <v/>
      </c>
      <c r="U1802" s="49">
        <f>IF(OR(NOT(ISNUMBER(T1802)),IF(ISNUMBER(H1802),H1802,G1802)=0),"",T1802/IF(ISNUMBER(H1802),H1802,G1802))</f>
        <v/>
      </c>
      <c r="V1802" s="49">
        <f>IF(ISNUMBER(U1802),ABS(U1802),"")</f>
        <v/>
      </c>
      <c r="W1802" s="49">
        <f>IF(OR($E1801&lt;&gt;"측정",$C1801&lt;&gt;$C1802,$D1801&lt;&gt;$D1802,NOT(ISNUMBER(M1802)),NOT(ISNUMBER(M1801)),(IF(ISNUMBER(H1802),H1802,G1802)-IF(ISNUMBER(H1801),H1801,G1801))=0),"",(M1802-M1801)/(IF(ISNUMBER(H1802),H1802,G1802)-IF(ISNUMBER(H1801),H1801,G1801)))</f>
        <v/>
      </c>
      <c r="X1802" s="31">
        <f>IF(NOT(AND(ISNUMBER(O1802),ISNUMBER(Q1802))),"",(Q1802-O1802)*1440)</f>
        <v/>
      </c>
      <c r="Y1802" s="29" t="n"/>
      <c r="Z1802" s="29" t="n"/>
      <c r="AA1802" s="29" t="n"/>
      <c r="AB1802" s="32" t="n"/>
      <c r="AC1802" s="32" t="n"/>
    </row>
    <row r="1803">
      <c r="A1803" s="26" t="inlineStr">
        <is>
          <t>S35</t>
        </is>
      </c>
      <c r="B1803" s="26" t="inlineStr">
        <is>
          <t>상주</t>
        </is>
      </c>
      <c r="C1803" s="26" t="inlineStr">
        <is>
          <t>S35-H남</t>
        </is>
      </c>
      <c r="D1803" s="47" t="n">
        <v>1</v>
      </c>
      <c r="E1803" s="26" t="inlineStr">
        <is>
          <t>측정</t>
        </is>
      </c>
      <c r="F1803" s="26" t="inlineStr">
        <is>
          <t>남</t>
        </is>
      </c>
      <c r="G1803" s="31" t="n">
        <v>2</v>
      </c>
      <c r="H1803" s="30" t="n"/>
      <c r="I1803" s="43" t="n"/>
      <c r="J1803" s="41" t="n"/>
      <c r="K1803" s="41" t="n"/>
      <c r="L1803" s="41" t="n"/>
      <c r="M1803" s="31">
        <f>IF(COUNT(J1803:L1803)=0,"",MEDIAN(J1803:L1803))</f>
        <v/>
      </c>
      <c r="N1803" s="26">
        <f>IF(COUNTIFS($C:$C,$C1803,$D:$D,$D1803,$E:$E,"P0(전)",$M:$M,"&gt;0")&lt;&gt;1,"P0(전) 유효 1개 아님",IF(COUNTIFS($C:$C,$C1803,$D:$D,$D1803,$E:$E,"P0(후)",$M:$M,"&gt;0")&lt;&gt;1,"P0(후) 유효 1개 아님",IF(NOT(AND(ISNUMBER(O1803),ISNUMBER(Q1803),ISNUMBER(I1803))),"시각 결측",IF(Q1803&lt;=O1803,"P0 시각 역전",IF(OR(I1803&lt;O1803,I1803&gt;Q1803),"측정시각 구간 밖","OK")))))</f>
        <v/>
      </c>
      <c r="O1803" s="48">
        <f>IF(COUNTIFS($C:$C,$C1803,$D:$D,$D1803,$E:$E,"P0(전)",$M:$M,"&gt;0")&lt;&gt;1,"",SUMIFS($I:$I,$C:$C,$C1803,$D:$D,$D1803,$E:$E,"P0(전)"))</f>
        <v/>
      </c>
      <c r="P1803" s="31">
        <f>IF(COUNTIFS($C:$C,$C1803,$D:$D,$D1803,$E:$E,"P0(전)",$M:$M,"&gt;0")&lt;&gt;1,"",SUMIFS($M:$M,$C:$C,$C1803,$D:$D,$D1803,$E:$E,"P0(전)"))</f>
        <v/>
      </c>
      <c r="Q1803" s="48">
        <f>IF(COUNTIFS($C:$C,$C1803,$D:$D,$D1803,$E:$E,"P0(후)",$M:$M,"&gt;0")&lt;&gt;1,"",SUMIFS($I:$I,$C:$C,$C1803,$D:$D,$D1803,$E:$E,"P0(후)"))</f>
        <v/>
      </c>
      <c r="R1803" s="31">
        <f>IF(COUNTIFS($C:$C,$C1803,$D:$D,$D1803,$E:$E,"P0(후)",$M:$M,"&gt;0")&lt;&gt;1,"",SUMIFS($M:$M,$C:$C,$C1803,$D:$D,$D1803,$E:$E,"P0(후)"))</f>
        <v/>
      </c>
      <c r="S1803" s="31">
        <f>IF(N1803&lt;&gt;"OK","",P1803+(R1803-P1803)*(I1803-O1803)/(Q1803-O1803))</f>
        <v/>
      </c>
      <c r="T1803" s="31">
        <f>IF(OR(N1803&lt;&gt;"OK",NOT(ISNUMBER(M1803))),"",M1803-S1803)</f>
        <v/>
      </c>
      <c r="U1803" s="49">
        <f>IF(OR(NOT(ISNUMBER(T1803)),IF(ISNUMBER(H1803),H1803,G1803)=0),"",T1803/IF(ISNUMBER(H1803),H1803,G1803))</f>
        <v/>
      </c>
      <c r="V1803" s="49">
        <f>IF(ISNUMBER(U1803),ABS(U1803),"")</f>
        <v/>
      </c>
      <c r="W1803" s="49">
        <f>IF(OR($E1802&lt;&gt;"측정",$C1802&lt;&gt;$C1803,$D1802&lt;&gt;$D1803,NOT(ISNUMBER(M1803)),NOT(ISNUMBER(M1802)),(IF(ISNUMBER(H1803),H1803,G1803)-IF(ISNUMBER(H1802),H1802,G1802))=0),"",(M1803-M1802)/(IF(ISNUMBER(H1803),H1803,G1803)-IF(ISNUMBER(H1802),H1802,G1802)))</f>
        <v/>
      </c>
      <c r="X1803" s="31">
        <f>IF(NOT(AND(ISNUMBER(O1803),ISNUMBER(Q1803))),"",(Q1803-O1803)*1440)</f>
        <v/>
      </c>
      <c r="Y1803" s="29" t="n"/>
      <c r="Z1803" s="29" t="n"/>
      <c r="AA1803" s="29" t="n"/>
      <c r="AB1803" s="32" t="n"/>
      <c r="AC1803" s="32" t="n"/>
    </row>
    <row r="1804">
      <c r="A1804" s="26" t="inlineStr">
        <is>
          <t>S35</t>
        </is>
      </c>
      <c r="B1804" s="26" t="inlineStr">
        <is>
          <t>상주</t>
        </is>
      </c>
      <c r="C1804" s="26" t="inlineStr">
        <is>
          <t>S35-H남</t>
        </is>
      </c>
      <c r="D1804" s="47" t="n">
        <v>1</v>
      </c>
      <c r="E1804" s="26" t="inlineStr">
        <is>
          <t>측정</t>
        </is>
      </c>
      <c r="F1804" s="26" t="inlineStr">
        <is>
          <t>남</t>
        </is>
      </c>
      <c r="G1804" s="31" t="n">
        <v>3</v>
      </c>
      <c r="H1804" s="30" t="n"/>
      <c r="I1804" s="43" t="n"/>
      <c r="J1804" s="41" t="n"/>
      <c r="K1804" s="41" t="n"/>
      <c r="L1804" s="41" t="n"/>
      <c r="M1804" s="31">
        <f>IF(COUNT(J1804:L1804)=0,"",MEDIAN(J1804:L1804))</f>
        <v/>
      </c>
      <c r="N1804" s="26">
        <f>IF(COUNTIFS($C:$C,$C1804,$D:$D,$D1804,$E:$E,"P0(전)",$M:$M,"&gt;0")&lt;&gt;1,"P0(전) 유효 1개 아님",IF(COUNTIFS($C:$C,$C1804,$D:$D,$D1804,$E:$E,"P0(후)",$M:$M,"&gt;0")&lt;&gt;1,"P0(후) 유효 1개 아님",IF(NOT(AND(ISNUMBER(O1804),ISNUMBER(Q1804),ISNUMBER(I1804))),"시각 결측",IF(Q1804&lt;=O1804,"P0 시각 역전",IF(OR(I1804&lt;O1804,I1804&gt;Q1804),"측정시각 구간 밖","OK")))))</f>
        <v/>
      </c>
      <c r="O1804" s="48">
        <f>IF(COUNTIFS($C:$C,$C1804,$D:$D,$D1804,$E:$E,"P0(전)",$M:$M,"&gt;0")&lt;&gt;1,"",SUMIFS($I:$I,$C:$C,$C1804,$D:$D,$D1804,$E:$E,"P0(전)"))</f>
        <v/>
      </c>
      <c r="P1804" s="31">
        <f>IF(COUNTIFS($C:$C,$C1804,$D:$D,$D1804,$E:$E,"P0(전)",$M:$M,"&gt;0")&lt;&gt;1,"",SUMIFS($M:$M,$C:$C,$C1804,$D:$D,$D1804,$E:$E,"P0(전)"))</f>
        <v/>
      </c>
      <c r="Q1804" s="48">
        <f>IF(COUNTIFS($C:$C,$C1804,$D:$D,$D1804,$E:$E,"P0(후)",$M:$M,"&gt;0")&lt;&gt;1,"",SUMIFS($I:$I,$C:$C,$C1804,$D:$D,$D1804,$E:$E,"P0(후)"))</f>
        <v/>
      </c>
      <c r="R1804" s="31">
        <f>IF(COUNTIFS($C:$C,$C1804,$D:$D,$D1804,$E:$E,"P0(후)",$M:$M,"&gt;0")&lt;&gt;1,"",SUMIFS($M:$M,$C:$C,$C1804,$D:$D,$D1804,$E:$E,"P0(후)"))</f>
        <v/>
      </c>
      <c r="S1804" s="31">
        <f>IF(N1804&lt;&gt;"OK","",P1804+(R1804-P1804)*(I1804-O1804)/(Q1804-O1804))</f>
        <v/>
      </c>
      <c r="T1804" s="31">
        <f>IF(OR(N1804&lt;&gt;"OK",NOT(ISNUMBER(M1804))),"",M1804-S1804)</f>
        <v/>
      </c>
      <c r="U1804" s="49">
        <f>IF(OR(NOT(ISNUMBER(T1804)),IF(ISNUMBER(H1804),H1804,G1804)=0),"",T1804/IF(ISNUMBER(H1804),H1804,G1804))</f>
        <v/>
      </c>
      <c r="V1804" s="49">
        <f>IF(ISNUMBER(U1804),ABS(U1804),"")</f>
        <v/>
      </c>
      <c r="W1804" s="49">
        <f>IF(OR($E1803&lt;&gt;"측정",$C1803&lt;&gt;$C1804,$D1803&lt;&gt;$D1804,NOT(ISNUMBER(M1804)),NOT(ISNUMBER(M1803)),(IF(ISNUMBER(H1804),H1804,G1804)-IF(ISNUMBER(H1803),H1803,G1803))=0),"",(M1804-M1803)/(IF(ISNUMBER(H1804),H1804,G1804)-IF(ISNUMBER(H1803),H1803,G1803)))</f>
        <v/>
      </c>
      <c r="X1804" s="31">
        <f>IF(NOT(AND(ISNUMBER(O1804),ISNUMBER(Q1804))),"",(Q1804-O1804)*1440)</f>
        <v/>
      </c>
      <c r="Y1804" s="29" t="n"/>
      <c r="Z1804" s="29" t="n"/>
      <c r="AA1804" s="29" t="n"/>
      <c r="AB1804" s="32" t="n"/>
      <c r="AC1804" s="32" t="n"/>
    </row>
    <row r="1805">
      <c r="A1805" s="26" t="inlineStr">
        <is>
          <t>S35</t>
        </is>
      </c>
      <c r="B1805" s="26" t="inlineStr">
        <is>
          <t>상주</t>
        </is>
      </c>
      <c r="C1805" s="26" t="inlineStr">
        <is>
          <t>S35-H남</t>
        </is>
      </c>
      <c r="D1805" s="47" t="n">
        <v>1</v>
      </c>
      <c r="E1805" s="26" t="inlineStr">
        <is>
          <t>측정</t>
        </is>
      </c>
      <c r="F1805" s="26" t="inlineStr">
        <is>
          <t>남</t>
        </is>
      </c>
      <c r="G1805" s="31" t="n">
        <v>4</v>
      </c>
      <c r="H1805" s="30" t="n"/>
      <c r="I1805" s="43" t="n"/>
      <c r="J1805" s="41" t="n"/>
      <c r="K1805" s="41" t="n"/>
      <c r="L1805" s="41" t="n"/>
      <c r="M1805" s="31">
        <f>IF(COUNT(J1805:L1805)=0,"",MEDIAN(J1805:L1805))</f>
        <v/>
      </c>
      <c r="N1805" s="26">
        <f>IF(COUNTIFS($C:$C,$C1805,$D:$D,$D1805,$E:$E,"P0(전)",$M:$M,"&gt;0")&lt;&gt;1,"P0(전) 유효 1개 아님",IF(COUNTIFS($C:$C,$C1805,$D:$D,$D1805,$E:$E,"P0(후)",$M:$M,"&gt;0")&lt;&gt;1,"P0(후) 유효 1개 아님",IF(NOT(AND(ISNUMBER(O1805),ISNUMBER(Q1805),ISNUMBER(I1805))),"시각 결측",IF(Q1805&lt;=O1805,"P0 시각 역전",IF(OR(I1805&lt;O1805,I1805&gt;Q1805),"측정시각 구간 밖","OK")))))</f>
        <v/>
      </c>
      <c r="O1805" s="48">
        <f>IF(COUNTIFS($C:$C,$C1805,$D:$D,$D1805,$E:$E,"P0(전)",$M:$M,"&gt;0")&lt;&gt;1,"",SUMIFS($I:$I,$C:$C,$C1805,$D:$D,$D1805,$E:$E,"P0(전)"))</f>
        <v/>
      </c>
      <c r="P1805" s="31">
        <f>IF(COUNTIFS($C:$C,$C1805,$D:$D,$D1805,$E:$E,"P0(전)",$M:$M,"&gt;0")&lt;&gt;1,"",SUMIFS($M:$M,$C:$C,$C1805,$D:$D,$D1805,$E:$E,"P0(전)"))</f>
        <v/>
      </c>
      <c r="Q1805" s="48">
        <f>IF(COUNTIFS($C:$C,$C1805,$D:$D,$D1805,$E:$E,"P0(후)",$M:$M,"&gt;0")&lt;&gt;1,"",SUMIFS($I:$I,$C:$C,$C1805,$D:$D,$D1805,$E:$E,"P0(후)"))</f>
        <v/>
      </c>
      <c r="R1805" s="31">
        <f>IF(COUNTIFS($C:$C,$C1805,$D:$D,$D1805,$E:$E,"P0(후)",$M:$M,"&gt;0")&lt;&gt;1,"",SUMIFS($M:$M,$C:$C,$C1805,$D:$D,$D1805,$E:$E,"P0(후)"))</f>
        <v/>
      </c>
      <c r="S1805" s="31">
        <f>IF(N1805&lt;&gt;"OK","",P1805+(R1805-P1805)*(I1805-O1805)/(Q1805-O1805))</f>
        <v/>
      </c>
      <c r="T1805" s="31">
        <f>IF(OR(N1805&lt;&gt;"OK",NOT(ISNUMBER(M1805))),"",M1805-S1805)</f>
        <v/>
      </c>
      <c r="U1805" s="49">
        <f>IF(OR(NOT(ISNUMBER(T1805)),IF(ISNUMBER(H1805),H1805,G1805)=0),"",T1805/IF(ISNUMBER(H1805),H1805,G1805))</f>
        <v/>
      </c>
      <c r="V1805" s="49">
        <f>IF(ISNUMBER(U1805),ABS(U1805),"")</f>
        <v/>
      </c>
      <c r="W1805" s="49">
        <f>IF(OR($E1804&lt;&gt;"측정",$C1804&lt;&gt;$C1805,$D1804&lt;&gt;$D1805,NOT(ISNUMBER(M1805)),NOT(ISNUMBER(M1804)),(IF(ISNUMBER(H1805),H1805,G1805)-IF(ISNUMBER(H1804),H1804,G1804))=0),"",(M1805-M1804)/(IF(ISNUMBER(H1805),H1805,G1805)-IF(ISNUMBER(H1804),H1804,G1804)))</f>
        <v/>
      </c>
      <c r="X1805" s="31">
        <f>IF(NOT(AND(ISNUMBER(O1805),ISNUMBER(Q1805))),"",(Q1805-O1805)*1440)</f>
        <v/>
      </c>
      <c r="Y1805" s="29" t="n"/>
      <c r="Z1805" s="29" t="n"/>
      <c r="AA1805" s="29" t="n"/>
      <c r="AB1805" s="32" t="n"/>
      <c r="AC1805" s="32" t="n"/>
    </row>
    <row r="1806">
      <c r="A1806" s="26" t="inlineStr">
        <is>
          <t>S35</t>
        </is>
      </c>
      <c r="B1806" s="26" t="inlineStr">
        <is>
          <t>상주</t>
        </is>
      </c>
      <c r="C1806" s="26" t="inlineStr">
        <is>
          <t>S35-H남</t>
        </is>
      </c>
      <c r="D1806" s="47" t="n">
        <v>1</v>
      </c>
      <c r="E1806" s="26" t="inlineStr">
        <is>
          <t>측정</t>
        </is>
      </c>
      <c r="F1806" s="26" t="inlineStr">
        <is>
          <t>남</t>
        </is>
      </c>
      <c r="G1806" s="31" t="n">
        <v>5</v>
      </c>
      <c r="H1806" s="30" t="n"/>
      <c r="I1806" s="43" t="n"/>
      <c r="J1806" s="41" t="n"/>
      <c r="K1806" s="41" t="n"/>
      <c r="L1806" s="41" t="n"/>
      <c r="M1806" s="31">
        <f>IF(COUNT(J1806:L1806)=0,"",MEDIAN(J1806:L1806))</f>
        <v/>
      </c>
      <c r="N1806" s="26">
        <f>IF(COUNTIFS($C:$C,$C1806,$D:$D,$D1806,$E:$E,"P0(전)",$M:$M,"&gt;0")&lt;&gt;1,"P0(전) 유효 1개 아님",IF(COUNTIFS($C:$C,$C1806,$D:$D,$D1806,$E:$E,"P0(후)",$M:$M,"&gt;0")&lt;&gt;1,"P0(후) 유효 1개 아님",IF(NOT(AND(ISNUMBER(O1806),ISNUMBER(Q1806),ISNUMBER(I1806))),"시각 결측",IF(Q1806&lt;=O1806,"P0 시각 역전",IF(OR(I1806&lt;O1806,I1806&gt;Q1806),"측정시각 구간 밖","OK")))))</f>
        <v/>
      </c>
      <c r="O1806" s="48">
        <f>IF(COUNTIFS($C:$C,$C1806,$D:$D,$D1806,$E:$E,"P0(전)",$M:$M,"&gt;0")&lt;&gt;1,"",SUMIFS($I:$I,$C:$C,$C1806,$D:$D,$D1806,$E:$E,"P0(전)"))</f>
        <v/>
      </c>
      <c r="P1806" s="31">
        <f>IF(COUNTIFS($C:$C,$C1806,$D:$D,$D1806,$E:$E,"P0(전)",$M:$M,"&gt;0")&lt;&gt;1,"",SUMIFS($M:$M,$C:$C,$C1806,$D:$D,$D1806,$E:$E,"P0(전)"))</f>
        <v/>
      </c>
      <c r="Q1806" s="48">
        <f>IF(COUNTIFS($C:$C,$C1806,$D:$D,$D1806,$E:$E,"P0(후)",$M:$M,"&gt;0")&lt;&gt;1,"",SUMIFS($I:$I,$C:$C,$C1806,$D:$D,$D1806,$E:$E,"P0(후)"))</f>
        <v/>
      </c>
      <c r="R1806" s="31">
        <f>IF(COUNTIFS($C:$C,$C1806,$D:$D,$D1806,$E:$E,"P0(후)",$M:$M,"&gt;0")&lt;&gt;1,"",SUMIFS($M:$M,$C:$C,$C1806,$D:$D,$D1806,$E:$E,"P0(후)"))</f>
        <v/>
      </c>
      <c r="S1806" s="31">
        <f>IF(N1806&lt;&gt;"OK","",P1806+(R1806-P1806)*(I1806-O1806)/(Q1806-O1806))</f>
        <v/>
      </c>
      <c r="T1806" s="31">
        <f>IF(OR(N1806&lt;&gt;"OK",NOT(ISNUMBER(M1806))),"",M1806-S1806)</f>
        <v/>
      </c>
      <c r="U1806" s="49">
        <f>IF(OR(NOT(ISNUMBER(T1806)),IF(ISNUMBER(H1806),H1806,G1806)=0),"",T1806/IF(ISNUMBER(H1806),H1806,G1806))</f>
        <v/>
      </c>
      <c r="V1806" s="49">
        <f>IF(ISNUMBER(U1806),ABS(U1806),"")</f>
        <v/>
      </c>
      <c r="W1806" s="49">
        <f>IF(OR($E1805&lt;&gt;"측정",$C1805&lt;&gt;$C1806,$D1805&lt;&gt;$D1806,NOT(ISNUMBER(M1806)),NOT(ISNUMBER(M1805)),(IF(ISNUMBER(H1806),H1806,G1806)-IF(ISNUMBER(H1805),H1805,G1805))=0),"",(M1806-M1805)/(IF(ISNUMBER(H1806),H1806,G1806)-IF(ISNUMBER(H1805),H1805,G1805)))</f>
        <v/>
      </c>
      <c r="X1806" s="31">
        <f>IF(NOT(AND(ISNUMBER(O1806),ISNUMBER(Q1806))),"",(Q1806-O1806)*1440)</f>
        <v/>
      </c>
      <c r="Y1806" s="29" t="n"/>
      <c r="Z1806" s="29" t="n"/>
      <c r="AA1806" s="29" t="n"/>
      <c r="AB1806" s="32" t="n"/>
      <c r="AC1806" s="32" t="n"/>
    </row>
    <row r="1807">
      <c r="A1807" s="26" t="inlineStr">
        <is>
          <t>S35</t>
        </is>
      </c>
      <c r="B1807" s="26" t="inlineStr">
        <is>
          <t>상주</t>
        </is>
      </c>
      <c r="C1807" s="26" t="inlineStr">
        <is>
          <t>S35-H남</t>
        </is>
      </c>
      <c r="D1807" s="47" t="n">
        <v>1</v>
      </c>
      <c r="E1807" s="26" t="inlineStr">
        <is>
          <t>측정</t>
        </is>
      </c>
      <c r="F1807" s="26" t="inlineStr">
        <is>
          <t>남</t>
        </is>
      </c>
      <c r="G1807" s="31" t="n">
        <v>6</v>
      </c>
      <c r="H1807" s="30" t="n"/>
      <c r="I1807" s="43" t="n"/>
      <c r="J1807" s="41" t="n"/>
      <c r="K1807" s="41" t="n"/>
      <c r="L1807" s="41" t="n"/>
      <c r="M1807" s="31">
        <f>IF(COUNT(J1807:L1807)=0,"",MEDIAN(J1807:L1807))</f>
        <v/>
      </c>
      <c r="N1807" s="26">
        <f>IF(COUNTIFS($C:$C,$C1807,$D:$D,$D1807,$E:$E,"P0(전)",$M:$M,"&gt;0")&lt;&gt;1,"P0(전) 유효 1개 아님",IF(COUNTIFS($C:$C,$C1807,$D:$D,$D1807,$E:$E,"P0(후)",$M:$M,"&gt;0")&lt;&gt;1,"P0(후) 유효 1개 아님",IF(NOT(AND(ISNUMBER(O1807),ISNUMBER(Q1807),ISNUMBER(I1807))),"시각 결측",IF(Q1807&lt;=O1807,"P0 시각 역전",IF(OR(I1807&lt;O1807,I1807&gt;Q1807),"측정시각 구간 밖","OK")))))</f>
        <v/>
      </c>
      <c r="O1807" s="48">
        <f>IF(COUNTIFS($C:$C,$C1807,$D:$D,$D1807,$E:$E,"P0(전)",$M:$M,"&gt;0")&lt;&gt;1,"",SUMIFS($I:$I,$C:$C,$C1807,$D:$D,$D1807,$E:$E,"P0(전)"))</f>
        <v/>
      </c>
      <c r="P1807" s="31">
        <f>IF(COUNTIFS($C:$C,$C1807,$D:$D,$D1807,$E:$E,"P0(전)",$M:$M,"&gt;0")&lt;&gt;1,"",SUMIFS($M:$M,$C:$C,$C1807,$D:$D,$D1807,$E:$E,"P0(전)"))</f>
        <v/>
      </c>
      <c r="Q1807" s="48">
        <f>IF(COUNTIFS($C:$C,$C1807,$D:$D,$D1807,$E:$E,"P0(후)",$M:$M,"&gt;0")&lt;&gt;1,"",SUMIFS($I:$I,$C:$C,$C1807,$D:$D,$D1807,$E:$E,"P0(후)"))</f>
        <v/>
      </c>
      <c r="R1807" s="31">
        <f>IF(COUNTIFS($C:$C,$C1807,$D:$D,$D1807,$E:$E,"P0(후)",$M:$M,"&gt;0")&lt;&gt;1,"",SUMIFS($M:$M,$C:$C,$C1807,$D:$D,$D1807,$E:$E,"P0(후)"))</f>
        <v/>
      </c>
      <c r="S1807" s="31">
        <f>IF(N1807&lt;&gt;"OK","",P1807+(R1807-P1807)*(I1807-O1807)/(Q1807-O1807))</f>
        <v/>
      </c>
      <c r="T1807" s="31">
        <f>IF(OR(N1807&lt;&gt;"OK",NOT(ISNUMBER(M1807))),"",M1807-S1807)</f>
        <v/>
      </c>
      <c r="U1807" s="49">
        <f>IF(OR(NOT(ISNUMBER(T1807)),IF(ISNUMBER(H1807),H1807,G1807)=0),"",T1807/IF(ISNUMBER(H1807),H1807,G1807))</f>
        <v/>
      </c>
      <c r="V1807" s="49">
        <f>IF(ISNUMBER(U1807),ABS(U1807),"")</f>
        <v/>
      </c>
      <c r="W1807" s="49">
        <f>IF(OR($E1806&lt;&gt;"측정",$C1806&lt;&gt;$C1807,$D1806&lt;&gt;$D1807,NOT(ISNUMBER(M1807)),NOT(ISNUMBER(M1806)),(IF(ISNUMBER(H1807),H1807,G1807)-IF(ISNUMBER(H1806),H1806,G1806))=0),"",(M1807-M1806)/(IF(ISNUMBER(H1807),H1807,G1807)-IF(ISNUMBER(H1806),H1806,G1806)))</f>
        <v/>
      </c>
      <c r="X1807" s="31">
        <f>IF(NOT(AND(ISNUMBER(O1807),ISNUMBER(Q1807))),"",(Q1807-O1807)*1440)</f>
        <v/>
      </c>
      <c r="Y1807" s="29" t="n"/>
      <c r="Z1807" s="29" t="n"/>
      <c r="AA1807" s="29" t="n"/>
      <c r="AB1807" s="32" t="n"/>
      <c r="AC1807" s="32" t="n"/>
    </row>
    <row r="1808">
      <c r="A1808" s="26" t="inlineStr">
        <is>
          <t>S35</t>
        </is>
      </c>
      <c r="B1808" s="26" t="inlineStr">
        <is>
          <t>상주</t>
        </is>
      </c>
      <c r="C1808" s="26" t="inlineStr">
        <is>
          <t>S35-H남</t>
        </is>
      </c>
      <c r="D1808" s="47" t="n">
        <v>1</v>
      </c>
      <c r="E1808" s="26" t="inlineStr">
        <is>
          <t>측정</t>
        </is>
      </c>
      <c r="F1808" s="26" t="inlineStr">
        <is>
          <t>남</t>
        </is>
      </c>
      <c r="G1808" s="31" t="n">
        <v>7</v>
      </c>
      <c r="H1808" s="30" t="n"/>
      <c r="I1808" s="43" t="n"/>
      <c r="J1808" s="41" t="n"/>
      <c r="K1808" s="41" t="n"/>
      <c r="L1808" s="41" t="n"/>
      <c r="M1808" s="31">
        <f>IF(COUNT(J1808:L1808)=0,"",MEDIAN(J1808:L1808))</f>
        <v/>
      </c>
      <c r="N1808" s="26">
        <f>IF(COUNTIFS($C:$C,$C1808,$D:$D,$D1808,$E:$E,"P0(전)",$M:$M,"&gt;0")&lt;&gt;1,"P0(전) 유효 1개 아님",IF(COUNTIFS($C:$C,$C1808,$D:$D,$D1808,$E:$E,"P0(후)",$M:$M,"&gt;0")&lt;&gt;1,"P0(후) 유효 1개 아님",IF(NOT(AND(ISNUMBER(O1808),ISNUMBER(Q1808),ISNUMBER(I1808))),"시각 결측",IF(Q1808&lt;=O1808,"P0 시각 역전",IF(OR(I1808&lt;O1808,I1808&gt;Q1808),"측정시각 구간 밖","OK")))))</f>
        <v/>
      </c>
      <c r="O1808" s="48">
        <f>IF(COUNTIFS($C:$C,$C1808,$D:$D,$D1808,$E:$E,"P0(전)",$M:$M,"&gt;0")&lt;&gt;1,"",SUMIFS($I:$I,$C:$C,$C1808,$D:$D,$D1808,$E:$E,"P0(전)"))</f>
        <v/>
      </c>
      <c r="P1808" s="31">
        <f>IF(COUNTIFS($C:$C,$C1808,$D:$D,$D1808,$E:$E,"P0(전)",$M:$M,"&gt;0")&lt;&gt;1,"",SUMIFS($M:$M,$C:$C,$C1808,$D:$D,$D1808,$E:$E,"P0(전)"))</f>
        <v/>
      </c>
      <c r="Q1808" s="48">
        <f>IF(COUNTIFS($C:$C,$C1808,$D:$D,$D1808,$E:$E,"P0(후)",$M:$M,"&gt;0")&lt;&gt;1,"",SUMIFS($I:$I,$C:$C,$C1808,$D:$D,$D1808,$E:$E,"P0(후)"))</f>
        <v/>
      </c>
      <c r="R1808" s="31">
        <f>IF(COUNTIFS($C:$C,$C1808,$D:$D,$D1808,$E:$E,"P0(후)",$M:$M,"&gt;0")&lt;&gt;1,"",SUMIFS($M:$M,$C:$C,$C1808,$D:$D,$D1808,$E:$E,"P0(후)"))</f>
        <v/>
      </c>
      <c r="S1808" s="31">
        <f>IF(N1808&lt;&gt;"OK","",P1808+(R1808-P1808)*(I1808-O1808)/(Q1808-O1808))</f>
        <v/>
      </c>
      <c r="T1808" s="31">
        <f>IF(OR(N1808&lt;&gt;"OK",NOT(ISNUMBER(M1808))),"",M1808-S1808)</f>
        <v/>
      </c>
      <c r="U1808" s="49">
        <f>IF(OR(NOT(ISNUMBER(T1808)),IF(ISNUMBER(H1808),H1808,G1808)=0),"",T1808/IF(ISNUMBER(H1808),H1808,G1808))</f>
        <v/>
      </c>
      <c r="V1808" s="49">
        <f>IF(ISNUMBER(U1808),ABS(U1808),"")</f>
        <v/>
      </c>
      <c r="W1808" s="49">
        <f>IF(OR($E1807&lt;&gt;"측정",$C1807&lt;&gt;$C1808,$D1807&lt;&gt;$D1808,NOT(ISNUMBER(M1808)),NOT(ISNUMBER(M1807)),(IF(ISNUMBER(H1808),H1808,G1808)-IF(ISNUMBER(H1807),H1807,G1807))=0),"",(M1808-M1807)/(IF(ISNUMBER(H1808),H1808,G1808)-IF(ISNUMBER(H1807),H1807,G1807)))</f>
        <v/>
      </c>
      <c r="X1808" s="31">
        <f>IF(NOT(AND(ISNUMBER(O1808),ISNUMBER(Q1808))),"",(Q1808-O1808)*1440)</f>
        <v/>
      </c>
      <c r="Y1808" s="29" t="n"/>
      <c r="Z1808" s="29" t="n"/>
      <c r="AA1808" s="29" t="n"/>
      <c r="AB1808" s="32" t="n"/>
      <c r="AC1808" s="32" t="n"/>
    </row>
    <row r="1809">
      <c r="A1809" s="26" t="inlineStr">
        <is>
          <t>S35</t>
        </is>
      </c>
      <c r="B1809" s="26" t="inlineStr">
        <is>
          <t>상주</t>
        </is>
      </c>
      <c r="C1809" s="26" t="inlineStr">
        <is>
          <t>S35-H남</t>
        </is>
      </c>
      <c r="D1809" s="47" t="n">
        <v>1</v>
      </c>
      <c r="E1809" s="26" t="inlineStr">
        <is>
          <t>측정</t>
        </is>
      </c>
      <c r="F1809" s="26" t="inlineStr">
        <is>
          <t>남</t>
        </is>
      </c>
      <c r="G1809" s="31" t="n">
        <v>8</v>
      </c>
      <c r="H1809" s="30" t="n"/>
      <c r="I1809" s="43" t="n"/>
      <c r="J1809" s="41" t="n"/>
      <c r="K1809" s="41" t="n"/>
      <c r="L1809" s="41" t="n"/>
      <c r="M1809" s="31">
        <f>IF(COUNT(J1809:L1809)=0,"",MEDIAN(J1809:L1809))</f>
        <v/>
      </c>
      <c r="N1809" s="26">
        <f>IF(COUNTIFS($C:$C,$C1809,$D:$D,$D1809,$E:$E,"P0(전)",$M:$M,"&gt;0")&lt;&gt;1,"P0(전) 유효 1개 아님",IF(COUNTIFS($C:$C,$C1809,$D:$D,$D1809,$E:$E,"P0(후)",$M:$M,"&gt;0")&lt;&gt;1,"P0(후) 유효 1개 아님",IF(NOT(AND(ISNUMBER(O1809),ISNUMBER(Q1809),ISNUMBER(I1809))),"시각 결측",IF(Q1809&lt;=O1809,"P0 시각 역전",IF(OR(I1809&lt;O1809,I1809&gt;Q1809),"측정시각 구간 밖","OK")))))</f>
        <v/>
      </c>
      <c r="O1809" s="48">
        <f>IF(COUNTIFS($C:$C,$C1809,$D:$D,$D1809,$E:$E,"P0(전)",$M:$M,"&gt;0")&lt;&gt;1,"",SUMIFS($I:$I,$C:$C,$C1809,$D:$D,$D1809,$E:$E,"P0(전)"))</f>
        <v/>
      </c>
      <c r="P1809" s="31">
        <f>IF(COUNTIFS($C:$C,$C1809,$D:$D,$D1809,$E:$E,"P0(전)",$M:$M,"&gt;0")&lt;&gt;1,"",SUMIFS($M:$M,$C:$C,$C1809,$D:$D,$D1809,$E:$E,"P0(전)"))</f>
        <v/>
      </c>
      <c r="Q1809" s="48">
        <f>IF(COUNTIFS($C:$C,$C1809,$D:$D,$D1809,$E:$E,"P0(후)",$M:$M,"&gt;0")&lt;&gt;1,"",SUMIFS($I:$I,$C:$C,$C1809,$D:$D,$D1809,$E:$E,"P0(후)"))</f>
        <v/>
      </c>
      <c r="R1809" s="31">
        <f>IF(COUNTIFS($C:$C,$C1809,$D:$D,$D1809,$E:$E,"P0(후)",$M:$M,"&gt;0")&lt;&gt;1,"",SUMIFS($M:$M,$C:$C,$C1809,$D:$D,$D1809,$E:$E,"P0(후)"))</f>
        <v/>
      </c>
      <c r="S1809" s="31">
        <f>IF(N1809&lt;&gt;"OK","",P1809+(R1809-P1809)*(I1809-O1809)/(Q1809-O1809))</f>
        <v/>
      </c>
      <c r="T1809" s="31">
        <f>IF(OR(N1809&lt;&gt;"OK",NOT(ISNUMBER(M1809))),"",M1809-S1809)</f>
        <v/>
      </c>
      <c r="U1809" s="49">
        <f>IF(OR(NOT(ISNUMBER(T1809)),IF(ISNUMBER(H1809),H1809,G1809)=0),"",T1809/IF(ISNUMBER(H1809),H1809,G1809))</f>
        <v/>
      </c>
      <c r="V1809" s="49">
        <f>IF(ISNUMBER(U1809),ABS(U1809),"")</f>
        <v/>
      </c>
      <c r="W1809" s="49">
        <f>IF(OR($E1808&lt;&gt;"측정",$C1808&lt;&gt;$C1809,$D1808&lt;&gt;$D1809,NOT(ISNUMBER(M1809)),NOT(ISNUMBER(M1808)),(IF(ISNUMBER(H1809),H1809,G1809)-IF(ISNUMBER(H1808),H1808,G1808))=0),"",(M1809-M1808)/(IF(ISNUMBER(H1809),H1809,G1809)-IF(ISNUMBER(H1808),H1808,G1808)))</f>
        <v/>
      </c>
      <c r="X1809" s="31">
        <f>IF(NOT(AND(ISNUMBER(O1809),ISNUMBER(Q1809))),"",(Q1809-O1809)*1440)</f>
        <v/>
      </c>
      <c r="Y1809" s="29" t="n"/>
      <c r="Z1809" s="29" t="n"/>
      <c r="AA1809" s="29" t="n"/>
      <c r="AB1809" s="32" t="n"/>
      <c r="AC1809" s="32" t="n"/>
    </row>
    <row r="1810">
      <c r="A1810" s="26" t="inlineStr">
        <is>
          <t>S35</t>
        </is>
      </c>
      <c r="B1810" s="26" t="inlineStr">
        <is>
          <t>상주</t>
        </is>
      </c>
      <c r="C1810" s="26" t="inlineStr">
        <is>
          <t>S35-H남</t>
        </is>
      </c>
      <c r="D1810" s="47" t="n">
        <v>1</v>
      </c>
      <c r="E1810" s="26" t="inlineStr">
        <is>
          <t>측정</t>
        </is>
      </c>
      <c r="F1810" s="26" t="inlineStr">
        <is>
          <t>남</t>
        </is>
      </c>
      <c r="G1810" s="31" t="n">
        <v>9</v>
      </c>
      <c r="H1810" s="30" t="n"/>
      <c r="I1810" s="43" t="n"/>
      <c r="J1810" s="41" t="n"/>
      <c r="K1810" s="41" t="n"/>
      <c r="L1810" s="41" t="n"/>
      <c r="M1810" s="31">
        <f>IF(COUNT(J1810:L1810)=0,"",MEDIAN(J1810:L1810))</f>
        <v/>
      </c>
      <c r="N1810" s="26">
        <f>IF(COUNTIFS($C:$C,$C1810,$D:$D,$D1810,$E:$E,"P0(전)",$M:$M,"&gt;0")&lt;&gt;1,"P0(전) 유효 1개 아님",IF(COUNTIFS($C:$C,$C1810,$D:$D,$D1810,$E:$E,"P0(후)",$M:$M,"&gt;0")&lt;&gt;1,"P0(후) 유효 1개 아님",IF(NOT(AND(ISNUMBER(O1810),ISNUMBER(Q1810),ISNUMBER(I1810))),"시각 결측",IF(Q1810&lt;=O1810,"P0 시각 역전",IF(OR(I1810&lt;O1810,I1810&gt;Q1810),"측정시각 구간 밖","OK")))))</f>
        <v/>
      </c>
      <c r="O1810" s="48">
        <f>IF(COUNTIFS($C:$C,$C1810,$D:$D,$D1810,$E:$E,"P0(전)",$M:$M,"&gt;0")&lt;&gt;1,"",SUMIFS($I:$I,$C:$C,$C1810,$D:$D,$D1810,$E:$E,"P0(전)"))</f>
        <v/>
      </c>
      <c r="P1810" s="31">
        <f>IF(COUNTIFS($C:$C,$C1810,$D:$D,$D1810,$E:$E,"P0(전)",$M:$M,"&gt;0")&lt;&gt;1,"",SUMIFS($M:$M,$C:$C,$C1810,$D:$D,$D1810,$E:$E,"P0(전)"))</f>
        <v/>
      </c>
      <c r="Q1810" s="48">
        <f>IF(COUNTIFS($C:$C,$C1810,$D:$D,$D1810,$E:$E,"P0(후)",$M:$M,"&gt;0")&lt;&gt;1,"",SUMIFS($I:$I,$C:$C,$C1810,$D:$D,$D1810,$E:$E,"P0(후)"))</f>
        <v/>
      </c>
      <c r="R1810" s="31">
        <f>IF(COUNTIFS($C:$C,$C1810,$D:$D,$D1810,$E:$E,"P0(후)",$M:$M,"&gt;0")&lt;&gt;1,"",SUMIFS($M:$M,$C:$C,$C1810,$D:$D,$D1810,$E:$E,"P0(후)"))</f>
        <v/>
      </c>
      <c r="S1810" s="31">
        <f>IF(N1810&lt;&gt;"OK","",P1810+(R1810-P1810)*(I1810-O1810)/(Q1810-O1810))</f>
        <v/>
      </c>
      <c r="T1810" s="31">
        <f>IF(OR(N1810&lt;&gt;"OK",NOT(ISNUMBER(M1810))),"",M1810-S1810)</f>
        <v/>
      </c>
      <c r="U1810" s="49">
        <f>IF(OR(NOT(ISNUMBER(T1810)),IF(ISNUMBER(H1810),H1810,G1810)=0),"",T1810/IF(ISNUMBER(H1810),H1810,G1810))</f>
        <v/>
      </c>
      <c r="V1810" s="49">
        <f>IF(ISNUMBER(U1810),ABS(U1810),"")</f>
        <v/>
      </c>
      <c r="W1810" s="49">
        <f>IF(OR($E1809&lt;&gt;"측정",$C1809&lt;&gt;$C1810,$D1809&lt;&gt;$D1810,NOT(ISNUMBER(M1810)),NOT(ISNUMBER(M1809)),(IF(ISNUMBER(H1810),H1810,G1810)-IF(ISNUMBER(H1809),H1809,G1809))=0),"",(M1810-M1809)/(IF(ISNUMBER(H1810),H1810,G1810)-IF(ISNUMBER(H1809),H1809,G1809)))</f>
        <v/>
      </c>
      <c r="X1810" s="31">
        <f>IF(NOT(AND(ISNUMBER(O1810),ISNUMBER(Q1810))),"",(Q1810-O1810)*1440)</f>
        <v/>
      </c>
      <c r="Y1810" s="29" t="n"/>
      <c r="Z1810" s="29" t="n"/>
      <c r="AA1810" s="29" t="n"/>
      <c r="AB1810" s="32" t="n"/>
      <c r="AC1810" s="32" t="n"/>
    </row>
    <row r="1811">
      <c r="A1811" s="26" t="inlineStr">
        <is>
          <t>S35</t>
        </is>
      </c>
      <c r="B1811" s="26" t="inlineStr">
        <is>
          <t>상주</t>
        </is>
      </c>
      <c r="C1811" s="26" t="inlineStr">
        <is>
          <t>S35-H남</t>
        </is>
      </c>
      <c r="D1811" s="47" t="n">
        <v>1</v>
      </c>
      <c r="E1811" s="26" t="inlineStr">
        <is>
          <t>측정</t>
        </is>
      </c>
      <c r="F1811" s="26" t="inlineStr">
        <is>
          <t>남</t>
        </is>
      </c>
      <c r="G1811" s="31" t="n">
        <v>10</v>
      </c>
      <c r="H1811" s="30" t="n"/>
      <c r="I1811" s="43" t="n"/>
      <c r="J1811" s="41" t="n"/>
      <c r="K1811" s="41" t="n"/>
      <c r="L1811" s="41" t="n"/>
      <c r="M1811" s="31">
        <f>IF(COUNT(J1811:L1811)=0,"",MEDIAN(J1811:L1811))</f>
        <v/>
      </c>
      <c r="N1811" s="26">
        <f>IF(COUNTIFS($C:$C,$C1811,$D:$D,$D1811,$E:$E,"P0(전)",$M:$M,"&gt;0")&lt;&gt;1,"P0(전) 유효 1개 아님",IF(COUNTIFS($C:$C,$C1811,$D:$D,$D1811,$E:$E,"P0(후)",$M:$M,"&gt;0")&lt;&gt;1,"P0(후) 유효 1개 아님",IF(NOT(AND(ISNUMBER(O1811),ISNUMBER(Q1811),ISNUMBER(I1811))),"시각 결측",IF(Q1811&lt;=O1811,"P0 시각 역전",IF(OR(I1811&lt;O1811,I1811&gt;Q1811),"측정시각 구간 밖","OK")))))</f>
        <v/>
      </c>
      <c r="O1811" s="48">
        <f>IF(COUNTIFS($C:$C,$C1811,$D:$D,$D1811,$E:$E,"P0(전)",$M:$M,"&gt;0")&lt;&gt;1,"",SUMIFS($I:$I,$C:$C,$C1811,$D:$D,$D1811,$E:$E,"P0(전)"))</f>
        <v/>
      </c>
      <c r="P1811" s="31">
        <f>IF(COUNTIFS($C:$C,$C1811,$D:$D,$D1811,$E:$E,"P0(전)",$M:$M,"&gt;0")&lt;&gt;1,"",SUMIFS($M:$M,$C:$C,$C1811,$D:$D,$D1811,$E:$E,"P0(전)"))</f>
        <v/>
      </c>
      <c r="Q1811" s="48">
        <f>IF(COUNTIFS($C:$C,$C1811,$D:$D,$D1811,$E:$E,"P0(후)",$M:$M,"&gt;0")&lt;&gt;1,"",SUMIFS($I:$I,$C:$C,$C1811,$D:$D,$D1811,$E:$E,"P0(후)"))</f>
        <v/>
      </c>
      <c r="R1811" s="31">
        <f>IF(COUNTIFS($C:$C,$C1811,$D:$D,$D1811,$E:$E,"P0(후)",$M:$M,"&gt;0")&lt;&gt;1,"",SUMIFS($M:$M,$C:$C,$C1811,$D:$D,$D1811,$E:$E,"P0(후)"))</f>
        <v/>
      </c>
      <c r="S1811" s="31">
        <f>IF(N1811&lt;&gt;"OK","",P1811+(R1811-P1811)*(I1811-O1811)/(Q1811-O1811))</f>
        <v/>
      </c>
      <c r="T1811" s="31">
        <f>IF(OR(N1811&lt;&gt;"OK",NOT(ISNUMBER(M1811))),"",M1811-S1811)</f>
        <v/>
      </c>
      <c r="U1811" s="49">
        <f>IF(OR(NOT(ISNUMBER(T1811)),IF(ISNUMBER(H1811),H1811,G1811)=0),"",T1811/IF(ISNUMBER(H1811),H1811,G1811))</f>
        <v/>
      </c>
      <c r="V1811" s="49">
        <f>IF(ISNUMBER(U1811),ABS(U1811),"")</f>
        <v/>
      </c>
      <c r="W1811" s="49">
        <f>IF(OR($E1810&lt;&gt;"측정",$C1810&lt;&gt;$C1811,$D1810&lt;&gt;$D1811,NOT(ISNUMBER(M1811)),NOT(ISNUMBER(M1810)),(IF(ISNUMBER(H1811),H1811,G1811)-IF(ISNUMBER(H1810),H1810,G1810))=0),"",(M1811-M1810)/(IF(ISNUMBER(H1811),H1811,G1811)-IF(ISNUMBER(H1810),H1810,G1810)))</f>
        <v/>
      </c>
      <c r="X1811" s="31">
        <f>IF(NOT(AND(ISNUMBER(O1811),ISNUMBER(Q1811))),"",(Q1811-O1811)*1440)</f>
        <v/>
      </c>
      <c r="Y1811" s="29" t="n"/>
      <c r="Z1811" s="29" t="n"/>
      <c r="AA1811" s="29" t="n"/>
      <c r="AB1811" s="32" t="n"/>
      <c r="AC1811" s="32" t="n"/>
    </row>
    <row r="1812">
      <c r="A1812" s="44" t="inlineStr">
        <is>
          <t>S35</t>
        </is>
      </c>
      <c r="B1812" s="44" t="inlineStr">
        <is>
          <t>상주</t>
        </is>
      </c>
      <c r="C1812" s="44" t="inlineStr">
        <is>
          <t>S35-H남</t>
        </is>
      </c>
      <c r="D1812" s="45" t="n">
        <v>1</v>
      </c>
      <c r="E1812" s="44" t="inlineStr">
        <is>
          <t>P0(후)</t>
        </is>
      </c>
      <c r="F1812" s="44" t="inlineStr">
        <is>
          <t>남</t>
        </is>
      </c>
      <c r="G1812" s="46" t="n"/>
      <c r="H1812" s="30" t="n"/>
      <c r="I1812" s="43" t="n"/>
      <c r="J1812" s="41" t="n"/>
      <c r="K1812" s="41" t="n"/>
      <c r="L1812" s="41" t="n"/>
      <c r="M1812" s="31">
        <f>IF(COUNT(J1812:L1812)=0,"",MEDIAN(J1812:L1812))</f>
        <v/>
      </c>
      <c r="N1812" s="38" t="n"/>
      <c r="O1812" s="38" t="n"/>
      <c r="P1812" s="38" t="n"/>
      <c r="Q1812" s="38" t="n"/>
      <c r="R1812" s="38" t="n"/>
      <c r="S1812" s="38" t="n"/>
      <c r="T1812" s="38" t="n"/>
      <c r="U1812" s="38" t="n"/>
      <c r="V1812" s="38" t="n"/>
      <c r="W1812" s="38" t="n"/>
      <c r="X1812" s="38" t="n"/>
      <c r="Y1812" s="29" t="n"/>
      <c r="Z1812" s="29" t="n"/>
      <c r="AA1812" s="29" t="n"/>
      <c r="AB1812" s="32" t="n"/>
      <c r="AC1812" s="32" t="n"/>
    </row>
    <row r="1813">
      <c r="A1813" s="44" t="inlineStr">
        <is>
          <t>S35</t>
        </is>
      </c>
      <c r="B1813" s="44" t="inlineStr">
        <is>
          <t>상주</t>
        </is>
      </c>
      <c r="C1813" s="44" t="inlineStr">
        <is>
          <t>S35-H북</t>
        </is>
      </c>
      <c r="D1813" s="45" t="n">
        <v>1</v>
      </c>
      <c r="E1813" s="44" t="inlineStr">
        <is>
          <t>P0(전)</t>
        </is>
      </c>
      <c r="F1813" s="44" t="inlineStr">
        <is>
          <t>북</t>
        </is>
      </c>
      <c r="G1813" s="46" t="n"/>
      <c r="H1813" s="30" t="n"/>
      <c r="I1813" s="43" t="n"/>
      <c r="J1813" s="41" t="n"/>
      <c r="K1813" s="41" t="n"/>
      <c r="L1813" s="41" t="n"/>
      <c r="M1813" s="31">
        <f>IF(COUNT(J1813:L1813)=0,"",MEDIAN(J1813:L1813))</f>
        <v/>
      </c>
      <c r="N1813" s="38" t="n"/>
      <c r="O1813" s="38" t="n"/>
      <c r="P1813" s="38" t="n"/>
      <c r="Q1813" s="38" t="n"/>
      <c r="R1813" s="38" t="n"/>
      <c r="S1813" s="38" t="n"/>
      <c r="T1813" s="38" t="n"/>
      <c r="U1813" s="38" t="n"/>
      <c r="V1813" s="38" t="n"/>
      <c r="W1813" s="38" t="n"/>
      <c r="X1813" s="38" t="n"/>
      <c r="Y1813" s="29" t="n"/>
      <c r="Z1813" s="29" t="n"/>
      <c r="AA1813" s="29" t="n"/>
      <c r="AB1813" s="32" t="n"/>
      <c r="AC1813" s="32" t="n"/>
    </row>
    <row r="1814">
      <c r="A1814" s="26" t="inlineStr">
        <is>
          <t>S35</t>
        </is>
      </c>
      <c r="B1814" s="26" t="inlineStr">
        <is>
          <t>상주</t>
        </is>
      </c>
      <c r="C1814" s="26" t="inlineStr">
        <is>
          <t>S35-H북</t>
        </is>
      </c>
      <c r="D1814" s="47" t="n">
        <v>1</v>
      </c>
      <c r="E1814" s="26" t="inlineStr">
        <is>
          <t>측정</t>
        </is>
      </c>
      <c r="F1814" s="26" t="inlineStr">
        <is>
          <t>북</t>
        </is>
      </c>
      <c r="G1814" s="31" t="n">
        <v>0.5</v>
      </c>
      <c r="H1814" s="30" t="n"/>
      <c r="I1814" s="43" t="n"/>
      <c r="J1814" s="41" t="n"/>
      <c r="K1814" s="41" t="n"/>
      <c r="L1814" s="41" t="n"/>
      <c r="M1814" s="31">
        <f>IF(COUNT(J1814:L1814)=0,"",MEDIAN(J1814:L1814))</f>
        <v/>
      </c>
      <c r="N1814" s="26">
        <f>IF(COUNTIFS($C:$C,$C1814,$D:$D,$D1814,$E:$E,"P0(전)",$M:$M,"&gt;0")&lt;&gt;1,"P0(전) 유효 1개 아님",IF(COUNTIFS($C:$C,$C1814,$D:$D,$D1814,$E:$E,"P0(후)",$M:$M,"&gt;0")&lt;&gt;1,"P0(후) 유효 1개 아님",IF(NOT(AND(ISNUMBER(O1814),ISNUMBER(Q1814),ISNUMBER(I1814))),"시각 결측",IF(Q1814&lt;=O1814,"P0 시각 역전",IF(OR(I1814&lt;O1814,I1814&gt;Q1814),"측정시각 구간 밖","OK")))))</f>
        <v/>
      </c>
      <c r="O1814" s="48">
        <f>IF(COUNTIFS($C:$C,$C1814,$D:$D,$D1814,$E:$E,"P0(전)",$M:$M,"&gt;0")&lt;&gt;1,"",SUMIFS($I:$I,$C:$C,$C1814,$D:$D,$D1814,$E:$E,"P0(전)"))</f>
        <v/>
      </c>
      <c r="P1814" s="31">
        <f>IF(COUNTIFS($C:$C,$C1814,$D:$D,$D1814,$E:$E,"P0(전)",$M:$M,"&gt;0")&lt;&gt;1,"",SUMIFS($M:$M,$C:$C,$C1814,$D:$D,$D1814,$E:$E,"P0(전)"))</f>
        <v/>
      </c>
      <c r="Q1814" s="48">
        <f>IF(COUNTIFS($C:$C,$C1814,$D:$D,$D1814,$E:$E,"P0(후)",$M:$M,"&gt;0")&lt;&gt;1,"",SUMIFS($I:$I,$C:$C,$C1814,$D:$D,$D1814,$E:$E,"P0(후)"))</f>
        <v/>
      </c>
      <c r="R1814" s="31">
        <f>IF(COUNTIFS($C:$C,$C1814,$D:$D,$D1814,$E:$E,"P0(후)",$M:$M,"&gt;0")&lt;&gt;1,"",SUMIFS($M:$M,$C:$C,$C1814,$D:$D,$D1814,$E:$E,"P0(후)"))</f>
        <v/>
      </c>
      <c r="S1814" s="31">
        <f>IF(N1814&lt;&gt;"OK","",P1814+(R1814-P1814)*(I1814-O1814)/(Q1814-O1814))</f>
        <v/>
      </c>
      <c r="T1814" s="31">
        <f>IF(OR(N1814&lt;&gt;"OK",NOT(ISNUMBER(M1814))),"",M1814-S1814)</f>
        <v/>
      </c>
      <c r="U1814" s="49">
        <f>IF(OR(NOT(ISNUMBER(T1814)),IF(ISNUMBER(H1814),H1814,G1814)=0),"",T1814/IF(ISNUMBER(H1814),H1814,G1814))</f>
        <v/>
      </c>
      <c r="V1814" s="49">
        <f>IF(ISNUMBER(U1814),ABS(U1814),"")</f>
        <v/>
      </c>
      <c r="W1814" s="49">
        <f>IF(OR($E1813&lt;&gt;"측정",$C1813&lt;&gt;$C1814,$D1813&lt;&gt;$D1814,NOT(ISNUMBER(M1814)),NOT(ISNUMBER(M1813)),(IF(ISNUMBER(H1814),H1814,G1814)-IF(ISNUMBER(H1813),H1813,G1813))=0),"",(M1814-M1813)/(IF(ISNUMBER(H1814),H1814,G1814)-IF(ISNUMBER(H1813),H1813,G1813)))</f>
        <v/>
      </c>
      <c r="X1814" s="31">
        <f>IF(NOT(AND(ISNUMBER(O1814),ISNUMBER(Q1814))),"",(Q1814-O1814)*1440)</f>
        <v/>
      </c>
      <c r="Y1814" s="29" t="n"/>
      <c r="Z1814" s="29" t="n"/>
      <c r="AA1814" s="29" t="n"/>
      <c r="AB1814" s="32" t="n"/>
      <c r="AC1814" s="32" t="n"/>
    </row>
    <row r="1815">
      <c r="A1815" s="26" t="inlineStr">
        <is>
          <t>S35</t>
        </is>
      </c>
      <c r="B1815" s="26" t="inlineStr">
        <is>
          <t>상주</t>
        </is>
      </c>
      <c r="C1815" s="26" t="inlineStr">
        <is>
          <t>S35-H북</t>
        </is>
      </c>
      <c r="D1815" s="47" t="n">
        <v>1</v>
      </c>
      <c r="E1815" s="26" t="inlineStr">
        <is>
          <t>측정</t>
        </is>
      </c>
      <c r="F1815" s="26" t="inlineStr">
        <is>
          <t>북</t>
        </is>
      </c>
      <c r="G1815" s="31" t="n">
        <v>1</v>
      </c>
      <c r="H1815" s="30" t="n"/>
      <c r="I1815" s="43" t="n"/>
      <c r="J1815" s="41" t="n"/>
      <c r="K1815" s="41" t="n"/>
      <c r="L1815" s="41" t="n"/>
      <c r="M1815" s="31">
        <f>IF(COUNT(J1815:L1815)=0,"",MEDIAN(J1815:L1815))</f>
        <v/>
      </c>
      <c r="N1815" s="26">
        <f>IF(COUNTIFS($C:$C,$C1815,$D:$D,$D1815,$E:$E,"P0(전)",$M:$M,"&gt;0")&lt;&gt;1,"P0(전) 유효 1개 아님",IF(COUNTIFS($C:$C,$C1815,$D:$D,$D1815,$E:$E,"P0(후)",$M:$M,"&gt;0")&lt;&gt;1,"P0(후) 유효 1개 아님",IF(NOT(AND(ISNUMBER(O1815),ISNUMBER(Q1815),ISNUMBER(I1815))),"시각 결측",IF(Q1815&lt;=O1815,"P0 시각 역전",IF(OR(I1815&lt;O1815,I1815&gt;Q1815),"측정시각 구간 밖","OK")))))</f>
        <v/>
      </c>
      <c r="O1815" s="48">
        <f>IF(COUNTIFS($C:$C,$C1815,$D:$D,$D1815,$E:$E,"P0(전)",$M:$M,"&gt;0")&lt;&gt;1,"",SUMIFS($I:$I,$C:$C,$C1815,$D:$D,$D1815,$E:$E,"P0(전)"))</f>
        <v/>
      </c>
      <c r="P1815" s="31">
        <f>IF(COUNTIFS($C:$C,$C1815,$D:$D,$D1815,$E:$E,"P0(전)",$M:$M,"&gt;0")&lt;&gt;1,"",SUMIFS($M:$M,$C:$C,$C1815,$D:$D,$D1815,$E:$E,"P0(전)"))</f>
        <v/>
      </c>
      <c r="Q1815" s="48">
        <f>IF(COUNTIFS($C:$C,$C1815,$D:$D,$D1815,$E:$E,"P0(후)",$M:$M,"&gt;0")&lt;&gt;1,"",SUMIFS($I:$I,$C:$C,$C1815,$D:$D,$D1815,$E:$E,"P0(후)"))</f>
        <v/>
      </c>
      <c r="R1815" s="31">
        <f>IF(COUNTIFS($C:$C,$C1815,$D:$D,$D1815,$E:$E,"P0(후)",$M:$M,"&gt;0")&lt;&gt;1,"",SUMIFS($M:$M,$C:$C,$C1815,$D:$D,$D1815,$E:$E,"P0(후)"))</f>
        <v/>
      </c>
      <c r="S1815" s="31">
        <f>IF(N1815&lt;&gt;"OK","",P1815+(R1815-P1815)*(I1815-O1815)/(Q1815-O1815))</f>
        <v/>
      </c>
      <c r="T1815" s="31">
        <f>IF(OR(N1815&lt;&gt;"OK",NOT(ISNUMBER(M1815))),"",M1815-S1815)</f>
        <v/>
      </c>
      <c r="U1815" s="49">
        <f>IF(OR(NOT(ISNUMBER(T1815)),IF(ISNUMBER(H1815),H1815,G1815)=0),"",T1815/IF(ISNUMBER(H1815),H1815,G1815))</f>
        <v/>
      </c>
      <c r="V1815" s="49">
        <f>IF(ISNUMBER(U1815),ABS(U1815),"")</f>
        <v/>
      </c>
      <c r="W1815" s="49">
        <f>IF(OR($E1814&lt;&gt;"측정",$C1814&lt;&gt;$C1815,$D1814&lt;&gt;$D1815,NOT(ISNUMBER(M1815)),NOT(ISNUMBER(M1814)),(IF(ISNUMBER(H1815),H1815,G1815)-IF(ISNUMBER(H1814),H1814,G1814))=0),"",(M1815-M1814)/(IF(ISNUMBER(H1815),H1815,G1815)-IF(ISNUMBER(H1814),H1814,G1814)))</f>
        <v/>
      </c>
      <c r="X1815" s="31">
        <f>IF(NOT(AND(ISNUMBER(O1815),ISNUMBER(Q1815))),"",(Q1815-O1815)*1440)</f>
        <v/>
      </c>
      <c r="Y1815" s="29" t="n"/>
      <c r="Z1815" s="29" t="n"/>
      <c r="AA1815" s="29" t="n"/>
      <c r="AB1815" s="32" t="n"/>
      <c r="AC1815" s="32" t="n"/>
    </row>
    <row r="1816">
      <c r="A1816" s="26" t="inlineStr">
        <is>
          <t>S35</t>
        </is>
      </c>
      <c r="B1816" s="26" t="inlineStr">
        <is>
          <t>상주</t>
        </is>
      </c>
      <c r="C1816" s="26" t="inlineStr">
        <is>
          <t>S35-H북</t>
        </is>
      </c>
      <c r="D1816" s="47" t="n">
        <v>1</v>
      </c>
      <c r="E1816" s="26" t="inlineStr">
        <is>
          <t>측정</t>
        </is>
      </c>
      <c r="F1816" s="26" t="inlineStr">
        <is>
          <t>북</t>
        </is>
      </c>
      <c r="G1816" s="31" t="n">
        <v>2</v>
      </c>
      <c r="H1816" s="30" t="n"/>
      <c r="I1816" s="43" t="n"/>
      <c r="J1816" s="41" t="n"/>
      <c r="K1816" s="41" t="n"/>
      <c r="L1816" s="41" t="n"/>
      <c r="M1816" s="31">
        <f>IF(COUNT(J1816:L1816)=0,"",MEDIAN(J1816:L1816))</f>
        <v/>
      </c>
      <c r="N1816" s="26">
        <f>IF(COUNTIFS($C:$C,$C1816,$D:$D,$D1816,$E:$E,"P0(전)",$M:$M,"&gt;0")&lt;&gt;1,"P0(전) 유효 1개 아님",IF(COUNTIFS($C:$C,$C1816,$D:$D,$D1816,$E:$E,"P0(후)",$M:$M,"&gt;0")&lt;&gt;1,"P0(후) 유효 1개 아님",IF(NOT(AND(ISNUMBER(O1816),ISNUMBER(Q1816),ISNUMBER(I1816))),"시각 결측",IF(Q1816&lt;=O1816,"P0 시각 역전",IF(OR(I1816&lt;O1816,I1816&gt;Q1816),"측정시각 구간 밖","OK")))))</f>
        <v/>
      </c>
      <c r="O1816" s="48">
        <f>IF(COUNTIFS($C:$C,$C1816,$D:$D,$D1816,$E:$E,"P0(전)",$M:$M,"&gt;0")&lt;&gt;1,"",SUMIFS($I:$I,$C:$C,$C1816,$D:$D,$D1816,$E:$E,"P0(전)"))</f>
        <v/>
      </c>
      <c r="P1816" s="31">
        <f>IF(COUNTIFS($C:$C,$C1816,$D:$D,$D1816,$E:$E,"P0(전)",$M:$M,"&gt;0")&lt;&gt;1,"",SUMIFS($M:$M,$C:$C,$C1816,$D:$D,$D1816,$E:$E,"P0(전)"))</f>
        <v/>
      </c>
      <c r="Q1816" s="48">
        <f>IF(COUNTIFS($C:$C,$C1816,$D:$D,$D1816,$E:$E,"P0(후)",$M:$M,"&gt;0")&lt;&gt;1,"",SUMIFS($I:$I,$C:$C,$C1816,$D:$D,$D1816,$E:$E,"P0(후)"))</f>
        <v/>
      </c>
      <c r="R1816" s="31">
        <f>IF(COUNTIFS($C:$C,$C1816,$D:$D,$D1816,$E:$E,"P0(후)",$M:$M,"&gt;0")&lt;&gt;1,"",SUMIFS($M:$M,$C:$C,$C1816,$D:$D,$D1816,$E:$E,"P0(후)"))</f>
        <v/>
      </c>
      <c r="S1816" s="31">
        <f>IF(N1816&lt;&gt;"OK","",P1816+(R1816-P1816)*(I1816-O1816)/(Q1816-O1816))</f>
        <v/>
      </c>
      <c r="T1816" s="31">
        <f>IF(OR(N1816&lt;&gt;"OK",NOT(ISNUMBER(M1816))),"",M1816-S1816)</f>
        <v/>
      </c>
      <c r="U1816" s="49">
        <f>IF(OR(NOT(ISNUMBER(T1816)),IF(ISNUMBER(H1816),H1816,G1816)=0),"",T1816/IF(ISNUMBER(H1816),H1816,G1816))</f>
        <v/>
      </c>
      <c r="V1816" s="49">
        <f>IF(ISNUMBER(U1816),ABS(U1816),"")</f>
        <v/>
      </c>
      <c r="W1816" s="49">
        <f>IF(OR($E1815&lt;&gt;"측정",$C1815&lt;&gt;$C1816,$D1815&lt;&gt;$D1816,NOT(ISNUMBER(M1816)),NOT(ISNUMBER(M1815)),(IF(ISNUMBER(H1816),H1816,G1816)-IF(ISNUMBER(H1815),H1815,G1815))=0),"",(M1816-M1815)/(IF(ISNUMBER(H1816),H1816,G1816)-IF(ISNUMBER(H1815),H1815,G1815)))</f>
        <v/>
      </c>
      <c r="X1816" s="31">
        <f>IF(NOT(AND(ISNUMBER(O1816),ISNUMBER(Q1816))),"",(Q1816-O1816)*1440)</f>
        <v/>
      </c>
      <c r="Y1816" s="29" t="n"/>
      <c r="Z1816" s="29" t="n"/>
      <c r="AA1816" s="29" t="n"/>
      <c r="AB1816" s="32" t="n"/>
      <c r="AC1816" s="32" t="n"/>
    </row>
    <row r="1817">
      <c r="A1817" s="26" t="inlineStr">
        <is>
          <t>S35</t>
        </is>
      </c>
      <c r="B1817" s="26" t="inlineStr">
        <is>
          <t>상주</t>
        </is>
      </c>
      <c r="C1817" s="26" t="inlineStr">
        <is>
          <t>S35-H북</t>
        </is>
      </c>
      <c r="D1817" s="47" t="n">
        <v>1</v>
      </c>
      <c r="E1817" s="26" t="inlineStr">
        <is>
          <t>측정</t>
        </is>
      </c>
      <c r="F1817" s="26" t="inlineStr">
        <is>
          <t>북</t>
        </is>
      </c>
      <c r="G1817" s="31" t="n">
        <v>3</v>
      </c>
      <c r="H1817" s="30" t="n"/>
      <c r="I1817" s="43" t="n"/>
      <c r="J1817" s="41" t="n"/>
      <c r="K1817" s="41" t="n"/>
      <c r="L1817" s="41" t="n"/>
      <c r="M1817" s="31">
        <f>IF(COUNT(J1817:L1817)=0,"",MEDIAN(J1817:L1817))</f>
        <v/>
      </c>
      <c r="N1817" s="26">
        <f>IF(COUNTIFS($C:$C,$C1817,$D:$D,$D1817,$E:$E,"P0(전)",$M:$M,"&gt;0")&lt;&gt;1,"P0(전) 유효 1개 아님",IF(COUNTIFS($C:$C,$C1817,$D:$D,$D1817,$E:$E,"P0(후)",$M:$M,"&gt;0")&lt;&gt;1,"P0(후) 유효 1개 아님",IF(NOT(AND(ISNUMBER(O1817),ISNUMBER(Q1817),ISNUMBER(I1817))),"시각 결측",IF(Q1817&lt;=O1817,"P0 시각 역전",IF(OR(I1817&lt;O1817,I1817&gt;Q1817),"측정시각 구간 밖","OK")))))</f>
        <v/>
      </c>
      <c r="O1817" s="48">
        <f>IF(COUNTIFS($C:$C,$C1817,$D:$D,$D1817,$E:$E,"P0(전)",$M:$M,"&gt;0")&lt;&gt;1,"",SUMIFS($I:$I,$C:$C,$C1817,$D:$D,$D1817,$E:$E,"P0(전)"))</f>
        <v/>
      </c>
      <c r="P1817" s="31">
        <f>IF(COUNTIFS($C:$C,$C1817,$D:$D,$D1817,$E:$E,"P0(전)",$M:$M,"&gt;0")&lt;&gt;1,"",SUMIFS($M:$M,$C:$C,$C1817,$D:$D,$D1817,$E:$E,"P0(전)"))</f>
        <v/>
      </c>
      <c r="Q1817" s="48">
        <f>IF(COUNTIFS($C:$C,$C1817,$D:$D,$D1817,$E:$E,"P0(후)",$M:$M,"&gt;0")&lt;&gt;1,"",SUMIFS($I:$I,$C:$C,$C1817,$D:$D,$D1817,$E:$E,"P0(후)"))</f>
        <v/>
      </c>
      <c r="R1817" s="31">
        <f>IF(COUNTIFS($C:$C,$C1817,$D:$D,$D1817,$E:$E,"P0(후)",$M:$M,"&gt;0")&lt;&gt;1,"",SUMIFS($M:$M,$C:$C,$C1817,$D:$D,$D1817,$E:$E,"P0(후)"))</f>
        <v/>
      </c>
      <c r="S1817" s="31">
        <f>IF(N1817&lt;&gt;"OK","",P1817+(R1817-P1817)*(I1817-O1817)/(Q1817-O1817))</f>
        <v/>
      </c>
      <c r="T1817" s="31">
        <f>IF(OR(N1817&lt;&gt;"OK",NOT(ISNUMBER(M1817))),"",M1817-S1817)</f>
        <v/>
      </c>
      <c r="U1817" s="49">
        <f>IF(OR(NOT(ISNUMBER(T1817)),IF(ISNUMBER(H1817),H1817,G1817)=0),"",T1817/IF(ISNUMBER(H1817),H1817,G1817))</f>
        <v/>
      </c>
      <c r="V1817" s="49">
        <f>IF(ISNUMBER(U1817),ABS(U1817),"")</f>
        <v/>
      </c>
      <c r="W1817" s="49">
        <f>IF(OR($E1816&lt;&gt;"측정",$C1816&lt;&gt;$C1817,$D1816&lt;&gt;$D1817,NOT(ISNUMBER(M1817)),NOT(ISNUMBER(M1816)),(IF(ISNUMBER(H1817),H1817,G1817)-IF(ISNUMBER(H1816),H1816,G1816))=0),"",(M1817-M1816)/(IF(ISNUMBER(H1817),H1817,G1817)-IF(ISNUMBER(H1816),H1816,G1816)))</f>
        <v/>
      </c>
      <c r="X1817" s="31">
        <f>IF(NOT(AND(ISNUMBER(O1817),ISNUMBER(Q1817))),"",(Q1817-O1817)*1440)</f>
        <v/>
      </c>
      <c r="Y1817" s="29" t="n"/>
      <c r="Z1817" s="29" t="n"/>
      <c r="AA1817" s="29" t="n"/>
      <c r="AB1817" s="32" t="n"/>
      <c r="AC1817" s="32" t="n"/>
    </row>
    <row r="1818">
      <c r="A1818" s="26" t="inlineStr">
        <is>
          <t>S35</t>
        </is>
      </c>
      <c r="B1818" s="26" t="inlineStr">
        <is>
          <t>상주</t>
        </is>
      </c>
      <c r="C1818" s="26" t="inlineStr">
        <is>
          <t>S35-H북</t>
        </is>
      </c>
      <c r="D1818" s="47" t="n">
        <v>1</v>
      </c>
      <c r="E1818" s="26" t="inlineStr">
        <is>
          <t>측정</t>
        </is>
      </c>
      <c r="F1818" s="26" t="inlineStr">
        <is>
          <t>북</t>
        </is>
      </c>
      <c r="G1818" s="31" t="n">
        <v>4</v>
      </c>
      <c r="H1818" s="30" t="n"/>
      <c r="I1818" s="43" t="n"/>
      <c r="J1818" s="41" t="n"/>
      <c r="K1818" s="41" t="n"/>
      <c r="L1818" s="41" t="n"/>
      <c r="M1818" s="31">
        <f>IF(COUNT(J1818:L1818)=0,"",MEDIAN(J1818:L1818))</f>
        <v/>
      </c>
      <c r="N1818" s="26">
        <f>IF(COUNTIFS($C:$C,$C1818,$D:$D,$D1818,$E:$E,"P0(전)",$M:$M,"&gt;0")&lt;&gt;1,"P0(전) 유효 1개 아님",IF(COUNTIFS($C:$C,$C1818,$D:$D,$D1818,$E:$E,"P0(후)",$M:$M,"&gt;0")&lt;&gt;1,"P0(후) 유효 1개 아님",IF(NOT(AND(ISNUMBER(O1818),ISNUMBER(Q1818),ISNUMBER(I1818))),"시각 결측",IF(Q1818&lt;=O1818,"P0 시각 역전",IF(OR(I1818&lt;O1818,I1818&gt;Q1818),"측정시각 구간 밖","OK")))))</f>
        <v/>
      </c>
      <c r="O1818" s="48">
        <f>IF(COUNTIFS($C:$C,$C1818,$D:$D,$D1818,$E:$E,"P0(전)",$M:$M,"&gt;0")&lt;&gt;1,"",SUMIFS($I:$I,$C:$C,$C1818,$D:$D,$D1818,$E:$E,"P0(전)"))</f>
        <v/>
      </c>
      <c r="P1818" s="31">
        <f>IF(COUNTIFS($C:$C,$C1818,$D:$D,$D1818,$E:$E,"P0(전)",$M:$M,"&gt;0")&lt;&gt;1,"",SUMIFS($M:$M,$C:$C,$C1818,$D:$D,$D1818,$E:$E,"P0(전)"))</f>
        <v/>
      </c>
      <c r="Q1818" s="48">
        <f>IF(COUNTIFS($C:$C,$C1818,$D:$D,$D1818,$E:$E,"P0(후)",$M:$M,"&gt;0")&lt;&gt;1,"",SUMIFS($I:$I,$C:$C,$C1818,$D:$D,$D1818,$E:$E,"P0(후)"))</f>
        <v/>
      </c>
      <c r="R1818" s="31">
        <f>IF(COUNTIFS($C:$C,$C1818,$D:$D,$D1818,$E:$E,"P0(후)",$M:$M,"&gt;0")&lt;&gt;1,"",SUMIFS($M:$M,$C:$C,$C1818,$D:$D,$D1818,$E:$E,"P0(후)"))</f>
        <v/>
      </c>
      <c r="S1818" s="31">
        <f>IF(N1818&lt;&gt;"OK","",P1818+(R1818-P1818)*(I1818-O1818)/(Q1818-O1818))</f>
        <v/>
      </c>
      <c r="T1818" s="31">
        <f>IF(OR(N1818&lt;&gt;"OK",NOT(ISNUMBER(M1818))),"",M1818-S1818)</f>
        <v/>
      </c>
      <c r="U1818" s="49">
        <f>IF(OR(NOT(ISNUMBER(T1818)),IF(ISNUMBER(H1818),H1818,G1818)=0),"",T1818/IF(ISNUMBER(H1818),H1818,G1818))</f>
        <v/>
      </c>
      <c r="V1818" s="49">
        <f>IF(ISNUMBER(U1818),ABS(U1818),"")</f>
        <v/>
      </c>
      <c r="W1818" s="49">
        <f>IF(OR($E1817&lt;&gt;"측정",$C1817&lt;&gt;$C1818,$D1817&lt;&gt;$D1818,NOT(ISNUMBER(M1818)),NOT(ISNUMBER(M1817)),(IF(ISNUMBER(H1818),H1818,G1818)-IF(ISNUMBER(H1817),H1817,G1817))=0),"",(M1818-M1817)/(IF(ISNUMBER(H1818),H1818,G1818)-IF(ISNUMBER(H1817),H1817,G1817)))</f>
        <v/>
      </c>
      <c r="X1818" s="31">
        <f>IF(NOT(AND(ISNUMBER(O1818),ISNUMBER(Q1818))),"",(Q1818-O1818)*1440)</f>
        <v/>
      </c>
      <c r="Y1818" s="29" t="n"/>
      <c r="Z1818" s="29" t="n"/>
      <c r="AA1818" s="29" t="n"/>
      <c r="AB1818" s="32" t="n"/>
      <c r="AC1818" s="32" t="n"/>
    </row>
    <row r="1819">
      <c r="A1819" s="26" t="inlineStr">
        <is>
          <t>S35</t>
        </is>
      </c>
      <c r="B1819" s="26" t="inlineStr">
        <is>
          <t>상주</t>
        </is>
      </c>
      <c r="C1819" s="26" t="inlineStr">
        <is>
          <t>S35-H북</t>
        </is>
      </c>
      <c r="D1819" s="47" t="n">
        <v>1</v>
      </c>
      <c r="E1819" s="26" t="inlineStr">
        <is>
          <t>측정</t>
        </is>
      </c>
      <c r="F1819" s="26" t="inlineStr">
        <is>
          <t>북</t>
        </is>
      </c>
      <c r="G1819" s="31" t="n">
        <v>5</v>
      </c>
      <c r="H1819" s="30" t="n"/>
      <c r="I1819" s="43" t="n"/>
      <c r="J1819" s="41" t="n"/>
      <c r="K1819" s="41" t="n"/>
      <c r="L1819" s="41" t="n"/>
      <c r="M1819" s="31">
        <f>IF(COUNT(J1819:L1819)=0,"",MEDIAN(J1819:L1819))</f>
        <v/>
      </c>
      <c r="N1819" s="26">
        <f>IF(COUNTIFS($C:$C,$C1819,$D:$D,$D1819,$E:$E,"P0(전)",$M:$M,"&gt;0")&lt;&gt;1,"P0(전) 유효 1개 아님",IF(COUNTIFS($C:$C,$C1819,$D:$D,$D1819,$E:$E,"P0(후)",$M:$M,"&gt;0")&lt;&gt;1,"P0(후) 유효 1개 아님",IF(NOT(AND(ISNUMBER(O1819),ISNUMBER(Q1819),ISNUMBER(I1819))),"시각 결측",IF(Q1819&lt;=O1819,"P0 시각 역전",IF(OR(I1819&lt;O1819,I1819&gt;Q1819),"측정시각 구간 밖","OK")))))</f>
        <v/>
      </c>
      <c r="O1819" s="48">
        <f>IF(COUNTIFS($C:$C,$C1819,$D:$D,$D1819,$E:$E,"P0(전)",$M:$M,"&gt;0")&lt;&gt;1,"",SUMIFS($I:$I,$C:$C,$C1819,$D:$D,$D1819,$E:$E,"P0(전)"))</f>
        <v/>
      </c>
      <c r="P1819" s="31">
        <f>IF(COUNTIFS($C:$C,$C1819,$D:$D,$D1819,$E:$E,"P0(전)",$M:$M,"&gt;0")&lt;&gt;1,"",SUMIFS($M:$M,$C:$C,$C1819,$D:$D,$D1819,$E:$E,"P0(전)"))</f>
        <v/>
      </c>
      <c r="Q1819" s="48">
        <f>IF(COUNTIFS($C:$C,$C1819,$D:$D,$D1819,$E:$E,"P0(후)",$M:$M,"&gt;0")&lt;&gt;1,"",SUMIFS($I:$I,$C:$C,$C1819,$D:$D,$D1819,$E:$E,"P0(후)"))</f>
        <v/>
      </c>
      <c r="R1819" s="31">
        <f>IF(COUNTIFS($C:$C,$C1819,$D:$D,$D1819,$E:$E,"P0(후)",$M:$M,"&gt;0")&lt;&gt;1,"",SUMIFS($M:$M,$C:$C,$C1819,$D:$D,$D1819,$E:$E,"P0(후)"))</f>
        <v/>
      </c>
      <c r="S1819" s="31">
        <f>IF(N1819&lt;&gt;"OK","",P1819+(R1819-P1819)*(I1819-O1819)/(Q1819-O1819))</f>
        <v/>
      </c>
      <c r="T1819" s="31">
        <f>IF(OR(N1819&lt;&gt;"OK",NOT(ISNUMBER(M1819))),"",M1819-S1819)</f>
        <v/>
      </c>
      <c r="U1819" s="49">
        <f>IF(OR(NOT(ISNUMBER(T1819)),IF(ISNUMBER(H1819),H1819,G1819)=0),"",T1819/IF(ISNUMBER(H1819),H1819,G1819))</f>
        <v/>
      </c>
      <c r="V1819" s="49">
        <f>IF(ISNUMBER(U1819),ABS(U1819),"")</f>
        <v/>
      </c>
      <c r="W1819" s="49">
        <f>IF(OR($E1818&lt;&gt;"측정",$C1818&lt;&gt;$C1819,$D1818&lt;&gt;$D1819,NOT(ISNUMBER(M1819)),NOT(ISNUMBER(M1818)),(IF(ISNUMBER(H1819),H1819,G1819)-IF(ISNUMBER(H1818),H1818,G1818))=0),"",(M1819-M1818)/(IF(ISNUMBER(H1819),H1819,G1819)-IF(ISNUMBER(H1818),H1818,G1818)))</f>
        <v/>
      </c>
      <c r="X1819" s="31">
        <f>IF(NOT(AND(ISNUMBER(O1819),ISNUMBER(Q1819))),"",(Q1819-O1819)*1440)</f>
        <v/>
      </c>
      <c r="Y1819" s="29" t="n"/>
      <c r="Z1819" s="29" t="n"/>
      <c r="AA1819" s="29" t="n"/>
      <c r="AB1819" s="32" t="n"/>
      <c r="AC1819" s="32" t="n"/>
    </row>
    <row r="1820">
      <c r="A1820" s="26" t="inlineStr">
        <is>
          <t>S35</t>
        </is>
      </c>
      <c r="B1820" s="26" t="inlineStr">
        <is>
          <t>상주</t>
        </is>
      </c>
      <c r="C1820" s="26" t="inlineStr">
        <is>
          <t>S35-H북</t>
        </is>
      </c>
      <c r="D1820" s="47" t="n">
        <v>1</v>
      </c>
      <c r="E1820" s="26" t="inlineStr">
        <is>
          <t>측정</t>
        </is>
      </c>
      <c r="F1820" s="26" t="inlineStr">
        <is>
          <t>북</t>
        </is>
      </c>
      <c r="G1820" s="31" t="n">
        <v>6</v>
      </c>
      <c r="H1820" s="30" t="n"/>
      <c r="I1820" s="43" t="n"/>
      <c r="J1820" s="41" t="n"/>
      <c r="K1820" s="41" t="n"/>
      <c r="L1820" s="41" t="n"/>
      <c r="M1820" s="31">
        <f>IF(COUNT(J1820:L1820)=0,"",MEDIAN(J1820:L1820))</f>
        <v/>
      </c>
      <c r="N1820" s="26">
        <f>IF(COUNTIFS($C:$C,$C1820,$D:$D,$D1820,$E:$E,"P0(전)",$M:$M,"&gt;0")&lt;&gt;1,"P0(전) 유효 1개 아님",IF(COUNTIFS($C:$C,$C1820,$D:$D,$D1820,$E:$E,"P0(후)",$M:$M,"&gt;0")&lt;&gt;1,"P0(후) 유효 1개 아님",IF(NOT(AND(ISNUMBER(O1820),ISNUMBER(Q1820),ISNUMBER(I1820))),"시각 결측",IF(Q1820&lt;=O1820,"P0 시각 역전",IF(OR(I1820&lt;O1820,I1820&gt;Q1820),"측정시각 구간 밖","OK")))))</f>
        <v/>
      </c>
      <c r="O1820" s="48">
        <f>IF(COUNTIFS($C:$C,$C1820,$D:$D,$D1820,$E:$E,"P0(전)",$M:$M,"&gt;0")&lt;&gt;1,"",SUMIFS($I:$I,$C:$C,$C1820,$D:$D,$D1820,$E:$E,"P0(전)"))</f>
        <v/>
      </c>
      <c r="P1820" s="31">
        <f>IF(COUNTIFS($C:$C,$C1820,$D:$D,$D1820,$E:$E,"P0(전)",$M:$M,"&gt;0")&lt;&gt;1,"",SUMIFS($M:$M,$C:$C,$C1820,$D:$D,$D1820,$E:$E,"P0(전)"))</f>
        <v/>
      </c>
      <c r="Q1820" s="48">
        <f>IF(COUNTIFS($C:$C,$C1820,$D:$D,$D1820,$E:$E,"P0(후)",$M:$M,"&gt;0")&lt;&gt;1,"",SUMIFS($I:$I,$C:$C,$C1820,$D:$D,$D1820,$E:$E,"P0(후)"))</f>
        <v/>
      </c>
      <c r="R1820" s="31">
        <f>IF(COUNTIFS($C:$C,$C1820,$D:$D,$D1820,$E:$E,"P0(후)",$M:$M,"&gt;0")&lt;&gt;1,"",SUMIFS($M:$M,$C:$C,$C1820,$D:$D,$D1820,$E:$E,"P0(후)"))</f>
        <v/>
      </c>
      <c r="S1820" s="31">
        <f>IF(N1820&lt;&gt;"OK","",P1820+(R1820-P1820)*(I1820-O1820)/(Q1820-O1820))</f>
        <v/>
      </c>
      <c r="T1820" s="31">
        <f>IF(OR(N1820&lt;&gt;"OK",NOT(ISNUMBER(M1820))),"",M1820-S1820)</f>
        <v/>
      </c>
      <c r="U1820" s="49">
        <f>IF(OR(NOT(ISNUMBER(T1820)),IF(ISNUMBER(H1820),H1820,G1820)=0),"",T1820/IF(ISNUMBER(H1820),H1820,G1820))</f>
        <v/>
      </c>
      <c r="V1820" s="49">
        <f>IF(ISNUMBER(U1820),ABS(U1820),"")</f>
        <v/>
      </c>
      <c r="W1820" s="49">
        <f>IF(OR($E1819&lt;&gt;"측정",$C1819&lt;&gt;$C1820,$D1819&lt;&gt;$D1820,NOT(ISNUMBER(M1820)),NOT(ISNUMBER(M1819)),(IF(ISNUMBER(H1820),H1820,G1820)-IF(ISNUMBER(H1819),H1819,G1819))=0),"",(M1820-M1819)/(IF(ISNUMBER(H1820),H1820,G1820)-IF(ISNUMBER(H1819),H1819,G1819)))</f>
        <v/>
      </c>
      <c r="X1820" s="31">
        <f>IF(NOT(AND(ISNUMBER(O1820),ISNUMBER(Q1820))),"",(Q1820-O1820)*1440)</f>
        <v/>
      </c>
      <c r="Y1820" s="29" t="n"/>
      <c r="Z1820" s="29" t="n"/>
      <c r="AA1820" s="29" t="n"/>
      <c r="AB1820" s="32" t="n"/>
      <c r="AC1820" s="32" t="n"/>
    </row>
    <row r="1821">
      <c r="A1821" s="26" t="inlineStr">
        <is>
          <t>S35</t>
        </is>
      </c>
      <c r="B1821" s="26" t="inlineStr">
        <is>
          <t>상주</t>
        </is>
      </c>
      <c r="C1821" s="26" t="inlineStr">
        <is>
          <t>S35-H북</t>
        </is>
      </c>
      <c r="D1821" s="47" t="n">
        <v>1</v>
      </c>
      <c r="E1821" s="26" t="inlineStr">
        <is>
          <t>측정</t>
        </is>
      </c>
      <c r="F1821" s="26" t="inlineStr">
        <is>
          <t>북</t>
        </is>
      </c>
      <c r="G1821" s="31" t="n">
        <v>7</v>
      </c>
      <c r="H1821" s="30" t="n"/>
      <c r="I1821" s="43" t="n"/>
      <c r="J1821" s="41" t="n"/>
      <c r="K1821" s="41" t="n"/>
      <c r="L1821" s="41" t="n"/>
      <c r="M1821" s="31">
        <f>IF(COUNT(J1821:L1821)=0,"",MEDIAN(J1821:L1821))</f>
        <v/>
      </c>
      <c r="N1821" s="26">
        <f>IF(COUNTIFS($C:$C,$C1821,$D:$D,$D1821,$E:$E,"P0(전)",$M:$M,"&gt;0")&lt;&gt;1,"P0(전) 유효 1개 아님",IF(COUNTIFS($C:$C,$C1821,$D:$D,$D1821,$E:$E,"P0(후)",$M:$M,"&gt;0")&lt;&gt;1,"P0(후) 유효 1개 아님",IF(NOT(AND(ISNUMBER(O1821),ISNUMBER(Q1821),ISNUMBER(I1821))),"시각 결측",IF(Q1821&lt;=O1821,"P0 시각 역전",IF(OR(I1821&lt;O1821,I1821&gt;Q1821),"측정시각 구간 밖","OK")))))</f>
        <v/>
      </c>
      <c r="O1821" s="48">
        <f>IF(COUNTIFS($C:$C,$C1821,$D:$D,$D1821,$E:$E,"P0(전)",$M:$M,"&gt;0")&lt;&gt;1,"",SUMIFS($I:$I,$C:$C,$C1821,$D:$D,$D1821,$E:$E,"P0(전)"))</f>
        <v/>
      </c>
      <c r="P1821" s="31">
        <f>IF(COUNTIFS($C:$C,$C1821,$D:$D,$D1821,$E:$E,"P0(전)",$M:$M,"&gt;0")&lt;&gt;1,"",SUMIFS($M:$M,$C:$C,$C1821,$D:$D,$D1821,$E:$E,"P0(전)"))</f>
        <v/>
      </c>
      <c r="Q1821" s="48">
        <f>IF(COUNTIFS($C:$C,$C1821,$D:$D,$D1821,$E:$E,"P0(후)",$M:$M,"&gt;0")&lt;&gt;1,"",SUMIFS($I:$I,$C:$C,$C1821,$D:$D,$D1821,$E:$E,"P0(후)"))</f>
        <v/>
      </c>
      <c r="R1821" s="31">
        <f>IF(COUNTIFS($C:$C,$C1821,$D:$D,$D1821,$E:$E,"P0(후)",$M:$M,"&gt;0")&lt;&gt;1,"",SUMIFS($M:$M,$C:$C,$C1821,$D:$D,$D1821,$E:$E,"P0(후)"))</f>
        <v/>
      </c>
      <c r="S1821" s="31">
        <f>IF(N1821&lt;&gt;"OK","",P1821+(R1821-P1821)*(I1821-O1821)/(Q1821-O1821))</f>
        <v/>
      </c>
      <c r="T1821" s="31">
        <f>IF(OR(N1821&lt;&gt;"OK",NOT(ISNUMBER(M1821))),"",M1821-S1821)</f>
        <v/>
      </c>
      <c r="U1821" s="49">
        <f>IF(OR(NOT(ISNUMBER(T1821)),IF(ISNUMBER(H1821),H1821,G1821)=0),"",T1821/IF(ISNUMBER(H1821),H1821,G1821))</f>
        <v/>
      </c>
      <c r="V1821" s="49">
        <f>IF(ISNUMBER(U1821),ABS(U1821),"")</f>
        <v/>
      </c>
      <c r="W1821" s="49">
        <f>IF(OR($E1820&lt;&gt;"측정",$C1820&lt;&gt;$C1821,$D1820&lt;&gt;$D1821,NOT(ISNUMBER(M1821)),NOT(ISNUMBER(M1820)),(IF(ISNUMBER(H1821),H1821,G1821)-IF(ISNUMBER(H1820),H1820,G1820))=0),"",(M1821-M1820)/(IF(ISNUMBER(H1821),H1821,G1821)-IF(ISNUMBER(H1820),H1820,G1820)))</f>
        <v/>
      </c>
      <c r="X1821" s="31">
        <f>IF(NOT(AND(ISNUMBER(O1821),ISNUMBER(Q1821))),"",(Q1821-O1821)*1440)</f>
        <v/>
      </c>
      <c r="Y1821" s="29" t="n"/>
      <c r="Z1821" s="29" t="n"/>
      <c r="AA1821" s="29" t="n"/>
      <c r="AB1821" s="32" t="n"/>
      <c r="AC1821" s="32" t="n"/>
    </row>
    <row r="1822">
      <c r="A1822" s="26" t="inlineStr">
        <is>
          <t>S35</t>
        </is>
      </c>
      <c r="B1822" s="26" t="inlineStr">
        <is>
          <t>상주</t>
        </is>
      </c>
      <c r="C1822" s="26" t="inlineStr">
        <is>
          <t>S35-H북</t>
        </is>
      </c>
      <c r="D1822" s="47" t="n">
        <v>1</v>
      </c>
      <c r="E1822" s="26" t="inlineStr">
        <is>
          <t>측정</t>
        </is>
      </c>
      <c r="F1822" s="26" t="inlineStr">
        <is>
          <t>북</t>
        </is>
      </c>
      <c r="G1822" s="31" t="n">
        <v>8</v>
      </c>
      <c r="H1822" s="30" t="n"/>
      <c r="I1822" s="43" t="n"/>
      <c r="J1822" s="41" t="n"/>
      <c r="K1822" s="41" t="n"/>
      <c r="L1822" s="41" t="n"/>
      <c r="M1822" s="31">
        <f>IF(COUNT(J1822:L1822)=0,"",MEDIAN(J1822:L1822))</f>
        <v/>
      </c>
      <c r="N1822" s="26">
        <f>IF(COUNTIFS($C:$C,$C1822,$D:$D,$D1822,$E:$E,"P0(전)",$M:$M,"&gt;0")&lt;&gt;1,"P0(전) 유효 1개 아님",IF(COUNTIFS($C:$C,$C1822,$D:$D,$D1822,$E:$E,"P0(후)",$M:$M,"&gt;0")&lt;&gt;1,"P0(후) 유효 1개 아님",IF(NOT(AND(ISNUMBER(O1822),ISNUMBER(Q1822),ISNUMBER(I1822))),"시각 결측",IF(Q1822&lt;=O1822,"P0 시각 역전",IF(OR(I1822&lt;O1822,I1822&gt;Q1822),"측정시각 구간 밖","OK")))))</f>
        <v/>
      </c>
      <c r="O1822" s="48">
        <f>IF(COUNTIFS($C:$C,$C1822,$D:$D,$D1822,$E:$E,"P0(전)",$M:$M,"&gt;0")&lt;&gt;1,"",SUMIFS($I:$I,$C:$C,$C1822,$D:$D,$D1822,$E:$E,"P0(전)"))</f>
        <v/>
      </c>
      <c r="P1822" s="31">
        <f>IF(COUNTIFS($C:$C,$C1822,$D:$D,$D1822,$E:$E,"P0(전)",$M:$M,"&gt;0")&lt;&gt;1,"",SUMIFS($M:$M,$C:$C,$C1822,$D:$D,$D1822,$E:$E,"P0(전)"))</f>
        <v/>
      </c>
      <c r="Q1822" s="48">
        <f>IF(COUNTIFS($C:$C,$C1822,$D:$D,$D1822,$E:$E,"P0(후)",$M:$M,"&gt;0")&lt;&gt;1,"",SUMIFS($I:$I,$C:$C,$C1822,$D:$D,$D1822,$E:$E,"P0(후)"))</f>
        <v/>
      </c>
      <c r="R1822" s="31">
        <f>IF(COUNTIFS($C:$C,$C1822,$D:$D,$D1822,$E:$E,"P0(후)",$M:$M,"&gt;0")&lt;&gt;1,"",SUMIFS($M:$M,$C:$C,$C1822,$D:$D,$D1822,$E:$E,"P0(후)"))</f>
        <v/>
      </c>
      <c r="S1822" s="31">
        <f>IF(N1822&lt;&gt;"OK","",P1822+(R1822-P1822)*(I1822-O1822)/(Q1822-O1822))</f>
        <v/>
      </c>
      <c r="T1822" s="31">
        <f>IF(OR(N1822&lt;&gt;"OK",NOT(ISNUMBER(M1822))),"",M1822-S1822)</f>
        <v/>
      </c>
      <c r="U1822" s="49">
        <f>IF(OR(NOT(ISNUMBER(T1822)),IF(ISNUMBER(H1822),H1822,G1822)=0),"",T1822/IF(ISNUMBER(H1822),H1822,G1822))</f>
        <v/>
      </c>
      <c r="V1822" s="49">
        <f>IF(ISNUMBER(U1822),ABS(U1822),"")</f>
        <v/>
      </c>
      <c r="W1822" s="49">
        <f>IF(OR($E1821&lt;&gt;"측정",$C1821&lt;&gt;$C1822,$D1821&lt;&gt;$D1822,NOT(ISNUMBER(M1822)),NOT(ISNUMBER(M1821)),(IF(ISNUMBER(H1822),H1822,G1822)-IF(ISNUMBER(H1821),H1821,G1821))=0),"",(M1822-M1821)/(IF(ISNUMBER(H1822),H1822,G1822)-IF(ISNUMBER(H1821),H1821,G1821)))</f>
        <v/>
      </c>
      <c r="X1822" s="31">
        <f>IF(NOT(AND(ISNUMBER(O1822),ISNUMBER(Q1822))),"",(Q1822-O1822)*1440)</f>
        <v/>
      </c>
      <c r="Y1822" s="29" t="n"/>
      <c r="Z1822" s="29" t="n"/>
      <c r="AA1822" s="29" t="n"/>
      <c r="AB1822" s="32" t="n"/>
      <c r="AC1822" s="32" t="n"/>
    </row>
    <row r="1823">
      <c r="A1823" s="26" t="inlineStr">
        <is>
          <t>S35</t>
        </is>
      </c>
      <c r="B1823" s="26" t="inlineStr">
        <is>
          <t>상주</t>
        </is>
      </c>
      <c r="C1823" s="26" t="inlineStr">
        <is>
          <t>S35-H북</t>
        </is>
      </c>
      <c r="D1823" s="47" t="n">
        <v>1</v>
      </c>
      <c r="E1823" s="26" t="inlineStr">
        <is>
          <t>측정</t>
        </is>
      </c>
      <c r="F1823" s="26" t="inlineStr">
        <is>
          <t>북</t>
        </is>
      </c>
      <c r="G1823" s="31" t="n">
        <v>9</v>
      </c>
      <c r="H1823" s="30" t="n"/>
      <c r="I1823" s="43" t="n"/>
      <c r="J1823" s="41" t="n"/>
      <c r="K1823" s="41" t="n"/>
      <c r="L1823" s="41" t="n"/>
      <c r="M1823" s="31">
        <f>IF(COUNT(J1823:L1823)=0,"",MEDIAN(J1823:L1823))</f>
        <v/>
      </c>
      <c r="N1823" s="26">
        <f>IF(COUNTIFS($C:$C,$C1823,$D:$D,$D1823,$E:$E,"P0(전)",$M:$M,"&gt;0")&lt;&gt;1,"P0(전) 유효 1개 아님",IF(COUNTIFS($C:$C,$C1823,$D:$D,$D1823,$E:$E,"P0(후)",$M:$M,"&gt;0")&lt;&gt;1,"P0(후) 유효 1개 아님",IF(NOT(AND(ISNUMBER(O1823),ISNUMBER(Q1823),ISNUMBER(I1823))),"시각 결측",IF(Q1823&lt;=O1823,"P0 시각 역전",IF(OR(I1823&lt;O1823,I1823&gt;Q1823),"측정시각 구간 밖","OK")))))</f>
        <v/>
      </c>
      <c r="O1823" s="48">
        <f>IF(COUNTIFS($C:$C,$C1823,$D:$D,$D1823,$E:$E,"P0(전)",$M:$M,"&gt;0")&lt;&gt;1,"",SUMIFS($I:$I,$C:$C,$C1823,$D:$D,$D1823,$E:$E,"P0(전)"))</f>
        <v/>
      </c>
      <c r="P1823" s="31">
        <f>IF(COUNTIFS($C:$C,$C1823,$D:$D,$D1823,$E:$E,"P0(전)",$M:$M,"&gt;0")&lt;&gt;1,"",SUMIFS($M:$M,$C:$C,$C1823,$D:$D,$D1823,$E:$E,"P0(전)"))</f>
        <v/>
      </c>
      <c r="Q1823" s="48">
        <f>IF(COUNTIFS($C:$C,$C1823,$D:$D,$D1823,$E:$E,"P0(후)",$M:$M,"&gt;0")&lt;&gt;1,"",SUMIFS($I:$I,$C:$C,$C1823,$D:$D,$D1823,$E:$E,"P0(후)"))</f>
        <v/>
      </c>
      <c r="R1823" s="31">
        <f>IF(COUNTIFS($C:$C,$C1823,$D:$D,$D1823,$E:$E,"P0(후)",$M:$M,"&gt;0")&lt;&gt;1,"",SUMIFS($M:$M,$C:$C,$C1823,$D:$D,$D1823,$E:$E,"P0(후)"))</f>
        <v/>
      </c>
      <c r="S1823" s="31">
        <f>IF(N1823&lt;&gt;"OK","",P1823+(R1823-P1823)*(I1823-O1823)/(Q1823-O1823))</f>
        <v/>
      </c>
      <c r="T1823" s="31">
        <f>IF(OR(N1823&lt;&gt;"OK",NOT(ISNUMBER(M1823))),"",M1823-S1823)</f>
        <v/>
      </c>
      <c r="U1823" s="49">
        <f>IF(OR(NOT(ISNUMBER(T1823)),IF(ISNUMBER(H1823),H1823,G1823)=0),"",T1823/IF(ISNUMBER(H1823),H1823,G1823))</f>
        <v/>
      </c>
      <c r="V1823" s="49">
        <f>IF(ISNUMBER(U1823),ABS(U1823),"")</f>
        <v/>
      </c>
      <c r="W1823" s="49">
        <f>IF(OR($E1822&lt;&gt;"측정",$C1822&lt;&gt;$C1823,$D1822&lt;&gt;$D1823,NOT(ISNUMBER(M1823)),NOT(ISNUMBER(M1822)),(IF(ISNUMBER(H1823),H1823,G1823)-IF(ISNUMBER(H1822),H1822,G1822))=0),"",(M1823-M1822)/(IF(ISNUMBER(H1823),H1823,G1823)-IF(ISNUMBER(H1822),H1822,G1822)))</f>
        <v/>
      </c>
      <c r="X1823" s="31">
        <f>IF(NOT(AND(ISNUMBER(O1823),ISNUMBER(Q1823))),"",(Q1823-O1823)*1440)</f>
        <v/>
      </c>
      <c r="Y1823" s="29" t="n"/>
      <c r="Z1823" s="29" t="n"/>
      <c r="AA1823" s="29" t="n"/>
      <c r="AB1823" s="32" t="n"/>
      <c r="AC1823" s="32" t="n"/>
    </row>
    <row r="1824">
      <c r="A1824" s="26" t="inlineStr">
        <is>
          <t>S35</t>
        </is>
      </c>
      <c r="B1824" s="26" t="inlineStr">
        <is>
          <t>상주</t>
        </is>
      </c>
      <c r="C1824" s="26" t="inlineStr">
        <is>
          <t>S35-H북</t>
        </is>
      </c>
      <c r="D1824" s="47" t="n">
        <v>1</v>
      </c>
      <c r="E1824" s="26" t="inlineStr">
        <is>
          <t>측정</t>
        </is>
      </c>
      <c r="F1824" s="26" t="inlineStr">
        <is>
          <t>북</t>
        </is>
      </c>
      <c r="G1824" s="31" t="n">
        <v>10</v>
      </c>
      <c r="H1824" s="30" t="n"/>
      <c r="I1824" s="43" t="n"/>
      <c r="J1824" s="41" t="n"/>
      <c r="K1824" s="41" t="n"/>
      <c r="L1824" s="41" t="n"/>
      <c r="M1824" s="31">
        <f>IF(COUNT(J1824:L1824)=0,"",MEDIAN(J1824:L1824))</f>
        <v/>
      </c>
      <c r="N1824" s="26">
        <f>IF(COUNTIFS($C:$C,$C1824,$D:$D,$D1824,$E:$E,"P0(전)",$M:$M,"&gt;0")&lt;&gt;1,"P0(전) 유효 1개 아님",IF(COUNTIFS($C:$C,$C1824,$D:$D,$D1824,$E:$E,"P0(후)",$M:$M,"&gt;0")&lt;&gt;1,"P0(후) 유효 1개 아님",IF(NOT(AND(ISNUMBER(O1824),ISNUMBER(Q1824),ISNUMBER(I1824))),"시각 결측",IF(Q1824&lt;=O1824,"P0 시각 역전",IF(OR(I1824&lt;O1824,I1824&gt;Q1824),"측정시각 구간 밖","OK")))))</f>
        <v/>
      </c>
      <c r="O1824" s="48">
        <f>IF(COUNTIFS($C:$C,$C1824,$D:$D,$D1824,$E:$E,"P0(전)",$M:$M,"&gt;0")&lt;&gt;1,"",SUMIFS($I:$I,$C:$C,$C1824,$D:$D,$D1824,$E:$E,"P0(전)"))</f>
        <v/>
      </c>
      <c r="P1824" s="31">
        <f>IF(COUNTIFS($C:$C,$C1824,$D:$D,$D1824,$E:$E,"P0(전)",$M:$M,"&gt;0")&lt;&gt;1,"",SUMIFS($M:$M,$C:$C,$C1824,$D:$D,$D1824,$E:$E,"P0(전)"))</f>
        <v/>
      </c>
      <c r="Q1824" s="48">
        <f>IF(COUNTIFS($C:$C,$C1824,$D:$D,$D1824,$E:$E,"P0(후)",$M:$M,"&gt;0")&lt;&gt;1,"",SUMIFS($I:$I,$C:$C,$C1824,$D:$D,$D1824,$E:$E,"P0(후)"))</f>
        <v/>
      </c>
      <c r="R1824" s="31">
        <f>IF(COUNTIFS($C:$C,$C1824,$D:$D,$D1824,$E:$E,"P0(후)",$M:$M,"&gt;0")&lt;&gt;1,"",SUMIFS($M:$M,$C:$C,$C1824,$D:$D,$D1824,$E:$E,"P0(후)"))</f>
        <v/>
      </c>
      <c r="S1824" s="31">
        <f>IF(N1824&lt;&gt;"OK","",P1824+(R1824-P1824)*(I1824-O1824)/(Q1824-O1824))</f>
        <v/>
      </c>
      <c r="T1824" s="31">
        <f>IF(OR(N1824&lt;&gt;"OK",NOT(ISNUMBER(M1824))),"",M1824-S1824)</f>
        <v/>
      </c>
      <c r="U1824" s="49">
        <f>IF(OR(NOT(ISNUMBER(T1824)),IF(ISNUMBER(H1824),H1824,G1824)=0),"",T1824/IF(ISNUMBER(H1824),H1824,G1824))</f>
        <v/>
      </c>
      <c r="V1824" s="49">
        <f>IF(ISNUMBER(U1824),ABS(U1824),"")</f>
        <v/>
      </c>
      <c r="W1824" s="49">
        <f>IF(OR($E1823&lt;&gt;"측정",$C1823&lt;&gt;$C1824,$D1823&lt;&gt;$D1824,NOT(ISNUMBER(M1824)),NOT(ISNUMBER(M1823)),(IF(ISNUMBER(H1824),H1824,G1824)-IF(ISNUMBER(H1823),H1823,G1823))=0),"",(M1824-M1823)/(IF(ISNUMBER(H1824),H1824,G1824)-IF(ISNUMBER(H1823),H1823,G1823)))</f>
        <v/>
      </c>
      <c r="X1824" s="31">
        <f>IF(NOT(AND(ISNUMBER(O1824),ISNUMBER(Q1824))),"",(Q1824-O1824)*1440)</f>
        <v/>
      </c>
      <c r="Y1824" s="29" t="n"/>
      <c r="Z1824" s="29" t="n"/>
      <c r="AA1824" s="29" t="n"/>
      <c r="AB1824" s="32" t="n"/>
      <c r="AC1824" s="32" t="n"/>
    </row>
    <row r="1825">
      <c r="A1825" s="44" t="inlineStr">
        <is>
          <t>S35</t>
        </is>
      </c>
      <c r="B1825" s="44" t="inlineStr">
        <is>
          <t>상주</t>
        </is>
      </c>
      <c r="C1825" s="44" t="inlineStr">
        <is>
          <t>S35-H북</t>
        </is>
      </c>
      <c r="D1825" s="45" t="n">
        <v>1</v>
      </c>
      <c r="E1825" s="44" t="inlineStr">
        <is>
          <t>P0(후)</t>
        </is>
      </c>
      <c r="F1825" s="44" t="inlineStr">
        <is>
          <t>북</t>
        </is>
      </c>
      <c r="G1825" s="46" t="n"/>
      <c r="H1825" s="30" t="n"/>
      <c r="I1825" s="43" t="n"/>
      <c r="J1825" s="41" t="n"/>
      <c r="K1825" s="41" t="n"/>
      <c r="L1825" s="41" t="n"/>
      <c r="M1825" s="31">
        <f>IF(COUNT(J1825:L1825)=0,"",MEDIAN(J1825:L1825))</f>
        <v/>
      </c>
      <c r="N1825" s="38" t="n"/>
      <c r="O1825" s="38" t="n"/>
      <c r="P1825" s="38" t="n"/>
      <c r="Q1825" s="38" t="n"/>
      <c r="R1825" s="38" t="n"/>
      <c r="S1825" s="38" t="n"/>
      <c r="T1825" s="38" t="n"/>
      <c r="U1825" s="38" t="n"/>
      <c r="V1825" s="38" t="n"/>
      <c r="W1825" s="38" t="n"/>
      <c r="X1825" s="38" t="n"/>
      <c r="Y1825" s="29" t="n"/>
      <c r="Z1825" s="29" t="n"/>
      <c r="AA1825" s="29" t="n"/>
      <c r="AB1825" s="32" t="n"/>
      <c r="AC1825" s="32" t="n"/>
    </row>
    <row r="1826">
      <c r="A1826" s="44" t="inlineStr">
        <is>
          <t>S36</t>
        </is>
      </c>
      <c r="B1826" s="44" t="inlineStr">
        <is>
          <t>미원</t>
        </is>
      </c>
      <c r="C1826" s="44" t="inlineStr">
        <is>
          <t>S36-H동</t>
        </is>
      </c>
      <c r="D1826" s="45" t="n">
        <v>1</v>
      </c>
      <c r="E1826" s="44" t="inlineStr">
        <is>
          <t>P0(전)</t>
        </is>
      </c>
      <c r="F1826" s="44" t="inlineStr">
        <is>
          <t>동</t>
        </is>
      </c>
      <c r="G1826" s="46" t="n"/>
      <c r="H1826" s="30" t="n"/>
      <c r="I1826" s="43" t="n"/>
      <c r="J1826" s="41" t="n"/>
      <c r="K1826" s="41" t="n"/>
      <c r="L1826" s="41" t="n"/>
      <c r="M1826" s="31">
        <f>IF(COUNT(J1826:L1826)=0,"",MEDIAN(J1826:L1826))</f>
        <v/>
      </c>
      <c r="N1826" s="38" t="n"/>
      <c r="O1826" s="38" t="n"/>
      <c r="P1826" s="38" t="n"/>
      <c r="Q1826" s="38" t="n"/>
      <c r="R1826" s="38" t="n"/>
      <c r="S1826" s="38" t="n"/>
      <c r="T1826" s="38" t="n"/>
      <c r="U1826" s="38" t="n"/>
      <c r="V1826" s="38" t="n"/>
      <c r="W1826" s="38" t="n"/>
      <c r="X1826" s="38" t="n"/>
      <c r="Y1826" s="29" t="n"/>
      <c r="Z1826" s="29" t="n"/>
      <c r="AA1826" s="29" t="n"/>
      <c r="AB1826" s="32" t="n"/>
      <c r="AC1826" s="32" t="n"/>
    </row>
    <row r="1827">
      <c r="A1827" s="26" t="inlineStr">
        <is>
          <t>S36</t>
        </is>
      </c>
      <c r="B1827" s="26" t="inlineStr">
        <is>
          <t>미원</t>
        </is>
      </c>
      <c r="C1827" s="26" t="inlineStr">
        <is>
          <t>S36-H동</t>
        </is>
      </c>
      <c r="D1827" s="47" t="n">
        <v>1</v>
      </c>
      <c r="E1827" s="26" t="inlineStr">
        <is>
          <t>측정</t>
        </is>
      </c>
      <c r="F1827" s="26" t="inlineStr">
        <is>
          <t>동</t>
        </is>
      </c>
      <c r="G1827" s="31" t="n">
        <v>0.5</v>
      </c>
      <c r="H1827" s="30" t="n"/>
      <c r="I1827" s="43" t="n"/>
      <c r="J1827" s="41" t="n"/>
      <c r="K1827" s="41" t="n"/>
      <c r="L1827" s="41" t="n"/>
      <c r="M1827" s="31">
        <f>IF(COUNT(J1827:L1827)=0,"",MEDIAN(J1827:L1827))</f>
        <v/>
      </c>
      <c r="N1827" s="26">
        <f>IF(COUNTIFS($C:$C,$C1827,$D:$D,$D1827,$E:$E,"P0(전)",$M:$M,"&gt;0")&lt;&gt;1,"P0(전) 유효 1개 아님",IF(COUNTIFS($C:$C,$C1827,$D:$D,$D1827,$E:$E,"P0(후)",$M:$M,"&gt;0")&lt;&gt;1,"P0(후) 유효 1개 아님",IF(NOT(AND(ISNUMBER(O1827),ISNUMBER(Q1827),ISNUMBER(I1827))),"시각 결측",IF(Q1827&lt;=O1827,"P0 시각 역전",IF(OR(I1827&lt;O1827,I1827&gt;Q1827),"측정시각 구간 밖","OK")))))</f>
        <v/>
      </c>
      <c r="O1827" s="48">
        <f>IF(COUNTIFS($C:$C,$C1827,$D:$D,$D1827,$E:$E,"P0(전)",$M:$M,"&gt;0")&lt;&gt;1,"",SUMIFS($I:$I,$C:$C,$C1827,$D:$D,$D1827,$E:$E,"P0(전)"))</f>
        <v/>
      </c>
      <c r="P1827" s="31">
        <f>IF(COUNTIFS($C:$C,$C1827,$D:$D,$D1827,$E:$E,"P0(전)",$M:$M,"&gt;0")&lt;&gt;1,"",SUMIFS($M:$M,$C:$C,$C1827,$D:$D,$D1827,$E:$E,"P0(전)"))</f>
        <v/>
      </c>
      <c r="Q1827" s="48">
        <f>IF(COUNTIFS($C:$C,$C1827,$D:$D,$D1827,$E:$E,"P0(후)",$M:$M,"&gt;0")&lt;&gt;1,"",SUMIFS($I:$I,$C:$C,$C1827,$D:$D,$D1827,$E:$E,"P0(후)"))</f>
        <v/>
      </c>
      <c r="R1827" s="31">
        <f>IF(COUNTIFS($C:$C,$C1827,$D:$D,$D1827,$E:$E,"P0(후)",$M:$M,"&gt;0")&lt;&gt;1,"",SUMIFS($M:$M,$C:$C,$C1827,$D:$D,$D1827,$E:$E,"P0(후)"))</f>
        <v/>
      </c>
      <c r="S1827" s="31">
        <f>IF(N1827&lt;&gt;"OK","",P1827+(R1827-P1827)*(I1827-O1827)/(Q1827-O1827))</f>
        <v/>
      </c>
      <c r="T1827" s="31">
        <f>IF(OR(N1827&lt;&gt;"OK",NOT(ISNUMBER(M1827))),"",M1827-S1827)</f>
        <v/>
      </c>
      <c r="U1827" s="49">
        <f>IF(OR(NOT(ISNUMBER(T1827)),IF(ISNUMBER(H1827),H1827,G1827)=0),"",T1827/IF(ISNUMBER(H1827),H1827,G1827))</f>
        <v/>
      </c>
      <c r="V1827" s="49">
        <f>IF(ISNUMBER(U1827),ABS(U1827),"")</f>
        <v/>
      </c>
      <c r="W1827" s="49">
        <f>IF(OR($E1826&lt;&gt;"측정",$C1826&lt;&gt;$C1827,$D1826&lt;&gt;$D1827,NOT(ISNUMBER(M1827)),NOT(ISNUMBER(M1826)),(IF(ISNUMBER(H1827),H1827,G1827)-IF(ISNUMBER(H1826),H1826,G1826))=0),"",(M1827-M1826)/(IF(ISNUMBER(H1827),H1827,G1827)-IF(ISNUMBER(H1826),H1826,G1826)))</f>
        <v/>
      </c>
      <c r="X1827" s="31">
        <f>IF(NOT(AND(ISNUMBER(O1827),ISNUMBER(Q1827))),"",(Q1827-O1827)*1440)</f>
        <v/>
      </c>
      <c r="Y1827" s="29" t="n"/>
      <c r="Z1827" s="29" t="n"/>
      <c r="AA1827" s="29" t="n"/>
      <c r="AB1827" s="32" t="n"/>
      <c r="AC1827" s="32" t="n"/>
    </row>
    <row r="1828">
      <c r="A1828" s="26" t="inlineStr">
        <is>
          <t>S36</t>
        </is>
      </c>
      <c r="B1828" s="26" t="inlineStr">
        <is>
          <t>미원</t>
        </is>
      </c>
      <c r="C1828" s="26" t="inlineStr">
        <is>
          <t>S36-H동</t>
        </is>
      </c>
      <c r="D1828" s="47" t="n">
        <v>1</v>
      </c>
      <c r="E1828" s="26" t="inlineStr">
        <is>
          <t>측정</t>
        </is>
      </c>
      <c r="F1828" s="26" t="inlineStr">
        <is>
          <t>동</t>
        </is>
      </c>
      <c r="G1828" s="31" t="n">
        <v>1</v>
      </c>
      <c r="H1828" s="30" t="n"/>
      <c r="I1828" s="43" t="n"/>
      <c r="J1828" s="41" t="n"/>
      <c r="K1828" s="41" t="n"/>
      <c r="L1828" s="41" t="n"/>
      <c r="M1828" s="31">
        <f>IF(COUNT(J1828:L1828)=0,"",MEDIAN(J1828:L1828))</f>
        <v/>
      </c>
      <c r="N1828" s="26">
        <f>IF(COUNTIFS($C:$C,$C1828,$D:$D,$D1828,$E:$E,"P0(전)",$M:$M,"&gt;0")&lt;&gt;1,"P0(전) 유효 1개 아님",IF(COUNTIFS($C:$C,$C1828,$D:$D,$D1828,$E:$E,"P0(후)",$M:$M,"&gt;0")&lt;&gt;1,"P0(후) 유효 1개 아님",IF(NOT(AND(ISNUMBER(O1828),ISNUMBER(Q1828),ISNUMBER(I1828))),"시각 결측",IF(Q1828&lt;=O1828,"P0 시각 역전",IF(OR(I1828&lt;O1828,I1828&gt;Q1828),"측정시각 구간 밖","OK")))))</f>
        <v/>
      </c>
      <c r="O1828" s="48">
        <f>IF(COUNTIFS($C:$C,$C1828,$D:$D,$D1828,$E:$E,"P0(전)",$M:$M,"&gt;0")&lt;&gt;1,"",SUMIFS($I:$I,$C:$C,$C1828,$D:$D,$D1828,$E:$E,"P0(전)"))</f>
        <v/>
      </c>
      <c r="P1828" s="31">
        <f>IF(COUNTIFS($C:$C,$C1828,$D:$D,$D1828,$E:$E,"P0(전)",$M:$M,"&gt;0")&lt;&gt;1,"",SUMIFS($M:$M,$C:$C,$C1828,$D:$D,$D1828,$E:$E,"P0(전)"))</f>
        <v/>
      </c>
      <c r="Q1828" s="48">
        <f>IF(COUNTIFS($C:$C,$C1828,$D:$D,$D1828,$E:$E,"P0(후)",$M:$M,"&gt;0")&lt;&gt;1,"",SUMIFS($I:$I,$C:$C,$C1828,$D:$D,$D1828,$E:$E,"P0(후)"))</f>
        <v/>
      </c>
      <c r="R1828" s="31">
        <f>IF(COUNTIFS($C:$C,$C1828,$D:$D,$D1828,$E:$E,"P0(후)",$M:$M,"&gt;0")&lt;&gt;1,"",SUMIFS($M:$M,$C:$C,$C1828,$D:$D,$D1828,$E:$E,"P0(후)"))</f>
        <v/>
      </c>
      <c r="S1828" s="31">
        <f>IF(N1828&lt;&gt;"OK","",P1828+(R1828-P1828)*(I1828-O1828)/(Q1828-O1828))</f>
        <v/>
      </c>
      <c r="T1828" s="31">
        <f>IF(OR(N1828&lt;&gt;"OK",NOT(ISNUMBER(M1828))),"",M1828-S1828)</f>
        <v/>
      </c>
      <c r="U1828" s="49">
        <f>IF(OR(NOT(ISNUMBER(T1828)),IF(ISNUMBER(H1828),H1828,G1828)=0),"",T1828/IF(ISNUMBER(H1828),H1828,G1828))</f>
        <v/>
      </c>
      <c r="V1828" s="49">
        <f>IF(ISNUMBER(U1828),ABS(U1828),"")</f>
        <v/>
      </c>
      <c r="W1828" s="49">
        <f>IF(OR($E1827&lt;&gt;"측정",$C1827&lt;&gt;$C1828,$D1827&lt;&gt;$D1828,NOT(ISNUMBER(M1828)),NOT(ISNUMBER(M1827)),(IF(ISNUMBER(H1828),H1828,G1828)-IF(ISNUMBER(H1827),H1827,G1827))=0),"",(M1828-M1827)/(IF(ISNUMBER(H1828),H1828,G1828)-IF(ISNUMBER(H1827),H1827,G1827)))</f>
        <v/>
      </c>
      <c r="X1828" s="31">
        <f>IF(NOT(AND(ISNUMBER(O1828),ISNUMBER(Q1828))),"",(Q1828-O1828)*1440)</f>
        <v/>
      </c>
      <c r="Y1828" s="29" t="n"/>
      <c r="Z1828" s="29" t="n"/>
      <c r="AA1828" s="29" t="n"/>
      <c r="AB1828" s="32" t="n"/>
      <c r="AC1828" s="32" t="n"/>
    </row>
    <row r="1829">
      <c r="A1829" s="26" t="inlineStr">
        <is>
          <t>S36</t>
        </is>
      </c>
      <c r="B1829" s="26" t="inlineStr">
        <is>
          <t>미원</t>
        </is>
      </c>
      <c r="C1829" s="26" t="inlineStr">
        <is>
          <t>S36-H동</t>
        </is>
      </c>
      <c r="D1829" s="47" t="n">
        <v>1</v>
      </c>
      <c r="E1829" s="26" t="inlineStr">
        <is>
          <t>측정</t>
        </is>
      </c>
      <c r="F1829" s="26" t="inlineStr">
        <is>
          <t>동</t>
        </is>
      </c>
      <c r="G1829" s="31" t="n">
        <v>2</v>
      </c>
      <c r="H1829" s="30" t="n"/>
      <c r="I1829" s="43" t="n"/>
      <c r="J1829" s="41" t="n"/>
      <c r="K1829" s="41" t="n"/>
      <c r="L1829" s="41" t="n"/>
      <c r="M1829" s="31">
        <f>IF(COUNT(J1829:L1829)=0,"",MEDIAN(J1829:L1829))</f>
        <v/>
      </c>
      <c r="N1829" s="26">
        <f>IF(COUNTIFS($C:$C,$C1829,$D:$D,$D1829,$E:$E,"P0(전)",$M:$M,"&gt;0")&lt;&gt;1,"P0(전) 유효 1개 아님",IF(COUNTIFS($C:$C,$C1829,$D:$D,$D1829,$E:$E,"P0(후)",$M:$M,"&gt;0")&lt;&gt;1,"P0(후) 유효 1개 아님",IF(NOT(AND(ISNUMBER(O1829),ISNUMBER(Q1829),ISNUMBER(I1829))),"시각 결측",IF(Q1829&lt;=O1829,"P0 시각 역전",IF(OR(I1829&lt;O1829,I1829&gt;Q1829),"측정시각 구간 밖","OK")))))</f>
        <v/>
      </c>
      <c r="O1829" s="48">
        <f>IF(COUNTIFS($C:$C,$C1829,$D:$D,$D1829,$E:$E,"P0(전)",$M:$M,"&gt;0")&lt;&gt;1,"",SUMIFS($I:$I,$C:$C,$C1829,$D:$D,$D1829,$E:$E,"P0(전)"))</f>
        <v/>
      </c>
      <c r="P1829" s="31">
        <f>IF(COUNTIFS($C:$C,$C1829,$D:$D,$D1829,$E:$E,"P0(전)",$M:$M,"&gt;0")&lt;&gt;1,"",SUMIFS($M:$M,$C:$C,$C1829,$D:$D,$D1829,$E:$E,"P0(전)"))</f>
        <v/>
      </c>
      <c r="Q1829" s="48">
        <f>IF(COUNTIFS($C:$C,$C1829,$D:$D,$D1829,$E:$E,"P0(후)",$M:$M,"&gt;0")&lt;&gt;1,"",SUMIFS($I:$I,$C:$C,$C1829,$D:$D,$D1829,$E:$E,"P0(후)"))</f>
        <v/>
      </c>
      <c r="R1829" s="31">
        <f>IF(COUNTIFS($C:$C,$C1829,$D:$D,$D1829,$E:$E,"P0(후)",$M:$M,"&gt;0")&lt;&gt;1,"",SUMIFS($M:$M,$C:$C,$C1829,$D:$D,$D1829,$E:$E,"P0(후)"))</f>
        <v/>
      </c>
      <c r="S1829" s="31">
        <f>IF(N1829&lt;&gt;"OK","",P1829+(R1829-P1829)*(I1829-O1829)/(Q1829-O1829))</f>
        <v/>
      </c>
      <c r="T1829" s="31">
        <f>IF(OR(N1829&lt;&gt;"OK",NOT(ISNUMBER(M1829))),"",M1829-S1829)</f>
        <v/>
      </c>
      <c r="U1829" s="49">
        <f>IF(OR(NOT(ISNUMBER(T1829)),IF(ISNUMBER(H1829),H1829,G1829)=0),"",T1829/IF(ISNUMBER(H1829),H1829,G1829))</f>
        <v/>
      </c>
      <c r="V1829" s="49">
        <f>IF(ISNUMBER(U1829),ABS(U1829),"")</f>
        <v/>
      </c>
      <c r="W1829" s="49">
        <f>IF(OR($E1828&lt;&gt;"측정",$C1828&lt;&gt;$C1829,$D1828&lt;&gt;$D1829,NOT(ISNUMBER(M1829)),NOT(ISNUMBER(M1828)),(IF(ISNUMBER(H1829),H1829,G1829)-IF(ISNUMBER(H1828),H1828,G1828))=0),"",(M1829-M1828)/(IF(ISNUMBER(H1829),H1829,G1829)-IF(ISNUMBER(H1828),H1828,G1828)))</f>
        <v/>
      </c>
      <c r="X1829" s="31">
        <f>IF(NOT(AND(ISNUMBER(O1829),ISNUMBER(Q1829))),"",(Q1829-O1829)*1440)</f>
        <v/>
      </c>
      <c r="Y1829" s="29" t="n"/>
      <c r="Z1829" s="29" t="n"/>
      <c r="AA1829" s="29" t="n"/>
      <c r="AB1829" s="32" t="n"/>
      <c r="AC1829" s="32" t="n"/>
    </row>
    <row r="1830">
      <c r="A1830" s="26" t="inlineStr">
        <is>
          <t>S36</t>
        </is>
      </c>
      <c r="B1830" s="26" t="inlineStr">
        <is>
          <t>미원</t>
        </is>
      </c>
      <c r="C1830" s="26" t="inlineStr">
        <is>
          <t>S36-H동</t>
        </is>
      </c>
      <c r="D1830" s="47" t="n">
        <v>1</v>
      </c>
      <c r="E1830" s="26" t="inlineStr">
        <is>
          <t>측정</t>
        </is>
      </c>
      <c r="F1830" s="26" t="inlineStr">
        <is>
          <t>동</t>
        </is>
      </c>
      <c r="G1830" s="31" t="n">
        <v>3</v>
      </c>
      <c r="H1830" s="30" t="n"/>
      <c r="I1830" s="43" t="n"/>
      <c r="J1830" s="41" t="n"/>
      <c r="K1830" s="41" t="n"/>
      <c r="L1830" s="41" t="n"/>
      <c r="M1830" s="31">
        <f>IF(COUNT(J1830:L1830)=0,"",MEDIAN(J1830:L1830))</f>
        <v/>
      </c>
      <c r="N1830" s="26">
        <f>IF(COUNTIFS($C:$C,$C1830,$D:$D,$D1830,$E:$E,"P0(전)",$M:$M,"&gt;0")&lt;&gt;1,"P0(전) 유효 1개 아님",IF(COUNTIFS($C:$C,$C1830,$D:$D,$D1830,$E:$E,"P0(후)",$M:$M,"&gt;0")&lt;&gt;1,"P0(후) 유효 1개 아님",IF(NOT(AND(ISNUMBER(O1830),ISNUMBER(Q1830),ISNUMBER(I1830))),"시각 결측",IF(Q1830&lt;=O1830,"P0 시각 역전",IF(OR(I1830&lt;O1830,I1830&gt;Q1830),"측정시각 구간 밖","OK")))))</f>
        <v/>
      </c>
      <c r="O1830" s="48">
        <f>IF(COUNTIFS($C:$C,$C1830,$D:$D,$D1830,$E:$E,"P0(전)",$M:$M,"&gt;0")&lt;&gt;1,"",SUMIFS($I:$I,$C:$C,$C1830,$D:$D,$D1830,$E:$E,"P0(전)"))</f>
        <v/>
      </c>
      <c r="P1830" s="31">
        <f>IF(COUNTIFS($C:$C,$C1830,$D:$D,$D1830,$E:$E,"P0(전)",$M:$M,"&gt;0")&lt;&gt;1,"",SUMIFS($M:$M,$C:$C,$C1830,$D:$D,$D1830,$E:$E,"P0(전)"))</f>
        <v/>
      </c>
      <c r="Q1830" s="48">
        <f>IF(COUNTIFS($C:$C,$C1830,$D:$D,$D1830,$E:$E,"P0(후)",$M:$M,"&gt;0")&lt;&gt;1,"",SUMIFS($I:$I,$C:$C,$C1830,$D:$D,$D1830,$E:$E,"P0(후)"))</f>
        <v/>
      </c>
      <c r="R1830" s="31">
        <f>IF(COUNTIFS($C:$C,$C1830,$D:$D,$D1830,$E:$E,"P0(후)",$M:$M,"&gt;0")&lt;&gt;1,"",SUMIFS($M:$M,$C:$C,$C1830,$D:$D,$D1830,$E:$E,"P0(후)"))</f>
        <v/>
      </c>
      <c r="S1830" s="31">
        <f>IF(N1830&lt;&gt;"OK","",P1830+(R1830-P1830)*(I1830-O1830)/(Q1830-O1830))</f>
        <v/>
      </c>
      <c r="T1830" s="31">
        <f>IF(OR(N1830&lt;&gt;"OK",NOT(ISNUMBER(M1830))),"",M1830-S1830)</f>
        <v/>
      </c>
      <c r="U1830" s="49">
        <f>IF(OR(NOT(ISNUMBER(T1830)),IF(ISNUMBER(H1830),H1830,G1830)=0),"",T1830/IF(ISNUMBER(H1830),H1830,G1830))</f>
        <v/>
      </c>
      <c r="V1830" s="49">
        <f>IF(ISNUMBER(U1830),ABS(U1830),"")</f>
        <v/>
      </c>
      <c r="W1830" s="49">
        <f>IF(OR($E1829&lt;&gt;"측정",$C1829&lt;&gt;$C1830,$D1829&lt;&gt;$D1830,NOT(ISNUMBER(M1830)),NOT(ISNUMBER(M1829)),(IF(ISNUMBER(H1830),H1830,G1830)-IF(ISNUMBER(H1829),H1829,G1829))=0),"",(M1830-M1829)/(IF(ISNUMBER(H1830),H1830,G1830)-IF(ISNUMBER(H1829),H1829,G1829)))</f>
        <v/>
      </c>
      <c r="X1830" s="31">
        <f>IF(NOT(AND(ISNUMBER(O1830),ISNUMBER(Q1830))),"",(Q1830-O1830)*1440)</f>
        <v/>
      </c>
      <c r="Y1830" s="29" t="n"/>
      <c r="Z1830" s="29" t="n"/>
      <c r="AA1830" s="29" t="n"/>
      <c r="AB1830" s="32" t="n"/>
      <c r="AC1830" s="32" t="n"/>
    </row>
    <row r="1831">
      <c r="A1831" s="26" t="inlineStr">
        <is>
          <t>S36</t>
        </is>
      </c>
      <c r="B1831" s="26" t="inlineStr">
        <is>
          <t>미원</t>
        </is>
      </c>
      <c r="C1831" s="26" t="inlineStr">
        <is>
          <t>S36-H동</t>
        </is>
      </c>
      <c r="D1831" s="47" t="n">
        <v>1</v>
      </c>
      <c r="E1831" s="26" t="inlineStr">
        <is>
          <t>측정</t>
        </is>
      </c>
      <c r="F1831" s="26" t="inlineStr">
        <is>
          <t>동</t>
        </is>
      </c>
      <c r="G1831" s="31" t="n">
        <v>4</v>
      </c>
      <c r="H1831" s="30" t="n"/>
      <c r="I1831" s="43" t="n"/>
      <c r="J1831" s="41" t="n"/>
      <c r="K1831" s="41" t="n"/>
      <c r="L1831" s="41" t="n"/>
      <c r="M1831" s="31">
        <f>IF(COUNT(J1831:L1831)=0,"",MEDIAN(J1831:L1831))</f>
        <v/>
      </c>
      <c r="N1831" s="26">
        <f>IF(COUNTIFS($C:$C,$C1831,$D:$D,$D1831,$E:$E,"P0(전)",$M:$M,"&gt;0")&lt;&gt;1,"P0(전) 유효 1개 아님",IF(COUNTIFS($C:$C,$C1831,$D:$D,$D1831,$E:$E,"P0(후)",$M:$M,"&gt;0")&lt;&gt;1,"P0(후) 유효 1개 아님",IF(NOT(AND(ISNUMBER(O1831),ISNUMBER(Q1831),ISNUMBER(I1831))),"시각 결측",IF(Q1831&lt;=O1831,"P0 시각 역전",IF(OR(I1831&lt;O1831,I1831&gt;Q1831),"측정시각 구간 밖","OK")))))</f>
        <v/>
      </c>
      <c r="O1831" s="48">
        <f>IF(COUNTIFS($C:$C,$C1831,$D:$D,$D1831,$E:$E,"P0(전)",$M:$M,"&gt;0")&lt;&gt;1,"",SUMIFS($I:$I,$C:$C,$C1831,$D:$D,$D1831,$E:$E,"P0(전)"))</f>
        <v/>
      </c>
      <c r="P1831" s="31">
        <f>IF(COUNTIFS($C:$C,$C1831,$D:$D,$D1831,$E:$E,"P0(전)",$M:$M,"&gt;0")&lt;&gt;1,"",SUMIFS($M:$M,$C:$C,$C1831,$D:$D,$D1831,$E:$E,"P0(전)"))</f>
        <v/>
      </c>
      <c r="Q1831" s="48">
        <f>IF(COUNTIFS($C:$C,$C1831,$D:$D,$D1831,$E:$E,"P0(후)",$M:$M,"&gt;0")&lt;&gt;1,"",SUMIFS($I:$I,$C:$C,$C1831,$D:$D,$D1831,$E:$E,"P0(후)"))</f>
        <v/>
      </c>
      <c r="R1831" s="31">
        <f>IF(COUNTIFS($C:$C,$C1831,$D:$D,$D1831,$E:$E,"P0(후)",$M:$M,"&gt;0")&lt;&gt;1,"",SUMIFS($M:$M,$C:$C,$C1831,$D:$D,$D1831,$E:$E,"P0(후)"))</f>
        <v/>
      </c>
      <c r="S1831" s="31">
        <f>IF(N1831&lt;&gt;"OK","",P1831+(R1831-P1831)*(I1831-O1831)/(Q1831-O1831))</f>
        <v/>
      </c>
      <c r="T1831" s="31">
        <f>IF(OR(N1831&lt;&gt;"OK",NOT(ISNUMBER(M1831))),"",M1831-S1831)</f>
        <v/>
      </c>
      <c r="U1831" s="49">
        <f>IF(OR(NOT(ISNUMBER(T1831)),IF(ISNUMBER(H1831),H1831,G1831)=0),"",T1831/IF(ISNUMBER(H1831),H1831,G1831))</f>
        <v/>
      </c>
      <c r="V1831" s="49">
        <f>IF(ISNUMBER(U1831),ABS(U1831),"")</f>
        <v/>
      </c>
      <c r="W1831" s="49">
        <f>IF(OR($E1830&lt;&gt;"측정",$C1830&lt;&gt;$C1831,$D1830&lt;&gt;$D1831,NOT(ISNUMBER(M1831)),NOT(ISNUMBER(M1830)),(IF(ISNUMBER(H1831),H1831,G1831)-IF(ISNUMBER(H1830),H1830,G1830))=0),"",(M1831-M1830)/(IF(ISNUMBER(H1831),H1831,G1831)-IF(ISNUMBER(H1830),H1830,G1830)))</f>
        <v/>
      </c>
      <c r="X1831" s="31">
        <f>IF(NOT(AND(ISNUMBER(O1831),ISNUMBER(Q1831))),"",(Q1831-O1831)*1440)</f>
        <v/>
      </c>
      <c r="Y1831" s="29" t="n"/>
      <c r="Z1831" s="29" t="n"/>
      <c r="AA1831" s="29" t="n"/>
      <c r="AB1831" s="32" t="n"/>
      <c r="AC1831" s="32" t="n"/>
    </row>
    <row r="1832">
      <c r="A1832" s="26" t="inlineStr">
        <is>
          <t>S36</t>
        </is>
      </c>
      <c r="B1832" s="26" t="inlineStr">
        <is>
          <t>미원</t>
        </is>
      </c>
      <c r="C1832" s="26" t="inlineStr">
        <is>
          <t>S36-H동</t>
        </is>
      </c>
      <c r="D1832" s="47" t="n">
        <v>1</v>
      </c>
      <c r="E1832" s="26" t="inlineStr">
        <is>
          <t>측정</t>
        </is>
      </c>
      <c r="F1832" s="26" t="inlineStr">
        <is>
          <t>동</t>
        </is>
      </c>
      <c r="G1832" s="31" t="n">
        <v>5</v>
      </c>
      <c r="H1832" s="30" t="n"/>
      <c r="I1832" s="43" t="n"/>
      <c r="J1832" s="41" t="n"/>
      <c r="K1832" s="41" t="n"/>
      <c r="L1832" s="41" t="n"/>
      <c r="M1832" s="31">
        <f>IF(COUNT(J1832:L1832)=0,"",MEDIAN(J1832:L1832))</f>
        <v/>
      </c>
      <c r="N1832" s="26">
        <f>IF(COUNTIFS($C:$C,$C1832,$D:$D,$D1832,$E:$E,"P0(전)",$M:$M,"&gt;0")&lt;&gt;1,"P0(전) 유효 1개 아님",IF(COUNTIFS($C:$C,$C1832,$D:$D,$D1832,$E:$E,"P0(후)",$M:$M,"&gt;0")&lt;&gt;1,"P0(후) 유효 1개 아님",IF(NOT(AND(ISNUMBER(O1832),ISNUMBER(Q1832),ISNUMBER(I1832))),"시각 결측",IF(Q1832&lt;=O1832,"P0 시각 역전",IF(OR(I1832&lt;O1832,I1832&gt;Q1832),"측정시각 구간 밖","OK")))))</f>
        <v/>
      </c>
      <c r="O1832" s="48">
        <f>IF(COUNTIFS($C:$C,$C1832,$D:$D,$D1832,$E:$E,"P0(전)",$M:$M,"&gt;0")&lt;&gt;1,"",SUMIFS($I:$I,$C:$C,$C1832,$D:$D,$D1832,$E:$E,"P0(전)"))</f>
        <v/>
      </c>
      <c r="P1832" s="31">
        <f>IF(COUNTIFS($C:$C,$C1832,$D:$D,$D1832,$E:$E,"P0(전)",$M:$M,"&gt;0")&lt;&gt;1,"",SUMIFS($M:$M,$C:$C,$C1832,$D:$D,$D1832,$E:$E,"P0(전)"))</f>
        <v/>
      </c>
      <c r="Q1832" s="48">
        <f>IF(COUNTIFS($C:$C,$C1832,$D:$D,$D1832,$E:$E,"P0(후)",$M:$M,"&gt;0")&lt;&gt;1,"",SUMIFS($I:$I,$C:$C,$C1832,$D:$D,$D1832,$E:$E,"P0(후)"))</f>
        <v/>
      </c>
      <c r="R1832" s="31">
        <f>IF(COUNTIFS($C:$C,$C1832,$D:$D,$D1832,$E:$E,"P0(후)",$M:$M,"&gt;0")&lt;&gt;1,"",SUMIFS($M:$M,$C:$C,$C1832,$D:$D,$D1832,$E:$E,"P0(후)"))</f>
        <v/>
      </c>
      <c r="S1832" s="31">
        <f>IF(N1832&lt;&gt;"OK","",P1832+(R1832-P1832)*(I1832-O1832)/(Q1832-O1832))</f>
        <v/>
      </c>
      <c r="T1832" s="31">
        <f>IF(OR(N1832&lt;&gt;"OK",NOT(ISNUMBER(M1832))),"",M1832-S1832)</f>
        <v/>
      </c>
      <c r="U1832" s="49">
        <f>IF(OR(NOT(ISNUMBER(T1832)),IF(ISNUMBER(H1832),H1832,G1832)=0),"",T1832/IF(ISNUMBER(H1832),H1832,G1832))</f>
        <v/>
      </c>
      <c r="V1832" s="49">
        <f>IF(ISNUMBER(U1832),ABS(U1832),"")</f>
        <v/>
      </c>
      <c r="W1832" s="49">
        <f>IF(OR($E1831&lt;&gt;"측정",$C1831&lt;&gt;$C1832,$D1831&lt;&gt;$D1832,NOT(ISNUMBER(M1832)),NOT(ISNUMBER(M1831)),(IF(ISNUMBER(H1832),H1832,G1832)-IF(ISNUMBER(H1831),H1831,G1831))=0),"",(M1832-M1831)/(IF(ISNUMBER(H1832),H1832,G1832)-IF(ISNUMBER(H1831),H1831,G1831)))</f>
        <v/>
      </c>
      <c r="X1832" s="31">
        <f>IF(NOT(AND(ISNUMBER(O1832),ISNUMBER(Q1832))),"",(Q1832-O1832)*1440)</f>
        <v/>
      </c>
      <c r="Y1832" s="29" t="n"/>
      <c r="Z1832" s="29" t="n"/>
      <c r="AA1832" s="29" t="n"/>
      <c r="AB1832" s="32" t="n"/>
      <c r="AC1832" s="32" t="n"/>
    </row>
    <row r="1833">
      <c r="A1833" s="26" t="inlineStr">
        <is>
          <t>S36</t>
        </is>
      </c>
      <c r="B1833" s="26" t="inlineStr">
        <is>
          <t>미원</t>
        </is>
      </c>
      <c r="C1833" s="26" t="inlineStr">
        <is>
          <t>S36-H동</t>
        </is>
      </c>
      <c r="D1833" s="47" t="n">
        <v>1</v>
      </c>
      <c r="E1833" s="26" t="inlineStr">
        <is>
          <t>측정</t>
        </is>
      </c>
      <c r="F1833" s="26" t="inlineStr">
        <is>
          <t>동</t>
        </is>
      </c>
      <c r="G1833" s="31" t="n">
        <v>6</v>
      </c>
      <c r="H1833" s="30" t="n"/>
      <c r="I1833" s="43" t="n"/>
      <c r="J1833" s="41" t="n"/>
      <c r="K1833" s="41" t="n"/>
      <c r="L1833" s="41" t="n"/>
      <c r="M1833" s="31">
        <f>IF(COUNT(J1833:L1833)=0,"",MEDIAN(J1833:L1833))</f>
        <v/>
      </c>
      <c r="N1833" s="26">
        <f>IF(COUNTIFS($C:$C,$C1833,$D:$D,$D1833,$E:$E,"P0(전)",$M:$M,"&gt;0")&lt;&gt;1,"P0(전) 유효 1개 아님",IF(COUNTIFS($C:$C,$C1833,$D:$D,$D1833,$E:$E,"P0(후)",$M:$M,"&gt;0")&lt;&gt;1,"P0(후) 유효 1개 아님",IF(NOT(AND(ISNUMBER(O1833),ISNUMBER(Q1833),ISNUMBER(I1833))),"시각 결측",IF(Q1833&lt;=O1833,"P0 시각 역전",IF(OR(I1833&lt;O1833,I1833&gt;Q1833),"측정시각 구간 밖","OK")))))</f>
        <v/>
      </c>
      <c r="O1833" s="48">
        <f>IF(COUNTIFS($C:$C,$C1833,$D:$D,$D1833,$E:$E,"P0(전)",$M:$M,"&gt;0")&lt;&gt;1,"",SUMIFS($I:$I,$C:$C,$C1833,$D:$D,$D1833,$E:$E,"P0(전)"))</f>
        <v/>
      </c>
      <c r="P1833" s="31">
        <f>IF(COUNTIFS($C:$C,$C1833,$D:$D,$D1833,$E:$E,"P0(전)",$M:$M,"&gt;0")&lt;&gt;1,"",SUMIFS($M:$M,$C:$C,$C1833,$D:$D,$D1833,$E:$E,"P0(전)"))</f>
        <v/>
      </c>
      <c r="Q1833" s="48">
        <f>IF(COUNTIFS($C:$C,$C1833,$D:$D,$D1833,$E:$E,"P0(후)",$M:$M,"&gt;0")&lt;&gt;1,"",SUMIFS($I:$I,$C:$C,$C1833,$D:$D,$D1833,$E:$E,"P0(후)"))</f>
        <v/>
      </c>
      <c r="R1833" s="31">
        <f>IF(COUNTIFS($C:$C,$C1833,$D:$D,$D1833,$E:$E,"P0(후)",$M:$M,"&gt;0")&lt;&gt;1,"",SUMIFS($M:$M,$C:$C,$C1833,$D:$D,$D1833,$E:$E,"P0(후)"))</f>
        <v/>
      </c>
      <c r="S1833" s="31">
        <f>IF(N1833&lt;&gt;"OK","",P1833+(R1833-P1833)*(I1833-O1833)/(Q1833-O1833))</f>
        <v/>
      </c>
      <c r="T1833" s="31">
        <f>IF(OR(N1833&lt;&gt;"OK",NOT(ISNUMBER(M1833))),"",M1833-S1833)</f>
        <v/>
      </c>
      <c r="U1833" s="49">
        <f>IF(OR(NOT(ISNUMBER(T1833)),IF(ISNUMBER(H1833),H1833,G1833)=0),"",T1833/IF(ISNUMBER(H1833),H1833,G1833))</f>
        <v/>
      </c>
      <c r="V1833" s="49">
        <f>IF(ISNUMBER(U1833),ABS(U1833),"")</f>
        <v/>
      </c>
      <c r="W1833" s="49">
        <f>IF(OR($E1832&lt;&gt;"측정",$C1832&lt;&gt;$C1833,$D1832&lt;&gt;$D1833,NOT(ISNUMBER(M1833)),NOT(ISNUMBER(M1832)),(IF(ISNUMBER(H1833),H1833,G1833)-IF(ISNUMBER(H1832),H1832,G1832))=0),"",(M1833-M1832)/(IF(ISNUMBER(H1833),H1833,G1833)-IF(ISNUMBER(H1832),H1832,G1832)))</f>
        <v/>
      </c>
      <c r="X1833" s="31">
        <f>IF(NOT(AND(ISNUMBER(O1833),ISNUMBER(Q1833))),"",(Q1833-O1833)*1440)</f>
        <v/>
      </c>
      <c r="Y1833" s="29" t="n"/>
      <c r="Z1833" s="29" t="n"/>
      <c r="AA1833" s="29" t="n"/>
      <c r="AB1833" s="32" t="n"/>
      <c r="AC1833" s="32" t="n"/>
    </row>
    <row r="1834">
      <c r="A1834" s="26" t="inlineStr">
        <is>
          <t>S36</t>
        </is>
      </c>
      <c r="B1834" s="26" t="inlineStr">
        <is>
          <t>미원</t>
        </is>
      </c>
      <c r="C1834" s="26" t="inlineStr">
        <is>
          <t>S36-H동</t>
        </is>
      </c>
      <c r="D1834" s="47" t="n">
        <v>1</v>
      </c>
      <c r="E1834" s="26" t="inlineStr">
        <is>
          <t>측정</t>
        </is>
      </c>
      <c r="F1834" s="26" t="inlineStr">
        <is>
          <t>동</t>
        </is>
      </c>
      <c r="G1834" s="31" t="n">
        <v>7</v>
      </c>
      <c r="H1834" s="30" t="n"/>
      <c r="I1834" s="43" t="n"/>
      <c r="J1834" s="41" t="n"/>
      <c r="K1834" s="41" t="n"/>
      <c r="L1834" s="41" t="n"/>
      <c r="M1834" s="31">
        <f>IF(COUNT(J1834:L1834)=0,"",MEDIAN(J1834:L1834))</f>
        <v/>
      </c>
      <c r="N1834" s="26">
        <f>IF(COUNTIFS($C:$C,$C1834,$D:$D,$D1834,$E:$E,"P0(전)",$M:$M,"&gt;0")&lt;&gt;1,"P0(전) 유효 1개 아님",IF(COUNTIFS($C:$C,$C1834,$D:$D,$D1834,$E:$E,"P0(후)",$M:$M,"&gt;0")&lt;&gt;1,"P0(후) 유효 1개 아님",IF(NOT(AND(ISNUMBER(O1834),ISNUMBER(Q1834),ISNUMBER(I1834))),"시각 결측",IF(Q1834&lt;=O1834,"P0 시각 역전",IF(OR(I1834&lt;O1834,I1834&gt;Q1834),"측정시각 구간 밖","OK")))))</f>
        <v/>
      </c>
      <c r="O1834" s="48">
        <f>IF(COUNTIFS($C:$C,$C1834,$D:$D,$D1834,$E:$E,"P0(전)",$M:$M,"&gt;0")&lt;&gt;1,"",SUMIFS($I:$I,$C:$C,$C1834,$D:$D,$D1834,$E:$E,"P0(전)"))</f>
        <v/>
      </c>
      <c r="P1834" s="31">
        <f>IF(COUNTIFS($C:$C,$C1834,$D:$D,$D1834,$E:$E,"P0(전)",$M:$M,"&gt;0")&lt;&gt;1,"",SUMIFS($M:$M,$C:$C,$C1834,$D:$D,$D1834,$E:$E,"P0(전)"))</f>
        <v/>
      </c>
      <c r="Q1834" s="48">
        <f>IF(COUNTIFS($C:$C,$C1834,$D:$D,$D1834,$E:$E,"P0(후)",$M:$M,"&gt;0")&lt;&gt;1,"",SUMIFS($I:$I,$C:$C,$C1834,$D:$D,$D1834,$E:$E,"P0(후)"))</f>
        <v/>
      </c>
      <c r="R1834" s="31">
        <f>IF(COUNTIFS($C:$C,$C1834,$D:$D,$D1834,$E:$E,"P0(후)",$M:$M,"&gt;0")&lt;&gt;1,"",SUMIFS($M:$M,$C:$C,$C1834,$D:$D,$D1834,$E:$E,"P0(후)"))</f>
        <v/>
      </c>
      <c r="S1834" s="31">
        <f>IF(N1834&lt;&gt;"OK","",P1834+(R1834-P1834)*(I1834-O1834)/(Q1834-O1834))</f>
        <v/>
      </c>
      <c r="T1834" s="31">
        <f>IF(OR(N1834&lt;&gt;"OK",NOT(ISNUMBER(M1834))),"",M1834-S1834)</f>
        <v/>
      </c>
      <c r="U1834" s="49">
        <f>IF(OR(NOT(ISNUMBER(T1834)),IF(ISNUMBER(H1834),H1834,G1834)=0),"",T1834/IF(ISNUMBER(H1834),H1834,G1834))</f>
        <v/>
      </c>
      <c r="V1834" s="49">
        <f>IF(ISNUMBER(U1834),ABS(U1834),"")</f>
        <v/>
      </c>
      <c r="W1834" s="49">
        <f>IF(OR($E1833&lt;&gt;"측정",$C1833&lt;&gt;$C1834,$D1833&lt;&gt;$D1834,NOT(ISNUMBER(M1834)),NOT(ISNUMBER(M1833)),(IF(ISNUMBER(H1834),H1834,G1834)-IF(ISNUMBER(H1833),H1833,G1833))=0),"",(M1834-M1833)/(IF(ISNUMBER(H1834),H1834,G1834)-IF(ISNUMBER(H1833),H1833,G1833)))</f>
        <v/>
      </c>
      <c r="X1834" s="31">
        <f>IF(NOT(AND(ISNUMBER(O1834),ISNUMBER(Q1834))),"",(Q1834-O1834)*1440)</f>
        <v/>
      </c>
      <c r="Y1834" s="29" t="n"/>
      <c r="Z1834" s="29" t="n"/>
      <c r="AA1834" s="29" t="n"/>
      <c r="AB1834" s="32" t="n"/>
      <c r="AC1834" s="32" t="n"/>
    </row>
    <row r="1835">
      <c r="A1835" s="26" t="inlineStr">
        <is>
          <t>S36</t>
        </is>
      </c>
      <c r="B1835" s="26" t="inlineStr">
        <is>
          <t>미원</t>
        </is>
      </c>
      <c r="C1835" s="26" t="inlineStr">
        <is>
          <t>S36-H동</t>
        </is>
      </c>
      <c r="D1835" s="47" t="n">
        <v>1</v>
      </c>
      <c r="E1835" s="26" t="inlineStr">
        <is>
          <t>측정</t>
        </is>
      </c>
      <c r="F1835" s="26" t="inlineStr">
        <is>
          <t>동</t>
        </is>
      </c>
      <c r="G1835" s="31" t="n">
        <v>8</v>
      </c>
      <c r="H1835" s="30" t="n"/>
      <c r="I1835" s="43" t="n"/>
      <c r="J1835" s="41" t="n"/>
      <c r="K1835" s="41" t="n"/>
      <c r="L1835" s="41" t="n"/>
      <c r="M1835" s="31">
        <f>IF(COUNT(J1835:L1835)=0,"",MEDIAN(J1835:L1835))</f>
        <v/>
      </c>
      <c r="N1835" s="26">
        <f>IF(COUNTIFS($C:$C,$C1835,$D:$D,$D1835,$E:$E,"P0(전)",$M:$M,"&gt;0")&lt;&gt;1,"P0(전) 유효 1개 아님",IF(COUNTIFS($C:$C,$C1835,$D:$D,$D1835,$E:$E,"P0(후)",$M:$M,"&gt;0")&lt;&gt;1,"P0(후) 유효 1개 아님",IF(NOT(AND(ISNUMBER(O1835),ISNUMBER(Q1835),ISNUMBER(I1835))),"시각 결측",IF(Q1835&lt;=O1835,"P0 시각 역전",IF(OR(I1835&lt;O1835,I1835&gt;Q1835),"측정시각 구간 밖","OK")))))</f>
        <v/>
      </c>
      <c r="O1835" s="48">
        <f>IF(COUNTIFS($C:$C,$C1835,$D:$D,$D1835,$E:$E,"P0(전)",$M:$M,"&gt;0")&lt;&gt;1,"",SUMIFS($I:$I,$C:$C,$C1835,$D:$D,$D1835,$E:$E,"P0(전)"))</f>
        <v/>
      </c>
      <c r="P1835" s="31">
        <f>IF(COUNTIFS($C:$C,$C1835,$D:$D,$D1835,$E:$E,"P0(전)",$M:$M,"&gt;0")&lt;&gt;1,"",SUMIFS($M:$M,$C:$C,$C1835,$D:$D,$D1835,$E:$E,"P0(전)"))</f>
        <v/>
      </c>
      <c r="Q1835" s="48">
        <f>IF(COUNTIFS($C:$C,$C1835,$D:$D,$D1835,$E:$E,"P0(후)",$M:$M,"&gt;0")&lt;&gt;1,"",SUMIFS($I:$I,$C:$C,$C1835,$D:$D,$D1835,$E:$E,"P0(후)"))</f>
        <v/>
      </c>
      <c r="R1835" s="31">
        <f>IF(COUNTIFS($C:$C,$C1835,$D:$D,$D1835,$E:$E,"P0(후)",$M:$M,"&gt;0")&lt;&gt;1,"",SUMIFS($M:$M,$C:$C,$C1835,$D:$D,$D1835,$E:$E,"P0(후)"))</f>
        <v/>
      </c>
      <c r="S1835" s="31">
        <f>IF(N1835&lt;&gt;"OK","",P1835+(R1835-P1835)*(I1835-O1835)/(Q1835-O1835))</f>
        <v/>
      </c>
      <c r="T1835" s="31">
        <f>IF(OR(N1835&lt;&gt;"OK",NOT(ISNUMBER(M1835))),"",M1835-S1835)</f>
        <v/>
      </c>
      <c r="U1835" s="49">
        <f>IF(OR(NOT(ISNUMBER(T1835)),IF(ISNUMBER(H1835),H1835,G1835)=0),"",T1835/IF(ISNUMBER(H1835),H1835,G1835))</f>
        <v/>
      </c>
      <c r="V1835" s="49">
        <f>IF(ISNUMBER(U1835),ABS(U1835),"")</f>
        <v/>
      </c>
      <c r="W1835" s="49">
        <f>IF(OR($E1834&lt;&gt;"측정",$C1834&lt;&gt;$C1835,$D1834&lt;&gt;$D1835,NOT(ISNUMBER(M1835)),NOT(ISNUMBER(M1834)),(IF(ISNUMBER(H1835),H1835,G1835)-IF(ISNUMBER(H1834),H1834,G1834))=0),"",(M1835-M1834)/(IF(ISNUMBER(H1835),H1835,G1835)-IF(ISNUMBER(H1834),H1834,G1834)))</f>
        <v/>
      </c>
      <c r="X1835" s="31">
        <f>IF(NOT(AND(ISNUMBER(O1835),ISNUMBER(Q1835))),"",(Q1835-O1835)*1440)</f>
        <v/>
      </c>
      <c r="Y1835" s="29" t="n"/>
      <c r="Z1835" s="29" t="n"/>
      <c r="AA1835" s="29" t="n"/>
      <c r="AB1835" s="32" t="n"/>
      <c r="AC1835" s="32" t="n"/>
    </row>
    <row r="1836">
      <c r="A1836" s="26" t="inlineStr">
        <is>
          <t>S36</t>
        </is>
      </c>
      <c r="B1836" s="26" t="inlineStr">
        <is>
          <t>미원</t>
        </is>
      </c>
      <c r="C1836" s="26" t="inlineStr">
        <is>
          <t>S36-H동</t>
        </is>
      </c>
      <c r="D1836" s="47" t="n">
        <v>1</v>
      </c>
      <c r="E1836" s="26" t="inlineStr">
        <is>
          <t>측정</t>
        </is>
      </c>
      <c r="F1836" s="26" t="inlineStr">
        <is>
          <t>동</t>
        </is>
      </c>
      <c r="G1836" s="31" t="n">
        <v>9</v>
      </c>
      <c r="H1836" s="30" t="n"/>
      <c r="I1836" s="43" t="n"/>
      <c r="J1836" s="41" t="n"/>
      <c r="K1836" s="41" t="n"/>
      <c r="L1836" s="41" t="n"/>
      <c r="M1836" s="31">
        <f>IF(COUNT(J1836:L1836)=0,"",MEDIAN(J1836:L1836))</f>
        <v/>
      </c>
      <c r="N1836" s="26">
        <f>IF(COUNTIFS($C:$C,$C1836,$D:$D,$D1836,$E:$E,"P0(전)",$M:$M,"&gt;0")&lt;&gt;1,"P0(전) 유효 1개 아님",IF(COUNTIFS($C:$C,$C1836,$D:$D,$D1836,$E:$E,"P0(후)",$M:$M,"&gt;0")&lt;&gt;1,"P0(후) 유효 1개 아님",IF(NOT(AND(ISNUMBER(O1836),ISNUMBER(Q1836),ISNUMBER(I1836))),"시각 결측",IF(Q1836&lt;=O1836,"P0 시각 역전",IF(OR(I1836&lt;O1836,I1836&gt;Q1836),"측정시각 구간 밖","OK")))))</f>
        <v/>
      </c>
      <c r="O1836" s="48">
        <f>IF(COUNTIFS($C:$C,$C1836,$D:$D,$D1836,$E:$E,"P0(전)",$M:$M,"&gt;0")&lt;&gt;1,"",SUMIFS($I:$I,$C:$C,$C1836,$D:$D,$D1836,$E:$E,"P0(전)"))</f>
        <v/>
      </c>
      <c r="P1836" s="31">
        <f>IF(COUNTIFS($C:$C,$C1836,$D:$D,$D1836,$E:$E,"P0(전)",$M:$M,"&gt;0")&lt;&gt;1,"",SUMIFS($M:$M,$C:$C,$C1836,$D:$D,$D1836,$E:$E,"P0(전)"))</f>
        <v/>
      </c>
      <c r="Q1836" s="48">
        <f>IF(COUNTIFS($C:$C,$C1836,$D:$D,$D1836,$E:$E,"P0(후)",$M:$M,"&gt;0")&lt;&gt;1,"",SUMIFS($I:$I,$C:$C,$C1836,$D:$D,$D1836,$E:$E,"P0(후)"))</f>
        <v/>
      </c>
      <c r="R1836" s="31">
        <f>IF(COUNTIFS($C:$C,$C1836,$D:$D,$D1836,$E:$E,"P0(후)",$M:$M,"&gt;0")&lt;&gt;1,"",SUMIFS($M:$M,$C:$C,$C1836,$D:$D,$D1836,$E:$E,"P0(후)"))</f>
        <v/>
      </c>
      <c r="S1836" s="31">
        <f>IF(N1836&lt;&gt;"OK","",P1836+(R1836-P1836)*(I1836-O1836)/(Q1836-O1836))</f>
        <v/>
      </c>
      <c r="T1836" s="31">
        <f>IF(OR(N1836&lt;&gt;"OK",NOT(ISNUMBER(M1836))),"",M1836-S1836)</f>
        <v/>
      </c>
      <c r="U1836" s="49">
        <f>IF(OR(NOT(ISNUMBER(T1836)),IF(ISNUMBER(H1836),H1836,G1836)=0),"",T1836/IF(ISNUMBER(H1836),H1836,G1836))</f>
        <v/>
      </c>
      <c r="V1836" s="49">
        <f>IF(ISNUMBER(U1836),ABS(U1836),"")</f>
        <v/>
      </c>
      <c r="W1836" s="49">
        <f>IF(OR($E1835&lt;&gt;"측정",$C1835&lt;&gt;$C1836,$D1835&lt;&gt;$D1836,NOT(ISNUMBER(M1836)),NOT(ISNUMBER(M1835)),(IF(ISNUMBER(H1836),H1836,G1836)-IF(ISNUMBER(H1835),H1835,G1835))=0),"",(M1836-M1835)/(IF(ISNUMBER(H1836),H1836,G1836)-IF(ISNUMBER(H1835),H1835,G1835)))</f>
        <v/>
      </c>
      <c r="X1836" s="31">
        <f>IF(NOT(AND(ISNUMBER(O1836),ISNUMBER(Q1836))),"",(Q1836-O1836)*1440)</f>
        <v/>
      </c>
      <c r="Y1836" s="29" t="n"/>
      <c r="Z1836" s="29" t="n"/>
      <c r="AA1836" s="29" t="n"/>
      <c r="AB1836" s="32" t="n"/>
      <c r="AC1836" s="32" t="n"/>
    </row>
    <row r="1837">
      <c r="A1837" s="26" t="inlineStr">
        <is>
          <t>S36</t>
        </is>
      </c>
      <c r="B1837" s="26" t="inlineStr">
        <is>
          <t>미원</t>
        </is>
      </c>
      <c r="C1837" s="26" t="inlineStr">
        <is>
          <t>S36-H동</t>
        </is>
      </c>
      <c r="D1837" s="47" t="n">
        <v>1</v>
      </c>
      <c r="E1837" s="26" t="inlineStr">
        <is>
          <t>측정</t>
        </is>
      </c>
      <c r="F1837" s="26" t="inlineStr">
        <is>
          <t>동</t>
        </is>
      </c>
      <c r="G1837" s="31" t="n">
        <v>10</v>
      </c>
      <c r="H1837" s="30" t="n"/>
      <c r="I1837" s="43" t="n"/>
      <c r="J1837" s="41" t="n"/>
      <c r="K1837" s="41" t="n"/>
      <c r="L1837" s="41" t="n"/>
      <c r="M1837" s="31">
        <f>IF(COUNT(J1837:L1837)=0,"",MEDIAN(J1837:L1837))</f>
        <v/>
      </c>
      <c r="N1837" s="26">
        <f>IF(COUNTIFS($C:$C,$C1837,$D:$D,$D1837,$E:$E,"P0(전)",$M:$M,"&gt;0")&lt;&gt;1,"P0(전) 유효 1개 아님",IF(COUNTIFS($C:$C,$C1837,$D:$D,$D1837,$E:$E,"P0(후)",$M:$M,"&gt;0")&lt;&gt;1,"P0(후) 유효 1개 아님",IF(NOT(AND(ISNUMBER(O1837),ISNUMBER(Q1837),ISNUMBER(I1837))),"시각 결측",IF(Q1837&lt;=O1837,"P0 시각 역전",IF(OR(I1837&lt;O1837,I1837&gt;Q1837),"측정시각 구간 밖","OK")))))</f>
        <v/>
      </c>
      <c r="O1837" s="48">
        <f>IF(COUNTIFS($C:$C,$C1837,$D:$D,$D1837,$E:$E,"P0(전)",$M:$M,"&gt;0")&lt;&gt;1,"",SUMIFS($I:$I,$C:$C,$C1837,$D:$D,$D1837,$E:$E,"P0(전)"))</f>
        <v/>
      </c>
      <c r="P1837" s="31">
        <f>IF(COUNTIFS($C:$C,$C1837,$D:$D,$D1837,$E:$E,"P0(전)",$M:$M,"&gt;0")&lt;&gt;1,"",SUMIFS($M:$M,$C:$C,$C1837,$D:$D,$D1837,$E:$E,"P0(전)"))</f>
        <v/>
      </c>
      <c r="Q1837" s="48">
        <f>IF(COUNTIFS($C:$C,$C1837,$D:$D,$D1837,$E:$E,"P0(후)",$M:$M,"&gt;0")&lt;&gt;1,"",SUMIFS($I:$I,$C:$C,$C1837,$D:$D,$D1837,$E:$E,"P0(후)"))</f>
        <v/>
      </c>
      <c r="R1837" s="31">
        <f>IF(COUNTIFS($C:$C,$C1837,$D:$D,$D1837,$E:$E,"P0(후)",$M:$M,"&gt;0")&lt;&gt;1,"",SUMIFS($M:$M,$C:$C,$C1837,$D:$D,$D1837,$E:$E,"P0(후)"))</f>
        <v/>
      </c>
      <c r="S1837" s="31">
        <f>IF(N1837&lt;&gt;"OK","",P1837+(R1837-P1837)*(I1837-O1837)/(Q1837-O1837))</f>
        <v/>
      </c>
      <c r="T1837" s="31">
        <f>IF(OR(N1837&lt;&gt;"OK",NOT(ISNUMBER(M1837))),"",M1837-S1837)</f>
        <v/>
      </c>
      <c r="U1837" s="49">
        <f>IF(OR(NOT(ISNUMBER(T1837)),IF(ISNUMBER(H1837),H1837,G1837)=0),"",T1837/IF(ISNUMBER(H1837),H1837,G1837))</f>
        <v/>
      </c>
      <c r="V1837" s="49">
        <f>IF(ISNUMBER(U1837),ABS(U1837),"")</f>
        <v/>
      </c>
      <c r="W1837" s="49">
        <f>IF(OR($E1836&lt;&gt;"측정",$C1836&lt;&gt;$C1837,$D1836&lt;&gt;$D1837,NOT(ISNUMBER(M1837)),NOT(ISNUMBER(M1836)),(IF(ISNUMBER(H1837),H1837,G1837)-IF(ISNUMBER(H1836),H1836,G1836))=0),"",(M1837-M1836)/(IF(ISNUMBER(H1837),H1837,G1837)-IF(ISNUMBER(H1836),H1836,G1836)))</f>
        <v/>
      </c>
      <c r="X1837" s="31">
        <f>IF(NOT(AND(ISNUMBER(O1837),ISNUMBER(Q1837))),"",(Q1837-O1837)*1440)</f>
        <v/>
      </c>
      <c r="Y1837" s="29" t="n"/>
      <c r="Z1837" s="29" t="n"/>
      <c r="AA1837" s="29" t="n"/>
      <c r="AB1837" s="32" t="n"/>
      <c r="AC1837" s="32" t="n"/>
    </row>
    <row r="1838">
      <c r="A1838" s="44" t="inlineStr">
        <is>
          <t>S36</t>
        </is>
      </c>
      <c r="B1838" s="44" t="inlineStr">
        <is>
          <t>미원</t>
        </is>
      </c>
      <c r="C1838" s="44" t="inlineStr">
        <is>
          <t>S36-H동</t>
        </is>
      </c>
      <c r="D1838" s="45" t="n">
        <v>1</v>
      </c>
      <c r="E1838" s="44" t="inlineStr">
        <is>
          <t>P0(후)</t>
        </is>
      </c>
      <c r="F1838" s="44" t="inlineStr">
        <is>
          <t>동</t>
        </is>
      </c>
      <c r="G1838" s="46" t="n"/>
      <c r="H1838" s="30" t="n"/>
      <c r="I1838" s="43" t="n"/>
      <c r="J1838" s="41" t="n"/>
      <c r="K1838" s="41" t="n"/>
      <c r="L1838" s="41" t="n"/>
      <c r="M1838" s="31">
        <f>IF(COUNT(J1838:L1838)=0,"",MEDIAN(J1838:L1838))</f>
        <v/>
      </c>
      <c r="N1838" s="38" t="n"/>
      <c r="O1838" s="38" t="n"/>
      <c r="P1838" s="38" t="n"/>
      <c r="Q1838" s="38" t="n"/>
      <c r="R1838" s="38" t="n"/>
      <c r="S1838" s="38" t="n"/>
      <c r="T1838" s="38" t="n"/>
      <c r="U1838" s="38" t="n"/>
      <c r="V1838" s="38" t="n"/>
      <c r="W1838" s="38" t="n"/>
      <c r="X1838" s="38" t="n"/>
      <c r="Y1838" s="29" t="n"/>
      <c r="Z1838" s="29" t="n"/>
      <c r="AA1838" s="29" t="n"/>
      <c r="AB1838" s="32" t="n"/>
      <c r="AC1838" s="32" t="n"/>
    </row>
    <row r="1839">
      <c r="A1839" s="44" t="inlineStr">
        <is>
          <t>S36</t>
        </is>
      </c>
      <c r="B1839" s="44" t="inlineStr">
        <is>
          <t>미원</t>
        </is>
      </c>
      <c r="C1839" s="44" t="inlineStr">
        <is>
          <t>S36-H서</t>
        </is>
      </c>
      <c r="D1839" s="45" t="n">
        <v>1</v>
      </c>
      <c r="E1839" s="44" t="inlineStr">
        <is>
          <t>P0(전)</t>
        </is>
      </c>
      <c r="F1839" s="44" t="inlineStr">
        <is>
          <t>서</t>
        </is>
      </c>
      <c r="G1839" s="46" t="n"/>
      <c r="H1839" s="30" t="n"/>
      <c r="I1839" s="43" t="n"/>
      <c r="J1839" s="41" t="n"/>
      <c r="K1839" s="41" t="n"/>
      <c r="L1839" s="41" t="n"/>
      <c r="M1839" s="31">
        <f>IF(COUNT(J1839:L1839)=0,"",MEDIAN(J1839:L1839))</f>
        <v/>
      </c>
      <c r="N1839" s="38" t="n"/>
      <c r="O1839" s="38" t="n"/>
      <c r="P1839" s="38" t="n"/>
      <c r="Q1839" s="38" t="n"/>
      <c r="R1839" s="38" t="n"/>
      <c r="S1839" s="38" t="n"/>
      <c r="T1839" s="38" t="n"/>
      <c r="U1839" s="38" t="n"/>
      <c r="V1839" s="38" t="n"/>
      <c r="W1839" s="38" t="n"/>
      <c r="X1839" s="38" t="n"/>
      <c r="Y1839" s="29" t="n"/>
      <c r="Z1839" s="29" t="n"/>
      <c r="AA1839" s="29" t="n"/>
      <c r="AB1839" s="32" t="n"/>
      <c r="AC1839" s="32" t="n"/>
    </row>
    <row r="1840">
      <c r="A1840" s="26" t="inlineStr">
        <is>
          <t>S36</t>
        </is>
      </c>
      <c r="B1840" s="26" t="inlineStr">
        <is>
          <t>미원</t>
        </is>
      </c>
      <c r="C1840" s="26" t="inlineStr">
        <is>
          <t>S36-H서</t>
        </is>
      </c>
      <c r="D1840" s="47" t="n">
        <v>1</v>
      </c>
      <c r="E1840" s="26" t="inlineStr">
        <is>
          <t>측정</t>
        </is>
      </c>
      <c r="F1840" s="26" t="inlineStr">
        <is>
          <t>서</t>
        </is>
      </c>
      <c r="G1840" s="31" t="n">
        <v>0.5</v>
      </c>
      <c r="H1840" s="30" t="n"/>
      <c r="I1840" s="43" t="n"/>
      <c r="J1840" s="41" t="n"/>
      <c r="K1840" s="41" t="n"/>
      <c r="L1840" s="41" t="n"/>
      <c r="M1840" s="31">
        <f>IF(COUNT(J1840:L1840)=0,"",MEDIAN(J1840:L1840))</f>
        <v/>
      </c>
      <c r="N1840" s="26">
        <f>IF(COUNTIFS($C:$C,$C1840,$D:$D,$D1840,$E:$E,"P0(전)",$M:$M,"&gt;0")&lt;&gt;1,"P0(전) 유효 1개 아님",IF(COUNTIFS($C:$C,$C1840,$D:$D,$D1840,$E:$E,"P0(후)",$M:$M,"&gt;0")&lt;&gt;1,"P0(후) 유효 1개 아님",IF(NOT(AND(ISNUMBER(O1840),ISNUMBER(Q1840),ISNUMBER(I1840))),"시각 결측",IF(Q1840&lt;=O1840,"P0 시각 역전",IF(OR(I1840&lt;O1840,I1840&gt;Q1840),"측정시각 구간 밖","OK")))))</f>
        <v/>
      </c>
      <c r="O1840" s="48">
        <f>IF(COUNTIFS($C:$C,$C1840,$D:$D,$D1840,$E:$E,"P0(전)",$M:$M,"&gt;0")&lt;&gt;1,"",SUMIFS($I:$I,$C:$C,$C1840,$D:$D,$D1840,$E:$E,"P0(전)"))</f>
        <v/>
      </c>
      <c r="P1840" s="31">
        <f>IF(COUNTIFS($C:$C,$C1840,$D:$D,$D1840,$E:$E,"P0(전)",$M:$M,"&gt;0")&lt;&gt;1,"",SUMIFS($M:$M,$C:$C,$C1840,$D:$D,$D1840,$E:$E,"P0(전)"))</f>
        <v/>
      </c>
      <c r="Q1840" s="48">
        <f>IF(COUNTIFS($C:$C,$C1840,$D:$D,$D1840,$E:$E,"P0(후)",$M:$M,"&gt;0")&lt;&gt;1,"",SUMIFS($I:$I,$C:$C,$C1840,$D:$D,$D1840,$E:$E,"P0(후)"))</f>
        <v/>
      </c>
      <c r="R1840" s="31">
        <f>IF(COUNTIFS($C:$C,$C1840,$D:$D,$D1840,$E:$E,"P0(후)",$M:$M,"&gt;0")&lt;&gt;1,"",SUMIFS($M:$M,$C:$C,$C1840,$D:$D,$D1840,$E:$E,"P0(후)"))</f>
        <v/>
      </c>
      <c r="S1840" s="31">
        <f>IF(N1840&lt;&gt;"OK","",P1840+(R1840-P1840)*(I1840-O1840)/(Q1840-O1840))</f>
        <v/>
      </c>
      <c r="T1840" s="31">
        <f>IF(OR(N1840&lt;&gt;"OK",NOT(ISNUMBER(M1840))),"",M1840-S1840)</f>
        <v/>
      </c>
      <c r="U1840" s="49">
        <f>IF(OR(NOT(ISNUMBER(T1840)),IF(ISNUMBER(H1840),H1840,G1840)=0),"",T1840/IF(ISNUMBER(H1840),H1840,G1840))</f>
        <v/>
      </c>
      <c r="V1840" s="49">
        <f>IF(ISNUMBER(U1840),ABS(U1840),"")</f>
        <v/>
      </c>
      <c r="W1840" s="49">
        <f>IF(OR($E1839&lt;&gt;"측정",$C1839&lt;&gt;$C1840,$D1839&lt;&gt;$D1840,NOT(ISNUMBER(M1840)),NOT(ISNUMBER(M1839)),(IF(ISNUMBER(H1840),H1840,G1840)-IF(ISNUMBER(H1839),H1839,G1839))=0),"",(M1840-M1839)/(IF(ISNUMBER(H1840),H1840,G1840)-IF(ISNUMBER(H1839),H1839,G1839)))</f>
        <v/>
      </c>
      <c r="X1840" s="31">
        <f>IF(NOT(AND(ISNUMBER(O1840),ISNUMBER(Q1840))),"",(Q1840-O1840)*1440)</f>
        <v/>
      </c>
      <c r="Y1840" s="29" t="n"/>
      <c r="Z1840" s="29" t="n"/>
      <c r="AA1840" s="29" t="n"/>
      <c r="AB1840" s="32" t="n"/>
      <c r="AC1840" s="32" t="n"/>
    </row>
    <row r="1841">
      <c r="A1841" s="26" t="inlineStr">
        <is>
          <t>S36</t>
        </is>
      </c>
      <c r="B1841" s="26" t="inlineStr">
        <is>
          <t>미원</t>
        </is>
      </c>
      <c r="C1841" s="26" t="inlineStr">
        <is>
          <t>S36-H서</t>
        </is>
      </c>
      <c r="D1841" s="47" t="n">
        <v>1</v>
      </c>
      <c r="E1841" s="26" t="inlineStr">
        <is>
          <t>측정</t>
        </is>
      </c>
      <c r="F1841" s="26" t="inlineStr">
        <is>
          <t>서</t>
        </is>
      </c>
      <c r="G1841" s="31" t="n">
        <v>1</v>
      </c>
      <c r="H1841" s="30" t="n"/>
      <c r="I1841" s="43" t="n"/>
      <c r="J1841" s="41" t="n"/>
      <c r="K1841" s="41" t="n"/>
      <c r="L1841" s="41" t="n"/>
      <c r="M1841" s="31">
        <f>IF(COUNT(J1841:L1841)=0,"",MEDIAN(J1841:L1841))</f>
        <v/>
      </c>
      <c r="N1841" s="26">
        <f>IF(COUNTIFS($C:$C,$C1841,$D:$D,$D1841,$E:$E,"P0(전)",$M:$M,"&gt;0")&lt;&gt;1,"P0(전) 유효 1개 아님",IF(COUNTIFS($C:$C,$C1841,$D:$D,$D1841,$E:$E,"P0(후)",$M:$M,"&gt;0")&lt;&gt;1,"P0(후) 유효 1개 아님",IF(NOT(AND(ISNUMBER(O1841),ISNUMBER(Q1841),ISNUMBER(I1841))),"시각 결측",IF(Q1841&lt;=O1841,"P0 시각 역전",IF(OR(I1841&lt;O1841,I1841&gt;Q1841),"측정시각 구간 밖","OK")))))</f>
        <v/>
      </c>
      <c r="O1841" s="48">
        <f>IF(COUNTIFS($C:$C,$C1841,$D:$D,$D1841,$E:$E,"P0(전)",$M:$M,"&gt;0")&lt;&gt;1,"",SUMIFS($I:$I,$C:$C,$C1841,$D:$D,$D1841,$E:$E,"P0(전)"))</f>
        <v/>
      </c>
      <c r="P1841" s="31">
        <f>IF(COUNTIFS($C:$C,$C1841,$D:$D,$D1841,$E:$E,"P0(전)",$M:$M,"&gt;0")&lt;&gt;1,"",SUMIFS($M:$M,$C:$C,$C1841,$D:$D,$D1841,$E:$E,"P0(전)"))</f>
        <v/>
      </c>
      <c r="Q1841" s="48">
        <f>IF(COUNTIFS($C:$C,$C1841,$D:$D,$D1841,$E:$E,"P0(후)",$M:$M,"&gt;0")&lt;&gt;1,"",SUMIFS($I:$I,$C:$C,$C1841,$D:$D,$D1841,$E:$E,"P0(후)"))</f>
        <v/>
      </c>
      <c r="R1841" s="31">
        <f>IF(COUNTIFS($C:$C,$C1841,$D:$D,$D1841,$E:$E,"P0(후)",$M:$M,"&gt;0")&lt;&gt;1,"",SUMIFS($M:$M,$C:$C,$C1841,$D:$D,$D1841,$E:$E,"P0(후)"))</f>
        <v/>
      </c>
      <c r="S1841" s="31">
        <f>IF(N1841&lt;&gt;"OK","",P1841+(R1841-P1841)*(I1841-O1841)/(Q1841-O1841))</f>
        <v/>
      </c>
      <c r="T1841" s="31">
        <f>IF(OR(N1841&lt;&gt;"OK",NOT(ISNUMBER(M1841))),"",M1841-S1841)</f>
        <v/>
      </c>
      <c r="U1841" s="49">
        <f>IF(OR(NOT(ISNUMBER(T1841)),IF(ISNUMBER(H1841),H1841,G1841)=0),"",T1841/IF(ISNUMBER(H1841),H1841,G1841))</f>
        <v/>
      </c>
      <c r="V1841" s="49">
        <f>IF(ISNUMBER(U1841),ABS(U1841),"")</f>
        <v/>
      </c>
      <c r="W1841" s="49">
        <f>IF(OR($E1840&lt;&gt;"측정",$C1840&lt;&gt;$C1841,$D1840&lt;&gt;$D1841,NOT(ISNUMBER(M1841)),NOT(ISNUMBER(M1840)),(IF(ISNUMBER(H1841),H1841,G1841)-IF(ISNUMBER(H1840),H1840,G1840))=0),"",(M1841-M1840)/(IF(ISNUMBER(H1841),H1841,G1841)-IF(ISNUMBER(H1840),H1840,G1840)))</f>
        <v/>
      </c>
      <c r="X1841" s="31">
        <f>IF(NOT(AND(ISNUMBER(O1841),ISNUMBER(Q1841))),"",(Q1841-O1841)*1440)</f>
        <v/>
      </c>
      <c r="Y1841" s="29" t="n"/>
      <c r="Z1841" s="29" t="n"/>
      <c r="AA1841" s="29" t="n"/>
      <c r="AB1841" s="32" t="n"/>
      <c r="AC1841" s="32" t="n"/>
    </row>
    <row r="1842">
      <c r="A1842" s="26" t="inlineStr">
        <is>
          <t>S36</t>
        </is>
      </c>
      <c r="B1842" s="26" t="inlineStr">
        <is>
          <t>미원</t>
        </is>
      </c>
      <c r="C1842" s="26" t="inlineStr">
        <is>
          <t>S36-H서</t>
        </is>
      </c>
      <c r="D1842" s="47" t="n">
        <v>1</v>
      </c>
      <c r="E1842" s="26" t="inlineStr">
        <is>
          <t>측정</t>
        </is>
      </c>
      <c r="F1842" s="26" t="inlineStr">
        <is>
          <t>서</t>
        </is>
      </c>
      <c r="G1842" s="31" t="n">
        <v>2</v>
      </c>
      <c r="H1842" s="30" t="n"/>
      <c r="I1842" s="43" t="n"/>
      <c r="J1842" s="41" t="n"/>
      <c r="K1842" s="41" t="n"/>
      <c r="L1842" s="41" t="n"/>
      <c r="M1842" s="31">
        <f>IF(COUNT(J1842:L1842)=0,"",MEDIAN(J1842:L1842))</f>
        <v/>
      </c>
      <c r="N1842" s="26">
        <f>IF(COUNTIFS($C:$C,$C1842,$D:$D,$D1842,$E:$E,"P0(전)",$M:$M,"&gt;0")&lt;&gt;1,"P0(전) 유효 1개 아님",IF(COUNTIFS($C:$C,$C1842,$D:$D,$D1842,$E:$E,"P0(후)",$M:$M,"&gt;0")&lt;&gt;1,"P0(후) 유효 1개 아님",IF(NOT(AND(ISNUMBER(O1842),ISNUMBER(Q1842),ISNUMBER(I1842))),"시각 결측",IF(Q1842&lt;=O1842,"P0 시각 역전",IF(OR(I1842&lt;O1842,I1842&gt;Q1842),"측정시각 구간 밖","OK")))))</f>
        <v/>
      </c>
      <c r="O1842" s="48">
        <f>IF(COUNTIFS($C:$C,$C1842,$D:$D,$D1842,$E:$E,"P0(전)",$M:$M,"&gt;0")&lt;&gt;1,"",SUMIFS($I:$I,$C:$C,$C1842,$D:$D,$D1842,$E:$E,"P0(전)"))</f>
        <v/>
      </c>
      <c r="P1842" s="31">
        <f>IF(COUNTIFS($C:$C,$C1842,$D:$D,$D1842,$E:$E,"P0(전)",$M:$M,"&gt;0")&lt;&gt;1,"",SUMIFS($M:$M,$C:$C,$C1842,$D:$D,$D1842,$E:$E,"P0(전)"))</f>
        <v/>
      </c>
      <c r="Q1842" s="48">
        <f>IF(COUNTIFS($C:$C,$C1842,$D:$D,$D1842,$E:$E,"P0(후)",$M:$M,"&gt;0")&lt;&gt;1,"",SUMIFS($I:$I,$C:$C,$C1842,$D:$D,$D1842,$E:$E,"P0(후)"))</f>
        <v/>
      </c>
      <c r="R1842" s="31">
        <f>IF(COUNTIFS($C:$C,$C1842,$D:$D,$D1842,$E:$E,"P0(후)",$M:$M,"&gt;0")&lt;&gt;1,"",SUMIFS($M:$M,$C:$C,$C1842,$D:$D,$D1842,$E:$E,"P0(후)"))</f>
        <v/>
      </c>
      <c r="S1842" s="31">
        <f>IF(N1842&lt;&gt;"OK","",P1842+(R1842-P1842)*(I1842-O1842)/(Q1842-O1842))</f>
        <v/>
      </c>
      <c r="T1842" s="31">
        <f>IF(OR(N1842&lt;&gt;"OK",NOT(ISNUMBER(M1842))),"",M1842-S1842)</f>
        <v/>
      </c>
      <c r="U1842" s="49">
        <f>IF(OR(NOT(ISNUMBER(T1842)),IF(ISNUMBER(H1842),H1842,G1842)=0),"",T1842/IF(ISNUMBER(H1842),H1842,G1842))</f>
        <v/>
      </c>
      <c r="V1842" s="49">
        <f>IF(ISNUMBER(U1842),ABS(U1842),"")</f>
        <v/>
      </c>
      <c r="W1842" s="49">
        <f>IF(OR($E1841&lt;&gt;"측정",$C1841&lt;&gt;$C1842,$D1841&lt;&gt;$D1842,NOT(ISNUMBER(M1842)),NOT(ISNUMBER(M1841)),(IF(ISNUMBER(H1842),H1842,G1842)-IF(ISNUMBER(H1841),H1841,G1841))=0),"",(M1842-M1841)/(IF(ISNUMBER(H1842),H1842,G1842)-IF(ISNUMBER(H1841),H1841,G1841)))</f>
        <v/>
      </c>
      <c r="X1842" s="31">
        <f>IF(NOT(AND(ISNUMBER(O1842),ISNUMBER(Q1842))),"",(Q1842-O1842)*1440)</f>
        <v/>
      </c>
      <c r="Y1842" s="29" t="n"/>
      <c r="Z1842" s="29" t="n"/>
      <c r="AA1842" s="29" t="n"/>
      <c r="AB1842" s="32" t="n"/>
      <c r="AC1842" s="32" t="n"/>
    </row>
    <row r="1843">
      <c r="A1843" s="26" t="inlineStr">
        <is>
          <t>S36</t>
        </is>
      </c>
      <c r="B1843" s="26" t="inlineStr">
        <is>
          <t>미원</t>
        </is>
      </c>
      <c r="C1843" s="26" t="inlineStr">
        <is>
          <t>S36-H서</t>
        </is>
      </c>
      <c r="D1843" s="47" t="n">
        <v>1</v>
      </c>
      <c r="E1843" s="26" t="inlineStr">
        <is>
          <t>측정</t>
        </is>
      </c>
      <c r="F1843" s="26" t="inlineStr">
        <is>
          <t>서</t>
        </is>
      </c>
      <c r="G1843" s="31" t="n">
        <v>3</v>
      </c>
      <c r="H1843" s="30" t="n"/>
      <c r="I1843" s="43" t="n"/>
      <c r="J1843" s="41" t="n"/>
      <c r="K1843" s="41" t="n"/>
      <c r="L1843" s="41" t="n"/>
      <c r="M1843" s="31">
        <f>IF(COUNT(J1843:L1843)=0,"",MEDIAN(J1843:L1843))</f>
        <v/>
      </c>
      <c r="N1843" s="26">
        <f>IF(COUNTIFS($C:$C,$C1843,$D:$D,$D1843,$E:$E,"P0(전)",$M:$M,"&gt;0")&lt;&gt;1,"P0(전) 유효 1개 아님",IF(COUNTIFS($C:$C,$C1843,$D:$D,$D1843,$E:$E,"P0(후)",$M:$M,"&gt;0")&lt;&gt;1,"P0(후) 유효 1개 아님",IF(NOT(AND(ISNUMBER(O1843),ISNUMBER(Q1843),ISNUMBER(I1843))),"시각 결측",IF(Q1843&lt;=O1843,"P0 시각 역전",IF(OR(I1843&lt;O1843,I1843&gt;Q1843),"측정시각 구간 밖","OK")))))</f>
        <v/>
      </c>
      <c r="O1843" s="48">
        <f>IF(COUNTIFS($C:$C,$C1843,$D:$D,$D1843,$E:$E,"P0(전)",$M:$M,"&gt;0")&lt;&gt;1,"",SUMIFS($I:$I,$C:$C,$C1843,$D:$D,$D1843,$E:$E,"P0(전)"))</f>
        <v/>
      </c>
      <c r="P1843" s="31">
        <f>IF(COUNTIFS($C:$C,$C1843,$D:$D,$D1843,$E:$E,"P0(전)",$M:$M,"&gt;0")&lt;&gt;1,"",SUMIFS($M:$M,$C:$C,$C1843,$D:$D,$D1843,$E:$E,"P0(전)"))</f>
        <v/>
      </c>
      <c r="Q1843" s="48">
        <f>IF(COUNTIFS($C:$C,$C1843,$D:$D,$D1843,$E:$E,"P0(후)",$M:$M,"&gt;0")&lt;&gt;1,"",SUMIFS($I:$I,$C:$C,$C1843,$D:$D,$D1843,$E:$E,"P0(후)"))</f>
        <v/>
      </c>
      <c r="R1843" s="31">
        <f>IF(COUNTIFS($C:$C,$C1843,$D:$D,$D1843,$E:$E,"P0(후)",$M:$M,"&gt;0")&lt;&gt;1,"",SUMIFS($M:$M,$C:$C,$C1843,$D:$D,$D1843,$E:$E,"P0(후)"))</f>
        <v/>
      </c>
      <c r="S1843" s="31">
        <f>IF(N1843&lt;&gt;"OK","",P1843+(R1843-P1843)*(I1843-O1843)/(Q1843-O1843))</f>
        <v/>
      </c>
      <c r="T1843" s="31">
        <f>IF(OR(N1843&lt;&gt;"OK",NOT(ISNUMBER(M1843))),"",M1843-S1843)</f>
        <v/>
      </c>
      <c r="U1843" s="49">
        <f>IF(OR(NOT(ISNUMBER(T1843)),IF(ISNUMBER(H1843),H1843,G1843)=0),"",T1843/IF(ISNUMBER(H1843),H1843,G1843))</f>
        <v/>
      </c>
      <c r="V1843" s="49">
        <f>IF(ISNUMBER(U1843),ABS(U1843),"")</f>
        <v/>
      </c>
      <c r="W1843" s="49">
        <f>IF(OR($E1842&lt;&gt;"측정",$C1842&lt;&gt;$C1843,$D1842&lt;&gt;$D1843,NOT(ISNUMBER(M1843)),NOT(ISNUMBER(M1842)),(IF(ISNUMBER(H1843),H1843,G1843)-IF(ISNUMBER(H1842),H1842,G1842))=0),"",(M1843-M1842)/(IF(ISNUMBER(H1843),H1843,G1843)-IF(ISNUMBER(H1842),H1842,G1842)))</f>
        <v/>
      </c>
      <c r="X1843" s="31">
        <f>IF(NOT(AND(ISNUMBER(O1843),ISNUMBER(Q1843))),"",(Q1843-O1843)*1440)</f>
        <v/>
      </c>
      <c r="Y1843" s="29" t="n"/>
      <c r="Z1843" s="29" t="n"/>
      <c r="AA1843" s="29" t="n"/>
      <c r="AB1843" s="32" t="n"/>
      <c r="AC1843" s="32" t="n"/>
    </row>
    <row r="1844">
      <c r="A1844" s="26" t="inlineStr">
        <is>
          <t>S36</t>
        </is>
      </c>
      <c r="B1844" s="26" t="inlineStr">
        <is>
          <t>미원</t>
        </is>
      </c>
      <c r="C1844" s="26" t="inlineStr">
        <is>
          <t>S36-H서</t>
        </is>
      </c>
      <c r="D1844" s="47" t="n">
        <v>1</v>
      </c>
      <c r="E1844" s="26" t="inlineStr">
        <is>
          <t>측정</t>
        </is>
      </c>
      <c r="F1844" s="26" t="inlineStr">
        <is>
          <t>서</t>
        </is>
      </c>
      <c r="G1844" s="31" t="n">
        <v>4</v>
      </c>
      <c r="H1844" s="30" t="n"/>
      <c r="I1844" s="43" t="n"/>
      <c r="J1844" s="41" t="n"/>
      <c r="K1844" s="41" t="n"/>
      <c r="L1844" s="41" t="n"/>
      <c r="M1844" s="31">
        <f>IF(COUNT(J1844:L1844)=0,"",MEDIAN(J1844:L1844))</f>
        <v/>
      </c>
      <c r="N1844" s="26">
        <f>IF(COUNTIFS($C:$C,$C1844,$D:$D,$D1844,$E:$E,"P0(전)",$M:$M,"&gt;0")&lt;&gt;1,"P0(전) 유효 1개 아님",IF(COUNTIFS($C:$C,$C1844,$D:$D,$D1844,$E:$E,"P0(후)",$M:$M,"&gt;0")&lt;&gt;1,"P0(후) 유효 1개 아님",IF(NOT(AND(ISNUMBER(O1844),ISNUMBER(Q1844),ISNUMBER(I1844))),"시각 결측",IF(Q1844&lt;=O1844,"P0 시각 역전",IF(OR(I1844&lt;O1844,I1844&gt;Q1844),"측정시각 구간 밖","OK")))))</f>
        <v/>
      </c>
      <c r="O1844" s="48">
        <f>IF(COUNTIFS($C:$C,$C1844,$D:$D,$D1844,$E:$E,"P0(전)",$M:$M,"&gt;0")&lt;&gt;1,"",SUMIFS($I:$I,$C:$C,$C1844,$D:$D,$D1844,$E:$E,"P0(전)"))</f>
        <v/>
      </c>
      <c r="P1844" s="31">
        <f>IF(COUNTIFS($C:$C,$C1844,$D:$D,$D1844,$E:$E,"P0(전)",$M:$M,"&gt;0")&lt;&gt;1,"",SUMIFS($M:$M,$C:$C,$C1844,$D:$D,$D1844,$E:$E,"P0(전)"))</f>
        <v/>
      </c>
      <c r="Q1844" s="48">
        <f>IF(COUNTIFS($C:$C,$C1844,$D:$D,$D1844,$E:$E,"P0(후)",$M:$M,"&gt;0")&lt;&gt;1,"",SUMIFS($I:$I,$C:$C,$C1844,$D:$D,$D1844,$E:$E,"P0(후)"))</f>
        <v/>
      </c>
      <c r="R1844" s="31">
        <f>IF(COUNTIFS($C:$C,$C1844,$D:$D,$D1844,$E:$E,"P0(후)",$M:$M,"&gt;0")&lt;&gt;1,"",SUMIFS($M:$M,$C:$C,$C1844,$D:$D,$D1844,$E:$E,"P0(후)"))</f>
        <v/>
      </c>
      <c r="S1844" s="31">
        <f>IF(N1844&lt;&gt;"OK","",P1844+(R1844-P1844)*(I1844-O1844)/(Q1844-O1844))</f>
        <v/>
      </c>
      <c r="T1844" s="31">
        <f>IF(OR(N1844&lt;&gt;"OK",NOT(ISNUMBER(M1844))),"",M1844-S1844)</f>
        <v/>
      </c>
      <c r="U1844" s="49">
        <f>IF(OR(NOT(ISNUMBER(T1844)),IF(ISNUMBER(H1844),H1844,G1844)=0),"",T1844/IF(ISNUMBER(H1844),H1844,G1844))</f>
        <v/>
      </c>
      <c r="V1844" s="49">
        <f>IF(ISNUMBER(U1844),ABS(U1844),"")</f>
        <v/>
      </c>
      <c r="W1844" s="49">
        <f>IF(OR($E1843&lt;&gt;"측정",$C1843&lt;&gt;$C1844,$D1843&lt;&gt;$D1844,NOT(ISNUMBER(M1844)),NOT(ISNUMBER(M1843)),(IF(ISNUMBER(H1844),H1844,G1844)-IF(ISNUMBER(H1843),H1843,G1843))=0),"",(M1844-M1843)/(IF(ISNUMBER(H1844),H1844,G1844)-IF(ISNUMBER(H1843),H1843,G1843)))</f>
        <v/>
      </c>
      <c r="X1844" s="31">
        <f>IF(NOT(AND(ISNUMBER(O1844),ISNUMBER(Q1844))),"",(Q1844-O1844)*1440)</f>
        <v/>
      </c>
      <c r="Y1844" s="29" t="n"/>
      <c r="Z1844" s="29" t="n"/>
      <c r="AA1844" s="29" t="n"/>
      <c r="AB1844" s="32" t="n"/>
      <c r="AC1844" s="32" t="n"/>
    </row>
    <row r="1845">
      <c r="A1845" s="26" t="inlineStr">
        <is>
          <t>S36</t>
        </is>
      </c>
      <c r="B1845" s="26" t="inlineStr">
        <is>
          <t>미원</t>
        </is>
      </c>
      <c r="C1845" s="26" t="inlineStr">
        <is>
          <t>S36-H서</t>
        </is>
      </c>
      <c r="D1845" s="47" t="n">
        <v>1</v>
      </c>
      <c r="E1845" s="26" t="inlineStr">
        <is>
          <t>측정</t>
        </is>
      </c>
      <c r="F1845" s="26" t="inlineStr">
        <is>
          <t>서</t>
        </is>
      </c>
      <c r="G1845" s="31" t="n">
        <v>5</v>
      </c>
      <c r="H1845" s="30" t="n"/>
      <c r="I1845" s="43" t="n"/>
      <c r="J1845" s="41" t="n"/>
      <c r="K1845" s="41" t="n"/>
      <c r="L1845" s="41" t="n"/>
      <c r="M1845" s="31">
        <f>IF(COUNT(J1845:L1845)=0,"",MEDIAN(J1845:L1845))</f>
        <v/>
      </c>
      <c r="N1845" s="26">
        <f>IF(COUNTIFS($C:$C,$C1845,$D:$D,$D1845,$E:$E,"P0(전)",$M:$M,"&gt;0")&lt;&gt;1,"P0(전) 유효 1개 아님",IF(COUNTIFS($C:$C,$C1845,$D:$D,$D1845,$E:$E,"P0(후)",$M:$M,"&gt;0")&lt;&gt;1,"P0(후) 유효 1개 아님",IF(NOT(AND(ISNUMBER(O1845),ISNUMBER(Q1845),ISNUMBER(I1845))),"시각 결측",IF(Q1845&lt;=O1845,"P0 시각 역전",IF(OR(I1845&lt;O1845,I1845&gt;Q1845),"측정시각 구간 밖","OK")))))</f>
        <v/>
      </c>
      <c r="O1845" s="48">
        <f>IF(COUNTIFS($C:$C,$C1845,$D:$D,$D1845,$E:$E,"P0(전)",$M:$M,"&gt;0")&lt;&gt;1,"",SUMIFS($I:$I,$C:$C,$C1845,$D:$D,$D1845,$E:$E,"P0(전)"))</f>
        <v/>
      </c>
      <c r="P1845" s="31">
        <f>IF(COUNTIFS($C:$C,$C1845,$D:$D,$D1845,$E:$E,"P0(전)",$M:$M,"&gt;0")&lt;&gt;1,"",SUMIFS($M:$M,$C:$C,$C1845,$D:$D,$D1845,$E:$E,"P0(전)"))</f>
        <v/>
      </c>
      <c r="Q1845" s="48">
        <f>IF(COUNTIFS($C:$C,$C1845,$D:$D,$D1845,$E:$E,"P0(후)",$M:$M,"&gt;0")&lt;&gt;1,"",SUMIFS($I:$I,$C:$C,$C1845,$D:$D,$D1845,$E:$E,"P0(후)"))</f>
        <v/>
      </c>
      <c r="R1845" s="31">
        <f>IF(COUNTIFS($C:$C,$C1845,$D:$D,$D1845,$E:$E,"P0(후)",$M:$M,"&gt;0")&lt;&gt;1,"",SUMIFS($M:$M,$C:$C,$C1845,$D:$D,$D1845,$E:$E,"P0(후)"))</f>
        <v/>
      </c>
      <c r="S1845" s="31">
        <f>IF(N1845&lt;&gt;"OK","",P1845+(R1845-P1845)*(I1845-O1845)/(Q1845-O1845))</f>
        <v/>
      </c>
      <c r="T1845" s="31">
        <f>IF(OR(N1845&lt;&gt;"OK",NOT(ISNUMBER(M1845))),"",M1845-S1845)</f>
        <v/>
      </c>
      <c r="U1845" s="49">
        <f>IF(OR(NOT(ISNUMBER(T1845)),IF(ISNUMBER(H1845),H1845,G1845)=0),"",T1845/IF(ISNUMBER(H1845),H1845,G1845))</f>
        <v/>
      </c>
      <c r="V1845" s="49">
        <f>IF(ISNUMBER(U1845),ABS(U1845),"")</f>
        <v/>
      </c>
      <c r="W1845" s="49">
        <f>IF(OR($E1844&lt;&gt;"측정",$C1844&lt;&gt;$C1845,$D1844&lt;&gt;$D1845,NOT(ISNUMBER(M1845)),NOT(ISNUMBER(M1844)),(IF(ISNUMBER(H1845),H1845,G1845)-IF(ISNUMBER(H1844),H1844,G1844))=0),"",(M1845-M1844)/(IF(ISNUMBER(H1845),H1845,G1845)-IF(ISNUMBER(H1844),H1844,G1844)))</f>
        <v/>
      </c>
      <c r="X1845" s="31">
        <f>IF(NOT(AND(ISNUMBER(O1845),ISNUMBER(Q1845))),"",(Q1845-O1845)*1440)</f>
        <v/>
      </c>
      <c r="Y1845" s="29" t="n"/>
      <c r="Z1845" s="29" t="n"/>
      <c r="AA1845" s="29" t="n"/>
      <c r="AB1845" s="32" t="n"/>
      <c r="AC1845" s="32" t="n"/>
    </row>
    <row r="1846">
      <c r="A1846" s="26" t="inlineStr">
        <is>
          <t>S36</t>
        </is>
      </c>
      <c r="B1846" s="26" t="inlineStr">
        <is>
          <t>미원</t>
        </is>
      </c>
      <c r="C1846" s="26" t="inlineStr">
        <is>
          <t>S36-H서</t>
        </is>
      </c>
      <c r="D1846" s="47" t="n">
        <v>1</v>
      </c>
      <c r="E1846" s="26" t="inlineStr">
        <is>
          <t>측정</t>
        </is>
      </c>
      <c r="F1846" s="26" t="inlineStr">
        <is>
          <t>서</t>
        </is>
      </c>
      <c r="G1846" s="31" t="n">
        <v>6</v>
      </c>
      <c r="H1846" s="30" t="n"/>
      <c r="I1846" s="43" t="n"/>
      <c r="J1846" s="41" t="n"/>
      <c r="K1846" s="41" t="n"/>
      <c r="L1846" s="41" t="n"/>
      <c r="M1846" s="31">
        <f>IF(COUNT(J1846:L1846)=0,"",MEDIAN(J1846:L1846))</f>
        <v/>
      </c>
      <c r="N1846" s="26">
        <f>IF(COUNTIFS($C:$C,$C1846,$D:$D,$D1846,$E:$E,"P0(전)",$M:$M,"&gt;0")&lt;&gt;1,"P0(전) 유효 1개 아님",IF(COUNTIFS($C:$C,$C1846,$D:$D,$D1846,$E:$E,"P0(후)",$M:$M,"&gt;0")&lt;&gt;1,"P0(후) 유효 1개 아님",IF(NOT(AND(ISNUMBER(O1846),ISNUMBER(Q1846),ISNUMBER(I1846))),"시각 결측",IF(Q1846&lt;=O1846,"P0 시각 역전",IF(OR(I1846&lt;O1846,I1846&gt;Q1846),"측정시각 구간 밖","OK")))))</f>
        <v/>
      </c>
      <c r="O1846" s="48">
        <f>IF(COUNTIFS($C:$C,$C1846,$D:$D,$D1846,$E:$E,"P0(전)",$M:$M,"&gt;0")&lt;&gt;1,"",SUMIFS($I:$I,$C:$C,$C1846,$D:$D,$D1846,$E:$E,"P0(전)"))</f>
        <v/>
      </c>
      <c r="P1846" s="31">
        <f>IF(COUNTIFS($C:$C,$C1846,$D:$D,$D1846,$E:$E,"P0(전)",$M:$M,"&gt;0")&lt;&gt;1,"",SUMIFS($M:$M,$C:$C,$C1846,$D:$D,$D1846,$E:$E,"P0(전)"))</f>
        <v/>
      </c>
      <c r="Q1846" s="48">
        <f>IF(COUNTIFS($C:$C,$C1846,$D:$D,$D1846,$E:$E,"P0(후)",$M:$M,"&gt;0")&lt;&gt;1,"",SUMIFS($I:$I,$C:$C,$C1846,$D:$D,$D1846,$E:$E,"P0(후)"))</f>
        <v/>
      </c>
      <c r="R1846" s="31">
        <f>IF(COUNTIFS($C:$C,$C1846,$D:$D,$D1846,$E:$E,"P0(후)",$M:$M,"&gt;0")&lt;&gt;1,"",SUMIFS($M:$M,$C:$C,$C1846,$D:$D,$D1846,$E:$E,"P0(후)"))</f>
        <v/>
      </c>
      <c r="S1846" s="31">
        <f>IF(N1846&lt;&gt;"OK","",P1846+(R1846-P1846)*(I1846-O1846)/(Q1846-O1846))</f>
        <v/>
      </c>
      <c r="T1846" s="31">
        <f>IF(OR(N1846&lt;&gt;"OK",NOT(ISNUMBER(M1846))),"",M1846-S1846)</f>
        <v/>
      </c>
      <c r="U1846" s="49">
        <f>IF(OR(NOT(ISNUMBER(T1846)),IF(ISNUMBER(H1846),H1846,G1846)=0),"",T1846/IF(ISNUMBER(H1846),H1846,G1846))</f>
        <v/>
      </c>
      <c r="V1846" s="49">
        <f>IF(ISNUMBER(U1846),ABS(U1846),"")</f>
        <v/>
      </c>
      <c r="W1846" s="49">
        <f>IF(OR($E1845&lt;&gt;"측정",$C1845&lt;&gt;$C1846,$D1845&lt;&gt;$D1846,NOT(ISNUMBER(M1846)),NOT(ISNUMBER(M1845)),(IF(ISNUMBER(H1846),H1846,G1846)-IF(ISNUMBER(H1845),H1845,G1845))=0),"",(M1846-M1845)/(IF(ISNUMBER(H1846),H1846,G1846)-IF(ISNUMBER(H1845),H1845,G1845)))</f>
        <v/>
      </c>
      <c r="X1846" s="31">
        <f>IF(NOT(AND(ISNUMBER(O1846),ISNUMBER(Q1846))),"",(Q1846-O1846)*1440)</f>
        <v/>
      </c>
      <c r="Y1846" s="29" t="n"/>
      <c r="Z1846" s="29" t="n"/>
      <c r="AA1846" s="29" t="n"/>
      <c r="AB1846" s="32" t="n"/>
      <c r="AC1846" s="32" t="n"/>
    </row>
    <row r="1847">
      <c r="A1847" s="26" t="inlineStr">
        <is>
          <t>S36</t>
        </is>
      </c>
      <c r="B1847" s="26" t="inlineStr">
        <is>
          <t>미원</t>
        </is>
      </c>
      <c r="C1847" s="26" t="inlineStr">
        <is>
          <t>S36-H서</t>
        </is>
      </c>
      <c r="D1847" s="47" t="n">
        <v>1</v>
      </c>
      <c r="E1847" s="26" t="inlineStr">
        <is>
          <t>측정</t>
        </is>
      </c>
      <c r="F1847" s="26" t="inlineStr">
        <is>
          <t>서</t>
        </is>
      </c>
      <c r="G1847" s="31" t="n">
        <v>7</v>
      </c>
      <c r="H1847" s="30" t="n"/>
      <c r="I1847" s="43" t="n"/>
      <c r="J1847" s="41" t="n"/>
      <c r="K1847" s="41" t="n"/>
      <c r="L1847" s="41" t="n"/>
      <c r="M1847" s="31">
        <f>IF(COUNT(J1847:L1847)=0,"",MEDIAN(J1847:L1847))</f>
        <v/>
      </c>
      <c r="N1847" s="26">
        <f>IF(COUNTIFS($C:$C,$C1847,$D:$D,$D1847,$E:$E,"P0(전)",$M:$M,"&gt;0")&lt;&gt;1,"P0(전) 유효 1개 아님",IF(COUNTIFS($C:$C,$C1847,$D:$D,$D1847,$E:$E,"P0(후)",$M:$M,"&gt;0")&lt;&gt;1,"P0(후) 유효 1개 아님",IF(NOT(AND(ISNUMBER(O1847),ISNUMBER(Q1847),ISNUMBER(I1847))),"시각 결측",IF(Q1847&lt;=O1847,"P0 시각 역전",IF(OR(I1847&lt;O1847,I1847&gt;Q1847),"측정시각 구간 밖","OK")))))</f>
        <v/>
      </c>
      <c r="O1847" s="48">
        <f>IF(COUNTIFS($C:$C,$C1847,$D:$D,$D1847,$E:$E,"P0(전)",$M:$M,"&gt;0")&lt;&gt;1,"",SUMIFS($I:$I,$C:$C,$C1847,$D:$D,$D1847,$E:$E,"P0(전)"))</f>
        <v/>
      </c>
      <c r="P1847" s="31">
        <f>IF(COUNTIFS($C:$C,$C1847,$D:$D,$D1847,$E:$E,"P0(전)",$M:$M,"&gt;0")&lt;&gt;1,"",SUMIFS($M:$M,$C:$C,$C1847,$D:$D,$D1847,$E:$E,"P0(전)"))</f>
        <v/>
      </c>
      <c r="Q1847" s="48">
        <f>IF(COUNTIFS($C:$C,$C1847,$D:$D,$D1847,$E:$E,"P0(후)",$M:$M,"&gt;0")&lt;&gt;1,"",SUMIFS($I:$I,$C:$C,$C1847,$D:$D,$D1847,$E:$E,"P0(후)"))</f>
        <v/>
      </c>
      <c r="R1847" s="31">
        <f>IF(COUNTIFS($C:$C,$C1847,$D:$D,$D1847,$E:$E,"P0(후)",$M:$M,"&gt;0")&lt;&gt;1,"",SUMIFS($M:$M,$C:$C,$C1847,$D:$D,$D1847,$E:$E,"P0(후)"))</f>
        <v/>
      </c>
      <c r="S1847" s="31">
        <f>IF(N1847&lt;&gt;"OK","",P1847+(R1847-P1847)*(I1847-O1847)/(Q1847-O1847))</f>
        <v/>
      </c>
      <c r="T1847" s="31">
        <f>IF(OR(N1847&lt;&gt;"OK",NOT(ISNUMBER(M1847))),"",M1847-S1847)</f>
        <v/>
      </c>
      <c r="U1847" s="49">
        <f>IF(OR(NOT(ISNUMBER(T1847)),IF(ISNUMBER(H1847),H1847,G1847)=0),"",T1847/IF(ISNUMBER(H1847),H1847,G1847))</f>
        <v/>
      </c>
      <c r="V1847" s="49">
        <f>IF(ISNUMBER(U1847),ABS(U1847),"")</f>
        <v/>
      </c>
      <c r="W1847" s="49">
        <f>IF(OR($E1846&lt;&gt;"측정",$C1846&lt;&gt;$C1847,$D1846&lt;&gt;$D1847,NOT(ISNUMBER(M1847)),NOT(ISNUMBER(M1846)),(IF(ISNUMBER(H1847),H1847,G1847)-IF(ISNUMBER(H1846),H1846,G1846))=0),"",(M1847-M1846)/(IF(ISNUMBER(H1847),H1847,G1847)-IF(ISNUMBER(H1846),H1846,G1846)))</f>
        <v/>
      </c>
      <c r="X1847" s="31">
        <f>IF(NOT(AND(ISNUMBER(O1847),ISNUMBER(Q1847))),"",(Q1847-O1847)*1440)</f>
        <v/>
      </c>
      <c r="Y1847" s="29" t="n"/>
      <c r="Z1847" s="29" t="n"/>
      <c r="AA1847" s="29" t="n"/>
      <c r="AB1847" s="32" t="n"/>
      <c r="AC1847" s="32" t="n"/>
    </row>
    <row r="1848">
      <c r="A1848" s="26" t="inlineStr">
        <is>
          <t>S36</t>
        </is>
      </c>
      <c r="B1848" s="26" t="inlineStr">
        <is>
          <t>미원</t>
        </is>
      </c>
      <c r="C1848" s="26" t="inlineStr">
        <is>
          <t>S36-H서</t>
        </is>
      </c>
      <c r="D1848" s="47" t="n">
        <v>1</v>
      </c>
      <c r="E1848" s="26" t="inlineStr">
        <is>
          <t>측정</t>
        </is>
      </c>
      <c r="F1848" s="26" t="inlineStr">
        <is>
          <t>서</t>
        </is>
      </c>
      <c r="G1848" s="31" t="n">
        <v>8</v>
      </c>
      <c r="H1848" s="30" t="n"/>
      <c r="I1848" s="43" t="n"/>
      <c r="J1848" s="41" t="n"/>
      <c r="K1848" s="41" t="n"/>
      <c r="L1848" s="41" t="n"/>
      <c r="M1848" s="31">
        <f>IF(COUNT(J1848:L1848)=0,"",MEDIAN(J1848:L1848))</f>
        <v/>
      </c>
      <c r="N1848" s="26">
        <f>IF(COUNTIFS($C:$C,$C1848,$D:$D,$D1848,$E:$E,"P0(전)",$M:$M,"&gt;0")&lt;&gt;1,"P0(전) 유효 1개 아님",IF(COUNTIFS($C:$C,$C1848,$D:$D,$D1848,$E:$E,"P0(후)",$M:$M,"&gt;0")&lt;&gt;1,"P0(후) 유효 1개 아님",IF(NOT(AND(ISNUMBER(O1848),ISNUMBER(Q1848),ISNUMBER(I1848))),"시각 결측",IF(Q1848&lt;=O1848,"P0 시각 역전",IF(OR(I1848&lt;O1848,I1848&gt;Q1848),"측정시각 구간 밖","OK")))))</f>
        <v/>
      </c>
      <c r="O1848" s="48">
        <f>IF(COUNTIFS($C:$C,$C1848,$D:$D,$D1848,$E:$E,"P0(전)",$M:$M,"&gt;0")&lt;&gt;1,"",SUMIFS($I:$I,$C:$C,$C1848,$D:$D,$D1848,$E:$E,"P0(전)"))</f>
        <v/>
      </c>
      <c r="P1848" s="31">
        <f>IF(COUNTIFS($C:$C,$C1848,$D:$D,$D1848,$E:$E,"P0(전)",$M:$M,"&gt;0")&lt;&gt;1,"",SUMIFS($M:$M,$C:$C,$C1848,$D:$D,$D1848,$E:$E,"P0(전)"))</f>
        <v/>
      </c>
      <c r="Q1848" s="48">
        <f>IF(COUNTIFS($C:$C,$C1848,$D:$D,$D1848,$E:$E,"P0(후)",$M:$M,"&gt;0")&lt;&gt;1,"",SUMIFS($I:$I,$C:$C,$C1848,$D:$D,$D1848,$E:$E,"P0(후)"))</f>
        <v/>
      </c>
      <c r="R1848" s="31">
        <f>IF(COUNTIFS($C:$C,$C1848,$D:$D,$D1848,$E:$E,"P0(후)",$M:$M,"&gt;0")&lt;&gt;1,"",SUMIFS($M:$M,$C:$C,$C1848,$D:$D,$D1848,$E:$E,"P0(후)"))</f>
        <v/>
      </c>
      <c r="S1848" s="31">
        <f>IF(N1848&lt;&gt;"OK","",P1848+(R1848-P1848)*(I1848-O1848)/(Q1848-O1848))</f>
        <v/>
      </c>
      <c r="T1848" s="31">
        <f>IF(OR(N1848&lt;&gt;"OK",NOT(ISNUMBER(M1848))),"",M1848-S1848)</f>
        <v/>
      </c>
      <c r="U1848" s="49">
        <f>IF(OR(NOT(ISNUMBER(T1848)),IF(ISNUMBER(H1848),H1848,G1848)=0),"",T1848/IF(ISNUMBER(H1848),H1848,G1848))</f>
        <v/>
      </c>
      <c r="V1848" s="49">
        <f>IF(ISNUMBER(U1848),ABS(U1848),"")</f>
        <v/>
      </c>
      <c r="W1848" s="49">
        <f>IF(OR($E1847&lt;&gt;"측정",$C1847&lt;&gt;$C1848,$D1847&lt;&gt;$D1848,NOT(ISNUMBER(M1848)),NOT(ISNUMBER(M1847)),(IF(ISNUMBER(H1848),H1848,G1848)-IF(ISNUMBER(H1847),H1847,G1847))=0),"",(M1848-M1847)/(IF(ISNUMBER(H1848),H1848,G1848)-IF(ISNUMBER(H1847),H1847,G1847)))</f>
        <v/>
      </c>
      <c r="X1848" s="31">
        <f>IF(NOT(AND(ISNUMBER(O1848),ISNUMBER(Q1848))),"",(Q1848-O1848)*1440)</f>
        <v/>
      </c>
      <c r="Y1848" s="29" t="n"/>
      <c r="Z1848" s="29" t="n"/>
      <c r="AA1848" s="29" t="n"/>
      <c r="AB1848" s="32" t="n"/>
      <c r="AC1848" s="32" t="n"/>
    </row>
    <row r="1849">
      <c r="A1849" s="26" t="inlineStr">
        <is>
          <t>S36</t>
        </is>
      </c>
      <c r="B1849" s="26" t="inlineStr">
        <is>
          <t>미원</t>
        </is>
      </c>
      <c r="C1849" s="26" t="inlineStr">
        <is>
          <t>S36-H서</t>
        </is>
      </c>
      <c r="D1849" s="47" t="n">
        <v>1</v>
      </c>
      <c r="E1849" s="26" t="inlineStr">
        <is>
          <t>측정</t>
        </is>
      </c>
      <c r="F1849" s="26" t="inlineStr">
        <is>
          <t>서</t>
        </is>
      </c>
      <c r="G1849" s="31" t="n">
        <v>9</v>
      </c>
      <c r="H1849" s="30" t="n"/>
      <c r="I1849" s="43" t="n"/>
      <c r="J1849" s="41" t="n"/>
      <c r="K1849" s="41" t="n"/>
      <c r="L1849" s="41" t="n"/>
      <c r="M1849" s="31">
        <f>IF(COUNT(J1849:L1849)=0,"",MEDIAN(J1849:L1849))</f>
        <v/>
      </c>
      <c r="N1849" s="26">
        <f>IF(COUNTIFS($C:$C,$C1849,$D:$D,$D1849,$E:$E,"P0(전)",$M:$M,"&gt;0")&lt;&gt;1,"P0(전) 유효 1개 아님",IF(COUNTIFS($C:$C,$C1849,$D:$D,$D1849,$E:$E,"P0(후)",$M:$M,"&gt;0")&lt;&gt;1,"P0(후) 유효 1개 아님",IF(NOT(AND(ISNUMBER(O1849),ISNUMBER(Q1849),ISNUMBER(I1849))),"시각 결측",IF(Q1849&lt;=O1849,"P0 시각 역전",IF(OR(I1849&lt;O1849,I1849&gt;Q1849),"측정시각 구간 밖","OK")))))</f>
        <v/>
      </c>
      <c r="O1849" s="48">
        <f>IF(COUNTIFS($C:$C,$C1849,$D:$D,$D1849,$E:$E,"P0(전)",$M:$M,"&gt;0")&lt;&gt;1,"",SUMIFS($I:$I,$C:$C,$C1849,$D:$D,$D1849,$E:$E,"P0(전)"))</f>
        <v/>
      </c>
      <c r="P1849" s="31">
        <f>IF(COUNTIFS($C:$C,$C1849,$D:$D,$D1849,$E:$E,"P0(전)",$M:$M,"&gt;0")&lt;&gt;1,"",SUMIFS($M:$M,$C:$C,$C1849,$D:$D,$D1849,$E:$E,"P0(전)"))</f>
        <v/>
      </c>
      <c r="Q1849" s="48">
        <f>IF(COUNTIFS($C:$C,$C1849,$D:$D,$D1849,$E:$E,"P0(후)",$M:$M,"&gt;0")&lt;&gt;1,"",SUMIFS($I:$I,$C:$C,$C1849,$D:$D,$D1849,$E:$E,"P0(후)"))</f>
        <v/>
      </c>
      <c r="R1849" s="31">
        <f>IF(COUNTIFS($C:$C,$C1849,$D:$D,$D1849,$E:$E,"P0(후)",$M:$M,"&gt;0")&lt;&gt;1,"",SUMIFS($M:$M,$C:$C,$C1849,$D:$D,$D1849,$E:$E,"P0(후)"))</f>
        <v/>
      </c>
      <c r="S1849" s="31">
        <f>IF(N1849&lt;&gt;"OK","",P1849+(R1849-P1849)*(I1849-O1849)/(Q1849-O1849))</f>
        <v/>
      </c>
      <c r="T1849" s="31">
        <f>IF(OR(N1849&lt;&gt;"OK",NOT(ISNUMBER(M1849))),"",M1849-S1849)</f>
        <v/>
      </c>
      <c r="U1849" s="49">
        <f>IF(OR(NOT(ISNUMBER(T1849)),IF(ISNUMBER(H1849),H1849,G1849)=0),"",T1849/IF(ISNUMBER(H1849),H1849,G1849))</f>
        <v/>
      </c>
      <c r="V1849" s="49">
        <f>IF(ISNUMBER(U1849),ABS(U1849),"")</f>
        <v/>
      </c>
      <c r="W1849" s="49">
        <f>IF(OR($E1848&lt;&gt;"측정",$C1848&lt;&gt;$C1849,$D1848&lt;&gt;$D1849,NOT(ISNUMBER(M1849)),NOT(ISNUMBER(M1848)),(IF(ISNUMBER(H1849),H1849,G1849)-IF(ISNUMBER(H1848),H1848,G1848))=0),"",(M1849-M1848)/(IF(ISNUMBER(H1849),H1849,G1849)-IF(ISNUMBER(H1848),H1848,G1848)))</f>
        <v/>
      </c>
      <c r="X1849" s="31">
        <f>IF(NOT(AND(ISNUMBER(O1849),ISNUMBER(Q1849))),"",(Q1849-O1849)*1440)</f>
        <v/>
      </c>
      <c r="Y1849" s="29" t="n"/>
      <c r="Z1849" s="29" t="n"/>
      <c r="AA1849" s="29" t="n"/>
      <c r="AB1849" s="32" t="n"/>
      <c r="AC1849" s="32" t="n"/>
    </row>
    <row r="1850">
      <c r="A1850" s="26" t="inlineStr">
        <is>
          <t>S36</t>
        </is>
      </c>
      <c r="B1850" s="26" t="inlineStr">
        <is>
          <t>미원</t>
        </is>
      </c>
      <c r="C1850" s="26" t="inlineStr">
        <is>
          <t>S36-H서</t>
        </is>
      </c>
      <c r="D1850" s="47" t="n">
        <v>1</v>
      </c>
      <c r="E1850" s="26" t="inlineStr">
        <is>
          <t>측정</t>
        </is>
      </c>
      <c r="F1850" s="26" t="inlineStr">
        <is>
          <t>서</t>
        </is>
      </c>
      <c r="G1850" s="31" t="n">
        <v>10</v>
      </c>
      <c r="H1850" s="30" t="n"/>
      <c r="I1850" s="43" t="n"/>
      <c r="J1850" s="41" t="n"/>
      <c r="K1850" s="41" t="n"/>
      <c r="L1850" s="41" t="n"/>
      <c r="M1850" s="31">
        <f>IF(COUNT(J1850:L1850)=0,"",MEDIAN(J1850:L1850))</f>
        <v/>
      </c>
      <c r="N1850" s="26">
        <f>IF(COUNTIFS($C:$C,$C1850,$D:$D,$D1850,$E:$E,"P0(전)",$M:$M,"&gt;0")&lt;&gt;1,"P0(전) 유효 1개 아님",IF(COUNTIFS($C:$C,$C1850,$D:$D,$D1850,$E:$E,"P0(후)",$M:$M,"&gt;0")&lt;&gt;1,"P0(후) 유효 1개 아님",IF(NOT(AND(ISNUMBER(O1850),ISNUMBER(Q1850),ISNUMBER(I1850))),"시각 결측",IF(Q1850&lt;=O1850,"P0 시각 역전",IF(OR(I1850&lt;O1850,I1850&gt;Q1850),"측정시각 구간 밖","OK")))))</f>
        <v/>
      </c>
      <c r="O1850" s="48">
        <f>IF(COUNTIFS($C:$C,$C1850,$D:$D,$D1850,$E:$E,"P0(전)",$M:$M,"&gt;0")&lt;&gt;1,"",SUMIFS($I:$I,$C:$C,$C1850,$D:$D,$D1850,$E:$E,"P0(전)"))</f>
        <v/>
      </c>
      <c r="P1850" s="31">
        <f>IF(COUNTIFS($C:$C,$C1850,$D:$D,$D1850,$E:$E,"P0(전)",$M:$M,"&gt;0")&lt;&gt;1,"",SUMIFS($M:$M,$C:$C,$C1850,$D:$D,$D1850,$E:$E,"P0(전)"))</f>
        <v/>
      </c>
      <c r="Q1850" s="48">
        <f>IF(COUNTIFS($C:$C,$C1850,$D:$D,$D1850,$E:$E,"P0(후)",$M:$M,"&gt;0")&lt;&gt;1,"",SUMIFS($I:$I,$C:$C,$C1850,$D:$D,$D1850,$E:$E,"P0(후)"))</f>
        <v/>
      </c>
      <c r="R1850" s="31">
        <f>IF(COUNTIFS($C:$C,$C1850,$D:$D,$D1850,$E:$E,"P0(후)",$M:$M,"&gt;0")&lt;&gt;1,"",SUMIFS($M:$M,$C:$C,$C1850,$D:$D,$D1850,$E:$E,"P0(후)"))</f>
        <v/>
      </c>
      <c r="S1850" s="31">
        <f>IF(N1850&lt;&gt;"OK","",P1850+(R1850-P1850)*(I1850-O1850)/(Q1850-O1850))</f>
        <v/>
      </c>
      <c r="T1850" s="31">
        <f>IF(OR(N1850&lt;&gt;"OK",NOT(ISNUMBER(M1850))),"",M1850-S1850)</f>
        <v/>
      </c>
      <c r="U1850" s="49">
        <f>IF(OR(NOT(ISNUMBER(T1850)),IF(ISNUMBER(H1850),H1850,G1850)=0),"",T1850/IF(ISNUMBER(H1850),H1850,G1850))</f>
        <v/>
      </c>
      <c r="V1850" s="49">
        <f>IF(ISNUMBER(U1850),ABS(U1850),"")</f>
        <v/>
      </c>
      <c r="W1850" s="49">
        <f>IF(OR($E1849&lt;&gt;"측정",$C1849&lt;&gt;$C1850,$D1849&lt;&gt;$D1850,NOT(ISNUMBER(M1850)),NOT(ISNUMBER(M1849)),(IF(ISNUMBER(H1850),H1850,G1850)-IF(ISNUMBER(H1849),H1849,G1849))=0),"",(M1850-M1849)/(IF(ISNUMBER(H1850),H1850,G1850)-IF(ISNUMBER(H1849),H1849,G1849)))</f>
        <v/>
      </c>
      <c r="X1850" s="31">
        <f>IF(NOT(AND(ISNUMBER(O1850),ISNUMBER(Q1850))),"",(Q1850-O1850)*1440)</f>
        <v/>
      </c>
      <c r="Y1850" s="29" t="n"/>
      <c r="Z1850" s="29" t="n"/>
      <c r="AA1850" s="29" t="n"/>
      <c r="AB1850" s="32" t="n"/>
      <c r="AC1850" s="32" t="n"/>
    </row>
    <row r="1851">
      <c r="A1851" s="44" t="inlineStr">
        <is>
          <t>S36</t>
        </is>
      </c>
      <c r="B1851" s="44" t="inlineStr">
        <is>
          <t>미원</t>
        </is>
      </c>
      <c r="C1851" s="44" t="inlineStr">
        <is>
          <t>S36-H서</t>
        </is>
      </c>
      <c r="D1851" s="45" t="n">
        <v>1</v>
      </c>
      <c r="E1851" s="44" t="inlineStr">
        <is>
          <t>P0(후)</t>
        </is>
      </c>
      <c r="F1851" s="44" t="inlineStr">
        <is>
          <t>서</t>
        </is>
      </c>
      <c r="G1851" s="46" t="n"/>
      <c r="H1851" s="30" t="n"/>
      <c r="I1851" s="43" t="n"/>
      <c r="J1851" s="41" t="n"/>
      <c r="K1851" s="41" t="n"/>
      <c r="L1851" s="41" t="n"/>
      <c r="M1851" s="31">
        <f>IF(COUNT(J1851:L1851)=0,"",MEDIAN(J1851:L1851))</f>
        <v/>
      </c>
      <c r="N1851" s="38" t="n"/>
      <c r="O1851" s="38" t="n"/>
      <c r="P1851" s="38" t="n"/>
      <c r="Q1851" s="38" t="n"/>
      <c r="R1851" s="38" t="n"/>
      <c r="S1851" s="38" t="n"/>
      <c r="T1851" s="38" t="n"/>
      <c r="U1851" s="38" t="n"/>
      <c r="V1851" s="38" t="n"/>
      <c r="W1851" s="38" t="n"/>
      <c r="X1851" s="38" t="n"/>
      <c r="Y1851" s="29" t="n"/>
      <c r="Z1851" s="29" t="n"/>
      <c r="AA1851" s="29" t="n"/>
      <c r="AB1851" s="32" t="n"/>
      <c r="AC1851" s="32" t="n"/>
    </row>
    <row r="1852">
      <c r="A1852" s="44" t="inlineStr">
        <is>
          <t>S36</t>
        </is>
      </c>
      <c r="B1852" s="44" t="inlineStr">
        <is>
          <t>미원</t>
        </is>
      </c>
      <c r="C1852" s="44" t="inlineStr">
        <is>
          <t>S36-H남</t>
        </is>
      </c>
      <c r="D1852" s="45" t="n">
        <v>1</v>
      </c>
      <c r="E1852" s="44" t="inlineStr">
        <is>
          <t>P0(전)</t>
        </is>
      </c>
      <c r="F1852" s="44" t="inlineStr">
        <is>
          <t>남</t>
        </is>
      </c>
      <c r="G1852" s="46" t="n"/>
      <c r="H1852" s="30" t="n"/>
      <c r="I1852" s="43" t="n"/>
      <c r="J1852" s="41" t="n"/>
      <c r="K1852" s="41" t="n"/>
      <c r="L1852" s="41" t="n"/>
      <c r="M1852" s="31">
        <f>IF(COUNT(J1852:L1852)=0,"",MEDIAN(J1852:L1852))</f>
        <v/>
      </c>
      <c r="N1852" s="38" t="n"/>
      <c r="O1852" s="38" t="n"/>
      <c r="P1852" s="38" t="n"/>
      <c r="Q1852" s="38" t="n"/>
      <c r="R1852" s="38" t="n"/>
      <c r="S1852" s="38" t="n"/>
      <c r="T1852" s="38" t="n"/>
      <c r="U1852" s="38" t="n"/>
      <c r="V1852" s="38" t="n"/>
      <c r="W1852" s="38" t="n"/>
      <c r="X1852" s="38" t="n"/>
      <c r="Y1852" s="29" t="n"/>
      <c r="Z1852" s="29" t="n"/>
      <c r="AA1852" s="29" t="n"/>
      <c r="AB1852" s="32" t="n"/>
      <c r="AC1852" s="32" t="n"/>
    </row>
    <row r="1853">
      <c r="A1853" s="26" t="inlineStr">
        <is>
          <t>S36</t>
        </is>
      </c>
      <c r="B1853" s="26" t="inlineStr">
        <is>
          <t>미원</t>
        </is>
      </c>
      <c r="C1853" s="26" t="inlineStr">
        <is>
          <t>S36-H남</t>
        </is>
      </c>
      <c r="D1853" s="47" t="n">
        <v>1</v>
      </c>
      <c r="E1853" s="26" t="inlineStr">
        <is>
          <t>측정</t>
        </is>
      </c>
      <c r="F1853" s="26" t="inlineStr">
        <is>
          <t>남</t>
        </is>
      </c>
      <c r="G1853" s="31" t="n">
        <v>0.5</v>
      </c>
      <c r="H1853" s="30" t="n"/>
      <c r="I1853" s="43" t="n"/>
      <c r="J1853" s="41" t="n"/>
      <c r="K1853" s="41" t="n"/>
      <c r="L1853" s="41" t="n"/>
      <c r="M1853" s="31">
        <f>IF(COUNT(J1853:L1853)=0,"",MEDIAN(J1853:L1853))</f>
        <v/>
      </c>
      <c r="N1853" s="26">
        <f>IF(COUNTIFS($C:$C,$C1853,$D:$D,$D1853,$E:$E,"P0(전)",$M:$M,"&gt;0")&lt;&gt;1,"P0(전) 유효 1개 아님",IF(COUNTIFS($C:$C,$C1853,$D:$D,$D1853,$E:$E,"P0(후)",$M:$M,"&gt;0")&lt;&gt;1,"P0(후) 유효 1개 아님",IF(NOT(AND(ISNUMBER(O1853),ISNUMBER(Q1853),ISNUMBER(I1853))),"시각 결측",IF(Q1853&lt;=O1853,"P0 시각 역전",IF(OR(I1853&lt;O1853,I1853&gt;Q1853),"측정시각 구간 밖","OK")))))</f>
        <v/>
      </c>
      <c r="O1853" s="48">
        <f>IF(COUNTIFS($C:$C,$C1853,$D:$D,$D1853,$E:$E,"P0(전)",$M:$M,"&gt;0")&lt;&gt;1,"",SUMIFS($I:$I,$C:$C,$C1853,$D:$D,$D1853,$E:$E,"P0(전)"))</f>
        <v/>
      </c>
      <c r="P1853" s="31">
        <f>IF(COUNTIFS($C:$C,$C1853,$D:$D,$D1853,$E:$E,"P0(전)",$M:$M,"&gt;0")&lt;&gt;1,"",SUMIFS($M:$M,$C:$C,$C1853,$D:$D,$D1853,$E:$E,"P0(전)"))</f>
        <v/>
      </c>
      <c r="Q1853" s="48">
        <f>IF(COUNTIFS($C:$C,$C1853,$D:$D,$D1853,$E:$E,"P0(후)",$M:$M,"&gt;0")&lt;&gt;1,"",SUMIFS($I:$I,$C:$C,$C1853,$D:$D,$D1853,$E:$E,"P0(후)"))</f>
        <v/>
      </c>
      <c r="R1853" s="31">
        <f>IF(COUNTIFS($C:$C,$C1853,$D:$D,$D1853,$E:$E,"P0(후)",$M:$M,"&gt;0")&lt;&gt;1,"",SUMIFS($M:$M,$C:$C,$C1853,$D:$D,$D1853,$E:$E,"P0(후)"))</f>
        <v/>
      </c>
      <c r="S1853" s="31">
        <f>IF(N1853&lt;&gt;"OK","",P1853+(R1853-P1853)*(I1853-O1853)/(Q1853-O1853))</f>
        <v/>
      </c>
      <c r="T1853" s="31">
        <f>IF(OR(N1853&lt;&gt;"OK",NOT(ISNUMBER(M1853))),"",M1853-S1853)</f>
        <v/>
      </c>
      <c r="U1853" s="49">
        <f>IF(OR(NOT(ISNUMBER(T1853)),IF(ISNUMBER(H1853),H1853,G1853)=0),"",T1853/IF(ISNUMBER(H1853),H1853,G1853))</f>
        <v/>
      </c>
      <c r="V1853" s="49">
        <f>IF(ISNUMBER(U1853),ABS(U1853),"")</f>
        <v/>
      </c>
      <c r="W1853" s="49">
        <f>IF(OR($E1852&lt;&gt;"측정",$C1852&lt;&gt;$C1853,$D1852&lt;&gt;$D1853,NOT(ISNUMBER(M1853)),NOT(ISNUMBER(M1852)),(IF(ISNUMBER(H1853),H1853,G1853)-IF(ISNUMBER(H1852),H1852,G1852))=0),"",(M1853-M1852)/(IF(ISNUMBER(H1853),H1853,G1853)-IF(ISNUMBER(H1852),H1852,G1852)))</f>
        <v/>
      </c>
      <c r="X1853" s="31">
        <f>IF(NOT(AND(ISNUMBER(O1853),ISNUMBER(Q1853))),"",(Q1853-O1853)*1440)</f>
        <v/>
      </c>
      <c r="Y1853" s="29" t="n"/>
      <c r="Z1853" s="29" t="n"/>
      <c r="AA1853" s="29" t="n"/>
      <c r="AB1853" s="32" t="n"/>
      <c r="AC1853" s="32" t="n"/>
    </row>
    <row r="1854">
      <c r="A1854" s="26" t="inlineStr">
        <is>
          <t>S36</t>
        </is>
      </c>
      <c r="B1854" s="26" t="inlineStr">
        <is>
          <t>미원</t>
        </is>
      </c>
      <c r="C1854" s="26" t="inlineStr">
        <is>
          <t>S36-H남</t>
        </is>
      </c>
      <c r="D1854" s="47" t="n">
        <v>1</v>
      </c>
      <c r="E1854" s="26" t="inlineStr">
        <is>
          <t>측정</t>
        </is>
      </c>
      <c r="F1854" s="26" t="inlineStr">
        <is>
          <t>남</t>
        </is>
      </c>
      <c r="G1854" s="31" t="n">
        <v>1</v>
      </c>
      <c r="H1854" s="30" t="n"/>
      <c r="I1854" s="43" t="n"/>
      <c r="J1854" s="41" t="n"/>
      <c r="K1854" s="41" t="n"/>
      <c r="L1854" s="41" t="n"/>
      <c r="M1854" s="31">
        <f>IF(COUNT(J1854:L1854)=0,"",MEDIAN(J1854:L1854))</f>
        <v/>
      </c>
      <c r="N1854" s="26">
        <f>IF(COUNTIFS($C:$C,$C1854,$D:$D,$D1854,$E:$E,"P0(전)",$M:$M,"&gt;0")&lt;&gt;1,"P0(전) 유효 1개 아님",IF(COUNTIFS($C:$C,$C1854,$D:$D,$D1854,$E:$E,"P0(후)",$M:$M,"&gt;0")&lt;&gt;1,"P0(후) 유효 1개 아님",IF(NOT(AND(ISNUMBER(O1854),ISNUMBER(Q1854),ISNUMBER(I1854))),"시각 결측",IF(Q1854&lt;=O1854,"P0 시각 역전",IF(OR(I1854&lt;O1854,I1854&gt;Q1854),"측정시각 구간 밖","OK")))))</f>
        <v/>
      </c>
      <c r="O1854" s="48">
        <f>IF(COUNTIFS($C:$C,$C1854,$D:$D,$D1854,$E:$E,"P0(전)",$M:$M,"&gt;0")&lt;&gt;1,"",SUMIFS($I:$I,$C:$C,$C1854,$D:$D,$D1854,$E:$E,"P0(전)"))</f>
        <v/>
      </c>
      <c r="P1854" s="31">
        <f>IF(COUNTIFS($C:$C,$C1854,$D:$D,$D1854,$E:$E,"P0(전)",$M:$M,"&gt;0")&lt;&gt;1,"",SUMIFS($M:$M,$C:$C,$C1854,$D:$D,$D1854,$E:$E,"P0(전)"))</f>
        <v/>
      </c>
      <c r="Q1854" s="48">
        <f>IF(COUNTIFS($C:$C,$C1854,$D:$D,$D1854,$E:$E,"P0(후)",$M:$M,"&gt;0")&lt;&gt;1,"",SUMIFS($I:$I,$C:$C,$C1854,$D:$D,$D1854,$E:$E,"P0(후)"))</f>
        <v/>
      </c>
      <c r="R1854" s="31">
        <f>IF(COUNTIFS($C:$C,$C1854,$D:$D,$D1854,$E:$E,"P0(후)",$M:$M,"&gt;0")&lt;&gt;1,"",SUMIFS($M:$M,$C:$C,$C1854,$D:$D,$D1854,$E:$E,"P0(후)"))</f>
        <v/>
      </c>
      <c r="S1854" s="31">
        <f>IF(N1854&lt;&gt;"OK","",P1854+(R1854-P1854)*(I1854-O1854)/(Q1854-O1854))</f>
        <v/>
      </c>
      <c r="T1854" s="31">
        <f>IF(OR(N1854&lt;&gt;"OK",NOT(ISNUMBER(M1854))),"",M1854-S1854)</f>
        <v/>
      </c>
      <c r="U1854" s="49">
        <f>IF(OR(NOT(ISNUMBER(T1854)),IF(ISNUMBER(H1854),H1854,G1854)=0),"",T1854/IF(ISNUMBER(H1854),H1854,G1854))</f>
        <v/>
      </c>
      <c r="V1854" s="49">
        <f>IF(ISNUMBER(U1854),ABS(U1854),"")</f>
        <v/>
      </c>
      <c r="W1854" s="49">
        <f>IF(OR($E1853&lt;&gt;"측정",$C1853&lt;&gt;$C1854,$D1853&lt;&gt;$D1854,NOT(ISNUMBER(M1854)),NOT(ISNUMBER(M1853)),(IF(ISNUMBER(H1854),H1854,G1854)-IF(ISNUMBER(H1853),H1853,G1853))=0),"",(M1854-M1853)/(IF(ISNUMBER(H1854),H1854,G1854)-IF(ISNUMBER(H1853),H1853,G1853)))</f>
        <v/>
      </c>
      <c r="X1854" s="31">
        <f>IF(NOT(AND(ISNUMBER(O1854),ISNUMBER(Q1854))),"",(Q1854-O1854)*1440)</f>
        <v/>
      </c>
      <c r="Y1854" s="29" t="n"/>
      <c r="Z1854" s="29" t="n"/>
      <c r="AA1854" s="29" t="n"/>
      <c r="AB1854" s="32" t="n"/>
      <c r="AC1854" s="32" t="n"/>
    </row>
    <row r="1855">
      <c r="A1855" s="26" t="inlineStr">
        <is>
          <t>S36</t>
        </is>
      </c>
      <c r="B1855" s="26" t="inlineStr">
        <is>
          <t>미원</t>
        </is>
      </c>
      <c r="C1855" s="26" t="inlineStr">
        <is>
          <t>S36-H남</t>
        </is>
      </c>
      <c r="D1855" s="47" t="n">
        <v>1</v>
      </c>
      <c r="E1855" s="26" t="inlineStr">
        <is>
          <t>측정</t>
        </is>
      </c>
      <c r="F1855" s="26" t="inlineStr">
        <is>
          <t>남</t>
        </is>
      </c>
      <c r="G1855" s="31" t="n">
        <v>2</v>
      </c>
      <c r="H1855" s="30" t="n"/>
      <c r="I1855" s="43" t="n"/>
      <c r="J1855" s="41" t="n"/>
      <c r="K1855" s="41" t="n"/>
      <c r="L1855" s="41" t="n"/>
      <c r="M1855" s="31">
        <f>IF(COUNT(J1855:L1855)=0,"",MEDIAN(J1855:L1855))</f>
        <v/>
      </c>
      <c r="N1855" s="26">
        <f>IF(COUNTIFS($C:$C,$C1855,$D:$D,$D1855,$E:$E,"P0(전)",$M:$M,"&gt;0")&lt;&gt;1,"P0(전) 유효 1개 아님",IF(COUNTIFS($C:$C,$C1855,$D:$D,$D1855,$E:$E,"P0(후)",$M:$M,"&gt;0")&lt;&gt;1,"P0(후) 유효 1개 아님",IF(NOT(AND(ISNUMBER(O1855),ISNUMBER(Q1855),ISNUMBER(I1855))),"시각 결측",IF(Q1855&lt;=O1855,"P0 시각 역전",IF(OR(I1855&lt;O1855,I1855&gt;Q1855),"측정시각 구간 밖","OK")))))</f>
        <v/>
      </c>
      <c r="O1855" s="48">
        <f>IF(COUNTIFS($C:$C,$C1855,$D:$D,$D1855,$E:$E,"P0(전)",$M:$M,"&gt;0")&lt;&gt;1,"",SUMIFS($I:$I,$C:$C,$C1855,$D:$D,$D1855,$E:$E,"P0(전)"))</f>
        <v/>
      </c>
      <c r="P1855" s="31">
        <f>IF(COUNTIFS($C:$C,$C1855,$D:$D,$D1855,$E:$E,"P0(전)",$M:$M,"&gt;0")&lt;&gt;1,"",SUMIFS($M:$M,$C:$C,$C1855,$D:$D,$D1855,$E:$E,"P0(전)"))</f>
        <v/>
      </c>
      <c r="Q1855" s="48">
        <f>IF(COUNTIFS($C:$C,$C1855,$D:$D,$D1855,$E:$E,"P0(후)",$M:$M,"&gt;0")&lt;&gt;1,"",SUMIFS($I:$I,$C:$C,$C1855,$D:$D,$D1855,$E:$E,"P0(후)"))</f>
        <v/>
      </c>
      <c r="R1855" s="31">
        <f>IF(COUNTIFS($C:$C,$C1855,$D:$D,$D1855,$E:$E,"P0(후)",$M:$M,"&gt;0")&lt;&gt;1,"",SUMIFS($M:$M,$C:$C,$C1855,$D:$D,$D1855,$E:$E,"P0(후)"))</f>
        <v/>
      </c>
      <c r="S1855" s="31">
        <f>IF(N1855&lt;&gt;"OK","",P1855+(R1855-P1855)*(I1855-O1855)/(Q1855-O1855))</f>
        <v/>
      </c>
      <c r="T1855" s="31">
        <f>IF(OR(N1855&lt;&gt;"OK",NOT(ISNUMBER(M1855))),"",M1855-S1855)</f>
        <v/>
      </c>
      <c r="U1855" s="49">
        <f>IF(OR(NOT(ISNUMBER(T1855)),IF(ISNUMBER(H1855),H1855,G1855)=0),"",T1855/IF(ISNUMBER(H1855),H1855,G1855))</f>
        <v/>
      </c>
      <c r="V1855" s="49">
        <f>IF(ISNUMBER(U1855),ABS(U1855),"")</f>
        <v/>
      </c>
      <c r="W1855" s="49">
        <f>IF(OR($E1854&lt;&gt;"측정",$C1854&lt;&gt;$C1855,$D1854&lt;&gt;$D1855,NOT(ISNUMBER(M1855)),NOT(ISNUMBER(M1854)),(IF(ISNUMBER(H1855),H1855,G1855)-IF(ISNUMBER(H1854),H1854,G1854))=0),"",(M1855-M1854)/(IF(ISNUMBER(H1855),H1855,G1855)-IF(ISNUMBER(H1854),H1854,G1854)))</f>
        <v/>
      </c>
      <c r="X1855" s="31">
        <f>IF(NOT(AND(ISNUMBER(O1855),ISNUMBER(Q1855))),"",(Q1855-O1855)*1440)</f>
        <v/>
      </c>
      <c r="Y1855" s="29" t="n"/>
      <c r="Z1855" s="29" t="n"/>
      <c r="AA1855" s="29" t="n"/>
      <c r="AB1855" s="32" t="n"/>
      <c r="AC1855" s="32" t="n"/>
    </row>
    <row r="1856">
      <c r="A1856" s="26" t="inlineStr">
        <is>
          <t>S36</t>
        </is>
      </c>
      <c r="B1856" s="26" t="inlineStr">
        <is>
          <t>미원</t>
        </is>
      </c>
      <c r="C1856" s="26" t="inlineStr">
        <is>
          <t>S36-H남</t>
        </is>
      </c>
      <c r="D1856" s="47" t="n">
        <v>1</v>
      </c>
      <c r="E1856" s="26" t="inlineStr">
        <is>
          <t>측정</t>
        </is>
      </c>
      <c r="F1856" s="26" t="inlineStr">
        <is>
          <t>남</t>
        </is>
      </c>
      <c r="G1856" s="31" t="n">
        <v>3</v>
      </c>
      <c r="H1856" s="30" t="n"/>
      <c r="I1856" s="43" t="n"/>
      <c r="J1856" s="41" t="n"/>
      <c r="K1856" s="41" t="n"/>
      <c r="L1856" s="41" t="n"/>
      <c r="M1856" s="31">
        <f>IF(COUNT(J1856:L1856)=0,"",MEDIAN(J1856:L1856))</f>
        <v/>
      </c>
      <c r="N1856" s="26">
        <f>IF(COUNTIFS($C:$C,$C1856,$D:$D,$D1856,$E:$E,"P0(전)",$M:$M,"&gt;0")&lt;&gt;1,"P0(전) 유효 1개 아님",IF(COUNTIFS($C:$C,$C1856,$D:$D,$D1856,$E:$E,"P0(후)",$M:$M,"&gt;0")&lt;&gt;1,"P0(후) 유효 1개 아님",IF(NOT(AND(ISNUMBER(O1856),ISNUMBER(Q1856),ISNUMBER(I1856))),"시각 결측",IF(Q1856&lt;=O1856,"P0 시각 역전",IF(OR(I1856&lt;O1856,I1856&gt;Q1856),"측정시각 구간 밖","OK")))))</f>
        <v/>
      </c>
      <c r="O1856" s="48">
        <f>IF(COUNTIFS($C:$C,$C1856,$D:$D,$D1856,$E:$E,"P0(전)",$M:$M,"&gt;0")&lt;&gt;1,"",SUMIFS($I:$I,$C:$C,$C1856,$D:$D,$D1856,$E:$E,"P0(전)"))</f>
        <v/>
      </c>
      <c r="P1856" s="31">
        <f>IF(COUNTIFS($C:$C,$C1856,$D:$D,$D1856,$E:$E,"P0(전)",$M:$M,"&gt;0")&lt;&gt;1,"",SUMIFS($M:$M,$C:$C,$C1856,$D:$D,$D1856,$E:$E,"P0(전)"))</f>
        <v/>
      </c>
      <c r="Q1856" s="48">
        <f>IF(COUNTIFS($C:$C,$C1856,$D:$D,$D1856,$E:$E,"P0(후)",$M:$M,"&gt;0")&lt;&gt;1,"",SUMIFS($I:$I,$C:$C,$C1856,$D:$D,$D1856,$E:$E,"P0(후)"))</f>
        <v/>
      </c>
      <c r="R1856" s="31">
        <f>IF(COUNTIFS($C:$C,$C1856,$D:$D,$D1856,$E:$E,"P0(후)",$M:$M,"&gt;0")&lt;&gt;1,"",SUMIFS($M:$M,$C:$C,$C1856,$D:$D,$D1856,$E:$E,"P0(후)"))</f>
        <v/>
      </c>
      <c r="S1856" s="31">
        <f>IF(N1856&lt;&gt;"OK","",P1856+(R1856-P1856)*(I1856-O1856)/(Q1856-O1856))</f>
        <v/>
      </c>
      <c r="T1856" s="31">
        <f>IF(OR(N1856&lt;&gt;"OK",NOT(ISNUMBER(M1856))),"",M1856-S1856)</f>
        <v/>
      </c>
      <c r="U1856" s="49">
        <f>IF(OR(NOT(ISNUMBER(T1856)),IF(ISNUMBER(H1856),H1856,G1856)=0),"",T1856/IF(ISNUMBER(H1856),H1856,G1856))</f>
        <v/>
      </c>
      <c r="V1856" s="49">
        <f>IF(ISNUMBER(U1856),ABS(U1856),"")</f>
        <v/>
      </c>
      <c r="W1856" s="49">
        <f>IF(OR($E1855&lt;&gt;"측정",$C1855&lt;&gt;$C1856,$D1855&lt;&gt;$D1856,NOT(ISNUMBER(M1856)),NOT(ISNUMBER(M1855)),(IF(ISNUMBER(H1856),H1856,G1856)-IF(ISNUMBER(H1855),H1855,G1855))=0),"",(M1856-M1855)/(IF(ISNUMBER(H1856),H1856,G1856)-IF(ISNUMBER(H1855),H1855,G1855)))</f>
        <v/>
      </c>
      <c r="X1856" s="31">
        <f>IF(NOT(AND(ISNUMBER(O1856),ISNUMBER(Q1856))),"",(Q1856-O1856)*1440)</f>
        <v/>
      </c>
      <c r="Y1856" s="29" t="n"/>
      <c r="Z1856" s="29" t="n"/>
      <c r="AA1856" s="29" t="n"/>
      <c r="AB1856" s="32" t="n"/>
      <c r="AC1856" s="32" t="n"/>
    </row>
    <row r="1857">
      <c r="A1857" s="26" t="inlineStr">
        <is>
          <t>S36</t>
        </is>
      </c>
      <c r="B1857" s="26" t="inlineStr">
        <is>
          <t>미원</t>
        </is>
      </c>
      <c r="C1857" s="26" t="inlineStr">
        <is>
          <t>S36-H남</t>
        </is>
      </c>
      <c r="D1857" s="47" t="n">
        <v>1</v>
      </c>
      <c r="E1857" s="26" t="inlineStr">
        <is>
          <t>측정</t>
        </is>
      </c>
      <c r="F1857" s="26" t="inlineStr">
        <is>
          <t>남</t>
        </is>
      </c>
      <c r="G1857" s="31" t="n">
        <v>4</v>
      </c>
      <c r="H1857" s="30" t="n"/>
      <c r="I1857" s="43" t="n"/>
      <c r="J1857" s="41" t="n"/>
      <c r="K1857" s="41" t="n"/>
      <c r="L1857" s="41" t="n"/>
      <c r="M1857" s="31">
        <f>IF(COUNT(J1857:L1857)=0,"",MEDIAN(J1857:L1857))</f>
        <v/>
      </c>
      <c r="N1857" s="26">
        <f>IF(COUNTIFS($C:$C,$C1857,$D:$D,$D1857,$E:$E,"P0(전)",$M:$M,"&gt;0")&lt;&gt;1,"P0(전) 유효 1개 아님",IF(COUNTIFS($C:$C,$C1857,$D:$D,$D1857,$E:$E,"P0(후)",$M:$M,"&gt;0")&lt;&gt;1,"P0(후) 유효 1개 아님",IF(NOT(AND(ISNUMBER(O1857),ISNUMBER(Q1857),ISNUMBER(I1857))),"시각 결측",IF(Q1857&lt;=O1857,"P0 시각 역전",IF(OR(I1857&lt;O1857,I1857&gt;Q1857),"측정시각 구간 밖","OK")))))</f>
        <v/>
      </c>
      <c r="O1857" s="48">
        <f>IF(COUNTIFS($C:$C,$C1857,$D:$D,$D1857,$E:$E,"P0(전)",$M:$M,"&gt;0")&lt;&gt;1,"",SUMIFS($I:$I,$C:$C,$C1857,$D:$D,$D1857,$E:$E,"P0(전)"))</f>
        <v/>
      </c>
      <c r="P1857" s="31">
        <f>IF(COUNTIFS($C:$C,$C1857,$D:$D,$D1857,$E:$E,"P0(전)",$M:$M,"&gt;0")&lt;&gt;1,"",SUMIFS($M:$M,$C:$C,$C1857,$D:$D,$D1857,$E:$E,"P0(전)"))</f>
        <v/>
      </c>
      <c r="Q1857" s="48">
        <f>IF(COUNTIFS($C:$C,$C1857,$D:$D,$D1857,$E:$E,"P0(후)",$M:$M,"&gt;0")&lt;&gt;1,"",SUMIFS($I:$I,$C:$C,$C1857,$D:$D,$D1857,$E:$E,"P0(후)"))</f>
        <v/>
      </c>
      <c r="R1857" s="31">
        <f>IF(COUNTIFS($C:$C,$C1857,$D:$D,$D1857,$E:$E,"P0(후)",$M:$M,"&gt;0")&lt;&gt;1,"",SUMIFS($M:$M,$C:$C,$C1857,$D:$D,$D1857,$E:$E,"P0(후)"))</f>
        <v/>
      </c>
      <c r="S1857" s="31">
        <f>IF(N1857&lt;&gt;"OK","",P1857+(R1857-P1857)*(I1857-O1857)/(Q1857-O1857))</f>
        <v/>
      </c>
      <c r="T1857" s="31">
        <f>IF(OR(N1857&lt;&gt;"OK",NOT(ISNUMBER(M1857))),"",M1857-S1857)</f>
        <v/>
      </c>
      <c r="U1857" s="49">
        <f>IF(OR(NOT(ISNUMBER(T1857)),IF(ISNUMBER(H1857),H1857,G1857)=0),"",T1857/IF(ISNUMBER(H1857),H1857,G1857))</f>
        <v/>
      </c>
      <c r="V1857" s="49">
        <f>IF(ISNUMBER(U1857),ABS(U1857),"")</f>
        <v/>
      </c>
      <c r="W1857" s="49">
        <f>IF(OR($E1856&lt;&gt;"측정",$C1856&lt;&gt;$C1857,$D1856&lt;&gt;$D1857,NOT(ISNUMBER(M1857)),NOT(ISNUMBER(M1856)),(IF(ISNUMBER(H1857),H1857,G1857)-IF(ISNUMBER(H1856),H1856,G1856))=0),"",(M1857-M1856)/(IF(ISNUMBER(H1857),H1857,G1857)-IF(ISNUMBER(H1856),H1856,G1856)))</f>
        <v/>
      </c>
      <c r="X1857" s="31">
        <f>IF(NOT(AND(ISNUMBER(O1857),ISNUMBER(Q1857))),"",(Q1857-O1857)*1440)</f>
        <v/>
      </c>
      <c r="Y1857" s="29" t="n"/>
      <c r="Z1857" s="29" t="n"/>
      <c r="AA1857" s="29" t="n"/>
      <c r="AB1857" s="32" t="n"/>
      <c r="AC1857" s="32" t="n"/>
    </row>
    <row r="1858">
      <c r="A1858" s="26" t="inlineStr">
        <is>
          <t>S36</t>
        </is>
      </c>
      <c r="B1858" s="26" t="inlineStr">
        <is>
          <t>미원</t>
        </is>
      </c>
      <c r="C1858" s="26" t="inlineStr">
        <is>
          <t>S36-H남</t>
        </is>
      </c>
      <c r="D1858" s="47" t="n">
        <v>1</v>
      </c>
      <c r="E1858" s="26" t="inlineStr">
        <is>
          <t>측정</t>
        </is>
      </c>
      <c r="F1858" s="26" t="inlineStr">
        <is>
          <t>남</t>
        </is>
      </c>
      <c r="G1858" s="31" t="n">
        <v>5</v>
      </c>
      <c r="H1858" s="30" t="n"/>
      <c r="I1858" s="43" t="n"/>
      <c r="J1858" s="41" t="n"/>
      <c r="K1858" s="41" t="n"/>
      <c r="L1858" s="41" t="n"/>
      <c r="M1858" s="31">
        <f>IF(COUNT(J1858:L1858)=0,"",MEDIAN(J1858:L1858))</f>
        <v/>
      </c>
      <c r="N1858" s="26">
        <f>IF(COUNTIFS($C:$C,$C1858,$D:$D,$D1858,$E:$E,"P0(전)",$M:$M,"&gt;0")&lt;&gt;1,"P0(전) 유효 1개 아님",IF(COUNTIFS($C:$C,$C1858,$D:$D,$D1858,$E:$E,"P0(후)",$M:$M,"&gt;0")&lt;&gt;1,"P0(후) 유효 1개 아님",IF(NOT(AND(ISNUMBER(O1858),ISNUMBER(Q1858),ISNUMBER(I1858))),"시각 결측",IF(Q1858&lt;=O1858,"P0 시각 역전",IF(OR(I1858&lt;O1858,I1858&gt;Q1858),"측정시각 구간 밖","OK")))))</f>
        <v/>
      </c>
      <c r="O1858" s="48">
        <f>IF(COUNTIFS($C:$C,$C1858,$D:$D,$D1858,$E:$E,"P0(전)",$M:$M,"&gt;0")&lt;&gt;1,"",SUMIFS($I:$I,$C:$C,$C1858,$D:$D,$D1858,$E:$E,"P0(전)"))</f>
        <v/>
      </c>
      <c r="P1858" s="31">
        <f>IF(COUNTIFS($C:$C,$C1858,$D:$D,$D1858,$E:$E,"P0(전)",$M:$M,"&gt;0")&lt;&gt;1,"",SUMIFS($M:$M,$C:$C,$C1858,$D:$D,$D1858,$E:$E,"P0(전)"))</f>
        <v/>
      </c>
      <c r="Q1858" s="48">
        <f>IF(COUNTIFS($C:$C,$C1858,$D:$D,$D1858,$E:$E,"P0(후)",$M:$M,"&gt;0")&lt;&gt;1,"",SUMIFS($I:$I,$C:$C,$C1858,$D:$D,$D1858,$E:$E,"P0(후)"))</f>
        <v/>
      </c>
      <c r="R1858" s="31">
        <f>IF(COUNTIFS($C:$C,$C1858,$D:$D,$D1858,$E:$E,"P0(후)",$M:$M,"&gt;0")&lt;&gt;1,"",SUMIFS($M:$M,$C:$C,$C1858,$D:$D,$D1858,$E:$E,"P0(후)"))</f>
        <v/>
      </c>
      <c r="S1858" s="31">
        <f>IF(N1858&lt;&gt;"OK","",P1858+(R1858-P1858)*(I1858-O1858)/(Q1858-O1858))</f>
        <v/>
      </c>
      <c r="T1858" s="31">
        <f>IF(OR(N1858&lt;&gt;"OK",NOT(ISNUMBER(M1858))),"",M1858-S1858)</f>
        <v/>
      </c>
      <c r="U1858" s="49">
        <f>IF(OR(NOT(ISNUMBER(T1858)),IF(ISNUMBER(H1858),H1858,G1858)=0),"",T1858/IF(ISNUMBER(H1858),H1858,G1858))</f>
        <v/>
      </c>
      <c r="V1858" s="49">
        <f>IF(ISNUMBER(U1858),ABS(U1858),"")</f>
        <v/>
      </c>
      <c r="W1858" s="49">
        <f>IF(OR($E1857&lt;&gt;"측정",$C1857&lt;&gt;$C1858,$D1857&lt;&gt;$D1858,NOT(ISNUMBER(M1858)),NOT(ISNUMBER(M1857)),(IF(ISNUMBER(H1858),H1858,G1858)-IF(ISNUMBER(H1857),H1857,G1857))=0),"",(M1858-M1857)/(IF(ISNUMBER(H1858),H1858,G1858)-IF(ISNUMBER(H1857),H1857,G1857)))</f>
        <v/>
      </c>
      <c r="X1858" s="31">
        <f>IF(NOT(AND(ISNUMBER(O1858),ISNUMBER(Q1858))),"",(Q1858-O1858)*1440)</f>
        <v/>
      </c>
      <c r="Y1858" s="29" t="n"/>
      <c r="Z1858" s="29" t="n"/>
      <c r="AA1858" s="29" t="n"/>
      <c r="AB1858" s="32" t="n"/>
      <c r="AC1858" s="32" t="n"/>
    </row>
    <row r="1859">
      <c r="A1859" s="26" t="inlineStr">
        <is>
          <t>S36</t>
        </is>
      </c>
      <c r="B1859" s="26" t="inlineStr">
        <is>
          <t>미원</t>
        </is>
      </c>
      <c r="C1859" s="26" t="inlineStr">
        <is>
          <t>S36-H남</t>
        </is>
      </c>
      <c r="D1859" s="47" t="n">
        <v>1</v>
      </c>
      <c r="E1859" s="26" t="inlineStr">
        <is>
          <t>측정</t>
        </is>
      </c>
      <c r="F1859" s="26" t="inlineStr">
        <is>
          <t>남</t>
        </is>
      </c>
      <c r="G1859" s="31" t="n">
        <v>6</v>
      </c>
      <c r="H1859" s="30" t="n"/>
      <c r="I1859" s="43" t="n"/>
      <c r="J1859" s="41" t="n"/>
      <c r="K1859" s="41" t="n"/>
      <c r="L1859" s="41" t="n"/>
      <c r="M1859" s="31">
        <f>IF(COUNT(J1859:L1859)=0,"",MEDIAN(J1859:L1859))</f>
        <v/>
      </c>
      <c r="N1859" s="26">
        <f>IF(COUNTIFS($C:$C,$C1859,$D:$D,$D1859,$E:$E,"P0(전)",$M:$M,"&gt;0")&lt;&gt;1,"P0(전) 유효 1개 아님",IF(COUNTIFS($C:$C,$C1859,$D:$D,$D1859,$E:$E,"P0(후)",$M:$M,"&gt;0")&lt;&gt;1,"P0(후) 유효 1개 아님",IF(NOT(AND(ISNUMBER(O1859),ISNUMBER(Q1859),ISNUMBER(I1859))),"시각 결측",IF(Q1859&lt;=O1859,"P0 시각 역전",IF(OR(I1859&lt;O1859,I1859&gt;Q1859),"측정시각 구간 밖","OK")))))</f>
        <v/>
      </c>
      <c r="O1859" s="48">
        <f>IF(COUNTIFS($C:$C,$C1859,$D:$D,$D1859,$E:$E,"P0(전)",$M:$M,"&gt;0")&lt;&gt;1,"",SUMIFS($I:$I,$C:$C,$C1859,$D:$D,$D1859,$E:$E,"P0(전)"))</f>
        <v/>
      </c>
      <c r="P1859" s="31">
        <f>IF(COUNTIFS($C:$C,$C1859,$D:$D,$D1859,$E:$E,"P0(전)",$M:$M,"&gt;0")&lt;&gt;1,"",SUMIFS($M:$M,$C:$C,$C1859,$D:$D,$D1859,$E:$E,"P0(전)"))</f>
        <v/>
      </c>
      <c r="Q1859" s="48">
        <f>IF(COUNTIFS($C:$C,$C1859,$D:$D,$D1859,$E:$E,"P0(후)",$M:$M,"&gt;0")&lt;&gt;1,"",SUMIFS($I:$I,$C:$C,$C1859,$D:$D,$D1859,$E:$E,"P0(후)"))</f>
        <v/>
      </c>
      <c r="R1859" s="31">
        <f>IF(COUNTIFS($C:$C,$C1859,$D:$D,$D1859,$E:$E,"P0(후)",$M:$M,"&gt;0")&lt;&gt;1,"",SUMIFS($M:$M,$C:$C,$C1859,$D:$D,$D1859,$E:$E,"P0(후)"))</f>
        <v/>
      </c>
      <c r="S1859" s="31">
        <f>IF(N1859&lt;&gt;"OK","",P1859+(R1859-P1859)*(I1859-O1859)/(Q1859-O1859))</f>
        <v/>
      </c>
      <c r="T1859" s="31">
        <f>IF(OR(N1859&lt;&gt;"OK",NOT(ISNUMBER(M1859))),"",M1859-S1859)</f>
        <v/>
      </c>
      <c r="U1859" s="49">
        <f>IF(OR(NOT(ISNUMBER(T1859)),IF(ISNUMBER(H1859),H1859,G1859)=0),"",T1859/IF(ISNUMBER(H1859),H1859,G1859))</f>
        <v/>
      </c>
      <c r="V1859" s="49">
        <f>IF(ISNUMBER(U1859),ABS(U1859),"")</f>
        <v/>
      </c>
      <c r="W1859" s="49">
        <f>IF(OR($E1858&lt;&gt;"측정",$C1858&lt;&gt;$C1859,$D1858&lt;&gt;$D1859,NOT(ISNUMBER(M1859)),NOT(ISNUMBER(M1858)),(IF(ISNUMBER(H1859),H1859,G1859)-IF(ISNUMBER(H1858),H1858,G1858))=0),"",(M1859-M1858)/(IF(ISNUMBER(H1859),H1859,G1859)-IF(ISNUMBER(H1858),H1858,G1858)))</f>
        <v/>
      </c>
      <c r="X1859" s="31">
        <f>IF(NOT(AND(ISNUMBER(O1859),ISNUMBER(Q1859))),"",(Q1859-O1859)*1440)</f>
        <v/>
      </c>
      <c r="Y1859" s="29" t="n"/>
      <c r="Z1859" s="29" t="n"/>
      <c r="AA1859" s="29" t="n"/>
      <c r="AB1859" s="32" t="n"/>
      <c r="AC1859" s="32" t="n"/>
    </row>
    <row r="1860">
      <c r="A1860" s="26" t="inlineStr">
        <is>
          <t>S36</t>
        </is>
      </c>
      <c r="B1860" s="26" t="inlineStr">
        <is>
          <t>미원</t>
        </is>
      </c>
      <c r="C1860" s="26" t="inlineStr">
        <is>
          <t>S36-H남</t>
        </is>
      </c>
      <c r="D1860" s="47" t="n">
        <v>1</v>
      </c>
      <c r="E1860" s="26" t="inlineStr">
        <is>
          <t>측정</t>
        </is>
      </c>
      <c r="F1860" s="26" t="inlineStr">
        <is>
          <t>남</t>
        </is>
      </c>
      <c r="G1860" s="31" t="n">
        <v>7</v>
      </c>
      <c r="H1860" s="30" t="n"/>
      <c r="I1860" s="43" t="n"/>
      <c r="J1860" s="41" t="n"/>
      <c r="K1860" s="41" t="n"/>
      <c r="L1860" s="41" t="n"/>
      <c r="M1860" s="31">
        <f>IF(COUNT(J1860:L1860)=0,"",MEDIAN(J1860:L1860))</f>
        <v/>
      </c>
      <c r="N1860" s="26">
        <f>IF(COUNTIFS($C:$C,$C1860,$D:$D,$D1860,$E:$E,"P0(전)",$M:$M,"&gt;0")&lt;&gt;1,"P0(전) 유효 1개 아님",IF(COUNTIFS($C:$C,$C1860,$D:$D,$D1860,$E:$E,"P0(후)",$M:$M,"&gt;0")&lt;&gt;1,"P0(후) 유효 1개 아님",IF(NOT(AND(ISNUMBER(O1860),ISNUMBER(Q1860),ISNUMBER(I1860))),"시각 결측",IF(Q1860&lt;=O1860,"P0 시각 역전",IF(OR(I1860&lt;O1860,I1860&gt;Q1860),"측정시각 구간 밖","OK")))))</f>
        <v/>
      </c>
      <c r="O1860" s="48">
        <f>IF(COUNTIFS($C:$C,$C1860,$D:$D,$D1860,$E:$E,"P0(전)",$M:$M,"&gt;0")&lt;&gt;1,"",SUMIFS($I:$I,$C:$C,$C1860,$D:$D,$D1860,$E:$E,"P0(전)"))</f>
        <v/>
      </c>
      <c r="P1860" s="31">
        <f>IF(COUNTIFS($C:$C,$C1860,$D:$D,$D1860,$E:$E,"P0(전)",$M:$M,"&gt;0")&lt;&gt;1,"",SUMIFS($M:$M,$C:$C,$C1860,$D:$D,$D1860,$E:$E,"P0(전)"))</f>
        <v/>
      </c>
      <c r="Q1860" s="48">
        <f>IF(COUNTIFS($C:$C,$C1860,$D:$D,$D1860,$E:$E,"P0(후)",$M:$M,"&gt;0")&lt;&gt;1,"",SUMIFS($I:$I,$C:$C,$C1860,$D:$D,$D1860,$E:$E,"P0(후)"))</f>
        <v/>
      </c>
      <c r="R1860" s="31">
        <f>IF(COUNTIFS($C:$C,$C1860,$D:$D,$D1860,$E:$E,"P0(후)",$M:$M,"&gt;0")&lt;&gt;1,"",SUMIFS($M:$M,$C:$C,$C1860,$D:$D,$D1860,$E:$E,"P0(후)"))</f>
        <v/>
      </c>
      <c r="S1860" s="31">
        <f>IF(N1860&lt;&gt;"OK","",P1860+(R1860-P1860)*(I1860-O1860)/(Q1860-O1860))</f>
        <v/>
      </c>
      <c r="T1860" s="31">
        <f>IF(OR(N1860&lt;&gt;"OK",NOT(ISNUMBER(M1860))),"",M1860-S1860)</f>
        <v/>
      </c>
      <c r="U1860" s="49">
        <f>IF(OR(NOT(ISNUMBER(T1860)),IF(ISNUMBER(H1860),H1860,G1860)=0),"",T1860/IF(ISNUMBER(H1860),H1860,G1860))</f>
        <v/>
      </c>
      <c r="V1860" s="49">
        <f>IF(ISNUMBER(U1860),ABS(U1860),"")</f>
        <v/>
      </c>
      <c r="W1860" s="49">
        <f>IF(OR($E1859&lt;&gt;"측정",$C1859&lt;&gt;$C1860,$D1859&lt;&gt;$D1860,NOT(ISNUMBER(M1860)),NOT(ISNUMBER(M1859)),(IF(ISNUMBER(H1860),H1860,G1860)-IF(ISNUMBER(H1859),H1859,G1859))=0),"",(M1860-M1859)/(IF(ISNUMBER(H1860),H1860,G1860)-IF(ISNUMBER(H1859),H1859,G1859)))</f>
        <v/>
      </c>
      <c r="X1860" s="31">
        <f>IF(NOT(AND(ISNUMBER(O1860),ISNUMBER(Q1860))),"",(Q1860-O1860)*1440)</f>
        <v/>
      </c>
      <c r="Y1860" s="29" t="n"/>
      <c r="Z1860" s="29" t="n"/>
      <c r="AA1860" s="29" t="n"/>
      <c r="AB1860" s="32" t="n"/>
      <c r="AC1860" s="32" t="n"/>
    </row>
    <row r="1861">
      <c r="A1861" s="26" t="inlineStr">
        <is>
          <t>S36</t>
        </is>
      </c>
      <c r="B1861" s="26" t="inlineStr">
        <is>
          <t>미원</t>
        </is>
      </c>
      <c r="C1861" s="26" t="inlineStr">
        <is>
          <t>S36-H남</t>
        </is>
      </c>
      <c r="D1861" s="47" t="n">
        <v>1</v>
      </c>
      <c r="E1861" s="26" t="inlineStr">
        <is>
          <t>측정</t>
        </is>
      </c>
      <c r="F1861" s="26" t="inlineStr">
        <is>
          <t>남</t>
        </is>
      </c>
      <c r="G1861" s="31" t="n">
        <v>8</v>
      </c>
      <c r="H1861" s="30" t="n"/>
      <c r="I1861" s="43" t="n"/>
      <c r="J1861" s="41" t="n"/>
      <c r="K1861" s="41" t="n"/>
      <c r="L1861" s="41" t="n"/>
      <c r="M1861" s="31">
        <f>IF(COUNT(J1861:L1861)=0,"",MEDIAN(J1861:L1861))</f>
        <v/>
      </c>
      <c r="N1861" s="26">
        <f>IF(COUNTIFS($C:$C,$C1861,$D:$D,$D1861,$E:$E,"P0(전)",$M:$M,"&gt;0")&lt;&gt;1,"P0(전) 유효 1개 아님",IF(COUNTIFS($C:$C,$C1861,$D:$D,$D1861,$E:$E,"P0(후)",$M:$M,"&gt;0")&lt;&gt;1,"P0(후) 유효 1개 아님",IF(NOT(AND(ISNUMBER(O1861),ISNUMBER(Q1861),ISNUMBER(I1861))),"시각 결측",IF(Q1861&lt;=O1861,"P0 시각 역전",IF(OR(I1861&lt;O1861,I1861&gt;Q1861),"측정시각 구간 밖","OK")))))</f>
        <v/>
      </c>
      <c r="O1861" s="48">
        <f>IF(COUNTIFS($C:$C,$C1861,$D:$D,$D1861,$E:$E,"P0(전)",$M:$M,"&gt;0")&lt;&gt;1,"",SUMIFS($I:$I,$C:$C,$C1861,$D:$D,$D1861,$E:$E,"P0(전)"))</f>
        <v/>
      </c>
      <c r="P1861" s="31">
        <f>IF(COUNTIFS($C:$C,$C1861,$D:$D,$D1861,$E:$E,"P0(전)",$M:$M,"&gt;0")&lt;&gt;1,"",SUMIFS($M:$M,$C:$C,$C1861,$D:$D,$D1861,$E:$E,"P0(전)"))</f>
        <v/>
      </c>
      <c r="Q1861" s="48">
        <f>IF(COUNTIFS($C:$C,$C1861,$D:$D,$D1861,$E:$E,"P0(후)",$M:$M,"&gt;0")&lt;&gt;1,"",SUMIFS($I:$I,$C:$C,$C1861,$D:$D,$D1861,$E:$E,"P0(후)"))</f>
        <v/>
      </c>
      <c r="R1861" s="31">
        <f>IF(COUNTIFS($C:$C,$C1861,$D:$D,$D1861,$E:$E,"P0(후)",$M:$M,"&gt;0")&lt;&gt;1,"",SUMIFS($M:$M,$C:$C,$C1861,$D:$D,$D1861,$E:$E,"P0(후)"))</f>
        <v/>
      </c>
      <c r="S1861" s="31">
        <f>IF(N1861&lt;&gt;"OK","",P1861+(R1861-P1861)*(I1861-O1861)/(Q1861-O1861))</f>
        <v/>
      </c>
      <c r="T1861" s="31">
        <f>IF(OR(N1861&lt;&gt;"OK",NOT(ISNUMBER(M1861))),"",M1861-S1861)</f>
        <v/>
      </c>
      <c r="U1861" s="49">
        <f>IF(OR(NOT(ISNUMBER(T1861)),IF(ISNUMBER(H1861),H1861,G1861)=0),"",T1861/IF(ISNUMBER(H1861),H1861,G1861))</f>
        <v/>
      </c>
      <c r="V1861" s="49">
        <f>IF(ISNUMBER(U1861),ABS(U1861),"")</f>
        <v/>
      </c>
      <c r="W1861" s="49">
        <f>IF(OR($E1860&lt;&gt;"측정",$C1860&lt;&gt;$C1861,$D1860&lt;&gt;$D1861,NOT(ISNUMBER(M1861)),NOT(ISNUMBER(M1860)),(IF(ISNUMBER(H1861),H1861,G1861)-IF(ISNUMBER(H1860),H1860,G1860))=0),"",(M1861-M1860)/(IF(ISNUMBER(H1861),H1861,G1861)-IF(ISNUMBER(H1860),H1860,G1860)))</f>
        <v/>
      </c>
      <c r="X1861" s="31">
        <f>IF(NOT(AND(ISNUMBER(O1861),ISNUMBER(Q1861))),"",(Q1861-O1861)*1440)</f>
        <v/>
      </c>
      <c r="Y1861" s="29" t="n"/>
      <c r="Z1861" s="29" t="n"/>
      <c r="AA1861" s="29" t="n"/>
      <c r="AB1861" s="32" t="n"/>
      <c r="AC1861" s="32" t="n"/>
    </row>
    <row r="1862">
      <c r="A1862" s="26" t="inlineStr">
        <is>
          <t>S36</t>
        </is>
      </c>
      <c r="B1862" s="26" t="inlineStr">
        <is>
          <t>미원</t>
        </is>
      </c>
      <c r="C1862" s="26" t="inlineStr">
        <is>
          <t>S36-H남</t>
        </is>
      </c>
      <c r="D1862" s="47" t="n">
        <v>1</v>
      </c>
      <c r="E1862" s="26" t="inlineStr">
        <is>
          <t>측정</t>
        </is>
      </c>
      <c r="F1862" s="26" t="inlineStr">
        <is>
          <t>남</t>
        </is>
      </c>
      <c r="G1862" s="31" t="n">
        <v>9</v>
      </c>
      <c r="H1862" s="30" t="n"/>
      <c r="I1862" s="43" t="n"/>
      <c r="J1862" s="41" t="n"/>
      <c r="K1862" s="41" t="n"/>
      <c r="L1862" s="41" t="n"/>
      <c r="M1862" s="31">
        <f>IF(COUNT(J1862:L1862)=0,"",MEDIAN(J1862:L1862))</f>
        <v/>
      </c>
      <c r="N1862" s="26">
        <f>IF(COUNTIFS($C:$C,$C1862,$D:$D,$D1862,$E:$E,"P0(전)",$M:$M,"&gt;0")&lt;&gt;1,"P0(전) 유효 1개 아님",IF(COUNTIFS($C:$C,$C1862,$D:$D,$D1862,$E:$E,"P0(후)",$M:$M,"&gt;0")&lt;&gt;1,"P0(후) 유효 1개 아님",IF(NOT(AND(ISNUMBER(O1862),ISNUMBER(Q1862),ISNUMBER(I1862))),"시각 결측",IF(Q1862&lt;=O1862,"P0 시각 역전",IF(OR(I1862&lt;O1862,I1862&gt;Q1862),"측정시각 구간 밖","OK")))))</f>
        <v/>
      </c>
      <c r="O1862" s="48">
        <f>IF(COUNTIFS($C:$C,$C1862,$D:$D,$D1862,$E:$E,"P0(전)",$M:$M,"&gt;0")&lt;&gt;1,"",SUMIFS($I:$I,$C:$C,$C1862,$D:$D,$D1862,$E:$E,"P0(전)"))</f>
        <v/>
      </c>
      <c r="P1862" s="31">
        <f>IF(COUNTIFS($C:$C,$C1862,$D:$D,$D1862,$E:$E,"P0(전)",$M:$M,"&gt;0")&lt;&gt;1,"",SUMIFS($M:$M,$C:$C,$C1862,$D:$D,$D1862,$E:$E,"P0(전)"))</f>
        <v/>
      </c>
      <c r="Q1862" s="48">
        <f>IF(COUNTIFS($C:$C,$C1862,$D:$D,$D1862,$E:$E,"P0(후)",$M:$M,"&gt;0")&lt;&gt;1,"",SUMIFS($I:$I,$C:$C,$C1862,$D:$D,$D1862,$E:$E,"P0(후)"))</f>
        <v/>
      </c>
      <c r="R1862" s="31">
        <f>IF(COUNTIFS($C:$C,$C1862,$D:$D,$D1862,$E:$E,"P0(후)",$M:$M,"&gt;0")&lt;&gt;1,"",SUMIFS($M:$M,$C:$C,$C1862,$D:$D,$D1862,$E:$E,"P0(후)"))</f>
        <v/>
      </c>
      <c r="S1862" s="31">
        <f>IF(N1862&lt;&gt;"OK","",P1862+(R1862-P1862)*(I1862-O1862)/(Q1862-O1862))</f>
        <v/>
      </c>
      <c r="T1862" s="31">
        <f>IF(OR(N1862&lt;&gt;"OK",NOT(ISNUMBER(M1862))),"",M1862-S1862)</f>
        <v/>
      </c>
      <c r="U1862" s="49">
        <f>IF(OR(NOT(ISNUMBER(T1862)),IF(ISNUMBER(H1862),H1862,G1862)=0),"",T1862/IF(ISNUMBER(H1862),H1862,G1862))</f>
        <v/>
      </c>
      <c r="V1862" s="49">
        <f>IF(ISNUMBER(U1862),ABS(U1862),"")</f>
        <v/>
      </c>
      <c r="W1862" s="49">
        <f>IF(OR($E1861&lt;&gt;"측정",$C1861&lt;&gt;$C1862,$D1861&lt;&gt;$D1862,NOT(ISNUMBER(M1862)),NOT(ISNUMBER(M1861)),(IF(ISNUMBER(H1862),H1862,G1862)-IF(ISNUMBER(H1861),H1861,G1861))=0),"",(M1862-M1861)/(IF(ISNUMBER(H1862),H1862,G1862)-IF(ISNUMBER(H1861),H1861,G1861)))</f>
        <v/>
      </c>
      <c r="X1862" s="31">
        <f>IF(NOT(AND(ISNUMBER(O1862),ISNUMBER(Q1862))),"",(Q1862-O1862)*1440)</f>
        <v/>
      </c>
      <c r="Y1862" s="29" t="n"/>
      <c r="Z1862" s="29" t="n"/>
      <c r="AA1862" s="29" t="n"/>
      <c r="AB1862" s="32" t="n"/>
      <c r="AC1862" s="32" t="n"/>
    </row>
    <row r="1863">
      <c r="A1863" s="26" t="inlineStr">
        <is>
          <t>S36</t>
        </is>
      </c>
      <c r="B1863" s="26" t="inlineStr">
        <is>
          <t>미원</t>
        </is>
      </c>
      <c r="C1863" s="26" t="inlineStr">
        <is>
          <t>S36-H남</t>
        </is>
      </c>
      <c r="D1863" s="47" t="n">
        <v>1</v>
      </c>
      <c r="E1863" s="26" t="inlineStr">
        <is>
          <t>측정</t>
        </is>
      </c>
      <c r="F1863" s="26" t="inlineStr">
        <is>
          <t>남</t>
        </is>
      </c>
      <c r="G1863" s="31" t="n">
        <v>10</v>
      </c>
      <c r="H1863" s="30" t="n"/>
      <c r="I1863" s="43" t="n"/>
      <c r="J1863" s="41" t="n"/>
      <c r="K1863" s="41" t="n"/>
      <c r="L1863" s="41" t="n"/>
      <c r="M1863" s="31">
        <f>IF(COUNT(J1863:L1863)=0,"",MEDIAN(J1863:L1863))</f>
        <v/>
      </c>
      <c r="N1863" s="26">
        <f>IF(COUNTIFS($C:$C,$C1863,$D:$D,$D1863,$E:$E,"P0(전)",$M:$M,"&gt;0")&lt;&gt;1,"P0(전) 유효 1개 아님",IF(COUNTIFS($C:$C,$C1863,$D:$D,$D1863,$E:$E,"P0(후)",$M:$M,"&gt;0")&lt;&gt;1,"P0(후) 유효 1개 아님",IF(NOT(AND(ISNUMBER(O1863),ISNUMBER(Q1863),ISNUMBER(I1863))),"시각 결측",IF(Q1863&lt;=O1863,"P0 시각 역전",IF(OR(I1863&lt;O1863,I1863&gt;Q1863),"측정시각 구간 밖","OK")))))</f>
        <v/>
      </c>
      <c r="O1863" s="48">
        <f>IF(COUNTIFS($C:$C,$C1863,$D:$D,$D1863,$E:$E,"P0(전)",$M:$M,"&gt;0")&lt;&gt;1,"",SUMIFS($I:$I,$C:$C,$C1863,$D:$D,$D1863,$E:$E,"P0(전)"))</f>
        <v/>
      </c>
      <c r="P1863" s="31">
        <f>IF(COUNTIFS($C:$C,$C1863,$D:$D,$D1863,$E:$E,"P0(전)",$M:$M,"&gt;0")&lt;&gt;1,"",SUMIFS($M:$M,$C:$C,$C1863,$D:$D,$D1863,$E:$E,"P0(전)"))</f>
        <v/>
      </c>
      <c r="Q1863" s="48">
        <f>IF(COUNTIFS($C:$C,$C1863,$D:$D,$D1863,$E:$E,"P0(후)",$M:$M,"&gt;0")&lt;&gt;1,"",SUMIFS($I:$I,$C:$C,$C1863,$D:$D,$D1863,$E:$E,"P0(후)"))</f>
        <v/>
      </c>
      <c r="R1863" s="31">
        <f>IF(COUNTIFS($C:$C,$C1863,$D:$D,$D1863,$E:$E,"P0(후)",$M:$M,"&gt;0")&lt;&gt;1,"",SUMIFS($M:$M,$C:$C,$C1863,$D:$D,$D1863,$E:$E,"P0(후)"))</f>
        <v/>
      </c>
      <c r="S1863" s="31">
        <f>IF(N1863&lt;&gt;"OK","",P1863+(R1863-P1863)*(I1863-O1863)/(Q1863-O1863))</f>
        <v/>
      </c>
      <c r="T1863" s="31">
        <f>IF(OR(N1863&lt;&gt;"OK",NOT(ISNUMBER(M1863))),"",M1863-S1863)</f>
        <v/>
      </c>
      <c r="U1863" s="49">
        <f>IF(OR(NOT(ISNUMBER(T1863)),IF(ISNUMBER(H1863),H1863,G1863)=0),"",T1863/IF(ISNUMBER(H1863),H1863,G1863))</f>
        <v/>
      </c>
      <c r="V1863" s="49">
        <f>IF(ISNUMBER(U1863),ABS(U1863),"")</f>
        <v/>
      </c>
      <c r="W1863" s="49">
        <f>IF(OR($E1862&lt;&gt;"측정",$C1862&lt;&gt;$C1863,$D1862&lt;&gt;$D1863,NOT(ISNUMBER(M1863)),NOT(ISNUMBER(M1862)),(IF(ISNUMBER(H1863),H1863,G1863)-IF(ISNUMBER(H1862),H1862,G1862))=0),"",(M1863-M1862)/(IF(ISNUMBER(H1863),H1863,G1863)-IF(ISNUMBER(H1862),H1862,G1862)))</f>
        <v/>
      </c>
      <c r="X1863" s="31">
        <f>IF(NOT(AND(ISNUMBER(O1863),ISNUMBER(Q1863))),"",(Q1863-O1863)*1440)</f>
        <v/>
      </c>
      <c r="Y1863" s="29" t="n"/>
      <c r="Z1863" s="29" t="n"/>
      <c r="AA1863" s="29" t="n"/>
      <c r="AB1863" s="32" t="n"/>
      <c r="AC1863" s="32" t="n"/>
    </row>
    <row r="1864">
      <c r="A1864" s="44" t="inlineStr">
        <is>
          <t>S36</t>
        </is>
      </c>
      <c r="B1864" s="44" t="inlineStr">
        <is>
          <t>미원</t>
        </is>
      </c>
      <c r="C1864" s="44" t="inlineStr">
        <is>
          <t>S36-H남</t>
        </is>
      </c>
      <c r="D1864" s="45" t="n">
        <v>1</v>
      </c>
      <c r="E1864" s="44" t="inlineStr">
        <is>
          <t>P0(후)</t>
        </is>
      </c>
      <c r="F1864" s="44" t="inlineStr">
        <is>
          <t>남</t>
        </is>
      </c>
      <c r="G1864" s="46" t="n"/>
      <c r="H1864" s="30" t="n"/>
      <c r="I1864" s="43" t="n"/>
      <c r="J1864" s="41" t="n"/>
      <c r="K1864" s="41" t="n"/>
      <c r="L1864" s="41" t="n"/>
      <c r="M1864" s="31">
        <f>IF(COUNT(J1864:L1864)=0,"",MEDIAN(J1864:L1864))</f>
        <v/>
      </c>
      <c r="N1864" s="38" t="n"/>
      <c r="O1864" s="38" t="n"/>
      <c r="P1864" s="38" t="n"/>
      <c r="Q1864" s="38" t="n"/>
      <c r="R1864" s="38" t="n"/>
      <c r="S1864" s="38" t="n"/>
      <c r="T1864" s="38" t="n"/>
      <c r="U1864" s="38" t="n"/>
      <c r="V1864" s="38" t="n"/>
      <c r="W1864" s="38" t="n"/>
      <c r="X1864" s="38" t="n"/>
      <c r="Y1864" s="29" t="n"/>
      <c r="Z1864" s="29" t="n"/>
      <c r="AA1864" s="29" t="n"/>
      <c r="AB1864" s="32" t="n"/>
      <c r="AC1864" s="32" t="n"/>
    </row>
    <row r="1865">
      <c r="A1865" s="44" t="inlineStr">
        <is>
          <t>S36</t>
        </is>
      </c>
      <c r="B1865" s="44" t="inlineStr">
        <is>
          <t>미원</t>
        </is>
      </c>
      <c r="C1865" s="44" t="inlineStr">
        <is>
          <t>S36-H북</t>
        </is>
      </c>
      <c r="D1865" s="45" t="n">
        <v>1</v>
      </c>
      <c r="E1865" s="44" t="inlineStr">
        <is>
          <t>P0(전)</t>
        </is>
      </c>
      <c r="F1865" s="44" t="inlineStr">
        <is>
          <t>북</t>
        </is>
      </c>
      <c r="G1865" s="46" t="n"/>
      <c r="H1865" s="30" t="n"/>
      <c r="I1865" s="43" t="n"/>
      <c r="J1865" s="41" t="n"/>
      <c r="K1865" s="41" t="n"/>
      <c r="L1865" s="41" t="n"/>
      <c r="M1865" s="31">
        <f>IF(COUNT(J1865:L1865)=0,"",MEDIAN(J1865:L1865))</f>
        <v/>
      </c>
      <c r="N1865" s="38" t="n"/>
      <c r="O1865" s="38" t="n"/>
      <c r="P1865" s="38" t="n"/>
      <c r="Q1865" s="38" t="n"/>
      <c r="R1865" s="38" t="n"/>
      <c r="S1865" s="38" t="n"/>
      <c r="T1865" s="38" t="n"/>
      <c r="U1865" s="38" t="n"/>
      <c r="V1865" s="38" t="n"/>
      <c r="W1865" s="38" t="n"/>
      <c r="X1865" s="38" t="n"/>
      <c r="Y1865" s="29" t="n"/>
      <c r="Z1865" s="29" t="n"/>
      <c r="AA1865" s="29" t="n"/>
      <c r="AB1865" s="32" t="n"/>
      <c r="AC1865" s="32" t="n"/>
    </row>
    <row r="1866">
      <c r="A1866" s="26" t="inlineStr">
        <is>
          <t>S36</t>
        </is>
      </c>
      <c r="B1866" s="26" t="inlineStr">
        <is>
          <t>미원</t>
        </is>
      </c>
      <c r="C1866" s="26" t="inlineStr">
        <is>
          <t>S36-H북</t>
        </is>
      </c>
      <c r="D1866" s="47" t="n">
        <v>1</v>
      </c>
      <c r="E1866" s="26" t="inlineStr">
        <is>
          <t>측정</t>
        </is>
      </c>
      <c r="F1866" s="26" t="inlineStr">
        <is>
          <t>북</t>
        </is>
      </c>
      <c r="G1866" s="31" t="n">
        <v>0.5</v>
      </c>
      <c r="H1866" s="30" t="n"/>
      <c r="I1866" s="43" t="n"/>
      <c r="J1866" s="41" t="n"/>
      <c r="K1866" s="41" t="n"/>
      <c r="L1866" s="41" t="n"/>
      <c r="M1866" s="31">
        <f>IF(COUNT(J1866:L1866)=0,"",MEDIAN(J1866:L1866))</f>
        <v/>
      </c>
      <c r="N1866" s="26">
        <f>IF(COUNTIFS($C:$C,$C1866,$D:$D,$D1866,$E:$E,"P0(전)",$M:$M,"&gt;0")&lt;&gt;1,"P0(전) 유효 1개 아님",IF(COUNTIFS($C:$C,$C1866,$D:$D,$D1866,$E:$E,"P0(후)",$M:$M,"&gt;0")&lt;&gt;1,"P0(후) 유효 1개 아님",IF(NOT(AND(ISNUMBER(O1866),ISNUMBER(Q1866),ISNUMBER(I1866))),"시각 결측",IF(Q1866&lt;=O1866,"P0 시각 역전",IF(OR(I1866&lt;O1866,I1866&gt;Q1866),"측정시각 구간 밖","OK")))))</f>
        <v/>
      </c>
      <c r="O1866" s="48">
        <f>IF(COUNTIFS($C:$C,$C1866,$D:$D,$D1866,$E:$E,"P0(전)",$M:$M,"&gt;0")&lt;&gt;1,"",SUMIFS($I:$I,$C:$C,$C1866,$D:$D,$D1866,$E:$E,"P0(전)"))</f>
        <v/>
      </c>
      <c r="P1866" s="31">
        <f>IF(COUNTIFS($C:$C,$C1866,$D:$D,$D1866,$E:$E,"P0(전)",$M:$M,"&gt;0")&lt;&gt;1,"",SUMIFS($M:$M,$C:$C,$C1866,$D:$D,$D1866,$E:$E,"P0(전)"))</f>
        <v/>
      </c>
      <c r="Q1866" s="48">
        <f>IF(COUNTIFS($C:$C,$C1866,$D:$D,$D1866,$E:$E,"P0(후)",$M:$M,"&gt;0")&lt;&gt;1,"",SUMIFS($I:$I,$C:$C,$C1866,$D:$D,$D1866,$E:$E,"P0(후)"))</f>
        <v/>
      </c>
      <c r="R1866" s="31">
        <f>IF(COUNTIFS($C:$C,$C1866,$D:$D,$D1866,$E:$E,"P0(후)",$M:$M,"&gt;0")&lt;&gt;1,"",SUMIFS($M:$M,$C:$C,$C1866,$D:$D,$D1866,$E:$E,"P0(후)"))</f>
        <v/>
      </c>
      <c r="S1866" s="31">
        <f>IF(N1866&lt;&gt;"OK","",P1866+(R1866-P1866)*(I1866-O1866)/(Q1866-O1866))</f>
        <v/>
      </c>
      <c r="T1866" s="31">
        <f>IF(OR(N1866&lt;&gt;"OK",NOT(ISNUMBER(M1866))),"",M1866-S1866)</f>
        <v/>
      </c>
      <c r="U1866" s="49">
        <f>IF(OR(NOT(ISNUMBER(T1866)),IF(ISNUMBER(H1866),H1866,G1866)=0),"",T1866/IF(ISNUMBER(H1866),H1866,G1866))</f>
        <v/>
      </c>
      <c r="V1866" s="49">
        <f>IF(ISNUMBER(U1866),ABS(U1866),"")</f>
        <v/>
      </c>
      <c r="W1866" s="49">
        <f>IF(OR($E1865&lt;&gt;"측정",$C1865&lt;&gt;$C1866,$D1865&lt;&gt;$D1866,NOT(ISNUMBER(M1866)),NOT(ISNUMBER(M1865)),(IF(ISNUMBER(H1866),H1866,G1866)-IF(ISNUMBER(H1865),H1865,G1865))=0),"",(M1866-M1865)/(IF(ISNUMBER(H1866),H1866,G1866)-IF(ISNUMBER(H1865),H1865,G1865)))</f>
        <v/>
      </c>
      <c r="X1866" s="31">
        <f>IF(NOT(AND(ISNUMBER(O1866),ISNUMBER(Q1866))),"",(Q1866-O1866)*1440)</f>
        <v/>
      </c>
      <c r="Y1866" s="29" t="n"/>
      <c r="Z1866" s="29" t="n"/>
      <c r="AA1866" s="29" t="n"/>
      <c r="AB1866" s="32" t="n"/>
      <c r="AC1866" s="32" t="n"/>
    </row>
    <row r="1867">
      <c r="A1867" s="26" t="inlineStr">
        <is>
          <t>S36</t>
        </is>
      </c>
      <c r="B1867" s="26" t="inlineStr">
        <is>
          <t>미원</t>
        </is>
      </c>
      <c r="C1867" s="26" t="inlineStr">
        <is>
          <t>S36-H북</t>
        </is>
      </c>
      <c r="D1867" s="47" t="n">
        <v>1</v>
      </c>
      <c r="E1867" s="26" t="inlineStr">
        <is>
          <t>측정</t>
        </is>
      </c>
      <c r="F1867" s="26" t="inlineStr">
        <is>
          <t>북</t>
        </is>
      </c>
      <c r="G1867" s="31" t="n">
        <v>1</v>
      </c>
      <c r="H1867" s="30" t="n"/>
      <c r="I1867" s="43" t="n"/>
      <c r="J1867" s="41" t="n"/>
      <c r="K1867" s="41" t="n"/>
      <c r="L1867" s="41" t="n"/>
      <c r="M1867" s="31">
        <f>IF(COUNT(J1867:L1867)=0,"",MEDIAN(J1867:L1867))</f>
        <v/>
      </c>
      <c r="N1867" s="26">
        <f>IF(COUNTIFS($C:$C,$C1867,$D:$D,$D1867,$E:$E,"P0(전)",$M:$M,"&gt;0")&lt;&gt;1,"P0(전) 유효 1개 아님",IF(COUNTIFS($C:$C,$C1867,$D:$D,$D1867,$E:$E,"P0(후)",$M:$M,"&gt;0")&lt;&gt;1,"P0(후) 유효 1개 아님",IF(NOT(AND(ISNUMBER(O1867),ISNUMBER(Q1867),ISNUMBER(I1867))),"시각 결측",IF(Q1867&lt;=O1867,"P0 시각 역전",IF(OR(I1867&lt;O1867,I1867&gt;Q1867),"측정시각 구간 밖","OK")))))</f>
        <v/>
      </c>
      <c r="O1867" s="48">
        <f>IF(COUNTIFS($C:$C,$C1867,$D:$D,$D1867,$E:$E,"P0(전)",$M:$M,"&gt;0")&lt;&gt;1,"",SUMIFS($I:$I,$C:$C,$C1867,$D:$D,$D1867,$E:$E,"P0(전)"))</f>
        <v/>
      </c>
      <c r="P1867" s="31">
        <f>IF(COUNTIFS($C:$C,$C1867,$D:$D,$D1867,$E:$E,"P0(전)",$M:$M,"&gt;0")&lt;&gt;1,"",SUMIFS($M:$M,$C:$C,$C1867,$D:$D,$D1867,$E:$E,"P0(전)"))</f>
        <v/>
      </c>
      <c r="Q1867" s="48">
        <f>IF(COUNTIFS($C:$C,$C1867,$D:$D,$D1867,$E:$E,"P0(후)",$M:$M,"&gt;0")&lt;&gt;1,"",SUMIFS($I:$I,$C:$C,$C1867,$D:$D,$D1867,$E:$E,"P0(후)"))</f>
        <v/>
      </c>
      <c r="R1867" s="31">
        <f>IF(COUNTIFS($C:$C,$C1867,$D:$D,$D1867,$E:$E,"P0(후)",$M:$M,"&gt;0")&lt;&gt;1,"",SUMIFS($M:$M,$C:$C,$C1867,$D:$D,$D1867,$E:$E,"P0(후)"))</f>
        <v/>
      </c>
      <c r="S1867" s="31">
        <f>IF(N1867&lt;&gt;"OK","",P1867+(R1867-P1867)*(I1867-O1867)/(Q1867-O1867))</f>
        <v/>
      </c>
      <c r="T1867" s="31">
        <f>IF(OR(N1867&lt;&gt;"OK",NOT(ISNUMBER(M1867))),"",M1867-S1867)</f>
        <v/>
      </c>
      <c r="U1867" s="49">
        <f>IF(OR(NOT(ISNUMBER(T1867)),IF(ISNUMBER(H1867),H1867,G1867)=0),"",T1867/IF(ISNUMBER(H1867),H1867,G1867))</f>
        <v/>
      </c>
      <c r="V1867" s="49">
        <f>IF(ISNUMBER(U1867),ABS(U1867),"")</f>
        <v/>
      </c>
      <c r="W1867" s="49">
        <f>IF(OR($E1866&lt;&gt;"측정",$C1866&lt;&gt;$C1867,$D1866&lt;&gt;$D1867,NOT(ISNUMBER(M1867)),NOT(ISNUMBER(M1866)),(IF(ISNUMBER(H1867),H1867,G1867)-IF(ISNUMBER(H1866),H1866,G1866))=0),"",(M1867-M1866)/(IF(ISNUMBER(H1867),H1867,G1867)-IF(ISNUMBER(H1866),H1866,G1866)))</f>
        <v/>
      </c>
      <c r="X1867" s="31">
        <f>IF(NOT(AND(ISNUMBER(O1867),ISNUMBER(Q1867))),"",(Q1867-O1867)*1440)</f>
        <v/>
      </c>
      <c r="Y1867" s="29" t="n"/>
      <c r="Z1867" s="29" t="n"/>
      <c r="AA1867" s="29" t="n"/>
      <c r="AB1867" s="32" t="n"/>
      <c r="AC1867" s="32" t="n"/>
    </row>
    <row r="1868">
      <c r="A1868" s="26" t="inlineStr">
        <is>
          <t>S36</t>
        </is>
      </c>
      <c r="B1868" s="26" t="inlineStr">
        <is>
          <t>미원</t>
        </is>
      </c>
      <c r="C1868" s="26" t="inlineStr">
        <is>
          <t>S36-H북</t>
        </is>
      </c>
      <c r="D1868" s="47" t="n">
        <v>1</v>
      </c>
      <c r="E1868" s="26" t="inlineStr">
        <is>
          <t>측정</t>
        </is>
      </c>
      <c r="F1868" s="26" t="inlineStr">
        <is>
          <t>북</t>
        </is>
      </c>
      <c r="G1868" s="31" t="n">
        <v>2</v>
      </c>
      <c r="H1868" s="30" t="n"/>
      <c r="I1868" s="43" t="n"/>
      <c r="J1868" s="41" t="n"/>
      <c r="K1868" s="41" t="n"/>
      <c r="L1868" s="41" t="n"/>
      <c r="M1868" s="31">
        <f>IF(COUNT(J1868:L1868)=0,"",MEDIAN(J1868:L1868))</f>
        <v/>
      </c>
      <c r="N1868" s="26">
        <f>IF(COUNTIFS($C:$C,$C1868,$D:$D,$D1868,$E:$E,"P0(전)",$M:$M,"&gt;0")&lt;&gt;1,"P0(전) 유효 1개 아님",IF(COUNTIFS($C:$C,$C1868,$D:$D,$D1868,$E:$E,"P0(후)",$M:$M,"&gt;0")&lt;&gt;1,"P0(후) 유효 1개 아님",IF(NOT(AND(ISNUMBER(O1868),ISNUMBER(Q1868),ISNUMBER(I1868))),"시각 결측",IF(Q1868&lt;=O1868,"P0 시각 역전",IF(OR(I1868&lt;O1868,I1868&gt;Q1868),"측정시각 구간 밖","OK")))))</f>
        <v/>
      </c>
      <c r="O1868" s="48">
        <f>IF(COUNTIFS($C:$C,$C1868,$D:$D,$D1868,$E:$E,"P0(전)",$M:$M,"&gt;0")&lt;&gt;1,"",SUMIFS($I:$I,$C:$C,$C1868,$D:$D,$D1868,$E:$E,"P0(전)"))</f>
        <v/>
      </c>
      <c r="P1868" s="31">
        <f>IF(COUNTIFS($C:$C,$C1868,$D:$D,$D1868,$E:$E,"P0(전)",$M:$M,"&gt;0")&lt;&gt;1,"",SUMIFS($M:$M,$C:$C,$C1868,$D:$D,$D1868,$E:$E,"P0(전)"))</f>
        <v/>
      </c>
      <c r="Q1868" s="48">
        <f>IF(COUNTIFS($C:$C,$C1868,$D:$D,$D1868,$E:$E,"P0(후)",$M:$M,"&gt;0")&lt;&gt;1,"",SUMIFS($I:$I,$C:$C,$C1868,$D:$D,$D1868,$E:$E,"P0(후)"))</f>
        <v/>
      </c>
      <c r="R1868" s="31">
        <f>IF(COUNTIFS($C:$C,$C1868,$D:$D,$D1868,$E:$E,"P0(후)",$M:$M,"&gt;0")&lt;&gt;1,"",SUMIFS($M:$M,$C:$C,$C1868,$D:$D,$D1868,$E:$E,"P0(후)"))</f>
        <v/>
      </c>
      <c r="S1868" s="31">
        <f>IF(N1868&lt;&gt;"OK","",P1868+(R1868-P1868)*(I1868-O1868)/(Q1868-O1868))</f>
        <v/>
      </c>
      <c r="T1868" s="31">
        <f>IF(OR(N1868&lt;&gt;"OK",NOT(ISNUMBER(M1868))),"",M1868-S1868)</f>
        <v/>
      </c>
      <c r="U1868" s="49">
        <f>IF(OR(NOT(ISNUMBER(T1868)),IF(ISNUMBER(H1868),H1868,G1868)=0),"",T1868/IF(ISNUMBER(H1868),H1868,G1868))</f>
        <v/>
      </c>
      <c r="V1868" s="49">
        <f>IF(ISNUMBER(U1868),ABS(U1868),"")</f>
        <v/>
      </c>
      <c r="W1868" s="49">
        <f>IF(OR($E1867&lt;&gt;"측정",$C1867&lt;&gt;$C1868,$D1867&lt;&gt;$D1868,NOT(ISNUMBER(M1868)),NOT(ISNUMBER(M1867)),(IF(ISNUMBER(H1868),H1868,G1868)-IF(ISNUMBER(H1867),H1867,G1867))=0),"",(M1868-M1867)/(IF(ISNUMBER(H1868),H1868,G1868)-IF(ISNUMBER(H1867),H1867,G1867)))</f>
        <v/>
      </c>
      <c r="X1868" s="31">
        <f>IF(NOT(AND(ISNUMBER(O1868),ISNUMBER(Q1868))),"",(Q1868-O1868)*1440)</f>
        <v/>
      </c>
      <c r="Y1868" s="29" t="n"/>
      <c r="Z1868" s="29" t="n"/>
      <c r="AA1868" s="29" t="n"/>
      <c r="AB1868" s="32" t="n"/>
      <c r="AC1868" s="32" t="n"/>
    </row>
    <row r="1869">
      <c r="A1869" s="26" t="inlineStr">
        <is>
          <t>S36</t>
        </is>
      </c>
      <c r="B1869" s="26" t="inlineStr">
        <is>
          <t>미원</t>
        </is>
      </c>
      <c r="C1869" s="26" t="inlineStr">
        <is>
          <t>S36-H북</t>
        </is>
      </c>
      <c r="D1869" s="47" t="n">
        <v>1</v>
      </c>
      <c r="E1869" s="26" t="inlineStr">
        <is>
          <t>측정</t>
        </is>
      </c>
      <c r="F1869" s="26" t="inlineStr">
        <is>
          <t>북</t>
        </is>
      </c>
      <c r="G1869" s="31" t="n">
        <v>3</v>
      </c>
      <c r="H1869" s="30" t="n"/>
      <c r="I1869" s="43" t="n"/>
      <c r="J1869" s="41" t="n"/>
      <c r="K1869" s="41" t="n"/>
      <c r="L1869" s="41" t="n"/>
      <c r="M1869" s="31">
        <f>IF(COUNT(J1869:L1869)=0,"",MEDIAN(J1869:L1869))</f>
        <v/>
      </c>
      <c r="N1869" s="26">
        <f>IF(COUNTIFS($C:$C,$C1869,$D:$D,$D1869,$E:$E,"P0(전)",$M:$M,"&gt;0")&lt;&gt;1,"P0(전) 유효 1개 아님",IF(COUNTIFS($C:$C,$C1869,$D:$D,$D1869,$E:$E,"P0(후)",$M:$M,"&gt;0")&lt;&gt;1,"P0(후) 유효 1개 아님",IF(NOT(AND(ISNUMBER(O1869),ISNUMBER(Q1869),ISNUMBER(I1869))),"시각 결측",IF(Q1869&lt;=O1869,"P0 시각 역전",IF(OR(I1869&lt;O1869,I1869&gt;Q1869),"측정시각 구간 밖","OK")))))</f>
        <v/>
      </c>
      <c r="O1869" s="48">
        <f>IF(COUNTIFS($C:$C,$C1869,$D:$D,$D1869,$E:$E,"P0(전)",$M:$M,"&gt;0")&lt;&gt;1,"",SUMIFS($I:$I,$C:$C,$C1869,$D:$D,$D1869,$E:$E,"P0(전)"))</f>
        <v/>
      </c>
      <c r="P1869" s="31">
        <f>IF(COUNTIFS($C:$C,$C1869,$D:$D,$D1869,$E:$E,"P0(전)",$M:$M,"&gt;0")&lt;&gt;1,"",SUMIFS($M:$M,$C:$C,$C1869,$D:$D,$D1869,$E:$E,"P0(전)"))</f>
        <v/>
      </c>
      <c r="Q1869" s="48">
        <f>IF(COUNTIFS($C:$C,$C1869,$D:$D,$D1869,$E:$E,"P0(후)",$M:$M,"&gt;0")&lt;&gt;1,"",SUMIFS($I:$I,$C:$C,$C1869,$D:$D,$D1869,$E:$E,"P0(후)"))</f>
        <v/>
      </c>
      <c r="R1869" s="31">
        <f>IF(COUNTIFS($C:$C,$C1869,$D:$D,$D1869,$E:$E,"P0(후)",$M:$M,"&gt;0")&lt;&gt;1,"",SUMIFS($M:$M,$C:$C,$C1869,$D:$D,$D1869,$E:$E,"P0(후)"))</f>
        <v/>
      </c>
      <c r="S1869" s="31">
        <f>IF(N1869&lt;&gt;"OK","",P1869+(R1869-P1869)*(I1869-O1869)/(Q1869-O1869))</f>
        <v/>
      </c>
      <c r="T1869" s="31">
        <f>IF(OR(N1869&lt;&gt;"OK",NOT(ISNUMBER(M1869))),"",M1869-S1869)</f>
        <v/>
      </c>
      <c r="U1869" s="49">
        <f>IF(OR(NOT(ISNUMBER(T1869)),IF(ISNUMBER(H1869),H1869,G1869)=0),"",T1869/IF(ISNUMBER(H1869),H1869,G1869))</f>
        <v/>
      </c>
      <c r="V1869" s="49">
        <f>IF(ISNUMBER(U1869),ABS(U1869),"")</f>
        <v/>
      </c>
      <c r="W1869" s="49">
        <f>IF(OR($E1868&lt;&gt;"측정",$C1868&lt;&gt;$C1869,$D1868&lt;&gt;$D1869,NOT(ISNUMBER(M1869)),NOT(ISNUMBER(M1868)),(IF(ISNUMBER(H1869),H1869,G1869)-IF(ISNUMBER(H1868),H1868,G1868))=0),"",(M1869-M1868)/(IF(ISNUMBER(H1869),H1869,G1869)-IF(ISNUMBER(H1868),H1868,G1868)))</f>
        <v/>
      </c>
      <c r="X1869" s="31">
        <f>IF(NOT(AND(ISNUMBER(O1869),ISNUMBER(Q1869))),"",(Q1869-O1869)*1440)</f>
        <v/>
      </c>
      <c r="Y1869" s="29" t="n"/>
      <c r="Z1869" s="29" t="n"/>
      <c r="AA1869" s="29" t="n"/>
      <c r="AB1869" s="32" t="n"/>
      <c r="AC1869" s="32" t="n"/>
    </row>
    <row r="1870">
      <c r="A1870" s="26" t="inlineStr">
        <is>
          <t>S36</t>
        </is>
      </c>
      <c r="B1870" s="26" t="inlineStr">
        <is>
          <t>미원</t>
        </is>
      </c>
      <c r="C1870" s="26" t="inlineStr">
        <is>
          <t>S36-H북</t>
        </is>
      </c>
      <c r="D1870" s="47" t="n">
        <v>1</v>
      </c>
      <c r="E1870" s="26" t="inlineStr">
        <is>
          <t>측정</t>
        </is>
      </c>
      <c r="F1870" s="26" t="inlineStr">
        <is>
          <t>북</t>
        </is>
      </c>
      <c r="G1870" s="31" t="n">
        <v>4</v>
      </c>
      <c r="H1870" s="30" t="n"/>
      <c r="I1870" s="43" t="n"/>
      <c r="J1870" s="41" t="n"/>
      <c r="K1870" s="41" t="n"/>
      <c r="L1870" s="41" t="n"/>
      <c r="M1870" s="31">
        <f>IF(COUNT(J1870:L1870)=0,"",MEDIAN(J1870:L1870))</f>
        <v/>
      </c>
      <c r="N1870" s="26">
        <f>IF(COUNTIFS($C:$C,$C1870,$D:$D,$D1870,$E:$E,"P0(전)",$M:$M,"&gt;0")&lt;&gt;1,"P0(전) 유효 1개 아님",IF(COUNTIFS($C:$C,$C1870,$D:$D,$D1870,$E:$E,"P0(후)",$M:$M,"&gt;0")&lt;&gt;1,"P0(후) 유효 1개 아님",IF(NOT(AND(ISNUMBER(O1870),ISNUMBER(Q1870),ISNUMBER(I1870))),"시각 결측",IF(Q1870&lt;=O1870,"P0 시각 역전",IF(OR(I1870&lt;O1870,I1870&gt;Q1870),"측정시각 구간 밖","OK")))))</f>
        <v/>
      </c>
      <c r="O1870" s="48">
        <f>IF(COUNTIFS($C:$C,$C1870,$D:$D,$D1870,$E:$E,"P0(전)",$M:$M,"&gt;0")&lt;&gt;1,"",SUMIFS($I:$I,$C:$C,$C1870,$D:$D,$D1870,$E:$E,"P0(전)"))</f>
        <v/>
      </c>
      <c r="P1870" s="31">
        <f>IF(COUNTIFS($C:$C,$C1870,$D:$D,$D1870,$E:$E,"P0(전)",$M:$M,"&gt;0")&lt;&gt;1,"",SUMIFS($M:$M,$C:$C,$C1870,$D:$D,$D1870,$E:$E,"P0(전)"))</f>
        <v/>
      </c>
      <c r="Q1870" s="48">
        <f>IF(COUNTIFS($C:$C,$C1870,$D:$D,$D1870,$E:$E,"P0(후)",$M:$M,"&gt;0")&lt;&gt;1,"",SUMIFS($I:$I,$C:$C,$C1870,$D:$D,$D1870,$E:$E,"P0(후)"))</f>
        <v/>
      </c>
      <c r="R1870" s="31">
        <f>IF(COUNTIFS($C:$C,$C1870,$D:$D,$D1870,$E:$E,"P0(후)",$M:$M,"&gt;0")&lt;&gt;1,"",SUMIFS($M:$M,$C:$C,$C1870,$D:$D,$D1870,$E:$E,"P0(후)"))</f>
        <v/>
      </c>
      <c r="S1870" s="31">
        <f>IF(N1870&lt;&gt;"OK","",P1870+(R1870-P1870)*(I1870-O1870)/(Q1870-O1870))</f>
        <v/>
      </c>
      <c r="T1870" s="31">
        <f>IF(OR(N1870&lt;&gt;"OK",NOT(ISNUMBER(M1870))),"",M1870-S1870)</f>
        <v/>
      </c>
      <c r="U1870" s="49">
        <f>IF(OR(NOT(ISNUMBER(T1870)),IF(ISNUMBER(H1870),H1870,G1870)=0),"",T1870/IF(ISNUMBER(H1870),H1870,G1870))</f>
        <v/>
      </c>
      <c r="V1870" s="49">
        <f>IF(ISNUMBER(U1870),ABS(U1870),"")</f>
        <v/>
      </c>
      <c r="W1870" s="49">
        <f>IF(OR($E1869&lt;&gt;"측정",$C1869&lt;&gt;$C1870,$D1869&lt;&gt;$D1870,NOT(ISNUMBER(M1870)),NOT(ISNUMBER(M1869)),(IF(ISNUMBER(H1870),H1870,G1870)-IF(ISNUMBER(H1869),H1869,G1869))=0),"",(M1870-M1869)/(IF(ISNUMBER(H1870),H1870,G1870)-IF(ISNUMBER(H1869),H1869,G1869)))</f>
        <v/>
      </c>
      <c r="X1870" s="31">
        <f>IF(NOT(AND(ISNUMBER(O1870),ISNUMBER(Q1870))),"",(Q1870-O1870)*1440)</f>
        <v/>
      </c>
      <c r="Y1870" s="29" t="n"/>
      <c r="Z1870" s="29" t="n"/>
      <c r="AA1870" s="29" t="n"/>
      <c r="AB1870" s="32" t="n"/>
      <c r="AC1870" s="32" t="n"/>
    </row>
    <row r="1871">
      <c r="A1871" s="26" t="inlineStr">
        <is>
          <t>S36</t>
        </is>
      </c>
      <c r="B1871" s="26" t="inlineStr">
        <is>
          <t>미원</t>
        </is>
      </c>
      <c r="C1871" s="26" t="inlineStr">
        <is>
          <t>S36-H북</t>
        </is>
      </c>
      <c r="D1871" s="47" t="n">
        <v>1</v>
      </c>
      <c r="E1871" s="26" t="inlineStr">
        <is>
          <t>측정</t>
        </is>
      </c>
      <c r="F1871" s="26" t="inlineStr">
        <is>
          <t>북</t>
        </is>
      </c>
      <c r="G1871" s="31" t="n">
        <v>5</v>
      </c>
      <c r="H1871" s="30" t="n"/>
      <c r="I1871" s="43" t="n"/>
      <c r="J1871" s="41" t="n"/>
      <c r="K1871" s="41" t="n"/>
      <c r="L1871" s="41" t="n"/>
      <c r="M1871" s="31">
        <f>IF(COUNT(J1871:L1871)=0,"",MEDIAN(J1871:L1871))</f>
        <v/>
      </c>
      <c r="N1871" s="26">
        <f>IF(COUNTIFS($C:$C,$C1871,$D:$D,$D1871,$E:$E,"P0(전)",$M:$M,"&gt;0")&lt;&gt;1,"P0(전) 유효 1개 아님",IF(COUNTIFS($C:$C,$C1871,$D:$D,$D1871,$E:$E,"P0(후)",$M:$M,"&gt;0")&lt;&gt;1,"P0(후) 유효 1개 아님",IF(NOT(AND(ISNUMBER(O1871),ISNUMBER(Q1871),ISNUMBER(I1871))),"시각 결측",IF(Q1871&lt;=O1871,"P0 시각 역전",IF(OR(I1871&lt;O1871,I1871&gt;Q1871),"측정시각 구간 밖","OK")))))</f>
        <v/>
      </c>
      <c r="O1871" s="48">
        <f>IF(COUNTIFS($C:$C,$C1871,$D:$D,$D1871,$E:$E,"P0(전)",$M:$M,"&gt;0")&lt;&gt;1,"",SUMIFS($I:$I,$C:$C,$C1871,$D:$D,$D1871,$E:$E,"P0(전)"))</f>
        <v/>
      </c>
      <c r="P1871" s="31">
        <f>IF(COUNTIFS($C:$C,$C1871,$D:$D,$D1871,$E:$E,"P0(전)",$M:$M,"&gt;0")&lt;&gt;1,"",SUMIFS($M:$M,$C:$C,$C1871,$D:$D,$D1871,$E:$E,"P0(전)"))</f>
        <v/>
      </c>
      <c r="Q1871" s="48">
        <f>IF(COUNTIFS($C:$C,$C1871,$D:$D,$D1871,$E:$E,"P0(후)",$M:$M,"&gt;0")&lt;&gt;1,"",SUMIFS($I:$I,$C:$C,$C1871,$D:$D,$D1871,$E:$E,"P0(후)"))</f>
        <v/>
      </c>
      <c r="R1871" s="31">
        <f>IF(COUNTIFS($C:$C,$C1871,$D:$D,$D1871,$E:$E,"P0(후)",$M:$M,"&gt;0")&lt;&gt;1,"",SUMIFS($M:$M,$C:$C,$C1871,$D:$D,$D1871,$E:$E,"P0(후)"))</f>
        <v/>
      </c>
      <c r="S1871" s="31">
        <f>IF(N1871&lt;&gt;"OK","",P1871+(R1871-P1871)*(I1871-O1871)/(Q1871-O1871))</f>
        <v/>
      </c>
      <c r="T1871" s="31">
        <f>IF(OR(N1871&lt;&gt;"OK",NOT(ISNUMBER(M1871))),"",M1871-S1871)</f>
        <v/>
      </c>
      <c r="U1871" s="49">
        <f>IF(OR(NOT(ISNUMBER(T1871)),IF(ISNUMBER(H1871),H1871,G1871)=0),"",T1871/IF(ISNUMBER(H1871),H1871,G1871))</f>
        <v/>
      </c>
      <c r="V1871" s="49">
        <f>IF(ISNUMBER(U1871),ABS(U1871),"")</f>
        <v/>
      </c>
      <c r="W1871" s="49">
        <f>IF(OR($E1870&lt;&gt;"측정",$C1870&lt;&gt;$C1871,$D1870&lt;&gt;$D1871,NOT(ISNUMBER(M1871)),NOT(ISNUMBER(M1870)),(IF(ISNUMBER(H1871),H1871,G1871)-IF(ISNUMBER(H1870),H1870,G1870))=0),"",(M1871-M1870)/(IF(ISNUMBER(H1871),H1871,G1871)-IF(ISNUMBER(H1870),H1870,G1870)))</f>
        <v/>
      </c>
      <c r="X1871" s="31">
        <f>IF(NOT(AND(ISNUMBER(O1871),ISNUMBER(Q1871))),"",(Q1871-O1871)*1440)</f>
        <v/>
      </c>
      <c r="Y1871" s="29" t="n"/>
      <c r="Z1871" s="29" t="n"/>
      <c r="AA1871" s="29" t="n"/>
      <c r="AB1871" s="32" t="n"/>
      <c r="AC1871" s="32" t="n"/>
    </row>
    <row r="1872">
      <c r="A1872" s="26" t="inlineStr">
        <is>
          <t>S36</t>
        </is>
      </c>
      <c r="B1872" s="26" t="inlineStr">
        <is>
          <t>미원</t>
        </is>
      </c>
      <c r="C1872" s="26" t="inlineStr">
        <is>
          <t>S36-H북</t>
        </is>
      </c>
      <c r="D1872" s="47" t="n">
        <v>1</v>
      </c>
      <c r="E1872" s="26" t="inlineStr">
        <is>
          <t>측정</t>
        </is>
      </c>
      <c r="F1872" s="26" t="inlineStr">
        <is>
          <t>북</t>
        </is>
      </c>
      <c r="G1872" s="31" t="n">
        <v>6</v>
      </c>
      <c r="H1872" s="30" t="n"/>
      <c r="I1872" s="43" t="n"/>
      <c r="J1872" s="41" t="n"/>
      <c r="K1872" s="41" t="n"/>
      <c r="L1872" s="41" t="n"/>
      <c r="M1872" s="31">
        <f>IF(COUNT(J1872:L1872)=0,"",MEDIAN(J1872:L1872))</f>
        <v/>
      </c>
      <c r="N1872" s="26">
        <f>IF(COUNTIFS($C:$C,$C1872,$D:$D,$D1872,$E:$E,"P0(전)",$M:$M,"&gt;0")&lt;&gt;1,"P0(전) 유효 1개 아님",IF(COUNTIFS($C:$C,$C1872,$D:$D,$D1872,$E:$E,"P0(후)",$M:$M,"&gt;0")&lt;&gt;1,"P0(후) 유효 1개 아님",IF(NOT(AND(ISNUMBER(O1872),ISNUMBER(Q1872),ISNUMBER(I1872))),"시각 결측",IF(Q1872&lt;=O1872,"P0 시각 역전",IF(OR(I1872&lt;O1872,I1872&gt;Q1872),"측정시각 구간 밖","OK")))))</f>
        <v/>
      </c>
      <c r="O1872" s="48">
        <f>IF(COUNTIFS($C:$C,$C1872,$D:$D,$D1872,$E:$E,"P0(전)",$M:$M,"&gt;0")&lt;&gt;1,"",SUMIFS($I:$I,$C:$C,$C1872,$D:$D,$D1872,$E:$E,"P0(전)"))</f>
        <v/>
      </c>
      <c r="P1872" s="31">
        <f>IF(COUNTIFS($C:$C,$C1872,$D:$D,$D1872,$E:$E,"P0(전)",$M:$M,"&gt;0")&lt;&gt;1,"",SUMIFS($M:$M,$C:$C,$C1872,$D:$D,$D1872,$E:$E,"P0(전)"))</f>
        <v/>
      </c>
      <c r="Q1872" s="48">
        <f>IF(COUNTIFS($C:$C,$C1872,$D:$D,$D1872,$E:$E,"P0(후)",$M:$M,"&gt;0")&lt;&gt;1,"",SUMIFS($I:$I,$C:$C,$C1872,$D:$D,$D1872,$E:$E,"P0(후)"))</f>
        <v/>
      </c>
      <c r="R1872" s="31">
        <f>IF(COUNTIFS($C:$C,$C1872,$D:$D,$D1872,$E:$E,"P0(후)",$M:$M,"&gt;0")&lt;&gt;1,"",SUMIFS($M:$M,$C:$C,$C1872,$D:$D,$D1872,$E:$E,"P0(후)"))</f>
        <v/>
      </c>
      <c r="S1872" s="31">
        <f>IF(N1872&lt;&gt;"OK","",P1872+(R1872-P1872)*(I1872-O1872)/(Q1872-O1872))</f>
        <v/>
      </c>
      <c r="T1872" s="31">
        <f>IF(OR(N1872&lt;&gt;"OK",NOT(ISNUMBER(M1872))),"",M1872-S1872)</f>
        <v/>
      </c>
      <c r="U1872" s="49">
        <f>IF(OR(NOT(ISNUMBER(T1872)),IF(ISNUMBER(H1872),H1872,G1872)=0),"",T1872/IF(ISNUMBER(H1872),H1872,G1872))</f>
        <v/>
      </c>
      <c r="V1872" s="49">
        <f>IF(ISNUMBER(U1872),ABS(U1872),"")</f>
        <v/>
      </c>
      <c r="W1872" s="49">
        <f>IF(OR($E1871&lt;&gt;"측정",$C1871&lt;&gt;$C1872,$D1871&lt;&gt;$D1872,NOT(ISNUMBER(M1872)),NOT(ISNUMBER(M1871)),(IF(ISNUMBER(H1872),H1872,G1872)-IF(ISNUMBER(H1871),H1871,G1871))=0),"",(M1872-M1871)/(IF(ISNUMBER(H1872),H1872,G1872)-IF(ISNUMBER(H1871),H1871,G1871)))</f>
        <v/>
      </c>
      <c r="X1872" s="31">
        <f>IF(NOT(AND(ISNUMBER(O1872),ISNUMBER(Q1872))),"",(Q1872-O1872)*1440)</f>
        <v/>
      </c>
      <c r="Y1872" s="29" t="n"/>
      <c r="Z1872" s="29" t="n"/>
      <c r="AA1872" s="29" t="n"/>
      <c r="AB1872" s="32" t="n"/>
      <c r="AC1872" s="32" t="n"/>
    </row>
    <row r="1873">
      <c r="A1873" s="26" t="inlineStr">
        <is>
          <t>S36</t>
        </is>
      </c>
      <c r="B1873" s="26" t="inlineStr">
        <is>
          <t>미원</t>
        </is>
      </c>
      <c r="C1873" s="26" t="inlineStr">
        <is>
          <t>S36-H북</t>
        </is>
      </c>
      <c r="D1873" s="47" t="n">
        <v>1</v>
      </c>
      <c r="E1873" s="26" t="inlineStr">
        <is>
          <t>측정</t>
        </is>
      </c>
      <c r="F1873" s="26" t="inlineStr">
        <is>
          <t>북</t>
        </is>
      </c>
      <c r="G1873" s="31" t="n">
        <v>7</v>
      </c>
      <c r="H1873" s="30" t="n"/>
      <c r="I1873" s="43" t="n"/>
      <c r="J1873" s="41" t="n"/>
      <c r="K1873" s="41" t="n"/>
      <c r="L1873" s="41" t="n"/>
      <c r="M1873" s="31">
        <f>IF(COUNT(J1873:L1873)=0,"",MEDIAN(J1873:L1873))</f>
        <v/>
      </c>
      <c r="N1873" s="26">
        <f>IF(COUNTIFS($C:$C,$C1873,$D:$D,$D1873,$E:$E,"P0(전)",$M:$M,"&gt;0")&lt;&gt;1,"P0(전) 유효 1개 아님",IF(COUNTIFS($C:$C,$C1873,$D:$D,$D1873,$E:$E,"P0(후)",$M:$M,"&gt;0")&lt;&gt;1,"P0(후) 유효 1개 아님",IF(NOT(AND(ISNUMBER(O1873),ISNUMBER(Q1873),ISNUMBER(I1873))),"시각 결측",IF(Q1873&lt;=O1873,"P0 시각 역전",IF(OR(I1873&lt;O1873,I1873&gt;Q1873),"측정시각 구간 밖","OK")))))</f>
        <v/>
      </c>
      <c r="O1873" s="48">
        <f>IF(COUNTIFS($C:$C,$C1873,$D:$D,$D1873,$E:$E,"P0(전)",$M:$M,"&gt;0")&lt;&gt;1,"",SUMIFS($I:$I,$C:$C,$C1873,$D:$D,$D1873,$E:$E,"P0(전)"))</f>
        <v/>
      </c>
      <c r="P1873" s="31">
        <f>IF(COUNTIFS($C:$C,$C1873,$D:$D,$D1873,$E:$E,"P0(전)",$M:$M,"&gt;0")&lt;&gt;1,"",SUMIFS($M:$M,$C:$C,$C1873,$D:$D,$D1873,$E:$E,"P0(전)"))</f>
        <v/>
      </c>
      <c r="Q1873" s="48">
        <f>IF(COUNTIFS($C:$C,$C1873,$D:$D,$D1873,$E:$E,"P0(후)",$M:$M,"&gt;0")&lt;&gt;1,"",SUMIFS($I:$I,$C:$C,$C1873,$D:$D,$D1873,$E:$E,"P0(후)"))</f>
        <v/>
      </c>
      <c r="R1873" s="31">
        <f>IF(COUNTIFS($C:$C,$C1873,$D:$D,$D1873,$E:$E,"P0(후)",$M:$M,"&gt;0")&lt;&gt;1,"",SUMIFS($M:$M,$C:$C,$C1873,$D:$D,$D1873,$E:$E,"P0(후)"))</f>
        <v/>
      </c>
      <c r="S1873" s="31">
        <f>IF(N1873&lt;&gt;"OK","",P1873+(R1873-P1873)*(I1873-O1873)/(Q1873-O1873))</f>
        <v/>
      </c>
      <c r="T1873" s="31">
        <f>IF(OR(N1873&lt;&gt;"OK",NOT(ISNUMBER(M1873))),"",M1873-S1873)</f>
        <v/>
      </c>
      <c r="U1873" s="49">
        <f>IF(OR(NOT(ISNUMBER(T1873)),IF(ISNUMBER(H1873),H1873,G1873)=0),"",T1873/IF(ISNUMBER(H1873),H1873,G1873))</f>
        <v/>
      </c>
      <c r="V1873" s="49">
        <f>IF(ISNUMBER(U1873),ABS(U1873),"")</f>
        <v/>
      </c>
      <c r="W1873" s="49">
        <f>IF(OR($E1872&lt;&gt;"측정",$C1872&lt;&gt;$C1873,$D1872&lt;&gt;$D1873,NOT(ISNUMBER(M1873)),NOT(ISNUMBER(M1872)),(IF(ISNUMBER(H1873),H1873,G1873)-IF(ISNUMBER(H1872),H1872,G1872))=0),"",(M1873-M1872)/(IF(ISNUMBER(H1873),H1873,G1873)-IF(ISNUMBER(H1872),H1872,G1872)))</f>
        <v/>
      </c>
      <c r="X1873" s="31">
        <f>IF(NOT(AND(ISNUMBER(O1873),ISNUMBER(Q1873))),"",(Q1873-O1873)*1440)</f>
        <v/>
      </c>
      <c r="Y1873" s="29" t="n"/>
      <c r="Z1873" s="29" t="n"/>
      <c r="AA1873" s="29" t="n"/>
      <c r="AB1873" s="32" t="n"/>
      <c r="AC1873" s="32" t="n"/>
    </row>
    <row r="1874">
      <c r="A1874" s="26" t="inlineStr">
        <is>
          <t>S36</t>
        </is>
      </c>
      <c r="B1874" s="26" t="inlineStr">
        <is>
          <t>미원</t>
        </is>
      </c>
      <c r="C1874" s="26" t="inlineStr">
        <is>
          <t>S36-H북</t>
        </is>
      </c>
      <c r="D1874" s="47" t="n">
        <v>1</v>
      </c>
      <c r="E1874" s="26" t="inlineStr">
        <is>
          <t>측정</t>
        </is>
      </c>
      <c r="F1874" s="26" t="inlineStr">
        <is>
          <t>북</t>
        </is>
      </c>
      <c r="G1874" s="31" t="n">
        <v>8</v>
      </c>
      <c r="H1874" s="30" t="n"/>
      <c r="I1874" s="43" t="n"/>
      <c r="J1874" s="41" t="n"/>
      <c r="K1874" s="41" t="n"/>
      <c r="L1874" s="41" t="n"/>
      <c r="M1874" s="31">
        <f>IF(COUNT(J1874:L1874)=0,"",MEDIAN(J1874:L1874))</f>
        <v/>
      </c>
      <c r="N1874" s="26">
        <f>IF(COUNTIFS($C:$C,$C1874,$D:$D,$D1874,$E:$E,"P0(전)",$M:$M,"&gt;0")&lt;&gt;1,"P0(전) 유효 1개 아님",IF(COUNTIFS($C:$C,$C1874,$D:$D,$D1874,$E:$E,"P0(후)",$M:$M,"&gt;0")&lt;&gt;1,"P0(후) 유효 1개 아님",IF(NOT(AND(ISNUMBER(O1874),ISNUMBER(Q1874),ISNUMBER(I1874))),"시각 결측",IF(Q1874&lt;=O1874,"P0 시각 역전",IF(OR(I1874&lt;O1874,I1874&gt;Q1874),"측정시각 구간 밖","OK")))))</f>
        <v/>
      </c>
      <c r="O1874" s="48">
        <f>IF(COUNTIFS($C:$C,$C1874,$D:$D,$D1874,$E:$E,"P0(전)",$M:$M,"&gt;0")&lt;&gt;1,"",SUMIFS($I:$I,$C:$C,$C1874,$D:$D,$D1874,$E:$E,"P0(전)"))</f>
        <v/>
      </c>
      <c r="P1874" s="31">
        <f>IF(COUNTIFS($C:$C,$C1874,$D:$D,$D1874,$E:$E,"P0(전)",$M:$M,"&gt;0")&lt;&gt;1,"",SUMIFS($M:$M,$C:$C,$C1874,$D:$D,$D1874,$E:$E,"P0(전)"))</f>
        <v/>
      </c>
      <c r="Q1874" s="48">
        <f>IF(COUNTIFS($C:$C,$C1874,$D:$D,$D1874,$E:$E,"P0(후)",$M:$M,"&gt;0")&lt;&gt;1,"",SUMIFS($I:$I,$C:$C,$C1874,$D:$D,$D1874,$E:$E,"P0(후)"))</f>
        <v/>
      </c>
      <c r="R1874" s="31">
        <f>IF(COUNTIFS($C:$C,$C1874,$D:$D,$D1874,$E:$E,"P0(후)",$M:$M,"&gt;0")&lt;&gt;1,"",SUMIFS($M:$M,$C:$C,$C1874,$D:$D,$D1874,$E:$E,"P0(후)"))</f>
        <v/>
      </c>
      <c r="S1874" s="31">
        <f>IF(N1874&lt;&gt;"OK","",P1874+(R1874-P1874)*(I1874-O1874)/(Q1874-O1874))</f>
        <v/>
      </c>
      <c r="T1874" s="31">
        <f>IF(OR(N1874&lt;&gt;"OK",NOT(ISNUMBER(M1874))),"",M1874-S1874)</f>
        <v/>
      </c>
      <c r="U1874" s="49">
        <f>IF(OR(NOT(ISNUMBER(T1874)),IF(ISNUMBER(H1874),H1874,G1874)=0),"",T1874/IF(ISNUMBER(H1874),H1874,G1874))</f>
        <v/>
      </c>
      <c r="V1874" s="49">
        <f>IF(ISNUMBER(U1874),ABS(U1874),"")</f>
        <v/>
      </c>
      <c r="W1874" s="49">
        <f>IF(OR($E1873&lt;&gt;"측정",$C1873&lt;&gt;$C1874,$D1873&lt;&gt;$D1874,NOT(ISNUMBER(M1874)),NOT(ISNUMBER(M1873)),(IF(ISNUMBER(H1874),H1874,G1874)-IF(ISNUMBER(H1873),H1873,G1873))=0),"",(M1874-M1873)/(IF(ISNUMBER(H1874),H1874,G1874)-IF(ISNUMBER(H1873),H1873,G1873)))</f>
        <v/>
      </c>
      <c r="X1874" s="31">
        <f>IF(NOT(AND(ISNUMBER(O1874),ISNUMBER(Q1874))),"",(Q1874-O1874)*1440)</f>
        <v/>
      </c>
      <c r="Y1874" s="29" t="n"/>
      <c r="Z1874" s="29" t="n"/>
      <c r="AA1874" s="29" t="n"/>
      <c r="AB1874" s="32" t="n"/>
      <c r="AC1874" s="32" t="n"/>
    </row>
    <row r="1875">
      <c r="A1875" s="26" t="inlineStr">
        <is>
          <t>S36</t>
        </is>
      </c>
      <c r="B1875" s="26" t="inlineStr">
        <is>
          <t>미원</t>
        </is>
      </c>
      <c r="C1875" s="26" t="inlineStr">
        <is>
          <t>S36-H북</t>
        </is>
      </c>
      <c r="D1875" s="47" t="n">
        <v>1</v>
      </c>
      <c r="E1875" s="26" t="inlineStr">
        <is>
          <t>측정</t>
        </is>
      </c>
      <c r="F1875" s="26" t="inlineStr">
        <is>
          <t>북</t>
        </is>
      </c>
      <c r="G1875" s="31" t="n">
        <v>9</v>
      </c>
      <c r="H1875" s="30" t="n"/>
      <c r="I1875" s="43" t="n"/>
      <c r="J1875" s="41" t="n"/>
      <c r="K1875" s="41" t="n"/>
      <c r="L1875" s="41" t="n"/>
      <c r="M1875" s="31">
        <f>IF(COUNT(J1875:L1875)=0,"",MEDIAN(J1875:L1875))</f>
        <v/>
      </c>
      <c r="N1875" s="26">
        <f>IF(COUNTIFS($C:$C,$C1875,$D:$D,$D1875,$E:$E,"P0(전)",$M:$M,"&gt;0")&lt;&gt;1,"P0(전) 유효 1개 아님",IF(COUNTIFS($C:$C,$C1875,$D:$D,$D1875,$E:$E,"P0(후)",$M:$M,"&gt;0")&lt;&gt;1,"P0(후) 유효 1개 아님",IF(NOT(AND(ISNUMBER(O1875),ISNUMBER(Q1875),ISNUMBER(I1875))),"시각 결측",IF(Q1875&lt;=O1875,"P0 시각 역전",IF(OR(I1875&lt;O1875,I1875&gt;Q1875),"측정시각 구간 밖","OK")))))</f>
        <v/>
      </c>
      <c r="O1875" s="48">
        <f>IF(COUNTIFS($C:$C,$C1875,$D:$D,$D1875,$E:$E,"P0(전)",$M:$M,"&gt;0")&lt;&gt;1,"",SUMIFS($I:$I,$C:$C,$C1875,$D:$D,$D1875,$E:$E,"P0(전)"))</f>
        <v/>
      </c>
      <c r="P1875" s="31">
        <f>IF(COUNTIFS($C:$C,$C1875,$D:$D,$D1875,$E:$E,"P0(전)",$M:$M,"&gt;0")&lt;&gt;1,"",SUMIFS($M:$M,$C:$C,$C1875,$D:$D,$D1875,$E:$E,"P0(전)"))</f>
        <v/>
      </c>
      <c r="Q1875" s="48">
        <f>IF(COUNTIFS($C:$C,$C1875,$D:$D,$D1875,$E:$E,"P0(후)",$M:$M,"&gt;0")&lt;&gt;1,"",SUMIFS($I:$I,$C:$C,$C1875,$D:$D,$D1875,$E:$E,"P0(후)"))</f>
        <v/>
      </c>
      <c r="R1875" s="31">
        <f>IF(COUNTIFS($C:$C,$C1875,$D:$D,$D1875,$E:$E,"P0(후)",$M:$M,"&gt;0")&lt;&gt;1,"",SUMIFS($M:$M,$C:$C,$C1875,$D:$D,$D1875,$E:$E,"P0(후)"))</f>
        <v/>
      </c>
      <c r="S1875" s="31">
        <f>IF(N1875&lt;&gt;"OK","",P1875+(R1875-P1875)*(I1875-O1875)/(Q1875-O1875))</f>
        <v/>
      </c>
      <c r="T1875" s="31">
        <f>IF(OR(N1875&lt;&gt;"OK",NOT(ISNUMBER(M1875))),"",M1875-S1875)</f>
        <v/>
      </c>
      <c r="U1875" s="49">
        <f>IF(OR(NOT(ISNUMBER(T1875)),IF(ISNUMBER(H1875),H1875,G1875)=0),"",T1875/IF(ISNUMBER(H1875),H1875,G1875))</f>
        <v/>
      </c>
      <c r="V1875" s="49">
        <f>IF(ISNUMBER(U1875),ABS(U1875),"")</f>
        <v/>
      </c>
      <c r="W1875" s="49">
        <f>IF(OR($E1874&lt;&gt;"측정",$C1874&lt;&gt;$C1875,$D1874&lt;&gt;$D1875,NOT(ISNUMBER(M1875)),NOT(ISNUMBER(M1874)),(IF(ISNUMBER(H1875),H1875,G1875)-IF(ISNUMBER(H1874),H1874,G1874))=0),"",(M1875-M1874)/(IF(ISNUMBER(H1875),H1875,G1875)-IF(ISNUMBER(H1874),H1874,G1874)))</f>
        <v/>
      </c>
      <c r="X1875" s="31">
        <f>IF(NOT(AND(ISNUMBER(O1875),ISNUMBER(Q1875))),"",(Q1875-O1875)*1440)</f>
        <v/>
      </c>
      <c r="Y1875" s="29" t="n"/>
      <c r="Z1875" s="29" t="n"/>
      <c r="AA1875" s="29" t="n"/>
      <c r="AB1875" s="32" t="n"/>
      <c r="AC1875" s="32" t="n"/>
    </row>
    <row r="1876">
      <c r="A1876" s="26" t="inlineStr">
        <is>
          <t>S36</t>
        </is>
      </c>
      <c r="B1876" s="26" t="inlineStr">
        <is>
          <t>미원</t>
        </is>
      </c>
      <c r="C1876" s="26" t="inlineStr">
        <is>
          <t>S36-H북</t>
        </is>
      </c>
      <c r="D1876" s="47" t="n">
        <v>1</v>
      </c>
      <c r="E1876" s="26" t="inlineStr">
        <is>
          <t>측정</t>
        </is>
      </c>
      <c r="F1876" s="26" t="inlineStr">
        <is>
          <t>북</t>
        </is>
      </c>
      <c r="G1876" s="31" t="n">
        <v>10</v>
      </c>
      <c r="H1876" s="30" t="n"/>
      <c r="I1876" s="43" t="n"/>
      <c r="J1876" s="41" t="n"/>
      <c r="K1876" s="41" t="n"/>
      <c r="L1876" s="41" t="n"/>
      <c r="M1876" s="31">
        <f>IF(COUNT(J1876:L1876)=0,"",MEDIAN(J1876:L1876))</f>
        <v/>
      </c>
      <c r="N1876" s="26">
        <f>IF(COUNTIFS($C:$C,$C1876,$D:$D,$D1876,$E:$E,"P0(전)",$M:$M,"&gt;0")&lt;&gt;1,"P0(전) 유효 1개 아님",IF(COUNTIFS($C:$C,$C1876,$D:$D,$D1876,$E:$E,"P0(후)",$M:$M,"&gt;0")&lt;&gt;1,"P0(후) 유효 1개 아님",IF(NOT(AND(ISNUMBER(O1876),ISNUMBER(Q1876),ISNUMBER(I1876))),"시각 결측",IF(Q1876&lt;=O1876,"P0 시각 역전",IF(OR(I1876&lt;O1876,I1876&gt;Q1876),"측정시각 구간 밖","OK")))))</f>
        <v/>
      </c>
      <c r="O1876" s="48">
        <f>IF(COUNTIFS($C:$C,$C1876,$D:$D,$D1876,$E:$E,"P0(전)",$M:$M,"&gt;0")&lt;&gt;1,"",SUMIFS($I:$I,$C:$C,$C1876,$D:$D,$D1876,$E:$E,"P0(전)"))</f>
        <v/>
      </c>
      <c r="P1876" s="31">
        <f>IF(COUNTIFS($C:$C,$C1876,$D:$D,$D1876,$E:$E,"P0(전)",$M:$M,"&gt;0")&lt;&gt;1,"",SUMIFS($M:$M,$C:$C,$C1876,$D:$D,$D1876,$E:$E,"P0(전)"))</f>
        <v/>
      </c>
      <c r="Q1876" s="48">
        <f>IF(COUNTIFS($C:$C,$C1876,$D:$D,$D1876,$E:$E,"P0(후)",$M:$M,"&gt;0")&lt;&gt;1,"",SUMIFS($I:$I,$C:$C,$C1876,$D:$D,$D1876,$E:$E,"P0(후)"))</f>
        <v/>
      </c>
      <c r="R1876" s="31">
        <f>IF(COUNTIFS($C:$C,$C1876,$D:$D,$D1876,$E:$E,"P0(후)",$M:$M,"&gt;0")&lt;&gt;1,"",SUMIFS($M:$M,$C:$C,$C1876,$D:$D,$D1876,$E:$E,"P0(후)"))</f>
        <v/>
      </c>
      <c r="S1876" s="31">
        <f>IF(N1876&lt;&gt;"OK","",P1876+(R1876-P1876)*(I1876-O1876)/(Q1876-O1876))</f>
        <v/>
      </c>
      <c r="T1876" s="31">
        <f>IF(OR(N1876&lt;&gt;"OK",NOT(ISNUMBER(M1876))),"",M1876-S1876)</f>
        <v/>
      </c>
      <c r="U1876" s="49">
        <f>IF(OR(NOT(ISNUMBER(T1876)),IF(ISNUMBER(H1876),H1876,G1876)=0),"",T1876/IF(ISNUMBER(H1876),H1876,G1876))</f>
        <v/>
      </c>
      <c r="V1876" s="49">
        <f>IF(ISNUMBER(U1876),ABS(U1876),"")</f>
        <v/>
      </c>
      <c r="W1876" s="49">
        <f>IF(OR($E1875&lt;&gt;"측정",$C1875&lt;&gt;$C1876,$D1875&lt;&gt;$D1876,NOT(ISNUMBER(M1876)),NOT(ISNUMBER(M1875)),(IF(ISNUMBER(H1876),H1876,G1876)-IF(ISNUMBER(H1875),H1875,G1875))=0),"",(M1876-M1875)/(IF(ISNUMBER(H1876),H1876,G1876)-IF(ISNUMBER(H1875),H1875,G1875)))</f>
        <v/>
      </c>
      <c r="X1876" s="31">
        <f>IF(NOT(AND(ISNUMBER(O1876),ISNUMBER(Q1876))),"",(Q1876-O1876)*1440)</f>
        <v/>
      </c>
      <c r="Y1876" s="29" t="n"/>
      <c r="Z1876" s="29" t="n"/>
      <c r="AA1876" s="29" t="n"/>
      <c r="AB1876" s="32" t="n"/>
      <c r="AC1876" s="32" t="n"/>
    </row>
    <row r="1877">
      <c r="A1877" s="44" t="inlineStr">
        <is>
          <t>S36</t>
        </is>
      </c>
      <c r="B1877" s="44" t="inlineStr">
        <is>
          <t>미원</t>
        </is>
      </c>
      <c r="C1877" s="44" t="inlineStr">
        <is>
          <t>S36-H북</t>
        </is>
      </c>
      <c r="D1877" s="45" t="n">
        <v>1</v>
      </c>
      <c r="E1877" s="44" t="inlineStr">
        <is>
          <t>P0(후)</t>
        </is>
      </c>
      <c r="F1877" s="44" t="inlineStr">
        <is>
          <t>북</t>
        </is>
      </c>
      <c r="G1877" s="46" t="n"/>
      <c r="H1877" s="30" t="n"/>
      <c r="I1877" s="43" t="n"/>
      <c r="J1877" s="41" t="n"/>
      <c r="K1877" s="41" t="n"/>
      <c r="L1877" s="41" t="n"/>
      <c r="M1877" s="31">
        <f>IF(COUNT(J1877:L1877)=0,"",MEDIAN(J1877:L1877))</f>
        <v/>
      </c>
      <c r="N1877" s="38" t="n"/>
      <c r="O1877" s="38" t="n"/>
      <c r="P1877" s="38" t="n"/>
      <c r="Q1877" s="38" t="n"/>
      <c r="R1877" s="38" t="n"/>
      <c r="S1877" s="38" t="n"/>
      <c r="T1877" s="38" t="n"/>
      <c r="U1877" s="38" t="n"/>
      <c r="V1877" s="38" t="n"/>
      <c r="W1877" s="38" t="n"/>
      <c r="X1877" s="38" t="n"/>
      <c r="Y1877" s="29" t="n"/>
      <c r="Z1877" s="29" t="n"/>
      <c r="AA1877" s="29" t="n"/>
      <c r="AB1877" s="32" t="n"/>
      <c r="AC1877" s="32" t="n"/>
    </row>
    <row r="1878">
      <c r="A1878" s="44" t="inlineStr">
        <is>
          <t>S37</t>
        </is>
      </c>
      <c r="B1878" s="44" t="inlineStr">
        <is>
          <t>부안</t>
        </is>
      </c>
      <c r="C1878" s="44" t="inlineStr">
        <is>
          <t>S37-H동</t>
        </is>
      </c>
      <c r="D1878" s="45" t="n">
        <v>1</v>
      </c>
      <c r="E1878" s="44" t="inlineStr">
        <is>
          <t>P0(전)</t>
        </is>
      </c>
      <c r="F1878" s="44" t="inlineStr">
        <is>
          <t>동</t>
        </is>
      </c>
      <c r="G1878" s="46" t="n"/>
      <c r="H1878" s="30" t="n"/>
      <c r="I1878" s="43" t="n"/>
      <c r="J1878" s="41" t="n"/>
      <c r="K1878" s="41" t="n"/>
      <c r="L1878" s="41" t="n"/>
      <c r="M1878" s="31">
        <f>IF(COUNT(J1878:L1878)=0,"",MEDIAN(J1878:L1878))</f>
        <v/>
      </c>
      <c r="N1878" s="38" t="n"/>
      <c r="O1878" s="38" t="n"/>
      <c r="P1878" s="38" t="n"/>
      <c r="Q1878" s="38" t="n"/>
      <c r="R1878" s="38" t="n"/>
      <c r="S1878" s="38" t="n"/>
      <c r="T1878" s="38" t="n"/>
      <c r="U1878" s="38" t="n"/>
      <c r="V1878" s="38" t="n"/>
      <c r="W1878" s="38" t="n"/>
      <c r="X1878" s="38" t="n"/>
      <c r="Y1878" s="29" t="n"/>
      <c r="Z1878" s="29" t="n"/>
      <c r="AA1878" s="29" t="n"/>
      <c r="AB1878" s="32" t="n"/>
      <c r="AC1878" s="32" t="n"/>
    </row>
    <row r="1879">
      <c r="A1879" s="26" t="inlineStr">
        <is>
          <t>S37</t>
        </is>
      </c>
      <c r="B1879" s="26" t="inlineStr">
        <is>
          <t>부안</t>
        </is>
      </c>
      <c r="C1879" s="26" t="inlineStr">
        <is>
          <t>S37-H동</t>
        </is>
      </c>
      <c r="D1879" s="47" t="n">
        <v>1</v>
      </c>
      <c r="E1879" s="26" t="inlineStr">
        <is>
          <t>측정</t>
        </is>
      </c>
      <c r="F1879" s="26" t="inlineStr">
        <is>
          <t>동</t>
        </is>
      </c>
      <c r="G1879" s="31" t="n">
        <v>0.5</v>
      </c>
      <c r="H1879" s="30" t="n"/>
      <c r="I1879" s="43" t="n"/>
      <c r="J1879" s="41" t="n"/>
      <c r="K1879" s="41" t="n"/>
      <c r="L1879" s="41" t="n"/>
      <c r="M1879" s="31">
        <f>IF(COUNT(J1879:L1879)=0,"",MEDIAN(J1879:L1879))</f>
        <v/>
      </c>
      <c r="N1879" s="26">
        <f>IF(COUNTIFS($C:$C,$C1879,$D:$D,$D1879,$E:$E,"P0(전)",$M:$M,"&gt;0")&lt;&gt;1,"P0(전) 유효 1개 아님",IF(COUNTIFS($C:$C,$C1879,$D:$D,$D1879,$E:$E,"P0(후)",$M:$M,"&gt;0")&lt;&gt;1,"P0(후) 유효 1개 아님",IF(NOT(AND(ISNUMBER(O1879),ISNUMBER(Q1879),ISNUMBER(I1879))),"시각 결측",IF(Q1879&lt;=O1879,"P0 시각 역전",IF(OR(I1879&lt;O1879,I1879&gt;Q1879),"측정시각 구간 밖","OK")))))</f>
        <v/>
      </c>
      <c r="O1879" s="48">
        <f>IF(COUNTIFS($C:$C,$C1879,$D:$D,$D1879,$E:$E,"P0(전)",$M:$M,"&gt;0")&lt;&gt;1,"",SUMIFS($I:$I,$C:$C,$C1879,$D:$D,$D1879,$E:$E,"P0(전)"))</f>
        <v/>
      </c>
      <c r="P1879" s="31">
        <f>IF(COUNTIFS($C:$C,$C1879,$D:$D,$D1879,$E:$E,"P0(전)",$M:$M,"&gt;0")&lt;&gt;1,"",SUMIFS($M:$M,$C:$C,$C1879,$D:$D,$D1879,$E:$E,"P0(전)"))</f>
        <v/>
      </c>
      <c r="Q1879" s="48">
        <f>IF(COUNTIFS($C:$C,$C1879,$D:$D,$D1879,$E:$E,"P0(후)",$M:$M,"&gt;0")&lt;&gt;1,"",SUMIFS($I:$I,$C:$C,$C1879,$D:$D,$D1879,$E:$E,"P0(후)"))</f>
        <v/>
      </c>
      <c r="R1879" s="31">
        <f>IF(COUNTIFS($C:$C,$C1879,$D:$D,$D1879,$E:$E,"P0(후)",$M:$M,"&gt;0")&lt;&gt;1,"",SUMIFS($M:$M,$C:$C,$C1879,$D:$D,$D1879,$E:$E,"P0(후)"))</f>
        <v/>
      </c>
      <c r="S1879" s="31">
        <f>IF(N1879&lt;&gt;"OK","",P1879+(R1879-P1879)*(I1879-O1879)/(Q1879-O1879))</f>
        <v/>
      </c>
      <c r="T1879" s="31">
        <f>IF(OR(N1879&lt;&gt;"OK",NOT(ISNUMBER(M1879))),"",M1879-S1879)</f>
        <v/>
      </c>
      <c r="U1879" s="49">
        <f>IF(OR(NOT(ISNUMBER(T1879)),IF(ISNUMBER(H1879),H1879,G1879)=0),"",T1879/IF(ISNUMBER(H1879),H1879,G1879))</f>
        <v/>
      </c>
      <c r="V1879" s="49">
        <f>IF(ISNUMBER(U1879),ABS(U1879),"")</f>
        <v/>
      </c>
      <c r="W1879" s="49">
        <f>IF(OR($E1878&lt;&gt;"측정",$C1878&lt;&gt;$C1879,$D1878&lt;&gt;$D1879,NOT(ISNUMBER(M1879)),NOT(ISNUMBER(M1878)),(IF(ISNUMBER(H1879),H1879,G1879)-IF(ISNUMBER(H1878),H1878,G1878))=0),"",(M1879-M1878)/(IF(ISNUMBER(H1879),H1879,G1879)-IF(ISNUMBER(H1878),H1878,G1878)))</f>
        <v/>
      </c>
      <c r="X1879" s="31">
        <f>IF(NOT(AND(ISNUMBER(O1879),ISNUMBER(Q1879))),"",(Q1879-O1879)*1440)</f>
        <v/>
      </c>
      <c r="Y1879" s="29" t="n"/>
      <c r="Z1879" s="29" t="n"/>
      <c r="AA1879" s="29" t="n"/>
      <c r="AB1879" s="32" t="n"/>
      <c r="AC1879" s="32" t="n"/>
    </row>
    <row r="1880">
      <c r="A1880" s="26" t="inlineStr">
        <is>
          <t>S37</t>
        </is>
      </c>
      <c r="B1880" s="26" t="inlineStr">
        <is>
          <t>부안</t>
        </is>
      </c>
      <c r="C1880" s="26" t="inlineStr">
        <is>
          <t>S37-H동</t>
        </is>
      </c>
      <c r="D1880" s="47" t="n">
        <v>1</v>
      </c>
      <c r="E1880" s="26" t="inlineStr">
        <is>
          <t>측정</t>
        </is>
      </c>
      <c r="F1880" s="26" t="inlineStr">
        <is>
          <t>동</t>
        </is>
      </c>
      <c r="G1880" s="31" t="n">
        <v>1</v>
      </c>
      <c r="H1880" s="30" t="n"/>
      <c r="I1880" s="43" t="n"/>
      <c r="J1880" s="41" t="n"/>
      <c r="K1880" s="41" t="n"/>
      <c r="L1880" s="41" t="n"/>
      <c r="M1880" s="31">
        <f>IF(COUNT(J1880:L1880)=0,"",MEDIAN(J1880:L1880))</f>
        <v/>
      </c>
      <c r="N1880" s="26">
        <f>IF(COUNTIFS($C:$C,$C1880,$D:$D,$D1880,$E:$E,"P0(전)",$M:$M,"&gt;0")&lt;&gt;1,"P0(전) 유효 1개 아님",IF(COUNTIFS($C:$C,$C1880,$D:$D,$D1880,$E:$E,"P0(후)",$M:$M,"&gt;0")&lt;&gt;1,"P0(후) 유효 1개 아님",IF(NOT(AND(ISNUMBER(O1880),ISNUMBER(Q1880),ISNUMBER(I1880))),"시각 결측",IF(Q1880&lt;=O1880,"P0 시각 역전",IF(OR(I1880&lt;O1880,I1880&gt;Q1880),"측정시각 구간 밖","OK")))))</f>
        <v/>
      </c>
      <c r="O1880" s="48">
        <f>IF(COUNTIFS($C:$C,$C1880,$D:$D,$D1880,$E:$E,"P0(전)",$M:$M,"&gt;0")&lt;&gt;1,"",SUMIFS($I:$I,$C:$C,$C1880,$D:$D,$D1880,$E:$E,"P0(전)"))</f>
        <v/>
      </c>
      <c r="P1880" s="31">
        <f>IF(COUNTIFS($C:$C,$C1880,$D:$D,$D1880,$E:$E,"P0(전)",$M:$M,"&gt;0")&lt;&gt;1,"",SUMIFS($M:$M,$C:$C,$C1880,$D:$D,$D1880,$E:$E,"P0(전)"))</f>
        <v/>
      </c>
      <c r="Q1880" s="48">
        <f>IF(COUNTIFS($C:$C,$C1880,$D:$D,$D1880,$E:$E,"P0(후)",$M:$M,"&gt;0")&lt;&gt;1,"",SUMIFS($I:$I,$C:$C,$C1880,$D:$D,$D1880,$E:$E,"P0(후)"))</f>
        <v/>
      </c>
      <c r="R1880" s="31">
        <f>IF(COUNTIFS($C:$C,$C1880,$D:$D,$D1880,$E:$E,"P0(후)",$M:$M,"&gt;0")&lt;&gt;1,"",SUMIFS($M:$M,$C:$C,$C1880,$D:$D,$D1880,$E:$E,"P0(후)"))</f>
        <v/>
      </c>
      <c r="S1880" s="31">
        <f>IF(N1880&lt;&gt;"OK","",P1880+(R1880-P1880)*(I1880-O1880)/(Q1880-O1880))</f>
        <v/>
      </c>
      <c r="T1880" s="31">
        <f>IF(OR(N1880&lt;&gt;"OK",NOT(ISNUMBER(M1880))),"",M1880-S1880)</f>
        <v/>
      </c>
      <c r="U1880" s="49">
        <f>IF(OR(NOT(ISNUMBER(T1880)),IF(ISNUMBER(H1880),H1880,G1880)=0),"",T1880/IF(ISNUMBER(H1880),H1880,G1880))</f>
        <v/>
      </c>
      <c r="V1880" s="49">
        <f>IF(ISNUMBER(U1880),ABS(U1880),"")</f>
        <v/>
      </c>
      <c r="W1880" s="49">
        <f>IF(OR($E1879&lt;&gt;"측정",$C1879&lt;&gt;$C1880,$D1879&lt;&gt;$D1880,NOT(ISNUMBER(M1880)),NOT(ISNUMBER(M1879)),(IF(ISNUMBER(H1880),H1880,G1880)-IF(ISNUMBER(H1879),H1879,G1879))=0),"",(M1880-M1879)/(IF(ISNUMBER(H1880),H1880,G1880)-IF(ISNUMBER(H1879),H1879,G1879)))</f>
        <v/>
      </c>
      <c r="X1880" s="31">
        <f>IF(NOT(AND(ISNUMBER(O1880),ISNUMBER(Q1880))),"",(Q1880-O1880)*1440)</f>
        <v/>
      </c>
      <c r="Y1880" s="29" t="n"/>
      <c r="Z1880" s="29" t="n"/>
      <c r="AA1880" s="29" t="n"/>
      <c r="AB1880" s="32" t="n"/>
      <c r="AC1880" s="32" t="n"/>
    </row>
    <row r="1881">
      <c r="A1881" s="26" t="inlineStr">
        <is>
          <t>S37</t>
        </is>
      </c>
      <c r="B1881" s="26" t="inlineStr">
        <is>
          <t>부안</t>
        </is>
      </c>
      <c r="C1881" s="26" t="inlineStr">
        <is>
          <t>S37-H동</t>
        </is>
      </c>
      <c r="D1881" s="47" t="n">
        <v>1</v>
      </c>
      <c r="E1881" s="26" t="inlineStr">
        <is>
          <t>측정</t>
        </is>
      </c>
      <c r="F1881" s="26" t="inlineStr">
        <is>
          <t>동</t>
        </is>
      </c>
      <c r="G1881" s="31" t="n">
        <v>2</v>
      </c>
      <c r="H1881" s="30" t="n"/>
      <c r="I1881" s="43" t="n"/>
      <c r="J1881" s="41" t="n"/>
      <c r="K1881" s="41" t="n"/>
      <c r="L1881" s="41" t="n"/>
      <c r="M1881" s="31">
        <f>IF(COUNT(J1881:L1881)=0,"",MEDIAN(J1881:L1881))</f>
        <v/>
      </c>
      <c r="N1881" s="26">
        <f>IF(COUNTIFS($C:$C,$C1881,$D:$D,$D1881,$E:$E,"P0(전)",$M:$M,"&gt;0")&lt;&gt;1,"P0(전) 유효 1개 아님",IF(COUNTIFS($C:$C,$C1881,$D:$D,$D1881,$E:$E,"P0(후)",$M:$M,"&gt;0")&lt;&gt;1,"P0(후) 유효 1개 아님",IF(NOT(AND(ISNUMBER(O1881),ISNUMBER(Q1881),ISNUMBER(I1881))),"시각 결측",IF(Q1881&lt;=O1881,"P0 시각 역전",IF(OR(I1881&lt;O1881,I1881&gt;Q1881),"측정시각 구간 밖","OK")))))</f>
        <v/>
      </c>
      <c r="O1881" s="48">
        <f>IF(COUNTIFS($C:$C,$C1881,$D:$D,$D1881,$E:$E,"P0(전)",$M:$M,"&gt;0")&lt;&gt;1,"",SUMIFS($I:$I,$C:$C,$C1881,$D:$D,$D1881,$E:$E,"P0(전)"))</f>
        <v/>
      </c>
      <c r="P1881" s="31">
        <f>IF(COUNTIFS($C:$C,$C1881,$D:$D,$D1881,$E:$E,"P0(전)",$M:$M,"&gt;0")&lt;&gt;1,"",SUMIFS($M:$M,$C:$C,$C1881,$D:$D,$D1881,$E:$E,"P0(전)"))</f>
        <v/>
      </c>
      <c r="Q1881" s="48">
        <f>IF(COUNTIFS($C:$C,$C1881,$D:$D,$D1881,$E:$E,"P0(후)",$M:$M,"&gt;0")&lt;&gt;1,"",SUMIFS($I:$I,$C:$C,$C1881,$D:$D,$D1881,$E:$E,"P0(후)"))</f>
        <v/>
      </c>
      <c r="R1881" s="31">
        <f>IF(COUNTIFS($C:$C,$C1881,$D:$D,$D1881,$E:$E,"P0(후)",$M:$M,"&gt;0")&lt;&gt;1,"",SUMIFS($M:$M,$C:$C,$C1881,$D:$D,$D1881,$E:$E,"P0(후)"))</f>
        <v/>
      </c>
      <c r="S1881" s="31">
        <f>IF(N1881&lt;&gt;"OK","",P1881+(R1881-P1881)*(I1881-O1881)/(Q1881-O1881))</f>
        <v/>
      </c>
      <c r="T1881" s="31">
        <f>IF(OR(N1881&lt;&gt;"OK",NOT(ISNUMBER(M1881))),"",M1881-S1881)</f>
        <v/>
      </c>
      <c r="U1881" s="49">
        <f>IF(OR(NOT(ISNUMBER(T1881)),IF(ISNUMBER(H1881),H1881,G1881)=0),"",T1881/IF(ISNUMBER(H1881),H1881,G1881))</f>
        <v/>
      </c>
      <c r="V1881" s="49">
        <f>IF(ISNUMBER(U1881),ABS(U1881),"")</f>
        <v/>
      </c>
      <c r="W1881" s="49">
        <f>IF(OR($E1880&lt;&gt;"측정",$C1880&lt;&gt;$C1881,$D1880&lt;&gt;$D1881,NOT(ISNUMBER(M1881)),NOT(ISNUMBER(M1880)),(IF(ISNUMBER(H1881),H1881,G1881)-IF(ISNUMBER(H1880),H1880,G1880))=0),"",(M1881-M1880)/(IF(ISNUMBER(H1881),H1881,G1881)-IF(ISNUMBER(H1880),H1880,G1880)))</f>
        <v/>
      </c>
      <c r="X1881" s="31">
        <f>IF(NOT(AND(ISNUMBER(O1881),ISNUMBER(Q1881))),"",(Q1881-O1881)*1440)</f>
        <v/>
      </c>
      <c r="Y1881" s="29" t="n"/>
      <c r="Z1881" s="29" t="n"/>
      <c r="AA1881" s="29" t="n"/>
      <c r="AB1881" s="32" t="n"/>
      <c r="AC1881" s="32" t="n"/>
    </row>
    <row r="1882">
      <c r="A1882" s="26" t="inlineStr">
        <is>
          <t>S37</t>
        </is>
      </c>
      <c r="B1882" s="26" t="inlineStr">
        <is>
          <t>부안</t>
        </is>
      </c>
      <c r="C1882" s="26" t="inlineStr">
        <is>
          <t>S37-H동</t>
        </is>
      </c>
      <c r="D1882" s="47" t="n">
        <v>1</v>
      </c>
      <c r="E1882" s="26" t="inlineStr">
        <is>
          <t>측정</t>
        </is>
      </c>
      <c r="F1882" s="26" t="inlineStr">
        <is>
          <t>동</t>
        </is>
      </c>
      <c r="G1882" s="31" t="n">
        <v>3</v>
      </c>
      <c r="H1882" s="30" t="n"/>
      <c r="I1882" s="43" t="n"/>
      <c r="J1882" s="41" t="n"/>
      <c r="K1882" s="41" t="n"/>
      <c r="L1882" s="41" t="n"/>
      <c r="M1882" s="31">
        <f>IF(COUNT(J1882:L1882)=0,"",MEDIAN(J1882:L1882))</f>
        <v/>
      </c>
      <c r="N1882" s="26">
        <f>IF(COUNTIFS($C:$C,$C1882,$D:$D,$D1882,$E:$E,"P0(전)",$M:$M,"&gt;0")&lt;&gt;1,"P0(전) 유효 1개 아님",IF(COUNTIFS($C:$C,$C1882,$D:$D,$D1882,$E:$E,"P0(후)",$M:$M,"&gt;0")&lt;&gt;1,"P0(후) 유효 1개 아님",IF(NOT(AND(ISNUMBER(O1882),ISNUMBER(Q1882),ISNUMBER(I1882))),"시각 결측",IF(Q1882&lt;=O1882,"P0 시각 역전",IF(OR(I1882&lt;O1882,I1882&gt;Q1882),"측정시각 구간 밖","OK")))))</f>
        <v/>
      </c>
      <c r="O1882" s="48">
        <f>IF(COUNTIFS($C:$C,$C1882,$D:$D,$D1882,$E:$E,"P0(전)",$M:$M,"&gt;0")&lt;&gt;1,"",SUMIFS($I:$I,$C:$C,$C1882,$D:$D,$D1882,$E:$E,"P0(전)"))</f>
        <v/>
      </c>
      <c r="P1882" s="31">
        <f>IF(COUNTIFS($C:$C,$C1882,$D:$D,$D1882,$E:$E,"P0(전)",$M:$M,"&gt;0")&lt;&gt;1,"",SUMIFS($M:$M,$C:$C,$C1882,$D:$D,$D1882,$E:$E,"P0(전)"))</f>
        <v/>
      </c>
      <c r="Q1882" s="48">
        <f>IF(COUNTIFS($C:$C,$C1882,$D:$D,$D1882,$E:$E,"P0(후)",$M:$M,"&gt;0")&lt;&gt;1,"",SUMIFS($I:$I,$C:$C,$C1882,$D:$D,$D1882,$E:$E,"P0(후)"))</f>
        <v/>
      </c>
      <c r="R1882" s="31">
        <f>IF(COUNTIFS($C:$C,$C1882,$D:$D,$D1882,$E:$E,"P0(후)",$M:$M,"&gt;0")&lt;&gt;1,"",SUMIFS($M:$M,$C:$C,$C1882,$D:$D,$D1882,$E:$E,"P0(후)"))</f>
        <v/>
      </c>
      <c r="S1882" s="31">
        <f>IF(N1882&lt;&gt;"OK","",P1882+(R1882-P1882)*(I1882-O1882)/(Q1882-O1882))</f>
        <v/>
      </c>
      <c r="T1882" s="31">
        <f>IF(OR(N1882&lt;&gt;"OK",NOT(ISNUMBER(M1882))),"",M1882-S1882)</f>
        <v/>
      </c>
      <c r="U1882" s="49">
        <f>IF(OR(NOT(ISNUMBER(T1882)),IF(ISNUMBER(H1882),H1882,G1882)=0),"",T1882/IF(ISNUMBER(H1882),H1882,G1882))</f>
        <v/>
      </c>
      <c r="V1882" s="49">
        <f>IF(ISNUMBER(U1882),ABS(U1882),"")</f>
        <v/>
      </c>
      <c r="W1882" s="49">
        <f>IF(OR($E1881&lt;&gt;"측정",$C1881&lt;&gt;$C1882,$D1881&lt;&gt;$D1882,NOT(ISNUMBER(M1882)),NOT(ISNUMBER(M1881)),(IF(ISNUMBER(H1882),H1882,G1882)-IF(ISNUMBER(H1881),H1881,G1881))=0),"",(M1882-M1881)/(IF(ISNUMBER(H1882),H1882,G1882)-IF(ISNUMBER(H1881),H1881,G1881)))</f>
        <v/>
      </c>
      <c r="X1882" s="31">
        <f>IF(NOT(AND(ISNUMBER(O1882),ISNUMBER(Q1882))),"",(Q1882-O1882)*1440)</f>
        <v/>
      </c>
      <c r="Y1882" s="29" t="n"/>
      <c r="Z1882" s="29" t="n"/>
      <c r="AA1882" s="29" t="n"/>
      <c r="AB1882" s="32" t="n"/>
      <c r="AC1882" s="32" t="n"/>
    </row>
    <row r="1883">
      <c r="A1883" s="26" t="inlineStr">
        <is>
          <t>S37</t>
        </is>
      </c>
      <c r="B1883" s="26" t="inlineStr">
        <is>
          <t>부안</t>
        </is>
      </c>
      <c r="C1883" s="26" t="inlineStr">
        <is>
          <t>S37-H동</t>
        </is>
      </c>
      <c r="D1883" s="47" t="n">
        <v>1</v>
      </c>
      <c r="E1883" s="26" t="inlineStr">
        <is>
          <t>측정</t>
        </is>
      </c>
      <c r="F1883" s="26" t="inlineStr">
        <is>
          <t>동</t>
        </is>
      </c>
      <c r="G1883" s="31" t="n">
        <v>4</v>
      </c>
      <c r="H1883" s="30" t="n"/>
      <c r="I1883" s="43" t="n"/>
      <c r="J1883" s="41" t="n"/>
      <c r="K1883" s="41" t="n"/>
      <c r="L1883" s="41" t="n"/>
      <c r="M1883" s="31">
        <f>IF(COUNT(J1883:L1883)=0,"",MEDIAN(J1883:L1883))</f>
        <v/>
      </c>
      <c r="N1883" s="26">
        <f>IF(COUNTIFS($C:$C,$C1883,$D:$D,$D1883,$E:$E,"P0(전)",$M:$M,"&gt;0")&lt;&gt;1,"P0(전) 유효 1개 아님",IF(COUNTIFS($C:$C,$C1883,$D:$D,$D1883,$E:$E,"P0(후)",$M:$M,"&gt;0")&lt;&gt;1,"P0(후) 유효 1개 아님",IF(NOT(AND(ISNUMBER(O1883),ISNUMBER(Q1883),ISNUMBER(I1883))),"시각 결측",IF(Q1883&lt;=O1883,"P0 시각 역전",IF(OR(I1883&lt;O1883,I1883&gt;Q1883),"측정시각 구간 밖","OK")))))</f>
        <v/>
      </c>
      <c r="O1883" s="48">
        <f>IF(COUNTIFS($C:$C,$C1883,$D:$D,$D1883,$E:$E,"P0(전)",$M:$M,"&gt;0")&lt;&gt;1,"",SUMIFS($I:$I,$C:$C,$C1883,$D:$D,$D1883,$E:$E,"P0(전)"))</f>
        <v/>
      </c>
      <c r="P1883" s="31">
        <f>IF(COUNTIFS($C:$C,$C1883,$D:$D,$D1883,$E:$E,"P0(전)",$M:$M,"&gt;0")&lt;&gt;1,"",SUMIFS($M:$M,$C:$C,$C1883,$D:$D,$D1883,$E:$E,"P0(전)"))</f>
        <v/>
      </c>
      <c r="Q1883" s="48">
        <f>IF(COUNTIFS($C:$C,$C1883,$D:$D,$D1883,$E:$E,"P0(후)",$M:$M,"&gt;0")&lt;&gt;1,"",SUMIFS($I:$I,$C:$C,$C1883,$D:$D,$D1883,$E:$E,"P0(후)"))</f>
        <v/>
      </c>
      <c r="R1883" s="31">
        <f>IF(COUNTIFS($C:$C,$C1883,$D:$D,$D1883,$E:$E,"P0(후)",$M:$M,"&gt;0")&lt;&gt;1,"",SUMIFS($M:$M,$C:$C,$C1883,$D:$D,$D1883,$E:$E,"P0(후)"))</f>
        <v/>
      </c>
      <c r="S1883" s="31">
        <f>IF(N1883&lt;&gt;"OK","",P1883+(R1883-P1883)*(I1883-O1883)/(Q1883-O1883))</f>
        <v/>
      </c>
      <c r="T1883" s="31">
        <f>IF(OR(N1883&lt;&gt;"OK",NOT(ISNUMBER(M1883))),"",M1883-S1883)</f>
        <v/>
      </c>
      <c r="U1883" s="49">
        <f>IF(OR(NOT(ISNUMBER(T1883)),IF(ISNUMBER(H1883),H1883,G1883)=0),"",T1883/IF(ISNUMBER(H1883),H1883,G1883))</f>
        <v/>
      </c>
      <c r="V1883" s="49">
        <f>IF(ISNUMBER(U1883),ABS(U1883),"")</f>
        <v/>
      </c>
      <c r="W1883" s="49">
        <f>IF(OR($E1882&lt;&gt;"측정",$C1882&lt;&gt;$C1883,$D1882&lt;&gt;$D1883,NOT(ISNUMBER(M1883)),NOT(ISNUMBER(M1882)),(IF(ISNUMBER(H1883),H1883,G1883)-IF(ISNUMBER(H1882),H1882,G1882))=0),"",(M1883-M1882)/(IF(ISNUMBER(H1883),H1883,G1883)-IF(ISNUMBER(H1882),H1882,G1882)))</f>
        <v/>
      </c>
      <c r="X1883" s="31">
        <f>IF(NOT(AND(ISNUMBER(O1883),ISNUMBER(Q1883))),"",(Q1883-O1883)*1440)</f>
        <v/>
      </c>
      <c r="Y1883" s="29" t="n"/>
      <c r="Z1883" s="29" t="n"/>
      <c r="AA1883" s="29" t="n"/>
      <c r="AB1883" s="32" t="n"/>
      <c r="AC1883" s="32" t="n"/>
    </row>
    <row r="1884">
      <c r="A1884" s="26" t="inlineStr">
        <is>
          <t>S37</t>
        </is>
      </c>
      <c r="B1884" s="26" t="inlineStr">
        <is>
          <t>부안</t>
        </is>
      </c>
      <c r="C1884" s="26" t="inlineStr">
        <is>
          <t>S37-H동</t>
        </is>
      </c>
      <c r="D1884" s="47" t="n">
        <v>1</v>
      </c>
      <c r="E1884" s="26" t="inlineStr">
        <is>
          <t>측정</t>
        </is>
      </c>
      <c r="F1884" s="26" t="inlineStr">
        <is>
          <t>동</t>
        </is>
      </c>
      <c r="G1884" s="31" t="n">
        <v>5</v>
      </c>
      <c r="H1884" s="30" t="n"/>
      <c r="I1884" s="43" t="n"/>
      <c r="J1884" s="41" t="n"/>
      <c r="K1884" s="41" t="n"/>
      <c r="L1884" s="41" t="n"/>
      <c r="M1884" s="31">
        <f>IF(COUNT(J1884:L1884)=0,"",MEDIAN(J1884:L1884))</f>
        <v/>
      </c>
      <c r="N1884" s="26">
        <f>IF(COUNTIFS($C:$C,$C1884,$D:$D,$D1884,$E:$E,"P0(전)",$M:$M,"&gt;0")&lt;&gt;1,"P0(전) 유효 1개 아님",IF(COUNTIFS($C:$C,$C1884,$D:$D,$D1884,$E:$E,"P0(후)",$M:$M,"&gt;0")&lt;&gt;1,"P0(후) 유효 1개 아님",IF(NOT(AND(ISNUMBER(O1884),ISNUMBER(Q1884),ISNUMBER(I1884))),"시각 결측",IF(Q1884&lt;=O1884,"P0 시각 역전",IF(OR(I1884&lt;O1884,I1884&gt;Q1884),"측정시각 구간 밖","OK")))))</f>
        <v/>
      </c>
      <c r="O1884" s="48">
        <f>IF(COUNTIFS($C:$C,$C1884,$D:$D,$D1884,$E:$E,"P0(전)",$M:$M,"&gt;0")&lt;&gt;1,"",SUMIFS($I:$I,$C:$C,$C1884,$D:$D,$D1884,$E:$E,"P0(전)"))</f>
        <v/>
      </c>
      <c r="P1884" s="31">
        <f>IF(COUNTIFS($C:$C,$C1884,$D:$D,$D1884,$E:$E,"P0(전)",$M:$M,"&gt;0")&lt;&gt;1,"",SUMIFS($M:$M,$C:$C,$C1884,$D:$D,$D1884,$E:$E,"P0(전)"))</f>
        <v/>
      </c>
      <c r="Q1884" s="48">
        <f>IF(COUNTIFS($C:$C,$C1884,$D:$D,$D1884,$E:$E,"P0(후)",$M:$M,"&gt;0")&lt;&gt;1,"",SUMIFS($I:$I,$C:$C,$C1884,$D:$D,$D1884,$E:$E,"P0(후)"))</f>
        <v/>
      </c>
      <c r="R1884" s="31">
        <f>IF(COUNTIFS($C:$C,$C1884,$D:$D,$D1884,$E:$E,"P0(후)",$M:$M,"&gt;0")&lt;&gt;1,"",SUMIFS($M:$M,$C:$C,$C1884,$D:$D,$D1884,$E:$E,"P0(후)"))</f>
        <v/>
      </c>
      <c r="S1884" s="31">
        <f>IF(N1884&lt;&gt;"OK","",P1884+(R1884-P1884)*(I1884-O1884)/(Q1884-O1884))</f>
        <v/>
      </c>
      <c r="T1884" s="31">
        <f>IF(OR(N1884&lt;&gt;"OK",NOT(ISNUMBER(M1884))),"",M1884-S1884)</f>
        <v/>
      </c>
      <c r="U1884" s="49">
        <f>IF(OR(NOT(ISNUMBER(T1884)),IF(ISNUMBER(H1884),H1884,G1884)=0),"",T1884/IF(ISNUMBER(H1884),H1884,G1884))</f>
        <v/>
      </c>
      <c r="V1884" s="49">
        <f>IF(ISNUMBER(U1884),ABS(U1884),"")</f>
        <v/>
      </c>
      <c r="W1884" s="49">
        <f>IF(OR($E1883&lt;&gt;"측정",$C1883&lt;&gt;$C1884,$D1883&lt;&gt;$D1884,NOT(ISNUMBER(M1884)),NOT(ISNUMBER(M1883)),(IF(ISNUMBER(H1884),H1884,G1884)-IF(ISNUMBER(H1883),H1883,G1883))=0),"",(M1884-M1883)/(IF(ISNUMBER(H1884),H1884,G1884)-IF(ISNUMBER(H1883),H1883,G1883)))</f>
        <v/>
      </c>
      <c r="X1884" s="31">
        <f>IF(NOT(AND(ISNUMBER(O1884),ISNUMBER(Q1884))),"",(Q1884-O1884)*1440)</f>
        <v/>
      </c>
      <c r="Y1884" s="29" t="n"/>
      <c r="Z1884" s="29" t="n"/>
      <c r="AA1884" s="29" t="n"/>
      <c r="AB1884" s="32" t="n"/>
      <c r="AC1884" s="32" t="n"/>
    </row>
    <row r="1885">
      <c r="A1885" s="26" t="inlineStr">
        <is>
          <t>S37</t>
        </is>
      </c>
      <c r="B1885" s="26" t="inlineStr">
        <is>
          <t>부안</t>
        </is>
      </c>
      <c r="C1885" s="26" t="inlineStr">
        <is>
          <t>S37-H동</t>
        </is>
      </c>
      <c r="D1885" s="47" t="n">
        <v>1</v>
      </c>
      <c r="E1885" s="26" t="inlineStr">
        <is>
          <t>측정</t>
        </is>
      </c>
      <c r="F1885" s="26" t="inlineStr">
        <is>
          <t>동</t>
        </is>
      </c>
      <c r="G1885" s="31" t="n">
        <v>6</v>
      </c>
      <c r="H1885" s="30" t="n"/>
      <c r="I1885" s="43" t="n"/>
      <c r="J1885" s="41" t="n"/>
      <c r="K1885" s="41" t="n"/>
      <c r="L1885" s="41" t="n"/>
      <c r="M1885" s="31">
        <f>IF(COUNT(J1885:L1885)=0,"",MEDIAN(J1885:L1885))</f>
        <v/>
      </c>
      <c r="N1885" s="26">
        <f>IF(COUNTIFS($C:$C,$C1885,$D:$D,$D1885,$E:$E,"P0(전)",$M:$M,"&gt;0")&lt;&gt;1,"P0(전) 유효 1개 아님",IF(COUNTIFS($C:$C,$C1885,$D:$D,$D1885,$E:$E,"P0(후)",$M:$M,"&gt;0")&lt;&gt;1,"P0(후) 유효 1개 아님",IF(NOT(AND(ISNUMBER(O1885),ISNUMBER(Q1885),ISNUMBER(I1885))),"시각 결측",IF(Q1885&lt;=O1885,"P0 시각 역전",IF(OR(I1885&lt;O1885,I1885&gt;Q1885),"측정시각 구간 밖","OK")))))</f>
        <v/>
      </c>
      <c r="O1885" s="48">
        <f>IF(COUNTIFS($C:$C,$C1885,$D:$D,$D1885,$E:$E,"P0(전)",$M:$M,"&gt;0")&lt;&gt;1,"",SUMIFS($I:$I,$C:$C,$C1885,$D:$D,$D1885,$E:$E,"P0(전)"))</f>
        <v/>
      </c>
      <c r="P1885" s="31">
        <f>IF(COUNTIFS($C:$C,$C1885,$D:$D,$D1885,$E:$E,"P0(전)",$M:$M,"&gt;0")&lt;&gt;1,"",SUMIFS($M:$M,$C:$C,$C1885,$D:$D,$D1885,$E:$E,"P0(전)"))</f>
        <v/>
      </c>
      <c r="Q1885" s="48">
        <f>IF(COUNTIFS($C:$C,$C1885,$D:$D,$D1885,$E:$E,"P0(후)",$M:$M,"&gt;0")&lt;&gt;1,"",SUMIFS($I:$I,$C:$C,$C1885,$D:$D,$D1885,$E:$E,"P0(후)"))</f>
        <v/>
      </c>
      <c r="R1885" s="31">
        <f>IF(COUNTIFS($C:$C,$C1885,$D:$D,$D1885,$E:$E,"P0(후)",$M:$M,"&gt;0")&lt;&gt;1,"",SUMIFS($M:$M,$C:$C,$C1885,$D:$D,$D1885,$E:$E,"P0(후)"))</f>
        <v/>
      </c>
      <c r="S1885" s="31">
        <f>IF(N1885&lt;&gt;"OK","",P1885+(R1885-P1885)*(I1885-O1885)/(Q1885-O1885))</f>
        <v/>
      </c>
      <c r="T1885" s="31">
        <f>IF(OR(N1885&lt;&gt;"OK",NOT(ISNUMBER(M1885))),"",M1885-S1885)</f>
        <v/>
      </c>
      <c r="U1885" s="49">
        <f>IF(OR(NOT(ISNUMBER(T1885)),IF(ISNUMBER(H1885),H1885,G1885)=0),"",T1885/IF(ISNUMBER(H1885),H1885,G1885))</f>
        <v/>
      </c>
      <c r="V1885" s="49">
        <f>IF(ISNUMBER(U1885),ABS(U1885),"")</f>
        <v/>
      </c>
      <c r="W1885" s="49">
        <f>IF(OR($E1884&lt;&gt;"측정",$C1884&lt;&gt;$C1885,$D1884&lt;&gt;$D1885,NOT(ISNUMBER(M1885)),NOT(ISNUMBER(M1884)),(IF(ISNUMBER(H1885),H1885,G1885)-IF(ISNUMBER(H1884),H1884,G1884))=0),"",(M1885-M1884)/(IF(ISNUMBER(H1885),H1885,G1885)-IF(ISNUMBER(H1884),H1884,G1884)))</f>
        <v/>
      </c>
      <c r="X1885" s="31">
        <f>IF(NOT(AND(ISNUMBER(O1885),ISNUMBER(Q1885))),"",(Q1885-O1885)*1440)</f>
        <v/>
      </c>
      <c r="Y1885" s="29" t="n"/>
      <c r="Z1885" s="29" t="n"/>
      <c r="AA1885" s="29" t="n"/>
      <c r="AB1885" s="32" t="n"/>
      <c r="AC1885" s="32" t="n"/>
    </row>
    <row r="1886">
      <c r="A1886" s="26" t="inlineStr">
        <is>
          <t>S37</t>
        </is>
      </c>
      <c r="B1886" s="26" t="inlineStr">
        <is>
          <t>부안</t>
        </is>
      </c>
      <c r="C1886" s="26" t="inlineStr">
        <is>
          <t>S37-H동</t>
        </is>
      </c>
      <c r="D1886" s="47" t="n">
        <v>1</v>
      </c>
      <c r="E1886" s="26" t="inlineStr">
        <is>
          <t>측정</t>
        </is>
      </c>
      <c r="F1886" s="26" t="inlineStr">
        <is>
          <t>동</t>
        </is>
      </c>
      <c r="G1886" s="31" t="n">
        <v>7</v>
      </c>
      <c r="H1886" s="30" t="n"/>
      <c r="I1886" s="43" t="n"/>
      <c r="J1886" s="41" t="n"/>
      <c r="K1886" s="41" t="n"/>
      <c r="L1886" s="41" t="n"/>
      <c r="M1886" s="31">
        <f>IF(COUNT(J1886:L1886)=0,"",MEDIAN(J1886:L1886))</f>
        <v/>
      </c>
      <c r="N1886" s="26">
        <f>IF(COUNTIFS($C:$C,$C1886,$D:$D,$D1886,$E:$E,"P0(전)",$M:$M,"&gt;0")&lt;&gt;1,"P0(전) 유효 1개 아님",IF(COUNTIFS($C:$C,$C1886,$D:$D,$D1886,$E:$E,"P0(후)",$M:$M,"&gt;0")&lt;&gt;1,"P0(후) 유효 1개 아님",IF(NOT(AND(ISNUMBER(O1886),ISNUMBER(Q1886),ISNUMBER(I1886))),"시각 결측",IF(Q1886&lt;=O1886,"P0 시각 역전",IF(OR(I1886&lt;O1886,I1886&gt;Q1886),"측정시각 구간 밖","OK")))))</f>
        <v/>
      </c>
      <c r="O1886" s="48">
        <f>IF(COUNTIFS($C:$C,$C1886,$D:$D,$D1886,$E:$E,"P0(전)",$M:$M,"&gt;0")&lt;&gt;1,"",SUMIFS($I:$I,$C:$C,$C1886,$D:$D,$D1886,$E:$E,"P0(전)"))</f>
        <v/>
      </c>
      <c r="P1886" s="31">
        <f>IF(COUNTIFS($C:$C,$C1886,$D:$D,$D1886,$E:$E,"P0(전)",$M:$M,"&gt;0")&lt;&gt;1,"",SUMIFS($M:$M,$C:$C,$C1886,$D:$D,$D1886,$E:$E,"P0(전)"))</f>
        <v/>
      </c>
      <c r="Q1886" s="48">
        <f>IF(COUNTIFS($C:$C,$C1886,$D:$D,$D1886,$E:$E,"P0(후)",$M:$M,"&gt;0")&lt;&gt;1,"",SUMIFS($I:$I,$C:$C,$C1886,$D:$D,$D1886,$E:$E,"P0(후)"))</f>
        <v/>
      </c>
      <c r="R1886" s="31">
        <f>IF(COUNTIFS($C:$C,$C1886,$D:$D,$D1886,$E:$E,"P0(후)",$M:$M,"&gt;0")&lt;&gt;1,"",SUMIFS($M:$M,$C:$C,$C1886,$D:$D,$D1886,$E:$E,"P0(후)"))</f>
        <v/>
      </c>
      <c r="S1886" s="31">
        <f>IF(N1886&lt;&gt;"OK","",P1886+(R1886-P1886)*(I1886-O1886)/(Q1886-O1886))</f>
        <v/>
      </c>
      <c r="T1886" s="31">
        <f>IF(OR(N1886&lt;&gt;"OK",NOT(ISNUMBER(M1886))),"",M1886-S1886)</f>
        <v/>
      </c>
      <c r="U1886" s="49">
        <f>IF(OR(NOT(ISNUMBER(T1886)),IF(ISNUMBER(H1886),H1886,G1886)=0),"",T1886/IF(ISNUMBER(H1886),H1886,G1886))</f>
        <v/>
      </c>
      <c r="V1886" s="49">
        <f>IF(ISNUMBER(U1886),ABS(U1886),"")</f>
        <v/>
      </c>
      <c r="W1886" s="49">
        <f>IF(OR($E1885&lt;&gt;"측정",$C1885&lt;&gt;$C1886,$D1885&lt;&gt;$D1886,NOT(ISNUMBER(M1886)),NOT(ISNUMBER(M1885)),(IF(ISNUMBER(H1886),H1886,G1886)-IF(ISNUMBER(H1885),H1885,G1885))=0),"",(M1886-M1885)/(IF(ISNUMBER(H1886),H1886,G1886)-IF(ISNUMBER(H1885),H1885,G1885)))</f>
        <v/>
      </c>
      <c r="X1886" s="31">
        <f>IF(NOT(AND(ISNUMBER(O1886),ISNUMBER(Q1886))),"",(Q1886-O1886)*1440)</f>
        <v/>
      </c>
      <c r="Y1886" s="29" t="n"/>
      <c r="Z1886" s="29" t="n"/>
      <c r="AA1886" s="29" t="n"/>
      <c r="AB1886" s="32" t="n"/>
      <c r="AC1886" s="32" t="n"/>
    </row>
    <row r="1887">
      <c r="A1887" s="26" t="inlineStr">
        <is>
          <t>S37</t>
        </is>
      </c>
      <c r="B1887" s="26" t="inlineStr">
        <is>
          <t>부안</t>
        </is>
      </c>
      <c r="C1887" s="26" t="inlineStr">
        <is>
          <t>S37-H동</t>
        </is>
      </c>
      <c r="D1887" s="47" t="n">
        <v>1</v>
      </c>
      <c r="E1887" s="26" t="inlineStr">
        <is>
          <t>측정</t>
        </is>
      </c>
      <c r="F1887" s="26" t="inlineStr">
        <is>
          <t>동</t>
        </is>
      </c>
      <c r="G1887" s="31" t="n">
        <v>8</v>
      </c>
      <c r="H1887" s="30" t="n"/>
      <c r="I1887" s="43" t="n"/>
      <c r="J1887" s="41" t="n"/>
      <c r="K1887" s="41" t="n"/>
      <c r="L1887" s="41" t="n"/>
      <c r="M1887" s="31">
        <f>IF(COUNT(J1887:L1887)=0,"",MEDIAN(J1887:L1887))</f>
        <v/>
      </c>
      <c r="N1887" s="26">
        <f>IF(COUNTIFS($C:$C,$C1887,$D:$D,$D1887,$E:$E,"P0(전)",$M:$M,"&gt;0")&lt;&gt;1,"P0(전) 유효 1개 아님",IF(COUNTIFS($C:$C,$C1887,$D:$D,$D1887,$E:$E,"P0(후)",$M:$M,"&gt;0")&lt;&gt;1,"P0(후) 유효 1개 아님",IF(NOT(AND(ISNUMBER(O1887),ISNUMBER(Q1887),ISNUMBER(I1887))),"시각 결측",IF(Q1887&lt;=O1887,"P0 시각 역전",IF(OR(I1887&lt;O1887,I1887&gt;Q1887),"측정시각 구간 밖","OK")))))</f>
        <v/>
      </c>
      <c r="O1887" s="48">
        <f>IF(COUNTIFS($C:$C,$C1887,$D:$D,$D1887,$E:$E,"P0(전)",$M:$M,"&gt;0")&lt;&gt;1,"",SUMIFS($I:$I,$C:$C,$C1887,$D:$D,$D1887,$E:$E,"P0(전)"))</f>
        <v/>
      </c>
      <c r="P1887" s="31">
        <f>IF(COUNTIFS($C:$C,$C1887,$D:$D,$D1887,$E:$E,"P0(전)",$M:$M,"&gt;0")&lt;&gt;1,"",SUMIFS($M:$M,$C:$C,$C1887,$D:$D,$D1887,$E:$E,"P0(전)"))</f>
        <v/>
      </c>
      <c r="Q1887" s="48">
        <f>IF(COUNTIFS($C:$C,$C1887,$D:$D,$D1887,$E:$E,"P0(후)",$M:$M,"&gt;0")&lt;&gt;1,"",SUMIFS($I:$I,$C:$C,$C1887,$D:$D,$D1887,$E:$E,"P0(후)"))</f>
        <v/>
      </c>
      <c r="R1887" s="31">
        <f>IF(COUNTIFS($C:$C,$C1887,$D:$D,$D1887,$E:$E,"P0(후)",$M:$M,"&gt;0")&lt;&gt;1,"",SUMIFS($M:$M,$C:$C,$C1887,$D:$D,$D1887,$E:$E,"P0(후)"))</f>
        <v/>
      </c>
      <c r="S1887" s="31">
        <f>IF(N1887&lt;&gt;"OK","",P1887+(R1887-P1887)*(I1887-O1887)/(Q1887-O1887))</f>
        <v/>
      </c>
      <c r="T1887" s="31">
        <f>IF(OR(N1887&lt;&gt;"OK",NOT(ISNUMBER(M1887))),"",M1887-S1887)</f>
        <v/>
      </c>
      <c r="U1887" s="49">
        <f>IF(OR(NOT(ISNUMBER(T1887)),IF(ISNUMBER(H1887),H1887,G1887)=0),"",T1887/IF(ISNUMBER(H1887),H1887,G1887))</f>
        <v/>
      </c>
      <c r="V1887" s="49">
        <f>IF(ISNUMBER(U1887),ABS(U1887),"")</f>
        <v/>
      </c>
      <c r="W1887" s="49">
        <f>IF(OR($E1886&lt;&gt;"측정",$C1886&lt;&gt;$C1887,$D1886&lt;&gt;$D1887,NOT(ISNUMBER(M1887)),NOT(ISNUMBER(M1886)),(IF(ISNUMBER(H1887),H1887,G1887)-IF(ISNUMBER(H1886),H1886,G1886))=0),"",(M1887-M1886)/(IF(ISNUMBER(H1887),H1887,G1887)-IF(ISNUMBER(H1886),H1886,G1886)))</f>
        <v/>
      </c>
      <c r="X1887" s="31">
        <f>IF(NOT(AND(ISNUMBER(O1887),ISNUMBER(Q1887))),"",(Q1887-O1887)*1440)</f>
        <v/>
      </c>
      <c r="Y1887" s="29" t="n"/>
      <c r="Z1887" s="29" t="n"/>
      <c r="AA1887" s="29" t="n"/>
      <c r="AB1887" s="32" t="n"/>
      <c r="AC1887" s="32" t="n"/>
    </row>
    <row r="1888">
      <c r="A1888" s="26" t="inlineStr">
        <is>
          <t>S37</t>
        </is>
      </c>
      <c r="B1888" s="26" t="inlineStr">
        <is>
          <t>부안</t>
        </is>
      </c>
      <c r="C1888" s="26" t="inlineStr">
        <is>
          <t>S37-H동</t>
        </is>
      </c>
      <c r="D1888" s="47" t="n">
        <v>1</v>
      </c>
      <c r="E1888" s="26" t="inlineStr">
        <is>
          <t>측정</t>
        </is>
      </c>
      <c r="F1888" s="26" t="inlineStr">
        <is>
          <t>동</t>
        </is>
      </c>
      <c r="G1888" s="31" t="n">
        <v>9</v>
      </c>
      <c r="H1888" s="30" t="n"/>
      <c r="I1888" s="43" t="n"/>
      <c r="J1888" s="41" t="n"/>
      <c r="K1888" s="41" t="n"/>
      <c r="L1888" s="41" t="n"/>
      <c r="M1888" s="31">
        <f>IF(COUNT(J1888:L1888)=0,"",MEDIAN(J1888:L1888))</f>
        <v/>
      </c>
      <c r="N1888" s="26">
        <f>IF(COUNTIFS($C:$C,$C1888,$D:$D,$D1888,$E:$E,"P0(전)",$M:$M,"&gt;0")&lt;&gt;1,"P0(전) 유효 1개 아님",IF(COUNTIFS($C:$C,$C1888,$D:$D,$D1888,$E:$E,"P0(후)",$M:$M,"&gt;0")&lt;&gt;1,"P0(후) 유효 1개 아님",IF(NOT(AND(ISNUMBER(O1888),ISNUMBER(Q1888),ISNUMBER(I1888))),"시각 결측",IF(Q1888&lt;=O1888,"P0 시각 역전",IF(OR(I1888&lt;O1888,I1888&gt;Q1888),"측정시각 구간 밖","OK")))))</f>
        <v/>
      </c>
      <c r="O1888" s="48">
        <f>IF(COUNTIFS($C:$C,$C1888,$D:$D,$D1888,$E:$E,"P0(전)",$M:$M,"&gt;0")&lt;&gt;1,"",SUMIFS($I:$I,$C:$C,$C1888,$D:$D,$D1888,$E:$E,"P0(전)"))</f>
        <v/>
      </c>
      <c r="P1888" s="31">
        <f>IF(COUNTIFS($C:$C,$C1888,$D:$D,$D1888,$E:$E,"P0(전)",$M:$M,"&gt;0")&lt;&gt;1,"",SUMIFS($M:$M,$C:$C,$C1888,$D:$D,$D1888,$E:$E,"P0(전)"))</f>
        <v/>
      </c>
      <c r="Q1888" s="48">
        <f>IF(COUNTIFS($C:$C,$C1888,$D:$D,$D1888,$E:$E,"P0(후)",$M:$M,"&gt;0")&lt;&gt;1,"",SUMIFS($I:$I,$C:$C,$C1888,$D:$D,$D1888,$E:$E,"P0(후)"))</f>
        <v/>
      </c>
      <c r="R1888" s="31">
        <f>IF(COUNTIFS($C:$C,$C1888,$D:$D,$D1888,$E:$E,"P0(후)",$M:$M,"&gt;0")&lt;&gt;1,"",SUMIFS($M:$M,$C:$C,$C1888,$D:$D,$D1888,$E:$E,"P0(후)"))</f>
        <v/>
      </c>
      <c r="S1888" s="31">
        <f>IF(N1888&lt;&gt;"OK","",P1888+(R1888-P1888)*(I1888-O1888)/(Q1888-O1888))</f>
        <v/>
      </c>
      <c r="T1888" s="31">
        <f>IF(OR(N1888&lt;&gt;"OK",NOT(ISNUMBER(M1888))),"",M1888-S1888)</f>
        <v/>
      </c>
      <c r="U1888" s="49">
        <f>IF(OR(NOT(ISNUMBER(T1888)),IF(ISNUMBER(H1888),H1888,G1888)=0),"",T1888/IF(ISNUMBER(H1888),H1888,G1888))</f>
        <v/>
      </c>
      <c r="V1888" s="49">
        <f>IF(ISNUMBER(U1888),ABS(U1888),"")</f>
        <v/>
      </c>
      <c r="W1888" s="49">
        <f>IF(OR($E1887&lt;&gt;"측정",$C1887&lt;&gt;$C1888,$D1887&lt;&gt;$D1888,NOT(ISNUMBER(M1888)),NOT(ISNUMBER(M1887)),(IF(ISNUMBER(H1888),H1888,G1888)-IF(ISNUMBER(H1887),H1887,G1887))=0),"",(M1888-M1887)/(IF(ISNUMBER(H1888),H1888,G1888)-IF(ISNUMBER(H1887),H1887,G1887)))</f>
        <v/>
      </c>
      <c r="X1888" s="31">
        <f>IF(NOT(AND(ISNUMBER(O1888),ISNUMBER(Q1888))),"",(Q1888-O1888)*1440)</f>
        <v/>
      </c>
      <c r="Y1888" s="29" t="n"/>
      <c r="Z1888" s="29" t="n"/>
      <c r="AA1888" s="29" t="n"/>
      <c r="AB1888" s="32" t="n"/>
      <c r="AC1888" s="32" t="n"/>
    </row>
    <row r="1889">
      <c r="A1889" s="26" t="inlineStr">
        <is>
          <t>S37</t>
        </is>
      </c>
      <c r="B1889" s="26" t="inlineStr">
        <is>
          <t>부안</t>
        </is>
      </c>
      <c r="C1889" s="26" t="inlineStr">
        <is>
          <t>S37-H동</t>
        </is>
      </c>
      <c r="D1889" s="47" t="n">
        <v>1</v>
      </c>
      <c r="E1889" s="26" t="inlineStr">
        <is>
          <t>측정</t>
        </is>
      </c>
      <c r="F1889" s="26" t="inlineStr">
        <is>
          <t>동</t>
        </is>
      </c>
      <c r="G1889" s="31" t="n">
        <v>10</v>
      </c>
      <c r="H1889" s="30" t="n"/>
      <c r="I1889" s="43" t="n"/>
      <c r="J1889" s="41" t="n"/>
      <c r="K1889" s="41" t="n"/>
      <c r="L1889" s="41" t="n"/>
      <c r="M1889" s="31">
        <f>IF(COUNT(J1889:L1889)=0,"",MEDIAN(J1889:L1889))</f>
        <v/>
      </c>
      <c r="N1889" s="26">
        <f>IF(COUNTIFS($C:$C,$C1889,$D:$D,$D1889,$E:$E,"P0(전)",$M:$M,"&gt;0")&lt;&gt;1,"P0(전) 유효 1개 아님",IF(COUNTIFS($C:$C,$C1889,$D:$D,$D1889,$E:$E,"P0(후)",$M:$M,"&gt;0")&lt;&gt;1,"P0(후) 유효 1개 아님",IF(NOT(AND(ISNUMBER(O1889),ISNUMBER(Q1889),ISNUMBER(I1889))),"시각 결측",IF(Q1889&lt;=O1889,"P0 시각 역전",IF(OR(I1889&lt;O1889,I1889&gt;Q1889),"측정시각 구간 밖","OK")))))</f>
        <v/>
      </c>
      <c r="O1889" s="48">
        <f>IF(COUNTIFS($C:$C,$C1889,$D:$D,$D1889,$E:$E,"P0(전)",$M:$M,"&gt;0")&lt;&gt;1,"",SUMIFS($I:$I,$C:$C,$C1889,$D:$D,$D1889,$E:$E,"P0(전)"))</f>
        <v/>
      </c>
      <c r="P1889" s="31">
        <f>IF(COUNTIFS($C:$C,$C1889,$D:$D,$D1889,$E:$E,"P0(전)",$M:$M,"&gt;0")&lt;&gt;1,"",SUMIFS($M:$M,$C:$C,$C1889,$D:$D,$D1889,$E:$E,"P0(전)"))</f>
        <v/>
      </c>
      <c r="Q1889" s="48">
        <f>IF(COUNTIFS($C:$C,$C1889,$D:$D,$D1889,$E:$E,"P0(후)",$M:$M,"&gt;0")&lt;&gt;1,"",SUMIFS($I:$I,$C:$C,$C1889,$D:$D,$D1889,$E:$E,"P0(후)"))</f>
        <v/>
      </c>
      <c r="R1889" s="31">
        <f>IF(COUNTIFS($C:$C,$C1889,$D:$D,$D1889,$E:$E,"P0(후)",$M:$M,"&gt;0")&lt;&gt;1,"",SUMIFS($M:$M,$C:$C,$C1889,$D:$D,$D1889,$E:$E,"P0(후)"))</f>
        <v/>
      </c>
      <c r="S1889" s="31">
        <f>IF(N1889&lt;&gt;"OK","",P1889+(R1889-P1889)*(I1889-O1889)/(Q1889-O1889))</f>
        <v/>
      </c>
      <c r="T1889" s="31">
        <f>IF(OR(N1889&lt;&gt;"OK",NOT(ISNUMBER(M1889))),"",M1889-S1889)</f>
        <v/>
      </c>
      <c r="U1889" s="49">
        <f>IF(OR(NOT(ISNUMBER(T1889)),IF(ISNUMBER(H1889),H1889,G1889)=0),"",T1889/IF(ISNUMBER(H1889),H1889,G1889))</f>
        <v/>
      </c>
      <c r="V1889" s="49">
        <f>IF(ISNUMBER(U1889),ABS(U1889),"")</f>
        <v/>
      </c>
      <c r="W1889" s="49">
        <f>IF(OR($E1888&lt;&gt;"측정",$C1888&lt;&gt;$C1889,$D1888&lt;&gt;$D1889,NOT(ISNUMBER(M1889)),NOT(ISNUMBER(M1888)),(IF(ISNUMBER(H1889),H1889,G1889)-IF(ISNUMBER(H1888),H1888,G1888))=0),"",(M1889-M1888)/(IF(ISNUMBER(H1889),H1889,G1889)-IF(ISNUMBER(H1888),H1888,G1888)))</f>
        <v/>
      </c>
      <c r="X1889" s="31">
        <f>IF(NOT(AND(ISNUMBER(O1889),ISNUMBER(Q1889))),"",(Q1889-O1889)*1440)</f>
        <v/>
      </c>
      <c r="Y1889" s="29" t="n"/>
      <c r="Z1889" s="29" t="n"/>
      <c r="AA1889" s="29" t="n"/>
      <c r="AB1889" s="32" t="n"/>
      <c r="AC1889" s="32" t="n"/>
    </row>
    <row r="1890">
      <c r="A1890" s="44" t="inlineStr">
        <is>
          <t>S37</t>
        </is>
      </c>
      <c r="B1890" s="44" t="inlineStr">
        <is>
          <t>부안</t>
        </is>
      </c>
      <c r="C1890" s="44" t="inlineStr">
        <is>
          <t>S37-H동</t>
        </is>
      </c>
      <c r="D1890" s="45" t="n">
        <v>1</v>
      </c>
      <c r="E1890" s="44" t="inlineStr">
        <is>
          <t>P0(후)</t>
        </is>
      </c>
      <c r="F1890" s="44" t="inlineStr">
        <is>
          <t>동</t>
        </is>
      </c>
      <c r="G1890" s="46" t="n"/>
      <c r="H1890" s="30" t="n"/>
      <c r="I1890" s="43" t="n"/>
      <c r="J1890" s="41" t="n"/>
      <c r="K1890" s="41" t="n"/>
      <c r="L1890" s="41" t="n"/>
      <c r="M1890" s="31">
        <f>IF(COUNT(J1890:L1890)=0,"",MEDIAN(J1890:L1890))</f>
        <v/>
      </c>
      <c r="N1890" s="38" t="n"/>
      <c r="O1890" s="38" t="n"/>
      <c r="P1890" s="38" t="n"/>
      <c r="Q1890" s="38" t="n"/>
      <c r="R1890" s="38" t="n"/>
      <c r="S1890" s="38" t="n"/>
      <c r="T1890" s="38" t="n"/>
      <c r="U1890" s="38" t="n"/>
      <c r="V1890" s="38" t="n"/>
      <c r="W1890" s="38" t="n"/>
      <c r="X1890" s="38" t="n"/>
      <c r="Y1890" s="29" t="n"/>
      <c r="Z1890" s="29" t="n"/>
      <c r="AA1890" s="29" t="n"/>
      <c r="AB1890" s="32" t="n"/>
      <c r="AC1890" s="32" t="n"/>
    </row>
    <row r="1891">
      <c r="A1891" s="44" t="inlineStr">
        <is>
          <t>S37</t>
        </is>
      </c>
      <c r="B1891" s="44" t="inlineStr">
        <is>
          <t>부안</t>
        </is>
      </c>
      <c r="C1891" s="44" t="inlineStr">
        <is>
          <t>S37-H서</t>
        </is>
      </c>
      <c r="D1891" s="45" t="n">
        <v>1</v>
      </c>
      <c r="E1891" s="44" t="inlineStr">
        <is>
          <t>P0(전)</t>
        </is>
      </c>
      <c r="F1891" s="44" t="inlineStr">
        <is>
          <t>서</t>
        </is>
      </c>
      <c r="G1891" s="46" t="n"/>
      <c r="H1891" s="30" t="n"/>
      <c r="I1891" s="43" t="n"/>
      <c r="J1891" s="41" t="n"/>
      <c r="K1891" s="41" t="n"/>
      <c r="L1891" s="41" t="n"/>
      <c r="M1891" s="31">
        <f>IF(COUNT(J1891:L1891)=0,"",MEDIAN(J1891:L1891))</f>
        <v/>
      </c>
      <c r="N1891" s="38" t="n"/>
      <c r="O1891" s="38" t="n"/>
      <c r="P1891" s="38" t="n"/>
      <c r="Q1891" s="38" t="n"/>
      <c r="R1891" s="38" t="n"/>
      <c r="S1891" s="38" t="n"/>
      <c r="T1891" s="38" t="n"/>
      <c r="U1891" s="38" t="n"/>
      <c r="V1891" s="38" t="n"/>
      <c r="W1891" s="38" t="n"/>
      <c r="X1891" s="38" t="n"/>
      <c r="Y1891" s="29" t="n"/>
      <c r="Z1891" s="29" t="n"/>
      <c r="AA1891" s="29" t="n"/>
      <c r="AB1891" s="32" t="n"/>
      <c r="AC1891" s="32" t="n"/>
    </row>
    <row r="1892">
      <c r="A1892" s="26" t="inlineStr">
        <is>
          <t>S37</t>
        </is>
      </c>
      <c r="B1892" s="26" t="inlineStr">
        <is>
          <t>부안</t>
        </is>
      </c>
      <c r="C1892" s="26" t="inlineStr">
        <is>
          <t>S37-H서</t>
        </is>
      </c>
      <c r="D1892" s="47" t="n">
        <v>1</v>
      </c>
      <c r="E1892" s="26" t="inlineStr">
        <is>
          <t>측정</t>
        </is>
      </c>
      <c r="F1892" s="26" t="inlineStr">
        <is>
          <t>서</t>
        </is>
      </c>
      <c r="G1892" s="31" t="n">
        <v>0.5</v>
      </c>
      <c r="H1892" s="30" t="n"/>
      <c r="I1892" s="43" t="n"/>
      <c r="J1892" s="41" t="n"/>
      <c r="K1892" s="41" t="n"/>
      <c r="L1892" s="41" t="n"/>
      <c r="M1892" s="31">
        <f>IF(COUNT(J1892:L1892)=0,"",MEDIAN(J1892:L1892))</f>
        <v/>
      </c>
      <c r="N1892" s="26">
        <f>IF(COUNTIFS($C:$C,$C1892,$D:$D,$D1892,$E:$E,"P0(전)",$M:$M,"&gt;0")&lt;&gt;1,"P0(전) 유효 1개 아님",IF(COUNTIFS($C:$C,$C1892,$D:$D,$D1892,$E:$E,"P0(후)",$M:$M,"&gt;0")&lt;&gt;1,"P0(후) 유효 1개 아님",IF(NOT(AND(ISNUMBER(O1892),ISNUMBER(Q1892),ISNUMBER(I1892))),"시각 결측",IF(Q1892&lt;=O1892,"P0 시각 역전",IF(OR(I1892&lt;O1892,I1892&gt;Q1892),"측정시각 구간 밖","OK")))))</f>
        <v/>
      </c>
      <c r="O1892" s="48">
        <f>IF(COUNTIFS($C:$C,$C1892,$D:$D,$D1892,$E:$E,"P0(전)",$M:$M,"&gt;0")&lt;&gt;1,"",SUMIFS($I:$I,$C:$C,$C1892,$D:$D,$D1892,$E:$E,"P0(전)"))</f>
        <v/>
      </c>
      <c r="P1892" s="31">
        <f>IF(COUNTIFS($C:$C,$C1892,$D:$D,$D1892,$E:$E,"P0(전)",$M:$M,"&gt;0")&lt;&gt;1,"",SUMIFS($M:$M,$C:$C,$C1892,$D:$D,$D1892,$E:$E,"P0(전)"))</f>
        <v/>
      </c>
      <c r="Q1892" s="48">
        <f>IF(COUNTIFS($C:$C,$C1892,$D:$D,$D1892,$E:$E,"P0(후)",$M:$M,"&gt;0")&lt;&gt;1,"",SUMIFS($I:$I,$C:$C,$C1892,$D:$D,$D1892,$E:$E,"P0(후)"))</f>
        <v/>
      </c>
      <c r="R1892" s="31">
        <f>IF(COUNTIFS($C:$C,$C1892,$D:$D,$D1892,$E:$E,"P0(후)",$M:$M,"&gt;0")&lt;&gt;1,"",SUMIFS($M:$M,$C:$C,$C1892,$D:$D,$D1892,$E:$E,"P0(후)"))</f>
        <v/>
      </c>
      <c r="S1892" s="31">
        <f>IF(N1892&lt;&gt;"OK","",P1892+(R1892-P1892)*(I1892-O1892)/(Q1892-O1892))</f>
        <v/>
      </c>
      <c r="T1892" s="31">
        <f>IF(OR(N1892&lt;&gt;"OK",NOT(ISNUMBER(M1892))),"",M1892-S1892)</f>
        <v/>
      </c>
      <c r="U1892" s="49">
        <f>IF(OR(NOT(ISNUMBER(T1892)),IF(ISNUMBER(H1892),H1892,G1892)=0),"",T1892/IF(ISNUMBER(H1892),H1892,G1892))</f>
        <v/>
      </c>
      <c r="V1892" s="49">
        <f>IF(ISNUMBER(U1892),ABS(U1892),"")</f>
        <v/>
      </c>
      <c r="W1892" s="49">
        <f>IF(OR($E1891&lt;&gt;"측정",$C1891&lt;&gt;$C1892,$D1891&lt;&gt;$D1892,NOT(ISNUMBER(M1892)),NOT(ISNUMBER(M1891)),(IF(ISNUMBER(H1892),H1892,G1892)-IF(ISNUMBER(H1891),H1891,G1891))=0),"",(M1892-M1891)/(IF(ISNUMBER(H1892),H1892,G1892)-IF(ISNUMBER(H1891),H1891,G1891)))</f>
        <v/>
      </c>
      <c r="X1892" s="31">
        <f>IF(NOT(AND(ISNUMBER(O1892),ISNUMBER(Q1892))),"",(Q1892-O1892)*1440)</f>
        <v/>
      </c>
      <c r="Y1892" s="29" t="n"/>
      <c r="Z1892" s="29" t="n"/>
      <c r="AA1892" s="29" t="n"/>
      <c r="AB1892" s="32" t="n"/>
      <c r="AC1892" s="32" t="n"/>
    </row>
    <row r="1893">
      <c r="A1893" s="26" t="inlineStr">
        <is>
          <t>S37</t>
        </is>
      </c>
      <c r="B1893" s="26" t="inlineStr">
        <is>
          <t>부안</t>
        </is>
      </c>
      <c r="C1893" s="26" t="inlineStr">
        <is>
          <t>S37-H서</t>
        </is>
      </c>
      <c r="D1893" s="47" t="n">
        <v>1</v>
      </c>
      <c r="E1893" s="26" t="inlineStr">
        <is>
          <t>측정</t>
        </is>
      </c>
      <c r="F1893" s="26" t="inlineStr">
        <is>
          <t>서</t>
        </is>
      </c>
      <c r="G1893" s="31" t="n">
        <v>1</v>
      </c>
      <c r="H1893" s="30" t="n"/>
      <c r="I1893" s="43" t="n"/>
      <c r="J1893" s="41" t="n"/>
      <c r="K1893" s="41" t="n"/>
      <c r="L1893" s="41" t="n"/>
      <c r="M1893" s="31">
        <f>IF(COUNT(J1893:L1893)=0,"",MEDIAN(J1893:L1893))</f>
        <v/>
      </c>
      <c r="N1893" s="26">
        <f>IF(COUNTIFS($C:$C,$C1893,$D:$D,$D1893,$E:$E,"P0(전)",$M:$M,"&gt;0")&lt;&gt;1,"P0(전) 유효 1개 아님",IF(COUNTIFS($C:$C,$C1893,$D:$D,$D1893,$E:$E,"P0(후)",$M:$M,"&gt;0")&lt;&gt;1,"P0(후) 유효 1개 아님",IF(NOT(AND(ISNUMBER(O1893),ISNUMBER(Q1893),ISNUMBER(I1893))),"시각 결측",IF(Q1893&lt;=O1893,"P0 시각 역전",IF(OR(I1893&lt;O1893,I1893&gt;Q1893),"측정시각 구간 밖","OK")))))</f>
        <v/>
      </c>
      <c r="O1893" s="48">
        <f>IF(COUNTIFS($C:$C,$C1893,$D:$D,$D1893,$E:$E,"P0(전)",$M:$M,"&gt;0")&lt;&gt;1,"",SUMIFS($I:$I,$C:$C,$C1893,$D:$D,$D1893,$E:$E,"P0(전)"))</f>
        <v/>
      </c>
      <c r="P1893" s="31">
        <f>IF(COUNTIFS($C:$C,$C1893,$D:$D,$D1893,$E:$E,"P0(전)",$M:$M,"&gt;0")&lt;&gt;1,"",SUMIFS($M:$M,$C:$C,$C1893,$D:$D,$D1893,$E:$E,"P0(전)"))</f>
        <v/>
      </c>
      <c r="Q1893" s="48">
        <f>IF(COUNTIFS($C:$C,$C1893,$D:$D,$D1893,$E:$E,"P0(후)",$M:$M,"&gt;0")&lt;&gt;1,"",SUMIFS($I:$I,$C:$C,$C1893,$D:$D,$D1893,$E:$E,"P0(후)"))</f>
        <v/>
      </c>
      <c r="R1893" s="31">
        <f>IF(COUNTIFS($C:$C,$C1893,$D:$D,$D1893,$E:$E,"P0(후)",$M:$M,"&gt;0")&lt;&gt;1,"",SUMIFS($M:$M,$C:$C,$C1893,$D:$D,$D1893,$E:$E,"P0(후)"))</f>
        <v/>
      </c>
      <c r="S1893" s="31">
        <f>IF(N1893&lt;&gt;"OK","",P1893+(R1893-P1893)*(I1893-O1893)/(Q1893-O1893))</f>
        <v/>
      </c>
      <c r="T1893" s="31">
        <f>IF(OR(N1893&lt;&gt;"OK",NOT(ISNUMBER(M1893))),"",M1893-S1893)</f>
        <v/>
      </c>
      <c r="U1893" s="49">
        <f>IF(OR(NOT(ISNUMBER(T1893)),IF(ISNUMBER(H1893),H1893,G1893)=0),"",T1893/IF(ISNUMBER(H1893),H1893,G1893))</f>
        <v/>
      </c>
      <c r="V1893" s="49">
        <f>IF(ISNUMBER(U1893),ABS(U1893),"")</f>
        <v/>
      </c>
      <c r="W1893" s="49">
        <f>IF(OR($E1892&lt;&gt;"측정",$C1892&lt;&gt;$C1893,$D1892&lt;&gt;$D1893,NOT(ISNUMBER(M1893)),NOT(ISNUMBER(M1892)),(IF(ISNUMBER(H1893),H1893,G1893)-IF(ISNUMBER(H1892),H1892,G1892))=0),"",(M1893-M1892)/(IF(ISNUMBER(H1893),H1893,G1893)-IF(ISNUMBER(H1892),H1892,G1892)))</f>
        <v/>
      </c>
      <c r="X1893" s="31">
        <f>IF(NOT(AND(ISNUMBER(O1893),ISNUMBER(Q1893))),"",(Q1893-O1893)*1440)</f>
        <v/>
      </c>
      <c r="Y1893" s="29" t="n"/>
      <c r="Z1893" s="29" t="n"/>
      <c r="AA1893" s="29" t="n"/>
      <c r="AB1893" s="32" t="n"/>
      <c r="AC1893" s="32" t="n"/>
    </row>
    <row r="1894">
      <c r="A1894" s="26" t="inlineStr">
        <is>
          <t>S37</t>
        </is>
      </c>
      <c r="B1894" s="26" t="inlineStr">
        <is>
          <t>부안</t>
        </is>
      </c>
      <c r="C1894" s="26" t="inlineStr">
        <is>
          <t>S37-H서</t>
        </is>
      </c>
      <c r="D1894" s="47" t="n">
        <v>1</v>
      </c>
      <c r="E1894" s="26" t="inlineStr">
        <is>
          <t>측정</t>
        </is>
      </c>
      <c r="F1894" s="26" t="inlineStr">
        <is>
          <t>서</t>
        </is>
      </c>
      <c r="G1894" s="31" t="n">
        <v>2</v>
      </c>
      <c r="H1894" s="30" t="n"/>
      <c r="I1894" s="43" t="n"/>
      <c r="J1894" s="41" t="n"/>
      <c r="K1894" s="41" t="n"/>
      <c r="L1894" s="41" t="n"/>
      <c r="M1894" s="31">
        <f>IF(COUNT(J1894:L1894)=0,"",MEDIAN(J1894:L1894))</f>
        <v/>
      </c>
      <c r="N1894" s="26">
        <f>IF(COUNTIFS($C:$C,$C1894,$D:$D,$D1894,$E:$E,"P0(전)",$M:$M,"&gt;0")&lt;&gt;1,"P0(전) 유효 1개 아님",IF(COUNTIFS($C:$C,$C1894,$D:$D,$D1894,$E:$E,"P0(후)",$M:$M,"&gt;0")&lt;&gt;1,"P0(후) 유효 1개 아님",IF(NOT(AND(ISNUMBER(O1894),ISNUMBER(Q1894),ISNUMBER(I1894))),"시각 결측",IF(Q1894&lt;=O1894,"P0 시각 역전",IF(OR(I1894&lt;O1894,I1894&gt;Q1894),"측정시각 구간 밖","OK")))))</f>
        <v/>
      </c>
      <c r="O1894" s="48">
        <f>IF(COUNTIFS($C:$C,$C1894,$D:$D,$D1894,$E:$E,"P0(전)",$M:$M,"&gt;0")&lt;&gt;1,"",SUMIFS($I:$I,$C:$C,$C1894,$D:$D,$D1894,$E:$E,"P0(전)"))</f>
        <v/>
      </c>
      <c r="P1894" s="31">
        <f>IF(COUNTIFS($C:$C,$C1894,$D:$D,$D1894,$E:$E,"P0(전)",$M:$M,"&gt;0")&lt;&gt;1,"",SUMIFS($M:$M,$C:$C,$C1894,$D:$D,$D1894,$E:$E,"P0(전)"))</f>
        <v/>
      </c>
      <c r="Q1894" s="48">
        <f>IF(COUNTIFS($C:$C,$C1894,$D:$D,$D1894,$E:$E,"P0(후)",$M:$M,"&gt;0")&lt;&gt;1,"",SUMIFS($I:$I,$C:$C,$C1894,$D:$D,$D1894,$E:$E,"P0(후)"))</f>
        <v/>
      </c>
      <c r="R1894" s="31">
        <f>IF(COUNTIFS($C:$C,$C1894,$D:$D,$D1894,$E:$E,"P0(후)",$M:$M,"&gt;0")&lt;&gt;1,"",SUMIFS($M:$M,$C:$C,$C1894,$D:$D,$D1894,$E:$E,"P0(후)"))</f>
        <v/>
      </c>
      <c r="S1894" s="31">
        <f>IF(N1894&lt;&gt;"OK","",P1894+(R1894-P1894)*(I1894-O1894)/(Q1894-O1894))</f>
        <v/>
      </c>
      <c r="T1894" s="31">
        <f>IF(OR(N1894&lt;&gt;"OK",NOT(ISNUMBER(M1894))),"",M1894-S1894)</f>
        <v/>
      </c>
      <c r="U1894" s="49">
        <f>IF(OR(NOT(ISNUMBER(T1894)),IF(ISNUMBER(H1894),H1894,G1894)=0),"",T1894/IF(ISNUMBER(H1894),H1894,G1894))</f>
        <v/>
      </c>
      <c r="V1894" s="49">
        <f>IF(ISNUMBER(U1894),ABS(U1894),"")</f>
        <v/>
      </c>
      <c r="W1894" s="49">
        <f>IF(OR($E1893&lt;&gt;"측정",$C1893&lt;&gt;$C1894,$D1893&lt;&gt;$D1894,NOT(ISNUMBER(M1894)),NOT(ISNUMBER(M1893)),(IF(ISNUMBER(H1894),H1894,G1894)-IF(ISNUMBER(H1893),H1893,G1893))=0),"",(M1894-M1893)/(IF(ISNUMBER(H1894),H1894,G1894)-IF(ISNUMBER(H1893),H1893,G1893)))</f>
        <v/>
      </c>
      <c r="X1894" s="31">
        <f>IF(NOT(AND(ISNUMBER(O1894),ISNUMBER(Q1894))),"",(Q1894-O1894)*1440)</f>
        <v/>
      </c>
      <c r="Y1894" s="29" t="n"/>
      <c r="Z1894" s="29" t="n"/>
      <c r="AA1894" s="29" t="n"/>
      <c r="AB1894" s="32" t="n"/>
      <c r="AC1894" s="32" t="n"/>
    </row>
    <row r="1895">
      <c r="A1895" s="26" t="inlineStr">
        <is>
          <t>S37</t>
        </is>
      </c>
      <c r="B1895" s="26" t="inlineStr">
        <is>
          <t>부안</t>
        </is>
      </c>
      <c r="C1895" s="26" t="inlineStr">
        <is>
          <t>S37-H서</t>
        </is>
      </c>
      <c r="D1895" s="47" t="n">
        <v>1</v>
      </c>
      <c r="E1895" s="26" t="inlineStr">
        <is>
          <t>측정</t>
        </is>
      </c>
      <c r="F1895" s="26" t="inlineStr">
        <is>
          <t>서</t>
        </is>
      </c>
      <c r="G1895" s="31" t="n">
        <v>3</v>
      </c>
      <c r="H1895" s="30" t="n"/>
      <c r="I1895" s="43" t="n"/>
      <c r="J1895" s="41" t="n"/>
      <c r="K1895" s="41" t="n"/>
      <c r="L1895" s="41" t="n"/>
      <c r="M1895" s="31">
        <f>IF(COUNT(J1895:L1895)=0,"",MEDIAN(J1895:L1895))</f>
        <v/>
      </c>
      <c r="N1895" s="26">
        <f>IF(COUNTIFS($C:$C,$C1895,$D:$D,$D1895,$E:$E,"P0(전)",$M:$M,"&gt;0")&lt;&gt;1,"P0(전) 유효 1개 아님",IF(COUNTIFS($C:$C,$C1895,$D:$D,$D1895,$E:$E,"P0(후)",$M:$M,"&gt;0")&lt;&gt;1,"P0(후) 유효 1개 아님",IF(NOT(AND(ISNUMBER(O1895),ISNUMBER(Q1895),ISNUMBER(I1895))),"시각 결측",IF(Q1895&lt;=O1895,"P0 시각 역전",IF(OR(I1895&lt;O1895,I1895&gt;Q1895),"측정시각 구간 밖","OK")))))</f>
        <v/>
      </c>
      <c r="O1895" s="48">
        <f>IF(COUNTIFS($C:$C,$C1895,$D:$D,$D1895,$E:$E,"P0(전)",$M:$M,"&gt;0")&lt;&gt;1,"",SUMIFS($I:$I,$C:$C,$C1895,$D:$D,$D1895,$E:$E,"P0(전)"))</f>
        <v/>
      </c>
      <c r="P1895" s="31">
        <f>IF(COUNTIFS($C:$C,$C1895,$D:$D,$D1895,$E:$E,"P0(전)",$M:$M,"&gt;0")&lt;&gt;1,"",SUMIFS($M:$M,$C:$C,$C1895,$D:$D,$D1895,$E:$E,"P0(전)"))</f>
        <v/>
      </c>
      <c r="Q1895" s="48">
        <f>IF(COUNTIFS($C:$C,$C1895,$D:$D,$D1895,$E:$E,"P0(후)",$M:$M,"&gt;0")&lt;&gt;1,"",SUMIFS($I:$I,$C:$C,$C1895,$D:$D,$D1895,$E:$E,"P0(후)"))</f>
        <v/>
      </c>
      <c r="R1895" s="31">
        <f>IF(COUNTIFS($C:$C,$C1895,$D:$D,$D1895,$E:$E,"P0(후)",$M:$M,"&gt;0")&lt;&gt;1,"",SUMIFS($M:$M,$C:$C,$C1895,$D:$D,$D1895,$E:$E,"P0(후)"))</f>
        <v/>
      </c>
      <c r="S1895" s="31">
        <f>IF(N1895&lt;&gt;"OK","",P1895+(R1895-P1895)*(I1895-O1895)/(Q1895-O1895))</f>
        <v/>
      </c>
      <c r="T1895" s="31">
        <f>IF(OR(N1895&lt;&gt;"OK",NOT(ISNUMBER(M1895))),"",M1895-S1895)</f>
        <v/>
      </c>
      <c r="U1895" s="49">
        <f>IF(OR(NOT(ISNUMBER(T1895)),IF(ISNUMBER(H1895),H1895,G1895)=0),"",T1895/IF(ISNUMBER(H1895),H1895,G1895))</f>
        <v/>
      </c>
      <c r="V1895" s="49">
        <f>IF(ISNUMBER(U1895),ABS(U1895),"")</f>
        <v/>
      </c>
      <c r="W1895" s="49">
        <f>IF(OR($E1894&lt;&gt;"측정",$C1894&lt;&gt;$C1895,$D1894&lt;&gt;$D1895,NOT(ISNUMBER(M1895)),NOT(ISNUMBER(M1894)),(IF(ISNUMBER(H1895),H1895,G1895)-IF(ISNUMBER(H1894),H1894,G1894))=0),"",(M1895-M1894)/(IF(ISNUMBER(H1895),H1895,G1895)-IF(ISNUMBER(H1894),H1894,G1894)))</f>
        <v/>
      </c>
      <c r="X1895" s="31">
        <f>IF(NOT(AND(ISNUMBER(O1895),ISNUMBER(Q1895))),"",(Q1895-O1895)*1440)</f>
        <v/>
      </c>
      <c r="Y1895" s="29" t="n"/>
      <c r="Z1895" s="29" t="n"/>
      <c r="AA1895" s="29" t="n"/>
      <c r="AB1895" s="32" t="n"/>
      <c r="AC1895" s="32" t="n"/>
    </row>
    <row r="1896">
      <c r="A1896" s="26" t="inlineStr">
        <is>
          <t>S37</t>
        </is>
      </c>
      <c r="B1896" s="26" t="inlineStr">
        <is>
          <t>부안</t>
        </is>
      </c>
      <c r="C1896" s="26" t="inlineStr">
        <is>
          <t>S37-H서</t>
        </is>
      </c>
      <c r="D1896" s="47" t="n">
        <v>1</v>
      </c>
      <c r="E1896" s="26" t="inlineStr">
        <is>
          <t>측정</t>
        </is>
      </c>
      <c r="F1896" s="26" t="inlineStr">
        <is>
          <t>서</t>
        </is>
      </c>
      <c r="G1896" s="31" t="n">
        <v>4</v>
      </c>
      <c r="H1896" s="30" t="n"/>
      <c r="I1896" s="43" t="n"/>
      <c r="J1896" s="41" t="n"/>
      <c r="K1896" s="41" t="n"/>
      <c r="L1896" s="41" t="n"/>
      <c r="M1896" s="31">
        <f>IF(COUNT(J1896:L1896)=0,"",MEDIAN(J1896:L1896))</f>
        <v/>
      </c>
      <c r="N1896" s="26">
        <f>IF(COUNTIFS($C:$C,$C1896,$D:$D,$D1896,$E:$E,"P0(전)",$M:$M,"&gt;0")&lt;&gt;1,"P0(전) 유효 1개 아님",IF(COUNTIFS($C:$C,$C1896,$D:$D,$D1896,$E:$E,"P0(후)",$M:$M,"&gt;0")&lt;&gt;1,"P0(후) 유효 1개 아님",IF(NOT(AND(ISNUMBER(O1896),ISNUMBER(Q1896),ISNUMBER(I1896))),"시각 결측",IF(Q1896&lt;=O1896,"P0 시각 역전",IF(OR(I1896&lt;O1896,I1896&gt;Q1896),"측정시각 구간 밖","OK")))))</f>
        <v/>
      </c>
      <c r="O1896" s="48">
        <f>IF(COUNTIFS($C:$C,$C1896,$D:$D,$D1896,$E:$E,"P0(전)",$M:$M,"&gt;0")&lt;&gt;1,"",SUMIFS($I:$I,$C:$C,$C1896,$D:$D,$D1896,$E:$E,"P0(전)"))</f>
        <v/>
      </c>
      <c r="P1896" s="31">
        <f>IF(COUNTIFS($C:$C,$C1896,$D:$D,$D1896,$E:$E,"P0(전)",$M:$M,"&gt;0")&lt;&gt;1,"",SUMIFS($M:$M,$C:$C,$C1896,$D:$D,$D1896,$E:$E,"P0(전)"))</f>
        <v/>
      </c>
      <c r="Q1896" s="48">
        <f>IF(COUNTIFS($C:$C,$C1896,$D:$D,$D1896,$E:$E,"P0(후)",$M:$M,"&gt;0")&lt;&gt;1,"",SUMIFS($I:$I,$C:$C,$C1896,$D:$D,$D1896,$E:$E,"P0(후)"))</f>
        <v/>
      </c>
      <c r="R1896" s="31">
        <f>IF(COUNTIFS($C:$C,$C1896,$D:$D,$D1896,$E:$E,"P0(후)",$M:$M,"&gt;0")&lt;&gt;1,"",SUMIFS($M:$M,$C:$C,$C1896,$D:$D,$D1896,$E:$E,"P0(후)"))</f>
        <v/>
      </c>
      <c r="S1896" s="31">
        <f>IF(N1896&lt;&gt;"OK","",P1896+(R1896-P1896)*(I1896-O1896)/(Q1896-O1896))</f>
        <v/>
      </c>
      <c r="T1896" s="31">
        <f>IF(OR(N1896&lt;&gt;"OK",NOT(ISNUMBER(M1896))),"",M1896-S1896)</f>
        <v/>
      </c>
      <c r="U1896" s="49">
        <f>IF(OR(NOT(ISNUMBER(T1896)),IF(ISNUMBER(H1896),H1896,G1896)=0),"",T1896/IF(ISNUMBER(H1896),H1896,G1896))</f>
        <v/>
      </c>
      <c r="V1896" s="49">
        <f>IF(ISNUMBER(U1896),ABS(U1896),"")</f>
        <v/>
      </c>
      <c r="W1896" s="49">
        <f>IF(OR($E1895&lt;&gt;"측정",$C1895&lt;&gt;$C1896,$D1895&lt;&gt;$D1896,NOT(ISNUMBER(M1896)),NOT(ISNUMBER(M1895)),(IF(ISNUMBER(H1896),H1896,G1896)-IF(ISNUMBER(H1895),H1895,G1895))=0),"",(M1896-M1895)/(IF(ISNUMBER(H1896),H1896,G1896)-IF(ISNUMBER(H1895),H1895,G1895)))</f>
        <v/>
      </c>
      <c r="X1896" s="31">
        <f>IF(NOT(AND(ISNUMBER(O1896),ISNUMBER(Q1896))),"",(Q1896-O1896)*1440)</f>
        <v/>
      </c>
      <c r="Y1896" s="29" t="n"/>
      <c r="Z1896" s="29" t="n"/>
      <c r="AA1896" s="29" t="n"/>
      <c r="AB1896" s="32" t="n"/>
      <c r="AC1896" s="32" t="n"/>
    </row>
    <row r="1897">
      <c r="A1897" s="26" t="inlineStr">
        <is>
          <t>S37</t>
        </is>
      </c>
      <c r="B1897" s="26" t="inlineStr">
        <is>
          <t>부안</t>
        </is>
      </c>
      <c r="C1897" s="26" t="inlineStr">
        <is>
          <t>S37-H서</t>
        </is>
      </c>
      <c r="D1897" s="47" t="n">
        <v>1</v>
      </c>
      <c r="E1897" s="26" t="inlineStr">
        <is>
          <t>측정</t>
        </is>
      </c>
      <c r="F1897" s="26" t="inlineStr">
        <is>
          <t>서</t>
        </is>
      </c>
      <c r="G1897" s="31" t="n">
        <v>5</v>
      </c>
      <c r="H1897" s="30" t="n"/>
      <c r="I1897" s="43" t="n"/>
      <c r="J1897" s="41" t="n"/>
      <c r="K1897" s="41" t="n"/>
      <c r="L1897" s="41" t="n"/>
      <c r="M1897" s="31">
        <f>IF(COUNT(J1897:L1897)=0,"",MEDIAN(J1897:L1897))</f>
        <v/>
      </c>
      <c r="N1897" s="26">
        <f>IF(COUNTIFS($C:$C,$C1897,$D:$D,$D1897,$E:$E,"P0(전)",$M:$M,"&gt;0")&lt;&gt;1,"P0(전) 유효 1개 아님",IF(COUNTIFS($C:$C,$C1897,$D:$D,$D1897,$E:$E,"P0(후)",$M:$M,"&gt;0")&lt;&gt;1,"P0(후) 유효 1개 아님",IF(NOT(AND(ISNUMBER(O1897),ISNUMBER(Q1897),ISNUMBER(I1897))),"시각 결측",IF(Q1897&lt;=O1897,"P0 시각 역전",IF(OR(I1897&lt;O1897,I1897&gt;Q1897),"측정시각 구간 밖","OK")))))</f>
        <v/>
      </c>
      <c r="O1897" s="48">
        <f>IF(COUNTIFS($C:$C,$C1897,$D:$D,$D1897,$E:$E,"P0(전)",$M:$M,"&gt;0")&lt;&gt;1,"",SUMIFS($I:$I,$C:$C,$C1897,$D:$D,$D1897,$E:$E,"P0(전)"))</f>
        <v/>
      </c>
      <c r="P1897" s="31">
        <f>IF(COUNTIFS($C:$C,$C1897,$D:$D,$D1897,$E:$E,"P0(전)",$M:$M,"&gt;0")&lt;&gt;1,"",SUMIFS($M:$M,$C:$C,$C1897,$D:$D,$D1897,$E:$E,"P0(전)"))</f>
        <v/>
      </c>
      <c r="Q1897" s="48">
        <f>IF(COUNTIFS($C:$C,$C1897,$D:$D,$D1897,$E:$E,"P0(후)",$M:$M,"&gt;0")&lt;&gt;1,"",SUMIFS($I:$I,$C:$C,$C1897,$D:$D,$D1897,$E:$E,"P0(후)"))</f>
        <v/>
      </c>
      <c r="R1897" s="31">
        <f>IF(COUNTIFS($C:$C,$C1897,$D:$D,$D1897,$E:$E,"P0(후)",$M:$M,"&gt;0")&lt;&gt;1,"",SUMIFS($M:$M,$C:$C,$C1897,$D:$D,$D1897,$E:$E,"P0(후)"))</f>
        <v/>
      </c>
      <c r="S1897" s="31">
        <f>IF(N1897&lt;&gt;"OK","",P1897+(R1897-P1897)*(I1897-O1897)/(Q1897-O1897))</f>
        <v/>
      </c>
      <c r="T1897" s="31">
        <f>IF(OR(N1897&lt;&gt;"OK",NOT(ISNUMBER(M1897))),"",M1897-S1897)</f>
        <v/>
      </c>
      <c r="U1897" s="49">
        <f>IF(OR(NOT(ISNUMBER(T1897)),IF(ISNUMBER(H1897),H1897,G1897)=0),"",T1897/IF(ISNUMBER(H1897),H1897,G1897))</f>
        <v/>
      </c>
      <c r="V1897" s="49">
        <f>IF(ISNUMBER(U1897),ABS(U1897),"")</f>
        <v/>
      </c>
      <c r="W1897" s="49">
        <f>IF(OR($E1896&lt;&gt;"측정",$C1896&lt;&gt;$C1897,$D1896&lt;&gt;$D1897,NOT(ISNUMBER(M1897)),NOT(ISNUMBER(M1896)),(IF(ISNUMBER(H1897),H1897,G1897)-IF(ISNUMBER(H1896),H1896,G1896))=0),"",(M1897-M1896)/(IF(ISNUMBER(H1897),H1897,G1897)-IF(ISNUMBER(H1896),H1896,G1896)))</f>
        <v/>
      </c>
      <c r="X1897" s="31">
        <f>IF(NOT(AND(ISNUMBER(O1897),ISNUMBER(Q1897))),"",(Q1897-O1897)*1440)</f>
        <v/>
      </c>
      <c r="Y1897" s="29" t="n"/>
      <c r="Z1897" s="29" t="n"/>
      <c r="AA1897" s="29" t="n"/>
      <c r="AB1897" s="32" t="n"/>
      <c r="AC1897" s="32" t="n"/>
    </row>
    <row r="1898">
      <c r="A1898" s="26" t="inlineStr">
        <is>
          <t>S37</t>
        </is>
      </c>
      <c r="B1898" s="26" t="inlineStr">
        <is>
          <t>부안</t>
        </is>
      </c>
      <c r="C1898" s="26" t="inlineStr">
        <is>
          <t>S37-H서</t>
        </is>
      </c>
      <c r="D1898" s="47" t="n">
        <v>1</v>
      </c>
      <c r="E1898" s="26" t="inlineStr">
        <is>
          <t>측정</t>
        </is>
      </c>
      <c r="F1898" s="26" t="inlineStr">
        <is>
          <t>서</t>
        </is>
      </c>
      <c r="G1898" s="31" t="n">
        <v>6</v>
      </c>
      <c r="H1898" s="30" t="n"/>
      <c r="I1898" s="43" t="n"/>
      <c r="J1898" s="41" t="n"/>
      <c r="K1898" s="41" t="n"/>
      <c r="L1898" s="41" t="n"/>
      <c r="M1898" s="31">
        <f>IF(COUNT(J1898:L1898)=0,"",MEDIAN(J1898:L1898))</f>
        <v/>
      </c>
      <c r="N1898" s="26">
        <f>IF(COUNTIFS($C:$C,$C1898,$D:$D,$D1898,$E:$E,"P0(전)",$M:$M,"&gt;0")&lt;&gt;1,"P0(전) 유효 1개 아님",IF(COUNTIFS($C:$C,$C1898,$D:$D,$D1898,$E:$E,"P0(후)",$M:$M,"&gt;0")&lt;&gt;1,"P0(후) 유효 1개 아님",IF(NOT(AND(ISNUMBER(O1898),ISNUMBER(Q1898),ISNUMBER(I1898))),"시각 결측",IF(Q1898&lt;=O1898,"P0 시각 역전",IF(OR(I1898&lt;O1898,I1898&gt;Q1898),"측정시각 구간 밖","OK")))))</f>
        <v/>
      </c>
      <c r="O1898" s="48">
        <f>IF(COUNTIFS($C:$C,$C1898,$D:$D,$D1898,$E:$E,"P0(전)",$M:$M,"&gt;0")&lt;&gt;1,"",SUMIFS($I:$I,$C:$C,$C1898,$D:$D,$D1898,$E:$E,"P0(전)"))</f>
        <v/>
      </c>
      <c r="P1898" s="31">
        <f>IF(COUNTIFS($C:$C,$C1898,$D:$D,$D1898,$E:$E,"P0(전)",$M:$M,"&gt;0")&lt;&gt;1,"",SUMIFS($M:$M,$C:$C,$C1898,$D:$D,$D1898,$E:$E,"P0(전)"))</f>
        <v/>
      </c>
      <c r="Q1898" s="48">
        <f>IF(COUNTIFS($C:$C,$C1898,$D:$D,$D1898,$E:$E,"P0(후)",$M:$M,"&gt;0")&lt;&gt;1,"",SUMIFS($I:$I,$C:$C,$C1898,$D:$D,$D1898,$E:$E,"P0(후)"))</f>
        <v/>
      </c>
      <c r="R1898" s="31">
        <f>IF(COUNTIFS($C:$C,$C1898,$D:$D,$D1898,$E:$E,"P0(후)",$M:$M,"&gt;0")&lt;&gt;1,"",SUMIFS($M:$M,$C:$C,$C1898,$D:$D,$D1898,$E:$E,"P0(후)"))</f>
        <v/>
      </c>
      <c r="S1898" s="31">
        <f>IF(N1898&lt;&gt;"OK","",P1898+(R1898-P1898)*(I1898-O1898)/(Q1898-O1898))</f>
        <v/>
      </c>
      <c r="T1898" s="31">
        <f>IF(OR(N1898&lt;&gt;"OK",NOT(ISNUMBER(M1898))),"",M1898-S1898)</f>
        <v/>
      </c>
      <c r="U1898" s="49">
        <f>IF(OR(NOT(ISNUMBER(T1898)),IF(ISNUMBER(H1898),H1898,G1898)=0),"",T1898/IF(ISNUMBER(H1898),H1898,G1898))</f>
        <v/>
      </c>
      <c r="V1898" s="49">
        <f>IF(ISNUMBER(U1898),ABS(U1898),"")</f>
        <v/>
      </c>
      <c r="W1898" s="49">
        <f>IF(OR($E1897&lt;&gt;"측정",$C1897&lt;&gt;$C1898,$D1897&lt;&gt;$D1898,NOT(ISNUMBER(M1898)),NOT(ISNUMBER(M1897)),(IF(ISNUMBER(H1898),H1898,G1898)-IF(ISNUMBER(H1897),H1897,G1897))=0),"",(M1898-M1897)/(IF(ISNUMBER(H1898),H1898,G1898)-IF(ISNUMBER(H1897),H1897,G1897)))</f>
        <v/>
      </c>
      <c r="X1898" s="31">
        <f>IF(NOT(AND(ISNUMBER(O1898),ISNUMBER(Q1898))),"",(Q1898-O1898)*1440)</f>
        <v/>
      </c>
      <c r="Y1898" s="29" t="n"/>
      <c r="Z1898" s="29" t="n"/>
      <c r="AA1898" s="29" t="n"/>
      <c r="AB1898" s="32" t="n"/>
      <c r="AC1898" s="32" t="n"/>
    </row>
    <row r="1899">
      <c r="A1899" s="26" t="inlineStr">
        <is>
          <t>S37</t>
        </is>
      </c>
      <c r="B1899" s="26" t="inlineStr">
        <is>
          <t>부안</t>
        </is>
      </c>
      <c r="C1899" s="26" t="inlineStr">
        <is>
          <t>S37-H서</t>
        </is>
      </c>
      <c r="D1899" s="47" t="n">
        <v>1</v>
      </c>
      <c r="E1899" s="26" t="inlineStr">
        <is>
          <t>측정</t>
        </is>
      </c>
      <c r="F1899" s="26" t="inlineStr">
        <is>
          <t>서</t>
        </is>
      </c>
      <c r="G1899" s="31" t="n">
        <v>7</v>
      </c>
      <c r="H1899" s="30" t="n"/>
      <c r="I1899" s="43" t="n"/>
      <c r="J1899" s="41" t="n"/>
      <c r="K1899" s="41" t="n"/>
      <c r="L1899" s="41" t="n"/>
      <c r="M1899" s="31">
        <f>IF(COUNT(J1899:L1899)=0,"",MEDIAN(J1899:L1899))</f>
        <v/>
      </c>
      <c r="N1899" s="26">
        <f>IF(COUNTIFS($C:$C,$C1899,$D:$D,$D1899,$E:$E,"P0(전)",$M:$M,"&gt;0")&lt;&gt;1,"P0(전) 유효 1개 아님",IF(COUNTIFS($C:$C,$C1899,$D:$D,$D1899,$E:$E,"P0(후)",$M:$M,"&gt;0")&lt;&gt;1,"P0(후) 유효 1개 아님",IF(NOT(AND(ISNUMBER(O1899),ISNUMBER(Q1899),ISNUMBER(I1899))),"시각 결측",IF(Q1899&lt;=O1899,"P0 시각 역전",IF(OR(I1899&lt;O1899,I1899&gt;Q1899),"측정시각 구간 밖","OK")))))</f>
        <v/>
      </c>
      <c r="O1899" s="48">
        <f>IF(COUNTIFS($C:$C,$C1899,$D:$D,$D1899,$E:$E,"P0(전)",$M:$M,"&gt;0")&lt;&gt;1,"",SUMIFS($I:$I,$C:$C,$C1899,$D:$D,$D1899,$E:$E,"P0(전)"))</f>
        <v/>
      </c>
      <c r="P1899" s="31">
        <f>IF(COUNTIFS($C:$C,$C1899,$D:$D,$D1899,$E:$E,"P0(전)",$M:$M,"&gt;0")&lt;&gt;1,"",SUMIFS($M:$M,$C:$C,$C1899,$D:$D,$D1899,$E:$E,"P0(전)"))</f>
        <v/>
      </c>
      <c r="Q1899" s="48">
        <f>IF(COUNTIFS($C:$C,$C1899,$D:$D,$D1899,$E:$E,"P0(후)",$M:$M,"&gt;0")&lt;&gt;1,"",SUMIFS($I:$I,$C:$C,$C1899,$D:$D,$D1899,$E:$E,"P0(후)"))</f>
        <v/>
      </c>
      <c r="R1899" s="31">
        <f>IF(COUNTIFS($C:$C,$C1899,$D:$D,$D1899,$E:$E,"P0(후)",$M:$M,"&gt;0")&lt;&gt;1,"",SUMIFS($M:$M,$C:$C,$C1899,$D:$D,$D1899,$E:$E,"P0(후)"))</f>
        <v/>
      </c>
      <c r="S1899" s="31">
        <f>IF(N1899&lt;&gt;"OK","",P1899+(R1899-P1899)*(I1899-O1899)/(Q1899-O1899))</f>
        <v/>
      </c>
      <c r="T1899" s="31">
        <f>IF(OR(N1899&lt;&gt;"OK",NOT(ISNUMBER(M1899))),"",M1899-S1899)</f>
        <v/>
      </c>
      <c r="U1899" s="49">
        <f>IF(OR(NOT(ISNUMBER(T1899)),IF(ISNUMBER(H1899),H1899,G1899)=0),"",T1899/IF(ISNUMBER(H1899),H1899,G1899))</f>
        <v/>
      </c>
      <c r="V1899" s="49">
        <f>IF(ISNUMBER(U1899),ABS(U1899),"")</f>
        <v/>
      </c>
      <c r="W1899" s="49">
        <f>IF(OR($E1898&lt;&gt;"측정",$C1898&lt;&gt;$C1899,$D1898&lt;&gt;$D1899,NOT(ISNUMBER(M1899)),NOT(ISNUMBER(M1898)),(IF(ISNUMBER(H1899),H1899,G1899)-IF(ISNUMBER(H1898),H1898,G1898))=0),"",(M1899-M1898)/(IF(ISNUMBER(H1899),H1899,G1899)-IF(ISNUMBER(H1898),H1898,G1898)))</f>
        <v/>
      </c>
      <c r="X1899" s="31">
        <f>IF(NOT(AND(ISNUMBER(O1899),ISNUMBER(Q1899))),"",(Q1899-O1899)*1440)</f>
        <v/>
      </c>
      <c r="Y1899" s="29" t="n"/>
      <c r="Z1899" s="29" t="n"/>
      <c r="AA1899" s="29" t="n"/>
      <c r="AB1899" s="32" t="n"/>
      <c r="AC1899" s="32" t="n"/>
    </row>
    <row r="1900">
      <c r="A1900" s="26" t="inlineStr">
        <is>
          <t>S37</t>
        </is>
      </c>
      <c r="B1900" s="26" t="inlineStr">
        <is>
          <t>부안</t>
        </is>
      </c>
      <c r="C1900" s="26" t="inlineStr">
        <is>
          <t>S37-H서</t>
        </is>
      </c>
      <c r="D1900" s="47" t="n">
        <v>1</v>
      </c>
      <c r="E1900" s="26" t="inlineStr">
        <is>
          <t>측정</t>
        </is>
      </c>
      <c r="F1900" s="26" t="inlineStr">
        <is>
          <t>서</t>
        </is>
      </c>
      <c r="G1900" s="31" t="n">
        <v>8</v>
      </c>
      <c r="H1900" s="30" t="n"/>
      <c r="I1900" s="43" t="n"/>
      <c r="J1900" s="41" t="n"/>
      <c r="K1900" s="41" t="n"/>
      <c r="L1900" s="41" t="n"/>
      <c r="M1900" s="31">
        <f>IF(COUNT(J1900:L1900)=0,"",MEDIAN(J1900:L1900))</f>
        <v/>
      </c>
      <c r="N1900" s="26">
        <f>IF(COUNTIFS($C:$C,$C1900,$D:$D,$D1900,$E:$E,"P0(전)",$M:$M,"&gt;0")&lt;&gt;1,"P0(전) 유효 1개 아님",IF(COUNTIFS($C:$C,$C1900,$D:$D,$D1900,$E:$E,"P0(후)",$M:$M,"&gt;0")&lt;&gt;1,"P0(후) 유효 1개 아님",IF(NOT(AND(ISNUMBER(O1900),ISNUMBER(Q1900),ISNUMBER(I1900))),"시각 결측",IF(Q1900&lt;=O1900,"P0 시각 역전",IF(OR(I1900&lt;O1900,I1900&gt;Q1900),"측정시각 구간 밖","OK")))))</f>
        <v/>
      </c>
      <c r="O1900" s="48">
        <f>IF(COUNTIFS($C:$C,$C1900,$D:$D,$D1900,$E:$E,"P0(전)",$M:$M,"&gt;0")&lt;&gt;1,"",SUMIFS($I:$I,$C:$C,$C1900,$D:$D,$D1900,$E:$E,"P0(전)"))</f>
        <v/>
      </c>
      <c r="P1900" s="31">
        <f>IF(COUNTIFS($C:$C,$C1900,$D:$D,$D1900,$E:$E,"P0(전)",$M:$M,"&gt;0")&lt;&gt;1,"",SUMIFS($M:$M,$C:$C,$C1900,$D:$D,$D1900,$E:$E,"P0(전)"))</f>
        <v/>
      </c>
      <c r="Q1900" s="48">
        <f>IF(COUNTIFS($C:$C,$C1900,$D:$D,$D1900,$E:$E,"P0(후)",$M:$M,"&gt;0")&lt;&gt;1,"",SUMIFS($I:$I,$C:$C,$C1900,$D:$D,$D1900,$E:$E,"P0(후)"))</f>
        <v/>
      </c>
      <c r="R1900" s="31">
        <f>IF(COUNTIFS($C:$C,$C1900,$D:$D,$D1900,$E:$E,"P0(후)",$M:$M,"&gt;0")&lt;&gt;1,"",SUMIFS($M:$M,$C:$C,$C1900,$D:$D,$D1900,$E:$E,"P0(후)"))</f>
        <v/>
      </c>
      <c r="S1900" s="31">
        <f>IF(N1900&lt;&gt;"OK","",P1900+(R1900-P1900)*(I1900-O1900)/(Q1900-O1900))</f>
        <v/>
      </c>
      <c r="T1900" s="31">
        <f>IF(OR(N1900&lt;&gt;"OK",NOT(ISNUMBER(M1900))),"",M1900-S1900)</f>
        <v/>
      </c>
      <c r="U1900" s="49">
        <f>IF(OR(NOT(ISNUMBER(T1900)),IF(ISNUMBER(H1900),H1900,G1900)=0),"",T1900/IF(ISNUMBER(H1900),H1900,G1900))</f>
        <v/>
      </c>
      <c r="V1900" s="49">
        <f>IF(ISNUMBER(U1900),ABS(U1900),"")</f>
        <v/>
      </c>
      <c r="W1900" s="49">
        <f>IF(OR($E1899&lt;&gt;"측정",$C1899&lt;&gt;$C1900,$D1899&lt;&gt;$D1900,NOT(ISNUMBER(M1900)),NOT(ISNUMBER(M1899)),(IF(ISNUMBER(H1900),H1900,G1900)-IF(ISNUMBER(H1899),H1899,G1899))=0),"",(M1900-M1899)/(IF(ISNUMBER(H1900),H1900,G1900)-IF(ISNUMBER(H1899),H1899,G1899)))</f>
        <v/>
      </c>
      <c r="X1900" s="31">
        <f>IF(NOT(AND(ISNUMBER(O1900),ISNUMBER(Q1900))),"",(Q1900-O1900)*1440)</f>
        <v/>
      </c>
      <c r="Y1900" s="29" t="n"/>
      <c r="Z1900" s="29" t="n"/>
      <c r="AA1900" s="29" t="n"/>
      <c r="AB1900" s="32" t="n"/>
      <c r="AC1900" s="32" t="n"/>
    </row>
    <row r="1901">
      <c r="A1901" s="26" t="inlineStr">
        <is>
          <t>S37</t>
        </is>
      </c>
      <c r="B1901" s="26" t="inlineStr">
        <is>
          <t>부안</t>
        </is>
      </c>
      <c r="C1901" s="26" t="inlineStr">
        <is>
          <t>S37-H서</t>
        </is>
      </c>
      <c r="D1901" s="47" t="n">
        <v>1</v>
      </c>
      <c r="E1901" s="26" t="inlineStr">
        <is>
          <t>측정</t>
        </is>
      </c>
      <c r="F1901" s="26" t="inlineStr">
        <is>
          <t>서</t>
        </is>
      </c>
      <c r="G1901" s="31" t="n">
        <v>9</v>
      </c>
      <c r="H1901" s="30" t="n"/>
      <c r="I1901" s="43" t="n"/>
      <c r="J1901" s="41" t="n"/>
      <c r="K1901" s="41" t="n"/>
      <c r="L1901" s="41" t="n"/>
      <c r="M1901" s="31">
        <f>IF(COUNT(J1901:L1901)=0,"",MEDIAN(J1901:L1901))</f>
        <v/>
      </c>
      <c r="N1901" s="26">
        <f>IF(COUNTIFS($C:$C,$C1901,$D:$D,$D1901,$E:$E,"P0(전)",$M:$M,"&gt;0")&lt;&gt;1,"P0(전) 유효 1개 아님",IF(COUNTIFS($C:$C,$C1901,$D:$D,$D1901,$E:$E,"P0(후)",$M:$M,"&gt;0")&lt;&gt;1,"P0(후) 유효 1개 아님",IF(NOT(AND(ISNUMBER(O1901),ISNUMBER(Q1901),ISNUMBER(I1901))),"시각 결측",IF(Q1901&lt;=O1901,"P0 시각 역전",IF(OR(I1901&lt;O1901,I1901&gt;Q1901),"측정시각 구간 밖","OK")))))</f>
        <v/>
      </c>
      <c r="O1901" s="48">
        <f>IF(COUNTIFS($C:$C,$C1901,$D:$D,$D1901,$E:$E,"P0(전)",$M:$M,"&gt;0")&lt;&gt;1,"",SUMIFS($I:$I,$C:$C,$C1901,$D:$D,$D1901,$E:$E,"P0(전)"))</f>
        <v/>
      </c>
      <c r="P1901" s="31">
        <f>IF(COUNTIFS($C:$C,$C1901,$D:$D,$D1901,$E:$E,"P0(전)",$M:$M,"&gt;0")&lt;&gt;1,"",SUMIFS($M:$M,$C:$C,$C1901,$D:$D,$D1901,$E:$E,"P0(전)"))</f>
        <v/>
      </c>
      <c r="Q1901" s="48">
        <f>IF(COUNTIFS($C:$C,$C1901,$D:$D,$D1901,$E:$E,"P0(후)",$M:$M,"&gt;0")&lt;&gt;1,"",SUMIFS($I:$I,$C:$C,$C1901,$D:$D,$D1901,$E:$E,"P0(후)"))</f>
        <v/>
      </c>
      <c r="R1901" s="31">
        <f>IF(COUNTIFS($C:$C,$C1901,$D:$D,$D1901,$E:$E,"P0(후)",$M:$M,"&gt;0")&lt;&gt;1,"",SUMIFS($M:$M,$C:$C,$C1901,$D:$D,$D1901,$E:$E,"P0(후)"))</f>
        <v/>
      </c>
      <c r="S1901" s="31">
        <f>IF(N1901&lt;&gt;"OK","",P1901+(R1901-P1901)*(I1901-O1901)/(Q1901-O1901))</f>
        <v/>
      </c>
      <c r="T1901" s="31">
        <f>IF(OR(N1901&lt;&gt;"OK",NOT(ISNUMBER(M1901))),"",M1901-S1901)</f>
        <v/>
      </c>
      <c r="U1901" s="49">
        <f>IF(OR(NOT(ISNUMBER(T1901)),IF(ISNUMBER(H1901),H1901,G1901)=0),"",T1901/IF(ISNUMBER(H1901),H1901,G1901))</f>
        <v/>
      </c>
      <c r="V1901" s="49">
        <f>IF(ISNUMBER(U1901),ABS(U1901),"")</f>
        <v/>
      </c>
      <c r="W1901" s="49">
        <f>IF(OR($E1900&lt;&gt;"측정",$C1900&lt;&gt;$C1901,$D1900&lt;&gt;$D1901,NOT(ISNUMBER(M1901)),NOT(ISNUMBER(M1900)),(IF(ISNUMBER(H1901),H1901,G1901)-IF(ISNUMBER(H1900),H1900,G1900))=0),"",(M1901-M1900)/(IF(ISNUMBER(H1901),H1901,G1901)-IF(ISNUMBER(H1900),H1900,G1900)))</f>
        <v/>
      </c>
      <c r="X1901" s="31">
        <f>IF(NOT(AND(ISNUMBER(O1901),ISNUMBER(Q1901))),"",(Q1901-O1901)*1440)</f>
        <v/>
      </c>
      <c r="Y1901" s="29" t="n"/>
      <c r="Z1901" s="29" t="n"/>
      <c r="AA1901" s="29" t="n"/>
      <c r="AB1901" s="32" t="n"/>
      <c r="AC1901" s="32" t="n"/>
    </row>
    <row r="1902">
      <c r="A1902" s="26" t="inlineStr">
        <is>
          <t>S37</t>
        </is>
      </c>
      <c r="B1902" s="26" t="inlineStr">
        <is>
          <t>부안</t>
        </is>
      </c>
      <c r="C1902" s="26" t="inlineStr">
        <is>
          <t>S37-H서</t>
        </is>
      </c>
      <c r="D1902" s="47" t="n">
        <v>1</v>
      </c>
      <c r="E1902" s="26" t="inlineStr">
        <is>
          <t>측정</t>
        </is>
      </c>
      <c r="F1902" s="26" t="inlineStr">
        <is>
          <t>서</t>
        </is>
      </c>
      <c r="G1902" s="31" t="n">
        <v>10</v>
      </c>
      <c r="H1902" s="30" t="n"/>
      <c r="I1902" s="43" t="n"/>
      <c r="J1902" s="41" t="n"/>
      <c r="K1902" s="41" t="n"/>
      <c r="L1902" s="41" t="n"/>
      <c r="M1902" s="31">
        <f>IF(COUNT(J1902:L1902)=0,"",MEDIAN(J1902:L1902))</f>
        <v/>
      </c>
      <c r="N1902" s="26">
        <f>IF(COUNTIFS($C:$C,$C1902,$D:$D,$D1902,$E:$E,"P0(전)",$M:$M,"&gt;0")&lt;&gt;1,"P0(전) 유효 1개 아님",IF(COUNTIFS($C:$C,$C1902,$D:$D,$D1902,$E:$E,"P0(후)",$M:$M,"&gt;0")&lt;&gt;1,"P0(후) 유효 1개 아님",IF(NOT(AND(ISNUMBER(O1902),ISNUMBER(Q1902),ISNUMBER(I1902))),"시각 결측",IF(Q1902&lt;=O1902,"P0 시각 역전",IF(OR(I1902&lt;O1902,I1902&gt;Q1902),"측정시각 구간 밖","OK")))))</f>
        <v/>
      </c>
      <c r="O1902" s="48">
        <f>IF(COUNTIFS($C:$C,$C1902,$D:$D,$D1902,$E:$E,"P0(전)",$M:$M,"&gt;0")&lt;&gt;1,"",SUMIFS($I:$I,$C:$C,$C1902,$D:$D,$D1902,$E:$E,"P0(전)"))</f>
        <v/>
      </c>
      <c r="P1902" s="31">
        <f>IF(COUNTIFS($C:$C,$C1902,$D:$D,$D1902,$E:$E,"P0(전)",$M:$M,"&gt;0")&lt;&gt;1,"",SUMIFS($M:$M,$C:$C,$C1902,$D:$D,$D1902,$E:$E,"P0(전)"))</f>
        <v/>
      </c>
      <c r="Q1902" s="48">
        <f>IF(COUNTIFS($C:$C,$C1902,$D:$D,$D1902,$E:$E,"P0(후)",$M:$M,"&gt;0")&lt;&gt;1,"",SUMIFS($I:$I,$C:$C,$C1902,$D:$D,$D1902,$E:$E,"P0(후)"))</f>
        <v/>
      </c>
      <c r="R1902" s="31">
        <f>IF(COUNTIFS($C:$C,$C1902,$D:$D,$D1902,$E:$E,"P0(후)",$M:$M,"&gt;0")&lt;&gt;1,"",SUMIFS($M:$M,$C:$C,$C1902,$D:$D,$D1902,$E:$E,"P0(후)"))</f>
        <v/>
      </c>
      <c r="S1902" s="31">
        <f>IF(N1902&lt;&gt;"OK","",P1902+(R1902-P1902)*(I1902-O1902)/(Q1902-O1902))</f>
        <v/>
      </c>
      <c r="T1902" s="31">
        <f>IF(OR(N1902&lt;&gt;"OK",NOT(ISNUMBER(M1902))),"",M1902-S1902)</f>
        <v/>
      </c>
      <c r="U1902" s="49">
        <f>IF(OR(NOT(ISNUMBER(T1902)),IF(ISNUMBER(H1902),H1902,G1902)=0),"",T1902/IF(ISNUMBER(H1902),H1902,G1902))</f>
        <v/>
      </c>
      <c r="V1902" s="49">
        <f>IF(ISNUMBER(U1902),ABS(U1902),"")</f>
        <v/>
      </c>
      <c r="W1902" s="49">
        <f>IF(OR($E1901&lt;&gt;"측정",$C1901&lt;&gt;$C1902,$D1901&lt;&gt;$D1902,NOT(ISNUMBER(M1902)),NOT(ISNUMBER(M1901)),(IF(ISNUMBER(H1902),H1902,G1902)-IF(ISNUMBER(H1901),H1901,G1901))=0),"",(M1902-M1901)/(IF(ISNUMBER(H1902),H1902,G1902)-IF(ISNUMBER(H1901),H1901,G1901)))</f>
        <v/>
      </c>
      <c r="X1902" s="31">
        <f>IF(NOT(AND(ISNUMBER(O1902),ISNUMBER(Q1902))),"",(Q1902-O1902)*1440)</f>
        <v/>
      </c>
      <c r="Y1902" s="29" t="n"/>
      <c r="Z1902" s="29" t="n"/>
      <c r="AA1902" s="29" t="n"/>
      <c r="AB1902" s="32" t="n"/>
      <c r="AC1902" s="32" t="n"/>
    </row>
    <row r="1903">
      <c r="A1903" s="44" t="inlineStr">
        <is>
          <t>S37</t>
        </is>
      </c>
      <c r="B1903" s="44" t="inlineStr">
        <is>
          <t>부안</t>
        </is>
      </c>
      <c r="C1903" s="44" t="inlineStr">
        <is>
          <t>S37-H서</t>
        </is>
      </c>
      <c r="D1903" s="45" t="n">
        <v>1</v>
      </c>
      <c r="E1903" s="44" t="inlineStr">
        <is>
          <t>P0(후)</t>
        </is>
      </c>
      <c r="F1903" s="44" t="inlineStr">
        <is>
          <t>서</t>
        </is>
      </c>
      <c r="G1903" s="46" t="n"/>
      <c r="H1903" s="30" t="n"/>
      <c r="I1903" s="43" t="n"/>
      <c r="J1903" s="41" t="n"/>
      <c r="K1903" s="41" t="n"/>
      <c r="L1903" s="41" t="n"/>
      <c r="M1903" s="31">
        <f>IF(COUNT(J1903:L1903)=0,"",MEDIAN(J1903:L1903))</f>
        <v/>
      </c>
      <c r="N1903" s="38" t="n"/>
      <c r="O1903" s="38" t="n"/>
      <c r="P1903" s="38" t="n"/>
      <c r="Q1903" s="38" t="n"/>
      <c r="R1903" s="38" t="n"/>
      <c r="S1903" s="38" t="n"/>
      <c r="T1903" s="38" t="n"/>
      <c r="U1903" s="38" t="n"/>
      <c r="V1903" s="38" t="n"/>
      <c r="W1903" s="38" t="n"/>
      <c r="X1903" s="38" t="n"/>
      <c r="Y1903" s="29" t="n"/>
      <c r="Z1903" s="29" t="n"/>
      <c r="AA1903" s="29" t="n"/>
      <c r="AB1903" s="32" t="n"/>
      <c r="AC1903" s="32" t="n"/>
    </row>
    <row r="1904">
      <c r="A1904" s="44" t="inlineStr">
        <is>
          <t>S37</t>
        </is>
      </c>
      <c r="B1904" s="44" t="inlineStr">
        <is>
          <t>부안</t>
        </is>
      </c>
      <c r="C1904" s="44" t="inlineStr">
        <is>
          <t>S37-H남</t>
        </is>
      </c>
      <c r="D1904" s="45" t="n">
        <v>1</v>
      </c>
      <c r="E1904" s="44" t="inlineStr">
        <is>
          <t>P0(전)</t>
        </is>
      </c>
      <c r="F1904" s="44" t="inlineStr">
        <is>
          <t>남</t>
        </is>
      </c>
      <c r="G1904" s="46" t="n"/>
      <c r="H1904" s="30" t="n"/>
      <c r="I1904" s="43" t="n"/>
      <c r="J1904" s="41" t="n"/>
      <c r="K1904" s="41" t="n"/>
      <c r="L1904" s="41" t="n"/>
      <c r="M1904" s="31">
        <f>IF(COUNT(J1904:L1904)=0,"",MEDIAN(J1904:L1904))</f>
        <v/>
      </c>
      <c r="N1904" s="38" t="n"/>
      <c r="O1904" s="38" t="n"/>
      <c r="P1904" s="38" t="n"/>
      <c r="Q1904" s="38" t="n"/>
      <c r="R1904" s="38" t="n"/>
      <c r="S1904" s="38" t="n"/>
      <c r="T1904" s="38" t="n"/>
      <c r="U1904" s="38" t="n"/>
      <c r="V1904" s="38" t="n"/>
      <c r="W1904" s="38" t="n"/>
      <c r="X1904" s="38" t="n"/>
      <c r="Y1904" s="29" t="n"/>
      <c r="Z1904" s="29" t="n"/>
      <c r="AA1904" s="29" t="n"/>
      <c r="AB1904" s="32" t="n"/>
      <c r="AC1904" s="32" t="n"/>
    </row>
    <row r="1905">
      <c r="A1905" s="26" t="inlineStr">
        <is>
          <t>S37</t>
        </is>
      </c>
      <c r="B1905" s="26" t="inlineStr">
        <is>
          <t>부안</t>
        </is>
      </c>
      <c r="C1905" s="26" t="inlineStr">
        <is>
          <t>S37-H남</t>
        </is>
      </c>
      <c r="D1905" s="47" t="n">
        <v>1</v>
      </c>
      <c r="E1905" s="26" t="inlineStr">
        <is>
          <t>측정</t>
        </is>
      </c>
      <c r="F1905" s="26" t="inlineStr">
        <is>
          <t>남</t>
        </is>
      </c>
      <c r="G1905" s="31" t="n">
        <v>0.5</v>
      </c>
      <c r="H1905" s="30" t="n"/>
      <c r="I1905" s="43" t="n"/>
      <c r="J1905" s="41" t="n"/>
      <c r="K1905" s="41" t="n"/>
      <c r="L1905" s="41" t="n"/>
      <c r="M1905" s="31">
        <f>IF(COUNT(J1905:L1905)=0,"",MEDIAN(J1905:L1905))</f>
        <v/>
      </c>
      <c r="N1905" s="26">
        <f>IF(COUNTIFS($C:$C,$C1905,$D:$D,$D1905,$E:$E,"P0(전)",$M:$M,"&gt;0")&lt;&gt;1,"P0(전) 유효 1개 아님",IF(COUNTIFS($C:$C,$C1905,$D:$D,$D1905,$E:$E,"P0(후)",$M:$M,"&gt;0")&lt;&gt;1,"P0(후) 유효 1개 아님",IF(NOT(AND(ISNUMBER(O1905),ISNUMBER(Q1905),ISNUMBER(I1905))),"시각 결측",IF(Q1905&lt;=O1905,"P0 시각 역전",IF(OR(I1905&lt;O1905,I1905&gt;Q1905),"측정시각 구간 밖","OK")))))</f>
        <v/>
      </c>
      <c r="O1905" s="48">
        <f>IF(COUNTIFS($C:$C,$C1905,$D:$D,$D1905,$E:$E,"P0(전)",$M:$M,"&gt;0")&lt;&gt;1,"",SUMIFS($I:$I,$C:$C,$C1905,$D:$D,$D1905,$E:$E,"P0(전)"))</f>
        <v/>
      </c>
      <c r="P1905" s="31">
        <f>IF(COUNTIFS($C:$C,$C1905,$D:$D,$D1905,$E:$E,"P0(전)",$M:$M,"&gt;0")&lt;&gt;1,"",SUMIFS($M:$M,$C:$C,$C1905,$D:$D,$D1905,$E:$E,"P0(전)"))</f>
        <v/>
      </c>
      <c r="Q1905" s="48">
        <f>IF(COUNTIFS($C:$C,$C1905,$D:$D,$D1905,$E:$E,"P0(후)",$M:$M,"&gt;0")&lt;&gt;1,"",SUMIFS($I:$I,$C:$C,$C1905,$D:$D,$D1905,$E:$E,"P0(후)"))</f>
        <v/>
      </c>
      <c r="R1905" s="31">
        <f>IF(COUNTIFS($C:$C,$C1905,$D:$D,$D1905,$E:$E,"P0(후)",$M:$M,"&gt;0")&lt;&gt;1,"",SUMIFS($M:$M,$C:$C,$C1905,$D:$D,$D1905,$E:$E,"P0(후)"))</f>
        <v/>
      </c>
      <c r="S1905" s="31">
        <f>IF(N1905&lt;&gt;"OK","",P1905+(R1905-P1905)*(I1905-O1905)/(Q1905-O1905))</f>
        <v/>
      </c>
      <c r="T1905" s="31">
        <f>IF(OR(N1905&lt;&gt;"OK",NOT(ISNUMBER(M1905))),"",M1905-S1905)</f>
        <v/>
      </c>
      <c r="U1905" s="49">
        <f>IF(OR(NOT(ISNUMBER(T1905)),IF(ISNUMBER(H1905),H1905,G1905)=0),"",T1905/IF(ISNUMBER(H1905),H1905,G1905))</f>
        <v/>
      </c>
      <c r="V1905" s="49">
        <f>IF(ISNUMBER(U1905),ABS(U1905),"")</f>
        <v/>
      </c>
      <c r="W1905" s="49">
        <f>IF(OR($E1904&lt;&gt;"측정",$C1904&lt;&gt;$C1905,$D1904&lt;&gt;$D1905,NOT(ISNUMBER(M1905)),NOT(ISNUMBER(M1904)),(IF(ISNUMBER(H1905),H1905,G1905)-IF(ISNUMBER(H1904),H1904,G1904))=0),"",(M1905-M1904)/(IF(ISNUMBER(H1905),H1905,G1905)-IF(ISNUMBER(H1904),H1904,G1904)))</f>
        <v/>
      </c>
      <c r="X1905" s="31">
        <f>IF(NOT(AND(ISNUMBER(O1905),ISNUMBER(Q1905))),"",(Q1905-O1905)*1440)</f>
        <v/>
      </c>
      <c r="Y1905" s="29" t="n"/>
      <c r="Z1905" s="29" t="n"/>
      <c r="AA1905" s="29" t="n"/>
      <c r="AB1905" s="32" t="n"/>
      <c r="AC1905" s="32" t="n"/>
    </row>
    <row r="1906">
      <c r="A1906" s="26" t="inlineStr">
        <is>
          <t>S37</t>
        </is>
      </c>
      <c r="B1906" s="26" t="inlineStr">
        <is>
          <t>부안</t>
        </is>
      </c>
      <c r="C1906" s="26" t="inlineStr">
        <is>
          <t>S37-H남</t>
        </is>
      </c>
      <c r="D1906" s="47" t="n">
        <v>1</v>
      </c>
      <c r="E1906" s="26" t="inlineStr">
        <is>
          <t>측정</t>
        </is>
      </c>
      <c r="F1906" s="26" t="inlineStr">
        <is>
          <t>남</t>
        </is>
      </c>
      <c r="G1906" s="31" t="n">
        <v>1</v>
      </c>
      <c r="H1906" s="30" t="n"/>
      <c r="I1906" s="43" t="n"/>
      <c r="J1906" s="41" t="n"/>
      <c r="K1906" s="41" t="n"/>
      <c r="L1906" s="41" t="n"/>
      <c r="M1906" s="31">
        <f>IF(COUNT(J1906:L1906)=0,"",MEDIAN(J1906:L1906))</f>
        <v/>
      </c>
      <c r="N1906" s="26">
        <f>IF(COUNTIFS($C:$C,$C1906,$D:$D,$D1906,$E:$E,"P0(전)",$M:$M,"&gt;0")&lt;&gt;1,"P0(전) 유효 1개 아님",IF(COUNTIFS($C:$C,$C1906,$D:$D,$D1906,$E:$E,"P0(후)",$M:$M,"&gt;0")&lt;&gt;1,"P0(후) 유효 1개 아님",IF(NOT(AND(ISNUMBER(O1906),ISNUMBER(Q1906),ISNUMBER(I1906))),"시각 결측",IF(Q1906&lt;=O1906,"P0 시각 역전",IF(OR(I1906&lt;O1906,I1906&gt;Q1906),"측정시각 구간 밖","OK")))))</f>
        <v/>
      </c>
      <c r="O1906" s="48">
        <f>IF(COUNTIFS($C:$C,$C1906,$D:$D,$D1906,$E:$E,"P0(전)",$M:$M,"&gt;0")&lt;&gt;1,"",SUMIFS($I:$I,$C:$C,$C1906,$D:$D,$D1906,$E:$E,"P0(전)"))</f>
        <v/>
      </c>
      <c r="P1906" s="31">
        <f>IF(COUNTIFS($C:$C,$C1906,$D:$D,$D1906,$E:$E,"P0(전)",$M:$M,"&gt;0")&lt;&gt;1,"",SUMIFS($M:$M,$C:$C,$C1906,$D:$D,$D1906,$E:$E,"P0(전)"))</f>
        <v/>
      </c>
      <c r="Q1906" s="48">
        <f>IF(COUNTIFS($C:$C,$C1906,$D:$D,$D1906,$E:$E,"P0(후)",$M:$M,"&gt;0")&lt;&gt;1,"",SUMIFS($I:$I,$C:$C,$C1906,$D:$D,$D1906,$E:$E,"P0(후)"))</f>
        <v/>
      </c>
      <c r="R1906" s="31">
        <f>IF(COUNTIFS($C:$C,$C1906,$D:$D,$D1906,$E:$E,"P0(후)",$M:$M,"&gt;0")&lt;&gt;1,"",SUMIFS($M:$M,$C:$C,$C1906,$D:$D,$D1906,$E:$E,"P0(후)"))</f>
        <v/>
      </c>
      <c r="S1906" s="31">
        <f>IF(N1906&lt;&gt;"OK","",P1906+(R1906-P1906)*(I1906-O1906)/(Q1906-O1906))</f>
        <v/>
      </c>
      <c r="T1906" s="31">
        <f>IF(OR(N1906&lt;&gt;"OK",NOT(ISNUMBER(M1906))),"",M1906-S1906)</f>
        <v/>
      </c>
      <c r="U1906" s="49">
        <f>IF(OR(NOT(ISNUMBER(T1906)),IF(ISNUMBER(H1906),H1906,G1906)=0),"",T1906/IF(ISNUMBER(H1906),H1906,G1906))</f>
        <v/>
      </c>
      <c r="V1906" s="49">
        <f>IF(ISNUMBER(U1906),ABS(U1906),"")</f>
        <v/>
      </c>
      <c r="W1906" s="49">
        <f>IF(OR($E1905&lt;&gt;"측정",$C1905&lt;&gt;$C1906,$D1905&lt;&gt;$D1906,NOT(ISNUMBER(M1906)),NOT(ISNUMBER(M1905)),(IF(ISNUMBER(H1906),H1906,G1906)-IF(ISNUMBER(H1905),H1905,G1905))=0),"",(M1906-M1905)/(IF(ISNUMBER(H1906),H1906,G1906)-IF(ISNUMBER(H1905),H1905,G1905)))</f>
        <v/>
      </c>
      <c r="X1906" s="31">
        <f>IF(NOT(AND(ISNUMBER(O1906),ISNUMBER(Q1906))),"",(Q1906-O1906)*1440)</f>
        <v/>
      </c>
      <c r="Y1906" s="29" t="n"/>
      <c r="Z1906" s="29" t="n"/>
      <c r="AA1906" s="29" t="n"/>
      <c r="AB1906" s="32" t="n"/>
      <c r="AC1906" s="32" t="n"/>
    </row>
    <row r="1907">
      <c r="A1907" s="26" t="inlineStr">
        <is>
          <t>S37</t>
        </is>
      </c>
      <c r="B1907" s="26" t="inlineStr">
        <is>
          <t>부안</t>
        </is>
      </c>
      <c r="C1907" s="26" t="inlineStr">
        <is>
          <t>S37-H남</t>
        </is>
      </c>
      <c r="D1907" s="47" t="n">
        <v>1</v>
      </c>
      <c r="E1907" s="26" t="inlineStr">
        <is>
          <t>측정</t>
        </is>
      </c>
      <c r="F1907" s="26" t="inlineStr">
        <is>
          <t>남</t>
        </is>
      </c>
      <c r="G1907" s="31" t="n">
        <v>2</v>
      </c>
      <c r="H1907" s="30" t="n"/>
      <c r="I1907" s="43" t="n"/>
      <c r="J1907" s="41" t="n"/>
      <c r="K1907" s="41" t="n"/>
      <c r="L1907" s="41" t="n"/>
      <c r="M1907" s="31">
        <f>IF(COUNT(J1907:L1907)=0,"",MEDIAN(J1907:L1907))</f>
        <v/>
      </c>
      <c r="N1907" s="26">
        <f>IF(COUNTIFS($C:$C,$C1907,$D:$D,$D1907,$E:$E,"P0(전)",$M:$M,"&gt;0")&lt;&gt;1,"P0(전) 유효 1개 아님",IF(COUNTIFS($C:$C,$C1907,$D:$D,$D1907,$E:$E,"P0(후)",$M:$M,"&gt;0")&lt;&gt;1,"P0(후) 유효 1개 아님",IF(NOT(AND(ISNUMBER(O1907),ISNUMBER(Q1907),ISNUMBER(I1907))),"시각 결측",IF(Q1907&lt;=O1907,"P0 시각 역전",IF(OR(I1907&lt;O1907,I1907&gt;Q1907),"측정시각 구간 밖","OK")))))</f>
        <v/>
      </c>
      <c r="O1907" s="48">
        <f>IF(COUNTIFS($C:$C,$C1907,$D:$D,$D1907,$E:$E,"P0(전)",$M:$M,"&gt;0")&lt;&gt;1,"",SUMIFS($I:$I,$C:$C,$C1907,$D:$D,$D1907,$E:$E,"P0(전)"))</f>
        <v/>
      </c>
      <c r="P1907" s="31">
        <f>IF(COUNTIFS($C:$C,$C1907,$D:$D,$D1907,$E:$E,"P0(전)",$M:$M,"&gt;0")&lt;&gt;1,"",SUMIFS($M:$M,$C:$C,$C1907,$D:$D,$D1907,$E:$E,"P0(전)"))</f>
        <v/>
      </c>
      <c r="Q1907" s="48">
        <f>IF(COUNTIFS($C:$C,$C1907,$D:$D,$D1907,$E:$E,"P0(후)",$M:$M,"&gt;0")&lt;&gt;1,"",SUMIFS($I:$I,$C:$C,$C1907,$D:$D,$D1907,$E:$E,"P0(후)"))</f>
        <v/>
      </c>
      <c r="R1907" s="31">
        <f>IF(COUNTIFS($C:$C,$C1907,$D:$D,$D1907,$E:$E,"P0(후)",$M:$M,"&gt;0")&lt;&gt;1,"",SUMIFS($M:$M,$C:$C,$C1907,$D:$D,$D1907,$E:$E,"P0(후)"))</f>
        <v/>
      </c>
      <c r="S1907" s="31">
        <f>IF(N1907&lt;&gt;"OK","",P1907+(R1907-P1907)*(I1907-O1907)/(Q1907-O1907))</f>
        <v/>
      </c>
      <c r="T1907" s="31">
        <f>IF(OR(N1907&lt;&gt;"OK",NOT(ISNUMBER(M1907))),"",M1907-S1907)</f>
        <v/>
      </c>
      <c r="U1907" s="49">
        <f>IF(OR(NOT(ISNUMBER(T1907)),IF(ISNUMBER(H1907),H1907,G1907)=0),"",T1907/IF(ISNUMBER(H1907),H1907,G1907))</f>
        <v/>
      </c>
      <c r="V1907" s="49">
        <f>IF(ISNUMBER(U1907),ABS(U1907),"")</f>
        <v/>
      </c>
      <c r="W1907" s="49">
        <f>IF(OR($E1906&lt;&gt;"측정",$C1906&lt;&gt;$C1907,$D1906&lt;&gt;$D1907,NOT(ISNUMBER(M1907)),NOT(ISNUMBER(M1906)),(IF(ISNUMBER(H1907),H1907,G1907)-IF(ISNUMBER(H1906),H1906,G1906))=0),"",(M1907-M1906)/(IF(ISNUMBER(H1907),H1907,G1907)-IF(ISNUMBER(H1906),H1906,G1906)))</f>
        <v/>
      </c>
      <c r="X1907" s="31">
        <f>IF(NOT(AND(ISNUMBER(O1907),ISNUMBER(Q1907))),"",(Q1907-O1907)*1440)</f>
        <v/>
      </c>
      <c r="Y1907" s="29" t="n"/>
      <c r="Z1907" s="29" t="n"/>
      <c r="AA1907" s="29" t="n"/>
      <c r="AB1907" s="32" t="n"/>
      <c r="AC1907" s="32" t="n"/>
    </row>
    <row r="1908">
      <c r="A1908" s="26" t="inlineStr">
        <is>
          <t>S37</t>
        </is>
      </c>
      <c r="B1908" s="26" t="inlineStr">
        <is>
          <t>부안</t>
        </is>
      </c>
      <c r="C1908" s="26" t="inlineStr">
        <is>
          <t>S37-H남</t>
        </is>
      </c>
      <c r="D1908" s="47" t="n">
        <v>1</v>
      </c>
      <c r="E1908" s="26" t="inlineStr">
        <is>
          <t>측정</t>
        </is>
      </c>
      <c r="F1908" s="26" t="inlineStr">
        <is>
          <t>남</t>
        </is>
      </c>
      <c r="G1908" s="31" t="n">
        <v>3</v>
      </c>
      <c r="H1908" s="30" t="n"/>
      <c r="I1908" s="43" t="n"/>
      <c r="J1908" s="41" t="n"/>
      <c r="K1908" s="41" t="n"/>
      <c r="L1908" s="41" t="n"/>
      <c r="M1908" s="31">
        <f>IF(COUNT(J1908:L1908)=0,"",MEDIAN(J1908:L1908))</f>
        <v/>
      </c>
      <c r="N1908" s="26">
        <f>IF(COUNTIFS($C:$C,$C1908,$D:$D,$D1908,$E:$E,"P0(전)",$M:$M,"&gt;0")&lt;&gt;1,"P0(전) 유효 1개 아님",IF(COUNTIFS($C:$C,$C1908,$D:$D,$D1908,$E:$E,"P0(후)",$M:$M,"&gt;0")&lt;&gt;1,"P0(후) 유효 1개 아님",IF(NOT(AND(ISNUMBER(O1908),ISNUMBER(Q1908),ISNUMBER(I1908))),"시각 결측",IF(Q1908&lt;=O1908,"P0 시각 역전",IF(OR(I1908&lt;O1908,I1908&gt;Q1908),"측정시각 구간 밖","OK")))))</f>
        <v/>
      </c>
      <c r="O1908" s="48">
        <f>IF(COUNTIFS($C:$C,$C1908,$D:$D,$D1908,$E:$E,"P0(전)",$M:$M,"&gt;0")&lt;&gt;1,"",SUMIFS($I:$I,$C:$C,$C1908,$D:$D,$D1908,$E:$E,"P0(전)"))</f>
        <v/>
      </c>
      <c r="P1908" s="31">
        <f>IF(COUNTIFS($C:$C,$C1908,$D:$D,$D1908,$E:$E,"P0(전)",$M:$M,"&gt;0")&lt;&gt;1,"",SUMIFS($M:$M,$C:$C,$C1908,$D:$D,$D1908,$E:$E,"P0(전)"))</f>
        <v/>
      </c>
      <c r="Q1908" s="48">
        <f>IF(COUNTIFS($C:$C,$C1908,$D:$D,$D1908,$E:$E,"P0(후)",$M:$M,"&gt;0")&lt;&gt;1,"",SUMIFS($I:$I,$C:$C,$C1908,$D:$D,$D1908,$E:$E,"P0(후)"))</f>
        <v/>
      </c>
      <c r="R1908" s="31">
        <f>IF(COUNTIFS($C:$C,$C1908,$D:$D,$D1908,$E:$E,"P0(후)",$M:$M,"&gt;0")&lt;&gt;1,"",SUMIFS($M:$M,$C:$C,$C1908,$D:$D,$D1908,$E:$E,"P0(후)"))</f>
        <v/>
      </c>
      <c r="S1908" s="31">
        <f>IF(N1908&lt;&gt;"OK","",P1908+(R1908-P1908)*(I1908-O1908)/(Q1908-O1908))</f>
        <v/>
      </c>
      <c r="T1908" s="31">
        <f>IF(OR(N1908&lt;&gt;"OK",NOT(ISNUMBER(M1908))),"",M1908-S1908)</f>
        <v/>
      </c>
      <c r="U1908" s="49">
        <f>IF(OR(NOT(ISNUMBER(T1908)),IF(ISNUMBER(H1908),H1908,G1908)=0),"",T1908/IF(ISNUMBER(H1908),H1908,G1908))</f>
        <v/>
      </c>
      <c r="V1908" s="49">
        <f>IF(ISNUMBER(U1908),ABS(U1908),"")</f>
        <v/>
      </c>
      <c r="W1908" s="49">
        <f>IF(OR($E1907&lt;&gt;"측정",$C1907&lt;&gt;$C1908,$D1907&lt;&gt;$D1908,NOT(ISNUMBER(M1908)),NOT(ISNUMBER(M1907)),(IF(ISNUMBER(H1908),H1908,G1908)-IF(ISNUMBER(H1907),H1907,G1907))=0),"",(M1908-M1907)/(IF(ISNUMBER(H1908),H1908,G1908)-IF(ISNUMBER(H1907),H1907,G1907)))</f>
        <v/>
      </c>
      <c r="X1908" s="31">
        <f>IF(NOT(AND(ISNUMBER(O1908),ISNUMBER(Q1908))),"",(Q1908-O1908)*1440)</f>
        <v/>
      </c>
      <c r="Y1908" s="29" t="n"/>
      <c r="Z1908" s="29" t="n"/>
      <c r="AA1908" s="29" t="n"/>
      <c r="AB1908" s="32" t="n"/>
      <c r="AC1908" s="32" t="n"/>
    </row>
    <row r="1909">
      <c r="A1909" s="26" t="inlineStr">
        <is>
          <t>S37</t>
        </is>
      </c>
      <c r="B1909" s="26" t="inlineStr">
        <is>
          <t>부안</t>
        </is>
      </c>
      <c r="C1909" s="26" t="inlineStr">
        <is>
          <t>S37-H남</t>
        </is>
      </c>
      <c r="D1909" s="47" t="n">
        <v>1</v>
      </c>
      <c r="E1909" s="26" t="inlineStr">
        <is>
          <t>측정</t>
        </is>
      </c>
      <c r="F1909" s="26" t="inlineStr">
        <is>
          <t>남</t>
        </is>
      </c>
      <c r="G1909" s="31" t="n">
        <v>4</v>
      </c>
      <c r="H1909" s="30" t="n"/>
      <c r="I1909" s="43" t="n"/>
      <c r="J1909" s="41" t="n"/>
      <c r="K1909" s="41" t="n"/>
      <c r="L1909" s="41" t="n"/>
      <c r="M1909" s="31">
        <f>IF(COUNT(J1909:L1909)=0,"",MEDIAN(J1909:L1909))</f>
        <v/>
      </c>
      <c r="N1909" s="26">
        <f>IF(COUNTIFS($C:$C,$C1909,$D:$D,$D1909,$E:$E,"P0(전)",$M:$M,"&gt;0")&lt;&gt;1,"P0(전) 유효 1개 아님",IF(COUNTIFS($C:$C,$C1909,$D:$D,$D1909,$E:$E,"P0(후)",$M:$M,"&gt;0")&lt;&gt;1,"P0(후) 유효 1개 아님",IF(NOT(AND(ISNUMBER(O1909),ISNUMBER(Q1909),ISNUMBER(I1909))),"시각 결측",IF(Q1909&lt;=O1909,"P0 시각 역전",IF(OR(I1909&lt;O1909,I1909&gt;Q1909),"측정시각 구간 밖","OK")))))</f>
        <v/>
      </c>
      <c r="O1909" s="48">
        <f>IF(COUNTIFS($C:$C,$C1909,$D:$D,$D1909,$E:$E,"P0(전)",$M:$M,"&gt;0")&lt;&gt;1,"",SUMIFS($I:$I,$C:$C,$C1909,$D:$D,$D1909,$E:$E,"P0(전)"))</f>
        <v/>
      </c>
      <c r="P1909" s="31">
        <f>IF(COUNTIFS($C:$C,$C1909,$D:$D,$D1909,$E:$E,"P0(전)",$M:$M,"&gt;0")&lt;&gt;1,"",SUMIFS($M:$M,$C:$C,$C1909,$D:$D,$D1909,$E:$E,"P0(전)"))</f>
        <v/>
      </c>
      <c r="Q1909" s="48">
        <f>IF(COUNTIFS($C:$C,$C1909,$D:$D,$D1909,$E:$E,"P0(후)",$M:$M,"&gt;0")&lt;&gt;1,"",SUMIFS($I:$I,$C:$C,$C1909,$D:$D,$D1909,$E:$E,"P0(후)"))</f>
        <v/>
      </c>
      <c r="R1909" s="31">
        <f>IF(COUNTIFS($C:$C,$C1909,$D:$D,$D1909,$E:$E,"P0(후)",$M:$M,"&gt;0")&lt;&gt;1,"",SUMIFS($M:$M,$C:$C,$C1909,$D:$D,$D1909,$E:$E,"P0(후)"))</f>
        <v/>
      </c>
      <c r="S1909" s="31">
        <f>IF(N1909&lt;&gt;"OK","",P1909+(R1909-P1909)*(I1909-O1909)/(Q1909-O1909))</f>
        <v/>
      </c>
      <c r="T1909" s="31">
        <f>IF(OR(N1909&lt;&gt;"OK",NOT(ISNUMBER(M1909))),"",M1909-S1909)</f>
        <v/>
      </c>
      <c r="U1909" s="49">
        <f>IF(OR(NOT(ISNUMBER(T1909)),IF(ISNUMBER(H1909),H1909,G1909)=0),"",T1909/IF(ISNUMBER(H1909),H1909,G1909))</f>
        <v/>
      </c>
      <c r="V1909" s="49">
        <f>IF(ISNUMBER(U1909),ABS(U1909),"")</f>
        <v/>
      </c>
      <c r="W1909" s="49">
        <f>IF(OR($E1908&lt;&gt;"측정",$C1908&lt;&gt;$C1909,$D1908&lt;&gt;$D1909,NOT(ISNUMBER(M1909)),NOT(ISNUMBER(M1908)),(IF(ISNUMBER(H1909),H1909,G1909)-IF(ISNUMBER(H1908),H1908,G1908))=0),"",(M1909-M1908)/(IF(ISNUMBER(H1909),H1909,G1909)-IF(ISNUMBER(H1908),H1908,G1908)))</f>
        <v/>
      </c>
      <c r="X1909" s="31">
        <f>IF(NOT(AND(ISNUMBER(O1909),ISNUMBER(Q1909))),"",(Q1909-O1909)*1440)</f>
        <v/>
      </c>
      <c r="Y1909" s="29" t="n"/>
      <c r="Z1909" s="29" t="n"/>
      <c r="AA1909" s="29" t="n"/>
      <c r="AB1909" s="32" t="n"/>
      <c r="AC1909" s="32" t="n"/>
    </row>
    <row r="1910">
      <c r="A1910" s="26" t="inlineStr">
        <is>
          <t>S37</t>
        </is>
      </c>
      <c r="B1910" s="26" t="inlineStr">
        <is>
          <t>부안</t>
        </is>
      </c>
      <c r="C1910" s="26" t="inlineStr">
        <is>
          <t>S37-H남</t>
        </is>
      </c>
      <c r="D1910" s="47" t="n">
        <v>1</v>
      </c>
      <c r="E1910" s="26" t="inlineStr">
        <is>
          <t>측정</t>
        </is>
      </c>
      <c r="F1910" s="26" t="inlineStr">
        <is>
          <t>남</t>
        </is>
      </c>
      <c r="G1910" s="31" t="n">
        <v>5</v>
      </c>
      <c r="H1910" s="30" t="n"/>
      <c r="I1910" s="43" t="n"/>
      <c r="J1910" s="41" t="n"/>
      <c r="K1910" s="41" t="n"/>
      <c r="L1910" s="41" t="n"/>
      <c r="M1910" s="31">
        <f>IF(COUNT(J1910:L1910)=0,"",MEDIAN(J1910:L1910))</f>
        <v/>
      </c>
      <c r="N1910" s="26">
        <f>IF(COUNTIFS($C:$C,$C1910,$D:$D,$D1910,$E:$E,"P0(전)",$M:$M,"&gt;0")&lt;&gt;1,"P0(전) 유효 1개 아님",IF(COUNTIFS($C:$C,$C1910,$D:$D,$D1910,$E:$E,"P0(후)",$M:$M,"&gt;0")&lt;&gt;1,"P0(후) 유효 1개 아님",IF(NOT(AND(ISNUMBER(O1910),ISNUMBER(Q1910),ISNUMBER(I1910))),"시각 결측",IF(Q1910&lt;=O1910,"P0 시각 역전",IF(OR(I1910&lt;O1910,I1910&gt;Q1910),"측정시각 구간 밖","OK")))))</f>
        <v/>
      </c>
      <c r="O1910" s="48">
        <f>IF(COUNTIFS($C:$C,$C1910,$D:$D,$D1910,$E:$E,"P0(전)",$M:$M,"&gt;0")&lt;&gt;1,"",SUMIFS($I:$I,$C:$C,$C1910,$D:$D,$D1910,$E:$E,"P0(전)"))</f>
        <v/>
      </c>
      <c r="P1910" s="31">
        <f>IF(COUNTIFS($C:$C,$C1910,$D:$D,$D1910,$E:$E,"P0(전)",$M:$M,"&gt;0")&lt;&gt;1,"",SUMIFS($M:$M,$C:$C,$C1910,$D:$D,$D1910,$E:$E,"P0(전)"))</f>
        <v/>
      </c>
      <c r="Q1910" s="48">
        <f>IF(COUNTIFS($C:$C,$C1910,$D:$D,$D1910,$E:$E,"P0(후)",$M:$M,"&gt;0")&lt;&gt;1,"",SUMIFS($I:$I,$C:$C,$C1910,$D:$D,$D1910,$E:$E,"P0(후)"))</f>
        <v/>
      </c>
      <c r="R1910" s="31">
        <f>IF(COUNTIFS($C:$C,$C1910,$D:$D,$D1910,$E:$E,"P0(후)",$M:$M,"&gt;0")&lt;&gt;1,"",SUMIFS($M:$M,$C:$C,$C1910,$D:$D,$D1910,$E:$E,"P0(후)"))</f>
        <v/>
      </c>
      <c r="S1910" s="31">
        <f>IF(N1910&lt;&gt;"OK","",P1910+(R1910-P1910)*(I1910-O1910)/(Q1910-O1910))</f>
        <v/>
      </c>
      <c r="T1910" s="31">
        <f>IF(OR(N1910&lt;&gt;"OK",NOT(ISNUMBER(M1910))),"",M1910-S1910)</f>
        <v/>
      </c>
      <c r="U1910" s="49">
        <f>IF(OR(NOT(ISNUMBER(T1910)),IF(ISNUMBER(H1910),H1910,G1910)=0),"",T1910/IF(ISNUMBER(H1910),H1910,G1910))</f>
        <v/>
      </c>
      <c r="V1910" s="49">
        <f>IF(ISNUMBER(U1910),ABS(U1910),"")</f>
        <v/>
      </c>
      <c r="W1910" s="49">
        <f>IF(OR($E1909&lt;&gt;"측정",$C1909&lt;&gt;$C1910,$D1909&lt;&gt;$D1910,NOT(ISNUMBER(M1910)),NOT(ISNUMBER(M1909)),(IF(ISNUMBER(H1910),H1910,G1910)-IF(ISNUMBER(H1909),H1909,G1909))=0),"",(M1910-M1909)/(IF(ISNUMBER(H1910),H1910,G1910)-IF(ISNUMBER(H1909),H1909,G1909)))</f>
        <v/>
      </c>
      <c r="X1910" s="31">
        <f>IF(NOT(AND(ISNUMBER(O1910),ISNUMBER(Q1910))),"",(Q1910-O1910)*1440)</f>
        <v/>
      </c>
      <c r="Y1910" s="29" t="n"/>
      <c r="Z1910" s="29" t="n"/>
      <c r="AA1910" s="29" t="n"/>
      <c r="AB1910" s="32" t="n"/>
      <c r="AC1910" s="32" t="n"/>
    </row>
    <row r="1911">
      <c r="A1911" s="26" t="inlineStr">
        <is>
          <t>S37</t>
        </is>
      </c>
      <c r="B1911" s="26" t="inlineStr">
        <is>
          <t>부안</t>
        </is>
      </c>
      <c r="C1911" s="26" t="inlineStr">
        <is>
          <t>S37-H남</t>
        </is>
      </c>
      <c r="D1911" s="47" t="n">
        <v>1</v>
      </c>
      <c r="E1911" s="26" t="inlineStr">
        <is>
          <t>측정</t>
        </is>
      </c>
      <c r="F1911" s="26" t="inlineStr">
        <is>
          <t>남</t>
        </is>
      </c>
      <c r="G1911" s="31" t="n">
        <v>6</v>
      </c>
      <c r="H1911" s="30" t="n"/>
      <c r="I1911" s="43" t="n"/>
      <c r="J1911" s="41" t="n"/>
      <c r="K1911" s="41" t="n"/>
      <c r="L1911" s="41" t="n"/>
      <c r="M1911" s="31">
        <f>IF(COUNT(J1911:L1911)=0,"",MEDIAN(J1911:L1911))</f>
        <v/>
      </c>
      <c r="N1911" s="26">
        <f>IF(COUNTIFS($C:$C,$C1911,$D:$D,$D1911,$E:$E,"P0(전)",$M:$M,"&gt;0")&lt;&gt;1,"P0(전) 유효 1개 아님",IF(COUNTIFS($C:$C,$C1911,$D:$D,$D1911,$E:$E,"P0(후)",$M:$M,"&gt;0")&lt;&gt;1,"P0(후) 유효 1개 아님",IF(NOT(AND(ISNUMBER(O1911),ISNUMBER(Q1911),ISNUMBER(I1911))),"시각 결측",IF(Q1911&lt;=O1911,"P0 시각 역전",IF(OR(I1911&lt;O1911,I1911&gt;Q1911),"측정시각 구간 밖","OK")))))</f>
        <v/>
      </c>
      <c r="O1911" s="48">
        <f>IF(COUNTIFS($C:$C,$C1911,$D:$D,$D1911,$E:$E,"P0(전)",$M:$M,"&gt;0")&lt;&gt;1,"",SUMIFS($I:$I,$C:$C,$C1911,$D:$D,$D1911,$E:$E,"P0(전)"))</f>
        <v/>
      </c>
      <c r="P1911" s="31">
        <f>IF(COUNTIFS($C:$C,$C1911,$D:$D,$D1911,$E:$E,"P0(전)",$M:$M,"&gt;0")&lt;&gt;1,"",SUMIFS($M:$M,$C:$C,$C1911,$D:$D,$D1911,$E:$E,"P0(전)"))</f>
        <v/>
      </c>
      <c r="Q1911" s="48">
        <f>IF(COUNTIFS($C:$C,$C1911,$D:$D,$D1911,$E:$E,"P0(후)",$M:$M,"&gt;0")&lt;&gt;1,"",SUMIFS($I:$I,$C:$C,$C1911,$D:$D,$D1911,$E:$E,"P0(후)"))</f>
        <v/>
      </c>
      <c r="R1911" s="31">
        <f>IF(COUNTIFS($C:$C,$C1911,$D:$D,$D1911,$E:$E,"P0(후)",$M:$M,"&gt;0")&lt;&gt;1,"",SUMIFS($M:$M,$C:$C,$C1911,$D:$D,$D1911,$E:$E,"P0(후)"))</f>
        <v/>
      </c>
      <c r="S1911" s="31">
        <f>IF(N1911&lt;&gt;"OK","",P1911+(R1911-P1911)*(I1911-O1911)/(Q1911-O1911))</f>
        <v/>
      </c>
      <c r="T1911" s="31">
        <f>IF(OR(N1911&lt;&gt;"OK",NOT(ISNUMBER(M1911))),"",M1911-S1911)</f>
        <v/>
      </c>
      <c r="U1911" s="49">
        <f>IF(OR(NOT(ISNUMBER(T1911)),IF(ISNUMBER(H1911),H1911,G1911)=0),"",T1911/IF(ISNUMBER(H1911),H1911,G1911))</f>
        <v/>
      </c>
      <c r="V1911" s="49">
        <f>IF(ISNUMBER(U1911),ABS(U1911),"")</f>
        <v/>
      </c>
      <c r="W1911" s="49">
        <f>IF(OR($E1910&lt;&gt;"측정",$C1910&lt;&gt;$C1911,$D1910&lt;&gt;$D1911,NOT(ISNUMBER(M1911)),NOT(ISNUMBER(M1910)),(IF(ISNUMBER(H1911),H1911,G1911)-IF(ISNUMBER(H1910),H1910,G1910))=0),"",(M1911-M1910)/(IF(ISNUMBER(H1911),H1911,G1911)-IF(ISNUMBER(H1910),H1910,G1910)))</f>
        <v/>
      </c>
      <c r="X1911" s="31">
        <f>IF(NOT(AND(ISNUMBER(O1911),ISNUMBER(Q1911))),"",(Q1911-O1911)*1440)</f>
        <v/>
      </c>
      <c r="Y1911" s="29" t="n"/>
      <c r="Z1911" s="29" t="n"/>
      <c r="AA1911" s="29" t="n"/>
      <c r="AB1911" s="32" t="n"/>
      <c r="AC1911" s="32" t="n"/>
    </row>
    <row r="1912">
      <c r="A1912" s="26" t="inlineStr">
        <is>
          <t>S37</t>
        </is>
      </c>
      <c r="B1912" s="26" t="inlineStr">
        <is>
          <t>부안</t>
        </is>
      </c>
      <c r="C1912" s="26" t="inlineStr">
        <is>
          <t>S37-H남</t>
        </is>
      </c>
      <c r="D1912" s="47" t="n">
        <v>1</v>
      </c>
      <c r="E1912" s="26" t="inlineStr">
        <is>
          <t>측정</t>
        </is>
      </c>
      <c r="F1912" s="26" t="inlineStr">
        <is>
          <t>남</t>
        </is>
      </c>
      <c r="G1912" s="31" t="n">
        <v>7</v>
      </c>
      <c r="H1912" s="30" t="n"/>
      <c r="I1912" s="43" t="n"/>
      <c r="J1912" s="41" t="n"/>
      <c r="K1912" s="41" t="n"/>
      <c r="L1912" s="41" t="n"/>
      <c r="M1912" s="31">
        <f>IF(COUNT(J1912:L1912)=0,"",MEDIAN(J1912:L1912))</f>
        <v/>
      </c>
      <c r="N1912" s="26">
        <f>IF(COUNTIFS($C:$C,$C1912,$D:$D,$D1912,$E:$E,"P0(전)",$M:$M,"&gt;0")&lt;&gt;1,"P0(전) 유효 1개 아님",IF(COUNTIFS($C:$C,$C1912,$D:$D,$D1912,$E:$E,"P0(후)",$M:$M,"&gt;0")&lt;&gt;1,"P0(후) 유효 1개 아님",IF(NOT(AND(ISNUMBER(O1912),ISNUMBER(Q1912),ISNUMBER(I1912))),"시각 결측",IF(Q1912&lt;=O1912,"P0 시각 역전",IF(OR(I1912&lt;O1912,I1912&gt;Q1912),"측정시각 구간 밖","OK")))))</f>
        <v/>
      </c>
      <c r="O1912" s="48">
        <f>IF(COUNTIFS($C:$C,$C1912,$D:$D,$D1912,$E:$E,"P0(전)",$M:$M,"&gt;0")&lt;&gt;1,"",SUMIFS($I:$I,$C:$C,$C1912,$D:$D,$D1912,$E:$E,"P0(전)"))</f>
        <v/>
      </c>
      <c r="P1912" s="31">
        <f>IF(COUNTIFS($C:$C,$C1912,$D:$D,$D1912,$E:$E,"P0(전)",$M:$M,"&gt;0")&lt;&gt;1,"",SUMIFS($M:$M,$C:$C,$C1912,$D:$D,$D1912,$E:$E,"P0(전)"))</f>
        <v/>
      </c>
      <c r="Q1912" s="48">
        <f>IF(COUNTIFS($C:$C,$C1912,$D:$D,$D1912,$E:$E,"P0(후)",$M:$M,"&gt;0")&lt;&gt;1,"",SUMIFS($I:$I,$C:$C,$C1912,$D:$D,$D1912,$E:$E,"P0(후)"))</f>
        <v/>
      </c>
      <c r="R1912" s="31">
        <f>IF(COUNTIFS($C:$C,$C1912,$D:$D,$D1912,$E:$E,"P0(후)",$M:$M,"&gt;0")&lt;&gt;1,"",SUMIFS($M:$M,$C:$C,$C1912,$D:$D,$D1912,$E:$E,"P0(후)"))</f>
        <v/>
      </c>
      <c r="S1912" s="31">
        <f>IF(N1912&lt;&gt;"OK","",P1912+(R1912-P1912)*(I1912-O1912)/(Q1912-O1912))</f>
        <v/>
      </c>
      <c r="T1912" s="31">
        <f>IF(OR(N1912&lt;&gt;"OK",NOT(ISNUMBER(M1912))),"",M1912-S1912)</f>
        <v/>
      </c>
      <c r="U1912" s="49">
        <f>IF(OR(NOT(ISNUMBER(T1912)),IF(ISNUMBER(H1912),H1912,G1912)=0),"",T1912/IF(ISNUMBER(H1912),H1912,G1912))</f>
        <v/>
      </c>
      <c r="V1912" s="49">
        <f>IF(ISNUMBER(U1912),ABS(U1912),"")</f>
        <v/>
      </c>
      <c r="W1912" s="49">
        <f>IF(OR($E1911&lt;&gt;"측정",$C1911&lt;&gt;$C1912,$D1911&lt;&gt;$D1912,NOT(ISNUMBER(M1912)),NOT(ISNUMBER(M1911)),(IF(ISNUMBER(H1912),H1912,G1912)-IF(ISNUMBER(H1911),H1911,G1911))=0),"",(M1912-M1911)/(IF(ISNUMBER(H1912),H1912,G1912)-IF(ISNUMBER(H1911),H1911,G1911)))</f>
        <v/>
      </c>
      <c r="X1912" s="31">
        <f>IF(NOT(AND(ISNUMBER(O1912),ISNUMBER(Q1912))),"",(Q1912-O1912)*1440)</f>
        <v/>
      </c>
      <c r="Y1912" s="29" t="n"/>
      <c r="Z1912" s="29" t="n"/>
      <c r="AA1912" s="29" t="n"/>
      <c r="AB1912" s="32" t="n"/>
      <c r="AC1912" s="32" t="n"/>
    </row>
    <row r="1913">
      <c r="A1913" s="26" t="inlineStr">
        <is>
          <t>S37</t>
        </is>
      </c>
      <c r="B1913" s="26" t="inlineStr">
        <is>
          <t>부안</t>
        </is>
      </c>
      <c r="C1913" s="26" t="inlineStr">
        <is>
          <t>S37-H남</t>
        </is>
      </c>
      <c r="D1913" s="47" t="n">
        <v>1</v>
      </c>
      <c r="E1913" s="26" t="inlineStr">
        <is>
          <t>측정</t>
        </is>
      </c>
      <c r="F1913" s="26" t="inlineStr">
        <is>
          <t>남</t>
        </is>
      </c>
      <c r="G1913" s="31" t="n">
        <v>8</v>
      </c>
      <c r="H1913" s="30" t="n"/>
      <c r="I1913" s="43" t="n"/>
      <c r="J1913" s="41" t="n"/>
      <c r="K1913" s="41" t="n"/>
      <c r="L1913" s="41" t="n"/>
      <c r="M1913" s="31">
        <f>IF(COUNT(J1913:L1913)=0,"",MEDIAN(J1913:L1913))</f>
        <v/>
      </c>
      <c r="N1913" s="26">
        <f>IF(COUNTIFS($C:$C,$C1913,$D:$D,$D1913,$E:$E,"P0(전)",$M:$M,"&gt;0")&lt;&gt;1,"P0(전) 유효 1개 아님",IF(COUNTIFS($C:$C,$C1913,$D:$D,$D1913,$E:$E,"P0(후)",$M:$M,"&gt;0")&lt;&gt;1,"P0(후) 유효 1개 아님",IF(NOT(AND(ISNUMBER(O1913),ISNUMBER(Q1913),ISNUMBER(I1913))),"시각 결측",IF(Q1913&lt;=O1913,"P0 시각 역전",IF(OR(I1913&lt;O1913,I1913&gt;Q1913),"측정시각 구간 밖","OK")))))</f>
        <v/>
      </c>
      <c r="O1913" s="48">
        <f>IF(COUNTIFS($C:$C,$C1913,$D:$D,$D1913,$E:$E,"P0(전)",$M:$M,"&gt;0")&lt;&gt;1,"",SUMIFS($I:$I,$C:$C,$C1913,$D:$D,$D1913,$E:$E,"P0(전)"))</f>
        <v/>
      </c>
      <c r="P1913" s="31">
        <f>IF(COUNTIFS($C:$C,$C1913,$D:$D,$D1913,$E:$E,"P0(전)",$M:$M,"&gt;0")&lt;&gt;1,"",SUMIFS($M:$M,$C:$C,$C1913,$D:$D,$D1913,$E:$E,"P0(전)"))</f>
        <v/>
      </c>
      <c r="Q1913" s="48">
        <f>IF(COUNTIFS($C:$C,$C1913,$D:$D,$D1913,$E:$E,"P0(후)",$M:$M,"&gt;0")&lt;&gt;1,"",SUMIFS($I:$I,$C:$C,$C1913,$D:$D,$D1913,$E:$E,"P0(후)"))</f>
        <v/>
      </c>
      <c r="R1913" s="31">
        <f>IF(COUNTIFS($C:$C,$C1913,$D:$D,$D1913,$E:$E,"P0(후)",$M:$M,"&gt;0")&lt;&gt;1,"",SUMIFS($M:$M,$C:$C,$C1913,$D:$D,$D1913,$E:$E,"P0(후)"))</f>
        <v/>
      </c>
      <c r="S1913" s="31">
        <f>IF(N1913&lt;&gt;"OK","",P1913+(R1913-P1913)*(I1913-O1913)/(Q1913-O1913))</f>
        <v/>
      </c>
      <c r="T1913" s="31">
        <f>IF(OR(N1913&lt;&gt;"OK",NOT(ISNUMBER(M1913))),"",M1913-S1913)</f>
        <v/>
      </c>
      <c r="U1913" s="49">
        <f>IF(OR(NOT(ISNUMBER(T1913)),IF(ISNUMBER(H1913),H1913,G1913)=0),"",T1913/IF(ISNUMBER(H1913),H1913,G1913))</f>
        <v/>
      </c>
      <c r="V1913" s="49">
        <f>IF(ISNUMBER(U1913),ABS(U1913),"")</f>
        <v/>
      </c>
      <c r="W1913" s="49">
        <f>IF(OR($E1912&lt;&gt;"측정",$C1912&lt;&gt;$C1913,$D1912&lt;&gt;$D1913,NOT(ISNUMBER(M1913)),NOT(ISNUMBER(M1912)),(IF(ISNUMBER(H1913),H1913,G1913)-IF(ISNUMBER(H1912),H1912,G1912))=0),"",(M1913-M1912)/(IF(ISNUMBER(H1913),H1913,G1913)-IF(ISNUMBER(H1912),H1912,G1912)))</f>
        <v/>
      </c>
      <c r="X1913" s="31">
        <f>IF(NOT(AND(ISNUMBER(O1913),ISNUMBER(Q1913))),"",(Q1913-O1913)*1440)</f>
        <v/>
      </c>
      <c r="Y1913" s="29" t="n"/>
      <c r="Z1913" s="29" t="n"/>
      <c r="AA1913" s="29" t="n"/>
      <c r="AB1913" s="32" t="n"/>
      <c r="AC1913" s="32" t="n"/>
    </row>
    <row r="1914">
      <c r="A1914" s="26" t="inlineStr">
        <is>
          <t>S37</t>
        </is>
      </c>
      <c r="B1914" s="26" t="inlineStr">
        <is>
          <t>부안</t>
        </is>
      </c>
      <c r="C1914" s="26" t="inlineStr">
        <is>
          <t>S37-H남</t>
        </is>
      </c>
      <c r="D1914" s="47" t="n">
        <v>1</v>
      </c>
      <c r="E1914" s="26" t="inlineStr">
        <is>
          <t>측정</t>
        </is>
      </c>
      <c r="F1914" s="26" t="inlineStr">
        <is>
          <t>남</t>
        </is>
      </c>
      <c r="G1914" s="31" t="n">
        <v>9</v>
      </c>
      <c r="H1914" s="30" t="n"/>
      <c r="I1914" s="43" t="n"/>
      <c r="J1914" s="41" t="n"/>
      <c r="K1914" s="41" t="n"/>
      <c r="L1914" s="41" t="n"/>
      <c r="M1914" s="31">
        <f>IF(COUNT(J1914:L1914)=0,"",MEDIAN(J1914:L1914))</f>
        <v/>
      </c>
      <c r="N1914" s="26">
        <f>IF(COUNTIFS($C:$C,$C1914,$D:$D,$D1914,$E:$E,"P0(전)",$M:$M,"&gt;0")&lt;&gt;1,"P0(전) 유효 1개 아님",IF(COUNTIFS($C:$C,$C1914,$D:$D,$D1914,$E:$E,"P0(후)",$M:$M,"&gt;0")&lt;&gt;1,"P0(후) 유효 1개 아님",IF(NOT(AND(ISNUMBER(O1914),ISNUMBER(Q1914),ISNUMBER(I1914))),"시각 결측",IF(Q1914&lt;=O1914,"P0 시각 역전",IF(OR(I1914&lt;O1914,I1914&gt;Q1914),"측정시각 구간 밖","OK")))))</f>
        <v/>
      </c>
      <c r="O1914" s="48">
        <f>IF(COUNTIFS($C:$C,$C1914,$D:$D,$D1914,$E:$E,"P0(전)",$M:$M,"&gt;0")&lt;&gt;1,"",SUMIFS($I:$I,$C:$C,$C1914,$D:$D,$D1914,$E:$E,"P0(전)"))</f>
        <v/>
      </c>
      <c r="P1914" s="31">
        <f>IF(COUNTIFS($C:$C,$C1914,$D:$D,$D1914,$E:$E,"P0(전)",$M:$M,"&gt;0")&lt;&gt;1,"",SUMIFS($M:$M,$C:$C,$C1914,$D:$D,$D1914,$E:$E,"P0(전)"))</f>
        <v/>
      </c>
      <c r="Q1914" s="48">
        <f>IF(COUNTIFS($C:$C,$C1914,$D:$D,$D1914,$E:$E,"P0(후)",$M:$M,"&gt;0")&lt;&gt;1,"",SUMIFS($I:$I,$C:$C,$C1914,$D:$D,$D1914,$E:$E,"P0(후)"))</f>
        <v/>
      </c>
      <c r="R1914" s="31">
        <f>IF(COUNTIFS($C:$C,$C1914,$D:$D,$D1914,$E:$E,"P0(후)",$M:$M,"&gt;0")&lt;&gt;1,"",SUMIFS($M:$M,$C:$C,$C1914,$D:$D,$D1914,$E:$E,"P0(후)"))</f>
        <v/>
      </c>
      <c r="S1914" s="31">
        <f>IF(N1914&lt;&gt;"OK","",P1914+(R1914-P1914)*(I1914-O1914)/(Q1914-O1914))</f>
        <v/>
      </c>
      <c r="T1914" s="31">
        <f>IF(OR(N1914&lt;&gt;"OK",NOT(ISNUMBER(M1914))),"",M1914-S1914)</f>
        <v/>
      </c>
      <c r="U1914" s="49">
        <f>IF(OR(NOT(ISNUMBER(T1914)),IF(ISNUMBER(H1914),H1914,G1914)=0),"",T1914/IF(ISNUMBER(H1914),H1914,G1914))</f>
        <v/>
      </c>
      <c r="V1914" s="49">
        <f>IF(ISNUMBER(U1914),ABS(U1914),"")</f>
        <v/>
      </c>
      <c r="W1914" s="49">
        <f>IF(OR($E1913&lt;&gt;"측정",$C1913&lt;&gt;$C1914,$D1913&lt;&gt;$D1914,NOT(ISNUMBER(M1914)),NOT(ISNUMBER(M1913)),(IF(ISNUMBER(H1914),H1914,G1914)-IF(ISNUMBER(H1913),H1913,G1913))=0),"",(M1914-M1913)/(IF(ISNUMBER(H1914),H1914,G1914)-IF(ISNUMBER(H1913),H1913,G1913)))</f>
        <v/>
      </c>
      <c r="X1914" s="31">
        <f>IF(NOT(AND(ISNUMBER(O1914),ISNUMBER(Q1914))),"",(Q1914-O1914)*1440)</f>
        <v/>
      </c>
      <c r="Y1914" s="29" t="n"/>
      <c r="Z1914" s="29" t="n"/>
      <c r="AA1914" s="29" t="n"/>
      <c r="AB1914" s="32" t="n"/>
      <c r="AC1914" s="32" t="n"/>
    </row>
    <row r="1915">
      <c r="A1915" s="26" t="inlineStr">
        <is>
          <t>S37</t>
        </is>
      </c>
      <c r="B1915" s="26" t="inlineStr">
        <is>
          <t>부안</t>
        </is>
      </c>
      <c r="C1915" s="26" t="inlineStr">
        <is>
          <t>S37-H남</t>
        </is>
      </c>
      <c r="D1915" s="47" t="n">
        <v>1</v>
      </c>
      <c r="E1915" s="26" t="inlineStr">
        <is>
          <t>측정</t>
        </is>
      </c>
      <c r="F1915" s="26" t="inlineStr">
        <is>
          <t>남</t>
        </is>
      </c>
      <c r="G1915" s="31" t="n">
        <v>10</v>
      </c>
      <c r="H1915" s="30" t="n"/>
      <c r="I1915" s="43" t="n"/>
      <c r="J1915" s="41" t="n"/>
      <c r="K1915" s="41" t="n"/>
      <c r="L1915" s="41" t="n"/>
      <c r="M1915" s="31">
        <f>IF(COUNT(J1915:L1915)=0,"",MEDIAN(J1915:L1915))</f>
        <v/>
      </c>
      <c r="N1915" s="26">
        <f>IF(COUNTIFS($C:$C,$C1915,$D:$D,$D1915,$E:$E,"P0(전)",$M:$M,"&gt;0")&lt;&gt;1,"P0(전) 유효 1개 아님",IF(COUNTIFS($C:$C,$C1915,$D:$D,$D1915,$E:$E,"P0(후)",$M:$M,"&gt;0")&lt;&gt;1,"P0(후) 유효 1개 아님",IF(NOT(AND(ISNUMBER(O1915),ISNUMBER(Q1915),ISNUMBER(I1915))),"시각 결측",IF(Q1915&lt;=O1915,"P0 시각 역전",IF(OR(I1915&lt;O1915,I1915&gt;Q1915),"측정시각 구간 밖","OK")))))</f>
        <v/>
      </c>
      <c r="O1915" s="48">
        <f>IF(COUNTIFS($C:$C,$C1915,$D:$D,$D1915,$E:$E,"P0(전)",$M:$M,"&gt;0")&lt;&gt;1,"",SUMIFS($I:$I,$C:$C,$C1915,$D:$D,$D1915,$E:$E,"P0(전)"))</f>
        <v/>
      </c>
      <c r="P1915" s="31">
        <f>IF(COUNTIFS($C:$C,$C1915,$D:$D,$D1915,$E:$E,"P0(전)",$M:$M,"&gt;0")&lt;&gt;1,"",SUMIFS($M:$M,$C:$C,$C1915,$D:$D,$D1915,$E:$E,"P0(전)"))</f>
        <v/>
      </c>
      <c r="Q1915" s="48">
        <f>IF(COUNTIFS($C:$C,$C1915,$D:$D,$D1915,$E:$E,"P0(후)",$M:$M,"&gt;0")&lt;&gt;1,"",SUMIFS($I:$I,$C:$C,$C1915,$D:$D,$D1915,$E:$E,"P0(후)"))</f>
        <v/>
      </c>
      <c r="R1915" s="31">
        <f>IF(COUNTIFS($C:$C,$C1915,$D:$D,$D1915,$E:$E,"P0(후)",$M:$M,"&gt;0")&lt;&gt;1,"",SUMIFS($M:$M,$C:$C,$C1915,$D:$D,$D1915,$E:$E,"P0(후)"))</f>
        <v/>
      </c>
      <c r="S1915" s="31">
        <f>IF(N1915&lt;&gt;"OK","",P1915+(R1915-P1915)*(I1915-O1915)/(Q1915-O1915))</f>
        <v/>
      </c>
      <c r="T1915" s="31">
        <f>IF(OR(N1915&lt;&gt;"OK",NOT(ISNUMBER(M1915))),"",M1915-S1915)</f>
        <v/>
      </c>
      <c r="U1915" s="49">
        <f>IF(OR(NOT(ISNUMBER(T1915)),IF(ISNUMBER(H1915),H1915,G1915)=0),"",T1915/IF(ISNUMBER(H1915),H1915,G1915))</f>
        <v/>
      </c>
      <c r="V1915" s="49">
        <f>IF(ISNUMBER(U1915),ABS(U1915),"")</f>
        <v/>
      </c>
      <c r="W1915" s="49">
        <f>IF(OR($E1914&lt;&gt;"측정",$C1914&lt;&gt;$C1915,$D1914&lt;&gt;$D1915,NOT(ISNUMBER(M1915)),NOT(ISNUMBER(M1914)),(IF(ISNUMBER(H1915),H1915,G1915)-IF(ISNUMBER(H1914),H1914,G1914))=0),"",(M1915-M1914)/(IF(ISNUMBER(H1915),H1915,G1915)-IF(ISNUMBER(H1914),H1914,G1914)))</f>
        <v/>
      </c>
      <c r="X1915" s="31">
        <f>IF(NOT(AND(ISNUMBER(O1915),ISNUMBER(Q1915))),"",(Q1915-O1915)*1440)</f>
        <v/>
      </c>
      <c r="Y1915" s="29" t="n"/>
      <c r="Z1915" s="29" t="n"/>
      <c r="AA1915" s="29" t="n"/>
      <c r="AB1915" s="32" t="n"/>
      <c r="AC1915" s="32" t="n"/>
    </row>
    <row r="1916">
      <c r="A1916" s="44" t="inlineStr">
        <is>
          <t>S37</t>
        </is>
      </c>
      <c r="B1916" s="44" t="inlineStr">
        <is>
          <t>부안</t>
        </is>
      </c>
      <c r="C1916" s="44" t="inlineStr">
        <is>
          <t>S37-H남</t>
        </is>
      </c>
      <c r="D1916" s="45" t="n">
        <v>1</v>
      </c>
      <c r="E1916" s="44" t="inlineStr">
        <is>
          <t>P0(후)</t>
        </is>
      </c>
      <c r="F1916" s="44" t="inlineStr">
        <is>
          <t>남</t>
        </is>
      </c>
      <c r="G1916" s="46" t="n"/>
      <c r="H1916" s="30" t="n"/>
      <c r="I1916" s="43" t="n"/>
      <c r="J1916" s="41" t="n"/>
      <c r="K1916" s="41" t="n"/>
      <c r="L1916" s="41" t="n"/>
      <c r="M1916" s="31">
        <f>IF(COUNT(J1916:L1916)=0,"",MEDIAN(J1916:L1916))</f>
        <v/>
      </c>
      <c r="N1916" s="38" t="n"/>
      <c r="O1916" s="38" t="n"/>
      <c r="P1916" s="38" t="n"/>
      <c r="Q1916" s="38" t="n"/>
      <c r="R1916" s="38" t="n"/>
      <c r="S1916" s="38" t="n"/>
      <c r="T1916" s="38" t="n"/>
      <c r="U1916" s="38" t="n"/>
      <c r="V1916" s="38" t="n"/>
      <c r="W1916" s="38" t="n"/>
      <c r="X1916" s="38" t="n"/>
      <c r="Y1916" s="29" t="n"/>
      <c r="Z1916" s="29" t="n"/>
      <c r="AA1916" s="29" t="n"/>
      <c r="AB1916" s="32" t="n"/>
      <c r="AC1916" s="32" t="n"/>
    </row>
    <row r="1917">
      <c r="A1917" s="44" t="inlineStr">
        <is>
          <t>S37</t>
        </is>
      </c>
      <c r="B1917" s="44" t="inlineStr">
        <is>
          <t>부안</t>
        </is>
      </c>
      <c r="C1917" s="44" t="inlineStr">
        <is>
          <t>S37-H북</t>
        </is>
      </c>
      <c r="D1917" s="45" t="n">
        <v>1</v>
      </c>
      <c r="E1917" s="44" t="inlineStr">
        <is>
          <t>P0(전)</t>
        </is>
      </c>
      <c r="F1917" s="44" t="inlineStr">
        <is>
          <t>북</t>
        </is>
      </c>
      <c r="G1917" s="46" t="n"/>
      <c r="H1917" s="30" t="n"/>
      <c r="I1917" s="43" t="n"/>
      <c r="J1917" s="41" t="n"/>
      <c r="K1917" s="41" t="n"/>
      <c r="L1917" s="41" t="n"/>
      <c r="M1917" s="31">
        <f>IF(COUNT(J1917:L1917)=0,"",MEDIAN(J1917:L1917))</f>
        <v/>
      </c>
      <c r="N1917" s="38" t="n"/>
      <c r="O1917" s="38" t="n"/>
      <c r="P1917" s="38" t="n"/>
      <c r="Q1917" s="38" t="n"/>
      <c r="R1917" s="38" t="n"/>
      <c r="S1917" s="38" t="n"/>
      <c r="T1917" s="38" t="n"/>
      <c r="U1917" s="38" t="n"/>
      <c r="V1917" s="38" t="n"/>
      <c r="W1917" s="38" t="n"/>
      <c r="X1917" s="38" t="n"/>
      <c r="Y1917" s="29" t="n"/>
      <c r="Z1917" s="29" t="n"/>
      <c r="AA1917" s="29" t="n"/>
      <c r="AB1917" s="32" t="n"/>
      <c r="AC1917" s="32" t="n"/>
    </row>
    <row r="1918">
      <c r="A1918" s="26" t="inlineStr">
        <is>
          <t>S37</t>
        </is>
      </c>
      <c r="B1918" s="26" t="inlineStr">
        <is>
          <t>부안</t>
        </is>
      </c>
      <c r="C1918" s="26" t="inlineStr">
        <is>
          <t>S37-H북</t>
        </is>
      </c>
      <c r="D1918" s="47" t="n">
        <v>1</v>
      </c>
      <c r="E1918" s="26" t="inlineStr">
        <is>
          <t>측정</t>
        </is>
      </c>
      <c r="F1918" s="26" t="inlineStr">
        <is>
          <t>북</t>
        </is>
      </c>
      <c r="G1918" s="31" t="n">
        <v>0.5</v>
      </c>
      <c r="H1918" s="30" t="n"/>
      <c r="I1918" s="43" t="n"/>
      <c r="J1918" s="41" t="n"/>
      <c r="K1918" s="41" t="n"/>
      <c r="L1918" s="41" t="n"/>
      <c r="M1918" s="31">
        <f>IF(COUNT(J1918:L1918)=0,"",MEDIAN(J1918:L1918))</f>
        <v/>
      </c>
      <c r="N1918" s="26">
        <f>IF(COUNTIFS($C:$C,$C1918,$D:$D,$D1918,$E:$E,"P0(전)",$M:$M,"&gt;0")&lt;&gt;1,"P0(전) 유효 1개 아님",IF(COUNTIFS($C:$C,$C1918,$D:$D,$D1918,$E:$E,"P0(후)",$M:$M,"&gt;0")&lt;&gt;1,"P0(후) 유효 1개 아님",IF(NOT(AND(ISNUMBER(O1918),ISNUMBER(Q1918),ISNUMBER(I1918))),"시각 결측",IF(Q1918&lt;=O1918,"P0 시각 역전",IF(OR(I1918&lt;O1918,I1918&gt;Q1918),"측정시각 구간 밖","OK")))))</f>
        <v/>
      </c>
      <c r="O1918" s="48">
        <f>IF(COUNTIFS($C:$C,$C1918,$D:$D,$D1918,$E:$E,"P0(전)",$M:$M,"&gt;0")&lt;&gt;1,"",SUMIFS($I:$I,$C:$C,$C1918,$D:$D,$D1918,$E:$E,"P0(전)"))</f>
        <v/>
      </c>
      <c r="P1918" s="31">
        <f>IF(COUNTIFS($C:$C,$C1918,$D:$D,$D1918,$E:$E,"P0(전)",$M:$M,"&gt;0")&lt;&gt;1,"",SUMIFS($M:$M,$C:$C,$C1918,$D:$D,$D1918,$E:$E,"P0(전)"))</f>
        <v/>
      </c>
      <c r="Q1918" s="48">
        <f>IF(COUNTIFS($C:$C,$C1918,$D:$D,$D1918,$E:$E,"P0(후)",$M:$M,"&gt;0")&lt;&gt;1,"",SUMIFS($I:$I,$C:$C,$C1918,$D:$D,$D1918,$E:$E,"P0(후)"))</f>
        <v/>
      </c>
      <c r="R1918" s="31">
        <f>IF(COUNTIFS($C:$C,$C1918,$D:$D,$D1918,$E:$E,"P0(후)",$M:$M,"&gt;0")&lt;&gt;1,"",SUMIFS($M:$M,$C:$C,$C1918,$D:$D,$D1918,$E:$E,"P0(후)"))</f>
        <v/>
      </c>
      <c r="S1918" s="31">
        <f>IF(N1918&lt;&gt;"OK","",P1918+(R1918-P1918)*(I1918-O1918)/(Q1918-O1918))</f>
        <v/>
      </c>
      <c r="T1918" s="31">
        <f>IF(OR(N1918&lt;&gt;"OK",NOT(ISNUMBER(M1918))),"",M1918-S1918)</f>
        <v/>
      </c>
      <c r="U1918" s="49">
        <f>IF(OR(NOT(ISNUMBER(T1918)),IF(ISNUMBER(H1918),H1918,G1918)=0),"",T1918/IF(ISNUMBER(H1918),H1918,G1918))</f>
        <v/>
      </c>
      <c r="V1918" s="49">
        <f>IF(ISNUMBER(U1918),ABS(U1918),"")</f>
        <v/>
      </c>
      <c r="W1918" s="49">
        <f>IF(OR($E1917&lt;&gt;"측정",$C1917&lt;&gt;$C1918,$D1917&lt;&gt;$D1918,NOT(ISNUMBER(M1918)),NOT(ISNUMBER(M1917)),(IF(ISNUMBER(H1918),H1918,G1918)-IF(ISNUMBER(H1917),H1917,G1917))=0),"",(M1918-M1917)/(IF(ISNUMBER(H1918),H1918,G1918)-IF(ISNUMBER(H1917),H1917,G1917)))</f>
        <v/>
      </c>
      <c r="X1918" s="31">
        <f>IF(NOT(AND(ISNUMBER(O1918),ISNUMBER(Q1918))),"",(Q1918-O1918)*1440)</f>
        <v/>
      </c>
      <c r="Y1918" s="29" t="n"/>
      <c r="Z1918" s="29" t="n"/>
      <c r="AA1918" s="29" t="n"/>
      <c r="AB1918" s="32" t="n"/>
      <c r="AC1918" s="32" t="n"/>
    </row>
    <row r="1919">
      <c r="A1919" s="26" t="inlineStr">
        <is>
          <t>S37</t>
        </is>
      </c>
      <c r="B1919" s="26" t="inlineStr">
        <is>
          <t>부안</t>
        </is>
      </c>
      <c r="C1919" s="26" t="inlineStr">
        <is>
          <t>S37-H북</t>
        </is>
      </c>
      <c r="D1919" s="47" t="n">
        <v>1</v>
      </c>
      <c r="E1919" s="26" t="inlineStr">
        <is>
          <t>측정</t>
        </is>
      </c>
      <c r="F1919" s="26" t="inlineStr">
        <is>
          <t>북</t>
        </is>
      </c>
      <c r="G1919" s="31" t="n">
        <v>1</v>
      </c>
      <c r="H1919" s="30" t="n"/>
      <c r="I1919" s="43" t="n"/>
      <c r="J1919" s="41" t="n"/>
      <c r="K1919" s="41" t="n"/>
      <c r="L1919" s="41" t="n"/>
      <c r="M1919" s="31">
        <f>IF(COUNT(J1919:L1919)=0,"",MEDIAN(J1919:L1919))</f>
        <v/>
      </c>
      <c r="N1919" s="26">
        <f>IF(COUNTIFS($C:$C,$C1919,$D:$D,$D1919,$E:$E,"P0(전)",$M:$M,"&gt;0")&lt;&gt;1,"P0(전) 유효 1개 아님",IF(COUNTIFS($C:$C,$C1919,$D:$D,$D1919,$E:$E,"P0(후)",$M:$M,"&gt;0")&lt;&gt;1,"P0(후) 유효 1개 아님",IF(NOT(AND(ISNUMBER(O1919),ISNUMBER(Q1919),ISNUMBER(I1919))),"시각 결측",IF(Q1919&lt;=O1919,"P0 시각 역전",IF(OR(I1919&lt;O1919,I1919&gt;Q1919),"측정시각 구간 밖","OK")))))</f>
        <v/>
      </c>
      <c r="O1919" s="48">
        <f>IF(COUNTIFS($C:$C,$C1919,$D:$D,$D1919,$E:$E,"P0(전)",$M:$M,"&gt;0")&lt;&gt;1,"",SUMIFS($I:$I,$C:$C,$C1919,$D:$D,$D1919,$E:$E,"P0(전)"))</f>
        <v/>
      </c>
      <c r="P1919" s="31">
        <f>IF(COUNTIFS($C:$C,$C1919,$D:$D,$D1919,$E:$E,"P0(전)",$M:$M,"&gt;0")&lt;&gt;1,"",SUMIFS($M:$M,$C:$C,$C1919,$D:$D,$D1919,$E:$E,"P0(전)"))</f>
        <v/>
      </c>
      <c r="Q1919" s="48">
        <f>IF(COUNTIFS($C:$C,$C1919,$D:$D,$D1919,$E:$E,"P0(후)",$M:$M,"&gt;0")&lt;&gt;1,"",SUMIFS($I:$I,$C:$C,$C1919,$D:$D,$D1919,$E:$E,"P0(후)"))</f>
        <v/>
      </c>
      <c r="R1919" s="31">
        <f>IF(COUNTIFS($C:$C,$C1919,$D:$D,$D1919,$E:$E,"P0(후)",$M:$M,"&gt;0")&lt;&gt;1,"",SUMIFS($M:$M,$C:$C,$C1919,$D:$D,$D1919,$E:$E,"P0(후)"))</f>
        <v/>
      </c>
      <c r="S1919" s="31">
        <f>IF(N1919&lt;&gt;"OK","",P1919+(R1919-P1919)*(I1919-O1919)/(Q1919-O1919))</f>
        <v/>
      </c>
      <c r="T1919" s="31">
        <f>IF(OR(N1919&lt;&gt;"OK",NOT(ISNUMBER(M1919))),"",M1919-S1919)</f>
        <v/>
      </c>
      <c r="U1919" s="49">
        <f>IF(OR(NOT(ISNUMBER(T1919)),IF(ISNUMBER(H1919),H1919,G1919)=0),"",T1919/IF(ISNUMBER(H1919),H1919,G1919))</f>
        <v/>
      </c>
      <c r="V1919" s="49">
        <f>IF(ISNUMBER(U1919),ABS(U1919),"")</f>
        <v/>
      </c>
      <c r="W1919" s="49">
        <f>IF(OR($E1918&lt;&gt;"측정",$C1918&lt;&gt;$C1919,$D1918&lt;&gt;$D1919,NOT(ISNUMBER(M1919)),NOT(ISNUMBER(M1918)),(IF(ISNUMBER(H1919),H1919,G1919)-IF(ISNUMBER(H1918),H1918,G1918))=0),"",(M1919-M1918)/(IF(ISNUMBER(H1919),H1919,G1919)-IF(ISNUMBER(H1918),H1918,G1918)))</f>
        <v/>
      </c>
      <c r="X1919" s="31">
        <f>IF(NOT(AND(ISNUMBER(O1919),ISNUMBER(Q1919))),"",(Q1919-O1919)*1440)</f>
        <v/>
      </c>
      <c r="Y1919" s="29" t="n"/>
      <c r="Z1919" s="29" t="n"/>
      <c r="AA1919" s="29" t="n"/>
      <c r="AB1919" s="32" t="n"/>
      <c r="AC1919" s="32" t="n"/>
    </row>
    <row r="1920">
      <c r="A1920" s="26" t="inlineStr">
        <is>
          <t>S37</t>
        </is>
      </c>
      <c r="B1920" s="26" t="inlineStr">
        <is>
          <t>부안</t>
        </is>
      </c>
      <c r="C1920" s="26" t="inlineStr">
        <is>
          <t>S37-H북</t>
        </is>
      </c>
      <c r="D1920" s="47" t="n">
        <v>1</v>
      </c>
      <c r="E1920" s="26" t="inlineStr">
        <is>
          <t>측정</t>
        </is>
      </c>
      <c r="F1920" s="26" t="inlineStr">
        <is>
          <t>북</t>
        </is>
      </c>
      <c r="G1920" s="31" t="n">
        <v>2</v>
      </c>
      <c r="H1920" s="30" t="n"/>
      <c r="I1920" s="43" t="n"/>
      <c r="J1920" s="41" t="n"/>
      <c r="K1920" s="41" t="n"/>
      <c r="L1920" s="41" t="n"/>
      <c r="M1920" s="31">
        <f>IF(COUNT(J1920:L1920)=0,"",MEDIAN(J1920:L1920))</f>
        <v/>
      </c>
      <c r="N1920" s="26">
        <f>IF(COUNTIFS($C:$C,$C1920,$D:$D,$D1920,$E:$E,"P0(전)",$M:$M,"&gt;0")&lt;&gt;1,"P0(전) 유효 1개 아님",IF(COUNTIFS($C:$C,$C1920,$D:$D,$D1920,$E:$E,"P0(후)",$M:$M,"&gt;0")&lt;&gt;1,"P0(후) 유효 1개 아님",IF(NOT(AND(ISNUMBER(O1920),ISNUMBER(Q1920),ISNUMBER(I1920))),"시각 결측",IF(Q1920&lt;=O1920,"P0 시각 역전",IF(OR(I1920&lt;O1920,I1920&gt;Q1920),"측정시각 구간 밖","OK")))))</f>
        <v/>
      </c>
      <c r="O1920" s="48">
        <f>IF(COUNTIFS($C:$C,$C1920,$D:$D,$D1920,$E:$E,"P0(전)",$M:$M,"&gt;0")&lt;&gt;1,"",SUMIFS($I:$I,$C:$C,$C1920,$D:$D,$D1920,$E:$E,"P0(전)"))</f>
        <v/>
      </c>
      <c r="P1920" s="31">
        <f>IF(COUNTIFS($C:$C,$C1920,$D:$D,$D1920,$E:$E,"P0(전)",$M:$M,"&gt;0")&lt;&gt;1,"",SUMIFS($M:$M,$C:$C,$C1920,$D:$D,$D1920,$E:$E,"P0(전)"))</f>
        <v/>
      </c>
      <c r="Q1920" s="48">
        <f>IF(COUNTIFS($C:$C,$C1920,$D:$D,$D1920,$E:$E,"P0(후)",$M:$M,"&gt;0")&lt;&gt;1,"",SUMIFS($I:$I,$C:$C,$C1920,$D:$D,$D1920,$E:$E,"P0(후)"))</f>
        <v/>
      </c>
      <c r="R1920" s="31">
        <f>IF(COUNTIFS($C:$C,$C1920,$D:$D,$D1920,$E:$E,"P0(후)",$M:$M,"&gt;0")&lt;&gt;1,"",SUMIFS($M:$M,$C:$C,$C1920,$D:$D,$D1920,$E:$E,"P0(후)"))</f>
        <v/>
      </c>
      <c r="S1920" s="31">
        <f>IF(N1920&lt;&gt;"OK","",P1920+(R1920-P1920)*(I1920-O1920)/(Q1920-O1920))</f>
        <v/>
      </c>
      <c r="T1920" s="31">
        <f>IF(OR(N1920&lt;&gt;"OK",NOT(ISNUMBER(M1920))),"",M1920-S1920)</f>
        <v/>
      </c>
      <c r="U1920" s="49">
        <f>IF(OR(NOT(ISNUMBER(T1920)),IF(ISNUMBER(H1920),H1920,G1920)=0),"",T1920/IF(ISNUMBER(H1920),H1920,G1920))</f>
        <v/>
      </c>
      <c r="V1920" s="49">
        <f>IF(ISNUMBER(U1920),ABS(U1920),"")</f>
        <v/>
      </c>
      <c r="W1920" s="49">
        <f>IF(OR($E1919&lt;&gt;"측정",$C1919&lt;&gt;$C1920,$D1919&lt;&gt;$D1920,NOT(ISNUMBER(M1920)),NOT(ISNUMBER(M1919)),(IF(ISNUMBER(H1920),H1920,G1920)-IF(ISNUMBER(H1919),H1919,G1919))=0),"",(M1920-M1919)/(IF(ISNUMBER(H1920),H1920,G1920)-IF(ISNUMBER(H1919),H1919,G1919)))</f>
        <v/>
      </c>
      <c r="X1920" s="31">
        <f>IF(NOT(AND(ISNUMBER(O1920),ISNUMBER(Q1920))),"",(Q1920-O1920)*1440)</f>
        <v/>
      </c>
      <c r="Y1920" s="29" t="n"/>
      <c r="Z1920" s="29" t="n"/>
      <c r="AA1920" s="29" t="n"/>
      <c r="AB1920" s="32" t="n"/>
      <c r="AC1920" s="32" t="n"/>
    </row>
    <row r="1921">
      <c r="A1921" s="26" t="inlineStr">
        <is>
          <t>S37</t>
        </is>
      </c>
      <c r="B1921" s="26" t="inlineStr">
        <is>
          <t>부안</t>
        </is>
      </c>
      <c r="C1921" s="26" t="inlineStr">
        <is>
          <t>S37-H북</t>
        </is>
      </c>
      <c r="D1921" s="47" t="n">
        <v>1</v>
      </c>
      <c r="E1921" s="26" t="inlineStr">
        <is>
          <t>측정</t>
        </is>
      </c>
      <c r="F1921" s="26" t="inlineStr">
        <is>
          <t>북</t>
        </is>
      </c>
      <c r="G1921" s="31" t="n">
        <v>3</v>
      </c>
      <c r="H1921" s="30" t="n"/>
      <c r="I1921" s="43" t="n"/>
      <c r="J1921" s="41" t="n"/>
      <c r="K1921" s="41" t="n"/>
      <c r="L1921" s="41" t="n"/>
      <c r="M1921" s="31">
        <f>IF(COUNT(J1921:L1921)=0,"",MEDIAN(J1921:L1921))</f>
        <v/>
      </c>
      <c r="N1921" s="26">
        <f>IF(COUNTIFS($C:$C,$C1921,$D:$D,$D1921,$E:$E,"P0(전)",$M:$M,"&gt;0")&lt;&gt;1,"P0(전) 유효 1개 아님",IF(COUNTIFS($C:$C,$C1921,$D:$D,$D1921,$E:$E,"P0(후)",$M:$M,"&gt;0")&lt;&gt;1,"P0(후) 유효 1개 아님",IF(NOT(AND(ISNUMBER(O1921),ISNUMBER(Q1921),ISNUMBER(I1921))),"시각 결측",IF(Q1921&lt;=O1921,"P0 시각 역전",IF(OR(I1921&lt;O1921,I1921&gt;Q1921),"측정시각 구간 밖","OK")))))</f>
        <v/>
      </c>
      <c r="O1921" s="48">
        <f>IF(COUNTIFS($C:$C,$C1921,$D:$D,$D1921,$E:$E,"P0(전)",$M:$M,"&gt;0")&lt;&gt;1,"",SUMIFS($I:$I,$C:$C,$C1921,$D:$D,$D1921,$E:$E,"P0(전)"))</f>
        <v/>
      </c>
      <c r="P1921" s="31">
        <f>IF(COUNTIFS($C:$C,$C1921,$D:$D,$D1921,$E:$E,"P0(전)",$M:$M,"&gt;0")&lt;&gt;1,"",SUMIFS($M:$M,$C:$C,$C1921,$D:$D,$D1921,$E:$E,"P0(전)"))</f>
        <v/>
      </c>
      <c r="Q1921" s="48">
        <f>IF(COUNTIFS($C:$C,$C1921,$D:$D,$D1921,$E:$E,"P0(후)",$M:$M,"&gt;0")&lt;&gt;1,"",SUMIFS($I:$I,$C:$C,$C1921,$D:$D,$D1921,$E:$E,"P0(후)"))</f>
        <v/>
      </c>
      <c r="R1921" s="31">
        <f>IF(COUNTIFS($C:$C,$C1921,$D:$D,$D1921,$E:$E,"P0(후)",$M:$M,"&gt;0")&lt;&gt;1,"",SUMIFS($M:$M,$C:$C,$C1921,$D:$D,$D1921,$E:$E,"P0(후)"))</f>
        <v/>
      </c>
      <c r="S1921" s="31">
        <f>IF(N1921&lt;&gt;"OK","",P1921+(R1921-P1921)*(I1921-O1921)/(Q1921-O1921))</f>
        <v/>
      </c>
      <c r="T1921" s="31">
        <f>IF(OR(N1921&lt;&gt;"OK",NOT(ISNUMBER(M1921))),"",M1921-S1921)</f>
        <v/>
      </c>
      <c r="U1921" s="49">
        <f>IF(OR(NOT(ISNUMBER(T1921)),IF(ISNUMBER(H1921),H1921,G1921)=0),"",T1921/IF(ISNUMBER(H1921),H1921,G1921))</f>
        <v/>
      </c>
      <c r="V1921" s="49">
        <f>IF(ISNUMBER(U1921),ABS(U1921),"")</f>
        <v/>
      </c>
      <c r="W1921" s="49">
        <f>IF(OR($E1920&lt;&gt;"측정",$C1920&lt;&gt;$C1921,$D1920&lt;&gt;$D1921,NOT(ISNUMBER(M1921)),NOT(ISNUMBER(M1920)),(IF(ISNUMBER(H1921),H1921,G1921)-IF(ISNUMBER(H1920),H1920,G1920))=0),"",(M1921-M1920)/(IF(ISNUMBER(H1921),H1921,G1921)-IF(ISNUMBER(H1920),H1920,G1920)))</f>
        <v/>
      </c>
      <c r="X1921" s="31">
        <f>IF(NOT(AND(ISNUMBER(O1921),ISNUMBER(Q1921))),"",(Q1921-O1921)*1440)</f>
        <v/>
      </c>
      <c r="Y1921" s="29" t="n"/>
      <c r="Z1921" s="29" t="n"/>
      <c r="AA1921" s="29" t="n"/>
      <c r="AB1921" s="32" t="n"/>
      <c r="AC1921" s="32" t="n"/>
    </row>
    <row r="1922">
      <c r="A1922" s="26" t="inlineStr">
        <is>
          <t>S37</t>
        </is>
      </c>
      <c r="B1922" s="26" t="inlineStr">
        <is>
          <t>부안</t>
        </is>
      </c>
      <c r="C1922" s="26" t="inlineStr">
        <is>
          <t>S37-H북</t>
        </is>
      </c>
      <c r="D1922" s="47" t="n">
        <v>1</v>
      </c>
      <c r="E1922" s="26" t="inlineStr">
        <is>
          <t>측정</t>
        </is>
      </c>
      <c r="F1922" s="26" t="inlineStr">
        <is>
          <t>북</t>
        </is>
      </c>
      <c r="G1922" s="31" t="n">
        <v>4</v>
      </c>
      <c r="H1922" s="30" t="n"/>
      <c r="I1922" s="43" t="n"/>
      <c r="J1922" s="41" t="n"/>
      <c r="K1922" s="41" t="n"/>
      <c r="L1922" s="41" t="n"/>
      <c r="M1922" s="31">
        <f>IF(COUNT(J1922:L1922)=0,"",MEDIAN(J1922:L1922))</f>
        <v/>
      </c>
      <c r="N1922" s="26">
        <f>IF(COUNTIFS($C:$C,$C1922,$D:$D,$D1922,$E:$E,"P0(전)",$M:$M,"&gt;0")&lt;&gt;1,"P0(전) 유효 1개 아님",IF(COUNTIFS($C:$C,$C1922,$D:$D,$D1922,$E:$E,"P0(후)",$M:$M,"&gt;0")&lt;&gt;1,"P0(후) 유효 1개 아님",IF(NOT(AND(ISNUMBER(O1922),ISNUMBER(Q1922),ISNUMBER(I1922))),"시각 결측",IF(Q1922&lt;=O1922,"P0 시각 역전",IF(OR(I1922&lt;O1922,I1922&gt;Q1922),"측정시각 구간 밖","OK")))))</f>
        <v/>
      </c>
      <c r="O1922" s="48">
        <f>IF(COUNTIFS($C:$C,$C1922,$D:$D,$D1922,$E:$E,"P0(전)",$M:$M,"&gt;0")&lt;&gt;1,"",SUMIFS($I:$I,$C:$C,$C1922,$D:$D,$D1922,$E:$E,"P0(전)"))</f>
        <v/>
      </c>
      <c r="P1922" s="31">
        <f>IF(COUNTIFS($C:$C,$C1922,$D:$D,$D1922,$E:$E,"P0(전)",$M:$M,"&gt;0")&lt;&gt;1,"",SUMIFS($M:$M,$C:$C,$C1922,$D:$D,$D1922,$E:$E,"P0(전)"))</f>
        <v/>
      </c>
      <c r="Q1922" s="48">
        <f>IF(COUNTIFS($C:$C,$C1922,$D:$D,$D1922,$E:$E,"P0(후)",$M:$M,"&gt;0")&lt;&gt;1,"",SUMIFS($I:$I,$C:$C,$C1922,$D:$D,$D1922,$E:$E,"P0(후)"))</f>
        <v/>
      </c>
      <c r="R1922" s="31">
        <f>IF(COUNTIFS($C:$C,$C1922,$D:$D,$D1922,$E:$E,"P0(후)",$M:$M,"&gt;0")&lt;&gt;1,"",SUMIFS($M:$M,$C:$C,$C1922,$D:$D,$D1922,$E:$E,"P0(후)"))</f>
        <v/>
      </c>
      <c r="S1922" s="31">
        <f>IF(N1922&lt;&gt;"OK","",P1922+(R1922-P1922)*(I1922-O1922)/(Q1922-O1922))</f>
        <v/>
      </c>
      <c r="T1922" s="31">
        <f>IF(OR(N1922&lt;&gt;"OK",NOT(ISNUMBER(M1922))),"",M1922-S1922)</f>
        <v/>
      </c>
      <c r="U1922" s="49">
        <f>IF(OR(NOT(ISNUMBER(T1922)),IF(ISNUMBER(H1922),H1922,G1922)=0),"",T1922/IF(ISNUMBER(H1922),H1922,G1922))</f>
        <v/>
      </c>
      <c r="V1922" s="49">
        <f>IF(ISNUMBER(U1922),ABS(U1922),"")</f>
        <v/>
      </c>
      <c r="W1922" s="49">
        <f>IF(OR($E1921&lt;&gt;"측정",$C1921&lt;&gt;$C1922,$D1921&lt;&gt;$D1922,NOT(ISNUMBER(M1922)),NOT(ISNUMBER(M1921)),(IF(ISNUMBER(H1922),H1922,G1922)-IF(ISNUMBER(H1921),H1921,G1921))=0),"",(M1922-M1921)/(IF(ISNUMBER(H1922),H1922,G1922)-IF(ISNUMBER(H1921),H1921,G1921)))</f>
        <v/>
      </c>
      <c r="X1922" s="31">
        <f>IF(NOT(AND(ISNUMBER(O1922),ISNUMBER(Q1922))),"",(Q1922-O1922)*1440)</f>
        <v/>
      </c>
      <c r="Y1922" s="29" t="n"/>
      <c r="Z1922" s="29" t="n"/>
      <c r="AA1922" s="29" t="n"/>
      <c r="AB1922" s="32" t="n"/>
      <c r="AC1922" s="32" t="n"/>
    </row>
    <row r="1923">
      <c r="A1923" s="26" t="inlineStr">
        <is>
          <t>S37</t>
        </is>
      </c>
      <c r="B1923" s="26" t="inlineStr">
        <is>
          <t>부안</t>
        </is>
      </c>
      <c r="C1923" s="26" t="inlineStr">
        <is>
          <t>S37-H북</t>
        </is>
      </c>
      <c r="D1923" s="47" t="n">
        <v>1</v>
      </c>
      <c r="E1923" s="26" t="inlineStr">
        <is>
          <t>측정</t>
        </is>
      </c>
      <c r="F1923" s="26" t="inlineStr">
        <is>
          <t>북</t>
        </is>
      </c>
      <c r="G1923" s="31" t="n">
        <v>5</v>
      </c>
      <c r="H1923" s="30" t="n"/>
      <c r="I1923" s="43" t="n"/>
      <c r="J1923" s="41" t="n"/>
      <c r="K1923" s="41" t="n"/>
      <c r="L1923" s="41" t="n"/>
      <c r="M1923" s="31">
        <f>IF(COUNT(J1923:L1923)=0,"",MEDIAN(J1923:L1923))</f>
        <v/>
      </c>
      <c r="N1923" s="26">
        <f>IF(COUNTIFS($C:$C,$C1923,$D:$D,$D1923,$E:$E,"P0(전)",$M:$M,"&gt;0")&lt;&gt;1,"P0(전) 유효 1개 아님",IF(COUNTIFS($C:$C,$C1923,$D:$D,$D1923,$E:$E,"P0(후)",$M:$M,"&gt;0")&lt;&gt;1,"P0(후) 유효 1개 아님",IF(NOT(AND(ISNUMBER(O1923),ISNUMBER(Q1923),ISNUMBER(I1923))),"시각 결측",IF(Q1923&lt;=O1923,"P0 시각 역전",IF(OR(I1923&lt;O1923,I1923&gt;Q1923),"측정시각 구간 밖","OK")))))</f>
        <v/>
      </c>
      <c r="O1923" s="48">
        <f>IF(COUNTIFS($C:$C,$C1923,$D:$D,$D1923,$E:$E,"P0(전)",$M:$M,"&gt;0")&lt;&gt;1,"",SUMIFS($I:$I,$C:$C,$C1923,$D:$D,$D1923,$E:$E,"P0(전)"))</f>
        <v/>
      </c>
      <c r="P1923" s="31">
        <f>IF(COUNTIFS($C:$C,$C1923,$D:$D,$D1923,$E:$E,"P0(전)",$M:$M,"&gt;0")&lt;&gt;1,"",SUMIFS($M:$M,$C:$C,$C1923,$D:$D,$D1923,$E:$E,"P0(전)"))</f>
        <v/>
      </c>
      <c r="Q1923" s="48">
        <f>IF(COUNTIFS($C:$C,$C1923,$D:$D,$D1923,$E:$E,"P0(후)",$M:$M,"&gt;0")&lt;&gt;1,"",SUMIFS($I:$I,$C:$C,$C1923,$D:$D,$D1923,$E:$E,"P0(후)"))</f>
        <v/>
      </c>
      <c r="R1923" s="31">
        <f>IF(COUNTIFS($C:$C,$C1923,$D:$D,$D1923,$E:$E,"P0(후)",$M:$M,"&gt;0")&lt;&gt;1,"",SUMIFS($M:$M,$C:$C,$C1923,$D:$D,$D1923,$E:$E,"P0(후)"))</f>
        <v/>
      </c>
      <c r="S1923" s="31">
        <f>IF(N1923&lt;&gt;"OK","",P1923+(R1923-P1923)*(I1923-O1923)/(Q1923-O1923))</f>
        <v/>
      </c>
      <c r="T1923" s="31">
        <f>IF(OR(N1923&lt;&gt;"OK",NOT(ISNUMBER(M1923))),"",M1923-S1923)</f>
        <v/>
      </c>
      <c r="U1923" s="49">
        <f>IF(OR(NOT(ISNUMBER(T1923)),IF(ISNUMBER(H1923),H1923,G1923)=0),"",T1923/IF(ISNUMBER(H1923),H1923,G1923))</f>
        <v/>
      </c>
      <c r="V1923" s="49">
        <f>IF(ISNUMBER(U1923),ABS(U1923),"")</f>
        <v/>
      </c>
      <c r="W1923" s="49">
        <f>IF(OR($E1922&lt;&gt;"측정",$C1922&lt;&gt;$C1923,$D1922&lt;&gt;$D1923,NOT(ISNUMBER(M1923)),NOT(ISNUMBER(M1922)),(IF(ISNUMBER(H1923),H1923,G1923)-IF(ISNUMBER(H1922),H1922,G1922))=0),"",(M1923-M1922)/(IF(ISNUMBER(H1923),H1923,G1923)-IF(ISNUMBER(H1922),H1922,G1922)))</f>
        <v/>
      </c>
      <c r="X1923" s="31">
        <f>IF(NOT(AND(ISNUMBER(O1923),ISNUMBER(Q1923))),"",(Q1923-O1923)*1440)</f>
        <v/>
      </c>
      <c r="Y1923" s="29" t="n"/>
      <c r="Z1923" s="29" t="n"/>
      <c r="AA1923" s="29" t="n"/>
      <c r="AB1923" s="32" t="n"/>
      <c r="AC1923" s="32" t="n"/>
    </row>
    <row r="1924">
      <c r="A1924" s="26" t="inlineStr">
        <is>
          <t>S37</t>
        </is>
      </c>
      <c r="B1924" s="26" t="inlineStr">
        <is>
          <t>부안</t>
        </is>
      </c>
      <c r="C1924" s="26" t="inlineStr">
        <is>
          <t>S37-H북</t>
        </is>
      </c>
      <c r="D1924" s="47" t="n">
        <v>1</v>
      </c>
      <c r="E1924" s="26" t="inlineStr">
        <is>
          <t>측정</t>
        </is>
      </c>
      <c r="F1924" s="26" t="inlineStr">
        <is>
          <t>북</t>
        </is>
      </c>
      <c r="G1924" s="31" t="n">
        <v>6</v>
      </c>
      <c r="H1924" s="30" t="n"/>
      <c r="I1924" s="43" t="n"/>
      <c r="J1924" s="41" t="n"/>
      <c r="K1924" s="41" t="n"/>
      <c r="L1924" s="41" t="n"/>
      <c r="M1924" s="31">
        <f>IF(COUNT(J1924:L1924)=0,"",MEDIAN(J1924:L1924))</f>
        <v/>
      </c>
      <c r="N1924" s="26">
        <f>IF(COUNTIFS($C:$C,$C1924,$D:$D,$D1924,$E:$E,"P0(전)",$M:$M,"&gt;0")&lt;&gt;1,"P0(전) 유효 1개 아님",IF(COUNTIFS($C:$C,$C1924,$D:$D,$D1924,$E:$E,"P0(후)",$M:$M,"&gt;0")&lt;&gt;1,"P0(후) 유효 1개 아님",IF(NOT(AND(ISNUMBER(O1924),ISNUMBER(Q1924),ISNUMBER(I1924))),"시각 결측",IF(Q1924&lt;=O1924,"P0 시각 역전",IF(OR(I1924&lt;O1924,I1924&gt;Q1924),"측정시각 구간 밖","OK")))))</f>
        <v/>
      </c>
      <c r="O1924" s="48">
        <f>IF(COUNTIFS($C:$C,$C1924,$D:$D,$D1924,$E:$E,"P0(전)",$M:$M,"&gt;0")&lt;&gt;1,"",SUMIFS($I:$I,$C:$C,$C1924,$D:$D,$D1924,$E:$E,"P0(전)"))</f>
        <v/>
      </c>
      <c r="P1924" s="31">
        <f>IF(COUNTIFS($C:$C,$C1924,$D:$D,$D1924,$E:$E,"P0(전)",$M:$M,"&gt;0")&lt;&gt;1,"",SUMIFS($M:$M,$C:$C,$C1924,$D:$D,$D1924,$E:$E,"P0(전)"))</f>
        <v/>
      </c>
      <c r="Q1924" s="48">
        <f>IF(COUNTIFS($C:$C,$C1924,$D:$D,$D1924,$E:$E,"P0(후)",$M:$M,"&gt;0")&lt;&gt;1,"",SUMIFS($I:$I,$C:$C,$C1924,$D:$D,$D1924,$E:$E,"P0(후)"))</f>
        <v/>
      </c>
      <c r="R1924" s="31">
        <f>IF(COUNTIFS($C:$C,$C1924,$D:$D,$D1924,$E:$E,"P0(후)",$M:$M,"&gt;0")&lt;&gt;1,"",SUMIFS($M:$M,$C:$C,$C1924,$D:$D,$D1924,$E:$E,"P0(후)"))</f>
        <v/>
      </c>
      <c r="S1924" s="31">
        <f>IF(N1924&lt;&gt;"OK","",P1924+(R1924-P1924)*(I1924-O1924)/(Q1924-O1924))</f>
        <v/>
      </c>
      <c r="T1924" s="31">
        <f>IF(OR(N1924&lt;&gt;"OK",NOT(ISNUMBER(M1924))),"",M1924-S1924)</f>
        <v/>
      </c>
      <c r="U1924" s="49">
        <f>IF(OR(NOT(ISNUMBER(T1924)),IF(ISNUMBER(H1924),H1924,G1924)=0),"",T1924/IF(ISNUMBER(H1924),H1924,G1924))</f>
        <v/>
      </c>
      <c r="V1924" s="49">
        <f>IF(ISNUMBER(U1924),ABS(U1924),"")</f>
        <v/>
      </c>
      <c r="W1924" s="49">
        <f>IF(OR($E1923&lt;&gt;"측정",$C1923&lt;&gt;$C1924,$D1923&lt;&gt;$D1924,NOT(ISNUMBER(M1924)),NOT(ISNUMBER(M1923)),(IF(ISNUMBER(H1924),H1924,G1924)-IF(ISNUMBER(H1923),H1923,G1923))=0),"",(M1924-M1923)/(IF(ISNUMBER(H1924),H1924,G1924)-IF(ISNUMBER(H1923),H1923,G1923)))</f>
        <v/>
      </c>
      <c r="X1924" s="31">
        <f>IF(NOT(AND(ISNUMBER(O1924),ISNUMBER(Q1924))),"",(Q1924-O1924)*1440)</f>
        <v/>
      </c>
      <c r="Y1924" s="29" t="n"/>
      <c r="Z1924" s="29" t="n"/>
      <c r="AA1924" s="29" t="n"/>
      <c r="AB1924" s="32" t="n"/>
      <c r="AC1924" s="32" t="n"/>
    </row>
    <row r="1925">
      <c r="A1925" s="26" t="inlineStr">
        <is>
          <t>S37</t>
        </is>
      </c>
      <c r="B1925" s="26" t="inlineStr">
        <is>
          <t>부안</t>
        </is>
      </c>
      <c r="C1925" s="26" t="inlineStr">
        <is>
          <t>S37-H북</t>
        </is>
      </c>
      <c r="D1925" s="47" t="n">
        <v>1</v>
      </c>
      <c r="E1925" s="26" t="inlineStr">
        <is>
          <t>측정</t>
        </is>
      </c>
      <c r="F1925" s="26" t="inlineStr">
        <is>
          <t>북</t>
        </is>
      </c>
      <c r="G1925" s="31" t="n">
        <v>7</v>
      </c>
      <c r="H1925" s="30" t="n"/>
      <c r="I1925" s="43" t="n"/>
      <c r="J1925" s="41" t="n"/>
      <c r="K1925" s="41" t="n"/>
      <c r="L1925" s="41" t="n"/>
      <c r="M1925" s="31">
        <f>IF(COUNT(J1925:L1925)=0,"",MEDIAN(J1925:L1925))</f>
        <v/>
      </c>
      <c r="N1925" s="26">
        <f>IF(COUNTIFS($C:$C,$C1925,$D:$D,$D1925,$E:$E,"P0(전)",$M:$M,"&gt;0")&lt;&gt;1,"P0(전) 유효 1개 아님",IF(COUNTIFS($C:$C,$C1925,$D:$D,$D1925,$E:$E,"P0(후)",$M:$M,"&gt;0")&lt;&gt;1,"P0(후) 유효 1개 아님",IF(NOT(AND(ISNUMBER(O1925),ISNUMBER(Q1925),ISNUMBER(I1925))),"시각 결측",IF(Q1925&lt;=O1925,"P0 시각 역전",IF(OR(I1925&lt;O1925,I1925&gt;Q1925),"측정시각 구간 밖","OK")))))</f>
        <v/>
      </c>
      <c r="O1925" s="48">
        <f>IF(COUNTIFS($C:$C,$C1925,$D:$D,$D1925,$E:$E,"P0(전)",$M:$M,"&gt;0")&lt;&gt;1,"",SUMIFS($I:$I,$C:$C,$C1925,$D:$D,$D1925,$E:$E,"P0(전)"))</f>
        <v/>
      </c>
      <c r="P1925" s="31">
        <f>IF(COUNTIFS($C:$C,$C1925,$D:$D,$D1925,$E:$E,"P0(전)",$M:$M,"&gt;0")&lt;&gt;1,"",SUMIFS($M:$M,$C:$C,$C1925,$D:$D,$D1925,$E:$E,"P0(전)"))</f>
        <v/>
      </c>
      <c r="Q1925" s="48">
        <f>IF(COUNTIFS($C:$C,$C1925,$D:$D,$D1925,$E:$E,"P0(후)",$M:$M,"&gt;0")&lt;&gt;1,"",SUMIFS($I:$I,$C:$C,$C1925,$D:$D,$D1925,$E:$E,"P0(후)"))</f>
        <v/>
      </c>
      <c r="R1925" s="31">
        <f>IF(COUNTIFS($C:$C,$C1925,$D:$D,$D1925,$E:$E,"P0(후)",$M:$M,"&gt;0")&lt;&gt;1,"",SUMIFS($M:$M,$C:$C,$C1925,$D:$D,$D1925,$E:$E,"P0(후)"))</f>
        <v/>
      </c>
      <c r="S1925" s="31">
        <f>IF(N1925&lt;&gt;"OK","",P1925+(R1925-P1925)*(I1925-O1925)/(Q1925-O1925))</f>
        <v/>
      </c>
      <c r="T1925" s="31">
        <f>IF(OR(N1925&lt;&gt;"OK",NOT(ISNUMBER(M1925))),"",M1925-S1925)</f>
        <v/>
      </c>
      <c r="U1925" s="49">
        <f>IF(OR(NOT(ISNUMBER(T1925)),IF(ISNUMBER(H1925),H1925,G1925)=0),"",T1925/IF(ISNUMBER(H1925),H1925,G1925))</f>
        <v/>
      </c>
      <c r="V1925" s="49">
        <f>IF(ISNUMBER(U1925),ABS(U1925),"")</f>
        <v/>
      </c>
      <c r="W1925" s="49">
        <f>IF(OR($E1924&lt;&gt;"측정",$C1924&lt;&gt;$C1925,$D1924&lt;&gt;$D1925,NOT(ISNUMBER(M1925)),NOT(ISNUMBER(M1924)),(IF(ISNUMBER(H1925),H1925,G1925)-IF(ISNUMBER(H1924),H1924,G1924))=0),"",(M1925-M1924)/(IF(ISNUMBER(H1925),H1925,G1925)-IF(ISNUMBER(H1924),H1924,G1924)))</f>
        <v/>
      </c>
      <c r="X1925" s="31">
        <f>IF(NOT(AND(ISNUMBER(O1925),ISNUMBER(Q1925))),"",(Q1925-O1925)*1440)</f>
        <v/>
      </c>
      <c r="Y1925" s="29" t="n"/>
      <c r="Z1925" s="29" t="n"/>
      <c r="AA1925" s="29" t="n"/>
      <c r="AB1925" s="32" t="n"/>
      <c r="AC1925" s="32" t="n"/>
    </row>
    <row r="1926">
      <c r="A1926" s="26" t="inlineStr">
        <is>
          <t>S37</t>
        </is>
      </c>
      <c r="B1926" s="26" t="inlineStr">
        <is>
          <t>부안</t>
        </is>
      </c>
      <c r="C1926" s="26" t="inlineStr">
        <is>
          <t>S37-H북</t>
        </is>
      </c>
      <c r="D1926" s="47" t="n">
        <v>1</v>
      </c>
      <c r="E1926" s="26" t="inlineStr">
        <is>
          <t>측정</t>
        </is>
      </c>
      <c r="F1926" s="26" t="inlineStr">
        <is>
          <t>북</t>
        </is>
      </c>
      <c r="G1926" s="31" t="n">
        <v>8</v>
      </c>
      <c r="H1926" s="30" t="n"/>
      <c r="I1926" s="43" t="n"/>
      <c r="J1926" s="41" t="n"/>
      <c r="K1926" s="41" t="n"/>
      <c r="L1926" s="41" t="n"/>
      <c r="M1926" s="31">
        <f>IF(COUNT(J1926:L1926)=0,"",MEDIAN(J1926:L1926))</f>
        <v/>
      </c>
      <c r="N1926" s="26">
        <f>IF(COUNTIFS($C:$C,$C1926,$D:$D,$D1926,$E:$E,"P0(전)",$M:$M,"&gt;0")&lt;&gt;1,"P0(전) 유효 1개 아님",IF(COUNTIFS($C:$C,$C1926,$D:$D,$D1926,$E:$E,"P0(후)",$M:$M,"&gt;0")&lt;&gt;1,"P0(후) 유효 1개 아님",IF(NOT(AND(ISNUMBER(O1926),ISNUMBER(Q1926),ISNUMBER(I1926))),"시각 결측",IF(Q1926&lt;=O1926,"P0 시각 역전",IF(OR(I1926&lt;O1926,I1926&gt;Q1926),"측정시각 구간 밖","OK")))))</f>
        <v/>
      </c>
      <c r="O1926" s="48">
        <f>IF(COUNTIFS($C:$C,$C1926,$D:$D,$D1926,$E:$E,"P0(전)",$M:$M,"&gt;0")&lt;&gt;1,"",SUMIFS($I:$I,$C:$C,$C1926,$D:$D,$D1926,$E:$E,"P0(전)"))</f>
        <v/>
      </c>
      <c r="P1926" s="31">
        <f>IF(COUNTIFS($C:$C,$C1926,$D:$D,$D1926,$E:$E,"P0(전)",$M:$M,"&gt;0")&lt;&gt;1,"",SUMIFS($M:$M,$C:$C,$C1926,$D:$D,$D1926,$E:$E,"P0(전)"))</f>
        <v/>
      </c>
      <c r="Q1926" s="48">
        <f>IF(COUNTIFS($C:$C,$C1926,$D:$D,$D1926,$E:$E,"P0(후)",$M:$M,"&gt;0")&lt;&gt;1,"",SUMIFS($I:$I,$C:$C,$C1926,$D:$D,$D1926,$E:$E,"P0(후)"))</f>
        <v/>
      </c>
      <c r="R1926" s="31">
        <f>IF(COUNTIFS($C:$C,$C1926,$D:$D,$D1926,$E:$E,"P0(후)",$M:$M,"&gt;0")&lt;&gt;1,"",SUMIFS($M:$M,$C:$C,$C1926,$D:$D,$D1926,$E:$E,"P0(후)"))</f>
        <v/>
      </c>
      <c r="S1926" s="31">
        <f>IF(N1926&lt;&gt;"OK","",P1926+(R1926-P1926)*(I1926-O1926)/(Q1926-O1926))</f>
        <v/>
      </c>
      <c r="T1926" s="31">
        <f>IF(OR(N1926&lt;&gt;"OK",NOT(ISNUMBER(M1926))),"",M1926-S1926)</f>
        <v/>
      </c>
      <c r="U1926" s="49">
        <f>IF(OR(NOT(ISNUMBER(T1926)),IF(ISNUMBER(H1926),H1926,G1926)=0),"",T1926/IF(ISNUMBER(H1926),H1926,G1926))</f>
        <v/>
      </c>
      <c r="V1926" s="49">
        <f>IF(ISNUMBER(U1926),ABS(U1926),"")</f>
        <v/>
      </c>
      <c r="W1926" s="49">
        <f>IF(OR($E1925&lt;&gt;"측정",$C1925&lt;&gt;$C1926,$D1925&lt;&gt;$D1926,NOT(ISNUMBER(M1926)),NOT(ISNUMBER(M1925)),(IF(ISNUMBER(H1926),H1926,G1926)-IF(ISNUMBER(H1925),H1925,G1925))=0),"",(M1926-M1925)/(IF(ISNUMBER(H1926),H1926,G1926)-IF(ISNUMBER(H1925),H1925,G1925)))</f>
        <v/>
      </c>
      <c r="X1926" s="31">
        <f>IF(NOT(AND(ISNUMBER(O1926),ISNUMBER(Q1926))),"",(Q1926-O1926)*1440)</f>
        <v/>
      </c>
      <c r="Y1926" s="29" t="n"/>
      <c r="Z1926" s="29" t="n"/>
      <c r="AA1926" s="29" t="n"/>
      <c r="AB1926" s="32" t="n"/>
      <c r="AC1926" s="32" t="n"/>
    </row>
    <row r="1927">
      <c r="A1927" s="26" t="inlineStr">
        <is>
          <t>S37</t>
        </is>
      </c>
      <c r="B1927" s="26" t="inlineStr">
        <is>
          <t>부안</t>
        </is>
      </c>
      <c r="C1927" s="26" t="inlineStr">
        <is>
          <t>S37-H북</t>
        </is>
      </c>
      <c r="D1927" s="47" t="n">
        <v>1</v>
      </c>
      <c r="E1927" s="26" t="inlineStr">
        <is>
          <t>측정</t>
        </is>
      </c>
      <c r="F1927" s="26" t="inlineStr">
        <is>
          <t>북</t>
        </is>
      </c>
      <c r="G1927" s="31" t="n">
        <v>9</v>
      </c>
      <c r="H1927" s="30" t="n"/>
      <c r="I1927" s="43" t="n"/>
      <c r="J1927" s="41" t="n"/>
      <c r="K1927" s="41" t="n"/>
      <c r="L1927" s="41" t="n"/>
      <c r="M1927" s="31">
        <f>IF(COUNT(J1927:L1927)=0,"",MEDIAN(J1927:L1927))</f>
        <v/>
      </c>
      <c r="N1927" s="26">
        <f>IF(COUNTIFS($C:$C,$C1927,$D:$D,$D1927,$E:$E,"P0(전)",$M:$M,"&gt;0")&lt;&gt;1,"P0(전) 유효 1개 아님",IF(COUNTIFS($C:$C,$C1927,$D:$D,$D1927,$E:$E,"P0(후)",$M:$M,"&gt;0")&lt;&gt;1,"P0(후) 유효 1개 아님",IF(NOT(AND(ISNUMBER(O1927),ISNUMBER(Q1927),ISNUMBER(I1927))),"시각 결측",IF(Q1927&lt;=O1927,"P0 시각 역전",IF(OR(I1927&lt;O1927,I1927&gt;Q1927),"측정시각 구간 밖","OK")))))</f>
        <v/>
      </c>
      <c r="O1927" s="48">
        <f>IF(COUNTIFS($C:$C,$C1927,$D:$D,$D1927,$E:$E,"P0(전)",$M:$M,"&gt;0")&lt;&gt;1,"",SUMIFS($I:$I,$C:$C,$C1927,$D:$D,$D1927,$E:$E,"P0(전)"))</f>
        <v/>
      </c>
      <c r="P1927" s="31">
        <f>IF(COUNTIFS($C:$C,$C1927,$D:$D,$D1927,$E:$E,"P0(전)",$M:$M,"&gt;0")&lt;&gt;1,"",SUMIFS($M:$M,$C:$C,$C1927,$D:$D,$D1927,$E:$E,"P0(전)"))</f>
        <v/>
      </c>
      <c r="Q1927" s="48">
        <f>IF(COUNTIFS($C:$C,$C1927,$D:$D,$D1927,$E:$E,"P0(후)",$M:$M,"&gt;0")&lt;&gt;1,"",SUMIFS($I:$I,$C:$C,$C1927,$D:$D,$D1927,$E:$E,"P0(후)"))</f>
        <v/>
      </c>
      <c r="R1927" s="31">
        <f>IF(COUNTIFS($C:$C,$C1927,$D:$D,$D1927,$E:$E,"P0(후)",$M:$M,"&gt;0")&lt;&gt;1,"",SUMIFS($M:$M,$C:$C,$C1927,$D:$D,$D1927,$E:$E,"P0(후)"))</f>
        <v/>
      </c>
      <c r="S1927" s="31">
        <f>IF(N1927&lt;&gt;"OK","",P1927+(R1927-P1927)*(I1927-O1927)/(Q1927-O1927))</f>
        <v/>
      </c>
      <c r="T1927" s="31">
        <f>IF(OR(N1927&lt;&gt;"OK",NOT(ISNUMBER(M1927))),"",M1927-S1927)</f>
        <v/>
      </c>
      <c r="U1927" s="49">
        <f>IF(OR(NOT(ISNUMBER(T1927)),IF(ISNUMBER(H1927),H1927,G1927)=0),"",T1927/IF(ISNUMBER(H1927),H1927,G1927))</f>
        <v/>
      </c>
      <c r="V1927" s="49">
        <f>IF(ISNUMBER(U1927),ABS(U1927),"")</f>
        <v/>
      </c>
      <c r="W1927" s="49">
        <f>IF(OR($E1926&lt;&gt;"측정",$C1926&lt;&gt;$C1927,$D1926&lt;&gt;$D1927,NOT(ISNUMBER(M1927)),NOT(ISNUMBER(M1926)),(IF(ISNUMBER(H1927),H1927,G1927)-IF(ISNUMBER(H1926),H1926,G1926))=0),"",(M1927-M1926)/(IF(ISNUMBER(H1927),H1927,G1927)-IF(ISNUMBER(H1926),H1926,G1926)))</f>
        <v/>
      </c>
      <c r="X1927" s="31">
        <f>IF(NOT(AND(ISNUMBER(O1927),ISNUMBER(Q1927))),"",(Q1927-O1927)*1440)</f>
        <v/>
      </c>
      <c r="Y1927" s="29" t="n"/>
      <c r="Z1927" s="29" t="n"/>
      <c r="AA1927" s="29" t="n"/>
      <c r="AB1927" s="32" t="n"/>
      <c r="AC1927" s="32" t="n"/>
    </row>
    <row r="1928">
      <c r="A1928" s="26" t="inlineStr">
        <is>
          <t>S37</t>
        </is>
      </c>
      <c r="B1928" s="26" t="inlineStr">
        <is>
          <t>부안</t>
        </is>
      </c>
      <c r="C1928" s="26" t="inlineStr">
        <is>
          <t>S37-H북</t>
        </is>
      </c>
      <c r="D1928" s="47" t="n">
        <v>1</v>
      </c>
      <c r="E1928" s="26" t="inlineStr">
        <is>
          <t>측정</t>
        </is>
      </c>
      <c r="F1928" s="26" t="inlineStr">
        <is>
          <t>북</t>
        </is>
      </c>
      <c r="G1928" s="31" t="n">
        <v>10</v>
      </c>
      <c r="H1928" s="30" t="n"/>
      <c r="I1928" s="43" t="n"/>
      <c r="J1928" s="41" t="n"/>
      <c r="K1928" s="41" t="n"/>
      <c r="L1928" s="41" t="n"/>
      <c r="M1928" s="31">
        <f>IF(COUNT(J1928:L1928)=0,"",MEDIAN(J1928:L1928))</f>
        <v/>
      </c>
      <c r="N1928" s="26">
        <f>IF(COUNTIFS($C:$C,$C1928,$D:$D,$D1928,$E:$E,"P0(전)",$M:$M,"&gt;0")&lt;&gt;1,"P0(전) 유효 1개 아님",IF(COUNTIFS($C:$C,$C1928,$D:$D,$D1928,$E:$E,"P0(후)",$M:$M,"&gt;0")&lt;&gt;1,"P0(후) 유효 1개 아님",IF(NOT(AND(ISNUMBER(O1928),ISNUMBER(Q1928),ISNUMBER(I1928))),"시각 결측",IF(Q1928&lt;=O1928,"P0 시각 역전",IF(OR(I1928&lt;O1928,I1928&gt;Q1928),"측정시각 구간 밖","OK")))))</f>
        <v/>
      </c>
      <c r="O1928" s="48">
        <f>IF(COUNTIFS($C:$C,$C1928,$D:$D,$D1928,$E:$E,"P0(전)",$M:$M,"&gt;0")&lt;&gt;1,"",SUMIFS($I:$I,$C:$C,$C1928,$D:$D,$D1928,$E:$E,"P0(전)"))</f>
        <v/>
      </c>
      <c r="P1928" s="31">
        <f>IF(COUNTIFS($C:$C,$C1928,$D:$D,$D1928,$E:$E,"P0(전)",$M:$M,"&gt;0")&lt;&gt;1,"",SUMIFS($M:$M,$C:$C,$C1928,$D:$D,$D1928,$E:$E,"P0(전)"))</f>
        <v/>
      </c>
      <c r="Q1928" s="48">
        <f>IF(COUNTIFS($C:$C,$C1928,$D:$D,$D1928,$E:$E,"P0(후)",$M:$M,"&gt;0")&lt;&gt;1,"",SUMIFS($I:$I,$C:$C,$C1928,$D:$D,$D1928,$E:$E,"P0(후)"))</f>
        <v/>
      </c>
      <c r="R1928" s="31">
        <f>IF(COUNTIFS($C:$C,$C1928,$D:$D,$D1928,$E:$E,"P0(후)",$M:$M,"&gt;0")&lt;&gt;1,"",SUMIFS($M:$M,$C:$C,$C1928,$D:$D,$D1928,$E:$E,"P0(후)"))</f>
        <v/>
      </c>
      <c r="S1928" s="31">
        <f>IF(N1928&lt;&gt;"OK","",P1928+(R1928-P1928)*(I1928-O1928)/(Q1928-O1928))</f>
        <v/>
      </c>
      <c r="T1928" s="31">
        <f>IF(OR(N1928&lt;&gt;"OK",NOT(ISNUMBER(M1928))),"",M1928-S1928)</f>
        <v/>
      </c>
      <c r="U1928" s="49">
        <f>IF(OR(NOT(ISNUMBER(T1928)),IF(ISNUMBER(H1928),H1928,G1928)=0),"",T1928/IF(ISNUMBER(H1928),H1928,G1928))</f>
        <v/>
      </c>
      <c r="V1928" s="49">
        <f>IF(ISNUMBER(U1928),ABS(U1928),"")</f>
        <v/>
      </c>
      <c r="W1928" s="49">
        <f>IF(OR($E1927&lt;&gt;"측정",$C1927&lt;&gt;$C1928,$D1927&lt;&gt;$D1928,NOT(ISNUMBER(M1928)),NOT(ISNUMBER(M1927)),(IF(ISNUMBER(H1928),H1928,G1928)-IF(ISNUMBER(H1927),H1927,G1927))=0),"",(M1928-M1927)/(IF(ISNUMBER(H1928),H1928,G1928)-IF(ISNUMBER(H1927),H1927,G1927)))</f>
        <v/>
      </c>
      <c r="X1928" s="31">
        <f>IF(NOT(AND(ISNUMBER(O1928),ISNUMBER(Q1928))),"",(Q1928-O1928)*1440)</f>
        <v/>
      </c>
      <c r="Y1928" s="29" t="n"/>
      <c r="Z1928" s="29" t="n"/>
      <c r="AA1928" s="29" t="n"/>
      <c r="AB1928" s="32" t="n"/>
      <c r="AC1928" s="32" t="n"/>
    </row>
    <row r="1929">
      <c r="A1929" s="44" t="inlineStr">
        <is>
          <t>S37</t>
        </is>
      </c>
      <c r="B1929" s="44" t="inlineStr">
        <is>
          <t>부안</t>
        </is>
      </c>
      <c r="C1929" s="44" t="inlineStr">
        <is>
          <t>S37-H북</t>
        </is>
      </c>
      <c r="D1929" s="45" t="n">
        <v>1</v>
      </c>
      <c r="E1929" s="44" t="inlineStr">
        <is>
          <t>P0(후)</t>
        </is>
      </c>
      <c r="F1929" s="44" t="inlineStr">
        <is>
          <t>북</t>
        </is>
      </c>
      <c r="G1929" s="46" t="n"/>
      <c r="H1929" s="30" t="n"/>
      <c r="I1929" s="43" t="n"/>
      <c r="J1929" s="41" t="n"/>
      <c r="K1929" s="41" t="n"/>
      <c r="L1929" s="41" t="n"/>
      <c r="M1929" s="31">
        <f>IF(COUNT(J1929:L1929)=0,"",MEDIAN(J1929:L1929))</f>
        <v/>
      </c>
      <c r="N1929" s="38" t="n"/>
      <c r="O1929" s="38" t="n"/>
      <c r="P1929" s="38" t="n"/>
      <c r="Q1929" s="38" t="n"/>
      <c r="R1929" s="38" t="n"/>
      <c r="S1929" s="38" t="n"/>
      <c r="T1929" s="38" t="n"/>
      <c r="U1929" s="38" t="n"/>
      <c r="V1929" s="38" t="n"/>
      <c r="W1929" s="38" t="n"/>
      <c r="X1929" s="38" t="n"/>
      <c r="Y1929" s="29" t="n"/>
      <c r="Z1929" s="29" t="n"/>
      <c r="AA1929" s="29" t="n"/>
      <c r="AB1929" s="32" t="n"/>
      <c r="AC1929" s="32" t="n"/>
    </row>
    <row r="1930">
      <c r="A1930" s="44" t="inlineStr">
        <is>
          <t>S38</t>
        </is>
      </c>
      <c r="B1930" s="44" t="inlineStr">
        <is>
          <t>강화</t>
        </is>
      </c>
      <c r="C1930" s="44" t="inlineStr">
        <is>
          <t>S38-H동</t>
        </is>
      </c>
      <c r="D1930" s="45" t="n">
        <v>1</v>
      </c>
      <c r="E1930" s="44" t="inlineStr">
        <is>
          <t>P0(전)</t>
        </is>
      </c>
      <c r="F1930" s="44" t="inlineStr">
        <is>
          <t>동</t>
        </is>
      </c>
      <c r="G1930" s="46" t="n"/>
      <c r="H1930" s="30" t="n"/>
      <c r="I1930" s="43" t="n"/>
      <c r="J1930" s="41" t="n"/>
      <c r="K1930" s="41" t="n"/>
      <c r="L1930" s="41" t="n"/>
      <c r="M1930" s="31">
        <f>IF(COUNT(J1930:L1930)=0,"",MEDIAN(J1930:L1930))</f>
        <v/>
      </c>
      <c r="N1930" s="38" t="n"/>
      <c r="O1930" s="38" t="n"/>
      <c r="P1930" s="38" t="n"/>
      <c r="Q1930" s="38" t="n"/>
      <c r="R1930" s="38" t="n"/>
      <c r="S1930" s="38" t="n"/>
      <c r="T1930" s="38" t="n"/>
      <c r="U1930" s="38" t="n"/>
      <c r="V1930" s="38" t="n"/>
      <c r="W1930" s="38" t="n"/>
      <c r="X1930" s="38" t="n"/>
      <c r="Y1930" s="29" t="n"/>
      <c r="Z1930" s="29" t="n"/>
      <c r="AA1930" s="29" t="n"/>
      <c r="AB1930" s="32" t="n"/>
      <c r="AC1930" s="32" t="n"/>
    </row>
    <row r="1931">
      <c r="A1931" s="26" t="inlineStr">
        <is>
          <t>S38</t>
        </is>
      </c>
      <c r="B1931" s="26" t="inlineStr">
        <is>
          <t>강화</t>
        </is>
      </c>
      <c r="C1931" s="26" t="inlineStr">
        <is>
          <t>S38-H동</t>
        </is>
      </c>
      <c r="D1931" s="47" t="n">
        <v>1</v>
      </c>
      <c r="E1931" s="26" t="inlineStr">
        <is>
          <t>측정</t>
        </is>
      </c>
      <c r="F1931" s="26" t="inlineStr">
        <is>
          <t>동</t>
        </is>
      </c>
      <c r="G1931" s="31" t="n">
        <v>0.5</v>
      </c>
      <c r="H1931" s="30" t="n"/>
      <c r="I1931" s="43" t="n"/>
      <c r="J1931" s="41" t="n"/>
      <c r="K1931" s="41" t="n"/>
      <c r="L1931" s="41" t="n"/>
      <c r="M1931" s="31">
        <f>IF(COUNT(J1931:L1931)=0,"",MEDIAN(J1931:L1931))</f>
        <v/>
      </c>
      <c r="N1931" s="26">
        <f>IF(COUNTIFS($C:$C,$C1931,$D:$D,$D1931,$E:$E,"P0(전)",$M:$M,"&gt;0")&lt;&gt;1,"P0(전) 유효 1개 아님",IF(COUNTIFS($C:$C,$C1931,$D:$D,$D1931,$E:$E,"P0(후)",$M:$M,"&gt;0")&lt;&gt;1,"P0(후) 유효 1개 아님",IF(NOT(AND(ISNUMBER(O1931),ISNUMBER(Q1931),ISNUMBER(I1931))),"시각 결측",IF(Q1931&lt;=O1931,"P0 시각 역전",IF(OR(I1931&lt;O1931,I1931&gt;Q1931),"측정시각 구간 밖","OK")))))</f>
        <v/>
      </c>
      <c r="O1931" s="48">
        <f>IF(COUNTIFS($C:$C,$C1931,$D:$D,$D1931,$E:$E,"P0(전)",$M:$M,"&gt;0")&lt;&gt;1,"",SUMIFS($I:$I,$C:$C,$C1931,$D:$D,$D1931,$E:$E,"P0(전)"))</f>
        <v/>
      </c>
      <c r="P1931" s="31">
        <f>IF(COUNTIFS($C:$C,$C1931,$D:$D,$D1931,$E:$E,"P0(전)",$M:$M,"&gt;0")&lt;&gt;1,"",SUMIFS($M:$M,$C:$C,$C1931,$D:$D,$D1931,$E:$E,"P0(전)"))</f>
        <v/>
      </c>
      <c r="Q1931" s="48">
        <f>IF(COUNTIFS($C:$C,$C1931,$D:$D,$D1931,$E:$E,"P0(후)",$M:$M,"&gt;0")&lt;&gt;1,"",SUMIFS($I:$I,$C:$C,$C1931,$D:$D,$D1931,$E:$E,"P0(후)"))</f>
        <v/>
      </c>
      <c r="R1931" s="31">
        <f>IF(COUNTIFS($C:$C,$C1931,$D:$D,$D1931,$E:$E,"P0(후)",$M:$M,"&gt;0")&lt;&gt;1,"",SUMIFS($M:$M,$C:$C,$C1931,$D:$D,$D1931,$E:$E,"P0(후)"))</f>
        <v/>
      </c>
      <c r="S1931" s="31">
        <f>IF(N1931&lt;&gt;"OK","",P1931+(R1931-P1931)*(I1931-O1931)/(Q1931-O1931))</f>
        <v/>
      </c>
      <c r="T1931" s="31">
        <f>IF(OR(N1931&lt;&gt;"OK",NOT(ISNUMBER(M1931))),"",M1931-S1931)</f>
        <v/>
      </c>
      <c r="U1931" s="49">
        <f>IF(OR(NOT(ISNUMBER(T1931)),IF(ISNUMBER(H1931),H1931,G1931)=0),"",T1931/IF(ISNUMBER(H1931),H1931,G1931))</f>
        <v/>
      </c>
      <c r="V1931" s="49">
        <f>IF(ISNUMBER(U1931),ABS(U1931),"")</f>
        <v/>
      </c>
      <c r="W1931" s="49">
        <f>IF(OR($E1930&lt;&gt;"측정",$C1930&lt;&gt;$C1931,$D1930&lt;&gt;$D1931,NOT(ISNUMBER(M1931)),NOT(ISNUMBER(M1930)),(IF(ISNUMBER(H1931),H1931,G1931)-IF(ISNUMBER(H1930),H1930,G1930))=0),"",(M1931-M1930)/(IF(ISNUMBER(H1931),H1931,G1931)-IF(ISNUMBER(H1930),H1930,G1930)))</f>
        <v/>
      </c>
      <c r="X1931" s="31">
        <f>IF(NOT(AND(ISNUMBER(O1931),ISNUMBER(Q1931))),"",(Q1931-O1931)*1440)</f>
        <v/>
      </c>
      <c r="Y1931" s="29" t="n"/>
      <c r="Z1931" s="29" t="n"/>
      <c r="AA1931" s="29" t="n"/>
      <c r="AB1931" s="32" t="n"/>
      <c r="AC1931" s="32" t="n"/>
    </row>
    <row r="1932">
      <c r="A1932" s="26" t="inlineStr">
        <is>
          <t>S38</t>
        </is>
      </c>
      <c r="B1932" s="26" t="inlineStr">
        <is>
          <t>강화</t>
        </is>
      </c>
      <c r="C1932" s="26" t="inlineStr">
        <is>
          <t>S38-H동</t>
        </is>
      </c>
      <c r="D1932" s="47" t="n">
        <v>1</v>
      </c>
      <c r="E1932" s="26" t="inlineStr">
        <is>
          <t>측정</t>
        </is>
      </c>
      <c r="F1932" s="26" t="inlineStr">
        <is>
          <t>동</t>
        </is>
      </c>
      <c r="G1932" s="31" t="n">
        <v>1</v>
      </c>
      <c r="H1932" s="30" t="n"/>
      <c r="I1932" s="43" t="n"/>
      <c r="J1932" s="41" t="n"/>
      <c r="K1932" s="41" t="n"/>
      <c r="L1932" s="41" t="n"/>
      <c r="M1932" s="31">
        <f>IF(COUNT(J1932:L1932)=0,"",MEDIAN(J1932:L1932))</f>
        <v/>
      </c>
      <c r="N1932" s="26">
        <f>IF(COUNTIFS($C:$C,$C1932,$D:$D,$D1932,$E:$E,"P0(전)",$M:$M,"&gt;0")&lt;&gt;1,"P0(전) 유효 1개 아님",IF(COUNTIFS($C:$C,$C1932,$D:$D,$D1932,$E:$E,"P0(후)",$M:$M,"&gt;0")&lt;&gt;1,"P0(후) 유효 1개 아님",IF(NOT(AND(ISNUMBER(O1932),ISNUMBER(Q1932),ISNUMBER(I1932))),"시각 결측",IF(Q1932&lt;=O1932,"P0 시각 역전",IF(OR(I1932&lt;O1932,I1932&gt;Q1932),"측정시각 구간 밖","OK")))))</f>
        <v/>
      </c>
      <c r="O1932" s="48">
        <f>IF(COUNTIFS($C:$C,$C1932,$D:$D,$D1932,$E:$E,"P0(전)",$M:$M,"&gt;0")&lt;&gt;1,"",SUMIFS($I:$I,$C:$C,$C1932,$D:$D,$D1932,$E:$E,"P0(전)"))</f>
        <v/>
      </c>
      <c r="P1932" s="31">
        <f>IF(COUNTIFS($C:$C,$C1932,$D:$D,$D1932,$E:$E,"P0(전)",$M:$M,"&gt;0")&lt;&gt;1,"",SUMIFS($M:$M,$C:$C,$C1932,$D:$D,$D1932,$E:$E,"P0(전)"))</f>
        <v/>
      </c>
      <c r="Q1932" s="48">
        <f>IF(COUNTIFS($C:$C,$C1932,$D:$D,$D1932,$E:$E,"P0(후)",$M:$M,"&gt;0")&lt;&gt;1,"",SUMIFS($I:$I,$C:$C,$C1932,$D:$D,$D1932,$E:$E,"P0(후)"))</f>
        <v/>
      </c>
      <c r="R1932" s="31">
        <f>IF(COUNTIFS($C:$C,$C1932,$D:$D,$D1932,$E:$E,"P0(후)",$M:$M,"&gt;0")&lt;&gt;1,"",SUMIFS($M:$M,$C:$C,$C1932,$D:$D,$D1932,$E:$E,"P0(후)"))</f>
        <v/>
      </c>
      <c r="S1932" s="31">
        <f>IF(N1932&lt;&gt;"OK","",P1932+(R1932-P1932)*(I1932-O1932)/(Q1932-O1932))</f>
        <v/>
      </c>
      <c r="T1932" s="31">
        <f>IF(OR(N1932&lt;&gt;"OK",NOT(ISNUMBER(M1932))),"",M1932-S1932)</f>
        <v/>
      </c>
      <c r="U1932" s="49">
        <f>IF(OR(NOT(ISNUMBER(T1932)),IF(ISNUMBER(H1932),H1932,G1932)=0),"",T1932/IF(ISNUMBER(H1932),H1932,G1932))</f>
        <v/>
      </c>
      <c r="V1932" s="49">
        <f>IF(ISNUMBER(U1932),ABS(U1932),"")</f>
        <v/>
      </c>
      <c r="W1932" s="49">
        <f>IF(OR($E1931&lt;&gt;"측정",$C1931&lt;&gt;$C1932,$D1931&lt;&gt;$D1932,NOT(ISNUMBER(M1932)),NOT(ISNUMBER(M1931)),(IF(ISNUMBER(H1932),H1932,G1932)-IF(ISNUMBER(H1931),H1931,G1931))=0),"",(M1932-M1931)/(IF(ISNUMBER(H1932),H1932,G1932)-IF(ISNUMBER(H1931),H1931,G1931)))</f>
        <v/>
      </c>
      <c r="X1932" s="31">
        <f>IF(NOT(AND(ISNUMBER(O1932),ISNUMBER(Q1932))),"",(Q1932-O1932)*1440)</f>
        <v/>
      </c>
      <c r="Y1932" s="29" t="n"/>
      <c r="Z1932" s="29" t="n"/>
      <c r="AA1932" s="29" t="n"/>
      <c r="AB1932" s="32" t="n"/>
      <c r="AC1932" s="32" t="n"/>
    </row>
    <row r="1933">
      <c r="A1933" s="26" t="inlineStr">
        <is>
          <t>S38</t>
        </is>
      </c>
      <c r="B1933" s="26" t="inlineStr">
        <is>
          <t>강화</t>
        </is>
      </c>
      <c r="C1933" s="26" t="inlineStr">
        <is>
          <t>S38-H동</t>
        </is>
      </c>
      <c r="D1933" s="47" t="n">
        <v>1</v>
      </c>
      <c r="E1933" s="26" t="inlineStr">
        <is>
          <t>측정</t>
        </is>
      </c>
      <c r="F1933" s="26" t="inlineStr">
        <is>
          <t>동</t>
        </is>
      </c>
      <c r="G1933" s="31" t="n">
        <v>2</v>
      </c>
      <c r="H1933" s="30" t="n"/>
      <c r="I1933" s="43" t="n"/>
      <c r="J1933" s="41" t="n"/>
      <c r="K1933" s="41" t="n"/>
      <c r="L1933" s="41" t="n"/>
      <c r="M1933" s="31">
        <f>IF(COUNT(J1933:L1933)=0,"",MEDIAN(J1933:L1933))</f>
        <v/>
      </c>
      <c r="N1933" s="26">
        <f>IF(COUNTIFS($C:$C,$C1933,$D:$D,$D1933,$E:$E,"P0(전)",$M:$M,"&gt;0")&lt;&gt;1,"P0(전) 유효 1개 아님",IF(COUNTIFS($C:$C,$C1933,$D:$D,$D1933,$E:$E,"P0(후)",$M:$M,"&gt;0")&lt;&gt;1,"P0(후) 유효 1개 아님",IF(NOT(AND(ISNUMBER(O1933),ISNUMBER(Q1933),ISNUMBER(I1933))),"시각 결측",IF(Q1933&lt;=O1933,"P0 시각 역전",IF(OR(I1933&lt;O1933,I1933&gt;Q1933),"측정시각 구간 밖","OK")))))</f>
        <v/>
      </c>
      <c r="O1933" s="48">
        <f>IF(COUNTIFS($C:$C,$C1933,$D:$D,$D1933,$E:$E,"P0(전)",$M:$M,"&gt;0")&lt;&gt;1,"",SUMIFS($I:$I,$C:$C,$C1933,$D:$D,$D1933,$E:$E,"P0(전)"))</f>
        <v/>
      </c>
      <c r="P1933" s="31">
        <f>IF(COUNTIFS($C:$C,$C1933,$D:$D,$D1933,$E:$E,"P0(전)",$M:$M,"&gt;0")&lt;&gt;1,"",SUMIFS($M:$M,$C:$C,$C1933,$D:$D,$D1933,$E:$E,"P0(전)"))</f>
        <v/>
      </c>
      <c r="Q1933" s="48">
        <f>IF(COUNTIFS($C:$C,$C1933,$D:$D,$D1933,$E:$E,"P0(후)",$M:$M,"&gt;0")&lt;&gt;1,"",SUMIFS($I:$I,$C:$C,$C1933,$D:$D,$D1933,$E:$E,"P0(후)"))</f>
        <v/>
      </c>
      <c r="R1933" s="31">
        <f>IF(COUNTIFS($C:$C,$C1933,$D:$D,$D1933,$E:$E,"P0(후)",$M:$M,"&gt;0")&lt;&gt;1,"",SUMIFS($M:$M,$C:$C,$C1933,$D:$D,$D1933,$E:$E,"P0(후)"))</f>
        <v/>
      </c>
      <c r="S1933" s="31">
        <f>IF(N1933&lt;&gt;"OK","",P1933+(R1933-P1933)*(I1933-O1933)/(Q1933-O1933))</f>
        <v/>
      </c>
      <c r="T1933" s="31">
        <f>IF(OR(N1933&lt;&gt;"OK",NOT(ISNUMBER(M1933))),"",M1933-S1933)</f>
        <v/>
      </c>
      <c r="U1933" s="49">
        <f>IF(OR(NOT(ISNUMBER(T1933)),IF(ISNUMBER(H1933),H1933,G1933)=0),"",T1933/IF(ISNUMBER(H1933),H1933,G1933))</f>
        <v/>
      </c>
      <c r="V1933" s="49">
        <f>IF(ISNUMBER(U1933),ABS(U1933),"")</f>
        <v/>
      </c>
      <c r="W1933" s="49">
        <f>IF(OR($E1932&lt;&gt;"측정",$C1932&lt;&gt;$C1933,$D1932&lt;&gt;$D1933,NOT(ISNUMBER(M1933)),NOT(ISNUMBER(M1932)),(IF(ISNUMBER(H1933),H1933,G1933)-IF(ISNUMBER(H1932),H1932,G1932))=0),"",(M1933-M1932)/(IF(ISNUMBER(H1933),H1933,G1933)-IF(ISNUMBER(H1932),H1932,G1932)))</f>
        <v/>
      </c>
      <c r="X1933" s="31">
        <f>IF(NOT(AND(ISNUMBER(O1933),ISNUMBER(Q1933))),"",(Q1933-O1933)*1440)</f>
        <v/>
      </c>
      <c r="Y1933" s="29" t="n"/>
      <c r="Z1933" s="29" t="n"/>
      <c r="AA1933" s="29" t="n"/>
      <c r="AB1933" s="32" t="n"/>
      <c r="AC1933" s="32" t="n"/>
    </row>
    <row r="1934">
      <c r="A1934" s="26" t="inlineStr">
        <is>
          <t>S38</t>
        </is>
      </c>
      <c r="B1934" s="26" t="inlineStr">
        <is>
          <t>강화</t>
        </is>
      </c>
      <c r="C1934" s="26" t="inlineStr">
        <is>
          <t>S38-H동</t>
        </is>
      </c>
      <c r="D1934" s="47" t="n">
        <v>1</v>
      </c>
      <c r="E1934" s="26" t="inlineStr">
        <is>
          <t>측정</t>
        </is>
      </c>
      <c r="F1934" s="26" t="inlineStr">
        <is>
          <t>동</t>
        </is>
      </c>
      <c r="G1934" s="31" t="n">
        <v>3</v>
      </c>
      <c r="H1934" s="30" t="n"/>
      <c r="I1934" s="43" t="n"/>
      <c r="J1934" s="41" t="n"/>
      <c r="K1934" s="41" t="n"/>
      <c r="L1934" s="41" t="n"/>
      <c r="M1934" s="31">
        <f>IF(COUNT(J1934:L1934)=0,"",MEDIAN(J1934:L1934))</f>
        <v/>
      </c>
      <c r="N1934" s="26">
        <f>IF(COUNTIFS($C:$C,$C1934,$D:$D,$D1934,$E:$E,"P0(전)",$M:$M,"&gt;0")&lt;&gt;1,"P0(전) 유효 1개 아님",IF(COUNTIFS($C:$C,$C1934,$D:$D,$D1934,$E:$E,"P0(후)",$M:$M,"&gt;0")&lt;&gt;1,"P0(후) 유효 1개 아님",IF(NOT(AND(ISNUMBER(O1934),ISNUMBER(Q1934),ISNUMBER(I1934))),"시각 결측",IF(Q1934&lt;=O1934,"P0 시각 역전",IF(OR(I1934&lt;O1934,I1934&gt;Q1934),"측정시각 구간 밖","OK")))))</f>
        <v/>
      </c>
      <c r="O1934" s="48">
        <f>IF(COUNTIFS($C:$C,$C1934,$D:$D,$D1934,$E:$E,"P0(전)",$M:$M,"&gt;0")&lt;&gt;1,"",SUMIFS($I:$I,$C:$C,$C1934,$D:$D,$D1934,$E:$E,"P0(전)"))</f>
        <v/>
      </c>
      <c r="P1934" s="31">
        <f>IF(COUNTIFS($C:$C,$C1934,$D:$D,$D1934,$E:$E,"P0(전)",$M:$M,"&gt;0")&lt;&gt;1,"",SUMIFS($M:$M,$C:$C,$C1934,$D:$D,$D1934,$E:$E,"P0(전)"))</f>
        <v/>
      </c>
      <c r="Q1934" s="48">
        <f>IF(COUNTIFS($C:$C,$C1934,$D:$D,$D1934,$E:$E,"P0(후)",$M:$M,"&gt;0")&lt;&gt;1,"",SUMIFS($I:$I,$C:$C,$C1934,$D:$D,$D1934,$E:$E,"P0(후)"))</f>
        <v/>
      </c>
      <c r="R1934" s="31">
        <f>IF(COUNTIFS($C:$C,$C1934,$D:$D,$D1934,$E:$E,"P0(후)",$M:$M,"&gt;0")&lt;&gt;1,"",SUMIFS($M:$M,$C:$C,$C1934,$D:$D,$D1934,$E:$E,"P0(후)"))</f>
        <v/>
      </c>
      <c r="S1934" s="31">
        <f>IF(N1934&lt;&gt;"OK","",P1934+(R1934-P1934)*(I1934-O1934)/(Q1934-O1934))</f>
        <v/>
      </c>
      <c r="T1934" s="31">
        <f>IF(OR(N1934&lt;&gt;"OK",NOT(ISNUMBER(M1934))),"",M1934-S1934)</f>
        <v/>
      </c>
      <c r="U1934" s="49">
        <f>IF(OR(NOT(ISNUMBER(T1934)),IF(ISNUMBER(H1934),H1934,G1934)=0),"",T1934/IF(ISNUMBER(H1934),H1934,G1934))</f>
        <v/>
      </c>
      <c r="V1934" s="49">
        <f>IF(ISNUMBER(U1934),ABS(U1934),"")</f>
        <v/>
      </c>
      <c r="W1934" s="49">
        <f>IF(OR($E1933&lt;&gt;"측정",$C1933&lt;&gt;$C1934,$D1933&lt;&gt;$D1934,NOT(ISNUMBER(M1934)),NOT(ISNUMBER(M1933)),(IF(ISNUMBER(H1934),H1934,G1934)-IF(ISNUMBER(H1933),H1933,G1933))=0),"",(M1934-M1933)/(IF(ISNUMBER(H1934),H1934,G1934)-IF(ISNUMBER(H1933),H1933,G1933)))</f>
        <v/>
      </c>
      <c r="X1934" s="31">
        <f>IF(NOT(AND(ISNUMBER(O1934),ISNUMBER(Q1934))),"",(Q1934-O1934)*1440)</f>
        <v/>
      </c>
      <c r="Y1934" s="29" t="n"/>
      <c r="Z1934" s="29" t="n"/>
      <c r="AA1934" s="29" t="n"/>
      <c r="AB1934" s="32" t="n"/>
      <c r="AC1934" s="32" t="n"/>
    </row>
    <row r="1935">
      <c r="A1935" s="26" t="inlineStr">
        <is>
          <t>S38</t>
        </is>
      </c>
      <c r="B1935" s="26" t="inlineStr">
        <is>
          <t>강화</t>
        </is>
      </c>
      <c r="C1935" s="26" t="inlineStr">
        <is>
          <t>S38-H동</t>
        </is>
      </c>
      <c r="D1935" s="47" t="n">
        <v>1</v>
      </c>
      <c r="E1935" s="26" t="inlineStr">
        <is>
          <t>측정</t>
        </is>
      </c>
      <c r="F1935" s="26" t="inlineStr">
        <is>
          <t>동</t>
        </is>
      </c>
      <c r="G1935" s="31" t="n">
        <v>4</v>
      </c>
      <c r="H1935" s="30" t="n"/>
      <c r="I1935" s="43" t="n"/>
      <c r="J1935" s="41" t="n"/>
      <c r="K1935" s="41" t="n"/>
      <c r="L1935" s="41" t="n"/>
      <c r="M1935" s="31">
        <f>IF(COUNT(J1935:L1935)=0,"",MEDIAN(J1935:L1935))</f>
        <v/>
      </c>
      <c r="N1935" s="26">
        <f>IF(COUNTIFS($C:$C,$C1935,$D:$D,$D1935,$E:$E,"P0(전)",$M:$M,"&gt;0")&lt;&gt;1,"P0(전) 유효 1개 아님",IF(COUNTIFS($C:$C,$C1935,$D:$D,$D1935,$E:$E,"P0(후)",$M:$M,"&gt;0")&lt;&gt;1,"P0(후) 유효 1개 아님",IF(NOT(AND(ISNUMBER(O1935),ISNUMBER(Q1935),ISNUMBER(I1935))),"시각 결측",IF(Q1935&lt;=O1935,"P0 시각 역전",IF(OR(I1935&lt;O1935,I1935&gt;Q1935),"측정시각 구간 밖","OK")))))</f>
        <v/>
      </c>
      <c r="O1935" s="48">
        <f>IF(COUNTIFS($C:$C,$C1935,$D:$D,$D1935,$E:$E,"P0(전)",$M:$M,"&gt;0")&lt;&gt;1,"",SUMIFS($I:$I,$C:$C,$C1935,$D:$D,$D1935,$E:$E,"P0(전)"))</f>
        <v/>
      </c>
      <c r="P1935" s="31">
        <f>IF(COUNTIFS($C:$C,$C1935,$D:$D,$D1935,$E:$E,"P0(전)",$M:$M,"&gt;0")&lt;&gt;1,"",SUMIFS($M:$M,$C:$C,$C1935,$D:$D,$D1935,$E:$E,"P0(전)"))</f>
        <v/>
      </c>
      <c r="Q1935" s="48">
        <f>IF(COUNTIFS($C:$C,$C1935,$D:$D,$D1935,$E:$E,"P0(후)",$M:$M,"&gt;0")&lt;&gt;1,"",SUMIFS($I:$I,$C:$C,$C1935,$D:$D,$D1935,$E:$E,"P0(후)"))</f>
        <v/>
      </c>
      <c r="R1935" s="31">
        <f>IF(COUNTIFS($C:$C,$C1935,$D:$D,$D1935,$E:$E,"P0(후)",$M:$M,"&gt;0")&lt;&gt;1,"",SUMIFS($M:$M,$C:$C,$C1935,$D:$D,$D1935,$E:$E,"P0(후)"))</f>
        <v/>
      </c>
      <c r="S1935" s="31">
        <f>IF(N1935&lt;&gt;"OK","",P1935+(R1935-P1935)*(I1935-O1935)/(Q1935-O1935))</f>
        <v/>
      </c>
      <c r="T1935" s="31">
        <f>IF(OR(N1935&lt;&gt;"OK",NOT(ISNUMBER(M1935))),"",M1935-S1935)</f>
        <v/>
      </c>
      <c r="U1935" s="49">
        <f>IF(OR(NOT(ISNUMBER(T1935)),IF(ISNUMBER(H1935),H1935,G1935)=0),"",T1935/IF(ISNUMBER(H1935),H1935,G1935))</f>
        <v/>
      </c>
      <c r="V1935" s="49">
        <f>IF(ISNUMBER(U1935),ABS(U1935),"")</f>
        <v/>
      </c>
      <c r="W1935" s="49">
        <f>IF(OR($E1934&lt;&gt;"측정",$C1934&lt;&gt;$C1935,$D1934&lt;&gt;$D1935,NOT(ISNUMBER(M1935)),NOT(ISNUMBER(M1934)),(IF(ISNUMBER(H1935),H1935,G1935)-IF(ISNUMBER(H1934),H1934,G1934))=0),"",(M1935-M1934)/(IF(ISNUMBER(H1935),H1935,G1935)-IF(ISNUMBER(H1934),H1934,G1934)))</f>
        <v/>
      </c>
      <c r="X1935" s="31">
        <f>IF(NOT(AND(ISNUMBER(O1935),ISNUMBER(Q1935))),"",(Q1935-O1935)*1440)</f>
        <v/>
      </c>
      <c r="Y1935" s="29" t="n"/>
      <c r="Z1935" s="29" t="n"/>
      <c r="AA1935" s="29" t="n"/>
      <c r="AB1935" s="32" t="n"/>
      <c r="AC1935" s="32" t="n"/>
    </row>
    <row r="1936">
      <c r="A1936" s="26" t="inlineStr">
        <is>
          <t>S38</t>
        </is>
      </c>
      <c r="B1936" s="26" t="inlineStr">
        <is>
          <t>강화</t>
        </is>
      </c>
      <c r="C1936" s="26" t="inlineStr">
        <is>
          <t>S38-H동</t>
        </is>
      </c>
      <c r="D1936" s="47" t="n">
        <v>1</v>
      </c>
      <c r="E1936" s="26" t="inlineStr">
        <is>
          <t>측정</t>
        </is>
      </c>
      <c r="F1936" s="26" t="inlineStr">
        <is>
          <t>동</t>
        </is>
      </c>
      <c r="G1936" s="31" t="n">
        <v>5</v>
      </c>
      <c r="H1936" s="30" t="n"/>
      <c r="I1936" s="43" t="n"/>
      <c r="J1936" s="41" t="n"/>
      <c r="K1936" s="41" t="n"/>
      <c r="L1936" s="41" t="n"/>
      <c r="M1936" s="31">
        <f>IF(COUNT(J1936:L1936)=0,"",MEDIAN(J1936:L1936))</f>
        <v/>
      </c>
      <c r="N1936" s="26">
        <f>IF(COUNTIFS($C:$C,$C1936,$D:$D,$D1936,$E:$E,"P0(전)",$M:$M,"&gt;0")&lt;&gt;1,"P0(전) 유효 1개 아님",IF(COUNTIFS($C:$C,$C1936,$D:$D,$D1936,$E:$E,"P0(후)",$M:$M,"&gt;0")&lt;&gt;1,"P0(후) 유효 1개 아님",IF(NOT(AND(ISNUMBER(O1936),ISNUMBER(Q1936),ISNUMBER(I1936))),"시각 결측",IF(Q1936&lt;=O1936,"P0 시각 역전",IF(OR(I1936&lt;O1936,I1936&gt;Q1936),"측정시각 구간 밖","OK")))))</f>
        <v/>
      </c>
      <c r="O1936" s="48">
        <f>IF(COUNTIFS($C:$C,$C1936,$D:$D,$D1936,$E:$E,"P0(전)",$M:$M,"&gt;0")&lt;&gt;1,"",SUMIFS($I:$I,$C:$C,$C1936,$D:$D,$D1936,$E:$E,"P0(전)"))</f>
        <v/>
      </c>
      <c r="P1936" s="31">
        <f>IF(COUNTIFS($C:$C,$C1936,$D:$D,$D1936,$E:$E,"P0(전)",$M:$M,"&gt;0")&lt;&gt;1,"",SUMIFS($M:$M,$C:$C,$C1936,$D:$D,$D1936,$E:$E,"P0(전)"))</f>
        <v/>
      </c>
      <c r="Q1936" s="48">
        <f>IF(COUNTIFS($C:$C,$C1936,$D:$D,$D1936,$E:$E,"P0(후)",$M:$M,"&gt;0")&lt;&gt;1,"",SUMIFS($I:$I,$C:$C,$C1936,$D:$D,$D1936,$E:$E,"P0(후)"))</f>
        <v/>
      </c>
      <c r="R1936" s="31">
        <f>IF(COUNTIFS($C:$C,$C1936,$D:$D,$D1936,$E:$E,"P0(후)",$M:$M,"&gt;0")&lt;&gt;1,"",SUMIFS($M:$M,$C:$C,$C1936,$D:$D,$D1936,$E:$E,"P0(후)"))</f>
        <v/>
      </c>
      <c r="S1936" s="31">
        <f>IF(N1936&lt;&gt;"OK","",P1936+(R1936-P1936)*(I1936-O1936)/(Q1936-O1936))</f>
        <v/>
      </c>
      <c r="T1936" s="31">
        <f>IF(OR(N1936&lt;&gt;"OK",NOT(ISNUMBER(M1936))),"",M1936-S1936)</f>
        <v/>
      </c>
      <c r="U1936" s="49">
        <f>IF(OR(NOT(ISNUMBER(T1936)),IF(ISNUMBER(H1936),H1936,G1936)=0),"",T1936/IF(ISNUMBER(H1936),H1936,G1936))</f>
        <v/>
      </c>
      <c r="V1936" s="49">
        <f>IF(ISNUMBER(U1936),ABS(U1936),"")</f>
        <v/>
      </c>
      <c r="W1936" s="49">
        <f>IF(OR($E1935&lt;&gt;"측정",$C1935&lt;&gt;$C1936,$D1935&lt;&gt;$D1936,NOT(ISNUMBER(M1936)),NOT(ISNUMBER(M1935)),(IF(ISNUMBER(H1936),H1936,G1936)-IF(ISNUMBER(H1935),H1935,G1935))=0),"",(M1936-M1935)/(IF(ISNUMBER(H1936),H1936,G1936)-IF(ISNUMBER(H1935),H1935,G1935)))</f>
        <v/>
      </c>
      <c r="X1936" s="31">
        <f>IF(NOT(AND(ISNUMBER(O1936),ISNUMBER(Q1936))),"",(Q1936-O1936)*1440)</f>
        <v/>
      </c>
      <c r="Y1936" s="29" t="n"/>
      <c r="Z1936" s="29" t="n"/>
      <c r="AA1936" s="29" t="n"/>
      <c r="AB1936" s="32" t="n"/>
      <c r="AC1936" s="32" t="n"/>
    </row>
    <row r="1937">
      <c r="A1937" s="26" t="inlineStr">
        <is>
          <t>S38</t>
        </is>
      </c>
      <c r="B1937" s="26" t="inlineStr">
        <is>
          <t>강화</t>
        </is>
      </c>
      <c r="C1937" s="26" t="inlineStr">
        <is>
          <t>S38-H동</t>
        </is>
      </c>
      <c r="D1937" s="47" t="n">
        <v>1</v>
      </c>
      <c r="E1937" s="26" t="inlineStr">
        <is>
          <t>측정</t>
        </is>
      </c>
      <c r="F1937" s="26" t="inlineStr">
        <is>
          <t>동</t>
        </is>
      </c>
      <c r="G1937" s="31" t="n">
        <v>6</v>
      </c>
      <c r="H1937" s="30" t="n"/>
      <c r="I1937" s="43" t="n"/>
      <c r="J1937" s="41" t="n"/>
      <c r="K1937" s="41" t="n"/>
      <c r="L1937" s="41" t="n"/>
      <c r="M1937" s="31">
        <f>IF(COUNT(J1937:L1937)=0,"",MEDIAN(J1937:L1937))</f>
        <v/>
      </c>
      <c r="N1937" s="26">
        <f>IF(COUNTIFS($C:$C,$C1937,$D:$D,$D1937,$E:$E,"P0(전)",$M:$M,"&gt;0")&lt;&gt;1,"P0(전) 유효 1개 아님",IF(COUNTIFS($C:$C,$C1937,$D:$D,$D1937,$E:$E,"P0(후)",$M:$M,"&gt;0")&lt;&gt;1,"P0(후) 유효 1개 아님",IF(NOT(AND(ISNUMBER(O1937),ISNUMBER(Q1937),ISNUMBER(I1937))),"시각 결측",IF(Q1937&lt;=O1937,"P0 시각 역전",IF(OR(I1937&lt;O1937,I1937&gt;Q1937),"측정시각 구간 밖","OK")))))</f>
        <v/>
      </c>
      <c r="O1937" s="48">
        <f>IF(COUNTIFS($C:$C,$C1937,$D:$D,$D1937,$E:$E,"P0(전)",$M:$M,"&gt;0")&lt;&gt;1,"",SUMIFS($I:$I,$C:$C,$C1937,$D:$D,$D1937,$E:$E,"P0(전)"))</f>
        <v/>
      </c>
      <c r="P1937" s="31">
        <f>IF(COUNTIFS($C:$C,$C1937,$D:$D,$D1937,$E:$E,"P0(전)",$M:$M,"&gt;0")&lt;&gt;1,"",SUMIFS($M:$M,$C:$C,$C1937,$D:$D,$D1937,$E:$E,"P0(전)"))</f>
        <v/>
      </c>
      <c r="Q1937" s="48">
        <f>IF(COUNTIFS($C:$C,$C1937,$D:$D,$D1937,$E:$E,"P0(후)",$M:$M,"&gt;0")&lt;&gt;1,"",SUMIFS($I:$I,$C:$C,$C1937,$D:$D,$D1937,$E:$E,"P0(후)"))</f>
        <v/>
      </c>
      <c r="R1937" s="31">
        <f>IF(COUNTIFS($C:$C,$C1937,$D:$D,$D1937,$E:$E,"P0(후)",$M:$M,"&gt;0")&lt;&gt;1,"",SUMIFS($M:$M,$C:$C,$C1937,$D:$D,$D1937,$E:$E,"P0(후)"))</f>
        <v/>
      </c>
      <c r="S1937" s="31">
        <f>IF(N1937&lt;&gt;"OK","",P1937+(R1937-P1937)*(I1937-O1937)/(Q1937-O1937))</f>
        <v/>
      </c>
      <c r="T1937" s="31">
        <f>IF(OR(N1937&lt;&gt;"OK",NOT(ISNUMBER(M1937))),"",M1937-S1937)</f>
        <v/>
      </c>
      <c r="U1937" s="49">
        <f>IF(OR(NOT(ISNUMBER(T1937)),IF(ISNUMBER(H1937),H1937,G1937)=0),"",T1937/IF(ISNUMBER(H1937),H1937,G1937))</f>
        <v/>
      </c>
      <c r="V1937" s="49">
        <f>IF(ISNUMBER(U1937),ABS(U1937),"")</f>
        <v/>
      </c>
      <c r="W1937" s="49">
        <f>IF(OR($E1936&lt;&gt;"측정",$C1936&lt;&gt;$C1937,$D1936&lt;&gt;$D1937,NOT(ISNUMBER(M1937)),NOT(ISNUMBER(M1936)),(IF(ISNUMBER(H1937),H1937,G1937)-IF(ISNUMBER(H1936),H1936,G1936))=0),"",(M1937-M1936)/(IF(ISNUMBER(H1937),H1937,G1937)-IF(ISNUMBER(H1936),H1936,G1936)))</f>
        <v/>
      </c>
      <c r="X1937" s="31">
        <f>IF(NOT(AND(ISNUMBER(O1937),ISNUMBER(Q1937))),"",(Q1937-O1937)*1440)</f>
        <v/>
      </c>
      <c r="Y1937" s="29" t="n"/>
      <c r="Z1937" s="29" t="n"/>
      <c r="AA1937" s="29" t="n"/>
      <c r="AB1937" s="32" t="n"/>
      <c r="AC1937" s="32" t="n"/>
    </row>
    <row r="1938">
      <c r="A1938" s="26" t="inlineStr">
        <is>
          <t>S38</t>
        </is>
      </c>
      <c r="B1938" s="26" t="inlineStr">
        <is>
          <t>강화</t>
        </is>
      </c>
      <c r="C1938" s="26" t="inlineStr">
        <is>
          <t>S38-H동</t>
        </is>
      </c>
      <c r="D1938" s="47" t="n">
        <v>1</v>
      </c>
      <c r="E1938" s="26" t="inlineStr">
        <is>
          <t>측정</t>
        </is>
      </c>
      <c r="F1938" s="26" t="inlineStr">
        <is>
          <t>동</t>
        </is>
      </c>
      <c r="G1938" s="31" t="n">
        <v>7</v>
      </c>
      <c r="H1938" s="30" t="n"/>
      <c r="I1938" s="43" t="n"/>
      <c r="J1938" s="41" t="n"/>
      <c r="K1938" s="41" t="n"/>
      <c r="L1938" s="41" t="n"/>
      <c r="M1938" s="31">
        <f>IF(COUNT(J1938:L1938)=0,"",MEDIAN(J1938:L1938))</f>
        <v/>
      </c>
      <c r="N1938" s="26">
        <f>IF(COUNTIFS($C:$C,$C1938,$D:$D,$D1938,$E:$E,"P0(전)",$M:$M,"&gt;0")&lt;&gt;1,"P0(전) 유효 1개 아님",IF(COUNTIFS($C:$C,$C1938,$D:$D,$D1938,$E:$E,"P0(후)",$M:$M,"&gt;0")&lt;&gt;1,"P0(후) 유효 1개 아님",IF(NOT(AND(ISNUMBER(O1938),ISNUMBER(Q1938),ISNUMBER(I1938))),"시각 결측",IF(Q1938&lt;=O1938,"P0 시각 역전",IF(OR(I1938&lt;O1938,I1938&gt;Q1938),"측정시각 구간 밖","OK")))))</f>
        <v/>
      </c>
      <c r="O1938" s="48">
        <f>IF(COUNTIFS($C:$C,$C1938,$D:$D,$D1938,$E:$E,"P0(전)",$M:$M,"&gt;0")&lt;&gt;1,"",SUMIFS($I:$I,$C:$C,$C1938,$D:$D,$D1938,$E:$E,"P0(전)"))</f>
        <v/>
      </c>
      <c r="P1938" s="31">
        <f>IF(COUNTIFS($C:$C,$C1938,$D:$D,$D1938,$E:$E,"P0(전)",$M:$M,"&gt;0")&lt;&gt;1,"",SUMIFS($M:$M,$C:$C,$C1938,$D:$D,$D1938,$E:$E,"P0(전)"))</f>
        <v/>
      </c>
      <c r="Q1938" s="48">
        <f>IF(COUNTIFS($C:$C,$C1938,$D:$D,$D1938,$E:$E,"P0(후)",$M:$M,"&gt;0")&lt;&gt;1,"",SUMIFS($I:$I,$C:$C,$C1938,$D:$D,$D1938,$E:$E,"P0(후)"))</f>
        <v/>
      </c>
      <c r="R1938" s="31">
        <f>IF(COUNTIFS($C:$C,$C1938,$D:$D,$D1938,$E:$E,"P0(후)",$M:$M,"&gt;0")&lt;&gt;1,"",SUMIFS($M:$M,$C:$C,$C1938,$D:$D,$D1938,$E:$E,"P0(후)"))</f>
        <v/>
      </c>
      <c r="S1938" s="31">
        <f>IF(N1938&lt;&gt;"OK","",P1938+(R1938-P1938)*(I1938-O1938)/(Q1938-O1938))</f>
        <v/>
      </c>
      <c r="T1938" s="31">
        <f>IF(OR(N1938&lt;&gt;"OK",NOT(ISNUMBER(M1938))),"",M1938-S1938)</f>
        <v/>
      </c>
      <c r="U1938" s="49">
        <f>IF(OR(NOT(ISNUMBER(T1938)),IF(ISNUMBER(H1938),H1938,G1938)=0),"",T1938/IF(ISNUMBER(H1938),H1938,G1938))</f>
        <v/>
      </c>
      <c r="V1938" s="49">
        <f>IF(ISNUMBER(U1938),ABS(U1938),"")</f>
        <v/>
      </c>
      <c r="W1938" s="49">
        <f>IF(OR($E1937&lt;&gt;"측정",$C1937&lt;&gt;$C1938,$D1937&lt;&gt;$D1938,NOT(ISNUMBER(M1938)),NOT(ISNUMBER(M1937)),(IF(ISNUMBER(H1938),H1938,G1938)-IF(ISNUMBER(H1937),H1937,G1937))=0),"",(M1938-M1937)/(IF(ISNUMBER(H1938),H1938,G1938)-IF(ISNUMBER(H1937),H1937,G1937)))</f>
        <v/>
      </c>
      <c r="X1938" s="31">
        <f>IF(NOT(AND(ISNUMBER(O1938),ISNUMBER(Q1938))),"",(Q1938-O1938)*1440)</f>
        <v/>
      </c>
      <c r="Y1938" s="29" t="n"/>
      <c r="Z1938" s="29" t="n"/>
      <c r="AA1938" s="29" t="n"/>
      <c r="AB1938" s="32" t="n"/>
      <c r="AC1938" s="32" t="n"/>
    </row>
    <row r="1939">
      <c r="A1939" s="26" t="inlineStr">
        <is>
          <t>S38</t>
        </is>
      </c>
      <c r="B1939" s="26" t="inlineStr">
        <is>
          <t>강화</t>
        </is>
      </c>
      <c r="C1939" s="26" t="inlineStr">
        <is>
          <t>S38-H동</t>
        </is>
      </c>
      <c r="D1939" s="47" t="n">
        <v>1</v>
      </c>
      <c r="E1939" s="26" t="inlineStr">
        <is>
          <t>측정</t>
        </is>
      </c>
      <c r="F1939" s="26" t="inlineStr">
        <is>
          <t>동</t>
        </is>
      </c>
      <c r="G1939" s="31" t="n">
        <v>8</v>
      </c>
      <c r="H1939" s="30" t="n"/>
      <c r="I1939" s="43" t="n"/>
      <c r="J1939" s="41" t="n"/>
      <c r="K1939" s="41" t="n"/>
      <c r="L1939" s="41" t="n"/>
      <c r="M1939" s="31">
        <f>IF(COUNT(J1939:L1939)=0,"",MEDIAN(J1939:L1939))</f>
        <v/>
      </c>
      <c r="N1939" s="26">
        <f>IF(COUNTIFS($C:$C,$C1939,$D:$D,$D1939,$E:$E,"P0(전)",$M:$M,"&gt;0")&lt;&gt;1,"P0(전) 유효 1개 아님",IF(COUNTIFS($C:$C,$C1939,$D:$D,$D1939,$E:$E,"P0(후)",$M:$M,"&gt;0")&lt;&gt;1,"P0(후) 유효 1개 아님",IF(NOT(AND(ISNUMBER(O1939),ISNUMBER(Q1939),ISNUMBER(I1939))),"시각 결측",IF(Q1939&lt;=O1939,"P0 시각 역전",IF(OR(I1939&lt;O1939,I1939&gt;Q1939),"측정시각 구간 밖","OK")))))</f>
        <v/>
      </c>
      <c r="O1939" s="48">
        <f>IF(COUNTIFS($C:$C,$C1939,$D:$D,$D1939,$E:$E,"P0(전)",$M:$M,"&gt;0")&lt;&gt;1,"",SUMIFS($I:$I,$C:$C,$C1939,$D:$D,$D1939,$E:$E,"P0(전)"))</f>
        <v/>
      </c>
      <c r="P1939" s="31">
        <f>IF(COUNTIFS($C:$C,$C1939,$D:$D,$D1939,$E:$E,"P0(전)",$M:$M,"&gt;0")&lt;&gt;1,"",SUMIFS($M:$M,$C:$C,$C1939,$D:$D,$D1939,$E:$E,"P0(전)"))</f>
        <v/>
      </c>
      <c r="Q1939" s="48">
        <f>IF(COUNTIFS($C:$C,$C1939,$D:$D,$D1939,$E:$E,"P0(후)",$M:$M,"&gt;0")&lt;&gt;1,"",SUMIFS($I:$I,$C:$C,$C1939,$D:$D,$D1939,$E:$E,"P0(후)"))</f>
        <v/>
      </c>
      <c r="R1939" s="31">
        <f>IF(COUNTIFS($C:$C,$C1939,$D:$D,$D1939,$E:$E,"P0(후)",$M:$M,"&gt;0")&lt;&gt;1,"",SUMIFS($M:$M,$C:$C,$C1939,$D:$D,$D1939,$E:$E,"P0(후)"))</f>
        <v/>
      </c>
      <c r="S1939" s="31">
        <f>IF(N1939&lt;&gt;"OK","",P1939+(R1939-P1939)*(I1939-O1939)/(Q1939-O1939))</f>
        <v/>
      </c>
      <c r="T1939" s="31">
        <f>IF(OR(N1939&lt;&gt;"OK",NOT(ISNUMBER(M1939))),"",M1939-S1939)</f>
        <v/>
      </c>
      <c r="U1939" s="49">
        <f>IF(OR(NOT(ISNUMBER(T1939)),IF(ISNUMBER(H1939),H1939,G1939)=0),"",T1939/IF(ISNUMBER(H1939),H1939,G1939))</f>
        <v/>
      </c>
      <c r="V1939" s="49">
        <f>IF(ISNUMBER(U1939),ABS(U1939),"")</f>
        <v/>
      </c>
      <c r="W1939" s="49">
        <f>IF(OR($E1938&lt;&gt;"측정",$C1938&lt;&gt;$C1939,$D1938&lt;&gt;$D1939,NOT(ISNUMBER(M1939)),NOT(ISNUMBER(M1938)),(IF(ISNUMBER(H1939),H1939,G1939)-IF(ISNUMBER(H1938),H1938,G1938))=0),"",(M1939-M1938)/(IF(ISNUMBER(H1939),H1939,G1939)-IF(ISNUMBER(H1938),H1938,G1938)))</f>
        <v/>
      </c>
      <c r="X1939" s="31">
        <f>IF(NOT(AND(ISNUMBER(O1939),ISNUMBER(Q1939))),"",(Q1939-O1939)*1440)</f>
        <v/>
      </c>
      <c r="Y1939" s="29" t="n"/>
      <c r="Z1939" s="29" t="n"/>
      <c r="AA1939" s="29" t="n"/>
      <c r="AB1939" s="32" t="n"/>
      <c r="AC1939" s="32" t="n"/>
    </row>
    <row r="1940">
      <c r="A1940" s="26" t="inlineStr">
        <is>
          <t>S38</t>
        </is>
      </c>
      <c r="B1940" s="26" t="inlineStr">
        <is>
          <t>강화</t>
        </is>
      </c>
      <c r="C1940" s="26" t="inlineStr">
        <is>
          <t>S38-H동</t>
        </is>
      </c>
      <c r="D1940" s="47" t="n">
        <v>1</v>
      </c>
      <c r="E1940" s="26" t="inlineStr">
        <is>
          <t>측정</t>
        </is>
      </c>
      <c r="F1940" s="26" t="inlineStr">
        <is>
          <t>동</t>
        </is>
      </c>
      <c r="G1940" s="31" t="n">
        <v>9</v>
      </c>
      <c r="H1940" s="30" t="n"/>
      <c r="I1940" s="43" t="n"/>
      <c r="J1940" s="41" t="n"/>
      <c r="K1940" s="41" t="n"/>
      <c r="L1940" s="41" t="n"/>
      <c r="M1940" s="31">
        <f>IF(COUNT(J1940:L1940)=0,"",MEDIAN(J1940:L1940))</f>
        <v/>
      </c>
      <c r="N1940" s="26">
        <f>IF(COUNTIFS($C:$C,$C1940,$D:$D,$D1940,$E:$E,"P0(전)",$M:$M,"&gt;0")&lt;&gt;1,"P0(전) 유효 1개 아님",IF(COUNTIFS($C:$C,$C1940,$D:$D,$D1940,$E:$E,"P0(후)",$M:$M,"&gt;0")&lt;&gt;1,"P0(후) 유효 1개 아님",IF(NOT(AND(ISNUMBER(O1940),ISNUMBER(Q1940),ISNUMBER(I1940))),"시각 결측",IF(Q1940&lt;=O1940,"P0 시각 역전",IF(OR(I1940&lt;O1940,I1940&gt;Q1940),"측정시각 구간 밖","OK")))))</f>
        <v/>
      </c>
      <c r="O1940" s="48">
        <f>IF(COUNTIFS($C:$C,$C1940,$D:$D,$D1940,$E:$E,"P0(전)",$M:$M,"&gt;0")&lt;&gt;1,"",SUMIFS($I:$I,$C:$C,$C1940,$D:$D,$D1940,$E:$E,"P0(전)"))</f>
        <v/>
      </c>
      <c r="P1940" s="31">
        <f>IF(COUNTIFS($C:$C,$C1940,$D:$D,$D1940,$E:$E,"P0(전)",$M:$M,"&gt;0")&lt;&gt;1,"",SUMIFS($M:$M,$C:$C,$C1940,$D:$D,$D1940,$E:$E,"P0(전)"))</f>
        <v/>
      </c>
      <c r="Q1940" s="48">
        <f>IF(COUNTIFS($C:$C,$C1940,$D:$D,$D1940,$E:$E,"P0(후)",$M:$M,"&gt;0")&lt;&gt;1,"",SUMIFS($I:$I,$C:$C,$C1940,$D:$D,$D1940,$E:$E,"P0(후)"))</f>
        <v/>
      </c>
      <c r="R1940" s="31">
        <f>IF(COUNTIFS($C:$C,$C1940,$D:$D,$D1940,$E:$E,"P0(후)",$M:$M,"&gt;0")&lt;&gt;1,"",SUMIFS($M:$M,$C:$C,$C1940,$D:$D,$D1940,$E:$E,"P0(후)"))</f>
        <v/>
      </c>
      <c r="S1940" s="31">
        <f>IF(N1940&lt;&gt;"OK","",P1940+(R1940-P1940)*(I1940-O1940)/(Q1940-O1940))</f>
        <v/>
      </c>
      <c r="T1940" s="31">
        <f>IF(OR(N1940&lt;&gt;"OK",NOT(ISNUMBER(M1940))),"",M1940-S1940)</f>
        <v/>
      </c>
      <c r="U1940" s="49">
        <f>IF(OR(NOT(ISNUMBER(T1940)),IF(ISNUMBER(H1940),H1940,G1940)=0),"",T1940/IF(ISNUMBER(H1940),H1940,G1940))</f>
        <v/>
      </c>
      <c r="V1940" s="49">
        <f>IF(ISNUMBER(U1940),ABS(U1940),"")</f>
        <v/>
      </c>
      <c r="W1940" s="49">
        <f>IF(OR($E1939&lt;&gt;"측정",$C1939&lt;&gt;$C1940,$D1939&lt;&gt;$D1940,NOT(ISNUMBER(M1940)),NOT(ISNUMBER(M1939)),(IF(ISNUMBER(H1940),H1940,G1940)-IF(ISNUMBER(H1939),H1939,G1939))=0),"",(M1940-M1939)/(IF(ISNUMBER(H1940),H1940,G1940)-IF(ISNUMBER(H1939),H1939,G1939)))</f>
        <v/>
      </c>
      <c r="X1940" s="31">
        <f>IF(NOT(AND(ISNUMBER(O1940),ISNUMBER(Q1940))),"",(Q1940-O1940)*1440)</f>
        <v/>
      </c>
      <c r="Y1940" s="29" t="n"/>
      <c r="Z1940" s="29" t="n"/>
      <c r="AA1940" s="29" t="n"/>
      <c r="AB1940" s="32" t="n"/>
      <c r="AC1940" s="32" t="n"/>
    </row>
    <row r="1941">
      <c r="A1941" s="26" t="inlineStr">
        <is>
          <t>S38</t>
        </is>
      </c>
      <c r="B1941" s="26" t="inlineStr">
        <is>
          <t>강화</t>
        </is>
      </c>
      <c r="C1941" s="26" t="inlineStr">
        <is>
          <t>S38-H동</t>
        </is>
      </c>
      <c r="D1941" s="47" t="n">
        <v>1</v>
      </c>
      <c r="E1941" s="26" t="inlineStr">
        <is>
          <t>측정</t>
        </is>
      </c>
      <c r="F1941" s="26" t="inlineStr">
        <is>
          <t>동</t>
        </is>
      </c>
      <c r="G1941" s="31" t="n">
        <v>10</v>
      </c>
      <c r="H1941" s="30" t="n"/>
      <c r="I1941" s="43" t="n"/>
      <c r="J1941" s="41" t="n"/>
      <c r="K1941" s="41" t="n"/>
      <c r="L1941" s="41" t="n"/>
      <c r="M1941" s="31">
        <f>IF(COUNT(J1941:L1941)=0,"",MEDIAN(J1941:L1941))</f>
        <v/>
      </c>
      <c r="N1941" s="26">
        <f>IF(COUNTIFS($C:$C,$C1941,$D:$D,$D1941,$E:$E,"P0(전)",$M:$M,"&gt;0")&lt;&gt;1,"P0(전) 유효 1개 아님",IF(COUNTIFS($C:$C,$C1941,$D:$D,$D1941,$E:$E,"P0(후)",$M:$M,"&gt;0")&lt;&gt;1,"P0(후) 유효 1개 아님",IF(NOT(AND(ISNUMBER(O1941),ISNUMBER(Q1941),ISNUMBER(I1941))),"시각 결측",IF(Q1941&lt;=O1941,"P0 시각 역전",IF(OR(I1941&lt;O1941,I1941&gt;Q1941),"측정시각 구간 밖","OK")))))</f>
        <v/>
      </c>
      <c r="O1941" s="48">
        <f>IF(COUNTIFS($C:$C,$C1941,$D:$D,$D1941,$E:$E,"P0(전)",$M:$M,"&gt;0")&lt;&gt;1,"",SUMIFS($I:$I,$C:$C,$C1941,$D:$D,$D1941,$E:$E,"P0(전)"))</f>
        <v/>
      </c>
      <c r="P1941" s="31">
        <f>IF(COUNTIFS($C:$C,$C1941,$D:$D,$D1941,$E:$E,"P0(전)",$M:$M,"&gt;0")&lt;&gt;1,"",SUMIFS($M:$M,$C:$C,$C1941,$D:$D,$D1941,$E:$E,"P0(전)"))</f>
        <v/>
      </c>
      <c r="Q1941" s="48">
        <f>IF(COUNTIFS($C:$C,$C1941,$D:$D,$D1941,$E:$E,"P0(후)",$M:$M,"&gt;0")&lt;&gt;1,"",SUMIFS($I:$I,$C:$C,$C1941,$D:$D,$D1941,$E:$E,"P0(후)"))</f>
        <v/>
      </c>
      <c r="R1941" s="31">
        <f>IF(COUNTIFS($C:$C,$C1941,$D:$D,$D1941,$E:$E,"P0(후)",$M:$M,"&gt;0")&lt;&gt;1,"",SUMIFS($M:$M,$C:$C,$C1941,$D:$D,$D1941,$E:$E,"P0(후)"))</f>
        <v/>
      </c>
      <c r="S1941" s="31">
        <f>IF(N1941&lt;&gt;"OK","",P1941+(R1941-P1941)*(I1941-O1941)/(Q1941-O1941))</f>
        <v/>
      </c>
      <c r="T1941" s="31">
        <f>IF(OR(N1941&lt;&gt;"OK",NOT(ISNUMBER(M1941))),"",M1941-S1941)</f>
        <v/>
      </c>
      <c r="U1941" s="49">
        <f>IF(OR(NOT(ISNUMBER(T1941)),IF(ISNUMBER(H1941),H1941,G1941)=0),"",T1941/IF(ISNUMBER(H1941),H1941,G1941))</f>
        <v/>
      </c>
      <c r="V1941" s="49">
        <f>IF(ISNUMBER(U1941),ABS(U1941),"")</f>
        <v/>
      </c>
      <c r="W1941" s="49">
        <f>IF(OR($E1940&lt;&gt;"측정",$C1940&lt;&gt;$C1941,$D1940&lt;&gt;$D1941,NOT(ISNUMBER(M1941)),NOT(ISNUMBER(M1940)),(IF(ISNUMBER(H1941),H1941,G1941)-IF(ISNUMBER(H1940),H1940,G1940))=0),"",(M1941-M1940)/(IF(ISNUMBER(H1941),H1941,G1941)-IF(ISNUMBER(H1940),H1940,G1940)))</f>
        <v/>
      </c>
      <c r="X1941" s="31">
        <f>IF(NOT(AND(ISNUMBER(O1941),ISNUMBER(Q1941))),"",(Q1941-O1941)*1440)</f>
        <v/>
      </c>
      <c r="Y1941" s="29" t="n"/>
      <c r="Z1941" s="29" t="n"/>
      <c r="AA1941" s="29" t="n"/>
      <c r="AB1941" s="32" t="n"/>
      <c r="AC1941" s="32" t="n"/>
    </row>
    <row r="1942">
      <c r="A1942" s="44" t="inlineStr">
        <is>
          <t>S38</t>
        </is>
      </c>
      <c r="B1942" s="44" t="inlineStr">
        <is>
          <t>강화</t>
        </is>
      </c>
      <c r="C1942" s="44" t="inlineStr">
        <is>
          <t>S38-H동</t>
        </is>
      </c>
      <c r="D1942" s="45" t="n">
        <v>1</v>
      </c>
      <c r="E1942" s="44" t="inlineStr">
        <is>
          <t>P0(후)</t>
        </is>
      </c>
      <c r="F1942" s="44" t="inlineStr">
        <is>
          <t>동</t>
        </is>
      </c>
      <c r="G1942" s="46" t="n"/>
      <c r="H1942" s="30" t="n"/>
      <c r="I1942" s="43" t="n"/>
      <c r="J1942" s="41" t="n"/>
      <c r="K1942" s="41" t="n"/>
      <c r="L1942" s="41" t="n"/>
      <c r="M1942" s="31">
        <f>IF(COUNT(J1942:L1942)=0,"",MEDIAN(J1942:L1942))</f>
        <v/>
      </c>
      <c r="N1942" s="38" t="n"/>
      <c r="O1942" s="38" t="n"/>
      <c r="P1942" s="38" t="n"/>
      <c r="Q1942" s="38" t="n"/>
      <c r="R1942" s="38" t="n"/>
      <c r="S1942" s="38" t="n"/>
      <c r="T1942" s="38" t="n"/>
      <c r="U1942" s="38" t="n"/>
      <c r="V1942" s="38" t="n"/>
      <c r="W1942" s="38" t="n"/>
      <c r="X1942" s="38" t="n"/>
      <c r="Y1942" s="29" t="n"/>
      <c r="Z1942" s="29" t="n"/>
      <c r="AA1942" s="29" t="n"/>
      <c r="AB1942" s="32" t="n"/>
      <c r="AC1942" s="32" t="n"/>
    </row>
    <row r="1943">
      <c r="A1943" s="44" t="inlineStr">
        <is>
          <t>S38</t>
        </is>
      </c>
      <c r="B1943" s="44" t="inlineStr">
        <is>
          <t>강화</t>
        </is>
      </c>
      <c r="C1943" s="44" t="inlineStr">
        <is>
          <t>S38-H서</t>
        </is>
      </c>
      <c r="D1943" s="45" t="n">
        <v>1</v>
      </c>
      <c r="E1943" s="44" t="inlineStr">
        <is>
          <t>P0(전)</t>
        </is>
      </c>
      <c r="F1943" s="44" t="inlineStr">
        <is>
          <t>서</t>
        </is>
      </c>
      <c r="G1943" s="46" t="n"/>
      <c r="H1943" s="30" t="n"/>
      <c r="I1943" s="43" t="n"/>
      <c r="J1943" s="41" t="n"/>
      <c r="K1943" s="41" t="n"/>
      <c r="L1943" s="41" t="n"/>
      <c r="M1943" s="31">
        <f>IF(COUNT(J1943:L1943)=0,"",MEDIAN(J1943:L1943))</f>
        <v/>
      </c>
      <c r="N1943" s="38" t="n"/>
      <c r="O1943" s="38" t="n"/>
      <c r="P1943" s="38" t="n"/>
      <c r="Q1943" s="38" t="n"/>
      <c r="R1943" s="38" t="n"/>
      <c r="S1943" s="38" t="n"/>
      <c r="T1943" s="38" t="n"/>
      <c r="U1943" s="38" t="n"/>
      <c r="V1943" s="38" t="n"/>
      <c r="W1943" s="38" t="n"/>
      <c r="X1943" s="38" t="n"/>
      <c r="Y1943" s="29" t="n"/>
      <c r="Z1943" s="29" t="n"/>
      <c r="AA1943" s="29" t="n"/>
      <c r="AB1943" s="32" t="n"/>
      <c r="AC1943" s="32" t="n"/>
    </row>
    <row r="1944">
      <c r="A1944" s="26" t="inlineStr">
        <is>
          <t>S38</t>
        </is>
      </c>
      <c r="B1944" s="26" t="inlineStr">
        <is>
          <t>강화</t>
        </is>
      </c>
      <c r="C1944" s="26" t="inlineStr">
        <is>
          <t>S38-H서</t>
        </is>
      </c>
      <c r="D1944" s="47" t="n">
        <v>1</v>
      </c>
      <c r="E1944" s="26" t="inlineStr">
        <is>
          <t>측정</t>
        </is>
      </c>
      <c r="F1944" s="26" t="inlineStr">
        <is>
          <t>서</t>
        </is>
      </c>
      <c r="G1944" s="31" t="n">
        <v>0.5</v>
      </c>
      <c r="H1944" s="30" t="n"/>
      <c r="I1944" s="43" t="n"/>
      <c r="J1944" s="41" t="n"/>
      <c r="K1944" s="41" t="n"/>
      <c r="L1944" s="41" t="n"/>
      <c r="M1944" s="31">
        <f>IF(COUNT(J1944:L1944)=0,"",MEDIAN(J1944:L1944))</f>
        <v/>
      </c>
      <c r="N1944" s="26">
        <f>IF(COUNTIFS($C:$C,$C1944,$D:$D,$D1944,$E:$E,"P0(전)",$M:$M,"&gt;0")&lt;&gt;1,"P0(전) 유효 1개 아님",IF(COUNTIFS($C:$C,$C1944,$D:$D,$D1944,$E:$E,"P0(후)",$M:$M,"&gt;0")&lt;&gt;1,"P0(후) 유효 1개 아님",IF(NOT(AND(ISNUMBER(O1944),ISNUMBER(Q1944),ISNUMBER(I1944))),"시각 결측",IF(Q1944&lt;=O1944,"P0 시각 역전",IF(OR(I1944&lt;O1944,I1944&gt;Q1944),"측정시각 구간 밖","OK")))))</f>
        <v/>
      </c>
      <c r="O1944" s="48">
        <f>IF(COUNTIFS($C:$C,$C1944,$D:$D,$D1944,$E:$E,"P0(전)",$M:$M,"&gt;0")&lt;&gt;1,"",SUMIFS($I:$I,$C:$C,$C1944,$D:$D,$D1944,$E:$E,"P0(전)"))</f>
        <v/>
      </c>
      <c r="P1944" s="31">
        <f>IF(COUNTIFS($C:$C,$C1944,$D:$D,$D1944,$E:$E,"P0(전)",$M:$M,"&gt;0")&lt;&gt;1,"",SUMIFS($M:$M,$C:$C,$C1944,$D:$D,$D1944,$E:$E,"P0(전)"))</f>
        <v/>
      </c>
      <c r="Q1944" s="48">
        <f>IF(COUNTIFS($C:$C,$C1944,$D:$D,$D1944,$E:$E,"P0(후)",$M:$M,"&gt;0")&lt;&gt;1,"",SUMIFS($I:$I,$C:$C,$C1944,$D:$D,$D1944,$E:$E,"P0(후)"))</f>
        <v/>
      </c>
      <c r="R1944" s="31">
        <f>IF(COUNTIFS($C:$C,$C1944,$D:$D,$D1944,$E:$E,"P0(후)",$M:$M,"&gt;0")&lt;&gt;1,"",SUMIFS($M:$M,$C:$C,$C1944,$D:$D,$D1944,$E:$E,"P0(후)"))</f>
        <v/>
      </c>
      <c r="S1944" s="31">
        <f>IF(N1944&lt;&gt;"OK","",P1944+(R1944-P1944)*(I1944-O1944)/(Q1944-O1944))</f>
        <v/>
      </c>
      <c r="T1944" s="31">
        <f>IF(OR(N1944&lt;&gt;"OK",NOT(ISNUMBER(M1944))),"",M1944-S1944)</f>
        <v/>
      </c>
      <c r="U1944" s="49">
        <f>IF(OR(NOT(ISNUMBER(T1944)),IF(ISNUMBER(H1944),H1944,G1944)=0),"",T1944/IF(ISNUMBER(H1944),H1944,G1944))</f>
        <v/>
      </c>
      <c r="V1944" s="49">
        <f>IF(ISNUMBER(U1944),ABS(U1944),"")</f>
        <v/>
      </c>
      <c r="W1944" s="49">
        <f>IF(OR($E1943&lt;&gt;"측정",$C1943&lt;&gt;$C1944,$D1943&lt;&gt;$D1944,NOT(ISNUMBER(M1944)),NOT(ISNUMBER(M1943)),(IF(ISNUMBER(H1944),H1944,G1944)-IF(ISNUMBER(H1943),H1943,G1943))=0),"",(M1944-M1943)/(IF(ISNUMBER(H1944),H1944,G1944)-IF(ISNUMBER(H1943),H1943,G1943)))</f>
        <v/>
      </c>
      <c r="X1944" s="31">
        <f>IF(NOT(AND(ISNUMBER(O1944),ISNUMBER(Q1944))),"",(Q1944-O1944)*1440)</f>
        <v/>
      </c>
      <c r="Y1944" s="29" t="n"/>
      <c r="Z1944" s="29" t="n"/>
      <c r="AA1944" s="29" t="n"/>
      <c r="AB1944" s="32" t="n"/>
      <c r="AC1944" s="32" t="n"/>
    </row>
    <row r="1945">
      <c r="A1945" s="26" t="inlineStr">
        <is>
          <t>S38</t>
        </is>
      </c>
      <c r="B1945" s="26" t="inlineStr">
        <is>
          <t>강화</t>
        </is>
      </c>
      <c r="C1945" s="26" t="inlineStr">
        <is>
          <t>S38-H서</t>
        </is>
      </c>
      <c r="D1945" s="47" t="n">
        <v>1</v>
      </c>
      <c r="E1945" s="26" t="inlineStr">
        <is>
          <t>측정</t>
        </is>
      </c>
      <c r="F1945" s="26" t="inlineStr">
        <is>
          <t>서</t>
        </is>
      </c>
      <c r="G1945" s="31" t="n">
        <v>1</v>
      </c>
      <c r="H1945" s="30" t="n"/>
      <c r="I1945" s="43" t="n"/>
      <c r="J1945" s="41" t="n"/>
      <c r="K1945" s="41" t="n"/>
      <c r="L1945" s="41" t="n"/>
      <c r="M1945" s="31">
        <f>IF(COUNT(J1945:L1945)=0,"",MEDIAN(J1945:L1945))</f>
        <v/>
      </c>
      <c r="N1945" s="26">
        <f>IF(COUNTIFS($C:$C,$C1945,$D:$D,$D1945,$E:$E,"P0(전)",$M:$M,"&gt;0")&lt;&gt;1,"P0(전) 유효 1개 아님",IF(COUNTIFS($C:$C,$C1945,$D:$D,$D1945,$E:$E,"P0(후)",$M:$M,"&gt;0")&lt;&gt;1,"P0(후) 유효 1개 아님",IF(NOT(AND(ISNUMBER(O1945),ISNUMBER(Q1945),ISNUMBER(I1945))),"시각 결측",IF(Q1945&lt;=O1945,"P0 시각 역전",IF(OR(I1945&lt;O1945,I1945&gt;Q1945),"측정시각 구간 밖","OK")))))</f>
        <v/>
      </c>
      <c r="O1945" s="48">
        <f>IF(COUNTIFS($C:$C,$C1945,$D:$D,$D1945,$E:$E,"P0(전)",$M:$M,"&gt;0")&lt;&gt;1,"",SUMIFS($I:$I,$C:$C,$C1945,$D:$D,$D1945,$E:$E,"P0(전)"))</f>
        <v/>
      </c>
      <c r="P1945" s="31">
        <f>IF(COUNTIFS($C:$C,$C1945,$D:$D,$D1945,$E:$E,"P0(전)",$M:$M,"&gt;0")&lt;&gt;1,"",SUMIFS($M:$M,$C:$C,$C1945,$D:$D,$D1945,$E:$E,"P0(전)"))</f>
        <v/>
      </c>
      <c r="Q1945" s="48">
        <f>IF(COUNTIFS($C:$C,$C1945,$D:$D,$D1945,$E:$E,"P0(후)",$M:$M,"&gt;0")&lt;&gt;1,"",SUMIFS($I:$I,$C:$C,$C1945,$D:$D,$D1945,$E:$E,"P0(후)"))</f>
        <v/>
      </c>
      <c r="R1945" s="31">
        <f>IF(COUNTIFS($C:$C,$C1945,$D:$D,$D1945,$E:$E,"P0(후)",$M:$M,"&gt;0")&lt;&gt;1,"",SUMIFS($M:$M,$C:$C,$C1945,$D:$D,$D1945,$E:$E,"P0(후)"))</f>
        <v/>
      </c>
      <c r="S1945" s="31">
        <f>IF(N1945&lt;&gt;"OK","",P1945+(R1945-P1945)*(I1945-O1945)/(Q1945-O1945))</f>
        <v/>
      </c>
      <c r="T1945" s="31">
        <f>IF(OR(N1945&lt;&gt;"OK",NOT(ISNUMBER(M1945))),"",M1945-S1945)</f>
        <v/>
      </c>
      <c r="U1945" s="49">
        <f>IF(OR(NOT(ISNUMBER(T1945)),IF(ISNUMBER(H1945),H1945,G1945)=0),"",T1945/IF(ISNUMBER(H1945),H1945,G1945))</f>
        <v/>
      </c>
      <c r="V1945" s="49">
        <f>IF(ISNUMBER(U1945),ABS(U1945),"")</f>
        <v/>
      </c>
      <c r="W1945" s="49">
        <f>IF(OR($E1944&lt;&gt;"측정",$C1944&lt;&gt;$C1945,$D1944&lt;&gt;$D1945,NOT(ISNUMBER(M1945)),NOT(ISNUMBER(M1944)),(IF(ISNUMBER(H1945),H1945,G1945)-IF(ISNUMBER(H1944),H1944,G1944))=0),"",(M1945-M1944)/(IF(ISNUMBER(H1945),H1945,G1945)-IF(ISNUMBER(H1944),H1944,G1944)))</f>
        <v/>
      </c>
      <c r="X1945" s="31">
        <f>IF(NOT(AND(ISNUMBER(O1945),ISNUMBER(Q1945))),"",(Q1945-O1945)*1440)</f>
        <v/>
      </c>
      <c r="Y1945" s="29" t="n"/>
      <c r="Z1945" s="29" t="n"/>
      <c r="AA1945" s="29" t="n"/>
      <c r="AB1945" s="32" t="n"/>
      <c r="AC1945" s="32" t="n"/>
    </row>
    <row r="1946">
      <c r="A1946" s="26" t="inlineStr">
        <is>
          <t>S38</t>
        </is>
      </c>
      <c r="B1946" s="26" t="inlineStr">
        <is>
          <t>강화</t>
        </is>
      </c>
      <c r="C1946" s="26" t="inlineStr">
        <is>
          <t>S38-H서</t>
        </is>
      </c>
      <c r="D1946" s="47" t="n">
        <v>1</v>
      </c>
      <c r="E1946" s="26" t="inlineStr">
        <is>
          <t>측정</t>
        </is>
      </c>
      <c r="F1946" s="26" t="inlineStr">
        <is>
          <t>서</t>
        </is>
      </c>
      <c r="G1946" s="31" t="n">
        <v>2</v>
      </c>
      <c r="H1946" s="30" t="n"/>
      <c r="I1946" s="43" t="n"/>
      <c r="J1946" s="41" t="n"/>
      <c r="K1946" s="41" t="n"/>
      <c r="L1946" s="41" t="n"/>
      <c r="M1946" s="31">
        <f>IF(COUNT(J1946:L1946)=0,"",MEDIAN(J1946:L1946))</f>
        <v/>
      </c>
      <c r="N1946" s="26">
        <f>IF(COUNTIFS($C:$C,$C1946,$D:$D,$D1946,$E:$E,"P0(전)",$M:$M,"&gt;0")&lt;&gt;1,"P0(전) 유효 1개 아님",IF(COUNTIFS($C:$C,$C1946,$D:$D,$D1946,$E:$E,"P0(후)",$M:$M,"&gt;0")&lt;&gt;1,"P0(후) 유효 1개 아님",IF(NOT(AND(ISNUMBER(O1946),ISNUMBER(Q1946),ISNUMBER(I1946))),"시각 결측",IF(Q1946&lt;=O1946,"P0 시각 역전",IF(OR(I1946&lt;O1946,I1946&gt;Q1946),"측정시각 구간 밖","OK")))))</f>
        <v/>
      </c>
      <c r="O1946" s="48">
        <f>IF(COUNTIFS($C:$C,$C1946,$D:$D,$D1946,$E:$E,"P0(전)",$M:$M,"&gt;0")&lt;&gt;1,"",SUMIFS($I:$I,$C:$C,$C1946,$D:$D,$D1946,$E:$E,"P0(전)"))</f>
        <v/>
      </c>
      <c r="P1946" s="31">
        <f>IF(COUNTIFS($C:$C,$C1946,$D:$D,$D1946,$E:$E,"P0(전)",$M:$M,"&gt;0")&lt;&gt;1,"",SUMIFS($M:$M,$C:$C,$C1946,$D:$D,$D1946,$E:$E,"P0(전)"))</f>
        <v/>
      </c>
      <c r="Q1946" s="48">
        <f>IF(COUNTIFS($C:$C,$C1946,$D:$D,$D1946,$E:$E,"P0(후)",$M:$M,"&gt;0")&lt;&gt;1,"",SUMIFS($I:$I,$C:$C,$C1946,$D:$D,$D1946,$E:$E,"P0(후)"))</f>
        <v/>
      </c>
      <c r="R1946" s="31">
        <f>IF(COUNTIFS($C:$C,$C1946,$D:$D,$D1946,$E:$E,"P0(후)",$M:$M,"&gt;0")&lt;&gt;1,"",SUMIFS($M:$M,$C:$C,$C1946,$D:$D,$D1946,$E:$E,"P0(후)"))</f>
        <v/>
      </c>
      <c r="S1946" s="31">
        <f>IF(N1946&lt;&gt;"OK","",P1946+(R1946-P1946)*(I1946-O1946)/(Q1946-O1946))</f>
        <v/>
      </c>
      <c r="T1946" s="31">
        <f>IF(OR(N1946&lt;&gt;"OK",NOT(ISNUMBER(M1946))),"",M1946-S1946)</f>
        <v/>
      </c>
      <c r="U1946" s="49">
        <f>IF(OR(NOT(ISNUMBER(T1946)),IF(ISNUMBER(H1946),H1946,G1946)=0),"",T1946/IF(ISNUMBER(H1946),H1946,G1946))</f>
        <v/>
      </c>
      <c r="V1946" s="49">
        <f>IF(ISNUMBER(U1946),ABS(U1946),"")</f>
        <v/>
      </c>
      <c r="W1946" s="49">
        <f>IF(OR($E1945&lt;&gt;"측정",$C1945&lt;&gt;$C1946,$D1945&lt;&gt;$D1946,NOT(ISNUMBER(M1946)),NOT(ISNUMBER(M1945)),(IF(ISNUMBER(H1946),H1946,G1946)-IF(ISNUMBER(H1945),H1945,G1945))=0),"",(M1946-M1945)/(IF(ISNUMBER(H1946),H1946,G1946)-IF(ISNUMBER(H1945),H1945,G1945)))</f>
        <v/>
      </c>
      <c r="X1946" s="31">
        <f>IF(NOT(AND(ISNUMBER(O1946),ISNUMBER(Q1946))),"",(Q1946-O1946)*1440)</f>
        <v/>
      </c>
      <c r="Y1946" s="29" t="n"/>
      <c r="Z1946" s="29" t="n"/>
      <c r="AA1946" s="29" t="n"/>
      <c r="AB1946" s="32" t="n"/>
      <c r="AC1946" s="32" t="n"/>
    </row>
    <row r="1947">
      <c r="A1947" s="26" t="inlineStr">
        <is>
          <t>S38</t>
        </is>
      </c>
      <c r="B1947" s="26" t="inlineStr">
        <is>
          <t>강화</t>
        </is>
      </c>
      <c r="C1947" s="26" t="inlineStr">
        <is>
          <t>S38-H서</t>
        </is>
      </c>
      <c r="D1947" s="47" t="n">
        <v>1</v>
      </c>
      <c r="E1947" s="26" t="inlineStr">
        <is>
          <t>측정</t>
        </is>
      </c>
      <c r="F1947" s="26" t="inlineStr">
        <is>
          <t>서</t>
        </is>
      </c>
      <c r="G1947" s="31" t="n">
        <v>3</v>
      </c>
      <c r="H1947" s="30" t="n"/>
      <c r="I1947" s="43" t="n"/>
      <c r="J1947" s="41" t="n"/>
      <c r="K1947" s="41" t="n"/>
      <c r="L1947" s="41" t="n"/>
      <c r="M1947" s="31">
        <f>IF(COUNT(J1947:L1947)=0,"",MEDIAN(J1947:L1947))</f>
        <v/>
      </c>
      <c r="N1947" s="26">
        <f>IF(COUNTIFS($C:$C,$C1947,$D:$D,$D1947,$E:$E,"P0(전)",$M:$M,"&gt;0")&lt;&gt;1,"P0(전) 유효 1개 아님",IF(COUNTIFS($C:$C,$C1947,$D:$D,$D1947,$E:$E,"P0(후)",$M:$M,"&gt;0")&lt;&gt;1,"P0(후) 유효 1개 아님",IF(NOT(AND(ISNUMBER(O1947),ISNUMBER(Q1947),ISNUMBER(I1947))),"시각 결측",IF(Q1947&lt;=O1947,"P0 시각 역전",IF(OR(I1947&lt;O1947,I1947&gt;Q1947),"측정시각 구간 밖","OK")))))</f>
        <v/>
      </c>
      <c r="O1947" s="48">
        <f>IF(COUNTIFS($C:$C,$C1947,$D:$D,$D1947,$E:$E,"P0(전)",$M:$M,"&gt;0")&lt;&gt;1,"",SUMIFS($I:$I,$C:$C,$C1947,$D:$D,$D1947,$E:$E,"P0(전)"))</f>
        <v/>
      </c>
      <c r="P1947" s="31">
        <f>IF(COUNTIFS($C:$C,$C1947,$D:$D,$D1947,$E:$E,"P0(전)",$M:$M,"&gt;0")&lt;&gt;1,"",SUMIFS($M:$M,$C:$C,$C1947,$D:$D,$D1947,$E:$E,"P0(전)"))</f>
        <v/>
      </c>
      <c r="Q1947" s="48">
        <f>IF(COUNTIFS($C:$C,$C1947,$D:$D,$D1947,$E:$E,"P0(후)",$M:$M,"&gt;0")&lt;&gt;1,"",SUMIFS($I:$I,$C:$C,$C1947,$D:$D,$D1947,$E:$E,"P0(후)"))</f>
        <v/>
      </c>
      <c r="R1947" s="31">
        <f>IF(COUNTIFS($C:$C,$C1947,$D:$D,$D1947,$E:$E,"P0(후)",$M:$M,"&gt;0")&lt;&gt;1,"",SUMIFS($M:$M,$C:$C,$C1947,$D:$D,$D1947,$E:$E,"P0(후)"))</f>
        <v/>
      </c>
      <c r="S1947" s="31">
        <f>IF(N1947&lt;&gt;"OK","",P1947+(R1947-P1947)*(I1947-O1947)/(Q1947-O1947))</f>
        <v/>
      </c>
      <c r="T1947" s="31">
        <f>IF(OR(N1947&lt;&gt;"OK",NOT(ISNUMBER(M1947))),"",M1947-S1947)</f>
        <v/>
      </c>
      <c r="U1947" s="49">
        <f>IF(OR(NOT(ISNUMBER(T1947)),IF(ISNUMBER(H1947),H1947,G1947)=0),"",T1947/IF(ISNUMBER(H1947),H1947,G1947))</f>
        <v/>
      </c>
      <c r="V1947" s="49">
        <f>IF(ISNUMBER(U1947),ABS(U1947),"")</f>
        <v/>
      </c>
      <c r="W1947" s="49">
        <f>IF(OR($E1946&lt;&gt;"측정",$C1946&lt;&gt;$C1947,$D1946&lt;&gt;$D1947,NOT(ISNUMBER(M1947)),NOT(ISNUMBER(M1946)),(IF(ISNUMBER(H1947),H1947,G1947)-IF(ISNUMBER(H1946),H1946,G1946))=0),"",(M1947-M1946)/(IF(ISNUMBER(H1947),H1947,G1947)-IF(ISNUMBER(H1946),H1946,G1946)))</f>
        <v/>
      </c>
      <c r="X1947" s="31">
        <f>IF(NOT(AND(ISNUMBER(O1947),ISNUMBER(Q1947))),"",(Q1947-O1947)*1440)</f>
        <v/>
      </c>
      <c r="Y1947" s="29" t="n"/>
      <c r="Z1947" s="29" t="n"/>
      <c r="AA1947" s="29" t="n"/>
      <c r="AB1947" s="32" t="n"/>
      <c r="AC1947" s="32" t="n"/>
    </row>
    <row r="1948">
      <c r="A1948" s="26" t="inlineStr">
        <is>
          <t>S38</t>
        </is>
      </c>
      <c r="B1948" s="26" t="inlineStr">
        <is>
          <t>강화</t>
        </is>
      </c>
      <c r="C1948" s="26" t="inlineStr">
        <is>
          <t>S38-H서</t>
        </is>
      </c>
      <c r="D1948" s="47" t="n">
        <v>1</v>
      </c>
      <c r="E1948" s="26" t="inlineStr">
        <is>
          <t>측정</t>
        </is>
      </c>
      <c r="F1948" s="26" t="inlineStr">
        <is>
          <t>서</t>
        </is>
      </c>
      <c r="G1948" s="31" t="n">
        <v>4</v>
      </c>
      <c r="H1948" s="30" t="n"/>
      <c r="I1948" s="43" t="n"/>
      <c r="J1948" s="41" t="n"/>
      <c r="K1948" s="41" t="n"/>
      <c r="L1948" s="41" t="n"/>
      <c r="M1948" s="31">
        <f>IF(COUNT(J1948:L1948)=0,"",MEDIAN(J1948:L1948))</f>
        <v/>
      </c>
      <c r="N1948" s="26">
        <f>IF(COUNTIFS($C:$C,$C1948,$D:$D,$D1948,$E:$E,"P0(전)",$M:$M,"&gt;0")&lt;&gt;1,"P0(전) 유효 1개 아님",IF(COUNTIFS($C:$C,$C1948,$D:$D,$D1948,$E:$E,"P0(후)",$M:$M,"&gt;0")&lt;&gt;1,"P0(후) 유효 1개 아님",IF(NOT(AND(ISNUMBER(O1948),ISNUMBER(Q1948),ISNUMBER(I1948))),"시각 결측",IF(Q1948&lt;=O1948,"P0 시각 역전",IF(OR(I1948&lt;O1948,I1948&gt;Q1948),"측정시각 구간 밖","OK")))))</f>
        <v/>
      </c>
      <c r="O1948" s="48">
        <f>IF(COUNTIFS($C:$C,$C1948,$D:$D,$D1948,$E:$E,"P0(전)",$M:$M,"&gt;0")&lt;&gt;1,"",SUMIFS($I:$I,$C:$C,$C1948,$D:$D,$D1948,$E:$E,"P0(전)"))</f>
        <v/>
      </c>
      <c r="P1948" s="31">
        <f>IF(COUNTIFS($C:$C,$C1948,$D:$D,$D1948,$E:$E,"P0(전)",$M:$M,"&gt;0")&lt;&gt;1,"",SUMIFS($M:$M,$C:$C,$C1948,$D:$D,$D1948,$E:$E,"P0(전)"))</f>
        <v/>
      </c>
      <c r="Q1948" s="48">
        <f>IF(COUNTIFS($C:$C,$C1948,$D:$D,$D1948,$E:$E,"P0(후)",$M:$M,"&gt;0")&lt;&gt;1,"",SUMIFS($I:$I,$C:$C,$C1948,$D:$D,$D1948,$E:$E,"P0(후)"))</f>
        <v/>
      </c>
      <c r="R1948" s="31">
        <f>IF(COUNTIFS($C:$C,$C1948,$D:$D,$D1948,$E:$E,"P0(후)",$M:$M,"&gt;0")&lt;&gt;1,"",SUMIFS($M:$M,$C:$C,$C1948,$D:$D,$D1948,$E:$E,"P0(후)"))</f>
        <v/>
      </c>
      <c r="S1948" s="31">
        <f>IF(N1948&lt;&gt;"OK","",P1948+(R1948-P1948)*(I1948-O1948)/(Q1948-O1948))</f>
        <v/>
      </c>
      <c r="T1948" s="31">
        <f>IF(OR(N1948&lt;&gt;"OK",NOT(ISNUMBER(M1948))),"",M1948-S1948)</f>
        <v/>
      </c>
      <c r="U1948" s="49">
        <f>IF(OR(NOT(ISNUMBER(T1948)),IF(ISNUMBER(H1948),H1948,G1948)=0),"",T1948/IF(ISNUMBER(H1948),H1948,G1948))</f>
        <v/>
      </c>
      <c r="V1948" s="49">
        <f>IF(ISNUMBER(U1948),ABS(U1948),"")</f>
        <v/>
      </c>
      <c r="W1948" s="49">
        <f>IF(OR($E1947&lt;&gt;"측정",$C1947&lt;&gt;$C1948,$D1947&lt;&gt;$D1948,NOT(ISNUMBER(M1948)),NOT(ISNUMBER(M1947)),(IF(ISNUMBER(H1948),H1948,G1948)-IF(ISNUMBER(H1947),H1947,G1947))=0),"",(M1948-M1947)/(IF(ISNUMBER(H1948),H1948,G1948)-IF(ISNUMBER(H1947),H1947,G1947)))</f>
        <v/>
      </c>
      <c r="X1948" s="31">
        <f>IF(NOT(AND(ISNUMBER(O1948),ISNUMBER(Q1948))),"",(Q1948-O1948)*1440)</f>
        <v/>
      </c>
      <c r="Y1948" s="29" t="n"/>
      <c r="Z1948" s="29" t="n"/>
      <c r="AA1948" s="29" t="n"/>
      <c r="AB1948" s="32" t="n"/>
      <c r="AC1948" s="32" t="n"/>
    </row>
    <row r="1949">
      <c r="A1949" s="26" t="inlineStr">
        <is>
          <t>S38</t>
        </is>
      </c>
      <c r="B1949" s="26" t="inlineStr">
        <is>
          <t>강화</t>
        </is>
      </c>
      <c r="C1949" s="26" t="inlineStr">
        <is>
          <t>S38-H서</t>
        </is>
      </c>
      <c r="D1949" s="47" t="n">
        <v>1</v>
      </c>
      <c r="E1949" s="26" t="inlineStr">
        <is>
          <t>측정</t>
        </is>
      </c>
      <c r="F1949" s="26" t="inlineStr">
        <is>
          <t>서</t>
        </is>
      </c>
      <c r="G1949" s="31" t="n">
        <v>5</v>
      </c>
      <c r="H1949" s="30" t="n"/>
      <c r="I1949" s="43" t="n"/>
      <c r="J1949" s="41" t="n"/>
      <c r="K1949" s="41" t="n"/>
      <c r="L1949" s="41" t="n"/>
      <c r="M1949" s="31">
        <f>IF(COUNT(J1949:L1949)=0,"",MEDIAN(J1949:L1949))</f>
        <v/>
      </c>
      <c r="N1949" s="26">
        <f>IF(COUNTIFS($C:$C,$C1949,$D:$D,$D1949,$E:$E,"P0(전)",$M:$M,"&gt;0")&lt;&gt;1,"P0(전) 유효 1개 아님",IF(COUNTIFS($C:$C,$C1949,$D:$D,$D1949,$E:$E,"P0(후)",$M:$M,"&gt;0")&lt;&gt;1,"P0(후) 유효 1개 아님",IF(NOT(AND(ISNUMBER(O1949),ISNUMBER(Q1949),ISNUMBER(I1949))),"시각 결측",IF(Q1949&lt;=O1949,"P0 시각 역전",IF(OR(I1949&lt;O1949,I1949&gt;Q1949),"측정시각 구간 밖","OK")))))</f>
        <v/>
      </c>
      <c r="O1949" s="48">
        <f>IF(COUNTIFS($C:$C,$C1949,$D:$D,$D1949,$E:$E,"P0(전)",$M:$M,"&gt;0")&lt;&gt;1,"",SUMIFS($I:$I,$C:$C,$C1949,$D:$D,$D1949,$E:$E,"P0(전)"))</f>
        <v/>
      </c>
      <c r="P1949" s="31">
        <f>IF(COUNTIFS($C:$C,$C1949,$D:$D,$D1949,$E:$E,"P0(전)",$M:$M,"&gt;0")&lt;&gt;1,"",SUMIFS($M:$M,$C:$C,$C1949,$D:$D,$D1949,$E:$E,"P0(전)"))</f>
        <v/>
      </c>
      <c r="Q1949" s="48">
        <f>IF(COUNTIFS($C:$C,$C1949,$D:$D,$D1949,$E:$E,"P0(후)",$M:$M,"&gt;0")&lt;&gt;1,"",SUMIFS($I:$I,$C:$C,$C1949,$D:$D,$D1949,$E:$E,"P0(후)"))</f>
        <v/>
      </c>
      <c r="R1949" s="31">
        <f>IF(COUNTIFS($C:$C,$C1949,$D:$D,$D1949,$E:$E,"P0(후)",$M:$M,"&gt;0")&lt;&gt;1,"",SUMIFS($M:$M,$C:$C,$C1949,$D:$D,$D1949,$E:$E,"P0(후)"))</f>
        <v/>
      </c>
      <c r="S1949" s="31">
        <f>IF(N1949&lt;&gt;"OK","",P1949+(R1949-P1949)*(I1949-O1949)/(Q1949-O1949))</f>
        <v/>
      </c>
      <c r="T1949" s="31">
        <f>IF(OR(N1949&lt;&gt;"OK",NOT(ISNUMBER(M1949))),"",M1949-S1949)</f>
        <v/>
      </c>
      <c r="U1949" s="49">
        <f>IF(OR(NOT(ISNUMBER(T1949)),IF(ISNUMBER(H1949),H1949,G1949)=0),"",T1949/IF(ISNUMBER(H1949),H1949,G1949))</f>
        <v/>
      </c>
      <c r="V1949" s="49">
        <f>IF(ISNUMBER(U1949),ABS(U1949),"")</f>
        <v/>
      </c>
      <c r="W1949" s="49">
        <f>IF(OR($E1948&lt;&gt;"측정",$C1948&lt;&gt;$C1949,$D1948&lt;&gt;$D1949,NOT(ISNUMBER(M1949)),NOT(ISNUMBER(M1948)),(IF(ISNUMBER(H1949),H1949,G1949)-IF(ISNUMBER(H1948),H1948,G1948))=0),"",(M1949-M1948)/(IF(ISNUMBER(H1949),H1949,G1949)-IF(ISNUMBER(H1948),H1948,G1948)))</f>
        <v/>
      </c>
      <c r="X1949" s="31">
        <f>IF(NOT(AND(ISNUMBER(O1949),ISNUMBER(Q1949))),"",(Q1949-O1949)*1440)</f>
        <v/>
      </c>
      <c r="Y1949" s="29" t="n"/>
      <c r="Z1949" s="29" t="n"/>
      <c r="AA1949" s="29" t="n"/>
      <c r="AB1949" s="32" t="n"/>
      <c r="AC1949" s="32" t="n"/>
    </row>
    <row r="1950">
      <c r="A1950" s="26" t="inlineStr">
        <is>
          <t>S38</t>
        </is>
      </c>
      <c r="B1950" s="26" t="inlineStr">
        <is>
          <t>강화</t>
        </is>
      </c>
      <c r="C1950" s="26" t="inlineStr">
        <is>
          <t>S38-H서</t>
        </is>
      </c>
      <c r="D1950" s="47" t="n">
        <v>1</v>
      </c>
      <c r="E1950" s="26" t="inlineStr">
        <is>
          <t>측정</t>
        </is>
      </c>
      <c r="F1950" s="26" t="inlineStr">
        <is>
          <t>서</t>
        </is>
      </c>
      <c r="G1950" s="31" t="n">
        <v>6</v>
      </c>
      <c r="H1950" s="30" t="n"/>
      <c r="I1950" s="43" t="n"/>
      <c r="J1950" s="41" t="n"/>
      <c r="K1950" s="41" t="n"/>
      <c r="L1950" s="41" t="n"/>
      <c r="M1950" s="31">
        <f>IF(COUNT(J1950:L1950)=0,"",MEDIAN(J1950:L1950))</f>
        <v/>
      </c>
      <c r="N1950" s="26">
        <f>IF(COUNTIFS($C:$C,$C1950,$D:$D,$D1950,$E:$E,"P0(전)",$M:$M,"&gt;0")&lt;&gt;1,"P0(전) 유효 1개 아님",IF(COUNTIFS($C:$C,$C1950,$D:$D,$D1950,$E:$E,"P0(후)",$M:$M,"&gt;0")&lt;&gt;1,"P0(후) 유효 1개 아님",IF(NOT(AND(ISNUMBER(O1950),ISNUMBER(Q1950),ISNUMBER(I1950))),"시각 결측",IF(Q1950&lt;=O1950,"P0 시각 역전",IF(OR(I1950&lt;O1950,I1950&gt;Q1950),"측정시각 구간 밖","OK")))))</f>
        <v/>
      </c>
      <c r="O1950" s="48">
        <f>IF(COUNTIFS($C:$C,$C1950,$D:$D,$D1950,$E:$E,"P0(전)",$M:$M,"&gt;0")&lt;&gt;1,"",SUMIFS($I:$I,$C:$C,$C1950,$D:$D,$D1950,$E:$E,"P0(전)"))</f>
        <v/>
      </c>
      <c r="P1950" s="31">
        <f>IF(COUNTIFS($C:$C,$C1950,$D:$D,$D1950,$E:$E,"P0(전)",$M:$M,"&gt;0")&lt;&gt;1,"",SUMIFS($M:$M,$C:$C,$C1950,$D:$D,$D1950,$E:$E,"P0(전)"))</f>
        <v/>
      </c>
      <c r="Q1950" s="48">
        <f>IF(COUNTIFS($C:$C,$C1950,$D:$D,$D1950,$E:$E,"P0(후)",$M:$M,"&gt;0")&lt;&gt;1,"",SUMIFS($I:$I,$C:$C,$C1950,$D:$D,$D1950,$E:$E,"P0(후)"))</f>
        <v/>
      </c>
      <c r="R1950" s="31">
        <f>IF(COUNTIFS($C:$C,$C1950,$D:$D,$D1950,$E:$E,"P0(후)",$M:$M,"&gt;0")&lt;&gt;1,"",SUMIFS($M:$M,$C:$C,$C1950,$D:$D,$D1950,$E:$E,"P0(후)"))</f>
        <v/>
      </c>
      <c r="S1950" s="31">
        <f>IF(N1950&lt;&gt;"OK","",P1950+(R1950-P1950)*(I1950-O1950)/(Q1950-O1950))</f>
        <v/>
      </c>
      <c r="T1950" s="31">
        <f>IF(OR(N1950&lt;&gt;"OK",NOT(ISNUMBER(M1950))),"",M1950-S1950)</f>
        <v/>
      </c>
      <c r="U1950" s="49">
        <f>IF(OR(NOT(ISNUMBER(T1950)),IF(ISNUMBER(H1950),H1950,G1950)=0),"",T1950/IF(ISNUMBER(H1950),H1950,G1950))</f>
        <v/>
      </c>
      <c r="V1950" s="49">
        <f>IF(ISNUMBER(U1950),ABS(U1950),"")</f>
        <v/>
      </c>
      <c r="W1950" s="49">
        <f>IF(OR($E1949&lt;&gt;"측정",$C1949&lt;&gt;$C1950,$D1949&lt;&gt;$D1950,NOT(ISNUMBER(M1950)),NOT(ISNUMBER(M1949)),(IF(ISNUMBER(H1950),H1950,G1950)-IF(ISNUMBER(H1949),H1949,G1949))=0),"",(M1950-M1949)/(IF(ISNUMBER(H1950),H1950,G1950)-IF(ISNUMBER(H1949),H1949,G1949)))</f>
        <v/>
      </c>
      <c r="X1950" s="31">
        <f>IF(NOT(AND(ISNUMBER(O1950),ISNUMBER(Q1950))),"",(Q1950-O1950)*1440)</f>
        <v/>
      </c>
      <c r="Y1950" s="29" t="n"/>
      <c r="Z1950" s="29" t="n"/>
      <c r="AA1950" s="29" t="n"/>
      <c r="AB1950" s="32" t="n"/>
      <c r="AC1950" s="32" t="n"/>
    </row>
    <row r="1951">
      <c r="A1951" s="26" t="inlineStr">
        <is>
          <t>S38</t>
        </is>
      </c>
      <c r="B1951" s="26" t="inlineStr">
        <is>
          <t>강화</t>
        </is>
      </c>
      <c r="C1951" s="26" t="inlineStr">
        <is>
          <t>S38-H서</t>
        </is>
      </c>
      <c r="D1951" s="47" t="n">
        <v>1</v>
      </c>
      <c r="E1951" s="26" t="inlineStr">
        <is>
          <t>측정</t>
        </is>
      </c>
      <c r="F1951" s="26" t="inlineStr">
        <is>
          <t>서</t>
        </is>
      </c>
      <c r="G1951" s="31" t="n">
        <v>7</v>
      </c>
      <c r="H1951" s="30" t="n"/>
      <c r="I1951" s="43" t="n"/>
      <c r="J1951" s="41" t="n"/>
      <c r="K1951" s="41" t="n"/>
      <c r="L1951" s="41" t="n"/>
      <c r="M1951" s="31">
        <f>IF(COUNT(J1951:L1951)=0,"",MEDIAN(J1951:L1951))</f>
        <v/>
      </c>
      <c r="N1951" s="26">
        <f>IF(COUNTIFS($C:$C,$C1951,$D:$D,$D1951,$E:$E,"P0(전)",$M:$M,"&gt;0")&lt;&gt;1,"P0(전) 유효 1개 아님",IF(COUNTIFS($C:$C,$C1951,$D:$D,$D1951,$E:$E,"P0(후)",$M:$M,"&gt;0")&lt;&gt;1,"P0(후) 유효 1개 아님",IF(NOT(AND(ISNUMBER(O1951),ISNUMBER(Q1951),ISNUMBER(I1951))),"시각 결측",IF(Q1951&lt;=O1951,"P0 시각 역전",IF(OR(I1951&lt;O1951,I1951&gt;Q1951),"측정시각 구간 밖","OK")))))</f>
        <v/>
      </c>
      <c r="O1951" s="48">
        <f>IF(COUNTIFS($C:$C,$C1951,$D:$D,$D1951,$E:$E,"P0(전)",$M:$M,"&gt;0")&lt;&gt;1,"",SUMIFS($I:$I,$C:$C,$C1951,$D:$D,$D1951,$E:$E,"P0(전)"))</f>
        <v/>
      </c>
      <c r="P1951" s="31">
        <f>IF(COUNTIFS($C:$C,$C1951,$D:$D,$D1951,$E:$E,"P0(전)",$M:$M,"&gt;0")&lt;&gt;1,"",SUMIFS($M:$M,$C:$C,$C1951,$D:$D,$D1951,$E:$E,"P0(전)"))</f>
        <v/>
      </c>
      <c r="Q1951" s="48">
        <f>IF(COUNTIFS($C:$C,$C1951,$D:$D,$D1951,$E:$E,"P0(후)",$M:$M,"&gt;0")&lt;&gt;1,"",SUMIFS($I:$I,$C:$C,$C1951,$D:$D,$D1951,$E:$E,"P0(후)"))</f>
        <v/>
      </c>
      <c r="R1951" s="31">
        <f>IF(COUNTIFS($C:$C,$C1951,$D:$D,$D1951,$E:$E,"P0(후)",$M:$M,"&gt;0")&lt;&gt;1,"",SUMIFS($M:$M,$C:$C,$C1951,$D:$D,$D1951,$E:$E,"P0(후)"))</f>
        <v/>
      </c>
      <c r="S1951" s="31">
        <f>IF(N1951&lt;&gt;"OK","",P1951+(R1951-P1951)*(I1951-O1951)/(Q1951-O1951))</f>
        <v/>
      </c>
      <c r="T1951" s="31">
        <f>IF(OR(N1951&lt;&gt;"OK",NOT(ISNUMBER(M1951))),"",M1951-S1951)</f>
        <v/>
      </c>
      <c r="U1951" s="49">
        <f>IF(OR(NOT(ISNUMBER(T1951)),IF(ISNUMBER(H1951),H1951,G1951)=0),"",T1951/IF(ISNUMBER(H1951),H1951,G1951))</f>
        <v/>
      </c>
      <c r="V1951" s="49">
        <f>IF(ISNUMBER(U1951),ABS(U1951),"")</f>
        <v/>
      </c>
      <c r="W1951" s="49">
        <f>IF(OR($E1950&lt;&gt;"측정",$C1950&lt;&gt;$C1951,$D1950&lt;&gt;$D1951,NOT(ISNUMBER(M1951)),NOT(ISNUMBER(M1950)),(IF(ISNUMBER(H1951),H1951,G1951)-IF(ISNUMBER(H1950),H1950,G1950))=0),"",(M1951-M1950)/(IF(ISNUMBER(H1951),H1951,G1951)-IF(ISNUMBER(H1950),H1950,G1950)))</f>
        <v/>
      </c>
      <c r="X1951" s="31">
        <f>IF(NOT(AND(ISNUMBER(O1951),ISNUMBER(Q1951))),"",(Q1951-O1951)*1440)</f>
        <v/>
      </c>
      <c r="Y1951" s="29" t="n"/>
      <c r="Z1951" s="29" t="n"/>
      <c r="AA1951" s="29" t="n"/>
      <c r="AB1951" s="32" t="n"/>
      <c r="AC1951" s="32" t="n"/>
    </row>
    <row r="1952">
      <c r="A1952" s="26" t="inlineStr">
        <is>
          <t>S38</t>
        </is>
      </c>
      <c r="B1952" s="26" t="inlineStr">
        <is>
          <t>강화</t>
        </is>
      </c>
      <c r="C1952" s="26" t="inlineStr">
        <is>
          <t>S38-H서</t>
        </is>
      </c>
      <c r="D1952" s="47" t="n">
        <v>1</v>
      </c>
      <c r="E1952" s="26" t="inlineStr">
        <is>
          <t>측정</t>
        </is>
      </c>
      <c r="F1952" s="26" t="inlineStr">
        <is>
          <t>서</t>
        </is>
      </c>
      <c r="G1952" s="31" t="n">
        <v>8</v>
      </c>
      <c r="H1952" s="30" t="n"/>
      <c r="I1952" s="43" t="n"/>
      <c r="J1952" s="41" t="n"/>
      <c r="K1952" s="41" t="n"/>
      <c r="L1952" s="41" t="n"/>
      <c r="M1952" s="31">
        <f>IF(COUNT(J1952:L1952)=0,"",MEDIAN(J1952:L1952))</f>
        <v/>
      </c>
      <c r="N1952" s="26">
        <f>IF(COUNTIFS($C:$C,$C1952,$D:$D,$D1952,$E:$E,"P0(전)",$M:$M,"&gt;0")&lt;&gt;1,"P0(전) 유효 1개 아님",IF(COUNTIFS($C:$C,$C1952,$D:$D,$D1952,$E:$E,"P0(후)",$M:$M,"&gt;0")&lt;&gt;1,"P0(후) 유효 1개 아님",IF(NOT(AND(ISNUMBER(O1952),ISNUMBER(Q1952),ISNUMBER(I1952))),"시각 결측",IF(Q1952&lt;=O1952,"P0 시각 역전",IF(OR(I1952&lt;O1952,I1952&gt;Q1952),"측정시각 구간 밖","OK")))))</f>
        <v/>
      </c>
      <c r="O1952" s="48">
        <f>IF(COUNTIFS($C:$C,$C1952,$D:$D,$D1952,$E:$E,"P0(전)",$M:$M,"&gt;0")&lt;&gt;1,"",SUMIFS($I:$I,$C:$C,$C1952,$D:$D,$D1952,$E:$E,"P0(전)"))</f>
        <v/>
      </c>
      <c r="P1952" s="31">
        <f>IF(COUNTIFS($C:$C,$C1952,$D:$D,$D1952,$E:$E,"P0(전)",$M:$M,"&gt;0")&lt;&gt;1,"",SUMIFS($M:$M,$C:$C,$C1952,$D:$D,$D1952,$E:$E,"P0(전)"))</f>
        <v/>
      </c>
      <c r="Q1952" s="48">
        <f>IF(COUNTIFS($C:$C,$C1952,$D:$D,$D1952,$E:$E,"P0(후)",$M:$M,"&gt;0")&lt;&gt;1,"",SUMIFS($I:$I,$C:$C,$C1952,$D:$D,$D1952,$E:$E,"P0(후)"))</f>
        <v/>
      </c>
      <c r="R1952" s="31">
        <f>IF(COUNTIFS($C:$C,$C1952,$D:$D,$D1952,$E:$E,"P0(후)",$M:$M,"&gt;0")&lt;&gt;1,"",SUMIFS($M:$M,$C:$C,$C1952,$D:$D,$D1952,$E:$E,"P0(후)"))</f>
        <v/>
      </c>
      <c r="S1952" s="31">
        <f>IF(N1952&lt;&gt;"OK","",P1952+(R1952-P1952)*(I1952-O1952)/(Q1952-O1952))</f>
        <v/>
      </c>
      <c r="T1952" s="31">
        <f>IF(OR(N1952&lt;&gt;"OK",NOT(ISNUMBER(M1952))),"",M1952-S1952)</f>
        <v/>
      </c>
      <c r="U1952" s="49">
        <f>IF(OR(NOT(ISNUMBER(T1952)),IF(ISNUMBER(H1952),H1952,G1952)=0),"",T1952/IF(ISNUMBER(H1952),H1952,G1952))</f>
        <v/>
      </c>
      <c r="V1952" s="49">
        <f>IF(ISNUMBER(U1952),ABS(U1952),"")</f>
        <v/>
      </c>
      <c r="W1952" s="49">
        <f>IF(OR($E1951&lt;&gt;"측정",$C1951&lt;&gt;$C1952,$D1951&lt;&gt;$D1952,NOT(ISNUMBER(M1952)),NOT(ISNUMBER(M1951)),(IF(ISNUMBER(H1952),H1952,G1952)-IF(ISNUMBER(H1951),H1951,G1951))=0),"",(M1952-M1951)/(IF(ISNUMBER(H1952),H1952,G1952)-IF(ISNUMBER(H1951),H1951,G1951)))</f>
        <v/>
      </c>
      <c r="X1952" s="31">
        <f>IF(NOT(AND(ISNUMBER(O1952),ISNUMBER(Q1952))),"",(Q1952-O1952)*1440)</f>
        <v/>
      </c>
      <c r="Y1952" s="29" t="n"/>
      <c r="Z1952" s="29" t="n"/>
      <c r="AA1952" s="29" t="n"/>
      <c r="AB1952" s="32" t="n"/>
      <c r="AC1952" s="32" t="n"/>
    </row>
    <row r="1953">
      <c r="A1953" s="26" t="inlineStr">
        <is>
          <t>S38</t>
        </is>
      </c>
      <c r="B1953" s="26" t="inlineStr">
        <is>
          <t>강화</t>
        </is>
      </c>
      <c r="C1953" s="26" t="inlineStr">
        <is>
          <t>S38-H서</t>
        </is>
      </c>
      <c r="D1953" s="47" t="n">
        <v>1</v>
      </c>
      <c r="E1953" s="26" t="inlineStr">
        <is>
          <t>측정</t>
        </is>
      </c>
      <c r="F1953" s="26" t="inlineStr">
        <is>
          <t>서</t>
        </is>
      </c>
      <c r="G1953" s="31" t="n">
        <v>9</v>
      </c>
      <c r="H1953" s="30" t="n"/>
      <c r="I1953" s="43" t="n"/>
      <c r="J1953" s="41" t="n"/>
      <c r="K1953" s="41" t="n"/>
      <c r="L1953" s="41" t="n"/>
      <c r="M1953" s="31">
        <f>IF(COUNT(J1953:L1953)=0,"",MEDIAN(J1953:L1953))</f>
        <v/>
      </c>
      <c r="N1953" s="26">
        <f>IF(COUNTIFS($C:$C,$C1953,$D:$D,$D1953,$E:$E,"P0(전)",$M:$M,"&gt;0")&lt;&gt;1,"P0(전) 유효 1개 아님",IF(COUNTIFS($C:$C,$C1953,$D:$D,$D1953,$E:$E,"P0(후)",$M:$M,"&gt;0")&lt;&gt;1,"P0(후) 유효 1개 아님",IF(NOT(AND(ISNUMBER(O1953),ISNUMBER(Q1953),ISNUMBER(I1953))),"시각 결측",IF(Q1953&lt;=O1953,"P0 시각 역전",IF(OR(I1953&lt;O1953,I1953&gt;Q1953),"측정시각 구간 밖","OK")))))</f>
        <v/>
      </c>
      <c r="O1953" s="48">
        <f>IF(COUNTIFS($C:$C,$C1953,$D:$D,$D1953,$E:$E,"P0(전)",$M:$M,"&gt;0")&lt;&gt;1,"",SUMIFS($I:$I,$C:$C,$C1953,$D:$D,$D1953,$E:$E,"P0(전)"))</f>
        <v/>
      </c>
      <c r="P1953" s="31">
        <f>IF(COUNTIFS($C:$C,$C1953,$D:$D,$D1953,$E:$E,"P0(전)",$M:$M,"&gt;0")&lt;&gt;1,"",SUMIFS($M:$M,$C:$C,$C1953,$D:$D,$D1953,$E:$E,"P0(전)"))</f>
        <v/>
      </c>
      <c r="Q1953" s="48">
        <f>IF(COUNTIFS($C:$C,$C1953,$D:$D,$D1953,$E:$E,"P0(후)",$M:$M,"&gt;0")&lt;&gt;1,"",SUMIFS($I:$I,$C:$C,$C1953,$D:$D,$D1953,$E:$E,"P0(후)"))</f>
        <v/>
      </c>
      <c r="R1953" s="31">
        <f>IF(COUNTIFS($C:$C,$C1953,$D:$D,$D1953,$E:$E,"P0(후)",$M:$M,"&gt;0")&lt;&gt;1,"",SUMIFS($M:$M,$C:$C,$C1953,$D:$D,$D1953,$E:$E,"P0(후)"))</f>
        <v/>
      </c>
      <c r="S1953" s="31">
        <f>IF(N1953&lt;&gt;"OK","",P1953+(R1953-P1953)*(I1953-O1953)/(Q1953-O1953))</f>
        <v/>
      </c>
      <c r="T1953" s="31">
        <f>IF(OR(N1953&lt;&gt;"OK",NOT(ISNUMBER(M1953))),"",M1953-S1953)</f>
        <v/>
      </c>
      <c r="U1953" s="49">
        <f>IF(OR(NOT(ISNUMBER(T1953)),IF(ISNUMBER(H1953),H1953,G1953)=0),"",T1953/IF(ISNUMBER(H1953),H1953,G1953))</f>
        <v/>
      </c>
      <c r="V1953" s="49">
        <f>IF(ISNUMBER(U1953),ABS(U1953),"")</f>
        <v/>
      </c>
      <c r="W1953" s="49">
        <f>IF(OR($E1952&lt;&gt;"측정",$C1952&lt;&gt;$C1953,$D1952&lt;&gt;$D1953,NOT(ISNUMBER(M1953)),NOT(ISNUMBER(M1952)),(IF(ISNUMBER(H1953),H1953,G1953)-IF(ISNUMBER(H1952),H1952,G1952))=0),"",(M1953-M1952)/(IF(ISNUMBER(H1953),H1953,G1953)-IF(ISNUMBER(H1952),H1952,G1952)))</f>
        <v/>
      </c>
      <c r="X1953" s="31">
        <f>IF(NOT(AND(ISNUMBER(O1953),ISNUMBER(Q1953))),"",(Q1953-O1953)*1440)</f>
        <v/>
      </c>
      <c r="Y1953" s="29" t="n"/>
      <c r="Z1953" s="29" t="n"/>
      <c r="AA1953" s="29" t="n"/>
      <c r="AB1953" s="32" t="n"/>
      <c r="AC1953" s="32" t="n"/>
    </row>
    <row r="1954">
      <c r="A1954" s="26" t="inlineStr">
        <is>
          <t>S38</t>
        </is>
      </c>
      <c r="B1954" s="26" t="inlineStr">
        <is>
          <t>강화</t>
        </is>
      </c>
      <c r="C1954" s="26" t="inlineStr">
        <is>
          <t>S38-H서</t>
        </is>
      </c>
      <c r="D1954" s="47" t="n">
        <v>1</v>
      </c>
      <c r="E1954" s="26" t="inlineStr">
        <is>
          <t>측정</t>
        </is>
      </c>
      <c r="F1954" s="26" t="inlineStr">
        <is>
          <t>서</t>
        </is>
      </c>
      <c r="G1954" s="31" t="n">
        <v>10</v>
      </c>
      <c r="H1954" s="30" t="n"/>
      <c r="I1954" s="43" t="n"/>
      <c r="J1954" s="41" t="n"/>
      <c r="K1954" s="41" t="n"/>
      <c r="L1954" s="41" t="n"/>
      <c r="M1954" s="31">
        <f>IF(COUNT(J1954:L1954)=0,"",MEDIAN(J1954:L1954))</f>
        <v/>
      </c>
      <c r="N1954" s="26">
        <f>IF(COUNTIFS($C:$C,$C1954,$D:$D,$D1954,$E:$E,"P0(전)",$M:$M,"&gt;0")&lt;&gt;1,"P0(전) 유효 1개 아님",IF(COUNTIFS($C:$C,$C1954,$D:$D,$D1954,$E:$E,"P0(후)",$M:$M,"&gt;0")&lt;&gt;1,"P0(후) 유효 1개 아님",IF(NOT(AND(ISNUMBER(O1954),ISNUMBER(Q1954),ISNUMBER(I1954))),"시각 결측",IF(Q1954&lt;=O1954,"P0 시각 역전",IF(OR(I1954&lt;O1954,I1954&gt;Q1954),"측정시각 구간 밖","OK")))))</f>
        <v/>
      </c>
      <c r="O1954" s="48">
        <f>IF(COUNTIFS($C:$C,$C1954,$D:$D,$D1954,$E:$E,"P0(전)",$M:$M,"&gt;0")&lt;&gt;1,"",SUMIFS($I:$I,$C:$C,$C1954,$D:$D,$D1954,$E:$E,"P0(전)"))</f>
        <v/>
      </c>
      <c r="P1954" s="31">
        <f>IF(COUNTIFS($C:$C,$C1954,$D:$D,$D1954,$E:$E,"P0(전)",$M:$M,"&gt;0")&lt;&gt;1,"",SUMIFS($M:$M,$C:$C,$C1954,$D:$D,$D1954,$E:$E,"P0(전)"))</f>
        <v/>
      </c>
      <c r="Q1954" s="48">
        <f>IF(COUNTIFS($C:$C,$C1954,$D:$D,$D1954,$E:$E,"P0(후)",$M:$M,"&gt;0")&lt;&gt;1,"",SUMIFS($I:$I,$C:$C,$C1954,$D:$D,$D1954,$E:$E,"P0(후)"))</f>
        <v/>
      </c>
      <c r="R1954" s="31">
        <f>IF(COUNTIFS($C:$C,$C1954,$D:$D,$D1954,$E:$E,"P0(후)",$M:$M,"&gt;0")&lt;&gt;1,"",SUMIFS($M:$M,$C:$C,$C1954,$D:$D,$D1954,$E:$E,"P0(후)"))</f>
        <v/>
      </c>
      <c r="S1954" s="31">
        <f>IF(N1954&lt;&gt;"OK","",P1954+(R1954-P1954)*(I1954-O1954)/(Q1954-O1954))</f>
        <v/>
      </c>
      <c r="T1954" s="31">
        <f>IF(OR(N1954&lt;&gt;"OK",NOT(ISNUMBER(M1954))),"",M1954-S1954)</f>
        <v/>
      </c>
      <c r="U1954" s="49">
        <f>IF(OR(NOT(ISNUMBER(T1954)),IF(ISNUMBER(H1954),H1954,G1954)=0),"",T1954/IF(ISNUMBER(H1954),H1954,G1954))</f>
        <v/>
      </c>
      <c r="V1954" s="49">
        <f>IF(ISNUMBER(U1954),ABS(U1954),"")</f>
        <v/>
      </c>
      <c r="W1954" s="49">
        <f>IF(OR($E1953&lt;&gt;"측정",$C1953&lt;&gt;$C1954,$D1953&lt;&gt;$D1954,NOT(ISNUMBER(M1954)),NOT(ISNUMBER(M1953)),(IF(ISNUMBER(H1954),H1954,G1954)-IF(ISNUMBER(H1953),H1953,G1953))=0),"",(M1954-M1953)/(IF(ISNUMBER(H1954),H1954,G1954)-IF(ISNUMBER(H1953),H1953,G1953)))</f>
        <v/>
      </c>
      <c r="X1954" s="31">
        <f>IF(NOT(AND(ISNUMBER(O1954),ISNUMBER(Q1954))),"",(Q1954-O1954)*1440)</f>
        <v/>
      </c>
      <c r="Y1954" s="29" t="n"/>
      <c r="Z1954" s="29" t="n"/>
      <c r="AA1954" s="29" t="n"/>
      <c r="AB1954" s="32" t="n"/>
      <c r="AC1954" s="32" t="n"/>
    </row>
    <row r="1955">
      <c r="A1955" s="44" t="inlineStr">
        <is>
          <t>S38</t>
        </is>
      </c>
      <c r="B1955" s="44" t="inlineStr">
        <is>
          <t>강화</t>
        </is>
      </c>
      <c r="C1955" s="44" t="inlineStr">
        <is>
          <t>S38-H서</t>
        </is>
      </c>
      <c r="D1955" s="45" t="n">
        <v>1</v>
      </c>
      <c r="E1955" s="44" t="inlineStr">
        <is>
          <t>P0(후)</t>
        </is>
      </c>
      <c r="F1955" s="44" t="inlineStr">
        <is>
          <t>서</t>
        </is>
      </c>
      <c r="G1955" s="46" t="n"/>
      <c r="H1955" s="30" t="n"/>
      <c r="I1955" s="43" t="n"/>
      <c r="J1955" s="41" t="n"/>
      <c r="K1955" s="41" t="n"/>
      <c r="L1955" s="41" t="n"/>
      <c r="M1955" s="31">
        <f>IF(COUNT(J1955:L1955)=0,"",MEDIAN(J1955:L1955))</f>
        <v/>
      </c>
      <c r="N1955" s="38" t="n"/>
      <c r="O1955" s="38" t="n"/>
      <c r="P1955" s="38" t="n"/>
      <c r="Q1955" s="38" t="n"/>
      <c r="R1955" s="38" t="n"/>
      <c r="S1955" s="38" t="n"/>
      <c r="T1955" s="38" t="n"/>
      <c r="U1955" s="38" t="n"/>
      <c r="V1955" s="38" t="n"/>
      <c r="W1955" s="38" t="n"/>
      <c r="X1955" s="38" t="n"/>
      <c r="Y1955" s="29" t="n"/>
      <c r="Z1955" s="29" t="n"/>
      <c r="AA1955" s="29" t="n"/>
      <c r="AB1955" s="32" t="n"/>
      <c r="AC1955" s="32" t="n"/>
    </row>
    <row r="1956">
      <c r="A1956" s="44" t="inlineStr">
        <is>
          <t>S38</t>
        </is>
      </c>
      <c r="B1956" s="44" t="inlineStr">
        <is>
          <t>강화</t>
        </is>
      </c>
      <c r="C1956" s="44" t="inlineStr">
        <is>
          <t>S38-H남</t>
        </is>
      </c>
      <c r="D1956" s="45" t="n">
        <v>1</v>
      </c>
      <c r="E1956" s="44" t="inlineStr">
        <is>
          <t>P0(전)</t>
        </is>
      </c>
      <c r="F1956" s="44" t="inlineStr">
        <is>
          <t>남</t>
        </is>
      </c>
      <c r="G1956" s="46" t="n"/>
      <c r="H1956" s="30" t="n"/>
      <c r="I1956" s="43" t="n"/>
      <c r="J1956" s="41" t="n"/>
      <c r="K1956" s="41" t="n"/>
      <c r="L1956" s="41" t="n"/>
      <c r="M1956" s="31">
        <f>IF(COUNT(J1956:L1956)=0,"",MEDIAN(J1956:L1956))</f>
        <v/>
      </c>
      <c r="N1956" s="38" t="n"/>
      <c r="O1956" s="38" t="n"/>
      <c r="P1956" s="38" t="n"/>
      <c r="Q1956" s="38" t="n"/>
      <c r="R1956" s="38" t="n"/>
      <c r="S1956" s="38" t="n"/>
      <c r="T1956" s="38" t="n"/>
      <c r="U1956" s="38" t="n"/>
      <c r="V1956" s="38" t="n"/>
      <c r="W1956" s="38" t="n"/>
      <c r="X1956" s="38" t="n"/>
      <c r="Y1956" s="29" t="n"/>
      <c r="Z1956" s="29" t="n"/>
      <c r="AA1956" s="29" t="n"/>
      <c r="AB1956" s="32" t="n"/>
      <c r="AC1956" s="32" t="n"/>
    </row>
    <row r="1957">
      <c r="A1957" s="26" t="inlineStr">
        <is>
          <t>S38</t>
        </is>
      </c>
      <c r="B1957" s="26" t="inlineStr">
        <is>
          <t>강화</t>
        </is>
      </c>
      <c r="C1957" s="26" t="inlineStr">
        <is>
          <t>S38-H남</t>
        </is>
      </c>
      <c r="D1957" s="47" t="n">
        <v>1</v>
      </c>
      <c r="E1957" s="26" t="inlineStr">
        <is>
          <t>측정</t>
        </is>
      </c>
      <c r="F1957" s="26" t="inlineStr">
        <is>
          <t>남</t>
        </is>
      </c>
      <c r="G1957" s="31" t="n">
        <v>0.5</v>
      </c>
      <c r="H1957" s="30" t="n"/>
      <c r="I1957" s="43" t="n"/>
      <c r="J1957" s="41" t="n"/>
      <c r="K1957" s="41" t="n"/>
      <c r="L1957" s="41" t="n"/>
      <c r="M1957" s="31">
        <f>IF(COUNT(J1957:L1957)=0,"",MEDIAN(J1957:L1957))</f>
        <v/>
      </c>
      <c r="N1957" s="26">
        <f>IF(COUNTIFS($C:$C,$C1957,$D:$D,$D1957,$E:$E,"P0(전)",$M:$M,"&gt;0")&lt;&gt;1,"P0(전) 유효 1개 아님",IF(COUNTIFS($C:$C,$C1957,$D:$D,$D1957,$E:$E,"P0(후)",$M:$M,"&gt;0")&lt;&gt;1,"P0(후) 유효 1개 아님",IF(NOT(AND(ISNUMBER(O1957),ISNUMBER(Q1957),ISNUMBER(I1957))),"시각 결측",IF(Q1957&lt;=O1957,"P0 시각 역전",IF(OR(I1957&lt;O1957,I1957&gt;Q1957),"측정시각 구간 밖","OK")))))</f>
        <v/>
      </c>
      <c r="O1957" s="48">
        <f>IF(COUNTIFS($C:$C,$C1957,$D:$D,$D1957,$E:$E,"P0(전)",$M:$M,"&gt;0")&lt;&gt;1,"",SUMIFS($I:$I,$C:$C,$C1957,$D:$D,$D1957,$E:$E,"P0(전)"))</f>
        <v/>
      </c>
      <c r="P1957" s="31">
        <f>IF(COUNTIFS($C:$C,$C1957,$D:$D,$D1957,$E:$E,"P0(전)",$M:$M,"&gt;0")&lt;&gt;1,"",SUMIFS($M:$M,$C:$C,$C1957,$D:$D,$D1957,$E:$E,"P0(전)"))</f>
        <v/>
      </c>
      <c r="Q1957" s="48">
        <f>IF(COUNTIFS($C:$C,$C1957,$D:$D,$D1957,$E:$E,"P0(후)",$M:$M,"&gt;0")&lt;&gt;1,"",SUMIFS($I:$I,$C:$C,$C1957,$D:$D,$D1957,$E:$E,"P0(후)"))</f>
        <v/>
      </c>
      <c r="R1957" s="31">
        <f>IF(COUNTIFS($C:$C,$C1957,$D:$D,$D1957,$E:$E,"P0(후)",$M:$M,"&gt;0")&lt;&gt;1,"",SUMIFS($M:$M,$C:$C,$C1957,$D:$D,$D1957,$E:$E,"P0(후)"))</f>
        <v/>
      </c>
      <c r="S1957" s="31">
        <f>IF(N1957&lt;&gt;"OK","",P1957+(R1957-P1957)*(I1957-O1957)/(Q1957-O1957))</f>
        <v/>
      </c>
      <c r="T1957" s="31">
        <f>IF(OR(N1957&lt;&gt;"OK",NOT(ISNUMBER(M1957))),"",M1957-S1957)</f>
        <v/>
      </c>
      <c r="U1957" s="49">
        <f>IF(OR(NOT(ISNUMBER(T1957)),IF(ISNUMBER(H1957),H1957,G1957)=0),"",T1957/IF(ISNUMBER(H1957),H1957,G1957))</f>
        <v/>
      </c>
      <c r="V1957" s="49">
        <f>IF(ISNUMBER(U1957),ABS(U1957),"")</f>
        <v/>
      </c>
      <c r="W1957" s="49">
        <f>IF(OR($E1956&lt;&gt;"측정",$C1956&lt;&gt;$C1957,$D1956&lt;&gt;$D1957,NOT(ISNUMBER(M1957)),NOT(ISNUMBER(M1956)),(IF(ISNUMBER(H1957),H1957,G1957)-IF(ISNUMBER(H1956),H1956,G1956))=0),"",(M1957-M1956)/(IF(ISNUMBER(H1957),H1957,G1957)-IF(ISNUMBER(H1956),H1956,G1956)))</f>
        <v/>
      </c>
      <c r="X1957" s="31">
        <f>IF(NOT(AND(ISNUMBER(O1957),ISNUMBER(Q1957))),"",(Q1957-O1957)*1440)</f>
        <v/>
      </c>
      <c r="Y1957" s="29" t="n"/>
      <c r="Z1957" s="29" t="n"/>
      <c r="AA1957" s="29" t="n"/>
      <c r="AB1957" s="32" t="n"/>
      <c r="AC1957" s="32" t="n"/>
    </row>
    <row r="1958">
      <c r="A1958" s="26" t="inlineStr">
        <is>
          <t>S38</t>
        </is>
      </c>
      <c r="B1958" s="26" t="inlineStr">
        <is>
          <t>강화</t>
        </is>
      </c>
      <c r="C1958" s="26" t="inlineStr">
        <is>
          <t>S38-H남</t>
        </is>
      </c>
      <c r="D1958" s="47" t="n">
        <v>1</v>
      </c>
      <c r="E1958" s="26" t="inlineStr">
        <is>
          <t>측정</t>
        </is>
      </c>
      <c r="F1958" s="26" t="inlineStr">
        <is>
          <t>남</t>
        </is>
      </c>
      <c r="G1958" s="31" t="n">
        <v>1</v>
      </c>
      <c r="H1958" s="30" t="n"/>
      <c r="I1958" s="43" t="n"/>
      <c r="J1958" s="41" t="n"/>
      <c r="K1958" s="41" t="n"/>
      <c r="L1958" s="41" t="n"/>
      <c r="M1958" s="31">
        <f>IF(COUNT(J1958:L1958)=0,"",MEDIAN(J1958:L1958))</f>
        <v/>
      </c>
      <c r="N1958" s="26">
        <f>IF(COUNTIFS($C:$C,$C1958,$D:$D,$D1958,$E:$E,"P0(전)",$M:$M,"&gt;0")&lt;&gt;1,"P0(전) 유효 1개 아님",IF(COUNTIFS($C:$C,$C1958,$D:$D,$D1958,$E:$E,"P0(후)",$M:$M,"&gt;0")&lt;&gt;1,"P0(후) 유효 1개 아님",IF(NOT(AND(ISNUMBER(O1958),ISNUMBER(Q1958),ISNUMBER(I1958))),"시각 결측",IF(Q1958&lt;=O1958,"P0 시각 역전",IF(OR(I1958&lt;O1958,I1958&gt;Q1958),"측정시각 구간 밖","OK")))))</f>
        <v/>
      </c>
      <c r="O1958" s="48">
        <f>IF(COUNTIFS($C:$C,$C1958,$D:$D,$D1958,$E:$E,"P0(전)",$M:$M,"&gt;0")&lt;&gt;1,"",SUMIFS($I:$I,$C:$C,$C1958,$D:$D,$D1958,$E:$E,"P0(전)"))</f>
        <v/>
      </c>
      <c r="P1958" s="31">
        <f>IF(COUNTIFS($C:$C,$C1958,$D:$D,$D1958,$E:$E,"P0(전)",$M:$M,"&gt;0")&lt;&gt;1,"",SUMIFS($M:$M,$C:$C,$C1958,$D:$D,$D1958,$E:$E,"P0(전)"))</f>
        <v/>
      </c>
      <c r="Q1958" s="48">
        <f>IF(COUNTIFS($C:$C,$C1958,$D:$D,$D1958,$E:$E,"P0(후)",$M:$M,"&gt;0")&lt;&gt;1,"",SUMIFS($I:$I,$C:$C,$C1958,$D:$D,$D1958,$E:$E,"P0(후)"))</f>
        <v/>
      </c>
      <c r="R1958" s="31">
        <f>IF(COUNTIFS($C:$C,$C1958,$D:$D,$D1958,$E:$E,"P0(후)",$M:$M,"&gt;0")&lt;&gt;1,"",SUMIFS($M:$M,$C:$C,$C1958,$D:$D,$D1958,$E:$E,"P0(후)"))</f>
        <v/>
      </c>
      <c r="S1958" s="31">
        <f>IF(N1958&lt;&gt;"OK","",P1958+(R1958-P1958)*(I1958-O1958)/(Q1958-O1958))</f>
        <v/>
      </c>
      <c r="T1958" s="31">
        <f>IF(OR(N1958&lt;&gt;"OK",NOT(ISNUMBER(M1958))),"",M1958-S1958)</f>
        <v/>
      </c>
      <c r="U1958" s="49">
        <f>IF(OR(NOT(ISNUMBER(T1958)),IF(ISNUMBER(H1958),H1958,G1958)=0),"",T1958/IF(ISNUMBER(H1958),H1958,G1958))</f>
        <v/>
      </c>
      <c r="V1958" s="49">
        <f>IF(ISNUMBER(U1958),ABS(U1958),"")</f>
        <v/>
      </c>
      <c r="W1958" s="49">
        <f>IF(OR($E1957&lt;&gt;"측정",$C1957&lt;&gt;$C1958,$D1957&lt;&gt;$D1958,NOT(ISNUMBER(M1958)),NOT(ISNUMBER(M1957)),(IF(ISNUMBER(H1958),H1958,G1958)-IF(ISNUMBER(H1957),H1957,G1957))=0),"",(M1958-M1957)/(IF(ISNUMBER(H1958),H1958,G1958)-IF(ISNUMBER(H1957),H1957,G1957)))</f>
        <v/>
      </c>
      <c r="X1958" s="31">
        <f>IF(NOT(AND(ISNUMBER(O1958),ISNUMBER(Q1958))),"",(Q1958-O1958)*1440)</f>
        <v/>
      </c>
      <c r="Y1958" s="29" t="n"/>
      <c r="Z1958" s="29" t="n"/>
      <c r="AA1958" s="29" t="n"/>
      <c r="AB1958" s="32" t="n"/>
      <c r="AC1958" s="32" t="n"/>
    </row>
    <row r="1959">
      <c r="A1959" s="26" t="inlineStr">
        <is>
          <t>S38</t>
        </is>
      </c>
      <c r="B1959" s="26" t="inlineStr">
        <is>
          <t>강화</t>
        </is>
      </c>
      <c r="C1959" s="26" t="inlineStr">
        <is>
          <t>S38-H남</t>
        </is>
      </c>
      <c r="D1959" s="47" t="n">
        <v>1</v>
      </c>
      <c r="E1959" s="26" t="inlineStr">
        <is>
          <t>측정</t>
        </is>
      </c>
      <c r="F1959" s="26" t="inlineStr">
        <is>
          <t>남</t>
        </is>
      </c>
      <c r="G1959" s="31" t="n">
        <v>2</v>
      </c>
      <c r="H1959" s="30" t="n"/>
      <c r="I1959" s="43" t="n"/>
      <c r="J1959" s="41" t="n"/>
      <c r="K1959" s="41" t="n"/>
      <c r="L1959" s="41" t="n"/>
      <c r="M1959" s="31">
        <f>IF(COUNT(J1959:L1959)=0,"",MEDIAN(J1959:L1959))</f>
        <v/>
      </c>
      <c r="N1959" s="26">
        <f>IF(COUNTIFS($C:$C,$C1959,$D:$D,$D1959,$E:$E,"P0(전)",$M:$M,"&gt;0")&lt;&gt;1,"P0(전) 유효 1개 아님",IF(COUNTIFS($C:$C,$C1959,$D:$D,$D1959,$E:$E,"P0(후)",$M:$M,"&gt;0")&lt;&gt;1,"P0(후) 유효 1개 아님",IF(NOT(AND(ISNUMBER(O1959),ISNUMBER(Q1959),ISNUMBER(I1959))),"시각 결측",IF(Q1959&lt;=O1959,"P0 시각 역전",IF(OR(I1959&lt;O1959,I1959&gt;Q1959),"측정시각 구간 밖","OK")))))</f>
        <v/>
      </c>
      <c r="O1959" s="48">
        <f>IF(COUNTIFS($C:$C,$C1959,$D:$D,$D1959,$E:$E,"P0(전)",$M:$M,"&gt;0")&lt;&gt;1,"",SUMIFS($I:$I,$C:$C,$C1959,$D:$D,$D1959,$E:$E,"P0(전)"))</f>
        <v/>
      </c>
      <c r="P1959" s="31">
        <f>IF(COUNTIFS($C:$C,$C1959,$D:$D,$D1959,$E:$E,"P0(전)",$M:$M,"&gt;0")&lt;&gt;1,"",SUMIFS($M:$M,$C:$C,$C1959,$D:$D,$D1959,$E:$E,"P0(전)"))</f>
        <v/>
      </c>
      <c r="Q1959" s="48">
        <f>IF(COUNTIFS($C:$C,$C1959,$D:$D,$D1959,$E:$E,"P0(후)",$M:$M,"&gt;0")&lt;&gt;1,"",SUMIFS($I:$I,$C:$C,$C1959,$D:$D,$D1959,$E:$E,"P0(후)"))</f>
        <v/>
      </c>
      <c r="R1959" s="31">
        <f>IF(COUNTIFS($C:$C,$C1959,$D:$D,$D1959,$E:$E,"P0(후)",$M:$M,"&gt;0")&lt;&gt;1,"",SUMIFS($M:$M,$C:$C,$C1959,$D:$D,$D1959,$E:$E,"P0(후)"))</f>
        <v/>
      </c>
      <c r="S1959" s="31">
        <f>IF(N1959&lt;&gt;"OK","",P1959+(R1959-P1959)*(I1959-O1959)/(Q1959-O1959))</f>
        <v/>
      </c>
      <c r="T1959" s="31">
        <f>IF(OR(N1959&lt;&gt;"OK",NOT(ISNUMBER(M1959))),"",M1959-S1959)</f>
        <v/>
      </c>
      <c r="U1959" s="49">
        <f>IF(OR(NOT(ISNUMBER(T1959)),IF(ISNUMBER(H1959),H1959,G1959)=0),"",T1959/IF(ISNUMBER(H1959),H1959,G1959))</f>
        <v/>
      </c>
      <c r="V1959" s="49">
        <f>IF(ISNUMBER(U1959),ABS(U1959),"")</f>
        <v/>
      </c>
      <c r="W1959" s="49">
        <f>IF(OR($E1958&lt;&gt;"측정",$C1958&lt;&gt;$C1959,$D1958&lt;&gt;$D1959,NOT(ISNUMBER(M1959)),NOT(ISNUMBER(M1958)),(IF(ISNUMBER(H1959),H1959,G1959)-IF(ISNUMBER(H1958),H1958,G1958))=0),"",(M1959-M1958)/(IF(ISNUMBER(H1959),H1959,G1959)-IF(ISNUMBER(H1958),H1958,G1958)))</f>
        <v/>
      </c>
      <c r="X1959" s="31">
        <f>IF(NOT(AND(ISNUMBER(O1959),ISNUMBER(Q1959))),"",(Q1959-O1959)*1440)</f>
        <v/>
      </c>
      <c r="Y1959" s="29" t="n"/>
      <c r="Z1959" s="29" t="n"/>
      <c r="AA1959" s="29" t="n"/>
      <c r="AB1959" s="32" t="n"/>
      <c r="AC1959" s="32" t="n"/>
    </row>
    <row r="1960">
      <c r="A1960" s="26" t="inlineStr">
        <is>
          <t>S38</t>
        </is>
      </c>
      <c r="B1960" s="26" t="inlineStr">
        <is>
          <t>강화</t>
        </is>
      </c>
      <c r="C1960" s="26" t="inlineStr">
        <is>
          <t>S38-H남</t>
        </is>
      </c>
      <c r="D1960" s="47" t="n">
        <v>1</v>
      </c>
      <c r="E1960" s="26" t="inlineStr">
        <is>
          <t>측정</t>
        </is>
      </c>
      <c r="F1960" s="26" t="inlineStr">
        <is>
          <t>남</t>
        </is>
      </c>
      <c r="G1960" s="31" t="n">
        <v>3</v>
      </c>
      <c r="H1960" s="30" t="n"/>
      <c r="I1960" s="43" t="n"/>
      <c r="J1960" s="41" t="n"/>
      <c r="K1960" s="41" t="n"/>
      <c r="L1960" s="41" t="n"/>
      <c r="M1960" s="31">
        <f>IF(COUNT(J1960:L1960)=0,"",MEDIAN(J1960:L1960))</f>
        <v/>
      </c>
      <c r="N1960" s="26">
        <f>IF(COUNTIFS($C:$C,$C1960,$D:$D,$D1960,$E:$E,"P0(전)",$M:$M,"&gt;0")&lt;&gt;1,"P0(전) 유효 1개 아님",IF(COUNTIFS($C:$C,$C1960,$D:$D,$D1960,$E:$E,"P0(후)",$M:$M,"&gt;0")&lt;&gt;1,"P0(후) 유효 1개 아님",IF(NOT(AND(ISNUMBER(O1960),ISNUMBER(Q1960),ISNUMBER(I1960))),"시각 결측",IF(Q1960&lt;=O1960,"P0 시각 역전",IF(OR(I1960&lt;O1960,I1960&gt;Q1960),"측정시각 구간 밖","OK")))))</f>
        <v/>
      </c>
      <c r="O1960" s="48">
        <f>IF(COUNTIFS($C:$C,$C1960,$D:$D,$D1960,$E:$E,"P0(전)",$M:$M,"&gt;0")&lt;&gt;1,"",SUMIFS($I:$I,$C:$C,$C1960,$D:$D,$D1960,$E:$E,"P0(전)"))</f>
        <v/>
      </c>
      <c r="P1960" s="31">
        <f>IF(COUNTIFS($C:$C,$C1960,$D:$D,$D1960,$E:$E,"P0(전)",$M:$M,"&gt;0")&lt;&gt;1,"",SUMIFS($M:$M,$C:$C,$C1960,$D:$D,$D1960,$E:$E,"P0(전)"))</f>
        <v/>
      </c>
      <c r="Q1960" s="48">
        <f>IF(COUNTIFS($C:$C,$C1960,$D:$D,$D1960,$E:$E,"P0(후)",$M:$M,"&gt;0")&lt;&gt;1,"",SUMIFS($I:$I,$C:$C,$C1960,$D:$D,$D1960,$E:$E,"P0(후)"))</f>
        <v/>
      </c>
      <c r="R1960" s="31">
        <f>IF(COUNTIFS($C:$C,$C1960,$D:$D,$D1960,$E:$E,"P0(후)",$M:$M,"&gt;0")&lt;&gt;1,"",SUMIFS($M:$M,$C:$C,$C1960,$D:$D,$D1960,$E:$E,"P0(후)"))</f>
        <v/>
      </c>
      <c r="S1960" s="31">
        <f>IF(N1960&lt;&gt;"OK","",P1960+(R1960-P1960)*(I1960-O1960)/(Q1960-O1960))</f>
        <v/>
      </c>
      <c r="T1960" s="31">
        <f>IF(OR(N1960&lt;&gt;"OK",NOT(ISNUMBER(M1960))),"",M1960-S1960)</f>
        <v/>
      </c>
      <c r="U1960" s="49">
        <f>IF(OR(NOT(ISNUMBER(T1960)),IF(ISNUMBER(H1960),H1960,G1960)=0),"",T1960/IF(ISNUMBER(H1960),H1960,G1960))</f>
        <v/>
      </c>
      <c r="V1960" s="49">
        <f>IF(ISNUMBER(U1960),ABS(U1960),"")</f>
        <v/>
      </c>
      <c r="W1960" s="49">
        <f>IF(OR($E1959&lt;&gt;"측정",$C1959&lt;&gt;$C1960,$D1959&lt;&gt;$D1960,NOT(ISNUMBER(M1960)),NOT(ISNUMBER(M1959)),(IF(ISNUMBER(H1960),H1960,G1960)-IF(ISNUMBER(H1959),H1959,G1959))=0),"",(M1960-M1959)/(IF(ISNUMBER(H1960),H1960,G1960)-IF(ISNUMBER(H1959),H1959,G1959)))</f>
        <v/>
      </c>
      <c r="X1960" s="31">
        <f>IF(NOT(AND(ISNUMBER(O1960),ISNUMBER(Q1960))),"",(Q1960-O1960)*1440)</f>
        <v/>
      </c>
      <c r="Y1960" s="29" t="n"/>
      <c r="Z1960" s="29" t="n"/>
      <c r="AA1960" s="29" t="n"/>
      <c r="AB1960" s="32" t="n"/>
      <c r="AC1960" s="32" t="n"/>
    </row>
    <row r="1961">
      <c r="A1961" s="26" t="inlineStr">
        <is>
          <t>S38</t>
        </is>
      </c>
      <c r="B1961" s="26" t="inlineStr">
        <is>
          <t>강화</t>
        </is>
      </c>
      <c r="C1961" s="26" t="inlineStr">
        <is>
          <t>S38-H남</t>
        </is>
      </c>
      <c r="D1961" s="47" t="n">
        <v>1</v>
      </c>
      <c r="E1961" s="26" t="inlineStr">
        <is>
          <t>측정</t>
        </is>
      </c>
      <c r="F1961" s="26" t="inlineStr">
        <is>
          <t>남</t>
        </is>
      </c>
      <c r="G1961" s="31" t="n">
        <v>4</v>
      </c>
      <c r="H1961" s="30" t="n"/>
      <c r="I1961" s="43" t="n"/>
      <c r="J1961" s="41" t="n"/>
      <c r="K1961" s="41" t="n"/>
      <c r="L1961" s="41" t="n"/>
      <c r="M1961" s="31">
        <f>IF(COUNT(J1961:L1961)=0,"",MEDIAN(J1961:L1961))</f>
        <v/>
      </c>
      <c r="N1961" s="26">
        <f>IF(COUNTIFS($C:$C,$C1961,$D:$D,$D1961,$E:$E,"P0(전)",$M:$M,"&gt;0")&lt;&gt;1,"P0(전) 유효 1개 아님",IF(COUNTIFS($C:$C,$C1961,$D:$D,$D1961,$E:$E,"P0(후)",$M:$M,"&gt;0")&lt;&gt;1,"P0(후) 유효 1개 아님",IF(NOT(AND(ISNUMBER(O1961),ISNUMBER(Q1961),ISNUMBER(I1961))),"시각 결측",IF(Q1961&lt;=O1961,"P0 시각 역전",IF(OR(I1961&lt;O1961,I1961&gt;Q1961),"측정시각 구간 밖","OK")))))</f>
        <v/>
      </c>
      <c r="O1961" s="48">
        <f>IF(COUNTIFS($C:$C,$C1961,$D:$D,$D1961,$E:$E,"P0(전)",$M:$M,"&gt;0")&lt;&gt;1,"",SUMIFS($I:$I,$C:$C,$C1961,$D:$D,$D1961,$E:$E,"P0(전)"))</f>
        <v/>
      </c>
      <c r="P1961" s="31">
        <f>IF(COUNTIFS($C:$C,$C1961,$D:$D,$D1961,$E:$E,"P0(전)",$M:$M,"&gt;0")&lt;&gt;1,"",SUMIFS($M:$M,$C:$C,$C1961,$D:$D,$D1961,$E:$E,"P0(전)"))</f>
        <v/>
      </c>
      <c r="Q1961" s="48">
        <f>IF(COUNTIFS($C:$C,$C1961,$D:$D,$D1961,$E:$E,"P0(후)",$M:$M,"&gt;0")&lt;&gt;1,"",SUMIFS($I:$I,$C:$C,$C1961,$D:$D,$D1961,$E:$E,"P0(후)"))</f>
        <v/>
      </c>
      <c r="R1961" s="31">
        <f>IF(COUNTIFS($C:$C,$C1961,$D:$D,$D1961,$E:$E,"P0(후)",$M:$M,"&gt;0")&lt;&gt;1,"",SUMIFS($M:$M,$C:$C,$C1961,$D:$D,$D1961,$E:$E,"P0(후)"))</f>
        <v/>
      </c>
      <c r="S1961" s="31">
        <f>IF(N1961&lt;&gt;"OK","",P1961+(R1961-P1961)*(I1961-O1961)/(Q1961-O1961))</f>
        <v/>
      </c>
      <c r="T1961" s="31">
        <f>IF(OR(N1961&lt;&gt;"OK",NOT(ISNUMBER(M1961))),"",M1961-S1961)</f>
        <v/>
      </c>
      <c r="U1961" s="49">
        <f>IF(OR(NOT(ISNUMBER(T1961)),IF(ISNUMBER(H1961),H1961,G1961)=0),"",T1961/IF(ISNUMBER(H1961),H1961,G1961))</f>
        <v/>
      </c>
      <c r="V1961" s="49">
        <f>IF(ISNUMBER(U1961),ABS(U1961),"")</f>
        <v/>
      </c>
      <c r="W1961" s="49">
        <f>IF(OR($E1960&lt;&gt;"측정",$C1960&lt;&gt;$C1961,$D1960&lt;&gt;$D1961,NOT(ISNUMBER(M1961)),NOT(ISNUMBER(M1960)),(IF(ISNUMBER(H1961),H1961,G1961)-IF(ISNUMBER(H1960),H1960,G1960))=0),"",(M1961-M1960)/(IF(ISNUMBER(H1961),H1961,G1961)-IF(ISNUMBER(H1960),H1960,G1960)))</f>
        <v/>
      </c>
      <c r="X1961" s="31">
        <f>IF(NOT(AND(ISNUMBER(O1961),ISNUMBER(Q1961))),"",(Q1961-O1961)*1440)</f>
        <v/>
      </c>
      <c r="Y1961" s="29" t="n"/>
      <c r="Z1961" s="29" t="n"/>
      <c r="AA1961" s="29" t="n"/>
      <c r="AB1961" s="32" t="n"/>
      <c r="AC1961" s="32" t="n"/>
    </row>
    <row r="1962">
      <c r="A1962" s="26" t="inlineStr">
        <is>
          <t>S38</t>
        </is>
      </c>
      <c r="B1962" s="26" t="inlineStr">
        <is>
          <t>강화</t>
        </is>
      </c>
      <c r="C1962" s="26" t="inlineStr">
        <is>
          <t>S38-H남</t>
        </is>
      </c>
      <c r="D1962" s="47" t="n">
        <v>1</v>
      </c>
      <c r="E1962" s="26" t="inlineStr">
        <is>
          <t>측정</t>
        </is>
      </c>
      <c r="F1962" s="26" t="inlineStr">
        <is>
          <t>남</t>
        </is>
      </c>
      <c r="G1962" s="31" t="n">
        <v>5</v>
      </c>
      <c r="H1962" s="30" t="n"/>
      <c r="I1962" s="43" t="n"/>
      <c r="J1962" s="41" t="n"/>
      <c r="K1962" s="41" t="n"/>
      <c r="L1962" s="41" t="n"/>
      <c r="M1962" s="31">
        <f>IF(COUNT(J1962:L1962)=0,"",MEDIAN(J1962:L1962))</f>
        <v/>
      </c>
      <c r="N1962" s="26">
        <f>IF(COUNTIFS($C:$C,$C1962,$D:$D,$D1962,$E:$E,"P0(전)",$M:$M,"&gt;0")&lt;&gt;1,"P0(전) 유효 1개 아님",IF(COUNTIFS($C:$C,$C1962,$D:$D,$D1962,$E:$E,"P0(후)",$M:$M,"&gt;0")&lt;&gt;1,"P0(후) 유효 1개 아님",IF(NOT(AND(ISNUMBER(O1962),ISNUMBER(Q1962),ISNUMBER(I1962))),"시각 결측",IF(Q1962&lt;=O1962,"P0 시각 역전",IF(OR(I1962&lt;O1962,I1962&gt;Q1962),"측정시각 구간 밖","OK")))))</f>
        <v/>
      </c>
      <c r="O1962" s="48">
        <f>IF(COUNTIFS($C:$C,$C1962,$D:$D,$D1962,$E:$E,"P0(전)",$M:$M,"&gt;0")&lt;&gt;1,"",SUMIFS($I:$I,$C:$C,$C1962,$D:$D,$D1962,$E:$E,"P0(전)"))</f>
        <v/>
      </c>
      <c r="P1962" s="31">
        <f>IF(COUNTIFS($C:$C,$C1962,$D:$D,$D1962,$E:$E,"P0(전)",$M:$M,"&gt;0")&lt;&gt;1,"",SUMIFS($M:$M,$C:$C,$C1962,$D:$D,$D1962,$E:$E,"P0(전)"))</f>
        <v/>
      </c>
      <c r="Q1962" s="48">
        <f>IF(COUNTIFS($C:$C,$C1962,$D:$D,$D1962,$E:$E,"P0(후)",$M:$M,"&gt;0")&lt;&gt;1,"",SUMIFS($I:$I,$C:$C,$C1962,$D:$D,$D1962,$E:$E,"P0(후)"))</f>
        <v/>
      </c>
      <c r="R1962" s="31">
        <f>IF(COUNTIFS($C:$C,$C1962,$D:$D,$D1962,$E:$E,"P0(후)",$M:$M,"&gt;0")&lt;&gt;1,"",SUMIFS($M:$M,$C:$C,$C1962,$D:$D,$D1962,$E:$E,"P0(후)"))</f>
        <v/>
      </c>
      <c r="S1962" s="31">
        <f>IF(N1962&lt;&gt;"OK","",P1962+(R1962-P1962)*(I1962-O1962)/(Q1962-O1962))</f>
        <v/>
      </c>
      <c r="T1962" s="31">
        <f>IF(OR(N1962&lt;&gt;"OK",NOT(ISNUMBER(M1962))),"",M1962-S1962)</f>
        <v/>
      </c>
      <c r="U1962" s="49">
        <f>IF(OR(NOT(ISNUMBER(T1962)),IF(ISNUMBER(H1962),H1962,G1962)=0),"",T1962/IF(ISNUMBER(H1962),H1962,G1962))</f>
        <v/>
      </c>
      <c r="V1962" s="49">
        <f>IF(ISNUMBER(U1962),ABS(U1962),"")</f>
        <v/>
      </c>
      <c r="W1962" s="49">
        <f>IF(OR($E1961&lt;&gt;"측정",$C1961&lt;&gt;$C1962,$D1961&lt;&gt;$D1962,NOT(ISNUMBER(M1962)),NOT(ISNUMBER(M1961)),(IF(ISNUMBER(H1962),H1962,G1962)-IF(ISNUMBER(H1961),H1961,G1961))=0),"",(M1962-M1961)/(IF(ISNUMBER(H1962),H1962,G1962)-IF(ISNUMBER(H1961),H1961,G1961)))</f>
        <v/>
      </c>
      <c r="X1962" s="31">
        <f>IF(NOT(AND(ISNUMBER(O1962),ISNUMBER(Q1962))),"",(Q1962-O1962)*1440)</f>
        <v/>
      </c>
      <c r="Y1962" s="29" t="n"/>
      <c r="Z1962" s="29" t="n"/>
      <c r="AA1962" s="29" t="n"/>
      <c r="AB1962" s="32" t="n"/>
      <c r="AC1962" s="32" t="n"/>
    </row>
    <row r="1963">
      <c r="A1963" s="26" t="inlineStr">
        <is>
          <t>S38</t>
        </is>
      </c>
      <c r="B1963" s="26" t="inlineStr">
        <is>
          <t>강화</t>
        </is>
      </c>
      <c r="C1963" s="26" t="inlineStr">
        <is>
          <t>S38-H남</t>
        </is>
      </c>
      <c r="D1963" s="47" t="n">
        <v>1</v>
      </c>
      <c r="E1963" s="26" t="inlineStr">
        <is>
          <t>측정</t>
        </is>
      </c>
      <c r="F1963" s="26" t="inlineStr">
        <is>
          <t>남</t>
        </is>
      </c>
      <c r="G1963" s="31" t="n">
        <v>6</v>
      </c>
      <c r="H1963" s="30" t="n"/>
      <c r="I1963" s="43" t="n"/>
      <c r="J1963" s="41" t="n"/>
      <c r="K1963" s="41" t="n"/>
      <c r="L1963" s="41" t="n"/>
      <c r="M1963" s="31">
        <f>IF(COUNT(J1963:L1963)=0,"",MEDIAN(J1963:L1963))</f>
        <v/>
      </c>
      <c r="N1963" s="26">
        <f>IF(COUNTIFS($C:$C,$C1963,$D:$D,$D1963,$E:$E,"P0(전)",$M:$M,"&gt;0")&lt;&gt;1,"P0(전) 유효 1개 아님",IF(COUNTIFS($C:$C,$C1963,$D:$D,$D1963,$E:$E,"P0(후)",$M:$M,"&gt;0")&lt;&gt;1,"P0(후) 유효 1개 아님",IF(NOT(AND(ISNUMBER(O1963),ISNUMBER(Q1963),ISNUMBER(I1963))),"시각 결측",IF(Q1963&lt;=O1963,"P0 시각 역전",IF(OR(I1963&lt;O1963,I1963&gt;Q1963),"측정시각 구간 밖","OK")))))</f>
        <v/>
      </c>
      <c r="O1963" s="48">
        <f>IF(COUNTIFS($C:$C,$C1963,$D:$D,$D1963,$E:$E,"P0(전)",$M:$M,"&gt;0")&lt;&gt;1,"",SUMIFS($I:$I,$C:$C,$C1963,$D:$D,$D1963,$E:$E,"P0(전)"))</f>
        <v/>
      </c>
      <c r="P1963" s="31">
        <f>IF(COUNTIFS($C:$C,$C1963,$D:$D,$D1963,$E:$E,"P0(전)",$M:$M,"&gt;0")&lt;&gt;1,"",SUMIFS($M:$M,$C:$C,$C1963,$D:$D,$D1963,$E:$E,"P0(전)"))</f>
        <v/>
      </c>
      <c r="Q1963" s="48">
        <f>IF(COUNTIFS($C:$C,$C1963,$D:$D,$D1963,$E:$E,"P0(후)",$M:$M,"&gt;0")&lt;&gt;1,"",SUMIFS($I:$I,$C:$C,$C1963,$D:$D,$D1963,$E:$E,"P0(후)"))</f>
        <v/>
      </c>
      <c r="R1963" s="31">
        <f>IF(COUNTIFS($C:$C,$C1963,$D:$D,$D1963,$E:$E,"P0(후)",$M:$M,"&gt;0")&lt;&gt;1,"",SUMIFS($M:$M,$C:$C,$C1963,$D:$D,$D1963,$E:$E,"P0(후)"))</f>
        <v/>
      </c>
      <c r="S1963" s="31">
        <f>IF(N1963&lt;&gt;"OK","",P1963+(R1963-P1963)*(I1963-O1963)/(Q1963-O1963))</f>
        <v/>
      </c>
      <c r="T1963" s="31">
        <f>IF(OR(N1963&lt;&gt;"OK",NOT(ISNUMBER(M1963))),"",M1963-S1963)</f>
        <v/>
      </c>
      <c r="U1963" s="49">
        <f>IF(OR(NOT(ISNUMBER(T1963)),IF(ISNUMBER(H1963),H1963,G1963)=0),"",T1963/IF(ISNUMBER(H1963),H1963,G1963))</f>
        <v/>
      </c>
      <c r="V1963" s="49">
        <f>IF(ISNUMBER(U1963),ABS(U1963),"")</f>
        <v/>
      </c>
      <c r="W1963" s="49">
        <f>IF(OR($E1962&lt;&gt;"측정",$C1962&lt;&gt;$C1963,$D1962&lt;&gt;$D1963,NOT(ISNUMBER(M1963)),NOT(ISNUMBER(M1962)),(IF(ISNUMBER(H1963),H1963,G1963)-IF(ISNUMBER(H1962),H1962,G1962))=0),"",(M1963-M1962)/(IF(ISNUMBER(H1963),H1963,G1963)-IF(ISNUMBER(H1962),H1962,G1962)))</f>
        <v/>
      </c>
      <c r="X1963" s="31">
        <f>IF(NOT(AND(ISNUMBER(O1963),ISNUMBER(Q1963))),"",(Q1963-O1963)*1440)</f>
        <v/>
      </c>
      <c r="Y1963" s="29" t="n"/>
      <c r="Z1963" s="29" t="n"/>
      <c r="AA1963" s="29" t="n"/>
      <c r="AB1963" s="32" t="n"/>
      <c r="AC1963" s="32" t="n"/>
    </row>
    <row r="1964">
      <c r="A1964" s="26" t="inlineStr">
        <is>
          <t>S38</t>
        </is>
      </c>
      <c r="B1964" s="26" t="inlineStr">
        <is>
          <t>강화</t>
        </is>
      </c>
      <c r="C1964" s="26" t="inlineStr">
        <is>
          <t>S38-H남</t>
        </is>
      </c>
      <c r="D1964" s="47" t="n">
        <v>1</v>
      </c>
      <c r="E1964" s="26" t="inlineStr">
        <is>
          <t>측정</t>
        </is>
      </c>
      <c r="F1964" s="26" t="inlineStr">
        <is>
          <t>남</t>
        </is>
      </c>
      <c r="G1964" s="31" t="n">
        <v>7</v>
      </c>
      <c r="H1964" s="30" t="n"/>
      <c r="I1964" s="43" t="n"/>
      <c r="J1964" s="41" t="n"/>
      <c r="K1964" s="41" t="n"/>
      <c r="L1964" s="41" t="n"/>
      <c r="M1964" s="31">
        <f>IF(COUNT(J1964:L1964)=0,"",MEDIAN(J1964:L1964))</f>
        <v/>
      </c>
      <c r="N1964" s="26">
        <f>IF(COUNTIFS($C:$C,$C1964,$D:$D,$D1964,$E:$E,"P0(전)",$M:$M,"&gt;0")&lt;&gt;1,"P0(전) 유효 1개 아님",IF(COUNTIFS($C:$C,$C1964,$D:$D,$D1964,$E:$E,"P0(후)",$M:$M,"&gt;0")&lt;&gt;1,"P0(후) 유효 1개 아님",IF(NOT(AND(ISNUMBER(O1964),ISNUMBER(Q1964),ISNUMBER(I1964))),"시각 결측",IF(Q1964&lt;=O1964,"P0 시각 역전",IF(OR(I1964&lt;O1964,I1964&gt;Q1964),"측정시각 구간 밖","OK")))))</f>
        <v/>
      </c>
      <c r="O1964" s="48">
        <f>IF(COUNTIFS($C:$C,$C1964,$D:$D,$D1964,$E:$E,"P0(전)",$M:$M,"&gt;0")&lt;&gt;1,"",SUMIFS($I:$I,$C:$C,$C1964,$D:$D,$D1964,$E:$E,"P0(전)"))</f>
        <v/>
      </c>
      <c r="P1964" s="31">
        <f>IF(COUNTIFS($C:$C,$C1964,$D:$D,$D1964,$E:$E,"P0(전)",$M:$M,"&gt;0")&lt;&gt;1,"",SUMIFS($M:$M,$C:$C,$C1964,$D:$D,$D1964,$E:$E,"P0(전)"))</f>
        <v/>
      </c>
      <c r="Q1964" s="48">
        <f>IF(COUNTIFS($C:$C,$C1964,$D:$D,$D1964,$E:$E,"P0(후)",$M:$M,"&gt;0")&lt;&gt;1,"",SUMIFS($I:$I,$C:$C,$C1964,$D:$D,$D1964,$E:$E,"P0(후)"))</f>
        <v/>
      </c>
      <c r="R1964" s="31">
        <f>IF(COUNTIFS($C:$C,$C1964,$D:$D,$D1964,$E:$E,"P0(후)",$M:$M,"&gt;0")&lt;&gt;1,"",SUMIFS($M:$M,$C:$C,$C1964,$D:$D,$D1964,$E:$E,"P0(후)"))</f>
        <v/>
      </c>
      <c r="S1964" s="31">
        <f>IF(N1964&lt;&gt;"OK","",P1964+(R1964-P1964)*(I1964-O1964)/(Q1964-O1964))</f>
        <v/>
      </c>
      <c r="T1964" s="31">
        <f>IF(OR(N1964&lt;&gt;"OK",NOT(ISNUMBER(M1964))),"",M1964-S1964)</f>
        <v/>
      </c>
      <c r="U1964" s="49">
        <f>IF(OR(NOT(ISNUMBER(T1964)),IF(ISNUMBER(H1964),H1964,G1964)=0),"",T1964/IF(ISNUMBER(H1964),H1964,G1964))</f>
        <v/>
      </c>
      <c r="V1964" s="49">
        <f>IF(ISNUMBER(U1964),ABS(U1964),"")</f>
        <v/>
      </c>
      <c r="W1964" s="49">
        <f>IF(OR($E1963&lt;&gt;"측정",$C1963&lt;&gt;$C1964,$D1963&lt;&gt;$D1964,NOT(ISNUMBER(M1964)),NOT(ISNUMBER(M1963)),(IF(ISNUMBER(H1964),H1964,G1964)-IF(ISNUMBER(H1963),H1963,G1963))=0),"",(M1964-M1963)/(IF(ISNUMBER(H1964),H1964,G1964)-IF(ISNUMBER(H1963),H1963,G1963)))</f>
        <v/>
      </c>
      <c r="X1964" s="31">
        <f>IF(NOT(AND(ISNUMBER(O1964),ISNUMBER(Q1964))),"",(Q1964-O1964)*1440)</f>
        <v/>
      </c>
      <c r="Y1964" s="29" t="n"/>
      <c r="Z1964" s="29" t="n"/>
      <c r="AA1964" s="29" t="n"/>
      <c r="AB1964" s="32" t="n"/>
      <c r="AC1964" s="32" t="n"/>
    </row>
    <row r="1965">
      <c r="A1965" s="26" t="inlineStr">
        <is>
          <t>S38</t>
        </is>
      </c>
      <c r="B1965" s="26" t="inlineStr">
        <is>
          <t>강화</t>
        </is>
      </c>
      <c r="C1965" s="26" t="inlineStr">
        <is>
          <t>S38-H남</t>
        </is>
      </c>
      <c r="D1965" s="47" t="n">
        <v>1</v>
      </c>
      <c r="E1965" s="26" t="inlineStr">
        <is>
          <t>측정</t>
        </is>
      </c>
      <c r="F1965" s="26" t="inlineStr">
        <is>
          <t>남</t>
        </is>
      </c>
      <c r="G1965" s="31" t="n">
        <v>8</v>
      </c>
      <c r="H1965" s="30" t="n"/>
      <c r="I1965" s="43" t="n"/>
      <c r="J1965" s="41" t="n"/>
      <c r="K1965" s="41" t="n"/>
      <c r="L1965" s="41" t="n"/>
      <c r="M1965" s="31">
        <f>IF(COUNT(J1965:L1965)=0,"",MEDIAN(J1965:L1965))</f>
        <v/>
      </c>
      <c r="N1965" s="26">
        <f>IF(COUNTIFS($C:$C,$C1965,$D:$D,$D1965,$E:$E,"P0(전)",$M:$M,"&gt;0")&lt;&gt;1,"P0(전) 유효 1개 아님",IF(COUNTIFS($C:$C,$C1965,$D:$D,$D1965,$E:$E,"P0(후)",$M:$M,"&gt;0")&lt;&gt;1,"P0(후) 유효 1개 아님",IF(NOT(AND(ISNUMBER(O1965),ISNUMBER(Q1965),ISNUMBER(I1965))),"시각 결측",IF(Q1965&lt;=O1965,"P0 시각 역전",IF(OR(I1965&lt;O1965,I1965&gt;Q1965),"측정시각 구간 밖","OK")))))</f>
        <v/>
      </c>
      <c r="O1965" s="48">
        <f>IF(COUNTIFS($C:$C,$C1965,$D:$D,$D1965,$E:$E,"P0(전)",$M:$M,"&gt;0")&lt;&gt;1,"",SUMIFS($I:$I,$C:$C,$C1965,$D:$D,$D1965,$E:$E,"P0(전)"))</f>
        <v/>
      </c>
      <c r="P1965" s="31">
        <f>IF(COUNTIFS($C:$C,$C1965,$D:$D,$D1965,$E:$E,"P0(전)",$M:$M,"&gt;0")&lt;&gt;1,"",SUMIFS($M:$M,$C:$C,$C1965,$D:$D,$D1965,$E:$E,"P0(전)"))</f>
        <v/>
      </c>
      <c r="Q1965" s="48">
        <f>IF(COUNTIFS($C:$C,$C1965,$D:$D,$D1965,$E:$E,"P0(후)",$M:$M,"&gt;0")&lt;&gt;1,"",SUMIFS($I:$I,$C:$C,$C1965,$D:$D,$D1965,$E:$E,"P0(후)"))</f>
        <v/>
      </c>
      <c r="R1965" s="31">
        <f>IF(COUNTIFS($C:$C,$C1965,$D:$D,$D1965,$E:$E,"P0(후)",$M:$M,"&gt;0")&lt;&gt;1,"",SUMIFS($M:$M,$C:$C,$C1965,$D:$D,$D1965,$E:$E,"P0(후)"))</f>
        <v/>
      </c>
      <c r="S1965" s="31">
        <f>IF(N1965&lt;&gt;"OK","",P1965+(R1965-P1965)*(I1965-O1965)/(Q1965-O1965))</f>
        <v/>
      </c>
      <c r="T1965" s="31">
        <f>IF(OR(N1965&lt;&gt;"OK",NOT(ISNUMBER(M1965))),"",M1965-S1965)</f>
        <v/>
      </c>
      <c r="U1965" s="49">
        <f>IF(OR(NOT(ISNUMBER(T1965)),IF(ISNUMBER(H1965),H1965,G1965)=0),"",T1965/IF(ISNUMBER(H1965),H1965,G1965))</f>
        <v/>
      </c>
      <c r="V1965" s="49">
        <f>IF(ISNUMBER(U1965),ABS(U1965),"")</f>
        <v/>
      </c>
      <c r="W1965" s="49">
        <f>IF(OR($E1964&lt;&gt;"측정",$C1964&lt;&gt;$C1965,$D1964&lt;&gt;$D1965,NOT(ISNUMBER(M1965)),NOT(ISNUMBER(M1964)),(IF(ISNUMBER(H1965),H1965,G1965)-IF(ISNUMBER(H1964),H1964,G1964))=0),"",(M1965-M1964)/(IF(ISNUMBER(H1965),H1965,G1965)-IF(ISNUMBER(H1964),H1964,G1964)))</f>
        <v/>
      </c>
      <c r="X1965" s="31">
        <f>IF(NOT(AND(ISNUMBER(O1965),ISNUMBER(Q1965))),"",(Q1965-O1965)*1440)</f>
        <v/>
      </c>
      <c r="Y1965" s="29" t="n"/>
      <c r="Z1965" s="29" t="n"/>
      <c r="AA1965" s="29" t="n"/>
      <c r="AB1965" s="32" t="n"/>
      <c r="AC1965" s="32" t="n"/>
    </row>
    <row r="1966">
      <c r="A1966" s="26" t="inlineStr">
        <is>
          <t>S38</t>
        </is>
      </c>
      <c r="B1966" s="26" t="inlineStr">
        <is>
          <t>강화</t>
        </is>
      </c>
      <c r="C1966" s="26" t="inlineStr">
        <is>
          <t>S38-H남</t>
        </is>
      </c>
      <c r="D1966" s="47" t="n">
        <v>1</v>
      </c>
      <c r="E1966" s="26" t="inlineStr">
        <is>
          <t>측정</t>
        </is>
      </c>
      <c r="F1966" s="26" t="inlineStr">
        <is>
          <t>남</t>
        </is>
      </c>
      <c r="G1966" s="31" t="n">
        <v>9</v>
      </c>
      <c r="H1966" s="30" t="n"/>
      <c r="I1966" s="43" t="n"/>
      <c r="J1966" s="41" t="n"/>
      <c r="K1966" s="41" t="n"/>
      <c r="L1966" s="41" t="n"/>
      <c r="M1966" s="31">
        <f>IF(COUNT(J1966:L1966)=0,"",MEDIAN(J1966:L1966))</f>
        <v/>
      </c>
      <c r="N1966" s="26">
        <f>IF(COUNTIFS($C:$C,$C1966,$D:$D,$D1966,$E:$E,"P0(전)",$M:$M,"&gt;0")&lt;&gt;1,"P0(전) 유효 1개 아님",IF(COUNTIFS($C:$C,$C1966,$D:$D,$D1966,$E:$E,"P0(후)",$M:$M,"&gt;0")&lt;&gt;1,"P0(후) 유효 1개 아님",IF(NOT(AND(ISNUMBER(O1966),ISNUMBER(Q1966),ISNUMBER(I1966))),"시각 결측",IF(Q1966&lt;=O1966,"P0 시각 역전",IF(OR(I1966&lt;O1966,I1966&gt;Q1966),"측정시각 구간 밖","OK")))))</f>
        <v/>
      </c>
      <c r="O1966" s="48">
        <f>IF(COUNTIFS($C:$C,$C1966,$D:$D,$D1966,$E:$E,"P0(전)",$M:$M,"&gt;0")&lt;&gt;1,"",SUMIFS($I:$I,$C:$C,$C1966,$D:$D,$D1966,$E:$E,"P0(전)"))</f>
        <v/>
      </c>
      <c r="P1966" s="31">
        <f>IF(COUNTIFS($C:$C,$C1966,$D:$D,$D1966,$E:$E,"P0(전)",$M:$M,"&gt;0")&lt;&gt;1,"",SUMIFS($M:$M,$C:$C,$C1966,$D:$D,$D1966,$E:$E,"P0(전)"))</f>
        <v/>
      </c>
      <c r="Q1966" s="48">
        <f>IF(COUNTIFS($C:$C,$C1966,$D:$D,$D1966,$E:$E,"P0(후)",$M:$M,"&gt;0")&lt;&gt;1,"",SUMIFS($I:$I,$C:$C,$C1966,$D:$D,$D1966,$E:$E,"P0(후)"))</f>
        <v/>
      </c>
      <c r="R1966" s="31">
        <f>IF(COUNTIFS($C:$C,$C1966,$D:$D,$D1966,$E:$E,"P0(후)",$M:$M,"&gt;0")&lt;&gt;1,"",SUMIFS($M:$M,$C:$C,$C1966,$D:$D,$D1966,$E:$E,"P0(후)"))</f>
        <v/>
      </c>
      <c r="S1966" s="31">
        <f>IF(N1966&lt;&gt;"OK","",P1966+(R1966-P1966)*(I1966-O1966)/(Q1966-O1966))</f>
        <v/>
      </c>
      <c r="T1966" s="31">
        <f>IF(OR(N1966&lt;&gt;"OK",NOT(ISNUMBER(M1966))),"",M1966-S1966)</f>
        <v/>
      </c>
      <c r="U1966" s="49">
        <f>IF(OR(NOT(ISNUMBER(T1966)),IF(ISNUMBER(H1966),H1966,G1966)=0),"",T1966/IF(ISNUMBER(H1966),H1966,G1966))</f>
        <v/>
      </c>
      <c r="V1966" s="49">
        <f>IF(ISNUMBER(U1966),ABS(U1966),"")</f>
        <v/>
      </c>
      <c r="W1966" s="49">
        <f>IF(OR($E1965&lt;&gt;"측정",$C1965&lt;&gt;$C1966,$D1965&lt;&gt;$D1966,NOT(ISNUMBER(M1966)),NOT(ISNUMBER(M1965)),(IF(ISNUMBER(H1966),H1966,G1966)-IF(ISNUMBER(H1965),H1965,G1965))=0),"",(M1966-M1965)/(IF(ISNUMBER(H1966),H1966,G1966)-IF(ISNUMBER(H1965),H1965,G1965)))</f>
        <v/>
      </c>
      <c r="X1966" s="31">
        <f>IF(NOT(AND(ISNUMBER(O1966),ISNUMBER(Q1966))),"",(Q1966-O1966)*1440)</f>
        <v/>
      </c>
      <c r="Y1966" s="29" t="n"/>
      <c r="Z1966" s="29" t="n"/>
      <c r="AA1966" s="29" t="n"/>
      <c r="AB1966" s="32" t="n"/>
      <c r="AC1966" s="32" t="n"/>
    </row>
    <row r="1967">
      <c r="A1967" s="26" t="inlineStr">
        <is>
          <t>S38</t>
        </is>
      </c>
      <c r="B1967" s="26" t="inlineStr">
        <is>
          <t>강화</t>
        </is>
      </c>
      <c r="C1967" s="26" t="inlineStr">
        <is>
          <t>S38-H남</t>
        </is>
      </c>
      <c r="D1967" s="47" t="n">
        <v>1</v>
      </c>
      <c r="E1967" s="26" t="inlineStr">
        <is>
          <t>측정</t>
        </is>
      </c>
      <c r="F1967" s="26" t="inlineStr">
        <is>
          <t>남</t>
        </is>
      </c>
      <c r="G1967" s="31" t="n">
        <v>10</v>
      </c>
      <c r="H1967" s="30" t="n"/>
      <c r="I1967" s="43" t="n"/>
      <c r="J1967" s="41" t="n"/>
      <c r="K1967" s="41" t="n"/>
      <c r="L1967" s="41" t="n"/>
      <c r="M1967" s="31">
        <f>IF(COUNT(J1967:L1967)=0,"",MEDIAN(J1967:L1967))</f>
        <v/>
      </c>
      <c r="N1967" s="26">
        <f>IF(COUNTIFS($C:$C,$C1967,$D:$D,$D1967,$E:$E,"P0(전)",$M:$M,"&gt;0")&lt;&gt;1,"P0(전) 유효 1개 아님",IF(COUNTIFS($C:$C,$C1967,$D:$D,$D1967,$E:$E,"P0(후)",$M:$M,"&gt;0")&lt;&gt;1,"P0(후) 유효 1개 아님",IF(NOT(AND(ISNUMBER(O1967),ISNUMBER(Q1967),ISNUMBER(I1967))),"시각 결측",IF(Q1967&lt;=O1967,"P0 시각 역전",IF(OR(I1967&lt;O1967,I1967&gt;Q1967),"측정시각 구간 밖","OK")))))</f>
        <v/>
      </c>
      <c r="O1967" s="48">
        <f>IF(COUNTIFS($C:$C,$C1967,$D:$D,$D1967,$E:$E,"P0(전)",$M:$M,"&gt;0")&lt;&gt;1,"",SUMIFS($I:$I,$C:$C,$C1967,$D:$D,$D1967,$E:$E,"P0(전)"))</f>
        <v/>
      </c>
      <c r="P1967" s="31">
        <f>IF(COUNTIFS($C:$C,$C1967,$D:$D,$D1967,$E:$E,"P0(전)",$M:$M,"&gt;0")&lt;&gt;1,"",SUMIFS($M:$M,$C:$C,$C1967,$D:$D,$D1967,$E:$E,"P0(전)"))</f>
        <v/>
      </c>
      <c r="Q1967" s="48">
        <f>IF(COUNTIFS($C:$C,$C1967,$D:$D,$D1967,$E:$E,"P0(후)",$M:$M,"&gt;0")&lt;&gt;1,"",SUMIFS($I:$I,$C:$C,$C1967,$D:$D,$D1967,$E:$E,"P0(후)"))</f>
        <v/>
      </c>
      <c r="R1967" s="31">
        <f>IF(COUNTIFS($C:$C,$C1967,$D:$D,$D1967,$E:$E,"P0(후)",$M:$M,"&gt;0")&lt;&gt;1,"",SUMIFS($M:$M,$C:$C,$C1967,$D:$D,$D1967,$E:$E,"P0(후)"))</f>
        <v/>
      </c>
      <c r="S1967" s="31">
        <f>IF(N1967&lt;&gt;"OK","",P1967+(R1967-P1967)*(I1967-O1967)/(Q1967-O1967))</f>
        <v/>
      </c>
      <c r="T1967" s="31">
        <f>IF(OR(N1967&lt;&gt;"OK",NOT(ISNUMBER(M1967))),"",M1967-S1967)</f>
        <v/>
      </c>
      <c r="U1967" s="49">
        <f>IF(OR(NOT(ISNUMBER(T1967)),IF(ISNUMBER(H1967),H1967,G1967)=0),"",T1967/IF(ISNUMBER(H1967),H1967,G1967))</f>
        <v/>
      </c>
      <c r="V1967" s="49">
        <f>IF(ISNUMBER(U1967),ABS(U1967),"")</f>
        <v/>
      </c>
      <c r="W1967" s="49">
        <f>IF(OR($E1966&lt;&gt;"측정",$C1966&lt;&gt;$C1967,$D1966&lt;&gt;$D1967,NOT(ISNUMBER(M1967)),NOT(ISNUMBER(M1966)),(IF(ISNUMBER(H1967),H1967,G1967)-IF(ISNUMBER(H1966),H1966,G1966))=0),"",(M1967-M1966)/(IF(ISNUMBER(H1967),H1967,G1967)-IF(ISNUMBER(H1966),H1966,G1966)))</f>
        <v/>
      </c>
      <c r="X1967" s="31">
        <f>IF(NOT(AND(ISNUMBER(O1967),ISNUMBER(Q1967))),"",(Q1967-O1967)*1440)</f>
        <v/>
      </c>
      <c r="Y1967" s="29" t="n"/>
      <c r="Z1967" s="29" t="n"/>
      <c r="AA1967" s="29" t="n"/>
      <c r="AB1967" s="32" t="n"/>
      <c r="AC1967" s="32" t="n"/>
    </row>
    <row r="1968">
      <c r="A1968" s="44" t="inlineStr">
        <is>
          <t>S38</t>
        </is>
      </c>
      <c r="B1968" s="44" t="inlineStr">
        <is>
          <t>강화</t>
        </is>
      </c>
      <c r="C1968" s="44" t="inlineStr">
        <is>
          <t>S38-H남</t>
        </is>
      </c>
      <c r="D1968" s="45" t="n">
        <v>1</v>
      </c>
      <c r="E1968" s="44" t="inlineStr">
        <is>
          <t>P0(후)</t>
        </is>
      </c>
      <c r="F1968" s="44" t="inlineStr">
        <is>
          <t>남</t>
        </is>
      </c>
      <c r="G1968" s="46" t="n"/>
      <c r="H1968" s="30" t="n"/>
      <c r="I1968" s="43" t="n"/>
      <c r="J1968" s="41" t="n"/>
      <c r="K1968" s="41" t="n"/>
      <c r="L1968" s="41" t="n"/>
      <c r="M1968" s="31">
        <f>IF(COUNT(J1968:L1968)=0,"",MEDIAN(J1968:L1968))</f>
        <v/>
      </c>
      <c r="N1968" s="38" t="n"/>
      <c r="O1968" s="38" t="n"/>
      <c r="P1968" s="38" t="n"/>
      <c r="Q1968" s="38" t="n"/>
      <c r="R1968" s="38" t="n"/>
      <c r="S1968" s="38" t="n"/>
      <c r="T1968" s="38" t="n"/>
      <c r="U1968" s="38" t="n"/>
      <c r="V1968" s="38" t="n"/>
      <c r="W1968" s="38" t="n"/>
      <c r="X1968" s="38" t="n"/>
      <c r="Y1968" s="29" t="n"/>
      <c r="Z1968" s="29" t="n"/>
      <c r="AA1968" s="29" t="n"/>
      <c r="AB1968" s="32" t="n"/>
      <c r="AC1968" s="32" t="n"/>
    </row>
    <row r="1969">
      <c r="A1969" s="44" t="inlineStr">
        <is>
          <t>S38</t>
        </is>
      </c>
      <c r="B1969" s="44" t="inlineStr">
        <is>
          <t>강화</t>
        </is>
      </c>
      <c r="C1969" s="44" t="inlineStr">
        <is>
          <t>S38-H북</t>
        </is>
      </c>
      <c r="D1969" s="45" t="n">
        <v>1</v>
      </c>
      <c r="E1969" s="44" t="inlineStr">
        <is>
          <t>P0(전)</t>
        </is>
      </c>
      <c r="F1969" s="44" t="inlineStr">
        <is>
          <t>북</t>
        </is>
      </c>
      <c r="G1969" s="46" t="n"/>
      <c r="H1969" s="30" t="n"/>
      <c r="I1969" s="43" t="n"/>
      <c r="J1969" s="41" t="n"/>
      <c r="K1969" s="41" t="n"/>
      <c r="L1969" s="41" t="n"/>
      <c r="M1969" s="31">
        <f>IF(COUNT(J1969:L1969)=0,"",MEDIAN(J1969:L1969))</f>
        <v/>
      </c>
      <c r="N1969" s="38" t="n"/>
      <c r="O1969" s="38" t="n"/>
      <c r="P1969" s="38" t="n"/>
      <c r="Q1969" s="38" t="n"/>
      <c r="R1969" s="38" t="n"/>
      <c r="S1969" s="38" t="n"/>
      <c r="T1969" s="38" t="n"/>
      <c r="U1969" s="38" t="n"/>
      <c r="V1969" s="38" t="n"/>
      <c r="W1969" s="38" t="n"/>
      <c r="X1969" s="38" t="n"/>
      <c r="Y1969" s="29" t="n"/>
      <c r="Z1969" s="29" t="n"/>
      <c r="AA1969" s="29" t="n"/>
      <c r="AB1969" s="32" t="n"/>
      <c r="AC1969" s="32" t="n"/>
    </row>
    <row r="1970">
      <c r="A1970" s="26" t="inlineStr">
        <is>
          <t>S38</t>
        </is>
      </c>
      <c r="B1970" s="26" t="inlineStr">
        <is>
          <t>강화</t>
        </is>
      </c>
      <c r="C1970" s="26" t="inlineStr">
        <is>
          <t>S38-H북</t>
        </is>
      </c>
      <c r="D1970" s="47" t="n">
        <v>1</v>
      </c>
      <c r="E1970" s="26" t="inlineStr">
        <is>
          <t>측정</t>
        </is>
      </c>
      <c r="F1970" s="26" t="inlineStr">
        <is>
          <t>북</t>
        </is>
      </c>
      <c r="G1970" s="31" t="n">
        <v>0.5</v>
      </c>
      <c r="H1970" s="30" t="n"/>
      <c r="I1970" s="43" t="n"/>
      <c r="J1970" s="41" t="n"/>
      <c r="K1970" s="41" t="n"/>
      <c r="L1970" s="41" t="n"/>
      <c r="M1970" s="31">
        <f>IF(COUNT(J1970:L1970)=0,"",MEDIAN(J1970:L1970))</f>
        <v/>
      </c>
      <c r="N1970" s="26">
        <f>IF(COUNTIFS($C:$C,$C1970,$D:$D,$D1970,$E:$E,"P0(전)",$M:$M,"&gt;0")&lt;&gt;1,"P0(전) 유효 1개 아님",IF(COUNTIFS($C:$C,$C1970,$D:$D,$D1970,$E:$E,"P0(후)",$M:$M,"&gt;0")&lt;&gt;1,"P0(후) 유효 1개 아님",IF(NOT(AND(ISNUMBER(O1970),ISNUMBER(Q1970),ISNUMBER(I1970))),"시각 결측",IF(Q1970&lt;=O1970,"P0 시각 역전",IF(OR(I1970&lt;O1970,I1970&gt;Q1970),"측정시각 구간 밖","OK")))))</f>
        <v/>
      </c>
      <c r="O1970" s="48">
        <f>IF(COUNTIFS($C:$C,$C1970,$D:$D,$D1970,$E:$E,"P0(전)",$M:$M,"&gt;0")&lt;&gt;1,"",SUMIFS($I:$I,$C:$C,$C1970,$D:$D,$D1970,$E:$E,"P0(전)"))</f>
        <v/>
      </c>
      <c r="P1970" s="31">
        <f>IF(COUNTIFS($C:$C,$C1970,$D:$D,$D1970,$E:$E,"P0(전)",$M:$M,"&gt;0")&lt;&gt;1,"",SUMIFS($M:$M,$C:$C,$C1970,$D:$D,$D1970,$E:$E,"P0(전)"))</f>
        <v/>
      </c>
      <c r="Q1970" s="48">
        <f>IF(COUNTIFS($C:$C,$C1970,$D:$D,$D1970,$E:$E,"P0(후)",$M:$M,"&gt;0")&lt;&gt;1,"",SUMIFS($I:$I,$C:$C,$C1970,$D:$D,$D1970,$E:$E,"P0(후)"))</f>
        <v/>
      </c>
      <c r="R1970" s="31">
        <f>IF(COUNTIFS($C:$C,$C1970,$D:$D,$D1970,$E:$E,"P0(후)",$M:$M,"&gt;0")&lt;&gt;1,"",SUMIFS($M:$M,$C:$C,$C1970,$D:$D,$D1970,$E:$E,"P0(후)"))</f>
        <v/>
      </c>
      <c r="S1970" s="31">
        <f>IF(N1970&lt;&gt;"OK","",P1970+(R1970-P1970)*(I1970-O1970)/(Q1970-O1970))</f>
        <v/>
      </c>
      <c r="T1970" s="31">
        <f>IF(OR(N1970&lt;&gt;"OK",NOT(ISNUMBER(M1970))),"",M1970-S1970)</f>
        <v/>
      </c>
      <c r="U1970" s="49">
        <f>IF(OR(NOT(ISNUMBER(T1970)),IF(ISNUMBER(H1970),H1970,G1970)=0),"",T1970/IF(ISNUMBER(H1970),H1970,G1970))</f>
        <v/>
      </c>
      <c r="V1970" s="49">
        <f>IF(ISNUMBER(U1970),ABS(U1970),"")</f>
        <v/>
      </c>
      <c r="W1970" s="49">
        <f>IF(OR($E1969&lt;&gt;"측정",$C1969&lt;&gt;$C1970,$D1969&lt;&gt;$D1970,NOT(ISNUMBER(M1970)),NOT(ISNUMBER(M1969)),(IF(ISNUMBER(H1970),H1970,G1970)-IF(ISNUMBER(H1969),H1969,G1969))=0),"",(M1970-M1969)/(IF(ISNUMBER(H1970),H1970,G1970)-IF(ISNUMBER(H1969),H1969,G1969)))</f>
        <v/>
      </c>
      <c r="X1970" s="31">
        <f>IF(NOT(AND(ISNUMBER(O1970),ISNUMBER(Q1970))),"",(Q1970-O1970)*1440)</f>
        <v/>
      </c>
      <c r="Y1970" s="29" t="n"/>
      <c r="Z1970" s="29" t="n"/>
      <c r="AA1970" s="29" t="n"/>
      <c r="AB1970" s="32" t="n"/>
      <c r="AC1970" s="32" t="n"/>
    </row>
    <row r="1971">
      <c r="A1971" s="26" t="inlineStr">
        <is>
          <t>S38</t>
        </is>
      </c>
      <c r="B1971" s="26" t="inlineStr">
        <is>
          <t>강화</t>
        </is>
      </c>
      <c r="C1971" s="26" t="inlineStr">
        <is>
          <t>S38-H북</t>
        </is>
      </c>
      <c r="D1971" s="47" t="n">
        <v>1</v>
      </c>
      <c r="E1971" s="26" t="inlineStr">
        <is>
          <t>측정</t>
        </is>
      </c>
      <c r="F1971" s="26" t="inlineStr">
        <is>
          <t>북</t>
        </is>
      </c>
      <c r="G1971" s="31" t="n">
        <v>1</v>
      </c>
      <c r="H1971" s="30" t="n"/>
      <c r="I1971" s="43" t="n"/>
      <c r="J1971" s="41" t="n"/>
      <c r="K1971" s="41" t="n"/>
      <c r="L1971" s="41" t="n"/>
      <c r="M1971" s="31">
        <f>IF(COUNT(J1971:L1971)=0,"",MEDIAN(J1971:L1971))</f>
        <v/>
      </c>
      <c r="N1971" s="26">
        <f>IF(COUNTIFS($C:$C,$C1971,$D:$D,$D1971,$E:$E,"P0(전)",$M:$M,"&gt;0")&lt;&gt;1,"P0(전) 유효 1개 아님",IF(COUNTIFS($C:$C,$C1971,$D:$D,$D1971,$E:$E,"P0(후)",$M:$M,"&gt;0")&lt;&gt;1,"P0(후) 유효 1개 아님",IF(NOT(AND(ISNUMBER(O1971),ISNUMBER(Q1971),ISNUMBER(I1971))),"시각 결측",IF(Q1971&lt;=O1971,"P0 시각 역전",IF(OR(I1971&lt;O1971,I1971&gt;Q1971),"측정시각 구간 밖","OK")))))</f>
        <v/>
      </c>
      <c r="O1971" s="48">
        <f>IF(COUNTIFS($C:$C,$C1971,$D:$D,$D1971,$E:$E,"P0(전)",$M:$M,"&gt;0")&lt;&gt;1,"",SUMIFS($I:$I,$C:$C,$C1971,$D:$D,$D1971,$E:$E,"P0(전)"))</f>
        <v/>
      </c>
      <c r="P1971" s="31">
        <f>IF(COUNTIFS($C:$C,$C1971,$D:$D,$D1971,$E:$E,"P0(전)",$M:$M,"&gt;0")&lt;&gt;1,"",SUMIFS($M:$M,$C:$C,$C1971,$D:$D,$D1971,$E:$E,"P0(전)"))</f>
        <v/>
      </c>
      <c r="Q1971" s="48">
        <f>IF(COUNTIFS($C:$C,$C1971,$D:$D,$D1971,$E:$E,"P0(후)",$M:$M,"&gt;0")&lt;&gt;1,"",SUMIFS($I:$I,$C:$C,$C1971,$D:$D,$D1971,$E:$E,"P0(후)"))</f>
        <v/>
      </c>
      <c r="R1971" s="31">
        <f>IF(COUNTIFS($C:$C,$C1971,$D:$D,$D1971,$E:$E,"P0(후)",$M:$M,"&gt;0")&lt;&gt;1,"",SUMIFS($M:$M,$C:$C,$C1971,$D:$D,$D1971,$E:$E,"P0(후)"))</f>
        <v/>
      </c>
      <c r="S1971" s="31">
        <f>IF(N1971&lt;&gt;"OK","",P1971+(R1971-P1971)*(I1971-O1971)/(Q1971-O1971))</f>
        <v/>
      </c>
      <c r="T1971" s="31">
        <f>IF(OR(N1971&lt;&gt;"OK",NOT(ISNUMBER(M1971))),"",M1971-S1971)</f>
        <v/>
      </c>
      <c r="U1971" s="49">
        <f>IF(OR(NOT(ISNUMBER(T1971)),IF(ISNUMBER(H1971),H1971,G1971)=0),"",T1971/IF(ISNUMBER(H1971),H1971,G1971))</f>
        <v/>
      </c>
      <c r="V1971" s="49">
        <f>IF(ISNUMBER(U1971),ABS(U1971),"")</f>
        <v/>
      </c>
      <c r="W1971" s="49">
        <f>IF(OR($E1970&lt;&gt;"측정",$C1970&lt;&gt;$C1971,$D1970&lt;&gt;$D1971,NOT(ISNUMBER(M1971)),NOT(ISNUMBER(M1970)),(IF(ISNUMBER(H1971),H1971,G1971)-IF(ISNUMBER(H1970),H1970,G1970))=0),"",(M1971-M1970)/(IF(ISNUMBER(H1971),H1971,G1971)-IF(ISNUMBER(H1970),H1970,G1970)))</f>
        <v/>
      </c>
      <c r="X1971" s="31">
        <f>IF(NOT(AND(ISNUMBER(O1971),ISNUMBER(Q1971))),"",(Q1971-O1971)*1440)</f>
        <v/>
      </c>
      <c r="Y1971" s="29" t="n"/>
      <c r="Z1971" s="29" t="n"/>
      <c r="AA1971" s="29" t="n"/>
      <c r="AB1971" s="32" t="n"/>
      <c r="AC1971" s="32" t="n"/>
    </row>
    <row r="1972">
      <c r="A1972" s="26" t="inlineStr">
        <is>
          <t>S38</t>
        </is>
      </c>
      <c r="B1972" s="26" t="inlineStr">
        <is>
          <t>강화</t>
        </is>
      </c>
      <c r="C1972" s="26" t="inlineStr">
        <is>
          <t>S38-H북</t>
        </is>
      </c>
      <c r="D1972" s="47" t="n">
        <v>1</v>
      </c>
      <c r="E1972" s="26" t="inlineStr">
        <is>
          <t>측정</t>
        </is>
      </c>
      <c r="F1972" s="26" t="inlineStr">
        <is>
          <t>북</t>
        </is>
      </c>
      <c r="G1972" s="31" t="n">
        <v>2</v>
      </c>
      <c r="H1972" s="30" t="n"/>
      <c r="I1972" s="43" t="n"/>
      <c r="J1972" s="41" t="n"/>
      <c r="K1972" s="41" t="n"/>
      <c r="L1972" s="41" t="n"/>
      <c r="M1972" s="31">
        <f>IF(COUNT(J1972:L1972)=0,"",MEDIAN(J1972:L1972))</f>
        <v/>
      </c>
      <c r="N1972" s="26">
        <f>IF(COUNTIFS($C:$C,$C1972,$D:$D,$D1972,$E:$E,"P0(전)",$M:$M,"&gt;0")&lt;&gt;1,"P0(전) 유효 1개 아님",IF(COUNTIFS($C:$C,$C1972,$D:$D,$D1972,$E:$E,"P0(후)",$M:$M,"&gt;0")&lt;&gt;1,"P0(후) 유효 1개 아님",IF(NOT(AND(ISNUMBER(O1972),ISNUMBER(Q1972),ISNUMBER(I1972))),"시각 결측",IF(Q1972&lt;=O1972,"P0 시각 역전",IF(OR(I1972&lt;O1972,I1972&gt;Q1972),"측정시각 구간 밖","OK")))))</f>
        <v/>
      </c>
      <c r="O1972" s="48">
        <f>IF(COUNTIFS($C:$C,$C1972,$D:$D,$D1972,$E:$E,"P0(전)",$M:$M,"&gt;0")&lt;&gt;1,"",SUMIFS($I:$I,$C:$C,$C1972,$D:$D,$D1972,$E:$E,"P0(전)"))</f>
        <v/>
      </c>
      <c r="P1972" s="31">
        <f>IF(COUNTIFS($C:$C,$C1972,$D:$D,$D1972,$E:$E,"P0(전)",$M:$M,"&gt;0")&lt;&gt;1,"",SUMIFS($M:$M,$C:$C,$C1972,$D:$D,$D1972,$E:$E,"P0(전)"))</f>
        <v/>
      </c>
      <c r="Q1972" s="48">
        <f>IF(COUNTIFS($C:$C,$C1972,$D:$D,$D1972,$E:$E,"P0(후)",$M:$M,"&gt;0")&lt;&gt;1,"",SUMIFS($I:$I,$C:$C,$C1972,$D:$D,$D1972,$E:$E,"P0(후)"))</f>
        <v/>
      </c>
      <c r="R1972" s="31">
        <f>IF(COUNTIFS($C:$C,$C1972,$D:$D,$D1972,$E:$E,"P0(후)",$M:$M,"&gt;0")&lt;&gt;1,"",SUMIFS($M:$M,$C:$C,$C1972,$D:$D,$D1972,$E:$E,"P0(후)"))</f>
        <v/>
      </c>
      <c r="S1972" s="31">
        <f>IF(N1972&lt;&gt;"OK","",P1972+(R1972-P1972)*(I1972-O1972)/(Q1972-O1972))</f>
        <v/>
      </c>
      <c r="T1972" s="31">
        <f>IF(OR(N1972&lt;&gt;"OK",NOT(ISNUMBER(M1972))),"",M1972-S1972)</f>
        <v/>
      </c>
      <c r="U1972" s="49">
        <f>IF(OR(NOT(ISNUMBER(T1972)),IF(ISNUMBER(H1972),H1972,G1972)=0),"",T1972/IF(ISNUMBER(H1972),H1972,G1972))</f>
        <v/>
      </c>
      <c r="V1972" s="49">
        <f>IF(ISNUMBER(U1972),ABS(U1972),"")</f>
        <v/>
      </c>
      <c r="W1972" s="49">
        <f>IF(OR($E1971&lt;&gt;"측정",$C1971&lt;&gt;$C1972,$D1971&lt;&gt;$D1972,NOT(ISNUMBER(M1972)),NOT(ISNUMBER(M1971)),(IF(ISNUMBER(H1972),H1972,G1972)-IF(ISNUMBER(H1971),H1971,G1971))=0),"",(M1972-M1971)/(IF(ISNUMBER(H1972),H1972,G1972)-IF(ISNUMBER(H1971),H1971,G1971)))</f>
        <v/>
      </c>
      <c r="X1972" s="31">
        <f>IF(NOT(AND(ISNUMBER(O1972),ISNUMBER(Q1972))),"",(Q1972-O1972)*1440)</f>
        <v/>
      </c>
      <c r="Y1972" s="29" t="n"/>
      <c r="Z1972" s="29" t="n"/>
      <c r="AA1972" s="29" t="n"/>
      <c r="AB1972" s="32" t="n"/>
      <c r="AC1972" s="32" t="n"/>
    </row>
    <row r="1973">
      <c r="A1973" s="26" t="inlineStr">
        <is>
          <t>S38</t>
        </is>
      </c>
      <c r="B1973" s="26" t="inlineStr">
        <is>
          <t>강화</t>
        </is>
      </c>
      <c r="C1973" s="26" t="inlineStr">
        <is>
          <t>S38-H북</t>
        </is>
      </c>
      <c r="D1973" s="47" t="n">
        <v>1</v>
      </c>
      <c r="E1973" s="26" t="inlineStr">
        <is>
          <t>측정</t>
        </is>
      </c>
      <c r="F1973" s="26" t="inlineStr">
        <is>
          <t>북</t>
        </is>
      </c>
      <c r="G1973" s="31" t="n">
        <v>3</v>
      </c>
      <c r="H1973" s="30" t="n"/>
      <c r="I1973" s="43" t="n"/>
      <c r="J1973" s="41" t="n"/>
      <c r="K1973" s="41" t="n"/>
      <c r="L1973" s="41" t="n"/>
      <c r="M1973" s="31">
        <f>IF(COUNT(J1973:L1973)=0,"",MEDIAN(J1973:L1973))</f>
        <v/>
      </c>
      <c r="N1973" s="26">
        <f>IF(COUNTIFS($C:$C,$C1973,$D:$D,$D1973,$E:$E,"P0(전)",$M:$M,"&gt;0")&lt;&gt;1,"P0(전) 유효 1개 아님",IF(COUNTIFS($C:$C,$C1973,$D:$D,$D1973,$E:$E,"P0(후)",$M:$M,"&gt;0")&lt;&gt;1,"P0(후) 유효 1개 아님",IF(NOT(AND(ISNUMBER(O1973),ISNUMBER(Q1973),ISNUMBER(I1973))),"시각 결측",IF(Q1973&lt;=O1973,"P0 시각 역전",IF(OR(I1973&lt;O1973,I1973&gt;Q1973),"측정시각 구간 밖","OK")))))</f>
        <v/>
      </c>
      <c r="O1973" s="48">
        <f>IF(COUNTIFS($C:$C,$C1973,$D:$D,$D1973,$E:$E,"P0(전)",$M:$M,"&gt;0")&lt;&gt;1,"",SUMIFS($I:$I,$C:$C,$C1973,$D:$D,$D1973,$E:$E,"P0(전)"))</f>
        <v/>
      </c>
      <c r="P1973" s="31">
        <f>IF(COUNTIFS($C:$C,$C1973,$D:$D,$D1973,$E:$E,"P0(전)",$M:$M,"&gt;0")&lt;&gt;1,"",SUMIFS($M:$M,$C:$C,$C1973,$D:$D,$D1973,$E:$E,"P0(전)"))</f>
        <v/>
      </c>
      <c r="Q1973" s="48">
        <f>IF(COUNTIFS($C:$C,$C1973,$D:$D,$D1973,$E:$E,"P0(후)",$M:$M,"&gt;0")&lt;&gt;1,"",SUMIFS($I:$I,$C:$C,$C1973,$D:$D,$D1973,$E:$E,"P0(후)"))</f>
        <v/>
      </c>
      <c r="R1973" s="31">
        <f>IF(COUNTIFS($C:$C,$C1973,$D:$D,$D1973,$E:$E,"P0(후)",$M:$M,"&gt;0")&lt;&gt;1,"",SUMIFS($M:$M,$C:$C,$C1973,$D:$D,$D1973,$E:$E,"P0(후)"))</f>
        <v/>
      </c>
      <c r="S1973" s="31">
        <f>IF(N1973&lt;&gt;"OK","",P1973+(R1973-P1973)*(I1973-O1973)/(Q1973-O1973))</f>
        <v/>
      </c>
      <c r="T1973" s="31">
        <f>IF(OR(N1973&lt;&gt;"OK",NOT(ISNUMBER(M1973))),"",M1973-S1973)</f>
        <v/>
      </c>
      <c r="U1973" s="49">
        <f>IF(OR(NOT(ISNUMBER(T1973)),IF(ISNUMBER(H1973),H1973,G1973)=0),"",T1973/IF(ISNUMBER(H1973),H1973,G1973))</f>
        <v/>
      </c>
      <c r="V1973" s="49">
        <f>IF(ISNUMBER(U1973),ABS(U1973),"")</f>
        <v/>
      </c>
      <c r="W1973" s="49">
        <f>IF(OR($E1972&lt;&gt;"측정",$C1972&lt;&gt;$C1973,$D1972&lt;&gt;$D1973,NOT(ISNUMBER(M1973)),NOT(ISNUMBER(M1972)),(IF(ISNUMBER(H1973),H1973,G1973)-IF(ISNUMBER(H1972),H1972,G1972))=0),"",(M1973-M1972)/(IF(ISNUMBER(H1973),H1973,G1973)-IF(ISNUMBER(H1972),H1972,G1972)))</f>
        <v/>
      </c>
      <c r="X1973" s="31">
        <f>IF(NOT(AND(ISNUMBER(O1973),ISNUMBER(Q1973))),"",(Q1973-O1973)*1440)</f>
        <v/>
      </c>
      <c r="Y1973" s="29" t="n"/>
      <c r="Z1973" s="29" t="n"/>
      <c r="AA1973" s="29" t="n"/>
      <c r="AB1973" s="32" t="n"/>
      <c r="AC1973" s="32" t="n"/>
    </row>
    <row r="1974">
      <c r="A1974" s="26" t="inlineStr">
        <is>
          <t>S38</t>
        </is>
      </c>
      <c r="B1974" s="26" t="inlineStr">
        <is>
          <t>강화</t>
        </is>
      </c>
      <c r="C1974" s="26" t="inlineStr">
        <is>
          <t>S38-H북</t>
        </is>
      </c>
      <c r="D1974" s="47" t="n">
        <v>1</v>
      </c>
      <c r="E1974" s="26" t="inlineStr">
        <is>
          <t>측정</t>
        </is>
      </c>
      <c r="F1974" s="26" t="inlineStr">
        <is>
          <t>북</t>
        </is>
      </c>
      <c r="G1974" s="31" t="n">
        <v>4</v>
      </c>
      <c r="H1974" s="30" t="n"/>
      <c r="I1974" s="43" t="n"/>
      <c r="J1974" s="41" t="n"/>
      <c r="K1974" s="41" t="n"/>
      <c r="L1974" s="41" t="n"/>
      <c r="M1974" s="31">
        <f>IF(COUNT(J1974:L1974)=0,"",MEDIAN(J1974:L1974))</f>
        <v/>
      </c>
      <c r="N1974" s="26">
        <f>IF(COUNTIFS($C:$C,$C1974,$D:$D,$D1974,$E:$E,"P0(전)",$M:$M,"&gt;0")&lt;&gt;1,"P0(전) 유효 1개 아님",IF(COUNTIFS($C:$C,$C1974,$D:$D,$D1974,$E:$E,"P0(후)",$M:$M,"&gt;0")&lt;&gt;1,"P0(후) 유효 1개 아님",IF(NOT(AND(ISNUMBER(O1974),ISNUMBER(Q1974),ISNUMBER(I1974))),"시각 결측",IF(Q1974&lt;=O1974,"P0 시각 역전",IF(OR(I1974&lt;O1974,I1974&gt;Q1974),"측정시각 구간 밖","OK")))))</f>
        <v/>
      </c>
      <c r="O1974" s="48">
        <f>IF(COUNTIFS($C:$C,$C1974,$D:$D,$D1974,$E:$E,"P0(전)",$M:$M,"&gt;0")&lt;&gt;1,"",SUMIFS($I:$I,$C:$C,$C1974,$D:$D,$D1974,$E:$E,"P0(전)"))</f>
        <v/>
      </c>
      <c r="P1974" s="31">
        <f>IF(COUNTIFS($C:$C,$C1974,$D:$D,$D1974,$E:$E,"P0(전)",$M:$M,"&gt;0")&lt;&gt;1,"",SUMIFS($M:$M,$C:$C,$C1974,$D:$D,$D1974,$E:$E,"P0(전)"))</f>
        <v/>
      </c>
      <c r="Q1974" s="48">
        <f>IF(COUNTIFS($C:$C,$C1974,$D:$D,$D1974,$E:$E,"P0(후)",$M:$M,"&gt;0")&lt;&gt;1,"",SUMIFS($I:$I,$C:$C,$C1974,$D:$D,$D1974,$E:$E,"P0(후)"))</f>
        <v/>
      </c>
      <c r="R1974" s="31">
        <f>IF(COUNTIFS($C:$C,$C1974,$D:$D,$D1974,$E:$E,"P0(후)",$M:$M,"&gt;0")&lt;&gt;1,"",SUMIFS($M:$M,$C:$C,$C1974,$D:$D,$D1974,$E:$E,"P0(후)"))</f>
        <v/>
      </c>
      <c r="S1974" s="31">
        <f>IF(N1974&lt;&gt;"OK","",P1974+(R1974-P1974)*(I1974-O1974)/(Q1974-O1974))</f>
        <v/>
      </c>
      <c r="T1974" s="31">
        <f>IF(OR(N1974&lt;&gt;"OK",NOT(ISNUMBER(M1974))),"",M1974-S1974)</f>
        <v/>
      </c>
      <c r="U1974" s="49">
        <f>IF(OR(NOT(ISNUMBER(T1974)),IF(ISNUMBER(H1974),H1974,G1974)=0),"",T1974/IF(ISNUMBER(H1974),H1974,G1974))</f>
        <v/>
      </c>
      <c r="V1974" s="49">
        <f>IF(ISNUMBER(U1974),ABS(U1974),"")</f>
        <v/>
      </c>
      <c r="W1974" s="49">
        <f>IF(OR($E1973&lt;&gt;"측정",$C1973&lt;&gt;$C1974,$D1973&lt;&gt;$D1974,NOT(ISNUMBER(M1974)),NOT(ISNUMBER(M1973)),(IF(ISNUMBER(H1974),H1974,G1974)-IF(ISNUMBER(H1973),H1973,G1973))=0),"",(M1974-M1973)/(IF(ISNUMBER(H1974),H1974,G1974)-IF(ISNUMBER(H1973),H1973,G1973)))</f>
        <v/>
      </c>
      <c r="X1974" s="31">
        <f>IF(NOT(AND(ISNUMBER(O1974),ISNUMBER(Q1974))),"",(Q1974-O1974)*1440)</f>
        <v/>
      </c>
      <c r="Y1974" s="29" t="n"/>
      <c r="Z1974" s="29" t="n"/>
      <c r="AA1974" s="29" t="n"/>
      <c r="AB1974" s="32" t="n"/>
      <c r="AC1974" s="32" t="n"/>
    </row>
    <row r="1975">
      <c r="A1975" s="26" t="inlineStr">
        <is>
          <t>S38</t>
        </is>
      </c>
      <c r="B1975" s="26" t="inlineStr">
        <is>
          <t>강화</t>
        </is>
      </c>
      <c r="C1975" s="26" t="inlineStr">
        <is>
          <t>S38-H북</t>
        </is>
      </c>
      <c r="D1975" s="47" t="n">
        <v>1</v>
      </c>
      <c r="E1975" s="26" t="inlineStr">
        <is>
          <t>측정</t>
        </is>
      </c>
      <c r="F1975" s="26" t="inlineStr">
        <is>
          <t>북</t>
        </is>
      </c>
      <c r="G1975" s="31" t="n">
        <v>5</v>
      </c>
      <c r="H1975" s="30" t="n"/>
      <c r="I1975" s="43" t="n"/>
      <c r="J1975" s="41" t="n"/>
      <c r="K1975" s="41" t="n"/>
      <c r="L1975" s="41" t="n"/>
      <c r="M1975" s="31">
        <f>IF(COUNT(J1975:L1975)=0,"",MEDIAN(J1975:L1975))</f>
        <v/>
      </c>
      <c r="N1975" s="26">
        <f>IF(COUNTIFS($C:$C,$C1975,$D:$D,$D1975,$E:$E,"P0(전)",$M:$M,"&gt;0")&lt;&gt;1,"P0(전) 유효 1개 아님",IF(COUNTIFS($C:$C,$C1975,$D:$D,$D1975,$E:$E,"P0(후)",$M:$M,"&gt;0")&lt;&gt;1,"P0(후) 유효 1개 아님",IF(NOT(AND(ISNUMBER(O1975),ISNUMBER(Q1975),ISNUMBER(I1975))),"시각 결측",IF(Q1975&lt;=O1975,"P0 시각 역전",IF(OR(I1975&lt;O1975,I1975&gt;Q1975),"측정시각 구간 밖","OK")))))</f>
        <v/>
      </c>
      <c r="O1975" s="48">
        <f>IF(COUNTIFS($C:$C,$C1975,$D:$D,$D1975,$E:$E,"P0(전)",$M:$M,"&gt;0")&lt;&gt;1,"",SUMIFS($I:$I,$C:$C,$C1975,$D:$D,$D1975,$E:$E,"P0(전)"))</f>
        <v/>
      </c>
      <c r="P1975" s="31">
        <f>IF(COUNTIFS($C:$C,$C1975,$D:$D,$D1975,$E:$E,"P0(전)",$M:$M,"&gt;0")&lt;&gt;1,"",SUMIFS($M:$M,$C:$C,$C1975,$D:$D,$D1975,$E:$E,"P0(전)"))</f>
        <v/>
      </c>
      <c r="Q1975" s="48">
        <f>IF(COUNTIFS($C:$C,$C1975,$D:$D,$D1975,$E:$E,"P0(후)",$M:$M,"&gt;0")&lt;&gt;1,"",SUMIFS($I:$I,$C:$C,$C1975,$D:$D,$D1975,$E:$E,"P0(후)"))</f>
        <v/>
      </c>
      <c r="R1975" s="31">
        <f>IF(COUNTIFS($C:$C,$C1975,$D:$D,$D1975,$E:$E,"P0(후)",$M:$M,"&gt;0")&lt;&gt;1,"",SUMIFS($M:$M,$C:$C,$C1975,$D:$D,$D1975,$E:$E,"P0(후)"))</f>
        <v/>
      </c>
      <c r="S1975" s="31">
        <f>IF(N1975&lt;&gt;"OK","",P1975+(R1975-P1975)*(I1975-O1975)/(Q1975-O1975))</f>
        <v/>
      </c>
      <c r="T1975" s="31">
        <f>IF(OR(N1975&lt;&gt;"OK",NOT(ISNUMBER(M1975))),"",M1975-S1975)</f>
        <v/>
      </c>
      <c r="U1975" s="49">
        <f>IF(OR(NOT(ISNUMBER(T1975)),IF(ISNUMBER(H1975),H1975,G1975)=0),"",T1975/IF(ISNUMBER(H1975),H1975,G1975))</f>
        <v/>
      </c>
      <c r="V1975" s="49">
        <f>IF(ISNUMBER(U1975),ABS(U1975),"")</f>
        <v/>
      </c>
      <c r="W1975" s="49">
        <f>IF(OR($E1974&lt;&gt;"측정",$C1974&lt;&gt;$C1975,$D1974&lt;&gt;$D1975,NOT(ISNUMBER(M1975)),NOT(ISNUMBER(M1974)),(IF(ISNUMBER(H1975),H1975,G1975)-IF(ISNUMBER(H1974),H1974,G1974))=0),"",(M1975-M1974)/(IF(ISNUMBER(H1975),H1975,G1975)-IF(ISNUMBER(H1974),H1974,G1974)))</f>
        <v/>
      </c>
      <c r="X1975" s="31">
        <f>IF(NOT(AND(ISNUMBER(O1975),ISNUMBER(Q1975))),"",(Q1975-O1975)*1440)</f>
        <v/>
      </c>
      <c r="Y1975" s="29" t="n"/>
      <c r="Z1975" s="29" t="n"/>
      <c r="AA1975" s="29" t="n"/>
      <c r="AB1975" s="32" t="n"/>
      <c r="AC1975" s="32" t="n"/>
    </row>
    <row r="1976">
      <c r="A1976" s="26" t="inlineStr">
        <is>
          <t>S38</t>
        </is>
      </c>
      <c r="B1976" s="26" t="inlineStr">
        <is>
          <t>강화</t>
        </is>
      </c>
      <c r="C1976" s="26" t="inlineStr">
        <is>
          <t>S38-H북</t>
        </is>
      </c>
      <c r="D1976" s="47" t="n">
        <v>1</v>
      </c>
      <c r="E1976" s="26" t="inlineStr">
        <is>
          <t>측정</t>
        </is>
      </c>
      <c r="F1976" s="26" t="inlineStr">
        <is>
          <t>북</t>
        </is>
      </c>
      <c r="G1976" s="31" t="n">
        <v>6</v>
      </c>
      <c r="H1976" s="30" t="n"/>
      <c r="I1976" s="43" t="n"/>
      <c r="J1976" s="41" t="n"/>
      <c r="K1976" s="41" t="n"/>
      <c r="L1976" s="41" t="n"/>
      <c r="M1976" s="31">
        <f>IF(COUNT(J1976:L1976)=0,"",MEDIAN(J1976:L1976))</f>
        <v/>
      </c>
      <c r="N1976" s="26">
        <f>IF(COUNTIFS($C:$C,$C1976,$D:$D,$D1976,$E:$E,"P0(전)",$M:$M,"&gt;0")&lt;&gt;1,"P0(전) 유효 1개 아님",IF(COUNTIFS($C:$C,$C1976,$D:$D,$D1976,$E:$E,"P0(후)",$M:$M,"&gt;0")&lt;&gt;1,"P0(후) 유효 1개 아님",IF(NOT(AND(ISNUMBER(O1976),ISNUMBER(Q1976),ISNUMBER(I1976))),"시각 결측",IF(Q1976&lt;=O1976,"P0 시각 역전",IF(OR(I1976&lt;O1976,I1976&gt;Q1976),"측정시각 구간 밖","OK")))))</f>
        <v/>
      </c>
      <c r="O1976" s="48">
        <f>IF(COUNTIFS($C:$C,$C1976,$D:$D,$D1976,$E:$E,"P0(전)",$M:$M,"&gt;0")&lt;&gt;1,"",SUMIFS($I:$I,$C:$C,$C1976,$D:$D,$D1976,$E:$E,"P0(전)"))</f>
        <v/>
      </c>
      <c r="P1976" s="31">
        <f>IF(COUNTIFS($C:$C,$C1976,$D:$D,$D1976,$E:$E,"P0(전)",$M:$M,"&gt;0")&lt;&gt;1,"",SUMIFS($M:$M,$C:$C,$C1976,$D:$D,$D1976,$E:$E,"P0(전)"))</f>
        <v/>
      </c>
      <c r="Q1976" s="48">
        <f>IF(COUNTIFS($C:$C,$C1976,$D:$D,$D1976,$E:$E,"P0(후)",$M:$M,"&gt;0")&lt;&gt;1,"",SUMIFS($I:$I,$C:$C,$C1976,$D:$D,$D1976,$E:$E,"P0(후)"))</f>
        <v/>
      </c>
      <c r="R1976" s="31">
        <f>IF(COUNTIFS($C:$C,$C1976,$D:$D,$D1976,$E:$E,"P0(후)",$M:$M,"&gt;0")&lt;&gt;1,"",SUMIFS($M:$M,$C:$C,$C1976,$D:$D,$D1976,$E:$E,"P0(후)"))</f>
        <v/>
      </c>
      <c r="S1976" s="31">
        <f>IF(N1976&lt;&gt;"OK","",P1976+(R1976-P1976)*(I1976-O1976)/(Q1976-O1976))</f>
        <v/>
      </c>
      <c r="T1976" s="31">
        <f>IF(OR(N1976&lt;&gt;"OK",NOT(ISNUMBER(M1976))),"",M1976-S1976)</f>
        <v/>
      </c>
      <c r="U1976" s="49">
        <f>IF(OR(NOT(ISNUMBER(T1976)),IF(ISNUMBER(H1976),H1976,G1976)=0),"",T1976/IF(ISNUMBER(H1976),H1976,G1976))</f>
        <v/>
      </c>
      <c r="V1976" s="49">
        <f>IF(ISNUMBER(U1976),ABS(U1976),"")</f>
        <v/>
      </c>
      <c r="W1976" s="49">
        <f>IF(OR($E1975&lt;&gt;"측정",$C1975&lt;&gt;$C1976,$D1975&lt;&gt;$D1976,NOT(ISNUMBER(M1976)),NOT(ISNUMBER(M1975)),(IF(ISNUMBER(H1976),H1976,G1976)-IF(ISNUMBER(H1975),H1975,G1975))=0),"",(M1976-M1975)/(IF(ISNUMBER(H1976),H1976,G1976)-IF(ISNUMBER(H1975),H1975,G1975)))</f>
        <v/>
      </c>
      <c r="X1976" s="31">
        <f>IF(NOT(AND(ISNUMBER(O1976),ISNUMBER(Q1976))),"",(Q1976-O1976)*1440)</f>
        <v/>
      </c>
      <c r="Y1976" s="29" t="n"/>
      <c r="Z1976" s="29" t="n"/>
      <c r="AA1976" s="29" t="n"/>
      <c r="AB1976" s="32" t="n"/>
      <c r="AC1976" s="32" t="n"/>
    </row>
    <row r="1977">
      <c r="A1977" s="26" t="inlineStr">
        <is>
          <t>S38</t>
        </is>
      </c>
      <c r="B1977" s="26" t="inlineStr">
        <is>
          <t>강화</t>
        </is>
      </c>
      <c r="C1977" s="26" t="inlineStr">
        <is>
          <t>S38-H북</t>
        </is>
      </c>
      <c r="D1977" s="47" t="n">
        <v>1</v>
      </c>
      <c r="E1977" s="26" t="inlineStr">
        <is>
          <t>측정</t>
        </is>
      </c>
      <c r="F1977" s="26" t="inlineStr">
        <is>
          <t>북</t>
        </is>
      </c>
      <c r="G1977" s="31" t="n">
        <v>7</v>
      </c>
      <c r="H1977" s="30" t="n"/>
      <c r="I1977" s="43" t="n"/>
      <c r="J1977" s="41" t="n"/>
      <c r="K1977" s="41" t="n"/>
      <c r="L1977" s="41" t="n"/>
      <c r="M1977" s="31">
        <f>IF(COUNT(J1977:L1977)=0,"",MEDIAN(J1977:L1977))</f>
        <v/>
      </c>
      <c r="N1977" s="26">
        <f>IF(COUNTIFS($C:$C,$C1977,$D:$D,$D1977,$E:$E,"P0(전)",$M:$M,"&gt;0")&lt;&gt;1,"P0(전) 유효 1개 아님",IF(COUNTIFS($C:$C,$C1977,$D:$D,$D1977,$E:$E,"P0(후)",$M:$M,"&gt;0")&lt;&gt;1,"P0(후) 유효 1개 아님",IF(NOT(AND(ISNUMBER(O1977),ISNUMBER(Q1977),ISNUMBER(I1977))),"시각 결측",IF(Q1977&lt;=O1977,"P0 시각 역전",IF(OR(I1977&lt;O1977,I1977&gt;Q1977),"측정시각 구간 밖","OK")))))</f>
        <v/>
      </c>
      <c r="O1977" s="48">
        <f>IF(COUNTIFS($C:$C,$C1977,$D:$D,$D1977,$E:$E,"P0(전)",$M:$M,"&gt;0")&lt;&gt;1,"",SUMIFS($I:$I,$C:$C,$C1977,$D:$D,$D1977,$E:$E,"P0(전)"))</f>
        <v/>
      </c>
      <c r="P1977" s="31">
        <f>IF(COUNTIFS($C:$C,$C1977,$D:$D,$D1977,$E:$E,"P0(전)",$M:$M,"&gt;0")&lt;&gt;1,"",SUMIFS($M:$M,$C:$C,$C1977,$D:$D,$D1977,$E:$E,"P0(전)"))</f>
        <v/>
      </c>
      <c r="Q1977" s="48">
        <f>IF(COUNTIFS($C:$C,$C1977,$D:$D,$D1977,$E:$E,"P0(후)",$M:$M,"&gt;0")&lt;&gt;1,"",SUMIFS($I:$I,$C:$C,$C1977,$D:$D,$D1977,$E:$E,"P0(후)"))</f>
        <v/>
      </c>
      <c r="R1977" s="31">
        <f>IF(COUNTIFS($C:$C,$C1977,$D:$D,$D1977,$E:$E,"P0(후)",$M:$M,"&gt;0")&lt;&gt;1,"",SUMIFS($M:$M,$C:$C,$C1977,$D:$D,$D1977,$E:$E,"P0(후)"))</f>
        <v/>
      </c>
      <c r="S1977" s="31">
        <f>IF(N1977&lt;&gt;"OK","",P1977+(R1977-P1977)*(I1977-O1977)/(Q1977-O1977))</f>
        <v/>
      </c>
      <c r="T1977" s="31">
        <f>IF(OR(N1977&lt;&gt;"OK",NOT(ISNUMBER(M1977))),"",M1977-S1977)</f>
        <v/>
      </c>
      <c r="U1977" s="49">
        <f>IF(OR(NOT(ISNUMBER(T1977)),IF(ISNUMBER(H1977),H1977,G1977)=0),"",T1977/IF(ISNUMBER(H1977),H1977,G1977))</f>
        <v/>
      </c>
      <c r="V1977" s="49">
        <f>IF(ISNUMBER(U1977),ABS(U1977),"")</f>
        <v/>
      </c>
      <c r="W1977" s="49">
        <f>IF(OR($E1976&lt;&gt;"측정",$C1976&lt;&gt;$C1977,$D1976&lt;&gt;$D1977,NOT(ISNUMBER(M1977)),NOT(ISNUMBER(M1976)),(IF(ISNUMBER(H1977),H1977,G1977)-IF(ISNUMBER(H1976),H1976,G1976))=0),"",(M1977-M1976)/(IF(ISNUMBER(H1977),H1977,G1977)-IF(ISNUMBER(H1976),H1976,G1976)))</f>
        <v/>
      </c>
      <c r="X1977" s="31">
        <f>IF(NOT(AND(ISNUMBER(O1977),ISNUMBER(Q1977))),"",(Q1977-O1977)*1440)</f>
        <v/>
      </c>
      <c r="Y1977" s="29" t="n"/>
      <c r="Z1977" s="29" t="n"/>
      <c r="AA1977" s="29" t="n"/>
      <c r="AB1977" s="32" t="n"/>
      <c r="AC1977" s="32" t="n"/>
    </row>
    <row r="1978">
      <c r="A1978" s="26" t="inlineStr">
        <is>
          <t>S38</t>
        </is>
      </c>
      <c r="B1978" s="26" t="inlineStr">
        <is>
          <t>강화</t>
        </is>
      </c>
      <c r="C1978" s="26" t="inlineStr">
        <is>
          <t>S38-H북</t>
        </is>
      </c>
      <c r="D1978" s="47" t="n">
        <v>1</v>
      </c>
      <c r="E1978" s="26" t="inlineStr">
        <is>
          <t>측정</t>
        </is>
      </c>
      <c r="F1978" s="26" t="inlineStr">
        <is>
          <t>북</t>
        </is>
      </c>
      <c r="G1978" s="31" t="n">
        <v>8</v>
      </c>
      <c r="H1978" s="30" t="n"/>
      <c r="I1978" s="43" t="n"/>
      <c r="J1978" s="41" t="n"/>
      <c r="K1978" s="41" t="n"/>
      <c r="L1978" s="41" t="n"/>
      <c r="M1978" s="31">
        <f>IF(COUNT(J1978:L1978)=0,"",MEDIAN(J1978:L1978))</f>
        <v/>
      </c>
      <c r="N1978" s="26">
        <f>IF(COUNTIFS($C:$C,$C1978,$D:$D,$D1978,$E:$E,"P0(전)",$M:$M,"&gt;0")&lt;&gt;1,"P0(전) 유효 1개 아님",IF(COUNTIFS($C:$C,$C1978,$D:$D,$D1978,$E:$E,"P0(후)",$M:$M,"&gt;0")&lt;&gt;1,"P0(후) 유효 1개 아님",IF(NOT(AND(ISNUMBER(O1978),ISNUMBER(Q1978),ISNUMBER(I1978))),"시각 결측",IF(Q1978&lt;=O1978,"P0 시각 역전",IF(OR(I1978&lt;O1978,I1978&gt;Q1978),"측정시각 구간 밖","OK")))))</f>
        <v/>
      </c>
      <c r="O1978" s="48">
        <f>IF(COUNTIFS($C:$C,$C1978,$D:$D,$D1978,$E:$E,"P0(전)",$M:$M,"&gt;0")&lt;&gt;1,"",SUMIFS($I:$I,$C:$C,$C1978,$D:$D,$D1978,$E:$E,"P0(전)"))</f>
        <v/>
      </c>
      <c r="P1978" s="31">
        <f>IF(COUNTIFS($C:$C,$C1978,$D:$D,$D1978,$E:$E,"P0(전)",$M:$M,"&gt;0")&lt;&gt;1,"",SUMIFS($M:$M,$C:$C,$C1978,$D:$D,$D1978,$E:$E,"P0(전)"))</f>
        <v/>
      </c>
      <c r="Q1978" s="48">
        <f>IF(COUNTIFS($C:$C,$C1978,$D:$D,$D1978,$E:$E,"P0(후)",$M:$M,"&gt;0")&lt;&gt;1,"",SUMIFS($I:$I,$C:$C,$C1978,$D:$D,$D1978,$E:$E,"P0(후)"))</f>
        <v/>
      </c>
      <c r="R1978" s="31">
        <f>IF(COUNTIFS($C:$C,$C1978,$D:$D,$D1978,$E:$E,"P0(후)",$M:$M,"&gt;0")&lt;&gt;1,"",SUMIFS($M:$M,$C:$C,$C1978,$D:$D,$D1978,$E:$E,"P0(후)"))</f>
        <v/>
      </c>
      <c r="S1978" s="31">
        <f>IF(N1978&lt;&gt;"OK","",P1978+(R1978-P1978)*(I1978-O1978)/(Q1978-O1978))</f>
        <v/>
      </c>
      <c r="T1978" s="31">
        <f>IF(OR(N1978&lt;&gt;"OK",NOT(ISNUMBER(M1978))),"",M1978-S1978)</f>
        <v/>
      </c>
      <c r="U1978" s="49">
        <f>IF(OR(NOT(ISNUMBER(T1978)),IF(ISNUMBER(H1978),H1978,G1978)=0),"",T1978/IF(ISNUMBER(H1978),H1978,G1978))</f>
        <v/>
      </c>
      <c r="V1978" s="49">
        <f>IF(ISNUMBER(U1978),ABS(U1978),"")</f>
        <v/>
      </c>
      <c r="W1978" s="49">
        <f>IF(OR($E1977&lt;&gt;"측정",$C1977&lt;&gt;$C1978,$D1977&lt;&gt;$D1978,NOT(ISNUMBER(M1978)),NOT(ISNUMBER(M1977)),(IF(ISNUMBER(H1978),H1978,G1978)-IF(ISNUMBER(H1977),H1977,G1977))=0),"",(M1978-M1977)/(IF(ISNUMBER(H1978),H1978,G1978)-IF(ISNUMBER(H1977),H1977,G1977)))</f>
        <v/>
      </c>
      <c r="X1978" s="31">
        <f>IF(NOT(AND(ISNUMBER(O1978),ISNUMBER(Q1978))),"",(Q1978-O1978)*1440)</f>
        <v/>
      </c>
      <c r="Y1978" s="29" t="n"/>
      <c r="Z1978" s="29" t="n"/>
      <c r="AA1978" s="29" t="n"/>
      <c r="AB1978" s="32" t="n"/>
      <c r="AC1978" s="32" t="n"/>
    </row>
    <row r="1979">
      <c r="A1979" s="26" t="inlineStr">
        <is>
          <t>S38</t>
        </is>
      </c>
      <c r="B1979" s="26" t="inlineStr">
        <is>
          <t>강화</t>
        </is>
      </c>
      <c r="C1979" s="26" t="inlineStr">
        <is>
          <t>S38-H북</t>
        </is>
      </c>
      <c r="D1979" s="47" t="n">
        <v>1</v>
      </c>
      <c r="E1979" s="26" t="inlineStr">
        <is>
          <t>측정</t>
        </is>
      </c>
      <c r="F1979" s="26" t="inlineStr">
        <is>
          <t>북</t>
        </is>
      </c>
      <c r="G1979" s="31" t="n">
        <v>9</v>
      </c>
      <c r="H1979" s="30" t="n"/>
      <c r="I1979" s="43" t="n"/>
      <c r="J1979" s="41" t="n"/>
      <c r="K1979" s="41" t="n"/>
      <c r="L1979" s="41" t="n"/>
      <c r="M1979" s="31">
        <f>IF(COUNT(J1979:L1979)=0,"",MEDIAN(J1979:L1979))</f>
        <v/>
      </c>
      <c r="N1979" s="26">
        <f>IF(COUNTIFS($C:$C,$C1979,$D:$D,$D1979,$E:$E,"P0(전)",$M:$M,"&gt;0")&lt;&gt;1,"P0(전) 유효 1개 아님",IF(COUNTIFS($C:$C,$C1979,$D:$D,$D1979,$E:$E,"P0(후)",$M:$M,"&gt;0")&lt;&gt;1,"P0(후) 유효 1개 아님",IF(NOT(AND(ISNUMBER(O1979),ISNUMBER(Q1979),ISNUMBER(I1979))),"시각 결측",IF(Q1979&lt;=O1979,"P0 시각 역전",IF(OR(I1979&lt;O1979,I1979&gt;Q1979),"측정시각 구간 밖","OK")))))</f>
        <v/>
      </c>
      <c r="O1979" s="48">
        <f>IF(COUNTIFS($C:$C,$C1979,$D:$D,$D1979,$E:$E,"P0(전)",$M:$M,"&gt;0")&lt;&gt;1,"",SUMIFS($I:$I,$C:$C,$C1979,$D:$D,$D1979,$E:$E,"P0(전)"))</f>
        <v/>
      </c>
      <c r="P1979" s="31">
        <f>IF(COUNTIFS($C:$C,$C1979,$D:$D,$D1979,$E:$E,"P0(전)",$M:$M,"&gt;0")&lt;&gt;1,"",SUMIFS($M:$M,$C:$C,$C1979,$D:$D,$D1979,$E:$E,"P0(전)"))</f>
        <v/>
      </c>
      <c r="Q1979" s="48">
        <f>IF(COUNTIFS($C:$C,$C1979,$D:$D,$D1979,$E:$E,"P0(후)",$M:$M,"&gt;0")&lt;&gt;1,"",SUMIFS($I:$I,$C:$C,$C1979,$D:$D,$D1979,$E:$E,"P0(후)"))</f>
        <v/>
      </c>
      <c r="R1979" s="31">
        <f>IF(COUNTIFS($C:$C,$C1979,$D:$D,$D1979,$E:$E,"P0(후)",$M:$M,"&gt;0")&lt;&gt;1,"",SUMIFS($M:$M,$C:$C,$C1979,$D:$D,$D1979,$E:$E,"P0(후)"))</f>
        <v/>
      </c>
      <c r="S1979" s="31">
        <f>IF(N1979&lt;&gt;"OK","",P1979+(R1979-P1979)*(I1979-O1979)/(Q1979-O1979))</f>
        <v/>
      </c>
      <c r="T1979" s="31">
        <f>IF(OR(N1979&lt;&gt;"OK",NOT(ISNUMBER(M1979))),"",M1979-S1979)</f>
        <v/>
      </c>
      <c r="U1979" s="49">
        <f>IF(OR(NOT(ISNUMBER(T1979)),IF(ISNUMBER(H1979),H1979,G1979)=0),"",T1979/IF(ISNUMBER(H1979),H1979,G1979))</f>
        <v/>
      </c>
      <c r="V1979" s="49">
        <f>IF(ISNUMBER(U1979),ABS(U1979),"")</f>
        <v/>
      </c>
      <c r="W1979" s="49">
        <f>IF(OR($E1978&lt;&gt;"측정",$C1978&lt;&gt;$C1979,$D1978&lt;&gt;$D1979,NOT(ISNUMBER(M1979)),NOT(ISNUMBER(M1978)),(IF(ISNUMBER(H1979),H1979,G1979)-IF(ISNUMBER(H1978),H1978,G1978))=0),"",(M1979-M1978)/(IF(ISNUMBER(H1979),H1979,G1979)-IF(ISNUMBER(H1978),H1978,G1978)))</f>
        <v/>
      </c>
      <c r="X1979" s="31">
        <f>IF(NOT(AND(ISNUMBER(O1979),ISNUMBER(Q1979))),"",(Q1979-O1979)*1440)</f>
        <v/>
      </c>
      <c r="Y1979" s="29" t="n"/>
      <c r="Z1979" s="29" t="n"/>
      <c r="AA1979" s="29" t="n"/>
      <c r="AB1979" s="32" t="n"/>
      <c r="AC1979" s="32" t="n"/>
    </row>
    <row r="1980">
      <c r="A1980" s="26" t="inlineStr">
        <is>
          <t>S38</t>
        </is>
      </c>
      <c r="B1980" s="26" t="inlineStr">
        <is>
          <t>강화</t>
        </is>
      </c>
      <c r="C1980" s="26" t="inlineStr">
        <is>
          <t>S38-H북</t>
        </is>
      </c>
      <c r="D1980" s="47" t="n">
        <v>1</v>
      </c>
      <c r="E1980" s="26" t="inlineStr">
        <is>
          <t>측정</t>
        </is>
      </c>
      <c r="F1980" s="26" t="inlineStr">
        <is>
          <t>북</t>
        </is>
      </c>
      <c r="G1980" s="31" t="n">
        <v>10</v>
      </c>
      <c r="H1980" s="30" t="n"/>
      <c r="I1980" s="43" t="n"/>
      <c r="J1980" s="41" t="n"/>
      <c r="K1980" s="41" t="n"/>
      <c r="L1980" s="41" t="n"/>
      <c r="M1980" s="31">
        <f>IF(COUNT(J1980:L1980)=0,"",MEDIAN(J1980:L1980))</f>
        <v/>
      </c>
      <c r="N1980" s="26">
        <f>IF(COUNTIFS($C:$C,$C1980,$D:$D,$D1980,$E:$E,"P0(전)",$M:$M,"&gt;0")&lt;&gt;1,"P0(전) 유효 1개 아님",IF(COUNTIFS($C:$C,$C1980,$D:$D,$D1980,$E:$E,"P0(후)",$M:$M,"&gt;0")&lt;&gt;1,"P0(후) 유효 1개 아님",IF(NOT(AND(ISNUMBER(O1980),ISNUMBER(Q1980),ISNUMBER(I1980))),"시각 결측",IF(Q1980&lt;=O1980,"P0 시각 역전",IF(OR(I1980&lt;O1980,I1980&gt;Q1980),"측정시각 구간 밖","OK")))))</f>
        <v/>
      </c>
      <c r="O1980" s="48">
        <f>IF(COUNTIFS($C:$C,$C1980,$D:$D,$D1980,$E:$E,"P0(전)",$M:$M,"&gt;0")&lt;&gt;1,"",SUMIFS($I:$I,$C:$C,$C1980,$D:$D,$D1980,$E:$E,"P0(전)"))</f>
        <v/>
      </c>
      <c r="P1980" s="31">
        <f>IF(COUNTIFS($C:$C,$C1980,$D:$D,$D1980,$E:$E,"P0(전)",$M:$M,"&gt;0")&lt;&gt;1,"",SUMIFS($M:$M,$C:$C,$C1980,$D:$D,$D1980,$E:$E,"P0(전)"))</f>
        <v/>
      </c>
      <c r="Q1980" s="48">
        <f>IF(COUNTIFS($C:$C,$C1980,$D:$D,$D1980,$E:$E,"P0(후)",$M:$M,"&gt;0")&lt;&gt;1,"",SUMIFS($I:$I,$C:$C,$C1980,$D:$D,$D1980,$E:$E,"P0(후)"))</f>
        <v/>
      </c>
      <c r="R1980" s="31">
        <f>IF(COUNTIFS($C:$C,$C1980,$D:$D,$D1980,$E:$E,"P0(후)",$M:$M,"&gt;0")&lt;&gt;1,"",SUMIFS($M:$M,$C:$C,$C1980,$D:$D,$D1980,$E:$E,"P0(후)"))</f>
        <v/>
      </c>
      <c r="S1980" s="31">
        <f>IF(N1980&lt;&gt;"OK","",P1980+(R1980-P1980)*(I1980-O1980)/(Q1980-O1980))</f>
        <v/>
      </c>
      <c r="T1980" s="31">
        <f>IF(OR(N1980&lt;&gt;"OK",NOT(ISNUMBER(M1980))),"",M1980-S1980)</f>
        <v/>
      </c>
      <c r="U1980" s="49">
        <f>IF(OR(NOT(ISNUMBER(T1980)),IF(ISNUMBER(H1980),H1980,G1980)=0),"",T1980/IF(ISNUMBER(H1980),H1980,G1980))</f>
        <v/>
      </c>
      <c r="V1980" s="49">
        <f>IF(ISNUMBER(U1980),ABS(U1980),"")</f>
        <v/>
      </c>
      <c r="W1980" s="49">
        <f>IF(OR($E1979&lt;&gt;"측정",$C1979&lt;&gt;$C1980,$D1979&lt;&gt;$D1980,NOT(ISNUMBER(M1980)),NOT(ISNUMBER(M1979)),(IF(ISNUMBER(H1980),H1980,G1980)-IF(ISNUMBER(H1979),H1979,G1979))=0),"",(M1980-M1979)/(IF(ISNUMBER(H1980),H1980,G1980)-IF(ISNUMBER(H1979),H1979,G1979)))</f>
        <v/>
      </c>
      <c r="X1980" s="31">
        <f>IF(NOT(AND(ISNUMBER(O1980),ISNUMBER(Q1980))),"",(Q1980-O1980)*1440)</f>
        <v/>
      </c>
      <c r="Y1980" s="29" t="n"/>
      <c r="Z1980" s="29" t="n"/>
      <c r="AA1980" s="29" t="n"/>
      <c r="AB1980" s="32" t="n"/>
      <c r="AC1980" s="32" t="n"/>
    </row>
    <row r="1981">
      <c r="A1981" s="44" t="inlineStr">
        <is>
          <t>S38</t>
        </is>
      </c>
      <c r="B1981" s="44" t="inlineStr">
        <is>
          <t>강화</t>
        </is>
      </c>
      <c r="C1981" s="44" t="inlineStr">
        <is>
          <t>S38-H북</t>
        </is>
      </c>
      <c r="D1981" s="45" t="n">
        <v>1</v>
      </c>
      <c r="E1981" s="44" t="inlineStr">
        <is>
          <t>P0(후)</t>
        </is>
      </c>
      <c r="F1981" s="44" t="inlineStr">
        <is>
          <t>북</t>
        </is>
      </c>
      <c r="G1981" s="46" t="n"/>
      <c r="H1981" s="30" t="n"/>
      <c r="I1981" s="43" t="n"/>
      <c r="J1981" s="41" t="n"/>
      <c r="K1981" s="41" t="n"/>
      <c r="L1981" s="41" t="n"/>
      <c r="M1981" s="31">
        <f>IF(COUNT(J1981:L1981)=0,"",MEDIAN(J1981:L1981))</f>
        <v/>
      </c>
      <c r="N1981" s="38" t="n"/>
      <c r="O1981" s="38" t="n"/>
      <c r="P1981" s="38" t="n"/>
      <c r="Q1981" s="38" t="n"/>
      <c r="R1981" s="38" t="n"/>
      <c r="S1981" s="38" t="n"/>
      <c r="T1981" s="38" t="n"/>
      <c r="U1981" s="38" t="n"/>
      <c r="V1981" s="38" t="n"/>
      <c r="W1981" s="38" t="n"/>
      <c r="X1981" s="38" t="n"/>
      <c r="Y1981" s="29" t="n"/>
      <c r="Z1981" s="29" t="n"/>
      <c r="AA1981" s="29" t="n"/>
      <c r="AB1981" s="32" t="n"/>
      <c r="AC1981" s="32" t="n"/>
    </row>
    <row r="1982">
      <c r="A1982" s="44" t="inlineStr">
        <is>
          <t>S39</t>
        </is>
      </c>
      <c r="B1982" s="44" t="inlineStr">
        <is>
          <t>언양</t>
        </is>
      </c>
      <c r="C1982" s="44" t="inlineStr">
        <is>
          <t>S39-H동</t>
        </is>
      </c>
      <c r="D1982" s="45" t="n">
        <v>1</v>
      </c>
      <c r="E1982" s="44" t="inlineStr">
        <is>
          <t>P0(전)</t>
        </is>
      </c>
      <c r="F1982" s="44" t="inlineStr">
        <is>
          <t>동</t>
        </is>
      </c>
      <c r="G1982" s="46" t="n"/>
      <c r="H1982" s="30" t="n"/>
      <c r="I1982" s="43" t="n"/>
      <c r="J1982" s="41" t="n"/>
      <c r="K1982" s="41" t="n"/>
      <c r="L1982" s="41" t="n"/>
      <c r="M1982" s="31">
        <f>IF(COUNT(J1982:L1982)=0,"",MEDIAN(J1982:L1982))</f>
        <v/>
      </c>
      <c r="N1982" s="38" t="n"/>
      <c r="O1982" s="38" t="n"/>
      <c r="P1982" s="38" t="n"/>
      <c r="Q1982" s="38" t="n"/>
      <c r="R1982" s="38" t="n"/>
      <c r="S1982" s="38" t="n"/>
      <c r="T1982" s="38" t="n"/>
      <c r="U1982" s="38" t="n"/>
      <c r="V1982" s="38" t="n"/>
      <c r="W1982" s="38" t="n"/>
      <c r="X1982" s="38" t="n"/>
      <c r="Y1982" s="29" t="n"/>
      <c r="Z1982" s="29" t="n"/>
      <c r="AA1982" s="29" t="n"/>
      <c r="AB1982" s="32" t="n"/>
      <c r="AC1982" s="32" t="n"/>
    </row>
    <row r="1983">
      <c r="A1983" s="26" t="inlineStr">
        <is>
          <t>S39</t>
        </is>
      </c>
      <c r="B1983" s="26" t="inlineStr">
        <is>
          <t>언양</t>
        </is>
      </c>
      <c r="C1983" s="26" t="inlineStr">
        <is>
          <t>S39-H동</t>
        </is>
      </c>
      <c r="D1983" s="47" t="n">
        <v>1</v>
      </c>
      <c r="E1983" s="26" t="inlineStr">
        <is>
          <t>측정</t>
        </is>
      </c>
      <c r="F1983" s="26" t="inlineStr">
        <is>
          <t>동</t>
        </is>
      </c>
      <c r="G1983" s="31" t="n">
        <v>0.5</v>
      </c>
      <c r="H1983" s="30" t="n"/>
      <c r="I1983" s="43" t="n"/>
      <c r="J1983" s="41" t="n"/>
      <c r="K1983" s="41" t="n"/>
      <c r="L1983" s="41" t="n"/>
      <c r="M1983" s="31">
        <f>IF(COUNT(J1983:L1983)=0,"",MEDIAN(J1983:L1983))</f>
        <v/>
      </c>
      <c r="N1983" s="26">
        <f>IF(COUNTIFS($C:$C,$C1983,$D:$D,$D1983,$E:$E,"P0(전)",$M:$M,"&gt;0")&lt;&gt;1,"P0(전) 유효 1개 아님",IF(COUNTIFS($C:$C,$C1983,$D:$D,$D1983,$E:$E,"P0(후)",$M:$M,"&gt;0")&lt;&gt;1,"P0(후) 유효 1개 아님",IF(NOT(AND(ISNUMBER(O1983),ISNUMBER(Q1983),ISNUMBER(I1983))),"시각 결측",IF(Q1983&lt;=O1983,"P0 시각 역전",IF(OR(I1983&lt;O1983,I1983&gt;Q1983),"측정시각 구간 밖","OK")))))</f>
        <v/>
      </c>
      <c r="O1983" s="48">
        <f>IF(COUNTIFS($C:$C,$C1983,$D:$D,$D1983,$E:$E,"P0(전)",$M:$M,"&gt;0")&lt;&gt;1,"",SUMIFS($I:$I,$C:$C,$C1983,$D:$D,$D1983,$E:$E,"P0(전)"))</f>
        <v/>
      </c>
      <c r="P1983" s="31">
        <f>IF(COUNTIFS($C:$C,$C1983,$D:$D,$D1983,$E:$E,"P0(전)",$M:$M,"&gt;0")&lt;&gt;1,"",SUMIFS($M:$M,$C:$C,$C1983,$D:$D,$D1983,$E:$E,"P0(전)"))</f>
        <v/>
      </c>
      <c r="Q1983" s="48">
        <f>IF(COUNTIFS($C:$C,$C1983,$D:$D,$D1983,$E:$E,"P0(후)",$M:$M,"&gt;0")&lt;&gt;1,"",SUMIFS($I:$I,$C:$C,$C1983,$D:$D,$D1983,$E:$E,"P0(후)"))</f>
        <v/>
      </c>
      <c r="R1983" s="31">
        <f>IF(COUNTIFS($C:$C,$C1983,$D:$D,$D1983,$E:$E,"P0(후)",$M:$M,"&gt;0")&lt;&gt;1,"",SUMIFS($M:$M,$C:$C,$C1983,$D:$D,$D1983,$E:$E,"P0(후)"))</f>
        <v/>
      </c>
      <c r="S1983" s="31">
        <f>IF(N1983&lt;&gt;"OK","",P1983+(R1983-P1983)*(I1983-O1983)/(Q1983-O1983))</f>
        <v/>
      </c>
      <c r="T1983" s="31">
        <f>IF(OR(N1983&lt;&gt;"OK",NOT(ISNUMBER(M1983))),"",M1983-S1983)</f>
        <v/>
      </c>
      <c r="U1983" s="49">
        <f>IF(OR(NOT(ISNUMBER(T1983)),IF(ISNUMBER(H1983),H1983,G1983)=0),"",T1983/IF(ISNUMBER(H1983),H1983,G1983))</f>
        <v/>
      </c>
      <c r="V1983" s="49">
        <f>IF(ISNUMBER(U1983),ABS(U1983),"")</f>
        <v/>
      </c>
      <c r="W1983" s="49">
        <f>IF(OR($E1982&lt;&gt;"측정",$C1982&lt;&gt;$C1983,$D1982&lt;&gt;$D1983,NOT(ISNUMBER(M1983)),NOT(ISNUMBER(M1982)),(IF(ISNUMBER(H1983),H1983,G1983)-IF(ISNUMBER(H1982),H1982,G1982))=0),"",(M1983-M1982)/(IF(ISNUMBER(H1983),H1983,G1983)-IF(ISNUMBER(H1982),H1982,G1982)))</f>
        <v/>
      </c>
      <c r="X1983" s="31">
        <f>IF(NOT(AND(ISNUMBER(O1983),ISNUMBER(Q1983))),"",(Q1983-O1983)*1440)</f>
        <v/>
      </c>
      <c r="Y1983" s="29" t="n"/>
      <c r="Z1983" s="29" t="n"/>
      <c r="AA1983" s="29" t="n"/>
      <c r="AB1983" s="32" t="n"/>
      <c r="AC1983" s="32" t="n"/>
    </row>
    <row r="1984">
      <c r="A1984" s="26" t="inlineStr">
        <is>
          <t>S39</t>
        </is>
      </c>
      <c r="B1984" s="26" t="inlineStr">
        <is>
          <t>언양</t>
        </is>
      </c>
      <c r="C1984" s="26" t="inlineStr">
        <is>
          <t>S39-H동</t>
        </is>
      </c>
      <c r="D1984" s="47" t="n">
        <v>1</v>
      </c>
      <c r="E1984" s="26" t="inlineStr">
        <is>
          <t>측정</t>
        </is>
      </c>
      <c r="F1984" s="26" t="inlineStr">
        <is>
          <t>동</t>
        </is>
      </c>
      <c r="G1984" s="31" t="n">
        <v>1</v>
      </c>
      <c r="H1984" s="30" t="n"/>
      <c r="I1984" s="43" t="n"/>
      <c r="J1984" s="41" t="n"/>
      <c r="K1984" s="41" t="n"/>
      <c r="L1984" s="41" t="n"/>
      <c r="M1984" s="31">
        <f>IF(COUNT(J1984:L1984)=0,"",MEDIAN(J1984:L1984))</f>
        <v/>
      </c>
      <c r="N1984" s="26">
        <f>IF(COUNTIFS($C:$C,$C1984,$D:$D,$D1984,$E:$E,"P0(전)",$M:$M,"&gt;0")&lt;&gt;1,"P0(전) 유효 1개 아님",IF(COUNTIFS($C:$C,$C1984,$D:$D,$D1984,$E:$E,"P0(후)",$M:$M,"&gt;0")&lt;&gt;1,"P0(후) 유효 1개 아님",IF(NOT(AND(ISNUMBER(O1984),ISNUMBER(Q1984),ISNUMBER(I1984))),"시각 결측",IF(Q1984&lt;=O1984,"P0 시각 역전",IF(OR(I1984&lt;O1984,I1984&gt;Q1984),"측정시각 구간 밖","OK")))))</f>
        <v/>
      </c>
      <c r="O1984" s="48">
        <f>IF(COUNTIFS($C:$C,$C1984,$D:$D,$D1984,$E:$E,"P0(전)",$M:$M,"&gt;0")&lt;&gt;1,"",SUMIFS($I:$I,$C:$C,$C1984,$D:$D,$D1984,$E:$E,"P0(전)"))</f>
        <v/>
      </c>
      <c r="P1984" s="31">
        <f>IF(COUNTIFS($C:$C,$C1984,$D:$D,$D1984,$E:$E,"P0(전)",$M:$M,"&gt;0")&lt;&gt;1,"",SUMIFS($M:$M,$C:$C,$C1984,$D:$D,$D1984,$E:$E,"P0(전)"))</f>
        <v/>
      </c>
      <c r="Q1984" s="48">
        <f>IF(COUNTIFS($C:$C,$C1984,$D:$D,$D1984,$E:$E,"P0(후)",$M:$M,"&gt;0")&lt;&gt;1,"",SUMIFS($I:$I,$C:$C,$C1984,$D:$D,$D1984,$E:$E,"P0(후)"))</f>
        <v/>
      </c>
      <c r="R1984" s="31">
        <f>IF(COUNTIFS($C:$C,$C1984,$D:$D,$D1984,$E:$E,"P0(후)",$M:$M,"&gt;0")&lt;&gt;1,"",SUMIFS($M:$M,$C:$C,$C1984,$D:$D,$D1984,$E:$E,"P0(후)"))</f>
        <v/>
      </c>
      <c r="S1984" s="31">
        <f>IF(N1984&lt;&gt;"OK","",P1984+(R1984-P1984)*(I1984-O1984)/(Q1984-O1984))</f>
        <v/>
      </c>
      <c r="T1984" s="31">
        <f>IF(OR(N1984&lt;&gt;"OK",NOT(ISNUMBER(M1984))),"",M1984-S1984)</f>
        <v/>
      </c>
      <c r="U1984" s="49">
        <f>IF(OR(NOT(ISNUMBER(T1984)),IF(ISNUMBER(H1984),H1984,G1984)=0),"",T1984/IF(ISNUMBER(H1984),H1984,G1984))</f>
        <v/>
      </c>
      <c r="V1984" s="49">
        <f>IF(ISNUMBER(U1984),ABS(U1984),"")</f>
        <v/>
      </c>
      <c r="W1984" s="49">
        <f>IF(OR($E1983&lt;&gt;"측정",$C1983&lt;&gt;$C1984,$D1983&lt;&gt;$D1984,NOT(ISNUMBER(M1984)),NOT(ISNUMBER(M1983)),(IF(ISNUMBER(H1984),H1984,G1984)-IF(ISNUMBER(H1983),H1983,G1983))=0),"",(M1984-M1983)/(IF(ISNUMBER(H1984),H1984,G1984)-IF(ISNUMBER(H1983),H1983,G1983)))</f>
        <v/>
      </c>
      <c r="X1984" s="31">
        <f>IF(NOT(AND(ISNUMBER(O1984),ISNUMBER(Q1984))),"",(Q1984-O1984)*1440)</f>
        <v/>
      </c>
      <c r="Y1984" s="29" t="n"/>
      <c r="Z1984" s="29" t="n"/>
      <c r="AA1984" s="29" t="n"/>
      <c r="AB1984" s="32" t="n"/>
      <c r="AC1984" s="32" t="n"/>
    </row>
    <row r="1985">
      <c r="A1985" s="26" t="inlineStr">
        <is>
          <t>S39</t>
        </is>
      </c>
      <c r="B1985" s="26" t="inlineStr">
        <is>
          <t>언양</t>
        </is>
      </c>
      <c r="C1985" s="26" t="inlineStr">
        <is>
          <t>S39-H동</t>
        </is>
      </c>
      <c r="D1985" s="47" t="n">
        <v>1</v>
      </c>
      <c r="E1985" s="26" t="inlineStr">
        <is>
          <t>측정</t>
        </is>
      </c>
      <c r="F1985" s="26" t="inlineStr">
        <is>
          <t>동</t>
        </is>
      </c>
      <c r="G1985" s="31" t="n">
        <v>2</v>
      </c>
      <c r="H1985" s="30" t="n"/>
      <c r="I1985" s="43" t="n"/>
      <c r="J1985" s="41" t="n"/>
      <c r="K1985" s="41" t="n"/>
      <c r="L1985" s="41" t="n"/>
      <c r="M1985" s="31">
        <f>IF(COUNT(J1985:L1985)=0,"",MEDIAN(J1985:L1985))</f>
        <v/>
      </c>
      <c r="N1985" s="26">
        <f>IF(COUNTIFS($C:$C,$C1985,$D:$D,$D1985,$E:$E,"P0(전)",$M:$M,"&gt;0")&lt;&gt;1,"P0(전) 유효 1개 아님",IF(COUNTIFS($C:$C,$C1985,$D:$D,$D1985,$E:$E,"P0(후)",$M:$M,"&gt;0")&lt;&gt;1,"P0(후) 유효 1개 아님",IF(NOT(AND(ISNUMBER(O1985),ISNUMBER(Q1985),ISNUMBER(I1985))),"시각 결측",IF(Q1985&lt;=O1985,"P0 시각 역전",IF(OR(I1985&lt;O1985,I1985&gt;Q1985),"측정시각 구간 밖","OK")))))</f>
        <v/>
      </c>
      <c r="O1985" s="48">
        <f>IF(COUNTIFS($C:$C,$C1985,$D:$D,$D1985,$E:$E,"P0(전)",$M:$M,"&gt;0")&lt;&gt;1,"",SUMIFS($I:$I,$C:$C,$C1985,$D:$D,$D1985,$E:$E,"P0(전)"))</f>
        <v/>
      </c>
      <c r="P1985" s="31">
        <f>IF(COUNTIFS($C:$C,$C1985,$D:$D,$D1985,$E:$E,"P0(전)",$M:$M,"&gt;0")&lt;&gt;1,"",SUMIFS($M:$M,$C:$C,$C1985,$D:$D,$D1985,$E:$E,"P0(전)"))</f>
        <v/>
      </c>
      <c r="Q1985" s="48">
        <f>IF(COUNTIFS($C:$C,$C1985,$D:$D,$D1985,$E:$E,"P0(후)",$M:$M,"&gt;0")&lt;&gt;1,"",SUMIFS($I:$I,$C:$C,$C1985,$D:$D,$D1985,$E:$E,"P0(후)"))</f>
        <v/>
      </c>
      <c r="R1985" s="31">
        <f>IF(COUNTIFS($C:$C,$C1985,$D:$D,$D1985,$E:$E,"P0(후)",$M:$M,"&gt;0")&lt;&gt;1,"",SUMIFS($M:$M,$C:$C,$C1985,$D:$D,$D1985,$E:$E,"P0(후)"))</f>
        <v/>
      </c>
      <c r="S1985" s="31">
        <f>IF(N1985&lt;&gt;"OK","",P1985+(R1985-P1985)*(I1985-O1985)/(Q1985-O1985))</f>
        <v/>
      </c>
      <c r="T1985" s="31">
        <f>IF(OR(N1985&lt;&gt;"OK",NOT(ISNUMBER(M1985))),"",M1985-S1985)</f>
        <v/>
      </c>
      <c r="U1985" s="49">
        <f>IF(OR(NOT(ISNUMBER(T1985)),IF(ISNUMBER(H1985),H1985,G1985)=0),"",T1985/IF(ISNUMBER(H1985),H1985,G1985))</f>
        <v/>
      </c>
      <c r="V1985" s="49">
        <f>IF(ISNUMBER(U1985),ABS(U1985),"")</f>
        <v/>
      </c>
      <c r="W1985" s="49">
        <f>IF(OR($E1984&lt;&gt;"측정",$C1984&lt;&gt;$C1985,$D1984&lt;&gt;$D1985,NOT(ISNUMBER(M1985)),NOT(ISNUMBER(M1984)),(IF(ISNUMBER(H1985),H1985,G1985)-IF(ISNUMBER(H1984),H1984,G1984))=0),"",(M1985-M1984)/(IF(ISNUMBER(H1985),H1985,G1985)-IF(ISNUMBER(H1984),H1984,G1984)))</f>
        <v/>
      </c>
      <c r="X1985" s="31">
        <f>IF(NOT(AND(ISNUMBER(O1985),ISNUMBER(Q1985))),"",(Q1985-O1985)*1440)</f>
        <v/>
      </c>
      <c r="Y1985" s="29" t="n"/>
      <c r="Z1985" s="29" t="n"/>
      <c r="AA1985" s="29" t="n"/>
      <c r="AB1985" s="32" t="n"/>
      <c r="AC1985" s="32" t="n"/>
    </row>
    <row r="1986">
      <c r="A1986" s="26" t="inlineStr">
        <is>
          <t>S39</t>
        </is>
      </c>
      <c r="B1986" s="26" t="inlineStr">
        <is>
          <t>언양</t>
        </is>
      </c>
      <c r="C1986" s="26" t="inlineStr">
        <is>
          <t>S39-H동</t>
        </is>
      </c>
      <c r="D1986" s="47" t="n">
        <v>1</v>
      </c>
      <c r="E1986" s="26" t="inlineStr">
        <is>
          <t>측정</t>
        </is>
      </c>
      <c r="F1986" s="26" t="inlineStr">
        <is>
          <t>동</t>
        </is>
      </c>
      <c r="G1986" s="31" t="n">
        <v>3</v>
      </c>
      <c r="H1986" s="30" t="n"/>
      <c r="I1986" s="43" t="n"/>
      <c r="J1986" s="41" t="n"/>
      <c r="K1986" s="41" t="n"/>
      <c r="L1986" s="41" t="n"/>
      <c r="M1986" s="31">
        <f>IF(COUNT(J1986:L1986)=0,"",MEDIAN(J1986:L1986))</f>
        <v/>
      </c>
      <c r="N1986" s="26">
        <f>IF(COUNTIFS($C:$C,$C1986,$D:$D,$D1986,$E:$E,"P0(전)",$M:$M,"&gt;0")&lt;&gt;1,"P0(전) 유효 1개 아님",IF(COUNTIFS($C:$C,$C1986,$D:$D,$D1986,$E:$E,"P0(후)",$M:$M,"&gt;0")&lt;&gt;1,"P0(후) 유효 1개 아님",IF(NOT(AND(ISNUMBER(O1986),ISNUMBER(Q1986),ISNUMBER(I1986))),"시각 결측",IF(Q1986&lt;=O1986,"P0 시각 역전",IF(OR(I1986&lt;O1986,I1986&gt;Q1986),"측정시각 구간 밖","OK")))))</f>
        <v/>
      </c>
      <c r="O1986" s="48">
        <f>IF(COUNTIFS($C:$C,$C1986,$D:$D,$D1986,$E:$E,"P0(전)",$M:$M,"&gt;0")&lt;&gt;1,"",SUMIFS($I:$I,$C:$C,$C1986,$D:$D,$D1986,$E:$E,"P0(전)"))</f>
        <v/>
      </c>
      <c r="P1986" s="31">
        <f>IF(COUNTIFS($C:$C,$C1986,$D:$D,$D1986,$E:$E,"P0(전)",$M:$M,"&gt;0")&lt;&gt;1,"",SUMIFS($M:$M,$C:$C,$C1986,$D:$D,$D1986,$E:$E,"P0(전)"))</f>
        <v/>
      </c>
      <c r="Q1986" s="48">
        <f>IF(COUNTIFS($C:$C,$C1986,$D:$D,$D1986,$E:$E,"P0(후)",$M:$M,"&gt;0")&lt;&gt;1,"",SUMIFS($I:$I,$C:$C,$C1986,$D:$D,$D1986,$E:$E,"P0(후)"))</f>
        <v/>
      </c>
      <c r="R1986" s="31">
        <f>IF(COUNTIFS($C:$C,$C1986,$D:$D,$D1986,$E:$E,"P0(후)",$M:$M,"&gt;0")&lt;&gt;1,"",SUMIFS($M:$M,$C:$C,$C1986,$D:$D,$D1986,$E:$E,"P0(후)"))</f>
        <v/>
      </c>
      <c r="S1986" s="31">
        <f>IF(N1986&lt;&gt;"OK","",P1986+(R1986-P1986)*(I1986-O1986)/(Q1986-O1986))</f>
        <v/>
      </c>
      <c r="T1986" s="31">
        <f>IF(OR(N1986&lt;&gt;"OK",NOT(ISNUMBER(M1986))),"",M1986-S1986)</f>
        <v/>
      </c>
      <c r="U1986" s="49">
        <f>IF(OR(NOT(ISNUMBER(T1986)),IF(ISNUMBER(H1986),H1986,G1986)=0),"",T1986/IF(ISNUMBER(H1986),H1986,G1986))</f>
        <v/>
      </c>
      <c r="V1986" s="49">
        <f>IF(ISNUMBER(U1986),ABS(U1986),"")</f>
        <v/>
      </c>
      <c r="W1986" s="49">
        <f>IF(OR($E1985&lt;&gt;"측정",$C1985&lt;&gt;$C1986,$D1985&lt;&gt;$D1986,NOT(ISNUMBER(M1986)),NOT(ISNUMBER(M1985)),(IF(ISNUMBER(H1986),H1986,G1986)-IF(ISNUMBER(H1985),H1985,G1985))=0),"",(M1986-M1985)/(IF(ISNUMBER(H1986),H1986,G1986)-IF(ISNUMBER(H1985),H1985,G1985)))</f>
        <v/>
      </c>
      <c r="X1986" s="31">
        <f>IF(NOT(AND(ISNUMBER(O1986),ISNUMBER(Q1986))),"",(Q1986-O1986)*1440)</f>
        <v/>
      </c>
      <c r="Y1986" s="29" t="n"/>
      <c r="Z1986" s="29" t="n"/>
      <c r="AA1986" s="29" t="n"/>
      <c r="AB1986" s="32" t="n"/>
      <c r="AC1986" s="32" t="n"/>
    </row>
    <row r="1987">
      <c r="A1987" s="26" t="inlineStr">
        <is>
          <t>S39</t>
        </is>
      </c>
      <c r="B1987" s="26" t="inlineStr">
        <is>
          <t>언양</t>
        </is>
      </c>
      <c r="C1987" s="26" t="inlineStr">
        <is>
          <t>S39-H동</t>
        </is>
      </c>
      <c r="D1987" s="47" t="n">
        <v>1</v>
      </c>
      <c r="E1987" s="26" t="inlineStr">
        <is>
          <t>측정</t>
        </is>
      </c>
      <c r="F1987" s="26" t="inlineStr">
        <is>
          <t>동</t>
        </is>
      </c>
      <c r="G1987" s="31" t="n">
        <v>4</v>
      </c>
      <c r="H1987" s="30" t="n"/>
      <c r="I1987" s="43" t="n"/>
      <c r="J1987" s="41" t="n"/>
      <c r="K1987" s="41" t="n"/>
      <c r="L1987" s="41" t="n"/>
      <c r="M1987" s="31">
        <f>IF(COUNT(J1987:L1987)=0,"",MEDIAN(J1987:L1987))</f>
        <v/>
      </c>
      <c r="N1987" s="26">
        <f>IF(COUNTIFS($C:$C,$C1987,$D:$D,$D1987,$E:$E,"P0(전)",$M:$M,"&gt;0")&lt;&gt;1,"P0(전) 유효 1개 아님",IF(COUNTIFS($C:$C,$C1987,$D:$D,$D1987,$E:$E,"P0(후)",$M:$M,"&gt;0")&lt;&gt;1,"P0(후) 유효 1개 아님",IF(NOT(AND(ISNUMBER(O1987),ISNUMBER(Q1987),ISNUMBER(I1987))),"시각 결측",IF(Q1987&lt;=O1987,"P0 시각 역전",IF(OR(I1987&lt;O1987,I1987&gt;Q1987),"측정시각 구간 밖","OK")))))</f>
        <v/>
      </c>
      <c r="O1987" s="48">
        <f>IF(COUNTIFS($C:$C,$C1987,$D:$D,$D1987,$E:$E,"P0(전)",$M:$M,"&gt;0")&lt;&gt;1,"",SUMIFS($I:$I,$C:$C,$C1987,$D:$D,$D1987,$E:$E,"P0(전)"))</f>
        <v/>
      </c>
      <c r="P1987" s="31">
        <f>IF(COUNTIFS($C:$C,$C1987,$D:$D,$D1987,$E:$E,"P0(전)",$M:$M,"&gt;0")&lt;&gt;1,"",SUMIFS($M:$M,$C:$C,$C1987,$D:$D,$D1987,$E:$E,"P0(전)"))</f>
        <v/>
      </c>
      <c r="Q1987" s="48">
        <f>IF(COUNTIFS($C:$C,$C1987,$D:$D,$D1987,$E:$E,"P0(후)",$M:$M,"&gt;0")&lt;&gt;1,"",SUMIFS($I:$I,$C:$C,$C1987,$D:$D,$D1987,$E:$E,"P0(후)"))</f>
        <v/>
      </c>
      <c r="R1987" s="31">
        <f>IF(COUNTIFS($C:$C,$C1987,$D:$D,$D1987,$E:$E,"P0(후)",$M:$M,"&gt;0")&lt;&gt;1,"",SUMIFS($M:$M,$C:$C,$C1987,$D:$D,$D1987,$E:$E,"P0(후)"))</f>
        <v/>
      </c>
      <c r="S1987" s="31">
        <f>IF(N1987&lt;&gt;"OK","",P1987+(R1987-P1987)*(I1987-O1987)/(Q1987-O1987))</f>
        <v/>
      </c>
      <c r="T1987" s="31">
        <f>IF(OR(N1987&lt;&gt;"OK",NOT(ISNUMBER(M1987))),"",M1987-S1987)</f>
        <v/>
      </c>
      <c r="U1987" s="49">
        <f>IF(OR(NOT(ISNUMBER(T1987)),IF(ISNUMBER(H1987),H1987,G1987)=0),"",T1987/IF(ISNUMBER(H1987),H1987,G1987))</f>
        <v/>
      </c>
      <c r="V1987" s="49">
        <f>IF(ISNUMBER(U1987),ABS(U1987),"")</f>
        <v/>
      </c>
      <c r="W1987" s="49">
        <f>IF(OR($E1986&lt;&gt;"측정",$C1986&lt;&gt;$C1987,$D1986&lt;&gt;$D1987,NOT(ISNUMBER(M1987)),NOT(ISNUMBER(M1986)),(IF(ISNUMBER(H1987),H1987,G1987)-IF(ISNUMBER(H1986),H1986,G1986))=0),"",(M1987-M1986)/(IF(ISNUMBER(H1987),H1987,G1987)-IF(ISNUMBER(H1986),H1986,G1986)))</f>
        <v/>
      </c>
      <c r="X1987" s="31">
        <f>IF(NOT(AND(ISNUMBER(O1987),ISNUMBER(Q1987))),"",(Q1987-O1987)*1440)</f>
        <v/>
      </c>
      <c r="Y1987" s="29" t="n"/>
      <c r="Z1987" s="29" t="n"/>
      <c r="AA1987" s="29" t="n"/>
      <c r="AB1987" s="32" t="n"/>
      <c r="AC1987" s="32" t="n"/>
    </row>
    <row r="1988">
      <c r="A1988" s="26" t="inlineStr">
        <is>
          <t>S39</t>
        </is>
      </c>
      <c r="B1988" s="26" t="inlineStr">
        <is>
          <t>언양</t>
        </is>
      </c>
      <c r="C1988" s="26" t="inlineStr">
        <is>
          <t>S39-H동</t>
        </is>
      </c>
      <c r="D1988" s="47" t="n">
        <v>1</v>
      </c>
      <c r="E1988" s="26" t="inlineStr">
        <is>
          <t>측정</t>
        </is>
      </c>
      <c r="F1988" s="26" t="inlineStr">
        <is>
          <t>동</t>
        </is>
      </c>
      <c r="G1988" s="31" t="n">
        <v>5</v>
      </c>
      <c r="H1988" s="30" t="n"/>
      <c r="I1988" s="43" t="n"/>
      <c r="J1988" s="41" t="n"/>
      <c r="K1988" s="41" t="n"/>
      <c r="L1988" s="41" t="n"/>
      <c r="M1988" s="31">
        <f>IF(COUNT(J1988:L1988)=0,"",MEDIAN(J1988:L1988))</f>
        <v/>
      </c>
      <c r="N1988" s="26">
        <f>IF(COUNTIFS($C:$C,$C1988,$D:$D,$D1988,$E:$E,"P0(전)",$M:$M,"&gt;0")&lt;&gt;1,"P0(전) 유효 1개 아님",IF(COUNTIFS($C:$C,$C1988,$D:$D,$D1988,$E:$E,"P0(후)",$M:$M,"&gt;0")&lt;&gt;1,"P0(후) 유효 1개 아님",IF(NOT(AND(ISNUMBER(O1988),ISNUMBER(Q1988),ISNUMBER(I1988))),"시각 결측",IF(Q1988&lt;=O1988,"P0 시각 역전",IF(OR(I1988&lt;O1988,I1988&gt;Q1988),"측정시각 구간 밖","OK")))))</f>
        <v/>
      </c>
      <c r="O1988" s="48">
        <f>IF(COUNTIFS($C:$C,$C1988,$D:$D,$D1988,$E:$E,"P0(전)",$M:$M,"&gt;0")&lt;&gt;1,"",SUMIFS($I:$I,$C:$C,$C1988,$D:$D,$D1988,$E:$E,"P0(전)"))</f>
        <v/>
      </c>
      <c r="P1988" s="31">
        <f>IF(COUNTIFS($C:$C,$C1988,$D:$D,$D1988,$E:$E,"P0(전)",$M:$M,"&gt;0")&lt;&gt;1,"",SUMIFS($M:$M,$C:$C,$C1988,$D:$D,$D1988,$E:$E,"P0(전)"))</f>
        <v/>
      </c>
      <c r="Q1988" s="48">
        <f>IF(COUNTIFS($C:$C,$C1988,$D:$D,$D1988,$E:$E,"P0(후)",$M:$M,"&gt;0")&lt;&gt;1,"",SUMIFS($I:$I,$C:$C,$C1988,$D:$D,$D1988,$E:$E,"P0(후)"))</f>
        <v/>
      </c>
      <c r="R1988" s="31">
        <f>IF(COUNTIFS($C:$C,$C1988,$D:$D,$D1988,$E:$E,"P0(후)",$M:$M,"&gt;0")&lt;&gt;1,"",SUMIFS($M:$M,$C:$C,$C1988,$D:$D,$D1988,$E:$E,"P0(후)"))</f>
        <v/>
      </c>
      <c r="S1988" s="31">
        <f>IF(N1988&lt;&gt;"OK","",P1988+(R1988-P1988)*(I1988-O1988)/(Q1988-O1988))</f>
        <v/>
      </c>
      <c r="T1988" s="31">
        <f>IF(OR(N1988&lt;&gt;"OK",NOT(ISNUMBER(M1988))),"",M1988-S1988)</f>
        <v/>
      </c>
      <c r="U1988" s="49">
        <f>IF(OR(NOT(ISNUMBER(T1988)),IF(ISNUMBER(H1988),H1988,G1988)=0),"",T1988/IF(ISNUMBER(H1988),H1988,G1988))</f>
        <v/>
      </c>
      <c r="V1988" s="49">
        <f>IF(ISNUMBER(U1988),ABS(U1988),"")</f>
        <v/>
      </c>
      <c r="W1988" s="49">
        <f>IF(OR($E1987&lt;&gt;"측정",$C1987&lt;&gt;$C1988,$D1987&lt;&gt;$D1988,NOT(ISNUMBER(M1988)),NOT(ISNUMBER(M1987)),(IF(ISNUMBER(H1988),H1988,G1988)-IF(ISNUMBER(H1987),H1987,G1987))=0),"",(M1988-M1987)/(IF(ISNUMBER(H1988),H1988,G1988)-IF(ISNUMBER(H1987),H1987,G1987)))</f>
        <v/>
      </c>
      <c r="X1988" s="31">
        <f>IF(NOT(AND(ISNUMBER(O1988),ISNUMBER(Q1988))),"",(Q1988-O1988)*1440)</f>
        <v/>
      </c>
      <c r="Y1988" s="29" t="n"/>
      <c r="Z1988" s="29" t="n"/>
      <c r="AA1988" s="29" t="n"/>
      <c r="AB1988" s="32" t="n"/>
      <c r="AC1988" s="32" t="n"/>
    </row>
    <row r="1989">
      <c r="A1989" s="26" t="inlineStr">
        <is>
          <t>S39</t>
        </is>
      </c>
      <c r="B1989" s="26" t="inlineStr">
        <is>
          <t>언양</t>
        </is>
      </c>
      <c r="C1989" s="26" t="inlineStr">
        <is>
          <t>S39-H동</t>
        </is>
      </c>
      <c r="D1989" s="47" t="n">
        <v>1</v>
      </c>
      <c r="E1989" s="26" t="inlineStr">
        <is>
          <t>측정</t>
        </is>
      </c>
      <c r="F1989" s="26" t="inlineStr">
        <is>
          <t>동</t>
        </is>
      </c>
      <c r="G1989" s="31" t="n">
        <v>6</v>
      </c>
      <c r="H1989" s="30" t="n"/>
      <c r="I1989" s="43" t="n"/>
      <c r="J1989" s="41" t="n"/>
      <c r="K1989" s="41" t="n"/>
      <c r="L1989" s="41" t="n"/>
      <c r="M1989" s="31">
        <f>IF(COUNT(J1989:L1989)=0,"",MEDIAN(J1989:L1989))</f>
        <v/>
      </c>
      <c r="N1989" s="26">
        <f>IF(COUNTIFS($C:$C,$C1989,$D:$D,$D1989,$E:$E,"P0(전)",$M:$M,"&gt;0")&lt;&gt;1,"P0(전) 유효 1개 아님",IF(COUNTIFS($C:$C,$C1989,$D:$D,$D1989,$E:$E,"P0(후)",$M:$M,"&gt;0")&lt;&gt;1,"P0(후) 유효 1개 아님",IF(NOT(AND(ISNUMBER(O1989),ISNUMBER(Q1989),ISNUMBER(I1989))),"시각 결측",IF(Q1989&lt;=O1989,"P0 시각 역전",IF(OR(I1989&lt;O1989,I1989&gt;Q1989),"측정시각 구간 밖","OK")))))</f>
        <v/>
      </c>
      <c r="O1989" s="48">
        <f>IF(COUNTIFS($C:$C,$C1989,$D:$D,$D1989,$E:$E,"P0(전)",$M:$M,"&gt;0")&lt;&gt;1,"",SUMIFS($I:$I,$C:$C,$C1989,$D:$D,$D1989,$E:$E,"P0(전)"))</f>
        <v/>
      </c>
      <c r="P1989" s="31">
        <f>IF(COUNTIFS($C:$C,$C1989,$D:$D,$D1989,$E:$E,"P0(전)",$M:$M,"&gt;0")&lt;&gt;1,"",SUMIFS($M:$M,$C:$C,$C1989,$D:$D,$D1989,$E:$E,"P0(전)"))</f>
        <v/>
      </c>
      <c r="Q1989" s="48">
        <f>IF(COUNTIFS($C:$C,$C1989,$D:$D,$D1989,$E:$E,"P0(후)",$M:$M,"&gt;0")&lt;&gt;1,"",SUMIFS($I:$I,$C:$C,$C1989,$D:$D,$D1989,$E:$E,"P0(후)"))</f>
        <v/>
      </c>
      <c r="R1989" s="31">
        <f>IF(COUNTIFS($C:$C,$C1989,$D:$D,$D1989,$E:$E,"P0(후)",$M:$M,"&gt;0")&lt;&gt;1,"",SUMIFS($M:$M,$C:$C,$C1989,$D:$D,$D1989,$E:$E,"P0(후)"))</f>
        <v/>
      </c>
      <c r="S1989" s="31">
        <f>IF(N1989&lt;&gt;"OK","",P1989+(R1989-P1989)*(I1989-O1989)/(Q1989-O1989))</f>
        <v/>
      </c>
      <c r="T1989" s="31">
        <f>IF(OR(N1989&lt;&gt;"OK",NOT(ISNUMBER(M1989))),"",M1989-S1989)</f>
        <v/>
      </c>
      <c r="U1989" s="49">
        <f>IF(OR(NOT(ISNUMBER(T1989)),IF(ISNUMBER(H1989),H1989,G1989)=0),"",T1989/IF(ISNUMBER(H1989),H1989,G1989))</f>
        <v/>
      </c>
      <c r="V1989" s="49">
        <f>IF(ISNUMBER(U1989),ABS(U1989),"")</f>
        <v/>
      </c>
      <c r="W1989" s="49">
        <f>IF(OR($E1988&lt;&gt;"측정",$C1988&lt;&gt;$C1989,$D1988&lt;&gt;$D1989,NOT(ISNUMBER(M1989)),NOT(ISNUMBER(M1988)),(IF(ISNUMBER(H1989),H1989,G1989)-IF(ISNUMBER(H1988),H1988,G1988))=0),"",(M1989-M1988)/(IF(ISNUMBER(H1989),H1989,G1989)-IF(ISNUMBER(H1988),H1988,G1988)))</f>
        <v/>
      </c>
      <c r="X1989" s="31">
        <f>IF(NOT(AND(ISNUMBER(O1989),ISNUMBER(Q1989))),"",(Q1989-O1989)*1440)</f>
        <v/>
      </c>
      <c r="Y1989" s="29" t="n"/>
      <c r="Z1989" s="29" t="n"/>
      <c r="AA1989" s="29" t="n"/>
      <c r="AB1989" s="32" t="n"/>
      <c r="AC1989" s="32" t="n"/>
    </row>
    <row r="1990">
      <c r="A1990" s="26" t="inlineStr">
        <is>
          <t>S39</t>
        </is>
      </c>
      <c r="B1990" s="26" t="inlineStr">
        <is>
          <t>언양</t>
        </is>
      </c>
      <c r="C1990" s="26" t="inlineStr">
        <is>
          <t>S39-H동</t>
        </is>
      </c>
      <c r="D1990" s="47" t="n">
        <v>1</v>
      </c>
      <c r="E1990" s="26" t="inlineStr">
        <is>
          <t>측정</t>
        </is>
      </c>
      <c r="F1990" s="26" t="inlineStr">
        <is>
          <t>동</t>
        </is>
      </c>
      <c r="G1990" s="31" t="n">
        <v>7</v>
      </c>
      <c r="H1990" s="30" t="n"/>
      <c r="I1990" s="43" t="n"/>
      <c r="J1990" s="41" t="n"/>
      <c r="K1990" s="41" t="n"/>
      <c r="L1990" s="41" t="n"/>
      <c r="M1990" s="31">
        <f>IF(COUNT(J1990:L1990)=0,"",MEDIAN(J1990:L1990))</f>
        <v/>
      </c>
      <c r="N1990" s="26">
        <f>IF(COUNTIFS($C:$C,$C1990,$D:$D,$D1990,$E:$E,"P0(전)",$M:$M,"&gt;0")&lt;&gt;1,"P0(전) 유효 1개 아님",IF(COUNTIFS($C:$C,$C1990,$D:$D,$D1990,$E:$E,"P0(후)",$M:$M,"&gt;0")&lt;&gt;1,"P0(후) 유효 1개 아님",IF(NOT(AND(ISNUMBER(O1990),ISNUMBER(Q1990),ISNUMBER(I1990))),"시각 결측",IF(Q1990&lt;=O1990,"P0 시각 역전",IF(OR(I1990&lt;O1990,I1990&gt;Q1990),"측정시각 구간 밖","OK")))))</f>
        <v/>
      </c>
      <c r="O1990" s="48">
        <f>IF(COUNTIFS($C:$C,$C1990,$D:$D,$D1990,$E:$E,"P0(전)",$M:$M,"&gt;0")&lt;&gt;1,"",SUMIFS($I:$I,$C:$C,$C1990,$D:$D,$D1990,$E:$E,"P0(전)"))</f>
        <v/>
      </c>
      <c r="P1990" s="31">
        <f>IF(COUNTIFS($C:$C,$C1990,$D:$D,$D1990,$E:$E,"P0(전)",$M:$M,"&gt;0")&lt;&gt;1,"",SUMIFS($M:$M,$C:$C,$C1990,$D:$D,$D1990,$E:$E,"P0(전)"))</f>
        <v/>
      </c>
      <c r="Q1990" s="48">
        <f>IF(COUNTIFS($C:$C,$C1990,$D:$D,$D1990,$E:$E,"P0(후)",$M:$M,"&gt;0")&lt;&gt;1,"",SUMIFS($I:$I,$C:$C,$C1990,$D:$D,$D1990,$E:$E,"P0(후)"))</f>
        <v/>
      </c>
      <c r="R1990" s="31">
        <f>IF(COUNTIFS($C:$C,$C1990,$D:$D,$D1990,$E:$E,"P0(후)",$M:$M,"&gt;0")&lt;&gt;1,"",SUMIFS($M:$M,$C:$C,$C1990,$D:$D,$D1990,$E:$E,"P0(후)"))</f>
        <v/>
      </c>
      <c r="S1990" s="31">
        <f>IF(N1990&lt;&gt;"OK","",P1990+(R1990-P1990)*(I1990-O1990)/(Q1990-O1990))</f>
        <v/>
      </c>
      <c r="T1990" s="31">
        <f>IF(OR(N1990&lt;&gt;"OK",NOT(ISNUMBER(M1990))),"",M1990-S1990)</f>
        <v/>
      </c>
      <c r="U1990" s="49">
        <f>IF(OR(NOT(ISNUMBER(T1990)),IF(ISNUMBER(H1990),H1990,G1990)=0),"",T1990/IF(ISNUMBER(H1990),H1990,G1990))</f>
        <v/>
      </c>
      <c r="V1990" s="49">
        <f>IF(ISNUMBER(U1990),ABS(U1990),"")</f>
        <v/>
      </c>
      <c r="W1990" s="49">
        <f>IF(OR($E1989&lt;&gt;"측정",$C1989&lt;&gt;$C1990,$D1989&lt;&gt;$D1990,NOT(ISNUMBER(M1990)),NOT(ISNUMBER(M1989)),(IF(ISNUMBER(H1990),H1990,G1990)-IF(ISNUMBER(H1989),H1989,G1989))=0),"",(M1990-M1989)/(IF(ISNUMBER(H1990),H1990,G1990)-IF(ISNUMBER(H1989),H1989,G1989)))</f>
        <v/>
      </c>
      <c r="X1990" s="31">
        <f>IF(NOT(AND(ISNUMBER(O1990),ISNUMBER(Q1990))),"",(Q1990-O1990)*1440)</f>
        <v/>
      </c>
      <c r="Y1990" s="29" t="n"/>
      <c r="Z1990" s="29" t="n"/>
      <c r="AA1990" s="29" t="n"/>
      <c r="AB1990" s="32" t="n"/>
      <c r="AC1990" s="32" t="n"/>
    </row>
    <row r="1991">
      <c r="A1991" s="26" t="inlineStr">
        <is>
          <t>S39</t>
        </is>
      </c>
      <c r="B1991" s="26" t="inlineStr">
        <is>
          <t>언양</t>
        </is>
      </c>
      <c r="C1991" s="26" t="inlineStr">
        <is>
          <t>S39-H동</t>
        </is>
      </c>
      <c r="D1991" s="47" t="n">
        <v>1</v>
      </c>
      <c r="E1991" s="26" t="inlineStr">
        <is>
          <t>측정</t>
        </is>
      </c>
      <c r="F1991" s="26" t="inlineStr">
        <is>
          <t>동</t>
        </is>
      </c>
      <c r="G1991" s="31" t="n">
        <v>8</v>
      </c>
      <c r="H1991" s="30" t="n"/>
      <c r="I1991" s="43" t="n"/>
      <c r="J1991" s="41" t="n"/>
      <c r="K1991" s="41" t="n"/>
      <c r="L1991" s="41" t="n"/>
      <c r="M1991" s="31">
        <f>IF(COUNT(J1991:L1991)=0,"",MEDIAN(J1991:L1991))</f>
        <v/>
      </c>
      <c r="N1991" s="26">
        <f>IF(COUNTIFS($C:$C,$C1991,$D:$D,$D1991,$E:$E,"P0(전)",$M:$M,"&gt;0")&lt;&gt;1,"P0(전) 유효 1개 아님",IF(COUNTIFS($C:$C,$C1991,$D:$D,$D1991,$E:$E,"P0(후)",$M:$M,"&gt;0")&lt;&gt;1,"P0(후) 유효 1개 아님",IF(NOT(AND(ISNUMBER(O1991),ISNUMBER(Q1991),ISNUMBER(I1991))),"시각 결측",IF(Q1991&lt;=O1991,"P0 시각 역전",IF(OR(I1991&lt;O1991,I1991&gt;Q1991),"측정시각 구간 밖","OK")))))</f>
        <v/>
      </c>
      <c r="O1991" s="48">
        <f>IF(COUNTIFS($C:$C,$C1991,$D:$D,$D1991,$E:$E,"P0(전)",$M:$M,"&gt;0")&lt;&gt;1,"",SUMIFS($I:$I,$C:$C,$C1991,$D:$D,$D1991,$E:$E,"P0(전)"))</f>
        <v/>
      </c>
      <c r="P1991" s="31">
        <f>IF(COUNTIFS($C:$C,$C1991,$D:$D,$D1991,$E:$E,"P0(전)",$M:$M,"&gt;0")&lt;&gt;1,"",SUMIFS($M:$M,$C:$C,$C1991,$D:$D,$D1991,$E:$E,"P0(전)"))</f>
        <v/>
      </c>
      <c r="Q1991" s="48">
        <f>IF(COUNTIFS($C:$C,$C1991,$D:$D,$D1991,$E:$E,"P0(후)",$M:$M,"&gt;0")&lt;&gt;1,"",SUMIFS($I:$I,$C:$C,$C1991,$D:$D,$D1991,$E:$E,"P0(후)"))</f>
        <v/>
      </c>
      <c r="R1991" s="31">
        <f>IF(COUNTIFS($C:$C,$C1991,$D:$D,$D1991,$E:$E,"P0(후)",$M:$M,"&gt;0")&lt;&gt;1,"",SUMIFS($M:$M,$C:$C,$C1991,$D:$D,$D1991,$E:$E,"P0(후)"))</f>
        <v/>
      </c>
      <c r="S1991" s="31">
        <f>IF(N1991&lt;&gt;"OK","",P1991+(R1991-P1991)*(I1991-O1991)/(Q1991-O1991))</f>
        <v/>
      </c>
      <c r="T1991" s="31">
        <f>IF(OR(N1991&lt;&gt;"OK",NOT(ISNUMBER(M1991))),"",M1991-S1991)</f>
        <v/>
      </c>
      <c r="U1991" s="49">
        <f>IF(OR(NOT(ISNUMBER(T1991)),IF(ISNUMBER(H1991),H1991,G1991)=0),"",T1991/IF(ISNUMBER(H1991),H1991,G1991))</f>
        <v/>
      </c>
      <c r="V1991" s="49">
        <f>IF(ISNUMBER(U1991),ABS(U1991),"")</f>
        <v/>
      </c>
      <c r="W1991" s="49">
        <f>IF(OR($E1990&lt;&gt;"측정",$C1990&lt;&gt;$C1991,$D1990&lt;&gt;$D1991,NOT(ISNUMBER(M1991)),NOT(ISNUMBER(M1990)),(IF(ISNUMBER(H1991),H1991,G1991)-IF(ISNUMBER(H1990),H1990,G1990))=0),"",(M1991-M1990)/(IF(ISNUMBER(H1991),H1991,G1991)-IF(ISNUMBER(H1990),H1990,G1990)))</f>
        <v/>
      </c>
      <c r="X1991" s="31">
        <f>IF(NOT(AND(ISNUMBER(O1991),ISNUMBER(Q1991))),"",(Q1991-O1991)*1440)</f>
        <v/>
      </c>
      <c r="Y1991" s="29" t="n"/>
      <c r="Z1991" s="29" t="n"/>
      <c r="AA1991" s="29" t="n"/>
      <c r="AB1991" s="32" t="n"/>
      <c r="AC1991" s="32" t="n"/>
    </row>
    <row r="1992">
      <c r="A1992" s="26" t="inlineStr">
        <is>
          <t>S39</t>
        </is>
      </c>
      <c r="B1992" s="26" t="inlineStr">
        <is>
          <t>언양</t>
        </is>
      </c>
      <c r="C1992" s="26" t="inlineStr">
        <is>
          <t>S39-H동</t>
        </is>
      </c>
      <c r="D1992" s="47" t="n">
        <v>1</v>
      </c>
      <c r="E1992" s="26" t="inlineStr">
        <is>
          <t>측정</t>
        </is>
      </c>
      <c r="F1992" s="26" t="inlineStr">
        <is>
          <t>동</t>
        </is>
      </c>
      <c r="G1992" s="31" t="n">
        <v>9</v>
      </c>
      <c r="H1992" s="30" t="n"/>
      <c r="I1992" s="43" t="n"/>
      <c r="J1992" s="41" t="n"/>
      <c r="K1992" s="41" t="n"/>
      <c r="L1992" s="41" t="n"/>
      <c r="M1992" s="31">
        <f>IF(COUNT(J1992:L1992)=0,"",MEDIAN(J1992:L1992))</f>
        <v/>
      </c>
      <c r="N1992" s="26">
        <f>IF(COUNTIFS($C:$C,$C1992,$D:$D,$D1992,$E:$E,"P0(전)",$M:$M,"&gt;0")&lt;&gt;1,"P0(전) 유효 1개 아님",IF(COUNTIFS($C:$C,$C1992,$D:$D,$D1992,$E:$E,"P0(후)",$M:$M,"&gt;0")&lt;&gt;1,"P0(후) 유효 1개 아님",IF(NOT(AND(ISNUMBER(O1992),ISNUMBER(Q1992),ISNUMBER(I1992))),"시각 결측",IF(Q1992&lt;=O1992,"P0 시각 역전",IF(OR(I1992&lt;O1992,I1992&gt;Q1992),"측정시각 구간 밖","OK")))))</f>
        <v/>
      </c>
      <c r="O1992" s="48">
        <f>IF(COUNTIFS($C:$C,$C1992,$D:$D,$D1992,$E:$E,"P0(전)",$M:$M,"&gt;0")&lt;&gt;1,"",SUMIFS($I:$I,$C:$C,$C1992,$D:$D,$D1992,$E:$E,"P0(전)"))</f>
        <v/>
      </c>
      <c r="P1992" s="31">
        <f>IF(COUNTIFS($C:$C,$C1992,$D:$D,$D1992,$E:$E,"P0(전)",$M:$M,"&gt;0")&lt;&gt;1,"",SUMIFS($M:$M,$C:$C,$C1992,$D:$D,$D1992,$E:$E,"P0(전)"))</f>
        <v/>
      </c>
      <c r="Q1992" s="48">
        <f>IF(COUNTIFS($C:$C,$C1992,$D:$D,$D1992,$E:$E,"P0(후)",$M:$M,"&gt;0")&lt;&gt;1,"",SUMIFS($I:$I,$C:$C,$C1992,$D:$D,$D1992,$E:$E,"P0(후)"))</f>
        <v/>
      </c>
      <c r="R1992" s="31">
        <f>IF(COUNTIFS($C:$C,$C1992,$D:$D,$D1992,$E:$E,"P0(후)",$M:$M,"&gt;0")&lt;&gt;1,"",SUMIFS($M:$M,$C:$C,$C1992,$D:$D,$D1992,$E:$E,"P0(후)"))</f>
        <v/>
      </c>
      <c r="S1992" s="31">
        <f>IF(N1992&lt;&gt;"OK","",P1992+(R1992-P1992)*(I1992-O1992)/(Q1992-O1992))</f>
        <v/>
      </c>
      <c r="T1992" s="31">
        <f>IF(OR(N1992&lt;&gt;"OK",NOT(ISNUMBER(M1992))),"",M1992-S1992)</f>
        <v/>
      </c>
      <c r="U1992" s="49">
        <f>IF(OR(NOT(ISNUMBER(T1992)),IF(ISNUMBER(H1992),H1992,G1992)=0),"",T1992/IF(ISNUMBER(H1992),H1992,G1992))</f>
        <v/>
      </c>
      <c r="V1992" s="49">
        <f>IF(ISNUMBER(U1992),ABS(U1992),"")</f>
        <v/>
      </c>
      <c r="W1992" s="49">
        <f>IF(OR($E1991&lt;&gt;"측정",$C1991&lt;&gt;$C1992,$D1991&lt;&gt;$D1992,NOT(ISNUMBER(M1992)),NOT(ISNUMBER(M1991)),(IF(ISNUMBER(H1992),H1992,G1992)-IF(ISNUMBER(H1991),H1991,G1991))=0),"",(M1992-M1991)/(IF(ISNUMBER(H1992),H1992,G1992)-IF(ISNUMBER(H1991),H1991,G1991)))</f>
        <v/>
      </c>
      <c r="X1992" s="31">
        <f>IF(NOT(AND(ISNUMBER(O1992),ISNUMBER(Q1992))),"",(Q1992-O1992)*1440)</f>
        <v/>
      </c>
      <c r="Y1992" s="29" t="n"/>
      <c r="Z1992" s="29" t="n"/>
      <c r="AA1992" s="29" t="n"/>
      <c r="AB1992" s="32" t="n"/>
      <c r="AC1992" s="32" t="n"/>
    </row>
    <row r="1993">
      <c r="A1993" s="26" t="inlineStr">
        <is>
          <t>S39</t>
        </is>
      </c>
      <c r="B1993" s="26" t="inlineStr">
        <is>
          <t>언양</t>
        </is>
      </c>
      <c r="C1993" s="26" t="inlineStr">
        <is>
          <t>S39-H동</t>
        </is>
      </c>
      <c r="D1993" s="47" t="n">
        <v>1</v>
      </c>
      <c r="E1993" s="26" t="inlineStr">
        <is>
          <t>측정</t>
        </is>
      </c>
      <c r="F1993" s="26" t="inlineStr">
        <is>
          <t>동</t>
        </is>
      </c>
      <c r="G1993" s="31" t="n">
        <v>10</v>
      </c>
      <c r="H1993" s="30" t="n"/>
      <c r="I1993" s="43" t="n"/>
      <c r="J1993" s="41" t="n"/>
      <c r="K1993" s="41" t="n"/>
      <c r="L1993" s="41" t="n"/>
      <c r="M1993" s="31">
        <f>IF(COUNT(J1993:L1993)=0,"",MEDIAN(J1993:L1993))</f>
        <v/>
      </c>
      <c r="N1993" s="26">
        <f>IF(COUNTIFS($C:$C,$C1993,$D:$D,$D1993,$E:$E,"P0(전)",$M:$M,"&gt;0")&lt;&gt;1,"P0(전) 유효 1개 아님",IF(COUNTIFS($C:$C,$C1993,$D:$D,$D1993,$E:$E,"P0(후)",$M:$M,"&gt;0")&lt;&gt;1,"P0(후) 유효 1개 아님",IF(NOT(AND(ISNUMBER(O1993),ISNUMBER(Q1993),ISNUMBER(I1993))),"시각 결측",IF(Q1993&lt;=O1993,"P0 시각 역전",IF(OR(I1993&lt;O1993,I1993&gt;Q1993),"측정시각 구간 밖","OK")))))</f>
        <v/>
      </c>
      <c r="O1993" s="48">
        <f>IF(COUNTIFS($C:$C,$C1993,$D:$D,$D1993,$E:$E,"P0(전)",$M:$M,"&gt;0")&lt;&gt;1,"",SUMIFS($I:$I,$C:$C,$C1993,$D:$D,$D1993,$E:$E,"P0(전)"))</f>
        <v/>
      </c>
      <c r="P1993" s="31">
        <f>IF(COUNTIFS($C:$C,$C1993,$D:$D,$D1993,$E:$E,"P0(전)",$M:$M,"&gt;0")&lt;&gt;1,"",SUMIFS($M:$M,$C:$C,$C1993,$D:$D,$D1993,$E:$E,"P0(전)"))</f>
        <v/>
      </c>
      <c r="Q1993" s="48">
        <f>IF(COUNTIFS($C:$C,$C1993,$D:$D,$D1993,$E:$E,"P0(후)",$M:$M,"&gt;0")&lt;&gt;1,"",SUMIFS($I:$I,$C:$C,$C1993,$D:$D,$D1993,$E:$E,"P0(후)"))</f>
        <v/>
      </c>
      <c r="R1993" s="31">
        <f>IF(COUNTIFS($C:$C,$C1993,$D:$D,$D1993,$E:$E,"P0(후)",$M:$M,"&gt;0")&lt;&gt;1,"",SUMIFS($M:$M,$C:$C,$C1993,$D:$D,$D1993,$E:$E,"P0(후)"))</f>
        <v/>
      </c>
      <c r="S1993" s="31">
        <f>IF(N1993&lt;&gt;"OK","",P1993+(R1993-P1993)*(I1993-O1993)/(Q1993-O1993))</f>
        <v/>
      </c>
      <c r="T1993" s="31">
        <f>IF(OR(N1993&lt;&gt;"OK",NOT(ISNUMBER(M1993))),"",M1993-S1993)</f>
        <v/>
      </c>
      <c r="U1993" s="49">
        <f>IF(OR(NOT(ISNUMBER(T1993)),IF(ISNUMBER(H1993),H1993,G1993)=0),"",T1993/IF(ISNUMBER(H1993),H1993,G1993))</f>
        <v/>
      </c>
      <c r="V1993" s="49">
        <f>IF(ISNUMBER(U1993),ABS(U1993),"")</f>
        <v/>
      </c>
      <c r="W1993" s="49">
        <f>IF(OR($E1992&lt;&gt;"측정",$C1992&lt;&gt;$C1993,$D1992&lt;&gt;$D1993,NOT(ISNUMBER(M1993)),NOT(ISNUMBER(M1992)),(IF(ISNUMBER(H1993),H1993,G1993)-IF(ISNUMBER(H1992),H1992,G1992))=0),"",(M1993-M1992)/(IF(ISNUMBER(H1993),H1993,G1993)-IF(ISNUMBER(H1992),H1992,G1992)))</f>
        <v/>
      </c>
      <c r="X1993" s="31">
        <f>IF(NOT(AND(ISNUMBER(O1993),ISNUMBER(Q1993))),"",(Q1993-O1993)*1440)</f>
        <v/>
      </c>
      <c r="Y1993" s="29" t="n"/>
      <c r="Z1993" s="29" t="n"/>
      <c r="AA1993" s="29" t="n"/>
      <c r="AB1993" s="32" t="n"/>
      <c r="AC1993" s="32" t="n"/>
    </row>
    <row r="1994">
      <c r="A1994" s="44" t="inlineStr">
        <is>
          <t>S39</t>
        </is>
      </c>
      <c r="B1994" s="44" t="inlineStr">
        <is>
          <t>언양</t>
        </is>
      </c>
      <c r="C1994" s="44" t="inlineStr">
        <is>
          <t>S39-H동</t>
        </is>
      </c>
      <c r="D1994" s="45" t="n">
        <v>1</v>
      </c>
      <c r="E1994" s="44" t="inlineStr">
        <is>
          <t>P0(후)</t>
        </is>
      </c>
      <c r="F1994" s="44" t="inlineStr">
        <is>
          <t>동</t>
        </is>
      </c>
      <c r="G1994" s="46" t="n"/>
      <c r="H1994" s="30" t="n"/>
      <c r="I1994" s="43" t="n"/>
      <c r="J1994" s="41" t="n"/>
      <c r="K1994" s="41" t="n"/>
      <c r="L1994" s="41" t="n"/>
      <c r="M1994" s="31">
        <f>IF(COUNT(J1994:L1994)=0,"",MEDIAN(J1994:L1994))</f>
        <v/>
      </c>
      <c r="N1994" s="38" t="n"/>
      <c r="O1994" s="38" t="n"/>
      <c r="P1994" s="38" t="n"/>
      <c r="Q1994" s="38" t="n"/>
      <c r="R1994" s="38" t="n"/>
      <c r="S1994" s="38" t="n"/>
      <c r="T1994" s="38" t="n"/>
      <c r="U1994" s="38" t="n"/>
      <c r="V1994" s="38" t="n"/>
      <c r="W1994" s="38" t="n"/>
      <c r="X1994" s="38" t="n"/>
      <c r="Y1994" s="29" t="n"/>
      <c r="Z1994" s="29" t="n"/>
      <c r="AA1994" s="29" t="n"/>
      <c r="AB1994" s="32" t="n"/>
      <c r="AC1994" s="32" t="n"/>
    </row>
    <row r="1995">
      <c r="A1995" s="44" t="inlineStr">
        <is>
          <t>S39</t>
        </is>
      </c>
      <c r="B1995" s="44" t="inlineStr">
        <is>
          <t>언양</t>
        </is>
      </c>
      <c r="C1995" s="44" t="inlineStr">
        <is>
          <t>S39-H서</t>
        </is>
      </c>
      <c r="D1995" s="45" t="n">
        <v>1</v>
      </c>
      <c r="E1995" s="44" t="inlineStr">
        <is>
          <t>P0(전)</t>
        </is>
      </c>
      <c r="F1995" s="44" t="inlineStr">
        <is>
          <t>서</t>
        </is>
      </c>
      <c r="G1995" s="46" t="n"/>
      <c r="H1995" s="30" t="n"/>
      <c r="I1995" s="43" t="n"/>
      <c r="J1995" s="41" t="n"/>
      <c r="K1995" s="41" t="n"/>
      <c r="L1995" s="41" t="n"/>
      <c r="M1995" s="31">
        <f>IF(COUNT(J1995:L1995)=0,"",MEDIAN(J1995:L1995))</f>
        <v/>
      </c>
      <c r="N1995" s="38" t="n"/>
      <c r="O1995" s="38" t="n"/>
      <c r="P1995" s="38" t="n"/>
      <c r="Q1995" s="38" t="n"/>
      <c r="R1995" s="38" t="n"/>
      <c r="S1995" s="38" t="n"/>
      <c r="T1995" s="38" t="n"/>
      <c r="U1995" s="38" t="n"/>
      <c r="V1995" s="38" t="n"/>
      <c r="W1995" s="38" t="n"/>
      <c r="X1995" s="38" t="n"/>
      <c r="Y1995" s="29" t="n"/>
      <c r="Z1995" s="29" t="n"/>
      <c r="AA1995" s="29" t="n"/>
      <c r="AB1995" s="32" t="n"/>
      <c r="AC1995" s="32" t="n"/>
    </row>
    <row r="1996">
      <c r="A1996" s="26" t="inlineStr">
        <is>
          <t>S39</t>
        </is>
      </c>
      <c r="B1996" s="26" t="inlineStr">
        <is>
          <t>언양</t>
        </is>
      </c>
      <c r="C1996" s="26" t="inlineStr">
        <is>
          <t>S39-H서</t>
        </is>
      </c>
      <c r="D1996" s="47" t="n">
        <v>1</v>
      </c>
      <c r="E1996" s="26" t="inlineStr">
        <is>
          <t>측정</t>
        </is>
      </c>
      <c r="F1996" s="26" t="inlineStr">
        <is>
          <t>서</t>
        </is>
      </c>
      <c r="G1996" s="31" t="n">
        <v>0.5</v>
      </c>
      <c r="H1996" s="30" t="n"/>
      <c r="I1996" s="43" t="n"/>
      <c r="J1996" s="41" t="n"/>
      <c r="K1996" s="41" t="n"/>
      <c r="L1996" s="41" t="n"/>
      <c r="M1996" s="31">
        <f>IF(COUNT(J1996:L1996)=0,"",MEDIAN(J1996:L1996))</f>
        <v/>
      </c>
      <c r="N1996" s="26">
        <f>IF(COUNTIFS($C:$C,$C1996,$D:$D,$D1996,$E:$E,"P0(전)",$M:$M,"&gt;0")&lt;&gt;1,"P0(전) 유효 1개 아님",IF(COUNTIFS($C:$C,$C1996,$D:$D,$D1996,$E:$E,"P0(후)",$M:$M,"&gt;0")&lt;&gt;1,"P0(후) 유효 1개 아님",IF(NOT(AND(ISNUMBER(O1996),ISNUMBER(Q1996),ISNUMBER(I1996))),"시각 결측",IF(Q1996&lt;=O1996,"P0 시각 역전",IF(OR(I1996&lt;O1996,I1996&gt;Q1996),"측정시각 구간 밖","OK")))))</f>
        <v/>
      </c>
      <c r="O1996" s="48">
        <f>IF(COUNTIFS($C:$C,$C1996,$D:$D,$D1996,$E:$E,"P0(전)",$M:$M,"&gt;0")&lt;&gt;1,"",SUMIFS($I:$I,$C:$C,$C1996,$D:$D,$D1996,$E:$E,"P0(전)"))</f>
        <v/>
      </c>
      <c r="P1996" s="31">
        <f>IF(COUNTIFS($C:$C,$C1996,$D:$D,$D1996,$E:$E,"P0(전)",$M:$M,"&gt;0")&lt;&gt;1,"",SUMIFS($M:$M,$C:$C,$C1996,$D:$D,$D1996,$E:$E,"P0(전)"))</f>
        <v/>
      </c>
      <c r="Q1996" s="48">
        <f>IF(COUNTIFS($C:$C,$C1996,$D:$D,$D1996,$E:$E,"P0(후)",$M:$M,"&gt;0")&lt;&gt;1,"",SUMIFS($I:$I,$C:$C,$C1996,$D:$D,$D1996,$E:$E,"P0(후)"))</f>
        <v/>
      </c>
      <c r="R1996" s="31">
        <f>IF(COUNTIFS($C:$C,$C1996,$D:$D,$D1996,$E:$E,"P0(후)",$M:$M,"&gt;0")&lt;&gt;1,"",SUMIFS($M:$M,$C:$C,$C1996,$D:$D,$D1996,$E:$E,"P0(후)"))</f>
        <v/>
      </c>
      <c r="S1996" s="31">
        <f>IF(N1996&lt;&gt;"OK","",P1996+(R1996-P1996)*(I1996-O1996)/(Q1996-O1996))</f>
        <v/>
      </c>
      <c r="T1996" s="31">
        <f>IF(OR(N1996&lt;&gt;"OK",NOT(ISNUMBER(M1996))),"",M1996-S1996)</f>
        <v/>
      </c>
      <c r="U1996" s="49">
        <f>IF(OR(NOT(ISNUMBER(T1996)),IF(ISNUMBER(H1996),H1996,G1996)=0),"",T1996/IF(ISNUMBER(H1996),H1996,G1996))</f>
        <v/>
      </c>
      <c r="V1996" s="49">
        <f>IF(ISNUMBER(U1996),ABS(U1996),"")</f>
        <v/>
      </c>
      <c r="W1996" s="49">
        <f>IF(OR($E1995&lt;&gt;"측정",$C1995&lt;&gt;$C1996,$D1995&lt;&gt;$D1996,NOT(ISNUMBER(M1996)),NOT(ISNUMBER(M1995)),(IF(ISNUMBER(H1996),H1996,G1996)-IF(ISNUMBER(H1995),H1995,G1995))=0),"",(M1996-M1995)/(IF(ISNUMBER(H1996),H1996,G1996)-IF(ISNUMBER(H1995),H1995,G1995)))</f>
        <v/>
      </c>
      <c r="X1996" s="31">
        <f>IF(NOT(AND(ISNUMBER(O1996),ISNUMBER(Q1996))),"",(Q1996-O1996)*1440)</f>
        <v/>
      </c>
      <c r="Y1996" s="29" t="n"/>
      <c r="Z1996" s="29" t="n"/>
      <c r="AA1996" s="29" t="n"/>
      <c r="AB1996" s="32" t="n"/>
      <c r="AC1996" s="32" t="n"/>
    </row>
    <row r="1997">
      <c r="A1997" s="26" t="inlineStr">
        <is>
          <t>S39</t>
        </is>
      </c>
      <c r="B1997" s="26" t="inlineStr">
        <is>
          <t>언양</t>
        </is>
      </c>
      <c r="C1997" s="26" t="inlineStr">
        <is>
          <t>S39-H서</t>
        </is>
      </c>
      <c r="D1997" s="47" t="n">
        <v>1</v>
      </c>
      <c r="E1997" s="26" t="inlineStr">
        <is>
          <t>측정</t>
        </is>
      </c>
      <c r="F1997" s="26" t="inlineStr">
        <is>
          <t>서</t>
        </is>
      </c>
      <c r="G1997" s="31" t="n">
        <v>1</v>
      </c>
      <c r="H1997" s="30" t="n"/>
      <c r="I1997" s="43" t="n"/>
      <c r="J1997" s="41" t="n"/>
      <c r="K1997" s="41" t="n"/>
      <c r="L1997" s="41" t="n"/>
      <c r="M1997" s="31">
        <f>IF(COUNT(J1997:L1997)=0,"",MEDIAN(J1997:L1997))</f>
        <v/>
      </c>
      <c r="N1997" s="26">
        <f>IF(COUNTIFS($C:$C,$C1997,$D:$D,$D1997,$E:$E,"P0(전)",$M:$M,"&gt;0")&lt;&gt;1,"P0(전) 유효 1개 아님",IF(COUNTIFS($C:$C,$C1997,$D:$D,$D1997,$E:$E,"P0(후)",$M:$M,"&gt;0")&lt;&gt;1,"P0(후) 유효 1개 아님",IF(NOT(AND(ISNUMBER(O1997),ISNUMBER(Q1997),ISNUMBER(I1997))),"시각 결측",IF(Q1997&lt;=O1997,"P0 시각 역전",IF(OR(I1997&lt;O1997,I1997&gt;Q1997),"측정시각 구간 밖","OK")))))</f>
        <v/>
      </c>
      <c r="O1997" s="48">
        <f>IF(COUNTIFS($C:$C,$C1997,$D:$D,$D1997,$E:$E,"P0(전)",$M:$M,"&gt;0")&lt;&gt;1,"",SUMIFS($I:$I,$C:$C,$C1997,$D:$D,$D1997,$E:$E,"P0(전)"))</f>
        <v/>
      </c>
      <c r="P1997" s="31">
        <f>IF(COUNTIFS($C:$C,$C1997,$D:$D,$D1997,$E:$E,"P0(전)",$M:$M,"&gt;0")&lt;&gt;1,"",SUMIFS($M:$M,$C:$C,$C1997,$D:$D,$D1997,$E:$E,"P0(전)"))</f>
        <v/>
      </c>
      <c r="Q1997" s="48">
        <f>IF(COUNTIFS($C:$C,$C1997,$D:$D,$D1997,$E:$E,"P0(후)",$M:$M,"&gt;0")&lt;&gt;1,"",SUMIFS($I:$I,$C:$C,$C1997,$D:$D,$D1997,$E:$E,"P0(후)"))</f>
        <v/>
      </c>
      <c r="R1997" s="31">
        <f>IF(COUNTIFS($C:$C,$C1997,$D:$D,$D1997,$E:$E,"P0(후)",$M:$M,"&gt;0")&lt;&gt;1,"",SUMIFS($M:$M,$C:$C,$C1997,$D:$D,$D1997,$E:$E,"P0(후)"))</f>
        <v/>
      </c>
      <c r="S1997" s="31">
        <f>IF(N1997&lt;&gt;"OK","",P1997+(R1997-P1997)*(I1997-O1997)/(Q1997-O1997))</f>
        <v/>
      </c>
      <c r="T1997" s="31">
        <f>IF(OR(N1997&lt;&gt;"OK",NOT(ISNUMBER(M1997))),"",M1997-S1997)</f>
        <v/>
      </c>
      <c r="U1997" s="49">
        <f>IF(OR(NOT(ISNUMBER(T1997)),IF(ISNUMBER(H1997),H1997,G1997)=0),"",T1997/IF(ISNUMBER(H1997),H1997,G1997))</f>
        <v/>
      </c>
      <c r="V1997" s="49">
        <f>IF(ISNUMBER(U1997),ABS(U1997),"")</f>
        <v/>
      </c>
      <c r="W1997" s="49">
        <f>IF(OR($E1996&lt;&gt;"측정",$C1996&lt;&gt;$C1997,$D1996&lt;&gt;$D1997,NOT(ISNUMBER(M1997)),NOT(ISNUMBER(M1996)),(IF(ISNUMBER(H1997),H1997,G1997)-IF(ISNUMBER(H1996),H1996,G1996))=0),"",(M1997-M1996)/(IF(ISNUMBER(H1997),H1997,G1997)-IF(ISNUMBER(H1996),H1996,G1996)))</f>
        <v/>
      </c>
      <c r="X1997" s="31">
        <f>IF(NOT(AND(ISNUMBER(O1997),ISNUMBER(Q1997))),"",(Q1997-O1997)*1440)</f>
        <v/>
      </c>
      <c r="Y1997" s="29" t="n"/>
      <c r="Z1997" s="29" t="n"/>
      <c r="AA1997" s="29" t="n"/>
      <c r="AB1997" s="32" t="n"/>
      <c r="AC1997" s="32" t="n"/>
    </row>
    <row r="1998">
      <c r="A1998" s="26" t="inlineStr">
        <is>
          <t>S39</t>
        </is>
      </c>
      <c r="B1998" s="26" t="inlineStr">
        <is>
          <t>언양</t>
        </is>
      </c>
      <c r="C1998" s="26" t="inlineStr">
        <is>
          <t>S39-H서</t>
        </is>
      </c>
      <c r="D1998" s="47" t="n">
        <v>1</v>
      </c>
      <c r="E1998" s="26" t="inlineStr">
        <is>
          <t>측정</t>
        </is>
      </c>
      <c r="F1998" s="26" t="inlineStr">
        <is>
          <t>서</t>
        </is>
      </c>
      <c r="G1998" s="31" t="n">
        <v>2</v>
      </c>
      <c r="H1998" s="30" t="n"/>
      <c r="I1998" s="43" t="n"/>
      <c r="J1998" s="41" t="n"/>
      <c r="K1998" s="41" t="n"/>
      <c r="L1998" s="41" t="n"/>
      <c r="M1998" s="31">
        <f>IF(COUNT(J1998:L1998)=0,"",MEDIAN(J1998:L1998))</f>
        <v/>
      </c>
      <c r="N1998" s="26">
        <f>IF(COUNTIFS($C:$C,$C1998,$D:$D,$D1998,$E:$E,"P0(전)",$M:$M,"&gt;0")&lt;&gt;1,"P0(전) 유효 1개 아님",IF(COUNTIFS($C:$C,$C1998,$D:$D,$D1998,$E:$E,"P0(후)",$M:$M,"&gt;0")&lt;&gt;1,"P0(후) 유효 1개 아님",IF(NOT(AND(ISNUMBER(O1998),ISNUMBER(Q1998),ISNUMBER(I1998))),"시각 결측",IF(Q1998&lt;=O1998,"P0 시각 역전",IF(OR(I1998&lt;O1998,I1998&gt;Q1998),"측정시각 구간 밖","OK")))))</f>
        <v/>
      </c>
      <c r="O1998" s="48">
        <f>IF(COUNTIFS($C:$C,$C1998,$D:$D,$D1998,$E:$E,"P0(전)",$M:$M,"&gt;0")&lt;&gt;1,"",SUMIFS($I:$I,$C:$C,$C1998,$D:$D,$D1998,$E:$E,"P0(전)"))</f>
        <v/>
      </c>
      <c r="P1998" s="31">
        <f>IF(COUNTIFS($C:$C,$C1998,$D:$D,$D1998,$E:$E,"P0(전)",$M:$M,"&gt;0")&lt;&gt;1,"",SUMIFS($M:$M,$C:$C,$C1998,$D:$D,$D1998,$E:$E,"P0(전)"))</f>
        <v/>
      </c>
      <c r="Q1998" s="48">
        <f>IF(COUNTIFS($C:$C,$C1998,$D:$D,$D1998,$E:$E,"P0(후)",$M:$M,"&gt;0")&lt;&gt;1,"",SUMIFS($I:$I,$C:$C,$C1998,$D:$D,$D1998,$E:$E,"P0(후)"))</f>
        <v/>
      </c>
      <c r="R1998" s="31">
        <f>IF(COUNTIFS($C:$C,$C1998,$D:$D,$D1998,$E:$E,"P0(후)",$M:$M,"&gt;0")&lt;&gt;1,"",SUMIFS($M:$M,$C:$C,$C1998,$D:$D,$D1998,$E:$E,"P0(후)"))</f>
        <v/>
      </c>
      <c r="S1998" s="31">
        <f>IF(N1998&lt;&gt;"OK","",P1998+(R1998-P1998)*(I1998-O1998)/(Q1998-O1998))</f>
        <v/>
      </c>
      <c r="T1998" s="31">
        <f>IF(OR(N1998&lt;&gt;"OK",NOT(ISNUMBER(M1998))),"",M1998-S1998)</f>
        <v/>
      </c>
      <c r="U1998" s="49">
        <f>IF(OR(NOT(ISNUMBER(T1998)),IF(ISNUMBER(H1998),H1998,G1998)=0),"",T1998/IF(ISNUMBER(H1998),H1998,G1998))</f>
        <v/>
      </c>
      <c r="V1998" s="49">
        <f>IF(ISNUMBER(U1998),ABS(U1998),"")</f>
        <v/>
      </c>
      <c r="W1998" s="49">
        <f>IF(OR($E1997&lt;&gt;"측정",$C1997&lt;&gt;$C1998,$D1997&lt;&gt;$D1998,NOT(ISNUMBER(M1998)),NOT(ISNUMBER(M1997)),(IF(ISNUMBER(H1998),H1998,G1998)-IF(ISNUMBER(H1997),H1997,G1997))=0),"",(M1998-M1997)/(IF(ISNUMBER(H1998),H1998,G1998)-IF(ISNUMBER(H1997),H1997,G1997)))</f>
        <v/>
      </c>
      <c r="X1998" s="31">
        <f>IF(NOT(AND(ISNUMBER(O1998),ISNUMBER(Q1998))),"",(Q1998-O1998)*1440)</f>
        <v/>
      </c>
      <c r="Y1998" s="29" t="n"/>
      <c r="Z1998" s="29" t="n"/>
      <c r="AA1998" s="29" t="n"/>
      <c r="AB1998" s="32" t="n"/>
      <c r="AC1998" s="32" t="n"/>
    </row>
    <row r="1999">
      <c r="A1999" s="26" t="inlineStr">
        <is>
          <t>S39</t>
        </is>
      </c>
      <c r="B1999" s="26" t="inlineStr">
        <is>
          <t>언양</t>
        </is>
      </c>
      <c r="C1999" s="26" t="inlineStr">
        <is>
          <t>S39-H서</t>
        </is>
      </c>
      <c r="D1999" s="47" t="n">
        <v>1</v>
      </c>
      <c r="E1999" s="26" t="inlineStr">
        <is>
          <t>측정</t>
        </is>
      </c>
      <c r="F1999" s="26" t="inlineStr">
        <is>
          <t>서</t>
        </is>
      </c>
      <c r="G1999" s="31" t="n">
        <v>3</v>
      </c>
      <c r="H1999" s="30" t="n"/>
      <c r="I1999" s="43" t="n"/>
      <c r="J1999" s="41" t="n"/>
      <c r="K1999" s="41" t="n"/>
      <c r="L1999" s="41" t="n"/>
      <c r="M1999" s="31">
        <f>IF(COUNT(J1999:L1999)=0,"",MEDIAN(J1999:L1999))</f>
        <v/>
      </c>
      <c r="N1999" s="26">
        <f>IF(COUNTIFS($C:$C,$C1999,$D:$D,$D1999,$E:$E,"P0(전)",$M:$M,"&gt;0")&lt;&gt;1,"P0(전) 유효 1개 아님",IF(COUNTIFS($C:$C,$C1999,$D:$D,$D1999,$E:$E,"P0(후)",$M:$M,"&gt;0")&lt;&gt;1,"P0(후) 유효 1개 아님",IF(NOT(AND(ISNUMBER(O1999),ISNUMBER(Q1999),ISNUMBER(I1999))),"시각 결측",IF(Q1999&lt;=O1999,"P0 시각 역전",IF(OR(I1999&lt;O1999,I1999&gt;Q1999),"측정시각 구간 밖","OK")))))</f>
        <v/>
      </c>
      <c r="O1999" s="48">
        <f>IF(COUNTIFS($C:$C,$C1999,$D:$D,$D1999,$E:$E,"P0(전)",$M:$M,"&gt;0")&lt;&gt;1,"",SUMIFS($I:$I,$C:$C,$C1999,$D:$D,$D1999,$E:$E,"P0(전)"))</f>
        <v/>
      </c>
      <c r="P1999" s="31">
        <f>IF(COUNTIFS($C:$C,$C1999,$D:$D,$D1999,$E:$E,"P0(전)",$M:$M,"&gt;0")&lt;&gt;1,"",SUMIFS($M:$M,$C:$C,$C1999,$D:$D,$D1999,$E:$E,"P0(전)"))</f>
        <v/>
      </c>
      <c r="Q1999" s="48">
        <f>IF(COUNTIFS($C:$C,$C1999,$D:$D,$D1999,$E:$E,"P0(후)",$M:$M,"&gt;0")&lt;&gt;1,"",SUMIFS($I:$I,$C:$C,$C1999,$D:$D,$D1999,$E:$E,"P0(후)"))</f>
        <v/>
      </c>
      <c r="R1999" s="31">
        <f>IF(COUNTIFS($C:$C,$C1999,$D:$D,$D1999,$E:$E,"P0(후)",$M:$M,"&gt;0")&lt;&gt;1,"",SUMIFS($M:$M,$C:$C,$C1999,$D:$D,$D1999,$E:$E,"P0(후)"))</f>
        <v/>
      </c>
      <c r="S1999" s="31">
        <f>IF(N1999&lt;&gt;"OK","",P1999+(R1999-P1999)*(I1999-O1999)/(Q1999-O1999))</f>
        <v/>
      </c>
      <c r="T1999" s="31">
        <f>IF(OR(N1999&lt;&gt;"OK",NOT(ISNUMBER(M1999))),"",M1999-S1999)</f>
        <v/>
      </c>
      <c r="U1999" s="49">
        <f>IF(OR(NOT(ISNUMBER(T1999)),IF(ISNUMBER(H1999),H1999,G1999)=0),"",T1999/IF(ISNUMBER(H1999),H1999,G1999))</f>
        <v/>
      </c>
      <c r="V1999" s="49">
        <f>IF(ISNUMBER(U1999),ABS(U1999),"")</f>
        <v/>
      </c>
      <c r="W1999" s="49">
        <f>IF(OR($E1998&lt;&gt;"측정",$C1998&lt;&gt;$C1999,$D1998&lt;&gt;$D1999,NOT(ISNUMBER(M1999)),NOT(ISNUMBER(M1998)),(IF(ISNUMBER(H1999),H1999,G1999)-IF(ISNUMBER(H1998),H1998,G1998))=0),"",(M1999-M1998)/(IF(ISNUMBER(H1999),H1999,G1999)-IF(ISNUMBER(H1998),H1998,G1998)))</f>
        <v/>
      </c>
      <c r="X1999" s="31">
        <f>IF(NOT(AND(ISNUMBER(O1999),ISNUMBER(Q1999))),"",(Q1999-O1999)*1440)</f>
        <v/>
      </c>
      <c r="Y1999" s="29" t="n"/>
      <c r="Z1999" s="29" t="n"/>
      <c r="AA1999" s="29" t="n"/>
      <c r="AB1999" s="32" t="n"/>
      <c r="AC1999" s="32" t="n"/>
    </row>
    <row r="2000">
      <c r="A2000" s="26" t="inlineStr">
        <is>
          <t>S39</t>
        </is>
      </c>
      <c r="B2000" s="26" t="inlineStr">
        <is>
          <t>언양</t>
        </is>
      </c>
      <c r="C2000" s="26" t="inlineStr">
        <is>
          <t>S39-H서</t>
        </is>
      </c>
      <c r="D2000" s="47" t="n">
        <v>1</v>
      </c>
      <c r="E2000" s="26" t="inlineStr">
        <is>
          <t>측정</t>
        </is>
      </c>
      <c r="F2000" s="26" t="inlineStr">
        <is>
          <t>서</t>
        </is>
      </c>
      <c r="G2000" s="31" t="n">
        <v>4</v>
      </c>
      <c r="H2000" s="30" t="n"/>
      <c r="I2000" s="43" t="n"/>
      <c r="J2000" s="41" t="n"/>
      <c r="K2000" s="41" t="n"/>
      <c r="L2000" s="41" t="n"/>
      <c r="M2000" s="31">
        <f>IF(COUNT(J2000:L2000)=0,"",MEDIAN(J2000:L2000))</f>
        <v/>
      </c>
      <c r="N2000" s="26">
        <f>IF(COUNTIFS($C:$C,$C2000,$D:$D,$D2000,$E:$E,"P0(전)",$M:$M,"&gt;0")&lt;&gt;1,"P0(전) 유효 1개 아님",IF(COUNTIFS($C:$C,$C2000,$D:$D,$D2000,$E:$E,"P0(후)",$M:$M,"&gt;0")&lt;&gt;1,"P0(후) 유효 1개 아님",IF(NOT(AND(ISNUMBER(O2000),ISNUMBER(Q2000),ISNUMBER(I2000))),"시각 결측",IF(Q2000&lt;=O2000,"P0 시각 역전",IF(OR(I2000&lt;O2000,I2000&gt;Q2000),"측정시각 구간 밖","OK")))))</f>
        <v/>
      </c>
      <c r="O2000" s="48">
        <f>IF(COUNTIFS($C:$C,$C2000,$D:$D,$D2000,$E:$E,"P0(전)",$M:$M,"&gt;0")&lt;&gt;1,"",SUMIFS($I:$I,$C:$C,$C2000,$D:$D,$D2000,$E:$E,"P0(전)"))</f>
        <v/>
      </c>
      <c r="P2000" s="31">
        <f>IF(COUNTIFS($C:$C,$C2000,$D:$D,$D2000,$E:$E,"P0(전)",$M:$M,"&gt;0")&lt;&gt;1,"",SUMIFS($M:$M,$C:$C,$C2000,$D:$D,$D2000,$E:$E,"P0(전)"))</f>
        <v/>
      </c>
      <c r="Q2000" s="48">
        <f>IF(COUNTIFS($C:$C,$C2000,$D:$D,$D2000,$E:$E,"P0(후)",$M:$M,"&gt;0")&lt;&gt;1,"",SUMIFS($I:$I,$C:$C,$C2000,$D:$D,$D2000,$E:$E,"P0(후)"))</f>
        <v/>
      </c>
      <c r="R2000" s="31">
        <f>IF(COUNTIFS($C:$C,$C2000,$D:$D,$D2000,$E:$E,"P0(후)",$M:$M,"&gt;0")&lt;&gt;1,"",SUMIFS($M:$M,$C:$C,$C2000,$D:$D,$D2000,$E:$E,"P0(후)"))</f>
        <v/>
      </c>
      <c r="S2000" s="31">
        <f>IF(N2000&lt;&gt;"OK","",P2000+(R2000-P2000)*(I2000-O2000)/(Q2000-O2000))</f>
        <v/>
      </c>
      <c r="T2000" s="31">
        <f>IF(OR(N2000&lt;&gt;"OK",NOT(ISNUMBER(M2000))),"",M2000-S2000)</f>
        <v/>
      </c>
      <c r="U2000" s="49">
        <f>IF(OR(NOT(ISNUMBER(T2000)),IF(ISNUMBER(H2000),H2000,G2000)=0),"",T2000/IF(ISNUMBER(H2000),H2000,G2000))</f>
        <v/>
      </c>
      <c r="V2000" s="49">
        <f>IF(ISNUMBER(U2000),ABS(U2000),"")</f>
        <v/>
      </c>
      <c r="W2000" s="49">
        <f>IF(OR($E1999&lt;&gt;"측정",$C1999&lt;&gt;$C2000,$D1999&lt;&gt;$D2000,NOT(ISNUMBER(M2000)),NOT(ISNUMBER(M1999)),(IF(ISNUMBER(H2000),H2000,G2000)-IF(ISNUMBER(H1999),H1999,G1999))=0),"",(M2000-M1999)/(IF(ISNUMBER(H2000),H2000,G2000)-IF(ISNUMBER(H1999),H1999,G1999)))</f>
        <v/>
      </c>
      <c r="X2000" s="31">
        <f>IF(NOT(AND(ISNUMBER(O2000),ISNUMBER(Q2000))),"",(Q2000-O2000)*1440)</f>
        <v/>
      </c>
      <c r="Y2000" s="29" t="n"/>
      <c r="Z2000" s="29" t="n"/>
      <c r="AA2000" s="29" t="n"/>
      <c r="AB2000" s="32" t="n"/>
      <c r="AC2000" s="32" t="n"/>
    </row>
    <row r="2001">
      <c r="A2001" s="26" t="inlineStr">
        <is>
          <t>S39</t>
        </is>
      </c>
      <c r="B2001" s="26" t="inlineStr">
        <is>
          <t>언양</t>
        </is>
      </c>
      <c r="C2001" s="26" t="inlineStr">
        <is>
          <t>S39-H서</t>
        </is>
      </c>
      <c r="D2001" s="47" t="n">
        <v>1</v>
      </c>
      <c r="E2001" s="26" t="inlineStr">
        <is>
          <t>측정</t>
        </is>
      </c>
      <c r="F2001" s="26" t="inlineStr">
        <is>
          <t>서</t>
        </is>
      </c>
      <c r="G2001" s="31" t="n">
        <v>5</v>
      </c>
      <c r="H2001" s="30" t="n"/>
      <c r="I2001" s="43" t="n"/>
      <c r="J2001" s="41" t="n"/>
      <c r="K2001" s="41" t="n"/>
      <c r="L2001" s="41" t="n"/>
      <c r="M2001" s="31">
        <f>IF(COUNT(J2001:L2001)=0,"",MEDIAN(J2001:L2001))</f>
        <v/>
      </c>
      <c r="N2001" s="26">
        <f>IF(COUNTIFS($C:$C,$C2001,$D:$D,$D2001,$E:$E,"P0(전)",$M:$M,"&gt;0")&lt;&gt;1,"P0(전) 유효 1개 아님",IF(COUNTIFS($C:$C,$C2001,$D:$D,$D2001,$E:$E,"P0(후)",$M:$M,"&gt;0")&lt;&gt;1,"P0(후) 유효 1개 아님",IF(NOT(AND(ISNUMBER(O2001),ISNUMBER(Q2001),ISNUMBER(I2001))),"시각 결측",IF(Q2001&lt;=O2001,"P0 시각 역전",IF(OR(I2001&lt;O2001,I2001&gt;Q2001),"측정시각 구간 밖","OK")))))</f>
        <v/>
      </c>
      <c r="O2001" s="48">
        <f>IF(COUNTIFS($C:$C,$C2001,$D:$D,$D2001,$E:$E,"P0(전)",$M:$M,"&gt;0")&lt;&gt;1,"",SUMIFS($I:$I,$C:$C,$C2001,$D:$D,$D2001,$E:$E,"P0(전)"))</f>
        <v/>
      </c>
      <c r="P2001" s="31">
        <f>IF(COUNTIFS($C:$C,$C2001,$D:$D,$D2001,$E:$E,"P0(전)",$M:$M,"&gt;0")&lt;&gt;1,"",SUMIFS($M:$M,$C:$C,$C2001,$D:$D,$D2001,$E:$E,"P0(전)"))</f>
        <v/>
      </c>
      <c r="Q2001" s="48">
        <f>IF(COUNTIFS($C:$C,$C2001,$D:$D,$D2001,$E:$E,"P0(후)",$M:$M,"&gt;0")&lt;&gt;1,"",SUMIFS($I:$I,$C:$C,$C2001,$D:$D,$D2001,$E:$E,"P0(후)"))</f>
        <v/>
      </c>
      <c r="R2001" s="31">
        <f>IF(COUNTIFS($C:$C,$C2001,$D:$D,$D2001,$E:$E,"P0(후)",$M:$M,"&gt;0")&lt;&gt;1,"",SUMIFS($M:$M,$C:$C,$C2001,$D:$D,$D2001,$E:$E,"P0(후)"))</f>
        <v/>
      </c>
      <c r="S2001" s="31">
        <f>IF(N2001&lt;&gt;"OK","",P2001+(R2001-P2001)*(I2001-O2001)/(Q2001-O2001))</f>
        <v/>
      </c>
      <c r="T2001" s="31">
        <f>IF(OR(N2001&lt;&gt;"OK",NOT(ISNUMBER(M2001))),"",M2001-S2001)</f>
        <v/>
      </c>
      <c r="U2001" s="49">
        <f>IF(OR(NOT(ISNUMBER(T2001)),IF(ISNUMBER(H2001),H2001,G2001)=0),"",T2001/IF(ISNUMBER(H2001),H2001,G2001))</f>
        <v/>
      </c>
      <c r="V2001" s="49">
        <f>IF(ISNUMBER(U2001),ABS(U2001),"")</f>
        <v/>
      </c>
      <c r="W2001" s="49">
        <f>IF(OR($E2000&lt;&gt;"측정",$C2000&lt;&gt;$C2001,$D2000&lt;&gt;$D2001,NOT(ISNUMBER(M2001)),NOT(ISNUMBER(M2000)),(IF(ISNUMBER(H2001),H2001,G2001)-IF(ISNUMBER(H2000),H2000,G2000))=0),"",(M2001-M2000)/(IF(ISNUMBER(H2001),H2001,G2001)-IF(ISNUMBER(H2000),H2000,G2000)))</f>
        <v/>
      </c>
      <c r="X2001" s="31">
        <f>IF(NOT(AND(ISNUMBER(O2001),ISNUMBER(Q2001))),"",(Q2001-O2001)*1440)</f>
        <v/>
      </c>
      <c r="Y2001" s="29" t="n"/>
      <c r="Z2001" s="29" t="n"/>
      <c r="AA2001" s="29" t="n"/>
      <c r="AB2001" s="32" t="n"/>
      <c r="AC2001" s="32" t="n"/>
    </row>
    <row r="2002">
      <c r="A2002" s="26" t="inlineStr">
        <is>
          <t>S39</t>
        </is>
      </c>
      <c r="B2002" s="26" t="inlineStr">
        <is>
          <t>언양</t>
        </is>
      </c>
      <c r="C2002" s="26" t="inlineStr">
        <is>
          <t>S39-H서</t>
        </is>
      </c>
      <c r="D2002" s="47" t="n">
        <v>1</v>
      </c>
      <c r="E2002" s="26" t="inlineStr">
        <is>
          <t>측정</t>
        </is>
      </c>
      <c r="F2002" s="26" t="inlineStr">
        <is>
          <t>서</t>
        </is>
      </c>
      <c r="G2002" s="31" t="n">
        <v>6</v>
      </c>
      <c r="H2002" s="30" t="n"/>
      <c r="I2002" s="43" t="n"/>
      <c r="J2002" s="41" t="n"/>
      <c r="K2002" s="41" t="n"/>
      <c r="L2002" s="41" t="n"/>
      <c r="M2002" s="31">
        <f>IF(COUNT(J2002:L2002)=0,"",MEDIAN(J2002:L2002))</f>
        <v/>
      </c>
      <c r="N2002" s="26">
        <f>IF(COUNTIFS($C:$C,$C2002,$D:$D,$D2002,$E:$E,"P0(전)",$M:$M,"&gt;0")&lt;&gt;1,"P0(전) 유효 1개 아님",IF(COUNTIFS($C:$C,$C2002,$D:$D,$D2002,$E:$E,"P0(후)",$M:$M,"&gt;0")&lt;&gt;1,"P0(후) 유효 1개 아님",IF(NOT(AND(ISNUMBER(O2002),ISNUMBER(Q2002),ISNUMBER(I2002))),"시각 결측",IF(Q2002&lt;=O2002,"P0 시각 역전",IF(OR(I2002&lt;O2002,I2002&gt;Q2002),"측정시각 구간 밖","OK")))))</f>
        <v/>
      </c>
      <c r="O2002" s="48">
        <f>IF(COUNTIFS($C:$C,$C2002,$D:$D,$D2002,$E:$E,"P0(전)",$M:$M,"&gt;0")&lt;&gt;1,"",SUMIFS($I:$I,$C:$C,$C2002,$D:$D,$D2002,$E:$E,"P0(전)"))</f>
        <v/>
      </c>
      <c r="P2002" s="31">
        <f>IF(COUNTIFS($C:$C,$C2002,$D:$D,$D2002,$E:$E,"P0(전)",$M:$M,"&gt;0")&lt;&gt;1,"",SUMIFS($M:$M,$C:$C,$C2002,$D:$D,$D2002,$E:$E,"P0(전)"))</f>
        <v/>
      </c>
      <c r="Q2002" s="48">
        <f>IF(COUNTIFS($C:$C,$C2002,$D:$D,$D2002,$E:$E,"P0(후)",$M:$M,"&gt;0")&lt;&gt;1,"",SUMIFS($I:$I,$C:$C,$C2002,$D:$D,$D2002,$E:$E,"P0(후)"))</f>
        <v/>
      </c>
      <c r="R2002" s="31">
        <f>IF(COUNTIFS($C:$C,$C2002,$D:$D,$D2002,$E:$E,"P0(후)",$M:$M,"&gt;0")&lt;&gt;1,"",SUMIFS($M:$M,$C:$C,$C2002,$D:$D,$D2002,$E:$E,"P0(후)"))</f>
        <v/>
      </c>
      <c r="S2002" s="31">
        <f>IF(N2002&lt;&gt;"OK","",P2002+(R2002-P2002)*(I2002-O2002)/(Q2002-O2002))</f>
        <v/>
      </c>
      <c r="T2002" s="31">
        <f>IF(OR(N2002&lt;&gt;"OK",NOT(ISNUMBER(M2002))),"",M2002-S2002)</f>
        <v/>
      </c>
      <c r="U2002" s="49">
        <f>IF(OR(NOT(ISNUMBER(T2002)),IF(ISNUMBER(H2002),H2002,G2002)=0),"",T2002/IF(ISNUMBER(H2002),H2002,G2002))</f>
        <v/>
      </c>
      <c r="V2002" s="49">
        <f>IF(ISNUMBER(U2002),ABS(U2002),"")</f>
        <v/>
      </c>
      <c r="W2002" s="49">
        <f>IF(OR($E2001&lt;&gt;"측정",$C2001&lt;&gt;$C2002,$D2001&lt;&gt;$D2002,NOT(ISNUMBER(M2002)),NOT(ISNUMBER(M2001)),(IF(ISNUMBER(H2002),H2002,G2002)-IF(ISNUMBER(H2001),H2001,G2001))=0),"",(M2002-M2001)/(IF(ISNUMBER(H2002),H2002,G2002)-IF(ISNUMBER(H2001),H2001,G2001)))</f>
        <v/>
      </c>
      <c r="X2002" s="31">
        <f>IF(NOT(AND(ISNUMBER(O2002),ISNUMBER(Q2002))),"",(Q2002-O2002)*1440)</f>
        <v/>
      </c>
      <c r="Y2002" s="29" t="n"/>
      <c r="Z2002" s="29" t="n"/>
      <c r="AA2002" s="29" t="n"/>
      <c r="AB2002" s="32" t="n"/>
      <c r="AC2002" s="32" t="n"/>
    </row>
    <row r="2003">
      <c r="A2003" s="26" t="inlineStr">
        <is>
          <t>S39</t>
        </is>
      </c>
      <c r="B2003" s="26" t="inlineStr">
        <is>
          <t>언양</t>
        </is>
      </c>
      <c r="C2003" s="26" t="inlineStr">
        <is>
          <t>S39-H서</t>
        </is>
      </c>
      <c r="D2003" s="47" t="n">
        <v>1</v>
      </c>
      <c r="E2003" s="26" t="inlineStr">
        <is>
          <t>측정</t>
        </is>
      </c>
      <c r="F2003" s="26" t="inlineStr">
        <is>
          <t>서</t>
        </is>
      </c>
      <c r="G2003" s="31" t="n">
        <v>7</v>
      </c>
      <c r="H2003" s="30" t="n"/>
      <c r="I2003" s="43" t="n"/>
      <c r="J2003" s="41" t="n"/>
      <c r="K2003" s="41" t="n"/>
      <c r="L2003" s="41" t="n"/>
      <c r="M2003" s="31">
        <f>IF(COUNT(J2003:L2003)=0,"",MEDIAN(J2003:L2003))</f>
        <v/>
      </c>
      <c r="N2003" s="26">
        <f>IF(COUNTIFS($C:$C,$C2003,$D:$D,$D2003,$E:$E,"P0(전)",$M:$M,"&gt;0")&lt;&gt;1,"P0(전) 유효 1개 아님",IF(COUNTIFS($C:$C,$C2003,$D:$D,$D2003,$E:$E,"P0(후)",$M:$M,"&gt;0")&lt;&gt;1,"P0(후) 유효 1개 아님",IF(NOT(AND(ISNUMBER(O2003),ISNUMBER(Q2003),ISNUMBER(I2003))),"시각 결측",IF(Q2003&lt;=O2003,"P0 시각 역전",IF(OR(I2003&lt;O2003,I2003&gt;Q2003),"측정시각 구간 밖","OK")))))</f>
        <v/>
      </c>
      <c r="O2003" s="48">
        <f>IF(COUNTIFS($C:$C,$C2003,$D:$D,$D2003,$E:$E,"P0(전)",$M:$M,"&gt;0")&lt;&gt;1,"",SUMIFS($I:$I,$C:$C,$C2003,$D:$D,$D2003,$E:$E,"P0(전)"))</f>
        <v/>
      </c>
      <c r="P2003" s="31">
        <f>IF(COUNTIFS($C:$C,$C2003,$D:$D,$D2003,$E:$E,"P0(전)",$M:$M,"&gt;0")&lt;&gt;1,"",SUMIFS($M:$M,$C:$C,$C2003,$D:$D,$D2003,$E:$E,"P0(전)"))</f>
        <v/>
      </c>
      <c r="Q2003" s="48">
        <f>IF(COUNTIFS($C:$C,$C2003,$D:$D,$D2003,$E:$E,"P0(후)",$M:$M,"&gt;0")&lt;&gt;1,"",SUMIFS($I:$I,$C:$C,$C2003,$D:$D,$D2003,$E:$E,"P0(후)"))</f>
        <v/>
      </c>
      <c r="R2003" s="31">
        <f>IF(COUNTIFS($C:$C,$C2003,$D:$D,$D2003,$E:$E,"P0(후)",$M:$M,"&gt;0")&lt;&gt;1,"",SUMIFS($M:$M,$C:$C,$C2003,$D:$D,$D2003,$E:$E,"P0(후)"))</f>
        <v/>
      </c>
      <c r="S2003" s="31">
        <f>IF(N2003&lt;&gt;"OK","",P2003+(R2003-P2003)*(I2003-O2003)/(Q2003-O2003))</f>
        <v/>
      </c>
      <c r="T2003" s="31">
        <f>IF(OR(N2003&lt;&gt;"OK",NOT(ISNUMBER(M2003))),"",M2003-S2003)</f>
        <v/>
      </c>
      <c r="U2003" s="49">
        <f>IF(OR(NOT(ISNUMBER(T2003)),IF(ISNUMBER(H2003),H2003,G2003)=0),"",T2003/IF(ISNUMBER(H2003),H2003,G2003))</f>
        <v/>
      </c>
      <c r="V2003" s="49">
        <f>IF(ISNUMBER(U2003),ABS(U2003),"")</f>
        <v/>
      </c>
      <c r="W2003" s="49">
        <f>IF(OR($E2002&lt;&gt;"측정",$C2002&lt;&gt;$C2003,$D2002&lt;&gt;$D2003,NOT(ISNUMBER(M2003)),NOT(ISNUMBER(M2002)),(IF(ISNUMBER(H2003),H2003,G2003)-IF(ISNUMBER(H2002),H2002,G2002))=0),"",(M2003-M2002)/(IF(ISNUMBER(H2003),H2003,G2003)-IF(ISNUMBER(H2002),H2002,G2002)))</f>
        <v/>
      </c>
      <c r="X2003" s="31">
        <f>IF(NOT(AND(ISNUMBER(O2003),ISNUMBER(Q2003))),"",(Q2003-O2003)*1440)</f>
        <v/>
      </c>
      <c r="Y2003" s="29" t="n"/>
      <c r="Z2003" s="29" t="n"/>
      <c r="AA2003" s="29" t="n"/>
      <c r="AB2003" s="32" t="n"/>
      <c r="AC2003" s="32" t="n"/>
    </row>
    <row r="2004">
      <c r="A2004" s="26" t="inlineStr">
        <is>
          <t>S39</t>
        </is>
      </c>
      <c r="B2004" s="26" t="inlineStr">
        <is>
          <t>언양</t>
        </is>
      </c>
      <c r="C2004" s="26" t="inlineStr">
        <is>
          <t>S39-H서</t>
        </is>
      </c>
      <c r="D2004" s="47" t="n">
        <v>1</v>
      </c>
      <c r="E2004" s="26" t="inlineStr">
        <is>
          <t>측정</t>
        </is>
      </c>
      <c r="F2004" s="26" t="inlineStr">
        <is>
          <t>서</t>
        </is>
      </c>
      <c r="G2004" s="31" t="n">
        <v>8</v>
      </c>
      <c r="H2004" s="30" t="n"/>
      <c r="I2004" s="43" t="n"/>
      <c r="J2004" s="41" t="n"/>
      <c r="K2004" s="41" t="n"/>
      <c r="L2004" s="41" t="n"/>
      <c r="M2004" s="31">
        <f>IF(COUNT(J2004:L2004)=0,"",MEDIAN(J2004:L2004))</f>
        <v/>
      </c>
      <c r="N2004" s="26">
        <f>IF(COUNTIFS($C:$C,$C2004,$D:$D,$D2004,$E:$E,"P0(전)",$M:$M,"&gt;0")&lt;&gt;1,"P0(전) 유효 1개 아님",IF(COUNTIFS($C:$C,$C2004,$D:$D,$D2004,$E:$E,"P0(후)",$M:$M,"&gt;0")&lt;&gt;1,"P0(후) 유효 1개 아님",IF(NOT(AND(ISNUMBER(O2004),ISNUMBER(Q2004),ISNUMBER(I2004))),"시각 결측",IF(Q2004&lt;=O2004,"P0 시각 역전",IF(OR(I2004&lt;O2004,I2004&gt;Q2004),"측정시각 구간 밖","OK")))))</f>
        <v/>
      </c>
      <c r="O2004" s="48">
        <f>IF(COUNTIFS($C:$C,$C2004,$D:$D,$D2004,$E:$E,"P0(전)",$M:$M,"&gt;0")&lt;&gt;1,"",SUMIFS($I:$I,$C:$C,$C2004,$D:$D,$D2004,$E:$E,"P0(전)"))</f>
        <v/>
      </c>
      <c r="P2004" s="31">
        <f>IF(COUNTIFS($C:$C,$C2004,$D:$D,$D2004,$E:$E,"P0(전)",$M:$M,"&gt;0")&lt;&gt;1,"",SUMIFS($M:$M,$C:$C,$C2004,$D:$D,$D2004,$E:$E,"P0(전)"))</f>
        <v/>
      </c>
      <c r="Q2004" s="48">
        <f>IF(COUNTIFS($C:$C,$C2004,$D:$D,$D2004,$E:$E,"P0(후)",$M:$M,"&gt;0")&lt;&gt;1,"",SUMIFS($I:$I,$C:$C,$C2004,$D:$D,$D2004,$E:$E,"P0(후)"))</f>
        <v/>
      </c>
      <c r="R2004" s="31">
        <f>IF(COUNTIFS($C:$C,$C2004,$D:$D,$D2004,$E:$E,"P0(후)",$M:$M,"&gt;0")&lt;&gt;1,"",SUMIFS($M:$M,$C:$C,$C2004,$D:$D,$D2004,$E:$E,"P0(후)"))</f>
        <v/>
      </c>
      <c r="S2004" s="31">
        <f>IF(N2004&lt;&gt;"OK","",P2004+(R2004-P2004)*(I2004-O2004)/(Q2004-O2004))</f>
        <v/>
      </c>
      <c r="T2004" s="31">
        <f>IF(OR(N2004&lt;&gt;"OK",NOT(ISNUMBER(M2004))),"",M2004-S2004)</f>
        <v/>
      </c>
      <c r="U2004" s="49">
        <f>IF(OR(NOT(ISNUMBER(T2004)),IF(ISNUMBER(H2004),H2004,G2004)=0),"",T2004/IF(ISNUMBER(H2004),H2004,G2004))</f>
        <v/>
      </c>
      <c r="V2004" s="49">
        <f>IF(ISNUMBER(U2004),ABS(U2004),"")</f>
        <v/>
      </c>
      <c r="W2004" s="49">
        <f>IF(OR($E2003&lt;&gt;"측정",$C2003&lt;&gt;$C2004,$D2003&lt;&gt;$D2004,NOT(ISNUMBER(M2004)),NOT(ISNUMBER(M2003)),(IF(ISNUMBER(H2004),H2004,G2004)-IF(ISNUMBER(H2003),H2003,G2003))=0),"",(M2004-M2003)/(IF(ISNUMBER(H2004),H2004,G2004)-IF(ISNUMBER(H2003),H2003,G2003)))</f>
        <v/>
      </c>
      <c r="X2004" s="31">
        <f>IF(NOT(AND(ISNUMBER(O2004),ISNUMBER(Q2004))),"",(Q2004-O2004)*1440)</f>
        <v/>
      </c>
      <c r="Y2004" s="29" t="n"/>
      <c r="Z2004" s="29" t="n"/>
      <c r="AA2004" s="29" t="n"/>
      <c r="AB2004" s="32" t="n"/>
      <c r="AC2004" s="32" t="n"/>
    </row>
    <row r="2005">
      <c r="A2005" s="26" t="inlineStr">
        <is>
          <t>S39</t>
        </is>
      </c>
      <c r="B2005" s="26" t="inlineStr">
        <is>
          <t>언양</t>
        </is>
      </c>
      <c r="C2005" s="26" t="inlineStr">
        <is>
          <t>S39-H서</t>
        </is>
      </c>
      <c r="D2005" s="47" t="n">
        <v>1</v>
      </c>
      <c r="E2005" s="26" t="inlineStr">
        <is>
          <t>측정</t>
        </is>
      </c>
      <c r="F2005" s="26" t="inlineStr">
        <is>
          <t>서</t>
        </is>
      </c>
      <c r="G2005" s="31" t="n">
        <v>9</v>
      </c>
      <c r="H2005" s="30" t="n"/>
      <c r="I2005" s="43" t="n"/>
      <c r="J2005" s="41" t="n"/>
      <c r="K2005" s="41" t="n"/>
      <c r="L2005" s="41" t="n"/>
      <c r="M2005" s="31">
        <f>IF(COUNT(J2005:L2005)=0,"",MEDIAN(J2005:L2005))</f>
        <v/>
      </c>
      <c r="N2005" s="26">
        <f>IF(COUNTIFS($C:$C,$C2005,$D:$D,$D2005,$E:$E,"P0(전)",$M:$M,"&gt;0")&lt;&gt;1,"P0(전) 유효 1개 아님",IF(COUNTIFS($C:$C,$C2005,$D:$D,$D2005,$E:$E,"P0(후)",$M:$M,"&gt;0")&lt;&gt;1,"P0(후) 유효 1개 아님",IF(NOT(AND(ISNUMBER(O2005),ISNUMBER(Q2005),ISNUMBER(I2005))),"시각 결측",IF(Q2005&lt;=O2005,"P0 시각 역전",IF(OR(I2005&lt;O2005,I2005&gt;Q2005),"측정시각 구간 밖","OK")))))</f>
        <v/>
      </c>
      <c r="O2005" s="48">
        <f>IF(COUNTIFS($C:$C,$C2005,$D:$D,$D2005,$E:$E,"P0(전)",$M:$M,"&gt;0")&lt;&gt;1,"",SUMIFS($I:$I,$C:$C,$C2005,$D:$D,$D2005,$E:$E,"P0(전)"))</f>
        <v/>
      </c>
      <c r="P2005" s="31">
        <f>IF(COUNTIFS($C:$C,$C2005,$D:$D,$D2005,$E:$E,"P0(전)",$M:$M,"&gt;0")&lt;&gt;1,"",SUMIFS($M:$M,$C:$C,$C2005,$D:$D,$D2005,$E:$E,"P0(전)"))</f>
        <v/>
      </c>
      <c r="Q2005" s="48">
        <f>IF(COUNTIFS($C:$C,$C2005,$D:$D,$D2005,$E:$E,"P0(후)",$M:$M,"&gt;0")&lt;&gt;1,"",SUMIFS($I:$I,$C:$C,$C2005,$D:$D,$D2005,$E:$E,"P0(후)"))</f>
        <v/>
      </c>
      <c r="R2005" s="31">
        <f>IF(COUNTIFS($C:$C,$C2005,$D:$D,$D2005,$E:$E,"P0(후)",$M:$M,"&gt;0")&lt;&gt;1,"",SUMIFS($M:$M,$C:$C,$C2005,$D:$D,$D2005,$E:$E,"P0(후)"))</f>
        <v/>
      </c>
      <c r="S2005" s="31">
        <f>IF(N2005&lt;&gt;"OK","",P2005+(R2005-P2005)*(I2005-O2005)/(Q2005-O2005))</f>
        <v/>
      </c>
      <c r="T2005" s="31">
        <f>IF(OR(N2005&lt;&gt;"OK",NOT(ISNUMBER(M2005))),"",M2005-S2005)</f>
        <v/>
      </c>
      <c r="U2005" s="49">
        <f>IF(OR(NOT(ISNUMBER(T2005)),IF(ISNUMBER(H2005),H2005,G2005)=0),"",T2005/IF(ISNUMBER(H2005),H2005,G2005))</f>
        <v/>
      </c>
      <c r="V2005" s="49">
        <f>IF(ISNUMBER(U2005),ABS(U2005),"")</f>
        <v/>
      </c>
      <c r="W2005" s="49">
        <f>IF(OR($E2004&lt;&gt;"측정",$C2004&lt;&gt;$C2005,$D2004&lt;&gt;$D2005,NOT(ISNUMBER(M2005)),NOT(ISNUMBER(M2004)),(IF(ISNUMBER(H2005),H2005,G2005)-IF(ISNUMBER(H2004),H2004,G2004))=0),"",(M2005-M2004)/(IF(ISNUMBER(H2005),H2005,G2005)-IF(ISNUMBER(H2004),H2004,G2004)))</f>
        <v/>
      </c>
      <c r="X2005" s="31">
        <f>IF(NOT(AND(ISNUMBER(O2005),ISNUMBER(Q2005))),"",(Q2005-O2005)*1440)</f>
        <v/>
      </c>
      <c r="Y2005" s="29" t="n"/>
      <c r="Z2005" s="29" t="n"/>
      <c r="AA2005" s="29" t="n"/>
      <c r="AB2005" s="32" t="n"/>
      <c r="AC2005" s="32" t="n"/>
    </row>
    <row r="2006">
      <c r="A2006" s="26" t="inlineStr">
        <is>
          <t>S39</t>
        </is>
      </c>
      <c r="B2006" s="26" t="inlineStr">
        <is>
          <t>언양</t>
        </is>
      </c>
      <c r="C2006" s="26" t="inlineStr">
        <is>
          <t>S39-H서</t>
        </is>
      </c>
      <c r="D2006" s="47" t="n">
        <v>1</v>
      </c>
      <c r="E2006" s="26" t="inlineStr">
        <is>
          <t>측정</t>
        </is>
      </c>
      <c r="F2006" s="26" t="inlineStr">
        <is>
          <t>서</t>
        </is>
      </c>
      <c r="G2006" s="31" t="n">
        <v>10</v>
      </c>
      <c r="H2006" s="30" t="n"/>
      <c r="I2006" s="43" t="n"/>
      <c r="J2006" s="41" t="n"/>
      <c r="K2006" s="41" t="n"/>
      <c r="L2006" s="41" t="n"/>
      <c r="M2006" s="31">
        <f>IF(COUNT(J2006:L2006)=0,"",MEDIAN(J2006:L2006))</f>
        <v/>
      </c>
      <c r="N2006" s="26">
        <f>IF(COUNTIFS($C:$C,$C2006,$D:$D,$D2006,$E:$E,"P0(전)",$M:$M,"&gt;0")&lt;&gt;1,"P0(전) 유효 1개 아님",IF(COUNTIFS($C:$C,$C2006,$D:$D,$D2006,$E:$E,"P0(후)",$M:$M,"&gt;0")&lt;&gt;1,"P0(후) 유효 1개 아님",IF(NOT(AND(ISNUMBER(O2006),ISNUMBER(Q2006),ISNUMBER(I2006))),"시각 결측",IF(Q2006&lt;=O2006,"P0 시각 역전",IF(OR(I2006&lt;O2006,I2006&gt;Q2006),"측정시각 구간 밖","OK")))))</f>
        <v/>
      </c>
      <c r="O2006" s="48">
        <f>IF(COUNTIFS($C:$C,$C2006,$D:$D,$D2006,$E:$E,"P0(전)",$M:$M,"&gt;0")&lt;&gt;1,"",SUMIFS($I:$I,$C:$C,$C2006,$D:$D,$D2006,$E:$E,"P0(전)"))</f>
        <v/>
      </c>
      <c r="P2006" s="31">
        <f>IF(COUNTIFS($C:$C,$C2006,$D:$D,$D2006,$E:$E,"P0(전)",$M:$M,"&gt;0")&lt;&gt;1,"",SUMIFS($M:$M,$C:$C,$C2006,$D:$D,$D2006,$E:$E,"P0(전)"))</f>
        <v/>
      </c>
      <c r="Q2006" s="48">
        <f>IF(COUNTIFS($C:$C,$C2006,$D:$D,$D2006,$E:$E,"P0(후)",$M:$M,"&gt;0")&lt;&gt;1,"",SUMIFS($I:$I,$C:$C,$C2006,$D:$D,$D2006,$E:$E,"P0(후)"))</f>
        <v/>
      </c>
      <c r="R2006" s="31">
        <f>IF(COUNTIFS($C:$C,$C2006,$D:$D,$D2006,$E:$E,"P0(후)",$M:$M,"&gt;0")&lt;&gt;1,"",SUMIFS($M:$M,$C:$C,$C2006,$D:$D,$D2006,$E:$E,"P0(후)"))</f>
        <v/>
      </c>
      <c r="S2006" s="31">
        <f>IF(N2006&lt;&gt;"OK","",P2006+(R2006-P2006)*(I2006-O2006)/(Q2006-O2006))</f>
        <v/>
      </c>
      <c r="T2006" s="31">
        <f>IF(OR(N2006&lt;&gt;"OK",NOT(ISNUMBER(M2006))),"",M2006-S2006)</f>
        <v/>
      </c>
      <c r="U2006" s="49">
        <f>IF(OR(NOT(ISNUMBER(T2006)),IF(ISNUMBER(H2006),H2006,G2006)=0),"",T2006/IF(ISNUMBER(H2006),H2006,G2006))</f>
        <v/>
      </c>
      <c r="V2006" s="49">
        <f>IF(ISNUMBER(U2006),ABS(U2006),"")</f>
        <v/>
      </c>
      <c r="W2006" s="49">
        <f>IF(OR($E2005&lt;&gt;"측정",$C2005&lt;&gt;$C2006,$D2005&lt;&gt;$D2006,NOT(ISNUMBER(M2006)),NOT(ISNUMBER(M2005)),(IF(ISNUMBER(H2006),H2006,G2006)-IF(ISNUMBER(H2005),H2005,G2005))=0),"",(M2006-M2005)/(IF(ISNUMBER(H2006),H2006,G2006)-IF(ISNUMBER(H2005),H2005,G2005)))</f>
        <v/>
      </c>
      <c r="X2006" s="31">
        <f>IF(NOT(AND(ISNUMBER(O2006),ISNUMBER(Q2006))),"",(Q2006-O2006)*1440)</f>
        <v/>
      </c>
      <c r="Y2006" s="29" t="n"/>
      <c r="Z2006" s="29" t="n"/>
      <c r="AA2006" s="29" t="n"/>
      <c r="AB2006" s="32" t="n"/>
      <c r="AC2006" s="32" t="n"/>
    </row>
    <row r="2007">
      <c r="A2007" s="44" t="inlineStr">
        <is>
          <t>S39</t>
        </is>
      </c>
      <c r="B2007" s="44" t="inlineStr">
        <is>
          <t>언양</t>
        </is>
      </c>
      <c r="C2007" s="44" t="inlineStr">
        <is>
          <t>S39-H서</t>
        </is>
      </c>
      <c r="D2007" s="45" t="n">
        <v>1</v>
      </c>
      <c r="E2007" s="44" t="inlineStr">
        <is>
          <t>P0(후)</t>
        </is>
      </c>
      <c r="F2007" s="44" t="inlineStr">
        <is>
          <t>서</t>
        </is>
      </c>
      <c r="G2007" s="46" t="n"/>
      <c r="H2007" s="30" t="n"/>
      <c r="I2007" s="43" t="n"/>
      <c r="J2007" s="41" t="n"/>
      <c r="K2007" s="41" t="n"/>
      <c r="L2007" s="41" t="n"/>
      <c r="M2007" s="31">
        <f>IF(COUNT(J2007:L2007)=0,"",MEDIAN(J2007:L2007))</f>
        <v/>
      </c>
      <c r="N2007" s="38" t="n"/>
      <c r="O2007" s="38" t="n"/>
      <c r="P2007" s="38" t="n"/>
      <c r="Q2007" s="38" t="n"/>
      <c r="R2007" s="38" t="n"/>
      <c r="S2007" s="38" t="n"/>
      <c r="T2007" s="38" t="n"/>
      <c r="U2007" s="38" t="n"/>
      <c r="V2007" s="38" t="n"/>
      <c r="W2007" s="38" t="n"/>
      <c r="X2007" s="38" t="n"/>
      <c r="Y2007" s="29" t="n"/>
      <c r="Z2007" s="29" t="n"/>
      <c r="AA2007" s="29" t="n"/>
      <c r="AB2007" s="32" t="n"/>
      <c r="AC2007" s="32" t="n"/>
    </row>
    <row r="2008">
      <c r="A2008" s="44" t="inlineStr">
        <is>
          <t>S39</t>
        </is>
      </c>
      <c r="B2008" s="44" t="inlineStr">
        <is>
          <t>언양</t>
        </is>
      </c>
      <c r="C2008" s="44" t="inlineStr">
        <is>
          <t>S39-H남</t>
        </is>
      </c>
      <c r="D2008" s="45" t="n">
        <v>1</v>
      </c>
      <c r="E2008" s="44" t="inlineStr">
        <is>
          <t>P0(전)</t>
        </is>
      </c>
      <c r="F2008" s="44" t="inlineStr">
        <is>
          <t>남</t>
        </is>
      </c>
      <c r="G2008" s="46" t="n"/>
      <c r="H2008" s="30" t="n"/>
      <c r="I2008" s="43" t="n"/>
      <c r="J2008" s="41" t="n"/>
      <c r="K2008" s="41" t="n"/>
      <c r="L2008" s="41" t="n"/>
      <c r="M2008" s="31">
        <f>IF(COUNT(J2008:L2008)=0,"",MEDIAN(J2008:L2008))</f>
        <v/>
      </c>
      <c r="N2008" s="38" t="n"/>
      <c r="O2008" s="38" t="n"/>
      <c r="P2008" s="38" t="n"/>
      <c r="Q2008" s="38" t="n"/>
      <c r="R2008" s="38" t="n"/>
      <c r="S2008" s="38" t="n"/>
      <c r="T2008" s="38" t="n"/>
      <c r="U2008" s="38" t="n"/>
      <c r="V2008" s="38" t="n"/>
      <c r="W2008" s="38" t="n"/>
      <c r="X2008" s="38" t="n"/>
      <c r="Y2008" s="29" t="n"/>
      <c r="Z2008" s="29" t="n"/>
      <c r="AA2008" s="29" t="n"/>
      <c r="AB2008" s="32" t="n"/>
      <c r="AC2008" s="32" t="n"/>
    </row>
    <row r="2009">
      <c r="A2009" s="26" t="inlineStr">
        <is>
          <t>S39</t>
        </is>
      </c>
      <c r="B2009" s="26" t="inlineStr">
        <is>
          <t>언양</t>
        </is>
      </c>
      <c r="C2009" s="26" t="inlineStr">
        <is>
          <t>S39-H남</t>
        </is>
      </c>
      <c r="D2009" s="47" t="n">
        <v>1</v>
      </c>
      <c r="E2009" s="26" t="inlineStr">
        <is>
          <t>측정</t>
        </is>
      </c>
      <c r="F2009" s="26" t="inlineStr">
        <is>
          <t>남</t>
        </is>
      </c>
      <c r="G2009" s="31" t="n">
        <v>0.5</v>
      </c>
      <c r="H2009" s="30" t="n"/>
      <c r="I2009" s="43" t="n"/>
      <c r="J2009" s="41" t="n"/>
      <c r="K2009" s="41" t="n"/>
      <c r="L2009" s="41" t="n"/>
      <c r="M2009" s="31">
        <f>IF(COUNT(J2009:L2009)=0,"",MEDIAN(J2009:L2009))</f>
        <v/>
      </c>
      <c r="N2009" s="26">
        <f>IF(COUNTIFS($C:$C,$C2009,$D:$D,$D2009,$E:$E,"P0(전)",$M:$M,"&gt;0")&lt;&gt;1,"P0(전) 유효 1개 아님",IF(COUNTIFS($C:$C,$C2009,$D:$D,$D2009,$E:$E,"P0(후)",$M:$M,"&gt;0")&lt;&gt;1,"P0(후) 유효 1개 아님",IF(NOT(AND(ISNUMBER(O2009),ISNUMBER(Q2009),ISNUMBER(I2009))),"시각 결측",IF(Q2009&lt;=O2009,"P0 시각 역전",IF(OR(I2009&lt;O2009,I2009&gt;Q2009),"측정시각 구간 밖","OK")))))</f>
        <v/>
      </c>
      <c r="O2009" s="48">
        <f>IF(COUNTIFS($C:$C,$C2009,$D:$D,$D2009,$E:$E,"P0(전)",$M:$M,"&gt;0")&lt;&gt;1,"",SUMIFS($I:$I,$C:$C,$C2009,$D:$D,$D2009,$E:$E,"P0(전)"))</f>
        <v/>
      </c>
      <c r="P2009" s="31">
        <f>IF(COUNTIFS($C:$C,$C2009,$D:$D,$D2009,$E:$E,"P0(전)",$M:$M,"&gt;0")&lt;&gt;1,"",SUMIFS($M:$M,$C:$C,$C2009,$D:$D,$D2009,$E:$E,"P0(전)"))</f>
        <v/>
      </c>
      <c r="Q2009" s="48">
        <f>IF(COUNTIFS($C:$C,$C2009,$D:$D,$D2009,$E:$E,"P0(후)",$M:$M,"&gt;0")&lt;&gt;1,"",SUMIFS($I:$I,$C:$C,$C2009,$D:$D,$D2009,$E:$E,"P0(후)"))</f>
        <v/>
      </c>
      <c r="R2009" s="31">
        <f>IF(COUNTIFS($C:$C,$C2009,$D:$D,$D2009,$E:$E,"P0(후)",$M:$M,"&gt;0")&lt;&gt;1,"",SUMIFS($M:$M,$C:$C,$C2009,$D:$D,$D2009,$E:$E,"P0(후)"))</f>
        <v/>
      </c>
      <c r="S2009" s="31">
        <f>IF(N2009&lt;&gt;"OK","",P2009+(R2009-P2009)*(I2009-O2009)/(Q2009-O2009))</f>
        <v/>
      </c>
      <c r="T2009" s="31">
        <f>IF(OR(N2009&lt;&gt;"OK",NOT(ISNUMBER(M2009))),"",M2009-S2009)</f>
        <v/>
      </c>
      <c r="U2009" s="49">
        <f>IF(OR(NOT(ISNUMBER(T2009)),IF(ISNUMBER(H2009),H2009,G2009)=0),"",T2009/IF(ISNUMBER(H2009),H2009,G2009))</f>
        <v/>
      </c>
      <c r="V2009" s="49">
        <f>IF(ISNUMBER(U2009),ABS(U2009),"")</f>
        <v/>
      </c>
      <c r="W2009" s="49">
        <f>IF(OR($E2008&lt;&gt;"측정",$C2008&lt;&gt;$C2009,$D2008&lt;&gt;$D2009,NOT(ISNUMBER(M2009)),NOT(ISNUMBER(M2008)),(IF(ISNUMBER(H2009),H2009,G2009)-IF(ISNUMBER(H2008),H2008,G2008))=0),"",(M2009-M2008)/(IF(ISNUMBER(H2009),H2009,G2009)-IF(ISNUMBER(H2008),H2008,G2008)))</f>
        <v/>
      </c>
      <c r="X2009" s="31">
        <f>IF(NOT(AND(ISNUMBER(O2009),ISNUMBER(Q2009))),"",(Q2009-O2009)*1440)</f>
        <v/>
      </c>
      <c r="Y2009" s="29" t="n"/>
      <c r="Z2009" s="29" t="n"/>
      <c r="AA2009" s="29" t="n"/>
      <c r="AB2009" s="32" t="n"/>
      <c r="AC2009" s="32" t="n"/>
    </row>
    <row r="2010">
      <c r="A2010" s="26" t="inlineStr">
        <is>
          <t>S39</t>
        </is>
      </c>
      <c r="B2010" s="26" t="inlineStr">
        <is>
          <t>언양</t>
        </is>
      </c>
      <c r="C2010" s="26" t="inlineStr">
        <is>
          <t>S39-H남</t>
        </is>
      </c>
      <c r="D2010" s="47" t="n">
        <v>1</v>
      </c>
      <c r="E2010" s="26" t="inlineStr">
        <is>
          <t>측정</t>
        </is>
      </c>
      <c r="F2010" s="26" t="inlineStr">
        <is>
          <t>남</t>
        </is>
      </c>
      <c r="G2010" s="31" t="n">
        <v>1</v>
      </c>
      <c r="H2010" s="30" t="n"/>
      <c r="I2010" s="43" t="n"/>
      <c r="J2010" s="41" t="n"/>
      <c r="K2010" s="41" t="n"/>
      <c r="L2010" s="41" t="n"/>
      <c r="M2010" s="31">
        <f>IF(COUNT(J2010:L2010)=0,"",MEDIAN(J2010:L2010))</f>
        <v/>
      </c>
      <c r="N2010" s="26">
        <f>IF(COUNTIFS($C:$C,$C2010,$D:$D,$D2010,$E:$E,"P0(전)",$M:$M,"&gt;0")&lt;&gt;1,"P0(전) 유효 1개 아님",IF(COUNTIFS($C:$C,$C2010,$D:$D,$D2010,$E:$E,"P0(후)",$M:$M,"&gt;0")&lt;&gt;1,"P0(후) 유효 1개 아님",IF(NOT(AND(ISNUMBER(O2010),ISNUMBER(Q2010),ISNUMBER(I2010))),"시각 결측",IF(Q2010&lt;=O2010,"P0 시각 역전",IF(OR(I2010&lt;O2010,I2010&gt;Q2010),"측정시각 구간 밖","OK")))))</f>
        <v/>
      </c>
      <c r="O2010" s="48">
        <f>IF(COUNTIFS($C:$C,$C2010,$D:$D,$D2010,$E:$E,"P0(전)",$M:$M,"&gt;0")&lt;&gt;1,"",SUMIFS($I:$I,$C:$C,$C2010,$D:$D,$D2010,$E:$E,"P0(전)"))</f>
        <v/>
      </c>
      <c r="P2010" s="31">
        <f>IF(COUNTIFS($C:$C,$C2010,$D:$D,$D2010,$E:$E,"P0(전)",$M:$M,"&gt;0")&lt;&gt;1,"",SUMIFS($M:$M,$C:$C,$C2010,$D:$D,$D2010,$E:$E,"P0(전)"))</f>
        <v/>
      </c>
      <c r="Q2010" s="48">
        <f>IF(COUNTIFS($C:$C,$C2010,$D:$D,$D2010,$E:$E,"P0(후)",$M:$M,"&gt;0")&lt;&gt;1,"",SUMIFS($I:$I,$C:$C,$C2010,$D:$D,$D2010,$E:$E,"P0(후)"))</f>
        <v/>
      </c>
      <c r="R2010" s="31">
        <f>IF(COUNTIFS($C:$C,$C2010,$D:$D,$D2010,$E:$E,"P0(후)",$M:$M,"&gt;0")&lt;&gt;1,"",SUMIFS($M:$M,$C:$C,$C2010,$D:$D,$D2010,$E:$E,"P0(후)"))</f>
        <v/>
      </c>
      <c r="S2010" s="31">
        <f>IF(N2010&lt;&gt;"OK","",P2010+(R2010-P2010)*(I2010-O2010)/(Q2010-O2010))</f>
        <v/>
      </c>
      <c r="T2010" s="31">
        <f>IF(OR(N2010&lt;&gt;"OK",NOT(ISNUMBER(M2010))),"",M2010-S2010)</f>
        <v/>
      </c>
      <c r="U2010" s="49">
        <f>IF(OR(NOT(ISNUMBER(T2010)),IF(ISNUMBER(H2010),H2010,G2010)=0),"",T2010/IF(ISNUMBER(H2010),H2010,G2010))</f>
        <v/>
      </c>
      <c r="V2010" s="49">
        <f>IF(ISNUMBER(U2010),ABS(U2010),"")</f>
        <v/>
      </c>
      <c r="W2010" s="49">
        <f>IF(OR($E2009&lt;&gt;"측정",$C2009&lt;&gt;$C2010,$D2009&lt;&gt;$D2010,NOT(ISNUMBER(M2010)),NOT(ISNUMBER(M2009)),(IF(ISNUMBER(H2010),H2010,G2010)-IF(ISNUMBER(H2009),H2009,G2009))=0),"",(M2010-M2009)/(IF(ISNUMBER(H2010),H2010,G2010)-IF(ISNUMBER(H2009),H2009,G2009)))</f>
        <v/>
      </c>
      <c r="X2010" s="31">
        <f>IF(NOT(AND(ISNUMBER(O2010),ISNUMBER(Q2010))),"",(Q2010-O2010)*1440)</f>
        <v/>
      </c>
      <c r="Y2010" s="29" t="n"/>
      <c r="Z2010" s="29" t="n"/>
      <c r="AA2010" s="29" t="n"/>
      <c r="AB2010" s="32" t="n"/>
      <c r="AC2010" s="32" t="n"/>
    </row>
    <row r="2011">
      <c r="A2011" s="26" t="inlineStr">
        <is>
          <t>S39</t>
        </is>
      </c>
      <c r="B2011" s="26" t="inlineStr">
        <is>
          <t>언양</t>
        </is>
      </c>
      <c r="C2011" s="26" t="inlineStr">
        <is>
          <t>S39-H남</t>
        </is>
      </c>
      <c r="D2011" s="47" t="n">
        <v>1</v>
      </c>
      <c r="E2011" s="26" t="inlineStr">
        <is>
          <t>측정</t>
        </is>
      </c>
      <c r="F2011" s="26" t="inlineStr">
        <is>
          <t>남</t>
        </is>
      </c>
      <c r="G2011" s="31" t="n">
        <v>2</v>
      </c>
      <c r="H2011" s="30" t="n"/>
      <c r="I2011" s="43" t="n"/>
      <c r="J2011" s="41" t="n"/>
      <c r="K2011" s="41" t="n"/>
      <c r="L2011" s="41" t="n"/>
      <c r="M2011" s="31">
        <f>IF(COUNT(J2011:L2011)=0,"",MEDIAN(J2011:L2011))</f>
        <v/>
      </c>
      <c r="N2011" s="26">
        <f>IF(COUNTIFS($C:$C,$C2011,$D:$D,$D2011,$E:$E,"P0(전)",$M:$M,"&gt;0")&lt;&gt;1,"P0(전) 유효 1개 아님",IF(COUNTIFS($C:$C,$C2011,$D:$D,$D2011,$E:$E,"P0(후)",$M:$M,"&gt;0")&lt;&gt;1,"P0(후) 유효 1개 아님",IF(NOT(AND(ISNUMBER(O2011),ISNUMBER(Q2011),ISNUMBER(I2011))),"시각 결측",IF(Q2011&lt;=O2011,"P0 시각 역전",IF(OR(I2011&lt;O2011,I2011&gt;Q2011),"측정시각 구간 밖","OK")))))</f>
        <v/>
      </c>
      <c r="O2011" s="48">
        <f>IF(COUNTIFS($C:$C,$C2011,$D:$D,$D2011,$E:$E,"P0(전)",$M:$M,"&gt;0")&lt;&gt;1,"",SUMIFS($I:$I,$C:$C,$C2011,$D:$D,$D2011,$E:$E,"P0(전)"))</f>
        <v/>
      </c>
      <c r="P2011" s="31">
        <f>IF(COUNTIFS($C:$C,$C2011,$D:$D,$D2011,$E:$E,"P0(전)",$M:$M,"&gt;0")&lt;&gt;1,"",SUMIFS($M:$M,$C:$C,$C2011,$D:$D,$D2011,$E:$E,"P0(전)"))</f>
        <v/>
      </c>
      <c r="Q2011" s="48">
        <f>IF(COUNTIFS($C:$C,$C2011,$D:$D,$D2011,$E:$E,"P0(후)",$M:$M,"&gt;0")&lt;&gt;1,"",SUMIFS($I:$I,$C:$C,$C2011,$D:$D,$D2011,$E:$E,"P0(후)"))</f>
        <v/>
      </c>
      <c r="R2011" s="31">
        <f>IF(COUNTIFS($C:$C,$C2011,$D:$D,$D2011,$E:$E,"P0(후)",$M:$M,"&gt;0")&lt;&gt;1,"",SUMIFS($M:$M,$C:$C,$C2011,$D:$D,$D2011,$E:$E,"P0(후)"))</f>
        <v/>
      </c>
      <c r="S2011" s="31">
        <f>IF(N2011&lt;&gt;"OK","",P2011+(R2011-P2011)*(I2011-O2011)/(Q2011-O2011))</f>
        <v/>
      </c>
      <c r="T2011" s="31">
        <f>IF(OR(N2011&lt;&gt;"OK",NOT(ISNUMBER(M2011))),"",M2011-S2011)</f>
        <v/>
      </c>
      <c r="U2011" s="49">
        <f>IF(OR(NOT(ISNUMBER(T2011)),IF(ISNUMBER(H2011),H2011,G2011)=0),"",T2011/IF(ISNUMBER(H2011),H2011,G2011))</f>
        <v/>
      </c>
      <c r="V2011" s="49">
        <f>IF(ISNUMBER(U2011),ABS(U2011),"")</f>
        <v/>
      </c>
      <c r="W2011" s="49">
        <f>IF(OR($E2010&lt;&gt;"측정",$C2010&lt;&gt;$C2011,$D2010&lt;&gt;$D2011,NOT(ISNUMBER(M2011)),NOT(ISNUMBER(M2010)),(IF(ISNUMBER(H2011),H2011,G2011)-IF(ISNUMBER(H2010),H2010,G2010))=0),"",(M2011-M2010)/(IF(ISNUMBER(H2011),H2011,G2011)-IF(ISNUMBER(H2010),H2010,G2010)))</f>
        <v/>
      </c>
      <c r="X2011" s="31">
        <f>IF(NOT(AND(ISNUMBER(O2011),ISNUMBER(Q2011))),"",(Q2011-O2011)*1440)</f>
        <v/>
      </c>
      <c r="Y2011" s="29" t="n"/>
      <c r="Z2011" s="29" t="n"/>
      <c r="AA2011" s="29" t="n"/>
      <c r="AB2011" s="32" t="n"/>
      <c r="AC2011" s="32" t="n"/>
    </row>
    <row r="2012">
      <c r="A2012" s="26" t="inlineStr">
        <is>
          <t>S39</t>
        </is>
      </c>
      <c r="B2012" s="26" t="inlineStr">
        <is>
          <t>언양</t>
        </is>
      </c>
      <c r="C2012" s="26" t="inlineStr">
        <is>
          <t>S39-H남</t>
        </is>
      </c>
      <c r="D2012" s="47" t="n">
        <v>1</v>
      </c>
      <c r="E2012" s="26" t="inlineStr">
        <is>
          <t>측정</t>
        </is>
      </c>
      <c r="F2012" s="26" t="inlineStr">
        <is>
          <t>남</t>
        </is>
      </c>
      <c r="G2012" s="31" t="n">
        <v>3</v>
      </c>
      <c r="H2012" s="30" t="n"/>
      <c r="I2012" s="43" t="n"/>
      <c r="J2012" s="41" t="n"/>
      <c r="K2012" s="41" t="n"/>
      <c r="L2012" s="41" t="n"/>
      <c r="M2012" s="31">
        <f>IF(COUNT(J2012:L2012)=0,"",MEDIAN(J2012:L2012))</f>
        <v/>
      </c>
      <c r="N2012" s="26">
        <f>IF(COUNTIFS($C:$C,$C2012,$D:$D,$D2012,$E:$E,"P0(전)",$M:$M,"&gt;0")&lt;&gt;1,"P0(전) 유효 1개 아님",IF(COUNTIFS($C:$C,$C2012,$D:$D,$D2012,$E:$E,"P0(후)",$M:$M,"&gt;0")&lt;&gt;1,"P0(후) 유효 1개 아님",IF(NOT(AND(ISNUMBER(O2012),ISNUMBER(Q2012),ISNUMBER(I2012))),"시각 결측",IF(Q2012&lt;=O2012,"P0 시각 역전",IF(OR(I2012&lt;O2012,I2012&gt;Q2012),"측정시각 구간 밖","OK")))))</f>
        <v/>
      </c>
      <c r="O2012" s="48">
        <f>IF(COUNTIFS($C:$C,$C2012,$D:$D,$D2012,$E:$E,"P0(전)",$M:$M,"&gt;0")&lt;&gt;1,"",SUMIFS($I:$I,$C:$C,$C2012,$D:$D,$D2012,$E:$E,"P0(전)"))</f>
        <v/>
      </c>
      <c r="P2012" s="31">
        <f>IF(COUNTIFS($C:$C,$C2012,$D:$D,$D2012,$E:$E,"P0(전)",$M:$M,"&gt;0")&lt;&gt;1,"",SUMIFS($M:$M,$C:$C,$C2012,$D:$D,$D2012,$E:$E,"P0(전)"))</f>
        <v/>
      </c>
      <c r="Q2012" s="48">
        <f>IF(COUNTIFS($C:$C,$C2012,$D:$D,$D2012,$E:$E,"P0(후)",$M:$M,"&gt;0")&lt;&gt;1,"",SUMIFS($I:$I,$C:$C,$C2012,$D:$D,$D2012,$E:$E,"P0(후)"))</f>
        <v/>
      </c>
      <c r="R2012" s="31">
        <f>IF(COUNTIFS($C:$C,$C2012,$D:$D,$D2012,$E:$E,"P0(후)",$M:$M,"&gt;0")&lt;&gt;1,"",SUMIFS($M:$M,$C:$C,$C2012,$D:$D,$D2012,$E:$E,"P0(후)"))</f>
        <v/>
      </c>
      <c r="S2012" s="31">
        <f>IF(N2012&lt;&gt;"OK","",P2012+(R2012-P2012)*(I2012-O2012)/(Q2012-O2012))</f>
        <v/>
      </c>
      <c r="T2012" s="31">
        <f>IF(OR(N2012&lt;&gt;"OK",NOT(ISNUMBER(M2012))),"",M2012-S2012)</f>
        <v/>
      </c>
      <c r="U2012" s="49">
        <f>IF(OR(NOT(ISNUMBER(T2012)),IF(ISNUMBER(H2012),H2012,G2012)=0),"",T2012/IF(ISNUMBER(H2012),H2012,G2012))</f>
        <v/>
      </c>
      <c r="V2012" s="49">
        <f>IF(ISNUMBER(U2012),ABS(U2012),"")</f>
        <v/>
      </c>
      <c r="W2012" s="49">
        <f>IF(OR($E2011&lt;&gt;"측정",$C2011&lt;&gt;$C2012,$D2011&lt;&gt;$D2012,NOT(ISNUMBER(M2012)),NOT(ISNUMBER(M2011)),(IF(ISNUMBER(H2012),H2012,G2012)-IF(ISNUMBER(H2011),H2011,G2011))=0),"",(M2012-M2011)/(IF(ISNUMBER(H2012),H2012,G2012)-IF(ISNUMBER(H2011),H2011,G2011)))</f>
        <v/>
      </c>
      <c r="X2012" s="31">
        <f>IF(NOT(AND(ISNUMBER(O2012),ISNUMBER(Q2012))),"",(Q2012-O2012)*1440)</f>
        <v/>
      </c>
      <c r="Y2012" s="29" t="n"/>
      <c r="Z2012" s="29" t="n"/>
      <c r="AA2012" s="29" t="n"/>
      <c r="AB2012" s="32" t="n"/>
      <c r="AC2012" s="32" t="n"/>
    </row>
    <row r="2013">
      <c r="A2013" s="26" t="inlineStr">
        <is>
          <t>S39</t>
        </is>
      </c>
      <c r="B2013" s="26" t="inlineStr">
        <is>
          <t>언양</t>
        </is>
      </c>
      <c r="C2013" s="26" t="inlineStr">
        <is>
          <t>S39-H남</t>
        </is>
      </c>
      <c r="D2013" s="47" t="n">
        <v>1</v>
      </c>
      <c r="E2013" s="26" t="inlineStr">
        <is>
          <t>측정</t>
        </is>
      </c>
      <c r="F2013" s="26" t="inlineStr">
        <is>
          <t>남</t>
        </is>
      </c>
      <c r="G2013" s="31" t="n">
        <v>4</v>
      </c>
      <c r="H2013" s="30" t="n"/>
      <c r="I2013" s="43" t="n"/>
      <c r="J2013" s="41" t="n"/>
      <c r="K2013" s="41" t="n"/>
      <c r="L2013" s="41" t="n"/>
      <c r="M2013" s="31">
        <f>IF(COUNT(J2013:L2013)=0,"",MEDIAN(J2013:L2013))</f>
        <v/>
      </c>
      <c r="N2013" s="26">
        <f>IF(COUNTIFS($C:$C,$C2013,$D:$D,$D2013,$E:$E,"P0(전)",$M:$M,"&gt;0")&lt;&gt;1,"P0(전) 유효 1개 아님",IF(COUNTIFS($C:$C,$C2013,$D:$D,$D2013,$E:$E,"P0(후)",$M:$M,"&gt;0")&lt;&gt;1,"P0(후) 유효 1개 아님",IF(NOT(AND(ISNUMBER(O2013),ISNUMBER(Q2013),ISNUMBER(I2013))),"시각 결측",IF(Q2013&lt;=O2013,"P0 시각 역전",IF(OR(I2013&lt;O2013,I2013&gt;Q2013),"측정시각 구간 밖","OK")))))</f>
        <v/>
      </c>
      <c r="O2013" s="48">
        <f>IF(COUNTIFS($C:$C,$C2013,$D:$D,$D2013,$E:$E,"P0(전)",$M:$M,"&gt;0")&lt;&gt;1,"",SUMIFS($I:$I,$C:$C,$C2013,$D:$D,$D2013,$E:$E,"P0(전)"))</f>
        <v/>
      </c>
      <c r="P2013" s="31">
        <f>IF(COUNTIFS($C:$C,$C2013,$D:$D,$D2013,$E:$E,"P0(전)",$M:$M,"&gt;0")&lt;&gt;1,"",SUMIFS($M:$M,$C:$C,$C2013,$D:$D,$D2013,$E:$E,"P0(전)"))</f>
        <v/>
      </c>
      <c r="Q2013" s="48">
        <f>IF(COUNTIFS($C:$C,$C2013,$D:$D,$D2013,$E:$E,"P0(후)",$M:$M,"&gt;0")&lt;&gt;1,"",SUMIFS($I:$I,$C:$C,$C2013,$D:$D,$D2013,$E:$E,"P0(후)"))</f>
        <v/>
      </c>
      <c r="R2013" s="31">
        <f>IF(COUNTIFS($C:$C,$C2013,$D:$D,$D2013,$E:$E,"P0(후)",$M:$M,"&gt;0")&lt;&gt;1,"",SUMIFS($M:$M,$C:$C,$C2013,$D:$D,$D2013,$E:$E,"P0(후)"))</f>
        <v/>
      </c>
      <c r="S2013" s="31">
        <f>IF(N2013&lt;&gt;"OK","",P2013+(R2013-P2013)*(I2013-O2013)/(Q2013-O2013))</f>
        <v/>
      </c>
      <c r="T2013" s="31">
        <f>IF(OR(N2013&lt;&gt;"OK",NOT(ISNUMBER(M2013))),"",M2013-S2013)</f>
        <v/>
      </c>
      <c r="U2013" s="49">
        <f>IF(OR(NOT(ISNUMBER(T2013)),IF(ISNUMBER(H2013),H2013,G2013)=0),"",T2013/IF(ISNUMBER(H2013),H2013,G2013))</f>
        <v/>
      </c>
      <c r="V2013" s="49">
        <f>IF(ISNUMBER(U2013),ABS(U2013),"")</f>
        <v/>
      </c>
      <c r="W2013" s="49">
        <f>IF(OR($E2012&lt;&gt;"측정",$C2012&lt;&gt;$C2013,$D2012&lt;&gt;$D2013,NOT(ISNUMBER(M2013)),NOT(ISNUMBER(M2012)),(IF(ISNUMBER(H2013),H2013,G2013)-IF(ISNUMBER(H2012),H2012,G2012))=0),"",(M2013-M2012)/(IF(ISNUMBER(H2013),H2013,G2013)-IF(ISNUMBER(H2012),H2012,G2012)))</f>
        <v/>
      </c>
      <c r="X2013" s="31">
        <f>IF(NOT(AND(ISNUMBER(O2013),ISNUMBER(Q2013))),"",(Q2013-O2013)*1440)</f>
        <v/>
      </c>
      <c r="Y2013" s="29" t="n"/>
      <c r="Z2013" s="29" t="n"/>
      <c r="AA2013" s="29" t="n"/>
      <c r="AB2013" s="32" t="n"/>
      <c r="AC2013" s="32" t="n"/>
    </row>
    <row r="2014">
      <c r="A2014" s="26" t="inlineStr">
        <is>
          <t>S39</t>
        </is>
      </c>
      <c r="B2014" s="26" t="inlineStr">
        <is>
          <t>언양</t>
        </is>
      </c>
      <c r="C2014" s="26" t="inlineStr">
        <is>
          <t>S39-H남</t>
        </is>
      </c>
      <c r="D2014" s="47" t="n">
        <v>1</v>
      </c>
      <c r="E2014" s="26" t="inlineStr">
        <is>
          <t>측정</t>
        </is>
      </c>
      <c r="F2014" s="26" t="inlineStr">
        <is>
          <t>남</t>
        </is>
      </c>
      <c r="G2014" s="31" t="n">
        <v>5</v>
      </c>
      <c r="H2014" s="30" t="n"/>
      <c r="I2014" s="43" t="n"/>
      <c r="J2014" s="41" t="n"/>
      <c r="K2014" s="41" t="n"/>
      <c r="L2014" s="41" t="n"/>
      <c r="M2014" s="31">
        <f>IF(COUNT(J2014:L2014)=0,"",MEDIAN(J2014:L2014))</f>
        <v/>
      </c>
      <c r="N2014" s="26">
        <f>IF(COUNTIFS($C:$C,$C2014,$D:$D,$D2014,$E:$E,"P0(전)",$M:$M,"&gt;0")&lt;&gt;1,"P0(전) 유효 1개 아님",IF(COUNTIFS($C:$C,$C2014,$D:$D,$D2014,$E:$E,"P0(후)",$M:$M,"&gt;0")&lt;&gt;1,"P0(후) 유효 1개 아님",IF(NOT(AND(ISNUMBER(O2014),ISNUMBER(Q2014),ISNUMBER(I2014))),"시각 결측",IF(Q2014&lt;=O2014,"P0 시각 역전",IF(OR(I2014&lt;O2014,I2014&gt;Q2014),"측정시각 구간 밖","OK")))))</f>
        <v/>
      </c>
      <c r="O2014" s="48">
        <f>IF(COUNTIFS($C:$C,$C2014,$D:$D,$D2014,$E:$E,"P0(전)",$M:$M,"&gt;0")&lt;&gt;1,"",SUMIFS($I:$I,$C:$C,$C2014,$D:$D,$D2014,$E:$E,"P0(전)"))</f>
        <v/>
      </c>
      <c r="P2014" s="31">
        <f>IF(COUNTIFS($C:$C,$C2014,$D:$D,$D2014,$E:$E,"P0(전)",$M:$M,"&gt;0")&lt;&gt;1,"",SUMIFS($M:$M,$C:$C,$C2014,$D:$D,$D2014,$E:$E,"P0(전)"))</f>
        <v/>
      </c>
      <c r="Q2014" s="48">
        <f>IF(COUNTIFS($C:$C,$C2014,$D:$D,$D2014,$E:$E,"P0(후)",$M:$M,"&gt;0")&lt;&gt;1,"",SUMIFS($I:$I,$C:$C,$C2014,$D:$D,$D2014,$E:$E,"P0(후)"))</f>
        <v/>
      </c>
      <c r="R2014" s="31">
        <f>IF(COUNTIFS($C:$C,$C2014,$D:$D,$D2014,$E:$E,"P0(후)",$M:$M,"&gt;0")&lt;&gt;1,"",SUMIFS($M:$M,$C:$C,$C2014,$D:$D,$D2014,$E:$E,"P0(후)"))</f>
        <v/>
      </c>
      <c r="S2014" s="31">
        <f>IF(N2014&lt;&gt;"OK","",P2014+(R2014-P2014)*(I2014-O2014)/(Q2014-O2014))</f>
        <v/>
      </c>
      <c r="T2014" s="31">
        <f>IF(OR(N2014&lt;&gt;"OK",NOT(ISNUMBER(M2014))),"",M2014-S2014)</f>
        <v/>
      </c>
      <c r="U2014" s="49">
        <f>IF(OR(NOT(ISNUMBER(T2014)),IF(ISNUMBER(H2014),H2014,G2014)=0),"",T2014/IF(ISNUMBER(H2014),H2014,G2014))</f>
        <v/>
      </c>
      <c r="V2014" s="49">
        <f>IF(ISNUMBER(U2014),ABS(U2014),"")</f>
        <v/>
      </c>
      <c r="W2014" s="49">
        <f>IF(OR($E2013&lt;&gt;"측정",$C2013&lt;&gt;$C2014,$D2013&lt;&gt;$D2014,NOT(ISNUMBER(M2014)),NOT(ISNUMBER(M2013)),(IF(ISNUMBER(H2014),H2014,G2014)-IF(ISNUMBER(H2013),H2013,G2013))=0),"",(M2014-M2013)/(IF(ISNUMBER(H2014),H2014,G2014)-IF(ISNUMBER(H2013),H2013,G2013)))</f>
        <v/>
      </c>
      <c r="X2014" s="31">
        <f>IF(NOT(AND(ISNUMBER(O2014),ISNUMBER(Q2014))),"",(Q2014-O2014)*1440)</f>
        <v/>
      </c>
      <c r="Y2014" s="29" t="n"/>
      <c r="Z2014" s="29" t="n"/>
      <c r="AA2014" s="29" t="n"/>
      <c r="AB2014" s="32" t="n"/>
      <c r="AC2014" s="32" t="n"/>
    </row>
    <row r="2015">
      <c r="A2015" s="26" t="inlineStr">
        <is>
          <t>S39</t>
        </is>
      </c>
      <c r="B2015" s="26" t="inlineStr">
        <is>
          <t>언양</t>
        </is>
      </c>
      <c r="C2015" s="26" t="inlineStr">
        <is>
          <t>S39-H남</t>
        </is>
      </c>
      <c r="D2015" s="47" t="n">
        <v>1</v>
      </c>
      <c r="E2015" s="26" t="inlineStr">
        <is>
          <t>측정</t>
        </is>
      </c>
      <c r="F2015" s="26" t="inlineStr">
        <is>
          <t>남</t>
        </is>
      </c>
      <c r="G2015" s="31" t="n">
        <v>6</v>
      </c>
      <c r="H2015" s="30" t="n"/>
      <c r="I2015" s="43" t="n"/>
      <c r="J2015" s="41" t="n"/>
      <c r="K2015" s="41" t="n"/>
      <c r="L2015" s="41" t="n"/>
      <c r="M2015" s="31">
        <f>IF(COUNT(J2015:L2015)=0,"",MEDIAN(J2015:L2015))</f>
        <v/>
      </c>
      <c r="N2015" s="26">
        <f>IF(COUNTIFS($C:$C,$C2015,$D:$D,$D2015,$E:$E,"P0(전)",$M:$M,"&gt;0")&lt;&gt;1,"P0(전) 유효 1개 아님",IF(COUNTIFS($C:$C,$C2015,$D:$D,$D2015,$E:$E,"P0(후)",$M:$M,"&gt;0")&lt;&gt;1,"P0(후) 유효 1개 아님",IF(NOT(AND(ISNUMBER(O2015),ISNUMBER(Q2015),ISNUMBER(I2015))),"시각 결측",IF(Q2015&lt;=O2015,"P0 시각 역전",IF(OR(I2015&lt;O2015,I2015&gt;Q2015),"측정시각 구간 밖","OK")))))</f>
        <v/>
      </c>
      <c r="O2015" s="48">
        <f>IF(COUNTIFS($C:$C,$C2015,$D:$D,$D2015,$E:$E,"P0(전)",$M:$M,"&gt;0")&lt;&gt;1,"",SUMIFS($I:$I,$C:$C,$C2015,$D:$D,$D2015,$E:$E,"P0(전)"))</f>
        <v/>
      </c>
      <c r="P2015" s="31">
        <f>IF(COUNTIFS($C:$C,$C2015,$D:$D,$D2015,$E:$E,"P0(전)",$M:$M,"&gt;0")&lt;&gt;1,"",SUMIFS($M:$M,$C:$C,$C2015,$D:$D,$D2015,$E:$E,"P0(전)"))</f>
        <v/>
      </c>
      <c r="Q2015" s="48">
        <f>IF(COUNTIFS($C:$C,$C2015,$D:$D,$D2015,$E:$E,"P0(후)",$M:$M,"&gt;0")&lt;&gt;1,"",SUMIFS($I:$I,$C:$C,$C2015,$D:$D,$D2015,$E:$E,"P0(후)"))</f>
        <v/>
      </c>
      <c r="R2015" s="31">
        <f>IF(COUNTIFS($C:$C,$C2015,$D:$D,$D2015,$E:$E,"P0(후)",$M:$M,"&gt;0")&lt;&gt;1,"",SUMIFS($M:$M,$C:$C,$C2015,$D:$D,$D2015,$E:$E,"P0(후)"))</f>
        <v/>
      </c>
      <c r="S2015" s="31">
        <f>IF(N2015&lt;&gt;"OK","",P2015+(R2015-P2015)*(I2015-O2015)/(Q2015-O2015))</f>
        <v/>
      </c>
      <c r="T2015" s="31">
        <f>IF(OR(N2015&lt;&gt;"OK",NOT(ISNUMBER(M2015))),"",M2015-S2015)</f>
        <v/>
      </c>
      <c r="U2015" s="49">
        <f>IF(OR(NOT(ISNUMBER(T2015)),IF(ISNUMBER(H2015),H2015,G2015)=0),"",T2015/IF(ISNUMBER(H2015),H2015,G2015))</f>
        <v/>
      </c>
      <c r="V2015" s="49">
        <f>IF(ISNUMBER(U2015),ABS(U2015),"")</f>
        <v/>
      </c>
      <c r="W2015" s="49">
        <f>IF(OR($E2014&lt;&gt;"측정",$C2014&lt;&gt;$C2015,$D2014&lt;&gt;$D2015,NOT(ISNUMBER(M2015)),NOT(ISNUMBER(M2014)),(IF(ISNUMBER(H2015),H2015,G2015)-IF(ISNUMBER(H2014),H2014,G2014))=0),"",(M2015-M2014)/(IF(ISNUMBER(H2015),H2015,G2015)-IF(ISNUMBER(H2014),H2014,G2014)))</f>
        <v/>
      </c>
      <c r="X2015" s="31">
        <f>IF(NOT(AND(ISNUMBER(O2015),ISNUMBER(Q2015))),"",(Q2015-O2015)*1440)</f>
        <v/>
      </c>
      <c r="Y2015" s="29" t="n"/>
      <c r="Z2015" s="29" t="n"/>
      <c r="AA2015" s="29" t="n"/>
      <c r="AB2015" s="32" t="n"/>
      <c r="AC2015" s="32" t="n"/>
    </row>
    <row r="2016">
      <c r="A2016" s="26" t="inlineStr">
        <is>
          <t>S39</t>
        </is>
      </c>
      <c r="B2016" s="26" t="inlineStr">
        <is>
          <t>언양</t>
        </is>
      </c>
      <c r="C2016" s="26" t="inlineStr">
        <is>
          <t>S39-H남</t>
        </is>
      </c>
      <c r="D2016" s="47" t="n">
        <v>1</v>
      </c>
      <c r="E2016" s="26" t="inlineStr">
        <is>
          <t>측정</t>
        </is>
      </c>
      <c r="F2016" s="26" t="inlineStr">
        <is>
          <t>남</t>
        </is>
      </c>
      <c r="G2016" s="31" t="n">
        <v>7</v>
      </c>
      <c r="H2016" s="30" t="n"/>
      <c r="I2016" s="43" t="n"/>
      <c r="J2016" s="41" t="n"/>
      <c r="K2016" s="41" t="n"/>
      <c r="L2016" s="41" t="n"/>
      <c r="M2016" s="31">
        <f>IF(COUNT(J2016:L2016)=0,"",MEDIAN(J2016:L2016))</f>
        <v/>
      </c>
      <c r="N2016" s="26">
        <f>IF(COUNTIFS($C:$C,$C2016,$D:$D,$D2016,$E:$E,"P0(전)",$M:$M,"&gt;0")&lt;&gt;1,"P0(전) 유효 1개 아님",IF(COUNTIFS($C:$C,$C2016,$D:$D,$D2016,$E:$E,"P0(후)",$M:$M,"&gt;0")&lt;&gt;1,"P0(후) 유효 1개 아님",IF(NOT(AND(ISNUMBER(O2016),ISNUMBER(Q2016),ISNUMBER(I2016))),"시각 결측",IF(Q2016&lt;=O2016,"P0 시각 역전",IF(OR(I2016&lt;O2016,I2016&gt;Q2016),"측정시각 구간 밖","OK")))))</f>
        <v/>
      </c>
      <c r="O2016" s="48">
        <f>IF(COUNTIFS($C:$C,$C2016,$D:$D,$D2016,$E:$E,"P0(전)",$M:$M,"&gt;0")&lt;&gt;1,"",SUMIFS($I:$I,$C:$C,$C2016,$D:$D,$D2016,$E:$E,"P0(전)"))</f>
        <v/>
      </c>
      <c r="P2016" s="31">
        <f>IF(COUNTIFS($C:$C,$C2016,$D:$D,$D2016,$E:$E,"P0(전)",$M:$M,"&gt;0")&lt;&gt;1,"",SUMIFS($M:$M,$C:$C,$C2016,$D:$D,$D2016,$E:$E,"P0(전)"))</f>
        <v/>
      </c>
      <c r="Q2016" s="48">
        <f>IF(COUNTIFS($C:$C,$C2016,$D:$D,$D2016,$E:$E,"P0(후)",$M:$M,"&gt;0")&lt;&gt;1,"",SUMIFS($I:$I,$C:$C,$C2016,$D:$D,$D2016,$E:$E,"P0(후)"))</f>
        <v/>
      </c>
      <c r="R2016" s="31">
        <f>IF(COUNTIFS($C:$C,$C2016,$D:$D,$D2016,$E:$E,"P0(후)",$M:$M,"&gt;0")&lt;&gt;1,"",SUMIFS($M:$M,$C:$C,$C2016,$D:$D,$D2016,$E:$E,"P0(후)"))</f>
        <v/>
      </c>
      <c r="S2016" s="31">
        <f>IF(N2016&lt;&gt;"OK","",P2016+(R2016-P2016)*(I2016-O2016)/(Q2016-O2016))</f>
        <v/>
      </c>
      <c r="T2016" s="31">
        <f>IF(OR(N2016&lt;&gt;"OK",NOT(ISNUMBER(M2016))),"",M2016-S2016)</f>
        <v/>
      </c>
      <c r="U2016" s="49">
        <f>IF(OR(NOT(ISNUMBER(T2016)),IF(ISNUMBER(H2016),H2016,G2016)=0),"",T2016/IF(ISNUMBER(H2016),H2016,G2016))</f>
        <v/>
      </c>
      <c r="V2016" s="49">
        <f>IF(ISNUMBER(U2016),ABS(U2016),"")</f>
        <v/>
      </c>
      <c r="W2016" s="49">
        <f>IF(OR($E2015&lt;&gt;"측정",$C2015&lt;&gt;$C2016,$D2015&lt;&gt;$D2016,NOT(ISNUMBER(M2016)),NOT(ISNUMBER(M2015)),(IF(ISNUMBER(H2016),H2016,G2016)-IF(ISNUMBER(H2015),H2015,G2015))=0),"",(M2016-M2015)/(IF(ISNUMBER(H2016),H2016,G2016)-IF(ISNUMBER(H2015),H2015,G2015)))</f>
        <v/>
      </c>
      <c r="X2016" s="31">
        <f>IF(NOT(AND(ISNUMBER(O2016),ISNUMBER(Q2016))),"",(Q2016-O2016)*1440)</f>
        <v/>
      </c>
      <c r="Y2016" s="29" t="n"/>
      <c r="Z2016" s="29" t="n"/>
      <c r="AA2016" s="29" t="n"/>
      <c r="AB2016" s="32" t="n"/>
      <c r="AC2016" s="32" t="n"/>
    </row>
    <row r="2017">
      <c r="A2017" s="26" t="inlineStr">
        <is>
          <t>S39</t>
        </is>
      </c>
      <c r="B2017" s="26" t="inlineStr">
        <is>
          <t>언양</t>
        </is>
      </c>
      <c r="C2017" s="26" t="inlineStr">
        <is>
          <t>S39-H남</t>
        </is>
      </c>
      <c r="D2017" s="47" t="n">
        <v>1</v>
      </c>
      <c r="E2017" s="26" t="inlineStr">
        <is>
          <t>측정</t>
        </is>
      </c>
      <c r="F2017" s="26" t="inlineStr">
        <is>
          <t>남</t>
        </is>
      </c>
      <c r="G2017" s="31" t="n">
        <v>8</v>
      </c>
      <c r="H2017" s="30" t="n"/>
      <c r="I2017" s="43" t="n"/>
      <c r="J2017" s="41" t="n"/>
      <c r="K2017" s="41" t="n"/>
      <c r="L2017" s="41" t="n"/>
      <c r="M2017" s="31">
        <f>IF(COUNT(J2017:L2017)=0,"",MEDIAN(J2017:L2017))</f>
        <v/>
      </c>
      <c r="N2017" s="26">
        <f>IF(COUNTIFS($C:$C,$C2017,$D:$D,$D2017,$E:$E,"P0(전)",$M:$M,"&gt;0")&lt;&gt;1,"P0(전) 유효 1개 아님",IF(COUNTIFS($C:$C,$C2017,$D:$D,$D2017,$E:$E,"P0(후)",$M:$M,"&gt;0")&lt;&gt;1,"P0(후) 유효 1개 아님",IF(NOT(AND(ISNUMBER(O2017),ISNUMBER(Q2017),ISNUMBER(I2017))),"시각 결측",IF(Q2017&lt;=O2017,"P0 시각 역전",IF(OR(I2017&lt;O2017,I2017&gt;Q2017),"측정시각 구간 밖","OK")))))</f>
        <v/>
      </c>
      <c r="O2017" s="48">
        <f>IF(COUNTIFS($C:$C,$C2017,$D:$D,$D2017,$E:$E,"P0(전)",$M:$M,"&gt;0")&lt;&gt;1,"",SUMIFS($I:$I,$C:$C,$C2017,$D:$D,$D2017,$E:$E,"P0(전)"))</f>
        <v/>
      </c>
      <c r="P2017" s="31">
        <f>IF(COUNTIFS($C:$C,$C2017,$D:$D,$D2017,$E:$E,"P0(전)",$M:$M,"&gt;0")&lt;&gt;1,"",SUMIFS($M:$M,$C:$C,$C2017,$D:$D,$D2017,$E:$E,"P0(전)"))</f>
        <v/>
      </c>
      <c r="Q2017" s="48">
        <f>IF(COUNTIFS($C:$C,$C2017,$D:$D,$D2017,$E:$E,"P0(후)",$M:$M,"&gt;0")&lt;&gt;1,"",SUMIFS($I:$I,$C:$C,$C2017,$D:$D,$D2017,$E:$E,"P0(후)"))</f>
        <v/>
      </c>
      <c r="R2017" s="31">
        <f>IF(COUNTIFS($C:$C,$C2017,$D:$D,$D2017,$E:$E,"P0(후)",$M:$M,"&gt;0")&lt;&gt;1,"",SUMIFS($M:$M,$C:$C,$C2017,$D:$D,$D2017,$E:$E,"P0(후)"))</f>
        <v/>
      </c>
      <c r="S2017" s="31">
        <f>IF(N2017&lt;&gt;"OK","",P2017+(R2017-P2017)*(I2017-O2017)/(Q2017-O2017))</f>
        <v/>
      </c>
      <c r="T2017" s="31">
        <f>IF(OR(N2017&lt;&gt;"OK",NOT(ISNUMBER(M2017))),"",M2017-S2017)</f>
        <v/>
      </c>
      <c r="U2017" s="49">
        <f>IF(OR(NOT(ISNUMBER(T2017)),IF(ISNUMBER(H2017),H2017,G2017)=0),"",T2017/IF(ISNUMBER(H2017),H2017,G2017))</f>
        <v/>
      </c>
      <c r="V2017" s="49">
        <f>IF(ISNUMBER(U2017),ABS(U2017),"")</f>
        <v/>
      </c>
      <c r="W2017" s="49">
        <f>IF(OR($E2016&lt;&gt;"측정",$C2016&lt;&gt;$C2017,$D2016&lt;&gt;$D2017,NOT(ISNUMBER(M2017)),NOT(ISNUMBER(M2016)),(IF(ISNUMBER(H2017),H2017,G2017)-IF(ISNUMBER(H2016),H2016,G2016))=0),"",(M2017-M2016)/(IF(ISNUMBER(H2017),H2017,G2017)-IF(ISNUMBER(H2016),H2016,G2016)))</f>
        <v/>
      </c>
      <c r="X2017" s="31">
        <f>IF(NOT(AND(ISNUMBER(O2017),ISNUMBER(Q2017))),"",(Q2017-O2017)*1440)</f>
        <v/>
      </c>
      <c r="Y2017" s="29" t="n"/>
      <c r="Z2017" s="29" t="n"/>
      <c r="AA2017" s="29" t="n"/>
      <c r="AB2017" s="32" t="n"/>
      <c r="AC2017" s="32" t="n"/>
    </row>
    <row r="2018">
      <c r="A2018" s="26" t="inlineStr">
        <is>
          <t>S39</t>
        </is>
      </c>
      <c r="B2018" s="26" t="inlineStr">
        <is>
          <t>언양</t>
        </is>
      </c>
      <c r="C2018" s="26" t="inlineStr">
        <is>
          <t>S39-H남</t>
        </is>
      </c>
      <c r="D2018" s="47" t="n">
        <v>1</v>
      </c>
      <c r="E2018" s="26" t="inlineStr">
        <is>
          <t>측정</t>
        </is>
      </c>
      <c r="F2018" s="26" t="inlineStr">
        <is>
          <t>남</t>
        </is>
      </c>
      <c r="G2018" s="31" t="n">
        <v>9</v>
      </c>
      <c r="H2018" s="30" t="n"/>
      <c r="I2018" s="43" t="n"/>
      <c r="J2018" s="41" t="n"/>
      <c r="K2018" s="41" t="n"/>
      <c r="L2018" s="41" t="n"/>
      <c r="M2018" s="31">
        <f>IF(COUNT(J2018:L2018)=0,"",MEDIAN(J2018:L2018))</f>
        <v/>
      </c>
      <c r="N2018" s="26">
        <f>IF(COUNTIFS($C:$C,$C2018,$D:$D,$D2018,$E:$E,"P0(전)",$M:$M,"&gt;0")&lt;&gt;1,"P0(전) 유효 1개 아님",IF(COUNTIFS($C:$C,$C2018,$D:$D,$D2018,$E:$E,"P0(후)",$M:$M,"&gt;0")&lt;&gt;1,"P0(후) 유효 1개 아님",IF(NOT(AND(ISNUMBER(O2018),ISNUMBER(Q2018),ISNUMBER(I2018))),"시각 결측",IF(Q2018&lt;=O2018,"P0 시각 역전",IF(OR(I2018&lt;O2018,I2018&gt;Q2018),"측정시각 구간 밖","OK")))))</f>
        <v/>
      </c>
      <c r="O2018" s="48">
        <f>IF(COUNTIFS($C:$C,$C2018,$D:$D,$D2018,$E:$E,"P0(전)",$M:$M,"&gt;0")&lt;&gt;1,"",SUMIFS($I:$I,$C:$C,$C2018,$D:$D,$D2018,$E:$E,"P0(전)"))</f>
        <v/>
      </c>
      <c r="P2018" s="31">
        <f>IF(COUNTIFS($C:$C,$C2018,$D:$D,$D2018,$E:$E,"P0(전)",$M:$M,"&gt;0")&lt;&gt;1,"",SUMIFS($M:$M,$C:$C,$C2018,$D:$D,$D2018,$E:$E,"P0(전)"))</f>
        <v/>
      </c>
      <c r="Q2018" s="48">
        <f>IF(COUNTIFS($C:$C,$C2018,$D:$D,$D2018,$E:$E,"P0(후)",$M:$M,"&gt;0")&lt;&gt;1,"",SUMIFS($I:$I,$C:$C,$C2018,$D:$D,$D2018,$E:$E,"P0(후)"))</f>
        <v/>
      </c>
      <c r="R2018" s="31">
        <f>IF(COUNTIFS($C:$C,$C2018,$D:$D,$D2018,$E:$E,"P0(후)",$M:$M,"&gt;0")&lt;&gt;1,"",SUMIFS($M:$M,$C:$C,$C2018,$D:$D,$D2018,$E:$E,"P0(후)"))</f>
        <v/>
      </c>
      <c r="S2018" s="31">
        <f>IF(N2018&lt;&gt;"OK","",P2018+(R2018-P2018)*(I2018-O2018)/(Q2018-O2018))</f>
        <v/>
      </c>
      <c r="T2018" s="31">
        <f>IF(OR(N2018&lt;&gt;"OK",NOT(ISNUMBER(M2018))),"",M2018-S2018)</f>
        <v/>
      </c>
      <c r="U2018" s="49">
        <f>IF(OR(NOT(ISNUMBER(T2018)),IF(ISNUMBER(H2018),H2018,G2018)=0),"",T2018/IF(ISNUMBER(H2018),H2018,G2018))</f>
        <v/>
      </c>
      <c r="V2018" s="49">
        <f>IF(ISNUMBER(U2018),ABS(U2018),"")</f>
        <v/>
      </c>
      <c r="W2018" s="49">
        <f>IF(OR($E2017&lt;&gt;"측정",$C2017&lt;&gt;$C2018,$D2017&lt;&gt;$D2018,NOT(ISNUMBER(M2018)),NOT(ISNUMBER(M2017)),(IF(ISNUMBER(H2018),H2018,G2018)-IF(ISNUMBER(H2017),H2017,G2017))=0),"",(M2018-M2017)/(IF(ISNUMBER(H2018),H2018,G2018)-IF(ISNUMBER(H2017),H2017,G2017)))</f>
        <v/>
      </c>
      <c r="X2018" s="31">
        <f>IF(NOT(AND(ISNUMBER(O2018),ISNUMBER(Q2018))),"",(Q2018-O2018)*1440)</f>
        <v/>
      </c>
      <c r="Y2018" s="29" t="n"/>
      <c r="Z2018" s="29" t="n"/>
      <c r="AA2018" s="29" t="n"/>
      <c r="AB2018" s="32" t="n"/>
      <c r="AC2018" s="32" t="n"/>
    </row>
    <row r="2019">
      <c r="A2019" s="26" t="inlineStr">
        <is>
          <t>S39</t>
        </is>
      </c>
      <c r="B2019" s="26" t="inlineStr">
        <is>
          <t>언양</t>
        </is>
      </c>
      <c r="C2019" s="26" t="inlineStr">
        <is>
          <t>S39-H남</t>
        </is>
      </c>
      <c r="D2019" s="47" t="n">
        <v>1</v>
      </c>
      <c r="E2019" s="26" t="inlineStr">
        <is>
          <t>측정</t>
        </is>
      </c>
      <c r="F2019" s="26" t="inlineStr">
        <is>
          <t>남</t>
        </is>
      </c>
      <c r="G2019" s="31" t="n">
        <v>10</v>
      </c>
      <c r="H2019" s="30" t="n"/>
      <c r="I2019" s="43" t="n"/>
      <c r="J2019" s="41" t="n"/>
      <c r="K2019" s="41" t="n"/>
      <c r="L2019" s="41" t="n"/>
      <c r="M2019" s="31">
        <f>IF(COUNT(J2019:L2019)=0,"",MEDIAN(J2019:L2019))</f>
        <v/>
      </c>
      <c r="N2019" s="26">
        <f>IF(COUNTIFS($C:$C,$C2019,$D:$D,$D2019,$E:$E,"P0(전)",$M:$M,"&gt;0")&lt;&gt;1,"P0(전) 유효 1개 아님",IF(COUNTIFS($C:$C,$C2019,$D:$D,$D2019,$E:$E,"P0(후)",$M:$M,"&gt;0")&lt;&gt;1,"P0(후) 유효 1개 아님",IF(NOT(AND(ISNUMBER(O2019),ISNUMBER(Q2019),ISNUMBER(I2019))),"시각 결측",IF(Q2019&lt;=O2019,"P0 시각 역전",IF(OR(I2019&lt;O2019,I2019&gt;Q2019),"측정시각 구간 밖","OK")))))</f>
        <v/>
      </c>
      <c r="O2019" s="48">
        <f>IF(COUNTIFS($C:$C,$C2019,$D:$D,$D2019,$E:$E,"P0(전)",$M:$M,"&gt;0")&lt;&gt;1,"",SUMIFS($I:$I,$C:$C,$C2019,$D:$D,$D2019,$E:$E,"P0(전)"))</f>
        <v/>
      </c>
      <c r="P2019" s="31">
        <f>IF(COUNTIFS($C:$C,$C2019,$D:$D,$D2019,$E:$E,"P0(전)",$M:$M,"&gt;0")&lt;&gt;1,"",SUMIFS($M:$M,$C:$C,$C2019,$D:$D,$D2019,$E:$E,"P0(전)"))</f>
        <v/>
      </c>
      <c r="Q2019" s="48">
        <f>IF(COUNTIFS($C:$C,$C2019,$D:$D,$D2019,$E:$E,"P0(후)",$M:$M,"&gt;0")&lt;&gt;1,"",SUMIFS($I:$I,$C:$C,$C2019,$D:$D,$D2019,$E:$E,"P0(후)"))</f>
        <v/>
      </c>
      <c r="R2019" s="31">
        <f>IF(COUNTIFS($C:$C,$C2019,$D:$D,$D2019,$E:$E,"P0(후)",$M:$M,"&gt;0")&lt;&gt;1,"",SUMIFS($M:$M,$C:$C,$C2019,$D:$D,$D2019,$E:$E,"P0(후)"))</f>
        <v/>
      </c>
      <c r="S2019" s="31">
        <f>IF(N2019&lt;&gt;"OK","",P2019+(R2019-P2019)*(I2019-O2019)/(Q2019-O2019))</f>
        <v/>
      </c>
      <c r="T2019" s="31">
        <f>IF(OR(N2019&lt;&gt;"OK",NOT(ISNUMBER(M2019))),"",M2019-S2019)</f>
        <v/>
      </c>
      <c r="U2019" s="49">
        <f>IF(OR(NOT(ISNUMBER(T2019)),IF(ISNUMBER(H2019),H2019,G2019)=0),"",T2019/IF(ISNUMBER(H2019),H2019,G2019))</f>
        <v/>
      </c>
      <c r="V2019" s="49">
        <f>IF(ISNUMBER(U2019),ABS(U2019),"")</f>
        <v/>
      </c>
      <c r="W2019" s="49">
        <f>IF(OR($E2018&lt;&gt;"측정",$C2018&lt;&gt;$C2019,$D2018&lt;&gt;$D2019,NOT(ISNUMBER(M2019)),NOT(ISNUMBER(M2018)),(IF(ISNUMBER(H2019),H2019,G2019)-IF(ISNUMBER(H2018),H2018,G2018))=0),"",(M2019-M2018)/(IF(ISNUMBER(H2019),H2019,G2019)-IF(ISNUMBER(H2018),H2018,G2018)))</f>
        <v/>
      </c>
      <c r="X2019" s="31">
        <f>IF(NOT(AND(ISNUMBER(O2019),ISNUMBER(Q2019))),"",(Q2019-O2019)*1440)</f>
        <v/>
      </c>
      <c r="Y2019" s="29" t="n"/>
      <c r="Z2019" s="29" t="n"/>
      <c r="AA2019" s="29" t="n"/>
      <c r="AB2019" s="32" t="n"/>
      <c r="AC2019" s="32" t="n"/>
    </row>
    <row r="2020">
      <c r="A2020" s="44" t="inlineStr">
        <is>
          <t>S39</t>
        </is>
      </c>
      <c r="B2020" s="44" t="inlineStr">
        <is>
          <t>언양</t>
        </is>
      </c>
      <c r="C2020" s="44" t="inlineStr">
        <is>
          <t>S39-H남</t>
        </is>
      </c>
      <c r="D2020" s="45" t="n">
        <v>1</v>
      </c>
      <c r="E2020" s="44" t="inlineStr">
        <is>
          <t>P0(후)</t>
        </is>
      </c>
      <c r="F2020" s="44" t="inlineStr">
        <is>
          <t>남</t>
        </is>
      </c>
      <c r="G2020" s="46" t="n"/>
      <c r="H2020" s="30" t="n"/>
      <c r="I2020" s="43" t="n"/>
      <c r="J2020" s="41" t="n"/>
      <c r="K2020" s="41" t="n"/>
      <c r="L2020" s="41" t="n"/>
      <c r="M2020" s="31">
        <f>IF(COUNT(J2020:L2020)=0,"",MEDIAN(J2020:L2020))</f>
        <v/>
      </c>
      <c r="N2020" s="38" t="n"/>
      <c r="O2020" s="38" t="n"/>
      <c r="P2020" s="38" t="n"/>
      <c r="Q2020" s="38" t="n"/>
      <c r="R2020" s="38" t="n"/>
      <c r="S2020" s="38" t="n"/>
      <c r="T2020" s="38" t="n"/>
      <c r="U2020" s="38" t="n"/>
      <c r="V2020" s="38" t="n"/>
      <c r="W2020" s="38" t="n"/>
      <c r="X2020" s="38" t="n"/>
      <c r="Y2020" s="29" t="n"/>
      <c r="Z2020" s="29" t="n"/>
      <c r="AA2020" s="29" t="n"/>
      <c r="AB2020" s="32" t="n"/>
      <c r="AC2020" s="32" t="n"/>
    </row>
    <row r="2021">
      <c r="A2021" s="44" t="inlineStr">
        <is>
          <t>S39</t>
        </is>
      </c>
      <c r="B2021" s="44" t="inlineStr">
        <is>
          <t>언양</t>
        </is>
      </c>
      <c r="C2021" s="44" t="inlineStr">
        <is>
          <t>S39-H북</t>
        </is>
      </c>
      <c r="D2021" s="45" t="n">
        <v>1</v>
      </c>
      <c r="E2021" s="44" t="inlineStr">
        <is>
          <t>P0(전)</t>
        </is>
      </c>
      <c r="F2021" s="44" t="inlineStr">
        <is>
          <t>북</t>
        </is>
      </c>
      <c r="G2021" s="46" t="n"/>
      <c r="H2021" s="30" t="n"/>
      <c r="I2021" s="43" t="n"/>
      <c r="J2021" s="41" t="n"/>
      <c r="K2021" s="41" t="n"/>
      <c r="L2021" s="41" t="n"/>
      <c r="M2021" s="31">
        <f>IF(COUNT(J2021:L2021)=0,"",MEDIAN(J2021:L2021))</f>
        <v/>
      </c>
      <c r="N2021" s="38" t="n"/>
      <c r="O2021" s="38" t="n"/>
      <c r="P2021" s="38" t="n"/>
      <c r="Q2021" s="38" t="n"/>
      <c r="R2021" s="38" t="n"/>
      <c r="S2021" s="38" t="n"/>
      <c r="T2021" s="38" t="n"/>
      <c r="U2021" s="38" t="n"/>
      <c r="V2021" s="38" t="n"/>
      <c r="W2021" s="38" t="n"/>
      <c r="X2021" s="38" t="n"/>
      <c r="Y2021" s="29" t="n"/>
      <c r="Z2021" s="29" t="n"/>
      <c r="AA2021" s="29" t="n"/>
      <c r="AB2021" s="32" t="n"/>
      <c r="AC2021" s="32" t="n"/>
    </row>
    <row r="2022">
      <c r="A2022" s="26" t="inlineStr">
        <is>
          <t>S39</t>
        </is>
      </c>
      <c r="B2022" s="26" t="inlineStr">
        <is>
          <t>언양</t>
        </is>
      </c>
      <c r="C2022" s="26" t="inlineStr">
        <is>
          <t>S39-H북</t>
        </is>
      </c>
      <c r="D2022" s="47" t="n">
        <v>1</v>
      </c>
      <c r="E2022" s="26" t="inlineStr">
        <is>
          <t>측정</t>
        </is>
      </c>
      <c r="F2022" s="26" t="inlineStr">
        <is>
          <t>북</t>
        </is>
      </c>
      <c r="G2022" s="31" t="n">
        <v>0.5</v>
      </c>
      <c r="H2022" s="30" t="n"/>
      <c r="I2022" s="43" t="n"/>
      <c r="J2022" s="41" t="n"/>
      <c r="K2022" s="41" t="n"/>
      <c r="L2022" s="41" t="n"/>
      <c r="M2022" s="31">
        <f>IF(COUNT(J2022:L2022)=0,"",MEDIAN(J2022:L2022))</f>
        <v/>
      </c>
      <c r="N2022" s="26">
        <f>IF(COUNTIFS($C:$C,$C2022,$D:$D,$D2022,$E:$E,"P0(전)",$M:$M,"&gt;0")&lt;&gt;1,"P0(전) 유효 1개 아님",IF(COUNTIFS($C:$C,$C2022,$D:$D,$D2022,$E:$E,"P0(후)",$M:$M,"&gt;0")&lt;&gt;1,"P0(후) 유효 1개 아님",IF(NOT(AND(ISNUMBER(O2022),ISNUMBER(Q2022),ISNUMBER(I2022))),"시각 결측",IF(Q2022&lt;=O2022,"P0 시각 역전",IF(OR(I2022&lt;O2022,I2022&gt;Q2022),"측정시각 구간 밖","OK")))))</f>
        <v/>
      </c>
      <c r="O2022" s="48">
        <f>IF(COUNTIFS($C:$C,$C2022,$D:$D,$D2022,$E:$E,"P0(전)",$M:$M,"&gt;0")&lt;&gt;1,"",SUMIFS($I:$I,$C:$C,$C2022,$D:$D,$D2022,$E:$E,"P0(전)"))</f>
        <v/>
      </c>
      <c r="P2022" s="31">
        <f>IF(COUNTIFS($C:$C,$C2022,$D:$D,$D2022,$E:$E,"P0(전)",$M:$M,"&gt;0")&lt;&gt;1,"",SUMIFS($M:$M,$C:$C,$C2022,$D:$D,$D2022,$E:$E,"P0(전)"))</f>
        <v/>
      </c>
      <c r="Q2022" s="48">
        <f>IF(COUNTIFS($C:$C,$C2022,$D:$D,$D2022,$E:$E,"P0(후)",$M:$M,"&gt;0")&lt;&gt;1,"",SUMIFS($I:$I,$C:$C,$C2022,$D:$D,$D2022,$E:$E,"P0(후)"))</f>
        <v/>
      </c>
      <c r="R2022" s="31">
        <f>IF(COUNTIFS($C:$C,$C2022,$D:$D,$D2022,$E:$E,"P0(후)",$M:$M,"&gt;0")&lt;&gt;1,"",SUMIFS($M:$M,$C:$C,$C2022,$D:$D,$D2022,$E:$E,"P0(후)"))</f>
        <v/>
      </c>
      <c r="S2022" s="31">
        <f>IF(N2022&lt;&gt;"OK","",P2022+(R2022-P2022)*(I2022-O2022)/(Q2022-O2022))</f>
        <v/>
      </c>
      <c r="T2022" s="31">
        <f>IF(OR(N2022&lt;&gt;"OK",NOT(ISNUMBER(M2022))),"",M2022-S2022)</f>
        <v/>
      </c>
      <c r="U2022" s="49">
        <f>IF(OR(NOT(ISNUMBER(T2022)),IF(ISNUMBER(H2022),H2022,G2022)=0),"",T2022/IF(ISNUMBER(H2022),H2022,G2022))</f>
        <v/>
      </c>
      <c r="V2022" s="49">
        <f>IF(ISNUMBER(U2022),ABS(U2022),"")</f>
        <v/>
      </c>
      <c r="W2022" s="49">
        <f>IF(OR($E2021&lt;&gt;"측정",$C2021&lt;&gt;$C2022,$D2021&lt;&gt;$D2022,NOT(ISNUMBER(M2022)),NOT(ISNUMBER(M2021)),(IF(ISNUMBER(H2022),H2022,G2022)-IF(ISNUMBER(H2021),H2021,G2021))=0),"",(M2022-M2021)/(IF(ISNUMBER(H2022),H2022,G2022)-IF(ISNUMBER(H2021),H2021,G2021)))</f>
        <v/>
      </c>
      <c r="X2022" s="31">
        <f>IF(NOT(AND(ISNUMBER(O2022),ISNUMBER(Q2022))),"",(Q2022-O2022)*1440)</f>
        <v/>
      </c>
      <c r="Y2022" s="29" t="n"/>
      <c r="Z2022" s="29" t="n"/>
      <c r="AA2022" s="29" t="n"/>
      <c r="AB2022" s="32" t="n"/>
      <c r="AC2022" s="32" t="n"/>
    </row>
    <row r="2023">
      <c r="A2023" s="26" t="inlineStr">
        <is>
          <t>S39</t>
        </is>
      </c>
      <c r="B2023" s="26" t="inlineStr">
        <is>
          <t>언양</t>
        </is>
      </c>
      <c r="C2023" s="26" t="inlineStr">
        <is>
          <t>S39-H북</t>
        </is>
      </c>
      <c r="D2023" s="47" t="n">
        <v>1</v>
      </c>
      <c r="E2023" s="26" t="inlineStr">
        <is>
          <t>측정</t>
        </is>
      </c>
      <c r="F2023" s="26" t="inlineStr">
        <is>
          <t>북</t>
        </is>
      </c>
      <c r="G2023" s="31" t="n">
        <v>1</v>
      </c>
      <c r="H2023" s="30" t="n"/>
      <c r="I2023" s="43" t="n"/>
      <c r="J2023" s="41" t="n"/>
      <c r="K2023" s="41" t="n"/>
      <c r="L2023" s="41" t="n"/>
      <c r="M2023" s="31">
        <f>IF(COUNT(J2023:L2023)=0,"",MEDIAN(J2023:L2023))</f>
        <v/>
      </c>
      <c r="N2023" s="26">
        <f>IF(COUNTIFS($C:$C,$C2023,$D:$D,$D2023,$E:$E,"P0(전)",$M:$M,"&gt;0")&lt;&gt;1,"P0(전) 유효 1개 아님",IF(COUNTIFS($C:$C,$C2023,$D:$D,$D2023,$E:$E,"P0(후)",$M:$M,"&gt;0")&lt;&gt;1,"P0(후) 유효 1개 아님",IF(NOT(AND(ISNUMBER(O2023),ISNUMBER(Q2023),ISNUMBER(I2023))),"시각 결측",IF(Q2023&lt;=O2023,"P0 시각 역전",IF(OR(I2023&lt;O2023,I2023&gt;Q2023),"측정시각 구간 밖","OK")))))</f>
        <v/>
      </c>
      <c r="O2023" s="48">
        <f>IF(COUNTIFS($C:$C,$C2023,$D:$D,$D2023,$E:$E,"P0(전)",$M:$M,"&gt;0")&lt;&gt;1,"",SUMIFS($I:$I,$C:$C,$C2023,$D:$D,$D2023,$E:$E,"P0(전)"))</f>
        <v/>
      </c>
      <c r="P2023" s="31">
        <f>IF(COUNTIFS($C:$C,$C2023,$D:$D,$D2023,$E:$E,"P0(전)",$M:$M,"&gt;0")&lt;&gt;1,"",SUMIFS($M:$M,$C:$C,$C2023,$D:$D,$D2023,$E:$E,"P0(전)"))</f>
        <v/>
      </c>
      <c r="Q2023" s="48">
        <f>IF(COUNTIFS($C:$C,$C2023,$D:$D,$D2023,$E:$E,"P0(후)",$M:$M,"&gt;0")&lt;&gt;1,"",SUMIFS($I:$I,$C:$C,$C2023,$D:$D,$D2023,$E:$E,"P0(후)"))</f>
        <v/>
      </c>
      <c r="R2023" s="31">
        <f>IF(COUNTIFS($C:$C,$C2023,$D:$D,$D2023,$E:$E,"P0(후)",$M:$M,"&gt;0")&lt;&gt;1,"",SUMIFS($M:$M,$C:$C,$C2023,$D:$D,$D2023,$E:$E,"P0(후)"))</f>
        <v/>
      </c>
      <c r="S2023" s="31">
        <f>IF(N2023&lt;&gt;"OK","",P2023+(R2023-P2023)*(I2023-O2023)/(Q2023-O2023))</f>
        <v/>
      </c>
      <c r="T2023" s="31">
        <f>IF(OR(N2023&lt;&gt;"OK",NOT(ISNUMBER(M2023))),"",M2023-S2023)</f>
        <v/>
      </c>
      <c r="U2023" s="49">
        <f>IF(OR(NOT(ISNUMBER(T2023)),IF(ISNUMBER(H2023),H2023,G2023)=0),"",T2023/IF(ISNUMBER(H2023),H2023,G2023))</f>
        <v/>
      </c>
      <c r="V2023" s="49">
        <f>IF(ISNUMBER(U2023),ABS(U2023),"")</f>
        <v/>
      </c>
      <c r="W2023" s="49">
        <f>IF(OR($E2022&lt;&gt;"측정",$C2022&lt;&gt;$C2023,$D2022&lt;&gt;$D2023,NOT(ISNUMBER(M2023)),NOT(ISNUMBER(M2022)),(IF(ISNUMBER(H2023),H2023,G2023)-IF(ISNUMBER(H2022),H2022,G2022))=0),"",(M2023-M2022)/(IF(ISNUMBER(H2023),H2023,G2023)-IF(ISNUMBER(H2022),H2022,G2022)))</f>
        <v/>
      </c>
      <c r="X2023" s="31">
        <f>IF(NOT(AND(ISNUMBER(O2023),ISNUMBER(Q2023))),"",(Q2023-O2023)*1440)</f>
        <v/>
      </c>
      <c r="Y2023" s="29" t="n"/>
      <c r="Z2023" s="29" t="n"/>
      <c r="AA2023" s="29" t="n"/>
      <c r="AB2023" s="32" t="n"/>
      <c r="AC2023" s="32" t="n"/>
    </row>
    <row r="2024">
      <c r="A2024" s="26" t="inlineStr">
        <is>
          <t>S39</t>
        </is>
      </c>
      <c r="B2024" s="26" t="inlineStr">
        <is>
          <t>언양</t>
        </is>
      </c>
      <c r="C2024" s="26" t="inlineStr">
        <is>
          <t>S39-H북</t>
        </is>
      </c>
      <c r="D2024" s="47" t="n">
        <v>1</v>
      </c>
      <c r="E2024" s="26" t="inlineStr">
        <is>
          <t>측정</t>
        </is>
      </c>
      <c r="F2024" s="26" t="inlineStr">
        <is>
          <t>북</t>
        </is>
      </c>
      <c r="G2024" s="31" t="n">
        <v>2</v>
      </c>
      <c r="H2024" s="30" t="n"/>
      <c r="I2024" s="43" t="n"/>
      <c r="J2024" s="41" t="n"/>
      <c r="K2024" s="41" t="n"/>
      <c r="L2024" s="41" t="n"/>
      <c r="M2024" s="31">
        <f>IF(COUNT(J2024:L2024)=0,"",MEDIAN(J2024:L2024))</f>
        <v/>
      </c>
      <c r="N2024" s="26">
        <f>IF(COUNTIFS($C:$C,$C2024,$D:$D,$D2024,$E:$E,"P0(전)",$M:$M,"&gt;0")&lt;&gt;1,"P0(전) 유효 1개 아님",IF(COUNTIFS($C:$C,$C2024,$D:$D,$D2024,$E:$E,"P0(후)",$M:$M,"&gt;0")&lt;&gt;1,"P0(후) 유효 1개 아님",IF(NOT(AND(ISNUMBER(O2024),ISNUMBER(Q2024),ISNUMBER(I2024))),"시각 결측",IF(Q2024&lt;=O2024,"P0 시각 역전",IF(OR(I2024&lt;O2024,I2024&gt;Q2024),"측정시각 구간 밖","OK")))))</f>
        <v/>
      </c>
      <c r="O2024" s="48">
        <f>IF(COUNTIFS($C:$C,$C2024,$D:$D,$D2024,$E:$E,"P0(전)",$M:$M,"&gt;0")&lt;&gt;1,"",SUMIFS($I:$I,$C:$C,$C2024,$D:$D,$D2024,$E:$E,"P0(전)"))</f>
        <v/>
      </c>
      <c r="P2024" s="31">
        <f>IF(COUNTIFS($C:$C,$C2024,$D:$D,$D2024,$E:$E,"P0(전)",$M:$M,"&gt;0")&lt;&gt;1,"",SUMIFS($M:$M,$C:$C,$C2024,$D:$D,$D2024,$E:$E,"P0(전)"))</f>
        <v/>
      </c>
      <c r="Q2024" s="48">
        <f>IF(COUNTIFS($C:$C,$C2024,$D:$D,$D2024,$E:$E,"P0(후)",$M:$M,"&gt;0")&lt;&gt;1,"",SUMIFS($I:$I,$C:$C,$C2024,$D:$D,$D2024,$E:$E,"P0(후)"))</f>
        <v/>
      </c>
      <c r="R2024" s="31">
        <f>IF(COUNTIFS($C:$C,$C2024,$D:$D,$D2024,$E:$E,"P0(후)",$M:$M,"&gt;0")&lt;&gt;1,"",SUMIFS($M:$M,$C:$C,$C2024,$D:$D,$D2024,$E:$E,"P0(후)"))</f>
        <v/>
      </c>
      <c r="S2024" s="31">
        <f>IF(N2024&lt;&gt;"OK","",P2024+(R2024-P2024)*(I2024-O2024)/(Q2024-O2024))</f>
        <v/>
      </c>
      <c r="T2024" s="31">
        <f>IF(OR(N2024&lt;&gt;"OK",NOT(ISNUMBER(M2024))),"",M2024-S2024)</f>
        <v/>
      </c>
      <c r="U2024" s="49">
        <f>IF(OR(NOT(ISNUMBER(T2024)),IF(ISNUMBER(H2024),H2024,G2024)=0),"",T2024/IF(ISNUMBER(H2024),H2024,G2024))</f>
        <v/>
      </c>
      <c r="V2024" s="49">
        <f>IF(ISNUMBER(U2024),ABS(U2024),"")</f>
        <v/>
      </c>
      <c r="W2024" s="49">
        <f>IF(OR($E2023&lt;&gt;"측정",$C2023&lt;&gt;$C2024,$D2023&lt;&gt;$D2024,NOT(ISNUMBER(M2024)),NOT(ISNUMBER(M2023)),(IF(ISNUMBER(H2024),H2024,G2024)-IF(ISNUMBER(H2023),H2023,G2023))=0),"",(M2024-M2023)/(IF(ISNUMBER(H2024),H2024,G2024)-IF(ISNUMBER(H2023),H2023,G2023)))</f>
        <v/>
      </c>
      <c r="X2024" s="31">
        <f>IF(NOT(AND(ISNUMBER(O2024),ISNUMBER(Q2024))),"",(Q2024-O2024)*1440)</f>
        <v/>
      </c>
      <c r="Y2024" s="29" t="n"/>
      <c r="Z2024" s="29" t="n"/>
      <c r="AA2024" s="29" t="n"/>
      <c r="AB2024" s="32" t="n"/>
      <c r="AC2024" s="32" t="n"/>
    </row>
    <row r="2025">
      <c r="A2025" s="26" t="inlineStr">
        <is>
          <t>S39</t>
        </is>
      </c>
      <c r="B2025" s="26" t="inlineStr">
        <is>
          <t>언양</t>
        </is>
      </c>
      <c r="C2025" s="26" t="inlineStr">
        <is>
          <t>S39-H북</t>
        </is>
      </c>
      <c r="D2025" s="47" t="n">
        <v>1</v>
      </c>
      <c r="E2025" s="26" t="inlineStr">
        <is>
          <t>측정</t>
        </is>
      </c>
      <c r="F2025" s="26" t="inlineStr">
        <is>
          <t>북</t>
        </is>
      </c>
      <c r="G2025" s="31" t="n">
        <v>3</v>
      </c>
      <c r="H2025" s="30" t="n"/>
      <c r="I2025" s="43" t="n"/>
      <c r="J2025" s="41" t="n"/>
      <c r="K2025" s="41" t="n"/>
      <c r="L2025" s="41" t="n"/>
      <c r="M2025" s="31">
        <f>IF(COUNT(J2025:L2025)=0,"",MEDIAN(J2025:L2025))</f>
        <v/>
      </c>
      <c r="N2025" s="26">
        <f>IF(COUNTIFS($C:$C,$C2025,$D:$D,$D2025,$E:$E,"P0(전)",$M:$M,"&gt;0")&lt;&gt;1,"P0(전) 유효 1개 아님",IF(COUNTIFS($C:$C,$C2025,$D:$D,$D2025,$E:$E,"P0(후)",$M:$M,"&gt;0")&lt;&gt;1,"P0(후) 유효 1개 아님",IF(NOT(AND(ISNUMBER(O2025),ISNUMBER(Q2025),ISNUMBER(I2025))),"시각 결측",IF(Q2025&lt;=O2025,"P0 시각 역전",IF(OR(I2025&lt;O2025,I2025&gt;Q2025),"측정시각 구간 밖","OK")))))</f>
        <v/>
      </c>
      <c r="O2025" s="48">
        <f>IF(COUNTIFS($C:$C,$C2025,$D:$D,$D2025,$E:$E,"P0(전)",$M:$M,"&gt;0")&lt;&gt;1,"",SUMIFS($I:$I,$C:$C,$C2025,$D:$D,$D2025,$E:$E,"P0(전)"))</f>
        <v/>
      </c>
      <c r="P2025" s="31">
        <f>IF(COUNTIFS($C:$C,$C2025,$D:$D,$D2025,$E:$E,"P0(전)",$M:$M,"&gt;0")&lt;&gt;1,"",SUMIFS($M:$M,$C:$C,$C2025,$D:$D,$D2025,$E:$E,"P0(전)"))</f>
        <v/>
      </c>
      <c r="Q2025" s="48">
        <f>IF(COUNTIFS($C:$C,$C2025,$D:$D,$D2025,$E:$E,"P0(후)",$M:$M,"&gt;0")&lt;&gt;1,"",SUMIFS($I:$I,$C:$C,$C2025,$D:$D,$D2025,$E:$E,"P0(후)"))</f>
        <v/>
      </c>
      <c r="R2025" s="31">
        <f>IF(COUNTIFS($C:$C,$C2025,$D:$D,$D2025,$E:$E,"P0(후)",$M:$M,"&gt;0")&lt;&gt;1,"",SUMIFS($M:$M,$C:$C,$C2025,$D:$D,$D2025,$E:$E,"P0(후)"))</f>
        <v/>
      </c>
      <c r="S2025" s="31">
        <f>IF(N2025&lt;&gt;"OK","",P2025+(R2025-P2025)*(I2025-O2025)/(Q2025-O2025))</f>
        <v/>
      </c>
      <c r="T2025" s="31">
        <f>IF(OR(N2025&lt;&gt;"OK",NOT(ISNUMBER(M2025))),"",M2025-S2025)</f>
        <v/>
      </c>
      <c r="U2025" s="49">
        <f>IF(OR(NOT(ISNUMBER(T2025)),IF(ISNUMBER(H2025),H2025,G2025)=0),"",T2025/IF(ISNUMBER(H2025),H2025,G2025))</f>
        <v/>
      </c>
      <c r="V2025" s="49">
        <f>IF(ISNUMBER(U2025),ABS(U2025),"")</f>
        <v/>
      </c>
      <c r="W2025" s="49">
        <f>IF(OR($E2024&lt;&gt;"측정",$C2024&lt;&gt;$C2025,$D2024&lt;&gt;$D2025,NOT(ISNUMBER(M2025)),NOT(ISNUMBER(M2024)),(IF(ISNUMBER(H2025),H2025,G2025)-IF(ISNUMBER(H2024),H2024,G2024))=0),"",(M2025-M2024)/(IF(ISNUMBER(H2025),H2025,G2025)-IF(ISNUMBER(H2024),H2024,G2024)))</f>
        <v/>
      </c>
      <c r="X2025" s="31">
        <f>IF(NOT(AND(ISNUMBER(O2025),ISNUMBER(Q2025))),"",(Q2025-O2025)*1440)</f>
        <v/>
      </c>
      <c r="Y2025" s="29" t="n"/>
      <c r="Z2025" s="29" t="n"/>
      <c r="AA2025" s="29" t="n"/>
      <c r="AB2025" s="32" t="n"/>
      <c r="AC2025" s="32" t="n"/>
    </row>
    <row r="2026">
      <c r="A2026" s="26" t="inlineStr">
        <is>
          <t>S39</t>
        </is>
      </c>
      <c r="B2026" s="26" t="inlineStr">
        <is>
          <t>언양</t>
        </is>
      </c>
      <c r="C2026" s="26" t="inlineStr">
        <is>
          <t>S39-H북</t>
        </is>
      </c>
      <c r="D2026" s="47" t="n">
        <v>1</v>
      </c>
      <c r="E2026" s="26" t="inlineStr">
        <is>
          <t>측정</t>
        </is>
      </c>
      <c r="F2026" s="26" t="inlineStr">
        <is>
          <t>북</t>
        </is>
      </c>
      <c r="G2026" s="31" t="n">
        <v>4</v>
      </c>
      <c r="H2026" s="30" t="n"/>
      <c r="I2026" s="43" t="n"/>
      <c r="J2026" s="41" t="n"/>
      <c r="K2026" s="41" t="n"/>
      <c r="L2026" s="41" t="n"/>
      <c r="M2026" s="31">
        <f>IF(COUNT(J2026:L2026)=0,"",MEDIAN(J2026:L2026))</f>
        <v/>
      </c>
      <c r="N2026" s="26">
        <f>IF(COUNTIFS($C:$C,$C2026,$D:$D,$D2026,$E:$E,"P0(전)",$M:$M,"&gt;0")&lt;&gt;1,"P0(전) 유효 1개 아님",IF(COUNTIFS($C:$C,$C2026,$D:$D,$D2026,$E:$E,"P0(후)",$M:$M,"&gt;0")&lt;&gt;1,"P0(후) 유효 1개 아님",IF(NOT(AND(ISNUMBER(O2026),ISNUMBER(Q2026),ISNUMBER(I2026))),"시각 결측",IF(Q2026&lt;=O2026,"P0 시각 역전",IF(OR(I2026&lt;O2026,I2026&gt;Q2026),"측정시각 구간 밖","OK")))))</f>
        <v/>
      </c>
      <c r="O2026" s="48">
        <f>IF(COUNTIFS($C:$C,$C2026,$D:$D,$D2026,$E:$E,"P0(전)",$M:$M,"&gt;0")&lt;&gt;1,"",SUMIFS($I:$I,$C:$C,$C2026,$D:$D,$D2026,$E:$E,"P0(전)"))</f>
        <v/>
      </c>
      <c r="P2026" s="31">
        <f>IF(COUNTIFS($C:$C,$C2026,$D:$D,$D2026,$E:$E,"P0(전)",$M:$M,"&gt;0")&lt;&gt;1,"",SUMIFS($M:$M,$C:$C,$C2026,$D:$D,$D2026,$E:$E,"P0(전)"))</f>
        <v/>
      </c>
      <c r="Q2026" s="48">
        <f>IF(COUNTIFS($C:$C,$C2026,$D:$D,$D2026,$E:$E,"P0(후)",$M:$M,"&gt;0")&lt;&gt;1,"",SUMIFS($I:$I,$C:$C,$C2026,$D:$D,$D2026,$E:$E,"P0(후)"))</f>
        <v/>
      </c>
      <c r="R2026" s="31">
        <f>IF(COUNTIFS($C:$C,$C2026,$D:$D,$D2026,$E:$E,"P0(후)",$M:$M,"&gt;0")&lt;&gt;1,"",SUMIFS($M:$M,$C:$C,$C2026,$D:$D,$D2026,$E:$E,"P0(후)"))</f>
        <v/>
      </c>
      <c r="S2026" s="31">
        <f>IF(N2026&lt;&gt;"OK","",P2026+(R2026-P2026)*(I2026-O2026)/(Q2026-O2026))</f>
        <v/>
      </c>
      <c r="T2026" s="31">
        <f>IF(OR(N2026&lt;&gt;"OK",NOT(ISNUMBER(M2026))),"",M2026-S2026)</f>
        <v/>
      </c>
      <c r="U2026" s="49">
        <f>IF(OR(NOT(ISNUMBER(T2026)),IF(ISNUMBER(H2026),H2026,G2026)=0),"",T2026/IF(ISNUMBER(H2026),H2026,G2026))</f>
        <v/>
      </c>
      <c r="V2026" s="49">
        <f>IF(ISNUMBER(U2026),ABS(U2026),"")</f>
        <v/>
      </c>
      <c r="W2026" s="49">
        <f>IF(OR($E2025&lt;&gt;"측정",$C2025&lt;&gt;$C2026,$D2025&lt;&gt;$D2026,NOT(ISNUMBER(M2026)),NOT(ISNUMBER(M2025)),(IF(ISNUMBER(H2026),H2026,G2026)-IF(ISNUMBER(H2025),H2025,G2025))=0),"",(M2026-M2025)/(IF(ISNUMBER(H2026),H2026,G2026)-IF(ISNUMBER(H2025),H2025,G2025)))</f>
        <v/>
      </c>
      <c r="X2026" s="31">
        <f>IF(NOT(AND(ISNUMBER(O2026),ISNUMBER(Q2026))),"",(Q2026-O2026)*1440)</f>
        <v/>
      </c>
      <c r="Y2026" s="29" t="n"/>
      <c r="Z2026" s="29" t="n"/>
      <c r="AA2026" s="29" t="n"/>
      <c r="AB2026" s="32" t="n"/>
      <c r="AC2026" s="32" t="n"/>
    </row>
    <row r="2027">
      <c r="A2027" s="26" t="inlineStr">
        <is>
          <t>S39</t>
        </is>
      </c>
      <c r="B2027" s="26" t="inlineStr">
        <is>
          <t>언양</t>
        </is>
      </c>
      <c r="C2027" s="26" t="inlineStr">
        <is>
          <t>S39-H북</t>
        </is>
      </c>
      <c r="D2027" s="47" t="n">
        <v>1</v>
      </c>
      <c r="E2027" s="26" t="inlineStr">
        <is>
          <t>측정</t>
        </is>
      </c>
      <c r="F2027" s="26" t="inlineStr">
        <is>
          <t>북</t>
        </is>
      </c>
      <c r="G2027" s="31" t="n">
        <v>5</v>
      </c>
      <c r="H2027" s="30" t="n"/>
      <c r="I2027" s="43" t="n"/>
      <c r="J2027" s="41" t="n"/>
      <c r="K2027" s="41" t="n"/>
      <c r="L2027" s="41" t="n"/>
      <c r="M2027" s="31">
        <f>IF(COUNT(J2027:L2027)=0,"",MEDIAN(J2027:L2027))</f>
        <v/>
      </c>
      <c r="N2027" s="26">
        <f>IF(COUNTIFS($C:$C,$C2027,$D:$D,$D2027,$E:$E,"P0(전)",$M:$M,"&gt;0")&lt;&gt;1,"P0(전) 유효 1개 아님",IF(COUNTIFS($C:$C,$C2027,$D:$D,$D2027,$E:$E,"P0(후)",$M:$M,"&gt;0")&lt;&gt;1,"P0(후) 유효 1개 아님",IF(NOT(AND(ISNUMBER(O2027),ISNUMBER(Q2027),ISNUMBER(I2027))),"시각 결측",IF(Q2027&lt;=O2027,"P0 시각 역전",IF(OR(I2027&lt;O2027,I2027&gt;Q2027),"측정시각 구간 밖","OK")))))</f>
        <v/>
      </c>
      <c r="O2027" s="48">
        <f>IF(COUNTIFS($C:$C,$C2027,$D:$D,$D2027,$E:$E,"P0(전)",$M:$M,"&gt;0")&lt;&gt;1,"",SUMIFS($I:$I,$C:$C,$C2027,$D:$D,$D2027,$E:$E,"P0(전)"))</f>
        <v/>
      </c>
      <c r="P2027" s="31">
        <f>IF(COUNTIFS($C:$C,$C2027,$D:$D,$D2027,$E:$E,"P0(전)",$M:$M,"&gt;0")&lt;&gt;1,"",SUMIFS($M:$M,$C:$C,$C2027,$D:$D,$D2027,$E:$E,"P0(전)"))</f>
        <v/>
      </c>
      <c r="Q2027" s="48">
        <f>IF(COUNTIFS($C:$C,$C2027,$D:$D,$D2027,$E:$E,"P0(후)",$M:$M,"&gt;0")&lt;&gt;1,"",SUMIFS($I:$I,$C:$C,$C2027,$D:$D,$D2027,$E:$E,"P0(후)"))</f>
        <v/>
      </c>
      <c r="R2027" s="31">
        <f>IF(COUNTIFS($C:$C,$C2027,$D:$D,$D2027,$E:$E,"P0(후)",$M:$M,"&gt;0")&lt;&gt;1,"",SUMIFS($M:$M,$C:$C,$C2027,$D:$D,$D2027,$E:$E,"P0(후)"))</f>
        <v/>
      </c>
      <c r="S2027" s="31">
        <f>IF(N2027&lt;&gt;"OK","",P2027+(R2027-P2027)*(I2027-O2027)/(Q2027-O2027))</f>
        <v/>
      </c>
      <c r="T2027" s="31">
        <f>IF(OR(N2027&lt;&gt;"OK",NOT(ISNUMBER(M2027))),"",M2027-S2027)</f>
        <v/>
      </c>
      <c r="U2027" s="49">
        <f>IF(OR(NOT(ISNUMBER(T2027)),IF(ISNUMBER(H2027),H2027,G2027)=0),"",T2027/IF(ISNUMBER(H2027),H2027,G2027))</f>
        <v/>
      </c>
      <c r="V2027" s="49">
        <f>IF(ISNUMBER(U2027),ABS(U2027),"")</f>
        <v/>
      </c>
      <c r="W2027" s="49">
        <f>IF(OR($E2026&lt;&gt;"측정",$C2026&lt;&gt;$C2027,$D2026&lt;&gt;$D2027,NOT(ISNUMBER(M2027)),NOT(ISNUMBER(M2026)),(IF(ISNUMBER(H2027),H2027,G2027)-IF(ISNUMBER(H2026),H2026,G2026))=0),"",(M2027-M2026)/(IF(ISNUMBER(H2027),H2027,G2027)-IF(ISNUMBER(H2026),H2026,G2026)))</f>
        <v/>
      </c>
      <c r="X2027" s="31">
        <f>IF(NOT(AND(ISNUMBER(O2027),ISNUMBER(Q2027))),"",(Q2027-O2027)*1440)</f>
        <v/>
      </c>
      <c r="Y2027" s="29" t="n"/>
      <c r="Z2027" s="29" t="n"/>
      <c r="AA2027" s="29" t="n"/>
      <c r="AB2027" s="32" t="n"/>
      <c r="AC2027" s="32" t="n"/>
    </row>
    <row r="2028">
      <c r="A2028" s="26" t="inlineStr">
        <is>
          <t>S39</t>
        </is>
      </c>
      <c r="B2028" s="26" t="inlineStr">
        <is>
          <t>언양</t>
        </is>
      </c>
      <c r="C2028" s="26" t="inlineStr">
        <is>
          <t>S39-H북</t>
        </is>
      </c>
      <c r="D2028" s="47" t="n">
        <v>1</v>
      </c>
      <c r="E2028" s="26" t="inlineStr">
        <is>
          <t>측정</t>
        </is>
      </c>
      <c r="F2028" s="26" t="inlineStr">
        <is>
          <t>북</t>
        </is>
      </c>
      <c r="G2028" s="31" t="n">
        <v>6</v>
      </c>
      <c r="H2028" s="30" t="n"/>
      <c r="I2028" s="43" t="n"/>
      <c r="J2028" s="41" t="n"/>
      <c r="K2028" s="41" t="n"/>
      <c r="L2028" s="41" t="n"/>
      <c r="M2028" s="31">
        <f>IF(COUNT(J2028:L2028)=0,"",MEDIAN(J2028:L2028))</f>
        <v/>
      </c>
      <c r="N2028" s="26">
        <f>IF(COUNTIFS($C:$C,$C2028,$D:$D,$D2028,$E:$E,"P0(전)",$M:$M,"&gt;0")&lt;&gt;1,"P0(전) 유효 1개 아님",IF(COUNTIFS($C:$C,$C2028,$D:$D,$D2028,$E:$E,"P0(후)",$M:$M,"&gt;0")&lt;&gt;1,"P0(후) 유효 1개 아님",IF(NOT(AND(ISNUMBER(O2028),ISNUMBER(Q2028),ISNUMBER(I2028))),"시각 결측",IF(Q2028&lt;=O2028,"P0 시각 역전",IF(OR(I2028&lt;O2028,I2028&gt;Q2028),"측정시각 구간 밖","OK")))))</f>
        <v/>
      </c>
      <c r="O2028" s="48">
        <f>IF(COUNTIFS($C:$C,$C2028,$D:$D,$D2028,$E:$E,"P0(전)",$M:$M,"&gt;0")&lt;&gt;1,"",SUMIFS($I:$I,$C:$C,$C2028,$D:$D,$D2028,$E:$E,"P0(전)"))</f>
        <v/>
      </c>
      <c r="P2028" s="31">
        <f>IF(COUNTIFS($C:$C,$C2028,$D:$D,$D2028,$E:$E,"P0(전)",$M:$M,"&gt;0")&lt;&gt;1,"",SUMIFS($M:$M,$C:$C,$C2028,$D:$D,$D2028,$E:$E,"P0(전)"))</f>
        <v/>
      </c>
      <c r="Q2028" s="48">
        <f>IF(COUNTIFS($C:$C,$C2028,$D:$D,$D2028,$E:$E,"P0(후)",$M:$M,"&gt;0")&lt;&gt;1,"",SUMIFS($I:$I,$C:$C,$C2028,$D:$D,$D2028,$E:$E,"P0(후)"))</f>
        <v/>
      </c>
      <c r="R2028" s="31">
        <f>IF(COUNTIFS($C:$C,$C2028,$D:$D,$D2028,$E:$E,"P0(후)",$M:$M,"&gt;0")&lt;&gt;1,"",SUMIFS($M:$M,$C:$C,$C2028,$D:$D,$D2028,$E:$E,"P0(후)"))</f>
        <v/>
      </c>
      <c r="S2028" s="31">
        <f>IF(N2028&lt;&gt;"OK","",P2028+(R2028-P2028)*(I2028-O2028)/(Q2028-O2028))</f>
        <v/>
      </c>
      <c r="T2028" s="31">
        <f>IF(OR(N2028&lt;&gt;"OK",NOT(ISNUMBER(M2028))),"",M2028-S2028)</f>
        <v/>
      </c>
      <c r="U2028" s="49">
        <f>IF(OR(NOT(ISNUMBER(T2028)),IF(ISNUMBER(H2028),H2028,G2028)=0),"",T2028/IF(ISNUMBER(H2028),H2028,G2028))</f>
        <v/>
      </c>
      <c r="V2028" s="49">
        <f>IF(ISNUMBER(U2028),ABS(U2028),"")</f>
        <v/>
      </c>
      <c r="W2028" s="49">
        <f>IF(OR($E2027&lt;&gt;"측정",$C2027&lt;&gt;$C2028,$D2027&lt;&gt;$D2028,NOT(ISNUMBER(M2028)),NOT(ISNUMBER(M2027)),(IF(ISNUMBER(H2028),H2028,G2028)-IF(ISNUMBER(H2027),H2027,G2027))=0),"",(M2028-M2027)/(IF(ISNUMBER(H2028),H2028,G2028)-IF(ISNUMBER(H2027),H2027,G2027)))</f>
        <v/>
      </c>
      <c r="X2028" s="31">
        <f>IF(NOT(AND(ISNUMBER(O2028),ISNUMBER(Q2028))),"",(Q2028-O2028)*1440)</f>
        <v/>
      </c>
      <c r="Y2028" s="29" t="n"/>
      <c r="Z2028" s="29" t="n"/>
      <c r="AA2028" s="29" t="n"/>
      <c r="AB2028" s="32" t="n"/>
      <c r="AC2028" s="32" t="n"/>
    </row>
    <row r="2029">
      <c r="A2029" s="26" t="inlineStr">
        <is>
          <t>S39</t>
        </is>
      </c>
      <c r="B2029" s="26" t="inlineStr">
        <is>
          <t>언양</t>
        </is>
      </c>
      <c r="C2029" s="26" t="inlineStr">
        <is>
          <t>S39-H북</t>
        </is>
      </c>
      <c r="D2029" s="47" t="n">
        <v>1</v>
      </c>
      <c r="E2029" s="26" t="inlineStr">
        <is>
          <t>측정</t>
        </is>
      </c>
      <c r="F2029" s="26" t="inlineStr">
        <is>
          <t>북</t>
        </is>
      </c>
      <c r="G2029" s="31" t="n">
        <v>7</v>
      </c>
      <c r="H2029" s="30" t="n"/>
      <c r="I2029" s="43" t="n"/>
      <c r="J2029" s="41" t="n"/>
      <c r="K2029" s="41" t="n"/>
      <c r="L2029" s="41" t="n"/>
      <c r="M2029" s="31">
        <f>IF(COUNT(J2029:L2029)=0,"",MEDIAN(J2029:L2029))</f>
        <v/>
      </c>
      <c r="N2029" s="26">
        <f>IF(COUNTIFS($C:$C,$C2029,$D:$D,$D2029,$E:$E,"P0(전)",$M:$M,"&gt;0")&lt;&gt;1,"P0(전) 유효 1개 아님",IF(COUNTIFS($C:$C,$C2029,$D:$D,$D2029,$E:$E,"P0(후)",$M:$M,"&gt;0")&lt;&gt;1,"P0(후) 유효 1개 아님",IF(NOT(AND(ISNUMBER(O2029),ISNUMBER(Q2029),ISNUMBER(I2029))),"시각 결측",IF(Q2029&lt;=O2029,"P0 시각 역전",IF(OR(I2029&lt;O2029,I2029&gt;Q2029),"측정시각 구간 밖","OK")))))</f>
        <v/>
      </c>
      <c r="O2029" s="48">
        <f>IF(COUNTIFS($C:$C,$C2029,$D:$D,$D2029,$E:$E,"P0(전)",$M:$M,"&gt;0")&lt;&gt;1,"",SUMIFS($I:$I,$C:$C,$C2029,$D:$D,$D2029,$E:$E,"P0(전)"))</f>
        <v/>
      </c>
      <c r="P2029" s="31">
        <f>IF(COUNTIFS($C:$C,$C2029,$D:$D,$D2029,$E:$E,"P0(전)",$M:$M,"&gt;0")&lt;&gt;1,"",SUMIFS($M:$M,$C:$C,$C2029,$D:$D,$D2029,$E:$E,"P0(전)"))</f>
        <v/>
      </c>
      <c r="Q2029" s="48">
        <f>IF(COUNTIFS($C:$C,$C2029,$D:$D,$D2029,$E:$E,"P0(후)",$M:$M,"&gt;0")&lt;&gt;1,"",SUMIFS($I:$I,$C:$C,$C2029,$D:$D,$D2029,$E:$E,"P0(후)"))</f>
        <v/>
      </c>
      <c r="R2029" s="31">
        <f>IF(COUNTIFS($C:$C,$C2029,$D:$D,$D2029,$E:$E,"P0(후)",$M:$M,"&gt;0")&lt;&gt;1,"",SUMIFS($M:$M,$C:$C,$C2029,$D:$D,$D2029,$E:$E,"P0(후)"))</f>
        <v/>
      </c>
      <c r="S2029" s="31">
        <f>IF(N2029&lt;&gt;"OK","",P2029+(R2029-P2029)*(I2029-O2029)/(Q2029-O2029))</f>
        <v/>
      </c>
      <c r="T2029" s="31">
        <f>IF(OR(N2029&lt;&gt;"OK",NOT(ISNUMBER(M2029))),"",M2029-S2029)</f>
        <v/>
      </c>
      <c r="U2029" s="49">
        <f>IF(OR(NOT(ISNUMBER(T2029)),IF(ISNUMBER(H2029),H2029,G2029)=0),"",T2029/IF(ISNUMBER(H2029),H2029,G2029))</f>
        <v/>
      </c>
      <c r="V2029" s="49">
        <f>IF(ISNUMBER(U2029),ABS(U2029),"")</f>
        <v/>
      </c>
      <c r="W2029" s="49">
        <f>IF(OR($E2028&lt;&gt;"측정",$C2028&lt;&gt;$C2029,$D2028&lt;&gt;$D2029,NOT(ISNUMBER(M2029)),NOT(ISNUMBER(M2028)),(IF(ISNUMBER(H2029),H2029,G2029)-IF(ISNUMBER(H2028),H2028,G2028))=0),"",(M2029-M2028)/(IF(ISNUMBER(H2029),H2029,G2029)-IF(ISNUMBER(H2028),H2028,G2028)))</f>
        <v/>
      </c>
      <c r="X2029" s="31">
        <f>IF(NOT(AND(ISNUMBER(O2029),ISNUMBER(Q2029))),"",(Q2029-O2029)*1440)</f>
        <v/>
      </c>
      <c r="Y2029" s="29" t="n"/>
      <c r="Z2029" s="29" t="n"/>
      <c r="AA2029" s="29" t="n"/>
      <c r="AB2029" s="32" t="n"/>
      <c r="AC2029" s="32" t="n"/>
    </row>
    <row r="2030">
      <c r="A2030" s="26" t="inlineStr">
        <is>
          <t>S39</t>
        </is>
      </c>
      <c r="B2030" s="26" t="inlineStr">
        <is>
          <t>언양</t>
        </is>
      </c>
      <c r="C2030" s="26" t="inlineStr">
        <is>
          <t>S39-H북</t>
        </is>
      </c>
      <c r="D2030" s="47" t="n">
        <v>1</v>
      </c>
      <c r="E2030" s="26" t="inlineStr">
        <is>
          <t>측정</t>
        </is>
      </c>
      <c r="F2030" s="26" t="inlineStr">
        <is>
          <t>북</t>
        </is>
      </c>
      <c r="G2030" s="31" t="n">
        <v>8</v>
      </c>
      <c r="H2030" s="30" t="n"/>
      <c r="I2030" s="43" t="n"/>
      <c r="J2030" s="41" t="n"/>
      <c r="K2030" s="41" t="n"/>
      <c r="L2030" s="41" t="n"/>
      <c r="M2030" s="31">
        <f>IF(COUNT(J2030:L2030)=0,"",MEDIAN(J2030:L2030))</f>
        <v/>
      </c>
      <c r="N2030" s="26">
        <f>IF(COUNTIFS($C:$C,$C2030,$D:$D,$D2030,$E:$E,"P0(전)",$M:$M,"&gt;0")&lt;&gt;1,"P0(전) 유효 1개 아님",IF(COUNTIFS($C:$C,$C2030,$D:$D,$D2030,$E:$E,"P0(후)",$M:$M,"&gt;0")&lt;&gt;1,"P0(후) 유효 1개 아님",IF(NOT(AND(ISNUMBER(O2030),ISNUMBER(Q2030),ISNUMBER(I2030))),"시각 결측",IF(Q2030&lt;=O2030,"P0 시각 역전",IF(OR(I2030&lt;O2030,I2030&gt;Q2030),"측정시각 구간 밖","OK")))))</f>
        <v/>
      </c>
      <c r="O2030" s="48">
        <f>IF(COUNTIFS($C:$C,$C2030,$D:$D,$D2030,$E:$E,"P0(전)",$M:$M,"&gt;0")&lt;&gt;1,"",SUMIFS($I:$I,$C:$C,$C2030,$D:$D,$D2030,$E:$E,"P0(전)"))</f>
        <v/>
      </c>
      <c r="P2030" s="31">
        <f>IF(COUNTIFS($C:$C,$C2030,$D:$D,$D2030,$E:$E,"P0(전)",$M:$M,"&gt;0")&lt;&gt;1,"",SUMIFS($M:$M,$C:$C,$C2030,$D:$D,$D2030,$E:$E,"P0(전)"))</f>
        <v/>
      </c>
      <c r="Q2030" s="48">
        <f>IF(COUNTIFS($C:$C,$C2030,$D:$D,$D2030,$E:$E,"P0(후)",$M:$M,"&gt;0")&lt;&gt;1,"",SUMIFS($I:$I,$C:$C,$C2030,$D:$D,$D2030,$E:$E,"P0(후)"))</f>
        <v/>
      </c>
      <c r="R2030" s="31">
        <f>IF(COUNTIFS($C:$C,$C2030,$D:$D,$D2030,$E:$E,"P0(후)",$M:$M,"&gt;0")&lt;&gt;1,"",SUMIFS($M:$M,$C:$C,$C2030,$D:$D,$D2030,$E:$E,"P0(후)"))</f>
        <v/>
      </c>
      <c r="S2030" s="31">
        <f>IF(N2030&lt;&gt;"OK","",P2030+(R2030-P2030)*(I2030-O2030)/(Q2030-O2030))</f>
        <v/>
      </c>
      <c r="T2030" s="31">
        <f>IF(OR(N2030&lt;&gt;"OK",NOT(ISNUMBER(M2030))),"",M2030-S2030)</f>
        <v/>
      </c>
      <c r="U2030" s="49">
        <f>IF(OR(NOT(ISNUMBER(T2030)),IF(ISNUMBER(H2030),H2030,G2030)=0),"",T2030/IF(ISNUMBER(H2030),H2030,G2030))</f>
        <v/>
      </c>
      <c r="V2030" s="49">
        <f>IF(ISNUMBER(U2030),ABS(U2030),"")</f>
        <v/>
      </c>
      <c r="W2030" s="49">
        <f>IF(OR($E2029&lt;&gt;"측정",$C2029&lt;&gt;$C2030,$D2029&lt;&gt;$D2030,NOT(ISNUMBER(M2030)),NOT(ISNUMBER(M2029)),(IF(ISNUMBER(H2030),H2030,G2030)-IF(ISNUMBER(H2029),H2029,G2029))=0),"",(M2030-M2029)/(IF(ISNUMBER(H2030),H2030,G2030)-IF(ISNUMBER(H2029),H2029,G2029)))</f>
        <v/>
      </c>
      <c r="X2030" s="31">
        <f>IF(NOT(AND(ISNUMBER(O2030),ISNUMBER(Q2030))),"",(Q2030-O2030)*1440)</f>
        <v/>
      </c>
      <c r="Y2030" s="29" t="n"/>
      <c r="Z2030" s="29" t="n"/>
      <c r="AA2030" s="29" t="n"/>
      <c r="AB2030" s="32" t="n"/>
      <c r="AC2030" s="32" t="n"/>
    </row>
    <row r="2031">
      <c r="A2031" s="26" t="inlineStr">
        <is>
          <t>S39</t>
        </is>
      </c>
      <c r="B2031" s="26" t="inlineStr">
        <is>
          <t>언양</t>
        </is>
      </c>
      <c r="C2031" s="26" t="inlineStr">
        <is>
          <t>S39-H북</t>
        </is>
      </c>
      <c r="D2031" s="47" t="n">
        <v>1</v>
      </c>
      <c r="E2031" s="26" t="inlineStr">
        <is>
          <t>측정</t>
        </is>
      </c>
      <c r="F2031" s="26" t="inlineStr">
        <is>
          <t>북</t>
        </is>
      </c>
      <c r="G2031" s="31" t="n">
        <v>9</v>
      </c>
      <c r="H2031" s="30" t="n"/>
      <c r="I2031" s="43" t="n"/>
      <c r="J2031" s="41" t="n"/>
      <c r="K2031" s="41" t="n"/>
      <c r="L2031" s="41" t="n"/>
      <c r="M2031" s="31">
        <f>IF(COUNT(J2031:L2031)=0,"",MEDIAN(J2031:L2031))</f>
        <v/>
      </c>
      <c r="N2031" s="26">
        <f>IF(COUNTIFS($C:$C,$C2031,$D:$D,$D2031,$E:$E,"P0(전)",$M:$M,"&gt;0")&lt;&gt;1,"P0(전) 유효 1개 아님",IF(COUNTIFS($C:$C,$C2031,$D:$D,$D2031,$E:$E,"P0(후)",$M:$M,"&gt;0")&lt;&gt;1,"P0(후) 유효 1개 아님",IF(NOT(AND(ISNUMBER(O2031),ISNUMBER(Q2031),ISNUMBER(I2031))),"시각 결측",IF(Q2031&lt;=O2031,"P0 시각 역전",IF(OR(I2031&lt;O2031,I2031&gt;Q2031),"측정시각 구간 밖","OK")))))</f>
        <v/>
      </c>
      <c r="O2031" s="48">
        <f>IF(COUNTIFS($C:$C,$C2031,$D:$D,$D2031,$E:$E,"P0(전)",$M:$M,"&gt;0")&lt;&gt;1,"",SUMIFS($I:$I,$C:$C,$C2031,$D:$D,$D2031,$E:$E,"P0(전)"))</f>
        <v/>
      </c>
      <c r="P2031" s="31">
        <f>IF(COUNTIFS($C:$C,$C2031,$D:$D,$D2031,$E:$E,"P0(전)",$M:$M,"&gt;0")&lt;&gt;1,"",SUMIFS($M:$M,$C:$C,$C2031,$D:$D,$D2031,$E:$E,"P0(전)"))</f>
        <v/>
      </c>
      <c r="Q2031" s="48">
        <f>IF(COUNTIFS($C:$C,$C2031,$D:$D,$D2031,$E:$E,"P0(후)",$M:$M,"&gt;0")&lt;&gt;1,"",SUMIFS($I:$I,$C:$C,$C2031,$D:$D,$D2031,$E:$E,"P0(후)"))</f>
        <v/>
      </c>
      <c r="R2031" s="31">
        <f>IF(COUNTIFS($C:$C,$C2031,$D:$D,$D2031,$E:$E,"P0(후)",$M:$M,"&gt;0")&lt;&gt;1,"",SUMIFS($M:$M,$C:$C,$C2031,$D:$D,$D2031,$E:$E,"P0(후)"))</f>
        <v/>
      </c>
      <c r="S2031" s="31">
        <f>IF(N2031&lt;&gt;"OK","",P2031+(R2031-P2031)*(I2031-O2031)/(Q2031-O2031))</f>
        <v/>
      </c>
      <c r="T2031" s="31">
        <f>IF(OR(N2031&lt;&gt;"OK",NOT(ISNUMBER(M2031))),"",M2031-S2031)</f>
        <v/>
      </c>
      <c r="U2031" s="49">
        <f>IF(OR(NOT(ISNUMBER(T2031)),IF(ISNUMBER(H2031),H2031,G2031)=0),"",T2031/IF(ISNUMBER(H2031),H2031,G2031))</f>
        <v/>
      </c>
      <c r="V2031" s="49">
        <f>IF(ISNUMBER(U2031),ABS(U2031),"")</f>
        <v/>
      </c>
      <c r="W2031" s="49">
        <f>IF(OR($E2030&lt;&gt;"측정",$C2030&lt;&gt;$C2031,$D2030&lt;&gt;$D2031,NOT(ISNUMBER(M2031)),NOT(ISNUMBER(M2030)),(IF(ISNUMBER(H2031),H2031,G2031)-IF(ISNUMBER(H2030),H2030,G2030))=0),"",(M2031-M2030)/(IF(ISNUMBER(H2031),H2031,G2031)-IF(ISNUMBER(H2030),H2030,G2030)))</f>
        <v/>
      </c>
      <c r="X2031" s="31">
        <f>IF(NOT(AND(ISNUMBER(O2031),ISNUMBER(Q2031))),"",(Q2031-O2031)*1440)</f>
        <v/>
      </c>
      <c r="Y2031" s="29" t="n"/>
      <c r="Z2031" s="29" t="n"/>
      <c r="AA2031" s="29" t="n"/>
      <c r="AB2031" s="32" t="n"/>
      <c r="AC2031" s="32" t="n"/>
    </row>
    <row r="2032">
      <c r="A2032" s="26" t="inlineStr">
        <is>
          <t>S39</t>
        </is>
      </c>
      <c r="B2032" s="26" t="inlineStr">
        <is>
          <t>언양</t>
        </is>
      </c>
      <c r="C2032" s="26" t="inlineStr">
        <is>
          <t>S39-H북</t>
        </is>
      </c>
      <c r="D2032" s="47" t="n">
        <v>1</v>
      </c>
      <c r="E2032" s="26" t="inlineStr">
        <is>
          <t>측정</t>
        </is>
      </c>
      <c r="F2032" s="26" t="inlineStr">
        <is>
          <t>북</t>
        </is>
      </c>
      <c r="G2032" s="31" t="n">
        <v>10</v>
      </c>
      <c r="H2032" s="30" t="n"/>
      <c r="I2032" s="43" t="n"/>
      <c r="J2032" s="41" t="n"/>
      <c r="K2032" s="41" t="n"/>
      <c r="L2032" s="41" t="n"/>
      <c r="M2032" s="31">
        <f>IF(COUNT(J2032:L2032)=0,"",MEDIAN(J2032:L2032))</f>
        <v/>
      </c>
      <c r="N2032" s="26">
        <f>IF(COUNTIFS($C:$C,$C2032,$D:$D,$D2032,$E:$E,"P0(전)",$M:$M,"&gt;0")&lt;&gt;1,"P0(전) 유효 1개 아님",IF(COUNTIFS($C:$C,$C2032,$D:$D,$D2032,$E:$E,"P0(후)",$M:$M,"&gt;0")&lt;&gt;1,"P0(후) 유효 1개 아님",IF(NOT(AND(ISNUMBER(O2032),ISNUMBER(Q2032),ISNUMBER(I2032))),"시각 결측",IF(Q2032&lt;=O2032,"P0 시각 역전",IF(OR(I2032&lt;O2032,I2032&gt;Q2032),"측정시각 구간 밖","OK")))))</f>
        <v/>
      </c>
      <c r="O2032" s="48">
        <f>IF(COUNTIFS($C:$C,$C2032,$D:$D,$D2032,$E:$E,"P0(전)",$M:$M,"&gt;0")&lt;&gt;1,"",SUMIFS($I:$I,$C:$C,$C2032,$D:$D,$D2032,$E:$E,"P0(전)"))</f>
        <v/>
      </c>
      <c r="P2032" s="31">
        <f>IF(COUNTIFS($C:$C,$C2032,$D:$D,$D2032,$E:$E,"P0(전)",$M:$M,"&gt;0")&lt;&gt;1,"",SUMIFS($M:$M,$C:$C,$C2032,$D:$D,$D2032,$E:$E,"P0(전)"))</f>
        <v/>
      </c>
      <c r="Q2032" s="48">
        <f>IF(COUNTIFS($C:$C,$C2032,$D:$D,$D2032,$E:$E,"P0(후)",$M:$M,"&gt;0")&lt;&gt;1,"",SUMIFS($I:$I,$C:$C,$C2032,$D:$D,$D2032,$E:$E,"P0(후)"))</f>
        <v/>
      </c>
      <c r="R2032" s="31">
        <f>IF(COUNTIFS($C:$C,$C2032,$D:$D,$D2032,$E:$E,"P0(후)",$M:$M,"&gt;0")&lt;&gt;1,"",SUMIFS($M:$M,$C:$C,$C2032,$D:$D,$D2032,$E:$E,"P0(후)"))</f>
        <v/>
      </c>
      <c r="S2032" s="31">
        <f>IF(N2032&lt;&gt;"OK","",P2032+(R2032-P2032)*(I2032-O2032)/(Q2032-O2032))</f>
        <v/>
      </c>
      <c r="T2032" s="31">
        <f>IF(OR(N2032&lt;&gt;"OK",NOT(ISNUMBER(M2032))),"",M2032-S2032)</f>
        <v/>
      </c>
      <c r="U2032" s="49">
        <f>IF(OR(NOT(ISNUMBER(T2032)),IF(ISNUMBER(H2032),H2032,G2032)=0),"",T2032/IF(ISNUMBER(H2032),H2032,G2032))</f>
        <v/>
      </c>
      <c r="V2032" s="49">
        <f>IF(ISNUMBER(U2032),ABS(U2032),"")</f>
        <v/>
      </c>
      <c r="W2032" s="49">
        <f>IF(OR($E2031&lt;&gt;"측정",$C2031&lt;&gt;$C2032,$D2031&lt;&gt;$D2032,NOT(ISNUMBER(M2032)),NOT(ISNUMBER(M2031)),(IF(ISNUMBER(H2032),H2032,G2032)-IF(ISNUMBER(H2031),H2031,G2031))=0),"",(M2032-M2031)/(IF(ISNUMBER(H2032),H2032,G2032)-IF(ISNUMBER(H2031),H2031,G2031)))</f>
        <v/>
      </c>
      <c r="X2032" s="31">
        <f>IF(NOT(AND(ISNUMBER(O2032),ISNUMBER(Q2032))),"",(Q2032-O2032)*1440)</f>
        <v/>
      </c>
      <c r="Y2032" s="29" t="n"/>
      <c r="Z2032" s="29" t="n"/>
      <c r="AA2032" s="29" t="n"/>
      <c r="AB2032" s="32" t="n"/>
      <c r="AC2032" s="32" t="n"/>
    </row>
    <row r="2033">
      <c r="A2033" s="44" t="inlineStr">
        <is>
          <t>S39</t>
        </is>
      </c>
      <c r="B2033" s="44" t="inlineStr">
        <is>
          <t>언양</t>
        </is>
      </c>
      <c r="C2033" s="44" t="inlineStr">
        <is>
          <t>S39-H북</t>
        </is>
      </c>
      <c r="D2033" s="45" t="n">
        <v>1</v>
      </c>
      <c r="E2033" s="44" t="inlineStr">
        <is>
          <t>P0(후)</t>
        </is>
      </c>
      <c r="F2033" s="44" t="inlineStr">
        <is>
          <t>북</t>
        </is>
      </c>
      <c r="G2033" s="46" t="n"/>
      <c r="H2033" s="30" t="n"/>
      <c r="I2033" s="43" t="n"/>
      <c r="J2033" s="41" t="n"/>
      <c r="K2033" s="41" t="n"/>
      <c r="L2033" s="41" t="n"/>
      <c r="M2033" s="31">
        <f>IF(COUNT(J2033:L2033)=0,"",MEDIAN(J2033:L2033))</f>
        <v/>
      </c>
      <c r="N2033" s="38" t="n"/>
      <c r="O2033" s="38" t="n"/>
      <c r="P2033" s="38" t="n"/>
      <c r="Q2033" s="38" t="n"/>
      <c r="R2033" s="38" t="n"/>
      <c r="S2033" s="38" t="n"/>
      <c r="T2033" s="38" t="n"/>
      <c r="U2033" s="38" t="n"/>
      <c r="V2033" s="38" t="n"/>
      <c r="W2033" s="38" t="n"/>
      <c r="X2033" s="38" t="n"/>
      <c r="Y2033" s="29" t="n"/>
      <c r="Z2033" s="29" t="n"/>
      <c r="AA2033" s="29" t="n"/>
      <c r="AB2033" s="32" t="n"/>
      <c r="AC2033" s="32" t="n"/>
    </row>
    <row r="2034">
      <c r="A2034" s="44" t="inlineStr">
        <is>
          <t>S40</t>
        </is>
      </c>
      <c r="B2034" s="44" t="inlineStr">
        <is>
          <t>남지</t>
        </is>
      </c>
      <c r="C2034" s="44" t="inlineStr">
        <is>
          <t>S40-H동</t>
        </is>
      </c>
      <c r="D2034" s="45" t="n">
        <v>1</v>
      </c>
      <c r="E2034" s="44" t="inlineStr">
        <is>
          <t>P0(전)</t>
        </is>
      </c>
      <c r="F2034" s="44" t="inlineStr">
        <is>
          <t>동</t>
        </is>
      </c>
      <c r="G2034" s="46" t="n"/>
      <c r="H2034" s="30" t="n"/>
      <c r="I2034" s="43" t="n"/>
      <c r="J2034" s="41" t="n"/>
      <c r="K2034" s="41" t="n"/>
      <c r="L2034" s="41" t="n"/>
      <c r="M2034" s="31">
        <f>IF(COUNT(J2034:L2034)=0,"",MEDIAN(J2034:L2034))</f>
        <v/>
      </c>
      <c r="N2034" s="38" t="n"/>
      <c r="O2034" s="38" t="n"/>
      <c r="P2034" s="38" t="n"/>
      <c r="Q2034" s="38" t="n"/>
      <c r="R2034" s="38" t="n"/>
      <c r="S2034" s="38" t="n"/>
      <c r="T2034" s="38" t="n"/>
      <c r="U2034" s="38" t="n"/>
      <c r="V2034" s="38" t="n"/>
      <c r="W2034" s="38" t="n"/>
      <c r="X2034" s="38" t="n"/>
      <c r="Y2034" s="29" t="n"/>
      <c r="Z2034" s="29" t="n"/>
      <c r="AA2034" s="29" t="n"/>
      <c r="AB2034" s="32" t="n"/>
      <c r="AC2034" s="32" t="n"/>
    </row>
    <row r="2035">
      <c r="A2035" s="26" t="inlineStr">
        <is>
          <t>S40</t>
        </is>
      </c>
      <c r="B2035" s="26" t="inlineStr">
        <is>
          <t>남지</t>
        </is>
      </c>
      <c r="C2035" s="26" t="inlineStr">
        <is>
          <t>S40-H동</t>
        </is>
      </c>
      <c r="D2035" s="47" t="n">
        <v>1</v>
      </c>
      <c r="E2035" s="26" t="inlineStr">
        <is>
          <t>측정</t>
        </is>
      </c>
      <c r="F2035" s="26" t="inlineStr">
        <is>
          <t>동</t>
        </is>
      </c>
      <c r="G2035" s="31" t="n">
        <v>0.5</v>
      </c>
      <c r="H2035" s="30" t="n"/>
      <c r="I2035" s="43" t="n"/>
      <c r="J2035" s="41" t="n"/>
      <c r="K2035" s="41" t="n"/>
      <c r="L2035" s="41" t="n"/>
      <c r="M2035" s="31">
        <f>IF(COUNT(J2035:L2035)=0,"",MEDIAN(J2035:L2035))</f>
        <v/>
      </c>
      <c r="N2035" s="26">
        <f>IF(COUNTIFS($C:$C,$C2035,$D:$D,$D2035,$E:$E,"P0(전)",$M:$M,"&gt;0")&lt;&gt;1,"P0(전) 유효 1개 아님",IF(COUNTIFS($C:$C,$C2035,$D:$D,$D2035,$E:$E,"P0(후)",$M:$M,"&gt;0")&lt;&gt;1,"P0(후) 유효 1개 아님",IF(NOT(AND(ISNUMBER(O2035),ISNUMBER(Q2035),ISNUMBER(I2035))),"시각 결측",IF(Q2035&lt;=O2035,"P0 시각 역전",IF(OR(I2035&lt;O2035,I2035&gt;Q2035),"측정시각 구간 밖","OK")))))</f>
        <v/>
      </c>
      <c r="O2035" s="48">
        <f>IF(COUNTIFS($C:$C,$C2035,$D:$D,$D2035,$E:$E,"P0(전)",$M:$M,"&gt;0")&lt;&gt;1,"",SUMIFS($I:$I,$C:$C,$C2035,$D:$D,$D2035,$E:$E,"P0(전)"))</f>
        <v/>
      </c>
      <c r="P2035" s="31">
        <f>IF(COUNTIFS($C:$C,$C2035,$D:$D,$D2035,$E:$E,"P0(전)",$M:$M,"&gt;0")&lt;&gt;1,"",SUMIFS($M:$M,$C:$C,$C2035,$D:$D,$D2035,$E:$E,"P0(전)"))</f>
        <v/>
      </c>
      <c r="Q2035" s="48">
        <f>IF(COUNTIFS($C:$C,$C2035,$D:$D,$D2035,$E:$E,"P0(후)",$M:$M,"&gt;0")&lt;&gt;1,"",SUMIFS($I:$I,$C:$C,$C2035,$D:$D,$D2035,$E:$E,"P0(후)"))</f>
        <v/>
      </c>
      <c r="R2035" s="31">
        <f>IF(COUNTIFS($C:$C,$C2035,$D:$D,$D2035,$E:$E,"P0(후)",$M:$M,"&gt;0")&lt;&gt;1,"",SUMIFS($M:$M,$C:$C,$C2035,$D:$D,$D2035,$E:$E,"P0(후)"))</f>
        <v/>
      </c>
      <c r="S2035" s="31">
        <f>IF(N2035&lt;&gt;"OK","",P2035+(R2035-P2035)*(I2035-O2035)/(Q2035-O2035))</f>
        <v/>
      </c>
      <c r="T2035" s="31">
        <f>IF(OR(N2035&lt;&gt;"OK",NOT(ISNUMBER(M2035))),"",M2035-S2035)</f>
        <v/>
      </c>
      <c r="U2035" s="49">
        <f>IF(OR(NOT(ISNUMBER(T2035)),IF(ISNUMBER(H2035),H2035,G2035)=0),"",T2035/IF(ISNUMBER(H2035),H2035,G2035))</f>
        <v/>
      </c>
      <c r="V2035" s="49">
        <f>IF(ISNUMBER(U2035),ABS(U2035),"")</f>
        <v/>
      </c>
      <c r="W2035" s="49">
        <f>IF(OR($E2034&lt;&gt;"측정",$C2034&lt;&gt;$C2035,$D2034&lt;&gt;$D2035,NOT(ISNUMBER(M2035)),NOT(ISNUMBER(M2034)),(IF(ISNUMBER(H2035),H2035,G2035)-IF(ISNUMBER(H2034),H2034,G2034))=0),"",(M2035-M2034)/(IF(ISNUMBER(H2035),H2035,G2035)-IF(ISNUMBER(H2034),H2034,G2034)))</f>
        <v/>
      </c>
      <c r="X2035" s="31">
        <f>IF(NOT(AND(ISNUMBER(O2035),ISNUMBER(Q2035))),"",(Q2035-O2035)*1440)</f>
        <v/>
      </c>
      <c r="Y2035" s="29" t="n"/>
      <c r="Z2035" s="29" t="n"/>
      <c r="AA2035" s="29" t="n"/>
      <c r="AB2035" s="32" t="n"/>
      <c r="AC2035" s="32" t="n"/>
    </row>
    <row r="2036">
      <c r="A2036" s="26" t="inlineStr">
        <is>
          <t>S40</t>
        </is>
      </c>
      <c r="B2036" s="26" t="inlineStr">
        <is>
          <t>남지</t>
        </is>
      </c>
      <c r="C2036" s="26" t="inlineStr">
        <is>
          <t>S40-H동</t>
        </is>
      </c>
      <c r="D2036" s="47" t="n">
        <v>1</v>
      </c>
      <c r="E2036" s="26" t="inlineStr">
        <is>
          <t>측정</t>
        </is>
      </c>
      <c r="F2036" s="26" t="inlineStr">
        <is>
          <t>동</t>
        </is>
      </c>
      <c r="G2036" s="31" t="n">
        <v>1</v>
      </c>
      <c r="H2036" s="30" t="n"/>
      <c r="I2036" s="43" t="n"/>
      <c r="J2036" s="41" t="n"/>
      <c r="K2036" s="41" t="n"/>
      <c r="L2036" s="41" t="n"/>
      <c r="M2036" s="31">
        <f>IF(COUNT(J2036:L2036)=0,"",MEDIAN(J2036:L2036))</f>
        <v/>
      </c>
      <c r="N2036" s="26">
        <f>IF(COUNTIFS($C:$C,$C2036,$D:$D,$D2036,$E:$E,"P0(전)",$M:$M,"&gt;0")&lt;&gt;1,"P0(전) 유효 1개 아님",IF(COUNTIFS($C:$C,$C2036,$D:$D,$D2036,$E:$E,"P0(후)",$M:$M,"&gt;0")&lt;&gt;1,"P0(후) 유효 1개 아님",IF(NOT(AND(ISNUMBER(O2036),ISNUMBER(Q2036),ISNUMBER(I2036))),"시각 결측",IF(Q2036&lt;=O2036,"P0 시각 역전",IF(OR(I2036&lt;O2036,I2036&gt;Q2036),"측정시각 구간 밖","OK")))))</f>
        <v/>
      </c>
      <c r="O2036" s="48">
        <f>IF(COUNTIFS($C:$C,$C2036,$D:$D,$D2036,$E:$E,"P0(전)",$M:$M,"&gt;0")&lt;&gt;1,"",SUMIFS($I:$I,$C:$C,$C2036,$D:$D,$D2036,$E:$E,"P0(전)"))</f>
        <v/>
      </c>
      <c r="P2036" s="31">
        <f>IF(COUNTIFS($C:$C,$C2036,$D:$D,$D2036,$E:$E,"P0(전)",$M:$M,"&gt;0")&lt;&gt;1,"",SUMIFS($M:$M,$C:$C,$C2036,$D:$D,$D2036,$E:$E,"P0(전)"))</f>
        <v/>
      </c>
      <c r="Q2036" s="48">
        <f>IF(COUNTIFS($C:$C,$C2036,$D:$D,$D2036,$E:$E,"P0(후)",$M:$M,"&gt;0")&lt;&gt;1,"",SUMIFS($I:$I,$C:$C,$C2036,$D:$D,$D2036,$E:$E,"P0(후)"))</f>
        <v/>
      </c>
      <c r="R2036" s="31">
        <f>IF(COUNTIFS($C:$C,$C2036,$D:$D,$D2036,$E:$E,"P0(후)",$M:$M,"&gt;0")&lt;&gt;1,"",SUMIFS($M:$M,$C:$C,$C2036,$D:$D,$D2036,$E:$E,"P0(후)"))</f>
        <v/>
      </c>
      <c r="S2036" s="31">
        <f>IF(N2036&lt;&gt;"OK","",P2036+(R2036-P2036)*(I2036-O2036)/(Q2036-O2036))</f>
        <v/>
      </c>
      <c r="T2036" s="31">
        <f>IF(OR(N2036&lt;&gt;"OK",NOT(ISNUMBER(M2036))),"",M2036-S2036)</f>
        <v/>
      </c>
      <c r="U2036" s="49">
        <f>IF(OR(NOT(ISNUMBER(T2036)),IF(ISNUMBER(H2036),H2036,G2036)=0),"",T2036/IF(ISNUMBER(H2036),H2036,G2036))</f>
        <v/>
      </c>
      <c r="V2036" s="49">
        <f>IF(ISNUMBER(U2036),ABS(U2036),"")</f>
        <v/>
      </c>
      <c r="W2036" s="49">
        <f>IF(OR($E2035&lt;&gt;"측정",$C2035&lt;&gt;$C2036,$D2035&lt;&gt;$D2036,NOT(ISNUMBER(M2036)),NOT(ISNUMBER(M2035)),(IF(ISNUMBER(H2036),H2036,G2036)-IF(ISNUMBER(H2035),H2035,G2035))=0),"",(M2036-M2035)/(IF(ISNUMBER(H2036),H2036,G2036)-IF(ISNUMBER(H2035),H2035,G2035)))</f>
        <v/>
      </c>
      <c r="X2036" s="31">
        <f>IF(NOT(AND(ISNUMBER(O2036),ISNUMBER(Q2036))),"",(Q2036-O2036)*1440)</f>
        <v/>
      </c>
      <c r="Y2036" s="29" t="n"/>
      <c r="Z2036" s="29" t="n"/>
      <c r="AA2036" s="29" t="n"/>
      <c r="AB2036" s="32" t="n"/>
      <c r="AC2036" s="32" t="n"/>
    </row>
    <row r="2037">
      <c r="A2037" s="26" t="inlineStr">
        <is>
          <t>S40</t>
        </is>
      </c>
      <c r="B2037" s="26" t="inlineStr">
        <is>
          <t>남지</t>
        </is>
      </c>
      <c r="C2037" s="26" t="inlineStr">
        <is>
          <t>S40-H동</t>
        </is>
      </c>
      <c r="D2037" s="47" t="n">
        <v>1</v>
      </c>
      <c r="E2037" s="26" t="inlineStr">
        <is>
          <t>측정</t>
        </is>
      </c>
      <c r="F2037" s="26" t="inlineStr">
        <is>
          <t>동</t>
        </is>
      </c>
      <c r="G2037" s="31" t="n">
        <v>2</v>
      </c>
      <c r="H2037" s="30" t="n"/>
      <c r="I2037" s="43" t="n"/>
      <c r="J2037" s="41" t="n"/>
      <c r="K2037" s="41" t="n"/>
      <c r="L2037" s="41" t="n"/>
      <c r="M2037" s="31">
        <f>IF(COUNT(J2037:L2037)=0,"",MEDIAN(J2037:L2037))</f>
        <v/>
      </c>
      <c r="N2037" s="26">
        <f>IF(COUNTIFS($C:$C,$C2037,$D:$D,$D2037,$E:$E,"P0(전)",$M:$M,"&gt;0")&lt;&gt;1,"P0(전) 유효 1개 아님",IF(COUNTIFS($C:$C,$C2037,$D:$D,$D2037,$E:$E,"P0(후)",$M:$M,"&gt;0")&lt;&gt;1,"P0(후) 유효 1개 아님",IF(NOT(AND(ISNUMBER(O2037),ISNUMBER(Q2037),ISNUMBER(I2037))),"시각 결측",IF(Q2037&lt;=O2037,"P0 시각 역전",IF(OR(I2037&lt;O2037,I2037&gt;Q2037),"측정시각 구간 밖","OK")))))</f>
        <v/>
      </c>
      <c r="O2037" s="48">
        <f>IF(COUNTIFS($C:$C,$C2037,$D:$D,$D2037,$E:$E,"P0(전)",$M:$M,"&gt;0")&lt;&gt;1,"",SUMIFS($I:$I,$C:$C,$C2037,$D:$D,$D2037,$E:$E,"P0(전)"))</f>
        <v/>
      </c>
      <c r="P2037" s="31">
        <f>IF(COUNTIFS($C:$C,$C2037,$D:$D,$D2037,$E:$E,"P0(전)",$M:$M,"&gt;0")&lt;&gt;1,"",SUMIFS($M:$M,$C:$C,$C2037,$D:$D,$D2037,$E:$E,"P0(전)"))</f>
        <v/>
      </c>
      <c r="Q2037" s="48">
        <f>IF(COUNTIFS($C:$C,$C2037,$D:$D,$D2037,$E:$E,"P0(후)",$M:$M,"&gt;0")&lt;&gt;1,"",SUMIFS($I:$I,$C:$C,$C2037,$D:$D,$D2037,$E:$E,"P0(후)"))</f>
        <v/>
      </c>
      <c r="R2037" s="31">
        <f>IF(COUNTIFS($C:$C,$C2037,$D:$D,$D2037,$E:$E,"P0(후)",$M:$M,"&gt;0")&lt;&gt;1,"",SUMIFS($M:$M,$C:$C,$C2037,$D:$D,$D2037,$E:$E,"P0(후)"))</f>
        <v/>
      </c>
      <c r="S2037" s="31">
        <f>IF(N2037&lt;&gt;"OK","",P2037+(R2037-P2037)*(I2037-O2037)/(Q2037-O2037))</f>
        <v/>
      </c>
      <c r="T2037" s="31">
        <f>IF(OR(N2037&lt;&gt;"OK",NOT(ISNUMBER(M2037))),"",M2037-S2037)</f>
        <v/>
      </c>
      <c r="U2037" s="49">
        <f>IF(OR(NOT(ISNUMBER(T2037)),IF(ISNUMBER(H2037),H2037,G2037)=0),"",T2037/IF(ISNUMBER(H2037),H2037,G2037))</f>
        <v/>
      </c>
      <c r="V2037" s="49">
        <f>IF(ISNUMBER(U2037),ABS(U2037),"")</f>
        <v/>
      </c>
      <c r="W2037" s="49">
        <f>IF(OR($E2036&lt;&gt;"측정",$C2036&lt;&gt;$C2037,$D2036&lt;&gt;$D2037,NOT(ISNUMBER(M2037)),NOT(ISNUMBER(M2036)),(IF(ISNUMBER(H2037),H2037,G2037)-IF(ISNUMBER(H2036),H2036,G2036))=0),"",(M2037-M2036)/(IF(ISNUMBER(H2037),H2037,G2037)-IF(ISNUMBER(H2036),H2036,G2036)))</f>
        <v/>
      </c>
      <c r="X2037" s="31">
        <f>IF(NOT(AND(ISNUMBER(O2037),ISNUMBER(Q2037))),"",(Q2037-O2037)*1440)</f>
        <v/>
      </c>
      <c r="Y2037" s="29" t="n"/>
      <c r="Z2037" s="29" t="n"/>
      <c r="AA2037" s="29" t="n"/>
      <c r="AB2037" s="32" t="n"/>
      <c r="AC2037" s="32" t="n"/>
    </row>
    <row r="2038">
      <c r="A2038" s="26" t="inlineStr">
        <is>
          <t>S40</t>
        </is>
      </c>
      <c r="B2038" s="26" t="inlineStr">
        <is>
          <t>남지</t>
        </is>
      </c>
      <c r="C2038" s="26" t="inlineStr">
        <is>
          <t>S40-H동</t>
        </is>
      </c>
      <c r="D2038" s="47" t="n">
        <v>1</v>
      </c>
      <c r="E2038" s="26" t="inlineStr">
        <is>
          <t>측정</t>
        </is>
      </c>
      <c r="F2038" s="26" t="inlineStr">
        <is>
          <t>동</t>
        </is>
      </c>
      <c r="G2038" s="31" t="n">
        <v>3</v>
      </c>
      <c r="H2038" s="30" t="n"/>
      <c r="I2038" s="43" t="n"/>
      <c r="J2038" s="41" t="n"/>
      <c r="K2038" s="41" t="n"/>
      <c r="L2038" s="41" t="n"/>
      <c r="M2038" s="31">
        <f>IF(COUNT(J2038:L2038)=0,"",MEDIAN(J2038:L2038))</f>
        <v/>
      </c>
      <c r="N2038" s="26">
        <f>IF(COUNTIFS($C:$C,$C2038,$D:$D,$D2038,$E:$E,"P0(전)",$M:$M,"&gt;0")&lt;&gt;1,"P0(전) 유효 1개 아님",IF(COUNTIFS($C:$C,$C2038,$D:$D,$D2038,$E:$E,"P0(후)",$M:$M,"&gt;0")&lt;&gt;1,"P0(후) 유효 1개 아님",IF(NOT(AND(ISNUMBER(O2038),ISNUMBER(Q2038),ISNUMBER(I2038))),"시각 결측",IF(Q2038&lt;=O2038,"P0 시각 역전",IF(OR(I2038&lt;O2038,I2038&gt;Q2038),"측정시각 구간 밖","OK")))))</f>
        <v/>
      </c>
      <c r="O2038" s="48">
        <f>IF(COUNTIFS($C:$C,$C2038,$D:$D,$D2038,$E:$E,"P0(전)",$M:$M,"&gt;0")&lt;&gt;1,"",SUMIFS($I:$I,$C:$C,$C2038,$D:$D,$D2038,$E:$E,"P0(전)"))</f>
        <v/>
      </c>
      <c r="P2038" s="31">
        <f>IF(COUNTIFS($C:$C,$C2038,$D:$D,$D2038,$E:$E,"P0(전)",$M:$M,"&gt;0")&lt;&gt;1,"",SUMIFS($M:$M,$C:$C,$C2038,$D:$D,$D2038,$E:$E,"P0(전)"))</f>
        <v/>
      </c>
      <c r="Q2038" s="48">
        <f>IF(COUNTIFS($C:$C,$C2038,$D:$D,$D2038,$E:$E,"P0(후)",$M:$M,"&gt;0")&lt;&gt;1,"",SUMIFS($I:$I,$C:$C,$C2038,$D:$D,$D2038,$E:$E,"P0(후)"))</f>
        <v/>
      </c>
      <c r="R2038" s="31">
        <f>IF(COUNTIFS($C:$C,$C2038,$D:$D,$D2038,$E:$E,"P0(후)",$M:$M,"&gt;0")&lt;&gt;1,"",SUMIFS($M:$M,$C:$C,$C2038,$D:$D,$D2038,$E:$E,"P0(후)"))</f>
        <v/>
      </c>
      <c r="S2038" s="31">
        <f>IF(N2038&lt;&gt;"OK","",P2038+(R2038-P2038)*(I2038-O2038)/(Q2038-O2038))</f>
        <v/>
      </c>
      <c r="T2038" s="31">
        <f>IF(OR(N2038&lt;&gt;"OK",NOT(ISNUMBER(M2038))),"",M2038-S2038)</f>
        <v/>
      </c>
      <c r="U2038" s="49">
        <f>IF(OR(NOT(ISNUMBER(T2038)),IF(ISNUMBER(H2038),H2038,G2038)=0),"",T2038/IF(ISNUMBER(H2038),H2038,G2038))</f>
        <v/>
      </c>
      <c r="V2038" s="49">
        <f>IF(ISNUMBER(U2038),ABS(U2038),"")</f>
        <v/>
      </c>
      <c r="W2038" s="49">
        <f>IF(OR($E2037&lt;&gt;"측정",$C2037&lt;&gt;$C2038,$D2037&lt;&gt;$D2038,NOT(ISNUMBER(M2038)),NOT(ISNUMBER(M2037)),(IF(ISNUMBER(H2038),H2038,G2038)-IF(ISNUMBER(H2037),H2037,G2037))=0),"",(M2038-M2037)/(IF(ISNUMBER(H2038),H2038,G2038)-IF(ISNUMBER(H2037),H2037,G2037)))</f>
        <v/>
      </c>
      <c r="X2038" s="31">
        <f>IF(NOT(AND(ISNUMBER(O2038),ISNUMBER(Q2038))),"",(Q2038-O2038)*1440)</f>
        <v/>
      </c>
      <c r="Y2038" s="29" t="n"/>
      <c r="Z2038" s="29" t="n"/>
      <c r="AA2038" s="29" t="n"/>
      <c r="AB2038" s="32" t="n"/>
      <c r="AC2038" s="32" t="n"/>
    </row>
    <row r="2039">
      <c r="A2039" s="26" t="inlineStr">
        <is>
          <t>S40</t>
        </is>
      </c>
      <c r="B2039" s="26" t="inlineStr">
        <is>
          <t>남지</t>
        </is>
      </c>
      <c r="C2039" s="26" t="inlineStr">
        <is>
          <t>S40-H동</t>
        </is>
      </c>
      <c r="D2039" s="47" t="n">
        <v>1</v>
      </c>
      <c r="E2039" s="26" t="inlineStr">
        <is>
          <t>측정</t>
        </is>
      </c>
      <c r="F2039" s="26" t="inlineStr">
        <is>
          <t>동</t>
        </is>
      </c>
      <c r="G2039" s="31" t="n">
        <v>4</v>
      </c>
      <c r="H2039" s="30" t="n"/>
      <c r="I2039" s="43" t="n"/>
      <c r="J2039" s="41" t="n"/>
      <c r="K2039" s="41" t="n"/>
      <c r="L2039" s="41" t="n"/>
      <c r="M2039" s="31">
        <f>IF(COUNT(J2039:L2039)=0,"",MEDIAN(J2039:L2039))</f>
        <v/>
      </c>
      <c r="N2039" s="26">
        <f>IF(COUNTIFS($C:$C,$C2039,$D:$D,$D2039,$E:$E,"P0(전)",$M:$M,"&gt;0")&lt;&gt;1,"P0(전) 유효 1개 아님",IF(COUNTIFS($C:$C,$C2039,$D:$D,$D2039,$E:$E,"P0(후)",$M:$M,"&gt;0")&lt;&gt;1,"P0(후) 유효 1개 아님",IF(NOT(AND(ISNUMBER(O2039),ISNUMBER(Q2039),ISNUMBER(I2039))),"시각 결측",IF(Q2039&lt;=O2039,"P0 시각 역전",IF(OR(I2039&lt;O2039,I2039&gt;Q2039),"측정시각 구간 밖","OK")))))</f>
        <v/>
      </c>
      <c r="O2039" s="48">
        <f>IF(COUNTIFS($C:$C,$C2039,$D:$D,$D2039,$E:$E,"P0(전)",$M:$M,"&gt;0")&lt;&gt;1,"",SUMIFS($I:$I,$C:$C,$C2039,$D:$D,$D2039,$E:$E,"P0(전)"))</f>
        <v/>
      </c>
      <c r="P2039" s="31">
        <f>IF(COUNTIFS($C:$C,$C2039,$D:$D,$D2039,$E:$E,"P0(전)",$M:$M,"&gt;0")&lt;&gt;1,"",SUMIFS($M:$M,$C:$C,$C2039,$D:$D,$D2039,$E:$E,"P0(전)"))</f>
        <v/>
      </c>
      <c r="Q2039" s="48">
        <f>IF(COUNTIFS($C:$C,$C2039,$D:$D,$D2039,$E:$E,"P0(후)",$M:$M,"&gt;0")&lt;&gt;1,"",SUMIFS($I:$I,$C:$C,$C2039,$D:$D,$D2039,$E:$E,"P0(후)"))</f>
        <v/>
      </c>
      <c r="R2039" s="31">
        <f>IF(COUNTIFS($C:$C,$C2039,$D:$D,$D2039,$E:$E,"P0(후)",$M:$M,"&gt;0")&lt;&gt;1,"",SUMIFS($M:$M,$C:$C,$C2039,$D:$D,$D2039,$E:$E,"P0(후)"))</f>
        <v/>
      </c>
      <c r="S2039" s="31">
        <f>IF(N2039&lt;&gt;"OK","",P2039+(R2039-P2039)*(I2039-O2039)/(Q2039-O2039))</f>
        <v/>
      </c>
      <c r="T2039" s="31">
        <f>IF(OR(N2039&lt;&gt;"OK",NOT(ISNUMBER(M2039))),"",M2039-S2039)</f>
        <v/>
      </c>
      <c r="U2039" s="49">
        <f>IF(OR(NOT(ISNUMBER(T2039)),IF(ISNUMBER(H2039),H2039,G2039)=0),"",T2039/IF(ISNUMBER(H2039),H2039,G2039))</f>
        <v/>
      </c>
      <c r="V2039" s="49">
        <f>IF(ISNUMBER(U2039),ABS(U2039),"")</f>
        <v/>
      </c>
      <c r="W2039" s="49">
        <f>IF(OR($E2038&lt;&gt;"측정",$C2038&lt;&gt;$C2039,$D2038&lt;&gt;$D2039,NOT(ISNUMBER(M2039)),NOT(ISNUMBER(M2038)),(IF(ISNUMBER(H2039),H2039,G2039)-IF(ISNUMBER(H2038),H2038,G2038))=0),"",(M2039-M2038)/(IF(ISNUMBER(H2039),H2039,G2039)-IF(ISNUMBER(H2038),H2038,G2038)))</f>
        <v/>
      </c>
      <c r="X2039" s="31">
        <f>IF(NOT(AND(ISNUMBER(O2039),ISNUMBER(Q2039))),"",(Q2039-O2039)*1440)</f>
        <v/>
      </c>
      <c r="Y2039" s="29" t="n"/>
      <c r="Z2039" s="29" t="n"/>
      <c r="AA2039" s="29" t="n"/>
      <c r="AB2039" s="32" t="n"/>
      <c r="AC2039" s="32" t="n"/>
    </row>
    <row r="2040">
      <c r="A2040" s="26" t="inlineStr">
        <is>
          <t>S40</t>
        </is>
      </c>
      <c r="B2040" s="26" t="inlineStr">
        <is>
          <t>남지</t>
        </is>
      </c>
      <c r="C2040" s="26" t="inlineStr">
        <is>
          <t>S40-H동</t>
        </is>
      </c>
      <c r="D2040" s="47" t="n">
        <v>1</v>
      </c>
      <c r="E2040" s="26" t="inlineStr">
        <is>
          <t>측정</t>
        </is>
      </c>
      <c r="F2040" s="26" t="inlineStr">
        <is>
          <t>동</t>
        </is>
      </c>
      <c r="G2040" s="31" t="n">
        <v>5</v>
      </c>
      <c r="H2040" s="30" t="n"/>
      <c r="I2040" s="43" t="n"/>
      <c r="J2040" s="41" t="n"/>
      <c r="K2040" s="41" t="n"/>
      <c r="L2040" s="41" t="n"/>
      <c r="M2040" s="31">
        <f>IF(COUNT(J2040:L2040)=0,"",MEDIAN(J2040:L2040))</f>
        <v/>
      </c>
      <c r="N2040" s="26">
        <f>IF(COUNTIFS($C:$C,$C2040,$D:$D,$D2040,$E:$E,"P0(전)",$M:$M,"&gt;0")&lt;&gt;1,"P0(전) 유효 1개 아님",IF(COUNTIFS($C:$C,$C2040,$D:$D,$D2040,$E:$E,"P0(후)",$M:$M,"&gt;0")&lt;&gt;1,"P0(후) 유효 1개 아님",IF(NOT(AND(ISNUMBER(O2040),ISNUMBER(Q2040),ISNUMBER(I2040))),"시각 결측",IF(Q2040&lt;=O2040,"P0 시각 역전",IF(OR(I2040&lt;O2040,I2040&gt;Q2040),"측정시각 구간 밖","OK")))))</f>
        <v/>
      </c>
      <c r="O2040" s="48">
        <f>IF(COUNTIFS($C:$C,$C2040,$D:$D,$D2040,$E:$E,"P0(전)",$M:$M,"&gt;0")&lt;&gt;1,"",SUMIFS($I:$I,$C:$C,$C2040,$D:$D,$D2040,$E:$E,"P0(전)"))</f>
        <v/>
      </c>
      <c r="P2040" s="31">
        <f>IF(COUNTIFS($C:$C,$C2040,$D:$D,$D2040,$E:$E,"P0(전)",$M:$M,"&gt;0")&lt;&gt;1,"",SUMIFS($M:$M,$C:$C,$C2040,$D:$D,$D2040,$E:$E,"P0(전)"))</f>
        <v/>
      </c>
      <c r="Q2040" s="48">
        <f>IF(COUNTIFS($C:$C,$C2040,$D:$D,$D2040,$E:$E,"P0(후)",$M:$M,"&gt;0")&lt;&gt;1,"",SUMIFS($I:$I,$C:$C,$C2040,$D:$D,$D2040,$E:$E,"P0(후)"))</f>
        <v/>
      </c>
      <c r="R2040" s="31">
        <f>IF(COUNTIFS($C:$C,$C2040,$D:$D,$D2040,$E:$E,"P0(후)",$M:$M,"&gt;0")&lt;&gt;1,"",SUMIFS($M:$M,$C:$C,$C2040,$D:$D,$D2040,$E:$E,"P0(후)"))</f>
        <v/>
      </c>
      <c r="S2040" s="31">
        <f>IF(N2040&lt;&gt;"OK","",P2040+(R2040-P2040)*(I2040-O2040)/(Q2040-O2040))</f>
        <v/>
      </c>
      <c r="T2040" s="31">
        <f>IF(OR(N2040&lt;&gt;"OK",NOT(ISNUMBER(M2040))),"",M2040-S2040)</f>
        <v/>
      </c>
      <c r="U2040" s="49">
        <f>IF(OR(NOT(ISNUMBER(T2040)),IF(ISNUMBER(H2040),H2040,G2040)=0),"",T2040/IF(ISNUMBER(H2040),H2040,G2040))</f>
        <v/>
      </c>
      <c r="V2040" s="49">
        <f>IF(ISNUMBER(U2040),ABS(U2040),"")</f>
        <v/>
      </c>
      <c r="W2040" s="49">
        <f>IF(OR($E2039&lt;&gt;"측정",$C2039&lt;&gt;$C2040,$D2039&lt;&gt;$D2040,NOT(ISNUMBER(M2040)),NOT(ISNUMBER(M2039)),(IF(ISNUMBER(H2040),H2040,G2040)-IF(ISNUMBER(H2039),H2039,G2039))=0),"",(M2040-M2039)/(IF(ISNUMBER(H2040),H2040,G2040)-IF(ISNUMBER(H2039),H2039,G2039)))</f>
        <v/>
      </c>
      <c r="X2040" s="31">
        <f>IF(NOT(AND(ISNUMBER(O2040),ISNUMBER(Q2040))),"",(Q2040-O2040)*1440)</f>
        <v/>
      </c>
      <c r="Y2040" s="29" t="n"/>
      <c r="Z2040" s="29" t="n"/>
      <c r="AA2040" s="29" t="n"/>
      <c r="AB2040" s="32" t="n"/>
      <c r="AC2040" s="32" t="n"/>
    </row>
    <row r="2041">
      <c r="A2041" s="26" t="inlineStr">
        <is>
          <t>S40</t>
        </is>
      </c>
      <c r="B2041" s="26" t="inlineStr">
        <is>
          <t>남지</t>
        </is>
      </c>
      <c r="C2041" s="26" t="inlineStr">
        <is>
          <t>S40-H동</t>
        </is>
      </c>
      <c r="D2041" s="47" t="n">
        <v>1</v>
      </c>
      <c r="E2041" s="26" t="inlineStr">
        <is>
          <t>측정</t>
        </is>
      </c>
      <c r="F2041" s="26" t="inlineStr">
        <is>
          <t>동</t>
        </is>
      </c>
      <c r="G2041" s="31" t="n">
        <v>6</v>
      </c>
      <c r="H2041" s="30" t="n"/>
      <c r="I2041" s="43" t="n"/>
      <c r="J2041" s="41" t="n"/>
      <c r="K2041" s="41" t="n"/>
      <c r="L2041" s="41" t="n"/>
      <c r="M2041" s="31">
        <f>IF(COUNT(J2041:L2041)=0,"",MEDIAN(J2041:L2041))</f>
        <v/>
      </c>
      <c r="N2041" s="26">
        <f>IF(COUNTIFS($C:$C,$C2041,$D:$D,$D2041,$E:$E,"P0(전)",$M:$M,"&gt;0")&lt;&gt;1,"P0(전) 유효 1개 아님",IF(COUNTIFS($C:$C,$C2041,$D:$D,$D2041,$E:$E,"P0(후)",$M:$M,"&gt;0")&lt;&gt;1,"P0(후) 유효 1개 아님",IF(NOT(AND(ISNUMBER(O2041),ISNUMBER(Q2041),ISNUMBER(I2041))),"시각 결측",IF(Q2041&lt;=O2041,"P0 시각 역전",IF(OR(I2041&lt;O2041,I2041&gt;Q2041),"측정시각 구간 밖","OK")))))</f>
        <v/>
      </c>
      <c r="O2041" s="48">
        <f>IF(COUNTIFS($C:$C,$C2041,$D:$D,$D2041,$E:$E,"P0(전)",$M:$M,"&gt;0")&lt;&gt;1,"",SUMIFS($I:$I,$C:$C,$C2041,$D:$D,$D2041,$E:$E,"P0(전)"))</f>
        <v/>
      </c>
      <c r="P2041" s="31">
        <f>IF(COUNTIFS($C:$C,$C2041,$D:$D,$D2041,$E:$E,"P0(전)",$M:$M,"&gt;0")&lt;&gt;1,"",SUMIFS($M:$M,$C:$C,$C2041,$D:$D,$D2041,$E:$E,"P0(전)"))</f>
        <v/>
      </c>
      <c r="Q2041" s="48">
        <f>IF(COUNTIFS($C:$C,$C2041,$D:$D,$D2041,$E:$E,"P0(후)",$M:$M,"&gt;0")&lt;&gt;1,"",SUMIFS($I:$I,$C:$C,$C2041,$D:$D,$D2041,$E:$E,"P0(후)"))</f>
        <v/>
      </c>
      <c r="R2041" s="31">
        <f>IF(COUNTIFS($C:$C,$C2041,$D:$D,$D2041,$E:$E,"P0(후)",$M:$M,"&gt;0")&lt;&gt;1,"",SUMIFS($M:$M,$C:$C,$C2041,$D:$D,$D2041,$E:$E,"P0(후)"))</f>
        <v/>
      </c>
      <c r="S2041" s="31">
        <f>IF(N2041&lt;&gt;"OK","",P2041+(R2041-P2041)*(I2041-O2041)/(Q2041-O2041))</f>
        <v/>
      </c>
      <c r="T2041" s="31">
        <f>IF(OR(N2041&lt;&gt;"OK",NOT(ISNUMBER(M2041))),"",M2041-S2041)</f>
        <v/>
      </c>
      <c r="U2041" s="49">
        <f>IF(OR(NOT(ISNUMBER(T2041)),IF(ISNUMBER(H2041),H2041,G2041)=0),"",T2041/IF(ISNUMBER(H2041),H2041,G2041))</f>
        <v/>
      </c>
      <c r="V2041" s="49">
        <f>IF(ISNUMBER(U2041),ABS(U2041),"")</f>
        <v/>
      </c>
      <c r="W2041" s="49">
        <f>IF(OR($E2040&lt;&gt;"측정",$C2040&lt;&gt;$C2041,$D2040&lt;&gt;$D2041,NOT(ISNUMBER(M2041)),NOT(ISNUMBER(M2040)),(IF(ISNUMBER(H2041),H2041,G2041)-IF(ISNUMBER(H2040),H2040,G2040))=0),"",(M2041-M2040)/(IF(ISNUMBER(H2041),H2041,G2041)-IF(ISNUMBER(H2040),H2040,G2040)))</f>
        <v/>
      </c>
      <c r="X2041" s="31">
        <f>IF(NOT(AND(ISNUMBER(O2041),ISNUMBER(Q2041))),"",(Q2041-O2041)*1440)</f>
        <v/>
      </c>
      <c r="Y2041" s="29" t="n"/>
      <c r="Z2041" s="29" t="n"/>
      <c r="AA2041" s="29" t="n"/>
      <c r="AB2041" s="32" t="n"/>
      <c r="AC2041" s="32" t="n"/>
    </row>
    <row r="2042">
      <c r="A2042" s="26" t="inlineStr">
        <is>
          <t>S40</t>
        </is>
      </c>
      <c r="B2042" s="26" t="inlineStr">
        <is>
          <t>남지</t>
        </is>
      </c>
      <c r="C2042" s="26" t="inlineStr">
        <is>
          <t>S40-H동</t>
        </is>
      </c>
      <c r="D2042" s="47" t="n">
        <v>1</v>
      </c>
      <c r="E2042" s="26" t="inlineStr">
        <is>
          <t>측정</t>
        </is>
      </c>
      <c r="F2042" s="26" t="inlineStr">
        <is>
          <t>동</t>
        </is>
      </c>
      <c r="G2042" s="31" t="n">
        <v>7</v>
      </c>
      <c r="H2042" s="30" t="n"/>
      <c r="I2042" s="43" t="n"/>
      <c r="J2042" s="41" t="n"/>
      <c r="K2042" s="41" t="n"/>
      <c r="L2042" s="41" t="n"/>
      <c r="M2042" s="31">
        <f>IF(COUNT(J2042:L2042)=0,"",MEDIAN(J2042:L2042))</f>
        <v/>
      </c>
      <c r="N2042" s="26">
        <f>IF(COUNTIFS($C:$C,$C2042,$D:$D,$D2042,$E:$E,"P0(전)",$M:$M,"&gt;0")&lt;&gt;1,"P0(전) 유효 1개 아님",IF(COUNTIFS($C:$C,$C2042,$D:$D,$D2042,$E:$E,"P0(후)",$M:$M,"&gt;0")&lt;&gt;1,"P0(후) 유효 1개 아님",IF(NOT(AND(ISNUMBER(O2042),ISNUMBER(Q2042),ISNUMBER(I2042))),"시각 결측",IF(Q2042&lt;=O2042,"P0 시각 역전",IF(OR(I2042&lt;O2042,I2042&gt;Q2042),"측정시각 구간 밖","OK")))))</f>
        <v/>
      </c>
      <c r="O2042" s="48">
        <f>IF(COUNTIFS($C:$C,$C2042,$D:$D,$D2042,$E:$E,"P0(전)",$M:$M,"&gt;0")&lt;&gt;1,"",SUMIFS($I:$I,$C:$C,$C2042,$D:$D,$D2042,$E:$E,"P0(전)"))</f>
        <v/>
      </c>
      <c r="P2042" s="31">
        <f>IF(COUNTIFS($C:$C,$C2042,$D:$D,$D2042,$E:$E,"P0(전)",$M:$M,"&gt;0")&lt;&gt;1,"",SUMIFS($M:$M,$C:$C,$C2042,$D:$D,$D2042,$E:$E,"P0(전)"))</f>
        <v/>
      </c>
      <c r="Q2042" s="48">
        <f>IF(COUNTIFS($C:$C,$C2042,$D:$D,$D2042,$E:$E,"P0(후)",$M:$M,"&gt;0")&lt;&gt;1,"",SUMIFS($I:$I,$C:$C,$C2042,$D:$D,$D2042,$E:$E,"P0(후)"))</f>
        <v/>
      </c>
      <c r="R2042" s="31">
        <f>IF(COUNTIFS($C:$C,$C2042,$D:$D,$D2042,$E:$E,"P0(후)",$M:$M,"&gt;0")&lt;&gt;1,"",SUMIFS($M:$M,$C:$C,$C2042,$D:$D,$D2042,$E:$E,"P0(후)"))</f>
        <v/>
      </c>
      <c r="S2042" s="31">
        <f>IF(N2042&lt;&gt;"OK","",P2042+(R2042-P2042)*(I2042-O2042)/(Q2042-O2042))</f>
        <v/>
      </c>
      <c r="T2042" s="31">
        <f>IF(OR(N2042&lt;&gt;"OK",NOT(ISNUMBER(M2042))),"",M2042-S2042)</f>
        <v/>
      </c>
      <c r="U2042" s="49">
        <f>IF(OR(NOT(ISNUMBER(T2042)),IF(ISNUMBER(H2042),H2042,G2042)=0),"",T2042/IF(ISNUMBER(H2042),H2042,G2042))</f>
        <v/>
      </c>
      <c r="V2042" s="49">
        <f>IF(ISNUMBER(U2042),ABS(U2042),"")</f>
        <v/>
      </c>
      <c r="W2042" s="49">
        <f>IF(OR($E2041&lt;&gt;"측정",$C2041&lt;&gt;$C2042,$D2041&lt;&gt;$D2042,NOT(ISNUMBER(M2042)),NOT(ISNUMBER(M2041)),(IF(ISNUMBER(H2042),H2042,G2042)-IF(ISNUMBER(H2041),H2041,G2041))=0),"",(M2042-M2041)/(IF(ISNUMBER(H2042),H2042,G2042)-IF(ISNUMBER(H2041),H2041,G2041)))</f>
        <v/>
      </c>
      <c r="X2042" s="31">
        <f>IF(NOT(AND(ISNUMBER(O2042),ISNUMBER(Q2042))),"",(Q2042-O2042)*1440)</f>
        <v/>
      </c>
      <c r="Y2042" s="29" t="n"/>
      <c r="Z2042" s="29" t="n"/>
      <c r="AA2042" s="29" t="n"/>
      <c r="AB2042" s="32" t="n"/>
      <c r="AC2042" s="32" t="n"/>
    </row>
    <row r="2043">
      <c r="A2043" s="26" t="inlineStr">
        <is>
          <t>S40</t>
        </is>
      </c>
      <c r="B2043" s="26" t="inlineStr">
        <is>
          <t>남지</t>
        </is>
      </c>
      <c r="C2043" s="26" t="inlineStr">
        <is>
          <t>S40-H동</t>
        </is>
      </c>
      <c r="D2043" s="47" t="n">
        <v>1</v>
      </c>
      <c r="E2043" s="26" t="inlineStr">
        <is>
          <t>측정</t>
        </is>
      </c>
      <c r="F2043" s="26" t="inlineStr">
        <is>
          <t>동</t>
        </is>
      </c>
      <c r="G2043" s="31" t="n">
        <v>8</v>
      </c>
      <c r="H2043" s="30" t="n"/>
      <c r="I2043" s="43" t="n"/>
      <c r="J2043" s="41" t="n"/>
      <c r="K2043" s="41" t="n"/>
      <c r="L2043" s="41" t="n"/>
      <c r="M2043" s="31">
        <f>IF(COUNT(J2043:L2043)=0,"",MEDIAN(J2043:L2043))</f>
        <v/>
      </c>
      <c r="N2043" s="26">
        <f>IF(COUNTIFS($C:$C,$C2043,$D:$D,$D2043,$E:$E,"P0(전)",$M:$M,"&gt;0")&lt;&gt;1,"P0(전) 유효 1개 아님",IF(COUNTIFS($C:$C,$C2043,$D:$D,$D2043,$E:$E,"P0(후)",$M:$M,"&gt;0")&lt;&gt;1,"P0(후) 유효 1개 아님",IF(NOT(AND(ISNUMBER(O2043),ISNUMBER(Q2043),ISNUMBER(I2043))),"시각 결측",IF(Q2043&lt;=O2043,"P0 시각 역전",IF(OR(I2043&lt;O2043,I2043&gt;Q2043),"측정시각 구간 밖","OK")))))</f>
        <v/>
      </c>
      <c r="O2043" s="48">
        <f>IF(COUNTIFS($C:$C,$C2043,$D:$D,$D2043,$E:$E,"P0(전)",$M:$M,"&gt;0")&lt;&gt;1,"",SUMIFS($I:$I,$C:$C,$C2043,$D:$D,$D2043,$E:$E,"P0(전)"))</f>
        <v/>
      </c>
      <c r="P2043" s="31">
        <f>IF(COUNTIFS($C:$C,$C2043,$D:$D,$D2043,$E:$E,"P0(전)",$M:$M,"&gt;0")&lt;&gt;1,"",SUMIFS($M:$M,$C:$C,$C2043,$D:$D,$D2043,$E:$E,"P0(전)"))</f>
        <v/>
      </c>
      <c r="Q2043" s="48">
        <f>IF(COUNTIFS($C:$C,$C2043,$D:$D,$D2043,$E:$E,"P0(후)",$M:$M,"&gt;0")&lt;&gt;1,"",SUMIFS($I:$I,$C:$C,$C2043,$D:$D,$D2043,$E:$E,"P0(후)"))</f>
        <v/>
      </c>
      <c r="R2043" s="31">
        <f>IF(COUNTIFS($C:$C,$C2043,$D:$D,$D2043,$E:$E,"P0(후)",$M:$M,"&gt;0")&lt;&gt;1,"",SUMIFS($M:$M,$C:$C,$C2043,$D:$D,$D2043,$E:$E,"P0(후)"))</f>
        <v/>
      </c>
      <c r="S2043" s="31">
        <f>IF(N2043&lt;&gt;"OK","",P2043+(R2043-P2043)*(I2043-O2043)/(Q2043-O2043))</f>
        <v/>
      </c>
      <c r="T2043" s="31">
        <f>IF(OR(N2043&lt;&gt;"OK",NOT(ISNUMBER(M2043))),"",M2043-S2043)</f>
        <v/>
      </c>
      <c r="U2043" s="49">
        <f>IF(OR(NOT(ISNUMBER(T2043)),IF(ISNUMBER(H2043),H2043,G2043)=0),"",T2043/IF(ISNUMBER(H2043),H2043,G2043))</f>
        <v/>
      </c>
      <c r="V2043" s="49">
        <f>IF(ISNUMBER(U2043),ABS(U2043),"")</f>
        <v/>
      </c>
      <c r="W2043" s="49">
        <f>IF(OR($E2042&lt;&gt;"측정",$C2042&lt;&gt;$C2043,$D2042&lt;&gt;$D2043,NOT(ISNUMBER(M2043)),NOT(ISNUMBER(M2042)),(IF(ISNUMBER(H2043),H2043,G2043)-IF(ISNUMBER(H2042),H2042,G2042))=0),"",(M2043-M2042)/(IF(ISNUMBER(H2043),H2043,G2043)-IF(ISNUMBER(H2042),H2042,G2042)))</f>
        <v/>
      </c>
      <c r="X2043" s="31">
        <f>IF(NOT(AND(ISNUMBER(O2043),ISNUMBER(Q2043))),"",(Q2043-O2043)*1440)</f>
        <v/>
      </c>
      <c r="Y2043" s="29" t="n"/>
      <c r="Z2043" s="29" t="n"/>
      <c r="AA2043" s="29" t="n"/>
      <c r="AB2043" s="32" t="n"/>
      <c r="AC2043" s="32" t="n"/>
    </row>
    <row r="2044">
      <c r="A2044" s="26" t="inlineStr">
        <is>
          <t>S40</t>
        </is>
      </c>
      <c r="B2044" s="26" t="inlineStr">
        <is>
          <t>남지</t>
        </is>
      </c>
      <c r="C2044" s="26" t="inlineStr">
        <is>
          <t>S40-H동</t>
        </is>
      </c>
      <c r="D2044" s="47" t="n">
        <v>1</v>
      </c>
      <c r="E2044" s="26" t="inlineStr">
        <is>
          <t>측정</t>
        </is>
      </c>
      <c r="F2044" s="26" t="inlineStr">
        <is>
          <t>동</t>
        </is>
      </c>
      <c r="G2044" s="31" t="n">
        <v>9</v>
      </c>
      <c r="H2044" s="30" t="n"/>
      <c r="I2044" s="43" t="n"/>
      <c r="J2044" s="41" t="n"/>
      <c r="K2044" s="41" t="n"/>
      <c r="L2044" s="41" t="n"/>
      <c r="M2044" s="31">
        <f>IF(COUNT(J2044:L2044)=0,"",MEDIAN(J2044:L2044))</f>
        <v/>
      </c>
      <c r="N2044" s="26">
        <f>IF(COUNTIFS($C:$C,$C2044,$D:$D,$D2044,$E:$E,"P0(전)",$M:$M,"&gt;0")&lt;&gt;1,"P0(전) 유효 1개 아님",IF(COUNTIFS($C:$C,$C2044,$D:$D,$D2044,$E:$E,"P0(후)",$M:$M,"&gt;0")&lt;&gt;1,"P0(후) 유효 1개 아님",IF(NOT(AND(ISNUMBER(O2044),ISNUMBER(Q2044),ISNUMBER(I2044))),"시각 결측",IF(Q2044&lt;=O2044,"P0 시각 역전",IF(OR(I2044&lt;O2044,I2044&gt;Q2044),"측정시각 구간 밖","OK")))))</f>
        <v/>
      </c>
      <c r="O2044" s="48">
        <f>IF(COUNTIFS($C:$C,$C2044,$D:$D,$D2044,$E:$E,"P0(전)",$M:$M,"&gt;0")&lt;&gt;1,"",SUMIFS($I:$I,$C:$C,$C2044,$D:$D,$D2044,$E:$E,"P0(전)"))</f>
        <v/>
      </c>
      <c r="P2044" s="31">
        <f>IF(COUNTIFS($C:$C,$C2044,$D:$D,$D2044,$E:$E,"P0(전)",$M:$M,"&gt;0")&lt;&gt;1,"",SUMIFS($M:$M,$C:$C,$C2044,$D:$D,$D2044,$E:$E,"P0(전)"))</f>
        <v/>
      </c>
      <c r="Q2044" s="48">
        <f>IF(COUNTIFS($C:$C,$C2044,$D:$D,$D2044,$E:$E,"P0(후)",$M:$M,"&gt;0")&lt;&gt;1,"",SUMIFS($I:$I,$C:$C,$C2044,$D:$D,$D2044,$E:$E,"P0(후)"))</f>
        <v/>
      </c>
      <c r="R2044" s="31">
        <f>IF(COUNTIFS($C:$C,$C2044,$D:$D,$D2044,$E:$E,"P0(후)",$M:$M,"&gt;0")&lt;&gt;1,"",SUMIFS($M:$M,$C:$C,$C2044,$D:$D,$D2044,$E:$E,"P0(후)"))</f>
        <v/>
      </c>
      <c r="S2044" s="31">
        <f>IF(N2044&lt;&gt;"OK","",P2044+(R2044-P2044)*(I2044-O2044)/(Q2044-O2044))</f>
        <v/>
      </c>
      <c r="T2044" s="31">
        <f>IF(OR(N2044&lt;&gt;"OK",NOT(ISNUMBER(M2044))),"",M2044-S2044)</f>
        <v/>
      </c>
      <c r="U2044" s="49">
        <f>IF(OR(NOT(ISNUMBER(T2044)),IF(ISNUMBER(H2044),H2044,G2044)=0),"",T2044/IF(ISNUMBER(H2044),H2044,G2044))</f>
        <v/>
      </c>
      <c r="V2044" s="49">
        <f>IF(ISNUMBER(U2044),ABS(U2044),"")</f>
        <v/>
      </c>
      <c r="W2044" s="49">
        <f>IF(OR($E2043&lt;&gt;"측정",$C2043&lt;&gt;$C2044,$D2043&lt;&gt;$D2044,NOT(ISNUMBER(M2044)),NOT(ISNUMBER(M2043)),(IF(ISNUMBER(H2044),H2044,G2044)-IF(ISNUMBER(H2043),H2043,G2043))=0),"",(M2044-M2043)/(IF(ISNUMBER(H2044),H2044,G2044)-IF(ISNUMBER(H2043),H2043,G2043)))</f>
        <v/>
      </c>
      <c r="X2044" s="31">
        <f>IF(NOT(AND(ISNUMBER(O2044),ISNUMBER(Q2044))),"",(Q2044-O2044)*1440)</f>
        <v/>
      </c>
      <c r="Y2044" s="29" t="n"/>
      <c r="Z2044" s="29" t="n"/>
      <c r="AA2044" s="29" t="n"/>
      <c r="AB2044" s="32" t="n"/>
      <c r="AC2044" s="32" t="n"/>
    </row>
    <row r="2045">
      <c r="A2045" s="26" t="inlineStr">
        <is>
          <t>S40</t>
        </is>
      </c>
      <c r="B2045" s="26" t="inlineStr">
        <is>
          <t>남지</t>
        </is>
      </c>
      <c r="C2045" s="26" t="inlineStr">
        <is>
          <t>S40-H동</t>
        </is>
      </c>
      <c r="D2045" s="47" t="n">
        <v>1</v>
      </c>
      <c r="E2045" s="26" t="inlineStr">
        <is>
          <t>측정</t>
        </is>
      </c>
      <c r="F2045" s="26" t="inlineStr">
        <is>
          <t>동</t>
        </is>
      </c>
      <c r="G2045" s="31" t="n">
        <v>10</v>
      </c>
      <c r="H2045" s="30" t="n"/>
      <c r="I2045" s="43" t="n"/>
      <c r="J2045" s="41" t="n"/>
      <c r="K2045" s="41" t="n"/>
      <c r="L2045" s="41" t="n"/>
      <c r="M2045" s="31">
        <f>IF(COUNT(J2045:L2045)=0,"",MEDIAN(J2045:L2045))</f>
        <v/>
      </c>
      <c r="N2045" s="26">
        <f>IF(COUNTIFS($C:$C,$C2045,$D:$D,$D2045,$E:$E,"P0(전)",$M:$M,"&gt;0")&lt;&gt;1,"P0(전) 유효 1개 아님",IF(COUNTIFS($C:$C,$C2045,$D:$D,$D2045,$E:$E,"P0(후)",$M:$M,"&gt;0")&lt;&gt;1,"P0(후) 유효 1개 아님",IF(NOT(AND(ISNUMBER(O2045),ISNUMBER(Q2045),ISNUMBER(I2045))),"시각 결측",IF(Q2045&lt;=O2045,"P0 시각 역전",IF(OR(I2045&lt;O2045,I2045&gt;Q2045),"측정시각 구간 밖","OK")))))</f>
        <v/>
      </c>
      <c r="O2045" s="48">
        <f>IF(COUNTIFS($C:$C,$C2045,$D:$D,$D2045,$E:$E,"P0(전)",$M:$M,"&gt;0")&lt;&gt;1,"",SUMIFS($I:$I,$C:$C,$C2045,$D:$D,$D2045,$E:$E,"P0(전)"))</f>
        <v/>
      </c>
      <c r="P2045" s="31">
        <f>IF(COUNTIFS($C:$C,$C2045,$D:$D,$D2045,$E:$E,"P0(전)",$M:$M,"&gt;0")&lt;&gt;1,"",SUMIFS($M:$M,$C:$C,$C2045,$D:$D,$D2045,$E:$E,"P0(전)"))</f>
        <v/>
      </c>
      <c r="Q2045" s="48">
        <f>IF(COUNTIFS($C:$C,$C2045,$D:$D,$D2045,$E:$E,"P0(후)",$M:$M,"&gt;0")&lt;&gt;1,"",SUMIFS($I:$I,$C:$C,$C2045,$D:$D,$D2045,$E:$E,"P0(후)"))</f>
        <v/>
      </c>
      <c r="R2045" s="31">
        <f>IF(COUNTIFS($C:$C,$C2045,$D:$D,$D2045,$E:$E,"P0(후)",$M:$M,"&gt;0")&lt;&gt;1,"",SUMIFS($M:$M,$C:$C,$C2045,$D:$D,$D2045,$E:$E,"P0(후)"))</f>
        <v/>
      </c>
      <c r="S2045" s="31">
        <f>IF(N2045&lt;&gt;"OK","",P2045+(R2045-P2045)*(I2045-O2045)/(Q2045-O2045))</f>
        <v/>
      </c>
      <c r="T2045" s="31">
        <f>IF(OR(N2045&lt;&gt;"OK",NOT(ISNUMBER(M2045))),"",M2045-S2045)</f>
        <v/>
      </c>
      <c r="U2045" s="49">
        <f>IF(OR(NOT(ISNUMBER(T2045)),IF(ISNUMBER(H2045),H2045,G2045)=0),"",T2045/IF(ISNUMBER(H2045),H2045,G2045))</f>
        <v/>
      </c>
      <c r="V2045" s="49">
        <f>IF(ISNUMBER(U2045),ABS(U2045),"")</f>
        <v/>
      </c>
      <c r="W2045" s="49">
        <f>IF(OR($E2044&lt;&gt;"측정",$C2044&lt;&gt;$C2045,$D2044&lt;&gt;$D2045,NOT(ISNUMBER(M2045)),NOT(ISNUMBER(M2044)),(IF(ISNUMBER(H2045),H2045,G2045)-IF(ISNUMBER(H2044),H2044,G2044))=0),"",(M2045-M2044)/(IF(ISNUMBER(H2045),H2045,G2045)-IF(ISNUMBER(H2044),H2044,G2044)))</f>
        <v/>
      </c>
      <c r="X2045" s="31">
        <f>IF(NOT(AND(ISNUMBER(O2045),ISNUMBER(Q2045))),"",(Q2045-O2045)*1440)</f>
        <v/>
      </c>
      <c r="Y2045" s="29" t="n"/>
      <c r="Z2045" s="29" t="n"/>
      <c r="AA2045" s="29" t="n"/>
      <c r="AB2045" s="32" t="n"/>
      <c r="AC2045" s="32" t="n"/>
    </row>
    <row r="2046">
      <c r="A2046" s="44" t="inlineStr">
        <is>
          <t>S40</t>
        </is>
      </c>
      <c r="B2046" s="44" t="inlineStr">
        <is>
          <t>남지</t>
        </is>
      </c>
      <c r="C2046" s="44" t="inlineStr">
        <is>
          <t>S40-H동</t>
        </is>
      </c>
      <c r="D2046" s="45" t="n">
        <v>1</v>
      </c>
      <c r="E2046" s="44" t="inlineStr">
        <is>
          <t>P0(후)</t>
        </is>
      </c>
      <c r="F2046" s="44" t="inlineStr">
        <is>
          <t>동</t>
        </is>
      </c>
      <c r="G2046" s="46" t="n"/>
      <c r="H2046" s="30" t="n"/>
      <c r="I2046" s="43" t="n"/>
      <c r="J2046" s="41" t="n"/>
      <c r="K2046" s="41" t="n"/>
      <c r="L2046" s="41" t="n"/>
      <c r="M2046" s="31">
        <f>IF(COUNT(J2046:L2046)=0,"",MEDIAN(J2046:L2046))</f>
        <v/>
      </c>
      <c r="N2046" s="38" t="n"/>
      <c r="O2046" s="38" t="n"/>
      <c r="P2046" s="38" t="n"/>
      <c r="Q2046" s="38" t="n"/>
      <c r="R2046" s="38" t="n"/>
      <c r="S2046" s="38" t="n"/>
      <c r="T2046" s="38" t="n"/>
      <c r="U2046" s="38" t="n"/>
      <c r="V2046" s="38" t="n"/>
      <c r="W2046" s="38" t="n"/>
      <c r="X2046" s="38" t="n"/>
      <c r="Y2046" s="29" t="n"/>
      <c r="Z2046" s="29" t="n"/>
      <c r="AA2046" s="29" t="n"/>
      <c r="AB2046" s="32" t="n"/>
      <c r="AC2046" s="32" t="n"/>
    </row>
    <row r="2047">
      <c r="A2047" s="44" t="inlineStr">
        <is>
          <t>S40</t>
        </is>
      </c>
      <c r="B2047" s="44" t="inlineStr">
        <is>
          <t>남지</t>
        </is>
      </c>
      <c r="C2047" s="44" t="inlineStr">
        <is>
          <t>S40-H서</t>
        </is>
      </c>
      <c r="D2047" s="45" t="n">
        <v>1</v>
      </c>
      <c r="E2047" s="44" t="inlineStr">
        <is>
          <t>P0(전)</t>
        </is>
      </c>
      <c r="F2047" s="44" t="inlineStr">
        <is>
          <t>서</t>
        </is>
      </c>
      <c r="G2047" s="46" t="n"/>
      <c r="H2047" s="30" t="n"/>
      <c r="I2047" s="43" t="n"/>
      <c r="J2047" s="41" t="n"/>
      <c r="K2047" s="41" t="n"/>
      <c r="L2047" s="41" t="n"/>
      <c r="M2047" s="31">
        <f>IF(COUNT(J2047:L2047)=0,"",MEDIAN(J2047:L2047))</f>
        <v/>
      </c>
      <c r="N2047" s="38" t="n"/>
      <c r="O2047" s="38" t="n"/>
      <c r="P2047" s="38" t="n"/>
      <c r="Q2047" s="38" t="n"/>
      <c r="R2047" s="38" t="n"/>
      <c r="S2047" s="38" t="n"/>
      <c r="T2047" s="38" t="n"/>
      <c r="U2047" s="38" t="n"/>
      <c r="V2047" s="38" t="n"/>
      <c r="W2047" s="38" t="n"/>
      <c r="X2047" s="38" t="n"/>
      <c r="Y2047" s="29" t="n"/>
      <c r="Z2047" s="29" t="n"/>
      <c r="AA2047" s="29" t="n"/>
      <c r="AB2047" s="32" t="n"/>
      <c r="AC2047" s="32" t="n"/>
    </row>
    <row r="2048">
      <c r="A2048" s="26" t="inlineStr">
        <is>
          <t>S40</t>
        </is>
      </c>
      <c r="B2048" s="26" t="inlineStr">
        <is>
          <t>남지</t>
        </is>
      </c>
      <c r="C2048" s="26" t="inlineStr">
        <is>
          <t>S40-H서</t>
        </is>
      </c>
      <c r="D2048" s="47" t="n">
        <v>1</v>
      </c>
      <c r="E2048" s="26" t="inlineStr">
        <is>
          <t>측정</t>
        </is>
      </c>
      <c r="F2048" s="26" t="inlineStr">
        <is>
          <t>서</t>
        </is>
      </c>
      <c r="G2048" s="31" t="n">
        <v>0.5</v>
      </c>
      <c r="H2048" s="30" t="n"/>
      <c r="I2048" s="43" t="n"/>
      <c r="J2048" s="41" t="n"/>
      <c r="K2048" s="41" t="n"/>
      <c r="L2048" s="41" t="n"/>
      <c r="M2048" s="31">
        <f>IF(COUNT(J2048:L2048)=0,"",MEDIAN(J2048:L2048))</f>
        <v/>
      </c>
      <c r="N2048" s="26">
        <f>IF(COUNTIFS($C:$C,$C2048,$D:$D,$D2048,$E:$E,"P0(전)",$M:$M,"&gt;0")&lt;&gt;1,"P0(전) 유효 1개 아님",IF(COUNTIFS($C:$C,$C2048,$D:$D,$D2048,$E:$E,"P0(후)",$M:$M,"&gt;0")&lt;&gt;1,"P0(후) 유효 1개 아님",IF(NOT(AND(ISNUMBER(O2048),ISNUMBER(Q2048),ISNUMBER(I2048))),"시각 결측",IF(Q2048&lt;=O2048,"P0 시각 역전",IF(OR(I2048&lt;O2048,I2048&gt;Q2048),"측정시각 구간 밖","OK")))))</f>
        <v/>
      </c>
      <c r="O2048" s="48">
        <f>IF(COUNTIFS($C:$C,$C2048,$D:$D,$D2048,$E:$E,"P0(전)",$M:$M,"&gt;0")&lt;&gt;1,"",SUMIFS($I:$I,$C:$C,$C2048,$D:$D,$D2048,$E:$E,"P0(전)"))</f>
        <v/>
      </c>
      <c r="P2048" s="31">
        <f>IF(COUNTIFS($C:$C,$C2048,$D:$D,$D2048,$E:$E,"P0(전)",$M:$M,"&gt;0")&lt;&gt;1,"",SUMIFS($M:$M,$C:$C,$C2048,$D:$D,$D2048,$E:$E,"P0(전)"))</f>
        <v/>
      </c>
      <c r="Q2048" s="48">
        <f>IF(COUNTIFS($C:$C,$C2048,$D:$D,$D2048,$E:$E,"P0(후)",$M:$M,"&gt;0")&lt;&gt;1,"",SUMIFS($I:$I,$C:$C,$C2048,$D:$D,$D2048,$E:$E,"P0(후)"))</f>
        <v/>
      </c>
      <c r="R2048" s="31">
        <f>IF(COUNTIFS($C:$C,$C2048,$D:$D,$D2048,$E:$E,"P0(후)",$M:$M,"&gt;0")&lt;&gt;1,"",SUMIFS($M:$M,$C:$C,$C2048,$D:$D,$D2048,$E:$E,"P0(후)"))</f>
        <v/>
      </c>
      <c r="S2048" s="31">
        <f>IF(N2048&lt;&gt;"OK","",P2048+(R2048-P2048)*(I2048-O2048)/(Q2048-O2048))</f>
        <v/>
      </c>
      <c r="T2048" s="31">
        <f>IF(OR(N2048&lt;&gt;"OK",NOT(ISNUMBER(M2048))),"",M2048-S2048)</f>
        <v/>
      </c>
      <c r="U2048" s="49">
        <f>IF(OR(NOT(ISNUMBER(T2048)),IF(ISNUMBER(H2048),H2048,G2048)=0),"",T2048/IF(ISNUMBER(H2048),H2048,G2048))</f>
        <v/>
      </c>
      <c r="V2048" s="49">
        <f>IF(ISNUMBER(U2048),ABS(U2048),"")</f>
        <v/>
      </c>
      <c r="W2048" s="49">
        <f>IF(OR($E2047&lt;&gt;"측정",$C2047&lt;&gt;$C2048,$D2047&lt;&gt;$D2048,NOT(ISNUMBER(M2048)),NOT(ISNUMBER(M2047)),(IF(ISNUMBER(H2048),H2048,G2048)-IF(ISNUMBER(H2047),H2047,G2047))=0),"",(M2048-M2047)/(IF(ISNUMBER(H2048),H2048,G2048)-IF(ISNUMBER(H2047),H2047,G2047)))</f>
        <v/>
      </c>
      <c r="X2048" s="31">
        <f>IF(NOT(AND(ISNUMBER(O2048),ISNUMBER(Q2048))),"",(Q2048-O2048)*1440)</f>
        <v/>
      </c>
      <c r="Y2048" s="29" t="n"/>
      <c r="Z2048" s="29" t="n"/>
      <c r="AA2048" s="29" t="n"/>
      <c r="AB2048" s="32" t="n"/>
      <c r="AC2048" s="32" t="n"/>
    </row>
    <row r="2049">
      <c r="A2049" s="26" t="inlineStr">
        <is>
          <t>S40</t>
        </is>
      </c>
      <c r="B2049" s="26" t="inlineStr">
        <is>
          <t>남지</t>
        </is>
      </c>
      <c r="C2049" s="26" t="inlineStr">
        <is>
          <t>S40-H서</t>
        </is>
      </c>
      <c r="D2049" s="47" t="n">
        <v>1</v>
      </c>
      <c r="E2049" s="26" t="inlineStr">
        <is>
          <t>측정</t>
        </is>
      </c>
      <c r="F2049" s="26" t="inlineStr">
        <is>
          <t>서</t>
        </is>
      </c>
      <c r="G2049" s="31" t="n">
        <v>1</v>
      </c>
      <c r="H2049" s="30" t="n"/>
      <c r="I2049" s="43" t="n"/>
      <c r="J2049" s="41" t="n"/>
      <c r="K2049" s="41" t="n"/>
      <c r="L2049" s="41" t="n"/>
      <c r="M2049" s="31">
        <f>IF(COUNT(J2049:L2049)=0,"",MEDIAN(J2049:L2049))</f>
        <v/>
      </c>
      <c r="N2049" s="26">
        <f>IF(COUNTIFS($C:$C,$C2049,$D:$D,$D2049,$E:$E,"P0(전)",$M:$M,"&gt;0")&lt;&gt;1,"P0(전) 유효 1개 아님",IF(COUNTIFS($C:$C,$C2049,$D:$D,$D2049,$E:$E,"P0(후)",$M:$M,"&gt;0")&lt;&gt;1,"P0(후) 유효 1개 아님",IF(NOT(AND(ISNUMBER(O2049),ISNUMBER(Q2049),ISNUMBER(I2049))),"시각 결측",IF(Q2049&lt;=O2049,"P0 시각 역전",IF(OR(I2049&lt;O2049,I2049&gt;Q2049),"측정시각 구간 밖","OK")))))</f>
        <v/>
      </c>
      <c r="O2049" s="48">
        <f>IF(COUNTIFS($C:$C,$C2049,$D:$D,$D2049,$E:$E,"P0(전)",$M:$M,"&gt;0")&lt;&gt;1,"",SUMIFS($I:$I,$C:$C,$C2049,$D:$D,$D2049,$E:$E,"P0(전)"))</f>
        <v/>
      </c>
      <c r="P2049" s="31">
        <f>IF(COUNTIFS($C:$C,$C2049,$D:$D,$D2049,$E:$E,"P0(전)",$M:$M,"&gt;0")&lt;&gt;1,"",SUMIFS($M:$M,$C:$C,$C2049,$D:$D,$D2049,$E:$E,"P0(전)"))</f>
        <v/>
      </c>
      <c r="Q2049" s="48">
        <f>IF(COUNTIFS($C:$C,$C2049,$D:$D,$D2049,$E:$E,"P0(후)",$M:$M,"&gt;0")&lt;&gt;1,"",SUMIFS($I:$I,$C:$C,$C2049,$D:$D,$D2049,$E:$E,"P0(후)"))</f>
        <v/>
      </c>
      <c r="R2049" s="31">
        <f>IF(COUNTIFS($C:$C,$C2049,$D:$D,$D2049,$E:$E,"P0(후)",$M:$M,"&gt;0")&lt;&gt;1,"",SUMIFS($M:$M,$C:$C,$C2049,$D:$D,$D2049,$E:$E,"P0(후)"))</f>
        <v/>
      </c>
      <c r="S2049" s="31">
        <f>IF(N2049&lt;&gt;"OK","",P2049+(R2049-P2049)*(I2049-O2049)/(Q2049-O2049))</f>
        <v/>
      </c>
      <c r="T2049" s="31">
        <f>IF(OR(N2049&lt;&gt;"OK",NOT(ISNUMBER(M2049))),"",M2049-S2049)</f>
        <v/>
      </c>
      <c r="U2049" s="49">
        <f>IF(OR(NOT(ISNUMBER(T2049)),IF(ISNUMBER(H2049),H2049,G2049)=0),"",T2049/IF(ISNUMBER(H2049),H2049,G2049))</f>
        <v/>
      </c>
      <c r="V2049" s="49">
        <f>IF(ISNUMBER(U2049),ABS(U2049),"")</f>
        <v/>
      </c>
      <c r="W2049" s="49">
        <f>IF(OR($E2048&lt;&gt;"측정",$C2048&lt;&gt;$C2049,$D2048&lt;&gt;$D2049,NOT(ISNUMBER(M2049)),NOT(ISNUMBER(M2048)),(IF(ISNUMBER(H2049),H2049,G2049)-IF(ISNUMBER(H2048),H2048,G2048))=0),"",(M2049-M2048)/(IF(ISNUMBER(H2049),H2049,G2049)-IF(ISNUMBER(H2048),H2048,G2048)))</f>
        <v/>
      </c>
      <c r="X2049" s="31">
        <f>IF(NOT(AND(ISNUMBER(O2049),ISNUMBER(Q2049))),"",(Q2049-O2049)*1440)</f>
        <v/>
      </c>
      <c r="Y2049" s="29" t="n"/>
      <c r="Z2049" s="29" t="n"/>
      <c r="AA2049" s="29" t="n"/>
      <c r="AB2049" s="32" t="n"/>
      <c r="AC2049" s="32" t="n"/>
    </row>
    <row r="2050">
      <c r="A2050" s="26" t="inlineStr">
        <is>
          <t>S40</t>
        </is>
      </c>
      <c r="B2050" s="26" t="inlineStr">
        <is>
          <t>남지</t>
        </is>
      </c>
      <c r="C2050" s="26" t="inlineStr">
        <is>
          <t>S40-H서</t>
        </is>
      </c>
      <c r="D2050" s="47" t="n">
        <v>1</v>
      </c>
      <c r="E2050" s="26" t="inlineStr">
        <is>
          <t>측정</t>
        </is>
      </c>
      <c r="F2050" s="26" t="inlineStr">
        <is>
          <t>서</t>
        </is>
      </c>
      <c r="G2050" s="31" t="n">
        <v>2</v>
      </c>
      <c r="H2050" s="30" t="n"/>
      <c r="I2050" s="43" t="n"/>
      <c r="J2050" s="41" t="n"/>
      <c r="K2050" s="41" t="n"/>
      <c r="L2050" s="41" t="n"/>
      <c r="M2050" s="31">
        <f>IF(COUNT(J2050:L2050)=0,"",MEDIAN(J2050:L2050))</f>
        <v/>
      </c>
      <c r="N2050" s="26">
        <f>IF(COUNTIFS($C:$C,$C2050,$D:$D,$D2050,$E:$E,"P0(전)",$M:$M,"&gt;0")&lt;&gt;1,"P0(전) 유효 1개 아님",IF(COUNTIFS($C:$C,$C2050,$D:$D,$D2050,$E:$E,"P0(후)",$M:$M,"&gt;0")&lt;&gt;1,"P0(후) 유효 1개 아님",IF(NOT(AND(ISNUMBER(O2050),ISNUMBER(Q2050),ISNUMBER(I2050))),"시각 결측",IF(Q2050&lt;=O2050,"P0 시각 역전",IF(OR(I2050&lt;O2050,I2050&gt;Q2050),"측정시각 구간 밖","OK")))))</f>
        <v/>
      </c>
      <c r="O2050" s="48">
        <f>IF(COUNTIFS($C:$C,$C2050,$D:$D,$D2050,$E:$E,"P0(전)",$M:$M,"&gt;0")&lt;&gt;1,"",SUMIFS($I:$I,$C:$C,$C2050,$D:$D,$D2050,$E:$E,"P0(전)"))</f>
        <v/>
      </c>
      <c r="P2050" s="31">
        <f>IF(COUNTIFS($C:$C,$C2050,$D:$D,$D2050,$E:$E,"P0(전)",$M:$M,"&gt;0")&lt;&gt;1,"",SUMIFS($M:$M,$C:$C,$C2050,$D:$D,$D2050,$E:$E,"P0(전)"))</f>
        <v/>
      </c>
      <c r="Q2050" s="48">
        <f>IF(COUNTIFS($C:$C,$C2050,$D:$D,$D2050,$E:$E,"P0(후)",$M:$M,"&gt;0")&lt;&gt;1,"",SUMIFS($I:$I,$C:$C,$C2050,$D:$D,$D2050,$E:$E,"P0(후)"))</f>
        <v/>
      </c>
      <c r="R2050" s="31">
        <f>IF(COUNTIFS($C:$C,$C2050,$D:$D,$D2050,$E:$E,"P0(후)",$M:$M,"&gt;0")&lt;&gt;1,"",SUMIFS($M:$M,$C:$C,$C2050,$D:$D,$D2050,$E:$E,"P0(후)"))</f>
        <v/>
      </c>
      <c r="S2050" s="31">
        <f>IF(N2050&lt;&gt;"OK","",P2050+(R2050-P2050)*(I2050-O2050)/(Q2050-O2050))</f>
        <v/>
      </c>
      <c r="T2050" s="31">
        <f>IF(OR(N2050&lt;&gt;"OK",NOT(ISNUMBER(M2050))),"",M2050-S2050)</f>
        <v/>
      </c>
      <c r="U2050" s="49">
        <f>IF(OR(NOT(ISNUMBER(T2050)),IF(ISNUMBER(H2050),H2050,G2050)=0),"",T2050/IF(ISNUMBER(H2050),H2050,G2050))</f>
        <v/>
      </c>
      <c r="V2050" s="49">
        <f>IF(ISNUMBER(U2050),ABS(U2050),"")</f>
        <v/>
      </c>
      <c r="W2050" s="49">
        <f>IF(OR($E2049&lt;&gt;"측정",$C2049&lt;&gt;$C2050,$D2049&lt;&gt;$D2050,NOT(ISNUMBER(M2050)),NOT(ISNUMBER(M2049)),(IF(ISNUMBER(H2050),H2050,G2050)-IF(ISNUMBER(H2049),H2049,G2049))=0),"",(M2050-M2049)/(IF(ISNUMBER(H2050),H2050,G2050)-IF(ISNUMBER(H2049),H2049,G2049)))</f>
        <v/>
      </c>
      <c r="X2050" s="31">
        <f>IF(NOT(AND(ISNUMBER(O2050),ISNUMBER(Q2050))),"",(Q2050-O2050)*1440)</f>
        <v/>
      </c>
      <c r="Y2050" s="29" t="n"/>
      <c r="Z2050" s="29" t="n"/>
      <c r="AA2050" s="29" t="n"/>
      <c r="AB2050" s="32" t="n"/>
      <c r="AC2050" s="32" t="n"/>
    </row>
    <row r="2051">
      <c r="A2051" s="26" t="inlineStr">
        <is>
          <t>S40</t>
        </is>
      </c>
      <c r="B2051" s="26" t="inlineStr">
        <is>
          <t>남지</t>
        </is>
      </c>
      <c r="C2051" s="26" t="inlineStr">
        <is>
          <t>S40-H서</t>
        </is>
      </c>
      <c r="D2051" s="47" t="n">
        <v>1</v>
      </c>
      <c r="E2051" s="26" t="inlineStr">
        <is>
          <t>측정</t>
        </is>
      </c>
      <c r="F2051" s="26" t="inlineStr">
        <is>
          <t>서</t>
        </is>
      </c>
      <c r="G2051" s="31" t="n">
        <v>3</v>
      </c>
      <c r="H2051" s="30" t="n"/>
      <c r="I2051" s="43" t="n"/>
      <c r="J2051" s="41" t="n"/>
      <c r="K2051" s="41" t="n"/>
      <c r="L2051" s="41" t="n"/>
      <c r="M2051" s="31">
        <f>IF(COUNT(J2051:L2051)=0,"",MEDIAN(J2051:L2051))</f>
        <v/>
      </c>
      <c r="N2051" s="26">
        <f>IF(COUNTIFS($C:$C,$C2051,$D:$D,$D2051,$E:$E,"P0(전)",$M:$M,"&gt;0")&lt;&gt;1,"P0(전) 유효 1개 아님",IF(COUNTIFS($C:$C,$C2051,$D:$D,$D2051,$E:$E,"P0(후)",$M:$M,"&gt;0")&lt;&gt;1,"P0(후) 유효 1개 아님",IF(NOT(AND(ISNUMBER(O2051),ISNUMBER(Q2051),ISNUMBER(I2051))),"시각 결측",IF(Q2051&lt;=O2051,"P0 시각 역전",IF(OR(I2051&lt;O2051,I2051&gt;Q2051),"측정시각 구간 밖","OK")))))</f>
        <v/>
      </c>
      <c r="O2051" s="48">
        <f>IF(COUNTIFS($C:$C,$C2051,$D:$D,$D2051,$E:$E,"P0(전)",$M:$M,"&gt;0")&lt;&gt;1,"",SUMIFS($I:$I,$C:$C,$C2051,$D:$D,$D2051,$E:$E,"P0(전)"))</f>
        <v/>
      </c>
      <c r="P2051" s="31">
        <f>IF(COUNTIFS($C:$C,$C2051,$D:$D,$D2051,$E:$E,"P0(전)",$M:$M,"&gt;0")&lt;&gt;1,"",SUMIFS($M:$M,$C:$C,$C2051,$D:$D,$D2051,$E:$E,"P0(전)"))</f>
        <v/>
      </c>
      <c r="Q2051" s="48">
        <f>IF(COUNTIFS($C:$C,$C2051,$D:$D,$D2051,$E:$E,"P0(후)",$M:$M,"&gt;0")&lt;&gt;1,"",SUMIFS($I:$I,$C:$C,$C2051,$D:$D,$D2051,$E:$E,"P0(후)"))</f>
        <v/>
      </c>
      <c r="R2051" s="31">
        <f>IF(COUNTIFS($C:$C,$C2051,$D:$D,$D2051,$E:$E,"P0(후)",$M:$M,"&gt;0")&lt;&gt;1,"",SUMIFS($M:$M,$C:$C,$C2051,$D:$D,$D2051,$E:$E,"P0(후)"))</f>
        <v/>
      </c>
      <c r="S2051" s="31">
        <f>IF(N2051&lt;&gt;"OK","",P2051+(R2051-P2051)*(I2051-O2051)/(Q2051-O2051))</f>
        <v/>
      </c>
      <c r="T2051" s="31">
        <f>IF(OR(N2051&lt;&gt;"OK",NOT(ISNUMBER(M2051))),"",M2051-S2051)</f>
        <v/>
      </c>
      <c r="U2051" s="49">
        <f>IF(OR(NOT(ISNUMBER(T2051)),IF(ISNUMBER(H2051),H2051,G2051)=0),"",T2051/IF(ISNUMBER(H2051),H2051,G2051))</f>
        <v/>
      </c>
      <c r="V2051" s="49">
        <f>IF(ISNUMBER(U2051),ABS(U2051),"")</f>
        <v/>
      </c>
      <c r="W2051" s="49">
        <f>IF(OR($E2050&lt;&gt;"측정",$C2050&lt;&gt;$C2051,$D2050&lt;&gt;$D2051,NOT(ISNUMBER(M2051)),NOT(ISNUMBER(M2050)),(IF(ISNUMBER(H2051),H2051,G2051)-IF(ISNUMBER(H2050),H2050,G2050))=0),"",(M2051-M2050)/(IF(ISNUMBER(H2051),H2051,G2051)-IF(ISNUMBER(H2050),H2050,G2050)))</f>
        <v/>
      </c>
      <c r="X2051" s="31">
        <f>IF(NOT(AND(ISNUMBER(O2051),ISNUMBER(Q2051))),"",(Q2051-O2051)*1440)</f>
        <v/>
      </c>
      <c r="Y2051" s="29" t="n"/>
      <c r="Z2051" s="29" t="n"/>
      <c r="AA2051" s="29" t="n"/>
      <c r="AB2051" s="32" t="n"/>
      <c r="AC2051" s="32" t="n"/>
    </row>
    <row r="2052">
      <c r="A2052" s="26" t="inlineStr">
        <is>
          <t>S40</t>
        </is>
      </c>
      <c r="B2052" s="26" t="inlineStr">
        <is>
          <t>남지</t>
        </is>
      </c>
      <c r="C2052" s="26" t="inlineStr">
        <is>
          <t>S40-H서</t>
        </is>
      </c>
      <c r="D2052" s="47" t="n">
        <v>1</v>
      </c>
      <c r="E2052" s="26" t="inlineStr">
        <is>
          <t>측정</t>
        </is>
      </c>
      <c r="F2052" s="26" t="inlineStr">
        <is>
          <t>서</t>
        </is>
      </c>
      <c r="G2052" s="31" t="n">
        <v>4</v>
      </c>
      <c r="H2052" s="30" t="n"/>
      <c r="I2052" s="43" t="n"/>
      <c r="J2052" s="41" t="n"/>
      <c r="K2052" s="41" t="n"/>
      <c r="L2052" s="41" t="n"/>
      <c r="M2052" s="31">
        <f>IF(COUNT(J2052:L2052)=0,"",MEDIAN(J2052:L2052))</f>
        <v/>
      </c>
      <c r="N2052" s="26">
        <f>IF(COUNTIFS($C:$C,$C2052,$D:$D,$D2052,$E:$E,"P0(전)",$M:$M,"&gt;0")&lt;&gt;1,"P0(전) 유효 1개 아님",IF(COUNTIFS($C:$C,$C2052,$D:$D,$D2052,$E:$E,"P0(후)",$M:$M,"&gt;0")&lt;&gt;1,"P0(후) 유효 1개 아님",IF(NOT(AND(ISNUMBER(O2052),ISNUMBER(Q2052),ISNUMBER(I2052))),"시각 결측",IF(Q2052&lt;=O2052,"P0 시각 역전",IF(OR(I2052&lt;O2052,I2052&gt;Q2052),"측정시각 구간 밖","OK")))))</f>
        <v/>
      </c>
      <c r="O2052" s="48">
        <f>IF(COUNTIFS($C:$C,$C2052,$D:$D,$D2052,$E:$E,"P0(전)",$M:$M,"&gt;0")&lt;&gt;1,"",SUMIFS($I:$I,$C:$C,$C2052,$D:$D,$D2052,$E:$E,"P0(전)"))</f>
        <v/>
      </c>
      <c r="P2052" s="31">
        <f>IF(COUNTIFS($C:$C,$C2052,$D:$D,$D2052,$E:$E,"P0(전)",$M:$M,"&gt;0")&lt;&gt;1,"",SUMIFS($M:$M,$C:$C,$C2052,$D:$D,$D2052,$E:$E,"P0(전)"))</f>
        <v/>
      </c>
      <c r="Q2052" s="48">
        <f>IF(COUNTIFS($C:$C,$C2052,$D:$D,$D2052,$E:$E,"P0(후)",$M:$M,"&gt;0")&lt;&gt;1,"",SUMIFS($I:$I,$C:$C,$C2052,$D:$D,$D2052,$E:$E,"P0(후)"))</f>
        <v/>
      </c>
      <c r="R2052" s="31">
        <f>IF(COUNTIFS($C:$C,$C2052,$D:$D,$D2052,$E:$E,"P0(후)",$M:$M,"&gt;0")&lt;&gt;1,"",SUMIFS($M:$M,$C:$C,$C2052,$D:$D,$D2052,$E:$E,"P0(후)"))</f>
        <v/>
      </c>
      <c r="S2052" s="31">
        <f>IF(N2052&lt;&gt;"OK","",P2052+(R2052-P2052)*(I2052-O2052)/(Q2052-O2052))</f>
        <v/>
      </c>
      <c r="T2052" s="31">
        <f>IF(OR(N2052&lt;&gt;"OK",NOT(ISNUMBER(M2052))),"",M2052-S2052)</f>
        <v/>
      </c>
      <c r="U2052" s="49">
        <f>IF(OR(NOT(ISNUMBER(T2052)),IF(ISNUMBER(H2052),H2052,G2052)=0),"",T2052/IF(ISNUMBER(H2052),H2052,G2052))</f>
        <v/>
      </c>
      <c r="V2052" s="49">
        <f>IF(ISNUMBER(U2052),ABS(U2052),"")</f>
        <v/>
      </c>
      <c r="W2052" s="49">
        <f>IF(OR($E2051&lt;&gt;"측정",$C2051&lt;&gt;$C2052,$D2051&lt;&gt;$D2052,NOT(ISNUMBER(M2052)),NOT(ISNUMBER(M2051)),(IF(ISNUMBER(H2052),H2052,G2052)-IF(ISNUMBER(H2051),H2051,G2051))=0),"",(M2052-M2051)/(IF(ISNUMBER(H2052),H2052,G2052)-IF(ISNUMBER(H2051),H2051,G2051)))</f>
        <v/>
      </c>
      <c r="X2052" s="31">
        <f>IF(NOT(AND(ISNUMBER(O2052),ISNUMBER(Q2052))),"",(Q2052-O2052)*1440)</f>
        <v/>
      </c>
      <c r="Y2052" s="29" t="n"/>
      <c r="Z2052" s="29" t="n"/>
      <c r="AA2052" s="29" t="n"/>
      <c r="AB2052" s="32" t="n"/>
      <c r="AC2052" s="32" t="n"/>
    </row>
    <row r="2053">
      <c r="A2053" s="26" t="inlineStr">
        <is>
          <t>S40</t>
        </is>
      </c>
      <c r="B2053" s="26" t="inlineStr">
        <is>
          <t>남지</t>
        </is>
      </c>
      <c r="C2053" s="26" t="inlineStr">
        <is>
          <t>S40-H서</t>
        </is>
      </c>
      <c r="D2053" s="47" t="n">
        <v>1</v>
      </c>
      <c r="E2053" s="26" t="inlineStr">
        <is>
          <t>측정</t>
        </is>
      </c>
      <c r="F2053" s="26" t="inlineStr">
        <is>
          <t>서</t>
        </is>
      </c>
      <c r="G2053" s="31" t="n">
        <v>5</v>
      </c>
      <c r="H2053" s="30" t="n"/>
      <c r="I2053" s="43" t="n"/>
      <c r="J2053" s="41" t="n"/>
      <c r="K2053" s="41" t="n"/>
      <c r="L2053" s="41" t="n"/>
      <c r="M2053" s="31">
        <f>IF(COUNT(J2053:L2053)=0,"",MEDIAN(J2053:L2053))</f>
        <v/>
      </c>
      <c r="N2053" s="26">
        <f>IF(COUNTIFS($C:$C,$C2053,$D:$D,$D2053,$E:$E,"P0(전)",$M:$M,"&gt;0")&lt;&gt;1,"P0(전) 유효 1개 아님",IF(COUNTIFS($C:$C,$C2053,$D:$D,$D2053,$E:$E,"P0(후)",$M:$M,"&gt;0")&lt;&gt;1,"P0(후) 유효 1개 아님",IF(NOT(AND(ISNUMBER(O2053),ISNUMBER(Q2053),ISNUMBER(I2053))),"시각 결측",IF(Q2053&lt;=O2053,"P0 시각 역전",IF(OR(I2053&lt;O2053,I2053&gt;Q2053),"측정시각 구간 밖","OK")))))</f>
        <v/>
      </c>
      <c r="O2053" s="48">
        <f>IF(COUNTIFS($C:$C,$C2053,$D:$D,$D2053,$E:$E,"P0(전)",$M:$M,"&gt;0")&lt;&gt;1,"",SUMIFS($I:$I,$C:$C,$C2053,$D:$D,$D2053,$E:$E,"P0(전)"))</f>
        <v/>
      </c>
      <c r="P2053" s="31">
        <f>IF(COUNTIFS($C:$C,$C2053,$D:$D,$D2053,$E:$E,"P0(전)",$M:$M,"&gt;0")&lt;&gt;1,"",SUMIFS($M:$M,$C:$C,$C2053,$D:$D,$D2053,$E:$E,"P0(전)"))</f>
        <v/>
      </c>
      <c r="Q2053" s="48">
        <f>IF(COUNTIFS($C:$C,$C2053,$D:$D,$D2053,$E:$E,"P0(후)",$M:$M,"&gt;0")&lt;&gt;1,"",SUMIFS($I:$I,$C:$C,$C2053,$D:$D,$D2053,$E:$E,"P0(후)"))</f>
        <v/>
      </c>
      <c r="R2053" s="31">
        <f>IF(COUNTIFS($C:$C,$C2053,$D:$D,$D2053,$E:$E,"P0(후)",$M:$M,"&gt;0")&lt;&gt;1,"",SUMIFS($M:$M,$C:$C,$C2053,$D:$D,$D2053,$E:$E,"P0(후)"))</f>
        <v/>
      </c>
      <c r="S2053" s="31">
        <f>IF(N2053&lt;&gt;"OK","",P2053+(R2053-P2053)*(I2053-O2053)/(Q2053-O2053))</f>
        <v/>
      </c>
      <c r="T2053" s="31">
        <f>IF(OR(N2053&lt;&gt;"OK",NOT(ISNUMBER(M2053))),"",M2053-S2053)</f>
        <v/>
      </c>
      <c r="U2053" s="49">
        <f>IF(OR(NOT(ISNUMBER(T2053)),IF(ISNUMBER(H2053),H2053,G2053)=0),"",T2053/IF(ISNUMBER(H2053),H2053,G2053))</f>
        <v/>
      </c>
      <c r="V2053" s="49">
        <f>IF(ISNUMBER(U2053),ABS(U2053),"")</f>
        <v/>
      </c>
      <c r="W2053" s="49">
        <f>IF(OR($E2052&lt;&gt;"측정",$C2052&lt;&gt;$C2053,$D2052&lt;&gt;$D2053,NOT(ISNUMBER(M2053)),NOT(ISNUMBER(M2052)),(IF(ISNUMBER(H2053),H2053,G2053)-IF(ISNUMBER(H2052),H2052,G2052))=0),"",(M2053-M2052)/(IF(ISNUMBER(H2053),H2053,G2053)-IF(ISNUMBER(H2052),H2052,G2052)))</f>
        <v/>
      </c>
      <c r="X2053" s="31">
        <f>IF(NOT(AND(ISNUMBER(O2053),ISNUMBER(Q2053))),"",(Q2053-O2053)*1440)</f>
        <v/>
      </c>
      <c r="Y2053" s="29" t="n"/>
      <c r="Z2053" s="29" t="n"/>
      <c r="AA2053" s="29" t="n"/>
      <c r="AB2053" s="32" t="n"/>
      <c r="AC2053" s="32" t="n"/>
    </row>
    <row r="2054">
      <c r="A2054" s="26" t="inlineStr">
        <is>
          <t>S40</t>
        </is>
      </c>
      <c r="B2054" s="26" t="inlineStr">
        <is>
          <t>남지</t>
        </is>
      </c>
      <c r="C2054" s="26" t="inlineStr">
        <is>
          <t>S40-H서</t>
        </is>
      </c>
      <c r="D2054" s="47" t="n">
        <v>1</v>
      </c>
      <c r="E2054" s="26" t="inlineStr">
        <is>
          <t>측정</t>
        </is>
      </c>
      <c r="F2054" s="26" t="inlineStr">
        <is>
          <t>서</t>
        </is>
      </c>
      <c r="G2054" s="31" t="n">
        <v>6</v>
      </c>
      <c r="H2054" s="30" t="n"/>
      <c r="I2054" s="43" t="n"/>
      <c r="J2054" s="41" t="n"/>
      <c r="K2054" s="41" t="n"/>
      <c r="L2054" s="41" t="n"/>
      <c r="M2054" s="31">
        <f>IF(COUNT(J2054:L2054)=0,"",MEDIAN(J2054:L2054))</f>
        <v/>
      </c>
      <c r="N2054" s="26">
        <f>IF(COUNTIFS($C:$C,$C2054,$D:$D,$D2054,$E:$E,"P0(전)",$M:$M,"&gt;0")&lt;&gt;1,"P0(전) 유효 1개 아님",IF(COUNTIFS($C:$C,$C2054,$D:$D,$D2054,$E:$E,"P0(후)",$M:$M,"&gt;0")&lt;&gt;1,"P0(후) 유효 1개 아님",IF(NOT(AND(ISNUMBER(O2054),ISNUMBER(Q2054),ISNUMBER(I2054))),"시각 결측",IF(Q2054&lt;=O2054,"P0 시각 역전",IF(OR(I2054&lt;O2054,I2054&gt;Q2054),"측정시각 구간 밖","OK")))))</f>
        <v/>
      </c>
      <c r="O2054" s="48">
        <f>IF(COUNTIFS($C:$C,$C2054,$D:$D,$D2054,$E:$E,"P0(전)",$M:$M,"&gt;0")&lt;&gt;1,"",SUMIFS($I:$I,$C:$C,$C2054,$D:$D,$D2054,$E:$E,"P0(전)"))</f>
        <v/>
      </c>
      <c r="P2054" s="31">
        <f>IF(COUNTIFS($C:$C,$C2054,$D:$D,$D2054,$E:$E,"P0(전)",$M:$M,"&gt;0")&lt;&gt;1,"",SUMIFS($M:$M,$C:$C,$C2054,$D:$D,$D2054,$E:$E,"P0(전)"))</f>
        <v/>
      </c>
      <c r="Q2054" s="48">
        <f>IF(COUNTIFS($C:$C,$C2054,$D:$D,$D2054,$E:$E,"P0(후)",$M:$M,"&gt;0")&lt;&gt;1,"",SUMIFS($I:$I,$C:$C,$C2054,$D:$D,$D2054,$E:$E,"P0(후)"))</f>
        <v/>
      </c>
      <c r="R2054" s="31">
        <f>IF(COUNTIFS($C:$C,$C2054,$D:$D,$D2054,$E:$E,"P0(후)",$M:$M,"&gt;0")&lt;&gt;1,"",SUMIFS($M:$M,$C:$C,$C2054,$D:$D,$D2054,$E:$E,"P0(후)"))</f>
        <v/>
      </c>
      <c r="S2054" s="31">
        <f>IF(N2054&lt;&gt;"OK","",P2054+(R2054-P2054)*(I2054-O2054)/(Q2054-O2054))</f>
        <v/>
      </c>
      <c r="T2054" s="31">
        <f>IF(OR(N2054&lt;&gt;"OK",NOT(ISNUMBER(M2054))),"",M2054-S2054)</f>
        <v/>
      </c>
      <c r="U2054" s="49">
        <f>IF(OR(NOT(ISNUMBER(T2054)),IF(ISNUMBER(H2054),H2054,G2054)=0),"",T2054/IF(ISNUMBER(H2054),H2054,G2054))</f>
        <v/>
      </c>
      <c r="V2054" s="49">
        <f>IF(ISNUMBER(U2054),ABS(U2054),"")</f>
        <v/>
      </c>
      <c r="W2054" s="49">
        <f>IF(OR($E2053&lt;&gt;"측정",$C2053&lt;&gt;$C2054,$D2053&lt;&gt;$D2054,NOT(ISNUMBER(M2054)),NOT(ISNUMBER(M2053)),(IF(ISNUMBER(H2054),H2054,G2054)-IF(ISNUMBER(H2053),H2053,G2053))=0),"",(M2054-M2053)/(IF(ISNUMBER(H2054),H2054,G2054)-IF(ISNUMBER(H2053),H2053,G2053)))</f>
        <v/>
      </c>
      <c r="X2054" s="31">
        <f>IF(NOT(AND(ISNUMBER(O2054),ISNUMBER(Q2054))),"",(Q2054-O2054)*1440)</f>
        <v/>
      </c>
      <c r="Y2054" s="29" t="n"/>
      <c r="Z2054" s="29" t="n"/>
      <c r="AA2054" s="29" t="n"/>
      <c r="AB2054" s="32" t="n"/>
      <c r="AC2054" s="32" t="n"/>
    </row>
    <row r="2055">
      <c r="A2055" s="26" t="inlineStr">
        <is>
          <t>S40</t>
        </is>
      </c>
      <c r="B2055" s="26" t="inlineStr">
        <is>
          <t>남지</t>
        </is>
      </c>
      <c r="C2055" s="26" t="inlineStr">
        <is>
          <t>S40-H서</t>
        </is>
      </c>
      <c r="D2055" s="47" t="n">
        <v>1</v>
      </c>
      <c r="E2055" s="26" t="inlineStr">
        <is>
          <t>측정</t>
        </is>
      </c>
      <c r="F2055" s="26" t="inlineStr">
        <is>
          <t>서</t>
        </is>
      </c>
      <c r="G2055" s="31" t="n">
        <v>7</v>
      </c>
      <c r="H2055" s="30" t="n"/>
      <c r="I2055" s="43" t="n"/>
      <c r="J2055" s="41" t="n"/>
      <c r="K2055" s="41" t="n"/>
      <c r="L2055" s="41" t="n"/>
      <c r="M2055" s="31">
        <f>IF(COUNT(J2055:L2055)=0,"",MEDIAN(J2055:L2055))</f>
        <v/>
      </c>
      <c r="N2055" s="26">
        <f>IF(COUNTIFS($C:$C,$C2055,$D:$D,$D2055,$E:$E,"P0(전)",$M:$M,"&gt;0")&lt;&gt;1,"P0(전) 유효 1개 아님",IF(COUNTIFS($C:$C,$C2055,$D:$D,$D2055,$E:$E,"P0(후)",$M:$M,"&gt;0")&lt;&gt;1,"P0(후) 유효 1개 아님",IF(NOT(AND(ISNUMBER(O2055),ISNUMBER(Q2055),ISNUMBER(I2055))),"시각 결측",IF(Q2055&lt;=O2055,"P0 시각 역전",IF(OR(I2055&lt;O2055,I2055&gt;Q2055),"측정시각 구간 밖","OK")))))</f>
        <v/>
      </c>
      <c r="O2055" s="48">
        <f>IF(COUNTIFS($C:$C,$C2055,$D:$D,$D2055,$E:$E,"P0(전)",$M:$M,"&gt;0")&lt;&gt;1,"",SUMIFS($I:$I,$C:$C,$C2055,$D:$D,$D2055,$E:$E,"P0(전)"))</f>
        <v/>
      </c>
      <c r="P2055" s="31">
        <f>IF(COUNTIFS($C:$C,$C2055,$D:$D,$D2055,$E:$E,"P0(전)",$M:$M,"&gt;0")&lt;&gt;1,"",SUMIFS($M:$M,$C:$C,$C2055,$D:$D,$D2055,$E:$E,"P0(전)"))</f>
        <v/>
      </c>
      <c r="Q2055" s="48">
        <f>IF(COUNTIFS($C:$C,$C2055,$D:$D,$D2055,$E:$E,"P0(후)",$M:$M,"&gt;0")&lt;&gt;1,"",SUMIFS($I:$I,$C:$C,$C2055,$D:$D,$D2055,$E:$E,"P0(후)"))</f>
        <v/>
      </c>
      <c r="R2055" s="31">
        <f>IF(COUNTIFS($C:$C,$C2055,$D:$D,$D2055,$E:$E,"P0(후)",$M:$M,"&gt;0")&lt;&gt;1,"",SUMIFS($M:$M,$C:$C,$C2055,$D:$D,$D2055,$E:$E,"P0(후)"))</f>
        <v/>
      </c>
      <c r="S2055" s="31">
        <f>IF(N2055&lt;&gt;"OK","",P2055+(R2055-P2055)*(I2055-O2055)/(Q2055-O2055))</f>
        <v/>
      </c>
      <c r="T2055" s="31">
        <f>IF(OR(N2055&lt;&gt;"OK",NOT(ISNUMBER(M2055))),"",M2055-S2055)</f>
        <v/>
      </c>
      <c r="U2055" s="49">
        <f>IF(OR(NOT(ISNUMBER(T2055)),IF(ISNUMBER(H2055),H2055,G2055)=0),"",T2055/IF(ISNUMBER(H2055),H2055,G2055))</f>
        <v/>
      </c>
      <c r="V2055" s="49">
        <f>IF(ISNUMBER(U2055),ABS(U2055),"")</f>
        <v/>
      </c>
      <c r="W2055" s="49">
        <f>IF(OR($E2054&lt;&gt;"측정",$C2054&lt;&gt;$C2055,$D2054&lt;&gt;$D2055,NOT(ISNUMBER(M2055)),NOT(ISNUMBER(M2054)),(IF(ISNUMBER(H2055),H2055,G2055)-IF(ISNUMBER(H2054),H2054,G2054))=0),"",(M2055-M2054)/(IF(ISNUMBER(H2055),H2055,G2055)-IF(ISNUMBER(H2054),H2054,G2054)))</f>
        <v/>
      </c>
      <c r="X2055" s="31">
        <f>IF(NOT(AND(ISNUMBER(O2055),ISNUMBER(Q2055))),"",(Q2055-O2055)*1440)</f>
        <v/>
      </c>
      <c r="Y2055" s="29" t="n"/>
      <c r="Z2055" s="29" t="n"/>
      <c r="AA2055" s="29" t="n"/>
      <c r="AB2055" s="32" t="n"/>
      <c r="AC2055" s="32" t="n"/>
    </row>
    <row r="2056">
      <c r="A2056" s="26" t="inlineStr">
        <is>
          <t>S40</t>
        </is>
      </c>
      <c r="B2056" s="26" t="inlineStr">
        <is>
          <t>남지</t>
        </is>
      </c>
      <c r="C2056" s="26" t="inlineStr">
        <is>
          <t>S40-H서</t>
        </is>
      </c>
      <c r="D2056" s="47" t="n">
        <v>1</v>
      </c>
      <c r="E2056" s="26" t="inlineStr">
        <is>
          <t>측정</t>
        </is>
      </c>
      <c r="F2056" s="26" t="inlineStr">
        <is>
          <t>서</t>
        </is>
      </c>
      <c r="G2056" s="31" t="n">
        <v>8</v>
      </c>
      <c r="H2056" s="30" t="n"/>
      <c r="I2056" s="43" t="n"/>
      <c r="J2056" s="41" t="n"/>
      <c r="K2056" s="41" t="n"/>
      <c r="L2056" s="41" t="n"/>
      <c r="M2056" s="31">
        <f>IF(COUNT(J2056:L2056)=0,"",MEDIAN(J2056:L2056))</f>
        <v/>
      </c>
      <c r="N2056" s="26">
        <f>IF(COUNTIFS($C:$C,$C2056,$D:$D,$D2056,$E:$E,"P0(전)",$M:$M,"&gt;0")&lt;&gt;1,"P0(전) 유효 1개 아님",IF(COUNTIFS($C:$C,$C2056,$D:$D,$D2056,$E:$E,"P0(후)",$M:$M,"&gt;0")&lt;&gt;1,"P0(후) 유효 1개 아님",IF(NOT(AND(ISNUMBER(O2056),ISNUMBER(Q2056),ISNUMBER(I2056))),"시각 결측",IF(Q2056&lt;=O2056,"P0 시각 역전",IF(OR(I2056&lt;O2056,I2056&gt;Q2056),"측정시각 구간 밖","OK")))))</f>
        <v/>
      </c>
      <c r="O2056" s="48">
        <f>IF(COUNTIFS($C:$C,$C2056,$D:$D,$D2056,$E:$E,"P0(전)",$M:$M,"&gt;0")&lt;&gt;1,"",SUMIFS($I:$I,$C:$C,$C2056,$D:$D,$D2056,$E:$E,"P0(전)"))</f>
        <v/>
      </c>
      <c r="P2056" s="31">
        <f>IF(COUNTIFS($C:$C,$C2056,$D:$D,$D2056,$E:$E,"P0(전)",$M:$M,"&gt;0")&lt;&gt;1,"",SUMIFS($M:$M,$C:$C,$C2056,$D:$D,$D2056,$E:$E,"P0(전)"))</f>
        <v/>
      </c>
      <c r="Q2056" s="48">
        <f>IF(COUNTIFS($C:$C,$C2056,$D:$D,$D2056,$E:$E,"P0(후)",$M:$M,"&gt;0")&lt;&gt;1,"",SUMIFS($I:$I,$C:$C,$C2056,$D:$D,$D2056,$E:$E,"P0(후)"))</f>
        <v/>
      </c>
      <c r="R2056" s="31">
        <f>IF(COUNTIFS($C:$C,$C2056,$D:$D,$D2056,$E:$E,"P0(후)",$M:$M,"&gt;0")&lt;&gt;1,"",SUMIFS($M:$M,$C:$C,$C2056,$D:$D,$D2056,$E:$E,"P0(후)"))</f>
        <v/>
      </c>
      <c r="S2056" s="31">
        <f>IF(N2056&lt;&gt;"OK","",P2056+(R2056-P2056)*(I2056-O2056)/(Q2056-O2056))</f>
        <v/>
      </c>
      <c r="T2056" s="31">
        <f>IF(OR(N2056&lt;&gt;"OK",NOT(ISNUMBER(M2056))),"",M2056-S2056)</f>
        <v/>
      </c>
      <c r="U2056" s="49">
        <f>IF(OR(NOT(ISNUMBER(T2056)),IF(ISNUMBER(H2056),H2056,G2056)=0),"",T2056/IF(ISNUMBER(H2056),H2056,G2056))</f>
        <v/>
      </c>
      <c r="V2056" s="49">
        <f>IF(ISNUMBER(U2056),ABS(U2056),"")</f>
        <v/>
      </c>
      <c r="W2056" s="49">
        <f>IF(OR($E2055&lt;&gt;"측정",$C2055&lt;&gt;$C2056,$D2055&lt;&gt;$D2056,NOT(ISNUMBER(M2056)),NOT(ISNUMBER(M2055)),(IF(ISNUMBER(H2056),H2056,G2056)-IF(ISNUMBER(H2055),H2055,G2055))=0),"",(M2056-M2055)/(IF(ISNUMBER(H2056),H2056,G2056)-IF(ISNUMBER(H2055),H2055,G2055)))</f>
        <v/>
      </c>
      <c r="X2056" s="31">
        <f>IF(NOT(AND(ISNUMBER(O2056),ISNUMBER(Q2056))),"",(Q2056-O2056)*1440)</f>
        <v/>
      </c>
      <c r="Y2056" s="29" t="n"/>
      <c r="Z2056" s="29" t="n"/>
      <c r="AA2056" s="29" t="n"/>
      <c r="AB2056" s="32" t="n"/>
      <c r="AC2056" s="32" t="n"/>
    </row>
    <row r="2057">
      <c r="A2057" s="26" t="inlineStr">
        <is>
          <t>S40</t>
        </is>
      </c>
      <c r="B2057" s="26" t="inlineStr">
        <is>
          <t>남지</t>
        </is>
      </c>
      <c r="C2057" s="26" t="inlineStr">
        <is>
          <t>S40-H서</t>
        </is>
      </c>
      <c r="D2057" s="47" t="n">
        <v>1</v>
      </c>
      <c r="E2057" s="26" t="inlineStr">
        <is>
          <t>측정</t>
        </is>
      </c>
      <c r="F2057" s="26" t="inlineStr">
        <is>
          <t>서</t>
        </is>
      </c>
      <c r="G2057" s="31" t="n">
        <v>9</v>
      </c>
      <c r="H2057" s="30" t="n"/>
      <c r="I2057" s="43" t="n"/>
      <c r="J2057" s="41" t="n"/>
      <c r="K2057" s="41" t="n"/>
      <c r="L2057" s="41" t="n"/>
      <c r="M2057" s="31">
        <f>IF(COUNT(J2057:L2057)=0,"",MEDIAN(J2057:L2057))</f>
        <v/>
      </c>
      <c r="N2057" s="26">
        <f>IF(COUNTIFS($C:$C,$C2057,$D:$D,$D2057,$E:$E,"P0(전)",$M:$M,"&gt;0")&lt;&gt;1,"P0(전) 유효 1개 아님",IF(COUNTIFS($C:$C,$C2057,$D:$D,$D2057,$E:$E,"P0(후)",$M:$M,"&gt;0")&lt;&gt;1,"P0(후) 유효 1개 아님",IF(NOT(AND(ISNUMBER(O2057),ISNUMBER(Q2057),ISNUMBER(I2057))),"시각 결측",IF(Q2057&lt;=O2057,"P0 시각 역전",IF(OR(I2057&lt;O2057,I2057&gt;Q2057),"측정시각 구간 밖","OK")))))</f>
        <v/>
      </c>
      <c r="O2057" s="48">
        <f>IF(COUNTIFS($C:$C,$C2057,$D:$D,$D2057,$E:$E,"P0(전)",$M:$M,"&gt;0")&lt;&gt;1,"",SUMIFS($I:$I,$C:$C,$C2057,$D:$D,$D2057,$E:$E,"P0(전)"))</f>
        <v/>
      </c>
      <c r="P2057" s="31">
        <f>IF(COUNTIFS($C:$C,$C2057,$D:$D,$D2057,$E:$E,"P0(전)",$M:$M,"&gt;0")&lt;&gt;1,"",SUMIFS($M:$M,$C:$C,$C2057,$D:$D,$D2057,$E:$E,"P0(전)"))</f>
        <v/>
      </c>
      <c r="Q2057" s="48">
        <f>IF(COUNTIFS($C:$C,$C2057,$D:$D,$D2057,$E:$E,"P0(후)",$M:$M,"&gt;0")&lt;&gt;1,"",SUMIFS($I:$I,$C:$C,$C2057,$D:$D,$D2057,$E:$E,"P0(후)"))</f>
        <v/>
      </c>
      <c r="R2057" s="31">
        <f>IF(COUNTIFS($C:$C,$C2057,$D:$D,$D2057,$E:$E,"P0(후)",$M:$M,"&gt;0")&lt;&gt;1,"",SUMIFS($M:$M,$C:$C,$C2057,$D:$D,$D2057,$E:$E,"P0(후)"))</f>
        <v/>
      </c>
      <c r="S2057" s="31">
        <f>IF(N2057&lt;&gt;"OK","",P2057+(R2057-P2057)*(I2057-O2057)/(Q2057-O2057))</f>
        <v/>
      </c>
      <c r="T2057" s="31">
        <f>IF(OR(N2057&lt;&gt;"OK",NOT(ISNUMBER(M2057))),"",M2057-S2057)</f>
        <v/>
      </c>
      <c r="U2057" s="49">
        <f>IF(OR(NOT(ISNUMBER(T2057)),IF(ISNUMBER(H2057),H2057,G2057)=0),"",T2057/IF(ISNUMBER(H2057),H2057,G2057))</f>
        <v/>
      </c>
      <c r="V2057" s="49">
        <f>IF(ISNUMBER(U2057),ABS(U2057),"")</f>
        <v/>
      </c>
      <c r="W2057" s="49">
        <f>IF(OR($E2056&lt;&gt;"측정",$C2056&lt;&gt;$C2057,$D2056&lt;&gt;$D2057,NOT(ISNUMBER(M2057)),NOT(ISNUMBER(M2056)),(IF(ISNUMBER(H2057),H2057,G2057)-IF(ISNUMBER(H2056),H2056,G2056))=0),"",(M2057-M2056)/(IF(ISNUMBER(H2057),H2057,G2057)-IF(ISNUMBER(H2056),H2056,G2056)))</f>
        <v/>
      </c>
      <c r="X2057" s="31">
        <f>IF(NOT(AND(ISNUMBER(O2057),ISNUMBER(Q2057))),"",(Q2057-O2057)*1440)</f>
        <v/>
      </c>
      <c r="Y2057" s="29" t="n"/>
      <c r="Z2057" s="29" t="n"/>
      <c r="AA2057" s="29" t="n"/>
      <c r="AB2057" s="32" t="n"/>
      <c r="AC2057" s="32" t="n"/>
    </row>
    <row r="2058">
      <c r="A2058" s="26" t="inlineStr">
        <is>
          <t>S40</t>
        </is>
      </c>
      <c r="B2058" s="26" t="inlineStr">
        <is>
          <t>남지</t>
        </is>
      </c>
      <c r="C2058" s="26" t="inlineStr">
        <is>
          <t>S40-H서</t>
        </is>
      </c>
      <c r="D2058" s="47" t="n">
        <v>1</v>
      </c>
      <c r="E2058" s="26" t="inlineStr">
        <is>
          <t>측정</t>
        </is>
      </c>
      <c r="F2058" s="26" t="inlineStr">
        <is>
          <t>서</t>
        </is>
      </c>
      <c r="G2058" s="31" t="n">
        <v>10</v>
      </c>
      <c r="H2058" s="30" t="n"/>
      <c r="I2058" s="43" t="n"/>
      <c r="J2058" s="41" t="n"/>
      <c r="K2058" s="41" t="n"/>
      <c r="L2058" s="41" t="n"/>
      <c r="M2058" s="31">
        <f>IF(COUNT(J2058:L2058)=0,"",MEDIAN(J2058:L2058))</f>
        <v/>
      </c>
      <c r="N2058" s="26">
        <f>IF(COUNTIFS($C:$C,$C2058,$D:$D,$D2058,$E:$E,"P0(전)",$M:$M,"&gt;0")&lt;&gt;1,"P0(전) 유효 1개 아님",IF(COUNTIFS($C:$C,$C2058,$D:$D,$D2058,$E:$E,"P0(후)",$M:$M,"&gt;0")&lt;&gt;1,"P0(후) 유효 1개 아님",IF(NOT(AND(ISNUMBER(O2058),ISNUMBER(Q2058),ISNUMBER(I2058))),"시각 결측",IF(Q2058&lt;=O2058,"P0 시각 역전",IF(OR(I2058&lt;O2058,I2058&gt;Q2058),"측정시각 구간 밖","OK")))))</f>
        <v/>
      </c>
      <c r="O2058" s="48">
        <f>IF(COUNTIFS($C:$C,$C2058,$D:$D,$D2058,$E:$E,"P0(전)",$M:$M,"&gt;0")&lt;&gt;1,"",SUMIFS($I:$I,$C:$C,$C2058,$D:$D,$D2058,$E:$E,"P0(전)"))</f>
        <v/>
      </c>
      <c r="P2058" s="31">
        <f>IF(COUNTIFS($C:$C,$C2058,$D:$D,$D2058,$E:$E,"P0(전)",$M:$M,"&gt;0")&lt;&gt;1,"",SUMIFS($M:$M,$C:$C,$C2058,$D:$D,$D2058,$E:$E,"P0(전)"))</f>
        <v/>
      </c>
      <c r="Q2058" s="48">
        <f>IF(COUNTIFS($C:$C,$C2058,$D:$D,$D2058,$E:$E,"P0(후)",$M:$M,"&gt;0")&lt;&gt;1,"",SUMIFS($I:$I,$C:$C,$C2058,$D:$D,$D2058,$E:$E,"P0(후)"))</f>
        <v/>
      </c>
      <c r="R2058" s="31">
        <f>IF(COUNTIFS($C:$C,$C2058,$D:$D,$D2058,$E:$E,"P0(후)",$M:$M,"&gt;0")&lt;&gt;1,"",SUMIFS($M:$M,$C:$C,$C2058,$D:$D,$D2058,$E:$E,"P0(후)"))</f>
        <v/>
      </c>
      <c r="S2058" s="31">
        <f>IF(N2058&lt;&gt;"OK","",P2058+(R2058-P2058)*(I2058-O2058)/(Q2058-O2058))</f>
        <v/>
      </c>
      <c r="T2058" s="31">
        <f>IF(OR(N2058&lt;&gt;"OK",NOT(ISNUMBER(M2058))),"",M2058-S2058)</f>
        <v/>
      </c>
      <c r="U2058" s="49">
        <f>IF(OR(NOT(ISNUMBER(T2058)),IF(ISNUMBER(H2058),H2058,G2058)=0),"",T2058/IF(ISNUMBER(H2058),H2058,G2058))</f>
        <v/>
      </c>
      <c r="V2058" s="49">
        <f>IF(ISNUMBER(U2058),ABS(U2058),"")</f>
        <v/>
      </c>
      <c r="W2058" s="49">
        <f>IF(OR($E2057&lt;&gt;"측정",$C2057&lt;&gt;$C2058,$D2057&lt;&gt;$D2058,NOT(ISNUMBER(M2058)),NOT(ISNUMBER(M2057)),(IF(ISNUMBER(H2058),H2058,G2058)-IF(ISNUMBER(H2057),H2057,G2057))=0),"",(M2058-M2057)/(IF(ISNUMBER(H2058),H2058,G2058)-IF(ISNUMBER(H2057),H2057,G2057)))</f>
        <v/>
      </c>
      <c r="X2058" s="31">
        <f>IF(NOT(AND(ISNUMBER(O2058),ISNUMBER(Q2058))),"",(Q2058-O2058)*1440)</f>
        <v/>
      </c>
      <c r="Y2058" s="29" t="n"/>
      <c r="Z2058" s="29" t="n"/>
      <c r="AA2058" s="29" t="n"/>
      <c r="AB2058" s="32" t="n"/>
      <c r="AC2058" s="32" t="n"/>
    </row>
    <row r="2059">
      <c r="A2059" s="44" t="inlineStr">
        <is>
          <t>S40</t>
        </is>
      </c>
      <c r="B2059" s="44" t="inlineStr">
        <is>
          <t>남지</t>
        </is>
      </c>
      <c r="C2059" s="44" t="inlineStr">
        <is>
          <t>S40-H서</t>
        </is>
      </c>
      <c r="D2059" s="45" t="n">
        <v>1</v>
      </c>
      <c r="E2059" s="44" t="inlineStr">
        <is>
          <t>P0(후)</t>
        </is>
      </c>
      <c r="F2059" s="44" t="inlineStr">
        <is>
          <t>서</t>
        </is>
      </c>
      <c r="G2059" s="46" t="n"/>
      <c r="H2059" s="30" t="n"/>
      <c r="I2059" s="43" t="n"/>
      <c r="J2059" s="41" t="n"/>
      <c r="K2059" s="41" t="n"/>
      <c r="L2059" s="41" t="n"/>
      <c r="M2059" s="31">
        <f>IF(COUNT(J2059:L2059)=0,"",MEDIAN(J2059:L2059))</f>
        <v/>
      </c>
      <c r="N2059" s="38" t="n"/>
      <c r="O2059" s="38" t="n"/>
      <c r="P2059" s="38" t="n"/>
      <c r="Q2059" s="38" t="n"/>
      <c r="R2059" s="38" t="n"/>
      <c r="S2059" s="38" t="n"/>
      <c r="T2059" s="38" t="n"/>
      <c r="U2059" s="38" t="n"/>
      <c r="V2059" s="38" t="n"/>
      <c r="W2059" s="38" t="n"/>
      <c r="X2059" s="38" t="n"/>
      <c r="Y2059" s="29" t="n"/>
      <c r="Z2059" s="29" t="n"/>
      <c r="AA2059" s="29" t="n"/>
      <c r="AB2059" s="32" t="n"/>
      <c r="AC2059" s="32" t="n"/>
    </row>
    <row r="2060">
      <c r="A2060" s="44" t="inlineStr">
        <is>
          <t>S40</t>
        </is>
      </c>
      <c r="B2060" s="44" t="inlineStr">
        <is>
          <t>남지</t>
        </is>
      </c>
      <c r="C2060" s="44" t="inlineStr">
        <is>
          <t>S40-H남</t>
        </is>
      </c>
      <c r="D2060" s="45" t="n">
        <v>1</v>
      </c>
      <c r="E2060" s="44" t="inlineStr">
        <is>
          <t>P0(전)</t>
        </is>
      </c>
      <c r="F2060" s="44" t="inlineStr">
        <is>
          <t>남</t>
        </is>
      </c>
      <c r="G2060" s="46" t="n"/>
      <c r="H2060" s="30" t="n"/>
      <c r="I2060" s="43" t="n"/>
      <c r="J2060" s="41" t="n"/>
      <c r="K2060" s="41" t="n"/>
      <c r="L2060" s="41" t="n"/>
      <c r="M2060" s="31">
        <f>IF(COUNT(J2060:L2060)=0,"",MEDIAN(J2060:L2060))</f>
        <v/>
      </c>
      <c r="N2060" s="38" t="n"/>
      <c r="O2060" s="38" t="n"/>
      <c r="P2060" s="38" t="n"/>
      <c r="Q2060" s="38" t="n"/>
      <c r="R2060" s="38" t="n"/>
      <c r="S2060" s="38" t="n"/>
      <c r="T2060" s="38" t="n"/>
      <c r="U2060" s="38" t="n"/>
      <c r="V2060" s="38" t="n"/>
      <c r="W2060" s="38" t="n"/>
      <c r="X2060" s="38" t="n"/>
      <c r="Y2060" s="29" t="n"/>
      <c r="Z2060" s="29" t="n"/>
      <c r="AA2060" s="29" t="n"/>
      <c r="AB2060" s="32" t="n"/>
      <c r="AC2060" s="32" t="n"/>
    </row>
    <row r="2061">
      <c r="A2061" s="26" t="inlineStr">
        <is>
          <t>S40</t>
        </is>
      </c>
      <c r="B2061" s="26" t="inlineStr">
        <is>
          <t>남지</t>
        </is>
      </c>
      <c r="C2061" s="26" t="inlineStr">
        <is>
          <t>S40-H남</t>
        </is>
      </c>
      <c r="D2061" s="47" t="n">
        <v>1</v>
      </c>
      <c r="E2061" s="26" t="inlineStr">
        <is>
          <t>측정</t>
        </is>
      </c>
      <c r="F2061" s="26" t="inlineStr">
        <is>
          <t>남</t>
        </is>
      </c>
      <c r="G2061" s="31" t="n">
        <v>0.5</v>
      </c>
      <c r="H2061" s="30" t="n"/>
      <c r="I2061" s="43" t="n"/>
      <c r="J2061" s="41" t="n"/>
      <c r="K2061" s="41" t="n"/>
      <c r="L2061" s="41" t="n"/>
      <c r="M2061" s="31">
        <f>IF(COUNT(J2061:L2061)=0,"",MEDIAN(J2061:L2061))</f>
        <v/>
      </c>
      <c r="N2061" s="26">
        <f>IF(COUNTIFS($C:$C,$C2061,$D:$D,$D2061,$E:$E,"P0(전)",$M:$M,"&gt;0")&lt;&gt;1,"P0(전) 유효 1개 아님",IF(COUNTIFS($C:$C,$C2061,$D:$D,$D2061,$E:$E,"P0(후)",$M:$M,"&gt;0")&lt;&gt;1,"P0(후) 유효 1개 아님",IF(NOT(AND(ISNUMBER(O2061),ISNUMBER(Q2061),ISNUMBER(I2061))),"시각 결측",IF(Q2061&lt;=O2061,"P0 시각 역전",IF(OR(I2061&lt;O2061,I2061&gt;Q2061),"측정시각 구간 밖","OK")))))</f>
        <v/>
      </c>
      <c r="O2061" s="48">
        <f>IF(COUNTIFS($C:$C,$C2061,$D:$D,$D2061,$E:$E,"P0(전)",$M:$M,"&gt;0")&lt;&gt;1,"",SUMIFS($I:$I,$C:$C,$C2061,$D:$D,$D2061,$E:$E,"P0(전)"))</f>
        <v/>
      </c>
      <c r="P2061" s="31">
        <f>IF(COUNTIFS($C:$C,$C2061,$D:$D,$D2061,$E:$E,"P0(전)",$M:$M,"&gt;0")&lt;&gt;1,"",SUMIFS($M:$M,$C:$C,$C2061,$D:$D,$D2061,$E:$E,"P0(전)"))</f>
        <v/>
      </c>
      <c r="Q2061" s="48">
        <f>IF(COUNTIFS($C:$C,$C2061,$D:$D,$D2061,$E:$E,"P0(후)",$M:$M,"&gt;0")&lt;&gt;1,"",SUMIFS($I:$I,$C:$C,$C2061,$D:$D,$D2061,$E:$E,"P0(후)"))</f>
        <v/>
      </c>
      <c r="R2061" s="31">
        <f>IF(COUNTIFS($C:$C,$C2061,$D:$D,$D2061,$E:$E,"P0(후)",$M:$M,"&gt;0")&lt;&gt;1,"",SUMIFS($M:$M,$C:$C,$C2061,$D:$D,$D2061,$E:$E,"P0(후)"))</f>
        <v/>
      </c>
      <c r="S2061" s="31">
        <f>IF(N2061&lt;&gt;"OK","",P2061+(R2061-P2061)*(I2061-O2061)/(Q2061-O2061))</f>
        <v/>
      </c>
      <c r="T2061" s="31">
        <f>IF(OR(N2061&lt;&gt;"OK",NOT(ISNUMBER(M2061))),"",M2061-S2061)</f>
        <v/>
      </c>
      <c r="U2061" s="49">
        <f>IF(OR(NOT(ISNUMBER(T2061)),IF(ISNUMBER(H2061),H2061,G2061)=0),"",T2061/IF(ISNUMBER(H2061),H2061,G2061))</f>
        <v/>
      </c>
      <c r="V2061" s="49">
        <f>IF(ISNUMBER(U2061),ABS(U2061),"")</f>
        <v/>
      </c>
      <c r="W2061" s="49">
        <f>IF(OR($E2060&lt;&gt;"측정",$C2060&lt;&gt;$C2061,$D2060&lt;&gt;$D2061,NOT(ISNUMBER(M2061)),NOT(ISNUMBER(M2060)),(IF(ISNUMBER(H2061),H2061,G2061)-IF(ISNUMBER(H2060),H2060,G2060))=0),"",(M2061-M2060)/(IF(ISNUMBER(H2061),H2061,G2061)-IF(ISNUMBER(H2060),H2060,G2060)))</f>
        <v/>
      </c>
      <c r="X2061" s="31">
        <f>IF(NOT(AND(ISNUMBER(O2061),ISNUMBER(Q2061))),"",(Q2061-O2061)*1440)</f>
        <v/>
      </c>
      <c r="Y2061" s="29" t="n"/>
      <c r="Z2061" s="29" t="n"/>
      <c r="AA2061" s="29" t="n"/>
      <c r="AB2061" s="32" t="n"/>
      <c r="AC2061" s="32" t="n"/>
    </row>
    <row r="2062">
      <c r="A2062" s="26" t="inlineStr">
        <is>
          <t>S40</t>
        </is>
      </c>
      <c r="B2062" s="26" t="inlineStr">
        <is>
          <t>남지</t>
        </is>
      </c>
      <c r="C2062" s="26" t="inlineStr">
        <is>
          <t>S40-H남</t>
        </is>
      </c>
      <c r="D2062" s="47" t="n">
        <v>1</v>
      </c>
      <c r="E2062" s="26" t="inlineStr">
        <is>
          <t>측정</t>
        </is>
      </c>
      <c r="F2062" s="26" t="inlineStr">
        <is>
          <t>남</t>
        </is>
      </c>
      <c r="G2062" s="31" t="n">
        <v>1</v>
      </c>
      <c r="H2062" s="30" t="n"/>
      <c r="I2062" s="43" t="n"/>
      <c r="J2062" s="41" t="n"/>
      <c r="K2062" s="41" t="n"/>
      <c r="L2062" s="41" t="n"/>
      <c r="M2062" s="31">
        <f>IF(COUNT(J2062:L2062)=0,"",MEDIAN(J2062:L2062))</f>
        <v/>
      </c>
      <c r="N2062" s="26">
        <f>IF(COUNTIFS($C:$C,$C2062,$D:$D,$D2062,$E:$E,"P0(전)",$M:$M,"&gt;0")&lt;&gt;1,"P0(전) 유효 1개 아님",IF(COUNTIFS($C:$C,$C2062,$D:$D,$D2062,$E:$E,"P0(후)",$M:$M,"&gt;0")&lt;&gt;1,"P0(후) 유효 1개 아님",IF(NOT(AND(ISNUMBER(O2062),ISNUMBER(Q2062),ISNUMBER(I2062))),"시각 결측",IF(Q2062&lt;=O2062,"P0 시각 역전",IF(OR(I2062&lt;O2062,I2062&gt;Q2062),"측정시각 구간 밖","OK")))))</f>
        <v/>
      </c>
      <c r="O2062" s="48">
        <f>IF(COUNTIFS($C:$C,$C2062,$D:$D,$D2062,$E:$E,"P0(전)",$M:$M,"&gt;0")&lt;&gt;1,"",SUMIFS($I:$I,$C:$C,$C2062,$D:$D,$D2062,$E:$E,"P0(전)"))</f>
        <v/>
      </c>
      <c r="P2062" s="31">
        <f>IF(COUNTIFS($C:$C,$C2062,$D:$D,$D2062,$E:$E,"P0(전)",$M:$M,"&gt;0")&lt;&gt;1,"",SUMIFS($M:$M,$C:$C,$C2062,$D:$D,$D2062,$E:$E,"P0(전)"))</f>
        <v/>
      </c>
      <c r="Q2062" s="48">
        <f>IF(COUNTIFS($C:$C,$C2062,$D:$D,$D2062,$E:$E,"P0(후)",$M:$M,"&gt;0")&lt;&gt;1,"",SUMIFS($I:$I,$C:$C,$C2062,$D:$D,$D2062,$E:$E,"P0(후)"))</f>
        <v/>
      </c>
      <c r="R2062" s="31">
        <f>IF(COUNTIFS($C:$C,$C2062,$D:$D,$D2062,$E:$E,"P0(후)",$M:$M,"&gt;0")&lt;&gt;1,"",SUMIFS($M:$M,$C:$C,$C2062,$D:$D,$D2062,$E:$E,"P0(후)"))</f>
        <v/>
      </c>
      <c r="S2062" s="31">
        <f>IF(N2062&lt;&gt;"OK","",P2062+(R2062-P2062)*(I2062-O2062)/(Q2062-O2062))</f>
        <v/>
      </c>
      <c r="T2062" s="31">
        <f>IF(OR(N2062&lt;&gt;"OK",NOT(ISNUMBER(M2062))),"",M2062-S2062)</f>
        <v/>
      </c>
      <c r="U2062" s="49">
        <f>IF(OR(NOT(ISNUMBER(T2062)),IF(ISNUMBER(H2062),H2062,G2062)=0),"",T2062/IF(ISNUMBER(H2062),H2062,G2062))</f>
        <v/>
      </c>
      <c r="V2062" s="49">
        <f>IF(ISNUMBER(U2062),ABS(U2062),"")</f>
        <v/>
      </c>
      <c r="W2062" s="49">
        <f>IF(OR($E2061&lt;&gt;"측정",$C2061&lt;&gt;$C2062,$D2061&lt;&gt;$D2062,NOT(ISNUMBER(M2062)),NOT(ISNUMBER(M2061)),(IF(ISNUMBER(H2062),H2062,G2062)-IF(ISNUMBER(H2061),H2061,G2061))=0),"",(M2062-M2061)/(IF(ISNUMBER(H2062),H2062,G2062)-IF(ISNUMBER(H2061),H2061,G2061)))</f>
        <v/>
      </c>
      <c r="X2062" s="31">
        <f>IF(NOT(AND(ISNUMBER(O2062),ISNUMBER(Q2062))),"",(Q2062-O2062)*1440)</f>
        <v/>
      </c>
      <c r="Y2062" s="29" t="n"/>
      <c r="Z2062" s="29" t="n"/>
      <c r="AA2062" s="29" t="n"/>
      <c r="AB2062" s="32" t="n"/>
      <c r="AC2062" s="32" t="n"/>
    </row>
    <row r="2063">
      <c r="A2063" s="26" t="inlineStr">
        <is>
          <t>S40</t>
        </is>
      </c>
      <c r="B2063" s="26" t="inlineStr">
        <is>
          <t>남지</t>
        </is>
      </c>
      <c r="C2063" s="26" t="inlineStr">
        <is>
          <t>S40-H남</t>
        </is>
      </c>
      <c r="D2063" s="47" t="n">
        <v>1</v>
      </c>
      <c r="E2063" s="26" t="inlineStr">
        <is>
          <t>측정</t>
        </is>
      </c>
      <c r="F2063" s="26" t="inlineStr">
        <is>
          <t>남</t>
        </is>
      </c>
      <c r="G2063" s="31" t="n">
        <v>2</v>
      </c>
      <c r="H2063" s="30" t="n"/>
      <c r="I2063" s="43" t="n"/>
      <c r="J2063" s="41" t="n"/>
      <c r="K2063" s="41" t="n"/>
      <c r="L2063" s="41" t="n"/>
      <c r="M2063" s="31">
        <f>IF(COUNT(J2063:L2063)=0,"",MEDIAN(J2063:L2063))</f>
        <v/>
      </c>
      <c r="N2063" s="26">
        <f>IF(COUNTIFS($C:$C,$C2063,$D:$D,$D2063,$E:$E,"P0(전)",$M:$M,"&gt;0")&lt;&gt;1,"P0(전) 유효 1개 아님",IF(COUNTIFS($C:$C,$C2063,$D:$D,$D2063,$E:$E,"P0(후)",$M:$M,"&gt;0")&lt;&gt;1,"P0(후) 유효 1개 아님",IF(NOT(AND(ISNUMBER(O2063),ISNUMBER(Q2063),ISNUMBER(I2063))),"시각 결측",IF(Q2063&lt;=O2063,"P0 시각 역전",IF(OR(I2063&lt;O2063,I2063&gt;Q2063),"측정시각 구간 밖","OK")))))</f>
        <v/>
      </c>
      <c r="O2063" s="48">
        <f>IF(COUNTIFS($C:$C,$C2063,$D:$D,$D2063,$E:$E,"P0(전)",$M:$M,"&gt;0")&lt;&gt;1,"",SUMIFS($I:$I,$C:$C,$C2063,$D:$D,$D2063,$E:$E,"P0(전)"))</f>
        <v/>
      </c>
      <c r="P2063" s="31">
        <f>IF(COUNTIFS($C:$C,$C2063,$D:$D,$D2063,$E:$E,"P0(전)",$M:$M,"&gt;0")&lt;&gt;1,"",SUMIFS($M:$M,$C:$C,$C2063,$D:$D,$D2063,$E:$E,"P0(전)"))</f>
        <v/>
      </c>
      <c r="Q2063" s="48">
        <f>IF(COUNTIFS($C:$C,$C2063,$D:$D,$D2063,$E:$E,"P0(후)",$M:$M,"&gt;0")&lt;&gt;1,"",SUMIFS($I:$I,$C:$C,$C2063,$D:$D,$D2063,$E:$E,"P0(후)"))</f>
        <v/>
      </c>
      <c r="R2063" s="31">
        <f>IF(COUNTIFS($C:$C,$C2063,$D:$D,$D2063,$E:$E,"P0(후)",$M:$M,"&gt;0")&lt;&gt;1,"",SUMIFS($M:$M,$C:$C,$C2063,$D:$D,$D2063,$E:$E,"P0(후)"))</f>
        <v/>
      </c>
      <c r="S2063" s="31">
        <f>IF(N2063&lt;&gt;"OK","",P2063+(R2063-P2063)*(I2063-O2063)/(Q2063-O2063))</f>
        <v/>
      </c>
      <c r="T2063" s="31">
        <f>IF(OR(N2063&lt;&gt;"OK",NOT(ISNUMBER(M2063))),"",M2063-S2063)</f>
        <v/>
      </c>
      <c r="U2063" s="49">
        <f>IF(OR(NOT(ISNUMBER(T2063)),IF(ISNUMBER(H2063),H2063,G2063)=0),"",T2063/IF(ISNUMBER(H2063),H2063,G2063))</f>
        <v/>
      </c>
      <c r="V2063" s="49">
        <f>IF(ISNUMBER(U2063),ABS(U2063),"")</f>
        <v/>
      </c>
      <c r="W2063" s="49">
        <f>IF(OR($E2062&lt;&gt;"측정",$C2062&lt;&gt;$C2063,$D2062&lt;&gt;$D2063,NOT(ISNUMBER(M2063)),NOT(ISNUMBER(M2062)),(IF(ISNUMBER(H2063),H2063,G2063)-IF(ISNUMBER(H2062),H2062,G2062))=0),"",(M2063-M2062)/(IF(ISNUMBER(H2063),H2063,G2063)-IF(ISNUMBER(H2062),H2062,G2062)))</f>
        <v/>
      </c>
      <c r="X2063" s="31">
        <f>IF(NOT(AND(ISNUMBER(O2063),ISNUMBER(Q2063))),"",(Q2063-O2063)*1440)</f>
        <v/>
      </c>
      <c r="Y2063" s="29" t="n"/>
      <c r="Z2063" s="29" t="n"/>
      <c r="AA2063" s="29" t="n"/>
      <c r="AB2063" s="32" t="n"/>
      <c r="AC2063" s="32" t="n"/>
    </row>
    <row r="2064">
      <c r="A2064" s="26" t="inlineStr">
        <is>
          <t>S40</t>
        </is>
      </c>
      <c r="B2064" s="26" t="inlineStr">
        <is>
          <t>남지</t>
        </is>
      </c>
      <c r="C2064" s="26" t="inlineStr">
        <is>
          <t>S40-H남</t>
        </is>
      </c>
      <c r="D2064" s="47" t="n">
        <v>1</v>
      </c>
      <c r="E2064" s="26" t="inlineStr">
        <is>
          <t>측정</t>
        </is>
      </c>
      <c r="F2064" s="26" t="inlineStr">
        <is>
          <t>남</t>
        </is>
      </c>
      <c r="G2064" s="31" t="n">
        <v>3</v>
      </c>
      <c r="H2064" s="30" t="n"/>
      <c r="I2064" s="43" t="n"/>
      <c r="J2064" s="41" t="n"/>
      <c r="K2064" s="41" t="n"/>
      <c r="L2064" s="41" t="n"/>
      <c r="M2064" s="31">
        <f>IF(COUNT(J2064:L2064)=0,"",MEDIAN(J2064:L2064))</f>
        <v/>
      </c>
      <c r="N2064" s="26">
        <f>IF(COUNTIFS($C:$C,$C2064,$D:$D,$D2064,$E:$E,"P0(전)",$M:$M,"&gt;0")&lt;&gt;1,"P0(전) 유효 1개 아님",IF(COUNTIFS($C:$C,$C2064,$D:$D,$D2064,$E:$E,"P0(후)",$M:$M,"&gt;0")&lt;&gt;1,"P0(후) 유효 1개 아님",IF(NOT(AND(ISNUMBER(O2064),ISNUMBER(Q2064),ISNUMBER(I2064))),"시각 결측",IF(Q2064&lt;=O2064,"P0 시각 역전",IF(OR(I2064&lt;O2064,I2064&gt;Q2064),"측정시각 구간 밖","OK")))))</f>
        <v/>
      </c>
      <c r="O2064" s="48">
        <f>IF(COUNTIFS($C:$C,$C2064,$D:$D,$D2064,$E:$E,"P0(전)",$M:$M,"&gt;0")&lt;&gt;1,"",SUMIFS($I:$I,$C:$C,$C2064,$D:$D,$D2064,$E:$E,"P0(전)"))</f>
        <v/>
      </c>
      <c r="P2064" s="31">
        <f>IF(COUNTIFS($C:$C,$C2064,$D:$D,$D2064,$E:$E,"P0(전)",$M:$M,"&gt;0")&lt;&gt;1,"",SUMIFS($M:$M,$C:$C,$C2064,$D:$D,$D2064,$E:$E,"P0(전)"))</f>
        <v/>
      </c>
      <c r="Q2064" s="48">
        <f>IF(COUNTIFS($C:$C,$C2064,$D:$D,$D2064,$E:$E,"P0(후)",$M:$M,"&gt;0")&lt;&gt;1,"",SUMIFS($I:$I,$C:$C,$C2064,$D:$D,$D2064,$E:$E,"P0(후)"))</f>
        <v/>
      </c>
      <c r="R2064" s="31">
        <f>IF(COUNTIFS($C:$C,$C2064,$D:$D,$D2064,$E:$E,"P0(후)",$M:$M,"&gt;0")&lt;&gt;1,"",SUMIFS($M:$M,$C:$C,$C2064,$D:$D,$D2064,$E:$E,"P0(후)"))</f>
        <v/>
      </c>
      <c r="S2064" s="31">
        <f>IF(N2064&lt;&gt;"OK","",P2064+(R2064-P2064)*(I2064-O2064)/(Q2064-O2064))</f>
        <v/>
      </c>
      <c r="T2064" s="31">
        <f>IF(OR(N2064&lt;&gt;"OK",NOT(ISNUMBER(M2064))),"",M2064-S2064)</f>
        <v/>
      </c>
      <c r="U2064" s="49">
        <f>IF(OR(NOT(ISNUMBER(T2064)),IF(ISNUMBER(H2064),H2064,G2064)=0),"",T2064/IF(ISNUMBER(H2064),H2064,G2064))</f>
        <v/>
      </c>
      <c r="V2064" s="49">
        <f>IF(ISNUMBER(U2064),ABS(U2064),"")</f>
        <v/>
      </c>
      <c r="W2064" s="49">
        <f>IF(OR($E2063&lt;&gt;"측정",$C2063&lt;&gt;$C2064,$D2063&lt;&gt;$D2064,NOT(ISNUMBER(M2064)),NOT(ISNUMBER(M2063)),(IF(ISNUMBER(H2064),H2064,G2064)-IF(ISNUMBER(H2063),H2063,G2063))=0),"",(M2064-M2063)/(IF(ISNUMBER(H2064),H2064,G2064)-IF(ISNUMBER(H2063),H2063,G2063)))</f>
        <v/>
      </c>
      <c r="X2064" s="31">
        <f>IF(NOT(AND(ISNUMBER(O2064),ISNUMBER(Q2064))),"",(Q2064-O2064)*1440)</f>
        <v/>
      </c>
      <c r="Y2064" s="29" t="n"/>
      <c r="Z2064" s="29" t="n"/>
      <c r="AA2064" s="29" t="n"/>
      <c r="AB2064" s="32" t="n"/>
      <c r="AC2064" s="32" t="n"/>
    </row>
    <row r="2065">
      <c r="A2065" s="26" t="inlineStr">
        <is>
          <t>S40</t>
        </is>
      </c>
      <c r="B2065" s="26" t="inlineStr">
        <is>
          <t>남지</t>
        </is>
      </c>
      <c r="C2065" s="26" t="inlineStr">
        <is>
          <t>S40-H남</t>
        </is>
      </c>
      <c r="D2065" s="47" t="n">
        <v>1</v>
      </c>
      <c r="E2065" s="26" t="inlineStr">
        <is>
          <t>측정</t>
        </is>
      </c>
      <c r="F2065" s="26" t="inlineStr">
        <is>
          <t>남</t>
        </is>
      </c>
      <c r="G2065" s="31" t="n">
        <v>4</v>
      </c>
      <c r="H2065" s="30" t="n"/>
      <c r="I2065" s="43" t="n"/>
      <c r="J2065" s="41" t="n"/>
      <c r="K2065" s="41" t="n"/>
      <c r="L2065" s="41" t="n"/>
      <c r="M2065" s="31">
        <f>IF(COUNT(J2065:L2065)=0,"",MEDIAN(J2065:L2065))</f>
        <v/>
      </c>
      <c r="N2065" s="26">
        <f>IF(COUNTIFS($C:$C,$C2065,$D:$D,$D2065,$E:$E,"P0(전)",$M:$M,"&gt;0")&lt;&gt;1,"P0(전) 유효 1개 아님",IF(COUNTIFS($C:$C,$C2065,$D:$D,$D2065,$E:$E,"P0(후)",$M:$M,"&gt;0")&lt;&gt;1,"P0(후) 유효 1개 아님",IF(NOT(AND(ISNUMBER(O2065),ISNUMBER(Q2065),ISNUMBER(I2065))),"시각 결측",IF(Q2065&lt;=O2065,"P0 시각 역전",IF(OR(I2065&lt;O2065,I2065&gt;Q2065),"측정시각 구간 밖","OK")))))</f>
        <v/>
      </c>
      <c r="O2065" s="48">
        <f>IF(COUNTIFS($C:$C,$C2065,$D:$D,$D2065,$E:$E,"P0(전)",$M:$M,"&gt;0")&lt;&gt;1,"",SUMIFS($I:$I,$C:$C,$C2065,$D:$D,$D2065,$E:$E,"P0(전)"))</f>
        <v/>
      </c>
      <c r="P2065" s="31">
        <f>IF(COUNTIFS($C:$C,$C2065,$D:$D,$D2065,$E:$E,"P0(전)",$M:$M,"&gt;0")&lt;&gt;1,"",SUMIFS($M:$M,$C:$C,$C2065,$D:$D,$D2065,$E:$E,"P0(전)"))</f>
        <v/>
      </c>
      <c r="Q2065" s="48">
        <f>IF(COUNTIFS($C:$C,$C2065,$D:$D,$D2065,$E:$E,"P0(후)",$M:$M,"&gt;0")&lt;&gt;1,"",SUMIFS($I:$I,$C:$C,$C2065,$D:$D,$D2065,$E:$E,"P0(후)"))</f>
        <v/>
      </c>
      <c r="R2065" s="31">
        <f>IF(COUNTIFS($C:$C,$C2065,$D:$D,$D2065,$E:$E,"P0(후)",$M:$M,"&gt;0")&lt;&gt;1,"",SUMIFS($M:$M,$C:$C,$C2065,$D:$D,$D2065,$E:$E,"P0(후)"))</f>
        <v/>
      </c>
      <c r="S2065" s="31">
        <f>IF(N2065&lt;&gt;"OK","",P2065+(R2065-P2065)*(I2065-O2065)/(Q2065-O2065))</f>
        <v/>
      </c>
      <c r="T2065" s="31">
        <f>IF(OR(N2065&lt;&gt;"OK",NOT(ISNUMBER(M2065))),"",M2065-S2065)</f>
        <v/>
      </c>
      <c r="U2065" s="49">
        <f>IF(OR(NOT(ISNUMBER(T2065)),IF(ISNUMBER(H2065),H2065,G2065)=0),"",T2065/IF(ISNUMBER(H2065),H2065,G2065))</f>
        <v/>
      </c>
      <c r="V2065" s="49">
        <f>IF(ISNUMBER(U2065),ABS(U2065),"")</f>
        <v/>
      </c>
      <c r="W2065" s="49">
        <f>IF(OR($E2064&lt;&gt;"측정",$C2064&lt;&gt;$C2065,$D2064&lt;&gt;$D2065,NOT(ISNUMBER(M2065)),NOT(ISNUMBER(M2064)),(IF(ISNUMBER(H2065),H2065,G2065)-IF(ISNUMBER(H2064),H2064,G2064))=0),"",(M2065-M2064)/(IF(ISNUMBER(H2065),H2065,G2065)-IF(ISNUMBER(H2064),H2064,G2064)))</f>
        <v/>
      </c>
      <c r="X2065" s="31">
        <f>IF(NOT(AND(ISNUMBER(O2065),ISNUMBER(Q2065))),"",(Q2065-O2065)*1440)</f>
        <v/>
      </c>
      <c r="Y2065" s="29" t="n"/>
      <c r="Z2065" s="29" t="n"/>
      <c r="AA2065" s="29" t="n"/>
      <c r="AB2065" s="32" t="n"/>
      <c r="AC2065" s="32" t="n"/>
    </row>
    <row r="2066">
      <c r="A2066" s="26" t="inlineStr">
        <is>
          <t>S40</t>
        </is>
      </c>
      <c r="B2066" s="26" t="inlineStr">
        <is>
          <t>남지</t>
        </is>
      </c>
      <c r="C2066" s="26" t="inlineStr">
        <is>
          <t>S40-H남</t>
        </is>
      </c>
      <c r="D2066" s="47" t="n">
        <v>1</v>
      </c>
      <c r="E2066" s="26" t="inlineStr">
        <is>
          <t>측정</t>
        </is>
      </c>
      <c r="F2066" s="26" t="inlineStr">
        <is>
          <t>남</t>
        </is>
      </c>
      <c r="G2066" s="31" t="n">
        <v>5</v>
      </c>
      <c r="H2066" s="30" t="n"/>
      <c r="I2066" s="43" t="n"/>
      <c r="J2066" s="41" t="n"/>
      <c r="K2066" s="41" t="n"/>
      <c r="L2066" s="41" t="n"/>
      <c r="M2066" s="31">
        <f>IF(COUNT(J2066:L2066)=0,"",MEDIAN(J2066:L2066))</f>
        <v/>
      </c>
      <c r="N2066" s="26">
        <f>IF(COUNTIFS($C:$C,$C2066,$D:$D,$D2066,$E:$E,"P0(전)",$M:$M,"&gt;0")&lt;&gt;1,"P0(전) 유효 1개 아님",IF(COUNTIFS($C:$C,$C2066,$D:$D,$D2066,$E:$E,"P0(후)",$M:$M,"&gt;0")&lt;&gt;1,"P0(후) 유효 1개 아님",IF(NOT(AND(ISNUMBER(O2066),ISNUMBER(Q2066),ISNUMBER(I2066))),"시각 결측",IF(Q2066&lt;=O2066,"P0 시각 역전",IF(OR(I2066&lt;O2066,I2066&gt;Q2066),"측정시각 구간 밖","OK")))))</f>
        <v/>
      </c>
      <c r="O2066" s="48">
        <f>IF(COUNTIFS($C:$C,$C2066,$D:$D,$D2066,$E:$E,"P0(전)",$M:$M,"&gt;0")&lt;&gt;1,"",SUMIFS($I:$I,$C:$C,$C2066,$D:$D,$D2066,$E:$E,"P0(전)"))</f>
        <v/>
      </c>
      <c r="P2066" s="31">
        <f>IF(COUNTIFS($C:$C,$C2066,$D:$D,$D2066,$E:$E,"P0(전)",$M:$M,"&gt;0")&lt;&gt;1,"",SUMIFS($M:$M,$C:$C,$C2066,$D:$D,$D2066,$E:$E,"P0(전)"))</f>
        <v/>
      </c>
      <c r="Q2066" s="48">
        <f>IF(COUNTIFS($C:$C,$C2066,$D:$D,$D2066,$E:$E,"P0(후)",$M:$M,"&gt;0")&lt;&gt;1,"",SUMIFS($I:$I,$C:$C,$C2066,$D:$D,$D2066,$E:$E,"P0(후)"))</f>
        <v/>
      </c>
      <c r="R2066" s="31">
        <f>IF(COUNTIFS($C:$C,$C2066,$D:$D,$D2066,$E:$E,"P0(후)",$M:$M,"&gt;0")&lt;&gt;1,"",SUMIFS($M:$M,$C:$C,$C2066,$D:$D,$D2066,$E:$E,"P0(후)"))</f>
        <v/>
      </c>
      <c r="S2066" s="31">
        <f>IF(N2066&lt;&gt;"OK","",P2066+(R2066-P2066)*(I2066-O2066)/(Q2066-O2066))</f>
        <v/>
      </c>
      <c r="T2066" s="31">
        <f>IF(OR(N2066&lt;&gt;"OK",NOT(ISNUMBER(M2066))),"",M2066-S2066)</f>
        <v/>
      </c>
      <c r="U2066" s="49">
        <f>IF(OR(NOT(ISNUMBER(T2066)),IF(ISNUMBER(H2066),H2066,G2066)=0),"",T2066/IF(ISNUMBER(H2066),H2066,G2066))</f>
        <v/>
      </c>
      <c r="V2066" s="49">
        <f>IF(ISNUMBER(U2066),ABS(U2066),"")</f>
        <v/>
      </c>
      <c r="W2066" s="49">
        <f>IF(OR($E2065&lt;&gt;"측정",$C2065&lt;&gt;$C2066,$D2065&lt;&gt;$D2066,NOT(ISNUMBER(M2066)),NOT(ISNUMBER(M2065)),(IF(ISNUMBER(H2066),H2066,G2066)-IF(ISNUMBER(H2065),H2065,G2065))=0),"",(M2066-M2065)/(IF(ISNUMBER(H2066),H2066,G2066)-IF(ISNUMBER(H2065),H2065,G2065)))</f>
        <v/>
      </c>
      <c r="X2066" s="31">
        <f>IF(NOT(AND(ISNUMBER(O2066),ISNUMBER(Q2066))),"",(Q2066-O2066)*1440)</f>
        <v/>
      </c>
      <c r="Y2066" s="29" t="n"/>
      <c r="Z2066" s="29" t="n"/>
      <c r="AA2066" s="29" t="n"/>
      <c r="AB2066" s="32" t="n"/>
      <c r="AC2066" s="32" t="n"/>
    </row>
    <row r="2067">
      <c r="A2067" s="26" t="inlineStr">
        <is>
          <t>S40</t>
        </is>
      </c>
      <c r="B2067" s="26" t="inlineStr">
        <is>
          <t>남지</t>
        </is>
      </c>
      <c r="C2067" s="26" t="inlineStr">
        <is>
          <t>S40-H남</t>
        </is>
      </c>
      <c r="D2067" s="47" t="n">
        <v>1</v>
      </c>
      <c r="E2067" s="26" t="inlineStr">
        <is>
          <t>측정</t>
        </is>
      </c>
      <c r="F2067" s="26" t="inlineStr">
        <is>
          <t>남</t>
        </is>
      </c>
      <c r="G2067" s="31" t="n">
        <v>6</v>
      </c>
      <c r="H2067" s="30" t="n"/>
      <c r="I2067" s="43" t="n"/>
      <c r="J2067" s="41" t="n"/>
      <c r="K2067" s="41" t="n"/>
      <c r="L2067" s="41" t="n"/>
      <c r="M2067" s="31">
        <f>IF(COUNT(J2067:L2067)=0,"",MEDIAN(J2067:L2067))</f>
        <v/>
      </c>
      <c r="N2067" s="26">
        <f>IF(COUNTIFS($C:$C,$C2067,$D:$D,$D2067,$E:$E,"P0(전)",$M:$M,"&gt;0")&lt;&gt;1,"P0(전) 유효 1개 아님",IF(COUNTIFS($C:$C,$C2067,$D:$D,$D2067,$E:$E,"P0(후)",$M:$M,"&gt;0")&lt;&gt;1,"P0(후) 유효 1개 아님",IF(NOT(AND(ISNUMBER(O2067),ISNUMBER(Q2067),ISNUMBER(I2067))),"시각 결측",IF(Q2067&lt;=O2067,"P0 시각 역전",IF(OR(I2067&lt;O2067,I2067&gt;Q2067),"측정시각 구간 밖","OK")))))</f>
        <v/>
      </c>
      <c r="O2067" s="48">
        <f>IF(COUNTIFS($C:$C,$C2067,$D:$D,$D2067,$E:$E,"P0(전)",$M:$M,"&gt;0")&lt;&gt;1,"",SUMIFS($I:$I,$C:$C,$C2067,$D:$D,$D2067,$E:$E,"P0(전)"))</f>
        <v/>
      </c>
      <c r="P2067" s="31">
        <f>IF(COUNTIFS($C:$C,$C2067,$D:$D,$D2067,$E:$E,"P0(전)",$M:$M,"&gt;0")&lt;&gt;1,"",SUMIFS($M:$M,$C:$C,$C2067,$D:$D,$D2067,$E:$E,"P0(전)"))</f>
        <v/>
      </c>
      <c r="Q2067" s="48">
        <f>IF(COUNTIFS($C:$C,$C2067,$D:$D,$D2067,$E:$E,"P0(후)",$M:$M,"&gt;0")&lt;&gt;1,"",SUMIFS($I:$I,$C:$C,$C2067,$D:$D,$D2067,$E:$E,"P0(후)"))</f>
        <v/>
      </c>
      <c r="R2067" s="31">
        <f>IF(COUNTIFS($C:$C,$C2067,$D:$D,$D2067,$E:$E,"P0(후)",$M:$M,"&gt;0")&lt;&gt;1,"",SUMIFS($M:$M,$C:$C,$C2067,$D:$D,$D2067,$E:$E,"P0(후)"))</f>
        <v/>
      </c>
      <c r="S2067" s="31">
        <f>IF(N2067&lt;&gt;"OK","",P2067+(R2067-P2067)*(I2067-O2067)/(Q2067-O2067))</f>
        <v/>
      </c>
      <c r="T2067" s="31">
        <f>IF(OR(N2067&lt;&gt;"OK",NOT(ISNUMBER(M2067))),"",M2067-S2067)</f>
        <v/>
      </c>
      <c r="U2067" s="49">
        <f>IF(OR(NOT(ISNUMBER(T2067)),IF(ISNUMBER(H2067),H2067,G2067)=0),"",T2067/IF(ISNUMBER(H2067),H2067,G2067))</f>
        <v/>
      </c>
      <c r="V2067" s="49">
        <f>IF(ISNUMBER(U2067),ABS(U2067),"")</f>
        <v/>
      </c>
      <c r="W2067" s="49">
        <f>IF(OR($E2066&lt;&gt;"측정",$C2066&lt;&gt;$C2067,$D2066&lt;&gt;$D2067,NOT(ISNUMBER(M2067)),NOT(ISNUMBER(M2066)),(IF(ISNUMBER(H2067),H2067,G2067)-IF(ISNUMBER(H2066),H2066,G2066))=0),"",(M2067-M2066)/(IF(ISNUMBER(H2067),H2067,G2067)-IF(ISNUMBER(H2066),H2066,G2066)))</f>
        <v/>
      </c>
      <c r="X2067" s="31">
        <f>IF(NOT(AND(ISNUMBER(O2067),ISNUMBER(Q2067))),"",(Q2067-O2067)*1440)</f>
        <v/>
      </c>
      <c r="Y2067" s="29" t="n"/>
      <c r="Z2067" s="29" t="n"/>
      <c r="AA2067" s="29" t="n"/>
      <c r="AB2067" s="32" t="n"/>
      <c r="AC2067" s="32" t="n"/>
    </row>
    <row r="2068">
      <c r="A2068" s="26" t="inlineStr">
        <is>
          <t>S40</t>
        </is>
      </c>
      <c r="B2068" s="26" t="inlineStr">
        <is>
          <t>남지</t>
        </is>
      </c>
      <c r="C2068" s="26" t="inlineStr">
        <is>
          <t>S40-H남</t>
        </is>
      </c>
      <c r="D2068" s="47" t="n">
        <v>1</v>
      </c>
      <c r="E2068" s="26" t="inlineStr">
        <is>
          <t>측정</t>
        </is>
      </c>
      <c r="F2068" s="26" t="inlineStr">
        <is>
          <t>남</t>
        </is>
      </c>
      <c r="G2068" s="31" t="n">
        <v>7</v>
      </c>
      <c r="H2068" s="30" t="n"/>
      <c r="I2068" s="43" t="n"/>
      <c r="J2068" s="41" t="n"/>
      <c r="K2068" s="41" t="n"/>
      <c r="L2068" s="41" t="n"/>
      <c r="M2068" s="31">
        <f>IF(COUNT(J2068:L2068)=0,"",MEDIAN(J2068:L2068))</f>
        <v/>
      </c>
      <c r="N2068" s="26">
        <f>IF(COUNTIFS($C:$C,$C2068,$D:$D,$D2068,$E:$E,"P0(전)",$M:$M,"&gt;0")&lt;&gt;1,"P0(전) 유효 1개 아님",IF(COUNTIFS($C:$C,$C2068,$D:$D,$D2068,$E:$E,"P0(후)",$M:$M,"&gt;0")&lt;&gt;1,"P0(후) 유효 1개 아님",IF(NOT(AND(ISNUMBER(O2068),ISNUMBER(Q2068),ISNUMBER(I2068))),"시각 결측",IF(Q2068&lt;=O2068,"P0 시각 역전",IF(OR(I2068&lt;O2068,I2068&gt;Q2068),"측정시각 구간 밖","OK")))))</f>
        <v/>
      </c>
      <c r="O2068" s="48">
        <f>IF(COUNTIFS($C:$C,$C2068,$D:$D,$D2068,$E:$E,"P0(전)",$M:$M,"&gt;0")&lt;&gt;1,"",SUMIFS($I:$I,$C:$C,$C2068,$D:$D,$D2068,$E:$E,"P0(전)"))</f>
        <v/>
      </c>
      <c r="P2068" s="31">
        <f>IF(COUNTIFS($C:$C,$C2068,$D:$D,$D2068,$E:$E,"P0(전)",$M:$M,"&gt;0")&lt;&gt;1,"",SUMIFS($M:$M,$C:$C,$C2068,$D:$D,$D2068,$E:$E,"P0(전)"))</f>
        <v/>
      </c>
      <c r="Q2068" s="48">
        <f>IF(COUNTIFS($C:$C,$C2068,$D:$D,$D2068,$E:$E,"P0(후)",$M:$M,"&gt;0")&lt;&gt;1,"",SUMIFS($I:$I,$C:$C,$C2068,$D:$D,$D2068,$E:$E,"P0(후)"))</f>
        <v/>
      </c>
      <c r="R2068" s="31">
        <f>IF(COUNTIFS($C:$C,$C2068,$D:$D,$D2068,$E:$E,"P0(후)",$M:$M,"&gt;0")&lt;&gt;1,"",SUMIFS($M:$M,$C:$C,$C2068,$D:$D,$D2068,$E:$E,"P0(후)"))</f>
        <v/>
      </c>
      <c r="S2068" s="31">
        <f>IF(N2068&lt;&gt;"OK","",P2068+(R2068-P2068)*(I2068-O2068)/(Q2068-O2068))</f>
        <v/>
      </c>
      <c r="T2068" s="31">
        <f>IF(OR(N2068&lt;&gt;"OK",NOT(ISNUMBER(M2068))),"",M2068-S2068)</f>
        <v/>
      </c>
      <c r="U2068" s="49">
        <f>IF(OR(NOT(ISNUMBER(T2068)),IF(ISNUMBER(H2068),H2068,G2068)=0),"",T2068/IF(ISNUMBER(H2068),H2068,G2068))</f>
        <v/>
      </c>
      <c r="V2068" s="49">
        <f>IF(ISNUMBER(U2068),ABS(U2068),"")</f>
        <v/>
      </c>
      <c r="W2068" s="49">
        <f>IF(OR($E2067&lt;&gt;"측정",$C2067&lt;&gt;$C2068,$D2067&lt;&gt;$D2068,NOT(ISNUMBER(M2068)),NOT(ISNUMBER(M2067)),(IF(ISNUMBER(H2068),H2068,G2068)-IF(ISNUMBER(H2067),H2067,G2067))=0),"",(M2068-M2067)/(IF(ISNUMBER(H2068),H2068,G2068)-IF(ISNUMBER(H2067),H2067,G2067)))</f>
        <v/>
      </c>
      <c r="X2068" s="31">
        <f>IF(NOT(AND(ISNUMBER(O2068),ISNUMBER(Q2068))),"",(Q2068-O2068)*1440)</f>
        <v/>
      </c>
      <c r="Y2068" s="29" t="n"/>
      <c r="Z2068" s="29" t="n"/>
      <c r="AA2068" s="29" t="n"/>
      <c r="AB2068" s="32" t="n"/>
      <c r="AC2068" s="32" t="n"/>
    </row>
    <row r="2069">
      <c r="A2069" s="26" t="inlineStr">
        <is>
          <t>S40</t>
        </is>
      </c>
      <c r="B2069" s="26" t="inlineStr">
        <is>
          <t>남지</t>
        </is>
      </c>
      <c r="C2069" s="26" t="inlineStr">
        <is>
          <t>S40-H남</t>
        </is>
      </c>
      <c r="D2069" s="47" t="n">
        <v>1</v>
      </c>
      <c r="E2069" s="26" t="inlineStr">
        <is>
          <t>측정</t>
        </is>
      </c>
      <c r="F2069" s="26" t="inlineStr">
        <is>
          <t>남</t>
        </is>
      </c>
      <c r="G2069" s="31" t="n">
        <v>8</v>
      </c>
      <c r="H2069" s="30" t="n"/>
      <c r="I2069" s="43" t="n"/>
      <c r="J2069" s="41" t="n"/>
      <c r="K2069" s="41" t="n"/>
      <c r="L2069" s="41" t="n"/>
      <c r="M2069" s="31">
        <f>IF(COUNT(J2069:L2069)=0,"",MEDIAN(J2069:L2069))</f>
        <v/>
      </c>
      <c r="N2069" s="26">
        <f>IF(COUNTIFS($C:$C,$C2069,$D:$D,$D2069,$E:$E,"P0(전)",$M:$M,"&gt;0")&lt;&gt;1,"P0(전) 유효 1개 아님",IF(COUNTIFS($C:$C,$C2069,$D:$D,$D2069,$E:$E,"P0(후)",$M:$M,"&gt;0")&lt;&gt;1,"P0(후) 유효 1개 아님",IF(NOT(AND(ISNUMBER(O2069),ISNUMBER(Q2069),ISNUMBER(I2069))),"시각 결측",IF(Q2069&lt;=O2069,"P0 시각 역전",IF(OR(I2069&lt;O2069,I2069&gt;Q2069),"측정시각 구간 밖","OK")))))</f>
        <v/>
      </c>
      <c r="O2069" s="48">
        <f>IF(COUNTIFS($C:$C,$C2069,$D:$D,$D2069,$E:$E,"P0(전)",$M:$M,"&gt;0")&lt;&gt;1,"",SUMIFS($I:$I,$C:$C,$C2069,$D:$D,$D2069,$E:$E,"P0(전)"))</f>
        <v/>
      </c>
      <c r="P2069" s="31">
        <f>IF(COUNTIFS($C:$C,$C2069,$D:$D,$D2069,$E:$E,"P0(전)",$M:$M,"&gt;0")&lt;&gt;1,"",SUMIFS($M:$M,$C:$C,$C2069,$D:$D,$D2069,$E:$E,"P0(전)"))</f>
        <v/>
      </c>
      <c r="Q2069" s="48">
        <f>IF(COUNTIFS($C:$C,$C2069,$D:$D,$D2069,$E:$E,"P0(후)",$M:$M,"&gt;0")&lt;&gt;1,"",SUMIFS($I:$I,$C:$C,$C2069,$D:$D,$D2069,$E:$E,"P0(후)"))</f>
        <v/>
      </c>
      <c r="R2069" s="31">
        <f>IF(COUNTIFS($C:$C,$C2069,$D:$D,$D2069,$E:$E,"P0(후)",$M:$M,"&gt;0")&lt;&gt;1,"",SUMIFS($M:$M,$C:$C,$C2069,$D:$D,$D2069,$E:$E,"P0(후)"))</f>
        <v/>
      </c>
      <c r="S2069" s="31">
        <f>IF(N2069&lt;&gt;"OK","",P2069+(R2069-P2069)*(I2069-O2069)/(Q2069-O2069))</f>
        <v/>
      </c>
      <c r="T2069" s="31">
        <f>IF(OR(N2069&lt;&gt;"OK",NOT(ISNUMBER(M2069))),"",M2069-S2069)</f>
        <v/>
      </c>
      <c r="U2069" s="49">
        <f>IF(OR(NOT(ISNUMBER(T2069)),IF(ISNUMBER(H2069),H2069,G2069)=0),"",T2069/IF(ISNUMBER(H2069),H2069,G2069))</f>
        <v/>
      </c>
      <c r="V2069" s="49">
        <f>IF(ISNUMBER(U2069),ABS(U2069),"")</f>
        <v/>
      </c>
      <c r="W2069" s="49">
        <f>IF(OR($E2068&lt;&gt;"측정",$C2068&lt;&gt;$C2069,$D2068&lt;&gt;$D2069,NOT(ISNUMBER(M2069)),NOT(ISNUMBER(M2068)),(IF(ISNUMBER(H2069),H2069,G2069)-IF(ISNUMBER(H2068),H2068,G2068))=0),"",(M2069-M2068)/(IF(ISNUMBER(H2069),H2069,G2069)-IF(ISNUMBER(H2068),H2068,G2068)))</f>
        <v/>
      </c>
      <c r="X2069" s="31">
        <f>IF(NOT(AND(ISNUMBER(O2069),ISNUMBER(Q2069))),"",(Q2069-O2069)*1440)</f>
        <v/>
      </c>
      <c r="Y2069" s="29" t="n"/>
      <c r="Z2069" s="29" t="n"/>
      <c r="AA2069" s="29" t="n"/>
      <c r="AB2069" s="32" t="n"/>
      <c r="AC2069" s="32" t="n"/>
    </row>
    <row r="2070">
      <c r="A2070" s="26" t="inlineStr">
        <is>
          <t>S40</t>
        </is>
      </c>
      <c r="B2070" s="26" t="inlineStr">
        <is>
          <t>남지</t>
        </is>
      </c>
      <c r="C2070" s="26" t="inlineStr">
        <is>
          <t>S40-H남</t>
        </is>
      </c>
      <c r="D2070" s="47" t="n">
        <v>1</v>
      </c>
      <c r="E2070" s="26" t="inlineStr">
        <is>
          <t>측정</t>
        </is>
      </c>
      <c r="F2070" s="26" t="inlineStr">
        <is>
          <t>남</t>
        </is>
      </c>
      <c r="G2070" s="31" t="n">
        <v>9</v>
      </c>
      <c r="H2070" s="30" t="n"/>
      <c r="I2070" s="43" t="n"/>
      <c r="J2070" s="41" t="n"/>
      <c r="K2070" s="41" t="n"/>
      <c r="L2070" s="41" t="n"/>
      <c r="M2070" s="31">
        <f>IF(COUNT(J2070:L2070)=0,"",MEDIAN(J2070:L2070))</f>
        <v/>
      </c>
      <c r="N2070" s="26">
        <f>IF(COUNTIFS($C:$C,$C2070,$D:$D,$D2070,$E:$E,"P0(전)",$M:$M,"&gt;0")&lt;&gt;1,"P0(전) 유효 1개 아님",IF(COUNTIFS($C:$C,$C2070,$D:$D,$D2070,$E:$E,"P0(후)",$M:$M,"&gt;0")&lt;&gt;1,"P0(후) 유효 1개 아님",IF(NOT(AND(ISNUMBER(O2070),ISNUMBER(Q2070),ISNUMBER(I2070))),"시각 결측",IF(Q2070&lt;=O2070,"P0 시각 역전",IF(OR(I2070&lt;O2070,I2070&gt;Q2070),"측정시각 구간 밖","OK")))))</f>
        <v/>
      </c>
      <c r="O2070" s="48">
        <f>IF(COUNTIFS($C:$C,$C2070,$D:$D,$D2070,$E:$E,"P0(전)",$M:$M,"&gt;0")&lt;&gt;1,"",SUMIFS($I:$I,$C:$C,$C2070,$D:$D,$D2070,$E:$E,"P0(전)"))</f>
        <v/>
      </c>
      <c r="P2070" s="31">
        <f>IF(COUNTIFS($C:$C,$C2070,$D:$D,$D2070,$E:$E,"P0(전)",$M:$M,"&gt;0")&lt;&gt;1,"",SUMIFS($M:$M,$C:$C,$C2070,$D:$D,$D2070,$E:$E,"P0(전)"))</f>
        <v/>
      </c>
      <c r="Q2070" s="48">
        <f>IF(COUNTIFS($C:$C,$C2070,$D:$D,$D2070,$E:$E,"P0(후)",$M:$M,"&gt;0")&lt;&gt;1,"",SUMIFS($I:$I,$C:$C,$C2070,$D:$D,$D2070,$E:$E,"P0(후)"))</f>
        <v/>
      </c>
      <c r="R2070" s="31">
        <f>IF(COUNTIFS($C:$C,$C2070,$D:$D,$D2070,$E:$E,"P0(후)",$M:$M,"&gt;0")&lt;&gt;1,"",SUMIFS($M:$M,$C:$C,$C2070,$D:$D,$D2070,$E:$E,"P0(후)"))</f>
        <v/>
      </c>
      <c r="S2070" s="31">
        <f>IF(N2070&lt;&gt;"OK","",P2070+(R2070-P2070)*(I2070-O2070)/(Q2070-O2070))</f>
        <v/>
      </c>
      <c r="T2070" s="31">
        <f>IF(OR(N2070&lt;&gt;"OK",NOT(ISNUMBER(M2070))),"",M2070-S2070)</f>
        <v/>
      </c>
      <c r="U2070" s="49">
        <f>IF(OR(NOT(ISNUMBER(T2070)),IF(ISNUMBER(H2070),H2070,G2070)=0),"",T2070/IF(ISNUMBER(H2070),H2070,G2070))</f>
        <v/>
      </c>
      <c r="V2070" s="49">
        <f>IF(ISNUMBER(U2070),ABS(U2070),"")</f>
        <v/>
      </c>
      <c r="W2070" s="49">
        <f>IF(OR($E2069&lt;&gt;"측정",$C2069&lt;&gt;$C2070,$D2069&lt;&gt;$D2070,NOT(ISNUMBER(M2070)),NOT(ISNUMBER(M2069)),(IF(ISNUMBER(H2070),H2070,G2070)-IF(ISNUMBER(H2069),H2069,G2069))=0),"",(M2070-M2069)/(IF(ISNUMBER(H2070),H2070,G2070)-IF(ISNUMBER(H2069),H2069,G2069)))</f>
        <v/>
      </c>
      <c r="X2070" s="31">
        <f>IF(NOT(AND(ISNUMBER(O2070),ISNUMBER(Q2070))),"",(Q2070-O2070)*1440)</f>
        <v/>
      </c>
      <c r="Y2070" s="29" t="n"/>
      <c r="Z2070" s="29" t="n"/>
      <c r="AA2070" s="29" t="n"/>
      <c r="AB2070" s="32" t="n"/>
      <c r="AC2070" s="32" t="n"/>
    </row>
    <row r="2071">
      <c r="A2071" s="26" t="inlineStr">
        <is>
          <t>S40</t>
        </is>
      </c>
      <c r="B2071" s="26" t="inlineStr">
        <is>
          <t>남지</t>
        </is>
      </c>
      <c r="C2071" s="26" t="inlineStr">
        <is>
          <t>S40-H남</t>
        </is>
      </c>
      <c r="D2071" s="47" t="n">
        <v>1</v>
      </c>
      <c r="E2071" s="26" t="inlineStr">
        <is>
          <t>측정</t>
        </is>
      </c>
      <c r="F2071" s="26" t="inlineStr">
        <is>
          <t>남</t>
        </is>
      </c>
      <c r="G2071" s="31" t="n">
        <v>10</v>
      </c>
      <c r="H2071" s="30" t="n"/>
      <c r="I2071" s="43" t="n"/>
      <c r="J2071" s="41" t="n"/>
      <c r="K2071" s="41" t="n"/>
      <c r="L2071" s="41" t="n"/>
      <c r="M2071" s="31">
        <f>IF(COUNT(J2071:L2071)=0,"",MEDIAN(J2071:L2071))</f>
        <v/>
      </c>
      <c r="N2071" s="26">
        <f>IF(COUNTIFS($C:$C,$C2071,$D:$D,$D2071,$E:$E,"P0(전)",$M:$M,"&gt;0")&lt;&gt;1,"P0(전) 유효 1개 아님",IF(COUNTIFS($C:$C,$C2071,$D:$D,$D2071,$E:$E,"P0(후)",$M:$M,"&gt;0")&lt;&gt;1,"P0(후) 유효 1개 아님",IF(NOT(AND(ISNUMBER(O2071),ISNUMBER(Q2071),ISNUMBER(I2071))),"시각 결측",IF(Q2071&lt;=O2071,"P0 시각 역전",IF(OR(I2071&lt;O2071,I2071&gt;Q2071),"측정시각 구간 밖","OK")))))</f>
        <v/>
      </c>
      <c r="O2071" s="48">
        <f>IF(COUNTIFS($C:$C,$C2071,$D:$D,$D2071,$E:$E,"P0(전)",$M:$M,"&gt;0")&lt;&gt;1,"",SUMIFS($I:$I,$C:$C,$C2071,$D:$D,$D2071,$E:$E,"P0(전)"))</f>
        <v/>
      </c>
      <c r="P2071" s="31">
        <f>IF(COUNTIFS($C:$C,$C2071,$D:$D,$D2071,$E:$E,"P0(전)",$M:$M,"&gt;0")&lt;&gt;1,"",SUMIFS($M:$M,$C:$C,$C2071,$D:$D,$D2071,$E:$E,"P0(전)"))</f>
        <v/>
      </c>
      <c r="Q2071" s="48">
        <f>IF(COUNTIFS($C:$C,$C2071,$D:$D,$D2071,$E:$E,"P0(후)",$M:$M,"&gt;0")&lt;&gt;1,"",SUMIFS($I:$I,$C:$C,$C2071,$D:$D,$D2071,$E:$E,"P0(후)"))</f>
        <v/>
      </c>
      <c r="R2071" s="31">
        <f>IF(COUNTIFS($C:$C,$C2071,$D:$D,$D2071,$E:$E,"P0(후)",$M:$M,"&gt;0")&lt;&gt;1,"",SUMIFS($M:$M,$C:$C,$C2071,$D:$D,$D2071,$E:$E,"P0(후)"))</f>
        <v/>
      </c>
      <c r="S2071" s="31">
        <f>IF(N2071&lt;&gt;"OK","",P2071+(R2071-P2071)*(I2071-O2071)/(Q2071-O2071))</f>
        <v/>
      </c>
      <c r="T2071" s="31">
        <f>IF(OR(N2071&lt;&gt;"OK",NOT(ISNUMBER(M2071))),"",M2071-S2071)</f>
        <v/>
      </c>
      <c r="U2071" s="49">
        <f>IF(OR(NOT(ISNUMBER(T2071)),IF(ISNUMBER(H2071),H2071,G2071)=0),"",T2071/IF(ISNUMBER(H2071),H2071,G2071))</f>
        <v/>
      </c>
      <c r="V2071" s="49">
        <f>IF(ISNUMBER(U2071),ABS(U2071),"")</f>
        <v/>
      </c>
      <c r="W2071" s="49">
        <f>IF(OR($E2070&lt;&gt;"측정",$C2070&lt;&gt;$C2071,$D2070&lt;&gt;$D2071,NOT(ISNUMBER(M2071)),NOT(ISNUMBER(M2070)),(IF(ISNUMBER(H2071),H2071,G2071)-IF(ISNUMBER(H2070),H2070,G2070))=0),"",(M2071-M2070)/(IF(ISNUMBER(H2071),H2071,G2071)-IF(ISNUMBER(H2070),H2070,G2070)))</f>
        <v/>
      </c>
      <c r="X2071" s="31">
        <f>IF(NOT(AND(ISNUMBER(O2071),ISNUMBER(Q2071))),"",(Q2071-O2071)*1440)</f>
        <v/>
      </c>
      <c r="Y2071" s="29" t="n"/>
      <c r="Z2071" s="29" t="n"/>
      <c r="AA2071" s="29" t="n"/>
      <c r="AB2071" s="32" t="n"/>
      <c r="AC2071" s="32" t="n"/>
    </row>
    <row r="2072">
      <c r="A2072" s="44" t="inlineStr">
        <is>
          <t>S40</t>
        </is>
      </c>
      <c r="B2072" s="44" t="inlineStr">
        <is>
          <t>남지</t>
        </is>
      </c>
      <c r="C2072" s="44" t="inlineStr">
        <is>
          <t>S40-H남</t>
        </is>
      </c>
      <c r="D2072" s="45" t="n">
        <v>1</v>
      </c>
      <c r="E2072" s="44" t="inlineStr">
        <is>
          <t>P0(후)</t>
        </is>
      </c>
      <c r="F2072" s="44" t="inlineStr">
        <is>
          <t>남</t>
        </is>
      </c>
      <c r="G2072" s="46" t="n"/>
      <c r="H2072" s="30" t="n"/>
      <c r="I2072" s="43" t="n"/>
      <c r="J2072" s="41" t="n"/>
      <c r="K2072" s="41" t="n"/>
      <c r="L2072" s="41" t="n"/>
      <c r="M2072" s="31">
        <f>IF(COUNT(J2072:L2072)=0,"",MEDIAN(J2072:L2072))</f>
        <v/>
      </c>
      <c r="N2072" s="38" t="n"/>
      <c r="O2072" s="38" t="n"/>
      <c r="P2072" s="38" t="n"/>
      <c r="Q2072" s="38" t="n"/>
      <c r="R2072" s="38" t="n"/>
      <c r="S2072" s="38" t="n"/>
      <c r="T2072" s="38" t="n"/>
      <c r="U2072" s="38" t="n"/>
      <c r="V2072" s="38" t="n"/>
      <c r="W2072" s="38" t="n"/>
      <c r="X2072" s="38" t="n"/>
      <c r="Y2072" s="29" t="n"/>
      <c r="Z2072" s="29" t="n"/>
      <c r="AA2072" s="29" t="n"/>
      <c r="AB2072" s="32" t="n"/>
      <c r="AC2072" s="32" t="n"/>
    </row>
    <row r="2073">
      <c r="A2073" s="44" t="inlineStr">
        <is>
          <t>S40</t>
        </is>
      </c>
      <c r="B2073" s="44" t="inlineStr">
        <is>
          <t>남지</t>
        </is>
      </c>
      <c r="C2073" s="44" t="inlineStr">
        <is>
          <t>S40-H북</t>
        </is>
      </c>
      <c r="D2073" s="45" t="n">
        <v>1</v>
      </c>
      <c r="E2073" s="44" t="inlineStr">
        <is>
          <t>P0(전)</t>
        </is>
      </c>
      <c r="F2073" s="44" t="inlineStr">
        <is>
          <t>북</t>
        </is>
      </c>
      <c r="G2073" s="46" t="n"/>
      <c r="H2073" s="30" t="n"/>
      <c r="I2073" s="43" t="n"/>
      <c r="J2073" s="41" t="n"/>
      <c r="K2073" s="41" t="n"/>
      <c r="L2073" s="41" t="n"/>
      <c r="M2073" s="31">
        <f>IF(COUNT(J2073:L2073)=0,"",MEDIAN(J2073:L2073))</f>
        <v/>
      </c>
      <c r="N2073" s="38" t="n"/>
      <c r="O2073" s="38" t="n"/>
      <c r="P2073" s="38" t="n"/>
      <c r="Q2073" s="38" t="n"/>
      <c r="R2073" s="38" t="n"/>
      <c r="S2073" s="38" t="n"/>
      <c r="T2073" s="38" t="n"/>
      <c r="U2073" s="38" t="n"/>
      <c r="V2073" s="38" t="n"/>
      <c r="W2073" s="38" t="n"/>
      <c r="X2073" s="38" t="n"/>
      <c r="Y2073" s="29" t="n"/>
      <c r="Z2073" s="29" t="n"/>
      <c r="AA2073" s="29" t="n"/>
      <c r="AB2073" s="32" t="n"/>
      <c r="AC2073" s="32" t="n"/>
    </row>
    <row r="2074">
      <c r="A2074" s="26" t="inlineStr">
        <is>
          <t>S40</t>
        </is>
      </c>
      <c r="B2074" s="26" t="inlineStr">
        <is>
          <t>남지</t>
        </is>
      </c>
      <c r="C2074" s="26" t="inlineStr">
        <is>
          <t>S40-H북</t>
        </is>
      </c>
      <c r="D2074" s="47" t="n">
        <v>1</v>
      </c>
      <c r="E2074" s="26" t="inlineStr">
        <is>
          <t>측정</t>
        </is>
      </c>
      <c r="F2074" s="26" t="inlineStr">
        <is>
          <t>북</t>
        </is>
      </c>
      <c r="G2074" s="31" t="n">
        <v>0.5</v>
      </c>
      <c r="H2074" s="30" t="n"/>
      <c r="I2074" s="43" t="n"/>
      <c r="J2074" s="41" t="n"/>
      <c r="K2074" s="41" t="n"/>
      <c r="L2074" s="41" t="n"/>
      <c r="M2074" s="31">
        <f>IF(COUNT(J2074:L2074)=0,"",MEDIAN(J2074:L2074))</f>
        <v/>
      </c>
      <c r="N2074" s="26">
        <f>IF(COUNTIFS($C:$C,$C2074,$D:$D,$D2074,$E:$E,"P0(전)",$M:$M,"&gt;0")&lt;&gt;1,"P0(전) 유효 1개 아님",IF(COUNTIFS($C:$C,$C2074,$D:$D,$D2074,$E:$E,"P0(후)",$M:$M,"&gt;0")&lt;&gt;1,"P0(후) 유효 1개 아님",IF(NOT(AND(ISNUMBER(O2074),ISNUMBER(Q2074),ISNUMBER(I2074))),"시각 결측",IF(Q2074&lt;=O2074,"P0 시각 역전",IF(OR(I2074&lt;O2074,I2074&gt;Q2074),"측정시각 구간 밖","OK")))))</f>
        <v/>
      </c>
      <c r="O2074" s="48">
        <f>IF(COUNTIFS($C:$C,$C2074,$D:$D,$D2074,$E:$E,"P0(전)",$M:$M,"&gt;0")&lt;&gt;1,"",SUMIFS($I:$I,$C:$C,$C2074,$D:$D,$D2074,$E:$E,"P0(전)"))</f>
        <v/>
      </c>
      <c r="P2074" s="31">
        <f>IF(COUNTIFS($C:$C,$C2074,$D:$D,$D2074,$E:$E,"P0(전)",$M:$M,"&gt;0")&lt;&gt;1,"",SUMIFS($M:$M,$C:$C,$C2074,$D:$D,$D2074,$E:$E,"P0(전)"))</f>
        <v/>
      </c>
      <c r="Q2074" s="48">
        <f>IF(COUNTIFS($C:$C,$C2074,$D:$D,$D2074,$E:$E,"P0(후)",$M:$M,"&gt;0")&lt;&gt;1,"",SUMIFS($I:$I,$C:$C,$C2074,$D:$D,$D2074,$E:$E,"P0(후)"))</f>
        <v/>
      </c>
      <c r="R2074" s="31">
        <f>IF(COUNTIFS($C:$C,$C2074,$D:$D,$D2074,$E:$E,"P0(후)",$M:$M,"&gt;0")&lt;&gt;1,"",SUMIFS($M:$M,$C:$C,$C2074,$D:$D,$D2074,$E:$E,"P0(후)"))</f>
        <v/>
      </c>
      <c r="S2074" s="31">
        <f>IF(N2074&lt;&gt;"OK","",P2074+(R2074-P2074)*(I2074-O2074)/(Q2074-O2074))</f>
        <v/>
      </c>
      <c r="T2074" s="31">
        <f>IF(OR(N2074&lt;&gt;"OK",NOT(ISNUMBER(M2074))),"",M2074-S2074)</f>
        <v/>
      </c>
      <c r="U2074" s="49">
        <f>IF(OR(NOT(ISNUMBER(T2074)),IF(ISNUMBER(H2074),H2074,G2074)=0),"",T2074/IF(ISNUMBER(H2074),H2074,G2074))</f>
        <v/>
      </c>
      <c r="V2074" s="49">
        <f>IF(ISNUMBER(U2074),ABS(U2074),"")</f>
        <v/>
      </c>
      <c r="W2074" s="49">
        <f>IF(OR($E2073&lt;&gt;"측정",$C2073&lt;&gt;$C2074,$D2073&lt;&gt;$D2074,NOT(ISNUMBER(M2074)),NOT(ISNUMBER(M2073)),(IF(ISNUMBER(H2074),H2074,G2074)-IF(ISNUMBER(H2073),H2073,G2073))=0),"",(M2074-M2073)/(IF(ISNUMBER(H2074),H2074,G2074)-IF(ISNUMBER(H2073),H2073,G2073)))</f>
        <v/>
      </c>
      <c r="X2074" s="31">
        <f>IF(NOT(AND(ISNUMBER(O2074),ISNUMBER(Q2074))),"",(Q2074-O2074)*1440)</f>
        <v/>
      </c>
      <c r="Y2074" s="29" t="n"/>
      <c r="Z2074" s="29" t="n"/>
      <c r="AA2074" s="29" t="n"/>
      <c r="AB2074" s="32" t="n"/>
      <c r="AC2074" s="32" t="n"/>
    </row>
    <row r="2075">
      <c r="A2075" s="26" t="inlineStr">
        <is>
          <t>S40</t>
        </is>
      </c>
      <c r="B2075" s="26" t="inlineStr">
        <is>
          <t>남지</t>
        </is>
      </c>
      <c r="C2075" s="26" t="inlineStr">
        <is>
          <t>S40-H북</t>
        </is>
      </c>
      <c r="D2075" s="47" t="n">
        <v>1</v>
      </c>
      <c r="E2075" s="26" t="inlineStr">
        <is>
          <t>측정</t>
        </is>
      </c>
      <c r="F2075" s="26" t="inlineStr">
        <is>
          <t>북</t>
        </is>
      </c>
      <c r="G2075" s="31" t="n">
        <v>1</v>
      </c>
      <c r="H2075" s="30" t="n"/>
      <c r="I2075" s="43" t="n"/>
      <c r="J2075" s="41" t="n"/>
      <c r="K2075" s="41" t="n"/>
      <c r="L2075" s="41" t="n"/>
      <c r="M2075" s="31">
        <f>IF(COUNT(J2075:L2075)=0,"",MEDIAN(J2075:L2075))</f>
        <v/>
      </c>
      <c r="N2075" s="26">
        <f>IF(COUNTIFS($C:$C,$C2075,$D:$D,$D2075,$E:$E,"P0(전)",$M:$M,"&gt;0")&lt;&gt;1,"P0(전) 유효 1개 아님",IF(COUNTIFS($C:$C,$C2075,$D:$D,$D2075,$E:$E,"P0(후)",$M:$M,"&gt;0")&lt;&gt;1,"P0(후) 유효 1개 아님",IF(NOT(AND(ISNUMBER(O2075),ISNUMBER(Q2075),ISNUMBER(I2075))),"시각 결측",IF(Q2075&lt;=O2075,"P0 시각 역전",IF(OR(I2075&lt;O2075,I2075&gt;Q2075),"측정시각 구간 밖","OK")))))</f>
        <v/>
      </c>
      <c r="O2075" s="48">
        <f>IF(COUNTIFS($C:$C,$C2075,$D:$D,$D2075,$E:$E,"P0(전)",$M:$M,"&gt;0")&lt;&gt;1,"",SUMIFS($I:$I,$C:$C,$C2075,$D:$D,$D2075,$E:$E,"P0(전)"))</f>
        <v/>
      </c>
      <c r="P2075" s="31">
        <f>IF(COUNTIFS($C:$C,$C2075,$D:$D,$D2075,$E:$E,"P0(전)",$M:$M,"&gt;0")&lt;&gt;1,"",SUMIFS($M:$M,$C:$C,$C2075,$D:$D,$D2075,$E:$E,"P0(전)"))</f>
        <v/>
      </c>
      <c r="Q2075" s="48">
        <f>IF(COUNTIFS($C:$C,$C2075,$D:$D,$D2075,$E:$E,"P0(후)",$M:$M,"&gt;0")&lt;&gt;1,"",SUMIFS($I:$I,$C:$C,$C2075,$D:$D,$D2075,$E:$E,"P0(후)"))</f>
        <v/>
      </c>
      <c r="R2075" s="31">
        <f>IF(COUNTIFS($C:$C,$C2075,$D:$D,$D2075,$E:$E,"P0(후)",$M:$M,"&gt;0")&lt;&gt;1,"",SUMIFS($M:$M,$C:$C,$C2075,$D:$D,$D2075,$E:$E,"P0(후)"))</f>
        <v/>
      </c>
      <c r="S2075" s="31">
        <f>IF(N2075&lt;&gt;"OK","",P2075+(R2075-P2075)*(I2075-O2075)/(Q2075-O2075))</f>
        <v/>
      </c>
      <c r="T2075" s="31">
        <f>IF(OR(N2075&lt;&gt;"OK",NOT(ISNUMBER(M2075))),"",M2075-S2075)</f>
        <v/>
      </c>
      <c r="U2075" s="49">
        <f>IF(OR(NOT(ISNUMBER(T2075)),IF(ISNUMBER(H2075),H2075,G2075)=0),"",T2075/IF(ISNUMBER(H2075),H2075,G2075))</f>
        <v/>
      </c>
      <c r="V2075" s="49">
        <f>IF(ISNUMBER(U2075),ABS(U2075),"")</f>
        <v/>
      </c>
      <c r="W2075" s="49">
        <f>IF(OR($E2074&lt;&gt;"측정",$C2074&lt;&gt;$C2075,$D2074&lt;&gt;$D2075,NOT(ISNUMBER(M2075)),NOT(ISNUMBER(M2074)),(IF(ISNUMBER(H2075),H2075,G2075)-IF(ISNUMBER(H2074),H2074,G2074))=0),"",(M2075-M2074)/(IF(ISNUMBER(H2075),H2075,G2075)-IF(ISNUMBER(H2074),H2074,G2074)))</f>
        <v/>
      </c>
      <c r="X2075" s="31">
        <f>IF(NOT(AND(ISNUMBER(O2075),ISNUMBER(Q2075))),"",(Q2075-O2075)*1440)</f>
        <v/>
      </c>
      <c r="Y2075" s="29" t="n"/>
      <c r="Z2075" s="29" t="n"/>
      <c r="AA2075" s="29" t="n"/>
      <c r="AB2075" s="32" t="n"/>
      <c r="AC2075" s="32" t="n"/>
    </row>
    <row r="2076">
      <c r="A2076" s="26" t="inlineStr">
        <is>
          <t>S40</t>
        </is>
      </c>
      <c r="B2076" s="26" t="inlineStr">
        <is>
          <t>남지</t>
        </is>
      </c>
      <c r="C2076" s="26" t="inlineStr">
        <is>
          <t>S40-H북</t>
        </is>
      </c>
      <c r="D2076" s="47" t="n">
        <v>1</v>
      </c>
      <c r="E2076" s="26" t="inlineStr">
        <is>
          <t>측정</t>
        </is>
      </c>
      <c r="F2076" s="26" t="inlineStr">
        <is>
          <t>북</t>
        </is>
      </c>
      <c r="G2076" s="31" t="n">
        <v>2</v>
      </c>
      <c r="H2076" s="30" t="n"/>
      <c r="I2076" s="43" t="n"/>
      <c r="J2076" s="41" t="n"/>
      <c r="K2076" s="41" t="n"/>
      <c r="L2076" s="41" t="n"/>
      <c r="M2076" s="31">
        <f>IF(COUNT(J2076:L2076)=0,"",MEDIAN(J2076:L2076))</f>
        <v/>
      </c>
      <c r="N2076" s="26">
        <f>IF(COUNTIFS($C:$C,$C2076,$D:$D,$D2076,$E:$E,"P0(전)",$M:$M,"&gt;0")&lt;&gt;1,"P0(전) 유효 1개 아님",IF(COUNTIFS($C:$C,$C2076,$D:$D,$D2076,$E:$E,"P0(후)",$M:$M,"&gt;0")&lt;&gt;1,"P0(후) 유효 1개 아님",IF(NOT(AND(ISNUMBER(O2076),ISNUMBER(Q2076),ISNUMBER(I2076))),"시각 결측",IF(Q2076&lt;=O2076,"P0 시각 역전",IF(OR(I2076&lt;O2076,I2076&gt;Q2076),"측정시각 구간 밖","OK")))))</f>
        <v/>
      </c>
      <c r="O2076" s="48">
        <f>IF(COUNTIFS($C:$C,$C2076,$D:$D,$D2076,$E:$E,"P0(전)",$M:$M,"&gt;0")&lt;&gt;1,"",SUMIFS($I:$I,$C:$C,$C2076,$D:$D,$D2076,$E:$E,"P0(전)"))</f>
        <v/>
      </c>
      <c r="P2076" s="31">
        <f>IF(COUNTIFS($C:$C,$C2076,$D:$D,$D2076,$E:$E,"P0(전)",$M:$M,"&gt;0")&lt;&gt;1,"",SUMIFS($M:$M,$C:$C,$C2076,$D:$D,$D2076,$E:$E,"P0(전)"))</f>
        <v/>
      </c>
      <c r="Q2076" s="48">
        <f>IF(COUNTIFS($C:$C,$C2076,$D:$D,$D2076,$E:$E,"P0(후)",$M:$M,"&gt;0")&lt;&gt;1,"",SUMIFS($I:$I,$C:$C,$C2076,$D:$D,$D2076,$E:$E,"P0(후)"))</f>
        <v/>
      </c>
      <c r="R2076" s="31">
        <f>IF(COUNTIFS($C:$C,$C2076,$D:$D,$D2076,$E:$E,"P0(후)",$M:$M,"&gt;0")&lt;&gt;1,"",SUMIFS($M:$M,$C:$C,$C2076,$D:$D,$D2076,$E:$E,"P0(후)"))</f>
        <v/>
      </c>
      <c r="S2076" s="31">
        <f>IF(N2076&lt;&gt;"OK","",P2076+(R2076-P2076)*(I2076-O2076)/(Q2076-O2076))</f>
        <v/>
      </c>
      <c r="T2076" s="31">
        <f>IF(OR(N2076&lt;&gt;"OK",NOT(ISNUMBER(M2076))),"",M2076-S2076)</f>
        <v/>
      </c>
      <c r="U2076" s="49">
        <f>IF(OR(NOT(ISNUMBER(T2076)),IF(ISNUMBER(H2076),H2076,G2076)=0),"",T2076/IF(ISNUMBER(H2076),H2076,G2076))</f>
        <v/>
      </c>
      <c r="V2076" s="49">
        <f>IF(ISNUMBER(U2076),ABS(U2076),"")</f>
        <v/>
      </c>
      <c r="W2076" s="49">
        <f>IF(OR($E2075&lt;&gt;"측정",$C2075&lt;&gt;$C2076,$D2075&lt;&gt;$D2076,NOT(ISNUMBER(M2076)),NOT(ISNUMBER(M2075)),(IF(ISNUMBER(H2076),H2076,G2076)-IF(ISNUMBER(H2075),H2075,G2075))=0),"",(M2076-M2075)/(IF(ISNUMBER(H2076),H2076,G2076)-IF(ISNUMBER(H2075),H2075,G2075)))</f>
        <v/>
      </c>
      <c r="X2076" s="31">
        <f>IF(NOT(AND(ISNUMBER(O2076),ISNUMBER(Q2076))),"",(Q2076-O2076)*1440)</f>
        <v/>
      </c>
      <c r="Y2076" s="29" t="n"/>
      <c r="Z2076" s="29" t="n"/>
      <c r="AA2076" s="29" t="n"/>
      <c r="AB2076" s="32" t="n"/>
      <c r="AC2076" s="32" t="n"/>
    </row>
    <row r="2077">
      <c r="A2077" s="26" t="inlineStr">
        <is>
          <t>S40</t>
        </is>
      </c>
      <c r="B2077" s="26" t="inlineStr">
        <is>
          <t>남지</t>
        </is>
      </c>
      <c r="C2077" s="26" t="inlineStr">
        <is>
          <t>S40-H북</t>
        </is>
      </c>
      <c r="D2077" s="47" t="n">
        <v>1</v>
      </c>
      <c r="E2077" s="26" t="inlineStr">
        <is>
          <t>측정</t>
        </is>
      </c>
      <c r="F2077" s="26" t="inlineStr">
        <is>
          <t>북</t>
        </is>
      </c>
      <c r="G2077" s="31" t="n">
        <v>3</v>
      </c>
      <c r="H2077" s="30" t="n"/>
      <c r="I2077" s="43" t="n"/>
      <c r="J2077" s="41" t="n"/>
      <c r="K2077" s="41" t="n"/>
      <c r="L2077" s="41" t="n"/>
      <c r="M2077" s="31">
        <f>IF(COUNT(J2077:L2077)=0,"",MEDIAN(J2077:L2077))</f>
        <v/>
      </c>
      <c r="N2077" s="26">
        <f>IF(COUNTIFS($C:$C,$C2077,$D:$D,$D2077,$E:$E,"P0(전)",$M:$M,"&gt;0")&lt;&gt;1,"P0(전) 유효 1개 아님",IF(COUNTIFS($C:$C,$C2077,$D:$D,$D2077,$E:$E,"P0(후)",$M:$M,"&gt;0")&lt;&gt;1,"P0(후) 유효 1개 아님",IF(NOT(AND(ISNUMBER(O2077),ISNUMBER(Q2077),ISNUMBER(I2077))),"시각 결측",IF(Q2077&lt;=O2077,"P0 시각 역전",IF(OR(I2077&lt;O2077,I2077&gt;Q2077),"측정시각 구간 밖","OK")))))</f>
        <v/>
      </c>
      <c r="O2077" s="48">
        <f>IF(COUNTIFS($C:$C,$C2077,$D:$D,$D2077,$E:$E,"P0(전)",$M:$M,"&gt;0")&lt;&gt;1,"",SUMIFS($I:$I,$C:$C,$C2077,$D:$D,$D2077,$E:$E,"P0(전)"))</f>
        <v/>
      </c>
      <c r="P2077" s="31">
        <f>IF(COUNTIFS($C:$C,$C2077,$D:$D,$D2077,$E:$E,"P0(전)",$M:$M,"&gt;0")&lt;&gt;1,"",SUMIFS($M:$M,$C:$C,$C2077,$D:$D,$D2077,$E:$E,"P0(전)"))</f>
        <v/>
      </c>
      <c r="Q2077" s="48">
        <f>IF(COUNTIFS($C:$C,$C2077,$D:$D,$D2077,$E:$E,"P0(후)",$M:$M,"&gt;0")&lt;&gt;1,"",SUMIFS($I:$I,$C:$C,$C2077,$D:$D,$D2077,$E:$E,"P0(후)"))</f>
        <v/>
      </c>
      <c r="R2077" s="31">
        <f>IF(COUNTIFS($C:$C,$C2077,$D:$D,$D2077,$E:$E,"P0(후)",$M:$M,"&gt;0")&lt;&gt;1,"",SUMIFS($M:$M,$C:$C,$C2077,$D:$D,$D2077,$E:$E,"P0(후)"))</f>
        <v/>
      </c>
      <c r="S2077" s="31">
        <f>IF(N2077&lt;&gt;"OK","",P2077+(R2077-P2077)*(I2077-O2077)/(Q2077-O2077))</f>
        <v/>
      </c>
      <c r="T2077" s="31">
        <f>IF(OR(N2077&lt;&gt;"OK",NOT(ISNUMBER(M2077))),"",M2077-S2077)</f>
        <v/>
      </c>
      <c r="U2077" s="49">
        <f>IF(OR(NOT(ISNUMBER(T2077)),IF(ISNUMBER(H2077),H2077,G2077)=0),"",T2077/IF(ISNUMBER(H2077),H2077,G2077))</f>
        <v/>
      </c>
      <c r="V2077" s="49">
        <f>IF(ISNUMBER(U2077),ABS(U2077),"")</f>
        <v/>
      </c>
      <c r="W2077" s="49">
        <f>IF(OR($E2076&lt;&gt;"측정",$C2076&lt;&gt;$C2077,$D2076&lt;&gt;$D2077,NOT(ISNUMBER(M2077)),NOT(ISNUMBER(M2076)),(IF(ISNUMBER(H2077),H2077,G2077)-IF(ISNUMBER(H2076),H2076,G2076))=0),"",(M2077-M2076)/(IF(ISNUMBER(H2077),H2077,G2077)-IF(ISNUMBER(H2076),H2076,G2076)))</f>
        <v/>
      </c>
      <c r="X2077" s="31">
        <f>IF(NOT(AND(ISNUMBER(O2077),ISNUMBER(Q2077))),"",(Q2077-O2077)*1440)</f>
        <v/>
      </c>
      <c r="Y2077" s="29" t="n"/>
      <c r="Z2077" s="29" t="n"/>
      <c r="AA2077" s="29" t="n"/>
      <c r="AB2077" s="32" t="n"/>
      <c r="AC2077" s="32" t="n"/>
    </row>
    <row r="2078">
      <c r="A2078" s="26" t="inlineStr">
        <is>
          <t>S40</t>
        </is>
      </c>
      <c r="B2078" s="26" t="inlineStr">
        <is>
          <t>남지</t>
        </is>
      </c>
      <c r="C2078" s="26" t="inlineStr">
        <is>
          <t>S40-H북</t>
        </is>
      </c>
      <c r="D2078" s="47" t="n">
        <v>1</v>
      </c>
      <c r="E2078" s="26" t="inlineStr">
        <is>
          <t>측정</t>
        </is>
      </c>
      <c r="F2078" s="26" t="inlineStr">
        <is>
          <t>북</t>
        </is>
      </c>
      <c r="G2078" s="31" t="n">
        <v>4</v>
      </c>
      <c r="H2078" s="30" t="n"/>
      <c r="I2078" s="43" t="n"/>
      <c r="J2078" s="41" t="n"/>
      <c r="K2078" s="41" t="n"/>
      <c r="L2078" s="41" t="n"/>
      <c r="M2078" s="31">
        <f>IF(COUNT(J2078:L2078)=0,"",MEDIAN(J2078:L2078))</f>
        <v/>
      </c>
      <c r="N2078" s="26">
        <f>IF(COUNTIFS($C:$C,$C2078,$D:$D,$D2078,$E:$E,"P0(전)",$M:$M,"&gt;0")&lt;&gt;1,"P0(전) 유효 1개 아님",IF(COUNTIFS($C:$C,$C2078,$D:$D,$D2078,$E:$E,"P0(후)",$M:$M,"&gt;0")&lt;&gt;1,"P0(후) 유효 1개 아님",IF(NOT(AND(ISNUMBER(O2078),ISNUMBER(Q2078),ISNUMBER(I2078))),"시각 결측",IF(Q2078&lt;=O2078,"P0 시각 역전",IF(OR(I2078&lt;O2078,I2078&gt;Q2078),"측정시각 구간 밖","OK")))))</f>
        <v/>
      </c>
      <c r="O2078" s="48">
        <f>IF(COUNTIFS($C:$C,$C2078,$D:$D,$D2078,$E:$E,"P0(전)",$M:$M,"&gt;0")&lt;&gt;1,"",SUMIFS($I:$I,$C:$C,$C2078,$D:$D,$D2078,$E:$E,"P0(전)"))</f>
        <v/>
      </c>
      <c r="P2078" s="31">
        <f>IF(COUNTIFS($C:$C,$C2078,$D:$D,$D2078,$E:$E,"P0(전)",$M:$M,"&gt;0")&lt;&gt;1,"",SUMIFS($M:$M,$C:$C,$C2078,$D:$D,$D2078,$E:$E,"P0(전)"))</f>
        <v/>
      </c>
      <c r="Q2078" s="48">
        <f>IF(COUNTIFS($C:$C,$C2078,$D:$D,$D2078,$E:$E,"P0(후)",$M:$M,"&gt;0")&lt;&gt;1,"",SUMIFS($I:$I,$C:$C,$C2078,$D:$D,$D2078,$E:$E,"P0(후)"))</f>
        <v/>
      </c>
      <c r="R2078" s="31">
        <f>IF(COUNTIFS($C:$C,$C2078,$D:$D,$D2078,$E:$E,"P0(후)",$M:$M,"&gt;0")&lt;&gt;1,"",SUMIFS($M:$M,$C:$C,$C2078,$D:$D,$D2078,$E:$E,"P0(후)"))</f>
        <v/>
      </c>
      <c r="S2078" s="31">
        <f>IF(N2078&lt;&gt;"OK","",P2078+(R2078-P2078)*(I2078-O2078)/(Q2078-O2078))</f>
        <v/>
      </c>
      <c r="T2078" s="31">
        <f>IF(OR(N2078&lt;&gt;"OK",NOT(ISNUMBER(M2078))),"",M2078-S2078)</f>
        <v/>
      </c>
      <c r="U2078" s="49">
        <f>IF(OR(NOT(ISNUMBER(T2078)),IF(ISNUMBER(H2078),H2078,G2078)=0),"",T2078/IF(ISNUMBER(H2078),H2078,G2078))</f>
        <v/>
      </c>
      <c r="V2078" s="49">
        <f>IF(ISNUMBER(U2078),ABS(U2078),"")</f>
        <v/>
      </c>
      <c r="W2078" s="49">
        <f>IF(OR($E2077&lt;&gt;"측정",$C2077&lt;&gt;$C2078,$D2077&lt;&gt;$D2078,NOT(ISNUMBER(M2078)),NOT(ISNUMBER(M2077)),(IF(ISNUMBER(H2078),H2078,G2078)-IF(ISNUMBER(H2077),H2077,G2077))=0),"",(M2078-M2077)/(IF(ISNUMBER(H2078),H2078,G2078)-IF(ISNUMBER(H2077),H2077,G2077)))</f>
        <v/>
      </c>
      <c r="X2078" s="31">
        <f>IF(NOT(AND(ISNUMBER(O2078),ISNUMBER(Q2078))),"",(Q2078-O2078)*1440)</f>
        <v/>
      </c>
      <c r="Y2078" s="29" t="n"/>
      <c r="Z2078" s="29" t="n"/>
      <c r="AA2078" s="29" t="n"/>
      <c r="AB2078" s="32" t="n"/>
      <c r="AC2078" s="32" t="n"/>
    </row>
    <row r="2079">
      <c r="A2079" s="26" t="inlineStr">
        <is>
          <t>S40</t>
        </is>
      </c>
      <c r="B2079" s="26" t="inlineStr">
        <is>
          <t>남지</t>
        </is>
      </c>
      <c r="C2079" s="26" t="inlineStr">
        <is>
          <t>S40-H북</t>
        </is>
      </c>
      <c r="D2079" s="47" t="n">
        <v>1</v>
      </c>
      <c r="E2079" s="26" t="inlineStr">
        <is>
          <t>측정</t>
        </is>
      </c>
      <c r="F2079" s="26" t="inlineStr">
        <is>
          <t>북</t>
        </is>
      </c>
      <c r="G2079" s="31" t="n">
        <v>5</v>
      </c>
      <c r="H2079" s="30" t="n"/>
      <c r="I2079" s="43" t="n"/>
      <c r="J2079" s="41" t="n"/>
      <c r="K2079" s="41" t="n"/>
      <c r="L2079" s="41" t="n"/>
      <c r="M2079" s="31">
        <f>IF(COUNT(J2079:L2079)=0,"",MEDIAN(J2079:L2079))</f>
        <v/>
      </c>
      <c r="N2079" s="26">
        <f>IF(COUNTIFS($C:$C,$C2079,$D:$D,$D2079,$E:$E,"P0(전)",$M:$M,"&gt;0")&lt;&gt;1,"P0(전) 유효 1개 아님",IF(COUNTIFS($C:$C,$C2079,$D:$D,$D2079,$E:$E,"P0(후)",$M:$M,"&gt;0")&lt;&gt;1,"P0(후) 유효 1개 아님",IF(NOT(AND(ISNUMBER(O2079),ISNUMBER(Q2079),ISNUMBER(I2079))),"시각 결측",IF(Q2079&lt;=O2079,"P0 시각 역전",IF(OR(I2079&lt;O2079,I2079&gt;Q2079),"측정시각 구간 밖","OK")))))</f>
        <v/>
      </c>
      <c r="O2079" s="48">
        <f>IF(COUNTIFS($C:$C,$C2079,$D:$D,$D2079,$E:$E,"P0(전)",$M:$M,"&gt;0")&lt;&gt;1,"",SUMIFS($I:$I,$C:$C,$C2079,$D:$D,$D2079,$E:$E,"P0(전)"))</f>
        <v/>
      </c>
      <c r="P2079" s="31">
        <f>IF(COUNTIFS($C:$C,$C2079,$D:$D,$D2079,$E:$E,"P0(전)",$M:$M,"&gt;0")&lt;&gt;1,"",SUMIFS($M:$M,$C:$C,$C2079,$D:$D,$D2079,$E:$E,"P0(전)"))</f>
        <v/>
      </c>
      <c r="Q2079" s="48">
        <f>IF(COUNTIFS($C:$C,$C2079,$D:$D,$D2079,$E:$E,"P0(후)",$M:$M,"&gt;0")&lt;&gt;1,"",SUMIFS($I:$I,$C:$C,$C2079,$D:$D,$D2079,$E:$E,"P0(후)"))</f>
        <v/>
      </c>
      <c r="R2079" s="31">
        <f>IF(COUNTIFS($C:$C,$C2079,$D:$D,$D2079,$E:$E,"P0(후)",$M:$M,"&gt;0")&lt;&gt;1,"",SUMIFS($M:$M,$C:$C,$C2079,$D:$D,$D2079,$E:$E,"P0(후)"))</f>
        <v/>
      </c>
      <c r="S2079" s="31">
        <f>IF(N2079&lt;&gt;"OK","",P2079+(R2079-P2079)*(I2079-O2079)/(Q2079-O2079))</f>
        <v/>
      </c>
      <c r="T2079" s="31">
        <f>IF(OR(N2079&lt;&gt;"OK",NOT(ISNUMBER(M2079))),"",M2079-S2079)</f>
        <v/>
      </c>
      <c r="U2079" s="49">
        <f>IF(OR(NOT(ISNUMBER(T2079)),IF(ISNUMBER(H2079),H2079,G2079)=0),"",T2079/IF(ISNUMBER(H2079),H2079,G2079))</f>
        <v/>
      </c>
      <c r="V2079" s="49">
        <f>IF(ISNUMBER(U2079),ABS(U2079),"")</f>
        <v/>
      </c>
      <c r="W2079" s="49">
        <f>IF(OR($E2078&lt;&gt;"측정",$C2078&lt;&gt;$C2079,$D2078&lt;&gt;$D2079,NOT(ISNUMBER(M2079)),NOT(ISNUMBER(M2078)),(IF(ISNUMBER(H2079),H2079,G2079)-IF(ISNUMBER(H2078),H2078,G2078))=0),"",(M2079-M2078)/(IF(ISNUMBER(H2079),H2079,G2079)-IF(ISNUMBER(H2078),H2078,G2078)))</f>
        <v/>
      </c>
      <c r="X2079" s="31">
        <f>IF(NOT(AND(ISNUMBER(O2079),ISNUMBER(Q2079))),"",(Q2079-O2079)*1440)</f>
        <v/>
      </c>
      <c r="Y2079" s="29" t="n"/>
      <c r="Z2079" s="29" t="n"/>
      <c r="AA2079" s="29" t="n"/>
      <c r="AB2079" s="32" t="n"/>
      <c r="AC2079" s="32" t="n"/>
    </row>
    <row r="2080">
      <c r="A2080" s="26" t="inlineStr">
        <is>
          <t>S40</t>
        </is>
      </c>
      <c r="B2080" s="26" t="inlineStr">
        <is>
          <t>남지</t>
        </is>
      </c>
      <c r="C2080" s="26" t="inlineStr">
        <is>
          <t>S40-H북</t>
        </is>
      </c>
      <c r="D2080" s="47" t="n">
        <v>1</v>
      </c>
      <c r="E2080" s="26" t="inlineStr">
        <is>
          <t>측정</t>
        </is>
      </c>
      <c r="F2080" s="26" t="inlineStr">
        <is>
          <t>북</t>
        </is>
      </c>
      <c r="G2080" s="31" t="n">
        <v>6</v>
      </c>
      <c r="H2080" s="30" t="n"/>
      <c r="I2080" s="43" t="n"/>
      <c r="J2080" s="41" t="n"/>
      <c r="K2080" s="41" t="n"/>
      <c r="L2080" s="41" t="n"/>
      <c r="M2080" s="31">
        <f>IF(COUNT(J2080:L2080)=0,"",MEDIAN(J2080:L2080))</f>
        <v/>
      </c>
      <c r="N2080" s="26">
        <f>IF(COUNTIFS($C:$C,$C2080,$D:$D,$D2080,$E:$E,"P0(전)",$M:$M,"&gt;0")&lt;&gt;1,"P0(전) 유효 1개 아님",IF(COUNTIFS($C:$C,$C2080,$D:$D,$D2080,$E:$E,"P0(후)",$M:$M,"&gt;0")&lt;&gt;1,"P0(후) 유효 1개 아님",IF(NOT(AND(ISNUMBER(O2080),ISNUMBER(Q2080),ISNUMBER(I2080))),"시각 결측",IF(Q2080&lt;=O2080,"P0 시각 역전",IF(OR(I2080&lt;O2080,I2080&gt;Q2080),"측정시각 구간 밖","OK")))))</f>
        <v/>
      </c>
      <c r="O2080" s="48">
        <f>IF(COUNTIFS($C:$C,$C2080,$D:$D,$D2080,$E:$E,"P0(전)",$M:$M,"&gt;0")&lt;&gt;1,"",SUMIFS($I:$I,$C:$C,$C2080,$D:$D,$D2080,$E:$E,"P0(전)"))</f>
        <v/>
      </c>
      <c r="P2080" s="31">
        <f>IF(COUNTIFS($C:$C,$C2080,$D:$D,$D2080,$E:$E,"P0(전)",$M:$M,"&gt;0")&lt;&gt;1,"",SUMIFS($M:$M,$C:$C,$C2080,$D:$D,$D2080,$E:$E,"P0(전)"))</f>
        <v/>
      </c>
      <c r="Q2080" s="48">
        <f>IF(COUNTIFS($C:$C,$C2080,$D:$D,$D2080,$E:$E,"P0(후)",$M:$M,"&gt;0")&lt;&gt;1,"",SUMIFS($I:$I,$C:$C,$C2080,$D:$D,$D2080,$E:$E,"P0(후)"))</f>
        <v/>
      </c>
      <c r="R2080" s="31">
        <f>IF(COUNTIFS($C:$C,$C2080,$D:$D,$D2080,$E:$E,"P0(후)",$M:$M,"&gt;0")&lt;&gt;1,"",SUMIFS($M:$M,$C:$C,$C2080,$D:$D,$D2080,$E:$E,"P0(후)"))</f>
        <v/>
      </c>
      <c r="S2080" s="31">
        <f>IF(N2080&lt;&gt;"OK","",P2080+(R2080-P2080)*(I2080-O2080)/(Q2080-O2080))</f>
        <v/>
      </c>
      <c r="T2080" s="31">
        <f>IF(OR(N2080&lt;&gt;"OK",NOT(ISNUMBER(M2080))),"",M2080-S2080)</f>
        <v/>
      </c>
      <c r="U2080" s="49">
        <f>IF(OR(NOT(ISNUMBER(T2080)),IF(ISNUMBER(H2080),H2080,G2080)=0),"",T2080/IF(ISNUMBER(H2080),H2080,G2080))</f>
        <v/>
      </c>
      <c r="V2080" s="49">
        <f>IF(ISNUMBER(U2080),ABS(U2080),"")</f>
        <v/>
      </c>
      <c r="W2080" s="49">
        <f>IF(OR($E2079&lt;&gt;"측정",$C2079&lt;&gt;$C2080,$D2079&lt;&gt;$D2080,NOT(ISNUMBER(M2080)),NOT(ISNUMBER(M2079)),(IF(ISNUMBER(H2080),H2080,G2080)-IF(ISNUMBER(H2079),H2079,G2079))=0),"",(M2080-M2079)/(IF(ISNUMBER(H2080),H2080,G2080)-IF(ISNUMBER(H2079),H2079,G2079)))</f>
        <v/>
      </c>
      <c r="X2080" s="31">
        <f>IF(NOT(AND(ISNUMBER(O2080),ISNUMBER(Q2080))),"",(Q2080-O2080)*1440)</f>
        <v/>
      </c>
      <c r="Y2080" s="29" t="n"/>
      <c r="Z2080" s="29" t="n"/>
      <c r="AA2080" s="29" t="n"/>
      <c r="AB2080" s="32" t="n"/>
      <c r="AC2080" s="32" t="n"/>
    </row>
    <row r="2081">
      <c r="A2081" s="26" t="inlineStr">
        <is>
          <t>S40</t>
        </is>
      </c>
      <c r="B2081" s="26" t="inlineStr">
        <is>
          <t>남지</t>
        </is>
      </c>
      <c r="C2081" s="26" t="inlineStr">
        <is>
          <t>S40-H북</t>
        </is>
      </c>
      <c r="D2081" s="47" t="n">
        <v>1</v>
      </c>
      <c r="E2081" s="26" t="inlineStr">
        <is>
          <t>측정</t>
        </is>
      </c>
      <c r="F2081" s="26" t="inlineStr">
        <is>
          <t>북</t>
        </is>
      </c>
      <c r="G2081" s="31" t="n">
        <v>7</v>
      </c>
      <c r="H2081" s="30" t="n"/>
      <c r="I2081" s="43" t="n"/>
      <c r="J2081" s="41" t="n"/>
      <c r="K2081" s="41" t="n"/>
      <c r="L2081" s="41" t="n"/>
      <c r="M2081" s="31">
        <f>IF(COUNT(J2081:L2081)=0,"",MEDIAN(J2081:L2081))</f>
        <v/>
      </c>
      <c r="N2081" s="26">
        <f>IF(COUNTIFS($C:$C,$C2081,$D:$D,$D2081,$E:$E,"P0(전)",$M:$M,"&gt;0")&lt;&gt;1,"P0(전) 유효 1개 아님",IF(COUNTIFS($C:$C,$C2081,$D:$D,$D2081,$E:$E,"P0(후)",$M:$M,"&gt;0")&lt;&gt;1,"P0(후) 유효 1개 아님",IF(NOT(AND(ISNUMBER(O2081),ISNUMBER(Q2081),ISNUMBER(I2081))),"시각 결측",IF(Q2081&lt;=O2081,"P0 시각 역전",IF(OR(I2081&lt;O2081,I2081&gt;Q2081),"측정시각 구간 밖","OK")))))</f>
        <v/>
      </c>
      <c r="O2081" s="48">
        <f>IF(COUNTIFS($C:$C,$C2081,$D:$D,$D2081,$E:$E,"P0(전)",$M:$M,"&gt;0")&lt;&gt;1,"",SUMIFS($I:$I,$C:$C,$C2081,$D:$D,$D2081,$E:$E,"P0(전)"))</f>
        <v/>
      </c>
      <c r="P2081" s="31">
        <f>IF(COUNTIFS($C:$C,$C2081,$D:$D,$D2081,$E:$E,"P0(전)",$M:$M,"&gt;0")&lt;&gt;1,"",SUMIFS($M:$M,$C:$C,$C2081,$D:$D,$D2081,$E:$E,"P0(전)"))</f>
        <v/>
      </c>
      <c r="Q2081" s="48">
        <f>IF(COUNTIFS($C:$C,$C2081,$D:$D,$D2081,$E:$E,"P0(후)",$M:$M,"&gt;0")&lt;&gt;1,"",SUMIFS($I:$I,$C:$C,$C2081,$D:$D,$D2081,$E:$E,"P0(후)"))</f>
        <v/>
      </c>
      <c r="R2081" s="31">
        <f>IF(COUNTIFS($C:$C,$C2081,$D:$D,$D2081,$E:$E,"P0(후)",$M:$M,"&gt;0")&lt;&gt;1,"",SUMIFS($M:$M,$C:$C,$C2081,$D:$D,$D2081,$E:$E,"P0(후)"))</f>
        <v/>
      </c>
      <c r="S2081" s="31">
        <f>IF(N2081&lt;&gt;"OK","",P2081+(R2081-P2081)*(I2081-O2081)/(Q2081-O2081))</f>
        <v/>
      </c>
      <c r="T2081" s="31">
        <f>IF(OR(N2081&lt;&gt;"OK",NOT(ISNUMBER(M2081))),"",M2081-S2081)</f>
        <v/>
      </c>
      <c r="U2081" s="49">
        <f>IF(OR(NOT(ISNUMBER(T2081)),IF(ISNUMBER(H2081),H2081,G2081)=0),"",T2081/IF(ISNUMBER(H2081),H2081,G2081))</f>
        <v/>
      </c>
      <c r="V2081" s="49">
        <f>IF(ISNUMBER(U2081),ABS(U2081),"")</f>
        <v/>
      </c>
      <c r="W2081" s="49">
        <f>IF(OR($E2080&lt;&gt;"측정",$C2080&lt;&gt;$C2081,$D2080&lt;&gt;$D2081,NOT(ISNUMBER(M2081)),NOT(ISNUMBER(M2080)),(IF(ISNUMBER(H2081),H2081,G2081)-IF(ISNUMBER(H2080),H2080,G2080))=0),"",(M2081-M2080)/(IF(ISNUMBER(H2081),H2081,G2081)-IF(ISNUMBER(H2080),H2080,G2080)))</f>
        <v/>
      </c>
      <c r="X2081" s="31">
        <f>IF(NOT(AND(ISNUMBER(O2081),ISNUMBER(Q2081))),"",(Q2081-O2081)*1440)</f>
        <v/>
      </c>
      <c r="Y2081" s="29" t="n"/>
      <c r="Z2081" s="29" t="n"/>
      <c r="AA2081" s="29" t="n"/>
      <c r="AB2081" s="32" t="n"/>
      <c r="AC2081" s="32" t="n"/>
    </row>
    <row r="2082">
      <c r="A2082" s="26" t="inlineStr">
        <is>
          <t>S40</t>
        </is>
      </c>
      <c r="B2082" s="26" t="inlineStr">
        <is>
          <t>남지</t>
        </is>
      </c>
      <c r="C2082" s="26" t="inlineStr">
        <is>
          <t>S40-H북</t>
        </is>
      </c>
      <c r="D2082" s="47" t="n">
        <v>1</v>
      </c>
      <c r="E2082" s="26" t="inlineStr">
        <is>
          <t>측정</t>
        </is>
      </c>
      <c r="F2082" s="26" t="inlineStr">
        <is>
          <t>북</t>
        </is>
      </c>
      <c r="G2082" s="31" t="n">
        <v>8</v>
      </c>
      <c r="H2082" s="30" t="n"/>
      <c r="I2082" s="43" t="n"/>
      <c r="J2082" s="41" t="n"/>
      <c r="K2082" s="41" t="n"/>
      <c r="L2082" s="41" t="n"/>
      <c r="M2082" s="31">
        <f>IF(COUNT(J2082:L2082)=0,"",MEDIAN(J2082:L2082))</f>
        <v/>
      </c>
      <c r="N2082" s="26">
        <f>IF(COUNTIFS($C:$C,$C2082,$D:$D,$D2082,$E:$E,"P0(전)",$M:$M,"&gt;0")&lt;&gt;1,"P0(전) 유효 1개 아님",IF(COUNTIFS($C:$C,$C2082,$D:$D,$D2082,$E:$E,"P0(후)",$M:$M,"&gt;0")&lt;&gt;1,"P0(후) 유효 1개 아님",IF(NOT(AND(ISNUMBER(O2082),ISNUMBER(Q2082),ISNUMBER(I2082))),"시각 결측",IF(Q2082&lt;=O2082,"P0 시각 역전",IF(OR(I2082&lt;O2082,I2082&gt;Q2082),"측정시각 구간 밖","OK")))))</f>
        <v/>
      </c>
      <c r="O2082" s="48">
        <f>IF(COUNTIFS($C:$C,$C2082,$D:$D,$D2082,$E:$E,"P0(전)",$M:$M,"&gt;0")&lt;&gt;1,"",SUMIFS($I:$I,$C:$C,$C2082,$D:$D,$D2082,$E:$E,"P0(전)"))</f>
        <v/>
      </c>
      <c r="P2082" s="31">
        <f>IF(COUNTIFS($C:$C,$C2082,$D:$D,$D2082,$E:$E,"P0(전)",$M:$M,"&gt;0")&lt;&gt;1,"",SUMIFS($M:$M,$C:$C,$C2082,$D:$D,$D2082,$E:$E,"P0(전)"))</f>
        <v/>
      </c>
      <c r="Q2082" s="48">
        <f>IF(COUNTIFS($C:$C,$C2082,$D:$D,$D2082,$E:$E,"P0(후)",$M:$M,"&gt;0")&lt;&gt;1,"",SUMIFS($I:$I,$C:$C,$C2082,$D:$D,$D2082,$E:$E,"P0(후)"))</f>
        <v/>
      </c>
      <c r="R2082" s="31">
        <f>IF(COUNTIFS($C:$C,$C2082,$D:$D,$D2082,$E:$E,"P0(후)",$M:$M,"&gt;0")&lt;&gt;1,"",SUMIFS($M:$M,$C:$C,$C2082,$D:$D,$D2082,$E:$E,"P0(후)"))</f>
        <v/>
      </c>
      <c r="S2082" s="31">
        <f>IF(N2082&lt;&gt;"OK","",P2082+(R2082-P2082)*(I2082-O2082)/(Q2082-O2082))</f>
        <v/>
      </c>
      <c r="T2082" s="31">
        <f>IF(OR(N2082&lt;&gt;"OK",NOT(ISNUMBER(M2082))),"",M2082-S2082)</f>
        <v/>
      </c>
      <c r="U2082" s="49">
        <f>IF(OR(NOT(ISNUMBER(T2082)),IF(ISNUMBER(H2082),H2082,G2082)=0),"",T2082/IF(ISNUMBER(H2082),H2082,G2082))</f>
        <v/>
      </c>
      <c r="V2082" s="49">
        <f>IF(ISNUMBER(U2082),ABS(U2082),"")</f>
        <v/>
      </c>
      <c r="W2082" s="49">
        <f>IF(OR($E2081&lt;&gt;"측정",$C2081&lt;&gt;$C2082,$D2081&lt;&gt;$D2082,NOT(ISNUMBER(M2082)),NOT(ISNUMBER(M2081)),(IF(ISNUMBER(H2082),H2082,G2082)-IF(ISNUMBER(H2081),H2081,G2081))=0),"",(M2082-M2081)/(IF(ISNUMBER(H2082),H2082,G2082)-IF(ISNUMBER(H2081),H2081,G2081)))</f>
        <v/>
      </c>
      <c r="X2082" s="31">
        <f>IF(NOT(AND(ISNUMBER(O2082),ISNUMBER(Q2082))),"",(Q2082-O2082)*1440)</f>
        <v/>
      </c>
      <c r="Y2082" s="29" t="n"/>
      <c r="Z2082" s="29" t="n"/>
      <c r="AA2082" s="29" t="n"/>
      <c r="AB2082" s="32" t="n"/>
      <c r="AC2082" s="32" t="n"/>
    </row>
    <row r="2083">
      <c r="A2083" s="26" t="inlineStr">
        <is>
          <t>S40</t>
        </is>
      </c>
      <c r="B2083" s="26" t="inlineStr">
        <is>
          <t>남지</t>
        </is>
      </c>
      <c r="C2083" s="26" t="inlineStr">
        <is>
          <t>S40-H북</t>
        </is>
      </c>
      <c r="D2083" s="47" t="n">
        <v>1</v>
      </c>
      <c r="E2083" s="26" t="inlineStr">
        <is>
          <t>측정</t>
        </is>
      </c>
      <c r="F2083" s="26" t="inlineStr">
        <is>
          <t>북</t>
        </is>
      </c>
      <c r="G2083" s="31" t="n">
        <v>9</v>
      </c>
      <c r="H2083" s="30" t="n"/>
      <c r="I2083" s="43" t="n"/>
      <c r="J2083" s="41" t="n"/>
      <c r="K2083" s="41" t="n"/>
      <c r="L2083" s="41" t="n"/>
      <c r="M2083" s="31">
        <f>IF(COUNT(J2083:L2083)=0,"",MEDIAN(J2083:L2083))</f>
        <v/>
      </c>
      <c r="N2083" s="26">
        <f>IF(COUNTIFS($C:$C,$C2083,$D:$D,$D2083,$E:$E,"P0(전)",$M:$M,"&gt;0")&lt;&gt;1,"P0(전) 유효 1개 아님",IF(COUNTIFS($C:$C,$C2083,$D:$D,$D2083,$E:$E,"P0(후)",$M:$M,"&gt;0")&lt;&gt;1,"P0(후) 유효 1개 아님",IF(NOT(AND(ISNUMBER(O2083),ISNUMBER(Q2083),ISNUMBER(I2083))),"시각 결측",IF(Q2083&lt;=O2083,"P0 시각 역전",IF(OR(I2083&lt;O2083,I2083&gt;Q2083),"측정시각 구간 밖","OK")))))</f>
        <v/>
      </c>
      <c r="O2083" s="48">
        <f>IF(COUNTIFS($C:$C,$C2083,$D:$D,$D2083,$E:$E,"P0(전)",$M:$M,"&gt;0")&lt;&gt;1,"",SUMIFS($I:$I,$C:$C,$C2083,$D:$D,$D2083,$E:$E,"P0(전)"))</f>
        <v/>
      </c>
      <c r="P2083" s="31">
        <f>IF(COUNTIFS($C:$C,$C2083,$D:$D,$D2083,$E:$E,"P0(전)",$M:$M,"&gt;0")&lt;&gt;1,"",SUMIFS($M:$M,$C:$C,$C2083,$D:$D,$D2083,$E:$E,"P0(전)"))</f>
        <v/>
      </c>
      <c r="Q2083" s="48">
        <f>IF(COUNTIFS($C:$C,$C2083,$D:$D,$D2083,$E:$E,"P0(후)",$M:$M,"&gt;0")&lt;&gt;1,"",SUMIFS($I:$I,$C:$C,$C2083,$D:$D,$D2083,$E:$E,"P0(후)"))</f>
        <v/>
      </c>
      <c r="R2083" s="31">
        <f>IF(COUNTIFS($C:$C,$C2083,$D:$D,$D2083,$E:$E,"P0(후)",$M:$M,"&gt;0")&lt;&gt;1,"",SUMIFS($M:$M,$C:$C,$C2083,$D:$D,$D2083,$E:$E,"P0(후)"))</f>
        <v/>
      </c>
      <c r="S2083" s="31">
        <f>IF(N2083&lt;&gt;"OK","",P2083+(R2083-P2083)*(I2083-O2083)/(Q2083-O2083))</f>
        <v/>
      </c>
      <c r="T2083" s="31">
        <f>IF(OR(N2083&lt;&gt;"OK",NOT(ISNUMBER(M2083))),"",M2083-S2083)</f>
        <v/>
      </c>
      <c r="U2083" s="49">
        <f>IF(OR(NOT(ISNUMBER(T2083)),IF(ISNUMBER(H2083),H2083,G2083)=0),"",T2083/IF(ISNUMBER(H2083),H2083,G2083))</f>
        <v/>
      </c>
      <c r="V2083" s="49">
        <f>IF(ISNUMBER(U2083),ABS(U2083),"")</f>
        <v/>
      </c>
      <c r="W2083" s="49">
        <f>IF(OR($E2082&lt;&gt;"측정",$C2082&lt;&gt;$C2083,$D2082&lt;&gt;$D2083,NOT(ISNUMBER(M2083)),NOT(ISNUMBER(M2082)),(IF(ISNUMBER(H2083),H2083,G2083)-IF(ISNUMBER(H2082),H2082,G2082))=0),"",(M2083-M2082)/(IF(ISNUMBER(H2083),H2083,G2083)-IF(ISNUMBER(H2082),H2082,G2082)))</f>
        <v/>
      </c>
      <c r="X2083" s="31">
        <f>IF(NOT(AND(ISNUMBER(O2083),ISNUMBER(Q2083))),"",(Q2083-O2083)*1440)</f>
        <v/>
      </c>
      <c r="Y2083" s="29" t="n"/>
      <c r="Z2083" s="29" t="n"/>
      <c r="AA2083" s="29" t="n"/>
      <c r="AB2083" s="32" t="n"/>
      <c r="AC2083" s="32" t="n"/>
    </row>
    <row r="2084">
      <c r="A2084" s="26" t="inlineStr">
        <is>
          <t>S40</t>
        </is>
      </c>
      <c r="B2084" s="26" t="inlineStr">
        <is>
          <t>남지</t>
        </is>
      </c>
      <c r="C2084" s="26" t="inlineStr">
        <is>
          <t>S40-H북</t>
        </is>
      </c>
      <c r="D2084" s="47" t="n">
        <v>1</v>
      </c>
      <c r="E2084" s="26" t="inlineStr">
        <is>
          <t>측정</t>
        </is>
      </c>
      <c r="F2084" s="26" t="inlineStr">
        <is>
          <t>북</t>
        </is>
      </c>
      <c r="G2084" s="31" t="n">
        <v>10</v>
      </c>
      <c r="H2084" s="30" t="n"/>
      <c r="I2084" s="43" t="n"/>
      <c r="J2084" s="41" t="n"/>
      <c r="K2084" s="41" t="n"/>
      <c r="L2084" s="41" t="n"/>
      <c r="M2084" s="31">
        <f>IF(COUNT(J2084:L2084)=0,"",MEDIAN(J2084:L2084))</f>
        <v/>
      </c>
      <c r="N2084" s="26">
        <f>IF(COUNTIFS($C:$C,$C2084,$D:$D,$D2084,$E:$E,"P0(전)",$M:$M,"&gt;0")&lt;&gt;1,"P0(전) 유효 1개 아님",IF(COUNTIFS($C:$C,$C2084,$D:$D,$D2084,$E:$E,"P0(후)",$M:$M,"&gt;0")&lt;&gt;1,"P0(후) 유효 1개 아님",IF(NOT(AND(ISNUMBER(O2084),ISNUMBER(Q2084),ISNUMBER(I2084))),"시각 결측",IF(Q2084&lt;=O2084,"P0 시각 역전",IF(OR(I2084&lt;O2084,I2084&gt;Q2084),"측정시각 구간 밖","OK")))))</f>
        <v/>
      </c>
      <c r="O2084" s="48">
        <f>IF(COUNTIFS($C:$C,$C2084,$D:$D,$D2084,$E:$E,"P0(전)",$M:$M,"&gt;0")&lt;&gt;1,"",SUMIFS($I:$I,$C:$C,$C2084,$D:$D,$D2084,$E:$E,"P0(전)"))</f>
        <v/>
      </c>
      <c r="P2084" s="31">
        <f>IF(COUNTIFS($C:$C,$C2084,$D:$D,$D2084,$E:$E,"P0(전)",$M:$M,"&gt;0")&lt;&gt;1,"",SUMIFS($M:$M,$C:$C,$C2084,$D:$D,$D2084,$E:$E,"P0(전)"))</f>
        <v/>
      </c>
      <c r="Q2084" s="48">
        <f>IF(COUNTIFS($C:$C,$C2084,$D:$D,$D2084,$E:$E,"P0(후)",$M:$M,"&gt;0")&lt;&gt;1,"",SUMIFS($I:$I,$C:$C,$C2084,$D:$D,$D2084,$E:$E,"P0(후)"))</f>
        <v/>
      </c>
      <c r="R2084" s="31">
        <f>IF(COUNTIFS($C:$C,$C2084,$D:$D,$D2084,$E:$E,"P0(후)",$M:$M,"&gt;0")&lt;&gt;1,"",SUMIFS($M:$M,$C:$C,$C2084,$D:$D,$D2084,$E:$E,"P0(후)"))</f>
        <v/>
      </c>
      <c r="S2084" s="31">
        <f>IF(N2084&lt;&gt;"OK","",P2084+(R2084-P2084)*(I2084-O2084)/(Q2084-O2084))</f>
        <v/>
      </c>
      <c r="T2084" s="31">
        <f>IF(OR(N2084&lt;&gt;"OK",NOT(ISNUMBER(M2084))),"",M2084-S2084)</f>
        <v/>
      </c>
      <c r="U2084" s="49">
        <f>IF(OR(NOT(ISNUMBER(T2084)),IF(ISNUMBER(H2084),H2084,G2084)=0),"",T2084/IF(ISNUMBER(H2084),H2084,G2084))</f>
        <v/>
      </c>
      <c r="V2084" s="49">
        <f>IF(ISNUMBER(U2084),ABS(U2084),"")</f>
        <v/>
      </c>
      <c r="W2084" s="49">
        <f>IF(OR($E2083&lt;&gt;"측정",$C2083&lt;&gt;$C2084,$D2083&lt;&gt;$D2084,NOT(ISNUMBER(M2084)),NOT(ISNUMBER(M2083)),(IF(ISNUMBER(H2084),H2084,G2084)-IF(ISNUMBER(H2083),H2083,G2083))=0),"",(M2084-M2083)/(IF(ISNUMBER(H2084),H2084,G2084)-IF(ISNUMBER(H2083),H2083,G2083)))</f>
        <v/>
      </c>
      <c r="X2084" s="31">
        <f>IF(NOT(AND(ISNUMBER(O2084),ISNUMBER(Q2084))),"",(Q2084-O2084)*1440)</f>
        <v/>
      </c>
      <c r="Y2084" s="29" t="n"/>
      <c r="Z2084" s="29" t="n"/>
      <c r="AA2084" s="29" t="n"/>
      <c r="AB2084" s="32" t="n"/>
      <c r="AC2084" s="32" t="n"/>
    </row>
    <row r="2085">
      <c r="A2085" s="44" t="inlineStr">
        <is>
          <t>S40</t>
        </is>
      </c>
      <c r="B2085" s="44" t="inlineStr">
        <is>
          <t>남지</t>
        </is>
      </c>
      <c r="C2085" s="44" t="inlineStr">
        <is>
          <t>S40-H북</t>
        </is>
      </c>
      <c r="D2085" s="45" t="n">
        <v>1</v>
      </c>
      <c r="E2085" s="44" t="inlineStr">
        <is>
          <t>P0(후)</t>
        </is>
      </c>
      <c r="F2085" s="44" t="inlineStr">
        <is>
          <t>북</t>
        </is>
      </c>
      <c r="G2085" s="46" t="n"/>
      <c r="H2085" s="30" t="n"/>
      <c r="I2085" s="43" t="n"/>
      <c r="J2085" s="41" t="n"/>
      <c r="K2085" s="41" t="n"/>
      <c r="L2085" s="41" t="n"/>
      <c r="M2085" s="31">
        <f>IF(COUNT(J2085:L2085)=0,"",MEDIAN(J2085:L2085))</f>
        <v/>
      </c>
      <c r="N2085" s="38" t="n"/>
      <c r="O2085" s="38" t="n"/>
      <c r="P2085" s="38" t="n"/>
      <c r="Q2085" s="38" t="n"/>
      <c r="R2085" s="38" t="n"/>
      <c r="S2085" s="38" t="n"/>
      <c r="T2085" s="38" t="n"/>
      <c r="U2085" s="38" t="n"/>
      <c r="V2085" s="38" t="n"/>
      <c r="W2085" s="38" t="n"/>
      <c r="X2085" s="38" t="n"/>
      <c r="Y2085" s="29" t="n"/>
      <c r="Z2085" s="29" t="n"/>
      <c r="AA2085" s="29" t="n"/>
      <c r="AB2085" s="32" t="n"/>
      <c r="AC2085" s="32" t="n"/>
    </row>
    <row r="2086">
      <c r="A2086" s="44" t="inlineStr">
        <is>
          <t>S41</t>
        </is>
      </c>
      <c r="B2086" s="44" t="inlineStr">
        <is>
          <t>거제</t>
        </is>
      </c>
      <c r="C2086" s="44" t="inlineStr">
        <is>
          <t>S41-H동</t>
        </is>
      </c>
      <c r="D2086" s="45" t="n">
        <v>1</v>
      </c>
      <c r="E2086" s="44" t="inlineStr">
        <is>
          <t>P0(전)</t>
        </is>
      </c>
      <c r="F2086" s="44" t="inlineStr">
        <is>
          <t>동</t>
        </is>
      </c>
      <c r="G2086" s="46" t="n"/>
      <c r="H2086" s="30" t="n"/>
      <c r="I2086" s="43" t="n"/>
      <c r="J2086" s="41" t="n"/>
      <c r="K2086" s="41" t="n"/>
      <c r="L2086" s="41" t="n"/>
      <c r="M2086" s="31">
        <f>IF(COUNT(J2086:L2086)=0,"",MEDIAN(J2086:L2086))</f>
        <v/>
      </c>
      <c r="N2086" s="38" t="n"/>
      <c r="O2086" s="38" t="n"/>
      <c r="P2086" s="38" t="n"/>
      <c r="Q2086" s="38" t="n"/>
      <c r="R2086" s="38" t="n"/>
      <c r="S2086" s="38" t="n"/>
      <c r="T2086" s="38" t="n"/>
      <c r="U2086" s="38" t="n"/>
      <c r="V2086" s="38" t="n"/>
      <c r="W2086" s="38" t="n"/>
      <c r="X2086" s="38" t="n"/>
      <c r="Y2086" s="29" t="n"/>
      <c r="Z2086" s="29" t="n"/>
      <c r="AA2086" s="29" t="n"/>
      <c r="AB2086" s="32" t="n"/>
      <c r="AC2086" s="32" t="n"/>
    </row>
    <row r="2087">
      <c r="A2087" s="26" t="inlineStr">
        <is>
          <t>S41</t>
        </is>
      </c>
      <c r="B2087" s="26" t="inlineStr">
        <is>
          <t>거제</t>
        </is>
      </c>
      <c r="C2087" s="26" t="inlineStr">
        <is>
          <t>S41-H동</t>
        </is>
      </c>
      <c r="D2087" s="47" t="n">
        <v>1</v>
      </c>
      <c r="E2087" s="26" t="inlineStr">
        <is>
          <t>측정</t>
        </is>
      </c>
      <c r="F2087" s="26" t="inlineStr">
        <is>
          <t>동</t>
        </is>
      </c>
      <c r="G2087" s="31" t="n">
        <v>0.5</v>
      </c>
      <c r="H2087" s="30" t="n"/>
      <c r="I2087" s="43" t="n"/>
      <c r="J2087" s="41" t="n"/>
      <c r="K2087" s="41" t="n"/>
      <c r="L2087" s="41" t="n"/>
      <c r="M2087" s="31">
        <f>IF(COUNT(J2087:L2087)=0,"",MEDIAN(J2087:L2087))</f>
        <v/>
      </c>
      <c r="N2087" s="26">
        <f>IF(COUNTIFS($C:$C,$C2087,$D:$D,$D2087,$E:$E,"P0(전)",$M:$M,"&gt;0")&lt;&gt;1,"P0(전) 유효 1개 아님",IF(COUNTIFS($C:$C,$C2087,$D:$D,$D2087,$E:$E,"P0(후)",$M:$M,"&gt;0")&lt;&gt;1,"P0(후) 유효 1개 아님",IF(NOT(AND(ISNUMBER(O2087),ISNUMBER(Q2087),ISNUMBER(I2087))),"시각 결측",IF(Q2087&lt;=O2087,"P0 시각 역전",IF(OR(I2087&lt;O2087,I2087&gt;Q2087),"측정시각 구간 밖","OK")))))</f>
        <v/>
      </c>
      <c r="O2087" s="48">
        <f>IF(COUNTIFS($C:$C,$C2087,$D:$D,$D2087,$E:$E,"P0(전)",$M:$M,"&gt;0")&lt;&gt;1,"",SUMIFS($I:$I,$C:$C,$C2087,$D:$D,$D2087,$E:$E,"P0(전)"))</f>
        <v/>
      </c>
      <c r="P2087" s="31">
        <f>IF(COUNTIFS($C:$C,$C2087,$D:$D,$D2087,$E:$E,"P0(전)",$M:$M,"&gt;0")&lt;&gt;1,"",SUMIFS($M:$M,$C:$C,$C2087,$D:$D,$D2087,$E:$E,"P0(전)"))</f>
        <v/>
      </c>
      <c r="Q2087" s="48">
        <f>IF(COUNTIFS($C:$C,$C2087,$D:$D,$D2087,$E:$E,"P0(후)",$M:$M,"&gt;0")&lt;&gt;1,"",SUMIFS($I:$I,$C:$C,$C2087,$D:$D,$D2087,$E:$E,"P0(후)"))</f>
        <v/>
      </c>
      <c r="R2087" s="31">
        <f>IF(COUNTIFS($C:$C,$C2087,$D:$D,$D2087,$E:$E,"P0(후)",$M:$M,"&gt;0")&lt;&gt;1,"",SUMIFS($M:$M,$C:$C,$C2087,$D:$D,$D2087,$E:$E,"P0(후)"))</f>
        <v/>
      </c>
      <c r="S2087" s="31">
        <f>IF(N2087&lt;&gt;"OK","",P2087+(R2087-P2087)*(I2087-O2087)/(Q2087-O2087))</f>
        <v/>
      </c>
      <c r="T2087" s="31">
        <f>IF(OR(N2087&lt;&gt;"OK",NOT(ISNUMBER(M2087))),"",M2087-S2087)</f>
        <v/>
      </c>
      <c r="U2087" s="49">
        <f>IF(OR(NOT(ISNUMBER(T2087)),IF(ISNUMBER(H2087),H2087,G2087)=0),"",T2087/IF(ISNUMBER(H2087),H2087,G2087))</f>
        <v/>
      </c>
      <c r="V2087" s="49">
        <f>IF(ISNUMBER(U2087),ABS(U2087),"")</f>
        <v/>
      </c>
      <c r="W2087" s="49">
        <f>IF(OR($E2086&lt;&gt;"측정",$C2086&lt;&gt;$C2087,$D2086&lt;&gt;$D2087,NOT(ISNUMBER(M2087)),NOT(ISNUMBER(M2086)),(IF(ISNUMBER(H2087),H2087,G2087)-IF(ISNUMBER(H2086),H2086,G2086))=0),"",(M2087-M2086)/(IF(ISNUMBER(H2087),H2087,G2087)-IF(ISNUMBER(H2086),H2086,G2086)))</f>
        <v/>
      </c>
      <c r="X2087" s="31">
        <f>IF(NOT(AND(ISNUMBER(O2087),ISNUMBER(Q2087))),"",(Q2087-O2087)*1440)</f>
        <v/>
      </c>
      <c r="Y2087" s="29" t="n"/>
      <c r="Z2087" s="29" t="n"/>
      <c r="AA2087" s="29" t="n"/>
      <c r="AB2087" s="32" t="n"/>
      <c r="AC2087" s="32" t="n"/>
    </row>
    <row r="2088">
      <c r="A2088" s="26" t="inlineStr">
        <is>
          <t>S41</t>
        </is>
      </c>
      <c r="B2088" s="26" t="inlineStr">
        <is>
          <t>거제</t>
        </is>
      </c>
      <c r="C2088" s="26" t="inlineStr">
        <is>
          <t>S41-H동</t>
        </is>
      </c>
      <c r="D2088" s="47" t="n">
        <v>1</v>
      </c>
      <c r="E2088" s="26" t="inlineStr">
        <is>
          <t>측정</t>
        </is>
      </c>
      <c r="F2088" s="26" t="inlineStr">
        <is>
          <t>동</t>
        </is>
      </c>
      <c r="G2088" s="31" t="n">
        <v>1</v>
      </c>
      <c r="H2088" s="30" t="n"/>
      <c r="I2088" s="43" t="n"/>
      <c r="J2088" s="41" t="n"/>
      <c r="K2088" s="41" t="n"/>
      <c r="L2088" s="41" t="n"/>
      <c r="M2088" s="31">
        <f>IF(COUNT(J2088:L2088)=0,"",MEDIAN(J2088:L2088))</f>
        <v/>
      </c>
      <c r="N2088" s="26">
        <f>IF(COUNTIFS($C:$C,$C2088,$D:$D,$D2088,$E:$E,"P0(전)",$M:$M,"&gt;0")&lt;&gt;1,"P0(전) 유효 1개 아님",IF(COUNTIFS($C:$C,$C2088,$D:$D,$D2088,$E:$E,"P0(후)",$M:$M,"&gt;0")&lt;&gt;1,"P0(후) 유효 1개 아님",IF(NOT(AND(ISNUMBER(O2088),ISNUMBER(Q2088),ISNUMBER(I2088))),"시각 결측",IF(Q2088&lt;=O2088,"P0 시각 역전",IF(OR(I2088&lt;O2088,I2088&gt;Q2088),"측정시각 구간 밖","OK")))))</f>
        <v/>
      </c>
      <c r="O2088" s="48">
        <f>IF(COUNTIFS($C:$C,$C2088,$D:$D,$D2088,$E:$E,"P0(전)",$M:$M,"&gt;0")&lt;&gt;1,"",SUMIFS($I:$I,$C:$C,$C2088,$D:$D,$D2088,$E:$E,"P0(전)"))</f>
        <v/>
      </c>
      <c r="P2088" s="31">
        <f>IF(COUNTIFS($C:$C,$C2088,$D:$D,$D2088,$E:$E,"P0(전)",$M:$M,"&gt;0")&lt;&gt;1,"",SUMIFS($M:$M,$C:$C,$C2088,$D:$D,$D2088,$E:$E,"P0(전)"))</f>
        <v/>
      </c>
      <c r="Q2088" s="48">
        <f>IF(COUNTIFS($C:$C,$C2088,$D:$D,$D2088,$E:$E,"P0(후)",$M:$M,"&gt;0")&lt;&gt;1,"",SUMIFS($I:$I,$C:$C,$C2088,$D:$D,$D2088,$E:$E,"P0(후)"))</f>
        <v/>
      </c>
      <c r="R2088" s="31">
        <f>IF(COUNTIFS($C:$C,$C2088,$D:$D,$D2088,$E:$E,"P0(후)",$M:$M,"&gt;0")&lt;&gt;1,"",SUMIFS($M:$M,$C:$C,$C2088,$D:$D,$D2088,$E:$E,"P0(후)"))</f>
        <v/>
      </c>
      <c r="S2088" s="31">
        <f>IF(N2088&lt;&gt;"OK","",P2088+(R2088-P2088)*(I2088-O2088)/(Q2088-O2088))</f>
        <v/>
      </c>
      <c r="T2088" s="31">
        <f>IF(OR(N2088&lt;&gt;"OK",NOT(ISNUMBER(M2088))),"",M2088-S2088)</f>
        <v/>
      </c>
      <c r="U2088" s="49">
        <f>IF(OR(NOT(ISNUMBER(T2088)),IF(ISNUMBER(H2088),H2088,G2088)=0),"",T2088/IF(ISNUMBER(H2088),H2088,G2088))</f>
        <v/>
      </c>
      <c r="V2088" s="49">
        <f>IF(ISNUMBER(U2088),ABS(U2088),"")</f>
        <v/>
      </c>
      <c r="W2088" s="49">
        <f>IF(OR($E2087&lt;&gt;"측정",$C2087&lt;&gt;$C2088,$D2087&lt;&gt;$D2088,NOT(ISNUMBER(M2088)),NOT(ISNUMBER(M2087)),(IF(ISNUMBER(H2088),H2088,G2088)-IF(ISNUMBER(H2087),H2087,G2087))=0),"",(M2088-M2087)/(IF(ISNUMBER(H2088),H2088,G2088)-IF(ISNUMBER(H2087),H2087,G2087)))</f>
        <v/>
      </c>
      <c r="X2088" s="31">
        <f>IF(NOT(AND(ISNUMBER(O2088),ISNUMBER(Q2088))),"",(Q2088-O2088)*1440)</f>
        <v/>
      </c>
      <c r="Y2088" s="29" t="n"/>
      <c r="Z2088" s="29" t="n"/>
      <c r="AA2088" s="29" t="n"/>
      <c r="AB2088" s="32" t="n"/>
      <c r="AC2088" s="32" t="n"/>
    </row>
    <row r="2089">
      <c r="A2089" s="26" t="inlineStr">
        <is>
          <t>S41</t>
        </is>
      </c>
      <c r="B2089" s="26" t="inlineStr">
        <is>
          <t>거제</t>
        </is>
      </c>
      <c r="C2089" s="26" t="inlineStr">
        <is>
          <t>S41-H동</t>
        </is>
      </c>
      <c r="D2089" s="47" t="n">
        <v>1</v>
      </c>
      <c r="E2089" s="26" t="inlineStr">
        <is>
          <t>측정</t>
        </is>
      </c>
      <c r="F2089" s="26" t="inlineStr">
        <is>
          <t>동</t>
        </is>
      </c>
      <c r="G2089" s="31" t="n">
        <v>2</v>
      </c>
      <c r="H2089" s="30" t="n"/>
      <c r="I2089" s="43" t="n"/>
      <c r="J2089" s="41" t="n"/>
      <c r="K2089" s="41" t="n"/>
      <c r="L2089" s="41" t="n"/>
      <c r="M2089" s="31">
        <f>IF(COUNT(J2089:L2089)=0,"",MEDIAN(J2089:L2089))</f>
        <v/>
      </c>
      <c r="N2089" s="26">
        <f>IF(COUNTIFS($C:$C,$C2089,$D:$D,$D2089,$E:$E,"P0(전)",$M:$M,"&gt;0")&lt;&gt;1,"P0(전) 유효 1개 아님",IF(COUNTIFS($C:$C,$C2089,$D:$D,$D2089,$E:$E,"P0(후)",$M:$M,"&gt;0")&lt;&gt;1,"P0(후) 유효 1개 아님",IF(NOT(AND(ISNUMBER(O2089),ISNUMBER(Q2089),ISNUMBER(I2089))),"시각 결측",IF(Q2089&lt;=O2089,"P0 시각 역전",IF(OR(I2089&lt;O2089,I2089&gt;Q2089),"측정시각 구간 밖","OK")))))</f>
        <v/>
      </c>
      <c r="O2089" s="48">
        <f>IF(COUNTIFS($C:$C,$C2089,$D:$D,$D2089,$E:$E,"P0(전)",$M:$M,"&gt;0")&lt;&gt;1,"",SUMIFS($I:$I,$C:$C,$C2089,$D:$D,$D2089,$E:$E,"P0(전)"))</f>
        <v/>
      </c>
      <c r="P2089" s="31">
        <f>IF(COUNTIFS($C:$C,$C2089,$D:$D,$D2089,$E:$E,"P0(전)",$M:$M,"&gt;0")&lt;&gt;1,"",SUMIFS($M:$M,$C:$C,$C2089,$D:$D,$D2089,$E:$E,"P0(전)"))</f>
        <v/>
      </c>
      <c r="Q2089" s="48">
        <f>IF(COUNTIFS($C:$C,$C2089,$D:$D,$D2089,$E:$E,"P0(후)",$M:$M,"&gt;0")&lt;&gt;1,"",SUMIFS($I:$I,$C:$C,$C2089,$D:$D,$D2089,$E:$E,"P0(후)"))</f>
        <v/>
      </c>
      <c r="R2089" s="31">
        <f>IF(COUNTIFS($C:$C,$C2089,$D:$D,$D2089,$E:$E,"P0(후)",$M:$M,"&gt;0")&lt;&gt;1,"",SUMIFS($M:$M,$C:$C,$C2089,$D:$D,$D2089,$E:$E,"P0(후)"))</f>
        <v/>
      </c>
      <c r="S2089" s="31">
        <f>IF(N2089&lt;&gt;"OK","",P2089+(R2089-P2089)*(I2089-O2089)/(Q2089-O2089))</f>
        <v/>
      </c>
      <c r="T2089" s="31">
        <f>IF(OR(N2089&lt;&gt;"OK",NOT(ISNUMBER(M2089))),"",M2089-S2089)</f>
        <v/>
      </c>
      <c r="U2089" s="49">
        <f>IF(OR(NOT(ISNUMBER(T2089)),IF(ISNUMBER(H2089),H2089,G2089)=0),"",T2089/IF(ISNUMBER(H2089),H2089,G2089))</f>
        <v/>
      </c>
      <c r="V2089" s="49">
        <f>IF(ISNUMBER(U2089),ABS(U2089),"")</f>
        <v/>
      </c>
      <c r="W2089" s="49">
        <f>IF(OR($E2088&lt;&gt;"측정",$C2088&lt;&gt;$C2089,$D2088&lt;&gt;$D2089,NOT(ISNUMBER(M2089)),NOT(ISNUMBER(M2088)),(IF(ISNUMBER(H2089),H2089,G2089)-IF(ISNUMBER(H2088),H2088,G2088))=0),"",(M2089-M2088)/(IF(ISNUMBER(H2089),H2089,G2089)-IF(ISNUMBER(H2088),H2088,G2088)))</f>
        <v/>
      </c>
      <c r="X2089" s="31">
        <f>IF(NOT(AND(ISNUMBER(O2089),ISNUMBER(Q2089))),"",(Q2089-O2089)*1440)</f>
        <v/>
      </c>
      <c r="Y2089" s="29" t="n"/>
      <c r="Z2089" s="29" t="n"/>
      <c r="AA2089" s="29" t="n"/>
      <c r="AB2089" s="32" t="n"/>
      <c r="AC2089" s="32" t="n"/>
    </row>
    <row r="2090">
      <c r="A2090" s="26" t="inlineStr">
        <is>
          <t>S41</t>
        </is>
      </c>
      <c r="B2090" s="26" t="inlineStr">
        <is>
          <t>거제</t>
        </is>
      </c>
      <c r="C2090" s="26" t="inlineStr">
        <is>
          <t>S41-H동</t>
        </is>
      </c>
      <c r="D2090" s="47" t="n">
        <v>1</v>
      </c>
      <c r="E2090" s="26" t="inlineStr">
        <is>
          <t>측정</t>
        </is>
      </c>
      <c r="F2090" s="26" t="inlineStr">
        <is>
          <t>동</t>
        </is>
      </c>
      <c r="G2090" s="31" t="n">
        <v>3</v>
      </c>
      <c r="H2090" s="30" t="n"/>
      <c r="I2090" s="43" t="n"/>
      <c r="J2090" s="41" t="n"/>
      <c r="K2090" s="41" t="n"/>
      <c r="L2090" s="41" t="n"/>
      <c r="M2090" s="31">
        <f>IF(COUNT(J2090:L2090)=0,"",MEDIAN(J2090:L2090))</f>
        <v/>
      </c>
      <c r="N2090" s="26">
        <f>IF(COUNTIFS($C:$C,$C2090,$D:$D,$D2090,$E:$E,"P0(전)",$M:$M,"&gt;0")&lt;&gt;1,"P0(전) 유효 1개 아님",IF(COUNTIFS($C:$C,$C2090,$D:$D,$D2090,$E:$E,"P0(후)",$M:$M,"&gt;0")&lt;&gt;1,"P0(후) 유효 1개 아님",IF(NOT(AND(ISNUMBER(O2090),ISNUMBER(Q2090),ISNUMBER(I2090))),"시각 결측",IF(Q2090&lt;=O2090,"P0 시각 역전",IF(OR(I2090&lt;O2090,I2090&gt;Q2090),"측정시각 구간 밖","OK")))))</f>
        <v/>
      </c>
      <c r="O2090" s="48">
        <f>IF(COUNTIFS($C:$C,$C2090,$D:$D,$D2090,$E:$E,"P0(전)",$M:$M,"&gt;0")&lt;&gt;1,"",SUMIFS($I:$I,$C:$C,$C2090,$D:$D,$D2090,$E:$E,"P0(전)"))</f>
        <v/>
      </c>
      <c r="P2090" s="31">
        <f>IF(COUNTIFS($C:$C,$C2090,$D:$D,$D2090,$E:$E,"P0(전)",$M:$M,"&gt;0")&lt;&gt;1,"",SUMIFS($M:$M,$C:$C,$C2090,$D:$D,$D2090,$E:$E,"P0(전)"))</f>
        <v/>
      </c>
      <c r="Q2090" s="48">
        <f>IF(COUNTIFS($C:$C,$C2090,$D:$D,$D2090,$E:$E,"P0(후)",$M:$M,"&gt;0")&lt;&gt;1,"",SUMIFS($I:$I,$C:$C,$C2090,$D:$D,$D2090,$E:$E,"P0(후)"))</f>
        <v/>
      </c>
      <c r="R2090" s="31">
        <f>IF(COUNTIFS($C:$C,$C2090,$D:$D,$D2090,$E:$E,"P0(후)",$M:$M,"&gt;0")&lt;&gt;1,"",SUMIFS($M:$M,$C:$C,$C2090,$D:$D,$D2090,$E:$E,"P0(후)"))</f>
        <v/>
      </c>
      <c r="S2090" s="31">
        <f>IF(N2090&lt;&gt;"OK","",P2090+(R2090-P2090)*(I2090-O2090)/(Q2090-O2090))</f>
        <v/>
      </c>
      <c r="T2090" s="31">
        <f>IF(OR(N2090&lt;&gt;"OK",NOT(ISNUMBER(M2090))),"",M2090-S2090)</f>
        <v/>
      </c>
      <c r="U2090" s="49">
        <f>IF(OR(NOT(ISNUMBER(T2090)),IF(ISNUMBER(H2090),H2090,G2090)=0),"",T2090/IF(ISNUMBER(H2090),H2090,G2090))</f>
        <v/>
      </c>
      <c r="V2090" s="49">
        <f>IF(ISNUMBER(U2090),ABS(U2090),"")</f>
        <v/>
      </c>
      <c r="W2090" s="49">
        <f>IF(OR($E2089&lt;&gt;"측정",$C2089&lt;&gt;$C2090,$D2089&lt;&gt;$D2090,NOT(ISNUMBER(M2090)),NOT(ISNUMBER(M2089)),(IF(ISNUMBER(H2090),H2090,G2090)-IF(ISNUMBER(H2089),H2089,G2089))=0),"",(M2090-M2089)/(IF(ISNUMBER(H2090),H2090,G2090)-IF(ISNUMBER(H2089),H2089,G2089)))</f>
        <v/>
      </c>
      <c r="X2090" s="31">
        <f>IF(NOT(AND(ISNUMBER(O2090),ISNUMBER(Q2090))),"",(Q2090-O2090)*1440)</f>
        <v/>
      </c>
      <c r="Y2090" s="29" t="n"/>
      <c r="Z2090" s="29" t="n"/>
      <c r="AA2090" s="29" t="n"/>
      <c r="AB2090" s="32" t="n"/>
      <c r="AC2090" s="32" t="n"/>
    </row>
    <row r="2091">
      <c r="A2091" s="26" t="inlineStr">
        <is>
          <t>S41</t>
        </is>
      </c>
      <c r="B2091" s="26" t="inlineStr">
        <is>
          <t>거제</t>
        </is>
      </c>
      <c r="C2091" s="26" t="inlineStr">
        <is>
          <t>S41-H동</t>
        </is>
      </c>
      <c r="D2091" s="47" t="n">
        <v>1</v>
      </c>
      <c r="E2091" s="26" t="inlineStr">
        <is>
          <t>측정</t>
        </is>
      </c>
      <c r="F2091" s="26" t="inlineStr">
        <is>
          <t>동</t>
        </is>
      </c>
      <c r="G2091" s="31" t="n">
        <v>4</v>
      </c>
      <c r="H2091" s="30" t="n"/>
      <c r="I2091" s="43" t="n"/>
      <c r="J2091" s="41" t="n"/>
      <c r="K2091" s="41" t="n"/>
      <c r="L2091" s="41" t="n"/>
      <c r="M2091" s="31">
        <f>IF(COUNT(J2091:L2091)=0,"",MEDIAN(J2091:L2091))</f>
        <v/>
      </c>
      <c r="N2091" s="26">
        <f>IF(COUNTIFS($C:$C,$C2091,$D:$D,$D2091,$E:$E,"P0(전)",$M:$M,"&gt;0")&lt;&gt;1,"P0(전) 유효 1개 아님",IF(COUNTIFS($C:$C,$C2091,$D:$D,$D2091,$E:$E,"P0(후)",$M:$M,"&gt;0")&lt;&gt;1,"P0(후) 유효 1개 아님",IF(NOT(AND(ISNUMBER(O2091),ISNUMBER(Q2091),ISNUMBER(I2091))),"시각 결측",IF(Q2091&lt;=O2091,"P0 시각 역전",IF(OR(I2091&lt;O2091,I2091&gt;Q2091),"측정시각 구간 밖","OK")))))</f>
        <v/>
      </c>
      <c r="O2091" s="48">
        <f>IF(COUNTIFS($C:$C,$C2091,$D:$D,$D2091,$E:$E,"P0(전)",$M:$M,"&gt;0")&lt;&gt;1,"",SUMIFS($I:$I,$C:$C,$C2091,$D:$D,$D2091,$E:$E,"P0(전)"))</f>
        <v/>
      </c>
      <c r="P2091" s="31">
        <f>IF(COUNTIFS($C:$C,$C2091,$D:$D,$D2091,$E:$E,"P0(전)",$M:$M,"&gt;0")&lt;&gt;1,"",SUMIFS($M:$M,$C:$C,$C2091,$D:$D,$D2091,$E:$E,"P0(전)"))</f>
        <v/>
      </c>
      <c r="Q2091" s="48">
        <f>IF(COUNTIFS($C:$C,$C2091,$D:$D,$D2091,$E:$E,"P0(후)",$M:$M,"&gt;0")&lt;&gt;1,"",SUMIFS($I:$I,$C:$C,$C2091,$D:$D,$D2091,$E:$E,"P0(후)"))</f>
        <v/>
      </c>
      <c r="R2091" s="31">
        <f>IF(COUNTIFS($C:$C,$C2091,$D:$D,$D2091,$E:$E,"P0(후)",$M:$M,"&gt;0")&lt;&gt;1,"",SUMIFS($M:$M,$C:$C,$C2091,$D:$D,$D2091,$E:$E,"P0(후)"))</f>
        <v/>
      </c>
      <c r="S2091" s="31">
        <f>IF(N2091&lt;&gt;"OK","",P2091+(R2091-P2091)*(I2091-O2091)/(Q2091-O2091))</f>
        <v/>
      </c>
      <c r="T2091" s="31">
        <f>IF(OR(N2091&lt;&gt;"OK",NOT(ISNUMBER(M2091))),"",M2091-S2091)</f>
        <v/>
      </c>
      <c r="U2091" s="49">
        <f>IF(OR(NOT(ISNUMBER(T2091)),IF(ISNUMBER(H2091),H2091,G2091)=0),"",T2091/IF(ISNUMBER(H2091),H2091,G2091))</f>
        <v/>
      </c>
      <c r="V2091" s="49">
        <f>IF(ISNUMBER(U2091),ABS(U2091),"")</f>
        <v/>
      </c>
      <c r="W2091" s="49">
        <f>IF(OR($E2090&lt;&gt;"측정",$C2090&lt;&gt;$C2091,$D2090&lt;&gt;$D2091,NOT(ISNUMBER(M2091)),NOT(ISNUMBER(M2090)),(IF(ISNUMBER(H2091),H2091,G2091)-IF(ISNUMBER(H2090),H2090,G2090))=0),"",(M2091-M2090)/(IF(ISNUMBER(H2091),H2091,G2091)-IF(ISNUMBER(H2090),H2090,G2090)))</f>
        <v/>
      </c>
      <c r="X2091" s="31">
        <f>IF(NOT(AND(ISNUMBER(O2091),ISNUMBER(Q2091))),"",(Q2091-O2091)*1440)</f>
        <v/>
      </c>
      <c r="Y2091" s="29" t="n"/>
      <c r="Z2091" s="29" t="n"/>
      <c r="AA2091" s="29" t="n"/>
      <c r="AB2091" s="32" t="n"/>
      <c r="AC2091" s="32" t="n"/>
    </row>
    <row r="2092">
      <c r="A2092" s="26" t="inlineStr">
        <is>
          <t>S41</t>
        </is>
      </c>
      <c r="B2092" s="26" t="inlineStr">
        <is>
          <t>거제</t>
        </is>
      </c>
      <c r="C2092" s="26" t="inlineStr">
        <is>
          <t>S41-H동</t>
        </is>
      </c>
      <c r="D2092" s="47" t="n">
        <v>1</v>
      </c>
      <c r="E2092" s="26" t="inlineStr">
        <is>
          <t>측정</t>
        </is>
      </c>
      <c r="F2092" s="26" t="inlineStr">
        <is>
          <t>동</t>
        </is>
      </c>
      <c r="G2092" s="31" t="n">
        <v>5</v>
      </c>
      <c r="H2092" s="30" t="n"/>
      <c r="I2092" s="43" t="n"/>
      <c r="J2092" s="41" t="n"/>
      <c r="K2092" s="41" t="n"/>
      <c r="L2092" s="41" t="n"/>
      <c r="M2092" s="31">
        <f>IF(COUNT(J2092:L2092)=0,"",MEDIAN(J2092:L2092))</f>
        <v/>
      </c>
      <c r="N2092" s="26">
        <f>IF(COUNTIFS($C:$C,$C2092,$D:$D,$D2092,$E:$E,"P0(전)",$M:$M,"&gt;0")&lt;&gt;1,"P0(전) 유효 1개 아님",IF(COUNTIFS($C:$C,$C2092,$D:$D,$D2092,$E:$E,"P0(후)",$M:$M,"&gt;0")&lt;&gt;1,"P0(후) 유효 1개 아님",IF(NOT(AND(ISNUMBER(O2092),ISNUMBER(Q2092),ISNUMBER(I2092))),"시각 결측",IF(Q2092&lt;=O2092,"P0 시각 역전",IF(OR(I2092&lt;O2092,I2092&gt;Q2092),"측정시각 구간 밖","OK")))))</f>
        <v/>
      </c>
      <c r="O2092" s="48">
        <f>IF(COUNTIFS($C:$C,$C2092,$D:$D,$D2092,$E:$E,"P0(전)",$M:$M,"&gt;0")&lt;&gt;1,"",SUMIFS($I:$I,$C:$C,$C2092,$D:$D,$D2092,$E:$E,"P0(전)"))</f>
        <v/>
      </c>
      <c r="P2092" s="31">
        <f>IF(COUNTIFS($C:$C,$C2092,$D:$D,$D2092,$E:$E,"P0(전)",$M:$M,"&gt;0")&lt;&gt;1,"",SUMIFS($M:$M,$C:$C,$C2092,$D:$D,$D2092,$E:$E,"P0(전)"))</f>
        <v/>
      </c>
      <c r="Q2092" s="48">
        <f>IF(COUNTIFS($C:$C,$C2092,$D:$D,$D2092,$E:$E,"P0(후)",$M:$M,"&gt;0")&lt;&gt;1,"",SUMIFS($I:$I,$C:$C,$C2092,$D:$D,$D2092,$E:$E,"P0(후)"))</f>
        <v/>
      </c>
      <c r="R2092" s="31">
        <f>IF(COUNTIFS($C:$C,$C2092,$D:$D,$D2092,$E:$E,"P0(후)",$M:$M,"&gt;0")&lt;&gt;1,"",SUMIFS($M:$M,$C:$C,$C2092,$D:$D,$D2092,$E:$E,"P0(후)"))</f>
        <v/>
      </c>
      <c r="S2092" s="31">
        <f>IF(N2092&lt;&gt;"OK","",P2092+(R2092-P2092)*(I2092-O2092)/(Q2092-O2092))</f>
        <v/>
      </c>
      <c r="T2092" s="31">
        <f>IF(OR(N2092&lt;&gt;"OK",NOT(ISNUMBER(M2092))),"",M2092-S2092)</f>
        <v/>
      </c>
      <c r="U2092" s="49">
        <f>IF(OR(NOT(ISNUMBER(T2092)),IF(ISNUMBER(H2092),H2092,G2092)=0),"",T2092/IF(ISNUMBER(H2092),H2092,G2092))</f>
        <v/>
      </c>
      <c r="V2092" s="49">
        <f>IF(ISNUMBER(U2092),ABS(U2092),"")</f>
        <v/>
      </c>
      <c r="W2092" s="49">
        <f>IF(OR($E2091&lt;&gt;"측정",$C2091&lt;&gt;$C2092,$D2091&lt;&gt;$D2092,NOT(ISNUMBER(M2092)),NOT(ISNUMBER(M2091)),(IF(ISNUMBER(H2092),H2092,G2092)-IF(ISNUMBER(H2091),H2091,G2091))=0),"",(M2092-M2091)/(IF(ISNUMBER(H2092),H2092,G2092)-IF(ISNUMBER(H2091),H2091,G2091)))</f>
        <v/>
      </c>
      <c r="X2092" s="31">
        <f>IF(NOT(AND(ISNUMBER(O2092),ISNUMBER(Q2092))),"",(Q2092-O2092)*1440)</f>
        <v/>
      </c>
      <c r="Y2092" s="29" t="n"/>
      <c r="Z2092" s="29" t="n"/>
      <c r="AA2092" s="29" t="n"/>
      <c r="AB2092" s="32" t="n"/>
      <c r="AC2092" s="32" t="n"/>
    </row>
    <row r="2093">
      <c r="A2093" s="26" t="inlineStr">
        <is>
          <t>S41</t>
        </is>
      </c>
      <c r="B2093" s="26" t="inlineStr">
        <is>
          <t>거제</t>
        </is>
      </c>
      <c r="C2093" s="26" t="inlineStr">
        <is>
          <t>S41-H동</t>
        </is>
      </c>
      <c r="D2093" s="47" t="n">
        <v>1</v>
      </c>
      <c r="E2093" s="26" t="inlineStr">
        <is>
          <t>측정</t>
        </is>
      </c>
      <c r="F2093" s="26" t="inlineStr">
        <is>
          <t>동</t>
        </is>
      </c>
      <c r="G2093" s="31" t="n">
        <v>6</v>
      </c>
      <c r="H2093" s="30" t="n"/>
      <c r="I2093" s="43" t="n"/>
      <c r="J2093" s="41" t="n"/>
      <c r="K2093" s="41" t="n"/>
      <c r="L2093" s="41" t="n"/>
      <c r="M2093" s="31">
        <f>IF(COUNT(J2093:L2093)=0,"",MEDIAN(J2093:L2093))</f>
        <v/>
      </c>
      <c r="N2093" s="26">
        <f>IF(COUNTIFS($C:$C,$C2093,$D:$D,$D2093,$E:$E,"P0(전)",$M:$M,"&gt;0")&lt;&gt;1,"P0(전) 유효 1개 아님",IF(COUNTIFS($C:$C,$C2093,$D:$D,$D2093,$E:$E,"P0(후)",$M:$M,"&gt;0")&lt;&gt;1,"P0(후) 유효 1개 아님",IF(NOT(AND(ISNUMBER(O2093),ISNUMBER(Q2093),ISNUMBER(I2093))),"시각 결측",IF(Q2093&lt;=O2093,"P0 시각 역전",IF(OR(I2093&lt;O2093,I2093&gt;Q2093),"측정시각 구간 밖","OK")))))</f>
        <v/>
      </c>
      <c r="O2093" s="48">
        <f>IF(COUNTIFS($C:$C,$C2093,$D:$D,$D2093,$E:$E,"P0(전)",$M:$M,"&gt;0")&lt;&gt;1,"",SUMIFS($I:$I,$C:$C,$C2093,$D:$D,$D2093,$E:$E,"P0(전)"))</f>
        <v/>
      </c>
      <c r="P2093" s="31">
        <f>IF(COUNTIFS($C:$C,$C2093,$D:$D,$D2093,$E:$E,"P0(전)",$M:$M,"&gt;0")&lt;&gt;1,"",SUMIFS($M:$M,$C:$C,$C2093,$D:$D,$D2093,$E:$E,"P0(전)"))</f>
        <v/>
      </c>
      <c r="Q2093" s="48">
        <f>IF(COUNTIFS($C:$C,$C2093,$D:$D,$D2093,$E:$E,"P0(후)",$M:$M,"&gt;0")&lt;&gt;1,"",SUMIFS($I:$I,$C:$C,$C2093,$D:$D,$D2093,$E:$E,"P0(후)"))</f>
        <v/>
      </c>
      <c r="R2093" s="31">
        <f>IF(COUNTIFS($C:$C,$C2093,$D:$D,$D2093,$E:$E,"P0(후)",$M:$M,"&gt;0")&lt;&gt;1,"",SUMIFS($M:$M,$C:$C,$C2093,$D:$D,$D2093,$E:$E,"P0(후)"))</f>
        <v/>
      </c>
      <c r="S2093" s="31">
        <f>IF(N2093&lt;&gt;"OK","",P2093+(R2093-P2093)*(I2093-O2093)/(Q2093-O2093))</f>
        <v/>
      </c>
      <c r="T2093" s="31">
        <f>IF(OR(N2093&lt;&gt;"OK",NOT(ISNUMBER(M2093))),"",M2093-S2093)</f>
        <v/>
      </c>
      <c r="U2093" s="49">
        <f>IF(OR(NOT(ISNUMBER(T2093)),IF(ISNUMBER(H2093),H2093,G2093)=0),"",T2093/IF(ISNUMBER(H2093),H2093,G2093))</f>
        <v/>
      </c>
      <c r="V2093" s="49">
        <f>IF(ISNUMBER(U2093),ABS(U2093),"")</f>
        <v/>
      </c>
      <c r="W2093" s="49">
        <f>IF(OR($E2092&lt;&gt;"측정",$C2092&lt;&gt;$C2093,$D2092&lt;&gt;$D2093,NOT(ISNUMBER(M2093)),NOT(ISNUMBER(M2092)),(IF(ISNUMBER(H2093),H2093,G2093)-IF(ISNUMBER(H2092),H2092,G2092))=0),"",(M2093-M2092)/(IF(ISNUMBER(H2093),H2093,G2093)-IF(ISNUMBER(H2092),H2092,G2092)))</f>
        <v/>
      </c>
      <c r="X2093" s="31">
        <f>IF(NOT(AND(ISNUMBER(O2093),ISNUMBER(Q2093))),"",(Q2093-O2093)*1440)</f>
        <v/>
      </c>
      <c r="Y2093" s="29" t="n"/>
      <c r="Z2093" s="29" t="n"/>
      <c r="AA2093" s="29" t="n"/>
      <c r="AB2093" s="32" t="n"/>
      <c r="AC2093" s="32" t="n"/>
    </row>
    <row r="2094">
      <c r="A2094" s="26" t="inlineStr">
        <is>
          <t>S41</t>
        </is>
      </c>
      <c r="B2094" s="26" t="inlineStr">
        <is>
          <t>거제</t>
        </is>
      </c>
      <c r="C2094" s="26" t="inlineStr">
        <is>
          <t>S41-H동</t>
        </is>
      </c>
      <c r="D2094" s="47" t="n">
        <v>1</v>
      </c>
      <c r="E2094" s="26" t="inlineStr">
        <is>
          <t>측정</t>
        </is>
      </c>
      <c r="F2094" s="26" t="inlineStr">
        <is>
          <t>동</t>
        </is>
      </c>
      <c r="G2094" s="31" t="n">
        <v>7</v>
      </c>
      <c r="H2094" s="30" t="n"/>
      <c r="I2094" s="43" t="n"/>
      <c r="J2094" s="41" t="n"/>
      <c r="K2094" s="41" t="n"/>
      <c r="L2094" s="41" t="n"/>
      <c r="M2094" s="31">
        <f>IF(COUNT(J2094:L2094)=0,"",MEDIAN(J2094:L2094))</f>
        <v/>
      </c>
      <c r="N2094" s="26">
        <f>IF(COUNTIFS($C:$C,$C2094,$D:$D,$D2094,$E:$E,"P0(전)",$M:$M,"&gt;0")&lt;&gt;1,"P0(전) 유효 1개 아님",IF(COUNTIFS($C:$C,$C2094,$D:$D,$D2094,$E:$E,"P0(후)",$M:$M,"&gt;0")&lt;&gt;1,"P0(후) 유효 1개 아님",IF(NOT(AND(ISNUMBER(O2094),ISNUMBER(Q2094),ISNUMBER(I2094))),"시각 결측",IF(Q2094&lt;=O2094,"P0 시각 역전",IF(OR(I2094&lt;O2094,I2094&gt;Q2094),"측정시각 구간 밖","OK")))))</f>
        <v/>
      </c>
      <c r="O2094" s="48">
        <f>IF(COUNTIFS($C:$C,$C2094,$D:$D,$D2094,$E:$E,"P0(전)",$M:$M,"&gt;0")&lt;&gt;1,"",SUMIFS($I:$I,$C:$C,$C2094,$D:$D,$D2094,$E:$E,"P0(전)"))</f>
        <v/>
      </c>
      <c r="P2094" s="31">
        <f>IF(COUNTIFS($C:$C,$C2094,$D:$D,$D2094,$E:$E,"P0(전)",$M:$M,"&gt;0")&lt;&gt;1,"",SUMIFS($M:$M,$C:$C,$C2094,$D:$D,$D2094,$E:$E,"P0(전)"))</f>
        <v/>
      </c>
      <c r="Q2094" s="48">
        <f>IF(COUNTIFS($C:$C,$C2094,$D:$D,$D2094,$E:$E,"P0(후)",$M:$M,"&gt;0")&lt;&gt;1,"",SUMIFS($I:$I,$C:$C,$C2094,$D:$D,$D2094,$E:$E,"P0(후)"))</f>
        <v/>
      </c>
      <c r="R2094" s="31">
        <f>IF(COUNTIFS($C:$C,$C2094,$D:$D,$D2094,$E:$E,"P0(후)",$M:$M,"&gt;0")&lt;&gt;1,"",SUMIFS($M:$M,$C:$C,$C2094,$D:$D,$D2094,$E:$E,"P0(후)"))</f>
        <v/>
      </c>
      <c r="S2094" s="31">
        <f>IF(N2094&lt;&gt;"OK","",P2094+(R2094-P2094)*(I2094-O2094)/(Q2094-O2094))</f>
        <v/>
      </c>
      <c r="T2094" s="31">
        <f>IF(OR(N2094&lt;&gt;"OK",NOT(ISNUMBER(M2094))),"",M2094-S2094)</f>
        <v/>
      </c>
      <c r="U2094" s="49">
        <f>IF(OR(NOT(ISNUMBER(T2094)),IF(ISNUMBER(H2094),H2094,G2094)=0),"",T2094/IF(ISNUMBER(H2094),H2094,G2094))</f>
        <v/>
      </c>
      <c r="V2094" s="49">
        <f>IF(ISNUMBER(U2094),ABS(U2094),"")</f>
        <v/>
      </c>
      <c r="W2094" s="49">
        <f>IF(OR($E2093&lt;&gt;"측정",$C2093&lt;&gt;$C2094,$D2093&lt;&gt;$D2094,NOT(ISNUMBER(M2094)),NOT(ISNUMBER(M2093)),(IF(ISNUMBER(H2094),H2094,G2094)-IF(ISNUMBER(H2093),H2093,G2093))=0),"",(M2094-M2093)/(IF(ISNUMBER(H2094),H2094,G2094)-IF(ISNUMBER(H2093),H2093,G2093)))</f>
        <v/>
      </c>
      <c r="X2094" s="31">
        <f>IF(NOT(AND(ISNUMBER(O2094),ISNUMBER(Q2094))),"",(Q2094-O2094)*1440)</f>
        <v/>
      </c>
      <c r="Y2094" s="29" t="n"/>
      <c r="Z2094" s="29" t="n"/>
      <c r="AA2094" s="29" t="n"/>
      <c r="AB2094" s="32" t="n"/>
      <c r="AC2094" s="32" t="n"/>
    </row>
    <row r="2095">
      <c r="A2095" s="26" t="inlineStr">
        <is>
          <t>S41</t>
        </is>
      </c>
      <c r="B2095" s="26" t="inlineStr">
        <is>
          <t>거제</t>
        </is>
      </c>
      <c r="C2095" s="26" t="inlineStr">
        <is>
          <t>S41-H동</t>
        </is>
      </c>
      <c r="D2095" s="47" t="n">
        <v>1</v>
      </c>
      <c r="E2095" s="26" t="inlineStr">
        <is>
          <t>측정</t>
        </is>
      </c>
      <c r="F2095" s="26" t="inlineStr">
        <is>
          <t>동</t>
        </is>
      </c>
      <c r="G2095" s="31" t="n">
        <v>8</v>
      </c>
      <c r="H2095" s="30" t="n"/>
      <c r="I2095" s="43" t="n"/>
      <c r="J2095" s="41" t="n"/>
      <c r="K2095" s="41" t="n"/>
      <c r="L2095" s="41" t="n"/>
      <c r="M2095" s="31">
        <f>IF(COUNT(J2095:L2095)=0,"",MEDIAN(J2095:L2095))</f>
        <v/>
      </c>
      <c r="N2095" s="26">
        <f>IF(COUNTIFS($C:$C,$C2095,$D:$D,$D2095,$E:$E,"P0(전)",$M:$M,"&gt;0")&lt;&gt;1,"P0(전) 유효 1개 아님",IF(COUNTIFS($C:$C,$C2095,$D:$D,$D2095,$E:$E,"P0(후)",$M:$M,"&gt;0")&lt;&gt;1,"P0(후) 유효 1개 아님",IF(NOT(AND(ISNUMBER(O2095),ISNUMBER(Q2095),ISNUMBER(I2095))),"시각 결측",IF(Q2095&lt;=O2095,"P0 시각 역전",IF(OR(I2095&lt;O2095,I2095&gt;Q2095),"측정시각 구간 밖","OK")))))</f>
        <v/>
      </c>
      <c r="O2095" s="48">
        <f>IF(COUNTIFS($C:$C,$C2095,$D:$D,$D2095,$E:$E,"P0(전)",$M:$M,"&gt;0")&lt;&gt;1,"",SUMIFS($I:$I,$C:$C,$C2095,$D:$D,$D2095,$E:$E,"P0(전)"))</f>
        <v/>
      </c>
      <c r="P2095" s="31">
        <f>IF(COUNTIFS($C:$C,$C2095,$D:$D,$D2095,$E:$E,"P0(전)",$M:$M,"&gt;0")&lt;&gt;1,"",SUMIFS($M:$M,$C:$C,$C2095,$D:$D,$D2095,$E:$E,"P0(전)"))</f>
        <v/>
      </c>
      <c r="Q2095" s="48">
        <f>IF(COUNTIFS($C:$C,$C2095,$D:$D,$D2095,$E:$E,"P0(후)",$M:$M,"&gt;0")&lt;&gt;1,"",SUMIFS($I:$I,$C:$C,$C2095,$D:$D,$D2095,$E:$E,"P0(후)"))</f>
        <v/>
      </c>
      <c r="R2095" s="31">
        <f>IF(COUNTIFS($C:$C,$C2095,$D:$D,$D2095,$E:$E,"P0(후)",$M:$M,"&gt;0")&lt;&gt;1,"",SUMIFS($M:$M,$C:$C,$C2095,$D:$D,$D2095,$E:$E,"P0(후)"))</f>
        <v/>
      </c>
      <c r="S2095" s="31">
        <f>IF(N2095&lt;&gt;"OK","",P2095+(R2095-P2095)*(I2095-O2095)/(Q2095-O2095))</f>
        <v/>
      </c>
      <c r="T2095" s="31">
        <f>IF(OR(N2095&lt;&gt;"OK",NOT(ISNUMBER(M2095))),"",M2095-S2095)</f>
        <v/>
      </c>
      <c r="U2095" s="49">
        <f>IF(OR(NOT(ISNUMBER(T2095)),IF(ISNUMBER(H2095),H2095,G2095)=0),"",T2095/IF(ISNUMBER(H2095),H2095,G2095))</f>
        <v/>
      </c>
      <c r="V2095" s="49">
        <f>IF(ISNUMBER(U2095),ABS(U2095),"")</f>
        <v/>
      </c>
      <c r="W2095" s="49">
        <f>IF(OR($E2094&lt;&gt;"측정",$C2094&lt;&gt;$C2095,$D2094&lt;&gt;$D2095,NOT(ISNUMBER(M2095)),NOT(ISNUMBER(M2094)),(IF(ISNUMBER(H2095),H2095,G2095)-IF(ISNUMBER(H2094),H2094,G2094))=0),"",(M2095-M2094)/(IF(ISNUMBER(H2095),H2095,G2095)-IF(ISNUMBER(H2094),H2094,G2094)))</f>
        <v/>
      </c>
      <c r="X2095" s="31">
        <f>IF(NOT(AND(ISNUMBER(O2095),ISNUMBER(Q2095))),"",(Q2095-O2095)*1440)</f>
        <v/>
      </c>
      <c r="Y2095" s="29" t="n"/>
      <c r="Z2095" s="29" t="n"/>
      <c r="AA2095" s="29" t="n"/>
      <c r="AB2095" s="32" t="n"/>
      <c r="AC2095" s="32" t="n"/>
    </row>
    <row r="2096">
      <c r="A2096" s="26" t="inlineStr">
        <is>
          <t>S41</t>
        </is>
      </c>
      <c r="B2096" s="26" t="inlineStr">
        <is>
          <t>거제</t>
        </is>
      </c>
      <c r="C2096" s="26" t="inlineStr">
        <is>
          <t>S41-H동</t>
        </is>
      </c>
      <c r="D2096" s="47" t="n">
        <v>1</v>
      </c>
      <c r="E2096" s="26" t="inlineStr">
        <is>
          <t>측정</t>
        </is>
      </c>
      <c r="F2096" s="26" t="inlineStr">
        <is>
          <t>동</t>
        </is>
      </c>
      <c r="G2096" s="31" t="n">
        <v>9</v>
      </c>
      <c r="H2096" s="30" t="n"/>
      <c r="I2096" s="43" t="n"/>
      <c r="J2096" s="41" t="n"/>
      <c r="K2096" s="41" t="n"/>
      <c r="L2096" s="41" t="n"/>
      <c r="M2096" s="31">
        <f>IF(COUNT(J2096:L2096)=0,"",MEDIAN(J2096:L2096))</f>
        <v/>
      </c>
      <c r="N2096" s="26">
        <f>IF(COUNTIFS($C:$C,$C2096,$D:$D,$D2096,$E:$E,"P0(전)",$M:$M,"&gt;0")&lt;&gt;1,"P0(전) 유효 1개 아님",IF(COUNTIFS($C:$C,$C2096,$D:$D,$D2096,$E:$E,"P0(후)",$M:$M,"&gt;0")&lt;&gt;1,"P0(후) 유효 1개 아님",IF(NOT(AND(ISNUMBER(O2096),ISNUMBER(Q2096),ISNUMBER(I2096))),"시각 결측",IF(Q2096&lt;=O2096,"P0 시각 역전",IF(OR(I2096&lt;O2096,I2096&gt;Q2096),"측정시각 구간 밖","OK")))))</f>
        <v/>
      </c>
      <c r="O2096" s="48">
        <f>IF(COUNTIFS($C:$C,$C2096,$D:$D,$D2096,$E:$E,"P0(전)",$M:$M,"&gt;0")&lt;&gt;1,"",SUMIFS($I:$I,$C:$C,$C2096,$D:$D,$D2096,$E:$E,"P0(전)"))</f>
        <v/>
      </c>
      <c r="P2096" s="31">
        <f>IF(COUNTIFS($C:$C,$C2096,$D:$D,$D2096,$E:$E,"P0(전)",$M:$M,"&gt;0")&lt;&gt;1,"",SUMIFS($M:$M,$C:$C,$C2096,$D:$D,$D2096,$E:$E,"P0(전)"))</f>
        <v/>
      </c>
      <c r="Q2096" s="48">
        <f>IF(COUNTIFS($C:$C,$C2096,$D:$D,$D2096,$E:$E,"P0(후)",$M:$M,"&gt;0")&lt;&gt;1,"",SUMIFS($I:$I,$C:$C,$C2096,$D:$D,$D2096,$E:$E,"P0(후)"))</f>
        <v/>
      </c>
      <c r="R2096" s="31">
        <f>IF(COUNTIFS($C:$C,$C2096,$D:$D,$D2096,$E:$E,"P0(후)",$M:$M,"&gt;0")&lt;&gt;1,"",SUMIFS($M:$M,$C:$C,$C2096,$D:$D,$D2096,$E:$E,"P0(후)"))</f>
        <v/>
      </c>
      <c r="S2096" s="31">
        <f>IF(N2096&lt;&gt;"OK","",P2096+(R2096-P2096)*(I2096-O2096)/(Q2096-O2096))</f>
        <v/>
      </c>
      <c r="T2096" s="31">
        <f>IF(OR(N2096&lt;&gt;"OK",NOT(ISNUMBER(M2096))),"",M2096-S2096)</f>
        <v/>
      </c>
      <c r="U2096" s="49">
        <f>IF(OR(NOT(ISNUMBER(T2096)),IF(ISNUMBER(H2096),H2096,G2096)=0),"",T2096/IF(ISNUMBER(H2096),H2096,G2096))</f>
        <v/>
      </c>
      <c r="V2096" s="49">
        <f>IF(ISNUMBER(U2096),ABS(U2096),"")</f>
        <v/>
      </c>
      <c r="W2096" s="49">
        <f>IF(OR($E2095&lt;&gt;"측정",$C2095&lt;&gt;$C2096,$D2095&lt;&gt;$D2096,NOT(ISNUMBER(M2096)),NOT(ISNUMBER(M2095)),(IF(ISNUMBER(H2096),H2096,G2096)-IF(ISNUMBER(H2095),H2095,G2095))=0),"",(M2096-M2095)/(IF(ISNUMBER(H2096),H2096,G2096)-IF(ISNUMBER(H2095),H2095,G2095)))</f>
        <v/>
      </c>
      <c r="X2096" s="31">
        <f>IF(NOT(AND(ISNUMBER(O2096),ISNUMBER(Q2096))),"",(Q2096-O2096)*1440)</f>
        <v/>
      </c>
      <c r="Y2096" s="29" t="n"/>
      <c r="Z2096" s="29" t="n"/>
      <c r="AA2096" s="29" t="n"/>
      <c r="AB2096" s="32" t="n"/>
      <c r="AC2096" s="32" t="n"/>
    </row>
    <row r="2097">
      <c r="A2097" s="26" t="inlineStr">
        <is>
          <t>S41</t>
        </is>
      </c>
      <c r="B2097" s="26" t="inlineStr">
        <is>
          <t>거제</t>
        </is>
      </c>
      <c r="C2097" s="26" t="inlineStr">
        <is>
          <t>S41-H동</t>
        </is>
      </c>
      <c r="D2097" s="47" t="n">
        <v>1</v>
      </c>
      <c r="E2097" s="26" t="inlineStr">
        <is>
          <t>측정</t>
        </is>
      </c>
      <c r="F2097" s="26" t="inlineStr">
        <is>
          <t>동</t>
        </is>
      </c>
      <c r="G2097" s="31" t="n">
        <v>10</v>
      </c>
      <c r="H2097" s="30" t="n"/>
      <c r="I2097" s="43" t="n"/>
      <c r="J2097" s="41" t="n"/>
      <c r="K2097" s="41" t="n"/>
      <c r="L2097" s="41" t="n"/>
      <c r="M2097" s="31">
        <f>IF(COUNT(J2097:L2097)=0,"",MEDIAN(J2097:L2097))</f>
        <v/>
      </c>
      <c r="N2097" s="26">
        <f>IF(COUNTIFS($C:$C,$C2097,$D:$D,$D2097,$E:$E,"P0(전)",$M:$M,"&gt;0")&lt;&gt;1,"P0(전) 유효 1개 아님",IF(COUNTIFS($C:$C,$C2097,$D:$D,$D2097,$E:$E,"P0(후)",$M:$M,"&gt;0")&lt;&gt;1,"P0(후) 유효 1개 아님",IF(NOT(AND(ISNUMBER(O2097),ISNUMBER(Q2097),ISNUMBER(I2097))),"시각 결측",IF(Q2097&lt;=O2097,"P0 시각 역전",IF(OR(I2097&lt;O2097,I2097&gt;Q2097),"측정시각 구간 밖","OK")))))</f>
        <v/>
      </c>
      <c r="O2097" s="48">
        <f>IF(COUNTIFS($C:$C,$C2097,$D:$D,$D2097,$E:$E,"P0(전)",$M:$M,"&gt;0")&lt;&gt;1,"",SUMIFS($I:$I,$C:$C,$C2097,$D:$D,$D2097,$E:$E,"P0(전)"))</f>
        <v/>
      </c>
      <c r="P2097" s="31">
        <f>IF(COUNTIFS($C:$C,$C2097,$D:$D,$D2097,$E:$E,"P0(전)",$M:$M,"&gt;0")&lt;&gt;1,"",SUMIFS($M:$M,$C:$C,$C2097,$D:$D,$D2097,$E:$E,"P0(전)"))</f>
        <v/>
      </c>
      <c r="Q2097" s="48">
        <f>IF(COUNTIFS($C:$C,$C2097,$D:$D,$D2097,$E:$E,"P0(후)",$M:$M,"&gt;0")&lt;&gt;1,"",SUMIFS($I:$I,$C:$C,$C2097,$D:$D,$D2097,$E:$E,"P0(후)"))</f>
        <v/>
      </c>
      <c r="R2097" s="31">
        <f>IF(COUNTIFS($C:$C,$C2097,$D:$D,$D2097,$E:$E,"P0(후)",$M:$M,"&gt;0")&lt;&gt;1,"",SUMIFS($M:$M,$C:$C,$C2097,$D:$D,$D2097,$E:$E,"P0(후)"))</f>
        <v/>
      </c>
      <c r="S2097" s="31">
        <f>IF(N2097&lt;&gt;"OK","",P2097+(R2097-P2097)*(I2097-O2097)/(Q2097-O2097))</f>
        <v/>
      </c>
      <c r="T2097" s="31">
        <f>IF(OR(N2097&lt;&gt;"OK",NOT(ISNUMBER(M2097))),"",M2097-S2097)</f>
        <v/>
      </c>
      <c r="U2097" s="49">
        <f>IF(OR(NOT(ISNUMBER(T2097)),IF(ISNUMBER(H2097),H2097,G2097)=0),"",T2097/IF(ISNUMBER(H2097),H2097,G2097))</f>
        <v/>
      </c>
      <c r="V2097" s="49">
        <f>IF(ISNUMBER(U2097),ABS(U2097),"")</f>
        <v/>
      </c>
      <c r="W2097" s="49">
        <f>IF(OR($E2096&lt;&gt;"측정",$C2096&lt;&gt;$C2097,$D2096&lt;&gt;$D2097,NOT(ISNUMBER(M2097)),NOT(ISNUMBER(M2096)),(IF(ISNUMBER(H2097),H2097,G2097)-IF(ISNUMBER(H2096),H2096,G2096))=0),"",(M2097-M2096)/(IF(ISNUMBER(H2097),H2097,G2097)-IF(ISNUMBER(H2096),H2096,G2096)))</f>
        <v/>
      </c>
      <c r="X2097" s="31">
        <f>IF(NOT(AND(ISNUMBER(O2097),ISNUMBER(Q2097))),"",(Q2097-O2097)*1440)</f>
        <v/>
      </c>
      <c r="Y2097" s="29" t="n"/>
      <c r="Z2097" s="29" t="n"/>
      <c r="AA2097" s="29" t="n"/>
      <c r="AB2097" s="32" t="n"/>
      <c r="AC2097" s="32" t="n"/>
    </row>
    <row r="2098">
      <c r="A2098" s="44" t="inlineStr">
        <is>
          <t>S41</t>
        </is>
      </c>
      <c r="B2098" s="44" t="inlineStr">
        <is>
          <t>거제</t>
        </is>
      </c>
      <c r="C2098" s="44" t="inlineStr">
        <is>
          <t>S41-H동</t>
        </is>
      </c>
      <c r="D2098" s="45" t="n">
        <v>1</v>
      </c>
      <c r="E2098" s="44" t="inlineStr">
        <is>
          <t>P0(후)</t>
        </is>
      </c>
      <c r="F2098" s="44" t="inlineStr">
        <is>
          <t>동</t>
        </is>
      </c>
      <c r="G2098" s="46" t="n"/>
      <c r="H2098" s="30" t="n"/>
      <c r="I2098" s="43" t="n"/>
      <c r="J2098" s="41" t="n"/>
      <c r="K2098" s="41" t="n"/>
      <c r="L2098" s="41" t="n"/>
      <c r="M2098" s="31">
        <f>IF(COUNT(J2098:L2098)=0,"",MEDIAN(J2098:L2098))</f>
        <v/>
      </c>
      <c r="N2098" s="38" t="n"/>
      <c r="O2098" s="38" t="n"/>
      <c r="P2098" s="38" t="n"/>
      <c r="Q2098" s="38" t="n"/>
      <c r="R2098" s="38" t="n"/>
      <c r="S2098" s="38" t="n"/>
      <c r="T2098" s="38" t="n"/>
      <c r="U2098" s="38" t="n"/>
      <c r="V2098" s="38" t="n"/>
      <c r="W2098" s="38" t="n"/>
      <c r="X2098" s="38" t="n"/>
      <c r="Y2098" s="29" t="n"/>
      <c r="Z2098" s="29" t="n"/>
      <c r="AA2098" s="29" t="n"/>
      <c r="AB2098" s="32" t="n"/>
      <c r="AC2098" s="32" t="n"/>
    </row>
    <row r="2099">
      <c r="A2099" s="44" t="inlineStr">
        <is>
          <t>S41</t>
        </is>
      </c>
      <c r="B2099" s="44" t="inlineStr">
        <is>
          <t>거제</t>
        </is>
      </c>
      <c r="C2099" s="44" t="inlineStr">
        <is>
          <t>S41-H서</t>
        </is>
      </c>
      <c r="D2099" s="45" t="n">
        <v>1</v>
      </c>
      <c r="E2099" s="44" t="inlineStr">
        <is>
          <t>P0(전)</t>
        </is>
      </c>
      <c r="F2099" s="44" t="inlineStr">
        <is>
          <t>서</t>
        </is>
      </c>
      <c r="G2099" s="46" t="n"/>
      <c r="H2099" s="30" t="n"/>
      <c r="I2099" s="43" t="n"/>
      <c r="J2099" s="41" t="n"/>
      <c r="K2099" s="41" t="n"/>
      <c r="L2099" s="41" t="n"/>
      <c r="M2099" s="31">
        <f>IF(COUNT(J2099:L2099)=0,"",MEDIAN(J2099:L2099))</f>
        <v/>
      </c>
      <c r="N2099" s="38" t="n"/>
      <c r="O2099" s="38" t="n"/>
      <c r="P2099" s="38" t="n"/>
      <c r="Q2099" s="38" t="n"/>
      <c r="R2099" s="38" t="n"/>
      <c r="S2099" s="38" t="n"/>
      <c r="T2099" s="38" t="n"/>
      <c r="U2099" s="38" t="n"/>
      <c r="V2099" s="38" t="n"/>
      <c r="W2099" s="38" t="n"/>
      <c r="X2099" s="38" t="n"/>
      <c r="Y2099" s="29" t="n"/>
      <c r="Z2099" s="29" t="n"/>
      <c r="AA2099" s="29" t="n"/>
      <c r="AB2099" s="32" t="n"/>
      <c r="AC2099" s="32" t="n"/>
    </row>
    <row r="2100">
      <c r="A2100" s="26" t="inlineStr">
        <is>
          <t>S41</t>
        </is>
      </c>
      <c r="B2100" s="26" t="inlineStr">
        <is>
          <t>거제</t>
        </is>
      </c>
      <c r="C2100" s="26" t="inlineStr">
        <is>
          <t>S41-H서</t>
        </is>
      </c>
      <c r="D2100" s="47" t="n">
        <v>1</v>
      </c>
      <c r="E2100" s="26" t="inlineStr">
        <is>
          <t>측정</t>
        </is>
      </c>
      <c r="F2100" s="26" t="inlineStr">
        <is>
          <t>서</t>
        </is>
      </c>
      <c r="G2100" s="31" t="n">
        <v>0.5</v>
      </c>
      <c r="H2100" s="30" t="n"/>
      <c r="I2100" s="43" t="n"/>
      <c r="J2100" s="41" t="n"/>
      <c r="K2100" s="41" t="n"/>
      <c r="L2100" s="41" t="n"/>
      <c r="M2100" s="31">
        <f>IF(COUNT(J2100:L2100)=0,"",MEDIAN(J2100:L2100))</f>
        <v/>
      </c>
      <c r="N2100" s="26">
        <f>IF(COUNTIFS($C:$C,$C2100,$D:$D,$D2100,$E:$E,"P0(전)",$M:$M,"&gt;0")&lt;&gt;1,"P0(전) 유효 1개 아님",IF(COUNTIFS($C:$C,$C2100,$D:$D,$D2100,$E:$E,"P0(후)",$M:$M,"&gt;0")&lt;&gt;1,"P0(후) 유효 1개 아님",IF(NOT(AND(ISNUMBER(O2100),ISNUMBER(Q2100),ISNUMBER(I2100))),"시각 결측",IF(Q2100&lt;=O2100,"P0 시각 역전",IF(OR(I2100&lt;O2100,I2100&gt;Q2100),"측정시각 구간 밖","OK")))))</f>
        <v/>
      </c>
      <c r="O2100" s="48">
        <f>IF(COUNTIFS($C:$C,$C2100,$D:$D,$D2100,$E:$E,"P0(전)",$M:$M,"&gt;0")&lt;&gt;1,"",SUMIFS($I:$I,$C:$C,$C2100,$D:$D,$D2100,$E:$E,"P0(전)"))</f>
        <v/>
      </c>
      <c r="P2100" s="31">
        <f>IF(COUNTIFS($C:$C,$C2100,$D:$D,$D2100,$E:$E,"P0(전)",$M:$M,"&gt;0")&lt;&gt;1,"",SUMIFS($M:$M,$C:$C,$C2100,$D:$D,$D2100,$E:$E,"P0(전)"))</f>
        <v/>
      </c>
      <c r="Q2100" s="48">
        <f>IF(COUNTIFS($C:$C,$C2100,$D:$D,$D2100,$E:$E,"P0(후)",$M:$M,"&gt;0")&lt;&gt;1,"",SUMIFS($I:$I,$C:$C,$C2100,$D:$D,$D2100,$E:$E,"P0(후)"))</f>
        <v/>
      </c>
      <c r="R2100" s="31">
        <f>IF(COUNTIFS($C:$C,$C2100,$D:$D,$D2100,$E:$E,"P0(후)",$M:$M,"&gt;0")&lt;&gt;1,"",SUMIFS($M:$M,$C:$C,$C2100,$D:$D,$D2100,$E:$E,"P0(후)"))</f>
        <v/>
      </c>
      <c r="S2100" s="31">
        <f>IF(N2100&lt;&gt;"OK","",P2100+(R2100-P2100)*(I2100-O2100)/(Q2100-O2100))</f>
        <v/>
      </c>
      <c r="T2100" s="31">
        <f>IF(OR(N2100&lt;&gt;"OK",NOT(ISNUMBER(M2100))),"",M2100-S2100)</f>
        <v/>
      </c>
      <c r="U2100" s="49">
        <f>IF(OR(NOT(ISNUMBER(T2100)),IF(ISNUMBER(H2100),H2100,G2100)=0),"",T2100/IF(ISNUMBER(H2100),H2100,G2100))</f>
        <v/>
      </c>
      <c r="V2100" s="49">
        <f>IF(ISNUMBER(U2100),ABS(U2100),"")</f>
        <v/>
      </c>
      <c r="W2100" s="49">
        <f>IF(OR($E2099&lt;&gt;"측정",$C2099&lt;&gt;$C2100,$D2099&lt;&gt;$D2100,NOT(ISNUMBER(M2100)),NOT(ISNUMBER(M2099)),(IF(ISNUMBER(H2100),H2100,G2100)-IF(ISNUMBER(H2099),H2099,G2099))=0),"",(M2100-M2099)/(IF(ISNUMBER(H2100),H2100,G2100)-IF(ISNUMBER(H2099),H2099,G2099)))</f>
        <v/>
      </c>
      <c r="X2100" s="31">
        <f>IF(NOT(AND(ISNUMBER(O2100),ISNUMBER(Q2100))),"",(Q2100-O2100)*1440)</f>
        <v/>
      </c>
      <c r="Y2100" s="29" t="n"/>
      <c r="Z2100" s="29" t="n"/>
      <c r="AA2100" s="29" t="n"/>
      <c r="AB2100" s="32" t="n"/>
      <c r="AC2100" s="32" t="n"/>
    </row>
    <row r="2101">
      <c r="A2101" s="26" t="inlineStr">
        <is>
          <t>S41</t>
        </is>
      </c>
      <c r="B2101" s="26" t="inlineStr">
        <is>
          <t>거제</t>
        </is>
      </c>
      <c r="C2101" s="26" t="inlineStr">
        <is>
          <t>S41-H서</t>
        </is>
      </c>
      <c r="D2101" s="47" t="n">
        <v>1</v>
      </c>
      <c r="E2101" s="26" t="inlineStr">
        <is>
          <t>측정</t>
        </is>
      </c>
      <c r="F2101" s="26" t="inlineStr">
        <is>
          <t>서</t>
        </is>
      </c>
      <c r="G2101" s="31" t="n">
        <v>1</v>
      </c>
      <c r="H2101" s="30" t="n"/>
      <c r="I2101" s="43" t="n"/>
      <c r="J2101" s="41" t="n"/>
      <c r="K2101" s="41" t="n"/>
      <c r="L2101" s="41" t="n"/>
      <c r="M2101" s="31">
        <f>IF(COUNT(J2101:L2101)=0,"",MEDIAN(J2101:L2101))</f>
        <v/>
      </c>
      <c r="N2101" s="26">
        <f>IF(COUNTIFS($C:$C,$C2101,$D:$D,$D2101,$E:$E,"P0(전)",$M:$M,"&gt;0")&lt;&gt;1,"P0(전) 유효 1개 아님",IF(COUNTIFS($C:$C,$C2101,$D:$D,$D2101,$E:$E,"P0(후)",$M:$M,"&gt;0")&lt;&gt;1,"P0(후) 유효 1개 아님",IF(NOT(AND(ISNUMBER(O2101),ISNUMBER(Q2101),ISNUMBER(I2101))),"시각 결측",IF(Q2101&lt;=O2101,"P0 시각 역전",IF(OR(I2101&lt;O2101,I2101&gt;Q2101),"측정시각 구간 밖","OK")))))</f>
        <v/>
      </c>
      <c r="O2101" s="48">
        <f>IF(COUNTIFS($C:$C,$C2101,$D:$D,$D2101,$E:$E,"P0(전)",$M:$M,"&gt;0")&lt;&gt;1,"",SUMIFS($I:$I,$C:$C,$C2101,$D:$D,$D2101,$E:$E,"P0(전)"))</f>
        <v/>
      </c>
      <c r="P2101" s="31">
        <f>IF(COUNTIFS($C:$C,$C2101,$D:$D,$D2101,$E:$E,"P0(전)",$M:$M,"&gt;0")&lt;&gt;1,"",SUMIFS($M:$M,$C:$C,$C2101,$D:$D,$D2101,$E:$E,"P0(전)"))</f>
        <v/>
      </c>
      <c r="Q2101" s="48">
        <f>IF(COUNTIFS($C:$C,$C2101,$D:$D,$D2101,$E:$E,"P0(후)",$M:$M,"&gt;0")&lt;&gt;1,"",SUMIFS($I:$I,$C:$C,$C2101,$D:$D,$D2101,$E:$E,"P0(후)"))</f>
        <v/>
      </c>
      <c r="R2101" s="31">
        <f>IF(COUNTIFS($C:$C,$C2101,$D:$D,$D2101,$E:$E,"P0(후)",$M:$M,"&gt;0")&lt;&gt;1,"",SUMIFS($M:$M,$C:$C,$C2101,$D:$D,$D2101,$E:$E,"P0(후)"))</f>
        <v/>
      </c>
      <c r="S2101" s="31">
        <f>IF(N2101&lt;&gt;"OK","",P2101+(R2101-P2101)*(I2101-O2101)/(Q2101-O2101))</f>
        <v/>
      </c>
      <c r="T2101" s="31">
        <f>IF(OR(N2101&lt;&gt;"OK",NOT(ISNUMBER(M2101))),"",M2101-S2101)</f>
        <v/>
      </c>
      <c r="U2101" s="49">
        <f>IF(OR(NOT(ISNUMBER(T2101)),IF(ISNUMBER(H2101),H2101,G2101)=0),"",T2101/IF(ISNUMBER(H2101),H2101,G2101))</f>
        <v/>
      </c>
      <c r="V2101" s="49">
        <f>IF(ISNUMBER(U2101),ABS(U2101),"")</f>
        <v/>
      </c>
      <c r="W2101" s="49">
        <f>IF(OR($E2100&lt;&gt;"측정",$C2100&lt;&gt;$C2101,$D2100&lt;&gt;$D2101,NOT(ISNUMBER(M2101)),NOT(ISNUMBER(M2100)),(IF(ISNUMBER(H2101),H2101,G2101)-IF(ISNUMBER(H2100),H2100,G2100))=0),"",(M2101-M2100)/(IF(ISNUMBER(H2101),H2101,G2101)-IF(ISNUMBER(H2100),H2100,G2100)))</f>
        <v/>
      </c>
      <c r="X2101" s="31">
        <f>IF(NOT(AND(ISNUMBER(O2101),ISNUMBER(Q2101))),"",(Q2101-O2101)*1440)</f>
        <v/>
      </c>
      <c r="Y2101" s="29" t="n"/>
      <c r="Z2101" s="29" t="n"/>
      <c r="AA2101" s="29" t="n"/>
      <c r="AB2101" s="32" t="n"/>
      <c r="AC2101" s="32" t="n"/>
    </row>
    <row r="2102">
      <c r="A2102" s="26" t="inlineStr">
        <is>
          <t>S41</t>
        </is>
      </c>
      <c r="B2102" s="26" t="inlineStr">
        <is>
          <t>거제</t>
        </is>
      </c>
      <c r="C2102" s="26" t="inlineStr">
        <is>
          <t>S41-H서</t>
        </is>
      </c>
      <c r="D2102" s="47" t="n">
        <v>1</v>
      </c>
      <c r="E2102" s="26" t="inlineStr">
        <is>
          <t>측정</t>
        </is>
      </c>
      <c r="F2102" s="26" t="inlineStr">
        <is>
          <t>서</t>
        </is>
      </c>
      <c r="G2102" s="31" t="n">
        <v>2</v>
      </c>
      <c r="H2102" s="30" t="n"/>
      <c r="I2102" s="43" t="n"/>
      <c r="J2102" s="41" t="n"/>
      <c r="K2102" s="41" t="n"/>
      <c r="L2102" s="41" t="n"/>
      <c r="M2102" s="31">
        <f>IF(COUNT(J2102:L2102)=0,"",MEDIAN(J2102:L2102))</f>
        <v/>
      </c>
      <c r="N2102" s="26">
        <f>IF(COUNTIFS($C:$C,$C2102,$D:$D,$D2102,$E:$E,"P0(전)",$M:$M,"&gt;0")&lt;&gt;1,"P0(전) 유효 1개 아님",IF(COUNTIFS($C:$C,$C2102,$D:$D,$D2102,$E:$E,"P0(후)",$M:$M,"&gt;0")&lt;&gt;1,"P0(후) 유효 1개 아님",IF(NOT(AND(ISNUMBER(O2102),ISNUMBER(Q2102),ISNUMBER(I2102))),"시각 결측",IF(Q2102&lt;=O2102,"P0 시각 역전",IF(OR(I2102&lt;O2102,I2102&gt;Q2102),"측정시각 구간 밖","OK")))))</f>
        <v/>
      </c>
      <c r="O2102" s="48">
        <f>IF(COUNTIFS($C:$C,$C2102,$D:$D,$D2102,$E:$E,"P0(전)",$M:$M,"&gt;0")&lt;&gt;1,"",SUMIFS($I:$I,$C:$C,$C2102,$D:$D,$D2102,$E:$E,"P0(전)"))</f>
        <v/>
      </c>
      <c r="P2102" s="31">
        <f>IF(COUNTIFS($C:$C,$C2102,$D:$D,$D2102,$E:$E,"P0(전)",$M:$M,"&gt;0")&lt;&gt;1,"",SUMIFS($M:$M,$C:$C,$C2102,$D:$D,$D2102,$E:$E,"P0(전)"))</f>
        <v/>
      </c>
      <c r="Q2102" s="48">
        <f>IF(COUNTIFS($C:$C,$C2102,$D:$D,$D2102,$E:$E,"P0(후)",$M:$M,"&gt;0")&lt;&gt;1,"",SUMIFS($I:$I,$C:$C,$C2102,$D:$D,$D2102,$E:$E,"P0(후)"))</f>
        <v/>
      </c>
      <c r="R2102" s="31">
        <f>IF(COUNTIFS($C:$C,$C2102,$D:$D,$D2102,$E:$E,"P0(후)",$M:$M,"&gt;0")&lt;&gt;1,"",SUMIFS($M:$M,$C:$C,$C2102,$D:$D,$D2102,$E:$E,"P0(후)"))</f>
        <v/>
      </c>
      <c r="S2102" s="31">
        <f>IF(N2102&lt;&gt;"OK","",P2102+(R2102-P2102)*(I2102-O2102)/(Q2102-O2102))</f>
        <v/>
      </c>
      <c r="T2102" s="31">
        <f>IF(OR(N2102&lt;&gt;"OK",NOT(ISNUMBER(M2102))),"",M2102-S2102)</f>
        <v/>
      </c>
      <c r="U2102" s="49">
        <f>IF(OR(NOT(ISNUMBER(T2102)),IF(ISNUMBER(H2102),H2102,G2102)=0),"",T2102/IF(ISNUMBER(H2102),H2102,G2102))</f>
        <v/>
      </c>
      <c r="V2102" s="49">
        <f>IF(ISNUMBER(U2102),ABS(U2102),"")</f>
        <v/>
      </c>
      <c r="W2102" s="49">
        <f>IF(OR($E2101&lt;&gt;"측정",$C2101&lt;&gt;$C2102,$D2101&lt;&gt;$D2102,NOT(ISNUMBER(M2102)),NOT(ISNUMBER(M2101)),(IF(ISNUMBER(H2102),H2102,G2102)-IF(ISNUMBER(H2101),H2101,G2101))=0),"",(M2102-M2101)/(IF(ISNUMBER(H2102),H2102,G2102)-IF(ISNUMBER(H2101),H2101,G2101)))</f>
        <v/>
      </c>
      <c r="X2102" s="31">
        <f>IF(NOT(AND(ISNUMBER(O2102),ISNUMBER(Q2102))),"",(Q2102-O2102)*1440)</f>
        <v/>
      </c>
      <c r="Y2102" s="29" t="n"/>
      <c r="Z2102" s="29" t="n"/>
      <c r="AA2102" s="29" t="n"/>
      <c r="AB2102" s="32" t="n"/>
      <c r="AC2102" s="32" t="n"/>
    </row>
    <row r="2103">
      <c r="A2103" s="26" t="inlineStr">
        <is>
          <t>S41</t>
        </is>
      </c>
      <c r="B2103" s="26" t="inlineStr">
        <is>
          <t>거제</t>
        </is>
      </c>
      <c r="C2103" s="26" t="inlineStr">
        <is>
          <t>S41-H서</t>
        </is>
      </c>
      <c r="D2103" s="47" t="n">
        <v>1</v>
      </c>
      <c r="E2103" s="26" t="inlineStr">
        <is>
          <t>측정</t>
        </is>
      </c>
      <c r="F2103" s="26" t="inlineStr">
        <is>
          <t>서</t>
        </is>
      </c>
      <c r="G2103" s="31" t="n">
        <v>3</v>
      </c>
      <c r="H2103" s="30" t="n"/>
      <c r="I2103" s="43" t="n"/>
      <c r="J2103" s="41" t="n"/>
      <c r="K2103" s="41" t="n"/>
      <c r="L2103" s="41" t="n"/>
      <c r="M2103" s="31">
        <f>IF(COUNT(J2103:L2103)=0,"",MEDIAN(J2103:L2103))</f>
        <v/>
      </c>
      <c r="N2103" s="26">
        <f>IF(COUNTIFS($C:$C,$C2103,$D:$D,$D2103,$E:$E,"P0(전)",$M:$M,"&gt;0")&lt;&gt;1,"P0(전) 유효 1개 아님",IF(COUNTIFS($C:$C,$C2103,$D:$D,$D2103,$E:$E,"P0(후)",$M:$M,"&gt;0")&lt;&gt;1,"P0(후) 유효 1개 아님",IF(NOT(AND(ISNUMBER(O2103),ISNUMBER(Q2103),ISNUMBER(I2103))),"시각 결측",IF(Q2103&lt;=O2103,"P0 시각 역전",IF(OR(I2103&lt;O2103,I2103&gt;Q2103),"측정시각 구간 밖","OK")))))</f>
        <v/>
      </c>
      <c r="O2103" s="48">
        <f>IF(COUNTIFS($C:$C,$C2103,$D:$D,$D2103,$E:$E,"P0(전)",$M:$M,"&gt;0")&lt;&gt;1,"",SUMIFS($I:$I,$C:$C,$C2103,$D:$D,$D2103,$E:$E,"P0(전)"))</f>
        <v/>
      </c>
      <c r="P2103" s="31">
        <f>IF(COUNTIFS($C:$C,$C2103,$D:$D,$D2103,$E:$E,"P0(전)",$M:$M,"&gt;0")&lt;&gt;1,"",SUMIFS($M:$M,$C:$C,$C2103,$D:$D,$D2103,$E:$E,"P0(전)"))</f>
        <v/>
      </c>
      <c r="Q2103" s="48">
        <f>IF(COUNTIFS($C:$C,$C2103,$D:$D,$D2103,$E:$E,"P0(후)",$M:$M,"&gt;0")&lt;&gt;1,"",SUMIFS($I:$I,$C:$C,$C2103,$D:$D,$D2103,$E:$E,"P0(후)"))</f>
        <v/>
      </c>
      <c r="R2103" s="31">
        <f>IF(COUNTIFS($C:$C,$C2103,$D:$D,$D2103,$E:$E,"P0(후)",$M:$M,"&gt;0")&lt;&gt;1,"",SUMIFS($M:$M,$C:$C,$C2103,$D:$D,$D2103,$E:$E,"P0(후)"))</f>
        <v/>
      </c>
      <c r="S2103" s="31">
        <f>IF(N2103&lt;&gt;"OK","",P2103+(R2103-P2103)*(I2103-O2103)/(Q2103-O2103))</f>
        <v/>
      </c>
      <c r="T2103" s="31">
        <f>IF(OR(N2103&lt;&gt;"OK",NOT(ISNUMBER(M2103))),"",M2103-S2103)</f>
        <v/>
      </c>
      <c r="U2103" s="49">
        <f>IF(OR(NOT(ISNUMBER(T2103)),IF(ISNUMBER(H2103),H2103,G2103)=0),"",T2103/IF(ISNUMBER(H2103),H2103,G2103))</f>
        <v/>
      </c>
      <c r="V2103" s="49">
        <f>IF(ISNUMBER(U2103),ABS(U2103),"")</f>
        <v/>
      </c>
      <c r="W2103" s="49">
        <f>IF(OR($E2102&lt;&gt;"측정",$C2102&lt;&gt;$C2103,$D2102&lt;&gt;$D2103,NOT(ISNUMBER(M2103)),NOT(ISNUMBER(M2102)),(IF(ISNUMBER(H2103),H2103,G2103)-IF(ISNUMBER(H2102),H2102,G2102))=0),"",(M2103-M2102)/(IF(ISNUMBER(H2103),H2103,G2103)-IF(ISNUMBER(H2102),H2102,G2102)))</f>
        <v/>
      </c>
      <c r="X2103" s="31">
        <f>IF(NOT(AND(ISNUMBER(O2103),ISNUMBER(Q2103))),"",(Q2103-O2103)*1440)</f>
        <v/>
      </c>
      <c r="Y2103" s="29" t="n"/>
      <c r="Z2103" s="29" t="n"/>
      <c r="AA2103" s="29" t="n"/>
      <c r="AB2103" s="32" t="n"/>
      <c r="AC2103" s="32" t="n"/>
    </row>
    <row r="2104">
      <c r="A2104" s="26" t="inlineStr">
        <is>
          <t>S41</t>
        </is>
      </c>
      <c r="B2104" s="26" t="inlineStr">
        <is>
          <t>거제</t>
        </is>
      </c>
      <c r="C2104" s="26" t="inlineStr">
        <is>
          <t>S41-H서</t>
        </is>
      </c>
      <c r="D2104" s="47" t="n">
        <v>1</v>
      </c>
      <c r="E2104" s="26" t="inlineStr">
        <is>
          <t>측정</t>
        </is>
      </c>
      <c r="F2104" s="26" t="inlineStr">
        <is>
          <t>서</t>
        </is>
      </c>
      <c r="G2104" s="31" t="n">
        <v>4</v>
      </c>
      <c r="H2104" s="30" t="n"/>
      <c r="I2104" s="43" t="n"/>
      <c r="J2104" s="41" t="n"/>
      <c r="K2104" s="41" t="n"/>
      <c r="L2104" s="41" t="n"/>
      <c r="M2104" s="31">
        <f>IF(COUNT(J2104:L2104)=0,"",MEDIAN(J2104:L2104))</f>
        <v/>
      </c>
      <c r="N2104" s="26">
        <f>IF(COUNTIFS($C:$C,$C2104,$D:$D,$D2104,$E:$E,"P0(전)",$M:$M,"&gt;0")&lt;&gt;1,"P0(전) 유효 1개 아님",IF(COUNTIFS($C:$C,$C2104,$D:$D,$D2104,$E:$E,"P0(후)",$M:$M,"&gt;0")&lt;&gt;1,"P0(후) 유효 1개 아님",IF(NOT(AND(ISNUMBER(O2104),ISNUMBER(Q2104),ISNUMBER(I2104))),"시각 결측",IF(Q2104&lt;=O2104,"P0 시각 역전",IF(OR(I2104&lt;O2104,I2104&gt;Q2104),"측정시각 구간 밖","OK")))))</f>
        <v/>
      </c>
      <c r="O2104" s="48">
        <f>IF(COUNTIFS($C:$C,$C2104,$D:$D,$D2104,$E:$E,"P0(전)",$M:$M,"&gt;0")&lt;&gt;1,"",SUMIFS($I:$I,$C:$C,$C2104,$D:$D,$D2104,$E:$E,"P0(전)"))</f>
        <v/>
      </c>
      <c r="P2104" s="31">
        <f>IF(COUNTIFS($C:$C,$C2104,$D:$D,$D2104,$E:$E,"P0(전)",$M:$M,"&gt;0")&lt;&gt;1,"",SUMIFS($M:$M,$C:$C,$C2104,$D:$D,$D2104,$E:$E,"P0(전)"))</f>
        <v/>
      </c>
      <c r="Q2104" s="48">
        <f>IF(COUNTIFS($C:$C,$C2104,$D:$D,$D2104,$E:$E,"P0(후)",$M:$M,"&gt;0")&lt;&gt;1,"",SUMIFS($I:$I,$C:$C,$C2104,$D:$D,$D2104,$E:$E,"P0(후)"))</f>
        <v/>
      </c>
      <c r="R2104" s="31">
        <f>IF(COUNTIFS($C:$C,$C2104,$D:$D,$D2104,$E:$E,"P0(후)",$M:$M,"&gt;0")&lt;&gt;1,"",SUMIFS($M:$M,$C:$C,$C2104,$D:$D,$D2104,$E:$E,"P0(후)"))</f>
        <v/>
      </c>
      <c r="S2104" s="31">
        <f>IF(N2104&lt;&gt;"OK","",P2104+(R2104-P2104)*(I2104-O2104)/(Q2104-O2104))</f>
        <v/>
      </c>
      <c r="T2104" s="31">
        <f>IF(OR(N2104&lt;&gt;"OK",NOT(ISNUMBER(M2104))),"",M2104-S2104)</f>
        <v/>
      </c>
      <c r="U2104" s="49">
        <f>IF(OR(NOT(ISNUMBER(T2104)),IF(ISNUMBER(H2104),H2104,G2104)=0),"",T2104/IF(ISNUMBER(H2104),H2104,G2104))</f>
        <v/>
      </c>
      <c r="V2104" s="49">
        <f>IF(ISNUMBER(U2104),ABS(U2104),"")</f>
        <v/>
      </c>
      <c r="W2104" s="49">
        <f>IF(OR($E2103&lt;&gt;"측정",$C2103&lt;&gt;$C2104,$D2103&lt;&gt;$D2104,NOT(ISNUMBER(M2104)),NOT(ISNUMBER(M2103)),(IF(ISNUMBER(H2104),H2104,G2104)-IF(ISNUMBER(H2103),H2103,G2103))=0),"",(M2104-M2103)/(IF(ISNUMBER(H2104),H2104,G2104)-IF(ISNUMBER(H2103),H2103,G2103)))</f>
        <v/>
      </c>
      <c r="X2104" s="31">
        <f>IF(NOT(AND(ISNUMBER(O2104),ISNUMBER(Q2104))),"",(Q2104-O2104)*1440)</f>
        <v/>
      </c>
      <c r="Y2104" s="29" t="n"/>
      <c r="Z2104" s="29" t="n"/>
      <c r="AA2104" s="29" t="n"/>
      <c r="AB2104" s="32" t="n"/>
      <c r="AC2104" s="32" t="n"/>
    </row>
    <row r="2105">
      <c r="A2105" s="26" t="inlineStr">
        <is>
          <t>S41</t>
        </is>
      </c>
      <c r="B2105" s="26" t="inlineStr">
        <is>
          <t>거제</t>
        </is>
      </c>
      <c r="C2105" s="26" t="inlineStr">
        <is>
          <t>S41-H서</t>
        </is>
      </c>
      <c r="D2105" s="47" t="n">
        <v>1</v>
      </c>
      <c r="E2105" s="26" t="inlineStr">
        <is>
          <t>측정</t>
        </is>
      </c>
      <c r="F2105" s="26" t="inlineStr">
        <is>
          <t>서</t>
        </is>
      </c>
      <c r="G2105" s="31" t="n">
        <v>5</v>
      </c>
      <c r="H2105" s="30" t="n"/>
      <c r="I2105" s="43" t="n"/>
      <c r="J2105" s="41" t="n"/>
      <c r="K2105" s="41" t="n"/>
      <c r="L2105" s="41" t="n"/>
      <c r="M2105" s="31">
        <f>IF(COUNT(J2105:L2105)=0,"",MEDIAN(J2105:L2105))</f>
        <v/>
      </c>
      <c r="N2105" s="26">
        <f>IF(COUNTIFS($C:$C,$C2105,$D:$D,$D2105,$E:$E,"P0(전)",$M:$M,"&gt;0")&lt;&gt;1,"P0(전) 유효 1개 아님",IF(COUNTIFS($C:$C,$C2105,$D:$D,$D2105,$E:$E,"P0(후)",$M:$M,"&gt;0")&lt;&gt;1,"P0(후) 유효 1개 아님",IF(NOT(AND(ISNUMBER(O2105),ISNUMBER(Q2105),ISNUMBER(I2105))),"시각 결측",IF(Q2105&lt;=O2105,"P0 시각 역전",IF(OR(I2105&lt;O2105,I2105&gt;Q2105),"측정시각 구간 밖","OK")))))</f>
        <v/>
      </c>
      <c r="O2105" s="48">
        <f>IF(COUNTIFS($C:$C,$C2105,$D:$D,$D2105,$E:$E,"P0(전)",$M:$M,"&gt;0")&lt;&gt;1,"",SUMIFS($I:$I,$C:$C,$C2105,$D:$D,$D2105,$E:$E,"P0(전)"))</f>
        <v/>
      </c>
      <c r="P2105" s="31">
        <f>IF(COUNTIFS($C:$C,$C2105,$D:$D,$D2105,$E:$E,"P0(전)",$M:$M,"&gt;0")&lt;&gt;1,"",SUMIFS($M:$M,$C:$C,$C2105,$D:$D,$D2105,$E:$E,"P0(전)"))</f>
        <v/>
      </c>
      <c r="Q2105" s="48">
        <f>IF(COUNTIFS($C:$C,$C2105,$D:$D,$D2105,$E:$E,"P0(후)",$M:$M,"&gt;0")&lt;&gt;1,"",SUMIFS($I:$I,$C:$C,$C2105,$D:$D,$D2105,$E:$E,"P0(후)"))</f>
        <v/>
      </c>
      <c r="R2105" s="31">
        <f>IF(COUNTIFS($C:$C,$C2105,$D:$D,$D2105,$E:$E,"P0(후)",$M:$M,"&gt;0")&lt;&gt;1,"",SUMIFS($M:$M,$C:$C,$C2105,$D:$D,$D2105,$E:$E,"P0(후)"))</f>
        <v/>
      </c>
      <c r="S2105" s="31">
        <f>IF(N2105&lt;&gt;"OK","",P2105+(R2105-P2105)*(I2105-O2105)/(Q2105-O2105))</f>
        <v/>
      </c>
      <c r="T2105" s="31">
        <f>IF(OR(N2105&lt;&gt;"OK",NOT(ISNUMBER(M2105))),"",M2105-S2105)</f>
        <v/>
      </c>
      <c r="U2105" s="49">
        <f>IF(OR(NOT(ISNUMBER(T2105)),IF(ISNUMBER(H2105),H2105,G2105)=0),"",T2105/IF(ISNUMBER(H2105),H2105,G2105))</f>
        <v/>
      </c>
      <c r="V2105" s="49">
        <f>IF(ISNUMBER(U2105),ABS(U2105),"")</f>
        <v/>
      </c>
      <c r="W2105" s="49">
        <f>IF(OR($E2104&lt;&gt;"측정",$C2104&lt;&gt;$C2105,$D2104&lt;&gt;$D2105,NOT(ISNUMBER(M2105)),NOT(ISNUMBER(M2104)),(IF(ISNUMBER(H2105),H2105,G2105)-IF(ISNUMBER(H2104),H2104,G2104))=0),"",(M2105-M2104)/(IF(ISNUMBER(H2105),H2105,G2105)-IF(ISNUMBER(H2104),H2104,G2104)))</f>
        <v/>
      </c>
      <c r="X2105" s="31">
        <f>IF(NOT(AND(ISNUMBER(O2105),ISNUMBER(Q2105))),"",(Q2105-O2105)*1440)</f>
        <v/>
      </c>
      <c r="Y2105" s="29" t="n"/>
      <c r="Z2105" s="29" t="n"/>
      <c r="AA2105" s="29" t="n"/>
      <c r="AB2105" s="32" t="n"/>
      <c r="AC2105" s="32" t="n"/>
    </row>
    <row r="2106">
      <c r="A2106" s="26" t="inlineStr">
        <is>
          <t>S41</t>
        </is>
      </c>
      <c r="B2106" s="26" t="inlineStr">
        <is>
          <t>거제</t>
        </is>
      </c>
      <c r="C2106" s="26" t="inlineStr">
        <is>
          <t>S41-H서</t>
        </is>
      </c>
      <c r="D2106" s="47" t="n">
        <v>1</v>
      </c>
      <c r="E2106" s="26" t="inlineStr">
        <is>
          <t>측정</t>
        </is>
      </c>
      <c r="F2106" s="26" t="inlineStr">
        <is>
          <t>서</t>
        </is>
      </c>
      <c r="G2106" s="31" t="n">
        <v>6</v>
      </c>
      <c r="H2106" s="30" t="n"/>
      <c r="I2106" s="43" t="n"/>
      <c r="J2106" s="41" t="n"/>
      <c r="K2106" s="41" t="n"/>
      <c r="L2106" s="41" t="n"/>
      <c r="M2106" s="31">
        <f>IF(COUNT(J2106:L2106)=0,"",MEDIAN(J2106:L2106))</f>
        <v/>
      </c>
      <c r="N2106" s="26">
        <f>IF(COUNTIFS($C:$C,$C2106,$D:$D,$D2106,$E:$E,"P0(전)",$M:$M,"&gt;0")&lt;&gt;1,"P0(전) 유효 1개 아님",IF(COUNTIFS($C:$C,$C2106,$D:$D,$D2106,$E:$E,"P0(후)",$M:$M,"&gt;0")&lt;&gt;1,"P0(후) 유효 1개 아님",IF(NOT(AND(ISNUMBER(O2106),ISNUMBER(Q2106),ISNUMBER(I2106))),"시각 결측",IF(Q2106&lt;=O2106,"P0 시각 역전",IF(OR(I2106&lt;O2106,I2106&gt;Q2106),"측정시각 구간 밖","OK")))))</f>
        <v/>
      </c>
      <c r="O2106" s="48">
        <f>IF(COUNTIFS($C:$C,$C2106,$D:$D,$D2106,$E:$E,"P0(전)",$M:$M,"&gt;0")&lt;&gt;1,"",SUMIFS($I:$I,$C:$C,$C2106,$D:$D,$D2106,$E:$E,"P0(전)"))</f>
        <v/>
      </c>
      <c r="P2106" s="31">
        <f>IF(COUNTIFS($C:$C,$C2106,$D:$D,$D2106,$E:$E,"P0(전)",$M:$M,"&gt;0")&lt;&gt;1,"",SUMIFS($M:$M,$C:$C,$C2106,$D:$D,$D2106,$E:$E,"P0(전)"))</f>
        <v/>
      </c>
      <c r="Q2106" s="48">
        <f>IF(COUNTIFS($C:$C,$C2106,$D:$D,$D2106,$E:$E,"P0(후)",$M:$M,"&gt;0")&lt;&gt;1,"",SUMIFS($I:$I,$C:$C,$C2106,$D:$D,$D2106,$E:$E,"P0(후)"))</f>
        <v/>
      </c>
      <c r="R2106" s="31">
        <f>IF(COUNTIFS($C:$C,$C2106,$D:$D,$D2106,$E:$E,"P0(후)",$M:$M,"&gt;0")&lt;&gt;1,"",SUMIFS($M:$M,$C:$C,$C2106,$D:$D,$D2106,$E:$E,"P0(후)"))</f>
        <v/>
      </c>
      <c r="S2106" s="31">
        <f>IF(N2106&lt;&gt;"OK","",P2106+(R2106-P2106)*(I2106-O2106)/(Q2106-O2106))</f>
        <v/>
      </c>
      <c r="T2106" s="31">
        <f>IF(OR(N2106&lt;&gt;"OK",NOT(ISNUMBER(M2106))),"",M2106-S2106)</f>
        <v/>
      </c>
      <c r="U2106" s="49">
        <f>IF(OR(NOT(ISNUMBER(T2106)),IF(ISNUMBER(H2106),H2106,G2106)=0),"",T2106/IF(ISNUMBER(H2106),H2106,G2106))</f>
        <v/>
      </c>
      <c r="V2106" s="49">
        <f>IF(ISNUMBER(U2106),ABS(U2106),"")</f>
        <v/>
      </c>
      <c r="W2106" s="49">
        <f>IF(OR($E2105&lt;&gt;"측정",$C2105&lt;&gt;$C2106,$D2105&lt;&gt;$D2106,NOT(ISNUMBER(M2106)),NOT(ISNUMBER(M2105)),(IF(ISNUMBER(H2106),H2106,G2106)-IF(ISNUMBER(H2105),H2105,G2105))=0),"",(M2106-M2105)/(IF(ISNUMBER(H2106),H2106,G2106)-IF(ISNUMBER(H2105),H2105,G2105)))</f>
        <v/>
      </c>
      <c r="X2106" s="31">
        <f>IF(NOT(AND(ISNUMBER(O2106),ISNUMBER(Q2106))),"",(Q2106-O2106)*1440)</f>
        <v/>
      </c>
      <c r="Y2106" s="29" t="n"/>
      <c r="Z2106" s="29" t="n"/>
      <c r="AA2106" s="29" t="n"/>
      <c r="AB2106" s="32" t="n"/>
      <c r="AC2106" s="32" t="n"/>
    </row>
    <row r="2107">
      <c r="A2107" s="26" t="inlineStr">
        <is>
          <t>S41</t>
        </is>
      </c>
      <c r="B2107" s="26" t="inlineStr">
        <is>
          <t>거제</t>
        </is>
      </c>
      <c r="C2107" s="26" t="inlineStr">
        <is>
          <t>S41-H서</t>
        </is>
      </c>
      <c r="D2107" s="47" t="n">
        <v>1</v>
      </c>
      <c r="E2107" s="26" t="inlineStr">
        <is>
          <t>측정</t>
        </is>
      </c>
      <c r="F2107" s="26" t="inlineStr">
        <is>
          <t>서</t>
        </is>
      </c>
      <c r="G2107" s="31" t="n">
        <v>7</v>
      </c>
      <c r="H2107" s="30" t="n"/>
      <c r="I2107" s="43" t="n"/>
      <c r="J2107" s="41" t="n"/>
      <c r="K2107" s="41" t="n"/>
      <c r="L2107" s="41" t="n"/>
      <c r="M2107" s="31">
        <f>IF(COUNT(J2107:L2107)=0,"",MEDIAN(J2107:L2107))</f>
        <v/>
      </c>
      <c r="N2107" s="26">
        <f>IF(COUNTIFS($C:$C,$C2107,$D:$D,$D2107,$E:$E,"P0(전)",$M:$M,"&gt;0")&lt;&gt;1,"P0(전) 유효 1개 아님",IF(COUNTIFS($C:$C,$C2107,$D:$D,$D2107,$E:$E,"P0(후)",$M:$M,"&gt;0")&lt;&gt;1,"P0(후) 유효 1개 아님",IF(NOT(AND(ISNUMBER(O2107),ISNUMBER(Q2107),ISNUMBER(I2107))),"시각 결측",IF(Q2107&lt;=O2107,"P0 시각 역전",IF(OR(I2107&lt;O2107,I2107&gt;Q2107),"측정시각 구간 밖","OK")))))</f>
        <v/>
      </c>
      <c r="O2107" s="48">
        <f>IF(COUNTIFS($C:$C,$C2107,$D:$D,$D2107,$E:$E,"P0(전)",$M:$M,"&gt;0")&lt;&gt;1,"",SUMIFS($I:$I,$C:$C,$C2107,$D:$D,$D2107,$E:$E,"P0(전)"))</f>
        <v/>
      </c>
      <c r="P2107" s="31">
        <f>IF(COUNTIFS($C:$C,$C2107,$D:$D,$D2107,$E:$E,"P0(전)",$M:$M,"&gt;0")&lt;&gt;1,"",SUMIFS($M:$M,$C:$C,$C2107,$D:$D,$D2107,$E:$E,"P0(전)"))</f>
        <v/>
      </c>
      <c r="Q2107" s="48">
        <f>IF(COUNTIFS($C:$C,$C2107,$D:$D,$D2107,$E:$E,"P0(후)",$M:$M,"&gt;0")&lt;&gt;1,"",SUMIFS($I:$I,$C:$C,$C2107,$D:$D,$D2107,$E:$E,"P0(후)"))</f>
        <v/>
      </c>
      <c r="R2107" s="31">
        <f>IF(COUNTIFS($C:$C,$C2107,$D:$D,$D2107,$E:$E,"P0(후)",$M:$M,"&gt;0")&lt;&gt;1,"",SUMIFS($M:$M,$C:$C,$C2107,$D:$D,$D2107,$E:$E,"P0(후)"))</f>
        <v/>
      </c>
      <c r="S2107" s="31">
        <f>IF(N2107&lt;&gt;"OK","",P2107+(R2107-P2107)*(I2107-O2107)/(Q2107-O2107))</f>
        <v/>
      </c>
      <c r="T2107" s="31">
        <f>IF(OR(N2107&lt;&gt;"OK",NOT(ISNUMBER(M2107))),"",M2107-S2107)</f>
        <v/>
      </c>
      <c r="U2107" s="49">
        <f>IF(OR(NOT(ISNUMBER(T2107)),IF(ISNUMBER(H2107),H2107,G2107)=0),"",T2107/IF(ISNUMBER(H2107),H2107,G2107))</f>
        <v/>
      </c>
      <c r="V2107" s="49">
        <f>IF(ISNUMBER(U2107),ABS(U2107),"")</f>
        <v/>
      </c>
      <c r="W2107" s="49">
        <f>IF(OR($E2106&lt;&gt;"측정",$C2106&lt;&gt;$C2107,$D2106&lt;&gt;$D2107,NOT(ISNUMBER(M2107)),NOT(ISNUMBER(M2106)),(IF(ISNUMBER(H2107),H2107,G2107)-IF(ISNUMBER(H2106),H2106,G2106))=0),"",(M2107-M2106)/(IF(ISNUMBER(H2107),H2107,G2107)-IF(ISNUMBER(H2106),H2106,G2106)))</f>
        <v/>
      </c>
      <c r="X2107" s="31">
        <f>IF(NOT(AND(ISNUMBER(O2107),ISNUMBER(Q2107))),"",(Q2107-O2107)*1440)</f>
        <v/>
      </c>
      <c r="Y2107" s="29" t="n"/>
      <c r="Z2107" s="29" t="n"/>
      <c r="AA2107" s="29" t="n"/>
      <c r="AB2107" s="32" t="n"/>
      <c r="AC2107" s="32" t="n"/>
    </row>
    <row r="2108">
      <c r="A2108" s="26" t="inlineStr">
        <is>
          <t>S41</t>
        </is>
      </c>
      <c r="B2108" s="26" t="inlineStr">
        <is>
          <t>거제</t>
        </is>
      </c>
      <c r="C2108" s="26" t="inlineStr">
        <is>
          <t>S41-H서</t>
        </is>
      </c>
      <c r="D2108" s="47" t="n">
        <v>1</v>
      </c>
      <c r="E2108" s="26" t="inlineStr">
        <is>
          <t>측정</t>
        </is>
      </c>
      <c r="F2108" s="26" t="inlineStr">
        <is>
          <t>서</t>
        </is>
      </c>
      <c r="G2108" s="31" t="n">
        <v>8</v>
      </c>
      <c r="H2108" s="30" t="n"/>
      <c r="I2108" s="43" t="n"/>
      <c r="J2108" s="41" t="n"/>
      <c r="K2108" s="41" t="n"/>
      <c r="L2108" s="41" t="n"/>
      <c r="M2108" s="31">
        <f>IF(COUNT(J2108:L2108)=0,"",MEDIAN(J2108:L2108))</f>
        <v/>
      </c>
      <c r="N2108" s="26">
        <f>IF(COUNTIFS($C:$C,$C2108,$D:$D,$D2108,$E:$E,"P0(전)",$M:$M,"&gt;0")&lt;&gt;1,"P0(전) 유효 1개 아님",IF(COUNTIFS($C:$C,$C2108,$D:$D,$D2108,$E:$E,"P0(후)",$M:$M,"&gt;0")&lt;&gt;1,"P0(후) 유효 1개 아님",IF(NOT(AND(ISNUMBER(O2108),ISNUMBER(Q2108),ISNUMBER(I2108))),"시각 결측",IF(Q2108&lt;=O2108,"P0 시각 역전",IF(OR(I2108&lt;O2108,I2108&gt;Q2108),"측정시각 구간 밖","OK")))))</f>
        <v/>
      </c>
      <c r="O2108" s="48">
        <f>IF(COUNTIFS($C:$C,$C2108,$D:$D,$D2108,$E:$E,"P0(전)",$M:$M,"&gt;0")&lt;&gt;1,"",SUMIFS($I:$I,$C:$C,$C2108,$D:$D,$D2108,$E:$E,"P0(전)"))</f>
        <v/>
      </c>
      <c r="P2108" s="31">
        <f>IF(COUNTIFS($C:$C,$C2108,$D:$D,$D2108,$E:$E,"P0(전)",$M:$M,"&gt;0")&lt;&gt;1,"",SUMIFS($M:$M,$C:$C,$C2108,$D:$D,$D2108,$E:$E,"P0(전)"))</f>
        <v/>
      </c>
      <c r="Q2108" s="48">
        <f>IF(COUNTIFS($C:$C,$C2108,$D:$D,$D2108,$E:$E,"P0(후)",$M:$M,"&gt;0")&lt;&gt;1,"",SUMIFS($I:$I,$C:$C,$C2108,$D:$D,$D2108,$E:$E,"P0(후)"))</f>
        <v/>
      </c>
      <c r="R2108" s="31">
        <f>IF(COUNTIFS($C:$C,$C2108,$D:$D,$D2108,$E:$E,"P0(후)",$M:$M,"&gt;0")&lt;&gt;1,"",SUMIFS($M:$M,$C:$C,$C2108,$D:$D,$D2108,$E:$E,"P0(후)"))</f>
        <v/>
      </c>
      <c r="S2108" s="31">
        <f>IF(N2108&lt;&gt;"OK","",P2108+(R2108-P2108)*(I2108-O2108)/(Q2108-O2108))</f>
        <v/>
      </c>
      <c r="T2108" s="31">
        <f>IF(OR(N2108&lt;&gt;"OK",NOT(ISNUMBER(M2108))),"",M2108-S2108)</f>
        <v/>
      </c>
      <c r="U2108" s="49">
        <f>IF(OR(NOT(ISNUMBER(T2108)),IF(ISNUMBER(H2108),H2108,G2108)=0),"",T2108/IF(ISNUMBER(H2108),H2108,G2108))</f>
        <v/>
      </c>
      <c r="V2108" s="49">
        <f>IF(ISNUMBER(U2108),ABS(U2108),"")</f>
        <v/>
      </c>
      <c r="W2108" s="49">
        <f>IF(OR($E2107&lt;&gt;"측정",$C2107&lt;&gt;$C2108,$D2107&lt;&gt;$D2108,NOT(ISNUMBER(M2108)),NOT(ISNUMBER(M2107)),(IF(ISNUMBER(H2108),H2108,G2108)-IF(ISNUMBER(H2107),H2107,G2107))=0),"",(M2108-M2107)/(IF(ISNUMBER(H2108),H2108,G2108)-IF(ISNUMBER(H2107),H2107,G2107)))</f>
        <v/>
      </c>
      <c r="X2108" s="31">
        <f>IF(NOT(AND(ISNUMBER(O2108),ISNUMBER(Q2108))),"",(Q2108-O2108)*1440)</f>
        <v/>
      </c>
      <c r="Y2108" s="29" t="n"/>
      <c r="Z2108" s="29" t="n"/>
      <c r="AA2108" s="29" t="n"/>
      <c r="AB2108" s="32" t="n"/>
      <c r="AC2108" s="32" t="n"/>
    </row>
    <row r="2109">
      <c r="A2109" s="26" t="inlineStr">
        <is>
          <t>S41</t>
        </is>
      </c>
      <c r="B2109" s="26" t="inlineStr">
        <is>
          <t>거제</t>
        </is>
      </c>
      <c r="C2109" s="26" t="inlineStr">
        <is>
          <t>S41-H서</t>
        </is>
      </c>
      <c r="D2109" s="47" t="n">
        <v>1</v>
      </c>
      <c r="E2109" s="26" t="inlineStr">
        <is>
          <t>측정</t>
        </is>
      </c>
      <c r="F2109" s="26" t="inlineStr">
        <is>
          <t>서</t>
        </is>
      </c>
      <c r="G2109" s="31" t="n">
        <v>9</v>
      </c>
      <c r="H2109" s="30" t="n"/>
      <c r="I2109" s="43" t="n"/>
      <c r="J2109" s="41" t="n"/>
      <c r="K2109" s="41" t="n"/>
      <c r="L2109" s="41" t="n"/>
      <c r="M2109" s="31">
        <f>IF(COUNT(J2109:L2109)=0,"",MEDIAN(J2109:L2109))</f>
        <v/>
      </c>
      <c r="N2109" s="26">
        <f>IF(COUNTIFS($C:$C,$C2109,$D:$D,$D2109,$E:$E,"P0(전)",$M:$M,"&gt;0")&lt;&gt;1,"P0(전) 유효 1개 아님",IF(COUNTIFS($C:$C,$C2109,$D:$D,$D2109,$E:$E,"P0(후)",$M:$M,"&gt;0")&lt;&gt;1,"P0(후) 유효 1개 아님",IF(NOT(AND(ISNUMBER(O2109),ISNUMBER(Q2109),ISNUMBER(I2109))),"시각 결측",IF(Q2109&lt;=O2109,"P0 시각 역전",IF(OR(I2109&lt;O2109,I2109&gt;Q2109),"측정시각 구간 밖","OK")))))</f>
        <v/>
      </c>
      <c r="O2109" s="48">
        <f>IF(COUNTIFS($C:$C,$C2109,$D:$D,$D2109,$E:$E,"P0(전)",$M:$M,"&gt;0")&lt;&gt;1,"",SUMIFS($I:$I,$C:$C,$C2109,$D:$D,$D2109,$E:$E,"P0(전)"))</f>
        <v/>
      </c>
      <c r="P2109" s="31">
        <f>IF(COUNTIFS($C:$C,$C2109,$D:$D,$D2109,$E:$E,"P0(전)",$M:$M,"&gt;0")&lt;&gt;1,"",SUMIFS($M:$M,$C:$C,$C2109,$D:$D,$D2109,$E:$E,"P0(전)"))</f>
        <v/>
      </c>
      <c r="Q2109" s="48">
        <f>IF(COUNTIFS($C:$C,$C2109,$D:$D,$D2109,$E:$E,"P0(후)",$M:$M,"&gt;0")&lt;&gt;1,"",SUMIFS($I:$I,$C:$C,$C2109,$D:$D,$D2109,$E:$E,"P0(후)"))</f>
        <v/>
      </c>
      <c r="R2109" s="31">
        <f>IF(COUNTIFS($C:$C,$C2109,$D:$D,$D2109,$E:$E,"P0(후)",$M:$M,"&gt;0")&lt;&gt;1,"",SUMIFS($M:$M,$C:$C,$C2109,$D:$D,$D2109,$E:$E,"P0(후)"))</f>
        <v/>
      </c>
      <c r="S2109" s="31">
        <f>IF(N2109&lt;&gt;"OK","",P2109+(R2109-P2109)*(I2109-O2109)/(Q2109-O2109))</f>
        <v/>
      </c>
      <c r="T2109" s="31">
        <f>IF(OR(N2109&lt;&gt;"OK",NOT(ISNUMBER(M2109))),"",M2109-S2109)</f>
        <v/>
      </c>
      <c r="U2109" s="49">
        <f>IF(OR(NOT(ISNUMBER(T2109)),IF(ISNUMBER(H2109),H2109,G2109)=0),"",T2109/IF(ISNUMBER(H2109),H2109,G2109))</f>
        <v/>
      </c>
      <c r="V2109" s="49">
        <f>IF(ISNUMBER(U2109),ABS(U2109),"")</f>
        <v/>
      </c>
      <c r="W2109" s="49">
        <f>IF(OR($E2108&lt;&gt;"측정",$C2108&lt;&gt;$C2109,$D2108&lt;&gt;$D2109,NOT(ISNUMBER(M2109)),NOT(ISNUMBER(M2108)),(IF(ISNUMBER(H2109),H2109,G2109)-IF(ISNUMBER(H2108),H2108,G2108))=0),"",(M2109-M2108)/(IF(ISNUMBER(H2109),H2109,G2109)-IF(ISNUMBER(H2108),H2108,G2108)))</f>
        <v/>
      </c>
      <c r="X2109" s="31">
        <f>IF(NOT(AND(ISNUMBER(O2109),ISNUMBER(Q2109))),"",(Q2109-O2109)*1440)</f>
        <v/>
      </c>
      <c r="Y2109" s="29" t="n"/>
      <c r="Z2109" s="29" t="n"/>
      <c r="AA2109" s="29" t="n"/>
      <c r="AB2109" s="32" t="n"/>
      <c r="AC2109" s="32" t="n"/>
    </row>
    <row r="2110">
      <c r="A2110" s="26" t="inlineStr">
        <is>
          <t>S41</t>
        </is>
      </c>
      <c r="B2110" s="26" t="inlineStr">
        <is>
          <t>거제</t>
        </is>
      </c>
      <c r="C2110" s="26" t="inlineStr">
        <is>
          <t>S41-H서</t>
        </is>
      </c>
      <c r="D2110" s="47" t="n">
        <v>1</v>
      </c>
      <c r="E2110" s="26" t="inlineStr">
        <is>
          <t>측정</t>
        </is>
      </c>
      <c r="F2110" s="26" t="inlineStr">
        <is>
          <t>서</t>
        </is>
      </c>
      <c r="G2110" s="31" t="n">
        <v>10</v>
      </c>
      <c r="H2110" s="30" t="n"/>
      <c r="I2110" s="43" t="n"/>
      <c r="J2110" s="41" t="n"/>
      <c r="K2110" s="41" t="n"/>
      <c r="L2110" s="41" t="n"/>
      <c r="M2110" s="31">
        <f>IF(COUNT(J2110:L2110)=0,"",MEDIAN(J2110:L2110))</f>
        <v/>
      </c>
      <c r="N2110" s="26">
        <f>IF(COUNTIFS($C:$C,$C2110,$D:$D,$D2110,$E:$E,"P0(전)",$M:$M,"&gt;0")&lt;&gt;1,"P0(전) 유효 1개 아님",IF(COUNTIFS($C:$C,$C2110,$D:$D,$D2110,$E:$E,"P0(후)",$M:$M,"&gt;0")&lt;&gt;1,"P0(후) 유효 1개 아님",IF(NOT(AND(ISNUMBER(O2110),ISNUMBER(Q2110),ISNUMBER(I2110))),"시각 결측",IF(Q2110&lt;=O2110,"P0 시각 역전",IF(OR(I2110&lt;O2110,I2110&gt;Q2110),"측정시각 구간 밖","OK")))))</f>
        <v/>
      </c>
      <c r="O2110" s="48">
        <f>IF(COUNTIFS($C:$C,$C2110,$D:$D,$D2110,$E:$E,"P0(전)",$M:$M,"&gt;0")&lt;&gt;1,"",SUMIFS($I:$I,$C:$C,$C2110,$D:$D,$D2110,$E:$E,"P0(전)"))</f>
        <v/>
      </c>
      <c r="P2110" s="31">
        <f>IF(COUNTIFS($C:$C,$C2110,$D:$D,$D2110,$E:$E,"P0(전)",$M:$M,"&gt;0")&lt;&gt;1,"",SUMIFS($M:$M,$C:$C,$C2110,$D:$D,$D2110,$E:$E,"P0(전)"))</f>
        <v/>
      </c>
      <c r="Q2110" s="48">
        <f>IF(COUNTIFS($C:$C,$C2110,$D:$D,$D2110,$E:$E,"P0(후)",$M:$M,"&gt;0")&lt;&gt;1,"",SUMIFS($I:$I,$C:$C,$C2110,$D:$D,$D2110,$E:$E,"P0(후)"))</f>
        <v/>
      </c>
      <c r="R2110" s="31">
        <f>IF(COUNTIFS($C:$C,$C2110,$D:$D,$D2110,$E:$E,"P0(후)",$M:$M,"&gt;0")&lt;&gt;1,"",SUMIFS($M:$M,$C:$C,$C2110,$D:$D,$D2110,$E:$E,"P0(후)"))</f>
        <v/>
      </c>
      <c r="S2110" s="31">
        <f>IF(N2110&lt;&gt;"OK","",P2110+(R2110-P2110)*(I2110-O2110)/(Q2110-O2110))</f>
        <v/>
      </c>
      <c r="T2110" s="31">
        <f>IF(OR(N2110&lt;&gt;"OK",NOT(ISNUMBER(M2110))),"",M2110-S2110)</f>
        <v/>
      </c>
      <c r="U2110" s="49">
        <f>IF(OR(NOT(ISNUMBER(T2110)),IF(ISNUMBER(H2110),H2110,G2110)=0),"",T2110/IF(ISNUMBER(H2110),H2110,G2110))</f>
        <v/>
      </c>
      <c r="V2110" s="49">
        <f>IF(ISNUMBER(U2110),ABS(U2110),"")</f>
        <v/>
      </c>
      <c r="W2110" s="49">
        <f>IF(OR($E2109&lt;&gt;"측정",$C2109&lt;&gt;$C2110,$D2109&lt;&gt;$D2110,NOT(ISNUMBER(M2110)),NOT(ISNUMBER(M2109)),(IF(ISNUMBER(H2110),H2110,G2110)-IF(ISNUMBER(H2109),H2109,G2109))=0),"",(M2110-M2109)/(IF(ISNUMBER(H2110),H2110,G2110)-IF(ISNUMBER(H2109),H2109,G2109)))</f>
        <v/>
      </c>
      <c r="X2110" s="31">
        <f>IF(NOT(AND(ISNUMBER(O2110),ISNUMBER(Q2110))),"",(Q2110-O2110)*1440)</f>
        <v/>
      </c>
      <c r="Y2110" s="29" t="n"/>
      <c r="Z2110" s="29" t="n"/>
      <c r="AA2110" s="29" t="n"/>
      <c r="AB2110" s="32" t="n"/>
      <c r="AC2110" s="32" t="n"/>
    </row>
    <row r="2111">
      <c r="A2111" s="44" t="inlineStr">
        <is>
          <t>S41</t>
        </is>
      </c>
      <c r="B2111" s="44" t="inlineStr">
        <is>
          <t>거제</t>
        </is>
      </c>
      <c r="C2111" s="44" t="inlineStr">
        <is>
          <t>S41-H서</t>
        </is>
      </c>
      <c r="D2111" s="45" t="n">
        <v>1</v>
      </c>
      <c r="E2111" s="44" t="inlineStr">
        <is>
          <t>P0(후)</t>
        </is>
      </c>
      <c r="F2111" s="44" t="inlineStr">
        <is>
          <t>서</t>
        </is>
      </c>
      <c r="G2111" s="46" t="n"/>
      <c r="H2111" s="30" t="n"/>
      <c r="I2111" s="43" t="n"/>
      <c r="J2111" s="41" t="n"/>
      <c r="K2111" s="41" t="n"/>
      <c r="L2111" s="41" t="n"/>
      <c r="M2111" s="31">
        <f>IF(COUNT(J2111:L2111)=0,"",MEDIAN(J2111:L2111))</f>
        <v/>
      </c>
      <c r="N2111" s="38" t="n"/>
      <c r="O2111" s="38" t="n"/>
      <c r="P2111" s="38" t="n"/>
      <c r="Q2111" s="38" t="n"/>
      <c r="R2111" s="38" t="n"/>
      <c r="S2111" s="38" t="n"/>
      <c r="T2111" s="38" t="n"/>
      <c r="U2111" s="38" t="n"/>
      <c r="V2111" s="38" t="n"/>
      <c r="W2111" s="38" t="n"/>
      <c r="X2111" s="38" t="n"/>
      <c r="Y2111" s="29" t="n"/>
      <c r="Z2111" s="29" t="n"/>
      <c r="AA2111" s="29" t="n"/>
      <c r="AB2111" s="32" t="n"/>
      <c r="AC2111" s="32" t="n"/>
    </row>
    <row r="2112">
      <c r="A2112" s="44" t="inlineStr">
        <is>
          <t>S41</t>
        </is>
      </c>
      <c r="B2112" s="44" t="inlineStr">
        <is>
          <t>거제</t>
        </is>
      </c>
      <c r="C2112" s="44" t="inlineStr">
        <is>
          <t>S41-H남</t>
        </is>
      </c>
      <c r="D2112" s="45" t="n">
        <v>1</v>
      </c>
      <c r="E2112" s="44" t="inlineStr">
        <is>
          <t>P0(전)</t>
        </is>
      </c>
      <c r="F2112" s="44" t="inlineStr">
        <is>
          <t>남</t>
        </is>
      </c>
      <c r="G2112" s="46" t="n"/>
      <c r="H2112" s="30" t="n"/>
      <c r="I2112" s="43" t="n"/>
      <c r="J2112" s="41" t="n"/>
      <c r="K2112" s="41" t="n"/>
      <c r="L2112" s="41" t="n"/>
      <c r="M2112" s="31">
        <f>IF(COUNT(J2112:L2112)=0,"",MEDIAN(J2112:L2112))</f>
        <v/>
      </c>
      <c r="N2112" s="38" t="n"/>
      <c r="O2112" s="38" t="n"/>
      <c r="P2112" s="38" t="n"/>
      <c r="Q2112" s="38" t="n"/>
      <c r="R2112" s="38" t="n"/>
      <c r="S2112" s="38" t="n"/>
      <c r="T2112" s="38" t="n"/>
      <c r="U2112" s="38" t="n"/>
      <c r="V2112" s="38" t="n"/>
      <c r="W2112" s="38" t="n"/>
      <c r="X2112" s="38" t="n"/>
      <c r="Y2112" s="29" t="n"/>
      <c r="Z2112" s="29" t="n"/>
      <c r="AA2112" s="29" t="n"/>
      <c r="AB2112" s="32" t="n"/>
      <c r="AC2112" s="32" t="n"/>
    </row>
    <row r="2113">
      <c r="A2113" s="26" t="inlineStr">
        <is>
          <t>S41</t>
        </is>
      </c>
      <c r="B2113" s="26" t="inlineStr">
        <is>
          <t>거제</t>
        </is>
      </c>
      <c r="C2113" s="26" t="inlineStr">
        <is>
          <t>S41-H남</t>
        </is>
      </c>
      <c r="D2113" s="47" t="n">
        <v>1</v>
      </c>
      <c r="E2113" s="26" t="inlineStr">
        <is>
          <t>측정</t>
        </is>
      </c>
      <c r="F2113" s="26" t="inlineStr">
        <is>
          <t>남</t>
        </is>
      </c>
      <c r="G2113" s="31" t="n">
        <v>0.5</v>
      </c>
      <c r="H2113" s="30" t="n"/>
      <c r="I2113" s="43" t="n"/>
      <c r="J2113" s="41" t="n"/>
      <c r="K2113" s="41" t="n"/>
      <c r="L2113" s="41" t="n"/>
      <c r="M2113" s="31">
        <f>IF(COUNT(J2113:L2113)=0,"",MEDIAN(J2113:L2113))</f>
        <v/>
      </c>
      <c r="N2113" s="26">
        <f>IF(COUNTIFS($C:$C,$C2113,$D:$D,$D2113,$E:$E,"P0(전)",$M:$M,"&gt;0")&lt;&gt;1,"P0(전) 유효 1개 아님",IF(COUNTIFS($C:$C,$C2113,$D:$D,$D2113,$E:$E,"P0(후)",$M:$M,"&gt;0")&lt;&gt;1,"P0(후) 유효 1개 아님",IF(NOT(AND(ISNUMBER(O2113),ISNUMBER(Q2113),ISNUMBER(I2113))),"시각 결측",IF(Q2113&lt;=O2113,"P0 시각 역전",IF(OR(I2113&lt;O2113,I2113&gt;Q2113),"측정시각 구간 밖","OK")))))</f>
        <v/>
      </c>
      <c r="O2113" s="48">
        <f>IF(COUNTIFS($C:$C,$C2113,$D:$D,$D2113,$E:$E,"P0(전)",$M:$M,"&gt;0")&lt;&gt;1,"",SUMIFS($I:$I,$C:$C,$C2113,$D:$D,$D2113,$E:$E,"P0(전)"))</f>
        <v/>
      </c>
      <c r="P2113" s="31">
        <f>IF(COUNTIFS($C:$C,$C2113,$D:$D,$D2113,$E:$E,"P0(전)",$M:$M,"&gt;0")&lt;&gt;1,"",SUMIFS($M:$M,$C:$C,$C2113,$D:$D,$D2113,$E:$E,"P0(전)"))</f>
        <v/>
      </c>
      <c r="Q2113" s="48">
        <f>IF(COUNTIFS($C:$C,$C2113,$D:$D,$D2113,$E:$E,"P0(후)",$M:$M,"&gt;0")&lt;&gt;1,"",SUMIFS($I:$I,$C:$C,$C2113,$D:$D,$D2113,$E:$E,"P0(후)"))</f>
        <v/>
      </c>
      <c r="R2113" s="31">
        <f>IF(COUNTIFS($C:$C,$C2113,$D:$D,$D2113,$E:$E,"P0(후)",$M:$M,"&gt;0")&lt;&gt;1,"",SUMIFS($M:$M,$C:$C,$C2113,$D:$D,$D2113,$E:$E,"P0(후)"))</f>
        <v/>
      </c>
      <c r="S2113" s="31">
        <f>IF(N2113&lt;&gt;"OK","",P2113+(R2113-P2113)*(I2113-O2113)/(Q2113-O2113))</f>
        <v/>
      </c>
      <c r="T2113" s="31">
        <f>IF(OR(N2113&lt;&gt;"OK",NOT(ISNUMBER(M2113))),"",M2113-S2113)</f>
        <v/>
      </c>
      <c r="U2113" s="49">
        <f>IF(OR(NOT(ISNUMBER(T2113)),IF(ISNUMBER(H2113),H2113,G2113)=0),"",T2113/IF(ISNUMBER(H2113),H2113,G2113))</f>
        <v/>
      </c>
      <c r="V2113" s="49">
        <f>IF(ISNUMBER(U2113),ABS(U2113),"")</f>
        <v/>
      </c>
      <c r="W2113" s="49">
        <f>IF(OR($E2112&lt;&gt;"측정",$C2112&lt;&gt;$C2113,$D2112&lt;&gt;$D2113,NOT(ISNUMBER(M2113)),NOT(ISNUMBER(M2112)),(IF(ISNUMBER(H2113),H2113,G2113)-IF(ISNUMBER(H2112),H2112,G2112))=0),"",(M2113-M2112)/(IF(ISNUMBER(H2113),H2113,G2113)-IF(ISNUMBER(H2112),H2112,G2112)))</f>
        <v/>
      </c>
      <c r="X2113" s="31">
        <f>IF(NOT(AND(ISNUMBER(O2113),ISNUMBER(Q2113))),"",(Q2113-O2113)*1440)</f>
        <v/>
      </c>
      <c r="Y2113" s="29" t="n"/>
      <c r="Z2113" s="29" t="n"/>
      <c r="AA2113" s="29" t="n"/>
      <c r="AB2113" s="32" t="n"/>
      <c r="AC2113" s="32" t="n"/>
    </row>
    <row r="2114">
      <c r="A2114" s="26" t="inlineStr">
        <is>
          <t>S41</t>
        </is>
      </c>
      <c r="B2114" s="26" t="inlineStr">
        <is>
          <t>거제</t>
        </is>
      </c>
      <c r="C2114" s="26" t="inlineStr">
        <is>
          <t>S41-H남</t>
        </is>
      </c>
      <c r="D2114" s="47" t="n">
        <v>1</v>
      </c>
      <c r="E2114" s="26" t="inlineStr">
        <is>
          <t>측정</t>
        </is>
      </c>
      <c r="F2114" s="26" t="inlineStr">
        <is>
          <t>남</t>
        </is>
      </c>
      <c r="G2114" s="31" t="n">
        <v>1</v>
      </c>
      <c r="H2114" s="30" t="n"/>
      <c r="I2114" s="43" t="n"/>
      <c r="J2114" s="41" t="n"/>
      <c r="K2114" s="41" t="n"/>
      <c r="L2114" s="41" t="n"/>
      <c r="M2114" s="31">
        <f>IF(COUNT(J2114:L2114)=0,"",MEDIAN(J2114:L2114))</f>
        <v/>
      </c>
      <c r="N2114" s="26">
        <f>IF(COUNTIFS($C:$C,$C2114,$D:$D,$D2114,$E:$E,"P0(전)",$M:$M,"&gt;0")&lt;&gt;1,"P0(전) 유효 1개 아님",IF(COUNTIFS($C:$C,$C2114,$D:$D,$D2114,$E:$E,"P0(후)",$M:$M,"&gt;0")&lt;&gt;1,"P0(후) 유효 1개 아님",IF(NOT(AND(ISNUMBER(O2114),ISNUMBER(Q2114),ISNUMBER(I2114))),"시각 결측",IF(Q2114&lt;=O2114,"P0 시각 역전",IF(OR(I2114&lt;O2114,I2114&gt;Q2114),"측정시각 구간 밖","OK")))))</f>
        <v/>
      </c>
      <c r="O2114" s="48">
        <f>IF(COUNTIFS($C:$C,$C2114,$D:$D,$D2114,$E:$E,"P0(전)",$M:$M,"&gt;0")&lt;&gt;1,"",SUMIFS($I:$I,$C:$C,$C2114,$D:$D,$D2114,$E:$E,"P0(전)"))</f>
        <v/>
      </c>
      <c r="P2114" s="31">
        <f>IF(COUNTIFS($C:$C,$C2114,$D:$D,$D2114,$E:$E,"P0(전)",$M:$M,"&gt;0")&lt;&gt;1,"",SUMIFS($M:$M,$C:$C,$C2114,$D:$D,$D2114,$E:$E,"P0(전)"))</f>
        <v/>
      </c>
      <c r="Q2114" s="48">
        <f>IF(COUNTIFS($C:$C,$C2114,$D:$D,$D2114,$E:$E,"P0(후)",$M:$M,"&gt;0")&lt;&gt;1,"",SUMIFS($I:$I,$C:$C,$C2114,$D:$D,$D2114,$E:$E,"P0(후)"))</f>
        <v/>
      </c>
      <c r="R2114" s="31">
        <f>IF(COUNTIFS($C:$C,$C2114,$D:$D,$D2114,$E:$E,"P0(후)",$M:$M,"&gt;0")&lt;&gt;1,"",SUMIFS($M:$M,$C:$C,$C2114,$D:$D,$D2114,$E:$E,"P0(후)"))</f>
        <v/>
      </c>
      <c r="S2114" s="31">
        <f>IF(N2114&lt;&gt;"OK","",P2114+(R2114-P2114)*(I2114-O2114)/(Q2114-O2114))</f>
        <v/>
      </c>
      <c r="T2114" s="31">
        <f>IF(OR(N2114&lt;&gt;"OK",NOT(ISNUMBER(M2114))),"",M2114-S2114)</f>
        <v/>
      </c>
      <c r="U2114" s="49">
        <f>IF(OR(NOT(ISNUMBER(T2114)),IF(ISNUMBER(H2114),H2114,G2114)=0),"",T2114/IF(ISNUMBER(H2114),H2114,G2114))</f>
        <v/>
      </c>
      <c r="V2114" s="49">
        <f>IF(ISNUMBER(U2114),ABS(U2114),"")</f>
        <v/>
      </c>
      <c r="W2114" s="49">
        <f>IF(OR($E2113&lt;&gt;"측정",$C2113&lt;&gt;$C2114,$D2113&lt;&gt;$D2114,NOT(ISNUMBER(M2114)),NOT(ISNUMBER(M2113)),(IF(ISNUMBER(H2114),H2114,G2114)-IF(ISNUMBER(H2113),H2113,G2113))=0),"",(M2114-M2113)/(IF(ISNUMBER(H2114),H2114,G2114)-IF(ISNUMBER(H2113),H2113,G2113)))</f>
        <v/>
      </c>
      <c r="X2114" s="31">
        <f>IF(NOT(AND(ISNUMBER(O2114),ISNUMBER(Q2114))),"",(Q2114-O2114)*1440)</f>
        <v/>
      </c>
      <c r="Y2114" s="29" t="n"/>
      <c r="Z2114" s="29" t="n"/>
      <c r="AA2114" s="29" t="n"/>
      <c r="AB2114" s="32" t="n"/>
      <c r="AC2114" s="32" t="n"/>
    </row>
    <row r="2115">
      <c r="A2115" s="26" t="inlineStr">
        <is>
          <t>S41</t>
        </is>
      </c>
      <c r="B2115" s="26" t="inlineStr">
        <is>
          <t>거제</t>
        </is>
      </c>
      <c r="C2115" s="26" t="inlineStr">
        <is>
          <t>S41-H남</t>
        </is>
      </c>
      <c r="D2115" s="47" t="n">
        <v>1</v>
      </c>
      <c r="E2115" s="26" t="inlineStr">
        <is>
          <t>측정</t>
        </is>
      </c>
      <c r="F2115" s="26" t="inlineStr">
        <is>
          <t>남</t>
        </is>
      </c>
      <c r="G2115" s="31" t="n">
        <v>2</v>
      </c>
      <c r="H2115" s="30" t="n"/>
      <c r="I2115" s="43" t="n"/>
      <c r="J2115" s="41" t="n"/>
      <c r="K2115" s="41" t="n"/>
      <c r="L2115" s="41" t="n"/>
      <c r="M2115" s="31">
        <f>IF(COUNT(J2115:L2115)=0,"",MEDIAN(J2115:L2115))</f>
        <v/>
      </c>
      <c r="N2115" s="26">
        <f>IF(COUNTIFS($C:$C,$C2115,$D:$D,$D2115,$E:$E,"P0(전)",$M:$M,"&gt;0")&lt;&gt;1,"P0(전) 유효 1개 아님",IF(COUNTIFS($C:$C,$C2115,$D:$D,$D2115,$E:$E,"P0(후)",$M:$M,"&gt;0")&lt;&gt;1,"P0(후) 유효 1개 아님",IF(NOT(AND(ISNUMBER(O2115),ISNUMBER(Q2115),ISNUMBER(I2115))),"시각 결측",IF(Q2115&lt;=O2115,"P0 시각 역전",IF(OR(I2115&lt;O2115,I2115&gt;Q2115),"측정시각 구간 밖","OK")))))</f>
        <v/>
      </c>
      <c r="O2115" s="48">
        <f>IF(COUNTIFS($C:$C,$C2115,$D:$D,$D2115,$E:$E,"P0(전)",$M:$M,"&gt;0")&lt;&gt;1,"",SUMIFS($I:$I,$C:$C,$C2115,$D:$D,$D2115,$E:$E,"P0(전)"))</f>
        <v/>
      </c>
      <c r="P2115" s="31">
        <f>IF(COUNTIFS($C:$C,$C2115,$D:$D,$D2115,$E:$E,"P0(전)",$M:$M,"&gt;0")&lt;&gt;1,"",SUMIFS($M:$M,$C:$C,$C2115,$D:$D,$D2115,$E:$E,"P0(전)"))</f>
        <v/>
      </c>
      <c r="Q2115" s="48">
        <f>IF(COUNTIFS($C:$C,$C2115,$D:$D,$D2115,$E:$E,"P0(후)",$M:$M,"&gt;0")&lt;&gt;1,"",SUMIFS($I:$I,$C:$C,$C2115,$D:$D,$D2115,$E:$E,"P0(후)"))</f>
        <v/>
      </c>
      <c r="R2115" s="31">
        <f>IF(COUNTIFS($C:$C,$C2115,$D:$D,$D2115,$E:$E,"P0(후)",$M:$M,"&gt;0")&lt;&gt;1,"",SUMIFS($M:$M,$C:$C,$C2115,$D:$D,$D2115,$E:$E,"P0(후)"))</f>
        <v/>
      </c>
      <c r="S2115" s="31">
        <f>IF(N2115&lt;&gt;"OK","",P2115+(R2115-P2115)*(I2115-O2115)/(Q2115-O2115))</f>
        <v/>
      </c>
      <c r="T2115" s="31">
        <f>IF(OR(N2115&lt;&gt;"OK",NOT(ISNUMBER(M2115))),"",M2115-S2115)</f>
        <v/>
      </c>
      <c r="U2115" s="49">
        <f>IF(OR(NOT(ISNUMBER(T2115)),IF(ISNUMBER(H2115),H2115,G2115)=0),"",T2115/IF(ISNUMBER(H2115),H2115,G2115))</f>
        <v/>
      </c>
      <c r="V2115" s="49">
        <f>IF(ISNUMBER(U2115),ABS(U2115),"")</f>
        <v/>
      </c>
      <c r="W2115" s="49">
        <f>IF(OR($E2114&lt;&gt;"측정",$C2114&lt;&gt;$C2115,$D2114&lt;&gt;$D2115,NOT(ISNUMBER(M2115)),NOT(ISNUMBER(M2114)),(IF(ISNUMBER(H2115),H2115,G2115)-IF(ISNUMBER(H2114),H2114,G2114))=0),"",(M2115-M2114)/(IF(ISNUMBER(H2115),H2115,G2115)-IF(ISNUMBER(H2114),H2114,G2114)))</f>
        <v/>
      </c>
      <c r="X2115" s="31">
        <f>IF(NOT(AND(ISNUMBER(O2115),ISNUMBER(Q2115))),"",(Q2115-O2115)*1440)</f>
        <v/>
      </c>
      <c r="Y2115" s="29" t="n"/>
      <c r="Z2115" s="29" t="n"/>
      <c r="AA2115" s="29" t="n"/>
      <c r="AB2115" s="32" t="n"/>
      <c r="AC2115" s="32" t="n"/>
    </row>
    <row r="2116">
      <c r="A2116" s="26" t="inlineStr">
        <is>
          <t>S41</t>
        </is>
      </c>
      <c r="B2116" s="26" t="inlineStr">
        <is>
          <t>거제</t>
        </is>
      </c>
      <c r="C2116" s="26" t="inlineStr">
        <is>
          <t>S41-H남</t>
        </is>
      </c>
      <c r="D2116" s="47" t="n">
        <v>1</v>
      </c>
      <c r="E2116" s="26" t="inlineStr">
        <is>
          <t>측정</t>
        </is>
      </c>
      <c r="F2116" s="26" t="inlineStr">
        <is>
          <t>남</t>
        </is>
      </c>
      <c r="G2116" s="31" t="n">
        <v>3</v>
      </c>
      <c r="H2116" s="30" t="n"/>
      <c r="I2116" s="43" t="n"/>
      <c r="J2116" s="41" t="n"/>
      <c r="K2116" s="41" t="n"/>
      <c r="L2116" s="41" t="n"/>
      <c r="M2116" s="31">
        <f>IF(COUNT(J2116:L2116)=0,"",MEDIAN(J2116:L2116))</f>
        <v/>
      </c>
      <c r="N2116" s="26">
        <f>IF(COUNTIFS($C:$C,$C2116,$D:$D,$D2116,$E:$E,"P0(전)",$M:$M,"&gt;0")&lt;&gt;1,"P0(전) 유효 1개 아님",IF(COUNTIFS($C:$C,$C2116,$D:$D,$D2116,$E:$E,"P0(후)",$M:$M,"&gt;0")&lt;&gt;1,"P0(후) 유효 1개 아님",IF(NOT(AND(ISNUMBER(O2116),ISNUMBER(Q2116),ISNUMBER(I2116))),"시각 결측",IF(Q2116&lt;=O2116,"P0 시각 역전",IF(OR(I2116&lt;O2116,I2116&gt;Q2116),"측정시각 구간 밖","OK")))))</f>
        <v/>
      </c>
      <c r="O2116" s="48">
        <f>IF(COUNTIFS($C:$C,$C2116,$D:$D,$D2116,$E:$E,"P0(전)",$M:$M,"&gt;0")&lt;&gt;1,"",SUMIFS($I:$I,$C:$C,$C2116,$D:$D,$D2116,$E:$E,"P0(전)"))</f>
        <v/>
      </c>
      <c r="P2116" s="31">
        <f>IF(COUNTIFS($C:$C,$C2116,$D:$D,$D2116,$E:$E,"P0(전)",$M:$M,"&gt;0")&lt;&gt;1,"",SUMIFS($M:$M,$C:$C,$C2116,$D:$D,$D2116,$E:$E,"P0(전)"))</f>
        <v/>
      </c>
      <c r="Q2116" s="48">
        <f>IF(COUNTIFS($C:$C,$C2116,$D:$D,$D2116,$E:$E,"P0(후)",$M:$M,"&gt;0")&lt;&gt;1,"",SUMIFS($I:$I,$C:$C,$C2116,$D:$D,$D2116,$E:$E,"P0(후)"))</f>
        <v/>
      </c>
      <c r="R2116" s="31">
        <f>IF(COUNTIFS($C:$C,$C2116,$D:$D,$D2116,$E:$E,"P0(후)",$M:$M,"&gt;0")&lt;&gt;1,"",SUMIFS($M:$M,$C:$C,$C2116,$D:$D,$D2116,$E:$E,"P0(후)"))</f>
        <v/>
      </c>
      <c r="S2116" s="31">
        <f>IF(N2116&lt;&gt;"OK","",P2116+(R2116-P2116)*(I2116-O2116)/(Q2116-O2116))</f>
        <v/>
      </c>
      <c r="T2116" s="31">
        <f>IF(OR(N2116&lt;&gt;"OK",NOT(ISNUMBER(M2116))),"",M2116-S2116)</f>
        <v/>
      </c>
      <c r="U2116" s="49">
        <f>IF(OR(NOT(ISNUMBER(T2116)),IF(ISNUMBER(H2116),H2116,G2116)=0),"",T2116/IF(ISNUMBER(H2116),H2116,G2116))</f>
        <v/>
      </c>
      <c r="V2116" s="49">
        <f>IF(ISNUMBER(U2116),ABS(U2116),"")</f>
        <v/>
      </c>
      <c r="W2116" s="49">
        <f>IF(OR($E2115&lt;&gt;"측정",$C2115&lt;&gt;$C2116,$D2115&lt;&gt;$D2116,NOT(ISNUMBER(M2116)),NOT(ISNUMBER(M2115)),(IF(ISNUMBER(H2116),H2116,G2116)-IF(ISNUMBER(H2115),H2115,G2115))=0),"",(M2116-M2115)/(IF(ISNUMBER(H2116),H2116,G2116)-IF(ISNUMBER(H2115),H2115,G2115)))</f>
        <v/>
      </c>
      <c r="X2116" s="31">
        <f>IF(NOT(AND(ISNUMBER(O2116),ISNUMBER(Q2116))),"",(Q2116-O2116)*1440)</f>
        <v/>
      </c>
      <c r="Y2116" s="29" t="n"/>
      <c r="Z2116" s="29" t="n"/>
      <c r="AA2116" s="29" t="n"/>
      <c r="AB2116" s="32" t="n"/>
      <c r="AC2116" s="32" t="n"/>
    </row>
    <row r="2117">
      <c r="A2117" s="26" t="inlineStr">
        <is>
          <t>S41</t>
        </is>
      </c>
      <c r="B2117" s="26" t="inlineStr">
        <is>
          <t>거제</t>
        </is>
      </c>
      <c r="C2117" s="26" t="inlineStr">
        <is>
          <t>S41-H남</t>
        </is>
      </c>
      <c r="D2117" s="47" t="n">
        <v>1</v>
      </c>
      <c r="E2117" s="26" t="inlineStr">
        <is>
          <t>측정</t>
        </is>
      </c>
      <c r="F2117" s="26" t="inlineStr">
        <is>
          <t>남</t>
        </is>
      </c>
      <c r="G2117" s="31" t="n">
        <v>4</v>
      </c>
      <c r="H2117" s="30" t="n"/>
      <c r="I2117" s="43" t="n"/>
      <c r="J2117" s="41" t="n"/>
      <c r="K2117" s="41" t="n"/>
      <c r="L2117" s="41" t="n"/>
      <c r="M2117" s="31">
        <f>IF(COUNT(J2117:L2117)=0,"",MEDIAN(J2117:L2117))</f>
        <v/>
      </c>
      <c r="N2117" s="26">
        <f>IF(COUNTIFS($C:$C,$C2117,$D:$D,$D2117,$E:$E,"P0(전)",$M:$M,"&gt;0")&lt;&gt;1,"P0(전) 유효 1개 아님",IF(COUNTIFS($C:$C,$C2117,$D:$D,$D2117,$E:$E,"P0(후)",$M:$M,"&gt;0")&lt;&gt;1,"P0(후) 유효 1개 아님",IF(NOT(AND(ISNUMBER(O2117),ISNUMBER(Q2117),ISNUMBER(I2117))),"시각 결측",IF(Q2117&lt;=O2117,"P0 시각 역전",IF(OR(I2117&lt;O2117,I2117&gt;Q2117),"측정시각 구간 밖","OK")))))</f>
        <v/>
      </c>
      <c r="O2117" s="48">
        <f>IF(COUNTIFS($C:$C,$C2117,$D:$D,$D2117,$E:$E,"P0(전)",$M:$M,"&gt;0")&lt;&gt;1,"",SUMIFS($I:$I,$C:$C,$C2117,$D:$D,$D2117,$E:$E,"P0(전)"))</f>
        <v/>
      </c>
      <c r="P2117" s="31">
        <f>IF(COUNTIFS($C:$C,$C2117,$D:$D,$D2117,$E:$E,"P0(전)",$M:$M,"&gt;0")&lt;&gt;1,"",SUMIFS($M:$M,$C:$C,$C2117,$D:$D,$D2117,$E:$E,"P0(전)"))</f>
        <v/>
      </c>
      <c r="Q2117" s="48">
        <f>IF(COUNTIFS($C:$C,$C2117,$D:$D,$D2117,$E:$E,"P0(후)",$M:$M,"&gt;0")&lt;&gt;1,"",SUMIFS($I:$I,$C:$C,$C2117,$D:$D,$D2117,$E:$E,"P0(후)"))</f>
        <v/>
      </c>
      <c r="R2117" s="31">
        <f>IF(COUNTIFS($C:$C,$C2117,$D:$D,$D2117,$E:$E,"P0(후)",$M:$M,"&gt;0")&lt;&gt;1,"",SUMIFS($M:$M,$C:$C,$C2117,$D:$D,$D2117,$E:$E,"P0(후)"))</f>
        <v/>
      </c>
      <c r="S2117" s="31">
        <f>IF(N2117&lt;&gt;"OK","",P2117+(R2117-P2117)*(I2117-O2117)/(Q2117-O2117))</f>
        <v/>
      </c>
      <c r="T2117" s="31">
        <f>IF(OR(N2117&lt;&gt;"OK",NOT(ISNUMBER(M2117))),"",M2117-S2117)</f>
        <v/>
      </c>
      <c r="U2117" s="49">
        <f>IF(OR(NOT(ISNUMBER(T2117)),IF(ISNUMBER(H2117),H2117,G2117)=0),"",T2117/IF(ISNUMBER(H2117),H2117,G2117))</f>
        <v/>
      </c>
      <c r="V2117" s="49">
        <f>IF(ISNUMBER(U2117),ABS(U2117),"")</f>
        <v/>
      </c>
      <c r="W2117" s="49">
        <f>IF(OR($E2116&lt;&gt;"측정",$C2116&lt;&gt;$C2117,$D2116&lt;&gt;$D2117,NOT(ISNUMBER(M2117)),NOT(ISNUMBER(M2116)),(IF(ISNUMBER(H2117),H2117,G2117)-IF(ISNUMBER(H2116),H2116,G2116))=0),"",(M2117-M2116)/(IF(ISNUMBER(H2117),H2117,G2117)-IF(ISNUMBER(H2116),H2116,G2116)))</f>
        <v/>
      </c>
      <c r="X2117" s="31">
        <f>IF(NOT(AND(ISNUMBER(O2117),ISNUMBER(Q2117))),"",(Q2117-O2117)*1440)</f>
        <v/>
      </c>
      <c r="Y2117" s="29" t="n"/>
      <c r="Z2117" s="29" t="n"/>
      <c r="AA2117" s="29" t="n"/>
      <c r="AB2117" s="32" t="n"/>
      <c r="AC2117" s="32" t="n"/>
    </row>
    <row r="2118">
      <c r="A2118" s="26" t="inlineStr">
        <is>
          <t>S41</t>
        </is>
      </c>
      <c r="B2118" s="26" t="inlineStr">
        <is>
          <t>거제</t>
        </is>
      </c>
      <c r="C2118" s="26" t="inlineStr">
        <is>
          <t>S41-H남</t>
        </is>
      </c>
      <c r="D2118" s="47" t="n">
        <v>1</v>
      </c>
      <c r="E2118" s="26" t="inlineStr">
        <is>
          <t>측정</t>
        </is>
      </c>
      <c r="F2118" s="26" t="inlineStr">
        <is>
          <t>남</t>
        </is>
      </c>
      <c r="G2118" s="31" t="n">
        <v>5</v>
      </c>
      <c r="H2118" s="30" t="n"/>
      <c r="I2118" s="43" t="n"/>
      <c r="J2118" s="41" t="n"/>
      <c r="K2118" s="41" t="n"/>
      <c r="L2118" s="41" t="n"/>
      <c r="M2118" s="31">
        <f>IF(COUNT(J2118:L2118)=0,"",MEDIAN(J2118:L2118))</f>
        <v/>
      </c>
      <c r="N2118" s="26">
        <f>IF(COUNTIFS($C:$C,$C2118,$D:$D,$D2118,$E:$E,"P0(전)",$M:$M,"&gt;0")&lt;&gt;1,"P0(전) 유효 1개 아님",IF(COUNTIFS($C:$C,$C2118,$D:$D,$D2118,$E:$E,"P0(후)",$M:$M,"&gt;0")&lt;&gt;1,"P0(후) 유효 1개 아님",IF(NOT(AND(ISNUMBER(O2118),ISNUMBER(Q2118),ISNUMBER(I2118))),"시각 결측",IF(Q2118&lt;=O2118,"P0 시각 역전",IF(OR(I2118&lt;O2118,I2118&gt;Q2118),"측정시각 구간 밖","OK")))))</f>
        <v/>
      </c>
      <c r="O2118" s="48">
        <f>IF(COUNTIFS($C:$C,$C2118,$D:$D,$D2118,$E:$E,"P0(전)",$M:$M,"&gt;0")&lt;&gt;1,"",SUMIFS($I:$I,$C:$C,$C2118,$D:$D,$D2118,$E:$E,"P0(전)"))</f>
        <v/>
      </c>
      <c r="P2118" s="31">
        <f>IF(COUNTIFS($C:$C,$C2118,$D:$D,$D2118,$E:$E,"P0(전)",$M:$M,"&gt;0")&lt;&gt;1,"",SUMIFS($M:$M,$C:$C,$C2118,$D:$D,$D2118,$E:$E,"P0(전)"))</f>
        <v/>
      </c>
      <c r="Q2118" s="48">
        <f>IF(COUNTIFS($C:$C,$C2118,$D:$D,$D2118,$E:$E,"P0(후)",$M:$M,"&gt;0")&lt;&gt;1,"",SUMIFS($I:$I,$C:$C,$C2118,$D:$D,$D2118,$E:$E,"P0(후)"))</f>
        <v/>
      </c>
      <c r="R2118" s="31">
        <f>IF(COUNTIFS($C:$C,$C2118,$D:$D,$D2118,$E:$E,"P0(후)",$M:$M,"&gt;0")&lt;&gt;1,"",SUMIFS($M:$M,$C:$C,$C2118,$D:$D,$D2118,$E:$E,"P0(후)"))</f>
        <v/>
      </c>
      <c r="S2118" s="31">
        <f>IF(N2118&lt;&gt;"OK","",P2118+(R2118-P2118)*(I2118-O2118)/(Q2118-O2118))</f>
        <v/>
      </c>
      <c r="T2118" s="31">
        <f>IF(OR(N2118&lt;&gt;"OK",NOT(ISNUMBER(M2118))),"",M2118-S2118)</f>
        <v/>
      </c>
      <c r="U2118" s="49">
        <f>IF(OR(NOT(ISNUMBER(T2118)),IF(ISNUMBER(H2118),H2118,G2118)=0),"",T2118/IF(ISNUMBER(H2118),H2118,G2118))</f>
        <v/>
      </c>
      <c r="V2118" s="49">
        <f>IF(ISNUMBER(U2118),ABS(U2118),"")</f>
        <v/>
      </c>
      <c r="W2118" s="49">
        <f>IF(OR($E2117&lt;&gt;"측정",$C2117&lt;&gt;$C2118,$D2117&lt;&gt;$D2118,NOT(ISNUMBER(M2118)),NOT(ISNUMBER(M2117)),(IF(ISNUMBER(H2118),H2118,G2118)-IF(ISNUMBER(H2117),H2117,G2117))=0),"",(M2118-M2117)/(IF(ISNUMBER(H2118),H2118,G2118)-IF(ISNUMBER(H2117),H2117,G2117)))</f>
        <v/>
      </c>
      <c r="X2118" s="31">
        <f>IF(NOT(AND(ISNUMBER(O2118),ISNUMBER(Q2118))),"",(Q2118-O2118)*1440)</f>
        <v/>
      </c>
      <c r="Y2118" s="29" t="n"/>
      <c r="Z2118" s="29" t="n"/>
      <c r="AA2118" s="29" t="n"/>
      <c r="AB2118" s="32" t="n"/>
      <c r="AC2118" s="32" t="n"/>
    </row>
    <row r="2119">
      <c r="A2119" s="26" t="inlineStr">
        <is>
          <t>S41</t>
        </is>
      </c>
      <c r="B2119" s="26" t="inlineStr">
        <is>
          <t>거제</t>
        </is>
      </c>
      <c r="C2119" s="26" t="inlineStr">
        <is>
          <t>S41-H남</t>
        </is>
      </c>
      <c r="D2119" s="47" t="n">
        <v>1</v>
      </c>
      <c r="E2119" s="26" t="inlineStr">
        <is>
          <t>측정</t>
        </is>
      </c>
      <c r="F2119" s="26" t="inlineStr">
        <is>
          <t>남</t>
        </is>
      </c>
      <c r="G2119" s="31" t="n">
        <v>6</v>
      </c>
      <c r="H2119" s="30" t="n"/>
      <c r="I2119" s="43" t="n"/>
      <c r="J2119" s="41" t="n"/>
      <c r="K2119" s="41" t="n"/>
      <c r="L2119" s="41" t="n"/>
      <c r="M2119" s="31">
        <f>IF(COUNT(J2119:L2119)=0,"",MEDIAN(J2119:L2119))</f>
        <v/>
      </c>
      <c r="N2119" s="26">
        <f>IF(COUNTIFS($C:$C,$C2119,$D:$D,$D2119,$E:$E,"P0(전)",$M:$M,"&gt;0")&lt;&gt;1,"P0(전) 유효 1개 아님",IF(COUNTIFS($C:$C,$C2119,$D:$D,$D2119,$E:$E,"P0(후)",$M:$M,"&gt;0")&lt;&gt;1,"P0(후) 유효 1개 아님",IF(NOT(AND(ISNUMBER(O2119),ISNUMBER(Q2119),ISNUMBER(I2119))),"시각 결측",IF(Q2119&lt;=O2119,"P0 시각 역전",IF(OR(I2119&lt;O2119,I2119&gt;Q2119),"측정시각 구간 밖","OK")))))</f>
        <v/>
      </c>
      <c r="O2119" s="48">
        <f>IF(COUNTIFS($C:$C,$C2119,$D:$D,$D2119,$E:$E,"P0(전)",$M:$M,"&gt;0")&lt;&gt;1,"",SUMIFS($I:$I,$C:$C,$C2119,$D:$D,$D2119,$E:$E,"P0(전)"))</f>
        <v/>
      </c>
      <c r="P2119" s="31">
        <f>IF(COUNTIFS($C:$C,$C2119,$D:$D,$D2119,$E:$E,"P0(전)",$M:$M,"&gt;0")&lt;&gt;1,"",SUMIFS($M:$M,$C:$C,$C2119,$D:$D,$D2119,$E:$E,"P0(전)"))</f>
        <v/>
      </c>
      <c r="Q2119" s="48">
        <f>IF(COUNTIFS($C:$C,$C2119,$D:$D,$D2119,$E:$E,"P0(후)",$M:$M,"&gt;0")&lt;&gt;1,"",SUMIFS($I:$I,$C:$C,$C2119,$D:$D,$D2119,$E:$E,"P0(후)"))</f>
        <v/>
      </c>
      <c r="R2119" s="31">
        <f>IF(COUNTIFS($C:$C,$C2119,$D:$D,$D2119,$E:$E,"P0(후)",$M:$M,"&gt;0")&lt;&gt;1,"",SUMIFS($M:$M,$C:$C,$C2119,$D:$D,$D2119,$E:$E,"P0(후)"))</f>
        <v/>
      </c>
      <c r="S2119" s="31">
        <f>IF(N2119&lt;&gt;"OK","",P2119+(R2119-P2119)*(I2119-O2119)/(Q2119-O2119))</f>
        <v/>
      </c>
      <c r="T2119" s="31">
        <f>IF(OR(N2119&lt;&gt;"OK",NOT(ISNUMBER(M2119))),"",M2119-S2119)</f>
        <v/>
      </c>
      <c r="U2119" s="49">
        <f>IF(OR(NOT(ISNUMBER(T2119)),IF(ISNUMBER(H2119),H2119,G2119)=0),"",T2119/IF(ISNUMBER(H2119),H2119,G2119))</f>
        <v/>
      </c>
      <c r="V2119" s="49">
        <f>IF(ISNUMBER(U2119),ABS(U2119),"")</f>
        <v/>
      </c>
      <c r="W2119" s="49">
        <f>IF(OR($E2118&lt;&gt;"측정",$C2118&lt;&gt;$C2119,$D2118&lt;&gt;$D2119,NOT(ISNUMBER(M2119)),NOT(ISNUMBER(M2118)),(IF(ISNUMBER(H2119),H2119,G2119)-IF(ISNUMBER(H2118),H2118,G2118))=0),"",(M2119-M2118)/(IF(ISNUMBER(H2119),H2119,G2119)-IF(ISNUMBER(H2118),H2118,G2118)))</f>
        <v/>
      </c>
      <c r="X2119" s="31">
        <f>IF(NOT(AND(ISNUMBER(O2119),ISNUMBER(Q2119))),"",(Q2119-O2119)*1440)</f>
        <v/>
      </c>
      <c r="Y2119" s="29" t="n"/>
      <c r="Z2119" s="29" t="n"/>
      <c r="AA2119" s="29" t="n"/>
      <c r="AB2119" s="32" t="n"/>
      <c r="AC2119" s="32" t="n"/>
    </row>
    <row r="2120">
      <c r="A2120" s="26" t="inlineStr">
        <is>
          <t>S41</t>
        </is>
      </c>
      <c r="B2120" s="26" t="inlineStr">
        <is>
          <t>거제</t>
        </is>
      </c>
      <c r="C2120" s="26" t="inlineStr">
        <is>
          <t>S41-H남</t>
        </is>
      </c>
      <c r="D2120" s="47" t="n">
        <v>1</v>
      </c>
      <c r="E2120" s="26" t="inlineStr">
        <is>
          <t>측정</t>
        </is>
      </c>
      <c r="F2120" s="26" t="inlineStr">
        <is>
          <t>남</t>
        </is>
      </c>
      <c r="G2120" s="31" t="n">
        <v>7</v>
      </c>
      <c r="H2120" s="30" t="n"/>
      <c r="I2120" s="43" t="n"/>
      <c r="J2120" s="41" t="n"/>
      <c r="K2120" s="41" t="n"/>
      <c r="L2120" s="41" t="n"/>
      <c r="M2120" s="31">
        <f>IF(COUNT(J2120:L2120)=0,"",MEDIAN(J2120:L2120))</f>
        <v/>
      </c>
      <c r="N2120" s="26">
        <f>IF(COUNTIFS($C:$C,$C2120,$D:$D,$D2120,$E:$E,"P0(전)",$M:$M,"&gt;0")&lt;&gt;1,"P0(전) 유효 1개 아님",IF(COUNTIFS($C:$C,$C2120,$D:$D,$D2120,$E:$E,"P0(후)",$M:$M,"&gt;0")&lt;&gt;1,"P0(후) 유효 1개 아님",IF(NOT(AND(ISNUMBER(O2120),ISNUMBER(Q2120),ISNUMBER(I2120))),"시각 결측",IF(Q2120&lt;=O2120,"P0 시각 역전",IF(OR(I2120&lt;O2120,I2120&gt;Q2120),"측정시각 구간 밖","OK")))))</f>
        <v/>
      </c>
      <c r="O2120" s="48">
        <f>IF(COUNTIFS($C:$C,$C2120,$D:$D,$D2120,$E:$E,"P0(전)",$M:$M,"&gt;0")&lt;&gt;1,"",SUMIFS($I:$I,$C:$C,$C2120,$D:$D,$D2120,$E:$E,"P0(전)"))</f>
        <v/>
      </c>
      <c r="P2120" s="31">
        <f>IF(COUNTIFS($C:$C,$C2120,$D:$D,$D2120,$E:$E,"P0(전)",$M:$M,"&gt;0")&lt;&gt;1,"",SUMIFS($M:$M,$C:$C,$C2120,$D:$D,$D2120,$E:$E,"P0(전)"))</f>
        <v/>
      </c>
      <c r="Q2120" s="48">
        <f>IF(COUNTIFS($C:$C,$C2120,$D:$D,$D2120,$E:$E,"P0(후)",$M:$M,"&gt;0")&lt;&gt;1,"",SUMIFS($I:$I,$C:$C,$C2120,$D:$D,$D2120,$E:$E,"P0(후)"))</f>
        <v/>
      </c>
      <c r="R2120" s="31">
        <f>IF(COUNTIFS($C:$C,$C2120,$D:$D,$D2120,$E:$E,"P0(후)",$M:$M,"&gt;0")&lt;&gt;1,"",SUMIFS($M:$M,$C:$C,$C2120,$D:$D,$D2120,$E:$E,"P0(후)"))</f>
        <v/>
      </c>
      <c r="S2120" s="31">
        <f>IF(N2120&lt;&gt;"OK","",P2120+(R2120-P2120)*(I2120-O2120)/(Q2120-O2120))</f>
        <v/>
      </c>
      <c r="T2120" s="31">
        <f>IF(OR(N2120&lt;&gt;"OK",NOT(ISNUMBER(M2120))),"",M2120-S2120)</f>
        <v/>
      </c>
      <c r="U2120" s="49">
        <f>IF(OR(NOT(ISNUMBER(T2120)),IF(ISNUMBER(H2120),H2120,G2120)=0),"",T2120/IF(ISNUMBER(H2120),H2120,G2120))</f>
        <v/>
      </c>
      <c r="V2120" s="49">
        <f>IF(ISNUMBER(U2120),ABS(U2120),"")</f>
        <v/>
      </c>
      <c r="W2120" s="49">
        <f>IF(OR($E2119&lt;&gt;"측정",$C2119&lt;&gt;$C2120,$D2119&lt;&gt;$D2120,NOT(ISNUMBER(M2120)),NOT(ISNUMBER(M2119)),(IF(ISNUMBER(H2120),H2120,G2120)-IF(ISNUMBER(H2119),H2119,G2119))=0),"",(M2120-M2119)/(IF(ISNUMBER(H2120),H2120,G2120)-IF(ISNUMBER(H2119),H2119,G2119)))</f>
        <v/>
      </c>
      <c r="X2120" s="31">
        <f>IF(NOT(AND(ISNUMBER(O2120),ISNUMBER(Q2120))),"",(Q2120-O2120)*1440)</f>
        <v/>
      </c>
      <c r="Y2120" s="29" t="n"/>
      <c r="Z2120" s="29" t="n"/>
      <c r="AA2120" s="29" t="n"/>
      <c r="AB2120" s="32" t="n"/>
      <c r="AC2120" s="32" t="n"/>
    </row>
    <row r="2121">
      <c r="A2121" s="26" t="inlineStr">
        <is>
          <t>S41</t>
        </is>
      </c>
      <c r="B2121" s="26" t="inlineStr">
        <is>
          <t>거제</t>
        </is>
      </c>
      <c r="C2121" s="26" t="inlineStr">
        <is>
          <t>S41-H남</t>
        </is>
      </c>
      <c r="D2121" s="47" t="n">
        <v>1</v>
      </c>
      <c r="E2121" s="26" t="inlineStr">
        <is>
          <t>측정</t>
        </is>
      </c>
      <c r="F2121" s="26" t="inlineStr">
        <is>
          <t>남</t>
        </is>
      </c>
      <c r="G2121" s="31" t="n">
        <v>8</v>
      </c>
      <c r="H2121" s="30" t="n"/>
      <c r="I2121" s="43" t="n"/>
      <c r="J2121" s="41" t="n"/>
      <c r="K2121" s="41" t="n"/>
      <c r="L2121" s="41" t="n"/>
      <c r="M2121" s="31">
        <f>IF(COUNT(J2121:L2121)=0,"",MEDIAN(J2121:L2121))</f>
        <v/>
      </c>
      <c r="N2121" s="26">
        <f>IF(COUNTIFS($C:$C,$C2121,$D:$D,$D2121,$E:$E,"P0(전)",$M:$M,"&gt;0")&lt;&gt;1,"P0(전) 유효 1개 아님",IF(COUNTIFS($C:$C,$C2121,$D:$D,$D2121,$E:$E,"P0(후)",$M:$M,"&gt;0")&lt;&gt;1,"P0(후) 유효 1개 아님",IF(NOT(AND(ISNUMBER(O2121),ISNUMBER(Q2121),ISNUMBER(I2121))),"시각 결측",IF(Q2121&lt;=O2121,"P0 시각 역전",IF(OR(I2121&lt;O2121,I2121&gt;Q2121),"측정시각 구간 밖","OK")))))</f>
        <v/>
      </c>
      <c r="O2121" s="48">
        <f>IF(COUNTIFS($C:$C,$C2121,$D:$D,$D2121,$E:$E,"P0(전)",$M:$M,"&gt;0")&lt;&gt;1,"",SUMIFS($I:$I,$C:$C,$C2121,$D:$D,$D2121,$E:$E,"P0(전)"))</f>
        <v/>
      </c>
      <c r="P2121" s="31">
        <f>IF(COUNTIFS($C:$C,$C2121,$D:$D,$D2121,$E:$E,"P0(전)",$M:$M,"&gt;0")&lt;&gt;1,"",SUMIFS($M:$M,$C:$C,$C2121,$D:$D,$D2121,$E:$E,"P0(전)"))</f>
        <v/>
      </c>
      <c r="Q2121" s="48">
        <f>IF(COUNTIFS($C:$C,$C2121,$D:$D,$D2121,$E:$E,"P0(후)",$M:$M,"&gt;0")&lt;&gt;1,"",SUMIFS($I:$I,$C:$C,$C2121,$D:$D,$D2121,$E:$E,"P0(후)"))</f>
        <v/>
      </c>
      <c r="R2121" s="31">
        <f>IF(COUNTIFS($C:$C,$C2121,$D:$D,$D2121,$E:$E,"P0(후)",$M:$M,"&gt;0")&lt;&gt;1,"",SUMIFS($M:$M,$C:$C,$C2121,$D:$D,$D2121,$E:$E,"P0(후)"))</f>
        <v/>
      </c>
      <c r="S2121" s="31">
        <f>IF(N2121&lt;&gt;"OK","",P2121+(R2121-P2121)*(I2121-O2121)/(Q2121-O2121))</f>
        <v/>
      </c>
      <c r="T2121" s="31">
        <f>IF(OR(N2121&lt;&gt;"OK",NOT(ISNUMBER(M2121))),"",M2121-S2121)</f>
        <v/>
      </c>
      <c r="U2121" s="49">
        <f>IF(OR(NOT(ISNUMBER(T2121)),IF(ISNUMBER(H2121),H2121,G2121)=0),"",T2121/IF(ISNUMBER(H2121),H2121,G2121))</f>
        <v/>
      </c>
      <c r="V2121" s="49">
        <f>IF(ISNUMBER(U2121),ABS(U2121),"")</f>
        <v/>
      </c>
      <c r="W2121" s="49">
        <f>IF(OR($E2120&lt;&gt;"측정",$C2120&lt;&gt;$C2121,$D2120&lt;&gt;$D2121,NOT(ISNUMBER(M2121)),NOT(ISNUMBER(M2120)),(IF(ISNUMBER(H2121),H2121,G2121)-IF(ISNUMBER(H2120),H2120,G2120))=0),"",(M2121-M2120)/(IF(ISNUMBER(H2121),H2121,G2121)-IF(ISNUMBER(H2120),H2120,G2120)))</f>
        <v/>
      </c>
      <c r="X2121" s="31">
        <f>IF(NOT(AND(ISNUMBER(O2121),ISNUMBER(Q2121))),"",(Q2121-O2121)*1440)</f>
        <v/>
      </c>
      <c r="Y2121" s="29" t="n"/>
      <c r="Z2121" s="29" t="n"/>
      <c r="AA2121" s="29" t="n"/>
      <c r="AB2121" s="32" t="n"/>
      <c r="AC2121" s="32" t="n"/>
    </row>
    <row r="2122">
      <c r="A2122" s="26" t="inlineStr">
        <is>
          <t>S41</t>
        </is>
      </c>
      <c r="B2122" s="26" t="inlineStr">
        <is>
          <t>거제</t>
        </is>
      </c>
      <c r="C2122" s="26" t="inlineStr">
        <is>
          <t>S41-H남</t>
        </is>
      </c>
      <c r="D2122" s="47" t="n">
        <v>1</v>
      </c>
      <c r="E2122" s="26" t="inlineStr">
        <is>
          <t>측정</t>
        </is>
      </c>
      <c r="F2122" s="26" t="inlineStr">
        <is>
          <t>남</t>
        </is>
      </c>
      <c r="G2122" s="31" t="n">
        <v>9</v>
      </c>
      <c r="H2122" s="30" t="n"/>
      <c r="I2122" s="43" t="n"/>
      <c r="J2122" s="41" t="n"/>
      <c r="K2122" s="41" t="n"/>
      <c r="L2122" s="41" t="n"/>
      <c r="M2122" s="31">
        <f>IF(COUNT(J2122:L2122)=0,"",MEDIAN(J2122:L2122))</f>
        <v/>
      </c>
      <c r="N2122" s="26">
        <f>IF(COUNTIFS($C:$C,$C2122,$D:$D,$D2122,$E:$E,"P0(전)",$M:$M,"&gt;0")&lt;&gt;1,"P0(전) 유효 1개 아님",IF(COUNTIFS($C:$C,$C2122,$D:$D,$D2122,$E:$E,"P0(후)",$M:$M,"&gt;0")&lt;&gt;1,"P0(후) 유효 1개 아님",IF(NOT(AND(ISNUMBER(O2122),ISNUMBER(Q2122),ISNUMBER(I2122))),"시각 결측",IF(Q2122&lt;=O2122,"P0 시각 역전",IF(OR(I2122&lt;O2122,I2122&gt;Q2122),"측정시각 구간 밖","OK")))))</f>
        <v/>
      </c>
      <c r="O2122" s="48">
        <f>IF(COUNTIFS($C:$C,$C2122,$D:$D,$D2122,$E:$E,"P0(전)",$M:$M,"&gt;0")&lt;&gt;1,"",SUMIFS($I:$I,$C:$C,$C2122,$D:$D,$D2122,$E:$E,"P0(전)"))</f>
        <v/>
      </c>
      <c r="P2122" s="31">
        <f>IF(COUNTIFS($C:$C,$C2122,$D:$D,$D2122,$E:$E,"P0(전)",$M:$M,"&gt;0")&lt;&gt;1,"",SUMIFS($M:$M,$C:$C,$C2122,$D:$D,$D2122,$E:$E,"P0(전)"))</f>
        <v/>
      </c>
      <c r="Q2122" s="48">
        <f>IF(COUNTIFS($C:$C,$C2122,$D:$D,$D2122,$E:$E,"P0(후)",$M:$M,"&gt;0")&lt;&gt;1,"",SUMIFS($I:$I,$C:$C,$C2122,$D:$D,$D2122,$E:$E,"P0(후)"))</f>
        <v/>
      </c>
      <c r="R2122" s="31">
        <f>IF(COUNTIFS($C:$C,$C2122,$D:$D,$D2122,$E:$E,"P0(후)",$M:$M,"&gt;0")&lt;&gt;1,"",SUMIFS($M:$M,$C:$C,$C2122,$D:$D,$D2122,$E:$E,"P0(후)"))</f>
        <v/>
      </c>
      <c r="S2122" s="31">
        <f>IF(N2122&lt;&gt;"OK","",P2122+(R2122-P2122)*(I2122-O2122)/(Q2122-O2122))</f>
        <v/>
      </c>
      <c r="T2122" s="31">
        <f>IF(OR(N2122&lt;&gt;"OK",NOT(ISNUMBER(M2122))),"",M2122-S2122)</f>
        <v/>
      </c>
      <c r="U2122" s="49">
        <f>IF(OR(NOT(ISNUMBER(T2122)),IF(ISNUMBER(H2122),H2122,G2122)=0),"",T2122/IF(ISNUMBER(H2122),H2122,G2122))</f>
        <v/>
      </c>
      <c r="V2122" s="49">
        <f>IF(ISNUMBER(U2122),ABS(U2122),"")</f>
        <v/>
      </c>
      <c r="W2122" s="49">
        <f>IF(OR($E2121&lt;&gt;"측정",$C2121&lt;&gt;$C2122,$D2121&lt;&gt;$D2122,NOT(ISNUMBER(M2122)),NOT(ISNUMBER(M2121)),(IF(ISNUMBER(H2122),H2122,G2122)-IF(ISNUMBER(H2121),H2121,G2121))=0),"",(M2122-M2121)/(IF(ISNUMBER(H2122),H2122,G2122)-IF(ISNUMBER(H2121),H2121,G2121)))</f>
        <v/>
      </c>
      <c r="X2122" s="31">
        <f>IF(NOT(AND(ISNUMBER(O2122),ISNUMBER(Q2122))),"",(Q2122-O2122)*1440)</f>
        <v/>
      </c>
      <c r="Y2122" s="29" t="n"/>
      <c r="Z2122" s="29" t="n"/>
      <c r="AA2122" s="29" t="n"/>
      <c r="AB2122" s="32" t="n"/>
      <c r="AC2122" s="32" t="n"/>
    </row>
    <row r="2123">
      <c r="A2123" s="26" t="inlineStr">
        <is>
          <t>S41</t>
        </is>
      </c>
      <c r="B2123" s="26" t="inlineStr">
        <is>
          <t>거제</t>
        </is>
      </c>
      <c r="C2123" s="26" t="inlineStr">
        <is>
          <t>S41-H남</t>
        </is>
      </c>
      <c r="D2123" s="47" t="n">
        <v>1</v>
      </c>
      <c r="E2123" s="26" t="inlineStr">
        <is>
          <t>측정</t>
        </is>
      </c>
      <c r="F2123" s="26" t="inlineStr">
        <is>
          <t>남</t>
        </is>
      </c>
      <c r="G2123" s="31" t="n">
        <v>10</v>
      </c>
      <c r="H2123" s="30" t="n"/>
      <c r="I2123" s="43" t="n"/>
      <c r="J2123" s="41" t="n"/>
      <c r="K2123" s="41" t="n"/>
      <c r="L2123" s="41" t="n"/>
      <c r="M2123" s="31">
        <f>IF(COUNT(J2123:L2123)=0,"",MEDIAN(J2123:L2123))</f>
        <v/>
      </c>
      <c r="N2123" s="26">
        <f>IF(COUNTIFS($C:$C,$C2123,$D:$D,$D2123,$E:$E,"P0(전)",$M:$M,"&gt;0")&lt;&gt;1,"P0(전) 유효 1개 아님",IF(COUNTIFS($C:$C,$C2123,$D:$D,$D2123,$E:$E,"P0(후)",$M:$M,"&gt;0")&lt;&gt;1,"P0(후) 유효 1개 아님",IF(NOT(AND(ISNUMBER(O2123),ISNUMBER(Q2123),ISNUMBER(I2123))),"시각 결측",IF(Q2123&lt;=O2123,"P0 시각 역전",IF(OR(I2123&lt;O2123,I2123&gt;Q2123),"측정시각 구간 밖","OK")))))</f>
        <v/>
      </c>
      <c r="O2123" s="48">
        <f>IF(COUNTIFS($C:$C,$C2123,$D:$D,$D2123,$E:$E,"P0(전)",$M:$M,"&gt;0")&lt;&gt;1,"",SUMIFS($I:$I,$C:$C,$C2123,$D:$D,$D2123,$E:$E,"P0(전)"))</f>
        <v/>
      </c>
      <c r="P2123" s="31">
        <f>IF(COUNTIFS($C:$C,$C2123,$D:$D,$D2123,$E:$E,"P0(전)",$M:$M,"&gt;0")&lt;&gt;1,"",SUMIFS($M:$M,$C:$C,$C2123,$D:$D,$D2123,$E:$E,"P0(전)"))</f>
        <v/>
      </c>
      <c r="Q2123" s="48">
        <f>IF(COUNTIFS($C:$C,$C2123,$D:$D,$D2123,$E:$E,"P0(후)",$M:$M,"&gt;0")&lt;&gt;1,"",SUMIFS($I:$I,$C:$C,$C2123,$D:$D,$D2123,$E:$E,"P0(후)"))</f>
        <v/>
      </c>
      <c r="R2123" s="31">
        <f>IF(COUNTIFS($C:$C,$C2123,$D:$D,$D2123,$E:$E,"P0(후)",$M:$M,"&gt;0")&lt;&gt;1,"",SUMIFS($M:$M,$C:$C,$C2123,$D:$D,$D2123,$E:$E,"P0(후)"))</f>
        <v/>
      </c>
      <c r="S2123" s="31">
        <f>IF(N2123&lt;&gt;"OK","",P2123+(R2123-P2123)*(I2123-O2123)/(Q2123-O2123))</f>
        <v/>
      </c>
      <c r="T2123" s="31">
        <f>IF(OR(N2123&lt;&gt;"OK",NOT(ISNUMBER(M2123))),"",M2123-S2123)</f>
        <v/>
      </c>
      <c r="U2123" s="49">
        <f>IF(OR(NOT(ISNUMBER(T2123)),IF(ISNUMBER(H2123),H2123,G2123)=0),"",T2123/IF(ISNUMBER(H2123),H2123,G2123))</f>
        <v/>
      </c>
      <c r="V2123" s="49">
        <f>IF(ISNUMBER(U2123),ABS(U2123),"")</f>
        <v/>
      </c>
      <c r="W2123" s="49">
        <f>IF(OR($E2122&lt;&gt;"측정",$C2122&lt;&gt;$C2123,$D2122&lt;&gt;$D2123,NOT(ISNUMBER(M2123)),NOT(ISNUMBER(M2122)),(IF(ISNUMBER(H2123),H2123,G2123)-IF(ISNUMBER(H2122),H2122,G2122))=0),"",(M2123-M2122)/(IF(ISNUMBER(H2123),H2123,G2123)-IF(ISNUMBER(H2122),H2122,G2122)))</f>
        <v/>
      </c>
      <c r="X2123" s="31">
        <f>IF(NOT(AND(ISNUMBER(O2123),ISNUMBER(Q2123))),"",(Q2123-O2123)*1440)</f>
        <v/>
      </c>
      <c r="Y2123" s="29" t="n"/>
      <c r="Z2123" s="29" t="n"/>
      <c r="AA2123" s="29" t="n"/>
      <c r="AB2123" s="32" t="n"/>
      <c r="AC2123" s="32" t="n"/>
    </row>
    <row r="2124">
      <c r="A2124" s="44" t="inlineStr">
        <is>
          <t>S41</t>
        </is>
      </c>
      <c r="B2124" s="44" t="inlineStr">
        <is>
          <t>거제</t>
        </is>
      </c>
      <c r="C2124" s="44" t="inlineStr">
        <is>
          <t>S41-H남</t>
        </is>
      </c>
      <c r="D2124" s="45" t="n">
        <v>1</v>
      </c>
      <c r="E2124" s="44" t="inlineStr">
        <is>
          <t>P0(후)</t>
        </is>
      </c>
      <c r="F2124" s="44" t="inlineStr">
        <is>
          <t>남</t>
        </is>
      </c>
      <c r="G2124" s="46" t="n"/>
      <c r="H2124" s="30" t="n"/>
      <c r="I2124" s="43" t="n"/>
      <c r="J2124" s="41" t="n"/>
      <c r="K2124" s="41" t="n"/>
      <c r="L2124" s="41" t="n"/>
      <c r="M2124" s="31">
        <f>IF(COUNT(J2124:L2124)=0,"",MEDIAN(J2124:L2124))</f>
        <v/>
      </c>
      <c r="N2124" s="38" t="n"/>
      <c r="O2124" s="38" t="n"/>
      <c r="P2124" s="38" t="n"/>
      <c r="Q2124" s="38" t="n"/>
      <c r="R2124" s="38" t="n"/>
      <c r="S2124" s="38" t="n"/>
      <c r="T2124" s="38" t="n"/>
      <c r="U2124" s="38" t="n"/>
      <c r="V2124" s="38" t="n"/>
      <c r="W2124" s="38" t="n"/>
      <c r="X2124" s="38" t="n"/>
      <c r="Y2124" s="29" t="n"/>
      <c r="Z2124" s="29" t="n"/>
      <c r="AA2124" s="29" t="n"/>
      <c r="AB2124" s="32" t="n"/>
      <c r="AC2124" s="32" t="n"/>
    </row>
    <row r="2125">
      <c r="A2125" s="44" t="inlineStr">
        <is>
          <t>S41</t>
        </is>
      </c>
      <c r="B2125" s="44" t="inlineStr">
        <is>
          <t>거제</t>
        </is>
      </c>
      <c r="C2125" s="44" t="inlineStr">
        <is>
          <t>S41-H북</t>
        </is>
      </c>
      <c r="D2125" s="45" t="n">
        <v>1</v>
      </c>
      <c r="E2125" s="44" t="inlineStr">
        <is>
          <t>P0(전)</t>
        </is>
      </c>
      <c r="F2125" s="44" t="inlineStr">
        <is>
          <t>북</t>
        </is>
      </c>
      <c r="G2125" s="46" t="n"/>
      <c r="H2125" s="30" t="n"/>
      <c r="I2125" s="43" t="n"/>
      <c r="J2125" s="41" t="n"/>
      <c r="K2125" s="41" t="n"/>
      <c r="L2125" s="41" t="n"/>
      <c r="M2125" s="31">
        <f>IF(COUNT(J2125:L2125)=0,"",MEDIAN(J2125:L2125))</f>
        <v/>
      </c>
      <c r="N2125" s="38" t="n"/>
      <c r="O2125" s="38" t="n"/>
      <c r="P2125" s="38" t="n"/>
      <c r="Q2125" s="38" t="n"/>
      <c r="R2125" s="38" t="n"/>
      <c r="S2125" s="38" t="n"/>
      <c r="T2125" s="38" t="n"/>
      <c r="U2125" s="38" t="n"/>
      <c r="V2125" s="38" t="n"/>
      <c r="W2125" s="38" t="n"/>
      <c r="X2125" s="38" t="n"/>
      <c r="Y2125" s="29" t="n"/>
      <c r="Z2125" s="29" t="n"/>
      <c r="AA2125" s="29" t="n"/>
      <c r="AB2125" s="32" t="n"/>
      <c r="AC2125" s="32" t="n"/>
    </row>
    <row r="2126">
      <c r="A2126" s="26" t="inlineStr">
        <is>
          <t>S41</t>
        </is>
      </c>
      <c r="B2126" s="26" t="inlineStr">
        <is>
          <t>거제</t>
        </is>
      </c>
      <c r="C2126" s="26" t="inlineStr">
        <is>
          <t>S41-H북</t>
        </is>
      </c>
      <c r="D2126" s="47" t="n">
        <v>1</v>
      </c>
      <c r="E2126" s="26" t="inlineStr">
        <is>
          <t>측정</t>
        </is>
      </c>
      <c r="F2126" s="26" t="inlineStr">
        <is>
          <t>북</t>
        </is>
      </c>
      <c r="G2126" s="31" t="n">
        <v>0.5</v>
      </c>
      <c r="H2126" s="30" t="n"/>
      <c r="I2126" s="43" t="n"/>
      <c r="J2126" s="41" t="n"/>
      <c r="K2126" s="41" t="n"/>
      <c r="L2126" s="41" t="n"/>
      <c r="M2126" s="31">
        <f>IF(COUNT(J2126:L2126)=0,"",MEDIAN(J2126:L2126))</f>
        <v/>
      </c>
      <c r="N2126" s="26">
        <f>IF(COUNTIFS($C:$C,$C2126,$D:$D,$D2126,$E:$E,"P0(전)",$M:$M,"&gt;0")&lt;&gt;1,"P0(전) 유효 1개 아님",IF(COUNTIFS($C:$C,$C2126,$D:$D,$D2126,$E:$E,"P0(후)",$M:$M,"&gt;0")&lt;&gt;1,"P0(후) 유효 1개 아님",IF(NOT(AND(ISNUMBER(O2126),ISNUMBER(Q2126),ISNUMBER(I2126))),"시각 결측",IF(Q2126&lt;=O2126,"P0 시각 역전",IF(OR(I2126&lt;O2126,I2126&gt;Q2126),"측정시각 구간 밖","OK")))))</f>
        <v/>
      </c>
      <c r="O2126" s="48">
        <f>IF(COUNTIFS($C:$C,$C2126,$D:$D,$D2126,$E:$E,"P0(전)",$M:$M,"&gt;0")&lt;&gt;1,"",SUMIFS($I:$I,$C:$C,$C2126,$D:$D,$D2126,$E:$E,"P0(전)"))</f>
        <v/>
      </c>
      <c r="P2126" s="31">
        <f>IF(COUNTIFS($C:$C,$C2126,$D:$D,$D2126,$E:$E,"P0(전)",$M:$M,"&gt;0")&lt;&gt;1,"",SUMIFS($M:$M,$C:$C,$C2126,$D:$D,$D2126,$E:$E,"P0(전)"))</f>
        <v/>
      </c>
      <c r="Q2126" s="48">
        <f>IF(COUNTIFS($C:$C,$C2126,$D:$D,$D2126,$E:$E,"P0(후)",$M:$M,"&gt;0")&lt;&gt;1,"",SUMIFS($I:$I,$C:$C,$C2126,$D:$D,$D2126,$E:$E,"P0(후)"))</f>
        <v/>
      </c>
      <c r="R2126" s="31">
        <f>IF(COUNTIFS($C:$C,$C2126,$D:$D,$D2126,$E:$E,"P0(후)",$M:$M,"&gt;0")&lt;&gt;1,"",SUMIFS($M:$M,$C:$C,$C2126,$D:$D,$D2126,$E:$E,"P0(후)"))</f>
        <v/>
      </c>
      <c r="S2126" s="31">
        <f>IF(N2126&lt;&gt;"OK","",P2126+(R2126-P2126)*(I2126-O2126)/(Q2126-O2126))</f>
        <v/>
      </c>
      <c r="T2126" s="31">
        <f>IF(OR(N2126&lt;&gt;"OK",NOT(ISNUMBER(M2126))),"",M2126-S2126)</f>
        <v/>
      </c>
      <c r="U2126" s="49">
        <f>IF(OR(NOT(ISNUMBER(T2126)),IF(ISNUMBER(H2126),H2126,G2126)=0),"",T2126/IF(ISNUMBER(H2126),H2126,G2126))</f>
        <v/>
      </c>
      <c r="V2126" s="49">
        <f>IF(ISNUMBER(U2126),ABS(U2126),"")</f>
        <v/>
      </c>
      <c r="W2126" s="49">
        <f>IF(OR($E2125&lt;&gt;"측정",$C2125&lt;&gt;$C2126,$D2125&lt;&gt;$D2126,NOT(ISNUMBER(M2126)),NOT(ISNUMBER(M2125)),(IF(ISNUMBER(H2126),H2126,G2126)-IF(ISNUMBER(H2125),H2125,G2125))=0),"",(M2126-M2125)/(IF(ISNUMBER(H2126),H2126,G2126)-IF(ISNUMBER(H2125),H2125,G2125)))</f>
        <v/>
      </c>
      <c r="X2126" s="31">
        <f>IF(NOT(AND(ISNUMBER(O2126),ISNUMBER(Q2126))),"",(Q2126-O2126)*1440)</f>
        <v/>
      </c>
      <c r="Y2126" s="29" t="n"/>
      <c r="Z2126" s="29" t="n"/>
      <c r="AA2126" s="29" t="n"/>
      <c r="AB2126" s="32" t="n"/>
      <c r="AC2126" s="32" t="n"/>
    </row>
    <row r="2127">
      <c r="A2127" s="26" t="inlineStr">
        <is>
          <t>S41</t>
        </is>
      </c>
      <c r="B2127" s="26" t="inlineStr">
        <is>
          <t>거제</t>
        </is>
      </c>
      <c r="C2127" s="26" t="inlineStr">
        <is>
          <t>S41-H북</t>
        </is>
      </c>
      <c r="D2127" s="47" t="n">
        <v>1</v>
      </c>
      <c r="E2127" s="26" t="inlineStr">
        <is>
          <t>측정</t>
        </is>
      </c>
      <c r="F2127" s="26" t="inlineStr">
        <is>
          <t>북</t>
        </is>
      </c>
      <c r="G2127" s="31" t="n">
        <v>1</v>
      </c>
      <c r="H2127" s="30" t="n"/>
      <c r="I2127" s="43" t="n"/>
      <c r="J2127" s="41" t="n"/>
      <c r="K2127" s="41" t="n"/>
      <c r="L2127" s="41" t="n"/>
      <c r="M2127" s="31">
        <f>IF(COUNT(J2127:L2127)=0,"",MEDIAN(J2127:L2127))</f>
        <v/>
      </c>
      <c r="N2127" s="26">
        <f>IF(COUNTIFS($C:$C,$C2127,$D:$D,$D2127,$E:$E,"P0(전)",$M:$M,"&gt;0")&lt;&gt;1,"P0(전) 유효 1개 아님",IF(COUNTIFS($C:$C,$C2127,$D:$D,$D2127,$E:$E,"P0(후)",$M:$M,"&gt;0")&lt;&gt;1,"P0(후) 유효 1개 아님",IF(NOT(AND(ISNUMBER(O2127),ISNUMBER(Q2127),ISNUMBER(I2127))),"시각 결측",IF(Q2127&lt;=O2127,"P0 시각 역전",IF(OR(I2127&lt;O2127,I2127&gt;Q2127),"측정시각 구간 밖","OK")))))</f>
        <v/>
      </c>
      <c r="O2127" s="48">
        <f>IF(COUNTIFS($C:$C,$C2127,$D:$D,$D2127,$E:$E,"P0(전)",$M:$M,"&gt;0")&lt;&gt;1,"",SUMIFS($I:$I,$C:$C,$C2127,$D:$D,$D2127,$E:$E,"P0(전)"))</f>
        <v/>
      </c>
      <c r="P2127" s="31">
        <f>IF(COUNTIFS($C:$C,$C2127,$D:$D,$D2127,$E:$E,"P0(전)",$M:$M,"&gt;0")&lt;&gt;1,"",SUMIFS($M:$M,$C:$C,$C2127,$D:$D,$D2127,$E:$E,"P0(전)"))</f>
        <v/>
      </c>
      <c r="Q2127" s="48">
        <f>IF(COUNTIFS($C:$C,$C2127,$D:$D,$D2127,$E:$E,"P0(후)",$M:$M,"&gt;0")&lt;&gt;1,"",SUMIFS($I:$I,$C:$C,$C2127,$D:$D,$D2127,$E:$E,"P0(후)"))</f>
        <v/>
      </c>
      <c r="R2127" s="31">
        <f>IF(COUNTIFS($C:$C,$C2127,$D:$D,$D2127,$E:$E,"P0(후)",$M:$M,"&gt;0")&lt;&gt;1,"",SUMIFS($M:$M,$C:$C,$C2127,$D:$D,$D2127,$E:$E,"P0(후)"))</f>
        <v/>
      </c>
      <c r="S2127" s="31">
        <f>IF(N2127&lt;&gt;"OK","",P2127+(R2127-P2127)*(I2127-O2127)/(Q2127-O2127))</f>
        <v/>
      </c>
      <c r="T2127" s="31">
        <f>IF(OR(N2127&lt;&gt;"OK",NOT(ISNUMBER(M2127))),"",M2127-S2127)</f>
        <v/>
      </c>
      <c r="U2127" s="49">
        <f>IF(OR(NOT(ISNUMBER(T2127)),IF(ISNUMBER(H2127),H2127,G2127)=0),"",T2127/IF(ISNUMBER(H2127),H2127,G2127))</f>
        <v/>
      </c>
      <c r="V2127" s="49">
        <f>IF(ISNUMBER(U2127),ABS(U2127),"")</f>
        <v/>
      </c>
      <c r="W2127" s="49">
        <f>IF(OR($E2126&lt;&gt;"측정",$C2126&lt;&gt;$C2127,$D2126&lt;&gt;$D2127,NOT(ISNUMBER(M2127)),NOT(ISNUMBER(M2126)),(IF(ISNUMBER(H2127),H2127,G2127)-IF(ISNUMBER(H2126),H2126,G2126))=0),"",(M2127-M2126)/(IF(ISNUMBER(H2127),H2127,G2127)-IF(ISNUMBER(H2126),H2126,G2126)))</f>
        <v/>
      </c>
      <c r="X2127" s="31">
        <f>IF(NOT(AND(ISNUMBER(O2127),ISNUMBER(Q2127))),"",(Q2127-O2127)*1440)</f>
        <v/>
      </c>
      <c r="Y2127" s="29" t="n"/>
      <c r="Z2127" s="29" t="n"/>
      <c r="AA2127" s="29" t="n"/>
      <c r="AB2127" s="32" t="n"/>
      <c r="AC2127" s="32" t="n"/>
    </row>
    <row r="2128">
      <c r="A2128" s="26" t="inlineStr">
        <is>
          <t>S41</t>
        </is>
      </c>
      <c r="B2128" s="26" t="inlineStr">
        <is>
          <t>거제</t>
        </is>
      </c>
      <c r="C2128" s="26" t="inlineStr">
        <is>
          <t>S41-H북</t>
        </is>
      </c>
      <c r="D2128" s="47" t="n">
        <v>1</v>
      </c>
      <c r="E2128" s="26" t="inlineStr">
        <is>
          <t>측정</t>
        </is>
      </c>
      <c r="F2128" s="26" t="inlineStr">
        <is>
          <t>북</t>
        </is>
      </c>
      <c r="G2128" s="31" t="n">
        <v>2</v>
      </c>
      <c r="H2128" s="30" t="n"/>
      <c r="I2128" s="43" t="n"/>
      <c r="J2128" s="41" t="n"/>
      <c r="K2128" s="41" t="n"/>
      <c r="L2128" s="41" t="n"/>
      <c r="M2128" s="31">
        <f>IF(COUNT(J2128:L2128)=0,"",MEDIAN(J2128:L2128))</f>
        <v/>
      </c>
      <c r="N2128" s="26">
        <f>IF(COUNTIFS($C:$C,$C2128,$D:$D,$D2128,$E:$E,"P0(전)",$M:$M,"&gt;0")&lt;&gt;1,"P0(전) 유효 1개 아님",IF(COUNTIFS($C:$C,$C2128,$D:$D,$D2128,$E:$E,"P0(후)",$M:$M,"&gt;0")&lt;&gt;1,"P0(후) 유효 1개 아님",IF(NOT(AND(ISNUMBER(O2128),ISNUMBER(Q2128),ISNUMBER(I2128))),"시각 결측",IF(Q2128&lt;=O2128,"P0 시각 역전",IF(OR(I2128&lt;O2128,I2128&gt;Q2128),"측정시각 구간 밖","OK")))))</f>
        <v/>
      </c>
      <c r="O2128" s="48">
        <f>IF(COUNTIFS($C:$C,$C2128,$D:$D,$D2128,$E:$E,"P0(전)",$M:$M,"&gt;0")&lt;&gt;1,"",SUMIFS($I:$I,$C:$C,$C2128,$D:$D,$D2128,$E:$E,"P0(전)"))</f>
        <v/>
      </c>
      <c r="P2128" s="31">
        <f>IF(COUNTIFS($C:$C,$C2128,$D:$D,$D2128,$E:$E,"P0(전)",$M:$M,"&gt;0")&lt;&gt;1,"",SUMIFS($M:$M,$C:$C,$C2128,$D:$D,$D2128,$E:$E,"P0(전)"))</f>
        <v/>
      </c>
      <c r="Q2128" s="48">
        <f>IF(COUNTIFS($C:$C,$C2128,$D:$D,$D2128,$E:$E,"P0(후)",$M:$M,"&gt;0")&lt;&gt;1,"",SUMIFS($I:$I,$C:$C,$C2128,$D:$D,$D2128,$E:$E,"P0(후)"))</f>
        <v/>
      </c>
      <c r="R2128" s="31">
        <f>IF(COUNTIFS($C:$C,$C2128,$D:$D,$D2128,$E:$E,"P0(후)",$M:$M,"&gt;0")&lt;&gt;1,"",SUMIFS($M:$M,$C:$C,$C2128,$D:$D,$D2128,$E:$E,"P0(후)"))</f>
        <v/>
      </c>
      <c r="S2128" s="31">
        <f>IF(N2128&lt;&gt;"OK","",P2128+(R2128-P2128)*(I2128-O2128)/(Q2128-O2128))</f>
        <v/>
      </c>
      <c r="T2128" s="31">
        <f>IF(OR(N2128&lt;&gt;"OK",NOT(ISNUMBER(M2128))),"",M2128-S2128)</f>
        <v/>
      </c>
      <c r="U2128" s="49">
        <f>IF(OR(NOT(ISNUMBER(T2128)),IF(ISNUMBER(H2128),H2128,G2128)=0),"",T2128/IF(ISNUMBER(H2128),H2128,G2128))</f>
        <v/>
      </c>
      <c r="V2128" s="49">
        <f>IF(ISNUMBER(U2128),ABS(U2128),"")</f>
        <v/>
      </c>
      <c r="W2128" s="49">
        <f>IF(OR($E2127&lt;&gt;"측정",$C2127&lt;&gt;$C2128,$D2127&lt;&gt;$D2128,NOT(ISNUMBER(M2128)),NOT(ISNUMBER(M2127)),(IF(ISNUMBER(H2128),H2128,G2128)-IF(ISNUMBER(H2127),H2127,G2127))=0),"",(M2128-M2127)/(IF(ISNUMBER(H2128),H2128,G2128)-IF(ISNUMBER(H2127),H2127,G2127)))</f>
        <v/>
      </c>
      <c r="X2128" s="31">
        <f>IF(NOT(AND(ISNUMBER(O2128),ISNUMBER(Q2128))),"",(Q2128-O2128)*1440)</f>
        <v/>
      </c>
      <c r="Y2128" s="29" t="n"/>
      <c r="Z2128" s="29" t="n"/>
      <c r="AA2128" s="29" t="n"/>
      <c r="AB2128" s="32" t="n"/>
      <c r="AC2128" s="32" t="n"/>
    </row>
    <row r="2129">
      <c r="A2129" s="26" t="inlineStr">
        <is>
          <t>S41</t>
        </is>
      </c>
      <c r="B2129" s="26" t="inlineStr">
        <is>
          <t>거제</t>
        </is>
      </c>
      <c r="C2129" s="26" t="inlineStr">
        <is>
          <t>S41-H북</t>
        </is>
      </c>
      <c r="D2129" s="47" t="n">
        <v>1</v>
      </c>
      <c r="E2129" s="26" t="inlineStr">
        <is>
          <t>측정</t>
        </is>
      </c>
      <c r="F2129" s="26" t="inlineStr">
        <is>
          <t>북</t>
        </is>
      </c>
      <c r="G2129" s="31" t="n">
        <v>3</v>
      </c>
      <c r="H2129" s="30" t="n"/>
      <c r="I2129" s="43" t="n"/>
      <c r="J2129" s="41" t="n"/>
      <c r="K2129" s="41" t="n"/>
      <c r="L2129" s="41" t="n"/>
      <c r="M2129" s="31">
        <f>IF(COUNT(J2129:L2129)=0,"",MEDIAN(J2129:L2129))</f>
        <v/>
      </c>
      <c r="N2129" s="26">
        <f>IF(COUNTIFS($C:$C,$C2129,$D:$D,$D2129,$E:$E,"P0(전)",$M:$M,"&gt;0")&lt;&gt;1,"P0(전) 유효 1개 아님",IF(COUNTIFS($C:$C,$C2129,$D:$D,$D2129,$E:$E,"P0(후)",$M:$M,"&gt;0")&lt;&gt;1,"P0(후) 유효 1개 아님",IF(NOT(AND(ISNUMBER(O2129),ISNUMBER(Q2129),ISNUMBER(I2129))),"시각 결측",IF(Q2129&lt;=O2129,"P0 시각 역전",IF(OR(I2129&lt;O2129,I2129&gt;Q2129),"측정시각 구간 밖","OK")))))</f>
        <v/>
      </c>
      <c r="O2129" s="48">
        <f>IF(COUNTIFS($C:$C,$C2129,$D:$D,$D2129,$E:$E,"P0(전)",$M:$M,"&gt;0")&lt;&gt;1,"",SUMIFS($I:$I,$C:$C,$C2129,$D:$D,$D2129,$E:$E,"P0(전)"))</f>
        <v/>
      </c>
      <c r="P2129" s="31">
        <f>IF(COUNTIFS($C:$C,$C2129,$D:$D,$D2129,$E:$E,"P0(전)",$M:$M,"&gt;0")&lt;&gt;1,"",SUMIFS($M:$M,$C:$C,$C2129,$D:$D,$D2129,$E:$E,"P0(전)"))</f>
        <v/>
      </c>
      <c r="Q2129" s="48">
        <f>IF(COUNTIFS($C:$C,$C2129,$D:$D,$D2129,$E:$E,"P0(후)",$M:$M,"&gt;0")&lt;&gt;1,"",SUMIFS($I:$I,$C:$C,$C2129,$D:$D,$D2129,$E:$E,"P0(후)"))</f>
        <v/>
      </c>
      <c r="R2129" s="31">
        <f>IF(COUNTIFS($C:$C,$C2129,$D:$D,$D2129,$E:$E,"P0(후)",$M:$M,"&gt;0")&lt;&gt;1,"",SUMIFS($M:$M,$C:$C,$C2129,$D:$D,$D2129,$E:$E,"P0(후)"))</f>
        <v/>
      </c>
      <c r="S2129" s="31">
        <f>IF(N2129&lt;&gt;"OK","",P2129+(R2129-P2129)*(I2129-O2129)/(Q2129-O2129))</f>
        <v/>
      </c>
      <c r="T2129" s="31">
        <f>IF(OR(N2129&lt;&gt;"OK",NOT(ISNUMBER(M2129))),"",M2129-S2129)</f>
        <v/>
      </c>
      <c r="U2129" s="49">
        <f>IF(OR(NOT(ISNUMBER(T2129)),IF(ISNUMBER(H2129),H2129,G2129)=0),"",T2129/IF(ISNUMBER(H2129),H2129,G2129))</f>
        <v/>
      </c>
      <c r="V2129" s="49">
        <f>IF(ISNUMBER(U2129),ABS(U2129),"")</f>
        <v/>
      </c>
      <c r="W2129" s="49">
        <f>IF(OR($E2128&lt;&gt;"측정",$C2128&lt;&gt;$C2129,$D2128&lt;&gt;$D2129,NOT(ISNUMBER(M2129)),NOT(ISNUMBER(M2128)),(IF(ISNUMBER(H2129),H2129,G2129)-IF(ISNUMBER(H2128),H2128,G2128))=0),"",(M2129-M2128)/(IF(ISNUMBER(H2129),H2129,G2129)-IF(ISNUMBER(H2128),H2128,G2128)))</f>
        <v/>
      </c>
      <c r="X2129" s="31">
        <f>IF(NOT(AND(ISNUMBER(O2129),ISNUMBER(Q2129))),"",(Q2129-O2129)*1440)</f>
        <v/>
      </c>
      <c r="Y2129" s="29" t="n"/>
      <c r="Z2129" s="29" t="n"/>
      <c r="AA2129" s="29" t="n"/>
      <c r="AB2129" s="32" t="n"/>
      <c r="AC2129" s="32" t="n"/>
    </row>
    <row r="2130">
      <c r="A2130" s="26" t="inlineStr">
        <is>
          <t>S41</t>
        </is>
      </c>
      <c r="B2130" s="26" t="inlineStr">
        <is>
          <t>거제</t>
        </is>
      </c>
      <c r="C2130" s="26" t="inlineStr">
        <is>
          <t>S41-H북</t>
        </is>
      </c>
      <c r="D2130" s="47" t="n">
        <v>1</v>
      </c>
      <c r="E2130" s="26" t="inlineStr">
        <is>
          <t>측정</t>
        </is>
      </c>
      <c r="F2130" s="26" t="inlineStr">
        <is>
          <t>북</t>
        </is>
      </c>
      <c r="G2130" s="31" t="n">
        <v>4</v>
      </c>
      <c r="H2130" s="30" t="n"/>
      <c r="I2130" s="43" t="n"/>
      <c r="J2130" s="41" t="n"/>
      <c r="K2130" s="41" t="n"/>
      <c r="L2130" s="41" t="n"/>
      <c r="M2130" s="31">
        <f>IF(COUNT(J2130:L2130)=0,"",MEDIAN(J2130:L2130))</f>
        <v/>
      </c>
      <c r="N2130" s="26">
        <f>IF(COUNTIFS($C:$C,$C2130,$D:$D,$D2130,$E:$E,"P0(전)",$M:$M,"&gt;0")&lt;&gt;1,"P0(전) 유효 1개 아님",IF(COUNTIFS($C:$C,$C2130,$D:$D,$D2130,$E:$E,"P0(후)",$M:$M,"&gt;0")&lt;&gt;1,"P0(후) 유효 1개 아님",IF(NOT(AND(ISNUMBER(O2130),ISNUMBER(Q2130),ISNUMBER(I2130))),"시각 결측",IF(Q2130&lt;=O2130,"P0 시각 역전",IF(OR(I2130&lt;O2130,I2130&gt;Q2130),"측정시각 구간 밖","OK")))))</f>
        <v/>
      </c>
      <c r="O2130" s="48">
        <f>IF(COUNTIFS($C:$C,$C2130,$D:$D,$D2130,$E:$E,"P0(전)",$M:$M,"&gt;0")&lt;&gt;1,"",SUMIFS($I:$I,$C:$C,$C2130,$D:$D,$D2130,$E:$E,"P0(전)"))</f>
        <v/>
      </c>
      <c r="P2130" s="31">
        <f>IF(COUNTIFS($C:$C,$C2130,$D:$D,$D2130,$E:$E,"P0(전)",$M:$M,"&gt;0")&lt;&gt;1,"",SUMIFS($M:$M,$C:$C,$C2130,$D:$D,$D2130,$E:$E,"P0(전)"))</f>
        <v/>
      </c>
      <c r="Q2130" s="48">
        <f>IF(COUNTIFS($C:$C,$C2130,$D:$D,$D2130,$E:$E,"P0(후)",$M:$M,"&gt;0")&lt;&gt;1,"",SUMIFS($I:$I,$C:$C,$C2130,$D:$D,$D2130,$E:$E,"P0(후)"))</f>
        <v/>
      </c>
      <c r="R2130" s="31">
        <f>IF(COUNTIFS($C:$C,$C2130,$D:$D,$D2130,$E:$E,"P0(후)",$M:$M,"&gt;0")&lt;&gt;1,"",SUMIFS($M:$M,$C:$C,$C2130,$D:$D,$D2130,$E:$E,"P0(후)"))</f>
        <v/>
      </c>
      <c r="S2130" s="31">
        <f>IF(N2130&lt;&gt;"OK","",P2130+(R2130-P2130)*(I2130-O2130)/(Q2130-O2130))</f>
        <v/>
      </c>
      <c r="T2130" s="31">
        <f>IF(OR(N2130&lt;&gt;"OK",NOT(ISNUMBER(M2130))),"",M2130-S2130)</f>
        <v/>
      </c>
      <c r="U2130" s="49">
        <f>IF(OR(NOT(ISNUMBER(T2130)),IF(ISNUMBER(H2130),H2130,G2130)=0),"",T2130/IF(ISNUMBER(H2130),H2130,G2130))</f>
        <v/>
      </c>
      <c r="V2130" s="49">
        <f>IF(ISNUMBER(U2130),ABS(U2130),"")</f>
        <v/>
      </c>
      <c r="W2130" s="49">
        <f>IF(OR($E2129&lt;&gt;"측정",$C2129&lt;&gt;$C2130,$D2129&lt;&gt;$D2130,NOT(ISNUMBER(M2130)),NOT(ISNUMBER(M2129)),(IF(ISNUMBER(H2130),H2130,G2130)-IF(ISNUMBER(H2129),H2129,G2129))=0),"",(M2130-M2129)/(IF(ISNUMBER(H2130),H2130,G2130)-IF(ISNUMBER(H2129),H2129,G2129)))</f>
        <v/>
      </c>
      <c r="X2130" s="31">
        <f>IF(NOT(AND(ISNUMBER(O2130),ISNUMBER(Q2130))),"",(Q2130-O2130)*1440)</f>
        <v/>
      </c>
      <c r="Y2130" s="29" t="n"/>
      <c r="Z2130" s="29" t="n"/>
      <c r="AA2130" s="29" t="n"/>
      <c r="AB2130" s="32" t="n"/>
      <c r="AC2130" s="32" t="n"/>
    </row>
    <row r="2131">
      <c r="A2131" s="26" t="inlineStr">
        <is>
          <t>S41</t>
        </is>
      </c>
      <c r="B2131" s="26" t="inlineStr">
        <is>
          <t>거제</t>
        </is>
      </c>
      <c r="C2131" s="26" t="inlineStr">
        <is>
          <t>S41-H북</t>
        </is>
      </c>
      <c r="D2131" s="47" t="n">
        <v>1</v>
      </c>
      <c r="E2131" s="26" t="inlineStr">
        <is>
          <t>측정</t>
        </is>
      </c>
      <c r="F2131" s="26" t="inlineStr">
        <is>
          <t>북</t>
        </is>
      </c>
      <c r="G2131" s="31" t="n">
        <v>5</v>
      </c>
      <c r="H2131" s="30" t="n"/>
      <c r="I2131" s="43" t="n"/>
      <c r="J2131" s="41" t="n"/>
      <c r="K2131" s="41" t="n"/>
      <c r="L2131" s="41" t="n"/>
      <c r="M2131" s="31">
        <f>IF(COUNT(J2131:L2131)=0,"",MEDIAN(J2131:L2131))</f>
        <v/>
      </c>
      <c r="N2131" s="26">
        <f>IF(COUNTIFS($C:$C,$C2131,$D:$D,$D2131,$E:$E,"P0(전)",$M:$M,"&gt;0")&lt;&gt;1,"P0(전) 유효 1개 아님",IF(COUNTIFS($C:$C,$C2131,$D:$D,$D2131,$E:$E,"P0(후)",$M:$M,"&gt;0")&lt;&gt;1,"P0(후) 유효 1개 아님",IF(NOT(AND(ISNUMBER(O2131),ISNUMBER(Q2131),ISNUMBER(I2131))),"시각 결측",IF(Q2131&lt;=O2131,"P0 시각 역전",IF(OR(I2131&lt;O2131,I2131&gt;Q2131),"측정시각 구간 밖","OK")))))</f>
        <v/>
      </c>
      <c r="O2131" s="48">
        <f>IF(COUNTIFS($C:$C,$C2131,$D:$D,$D2131,$E:$E,"P0(전)",$M:$M,"&gt;0")&lt;&gt;1,"",SUMIFS($I:$I,$C:$C,$C2131,$D:$D,$D2131,$E:$E,"P0(전)"))</f>
        <v/>
      </c>
      <c r="P2131" s="31">
        <f>IF(COUNTIFS($C:$C,$C2131,$D:$D,$D2131,$E:$E,"P0(전)",$M:$M,"&gt;0")&lt;&gt;1,"",SUMIFS($M:$M,$C:$C,$C2131,$D:$D,$D2131,$E:$E,"P0(전)"))</f>
        <v/>
      </c>
      <c r="Q2131" s="48">
        <f>IF(COUNTIFS($C:$C,$C2131,$D:$D,$D2131,$E:$E,"P0(후)",$M:$M,"&gt;0")&lt;&gt;1,"",SUMIFS($I:$I,$C:$C,$C2131,$D:$D,$D2131,$E:$E,"P0(후)"))</f>
        <v/>
      </c>
      <c r="R2131" s="31">
        <f>IF(COUNTIFS($C:$C,$C2131,$D:$D,$D2131,$E:$E,"P0(후)",$M:$M,"&gt;0")&lt;&gt;1,"",SUMIFS($M:$M,$C:$C,$C2131,$D:$D,$D2131,$E:$E,"P0(후)"))</f>
        <v/>
      </c>
      <c r="S2131" s="31">
        <f>IF(N2131&lt;&gt;"OK","",P2131+(R2131-P2131)*(I2131-O2131)/(Q2131-O2131))</f>
        <v/>
      </c>
      <c r="T2131" s="31">
        <f>IF(OR(N2131&lt;&gt;"OK",NOT(ISNUMBER(M2131))),"",M2131-S2131)</f>
        <v/>
      </c>
      <c r="U2131" s="49">
        <f>IF(OR(NOT(ISNUMBER(T2131)),IF(ISNUMBER(H2131),H2131,G2131)=0),"",T2131/IF(ISNUMBER(H2131),H2131,G2131))</f>
        <v/>
      </c>
      <c r="V2131" s="49">
        <f>IF(ISNUMBER(U2131),ABS(U2131),"")</f>
        <v/>
      </c>
      <c r="W2131" s="49">
        <f>IF(OR($E2130&lt;&gt;"측정",$C2130&lt;&gt;$C2131,$D2130&lt;&gt;$D2131,NOT(ISNUMBER(M2131)),NOT(ISNUMBER(M2130)),(IF(ISNUMBER(H2131),H2131,G2131)-IF(ISNUMBER(H2130),H2130,G2130))=0),"",(M2131-M2130)/(IF(ISNUMBER(H2131),H2131,G2131)-IF(ISNUMBER(H2130),H2130,G2130)))</f>
        <v/>
      </c>
      <c r="X2131" s="31">
        <f>IF(NOT(AND(ISNUMBER(O2131),ISNUMBER(Q2131))),"",(Q2131-O2131)*1440)</f>
        <v/>
      </c>
      <c r="Y2131" s="29" t="n"/>
      <c r="Z2131" s="29" t="n"/>
      <c r="AA2131" s="29" t="n"/>
      <c r="AB2131" s="32" t="n"/>
      <c r="AC2131" s="32" t="n"/>
    </row>
    <row r="2132">
      <c r="A2132" s="26" t="inlineStr">
        <is>
          <t>S41</t>
        </is>
      </c>
      <c r="B2132" s="26" t="inlineStr">
        <is>
          <t>거제</t>
        </is>
      </c>
      <c r="C2132" s="26" t="inlineStr">
        <is>
          <t>S41-H북</t>
        </is>
      </c>
      <c r="D2132" s="47" t="n">
        <v>1</v>
      </c>
      <c r="E2132" s="26" t="inlineStr">
        <is>
          <t>측정</t>
        </is>
      </c>
      <c r="F2132" s="26" t="inlineStr">
        <is>
          <t>북</t>
        </is>
      </c>
      <c r="G2132" s="31" t="n">
        <v>6</v>
      </c>
      <c r="H2132" s="30" t="n"/>
      <c r="I2132" s="43" t="n"/>
      <c r="J2132" s="41" t="n"/>
      <c r="K2132" s="41" t="n"/>
      <c r="L2132" s="41" t="n"/>
      <c r="M2132" s="31">
        <f>IF(COUNT(J2132:L2132)=0,"",MEDIAN(J2132:L2132))</f>
        <v/>
      </c>
      <c r="N2132" s="26">
        <f>IF(COUNTIFS($C:$C,$C2132,$D:$D,$D2132,$E:$E,"P0(전)",$M:$M,"&gt;0")&lt;&gt;1,"P0(전) 유효 1개 아님",IF(COUNTIFS($C:$C,$C2132,$D:$D,$D2132,$E:$E,"P0(후)",$M:$M,"&gt;0")&lt;&gt;1,"P0(후) 유효 1개 아님",IF(NOT(AND(ISNUMBER(O2132),ISNUMBER(Q2132),ISNUMBER(I2132))),"시각 결측",IF(Q2132&lt;=O2132,"P0 시각 역전",IF(OR(I2132&lt;O2132,I2132&gt;Q2132),"측정시각 구간 밖","OK")))))</f>
        <v/>
      </c>
      <c r="O2132" s="48">
        <f>IF(COUNTIFS($C:$C,$C2132,$D:$D,$D2132,$E:$E,"P0(전)",$M:$M,"&gt;0")&lt;&gt;1,"",SUMIFS($I:$I,$C:$C,$C2132,$D:$D,$D2132,$E:$E,"P0(전)"))</f>
        <v/>
      </c>
      <c r="P2132" s="31">
        <f>IF(COUNTIFS($C:$C,$C2132,$D:$D,$D2132,$E:$E,"P0(전)",$M:$M,"&gt;0")&lt;&gt;1,"",SUMIFS($M:$M,$C:$C,$C2132,$D:$D,$D2132,$E:$E,"P0(전)"))</f>
        <v/>
      </c>
      <c r="Q2132" s="48">
        <f>IF(COUNTIFS($C:$C,$C2132,$D:$D,$D2132,$E:$E,"P0(후)",$M:$M,"&gt;0")&lt;&gt;1,"",SUMIFS($I:$I,$C:$C,$C2132,$D:$D,$D2132,$E:$E,"P0(후)"))</f>
        <v/>
      </c>
      <c r="R2132" s="31">
        <f>IF(COUNTIFS($C:$C,$C2132,$D:$D,$D2132,$E:$E,"P0(후)",$M:$M,"&gt;0")&lt;&gt;1,"",SUMIFS($M:$M,$C:$C,$C2132,$D:$D,$D2132,$E:$E,"P0(후)"))</f>
        <v/>
      </c>
      <c r="S2132" s="31">
        <f>IF(N2132&lt;&gt;"OK","",P2132+(R2132-P2132)*(I2132-O2132)/(Q2132-O2132))</f>
        <v/>
      </c>
      <c r="T2132" s="31">
        <f>IF(OR(N2132&lt;&gt;"OK",NOT(ISNUMBER(M2132))),"",M2132-S2132)</f>
        <v/>
      </c>
      <c r="U2132" s="49">
        <f>IF(OR(NOT(ISNUMBER(T2132)),IF(ISNUMBER(H2132),H2132,G2132)=0),"",T2132/IF(ISNUMBER(H2132),H2132,G2132))</f>
        <v/>
      </c>
      <c r="V2132" s="49">
        <f>IF(ISNUMBER(U2132),ABS(U2132),"")</f>
        <v/>
      </c>
      <c r="W2132" s="49">
        <f>IF(OR($E2131&lt;&gt;"측정",$C2131&lt;&gt;$C2132,$D2131&lt;&gt;$D2132,NOT(ISNUMBER(M2132)),NOT(ISNUMBER(M2131)),(IF(ISNUMBER(H2132),H2132,G2132)-IF(ISNUMBER(H2131),H2131,G2131))=0),"",(M2132-M2131)/(IF(ISNUMBER(H2132),H2132,G2132)-IF(ISNUMBER(H2131),H2131,G2131)))</f>
        <v/>
      </c>
      <c r="X2132" s="31">
        <f>IF(NOT(AND(ISNUMBER(O2132),ISNUMBER(Q2132))),"",(Q2132-O2132)*1440)</f>
        <v/>
      </c>
      <c r="Y2132" s="29" t="n"/>
      <c r="Z2132" s="29" t="n"/>
      <c r="AA2132" s="29" t="n"/>
      <c r="AB2132" s="32" t="n"/>
      <c r="AC2132" s="32" t="n"/>
    </row>
    <row r="2133">
      <c r="A2133" s="26" t="inlineStr">
        <is>
          <t>S41</t>
        </is>
      </c>
      <c r="B2133" s="26" t="inlineStr">
        <is>
          <t>거제</t>
        </is>
      </c>
      <c r="C2133" s="26" t="inlineStr">
        <is>
          <t>S41-H북</t>
        </is>
      </c>
      <c r="D2133" s="47" t="n">
        <v>1</v>
      </c>
      <c r="E2133" s="26" t="inlineStr">
        <is>
          <t>측정</t>
        </is>
      </c>
      <c r="F2133" s="26" t="inlineStr">
        <is>
          <t>북</t>
        </is>
      </c>
      <c r="G2133" s="31" t="n">
        <v>7</v>
      </c>
      <c r="H2133" s="30" t="n"/>
      <c r="I2133" s="43" t="n"/>
      <c r="J2133" s="41" t="n"/>
      <c r="K2133" s="41" t="n"/>
      <c r="L2133" s="41" t="n"/>
      <c r="M2133" s="31">
        <f>IF(COUNT(J2133:L2133)=0,"",MEDIAN(J2133:L2133))</f>
        <v/>
      </c>
      <c r="N2133" s="26">
        <f>IF(COUNTIFS($C:$C,$C2133,$D:$D,$D2133,$E:$E,"P0(전)",$M:$M,"&gt;0")&lt;&gt;1,"P0(전) 유효 1개 아님",IF(COUNTIFS($C:$C,$C2133,$D:$D,$D2133,$E:$E,"P0(후)",$M:$M,"&gt;0")&lt;&gt;1,"P0(후) 유효 1개 아님",IF(NOT(AND(ISNUMBER(O2133),ISNUMBER(Q2133),ISNUMBER(I2133))),"시각 결측",IF(Q2133&lt;=O2133,"P0 시각 역전",IF(OR(I2133&lt;O2133,I2133&gt;Q2133),"측정시각 구간 밖","OK")))))</f>
        <v/>
      </c>
      <c r="O2133" s="48">
        <f>IF(COUNTIFS($C:$C,$C2133,$D:$D,$D2133,$E:$E,"P0(전)",$M:$M,"&gt;0")&lt;&gt;1,"",SUMIFS($I:$I,$C:$C,$C2133,$D:$D,$D2133,$E:$E,"P0(전)"))</f>
        <v/>
      </c>
      <c r="P2133" s="31">
        <f>IF(COUNTIFS($C:$C,$C2133,$D:$D,$D2133,$E:$E,"P0(전)",$M:$M,"&gt;0")&lt;&gt;1,"",SUMIFS($M:$M,$C:$C,$C2133,$D:$D,$D2133,$E:$E,"P0(전)"))</f>
        <v/>
      </c>
      <c r="Q2133" s="48">
        <f>IF(COUNTIFS($C:$C,$C2133,$D:$D,$D2133,$E:$E,"P0(후)",$M:$M,"&gt;0")&lt;&gt;1,"",SUMIFS($I:$I,$C:$C,$C2133,$D:$D,$D2133,$E:$E,"P0(후)"))</f>
        <v/>
      </c>
      <c r="R2133" s="31">
        <f>IF(COUNTIFS($C:$C,$C2133,$D:$D,$D2133,$E:$E,"P0(후)",$M:$M,"&gt;0")&lt;&gt;1,"",SUMIFS($M:$M,$C:$C,$C2133,$D:$D,$D2133,$E:$E,"P0(후)"))</f>
        <v/>
      </c>
      <c r="S2133" s="31">
        <f>IF(N2133&lt;&gt;"OK","",P2133+(R2133-P2133)*(I2133-O2133)/(Q2133-O2133))</f>
        <v/>
      </c>
      <c r="T2133" s="31">
        <f>IF(OR(N2133&lt;&gt;"OK",NOT(ISNUMBER(M2133))),"",M2133-S2133)</f>
        <v/>
      </c>
      <c r="U2133" s="49">
        <f>IF(OR(NOT(ISNUMBER(T2133)),IF(ISNUMBER(H2133),H2133,G2133)=0),"",T2133/IF(ISNUMBER(H2133),H2133,G2133))</f>
        <v/>
      </c>
      <c r="V2133" s="49">
        <f>IF(ISNUMBER(U2133),ABS(U2133),"")</f>
        <v/>
      </c>
      <c r="W2133" s="49">
        <f>IF(OR($E2132&lt;&gt;"측정",$C2132&lt;&gt;$C2133,$D2132&lt;&gt;$D2133,NOT(ISNUMBER(M2133)),NOT(ISNUMBER(M2132)),(IF(ISNUMBER(H2133),H2133,G2133)-IF(ISNUMBER(H2132),H2132,G2132))=0),"",(M2133-M2132)/(IF(ISNUMBER(H2133),H2133,G2133)-IF(ISNUMBER(H2132),H2132,G2132)))</f>
        <v/>
      </c>
      <c r="X2133" s="31">
        <f>IF(NOT(AND(ISNUMBER(O2133),ISNUMBER(Q2133))),"",(Q2133-O2133)*1440)</f>
        <v/>
      </c>
      <c r="Y2133" s="29" t="n"/>
      <c r="Z2133" s="29" t="n"/>
      <c r="AA2133" s="29" t="n"/>
      <c r="AB2133" s="32" t="n"/>
      <c r="AC2133" s="32" t="n"/>
    </row>
    <row r="2134">
      <c r="A2134" s="26" t="inlineStr">
        <is>
          <t>S41</t>
        </is>
      </c>
      <c r="B2134" s="26" t="inlineStr">
        <is>
          <t>거제</t>
        </is>
      </c>
      <c r="C2134" s="26" t="inlineStr">
        <is>
          <t>S41-H북</t>
        </is>
      </c>
      <c r="D2134" s="47" t="n">
        <v>1</v>
      </c>
      <c r="E2134" s="26" t="inlineStr">
        <is>
          <t>측정</t>
        </is>
      </c>
      <c r="F2134" s="26" t="inlineStr">
        <is>
          <t>북</t>
        </is>
      </c>
      <c r="G2134" s="31" t="n">
        <v>8</v>
      </c>
      <c r="H2134" s="30" t="n"/>
      <c r="I2134" s="43" t="n"/>
      <c r="J2134" s="41" t="n"/>
      <c r="K2134" s="41" t="n"/>
      <c r="L2134" s="41" t="n"/>
      <c r="M2134" s="31">
        <f>IF(COUNT(J2134:L2134)=0,"",MEDIAN(J2134:L2134))</f>
        <v/>
      </c>
      <c r="N2134" s="26">
        <f>IF(COUNTIFS($C:$C,$C2134,$D:$D,$D2134,$E:$E,"P0(전)",$M:$M,"&gt;0")&lt;&gt;1,"P0(전) 유효 1개 아님",IF(COUNTIFS($C:$C,$C2134,$D:$D,$D2134,$E:$E,"P0(후)",$M:$M,"&gt;0")&lt;&gt;1,"P0(후) 유효 1개 아님",IF(NOT(AND(ISNUMBER(O2134),ISNUMBER(Q2134),ISNUMBER(I2134))),"시각 결측",IF(Q2134&lt;=O2134,"P0 시각 역전",IF(OR(I2134&lt;O2134,I2134&gt;Q2134),"측정시각 구간 밖","OK")))))</f>
        <v/>
      </c>
      <c r="O2134" s="48">
        <f>IF(COUNTIFS($C:$C,$C2134,$D:$D,$D2134,$E:$E,"P0(전)",$M:$M,"&gt;0")&lt;&gt;1,"",SUMIFS($I:$I,$C:$C,$C2134,$D:$D,$D2134,$E:$E,"P0(전)"))</f>
        <v/>
      </c>
      <c r="P2134" s="31">
        <f>IF(COUNTIFS($C:$C,$C2134,$D:$D,$D2134,$E:$E,"P0(전)",$M:$M,"&gt;0")&lt;&gt;1,"",SUMIFS($M:$M,$C:$C,$C2134,$D:$D,$D2134,$E:$E,"P0(전)"))</f>
        <v/>
      </c>
      <c r="Q2134" s="48">
        <f>IF(COUNTIFS($C:$C,$C2134,$D:$D,$D2134,$E:$E,"P0(후)",$M:$M,"&gt;0")&lt;&gt;1,"",SUMIFS($I:$I,$C:$C,$C2134,$D:$D,$D2134,$E:$E,"P0(후)"))</f>
        <v/>
      </c>
      <c r="R2134" s="31">
        <f>IF(COUNTIFS($C:$C,$C2134,$D:$D,$D2134,$E:$E,"P0(후)",$M:$M,"&gt;0")&lt;&gt;1,"",SUMIFS($M:$M,$C:$C,$C2134,$D:$D,$D2134,$E:$E,"P0(후)"))</f>
        <v/>
      </c>
      <c r="S2134" s="31">
        <f>IF(N2134&lt;&gt;"OK","",P2134+(R2134-P2134)*(I2134-O2134)/(Q2134-O2134))</f>
        <v/>
      </c>
      <c r="T2134" s="31">
        <f>IF(OR(N2134&lt;&gt;"OK",NOT(ISNUMBER(M2134))),"",M2134-S2134)</f>
        <v/>
      </c>
      <c r="U2134" s="49">
        <f>IF(OR(NOT(ISNUMBER(T2134)),IF(ISNUMBER(H2134),H2134,G2134)=0),"",T2134/IF(ISNUMBER(H2134),H2134,G2134))</f>
        <v/>
      </c>
      <c r="V2134" s="49">
        <f>IF(ISNUMBER(U2134),ABS(U2134),"")</f>
        <v/>
      </c>
      <c r="W2134" s="49">
        <f>IF(OR($E2133&lt;&gt;"측정",$C2133&lt;&gt;$C2134,$D2133&lt;&gt;$D2134,NOT(ISNUMBER(M2134)),NOT(ISNUMBER(M2133)),(IF(ISNUMBER(H2134),H2134,G2134)-IF(ISNUMBER(H2133),H2133,G2133))=0),"",(M2134-M2133)/(IF(ISNUMBER(H2134),H2134,G2134)-IF(ISNUMBER(H2133),H2133,G2133)))</f>
        <v/>
      </c>
      <c r="X2134" s="31">
        <f>IF(NOT(AND(ISNUMBER(O2134),ISNUMBER(Q2134))),"",(Q2134-O2134)*1440)</f>
        <v/>
      </c>
      <c r="Y2134" s="29" t="n"/>
      <c r="Z2134" s="29" t="n"/>
      <c r="AA2134" s="29" t="n"/>
      <c r="AB2134" s="32" t="n"/>
      <c r="AC2134" s="32" t="n"/>
    </row>
    <row r="2135">
      <c r="A2135" s="26" t="inlineStr">
        <is>
          <t>S41</t>
        </is>
      </c>
      <c r="B2135" s="26" t="inlineStr">
        <is>
          <t>거제</t>
        </is>
      </c>
      <c r="C2135" s="26" t="inlineStr">
        <is>
          <t>S41-H북</t>
        </is>
      </c>
      <c r="D2135" s="47" t="n">
        <v>1</v>
      </c>
      <c r="E2135" s="26" t="inlineStr">
        <is>
          <t>측정</t>
        </is>
      </c>
      <c r="F2135" s="26" t="inlineStr">
        <is>
          <t>북</t>
        </is>
      </c>
      <c r="G2135" s="31" t="n">
        <v>9</v>
      </c>
      <c r="H2135" s="30" t="n"/>
      <c r="I2135" s="43" t="n"/>
      <c r="J2135" s="41" t="n"/>
      <c r="K2135" s="41" t="n"/>
      <c r="L2135" s="41" t="n"/>
      <c r="M2135" s="31">
        <f>IF(COUNT(J2135:L2135)=0,"",MEDIAN(J2135:L2135))</f>
        <v/>
      </c>
      <c r="N2135" s="26">
        <f>IF(COUNTIFS($C:$C,$C2135,$D:$D,$D2135,$E:$E,"P0(전)",$M:$M,"&gt;0")&lt;&gt;1,"P0(전) 유효 1개 아님",IF(COUNTIFS($C:$C,$C2135,$D:$D,$D2135,$E:$E,"P0(후)",$M:$M,"&gt;0")&lt;&gt;1,"P0(후) 유효 1개 아님",IF(NOT(AND(ISNUMBER(O2135),ISNUMBER(Q2135),ISNUMBER(I2135))),"시각 결측",IF(Q2135&lt;=O2135,"P0 시각 역전",IF(OR(I2135&lt;O2135,I2135&gt;Q2135),"측정시각 구간 밖","OK")))))</f>
        <v/>
      </c>
      <c r="O2135" s="48">
        <f>IF(COUNTIFS($C:$C,$C2135,$D:$D,$D2135,$E:$E,"P0(전)",$M:$M,"&gt;0")&lt;&gt;1,"",SUMIFS($I:$I,$C:$C,$C2135,$D:$D,$D2135,$E:$E,"P0(전)"))</f>
        <v/>
      </c>
      <c r="P2135" s="31">
        <f>IF(COUNTIFS($C:$C,$C2135,$D:$D,$D2135,$E:$E,"P0(전)",$M:$M,"&gt;0")&lt;&gt;1,"",SUMIFS($M:$M,$C:$C,$C2135,$D:$D,$D2135,$E:$E,"P0(전)"))</f>
        <v/>
      </c>
      <c r="Q2135" s="48">
        <f>IF(COUNTIFS($C:$C,$C2135,$D:$D,$D2135,$E:$E,"P0(후)",$M:$M,"&gt;0")&lt;&gt;1,"",SUMIFS($I:$I,$C:$C,$C2135,$D:$D,$D2135,$E:$E,"P0(후)"))</f>
        <v/>
      </c>
      <c r="R2135" s="31">
        <f>IF(COUNTIFS($C:$C,$C2135,$D:$D,$D2135,$E:$E,"P0(후)",$M:$M,"&gt;0")&lt;&gt;1,"",SUMIFS($M:$M,$C:$C,$C2135,$D:$D,$D2135,$E:$E,"P0(후)"))</f>
        <v/>
      </c>
      <c r="S2135" s="31">
        <f>IF(N2135&lt;&gt;"OK","",P2135+(R2135-P2135)*(I2135-O2135)/(Q2135-O2135))</f>
        <v/>
      </c>
      <c r="T2135" s="31">
        <f>IF(OR(N2135&lt;&gt;"OK",NOT(ISNUMBER(M2135))),"",M2135-S2135)</f>
        <v/>
      </c>
      <c r="U2135" s="49">
        <f>IF(OR(NOT(ISNUMBER(T2135)),IF(ISNUMBER(H2135),H2135,G2135)=0),"",T2135/IF(ISNUMBER(H2135),H2135,G2135))</f>
        <v/>
      </c>
      <c r="V2135" s="49">
        <f>IF(ISNUMBER(U2135),ABS(U2135),"")</f>
        <v/>
      </c>
      <c r="W2135" s="49">
        <f>IF(OR($E2134&lt;&gt;"측정",$C2134&lt;&gt;$C2135,$D2134&lt;&gt;$D2135,NOT(ISNUMBER(M2135)),NOT(ISNUMBER(M2134)),(IF(ISNUMBER(H2135),H2135,G2135)-IF(ISNUMBER(H2134),H2134,G2134))=0),"",(M2135-M2134)/(IF(ISNUMBER(H2135),H2135,G2135)-IF(ISNUMBER(H2134),H2134,G2134)))</f>
        <v/>
      </c>
      <c r="X2135" s="31">
        <f>IF(NOT(AND(ISNUMBER(O2135),ISNUMBER(Q2135))),"",(Q2135-O2135)*1440)</f>
        <v/>
      </c>
      <c r="Y2135" s="29" t="n"/>
      <c r="Z2135" s="29" t="n"/>
      <c r="AA2135" s="29" t="n"/>
      <c r="AB2135" s="32" t="n"/>
      <c r="AC2135" s="32" t="n"/>
    </row>
    <row r="2136">
      <c r="A2136" s="26" t="inlineStr">
        <is>
          <t>S41</t>
        </is>
      </c>
      <c r="B2136" s="26" t="inlineStr">
        <is>
          <t>거제</t>
        </is>
      </c>
      <c r="C2136" s="26" t="inlineStr">
        <is>
          <t>S41-H북</t>
        </is>
      </c>
      <c r="D2136" s="47" t="n">
        <v>1</v>
      </c>
      <c r="E2136" s="26" t="inlineStr">
        <is>
          <t>측정</t>
        </is>
      </c>
      <c r="F2136" s="26" t="inlineStr">
        <is>
          <t>북</t>
        </is>
      </c>
      <c r="G2136" s="31" t="n">
        <v>10</v>
      </c>
      <c r="H2136" s="30" t="n"/>
      <c r="I2136" s="43" t="n"/>
      <c r="J2136" s="41" t="n"/>
      <c r="K2136" s="41" t="n"/>
      <c r="L2136" s="41" t="n"/>
      <c r="M2136" s="31">
        <f>IF(COUNT(J2136:L2136)=0,"",MEDIAN(J2136:L2136))</f>
        <v/>
      </c>
      <c r="N2136" s="26">
        <f>IF(COUNTIFS($C:$C,$C2136,$D:$D,$D2136,$E:$E,"P0(전)",$M:$M,"&gt;0")&lt;&gt;1,"P0(전) 유효 1개 아님",IF(COUNTIFS($C:$C,$C2136,$D:$D,$D2136,$E:$E,"P0(후)",$M:$M,"&gt;0")&lt;&gt;1,"P0(후) 유효 1개 아님",IF(NOT(AND(ISNUMBER(O2136),ISNUMBER(Q2136),ISNUMBER(I2136))),"시각 결측",IF(Q2136&lt;=O2136,"P0 시각 역전",IF(OR(I2136&lt;O2136,I2136&gt;Q2136),"측정시각 구간 밖","OK")))))</f>
        <v/>
      </c>
      <c r="O2136" s="48">
        <f>IF(COUNTIFS($C:$C,$C2136,$D:$D,$D2136,$E:$E,"P0(전)",$M:$M,"&gt;0")&lt;&gt;1,"",SUMIFS($I:$I,$C:$C,$C2136,$D:$D,$D2136,$E:$E,"P0(전)"))</f>
        <v/>
      </c>
      <c r="P2136" s="31">
        <f>IF(COUNTIFS($C:$C,$C2136,$D:$D,$D2136,$E:$E,"P0(전)",$M:$M,"&gt;0")&lt;&gt;1,"",SUMIFS($M:$M,$C:$C,$C2136,$D:$D,$D2136,$E:$E,"P0(전)"))</f>
        <v/>
      </c>
      <c r="Q2136" s="48">
        <f>IF(COUNTIFS($C:$C,$C2136,$D:$D,$D2136,$E:$E,"P0(후)",$M:$M,"&gt;0")&lt;&gt;1,"",SUMIFS($I:$I,$C:$C,$C2136,$D:$D,$D2136,$E:$E,"P0(후)"))</f>
        <v/>
      </c>
      <c r="R2136" s="31">
        <f>IF(COUNTIFS($C:$C,$C2136,$D:$D,$D2136,$E:$E,"P0(후)",$M:$M,"&gt;0")&lt;&gt;1,"",SUMIFS($M:$M,$C:$C,$C2136,$D:$D,$D2136,$E:$E,"P0(후)"))</f>
        <v/>
      </c>
      <c r="S2136" s="31">
        <f>IF(N2136&lt;&gt;"OK","",P2136+(R2136-P2136)*(I2136-O2136)/(Q2136-O2136))</f>
        <v/>
      </c>
      <c r="T2136" s="31">
        <f>IF(OR(N2136&lt;&gt;"OK",NOT(ISNUMBER(M2136))),"",M2136-S2136)</f>
        <v/>
      </c>
      <c r="U2136" s="49">
        <f>IF(OR(NOT(ISNUMBER(T2136)),IF(ISNUMBER(H2136),H2136,G2136)=0),"",T2136/IF(ISNUMBER(H2136),H2136,G2136))</f>
        <v/>
      </c>
      <c r="V2136" s="49">
        <f>IF(ISNUMBER(U2136),ABS(U2136),"")</f>
        <v/>
      </c>
      <c r="W2136" s="49">
        <f>IF(OR($E2135&lt;&gt;"측정",$C2135&lt;&gt;$C2136,$D2135&lt;&gt;$D2136,NOT(ISNUMBER(M2136)),NOT(ISNUMBER(M2135)),(IF(ISNUMBER(H2136),H2136,G2136)-IF(ISNUMBER(H2135),H2135,G2135))=0),"",(M2136-M2135)/(IF(ISNUMBER(H2136),H2136,G2136)-IF(ISNUMBER(H2135),H2135,G2135)))</f>
        <v/>
      </c>
      <c r="X2136" s="31">
        <f>IF(NOT(AND(ISNUMBER(O2136),ISNUMBER(Q2136))),"",(Q2136-O2136)*1440)</f>
        <v/>
      </c>
      <c r="Y2136" s="29" t="n"/>
      <c r="Z2136" s="29" t="n"/>
      <c r="AA2136" s="29" t="n"/>
      <c r="AB2136" s="32" t="n"/>
      <c r="AC2136" s="32" t="n"/>
    </row>
    <row r="2137">
      <c r="A2137" s="44" t="inlineStr">
        <is>
          <t>S41</t>
        </is>
      </c>
      <c r="B2137" s="44" t="inlineStr">
        <is>
          <t>거제</t>
        </is>
      </c>
      <c r="C2137" s="44" t="inlineStr">
        <is>
          <t>S41-H북</t>
        </is>
      </c>
      <c r="D2137" s="45" t="n">
        <v>1</v>
      </c>
      <c r="E2137" s="44" t="inlineStr">
        <is>
          <t>P0(후)</t>
        </is>
      </c>
      <c r="F2137" s="44" t="inlineStr">
        <is>
          <t>북</t>
        </is>
      </c>
      <c r="G2137" s="46" t="n"/>
      <c r="H2137" s="30" t="n"/>
      <c r="I2137" s="43" t="n"/>
      <c r="J2137" s="41" t="n"/>
      <c r="K2137" s="41" t="n"/>
      <c r="L2137" s="41" t="n"/>
      <c r="M2137" s="31">
        <f>IF(COUNT(J2137:L2137)=0,"",MEDIAN(J2137:L2137))</f>
        <v/>
      </c>
      <c r="N2137" s="38" t="n"/>
      <c r="O2137" s="38" t="n"/>
      <c r="P2137" s="38" t="n"/>
      <c r="Q2137" s="38" t="n"/>
      <c r="R2137" s="38" t="n"/>
      <c r="S2137" s="38" t="n"/>
      <c r="T2137" s="38" t="n"/>
      <c r="U2137" s="38" t="n"/>
      <c r="V2137" s="38" t="n"/>
      <c r="W2137" s="38" t="n"/>
      <c r="X2137" s="38" t="n"/>
      <c r="Y2137" s="29" t="n"/>
      <c r="Z2137" s="29" t="n"/>
      <c r="AA2137" s="29" t="n"/>
      <c r="AB2137" s="32" t="n"/>
      <c r="AC2137" s="32" t="n"/>
    </row>
    <row r="2138">
      <c r="A2138" s="44" t="inlineStr">
        <is>
          <t>S42</t>
        </is>
      </c>
      <c r="B2138" s="44" t="inlineStr">
        <is>
          <t>조도</t>
        </is>
      </c>
      <c r="C2138" s="44" t="inlineStr">
        <is>
          <t>S42-H동</t>
        </is>
      </c>
      <c r="D2138" s="45" t="n">
        <v>1</v>
      </c>
      <c r="E2138" s="44" t="inlineStr">
        <is>
          <t>P0(전)</t>
        </is>
      </c>
      <c r="F2138" s="44" t="inlineStr">
        <is>
          <t>동</t>
        </is>
      </c>
      <c r="G2138" s="46" t="n"/>
      <c r="H2138" s="30" t="n"/>
      <c r="I2138" s="43" t="n"/>
      <c r="J2138" s="41" t="n"/>
      <c r="K2138" s="41" t="n"/>
      <c r="L2138" s="41" t="n"/>
      <c r="M2138" s="31">
        <f>IF(COUNT(J2138:L2138)=0,"",MEDIAN(J2138:L2138))</f>
        <v/>
      </c>
      <c r="N2138" s="38" t="n"/>
      <c r="O2138" s="38" t="n"/>
      <c r="P2138" s="38" t="n"/>
      <c r="Q2138" s="38" t="n"/>
      <c r="R2138" s="38" t="n"/>
      <c r="S2138" s="38" t="n"/>
      <c r="T2138" s="38" t="n"/>
      <c r="U2138" s="38" t="n"/>
      <c r="V2138" s="38" t="n"/>
      <c r="W2138" s="38" t="n"/>
      <c r="X2138" s="38" t="n"/>
      <c r="Y2138" s="29" t="n"/>
      <c r="Z2138" s="29" t="n"/>
      <c r="AA2138" s="29" t="n"/>
      <c r="AB2138" s="32" t="n"/>
      <c r="AC2138" s="32" t="n"/>
    </row>
    <row r="2139">
      <c r="A2139" s="26" t="inlineStr">
        <is>
          <t>S42</t>
        </is>
      </c>
      <c r="B2139" s="26" t="inlineStr">
        <is>
          <t>조도</t>
        </is>
      </c>
      <c r="C2139" s="26" t="inlineStr">
        <is>
          <t>S42-H동</t>
        </is>
      </c>
      <c r="D2139" s="47" t="n">
        <v>1</v>
      </c>
      <c r="E2139" s="26" t="inlineStr">
        <is>
          <t>측정</t>
        </is>
      </c>
      <c r="F2139" s="26" t="inlineStr">
        <is>
          <t>동</t>
        </is>
      </c>
      <c r="G2139" s="31" t="n">
        <v>0.5</v>
      </c>
      <c r="H2139" s="30" t="n"/>
      <c r="I2139" s="43" t="n"/>
      <c r="J2139" s="41" t="n"/>
      <c r="K2139" s="41" t="n"/>
      <c r="L2139" s="41" t="n"/>
      <c r="M2139" s="31">
        <f>IF(COUNT(J2139:L2139)=0,"",MEDIAN(J2139:L2139))</f>
        <v/>
      </c>
      <c r="N2139" s="26">
        <f>IF(COUNTIFS($C:$C,$C2139,$D:$D,$D2139,$E:$E,"P0(전)",$M:$M,"&gt;0")&lt;&gt;1,"P0(전) 유효 1개 아님",IF(COUNTIFS($C:$C,$C2139,$D:$D,$D2139,$E:$E,"P0(후)",$M:$M,"&gt;0")&lt;&gt;1,"P0(후) 유효 1개 아님",IF(NOT(AND(ISNUMBER(O2139),ISNUMBER(Q2139),ISNUMBER(I2139))),"시각 결측",IF(Q2139&lt;=O2139,"P0 시각 역전",IF(OR(I2139&lt;O2139,I2139&gt;Q2139),"측정시각 구간 밖","OK")))))</f>
        <v/>
      </c>
      <c r="O2139" s="48">
        <f>IF(COUNTIFS($C:$C,$C2139,$D:$D,$D2139,$E:$E,"P0(전)",$M:$M,"&gt;0")&lt;&gt;1,"",SUMIFS($I:$I,$C:$C,$C2139,$D:$D,$D2139,$E:$E,"P0(전)"))</f>
        <v/>
      </c>
      <c r="P2139" s="31">
        <f>IF(COUNTIFS($C:$C,$C2139,$D:$D,$D2139,$E:$E,"P0(전)",$M:$M,"&gt;0")&lt;&gt;1,"",SUMIFS($M:$M,$C:$C,$C2139,$D:$D,$D2139,$E:$E,"P0(전)"))</f>
        <v/>
      </c>
      <c r="Q2139" s="48">
        <f>IF(COUNTIFS($C:$C,$C2139,$D:$D,$D2139,$E:$E,"P0(후)",$M:$M,"&gt;0")&lt;&gt;1,"",SUMIFS($I:$I,$C:$C,$C2139,$D:$D,$D2139,$E:$E,"P0(후)"))</f>
        <v/>
      </c>
      <c r="R2139" s="31">
        <f>IF(COUNTIFS($C:$C,$C2139,$D:$D,$D2139,$E:$E,"P0(후)",$M:$M,"&gt;0")&lt;&gt;1,"",SUMIFS($M:$M,$C:$C,$C2139,$D:$D,$D2139,$E:$E,"P0(후)"))</f>
        <v/>
      </c>
      <c r="S2139" s="31">
        <f>IF(N2139&lt;&gt;"OK","",P2139+(R2139-P2139)*(I2139-O2139)/(Q2139-O2139))</f>
        <v/>
      </c>
      <c r="T2139" s="31">
        <f>IF(OR(N2139&lt;&gt;"OK",NOT(ISNUMBER(M2139))),"",M2139-S2139)</f>
        <v/>
      </c>
      <c r="U2139" s="49">
        <f>IF(OR(NOT(ISNUMBER(T2139)),IF(ISNUMBER(H2139),H2139,G2139)=0),"",T2139/IF(ISNUMBER(H2139),H2139,G2139))</f>
        <v/>
      </c>
      <c r="V2139" s="49">
        <f>IF(ISNUMBER(U2139),ABS(U2139),"")</f>
        <v/>
      </c>
      <c r="W2139" s="49">
        <f>IF(OR($E2138&lt;&gt;"측정",$C2138&lt;&gt;$C2139,$D2138&lt;&gt;$D2139,NOT(ISNUMBER(M2139)),NOT(ISNUMBER(M2138)),(IF(ISNUMBER(H2139),H2139,G2139)-IF(ISNUMBER(H2138),H2138,G2138))=0),"",(M2139-M2138)/(IF(ISNUMBER(H2139),H2139,G2139)-IF(ISNUMBER(H2138),H2138,G2138)))</f>
        <v/>
      </c>
      <c r="X2139" s="31">
        <f>IF(NOT(AND(ISNUMBER(O2139),ISNUMBER(Q2139))),"",(Q2139-O2139)*1440)</f>
        <v/>
      </c>
      <c r="Y2139" s="29" t="n"/>
      <c r="Z2139" s="29" t="n"/>
      <c r="AA2139" s="29" t="n"/>
      <c r="AB2139" s="32" t="n"/>
      <c r="AC2139" s="32" t="n"/>
    </row>
    <row r="2140">
      <c r="A2140" s="26" t="inlineStr">
        <is>
          <t>S42</t>
        </is>
      </c>
      <c r="B2140" s="26" t="inlineStr">
        <is>
          <t>조도</t>
        </is>
      </c>
      <c r="C2140" s="26" t="inlineStr">
        <is>
          <t>S42-H동</t>
        </is>
      </c>
      <c r="D2140" s="47" t="n">
        <v>1</v>
      </c>
      <c r="E2140" s="26" t="inlineStr">
        <is>
          <t>측정</t>
        </is>
      </c>
      <c r="F2140" s="26" t="inlineStr">
        <is>
          <t>동</t>
        </is>
      </c>
      <c r="G2140" s="31" t="n">
        <v>1</v>
      </c>
      <c r="H2140" s="30" t="n"/>
      <c r="I2140" s="43" t="n"/>
      <c r="J2140" s="41" t="n"/>
      <c r="K2140" s="41" t="n"/>
      <c r="L2140" s="41" t="n"/>
      <c r="M2140" s="31">
        <f>IF(COUNT(J2140:L2140)=0,"",MEDIAN(J2140:L2140))</f>
        <v/>
      </c>
      <c r="N2140" s="26">
        <f>IF(COUNTIFS($C:$C,$C2140,$D:$D,$D2140,$E:$E,"P0(전)",$M:$M,"&gt;0")&lt;&gt;1,"P0(전) 유효 1개 아님",IF(COUNTIFS($C:$C,$C2140,$D:$D,$D2140,$E:$E,"P0(후)",$M:$M,"&gt;0")&lt;&gt;1,"P0(후) 유효 1개 아님",IF(NOT(AND(ISNUMBER(O2140),ISNUMBER(Q2140),ISNUMBER(I2140))),"시각 결측",IF(Q2140&lt;=O2140,"P0 시각 역전",IF(OR(I2140&lt;O2140,I2140&gt;Q2140),"측정시각 구간 밖","OK")))))</f>
        <v/>
      </c>
      <c r="O2140" s="48">
        <f>IF(COUNTIFS($C:$C,$C2140,$D:$D,$D2140,$E:$E,"P0(전)",$M:$M,"&gt;0")&lt;&gt;1,"",SUMIFS($I:$I,$C:$C,$C2140,$D:$D,$D2140,$E:$E,"P0(전)"))</f>
        <v/>
      </c>
      <c r="P2140" s="31">
        <f>IF(COUNTIFS($C:$C,$C2140,$D:$D,$D2140,$E:$E,"P0(전)",$M:$M,"&gt;0")&lt;&gt;1,"",SUMIFS($M:$M,$C:$C,$C2140,$D:$D,$D2140,$E:$E,"P0(전)"))</f>
        <v/>
      </c>
      <c r="Q2140" s="48">
        <f>IF(COUNTIFS($C:$C,$C2140,$D:$D,$D2140,$E:$E,"P0(후)",$M:$M,"&gt;0")&lt;&gt;1,"",SUMIFS($I:$I,$C:$C,$C2140,$D:$D,$D2140,$E:$E,"P0(후)"))</f>
        <v/>
      </c>
      <c r="R2140" s="31">
        <f>IF(COUNTIFS($C:$C,$C2140,$D:$D,$D2140,$E:$E,"P0(후)",$M:$M,"&gt;0")&lt;&gt;1,"",SUMIFS($M:$M,$C:$C,$C2140,$D:$D,$D2140,$E:$E,"P0(후)"))</f>
        <v/>
      </c>
      <c r="S2140" s="31">
        <f>IF(N2140&lt;&gt;"OK","",P2140+(R2140-P2140)*(I2140-O2140)/(Q2140-O2140))</f>
        <v/>
      </c>
      <c r="T2140" s="31">
        <f>IF(OR(N2140&lt;&gt;"OK",NOT(ISNUMBER(M2140))),"",M2140-S2140)</f>
        <v/>
      </c>
      <c r="U2140" s="49">
        <f>IF(OR(NOT(ISNUMBER(T2140)),IF(ISNUMBER(H2140),H2140,G2140)=0),"",T2140/IF(ISNUMBER(H2140),H2140,G2140))</f>
        <v/>
      </c>
      <c r="V2140" s="49">
        <f>IF(ISNUMBER(U2140),ABS(U2140),"")</f>
        <v/>
      </c>
      <c r="W2140" s="49">
        <f>IF(OR($E2139&lt;&gt;"측정",$C2139&lt;&gt;$C2140,$D2139&lt;&gt;$D2140,NOT(ISNUMBER(M2140)),NOT(ISNUMBER(M2139)),(IF(ISNUMBER(H2140),H2140,G2140)-IF(ISNUMBER(H2139),H2139,G2139))=0),"",(M2140-M2139)/(IF(ISNUMBER(H2140),H2140,G2140)-IF(ISNUMBER(H2139),H2139,G2139)))</f>
        <v/>
      </c>
      <c r="X2140" s="31">
        <f>IF(NOT(AND(ISNUMBER(O2140),ISNUMBER(Q2140))),"",(Q2140-O2140)*1440)</f>
        <v/>
      </c>
      <c r="Y2140" s="29" t="n"/>
      <c r="Z2140" s="29" t="n"/>
      <c r="AA2140" s="29" t="n"/>
      <c r="AB2140" s="32" t="n"/>
      <c r="AC2140" s="32" t="n"/>
    </row>
    <row r="2141">
      <c r="A2141" s="26" t="inlineStr">
        <is>
          <t>S42</t>
        </is>
      </c>
      <c r="B2141" s="26" t="inlineStr">
        <is>
          <t>조도</t>
        </is>
      </c>
      <c r="C2141" s="26" t="inlineStr">
        <is>
          <t>S42-H동</t>
        </is>
      </c>
      <c r="D2141" s="47" t="n">
        <v>1</v>
      </c>
      <c r="E2141" s="26" t="inlineStr">
        <is>
          <t>측정</t>
        </is>
      </c>
      <c r="F2141" s="26" t="inlineStr">
        <is>
          <t>동</t>
        </is>
      </c>
      <c r="G2141" s="31" t="n">
        <v>2</v>
      </c>
      <c r="H2141" s="30" t="n"/>
      <c r="I2141" s="43" t="n"/>
      <c r="J2141" s="41" t="n"/>
      <c r="K2141" s="41" t="n"/>
      <c r="L2141" s="41" t="n"/>
      <c r="M2141" s="31">
        <f>IF(COUNT(J2141:L2141)=0,"",MEDIAN(J2141:L2141))</f>
        <v/>
      </c>
      <c r="N2141" s="26">
        <f>IF(COUNTIFS($C:$C,$C2141,$D:$D,$D2141,$E:$E,"P0(전)",$M:$M,"&gt;0")&lt;&gt;1,"P0(전) 유효 1개 아님",IF(COUNTIFS($C:$C,$C2141,$D:$D,$D2141,$E:$E,"P0(후)",$M:$M,"&gt;0")&lt;&gt;1,"P0(후) 유효 1개 아님",IF(NOT(AND(ISNUMBER(O2141),ISNUMBER(Q2141),ISNUMBER(I2141))),"시각 결측",IF(Q2141&lt;=O2141,"P0 시각 역전",IF(OR(I2141&lt;O2141,I2141&gt;Q2141),"측정시각 구간 밖","OK")))))</f>
        <v/>
      </c>
      <c r="O2141" s="48">
        <f>IF(COUNTIFS($C:$C,$C2141,$D:$D,$D2141,$E:$E,"P0(전)",$M:$M,"&gt;0")&lt;&gt;1,"",SUMIFS($I:$I,$C:$C,$C2141,$D:$D,$D2141,$E:$E,"P0(전)"))</f>
        <v/>
      </c>
      <c r="P2141" s="31">
        <f>IF(COUNTIFS($C:$C,$C2141,$D:$D,$D2141,$E:$E,"P0(전)",$M:$M,"&gt;0")&lt;&gt;1,"",SUMIFS($M:$M,$C:$C,$C2141,$D:$D,$D2141,$E:$E,"P0(전)"))</f>
        <v/>
      </c>
      <c r="Q2141" s="48">
        <f>IF(COUNTIFS($C:$C,$C2141,$D:$D,$D2141,$E:$E,"P0(후)",$M:$M,"&gt;0")&lt;&gt;1,"",SUMIFS($I:$I,$C:$C,$C2141,$D:$D,$D2141,$E:$E,"P0(후)"))</f>
        <v/>
      </c>
      <c r="R2141" s="31">
        <f>IF(COUNTIFS($C:$C,$C2141,$D:$D,$D2141,$E:$E,"P0(후)",$M:$M,"&gt;0")&lt;&gt;1,"",SUMIFS($M:$M,$C:$C,$C2141,$D:$D,$D2141,$E:$E,"P0(후)"))</f>
        <v/>
      </c>
      <c r="S2141" s="31">
        <f>IF(N2141&lt;&gt;"OK","",P2141+(R2141-P2141)*(I2141-O2141)/(Q2141-O2141))</f>
        <v/>
      </c>
      <c r="T2141" s="31">
        <f>IF(OR(N2141&lt;&gt;"OK",NOT(ISNUMBER(M2141))),"",M2141-S2141)</f>
        <v/>
      </c>
      <c r="U2141" s="49">
        <f>IF(OR(NOT(ISNUMBER(T2141)),IF(ISNUMBER(H2141),H2141,G2141)=0),"",T2141/IF(ISNUMBER(H2141),H2141,G2141))</f>
        <v/>
      </c>
      <c r="V2141" s="49">
        <f>IF(ISNUMBER(U2141),ABS(U2141),"")</f>
        <v/>
      </c>
      <c r="W2141" s="49">
        <f>IF(OR($E2140&lt;&gt;"측정",$C2140&lt;&gt;$C2141,$D2140&lt;&gt;$D2141,NOT(ISNUMBER(M2141)),NOT(ISNUMBER(M2140)),(IF(ISNUMBER(H2141),H2141,G2141)-IF(ISNUMBER(H2140),H2140,G2140))=0),"",(M2141-M2140)/(IF(ISNUMBER(H2141),H2141,G2141)-IF(ISNUMBER(H2140),H2140,G2140)))</f>
        <v/>
      </c>
      <c r="X2141" s="31">
        <f>IF(NOT(AND(ISNUMBER(O2141),ISNUMBER(Q2141))),"",(Q2141-O2141)*1440)</f>
        <v/>
      </c>
      <c r="Y2141" s="29" t="n"/>
      <c r="Z2141" s="29" t="n"/>
      <c r="AA2141" s="29" t="n"/>
      <c r="AB2141" s="32" t="n"/>
      <c r="AC2141" s="32" t="n"/>
    </row>
    <row r="2142">
      <c r="A2142" s="26" t="inlineStr">
        <is>
          <t>S42</t>
        </is>
      </c>
      <c r="B2142" s="26" t="inlineStr">
        <is>
          <t>조도</t>
        </is>
      </c>
      <c r="C2142" s="26" t="inlineStr">
        <is>
          <t>S42-H동</t>
        </is>
      </c>
      <c r="D2142" s="47" t="n">
        <v>1</v>
      </c>
      <c r="E2142" s="26" t="inlineStr">
        <is>
          <t>측정</t>
        </is>
      </c>
      <c r="F2142" s="26" t="inlineStr">
        <is>
          <t>동</t>
        </is>
      </c>
      <c r="G2142" s="31" t="n">
        <v>3</v>
      </c>
      <c r="H2142" s="30" t="n"/>
      <c r="I2142" s="43" t="n"/>
      <c r="J2142" s="41" t="n"/>
      <c r="K2142" s="41" t="n"/>
      <c r="L2142" s="41" t="n"/>
      <c r="M2142" s="31">
        <f>IF(COUNT(J2142:L2142)=0,"",MEDIAN(J2142:L2142))</f>
        <v/>
      </c>
      <c r="N2142" s="26">
        <f>IF(COUNTIFS($C:$C,$C2142,$D:$D,$D2142,$E:$E,"P0(전)",$M:$M,"&gt;0")&lt;&gt;1,"P0(전) 유효 1개 아님",IF(COUNTIFS($C:$C,$C2142,$D:$D,$D2142,$E:$E,"P0(후)",$M:$M,"&gt;0")&lt;&gt;1,"P0(후) 유효 1개 아님",IF(NOT(AND(ISNUMBER(O2142),ISNUMBER(Q2142),ISNUMBER(I2142))),"시각 결측",IF(Q2142&lt;=O2142,"P0 시각 역전",IF(OR(I2142&lt;O2142,I2142&gt;Q2142),"측정시각 구간 밖","OK")))))</f>
        <v/>
      </c>
      <c r="O2142" s="48">
        <f>IF(COUNTIFS($C:$C,$C2142,$D:$D,$D2142,$E:$E,"P0(전)",$M:$M,"&gt;0")&lt;&gt;1,"",SUMIFS($I:$I,$C:$C,$C2142,$D:$D,$D2142,$E:$E,"P0(전)"))</f>
        <v/>
      </c>
      <c r="P2142" s="31">
        <f>IF(COUNTIFS($C:$C,$C2142,$D:$D,$D2142,$E:$E,"P0(전)",$M:$M,"&gt;0")&lt;&gt;1,"",SUMIFS($M:$M,$C:$C,$C2142,$D:$D,$D2142,$E:$E,"P0(전)"))</f>
        <v/>
      </c>
      <c r="Q2142" s="48">
        <f>IF(COUNTIFS($C:$C,$C2142,$D:$D,$D2142,$E:$E,"P0(후)",$M:$M,"&gt;0")&lt;&gt;1,"",SUMIFS($I:$I,$C:$C,$C2142,$D:$D,$D2142,$E:$E,"P0(후)"))</f>
        <v/>
      </c>
      <c r="R2142" s="31">
        <f>IF(COUNTIFS($C:$C,$C2142,$D:$D,$D2142,$E:$E,"P0(후)",$M:$M,"&gt;0")&lt;&gt;1,"",SUMIFS($M:$M,$C:$C,$C2142,$D:$D,$D2142,$E:$E,"P0(후)"))</f>
        <v/>
      </c>
      <c r="S2142" s="31">
        <f>IF(N2142&lt;&gt;"OK","",P2142+(R2142-P2142)*(I2142-O2142)/(Q2142-O2142))</f>
        <v/>
      </c>
      <c r="T2142" s="31">
        <f>IF(OR(N2142&lt;&gt;"OK",NOT(ISNUMBER(M2142))),"",M2142-S2142)</f>
        <v/>
      </c>
      <c r="U2142" s="49">
        <f>IF(OR(NOT(ISNUMBER(T2142)),IF(ISNUMBER(H2142),H2142,G2142)=0),"",T2142/IF(ISNUMBER(H2142),H2142,G2142))</f>
        <v/>
      </c>
      <c r="V2142" s="49">
        <f>IF(ISNUMBER(U2142),ABS(U2142),"")</f>
        <v/>
      </c>
      <c r="W2142" s="49">
        <f>IF(OR($E2141&lt;&gt;"측정",$C2141&lt;&gt;$C2142,$D2141&lt;&gt;$D2142,NOT(ISNUMBER(M2142)),NOT(ISNUMBER(M2141)),(IF(ISNUMBER(H2142),H2142,G2142)-IF(ISNUMBER(H2141),H2141,G2141))=0),"",(M2142-M2141)/(IF(ISNUMBER(H2142),H2142,G2142)-IF(ISNUMBER(H2141),H2141,G2141)))</f>
        <v/>
      </c>
      <c r="X2142" s="31">
        <f>IF(NOT(AND(ISNUMBER(O2142),ISNUMBER(Q2142))),"",(Q2142-O2142)*1440)</f>
        <v/>
      </c>
      <c r="Y2142" s="29" t="n"/>
      <c r="Z2142" s="29" t="n"/>
      <c r="AA2142" s="29" t="n"/>
      <c r="AB2142" s="32" t="n"/>
      <c r="AC2142" s="32" t="n"/>
    </row>
    <row r="2143">
      <c r="A2143" s="26" t="inlineStr">
        <is>
          <t>S42</t>
        </is>
      </c>
      <c r="B2143" s="26" t="inlineStr">
        <is>
          <t>조도</t>
        </is>
      </c>
      <c r="C2143" s="26" t="inlineStr">
        <is>
          <t>S42-H동</t>
        </is>
      </c>
      <c r="D2143" s="47" t="n">
        <v>1</v>
      </c>
      <c r="E2143" s="26" t="inlineStr">
        <is>
          <t>측정</t>
        </is>
      </c>
      <c r="F2143" s="26" t="inlineStr">
        <is>
          <t>동</t>
        </is>
      </c>
      <c r="G2143" s="31" t="n">
        <v>4</v>
      </c>
      <c r="H2143" s="30" t="n"/>
      <c r="I2143" s="43" t="n"/>
      <c r="J2143" s="41" t="n"/>
      <c r="K2143" s="41" t="n"/>
      <c r="L2143" s="41" t="n"/>
      <c r="M2143" s="31">
        <f>IF(COUNT(J2143:L2143)=0,"",MEDIAN(J2143:L2143))</f>
        <v/>
      </c>
      <c r="N2143" s="26">
        <f>IF(COUNTIFS($C:$C,$C2143,$D:$D,$D2143,$E:$E,"P0(전)",$M:$M,"&gt;0")&lt;&gt;1,"P0(전) 유효 1개 아님",IF(COUNTIFS($C:$C,$C2143,$D:$D,$D2143,$E:$E,"P0(후)",$M:$M,"&gt;0")&lt;&gt;1,"P0(후) 유효 1개 아님",IF(NOT(AND(ISNUMBER(O2143),ISNUMBER(Q2143),ISNUMBER(I2143))),"시각 결측",IF(Q2143&lt;=O2143,"P0 시각 역전",IF(OR(I2143&lt;O2143,I2143&gt;Q2143),"측정시각 구간 밖","OK")))))</f>
        <v/>
      </c>
      <c r="O2143" s="48">
        <f>IF(COUNTIFS($C:$C,$C2143,$D:$D,$D2143,$E:$E,"P0(전)",$M:$M,"&gt;0")&lt;&gt;1,"",SUMIFS($I:$I,$C:$C,$C2143,$D:$D,$D2143,$E:$E,"P0(전)"))</f>
        <v/>
      </c>
      <c r="P2143" s="31">
        <f>IF(COUNTIFS($C:$C,$C2143,$D:$D,$D2143,$E:$E,"P0(전)",$M:$M,"&gt;0")&lt;&gt;1,"",SUMIFS($M:$M,$C:$C,$C2143,$D:$D,$D2143,$E:$E,"P0(전)"))</f>
        <v/>
      </c>
      <c r="Q2143" s="48">
        <f>IF(COUNTIFS($C:$C,$C2143,$D:$D,$D2143,$E:$E,"P0(후)",$M:$M,"&gt;0")&lt;&gt;1,"",SUMIFS($I:$I,$C:$C,$C2143,$D:$D,$D2143,$E:$E,"P0(후)"))</f>
        <v/>
      </c>
      <c r="R2143" s="31">
        <f>IF(COUNTIFS($C:$C,$C2143,$D:$D,$D2143,$E:$E,"P0(후)",$M:$M,"&gt;0")&lt;&gt;1,"",SUMIFS($M:$M,$C:$C,$C2143,$D:$D,$D2143,$E:$E,"P0(후)"))</f>
        <v/>
      </c>
      <c r="S2143" s="31">
        <f>IF(N2143&lt;&gt;"OK","",P2143+(R2143-P2143)*(I2143-O2143)/(Q2143-O2143))</f>
        <v/>
      </c>
      <c r="T2143" s="31">
        <f>IF(OR(N2143&lt;&gt;"OK",NOT(ISNUMBER(M2143))),"",M2143-S2143)</f>
        <v/>
      </c>
      <c r="U2143" s="49">
        <f>IF(OR(NOT(ISNUMBER(T2143)),IF(ISNUMBER(H2143),H2143,G2143)=0),"",T2143/IF(ISNUMBER(H2143),H2143,G2143))</f>
        <v/>
      </c>
      <c r="V2143" s="49">
        <f>IF(ISNUMBER(U2143),ABS(U2143),"")</f>
        <v/>
      </c>
      <c r="W2143" s="49">
        <f>IF(OR($E2142&lt;&gt;"측정",$C2142&lt;&gt;$C2143,$D2142&lt;&gt;$D2143,NOT(ISNUMBER(M2143)),NOT(ISNUMBER(M2142)),(IF(ISNUMBER(H2143),H2143,G2143)-IF(ISNUMBER(H2142),H2142,G2142))=0),"",(M2143-M2142)/(IF(ISNUMBER(H2143),H2143,G2143)-IF(ISNUMBER(H2142),H2142,G2142)))</f>
        <v/>
      </c>
      <c r="X2143" s="31">
        <f>IF(NOT(AND(ISNUMBER(O2143),ISNUMBER(Q2143))),"",(Q2143-O2143)*1440)</f>
        <v/>
      </c>
      <c r="Y2143" s="29" t="n"/>
      <c r="Z2143" s="29" t="n"/>
      <c r="AA2143" s="29" t="n"/>
      <c r="AB2143" s="32" t="n"/>
      <c r="AC2143" s="32" t="n"/>
    </row>
    <row r="2144">
      <c r="A2144" s="26" t="inlineStr">
        <is>
          <t>S42</t>
        </is>
      </c>
      <c r="B2144" s="26" t="inlineStr">
        <is>
          <t>조도</t>
        </is>
      </c>
      <c r="C2144" s="26" t="inlineStr">
        <is>
          <t>S42-H동</t>
        </is>
      </c>
      <c r="D2144" s="47" t="n">
        <v>1</v>
      </c>
      <c r="E2144" s="26" t="inlineStr">
        <is>
          <t>측정</t>
        </is>
      </c>
      <c r="F2144" s="26" t="inlineStr">
        <is>
          <t>동</t>
        </is>
      </c>
      <c r="G2144" s="31" t="n">
        <v>5</v>
      </c>
      <c r="H2144" s="30" t="n"/>
      <c r="I2144" s="43" t="n"/>
      <c r="J2144" s="41" t="n"/>
      <c r="K2144" s="41" t="n"/>
      <c r="L2144" s="41" t="n"/>
      <c r="M2144" s="31">
        <f>IF(COUNT(J2144:L2144)=0,"",MEDIAN(J2144:L2144))</f>
        <v/>
      </c>
      <c r="N2144" s="26">
        <f>IF(COUNTIFS($C:$C,$C2144,$D:$D,$D2144,$E:$E,"P0(전)",$M:$M,"&gt;0")&lt;&gt;1,"P0(전) 유효 1개 아님",IF(COUNTIFS($C:$C,$C2144,$D:$D,$D2144,$E:$E,"P0(후)",$M:$M,"&gt;0")&lt;&gt;1,"P0(후) 유효 1개 아님",IF(NOT(AND(ISNUMBER(O2144),ISNUMBER(Q2144),ISNUMBER(I2144))),"시각 결측",IF(Q2144&lt;=O2144,"P0 시각 역전",IF(OR(I2144&lt;O2144,I2144&gt;Q2144),"측정시각 구간 밖","OK")))))</f>
        <v/>
      </c>
      <c r="O2144" s="48">
        <f>IF(COUNTIFS($C:$C,$C2144,$D:$D,$D2144,$E:$E,"P0(전)",$M:$M,"&gt;0")&lt;&gt;1,"",SUMIFS($I:$I,$C:$C,$C2144,$D:$D,$D2144,$E:$E,"P0(전)"))</f>
        <v/>
      </c>
      <c r="P2144" s="31">
        <f>IF(COUNTIFS($C:$C,$C2144,$D:$D,$D2144,$E:$E,"P0(전)",$M:$M,"&gt;0")&lt;&gt;1,"",SUMIFS($M:$M,$C:$C,$C2144,$D:$D,$D2144,$E:$E,"P0(전)"))</f>
        <v/>
      </c>
      <c r="Q2144" s="48">
        <f>IF(COUNTIFS($C:$C,$C2144,$D:$D,$D2144,$E:$E,"P0(후)",$M:$M,"&gt;0")&lt;&gt;1,"",SUMIFS($I:$I,$C:$C,$C2144,$D:$D,$D2144,$E:$E,"P0(후)"))</f>
        <v/>
      </c>
      <c r="R2144" s="31">
        <f>IF(COUNTIFS($C:$C,$C2144,$D:$D,$D2144,$E:$E,"P0(후)",$M:$M,"&gt;0")&lt;&gt;1,"",SUMIFS($M:$M,$C:$C,$C2144,$D:$D,$D2144,$E:$E,"P0(후)"))</f>
        <v/>
      </c>
      <c r="S2144" s="31">
        <f>IF(N2144&lt;&gt;"OK","",P2144+(R2144-P2144)*(I2144-O2144)/(Q2144-O2144))</f>
        <v/>
      </c>
      <c r="T2144" s="31">
        <f>IF(OR(N2144&lt;&gt;"OK",NOT(ISNUMBER(M2144))),"",M2144-S2144)</f>
        <v/>
      </c>
      <c r="U2144" s="49">
        <f>IF(OR(NOT(ISNUMBER(T2144)),IF(ISNUMBER(H2144),H2144,G2144)=0),"",T2144/IF(ISNUMBER(H2144),H2144,G2144))</f>
        <v/>
      </c>
      <c r="V2144" s="49">
        <f>IF(ISNUMBER(U2144),ABS(U2144),"")</f>
        <v/>
      </c>
      <c r="W2144" s="49">
        <f>IF(OR($E2143&lt;&gt;"측정",$C2143&lt;&gt;$C2144,$D2143&lt;&gt;$D2144,NOT(ISNUMBER(M2144)),NOT(ISNUMBER(M2143)),(IF(ISNUMBER(H2144),H2144,G2144)-IF(ISNUMBER(H2143),H2143,G2143))=0),"",(M2144-M2143)/(IF(ISNUMBER(H2144),H2144,G2144)-IF(ISNUMBER(H2143),H2143,G2143)))</f>
        <v/>
      </c>
      <c r="X2144" s="31">
        <f>IF(NOT(AND(ISNUMBER(O2144),ISNUMBER(Q2144))),"",(Q2144-O2144)*1440)</f>
        <v/>
      </c>
      <c r="Y2144" s="29" t="n"/>
      <c r="Z2144" s="29" t="n"/>
      <c r="AA2144" s="29" t="n"/>
      <c r="AB2144" s="32" t="n"/>
      <c r="AC2144" s="32" t="n"/>
    </row>
    <row r="2145">
      <c r="A2145" s="26" t="inlineStr">
        <is>
          <t>S42</t>
        </is>
      </c>
      <c r="B2145" s="26" t="inlineStr">
        <is>
          <t>조도</t>
        </is>
      </c>
      <c r="C2145" s="26" t="inlineStr">
        <is>
          <t>S42-H동</t>
        </is>
      </c>
      <c r="D2145" s="47" t="n">
        <v>1</v>
      </c>
      <c r="E2145" s="26" t="inlineStr">
        <is>
          <t>측정</t>
        </is>
      </c>
      <c r="F2145" s="26" t="inlineStr">
        <is>
          <t>동</t>
        </is>
      </c>
      <c r="G2145" s="31" t="n">
        <v>6</v>
      </c>
      <c r="H2145" s="30" t="n"/>
      <c r="I2145" s="43" t="n"/>
      <c r="J2145" s="41" t="n"/>
      <c r="K2145" s="41" t="n"/>
      <c r="L2145" s="41" t="n"/>
      <c r="M2145" s="31">
        <f>IF(COUNT(J2145:L2145)=0,"",MEDIAN(J2145:L2145))</f>
        <v/>
      </c>
      <c r="N2145" s="26">
        <f>IF(COUNTIFS($C:$C,$C2145,$D:$D,$D2145,$E:$E,"P0(전)",$M:$M,"&gt;0")&lt;&gt;1,"P0(전) 유효 1개 아님",IF(COUNTIFS($C:$C,$C2145,$D:$D,$D2145,$E:$E,"P0(후)",$M:$M,"&gt;0")&lt;&gt;1,"P0(후) 유효 1개 아님",IF(NOT(AND(ISNUMBER(O2145),ISNUMBER(Q2145),ISNUMBER(I2145))),"시각 결측",IF(Q2145&lt;=O2145,"P0 시각 역전",IF(OR(I2145&lt;O2145,I2145&gt;Q2145),"측정시각 구간 밖","OK")))))</f>
        <v/>
      </c>
      <c r="O2145" s="48">
        <f>IF(COUNTIFS($C:$C,$C2145,$D:$D,$D2145,$E:$E,"P0(전)",$M:$M,"&gt;0")&lt;&gt;1,"",SUMIFS($I:$I,$C:$C,$C2145,$D:$D,$D2145,$E:$E,"P0(전)"))</f>
        <v/>
      </c>
      <c r="P2145" s="31">
        <f>IF(COUNTIFS($C:$C,$C2145,$D:$D,$D2145,$E:$E,"P0(전)",$M:$M,"&gt;0")&lt;&gt;1,"",SUMIFS($M:$M,$C:$C,$C2145,$D:$D,$D2145,$E:$E,"P0(전)"))</f>
        <v/>
      </c>
      <c r="Q2145" s="48">
        <f>IF(COUNTIFS($C:$C,$C2145,$D:$D,$D2145,$E:$E,"P0(후)",$M:$M,"&gt;0")&lt;&gt;1,"",SUMIFS($I:$I,$C:$C,$C2145,$D:$D,$D2145,$E:$E,"P0(후)"))</f>
        <v/>
      </c>
      <c r="R2145" s="31">
        <f>IF(COUNTIFS($C:$C,$C2145,$D:$D,$D2145,$E:$E,"P0(후)",$M:$M,"&gt;0")&lt;&gt;1,"",SUMIFS($M:$M,$C:$C,$C2145,$D:$D,$D2145,$E:$E,"P0(후)"))</f>
        <v/>
      </c>
      <c r="S2145" s="31">
        <f>IF(N2145&lt;&gt;"OK","",P2145+(R2145-P2145)*(I2145-O2145)/(Q2145-O2145))</f>
        <v/>
      </c>
      <c r="T2145" s="31">
        <f>IF(OR(N2145&lt;&gt;"OK",NOT(ISNUMBER(M2145))),"",M2145-S2145)</f>
        <v/>
      </c>
      <c r="U2145" s="49">
        <f>IF(OR(NOT(ISNUMBER(T2145)),IF(ISNUMBER(H2145),H2145,G2145)=0),"",T2145/IF(ISNUMBER(H2145),H2145,G2145))</f>
        <v/>
      </c>
      <c r="V2145" s="49">
        <f>IF(ISNUMBER(U2145),ABS(U2145),"")</f>
        <v/>
      </c>
      <c r="W2145" s="49">
        <f>IF(OR($E2144&lt;&gt;"측정",$C2144&lt;&gt;$C2145,$D2144&lt;&gt;$D2145,NOT(ISNUMBER(M2145)),NOT(ISNUMBER(M2144)),(IF(ISNUMBER(H2145),H2145,G2145)-IF(ISNUMBER(H2144),H2144,G2144))=0),"",(M2145-M2144)/(IF(ISNUMBER(H2145),H2145,G2145)-IF(ISNUMBER(H2144),H2144,G2144)))</f>
        <v/>
      </c>
      <c r="X2145" s="31">
        <f>IF(NOT(AND(ISNUMBER(O2145),ISNUMBER(Q2145))),"",(Q2145-O2145)*1440)</f>
        <v/>
      </c>
      <c r="Y2145" s="29" t="n"/>
      <c r="Z2145" s="29" t="n"/>
      <c r="AA2145" s="29" t="n"/>
      <c r="AB2145" s="32" t="n"/>
      <c r="AC2145" s="32" t="n"/>
    </row>
    <row r="2146">
      <c r="A2146" s="26" t="inlineStr">
        <is>
          <t>S42</t>
        </is>
      </c>
      <c r="B2146" s="26" t="inlineStr">
        <is>
          <t>조도</t>
        </is>
      </c>
      <c r="C2146" s="26" t="inlineStr">
        <is>
          <t>S42-H동</t>
        </is>
      </c>
      <c r="D2146" s="47" t="n">
        <v>1</v>
      </c>
      <c r="E2146" s="26" t="inlineStr">
        <is>
          <t>측정</t>
        </is>
      </c>
      <c r="F2146" s="26" t="inlineStr">
        <is>
          <t>동</t>
        </is>
      </c>
      <c r="G2146" s="31" t="n">
        <v>7</v>
      </c>
      <c r="H2146" s="30" t="n"/>
      <c r="I2146" s="43" t="n"/>
      <c r="J2146" s="41" t="n"/>
      <c r="K2146" s="41" t="n"/>
      <c r="L2146" s="41" t="n"/>
      <c r="M2146" s="31">
        <f>IF(COUNT(J2146:L2146)=0,"",MEDIAN(J2146:L2146))</f>
        <v/>
      </c>
      <c r="N2146" s="26">
        <f>IF(COUNTIFS($C:$C,$C2146,$D:$D,$D2146,$E:$E,"P0(전)",$M:$M,"&gt;0")&lt;&gt;1,"P0(전) 유효 1개 아님",IF(COUNTIFS($C:$C,$C2146,$D:$D,$D2146,$E:$E,"P0(후)",$M:$M,"&gt;0")&lt;&gt;1,"P0(후) 유효 1개 아님",IF(NOT(AND(ISNUMBER(O2146),ISNUMBER(Q2146),ISNUMBER(I2146))),"시각 결측",IF(Q2146&lt;=O2146,"P0 시각 역전",IF(OR(I2146&lt;O2146,I2146&gt;Q2146),"측정시각 구간 밖","OK")))))</f>
        <v/>
      </c>
      <c r="O2146" s="48">
        <f>IF(COUNTIFS($C:$C,$C2146,$D:$D,$D2146,$E:$E,"P0(전)",$M:$M,"&gt;0")&lt;&gt;1,"",SUMIFS($I:$I,$C:$C,$C2146,$D:$D,$D2146,$E:$E,"P0(전)"))</f>
        <v/>
      </c>
      <c r="P2146" s="31">
        <f>IF(COUNTIFS($C:$C,$C2146,$D:$D,$D2146,$E:$E,"P0(전)",$M:$M,"&gt;0")&lt;&gt;1,"",SUMIFS($M:$M,$C:$C,$C2146,$D:$D,$D2146,$E:$E,"P0(전)"))</f>
        <v/>
      </c>
      <c r="Q2146" s="48">
        <f>IF(COUNTIFS($C:$C,$C2146,$D:$D,$D2146,$E:$E,"P0(후)",$M:$M,"&gt;0")&lt;&gt;1,"",SUMIFS($I:$I,$C:$C,$C2146,$D:$D,$D2146,$E:$E,"P0(후)"))</f>
        <v/>
      </c>
      <c r="R2146" s="31">
        <f>IF(COUNTIFS($C:$C,$C2146,$D:$D,$D2146,$E:$E,"P0(후)",$M:$M,"&gt;0")&lt;&gt;1,"",SUMIFS($M:$M,$C:$C,$C2146,$D:$D,$D2146,$E:$E,"P0(후)"))</f>
        <v/>
      </c>
      <c r="S2146" s="31">
        <f>IF(N2146&lt;&gt;"OK","",P2146+(R2146-P2146)*(I2146-O2146)/(Q2146-O2146))</f>
        <v/>
      </c>
      <c r="T2146" s="31">
        <f>IF(OR(N2146&lt;&gt;"OK",NOT(ISNUMBER(M2146))),"",M2146-S2146)</f>
        <v/>
      </c>
      <c r="U2146" s="49">
        <f>IF(OR(NOT(ISNUMBER(T2146)),IF(ISNUMBER(H2146),H2146,G2146)=0),"",T2146/IF(ISNUMBER(H2146),H2146,G2146))</f>
        <v/>
      </c>
      <c r="V2146" s="49">
        <f>IF(ISNUMBER(U2146),ABS(U2146),"")</f>
        <v/>
      </c>
      <c r="W2146" s="49">
        <f>IF(OR($E2145&lt;&gt;"측정",$C2145&lt;&gt;$C2146,$D2145&lt;&gt;$D2146,NOT(ISNUMBER(M2146)),NOT(ISNUMBER(M2145)),(IF(ISNUMBER(H2146),H2146,G2146)-IF(ISNUMBER(H2145),H2145,G2145))=0),"",(M2146-M2145)/(IF(ISNUMBER(H2146),H2146,G2146)-IF(ISNUMBER(H2145),H2145,G2145)))</f>
        <v/>
      </c>
      <c r="X2146" s="31">
        <f>IF(NOT(AND(ISNUMBER(O2146),ISNUMBER(Q2146))),"",(Q2146-O2146)*1440)</f>
        <v/>
      </c>
      <c r="Y2146" s="29" t="n"/>
      <c r="Z2146" s="29" t="n"/>
      <c r="AA2146" s="29" t="n"/>
      <c r="AB2146" s="32" t="n"/>
      <c r="AC2146" s="32" t="n"/>
    </row>
    <row r="2147">
      <c r="A2147" s="26" t="inlineStr">
        <is>
          <t>S42</t>
        </is>
      </c>
      <c r="B2147" s="26" t="inlineStr">
        <is>
          <t>조도</t>
        </is>
      </c>
      <c r="C2147" s="26" t="inlineStr">
        <is>
          <t>S42-H동</t>
        </is>
      </c>
      <c r="D2147" s="47" t="n">
        <v>1</v>
      </c>
      <c r="E2147" s="26" t="inlineStr">
        <is>
          <t>측정</t>
        </is>
      </c>
      <c r="F2147" s="26" t="inlineStr">
        <is>
          <t>동</t>
        </is>
      </c>
      <c r="G2147" s="31" t="n">
        <v>8</v>
      </c>
      <c r="H2147" s="30" t="n"/>
      <c r="I2147" s="43" t="n"/>
      <c r="J2147" s="41" t="n"/>
      <c r="K2147" s="41" t="n"/>
      <c r="L2147" s="41" t="n"/>
      <c r="M2147" s="31">
        <f>IF(COUNT(J2147:L2147)=0,"",MEDIAN(J2147:L2147))</f>
        <v/>
      </c>
      <c r="N2147" s="26">
        <f>IF(COUNTIFS($C:$C,$C2147,$D:$D,$D2147,$E:$E,"P0(전)",$M:$M,"&gt;0")&lt;&gt;1,"P0(전) 유효 1개 아님",IF(COUNTIFS($C:$C,$C2147,$D:$D,$D2147,$E:$E,"P0(후)",$M:$M,"&gt;0")&lt;&gt;1,"P0(후) 유효 1개 아님",IF(NOT(AND(ISNUMBER(O2147),ISNUMBER(Q2147),ISNUMBER(I2147))),"시각 결측",IF(Q2147&lt;=O2147,"P0 시각 역전",IF(OR(I2147&lt;O2147,I2147&gt;Q2147),"측정시각 구간 밖","OK")))))</f>
        <v/>
      </c>
      <c r="O2147" s="48">
        <f>IF(COUNTIFS($C:$C,$C2147,$D:$D,$D2147,$E:$E,"P0(전)",$M:$M,"&gt;0")&lt;&gt;1,"",SUMIFS($I:$I,$C:$C,$C2147,$D:$D,$D2147,$E:$E,"P0(전)"))</f>
        <v/>
      </c>
      <c r="P2147" s="31">
        <f>IF(COUNTIFS($C:$C,$C2147,$D:$D,$D2147,$E:$E,"P0(전)",$M:$M,"&gt;0")&lt;&gt;1,"",SUMIFS($M:$M,$C:$C,$C2147,$D:$D,$D2147,$E:$E,"P0(전)"))</f>
        <v/>
      </c>
      <c r="Q2147" s="48">
        <f>IF(COUNTIFS($C:$C,$C2147,$D:$D,$D2147,$E:$E,"P0(후)",$M:$M,"&gt;0")&lt;&gt;1,"",SUMIFS($I:$I,$C:$C,$C2147,$D:$D,$D2147,$E:$E,"P0(후)"))</f>
        <v/>
      </c>
      <c r="R2147" s="31">
        <f>IF(COUNTIFS($C:$C,$C2147,$D:$D,$D2147,$E:$E,"P0(후)",$M:$M,"&gt;0")&lt;&gt;1,"",SUMIFS($M:$M,$C:$C,$C2147,$D:$D,$D2147,$E:$E,"P0(후)"))</f>
        <v/>
      </c>
      <c r="S2147" s="31">
        <f>IF(N2147&lt;&gt;"OK","",P2147+(R2147-P2147)*(I2147-O2147)/(Q2147-O2147))</f>
        <v/>
      </c>
      <c r="T2147" s="31">
        <f>IF(OR(N2147&lt;&gt;"OK",NOT(ISNUMBER(M2147))),"",M2147-S2147)</f>
        <v/>
      </c>
      <c r="U2147" s="49">
        <f>IF(OR(NOT(ISNUMBER(T2147)),IF(ISNUMBER(H2147),H2147,G2147)=0),"",T2147/IF(ISNUMBER(H2147),H2147,G2147))</f>
        <v/>
      </c>
      <c r="V2147" s="49">
        <f>IF(ISNUMBER(U2147),ABS(U2147),"")</f>
        <v/>
      </c>
      <c r="W2147" s="49">
        <f>IF(OR($E2146&lt;&gt;"측정",$C2146&lt;&gt;$C2147,$D2146&lt;&gt;$D2147,NOT(ISNUMBER(M2147)),NOT(ISNUMBER(M2146)),(IF(ISNUMBER(H2147),H2147,G2147)-IF(ISNUMBER(H2146),H2146,G2146))=0),"",(M2147-M2146)/(IF(ISNUMBER(H2147),H2147,G2147)-IF(ISNUMBER(H2146),H2146,G2146)))</f>
        <v/>
      </c>
      <c r="X2147" s="31">
        <f>IF(NOT(AND(ISNUMBER(O2147),ISNUMBER(Q2147))),"",(Q2147-O2147)*1440)</f>
        <v/>
      </c>
      <c r="Y2147" s="29" t="n"/>
      <c r="Z2147" s="29" t="n"/>
      <c r="AA2147" s="29" t="n"/>
      <c r="AB2147" s="32" t="n"/>
      <c r="AC2147" s="32" t="n"/>
    </row>
    <row r="2148">
      <c r="A2148" s="26" t="inlineStr">
        <is>
          <t>S42</t>
        </is>
      </c>
      <c r="B2148" s="26" t="inlineStr">
        <is>
          <t>조도</t>
        </is>
      </c>
      <c r="C2148" s="26" t="inlineStr">
        <is>
          <t>S42-H동</t>
        </is>
      </c>
      <c r="D2148" s="47" t="n">
        <v>1</v>
      </c>
      <c r="E2148" s="26" t="inlineStr">
        <is>
          <t>측정</t>
        </is>
      </c>
      <c r="F2148" s="26" t="inlineStr">
        <is>
          <t>동</t>
        </is>
      </c>
      <c r="G2148" s="31" t="n">
        <v>9</v>
      </c>
      <c r="H2148" s="30" t="n"/>
      <c r="I2148" s="43" t="n"/>
      <c r="J2148" s="41" t="n"/>
      <c r="K2148" s="41" t="n"/>
      <c r="L2148" s="41" t="n"/>
      <c r="M2148" s="31">
        <f>IF(COUNT(J2148:L2148)=0,"",MEDIAN(J2148:L2148))</f>
        <v/>
      </c>
      <c r="N2148" s="26">
        <f>IF(COUNTIFS($C:$C,$C2148,$D:$D,$D2148,$E:$E,"P0(전)",$M:$M,"&gt;0")&lt;&gt;1,"P0(전) 유효 1개 아님",IF(COUNTIFS($C:$C,$C2148,$D:$D,$D2148,$E:$E,"P0(후)",$M:$M,"&gt;0")&lt;&gt;1,"P0(후) 유효 1개 아님",IF(NOT(AND(ISNUMBER(O2148),ISNUMBER(Q2148),ISNUMBER(I2148))),"시각 결측",IF(Q2148&lt;=O2148,"P0 시각 역전",IF(OR(I2148&lt;O2148,I2148&gt;Q2148),"측정시각 구간 밖","OK")))))</f>
        <v/>
      </c>
      <c r="O2148" s="48">
        <f>IF(COUNTIFS($C:$C,$C2148,$D:$D,$D2148,$E:$E,"P0(전)",$M:$M,"&gt;0")&lt;&gt;1,"",SUMIFS($I:$I,$C:$C,$C2148,$D:$D,$D2148,$E:$E,"P0(전)"))</f>
        <v/>
      </c>
      <c r="P2148" s="31">
        <f>IF(COUNTIFS($C:$C,$C2148,$D:$D,$D2148,$E:$E,"P0(전)",$M:$M,"&gt;0")&lt;&gt;1,"",SUMIFS($M:$M,$C:$C,$C2148,$D:$D,$D2148,$E:$E,"P0(전)"))</f>
        <v/>
      </c>
      <c r="Q2148" s="48">
        <f>IF(COUNTIFS($C:$C,$C2148,$D:$D,$D2148,$E:$E,"P0(후)",$M:$M,"&gt;0")&lt;&gt;1,"",SUMIFS($I:$I,$C:$C,$C2148,$D:$D,$D2148,$E:$E,"P0(후)"))</f>
        <v/>
      </c>
      <c r="R2148" s="31">
        <f>IF(COUNTIFS($C:$C,$C2148,$D:$D,$D2148,$E:$E,"P0(후)",$M:$M,"&gt;0")&lt;&gt;1,"",SUMIFS($M:$M,$C:$C,$C2148,$D:$D,$D2148,$E:$E,"P0(후)"))</f>
        <v/>
      </c>
      <c r="S2148" s="31">
        <f>IF(N2148&lt;&gt;"OK","",P2148+(R2148-P2148)*(I2148-O2148)/(Q2148-O2148))</f>
        <v/>
      </c>
      <c r="T2148" s="31">
        <f>IF(OR(N2148&lt;&gt;"OK",NOT(ISNUMBER(M2148))),"",M2148-S2148)</f>
        <v/>
      </c>
      <c r="U2148" s="49">
        <f>IF(OR(NOT(ISNUMBER(T2148)),IF(ISNUMBER(H2148),H2148,G2148)=0),"",T2148/IF(ISNUMBER(H2148),H2148,G2148))</f>
        <v/>
      </c>
      <c r="V2148" s="49">
        <f>IF(ISNUMBER(U2148),ABS(U2148),"")</f>
        <v/>
      </c>
      <c r="W2148" s="49">
        <f>IF(OR($E2147&lt;&gt;"측정",$C2147&lt;&gt;$C2148,$D2147&lt;&gt;$D2148,NOT(ISNUMBER(M2148)),NOT(ISNUMBER(M2147)),(IF(ISNUMBER(H2148),H2148,G2148)-IF(ISNUMBER(H2147),H2147,G2147))=0),"",(M2148-M2147)/(IF(ISNUMBER(H2148),H2148,G2148)-IF(ISNUMBER(H2147),H2147,G2147)))</f>
        <v/>
      </c>
      <c r="X2148" s="31">
        <f>IF(NOT(AND(ISNUMBER(O2148),ISNUMBER(Q2148))),"",(Q2148-O2148)*1440)</f>
        <v/>
      </c>
      <c r="Y2148" s="29" t="n"/>
      <c r="Z2148" s="29" t="n"/>
      <c r="AA2148" s="29" t="n"/>
      <c r="AB2148" s="32" t="n"/>
      <c r="AC2148" s="32" t="n"/>
    </row>
    <row r="2149">
      <c r="A2149" s="26" t="inlineStr">
        <is>
          <t>S42</t>
        </is>
      </c>
      <c r="B2149" s="26" t="inlineStr">
        <is>
          <t>조도</t>
        </is>
      </c>
      <c r="C2149" s="26" t="inlineStr">
        <is>
          <t>S42-H동</t>
        </is>
      </c>
      <c r="D2149" s="47" t="n">
        <v>1</v>
      </c>
      <c r="E2149" s="26" t="inlineStr">
        <is>
          <t>측정</t>
        </is>
      </c>
      <c r="F2149" s="26" t="inlineStr">
        <is>
          <t>동</t>
        </is>
      </c>
      <c r="G2149" s="31" t="n">
        <v>10</v>
      </c>
      <c r="H2149" s="30" t="n"/>
      <c r="I2149" s="43" t="n"/>
      <c r="J2149" s="41" t="n"/>
      <c r="K2149" s="41" t="n"/>
      <c r="L2149" s="41" t="n"/>
      <c r="M2149" s="31">
        <f>IF(COUNT(J2149:L2149)=0,"",MEDIAN(J2149:L2149))</f>
        <v/>
      </c>
      <c r="N2149" s="26">
        <f>IF(COUNTIFS($C:$C,$C2149,$D:$D,$D2149,$E:$E,"P0(전)",$M:$M,"&gt;0")&lt;&gt;1,"P0(전) 유효 1개 아님",IF(COUNTIFS($C:$C,$C2149,$D:$D,$D2149,$E:$E,"P0(후)",$M:$M,"&gt;0")&lt;&gt;1,"P0(후) 유효 1개 아님",IF(NOT(AND(ISNUMBER(O2149),ISNUMBER(Q2149),ISNUMBER(I2149))),"시각 결측",IF(Q2149&lt;=O2149,"P0 시각 역전",IF(OR(I2149&lt;O2149,I2149&gt;Q2149),"측정시각 구간 밖","OK")))))</f>
        <v/>
      </c>
      <c r="O2149" s="48">
        <f>IF(COUNTIFS($C:$C,$C2149,$D:$D,$D2149,$E:$E,"P0(전)",$M:$M,"&gt;0")&lt;&gt;1,"",SUMIFS($I:$I,$C:$C,$C2149,$D:$D,$D2149,$E:$E,"P0(전)"))</f>
        <v/>
      </c>
      <c r="P2149" s="31">
        <f>IF(COUNTIFS($C:$C,$C2149,$D:$D,$D2149,$E:$E,"P0(전)",$M:$M,"&gt;0")&lt;&gt;1,"",SUMIFS($M:$M,$C:$C,$C2149,$D:$D,$D2149,$E:$E,"P0(전)"))</f>
        <v/>
      </c>
      <c r="Q2149" s="48">
        <f>IF(COUNTIFS($C:$C,$C2149,$D:$D,$D2149,$E:$E,"P0(후)",$M:$M,"&gt;0")&lt;&gt;1,"",SUMIFS($I:$I,$C:$C,$C2149,$D:$D,$D2149,$E:$E,"P0(후)"))</f>
        <v/>
      </c>
      <c r="R2149" s="31">
        <f>IF(COUNTIFS($C:$C,$C2149,$D:$D,$D2149,$E:$E,"P0(후)",$M:$M,"&gt;0")&lt;&gt;1,"",SUMIFS($M:$M,$C:$C,$C2149,$D:$D,$D2149,$E:$E,"P0(후)"))</f>
        <v/>
      </c>
      <c r="S2149" s="31">
        <f>IF(N2149&lt;&gt;"OK","",P2149+(R2149-P2149)*(I2149-O2149)/(Q2149-O2149))</f>
        <v/>
      </c>
      <c r="T2149" s="31">
        <f>IF(OR(N2149&lt;&gt;"OK",NOT(ISNUMBER(M2149))),"",M2149-S2149)</f>
        <v/>
      </c>
      <c r="U2149" s="49">
        <f>IF(OR(NOT(ISNUMBER(T2149)),IF(ISNUMBER(H2149),H2149,G2149)=0),"",T2149/IF(ISNUMBER(H2149),H2149,G2149))</f>
        <v/>
      </c>
      <c r="V2149" s="49">
        <f>IF(ISNUMBER(U2149),ABS(U2149),"")</f>
        <v/>
      </c>
      <c r="W2149" s="49">
        <f>IF(OR($E2148&lt;&gt;"측정",$C2148&lt;&gt;$C2149,$D2148&lt;&gt;$D2149,NOT(ISNUMBER(M2149)),NOT(ISNUMBER(M2148)),(IF(ISNUMBER(H2149),H2149,G2149)-IF(ISNUMBER(H2148),H2148,G2148))=0),"",(M2149-M2148)/(IF(ISNUMBER(H2149),H2149,G2149)-IF(ISNUMBER(H2148),H2148,G2148)))</f>
        <v/>
      </c>
      <c r="X2149" s="31">
        <f>IF(NOT(AND(ISNUMBER(O2149),ISNUMBER(Q2149))),"",(Q2149-O2149)*1440)</f>
        <v/>
      </c>
      <c r="Y2149" s="29" t="n"/>
      <c r="Z2149" s="29" t="n"/>
      <c r="AA2149" s="29" t="n"/>
      <c r="AB2149" s="32" t="n"/>
      <c r="AC2149" s="32" t="n"/>
    </row>
    <row r="2150">
      <c r="A2150" s="44" t="inlineStr">
        <is>
          <t>S42</t>
        </is>
      </c>
      <c r="B2150" s="44" t="inlineStr">
        <is>
          <t>조도</t>
        </is>
      </c>
      <c r="C2150" s="44" t="inlineStr">
        <is>
          <t>S42-H동</t>
        </is>
      </c>
      <c r="D2150" s="45" t="n">
        <v>1</v>
      </c>
      <c r="E2150" s="44" t="inlineStr">
        <is>
          <t>P0(후)</t>
        </is>
      </c>
      <c r="F2150" s="44" t="inlineStr">
        <is>
          <t>동</t>
        </is>
      </c>
      <c r="G2150" s="46" t="n"/>
      <c r="H2150" s="30" t="n"/>
      <c r="I2150" s="43" t="n"/>
      <c r="J2150" s="41" t="n"/>
      <c r="K2150" s="41" t="n"/>
      <c r="L2150" s="41" t="n"/>
      <c r="M2150" s="31">
        <f>IF(COUNT(J2150:L2150)=0,"",MEDIAN(J2150:L2150))</f>
        <v/>
      </c>
      <c r="N2150" s="38" t="n"/>
      <c r="O2150" s="38" t="n"/>
      <c r="P2150" s="38" t="n"/>
      <c r="Q2150" s="38" t="n"/>
      <c r="R2150" s="38" t="n"/>
      <c r="S2150" s="38" t="n"/>
      <c r="T2150" s="38" t="n"/>
      <c r="U2150" s="38" t="n"/>
      <c r="V2150" s="38" t="n"/>
      <c r="W2150" s="38" t="n"/>
      <c r="X2150" s="38" t="n"/>
      <c r="Y2150" s="29" t="n"/>
      <c r="Z2150" s="29" t="n"/>
      <c r="AA2150" s="29" t="n"/>
      <c r="AB2150" s="32" t="n"/>
      <c r="AC2150" s="32" t="n"/>
    </row>
    <row r="2151">
      <c r="A2151" s="44" t="inlineStr">
        <is>
          <t>S42</t>
        </is>
      </c>
      <c r="B2151" s="44" t="inlineStr">
        <is>
          <t>조도</t>
        </is>
      </c>
      <c r="C2151" s="44" t="inlineStr">
        <is>
          <t>S42-H서</t>
        </is>
      </c>
      <c r="D2151" s="45" t="n">
        <v>1</v>
      </c>
      <c r="E2151" s="44" t="inlineStr">
        <is>
          <t>P0(전)</t>
        </is>
      </c>
      <c r="F2151" s="44" t="inlineStr">
        <is>
          <t>서</t>
        </is>
      </c>
      <c r="G2151" s="46" t="n"/>
      <c r="H2151" s="30" t="n"/>
      <c r="I2151" s="43" t="n"/>
      <c r="J2151" s="41" t="n"/>
      <c r="K2151" s="41" t="n"/>
      <c r="L2151" s="41" t="n"/>
      <c r="M2151" s="31">
        <f>IF(COUNT(J2151:L2151)=0,"",MEDIAN(J2151:L2151))</f>
        <v/>
      </c>
      <c r="N2151" s="38" t="n"/>
      <c r="O2151" s="38" t="n"/>
      <c r="P2151" s="38" t="n"/>
      <c r="Q2151" s="38" t="n"/>
      <c r="R2151" s="38" t="n"/>
      <c r="S2151" s="38" t="n"/>
      <c r="T2151" s="38" t="n"/>
      <c r="U2151" s="38" t="n"/>
      <c r="V2151" s="38" t="n"/>
      <c r="W2151" s="38" t="n"/>
      <c r="X2151" s="38" t="n"/>
      <c r="Y2151" s="29" t="n"/>
      <c r="Z2151" s="29" t="n"/>
      <c r="AA2151" s="29" t="n"/>
      <c r="AB2151" s="32" t="n"/>
      <c r="AC2151" s="32" t="n"/>
    </row>
    <row r="2152">
      <c r="A2152" s="26" t="inlineStr">
        <is>
          <t>S42</t>
        </is>
      </c>
      <c r="B2152" s="26" t="inlineStr">
        <is>
          <t>조도</t>
        </is>
      </c>
      <c r="C2152" s="26" t="inlineStr">
        <is>
          <t>S42-H서</t>
        </is>
      </c>
      <c r="D2152" s="47" t="n">
        <v>1</v>
      </c>
      <c r="E2152" s="26" t="inlineStr">
        <is>
          <t>측정</t>
        </is>
      </c>
      <c r="F2152" s="26" t="inlineStr">
        <is>
          <t>서</t>
        </is>
      </c>
      <c r="G2152" s="31" t="n">
        <v>0.5</v>
      </c>
      <c r="H2152" s="30" t="n"/>
      <c r="I2152" s="43" t="n"/>
      <c r="J2152" s="41" t="n"/>
      <c r="K2152" s="41" t="n"/>
      <c r="L2152" s="41" t="n"/>
      <c r="M2152" s="31">
        <f>IF(COUNT(J2152:L2152)=0,"",MEDIAN(J2152:L2152))</f>
        <v/>
      </c>
      <c r="N2152" s="26">
        <f>IF(COUNTIFS($C:$C,$C2152,$D:$D,$D2152,$E:$E,"P0(전)",$M:$M,"&gt;0")&lt;&gt;1,"P0(전) 유효 1개 아님",IF(COUNTIFS($C:$C,$C2152,$D:$D,$D2152,$E:$E,"P0(후)",$M:$M,"&gt;0")&lt;&gt;1,"P0(후) 유효 1개 아님",IF(NOT(AND(ISNUMBER(O2152),ISNUMBER(Q2152),ISNUMBER(I2152))),"시각 결측",IF(Q2152&lt;=O2152,"P0 시각 역전",IF(OR(I2152&lt;O2152,I2152&gt;Q2152),"측정시각 구간 밖","OK")))))</f>
        <v/>
      </c>
      <c r="O2152" s="48">
        <f>IF(COUNTIFS($C:$C,$C2152,$D:$D,$D2152,$E:$E,"P0(전)",$M:$M,"&gt;0")&lt;&gt;1,"",SUMIFS($I:$I,$C:$C,$C2152,$D:$D,$D2152,$E:$E,"P0(전)"))</f>
        <v/>
      </c>
      <c r="P2152" s="31">
        <f>IF(COUNTIFS($C:$C,$C2152,$D:$D,$D2152,$E:$E,"P0(전)",$M:$M,"&gt;0")&lt;&gt;1,"",SUMIFS($M:$M,$C:$C,$C2152,$D:$D,$D2152,$E:$E,"P0(전)"))</f>
        <v/>
      </c>
      <c r="Q2152" s="48">
        <f>IF(COUNTIFS($C:$C,$C2152,$D:$D,$D2152,$E:$E,"P0(후)",$M:$M,"&gt;0")&lt;&gt;1,"",SUMIFS($I:$I,$C:$C,$C2152,$D:$D,$D2152,$E:$E,"P0(후)"))</f>
        <v/>
      </c>
      <c r="R2152" s="31">
        <f>IF(COUNTIFS($C:$C,$C2152,$D:$D,$D2152,$E:$E,"P0(후)",$M:$M,"&gt;0")&lt;&gt;1,"",SUMIFS($M:$M,$C:$C,$C2152,$D:$D,$D2152,$E:$E,"P0(후)"))</f>
        <v/>
      </c>
      <c r="S2152" s="31">
        <f>IF(N2152&lt;&gt;"OK","",P2152+(R2152-P2152)*(I2152-O2152)/(Q2152-O2152))</f>
        <v/>
      </c>
      <c r="T2152" s="31">
        <f>IF(OR(N2152&lt;&gt;"OK",NOT(ISNUMBER(M2152))),"",M2152-S2152)</f>
        <v/>
      </c>
      <c r="U2152" s="49">
        <f>IF(OR(NOT(ISNUMBER(T2152)),IF(ISNUMBER(H2152),H2152,G2152)=0),"",T2152/IF(ISNUMBER(H2152),H2152,G2152))</f>
        <v/>
      </c>
      <c r="V2152" s="49">
        <f>IF(ISNUMBER(U2152),ABS(U2152),"")</f>
        <v/>
      </c>
      <c r="W2152" s="49">
        <f>IF(OR($E2151&lt;&gt;"측정",$C2151&lt;&gt;$C2152,$D2151&lt;&gt;$D2152,NOT(ISNUMBER(M2152)),NOT(ISNUMBER(M2151)),(IF(ISNUMBER(H2152),H2152,G2152)-IF(ISNUMBER(H2151),H2151,G2151))=0),"",(M2152-M2151)/(IF(ISNUMBER(H2152),H2152,G2152)-IF(ISNUMBER(H2151),H2151,G2151)))</f>
        <v/>
      </c>
      <c r="X2152" s="31">
        <f>IF(NOT(AND(ISNUMBER(O2152),ISNUMBER(Q2152))),"",(Q2152-O2152)*1440)</f>
        <v/>
      </c>
      <c r="Y2152" s="29" t="n"/>
      <c r="Z2152" s="29" t="n"/>
      <c r="AA2152" s="29" t="n"/>
      <c r="AB2152" s="32" t="n"/>
      <c r="AC2152" s="32" t="n"/>
    </row>
    <row r="2153">
      <c r="A2153" s="26" t="inlineStr">
        <is>
          <t>S42</t>
        </is>
      </c>
      <c r="B2153" s="26" t="inlineStr">
        <is>
          <t>조도</t>
        </is>
      </c>
      <c r="C2153" s="26" t="inlineStr">
        <is>
          <t>S42-H서</t>
        </is>
      </c>
      <c r="D2153" s="47" t="n">
        <v>1</v>
      </c>
      <c r="E2153" s="26" t="inlineStr">
        <is>
          <t>측정</t>
        </is>
      </c>
      <c r="F2153" s="26" t="inlineStr">
        <is>
          <t>서</t>
        </is>
      </c>
      <c r="G2153" s="31" t="n">
        <v>1</v>
      </c>
      <c r="H2153" s="30" t="n"/>
      <c r="I2153" s="43" t="n"/>
      <c r="J2153" s="41" t="n"/>
      <c r="K2153" s="41" t="n"/>
      <c r="L2153" s="41" t="n"/>
      <c r="M2153" s="31">
        <f>IF(COUNT(J2153:L2153)=0,"",MEDIAN(J2153:L2153))</f>
        <v/>
      </c>
      <c r="N2153" s="26">
        <f>IF(COUNTIFS($C:$C,$C2153,$D:$D,$D2153,$E:$E,"P0(전)",$M:$M,"&gt;0")&lt;&gt;1,"P0(전) 유효 1개 아님",IF(COUNTIFS($C:$C,$C2153,$D:$D,$D2153,$E:$E,"P0(후)",$M:$M,"&gt;0")&lt;&gt;1,"P0(후) 유효 1개 아님",IF(NOT(AND(ISNUMBER(O2153),ISNUMBER(Q2153),ISNUMBER(I2153))),"시각 결측",IF(Q2153&lt;=O2153,"P0 시각 역전",IF(OR(I2153&lt;O2153,I2153&gt;Q2153),"측정시각 구간 밖","OK")))))</f>
        <v/>
      </c>
      <c r="O2153" s="48">
        <f>IF(COUNTIFS($C:$C,$C2153,$D:$D,$D2153,$E:$E,"P0(전)",$M:$M,"&gt;0")&lt;&gt;1,"",SUMIFS($I:$I,$C:$C,$C2153,$D:$D,$D2153,$E:$E,"P0(전)"))</f>
        <v/>
      </c>
      <c r="P2153" s="31">
        <f>IF(COUNTIFS($C:$C,$C2153,$D:$D,$D2153,$E:$E,"P0(전)",$M:$M,"&gt;0")&lt;&gt;1,"",SUMIFS($M:$M,$C:$C,$C2153,$D:$D,$D2153,$E:$E,"P0(전)"))</f>
        <v/>
      </c>
      <c r="Q2153" s="48">
        <f>IF(COUNTIFS($C:$C,$C2153,$D:$D,$D2153,$E:$E,"P0(후)",$M:$M,"&gt;0")&lt;&gt;1,"",SUMIFS($I:$I,$C:$C,$C2153,$D:$D,$D2153,$E:$E,"P0(후)"))</f>
        <v/>
      </c>
      <c r="R2153" s="31">
        <f>IF(COUNTIFS($C:$C,$C2153,$D:$D,$D2153,$E:$E,"P0(후)",$M:$M,"&gt;0")&lt;&gt;1,"",SUMIFS($M:$M,$C:$C,$C2153,$D:$D,$D2153,$E:$E,"P0(후)"))</f>
        <v/>
      </c>
      <c r="S2153" s="31">
        <f>IF(N2153&lt;&gt;"OK","",P2153+(R2153-P2153)*(I2153-O2153)/(Q2153-O2153))</f>
        <v/>
      </c>
      <c r="T2153" s="31">
        <f>IF(OR(N2153&lt;&gt;"OK",NOT(ISNUMBER(M2153))),"",M2153-S2153)</f>
        <v/>
      </c>
      <c r="U2153" s="49">
        <f>IF(OR(NOT(ISNUMBER(T2153)),IF(ISNUMBER(H2153),H2153,G2153)=0),"",T2153/IF(ISNUMBER(H2153),H2153,G2153))</f>
        <v/>
      </c>
      <c r="V2153" s="49">
        <f>IF(ISNUMBER(U2153),ABS(U2153),"")</f>
        <v/>
      </c>
      <c r="W2153" s="49">
        <f>IF(OR($E2152&lt;&gt;"측정",$C2152&lt;&gt;$C2153,$D2152&lt;&gt;$D2153,NOT(ISNUMBER(M2153)),NOT(ISNUMBER(M2152)),(IF(ISNUMBER(H2153),H2153,G2153)-IF(ISNUMBER(H2152),H2152,G2152))=0),"",(M2153-M2152)/(IF(ISNUMBER(H2153),H2153,G2153)-IF(ISNUMBER(H2152),H2152,G2152)))</f>
        <v/>
      </c>
      <c r="X2153" s="31">
        <f>IF(NOT(AND(ISNUMBER(O2153),ISNUMBER(Q2153))),"",(Q2153-O2153)*1440)</f>
        <v/>
      </c>
      <c r="Y2153" s="29" t="n"/>
      <c r="Z2153" s="29" t="n"/>
      <c r="AA2153" s="29" t="n"/>
      <c r="AB2153" s="32" t="n"/>
      <c r="AC2153" s="32" t="n"/>
    </row>
    <row r="2154">
      <c r="A2154" s="26" t="inlineStr">
        <is>
          <t>S42</t>
        </is>
      </c>
      <c r="B2154" s="26" t="inlineStr">
        <is>
          <t>조도</t>
        </is>
      </c>
      <c r="C2154" s="26" t="inlineStr">
        <is>
          <t>S42-H서</t>
        </is>
      </c>
      <c r="D2154" s="47" t="n">
        <v>1</v>
      </c>
      <c r="E2154" s="26" t="inlineStr">
        <is>
          <t>측정</t>
        </is>
      </c>
      <c r="F2154" s="26" t="inlineStr">
        <is>
          <t>서</t>
        </is>
      </c>
      <c r="G2154" s="31" t="n">
        <v>2</v>
      </c>
      <c r="H2154" s="30" t="n"/>
      <c r="I2154" s="43" t="n"/>
      <c r="J2154" s="41" t="n"/>
      <c r="K2154" s="41" t="n"/>
      <c r="L2154" s="41" t="n"/>
      <c r="M2154" s="31">
        <f>IF(COUNT(J2154:L2154)=0,"",MEDIAN(J2154:L2154))</f>
        <v/>
      </c>
      <c r="N2154" s="26">
        <f>IF(COUNTIFS($C:$C,$C2154,$D:$D,$D2154,$E:$E,"P0(전)",$M:$M,"&gt;0")&lt;&gt;1,"P0(전) 유효 1개 아님",IF(COUNTIFS($C:$C,$C2154,$D:$D,$D2154,$E:$E,"P0(후)",$M:$M,"&gt;0")&lt;&gt;1,"P0(후) 유효 1개 아님",IF(NOT(AND(ISNUMBER(O2154),ISNUMBER(Q2154),ISNUMBER(I2154))),"시각 결측",IF(Q2154&lt;=O2154,"P0 시각 역전",IF(OR(I2154&lt;O2154,I2154&gt;Q2154),"측정시각 구간 밖","OK")))))</f>
        <v/>
      </c>
      <c r="O2154" s="48">
        <f>IF(COUNTIFS($C:$C,$C2154,$D:$D,$D2154,$E:$E,"P0(전)",$M:$M,"&gt;0")&lt;&gt;1,"",SUMIFS($I:$I,$C:$C,$C2154,$D:$D,$D2154,$E:$E,"P0(전)"))</f>
        <v/>
      </c>
      <c r="P2154" s="31">
        <f>IF(COUNTIFS($C:$C,$C2154,$D:$D,$D2154,$E:$E,"P0(전)",$M:$M,"&gt;0")&lt;&gt;1,"",SUMIFS($M:$M,$C:$C,$C2154,$D:$D,$D2154,$E:$E,"P0(전)"))</f>
        <v/>
      </c>
      <c r="Q2154" s="48">
        <f>IF(COUNTIFS($C:$C,$C2154,$D:$D,$D2154,$E:$E,"P0(후)",$M:$M,"&gt;0")&lt;&gt;1,"",SUMIFS($I:$I,$C:$C,$C2154,$D:$D,$D2154,$E:$E,"P0(후)"))</f>
        <v/>
      </c>
      <c r="R2154" s="31">
        <f>IF(COUNTIFS($C:$C,$C2154,$D:$D,$D2154,$E:$E,"P0(후)",$M:$M,"&gt;0")&lt;&gt;1,"",SUMIFS($M:$M,$C:$C,$C2154,$D:$D,$D2154,$E:$E,"P0(후)"))</f>
        <v/>
      </c>
      <c r="S2154" s="31">
        <f>IF(N2154&lt;&gt;"OK","",P2154+(R2154-P2154)*(I2154-O2154)/(Q2154-O2154))</f>
        <v/>
      </c>
      <c r="T2154" s="31">
        <f>IF(OR(N2154&lt;&gt;"OK",NOT(ISNUMBER(M2154))),"",M2154-S2154)</f>
        <v/>
      </c>
      <c r="U2154" s="49">
        <f>IF(OR(NOT(ISNUMBER(T2154)),IF(ISNUMBER(H2154),H2154,G2154)=0),"",T2154/IF(ISNUMBER(H2154),H2154,G2154))</f>
        <v/>
      </c>
      <c r="V2154" s="49">
        <f>IF(ISNUMBER(U2154),ABS(U2154),"")</f>
        <v/>
      </c>
      <c r="W2154" s="49">
        <f>IF(OR($E2153&lt;&gt;"측정",$C2153&lt;&gt;$C2154,$D2153&lt;&gt;$D2154,NOT(ISNUMBER(M2154)),NOT(ISNUMBER(M2153)),(IF(ISNUMBER(H2154),H2154,G2154)-IF(ISNUMBER(H2153),H2153,G2153))=0),"",(M2154-M2153)/(IF(ISNUMBER(H2154),H2154,G2154)-IF(ISNUMBER(H2153),H2153,G2153)))</f>
        <v/>
      </c>
      <c r="X2154" s="31">
        <f>IF(NOT(AND(ISNUMBER(O2154),ISNUMBER(Q2154))),"",(Q2154-O2154)*1440)</f>
        <v/>
      </c>
      <c r="Y2154" s="29" t="n"/>
      <c r="Z2154" s="29" t="n"/>
      <c r="AA2154" s="29" t="n"/>
      <c r="AB2154" s="32" t="n"/>
      <c r="AC2154" s="32" t="n"/>
    </row>
    <row r="2155">
      <c r="A2155" s="26" t="inlineStr">
        <is>
          <t>S42</t>
        </is>
      </c>
      <c r="B2155" s="26" t="inlineStr">
        <is>
          <t>조도</t>
        </is>
      </c>
      <c r="C2155" s="26" t="inlineStr">
        <is>
          <t>S42-H서</t>
        </is>
      </c>
      <c r="D2155" s="47" t="n">
        <v>1</v>
      </c>
      <c r="E2155" s="26" t="inlineStr">
        <is>
          <t>측정</t>
        </is>
      </c>
      <c r="F2155" s="26" t="inlineStr">
        <is>
          <t>서</t>
        </is>
      </c>
      <c r="G2155" s="31" t="n">
        <v>3</v>
      </c>
      <c r="H2155" s="30" t="n"/>
      <c r="I2155" s="43" t="n"/>
      <c r="J2155" s="41" t="n"/>
      <c r="K2155" s="41" t="n"/>
      <c r="L2155" s="41" t="n"/>
      <c r="M2155" s="31">
        <f>IF(COUNT(J2155:L2155)=0,"",MEDIAN(J2155:L2155))</f>
        <v/>
      </c>
      <c r="N2155" s="26">
        <f>IF(COUNTIFS($C:$C,$C2155,$D:$D,$D2155,$E:$E,"P0(전)",$M:$M,"&gt;0")&lt;&gt;1,"P0(전) 유효 1개 아님",IF(COUNTIFS($C:$C,$C2155,$D:$D,$D2155,$E:$E,"P0(후)",$M:$M,"&gt;0")&lt;&gt;1,"P0(후) 유효 1개 아님",IF(NOT(AND(ISNUMBER(O2155),ISNUMBER(Q2155),ISNUMBER(I2155))),"시각 결측",IF(Q2155&lt;=O2155,"P0 시각 역전",IF(OR(I2155&lt;O2155,I2155&gt;Q2155),"측정시각 구간 밖","OK")))))</f>
        <v/>
      </c>
      <c r="O2155" s="48">
        <f>IF(COUNTIFS($C:$C,$C2155,$D:$D,$D2155,$E:$E,"P0(전)",$M:$M,"&gt;0")&lt;&gt;1,"",SUMIFS($I:$I,$C:$C,$C2155,$D:$D,$D2155,$E:$E,"P0(전)"))</f>
        <v/>
      </c>
      <c r="P2155" s="31">
        <f>IF(COUNTIFS($C:$C,$C2155,$D:$D,$D2155,$E:$E,"P0(전)",$M:$M,"&gt;0")&lt;&gt;1,"",SUMIFS($M:$M,$C:$C,$C2155,$D:$D,$D2155,$E:$E,"P0(전)"))</f>
        <v/>
      </c>
      <c r="Q2155" s="48">
        <f>IF(COUNTIFS($C:$C,$C2155,$D:$D,$D2155,$E:$E,"P0(후)",$M:$M,"&gt;0")&lt;&gt;1,"",SUMIFS($I:$I,$C:$C,$C2155,$D:$D,$D2155,$E:$E,"P0(후)"))</f>
        <v/>
      </c>
      <c r="R2155" s="31">
        <f>IF(COUNTIFS($C:$C,$C2155,$D:$D,$D2155,$E:$E,"P0(후)",$M:$M,"&gt;0")&lt;&gt;1,"",SUMIFS($M:$M,$C:$C,$C2155,$D:$D,$D2155,$E:$E,"P0(후)"))</f>
        <v/>
      </c>
      <c r="S2155" s="31">
        <f>IF(N2155&lt;&gt;"OK","",P2155+(R2155-P2155)*(I2155-O2155)/(Q2155-O2155))</f>
        <v/>
      </c>
      <c r="T2155" s="31">
        <f>IF(OR(N2155&lt;&gt;"OK",NOT(ISNUMBER(M2155))),"",M2155-S2155)</f>
        <v/>
      </c>
      <c r="U2155" s="49">
        <f>IF(OR(NOT(ISNUMBER(T2155)),IF(ISNUMBER(H2155),H2155,G2155)=0),"",T2155/IF(ISNUMBER(H2155),H2155,G2155))</f>
        <v/>
      </c>
      <c r="V2155" s="49">
        <f>IF(ISNUMBER(U2155),ABS(U2155),"")</f>
        <v/>
      </c>
      <c r="W2155" s="49">
        <f>IF(OR($E2154&lt;&gt;"측정",$C2154&lt;&gt;$C2155,$D2154&lt;&gt;$D2155,NOT(ISNUMBER(M2155)),NOT(ISNUMBER(M2154)),(IF(ISNUMBER(H2155),H2155,G2155)-IF(ISNUMBER(H2154),H2154,G2154))=0),"",(M2155-M2154)/(IF(ISNUMBER(H2155),H2155,G2155)-IF(ISNUMBER(H2154),H2154,G2154)))</f>
        <v/>
      </c>
      <c r="X2155" s="31">
        <f>IF(NOT(AND(ISNUMBER(O2155),ISNUMBER(Q2155))),"",(Q2155-O2155)*1440)</f>
        <v/>
      </c>
      <c r="Y2155" s="29" t="n"/>
      <c r="Z2155" s="29" t="n"/>
      <c r="AA2155" s="29" t="n"/>
      <c r="AB2155" s="32" t="n"/>
      <c r="AC2155" s="32" t="n"/>
    </row>
    <row r="2156">
      <c r="A2156" s="26" t="inlineStr">
        <is>
          <t>S42</t>
        </is>
      </c>
      <c r="B2156" s="26" t="inlineStr">
        <is>
          <t>조도</t>
        </is>
      </c>
      <c r="C2156" s="26" t="inlineStr">
        <is>
          <t>S42-H서</t>
        </is>
      </c>
      <c r="D2156" s="47" t="n">
        <v>1</v>
      </c>
      <c r="E2156" s="26" t="inlineStr">
        <is>
          <t>측정</t>
        </is>
      </c>
      <c r="F2156" s="26" t="inlineStr">
        <is>
          <t>서</t>
        </is>
      </c>
      <c r="G2156" s="31" t="n">
        <v>4</v>
      </c>
      <c r="H2156" s="30" t="n"/>
      <c r="I2156" s="43" t="n"/>
      <c r="J2156" s="41" t="n"/>
      <c r="K2156" s="41" t="n"/>
      <c r="L2156" s="41" t="n"/>
      <c r="M2156" s="31">
        <f>IF(COUNT(J2156:L2156)=0,"",MEDIAN(J2156:L2156))</f>
        <v/>
      </c>
      <c r="N2156" s="26">
        <f>IF(COUNTIFS($C:$C,$C2156,$D:$D,$D2156,$E:$E,"P0(전)",$M:$M,"&gt;0")&lt;&gt;1,"P0(전) 유효 1개 아님",IF(COUNTIFS($C:$C,$C2156,$D:$D,$D2156,$E:$E,"P0(후)",$M:$M,"&gt;0")&lt;&gt;1,"P0(후) 유효 1개 아님",IF(NOT(AND(ISNUMBER(O2156),ISNUMBER(Q2156),ISNUMBER(I2156))),"시각 결측",IF(Q2156&lt;=O2156,"P0 시각 역전",IF(OR(I2156&lt;O2156,I2156&gt;Q2156),"측정시각 구간 밖","OK")))))</f>
        <v/>
      </c>
      <c r="O2156" s="48">
        <f>IF(COUNTIFS($C:$C,$C2156,$D:$D,$D2156,$E:$E,"P0(전)",$M:$M,"&gt;0")&lt;&gt;1,"",SUMIFS($I:$I,$C:$C,$C2156,$D:$D,$D2156,$E:$E,"P0(전)"))</f>
        <v/>
      </c>
      <c r="P2156" s="31">
        <f>IF(COUNTIFS($C:$C,$C2156,$D:$D,$D2156,$E:$E,"P0(전)",$M:$M,"&gt;0")&lt;&gt;1,"",SUMIFS($M:$M,$C:$C,$C2156,$D:$D,$D2156,$E:$E,"P0(전)"))</f>
        <v/>
      </c>
      <c r="Q2156" s="48">
        <f>IF(COUNTIFS($C:$C,$C2156,$D:$D,$D2156,$E:$E,"P0(후)",$M:$M,"&gt;0")&lt;&gt;1,"",SUMIFS($I:$I,$C:$C,$C2156,$D:$D,$D2156,$E:$E,"P0(후)"))</f>
        <v/>
      </c>
      <c r="R2156" s="31">
        <f>IF(COUNTIFS($C:$C,$C2156,$D:$D,$D2156,$E:$E,"P0(후)",$M:$M,"&gt;0")&lt;&gt;1,"",SUMIFS($M:$M,$C:$C,$C2156,$D:$D,$D2156,$E:$E,"P0(후)"))</f>
        <v/>
      </c>
      <c r="S2156" s="31">
        <f>IF(N2156&lt;&gt;"OK","",P2156+(R2156-P2156)*(I2156-O2156)/(Q2156-O2156))</f>
        <v/>
      </c>
      <c r="T2156" s="31">
        <f>IF(OR(N2156&lt;&gt;"OK",NOT(ISNUMBER(M2156))),"",M2156-S2156)</f>
        <v/>
      </c>
      <c r="U2156" s="49">
        <f>IF(OR(NOT(ISNUMBER(T2156)),IF(ISNUMBER(H2156),H2156,G2156)=0),"",T2156/IF(ISNUMBER(H2156),H2156,G2156))</f>
        <v/>
      </c>
      <c r="V2156" s="49">
        <f>IF(ISNUMBER(U2156),ABS(U2156),"")</f>
        <v/>
      </c>
      <c r="W2156" s="49">
        <f>IF(OR($E2155&lt;&gt;"측정",$C2155&lt;&gt;$C2156,$D2155&lt;&gt;$D2156,NOT(ISNUMBER(M2156)),NOT(ISNUMBER(M2155)),(IF(ISNUMBER(H2156),H2156,G2156)-IF(ISNUMBER(H2155),H2155,G2155))=0),"",(M2156-M2155)/(IF(ISNUMBER(H2156),H2156,G2156)-IF(ISNUMBER(H2155),H2155,G2155)))</f>
        <v/>
      </c>
      <c r="X2156" s="31">
        <f>IF(NOT(AND(ISNUMBER(O2156),ISNUMBER(Q2156))),"",(Q2156-O2156)*1440)</f>
        <v/>
      </c>
      <c r="Y2156" s="29" t="n"/>
      <c r="Z2156" s="29" t="n"/>
      <c r="AA2156" s="29" t="n"/>
      <c r="AB2156" s="32" t="n"/>
      <c r="AC2156" s="32" t="n"/>
    </row>
    <row r="2157">
      <c r="A2157" s="26" t="inlineStr">
        <is>
          <t>S42</t>
        </is>
      </c>
      <c r="B2157" s="26" t="inlineStr">
        <is>
          <t>조도</t>
        </is>
      </c>
      <c r="C2157" s="26" t="inlineStr">
        <is>
          <t>S42-H서</t>
        </is>
      </c>
      <c r="D2157" s="47" t="n">
        <v>1</v>
      </c>
      <c r="E2157" s="26" t="inlineStr">
        <is>
          <t>측정</t>
        </is>
      </c>
      <c r="F2157" s="26" t="inlineStr">
        <is>
          <t>서</t>
        </is>
      </c>
      <c r="G2157" s="31" t="n">
        <v>5</v>
      </c>
      <c r="H2157" s="30" t="n"/>
      <c r="I2157" s="43" t="n"/>
      <c r="J2157" s="41" t="n"/>
      <c r="K2157" s="41" t="n"/>
      <c r="L2157" s="41" t="n"/>
      <c r="M2157" s="31">
        <f>IF(COUNT(J2157:L2157)=0,"",MEDIAN(J2157:L2157))</f>
        <v/>
      </c>
      <c r="N2157" s="26">
        <f>IF(COUNTIFS($C:$C,$C2157,$D:$D,$D2157,$E:$E,"P0(전)",$M:$M,"&gt;0")&lt;&gt;1,"P0(전) 유효 1개 아님",IF(COUNTIFS($C:$C,$C2157,$D:$D,$D2157,$E:$E,"P0(후)",$M:$M,"&gt;0")&lt;&gt;1,"P0(후) 유효 1개 아님",IF(NOT(AND(ISNUMBER(O2157),ISNUMBER(Q2157),ISNUMBER(I2157))),"시각 결측",IF(Q2157&lt;=O2157,"P0 시각 역전",IF(OR(I2157&lt;O2157,I2157&gt;Q2157),"측정시각 구간 밖","OK")))))</f>
        <v/>
      </c>
      <c r="O2157" s="48">
        <f>IF(COUNTIFS($C:$C,$C2157,$D:$D,$D2157,$E:$E,"P0(전)",$M:$M,"&gt;0")&lt;&gt;1,"",SUMIFS($I:$I,$C:$C,$C2157,$D:$D,$D2157,$E:$E,"P0(전)"))</f>
        <v/>
      </c>
      <c r="P2157" s="31">
        <f>IF(COUNTIFS($C:$C,$C2157,$D:$D,$D2157,$E:$E,"P0(전)",$M:$M,"&gt;0")&lt;&gt;1,"",SUMIFS($M:$M,$C:$C,$C2157,$D:$D,$D2157,$E:$E,"P0(전)"))</f>
        <v/>
      </c>
      <c r="Q2157" s="48">
        <f>IF(COUNTIFS($C:$C,$C2157,$D:$D,$D2157,$E:$E,"P0(후)",$M:$M,"&gt;0")&lt;&gt;1,"",SUMIFS($I:$I,$C:$C,$C2157,$D:$D,$D2157,$E:$E,"P0(후)"))</f>
        <v/>
      </c>
      <c r="R2157" s="31">
        <f>IF(COUNTIFS($C:$C,$C2157,$D:$D,$D2157,$E:$E,"P0(후)",$M:$M,"&gt;0")&lt;&gt;1,"",SUMIFS($M:$M,$C:$C,$C2157,$D:$D,$D2157,$E:$E,"P0(후)"))</f>
        <v/>
      </c>
      <c r="S2157" s="31">
        <f>IF(N2157&lt;&gt;"OK","",P2157+(R2157-P2157)*(I2157-O2157)/(Q2157-O2157))</f>
        <v/>
      </c>
      <c r="T2157" s="31">
        <f>IF(OR(N2157&lt;&gt;"OK",NOT(ISNUMBER(M2157))),"",M2157-S2157)</f>
        <v/>
      </c>
      <c r="U2157" s="49">
        <f>IF(OR(NOT(ISNUMBER(T2157)),IF(ISNUMBER(H2157),H2157,G2157)=0),"",T2157/IF(ISNUMBER(H2157),H2157,G2157))</f>
        <v/>
      </c>
      <c r="V2157" s="49">
        <f>IF(ISNUMBER(U2157),ABS(U2157),"")</f>
        <v/>
      </c>
      <c r="W2157" s="49">
        <f>IF(OR($E2156&lt;&gt;"측정",$C2156&lt;&gt;$C2157,$D2156&lt;&gt;$D2157,NOT(ISNUMBER(M2157)),NOT(ISNUMBER(M2156)),(IF(ISNUMBER(H2157),H2157,G2157)-IF(ISNUMBER(H2156),H2156,G2156))=0),"",(M2157-M2156)/(IF(ISNUMBER(H2157),H2157,G2157)-IF(ISNUMBER(H2156),H2156,G2156)))</f>
        <v/>
      </c>
      <c r="X2157" s="31">
        <f>IF(NOT(AND(ISNUMBER(O2157),ISNUMBER(Q2157))),"",(Q2157-O2157)*1440)</f>
        <v/>
      </c>
      <c r="Y2157" s="29" t="n"/>
      <c r="Z2157" s="29" t="n"/>
      <c r="AA2157" s="29" t="n"/>
      <c r="AB2157" s="32" t="n"/>
      <c r="AC2157" s="32" t="n"/>
    </row>
    <row r="2158">
      <c r="A2158" s="26" t="inlineStr">
        <is>
          <t>S42</t>
        </is>
      </c>
      <c r="B2158" s="26" t="inlineStr">
        <is>
          <t>조도</t>
        </is>
      </c>
      <c r="C2158" s="26" t="inlineStr">
        <is>
          <t>S42-H서</t>
        </is>
      </c>
      <c r="D2158" s="47" t="n">
        <v>1</v>
      </c>
      <c r="E2158" s="26" t="inlineStr">
        <is>
          <t>측정</t>
        </is>
      </c>
      <c r="F2158" s="26" t="inlineStr">
        <is>
          <t>서</t>
        </is>
      </c>
      <c r="G2158" s="31" t="n">
        <v>6</v>
      </c>
      <c r="H2158" s="30" t="n"/>
      <c r="I2158" s="43" t="n"/>
      <c r="J2158" s="41" t="n"/>
      <c r="K2158" s="41" t="n"/>
      <c r="L2158" s="41" t="n"/>
      <c r="M2158" s="31">
        <f>IF(COUNT(J2158:L2158)=0,"",MEDIAN(J2158:L2158))</f>
        <v/>
      </c>
      <c r="N2158" s="26">
        <f>IF(COUNTIFS($C:$C,$C2158,$D:$D,$D2158,$E:$E,"P0(전)",$M:$M,"&gt;0")&lt;&gt;1,"P0(전) 유효 1개 아님",IF(COUNTIFS($C:$C,$C2158,$D:$D,$D2158,$E:$E,"P0(후)",$M:$M,"&gt;0")&lt;&gt;1,"P0(후) 유효 1개 아님",IF(NOT(AND(ISNUMBER(O2158),ISNUMBER(Q2158),ISNUMBER(I2158))),"시각 결측",IF(Q2158&lt;=O2158,"P0 시각 역전",IF(OR(I2158&lt;O2158,I2158&gt;Q2158),"측정시각 구간 밖","OK")))))</f>
        <v/>
      </c>
      <c r="O2158" s="48">
        <f>IF(COUNTIFS($C:$C,$C2158,$D:$D,$D2158,$E:$E,"P0(전)",$M:$M,"&gt;0")&lt;&gt;1,"",SUMIFS($I:$I,$C:$C,$C2158,$D:$D,$D2158,$E:$E,"P0(전)"))</f>
        <v/>
      </c>
      <c r="P2158" s="31">
        <f>IF(COUNTIFS($C:$C,$C2158,$D:$D,$D2158,$E:$E,"P0(전)",$M:$M,"&gt;0")&lt;&gt;1,"",SUMIFS($M:$M,$C:$C,$C2158,$D:$D,$D2158,$E:$E,"P0(전)"))</f>
        <v/>
      </c>
      <c r="Q2158" s="48">
        <f>IF(COUNTIFS($C:$C,$C2158,$D:$D,$D2158,$E:$E,"P0(후)",$M:$M,"&gt;0")&lt;&gt;1,"",SUMIFS($I:$I,$C:$C,$C2158,$D:$D,$D2158,$E:$E,"P0(후)"))</f>
        <v/>
      </c>
      <c r="R2158" s="31">
        <f>IF(COUNTIFS($C:$C,$C2158,$D:$D,$D2158,$E:$E,"P0(후)",$M:$M,"&gt;0")&lt;&gt;1,"",SUMIFS($M:$M,$C:$C,$C2158,$D:$D,$D2158,$E:$E,"P0(후)"))</f>
        <v/>
      </c>
      <c r="S2158" s="31">
        <f>IF(N2158&lt;&gt;"OK","",P2158+(R2158-P2158)*(I2158-O2158)/(Q2158-O2158))</f>
        <v/>
      </c>
      <c r="T2158" s="31">
        <f>IF(OR(N2158&lt;&gt;"OK",NOT(ISNUMBER(M2158))),"",M2158-S2158)</f>
        <v/>
      </c>
      <c r="U2158" s="49">
        <f>IF(OR(NOT(ISNUMBER(T2158)),IF(ISNUMBER(H2158),H2158,G2158)=0),"",T2158/IF(ISNUMBER(H2158),H2158,G2158))</f>
        <v/>
      </c>
      <c r="V2158" s="49">
        <f>IF(ISNUMBER(U2158),ABS(U2158),"")</f>
        <v/>
      </c>
      <c r="W2158" s="49">
        <f>IF(OR($E2157&lt;&gt;"측정",$C2157&lt;&gt;$C2158,$D2157&lt;&gt;$D2158,NOT(ISNUMBER(M2158)),NOT(ISNUMBER(M2157)),(IF(ISNUMBER(H2158),H2158,G2158)-IF(ISNUMBER(H2157),H2157,G2157))=0),"",(M2158-M2157)/(IF(ISNUMBER(H2158),H2158,G2158)-IF(ISNUMBER(H2157),H2157,G2157)))</f>
        <v/>
      </c>
      <c r="X2158" s="31">
        <f>IF(NOT(AND(ISNUMBER(O2158),ISNUMBER(Q2158))),"",(Q2158-O2158)*1440)</f>
        <v/>
      </c>
      <c r="Y2158" s="29" t="n"/>
      <c r="Z2158" s="29" t="n"/>
      <c r="AA2158" s="29" t="n"/>
      <c r="AB2158" s="32" t="n"/>
      <c r="AC2158" s="32" t="n"/>
    </row>
    <row r="2159">
      <c r="A2159" s="26" t="inlineStr">
        <is>
          <t>S42</t>
        </is>
      </c>
      <c r="B2159" s="26" t="inlineStr">
        <is>
          <t>조도</t>
        </is>
      </c>
      <c r="C2159" s="26" t="inlineStr">
        <is>
          <t>S42-H서</t>
        </is>
      </c>
      <c r="D2159" s="47" t="n">
        <v>1</v>
      </c>
      <c r="E2159" s="26" t="inlineStr">
        <is>
          <t>측정</t>
        </is>
      </c>
      <c r="F2159" s="26" t="inlineStr">
        <is>
          <t>서</t>
        </is>
      </c>
      <c r="G2159" s="31" t="n">
        <v>7</v>
      </c>
      <c r="H2159" s="30" t="n"/>
      <c r="I2159" s="43" t="n"/>
      <c r="J2159" s="41" t="n"/>
      <c r="K2159" s="41" t="n"/>
      <c r="L2159" s="41" t="n"/>
      <c r="M2159" s="31">
        <f>IF(COUNT(J2159:L2159)=0,"",MEDIAN(J2159:L2159))</f>
        <v/>
      </c>
      <c r="N2159" s="26">
        <f>IF(COUNTIFS($C:$C,$C2159,$D:$D,$D2159,$E:$E,"P0(전)",$M:$M,"&gt;0")&lt;&gt;1,"P0(전) 유효 1개 아님",IF(COUNTIFS($C:$C,$C2159,$D:$D,$D2159,$E:$E,"P0(후)",$M:$M,"&gt;0")&lt;&gt;1,"P0(후) 유효 1개 아님",IF(NOT(AND(ISNUMBER(O2159),ISNUMBER(Q2159),ISNUMBER(I2159))),"시각 결측",IF(Q2159&lt;=O2159,"P0 시각 역전",IF(OR(I2159&lt;O2159,I2159&gt;Q2159),"측정시각 구간 밖","OK")))))</f>
        <v/>
      </c>
      <c r="O2159" s="48">
        <f>IF(COUNTIFS($C:$C,$C2159,$D:$D,$D2159,$E:$E,"P0(전)",$M:$M,"&gt;0")&lt;&gt;1,"",SUMIFS($I:$I,$C:$C,$C2159,$D:$D,$D2159,$E:$E,"P0(전)"))</f>
        <v/>
      </c>
      <c r="P2159" s="31">
        <f>IF(COUNTIFS($C:$C,$C2159,$D:$D,$D2159,$E:$E,"P0(전)",$M:$M,"&gt;0")&lt;&gt;1,"",SUMIFS($M:$M,$C:$C,$C2159,$D:$D,$D2159,$E:$E,"P0(전)"))</f>
        <v/>
      </c>
      <c r="Q2159" s="48">
        <f>IF(COUNTIFS($C:$C,$C2159,$D:$D,$D2159,$E:$E,"P0(후)",$M:$M,"&gt;0")&lt;&gt;1,"",SUMIFS($I:$I,$C:$C,$C2159,$D:$D,$D2159,$E:$E,"P0(후)"))</f>
        <v/>
      </c>
      <c r="R2159" s="31">
        <f>IF(COUNTIFS($C:$C,$C2159,$D:$D,$D2159,$E:$E,"P0(후)",$M:$M,"&gt;0")&lt;&gt;1,"",SUMIFS($M:$M,$C:$C,$C2159,$D:$D,$D2159,$E:$E,"P0(후)"))</f>
        <v/>
      </c>
      <c r="S2159" s="31">
        <f>IF(N2159&lt;&gt;"OK","",P2159+(R2159-P2159)*(I2159-O2159)/(Q2159-O2159))</f>
        <v/>
      </c>
      <c r="T2159" s="31">
        <f>IF(OR(N2159&lt;&gt;"OK",NOT(ISNUMBER(M2159))),"",M2159-S2159)</f>
        <v/>
      </c>
      <c r="U2159" s="49">
        <f>IF(OR(NOT(ISNUMBER(T2159)),IF(ISNUMBER(H2159),H2159,G2159)=0),"",T2159/IF(ISNUMBER(H2159),H2159,G2159))</f>
        <v/>
      </c>
      <c r="V2159" s="49">
        <f>IF(ISNUMBER(U2159),ABS(U2159),"")</f>
        <v/>
      </c>
      <c r="W2159" s="49">
        <f>IF(OR($E2158&lt;&gt;"측정",$C2158&lt;&gt;$C2159,$D2158&lt;&gt;$D2159,NOT(ISNUMBER(M2159)),NOT(ISNUMBER(M2158)),(IF(ISNUMBER(H2159),H2159,G2159)-IF(ISNUMBER(H2158),H2158,G2158))=0),"",(M2159-M2158)/(IF(ISNUMBER(H2159),H2159,G2159)-IF(ISNUMBER(H2158),H2158,G2158)))</f>
        <v/>
      </c>
      <c r="X2159" s="31">
        <f>IF(NOT(AND(ISNUMBER(O2159),ISNUMBER(Q2159))),"",(Q2159-O2159)*1440)</f>
        <v/>
      </c>
      <c r="Y2159" s="29" t="n"/>
      <c r="Z2159" s="29" t="n"/>
      <c r="AA2159" s="29" t="n"/>
      <c r="AB2159" s="32" t="n"/>
      <c r="AC2159" s="32" t="n"/>
    </row>
    <row r="2160">
      <c r="A2160" s="26" t="inlineStr">
        <is>
          <t>S42</t>
        </is>
      </c>
      <c r="B2160" s="26" t="inlineStr">
        <is>
          <t>조도</t>
        </is>
      </c>
      <c r="C2160" s="26" t="inlineStr">
        <is>
          <t>S42-H서</t>
        </is>
      </c>
      <c r="D2160" s="47" t="n">
        <v>1</v>
      </c>
      <c r="E2160" s="26" t="inlineStr">
        <is>
          <t>측정</t>
        </is>
      </c>
      <c r="F2160" s="26" t="inlineStr">
        <is>
          <t>서</t>
        </is>
      </c>
      <c r="G2160" s="31" t="n">
        <v>8</v>
      </c>
      <c r="H2160" s="30" t="n"/>
      <c r="I2160" s="43" t="n"/>
      <c r="J2160" s="41" t="n"/>
      <c r="K2160" s="41" t="n"/>
      <c r="L2160" s="41" t="n"/>
      <c r="M2160" s="31">
        <f>IF(COUNT(J2160:L2160)=0,"",MEDIAN(J2160:L2160))</f>
        <v/>
      </c>
      <c r="N2160" s="26">
        <f>IF(COUNTIFS($C:$C,$C2160,$D:$D,$D2160,$E:$E,"P0(전)",$M:$M,"&gt;0")&lt;&gt;1,"P0(전) 유효 1개 아님",IF(COUNTIFS($C:$C,$C2160,$D:$D,$D2160,$E:$E,"P0(후)",$M:$M,"&gt;0")&lt;&gt;1,"P0(후) 유효 1개 아님",IF(NOT(AND(ISNUMBER(O2160),ISNUMBER(Q2160),ISNUMBER(I2160))),"시각 결측",IF(Q2160&lt;=O2160,"P0 시각 역전",IF(OR(I2160&lt;O2160,I2160&gt;Q2160),"측정시각 구간 밖","OK")))))</f>
        <v/>
      </c>
      <c r="O2160" s="48">
        <f>IF(COUNTIFS($C:$C,$C2160,$D:$D,$D2160,$E:$E,"P0(전)",$M:$M,"&gt;0")&lt;&gt;1,"",SUMIFS($I:$I,$C:$C,$C2160,$D:$D,$D2160,$E:$E,"P0(전)"))</f>
        <v/>
      </c>
      <c r="P2160" s="31">
        <f>IF(COUNTIFS($C:$C,$C2160,$D:$D,$D2160,$E:$E,"P0(전)",$M:$M,"&gt;0")&lt;&gt;1,"",SUMIFS($M:$M,$C:$C,$C2160,$D:$D,$D2160,$E:$E,"P0(전)"))</f>
        <v/>
      </c>
      <c r="Q2160" s="48">
        <f>IF(COUNTIFS($C:$C,$C2160,$D:$D,$D2160,$E:$E,"P0(후)",$M:$M,"&gt;0")&lt;&gt;1,"",SUMIFS($I:$I,$C:$C,$C2160,$D:$D,$D2160,$E:$E,"P0(후)"))</f>
        <v/>
      </c>
      <c r="R2160" s="31">
        <f>IF(COUNTIFS($C:$C,$C2160,$D:$D,$D2160,$E:$E,"P0(후)",$M:$M,"&gt;0")&lt;&gt;1,"",SUMIFS($M:$M,$C:$C,$C2160,$D:$D,$D2160,$E:$E,"P0(후)"))</f>
        <v/>
      </c>
      <c r="S2160" s="31">
        <f>IF(N2160&lt;&gt;"OK","",P2160+(R2160-P2160)*(I2160-O2160)/(Q2160-O2160))</f>
        <v/>
      </c>
      <c r="T2160" s="31">
        <f>IF(OR(N2160&lt;&gt;"OK",NOT(ISNUMBER(M2160))),"",M2160-S2160)</f>
        <v/>
      </c>
      <c r="U2160" s="49">
        <f>IF(OR(NOT(ISNUMBER(T2160)),IF(ISNUMBER(H2160),H2160,G2160)=0),"",T2160/IF(ISNUMBER(H2160),H2160,G2160))</f>
        <v/>
      </c>
      <c r="V2160" s="49">
        <f>IF(ISNUMBER(U2160),ABS(U2160),"")</f>
        <v/>
      </c>
      <c r="W2160" s="49">
        <f>IF(OR($E2159&lt;&gt;"측정",$C2159&lt;&gt;$C2160,$D2159&lt;&gt;$D2160,NOT(ISNUMBER(M2160)),NOT(ISNUMBER(M2159)),(IF(ISNUMBER(H2160),H2160,G2160)-IF(ISNUMBER(H2159),H2159,G2159))=0),"",(M2160-M2159)/(IF(ISNUMBER(H2160),H2160,G2160)-IF(ISNUMBER(H2159),H2159,G2159)))</f>
        <v/>
      </c>
      <c r="X2160" s="31">
        <f>IF(NOT(AND(ISNUMBER(O2160),ISNUMBER(Q2160))),"",(Q2160-O2160)*1440)</f>
        <v/>
      </c>
      <c r="Y2160" s="29" t="n"/>
      <c r="Z2160" s="29" t="n"/>
      <c r="AA2160" s="29" t="n"/>
      <c r="AB2160" s="32" t="n"/>
      <c r="AC2160" s="32" t="n"/>
    </row>
    <row r="2161">
      <c r="A2161" s="26" t="inlineStr">
        <is>
          <t>S42</t>
        </is>
      </c>
      <c r="B2161" s="26" t="inlineStr">
        <is>
          <t>조도</t>
        </is>
      </c>
      <c r="C2161" s="26" t="inlineStr">
        <is>
          <t>S42-H서</t>
        </is>
      </c>
      <c r="D2161" s="47" t="n">
        <v>1</v>
      </c>
      <c r="E2161" s="26" t="inlineStr">
        <is>
          <t>측정</t>
        </is>
      </c>
      <c r="F2161" s="26" t="inlineStr">
        <is>
          <t>서</t>
        </is>
      </c>
      <c r="G2161" s="31" t="n">
        <v>9</v>
      </c>
      <c r="H2161" s="30" t="n"/>
      <c r="I2161" s="43" t="n"/>
      <c r="J2161" s="41" t="n"/>
      <c r="K2161" s="41" t="n"/>
      <c r="L2161" s="41" t="n"/>
      <c r="M2161" s="31">
        <f>IF(COUNT(J2161:L2161)=0,"",MEDIAN(J2161:L2161))</f>
        <v/>
      </c>
      <c r="N2161" s="26">
        <f>IF(COUNTIFS($C:$C,$C2161,$D:$D,$D2161,$E:$E,"P0(전)",$M:$M,"&gt;0")&lt;&gt;1,"P0(전) 유효 1개 아님",IF(COUNTIFS($C:$C,$C2161,$D:$D,$D2161,$E:$E,"P0(후)",$M:$M,"&gt;0")&lt;&gt;1,"P0(후) 유효 1개 아님",IF(NOT(AND(ISNUMBER(O2161),ISNUMBER(Q2161),ISNUMBER(I2161))),"시각 결측",IF(Q2161&lt;=O2161,"P0 시각 역전",IF(OR(I2161&lt;O2161,I2161&gt;Q2161),"측정시각 구간 밖","OK")))))</f>
        <v/>
      </c>
      <c r="O2161" s="48">
        <f>IF(COUNTIFS($C:$C,$C2161,$D:$D,$D2161,$E:$E,"P0(전)",$M:$M,"&gt;0")&lt;&gt;1,"",SUMIFS($I:$I,$C:$C,$C2161,$D:$D,$D2161,$E:$E,"P0(전)"))</f>
        <v/>
      </c>
      <c r="P2161" s="31">
        <f>IF(COUNTIFS($C:$C,$C2161,$D:$D,$D2161,$E:$E,"P0(전)",$M:$M,"&gt;0")&lt;&gt;1,"",SUMIFS($M:$M,$C:$C,$C2161,$D:$D,$D2161,$E:$E,"P0(전)"))</f>
        <v/>
      </c>
      <c r="Q2161" s="48">
        <f>IF(COUNTIFS($C:$C,$C2161,$D:$D,$D2161,$E:$E,"P0(후)",$M:$M,"&gt;0")&lt;&gt;1,"",SUMIFS($I:$I,$C:$C,$C2161,$D:$D,$D2161,$E:$E,"P0(후)"))</f>
        <v/>
      </c>
      <c r="R2161" s="31">
        <f>IF(COUNTIFS($C:$C,$C2161,$D:$D,$D2161,$E:$E,"P0(후)",$M:$M,"&gt;0")&lt;&gt;1,"",SUMIFS($M:$M,$C:$C,$C2161,$D:$D,$D2161,$E:$E,"P0(후)"))</f>
        <v/>
      </c>
      <c r="S2161" s="31">
        <f>IF(N2161&lt;&gt;"OK","",P2161+(R2161-P2161)*(I2161-O2161)/(Q2161-O2161))</f>
        <v/>
      </c>
      <c r="T2161" s="31">
        <f>IF(OR(N2161&lt;&gt;"OK",NOT(ISNUMBER(M2161))),"",M2161-S2161)</f>
        <v/>
      </c>
      <c r="U2161" s="49">
        <f>IF(OR(NOT(ISNUMBER(T2161)),IF(ISNUMBER(H2161),H2161,G2161)=0),"",T2161/IF(ISNUMBER(H2161),H2161,G2161))</f>
        <v/>
      </c>
      <c r="V2161" s="49">
        <f>IF(ISNUMBER(U2161),ABS(U2161),"")</f>
        <v/>
      </c>
      <c r="W2161" s="49">
        <f>IF(OR($E2160&lt;&gt;"측정",$C2160&lt;&gt;$C2161,$D2160&lt;&gt;$D2161,NOT(ISNUMBER(M2161)),NOT(ISNUMBER(M2160)),(IF(ISNUMBER(H2161),H2161,G2161)-IF(ISNUMBER(H2160),H2160,G2160))=0),"",(M2161-M2160)/(IF(ISNUMBER(H2161),H2161,G2161)-IF(ISNUMBER(H2160),H2160,G2160)))</f>
        <v/>
      </c>
      <c r="X2161" s="31">
        <f>IF(NOT(AND(ISNUMBER(O2161),ISNUMBER(Q2161))),"",(Q2161-O2161)*1440)</f>
        <v/>
      </c>
      <c r="Y2161" s="29" t="n"/>
      <c r="Z2161" s="29" t="n"/>
      <c r="AA2161" s="29" t="n"/>
      <c r="AB2161" s="32" t="n"/>
      <c r="AC2161" s="32" t="n"/>
    </row>
    <row r="2162">
      <c r="A2162" s="26" t="inlineStr">
        <is>
          <t>S42</t>
        </is>
      </c>
      <c r="B2162" s="26" t="inlineStr">
        <is>
          <t>조도</t>
        </is>
      </c>
      <c r="C2162" s="26" t="inlineStr">
        <is>
          <t>S42-H서</t>
        </is>
      </c>
      <c r="D2162" s="47" t="n">
        <v>1</v>
      </c>
      <c r="E2162" s="26" t="inlineStr">
        <is>
          <t>측정</t>
        </is>
      </c>
      <c r="F2162" s="26" t="inlineStr">
        <is>
          <t>서</t>
        </is>
      </c>
      <c r="G2162" s="31" t="n">
        <v>10</v>
      </c>
      <c r="H2162" s="30" t="n"/>
      <c r="I2162" s="43" t="n"/>
      <c r="J2162" s="41" t="n"/>
      <c r="K2162" s="41" t="n"/>
      <c r="L2162" s="41" t="n"/>
      <c r="M2162" s="31">
        <f>IF(COUNT(J2162:L2162)=0,"",MEDIAN(J2162:L2162))</f>
        <v/>
      </c>
      <c r="N2162" s="26">
        <f>IF(COUNTIFS($C:$C,$C2162,$D:$D,$D2162,$E:$E,"P0(전)",$M:$M,"&gt;0")&lt;&gt;1,"P0(전) 유효 1개 아님",IF(COUNTIFS($C:$C,$C2162,$D:$D,$D2162,$E:$E,"P0(후)",$M:$M,"&gt;0")&lt;&gt;1,"P0(후) 유효 1개 아님",IF(NOT(AND(ISNUMBER(O2162),ISNUMBER(Q2162),ISNUMBER(I2162))),"시각 결측",IF(Q2162&lt;=O2162,"P0 시각 역전",IF(OR(I2162&lt;O2162,I2162&gt;Q2162),"측정시각 구간 밖","OK")))))</f>
        <v/>
      </c>
      <c r="O2162" s="48">
        <f>IF(COUNTIFS($C:$C,$C2162,$D:$D,$D2162,$E:$E,"P0(전)",$M:$M,"&gt;0")&lt;&gt;1,"",SUMIFS($I:$I,$C:$C,$C2162,$D:$D,$D2162,$E:$E,"P0(전)"))</f>
        <v/>
      </c>
      <c r="P2162" s="31">
        <f>IF(COUNTIFS($C:$C,$C2162,$D:$D,$D2162,$E:$E,"P0(전)",$M:$M,"&gt;0")&lt;&gt;1,"",SUMIFS($M:$M,$C:$C,$C2162,$D:$D,$D2162,$E:$E,"P0(전)"))</f>
        <v/>
      </c>
      <c r="Q2162" s="48">
        <f>IF(COUNTIFS($C:$C,$C2162,$D:$D,$D2162,$E:$E,"P0(후)",$M:$M,"&gt;0")&lt;&gt;1,"",SUMIFS($I:$I,$C:$C,$C2162,$D:$D,$D2162,$E:$E,"P0(후)"))</f>
        <v/>
      </c>
      <c r="R2162" s="31">
        <f>IF(COUNTIFS($C:$C,$C2162,$D:$D,$D2162,$E:$E,"P0(후)",$M:$M,"&gt;0")&lt;&gt;1,"",SUMIFS($M:$M,$C:$C,$C2162,$D:$D,$D2162,$E:$E,"P0(후)"))</f>
        <v/>
      </c>
      <c r="S2162" s="31">
        <f>IF(N2162&lt;&gt;"OK","",P2162+(R2162-P2162)*(I2162-O2162)/(Q2162-O2162))</f>
        <v/>
      </c>
      <c r="T2162" s="31">
        <f>IF(OR(N2162&lt;&gt;"OK",NOT(ISNUMBER(M2162))),"",M2162-S2162)</f>
        <v/>
      </c>
      <c r="U2162" s="49">
        <f>IF(OR(NOT(ISNUMBER(T2162)),IF(ISNUMBER(H2162),H2162,G2162)=0),"",T2162/IF(ISNUMBER(H2162),H2162,G2162))</f>
        <v/>
      </c>
      <c r="V2162" s="49">
        <f>IF(ISNUMBER(U2162),ABS(U2162),"")</f>
        <v/>
      </c>
      <c r="W2162" s="49">
        <f>IF(OR($E2161&lt;&gt;"측정",$C2161&lt;&gt;$C2162,$D2161&lt;&gt;$D2162,NOT(ISNUMBER(M2162)),NOT(ISNUMBER(M2161)),(IF(ISNUMBER(H2162),H2162,G2162)-IF(ISNUMBER(H2161),H2161,G2161))=0),"",(M2162-M2161)/(IF(ISNUMBER(H2162),H2162,G2162)-IF(ISNUMBER(H2161),H2161,G2161)))</f>
        <v/>
      </c>
      <c r="X2162" s="31">
        <f>IF(NOT(AND(ISNUMBER(O2162),ISNUMBER(Q2162))),"",(Q2162-O2162)*1440)</f>
        <v/>
      </c>
      <c r="Y2162" s="29" t="n"/>
      <c r="Z2162" s="29" t="n"/>
      <c r="AA2162" s="29" t="n"/>
      <c r="AB2162" s="32" t="n"/>
      <c r="AC2162" s="32" t="n"/>
    </row>
    <row r="2163">
      <c r="A2163" s="44" t="inlineStr">
        <is>
          <t>S42</t>
        </is>
      </c>
      <c r="B2163" s="44" t="inlineStr">
        <is>
          <t>조도</t>
        </is>
      </c>
      <c r="C2163" s="44" t="inlineStr">
        <is>
          <t>S42-H서</t>
        </is>
      </c>
      <c r="D2163" s="45" t="n">
        <v>1</v>
      </c>
      <c r="E2163" s="44" t="inlineStr">
        <is>
          <t>P0(후)</t>
        </is>
      </c>
      <c r="F2163" s="44" t="inlineStr">
        <is>
          <t>서</t>
        </is>
      </c>
      <c r="G2163" s="46" t="n"/>
      <c r="H2163" s="30" t="n"/>
      <c r="I2163" s="43" t="n"/>
      <c r="J2163" s="41" t="n"/>
      <c r="K2163" s="41" t="n"/>
      <c r="L2163" s="41" t="n"/>
      <c r="M2163" s="31">
        <f>IF(COUNT(J2163:L2163)=0,"",MEDIAN(J2163:L2163))</f>
        <v/>
      </c>
      <c r="N2163" s="38" t="n"/>
      <c r="O2163" s="38" t="n"/>
      <c r="P2163" s="38" t="n"/>
      <c r="Q2163" s="38" t="n"/>
      <c r="R2163" s="38" t="n"/>
      <c r="S2163" s="38" t="n"/>
      <c r="T2163" s="38" t="n"/>
      <c r="U2163" s="38" t="n"/>
      <c r="V2163" s="38" t="n"/>
      <c r="W2163" s="38" t="n"/>
      <c r="X2163" s="38" t="n"/>
      <c r="Y2163" s="29" t="n"/>
      <c r="Z2163" s="29" t="n"/>
      <c r="AA2163" s="29" t="n"/>
      <c r="AB2163" s="32" t="n"/>
      <c r="AC2163" s="32" t="n"/>
    </row>
    <row r="2164">
      <c r="A2164" s="44" t="inlineStr">
        <is>
          <t>S42</t>
        </is>
      </c>
      <c r="B2164" s="44" t="inlineStr">
        <is>
          <t>조도</t>
        </is>
      </c>
      <c r="C2164" s="44" t="inlineStr">
        <is>
          <t>S42-H남</t>
        </is>
      </c>
      <c r="D2164" s="45" t="n">
        <v>1</v>
      </c>
      <c r="E2164" s="44" t="inlineStr">
        <is>
          <t>P0(전)</t>
        </is>
      </c>
      <c r="F2164" s="44" t="inlineStr">
        <is>
          <t>남</t>
        </is>
      </c>
      <c r="G2164" s="46" t="n"/>
      <c r="H2164" s="30" t="n"/>
      <c r="I2164" s="43" t="n"/>
      <c r="J2164" s="41" t="n"/>
      <c r="K2164" s="41" t="n"/>
      <c r="L2164" s="41" t="n"/>
      <c r="M2164" s="31">
        <f>IF(COUNT(J2164:L2164)=0,"",MEDIAN(J2164:L2164))</f>
        <v/>
      </c>
      <c r="N2164" s="38" t="n"/>
      <c r="O2164" s="38" t="n"/>
      <c r="P2164" s="38" t="n"/>
      <c r="Q2164" s="38" t="n"/>
      <c r="R2164" s="38" t="n"/>
      <c r="S2164" s="38" t="n"/>
      <c r="T2164" s="38" t="n"/>
      <c r="U2164" s="38" t="n"/>
      <c r="V2164" s="38" t="n"/>
      <c r="W2164" s="38" t="n"/>
      <c r="X2164" s="38" t="n"/>
      <c r="Y2164" s="29" t="n"/>
      <c r="Z2164" s="29" t="n"/>
      <c r="AA2164" s="29" t="n"/>
      <c r="AB2164" s="32" t="n"/>
      <c r="AC2164" s="32" t="n"/>
    </row>
    <row r="2165">
      <c r="A2165" s="26" t="inlineStr">
        <is>
          <t>S42</t>
        </is>
      </c>
      <c r="B2165" s="26" t="inlineStr">
        <is>
          <t>조도</t>
        </is>
      </c>
      <c r="C2165" s="26" t="inlineStr">
        <is>
          <t>S42-H남</t>
        </is>
      </c>
      <c r="D2165" s="47" t="n">
        <v>1</v>
      </c>
      <c r="E2165" s="26" t="inlineStr">
        <is>
          <t>측정</t>
        </is>
      </c>
      <c r="F2165" s="26" t="inlineStr">
        <is>
          <t>남</t>
        </is>
      </c>
      <c r="G2165" s="31" t="n">
        <v>0.5</v>
      </c>
      <c r="H2165" s="30" t="n"/>
      <c r="I2165" s="43" t="n"/>
      <c r="J2165" s="41" t="n"/>
      <c r="K2165" s="41" t="n"/>
      <c r="L2165" s="41" t="n"/>
      <c r="M2165" s="31">
        <f>IF(COUNT(J2165:L2165)=0,"",MEDIAN(J2165:L2165))</f>
        <v/>
      </c>
      <c r="N2165" s="26">
        <f>IF(COUNTIFS($C:$C,$C2165,$D:$D,$D2165,$E:$E,"P0(전)",$M:$M,"&gt;0")&lt;&gt;1,"P0(전) 유효 1개 아님",IF(COUNTIFS($C:$C,$C2165,$D:$D,$D2165,$E:$E,"P0(후)",$M:$M,"&gt;0")&lt;&gt;1,"P0(후) 유효 1개 아님",IF(NOT(AND(ISNUMBER(O2165),ISNUMBER(Q2165),ISNUMBER(I2165))),"시각 결측",IF(Q2165&lt;=O2165,"P0 시각 역전",IF(OR(I2165&lt;O2165,I2165&gt;Q2165),"측정시각 구간 밖","OK")))))</f>
        <v/>
      </c>
      <c r="O2165" s="48">
        <f>IF(COUNTIFS($C:$C,$C2165,$D:$D,$D2165,$E:$E,"P0(전)",$M:$M,"&gt;0")&lt;&gt;1,"",SUMIFS($I:$I,$C:$C,$C2165,$D:$D,$D2165,$E:$E,"P0(전)"))</f>
        <v/>
      </c>
      <c r="P2165" s="31">
        <f>IF(COUNTIFS($C:$C,$C2165,$D:$D,$D2165,$E:$E,"P0(전)",$M:$M,"&gt;0")&lt;&gt;1,"",SUMIFS($M:$M,$C:$C,$C2165,$D:$D,$D2165,$E:$E,"P0(전)"))</f>
        <v/>
      </c>
      <c r="Q2165" s="48">
        <f>IF(COUNTIFS($C:$C,$C2165,$D:$D,$D2165,$E:$E,"P0(후)",$M:$M,"&gt;0")&lt;&gt;1,"",SUMIFS($I:$I,$C:$C,$C2165,$D:$D,$D2165,$E:$E,"P0(후)"))</f>
        <v/>
      </c>
      <c r="R2165" s="31">
        <f>IF(COUNTIFS($C:$C,$C2165,$D:$D,$D2165,$E:$E,"P0(후)",$M:$M,"&gt;0")&lt;&gt;1,"",SUMIFS($M:$M,$C:$C,$C2165,$D:$D,$D2165,$E:$E,"P0(후)"))</f>
        <v/>
      </c>
      <c r="S2165" s="31">
        <f>IF(N2165&lt;&gt;"OK","",P2165+(R2165-P2165)*(I2165-O2165)/(Q2165-O2165))</f>
        <v/>
      </c>
      <c r="T2165" s="31">
        <f>IF(OR(N2165&lt;&gt;"OK",NOT(ISNUMBER(M2165))),"",M2165-S2165)</f>
        <v/>
      </c>
      <c r="U2165" s="49">
        <f>IF(OR(NOT(ISNUMBER(T2165)),IF(ISNUMBER(H2165),H2165,G2165)=0),"",T2165/IF(ISNUMBER(H2165),H2165,G2165))</f>
        <v/>
      </c>
      <c r="V2165" s="49">
        <f>IF(ISNUMBER(U2165),ABS(U2165),"")</f>
        <v/>
      </c>
      <c r="W2165" s="49">
        <f>IF(OR($E2164&lt;&gt;"측정",$C2164&lt;&gt;$C2165,$D2164&lt;&gt;$D2165,NOT(ISNUMBER(M2165)),NOT(ISNUMBER(M2164)),(IF(ISNUMBER(H2165),H2165,G2165)-IF(ISNUMBER(H2164),H2164,G2164))=0),"",(M2165-M2164)/(IF(ISNUMBER(H2165),H2165,G2165)-IF(ISNUMBER(H2164),H2164,G2164)))</f>
        <v/>
      </c>
      <c r="X2165" s="31">
        <f>IF(NOT(AND(ISNUMBER(O2165),ISNUMBER(Q2165))),"",(Q2165-O2165)*1440)</f>
        <v/>
      </c>
      <c r="Y2165" s="29" t="n"/>
      <c r="Z2165" s="29" t="n"/>
      <c r="AA2165" s="29" t="n"/>
      <c r="AB2165" s="32" t="n"/>
      <c r="AC2165" s="32" t="n"/>
    </row>
    <row r="2166">
      <c r="A2166" s="26" t="inlineStr">
        <is>
          <t>S42</t>
        </is>
      </c>
      <c r="B2166" s="26" t="inlineStr">
        <is>
          <t>조도</t>
        </is>
      </c>
      <c r="C2166" s="26" t="inlineStr">
        <is>
          <t>S42-H남</t>
        </is>
      </c>
      <c r="D2166" s="47" t="n">
        <v>1</v>
      </c>
      <c r="E2166" s="26" t="inlineStr">
        <is>
          <t>측정</t>
        </is>
      </c>
      <c r="F2166" s="26" t="inlineStr">
        <is>
          <t>남</t>
        </is>
      </c>
      <c r="G2166" s="31" t="n">
        <v>1</v>
      </c>
      <c r="H2166" s="30" t="n"/>
      <c r="I2166" s="43" t="n"/>
      <c r="J2166" s="41" t="n"/>
      <c r="K2166" s="41" t="n"/>
      <c r="L2166" s="41" t="n"/>
      <c r="M2166" s="31">
        <f>IF(COUNT(J2166:L2166)=0,"",MEDIAN(J2166:L2166))</f>
        <v/>
      </c>
      <c r="N2166" s="26">
        <f>IF(COUNTIFS($C:$C,$C2166,$D:$D,$D2166,$E:$E,"P0(전)",$M:$M,"&gt;0")&lt;&gt;1,"P0(전) 유효 1개 아님",IF(COUNTIFS($C:$C,$C2166,$D:$D,$D2166,$E:$E,"P0(후)",$M:$M,"&gt;0")&lt;&gt;1,"P0(후) 유효 1개 아님",IF(NOT(AND(ISNUMBER(O2166),ISNUMBER(Q2166),ISNUMBER(I2166))),"시각 결측",IF(Q2166&lt;=O2166,"P0 시각 역전",IF(OR(I2166&lt;O2166,I2166&gt;Q2166),"측정시각 구간 밖","OK")))))</f>
        <v/>
      </c>
      <c r="O2166" s="48">
        <f>IF(COUNTIFS($C:$C,$C2166,$D:$D,$D2166,$E:$E,"P0(전)",$M:$M,"&gt;0")&lt;&gt;1,"",SUMIFS($I:$I,$C:$C,$C2166,$D:$D,$D2166,$E:$E,"P0(전)"))</f>
        <v/>
      </c>
      <c r="P2166" s="31">
        <f>IF(COUNTIFS($C:$C,$C2166,$D:$D,$D2166,$E:$E,"P0(전)",$M:$M,"&gt;0")&lt;&gt;1,"",SUMIFS($M:$M,$C:$C,$C2166,$D:$D,$D2166,$E:$E,"P0(전)"))</f>
        <v/>
      </c>
      <c r="Q2166" s="48">
        <f>IF(COUNTIFS($C:$C,$C2166,$D:$D,$D2166,$E:$E,"P0(후)",$M:$M,"&gt;0")&lt;&gt;1,"",SUMIFS($I:$I,$C:$C,$C2166,$D:$D,$D2166,$E:$E,"P0(후)"))</f>
        <v/>
      </c>
      <c r="R2166" s="31">
        <f>IF(COUNTIFS($C:$C,$C2166,$D:$D,$D2166,$E:$E,"P0(후)",$M:$M,"&gt;0")&lt;&gt;1,"",SUMIFS($M:$M,$C:$C,$C2166,$D:$D,$D2166,$E:$E,"P0(후)"))</f>
        <v/>
      </c>
      <c r="S2166" s="31">
        <f>IF(N2166&lt;&gt;"OK","",P2166+(R2166-P2166)*(I2166-O2166)/(Q2166-O2166))</f>
        <v/>
      </c>
      <c r="T2166" s="31">
        <f>IF(OR(N2166&lt;&gt;"OK",NOT(ISNUMBER(M2166))),"",M2166-S2166)</f>
        <v/>
      </c>
      <c r="U2166" s="49">
        <f>IF(OR(NOT(ISNUMBER(T2166)),IF(ISNUMBER(H2166),H2166,G2166)=0),"",T2166/IF(ISNUMBER(H2166),H2166,G2166))</f>
        <v/>
      </c>
      <c r="V2166" s="49">
        <f>IF(ISNUMBER(U2166),ABS(U2166),"")</f>
        <v/>
      </c>
      <c r="W2166" s="49">
        <f>IF(OR($E2165&lt;&gt;"측정",$C2165&lt;&gt;$C2166,$D2165&lt;&gt;$D2166,NOT(ISNUMBER(M2166)),NOT(ISNUMBER(M2165)),(IF(ISNUMBER(H2166),H2166,G2166)-IF(ISNUMBER(H2165),H2165,G2165))=0),"",(M2166-M2165)/(IF(ISNUMBER(H2166),H2166,G2166)-IF(ISNUMBER(H2165),H2165,G2165)))</f>
        <v/>
      </c>
      <c r="X2166" s="31">
        <f>IF(NOT(AND(ISNUMBER(O2166),ISNUMBER(Q2166))),"",(Q2166-O2166)*1440)</f>
        <v/>
      </c>
      <c r="Y2166" s="29" t="n"/>
      <c r="Z2166" s="29" t="n"/>
      <c r="AA2166" s="29" t="n"/>
      <c r="AB2166" s="32" t="n"/>
      <c r="AC2166" s="32" t="n"/>
    </row>
    <row r="2167">
      <c r="A2167" s="26" t="inlineStr">
        <is>
          <t>S42</t>
        </is>
      </c>
      <c r="B2167" s="26" t="inlineStr">
        <is>
          <t>조도</t>
        </is>
      </c>
      <c r="C2167" s="26" t="inlineStr">
        <is>
          <t>S42-H남</t>
        </is>
      </c>
      <c r="D2167" s="47" t="n">
        <v>1</v>
      </c>
      <c r="E2167" s="26" t="inlineStr">
        <is>
          <t>측정</t>
        </is>
      </c>
      <c r="F2167" s="26" t="inlineStr">
        <is>
          <t>남</t>
        </is>
      </c>
      <c r="G2167" s="31" t="n">
        <v>2</v>
      </c>
      <c r="H2167" s="30" t="n"/>
      <c r="I2167" s="43" t="n"/>
      <c r="J2167" s="41" t="n"/>
      <c r="K2167" s="41" t="n"/>
      <c r="L2167" s="41" t="n"/>
      <c r="M2167" s="31">
        <f>IF(COUNT(J2167:L2167)=0,"",MEDIAN(J2167:L2167))</f>
        <v/>
      </c>
      <c r="N2167" s="26">
        <f>IF(COUNTIFS($C:$C,$C2167,$D:$D,$D2167,$E:$E,"P0(전)",$M:$M,"&gt;0")&lt;&gt;1,"P0(전) 유효 1개 아님",IF(COUNTIFS($C:$C,$C2167,$D:$D,$D2167,$E:$E,"P0(후)",$M:$M,"&gt;0")&lt;&gt;1,"P0(후) 유효 1개 아님",IF(NOT(AND(ISNUMBER(O2167),ISNUMBER(Q2167),ISNUMBER(I2167))),"시각 결측",IF(Q2167&lt;=O2167,"P0 시각 역전",IF(OR(I2167&lt;O2167,I2167&gt;Q2167),"측정시각 구간 밖","OK")))))</f>
        <v/>
      </c>
      <c r="O2167" s="48">
        <f>IF(COUNTIFS($C:$C,$C2167,$D:$D,$D2167,$E:$E,"P0(전)",$M:$M,"&gt;0")&lt;&gt;1,"",SUMIFS($I:$I,$C:$C,$C2167,$D:$D,$D2167,$E:$E,"P0(전)"))</f>
        <v/>
      </c>
      <c r="P2167" s="31">
        <f>IF(COUNTIFS($C:$C,$C2167,$D:$D,$D2167,$E:$E,"P0(전)",$M:$M,"&gt;0")&lt;&gt;1,"",SUMIFS($M:$M,$C:$C,$C2167,$D:$D,$D2167,$E:$E,"P0(전)"))</f>
        <v/>
      </c>
      <c r="Q2167" s="48">
        <f>IF(COUNTIFS($C:$C,$C2167,$D:$D,$D2167,$E:$E,"P0(후)",$M:$M,"&gt;0")&lt;&gt;1,"",SUMIFS($I:$I,$C:$C,$C2167,$D:$D,$D2167,$E:$E,"P0(후)"))</f>
        <v/>
      </c>
      <c r="R2167" s="31">
        <f>IF(COUNTIFS($C:$C,$C2167,$D:$D,$D2167,$E:$E,"P0(후)",$M:$M,"&gt;0")&lt;&gt;1,"",SUMIFS($M:$M,$C:$C,$C2167,$D:$D,$D2167,$E:$E,"P0(후)"))</f>
        <v/>
      </c>
      <c r="S2167" s="31">
        <f>IF(N2167&lt;&gt;"OK","",P2167+(R2167-P2167)*(I2167-O2167)/(Q2167-O2167))</f>
        <v/>
      </c>
      <c r="T2167" s="31">
        <f>IF(OR(N2167&lt;&gt;"OK",NOT(ISNUMBER(M2167))),"",M2167-S2167)</f>
        <v/>
      </c>
      <c r="U2167" s="49">
        <f>IF(OR(NOT(ISNUMBER(T2167)),IF(ISNUMBER(H2167),H2167,G2167)=0),"",T2167/IF(ISNUMBER(H2167),H2167,G2167))</f>
        <v/>
      </c>
      <c r="V2167" s="49">
        <f>IF(ISNUMBER(U2167),ABS(U2167),"")</f>
        <v/>
      </c>
      <c r="W2167" s="49">
        <f>IF(OR($E2166&lt;&gt;"측정",$C2166&lt;&gt;$C2167,$D2166&lt;&gt;$D2167,NOT(ISNUMBER(M2167)),NOT(ISNUMBER(M2166)),(IF(ISNUMBER(H2167),H2167,G2167)-IF(ISNUMBER(H2166),H2166,G2166))=0),"",(M2167-M2166)/(IF(ISNUMBER(H2167),H2167,G2167)-IF(ISNUMBER(H2166),H2166,G2166)))</f>
        <v/>
      </c>
      <c r="X2167" s="31">
        <f>IF(NOT(AND(ISNUMBER(O2167),ISNUMBER(Q2167))),"",(Q2167-O2167)*1440)</f>
        <v/>
      </c>
      <c r="Y2167" s="29" t="n"/>
      <c r="Z2167" s="29" t="n"/>
      <c r="AA2167" s="29" t="n"/>
      <c r="AB2167" s="32" t="n"/>
      <c r="AC2167" s="32" t="n"/>
    </row>
    <row r="2168">
      <c r="A2168" s="26" t="inlineStr">
        <is>
          <t>S42</t>
        </is>
      </c>
      <c r="B2168" s="26" t="inlineStr">
        <is>
          <t>조도</t>
        </is>
      </c>
      <c r="C2168" s="26" t="inlineStr">
        <is>
          <t>S42-H남</t>
        </is>
      </c>
      <c r="D2168" s="47" t="n">
        <v>1</v>
      </c>
      <c r="E2168" s="26" t="inlineStr">
        <is>
          <t>측정</t>
        </is>
      </c>
      <c r="F2168" s="26" t="inlineStr">
        <is>
          <t>남</t>
        </is>
      </c>
      <c r="G2168" s="31" t="n">
        <v>3</v>
      </c>
      <c r="H2168" s="30" t="n"/>
      <c r="I2168" s="43" t="n"/>
      <c r="J2168" s="41" t="n"/>
      <c r="K2168" s="41" t="n"/>
      <c r="L2168" s="41" t="n"/>
      <c r="M2168" s="31">
        <f>IF(COUNT(J2168:L2168)=0,"",MEDIAN(J2168:L2168))</f>
        <v/>
      </c>
      <c r="N2168" s="26">
        <f>IF(COUNTIFS($C:$C,$C2168,$D:$D,$D2168,$E:$E,"P0(전)",$M:$M,"&gt;0")&lt;&gt;1,"P0(전) 유효 1개 아님",IF(COUNTIFS($C:$C,$C2168,$D:$D,$D2168,$E:$E,"P0(후)",$M:$M,"&gt;0")&lt;&gt;1,"P0(후) 유효 1개 아님",IF(NOT(AND(ISNUMBER(O2168),ISNUMBER(Q2168),ISNUMBER(I2168))),"시각 결측",IF(Q2168&lt;=O2168,"P0 시각 역전",IF(OR(I2168&lt;O2168,I2168&gt;Q2168),"측정시각 구간 밖","OK")))))</f>
        <v/>
      </c>
      <c r="O2168" s="48">
        <f>IF(COUNTIFS($C:$C,$C2168,$D:$D,$D2168,$E:$E,"P0(전)",$M:$M,"&gt;0")&lt;&gt;1,"",SUMIFS($I:$I,$C:$C,$C2168,$D:$D,$D2168,$E:$E,"P0(전)"))</f>
        <v/>
      </c>
      <c r="P2168" s="31">
        <f>IF(COUNTIFS($C:$C,$C2168,$D:$D,$D2168,$E:$E,"P0(전)",$M:$M,"&gt;0")&lt;&gt;1,"",SUMIFS($M:$M,$C:$C,$C2168,$D:$D,$D2168,$E:$E,"P0(전)"))</f>
        <v/>
      </c>
      <c r="Q2168" s="48">
        <f>IF(COUNTIFS($C:$C,$C2168,$D:$D,$D2168,$E:$E,"P0(후)",$M:$M,"&gt;0")&lt;&gt;1,"",SUMIFS($I:$I,$C:$C,$C2168,$D:$D,$D2168,$E:$E,"P0(후)"))</f>
        <v/>
      </c>
      <c r="R2168" s="31">
        <f>IF(COUNTIFS($C:$C,$C2168,$D:$D,$D2168,$E:$E,"P0(후)",$M:$M,"&gt;0")&lt;&gt;1,"",SUMIFS($M:$M,$C:$C,$C2168,$D:$D,$D2168,$E:$E,"P0(후)"))</f>
        <v/>
      </c>
      <c r="S2168" s="31">
        <f>IF(N2168&lt;&gt;"OK","",P2168+(R2168-P2168)*(I2168-O2168)/(Q2168-O2168))</f>
        <v/>
      </c>
      <c r="T2168" s="31">
        <f>IF(OR(N2168&lt;&gt;"OK",NOT(ISNUMBER(M2168))),"",M2168-S2168)</f>
        <v/>
      </c>
      <c r="U2168" s="49">
        <f>IF(OR(NOT(ISNUMBER(T2168)),IF(ISNUMBER(H2168),H2168,G2168)=0),"",T2168/IF(ISNUMBER(H2168),H2168,G2168))</f>
        <v/>
      </c>
      <c r="V2168" s="49">
        <f>IF(ISNUMBER(U2168),ABS(U2168),"")</f>
        <v/>
      </c>
      <c r="W2168" s="49">
        <f>IF(OR($E2167&lt;&gt;"측정",$C2167&lt;&gt;$C2168,$D2167&lt;&gt;$D2168,NOT(ISNUMBER(M2168)),NOT(ISNUMBER(M2167)),(IF(ISNUMBER(H2168),H2168,G2168)-IF(ISNUMBER(H2167),H2167,G2167))=0),"",(M2168-M2167)/(IF(ISNUMBER(H2168),H2168,G2168)-IF(ISNUMBER(H2167),H2167,G2167)))</f>
        <v/>
      </c>
      <c r="X2168" s="31">
        <f>IF(NOT(AND(ISNUMBER(O2168),ISNUMBER(Q2168))),"",(Q2168-O2168)*1440)</f>
        <v/>
      </c>
      <c r="Y2168" s="29" t="n"/>
      <c r="Z2168" s="29" t="n"/>
      <c r="AA2168" s="29" t="n"/>
      <c r="AB2168" s="32" t="n"/>
      <c r="AC2168" s="32" t="n"/>
    </row>
    <row r="2169">
      <c r="A2169" s="26" t="inlineStr">
        <is>
          <t>S42</t>
        </is>
      </c>
      <c r="B2169" s="26" t="inlineStr">
        <is>
          <t>조도</t>
        </is>
      </c>
      <c r="C2169" s="26" t="inlineStr">
        <is>
          <t>S42-H남</t>
        </is>
      </c>
      <c r="D2169" s="47" t="n">
        <v>1</v>
      </c>
      <c r="E2169" s="26" t="inlineStr">
        <is>
          <t>측정</t>
        </is>
      </c>
      <c r="F2169" s="26" t="inlineStr">
        <is>
          <t>남</t>
        </is>
      </c>
      <c r="G2169" s="31" t="n">
        <v>4</v>
      </c>
      <c r="H2169" s="30" t="n"/>
      <c r="I2169" s="43" t="n"/>
      <c r="J2169" s="41" t="n"/>
      <c r="K2169" s="41" t="n"/>
      <c r="L2169" s="41" t="n"/>
      <c r="M2169" s="31">
        <f>IF(COUNT(J2169:L2169)=0,"",MEDIAN(J2169:L2169))</f>
        <v/>
      </c>
      <c r="N2169" s="26">
        <f>IF(COUNTIFS($C:$C,$C2169,$D:$D,$D2169,$E:$E,"P0(전)",$M:$M,"&gt;0")&lt;&gt;1,"P0(전) 유효 1개 아님",IF(COUNTIFS($C:$C,$C2169,$D:$D,$D2169,$E:$E,"P0(후)",$M:$M,"&gt;0")&lt;&gt;1,"P0(후) 유효 1개 아님",IF(NOT(AND(ISNUMBER(O2169),ISNUMBER(Q2169),ISNUMBER(I2169))),"시각 결측",IF(Q2169&lt;=O2169,"P0 시각 역전",IF(OR(I2169&lt;O2169,I2169&gt;Q2169),"측정시각 구간 밖","OK")))))</f>
        <v/>
      </c>
      <c r="O2169" s="48">
        <f>IF(COUNTIFS($C:$C,$C2169,$D:$D,$D2169,$E:$E,"P0(전)",$M:$M,"&gt;0")&lt;&gt;1,"",SUMIFS($I:$I,$C:$C,$C2169,$D:$D,$D2169,$E:$E,"P0(전)"))</f>
        <v/>
      </c>
      <c r="P2169" s="31">
        <f>IF(COUNTIFS($C:$C,$C2169,$D:$D,$D2169,$E:$E,"P0(전)",$M:$M,"&gt;0")&lt;&gt;1,"",SUMIFS($M:$M,$C:$C,$C2169,$D:$D,$D2169,$E:$E,"P0(전)"))</f>
        <v/>
      </c>
      <c r="Q2169" s="48">
        <f>IF(COUNTIFS($C:$C,$C2169,$D:$D,$D2169,$E:$E,"P0(후)",$M:$M,"&gt;0")&lt;&gt;1,"",SUMIFS($I:$I,$C:$C,$C2169,$D:$D,$D2169,$E:$E,"P0(후)"))</f>
        <v/>
      </c>
      <c r="R2169" s="31">
        <f>IF(COUNTIFS($C:$C,$C2169,$D:$D,$D2169,$E:$E,"P0(후)",$M:$M,"&gt;0")&lt;&gt;1,"",SUMIFS($M:$M,$C:$C,$C2169,$D:$D,$D2169,$E:$E,"P0(후)"))</f>
        <v/>
      </c>
      <c r="S2169" s="31">
        <f>IF(N2169&lt;&gt;"OK","",P2169+(R2169-P2169)*(I2169-O2169)/(Q2169-O2169))</f>
        <v/>
      </c>
      <c r="T2169" s="31">
        <f>IF(OR(N2169&lt;&gt;"OK",NOT(ISNUMBER(M2169))),"",M2169-S2169)</f>
        <v/>
      </c>
      <c r="U2169" s="49">
        <f>IF(OR(NOT(ISNUMBER(T2169)),IF(ISNUMBER(H2169),H2169,G2169)=0),"",T2169/IF(ISNUMBER(H2169),H2169,G2169))</f>
        <v/>
      </c>
      <c r="V2169" s="49">
        <f>IF(ISNUMBER(U2169),ABS(U2169),"")</f>
        <v/>
      </c>
      <c r="W2169" s="49">
        <f>IF(OR($E2168&lt;&gt;"측정",$C2168&lt;&gt;$C2169,$D2168&lt;&gt;$D2169,NOT(ISNUMBER(M2169)),NOT(ISNUMBER(M2168)),(IF(ISNUMBER(H2169),H2169,G2169)-IF(ISNUMBER(H2168),H2168,G2168))=0),"",(M2169-M2168)/(IF(ISNUMBER(H2169),H2169,G2169)-IF(ISNUMBER(H2168),H2168,G2168)))</f>
        <v/>
      </c>
      <c r="X2169" s="31">
        <f>IF(NOT(AND(ISNUMBER(O2169),ISNUMBER(Q2169))),"",(Q2169-O2169)*1440)</f>
        <v/>
      </c>
      <c r="Y2169" s="29" t="n"/>
      <c r="Z2169" s="29" t="n"/>
      <c r="AA2169" s="29" t="n"/>
      <c r="AB2169" s="32" t="n"/>
      <c r="AC2169" s="32" t="n"/>
    </row>
    <row r="2170">
      <c r="A2170" s="26" t="inlineStr">
        <is>
          <t>S42</t>
        </is>
      </c>
      <c r="B2170" s="26" t="inlineStr">
        <is>
          <t>조도</t>
        </is>
      </c>
      <c r="C2170" s="26" t="inlineStr">
        <is>
          <t>S42-H남</t>
        </is>
      </c>
      <c r="D2170" s="47" t="n">
        <v>1</v>
      </c>
      <c r="E2170" s="26" t="inlineStr">
        <is>
          <t>측정</t>
        </is>
      </c>
      <c r="F2170" s="26" t="inlineStr">
        <is>
          <t>남</t>
        </is>
      </c>
      <c r="G2170" s="31" t="n">
        <v>5</v>
      </c>
      <c r="H2170" s="30" t="n"/>
      <c r="I2170" s="43" t="n"/>
      <c r="J2170" s="41" t="n"/>
      <c r="K2170" s="41" t="n"/>
      <c r="L2170" s="41" t="n"/>
      <c r="M2170" s="31">
        <f>IF(COUNT(J2170:L2170)=0,"",MEDIAN(J2170:L2170))</f>
        <v/>
      </c>
      <c r="N2170" s="26">
        <f>IF(COUNTIFS($C:$C,$C2170,$D:$D,$D2170,$E:$E,"P0(전)",$M:$M,"&gt;0")&lt;&gt;1,"P0(전) 유효 1개 아님",IF(COUNTIFS($C:$C,$C2170,$D:$D,$D2170,$E:$E,"P0(후)",$M:$M,"&gt;0")&lt;&gt;1,"P0(후) 유효 1개 아님",IF(NOT(AND(ISNUMBER(O2170),ISNUMBER(Q2170),ISNUMBER(I2170))),"시각 결측",IF(Q2170&lt;=O2170,"P0 시각 역전",IF(OR(I2170&lt;O2170,I2170&gt;Q2170),"측정시각 구간 밖","OK")))))</f>
        <v/>
      </c>
      <c r="O2170" s="48">
        <f>IF(COUNTIFS($C:$C,$C2170,$D:$D,$D2170,$E:$E,"P0(전)",$M:$M,"&gt;0")&lt;&gt;1,"",SUMIFS($I:$I,$C:$C,$C2170,$D:$D,$D2170,$E:$E,"P0(전)"))</f>
        <v/>
      </c>
      <c r="P2170" s="31">
        <f>IF(COUNTIFS($C:$C,$C2170,$D:$D,$D2170,$E:$E,"P0(전)",$M:$M,"&gt;0")&lt;&gt;1,"",SUMIFS($M:$M,$C:$C,$C2170,$D:$D,$D2170,$E:$E,"P0(전)"))</f>
        <v/>
      </c>
      <c r="Q2170" s="48">
        <f>IF(COUNTIFS($C:$C,$C2170,$D:$D,$D2170,$E:$E,"P0(후)",$M:$M,"&gt;0")&lt;&gt;1,"",SUMIFS($I:$I,$C:$C,$C2170,$D:$D,$D2170,$E:$E,"P0(후)"))</f>
        <v/>
      </c>
      <c r="R2170" s="31">
        <f>IF(COUNTIFS($C:$C,$C2170,$D:$D,$D2170,$E:$E,"P0(후)",$M:$M,"&gt;0")&lt;&gt;1,"",SUMIFS($M:$M,$C:$C,$C2170,$D:$D,$D2170,$E:$E,"P0(후)"))</f>
        <v/>
      </c>
      <c r="S2170" s="31">
        <f>IF(N2170&lt;&gt;"OK","",P2170+(R2170-P2170)*(I2170-O2170)/(Q2170-O2170))</f>
        <v/>
      </c>
      <c r="T2170" s="31">
        <f>IF(OR(N2170&lt;&gt;"OK",NOT(ISNUMBER(M2170))),"",M2170-S2170)</f>
        <v/>
      </c>
      <c r="U2170" s="49">
        <f>IF(OR(NOT(ISNUMBER(T2170)),IF(ISNUMBER(H2170),H2170,G2170)=0),"",T2170/IF(ISNUMBER(H2170),H2170,G2170))</f>
        <v/>
      </c>
      <c r="V2170" s="49">
        <f>IF(ISNUMBER(U2170),ABS(U2170),"")</f>
        <v/>
      </c>
      <c r="W2170" s="49">
        <f>IF(OR($E2169&lt;&gt;"측정",$C2169&lt;&gt;$C2170,$D2169&lt;&gt;$D2170,NOT(ISNUMBER(M2170)),NOT(ISNUMBER(M2169)),(IF(ISNUMBER(H2170),H2170,G2170)-IF(ISNUMBER(H2169),H2169,G2169))=0),"",(M2170-M2169)/(IF(ISNUMBER(H2170),H2170,G2170)-IF(ISNUMBER(H2169),H2169,G2169)))</f>
        <v/>
      </c>
      <c r="X2170" s="31">
        <f>IF(NOT(AND(ISNUMBER(O2170),ISNUMBER(Q2170))),"",(Q2170-O2170)*1440)</f>
        <v/>
      </c>
      <c r="Y2170" s="29" t="n"/>
      <c r="Z2170" s="29" t="n"/>
      <c r="AA2170" s="29" t="n"/>
      <c r="AB2170" s="32" t="n"/>
      <c r="AC2170" s="32" t="n"/>
    </row>
    <row r="2171">
      <c r="A2171" s="26" t="inlineStr">
        <is>
          <t>S42</t>
        </is>
      </c>
      <c r="B2171" s="26" t="inlineStr">
        <is>
          <t>조도</t>
        </is>
      </c>
      <c r="C2171" s="26" t="inlineStr">
        <is>
          <t>S42-H남</t>
        </is>
      </c>
      <c r="D2171" s="47" t="n">
        <v>1</v>
      </c>
      <c r="E2171" s="26" t="inlineStr">
        <is>
          <t>측정</t>
        </is>
      </c>
      <c r="F2171" s="26" t="inlineStr">
        <is>
          <t>남</t>
        </is>
      </c>
      <c r="G2171" s="31" t="n">
        <v>6</v>
      </c>
      <c r="H2171" s="30" t="n"/>
      <c r="I2171" s="43" t="n"/>
      <c r="J2171" s="41" t="n"/>
      <c r="K2171" s="41" t="n"/>
      <c r="L2171" s="41" t="n"/>
      <c r="M2171" s="31">
        <f>IF(COUNT(J2171:L2171)=0,"",MEDIAN(J2171:L2171))</f>
        <v/>
      </c>
      <c r="N2171" s="26">
        <f>IF(COUNTIFS($C:$C,$C2171,$D:$D,$D2171,$E:$E,"P0(전)",$M:$M,"&gt;0")&lt;&gt;1,"P0(전) 유효 1개 아님",IF(COUNTIFS($C:$C,$C2171,$D:$D,$D2171,$E:$E,"P0(후)",$M:$M,"&gt;0")&lt;&gt;1,"P0(후) 유효 1개 아님",IF(NOT(AND(ISNUMBER(O2171),ISNUMBER(Q2171),ISNUMBER(I2171))),"시각 결측",IF(Q2171&lt;=O2171,"P0 시각 역전",IF(OR(I2171&lt;O2171,I2171&gt;Q2171),"측정시각 구간 밖","OK")))))</f>
        <v/>
      </c>
      <c r="O2171" s="48">
        <f>IF(COUNTIFS($C:$C,$C2171,$D:$D,$D2171,$E:$E,"P0(전)",$M:$M,"&gt;0")&lt;&gt;1,"",SUMIFS($I:$I,$C:$C,$C2171,$D:$D,$D2171,$E:$E,"P0(전)"))</f>
        <v/>
      </c>
      <c r="P2171" s="31">
        <f>IF(COUNTIFS($C:$C,$C2171,$D:$D,$D2171,$E:$E,"P0(전)",$M:$M,"&gt;0")&lt;&gt;1,"",SUMIFS($M:$M,$C:$C,$C2171,$D:$D,$D2171,$E:$E,"P0(전)"))</f>
        <v/>
      </c>
      <c r="Q2171" s="48">
        <f>IF(COUNTIFS($C:$C,$C2171,$D:$D,$D2171,$E:$E,"P0(후)",$M:$M,"&gt;0")&lt;&gt;1,"",SUMIFS($I:$I,$C:$C,$C2171,$D:$D,$D2171,$E:$E,"P0(후)"))</f>
        <v/>
      </c>
      <c r="R2171" s="31">
        <f>IF(COUNTIFS($C:$C,$C2171,$D:$D,$D2171,$E:$E,"P0(후)",$M:$M,"&gt;0")&lt;&gt;1,"",SUMIFS($M:$M,$C:$C,$C2171,$D:$D,$D2171,$E:$E,"P0(후)"))</f>
        <v/>
      </c>
      <c r="S2171" s="31">
        <f>IF(N2171&lt;&gt;"OK","",P2171+(R2171-P2171)*(I2171-O2171)/(Q2171-O2171))</f>
        <v/>
      </c>
      <c r="T2171" s="31">
        <f>IF(OR(N2171&lt;&gt;"OK",NOT(ISNUMBER(M2171))),"",M2171-S2171)</f>
        <v/>
      </c>
      <c r="U2171" s="49">
        <f>IF(OR(NOT(ISNUMBER(T2171)),IF(ISNUMBER(H2171),H2171,G2171)=0),"",T2171/IF(ISNUMBER(H2171),H2171,G2171))</f>
        <v/>
      </c>
      <c r="V2171" s="49">
        <f>IF(ISNUMBER(U2171),ABS(U2171),"")</f>
        <v/>
      </c>
      <c r="W2171" s="49">
        <f>IF(OR($E2170&lt;&gt;"측정",$C2170&lt;&gt;$C2171,$D2170&lt;&gt;$D2171,NOT(ISNUMBER(M2171)),NOT(ISNUMBER(M2170)),(IF(ISNUMBER(H2171),H2171,G2171)-IF(ISNUMBER(H2170),H2170,G2170))=0),"",(M2171-M2170)/(IF(ISNUMBER(H2171),H2171,G2171)-IF(ISNUMBER(H2170),H2170,G2170)))</f>
        <v/>
      </c>
      <c r="X2171" s="31">
        <f>IF(NOT(AND(ISNUMBER(O2171),ISNUMBER(Q2171))),"",(Q2171-O2171)*1440)</f>
        <v/>
      </c>
      <c r="Y2171" s="29" t="n"/>
      <c r="Z2171" s="29" t="n"/>
      <c r="AA2171" s="29" t="n"/>
      <c r="AB2171" s="32" t="n"/>
      <c r="AC2171" s="32" t="n"/>
    </row>
    <row r="2172">
      <c r="A2172" s="26" t="inlineStr">
        <is>
          <t>S42</t>
        </is>
      </c>
      <c r="B2172" s="26" t="inlineStr">
        <is>
          <t>조도</t>
        </is>
      </c>
      <c r="C2172" s="26" t="inlineStr">
        <is>
          <t>S42-H남</t>
        </is>
      </c>
      <c r="D2172" s="47" t="n">
        <v>1</v>
      </c>
      <c r="E2172" s="26" t="inlineStr">
        <is>
          <t>측정</t>
        </is>
      </c>
      <c r="F2172" s="26" t="inlineStr">
        <is>
          <t>남</t>
        </is>
      </c>
      <c r="G2172" s="31" t="n">
        <v>7</v>
      </c>
      <c r="H2172" s="30" t="n"/>
      <c r="I2172" s="43" t="n"/>
      <c r="J2172" s="41" t="n"/>
      <c r="K2172" s="41" t="n"/>
      <c r="L2172" s="41" t="n"/>
      <c r="M2172" s="31">
        <f>IF(COUNT(J2172:L2172)=0,"",MEDIAN(J2172:L2172))</f>
        <v/>
      </c>
      <c r="N2172" s="26">
        <f>IF(COUNTIFS($C:$C,$C2172,$D:$D,$D2172,$E:$E,"P0(전)",$M:$M,"&gt;0")&lt;&gt;1,"P0(전) 유효 1개 아님",IF(COUNTIFS($C:$C,$C2172,$D:$D,$D2172,$E:$E,"P0(후)",$M:$M,"&gt;0")&lt;&gt;1,"P0(후) 유효 1개 아님",IF(NOT(AND(ISNUMBER(O2172),ISNUMBER(Q2172),ISNUMBER(I2172))),"시각 결측",IF(Q2172&lt;=O2172,"P0 시각 역전",IF(OR(I2172&lt;O2172,I2172&gt;Q2172),"측정시각 구간 밖","OK")))))</f>
        <v/>
      </c>
      <c r="O2172" s="48">
        <f>IF(COUNTIFS($C:$C,$C2172,$D:$D,$D2172,$E:$E,"P0(전)",$M:$M,"&gt;0")&lt;&gt;1,"",SUMIFS($I:$I,$C:$C,$C2172,$D:$D,$D2172,$E:$E,"P0(전)"))</f>
        <v/>
      </c>
      <c r="P2172" s="31">
        <f>IF(COUNTIFS($C:$C,$C2172,$D:$D,$D2172,$E:$E,"P0(전)",$M:$M,"&gt;0")&lt;&gt;1,"",SUMIFS($M:$M,$C:$C,$C2172,$D:$D,$D2172,$E:$E,"P0(전)"))</f>
        <v/>
      </c>
      <c r="Q2172" s="48">
        <f>IF(COUNTIFS($C:$C,$C2172,$D:$D,$D2172,$E:$E,"P0(후)",$M:$M,"&gt;0")&lt;&gt;1,"",SUMIFS($I:$I,$C:$C,$C2172,$D:$D,$D2172,$E:$E,"P0(후)"))</f>
        <v/>
      </c>
      <c r="R2172" s="31">
        <f>IF(COUNTIFS($C:$C,$C2172,$D:$D,$D2172,$E:$E,"P0(후)",$M:$M,"&gt;0")&lt;&gt;1,"",SUMIFS($M:$M,$C:$C,$C2172,$D:$D,$D2172,$E:$E,"P0(후)"))</f>
        <v/>
      </c>
      <c r="S2172" s="31">
        <f>IF(N2172&lt;&gt;"OK","",P2172+(R2172-P2172)*(I2172-O2172)/(Q2172-O2172))</f>
        <v/>
      </c>
      <c r="T2172" s="31">
        <f>IF(OR(N2172&lt;&gt;"OK",NOT(ISNUMBER(M2172))),"",M2172-S2172)</f>
        <v/>
      </c>
      <c r="U2172" s="49">
        <f>IF(OR(NOT(ISNUMBER(T2172)),IF(ISNUMBER(H2172),H2172,G2172)=0),"",T2172/IF(ISNUMBER(H2172),H2172,G2172))</f>
        <v/>
      </c>
      <c r="V2172" s="49">
        <f>IF(ISNUMBER(U2172),ABS(U2172),"")</f>
        <v/>
      </c>
      <c r="W2172" s="49">
        <f>IF(OR($E2171&lt;&gt;"측정",$C2171&lt;&gt;$C2172,$D2171&lt;&gt;$D2172,NOT(ISNUMBER(M2172)),NOT(ISNUMBER(M2171)),(IF(ISNUMBER(H2172),H2172,G2172)-IF(ISNUMBER(H2171),H2171,G2171))=0),"",(M2172-M2171)/(IF(ISNUMBER(H2172),H2172,G2172)-IF(ISNUMBER(H2171),H2171,G2171)))</f>
        <v/>
      </c>
      <c r="X2172" s="31">
        <f>IF(NOT(AND(ISNUMBER(O2172),ISNUMBER(Q2172))),"",(Q2172-O2172)*1440)</f>
        <v/>
      </c>
      <c r="Y2172" s="29" t="n"/>
      <c r="Z2172" s="29" t="n"/>
      <c r="AA2172" s="29" t="n"/>
      <c r="AB2172" s="32" t="n"/>
      <c r="AC2172" s="32" t="n"/>
    </row>
    <row r="2173">
      <c r="A2173" s="26" t="inlineStr">
        <is>
          <t>S42</t>
        </is>
      </c>
      <c r="B2173" s="26" t="inlineStr">
        <is>
          <t>조도</t>
        </is>
      </c>
      <c r="C2173" s="26" t="inlineStr">
        <is>
          <t>S42-H남</t>
        </is>
      </c>
      <c r="D2173" s="47" t="n">
        <v>1</v>
      </c>
      <c r="E2173" s="26" t="inlineStr">
        <is>
          <t>측정</t>
        </is>
      </c>
      <c r="F2173" s="26" t="inlineStr">
        <is>
          <t>남</t>
        </is>
      </c>
      <c r="G2173" s="31" t="n">
        <v>8</v>
      </c>
      <c r="H2173" s="30" t="n"/>
      <c r="I2173" s="43" t="n"/>
      <c r="J2173" s="41" t="n"/>
      <c r="K2173" s="41" t="n"/>
      <c r="L2173" s="41" t="n"/>
      <c r="M2173" s="31">
        <f>IF(COUNT(J2173:L2173)=0,"",MEDIAN(J2173:L2173))</f>
        <v/>
      </c>
      <c r="N2173" s="26">
        <f>IF(COUNTIFS($C:$C,$C2173,$D:$D,$D2173,$E:$E,"P0(전)",$M:$M,"&gt;0")&lt;&gt;1,"P0(전) 유효 1개 아님",IF(COUNTIFS($C:$C,$C2173,$D:$D,$D2173,$E:$E,"P0(후)",$M:$M,"&gt;0")&lt;&gt;1,"P0(후) 유효 1개 아님",IF(NOT(AND(ISNUMBER(O2173),ISNUMBER(Q2173),ISNUMBER(I2173))),"시각 결측",IF(Q2173&lt;=O2173,"P0 시각 역전",IF(OR(I2173&lt;O2173,I2173&gt;Q2173),"측정시각 구간 밖","OK")))))</f>
        <v/>
      </c>
      <c r="O2173" s="48">
        <f>IF(COUNTIFS($C:$C,$C2173,$D:$D,$D2173,$E:$E,"P0(전)",$M:$M,"&gt;0")&lt;&gt;1,"",SUMIFS($I:$I,$C:$C,$C2173,$D:$D,$D2173,$E:$E,"P0(전)"))</f>
        <v/>
      </c>
      <c r="P2173" s="31">
        <f>IF(COUNTIFS($C:$C,$C2173,$D:$D,$D2173,$E:$E,"P0(전)",$M:$M,"&gt;0")&lt;&gt;1,"",SUMIFS($M:$M,$C:$C,$C2173,$D:$D,$D2173,$E:$E,"P0(전)"))</f>
        <v/>
      </c>
      <c r="Q2173" s="48">
        <f>IF(COUNTIFS($C:$C,$C2173,$D:$D,$D2173,$E:$E,"P0(후)",$M:$M,"&gt;0")&lt;&gt;1,"",SUMIFS($I:$I,$C:$C,$C2173,$D:$D,$D2173,$E:$E,"P0(후)"))</f>
        <v/>
      </c>
      <c r="R2173" s="31">
        <f>IF(COUNTIFS($C:$C,$C2173,$D:$D,$D2173,$E:$E,"P0(후)",$M:$M,"&gt;0")&lt;&gt;1,"",SUMIFS($M:$M,$C:$C,$C2173,$D:$D,$D2173,$E:$E,"P0(후)"))</f>
        <v/>
      </c>
      <c r="S2173" s="31">
        <f>IF(N2173&lt;&gt;"OK","",P2173+(R2173-P2173)*(I2173-O2173)/(Q2173-O2173))</f>
        <v/>
      </c>
      <c r="T2173" s="31">
        <f>IF(OR(N2173&lt;&gt;"OK",NOT(ISNUMBER(M2173))),"",M2173-S2173)</f>
        <v/>
      </c>
      <c r="U2173" s="49">
        <f>IF(OR(NOT(ISNUMBER(T2173)),IF(ISNUMBER(H2173),H2173,G2173)=0),"",T2173/IF(ISNUMBER(H2173),H2173,G2173))</f>
        <v/>
      </c>
      <c r="V2173" s="49">
        <f>IF(ISNUMBER(U2173),ABS(U2173),"")</f>
        <v/>
      </c>
      <c r="W2173" s="49">
        <f>IF(OR($E2172&lt;&gt;"측정",$C2172&lt;&gt;$C2173,$D2172&lt;&gt;$D2173,NOT(ISNUMBER(M2173)),NOT(ISNUMBER(M2172)),(IF(ISNUMBER(H2173),H2173,G2173)-IF(ISNUMBER(H2172),H2172,G2172))=0),"",(M2173-M2172)/(IF(ISNUMBER(H2173),H2173,G2173)-IF(ISNUMBER(H2172),H2172,G2172)))</f>
        <v/>
      </c>
      <c r="X2173" s="31">
        <f>IF(NOT(AND(ISNUMBER(O2173),ISNUMBER(Q2173))),"",(Q2173-O2173)*1440)</f>
        <v/>
      </c>
      <c r="Y2173" s="29" t="n"/>
      <c r="Z2173" s="29" t="n"/>
      <c r="AA2173" s="29" t="n"/>
      <c r="AB2173" s="32" t="n"/>
      <c r="AC2173" s="32" t="n"/>
    </row>
    <row r="2174">
      <c r="A2174" s="26" t="inlineStr">
        <is>
          <t>S42</t>
        </is>
      </c>
      <c r="B2174" s="26" t="inlineStr">
        <is>
          <t>조도</t>
        </is>
      </c>
      <c r="C2174" s="26" t="inlineStr">
        <is>
          <t>S42-H남</t>
        </is>
      </c>
      <c r="D2174" s="47" t="n">
        <v>1</v>
      </c>
      <c r="E2174" s="26" t="inlineStr">
        <is>
          <t>측정</t>
        </is>
      </c>
      <c r="F2174" s="26" t="inlineStr">
        <is>
          <t>남</t>
        </is>
      </c>
      <c r="G2174" s="31" t="n">
        <v>9</v>
      </c>
      <c r="H2174" s="30" t="n"/>
      <c r="I2174" s="43" t="n"/>
      <c r="J2174" s="41" t="n"/>
      <c r="K2174" s="41" t="n"/>
      <c r="L2174" s="41" t="n"/>
      <c r="M2174" s="31">
        <f>IF(COUNT(J2174:L2174)=0,"",MEDIAN(J2174:L2174))</f>
        <v/>
      </c>
      <c r="N2174" s="26">
        <f>IF(COUNTIFS($C:$C,$C2174,$D:$D,$D2174,$E:$E,"P0(전)",$M:$M,"&gt;0")&lt;&gt;1,"P0(전) 유효 1개 아님",IF(COUNTIFS($C:$C,$C2174,$D:$D,$D2174,$E:$E,"P0(후)",$M:$M,"&gt;0")&lt;&gt;1,"P0(후) 유효 1개 아님",IF(NOT(AND(ISNUMBER(O2174),ISNUMBER(Q2174),ISNUMBER(I2174))),"시각 결측",IF(Q2174&lt;=O2174,"P0 시각 역전",IF(OR(I2174&lt;O2174,I2174&gt;Q2174),"측정시각 구간 밖","OK")))))</f>
        <v/>
      </c>
      <c r="O2174" s="48">
        <f>IF(COUNTIFS($C:$C,$C2174,$D:$D,$D2174,$E:$E,"P0(전)",$M:$M,"&gt;0")&lt;&gt;1,"",SUMIFS($I:$I,$C:$C,$C2174,$D:$D,$D2174,$E:$E,"P0(전)"))</f>
        <v/>
      </c>
      <c r="P2174" s="31">
        <f>IF(COUNTIFS($C:$C,$C2174,$D:$D,$D2174,$E:$E,"P0(전)",$M:$M,"&gt;0")&lt;&gt;1,"",SUMIFS($M:$M,$C:$C,$C2174,$D:$D,$D2174,$E:$E,"P0(전)"))</f>
        <v/>
      </c>
      <c r="Q2174" s="48">
        <f>IF(COUNTIFS($C:$C,$C2174,$D:$D,$D2174,$E:$E,"P0(후)",$M:$M,"&gt;0")&lt;&gt;1,"",SUMIFS($I:$I,$C:$C,$C2174,$D:$D,$D2174,$E:$E,"P0(후)"))</f>
        <v/>
      </c>
      <c r="R2174" s="31">
        <f>IF(COUNTIFS($C:$C,$C2174,$D:$D,$D2174,$E:$E,"P0(후)",$M:$M,"&gt;0")&lt;&gt;1,"",SUMIFS($M:$M,$C:$C,$C2174,$D:$D,$D2174,$E:$E,"P0(후)"))</f>
        <v/>
      </c>
      <c r="S2174" s="31">
        <f>IF(N2174&lt;&gt;"OK","",P2174+(R2174-P2174)*(I2174-O2174)/(Q2174-O2174))</f>
        <v/>
      </c>
      <c r="T2174" s="31">
        <f>IF(OR(N2174&lt;&gt;"OK",NOT(ISNUMBER(M2174))),"",M2174-S2174)</f>
        <v/>
      </c>
      <c r="U2174" s="49">
        <f>IF(OR(NOT(ISNUMBER(T2174)),IF(ISNUMBER(H2174),H2174,G2174)=0),"",T2174/IF(ISNUMBER(H2174),H2174,G2174))</f>
        <v/>
      </c>
      <c r="V2174" s="49">
        <f>IF(ISNUMBER(U2174),ABS(U2174),"")</f>
        <v/>
      </c>
      <c r="W2174" s="49">
        <f>IF(OR($E2173&lt;&gt;"측정",$C2173&lt;&gt;$C2174,$D2173&lt;&gt;$D2174,NOT(ISNUMBER(M2174)),NOT(ISNUMBER(M2173)),(IF(ISNUMBER(H2174),H2174,G2174)-IF(ISNUMBER(H2173),H2173,G2173))=0),"",(M2174-M2173)/(IF(ISNUMBER(H2174),H2174,G2174)-IF(ISNUMBER(H2173),H2173,G2173)))</f>
        <v/>
      </c>
      <c r="X2174" s="31">
        <f>IF(NOT(AND(ISNUMBER(O2174),ISNUMBER(Q2174))),"",(Q2174-O2174)*1440)</f>
        <v/>
      </c>
      <c r="Y2174" s="29" t="n"/>
      <c r="Z2174" s="29" t="n"/>
      <c r="AA2174" s="29" t="n"/>
      <c r="AB2174" s="32" t="n"/>
      <c r="AC2174" s="32" t="n"/>
    </row>
    <row r="2175">
      <c r="A2175" s="26" t="inlineStr">
        <is>
          <t>S42</t>
        </is>
      </c>
      <c r="B2175" s="26" t="inlineStr">
        <is>
          <t>조도</t>
        </is>
      </c>
      <c r="C2175" s="26" t="inlineStr">
        <is>
          <t>S42-H남</t>
        </is>
      </c>
      <c r="D2175" s="47" t="n">
        <v>1</v>
      </c>
      <c r="E2175" s="26" t="inlineStr">
        <is>
          <t>측정</t>
        </is>
      </c>
      <c r="F2175" s="26" t="inlineStr">
        <is>
          <t>남</t>
        </is>
      </c>
      <c r="G2175" s="31" t="n">
        <v>10</v>
      </c>
      <c r="H2175" s="30" t="n"/>
      <c r="I2175" s="43" t="n"/>
      <c r="J2175" s="41" t="n"/>
      <c r="K2175" s="41" t="n"/>
      <c r="L2175" s="41" t="n"/>
      <c r="M2175" s="31">
        <f>IF(COUNT(J2175:L2175)=0,"",MEDIAN(J2175:L2175))</f>
        <v/>
      </c>
      <c r="N2175" s="26">
        <f>IF(COUNTIFS($C:$C,$C2175,$D:$D,$D2175,$E:$E,"P0(전)",$M:$M,"&gt;0")&lt;&gt;1,"P0(전) 유효 1개 아님",IF(COUNTIFS($C:$C,$C2175,$D:$D,$D2175,$E:$E,"P0(후)",$M:$M,"&gt;0")&lt;&gt;1,"P0(후) 유효 1개 아님",IF(NOT(AND(ISNUMBER(O2175),ISNUMBER(Q2175),ISNUMBER(I2175))),"시각 결측",IF(Q2175&lt;=O2175,"P0 시각 역전",IF(OR(I2175&lt;O2175,I2175&gt;Q2175),"측정시각 구간 밖","OK")))))</f>
        <v/>
      </c>
      <c r="O2175" s="48">
        <f>IF(COUNTIFS($C:$C,$C2175,$D:$D,$D2175,$E:$E,"P0(전)",$M:$M,"&gt;0")&lt;&gt;1,"",SUMIFS($I:$I,$C:$C,$C2175,$D:$D,$D2175,$E:$E,"P0(전)"))</f>
        <v/>
      </c>
      <c r="P2175" s="31">
        <f>IF(COUNTIFS($C:$C,$C2175,$D:$D,$D2175,$E:$E,"P0(전)",$M:$M,"&gt;0")&lt;&gt;1,"",SUMIFS($M:$M,$C:$C,$C2175,$D:$D,$D2175,$E:$E,"P0(전)"))</f>
        <v/>
      </c>
      <c r="Q2175" s="48">
        <f>IF(COUNTIFS($C:$C,$C2175,$D:$D,$D2175,$E:$E,"P0(후)",$M:$M,"&gt;0")&lt;&gt;1,"",SUMIFS($I:$I,$C:$C,$C2175,$D:$D,$D2175,$E:$E,"P0(후)"))</f>
        <v/>
      </c>
      <c r="R2175" s="31">
        <f>IF(COUNTIFS($C:$C,$C2175,$D:$D,$D2175,$E:$E,"P0(후)",$M:$M,"&gt;0")&lt;&gt;1,"",SUMIFS($M:$M,$C:$C,$C2175,$D:$D,$D2175,$E:$E,"P0(후)"))</f>
        <v/>
      </c>
      <c r="S2175" s="31">
        <f>IF(N2175&lt;&gt;"OK","",P2175+(R2175-P2175)*(I2175-O2175)/(Q2175-O2175))</f>
        <v/>
      </c>
      <c r="T2175" s="31">
        <f>IF(OR(N2175&lt;&gt;"OK",NOT(ISNUMBER(M2175))),"",M2175-S2175)</f>
        <v/>
      </c>
      <c r="U2175" s="49">
        <f>IF(OR(NOT(ISNUMBER(T2175)),IF(ISNUMBER(H2175),H2175,G2175)=0),"",T2175/IF(ISNUMBER(H2175),H2175,G2175))</f>
        <v/>
      </c>
      <c r="V2175" s="49">
        <f>IF(ISNUMBER(U2175),ABS(U2175),"")</f>
        <v/>
      </c>
      <c r="W2175" s="49">
        <f>IF(OR($E2174&lt;&gt;"측정",$C2174&lt;&gt;$C2175,$D2174&lt;&gt;$D2175,NOT(ISNUMBER(M2175)),NOT(ISNUMBER(M2174)),(IF(ISNUMBER(H2175),H2175,G2175)-IF(ISNUMBER(H2174),H2174,G2174))=0),"",(M2175-M2174)/(IF(ISNUMBER(H2175),H2175,G2175)-IF(ISNUMBER(H2174),H2174,G2174)))</f>
        <v/>
      </c>
      <c r="X2175" s="31">
        <f>IF(NOT(AND(ISNUMBER(O2175),ISNUMBER(Q2175))),"",(Q2175-O2175)*1440)</f>
        <v/>
      </c>
      <c r="Y2175" s="29" t="n"/>
      <c r="Z2175" s="29" t="n"/>
      <c r="AA2175" s="29" t="n"/>
      <c r="AB2175" s="32" t="n"/>
      <c r="AC2175" s="32" t="n"/>
    </row>
    <row r="2176">
      <c r="A2176" s="44" t="inlineStr">
        <is>
          <t>S42</t>
        </is>
      </c>
      <c r="B2176" s="44" t="inlineStr">
        <is>
          <t>조도</t>
        </is>
      </c>
      <c r="C2176" s="44" t="inlineStr">
        <is>
          <t>S42-H남</t>
        </is>
      </c>
      <c r="D2176" s="45" t="n">
        <v>1</v>
      </c>
      <c r="E2176" s="44" t="inlineStr">
        <is>
          <t>P0(후)</t>
        </is>
      </c>
      <c r="F2176" s="44" t="inlineStr">
        <is>
          <t>남</t>
        </is>
      </c>
      <c r="G2176" s="46" t="n"/>
      <c r="H2176" s="30" t="n"/>
      <c r="I2176" s="43" t="n"/>
      <c r="J2176" s="41" t="n"/>
      <c r="K2176" s="41" t="n"/>
      <c r="L2176" s="41" t="n"/>
      <c r="M2176" s="31">
        <f>IF(COUNT(J2176:L2176)=0,"",MEDIAN(J2176:L2176))</f>
        <v/>
      </c>
      <c r="N2176" s="38" t="n"/>
      <c r="O2176" s="38" t="n"/>
      <c r="P2176" s="38" t="n"/>
      <c r="Q2176" s="38" t="n"/>
      <c r="R2176" s="38" t="n"/>
      <c r="S2176" s="38" t="n"/>
      <c r="T2176" s="38" t="n"/>
      <c r="U2176" s="38" t="n"/>
      <c r="V2176" s="38" t="n"/>
      <c r="W2176" s="38" t="n"/>
      <c r="X2176" s="38" t="n"/>
      <c r="Y2176" s="29" t="n"/>
      <c r="Z2176" s="29" t="n"/>
      <c r="AA2176" s="29" t="n"/>
      <c r="AB2176" s="32" t="n"/>
      <c r="AC2176" s="32" t="n"/>
    </row>
    <row r="2177">
      <c r="A2177" s="44" t="inlineStr">
        <is>
          <t>S42</t>
        </is>
      </c>
      <c r="B2177" s="44" t="inlineStr">
        <is>
          <t>조도</t>
        </is>
      </c>
      <c r="C2177" s="44" t="inlineStr">
        <is>
          <t>S42-H북</t>
        </is>
      </c>
      <c r="D2177" s="45" t="n">
        <v>1</v>
      </c>
      <c r="E2177" s="44" t="inlineStr">
        <is>
          <t>P0(전)</t>
        </is>
      </c>
      <c r="F2177" s="44" t="inlineStr">
        <is>
          <t>북</t>
        </is>
      </c>
      <c r="G2177" s="46" t="n"/>
      <c r="H2177" s="30" t="n"/>
      <c r="I2177" s="43" t="n"/>
      <c r="J2177" s="41" t="n"/>
      <c r="K2177" s="41" t="n"/>
      <c r="L2177" s="41" t="n"/>
      <c r="M2177" s="31">
        <f>IF(COUNT(J2177:L2177)=0,"",MEDIAN(J2177:L2177))</f>
        <v/>
      </c>
      <c r="N2177" s="38" t="n"/>
      <c r="O2177" s="38" t="n"/>
      <c r="P2177" s="38" t="n"/>
      <c r="Q2177" s="38" t="n"/>
      <c r="R2177" s="38" t="n"/>
      <c r="S2177" s="38" t="n"/>
      <c r="T2177" s="38" t="n"/>
      <c r="U2177" s="38" t="n"/>
      <c r="V2177" s="38" t="n"/>
      <c r="W2177" s="38" t="n"/>
      <c r="X2177" s="38" t="n"/>
      <c r="Y2177" s="29" t="n"/>
      <c r="Z2177" s="29" t="n"/>
      <c r="AA2177" s="29" t="n"/>
      <c r="AB2177" s="32" t="n"/>
      <c r="AC2177" s="32" t="n"/>
    </row>
    <row r="2178">
      <c r="A2178" s="26" t="inlineStr">
        <is>
          <t>S42</t>
        </is>
      </c>
      <c r="B2178" s="26" t="inlineStr">
        <is>
          <t>조도</t>
        </is>
      </c>
      <c r="C2178" s="26" t="inlineStr">
        <is>
          <t>S42-H북</t>
        </is>
      </c>
      <c r="D2178" s="47" t="n">
        <v>1</v>
      </c>
      <c r="E2178" s="26" t="inlineStr">
        <is>
          <t>측정</t>
        </is>
      </c>
      <c r="F2178" s="26" t="inlineStr">
        <is>
          <t>북</t>
        </is>
      </c>
      <c r="G2178" s="31" t="n">
        <v>0.5</v>
      </c>
      <c r="H2178" s="30" t="n"/>
      <c r="I2178" s="43" t="n"/>
      <c r="J2178" s="41" t="n"/>
      <c r="K2178" s="41" t="n"/>
      <c r="L2178" s="41" t="n"/>
      <c r="M2178" s="31">
        <f>IF(COUNT(J2178:L2178)=0,"",MEDIAN(J2178:L2178))</f>
        <v/>
      </c>
      <c r="N2178" s="26">
        <f>IF(COUNTIFS($C:$C,$C2178,$D:$D,$D2178,$E:$E,"P0(전)",$M:$M,"&gt;0")&lt;&gt;1,"P0(전) 유효 1개 아님",IF(COUNTIFS($C:$C,$C2178,$D:$D,$D2178,$E:$E,"P0(후)",$M:$M,"&gt;0")&lt;&gt;1,"P0(후) 유효 1개 아님",IF(NOT(AND(ISNUMBER(O2178),ISNUMBER(Q2178),ISNUMBER(I2178))),"시각 결측",IF(Q2178&lt;=O2178,"P0 시각 역전",IF(OR(I2178&lt;O2178,I2178&gt;Q2178),"측정시각 구간 밖","OK")))))</f>
        <v/>
      </c>
      <c r="O2178" s="48">
        <f>IF(COUNTIFS($C:$C,$C2178,$D:$D,$D2178,$E:$E,"P0(전)",$M:$M,"&gt;0")&lt;&gt;1,"",SUMIFS($I:$I,$C:$C,$C2178,$D:$D,$D2178,$E:$E,"P0(전)"))</f>
        <v/>
      </c>
      <c r="P2178" s="31">
        <f>IF(COUNTIFS($C:$C,$C2178,$D:$D,$D2178,$E:$E,"P0(전)",$M:$M,"&gt;0")&lt;&gt;1,"",SUMIFS($M:$M,$C:$C,$C2178,$D:$D,$D2178,$E:$E,"P0(전)"))</f>
        <v/>
      </c>
      <c r="Q2178" s="48">
        <f>IF(COUNTIFS($C:$C,$C2178,$D:$D,$D2178,$E:$E,"P0(후)",$M:$M,"&gt;0")&lt;&gt;1,"",SUMIFS($I:$I,$C:$C,$C2178,$D:$D,$D2178,$E:$E,"P0(후)"))</f>
        <v/>
      </c>
      <c r="R2178" s="31">
        <f>IF(COUNTIFS($C:$C,$C2178,$D:$D,$D2178,$E:$E,"P0(후)",$M:$M,"&gt;0")&lt;&gt;1,"",SUMIFS($M:$M,$C:$C,$C2178,$D:$D,$D2178,$E:$E,"P0(후)"))</f>
        <v/>
      </c>
      <c r="S2178" s="31">
        <f>IF(N2178&lt;&gt;"OK","",P2178+(R2178-P2178)*(I2178-O2178)/(Q2178-O2178))</f>
        <v/>
      </c>
      <c r="T2178" s="31">
        <f>IF(OR(N2178&lt;&gt;"OK",NOT(ISNUMBER(M2178))),"",M2178-S2178)</f>
        <v/>
      </c>
      <c r="U2178" s="49">
        <f>IF(OR(NOT(ISNUMBER(T2178)),IF(ISNUMBER(H2178),H2178,G2178)=0),"",T2178/IF(ISNUMBER(H2178),H2178,G2178))</f>
        <v/>
      </c>
      <c r="V2178" s="49">
        <f>IF(ISNUMBER(U2178),ABS(U2178),"")</f>
        <v/>
      </c>
      <c r="W2178" s="49">
        <f>IF(OR($E2177&lt;&gt;"측정",$C2177&lt;&gt;$C2178,$D2177&lt;&gt;$D2178,NOT(ISNUMBER(M2178)),NOT(ISNUMBER(M2177)),(IF(ISNUMBER(H2178),H2178,G2178)-IF(ISNUMBER(H2177),H2177,G2177))=0),"",(M2178-M2177)/(IF(ISNUMBER(H2178),H2178,G2178)-IF(ISNUMBER(H2177),H2177,G2177)))</f>
        <v/>
      </c>
      <c r="X2178" s="31">
        <f>IF(NOT(AND(ISNUMBER(O2178),ISNUMBER(Q2178))),"",(Q2178-O2178)*1440)</f>
        <v/>
      </c>
      <c r="Y2178" s="29" t="n"/>
      <c r="Z2178" s="29" t="n"/>
      <c r="AA2178" s="29" t="n"/>
      <c r="AB2178" s="32" t="n"/>
      <c r="AC2178" s="32" t="n"/>
    </row>
    <row r="2179">
      <c r="A2179" s="26" t="inlineStr">
        <is>
          <t>S42</t>
        </is>
      </c>
      <c r="B2179" s="26" t="inlineStr">
        <is>
          <t>조도</t>
        </is>
      </c>
      <c r="C2179" s="26" t="inlineStr">
        <is>
          <t>S42-H북</t>
        </is>
      </c>
      <c r="D2179" s="47" t="n">
        <v>1</v>
      </c>
      <c r="E2179" s="26" t="inlineStr">
        <is>
          <t>측정</t>
        </is>
      </c>
      <c r="F2179" s="26" t="inlineStr">
        <is>
          <t>북</t>
        </is>
      </c>
      <c r="G2179" s="31" t="n">
        <v>1</v>
      </c>
      <c r="H2179" s="30" t="n"/>
      <c r="I2179" s="43" t="n"/>
      <c r="J2179" s="41" t="n"/>
      <c r="K2179" s="41" t="n"/>
      <c r="L2179" s="41" t="n"/>
      <c r="M2179" s="31">
        <f>IF(COUNT(J2179:L2179)=0,"",MEDIAN(J2179:L2179))</f>
        <v/>
      </c>
      <c r="N2179" s="26">
        <f>IF(COUNTIFS($C:$C,$C2179,$D:$D,$D2179,$E:$E,"P0(전)",$M:$M,"&gt;0")&lt;&gt;1,"P0(전) 유효 1개 아님",IF(COUNTIFS($C:$C,$C2179,$D:$D,$D2179,$E:$E,"P0(후)",$M:$M,"&gt;0")&lt;&gt;1,"P0(후) 유효 1개 아님",IF(NOT(AND(ISNUMBER(O2179),ISNUMBER(Q2179),ISNUMBER(I2179))),"시각 결측",IF(Q2179&lt;=O2179,"P0 시각 역전",IF(OR(I2179&lt;O2179,I2179&gt;Q2179),"측정시각 구간 밖","OK")))))</f>
        <v/>
      </c>
      <c r="O2179" s="48">
        <f>IF(COUNTIFS($C:$C,$C2179,$D:$D,$D2179,$E:$E,"P0(전)",$M:$M,"&gt;0")&lt;&gt;1,"",SUMIFS($I:$I,$C:$C,$C2179,$D:$D,$D2179,$E:$E,"P0(전)"))</f>
        <v/>
      </c>
      <c r="P2179" s="31">
        <f>IF(COUNTIFS($C:$C,$C2179,$D:$D,$D2179,$E:$E,"P0(전)",$M:$M,"&gt;0")&lt;&gt;1,"",SUMIFS($M:$M,$C:$C,$C2179,$D:$D,$D2179,$E:$E,"P0(전)"))</f>
        <v/>
      </c>
      <c r="Q2179" s="48">
        <f>IF(COUNTIFS($C:$C,$C2179,$D:$D,$D2179,$E:$E,"P0(후)",$M:$M,"&gt;0")&lt;&gt;1,"",SUMIFS($I:$I,$C:$C,$C2179,$D:$D,$D2179,$E:$E,"P0(후)"))</f>
        <v/>
      </c>
      <c r="R2179" s="31">
        <f>IF(COUNTIFS($C:$C,$C2179,$D:$D,$D2179,$E:$E,"P0(후)",$M:$M,"&gt;0")&lt;&gt;1,"",SUMIFS($M:$M,$C:$C,$C2179,$D:$D,$D2179,$E:$E,"P0(후)"))</f>
        <v/>
      </c>
      <c r="S2179" s="31">
        <f>IF(N2179&lt;&gt;"OK","",P2179+(R2179-P2179)*(I2179-O2179)/(Q2179-O2179))</f>
        <v/>
      </c>
      <c r="T2179" s="31">
        <f>IF(OR(N2179&lt;&gt;"OK",NOT(ISNUMBER(M2179))),"",M2179-S2179)</f>
        <v/>
      </c>
      <c r="U2179" s="49">
        <f>IF(OR(NOT(ISNUMBER(T2179)),IF(ISNUMBER(H2179),H2179,G2179)=0),"",T2179/IF(ISNUMBER(H2179),H2179,G2179))</f>
        <v/>
      </c>
      <c r="V2179" s="49">
        <f>IF(ISNUMBER(U2179),ABS(U2179),"")</f>
        <v/>
      </c>
      <c r="W2179" s="49">
        <f>IF(OR($E2178&lt;&gt;"측정",$C2178&lt;&gt;$C2179,$D2178&lt;&gt;$D2179,NOT(ISNUMBER(M2179)),NOT(ISNUMBER(M2178)),(IF(ISNUMBER(H2179),H2179,G2179)-IF(ISNUMBER(H2178),H2178,G2178))=0),"",(M2179-M2178)/(IF(ISNUMBER(H2179),H2179,G2179)-IF(ISNUMBER(H2178),H2178,G2178)))</f>
        <v/>
      </c>
      <c r="X2179" s="31">
        <f>IF(NOT(AND(ISNUMBER(O2179),ISNUMBER(Q2179))),"",(Q2179-O2179)*1440)</f>
        <v/>
      </c>
      <c r="Y2179" s="29" t="n"/>
      <c r="Z2179" s="29" t="n"/>
      <c r="AA2179" s="29" t="n"/>
      <c r="AB2179" s="32" t="n"/>
      <c r="AC2179" s="32" t="n"/>
    </row>
    <row r="2180">
      <c r="A2180" s="26" t="inlineStr">
        <is>
          <t>S42</t>
        </is>
      </c>
      <c r="B2180" s="26" t="inlineStr">
        <is>
          <t>조도</t>
        </is>
      </c>
      <c r="C2180" s="26" t="inlineStr">
        <is>
          <t>S42-H북</t>
        </is>
      </c>
      <c r="D2180" s="47" t="n">
        <v>1</v>
      </c>
      <c r="E2180" s="26" t="inlineStr">
        <is>
          <t>측정</t>
        </is>
      </c>
      <c r="F2180" s="26" t="inlineStr">
        <is>
          <t>북</t>
        </is>
      </c>
      <c r="G2180" s="31" t="n">
        <v>2</v>
      </c>
      <c r="H2180" s="30" t="n"/>
      <c r="I2180" s="43" t="n"/>
      <c r="J2180" s="41" t="n"/>
      <c r="K2180" s="41" t="n"/>
      <c r="L2180" s="41" t="n"/>
      <c r="M2180" s="31">
        <f>IF(COUNT(J2180:L2180)=0,"",MEDIAN(J2180:L2180))</f>
        <v/>
      </c>
      <c r="N2180" s="26">
        <f>IF(COUNTIFS($C:$C,$C2180,$D:$D,$D2180,$E:$E,"P0(전)",$M:$M,"&gt;0")&lt;&gt;1,"P0(전) 유효 1개 아님",IF(COUNTIFS($C:$C,$C2180,$D:$D,$D2180,$E:$E,"P0(후)",$M:$M,"&gt;0")&lt;&gt;1,"P0(후) 유효 1개 아님",IF(NOT(AND(ISNUMBER(O2180),ISNUMBER(Q2180),ISNUMBER(I2180))),"시각 결측",IF(Q2180&lt;=O2180,"P0 시각 역전",IF(OR(I2180&lt;O2180,I2180&gt;Q2180),"측정시각 구간 밖","OK")))))</f>
        <v/>
      </c>
      <c r="O2180" s="48">
        <f>IF(COUNTIFS($C:$C,$C2180,$D:$D,$D2180,$E:$E,"P0(전)",$M:$M,"&gt;0")&lt;&gt;1,"",SUMIFS($I:$I,$C:$C,$C2180,$D:$D,$D2180,$E:$E,"P0(전)"))</f>
        <v/>
      </c>
      <c r="P2180" s="31">
        <f>IF(COUNTIFS($C:$C,$C2180,$D:$D,$D2180,$E:$E,"P0(전)",$M:$M,"&gt;0")&lt;&gt;1,"",SUMIFS($M:$M,$C:$C,$C2180,$D:$D,$D2180,$E:$E,"P0(전)"))</f>
        <v/>
      </c>
      <c r="Q2180" s="48">
        <f>IF(COUNTIFS($C:$C,$C2180,$D:$D,$D2180,$E:$E,"P0(후)",$M:$M,"&gt;0")&lt;&gt;1,"",SUMIFS($I:$I,$C:$C,$C2180,$D:$D,$D2180,$E:$E,"P0(후)"))</f>
        <v/>
      </c>
      <c r="R2180" s="31">
        <f>IF(COUNTIFS($C:$C,$C2180,$D:$D,$D2180,$E:$E,"P0(후)",$M:$M,"&gt;0")&lt;&gt;1,"",SUMIFS($M:$M,$C:$C,$C2180,$D:$D,$D2180,$E:$E,"P0(후)"))</f>
        <v/>
      </c>
      <c r="S2180" s="31">
        <f>IF(N2180&lt;&gt;"OK","",P2180+(R2180-P2180)*(I2180-O2180)/(Q2180-O2180))</f>
        <v/>
      </c>
      <c r="T2180" s="31">
        <f>IF(OR(N2180&lt;&gt;"OK",NOT(ISNUMBER(M2180))),"",M2180-S2180)</f>
        <v/>
      </c>
      <c r="U2180" s="49">
        <f>IF(OR(NOT(ISNUMBER(T2180)),IF(ISNUMBER(H2180),H2180,G2180)=0),"",T2180/IF(ISNUMBER(H2180),H2180,G2180))</f>
        <v/>
      </c>
      <c r="V2180" s="49">
        <f>IF(ISNUMBER(U2180),ABS(U2180),"")</f>
        <v/>
      </c>
      <c r="W2180" s="49">
        <f>IF(OR($E2179&lt;&gt;"측정",$C2179&lt;&gt;$C2180,$D2179&lt;&gt;$D2180,NOT(ISNUMBER(M2180)),NOT(ISNUMBER(M2179)),(IF(ISNUMBER(H2180),H2180,G2180)-IF(ISNUMBER(H2179),H2179,G2179))=0),"",(M2180-M2179)/(IF(ISNUMBER(H2180),H2180,G2180)-IF(ISNUMBER(H2179),H2179,G2179)))</f>
        <v/>
      </c>
      <c r="X2180" s="31">
        <f>IF(NOT(AND(ISNUMBER(O2180),ISNUMBER(Q2180))),"",(Q2180-O2180)*1440)</f>
        <v/>
      </c>
      <c r="Y2180" s="29" t="n"/>
      <c r="Z2180" s="29" t="n"/>
      <c r="AA2180" s="29" t="n"/>
      <c r="AB2180" s="32" t="n"/>
      <c r="AC2180" s="32" t="n"/>
    </row>
    <row r="2181">
      <c r="A2181" s="26" t="inlineStr">
        <is>
          <t>S42</t>
        </is>
      </c>
      <c r="B2181" s="26" t="inlineStr">
        <is>
          <t>조도</t>
        </is>
      </c>
      <c r="C2181" s="26" t="inlineStr">
        <is>
          <t>S42-H북</t>
        </is>
      </c>
      <c r="D2181" s="47" t="n">
        <v>1</v>
      </c>
      <c r="E2181" s="26" t="inlineStr">
        <is>
          <t>측정</t>
        </is>
      </c>
      <c r="F2181" s="26" t="inlineStr">
        <is>
          <t>북</t>
        </is>
      </c>
      <c r="G2181" s="31" t="n">
        <v>3</v>
      </c>
      <c r="H2181" s="30" t="n"/>
      <c r="I2181" s="43" t="n"/>
      <c r="J2181" s="41" t="n"/>
      <c r="K2181" s="41" t="n"/>
      <c r="L2181" s="41" t="n"/>
      <c r="M2181" s="31">
        <f>IF(COUNT(J2181:L2181)=0,"",MEDIAN(J2181:L2181))</f>
        <v/>
      </c>
      <c r="N2181" s="26">
        <f>IF(COUNTIFS($C:$C,$C2181,$D:$D,$D2181,$E:$E,"P0(전)",$M:$M,"&gt;0")&lt;&gt;1,"P0(전) 유효 1개 아님",IF(COUNTIFS($C:$C,$C2181,$D:$D,$D2181,$E:$E,"P0(후)",$M:$M,"&gt;0")&lt;&gt;1,"P0(후) 유효 1개 아님",IF(NOT(AND(ISNUMBER(O2181),ISNUMBER(Q2181),ISNUMBER(I2181))),"시각 결측",IF(Q2181&lt;=O2181,"P0 시각 역전",IF(OR(I2181&lt;O2181,I2181&gt;Q2181),"측정시각 구간 밖","OK")))))</f>
        <v/>
      </c>
      <c r="O2181" s="48">
        <f>IF(COUNTIFS($C:$C,$C2181,$D:$D,$D2181,$E:$E,"P0(전)",$M:$M,"&gt;0")&lt;&gt;1,"",SUMIFS($I:$I,$C:$C,$C2181,$D:$D,$D2181,$E:$E,"P0(전)"))</f>
        <v/>
      </c>
      <c r="P2181" s="31">
        <f>IF(COUNTIFS($C:$C,$C2181,$D:$D,$D2181,$E:$E,"P0(전)",$M:$M,"&gt;0")&lt;&gt;1,"",SUMIFS($M:$M,$C:$C,$C2181,$D:$D,$D2181,$E:$E,"P0(전)"))</f>
        <v/>
      </c>
      <c r="Q2181" s="48">
        <f>IF(COUNTIFS($C:$C,$C2181,$D:$D,$D2181,$E:$E,"P0(후)",$M:$M,"&gt;0")&lt;&gt;1,"",SUMIFS($I:$I,$C:$C,$C2181,$D:$D,$D2181,$E:$E,"P0(후)"))</f>
        <v/>
      </c>
      <c r="R2181" s="31">
        <f>IF(COUNTIFS($C:$C,$C2181,$D:$D,$D2181,$E:$E,"P0(후)",$M:$M,"&gt;0")&lt;&gt;1,"",SUMIFS($M:$M,$C:$C,$C2181,$D:$D,$D2181,$E:$E,"P0(후)"))</f>
        <v/>
      </c>
      <c r="S2181" s="31">
        <f>IF(N2181&lt;&gt;"OK","",P2181+(R2181-P2181)*(I2181-O2181)/(Q2181-O2181))</f>
        <v/>
      </c>
      <c r="T2181" s="31">
        <f>IF(OR(N2181&lt;&gt;"OK",NOT(ISNUMBER(M2181))),"",M2181-S2181)</f>
        <v/>
      </c>
      <c r="U2181" s="49">
        <f>IF(OR(NOT(ISNUMBER(T2181)),IF(ISNUMBER(H2181),H2181,G2181)=0),"",T2181/IF(ISNUMBER(H2181),H2181,G2181))</f>
        <v/>
      </c>
      <c r="V2181" s="49">
        <f>IF(ISNUMBER(U2181),ABS(U2181),"")</f>
        <v/>
      </c>
      <c r="W2181" s="49">
        <f>IF(OR($E2180&lt;&gt;"측정",$C2180&lt;&gt;$C2181,$D2180&lt;&gt;$D2181,NOT(ISNUMBER(M2181)),NOT(ISNUMBER(M2180)),(IF(ISNUMBER(H2181),H2181,G2181)-IF(ISNUMBER(H2180),H2180,G2180))=0),"",(M2181-M2180)/(IF(ISNUMBER(H2181),H2181,G2181)-IF(ISNUMBER(H2180),H2180,G2180)))</f>
        <v/>
      </c>
      <c r="X2181" s="31">
        <f>IF(NOT(AND(ISNUMBER(O2181),ISNUMBER(Q2181))),"",(Q2181-O2181)*1440)</f>
        <v/>
      </c>
      <c r="Y2181" s="29" t="n"/>
      <c r="Z2181" s="29" t="n"/>
      <c r="AA2181" s="29" t="n"/>
      <c r="AB2181" s="32" t="n"/>
      <c r="AC2181" s="32" t="n"/>
    </row>
    <row r="2182">
      <c r="A2182" s="26" t="inlineStr">
        <is>
          <t>S42</t>
        </is>
      </c>
      <c r="B2182" s="26" t="inlineStr">
        <is>
          <t>조도</t>
        </is>
      </c>
      <c r="C2182" s="26" t="inlineStr">
        <is>
          <t>S42-H북</t>
        </is>
      </c>
      <c r="D2182" s="47" t="n">
        <v>1</v>
      </c>
      <c r="E2182" s="26" t="inlineStr">
        <is>
          <t>측정</t>
        </is>
      </c>
      <c r="F2182" s="26" t="inlineStr">
        <is>
          <t>북</t>
        </is>
      </c>
      <c r="G2182" s="31" t="n">
        <v>4</v>
      </c>
      <c r="H2182" s="30" t="n"/>
      <c r="I2182" s="43" t="n"/>
      <c r="J2182" s="41" t="n"/>
      <c r="K2182" s="41" t="n"/>
      <c r="L2182" s="41" t="n"/>
      <c r="M2182" s="31">
        <f>IF(COUNT(J2182:L2182)=0,"",MEDIAN(J2182:L2182))</f>
        <v/>
      </c>
      <c r="N2182" s="26">
        <f>IF(COUNTIFS($C:$C,$C2182,$D:$D,$D2182,$E:$E,"P0(전)",$M:$M,"&gt;0")&lt;&gt;1,"P0(전) 유효 1개 아님",IF(COUNTIFS($C:$C,$C2182,$D:$D,$D2182,$E:$E,"P0(후)",$M:$M,"&gt;0")&lt;&gt;1,"P0(후) 유효 1개 아님",IF(NOT(AND(ISNUMBER(O2182),ISNUMBER(Q2182),ISNUMBER(I2182))),"시각 결측",IF(Q2182&lt;=O2182,"P0 시각 역전",IF(OR(I2182&lt;O2182,I2182&gt;Q2182),"측정시각 구간 밖","OK")))))</f>
        <v/>
      </c>
      <c r="O2182" s="48">
        <f>IF(COUNTIFS($C:$C,$C2182,$D:$D,$D2182,$E:$E,"P0(전)",$M:$M,"&gt;0")&lt;&gt;1,"",SUMIFS($I:$I,$C:$C,$C2182,$D:$D,$D2182,$E:$E,"P0(전)"))</f>
        <v/>
      </c>
      <c r="P2182" s="31">
        <f>IF(COUNTIFS($C:$C,$C2182,$D:$D,$D2182,$E:$E,"P0(전)",$M:$M,"&gt;0")&lt;&gt;1,"",SUMIFS($M:$M,$C:$C,$C2182,$D:$D,$D2182,$E:$E,"P0(전)"))</f>
        <v/>
      </c>
      <c r="Q2182" s="48">
        <f>IF(COUNTIFS($C:$C,$C2182,$D:$D,$D2182,$E:$E,"P0(후)",$M:$M,"&gt;0")&lt;&gt;1,"",SUMIFS($I:$I,$C:$C,$C2182,$D:$D,$D2182,$E:$E,"P0(후)"))</f>
        <v/>
      </c>
      <c r="R2182" s="31">
        <f>IF(COUNTIFS($C:$C,$C2182,$D:$D,$D2182,$E:$E,"P0(후)",$M:$M,"&gt;0")&lt;&gt;1,"",SUMIFS($M:$M,$C:$C,$C2182,$D:$D,$D2182,$E:$E,"P0(후)"))</f>
        <v/>
      </c>
      <c r="S2182" s="31">
        <f>IF(N2182&lt;&gt;"OK","",P2182+(R2182-P2182)*(I2182-O2182)/(Q2182-O2182))</f>
        <v/>
      </c>
      <c r="T2182" s="31">
        <f>IF(OR(N2182&lt;&gt;"OK",NOT(ISNUMBER(M2182))),"",M2182-S2182)</f>
        <v/>
      </c>
      <c r="U2182" s="49">
        <f>IF(OR(NOT(ISNUMBER(T2182)),IF(ISNUMBER(H2182),H2182,G2182)=0),"",T2182/IF(ISNUMBER(H2182),H2182,G2182))</f>
        <v/>
      </c>
      <c r="V2182" s="49">
        <f>IF(ISNUMBER(U2182),ABS(U2182),"")</f>
        <v/>
      </c>
      <c r="W2182" s="49">
        <f>IF(OR($E2181&lt;&gt;"측정",$C2181&lt;&gt;$C2182,$D2181&lt;&gt;$D2182,NOT(ISNUMBER(M2182)),NOT(ISNUMBER(M2181)),(IF(ISNUMBER(H2182),H2182,G2182)-IF(ISNUMBER(H2181),H2181,G2181))=0),"",(M2182-M2181)/(IF(ISNUMBER(H2182),H2182,G2182)-IF(ISNUMBER(H2181),H2181,G2181)))</f>
        <v/>
      </c>
      <c r="X2182" s="31">
        <f>IF(NOT(AND(ISNUMBER(O2182),ISNUMBER(Q2182))),"",(Q2182-O2182)*1440)</f>
        <v/>
      </c>
      <c r="Y2182" s="29" t="n"/>
      <c r="Z2182" s="29" t="n"/>
      <c r="AA2182" s="29" t="n"/>
      <c r="AB2182" s="32" t="n"/>
      <c r="AC2182" s="32" t="n"/>
    </row>
    <row r="2183">
      <c r="A2183" s="26" t="inlineStr">
        <is>
          <t>S42</t>
        </is>
      </c>
      <c r="B2183" s="26" t="inlineStr">
        <is>
          <t>조도</t>
        </is>
      </c>
      <c r="C2183" s="26" t="inlineStr">
        <is>
          <t>S42-H북</t>
        </is>
      </c>
      <c r="D2183" s="47" t="n">
        <v>1</v>
      </c>
      <c r="E2183" s="26" t="inlineStr">
        <is>
          <t>측정</t>
        </is>
      </c>
      <c r="F2183" s="26" t="inlineStr">
        <is>
          <t>북</t>
        </is>
      </c>
      <c r="G2183" s="31" t="n">
        <v>5</v>
      </c>
      <c r="H2183" s="30" t="n"/>
      <c r="I2183" s="43" t="n"/>
      <c r="J2183" s="41" t="n"/>
      <c r="K2183" s="41" t="n"/>
      <c r="L2183" s="41" t="n"/>
      <c r="M2183" s="31">
        <f>IF(COUNT(J2183:L2183)=0,"",MEDIAN(J2183:L2183))</f>
        <v/>
      </c>
      <c r="N2183" s="26">
        <f>IF(COUNTIFS($C:$C,$C2183,$D:$D,$D2183,$E:$E,"P0(전)",$M:$M,"&gt;0")&lt;&gt;1,"P0(전) 유효 1개 아님",IF(COUNTIFS($C:$C,$C2183,$D:$D,$D2183,$E:$E,"P0(후)",$M:$M,"&gt;0")&lt;&gt;1,"P0(후) 유효 1개 아님",IF(NOT(AND(ISNUMBER(O2183),ISNUMBER(Q2183),ISNUMBER(I2183))),"시각 결측",IF(Q2183&lt;=O2183,"P0 시각 역전",IF(OR(I2183&lt;O2183,I2183&gt;Q2183),"측정시각 구간 밖","OK")))))</f>
        <v/>
      </c>
      <c r="O2183" s="48">
        <f>IF(COUNTIFS($C:$C,$C2183,$D:$D,$D2183,$E:$E,"P0(전)",$M:$M,"&gt;0")&lt;&gt;1,"",SUMIFS($I:$I,$C:$C,$C2183,$D:$D,$D2183,$E:$E,"P0(전)"))</f>
        <v/>
      </c>
      <c r="P2183" s="31">
        <f>IF(COUNTIFS($C:$C,$C2183,$D:$D,$D2183,$E:$E,"P0(전)",$M:$M,"&gt;0")&lt;&gt;1,"",SUMIFS($M:$M,$C:$C,$C2183,$D:$D,$D2183,$E:$E,"P0(전)"))</f>
        <v/>
      </c>
      <c r="Q2183" s="48">
        <f>IF(COUNTIFS($C:$C,$C2183,$D:$D,$D2183,$E:$E,"P0(후)",$M:$M,"&gt;0")&lt;&gt;1,"",SUMIFS($I:$I,$C:$C,$C2183,$D:$D,$D2183,$E:$E,"P0(후)"))</f>
        <v/>
      </c>
      <c r="R2183" s="31">
        <f>IF(COUNTIFS($C:$C,$C2183,$D:$D,$D2183,$E:$E,"P0(후)",$M:$M,"&gt;0")&lt;&gt;1,"",SUMIFS($M:$M,$C:$C,$C2183,$D:$D,$D2183,$E:$E,"P0(후)"))</f>
        <v/>
      </c>
      <c r="S2183" s="31">
        <f>IF(N2183&lt;&gt;"OK","",P2183+(R2183-P2183)*(I2183-O2183)/(Q2183-O2183))</f>
        <v/>
      </c>
      <c r="T2183" s="31">
        <f>IF(OR(N2183&lt;&gt;"OK",NOT(ISNUMBER(M2183))),"",M2183-S2183)</f>
        <v/>
      </c>
      <c r="U2183" s="49">
        <f>IF(OR(NOT(ISNUMBER(T2183)),IF(ISNUMBER(H2183),H2183,G2183)=0),"",T2183/IF(ISNUMBER(H2183),H2183,G2183))</f>
        <v/>
      </c>
      <c r="V2183" s="49">
        <f>IF(ISNUMBER(U2183),ABS(U2183),"")</f>
        <v/>
      </c>
      <c r="W2183" s="49">
        <f>IF(OR($E2182&lt;&gt;"측정",$C2182&lt;&gt;$C2183,$D2182&lt;&gt;$D2183,NOT(ISNUMBER(M2183)),NOT(ISNUMBER(M2182)),(IF(ISNUMBER(H2183),H2183,G2183)-IF(ISNUMBER(H2182),H2182,G2182))=0),"",(M2183-M2182)/(IF(ISNUMBER(H2183),H2183,G2183)-IF(ISNUMBER(H2182),H2182,G2182)))</f>
        <v/>
      </c>
      <c r="X2183" s="31">
        <f>IF(NOT(AND(ISNUMBER(O2183),ISNUMBER(Q2183))),"",(Q2183-O2183)*1440)</f>
        <v/>
      </c>
      <c r="Y2183" s="29" t="n"/>
      <c r="Z2183" s="29" t="n"/>
      <c r="AA2183" s="29" t="n"/>
      <c r="AB2183" s="32" t="n"/>
      <c r="AC2183" s="32" t="n"/>
    </row>
    <row r="2184">
      <c r="A2184" s="26" t="inlineStr">
        <is>
          <t>S42</t>
        </is>
      </c>
      <c r="B2184" s="26" t="inlineStr">
        <is>
          <t>조도</t>
        </is>
      </c>
      <c r="C2184" s="26" t="inlineStr">
        <is>
          <t>S42-H북</t>
        </is>
      </c>
      <c r="D2184" s="47" t="n">
        <v>1</v>
      </c>
      <c r="E2184" s="26" t="inlineStr">
        <is>
          <t>측정</t>
        </is>
      </c>
      <c r="F2184" s="26" t="inlineStr">
        <is>
          <t>북</t>
        </is>
      </c>
      <c r="G2184" s="31" t="n">
        <v>6</v>
      </c>
      <c r="H2184" s="30" t="n"/>
      <c r="I2184" s="43" t="n"/>
      <c r="J2184" s="41" t="n"/>
      <c r="K2184" s="41" t="n"/>
      <c r="L2184" s="41" t="n"/>
      <c r="M2184" s="31">
        <f>IF(COUNT(J2184:L2184)=0,"",MEDIAN(J2184:L2184))</f>
        <v/>
      </c>
      <c r="N2184" s="26">
        <f>IF(COUNTIFS($C:$C,$C2184,$D:$D,$D2184,$E:$E,"P0(전)",$M:$M,"&gt;0")&lt;&gt;1,"P0(전) 유효 1개 아님",IF(COUNTIFS($C:$C,$C2184,$D:$D,$D2184,$E:$E,"P0(후)",$M:$M,"&gt;0")&lt;&gt;1,"P0(후) 유효 1개 아님",IF(NOT(AND(ISNUMBER(O2184),ISNUMBER(Q2184),ISNUMBER(I2184))),"시각 결측",IF(Q2184&lt;=O2184,"P0 시각 역전",IF(OR(I2184&lt;O2184,I2184&gt;Q2184),"측정시각 구간 밖","OK")))))</f>
        <v/>
      </c>
      <c r="O2184" s="48">
        <f>IF(COUNTIFS($C:$C,$C2184,$D:$D,$D2184,$E:$E,"P0(전)",$M:$M,"&gt;0")&lt;&gt;1,"",SUMIFS($I:$I,$C:$C,$C2184,$D:$D,$D2184,$E:$E,"P0(전)"))</f>
        <v/>
      </c>
      <c r="P2184" s="31">
        <f>IF(COUNTIFS($C:$C,$C2184,$D:$D,$D2184,$E:$E,"P0(전)",$M:$M,"&gt;0")&lt;&gt;1,"",SUMIFS($M:$M,$C:$C,$C2184,$D:$D,$D2184,$E:$E,"P0(전)"))</f>
        <v/>
      </c>
      <c r="Q2184" s="48">
        <f>IF(COUNTIFS($C:$C,$C2184,$D:$D,$D2184,$E:$E,"P0(후)",$M:$M,"&gt;0")&lt;&gt;1,"",SUMIFS($I:$I,$C:$C,$C2184,$D:$D,$D2184,$E:$E,"P0(후)"))</f>
        <v/>
      </c>
      <c r="R2184" s="31">
        <f>IF(COUNTIFS($C:$C,$C2184,$D:$D,$D2184,$E:$E,"P0(후)",$M:$M,"&gt;0")&lt;&gt;1,"",SUMIFS($M:$M,$C:$C,$C2184,$D:$D,$D2184,$E:$E,"P0(후)"))</f>
        <v/>
      </c>
      <c r="S2184" s="31">
        <f>IF(N2184&lt;&gt;"OK","",P2184+(R2184-P2184)*(I2184-O2184)/(Q2184-O2184))</f>
        <v/>
      </c>
      <c r="T2184" s="31">
        <f>IF(OR(N2184&lt;&gt;"OK",NOT(ISNUMBER(M2184))),"",M2184-S2184)</f>
        <v/>
      </c>
      <c r="U2184" s="49">
        <f>IF(OR(NOT(ISNUMBER(T2184)),IF(ISNUMBER(H2184),H2184,G2184)=0),"",T2184/IF(ISNUMBER(H2184),H2184,G2184))</f>
        <v/>
      </c>
      <c r="V2184" s="49">
        <f>IF(ISNUMBER(U2184),ABS(U2184),"")</f>
        <v/>
      </c>
      <c r="W2184" s="49">
        <f>IF(OR($E2183&lt;&gt;"측정",$C2183&lt;&gt;$C2184,$D2183&lt;&gt;$D2184,NOT(ISNUMBER(M2184)),NOT(ISNUMBER(M2183)),(IF(ISNUMBER(H2184),H2184,G2184)-IF(ISNUMBER(H2183),H2183,G2183))=0),"",(M2184-M2183)/(IF(ISNUMBER(H2184),H2184,G2184)-IF(ISNUMBER(H2183),H2183,G2183)))</f>
        <v/>
      </c>
      <c r="X2184" s="31">
        <f>IF(NOT(AND(ISNUMBER(O2184),ISNUMBER(Q2184))),"",(Q2184-O2184)*1440)</f>
        <v/>
      </c>
      <c r="Y2184" s="29" t="n"/>
      <c r="Z2184" s="29" t="n"/>
      <c r="AA2184" s="29" t="n"/>
      <c r="AB2184" s="32" t="n"/>
      <c r="AC2184" s="32" t="n"/>
    </row>
    <row r="2185">
      <c r="A2185" s="26" t="inlineStr">
        <is>
          <t>S42</t>
        </is>
      </c>
      <c r="B2185" s="26" t="inlineStr">
        <is>
          <t>조도</t>
        </is>
      </c>
      <c r="C2185" s="26" t="inlineStr">
        <is>
          <t>S42-H북</t>
        </is>
      </c>
      <c r="D2185" s="47" t="n">
        <v>1</v>
      </c>
      <c r="E2185" s="26" t="inlineStr">
        <is>
          <t>측정</t>
        </is>
      </c>
      <c r="F2185" s="26" t="inlineStr">
        <is>
          <t>북</t>
        </is>
      </c>
      <c r="G2185" s="31" t="n">
        <v>7</v>
      </c>
      <c r="H2185" s="30" t="n"/>
      <c r="I2185" s="43" t="n"/>
      <c r="J2185" s="41" t="n"/>
      <c r="K2185" s="41" t="n"/>
      <c r="L2185" s="41" t="n"/>
      <c r="M2185" s="31">
        <f>IF(COUNT(J2185:L2185)=0,"",MEDIAN(J2185:L2185))</f>
        <v/>
      </c>
      <c r="N2185" s="26">
        <f>IF(COUNTIFS($C:$C,$C2185,$D:$D,$D2185,$E:$E,"P0(전)",$M:$M,"&gt;0")&lt;&gt;1,"P0(전) 유효 1개 아님",IF(COUNTIFS($C:$C,$C2185,$D:$D,$D2185,$E:$E,"P0(후)",$M:$M,"&gt;0")&lt;&gt;1,"P0(후) 유효 1개 아님",IF(NOT(AND(ISNUMBER(O2185),ISNUMBER(Q2185),ISNUMBER(I2185))),"시각 결측",IF(Q2185&lt;=O2185,"P0 시각 역전",IF(OR(I2185&lt;O2185,I2185&gt;Q2185),"측정시각 구간 밖","OK")))))</f>
        <v/>
      </c>
      <c r="O2185" s="48">
        <f>IF(COUNTIFS($C:$C,$C2185,$D:$D,$D2185,$E:$E,"P0(전)",$M:$M,"&gt;0")&lt;&gt;1,"",SUMIFS($I:$I,$C:$C,$C2185,$D:$D,$D2185,$E:$E,"P0(전)"))</f>
        <v/>
      </c>
      <c r="P2185" s="31">
        <f>IF(COUNTIFS($C:$C,$C2185,$D:$D,$D2185,$E:$E,"P0(전)",$M:$M,"&gt;0")&lt;&gt;1,"",SUMIFS($M:$M,$C:$C,$C2185,$D:$D,$D2185,$E:$E,"P0(전)"))</f>
        <v/>
      </c>
      <c r="Q2185" s="48">
        <f>IF(COUNTIFS($C:$C,$C2185,$D:$D,$D2185,$E:$E,"P0(후)",$M:$M,"&gt;0")&lt;&gt;1,"",SUMIFS($I:$I,$C:$C,$C2185,$D:$D,$D2185,$E:$E,"P0(후)"))</f>
        <v/>
      </c>
      <c r="R2185" s="31">
        <f>IF(COUNTIFS($C:$C,$C2185,$D:$D,$D2185,$E:$E,"P0(후)",$M:$M,"&gt;0")&lt;&gt;1,"",SUMIFS($M:$M,$C:$C,$C2185,$D:$D,$D2185,$E:$E,"P0(후)"))</f>
        <v/>
      </c>
      <c r="S2185" s="31">
        <f>IF(N2185&lt;&gt;"OK","",P2185+(R2185-P2185)*(I2185-O2185)/(Q2185-O2185))</f>
        <v/>
      </c>
      <c r="T2185" s="31">
        <f>IF(OR(N2185&lt;&gt;"OK",NOT(ISNUMBER(M2185))),"",M2185-S2185)</f>
        <v/>
      </c>
      <c r="U2185" s="49">
        <f>IF(OR(NOT(ISNUMBER(T2185)),IF(ISNUMBER(H2185),H2185,G2185)=0),"",T2185/IF(ISNUMBER(H2185),H2185,G2185))</f>
        <v/>
      </c>
      <c r="V2185" s="49">
        <f>IF(ISNUMBER(U2185),ABS(U2185),"")</f>
        <v/>
      </c>
      <c r="W2185" s="49">
        <f>IF(OR($E2184&lt;&gt;"측정",$C2184&lt;&gt;$C2185,$D2184&lt;&gt;$D2185,NOT(ISNUMBER(M2185)),NOT(ISNUMBER(M2184)),(IF(ISNUMBER(H2185),H2185,G2185)-IF(ISNUMBER(H2184),H2184,G2184))=0),"",(M2185-M2184)/(IF(ISNUMBER(H2185),H2185,G2185)-IF(ISNUMBER(H2184),H2184,G2184)))</f>
        <v/>
      </c>
      <c r="X2185" s="31">
        <f>IF(NOT(AND(ISNUMBER(O2185),ISNUMBER(Q2185))),"",(Q2185-O2185)*1440)</f>
        <v/>
      </c>
      <c r="Y2185" s="29" t="n"/>
      <c r="Z2185" s="29" t="n"/>
      <c r="AA2185" s="29" t="n"/>
      <c r="AB2185" s="32" t="n"/>
      <c r="AC2185" s="32" t="n"/>
    </row>
    <row r="2186">
      <c r="A2186" s="26" t="inlineStr">
        <is>
          <t>S42</t>
        </is>
      </c>
      <c r="B2186" s="26" t="inlineStr">
        <is>
          <t>조도</t>
        </is>
      </c>
      <c r="C2186" s="26" t="inlineStr">
        <is>
          <t>S42-H북</t>
        </is>
      </c>
      <c r="D2186" s="47" t="n">
        <v>1</v>
      </c>
      <c r="E2186" s="26" t="inlineStr">
        <is>
          <t>측정</t>
        </is>
      </c>
      <c r="F2186" s="26" t="inlineStr">
        <is>
          <t>북</t>
        </is>
      </c>
      <c r="G2186" s="31" t="n">
        <v>8</v>
      </c>
      <c r="H2186" s="30" t="n"/>
      <c r="I2186" s="43" t="n"/>
      <c r="J2186" s="41" t="n"/>
      <c r="K2186" s="41" t="n"/>
      <c r="L2186" s="41" t="n"/>
      <c r="M2186" s="31">
        <f>IF(COUNT(J2186:L2186)=0,"",MEDIAN(J2186:L2186))</f>
        <v/>
      </c>
      <c r="N2186" s="26">
        <f>IF(COUNTIFS($C:$C,$C2186,$D:$D,$D2186,$E:$E,"P0(전)",$M:$M,"&gt;0")&lt;&gt;1,"P0(전) 유효 1개 아님",IF(COUNTIFS($C:$C,$C2186,$D:$D,$D2186,$E:$E,"P0(후)",$M:$M,"&gt;0")&lt;&gt;1,"P0(후) 유효 1개 아님",IF(NOT(AND(ISNUMBER(O2186),ISNUMBER(Q2186),ISNUMBER(I2186))),"시각 결측",IF(Q2186&lt;=O2186,"P0 시각 역전",IF(OR(I2186&lt;O2186,I2186&gt;Q2186),"측정시각 구간 밖","OK")))))</f>
        <v/>
      </c>
      <c r="O2186" s="48">
        <f>IF(COUNTIFS($C:$C,$C2186,$D:$D,$D2186,$E:$E,"P0(전)",$M:$M,"&gt;0")&lt;&gt;1,"",SUMIFS($I:$I,$C:$C,$C2186,$D:$D,$D2186,$E:$E,"P0(전)"))</f>
        <v/>
      </c>
      <c r="P2186" s="31">
        <f>IF(COUNTIFS($C:$C,$C2186,$D:$D,$D2186,$E:$E,"P0(전)",$M:$M,"&gt;0")&lt;&gt;1,"",SUMIFS($M:$M,$C:$C,$C2186,$D:$D,$D2186,$E:$E,"P0(전)"))</f>
        <v/>
      </c>
      <c r="Q2186" s="48">
        <f>IF(COUNTIFS($C:$C,$C2186,$D:$D,$D2186,$E:$E,"P0(후)",$M:$M,"&gt;0")&lt;&gt;1,"",SUMIFS($I:$I,$C:$C,$C2186,$D:$D,$D2186,$E:$E,"P0(후)"))</f>
        <v/>
      </c>
      <c r="R2186" s="31">
        <f>IF(COUNTIFS($C:$C,$C2186,$D:$D,$D2186,$E:$E,"P0(후)",$M:$M,"&gt;0")&lt;&gt;1,"",SUMIFS($M:$M,$C:$C,$C2186,$D:$D,$D2186,$E:$E,"P0(후)"))</f>
        <v/>
      </c>
      <c r="S2186" s="31">
        <f>IF(N2186&lt;&gt;"OK","",P2186+(R2186-P2186)*(I2186-O2186)/(Q2186-O2186))</f>
        <v/>
      </c>
      <c r="T2186" s="31">
        <f>IF(OR(N2186&lt;&gt;"OK",NOT(ISNUMBER(M2186))),"",M2186-S2186)</f>
        <v/>
      </c>
      <c r="U2186" s="49">
        <f>IF(OR(NOT(ISNUMBER(T2186)),IF(ISNUMBER(H2186),H2186,G2186)=0),"",T2186/IF(ISNUMBER(H2186),H2186,G2186))</f>
        <v/>
      </c>
      <c r="V2186" s="49">
        <f>IF(ISNUMBER(U2186),ABS(U2186),"")</f>
        <v/>
      </c>
      <c r="W2186" s="49">
        <f>IF(OR($E2185&lt;&gt;"측정",$C2185&lt;&gt;$C2186,$D2185&lt;&gt;$D2186,NOT(ISNUMBER(M2186)),NOT(ISNUMBER(M2185)),(IF(ISNUMBER(H2186),H2186,G2186)-IF(ISNUMBER(H2185),H2185,G2185))=0),"",(M2186-M2185)/(IF(ISNUMBER(H2186),H2186,G2186)-IF(ISNUMBER(H2185),H2185,G2185)))</f>
        <v/>
      </c>
      <c r="X2186" s="31">
        <f>IF(NOT(AND(ISNUMBER(O2186),ISNUMBER(Q2186))),"",(Q2186-O2186)*1440)</f>
        <v/>
      </c>
      <c r="Y2186" s="29" t="n"/>
      <c r="Z2186" s="29" t="n"/>
      <c r="AA2186" s="29" t="n"/>
      <c r="AB2186" s="32" t="n"/>
      <c r="AC2186" s="32" t="n"/>
    </row>
    <row r="2187">
      <c r="A2187" s="26" t="inlineStr">
        <is>
          <t>S42</t>
        </is>
      </c>
      <c r="B2187" s="26" t="inlineStr">
        <is>
          <t>조도</t>
        </is>
      </c>
      <c r="C2187" s="26" t="inlineStr">
        <is>
          <t>S42-H북</t>
        </is>
      </c>
      <c r="D2187" s="47" t="n">
        <v>1</v>
      </c>
      <c r="E2187" s="26" t="inlineStr">
        <is>
          <t>측정</t>
        </is>
      </c>
      <c r="F2187" s="26" t="inlineStr">
        <is>
          <t>북</t>
        </is>
      </c>
      <c r="G2187" s="31" t="n">
        <v>9</v>
      </c>
      <c r="H2187" s="30" t="n"/>
      <c r="I2187" s="43" t="n"/>
      <c r="J2187" s="41" t="n"/>
      <c r="K2187" s="41" t="n"/>
      <c r="L2187" s="41" t="n"/>
      <c r="M2187" s="31">
        <f>IF(COUNT(J2187:L2187)=0,"",MEDIAN(J2187:L2187))</f>
        <v/>
      </c>
      <c r="N2187" s="26">
        <f>IF(COUNTIFS($C:$C,$C2187,$D:$D,$D2187,$E:$E,"P0(전)",$M:$M,"&gt;0")&lt;&gt;1,"P0(전) 유효 1개 아님",IF(COUNTIFS($C:$C,$C2187,$D:$D,$D2187,$E:$E,"P0(후)",$M:$M,"&gt;0")&lt;&gt;1,"P0(후) 유효 1개 아님",IF(NOT(AND(ISNUMBER(O2187),ISNUMBER(Q2187),ISNUMBER(I2187))),"시각 결측",IF(Q2187&lt;=O2187,"P0 시각 역전",IF(OR(I2187&lt;O2187,I2187&gt;Q2187),"측정시각 구간 밖","OK")))))</f>
        <v/>
      </c>
      <c r="O2187" s="48">
        <f>IF(COUNTIFS($C:$C,$C2187,$D:$D,$D2187,$E:$E,"P0(전)",$M:$M,"&gt;0")&lt;&gt;1,"",SUMIFS($I:$I,$C:$C,$C2187,$D:$D,$D2187,$E:$E,"P0(전)"))</f>
        <v/>
      </c>
      <c r="P2187" s="31">
        <f>IF(COUNTIFS($C:$C,$C2187,$D:$D,$D2187,$E:$E,"P0(전)",$M:$M,"&gt;0")&lt;&gt;1,"",SUMIFS($M:$M,$C:$C,$C2187,$D:$D,$D2187,$E:$E,"P0(전)"))</f>
        <v/>
      </c>
      <c r="Q2187" s="48">
        <f>IF(COUNTIFS($C:$C,$C2187,$D:$D,$D2187,$E:$E,"P0(후)",$M:$M,"&gt;0")&lt;&gt;1,"",SUMIFS($I:$I,$C:$C,$C2187,$D:$D,$D2187,$E:$E,"P0(후)"))</f>
        <v/>
      </c>
      <c r="R2187" s="31">
        <f>IF(COUNTIFS($C:$C,$C2187,$D:$D,$D2187,$E:$E,"P0(후)",$M:$M,"&gt;0")&lt;&gt;1,"",SUMIFS($M:$M,$C:$C,$C2187,$D:$D,$D2187,$E:$E,"P0(후)"))</f>
        <v/>
      </c>
      <c r="S2187" s="31">
        <f>IF(N2187&lt;&gt;"OK","",P2187+(R2187-P2187)*(I2187-O2187)/(Q2187-O2187))</f>
        <v/>
      </c>
      <c r="T2187" s="31">
        <f>IF(OR(N2187&lt;&gt;"OK",NOT(ISNUMBER(M2187))),"",M2187-S2187)</f>
        <v/>
      </c>
      <c r="U2187" s="49">
        <f>IF(OR(NOT(ISNUMBER(T2187)),IF(ISNUMBER(H2187),H2187,G2187)=0),"",T2187/IF(ISNUMBER(H2187),H2187,G2187))</f>
        <v/>
      </c>
      <c r="V2187" s="49">
        <f>IF(ISNUMBER(U2187),ABS(U2187),"")</f>
        <v/>
      </c>
      <c r="W2187" s="49">
        <f>IF(OR($E2186&lt;&gt;"측정",$C2186&lt;&gt;$C2187,$D2186&lt;&gt;$D2187,NOT(ISNUMBER(M2187)),NOT(ISNUMBER(M2186)),(IF(ISNUMBER(H2187),H2187,G2187)-IF(ISNUMBER(H2186),H2186,G2186))=0),"",(M2187-M2186)/(IF(ISNUMBER(H2187),H2187,G2187)-IF(ISNUMBER(H2186),H2186,G2186)))</f>
        <v/>
      </c>
      <c r="X2187" s="31">
        <f>IF(NOT(AND(ISNUMBER(O2187),ISNUMBER(Q2187))),"",(Q2187-O2187)*1440)</f>
        <v/>
      </c>
      <c r="Y2187" s="29" t="n"/>
      <c r="Z2187" s="29" t="n"/>
      <c r="AA2187" s="29" t="n"/>
      <c r="AB2187" s="32" t="n"/>
      <c r="AC2187" s="32" t="n"/>
    </row>
    <row r="2188">
      <c r="A2188" s="26" t="inlineStr">
        <is>
          <t>S42</t>
        </is>
      </c>
      <c r="B2188" s="26" t="inlineStr">
        <is>
          <t>조도</t>
        </is>
      </c>
      <c r="C2188" s="26" t="inlineStr">
        <is>
          <t>S42-H북</t>
        </is>
      </c>
      <c r="D2188" s="47" t="n">
        <v>1</v>
      </c>
      <c r="E2188" s="26" t="inlineStr">
        <is>
          <t>측정</t>
        </is>
      </c>
      <c r="F2188" s="26" t="inlineStr">
        <is>
          <t>북</t>
        </is>
      </c>
      <c r="G2188" s="31" t="n">
        <v>10</v>
      </c>
      <c r="H2188" s="30" t="n"/>
      <c r="I2188" s="43" t="n"/>
      <c r="J2188" s="41" t="n"/>
      <c r="K2188" s="41" t="n"/>
      <c r="L2188" s="41" t="n"/>
      <c r="M2188" s="31">
        <f>IF(COUNT(J2188:L2188)=0,"",MEDIAN(J2188:L2188))</f>
        <v/>
      </c>
      <c r="N2188" s="26">
        <f>IF(COUNTIFS($C:$C,$C2188,$D:$D,$D2188,$E:$E,"P0(전)",$M:$M,"&gt;0")&lt;&gt;1,"P0(전) 유효 1개 아님",IF(COUNTIFS($C:$C,$C2188,$D:$D,$D2188,$E:$E,"P0(후)",$M:$M,"&gt;0")&lt;&gt;1,"P0(후) 유효 1개 아님",IF(NOT(AND(ISNUMBER(O2188),ISNUMBER(Q2188),ISNUMBER(I2188))),"시각 결측",IF(Q2188&lt;=O2188,"P0 시각 역전",IF(OR(I2188&lt;O2188,I2188&gt;Q2188),"측정시각 구간 밖","OK")))))</f>
        <v/>
      </c>
      <c r="O2188" s="48">
        <f>IF(COUNTIFS($C:$C,$C2188,$D:$D,$D2188,$E:$E,"P0(전)",$M:$M,"&gt;0")&lt;&gt;1,"",SUMIFS($I:$I,$C:$C,$C2188,$D:$D,$D2188,$E:$E,"P0(전)"))</f>
        <v/>
      </c>
      <c r="P2188" s="31">
        <f>IF(COUNTIFS($C:$C,$C2188,$D:$D,$D2188,$E:$E,"P0(전)",$M:$M,"&gt;0")&lt;&gt;1,"",SUMIFS($M:$M,$C:$C,$C2188,$D:$D,$D2188,$E:$E,"P0(전)"))</f>
        <v/>
      </c>
      <c r="Q2188" s="48">
        <f>IF(COUNTIFS($C:$C,$C2188,$D:$D,$D2188,$E:$E,"P0(후)",$M:$M,"&gt;0")&lt;&gt;1,"",SUMIFS($I:$I,$C:$C,$C2188,$D:$D,$D2188,$E:$E,"P0(후)"))</f>
        <v/>
      </c>
      <c r="R2188" s="31">
        <f>IF(COUNTIFS($C:$C,$C2188,$D:$D,$D2188,$E:$E,"P0(후)",$M:$M,"&gt;0")&lt;&gt;1,"",SUMIFS($M:$M,$C:$C,$C2188,$D:$D,$D2188,$E:$E,"P0(후)"))</f>
        <v/>
      </c>
      <c r="S2188" s="31">
        <f>IF(N2188&lt;&gt;"OK","",P2188+(R2188-P2188)*(I2188-O2188)/(Q2188-O2188))</f>
        <v/>
      </c>
      <c r="T2188" s="31">
        <f>IF(OR(N2188&lt;&gt;"OK",NOT(ISNUMBER(M2188))),"",M2188-S2188)</f>
        <v/>
      </c>
      <c r="U2188" s="49">
        <f>IF(OR(NOT(ISNUMBER(T2188)),IF(ISNUMBER(H2188),H2188,G2188)=0),"",T2188/IF(ISNUMBER(H2188),H2188,G2188))</f>
        <v/>
      </c>
      <c r="V2188" s="49">
        <f>IF(ISNUMBER(U2188),ABS(U2188),"")</f>
        <v/>
      </c>
      <c r="W2188" s="49">
        <f>IF(OR($E2187&lt;&gt;"측정",$C2187&lt;&gt;$C2188,$D2187&lt;&gt;$D2188,NOT(ISNUMBER(M2188)),NOT(ISNUMBER(M2187)),(IF(ISNUMBER(H2188),H2188,G2188)-IF(ISNUMBER(H2187),H2187,G2187))=0),"",(M2188-M2187)/(IF(ISNUMBER(H2188),H2188,G2188)-IF(ISNUMBER(H2187),H2187,G2187)))</f>
        <v/>
      </c>
      <c r="X2188" s="31">
        <f>IF(NOT(AND(ISNUMBER(O2188),ISNUMBER(Q2188))),"",(Q2188-O2188)*1440)</f>
        <v/>
      </c>
      <c r="Y2188" s="29" t="n"/>
      <c r="Z2188" s="29" t="n"/>
      <c r="AA2188" s="29" t="n"/>
      <c r="AB2188" s="32" t="n"/>
      <c r="AC2188" s="32" t="n"/>
    </row>
    <row r="2189">
      <c r="A2189" s="44" t="inlineStr">
        <is>
          <t>S42</t>
        </is>
      </c>
      <c r="B2189" s="44" t="inlineStr">
        <is>
          <t>조도</t>
        </is>
      </c>
      <c r="C2189" s="44" t="inlineStr">
        <is>
          <t>S42-H북</t>
        </is>
      </c>
      <c r="D2189" s="45" t="n">
        <v>1</v>
      </c>
      <c r="E2189" s="44" t="inlineStr">
        <is>
          <t>P0(후)</t>
        </is>
      </c>
      <c r="F2189" s="44" t="inlineStr">
        <is>
          <t>북</t>
        </is>
      </c>
      <c r="G2189" s="46" t="n"/>
      <c r="H2189" s="30" t="n"/>
      <c r="I2189" s="43" t="n"/>
      <c r="J2189" s="41" t="n"/>
      <c r="K2189" s="41" t="n"/>
      <c r="L2189" s="41" t="n"/>
      <c r="M2189" s="31">
        <f>IF(COUNT(J2189:L2189)=0,"",MEDIAN(J2189:L2189))</f>
        <v/>
      </c>
      <c r="N2189" s="38" t="n"/>
      <c r="O2189" s="38" t="n"/>
      <c r="P2189" s="38" t="n"/>
      <c r="Q2189" s="38" t="n"/>
      <c r="R2189" s="38" t="n"/>
      <c r="S2189" s="38" t="n"/>
      <c r="T2189" s="38" t="n"/>
      <c r="U2189" s="38" t="n"/>
      <c r="V2189" s="38" t="n"/>
      <c r="W2189" s="38" t="n"/>
      <c r="X2189" s="38" t="n"/>
      <c r="Y2189" s="29" t="n"/>
      <c r="Z2189" s="29" t="n"/>
      <c r="AA2189" s="29" t="n"/>
      <c r="AB2189" s="32" t="n"/>
      <c r="AC2189" s="32" t="n"/>
    </row>
    <row r="2190">
      <c r="A2190" s="44" t="inlineStr">
        <is>
          <t>S43</t>
        </is>
      </c>
      <c r="B2190" s="44" t="inlineStr">
        <is>
          <t>포천</t>
        </is>
      </c>
      <c r="C2190" s="44" t="inlineStr">
        <is>
          <t>S43-H동</t>
        </is>
      </c>
      <c r="D2190" s="45" t="n">
        <v>1</v>
      </c>
      <c r="E2190" s="44" t="inlineStr">
        <is>
          <t>P0(전)</t>
        </is>
      </c>
      <c r="F2190" s="44" t="inlineStr">
        <is>
          <t>동</t>
        </is>
      </c>
      <c r="G2190" s="46" t="n"/>
      <c r="H2190" s="30" t="n"/>
      <c r="I2190" s="43" t="n"/>
      <c r="J2190" s="41" t="n"/>
      <c r="K2190" s="41" t="n"/>
      <c r="L2190" s="41" t="n"/>
      <c r="M2190" s="31">
        <f>IF(COUNT(J2190:L2190)=0,"",MEDIAN(J2190:L2190))</f>
        <v/>
      </c>
      <c r="N2190" s="38" t="n"/>
      <c r="O2190" s="38" t="n"/>
      <c r="P2190" s="38" t="n"/>
      <c r="Q2190" s="38" t="n"/>
      <c r="R2190" s="38" t="n"/>
      <c r="S2190" s="38" t="n"/>
      <c r="T2190" s="38" t="n"/>
      <c r="U2190" s="38" t="n"/>
      <c r="V2190" s="38" t="n"/>
      <c r="W2190" s="38" t="n"/>
      <c r="X2190" s="38" t="n"/>
      <c r="Y2190" s="29" t="n"/>
      <c r="Z2190" s="29" t="n"/>
      <c r="AA2190" s="29" t="n"/>
      <c r="AB2190" s="32" t="n"/>
      <c r="AC2190" s="32" t="n"/>
    </row>
    <row r="2191">
      <c r="A2191" s="26" t="inlineStr">
        <is>
          <t>S43</t>
        </is>
      </c>
      <c r="B2191" s="26" t="inlineStr">
        <is>
          <t>포천</t>
        </is>
      </c>
      <c r="C2191" s="26" t="inlineStr">
        <is>
          <t>S43-H동</t>
        </is>
      </c>
      <c r="D2191" s="47" t="n">
        <v>1</v>
      </c>
      <c r="E2191" s="26" t="inlineStr">
        <is>
          <t>측정</t>
        </is>
      </c>
      <c r="F2191" s="26" t="inlineStr">
        <is>
          <t>동</t>
        </is>
      </c>
      <c r="G2191" s="31" t="n">
        <v>0.5</v>
      </c>
      <c r="H2191" s="30" t="n"/>
      <c r="I2191" s="43" t="n"/>
      <c r="J2191" s="41" t="n"/>
      <c r="K2191" s="41" t="n"/>
      <c r="L2191" s="41" t="n"/>
      <c r="M2191" s="31">
        <f>IF(COUNT(J2191:L2191)=0,"",MEDIAN(J2191:L2191))</f>
        <v/>
      </c>
      <c r="N2191" s="26">
        <f>IF(COUNTIFS($C:$C,$C2191,$D:$D,$D2191,$E:$E,"P0(전)",$M:$M,"&gt;0")&lt;&gt;1,"P0(전) 유효 1개 아님",IF(COUNTIFS($C:$C,$C2191,$D:$D,$D2191,$E:$E,"P0(후)",$M:$M,"&gt;0")&lt;&gt;1,"P0(후) 유효 1개 아님",IF(NOT(AND(ISNUMBER(O2191),ISNUMBER(Q2191),ISNUMBER(I2191))),"시각 결측",IF(Q2191&lt;=O2191,"P0 시각 역전",IF(OR(I2191&lt;O2191,I2191&gt;Q2191),"측정시각 구간 밖","OK")))))</f>
        <v/>
      </c>
      <c r="O2191" s="48">
        <f>IF(COUNTIFS($C:$C,$C2191,$D:$D,$D2191,$E:$E,"P0(전)",$M:$M,"&gt;0")&lt;&gt;1,"",SUMIFS($I:$I,$C:$C,$C2191,$D:$D,$D2191,$E:$E,"P0(전)"))</f>
        <v/>
      </c>
      <c r="P2191" s="31">
        <f>IF(COUNTIFS($C:$C,$C2191,$D:$D,$D2191,$E:$E,"P0(전)",$M:$M,"&gt;0")&lt;&gt;1,"",SUMIFS($M:$M,$C:$C,$C2191,$D:$D,$D2191,$E:$E,"P0(전)"))</f>
        <v/>
      </c>
      <c r="Q2191" s="48">
        <f>IF(COUNTIFS($C:$C,$C2191,$D:$D,$D2191,$E:$E,"P0(후)",$M:$M,"&gt;0")&lt;&gt;1,"",SUMIFS($I:$I,$C:$C,$C2191,$D:$D,$D2191,$E:$E,"P0(후)"))</f>
        <v/>
      </c>
      <c r="R2191" s="31">
        <f>IF(COUNTIFS($C:$C,$C2191,$D:$D,$D2191,$E:$E,"P0(후)",$M:$M,"&gt;0")&lt;&gt;1,"",SUMIFS($M:$M,$C:$C,$C2191,$D:$D,$D2191,$E:$E,"P0(후)"))</f>
        <v/>
      </c>
      <c r="S2191" s="31">
        <f>IF(N2191&lt;&gt;"OK","",P2191+(R2191-P2191)*(I2191-O2191)/(Q2191-O2191))</f>
        <v/>
      </c>
      <c r="T2191" s="31">
        <f>IF(OR(N2191&lt;&gt;"OK",NOT(ISNUMBER(M2191))),"",M2191-S2191)</f>
        <v/>
      </c>
      <c r="U2191" s="49">
        <f>IF(OR(NOT(ISNUMBER(T2191)),IF(ISNUMBER(H2191),H2191,G2191)=0),"",T2191/IF(ISNUMBER(H2191),H2191,G2191))</f>
        <v/>
      </c>
      <c r="V2191" s="49">
        <f>IF(ISNUMBER(U2191),ABS(U2191),"")</f>
        <v/>
      </c>
      <c r="W2191" s="49">
        <f>IF(OR($E2190&lt;&gt;"측정",$C2190&lt;&gt;$C2191,$D2190&lt;&gt;$D2191,NOT(ISNUMBER(M2191)),NOT(ISNUMBER(M2190)),(IF(ISNUMBER(H2191),H2191,G2191)-IF(ISNUMBER(H2190),H2190,G2190))=0),"",(M2191-M2190)/(IF(ISNUMBER(H2191),H2191,G2191)-IF(ISNUMBER(H2190),H2190,G2190)))</f>
        <v/>
      </c>
      <c r="X2191" s="31">
        <f>IF(NOT(AND(ISNUMBER(O2191),ISNUMBER(Q2191))),"",(Q2191-O2191)*1440)</f>
        <v/>
      </c>
      <c r="Y2191" s="29" t="n"/>
      <c r="Z2191" s="29" t="n"/>
      <c r="AA2191" s="29" t="n"/>
      <c r="AB2191" s="32" t="n"/>
      <c r="AC2191" s="32" t="n"/>
    </row>
    <row r="2192">
      <c r="A2192" s="26" t="inlineStr">
        <is>
          <t>S43</t>
        </is>
      </c>
      <c r="B2192" s="26" t="inlineStr">
        <is>
          <t>포천</t>
        </is>
      </c>
      <c r="C2192" s="26" t="inlineStr">
        <is>
          <t>S43-H동</t>
        </is>
      </c>
      <c r="D2192" s="47" t="n">
        <v>1</v>
      </c>
      <c r="E2192" s="26" t="inlineStr">
        <is>
          <t>측정</t>
        </is>
      </c>
      <c r="F2192" s="26" t="inlineStr">
        <is>
          <t>동</t>
        </is>
      </c>
      <c r="G2192" s="31" t="n">
        <v>1</v>
      </c>
      <c r="H2192" s="30" t="n"/>
      <c r="I2192" s="43" t="n"/>
      <c r="J2192" s="41" t="n"/>
      <c r="K2192" s="41" t="n"/>
      <c r="L2192" s="41" t="n"/>
      <c r="M2192" s="31">
        <f>IF(COUNT(J2192:L2192)=0,"",MEDIAN(J2192:L2192))</f>
        <v/>
      </c>
      <c r="N2192" s="26">
        <f>IF(COUNTIFS($C:$C,$C2192,$D:$D,$D2192,$E:$E,"P0(전)",$M:$M,"&gt;0")&lt;&gt;1,"P0(전) 유효 1개 아님",IF(COUNTIFS($C:$C,$C2192,$D:$D,$D2192,$E:$E,"P0(후)",$M:$M,"&gt;0")&lt;&gt;1,"P0(후) 유효 1개 아님",IF(NOT(AND(ISNUMBER(O2192),ISNUMBER(Q2192),ISNUMBER(I2192))),"시각 결측",IF(Q2192&lt;=O2192,"P0 시각 역전",IF(OR(I2192&lt;O2192,I2192&gt;Q2192),"측정시각 구간 밖","OK")))))</f>
        <v/>
      </c>
      <c r="O2192" s="48">
        <f>IF(COUNTIFS($C:$C,$C2192,$D:$D,$D2192,$E:$E,"P0(전)",$M:$M,"&gt;0")&lt;&gt;1,"",SUMIFS($I:$I,$C:$C,$C2192,$D:$D,$D2192,$E:$E,"P0(전)"))</f>
        <v/>
      </c>
      <c r="P2192" s="31">
        <f>IF(COUNTIFS($C:$C,$C2192,$D:$D,$D2192,$E:$E,"P0(전)",$M:$M,"&gt;0")&lt;&gt;1,"",SUMIFS($M:$M,$C:$C,$C2192,$D:$D,$D2192,$E:$E,"P0(전)"))</f>
        <v/>
      </c>
      <c r="Q2192" s="48">
        <f>IF(COUNTIFS($C:$C,$C2192,$D:$D,$D2192,$E:$E,"P0(후)",$M:$M,"&gt;0")&lt;&gt;1,"",SUMIFS($I:$I,$C:$C,$C2192,$D:$D,$D2192,$E:$E,"P0(후)"))</f>
        <v/>
      </c>
      <c r="R2192" s="31">
        <f>IF(COUNTIFS($C:$C,$C2192,$D:$D,$D2192,$E:$E,"P0(후)",$M:$M,"&gt;0")&lt;&gt;1,"",SUMIFS($M:$M,$C:$C,$C2192,$D:$D,$D2192,$E:$E,"P0(후)"))</f>
        <v/>
      </c>
      <c r="S2192" s="31">
        <f>IF(N2192&lt;&gt;"OK","",P2192+(R2192-P2192)*(I2192-O2192)/(Q2192-O2192))</f>
        <v/>
      </c>
      <c r="T2192" s="31">
        <f>IF(OR(N2192&lt;&gt;"OK",NOT(ISNUMBER(M2192))),"",M2192-S2192)</f>
        <v/>
      </c>
      <c r="U2192" s="49">
        <f>IF(OR(NOT(ISNUMBER(T2192)),IF(ISNUMBER(H2192),H2192,G2192)=0),"",T2192/IF(ISNUMBER(H2192),H2192,G2192))</f>
        <v/>
      </c>
      <c r="V2192" s="49">
        <f>IF(ISNUMBER(U2192),ABS(U2192),"")</f>
        <v/>
      </c>
      <c r="W2192" s="49">
        <f>IF(OR($E2191&lt;&gt;"측정",$C2191&lt;&gt;$C2192,$D2191&lt;&gt;$D2192,NOT(ISNUMBER(M2192)),NOT(ISNUMBER(M2191)),(IF(ISNUMBER(H2192),H2192,G2192)-IF(ISNUMBER(H2191),H2191,G2191))=0),"",(M2192-M2191)/(IF(ISNUMBER(H2192),H2192,G2192)-IF(ISNUMBER(H2191),H2191,G2191)))</f>
        <v/>
      </c>
      <c r="X2192" s="31">
        <f>IF(NOT(AND(ISNUMBER(O2192),ISNUMBER(Q2192))),"",(Q2192-O2192)*1440)</f>
        <v/>
      </c>
      <c r="Y2192" s="29" t="n"/>
      <c r="Z2192" s="29" t="n"/>
      <c r="AA2192" s="29" t="n"/>
      <c r="AB2192" s="32" t="n"/>
      <c r="AC2192" s="32" t="n"/>
    </row>
    <row r="2193">
      <c r="A2193" s="26" t="inlineStr">
        <is>
          <t>S43</t>
        </is>
      </c>
      <c r="B2193" s="26" t="inlineStr">
        <is>
          <t>포천</t>
        </is>
      </c>
      <c r="C2193" s="26" t="inlineStr">
        <is>
          <t>S43-H동</t>
        </is>
      </c>
      <c r="D2193" s="47" t="n">
        <v>1</v>
      </c>
      <c r="E2193" s="26" t="inlineStr">
        <is>
          <t>측정</t>
        </is>
      </c>
      <c r="F2193" s="26" t="inlineStr">
        <is>
          <t>동</t>
        </is>
      </c>
      <c r="G2193" s="31" t="n">
        <v>2</v>
      </c>
      <c r="H2193" s="30" t="n"/>
      <c r="I2193" s="43" t="n"/>
      <c r="J2193" s="41" t="n"/>
      <c r="K2193" s="41" t="n"/>
      <c r="L2193" s="41" t="n"/>
      <c r="M2193" s="31">
        <f>IF(COUNT(J2193:L2193)=0,"",MEDIAN(J2193:L2193))</f>
        <v/>
      </c>
      <c r="N2193" s="26">
        <f>IF(COUNTIFS($C:$C,$C2193,$D:$D,$D2193,$E:$E,"P0(전)",$M:$M,"&gt;0")&lt;&gt;1,"P0(전) 유효 1개 아님",IF(COUNTIFS($C:$C,$C2193,$D:$D,$D2193,$E:$E,"P0(후)",$M:$M,"&gt;0")&lt;&gt;1,"P0(후) 유효 1개 아님",IF(NOT(AND(ISNUMBER(O2193),ISNUMBER(Q2193),ISNUMBER(I2193))),"시각 결측",IF(Q2193&lt;=O2193,"P0 시각 역전",IF(OR(I2193&lt;O2193,I2193&gt;Q2193),"측정시각 구간 밖","OK")))))</f>
        <v/>
      </c>
      <c r="O2193" s="48">
        <f>IF(COUNTIFS($C:$C,$C2193,$D:$D,$D2193,$E:$E,"P0(전)",$M:$M,"&gt;0")&lt;&gt;1,"",SUMIFS($I:$I,$C:$C,$C2193,$D:$D,$D2193,$E:$E,"P0(전)"))</f>
        <v/>
      </c>
      <c r="P2193" s="31">
        <f>IF(COUNTIFS($C:$C,$C2193,$D:$D,$D2193,$E:$E,"P0(전)",$M:$M,"&gt;0")&lt;&gt;1,"",SUMIFS($M:$M,$C:$C,$C2193,$D:$D,$D2193,$E:$E,"P0(전)"))</f>
        <v/>
      </c>
      <c r="Q2193" s="48">
        <f>IF(COUNTIFS($C:$C,$C2193,$D:$D,$D2193,$E:$E,"P0(후)",$M:$M,"&gt;0")&lt;&gt;1,"",SUMIFS($I:$I,$C:$C,$C2193,$D:$D,$D2193,$E:$E,"P0(후)"))</f>
        <v/>
      </c>
      <c r="R2193" s="31">
        <f>IF(COUNTIFS($C:$C,$C2193,$D:$D,$D2193,$E:$E,"P0(후)",$M:$M,"&gt;0")&lt;&gt;1,"",SUMIFS($M:$M,$C:$C,$C2193,$D:$D,$D2193,$E:$E,"P0(후)"))</f>
        <v/>
      </c>
      <c r="S2193" s="31">
        <f>IF(N2193&lt;&gt;"OK","",P2193+(R2193-P2193)*(I2193-O2193)/(Q2193-O2193))</f>
        <v/>
      </c>
      <c r="T2193" s="31">
        <f>IF(OR(N2193&lt;&gt;"OK",NOT(ISNUMBER(M2193))),"",M2193-S2193)</f>
        <v/>
      </c>
      <c r="U2193" s="49">
        <f>IF(OR(NOT(ISNUMBER(T2193)),IF(ISNUMBER(H2193),H2193,G2193)=0),"",T2193/IF(ISNUMBER(H2193),H2193,G2193))</f>
        <v/>
      </c>
      <c r="V2193" s="49">
        <f>IF(ISNUMBER(U2193),ABS(U2193),"")</f>
        <v/>
      </c>
      <c r="W2193" s="49">
        <f>IF(OR($E2192&lt;&gt;"측정",$C2192&lt;&gt;$C2193,$D2192&lt;&gt;$D2193,NOT(ISNUMBER(M2193)),NOT(ISNUMBER(M2192)),(IF(ISNUMBER(H2193),H2193,G2193)-IF(ISNUMBER(H2192),H2192,G2192))=0),"",(M2193-M2192)/(IF(ISNUMBER(H2193),H2193,G2193)-IF(ISNUMBER(H2192),H2192,G2192)))</f>
        <v/>
      </c>
      <c r="X2193" s="31">
        <f>IF(NOT(AND(ISNUMBER(O2193),ISNUMBER(Q2193))),"",(Q2193-O2193)*1440)</f>
        <v/>
      </c>
      <c r="Y2193" s="29" t="n"/>
      <c r="Z2193" s="29" t="n"/>
      <c r="AA2193" s="29" t="n"/>
      <c r="AB2193" s="32" t="n"/>
      <c r="AC2193" s="32" t="n"/>
    </row>
    <row r="2194">
      <c r="A2194" s="26" t="inlineStr">
        <is>
          <t>S43</t>
        </is>
      </c>
      <c r="B2194" s="26" t="inlineStr">
        <is>
          <t>포천</t>
        </is>
      </c>
      <c r="C2194" s="26" t="inlineStr">
        <is>
          <t>S43-H동</t>
        </is>
      </c>
      <c r="D2194" s="47" t="n">
        <v>1</v>
      </c>
      <c r="E2194" s="26" t="inlineStr">
        <is>
          <t>측정</t>
        </is>
      </c>
      <c r="F2194" s="26" t="inlineStr">
        <is>
          <t>동</t>
        </is>
      </c>
      <c r="G2194" s="31" t="n">
        <v>3</v>
      </c>
      <c r="H2194" s="30" t="n"/>
      <c r="I2194" s="43" t="n"/>
      <c r="J2194" s="41" t="n"/>
      <c r="K2194" s="41" t="n"/>
      <c r="L2194" s="41" t="n"/>
      <c r="M2194" s="31">
        <f>IF(COUNT(J2194:L2194)=0,"",MEDIAN(J2194:L2194))</f>
        <v/>
      </c>
      <c r="N2194" s="26">
        <f>IF(COUNTIFS($C:$C,$C2194,$D:$D,$D2194,$E:$E,"P0(전)",$M:$M,"&gt;0")&lt;&gt;1,"P0(전) 유효 1개 아님",IF(COUNTIFS($C:$C,$C2194,$D:$D,$D2194,$E:$E,"P0(후)",$M:$M,"&gt;0")&lt;&gt;1,"P0(후) 유효 1개 아님",IF(NOT(AND(ISNUMBER(O2194),ISNUMBER(Q2194),ISNUMBER(I2194))),"시각 결측",IF(Q2194&lt;=O2194,"P0 시각 역전",IF(OR(I2194&lt;O2194,I2194&gt;Q2194),"측정시각 구간 밖","OK")))))</f>
        <v/>
      </c>
      <c r="O2194" s="48">
        <f>IF(COUNTIFS($C:$C,$C2194,$D:$D,$D2194,$E:$E,"P0(전)",$M:$M,"&gt;0")&lt;&gt;1,"",SUMIFS($I:$I,$C:$C,$C2194,$D:$D,$D2194,$E:$E,"P0(전)"))</f>
        <v/>
      </c>
      <c r="P2194" s="31">
        <f>IF(COUNTIFS($C:$C,$C2194,$D:$D,$D2194,$E:$E,"P0(전)",$M:$M,"&gt;0")&lt;&gt;1,"",SUMIFS($M:$M,$C:$C,$C2194,$D:$D,$D2194,$E:$E,"P0(전)"))</f>
        <v/>
      </c>
      <c r="Q2194" s="48">
        <f>IF(COUNTIFS($C:$C,$C2194,$D:$D,$D2194,$E:$E,"P0(후)",$M:$M,"&gt;0")&lt;&gt;1,"",SUMIFS($I:$I,$C:$C,$C2194,$D:$D,$D2194,$E:$E,"P0(후)"))</f>
        <v/>
      </c>
      <c r="R2194" s="31">
        <f>IF(COUNTIFS($C:$C,$C2194,$D:$D,$D2194,$E:$E,"P0(후)",$M:$M,"&gt;0")&lt;&gt;1,"",SUMIFS($M:$M,$C:$C,$C2194,$D:$D,$D2194,$E:$E,"P0(후)"))</f>
        <v/>
      </c>
      <c r="S2194" s="31">
        <f>IF(N2194&lt;&gt;"OK","",P2194+(R2194-P2194)*(I2194-O2194)/(Q2194-O2194))</f>
        <v/>
      </c>
      <c r="T2194" s="31">
        <f>IF(OR(N2194&lt;&gt;"OK",NOT(ISNUMBER(M2194))),"",M2194-S2194)</f>
        <v/>
      </c>
      <c r="U2194" s="49">
        <f>IF(OR(NOT(ISNUMBER(T2194)),IF(ISNUMBER(H2194),H2194,G2194)=0),"",T2194/IF(ISNUMBER(H2194),H2194,G2194))</f>
        <v/>
      </c>
      <c r="V2194" s="49">
        <f>IF(ISNUMBER(U2194),ABS(U2194),"")</f>
        <v/>
      </c>
      <c r="W2194" s="49">
        <f>IF(OR($E2193&lt;&gt;"측정",$C2193&lt;&gt;$C2194,$D2193&lt;&gt;$D2194,NOT(ISNUMBER(M2194)),NOT(ISNUMBER(M2193)),(IF(ISNUMBER(H2194),H2194,G2194)-IF(ISNUMBER(H2193),H2193,G2193))=0),"",(M2194-M2193)/(IF(ISNUMBER(H2194),H2194,G2194)-IF(ISNUMBER(H2193),H2193,G2193)))</f>
        <v/>
      </c>
      <c r="X2194" s="31">
        <f>IF(NOT(AND(ISNUMBER(O2194),ISNUMBER(Q2194))),"",(Q2194-O2194)*1440)</f>
        <v/>
      </c>
      <c r="Y2194" s="29" t="n"/>
      <c r="Z2194" s="29" t="n"/>
      <c r="AA2194" s="29" t="n"/>
      <c r="AB2194" s="32" t="n"/>
      <c r="AC2194" s="32" t="n"/>
    </row>
    <row r="2195">
      <c r="A2195" s="26" t="inlineStr">
        <is>
          <t>S43</t>
        </is>
      </c>
      <c r="B2195" s="26" t="inlineStr">
        <is>
          <t>포천</t>
        </is>
      </c>
      <c r="C2195" s="26" t="inlineStr">
        <is>
          <t>S43-H동</t>
        </is>
      </c>
      <c r="D2195" s="47" t="n">
        <v>1</v>
      </c>
      <c r="E2195" s="26" t="inlineStr">
        <is>
          <t>측정</t>
        </is>
      </c>
      <c r="F2195" s="26" t="inlineStr">
        <is>
          <t>동</t>
        </is>
      </c>
      <c r="G2195" s="31" t="n">
        <v>4</v>
      </c>
      <c r="H2195" s="30" t="n"/>
      <c r="I2195" s="43" t="n"/>
      <c r="J2195" s="41" t="n"/>
      <c r="K2195" s="41" t="n"/>
      <c r="L2195" s="41" t="n"/>
      <c r="M2195" s="31">
        <f>IF(COUNT(J2195:L2195)=0,"",MEDIAN(J2195:L2195))</f>
        <v/>
      </c>
      <c r="N2195" s="26">
        <f>IF(COUNTIFS($C:$C,$C2195,$D:$D,$D2195,$E:$E,"P0(전)",$M:$M,"&gt;0")&lt;&gt;1,"P0(전) 유효 1개 아님",IF(COUNTIFS($C:$C,$C2195,$D:$D,$D2195,$E:$E,"P0(후)",$M:$M,"&gt;0")&lt;&gt;1,"P0(후) 유효 1개 아님",IF(NOT(AND(ISNUMBER(O2195),ISNUMBER(Q2195),ISNUMBER(I2195))),"시각 결측",IF(Q2195&lt;=O2195,"P0 시각 역전",IF(OR(I2195&lt;O2195,I2195&gt;Q2195),"측정시각 구간 밖","OK")))))</f>
        <v/>
      </c>
      <c r="O2195" s="48">
        <f>IF(COUNTIFS($C:$C,$C2195,$D:$D,$D2195,$E:$E,"P0(전)",$M:$M,"&gt;0")&lt;&gt;1,"",SUMIFS($I:$I,$C:$C,$C2195,$D:$D,$D2195,$E:$E,"P0(전)"))</f>
        <v/>
      </c>
      <c r="P2195" s="31">
        <f>IF(COUNTIFS($C:$C,$C2195,$D:$D,$D2195,$E:$E,"P0(전)",$M:$M,"&gt;0")&lt;&gt;1,"",SUMIFS($M:$M,$C:$C,$C2195,$D:$D,$D2195,$E:$E,"P0(전)"))</f>
        <v/>
      </c>
      <c r="Q2195" s="48">
        <f>IF(COUNTIFS($C:$C,$C2195,$D:$D,$D2195,$E:$E,"P0(후)",$M:$M,"&gt;0")&lt;&gt;1,"",SUMIFS($I:$I,$C:$C,$C2195,$D:$D,$D2195,$E:$E,"P0(후)"))</f>
        <v/>
      </c>
      <c r="R2195" s="31">
        <f>IF(COUNTIFS($C:$C,$C2195,$D:$D,$D2195,$E:$E,"P0(후)",$M:$M,"&gt;0")&lt;&gt;1,"",SUMIFS($M:$M,$C:$C,$C2195,$D:$D,$D2195,$E:$E,"P0(후)"))</f>
        <v/>
      </c>
      <c r="S2195" s="31">
        <f>IF(N2195&lt;&gt;"OK","",P2195+(R2195-P2195)*(I2195-O2195)/(Q2195-O2195))</f>
        <v/>
      </c>
      <c r="T2195" s="31">
        <f>IF(OR(N2195&lt;&gt;"OK",NOT(ISNUMBER(M2195))),"",M2195-S2195)</f>
        <v/>
      </c>
      <c r="U2195" s="49">
        <f>IF(OR(NOT(ISNUMBER(T2195)),IF(ISNUMBER(H2195),H2195,G2195)=0),"",T2195/IF(ISNUMBER(H2195),H2195,G2195))</f>
        <v/>
      </c>
      <c r="V2195" s="49">
        <f>IF(ISNUMBER(U2195),ABS(U2195),"")</f>
        <v/>
      </c>
      <c r="W2195" s="49">
        <f>IF(OR($E2194&lt;&gt;"측정",$C2194&lt;&gt;$C2195,$D2194&lt;&gt;$D2195,NOT(ISNUMBER(M2195)),NOT(ISNUMBER(M2194)),(IF(ISNUMBER(H2195),H2195,G2195)-IF(ISNUMBER(H2194),H2194,G2194))=0),"",(M2195-M2194)/(IF(ISNUMBER(H2195),H2195,G2195)-IF(ISNUMBER(H2194),H2194,G2194)))</f>
        <v/>
      </c>
      <c r="X2195" s="31">
        <f>IF(NOT(AND(ISNUMBER(O2195),ISNUMBER(Q2195))),"",(Q2195-O2195)*1440)</f>
        <v/>
      </c>
      <c r="Y2195" s="29" t="n"/>
      <c r="Z2195" s="29" t="n"/>
      <c r="AA2195" s="29" t="n"/>
      <c r="AB2195" s="32" t="n"/>
      <c r="AC2195" s="32" t="n"/>
    </row>
    <row r="2196">
      <c r="A2196" s="26" t="inlineStr">
        <is>
          <t>S43</t>
        </is>
      </c>
      <c r="B2196" s="26" t="inlineStr">
        <is>
          <t>포천</t>
        </is>
      </c>
      <c r="C2196" s="26" t="inlineStr">
        <is>
          <t>S43-H동</t>
        </is>
      </c>
      <c r="D2196" s="47" t="n">
        <v>1</v>
      </c>
      <c r="E2196" s="26" t="inlineStr">
        <is>
          <t>측정</t>
        </is>
      </c>
      <c r="F2196" s="26" t="inlineStr">
        <is>
          <t>동</t>
        </is>
      </c>
      <c r="G2196" s="31" t="n">
        <v>5</v>
      </c>
      <c r="H2196" s="30" t="n"/>
      <c r="I2196" s="43" t="n"/>
      <c r="J2196" s="41" t="n"/>
      <c r="K2196" s="41" t="n"/>
      <c r="L2196" s="41" t="n"/>
      <c r="M2196" s="31">
        <f>IF(COUNT(J2196:L2196)=0,"",MEDIAN(J2196:L2196))</f>
        <v/>
      </c>
      <c r="N2196" s="26">
        <f>IF(COUNTIFS($C:$C,$C2196,$D:$D,$D2196,$E:$E,"P0(전)",$M:$M,"&gt;0")&lt;&gt;1,"P0(전) 유효 1개 아님",IF(COUNTIFS($C:$C,$C2196,$D:$D,$D2196,$E:$E,"P0(후)",$M:$M,"&gt;0")&lt;&gt;1,"P0(후) 유효 1개 아님",IF(NOT(AND(ISNUMBER(O2196),ISNUMBER(Q2196),ISNUMBER(I2196))),"시각 결측",IF(Q2196&lt;=O2196,"P0 시각 역전",IF(OR(I2196&lt;O2196,I2196&gt;Q2196),"측정시각 구간 밖","OK")))))</f>
        <v/>
      </c>
      <c r="O2196" s="48">
        <f>IF(COUNTIFS($C:$C,$C2196,$D:$D,$D2196,$E:$E,"P0(전)",$M:$M,"&gt;0")&lt;&gt;1,"",SUMIFS($I:$I,$C:$C,$C2196,$D:$D,$D2196,$E:$E,"P0(전)"))</f>
        <v/>
      </c>
      <c r="P2196" s="31">
        <f>IF(COUNTIFS($C:$C,$C2196,$D:$D,$D2196,$E:$E,"P0(전)",$M:$M,"&gt;0")&lt;&gt;1,"",SUMIFS($M:$M,$C:$C,$C2196,$D:$D,$D2196,$E:$E,"P0(전)"))</f>
        <v/>
      </c>
      <c r="Q2196" s="48">
        <f>IF(COUNTIFS($C:$C,$C2196,$D:$D,$D2196,$E:$E,"P0(후)",$M:$M,"&gt;0")&lt;&gt;1,"",SUMIFS($I:$I,$C:$C,$C2196,$D:$D,$D2196,$E:$E,"P0(후)"))</f>
        <v/>
      </c>
      <c r="R2196" s="31">
        <f>IF(COUNTIFS($C:$C,$C2196,$D:$D,$D2196,$E:$E,"P0(후)",$M:$M,"&gt;0")&lt;&gt;1,"",SUMIFS($M:$M,$C:$C,$C2196,$D:$D,$D2196,$E:$E,"P0(후)"))</f>
        <v/>
      </c>
      <c r="S2196" s="31">
        <f>IF(N2196&lt;&gt;"OK","",P2196+(R2196-P2196)*(I2196-O2196)/(Q2196-O2196))</f>
        <v/>
      </c>
      <c r="T2196" s="31">
        <f>IF(OR(N2196&lt;&gt;"OK",NOT(ISNUMBER(M2196))),"",M2196-S2196)</f>
        <v/>
      </c>
      <c r="U2196" s="49">
        <f>IF(OR(NOT(ISNUMBER(T2196)),IF(ISNUMBER(H2196),H2196,G2196)=0),"",T2196/IF(ISNUMBER(H2196),H2196,G2196))</f>
        <v/>
      </c>
      <c r="V2196" s="49">
        <f>IF(ISNUMBER(U2196),ABS(U2196),"")</f>
        <v/>
      </c>
      <c r="W2196" s="49">
        <f>IF(OR($E2195&lt;&gt;"측정",$C2195&lt;&gt;$C2196,$D2195&lt;&gt;$D2196,NOT(ISNUMBER(M2196)),NOT(ISNUMBER(M2195)),(IF(ISNUMBER(H2196),H2196,G2196)-IF(ISNUMBER(H2195),H2195,G2195))=0),"",(M2196-M2195)/(IF(ISNUMBER(H2196),H2196,G2196)-IF(ISNUMBER(H2195),H2195,G2195)))</f>
        <v/>
      </c>
      <c r="X2196" s="31">
        <f>IF(NOT(AND(ISNUMBER(O2196),ISNUMBER(Q2196))),"",(Q2196-O2196)*1440)</f>
        <v/>
      </c>
      <c r="Y2196" s="29" t="n"/>
      <c r="Z2196" s="29" t="n"/>
      <c r="AA2196" s="29" t="n"/>
      <c r="AB2196" s="32" t="n"/>
      <c r="AC2196" s="32" t="n"/>
    </row>
    <row r="2197">
      <c r="A2197" s="26" t="inlineStr">
        <is>
          <t>S43</t>
        </is>
      </c>
      <c r="B2197" s="26" t="inlineStr">
        <is>
          <t>포천</t>
        </is>
      </c>
      <c r="C2197" s="26" t="inlineStr">
        <is>
          <t>S43-H동</t>
        </is>
      </c>
      <c r="D2197" s="47" t="n">
        <v>1</v>
      </c>
      <c r="E2197" s="26" t="inlineStr">
        <is>
          <t>측정</t>
        </is>
      </c>
      <c r="F2197" s="26" t="inlineStr">
        <is>
          <t>동</t>
        </is>
      </c>
      <c r="G2197" s="31" t="n">
        <v>6</v>
      </c>
      <c r="H2197" s="30" t="n"/>
      <c r="I2197" s="43" t="n"/>
      <c r="J2197" s="41" t="n"/>
      <c r="K2197" s="41" t="n"/>
      <c r="L2197" s="41" t="n"/>
      <c r="M2197" s="31">
        <f>IF(COUNT(J2197:L2197)=0,"",MEDIAN(J2197:L2197))</f>
        <v/>
      </c>
      <c r="N2197" s="26">
        <f>IF(COUNTIFS($C:$C,$C2197,$D:$D,$D2197,$E:$E,"P0(전)",$M:$M,"&gt;0")&lt;&gt;1,"P0(전) 유효 1개 아님",IF(COUNTIFS($C:$C,$C2197,$D:$D,$D2197,$E:$E,"P0(후)",$M:$M,"&gt;0")&lt;&gt;1,"P0(후) 유효 1개 아님",IF(NOT(AND(ISNUMBER(O2197),ISNUMBER(Q2197),ISNUMBER(I2197))),"시각 결측",IF(Q2197&lt;=O2197,"P0 시각 역전",IF(OR(I2197&lt;O2197,I2197&gt;Q2197),"측정시각 구간 밖","OK")))))</f>
        <v/>
      </c>
      <c r="O2197" s="48">
        <f>IF(COUNTIFS($C:$C,$C2197,$D:$D,$D2197,$E:$E,"P0(전)",$M:$M,"&gt;0")&lt;&gt;1,"",SUMIFS($I:$I,$C:$C,$C2197,$D:$D,$D2197,$E:$E,"P0(전)"))</f>
        <v/>
      </c>
      <c r="P2197" s="31">
        <f>IF(COUNTIFS($C:$C,$C2197,$D:$D,$D2197,$E:$E,"P0(전)",$M:$M,"&gt;0")&lt;&gt;1,"",SUMIFS($M:$M,$C:$C,$C2197,$D:$D,$D2197,$E:$E,"P0(전)"))</f>
        <v/>
      </c>
      <c r="Q2197" s="48">
        <f>IF(COUNTIFS($C:$C,$C2197,$D:$D,$D2197,$E:$E,"P0(후)",$M:$M,"&gt;0")&lt;&gt;1,"",SUMIFS($I:$I,$C:$C,$C2197,$D:$D,$D2197,$E:$E,"P0(후)"))</f>
        <v/>
      </c>
      <c r="R2197" s="31">
        <f>IF(COUNTIFS($C:$C,$C2197,$D:$D,$D2197,$E:$E,"P0(후)",$M:$M,"&gt;0")&lt;&gt;1,"",SUMIFS($M:$M,$C:$C,$C2197,$D:$D,$D2197,$E:$E,"P0(후)"))</f>
        <v/>
      </c>
      <c r="S2197" s="31">
        <f>IF(N2197&lt;&gt;"OK","",P2197+(R2197-P2197)*(I2197-O2197)/(Q2197-O2197))</f>
        <v/>
      </c>
      <c r="T2197" s="31">
        <f>IF(OR(N2197&lt;&gt;"OK",NOT(ISNUMBER(M2197))),"",M2197-S2197)</f>
        <v/>
      </c>
      <c r="U2197" s="49">
        <f>IF(OR(NOT(ISNUMBER(T2197)),IF(ISNUMBER(H2197),H2197,G2197)=0),"",T2197/IF(ISNUMBER(H2197),H2197,G2197))</f>
        <v/>
      </c>
      <c r="V2197" s="49">
        <f>IF(ISNUMBER(U2197),ABS(U2197),"")</f>
        <v/>
      </c>
      <c r="W2197" s="49">
        <f>IF(OR($E2196&lt;&gt;"측정",$C2196&lt;&gt;$C2197,$D2196&lt;&gt;$D2197,NOT(ISNUMBER(M2197)),NOT(ISNUMBER(M2196)),(IF(ISNUMBER(H2197),H2197,G2197)-IF(ISNUMBER(H2196),H2196,G2196))=0),"",(M2197-M2196)/(IF(ISNUMBER(H2197),H2197,G2197)-IF(ISNUMBER(H2196),H2196,G2196)))</f>
        <v/>
      </c>
      <c r="X2197" s="31">
        <f>IF(NOT(AND(ISNUMBER(O2197),ISNUMBER(Q2197))),"",(Q2197-O2197)*1440)</f>
        <v/>
      </c>
      <c r="Y2197" s="29" t="n"/>
      <c r="Z2197" s="29" t="n"/>
      <c r="AA2197" s="29" t="n"/>
      <c r="AB2197" s="32" t="n"/>
      <c r="AC2197" s="32" t="n"/>
    </row>
    <row r="2198">
      <c r="A2198" s="26" t="inlineStr">
        <is>
          <t>S43</t>
        </is>
      </c>
      <c r="B2198" s="26" t="inlineStr">
        <is>
          <t>포천</t>
        </is>
      </c>
      <c r="C2198" s="26" t="inlineStr">
        <is>
          <t>S43-H동</t>
        </is>
      </c>
      <c r="D2198" s="47" t="n">
        <v>1</v>
      </c>
      <c r="E2198" s="26" t="inlineStr">
        <is>
          <t>측정</t>
        </is>
      </c>
      <c r="F2198" s="26" t="inlineStr">
        <is>
          <t>동</t>
        </is>
      </c>
      <c r="G2198" s="31" t="n">
        <v>7</v>
      </c>
      <c r="H2198" s="30" t="n"/>
      <c r="I2198" s="43" t="n"/>
      <c r="J2198" s="41" t="n"/>
      <c r="K2198" s="41" t="n"/>
      <c r="L2198" s="41" t="n"/>
      <c r="M2198" s="31">
        <f>IF(COUNT(J2198:L2198)=0,"",MEDIAN(J2198:L2198))</f>
        <v/>
      </c>
      <c r="N2198" s="26">
        <f>IF(COUNTIFS($C:$C,$C2198,$D:$D,$D2198,$E:$E,"P0(전)",$M:$M,"&gt;0")&lt;&gt;1,"P0(전) 유효 1개 아님",IF(COUNTIFS($C:$C,$C2198,$D:$D,$D2198,$E:$E,"P0(후)",$M:$M,"&gt;0")&lt;&gt;1,"P0(후) 유효 1개 아님",IF(NOT(AND(ISNUMBER(O2198),ISNUMBER(Q2198),ISNUMBER(I2198))),"시각 결측",IF(Q2198&lt;=O2198,"P0 시각 역전",IF(OR(I2198&lt;O2198,I2198&gt;Q2198),"측정시각 구간 밖","OK")))))</f>
        <v/>
      </c>
      <c r="O2198" s="48">
        <f>IF(COUNTIFS($C:$C,$C2198,$D:$D,$D2198,$E:$E,"P0(전)",$M:$M,"&gt;0")&lt;&gt;1,"",SUMIFS($I:$I,$C:$C,$C2198,$D:$D,$D2198,$E:$E,"P0(전)"))</f>
        <v/>
      </c>
      <c r="P2198" s="31">
        <f>IF(COUNTIFS($C:$C,$C2198,$D:$D,$D2198,$E:$E,"P0(전)",$M:$M,"&gt;0")&lt;&gt;1,"",SUMIFS($M:$M,$C:$C,$C2198,$D:$D,$D2198,$E:$E,"P0(전)"))</f>
        <v/>
      </c>
      <c r="Q2198" s="48">
        <f>IF(COUNTIFS($C:$C,$C2198,$D:$D,$D2198,$E:$E,"P0(후)",$M:$M,"&gt;0")&lt;&gt;1,"",SUMIFS($I:$I,$C:$C,$C2198,$D:$D,$D2198,$E:$E,"P0(후)"))</f>
        <v/>
      </c>
      <c r="R2198" s="31">
        <f>IF(COUNTIFS($C:$C,$C2198,$D:$D,$D2198,$E:$E,"P0(후)",$M:$M,"&gt;0")&lt;&gt;1,"",SUMIFS($M:$M,$C:$C,$C2198,$D:$D,$D2198,$E:$E,"P0(후)"))</f>
        <v/>
      </c>
      <c r="S2198" s="31">
        <f>IF(N2198&lt;&gt;"OK","",P2198+(R2198-P2198)*(I2198-O2198)/(Q2198-O2198))</f>
        <v/>
      </c>
      <c r="T2198" s="31">
        <f>IF(OR(N2198&lt;&gt;"OK",NOT(ISNUMBER(M2198))),"",M2198-S2198)</f>
        <v/>
      </c>
      <c r="U2198" s="49">
        <f>IF(OR(NOT(ISNUMBER(T2198)),IF(ISNUMBER(H2198),H2198,G2198)=0),"",T2198/IF(ISNUMBER(H2198),H2198,G2198))</f>
        <v/>
      </c>
      <c r="V2198" s="49">
        <f>IF(ISNUMBER(U2198),ABS(U2198),"")</f>
        <v/>
      </c>
      <c r="W2198" s="49">
        <f>IF(OR($E2197&lt;&gt;"측정",$C2197&lt;&gt;$C2198,$D2197&lt;&gt;$D2198,NOT(ISNUMBER(M2198)),NOT(ISNUMBER(M2197)),(IF(ISNUMBER(H2198),H2198,G2198)-IF(ISNUMBER(H2197),H2197,G2197))=0),"",(M2198-M2197)/(IF(ISNUMBER(H2198),H2198,G2198)-IF(ISNUMBER(H2197),H2197,G2197)))</f>
        <v/>
      </c>
      <c r="X2198" s="31">
        <f>IF(NOT(AND(ISNUMBER(O2198),ISNUMBER(Q2198))),"",(Q2198-O2198)*1440)</f>
        <v/>
      </c>
      <c r="Y2198" s="29" t="n"/>
      <c r="Z2198" s="29" t="n"/>
      <c r="AA2198" s="29" t="n"/>
      <c r="AB2198" s="32" t="n"/>
      <c r="AC2198" s="32" t="n"/>
    </row>
    <row r="2199">
      <c r="A2199" s="26" t="inlineStr">
        <is>
          <t>S43</t>
        </is>
      </c>
      <c r="B2199" s="26" t="inlineStr">
        <is>
          <t>포천</t>
        </is>
      </c>
      <c r="C2199" s="26" t="inlineStr">
        <is>
          <t>S43-H동</t>
        </is>
      </c>
      <c r="D2199" s="47" t="n">
        <v>1</v>
      </c>
      <c r="E2199" s="26" t="inlineStr">
        <is>
          <t>측정</t>
        </is>
      </c>
      <c r="F2199" s="26" t="inlineStr">
        <is>
          <t>동</t>
        </is>
      </c>
      <c r="G2199" s="31" t="n">
        <v>8</v>
      </c>
      <c r="H2199" s="30" t="n"/>
      <c r="I2199" s="43" t="n"/>
      <c r="J2199" s="41" t="n"/>
      <c r="K2199" s="41" t="n"/>
      <c r="L2199" s="41" t="n"/>
      <c r="M2199" s="31">
        <f>IF(COUNT(J2199:L2199)=0,"",MEDIAN(J2199:L2199))</f>
        <v/>
      </c>
      <c r="N2199" s="26">
        <f>IF(COUNTIFS($C:$C,$C2199,$D:$D,$D2199,$E:$E,"P0(전)",$M:$M,"&gt;0")&lt;&gt;1,"P0(전) 유효 1개 아님",IF(COUNTIFS($C:$C,$C2199,$D:$D,$D2199,$E:$E,"P0(후)",$M:$M,"&gt;0")&lt;&gt;1,"P0(후) 유효 1개 아님",IF(NOT(AND(ISNUMBER(O2199),ISNUMBER(Q2199),ISNUMBER(I2199))),"시각 결측",IF(Q2199&lt;=O2199,"P0 시각 역전",IF(OR(I2199&lt;O2199,I2199&gt;Q2199),"측정시각 구간 밖","OK")))))</f>
        <v/>
      </c>
      <c r="O2199" s="48">
        <f>IF(COUNTIFS($C:$C,$C2199,$D:$D,$D2199,$E:$E,"P0(전)",$M:$M,"&gt;0")&lt;&gt;1,"",SUMIFS($I:$I,$C:$C,$C2199,$D:$D,$D2199,$E:$E,"P0(전)"))</f>
        <v/>
      </c>
      <c r="P2199" s="31">
        <f>IF(COUNTIFS($C:$C,$C2199,$D:$D,$D2199,$E:$E,"P0(전)",$M:$M,"&gt;0")&lt;&gt;1,"",SUMIFS($M:$M,$C:$C,$C2199,$D:$D,$D2199,$E:$E,"P0(전)"))</f>
        <v/>
      </c>
      <c r="Q2199" s="48">
        <f>IF(COUNTIFS($C:$C,$C2199,$D:$D,$D2199,$E:$E,"P0(후)",$M:$M,"&gt;0")&lt;&gt;1,"",SUMIFS($I:$I,$C:$C,$C2199,$D:$D,$D2199,$E:$E,"P0(후)"))</f>
        <v/>
      </c>
      <c r="R2199" s="31">
        <f>IF(COUNTIFS($C:$C,$C2199,$D:$D,$D2199,$E:$E,"P0(후)",$M:$M,"&gt;0")&lt;&gt;1,"",SUMIFS($M:$M,$C:$C,$C2199,$D:$D,$D2199,$E:$E,"P0(후)"))</f>
        <v/>
      </c>
      <c r="S2199" s="31">
        <f>IF(N2199&lt;&gt;"OK","",P2199+(R2199-P2199)*(I2199-O2199)/(Q2199-O2199))</f>
        <v/>
      </c>
      <c r="T2199" s="31">
        <f>IF(OR(N2199&lt;&gt;"OK",NOT(ISNUMBER(M2199))),"",M2199-S2199)</f>
        <v/>
      </c>
      <c r="U2199" s="49">
        <f>IF(OR(NOT(ISNUMBER(T2199)),IF(ISNUMBER(H2199),H2199,G2199)=0),"",T2199/IF(ISNUMBER(H2199),H2199,G2199))</f>
        <v/>
      </c>
      <c r="V2199" s="49">
        <f>IF(ISNUMBER(U2199),ABS(U2199),"")</f>
        <v/>
      </c>
      <c r="W2199" s="49">
        <f>IF(OR($E2198&lt;&gt;"측정",$C2198&lt;&gt;$C2199,$D2198&lt;&gt;$D2199,NOT(ISNUMBER(M2199)),NOT(ISNUMBER(M2198)),(IF(ISNUMBER(H2199),H2199,G2199)-IF(ISNUMBER(H2198),H2198,G2198))=0),"",(M2199-M2198)/(IF(ISNUMBER(H2199),H2199,G2199)-IF(ISNUMBER(H2198),H2198,G2198)))</f>
        <v/>
      </c>
      <c r="X2199" s="31">
        <f>IF(NOT(AND(ISNUMBER(O2199),ISNUMBER(Q2199))),"",(Q2199-O2199)*1440)</f>
        <v/>
      </c>
      <c r="Y2199" s="29" t="n"/>
      <c r="Z2199" s="29" t="n"/>
      <c r="AA2199" s="29" t="n"/>
      <c r="AB2199" s="32" t="n"/>
      <c r="AC2199" s="32" t="n"/>
    </row>
    <row r="2200">
      <c r="A2200" s="26" t="inlineStr">
        <is>
          <t>S43</t>
        </is>
      </c>
      <c r="B2200" s="26" t="inlineStr">
        <is>
          <t>포천</t>
        </is>
      </c>
      <c r="C2200" s="26" t="inlineStr">
        <is>
          <t>S43-H동</t>
        </is>
      </c>
      <c r="D2200" s="47" t="n">
        <v>1</v>
      </c>
      <c r="E2200" s="26" t="inlineStr">
        <is>
          <t>측정</t>
        </is>
      </c>
      <c r="F2200" s="26" t="inlineStr">
        <is>
          <t>동</t>
        </is>
      </c>
      <c r="G2200" s="31" t="n">
        <v>9</v>
      </c>
      <c r="H2200" s="30" t="n"/>
      <c r="I2200" s="43" t="n"/>
      <c r="J2200" s="41" t="n"/>
      <c r="K2200" s="41" t="n"/>
      <c r="L2200" s="41" t="n"/>
      <c r="M2200" s="31">
        <f>IF(COUNT(J2200:L2200)=0,"",MEDIAN(J2200:L2200))</f>
        <v/>
      </c>
      <c r="N2200" s="26">
        <f>IF(COUNTIFS($C:$C,$C2200,$D:$D,$D2200,$E:$E,"P0(전)",$M:$M,"&gt;0")&lt;&gt;1,"P0(전) 유효 1개 아님",IF(COUNTIFS($C:$C,$C2200,$D:$D,$D2200,$E:$E,"P0(후)",$M:$M,"&gt;0")&lt;&gt;1,"P0(후) 유효 1개 아님",IF(NOT(AND(ISNUMBER(O2200),ISNUMBER(Q2200),ISNUMBER(I2200))),"시각 결측",IF(Q2200&lt;=O2200,"P0 시각 역전",IF(OR(I2200&lt;O2200,I2200&gt;Q2200),"측정시각 구간 밖","OK")))))</f>
        <v/>
      </c>
      <c r="O2200" s="48">
        <f>IF(COUNTIFS($C:$C,$C2200,$D:$D,$D2200,$E:$E,"P0(전)",$M:$M,"&gt;0")&lt;&gt;1,"",SUMIFS($I:$I,$C:$C,$C2200,$D:$D,$D2200,$E:$E,"P0(전)"))</f>
        <v/>
      </c>
      <c r="P2200" s="31">
        <f>IF(COUNTIFS($C:$C,$C2200,$D:$D,$D2200,$E:$E,"P0(전)",$M:$M,"&gt;0")&lt;&gt;1,"",SUMIFS($M:$M,$C:$C,$C2200,$D:$D,$D2200,$E:$E,"P0(전)"))</f>
        <v/>
      </c>
      <c r="Q2200" s="48">
        <f>IF(COUNTIFS($C:$C,$C2200,$D:$D,$D2200,$E:$E,"P0(후)",$M:$M,"&gt;0")&lt;&gt;1,"",SUMIFS($I:$I,$C:$C,$C2200,$D:$D,$D2200,$E:$E,"P0(후)"))</f>
        <v/>
      </c>
      <c r="R2200" s="31">
        <f>IF(COUNTIFS($C:$C,$C2200,$D:$D,$D2200,$E:$E,"P0(후)",$M:$M,"&gt;0")&lt;&gt;1,"",SUMIFS($M:$M,$C:$C,$C2200,$D:$D,$D2200,$E:$E,"P0(후)"))</f>
        <v/>
      </c>
      <c r="S2200" s="31">
        <f>IF(N2200&lt;&gt;"OK","",P2200+(R2200-P2200)*(I2200-O2200)/(Q2200-O2200))</f>
        <v/>
      </c>
      <c r="T2200" s="31">
        <f>IF(OR(N2200&lt;&gt;"OK",NOT(ISNUMBER(M2200))),"",M2200-S2200)</f>
        <v/>
      </c>
      <c r="U2200" s="49">
        <f>IF(OR(NOT(ISNUMBER(T2200)),IF(ISNUMBER(H2200),H2200,G2200)=0),"",T2200/IF(ISNUMBER(H2200),H2200,G2200))</f>
        <v/>
      </c>
      <c r="V2200" s="49">
        <f>IF(ISNUMBER(U2200),ABS(U2200),"")</f>
        <v/>
      </c>
      <c r="W2200" s="49">
        <f>IF(OR($E2199&lt;&gt;"측정",$C2199&lt;&gt;$C2200,$D2199&lt;&gt;$D2200,NOT(ISNUMBER(M2200)),NOT(ISNUMBER(M2199)),(IF(ISNUMBER(H2200),H2200,G2200)-IF(ISNUMBER(H2199),H2199,G2199))=0),"",(M2200-M2199)/(IF(ISNUMBER(H2200),H2200,G2200)-IF(ISNUMBER(H2199),H2199,G2199)))</f>
        <v/>
      </c>
      <c r="X2200" s="31">
        <f>IF(NOT(AND(ISNUMBER(O2200),ISNUMBER(Q2200))),"",(Q2200-O2200)*1440)</f>
        <v/>
      </c>
      <c r="Y2200" s="29" t="n"/>
      <c r="Z2200" s="29" t="n"/>
      <c r="AA2200" s="29" t="n"/>
      <c r="AB2200" s="32" t="n"/>
      <c r="AC2200" s="32" t="n"/>
    </row>
    <row r="2201">
      <c r="A2201" s="26" t="inlineStr">
        <is>
          <t>S43</t>
        </is>
      </c>
      <c r="B2201" s="26" t="inlineStr">
        <is>
          <t>포천</t>
        </is>
      </c>
      <c r="C2201" s="26" t="inlineStr">
        <is>
          <t>S43-H동</t>
        </is>
      </c>
      <c r="D2201" s="47" t="n">
        <v>1</v>
      </c>
      <c r="E2201" s="26" t="inlineStr">
        <is>
          <t>측정</t>
        </is>
      </c>
      <c r="F2201" s="26" t="inlineStr">
        <is>
          <t>동</t>
        </is>
      </c>
      <c r="G2201" s="31" t="n">
        <v>10</v>
      </c>
      <c r="H2201" s="30" t="n"/>
      <c r="I2201" s="43" t="n"/>
      <c r="J2201" s="41" t="n"/>
      <c r="K2201" s="41" t="n"/>
      <c r="L2201" s="41" t="n"/>
      <c r="M2201" s="31">
        <f>IF(COUNT(J2201:L2201)=0,"",MEDIAN(J2201:L2201))</f>
        <v/>
      </c>
      <c r="N2201" s="26">
        <f>IF(COUNTIFS($C:$C,$C2201,$D:$D,$D2201,$E:$E,"P0(전)",$M:$M,"&gt;0")&lt;&gt;1,"P0(전) 유효 1개 아님",IF(COUNTIFS($C:$C,$C2201,$D:$D,$D2201,$E:$E,"P0(후)",$M:$M,"&gt;0")&lt;&gt;1,"P0(후) 유효 1개 아님",IF(NOT(AND(ISNUMBER(O2201),ISNUMBER(Q2201),ISNUMBER(I2201))),"시각 결측",IF(Q2201&lt;=O2201,"P0 시각 역전",IF(OR(I2201&lt;O2201,I2201&gt;Q2201),"측정시각 구간 밖","OK")))))</f>
        <v/>
      </c>
      <c r="O2201" s="48">
        <f>IF(COUNTIFS($C:$C,$C2201,$D:$D,$D2201,$E:$E,"P0(전)",$M:$M,"&gt;0")&lt;&gt;1,"",SUMIFS($I:$I,$C:$C,$C2201,$D:$D,$D2201,$E:$E,"P0(전)"))</f>
        <v/>
      </c>
      <c r="P2201" s="31">
        <f>IF(COUNTIFS($C:$C,$C2201,$D:$D,$D2201,$E:$E,"P0(전)",$M:$M,"&gt;0")&lt;&gt;1,"",SUMIFS($M:$M,$C:$C,$C2201,$D:$D,$D2201,$E:$E,"P0(전)"))</f>
        <v/>
      </c>
      <c r="Q2201" s="48">
        <f>IF(COUNTIFS($C:$C,$C2201,$D:$D,$D2201,$E:$E,"P0(후)",$M:$M,"&gt;0")&lt;&gt;1,"",SUMIFS($I:$I,$C:$C,$C2201,$D:$D,$D2201,$E:$E,"P0(후)"))</f>
        <v/>
      </c>
      <c r="R2201" s="31">
        <f>IF(COUNTIFS($C:$C,$C2201,$D:$D,$D2201,$E:$E,"P0(후)",$M:$M,"&gt;0")&lt;&gt;1,"",SUMIFS($M:$M,$C:$C,$C2201,$D:$D,$D2201,$E:$E,"P0(후)"))</f>
        <v/>
      </c>
      <c r="S2201" s="31">
        <f>IF(N2201&lt;&gt;"OK","",P2201+(R2201-P2201)*(I2201-O2201)/(Q2201-O2201))</f>
        <v/>
      </c>
      <c r="T2201" s="31">
        <f>IF(OR(N2201&lt;&gt;"OK",NOT(ISNUMBER(M2201))),"",M2201-S2201)</f>
        <v/>
      </c>
      <c r="U2201" s="49">
        <f>IF(OR(NOT(ISNUMBER(T2201)),IF(ISNUMBER(H2201),H2201,G2201)=0),"",T2201/IF(ISNUMBER(H2201),H2201,G2201))</f>
        <v/>
      </c>
      <c r="V2201" s="49">
        <f>IF(ISNUMBER(U2201),ABS(U2201),"")</f>
        <v/>
      </c>
      <c r="W2201" s="49">
        <f>IF(OR($E2200&lt;&gt;"측정",$C2200&lt;&gt;$C2201,$D2200&lt;&gt;$D2201,NOT(ISNUMBER(M2201)),NOT(ISNUMBER(M2200)),(IF(ISNUMBER(H2201),H2201,G2201)-IF(ISNUMBER(H2200),H2200,G2200))=0),"",(M2201-M2200)/(IF(ISNUMBER(H2201),H2201,G2201)-IF(ISNUMBER(H2200),H2200,G2200)))</f>
        <v/>
      </c>
      <c r="X2201" s="31">
        <f>IF(NOT(AND(ISNUMBER(O2201),ISNUMBER(Q2201))),"",(Q2201-O2201)*1440)</f>
        <v/>
      </c>
      <c r="Y2201" s="29" t="n"/>
      <c r="Z2201" s="29" t="n"/>
      <c r="AA2201" s="29" t="n"/>
      <c r="AB2201" s="32" t="n"/>
      <c r="AC2201" s="32" t="n"/>
    </row>
    <row r="2202">
      <c r="A2202" s="44" t="inlineStr">
        <is>
          <t>S43</t>
        </is>
      </c>
      <c r="B2202" s="44" t="inlineStr">
        <is>
          <t>포천</t>
        </is>
      </c>
      <c r="C2202" s="44" t="inlineStr">
        <is>
          <t>S43-H동</t>
        </is>
      </c>
      <c r="D2202" s="45" t="n">
        <v>1</v>
      </c>
      <c r="E2202" s="44" t="inlineStr">
        <is>
          <t>P0(후)</t>
        </is>
      </c>
      <c r="F2202" s="44" t="inlineStr">
        <is>
          <t>동</t>
        </is>
      </c>
      <c r="G2202" s="46" t="n"/>
      <c r="H2202" s="30" t="n"/>
      <c r="I2202" s="43" t="n"/>
      <c r="J2202" s="41" t="n"/>
      <c r="K2202" s="41" t="n"/>
      <c r="L2202" s="41" t="n"/>
      <c r="M2202" s="31">
        <f>IF(COUNT(J2202:L2202)=0,"",MEDIAN(J2202:L2202))</f>
        <v/>
      </c>
      <c r="N2202" s="38" t="n"/>
      <c r="O2202" s="38" t="n"/>
      <c r="P2202" s="38" t="n"/>
      <c r="Q2202" s="38" t="n"/>
      <c r="R2202" s="38" t="n"/>
      <c r="S2202" s="38" t="n"/>
      <c r="T2202" s="38" t="n"/>
      <c r="U2202" s="38" t="n"/>
      <c r="V2202" s="38" t="n"/>
      <c r="W2202" s="38" t="n"/>
      <c r="X2202" s="38" t="n"/>
      <c r="Y2202" s="29" t="n"/>
      <c r="Z2202" s="29" t="n"/>
      <c r="AA2202" s="29" t="n"/>
      <c r="AB2202" s="32" t="n"/>
      <c r="AC2202" s="32" t="n"/>
    </row>
    <row r="2203">
      <c r="A2203" s="44" t="inlineStr">
        <is>
          <t>S43</t>
        </is>
      </c>
      <c r="B2203" s="44" t="inlineStr">
        <is>
          <t>포천</t>
        </is>
      </c>
      <c r="C2203" s="44" t="inlineStr">
        <is>
          <t>S43-H서</t>
        </is>
      </c>
      <c r="D2203" s="45" t="n">
        <v>1</v>
      </c>
      <c r="E2203" s="44" t="inlineStr">
        <is>
          <t>P0(전)</t>
        </is>
      </c>
      <c r="F2203" s="44" t="inlineStr">
        <is>
          <t>서</t>
        </is>
      </c>
      <c r="G2203" s="46" t="n"/>
      <c r="H2203" s="30" t="n"/>
      <c r="I2203" s="43" t="n"/>
      <c r="J2203" s="41" t="n"/>
      <c r="K2203" s="41" t="n"/>
      <c r="L2203" s="41" t="n"/>
      <c r="M2203" s="31">
        <f>IF(COUNT(J2203:L2203)=0,"",MEDIAN(J2203:L2203))</f>
        <v/>
      </c>
      <c r="N2203" s="38" t="n"/>
      <c r="O2203" s="38" t="n"/>
      <c r="P2203" s="38" t="n"/>
      <c r="Q2203" s="38" t="n"/>
      <c r="R2203" s="38" t="n"/>
      <c r="S2203" s="38" t="n"/>
      <c r="T2203" s="38" t="n"/>
      <c r="U2203" s="38" t="n"/>
      <c r="V2203" s="38" t="n"/>
      <c r="W2203" s="38" t="n"/>
      <c r="X2203" s="38" t="n"/>
      <c r="Y2203" s="29" t="n"/>
      <c r="Z2203" s="29" t="n"/>
      <c r="AA2203" s="29" t="n"/>
      <c r="AB2203" s="32" t="n"/>
      <c r="AC2203" s="32" t="n"/>
    </row>
    <row r="2204">
      <c r="A2204" s="26" t="inlineStr">
        <is>
          <t>S43</t>
        </is>
      </c>
      <c r="B2204" s="26" t="inlineStr">
        <is>
          <t>포천</t>
        </is>
      </c>
      <c r="C2204" s="26" t="inlineStr">
        <is>
          <t>S43-H서</t>
        </is>
      </c>
      <c r="D2204" s="47" t="n">
        <v>1</v>
      </c>
      <c r="E2204" s="26" t="inlineStr">
        <is>
          <t>측정</t>
        </is>
      </c>
      <c r="F2204" s="26" t="inlineStr">
        <is>
          <t>서</t>
        </is>
      </c>
      <c r="G2204" s="31" t="n">
        <v>0.5</v>
      </c>
      <c r="H2204" s="30" t="n"/>
      <c r="I2204" s="43" t="n"/>
      <c r="J2204" s="41" t="n"/>
      <c r="K2204" s="41" t="n"/>
      <c r="L2204" s="41" t="n"/>
      <c r="M2204" s="31">
        <f>IF(COUNT(J2204:L2204)=0,"",MEDIAN(J2204:L2204))</f>
        <v/>
      </c>
      <c r="N2204" s="26">
        <f>IF(COUNTIFS($C:$C,$C2204,$D:$D,$D2204,$E:$E,"P0(전)",$M:$M,"&gt;0")&lt;&gt;1,"P0(전) 유효 1개 아님",IF(COUNTIFS($C:$C,$C2204,$D:$D,$D2204,$E:$E,"P0(후)",$M:$M,"&gt;0")&lt;&gt;1,"P0(후) 유효 1개 아님",IF(NOT(AND(ISNUMBER(O2204),ISNUMBER(Q2204),ISNUMBER(I2204))),"시각 결측",IF(Q2204&lt;=O2204,"P0 시각 역전",IF(OR(I2204&lt;O2204,I2204&gt;Q2204),"측정시각 구간 밖","OK")))))</f>
        <v/>
      </c>
      <c r="O2204" s="48">
        <f>IF(COUNTIFS($C:$C,$C2204,$D:$D,$D2204,$E:$E,"P0(전)",$M:$M,"&gt;0")&lt;&gt;1,"",SUMIFS($I:$I,$C:$C,$C2204,$D:$D,$D2204,$E:$E,"P0(전)"))</f>
        <v/>
      </c>
      <c r="P2204" s="31">
        <f>IF(COUNTIFS($C:$C,$C2204,$D:$D,$D2204,$E:$E,"P0(전)",$M:$M,"&gt;0")&lt;&gt;1,"",SUMIFS($M:$M,$C:$C,$C2204,$D:$D,$D2204,$E:$E,"P0(전)"))</f>
        <v/>
      </c>
      <c r="Q2204" s="48">
        <f>IF(COUNTIFS($C:$C,$C2204,$D:$D,$D2204,$E:$E,"P0(후)",$M:$M,"&gt;0")&lt;&gt;1,"",SUMIFS($I:$I,$C:$C,$C2204,$D:$D,$D2204,$E:$E,"P0(후)"))</f>
        <v/>
      </c>
      <c r="R2204" s="31">
        <f>IF(COUNTIFS($C:$C,$C2204,$D:$D,$D2204,$E:$E,"P0(후)",$M:$M,"&gt;0")&lt;&gt;1,"",SUMIFS($M:$M,$C:$C,$C2204,$D:$D,$D2204,$E:$E,"P0(후)"))</f>
        <v/>
      </c>
      <c r="S2204" s="31">
        <f>IF(N2204&lt;&gt;"OK","",P2204+(R2204-P2204)*(I2204-O2204)/(Q2204-O2204))</f>
        <v/>
      </c>
      <c r="T2204" s="31">
        <f>IF(OR(N2204&lt;&gt;"OK",NOT(ISNUMBER(M2204))),"",M2204-S2204)</f>
        <v/>
      </c>
      <c r="U2204" s="49">
        <f>IF(OR(NOT(ISNUMBER(T2204)),IF(ISNUMBER(H2204),H2204,G2204)=0),"",T2204/IF(ISNUMBER(H2204),H2204,G2204))</f>
        <v/>
      </c>
      <c r="V2204" s="49">
        <f>IF(ISNUMBER(U2204),ABS(U2204),"")</f>
        <v/>
      </c>
      <c r="W2204" s="49">
        <f>IF(OR($E2203&lt;&gt;"측정",$C2203&lt;&gt;$C2204,$D2203&lt;&gt;$D2204,NOT(ISNUMBER(M2204)),NOT(ISNUMBER(M2203)),(IF(ISNUMBER(H2204),H2204,G2204)-IF(ISNUMBER(H2203),H2203,G2203))=0),"",(M2204-M2203)/(IF(ISNUMBER(H2204),H2204,G2204)-IF(ISNUMBER(H2203),H2203,G2203)))</f>
        <v/>
      </c>
      <c r="X2204" s="31">
        <f>IF(NOT(AND(ISNUMBER(O2204),ISNUMBER(Q2204))),"",(Q2204-O2204)*1440)</f>
        <v/>
      </c>
      <c r="Y2204" s="29" t="n"/>
      <c r="Z2204" s="29" t="n"/>
      <c r="AA2204" s="29" t="n"/>
      <c r="AB2204" s="32" t="n"/>
      <c r="AC2204" s="32" t="n"/>
    </row>
    <row r="2205">
      <c r="A2205" s="26" t="inlineStr">
        <is>
          <t>S43</t>
        </is>
      </c>
      <c r="B2205" s="26" t="inlineStr">
        <is>
          <t>포천</t>
        </is>
      </c>
      <c r="C2205" s="26" t="inlineStr">
        <is>
          <t>S43-H서</t>
        </is>
      </c>
      <c r="D2205" s="47" t="n">
        <v>1</v>
      </c>
      <c r="E2205" s="26" t="inlineStr">
        <is>
          <t>측정</t>
        </is>
      </c>
      <c r="F2205" s="26" t="inlineStr">
        <is>
          <t>서</t>
        </is>
      </c>
      <c r="G2205" s="31" t="n">
        <v>1</v>
      </c>
      <c r="H2205" s="30" t="n"/>
      <c r="I2205" s="43" t="n"/>
      <c r="J2205" s="41" t="n"/>
      <c r="K2205" s="41" t="n"/>
      <c r="L2205" s="41" t="n"/>
      <c r="M2205" s="31">
        <f>IF(COUNT(J2205:L2205)=0,"",MEDIAN(J2205:L2205))</f>
        <v/>
      </c>
      <c r="N2205" s="26">
        <f>IF(COUNTIFS($C:$C,$C2205,$D:$D,$D2205,$E:$E,"P0(전)",$M:$M,"&gt;0")&lt;&gt;1,"P0(전) 유효 1개 아님",IF(COUNTIFS($C:$C,$C2205,$D:$D,$D2205,$E:$E,"P0(후)",$M:$M,"&gt;0")&lt;&gt;1,"P0(후) 유효 1개 아님",IF(NOT(AND(ISNUMBER(O2205),ISNUMBER(Q2205),ISNUMBER(I2205))),"시각 결측",IF(Q2205&lt;=O2205,"P0 시각 역전",IF(OR(I2205&lt;O2205,I2205&gt;Q2205),"측정시각 구간 밖","OK")))))</f>
        <v/>
      </c>
      <c r="O2205" s="48">
        <f>IF(COUNTIFS($C:$C,$C2205,$D:$D,$D2205,$E:$E,"P0(전)",$M:$M,"&gt;0")&lt;&gt;1,"",SUMIFS($I:$I,$C:$C,$C2205,$D:$D,$D2205,$E:$E,"P0(전)"))</f>
        <v/>
      </c>
      <c r="P2205" s="31">
        <f>IF(COUNTIFS($C:$C,$C2205,$D:$D,$D2205,$E:$E,"P0(전)",$M:$M,"&gt;0")&lt;&gt;1,"",SUMIFS($M:$M,$C:$C,$C2205,$D:$D,$D2205,$E:$E,"P0(전)"))</f>
        <v/>
      </c>
      <c r="Q2205" s="48">
        <f>IF(COUNTIFS($C:$C,$C2205,$D:$D,$D2205,$E:$E,"P0(후)",$M:$M,"&gt;0")&lt;&gt;1,"",SUMIFS($I:$I,$C:$C,$C2205,$D:$D,$D2205,$E:$E,"P0(후)"))</f>
        <v/>
      </c>
      <c r="R2205" s="31">
        <f>IF(COUNTIFS($C:$C,$C2205,$D:$D,$D2205,$E:$E,"P0(후)",$M:$M,"&gt;0")&lt;&gt;1,"",SUMIFS($M:$M,$C:$C,$C2205,$D:$D,$D2205,$E:$E,"P0(후)"))</f>
        <v/>
      </c>
      <c r="S2205" s="31">
        <f>IF(N2205&lt;&gt;"OK","",P2205+(R2205-P2205)*(I2205-O2205)/(Q2205-O2205))</f>
        <v/>
      </c>
      <c r="T2205" s="31">
        <f>IF(OR(N2205&lt;&gt;"OK",NOT(ISNUMBER(M2205))),"",M2205-S2205)</f>
        <v/>
      </c>
      <c r="U2205" s="49">
        <f>IF(OR(NOT(ISNUMBER(T2205)),IF(ISNUMBER(H2205),H2205,G2205)=0),"",T2205/IF(ISNUMBER(H2205),H2205,G2205))</f>
        <v/>
      </c>
      <c r="V2205" s="49">
        <f>IF(ISNUMBER(U2205),ABS(U2205),"")</f>
        <v/>
      </c>
      <c r="W2205" s="49">
        <f>IF(OR($E2204&lt;&gt;"측정",$C2204&lt;&gt;$C2205,$D2204&lt;&gt;$D2205,NOT(ISNUMBER(M2205)),NOT(ISNUMBER(M2204)),(IF(ISNUMBER(H2205),H2205,G2205)-IF(ISNUMBER(H2204),H2204,G2204))=0),"",(M2205-M2204)/(IF(ISNUMBER(H2205),H2205,G2205)-IF(ISNUMBER(H2204),H2204,G2204)))</f>
        <v/>
      </c>
      <c r="X2205" s="31">
        <f>IF(NOT(AND(ISNUMBER(O2205),ISNUMBER(Q2205))),"",(Q2205-O2205)*1440)</f>
        <v/>
      </c>
      <c r="Y2205" s="29" t="n"/>
      <c r="Z2205" s="29" t="n"/>
      <c r="AA2205" s="29" t="n"/>
      <c r="AB2205" s="32" t="n"/>
      <c r="AC2205" s="32" t="n"/>
    </row>
    <row r="2206">
      <c r="A2206" s="26" t="inlineStr">
        <is>
          <t>S43</t>
        </is>
      </c>
      <c r="B2206" s="26" t="inlineStr">
        <is>
          <t>포천</t>
        </is>
      </c>
      <c r="C2206" s="26" t="inlineStr">
        <is>
          <t>S43-H서</t>
        </is>
      </c>
      <c r="D2206" s="47" t="n">
        <v>1</v>
      </c>
      <c r="E2206" s="26" t="inlineStr">
        <is>
          <t>측정</t>
        </is>
      </c>
      <c r="F2206" s="26" t="inlineStr">
        <is>
          <t>서</t>
        </is>
      </c>
      <c r="G2206" s="31" t="n">
        <v>2</v>
      </c>
      <c r="H2206" s="30" t="n"/>
      <c r="I2206" s="43" t="n"/>
      <c r="J2206" s="41" t="n"/>
      <c r="K2206" s="41" t="n"/>
      <c r="L2206" s="41" t="n"/>
      <c r="M2206" s="31">
        <f>IF(COUNT(J2206:L2206)=0,"",MEDIAN(J2206:L2206))</f>
        <v/>
      </c>
      <c r="N2206" s="26">
        <f>IF(COUNTIFS($C:$C,$C2206,$D:$D,$D2206,$E:$E,"P0(전)",$M:$M,"&gt;0")&lt;&gt;1,"P0(전) 유효 1개 아님",IF(COUNTIFS($C:$C,$C2206,$D:$D,$D2206,$E:$E,"P0(후)",$M:$M,"&gt;0")&lt;&gt;1,"P0(후) 유효 1개 아님",IF(NOT(AND(ISNUMBER(O2206),ISNUMBER(Q2206),ISNUMBER(I2206))),"시각 결측",IF(Q2206&lt;=O2206,"P0 시각 역전",IF(OR(I2206&lt;O2206,I2206&gt;Q2206),"측정시각 구간 밖","OK")))))</f>
        <v/>
      </c>
      <c r="O2206" s="48">
        <f>IF(COUNTIFS($C:$C,$C2206,$D:$D,$D2206,$E:$E,"P0(전)",$M:$M,"&gt;0")&lt;&gt;1,"",SUMIFS($I:$I,$C:$C,$C2206,$D:$D,$D2206,$E:$E,"P0(전)"))</f>
        <v/>
      </c>
      <c r="P2206" s="31">
        <f>IF(COUNTIFS($C:$C,$C2206,$D:$D,$D2206,$E:$E,"P0(전)",$M:$M,"&gt;0")&lt;&gt;1,"",SUMIFS($M:$M,$C:$C,$C2206,$D:$D,$D2206,$E:$E,"P0(전)"))</f>
        <v/>
      </c>
      <c r="Q2206" s="48">
        <f>IF(COUNTIFS($C:$C,$C2206,$D:$D,$D2206,$E:$E,"P0(후)",$M:$M,"&gt;0")&lt;&gt;1,"",SUMIFS($I:$I,$C:$C,$C2206,$D:$D,$D2206,$E:$E,"P0(후)"))</f>
        <v/>
      </c>
      <c r="R2206" s="31">
        <f>IF(COUNTIFS($C:$C,$C2206,$D:$D,$D2206,$E:$E,"P0(후)",$M:$M,"&gt;0")&lt;&gt;1,"",SUMIFS($M:$M,$C:$C,$C2206,$D:$D,$D2206,$E:$E,"P0(후)"))</f>
        <v/>
      </c>
      <c r="S2206" s="31">
        <f>IF(N2206&lt;&gt;"OK","",P2206+(R2206-P2206)*(I2206-O2206)/(Q2206-O2206))</f>
        <v/>
      </c>
      <c r="T2206" s="31">
        <f>IF(OR(N2206&lt;&gt;"OK",NOT(ISNUMBER(M2206))),"",M2206-S2206)</f>
        <v/>
      </c>
      <c r="U2206" s="49">
        <f>IF(OR(NOT(ISNUMBER(T2206)),IF(ISNUMBER(H2206),H2206,G2206)=0),"",T2206/IF(ISNUMBER(H2206),H2206,G2206))</f>
        <v/>
      </c>
      <c r="V2206" s="49">
        <f>IF(ISNUMBER(U2206),ABS(U2206),"")</f>
        <v/>
      </c>
      <c r="W2206" s="49">
        <f>IF(OR($E2205&lt;&gt;"측정",$C2205&lt;&gt;$C2206,$D2205&lt;&gt;$D2206,NOT(ISNUMBER(M2206)),NOT(ISNUMBER(M2205)),(IF(ISNUMBER(H2206),H2206,G2206)-IF(ISNUMBER(H2205),H2205,G2205))=0),"",(M2206-M2205)/(IF(ISNUMBER(H2206),H2206,G2206)-IF(ISNUMBER(H2205),H2205,G2205)))</f>
        <v/>
      </c>
      <c r="X2206" s="31">
        <f>IF(NOT(AND(ISNUMBER(O2206),ISNUMBER(Q2206))),"",(Q2206-O2206)*1440)</f>
        <v/>
      </c>
      <c r="Y2206" s="29" t="n"/>
      <c r="Z2206" s="29" t="n"/>
      <c r="AA2206" s="29" t="n"/>
      <c r="AB2206" s="32" t="n"/>
      <c r="AC2206" s="32" t="n"/>
    </row>
    <row r="2207">
      <c r="A2207" s="26" t="inlineStr">
        <is>
          <t>S43</t>
        </is>
      </c>
      <c r="B2207" s="26" t="inlineStr">
        <is>
          <t>포천</t>
        </is>
      </c>
      <c r="C2207" s="26" t="inlineStr">
        <is>
          <t>S43-H서</t>
        </is>
      </c>
      <c r="D2207" s="47" t="n">
        <v>1</v>
      </c>
      <c r="E2207" s="26" t="inlineStr">
        <is>
          <t>측정</t>
        </is>
      </c>
      <c r="F2207" s="26" t="inlineStr">
        <is>
          <t>서</t>
        </is>
      </c>
      <c r="G2207" s="31" t="n">
        <v>3</v>
      </c>
      <c r="H2207" s="30" t="n"/>
      <c r="I2207" s="43" t="n"/>
      <c r="J2207" s="41" t="n"/>
      <c r="K2207" s="41" t="n"/>
      <c r="L2207" s="41" t="n"/>
      <c r="M2207" s="31">
        <f>IF(COUNT(J2207:L2207)=0,"",MEDIAN(J2207:L2207))</f>
        <v/>
      </c>
      <c r="N2207" s="26">
        <f>IF(COUNTIFS($C:$C,$C2207,$D:$D,$D2207,$E:$E,"P0(전)",$M:$M,"&gt;0")&lt;&gt;1,"P0(전) 유효 1개 아님",IF(COUNTIFS($C:$C,$C2207,$D:$D,$D2207,$E:$E,"P0(후)",$M:$M,"&gt;0")&lt;&gt;1,"P0(후) 유효 1개 아님",IF(NOT(AND(ISNUMBER(O2207),ISNUMBER(Q2207),ISNUMBER(I2207))),"시각 결측",IF(Q2207&lt;=O2207,"P0 시각 역전",IF(OR(I2207&lt;O2207,I2207&gt;Q2207),"측정시각 구간 밖","OK")))))</f>
        <v/>
      </c>
      <c r="O2207" s="48">
        <f>IF(COUNTIFS($C:$C,$C2207,$D:$D,$D2207,$E:$E,"P0(전)",$M:$M,"&gt;0")&lt;&gt;1,"",SUMIFS($I:$I,$C:$C,$C2207,$D:$D,$D2207,$E:$E,"P0(전)"))</f>
        <v/>
      </c>
      <c r="P2207" s="31">
        <f>IF(COUNTIFS($C:$C,$C2207,$D:$D,$D2207,$E:$E,"P0(전)",$M:$M,"&gt;0")&lt;&gt;1,"",SUMIFS($M:$M,$C:$C,$C2207,$D:$D,$D2207,$E:$E,"P0(전)"))</f>
        <v/>
      </c>
      <c r="Q2207" s="48">
        <f>IF(COUNTIFS($C:$C,$C2207,$D:$D,$D2207,$E:$E,"P0(후)",$M:$M,"&gt;0")&lt;&gt;1,"",SUMIFS($I:$I,$C:$C,$C2207,$D:$D,$D2207,$E:$E,"P0(후)"))</f>
        <v/>
      </c>
      <c r="R2207" s="31">
        <f>IF(COUNTIFS($C:$C,$C2207,$D:$D,$D2207,$E:$E,"P0(후)",$M:$M,"&gt;0")&lt;&gt;1,"",SUMIFS($M:$M,$C:$C,$C2207,$D:$D,$D2207,$E:$E,"P0(후)"))</f>
        <v/>
      </c>
      <c r="S2207" s="31">
        <f>IF(N2207&lt;&gt;"OK","",P2207+(R2207-P2207)*(I2207-O2207)/(Q2207-O2207))</f>
        <v/>
      </c>
      <c r="T2207" s="31">
        <f>IF(OR(N2207&lt;&gt;"OK",NOT(ISNUMBER(M2207))),"",M2207-S2207)</f>
        <v/>
      </c>
      <c r="U2207" s="49">
        <f>IF(OR(NOT(ISNUMBER(T2207)),IF(ISNUMBER(H2207),H2207,G2207)=0),"",T2207/IF(ISNUMBER(H2207),H2207,G2207))</f>
        <v/>
      </c>
      <c r="V2207" s="49">
        <f>IF(ISNUMBER(U2207),ABS(U2207),"")</f>
        <v/>
      </c>
      <c r="W2207" s="49">
        <f>IF(OR($E2206&lt;&gt;"측정",$C2206&lt;&gt;$C2207,$D2206&lt;&gt;$D2207,NOT(ISNUMBER(M2207)),NOT(ISNUMBER(M2206)),(IF(ISNUMBER(H2207),H2207,G2207)-IF(ISNUMBER(H2206),H2206,G2206))=0),"",(M2207-M2206)/(IF(ISNUMBER(H2207),H2207,G2207)-IF(ISNUMBER(H2206),H2206,G2206)))</f>
        <v/>
      </c>
      <c r="X2207" s="31">
        <f>IF(NOT(AND(ISNUMBER(O2207),ISNUMBER(Q2207))),"",(Q2207-O2207)*1440)</f>
        <v/>
      </c>
      <c r="Y2207" s="29" t="n"/>
      <c r="Z2207" s="29" t="n"/>
      <c r="AA2207" s="29" t="n"/>
      <c r="AB2207" s="32" t="n"/>
      <c r="AC2207" s="32" t="n"/>
    </row>
    <row r="2208">
      <c r="A2208" s="26" t="inlineStr">
        <is>
          <t>S43</t>
        </is>
      </c>
      <c r="B2208" s="26" t="inlineStr">
        <is>
          <t>포천</t>
        </is>
      </c>
      <c r="C2208" s="26" t="inlineStr">
        <is>
          <t>S43-H서</t>
        </is>
      </c>
      <c r="D2208" s="47" t="n">
        <v>1</v>
      </c>
      <c r="E2208" s="26" t="inlineStr">
        <is>
          <t>측정</t>
        </is>
      </c>
      <c r="F2208" s="26" t="inlineStr">
        <is>
          <t>서</t>
        </is>
      </c>
      <c r="G2208" s="31" t="n">
        <v>4</v>
      </c>
      <c r="H2208" s="30" t="n"/>
      <c r="I2208" s="43" t="n"/>
      <c r="J2208" s="41" t="n"/>
      <c r="K2208" s="41" t="n"/>
      <c r="L2208" s="41" t="n"/>
      <c r="M2208" s="31">
        <f>IF(COUNT(J2208:L2208)=0,"",MEDIAN(J2208:L2208))</f>
        <v/>
      </c>
      <c r="N2208" s="26">
        <f>IF(COUNTIFS($C:$C,$C2208,$D:$D,$D2208,$E:$E,"P0(전)",$M:$M,"&gt;0")&lt;&gt;1,"P0(전) 유효 1개 아님",IF(COUNTIFS($C:$C,$C2208,$D:$D,$D2208,$E:$E,"P0(후)",$M:$M,"&gt;0")&lt;&gt;1,"P0(후) 유효 1개 아님",IF(NOT(AND(ISNUMBER(O2208),ISNUMBER(Q2208),ISNUMBER(I2208))),"시각 결측",IF(Q2208&lt;=O2208,"P0 시각 역전",IF(OR(I2208&lt;O2208,I2208&gt;Q2208),"측정시각 구간 밖","OK")))))</f>
        <v/>
      </c>
      <c r="O2208" s="48">
        <f>IF(COUNTIFS($C:$C,$C2208,$D:$D,$D2208,$E:$E,"P0(전)",$M:$M,"&gt;0")&lt;&gt;1,"",SUMIFS($I:$I,$C:$C,$C2208,$D:$D,$D2208,$E:$E,"P0(전)"))</f>
        <v/>
      </c>
      <c r="P2208" s="31">
        <f>IF(COUNTIFS($C:$C,$C2208,$D:$D,$D2208,$E:$E,"P0(전)",$M:$M,"&gt;0")&lt;&gt;1,"",SUMIFS($M:$M,$C:$C,$C2208,$D:$D,$D2208,$E:$E,"P0(전)"))</f>
        <v/>
      </c>
      <c r="Q2208" s="48">
        <f>IF(COUNTIFS($C:$C,$C2208,$D:$D,$D2208,$E:$E,"P0(후)",$M:$M,"&gt;0")&lt;&gt;1,"",SUMIFS($I:$I,$C:$C,$C2208,$D:$D,$D2208,$E:$E,"P0(후)"))</f>
        <v/>
      </c>
      <c r="R2208" s="31">
        <f>IF(COUNTIFS($C:$C,$C2208,$D:$D,$D2208,$E:$E,"P0(후)",$M:$M,"&gt;0")&lt;&gt;1,"",SUMIFS($M:$M,$C:$C,$C2208,$D:$D,$D2208,$E:$E,"P0(후)"))</f>
        <v/>
      </c>
      <c r="S2208" s="31">
        <f>IF(N2208&lt;&gt;"OK","",P2208+(R2208-P2208)*(I2208-O2208)/(Q2208-O2208))</f>
        <v/>
      </c>
      <c r="T2208" s="31">
        <f>IF(OR(N2208&lt;&gt;"OK",NOT(ISNUMBER(M2208))),"",M2208-S2208)</f>
        <v/>
      </c>
      <c r="U2208" s="49">
        <f>IF(OR(NOT(ISNUMBER(T2208)),IF(ISNUMBER(H2208),H2208,G2208)=0),"",T2208/IF(ISNUMBER(H2208),H2208,G2208))</f>
        <v/>
      </c>
      <c r="V2208" s="49">
        <f>IF(ISNUMBER(U2208),ABS(U2208),"")</f>
        <v/>
      </c>
      <c r="W2208" s="49">
        <f>IF(OR($E2207&lt;&gt;"측정",$C2207&lt;&gt;$C2208,$D2207&lt;&gt;$D2208,NOT(ISNUMBER(M2208)),NOT(ISNUMBER(M2207)),(IF(ISNUMBER(H2208),H2208,G2208)-IF(ISNUMBER(H2207),H2207,G2207))=0),"",(M2208-M2207)/(IF(ISNUMBER(H2208),H2208,G2208)-IF(ISNUMBER(H2207),H2207,G2207)))</f>
        <v/>
      </c>
      <c r="X2208" s="31">
        <f>IF(NOT(AND(ISNUMBER(O2208),ISNUMBER(Q2208))),"",(Q2208-O2208)*1440)</f>
        <v/>
      </c>
      <c r="Y2208" s="29" t="n"/>
      <c r="Z2208" s="29" t="n"/>
      <c r="AA2208" s="29" t="n"/>
      <c r="AB2208" s="32" t="n"/>
      <c r="AC2208" s="32" t="n"/>
    </row>
    <row r="2209">
      <c r="A2209" s="26" t="inlineStr">
        <is>
          <t>S43</t>
        </is>
      </c>
      <c r="B2209" s="26" t="inlineStr">
        <is>
          <t>포천</t>
        </is>
      </c>
      <c r="C2209" s="26" t="inlineStr">
        <is>
          <t>S43-H서</t>
        </is>
      </c>
      <c r="D2209" s="47" t="n">
        <v>1</v>
      </c>
      <c r="E2209" s="26" t="inlineStr">
        <is>
          <t>측정</t>
        </is>
      </c>
      <c r="F2209" s="26" t="inlineStr">
        <is>
          <t>서</t>
        </is>
      </c>
      <c r="G2209" s="31" t="n">
        <v>5</v>
      </c>
      <c r="H2209" s="30" t="n"/>
      <c r="I2209" s="43" t="n"/>
      <c r="J2209" s="41" t="n"/>
      <c r="K2209" s="41" t="n"/>
      <c r="L2209" s="41" t="n"/>
      <c r="M2209" s="31">
        <f>IF(COUNT(J2209:L2209)=0,"",MEDIAN(J2209:L2209))</f>
        <v/>
      </c>
      <c r="N2209" s="26">
        <f>IF(COUNTIFS($C:$C,$C2209,$D:$D,$D2209,$E:$E,"P0(전)",$M:$M,"&gt;0")&lt;&gt;1,"P0(전) 유효 1개 아님",IF(COUNTIFS($C:$C,$C2209,$D:$D,$D2209,$E:$E,"P0(후)",$M:$M,"&gt;0")&lt;&gt;1,"P0(후) 유효 1개 아님",IF(NOT(AND(ISNUMBER(O2209),ISNUMBER(Q2209),ISNUMBER(I2209))),"시각 결측",IF(Q2209&lt;=O2209,"P0 시각 역전",IF(OR(I2209&lt;O2209,I2209&gt;Q2209),"측정시각 구간 밖","OK")))))</f>
        <v/>
      </c>
      <c r="O2209" s="48">
        <f>IF(COUNTIFS($C:$C,$C2209,$D:$D,$D2209,$E:$E,"P0(전)",$M:$M,"&gt;0")&lt;&gt;1,"",SUMIFS($I:$I,$C:$C,$C2209,$D:$D,$D2209,$E:$E,"P0(전)"))</f>
        <v/>
      </c>
      <c r="P2209" s="31">
        <f>IF(COUNTIFS($C:$C,$C2209,$D:$D,$D2209,$E:$E,"P0(전)",$M:$M,"&gt;0")&lt;&gt;1,"",SUMIFS($M:$M,$C:$C,$C2209,$D:$D,$D2209,$E:$E,"P0(전)"))</f>
        <v/>
      </c>
      <c r="Q2209" s="48">
        <f>IF(COUNTIFS($C:$C,$C2209,$D:$D,$D2209,$E:$E,"P0(후)",$M:$M,"&gt;0")&lt;&gt;1,"",SUMIFS($I:$I,$C:$C,$C2209,$D:$D,$D2209,$E:$E,"P0(후)"))</f>
        <v/>
      </c>
      <c r="R2209" s="31">
        <f>IF(COUNTIFS($C:$C,$C2209,$D:$D,$D2209,$E:$E,"P0(후)",$M:$M,"&gt;0")&lt;&gt;1,"",SUMIFS($M:$M,$C:$C,$C2209,$D:$D,$D2209,$E:$E,"P0(후)"))</f>
        <v/>
      </c>
      <c r="S2209" s="31">
        <f>IF(N2209&lt;&gt;"OK","",P2209+(R2209-P2209)*(I2209-O2209)/(Q2209-O2209))</f>
        <v/>
      </c>
      <c r="T2209" s="31">
        <f>IF(OR(N2209&lt;&gt;"OK",NOT(ISNUMBER(M2209))),"",M2209-S2209)</f>
        <v/>
      </c>
      <c r="U2209" s="49">
        <f>IF(OR(NOT(ISNUMBER(T2209)),IF(ISNUMBER(H2209),H2209,G2209)=0),"",T2209/IF(ISNUMBER(H2209),H2209,G2209))</f>
        <v/>
      </c>
      <c r="V2209" s="49">
        <f>IF(ISNUMBER(U2209),ABS(U2209),"")</f>
        <v/>
      </c>
      <c r="W2209" s="49">
        <f>IF(OR($E2208&lt;&gt;"측정",$C2208&lt;&gt;$C2209,$D2208&lt;&gt;$D2209,NOT(ISNUMBER(M2209)),NOT(ISNUMBER(M2208)),(IF(ISNUMBER(H2209),H2209,G2209)-IF(ISNUMBER(H2208),H2208,G2208))=0),"",(M2209-M2208)/(IF(ISNUMBER(H2209),H2209,G2209)-IF(ISNUMBER(H2208),H2208,G2208)))</f>
        <v/>
      </c>
      <c r="X2209" s="31">
        <f>IF(NOT(AND(ISNUMBER(O2209),ISNUMBER(Q2209))),"",(Q2209-O2209)*1440)</f>
        <v/>
      </c>
      <c r="Y2209" s="29" t="n"/>
      <c r="Z2209" s="29" t="n"/>
      <c r="AA2209" s="29" t="n"/>
      <c r="AB2209" s="32" t="n"/>
      <c r="AC2209" s="32" t="n"/>
    </row>
    <row r="2210">
      <c r="A2210" s="26" t="inlineStr">
        <is>
          <t>S43</t>
        </is>
      </c>
      <c r="B2210" s="26" t="inlineStr">
        <is>
          <t>포천</t>
        </is>
      </c>
      <c r="C2210" s="26" t="inlineStr">
        <is>
          <t>S43-H서</t>
        </is>
      </c>
      <c r="D2210" s="47" t="n">
        <v>1</v>
      </c>
      <c r="E2210" s="26" t="inlineStr">
        <is>
          <t>측정</t>
        </is>
      </c>
      <c r="F2210" s="26" t="inlineStr">
        <is>
          <t>서</t>
        </is>
      </c>
      <c r="G2210" s="31" t="n">
        <v>6</v>
      </c>
      <c r="H2210" s="30" t="n"/>
      <c r="I2210" s="43" t="n"/>
      <c r="J2210" s="41" t="n"/>
      <c r="K2210" s="41" t="n"/>
      <c r="L2210" s="41" t="n"/>
      <c r="M2210" s="31">
        <f>IF(COUNT(J2210:L2210)=0,"",MEDIAN(J2210:L2210))</f>
        <v/>
      </c>
      <c r="N2210" s="26">
        <f>IF(COUNTIFS($C:$C,$C2210,$D:$D,$D2210,$E:$E,"P0(전)",$M:$M,"&gt;0")&lt;&gt;1,"P0(전) 유효 1개 아님",IF(COUNTIFS($C:$C,$C2210,$D:$D,$D2210,$E:$E,"P0(후)",$M:$M,"&gt;0")&lt;&gt;1,"P0(후) 유효 1개 아님",IF(NOT(AND(ISNUMBER(O2210),ISNUMBER(Q2210),ISNUMBER(I2210))),"시각 결측",IF(Q2210&lt;=O2210,"P0 시각 역전",IF(OR(I2210&lt;O2210,I2210&gt;Q2210),"측정시각 구간 밖","OK")))))</f>
        <v/>
      </c>
      <c r="O2210" s="48">
        <f>IF(COUNTIFS($C:$C,$C2210,$D:$D,$D2210,$E:$E,"P0(전)",$M:$M,"&gt;0")&lt;&gt;1,"",SUMIFS($I:$I,$C:$C,$C2210,$D:$D,$D2210,$E:$E,"P0(전)"))</f>
        <v/>
      </c>
      <c r="P2210" s="31">
        <f>IF(COUNTIFS($C:$C,$C2210,$D:$D,$D2210,$E:$E,"P0(전)",$M:$M,"&gt;0")&lt;&gt;1,"",SUMIFS($M:$M,$C:$C,$C2210,$D:$D,$D2210,$E:$E,"P0(전)"))</f>
        <v/>
      </c>
      <c r="Q2210" s="48">
        <f>IF(COUNTIFS($C:$C,$C2210,$D:$D,$D2210,$E:$E,"P0(후)",$M:$M,"&gt;0")&lt;&gt;1,"",SUMIFS($I:$I,$C:$C,$C2210,$D:$D,$D2210,$E:$E,"P0(후)"))</f>
        <v/>
      </c>
      <c r="R2210" s="31">
        <f>IF(COUNTIFS($C:$C,$C2210,$D:$D,$D2210,$E:$E,"P0(후)",$M:$M,"&gt;0")&lt;&gt;1,"",SUMIFS($M:$M,$C:$C,$C2210,$D:$D,$D2210,$E:$E,"P0(후)"))</f>
        <v/>
      </c>
      <c r="S2210" s="31">
        <f>IF(N2210&lt;&gt;"OK","",P2210+(R2210-P2210)*(I2210-O2210)/(Q2210-O2210))</f>
        <v/>
      </c>
      <c r="T2210" s="31">
        <f>IF(OR(N2210&lt;&gt;"OK",NOT(ISNUMBER(M2210))),"",M2210-S2210)</f>
        <v/>
      </c>
      <c r="U2210" s="49">
        <f>IF(OR(NOT(ISNUMBER(T2210)),IF(ISNUMBER(H2210),H2210,G2210)=0),"",T2210/IF(ISNUMBER(H2210),H2210,G2210))</f>
        <v/>
      </c>
      <c r="V2210" s="49">
        <f>IF(ISNUMBER(U2210),ABS(U2210),"")</f>
        <v/>
      </c>
      <c r="W2210" s="49">
        <f>IF(OR($E2209&lt;&gt;"측정",$C2209&lt;&gt;$C2210,$D2209&lt;&gt;$D2210,NOT(ISNUMBER(M2210)),NOT(ISNUMBER(M2209)),(IF(ISNUMBER(H2210),H2210,G2210)-IF(ISNUMBER(H2209),H2209,G2209))=0),"",(M2210-M2209)/(IF(ISNUMBER(H2210),H2210,G2210)-IF(ISNUMBER(H2209),H2209,G2209)))</f>
        <v/>
      </c>
      <c r="X2210" s="31">
        <f>IF(NOT(AND(ISNUMBER(O2210),ISNUMBER(Q2210))),"",(Q2210-O2210)*1440)</f>
        <v/>
      </c>
      <c r="Y2210" s="29" t="n"/>
      <c r="Z2210" s="29" t="n"/>
      <c r="AA2210" s="29" t="n"/>
      <c r="AB2210" s="32" t="n"/>
      <c r="AC2210" s="32" t="n"/>
    </row>
    <row r="2211">
      <c r="A2211" s="26" t="inlineStr">
        <is>
          <t>S43</t>
        </is>
      </c>
      <c r="B2211" s="26" t="inlineStr">
        <is>
          <t>포천</t>
        </is>
      </c>
      <c r="C2211" s="26" t="inlineStr">
        <is>
          <t>S43-H서</t>
        </is>
      </c>
      <c r="D2211" s="47" t="n">
        <v>1</v>
      </c>
      <c r="E2211" s="26" t="inlineStr">
        <is>
          <t>측정</t>
        </is>
      </c>
      <c r="F2211" s="26" t="inlineStr">
        <is>
          <t>서</t>
        </is>
      </c>
      <c r="G2211" s="31" t="n">
        <v>7</v>
      </c>
      <c r="H2211" s="30" t="n"/>
      <c r="I2211" s="43" t="n"/>
      <c r="J2211" s="41" t="n"/>
      <c r="K2211" s="41" t="n"/>
      <c r="L2211" s="41" t="n"/>
      <c r="M2211" s="31">
        <f>IF(COUNT(J2211:L2211)=0,"",MEDIAN(J2211:L2211))</f>
        <v/>
      </c>
      <c r="N2211" s="26">
        <f>IF(COUNTIFS($C:$C,$C2211,$D:$D,$D2211,$E:$E,"P0(전)",$M:$M,"&gt;0")&lt;&gt;1,"P0(전) 유효 1개 아님",IF(COUNTIFS($C:$C,$C2211,$D:$D,$D2211,$E:$E,"P0(후)",$M:$M,"&gt;0")&lt;&gt;1,"P0(후) 유효 1개 아님",IF(NOT(AND(ISNUMBER(O2211),ISNUMBER(Q2211),ISNUMBER(I2211))),"시각 결측",IF(Q2211&lt;=O2211,"P0 시각 역전",IF(OR(I2211&lt;O2211,I2211&gt;Q2211),"측정시각 구간 밖","OK")))))</f>
        <v/>
      </c>
      <c r="O2211" s="48">
        <f>IF(COUNTIFS($C:$C,$C2211,$D:$D,$D2211,$E:$E,"P0(전)",$M:$M,"&gt;0")&lt;&gt;1,"",SUMIFS($I:$I,$C:$C,$C2211,$D:$D,$D2211,$E:$E,"P0(전)"))</f>
        <v/>
      </c>
      <c r="P2211" s="31">
        <f>IF(COUNTIFS($C:$C,$C2211,$D:$D,$D2211,$E:$E,"P0(전)",$M:$M,"&gt;0")&lt;&gt;1,"",SUMIFS($M:$M,$C:$C,$C2211,$D:$D,$D2211,$E:$E,"P0(전)"))</f>
        <v/>
      </c>
      <c r="Q2211" s="48">
        <f>IF(COUNTIFS($C:$C,$C2211,$D:$D,$D2211,$E:$E,"P0(후)",$M:$M,"&gt;0")&lt;&gt;1,"",SUMIFS($I:$I,$C:$C,$C2211,$D:$D,$D2211,$E:$E,"P0(후)"))</f>
        <v/>
      </c>
      <c r="R2211" s="31">
        <f>IF(COUNTIFS($C:$C,$C2211,$D:$D,$D2211,$E:$E,"P0(후)",$M:$M,"&gt;0")&lt;&gt;1,"",SUMIFS($M:$M,$C:$C,$C2211,$D:$D,$D2211,$E:$E,"P0(후)"))</f>
        <v/>
      </c>
      <c r="S2211" s="31">
        <f>IF(N2211&lt;&gt;"OK","",P2211+(R2211-P2211)*(I2211-O2211)/(Q2211-O2211))</f>
        <v/>
      </c>
      <c r="T2211" s="31">
        <f>IF(OR(N2211&lt;&gt;"OK",NOT(ISNUMBER(M2211))),"",M2211-S2211)</f>
        <v/>
      </c>
      <c r="U2211" s="49">
        <f>IF(OR(NOT(ISNUMBER(T2211)),IF(ISNUMBER(H2211),H2211,G2211)=0),"",T2211/IF(ISNUMBER(H2211),H2211,G2211))</f>
        <v/>
      </c>
      <c r="V2211" s="49">
        <f>IF(ISNUMBER(U2211),ABS(U2211),"")</f>
        <v/>
      </c>
      <c r="W2211" s="49">
        <f>IF(OR($E2210&lt;&gt;"측정",$C2210&lt;&gt;$C2211,$D2210&lt;&gt;$D2211,NOT(ISNUMBER(M2211)),NOT(ISNUMBER(M2210)),(IF(ISNUMBER(H2211),H2211,G2211)-IF(ISNUMBER(H2210),H2210,G2210))=0),"",(M2211-M2210)/(IF(ISNUMBER(H2211),H2211,G2211)-IF(ISNUMBER(H2210),H2210,G2210)))</f>
        <v/>
      </c>
      <c r="X2211" s="31">
        <f>IF(NOT(AND(ISNUMBER(O2211),ISNUMBER(Q2211))),"",(Q2211-O2211)*1440)</f>
        <v/>
      </c>
      <c r="Y2211" s="29" t="n"/>
      <c r="Z2211" s="29" t="n"/>
      <c r="AA2211" s="29" t="n"/>
      <c r="AB2211" s="32" t="n"/>
      <c r="AC2211" s="32" t="n"/>
    </row>
    <row r="2212">
      <c r="A2212" s="26" t="inlineStr">
        <is>
          <t>S43</t>
        </is>
      </c>
      <c r="B2212" s="26" t="inlineStr">
        <is>
          <t>포천</t>
        </is>
      </c>
      <c r="C2212" s="26" t="inlineStr">
        <is>
          <t>S43-H서</t>
        </is>
      </c>
      <c r="D2212" s="47" t="n">
        <v>1</v>
      </c>
      <c r="E2212" s="26" t="inlineStr">
        <is>
          <t>측정</t>
        </is>
      </c>
      <c r="F2212" s="26" t="inlineStr">
        <is>
          <t>서</t>
        </is>
      </c>
      <c r="G2212" s="31" t="n">
        <v>8</v>
      </c>
      <c r="H2212" s="30" t="n"/>
      <c r="I2212" s="43" t="n"/>
      <c r="J2212" s="41" t="n"/>
      <c r="K2212" s="41" t="n"/>
      <c r="L2212" s="41" t="n"/>
      <c r="M2212" s="31">
        <f>IF(COUNT(J2212:L2212)=0,"",MEDIAN(J2212:L2212))</f>
        <v/>
      </c>
      <c r="N2212" s="26">
        <f>IF(COUNTIFS($C:$C,$C2212,$D:$D,$D2212,$E:$E,"P0(전)",$M:$M,"&gt;0")&lt;&gt;1,"P0(전) 유효 1개 아님",IF(COUNTIFS($C:$C,$C2212,$D:$D,$D2212,$E:$E,"P0(후)",$M:$M,"&gt;0")&lt;&gt;1,"P0(후) 유효 1개 아님",IF(NOT(AND(ISNUMBER(O2212),ISNUMBER(Q2212),ISNUMBER(I2212))),"시각 결측",IF(Q2212&lt;=O2212,"P0 시각 역전",IF(OR(I2212&lt;O2212,I2212&gt;Q2212),"측정시각 구간 밖","OK")))))</f>
        <v/>
      </c>
      <c r="O2212" s="48">
        <f>IF(COUNTIFS($C:$C,$C2212,$D:$D,$D2212,$E:$E,"P0(전)",$M:$M,"&gt;0")&lt;&gt;1,"",SUMIFS($I:$I,$C:$C,$C2212,$D:$D,$D2212,$E:$E,"P0(전)"))</f>
        <v/>
      </c>
      <c r="P2212" s="31">
        <f>IF(COUNTIFS($C:$C,$C2212,$D:$D,$D2212,$E:$E,"P0(전)",$M:$M,"&gt;0")&lt;&gt;1,"",SUMIFS($M:$M,$C:$C,$C2212,$D:$D,$D2212,$E:$E,"P0(전)"))</f>
        <v/>
      </c>
      <c r="Q2212" s="48">
        <f>IF(COUNTIFS($C:$C,$C2212,$D:$D,$D2212,$E:$E,"P0(후)",$M:$M,"&gt;0")&lt;&gt;1,"",SUMIFS($I:$I,$C:$C,$C2212,$D:$D,$D2212,$E:$E,"P0(후)"))</f>
        <v/>
      </c>
      <c r="R2212" s="31">
        <f>IF(COUNTIFS($C:$C,$C2212,$D:$D,$D2212,$E:$E,"P0(후)",$M:$M,"&gt;0")&lt;&gt;1,"",SUMIFS($M:$M,$C:$C,$C2212,$D:$D,$D2212,$E:$E,"P0(후)"))</f>
        <v/>
      </c>
      <c r="S2212" s="31">
        <f>IF(N2212&lt;&gt;"OK","",P2212+(R2212-P2212)*(I2212-O2212)/(Q2212-O2212))</f>
        <v/>
      </c>
      <c r="T2212" s="31">
        <f>IF(OR(N2212&lt;&gt;"OK",NOT(ISNUMBER(M2212))),"",M2212-S2212)</f>
        <v/>
      </c>
      <c r="U2212" s="49">
        <f>IF(OR(NOT(ISNUMBER(T2212)),IF(ISNUMBER(H2212),H2212,G2212)=0),"",T2212/IF(ISNUMBER(H2212),H2212,G2212))</f>
        <v/>
      </c>
      <c r="V2212" s="49">
        <f>IF(ISNUMBER(U2212),ABS(U2212),"")</f>
        <v/>
      </c>
      <c r="W2212" s="49">
        <f>IF(OR($E2211&lt;&gt;"측정",$C2211&lt;&gt;$C2212,$D2211&lt;&gt;$D2212,NOT(ISNUMBER(M2212)),NOT(ISNUMBER(M2211)),(IF(ISNUMBER(H2212),H2212,G2212)-IF(ISNUMBER(H2211),H2211,G2211))=0),"",(M2212-M2211)/(IF(ISNUMBER(H2212),H2212,G2212)-IF(ISNUMBER(H2211),H2211,G2211)))</f>
        <v/>
      </c>
      <c r="X2212" s="31">
        <f>IF(NOT(AND(ISNUMBER(O2212),ISNUMBER(Q2212))),"",(Q2212-O2212)*1440)</f>
        <v/>
      </c>
      <c r="Y2212" s="29" t="n"/>
      <c r="Z2212" s="29" t="n"/>
      <c r="AA2212" s="29" t="n"/>
      <c r="AB2212" s="32" t="n"/>
      <c r="AC2212" s="32" t="n"/>
    </row>
    <row r="2213">
      <c r="A2213" s="26" t="inlineStr">
        <is>
          <t>S43</t>
        </is>
      </c>
      <c r="B2213" s="26" t="inlineStr">
        <is>
          <t>포천</t>
        </is>
      </c>
      <c r="C2213" s="26" t="inlineStr">
        <is>
          <t>S43-H서</t>
        </is>
      </c>
      <c r="D2213" s="47" t="n">
        <v>1</v>
      </c>
      <c r="E2213" s="26" t="inlineStr">
        <is>
          <t>측정</t>
        </is>
      </c>
      <c r="F2213" s="26" t="inlineStr">
        <is>
          <t>서</t>
        </is>
      </c>
      <c r="G2213" s="31" t="n">
        <v>9</v>
      </c>
      <c r="H2213" s="30" t="n"/>
      <c r="I2213" s="43" t="n"/>
      <c r="J2213" s="41" t="n"/>
      <c r="K2213" s="41" t="n"/>
      <c r="L2213" s="41" t="n"/>
      <c r="M2213" s="31">
        <f>IF(COUNT(J2213:L2213)=0,"",MEDIAN(J2213:L2213))</f>
        <v/>
      </c>
      <c r="N2213" s="26">
        <f>IF(COUNTIFS($C:$C,$C2213,$D:$D,$D2213,$E:$E,"P0(전)",$M:$M,"&gt;0")&lt;&gt;1,"P0(전) 유효 1개 아님",IF(COUNTIFS($C:$C,$C2213,$D:$D,$D2213,$E:$E,"P0(후)",$M:$M,"&gt;0")&lt;&gt;1,"P0(후) 유효 1개 아님",IF(NOT(AND(ISNUMBER(O2213),ISNUMBER(Q2213),ISNUMBER(I2213))),"시각 결측",IF(Q2213&lt;=O2213,"P0 시각 역전",IF(OR(I2213&lt;O2213,I2213&gt;Q2213),"측정시각 구간 밖","OK")))))</f>
        <v/>
      </c>
      <c r="O2213" s="48">
        <f>IF(COUNTIFS($C:$C,$C2213,$D:$D,$D2213,$E:$E,"P0(전)",$M:$M,"&gt;0")&lt;&gt;1,"",SUMIFS($I:$I,$C:$C,$C2213,$D:$D,$D2213,$E:$E,"P0(전)"))</f>
        <v/>
      </c>
      <c r="P2213" s="31">
        <f>IF(COUNTIFS($C:$C,$C2213,$D:$D,$D2213,$E:$E,"P0(전)",$M:$M,"&gt;0")&lt;&gt;1,"",SUMIFS($M:$M,$C:$C,$C2213,$D:$D,$D2213,$E:$E,"P0(전)"))</f>
        <v/>
      </c>
      <c r="Q2213" s="48">
        <f>IF(COUNTIFS($C:$C,$C2213,$D:$D,$D2213,$E:$E,"P0(후)",$M:$M,"&gt;0")&lt;&gt;1,"",SUMIFS($I:$I,$C:$C,$C2213,$D:$D,$D2213,$E:$E,"P0(후)"))</f>
        <v/>
      </c>
      <c r="R2213" s="31">
        <f>IF(COUNTIFS($C:$C,$C2213,$D:$D,$D2213,$E:$E,"P0(후)",$M:$M,"&gt;0")&lt;&gt;1,"",SUMIFS($M:$M,$C:$C,$C2213,$D:$D,$D2213,$E:$E,"P0(후)"))</f>
        <v/>
      </c>
      <c r="S2213" s="31">
        <f>IF(N2213&lt;&gt;"OK","",P2213+(R2213-P2213)*(I2213-O2213)/(Q2213-O2213))</f>
        <v/>
      </c>
      <c r="T2213" s="31">
        <f>IF(OR(N2213&lt;&gt;"OK",NOT(ISNUMBER(M2213))),"",M2213-S2213)</f>
        <v/>
      </c>
      <c r="U2213" s="49">
        <f>IF(OR(NOT(ISNUMBER(T2213)),IF(ISNUMBER(H2213),H2213,G2213)=0),"",T2213/IF(ISNUMBER(H2213),H2213,G2213))</f>
        <v/>
      </c>
      <c r="V2213" s="49">
        <f>IF(ISNUMBER(U2213),ABS(U2213),"")</f>
        <v/>
      </c>
      <c r="W2213" s="49">
        <f>IF(OR($E2212&lt;&gt;"측정",$C2212&lt;&gt;$C2213,$D2212&lt;&gt;$D2213,NOT(ISNUMBER(M2213)),NOT(ISNUMBER(M2212)),(IF(ISNUMBER(H2213),H2213,G2213)-IF(ISNUMBER(H2212),H2212,G2212))=0),"",(M2213-M2212)/(IF(ISNUMBER(H2213),H2213,G2213)-IF(ISNUMBER(H2212),H2212,G2212)))</f>
        <v/>
      </c>
      <c r="X2213" s="31">
        <f>IF(NOT(AND(ISNUMBER(O2213),ISNUMBER(Q2213))),"",(Q2213-O2213)*1440)</f>
        <v/>
      </c>
      <c r="Y2213" s="29" t="n"/>
      <c r="Z2213" s="29" t="n"/>
      <c r="AA2213" s="29" t="n"/>
      <c r="AB2213" s="32" t="n"/>
      <c r="AC2213" s="32" t="n"/>
    </row>
    <row r="2214">
      <c r="A2214" s="26" t="inlineStr">
        <is>
          <t>S43</t>
        </is>
      </c>
      <c r="B2214" s="26" t="inlineStr">
        <is>
          <t>포천</t>
        </is>
      </c>
      <c r="C2214" s="26" t="inlineStr">
        <is>
          <t>S43-H서</t>
        </is>
      </c>
      <c r="D2214" s="47" t="n">
        <v>1</v>
      </c>
      <c r="E2214" s="26" t="inlineStr">
        <is>
          <t>측정</t>
        </is>
      </c>
      <c r="F2214" s="26" t="inlineStr">
        <is>
          <t>서</t>
        </is>
      </c>
      <c r="G2214" s="31" t="n">
        <v>10</v>
      </c>
      <c r="H2214" s="30" t="n"/>
      <c r="I2214" s="43" t="n"/>
      <c r="J2214" s="41" t="n"/>
      <c r="K2214" s="41" t="n"/>
      <c r="L2214" s="41" t="n"/>
      <c r="M2214" s="31">
        <f>IF(COUNT(J2214:L2214)=0,"",MEDIAN(J2214:L2214))</f>
        <v/>
      </c>
      <c r="N2214" s="26">
        <f>IF(COUNTIFS($C:$C,$C2214,$D:$D,$D2214,$E:$E,"P0(전)",$M:$M,"&gt;0")&lt;&gt;1,"P0(전) 유효 1개 아님",IF(COUNTIFS($C:$C,$C2214,$D:$D,$D2214,$E:$E,"P0(후)",$M:$M,"&gt;0")&lt;&gt;1,"P0(후) 유효 1개 아님",IF(NOT(AND(ISNUMBER(O2214),ISNUMBER(Q2214),ISNUMBER(I2214))),"시각 결측",IF(Q2214&lt;=O2214,"P0 시각 역전",IF(OR(I2214&lt;O2214,I2214&gt;Q2214),"측정시각 구간 밖","OK")))))</f>
        <v/>
      </c>
      <c r="O2214" s="48">
        <f>IF(COUNTIFS($C:$C,$C2214,$D:$D,$D2214,$E:$E,"P0(전)",$M:$M,"&gt;0")&lt;&gt;1,"",SUMIFS($I:$I,$C:$C,$C2214,$D:$D,$D2214,$E:$E,"P0(전)"))</f>
        <v/>
      </c>
      <c r="P2214" s="31">
        <f>IF(COUNTIFS($C:$C,$C2214,$D:$D,$D2214,$E:$E,"P0(전)",$M:$M,"&gt;0")&lt;&gt;1,"",SUMIFS($M:$M,$C:$C,$C2214,$D:$D,$D2214,$E:$E,"P0(전)"))</f>
        <v/>
      </c>
      <c r="Q2214" s="48">
        <f>IF(COUNTIFS($C:$C,$C2214,$D:$D,$D2214,$E:$E,"P0(후)",$M:$M,"&gt;0")&lt;&gt;1,"",SUMIFS($I:$I,$C:$C,$C2214,$D:$D,$D2214,$E:$E,"P0(후)"))</f>
        <v/>
      </c>
      <c r="R2214" s="31">
        <f>IF(COUNTIFS($C:$C,$C2214,$D:$D,$D2214,$E:$E,"P0(후)",$M:$M,"&gt;0")&lt;&gt;1,"",SUMIFS($M:$M,$C:$C,$C2214,$D:$D,$D2214,$E:$E,"P0(후)"))</f>
        <v/>
      </c>
      <c r="S2214" s="31">
        <f>IF(N2214&lt;&gt;"OK","",P2214+(R2214-P2214)*(I2214-O2214)/(Q2214-O2214))</f>
        <v/>
      </c>
      <c r="T2214" s="31">
        <f>IF(OR(N2214&lt;&gt;"OK",NOT(ISNUMBER(M2214))),"",M2214-S2214)</f>
        <v/>
      </c>
      <c r="U2214" s="49">
        <f>IF(OR(NOT(ISNUMBER(T2214)),IF(ISNUMBER(H2214),H2214,G2214)=0),"",T2214/IF(ISNUMBER(H2214),H2214,G2214))</f>
        <v/>
      </c>
      <c r="V2214" s="49">
        <f>IF(ISNUMBER(U2214),ABS(U2214),"")</f>
        <v/>
      </c>
      <c r="W2214" s="49">
        <f>IF(OR($E2213&lt;&gt;"측정",$C2213&lt;&gt;$C2214,$D2213&lt;&gt;$D2214,NOT(ISNUMBER(M2214)),NOT(ISNUMBER(M2213)),(IF(ISNUMBER(H2214),H2214,G2214)-IF(ISNUMBER(H2213),H2213,G2213))=0),"",(M2214-M2213)/(IF(ISNUMBER(H2214),H2214,G2214)-IF(ISNUMBER(H2213),H2213,G2213)))</f>
        <v/>
      </c>
      <c r="X2214" s="31">
        <f>IF(NOT(AND(ISNUMBER(O2214),ISNUMBER(Q2214))),"",(Q2214-O2214)*1440)</f>
        <v/>
      </c>
      <c r="Y2214" s="29" t="n"/>
      <c r="Z2214" s="29" t="n"/>
      <c r="AA2214" s="29" t="n"/>
      <c r="AB2214" s="32" t="n"/>
      <c r="AC2214" s="32" t="n"/>
    </row>
    <row r="2215">
      <c r="A2215" s="44" t="inlineStr">
        <is>
          <t>S43</t>
        </is>
      </c>
      <c r="B2215" s="44" t="inlineStr">
        <is>
          <t>포천</t>
        </is>
      </c>
      <c r="C2215" s="44" t="inlineStr">
        <is>
          <t>S43-H서</t>
        </is>
      </c>
      <c r="D2215" s="45" t="n">
        <v>1</v>
      </c>
      <c r="E2215" s="44" t="inlineStr">
        <is>
          <t>P0(후)</t>
        </is>
      </c>
      <c r="F2215" s="44" t="inlineStr">
        <is>
          <t>서</t>
        </is>
      </c>
      <c r="G2215" s="46" t="n"/>
      <c r="H2215" s="30" t="n"/>
      <c r="I2215" s="43" t="n"/>
      <c r="J2215" s="41" t="n"/>
      <c r="K2215" s="41" t="n"/>
      <c r="L2215" s="41" t="n"/>
      <c r="M2215" s="31">
        <f>IF(COUNT(J2215:L2215)=0,"",MEDIAN(J2215:L2215))</f>
        <v/>
      </c>
      <c r="N2215" s="38" t="n"/>
      <c r="O2215" s="38" t="n"/>
      <c r="P2215" s="38" t="n"/>
      <c r="Q2215" s="38" t="n"/>
      <c r="R2215" s="38" t="n"/>
      <c r="S2215" s="38" t="n"/>
      <c r="T2215" s="38" t="n"/>
      <c r="U2215" s="38" t="n"/>
      <c r="V2215" s="38" t="n"/>
      <c r="W2215" s="38" t="n"/>
      <c r="X2215" s="38" t="n"/>
      <c r="Y2215" s="29" t="n"/>
      <c r="Z2215" s="29" t="n"/>
      <c r="AA2215" s="29" t="n"/>
      <c r="AB2215" s="32" t="n"/>
      <c r="AC2215" s="32" t="n"/>
    </row>
    <row r="2216">
      <c r="A2216" s="44" t="inlineStr">
        <is>
          <t>S43</t>
        </is>
      </c>
      <c r="B2216" s="44" t="inlineStr">
        <is>
          <t>포천</t>
        </is>
      </c>
      <c r="C2216" s="44" t="inlineStr">
        <is>
          <t>S43-H남</t>
        </is>
      </c>
      <c r="D2216" s="45" t="n">
        <v>1</v>
      </c>
      <c r="E2216" s="44" t="inlineStr">
        <is>
          <t>P0(전)</t>
        </is>
      </c>
      <c r="F2216" s="44" t="inlineStr">
        <is>
          <t>남</t>
        </is>
      </c>
      <c r="G2216" s="46" t="n"/>
      <c r="H2216" s="30" t="n"/>
      <c r="I2216" s="43" t="n"/>
      <c r="J2216" s="41" t="n"/>
      <c r="K2216" s="41" t="n"/>
      <c r="L2216" s="41" t="n"/>
      <c r="M2216" s="31">
        <f>IF(COUNT(J2216:L2216)=0,"",MEDIAN(J2216:L2216))</f>
        <v/>
      </c>
      <c r="N2216" s="38" t="n"/>
      <c r="O2216" s="38" t="n"/>
      <c r="P2216" s="38" t="n"/>
      <c r="Q2216" s="38" t="n"/>
      <c r="R2216" s="38" t="n"/>
      <c r="S2216" s="38" t="n"/>
      <c r="T2216" s="38" t="n"/>
      <c r="U2216" s="38" t="n"/>
      <c r="V2216" s="38" t="n"/>
      <c r="W2216" s="38" t="n"/>
      <c r="X2216" s="38" t="n"/>
      <c r="Y2216" s="29" t="n"/>
      <c r="Z2216" s="29" t="n"/>
      <c r="AA2216" s="29" t="n"/>
      <c r="AB2216" s="32" t="n"/>
      <c r="AC2216" s="32" t="n"/>
    </row>
    <row r="2217">
      <c r="A2217" s="26" t="inlineStr">
        <is>
          <t>S43</t>
        </is>
      </c>
      <c r="B2217" s="26" t="inlineStr">
        <is>
          <t>포천</t>
        </is>
      </c>
      <c r="C2217" s="26" t="inlineStr">
        <is>
          <t>S43-H남</t>
        </is>
      </c>
      <c r="D2217" s="47" t="n">
        <v>1</v>
      </c>
      <c r="E2217" s="26" t="inlineStr">
        <is>
          <t>측정</t>
        </is>
      </c>
      <c r="F2217" s="26" t="inlineStr">
        <is>
          <t>남</t>
        </is>
      </c>
      <c r="G2217" s="31" t="n">
        <v>0.5</v>
      </c>
      <c r="H2217" s="30" t="n"/>
      <c r="I2217" s="43" t="n"/>
      <c r="J2217" s="41" t="n"/>
      <c r="K2217" s="41" t="n"/>
      <c r="L2217" s="41" t="n"/>
      <c r="M2217" s="31">
        <f>IF(COUNT(J2217:L2217)=0,"",MEDIAN(J2217:L2217))</f>
        <v/>
      </c>
      <c r="N2217" s="26">
        <f>IF(COUNTIFS($C:$C,$C2217,$D:$D,$D2217,$E:$E,"P0(전)",$M:$M,"&gt;0")&lt;&gt;1,"P0(전) 유효 1개 아님",IF(COUNTIFS($C:$C,$C2217,$D:$D,$D2217,$E:$E,"P0(후)",$M:$M,"&gt;0")&lt;&gt;1,"P0(후) 유효 1개 아님",IF(NOT(AND(ISNUMBER(O2217),ISNUMBER(Q2217),ISNUMBER(I2217))),"시각 결측",IF(Q2217&lt;=O2217,"P0 시각 역전",IF(OR(I2217&lt;O2217,I2217&gt;Q2217),"측정시각 구간 밖","OK")))))</f>
        <v/>
      </c>
      <c r="O2217" s="48">
        <f>IF(COUNTIFS($C:$C,$C2217,$D:$D,$D2217,$E:$E,"P0(전)",$M:$M,"&gt;0")&lt;&gt;1,"",SUMIFS($I:$I,$C:$C,$C2217,$D:$D,$D2217,$E:$E,"P0(전)"))</f>
        <v/>
      </c>
      <c r="P2217" s="31">
        <f>IF(COUNTIFS($C:$C,$C2217,$D:$D,$D2217,$E:$E,"P0(전)",$M:$M,"&gt;0")&lt;&gt;1,"",SUMIFS($M:$M,$C:$C,$C2217,$D:$D,$D2217,$E:$E,"P0(전)"))</f>
        <v/>
      </c>
      <c r="Q2217" s="48">
        <f>IF(COUNTIFS($C:$C,$C2217,$D:$D,$D2217,$E:$E,"P0(후)",$M:$M,"&gt;0")&lt;&gt;1,"",SUMIFS($I:$I,$C:$C,$C2217,$D:$D,$D2217,$E:$E,"P0(후)"))</f>
        <v/>
      </c>
      <c r="R2217" s="31">
        <f>IF(COUNTIFS($C:$C,$C2217,$D:$D,$D2217,$E:$E,"P0(후)",$M:$M,"&gt;0")&lt;&gt;1,"",SUMIFS($M:$M,$C:$C,$C2217,$D:$D,$D2217,$E:$E,"P0(후)"))</f>
        <v/>
      </c>
      <c r="S2217" s="31">
        <f>IF(N2217&lt;&gt;"OK","",P2217+(R2217-P2217)*(I2217-O2217)/(Q2217-O2217))</f>
        <v/>
      </c>
      <c r="T2217" s="31">
        <f>IF(OR(N2217&lt;&gt;"OK",NOT(ISNUMBER(M2217))),"",M2217-S2217)</f>
        <v/>
      </c>
      <c r="U2217" s="49">
        <f>IF(OR(NOT(ISNUMBER(T2217)),IF(ISNUMBER(H2217),H2217,G2217)=0),"",T2217/IF(ISNUMBER(H2217),H2217,G2217))</f>
        <v/>
      </c>
      <c r="V2217" s="49">
        <f>IF(ISNUMBER(U2217),ABS(U2217),"")</f>
        <v/>
      </c>
      <c r="W2217" s="49">
        <f>IF(OR($E2216&lt;&gt;"측정",$C2216&lt;&gt;$C2217,$D2216&lt;&gt;$D2217,NOT(ISNUMBER(M2217)),NOT(ISNUMBER(M2216)),(IF(ISNUMBER(H2217),H2217,G2217)-IF(ISNUMBER(H2216),H2216,G2216))=0),"",(M2217-M2216)/(IF(ISNUMBER(H2217),H2217,G2217)-IF(ISNUMBER(H2216),H2216,G2216)))</f>
        <v/>
      </c>
      <c r="X2217" s="31">
        <f>IF(NOT(AND(ISNUMBER(O2217),ISNUMBER(Q2217))),"",(Q2217-O2217)*1440)</f>
        <v/>
      </c>
      <c r="Y2217" s="29" t="n"/>
      <c r="Z2217" s="29" t="n"/>
      <c r="AA2217" s="29" t="n"/>
      <c r="AB2217" s="32" t="n"/>
      <c r="AC2217" s="32" t="n"/>
    </row>
    <row r="2218">
      <c r="A2218" s="26" t="inlineStr">
        <is>
          <t>S43</t>
        </is>
      </c>
      <c r="B2218" s="26" t="inlineStr">
        <is>
          <t>포천</t>
        </is>
      </c>
      <c r="C2218" s="26" t="inlineStr">
        <is>
          <t>S43-H남</t>
        </is>
      </c>
      <c r="D2218" s="47" t="n">
        <v>1</v>
      </c>
      <c r="E2218" s="26" t="inlineStr">
        <is>
          <t>측정</t>
        </is>
      </c>
      <c r="F2218" s="26" t="inlineStr">
        <is>
          <t>남</t>
        </is>
      </c>
      <c r="G2218" s="31" t="n">
        <v>1</v>
      </c>
      <c r="H2218" s="30" t="n"/>
      <c r="I2218" s="43" t="n"/>
      <c r="J2218" s="41" t="n"/>
      <c r="K2218" s="41" t="n"/>
      <c r="L2218" s="41" t="n"/>
      <c r="M2218" s="31">
        <f>IF(COUNT(J2218:L2218)=0,"",MEDIAN(J2218:L2218))</f>
        <v/>
      </c>
      <c r="N2218" s="26">
        <f>IF(COUNTIFS($C:$C,$C2218,$D:$D,$D2218,$E:$E,"P0(전)",$M:$M,"&gt;0")&lt;&gt;1,"P0(전) 유효 1개 아님",IF(COUNTIFS($C:$C,$C2218,$D:$D,$D2218,$E:$E,"P0(후)",$M:$M,"&gt;0")&lt;&gt;1,"P0(후) 유효 1개 아님",IF(NOT(AND(ISNUMBER(O2218),ISNUMBER(Q2218),ISNUMBER(I2218))),"시각 결측",IF(Q2218&lt;=O2218,"P0 시각 역전",IF(OR(I2218&lt;O2218,I2218&gt;Q2218),"측정시각 구간 밖","OK")))))</f>
        <v/>
      </c>
      <c r="O2218" s="48">
        <f>IF(COUNTIFS($C:$C,$C2218,$D:$D,$D2218,$E:$E,"P0(전)",$M:$M,"&gt;0")&lt;&gt;1,"",SUMIFS($I:$I,$C:$C,$C2218,$D:$D,$D2218,$E:$E,"P0(전)"))</f>
        <v/>
      </c>
      <c r="P2218" s="31">
        <f>IF(COUNTIFS($C:$C,$C2218,$D:$D,$D2218,$E:$E,"P0(전)",$M:$M,"&gt;0")&lt;&gt;1,"",SUMIFS($M:$M,$C:$C,$C2218,$D:$D,$D2218,$E:$E,"P0(전)"))</f>
        <v/>
      </c>
      <c r="Q2218" s="48">
        <f>IF(COUNTIFS($C:$C,$C2218,$D:$D,$D2218,$E:$E,"P0(후)",$M:$M,"&gt;0")&lt;&gt;1,"",SUMIFS($I:$I,$C:$C,$C2218,$D:$D,$D2218,$E:$E,"P0(후)"))</f>
        <v/>
      </c>
      <c r="R2218" s="31">
        <f>IF(COUNTIFS($C:$C,$C2218,$D:$D,$D2218,$E:$E,"P0(후)",$M:$M,"&gt;0")&lt;&gt;1,"",SUMIFS($M:$M,$C:$C,$C2218,$D:$D,$D2218,$E:$E,"P0(후)"))</f>
        <v/>
      </c>
      <c r="S2218" s="31">
        <f>IF(N2218&lt;&gt;"OK","",P2218+(R2218-P2218)*(I2218-O2218)/(Q2218-O2218))</f>
        <v/>
      </c>
      <c r="T2218" s="31">
        <f>IF(OR(N2218&lt;&gt;"OK",NOT(ISNUMBER(M2218))),"",M2218-S2218)</f>
        <v/>
      </c>
      <c r="U2218" s="49">
        <f>IF(OR(NOT(ISNUMBER(T2218)),IF(ISNUMBER(H2218),H2218,G2218)=0),"",T2218/IF(ISNUMBER(H2218),H2218,G2218))</f>
        <v/>
      </c>
      <c r="V2218" s="49">
        <f>IF(ISNUMBER(U2218),ABS(U2218),"")</f>
        <v/>
      </c>
      <c r="W2218" s="49">
        <f>IF(OR($E2217&lt;&gt;"측정",$C2217&lt;&gt;$C2218,$D2217&lt;&gt;$D2218,NOT(ISNUMBER(M2218)),NOT(ISNUMBER(M2217)),(IF(ISNUMBER(H2218),H2218,G2218)-IF(ISNUMBER(H2217),H2217,G2217))=0),"",(M2218-M2217)/(IF(ISNUMBER(H2218),H2218,G2218)-IF(ISNUMBER(H2217),H2217,G2217)))</f>
        <v/>
      </c>
      <c r="X2218" s="31">
        <f>IF(NOT(AND(ISNUMBER(O2218),ISNUMBER(Q2218))),"",(Q2218-O2218)*1440)</f>
        <v/>
      </c>
      <c r="Y2218" s="29" t="n"/>
      <c r="Z2218" s="29" t="n"/>
      <c r="AA2218" s="29" t="n"/>
      <c r="AB2218" s="32" t="n"/>
      <c r="AC2218" s="32" t="n"/>
    </row>
    <row r="2219">
      <c r="A2219" s="26" t="inlineStr">
        <is>
          <t>S43</t>
        </is>
      </c>
      <c r="B2219" s="26" t="inlineStr">
        <is>
          <t>포천</t>
        </is>
      </c>
      <c r="C2219" s="26" t="inlineStr">
        <is>
          <t>S43-H남</t>
        </is>
      </c>
      <c r="D2219" s="47" t="n">
        <v>1</v>
      </c>
      <c r="E2219" s="26" t="inlineStr">
        <is>
          <t>측정</t>
        </is>
      </c>
      <c r="F2219" s="26" t="inlineStr">
        <is>
          <t>남</t>
        </is>
      </c>
      <c r="G2219" s="31" t="n">
        <v>2</v>
      </c>
      <c r="H2219" s="30" t="n"/>
      <c r="I2219" s="43" t="n"/>
      <c r="J2219" s="41" t="n"/>
      <c r="K2219" s="41" t="n"/>
      <c r="L2219" s="41" t="n"/>
      <c r="M2219" s="31">
        <f>IF(COUNT(J2219:L2219)=0,"",MEDIAN(J2219:L2219))</f>
        <v/>
      </c>
      <c r="N2219" s="26">
        <f>IF(COUNTIFS($C:$C,$C2219,$D:$D,$D2219,$E:$E,"P0(전)",$M:$M,"&gt;0")&lt;&gt;1,"P0(전) 유효 1개 아님",IF(COUNTIFS($C:$C,$C2219,$D:$D,$D2219,$E:$E,"P0(후)",$M:$M,"&gt;0")&lt;&gt;1,"P0(후) 유효 1개 아님",IF(NOT(AND(ISNUMBER(O2219),ISNUMBER(Q2219),ISNUMBER(I2219))),"시각 결측",IF(Q2219&lt;=O2219,"P0 시각 역전",IF(OR(I2219&lt;O2219,I2219&gt;Q2219),"측정시각 구간 밖","OK")))))</f>
        <v/>
      </c>
      <c r="O2219" s="48">
        <f>IF(COUNTIFS($C:$C,$C2219,$D:$D,$D2219,$E:$E,"P0(전)",$M:$M,"&gt;0")&lt;&gt;1,"",SUMIFS($I:$I,$C:$C,$C2219,$D:$D,$D2219,$E:$E,"P0(전)"))</f>
        <v/>
      </c>
      <c r="P2219" s="31">
        <f>IF(COUNTIFS($C:$C,$C2219,$D:$D,$D2219,$E:$E,"P0(전)",$M:$M,"&gt;0")&lt;&gt;1,"",SUMIFS($M:$M,$C:$C,$C2219,$D:$D,$D2219,$E:$E,"P0(전)"))</f>
        <v/>
      </c>
      <c r="Q2219" s="48">
        <f>IF(COUNTIFS($C:$C,$C2219,$D:$D,$D2219,$E:$E,"P0(후)",$M:$M,"&gt;0")&lt;&gt;1,"",SUMIFS($I:$I,$C:$C,$C2219,$D:$D,$D2219,$E:$E,"P0(후)"))</f>
        <v/>
      </c>
      <c r="R2219" s="31">
        <f>IF(COUNTIFS($C:$C,$C2219,$D:$D,$D2219,$E:$E,"P0(후)",$M:$M,"&gt;0")&lt;&gt;1,"",SUMIFS($M:$M,$C:$C,$C2219,$D:$D,$D2219,$E:$E,"P0(후)"))</f>
        <v/>
      </c>
      <c r="S2219" s="31">
        <f>IF(N2219&lt;&gt;"OK","",P2219+(R2219-P2219)*(I2219-O2219)/(Q2219-O2219))</f>
        <v/>
      </c>
      <c r="T2219" s="31">
        <f>IF(OR(N2219&lt;&gt;"OK",NOT(ISNUMBER(M2219))),"",M2219-S2219)</f>
        <v/>
      </c>
      <c r="U2219" s="49">
        <f>IF(OR(NOT(ISNUMBER(T2219)),IF(ISNUMBER(H2219),H2219,G2219)=0),"",T2219/IF(ISNUMBER(H2219),H2219,G2219))</f>
        <v/>
      </c>
      <c r="V2219" s="49">
        <f>IF(ISNUMBER(U2219),ABS(U2219),"")</f>
        <v/>
      </c>
      <c r="W2219" s="49">
        <f>IF(OR($E2218&lt;&gt;"측정",$C2218&lt;&gt;$C2219,$D2218&lt;&gt;$D2219,NOT(ISNUMBER(M2219)),NOT(ISNUMBER(M2218)),(IF(ISNUMBER(H2219),H2219,G2219)-IF(ISNUMBER(H2218),H2218,G2218))=0),"",(M2219-M2218)/(IF(ISNUMBER(H2219),H2219,G2219)-IF(ISNUMBER(H2218),H2218,G2218)))</f>
        <v/>
      </c>
      <c r="X2219" s="31">
        <f>IF(NOT(AND(ISNUMBER(O2219),ISNUMBER(Q2219))),"",(Q2219-O2219)*1440)</f>
        <v/>
      </c>
      <c r="Y2219" s="29" t="n"/>
      <c r="Z2219" s="29" t="n"/>
      <c r="AA2219" s="29" t="n"/>
      <c r="AB2219" s="32" t="n"/>
      <c r="AC2219" s="32" t="n"/>
    </row>
    <row r="2220">
      <c r="A2220" s="26" t="inlineStr">
        <is>
          <t>S43</t>
        </is>
      </c>
      <c r="B2220" s="26" t="inlineStr">
        <is>
          <t>포천</t>
        </is>
      </c>
      <c r="C2220" s="26" t="inlineStr">
        <is>
          <t>S43-H남</t>
        </is>
      </c>
      <c r="D2220" s="47" t="n">
        <v>1</v>
      </c>
      <c r="E2220" s="26" t="inlineStr">
        <is>
          <t>측정</t>
        </is>
      </c>
      <c r="F2220" s="26" t="inlineStr">
        <is>
          <t>남</t>
        </is>
      </c>
      <c r="G2220" s="31" t="n">
        <v>3</v>
      </c>
      <c r="H2220" s="30" t="n"/>
      <c r="I2220" s="43" t="n"/>
      <c r="J2220" s="41" t="n"/>
      <c r="K2220" s="41" t="n"/>
      <c r="L2220" s="41" t="n"/>
      <c r="M2220" s="31">
        <f>IF(COUNT(J2220:L2220)=0,"",MEDIAN(J2220:L2220))</f>
        <v/>
      </c>
      <c r="N2220" s="26">
        <f>IF(COUNTIFS($C:$C,$C2220,$D:$D,$D2220,$E:$E,"P0(전)",$M:$M,"&gt;0")&lt;&gt;1,"P0(전) 유효 1개 아님",IF(COUNTIFS($C:$C,$C2220,$D:$D,$D2220,$E:$E,"P0(후)",$M:$M,"&gt;0")&lt;&gt;1,"P0(후) 유효 1개 아님",IF(NOT(AND(ISNUMBER(O2220),ISNUMBER(Q2220),ISNUMBER(I2220))),"시각 결측",IF(Q2220&lt;=O2220,"P0 시각 역전",IF(OR(I2220&lt;O2220,I2220&gt;Q2220),"측정시각 구간 밖","OK")))))</f>
        <v/>
      </c>
      <c r="O2220" s="48">
        <f>IF(COUNTIFS($C:$C,$C2220,$D:$D,$D2220,$E:$E,"P0(전)",$M:$M,"&gt;0")&lt;&gt;1,"",SUMIFS($I:$I,$C:$C,$C2220,$D:$D,$D2220,$E:$E,"P0(전)"))</f>
        <v/>
      </c>
      <c r="P2220" s="31">
        <f>IF(COUNTIFS($C:$C,$C2220,$D:$D,$D2220,$E:$E,"P0(전)",$M:$M,"&gt;0")&lt;&gt;1,"",SUMIFS($M:$M,$C:$C,$C2220,$D:$D,$D2220,$E:$E,"P0(전)"))</f>
        <v/>
      </c>
      <c r="Q2220" s="48">
        <f>IF(COUNTIFS($C:$C,$C2220,$D:$D,$D2220,$E:$E,"P0(후)",$M:$M,"&gt;0")&lt;&gt;1,"",SUMIFS($I:$I,$C:$C,$C2220,$D:$D,$D2220,$E:$E,"P0(후)"))</f>
        <v/>
      </c>
      <c r="R2220" s="31">
        <f>IF(COUNTIFS($C:$C,$C2220,$D:$D,$D2220,$E:$E,"P0(후)",$M:$M,"&gt;0")&lt;&gt;1,"",SUMIFS($M:$M,$C:$C,$C2220,$D:$D,$D2220,$E:$E,"P0(후)"))</f>
        <v/>
      </c>
      <c r="S2220" s="31">
        <f>IF(N2220&lt;&gt;"OK","",P2220+(R2220-P2220)*(I2220-O2220)/(Q2220-O2220))</f>
        <v/>
      </c>
      <c r="T2220" s="31">
        <f>IF(OR(N2220&lt;&gt;"OK",NOT(ISNUMBER(M2220))),"",M2220-S2220)</f>
        <v/>
      </c>
      <c r="U2220" s="49">
        <f>IF(OR(NOT(ISNUMBER(T2220)),IF(ISNUMBER(H2220),H2220,G2220)=0),"",T2220/IF(ISNUMBER(H2220),H2220,G2220))</f>
        <v/>
      </c>
      <c r="V2220" s="49">
        <f>IF(ISNUMBER(U2220),ABS(U2220),"")</f>
        <v/>
      </c>
      <c r="W2220" s="49">
        <f>IF(OR($E2219&lt;&gt;"측정",$C2219&lt;&gt;$C2220,$D2219&lt;&gt;$D2220,NOT(ISNUMBER(M2220)),NOT(ISNUMBER(M2219)),(IF(ISNUMBER(H2220),H2220,G2220)-IF(ISNUMBER(H2219),H2219,G2219))=0),"",(M2220-M2219)/(IF(ISNUMBER(H2220),H2220,G2220)-IF(ISNUMBER(H2219),H2219,G2219)))</f>
        <v/>
      </c>
      <c r="X2220" s="31">
        <f>IF(NOT(AND(ISNUMBER(O2220),ISNUMBER(Q2220))),"",(Q2220-O2220)*1440)</f>
        <v/>
      </c>
      <c r="Y2220" s="29" t="n"/>
      <c r="Z2220" s="29" t="n"/>
      <c r="AA2220" s="29" t="n"/>
      <c r="AB2220" s="32" t="n"/>
      <c r="AC2220" s="32" t="n"/>
    </row>
    <row r="2221">
      <c r="A2221" s="26" t="inlineStr">
        <is>
          <t>S43</t>
        </is>
      </c>
      <c r="B2221" s="26" t="inlineStr">
        <is>
          <t>포천</t>
        </is>
      </c>
      <c r="C2221" s="26" t="inlineStr">
        <is>
          <t>S43-H남</t>
        </is>
      </c>
      <c r="D2221" s="47" t="n">
        <v>1</v>
      </c>
      <c r="E2221" s="26" t="inlineStr">
        <is>
          <t>측정</t>
        </is>
      </c>
      <c r="F2221" s="26" t="inlineStr">
        <is>
          <t>남</t>
        </is>
      </c>
      <c r="G2221" s="31" t="n">
        <v>4</v>
      </c>
      <c r="H2221" s="30" t="n"/>
      <c r="I2221" s="43" t="n"/>
      <c r="J2221" s="41" t="n"/>
      <c r="K2221" s="41" t="n"/>
      <c r="L2221" s="41" t="n"/>
      <c r="M2221" s="31">
        <f>IF(COUNT(J2221:L2221)=0,"",MEDIAN(J2221:L2221))</f>
        <v/>
      </c>
      <c r="N2221" s="26">
        <f>IF(COUNTIFS($C:$C,$C2221,$D:$D,$D2221,$E:$E,"P0(전)",$M:$M,"&gt;0")&lt;&gt;1,"P0(전) 유효 1개 아님",IF(COUNTIFS($C:$C,$C2221,$D:$D,$D2221,$E:$E,"P0(후)",$M:$M,"&gt;0")&lt;&gt;1,"P0(후) 유효 1개 아님",IF(NOT(AND(ISNUMBER(O2221),ISNUMBER(Q2221),ISNUMBER(I2221))),"시각 결측",IF(Q2221&lt;=O2221,"P0 시각 역전",IF(OR(I2221&lt;O2221,I2221&gt;Q2221),"측정시각 구간 밖","OK")))))</f>
        <v/>
      </c>
      <c r="O2221" s="48">
        <f>IF(COUNTIFS($C:$C,$C2221,$D:$D,$D2221,$E:$E,"P0(전)",$M:$M,"&gt;0")&lt;&gt;1,"",SUMIFS($I:$I,$C:$C,$C2221,$D:$D,$D2221,$E:$E,"P0(전)"))</f>
        <v/>
      </c>
      <c r="P2221" s="31">
        <f>IF(COUNTIFS($C:$C,$C2221,$D:$D,$D2221,$E:$E,"P0(전)",$M:$M,"&gt;0")&lt;&gt;1,"",SUMIFS($M:$M,$C:$C,$C2221,$D:$D,$D2221,$E:$E,"P0(전)"))</f>
        <v/>
      </c>
      <c r="Q2221" s="48">
        <f>IF(COUNTIFS($C:$C,$C2221,$D:$D,$D2221,$E:$E,"P0(후)",$M:$M,"&gt;0")&lt;&gt;1,"",SUMIFS($I:$I,$C:$C,$C2221,$D:$D,$D2221,$E:$E,"P0(후)"))</f>
        <v/>
      </c>
      <c r="R2221" s="31">
        <f>IF(COUNTIFS($C:$C,$C2221,$D:$D,$D2221,$E:$E,"P0(후)",$M:$M,"&gt;0")&lt;&gt;1,"",SUMIFS($M:$M,$C:$C,$C2221,$D:$D,$D2221,$E:$E,"P0(후)"))</f>
        <v/>
      </c>
      <c r="S2221" s="31">
        <f>IF(N2221&lt;&gt;"OK","",P2221+(R2221-P2221)*(I2221-O2221)/(Q2221-O2221))</f>
        <v/>
      </c>
      <c r="T2221" s="31">
        <f>IF(OR(N2221&lt;&gt;"OK",NOT(ISNUMBER(M2221))),"",M2221-S2221)</f>
        <v/>
      </c>
      <c r="U2221" s="49">
        <f>IF(OR(NOT(ISNUMBER(T2221)),IF(ISNUMBER(H2221),H2221,G2221)=0),"",T2221/IF(ISNUMBER(H2221),H2221,G2221))</f>
        <v/>
      </c>
      <c r="V2221" s="49">
        <f>IF(ISNUMBER(U2221),ABS(U2221),"")</f>
        <v/>
      </c>
      <c r="W2221" s="49">
        <f>IF(OR($E2220&lt;&gt;"측정",$C2220&lt;&gt;$C2221,$D2220&lt;&gt;$D2221,NOT(ISNUMBER(M2221)),NOT(ISNUMBER(M2220)),(IF(ISNUMBER(H2221),H2221,G2221)-IF(ISNUMBER(H2220),H2220,G2220))=0),"",(M2221-M2220)/(IF(ISNUMBER(H2221),H2221,G2221)-IF(ISNUMBER(H2220),H2220,G2220)))</f>
        <v/>
      </c>
      <c r="X2221" s="31">
        <f>IF(NOT(AND(ISNUMBER(O2221),ISNUMBER(Q2221))),"",(Q2221-O2221)*1440)</f>
        <v/>
      </c>
      <c r="Y2221" s="29" t="n"/>
      <c r="Z2221" s="29" t="n"/>
      <c r="AA2221" s="29" t="n"/>
      <c r="AB2221" s="32" t="n"/>
      <c r="AC2221" s="32" t="n"/>
    </row>
    <row r="2222">
      <c r="A2222" s="26" t="inlineStr">
        <is>
          <t>S43</t>
        </is>
      </c>
      <c r="B2222" s="26" t="inlineStr">
        <is>
          <t>포천</t>
        </is>
      </c>
      <c r="C2222" s="26" t="inlineStr">
        <is>
          <t>S43-H남</t>
        </is>
      </c>
      <c r="D2222" s="47" t="n">
        <v>1</v>
      </c>
      <c r="E2222" s="26" t="inlineStr">
        <is>
          <t>측정</t>
        </is>
      </c>
      <c r="F2222" s="26" t="inlineStr">
        <is>
          <t>남</t>
        </is>
      </c>
      <c r="G2222" s="31" t="n">
        <v>5</v>
      </c>
      <c r="H2222" s="30" t="n"/>
      <c r="I2222" s="43" t="n"/>
      <c r="J2222" s="41" t="n"/>
      <c r="K2222" s="41" t="n"/>
      <c r="L2222" s="41" t="n"/>
      <c r="M2222" s="31">
        <f>IF(COUNT(J2222:L2222)=0,"",MEDIAN(J2222:L2222))</f>
        <v/>
      </c>
      <c r="N2222" s="26">
        <f>IF(COUNTIFS($C:$C,$C2222,$D:$D,$D2222,$E:$E,"P0(전)",$M:$M,"&gt;0")&lt;&gt;1,"P0(전) 유효 1개 아님",IF(COUNTIFS($C:$C,$C2222,$D:$D,$D2222,$E:$E,"P0(후)",$M:$M,"&gt;0")&lt;&gt;1,"P0(후) 유효 1개 아님",IF(NOT(AND(ISNUMBER(O2222),ISNUMBER(Q2222),ISNUMBER(I2222))),"시각 결측",IF(Q2222&lt;=O2222,"P0 시각 역전",IF(OR(I2222&lt;O2222,I2222&gt;Q2222),"측정시각 구간 밖","OK")))))</f>
        <v/>
      </c>
      <c r="O2222" s="48">
        <f>IF(COUNTIFS($C:$C,$C2222,$D:$D,$D2222,$E:$E,"P0(전)",$M:$M,"&gt;0")&lt;&gt;1,"",SUMIFS($I:$I,$C:$C,$C2222,$D:$D,$D2222,$E:$E,"P0(전)"))</f>
        <v/>
      </c>
      <c r="P2222" s="31">
        <f>IF(COUNTIFS($C:$C,$C2222,$D:$D,$D2222,$E:$E,"P0(전)",$M:$M,"&gt;0")&lt;&gt;1,"",SUMIFS($M:$M,$C:$C,$C2222,$D:$D,$D2222,$E:$E,"P0(전)"))</f>
        <v/>
      </c>
      <c r="Q2222" s="48">
        <f>IF(COUNTIFS($C:$C,$C2222,$D:$D,$D2222,$E:$E,"P0(후)",$M:$M,"&gt;0")&lt;&gt;1,"",SUMIFS($I:$I,$C:$C,$C2222,$D:$D,$D2222,$E:$E,"P0(후)"))</f>
        <v/>
      </c>
      <c r="R2222" s="31">
        <f>IF(COUNTIFS($C:$C,$C2222,$D:$D,$D2222,$E:$E,"P0(후)",$M:$M,"&gt;0")&lt;&gt;1,"",SUMIFS($M:$M,$C:$C,$C2222,$D:$D,$D2222,$E:$E,"P0(후)"))</f>
        <v/>
      </c>
      <c r="S2222" s="31">
        <f>IF(N2222&lt;&gt;"OK","",P2222+(R2222-P2222)*(I2222-O2222)/(Q2222-O2222))</f>
        <v/>
      </c>
      <c r="T2222" s="31">
        <f>IF(OR(N2222&lt;&gt;"OK",NOT(ISNUMBER(M2222))),"",M2222-S2222)</f>
        <v/>
      </c>
      <c r="U2222" s="49">
        <f>IF(OR(NOT(ISNUMBER(T2222)),IF(ISNUMBER(H2222),H2222,G2222)=0),"",T2222/IF(ISNUMBER(H2222),H2222,G2222))</f>
        <v/>
      </c>
      <c r="V2222" s="49">
        <f>IF(ISNUMBER(U2222),ABS(U2222),"")</f>
        <v/>
      </c>
      <c r="W2222" s="49">
        <f>IF(OR($E2221&lt;&gt;"측정",$C2221&lt;&gt;$C2222,$D2221&lt;&gt;$D2222,NOT(ISNUMBER(M2222)),NOT(ISNUMBER(M2221)),(IF(ISNUMBER(H2222),H2222,G2222)-IF(ISNUMBER(H2221),H2221,G2221))=0),"",(M2222-M2221)/(IF(ISNUMBER(H2222),H2222,G2222)-IF(ISNUMBER(H2221),H2221,G2221)))</f>
        <v/>
      </c>
      <c r="X2222" s="31">
        <f>IF(NOT(AND(ISNUMBER(O2222),ISNUMBER(Q2222))),"",(Q2222-O2222)*1440)</f>
        <v/>
      </c>
      <c r="Y2222" s="29" t="n"/>
      <c r="Z2222" s="29" t="n"/>
      <c r="AA2222" s="29" t="n"/>
      <c r="AB2222" s="32" t="n"/>
      <c r="AC2222" s="32" t="n"/>
    </row>
    <row r="2223">
      <c r="A2223" s="26" t="inlineStr">
        <is>
          <t>S43</t>
        </is>
      </c>
      <c r="B2223" s="26" t="inlineStr">
        <is>
          <t>포천</t>
        </is>
      </c>
      <c r="C2223" s="26" t="inlineStr">
        <is>
          <t>S43-H남</t>
        </is>
      </c>
      <c r="D2223" s="47" t="n">
        <v>1</v>
      </c>
      <c r="E2223" s="26" t="inlineStr">
        <is>
          <t>측정</t>
        </is>
      </c>
      <c r="F2223" s="26" t="inlineStr">
        <is>
          <t>남</t>
        </is>
      </c>
      <c r="G2223" s="31" t="n">
        <v>6</v>
      </c>
      <c r="H2223" s="30" t="n"/>
      <c r="I2223" s="43" t="n"/>
      <c r="J2223" s="41" t="n"/>
      <c r="K2223" s="41" t="n"/>
      <c r="L2223" s="41" t="n"/>
      <c r="M2223" s="31">
        <f>IF(COUNT(J2223:L2223)=0,"",MEDIAN(J2223:L2223))</f>
        <v/>
      </c>
      <c r="N2223" s="26">
        <f>IF(COUNTIFS($C:$C,$C2223,$D:$D,$D2223,$E:$E,"P0(전)",$M:$M,"&gt;0")&lt;&gt;1,"P0(전) 유효 1개 아님",IF(COUNTIFS($C:$C,$C2223,$D:$D,$D2223,$E:$E,"P0(후)",$M:$M,"&gt;0")&lt;&gt;1,"P0(후) 유효 1개 아님",IF(NOT(AND(ISNUMBER(O2223),ISNUMBER(Q2223),ISNUMBER(I2223))),"시각 결측",IF(Q2223&lt;=O2223,"P0 시각 역전",IF(OR(I2223&lt;O2223,I2223&gt;Q2223),"측정시각 구간 밖","OK")))))</f>
        <v/>
      </c>
      <c r="O2223" s="48">
        <f>IF(COUNTIFS($C:$C,$C2223,$D:$D,$D2223,$E:$E,"P0(전)",$M:$M,"&gt;0")&lt;&gt;1,"",SUMIFS($I:$I,$C:$C,$C2223,$D:$D,$D2223,$E:$E,"P0(전)"))</f>
        <v/>
      </c>
      <c r="P2223" s="31">
        <f>IF(COUNTIFS($C:$C,$C2223,$D:$D,$D2223,$E:$E,"P0(전)",$M:$M,"&gt;0")&lt;&gt;1,"",SUMIFS($M:$M,$C:$C,$C2223,$D:$D,$D2223,$E:$E,"P0(전)"))</f>
        <v/>
      </c>
      <c r="Q2223" s="48">
        <f>IF(COUNTIFS($C:$C,$C2223,$D:$D,$D2223,$E:$E,"P0(후)",$M:$M,"&gt;0")&lt;&gt;1,"",SUMIFS($I:$I,$C:$C,$C2223,$D:$D,$D2223,$E:$E,"P0(후)"))</f>
        <v/>
      </c>
      <c r="R2223" s="31">
        <f>IF(COUNTIFS($C:$C,$C2223,$D:$D,$D2223,$E:$E,"P0(후)",$M:$M,"&gt;0")&lt;&gt;1,"",SUMIFS($M:$M,$C:$C,$C2223,$D:$D,$D2223,$E:$E,"P0(후)"))</f>
        <v/>
      </c>
      <c r="S2223" s="31">
        <f>IF(N2223&lt;&gt;"OK","",P2223+(R2223-P2223)*(I2223-O2223)/(Q2223-O2223))</f>
        <v/>
      </c>
      <c r="T2223" s="31">
        <f>IF(OR(N2223&lt;&gt;"OK",NOT(ISNUMBER(M2223))),"",M2223-S2223)</f>
        <v/>
      </c>
      <c r="U2223" s="49">
        <f>IF(OR(NOT(ISNUMBER(T2223)),IF(ISNUMBER(H2223),H2223,G2223)=0),"",T2223/IF(ISNUMBER(H2223),H2223,G2223))</f>
        <v/>
      </c>
      <c r="V2223" s="49">
        <f>IF(ISNUMBER(U2223),ABS(U2223),"")</f>
        <v/>
      </c>
      <c r="W2223" s="49">
        <f>IF(OR($E2222&lt;&gt;"측정",$C2222&lt;&gt;$C2223,$D2222&lt;&gt;$D2223,NOT(ISNUMBER(M2223)),NOT(ISNUMBER(M2222)),(IF(ISNUMBER(H2223),H2223,G2223)-IF(ISNUMBER(H2222),H2222,G2222))=0),"",(M2223-M2222)/(IF(ISNUMBER(H2223),H2223,G2223)-IF(ISNUMBER(H2222),H2222,G2222)))</f>
        <v/>
      </c>
      <c r="X2223" s="31">
        <f>IF(NOT(AND(ISNUMBER(O2223),ISNUMBER(Q2223))),"",(Q2223-O2223)*1440)</f>
        <v/>
      </c>
      <c r="Y2223" s="29" t="n"/>
      <c r="Z2223" s="29" t="n"/>
      <c r="AA2223" s="29" t="n"/>
      <c r="AB2223" s="32" t="n"/>
      <c r="AC2223" s="32" t="n"/>
    </row>
    <row r="2224">
      <c r="A2224" s="26" t="inlineStr">
        <is>
          <t>S43</t>
        </is>
      </c>
      <c r="B2224" s="26" t="inlineStr">
        <is>
          <t>포천</t>
        </is>
      </c>
      <c r="C2224" s="26" t="inlineStr">
        <is>
          <t>S43-H남</t>
        </is>
      </c>
      <c r="D2224" s="47" t="n">
        <v>1</v>
      </c>
      <c r="E2224" s="26" t="inlineStr">
        <is>
          <t>측정</t>
        </is>
      </c>
      <c r="F2224" s="26" t="inlineStr">
        <is>
          <t>남</t>
        </is>
      </c>
      <c r="G2224" s="31" t="n">
        <v>7</v>
      </c>
      <c r="H2224" s="30" t="n"/>
      <c r="I2224" s="43" t="n"/>
      <c r="J2224" s="41" t="n"/>
      <c r="K2224" s="41" t="n"/>
      <c r="L2224" s="41" t="n"/>
      <c r="M2224" s="31">
        <f>IF(COUNT(J2224:L2224)=0,"",MEDIAN(J2224:L2224))</f>
        <v/>
      </c>
      <c r="N2224" s="26">
        <f>IF(COUNTIFS($C:$C,$C2224,$D:$D,$D2224,$E:$E,"P0(전)",$M:$M,"&gt;0")&lt;&gt;1,"P0(전) 유효 1개 아님",IF(COUNTIFS($C:$C,$C2224,$D:$D,$D2224,$E:$E,"P0(후)",$M:$M,"&gt;0")&lt;&gt;1,"P0(후) 유효 1개 아님",IF(NOT(AND(ISNUMBER(O2224),ISNUMBER(Q2224),ISNUMBER(I2224))),"시각 결측",IF(Q2224&lt;=O2224,"P0 시각 역전",IF(OR(I2224&lt;O2224,I2224&gt;Q2224),"측정시각 구간 밖","OK")))))</f>
        <v/>
      </c>
      <c r="O2224" s="48">
        <f>IF(COUNTIFS($C:$C,$C2224,$D:$D,$D2224,$E:$E,"P0(전)",$M:$M,"&gt;0")&lt;&gt;1,"",SUMIFS($I:$I,$C:$C,$C2224,$D:$D,$D2224,$E:$E,"P0(전)"))</f>
        <v/>
      </c>
      <c r="P2224" s="31">
        <f>IF(COUNTIFS($C:$C,$C2224,$D:$D,$D2224,$E:$E,"P0(전)",$M:$M,"&gt;0")&lt;&gt;1,"",SUMIFS($M:$M,$C:$C,$C2224,$D:$D,$D2224,$E:$E,"P0(전)"))</f>
        <v/>
      </c>
      <c r="Q2224" s="48">
        <f>IF(COUNTIFS($C:$C,$C2224,$D:$D,$D2224,$E:$E,"P0(후)",$M:$M,"&gt;0")&lt;&gt;1,"",SUMIFS($I:$I,$C:$C,$C2224,$D:$D,$D2224,$E:$E,"P0(후)"))</f>
        <v/>
      </c>
      <c r="R2224" s="31">
        <f>IF(COUNTIFS($C:$C,$C2224,$D:$D,$D2224,$E:$E,"P0(후)",$M:$M,"&gt;0")&lt;&gt;1,"",SUMIFS($M:$M,$C:$C,$C2224,$D:$D,$D2224,$E:$E,"P0(후)"))</f>
        <v/>
      </c>
      <c r="S2224" s="31">
        <f>IF(N2224&lt;&gt;"OK","",P2224+(R2224-P2224)*(I2224-O2224)/(Q2224-O2224))</f>
        <v/>
      </c>
      <c r="T2224" s="31">
        <f>IF(OR(N2224&lt;&gt;"OK",NOT(ISNUMBER(M2224))),"",M2224-S2224)</f>
        <v/>
      </c>
      <c r="U2224" s="49">
        <f>IF(OR(NOT(ISNUMBER(T2224)),IF(ISNUMBER(H2224),H2224,G2224)=0),"",T2224/IF(ISNUMBER(H2224),H2224,G2224))</f>
        <v/>
      </c>
      <c r="V2224" s="49">
        <f>IF(ISNUMBER(U2224),ABS(U2224),"")</f>
        <v/>
      </c>
      <c r="W2224" s="49">
        <f>IF(OR($E2223&lt;&gt;"측정",$C2223&lt;&gt;$C2224,$D2223&lt;&gt;$D2224,NOT(ISNUMBER(M2224)),NOT(ISNUMBER(M2223)),(IF(ISNUMBER(H2224),H2224,G2224)-IF(ISNUMBER(H2223),H2223,G2223))=0),"",(M2224-M2223)/(IF(ISNUMBER(H2224),H2224,G2224)-IF(ISNUMBER(H2223),H2223,G2223)))</f>
        <v/>
      </c>
      <c r="X2224" s="31">
        <f>IF(NOT(AND(ISNUMBER(O2224),ISNUMBER(Q2224))),"",(Q2224-O2224)*1440)</f>
        <v/>
      </c>
      <c r="Y2224" s="29" t="n"/>
      <c r="Z2224" s="29" t="n"/>
      <c r="AA2224" s="29" t="n"/>
      <c r="AB2224" s="32" t="n"/>
      <c r="AC2224" s="32" t="n"/>
    </row>
    <row r="2225">
      <c r="A2225" s="26" t="inlineStr">
        <is>
          <t>S43</t>
        </is>
      </c>
      <c r="B2225" s="26" t="inlineStr">
        <is>
          <t>포천</t>
        </is>
      </c>
      <c r="C2225" s="26" t="inlineStr">
        <is>
          <t>S43-H남</t>
        </is>
      </c>
      <c r="D2225" s="47" t="n">
        <v>1</v>
      </c>
      <c r="E2225" s="26" t="inlineStr">
        <is>
          <t>측정</t>
        </is>
      </c>
      <c r="F2225" s="26" t="inlineStr">
        <is>
          <t>남</t>
        </is>
      </c>
      <c r="G2225" s="31" t="n">
        <v>8</v>
      </c>
      <c r="H2225" s="30" t="n"/>
      <c r="I2225" s="43" t="n"/>
      <c r="J2225" s="41" t="n"/>
      <c r="K2225" s="41" t="n"/>
      <c r="L2225" s="41" t="n"/>
      <c r="M2225" s="31">
        <f>IF(COUNT(J2225:L2225)=0,"",MEDIAN(J2225:L2225))</f>
        <v/>
      </c>
      <c r="N2225" s="26">
        <f>IF(COUNTIFS($C:$C,$C2225,$D:$D,$D2225,$E:$E,"P0(전)",$M:$M,"&gt;0")&lt;&gt;1,"P0(전) 유효 1개 아님",IF(COUNTIFS($C:$C,$C2225,$D:$D,$D2225,$E:$E,"P0(후)",$M:$M,"&gt;0")&lt;&gt;1,"P0(후) 유효 1개 아님",IF(NOT(AND(ISNUMBER(O2225),ISNUMBER(Q2225),ISNUMBER(I2225))),"시각 결측",IF(Q2225&lt;=O2225,"P0 시각 역전",IF(OR(I2225&lt;O2225,I2225&gt;Q2225),"측정시각 구간 밖","OK")))))</f>
        <v/>
      </c>
      <c r="O2225" s="48">
        <f>IF(COUNTIFS($C:$C,$C2225,$D:$D,$D2225,$E:$E,"P0(전)",$M:$M,"&gt;0")&lt;&gt;1,"",SUMIFS($I:$I,$C:$C,$C2225,$D:$D,$D2225,$E:$E,"P0(전)"))</f>
        <v/>
      </c>
      <c r="P2225" s="31">
        <f>IF(COUNTIFS($C:$C,$C2225,$D:$D,$D2225,$E:$E,"P0(전)",$M:$M,"&gt;0")&lt;&gt;1,"",SUMIFS($M:$M,$C:$C,$C2225,$D:$D,$D2225,$E:$E,"P0(전)"))</f>
        <v/>
      </c>
      <c r="Q2225" s="48">
        <f>IF(COUNTIFS($C:$C,$C2225,$D:$D,$D2225,$E:$E,"P0(후)",$M:$M,"&gt;0")&lt;&gt;1,"",SUMIFS($I:$I,$C:$C,$C2225,$D:$D,$D2225,$E:$E,"P0(후)"))</f>
        <v/>
      </c>
      <c r="R2225" s="31">
        <f>IF(COUNTIFS($C:$C,$C2225,$D:$D,$D2225,$E:$E,"P0(후)",$M:$M,"&gt;0")&lt;&gt;1,"",SUMIFS($M:$M,$C:$C,$C2225,$D:$D,$D2225,$E:$E,"P0(후)"))</f>
        <v/>
      </c>
      <c r="S2225" s="31">
        <f>IF(N2225&lt;&gt;"OK","",P2225+(R2225-P2225)*(I2225-O2225)/(Q2225-O2225))</f>
        <v/>
      </c>
      <c r="T2225" s="31">
        <f>IF(OR(N2225&lt;&gt;"OK",NOT(ISNUMBER(M2225))),"",M2225-S2225)</f>
        <v/>
      </c>
      <c r="U2225" s="49">
        <f>IF(OR(NOT(ISNUMBER(T2225)),IF(ISNUMBER(H2225),H2225,G2225)=0),"",T2225/IF(ISNUMBER(H2225),H2225,G2225))</f>
        <v/>
      </c>
      <c r="V2225" s="49">
        <f>IF(ISNUMBER(U2225),ABS(U2225),"")</f>
        <v/>
      </c>
      <c r="W2225" s="49">
        <f>IF(OR($E2224&lt;&gt;"측정",$C2224&lt;&gt;$C2225,$D2224&lt;&gt;$D2225,NOT(ISNUMBER(M2225)),NOT(ISNUMBER(M2224)),(IF(ISNUMBER(H2225),H2225,G2225)-IF(ISNUMBER(H2224),H2224,G2224))=0),"",(M2225-M2224)/(IF(ISNUMBER(H2225),H2225,G2225)-IF(ISNUMBER(H2224),H2224,G2224)))</f>
        <v/>
      </c>
      <c r="X2225" s="31">
        <f>IF(NOT(AND(ISNUMBER(O2225),ISNUMBER(Q2225))),"",(Q2225-O2225)*1440)</f>
        <v/>
      </c>
      <c r="Y2225" s="29" t="n"/>
      <c r="Z2225" s="29" t="n"/>
      <c r="AA2225" s="29" t="n"/>
      <c r="AB2225" s="32" t="n"/>
      <c r="AC2225" s="32" t="n"/>
    </row>
    <row r="2226">
      <c r="A2226" s="26" t="inlineStr">
        <is>
          <t>S43</t>
        </is>
      </c>
      <c r="B2226" s="26" t="inlineStr">
        <is>
          <t>포천</t>
        </is>
      </c>
      <c r="C2226" s="26" t="inlineStr">
        <is>
          <t>S43-H남</t>
        </is>
      </c>
      <c r="D2226" s="47" t="n">
        <v>1</v>
      </c>
      <c r="E2226" s="26" t="inlineStr">
        <is>
          <t>측정</t>
        </is>
      </c>
      <c r="F2226" s="26" t="inlineStr">
        <is>
          <t>남</t>
        </is>
      </c>
      <c r="G2226" s="31" t="n">
        <v>9</v>
      </c>
      <c r="H2226" s="30" t="n"/>
      <c r="I2226" s="43" t="n"/>
      <c r="J2226" s="41" t="n"/>
      <c r="K2226" s="41" t="n"/>
      <c r="L2226" s="41" t="n"/>
      <c r="M2226" s="31">
        <f>IF(COUNT(J2226:L2226)=0,"",MEDIAN(J2226:L2226))</f>
        <v/>
      </c>
      <c r="N2226" s="26">
        <f>IF(COUNTIFS($C:$C,$C2226,$D:$D,$D2226,$E:$E,"P0(전)",$M:$M,"&gt;0")&lt;&gt;1,"P0(전) 유효 1개 아님",IF(COUNTIFS($C:$C,$C2226,$D:$D,$D2226,$E:$E,"P0(후)",$M:$M,"&gt;0")&lt;&gt;1,"P0(후) 유효 1개 아님",IF(NOT(AND(ISNUMBER(O2226),ISNUMBER(Q2226),ISNUMBER(I2226))),"시각 결측",IF(Q2226&lt;=O2226,"P0 시각 역전",IF(OR(I2226&lt;O2226,I2226&gt;Q2226),"측정시각 구간 밖","OK")))))</f>
        <v/>
      </c>
      <c r="O2226" s="48">
        <f>IF(COUNTIFS($C:$C,$C2226,$D:$D,$D2226,$E:$E,"P0(전)",$M:$M,"&gt;0")&lt;&gt;1,"",SUMIFS($I:$I,$C:$C,$C2226,$D:$D,$D2226,$E:$E,"P0(전)"))</f>
        <v/>
      </c>
      <c r="P2226" s="31">
        <f>IF(COUNTIFS($C:$C,$C2226,$D:$D,$D2226,$E:$E,"P0(전)",$M:$M,"&gt;0")&lt;&gt;1,"",SUMIFS($M:$M,$C:$C,$C2226,$D:$D,$D2226,$E:$E,"P0(전)"))</f>
        <v/>
      </c>
      <c r="Q2226" s="48">
        <f>IF(COUNTIFS($C:$C,$C2226,$D:$D,$D2226,$E:$E,"P0(후)",$M:$M,"&gt;0")&lt;&gt;1,"",SUMIFS($I:$I,$C:$C,$C2226,$D:$D,$D2226,$E:$E,"P0(후)"))</f>
        <v/>
      </c>
      <c r="R2226" s="31">
        <f>IF(COUNTIFS($C:$C,$C2226,$D:$D,$D2226,$E:$E,"P0(후)",$M:$M,"&gt;0")&lt;&gt;1,"",SUMIFS($M:$M,$C:$C,$C2226,$D:$D,$D2226,$E:$E,"P0(후)"))</f>
        <v/>
      </c>
      <c r="S2226" s="31">
        <f>IF(N2226&lt;&gt;"OK","",P2226+(R2226-P2226)*(I2226-O2226)/(Q2226-O2226))</f>
        <v/>
      </c>
      <c r="T2226" s="31">
        <f>IF(OR(N2226&lt;&gt;"OK",NOT(ISNUMBER(M2226))),"",M2226-S2226)</f>
        <v/>
      </c>
      <c r="U2226" s="49">
        <f>IF(OR(NOT(ISNUMBER(T2226)),IF(ISNUMBER(H2226),H2226,G2226)=0),"",T2226/IF(ISNUMBER(H2226),H2226,G2226))</f>
        <v/>
      </c>
      <c r="V2226" s="49">
        <f>IF(ISNUMBER(U2226),ABS(U2226),"")</f>
        <v/>
      </c>
      <c r="W2226" s="49">
        <f>IF(OR($E2225&lt;&gt;"측정",$C2225&lt;&gt;$C2226,$D2225&lt;&gt;$D2226,NOT(ISNUMBER(M2226)),NOT(ISNUMBER(M2225)),(IF(ISNUMBER(H2226),H2226,G2226)-IF(ISNUMBER(H2225),H2225,G2225))=0),"",(M2226-M2225)/(IF(ISNUMBER(H2226),H2226,G2226)-IF(ISNUMBER(H2225),H2225,G2225)))</f>
        <v/>
      </c>
      <c r="X2226" s="31">
        <f>IF(NOT(AND(ISNUMBER(O2226),ISNUMBER(Q2226))),"",(Q2226-O2226)*1440)</f>
        <v/>
      </c>
      <c r="Y2226" s="29" t="n"/>
      <c r="Z2226" s="29" t="n"/>
      <c r="AA2226" s="29" t="n"/>
      <c r="AB2226" s="32" t="n"/>
      <c r="AC2226" s="32" t="n"/>
    </row>
    <row r="2227">
      <c r="A2227" s="26" t="inlineStr">
        <is>
          <t>S43</t>
        </is>
      </c>
      <c r="B2227" s="26" t="inlineStr">
        <is>
          <t>포천</t>
        </is>
      </c>
      <c r="C2227" s="26" t="inlineStr">
        <is>
          <t>S43-H남</t>
        </is>
      </c>
      <c r="D2227" s="47" t="n">
        <v>1</v>
      </c>
      <c r="E2227" s="26" t="inlineStr">
        <is>
          <t>측정</t>
        </is>
      </c>
      <c r="F2227" s="26" t="inlineStr">
        <is>
          <t>남</t>
        </is>
      </c>
      <c r="G2227" s="31" t="n">
        <v>10</v>
      </c>
      <c r="H2227" s="30" t="n"/>
      <c r="I2227" s="43" t="n"/>
      <c r="J2227" s="41" t="n"/>
      <c r="K2227" s="41" t="n"/>
      <c r="L2227" s="41" t="n"/>
      <c r="M2227" s="31">
        <f>IF(COUNT(J2227:L2227)=0,"",MEDIAN(J2227:L2227))</f>
        <v/>
      </c>
      <c r="N2227" s="26">
        <f>IF(COUNTIFS($C:$C,$C2227,$D:$D,$D2227,$E:$E,"P0(전)",$M:$M,"&gt;0")&lt;&gt;1,"P0(전) 유효 1개 아님",IF(COUNTIFS($C:$C,$C2227,$D:$D,$D2227,$E:$E,"P0(후)",$M:$M,"&gt;0")&lt;&gt;1,"P0(후) 유효 1개 아님",IF(NOT(AND(ISNUMBER(O2227),ISNUMBER(Q2227),ISNUMBER(I2227))),"시각 결측",IF(Q2227&lt;=O2227,"P0 시각 역전",IF(OR(I2227&lt;O2227,I2227&gt;Q2227),"측정시각 구간 밖","OK")))))</f>
        <v/>
      </c>
      <c r="O2227" s="48">
        <f>IF(COUNTIFS($C:$C,$C2227,$D:$D,$D2227,$E:$E,"P0(전)",$M:$M,"&gt;0")&lt;&gt;1,"",SUMIFS($I:$I,$C:$C,$C2227,$D:$D,$D2227,$E:$E,"P0(전)"))</f>
        <v/>
      </c>
      <c r="P2227" s="31">
        <f>IF(COUNTIFS($C:$C,$C2227,$D:$D,$D2227,$E:$E,"P0(전)",$M:$M,"&gt;0")&lt;&gt;1,"",SUMIFS($M:$M,$C:$C,$C2227,$D:$D,$D2227,$E:$E,"P0(전)"))</f>
        <v/>
      </c>
      <c r="Q2227" s="48">
        <f>IF(COUNTIFS($C:$C,$C2227,$D:$D,$D2227,$E:$E,"P0(후)",$M:$M,"&gt;0")&lt;&gt;1,"",SUMIFS($I:$I,$C:$C,$C2227,$D:$D,$D2227,$E:$E,"P0(후)"))</f>
        <v/>
      </c>
      <c r="R2227" s="31">
        <f>IF(COUNTIFS($C:$C,$C2227,$D:$D,$D2227,$E:$E,"P0(후)",$M:$M,"&gt;0")&lt;&gt;1,"",SUMIFS($M:$M,$C:$C,$C2227,$D:$D,$D2227,$E:$E,"P0(후)"))</f>
        <v/>
      </c>
      <c r="S2227" s="31">
        <f>IF(N2227&lt;&gt;"OK","",P2227+(R2227-P2227)*(I2227-O2227)/(Q2227-O2227))</f>
        <v/>
      </c>
      <c r="T2227" s="31">
        <f>IF(OR(N2227&lt;&gt;"OK",NOT(ISNUMBER(M2227))),"",M2227-S2227)</f>
        <v/>
      </c>
      <c r="U2227" s="49">
        <f>IF(OR(NOT(ISNUMBER(T2227)),IF(ISNUMBER(H2227),H2227,G2227)=0),"",T2227/IF(ISNUMBER(H2227),H2227,G2227))</f>
        <v/>
      </c>
      <c r="V2227" s="49">
        <f>IF(ISNUMBER(U2227),ABS(U2227),"")</f>
        <v/>
      </c>
      <c r="W2227" s="49">
        <f>IF(OR($E2226&lt;&gt;"측정",$C2226&lt;&gt;$C2227,$D2226&lt;&gt;$D2227,NOT(ISNUMBER(M2227)),NOT(ISNUMBER(M2226)),(IF(ISNUMBER(H2227),H2227,G2227)-IF(ISNUMBER(H2226),H2226,G2226))=0),"",(M2227-M2226)/(IF(ISNUMBER(H2227),H2227,G2227)-IF(ISNUMBER(H2226),H2226,G2226)))</f>
        <v/>
      </c>
      <c r="X2227" s="31">
        <f>IF(NOT(AND(ISNUMBER(O2227),ISNUMBER(Q2227))),"",(Q2227-O2227)*1440)</f>
        <v/>
      </c>
      <c r="Y2227" s="29" t="n"/>
      <c r="Z2227" s="29" t="n"/>
      <c r="AA2227" s="29" t="n"/>
      <c r="AB2227" s="32" t="n"/>
      <c r="AC2227" s="32" t="n"/>
    </row>
    <row r="2228">
      <c r="A2228" s="44" t="inlineStr">
        <is>
          <t>S43</t>
        </is>
      </c>
      <c r="B2228" s="44" t="inlineStr">
        <is>
          <t>포천</t>
        </is>
      </c>
      <c r="C2228" s="44" t="inlineStr">
        <is>
          <t>S43-H남</t>
        </is>
      </c>
      <c r="D2228" s="45" t="n">
        <v>1</v>
      </c>
      <c r="E2228" s="44" t="inlineStr">
        <is>
          <t>P0(후)</t>
        </is>
      </c>
      <c r="F2228" s="44" t="inlineStr">
        <is>
          <t>남</t>
        </is>
      </c>
      <c r="G2228" s="46" t="n"/>
      <c r="H2228" s="30" t="n"/>
      <c r="I2228" s="43" t="n"/>
      <c r="J2228" s="41" t="n"/>
      <c r="K2228" s="41" t="n"/>
      <c r="L2228" s="41" t="n"/>
      <c r="M2228" s="31">
        <f>IF(COUNT(J2228:L2228)=0,"",MEDIAN(J2228:L2228))</f>
        <v/>
      </c>
      <c r="N2228" s="38" t="n"/>
      <c r="O2228" s="38" t="n"/>
      <c r="P2228" s="38" t="n"/>
      <c r="Q2228" s="38" t="n"/>
      <c r="R2228" s="38" t="n"/>
      <c r="S2228" s="38" t="n"/>
      <c r="T2228" s="38" t="n"/>
      <c r="U2228" s="38" t="n"/>
      <c r="V2228" s="38" t="n"/>
      <c r="W2228" s="38" t="n"/>
      <c r="X2228" s="38" t="n"/>
      <c r="Y2228" s="29" t="n"/>
      <c r="Z2228" s="29" t="n"/>
      <c r="AA2228" s="29" t="n"/>
      <c r="AB2228" s="32" t="n"/>
      <c r="AC2228" s="32" t="n"/>
    </row>
    <row r="2229">
      <c r="A2229" s="44" t="inlineStr">
        <is>
          <t>S43</t>
        </is>
      </c>
      <c r="B2229" s="44" t="inlineStr">
        <is>
          <t>포천</t>
        </is>
      </c>
      <c r="C2229" s="44" t="inlineStr">
        <is>
          <t>S43-H북</t>
        </is>
      </c>
      <c r="D2229" s="45" t="n">
        <v>1</v>
      </c>
      <c r="E2229" s="44" t="inlineStr">
        <is>
          <t>P0(전)</t>
        </is>
      </c>
      <c r="F2229" s="44" t="inlineStr">
        <is>
          <t>북</t>
        </is>
      </c>
      <c r="G2229" s="46" t="n"/>
      <c r="H2229" s="30" t="n"/>
      <c r="I2229" s="43" t="n"/>
      <c r="J2229" s="41" t="n"/>
      <c r="K2229" s="41" t="n"/>
      <c r="L2229" s="41" t="n"/>
      <c r="M2229" s="31">
        <f>IF(COUNT(J2229:L2229)=0,"",MEDIAN(J2229:L2229))</f>
        <v/>
      </c>
      <c r="N2229" s="38" t="n"/>
      <c r="O2229" s="38" t="n"/>
      <c r="P2229" s="38" t="n"/>
      <c r="Q2229" s="38" t="n"/>
      <c r="R2229" s="38" t="n"/>
      <c r="S2229" s="38" t="n"/>
      <c r="T2229" s="38" t="n"/>
      <c r="U2229" s="38" t="n"/>
      <c r="V2229" s="38" t="n"/>
      <c r="W2229" s="38" t="n"/>
      <c r="X2229" s="38" t="n"/>
      <c r="Y2229" s="29" t="n"/>
      <c r="Z2229" s="29" t="n"/>
      <c r="AA2229" s="29" t="n"/>
      <c r="AB2229" s="32" t="n"/>
      <c r="AC2229" s="32" t="n"/>
    </row>
    <row r="2230">
      <c r="A2230" s="26" t="inlineStr">
        <is>
          <t>S43</t>
        </is>
      </c>
      <c r="B2230" s="26" t="inlineStr">
        <is>
          <t>포천</t>
        </is>
      </c>
      <c r="C2230" s="26" t="inlineStr">
        <is>
          <t>S43-H북</t>
        </is>
      </c>
      <c r="D2230" s="47" t="n">
        <v>1</v>
      </c>
      <c r="E2230" s="26" t="inlineStr">
        <is>
          <t>측정</t>
        </is>
      </c>
      <c r="F2230" s="26" t="inlineStr">
        <is>
          <t>북</t>
        </is>
      </c>
      <c r="G2230" s="31" t="n">
        <v>0.5</v>
      </c>
      <c r="H2230" s="30" t="n"/>
      <c r="I2230" s="43" t="n"/>
      <c r="J2230" s="41" t="n"/>
      <c r="K2230" s="41" t="n"/>
      <c r="L2230" s="41" t="n"/>
      <c r="M2230" s="31">
        <f>IF(COUNT(J2230:L2230)=0,"",MEDIAN(J2230:L2230))</f>
        <v/>
      </c>
      <c r="N2230" s="26">
        <f>IF(COUNTIFS($C:$C,$C2230,$D:$D,$D2230,$E:$E,"P0(전)",$M:$M,"&gt;0")&lt;&gt;1,"P0(전) 유효 1개 아님",IF(COUNTIFS($C:$C,$C2230,$D:$D,$D2230,$E:$E,"P0(후)",$M:$M,"&gt;0")&lt;&gt;1,"P0(후) 유효 1개 아님",IF(NOT(AND(ISNUMBER(O2230),ISNUMBER(Q2230),ISNUMBER(I2230))),"시각 결측",IF(Q2230&lt;=O2230,"P0 시각 역전",IF(OR(I2230&lt;O2230,I2230&gt;Q2230),"측정시각 구간 밖","OK")))))</f>
        <v/>
      </c>
      <c r="O2230" s="48">
        <f>IF(COUNTIFS($C:$C,$C2230,$D:$D,$D2230,$E:$E,"P0(전)",$M:$M,"&gt;0")&lt;&gt;1,"",SUMIFS($I:$I,$C:$C,$C2230,$D:$D,$D2230,$E:$E,"P0(전)"))</f>
        <v/>
      </c>
      <c r="P2230" s="31">
        <f>IF(COUNTIFS($C:$C,$C2230,$D:$D,$D2230,$E:$E,"P0(전)",$M:$M,"&gt;0")&lt;&gt;1,"",SUMIFS($M:$M,$C:$C,$C2230,$D:$D,$D2230,$E:$E,"P0(전)"))</f>
        <v/>
      </c>
      <c r="Q2230" s="48">
        <f>IF(COUNTIFS($C:$C,$C2230,$D:$D,$D2230,$E:$E,"P0(후)",$M:$M,"&gt;0")&lt;&gt;1,"",SUMIFS($I:$I,$C:$C,$C2230,$D:$D,$D2230,$E:$E,"P0(후)"))</f>
        <v/>
      </c>
      <c r="R2230" s="31">
        <f>IF(COUNTIFS($C:$C,$C2230,$D:$D,$D2230,$E:$E,"P0(후)",$M:$M,"&gt;0")&lt;&gt;1,"",SUMIFS($M:$M,$C:$C,$C2230,$D:$D,$D2230,$E:$E,"P0(후)"))</f>
        <v/>
      </c>
      <c r="S2230" s="31">
        <f>IF(N2230&lt;&gt;"OK","",P2230+(R2230-P2230)*(I2230-O2230)/(Q2230-O2230))</f>
        <v/>
      </c>
      <c r="T2230" s="31">
        <f>IF(OR(N2230&lt;&gt;"OK",NOT(ISNUMBER(M2230))),"",M2230-S2230)</f>
        <v/>
      </c>
      <c r="U2230" s="49">
        <f>IF(OR(NOT(ISNUMBER(T2230)),IF(ISNUMBER(H2230),H2230,G2230)=0),"",T2230/IF(ISNUMBER(H2230),H2230,G2230))</f>
        <v/>
      </c>
      <c r="V2230" s="49">
        <f>IF(ISNUMBER(U2230),ABS(U2230),"")</f>
        <v/>
      </c>
      <c r="W2230" s="49">
        <f>IF(OR($E2229&lt;&gt;"측정",$C2229&lt;&gt;$C2230,$D2229&lt;&gt;$D2230,NOT(ISNUMBER(M2230)),NOT(ISNUMBER(M2229)),(IF(ISNUMBER(H2230),H2230,G2230)-IF(ISNUMBER(H2229),H2229,G2229))=0),"",(M2230-M2229)/(IF(ISNUMBER(H2230),H2230,G2230)-IF(ISNUMBER(H2229),H2229,G2229)))</f>
        <v/>
      </c>
      <c r="X2230" s="31">
        <f>IF(NOT(AND(ISNUMBER(O2230),ISNUMBER(Q2230))),"",(Q2230-O2230)*1440)</f>
        <v/>
      </c>
      <c r="Y2230" s="29" t="n"/>
      <c r="Z2230" s="29" t="n"/>
      <c r="AA2230" s="29" t="n"/>
      <c r="AB2230" s="32" t="n"/>
      <c r="AC2230" s="32" t="n"/>
    </row>
    <row r="2231">
      <c r="A2231" s="26" t="inlineStr">
        <is>
          <t>S43</t>
        </is>
      </c>
      <c r="B2231" s="26" t="inlineStr">
        <is>
          <t>포천</t>
        </is>
      </c>
      <c r="C2231" s="26" t="inlineStr">
        <is>
          <t>S43-H북</t>
        </is>
      </c>
      <c r="D2231" s="47" t="n">
        <v>1</v>
      </c>
      <c r="E2231" s="26" t="inlineStr">
        <is>
          <t>측정</t>
        </is>
      </c>
      <c r="F2231" s="26" t="inlineStr">
        <is>
          <t>북</t>
        </is>
      </c>
      <c r="G2231" s="31" t="n">
        <v>1</v>
      </c>
      <c r="H2231" s="30" t="n"/>
      <c r="I2231" s="43" t="n"/>
      <c r="J2231" s="41" t="n"/>
      <c r="K2231" s="41" t="n"/>
      <c r="L2231" s="41" t="n"/>
      <c r="M2231" s="31">
        <f>IF(COUNT(J2231:L2231)=0,"",MEDIAN(J2231:L2231))</f>
        <v/>
      </c>
      <c r="N2231" s="26">
        <f>IF(COUNTIFS($C:$C,$C2231,$D:$D,$D2231,$E:$E,"P0(전)",$M:$M,"&gt;0")&lt;&gt;1,"P0(전) 유효 1개 아님",IF(COUNTIFS($C:$C,$C2231,$D:$D,$D2231,$E:$E,"P0(후)",$M:$M,"&gt;0")&lt;&gt;1,"P0(후) 유효 1개 아님",IF(NOT(AND(ISNUMBER(O2231),ISNUMBER(Q2231),ISNUMBER(I2231))),"시각 결측",IF(Q2231&lt;=O2231,"P0 시각 역전",IF(OR(I2231&lt;O2231,I2231&gt;Q2231),"측정시각 구간 밖","OK")))))</f>
        <v/>
      </c>
      <c r="O2231" s="48">
        <f>IF(COUNTIFS($C:$C,$C2231,$D:$D,$D2231,$E:$E,"P0(전)",$M:$M,"&gt;0")&lt;&gt;1,"",SUMIFS($I:$I,$C:$C,$C2231,$D:$D,$D2231,$E:$E,"P0(전)"))</f>
        <v/>
      </c>
      <c r="P2231" s="31">
        <f>IF(COUNTIFS($C:$C,$C2231,$D:$D,$D2231,$E:$E,"P0(전)",$M:$M,"&gt;0")&lt;&gt;1,"",SUMIFS($M:$M,$C:$C,$C2231,$D:$D,$D2231,$E:$E,"P0(전)"))</f>
        <v/>
      </c>
      <c r="Q2231" s="48">
        <f>IF(COUNTIFS($C:$C,$C2231,$D:$D,$D2231,$E:$E,"P0(후)",$M:$M,"&gt;0")&lt;&gt;1,"",SUMIFS($I:$I,$C:$C,$C2231,$D:$D,$D2231,$E:$E,"P0(후)"))</f>
        <v/>
      </c>
      <c r="R2231" s="31">
        <f>IF(COUNTIFS($C:$C,$C2231,$D:$D,$D2231,$E:$E,"P0(후)",$M:$M,"&gt;0")&lt;&gt;1,"",SUMIFS($M:$M,$C:$C,$C2231,$D:$D,$D2231,$E:$E,"P0(후)"))</f>
        <v/>
      </c>
      <c r="S2231" s="31">
        <f>IF(N2231&lt;&gt;"OK","",P2231+(R2231-P2231)*(I2231-O2231)/(Q2231-O2231))</f>
        <v/>
      </c>
      <c r="T2231" s="31">
        <f>IF(OR(N2231&lt;&gt;"OK",NOT(ISNUMBER(M2231))),"",M2231-S2231)</f>
        <v/>
      </c>
      <c r="U2231" s="49">
        <f>IF(OR(NOT(ISNUMBER(T2231)),IF(ISNUMBER(H2231),H2231,G2231)=0),"",T2231/IF(ISNUMBER(H2231),H2231,G2231))</f>
        <v/>
      </c>
      <c r="V2231" s="49">
        <f>IF(ISNUMBER(U2231),ABS(U2231),"")</f>
        <v/>
      </c>
      <c r="W2231" s="49">
        <f>IF(OR($E2230&lt;&gt;"측정",$C2230&lt;&gt;$C2231,$D2230&lt;&gt;$D2231,NOT(ISNUMBER(M2231)),NOT(ISNUMBER(M2230)),(IF(ISNUMBER(H2231),H2231,G2231)-IF(ISNUMBER(H2230),H2230,G2230))=0),"",(M2231-M2230)/(IF(ISNUMBER(H2231),H2231,G2231)-IF(ISNUMBER(H2230),H2230,G2230)))</f>
        <v/>
      </c>
      <c r="X2231" s="31">
        <f>IF(NOT(AND(ISNUMBER(O2231),ISNUMBER(Q2231))),"",(Q2231-O2231)*1440)</f>
        <v/>
      </c>
      <c r="Y2231" s="29" t="n"/>
      <c r="Z2231" s="29" t="n"/>
      <c r="AA2231" s="29" t="n"/>
      <c r="AB2231" s="32" t="n"/>
      <c r="AC2231" s="32" t="n"/>
    </row>
    <row r="2232">
      <c r="A2232" s="26" t="inlineStr">
        <is>
          <t>S43</t>
        </is>
      </c>
      <c r="B2232" s="26" t="inlineStr">
        <is>
          <t>포천</t>
        </is>
      </c>
      <c r="C2232" s="26" t="inlineStr">
        <is>
          <t>S43-H북</t>
        </is>
      </c>
      <c r="D2232" s="47" t="n">
        <v>1</v>
      </c>
      <c r="E2232" s="26" t="inlineStr">
        <is>
          <t>측정</t>
        </is>
      </c>
      <c r="F2232" s="26" t="inlineStr">
        <is>
          <t>북</t>
        </is>
      </c>
      <c r="G2232" s="31" t="n">
        <v>2</v>
      </c>
      <c r="H2232" s="30" t="n"/>
      <c r="I2232" s="43" t="n"/>
      <c r="J2232" s="41" t="n"/>
      <c r="K2232" s="41" t="n"/>
      <c r="L2232" s="41" t="n"/>
      <c r="M2232" s="31">
        <f>IF(COUNT(J2232:L2232)=0,"",MEDIAN(J2232:L2232))</f>
        <v/>
      </c>
      <c r="N2232" s="26">
        <f>IF(COUNTIFS($C:$C,$C2232,$D:$D,$D2232,$E:$E,"P0(전)",$M:$M,"&gt;0")&lt;&gt;1,"P0(전) 유효 1개 아님",IF(COUNTIFS($C:$C,$C2232,$D:$D,$D2232,$E:$E,"P0(후)",$M:$M,"&gt;0")&lt;&gt;1,"P0(후) 유효 1개 아님",IF(NOT(AND(ISNUMBER(O2232),ISNUMBER(Q2232),ISNUMBER(I2232))),"시각 결측",IF(Q2232&lt;=O2232,"P0 시각 역전",IF(OR(I2232&lt;O2232,I2232&gt;Q2232),"측정시각 구간 밖","OK")))))</f>
        <v/>
      </c>
      <c r="O2232" s="48">
        <f>IF(COUNTIFS($C:$C,$C2232,$D:$D,$D2232,$E:$E,"P0(전)",$M:$M,"&gt;0")&lt;&gt;1,"",SUMIFS($I:$I,$C:$C,$C2232,$D:$D,$D2232,$E:$E,"P0(전)"))</f>
        <v/>
      </c>
      <c r="P2232" s="31">
        <f>IF(COUNTIFS($C:$C,$C2232,$D:$D,$D2232,$E:$E,"P0(전)",$M:$M,"&gt;0")&lt;&gt;1,"",SUMIFS($M:$M,$C:$C,$C2232,$D:$D,$D2232,$E:$E,"P0(전)"))</f>
        <v/>
      </c>
      <c r="Q2232" s="48">
        <f>IF(COUNTIFS($C:$C,$C2232,$D:$D,$D2232,$E:$E,"P0(후)",$M:$M,"&gt;0")&lt;&gt;1,"",SUMIFS($I:$I,$C:$C,$C2232,$D:$D,$D2232,$E:$E,"P0(후)"))</f>
        <v/>
      </c>
      <c r="R2232" s="31">
        <f>IF(COUNTIFS($C:$C,$C2232,$D:$D,$D2232,$E:$E,"P0(후)",$M:$M,"&gt;0")&lt;&gt;1,"",SUMIFS($M:$M,$C:$C,$C2232,$D:$D,$D2232,$E:$E,"P0(후)"))</f>
        <v/>
      </c>
      <c r="S2232" s="31">
        <f>IF(N2232&lt;&gt;"OK","",P2232+(R2232-P2232)*(I2232-O2232)/(Q2232-O2232))</f>
        <v/>
      </c>
      <c r="T2232" s="31">
        <f>IF(OR(N2232&lt;&gt;"OK",NOT(ISNUMBER(M2232))),"",M2232-S2232)</f>
        <v/>
      </c>
      <c r="U2232" s="49">
        <f>IF(OR(NOT(ISNUMBER(T2232)),IF(ISNUMBER(H2232),H2232,G2232)=0),"",T2232/IF(ISNUMBER(H2232),H2232,G2232))</f>
        <v/>
      </c>
      <c r="V2232" s="49">
        <f>IF(ISNUMBER(U2232),ABS(U2232),"")</f>
        <v/>
      </c>
      <c r="W2232" s="49">
        <f>IF(OR($E2231&lt;&gt;"측정",$C2231&lt;&gt;$C2232,$D2231&lt;&gt;$D2232,NOT(ISNUMBER(M2232)),NOT(ISNUMBER(M2231)),(IF(ISNUMBER(H2232),H2232,G2232)-IF(ISNUMBER(H2231),H2231,G2231))=0),"",(M2232-M2231)/(IF(ISNUMBER(H2232),H2232,G2232)-IF(ISNUMBER(H2231),H2231,G2231)))</f>
        <v/>
      </c>
      <c r="X2232" s="31">
        <f>IF(NOT(AND(ISNUMBER(O2232),ISNUMBER(Q2232))),"",(Q2232-O2232)*1440)</f>
        <v/>
      </c>
      <c r="Y2232" s="29" t="n"/>
      <c r="Z2232" s="29" t="n"/>
      <c r="AA2232" s="29" t="n"/>
      <c r="AB2232" s="32" t="n"/>
      <c r="AC2232" s="32" t="n"/>
    </row>
    <row r="2233">
      <c r="A2233" s="26" t="inlineStr">
        <is>
          <t>S43</t>
        </is>
      </c>
      <c r="B2233" s="26" t="inlineStr">
        <is>
          <t>포천</t>
        </is>
      </c>
      <c r="C2233" s="26" t="inlineStr">
        <is>
          <t>S43-H북</t>
        </is>
      </c>
      <c r="D2233" s="47" t="n">
        <v>1</v>
      </c>
      <c r="E2233" s="26" t="inlineStr">
        <is>
          <t>측정</t>
        </is>
      </c>
      <c r="F2233" s="26" t="inlineStr">
        <is>
          <t>북</t>
        </is>
      </c>
      <c r="G2233" s="31" t="n">
        <v>3</v>
      </c>
      <c r="H2233" s="30" t="n"/>
      <c r="I2233" s="43" t="n"/>
      <c r="J2233" s="41" t="n"/>
      <c r="K2233" s="41" t="n"/>
      <c r="L2233" s="41" t="n"/>
      <c r="M2233" s="31">
        <f>IF(COUNT(J2233:L2233)=0,"",MEDIAN(J2233:L2233))</f>
        <v/>
      </c>
      <c r="N2233" s="26">
        <f>IF(COUNTIFS($C:$C,$C2233,$D:$D,$D2233,$E:$E,"P0(전)",$M:$M,"&gt;0")&lt;&gt;1,"P0(전) 유효 1개 아님",IF(COUNTIFS($C:$C,$C2233,$D:$D,$D2233,$E:$E,"P0(후)",$M:$M,"&gt;0")&lt;&gt;1,"P0(후) 유효 1개 아님",IF(NOT(AND(ISNUMBER(O2233),ISNUMBER(Q2233),ISNUMBER(I2233))),"시각 결측",IF(Q2233&lt;=O2233,"P0 시각 역전",IF(OR(I2233&lt;O2233,I2233&gt;Q2233),"측정시각 구간 밖","OK")))))</f>
        <v/>
      </c>
      <c r="O2233" s="48">
        <f>IF(COUNTIFS($C:$C,$C2233,$D:$D,$D2233,$E:$E,"P0(전)",$M:$M,"&gt;0")&lt;&gt;1,"",SUMIFS($I:$I,$C:$C,$C2233,$D:$D,$D2233,$E:$E,"P0(전)"))</f>
        <v/>
      </c>
      <c r="P2233" s="31">
        <f>IF(COUNTIFS($C:$C,$C2233,$D:$D,$D2233,$E:$E,"P0(전)",$M:$M,"&gt;0")&lt;&gt;1,"",SUMIFS($M:$M,$C:$C,$C2233,$D:$D,$D2233,$E:$E,"P0(전)"))</f>
        <v/>
      </c>
      <c r="Q2233" s="48">
        <f>IF(COUNTIFS($C:$C,$C2233,$D:$D,$D2233,$E:$E,"P0(후)",$M:$M,"&gt;0")&lt;&gt;1,"",SUMIFS($I:$I,$C:$C,$C2233,$D:$D,$D2233,$E:$E,"P0(후)"))</f>
        <v/>
      </c>
      <c r="R2233" s="31">
        <f>IF(COUNTIFS($C:$C,$C2233,$D:$D,$D2233,$E:$E,"P0(후)",$M:$M,"&gt;0")&lt;&gt;1,"",SUMIFS($M:$M,$C:$C,$C2233,$D:$D,$D2233,$E:$E,"P0(후)"))</f>
        <v/>
      </c>
      <c r="S2233" s="31">
        <f>IF(N2233&lt;&gt;"OK","",P2233+(R2233-P2233)*(I2233-O2233)/(Q2233-O2233))</f>
        <v/>
      </c>
      <c r="T2233" s="31">
        <f>IF(OR(N2233&lt;&gt;"OK",NOT(ISNUMBER(M2233))),"",M2233-S2233)</f>
        <v/>
      </c>
      <c r="U2233" s="49">
        <f>IF(OR(NOT(ISNUMBER(T2233)),IF(ISNUMBER(H2233),H2233,G2233)=0),"",T2233/IF(ISNUMBER(H2233),H2233,G2233))</f>
        <v/>
      </c>
      <c r="V2233" s="49">
        <f>IF(ISNUMBER(U2233),ABS(U2233),"")</f>
        <v/>
      </c>
      <c r="W2233" s="49">
        <f>IF(OR($E2232&lt;&gt;"측정",$C2232&lt;&gt;$C2233,$D2232&lt;&gt;$D2233,NOT(ISNUMBER(M2233)),NOT(ISNUMBER(M2232)),(IF(ISNUMBER(H2233),H2233,G2233)-IF(ISNUMBER(H2232),H2232,G2232))=0),"",(M2233-M2232)/(IF(ISNUMBER(H2233),H2233,G2233)-IF(ISNUMBER(H2232),H2232,G2232)))</f>
        <v/>
      </c>
      <c r="X2233" s="31">
        <f>IF(NOT(AND(ISNUMBER(O2233),ISNUMBER(Q2233))),"",(Q2233-O2233)*1440)</f>
        <v/>
      </c>
      <c r="Y2233" s="29" t="n"/>
      <c r="Z2233" s="29" t="n"/>
      <c r="AA2233" s="29" t="n"/>
      <c r="AB2233" s="32" t="n"/>
      <c r="AC2233" s="32" t="n"/>
    </row>
    <row r="2234">
      <c r="A2234" s="26" t="inlineStr">
        <is>
          <t>S43</t>
        </is>
      </c>
      <c r="B2234" s="26" t="inlineStr">
        <is>
          <t>포천</t>
        </is>
      </c>
      <c r="C2234" s="26" t="inlineStr">
        <is>
          <t>S43-H북</t>
        </is>
      </c>
      <c r="D2234" s="47" t="n">
        <v>1</v>
      </c>
      <c r="E2234" s="26" t="inlineStr">
        <is>
          <t>측정</t>
        </is>
      </c>
      <c r="F2234" s="26" t="inlineStr">
        <is>
          <t>북</t>
        </is>
      </c>
      <c r="G2234" s="31" t="n">
        <v>4</v>
      </c>
      <c r="H2234" s="30" t="n"/>
      <c r="I2234" s="43" t="n"/>
      <c r="J2234" s="41" t="n"/>
      <c r="K2234" s="41" t="n"/>
      <c r="L2234" s="41" t="n"/>
      <c r="M2234" s="31">
        <f>IF(COUNT(J2234:L2234)=0,"",MEDIAN(J2234:L2234))</f>
        <v/>
      </c>
      <c r="N2234" s="26">
        <f>IF(COUNTIFS($C:$C,$C2234,$D:$D,$D2234,$E:$E,"P0(전)",$M:$M,"&gt;0")&lt;&gt;1,"P0(전) 유효 1개 아님",IF(COUNTIFS($C:$C,$C2234,$D:$D,$D2234,$E:$E,"P0(후)",$M:$M,"&gt;0")&lt;&gt;1,"P0(후) 유효 1개 아님",IF(NOT(AND(ISNUMBER(O2234),ISNUMBER(Q2234),ISNUMBER(I2234))),"시각 결측",IF(Q2234&lt;=O2234,"P0 시각 역전",IF(OR(I2234&lt;O2234,I2234&gt;Q2234),"측정시각 구간 밖","OK")))))</f>
        <v/>
      </c>
      <c r="O2234" s="48">
        <f>IF(COUNTIFS($C:$C,$C2234,$D:$D,$D2234,$E:$E,"P0(전)",$M:$M,"&gt;0")&lt;&gt;1,"",SUMIFS($I:$I,$C:$C,$C2234,$D:$D,$D2234,$E:$E,"P0(전)"))</f>
        <v/>
      </c>
      <c r="P2234" s="31">
        <f>IF(COUNTIFS($C:$C,$C2234,$D:$D,$D2234,$E:$E,"P0(전)",$M:$M,"&gt;0")&lt;&gt;1,"",SUMIFS($M:$M,$C:$C,$C2234,$D:$D,$D2234,$E:$E,"P0(전)"))</f>
        <v/>
      </c>
      <c r="Q2234" s="48">
        <f>IF(COUNTIFS($C:$C,$C2234,$D:$D,$D2234,$E:$E,"P0(후)",$M:$M,"&gt;0")&lt;&gt;1,"",SUMIFS($I:$I,$C:$C,$C2234,$D:$D,$D2234,$E:$E,"P0(후)"))</f>
        <v/>
      </c>
      <c r="R2234" s="31">
        <f>IF(COUNTIFS($C:$C,$C2234,$D:$D,$D2234,$E:$E,"P0(후)",$M:$M,"&gt;0")&lt;&gt;1,"",SUMIFS($M:$M,$C:$C,$C2234,$D:$D,$D2234,$E:$E,"P0(후)"))</f>
        <v/>
      </c>
      <c r="S2234" s="31">
        <f>IF(N2234&lt;&gt;"OK","",P2234+(R2234-P2234)*(I2234-O2234)/(Q2234-O2234))</f>
        <v/>
      </c>
      <c r="T2234" s="31">
        <f>IF(OR(N2234&lt;&gt;"OK",NOT(ISNUMBER(M2234))),"",M2234-S2234)</f>
        <v/>
      </c>
      <c r="U2234" s="49">
        <f>IF(OR(NOT(ISNUMBER(T2234)),IF(ISNUMBER(H2234),H2234,G2234)=0),"",T2234/IF(ISNUMBER(H2234),H2234,G2234))</f>
        <v/>
      </c>
      <c r="V2234" s="49">
        <f>IF(ISNUMBER(U2234),ABS(U2234),"")</f>
        <v/>
      </c>
      <c r="W2234" s="49">
        <f>IF(OR($E2233&lt;&gt;"측정",$C2233&lt;&gt;$C2234,$D2233&lt;&gt;$D2234,NOT(ISNUMBER(M2234)),NOT(ISNUMBER(M2233)),(IF(ISNUMBER(H2234),H2234,G2234)-IF(ISNUMBER(H2233),H2233,G2233))=0),"",(M2234-M2233)/(IF(ISNUMBER(H2234),H2234,G2234)-IF(ISNUMBER(H2233),H2233,G2233)))</f>
        <v/>
      </c>
      <c r="X2234" s="31">
        <f>IF(NOT(AND(ISNUMBER(O2234),ISNUMBER(Q2234))),"",(Q2234-O2234)*1440)</f>
        <v/>
      </c>
      <c r="Y2234" s="29" t="n"/>
      <c r="Z2234" s="29" t="n"/>
      <c r="AA2234" s="29" t="n"/>
      <c r="AB2234" s="32" t="n"/>
      <c r="AC2234" s="32" t="n"/>
    </row>
    <row r="2235">
      <c r="A2235" s="26" t="inlineStr">
        <is>
          <t>S43</t>
        </is>
      </c>
      <c r="B2235" s="26" t="inlineStr">
        <is>
          <t>포천</t>
        </is>
      </c>
      <c r="C2235" s="26" t="inlineStr">
        <is>
          <t>S43-H북</t>
        </is>
      </c>
      <c r="D2235" s="47" t="n">
        <v>1</v>
      </c>
      <c r="E2235" s="26" t="inlineStr">
        <is>
          <t>측정</t>
        </is>
      </c>
      <c r="F2235" s="26" t="inlineStr">
        <is>
          <t>북</t>
        </is>
      </c>
      <c r="G2235" s="31" t="n">
        <v>5</v>
      </c>
      <c r="H2235" s="30" t="n"/>
      <c r="I2235" s="43" t="n"/>
      <c r="J2235" s="41" t="n"/>
      <c r="K2235" s="41" t="n"/>
      <c r="L2235" s="41" t="n"/>
      <c r="M2235" s="31">
        <f>IF(COUNT(J2235:L2235)=0,"",MEDIAN(J2235:L2235))</f>
        <v/>
      </c>
      <c r="N2235" s="26">
        <f>IF(COUNTIFS($C:$C,$C2235,$D:$D,$D2235,$E:$E,"P0(전)",$M:$M,"&gt;0")&lt;&gt;1,"P0(전) 유효 1개 아님",IF(COUNTIFS($C:$C,$C2235,$D:$D,$D2235,$E:$E,"P0(후)",$M:$M,"&gt;0")&lt;&gt;1,"P0(후) 유효 1개 아님",IF(NOT(AND(ISNUMBER(O2235),ISNUMBER(Q2235),ISNUMBER(I2235))),"시각 결측",IF(Q2235&lt;=O2235,"P0 시각 역전",IF(OR(I2235&lt;O2235,I2235&gt;Q2235),"측정시각 구간 밖","OK")))))</f>
        <v/>
      </c>
      <c r="O2235" s="48">
        <f>IF(COUNTIFS($C:$C,$C2235,$D:$D,$D2235,$E:$E,"P0(전)",$M:$M,"&gt;0")&lt;&gt;1,"",SUMIFS($I:$I,$C:$C,$C2235,$D:$D,$D2235,$E:$E,"P0(전)"))</f>
        <v/>
      </c>
      <c r="P2235" s="31">
        <f>IF(COUNTIFS($C:$C,$C2235,$D:$D,$D2235,$E:$E,"P0(전)",$M:$M,"&gt;0")&lt;&gt;1,"",SUMIFS($M:$M,$C:$C,$C2235,$D:$D,$D2235,$E:$E,"P0(전)"))</f>
        <v/>
      </c>
      <c r="Q2235" s="48">
        <f>IF(COUNTIFS($C:$C,$C2235,$D:$D,$D2235,$E:$E,"P0(후)",$M:$M,"&gt;0")&lt;&gt;1,"",SUMIFS($I:$I,$C:$C,$C2235,$D:$D,$D2235,$E:$E,"P0(후)"))</f>
        <v/>
      </c>
      <c r="R2235" s="31">
        <f>IF(COUNTIFS($C:$C,$C2235,$D:$D,$D2235,$E:$E,"P0(후)",$M:$M,"&gt;0")&lt;&gt;1,"",SUMIFS($M:$M,$C:$C,$C2235,$D:$D,$D2235,$E:$E,"P0(후)"))</f>
        <v/>
      </c>
      <c r="S2235" s="31">
        <f>IF(N2235&lt;&gt;"OK","",P2235+(R2235-P2235)*(I2235-O2235)/(Q2235-O2235))</f>
        <v/>
      </c>
      <c r="T2235" s="31">
        <f>IF(OR(N2235&lt;&gt;"OK",NOT(ISNUMBER(M2235))),"",M2235-S2235)</f>
        <v/>
      </c>
      <c r="U2235" s="49">
        <f>IF(OR(NOT(ISNUMBER(T2235)),IF(ISNUMBER(H2235),H2235,G2235)=0),"",T2235/IF(ISNUMBER(H2235),H2235,G2235))</f>
        <v/>
      </c>
      <c r="V2235" s="49">
        <f>IF(ISNUMBER(U2235),ABS(U2235),"")</f>
        <v/>
      </c>
      <c r="W2235" s="49">
        <f>IF(OR($E2234&lt;&gt;"측정",$C2234&lt;&gt;$C2235,$D2234&lt;&gt;$D2235,NOT(ISNUMBER(M2235)),NOT(ISNUMBER(M2234)),(IF(ISNUMBER(H2235),H2235,G2235)-IF(ISNUMBER(H2234),H2234,G2234))=0),"",(M2235-M2234)/(IF(ISNUMBER(H2235),H2235,G2235)-IF(ISNUMBER(H2234),H2234,G2234)))</f>
        <v/>
      </c>
      <c r="X2235" s="31">
        <f>IF(NOT(AND(ISNUMBER(O2235),ISNUMBER(Q2235))),"",(Q2235-O2235)*1440)</f>
        <v/>
      </c>
      <c r="Y2235" s="29" t="n"/>
      <c r="Z2235" s="29" t="n"/>
      <c r="AA2235" s="29" t="n"/>
      <c r="AB2235" s="32" t="n"/>
      <c r="AC2235" s="32" t="n"/>
    </row>
    <row r="2236">
      <c r="A2236" s="26" t="inlineStr">
        <is>
          <t>S43</t>
        </is>
      </c>
      <c r="B2236" s="26" t="inlineStr">
        <is>
          <t>포천</t>
        </is>
      </c>
      <c r="C2236" s="26" t="inlineStr">
        <is>
          <t>S43-H북</t>
        </is>
      </c>
      <c r="D2236" s="47" t="n">
        <v>1</v>
      </c>
      <c r="E2236" s="26" t="inlineStr">
        <is>
          <t>측정</t>
        </is>
      </c>
      <c r="F2236" s="26" t="inlineStr">
        <is>
          <t>북</t>
        </is>
      </c>
      <c r="G2236" s="31" t="n">
        <v>6</v>
      </c>
      <c r="H2236" s="30" t="n"/>
      <c r="I2236" s="43" t="n"/>
      <c r="J2236" s="41" t="n"/>
      <c r="K2236" s="41" t="n"/>
      <c r="L2236" s="41" t="n"/>
      <c r="M2236" s="31">
        <f>IF(COUNT(J2236:L2236)=0,"",MEDIAN(J2236:L2236))</f>
        <v/>
      </c>
      <c r="N2236" s="26">
        <f>IF(COUNTIFS($C:$C,$C2236,$D:$D,$D2236,$E:$E,"P0(전)",$M:$M,"&gt;0")&lt;&gt;1,"P0(전) 유효 1개 아님",IF(COUNTIFS($C:$C,$C2236,$D:$D,$D2236,$E:$E,"P0(후)",$M:$M,"&gt;0")&lt;&gt;1,"P0(후) 유효 1개 아님",IF(NOT(AND(ISNUMBER(O2236),ISNUMBER(Q2236),ISNUMBER(I2236))),"시각 결측",IF(Q2236&lt;=O2236,"P0 시각 역전",IF(OR(I2236&lt;O2236,I2236&gt;Q2236),"측정시각 구간 밖","OK")))))</f>
        <v/>
      </c>
      <c r="O2236" s="48">
        <f>IF(COUNTIFS($C:$C,$C2236,$D:$D,$D2236,$E:$E,"P0(전)",$M:$M,"&gt;0")&lt;&gt;1,"",SUMIFS($I:$I,$C:$C,$C2236,$D:$D,$D2236,$E:$E,"P0(전)"))</f>
        <v/>
      </c>
      <c r="P2236" s="31">
        <f>IF(COUNTIFS($C:$C,$C2236,$D:$D,$D2236,$E:$E,"P0(전)",$M:$M,"&gt;0")&lt;&gt;1,"",SUMIFS($M:$M,$C:$C,$C2236,$D:$D,$D2236,$E:$E,"P0(전)"))</f>
        <v/>
      </c>
      <c r="Q2236" s="48">
        <f>IF(COUNTIFS($C:$C,$C2236,$D:$D,$D2236,$E:$E,"P0(후)",$M:$M,"&gt;0")&lt;&gt;1,"",SUMIFS($I:$I,$C:$C,$C2236,$D:$D,$D2236,$E:$E,"P0(후)"))</f>
        <v/>
      </c>
      <c r="R2236" s="31">
        <f>IF(COUNTIFS($C:$C,$C2236,$D:$D,$D2236,$E:$E,"P0(후)",$M:$M,"&gt;0")&lt;&gt;1,"",SUMIFS($M:$M,$C:$C,$C2236,$D:$D,$D2236,$E:$E,"P0(후)"))</f>
        <v/>
      </c>
      <c r="S2236" s="31">
        <f>IF(N2236&lt;&gt;"OK","",P2236+(R2236-P2236)*(I2236-O2236)/(Q2236-O2236))</f>
        <v/>
      </c>
      <c r="T2236" s="31">
        <f>IF(OR(N2236&lt;&gt;"OK",NOT(ISNUMBER(M2236))),"",M2236-S2236)</f>
        <v/>
      </c>
      <c r="U2236" s="49">
        <f>IF(OR(NOT(ISNUMBER(T2236)),IF(ISNUMBER(H2236),H2236,G2236)=0),"",T2236/IF(ISNUMBER(H2236),H2236,G2236))</f>
        <v/>
      </c>
      <c r="V2236" s="49">
        <f>IF(ISNUMBER(U2236),ABS(U2236),"")</f>
        <v/>
      </c>
      <c r="W2236" s="49">
        <f>IF(OR($E2235&lt;&gt;"측정",$C2235&lt;&gt;$C2236,$D2235&lt;&gt;$D2236,NOT(ISNUMBER(M2236)),NOT(ISNUMBER(M2235)),(IF(ISNUMBER(H2236),H2236,G2236)-IF(ISNUMBER(H2235),H2235,G2235))=0),"",(M2236-M2235)/(IF(ISNUMBER(H2236),H2236,G2236)-IF(ISNUMBER(H2235),H2235,G2235)))</f>
        <v/>
      </c>
      <c r="X2236" s="31">
        <f>IF(NOT(AND(ISNUMBER(O2236),ISNUMBER(Q2236))),"",(Q2236-O2236)*1440)</f>
        <v/>
      </c>
      <c r="Y2236" s="29" t="n"/>
      <c r="Z2236" s="29" t="n"/>
      <c r="AA2236" s="29" t="n"/>
      <c r="AB2236" s="32" t="n"/>
      <c r="AC2236" s="32" t="n"/>
    </row>
    <row r="2237">
      <c r="A2237" s="26" t="inlineStr">
        <is>
          <t>S43</t>
        </is>
      </c>
      <c r="B2237" s="26" t="inlineStr">
        <is>
          <t>포천</t>
        </is>
      </c>
      <c r="C2237" s="26" t="inlineStr">
        <is>
          <t>S43-H북</t>
        </is>
      </c>
      <c r="D2237" s="47" t="n">
        <v>1</v>
      </c>
      <c r="E2237" s="26" t="inlineStr">
        <is>
          <t>측정</t>
        </is>
      </c>
      <c r="F2237" s="26" t="inlineStr">
        <is>
          <t>북</t>
        </is>
      </c>
      <c r="G2237" s="31" t="n">
        <v>7</v>
      </c>
      <c r="H2237" s="30" t="n"/>
      <c r="I2237" s="43" t="n"/>
      <c r="J2237" s="41" t="n"/>
      <c r="K2237" s="41" t="n"/>
      <c r="L2237" s="41" t="n"/>
      <c r="M2237" s="31">
        <f>IF(COUNT(J2237:L2237)=0,"",MEDIAN(J2237:L2237))</f>
        <v/>
      </c>
      <c r="N2237" s="26">
        <f>IF(COUNTIFS($C:$C,$C2237,$D:$D,$D2237,$E:$E,"P0(전)",$M:$M,"&gt;0")&lt;&gt;1,"P0(전) 유효 1개 아님",IF(COUNTIFS($C:$C,$C2237,$D:$D,$D2237,$E:$E,"P0(후)",$M:$M,"&gt;0")&lt;&gt;1,"P0(후) 유효 1개 아님",IF(NOT(AND(ISNUMBER(O2237),ISNUMBER(Q2237),ISNUMBER(I2237))),"시각 결측",IF(Q2237&lt;=O2237,"P0 시각 역전",IF(OR(I2237&lt;O2237,I2237&gt;Q2237),"측정시각 구간 밖","OK")))))</f>
        <v/>
      </c>
      <c r="O2237" s="48">
        <f>IF(COUNTIFS($C:$C,$C2237,$D:$D,$D2237,$E:$E,"P0(전)",$M:$M,"&gt;0")&lt;&gt;1,"",SUMIFS($I:$I,$C:$C,$C2237,$D:$D,$D2237,$E:$E,"P0(전)"))</f>
        <v/>
      </c>
      <c r="P2237" s="31">
        <f>IF(COUNTIFS($C:$C,$C2237,$D:$D,$D2237,$E:$E,"P0(전)",$M:$M,"&gt;0")&lt;&gt;1,"",SUMIFS($M:$M,$C:$C,$C2237,$D:$D,$D2237,$E:$E,"P0(전)"))</f>
        <v/>
      </c>
      <c r="Q2237" s="48">
        <f>IF(COUNTIFS($C:$C,$C2237,$D:$D,$D2237,$E:$E,"P0(후)",$M:$M,"&gt;0")&lt;&gt;1,"",SUMIFS($I:$I,$C:$C,$C2237,$D:$D,$D2237,$E:$E,"P0(후)"))</f>
        <v/>
      </c>
      <c r="R2237" s="31">
        <f>IF(COUNTIFS($C:$C,$C2237,$D:$D,$D2237,$E:$E,"P0(후)",$M:$M,"&gt;0")&lt;&gt;1,"",SUMIFS($M:$M,$C:$C,$C2237,$D:$D,$D2237,$E:$E,"P0(후)"))</f>
        <v/>
      </c>
      <c r="S2237" s="31">
        <f>IF(N2237&lt;&gt;"OK","",P2237+(R2237-P2237)*(I2237-O2237)/(Q2237-O2237))</f>
        <v/>
      </c>
      <c r="T2237" s="31">
        <f>IF(OR(N2237&lt;&gt;"OK",NOT(ISNUMBER(M2237))),"",M2237-S2237)</f>
        <v/>
      </c>
      <c r="U2237" s="49">
        <f>IF(OR(NOT(ISNUMBER(T2237)),IF(ISNUMBER(H2237),H2237,G2237)=0),"",T2237/IF(ISNUMBER(H2237),H2237,G2237))</f>
        <v/>
      </c>
      <c r="V2237" s="49">
        <f>IF(ISNUMBER(U2237),ABS(U2237),"")</f>
        <v/>
      </c>
      <c r="W2237" s="49">
        <f>IF(OR($E2236&lt;&gt;"측정",$C2236&lt;&gt;$C2237,$D2236&lt;&gt;$D2237,NOT(ISNUMBER(M2237)),NOT(ISNUMBER(M2236)),(IF(ISNUMBER(H2237),H2237,G2237)-IF(ISNUMBER(H2236),H2236,G2236))=0),"",(M2237-M2236)/(IF(ISNUMBER(H2237),H2237,G2237)-IF(ISNUMBER(H2236),H2236,G2236)))</f>
        <v/>
      </c>
      <c r="X2237" s="31">
        <f>IF(NOT(AND(ISNUMBER(O2237),ISNUMBER(Q2237))),"",(Q2237-O2237)*1440)</f>
        <v/>
      </c>
      <c r="Y2237" s="29" t="n"/>
      <c r="Z2237" s="29" t="n"/>
      <c r="AA2237" s="29" t="n"/>
      <c r="AB2237" s="32" t="n"/>
      <c r="AC2237" s="32" t="n"/>
    </row>
    <row r="2238">
      <c r="A2238" s="26" t="inlineStr">
        <is>
          <t>S43</t>
        </is>
      </c>
      <c r="B2238" s="26" t="inlineStr">
        <is>
          <t>포천</t>
        </is>
      </c>
      <c r="C2238" s="26" t="inlineStr">
        <is>
          <t>S43-H북</t>
        </is>
      </c>
      <c r="D2238" s="47" t="n">
        <v>1</v>
      </c>
      <c r="E2238" s="26" t="inlineStr">
        <is>
          <t>측정</t>
        </is>
      </c>
      <c r="F2238" s="26" t="inlineStr">
        <is>
          <t>북</t>
        </is>
      </c>
      <c r="G2238" s="31" t="n">
        <v>8</v>
      </c>
      <c r="H2238" s="30" t="n"/>
      <c r="I2238" s="43" t="n"/>
      <c r="J2238" s="41" t="n"/>
      <c r="K2238" s="41" t="n"/>
      <c r="L2238" s="41" t="n"/>
      <c r="M2238" s="31">
        <f>IF(COUNT(J2238:L2238)=0,"",MEDIAN(J2238:L2238))</f>
        <v/>
      </c>
      <c r="N2238" s="26">
        <f>IF(COUNTIFS($C:$C,$C2238,$D:$D,$D2238,$E:$E,"P0(전)",$M:$M,"&gt;0")&lt;&gt;1,"P0(전) 유효 1개 아님",IF(COUNTIFS($C:$C,$C2238,$D:$D,$D2238,$E:$E,"P0(후)",$M:$M,"&gt;0")&lt;&gt;1,"P0(후) 유효 1개 아님",IF(NOT(AND(ISNUMBER(O2238),ISNUMBER(Q2238),ISNUMBER(I2238))),"시각 결측",IF(Q2238&lt;=O2238,"P0 시각 역전",IF(OR(I2238&lt;O2238,I2238&gt;Q2238),"측정시각 구간 밖","OK")))))</f>
        <v/>
      </c>
      <c r="O2238" s="48">
        <f>IF(COUNTIFS($C:$C,$C2238,$D:$D,$D2238,$E:$E,"P0(전)",$M:$M,"&gt;0")&lt;&gt;1,"",SUMIFS($I:$I,$C:$C,$C2238,$D:$D,$D2238,$E:$E,"P0(전)"))</f>
        <v/>
      </c>
      <c r="P2238" s="31">
        <f>IF(COUNTIFS($C:$C,$C2238,$D:$D,$D2238,$E:$E,"P0(전)",$M:$M,"&gt;0")&lt;&gt;1,"",SUMIFS($M:$M,$C:$C,$C2238,$D:$D,$D2238,$E:$E,"P0(전)"))</f>
        <v/>
      </c>
      <c r="Q2238" s="48">
        <f>IF(COUNTIFS($C:$C,$C2238,$D:$D,$D2238,$E:$E,"P0(후)",$M:$M,"&gt;0")&lt;&gt;1,"",SUMIFS($I:$I,$C:$C,$C2238,$D:$D,$D2238,$E:$E,"P0(후)"))</f>
        <v/>
      </c>
      <c r="R2238" s="31">
        <f>IF(COUNTIFS($C:$C,$C2238,$D:$D,$D2238,$E:$E,"P0(후)",$M:$M,"&gt;0")&lt;&gt;1,"",SUMIFS($M:$M,$C:$C,$C2238,$D:$D,$D2238,$E:$E,"P0(후)"))</f>
        <v/>
      </c>
      <c r="S2238" s="31">
        <f>IF(N2238&lt;&gt;"OK","",P2238+(R2238-P2238)*(I2238-O2238)/(Q2238-O2238))</f>
        <v/>
      </c>
      <c r="T2238" s="31">
        <f>IF(OR(N2238&lt;&gt;"OK",NOT(ISNUMBER(M2238))),"",M2238-S2238)</f>
        <v/>
      </c>
      <c r="U2238" s="49">
        <f>IF(OR(NOT(ISNUMBER(T2238)),IF(ISNUMBER(H2238),H2238,G2238)=0),"",T2238/IF(ISNUMBER(H2238),H2238,G2238))</f>
        <v/>
      </c>
      <c r="V2238" s="49">
        <f>IF(ISNUMBER(U2238),ABS(U2238),"")</f>
        <v/>
      </c>
      <c r="W2238" s="49">
        <f>IF(OR($E2237&lt;&gt;"측정",$C2237&lt;&gt;$C2238,$D2237&lt;&gt;$D2238,NOT(ISNUMBER(M2238)),NOT(ISNUMBER(M2237)),(IF(ISNUMBER(H2238),H2238,G2238)-IF(ISNUMBER(H2237),H2237,G2237))=0),"",(M2238-M2237)/(IF(ISNUMBER(H2238),H2238,G2238)-IF(ISNUMBER(H2237),H2237,G2237)))</f>
        <v/>
      </c>
      <c r="X2238" s="31">
        <f>IF(NOT(AND(ISNUMBER(O2238),ISNUMBER(Q2238))),"",(Q2238-O2238)*1440)</f>
        <v/>
      </c>
      <c r="Y2238" s="29" t="n"/>
      <c r="Z2238" s="29" t="n"/>
      <c r="AA2238" s="29" t="n"/>
      <c r="AB2238" s="32" t="n"/>
      <c r="AC2238" s="32" t="n"/>
    </row>
    <row r="2239">
      <c r="A2239" s="26" t="inlineStr">
        <is>
          <t>S43</t>
        </is>
      </c>
      <c r="B2239" s="26" t="inlineStr">
        <is>
          <t>포천</t>
        </is>
      </c>
      <c r="C2239" s="26" t="inlineStr">
        <is>
          <t>S43-H북</t>
        </is>
      </c>
      <c r="D2239" s="47" t="n">
        <v>1</v>
      </c>
      <c r="E2239" s="26" t="inlineStr">
        <is>
          <t>측정</t>
        </is>
      </c>
      <c r="F2239" s="26" t="inlineStr">
        <is>
          <t>북</t>
        </is>
      </c>
      <c r="G2239" s="31" t="n">
        <v>9</v>
      </c>
      <c r="H2239" s="30" t="n"/>
      <c r="I2239" s="43" t="n"/>
      <c r="J2239" s="41" t="n"/>
      <c r="K2239" s="41" t="n"/>
      <c r="L2239" s="41" t="n"/>
      <c r="M2239" s="31">
        <f>IF(COUNT(J2239:L2239)=0,"",MEDIAN(J2239:L2239))</f>
        <v/>
      </c>
      <c r="N2239" s="26">
        <f>IF(COUNTIFS($C:$C,$C2239,$D:$D,$D2239,$E:$E,"P0(전)",$M:$M,"&gt;0")&lt;&gt;1,"P0(전) 유효 1개 아님",IF(COUNTIFS($C:$C,$C2239,$D:$D,$D2239,$E:$E,"P0(후)",$M:$M,"&gt;0")&lt;&gt;1,"P0(후) 유효 1개 아님",IF(NOT(AND(ISNUMBER(O2239),ISNUMBER(Q2239),ISNUMBER(I2239))),"시각 결측",IF(Q2239&lt;=O2239,"P0 시각 역전",IF(OR(I2239&lt;O2239,I2239&gt;Q2239),"측정시각 구간 밖","OK")))))</f>
        <v/>
      </c>
      <c r="O2239" s="48">
        <f>IF(COUNTIFS($C:$C,$C2239,$D:$D,$D2239,$E:$E,"P0(전)",$M:$M,"&gt;0")&lt;&gt;1,"",SUMIFS($I:$I,$C:$C,$C2239,$D:$D,$D2239,$E:$E,"P0(전)"))</f>
        <v/>
      </c>
      <c r="P2239" s="31">
        <f>IF(COUNTIFS($C:$C,$C2239,$D:$D,$D2239,$E:$E,"P0(전)",$M:$M,"&gt;0")&lt;&gt;1,"",SUMIFS($M:$M,$C:$C,$C2239,$D:$D,$D2239,$E:$E,"P0(전)"))</f>
        <v/>
      </c>
      <c r="Q2239" s="48">
        <f>IF(COUNTIFS($C:$C,$C2239,$D:$D,$D2239,$E:$E,"P0(후)",$M:$M,"&gt;0")&lt;&gt;1,"",SUMIFS($I:$I,$C:$C,$C2239,$D:$D,$D2239,$E:$E,"P0(후)"))</f>
        <v/>
      </c>
      <c r="R2239" s="31">
        <f>IF(COUNTIFS($C:$C,$C2239,$D:$D,$D2239,$E:$E,"P0(후)",$M:$M,"&gt;0")&lt;&gt;1,"",SUMIFS($M:$M,$C:$C,$C2239,$D:$D,$D2239,$E:$E,"P0(후)"))</f>
        <v/>
      </c>
      <c r="S2239" s="31">
        <f>IF(N2239&lt;&gt;"OK","",P2239+(R2239-P2239)*(I2239-O2239)/(Q2239-O2239))</f>
        <v/>
      </c>
      <c r="T2239" s="31">
        <f>IF(OR(N2239&lt;&gt;"OK",NOT(ISNUMBER(M2239))),"",M2239-S2239)</f>
        <v/>
      </c>
      <c r="U2239" s="49">
        <f>IF(OR(NOT(ISNUMBER(T2239)),IF(ISNUMBER(H2239),H2239,G2239)=0),"",T2239/IF(ISNUMBER(H2239),H2239,G2239))</f>
        <v/>
      </c>
      <c r="V2239" s="49">
        <f>IF(ISNUMBER(U2239),ABS(U2239),"")</f>
        <v/>
      </c>
      <c r="W2239" s="49">
        <f>IF(OR($E2238&lt;&gt;"측정",$C2238&lt;&gt;$C2239,$D2238&lt;&gt;$D2239,NOT(ISNUMBER(M2239)),NOT(ISNUMBER(M2238)),(IF(ISNUMBER(H2239),H2239,G2239)-IF(ISNUMBER(H2238),H2238,G2238))=0),"",(M2239-M2238)/(IF(ISNUMBER(H2239),H2239,G2239)-IF(ISNUMBER(H2238),H2238,G2238)))</f>
        <v/>
      </c>
      <c r="X2239" s="31">
        <f>IF(NOT(AND(ISNUMBER(O2239),ISNUMBER(Q2239))),"",(Q2239-O2239)*1440)</f>
        <v/>
      </c>
      <c r="Y2239" s="29" t="n"/>
      <c r="Z2239" s="29" t="n"/>
      <c r="AA2239" s="29" t="n"/>
      <c r="AB2239" s="32" t="n"/>
      <c r="AC2239" s="32" t="n"/>
    </row>
    <row r="2240">
      <c r="A2240" s="26" t="inlineStr">
        <is>
          <t>S43</t>
        </is>
      </c>
      <c r="B2240" s="26" t="inlineStr">
        <is>
          <t>포천</t>
        </is>
      </c>
      <c r="C2240" s="26" t="inlineStr">
        <is>
          <t>S43-H북</t>
        </is>
      </c>
      <c r="D2240" s="47" t="n">
        <v>1</v>
      </c>
      <c r="E2240" s="26" t="inlineStr">
        <is>
          <t>측정</t>
        </is>
      </c>
      <c r="F2240" s="26" t="inlineStr">
        <is>
          <t>북</t>
        </is>
      </c>
      <c r="G2240" s="31" t="n">
        <v>10</v>
      </c>
      <c r="H2240" s="30" t="n"/>
      <c r="I2240" s="43" t="n"/>
      <c r="J2240" s="41" t="n"/>
      <c r="K2240" s="41" t="n"/>
      <c r="L2240" s="41" t="n"/>
      <c r="M2240" s="31">
        <f>IF(COUNT(J2240:L2240)=0,"",MEDIAN(J2240:L2240))</f>
        <v/>
      </c>
      <c r="N2240" s="26">
        <f>IF(COUNTIFS($C:$C,$C2240,$D:$D,$D2240,$E:$E,"P0(전)",$M:$M,"&gt;0")&lt;&gt;1,"P0(전) 유효 1개 아님",IF(COUNTIFS($C:$C,$C2240,$D:$D,$D2240,$E:$E,"P0(후)",$M:$M,"&gt;0")&lt;&gt;1,"P0(후) 유효 1개 아님",IF(NOT(AND(ISNUMBER(O2240),ISNUMBER(Q2240),ISNUMBER(I2240))),"시각 결측",IF(Q2240&lt;=O2240,"P0 시각 역전",IF(OR(I2240&lt;O2240,I2240&gt;Q2240),"측정시각 구간 밖","OK")))))</f>
        <v/>
      </c>
      <c r="O2240" s="48">
        <f>IF(COUNTIFS($C:$C,$C2240,$D:$D,$D2240,$E:$E,"P0(전)",$M:$M,"&gt;0")&lt;&gt;1,"",SUMIFS($I:$I,$C:$C,$C2240,$D:$D,$D2240,$E:$E,"P0(전)"))</f>
        <v/>
      </c>
      <c r="P2240" s="31">
        <f>IF(COUNTIFS($C:$C,$C2240,$D:$D,$D2240,$E:$E,"P0(전)",$M:$M,"&gt;0")&lt;&gt;1,"",SUMIFS($M:$M,$C:$C,$C2240,$D:$D,$D2240,$E:$E,"P0(전)"))</f>
        <v/>
      </c>
      <c r="Q2240" s="48">
        <f>IF(COUNTIFS($C:$C,$C2240,$D:$D,$D2240,$E:$E,"P0(후)",$M:$M,"&gt;0")&lt;&gt;1,"",SUMIFS($I:$I,$C:$C,$C2240,$D:$D,$D2240,$E:$E,"P0(후)"))</f>
        <v/>
      </c>
      <c r="R2240" s="31">
        <f>IF(COUNTIFS($C:$C,$C2240,$D:$D,$D2240,$E:$E,"P0(후)",$M:$M,"&gt;0")&lt;&gt;1,"",SUMIFS($M:$M,$C:$C,$C2240,$D:$D,$D2240,$E:$E,"P0(후)"))</f>
        <v/>
      </c>
      <c r="S2240" s="31">
        <f>IF(N2240&lt;&gt;"OK","",P2240+(R2240-P2240)*(I2240-O2240)/(Q2240-O2240))</f>
        <v/>
      </c>
      <c r="T2240" s="31">
        <f>IF(OR(N2240&lt;&gt;"OK",NOT(ISNUMBER(M2240))),"",M2240-S2240)</f>
        <v/>
      </c>
      <c r="U2240" s="49">
        <f>IF(OR(NOT(ISNUMBER(T2240)),IF(ISNUMBER(H2240),H2240,G2240)=0),"",T2240/IF(ISNUMBER(H2240),H2240,G2240))</f>
        <v/>
      </c>
      <c r="V2240" s="49">
        <f>IF(ISNUMBER(U2240),ABS(U2240),"")</f>
        <v/>
      </c>
      <c r="W2240" s="49">
        <f>IF(OR($E2239&lt;&gt;"측정",$C2239&lt;&gt;$C2240,$D2239&lt;&gt;$D2240,NOT(ISNUMBER(M2240)),NOT(ISNUMBER(M2239)),(IF(ISNUMBER(H2240),H2240,G2240)-IF(ISNUMBER(H2239),H2239,G2239))=0),"",(M2240-M2239)/(IF(ISNUMBER(H2240),H2240,G2240)-IF(ISNUMBER(H2239),H2239,G2239)))</f>
        <v/>
      </c>
      <c r="X2240" s="31">
        <f>IF(NOT(AND(ISNUMBER(O2240),ISNUMBER(Q2240))),"",(Q2240-O2240)*1440)</f>
        <v/>
      </c>
      <c r="Y2240" s="29" t="n"/>
      <c r="Z2240" s="29" t="n"/>
      <c r="AA2240" s="29" t="n"/>
      <c r="AB2240" s="32" t="n"/>
      <c r="AC2240" s="32" t="n"/>
    </row>
    <row r="2241">
      <c r="A2241" s="44" t="inlineStr">
        <is>
          <t>S43</t>
        </is>
      </c>
      <c r="B2241" s="44" t="inlineStr">
        <is>
          <t>포천</t>
        </is>
      </c>
      <c r="C2241" s="44" t="inlineStr">
        <is>
          <t>S43-H북</t>
        </is>
      </c>
      <c r="D2241" s="45" t="n">
        <v>1</v>
      </c>
      <c r="E2241" s="44" t="inlineStr">
        <is>
          <t>P0(후)</t>
        </is>
      </c>
      <c r="F2241" s="44" t="inlineStr">
        <is>
          <t>북</t>
        </is>
      </c>
      <c r="G2241" s="46" t="n"/>
      <c r="H2241" s="30" t="n"/>
      <c r="I2241" s="43" t="n"/>
      <c r="J2241" s="41" t="n"/>
      <c r="K2241" s="41" t="n"/>
      <c r="L2241" s="41" t="n"/>
      <c r="M2241" s="31">
        <f>IF(COUNT(J2241:L2241)=0,"",MEDIAN(J2241:L2241))</f>
        <v/>
      </c>
      <c r="N2241" s="38" t="n"/>
      <c r="O2241" s="38" t="n"/>
      <c r="P2241" s="38" t="n"/>
      <c r="Q2241" s="38" t="n"/>
      <c r="R2241" s="38" t="n"/>
      <c r="S2241" s="38" t="n"/>
      <c r="T2241" s="38" t="n"/>
      <c r="U2241" s="38" t="n"/>
      <c r="V2241" s="38" t="n"/>
      <c r="W2241" s="38" t="n"/>
      <c r="X2241" s="38" t="n"/>
      <c r="Y2241" s="29" t="n"/>
      <c r="Z2241" s="29" t="n"/>
      <c r="AA2241" s="29" t="n"/>
      <c r="AB2241" s="32" t="n"/>
      <c r="AC2241" s="32" t="n"/>
    </row>
    <row r="2242">
      <c r="A2242" s="44" t="inlineStr">
        <is>
          <t>S44</t>
        </is>
      </c>
      <c r="B2242" s="44" t="inlineStr">
        <is>
          <t>성산</t>
        </is>
      </c>
      <c r="C2242" s="44" t="inlineStr">
        <is>
          <t>S44-H동</t>
        </is>
      </c>
      <c r="D2242" s="45" t="n">
        <v>1</v>
      </c>
      <c r="E2242" s="44" t="inlineStr">
        <is>
          <t>P0(전)</t>
        </is>
      </c>
      <c r="F2242" s="44" t="inlineStr">
        <is>
          <t>동</t>
        </is>
      </c>
      <c r="G2242" s="46" t="n"/>
      <c r="H2242" s="30" t="n"/>
      <c r="I2242" s="43" t="n"/>
      <c r="J2242" s="41" t="n"/>
      <c r="K2242" s="41" t="n"/>
      <c r="L2242" s="41" t="n"/>
      <c r="M2242" s="31">
        <f>IF(COUNT(J2242:L2242)=0,"",MEDIAN(J2242:L2242))</f>
        <v/>
      </c>
      <c r="N2242" s="38" t="n"/>
      <c r="O2242" s="38" t="n"/>
      <c r="P2242" s="38" t="n"/>
      <c r="Q2242" s="38" t="n"/>
      <c r="R2242" s="38" t="n"/>
      <c r="S2242" s="38" t="n"/>
      <c r="T2242" s="38" t="n"/>
      <c r="U2242" s="38" t="n"/>
      <c r="V2242" s="38" t="n"/>
      <c r="W2242" s="38" t="n"/>
      <c r="X2242" s="38" t="n"/>
      <c r="Y2242" s="29" t="n"/>
      <c r="Z2242" s="29" t="n"/>
      <c r="AA2242" s="29" t="n"/>
      <c r="AB2242" s="32" t="n"/>
      <c r="AC2242" s="32" t="n"/>
    </row>
    <row r="2243">
      <c r="A2243" s="26" t="inlineStr">
        <is>
          <t>S44</t>
        </is>
      </c>
      <c r="B2243" s="26" t="inlineStr">
        <is>
          <t>성산</t>
        </is>
      </c>
      <c r="C2243" s="26" t="inlineStr">
        <is>
          <t>S44-H동</t>
        </is>
      </c>
      <c r="D2243" s="47" t="n">
        <v>1</v>
      </c>
      <c r="E2243" s="26" t="inlineStr">
        <is>
          <t>측정</t>
        </is>
      </c>
      <c r="F2243" s="26" t="inlineStr">
        <is>
          <t>동</t>
        </is>
      </c>
      <c r="G2243" s="31" t="n">
        <v>0.5</v>
      </c>
      <c r="H2243" s="30" t="n"/>
      <c r="I2243" s="43" t="n"/>
      <c r="J2243" s="41" t="n"/>
      <c r="K2243" s="41" t="n"/>
      <c r="L2243" s="41" t="n"/>
      <c r="M2243" s="31">
        <f>IF(COUNT(J2243:L2243)=0,"",MEDIAN(J2243:L2243))</f>
        <v/>
      </c>
      <c r="N2243" s="26">
        <f>IF(COUNTIFS($C:$C,$C2243,$D:$D,$D2243,$E:$E,"P0(전)",$M:$M,"&gt;0")&lt;&gt;1,"P0(전) 유효 1개 아님",IF(COUNTIFS($C:$C,$C2243,$D:$D,$D2243,$E:$E,"P0(후)",$M:$M,"&gt;0")&lt;&gt;1,"P0(후) 유효 1개 아님",IF(NOT(AND(ISNUMBER(O2243),ISNUMBER(Q2243),ISNUMBER(I2243))),"시각 결측",IF(Q2243&lt;=O2243,"P0 시각 역전",IF(OR(I2243&lt;O2243,I2243&gt;Q2243),"측정시각 구간 밖","OK")))))</f>
        <v/>
      </c>
      <c r="O2243" s="48">
        <f>IF(COUNTIFS($C:$C,$C2243,$D:$D,$D2243,$E:$E,"P0(전)",$M:$M,"&gt;0")&lt;&gt;1,"",SUMIFS($I:$I,$C:$C,$C2243,$D:$D,$D2243,$E:$E,"P0(전)"))</f>
        <v/>
      </c>
      <c r="P2243" s="31">
        <f>IF(COUNTIFS($C:$C,$C2243,$D:$D,$D2243,$E:$E,"P0(전)",$M:$M,"&gt;0")&lt;&gt;1,"",SUMIFS($M:$M,$C:$C,$C2243,$D:$D,$D2243,$E:$E,"P0(전)"))</f>
        <v/>
      </c>
      <c r="Q2243" s="48">
        <f>IF(COUNTIFS($C:$C,$C2243,$D:$D,$D2243,$E:$E,"P0(후)",$M:$M,"&gt;0")&lt;&gt;1,"",SUMIFS($I:$I,$C:$C,$C2243,$D:$D,$D2243,$E:$E,"P0(후)"))</f>
        <v/>
      </c>
      <c r="R2243" s="31">
        <f>IF(COUNTIFS($C:$C,$C2243,$D:$D,$D2243,$E:$E,"P0(후)",$M:$M,"&gt;0")&lt;&gt;1,"",SUMIFS($M:$M,$C:$C,$C2243,$D:$D,$D2243,$E:$E,"P0(후)"))</f>
        <v/>
      </c>
      <c r="S2243" s="31">
        <f>IF(N2243&lt;&gt;"OK","",P2243+(R2243-P2243)*(I2243-O2243)/(Q2243-O2243))</f>
        <v/>
      </c>
      <c r="T2243" s="31">
        <f>IF(OR(N2243&lt;&gt;"OK",NOT(ISNUMBER(M2243))),"",M2243-S2243)</f>
        <v/>
      </c>
      <c r="U2243" s="49">
        <f>IF(OR(NOT(ISNUMBER(T2243)),IF(ISNUMBER(H2243),H2243,G2243)=0),"",T2243/IF(ISNUMBER(H2243),H2243,G2243))</f>
        <v/>
      </c>
      <c r="V2243" s="49">
        <f>IF(ISNUMBER(U2243),ABS(U2243),"")</f>
        <v/>
      </c>
      <c r="W2243" s="49">
        <f>IF(OR($E2242&lt;&gt;"측정",$C2242&lt;&gt;$C2243,$D2242&lt;&gt;$D2243,NOT(ISNUMBER(M2243)),NOT(ISNUMBER(M2242)),(IF(ISNUMBER(H2243),H2243,G2243)-IF(ISNUMBER(H2242),H2242,G2242))=0),"",(M2243-M2242)/(IF(ISNUMBER(H2243),H2243,G2243)-IF(ISNUMBER(H2242),H2242,G2242)))</f>
        <v/>
      </c>
      <c r="X2243" s="31">
        <f>IF(NOT(AND(ISNUMBER(O2243),ISNUMBER(Q2243))),"",(Q2243-O2243)*1440)</f>
        <v/>
      </c>
      <c r="Y2243" s="29" t="n"/>
      <c r="Z2243" s="29" t="n"/>
      <c r="AA2243" s="29" t="n"/>
      <c r="AB2243" s="32" t="n"/>
      <c r="AC2243" s="32" t="n"/>
    </row>
    <row r="2244">
      <c r="A2244" s="26" t="inlineStr">
        <is>
          <t>S44</t>
        </is>
      </c>
      <c r="B2244" s="26" t="inlineStr">
        <is>
          <t>성산</t>
        </is>
      </c>
      <c r="C2244" s="26" t="inlineStr">
        <is>
          <t>S44-H동</t>
        </is>
      </c>
      <c r="D2244" s="47" t="n">
        <v>1</v>
      </c>
      <c r="E2244" s="26" t="inlineStr">
        <is>
          <t>측정</t>
        </is>
      </c>
      <c r="F2244" s="26" t="inlineStr">
        <is>
          <t>동</t>
        </is>
      </c>
      <c r="G2244" s="31" t="n">
        <v>1</v>
      </c>
      <c r="H2244" s="30" t="n"/>
      <c r="I2244" s="43" t="n"/>
      <c r="J2244" s="41" t="n"/>
      <c r="K2244" s="41" t="n"/>
      <c r="L2244" s="41" t="n"/>
      <c r="M2244" s="31">
        <f>IF(COUNT(J2244:L2244)=0,"",MEDIAN(J2244:L2244))</f>
        <v/>
      </c>
      <c r="N2244" s="26">
        <f>IF(COUNTIFS($C:$C,$C2244,$D:$D,$D2244,$E:$E,"P0(전)",$M:$M,"&gt;0")&lt;&gt;1,"P0(전) 유효 1개 아님",IF(COUNTIFS($C:$C,$C2244,$D:$D,$D2244,$E:$E,"P0(후)",$M:$M,"&gt;0")&lt;&gt;1,"P0(후) 유효 1개 아님",IF(NOT(AND(ISNUMBER(O2244),ISNUMBER(Q2244),ISNUMBER(I2244))),"시각 결측",IF(Q2244&lt;=O2244,"P0 시각 역전",IF(OR(I2244&lt;O2244,I2244&gt;Q2244),"측정시각 구간 밖","OK")))))</f>
        <v/>
      </c>
      <c r="O2244" s="48">
        <f>IF(COUNTIFS($C:$C,$C2244,$D:$D,$D2244,$E:$E,"P0(전)",$M:$M,"&gt;0")&lt;&gt;1,"",SUMIFS($I:$I,$C:$C,$C2244,$D:$D,$D2244,$E:$E,"P0(전)"))</f>
        <v/>
      </c>
      <c r="P2244" s="31">
        <f>IF(COUNTIFS($C:$C,$C2244,$D:$D,$D2244,$E:$E,"P0(전)",$M:$M,"&gt;0")&lt;&gt;1,"",SUMIFS($M:$M,$C:$C,$C2244,$D:$D,$D2244,$E:$E,"P0(전)"))</f>
        <v/>
      </c>
      <c r="Q2244" s="48">
        <f>IF(COUNTIFS($C:$C,$C2244,$D:$D,$D2244,$E:$E,"P0(후)",$M:$M,"&gt;0")&lt;&gt;1,"",SUMIFS($I:$I,$C:$C,$C2244,$D:$D,$D2244,$E:$E,"P0(후)"))</f>
        <v/>
      </c>
      <c r="R2244" s="31">
        <f>IF(COUNTIFS($C:$C,$C2244,$D:$D,$D2244,$E:$E,"P0(후)",$M:$M,"&gt;0")&lt;&gt;1,"",SUMIFS($M:$M,$C:$C,$C2244,$D:$D,$D2244,$E:$E,"P0(후)"))</f>
        <v/>
      </c>
      <c r="S2244" s="31">
        <f>IF(N2244&lt;&gt;"OK","",P2244+(R2244-P2244)*(I2244-O2244)/(Q2244-O2244))</f>
        <v/>
      </c>
      <c r="T2244" s="31">
        <f>IF(OR(N2244&lt;&gt;"OK",NOT(ISNUMBER(M2244))),"",M2244-S2244)</f>
        <v/>
      </c>
      <c r="U2244" s="49">
        <f>IF(OR(NOT(ISNUMBER(T2244)),IF(ISNUMBER(H2244),H2244,G2244)=0),"",T2244/IF(ISNUMBER(H2244),H2244,G2244))</f>
        <v/>
      </c>
      <c r="V2244" s="49">
        <f>IF(ISNUMBER(U2244),ABS(U2244),"")</f>
        <v/>
      </c>
      <c r="W2244" s="49">
        <f>IF(OR($E2243&lt;&gt;"측정",$C2243&lt;&gt;$C2244,$D2243&lt;&gt;$D2244,NOT(ISNUMBER(M2244)),NOT(ISNUMBER(M2243)),(IF(ISNUMBER(H2244),H2244,G2244)-IF(ISNUMBER(H2243),H2243,G2243))=0),"",(M2244-M2243)/(IF(ISNUMBER(H2244),H2244,G2244)-IF(ISNUMBER(H2243),H2243,G2243)))</f>
        <v/>
      </c>
      <c r="X2244" s="31">
        <f>IF(NOT(AND(ISNUMBER(O2244),ISNUMBER(Q2244))),"",(Q2244-O2244)*1440)</f>
        <v/>
      </c>
      <c r="Y2244" s="29" t="n"/>
      <c r="Z2244" s="29" t="n"/>
      <c r="AA2244" s="29" t="n"/>
      <c r="AB2244" s="32" t="n"/>
      <c r="AC2244" s="32" t="n"/>
    </row>
    <row r="2245">
      <c r="A2245" s="26" t="inlineStr">
        <is>
          <t>S44</t>
        </is>
      </c>
      <c r="B2245" s="26" t="inlineStr">
        <is>
          <t>성산</t>
        </is>
      </c>
      <c r="C2245" s="26" t="inlineStr">
        <is>
          <t>S44-H동</t>
        </is>
      </c>
      <c r="D2245" s="47" t="n">
        <v>1</v>
      </c>
      <c r="E2245" s="26" t="inlineStr">
        <is>
          <t>측정</t>
        </is>
      </c>
      <c r="F2245" s="26" t="inlineStr">
        <is>
          <t>동</t>
        </is>
      </c>
      <c r="G2245" s="31" t="n">
        <v>2</v>
      </c>
      <c r="H2245" s="30" t="n"/>
      <c r="I2245" s="43" t="n"/>
      <c r="J2245" s="41" t="n"/>
      <c r="K2245" s="41" t="n"/>
      <c r="L2245" s="41" t="n"/>
      <c r="M2245" s="31">
        <f>IF(COUNT(J2245:L2245)=0,"",MEDIAN(J2245:L2245))</f>
        <v/>
      </c>
      <c r="N2245" s="26">
        <f>IF(COUNTIFS($C:$C,$C2245,$D:$D,$D2245,$E:$E,"P0(전)",$M:$M,"&gt;0")&lt;&gt;1,"P0(전) 유효 1개 아님",IF(COUNTIFS($C:$C,$C2245,$D:$D,$D2245,$E:$E,"P0(후)",$M:$M,"&gt;0")&lt;&gt;1,"P0(후) 유효 1개 아님",IF(NOT(AND(ISNUMBER(O2245),ISNUMBER(Q2245),ISNUMBER(I2245))),"시각 결측",IF(Q2245&lt;=O2245,"P0 시각 역전",IF(OR(I2245&lt;O2245,I2245&gt;Q2245),"측정시각 구간 밖","OK")))))</f>
        <v/>
      </c>
      <c r="O2245" s="48">
        <f>IF(COUNTIFS($C:$C,$C2245,$D:$D,$D2245,$E:$E,"P0(전)",$M:$M,"&gt;0")&lt;&gt;1,"",SUMIFS($I:$I,$C:$C,$C2245,$D:$D,$D2245,$E:$E,"P0(전)"))</f>
        <v/>
      </c>
      <c r="P2245" s="31">
        <f>IF(COUNTIFS($C:$C,$C2245,$D:$D,$D2245,$E:$E,"P0(전)",$M:$M,"&gt;0")&lt;&gt;1,"",SUMIFS($M:$M,$C:$C,$C2245,$D:$D,$D2245,$E:$E,"P0(전)"))</f>
        <v/>
      </c>
      <c r="Q2245" s="48">
        <f>IF(COUNTIFS($C:$C,$C2245,$D:$D,$D2245,$E:$E,"P0(후)",$M:$M,"&gt;0")&lt;&gt;1,"",SUMIFS($I:$I,$C:$C,$C2245,$D:$D,$D2245,$E:$E,"P0(후)"))</f>
        <v/>
      </c>
      <c r="R2245" s="31">
        <f>IF(COUNTIFS($C:$C,$C2245,$D:$D,$D2245,$E:$E,"P0(후)",$M:$M,"&gt;0")&lt;&gt;1,"",SUMIFS($M:$M,$C:$C,$C2245,$D:$D,$D2245,$E:$E,"P0(후)"))</f>
        <v/>
      </c>
      <c r="S2245" s="31">
        <f>IF(N2245&lt;&gt;"OK","",P2245+(R2245-P2245)*(I2245-O2245)/(Q2245-O2245))</f>
        <v/>
      </c>
      <c r="T2245" s="31">
        <f>IF(OR(N2245&lt;&gt;"OK",NOT(ISNUMBER(M2245))),"",M2245-S2245)</f>
        <v/>
      </c>
      <c r="U2245" s="49">
        <f>IF(OR(NOT(ISNUMBER(T2245)),IF(ISNUMBER(H2245),H2245,G2245)=0),"",T2245/IF(ISNUMBER(H2245),H2245,G2245))</f>
        <v/>
      </c>
      <c r="V2245" s="49">
        <f>IF(ISNUMBER(U2245),ABS(U2245),"")</f>
        <v/>
      </c>
      <c r="W2245" s="49">
        <f>IF(OR($E2244&lt;&gt;"측정",$C2244&lt;&gt;$C2245,$D2244&lt;&gt;$D2245,NOT(ISNUMBER(M2245)),NOT(ISNUMBER(M2244)),(IF(ISNUMBER(H2245),H2245,G2245)-IF(ISNUMBER(H2244),H2244,G2244))=0),"",(M2245-M2244)/(IF(ISNUMBER(H2245),H2245,G2245)-IF(ISNUMBER(H2244),H2244,G2244)))</f>
        <v/>
      </c>
      <c r="X2245" s="31">
        <f>IF(NOT(AND(ISNUMBER(O2245),ISNUMBER(Q2245))),"",(Q2245-O2245)*1440)</f>
        <v/>
      </c>
      <c r="Y2245" s="29" t="n"/>
      <c r="Z2245" s="29" t="n"/>
      <c r="AA2245" s="29" t="n"/>
      <c r="AB2245" s="32" t="n"/>
      <c r="AC2245" s="32" t="n"/>
    </row>
    <row r="2246">
      <c r="A2246" s="26" t="inlineStr">
        <is>
          <t>S44</t>
        </is>
      </c>
      <c r="B2246" s="26" t="inlineStr">
        <is>
          <t>성산</t>
        </is>
      </c>
      <c r="C2246" s="26" t="inlineStr">
        <is>
          <t>S44-H동</t>
        </is>
      </c>
      <c r="D2246" s="47" t="n">
        <v>1</v>
      </c>
      <c r="E2246" s="26" t="inlineStr">
        <is>
          <t>측정</t>
        </is>
      </c>
      <c r="F2246" s="26" t="inlineStr">
        <is>
          <t>동</t>
        </is>
      </c>
      <c r="G2246" s="31" t="n">
        <v>3</v>
      </c>
      <c r="H2246" s="30" t="n"/>
      <c r="I2246" s="43" t="n"/>
      <c r="J2246" s="41" t="n"/>
      <c r="K2246" s="41" t="n"/>
      <c r="L2246" s="41" t="n"/>
      <c r="M2246" s="31">
        <f>IF(COUNT(J2246:L2246)=0,"",MEDIAN(J2246:L2246))</f>
        <v/>
      </c>
      <c r="N2246" s="26">
        <f>IF(COUNTIFS($C:$C,$C2246,$D:$D,$D2246,$E:$E,"P0(전)",$M:$M,"&gt;0")&lt;&gt;1,"P0(전) 유효 1개 아님",IF(COUNTIFS($C:$C,$C2246,$D:$D,$D2246,$E:$E,"P0(후)",$M:$M,"&gt;0")&lt;&gt;1,"P0(후) 유효 1개 아님",IF(NOT(AND(ISNUMBER(O2246),ISNUMBER(Q2246),ISNUMBER(I2246))),"시각 결측",IF(Q2246&lt;=O2246,"P0 시각 역전",IF(OR(I2246&lt;O2246,I2246&gt;Q2246),"측정시각 구간 밖","OK")))))</f>
        <v/>
      </c>
      <c r="O2246" s="48">
        <f>IF(COUNTIFS($C:$C,$C2246,$D:$D,$D2246,$E:$E,"P0(전)",$M:$M,"&gt;0")&lt;&gt;1,"",SUMIFS($I:$I,$C:$C,$C2246,$D:$D,$D2246,$E:$E,"P0(전)"))</f>
        <v/>
      </c>
      <c r="P2246" s="31">
        <f>IF(COUNTIFS($C:$C,$C2246,$D:$D,$D2246,$E:$E,"P0(전)",$M:$M,"&gt;0")&lt;&gt;1,"",SUMIFS($M:$M,$C:$C,$C2246,$D:$D,$D2246,$E:$E,"P0(전)"))</f>
        <v/>
      </c>
      <c r="Q2246" s="48">
        <f>IF(COUNTIFS($C:$C,$C2246,$D:$D,$D2246,$E:$E,"P0(후)",$M:$M,"&gt;0")&lt;&gt;1,"",SUMIFS($I:$I,$C:$C,$C2246,$D:$D,$D2246,$E:$E,"P0(후)"))</f>
        <v/>
      </c>
      <c r="R2246" s="31">
        <f>IF(COUNTIFS($C:$C,$C2246,$D:$D,$D2246,$E:$E,"P0(후)",$M:$M,"&gt;0")&lt;&gt;1,"",SUMIFS($M:$M,$C:$C,$C2246,$D:$D,$D2246,$E:$E,"P0(후)"))</f>
        <v/>
      </c>
      <c r="S2246" s="31">
        <f>IF(N2246&lt;&gt;"OK","",P2246+(R2246-P2246)*(I2246-O2246)/(Q2246-O2246))</f>
        <v/>
      </c>
      <c r="T2246" s="31">
        <f>IF(OR(N2246&lt;&gt;"OK",NOT(ISNUMBER(M2246))),"",M2246-S2246)</f>
        <v/>
      </c>
      <c r="U2246" s="49">
        <f>IF(OR(NOT(ISNUMBER(T2246)),IF(ISNUMBER(H2246),H2246,G2246)=0),"",T2246/IF(ISNUMBER(H2246),H2246,G2246))</f>
        <v/>
      </c>
      <c r="V2246" s="49">
        <f>IF(ISNUMBER(U2246),ABS(U2246),"")</f>
        <v/>
      </c>
      <c r="W2246" s="49">
        <f>IF(OR($E2245&lt;&gt;"측정",$C2245&lt;&gt;$C2246,$D2245&lt;&gt;$D2246,NOT(ISNUMBER(M2246)),NOT(ISNUMBER(M2245)),(IF(ISNUMBER(H2246),H2246,G2246)-IF(ISNUMBER(H2245),H2245,G2245))=0),"",(M2246-M2245)/(IF(ISNUMBER(H2246),H2246,G2246)-IF(ISNUMBER(H2245),H2245,G2245)))</f>
        <v/>
      </c>
      <c r="X2246" s="31">
        <f>IF(NOT(AND(ISNUMBER(O2246),ISNUMBER(Q2246))),"",(Q2246-O2246)*1440)</f>
        <v/>
      </c>
      <c r="Y2246" s="29" t="n"/>
      <c r="Z2246" s="29" t="n"/>
      <c r="AA2246" s="29" t="n"/>
      <c r="AB2246" s="32" t="n"/>
      <c r="AC2246" s="32" t="n"/>
    </row>
    <row r="2247">
      <c r="A2247" s="26" t="inlineStr">
        <is>
          <t>S44</t>
        </is>
      </c>
      <c r="B2247" s="26" t="inlineStr">
        <is>
          <t>성산</t>
        </is>
      </c>
      <c r="C2247" s="26" t="inlineStr">
        <is>
          <t>S44-H동</t>
        </is>
      </c>
      <c r="D2247" s="47" t="n">
        <v>1</v>
      </c>
      <c r="E2247" s="26" t="inlineStr">
        <is>
          <t>측정</t>
        </is>
      </c>
      <c r="F2247" s="26" t="inlineStr">
        <is>
          <t>동</t>
        </is>
      </c>
      <c r="G2247" s="31" t="n">
        <v>4</v>
      </c>
      <c r="H2247" s="30" t="n"/>
      <c r="I2247" s="43" t="n"/>
      <c r="J2247" s="41" t="n"/>
      <c r="K2247" s="41" t="n"/>
      <c r="L2247" s="41" t="n"/>
      <c r="M2247" s="31">
        <f>IF(COUNT(J2247:L2247)=0,"",MEDIAN(J2247:L2247))</f>
        <v/>
      </c>
      <c r="N2247" s="26">
        <f>IF(COUNTIFS($C:$C,$C2247,$D:$D,$D2247,$E:$E,"P0(전)",$M:$M,"&gt;0")&lt;&gt;1,"P0(전) 유효 1개 아님",IF(COUNTIFS($C:$C,$C2247,$D:$D,$D2247,$E:$E,"P0(후)",$M:$M,"&gt;0")&lt;&gt;1,"P0(후) 유효 1개 아님",IF(NOT(AND(ISNUMBER(O2247),ISNUMBER(Q2247),ISNUMBER(I2247))),"시각 결측",IF(Q2247&lt;=O2247,"P0 시각 역전",IF(OR(I2247&lt;O2247,I2247&gt;Q2247),"측정시각 구간 밖","OK")))))</f>
        <v/>
      </c>
      <c r="O2247" s="48">
        <f>IF(COUNTIFS($C:$C,$C2247,$D:$D,$D2247,$E:$E,"P0(전)",$M:$M,"&gt;0")&lt;&gt;1,"",SUMIFS($I:$I,$C:$C,$C2247,$D:$D,$D2247,$E:$E,"P0(전)"))</f>
        <v/>
      </c>
      <c r="P2247" s="31">
        <f>IF(COUNTIFS($C:$C,$C2247,$D:$D,$D2247,$E:$E,"P0(전)",$M:$M,"&gt;0")&lt;&gt;1,"",SUMIFS($M:$M,$C:$C,$C2247,$D:$D,$D2247,$E:$E,"P0(전)"))</f>
        <v/>
      </c>
      <c r="Q2247" s="48">
        <f>IF(COUNTIFS($C:$C,$C2247,$D:$D,$D2247,$E:$E,"P0(후)",$M:$M,"&gt;0")&lt;&gt;1,"",SUMIFS($I:$I,$C:$C,$C2247,$D:$D,$D2247,$E:$E,"P0(후)"))</f>
        <v/>
      </c>
      <c r="R2247" s="31">
        <f>IF(COUNTIFS($C:$C,$C2247,$D:$D,$D2247,$E:$E,"P0(후)",$M:$M,"&gt;0")&lt;&gt;1,"",SUMIFS($M:$M,$C:$C,$C2247,$D:$D,$D2247,$E:$E,"P0(후)"))</f>
        <v/>
      </c>
      <c r="S2247" s="31">
        <f>IF(N2247&lt;&gt;"OK","",P2247+(R2247-P2247)*(I2247-O2247)/(Q2247-O2247))</f>
        <v/>
      </c>
      <c r="T2247" s="31">
        <f>IF(OR(N2247&lt;&gt;"OK",NOT(ISNUMBER(M2247))),"",M2247-S2247)</f>
        <v/>
      </c>
      <c r="U2247" s="49">
        <f>IF(OR(NOT(ISNUMBER(T2247)),IF(ISNUMBER(H2247),H2247,G2247)=0),"",T2247/IF(ISNUMBER(H2247),H2247,G2247))</f>
        <v/>
      </c>
      <c r="V2247" s="49">
        <f>IF(ISNUMBER(U2247),ABS(U2247),"")</f>
        <v/>
      </c>
      <c r="W2247" s="49">
        <f>IF(OR($E2246&lt;&gt;"측정",$C2246&lt;&gt;$C2247,$D2246&lt;&gt;$D2247,NOT(ISNUMBER(M2247)),NOT(ISNUMBER(M2246)),(IF(ISNUMBER(H2247),H2247,G2247)-IF(ISNUMBER(H2246),H2246,G2246))=0),"",(M2247-M2246)/(IF(ISNUMBER(H2247),H2247,G2247)-IF(ISNUMBER(H2246),H2246,G2246)))</f>
        <v/>
      </c>
      <c r="X2247" s="31">
        <f>IF(NOT(AND(ISNUMBER(O2247),ISNUMBER(Q2247))),"",(Q2247-O2247)*1440)</f>
        <v/>
      </c>
      <c r="Y2247" s="29" t="n"/>
      <c r="Z2247" s="29" t="n"/>
      <c r="AA2247" s="29" t="n"/>
      <c r="AB2247" s="32" t="n"/>
      <c r="AC2247" s="32" t="n"/>
    </row>
    <row r="2248">
      <c r="A2248" s="26" t="inlineStr">
        <is>
          <t>S44</t>
        </is>
      </c>
      <c r="B2248" s="26" t="inlineStr">
        <is>
          <t>성산</t>
        </is>
      </c>
      <c r="C2248" s="26" t="inlineStr">
        <is>
          <t>S44-H동</t>
        </is>
      </c>
      <c r="D2248" s="47" t="n">
        <v>1</v>
      </c>
      <c r="E2248" s="26" t="inlineStr">
        <is>
          <t>측정</t>
        </is>
      </c>
      <c r="F2248" s="26" t="inlineStr">
        <is>
          <t>동</t>
        </is>
      </c>
      <c r="G2248" s="31" t="n">
        <v>5</v>
      </c>
      <c r="H2248" s="30" t="n"/>
      <c r="I2248" s="43" t="n"/>
      <c r="J2248" s="41" t="n"/>
      <c r="K2248" s="41" t="n"/>
      <c r="L2248" s="41" t="n"/>
      <c r="M2248" s="31">
        <f>IF(COUNT(J2248:L2248)=0,"",MEDIAN(J2248:L2248))</f>
        <v/>
      </c>
      <c r="N2248" s="26">
        <f>IF(COUNTIFS($C:$C,$C2248,$D:$D,$D2248,$E:$E,"P0(전)",$M:$M,"&gt;0")&lt;&gt;1,"P0(전) 유효 1개 아님",IF(COUNTIFS($C:$C,$C2248,$D:$D,$D2248,$E:$E,"P0(후)",$M:$M,"&gt;0")&lt;&gt;1,"P0(후) 유효 1개 아님",IF(NOT(AND(ISNUMBER(O2248),ISNUMBER(Q2248),ISNUMBER(I2248))),"시각 결측",IF(Q2248&lt;=O2248,"P0 시각 역전",IF(OR(I2248&lt;O2248,I2248&gt;Q2248),"측정시각 구간 밖","OK")))))</f>
        <v/>
      </c>
      <c r="O2248" s="48">
        <f>IF(COUNTIFS($C:$C,$C2248,$D:$D,$D2248,$E:$E,"P0(전)",$M:$M,"&gt;0")&lt;&gt;1,"",SUMIFS($I:$I,$C:$C,$C2248,$D:$D,$D2248,$E:$E,"P0(전)"))</f>
        <v/>
      </c>
      <c r="P2248" s="31">
        <f>IF(COUNTIFS($C:$C,$C2248,$D:$D,$D2248,$E:$E,"P0(전)",$M:$M,"&gt;0")&lt;&gt;1,"",SUMIFS($M:$M,$C:$C,$C2248,$D:$D,$D2248,$E:$E,"P0(전)"))</f>
        <v/>
      </c>
      <c r="Q2248" s="48">
        <f>IF(COUNTIFS($C:$C,$C2248,$D:$D,$D2248,$E:$E,"P0(후)",$M:$M,"&gt;0")&lt;&gt;1,"",SUMIFS($I:$I,$C:$C,$C2248,$D:$D,$D2248,$E:$E,"P0(후)"))</f>
        <v/>
      </c>
      <c r="R2248" s="31">
        <f>IF(COUNTIFS($C:$C,$C2248,$D:$D,$D2248,$E:$E,"P0(후)",$M:$M,"&gt;0")&lt;&gt;1,"",SUMIFS($M:$M,$C:$C,$C2248,$D:$D,$D2248,$E:$E,"P0(후)"))</f>
        <v/>
      </c>
      <c r="S2248" s="31">
        <f>IF(N2248&lt;&gt;"OK","",P2248+(R2248-P2248)*(I2248-O2248)/(Q2248-O2248))</f>
        <v/>
      </c>
      <c r="T2248" s="31">
        <f>IF(OR(N2248&lt;&gt;"OK",NOT(ISNUMBER(M2248))),"",M2248-S2248)</f>
        <v/>
      </c>
      <c r="U2248" s="49">
        <f>IF(OR(NOT(ISNUMBER(T2248)),IF(ISNUMBER(H2248),H2248,G2248)=0),"",T2248/IF(ISNUMBER(H2248),H2248,G2248))</f>
        <v/>
      </c>
      <c r="V2248" s="49">
        <f>IF(ISNUMBER(U2248),ABS(U2248),"")</f>
        <v/>
      </c>
      <c r="W2248" s="49">
        <f>IF(OR($E2247&lt;&gt;"측정",$C2247&lt;&gt;$C2248,$D2247&lt;&gt;$D2248,NOT(ISNUMBER(M2248)),NOT(ISNUMBER(M2247)),(IF(ISNUMBER(H2248),H2248,G2248)-IF(ISNUMBER(H2247),H2247,G2247))=0),"",(M2248-M2247)/(IF(ISNUMBER(H2248),H2248,G2248)-IF(ISNUMBER(H2247),H2247,G2247)))</f>
        <v/>
      </c>
      <c r="X2248" s="31">
        <f>IF(NOT(AND(ISNUMBER(O2248),ISNUMBER(Q2248))),"",(Q2248-O2248)*1440)</f>
        <v/>
      </c>
      <c r="Y2248" s="29" t="n"/>
      <c r="Z2248" s="29" t="n"/>
      <c r="AA2248" s="29" t="n"/>
      <c r="AB2248" s="32" t="n"/>
      <c r="AC2248" s="32" t="n"/>
    </row>
    <row r="2249">
      <c r="A2249" s="26" t="inlineStr">
        <is>
          <t>S44</t>
        </is>
      </c>
      <c r="B2249" s="26" t="inlineStr">
        <is>
          <t>성산</t>
        </is>
      </c>
      <c r="C2249" s="26" t="inlineStr">
        <is>
          <t>S44-H동</t>
        </is>
      </c>
      <c r="D2249" s="47" t="n">
        <v>1</v>
      </c>
      <c r="E2249" s="26" t="inlineStr">
        <is>
          <t>측정</t>
        </is>
      </c>
      <c r="F2249" s="26" t="inlineStr">
        <is>
          <t>동</t>
        </is>
      </c>
      <c r="G2249" s="31" t="n">
        <v>6</v>
      </c>
      <c r="H2249" s="30" t="n"/>
      <c r="I2249" s="43" t="n"/>
      <c r="J2249" s="41" t="n"/>
      <c r="K2249" s="41" t="n"/>
      <c r="L2249" s="41" t="n"/>
      <c r="M2249" s="31">
        <f>IF(COUNT(J2249:L2249)=0,"",MEDIAN(J2249:L2249))</f>
        <v/>
      </c>
      <c r="N2249" s="26">
        <f>IF(COUNTIFS($C:$C,$C2249,$D:$D,$D2249,$E:$E,"P0(전)",$M:$M,"&gt;0")&lt;&gt;1,"P0(전) 유효 1개 아님",IF(COUNTIFS($C:$C,$C2249,$D:$D,$D2249,$E:$E,"P0(후)",$M:$M,"&gt;0")&lt;&gt;1,"P0(후) 유효 1개 아님",IF(NOT(AND(ISNUMBER(O2249),ISNUMBER(Q2249),ISNUMBER(I2249))),"시각 결측",IF(Q2249&lt;=O2249,"P0 시각 역전",IF(OR(I2249&lt;O2249,I2249&gt;Q2249),"측정시각 구간 밖","OK")))))</f>
        <v/>
      </c>
      <c r="O2249" s="48">
        <f>IF(COUNTIFS($C:$C,$C2249,$D:$D,$D2249,$E:$E,"P0(전)",$M:$M,"&gt;0")&lt;&gt;1,"",SUMIFS($I:$I,$C:$C,$C2249,$D:$D,$D2249,$E:$E,"P0(전)"))</f>
        <v/>
      </c>
      <c r="P2249" s="31">
        <f>IF(COUNTIFS($C:$C,$C2249,$D:$D,$D2249,$E:$E,"P0(전)",$M:$M,"&gt;0")&lt;&gt;1,"",SUMIFS($M:$M,$C:$C,$C2249,$D:$D,$D2249,$E:$E,"P0(전)"))</f>
        <v/>
      </c>
      <c r="Q2249" s="48">
        <f>IF(COUNTIFS($C:$C,$C2249,$D:$D,$D2249,$E:$E,"P0(후)",$M:$M,"&gt;0")&lt;&gt;1,"",SUMIFS($I:$I,$C:$C,$C2249,$D:$D,$D2249,$E:$E,"P0(후)"))</f>
        <v/>
      </c>
      <c r="R2249" s="31">
        <f>IF(COUNTIFS($C:$C,$C2249,$D:$D,$D2249,$E:$E,"P0(후)",$M:$M,"&gt;0")&lt;&gt;1,"",SUMIFS($M:$M,$C:$C,$C2249,$D:$D,$D2249,$E:$E,"P0(후)"))</f>
        <v/>
      </c>
      <c r="S2249" s="31">
        <f>IF(N2249&lt;&gt;"OK","",P2249+(R2249-P2249)*(I2249-O2249)/(Q2249-O2249))</f>
        <v/>
      </c>
      <c r="T2249" s="31">
        <f>IF(OR(N2249&lt;&gt;"OK",NOT(ISNUMBER(M2249))),"",M2249-S2249)</f>
        <v/>
      </c>
      <c r="U2249" s="49">
        <f>IF(OR(NOT(ISNUMBER(T2249)),IF(ISNUMBER(H2249),H2249,G2249)=0),"",T2249/IF(ISNUMBER(H2249),H2249,G2249))</f>
        <v/>
      </c>
      <c r="V2249" s="49">
        <f>IF(ISNUMBER(U2249),ABS(U2249),"")</f>
        <v/>
      </c>
      <c r="W2249" s="49">
        <f>IF(OR($E2248&lt;&gt;"측정",$C2248&lt;&gt;$C2249,$D2248&lt;&gt;$D2249,NOT(ISNUMBER(M2249)),NOT(ISNUMBER(M2248)),(IF(ISNUMBER(H2249),H2249,G2249)-IF(ISNUMBER(H2248),H2248,G2248))=0),"",(M2249-M2248)/(IF(ISNUMBER(H2249),H2249,G2249)-IF(ISNUMBER(H2248),H2248,G2248)))</f>
        <v/>
      </c>
      <c r="X2249" s="31">
        <f>IF(NOT(AND(ISNUMBER(O2249),ISNUMBER(Q2249))),"",(Q2249-O2249)*1440)</f>
        <v/>
      </c>
      <c r="Y2249" s="29" t="n"/>
      <c r="Z2249" s="29" t="n"/>
      <c r="AA2249" s="29" t="n"/>
      <c r="AB2249" s="32" t="n"/>
      <c r="AC2249" s="32" t="n"/>
    </row>
    <row r="2250">
      <c r="A2250" s="26" t="inlineStr">
        <is>
          <t>S44</t>
        </is>
      </c>
      <c r="B2250" s="26" t="inlineStr">
        <is>
          <t>성산</t>
        </is>
      </c>
      <c r="C2250" s="26" t="inlineStr">
        <is>
          <t>S44-H동</t>
        </is>
      </c>
      <c r="D2250" s="47" t="n">
        <v>1</v>
      </c>
      <c r="E2250" s="26" t="inlineStr">
        <is>
          <t>측정</t>
        </is>
      </c>
      <c r="F2250" s="26" t="inlineStr">
        <is>
          <t>동</t>
        </is>
      </c>
      <c r="G2250" s="31" t="n">
        <v>7</v>
      </c>
      <c r="H2250" s="30" t="n"/>
      <c r="I2250" s="43" t="n"/>
      <c r="J2250" s="41" t="n"/>
      <c r="K2250" s="41" t="n"/>
      <c r="L2250" s="41" t="n"/>
      <c r="M2250" s="31">
        <f>IF(COUNT(J2250:L2250)=0,"",MEDIAN(J2250:L2250))</f>
        <v/>
      </c>
      <c r="N2250" s="26">
        <f>IF(COUNTIFS($C:$C,$C2250,$D:$D,$D2250,$E:$E,"P0(전)",$M:$M,"&gt;0")&lt;&gt;1,"P0(전) 유효 1개 아님",IF(COUNTIFS($C:$C,$C2250,$D:$D,$D2250,$E:$E,"P0(후)",$M:$M,"&gt;0")&lt;&gt;1,"P0(후) 유효 1개 아님",IF(NOT(AND(ISNUMBER(O2250),ISNUMBER(Q2250),ISNUMBER(I2250))),"시각 결측",IF(Q2250&lt;=O2250,"P0 시각 역전",IF(OR(I2250&lt;O2250,I2250&gt;Q2250),"측정시각 구간 밖","OK")))))</f>
        <v/>
      </c>
      <c r="O2250" s="48">
        <f>IF(COUNTIFS($C:$C,$C2250,$D:$D,$D2250,$E:$E,"P0(전)",$M:$M,"&gt;0")&lt;&gt;1,"",SUMIFS($I:$I,$C:$C,$C2250,$D:$D,$D2250,$E:$E,"P0(전)"))</f>
        <v/>
      </c>
      <c r="P2250" s="31">
        <f>IF(COUNTIFS($C:$C,$C2250,$D:$D,$D2250,$E:$E,"P0(전)",$M:$M,"&gt;0")&lt;&gt;1,"",SUMIFS($M:$M,$C:$C,$C2250,$D:$D,$D2250,$E:$E,"P0(전)"))</f>
        <v/>
      </c>
      <c r="Q2250" s="48">
        <f>IF(COUNTIFS($C:$C,$C2250,$D:$D,$D2250,$E:$E,"P0(후)",$M:$M,"&gt;0")&lt;&gt;1,"",SUMIFS($I:$I,$C:$C,$C2250,$D:$D,$D2250,$E:$E,"P0(후)"))</f>
        <v/>
      </c>
      <c r="R2250" s="31">
        <f>IF(COUNTIFS($C:$C,$C2250,$D:$D,$D2250,$E:$E,"P0(후)",$M:$M,"&gt;0")&lt;&gt;1,"",SUMIFS($M:$M,$C:$C,$C2250,$D:$D,$D2250,$E:$E,"P0(후)"))</f>
        <v/>
      </c>
      <c r="S2250" s="31">
        <f>IF(N2250&lt;&gt;"OK","",P2250+(R2250-P2250)*(I2250-O2250)/(Q2250-O2250))</f>
        <v/>
      </c>
      <c r="T2250" s="31">
        <f>IF(OR(N2250&lt;&gt;"OK",NOT(ISNUMBER(M2250))),"",M2250-S2250)</f>
        <v/>
      </c>
      <c r="U2250" s="49">
        <f>IF(OR(NOT(ISNUMBER(T2250)),IF(ISNUMBER(H2250),H2250,G2250)=0),"",T2250/IF(ISNUMBER(H2250),H2250,G2250))</f>
        <v/>
      </c>
      <c r="V2250" s="49">
        <f>IF(ISNUMBER(U2250),ABS(U2250),"")</f>
        <v/>
      </c>
      <c r="W2250" s="49">
        <f>IF(OR($E2249&lt;&gt;"측정",$C2249&lt;&gt;$C2250,$D2249&lt;&gt;$D2250,NOT(ISNUMBER(M2250)),NOT(ISNUMBER(M2249)),(IF(ISNUMBER(H2250),H2250,G2250)-IF(ISNUMBER(H2249),H2249,G2249))=0),"",(M2250-M2249)/(IF(ISNUMBER(H2250),H2250,G2250)-IF(ISNUMBER(H2249),H2249,G2249)))</f>
        <v/>
      </c>
      <c r="X2250" s="31">
        <f>IF(NOT(AND(ISNUMBER(O2250),ISNUMBER(Q2250))),"",(Q2250-O2250)*1440)</f>
        <v/>
      </c>
      <c r="Y2250" s="29" t="n"/>
      <c r="Z2250" s="29" t="n"/>
      <c r="AA2250" s="29" t="n"/>
      <c r="AB2250" s="32" t="n"/>
      <c r="AC2250" s="32" t="n"/>
    </row>
    <row r="2251">
      <c r="A2251" s="26" t="inlineStr">
        <is>
          <t>S44</t>
        </is>
      </c>
      <c r="B2251" s="26" t="inlineStr">
        <is>
          <t>성산</t>
        </is>
      </c>
      <c r="C2251" s="26" t="inlineStr">
        <is>
          <t>S44-H동</t>
        </is>
      </c>
      <c r="D2251" s="47" t="n">
        <v>1</v>
      </c>
      <c r="E2251" s="26" t="inlineStr">
        <is>
          <t>측정</t>
        </is>
      </c>
      <c r="F2251" s="26" t="inlineStr">
        <is>
          <t>동</t>
        </is>
      </c>
      <c r="G2251" s="31" t="n">
        <v>8</v>
      </c>
      <c r="H2251" s="30" t="n"/>
      <c r="I2251" s="43" t="n"/>
      <c r="J2251" s="41" t="n"/>
      <c r="K2251" s="41" t="n"/>
      <c r="L2251" s="41" t="n"/>
      <c r="M2251" s="31">
        <f>IF(COUNT(J2251:L2251)=0,"",MEDIAN(J2251:L2251))</f>
        <v/>
      </c>
      <c r="N2251" s="26">
        <f>IF(COUNTIFS($C:$C,$C2251,$D:$D,$D2251,$E:$E,"P0(전)",$M:$M,"&gt;0")&lt;&gt;1,"P0(전) 유효 1개 아님",IF(COUNTIFS($C:$C,$C2251,$D:$D,$D2251,$E:$E,"P0(후)",$M:$M,"&gt;0")&lt;&gt;1,"P0(후) 유효 1개 아님",IF(NOT(AND(ISNUMBER(O2251),ISNUMBER(Q2251),ISNUMBER(I2251))),"시각 결측",IF(Q2251&lt;=O2251,"P0 시각 역전",IF(OR(I2251&lt;O2251,I2251&gt;Q2251),"측정시각 구간 밖","OK")))))</f>
        <v/>
      </c>
      <c r="O2251" s="48">
        <f>IF(COUNTIFS($C:$C,$C2251,$D:$D,$D2251,$E:$E,"P0(전)",$M:$M,"&gt;0")&lt;&gt;1,"",SUMIFS($I:$I,$C:$C,$C2251,$D:$D,$D2251,$E:$E,"P0(전)"))</f>
        <v/>
      </c>
      <c r="P2251" s="31">
        <f>IF(COUNTIFS($C:$C,$C2251,$D:$D,$D2251,$E:$E,"P0(전)",$M:$M,"&gt;0")&lt;&gt;1,"",SUMIFS($M:$M,$C:$C,$C2251,$D:$D,$D2251,$E:$E,"P0(전)"))</f>
        <v/>
      </c>
      <c r="Q2251" s="48">
        <f>IF(COUNTIFS($C:$C,$C2251,$D:$D,$D2251,$E:$E,"P0(후)",$M:$M,"&gt;0")&lt;&gt;1,"",SUMIFS($I:$I,$C:$C,$C2251,$D:$D,$D2251,$E:$E,"P0(후)"))</f>
        <v/>
      </c>
      <c r="R2251" s="31">
        <f>IF(COUNTIFS($C:$C,$C2251,$D:$D,$D2251,$E:$E,"P0(후)",$M:$M,"&gt;0")&lt;&gt;1,"",SUMIFS($M:$M,$C:$C,$C2251,$D:$D,$D2251,$E:$E,"P0(후)"))</f>
        <v/>
      </c>
      <c r="S2251" s="31">
        <f>IF(N2251&lt;&gt;"OK","",P2251+(R2251-P2251)*(I2251-O2251)/(Q2251-O2251))</f>
        <v/>
      </c>
      <c r="T2251" s="31">
        <f>IF(OR(N2251&lt;&gt;"OK",NOT(ISNUMBER(M2251))),"",M2251-S2251)</f>
        <v/>
      </c>
      <c r="U2251" s="49">
        <f>IF(OR(NOT(ISNUMBER(T2251)),IF(ISNUMBER(H2251),H2251,G2251)=0),"",T2251/IF(ISNUMBER(H2251),H2251,G2251))</f>
        <v/>
      </c>
      <c r="V2251" s="49">
        <f>IF(ISNUMBER(U2251),ABS(U2251),"")</f>
        <v/>
      </c>
      <c r="W2251" s="49">
        <f>IF(OR($E2250&lt;&gt;"측정",$C2250&lt;&gt;$C2251,$D2250&lt;&gt;$D2251,NOT(ISNUMBER(M2251)),NOT(ISNUMBER(M2250)),(IF(ISNUMBER(H2251),H2251,G2251)-IF(ISNUMBER(H2250),H2250,G2250))=0),"",(M2251-M2250)/(IF(ISNUMBER(H2251),H2251,G2251)-IF(ISNUMBER(H2250),H2250,G2250)))</f>
        <v/>
      </c>
      <c r="X2251" s="31">
        <f>IF(NOT(AND(ISNUMBER(O2251),ISNUMBER(Q2251))),"",(Q2251-O2251)*1440)</f>
        <v/>
      </c>
      <c r="Y2251" s="29" t="n"/>
      <c r="Z2251" s="29" t="n"/>
      <c r="AA2251" s="29" t="n"/>
      <c r="AB2251" s="32" t="n"/>
      <c r="AC2251" s="32" t="n"/>
    </row>
    <row r="2252">
      <c r="A2252" s="26" t="inlineStr">
        <is>
          <t>S44</t>
        </is>
      </c>
      <c r="B2252" s="26" t="inlineStr">
        <is>
          <t>성산</t>
        </is>
      </c>
      <c r="C2252" s="26" t="inlineStr">
        <is>
          <t>S44-H동</t>
        </is>
      </c>
      <c r="D2252" s="47" t="n">
        <v>1</v>
      </c>
      <c r="E2252" s="26" t="inlineStr">
        <is>
          <t>측정</t>
        </is>
      </c>
      <c r="F2252" s="26" t="inlineStr">
        <is>
          <t>동</t>
        </is>
      </c>
      <c r="G2252" s="31" t="n">
        <v>9</v>
      </c>
      <c r="H2252" s="30" t="n"/>
      <c r="I2252" s="43" t="n"/>
      <c r="J2252" s="41" t="n"/>
      <c r="K2252" s="41" t="n"/>
      <c r="L2252" s="41" t="n"/>
      <c r="M2252" s="31">
        <f>IF(COUNT(J2252:L2252)=0,"",MEDIAN(J2252:L2252))</f>
        <v/>
      </c>
      <c r="N2252" s="26">
        <f>IF(COUNTIFS($C:$C,$C2252,$D:$D,$D2252,$E:$E,"P0(전)",$M:$M,"&gt;0")&lt;&gt;1,"P0(전) 유효 1개 아님",IF(COUNTIFS($C:$C,$C2252,$D:$D,$D2252,$E:$E,"P0(후)",$M:$M,"&gt;0")&lt;&gt;1,"P0(후) 유효 1개 아님",IF(NOT(AND(ISNUMBER(O2252),ISNUMBER(Q2252),ISNUMBER(I2252))),"시각 결측",IF(Q2252&lt;=O2252,"P0 시각 역전",IF(OR(I2252&lt;O2252,I2252&gt;Q2252),"측정시각 구간 밖","OK")))))</f>
        <v/>
      </c>
      <c r="O2252" s="48">
        <f>IF(COUNTIFS($C:$C,$C2252,$D:$D,$D2252,$E:$E,"P0(전)",$M:$M,"&gt;0")&lt;&gt;1,"",SUMIFS($I:$I,$C:$C,$C2252,$D:$D,$D2252,$E:$E,"P0(전)"))</f>
        <v/>
      </c>
      <c r="P2252" s="31">
        <f>IF(COUNTIFS($C:$C,$C2252,$D:$D,$D2252,$E:$E,"P0(전)",$M:$M,"&gt;0")&lt;&gt;1,"",SUMIFS($M:$M,$C:$C,$C2252,$D:$D,$D2252,$E:$E,"P0(전)"))</f>
        <v/>
      </c>
      <c r="Q2252" s="48">
        <f>IF(COUNTIFS($C:$C,$C2252,$D:$D,$D2252,$E:$E,"P0(후)",$M:$M,"&gt;0")&lt;&gt;1,"",SUMIFS($I:$I,$C:$C,$C2252,$D:$D,$D2252,$E:$E,"P0(후)"))</f>
        <v/>
      </c>
      <c r="R2252" s="31">
        <f>IF(COUNTIFS($C:$C,$C2252,$D:$D,$D2252,$E:$E,"P0(후)",$M:$M,"&gt;0")&lt;&gt;1,"",SUMIFS($M:$M,$C:$C,$C2252,$D:$D,$D2252,$E:$E,"P0(후)"))</f>
        <v/>
      </c>
      <c r="S2252" s="31">
        <f>IF(N2252&lt;&gt;"OK","",P2252+(R2252-P2252)*(I2252-O2252)/(Q2252-O2252))</f>
        <v/>
      </c>
      <c r="T2252" s="31">
        <f>IF(OR(N2252&lt;&gt;"OK",NOT(ISNUMBER(M2252))),"",M2252-S2252)</f>
        <v/>
      </c>
      <c r="U2252" s="49">
        <f>IF(OR(NOT(ISNUMBER(T2252)),IF(ISNUMBER(H2252),H2252,G2252)=0),"",T2252/IF(ISNUMBER(H2252),H2252,G2252))</f>
        <v/>
      </c>
      <c r="V2252" s="49">
        <f>IF(ISNUMBER(U2252),ABS(U2252),"")</f>
        <v/>
      </c>
      <c r="W2252" s="49">
        <f>IF(OR($E2251&lt;&gt;"측정",$C2251&lt;&gt;$C2252,$D2251&lt;&gt;$D2252,NOT(ISNUMBER(M2252)),NOT(ISNUMBER(M2251)),(IF(ISNUMBER(H2252),H2252,G2252)-IF(ISNUMBER(H2251),H2251,G2251))=0),"",(M2252-M2251)/(IF(ISNUMBER(H2252),H2252,G2252)-IF(ISNUMBER(H2251),H2251,G2251)))</f>
        <v/>
      </c>
      <c r="X2252" s="31">
        <f>IF(NOT(AND(ISNUMBER(O2252),ISNUMBER(Q2252))),"",(Q2252-O2252)*1440)</f>
        <v/>
      </c>
      <c r="Y2252" s="29" t="n"/>
      <c r="Z2252" s="29" t="n"/>
      <c r="AA2252" s="29" t="n"/>
      <c r="AB2252" s="32" t="n"/>
      <c r="AC2252" s="32" t="n"/>
    </row>
    <row r="2253">
      <c r="A2253" s="26" t="inlineStr">
        <is>
          <t>S44</t>
        </is>
      </c>
      <c r="B2253" s="26" t="inlineStr">
        <is>
          <t>성산</t>
        </is>
      </c>
      <c r="C2253" s="26" t="inlineStr">
        <is>
          <t>S44-H동</t>
        </is>
      </c>
      <c r="D2253" s="47" t="n">
        <v>1</v>
      </c>
      <c r="E2253" s="26" t="inlineStr">
        <is>
          <t>측정</t>
        </is>
      </c>
      <c r="F2253" s="26" t="inlineStr">
        <is>
          <t>동</t>
        </is>
      </c>
      <c r="G2253" s="31" t="n">
        <v>10</v>
      </c>
      <c r="H2253" s="30" t="n"/>
      <c r="I2253" s="43" t="n"/>
      <c r="J2253" s="41" t="n"/>
      <c r="K2253" s="41" t="n"/>
      <c r="L2253" s="41" t="n"/>
      <c r="M2253" s="31">
        <f>IF(COUNT(J2253:L2253)=0,"",MEDIAN(J2253:L2253))</f>
        <v/>
      </c>
      <c r="N2253" s="26">
        <f>IF(COUNTIFS($C:$C,$C2253,$D:$D,$D2253,$E:$E,"P0(전)",$M:$M,"&gt;0")&lt;&gt;1,"P0(전) 유효 1개 아님",IF(COUNTIFS($C:$C,$C2253,$D:$D,$D2253,$E:$E,"P0(후)",$M:$M,"&gt;0")&lt;&gt;1,"P0(후) 유효 1개 아님",IF(NOT(AND(ISNUMBER(O2253),ISNUMBER(Q2253),ISNUMBER(I2253))),"시각 결측",IF(Q2253&lt;=O2253,"P0 시각 역전",IF(OR(I2253&lt;O2253,I2253&gt;Q2253),"측정시각 구간 밖","OK")))))</f>
        <v/>
      </c>
      <c r="O2253" s="48">
        <f>IF(COUNTIFS($C:$C,$C2253,$D:$D,$D2253,$E:$E,"P0(전)",$M:$M,"&gt;0")&lt;&gt;1,"",SUMIFS($I:$I,$C:$C,$C2253,$D:$D,$D2253,$E:$E,"P0(전)"))</f>
        <v/>
      </c>
      <c r="P2253" s="31">
        <f>IF(COUNTIFS($C:$C,$C2253,$D:$D,$D2253,$E:$E,"P0(전)",$M:$M,"&gt;0")&lt;&gt;1,"",SUMIFS($M:$M,$C:$C,$C2253,$D:$D,$D2253,$E:$E,"P0(전)"))</f>
        <v/>
      </c>
      <c r="Q2253" s="48">
        <f>IF(COUNTIFS($C:$C,$C2253,$D:$D,$D2253,$E:$E,"P0(후)",$M:$M,"&gt;0")&lt;&gt;1,"",SUMIFS($I:$I,$C:$C,$C2253,$D:$D,$D2253,$E:$E,"P0(후)"))</f>
        <v/>
      </c>
      <c r="R2253" s="31">
        <f>IF(COUNTIFS($C:$C,$C2253,$D:$D,$D2253,$E:$E,"P0(후)",$M:$M,"&gt;0")&lt;&gt;1,"",SUMIFS($M:$M,$C:$C,$C2253,$D:$D,$D2253,$E:$E,"P0(후)"))</f>
        <v/>
      </c>
      <c r="S2253" s="31">
        <f>IF(N2253&lt;&gt;"OK","",P2253+(R2253-P2253)*(I2253-O2253)/(Q2253-O2253))</f>
        <v/>
      </c>
      <c r="T2253" s="31">
        <f>IF(OR(N2253&lt;&gt;"OK",NOT(ISNUMBER(M2253))),"",M2253-S2253)</f>
        <v/>
      </c>
      <c r="U2253" s="49">
        <f>IF(OR(NOT(ISNUMBER(T2253)),IF(ISNUMBER(H2253),H2253,G2253)=0),"",T2253/IF(ISNUMBER(H2253),H2253,G2253))</f>
        <v/>
      </c>
      <c r="V2253" s="49">
        <f>IF(ISNUMBER(U2253),ABS(U2253),"")</f>
        <v/>
      </c>
      <c r="W2253" s="49">
        <f>IF(OR($E2252&lt;&gt;"측정",$C2252&lt;&gt;$C2253,$D2252&lt;&gt;$D2253,NOT(ISNUMBER(M2253)),NOT(ISNUMBER(M2252)),(IF(ISNUMBER(H2253),H2253,G2253)-IF(ISNUMBER(H2252),H2252,G2252))=0),"",(M2253-M2252)/(IF(ISNUMBER(H2253),H2253,G2253)-IF(ISNUMBER(H2252),H2252,G2252)))</f>
        <v/>
      </c>
      <c r="X2253" s="31">
        <f>IF(NOT(AND(ISNUMBER(O2253),ISNUMBER(Q2253))),"",(Q2253-O2253)*1440)</f>
        <v/>
      </c>
      <c r="Y2253" s="29" t="n"/>
      <c r="Z2253" s="29" t="n"/>
      <c r="AA2253" s="29" t="n"/>
      <c r="AB2253" s="32" t="n"/>
      <c r="AC2253" s="32" t="n"/>
    </row>
    <row r="2254">
      <c r="A2254" s="44" t="inlineStr">
        <is>
          <t>S44</t>
        </is>
      </c>
      <c r="B2254" s="44" t="inlineStr">
        <is>
          <t>성산</t>
        </is>
      </c>
      <c r="C2254" s="44" t="inlineStr">
        <is>
          <t>S44-H동</t>
        </is>
      </c>
      <c r="D2254" s="45" t="n">
        <v>1</v>
      </c>
      <c r="E2254" s="44" t="inlineStr">
        <is>
          <t>P0(후)</t>
        </is>
      </c>
      <c r="F2254" s="44" t="inlineStr">
        <is>
          <t>동</t>
        </is>
      </c>
      <c r="G2254" s="46" t="n"/>
      <c r="H2254" s="30" t="n"/>
      <c r="I2254" s="43" t="n"/>
      <c r="J2254" s="41" t="n"/>
      <c r="K2254" s="41" t="n"/>
      <c r="L2254" s="41" t="n"/>
      <c r="M2254" s="31">
        <f>IF(COUNT(J2254:L2254)=0,"",MEDIAN(J2254:L2254))</f>
        <v/>
      </c>
      <c r="N2254" s="38" t="n"/>
      <c r="O2254" s="38" t="n"/>
      <c r="P2254" s="38" t="n"/>
      <c r="Q2254" s="38" t="n"/>
      <c r="R2254" s="38" t="n"/>
      <c r="S2254" s="38" t="n"/>
      <c r="T2254" s="38" t="n"/>
      <c r="U2254" s="38" t="n"/>
      <c r="V2254" s="38" t="n"/>
      <c r="W2254" s="38" t="n"/>
      <c r="X2254" s="38" t="n"/>
      <c r="Y2254" s="29" t="n"/>
      <c r="Z2254" s="29" t="n"/>
      <c r="AA2254" s="29" t="n"/>
      <c r="AB2254" s="32" t="n"/>
      <c r="AC2254" s="32" t="n"/>
    </row>
    <row r="2255">
      <c r="A2255" s="44" t="inlineStr">
        <is>
          <t>S44</t>
        </is>
      </c>
      <c r="B2255" s="44" t="inlineStr">
        <is>
          <t>성산</t>
        </is>
      </c>
      <c r="C2255" s="44" t="inlineStr">
        <is>
          <t>S44-H서</t>
        </is>
      </c>
      <c r="D2255" s="45" t="n">
        <v>1</v>
      </c>
      <c r="E2255" s="44" t="inlineStr">
        <is>
          <t>P0(전)</t>
        </is>
      </c>
      <c r="F2255" s="44" t="inlineStr">
        <is>
          <t>서</t>
        </is>
      </c>
      <c r="G2255" s="46" t="n"/>
      <c r="H2255" s="30" t="n"/>
      <c r="I2255" s="43" t="n"/>
      <c r="J2255" s="41" t="n"/>
      <c r="K2255" s="41" t="n"/>
      <c r="L2255" s="41" t="n"/>
      <c r="M2255" s="31">
        <f>IF(COUNT(J2255:L2255)=0,"",MEDIAN(J2255:L2255))</f>
        <v/>
      </c>
      <c r="N2255" s="38" t="n"/>
      <c r="O2255" s="38" t="n"/>
      <c r="P2255" s="38" t="n"/>
      <c r="Q2255" s="38" t="n"/>
      <c r="R2255" s="38" t="n"/>
      <c r="S2255" s="38" t="n"/>
      <c r="T2255" s="38" t="n"/>
      <c r="U2255" s="38" t="n"/>
      <c r="V2255" s="38" t="n"/>
      <c r="W2255" s="38" t="n"/>
      <c r="X2255" s="38" t="n"/>
      <c r="Y2255" s="29" t="n"/>
      <c r="Z2255" s="29" t="n"/>
      <c r="AA2255" s="29" t="n"/>
      <c r="AB2255" s="32" t="n"/>
      <c r="AC2255" s="32" t="n"/>
    </row>
    <row r="2256">
      <c r="A2256" s="26" t="inlineStr">
        <is>
          <t>S44</t>
        </is>
      </c>
      <c r="B2256" s="26" t="inlineStr">
        <is>
          <t>성산</t>
        </is>
      </c>
      <c r="C2256" s="26" t="inlineStr">
        <is>
          <t>S44-H서</t>
        </is>
      </c>
      <c r="D2256" s="47" t="n">
        <v>1</v>
      </c>
      <c r="E2256" s="26" t="inlineStr">
        <is>
          <t>측정</t>
        </is>
      </c>
      <c r="F2256" s="26" t="inlineStr">
        <is>
          <t>서</t>
        </is>
      </c>
      <c r="G2256" s="31" t="n">
        <v>0.5</v>
      </c>
      <c r="H2256" s="30" t="n"/>
      <c r="I2256" s="43" t="n"/>
      <c r="J2256" s="41" t="n"/>
      <c r="K2256" s="41" t="n"/>
      <c r="L2256" s="41" t="n"/>
      <c r="M2256" s="31">
        <f>IF(COUNT(J2256:L2256)=0,"",MEDIAN(J2256:L2256))</f>
        <v/>
      </c>
      <c r="N2256" s="26">
        <f>IF(COUNTIFS($C:$C,$C2256,$D:$D,$D2256,$E:$E,"P0(전)",$M:$M,"&gt;0")&lt;&gt;1,"P0(전) 유효 1개 아님",IF(COUNTIFS($C:$C,$C2256,$D:$D,$D2256,$E:$E,"P0(후)",$M:$M,"&gt;0")&lt;&gt;1,"P0(후) 유효 1개 아님",IF(NOT(AND(ISNUMBER(O2256),ISNUMBER(Q2256),ISNUMBER(I2256))),"시각 결측",IF(Q2256&lt;=O2256,"P0 시각 역전",IF(OR(I2256&lt;O2256,I2256&gt;Q2256),"측정시각 구간 밖","OK")))))</f>
        <v/>
      </c>
      <c r="O2256" s="48">
        <f>IF(COUNTIFS($C:$C,$C2256,$D:$D,$D2256,$E:$E,"P0(전)",$M:$M,"&gt;0")&lt;&gt;1,"",SUMIFS($I:$I,$C:$C,$C2256,$D:$D,$D2256,$E:$E,"P0(전)"))</f>
        <v/>
      </c>
      <c r="P2256" s="31">
        <f>IF(COUNTIFS($C:$C,$C2256,$D:$D,$D2256,$E:$E,"P0(전)",$M:$M,"&gt;0")&lt;&gt;1,"",SUMIFS($M:$M,$C:$C,$C2256,$D:$D,$D2256,$E:$E,"P0(전)"))</f>
        <v/>
      </c>
      <c r="Q2256" s="48">
        <f>IF(COUNTIFS($C:$C,$C2256,$D:$D,$D2256,$E:$E,"P0(후)",$M:$M,"&gt;0")&lt;&gt;1,"",SUMIFS($I:$I,$C:$C,$C2256,$D:$D,$D2256,$E:$E,"P0(후)"))</f>
        <v/>
      </c>
      <c r="R2256" s="31">
        <f>IF(COUNTIFS($C:$C,$C2256,$D:$D,$D2256,$E:$E,"P0(후)",$M:$M,"&gt;0")&lt;&gt;1,"",SUMIFS($M:$M,$C:$C,$C2256,$D:$D,$D2256,$E:$E,"P0(후)"))</f>
        <v/>
      </c>
      <c r="S2256" s="31">
        <f>IF(N2256&lt;&gt;"OK","",P2256+(R2256-P2256)*(I2256-O2256)/(Q2256-O2256))</f>
        <v/>
      </c>
      <c r="T2256" s="31">
        <f>IF(OR(N2256&lt;&gt;"OK",NOT(ISNUMBER(M2256))),"",M2256-S2256)</f>
        <v/>
      </c>
      <c r="U2256" s="49">
        <f>IF(OR(NOT(ISNUMBER(T2256)),IF(ISNUMBER(H2256),H2256,G2256)=0),"",T2256/IF(ISNUMBER(H2256),H2256,G2256))</f>
        <v/>
      </c>
      <c r="V2256" s="49">
        <f>IF(ISNUMBER(U2256),ABS(U2256),"")</f>
        <v/>
      </c>
      <c r="W2256" s="49">
        <f>IF(OR($E2255&lt;&gt;"측정",$C2255&lt;&gt;$C2256,$D2255&lt;&gt;$D2256,NOT(ISNUMBER(M2256)),NOT(ISNUMBER(M2255)),(IF(ISNUMBER(H2256),H2256,G2256)-IF(ISNUMBER(H2255),H2255,G2255))=0),"",(M2256-M2255)/(IF(ISNUMBER(H2256),H2256,G2256)-IF(ISNUMBER(H2255),H2255,G2255)))</f>
        <v/>
      </c>
      <c r="X2256" s="31">
        <f>IF(NOT(AND(ISNUMBER(O2256),ISNUMBER(Q2256))),"",(Q2256-O2256)*1440)</f>
        <v/>
      </c>
      <c r="Y2256" s="29" t="n"/>
      <c r="Z2256" s="29" t="n"/>
      <c r="AA2256" s="29" t="n"/>
      <c r="AB2256" s="32" t="n"/>
      <c r="AC2256" s="32" t="n"/>
    </row>
    <row r="2257">
      <c r="A2257" s="26" t="inlineStr">
        <is>
          <t>S44</t>
        </is>
      </c>
      <c r="B2257" s="26" t="inlineStr">
        <is>
          <t>성산</t>
        </is>
      </c>
      <c r="C2257" s="26" t="inlineStr">
        <is>
          <t>S44-H서</t>
        </is>
      </c>
      <c r="D2257" s="47" t="n">
        <v>1</v>
      </c>
      <c r="E2257" s="26" t="inlineStr">
        <is>
          <t>측정</t>
        </is>
      </c>
      <c r="F2257" s="26" t="inlineStr">
        <is>
          <t>서</t>
        </is>
      </c>
      <c r="G2257" s="31" t="n">
        <v>1</v>
      </c>
      <c r="H2257" s="30" t="n"/>
      <c r="I2257" s="43" t="n"/>
      <c r="J2257" s="41" t="n"/>
      <c r="K2257" s="41" t="n"/>
      <c r="L2257" s="41" t="n"/>
      <c r="M2257" s="31">
        <f>IF(COUNT(J2257:L2257)=0,"",MEDIAN(J2257:L2257))</f>
        <v/>
      </c>
      <c r="N2257" s="26">
        <f>IF(COUNTIFS($C:$C,$C2257,$D:$D,$D2257,$E:$E,"P0(전)",$M:$M,"&gt;0")&lt;&gt;1,"P0(전) 유효 1개 아님",IF(COUNTIFS($C:$C,$C2257,$D:$D,$D2257,$E:$E,"P0(후)",$M:$M,"&gt;0")&lt;&gt;1,"P0(후) 유효 1개 아님",IF(NOT(AND(ISNUMBER(O2257),ISNUMBER(Q2257),ISNUMBER(I2257))),"시각 결측",IF(Q2257&lt;=O2257,"P0 시각 역전",IF(OR(I2257&lt;O2257,I2257&gt;Q2257),"측정시각 구간 밖","OK")))))</f>
        <v/>
      </c>
      <c r="O2257" s="48">
        <f>IF(COUNTIFS($C:$C,$C2257,$D:$D,$D2257,$E:$E,"P0(전)",$M:$M,"&gt;0")&lt;&gt;1,"",SUMIFS($I:$I,$C:$C,$C2257,$D:$D,$D2257,$E:$E,"P0(전)"))</f>
        <v/>
      </c>
      <c r="P2257" s="31">
        <f>IF(COUNTIFS($C:$C,$C2257,$D:$D,$D2257,$E:$E,"P0(전)",$M:$M,"&gt;0")&lt;&gt;1,"",SUMIFS($M:$M,$C:$C,$C2257,$D:$D,$D2257,$E:$E,"P0(전)"))</f>
        <v/>
      </c>
      <c r="Q2257" s="48">
        <f>IF(COUNTIFS($C:$C,$C2257,$D:$D,$D2257,$E:$E,"P0(후)",$M:$M,"&gt;0")&lt;&gt;1,"",SUMIFS($I:$I,$C:$C,$C2257,$D:$D,$D2257,$E:$E,"P0(후)"))</f>
        <v/>
      </c>
      <c r="R2257" s="31">
        <f>IF(COUNTIFS($C:$C,$C2257,$D:$D,$D2257,$E:$E,"P0(후)",$M:$M,"&gt;0")&lt;&gt;1,"",SUMIFS($M:$M,$C:$C,$C2257,$D:$D,$D2257,$E:$E,"P0(후)"))</f>
        <v/>
      </c>
      <c r="S2257" s="31">
        <f>IF(N2257&lt;&gt;"OK","",P2257+(R2257-P2257)*(I2257-O2257)/(Q2257-O2257))</f>
        <v/>
      </c>
      <c r="T2257" s="31">
        <f>IF(OR(N2257&lt;&gt;"OK",NOT(ISNUMBER(M2257))),"",M2257-S2257)</f>
        <v/>
      </c>
      <c r="U2257" s="49">
        <f>IF(OR(NOT(ISNUMBER(T2257)),IF(ISNUMBER(H2257),H2257,G2257)=0),"",T2257/IF(ISNUMBER(H2257),H2257,G2257))</f>
        <v/>
      </c>
      <c r="V2257" s="49">
        <f>IF(ISNUMBER(U2257),ABS(U2257),"")</f>
        <v/>
      </c>
      <c r="W2257" s="49">
        <f>IF(OR($E2256&lt;&gt;"측정",$C2256&lt;&gt;$C2257,$D2256&lt;&gt;$D2257,NOT(ISNUMBER(M2257)),NOT(ISNUMBER(M2256)),(IF(ISNUMBER(H2257),H2257,G2257)-IF(ISNUMBER(H2256),H2256,G2256))=0),"",(M2257-M2256)/(IF(ISNUMBER(H2257),H2257,G2257)-IF(ISNUMBER(H2256),H2256,G2256)))</f>
        <v/>
      </c>
      <c r="X2257" s="31">
        <f>IF(NOT(AND(ISNUMBER(O2257),ISNUMBER(Q2257))),"",(Q2257-O2257)*1440)</f>
        <v/>
      </c>
      <c r="Y2257" s="29" t="n"/>
      <c r="Z2257" s="29" t="n"/>
      <c r="AA2257" s="29" t="n"/>
      <c r="AB2257" s="32" t="n"/>
      <c r="AC2257" s="32" t="n"/>
    </row>
    <row r="2258">
      <c r="A2258" s="26" t="inlineStr">
        <is>
          <t>S44</t>
        </is>
      </c>
      <c r="B2258" s="26" t="inlineStr">
        <is>
          <t>성산</t>
        </is>
      </c>
      <c r="C2258" s="26" t="inlineStr">
        <is>
          <t>S44-H서</t>
        </is>
      </c>
      <c r="D2258" s="47" t="n">
        <v>1</v>
      </c>
      <c r="E2258" s="26" t="inlineStr">
        <is>
          <t>측정</t>
        </is>
      </c>
      <c r="F2258" s="26" t="inlineStr">
        <is>
          <t>서</t>
        </is>
      </c>
      <c r="G2258" s="31" t="n">
        <v>2</v>
      </c>
      <c r="H2258" s="30" t="n"/>
      <c r="I2258" s="43" t="n"/>
      <c r="J2258" s="41" t="n"/>
      <c r="K2258" s="41" t="n"/>
      <c r="L2258" s="41" t="n"/>
      <c r="M2258" s="31">
        <f>IF(COUNT(J2258:L2258)=0,"",MEDIAN(J2258:L2258))</f>
        <v/>
      </c>
      <c r="N2258" s="26">
        <f>IF(COUNTIFS($C:$C,$C2258,$D:$D,$D2258,$E:$E,"P0(전)",$M:$M,"&gt;0")&lt;&gt;1,"P0(전) 유효 1개 아님",IF(COUNTIFS($C:$C,$C2258,$D:$D,$D2258,$E:$E,"P0(후)",$M:$M,"&gt;0")&lt;&gt;1,"P0(후) 유효 1개 아님",IF(NOT(AND(ISNUMBER(O2258),ISNUMBER(Q2258),ISNUMBER(I2258))),"시각 결측",IF(Q2258&lt;=O2258,"P0 시각 역전",IF(OR(I2258&lt;O2258,I2258&gt;Q2258),"측정시각 구간 밖","OK")))))</f>
        <v/>
      </c>
      <c r="O2258" s="48">
        <f>IF(COUNTIFS($C:$C,$C2258,$D:$D,$D2258,$E:$E,"P0(전)",$M:$M,"&gt;0")&lt;&gt;1,"",SUMIFS($I:$I,$C:$C,$C2258,$D:$D,$D2258,$E:$E,"P0(전)"))</f>
        <v/>
      </c>
      <c r="P2258" s="31">
        <f>IF(COUNTIFS($C:$C,$C2258,$D:$D,$D2258,$E:$E,"P0(전)",$M:$M,"&gt;0")&lt;&gt;1,"",SUMIFS($M:$M,$C:$C,$C2258,$D:$D,$D2258,$E:$E,"P0(전)"))</f>
        <v/>
      </c>
      <c r="Q2258" s="48">
        <f>IF(COUNTIFS($C:$C,$C2258,$D:$D,$D2258,$E:$E,"P0(후)",$M:$M,"&gt;0")&lt;&gt;1,"",SUMIFS($I:$I,$C:$C,$C2258,$D:$D,$D2258,$E:$E,"P0(후)"))</f>
        <v/>
      </c>
      <c r="R2258" s="31">
        <f>IF(COUNTIFS($C:$C,$C2258,$D:$D,$D2258,$E:$E,"P0(후)",$M:$M,"&gt;0")&lt;&gt;1,"",SUMIFS($M:$M,$C:$C,$C2258,$D:$D,$D2258,$E:$E,"P0(후)"))</f>
        <v/>
      </c>
      <c r="S2258" s="31">
        <f>IF(N2258&lt;&gt;"OK","",P2258+(R2258-P2258)*(I2258-O2258)/(Q2258-O2258))</f>
        <v/>
      </c>
      <c r="T2258" s="31">
        <f>IF(OR(N2258&lt;&gt;"OK",NOT(ISNUMBER(M2258))),"",M2258-S2258)</f>
        <v/>
      </c>
      <c r="U2258" s="49">
        <f>IF(OR(NOT(ISNUMBER(T2258)),IF(ISNUMBER(H2258),H2258,G2258)=0),"",T2258/IF(ISNUMBER(H2258),H2258,G2258))</f>
        <v/>
      </c>
      <c r="V2258" s="49">
        <f>IF(ISNUMBER(U2258),ABS(U2258),"")</f>
        <v/>
      </c>
      <c r="W2258" s="49">
        <f>IF(OR($E2257&lt;&gt;"측정",$C2257&lt;&gt;$C2258,$D2257&lt;&gt;$D2258,NOT(ISNUMBER(M2258)),NOT(ISNUMBER(M2257)),(IF(ISNUMBER(H2258),H2258,G2258)-IF(ISNUMBER(H2257),H2257,G2257))=0),"",(M2258-M2257)/(IF(ISNUMBER(H2258),H2258,G2258)-IF(ISNUMBER(H2257),H2257,G2257)))</f>
        <v/>
      </c>
      <c r="X2258" s="31">
        <f>IF(NOT(AND(ISNUMBER(O2258),ISNUMBER(Q2258))),"",(Q2258-O2258)*1440)</f>
        <v/>
      </c>
      <c r="Y2258" s="29" t="n"/>
      <c r="Z2258" s="29" t="n"/>
      <c r="AA2258" s="29" t="n"/>
      <c r="AB2258" s="32" t="n"/>
      <c r="AC2258" s="32" t="n"/>
    </row>
    <row r="2259">
      <c r="A2259" s="26" t="inlineStr">
        <is>
          <t>S44</t>
        </is>
      </c>
      <c r="B2259" s="26" t="inlineStr">
        <is>
          <t>성산</t>
        </is>
      </c>
      <c r="C2259" s="26" t="inlineStr">
        <is>
          <t>S44-H서</t>
        </is>
      </c>
      <c r="D2259" s="47" t="n">
        <v>1</v>
      </c>
      <c r="E2259" s="26" t="inlineStr">
        <is>
          <t>측정</t>
        </is>
      </c>
      <c r="F2259" s="26" t="inlineStr">
        <is>
          <t>서</t>
        </is>
      </c>
      <c r="G2259" s="31" t="n">
        <v>3</v>
      </c>
      <c r="H2259" s="30" t="n"/>
      <c r="I2259" s="43" t="n"/>
      <c r="J2259" s="41" t="n"/>
      <c r="K2259" s="41" t="n"/>
      <c r="L2259" s="41" t="n"/>
      <c r="M2259" s="31">
        <f>IF(COUNT(J2259:L2259)=0,"",MEDIAN(J2259:L2259))</f>
        <v/>
      </c>
      <c r="N2259" s="26">
        <f>IF(COUNTIFS($C:$C,$C2259,$D:$D,$D2259,$E:$E,"P0(전)",$M:$M,"&gt;0")&lt;&gt;1,"P0(전) 유효 1개 아님",IF(COUNTIFS($C:$C,$C2259,$D:$D,$D2259,$E:$E,"P0(후)",$M:$M,"&gt;0")&lt;&gt;1,"P0(후) 유효 1개 아님",IF(NOT(AND(ISNUMBER(O2259),ISNUMBER(Q2259),ISNUMBER(I2259))),"시각 결측",IF(Q2259&lt;=O2259,"P0 시각 역전",IF(OR(I2259&lt;O2259,I2259&gt;Q2259),"측정시각 구간 밖","OK")))))</f>
        <v/>
      </c>
      <c r="O2259" s="48">
        <f>IF(COUNTIFS($C:$C,$C2259,$D:$D,$D2259,$E:$E,"P0(전)",$M:$M,"&gt;0")&lt;&gt;1,"",SUMIFS($I:$I,$C:$C,$C2259,$D:$D,$D2259,$E:$E,"P0(전)"))</f>
        <v/>
      </c>
      <c r="P2259" s="31">
        <f>IF(COUNTIFS($C:$C,$C2259,$D:$D,$D2259,$E:$E,"P0(전)",$M:$M,"&gt;0")&lt;&gt;1,"",SUMIFS($M:$M,$C:$C,$C2259,$D:$D,$D2259,$E:$E,"P0(전)"))</f>
        <v/>
      </c>
      <c r="Q2259" s="48">
        <f>IF(COUNTIFS($C:$C,$C2259,$D:$D,$D2259,$E:$E,"P0(후)",$M:$M,"&gt;0")&lt;&gt;1,"",SUMIFS($I:$I,$C:$C,$C2259,$D:$D,$D2259,$E:$E,"P0(후)"))</f>
        <v/>
      </c>
      <c r="R2259" s="31">
        <f>IF(COUNTIFS($C:$C,$C2259,$D:$D,$D2259,$E:$E,"P0(후)",$M:$M,"&gt;0")&lt;&gt;1,"",SUMIFS($M:$M,$C:$C,$C2259,$D:$D,$D2259,$E:$E,"P0(후)"))</f>
        <v/>
      </c>
      <c r="S2259" s="31">
        <f>IF(N2259&lt;&gt;"OK","",P2259+(R2259-P2259)*(I2259-O2259)/(Q2259-O2259))</f>
        <v/>
      </c>
      <c r="T2259" s="31">
        <f>IF(OR(N2259&lt;&gt;"OK",NOT(ISNUMBER(M2259))),"",M2259-S2259)</f>
        <v/>
      </c>
      <c r="U2259" s="49">
        <f>IF(OR(NOT(ISNUMBER(T2259)),IF(ISNUMBER(H2259),H2259,G2259)=0),"",T2259/IF(ISNUMBER(H2259),H2259,G2259))</f>
        <v/>
      </c>
      <c r="V2259" s="49">
        <f>IF(ISNUMBER(U2259),ABS(U2259),"")</f>
        <v/>
      </c>
      <c r="W2259" s="49">
        <f>IF(OR($E2258&lt;&gt;"측정",$C2258&lt;&gt;$C2259,$D2258&lt;&gt;$D2259,NOT(ISNUMBER(M2259)),NOT(ISNUMBER(M2258)),(IF(ISNUMBER(H2259),H2259,G2259)-IF(ISNUMBER(H2258),H2258,G2258))=0),"",(M2259-M2258)/(IF(ISNUMBER(H2259),H2259,G2259)-IF(ISNUMBER(H2258),H2258,G2258)))</f>
        <v/>
      </c>
      <c r="X2259" s="31">
        <f>IF(NOT(AND(ISNUMBER(O2259),ISNUMBER(Q2259))),"",(Q2259-O2259)*1440)</f>
        <v/>
      </c>
      <c r="Y2259" s="29" t="n"/>
      <c r="Z2259" s="29" t="n"/>
      <c r="AA2259" s="29" t="n"/>
      <c r="AB2259" s="32" t="n"/>
      <c r="AC2259" s="32" t="n"/>
    </row>
    <row r="2260">
      <c r="A2260" s="26" t="inlineStr">
        <is>
          <t>S44</t>
        </is>
      </c>
      <c r="B2260" s="26" t="inlineStr">
        <is>
          <t>성산</t>
        </is>
      </c>
      <c r="C2260" s="26" t="inlineStr">
        <is>
          <t>S44-H서</t>
        </is>
      </c>
      <c r="D2260" s="47" t="n">
        <v>1</v>
      </c>
      <c r="E2260" s="26" t="inlineStr">
        <is>
          <t>측정</t>
        </is>
      </c>
      <c r="F2260" s="26" t="inlineStr">
        <is>
          <t>서</t>
        </is>
      </c>
      <c r="G2260" s="31" t="n">
        <v>4</v>
      </c>
      <c r="H2260" s="30" t="n"/>
      <c r="I2260" s="43" t="n"/>
      <c r="J2260" s="41" t="n"/>
      <c r="K2260" s="41" t="n"/>
      <c r="L2260" s="41" t="n"/>
      <c r="M2260" s="31">
        <f>IF(COUNT(J2260:L2260)=0,"",MEDIAN(J2260:L2260))</f>
        <v/>
      </c>
      <c r="N2260" s="26">
        <f>IF(COUNTIFS($C:$C,$C2260,$D:$D,$D2260,$E:$E,"P0(전)",$M:$M,"&gt;0")&lt;&gt;1,"P0(전) 유효 1개 아님",IF(COUNTIFS($C:$C,$C2260,$D:$D,$D2260,$E:$E,"P0(후)",$M:$M,"&gt;0")&lt;&gt;1,"P0(후) 유효 1개 아님",IF(NOT(AND(ISNUMBER(O2260),ISNUMBER(Q2260),ISNUMBER(I2260))),"시각 결측",IF(Q2260&lt;=O2260,"P0 시각 역전",IF(OR(I2260&lt;O2260,I2260&gt;Q2260),"측정시각 구간 밖","OK")))))</f>
        <v/>
      </c>
      <c r="O2260" s="48">
        <f>IF(COUNTIFS($C:$C,$C2260,$D:$D,$D2260,$E:$E,"P0(전)",$M:$M,"&gt;0")&lt;&gt;1,"",SUMIFS($I:$I,$C:$C,$C2260,$D:$D,$D2260,$E:$E,"P0(전)"))</f>
        <v/>
      </c>
      <c r="P2260" s="31">
        <f>IF(COUNTIFS($C:$C,$C2260,$D:$D,$D2260,$E:$E,"P0(전)",$M:$M,"&gt;0")&lt;&gt;1,"",SUMIFS($M:$M,$C:$C,$C2260,$D:$D,$D2260,$E:$E,"P0(전)"))</f>
        <v/>
      </c>
      <c r="Q2260" s="48">
        <f>IF(COUNTIFS($C:$C,$C2260,$D:$D,$D2260,$E:$E,"P0(후)",$M:$M,"&gt;0")&lt;&gt;1,"",SUMIFS($I:$I,$C:$C,$C2260,$D:$D,$D2260,$E:$E,"P0(후)"))</f>
        <v/>
      </c>
      <c r="R2260" s="31">
        <f>IF(COUNTIFS($C:$C,$C2260,$D:$D,$D2260,$E:$E,"P0(후)",$M:$M,"&gt;0")&lt;&gt;1,"",SUMIFS($M:$M,$C:$C,$C2260,$D:$D,$D2260,$E:$E,"P0(후)"))</f>
        <v/>
      </c>
      <c r="S2260" s="31">
        <f>IF(N2260&lt;&gt;"OK","",P2260+(R2260-P2260)*(I2260-O2260)/(Q2260-O2260))</f>
        <v/>
      </c>
      <c r="T2260" s="31">
        <f>IF(OR(N2260&lt;&gt;"OK",NOT(ISNUMBER(M2260))),"",M2260-S2260)</f>
        <v/>
      </c>
      <c r="U2260" s="49">
        <f>IF(OR(NOT(ISNUMBER(T2260)),IF(ISNUMBER(H2260),H2260,G2260)=0),"",T2260/IF(ISNUMBER(H2260),H2260,G2260))</f>
        <v/>
      </c>
      <c r="V2260" s="49">
        <f>IF(ISNUMBER(U2260),ABS(U2260),"")</f>
        <v/>
      </c>
      <c r="W2260" s="49">
        <f>IF(OR($E2259&lt;&gt;"측정",$C2259&lt;&gt;$C2260,$D2259&lt;&gt;$D2260,NOT(ISNUMBER(M2260)),NOT(ISNUMBER(M2259)),(IF(ISNUMBER(H2260),H2260,G2260)-IF(ISNUMBER(H2259),H2259,G2259))=0),"",(M2260-M2259)/(IF(ISNUMBER(H2260),H2260,G2260)-IF(ISNUMBER(H2259),H2259,G2259)))</f>
        <v/>
      </c>
      <c r="X2260" s="31">
        <f>IF(NOT(AND(ISNUMBER(O2260),ISNUMBER(Q2260))),"",(Q2260-O2260)*1440)</f>
        <v/>
      </c>
      <c r="Y2260" s="29" t="n"/>
      <c r="Z2260" s="29" t="n"/>
      <c r="AA2260" s="29" t="n"/>
      <c r="AB2260" s="32" t="n"/>
      <c r="AC2260" s="32" t="n"/>
    </row>
    <row r="2261">
      <c r="A2261" s="26" t="inlineStr">
        <is>
          <t>S44</t>
        </is>
      </c>
      <c r="B2261" s="26" t="inlineStr">
        <is>
          <t>성산</t>
        </is>
      </c>
      <c r="C2261" s="26" t="inlineStr">
        <is>
          <t>S44-H서</t>
        </is>
      </c>
      <c r="D2261" s="47" t="n">
        <v>1</v>
      </c>
      <c r="E2261" s="26" t="inlineStr">
        <is>
          <t>측정</t>
        </is>
      </c>
      <c r="F2261" s="26" t="inlineStr">
        <is>
          <t>서</t>
        </is>
      </c>
      <c r="G2261" s="31" t="n">
        <v>5</v>
      </c>
      <c r="H2261" s="30" t="n"/>
      <c r="I2261" s="43" t="n"/>
      <c r="J2261" s="41" t="n"/>
      <c r="K2261" s="41" t="n"/>
      <c r="L2261" s="41" t="n"/>
      <c r="M2261" s="31">
        <f>IF(COUNT(J2261:L2261)=0,"",MEDIAN(J2261:L2261))</f>
        <v/>
      </c>
      <c r="N2261" s="26">
        <f>IF(COUNTIFS($C:$C,$C2261,$D:$D,$D2261,$E:$E,"P0(전)",$M:$M,"&gt;0")&lt;&gt;1,"P0(전) 유효 1개 아님",IF(COUNTIFS($C:$C,$C2261,$D:$D,$D2261,$E:$E,"P0(후)",$M:$M,"&gt;0")&lt;&gt;1,"P0(후) 유효 1개 아님",IF(NOT(AND(ISNUMBER(O2261),ISNUMBER(Q2261),ISNUMBER(I2261))),"시각 결측",IF(Q2261&lt;=O2261,"P0 시각 역전",IF(OR(I2261&lt;O2261,I2261&gt;Q2261),"측정시각 구간 밖","OK")))))</f>
        <v/>
      </c>
      <c r="O2261" s="48">
        <f>IF(COUNTIFS($C:$C,$C2261,$D:$D,$D2261,$E:$E,"P0(전)",$M:$M,"&gt;0")&lt;&gt;1,"",SUMIFS($I:$I,$C:$C,$C2261,$D:$D,$D2261,$E:$E,"P0(전)"))</f>
        <v/>
      </c>
      <c r="P2261" s="31">
        <f>IF(COUNTIFS($C:$C,$C2261,$D:$D,$D2261,$E:$E,"P0(전)",$M:$M,"&gt;0")&lt;&gt;1,"",SUMIFS($M:$M,$C:$C,$C2261,$D:$D,$D2261,$E:$E,"P0(전)"))</f>
        <v/>
      </c>
      <c r="Q2261" s="48">
        <f>IF(COUNTIFS($C:$C,$C2261,$D:$D,$D2261,$E:$E,"P0(후)",$M:$M,"&gt;0")&lt;&gt;1,"",SUMIFS($I:$I,$C:$C,$C2261,$D:$D,$D2261,$E:$E,"P0(후)"))</f>
        <v/>
      </c>
      <c r="R2261" s="31">
        <f>IF(COUNTIFS($C:$C,$C2261,$D:$D,$D2261,$E:$E,"P0(후)",$M:$M,"&gt;0")&lt;&gt;1,"",SUMIFS($M:$M,$C:$C,$C2261,$D:$D,$D2261,$E:$E,"P0(후)"))</f>
        <v/>
      </c>
      <c r="S2261" s="31">
        <f>IF(N2261&lt;&gt;"OK","",P2261+(R2261-P2261)*(I2261-O2261)/(Q2261-O2261))</f>
        <v/>
      </c>
      <c r="T2261" s="31">
        <f>IF(OR(N2261&lt;&gt;"OK",NOT(ISNUMBER(M2261))),"",M2261-S2261)</f>
        <v/>
      </c>
      <c r="U2261" s="49">
        <f>IF(OR(NOT(ISNUMBER(T2261)),IF(ISNUMBER(H2261),H2261,G2261)=0),"",T2261/IF(ISNUMBER(H2261),H2261,G2261))</f>
        <v/>
      </c>
      <c r="V2261" s="49">
        <f>IF(ISNUMBER(U2261),ABS(U2261),"")</f>
        <v/>
      </c>
      <c r="W2261" s="49">
        <f>IF(OR($E2260&lt;&gt;"측정",$C2260&lt;&gt;$C2261,$D2260&lt;&gt;$D2261,NOT(ISNUMBER(M2261)),NOT(ISNUMBER(M2260)),(IF(ISNUMBER(H2261),H2261,G2261)-IF(ISNUMBER(H2260),H2260,G2260))=0),"",(M2261-M2260)/(IF(ISNUMBER(H2261),H2261,G2261)-IF(ISNUMBER(H2260),H2260,G2260)))</f>
        <v/>
      </c>
      <c r="X2261" s="31">
        <f>IF(NOT(AND(ISNUMBER(O2261),ISNUMBER(Q2261))),"",(Q2261-O2261)*1440)</f>
        <v/>
      </c>
      <c r="Y2261" s="29" t="n"/>
      <c r="Z2261" s="29" t="n"/>
      <c r="AA2261" s="29" t="n"/>
      <c r="AB2261" s="32" t="n"/>
      <c r="AC2261" s="32" t="n"/>
    </row>
    <row r="2262">
      <c r="A2262" s="26" t="inlineStr">
        <is>
          <t>S44</t>
        </is>
      </c>
      <c r="B2262" s="26" t="inlineStr">
        <is>
          <t>성산</t>
        </is>
      </c>
      <c r="C2262" s="26" t="inlineStr">
        <is>
          <t>S44-H서</t>
        </is>
      </c>
      <c r="D2262" s="47" t="n">
        <v>1</v>
      </c>
      <c r="E2262" s="26" t="inlineStr">
        <is>
          <t>측정</t>
        </is>
      </c>
      <c r="F2262" s="26" t="inlineStr">
        <is>
          <t>서</t>
        </is>
      </c>
      <c r="G2262" s="31" t="n">
        <v>6</v>
      </c>
      <c r="H2262" s="30" t="n"/>
      <c r="I2262" s="43" t="n"/>
      <c r="J2262" s="41" t="n"/>
      <c r="K2262" s="41" t="n"/>
      <c r="L2262" s="41" t="n"/>
      <c r="M2262" s="31">
        <f>IF(COUNT(J2262:L2262)=0,"",MEDIAN(J2262:L2262))</f>
        <v/>
      </c>
      <c r="N2262" s="26">
        <f>IF(COUNTIFS($C:$C,$C2262,$D:$D,$D2262,$E:$E,"P0(전)",$M:$M,"&gt;0")&lt;&gt;1,"P0(전) 유효 1개 아님",IF(COUNTIFS($C:$C,$C2262,$D:$D,$D2262,$E:$E,"P0(후)",$M:$M,"&gt;0")&lt;&gt;1,"P0(후) 유효 1개 아님",IF(NOT(AND(ISNUMBER(O2262),ISNUMBER(Q2262),ISNUMBER(I2262))),"시각 결측",IF(Q2262&lt;=O2262,"P0 시각 역전",IF(OR(I2262&lt;O2262,I2262&gt;Q2262),"측정시각 구간 밖","OK")))))</f>
        <v/>
      </c>
      <c r="O2262" s="48">
        <f>IF(COUNTIFS($C:$C,$C2262,$D:$D,$D2262,$E:$E,"P0(전)",$M:$M,"&gt;0")&lt;&gt;1,"",SUMIFS($I:$I,$C:$C,$C2262,$D:$D,$D2262,$E:$E,"P0(전)"))</f>
        <v/>
      </c>
      <c r="P2262" s="31">
        <f>IF(COUNTIFS($C:$C,$C2262,$D:$D,$D2262,$E:$E,"P0(전)",$M:$M,"&gt;0")&lt;&gt;1,"",SUMIFS($M:$M,$C:$C,$C2262,$D:$D,$D2262,$E:$E,"P0(전)"))</f>
        <v/>
      </c>
      <c r="Q2262" s="48">
        <f>IF(COUNTIFS($C:$C,$C2262,$D:$D,$D2262,$E:$E,"P0(후)",$M:$M,"&gt;0")&lt;&gt;1,"",SUMIFS($I:$I,$C:$C,$C2262,$D:$D,$D2262,$E:$E,"P0(후)"))</f>
        <v/>
      </c>
      <c r="R2262" s="31">
        <f>IF(COUNTIFS($C:$C,$C2262,$D:$D,$D2262,$E:$E,"P0(후)",$M:$M,"&gt;0")&lt;&gt;1,"",SUMIFS($M:$M,$C:$C,$C2262,$D:$D,$D2262,$E:$E,"P0(후)"))</f>
        <v/>
      </c>
      <c r="S2262" s="31">
        <f>IF(N2262&lt;&gt;"OK","",P2262+(R2262-P2262)*(I2262-O2262)/(Q2262-O2262))</f>
        <v/>
      </c>
      <c r="T2262" s="31">
        <f>IF(OR(N2262&lt;&gt;"OK",NOT(ISNUMBER(M2262))),"",M2262-S2262)</f>
        <v/>
      </c>
      <c r="U2262" s="49">
        <f>IF(OR(NOT(ISNUMBER(T2262)),IF(ISNUMBER(H2262),H2262,G2262)=0),"",T2262/IF(ISNUMBER(H2262),H2262,G2262))</f>
        <v/>
      </c>
      <c r="V2262" s="49">
        <f>IF(ISNUMBER(U2262),ABS(U2262),"")</f>
        <v/>
      </c>
      <c r="W2262" s="49">
        <f>IF(OR($E2261&lt;&gt;"측정",$C2261&lt;&gt;$C2262,$D2261&lt;&gt;$D2262,NOT(ISNUMBER(M2262)),NOT(ISNUMBER(M2261)),(IF(ISNUMBER(H2262),H2262,G2262)-IF(ISNUMBER(H2261),H2261,G2261))=0),"",(M2262-M2261)/(IF(ISNUMBER(H2262),H2262,G2262)-IF(ISNUMBER(H2261),H2261,G2261)))</f>
        <v/>
      </c>
      <c r="X2262" s="31">
        <f>IF(NOT(AND(ISNUMBER(O2262),ISNUMBER(Q2262))),"",(Q2262-O2262)*1440)</f>
        <v/>
      </c>
      <c r="Y2262" s="29" t="n"/>
      <c r="Z2262" s="29" t="n"/>
      <c r="AA2262" s="29" t="n"/>
      <c r="AB2262" s="32" t="n"/>
      <c r="AC2262" s="32" t="n"/>
    </row>
    <row r="2263">
      <c r="A2263" s="26" t="inlineStr">
        <is>
          <t>S44</t>
        </is>
      </c>
      <c r="B2263" s="26" t="inlineStr">
        <is>
          <t>성산</t>
        </is>
      </c>
      <c r="C2263" s="26" t="inlineStr">
        <is>
          <t>S44-H서</t>
        </is>
      </c>
      <c r="D2263" s="47" t="n">
        <v>1</v>
      </c>
      <c r="E2263" s="26" t="inlineStr">
        <is>
          <t>측정</t>
        </is>
      </c>
      <c r="F2263" s="26" t="inlineStr">
        <is>
          <t>서</t>
        </is>
      </c>
      <c r="G2263" s="31" t="n">
        <v>7</v>
      </c>
      <c r="H2263" s="30" t="n"/>
      <c r="I2263" s="43" t="n"/>
      <c r="J2263" s="41" t="n"/>
      <c r="K2263" s="41" t="n"/>
      <c r="L2263" s="41" t="n"/>
      <c r="M2263" s="31">
        <f>IF(COUNT(J2263:L2263)=0,"",MEDIAN(J2263:L2263))</f>
        <v/>
      </c>
      <c r="N2263" s="26">
        <f>IF(COUNTIFS($C:$C,$C2263,$D:$D,$D2263,$E:$E,"P0(전)",$M:$M,"&gt;0")&lt;&gt;1,"P0(전) 유효 1개 아님",IF(COUNTIFS($C:$C,$C2263,$D:$D,$D2263,$E:$E,"P0(후)",$M:$M,"&gt;0")&lt;&gt;1,"P0(후) 유효 1개 아님",IF(NOT(AND(ISNUMBER(O2263),ISNUMBER(Q2263),ISNUMBER(I2263))),"시각 결측",IF(Q2263&lt;=O2263,"P0 시각 역전",IF(OR(I2263&lt;O2263,I2263&gt;Q2263),"측정시각 구간 밖","OK")))))</f>
        <v/>
      </c>
      <c r="O2263" s="48">
        <f>IF(COUNTIFS($C:$C,$C2263,$D:$D,$D2263,$E:$E,"P0(전)",$M:$M,"&gt;0")&lt;&gt;1,"",SUMIFS($I:$I,$C:$C,$C2263,$D:$D,$D2263,$E:$E,"P0(전)"))</f>
        <v/>
      </c>
      <c r="P2263" s="31">
        <f>IF(COUNTIFS($C:$C,$C2263,$D:$D,$D2263,$E:$E,"P0(전)",$M:$M,"&gt;0")&lt;&gt;1,"",SUMIFS($M:$M,$C:$C,$C2263,$D:$D,$D2263,$E:$E,"P0(전)"))</f>
        <v/>
      </c>
      <c r="Q2263" s="48">
        <f>IF(COUNTIFS($C:$C,$C2263,$D:$D,$D2263,$E:$E,"P0(후)",$M:$M,"&gt;0")&lt;&gt;1,"",SUMIFS($I:$I,$C:$C,$C2263,$D:$D,$D2263,$E:$E,"P0(후)"))</f>
        <v/>
      </c>
      <c r="R2263" s="31">
        <f>IF(COUNTIFS($C:$C,$C2263,$D:$D,$D2263,$E:$E,"P0(후)",$M:$M,"&gt;0")&lt;&gt;1,"",SUMIFS($M:$M,$C:$C,$C2263,$D:$D,$D2263,$E:$E,"P0(후)"))</f>
        <v/>
      </c>
      <c r="S2263" s="31">
        <f>IF(N2263&lt;&gt;"OK","",P2263+(R2263-P2263)*(I2263-O2263)/(Q2263-O2263))</f>
        <v/>
      </c>
      <c r="T2263" s="31">
        <f>IF(OR(N2263&lt;&gt;"OK",NOT(ISNUMBER(M2263))),"",M2263-S2263)</f>
        <v/>
      </c>
      <c r="U2263" s="49">
        <f>IF(OR(NOT(ISNUMBER(T2263)),IF(ISNUMBER(H2263),H2263,G2263)=0),"",T2263/IF(ISNUMBER(H2263),H2263,G2263))</f>
        <v/>
      </c>
      <c r="V2263" s="49">
        <f>IF(ISNUMBER(U2263),ABS(U2263),"")</f>
        <v/>
      </c>
      <c r="W2263" s="49">
        <f>IF(OR($E2262&lt;&gt;"측정",$C2262&lt;&gt;$C2263,$D2262&lt;&gt;$D2263,NOT(ISNUMBER(M2263)),NOT(ISNUMBER(M2262)),(IF(ISNUMBER(H2263),H2263,G2263)-IF(ISNUMBER(H2262),H2262,G2262))=0),"",(M2263-M2262)/(IF(ISNUMBER(H2263),H2263,G2263)-IF(ISNUMBER(H2262),H2262,G2262)))</f>
        <v/>
      </c>
      <c r="X2263" s="31">
        <f>IF(NOT(AND(ISNUMBER(O2263),ISNUMBER(Q2263))),"",(Q2263-O2263)*1440)</f>
        <v/>
      </c>
      <c r="Y2263" s="29" t="n"/>
      <c r="Z2263" s="29" t="n"/>
      <c r="AA2263" s="29" t="n"/>
      <c r="AB2263" s="32" t="n"/>
      <c r="AC2263" s="32" t="n"/>
    </row>
    <row r="2264">
      <c r="A2264" s="26" t="inlineStr">
        <is>
          <t>S44</t>
        </is>
      </c>
      <c r="B2264" s="26" t="inlineStr">
        <is>
          <t>성산</t>
        </is>
      </c>
      <c r="C2264" s="26" t="inlineStr">
        <is>
          <t>S44-H서</t>
        </is>
      </c>
      <c r="D2264" s="47" t="n">
        <v>1</v>
      </c>
      <c r="E2264" s="26" t="inlineStr">
        <is>
          <t>측정</t>
        </is>
      </c>
      <c r="F2264" s="26" t="inlineStr">
        <is>
          <t>서</t>
        </is>
      </c>
      <c r="G2264" s="31" t="n">
        <v>8</v>
      </c>
      <c r="H2264" s="30" t="n"/>
      <c r="I2264" s="43" t="n"/>
      <c r="J2264" s="41" t="n"/>
      <c r="K2264" s="41" t="n"/>
      <c r="L2264" s="41" t="n"/>
      <c r="M2264" s="31">
        <f>IF(COUNT(J2264:L2264)=0,"",MEDIAN(J2264:L2264))</f>
        <v/>
      </c>
      <c r="N2264" s="26">
        <f>IF(COUNTIFS($C:$C,$C2264,$D:$D,$D2264,$E:$E,"P0(전)",$M:$M,"&gt;0")&lt;&gt;1,"P0(전) 유효 1개 아님",IF(COUNTIFS($C:$C,$C2264,$D:$D,$D2264,$E:$E,"P0(후)",$M:$M,"&gt;0")&lt;&gt;1,"P0(후) 유효 1개 아님",IF(NOT(AND(ISNUMBER(O2264),ISNUMBER(Q2264),ISNUMBER(I2264))),"시각 결측",IF(Q2264&lt;=O2264,"P0 시각 역전",IF(OR(I2264&lt;O2264,I2264&gt;Q2264),"측정시각 구간 밖","OK")))))</f>
        <v/>
      </c>
      <c r="O2264" s="48">
        <f>IF(COUNTIFS($C:$C,$C2264,$D:$D,$D2264,$E:$E,"P0(전)",$M:$M,"&gt;0")&lt;&gt;1,"",SUMIFS($I:$I,$C:$C,$C2264,$D:$D,$D2264,$E:$E,"P0(전)"))</f>
        <v/>
      </c>
      <c r="P2264" s="31">
        <f>IF(COUNTIFS($C:$C,$C2264,$D:$D,$D2264,$E:$E,"P0(전)",$M:$M,"&gt;0")&lt;&gt;1,"",SUMIFS($M:$M,$C:$C,$C2264,$D:$D,$D2264,$E:$E,"P0(전)"))</f>
        <v/>
      </c>
      <c r="Q2264" s="48">
        <f>IF(COUNTIFS($C:$C,$C2264,$D:$D,$D2264,$E:$E,"P0(후)",$M:$M,"&gt;0")&lt;&gt;1,"",SUMIFS($I:$I,$C:$C,$C2264,$D:$D,$D2264,$E:$E,"P0(후)"))</f>
        <v/>
      </c>
      <c r="R2264" s="31">
        <f>IF(COUNTIFS($C:$C,$C2264,$D:$D,$D2264,$E:$E,"P0(후)",$M:$M,"&gt;0")&lt;&gt;1,"",SUMIFS($M:$M,$C:$C,$C2264,$D:$D,$D2264,$E:$E,"P0(후)"))</f>
        <v/>
      </c>
      <c r="S2264" s="31">
        <f>IF(N2264&lt;&gt;"OK","",P2264+(R2264-P2264)*(I2264-O2264)/(Q2264-O2264))</f>
        <v/>
      </c>
      <c r="T2264" s="31">
        <f>IF(OR(N2264&lt;&gt;"OK",NOT(ISNUMBER(M2264))),"",M2264-S2264)</f>
        <v/>
      </c>
      <c r="U2264" s="49">
        <f>IF(OR(NOT(ISNUMBER(T2264)),IF(ISNUMBER(H2264),H2264,G2264)=0),"",T2264/IF(ISNUMBER(H2264),H2264,G2264))</f>
        <v/>
      </c>
      <c r="V2264" s="49">
        <f>IF(ISNUMBER(U2264),ABS(U2264),"")</f>
        <v/>
      </c>
      <c r="W2264" s="49">
        <f>IF(OR($E2263&lt;&gt;"측정",$C2263&lt;&gt;$C2264,$D2263&lt;&gt;$D2264,NOT(ISNUMBER(M2264)),NOT(ISNUMBER(M2263)),(IF(ISNUMBER(H2264),H2264,G2264)-IF(ISNUMBER(H2263),H2263,G2263))=0),"",(M2264-M2263)/(IF(ISNUMBER(H2264),H2264,G2264)-IF(ISNUMBER(H2263),H2263,G2263)))</f>
        <v/>
      </c>
      <c r="X2264" s="31">
        <f>IF(NOT(AND(ISNUMBER(O2264),ISNUMBER(Q2264))),"",(Q2264-O2264)*1440)</f>
        <v/>
      </c>
      <c r="Y2264" s="29" t="n"/>
      <c r="Z2264" s="29" t="n"/>
      <c r="AA2264" s="29" t="n"/>
      <c r="AB2264" s="32" t="n"/>
      <c r="AC2264" s="32" t="n"/>
    </row>
    <row r="2265">
      <c r="A2265" s="26" t="inlineStr">
        <is>
          <t>S44</t>
        </is>
      </c>
      <c r="B2265" s="26" t="inlineStr">
        <is>
          <t>성산</t>
        </is>
      </c>
      <c r="C2265" s="26" t="inlineStr">
        <is>
          <t>S44-H서</t>
        </is>
      </c>
      <c r="D2265" s="47" t="n">
        <v>1</v>
      </c>
      <c r="E2265" s="26" t="inlineStr">
        <is>
          <t>측정</t>
        </is>
      </c>
      <c r="F2265" s="26" t="inlineStr">
        <is>
          <t>서</t>
        </is>
      </c>
      <c r="G2265" s="31" t="n">
        <v>9</v>
      </c>
      <c r="H2265" s="30" t="n"/>
      <c r="I2265" s="43" t="n"/>
      <c r="J2265" s="41" t="n"/>
      <c r="K2265" s="41" t="n"/>
      <c r="L2265" s="41" t="n"/>
      <c r="M2265" s="31">
        <f>IF(COUNT(J2265:L2265)=0,"",MEDIAN(J2265:L2265))</f>
        <v/>
      </c>
      <c r="N2265" s="26">
        <f>IF(COUNTIFS($C:$C,$C2265,$D:$D,$D2265,$E:$E,"P0(전)",$M:$M,"&gt;0")&lt;&gt;1,"P0(전) 유효 1개 아님",IF(COUNTIFS($C:$C,$C2265,$D:$D,$D2265,$E:$E,"P0(후)",$M:$M,"&gt;0")&lt;&gt;1,"P0(후) 유효 1개 아님",IF(NOT(AND(ISNUMBER(O2265),ISNUMBER(Q2265),ISNUMBER(I2265))),"시각 결측",IF(Q2265&lt;=O2265,"P0 시각 역전",IF(OR(I2265&lt;O2265,I2265&gt;Q2265),"측정시각 구간 밖","OK")))))</f>
        <v/>
      </c>
      <c r="O2265" s="48">
        <f>IF(COUNTIFS($C:$C,$C2265,$D:$D,$D2265,$E:$E,"P0(전)",$M:$M,"&gt;0")&lt;&gt;1,"",SUMIFS($I:$I,$C:$C,$C2265,$D:$D,$D2265,$E:$E,"P0(전)"))</f>
        <v/>
      </c>
      <c r="P2265" s="31">
        <f>IF(COUNTIFS($C:$C,$C2265,$D:$D,$D2265,$E:$E,"P0(전)",$M:$M,"&gt;0")&lt;&gt;1,"",SUMIFS($M:$M,$C:$C,$C2265,$D:$D,$D2265,$E:$E,"P0(전)"))</f>
        <v/>
      </c>
      <c r="Q2265" s="48">
        <f>IF(COUNTIFS($C:$C,$C2265,$D:$D,$D2265,$E:$E,"P0(후)",$M:$M,"&gt;0")&lt;&gt;1,"",SUMIFS($I:$I,$C:$C,$C2265,$D:$D,$D2265,$E:$E,"P0(후)"))</f>
        <v/>
      </c>
      <c r="R2265" s="31">
        <f>IF(COUNTIFS($C:$C,$C2265,$D:$D,$D2265,$E:$E,"P0(후)",$M:$M,"&gt;0")&lt;&gt;1,"",SUMIFS($M:$M,$C:$C,$C2265,$D:$D,$D2265,$E:$E,"P0(후)"))</f>
        <v/>
      </c>
      <c r="S2265" s="31">
        <f>IF(N2265&lt;&gt;"OK","",P2265+(R2265-P2265)*(I2265-O2265)/(Q2265-O2265))</f>
        <v/>
      </c>
      <c r="T2265" s="31">
        <f>IF(OR(N2265&lt;&gt;"OK",NOT(ISNUMBER(M2265))),"",M2265-S2265)</f>
        <v/>
      </c>
      <c r="U2265" s="49">
        <f>IF(OR(NOT(ISNUMBER(T2265)),IF(ISNUMBER(H2265),H2265,G2265)=0),"",T2265/IF(ISNUMBER(H2265),H2265,G2265))</f>
        <v/>
      </c>
      <c r="V2265" s="49">
        <f>IF(ISNUMBER(U2265),ABS(U2265),"")</f>
        <v/>
      </c>
      <c r="W2265" s="49">
        <f>IF(OR($E2264&lt;&gt;"측정",$C2264&lt;&gt;$C2265,$D2264&lt;&gt;$D2265,NOT(ISNUMBER(M2265)),NOT(ISNUMBER(M2264)),(IF(ISNUMBER(H2265),H2265,G2265)-IF(ISNUMBER(H2264),H2264,G2264))=0),"",(M2265-M2264)/(IF(ISNUMBER(H2265),H2265,G2265)-IF(ISNUMBER(H2264),H2264,G2264)))</f>
        <v/>
      </c>
      <c r="X2265" s="31">
        <f>IF(NOT(AND(ISNUMBER(O2265),ISNUMBER(Q2265))),"",(Q2265-O2265)*1440)</f>
        <v/>
      </c>
      <c r="Y2265" s="29" t="n"/>
      <c r="Z2265" s="29" t="n"/>
      <c r="AA2265" s="29" t="n"/>
      <c r="AB2265" s="32" t="n"/>
      <c r="AC2265" s="32" t="n"/>
    </row>
    <row r="2266">
      <c r="A2266" s="26" t="inlineStr">
        <is>
          <t>S44</t>
        </is>
      </c>
      <c r="B2266" s="26" t="inlineStr">
        <is>
          <t>성산</t>
        </is>
      </c>
      <c r="C2266" s="26" t="inlineStr">
        <is>
          <t>S44-H서</t>
        </is>
      </c>
      <c r="D2266" s="47" t="n">
        <v>1</v>
      </c>
      <c r="E2266" s="26" t="inlineStr">
        <is>
          <t>측정</t>
        </is>
      </c>
      <c r="F2266" s="26" t="inlineStr">
        <is>
          <t>서</t>
        </is>
      </c>
      <c r="G2266" s="31" t="n">
        <v>10</v>
      </c>
      <c r="H2266" s="30" t="n"/>
      <c r="I2266" s="43" t="n"/>
      <c r="J2266" s="41" t="n"/>
      <c r="K2266" s="41" t="n"/>
      <c r="L2266" s="41" t="n"/>
      <c r="M2266" s="31">
        <f>IF(COUNT(J2266:L2266)=0,"",MEDIAN(J2266:L2266))</f>
        <v/>
      </c>
      <c r="N2266" s="26">
        <f>IF(COUNTIFS($C:$C,$C2266,$D:$D,$D2266,$E:$E,"P0(전)",$M:$M,"&gt;0")&lt;&gt;1,"P0(전) 유효 1개 아님",IF(COUNTIFS($C:$C,$C2266,$D:$D,$D2266,$E:$E,"P0(후)",$M:$M,"&gt;0")&lt;&gt;1,"P0(후) 유효 1개 아님",IF(NOT(AND(ISNUMBER(O2266),ISNUMBER(Q2266),ISNUMBER(I2266))),"시각 결측",IF(Q2266&lt;=O2266,"P0 시각 역전",IF(OR(I2266&lt;O2266,I2266&gt;Q2266),"측정시각 구간 밖","OK")))))</f>
        <v/>
      </c>
      <c r="O2266" s="48">
        <f>IF(COUNTIFS($C:$C,$C2266,$D:$D,$D2266,$E:$E,"P0(전)",$M:$M,"&gt;0")&lt;&gt;1,"",SUMIFS($I:$I,$C:$C,$C2266,$D:$D,$D2266,$E:$E,"P0(전)"))</f>
        <v/>
      </c>
      <c r="P2266" s="31">
        <f>IF(COUNTIFS($C:$C,$C2266,$D:$D,$D2266,$E:$E,"P0(전)",$M:$M,"&gt;0")&lt;&gt;1,"",SUMIFS($M:$M,$C:$C,$C2266,$D:$D,$D2266,$E:$E,"P0(전)"))</f>
        <v/>
      </c>
      <c r="Q2266" s="48">
        <f>IF(COUNTIFS($C:$C,$C2266,$D:$D,$D2266,$E:$E,"P0(후)",$M:$M,"&gt;0")&lt;&gt;1,"",SUMIFS($I:$I,$C:$C,$C2266,$D:$D,$D2266,$E:$E,"P0(후)"))</f>
        <v/>
      </c>
      <c r="R2266" s="31">
        <f>IF(COUNTIFS($C:$C,$C2266,$D:$D,$D2266,$E:$E,"P0(후)",$M:$M,"&gt;0")&lt;&gt;1,"",SUMIFS($M:$M,$C:$C,$C2266,$D:$D,$D2266,$E:$E,"P0(후)"))</f>
        <v/>
      </c>
      <c r="S2266" s="31">
        <f>IF(N2266&lt;&gt;"OK","",P2266+(R2266-P2266)*(I2266-O2266)/(Q2266-O2266))</f>
        <v/>
      </c>
      <c r="T2266" s="31">
        <f>IF(OR(N2266&lt;&gt;"OK",NOT(ISNUMBER(M2266))),"",M2266-S2266)</f>
        <v/>
      </c>
      <c r="U2266" s="49">
        <f>IF(OR(NOT(ISNUMBER(T2266)),IF(ISNUMBER(H2266),H2266,G2266)=0),"",T2266/IF(ISNUMBER(H2266),H2266,G2266))</f>
        <v/>
      </c>
      <c r="V2266" s="49">
        <f>IF(ISNUMBER(U2266),ABS(U2266),"")</f>
        <v/>
      </c>
      <c r="W2266" s="49">
        <f>IF(OR($E2265&lt;&gt;"측정",$C2265&lt;&gt;$C2266,$D2265&lt;&gt;$D2266,NOT(ISNUMBER(M2266)),NOT(ISNUMBER(M2265)),(IF(ISNUMBER(H2266),H2266,G2266)-IF(ISNUMBER(H2265),H2265,G2265))=0),"",(M2266-M2265)/(IF(ISNUMBER(H2266),H2266,G2266)-IF(ISNUMBER(H2265),H2265,G2265)))</f>
        <v/>
      </c>
      <c r="X2266" s="31">
        <f>IF(NOT(AND(ISNUMBER(O2266),ISNUMBER(Q2266))),"",(Q2266-O2266)*1440)</f>
        <v/>
      </c>
      <c r="Y2266" s="29" t="n"/>
      <c r="Z2266" s="29" t="n"/>
      <c r="AA2266" s="29" t="n"/>
      <c r="AB2266" s="32" t="n"/>
      <c r="AC2266" s="32" t="n"/>
    </row>
    <row r="2267">
      <c r="A2267" s="44" t="inlineStr">
        <is>
          <t>S44</t>
        </is>
      </c>
      <c r="B2267" s="44" t="inlineStr">
        <is>
          <t>성산</t>
        </is>
      </c>
      <c r="C2267" s="44" t="inlineStr">
        <is>
          <t>S44-H서</t>
        </is>
      </c>
      <c r="D2267" s="45" t="n">
        <v>1</v>
      </c>
      <c r="E2267" s="44" t="inlineStr">
        <is>
          <t>P0(후)</t>
        </is>
      </c>
      <c r="F2267" s="44" t="inlineStr">
        <is>
          <t>서</t>
        </is>
      </c>
      <c r="G2267" s="46" t="n"/>
      <c r="H2267" s="30" t="n"/>
      <c r="I2267" s="43" t="n"/>
      <c r="J2267" s="41" t="n"/>
      <c r="K2267" s="41" t="n"/>
      <c r="L2267" s="41" t="n"/>
      <c r="M2267" s="31">
        <f>IF(COUNT(J2267:L2267)=0,"",MEDIAN(J2267:L2267))</f>
        <v/>
      </c>
      <c r="N2267" s="38" t="n"/>
      <c r="O2267" s="38" t="n"/>
      <c r="P2267" s="38" t="n"/>
      <c r="Q2267" s="38" t="n"/>
      <c r="R2267" s="38" t="n"/>
      <c r="S2267" s="38" t="n"/>
      <c r="T2267" s="38" t="n"/>
      <c r="U2267" s="38" t="n"/>
      <c r="V2267" s="38" t="n"/>
      <c r="W2267" s="38" t="n"/>
      <c r="X2267" s="38" t="n"/>
      <c r="Y2267" s="29" t="n"/>
      <c r="Z2267" s="29" t="n"/>
      <c r="AA2267" s="29" t="n"/>
      <c r="AB2267" s="32" t="n"/>
      <c r="AC2267" s="32" t="n"/>
    </row>
    <row r="2268">
      <c r="A2268" s="44" t="inlineStr">
        <is>
          <t>S44</t>
        </is>
      </c>
      <c r="B2268" s="44" t="inlineStr">
        <is>
          <t>성산</t>
        </is>
      </c>
      <c r="C2268" s="44" t="inlineStr">
        <is>
          <t>S44-H남</t>
        </is>
      </c>
      <c r="D2268" s="45" t="n">
        <v>1</v>
      </c>
      <c r="E2268" s="44" t="inlineStr">
        <is>
          <t>P0(전)</t>
        </is>
      </c>
      <c r="F2268" s="44" t="inlineStr">
        <is>
          <t>남</t>
        </is>
      </c>
      <c r="G2268" s="46" t="n"/>
      <c r="H2268" s="30" t="n"/>
      <c r="I2268" s="43" t="n"/>
      <c r="J2268" s="41" t="n"/>
      <c r="K2268" s="41" t="n"/>
      <c r="L2268" s="41" t="n"/>
      <c r="M2268" s="31">
        <f>IF(COUNT(J2268:L2268)=0,"",MEDIAN(J2268:L2268))</f>
        <v/>
      </c>
      <c r="N2268" s="38" t="n"/>
      <c r="O2268" s="38" t="n"/>
      <c r="P2268" s="38" t="n"/>
      <c r="Q2268" s="38" t="n"/>
      <c r="R2268" s="38" t="n"/>
      <c r="S2268" s="38" t="n"/>
      <c r="T2268" s="38" t="n"/>
      <c r="U2268" s="38" t="n"/>
      <c r="V2268" s="38" t="n"/>
      <c r="W2268" s="38" t="n"/>
      <c r="X2268" s="38" t="n"/>
      <c r="Y2268" s="29" t="n"/>
      <c r="Z2268" s="29" t="n"/>
      <c r="AA2268" s="29" t="n"/>
      <c r="AB2268" s="32" t="n"/>
      <c r="AC2268" s="32" t="n"/>
    </row>
    <row r="2269">
      <c r="A2269" s="26" t="inlineStr">
        <is>
          <t>S44</t>
        </is>
      </c>
      <c r="B2269" s="26" t="inlineStr">
        <is>
          <t>성산</t>
        </is>
      </c>
      <c r="C2269" s="26" t="inlineStr">
        <is>
          <t>S44-H남</t>
        </is>
      </c>
      <c r="D2269" s="47" t="n">
        <v>1</v>
      </c>
      <c r="E2269" s="26" t="inlineStr">
        <is>
          <t>측정</t>
        </is>
      </c>
      <c r="F2269" s="26" t="inlineStr">
        <is>
          <t>남</t>
        </is>
      </c>
      <c r="G2269" s="31" t="n">
        <v>0.5</v>
      </c>
      <c r="H2269" s="30" t="n"/>
      <c r="I2269" s="43" t="n"/>
      <c r="J2269" s="41" t="n"/>
      <c r="K2269" s="41" t="n"/>
      <c r="L2269" s="41" t="n"/>
      <c r="M2269" s="31">
        <f>IF(COUNT(J2269:L2269)=0,"",MEDIAN(J2269:L2269))</f>
        <v/>
      </c>
      <c r="N2269" s="26">
        <f>IF(COUNTIFS($C:$C,$C2269,$D:$D,$D2269,$E:$E,"P0(전)",$M:$M,"&gt;0")&lt;&gt;1,"P0(전) 유효 1개 아님",IF(COUNTIFS($C:$C,$C2269,$D:$D,$D2269,$E:$E,"P0(후)",$M:$M,"&gt;0")&lt;&gt;1,"P0(후) 유효 1개 아님",IF(NOT(AND(ISNUMBER(O2269),ISNUMBER(Q2269),ISNUMBER(I2269))),"시각 결측",IF(Q2269&lt;=O2269,"P0 시각 역전",IF(OR(I2269&lt;O2269,I2269&gt;Q2269),"측정시각 구간 밖","OK")))))</f>
        <v/>
      </c>
      <c r="O2269" s="48">
        <f>IF(COUNTIFS($C:$C,$C2269,$D:$D,$D2269,$E:$E,"P0(전)",$M:$M,"&gt;0")&lt;&gt;1,"",SUMIFS($I:$I,$C:$C,$C2269,$D:$D,$D2269,$E:$E,"P0(전)"))</f>
        <v/>
      </c>
      <c r="P2269" s="31">
        <f>IF(COUNTIFS($C:$C,$C2269,$D:$D,$D2269,$E:$E,"P0(전)",$M:$M,"&gt;0")&lt;&gt;1,"",SUMIFS($M:$M,$C:$C,$C2269,$D:$D,$D2269,$E:$E,"P0(전)"))</f>
        <v/>
      </c>
      <c r="Q2269" s="48">
        <f>IF(COUNTIFS($C:$C,$C2269,$D:$D,$D2269,$E:$E,"P0(후)",$M:$M,"&gt;0")&lt;&gt;1,"",SUMIFS($I:$I,$C:$C,$C2269,$D:$D,$D2269,$E:$E,"P0(후)"))</f>
        <v/>
      </c>
      <c r="R2269" s="31">
        <f>IF(COUNTIFS($C:$C,$C2269,$D:$D,$D2269,$E:$E,"P0(후)",$M:$M,"&gt;0")&lt;&gt;1,"",SUMIFS($M:$M,$C:$C,$C2269,$D:$D,$D2269,$E:$E,"P0(후)"))</f>
        <v/>
      </c>
      <c r="S2269" s="31">
        <f>IF(N2269&lt;&gt;"OK","",P2269+(R2269-P2269)*(I2269-O2269)/(Q2269-O2269))</f>
        <v/>
      </c>
      <c r="T2269" s="31">
        <f>IF(OR(N2269&lt;&gt;"OK",NOT(ISNUMBER(M2269))),"",M2269-S2269)</f>
        <v/>
      </c>
      <c r="U2269" s="49">
        <f>IF(OR(NOT(ISNUMBER(T2269)),IF(ISNUMBER(H2269),H2269,G2269)=0),"",T2269/IF(ISNUMBER(H2269),H2269,G2269))</f>
        <v/>
      </c>
      <c r="V2269" s="49">
        <f>IF(ISNUMBER(U2269),ABS(U2269),"")</f>
        <v/>
      </c>
      <c r="W2269" s="49">
        <f>IF(OR($E2268&lt;&gt;"측정",$C2268&lt;&gt;$C2269,$D2268&lt;&gt;$D2269,NOT(ISNUMBER(M2269)),NOT(ISNUMBER(M2268)),(IF(ISNUMBER(H2269),H2269,G2269)-IF(ISNUMBER(H2268),H2268,G2268))=0),"",(M2269-M2268)/(IF(ISNUMBER(H2269),H2269,G2269)-IF(ISNUMBER(H2268),H2268,G2268)))</f>
        <v/>
      </c>
      <c r="X2269" s="31">
        <f>IF(NOT(AND(ISNUMBER(O2269),ISNUMBER(Q2269))),"",(Q2269-O2269)*1440)</f>
        <v/>
      </c>
      <c r="Y2269" s="29" t="n"/>
      <c r="Z2269" s="29" t="n"/>
      <c r="AA2269" s="29" t="n"/>
      <c r="AB2269" s="32" t="n"/>
      <c r="AC2269" s="32" t="n"/>
    </row>
    <row r="2270">
      <c r="A2270" s="26" t="inlineStr">
        <is>
          <t>S44</t>
        </is>
      </c>
      <c r="B2270" s="26" t="inlineStr">
        <is>
          <t>성산</t>
        </is>
      </c>
      <c r="C2270" s="26" t="inlineStr">
        <is>
          <t>S44-H남</t>
        </is>
      </c>
      <c r="D2270" s="47" t="n">
        <v>1</v>
      </c>
      <c r="E2270" s="26" t="inlineStr">
        <is>
          <t>측정</t>
        </is>
      </c>
      <c r="F2270" s="26" t="inlineStr">
        <is>
          <t>남</t>
        </is>
      </c>
      <c r="G2270" s="31" t="n">
        <v>1</v>
      </c>
      <c r="H2270" s="30" t="n"/>
      <c r="I2270" s="43" t="n"/>
      <c r="J2270" s="41" t="n"/>
      <c r="K2270" s="41" t="n"/>
      <c r="L2270" s="41" t="n"/>
      <c r="M2270" s="31">
        <f>IF(COUNT(J2270:L2270)=0,"",MEDIAN(J2270:L2270))</f>
        <v/>
      </c>
      <c r="N2270" s="26">
        <f>IF(COUNTIFS($C:$C,$C2270,$D:$D,$D2270,$E:$E,"P0(전)",$M:$M,"&gt;0")&lt;&gt;1,"P0(전) 유효 1개 아님",IF(COUNTIFS($C:$C,$C2270,$D:$D,$D2270,$E:$E,"P0(후)",$M:$M,"&gt;0")&lt;&gt;1,"P0(후) 유효 1개 아님",IF(NOT(AND(ISNUMBER(O2270),ISNUMBER(Q2270),ISNUMBER(I2270))),"시각 결측",IF(Q2270&lt;=O2270,"P0 시각 역전",IF(OR(I2270&lt;O2270,I2270&gt;Q2270),"측정시각 구간 밖","OK")))))</f>
        <v/>
      </c>
      <c r="O2270" s="48">
        <f>IF(COUNTIFS($C:$C,$C2270,$D:$D,$D2270,$E:$E,"P0(전)",$M:$M,"&gt;0")&lt;&gt;1,"",SUMIFS($I:$I,$C:$C,$C2270,$D:$D,$D2270,$E:$E,"P0(전)"))</f>
        <v/>
      </c>
      <c r="P2270" s="31">
        <f>IF(COUNTIFS($C:$C,$C2270,$D:$D,$D2270,$E:$E,"P0(전)",$M:$M,"&gt;0")&lt;&gt;1,"",SUMIFS($M:$M,$C:$C,$C2270,$D:$D,$D2270,$E:$E,"P0(전)"))</f>
        <v/>
      </c>
      <c r="Q2270" s="48">
        <f>IF(COUNTIFS($C:$C,$C2270,$D:$D,$D2270,$E:$E,"P0(후)",$M:$M,"&gt;0")&lt;&gt;1,"",SUMIFS($I:$I,$C:$C,$C2270,$D:$D,$D2270,$E:$E,"P0(후)"))</f>
        <v/>
      </c>
      <c r="R2270" s="31">
        <f>IF(COUNTIFS($C:$C,$C2270,$D:$D,$D2270,$E:$E,"P0(후)",$M:$M,"&gt;0")&lt;&gt;1,"",SUMIFS($M:$M,$C:$C,$C2270,$D:$D,$D2270,$E:$E,"P0(후)"))</f>
        <v/>
      </c>
      <c r="S2270" s="31">
        <f>IF(N2270&lt;&gt;"OK","",P2270+(R2270-P2270)*(I2270-O2270)/(Q2270-O2270))</f>
        <v/>
      </c>
      <c r="T2270" s="31">
        <f>IF(OR(N2270&lt;&gt;"OK",NOT(ISNUMBER(M2270))),"",M2270-S2270)</f>
        <v/>
      </c>
      <c r="U2270" s="49">
        <f>IF(OR(NOT(ISNUMBER(T2270)),IF(ISNUMBER(H2270),H2270,G2270)=0),"",T2270/IF(ISNUMBER(H2270),H2270,G2270))</f>
        <v/>
      </c>
      <c r="V2270" s="49">
        <f>IF(ISNUMBER(U2270),ABS(U2270),"")</f>
        <v/>
      </c>
      <c r="W2270" s="49">
        <f>IF(OR($E2269&lt;&gt;"측정",$C2269&lt;&gt;$C2270,$D2269&lt;&gt;$D2270,NOT(ISNUMBER(M2270)),NOT(ISNUMBER(M2269)),(IF(ISNUMBER(H2270),H2270,G2270)-IF(ISNUMBER(H2269),H2269,G2269))=0),"",(M2270-M2269)/(IF(ISNUMBER(H2270),H2270,G2270)-IF(ISNUMBER(H2269),H2269,G2269)))</f>
        <v/>
      </c>
      <c r="X2270" s="31">
        <f>IF(NOT(AND(ISNUMBER(O2270),ISNUMBER(Q2270))),"",(Q2270-O2270)*1440)</f>
        <v/>
      </c>
      <c r="Y2270" s="29" t="n"/>
      <c r="Z2270" s="29" t="n"/>
      <c r="AA2270" s="29" t="n"/>
      <c r="AB2270" s="32" t="n"/>
      <c r="AC2270" s="32" t="n"/>
    </row>
    <row r="2271">
      <c r="A2271" s="26" t="inlineStr">
        <is>
          <t>S44</t>
        </is>
      </c>
      <c r="B2271" s="26" t="inlineStr">
        <is>
          <t>성산</t>
        </is>
      </c>
      <c r="C2271" s="26" t="inlineStr">
        <is>
          <t>S44-H남</t>
        </is>
      </c>
      <c r="D2271" s="47" t="n">
        <v>1</v>
      </c>
      <c r="E2271" s="26" t="inlineStr">
        <is>
          <t>측정</t>
        </is>
      </c>
      <c r="F2271" s="26" t="inlineStr">
        <is>
          <t>남</t>
        </is>
      </c>
      <c r="G2271" s="31" t="n">
        <v>2</v>
      </c>
      <c r="H2271" s="30" t="n"/>
      <c r="I2271" s="43" t="n"/>
      <c r="J2271" s="41" t="n"/>
      <c r="K2271" s="41" t="n"/>
      <c r="L2271" s="41" t="n"/>
      <c r="M2271" s="31">
        <f>IF(COUNT(J2271:L2271)=0,"",MEDIAN(J2271:L2271))</f>
        <v/>
      </c>
      <c r="N2271" s="26">
        <f>IF(COUNTIFS($C:$C,$C2271,$D:$D,$D2271,$E:$E,"P0(전)",$M:$M,"&gt;0")&lt;&gt;1,"P0(전) 유효 1개 아님",IF(COUNTIFS($C:$C,$C2271,$D:$D,$D2271,$E:$E,"P0(후)",$M:$M,"&gt;0")&lt;&gt;1,"P0(후) 유효 1개 아님",IF(NOT(AND(ISNUMBER(O2271),ISNUMBER(Q2271),ISNUMBER(I2271))),"시각 결측",IF(Q2271&lt;=O2271,"P0 시각 역전",IF(OR(I2271&lt;O2271,I2271&gt;Q2271),"측정시각 구간 밖","OK")))))</f>
        <v/>
      </c>
      <c r="O2271" s="48">
        <f>IF(COUNTIFS($C:$C,$C2271,$D:$D,$D2271,$E:$E,"P0(전)",$M:$M,"&gt;0")&lt;&gt;1,"",SUMIFS($I:$I,$C:$C,$C2271,$D:$D,$D2271,$E:$E,"P0(전)"))</f>
        <v/>
      </c>
      <c r="P2271" s="31">
        <f>IF(COUNTIFS($C:$C,$C2271,$D:$D,$D2271,$E:$E,"P0(전)",$M:$M,"&gt;0")&lt;&gt;1,"",SUMIFS($M:$M,$C:$C,$C2271,$D:$D,$D2271,$E:$E,"P0(전)"))</f>
        <v/>
      </c>
      <c r="Q2271" s="48">
        <f>IF(COUNTIFS($C:$C,$C2271,$D:$D,$D2271,$E:$E,"P0(후)",$M:$M,"&gt;0")&lt;&gt;1,"",SUMIFS($I:$I,$C:$C,$C2271,$D:$D,$D2271,$E:$E,"P0(후)"))</f>
        <v/>
      </c>
      <c r="R2271" s="31">
        <f>IF(COUNTIFS($C:$C,$C2271,$D:$D,$D2271,$E:$E,"P0(후)",$M:$M,"&gt;0")&lt;&gt;1,"",SUMIFS($M:$M,$C:$C,$C2271,$D:$D,$D2271,$E:$E,"P0(후)"))</f>
        <v/>
      </c>
      <c r="S2271" s="31">
        <f>IF(N2271&lt;&gt;"OK","",P2271+(R2271-P2271)*(I2271-O2271)/(Q2271-O2271))</f>
        <v/>
      </c>
      <c r="T2271" s="31">
        <f>IF(OR(N2271&lt;&gt;"OK",NOT(ISNUMBER(M2271))),"",M2271-S2271)</f>
        <v/>
      </c>
      <c r="U2271" s="49">
        <f>IF(OR(NOT(ISNUMBER(T2271)),IF(ISNUMBER(H2271),H2271,G2271)=0),"",T2271/IF(ISNUMBER(H2271),H2271,G2271))</f>
        <v/>
      </c>
      <c r="V2271" s="49">
        <f>IF(ISNUMBER(U2271),ABS(U2271),"")</f>
        <v/>
      </c>
      <c r="W2271" s="49">
        <f>IF(OR($E2270&lt;&gt;"측정",$C2270&lt;&gt;$C2271,$D2270&lt;&gt;$D2271,NOT(ISNUMBER(M2271)),NOT(ISNUMBER(M2270)),(IF(ISNUMBER(H2271),H2271,G2271)-IF(ISNUMBER(H2270),H2270,G2270))=0),"",(M2271-M2270)/(IF(ISNUMBER(H2271),H2271,G2271)-IF(ISNUMBER(H2270),H2270,G2270)))</f>
        <v/>
      </c>
      <c r="X2271" s="31">
        <f>IF(NOT(AND(ISNUMBER(O2271),ISNUMBER(Q2271))),"",(Q2271-O2271)*1440)</f>
        <v/>
      </c>
      <c r="Y2271" s="29" t="n"/>
      <c r="Z2271" s="29" t="n"/>
      <c r="AA2271" s="29" t="n"/>
      <c r="AB2271" s="32" t="n"/>
      <c r="AC2271" s="32" t="n"/>
    </row>
    <row r="2272">
      <c r="A2272" s="26" t="inlineStr">
        <is>
          <t>S44</t>
        </is>
      </c>
      <c r="B2272" s="26" t="inlineStr">
        <is>
          <t>성산</t>
        </is>
      </c>
      <c r="C2272" s="26" t="inlineStr">
        <is>
          <t>S44-H남</t>
        </is>
      </c>
      <c r="D2272" s="47" t="n">
        <v>1</v>
      </c>
      <c r="E2272" s="26" t="inlineStr">
        <is>
          <t>측정</t>
        </is>
      </c>
      <c r="F2272" s="26" t="inlineStr">
        <is>
          <t>남</t>
        </is>
      </c>
      <c r="G2272" s="31" t="n">
        <v>3</v>
      </c>
      <c r="H2272" s="30" t="n"/>
      <c r="I2272" s="43" t="n"/>
      <c r="J2272" s="41" t="n"/>
      <c r="K2272" s="41" t="n"/>
      <c r="L2272" s="41" t="n"/>
      <c r="M2272" s="31">
        <f>IF(COUNT(J2272:L2272)=0,"",MEDIAN(J2272:L2272))</f>
        <v/>
      </c>
      <c r="N2272" s="26">
        <f>IF(COUNTIFS($C:$C,$C2272,$D:$D,$D2272,$E:$E,"P0(전)",$M:$M,"&gt;0")&lt;&gt;1,"P0(전) 유효 1개 아님",IF(COUNTIFS($C:$C,$C2272,$D:$D,$D2272,$E:$E,"P0(후)",$M:$M,"&gt;0")&lt;&gt;1,"P0(후) 유효 1개 아님",IF(NOT(AND(ISNUMBER(O2272),ISNUMBER(Q2272),ISNUMBER(I2272))),"시각 결측",IF(Q2272&lt;=O2272,"P0 시각 역전",IF(OR(I2272&lt;O2272,I2272&gt;Q2272),"측정시각 구간 밖","OK")))))</f>
        <v/>
      </c>
      <c r="O2272" s="48">
        <f>IF(COUNTIFS($C:$C,$C2272,$D:$D,$D2272,$E:$E,"P0(전)",$M:$M,"&gt;0")&lt;&gt;1,"",SUMIFS($I:$I,$C:$C,$C2272,$D:$D,$D2272,$E:$E,"P0(전)"))</f>
        <v/>
      </c>
      <c r="P2272" s="31">
        <f>IF(COUNTIFS($C:$C,$C2272,$D:$D,$D2272,$E:$E,"P0(전)",$M:$M,"&gt;0")&lt;&gt;1,"",SUMIFS($M:$M,$C:$C,$C2272,$D:$D,$D2272,$E:$E,"P0(전)"))</f>
        <v/>
      </c>
      <c r="Q2272" s="48">
        <f>IF(COUNTIFS($C:$C,$C2272,$D:$D,$D2272,$E:$E,"P0(후)",$M:$M,"&gt;0")&lt;&gt;1,"",SUMIFS($I:$I,$C:$C,$C2272,$D:$D,$D2272,$E:$E,"P0(후)"))</f>
        <v/>
      </c>
      <c r="R2272" s="31">
        <f>IF(COUNTIFS($C:$C,$C2272,$D:$D,$D2272,$E:$E,"P0(후)",$M:$M,"&gt;0")&lt;&gt;1,"",SUMIFS($M:$M,$C:$C,$C2272,$D:$D,$D2272,$E:$E,"P0(후)"))</f>
        <v/>
      </c>
      <c r="S2272" s="31">
        <f>IF(N2272&lt;&gt;"OK","",P2272+(R2272-P2272)*(I2272-O2272)/(Q2272-O2272))</f>
        <v/>
      </c>
      <c r="T2272" s="31">
        <f>IF(OR(N2272&lt;&gt;"OK",NOT(ISNUMBER(M2272))),"",M2272-S2272)</f>
        <v/>
      </c>
      <c r="U2272" s="49">
        <f>IF(OR(NOT(ISNUMBER(T2272)),IF(ISNUMBER(H2272),H2272,G2272)=0),"",T2272/IF(ISNUMBER(H2272),H2272,G2272))</f>
        <v/>
      </c>
      <c r="V2272" s="49">
        <f>IF(ISNUMBER(U2272),ABS(U2272),"")</f>
        <v/>
      </c>
      <c r="W2272" s="49">
        <f>IF(OR($E2271&lt;&gt;"측정",$C2271&lt;&gt;$C2272,$D2271&lt;&gt;$D2272,NOT(ISNUMBER(M2272)),NOT(ISNUMBER(M2271)),(IF(ISNUMBER(H2272),H2272,G2272)-IF(ISNUMBER(H2271),H2271,G2271))=0),"",(M2272-M2271)/(IF(ISNUMBER(H2272),H2272,G2272)-IF(ISNUMBER(H2271),H2271,G2271)))</f>
        <v/>
      </c>
      <c r="X2272" s="31">
        <f>IF(NOT(AND(ISNUMBER(O2272),ISNUMBER(Q2272))),"",(Q2272-O2272)*1440)</f>
        <v/>
      </c>
      <c r="Y2272" s="29" t="n"/>
      <c r="Z2272" s="29" t="n"/>
      <c r="AA2272" s="29" t="n"/>
      <c r="AB2272" s="32" t="n"/>
      <c r="AC2272" s="32" t="n"/>
    </row>
    <row r="2273">
      <c r="A2273" s="26" t="inlineStr">
        <is>
          <t>S44</t>
        </is>
      </c>
      <c r="B2273" s="26" t="inlineStr">
        <is>
          <t>성산</t>
        </is>
      </c>
      <c r="C2273" s="26" t="inlineStr">
        <is>
          <t>S44-H남</t>
        </is>
      </c>
      <c r="D2273" s="47" t="n">
        <v>1</v>
      </c>
      <c r="E2273" s="26" t="inlineStr">
        <is>
          <t>측정</t>
        </is>
      </c>
      <c r="F2273" s="26" t="inlineStr">
        <is>
          <t>남</t>
        </is>
      </c>
      <c r="G2273" s="31" t="n">
        <v>4</v>
      </c>
      <c r="H2273" s="30" t="n"/>
      <c r="I2273" s="43" t="n"/>
      <c r="J2273" s="41" t="n"/>
      <c r="K2273" s="41" t="n"/>
      <c r="L2273" s="41" t="n"/>
      <c r="M2273" s="31">
        <f>IF(COUNT(J2273:L2273)=0,"",MEDIAN(J2273:L2273))</f>
        <v/>
      </c>
      <c r="N2273" s="26">
        <f>IF(COUNTIFS($C:$C,$C2273,$D:$D,$D2273,$E:$E,"P0(전)",$M:$M,"&gt;0")&lt;&gt;1,"P0(전) 유효 1개 아님",IF(COUNTIFS($C:$C,$C2273,$D:$D,$D2273,$E:$E,"P0(후)",$M:$M,"&gt;0")&lt;&gt;1,"P0(후) 유효 1개 아님",IF(NOT(AND(ISNUMBER(O2273),ISNUMBER(Q2273),ISNUMBER(I2273))),"시각 결측",IF(Q2273&lt;=O2273,"P0 시각 역전",IF(OR(I2273&lt;O2273,I2273&gt;Q2273),"측정시각 구간 밖","OK")))))</f>
        <v/>
      </c>
      <c r="O2273" s="48">
        <f>IF(COUNTIFS($C:$C,$C2273,$D:$D,$D2273,$E:$E,"P0(전)",$M:$M,"&gt;0")&lt;&gt;1,"",SUMIFS($I:$I,$C:$C,$C2273,$D:$D,$D2273,$E:$E,"P0(전)"))</f>
        <v/>
      </c>
      <c r="P2273" s="31">
        <f>IF(COUNTIFS($C:$C,$C2273,$D:$D,$D2273,$E:$E,"P0(전)",$M:$M,"&gt;0")&lt;&gt;1,"",SUMIFS($M:$M,$C:$C,$C2273,$D:$D,$D2273,$E:$E,"P0(전)"))</f>
        <v/>
      </c>
      <c r="Q2273" s="48">
        <f>IF(COUNTIFS($C:$C,$C2273,$D:$D,$D2273,$E:$E,"P0(후)",$M:$M,"&gt;0")&lt;&gt;1,"",SUMIFS($I:$I,$C:$C,$C2273,$D:$D,$D2273,$E:$E,"P0(후)"))</f>
        <v/>
      </c>
      <c r="R2273" s="31">
        <f>IF(COUNTIFS($C:$C,$C2273,$D:$D,$D2273,$E:$E,"P0(후)",$M:$M,"&gt;0")&lt;&gt;1,"",SUMIFS($M:$M,$C:$C,$C2273,$D:$D,$D2273,$E:$E,"P0(후)"))</f>
        <v/>
      </c>
      <c r="S2273" s="31">
        <f>IF(N2273&lt;&gt;"OK","",P2273+(R2273-P2273)*(I2273-O2273)/(Q2273-O2273))</f>
        <v/>
      </c>
      <c r="T2273" s="31">
        <f>IF(OR(N2273&lt;&gt;"OK",NOT(ISNUMBER(M2273))),"",M2273-S2273)</f>
        <v/>
      </c>
      <c r="U2273" s="49">
        <f>IF(OR(NOT(ISNUMBER(T2273)),IF(ISNUMBER(H2273),H2273,G2273)=0),"",T2273/IF(ISNUMBER(H2273),H2273,G2273))</f>
        <v/>
      </c>
      <c r="V2273" s="49">
        <f>IF(ISNUMBER(U2273),ABS(U2273),"")</f>
        <v/>
      </c>
      <c r="W2273" s="49">
        <f>IF(OR($E2272&lt;&gt;"측정",$C2272&lt;&gt;$C2273,$D2272&lt;&gt;$D2273,NOT(ISNUMBER(M2273)),NOT(ISNUMBER(M2272)),(IF(ISNUMBER(H2273),H2273,G2273)-IF(ISNUMBER(H2272),H2272,G2272))=0),"",(M2273-M2272)/(IF(ISNUMBER(H2273),H2273,G2273)-IF(ISNUMBER(H2272),H2272,G2272)))</f>
        <v/>
      </c>
      <c r="X2273" s="31">
        <f>IF(NOT(AND(ISNUMBER(O2273),ISNUMBER(Q2273))),"",(Q2273-O2273)*1440)</f>
        <v/>
      </c>
      <c r="Y2273" s="29" t="n"/>
      <c r="Z2273" s="29" t="n"/>
      <c r="AA2273" s="29" t="n"/>
      <c r="AB2273" s="32" t="n"/>
      <c r="AC2273" s="32" t="n"/>
    </row>
    <row r="2274">
      <c r="A2274" s="26" t="inlineStr">
        <is>
          <t>S44</t>
        </is>
      </c>
      <c r="B2274" s="26" t="inlineStr">
        <is>
          <t>성산</t>
        </is>
      </c>
      <c r="C2274" s="26" t="inlineStr">
        <is>
          <t>S44-H남</t>
        </is>
      </c>
      <c r="D2274" s="47" t="n">
        <v>1</v>
      </c>
      <c r="E2274" s="26" t="inlineStr">
        <is>
          <t>측정</t>
        </is>
      </c>
      <c r="F2274" s="26" t="inlineStr">
        <is>
          <t>남</t>
        </is>
      </c>
      <c r="G2274" s="31" t="n">
        <v>5</v>
      </c>
      <c r="H2274" s="30" t="n"/>
      <c r="I2274" s="43" t="n"/>
      <c r="J2274" s="41" t="n"/>
      <c r="K2274" s="41" t="n"/>
      <c r="L2274" s="41" t="n"/>
      <c r="M2274" s="31">
        <f>IF(COUNT(J2274:L2274)=0,"",MEDIAN(J2274:L2274))</f>
        <v/>
      </c>
      <c r="N2274" s="26">
        <f>IF(COUNTIFS($C:$C,$C2274,$D:$D,$D2274,$E:$E,"P0(전)",$M:$M,"&gt;0")&lt;&gt;1,"P0(전) 유효 1개 아님",IF(COUNTIFS($C:$C,$C2274,$D:$D,$D2274,$E:$E,"P0(후)",$M:$M,"&gt;0")&lt;&gt;1,"P0(후) 유효 1개 아님",IF(NOT(AND(ISNUMBER(O2274),ISNUMBER(Q2274),ISNUMBER(I2274))),"시각 결측",IF(Q2274&lt;=O2274,"P0 시각 역전",IF(OR(I2274&lt;O2274,I2274&gt;Q2274),"측정시각 구간 밖","OK")))))</f>
        <v/>
      </c>
      <c r="O2274" s="48">
        <f>IF(COUNTIFS($C:$C,$C2274,$D:$D,$D2274,$E:$E,"P0(전)",$M:$M,"&gt;0")&lt;&gt;1,"",SUMIFS($I:$I,$C:$C,$C2274,$D:$D,$D2274,$E:$E,"P0(전)"))</f>
        <v/>
      </c>
      <c r="P2274" s="31">
        <f>IF(COUNTIFS($C:$C,$C2274,$D:$D,$D2274,$E:$E,"P0(전)",$M:$M,"&gt;0")&lt;&gt;1,"",SUMIFS($M:$M,$C:$C,$C2274,$D:$D,$D2274,$E:$E,"P0(전)"))</f>
        <v/>
      </c>
      <c r="Q2274" s="48">
        <f>IF(COUNTIFS($C:$C,$C2274,$D:$D,$D2274,$E:$E,"P0(후)",$M:$M,"&gt;0")&lt;&gt;1,"",SUMIFS($I:$I,$C:$C,$C2274,$D:$D,$D2274,$E:$E,"P0(후)"))</f>
        <v/>
      </c>
      <c r="R2274" s="31">
        <f>IF(COUNTIFS($C:$C,$C2274,$D:$D,$D2274,$E:$E,"P0(후)",$M:$M,"&gt;0")&lt;&gt;1,"",SUMIFS($M:$M,$C:$C,$C2274,$D:$D,$D2274,$E:$E,"P0(후)"))</f>
        <v/>
      </c>
      <c r="S2274" s="31">
        <f>IF(N2274&lt;&gt;"OK","",P2274+(R2274-P2274)*(I2274-O2274)/(Q2274-O2274))</f>
        <v/>
      </c>
      <c r="T2274" s="31">
        <f>IF(OR(N2274&lt;&gt;"OK",NOT(ISNUMBER(M2274))),"",M2274-S2274)</f>
        <v/>
      </c>
      <c r="U2274" s="49">
        <f>IF(OR(NOT(ISNUMBER(T2274)),IF(ISNUMBER(H2274),H2274,G2274)=0),"",T2274/IF(ISNUMBER(H2274),H2274,G2274))</f>
        <v/>
      </c>
      <c r="V2274" s="49">
        <f>IF(ISNUMBER(U2274),ABS(U2274),"")</f>
        <v/>
      </c>
      <c r="W2274" s="49">
        <f>IF(OR($E2273&lt;&gt;"측정",$C2273&lt;&gt;$C2274,$D2273&lt;&gt;$D2274,NOT(ISNUMBER(M2274)),NOT(ISNUMBER(M2273)),(IF(ISNUMBER(H2274),H2274,G2274)-IF(ISNUMBER(H2273),H2273,G2273))=0),"",(M2274-M2273)/(IF(ISNUMBER(H2274),H2274,G2274)-IF(ISNUMBER(H2273),H2273,G2273)))</f>
        <v/>
      </c>
      <c r="X2274" s="31">
        <f>IF(NOT(AND(ISNUMBER(O2274),ISNUMBER(Q2274))),"",(Q2274-O2274)*1440)</f>
        <v/>
      </c>
      <c r="Y2274" s="29" t="n"/>
      <c r="Z2274" s="29" t="n"/>
      <c r="AA2274" s="29" t="n"/>
      <c r="AB2274" s="32" t="n"/>
      <c r="AC2274" s="32" t="n"/>
    </row>
    <row r="2275">
      <c r="A2275" s="26" t="inlineStr">
        <is>
          <t>S44</t>
        </is>
      </c>
      <c r="B2275" s="26" t="inlineStr">
        <is>
          <t>성산</t>
        </is>
      </c>
      <c r="C2275" s="26" t="inlineStr">
        <is>
          <t>S44-H남</t>
        </is>
      </c>
      <c r="D2275" s="47" t="n">
        <v>1</v>
      </c>
      <c r="E2275" s="26" t="inlineStr">
        <is>
          <t>측정</t>
        </is>
      </c>
      <c r="F2275" s="26" t="inlineStr">
        <is>
          <t>남</t>
        </is>
      </c>
      <c r="G2275" s="31" t="n">
        <v>6</v>
      </c>
      <c r="H2275" s="30" t="n"/>
      <c r="I2275" s="43" t="n"/>
      <c r="J2275" s="41" t="n"/>
      <c r="K2275" s="41" t="n"/>
      <c r="L2275" s="41" t="n"/>
      <c r="M2275" s="31">
        <f>IF(COUNT(J2275:L2275)=0,"",MEDIAN(J2275:L2275))</f>
        <v/>
      </c>
      <c r="N2275" s="26">
        <f>IF(COUNTIFS($C:$C,$C2275,$D:$D,$D2275,$E:$E,"P0(전)",$M:$M,"&gt;0")&lt;&gt;1,"P0(전) 유효 1개 아님",IF(COUNTIFS($C:$C,$C2275,$D:$D,$D2275,$E:$E,"P0(후)",$M:$M,"&gt;0")&lt;&gt;1,"P0(후) 유효 1개 아님",IF(NOT(AND(ISNUMBER(O2275),ISNUMBER(Q2275),ISNUMBER(I2275))),"시각 결측",IF(Q2275&lt;=O2275,"P0 시각 역전",IF(OR(I2275&lt;O2275,I2275&gt;Q2275),"측정시각 구간 밖","OK")))))</f>
        <v/>
      </c>
      <c r="O2275" s="48">
        <f>IF(COUNTIFS($C:$C,$C2275,$D:$D,$D2275,$E:$E,"P0(전)",$M:$M,"&gt;0")&lt;&gt;1,"",SUMIFS($I:$I,$C:$C,$C2275,$D:$D,$D2275,$E:$E,"P0(전)"))</f>
        <v/>
      </c>
      <c r="P2275" s="31">
        <f>IF(COUNTIFS($C:$C,$C2275,$D:$D,$D2275,$E:$E,"P0(전)",$M:$M,"&gt;0")&lt;&gt;1,"",SUMIFS($M:$M,$C:$C,$C2275,$D:$D,$D2275,$E:$E,"P0(전)"))</f>
        <v/>
      </c>
      <c r="Q2275" s="48">
        <f>IF(COUNTIFS($C:$C,$C2275,$D:$D,$D2275,$E:$E,"P0(후)",$M:$M,"&gt;0")&lt;&gt;1,"",SUMIFS($I:$I,$C:$C,$C2275,$D:$D,$D2275,$E:$E,"P0(후)"))</f>
        <v/>
      </c>
      <c r="R2275" s="31">
        <f>IF(COUNTIFS($C:$C,$C2275,$D:$D,$D2275,$E:$E,"P0(후)",$M:$M,"&gt;0")&lt;&gt;1,"",SUMIFS($M:$M,$C:$C,$C2275,$D:$D,$D2275,$E:$E,"P0(후)"))</f>
        <v/>
      </c>
      <c r="S2275" s="31">
        <f>IF(N2275&lt;&gt;"OK","",P2275+(R2275-P2275)*(I2275-O2275)/(Q2275-O2275))</f>
        <v/>
      </c>
      <c r="T2275" s="31">
        <f>IF(OR(N2275&lt;&gt;"OK",NOT(ISNUMBER(M2275))),"",M2275-S2275)</f>
        <v/>
      </c>
      <c r="U2275" s="49">
        <f>IF(OR(NOT(ISNUMBER(T2275)),IF(ISNUMBER(H2275),H2275,G2275)=0),"",T2275/IF(ISNUMBER(H2275),H2275,G2275))</f>
        <v/>
      </c>
      <c r="V2275" s="49">
        <f>IF(ISNUMBER(U2275),ABS(U2275),"")</f>
        <v/>
      </c>
      <c r="W2275" s="49">
        <f>IF(OR($E2274&lt;&gt;"측정",$C2274&lt;&gt;$C2275,$D2274&lt;&gt;$D2275,NOT(ISNUMBER(M2275)),NOT(ISNUMBER(M2274)),(IF(ISNUMBER(H2275),H2275,G2275)-IF(ISNUMBER(H2274),H2274,G2274))=0),"",(M2275-M2274)/(IF(ISNUMBER(H2275),H2275,G2275)-IF(ISNUMBER(H2274),H2274,G2274)))</f>
        <v/>
      </c>
      <c r="X2275" s="31">
        <f>IF(NOT(AND(ISNUMBER(O2275),ISNUMBER(Q2275))),"",(Q2275-O2275)*1440)</f>
        <v/>
      </c>
      <c r="Y2275" s="29" t="n"/>
      <c r="Z2275" s="29" t="n"/>
      <c r="AA2275" s="29" t="n"/>
      <c r="AB2275" s="32" t="n"/>
      <c r="AC2275" s="32" t="n"/>
    </row>
    <row r="2276">
      <c r="A2276" s="26" t="inlineStr">
        <is>
          <t>S44</t>
        </is>
      </c>
      <c r="B2276" s="26" t="inlineStr">
        <is>
          <t>성산</t>
        </is>
      </c>
      <c r="C2276" s="26" t="inlineStr">
        <is>
          <t>S44-H남</t>
        </is>
      </c>
      <c r="D2276" s="47" t="n">
        <v>1</v>
      </c>
      <c r="E2276" s="26" t="inlineStr">
        <is>
          <t>측정</t>
        </is>
      </c>
      <c r="F2276" s="26" t="inlineStr">
        <is>
          <t>남</t>
        </is>
      </c>
      <c r="G2276" s="31" t="n">
        <v>7</v>
      </c>
      <c r="H2276" s="30" t="n"/>
      <c r="I2276" s="43" t="n"/>
      <c r="J2276" s="41" t="n"/>
      <c r="K2276" s="41" t="n"/>
      <c r="L2276" s="41" t="n"/>
      <c r="M2276" s="31">
        <f>IF(COUNT(J2276:L2276)=0,"",MEDIAN(J2276:L2276))</f>
        <v/>
      </c>
      <c r="N2276" s="26">
        <f>IF(COUNTIFS($C:$C,$C2276,$D:$D,$D2276,$E:$E,"P0(전)",$M:$M,"&gt;0")&lt;&gt;1,"P0(전) 유효 1개 아님",IF(COUNTIFS($C:$C,$C2276,$D:$D,$D2276,$E:$E,"P0(후)",$M:$M,"&gt;0")&lt;&gt;1,"P0(후) 유효 1개 아님",IF(NOT(AND(ISNUMBER(O2276),ISNUMBER(Q2276),ISNUMBER(I2276))),"시각 결측",IF(Q2276&lt;=O2276,"P0 시각 역전",IF(OR(I2276&lt;O2276,I2276&gt;Q2276),"측정시각 구간 밖","OK")))))</f>
        <v/>
      </c>
      <c r="O2276" s="48">
        <f>IF(COUNTIFS($C:$C,$C2276,$D:$D,$D2276,$E:$E,"P0(전)",$M:$M,"&gt;0")&lt;&gt;1,"",SUMIFS($I:$I,$C:$C,$C2276,$D:$D,$D2276,$E:$E,"P0(전)"))</f>
        <v/>
      </c>
      <c r="P2276" s="31">
        <f>IF(COUNTIFS($C:$C,$C2276,$D:$D,$D2276,$E:$E,"P0(전)",$M:$M,"&gt;0")&lt;&gt;1,"",SUMIFS($M:$M,$C:$C,$C2276,$D:$D,$D2276,$E:$E,"P0(전)"))</f>
        <v/>
      </c>
      <c r="Q2276" s="48">
        <f>IF(COUNTIFS($C:$C,$C2276,$D:$D,$D2276,$E:$E,"P0(후)",$M:$M,"&gt;0")&lt;&gt;1,"",SUMIFS($I:$I,$C:$C,$C2276,$D:$D,$D2276,$E:$E,"P0(후)"))</f>
        <v/>
      </c>
      <c r="R2276" s="31">
        <f>IF(COUNTIFS($C:$C,$C2276,$D:$D,$D2276,$E:$E,"P0(후)",$M:$M,"&gt;0")&lt;&gt;1,"",SUMIFS($M:$M,$C:$C,$C2276,$D:$D,$D2276,$E:$E,"P0(후)"))</f>
        <v/>
      </c>
      <c r="S2276" s="31">
        <f>IF(N2276&lt;&gt;"OK","",P2276+(R2276-P2276)*(I2276-O2276)/(Q2276-O2276))</f>
        <v/>
      </c>
      <c r="T2276" s="31">
        <f>IF(OR(N2276&lt;&gt;"OK",NOT(ISNUMBER(M2276))),"",M2276-S2276)</f>
        <v/>
      </c>
      <c r="U2276" s="49">
        <f>IF(OR(NOT(ISNUMBER(T2276)),IF(ISNUMBER(H2276),H2276,G2276)=0),"",T2276/IF(ISNUMBER(H2276),H2276,G2276))</f>
        <v/>
      </c>
      <c r="V2276" s="49">
        <f>IF(ISNUMBER(U2276),ABS(U2276),"")</f>
        <v/>
      </c>
      <c r="W2276" s="49">
        <f>IF(OR($E2275&lt;&gt;"측정",$C2275&lt;&gt;$C2276,$D2275&lt;&gt;$D2276,NOT(ISNUMBER(M2276)),NOT(ISNUMBER(M2275)),(IF(ISNUMBER(H2276),H2276,G2276)-IF(ISNUMBER(H2275),H2275,G2275))=0),"",(M2276-M2275)/(IF(ISNUMBER(H2276),H2276,G2276)-IF(ISNUMBER(H2275),H2275,G2275)))</f>
        <v/>
      </c>
      <c r="X2276" s="31">
        <f>IF(NOT(AND(ISNUMBER(O2276),ISNUMBER(Q2276))),"",(Q2276-O2276)*1440)</f>
        <v/>
      </c>
      <c r="Y2276" s="29" t="n"/>
      <c r="Z2276" s="29" t="n"/>
      <c r="AA2276" s="29" t="n"/>
      <c r="AB2276" s="32" t="n"/>
      <c r="AC2276" s="32" t="n"/>
    </row>
    <row r="2277">
      <c r="A2277" s="26" t="inlineStr">
        <is>
          <t>S44</t>
        </is>
      </c>
      <c r="B2277" s="26" t="inlineStr">
        <is>
          <t>성산</t>
        </is>
      </c>
      <c r="C2277" s="26" t="inlineStr">
        <is>
          <t>S44-H남</t>
        </is>
      </c>
      <c r="D2277" s="47" t="n">
        <v>1</v>
      </c>
      <c r="E2277" s="26" t="inlineStr">
        <is>
          <t>측정</t>
        </is>
      </c>
      <c r="F2277" s="26" t="inlineStr">
        <is>
          <t>남</t>
        </is>
      </c>
      <c r="G2277" s="31" t="n">
        <v>8</v>
      </c>
      <c r="H2277" s="30" t="n"/>
      <c r="I2277" s="43" t="n"/>
      <c r="J2277" s="41" t="n"/>
      <c r="K2277" s="41" t="n"/>
      <c r="L2277" s="41" t="n"/>
      <c r="M2277" s="31">
        <f>IF(COUNT(J2277:L2277)=0,"",MEDIAN(J2277:L2277))</f>
        <v/>
      </c>
      <c r="N2277" s="26">
        <f>IF(COUNTIFS($C:$C,$C2277,$D:$D,$D2277,$E:$E,"P0(전)",$M:$M,"&gt;0")&lt;&gt;1,"P0(전) 유효 1개 아님",IF(COUNTIFS($C:$C,$C2277,$D:$D,$D2277,$E:$E,"P0(후)",$M:$M,"&gt;0")&lt;&gt;1,"P0(후) 유효 1개 아님",IF(NOT(AND(ISNUMBER(O2277),ISNUMBER(Q2277),ISNUMBER(I2277))),"시각 결측",IF(Q2277&lt;=O2277,"P0 시각 역전",IF(OR(I2277&lt;O2277,I2277&gt;Q2277),"측정시각 구간 밖","OK")))))</f>
        <v/>
      </c>
      <c r="O2277" s="48">
        <f>IF(COUNTIFS($C:$C,$C2277,$D:$D,$D2277,$E:$E,"P0(전)",$M:$M,"&gt;0")&lt;&gt;1,"",SUMIFS($I:$I,$C:$C,$C2277,$D:$D,$D2277,$E:$E,"P0(전)"))</f>
        <v/>
      </c>
      <c r="P2277" s="31">
        <f>IF(COUNTIFS($C:$C,$C2277,$D:$D,$D2277,$E:$E,"P0(전)",$M:$M,"&gt;0")&lt;&gt;1,"",SUMIFS($M:$M,$C:$C,$C2277,$D:$D,$D2277,$E:$E,"P0(전)"))</f>
        <v/>
      </c>
      <c r="Q2277" s="48">
        <f>IF(COUNTIFS($C:$C,$C2277,$D:$D,$D2277,$E:$E,"P0(후)",$M:$M,"&gt;0")&lt;&gt;1,"",SUMIFS($I:$I,$C:$C,$C2277,$D:$D,$D2277,$E:$E,"P0(후)"))</f>
        <v/>
      </c>
      <c r="R2277" s="31">
        <f>IF(COUNTIFS($C:$C,$C2277,$D:$D,$D2277,$E:$E,"P0(후)",$M:$M,"&gt;0")&lt;&gt;1,"",SUMIFS($M:$M,$C:$C,$C2277,$D:$D,$D2277,$E:$E,"P0(후)"))</f>
        <v/>
      </c>
      <c r="S2277" s="31">
        <f>IF(N2277&lt;&gt;"OK","",P2277+(R2277-P2277)*(I2277-O2277)/(Q2277-O2277))</f>
        <v/>
      </c>
      <c r="T2277" s="31">
        <f>IF(OR(N2277&lt;&gt;"OK",NOT(ISNUMBER(M2277))),"",M2277-S2277)</f>
        <v/>
      </c>
      <c r="U2277" s="49">
        <f>IF(OR(NOT(ISNUMBER(T2277)),IF(ISNUMBER(H2277),H2277,G2277)=0),"",T2277/IF(ISNUMBER(H2277),H2277,G2277))</f>
        <v/>
      </c>
      <c r="V2277" s="49">
        <f>IF(ISNUMBER(U2277),ABS(U2277),"")</f>
        <v/>
      </c>
      <c r="W2277" s="49">
        <f>IF(OR($E2276&lt;&gt;"측정",$C2276&lt;&gt;$C2277,$D2276&lt;&gt;$D2277,NOT(ISNUMBER(M2277)),NOT(ISNUMBER(M2276)),(IF(ISNUMBER(H2277),H2277,G2277)-IF(ISNUMBER(H2276),H2276,G2276))=0),"",(M2277-M2276)/(IF(ISNUMBER(H2277),H2277,G2277)-IF(ISNUMBER(H2276),H2276,G2276)))</f>
        <v/>
      </c>
      <c r="X2277" s="31">
        <f>IF(NOT(AND(ISNUMBER(O2277),ISNUMBER(Q2277))),"",(Q2277-O2277)*1440)</f>
        <v/>
      </c>
      <c r="Y2277" s="29" t="n"/>
      <c r="Z2277" s="29" t="n"/>
      <c r="AA2277" s="29" t="n"/>
      <c r="AB2277" s="32" t="n"/>
      <c r="AC2277" s="32" t="n"/>
    </row>
    <row r="2278">
      <c r="A2278" s="26" t="inlineStr">
        <is>
          <t>S44</t>
        </is>
      </c>
      <c r="B2278" s="26" t="inlineStr">
        <is>
          <t>성산</t>
        </is>
      </c>
      <c r="C2278" s="26" t="inlineStr">
        <is>
          <t>S44-H남</t>
        </is>
      </c>
      <c r="D2278" s="47" t="n">
        <v>1</v>
      </c>
      <c r="E2278" s="26" t="inlineStr">
        <is>
          <t>측정</t>
        </is>
      </c>
      <c r="F2278" s="26" t="inlineStr">
        <is>
          <t>남</t>
        </is>
      </c>
      <c r="G2278" s="31" t="n">
        <v>9</v>
      </c>
      <c r="H2278" s="30" t="n"/>
      <c r="I2278" s="43" t="n"/>
      <c r="J2278" s="41" t="n"/>
      <c r="K2278" s="41" t="n"/>
      <c r="L2278" s="41" t="n"/>
      <c r="M2278" s="31">
        <f>IF(COUNT(J2278:L2278)=0,"",MEDIAN(J2278:L2278))</f>
        <v/>
      </c>
      <c r="N2278" s="26">
        <f>IF(COUNTIFS($C:$C,$C2278,$D:$D,$D2278,$E:$E,"P0(전)",$M:$M,"&gt;0")&lt;&gt;1,"P0(전) 유효 1개 아님",IF(COUNTIFS($C:$C,$C2278,$D:$D,$D2278,$E:$E,"P0(후)",$M:$M,"&gt;0")&lt;&gt;1,"P0(후) 유효 1개 아님",IF(NOT(AND(ISNUMBER(O2278),ISNUMBER(Q2278),ISNUMBER(I2278))),"시각 결측",IF(Q2278&lt;=O2278,"P0 시각 역전",IF(OR(I2278&lt;O2278,I2278&gt;Q2278),"측정시각 구간 밖","OK")))))</f>
        <v/>
      </c>
      <c r="O2278" s="48">
        <f>IF(COUNTIFS($C:$C,$C2278,$D:$D,$D2278,$E:$E,"P0(전)",$M:$M,"&gt;0")&lt;&gt;1,"",SUMIFS($I:$I,$C:$C,$C2278,$D:$D,$D2278,$E:$E,"P0(전)"))</f>
        <v/>
      </c>
      <c r="P2278" s="31">
        <f>IF(COUNTIFS($C:$C,$C2278,$D:$D,$D2278,$E:$E,"P0(전)",$M:$M,"&gt;0")&lt;&gt;1,"",SUMIFS($M:$M,$C:$C,$C2278,$D:$D,$D2278,$E:$E,"P0(전)"))</f>
        <v/>
      </c>
      <c r="Q2278" s="48">
        <f>IF(COUNTIFS($C:$C,$C2278,$D:$D,$D2278,$E:$E,"P0(후)",$M:$M,"&gt;0")&lt;&gt;1,"",SUMIFS($I:$I,$C:$C,$C2278,$D:$D,$D2278,$E:$E,"P0(후)"))</f>
        <v/>
      </c>
      <c r="R2278" s="31">
        <f>IF(COUNTIFS($C:$C,$C2278,$D:$D,$D2278,$E:$E,"P0(후)",$M:$M,"&gt;0")&lt;&gt;1,"",SUMIFS($M:$M,$C:$C,$C2278,$D:$D,$D2278,$E:$E,"P0(후)"))</f>
        <v/>
      </c>
      <c r="S2278" s="31">
        <f>IF(N2278&lt;&gt;"OK","",P2278+(R2278-P2278)*(I2278-O2278)/(Q2278-O2278))</f>
        <v/>
      </c>
      <c r="T2278" s="31">
        <f>IF(OR(N2278&lt;&gt;"OK",NOT(ISNUMBER(M2278))),"",M2278-S2278)</f>
        <v/>
      </c>
      <c r="U2278" s="49">
        <f>IF(OR(NOT(ISNUMBER(T2278)),IF(ISNUMBER(H2278),H2278,G2278)=0),"",T2278/IF(ISNUMBER(H2278),H2278,G2278))</f>
        <v/>
      </c>
      <c r="V2278" s="49">
        <f>IF(ISNUMBER(U2278),ABS(U2278),"")</f>
        <v/>
      </c>
      <c r="W2278" s="49">
        <f>IF(OR($E2277&lt;&gt;"측정",$C2277&lt;&gt;$C2278,$D2277&lt;&gt;$D2278,NOT(ISNUMBER(M2278)),NOT(ISNUMBER(M2277)),(IF(ISNUMBER(H2278),H2278,G2278)-IF(ISNUMBER(H2277),H2277,G2277))=0),"",(M2278-M2277)/(IF(ISNUMBER(H2278),H2278,G2278)-IF(ISNUMBER(H2277),H2277,G2277)))</f>
        <v/>
      </c>
      <c r="X2278" s="31">
        <f>IF(NOT(AND(ISNUMBER(O2278),ISNUMBER(Q2278))),"",(Q2278-O2278)*1440)</f>
        <v/>
      </c>
      <c r="Y2278" s="29" t="n"/>
      <c r="Z2278" s="29" t="n"/>
      <c r="AA2278" s="29" t="n"/>
      <c r="AB2278" s="32" t="n"/>
      <c r="AC2278" s="32" t="n"/>
    </row>
    <row r="2279">
      <c r="A2279" s="26" t="inlineStr">
        <is>
          <t>S44</t>
        </is>
      </c>
      <c r="B2279" s="26" t="inlineStr">
        <is>
          <t>성산</t>
        </is>
      </c>
      <c r="C2279" s="26" t="inlineStr">
        <is>
          <t>S44-H남</t>
        </is>
      </c>
      <c r="D2279" s="47" t="n">
        <v>1</v>
      </c>
      <c r="E2279" s="26" t="inlineStr">
        <is>
          <t>측정</t>
        </is>
      </c>
      <c r="F2279" s="26" t="inlineStr">
        <is>
          <t>남</t>
        </is>
      </c>
      <c r="G2279" s="31" t="n">
        <v>10</v>
      </c>
      <c r="H2279" s="30" t="n"/>
      <c r="I2279" s="43" t="n"/>
      <c r="J2279" s="41" t="n"/>
      <c r="K2279" s="41" t="n"/>
      <c r="L2279" s="41" t="n"/>
      <c r="M2279" s="31">
        <f>IF(COUNT(J2279:L2279)=0,"",MEDIAN(J2279:L2279))</f>
        <v/>
      </c>
      <c r="N2279" s="26">
        <f>IF(COUNTIFS($C:$C,$C2279,$D:$D,$D2279,$E:$E,"P0(전)",$M:$M,"&gt;0")&lt;&gt;1,"P0(전) 유효 1개 아님",IF(COUNTIFS($C:$C,$C2279,$D:$D,$D2279,$E:$E,"P0(후)",$M:$M,"&gt;0")&lt;&gt;1,"P0(후) 유효 1개 아님",IF(NOT(AND(ISNUMBER(O2279),ISNUMBER(Q2279),ISNUMBER(I2279))),"시각 결측",IF(Q2279&lt;=O2279,"P0 시각 역전",IF(OR(I2279&lt;O2279,I2279&gt;Q2279),"측정시각 구간 밖","OK")))))</f>
        <v/>
      </c>
      <c r="O2279" s="48">
        <f>IF(COUNTIFS($C:$C,$C2279,$D:$D,$D2279,$E:$E,"P0(전)",$M:$M,"&gt;0")&lt;&gt;1,"",SUMIFS($I:$I,$C:$C,$C2279,$D:$D,$D2279,$E:$E,"P0(전)"))</f>
        <v/>
      </c>
      <c r="P2279" s="31">
        <f>IF(COUNTIFS($C:$C,$C2279,$D:$D,$D2279,$E:$E,"P0(전)",$M:$M,"&gt;0")&lt;&gt;1,"",SUMIFS($M:$M,$C:$C,$C2279,$D:$D,$D2279,$E:$E,"P0(전)"))</f>
        <v/>
      </c>
      <c r="Q2279" s="48">
        <f>IF(COUNTIFS($C:$C,$C2279,$D:$D,$D2279,$E:$E,"P0(후)",$M:$M,"&gt;0")&lt;&gt;1,"",SUMIFS($I:$I,$C:$C,$C2279,$D:$D,$D2279,$E:$E,"P0(후)"))</f>
        <v/>
      </c>
      <c r="R2279" s="31">
        <f>IF(COUNTIFS($C:$C,$C2279,$D:$D,$D2279,$E:$E,"P0(후)",$M:$M,"&gt;0")&lt;&gt;1,"",SUMIFS($M:$M,$C:$C,$C2279,$D:$D,$D2279,$E:$E,"P0(후)"))</f>
        <v/>
      </c>
      <c r="S2279" s="31">
        <f>IF(N2279&lt;&gt;"OK","",P2279+(R2279-P2279)*(I2279-O2279)/(Q2279-O2279))</f>
        <v/>
      </c>
      <c r="T2279" s="31">
        <f>IF(OR(N2279&lt;&gt;"OK",NOT(ISNUMBER(M2279))),"",M2279-S2279)</f>
        <v/>
      </c>
      <c r="U2279" s="49">
        <f>IF(OR(NOT(ISNUMBER(T2279)),IF(ISNUMBER(H2279),H2279,G2279)=0),"",T2279/IF(ISNUMBER(H2279),H2279,G2279))</f>
        <v/>
      </c>
      <c r="V2279" s="49">
        <f>IF(ISNUMBER(U2279),ABS(U2279),"")</f>
        <v/>
      </c>
      <c r="W2279" s="49">
        <f>IF(OR($E2278&lt;&gt;"측정",$C2278&lt;&gt;$C2279,$D2278&lt;&gt;$D2279,NOT(ISNUMBER(M2279)),NOT(ISNUMBER(M2278)),(IF(ISNUMBER(H2279),H2279,G2279)-IF(ISNUMBER(H2278),H2278,G2278))=0),"",(M2279-M2278)/(IF(ISNUMBER(H2279),H2279,G2279)-IF(ISNUMBER(H2278),H2278,G2278)))</f>
        <v/>
      </c>
      <c r="X2279" s="31">
        <f>IF(NOT(AND(ISNUMBER(O2279),ISNUMBER(Q2279))),"",(Q2279-O2279)*1440)</f>
        <v/>
      </c>
      <c r="Y2279" s="29" t="n"/>
      <c r="Z2279" s="29" t="n"/>
      <c r="AA2279" s="29" t="n"/>
      <c r="AB2279" s="32" t="n"/>
      <c r="AC2279" s="32" t="n"/>
    </row>
    <row r="2280">
      <c r="A2280" s="44" t="inlineStr">
        <is>
          <t>S44</t>
        </is>
      </c>
      <c r="B2280" s="44" t="inlineStr">
        <is>
          <t>성산</t>
        </is>
      </c>
      <c r="C2280" s="44" t="inlineStr">
        <is>
          <t>S44-H남</t>
        </is>
      </c>
      <c r="D2280" s="45" t="n">
        <v>1</v>
      </c>
      <c r="E2280" s="44" t="inlineStr">
        <is>
          <t>P0(후)</t>
        </is>
      </c>
      <c r="F2280" s="44" t="inlineStr">
        <is>
          <t>남</t>
        </is>
      </c>
      <c r="G2280" s="46" t="n"/>
      <c r="H2280" s="30" t="n"/>
      <c r="I2280" s="43" t="n"/>
      <c r="J2280" s="41" t="n"/>
      <c r="K2280" s="41" t="n"/>
      <c r="L2280" s="41" t="n"/>
      <c r="M2280" s="31">
        <f>IF(COUNT(J2280:L2280)=0,"",MEDIAN(J2280:L2280))</f>
        <v/>
      </c>
      <c r="N2280" s="38" t="n"/>
      <c r="O2280" s="38" t="n"/>
      <c r="P2280" s="38" t="n"/>
      <c r="Q2280" s="38" t="n"/>
      <c r="R2280" s="38" t="n"/>
      <c r="S2280" s="38" t="n"/>
      <c r="T2280" s="38" t="n"/>
      <c r="U2280" s="38" t="n"/>
      <c r="V2280" s="38" t="n"/>
      <c r="W2280" s="38" t="n"/>
      <c r="X2280" s="38" t="n"/>
      <c r="Y2280" s="29" t="n"/>
      <c r="Z2280" s="29" t="n"/>
      <c r="AA2280" s="29" t="n"/>
      <c r="AB2280" s="32" t="n"/>
      <c r="AC2280" s="32" t="n"/>
    </row>
    <row r="2281">
      <c r="A2281" s="44" t="inlineStr">
        <is>
          <t>S44</t>
        </is>
      </c>
      <c r="B2281" s="44" t="inlineStr">
        <is>
          <t>성산</t>
        </is>
      </c>
      <c r="C2281" s="44" t="inlineStr">
        <is>
          <t>S44-H북</t>
        </is>
      </c>
      <c r="D2281" s="45" t="n">
        <v>1</v>
      </c>
      <c r="E2281" s="44" t="inlineStr">
        <is>
          <t>P0(전)</t>
        </is>
      </c>
      <c r="F2281" s="44" t="inlineStr">
        <is>
          <t>북</t>
        </is>
      </c>
      <c r="G2281" s="46" t="n"/>
      <c r="H2281" s="30" t="n"/>
      <c r="I2281" s="43" t="n"/>
      <c r="J2281" s="41" t="n"/>
      <c r="K2281" s="41" t="n"/>
      <c r="L2281" s="41" t="n"/>
      <c r="M2281" s="31">
        <f>IF(COUNT(J2281:L2281)=0,"",MEDIAN(J2281:L2281))</f>
        <v/>
      </c>
      <c r="N2281" s="38" t="n"/>
      <c r="O2281" s="38" t="n"/>
      <c r="P2281" s="38" t="n"/>
      <c r="Q2281" s="38" t="n"/>
      <c r="R2281" s="38" t="n"/>
      <c r="S2281" s="38" t="n"/>
      <c r="T2281" s="38" t="n"/>
      <c r="U2281" s="38" t="n"/>
      <c r="V2281" s="38" t="n"/>
      <c r="W2281" s="38" t="n"/>
      <c r="X2281" s="38" t="n"/>
      <c r="Y2281" s="29" t="n"/>
      <c r="Z2281" s="29" t="n"/>
      <c r="AA2281" s="29" t="n"/>
      <c r="AB2281" s="32" t="n"/>
      <c r="AC2281" s="32" t="n"/>
    </row>
    <row r="2282">
      <c r="A2282" s="26" t="inlineStr">
        <is>
          <t>S44</t>
        </is>
      </c>
      <c r="B2282" s="26" t="inlineStr">
        <is>
          <t>성산</t>
        </is>
      </c>
      <c r="C2282" s="26" t="inlineStr">
        <is>
          <t>S44-H북</t>
        </is>
      </c>
      <c r="D2282" s="47" t="n">
        <v>1</v>
      </c>
      <c r="E2282" s="26" t="inlineStr">
        <is>
          <t>측정</t>
        </is>
      </c>
      <c r="F2282" s="26" t="inlineStr">
        <is>
          <t>북</t>
        </is>
      </c>
      <c r="G2282" s="31" t="n">
        <v>0.5</v>
      </c>
      <c r="H2282" s="30" t="n"/>
      <c r="I2282" s="43" t="n"/>
      <c r="J2282" s="41" t="n"/>
      <c r="K2282" s="41" t="n"/>
      <c r="L2282" s="41" t="n"/>
      <c r="M2282" s="31">
        <f>IF(COUNT(J2282:L2282)=0,"",MEDIAN(J2282:L2282))</f>
        <v/>
      </c>
      <c r="N2282" s="26">
        <f>IF(COUNTIFS($C:$C,$C2282,$D:$D,$D2282,$E:$E,"P0(전)",$M:$M,"&gt;0")&lt;&gt;1,"P0(전) 유효 1개 아님",IF(COUNTIFS($C:$C,$C2282,$D:$D,$D2282,$E:$E,"P0(후)",$M:$M,"&gt;0")&lt;&gt;1,"P0(후) 유효 1개 아님",IF(NOT(AND(ISNUMBER(O2282),ISNUMBER(Q2282),ISNUMBER(I2282))),"시각 결측",IF(Q2282&lt;=O2282,"P0 시각 역전",IF(OR(I2282&lt;O2282,I2282&gt;Q2282),"측정시각 구간 밖","OK")))))</f>
        <v/>
      </c>
      <c r="O2282" s="48">
        <f>IF(COUNTIFS($C:$C,$C2282,$D:$D,$D2282,$E:$E,"P0(전)",$M:$M,"&gt;0")&lt;&gt;1,"",SUMIFS($I:$I,$C:$C,$C2282,$D:$D,$D2282,$E:$E,"P0(전)"))</f>
        <v/>
      </c>
      <c r="P2282" s="31">
        <f>IF(COUNTIFS($C:$C,$C2282,$D:$D,$D2282,$E:$E,"P0(전)",$M:$M,"&gt;0")&lt;&gt;1,"",SUMIFS($M:$M,$C:$C,$C2282,$D:$D,$D2282,$E:$E,"P0(전)"))</f>
        <v/>
      </c>
      <c r="Q2282" s="48">
        <f>IF(COUNTIFS($C:$C,$C2282,$D:$D,$D2282,$E:$E,"P0(후)",$M:$M,"&gt;0")&lt;&gt;1,"",SUMIFS($I:$I,$C:$C,$C2282,$D:$D,$D2282,$E:$E,"P0(후)"))</f>
        <v/>
      </c>
      <c r="R2282" s="31">
        <f>IF(COUNTIFS($C:$C,$C2282,$D:$D,$D2282,$E:$E,"P0(후)",$M:$M,"&gt;0")&lt;&gt;1,"",SUMIFS($M:$M,$C:$C,$C2282,$D:$D,$D2282,$E:$E,"P0(후)"))</f>
        <v/>
      </c>
      <c r="S2282" s="31">
        <f>IF(N2282&lt;&gt;"OK","",P2282+(R2282-P2282)*(I2282-O2282)/(Q2282-O2282))</f>
        <v/>
      </c>
      <c r="T2282" s="31">
        <f>IF(OR(N2282&lt;&gt;"OK",NOT(ISNUMBER(M2282))),"",M2282-S2282)</f>
        <v/>
      </c>
      <c r="U2282" s="49">
        <f>IF(OR(NOT(ISNUMBER(T2282)),IF(ISNUMBER(H2282),H2282,G2282)=0),"",T2282/IF(ISNUMBER(H2282),H2282,G2282))</f>
        <v/>
      </c>
      <c r="V2282" s="49">
        <f>IF(ISNUMBER(U2282),ABS(U2282),"")</f>
        <v/>
      </c>
      <c r="W2282" s="49">
        <f>IF(OR($E2281&lt;&gt;"측정",$C2281&lt;&gt;$C2282,$D2281&lt;&gt;$D2282,NOT(ISNUMBER(M2282)),NOT(ISNUMBER(M2281)),(IF(ISNUMBER(H2282),H2282,G2282)-IF(ISNUMBER(H2281),H2281,G2281))=0),"",(M2282-M2281)/(IF(ISNUMBER(H2282),H2282,G2282)-IF(ISNUMBER(H2281),H2281,G2281)))</f>
        <v/>
      </c>
      <c r="X2282" s="31">
        <f>IF(NOT(AND(ISNUMBER(O2282),ISNUMBER(Q2282))),"",(Q2282-O2282)*1440)</f>
        <v/>
      </c>
      <c r="Y2282" s="29" t="n"/>
      <c r="Z2282" s="29" t="n"/>
      <c r="AA2282" s="29" t="n"/>
      <c r="AB2282" s="32" t="n"/>
      <c r="AC2282" s="32" t="n"/>
    </row>
    <row r="2283">
      <c r="A2283" s="26" t="inlineStr">
        <is>
          <t>S44</t>
        </is>
      </c>
      <c r="B2283" s="26" t="inlineStr">
        <is>
          <t>성산</t>
        </is>
      </c>
      <c r="C2283" s="26" t="inlineStr">
        <is>
          <t>S44-H북</t>
        </is>
      </c>
      <c r="D2283" s="47" t="n">
        <v>1</v>
      </c>
      <c r="E2283" s="26" t="inlineStr">
        <is>
          <t>측정</t>
        </is>
      </c>
      <c r="F2283" s="26" t="inlineStr">
        <is>
          <t>북</t>
        </is>
      </c>
      <c r="G2283" s="31" t="n">
        <v>1</v>
      </c>
      <c r="H2283" s="30" t="n"/>
      <c r="I2283" s="43" t="n"/>
      <c r="J2283" s="41" t="n"/>
      <c r="K2283" s="41" t="n"/>
      <c r="L2283" s="41" t="n"/>
      <c r="M2283" s="31">
        <f>IF(COUNT(J2283:L2283)=0,"",MEDIAN(J2283:L2283))</f>
        <v/>
      </c>
      <c r="N2283" s="26">
        <f>IF(COUNTIFS($C:$C,$C2283,$D:$D,$D2283,$E:$E,"P0(전)",$M:$M,"&gt;0")&lt;&gt;1,"P0(전) 유효 1개 아님",IF(COUNTIFS($C:$C,$C2283,$D:$D,$D2283,$E:$E,"P0(후)",$M:$M,"&gt;0")&lt;&gt;1,"P0(후) 유효 1개 아님",IF(NOT(AND(ISNUMBER(O2283),ISNUMBER(Q2283),ISNUMBER(I2283))),"시각 결측",IF(Q2283&lt;=O2283,"P0 시각 역전",IF(OR(I2283&lt;O2283,I2283&gt;Q2283),"측정시각 구간 밖","OK")))))</f>
        <v/>
      </c>
      <c r="O2283" s="48">
        <f>IF(COUNTIFS($C:$C,$C2283,$D:$D,$D2283,$E:$E,"P0(전)",$M:$M,"&gt;0")&lt;&gt;1,"",SUMIFS($I:$I,$C:$C,$C2283,$D:$D,$D2283,$E:$E,"P0(전)"))</f>
        <v/>
      </c>
      <c r="P2283" s="31">
        <f>IF(COUNTIFS($C:$C,$C2283,$D:$D,$D2283,$E:$E,"P0(전)",$M:$M,"&gt;0")&lt;&gt;1,"",SUMIFS($M:$M,$C:$C,$C2283,$D:$D,$D2283,$E:$E,"P0(전)"))</f>
        <v/>
      </c>
      <c r="Q2283" s="48">
        <f>IF(COUNTIFS($C:$C,$C2283,$D:$D,$D2283,$E:$E,"P0(후)",$M:$M,"&gt;0")&lt;&gt;1,"",SUMIFS($I:$I,$C:$C,$C2283,$D:$D,$D2283,$E:$E,"P0(후)"))</f>
        <v/>
      </c>
      <c r="R2283" s="31">
        <f>IF(COUNTIFS($C:$C,$C2283,$D:$D,$D2283,$E:$E,"P0(후)",$M:$M,"&gt;0")&lt;&gt;1,"",SUMIFS($M:$M,$C:$C,$C2283,$D:$D,$D2283,$E:$E,"P0(후)"))</f>
        <v/>
      </c>
      <c r="S2283" s="31">
        <f>IF(N2283&lt;&gt;"OK","",P2283+(R2283-P2283)*(I2283-O2283)/(Q2283-O2283))</f>
        <v/>
      </c>
      <c r="T2283" s="31">
        <f>IF(OR(N2283&lt;&gt;"OK",NOT(ISNUMBER(M2283))),"",M2283-S2283)</f>
        <v/>
      </c>
      <c r="U2283" s="49">
        <f>IF(OR(NOT(ISNUMBER(T2283)),IF(ISNUMBER(H2283),H2283,G2283)=0),"",T2283/IF(ISNUMBER(H2283),H2283,G2283))</f>
        <v/>
      </c>
      <c r="V2283" s="49">
        <f>IF(ISNUMBER(U2283),ABS(U2283),"")</f>
        <v/>
      </c>
      <c r="W2283" s="49">
        <f>IF(OR($E2282&lt;&gt;"측정",$C2282&lt;&gt;$C2283,$D2282&lt;&gt;$D2283,NOT(ISNUMBER(M2283)),NOT(ISNUMBER(M2282)),(IF(ISNUMBER(H2283),H2283,G2283)-IF(ISNUMBER(H2282),H2282,G2282))=0),"",(M2283-M2282)/(IF(ISNUMBER(H2283),H2283,G2283)-IF(ISNUMBER(H2282),H2282,G2282)))</f>
        <v/>
      </c>
      <c r="X2283" s="31">
        <f>IF(NOT(AND(ISNUMBER(O2283),ISNUMBER(Q2283))),"",(Q2283-O2283)*1440)</f>
        <v/>
      </c>
      <c r="Y2283" s="29" t="n"/>
      <c r="Z2283" s="29" t="n"/>
      <c r="AA2283" s="29" t="n"/>
      <c r="AB2283" s="32" t="n"/>
      <c r="AC2283" s="32" t="n"/>
    </row>
    <row r="2284">
      <c r="A2284" s="26" t="inlineStr">
        <is>
          <t>S44</t>
        </is>
      </c>
      <c r="B2284" s="26" t="inlineStr">
        <is>
          <t>성산</t>
        </is>
      </c>
      <c r="C2284" s="26" t="inlineStr">
        <is>
          <t>S44-H북</t>
        </is>
      </c>
      <c r="D2284" s="47" t="n">
        <v>1</v>
      </c>
      <c r="E2284" s="26" t="inlineStr">
        <is>
          <t>측정</t>
        </is>
      </c>
      <c r="F2284" s="26" t="inlineStr">
        <is>
          <t>북</t>
        </is>
      </c>
      <c r="G2284" s="31" t="n">
        <v>2</v>
      </c>
      <c r="H2284" s="30" t="n"/>
      <c r="I2284" s="43" t="n"/>
      <c r="J2284" s="41" t="n"/>
      <c r="K2284" s="41" t="n"/>
      <c r="L2284" s="41" t="n"/>
      <c r="M2284" s="31">
        <f>IF(COUNT(J2284:L2284)=0,"",MEDIAN(J2284:L2284))</f>
        <v/>
      </c>
      <c r="N2284" s="26">
        <f>IF(COUNTIFS($C:$C,$C2284,$D:$D,$D2284,$E:$E,"P0(전)",$M:$M,"&gt;0")&lt;&gt;1,"P0(전) 유효 1개 아님",IF(COUNTIFS($C:$C,$C2284,$D:$D,$D2284,$E:$E,"P0(후)",$M:$M,"&gt;0")&lt;&gt;1,"P0(후) 유효 1개 아님",IF(NOT(AND(ISNUMBER(O2284),ISNUMBER(Q2284),ISNUMBER(I2284))),"시각 결측",IF(Q2284&lt;=O2284,"P0 시각 역전",IF(OR(I2284&lt;O2284,I2284&gt;Q2284),"측정시각 구간 밖","OK")))))</f>
        <v/>
      </c>
      <c r="O2284" s="48">
        <f>IF(COUNTIFS($C:$C,$C2284,$D:$D,$D2284,$E:$E,"P0(전)",$M:$M,"&gt;0")&lt;&gt;1,"",SUMIFS($I:$I,$C:$C,$C2284,$D:$D,$D2284,$E:$E,"P0(전)"))</f>
        <v/>
      </c>
      <c r="P2284" s="31">
        <f>IF(COUNTIFS($C:$C,$C2284,$D:$D,$D2284,$E:$E,"P0(전)",$M:$M,"&gt;0")&lt;&gt;1,"",SUMIFS($M:$M,$C:$C,$C2284,$D:$D,$D2284,$E:$E,"P0(전)"))</f>
        <v/>
      </c>
      <c r="Q2284" s="48">
        <f>IF(COUNTIFS($C:$C,$C2284,$D:$D,$D2284,$E:$E,"P0(후)",$M:$M,"&gt;0")&lt;&gt;1,"",SUMIFS($I:$I,$C:$C,$C2284,$D:$D,$D2284,$E:$E,"P0(후)"))</f>
        <v/>
      </c>
      <c r="R2284" s="31">
        <f>IF(COUNTIFS($C:$C,$C2284,$D:$D,$D2284,$E:$E,"P0(후)",$M:$M,"&gt;0")&lt;&gt;1,"",SUMIFS($M:$M,$C:$C,$C2284,$D:$D,$D2284,$E:$E,"P0(후)"))</f>
        <v/>
      </c>
      <c r="S2284" s="31">
        <f>IF(N2284&lt;&gt;"OK","",P2284+(R2284-P2284)*(I2284-O2284)/(Q2284-O2284))</f>
        <v/>
      </c>
      <c r="T2284" s="31">
        <f>IF(OR(N2284&lt;&gt;"OK",NOT(ISNUMBER(M2284))),"",M2284-S2284)</f>
        <v/>
      </c>
      <c r="U2284" s="49">
        <f>IF(OR(NOT(ISNUMBER(T2284)),IF(ISNUMBER(H2284),H2284,G2284)=0),"",T2284/IF(ISNUMBER(H2284),H2284,G2284))</f>
        <v/>
      </c>
      <c r="V2284" s="49">
        <f>IF(ISNUMBER(U2284),ABS(U2284),"")</f>
        <v/>
      </c>
      <c r="W2284" s="49">
        <f>IF(OR($E2283&lt;&gt;"측정",$C2283&lt;&gt;$C2284,$D2283&lt;&gt;$D2284,NOT(ISNUMBER(M2284)),NOT(ISNUMBER(M2283)),(IF(ISNUMBER(H2284),H2284,G2284)-IF(ISNUMBER(H2283),H2283,G2283))=0),"",(M2284-M2283)/(IF(ISNUMBER(H2284),H2284,G2284)-IF(ISNUMBER(H2283),H2283,G2283)))</f>
        <v/>
      </c>
      <c r="X2284" s="31">
        <f>IF(NOT(AND(ISNUMBER(O2284),ISNUMBER(Q2284))),"",(Q2284-O2284)*1440)</f>
        <v/>
      </c>
      <c r="Y2284" s="29" t="n"/>
      <c r="Z2284" s="29" t="n"/>
      <c r="AA2284" s="29" t="n"/>
      <c r="AB2284" s="32" t="n"/>
      <c r="AC2284" s="32" t="n"/>
    </row>
    <row r="2285">
      <c r="A2285" s="26" t="inlineStr">
        <is>
          <t>S44</t>
        </is>
      </c>
      <c r="B2285" s="26" t="inlineStr">
        <is>
          <t>성산</t>
        </is>
      </c>
      <c r="C2285" s="26" t="inlineStr">
        <is>
          <t>S44-H북</t>
        </is>
      </c>
      <c r="D2285" s="47" t="n">
        <v>1</v>
      </c>
      <c r="E2285" s="26" t="inlineStr">
        <is>
          <t>측정</t>
        </is>
      </c>
      <c r="F2285" s="26" t="inlineStr">
        <is>
          <t>북</t>
        </is>
      </c>
      <c r="G2285" s="31" t="n">
        <v>3</v>
      </c>
      <c r="H2285" s="30" t="n"/>
      <c r="I2285" s="43" t="n"/>
      <c r="J2285" s="41" t="n"/>
      <c r="K2285" s="41" t="n"/>
      <c r="L2285" s="41" t="n"/>
      <c r="M2285" s="31">
        <f>IF(COUNT(J2285:L2285)=0,"",MEDIAN(J2285:L2285))</f>
        <v/>
      </c>
      <c r="N2285" s="26">
        <f>IF(COUNTIFS($C:$C,$C2285,$D:$D,$D2285,$E:$E,"P0(전)",$M:$M,"&gt;0")&lt;&gt;1,"P0(전) 유효 1개 아님",IF(COUNTIFS($C:$C,$C2285,$D:$D,$D2285,$E:$E,"P0(후)",$M:$M,"&gt;0")&lt;&gt;1,"P0(후) 유효 1개 아님",IF(NOT(AND(ISNUMBER(O2285),ISNUMBER(Q2285),ISNUMBER(I2285))),"시각 결측",IF(Q2285&lt;=O2285,"P0 시각 역전",IF(OR(I2285&lt;O2285,I2285&gt;Q2285),"측정시각 구간 밖","OK")))))</f>
        <v/>
      </c>
      <c r="O2285" s="48">
        <f>IF(COUNTIFS($C:$C,$C2285,$D:$D,$D2285,$E:$E,"P0(전)",$M:$M,"&gt;0")&lt;&gt;1,"",SUMIFS($I:$I,$C:$C,$C2285,$D:$D,$D2285,$E:$E,"P0(전)"))</f>
        <v/>
      </c>
      <c r="P2285" s="31">
        <f>IF(COUNTIFS($C:$C,$C2285,$D:$D,$D2285,$E:$E,"P0(전)",$M:$M,"&gt;0")&lt;&gt;1,"",SUMIFS($M:$M,$C:$C,$C2285,$D:$D,$D2285,$E:$E,"P0(전)"))</f>
        <v/>
      </c>
      <c r="Q2285" s="48">
        <f>IF(COUNTIFS($C:$C,$C2285,$D:$D,$D2285,$E:$E,"P0(후)",$M:$M,"&gt;0")&lt;&gt;1,"",SUMIFS($I:$I,$C:$C,$C2285,$D:$D,$D2285,$E:$E,"P0(후)"))</f>
        <v/>
      </c>
      <c r="R2285" s="31">
        <f>IF(COUNTIFS($C:$C,$C2285,$D:$D,$D2285,$E:$E,"P0(후)",$M:$M,"&gt;0")&lt;&gt;1,"",SUMIFS($M:$M,$C:$C,$C2285,$D:$D,$D2285,$E:$E,"P0(후)"))</f>
        <v/>
      </c>
      <c r="S2285" s="31">
        <f>IF(N2285&lt;&gt;"OK","",P2285+(R2285-P2285)*(I2285-O2285)/(Q2285-O2285))</f>
        <v/>
      </c>
      <c r="T2285" s="31">
        <f>IF(OR(N2285&lt;&gt;"OK",NOT(ISNUMBER(M2285))),"",M2285-S2285)</f>
        <v/>
      </c>
      <c r="U2285" s="49">
        <f>IF(OR(NOT(ISNUMBER(T2285)),IF(ISNUMBER(H2285),H2285,G2285)=0),"",T2285/IF(ISNUMBER(H2285),H2285,G2285))</f>
        <v/>
      </c>
      <c r="V2285" s="49">
        <f>IF(ISNUMBER(U2285),ABS(U2285),"")</f>
        <v/>
      </c>
      <c r="W2285" s="49">
        <f>IF(OR($E2284&lt;&gt;"측정",$C2284&lt;&gt;$C2285,$D2284&lt;&gt;$D2285,NOT(ISNUMBER(M2285)),NOT(ISNUMBER(M2284)),(IF(ISNUMBER(H2285),H2285,G2285)-IF(ISNUMBER(H2284),H2284,G2284))=0),"",(M2285-M2284)/(IF(ISNUMBER(H2285),H2285,G2285)-IF(ISNUMBER(H2284),H2284,G2284)))</f>
        <v/>
      </c>
      <c r="X2285" s="31">
        <f>IF(NOT(AND(ISNUMBER(O2285),ISNUMBER(Q2285))),"",(Q2285-O2285)*1440)</f>
        <v/>
      </c>
      <c r="Y2285" s="29" t="n"/>
      <c r="Z2285" s="29" t="n"/>
      <c r="AA2285" s="29" t="n"/>
      <c r="AB2285" s="32" t="n"/>
      <c r="AC2285" s="32" t="n"/>
    </row>
    <row r="2286">
      <c r="A2286" s="26" t="inlineStr">
        <is>
          <t>S44</t>
        </is>
      </c>
      <c r="B2286" s="26" t="inlineStr">
        <is>
          <t>성산</t>
        </is>
      </c>
      <c r="C2286" s="26" t="inlineStr">
        <is>
          <t>S44-H북</t>
        </is>
      </c>
      <c r="D2286" s="47" t="n">
        <v>1</v>
      </c>
      <c r="E2286" s="26" t="inlineStr">
        <is>
          <t>측정</t>
        </is>
      </c>
      <c r="F2286" s="26" t="inlineStr">
        <is>
          <t>북</t>
        </is>
      </c>
      <c r="G2286" s="31" t="n">
        <v>4</v>
      </c>
      <c r="H2286" s="30" t="n"/>
      <c r="I2286" s="43" t="n"/>
      <c r="J2286" s="41" t="n"/>
      <c r="K2286" s="41" t="n"/>
      <c r="L2286" s="41" t="n"/>
      <c r="M2286" s="31">
        <f>IF(COUNT(J2286:L2286)=0,"",MEDIAN(J2286:L2286))</f>
        <v/>
      </c>
      <c r="N2286" s="26">
        <f>IF(COUNTIFS($C:$C,$C2286,$D:$D,$D2286,$E:$E,"P0(전)",$M:$M,"&gt;0")&lt;&gt;1,"P0(전) 유효 1개 아님",IF(COUNTIFS($C:$C,$C2286,$D:$D,$D2286,$E:$E,"P0(후)",$M:$M,"&gt;0")&lt;&gt;1,"P0(후) 유효 1개 아님",IF(NOT(AND(ISNUMBER(O2286),ISNUMBER(Q2286),ISNUMBER(I2286))),"시각 결측",IF(Q2286&lt;=O2286,"P0 시각 역전",IF(OR(I2286&lt;O2286,I2286&gt;Q2286),"측정시각 구간 밖","OK")))))</f>
        <v/>
      </c>
      <c r="O2286" s="48">
        <f>IF(COUNTIFS($C:$C,$C2286,$D:$D,$D2286,$E:$E,"P0(전)",$M:$M,"&gt;0")&lt;&gt;1,"",SUMIFS($I:$I,$C:$C,$C2286,$D:$D,$D2286,$E:$E,"P0(전)"))</f>
        <v/>
      </c>
      <c r="P2286" s="31">
        <f>IF(COUNTIFS($C:$C,$C2286,$D:$D,$D2286,$E:$E,"P0(전)",$M:$M,"&gt;0")&lt;&gt;1,"",SUMIFS($M:$M,$C:$C,$C2286,$D:$D,$D2286,$E:$E,"P0(전)"))</f>
        <v/>
      </c>
      <c r="Q2286" s="48">
        <f>IF(COUNTIFS($C:$C,$C2286,$D:$D,$D2286,$E:$E,"P0(후)",$M:$M,"&gt;0")&lt;&gt;1,"",SUMIFS($I:$I,$C:$C,$C2286,$D:$D,$D2286,$E:$E,"P0(후)"))</f>
        <v/>
      </c>
      <c r="R2286" s="31">
        <f>IF(COUNTIFS($C:$C,$C2286,$D:$D,$D2286,$E:$E,"P0(후)",$M:$M,"&gt;0")&lt;&gt;1,"",SUMIFS($M:$M,$C:$C,$C2286,$D:$D,$D2286,$E:$E,"P0(후)"))</f>
        <v/>
      </c>
      <c r="S2286" s="31">
        <f>IF(N2286&lt;&gt;"OK","",P2286+(R2286-P2286)*(I2286-O2286)/(Q2286-O2286))</f>
        <v/>
      </c>
      <c r="T2286" s="31">
        <f>IF(OR(N2286&lt;&gt;"OK",NOT(ISNUMBER(M2286))),"",M2286-S2286)</f>
        <v/>
      </c>
      <c r="U2286" s="49">
        <f>IF(OR(NOT(ISNUMBER(T2286)),IF(ISNUMBER(H2286),H2286,G2286)=0),"",T2286/IF(ISNUMBER(H2286),H2286,G2286))</f>
        <v/>
      </c>
      <c r="V2286" s="49">
        <f>IF(ISNUMBER(U2286),ABS(U2286),"")</f>
        <v/>
      </c>
      <c r="W2286" s="49">
        <f>IF(OR($E2285&lt;&gt;"측정",$C2285&lt;&gt;$C2286,$D2285&lt;&gt;$D2286,NOT(ISNUMBER(M2286)),NOT(ISNUMBER(M2285)),(IF(ISNUMBER(H2286),H2286,G2286)-IF(ISNUMBER(H2285),H2285,G2285))=0),"",(M2286-M2285)/(IF(ISNUMBER(H2286),H2286,G2286)-IF(ISNUMBER(H2285),H2285,G2285)))</f>
        <v/>
      </c>
      <c r="X2286" s="31">
        <f>IF(NOT(AND(ISNUMBER(O2286),ISNUMBER(Q2286))),"",(Q2286-O2286)*1440)</f>
        <v/>
      </c>
      <c r="Y2286" s="29" t="n"/>
      <c r="Z2286" s="29" t="n"/>
      <c r="AA2286" s="29" t="n"/>
      <c r="AB2286" s="32" t="n"/>
      <c r="AC2286" s="32" t="n"/>
    </row>
    <row r="2287">
      <c r="A2287" s="26" t="inlineStr">
        <is>
          <t>S44</t>
        </is>
      </c>
      <c r="B2287" s="26" t="inlineStr">
        <is>
          <t>성산</t>
        </is>
      </c>
      <c r="C2287" s="26" t="inlineStr">
        <is>
          <t>S44-H북</t>
        </is>
      </c>
      <c r="D2287" s="47" t="n">
        <v>1</v>
      </c>
      <c r="E2287" s="26" t="inlineStr">
        <is>
          <t>측정</t>
        </is>
      </c>
      <c r="F2287" s="26" t="inlineStr">
        <is>
          <t>북</t>
        </is>
      </c>
      <c r="G2287" s="31" t="n">
        <v>5</v>
      </c>
      <c r="H2287" s="30" t="n"/>
      <c r="I2287" s="43" t="n"/>
      <c r="J2287" s="41" t="n"/>
      <c r="K2287" s="41" t="n"/>
      <c r="L2287" s="41" t="n"/>
      <c r="M2287" s="31">
        <f>IF(COUNT(J2287:L2287)=0,"",MEDIAN(J2287:L2287))</f>
        <v/>
      </c>
      <c r="N2287" s="26">
        <f>IF(COUNTIFS($C:$C,$C2287,$D:$D,$D2287,$E:$E,"P0(전)",$M:$M,"&gt;0")&lt;&gt;1,"P0(전) 유효 1개 아님",IF(COUNTIFS($C:$C,$C2287,$D:$D,$D2287,$E:$E,"P0(후)",$M:$M,"&gt;0")&lt;&gt;1,"P0(후) 유효 1개 아님",IF(NOT(AND(ISNUMBER(O2287),ISNUMBER(Q2287),ISNUMBER(I2287))),"시각 결측",IF(Q2287&lt;=O2287,"P0 시각 역전",IF(OR(I2287&lt;O2287,I2287&gt;Q2287),"측정시각 구간 밖","OK")))))</f>
        <v/>
      </c>
      <c r="O2287" s="48">
        <f>IF(COUNTIFS($C:$C,$C2287,$D:$D,$D2287,$E:$E,"P0(전)",$M:$M,"&gt;0")&lt;&gt;1,"",SUMIFS($I:$I,$C:$C,$C2287,$D:$D,$D2287,$E:$E,"P0(전)"))</f>
        <v/>
      </c>
      <c r="P2287" s="31">
        <f>IF(COUNTIFS($C:$C,$C2287,$D:$D,$D2287,$E:$E,"P0(전)",$M:$M,"&gt;0")&lt;&gt;1,"",SUMIFS($M:$M,$C:$C,$C2287,$D:$D,$D2287,$E:$E,"P0(전)"))</f>
        <v/>
      </c>
      <c r="Q2287" s="48">
        <f>IF(COUNTIFS($C:$C,$C2287,$D:$D,$D2287,$E:$E,"P0(후)",$M:$M,"&gt;0")&lt;&gt;1,"",SUMIFS($I:$I,$C:$C,$C2287,$D:$D,$D2287,$E:$E,"P0(후)"))</f>
        <v/>
      </c>
      <c r="R2287" s="31">
        <f>IF(COUNTIFS($C:$C,$C2287,$D:$D,$D2287,$E:$E,"P0(후)",$M:$M,"&gt;0")&lt;&gt;1,"",SUMIFS($M:$M,$C:$C,$C2287,$D:$D,$D2287,$E:$E,"P0(후)"))</f>
        <v/>
      </c>
      <c r="S2287" s="31">
        <f>IF(N2287&lt;&gt;"OK","",P2287+(R2287-P2287)*(I2287-O2287)/(Q2287-O2287))</f>
        <v/>
      </c>
      <c r="T2287" s="31">
        <f>IF(OR(N2287&lt;&gt;"OK",NOT(ISNUMBER(M2287))),"",M2287-S2287)</f>
        <v/>
      </c>
      <c r="U2287" s="49">
        <f>IF(OR(NOT(ISNUMBER(T2287)),IF(ISNUMBER(H2287),H2287,G2287)=0),"",T2287/IF(ISNUMBER(H2287),H2287,G2287))</f>
        <v/>
      </c>
      <c r="V2287" s="49">
        <f>IF(ISNUMBER(U2287),ABS(U2287),"")</f>
        <v/>
      </c>
      <c r="W2287" s="49">
        <f>IF(OR($E2286&lt;&gt;"측정",$C2286&lt;&gt;$C2287,$D2286&lt;&gt;$D2287,NOT(ISNUMBER(M2287)),NOT(ISNUMBER(M2286)),(IF(ISNUMBER(H2287),H2287,G2287)-IF(ISNUMBER(H2286),H2286,G2286))=0),"",(M2287-M2286)/(IF(ISNUMBER(H2287),H2287,G2287)-IF(ISNUMBER(H2286),H2286,G2286)))</f>
        <v/>
      </c>
      <c r="X2287" s="31">
        <f>IF(NOT(AND(ISNUMBER(O2287),ISNUMBER(Q2287))),"",(Q2287-O2287)*1440)</f>
        <v/>
      </c>
      <c r="Y2287" s="29" t="n"/>
      <c r="Z2287" s="29" t="n"/>
      <c r="AA2287" s="29" t="n"/>
      <c r="AB2287" s="32" t="n"/>
      <c r="AC2287" s="32" t="n"/>
    </row>
    <row r="2288">
      <c r="A2288" s="26" t="inlineStr">
        <is>
          <t>S44</t>
        </is>
      </c>
      <c r="B2288" s="26" t="inlineStr">
        <is>
          <t>성산</t>
        </is>
      </c>
      <c r="C2288" s="26" t="inlineStr">
        <is>
          <t>S44-H북</t>
        </is>
      </c>
      <c r="D2288" s="47" t="n">
        <v>1</v>
      </c>
      <c r="E2288" s="26" t="inlineStr">
        <is>
          <t>측정</t>
        </is>
      </c>
      <c r="F2288" s="26" t="inlineStr">
        <is>
          <t>북</t>
        </is>
      </c>
      <c r="G2288" s="31" t="n">
        <v>6</v>
      </c>
      <c r="H2288" s="30" t="n"/>
      <c r="I2288" s="43" t="n"/>
      <c r="J2288" s="41" t="n"/>
      <c r="K2288" s="41" t="n"/>
      <c r="L2288" s="41" t="n"/>
      <c r="M2288" s="31">
        <f>IF(COUNT(J2288:L2288)=0,"",MEDIAN(J2288:L2288))</f>
        <v/>
      </c>
      <c r="N2288" s="26">
        <f>IF(COUNTIFS($C:$C,$C2288,$D:$D,$D2288,$E:$E,"P0(전)",$M:$M,"&gt;0")&lt;&gt;1,"P0(전) 유효 1개 아님",IF(COUNTIFS($C:$C,$C2288,$D:$D,$D2288,$E:$E,"P0(후)",$M:$M,"&gt;0")&lt;&gt;1,"P0(후) 유효 1개 아님",IF(NOT(AND(ISNUMBER(O2288),ISNUMBER(Q2288),ISNUMBER(I2288))),"시각 결측",IF(Q2288&lt;=O2288,"P0 시각 역전",IF(OR(I2288&lt;O2288,I2288&gt;Q2288),"측정시각 구간 밖","OK")))))</f>
        <v/>
      </c>
      <c r="O2288" s="48">
        <f>IF(COUNTIFS($C:$C,$C2288,$D:$D,$D2288,$E:$E,"P0(전)",$M:$M,"&gt;0")&lt;&gt;1,"",SUMIFS($I:$I,$C:$C,$C2288,$D:$D,$D2288,$E:$E,"P0(전)"))</f>
        <v/>
      </c>
      <c r="P2288" s="31">
        <f>IF(COUNTIFS($C:$C,$C2288,$D:$D,$D2288,$E:$E,"P0(전)",$M:$M,"&gt;0")&lt;&gt;1,"",SUMIFS($M:$M,$C:$C,$C2288,$D:$D,$D2288,$E:$E,"P0(전)"))</f>
        <v/>
      </c>
      <c r="Q2288" s="48">
        <f>IF(COUNTIFS($C:$C,$C2288,$D:$D,$D2288,$E:$E,"P0(후)",$M:$M,"&gt;0")&lt;&gt;1,"",SUMIFS($I:$I,$C:$C,$C2288,$D:$D,$D2288,$E:$E,"P0(후)"))</f>
        <v/>
      </c>
      <c r="R2288" s="31">
        <f>IF(COUNTIFS($C:$C,$C2288,$D:$D,$D2288,$E:$E,"P0(후)",$M:$M,"&gt;0")&lt;&gt;1,"",SUMIFS($M:$M,$C:$C,$C2288,$D:$D,$D2288,$E:$E,"P0(후)"))</f>
        <v/>
      </c>
      <c r="S2288" s="31">
        <f>IF(N2288&lt;&gt;"OK","",P2288+(R2288-P2288)*(I2288-O2288)/(Q2288-O2288))</f>
        <v/>
      </c>
      <c r="T2288" s="31">
        <f>IF(OR(N2288&lt;&gt;"OK",NOT(ISNUMBER(M2288))),"",M2288-S2288)</f>
        <v/>
      </c>
      <c r="U2288" s="49">
        <f>IF(OR(NOT(ISNUMBER(T2288)),IF(ISNUMBER(H2288),H2288,G2288)=0),"",T2288/IF(ISNUMBER(H2288),H2288,G2288))</f>
        <v/>
      </c>
      <c r="V2288" s="49">
        <f>IF(ISNUMBER(U2288),ABS(U2288),"")</f>
        <v/>
      </c>
      <c r="W2288" s="49">
        <f>IF(OR($E2287&lt;&gt;"측정",$C2287&lt;&gt;$C2288,$D2287&lt;&gt;$D2288,NOT(ISNUMBER(M2288)),NOT(ISNUMBER(M2287)),(IF(ISNUMBER(H2288),H2288,G2288)-IF(ISNUMBER(H2287),H2287,G2287))=0),"",(M2288-M2287)/(IF(ISNUMBER(H2288),H2288,G2288)-IF(ISNUMBER(H2287),H2287,G2287)))</f>
        <v/>
      </c>
      <c r="X2288" s="31">
        <f>IF(NOT(AND(ISNUMBER(O2288),ISNUMBER(Q2288))),"",(Q2288-O2288)*1440)</f>
        <v/>
      </c>
      <c r="Y2288" s="29" t="n"/>
      <c r="Z2288" s="29" t="n"/>
      <c r="AA2288" s="29" t="n"/>
      <c r="AB2288" s="32" t="n"/>
      <c r="AC2288" s="32" t="n"/>
    </row>
    <row r="2289">
      <c r="A2289" s="26" t="inlineStr">
        <is>
          <t>S44</t>
        </is>
      </c>
      <c r="B2289" s="26" t="inlineStr">
        <is>
          <t>성산</t>
        </is>
      </c>
      <c r="C2289" s="26" t="inlineStr">
        <is>
          <t>S44-H북</t>
        </is>
      </c>
      <c r="D2289" s="47" t="n">
        <v>1</v>
      </c>
      <c r="E2289" s="26" t="inlineStr">
        <is>
          <t>측정</t>
        </is>
      </c>
      <c r="F2289" s="26" t="inlineStr">
        <is>
          <t>북</t>
        </is>
      </c>
      <c r="G2289" s="31" t="n">
        <v>7</v>
      </c>
      <c r="H2289" s="30" t="n"/>
      <c r="I2289" s="43" t="n"/>
      <c r="J2289" s="41" t="n"/>
      <c r="K2289" s="41" t="n"/>
      <c r="L2289" s="41" t="n"/>
      <c r="M2289" s="31">
        <f>IF(COUNT(J2289:L2289)=0,"",MEDIAN(J2289:L2289))</f>
        <v/>
      </c>
      <c r="N2289" s="26">
        <f>IF(COUNTIFS($C:$C,$C2289,$D:$D,$D2289,$E:$E,"P0(전)",$M:$M,"&gt;0")&lt;&gt;1,"P0(전) 유효 1개 아님",IF(COUNTIFS($C:$C,$C2289,$D:$D,$D2289,$E:$E,"P0(후)",$M:$M,"&gt;0")&lt;&gt;1,"P0(후) 유효 1개 아님",IF(NOT(AND(ISNUMBER(O2289),ISNUMBER(Q2289),ISNUMBER(I2289))),"시각 결측",IF(Q2289&lt;=O2289,"P0 시각 역전",IF(OR(I2289&lt;O2289,I2289&gt;Q2289),"측정시각 구간 밖","OK")))))</f>
        <v/>
      </c>
      <c r="O2289" s="48">
        <f>IF(COUNTIFS($C:$C,$C2289,$D:$D,$D2289,$E:$E,"P0(전)",$M:$M,"&gt;0")&lt;&gt;1,"",SUMIFS($I:$I,$C:$C,$C2289,$D:$D,$D2289,$E:$E,"P0(전)"))</f>
        <v/>
      </c>
      <c r="P2289" s="31">
        <f>IF(COUNTIFS($C:$C,$C2289,$D:$D,$D2289,$E:$E,"P0(전)",$M:$M,"&gt;0")&lt;&gt;1,"",SUMIFS($M:$M,$C:$C,$C2289,$D:$D,$D2289,$E:$E,"P0(전)"))</f>
        <v/>
      </c>
      <c r="Q2289" s="48">
        <f>IF(COUNTIFS($C:$C,$C2289,$D:$D,$D2289,$E:$E,"P0(후)",$M:$M,"&gt;0")&lt;&gt;1,"",SUMIFS($I:$I,$C:$C,$C2289,$D:$D,$D2289,$E:$E,"P0(후)"))</f>
        <v/>
      </c>
      <c r="R2289" s="31">
        <f>IF(COUNTIFS($C:$C,$C2289,$D:$D,$D2289,$E:$E,"P0(후)",$M:$M,"&gt;0")&lt;&gt;1,"",SUMIFS($M:$M,$C:$C,$C2289,$D:$D,$D2289,$E:$E,"P0(후)"))</f>
        <v/>
      </c>
      <c r="S2289" s="31">
        <f>IF(N2289&lt;&gt;"OK","",P2289+(R2289-P2289)*(I2289-O2289)/(Q2289-O2289))</f>
        <v/>
      </c>
      <c r="T2289" s="31">
        <f>IF(OR(N2289&lt;&gt;"OK",NOT(ISNUMBER(M2289))),"",M2289-S2289)</f>
        <v/>
      </c>
      <c r="U2289" s="49">
        <f>IF(OR(NOT(ISNUMBER(T2289)),IF(ISNUMBER(H2289),H2289,G2289)=0),"",T2289/IF(ISNUMBER(H2289),H2289,G2289))</f>
        <v/>
      </c>
      <c r="V2289" s="49">
        <f>IF(ISNUMBER(U2289),ABS(U2289),"")</f>
        <v/>
      </c>
      <c r="W2289" s="49">
        <f>IF(OR($E2288&lt;&gt;"측정",$C2288&lt;&gt;$C2289,$D2288&lt;&gt;$D2289,NOT(ISNUMBER(M2289)),NOT(ISNUMBER(M2288)),(IF(ISNUMBER(H2289),H2289,G2289)-IF(ISNUMBER(H2288),H2288,G2288))=0),"",(M2289-M2288)/(IF(ISNUMBER(H2289),H2289,G2289)-IF(ISNUMBER(H2288),H2288,G2288)))</f>
        <v/>
      </c>
      <c r="X2289" s="31">
        <f>IF(NOT(AND(ISNUMBER(O2289),ISNUMBER(Q2289))),"",(Q2289-O2289)*1440)</f>
        <v/>
      </c>
      <c r="Y2289" s="29" t="n"/>
      <c r="Z2289" s="29" t="n"/>
      <c r="AA2289" s="29" t="n"/>
      <c r="AB2289" s="32" t="n"/>
      <c r="AC2289" s="32" t="n"/>
    </row>
    <row r="2290">
      <c r="A2290" s="26" t="inlineStr">
        <is>
          <t>S44</t>
        </is>
      </c>
      <c r="B2290" s="26" t="inlineStr">
        <is>
          <t>성산</t>
        </is>
      </c>
      <c r="C2290" s="26" t="inlineStr">
        <is>
          <t>S44-H북</t>
        </is>
      </c>
      <c r="D2290" s="47" t="n">
        <v>1</v>
      </c>
      <c r="E2290" s="26" t="inlineStr">
        <is>
          <t>측정</t>
        </is>
      </c>
      <c r="F2290" s="26" t="inlineStr">
        <is>
          <t>북</t>
        </is>
      </c>
      <c r="G2290" s="31" t="n">
        <v>8</v>
      </c>
      <c r="H2290" s="30" t="n"/>
      <c r="I2290" s="43" t="n"/>
      <c r="J2290" s="41" t="n"/>
      <c r="K2290" s="41" t="n"/>
      <c r="L2290" s="41" t="n"/>
      <c r="M2290" s="31">
        <f>IF(COUNT(J2290:L2290)=0,"",MEDIAN(J2290:L2290))</f>
        <v/>
      </c>
      <c r="N2290" s="26">
        <f>IF(COUNTIFS($C:$C,$C2290,$D:$D,$D2290,$E:$E,"P0(전)",$M:$M,"&gt;0")&lt;&gt;1,"P0(전) 유효 1개 아님",IF(COUNTIFS($C:$C,$C2290,$D:$D,$D2290,$E:$E,"P0(후)",$M:$M,"&gt;0")&lt;&gt;1,"P0(후) 유효 1개 아님",IF(NOT(AND(ISNUMBER(O2290),ISNUMBER(Q2290),ISNUMBER(I2290))),"시각 결측",IF(Q2290&lt;=O2290,"P0 시각 역전",IF(OR(I2290&lt;O2290,I2290&gt;Q2290),"측정시각 구간 밖","OK")))))</f>
        <v/>
      </c>
      <c r="O2290" s="48">
        <f>IF(COUNTIFS($C:$C,$C2290,$D:$D,$D2290,$E:$E,"P0(전)",$M:$M,"&gt;0")&lt;&gt;1,"",SUMIFS($I:$I,$C:$C,$C2290,$D:$D,$D2290,$E:$E,"P0(전)"))</f>
        <v/>
      </c>
      <c r="P2290" s="31">
        <f>IF(COUNTIFS($C:$C,$C2290,$D:$D,$D2290,$E:$E,"P0(전)",$M:$M,"&gt;0")&lt;&gt;1,"",SUMIFS($M:$M,$C:$C,$C2290,$D:$D,$D2290,$E:$E,"P0(전)"))</f>
        <v/>
      </c>
      <c r="Q2290" s="48">
        <f>IF(COUNTIFS($C:$C,$C2290,$D:$D,$D2290,$E:$E,"P0(후)",$M:$M,"&gt;0")&lt;&gt;1,"",SUMIFS($I:$I,$C:$C,$C2290,$D:$D,$D2290,$E:$E,"P0(후)"))</f>
        <v/>
      </c>
      <c r="R2290" s="31">
        <f>IF(COUNTIFS($C:$C,$C2290,$D:$D,$D2290,$E:$E,"P0(후)",$M:$M,"&gt;0")&lt;&gt;1,"",SUMIFS($M:$M,$C:$C,$C2290,$D:$D,$D2290,$E:$E,"P0(후)"))</f>
        <v/>
      </c>
      <c r="S2290" s="31">
        <f>IF(N2290&lt;&gt;"OK","",P2290+(R2290-P2290)*(I2290-O2290)/(Q2290-O2290))</f>
        <v/>
      </c>
      <c r="T2290" s="31">
        <f>IF(OR(N2290&lt;&gt;"OK",NOT(ISNUMBER(M2290))),"",M2290-S2290)</f>
        <v/>
      </c>
      <c r="U2290" s="49">
        <f>IF(OR(NOT(ISNUMBER(T2290)),IF(ISNUMBER(H2290),H2290,G2290)=0),"",T2290/IF(ISNUMBER(H2290),H2290,G2290))</f>
        <v/>
      </c>
      <c r="V2290" s="49">
        <f>IF(ISNUMBER(U2290),ABS(U2290),"")</f>
        <v/>
      </c>
      <c r="W2290" s="49">
        <f>IF(OR($E2289&lt;&gt;"측정",$C2289&lt;&gt;$C2290,$D2289&lt;&gt;$D2290,NOT(ISNUMBER(M2290)),NOT(ISNUMBER(M2289)),(IF(ISNUMBER(H2290),H2290,G2290)-IF(ISNUMBER(H2289),H2289,G2289))=0),"",(M2290-M2289)/(IF(ISNUMBER(H2290),H2290,G2290)-IF(ISNUMBER(H2289),H2289,G2289)))</f>
        <v/>
      </c>
      <c r="X2290" s="31">
        <f>IF(NOT(AND(ISNUMBER(O2290),ISNUMBER(Q2290))),"",(Q2290-O2290)*1440)</f>
        <v/>
      </c>
      <c r="Y2290" s="29" t="n"/>
      <c r="Z2290" s="29" t="n"/>
      <c r="AA2290" s="29" t="n"/>
      <c r="AB2290" s="32" t="n"/>
      <c r="AC2290" s="32" t="n"/>
    </row>
    <row r="2291">
      <c r="A2291" s="26" t="inlineStr">
        <is>
          <t>S44</t>
        </is>
      </c>
      <c r="B2291" s="26" t="inlineStr">
        <is>
          <t>성산</t>
        </is>
      </c>
      <c r="C2291" s="26" t="inlineStr">
        <is>
          <t>S44-H북</t>
        </is>
      </c>
      <c r="D2291" s="47" t="n">
        <v>1</v>
      </c>
      <c r="E2291" s="26" t="inlineStr">
        <is>
          <t>측정</t>
        </is>
      </c>
      <c r="F2291" s="26" t="inlineStr">
        <is>
          <t>북</t>
        </is>
      </c>
      <c r="G2291" s="31" t="n">
        <v>9</v>
      </c>
      <c r="H2291" s="30" t="n"/>
      <c r="I2291" s="43" t="n"/>
      <c r="J2291" s="41" t="n"/>
      <c r="K2291" s="41" t="n"/>
      <c r="L2291" s="41" t="n"/>
      <c r="M2291" s="31">
        <f>IF(COUNT(J2291:L2291)=0,"",MEDIAN(J2291:L2291))</f>
        <v/>
      </c>
      <c r="N2291" s="26">
        <f>IF(COUNTIFS($C:$C,$C2291,$D:$D,$D2291,$E:$E,"P0(전)",$M:$M,"&gt;0")&lt;&gt;1,"P0(전) 유효 1개 아님",IF(COUNTIFS($C:$C,$C2291,$D:$D,$D2291,$E:$E,"P0(후)",$M:$M,"&gt;0")&lt;&gt;1,"P0(후) 유효 1개 아님",IF(NOT(AND(ISNUMBER(O2291),ISNUMBER(Q2291),ISNUMBER(I2291))),"시각 결측",IF(Q2291&lt;=O2291,"P0 시각 역전",IF(OR(I2291&lt;O2291,I2291&gt;Q2291),"측정시각 구간 밖","OK")))))</f>
        <v/>
      </c>
      <c r="O2291" s="48">
        <f>IF(COUNTIFS($C:$C,$C2291,$D:$D,$D2291,$E:$E,"P0(전)",$M:$M,"&gt;0")&lt;&gt;1,"",SUMIFS($I:$I,$C:$C,$C2291,$D:$D,$D2291,$E:$E,"P0(전)"))</f>
        <v/>
      </c>
      <c r="P2291" s="31">
        <f>IF(COUNTIFS($C:$C,$C2291,$D:$D,$D2291,$E:$E,"P0(전)",$M:$M,"&gt;0")&lt;&gt;1,"",SUMIFS($M:$M,$C:$C,$C2291,$D:$D,$D2291,$E:$E,"P0(전)"))</f>
        <v/>
      </c>
      <c r="Q2291" s="48">
        <f>IF(COUNTIFS($C:$C,$C2291,$D:$D,$D2291,$E:$E,"P0(후)",$M:$M,"&gt;0")&lt;&gt;1,"",SUMIFS($I:$I,$C:$C,$C2291,$D:$D,$D2291,$E:$E,"P0(후)"))</f>
        <v/>
      </c>
      <c r="R2291" s="31">
        <f>IF(COUNTIFS($C:$C,$C2291,$D:$D,$D2291,$E:$E,"P0(후)",$M:$M,"&gt;0")&lt;&gt;1,"",SUMIFS($M:$M,$C:$C,$C2291,$D:$D,$D2291,$E:$E,"P0(후)"))</f>
        <v/>
      </c>
      <c r="S2291" s="31">
        <f>IF(N2291&lt;&gt;"OK","",P2291+(R2291-P2291)*(I2291-O2291)/(Q2291-O2291))</f>
        <v/>
      </c>
      <c r="T2291" s="31">
        <f>IF(OR(N2291&lt;&gt;"OK",NOT(ISNUMBER(M2291))),"",M2291-S2291)</f>
        <v/>
      </c>
      <c r="U2291" s="49">
        <f>IF(OR(NOT(ISNUMBER(T2291)),IF(ISNUMBER(H2291),H2291,G2291)=0),"",T2291/IF(ISNUMBER(H2291),H2291,G2291))</f>
        <v/>
      </c>
      <c r="V2291" s="49">
        <f>IF(ISNUMBER(U2291),ABS(U2291),"")</f>
        <v/>
      </c>
      <c r="W2291" s="49">
        <f>IF(OR($E2290&lt;&gt;"측정",$C2290&lt;&gt;$C2291,$D2290&lt;&gt;$D2291,NOT(ISNUMBER(M2291)),NOT(ISNUMBER(M2290)),(IF(ISNUMBER(H2291),H2291,G2291)-IF(ISNUMBER(H2290),H2290,G2290))=0),"",(M2291-M2290)/(IF(ISNUMBER(H2291),H2291,G2291)-IF(ISNUMBER(H2290),H2290,G2290)))</f>
        <v/>
      </c>
      <c r="X2291" s="31">
        <f>IF(NOT(AND(ISNUMBER(O2291),ISNUMBER(Q2291))),"",(Q2291-O2291)*1440)</f>
        <v/>
      </c>
      <c r="Y2291" s="29" t="n"/>
      <c r="Z2291" s="29" t="n"/>
      <c r="AA2291" s="29" t="n"/>
      <c r="AB2291" s="32" t="n"/>
      <c r="AC2291" s="32" t="n"/>
    </row>
    <row r="2292">
      <c r="A2292" s="26" t="inlineStr">
        <is>
          <t>S44</t>
        </is>
      </c>
      <c r="B2292" s="26" t="inlineStr">
        <is>
          <t>성산</t>
        </is>
      </c>
      <c r="C2292" s="26" t="inlineStr">
        <is>
          <t>S44-H북</t>
        </is>
      </c>
      <c r="D2292" s="47" t="n">
        <v>1</v>
      </c>
      <c r="E2292" s="26" t="inlineStr">
        <is>
          <t>측정</t>
        </is>
      </c>
      <c r="F2292" s="26" t="inlineStr">
        <is>
          <t>북</t>
        </is>
      </c>
      <c r="G2292" s="31" t="n">
        <v>10</v>
      </c>
      <c r="H2292" s="30" t="n"/>
      <c r="I2292" s="43" t="n"/>
      <c r="J2292" s="41" t="n"/>
      <c r="K2292" s="41" t="n"/>
      <c r="L2292" s="41" t="n"/>
      <c r="M2292" s="31">
        <f>IF(COUNT(J2292:L2292)=0,"",MEDIAN(J2292:L2292))</f>
        <v/>
      </c>
      <c r="N2292" s="26">
        <f>IF(COUNTIFS($C:$C,$C2292,$D:$D,$D2292,$E:$E,"P0(전)",$M:$M,"&gt;0")&lt;&gt;1,"P0(전) 유효 1개 아님",IF(COUNTIFS($C:$C,$C2292,$D:$D,$D2292,$E:$E,"P0(후)",$M:$M,"&gt;0")&lt;&gt;1,"P0(후) 유효 1개 아님",IF(NOT(AND(ISNUMBER(O2292),ISNUMBER(Q2292),ISNUMBER(I2292))),"시각 결측",IF(Q2292&lt;=O2292,"P0 시각 역전",IF(OR(I2292&lt;O2292,I2292&gt;Q2292),"측정시각 구간 밖","OK")))))</f>
        <v/>
      </c>
      <c r="O2292" s="48">
        <f>IF(COUNTIFS($C:$C,$C2292,$D:$D,$D2292,$E:$E,"P0(전)",$M:$M,"&gt;0")&lt;&gt;1,"",SUMIFS($I:$I,$C:$C,$C2292,$D:$D,$D2292,$E:$E,"P0(전)"))</f>
        <v/>
      </c>
      <c r="P2292" s="31">
        <f>IF(COUNTIFS($C:$C,$C2292,$D:$D,$D2292,$E:$E,"P0(전)",$M:$M,"&gt;0")&lt;&gt;1,"",SUMIFS($M:$M,$C:$C,$C2292,$D:$D,$D2292,$E:$E,"P0(전)"))</f>
        <v/>
      </c>
      <c r="Q2292" s="48">
        <f>IF(COUNTIFS($C:$C,$C2292,$D:$D,$D2292,$E:$E,"P0(후)",$M:$M,"&gt;0")&lt;&gt;1,"",SUMIFS($I:$I,$C:$C,$C2292,$D:$D,$D2292,$E:$E,"P0(후)"))</f>
        <v/>
      </c>
      <c r="R2292" s="31">
        <f>IF(COUNTIFS($C:$C,$C2292,$D:$D,$D2292,$E:$E,"P0(후)",$M:$M,"&gt;0")&lt;&gt;1,"",SUMIFS($M:$M,$C:$C,$C2292,$D:$D,$D2292,$E:$E,"P0(후)"))</f>
        <v/>
      </c>
      <c r="S2292" s="31">
        <f>IF(N2292&lt;&gt;"OK","",P2292+(R2292-P2292)*(I2292-O2292)/(Q2292-O2292))</f>
        <v/>
      </c>
      <c r="T2292" s="31">
        <f>IF(OR(N2292&lt;&gt;"OK",NOT(ISNUMBER(M2292))),"",M2292-S2292)</f>
        <v/>
      </c>
      <c r="U2292" s="49">
        <f>IF(OR(NOT(ISNUMBER(T2292)),IF(ISNUMBER(H2292),H2292,G2292)=0),"",T2292/IF(ISNUMBER(H2292),H2292,G2292))</f>
        <v/>
      </c>
      <c r="V2292" s="49">
        <f>IF(ISNUMBER(U2292),ABS(U2292),"")</f>
        <v/>
      </c>
      <c r="W2292" s="49">
        <f>IF(OR($E2291&lt;&gt;"측정",$C2291&lt;&gt;$C2292,$D2291&lt;&gt;$D2292,NOT(ISNUMBER(M2292)),NOT(ISNUMBER(M2291)),(IF(ISNUMBER(H2292),H2292,G2292)-IF(ISNUMBER(H2291),H2291,G2291))=0),"",(M2292-M2291)/(IF(ISNUMBER(H2292),H2292,G2292)-IF(ISNUMBER(H2291),H2291,G2291)))</f>
        <v/>
      </c>
      <c r="X2292" s="31">
        <f>IF(NOT(AND(ISNUMBER(O2292),ISNUMBER(Q2292))),"",(Q2292-O2292)*1440)</f>
        <v/>
      </c>
      <c r="Y2292" s="29" t="n"/>
      <c r="Z2292" s="29" t="n"/>
      <c r="AA2292" s="29" t="n"/>
      <c r="AB2292" s="32" t="n"/>
      <c r="AC2292" s="32" t="n"/>
    </row>
    <row r="2293">
      <c r="A2293" s="44" t="inlineStr">
        <is>
          <t>S44</t>
        </is>
      </c>
      <c r="B2293" s="44" t="inlineStr">
        <is>
          <t>성산</t>
        </is>
      </c>
      <c r="C2293" s="44" t="inlineStr">
        <is>
          <t>S44-H북</t>
        </is>
      </c>
      <c r="D2293" s="45" t="n">
        <v>1</v>
      </c>
      <c r="E2293" s="44" t="inlineStr">
        <is>
          <t>P0(후)</t>
        </is>
      </c>
      <c r="F2293" s="44" t="inlineStr">
        <is>
          <t>북</t>
        </is>
      </c>
      <c r="G2293" s="46" t="n"/>
      <c r="H2293" s="30" t="n"/>
      <c r="I2293" s="43" t="n"/>
      <c r="J2293" s="41" t="n"/>
      <c r="K2293" s="41" t="n"/>
      <c r="L2293" s="41" t="n"/>
      <c r="M2293" s="31">
        <f>IF(COUNT(J2293:L2293)=0,"",MEDIAN(J2293:L2293))</f>
        <v/>
      </c>
      <c r="N2293" s="38" t="n"/>
      <c r="O2293" s="38" t="n"/>
      <c r="P2293" s="38" t="n"/>
      <c r="Q2293" s="38" t="n"/>
      <c r="R2293" s="38" t="n"/>
      <c r="S2293" s="38" t="n"/>
      <c r="T2293" s="38" t="n"/>
      <c r="U2293" s="38" t="n"/>
      <c r="V2293" s="38" t="n"/>
      <c r="W2293" s="38" t="n"/>
      <c r="X2293" s="38" t="n"/>
      <c r="Y2293" s="29" t="n"/>
      <c r="Z2293" s="29" t="n"/>
      <c r="AA2293" s="29" t="n"/>
      <c r="AB2293" s="32" t="n"/>
      <c r="AC2293" s="32" t="n"/>
    </row>
    <row r="2294">
      <c r="A2294" s="44" t="inlineStr">
        <is>
          <t>S45</t>
        </is>
      </c>
      <c r="B2294" s="44" t="inlineStr">
        <is>
          <t>여주</t>
        </is>
      </c>
      <c r="C2294" s="44" t="inlineStr">
        <is>
          <t>S45-H동</t>
        </is>
      </c>
      <c r="D2294" s="45" t="n">
        <v>1</v>
      </c>
      <c r="E2294" s="44" t="inlineStr">
        <is>
          <t>P0(전)</t>
        </is>
      </c>
      <c r="F2294" s="44" t="inlineStr">
        <is>
          <t>동</t>
        </is>
      </c>
      <c r="G2294" s="46" t="n"/>
      <c r="H2294" s="30" t="n"/>
      <c r="I2294" s="43" t="n"/>
      <c r="J2294" s="41" t="n"/>
      <c r="K2294" s="41" t="n"/>
      <c r="L2294" s="41" t="n"/>
      <c r="M2294" s="31">
        <f>IF(COUNT(J2294:L2294)=0,"",MEDIAN(J2294:L2294))</f>
        <v/>
      </c>
      <c r="N2294" s="38" t="n"/>
      <c r="O2294" s="38" t="n"/>
      <c r="P2294" s="38" t="n"/>
      <c r="Q2294" s="38" t="n"/>
      <c r="R2294" s="38" t="n"/>
      <c r="S2294" s="38" t="n"/>
      <c r="T2294" s="38" t="n"/>
      <c r="U2294" s="38" t="n"/>
      <c r="V2294" s="38" t="n"/>
      <c r="W2294" s="38" t="n"/>
      <c r="X2294" s="38" t="n"/>
      <c r="Y2294" s="29" t="n"/>
      <c r="Z2294" s="29" t="n"/>
      <c r="AA2294" s="29" t="n"/>
      <c r="AB2294" s="32" t="n"/>
      <c r="AC2294" s="32" t="n"/>
    </row>
    <row r="2295">
      <c r="A2295" s="26" t="inlineStr">
        <is>
          <t>S45</t>
        </is>
      </c>
      <c r="B2295" s="26" t="inlineStr">
        <is>
          <t>여주</t>
        </is>
      </c>
      <c r="C2295" s="26" t="inlineStr">
        <is>
          <t>S45-H동</t>
        </is>
      </c>
      <c r="D2295" s="47" t="n">
        <v>1</v>
      </c>
      <c r="E2295" s="26" t="inlineStr">
        <is>
          <t>측정</t>
        </is>
      </c>
      <c r="F2295" s="26" t="inlineStr">
        <is>
          <t>동</t>
        </is>
      </c>
      <c r="G2295" s="31" t="n">
        <v>0.5</v>
      </c>
      <c r="H2295" s="30" t="n"/>
      <c r="I2295" s="43" t="n"/>
      <c r="J2295" s="41" t="n"/>
      <c r="K2295" s="41" t="n"/>
      <c r="L2295" s="41" t="n"/>
      <c r="M2295" s="31">
        <f>IF(COUNT(J2295:L2295)=0,"",MEDIAN(J2295:L2295))</f>
        <v/>
      </c>
      <c r="N2295" s="26">
        <f>IF(COUNTIFS($C:$C,$C2295,$D:$D,$D2295,$E:$E,"P0(전)",$M:$M,"&gt;0")&lt;&gt;1,"P0(전) 유효 1개 아님",IF(COUNTIFS($C:$C,$C2295,$D:$D,$D2295,$E:$E,"P0(후)",$M:$M,"&gt;0")&lt;&gt;1,"P0(후) 유효 1개 아님",IF(NOT(AND(ISNUMBER(O2295),ISNUMBER(Q2295),ISNUMBER(I2295))),"시각 결측",IF(Q2295&lt;=O2295,"P0 시각 역전",IF(OR(I2295&lt;O2295,I2295&gt;Q2295),"측정시각 구간 밖","OK")))))</f>
        <v/>
      </c>
      <c r="O2295" s="48">
        <f>IF(COUNTIFS($C:$C,$C2295,$D:$D,$D2295,$E:$E,"P0(전)",$M:$M,"&gt;0")&lt;&gt;1,"",SUMIFS($I:$I,$C:$C,$C2295,$D:$D,$D2295,$E:$E,"P0(전)"))</f>
        <v/>
      </c>
      <c r="P2295" s="31">
        <f>IF(COUNTIFS($C:$C,$C2295,$D:$D,$D2295,$E:$E,"P0(전)",$M:$M,"&gt;0")&lt;&gt;1,"",SUMIFS($M:$M,$C:$C,$C2295,$D:$D,$D2295,$E:$E,"P0(전)"))</f>
        <v/>
      </c>
      <c r="Q2295" s="48">
        <f>IF(COUNTIFS($C:$C,$C2295,$D:$D,$D2295,$E:$E,"P0(후)",$M:$M,"&gt;0")&lt;&gt;1,"",SUMIFS($I:$I,$C:$C,$C2295,$D:$D,$D2295,$E:$E,"P0(후)"))</f>
        <v/>
      </c>
      <c r="R2295" s="31">
        <f>IF(COUNTIFS($C:$C,$C2295,$D:$D,$D2295,$E:$E,"P0(후)",$M:$M,"&gt;0")&lt;&gt;1,"",SUMIFS($M:$M,$C:$C,$C2295,$D:$D,$D2295,$E:$E,"P0(후)"))</f>
        <v/>
      </c>
      <c r="S2295" s="31">
        <f>IF(N2295&lt;&gt;"OK","",P2295+(R2295-P2295)*(I2295-O2295)/(Q2295-O2295))</f>
        <v/>
      </c>
      <c r="T2295" s="31">
        <f>IF(OR(N2295&lt;&gt;"OK",NOT(ISNUMBER(M2295))),"",M2295-S2295)</f>
        <v/>
      </c>
      <c r="U2295" s="49">
        <f>IF(OR(NOT(ISNUMBER(T2295)),IF(ISNUMBER(H2295),H2295,G2295)=0),"",T2295/IF(ISNUMBER(H2295),H2295,G2295))</f>
        <v/>
      </c>
      <c r="V2295" s="49">
        <f>IF(ISNUMBER(U2295),ABS(U2295),"")</f>
        <v/>
      </c>
      <c r="W2295" s="49">
        <f>IF(OR($E2294&lt;&gt;"측정",$C2294&lt;&gt;$C2295,$D2294&lt;&gt;$D2295,NOT(ISNUMBER(M2295)),NOT(ISNUMBER(M2294)),(IF(ISNUMBER(H2295),H2295,G2295)-IF(ISNUMBER(H2294),H2294,G2294))=0),"",(M2295-M2294)/(IF(ISNUMBER(H2295),H2295,G2295)-IF(ISNUMBER(H2294),H2294,G2294)))</f>
        <v/>
      </c>
      <c r="X2295" s="31">
        <f>IF(NOT(AND(ISNUMBER(O2295),ISNUMBER(Q2295))),"",(Q2295-O2295)*1440)</f>
        <v/>
      </c>
      <c r="Y2295" s="29" t="n"/>
      <c r="Z2295" s="29" t="n"/>
      <c r="AA2295" s="29" t="n"/>
      <c r="AB2295" s="32" t="n"/>
      <c r="AC2295" s="32" t="n"/>
    </row>
    <row r="2296">
      <c r="A2296" s="26" t="inlineStr">
        <is>
          <t>S45</t>
        </is>
      </c>
      <c r="B2296" s="26" t="inlineStr">
        <is>
          <t>여주</t>
        </is>
      </c>
      <c r="C2296" s="26" t="inlineStr">
        <is>
          <t>S45-H동</t>
        </is>
      </c>
      <c r="D2296" s="47" t="n">
        <v>1</v>
      </c>
      <c r="E2296" s="26" t="inlineStr">
        <is>
          <t>측정</t>
        </is>
      </c>
      <c r="F2296" s="26" t="inlineStr">
        <is>
          <t>동</t>
        </is>
      </c>
      <c r="G2296" s="31" t="n">
        <v>1</v>
      </c>
      <c r="H2296" s="30" t="n"/>
      <c r="I2296" s="43" t="n"/>
      <c r="J2296" s="41" t="n"/>
      <c r="K2296" s="41" t="n"/>
      <c r="L2296" s="41" t="n"/>
      <c r="M2296" s="31">
        <f>IF(COUNT(J2296:L2296)=0,"",MEDIAN(J2296:L2296))</f>
        <v/>
      </c>
      <c r="N2296" s="26">
        <f>IF(COUNTIFS($C:$C,$C2296,$D:$D,$D2296,$E:$E,"P0(전)",$M:$M,"&gt;0")&lt;&gt;1,"P0(전) 유효 1개 아님",IF(COUNTIFS($C:$C,$C2296,$D:$D,$D2296,$E:$E,"P0(후)",$M:$M,"&gt;0")&lt;&gt;1,"P0(후) 유효 1개 아님",IF(NOT(AND(ISNUMBER(O2296),ISNUMBER(Q2296),ISNUMBER(I2296))),"시각 결측",IF(Q2296&lt;=O2296,"P0 시각 역전",IF(OR(I2296&lt;O2296,I2296&gt;Q2296),"측정시각 구간 밖","OK")))))</f>
        <v/>
      </c>
      <c r="O2296" s="48">
        <f>IF(COUNTIFS($C:$C,$C2296,$D:$D,$D2296,$E:$E,"P0(전)",$M:$M,"&gt;0")&lt;&gt;1,"",SUMIFS($I:$I,$C:$C,$C2296,$D:$D,$D2296,$E:$E,"P0(전)"))</f>
        <v/>
      </c>
      <c r="P2296" s="31">
        <f>IF(COUNTIFS($C:$C,$C2296,$D:$D,$D2296,$E:$E,"P0(전)",$M:$M,"&gt;0")&lt;&gt;1,"",SUMIFS($M:$M,$C:$C,$C2296,$D:$D,$D2296,$E:$E,"P0(전)"))</f>
        <v/>
      </c>
      <c r="Q2296" s="48">
        <f>IF(COUNTIFS($C:$C,$C2296,$D:$D,$D2296,$E:$E,"P0(후)",$M:$M,"&gt;0")&lt;&gt;1,"",SUMIFS($I:$I,$C:$C,$C2296,$D:$D,$D2296,$E:$E,"P0(후)"))</f>
        <v/>
      </c>
      <c r="R2296" s="31">
        <f>IF(COUNTIFS($C:$C,$C2296,$D:$D,$D2296,$E:$E,"P0(후)",$M:$M,"&gt;0")&lt;&gt;1,"",SUMIFS($M:$M,$C:$C,$C2296,$D:$D,$D2296,$E:$E,"P0(후)"))</f>
        <v/>
      </c>
      <c r="S2296" s="31">
        <f>IF(N2296&lt;&gt;"OK","",P2296+(R2296-P2296)*(I2296-O2296)/(Q2296-O2296))</f>
        <v/>
      </c>
      <c r="T2296" s="31">
        <f>IF(OR(N2296&lt;&gt;"OK",NOT(ISNUMBER(M2296))),"",M2296-S2296)</f>
        <v/>
      </c>
      <c r="U2296" s="49">
        <f>IF(OR(NOT(ISNUMBER(T2296)),IF(ISNUMBER(H2296),H2296,G2296)=0),"",T2296/IF(ISNUMBER(H2296),H2296,G2296))</f>
        <v/>
      </c>
      <c r="V2296" s="49">
        <f>IF(ISNUMBER(U2296),ABS(U2296),"")</f>
        <v/>
      </c>
      <c r="W2296" s="49">
        <f>IF(OR($E2295&lt;&gt;"측정",$C2295&lt;&gt;$C2296,$D2295&lt;&gt;$D2296,NOT(ISNUMBER(M2296)),NOT(ISNUMBER(M2295)),(IF(ISNUMBER(H2296),H2296,G2296)-IF(ISNUMBER(H2295),H2295,G2295))=0),"",(M2296-M2295)/(IF(ISNUMBER(H2296),H2296,G2296)-IF(ISNUMBER(H2295),H2295,G2295)))</f>
        <v/>
      </c>
      <c r="X2296" s="31">
        <f>IF(NOT(AND(ISNUMBER(O2296),ISNUMBER(Q2296))),"",(Q2296-O2296)*1440)</f>
        <v/>
      </c>
      <c r="Y2296" s="29" t="n"/>
      <c r="Z2296" s="29" t="n"/>
      <c r="AA2296" s="29" t="n"/>
      <c r="AB2296" s="32" t="n"/>
      <c r="AC2296" s="32" t="n"/>
    </row>
    <row r="2297">
      <c r="A2297" s="26" t="inlineStr">
        <is>
          <t>S45</t>
        </is>
      </c>
      <c r="B2297" s="26" t="inlineStr">
        <is>
          <t>여주</t>
        </is>
      </c>
      <c r="C2297" s="26" t="inlineStr">
        <is>
          <t>S45-H동</t>
        </is>
      </c>
      <c r="D2297" s="47" t="n">
        <v>1</v>
      </c>
      <c r="E2297" s="26" t="inlineStr">
        <is>
          <t>측정</t>
        </is>
      </c>
      <c r="F2297" s="26" t="inlineStr">
        <is>
          <t>동</t>
        </is>
      </c>
      <c r="G2297" s="31" t="n">
        <v>2</v>
      </c>
      <c r="H2297" s="30" t="n"/>
      <c r="I2297" s="43" t="n"/>
      <c r="J2297" s="41" t="n"/>
      <c r="K2297" s="41" t="n"/>
      <c r="L2297" s="41" t="n"/>
      <c r="M2297" s="31">
        <f>IF(COUNT(J2297:L2297)=0,"",MEDIAN(J2297:L2297))</f>
        <v/>
      </c>
      <c r="N2297" s="26">
        <f>IF(COUNTIFS($C:$C,$C2297,$D:$D,$D2297,$E:$E,"P0(전)",$M:$M,"&gt;0")&lt;&gt;1,"P0(전) 유효 1개 아님",IF(COUNTIFS($C:$C,$C2297,$D:$D,$D2297,$E:$E,"P0(후)",$M:$M,"&gt;0")&lt;&gt;1,"P0(후) 유효 1개 아님",IF(NOT(AND(ISNUMBER(O2297),ISNUMBER(Q2297),ISNUMBER(I2297))),"시각 결측",IF(Q2297&lt;=O2297,"P0 시각 역전",IF(OR(I2297&lt;O2297,I2297&gt;Q2297),"측정시각 구간 밖","OK")))))</f>
        <v/>
      </c>
      <c r="O2297" s="48">
        <f>IF(COUNTIFS($C:$C,$C2297,$D:$D,$D2297,$E:$E,"P0(전)",$M:$M,"&gt;0")&lt;&gt;1,"",SUMIFS($I:$I,$C:$C,$C2297,$D:$D,$D2297,$E:$E,"P0(전)"))</f>
        <v/>
      </c>
      <c r="P2297" s="31">
        <f>IF(COUNTIFS($C:$C,$C2297,$D:$D,$D2297,$E:$E,"P0(전)",$M:$M,"&gt;0")&lt;&gt;1,"",SUMIFS($M:$M,$C:$C,$C2297,$D:$D,$D2297,$E:$E,"P0(전)"))</f>
        <v/>
      </c>
      <c r="Q2297" s="48">
        <f>IF(COUNTIFS($C:$C,$C2297,$D:$D,$D2297,$E:$E,"P0(후)",$M:$M,"&gt;0")&lt;&gt;1,"",SUMIFS($I:$I,$C:$C,$C2297,$D:$D,$D2297,$E:$E,"P0(후)"))</f>
        <v/>
      </c>
      <c r="R2297" s="31">
        <f>IF(COUNTIFS($C:$C,$C2297,$D:$D,$D2297,$E:$E,"P0(후)",$M:$M,"&gt;0")&lt;&gt;1,"",SUMIFS($M:$M,$C:$C,$C2297,$D:$D,$D2297,$E:$E,"P0(후)"))</f>
        <v/>
      </c>
      <c r="S2297" s="31">
        <f>IF(N2297&lt;&gt;"OK","",P2297+(R2297-P2297)*(I2297-O2297)/(Q2297-O2297))</f>
        <v/>
      </c>
      <c r="T2297" s="31">
        <f>IF(OR(N2297&lt;&gt;"OK",NOT(ISNUMBER(M2297))),"",M2297-S2297)</f>
        <v/>
      </c>
      <c r="U2297" s="49">
        <f>IF(OR(NOT(ISNUMBER(T2297)),IF(ISNUMBER(H2297),H2297,G2297)=0),"",T2297/IF(ISNUMBER(H2297),H2297,G2297))</f>
        <v/>
      </c>
      <c r="V2297" s="49">
        <f>IF(ISNUMBER(U2297),ABS(U2297),"")</f>
        <v/>
      </c>
      <c r="W2297" s="49">
        <f>IF(OR($E2296&lt;&gt;"측정",$C2296&lt;&gt;$C2297,$D2296&lt;&gt;$D2297,NOT(ISNUMBER(M2297)),NOT(ISNUMBER(M2296)),(IF(ISNUMBER(H2297),H2297,G2297)-IF(ISNUMBER(H2296),H2296,G2296))=0),"",(M2297-M2296)/(IF(ISNUMBER(H2297),H2297,G2297)-IF(ISNUMBER(H2296),H2296,G2296)))</f>
        <v/>
      </c>
      <c r="X2297" s="31">
        <f>IF(NOT(AND(ISNUMBER(O2297),ISNUMBER(Q2297))),"",(Q2297-O2297)*1440)</f>
        <v/>
      </c>
      <c r="Y2297" s="29" t="n"/>
      <c r="Z2297" s="29" t="n"/>
      <c r="AA2297" s="29" t="n"/>
      <c r="AB2297" s="32" t="n"/>
      <c r="AC2297" s="32" t="n"/>
    </row>
    <row r="2298">
      <c r="A2298" s="26" t="inlineStr">
        <is>
          <t>S45</t>
        </is>
      </c>
      <c r="B2298" s="26" t="inlineStr">
        <is>
          <t>여주</t>
        </is>
      </c>
      <c r="C2298" s="26" t="inlineStr">
        <is>
          <t>S45-H동</t>
        </is>
      </c>
      <c r="D2298" s="47" t="n">
        <v>1</v>
      </c>
      <c r="E2298" s="26" t="inlineStr">
        <is>
          <t>측정</t>
        </is>
      </c>
      <c r="F2298" s="26" t="inlineStr">
        <is>
          <t>동</t>
        </is>
      </c>
      <c r="G2298" s="31" t="n">
        <v>3</v>
      </c>
      <c r="H2298" s="30" t="n"/>
      <c r="I2298" s="43" t="n"/>
      <c r="J2298" s="41" t="n"/>
      <c r="K2298" s="41" t="n"/>
      <c r="L2298" s="41" t="n"/>
      <c r="M2298" s="31">
        <f>IF(COUNT(J2298:L2298)=0,"",MEDIAN(J2298:L2298))</f>
        <v/>
      </c>
      <c r="N2298" s="26">
        <f>IF(COUNTIFS($C:$C,$C2298,$D:$D,$D2298,$E:$E,"P0(전)",$M:$M,"&gt;0")&lt;&gt;1,"P0(전) 유효 1개 아님",IF(COUNTIFS($C:$C,$C2298,$D:$D,$D2298,$E:$E,"P0(후)",$M:$M,"&gt;0")&lt;&gt;1,"P0(후) 유효 1개 아님",IF(NOT(AND(ISNUMBER(O2298),ISNUMBER(Q2298),ISNUMBER(I2298))),"시각 결측",IF(Q2298&lt;=O2298,"P0 시각 역전",IF(OR(I2298&lt;O2298,I2298&gt;Q2298),"측정시각 구간 밖","OK")))))</f>
        <v/>
      </c>
      <c r="O2298" s="48">
        <f>IF(COUNTIFS($C:$C,$C2298,$D:$D,$D2298,$E:$E,"P0(전)",$M:$M,"&gt;0")&lt;&gt;1,"",SUMIFS($I:$I,$C:$C,$C2298,$D:$D,$D2298,$E:$E,"P0(전)"))</f>
        <v/>
      </c>
      <c r="P2298" s="31">
        <f>IF(COUNTIFS($C:$C,$C2298,$D:$D,$D2298,$E:$E,"P0(전)",$M:$M,"&gt;0")&lt;&gt;1,"",SUMIFS($M:$M,$C:$C,$C2298,$D:$D,$D2298,$E:$E,"P0(전)"))</f>
        <v/>
      </c>
      <c r="Q2298" s="48">
        <f>IF(COUNTIFS($C:$C,$C2298,$D:$D,$D2298,$E:$E,"P0(후)",$M:$M,"&gt;0")&lt;&gt;1,"",SUMIFS($I:$I,$C:$C,$C2298,$D:$D,$D2298,$E:$E,"P0(후)"))</f>
        <v/>
      </c>
      <c r="R2298" s="31">
        <f>IF(COUNTIFS($C:$C,$C2298,$D:$D,$D2298,$E:$E,"P0(후)",$M:$M,"&gt;0")&lt;&gt;1,"",SUMIFS($M:$M,$C:$C,$C2298,$D:$D,$D2298,$E:$E,"P0(후)"))</f>
        <v/>
      </c>
      <c r="S2298" s="31">
        <f>IF(N2298&lt;&gt;"OK","",P2298+(R2298-P2298)*(I2298-O2298)/(Q2298-O2298))</f>
        <v/>
      </c>
      <c r="T2298" s="31">
        <f>IF(OR(N2298&lt;&gt;"OK",NOT(ISNUMBER(M2298))),"",M2298-S2298)</f>
        <v/>
      </c>
      <c r="U2298" s="49">
        <f>IF(OR(NOT(ISNUMBER(T2298)),IF(ISNUMBER(H2298),H2298,G2298)=0),"",T2298/IF(ISNUMBER(H2298),H2298,G2298))</f>
        <v/>
      </c>
      <c r="V2298" s="49">
        <f>IF(ISNUMBER(U2298),ABS(U2298),"")</f>
        <v/>
      </c>
      <c r="W2298" s="49">
        <f>IF(OR($E2297&lt;&gt;"측정",$C2297&lt;&gt;$C2298,$D2297&lt;&gt;$D2298,NOT(ISNUMBER(M2298)),NOT(ISNUMBER(M2297)),(IF(ISNUMBER(H2298),H2298,G2298)-IF(ISNUMBER(H2297),H2297,G2297))=0),"",(M2298-M2297)/(IF(ISNUMBER(H2298),H2298,G2298)-IF(ISNUMBER(H2297),H2297,G2297)))</f>
        <v/>
      </c>
      <c r="X2298" s="31">
        <f>IF(NOT(AND(ISNUMBER(O2298),ISNUMBER(Q2298))),"",(Q2298-O2298)*1440)</f>
        <v/>
      </c>
      <c r="Y2298" s="29" t="n"/>
      <c r="Z2298" s="29" t="n"/>
      <c r="AA2298" s="29" t="n"/>
      <c r="AB2298" s="32" t="n"/>
      <c r="AC2298" s="32" t="n"/>
    </row>
    <row r="2299">
      <c r="A2299" s="26" t="inlineStr">
        <is>
          <t>S45</t>
        </is>
      </c>
      <c r="B2299" s="26" t="inlineStr">
        <is>
          <t>여주</t>
        </is>
      </c>
      <c r="C2299" s="26" t="inlineStr">
        <is>
          <t>S45-H동</t>
        </is>
      </c>
      <c r="D2299" s="47" t="n">
        <v>1</v>
      </c>
      <c r="E2299" s="26" t="inlineStr">
        <is>
          <t>측정</t>
        </is>
      </c>
      <c r="F2299" s="26" t="inlineStr">
        <is>
          <t>동</t>
        </is>
      </c>
      <c r="G2299" s="31" t="n">
        <v>4</v>
      </c>
      <c r="H2299" s="30" t="n"/>
      <c r="I2299" s="43" t="n"/>
      <c r="J2299" s="41" t="n"/>
      <c r="K2299" s="41" t="n"/>
      <c r="L2299" s="41" t="n"/>
      <c r="M2299" s="31">
        <f>IF(COUNT(J2299:L2299)=0,"",MEDIAN(J2299:L2299))</f>
        <v/>
      </c>
      <c r="N2299" s="26">
        <f>IF(COUNTIFS($C:$C,$C2299,$D:$D,$D2299,$E:$E,"P0(전)",$M:$M,"&gt;0")&lt;&gt;1,"P0(전) 유효 1개 아님",IF(COUNTIFS($C:$C,$C2299,$D:$D,$D2299,$E:$E,"P0(후)",$M:$M,"&gt;0")&lt;&gt;1,"P0(후) 유효 1개 아님",IF(NOT(AND(ISNUMBER(O2299),ISNUMBER(Q2299),ISNUMBER(I2299))),"시각 결측",IF(Q2299&lt;=O2299,"P0 시각 역전",IF(OR(I2299&lt;O2299,I2299&gt;Q2299),"측정시각 구간 밖","OK")))))</f>
        <v/>
      </c>
      <c r="O2299" s="48">
        <f>IF(COUNTIFS($C:$C,$C2299,$D:$D,$D2299,$E:$E,"P0(전)",$M:$M,"&gt;0")&lt;&gt;1,"",SUMIFS($I:$I,$C:$C,$C2299,$D:$D,$D2299,$E:$E,"P0(전)"))</f>
        <v/>
      </c>
      <c r="P2299" s="31">
        <f>IF(COUNTIFS($C:$C,$C2299,$D:$D,$D2299,$E:$E,"P0(전)",$M:$M,"&gt;0")&lt;&gt;1,"",SUMIFS($M:$M,$C:$C,$C2299,$D:$D,$D2299,$E:$E,"P0(전)"))</f>
        <v/>
      </c>
      <c r="Q2299" s="48">
        <f>IF(COUNTIFS($C:$C,$C2299,$D:$D,$D2299,$E:$E,"P0(후)",$M:$M,"&gt;0")&lt;&gt;1,"",SUMIFS($I:$I,$C:$C,$C2299,$D:$D,$D2299,$E:$E,"P0(후)"))</f>
        <v/>
      </c>
      <c r="R2299" s="31">
        <f>IF(COUNTIFS($C:$C,$C2299,$D:$D,$D2299,$E:$E,"P0(후)",$M:$M,"&gt;0")&lt;&gt;1,"",SUMIFS($M:$M,$C:$C,$C2299,$D:$D,$D2299,$E:$E,"P0(후)"))</f>
        <v/>
      </c>
      <c r="S2299" s="31">
        <f>IF(N2299&lt;&gt;"OK","",P2299+(R2299-P2299)*(I2299-O2299)/(Q2299-O2299))</f>
        <v/>
      </c>
      <c r="T2299" s="31">
        <f>IF(OR(N2299&lt;&gt;"OK",NOT(ISNUMBER(M2299))),"",M2299-S2299)</f>
        <v/>
      </c>
      <c r="U2299" s="49">
        <f>IF(OR(NOT(ISNUMBER(T2299)),IF(ISNUMBER(H2299),H2299,G2299)=0),"",T2299/IF(ISNUMBER(H2299),H2299,G2299))</f>
        <v/>
      </c>
      <c r="V2299" s="49">
        <f>IF(ISNUMBER(U2299),ABS(U2299),"")</f>
        <v/>
      </c>
      <c r="W2299" s="49">
        <f>IF(OR($E2298&lt;&gt;"측정",$C2298&lt;&gt;$C2299,$D2298&lt;&gt;$D2299,NOT(ISNUMBER(M2299)),NOT(ISNUMBER(M2298)),(IF(ISNUMBER(H2299),H2299,G2299)-IF(ISNUMBER(H2298),H2298,G2298))=0),"",(M2299-M2298)/(IF(ISNUMBER(H2299),H2299,G2299)-IF(ISNUMBER(H2298),H2298,G2298)))</f>
        <v/>
      </c>
      <c r="X2299" s="31">
        <f>IF(NOT(AND(ISNUMBER(O2299),ISNUMBER(Q2299))),"",(Q2299-O2299)*1440)</f>
        <v/>
      </c>
      <c r="Y2299" s="29" t="n"/>
      <c r="Z2299" s="29" t="n"/>
      <c r="AA2299" s="29" t="n"/>
      <c r="AB2299" s="32" t="n"/>
      <c r="AC2299" s="32" t="n"/>
    </row>
    <row r="2300">
      <c r="A2300" s="26" t="inlineStr">
        <is>
          <t>S45</t>
        </is>
      </c>
      <c r="B2300" s="26" t="inlineStr">
        <is>
          <t>여주</t>
        </is>
      </c>
      <c r="C2300" s="26" t="inlineStr">
        <is>
          <t>S45-H동</t>
        </is>
      </c>
      <c r="D2300" s="47" t="n">
        <v>1</v>
      </c>
      <c r="E2300" s="26" t="inlineStr">
        <is>
          <t>측정</t>
        </is>
      </c>
      <c r="F2300" s="26" t="inlineStr">
        <is>
          <t>동</t>
        </is>
      </c>
      <c r="G2300" s="31" t="n">
        <v>5</v>
      </c>
      <c r="H2300" s="30" t="n"/>
      <c r="I2300" s="43" t="n"/>
      <c r="J2300" s="41" t="n"/>
      <c r="K2300" s="41" t="n"/>
      <c r="L2300" s="41" t="n"/>
      <c r="M2300" s="31">
        <f>IF(COUNT(J2300:L2300)=0,"",MEDIAN(J2300:L2300))</f>
        <v/>
      </c>
      <c r="N2300" s="26">
        <f>IF(COUNTIFS($C:$C,$C2300,$D:$D,$D2300,$E:$E,"P0(전)",$M:$M,"&gt;0")&lt;&gt;1,"P0(전) 유효 1개 아님",IF(COUNTIFS($C:$C,$C2300,$D:$D,$D2300,$E:$E,"P0(후)",$M:$M,"&gt;0")&lt;&gt;1,"P0(후) 유효 1개 아님",IF(NOT(AND(ISNUMBER(O2300),ISNUMBER(Q2300),ISNUMBER(I2300))),"시각 결측",IF(Q2300&lt;=O2300,"P0 시각 역전",IF(OR(I2300&lt;O2300,I2300&gt;Q2300),"측정시각 구간 밖","OK")))))</f>
        <v/>
      </c>
      <c r="O2300" s="48">
        <f>IF(COUNTIFS($C:$C,$C2300,$D:$D,$D2300,$E:$E,"P0(전)",$M:$M,"&gt;0")&lt;&gt;1,"",SUMIFS($I:$I,$C:$C,$C2300,$D:$D,$D2300,$E:$E,"P0(전)"))</f>
        <v/>
      </c>
      <c r="P2300" s="31">
        <f>IF(COUNTIFS($C:$C,$C2300,$D:$D,$D2300,$E:$E,"P0(전)",$M:$M,"&gt;0")&lt;&gt;1,"",SUMIFS($M:$M,$C:$C,$C2300,$D:$D,$D2300,$E:$E,"P0(전)"))</f>
        <v/>
      </c>
      <c r="Q2300" s="48">
        <f>IF(COUNTIFS($C:$C,$C2300,$D:$D,$D2300,$E:$E,"P0(후)",$M:$M,"&gt;0")&lt;&gt;1,"",SUMIFS($I:$I,$C:$C,$C2300,$D:$D,$D2300,$E:$E,"P0(후)"))</f>
        <v/>
      </c>
      <c r="R2300" s="31">
        <f>IF(COUNTIFS($C:$C,$C2300,$D:$D,$D2300,$E:$E,"P0(후)",$M:$M,"&gt;0")&lt;&gt;1,"",SUMIFS($M:$M,$C:$C,$C2300,$D:$D,$D2300,$E:$E,"P0(후)"))</f>
        <v/>
      </c>
      <c r="S2300" s="31">
        <f>IF(N2300&lt;&gt;"OK","",P2300+(R2300-P2300)*(I2300-O2300)/(Q2300-O2300))</f>
        <v/>
      </c>
      <c r="T2300" s="31">
        <f>IF(OR(N2300&lt;&gt;"OK",NOT(ISNUMBER(M2300))),"",M2300-S2300)</f>
        <v/>
      </c>
      <c r="U2300" s="49">
        <f>IF(OR(NOT(ISNUMBER(T2300)),IF(ISNUMBER(H2300),H2300,G2300)=0),"",T2300/IF(ISNUMBER(H2300),H2300,G2300))</f>
        <v/>
      </c>
      <c r="V2300" s="49">
        <f>IF(ISNUMBER(U2300),ABS(U2300),"")</f>
        <v/>
      </c>
      <c r="W2300" s="49">
        <f>IF(OR($E2299&lt;&gt;"측정",$C2299&lt;&gt;$C2300,$D2299&lt;&gt;$D2300,NOT(ISNUMBER(M2300)),NOT(ISNUMBER(M2299)),(IF(ISNUMBER(H2300),H2300,G2300)-IF(ISNUMBER(H2299),H2299,G2299))=0),"",(M2300-M2299)/(IF(ISNUMBER(H2300),H2300,G2300)-IF(ISNUMBER(H2299),H2299,G2299)))</f>
        <v/>
      </c>
      <c r="X2300" s="31">
        <f>IF(NOT(AND(ISNUMBER(O2300),ISNUMBER(Q2300))),"",(Q2300-O2300)*1440)</f>
        <v/>
      </c>
      <c r="Y2300" s="29" t="n"/>
      <c r="Z2300" s="29" t="n"/>
      <c r="AA2300" s="29" t="n"/>
      <c r="AB2300" s="32" t="n"/>
      <c r="AC2300" s="32" t="n"/>
    </row>
    <row r="2301">
      <c r="A2301" s="26" t="inlineStr">
        <is>
          <t>S45</t>
        </is>
      </c>
      <c r="B2301" s="26" t="inlineStr">
        <is>
          <t>여주</t>
        </is>
      </c>
      <c r="C2301" s="26" t="inlineStr">
        <is>
          <t>S45-H동</t>
        </is>
      </c>
      <c r="D2301" s="47" t="n">
        <v>1</v>
      </c>
      <c r="E2301" s="26" t="inlineStr">
        <is>
          <t>측정</t>
        </is>
      </c>
      <c r="F2301" s="26" t="inlineStr">
        <is>
          <t>동</t>
        </is>
      </c>
      <c r="G2301" s="31" t="n">
        <v>6</v>
      </c>
      <c r="H2301" s="30" t="n"/>
      <c r="I2301" s="43" t="n"/>
      <c r="J2301" s="41" t="n"/>
      <c r="K2301" s="41" t="n"/>
      <c r="L2301" s="41" t="n"/>
      <c r="M2301" s="31">
        <f>IF(COUNT(J2301:L2301)=0,"",MEDIAN(J2301:L2301))</f>
        <v/>
      </c>
      <c r="N2301" s="26">
        <f>IF(COUNTIFS($C:$C,$C2301,$D:$D,$D2301,$E:$E,"P0(전)",$M:$M,"&gt;0")&lt;&gt;1,"P0(전) 유효 1개 아님",IF(COUNTIFS($C:$C,$C2301,$D:$D,$D2301,$E:$E,"P0(후)",$M:$M,"&gt;0")&lt;&gt;1,"P0(후) 유효 1개 아님",IF(NOT(AND(ISNUMBER(O2301),ISNUMBER(Q2301),ISNUMBER(I2301))),"시각 결측",IF(Q2301&lt;=O2301,"P0 시각 역전",IF(OR(I2301&lt;O2301,I2301&gt;Q2301),"측정시각 구간 밖","OK")))))</f>
        <v/>
      </c>
      <c r="O2301" s="48">
        <f>IF(COUNTIFS($C:$C,$C2301,$D:$D,$D2301,$E:$E,"P0(전)",$M:$M,"&gt;0")&lt;&gt;1,"",SUMIFS($I:$I,$C:$C,$C2301,$D:$D,$D2301,$E:$E,"P0(전)"))</f>
        <v/>
      </c>
      <c r="P2301" s="31">
        <f>IF(COUNTIFS($C:$C,$C2301,$D:$D,$D2301,$E:$E,"P0(전)",$M:$M,"&gt;0")&lt;&gt;1,"",SUMIFS($M:$M,$C:$C,$C2301,$D:$D,$D2301,$E:$E,"P0(전)"))</f>
        <v/>
      </c>
      <c r="Q2301" s="48">
        <f>IF(COUNTIFS($C:$C,$C2301,$D:$D,$D2301,$E:$E,"P0(후)",$M:$M,"&gt;0")&lt;&gt;1,"",SUMIFS($I:$I,$C:$C,$C2301,$D:$D,$D2301,$E:$E,"P0(후)"))</f>
        <v/>
      </c>
      <c r="R2301" s="31">
        <f>IF(COUNTIFS($C:$C,$C2301,$D:$D,$D2301,$E:$E,"P0(후)",$M:$M,"&gt;0")&lt;&gt;1,"",SUMIFS($M:$M,$C:$C,$C2301,$D:$D,$D2301,$E:$E,"P0(후)"))</f>
        <v/>
      </c>
      <c r="S2301" s="31">
        <f>IF(N2301&lt;&gt;"OK","",P2301+(R2301-P2301)*(I2301-O2301)/(Q2301-O2301))</f>
        <v/>
      </c>
      <c r="T2301" s="31">
        <f>IF(OR(N2301&lt;&gt;"OK",NOT(ISNUMBER(M2301))),"",M2301-S2301)</f>
        <v/>
      </c>
      <c r="U2301" s="49">
        <f>IF(OR(NOT(ISNUMBER(T2301)),IF(ISNUMBER(H2301),H2301,G2301)=0),"",T2301/IF(ISNUMBER(H2301),H2301,G2301))</f>
        <v/>
      </c>
      <c r="V2301" s="49">
        <f>IF(ISNUMBER(U2301),ABS(U2301),"")</f>
        <v/>
      </c>
      <c r="W2301" s="49">
        <f>IF(OR($E2300&lt;&gt;"측정",$C2300&lt;&gt;$C2301,$D2300&lt;&gt;$D2301,NOT(ISNUMBER(M2301)),NOT(ISNUMBER(M2300)),(IF(ISNUMBER(H2301),H2301,G2301)-IF(ISNUMBER(H2300),H2300,G2300))=0),"",(M2301-M2300)/(IF(ISNUMBER(H2301),H2301,G2301)-IF(ISNUMBER(H2300),H2300,G2300)))</f>
        <v/>
      </c>
      <c r="X2301" s="31">
        <f>IF(NOT(AND(ISNUMBER(O2301),ISNUMBER(Q2301))),"",(Q2301-O2301)*1440)</f>
        <v/>
      </c>
      <c r="Y2301" s="29" t="n"/>
      <c r="Z2301" s="29" t="n"/>
      <c r="AA2301" s="29" t="n"/>
      <c r="AB2301" s="32" t="n"/>
      <c r="AC2301" s="32" t="n"/>
    </row>
    <row r="2302">
      <c r="A2302" s="26" t="inlineStr">
        <is>
          <t>S45</t>
        </is>
      </c>
      <c r="B2302" s="26" t="inlineStr">
        <is>
          <t>여주</t>
        </is>
      </c>
      <c r="C2302" s="26" t="inlineStr">
        <is>
          <t>S45-H동</t>
        </is>
      </c>
      <c r="D2302" s="47" t="n">
        <v>1</v>
      </c>
      <c r="E2302" s="26" t="inlineStr">
        <is>
          <t>측정</t>
        </is>
      </c>
      <c r="F2302" s="26" t="inlineStr">
        <is>
          <t>동</t>
        </is>
      </c>
      <c r="G2302" s="31" t="n">
        <v>7</v>
      </c>
      <c r="H2302" s="30" t="n"/>
      <c r="I2302" s="43" t="n"/>
      <c r="J2302" s="41" t="n"/>
      <c r="K2302" s="41" t="n"/>
      <c r="L2302" s="41" t="n"/>
      <c r="M2302" s="31">
        <f>IF(COUNT(J2302:L2302)=0,"",MEDIAN(J2302:L2302))</f>
        <v/>
      </c>
      <c r="N2302" s="26">
        <f>IF(COUNTIFS($C:$C,$C2302,$D:$D,$D2302,$E:$E,"P0(전)",$M:$M,"&gt;0")&lt;&gt;1,"P0(전) 유효 1개 아님",IF(COUNTIFS($C:$C,$C2302,$D:$D,$D2302,$E:$E,"P0(후)",$M:$M,"&gt;0")&lt;&gt;1,"P0(후) 유효 1개 아님",IF(NOT(AND(ISNUMBER(O2302),ISNUMBER(Q2302),ISNUMBER(I2302))),"시각 결측",IF(Q2302&lt;=O2302,"P0 시각 역전",IF(OR(I2302&lt;O2302,I2302&gt;Q2302),"측정시각 구간 밖","OK")))))</f>
        <v/>
      </c>
      <c r="O2302" s="48">
        <f>IF(COUNTIFS($C:$C,$C2302,$D:$D,$D2302,$E:$E,"P0(전)",$M:$M,"&gt;0")&lt;&gt;1,"",SUMIFS($I:$I,$C:$C,$C2302,$D:$D,$D2302,$E:$E,"P0(전)"))</f>
        <v/>
      </c>
      <c r="P2302" s="31">
        <f>IF(COUNTIFS($C:$C,$C2302,$D:$D,$D2302,$E:$E,"P0(전)",$M:$M,"&gt;0")&lt;&gt;1,"",SUMIFS($M:$M,$C:$C,$C2302,$D:$D,$D2302,$E:$E,"P0(전)"))</f>
        <v/>
      </c>
      <c r="Q2302" s="48">
        <f>IF(COUNTIFS($C:$C,$C2302,$D:$D,$D2302,$E:$E,"P0(후)",$M:$M,"&gt;0")&lt;&gt;1,"",SUMIFS($I:$I,$C:$C,$C2302,$D:$D,$D2302,$E:$E,"P0(후)"))</f>
        <v/>
      </c>
      <c r="R2302" s="31">
        <f>IF(COUNTIFS($C:$C,$C2302,$D:$D,$D2302,$E:$E,"P0(후)",$M:$M,"&gt;0")&lt;&gt;1,"",SUMIFS($M:$M,$C:$C,$C2302,$D:$D,$D2302,$E:$E,"P0(후)"))</f>
        <v/>
      </c>
      <c r="S2302" s="31">
        <f>IF(N2302&lt;&gt;"OK","",P2302+(R2302-P2302)*(I2302-O2302)/(Q2302-O2302))</f>
        <v/>
      </c>
      <c r="T2302" s="31">
        <f>IF(OR(N2302&lt;&gt;"OK",NOT(ISNUMBER(M2302))),"",M2302-S2302)</f>
        <v/>
      </c>
      <c r="U2302" s="49">
        <f>IF(OR(NOT(ISNUMBER(T2302)),IF(ISNUMBER(H2302),H2302,G2302)=0),"",T2302/IF(ISNUMBER(H2302),H2302,G2302))</f>
        <v/>
      </c>
      <c r="V2302" s="49">
        <f>IF(ISNUMBER(U2302),ABS(U2302),"")</f>
        <v/>
      </c>
      <c r="W2302" s="49">
        <f>IF(OR($E2301&lt;&gt;"측정",$C2301&lt;&gt;$C2302,$D2301&lt;&gt;$D2302,NOT(ISNUMBER(M2302)),NOT(ISNUMBER(M2301)),(IF(ISNUMBER(H2302),H2302,G2302)-IF(ISNUMBER(H2301),H2301,G2301))=0),"",(M2302-M2301)/(IF(ISNUMBER(H2302),H2302,G2302)-IF(ISNUMBER(H2301),H2301,G2301)))</f>
        <v/>
      </c>
      <c r="X2302" s="31">
        <f>IF(NOT(AND(ISNUMBER(O2302),ISNUMBER(Q2302))),"",(Q2302-O2302)*1440)</f>
        <v/>
      </c>
      <c r="Y2302" s="29" t="n"/>
      <c r="Z2302" s="29" t="n"/>
      <c r="AA2302" s="29" t="n"/>
      <c r="AB2302" s="32" t="n"/>
      <c r="AC2302" s="32" t="n"/>
    </row>
    <row r="2303">
      <c r="A2303" s="26" t="inlineStr">
        <is>
          <t>S45</t>
        </is>
      </c>
      <c r="B2303" s="26" t="inlineStr">
        <is>
          <t>여주</t>
        </is>
      </c>
      <c r="C2303" s="26" t="inlineStr">
        <is>
          <t>S45-H동</t>
        </is>
      </c>
      <c r="D2303" s="47" t="n">
        <v>1</v>
      </c>
      <c r="E2303" s="26" t="inlineStr">
        <is>
          <t>측정</t>
        </is>
      </c>
      <c r="F2303" s="26" t="inlineStr">
        <is>
          <t>동</t>
        </is>
      </c>
      <c r="G2303" s="31" t="n">
        <v>8</v>
      </c>
      <c r="H2303" s="30" t="n"/>
      <c r="I2303" s="43" t="n"/>
      <c r="J2303" s="41" t="n"/>
      <c r="K2303" s="41" t="n"/>
      <c r="L2303" s="41" t="n"/>
      <c r="M2303" s="31">
        <f>IF(COUNT(J2303:L2303)=0,"",MEDIAN(J2303:L2303))</f>
        <v/>
      </c>
      <c r="N2303" s="26">
        <f>IF(COUNTIFS($C:$C,$C2303,$D:$D,$D2303,$E:$E,"P0(전)",$M:$M,"&gt;0")&lt;&gt;1,"P0(전) 유효 1개 아님",IF(COUNTIFS($C:$C,$C2303,$D:$D,$D2303,$E:$E,"P0(후)",$M:$M,"&gt;0")&lt;&gt;1,"P0(후) 유효 1개 아님",IF(NOT(AND(ISNUMBER(O2303),ISNUMBER(Q2303),ISNUMBER(I2303))),"시각 결측",IF(Q2303&lt;=O2303,"P0 시각 역전",IF(OR(I2303&lt;O2303,I2303&gt;Q2303),"측정시각 구간 밖","OK")))))</f>
        <v/>
      </c>
      <c r="O2303" s="48">
        <f>IF(COUNTIFS($C:$C,$C2303,$D:$D,$D2303,$E:$E,"P0(전)",$M:$M,"&gt;0")&lt;&gt;1,"",SUMIFS($I:$I,$C:$C,$C2303,$D:$D,$D2303,$E:$E,"P0(전)"))</f>
        <v/>
      </c>
      <c r="P2303" s="31">
        <f>IF(COUNTIFS($C:$C,$C2303,$D:$D,$D2303,$E:$E,"P0(전)",$M:$M,"&gt;0")&lt;&gt;1,"",SUMIFS($M:$M,$C:$C,$C2303,$D:$D,$D2303,$E:$E,"P0(전)"))</f>
        <v/>
      </c>
      <c r="Q2303" s="48">
        <f>IF(COUNTIFS($C:$C,$C2303,$D:$D,$D2303,$E:$E,"P0(후)",$M:$M,"&gt;0")&lt;&gt;1,"",SUMIFS($I:$I,$C:$C,$C2303,$D:$D,$D2303,$E:$E,"P0(후)"))</f>
        <v/>
      </c>
      <c r="R2303" s="31">
        <f>IF(COUNTIFS($C:$C,$C2303,$D:$D,$D2303,$E:$E,"P0(후)",$M:$M,"&gt;0")&lt;&gt;1,"",SUMIFS($M:$M,$C:$C,$C2303,$D:$D,$D2303,$E:$E,"P0(후)"))</f>
        <v/>
      </c>
      <c r="S2303" s="31">
        <f>IF(N2303&lt;&gt;"OK","",P2303+(R2303-P2303)*(I2303-O2303)/(Q2303-O2303))</f>
        <v/>
      </c>
      <c r="T2303" s="31">
        <f>IF(OR(N2303&lt;&gt;"OK",NOT(ISNUMBER(M2303))),"",M2303-S2303)</f>
        <v/>
      </c>
      <c r="U2303" s="49">
        <f>IF(OR(NOT(ISNUMBER(T2303)),IF(ISNUMBER(H2303),H2303,G2303)=0),"",T2303/IF(ISNUMBER(H2303),H2303,G2303))</f>
        <v/>
      </c>
      <c r="V2303" s="49">
        <f>IF(ISNUMBER(U2303),ABS(U2303),"")</f>
        <v/>
      </c>
      <c r="W2303" s="49">
        <f>IF(OR($E2302&lt;&gt;"측정",$C2302&lt;&gt;$C2303,$D2302&lt;&gt;$D2303,NOT(ISNUMBER(M2303)),NOT(ISNUMBER(M2302)),(IF(ISNUMBER(H2303),H2303,G2303)-IF(ISNUMBER(H2302),H2302,G2302))=0),"",(M2303-M2302)/(IF(ISNUMBER(H2303),H2303,G2303)-IF(ISNUMBER(H2302),H2302,G2302)))</f>
        <v/>
      </c>
      <c r="X2303" s="31">
        <f>IF(NOT(AND(ISNUMBER(O2303),ISNUMBER(Q2303))),"",(Q2303-O2303)*1440)</f>
        <v/>
      </c>
      <c r="Y2303" s="29" t="n"/>
      <c r="Z2303" s="29" t="n"/>
      <c r="AA2303" s="29" t="n"/>
      <c r="AB2303" s="32" t="n"/>
      <c r="AC2303" s="32" t="n"/>
    </row>
    <row r="2304">
      <c r="A2304" s="26" t="inlineStr">
        <is>
          <t>S45</t>
        </is>
      </c>
      <c r="B2304" s="26" t="inlineStr">
        <is>
          <t>여주</t>
        </is>
      </c>
      <c r="C2304" s="26" t="inlineStr">
        <is>
          <t>S45-H동</t>
        </is>
      </c>
      <c r="D2304" s="47" t="n">
        <v>1</v>
      </c>
      <c r="E2304" s="26" t="inlineStr">
        <is>
          <t>측정</t>
        </is>
      </c>
      <c r="F2304" s="26" t="inlineStr">
        <is>
          <t>동</t>
        </is>
      </c>
      <c r="G2304" s="31" t="n">
        <v>9</v>
      </c>
      <c r="H2304" s="30" t="n"/>
      <c r="I2304" s="43" t="n"/>
      <c r="J2304" s="41" t="n"/>
      <c r="K2304" s="41" t="n"/>
      <c r="L2304" s="41" t="n"/>
      <c r="M2304" s="31">
        <f>IF(COUNT(J2304:L2304)=0,"",MEDIAN(J2304:L2304))</f>
        <v/>
      </c>
      <c r="N2304" s="26">
        <f>IF(COUNTIFS($C:$C,$C2304,$D:$D,$D2304,$E:$E,"P0(전)",$M:$M,"&gt;0")&lt;&gt;1,"P0(전) 유효 1개 아님",IF(COUNTIFS($C:$C,$C2304,$D:$D,$D2304,$E:$E,"P0(후)",$M:$M,"&gt;0")&lt;&gt;1,"P0(후) 유효 1개 아님",IF(NOT(AND(ISNUMBER(O2304),ISNUMBER(Q2304),ISNUMBER(I2304))),"시각 결측",IF(Q2304&lt;=O2304,"P0 시각 역전",IF(OR(I2304&lt;O2304,I2304&gt;Q2304),"측정시각 구간 밖","OK")))))</f>
        <v/>
      </c>
      <c r="O2304" s="48">
        <f>IF(COUNTIFS($C:$C,$C2304,$D:$D,$D2304,$E:$E,"P0(전)",$M:$M,"&gt;0")&lt;&gt;1,"",SUMIFS($I:$I,$C:$C,$C2304,$D:$D,$D2304,$E:$E,"P0(전)"))</f>
        <v/>
      </c>
      <c r="P2304" s="31">
        <f>IF(COUNTIFS($C:$C,$C2304,$D:$D,$D2304,$E:$E,"P0(전)",$M:$M,"&gt;0")&lt;&gt;1,"",SUMIFS($M:$M,$C:$C,$C2304,$D:$D,$D2304,$E:$E,"P0(전)"))</f>
        <v/>
      </c>
      <c r="Q2304" s="48">
        <f>IF(COUNTIFS($C:$C,$C2304,$D:$D,$D2304,$E:$E,"P0(후)",$M:$M,"&gt;0")&lt;&gt;1,"",SUMIFS($I:$I,$C:$C,$C2304,$D:$D,$D2304,$E:$E,"P0(후)"))</f>
        <v/>
      </c>
      <c r="R2304" s="31">
        <f>IF(COUNTIFS($C:$C,$C2304,$D:$D,$D2304,$E:$E,"P0(후)",$M:$M,"&gt;0")&lt;&gt;1,"",SUMIFS($M:$M,$C:$C,$C2304,$D:$D,$D2304,$E:$E,"P0(후)"))</f>
        <v/>
      </c>
      <c r="S2304" s="31">
        <f>IF(N2304&lt;&gt;"OK","",P2304+(R2304-P2304)*(I2304-O2304)/(Q2304-O2304))</f>
        <v/>
      </c>
      <c r="T2304" s="31">
        <f>IF(OR(N2304&lt;&gt;"OK",NOT(ISNUMBER(M2304))),"",M2304-S2304)</f>
        <v/>
      </c>
      <c r="U2304" s="49">
        <f>IF(OR(NOT(ISNUMBER(T2304)),IF(ISNUMBER(H2304),H2304,G2304)=0),"",T2304/IF(ISNUMBER(H2304),H2304,G2304))</f>
        <v/>
      </c>
      <c r="V2304" s="49">
        <f>IF(ISNUMBER(U2304),ABS(U2304),"")</f>
        <v/>
      </c>
      <c r="W2304" s="49">
        <f>IF(OR($E2303&lt;&gt;"측정",$C2303&lt;&gt;$C2304,$D2303&lt;&gt;$D2304,NOT(ISNUMBER(M2304)),NOT(ISNUMBER(M2303)),(IF(ISNUMBER(H2304),H2304,G2304)-IF(ISNUMBER(H2303),H2303,G2303))=0),"",(M2304-M2303)/(IF(ISNUMBER(H2304),H2304,G2304)-IF(ISNUMBER(H2303),H2303,G2303)))</f>
        <v/>
      </c>
      <c r="X2304" s="31">
        <f>IF(NOT(AND(ISNUMBER(O2304),ISNUMBER(Q2304))),"",(Q2304-O2304)*1440)</f>
        <v/>
      </c>
      <c r="Y2304" s="29" t="n"/>
      <c r="Z2304" s="29" t="n"/>
      <c r="AA2304" s="29" t="n"/>
      <c r="AB2304" s="32" t="n"/>
      <c r="AC2304" s="32" t="n"/>
    </row>
    <row r="2305">
      <c r="A2305" s="26" t="inlineStr">
        <is>
          <t>S45</t>
        </is>
      </c>
      <c r="B2305" s="26" t="inlineStr">
        <is>
          <t>여주</t>
        </is>
      </c>
      <c r="C2305" s="26" t="inlineStr">
        <is>
          <t>S45-H동</t>
        </is>
      </c>
      <c r="D2305" s="47" t="n">
        <v>1</v>
      </c>
      <c r="E2305" s="26" t="inlineStr">
        <is>
          <t>측정</t>
        </is>
      </c>
      <c r="F2305" s="26" t="inlineStr">
        <is>
          <t>동</t>
        </is>
      </c>
      <c r="G2305" s="31" t="n">
        <v>10</v>
      </c>
      <c r="H2305" s="30" t="n"/>
      <c r="I2305" s="43" t="n"/>
      <c r="J2305" s="41" t="n"/>
      <c r="K2305" s="41" t="n"/>
      <c r="L2305" s="41" t="n"/>
      <c r="M2305" s="31">
        <f>IF(COUNT(J2305:L2305)=0,"",MEDIAN(J2305:L2305))</f>
        <v/>
      </c>
      <c r="N2305" s="26">
        <f>IF(COUNTIFS($C:$C,$C2305,$D:$D,$D2305,$E:$E,"P0(전)",$M:$M,"&gt;0")&lt;&gt;1,"P0(전) 유효 1개 아님",IF(COUNTIFS($C:$C,$C2305,$D:$D,$D2305,$E:$E,"P0(후)",$M:$M,"&gt;0")&lt;&gt;1,"P0(후) 유효 1개 아님",IF(NOT(AND(ISNUMBER(O2305),ISNUMBER(Q2305),ISNUMBER(I2305))),"시각 결측",IF(Q2305&lt;=O2305,"P0 시각 역전",IF(OR(I2305&lt;O2305,I2305&gt;Q2305),"측정시각 구간 밖","OK")))))</f>
        <v/>
      </c>
      <c r="O2305" s="48">
        <f>IF(COUNTIFS($C:$C,$C2305,$D:$D,$D2305,$E:$E,"P0(전)",$M:$M,"&gt;0")&lt;&gt;1,"",SUMIFS($I:$I,$C:$C,$C2305,$D:$D,$D2305,$E:$E,"P0(전)"))</f>
        <v/>
      </c>
      <c r="P2305" s="31">
        <f>IF(COUNTIFS($C:$C,$C2305,$D:$D,$D2305,$E:$E,"P0(전)",$M:$M,"&gt;0")&lt;&gt;1,"",SUMIFS($M:$M,$C:$C,$C2305,$D:$D,$D2305,$E:$E,"P0(전)"))</f>
        <v/>
      </c>
      <c r="Q2305" s="48">
        <f>IF(COUNTIFS($C:$C,$C2305,$D:$D,$D2305,$E:$E,"P0(후)",$M:$M,"&gt;0")&lt;&gt;1,"",SUMIFS($I:$I,$C:$C,$C2305,$D:$D,$D2305,$E:$E,"P0(후)"))</f>
        <v/>
      </c>
      <c r="R2305" s="31">
        <f>IF(COUNTIFS($C:$C,$C2305,$D:$D,$D2305,$E:$E,"P0(후)",$M:$M,"&gt;0")&lt;&gt;1,"",SUMIFS($M:$M,$C:$C,$C2305,$D:$D,$D2305,$E:$E,"P0(후)"))</f>
        <v/>
      </c>
      <c r="S2305" s="31">
        <f>IF(N2305&lt;&gt;"OK","",P2305+(R2305-P2305)*(I2305-O2305)/(Q2305-O2305))</f>
        <v/>
      </c>
      <c r="T2305" s="31">
        <f>IF(OR(N2305&lt;&gt;"OK",NOT(ISNUMBER(M2305))),"",M2305-S2305)</f>
        <v/>
      </c>
      <c r="U2305" s="49">
        <f>IF(OR(NOT(ISNUMBER(T2305)),IF(ISNUMBER(H2305),H2305,G2305)=0),"",T2305/IF(ISNUMBER(H2305),H2305,G2305))</f>
        <v/>
      </c>
      <c r="V2305" s="49">
        <f>IF(ISNUMBER(U2305),ABS(U2305),"")</f>
        <v/>
      </c>
      <c r="W2305" s="49">
        <f>IF(OR($E2304&lt;&gt;"측정",$C2304&lt;&gt;$C2305,$D2304&lt;&gt;$D2305,NOT(ISNUMBER(M2305)),NOT(ISNUMBER(M2304)),(IF(ISNUMBER(H2305),H2305,G2305)-IF(ISNUMBER(H2304),H2304,G2304))=0),"",(M2305-M2304)/(IF(ISNUMBER(H2305),H2305,G2305)-IF(ISNUMBER(H2304),H2304,G2304)))</f>
        <v/>
      </c>
      <c r="X2305" s="31">
        <f>IF(NOT(AND(ISNUMBER(O2305),ISNUMBER(Q2305))),"",(Q2305-O2305)*1440)</f>
        <v/>
      </c>
      <c r="Y2305" s="29" t="n"/>
      <c r="Z2305" s="29" t="n"/>
      <c r="AA2305" s="29" t="n"/>
      <c r="AB2305" s="32" t="n"/>
      <c r="AC2305" s="32" t="n"/>
    </row>
    <row r="2306">
      <c r="A2306" s="44" t="inlineStr">
        <is>
          <t>S45</t>
        </is>
      </c>
      <c r="B2306" s="44" t="inlineStr">
        <is>
          <t>여주</t>
        </is>
      </c>
      <c r="C2306" s="44" t="inlineStr">
        <is>
          <t>S45-H동</t>
        </is>
      </c>
      <c r="D2306" s="45" t="n">
        <v>1</v>
      </c>
      <c r="E2306" s="44" t="inlineStr">
        <is>
          <t>P0(후)</t>
        </is>
      </c>
      <c r="F2306" s="44" t="inlineStr">
        <is>
          <t>동</t>
        </is>
      </c>
      <c r="G2306" s="46" t="n"/>
      <c r="H2306" s="30" t="n"/>
      <c r="I2306" s="43" t="n"/>
      <c r="J2306" s="41" t="n"/>
      <c r="K2306" s="41" t="n"/>
      <c r="L2306" s="41" t="n"/>
      <c r="M2306" s="31">
        <f>IF(COUNT(J2306:L2306)=0,"",MEDIAN(J2306:L2306))</f>
        <v/>
      </c>
      <c r="N2306" s="38" t="n"/>
      <c r="O2306" s="38" t="n"/>
      <c r="P2306" s="38" t="n"/>
      <c r="Q2306" s="38" t="n"/>
      <c r="R2306" s="38" t="n"/>
      <c r="S2306" s="38" t="n"/>
      <c r="T2306" s="38" t="n"/>
      <c r="U2306" s="38" t="n"/>
      <c r="V2306" s="38" t="n"/>
      <c r="W2306" s="38" t="n"/>
      <c r="X2306" s="38" t="n"/>
      <c r="Y2306" s="29" t="n"/>
      <c r="Z2306" s="29" t="n"/>
      <c r="AA2306" s="29" t="n"/>
      <c r="AB2306" s="32" t="n"/>
      <c r="AC2306" s="32" t="n"/>
    </row>
    <row r="2307">
      <c r="A2307" s="44" t="inlineStr">
        <is>
          <t>S45</t>
        </is>
      </c>
      <c r="B2307" s="44" t="inlineStr">
        <is>
          <t>여주</t>
        </is>
      </c>
      <c r="C2307" s="44" t="inlineStr">
        <is>
          <t>S45-H서</t>
        </is>
      </c>
      <c r="D2307" s="45" t="n">
        <v>1</v>
      </c>
      <c r="E2307" s="44" t="inlineStr">
        <is>
          <t>P0(전)</t>
        </is>
      </c>
      <c r="F2307" s="44" t="inlineStr">
        <is>
          <t>서</t>
        </is>
      </c>
      <c r="G2307" s="46" t="n"/>
      <c r="H2307" s="30" t="n"/>
      <c r="I2307" s="43" t="n"/>
      <c r="J2307" s="41" t="n"/>
      <c r="K2307" s="41" t="n"/>
      <c r="L2307" s="41" t="n"/>
      <c r="M2307" s="31">
        <f>IF(COUNT(J2307:L2307)=0,"",MEDIAN(J2307:L2307))</f>
        <v/>
      </c>
      <c r="N2307" s="38" t="n"/>
      <c r="O2307" s="38" t="n"/>
      <c r="P2307" s="38" t="n"/>
      <c r="Q2307" s="38" t="n"/>
      <c r="R2307" s="38" t="n"/>
      <c r="S2307" s="38" t="n"/>
      <c r="T2307" s="38" t="n"/>
      <c r="U2307" s="38" t="n"/>
      <c r="V2307" s="38" t="n"/>
      <c r="W2307" s="38" t="n"/>
      <c r="X2307" s="38" t="n"/>
      <c r="Y2307" s="29" t="n"/>
      <c r="Z2307" s="29" t="n"/>
      <c r="AA2307" s="29" t="n"/>
      <c r="AB2307" s="32" t="n"/>
      <c r="AC2307" s="32" t="n"/>
    </row>
    <row r="2308">
      <c r="A2308" s="26" t="inlineStr">
        <is>
          <t>S45</t>
        </is>
      </c>
      <c r="B2308" s="26" t="inlineStr">
        <is>
          <t>여주</t>
        </is>
      </c>
      <c r="C2308" s="26" t="inlineStr">
        <is>
          <t>S45-H서</t>
        </is>
      </c>
      <c r="D2308" s="47" t="n">
        <v>1</v>
      </c>
      <c r="E2308" s="26" t="inlineStr">
        <is>
          <t>측정</t>
        </is>
      </c>
      <c r="F2308" s="26" t="inlineStr">
        <is>
          <t>서</t>
        </is>
      </c>
      <c r="G2308" s="31" t="n">
        <v>0.5</v>
      </c>
      <c r="H2308" s="30" t="n"/>
      <c r="I2308" s="43" t="n"/>
      <c r="J2308" s="41" t="n"/>
      <c r="K2308" s="41" t="n"/>
      <c r="L2308" s="41" t="n"/>
      <c r="M2308" s="31">
        <f>IF(COUNT(J2308:L2308)=0,"",MEDIAN(J2308:L2308))</f>
        <v/>
      </c>
      <c r="N2308" s="26">
        <f>IF(COUNTIFS($C:$C,$C2308,$D:$D,$D2308,$E:$E,"P0(전)",$M:$M,"&gt;0")&lt;&gt;1,"P0(전) 유효 1개 아님",IF(COUNTIFS($C:$C,$C2308,$D:$D,$D2308,$E:$E,"P0(후)",$M:$M,"&gt;0")&lt;&gt;1,"P0(후) 유효 1개 아님",IF(NOT(AND(ISNUMBER(O2308),ISNUMBER(Q2308),ISNUMBER(I2308))),"시각 결측",IF(Q2308&lt;=O2308,"P0 시각 역전",IF(OR(I2308&lt;O2308,I2308&gt;Q2308),"측정시각 구간 밖","OK")))))</f>
        <v/>
      </c>
      <c r="O2308" s="48">
        <f>IF(COUNTIFS($C:$C,$C2308,$D:$D,$D2308,$E:$E,"P0(전)",$M:$M,"&gt;0")&lt;&gt;1,"",SUMIFS($I:$I,$C:$C,$C2308,$D:$D,$D2308,$E:$E,"P0(전)"))</f>
        <v/>
      </c>
      <c r="P2308" s="31">
        <f>IF(COUNTIFS($C:$C,$C2308,$D:$D,$D2308,$E:$E,"P0(전)",$M:$M,"&gt;0")&lt;&gt;1,"",SUMIFS($M:$M,$C:$C,$C2308,$D:$D,$D2308,$E:$E,"P0(전)"))</f>
        <v/>
      </c>
      <c r="Q2308" s="48">
        <f>IF(COUNTIFS($C:$C,$C2308,$D:$D,$D2308,$E:$E,"P0(후)",$M:$M,"&gt;0")&lt;&gt;1,"",SUMIFS($I:$I,$C:$C,$C2308,$D:$D,$D2308,$E:$E,"P0(후)"))</f>
        <v/>
      </c>
      <c r="R2308" s="31">
        <f>IF(COUNTIFS($C:$C,$C2308,$D:$D,$D2308,$E:$E,"P0(후)",$M:$M,"&gt;0")&lt;&gt;1,"",SUMIFS($M:$M,$C:$C,$C2308,$D:$D,$D2308,$E:$E,"P0(후)"))</f>
        <v/>
      </c>
      <c r="S2308" s="31">
        <f>IF(N2308&lt;&gt;"OK","",P2308+(R2308-P2308)*(I2308-O2308)/(Q2308-O2308))</f>
        <v/>
      </c>
      <c r="T2308" s="31">
        <f>IF(OR(N2308&lt;&gt;"OK",NOT(ISNUMBER(M2308))),"",M2308-S2308)</f>
        <v/>
      </c>
      <c r="U2308" s="49">
        <f>IF(OR(NOT(ISNUMBER(T2308)),IF(ISNUMBER(H2308),H2308,G2308)=0),"",T2308/IF(ISNUMBER(H2308),H2308,G2308))</f>
        <v/>
      </c>
      <c r="V2308" s="49">
        <f>IF(ISNUMBER(U2308),ABS(U2308),"")</f>
        <v/>
      </c>
      <c r="W2308" s="49">
        <f>IF(OR($E2307&lt;&gt;"측정",$C2307&lt;&gt;$C2308,$D2307&lt;&gt;$D2308,NOT(ISNUMBER(M2308)),NOT(ISNUMBER(M2307)),(IF(ISNUMBER(H2308),H2308,G2308)-IF(ISNUMBER(H2307),H2307,G2307))=0),"",(M2308-M2307)/(IF(ISNUMBER(H2308),H2308,G2308)-IF(ISNUMBER(H2307),H2307,G2307)))</f>
        <v/>
      </c>
      <c r="X2308" s="31">
        <f>IF(NOT(AND(ISNUMBER(O2308),ISNUMBER(Q2308))),"",(Q2308-O2308)*1440)</f>
        <v/>
      </c>
      <c r="Y2308" s="29" t="n"/>
      <c r="Z2308" s="29" t="n"/>
      <c r="AA2308" s="29" t="n"/>
      <c r="AB2308" s="32" t="n"/>
      <c r="AC2308" s="32" t="n"/>
    </row>
    <row r="2309">
      <c r="A2309" s="26" t="inlineStr">
        <is>
          <t>S45</t>
        </is>
      </c>
      <c r="B2309" s="26" t="inlineStr">
        <is>
          <t>여주</t>
        </is>
      </c>
      <c r="C2309" s="26" t="inlineStr">
        <is>
          <t>S45-H서</t>
        </is>
      </c>
      <c r="D2309" s="47" t="n">
        <v>1</v>
      </c>
      <c r="E2309" s="26" t="inlineStr">
        <is>
          <t>측정</t>
        </is>
      </c>
      <c r="F2309" s="26" t="inlineStr">
        <is>
          <t>서</t>
        </is>
      </c>
      <c r="G2309" s="31" t="n">
        <v>1</v>
      </c>
      <c r="H2309" s="30" t="n"/>
      <c r="I2309" s="43" t="n"/>
      <c r="J2309" s="41" t="n"/>
      <c r="K2309" s="41" t="n"/>
      <c r="L2309" s="41" t="n"/>
      <c r="M2309" s="31">
        <f>IF(COUNT(J2309:L2309)=0,"",MEDIAN(J2309:L2309))</f>
        <v/>
      </c>
      <c r="N2309" s="26">
        <f>IF(COUNTIFS($C:$C,$C2309,$D:$D,$D2309,$E:$E,"P0(전)",$M:$M,"&gt;0")&lt;&gt;1,"P0(전) 유효 1개 아님",IF(COUNTIFS($C:$C,$C2309,$D:$D,$D2309,$E:$E,"P0(후)",$M:$M,"&gt;0")&lt;&gt;1,"P0(후) 유효 1개 아님",IF(NOT(AND(ISNUMBER(O2309),ISNUMBER(Q2309),ISNUMBER(I2309))),"시각 결측",IF(Q2309&lt;=O2309,"P0 시각 역전",IF(OR(I2309&lt;O2309,I2309&gt;Q2309),"측정시각 구간 밖","OK")))))</f>
        <v/>
      </c>
      <c r="O2309" s="48">
        <f>IF(COUNTIFS($C:$C,$C2309,$D:$D,$D2309,$E:$E,"P0(전)",$M:$M,"&gt;0")&lt;&gt;1,"",SUMIFS($I:$I,$C:$C,$C2309,$D:$D,$D2309,$E:$E,"P0(전)"))</f>
        <v/>
      </c>
      <c r="P2309" s="31">
        <f>IF(COUNTIFS($C:$C,$C2309,$D:$D,$D2309,$E:$E,"P0(전)",$M:$M,"&gt;0")&lt;&gt;1,"",SUMIFS($M:$M,$C:$C,$C2309,$D:$D,$D2309,$E:$E,"P0(전)"))</f>
        <v/>
      </c>
      <c r="Q2309" s="48">
        <f>IF(COUNTIFS($C:$C,$C2309,$D:$D,$D2309,$E:$E,"P0(후)",$M:$M,"&gt;0")&lt;&gt;1,"",SUMIFS($I:$I,$C:$C,$C2309,$D:$D,$D2309,$E:$E,"P0(후)"))</f>
        <v/>
      </c>
      <c r="R2309" s="31">
        <f>IF(COUNTIFS($C:$C,$C2309,$D:$D,$D2309,$E:$E,"P0(후)",$M:$M,"&gt;0")&lt;&gt;1,"",SUMIFS($M:$M,$C:$C,$C2309,$D:$D,$D2309,$E:$E,"P0(후)"))</f>
        <v/>
      </c>
      <c r="S2309" s="31">
        <f>IF(N2309&lt;&gt;"OK","",P2309+(R2309-P2309)*(I2309-O2309)/(Q2309-O2309))</f>
        <v/>
      </c>
      <c r="T2309" s="31">
        <f>IF(OR(N2309&lt;&gt;"OK",NOT(ISNUMBER(M2309))),"",M2309-S2309)</f>
        <v/>
      </c>
      <c r="U2309" s="49">
        <f>IF(OR(NOT(ISNUMBER(T2309)),IF(ISNUMBER(H2309),H2309,G2309)=0),"",T2309/IF(ISNUMBER(H2309),H2309,G2309))</f>
        <v/>
      </c>
      <c r="V2309" s="49">
        <f>IF(ISNUMBER(U2309),ABS(U2309),"")</f>
        <v/>
      </c>
      <c r="W2309" s="49">
        <f>IF(OR($E2308&lt;&gt;"측정",$C2308&lt;&gt;$C2309,$D2308&lt;&gt;$D2309,NOT(ISNUMBER(M2309)),NOT(ISNUMBER(M2308)),(IF(ISNUMBER(H2309),H2309,G2309)-IF(ISNUMBER(H2308),H2308,G2308))=0),"",(M2309-M2308)/(IF(ISNUMBER(H2309),H2309,G2309)-IF(ISNUMBER(H2308),H2308,G2308)))</f>
        <v/>
      </c>
      <c r="X2309" s="31">
        <f>IF(NOT(AND(ISNUMBER(O2309),ISNUMBER(Q2309))),"",(Q2309-O2309)*1440)</f>
        <v/>
      </c>
      <c r="Y2309" s="29" t="n"/>
      <c r="Z2309" s="29" t="n"/>
      <c r="AA2309" s="29" t="n"/>
      <c r="AB2309" s="32" t="n"/>
      <c r="AC2309" s="32" t="n"/>
    </row>
    <row r="2310">
      <c r="A2310" s="26" t="inlineStr">
        <is>
          <t>S45</t>
        </is>
      </c>
      <c r="B2310" s="26" t="inlineStr">
        <is>
          <t>여주</t>
        </is>
      </c>
      <c r="C2310" s="26" t="inlineStr">
        <is>
          <t>S45-H서</t>
        </is>
      </c>
      <c r="D2310" s="47" t="n">
        <v>1</v>
      </c>
      <c r="E2310" s="26" t="inlineStr">
        <is>
          <t>측정</t>
        </is>
      </c>
      <c r="F2310" s="26" t="inlineStr">
        <is>
          <t>서</t>
        </is>
      </c>
      <c r="G2310" s="31" t="n">
        <v>2</v>
      </c>
      <c r="H2310" s="30" t="n"/>
      <c r="I2310" s="43" t="n"/>
      <c r="J2310" s="41" t="n"/>
      <c r="K2310" s="41" t="n"/>
      <c r="L2310" s="41" t="n"/>
      <c r="M2310" s="31">
        <f>IF(COUNT(J2310:L2310)=0,"",MEDIAN(J2310:L2310))</f>
        <v/>
      </c>
      <c r="N2310" s="26">
        <f>IF(COUNTIFS($C:$C,$C2310,$D:$D,$D2310,$E:$E,"P0(전)",$M:$M,"&gt;0")&lt;&gt;1,"P0(전) 유효 1개 아님",IF(COUNTIFS($C:$C,$C2310,$D:$D,$D2310,$E:$E,"P0(후)",$M:$M,"&gt;0")&lt;&gt;1,"P0(후) 유효 1개 아님",IF(NOT(AND(ISNUMBER(O2310),ISNUMBER(Q2310),ISNUMBER(I2310))),"시각 결측",IF(Q2310&lt;=O2310,"P0 시각 역전",IF(OR(I2310&lt;O2310,I2310&gt;Q2310),"측정시각 구간 밖","OK")))))</f>
        <v/>
      </c>
      <c r="O2310" s="48">
        <f>IF(COUNTIFS($C:$C,$C2310,$D:$D,$D2310,$E:$E,"P0(전)",$M:$M,"&gt;0")&lt;&gt;1,"",SUMIFS($I:$I,$C:$C,$C2310,$D:$D,$D2310,$E:$E,"P0(전)"))</f>
        <v/>
      </c>
      <c r="P2310" s="31">
        <f>IF(COUNTIFS($C:$C,$C2310,$D:$D,$D2310,$E:$E,"P0(전)",$M:$M,"&gt;0")&lt;&gt;1,"",SUMIFS($M:$M,$C:$C,$C2310,$D:$D,$D2310,$E:$E,"P0(전)"))</f>
        <v/>
      </c>
      <c r="Q2310" s="48">
        <f>IF(COUNTIFS($C:$C,$C2310,$D:$D,$D2310,$E:$E,"P0(후)",$M:$M,"&gt;0")&lt;&gt;1,"",SUMIFS($I:$I,$C:$C,$C2310,$D:$D,$D2310,$E:$E,"P0(후)"))</f>
        <v/>
      </c>
      <c r="R2310" s="31">
        <f>IF(COUNTIFS($C:$C,$C2310,$D:$D,$D2310,$E:$E,"P0(후)",$M:$M,"&gt;0")&lt;&gt;1,"",SUMIFS($M:$M,$C:$C,$C2310,$D:$D,$D2310,$E:$E,"P0(후)"))</f>
        <v/>
      </c>
      <c r="S2310" s="31">
        <f>IF(N2310&lt;&gt;"OK","",P2310+(R2310-P2310)*(I2310-O2310)/(Q2310-O2310))</f>
        <v/>
      </c>
      <c r="T2310" s="31">
        <f>IF(OR(N2310&lt;&gt;"OK",NOT(ISNUMBER(M2310))),"",M2310-S2310)</f>
        <v/>
      </c>
      <c r="U2310" s="49">
        <f>IF(OR(NOT(ISNUMBER(T2310)),IF(ISNUMBER(H2310),H2310,G2310)=0),"",T2310/IF(ISNUMBER(H2310),H2310,G2310))</f>
        <v/>
      </c>
      <c r="V2310" s="49">
        <f>IF(ISNUMBER(U2310),ABS(U2310),"")</f>
        <v/>
      </c>
      <c r="W2310" s="49">
        <f>IF(OR($E2309&lt;&gt;"측정",$C2309&lt;&gt;$C2310,$D2309&lt;&gt;$D2310,NOT(ISNUMBER(M2310)),NOT(ISNUMBER(M2309)),(IF(ISNUMBER(H2310),H2310,G2310)-IF(ISNUMBER(H2309),H2309,G2309))=0),"",(M2310-M2309)/(IF(ISNUMBER(H2310),H2310,G2310)-IF(ISNUMBER(H2309),H2309,G2309)))</f>
        <v/>
      </c>
      <c r="X2310" s="31">
        <f>IF(NOT(AND(ISNUMBER(O2310),ISNUMBER(Q2310))),"",(Q2310-O2310)*1440)</f>
        <v/>
      </c>
      <c r="Y2310" s="29" t="n"/>
      <c r="Z2310" s="29" t="n"/>
      <c r="AA2310" s="29" t="n"/>
      <c r="AB2310" s="32" t="n"/>
      <c r="AC2310" s="32" t="n"/>
    </row>
    <row r="2311">
      <c r="A2311" s="26" t="inlineStr">
        <is>
          <t>S45</t>
        </is>
      </c>
      <c r="B2311" s="26" t="inlineStr">
        <is>
          <t>여주</t>
        </is>
      </c>
      <c r="C2311" s="26" t="inlineStr">
        <is>
          <t>S45-H서</t>
        </is>
      </c>
      <c r="D2311" s="47" t="n">
        <v>1</v>
      </c>
      <c r="E2311" s="26" t="inlineStr">
        <is>
          <t>측정</t>
        </is>
      </c>
      <c r="F2311" s="26" t="inlineStr">
        <is>
          <t>서</t>
        </is>
      </c>
      <c r="G2311" s="31" t="n">
        <v>3</v>
      </c>
      <c r="H2311" s="30" t="n"/>
      <c r="I2311" s="43" t="n"/>
      <c r="J2311" s="41" t="n"/>
      <c r="K2311" s="41" t="n"/>
      <c r="L2311" s="41" t="n"/>
      <c r="M2311" s="31">
        <f>IF(COUNT(J2311:L2311)=0,"",MEDIAN(J2311:L2311))</f>
        <v/>
      </c>
      <c r="N2311" s="26">
        <f>IF(COUNTIFS($C:$C,$C2311,$D:$D,$D2311,$E:$E,"P0(전)",$M:$M,"&gt;0")&lt;&gt;1,"P0(전) 유효 1개 아님",IF(COUNTIFS($C:$C,$C2311,$D:$D,$D2311,$E:$E,"P0(후)",$M:$M,"&gt;0")&lt;&gt;1,"P0(후) 유효 1개 아님",IF(NOT(AND(ISNUMBER(O2311),ISNUMBER(Q2311),ISNUMBER(I2311))),"시각 결측",IF(Q2311&lt;=O2311,"P0 시각 역전",IF(OR(I2311&lt;O2311,I2311&gt;Q2311),"측정시각 구간 밖","OK")))))</f>
        <v/>
      </c>
      <c r="O2311" s="48">
        <f>IF(COUNTIFS($C:$C,$C2311,$D:$D,$D2311,$E:$E,"P0(전)",$M:$M,"&gt;0")&lt;&gt;1,"",SUMIFS($I:$I,$C:$C,$C2311,$D:$D,$D2311,$E:$E,"P0(전)"))</f>
        <v/>
      </c>
      <c r="P2311" s="31">
        <f>IF(COUNTIFS($C:$C,$C2311,$D:$D,$D2311,$E:$E,"P0(전)",$M:$M,"&gt;0")&lt;&gt;1,"",SUMIFS($M:$M,$C:$C,$C2311,$D:$D,$D2311,$E:$E,"P0(전)"))</f>
        <v/>
      </c>
      <c r="Q2311" s="48">
        <f>IF(COUNTIFS($C:$C,$C2311,$D:$D,$D2311,$E:$E,"P0(후)",$M:$M,"&gt;0")&lt;&gt;1,"",SUMIFS($I:$I,$C:$C,$C2311,$D:$D,$D2311,$E:$E,"P0(후)"))</f>
        <v/>
      </c>
      <c r="R2311" s="31">
        <f>IF(COUNTIFS($C:$C,$C2311,$D:$D,$D2311,$E:$E,"P0(후)",$M:$M,"&gt;0")&lt;&gt;1,"",SUMIFS($M:$M,$C:$C,$C2311,$D:$D,$D2311,$E:$E,"P0(후)"))</f>
        <v/>
      </c>
      <c r="S2311" s="31">
        <f>IF(N2311&lt;&gt;"OK","",P2311+(R2311-P2311)*(I2311-O2311)/(Q2311-O2311))</f>
        <v/>
      </c>
      <c r="T2311" s="31">
        <f>IF(OR(N2311&lt;&gt;"OK",NOT(ISNUMBER(M2311))),"",M2311-S2311)</f>
        <v/>
      </c>
      <c r="U2311" s="49">
        <f>IF(OR(NOT(ISNUMBER(T2311)),IF(ISNUMBER(H2311),H2311,G2311)=0),"",T2311/IF(ISNUMBER(H2311),H2311,G2311))</f>
        <v/>
      </c>
      <c r="V2311" s="49">
        <f>IF(ISNUMBER(U2311),ABS(U2311),"")</f>
        <v/>
      </c>
      <c r="W2311" s="49">
        <f>IF(OR($E2310&lt;&gt;"측정",$C2310&lt;&gt;$C2311,$D2310&lt;&gt;$D2311,NOT(ISNUMBER(M2311)),NOT(ISNUMBER(M2310)),(IF(ISNUMBER(H2311),H2311,G2311)-IF(ISNUMBER(H2310),H2310,G2310))=0),"",(M2311-M2310)/(IF(ISNUMBER(H2311),H2311,G2311)-IF(ISNUMBER(H2310),H2310,G2310)))</f>
        <v/>
      </c>
      <c r="X2311" s="31">
        <f>IF(NOT(AND(ISNUMBER(O2311),ISNUMBER(Q2311))),"",(Q2311-O2311)*1440)</f>
        <v/>
      </c>
      <c r="Y2311" s="29" t="n"/>
      <c r="Z2311" s="29" t="n"/>
      <c r="AA2311" s="29" t="n"/>
      <c r="AB2311" s="32" t="n"/>
      <c r="AC2311" s="32" t="n"/>
    </row>
    <row r="2312">
      <c r="A2312" s="26" t="inlineStr">
        <is>
          <t>S45</t>
        </is>
      </c>
      <c r="B2312" s="26" t="inlineStr">
        <is>
          <t>여주</t>
        </is>
      </c>
      <c r="C2312" s="26" t="inlineStr">
        <is>
          <t>S45-H서</t>
        </is>
      </c>
      <c r="D2312" s="47" t="n">
        <v>1</v>
      </c>
      <c r="E2312" s="26" t="inlineStr">
        <is>
          <t>측정</t>
        </is>
      </c>
      <c r="F2312" s="26" t="inlineStr">
        <is>
          <t>서</t>
        </is>
      </c>
      <c r="G2312" s="31" t="n">
        <v>4</v>
      </c>
      <c r="H2312" s="30" t="n"/>
      <c r="I2312" s="43" t="n"/>
      <c r="J2312" s="41" t="n"/>
      <c r="K2312" s="41" t="n"/>
      <c r="L2312" s="41" t="n"/>
      <c r="M2312" s="31">
        <f>IF(COUNT(J2312:L2312)=0,"",MEDIAN(J2312:L2312))</f>
        <v/>
      </c>
      <c r="N2312" s="26">
        <f>IF(COUNTIFS($C:$C,$C2312,$D:$D,$D2312,$E:$E,"P0(전)",$M:$M,"&gt;0")&lt;&gt;1,"P0(전) 유효 1개 아님",IF(COUNTIFS($C:$C,$C2312,$D:$D,$D2312,$E:$E,"P0(후)",$M:$M,"&gt;0")&lt;&gt;1,"P0(후) 유효 1개 아님",IF(NOT(AND(ISNUMBER(O2312),ISNUMBER(Q2312),ISNUMBER(I2312))),"시각 결측",IF(Q2312&lt;=O2312,"P0 시각 역전",IF(OR(I2312&lt;O2312,I2312&gt;Q2312),"측정시각 구간 밖","OK")))))</f>
        <v/>
      </c>
      <c r="O2312" s="48">
        <f>IF(COUNTIFS($C:$C,$C2312,$D:$D,$D2312,$E:$E,"P0(전)",$M:$M,"&gt;0")&lt;&gt;1,"",SUMIFS($I:$I,$C:$C,$C2312,$D:$D,$D2312,$E:$E,"P0(전)"))</f>
        <v/>
      </c>
      <c r="P2312" s="31">
        <f>IF(COUNTIFS($C:$C,$C2312,$D:$D,$D2312,$E:$E,"P0(전)",$M:$M,"&gt;0")&lt;&gt;1,"",SUMIFS($M:$M,$C:$C,$C2312,$D:$D,$D2312,$E:$E,"P0(전)"))</f>
        <v/>
      </c>
      <c r="Q2312" s="48">
        <f>IF(COUNTIFS($C:$C,$C2312,$D:$D,$D2312,$E:$E,"P0(후)",$M:$M,"&gt;0")&lt;&gt;1,"",SUMIFS($I:$I,$C:$C,$C2312,$D:$D,$D2312,$E:$E,"P0(후)"))</f>
        <v/>
      </c>
      <c r="R2312" s="31">
        <f>IF(COUNTIFS($C:$C,$C2312,$D:$D,$D2312,$E:$E,"P0(후)",$M:$M,"&gt;0")&lt;&gt;1,"",SUMIFS($M:$M,$C:$C,$C2312,$D:$D,$D2312,$E:$E,"P0(후)"))</f>
        <v/>
      </c>
      <c r="S2312" s="31">
        <f>IF(N2312&lt;&gt;"OK","",P2312+(R2312-P2312)*(I2312-O2312)/(Q2312-O2312))</f>
        <v/>
      </c>
      <c r="T2312" s="31">
        <f>IF(OR(N2312&lt;&gt;"OK",NOT(ISNUMBER(M2312))),"",M2312-S2312)</f>
        <v/>
      </c>
      <c r="U2312" s="49">
        <f>IF(OR(NOT(ISNUMBER(T2312)),IF(ISNUMBER(H2312),H2312,G2312)=0),"",T2312/IF(ISNUMBER(H2312),H2312,G2312))</f>
        <v/>
      </c>
      <c r="V2312" s="49">
        <f>IF(ISNUMBER(U2312),ABS(U2312),"")</f>
        <v/>
      </c>
      <c r="W2312" s="49">
        <f>IF(OR($E2311&lt;&gt;"측정",$C2311&lt;&gt;$C2312,$D2311&lt;&gt;$D2312,NOT(ISNUMBER(M2312)),NOT(ISNUMBER(M2311)),(IF(ISNUMBER(H2312),H2312,G2312)-IF(ISNUMBER(H2311),H2311,G2311))=0),"",(M2312-M2311)/(IF(ISNUMBER(H2312),H2312,G2312)-IF(ISNUMBER(H2311),H2311,G2311)))</f>
        <v/>
      </c>
      <c r="X2312" s="31">
        <f>IF(NOT(AND(ISNUMBER(O2312),ISNUMBER(Q2312))),"",(Q2312-O2312)*1440)</f>
        <v/>
      </c>
      <c r="Y2312" s="29" t="n"/>
      <c r="Z2312" s="29" t="n"/>
      <c r="AA2312" s="29" t="n"/>
      <c r="AB2312" s="32" t="n"/>
      <c r="AC2312" s="32" t="n"/>
    </row>
    <row r="2313">
      <c r="A2313" s="26" t="inlineStr">
        <is>
          <t>S45</t>
        </is>
      </c>
      <c r="B2313" s="26" t="inlineStr">
        <is>
          <t>여주</t>
        </is>
      </c>
      <c r="C2313" s="26" t="inlineStr">
        <is>
          <t>S45-H서</t>
        </is>
      </c>
      <c r="D2313" s="47" t="n">
        <v>1</v>
      </c>
      <c r="E2313" s="26" t="inlineStr">
        <is>
          <t>측정</t>
        </is>
      </c>
      <c r="F2313" s="26" t="inlineStr">
        <is>
          <t>서</t>
        </is>
      </c>
      <c r="G2313" s="31" t="n">
        <v>5</v>
      </c>
      <c r="H2313" s="30" t="n"/>
      <c r="I2313" s="43" t="n"/>
      <c r="J2313" s="41" t="n"/>
      <c r="K2313" s="41" t="n"/>
      <c r="L2313" s="41" t="n"/>
      <c r="M2313" s="31">
        <f>IF(COUNT(J2313:L2313)=0,"",MEDIAN(J2313:L2313))</f>
        <v/>
      </c>
      <c r="N2313" s="26">
        <f>IF(COUNTIFS($C:$C,$C2313,$D:$D,$D2313,$E:$E,"P0(전)",$M:$M,"&gt;0")&lt;&gt;1,"P0(전) 유효 1개 아님",IF(COUNTIFS($C:$C,$C2313,$D:$D,$D2313,$E:$E,"P0(후)",$M:$M,"&gt;0")&lt;&gt;1,"P0(후) 유효 1개 아님",IF(NOT(AND(ISNUMBER(O2313),ISNUMBER(Q2313),ISNUMBER(I2313))),"시각 결측",IF(Q2313&lt;=O2313,"P0 시각 역전",IF(OR(I2313&lt;O2313,I2313&gt;Q2313),"측정시각 구간 밖","OK")))))</f>
        <v/>
      </c>
      <c r="O2313" s="48">
        <f>IF(COUNTIFS($C:$C,$C2313,$D:$D,$D2313,$E:$E,"P0(전)",$M:$M,"&gt;0")&lt;&gt;1,"",SUMIFS($I:$I,$C:$C,$C2313,$D:$D,$D2313,$E:$E,"P0(전)"))</f>
        <v/>
      </c>
      <c r="P2313" s="31">
        <f>IF(COUNTIFS($C:$C,$C2313,$D:$D,$D2313,$E:$E,"P0(전)",$M:$M,"&gt;0")&lt;&gt;1,"",SUMIFS($M:$M,$C:$C,$C2313,$D:$D,$D2313,$E:$E,"P0(전)"))</f>
        <v/>
      </c>
      <c r="Q2313" s="48">
        <f>IF(COUNTIFS($C:$C,$C2313,$D:$D,$D2313,$E:$E,"P0(후)",$M:$M,"&gt;0")&lt;&gt;1,"",SUMIFS($I:$I,$C:$C,$C2313,$D:$D,$D2313,$E:$E,"P0(후)"))</f>
        <v/>
      </c>
      <c r="R2313" s="31">
        <f>IF(COUNTIFS($C:$C,$C2313,$D:$D,$D2313,$E:$E,"P0(후)",$M:$M,"&gt;0")&lt;&gt;1,"",SUMIFS($M:$M,$C:$C,$C2313,$D:$D,$D2313,$E:$E,"P0(후)"))</f>
        <v/>
      </c>
      <c r="S2313" s="31">
        <f>IF(N2313&lt;&gt;"OK","",P2313+(R2313-P2313)*(I2313-O2313)/(Q2313-O2313))</f>
        <v/>
      </c>
      <c r="T2313" s="31">
        <f>IF(OR(N2313&lt;&gt;"OK",NOT(ISNUMBER(M2313))),"",M2313-S2313)</f>
        <v/>
      </c>
      <c r="U2313" s="49">
        <f>IF(OR(NOT(ISNUMBER(T2313)),IF(ISNUMBER(H2313),H2313,G2313)=0),"",T2313/IF(ISNUMBER(H2313),H2313,G2313))</f>
        <v/>
      </c>
      <c r="V2313" s="49">
        <f>IF(ISNUMBER(U2313),ABS(U2313),"")</f>
        <v/>
      </c>
      <c r="W2313" s="49">
        <f>IF(OR($E2312&lt;&gt;"측정",$C2312&lt;&gt;$C2313,$D2312&lt;&gt;$D2313,NOT(ISNUMBER(M2313)),NOT(ISNUMBER(M2312)),(IF(ISNUMBER(H2313),H2313,G2313)-IF(ISNUMBER(H2312),H2312,G2312))=0),"",(M2313-M2312)/(IF(ISNUMBER(H2313),H2313,G2313)-IF(ISNUMBER(H2312),H2312,G2312)))</f>
        <v/>
      </c>
      <c r="X2313" s="31">
        <f>IF(NOT(AND(ISNUMBER(O2313),ISNUMBER(Q2313))),"",(Q2313-O2313)*1440)</f>
        <v/>
      </c>
      <c r="Y2313" s="29" t="n"/>
      <c r="Z2313" s="29" t="n"/>
      <c r="AA2313" s="29" t="n"/>
      <c r="AB2313" s="32" t="n"/>
      <c r="AC2313" s="32" t="n"/>
    </row>
    <row r="2314">
      <c r="A2314" s="26" t="inlineStr">
        <is>
          <t>S45</t>
        </is>
      </c>
      <c r="B2314" s="26" t="inlineStr">
        <is>
          <t>여주</t>
        </is>
      </c>
      <c r="C2314" s="26" t="inlineStr">
        <is>
          <t>S45-H서</t>
        </is>
      </c>
      <c r="D2314" s="47" t="n">
        <v>1</v>
      </c>
      <c r="E2314" s="26" t="inlineStr">
        <is>
          <t>측정</t>
        </is>
      </c>
      <c r="F2314" s="26" t="inlineStr">
        <is>
          <t>서</t>
        </is>
      </c>
      <c r="G2314" s="31" t="n">
        <v>6</v>
      </c>
      <c r="H2314" s="30" t="n"/>
      <c r="I2314" s="43" t="n"/>
      <c r="J2314" s="41" t="n"/>
      <c r="K2314" s="41" t="n"/>
      <c r="L2314" s="41" t="n"/>
      <c r="M2314" s="31">
        <f>IF(COUNT(J2314:L2314)=0,"",MEDIAN(J2314:L2314))</f>
        <v/>
      </c>
      <c r="N2314" s="26">
        <f>IF(COUNTIFS($C:$C,$C2314,$D:$D,$D2314,$E:$E,"P0(전)",$M:$M,"&gt;0")&lt;&gt;1,"P0(전) 유효 1개 아님",IF(COUNTIFS($C:$C,$C2314,$D:$D,$D2314,$E:$E,"P0(후)",$M:$M,"&gt;0")&lt;&gt;1,"P0(후) 유효 1개 아님",IF(NOT(AND(ISNUMBER(O2314),ISNUMBER(Q2314),ISNUMBER(I2314))),"시각 결측",IF(Q2314&lt;=O2314,"P0 시각 역전",IF(OR(I2314&lt;O2314,I2314&gt;Q2314),"측정시각 구간 밖","OK")))))</f>
        <v/>
      </c>
      <c r="O2314" s="48">
        <f>IF(COUNTIFS($C:$C,$C2314,$D:$D,$D2314,$E:$E,"P0(전)",$M:$M,"&gt;0")&lt;&gt;1,"",SUMIFS($I:$I,$C:$C,$C2314,$D:$D,$D2314,$E:$E,"P0(전)"))</f>
        <v/>
      </c>
      <c r="P2314" s="31">
        <f>IF(COUNTIFS($C:$C,$C2314,$D:$D,$D2314,$E:$E,"P0(전)",$M:$M,"&gt;0")&lt;&gt;1,"",SUMIFS($M:$M,$C:$C,$C2314,$D:$D,$D2314,$E:$E,"P0(전)"))</f>
        <v/>
      </c>
      <c r="Q2314" s="48">
        <f>IF(COUNTIFS($C:$C,$C2314,$D:$D,$D2314,$E:$E,"P0(후)",$M:$M,"&gt;0")&lt;&gt;1,"",SUMIFS($I:$I,$C:$C,$C2314,$D:$D,$D2314,$E:$E,"P0(후)"))</f>
        <v/>
      </c>
      <c r="R2314" s="31">
        <f>IF(COUNTIFS($C:$C,$C2314,$D:$D,$D2314,$E:$E,"P0(후)",$M:$M,"&gt;0")&lt;&gt;1,"",SUMIFS($M:$M,$C:$C,$C2314,$D:$D,$D2314,$E:$E,"P0(후)"))</f>
        <v/>
      </c>
      <c r="S2314" s="31">
        <f>IF(N2314&lt;&gt;"OK","",P2314+(R2314-P2314)*(I2314-O2314)/(Q2314-O2314))</f>
        <v/>
      </c>
      <c r="T2314" s="31">
        <f>IF(OR(N2314&lt;&gt;"OK",NOT(ISNUMBER(M2314))),"",M2314-S2314)</f>
        <v/>
      </c>
      <c r="U2314" s="49">
        <f>IF(OR(NOT(ISNUMBER(T2314)),IF(ISNUMBER(H2314),H2314,G2314)=0),"",T2314/IF(ISNUMBER(H2314),H2314,G2314))</f>
        <v/>
      </c>
      <c r="V2314" s="49">
        <f>IF(ISNUMBER(U2314),ABS(U2314),"")</f>
        <v/>
      </c>
      <c r="W2314" s="49">
        <f>IF(OR($E2313&lt;&gt;"측정",$C2313&lt;&gt;$C2314,$D2313&lt;&gt;$D2314,NOT(ISNUMBER(M2314)),NOT(ISNUMBER(M2313)),(IF(ISNUMBER(H2314),H2314,G2314)-IF(ISNUMBER(H2313),H2313,G2313))=0),"",(M2314-M2313)/(IF(ISNUMBER(H2314),H2314,G2314)-IF(ISNUMBER(H2313),H2313,G2313)))</f>
        <v/>
      </c>
      <c r="X2314" s="31">
        <f>IF(NOT(AND(ISNUMBER(O2314),ISNUMBER(Q2314))),"",(Q2314-O2314)*1440)</f>
        <v/>
      </c>
      <c r="Y2314" s="29" t="n"/>
      <c r="Z2314" s="29" t="n"/>
      <c r="AA2314" s="29" t="n"/>
      <c r="AB2314" s="32" t="n"/>
      <c r="AC2314" s="32" t="n"/>
    </row>
    <row r="2315">
      <c r="A2315" s="26" t="inlineStr">
        <is>
          <t>S45</t>
        </is>
      </c>
      <c r="B2315" s="26" t="inlineStr">
        <is>
          <t>여주</t>
        </is>
      </c>
      <c r="C2315" s="26" t="inlineStr">
        <is>
          <t>S45-H서</t>
        </is>
      </c>
      <c r="D2315" s="47" t="n">
        <v>1</v>
      </c>
      <c r="E2315" s="26" t="inlineStr">
        <is>
          <t>측정</t>
        </is>
      </c>
      <c r="F2315" s="26" t="inlineStr">
        <is>
          <t>서</t>
        </is>
      </c>
      <c r="G2315" s="31" t="n">
        <v>7</v>
      </c>
      <c r="H2315" s="30" t="n"/>
      <c r="I2315" s="43" t="n"/>
      <c r="J2315" s="41" t="n"/>
      <c r="K2315" s="41" t="n"/>
      <c r="L2315" s="41" t="n"/>
      <c r="M2315" s="31">
        <f>IF(COUNT(J2315:L2315)=0,"",MEDIAN(J2315:L2315))</f>
        <v/>
      </c>
      <c r="N2315" s="26">
        <f>IF(COUNTIFS($C:$C,$C2315,$D:$D,$D2315,$E:$E,"P0(전)",$M:$M,"&gt;0")&lt;&gt;1,"P0(전) 유효 1개 아님",IF(COUNTIFS($C:$C,$C2315,$D:$D,$D2315,$E:$E,"P0(후)",$M:$M,"&gt;0")&lt;&gt;1,"P0(후) 유효 1개 아님",IF(NOT(AND(ISNUMBER(O2315),ISNUMBER(Q2315),ISNUMBER(I2315))),"시각 결측",IF(Q2315&lt;=O2315,"P0 시각 역전",IF(OR(I2315&lt;O2315,I2315&gt;Q2315),"측정시각 구간 밖","OK")))))</f>
        <v/>
      </c>
      <c r="O2315" s="48">
        <f>IF(COUNTIFS($C:$C,$C2315,$D:$D,$D2315,$E:$E,"P0(전)",$M:$M,"&gt;0")&lt;&gt;1,"",SUMIFS($I:$I,$C:$C,$C2315,$D:$D,$D2315,$E:$E,"P0(전)"))</f>
        <v/>
      </c>
      <c r="P2315" s="31">
        <f>IF(COUNTIFS($C:$C,$C2315,$D:$D,$D2315,$E:$E,"P0(전)",$M:$M,"&gt;0")&lt;&gt;1,"",SUMIFS($M:$M,$C:$C,$C2315,$D:$D,$D2315,$E:$E,"P0(전)"))</f>
        <v/>
      </c>
      <c r="Q2315" s="48">
        <f>IF(COUNTIFS($C:$C,$C2315,$D:$D,$D2315,$E:$E,"P0(후)",$M:$M,"&gt;0")&lt;&gt;1,"",SUMIFS($I:$I,$C:$C,$C2315,$D:$D,$D2315,$E:$E,"P0(후)"))</f>
        <v/>
      </c>
      <c r="R2315" s="31">
        <f>IF(COUNTIFS($C:$C,$C2315,$D:$D,$D2315,$E:$E,"P0(후)",$M:$M,"&gt;0")&lt;&gt;1,"",SUMIFS($M:$M,$C:$C,$C2315,$D:$D,$D2315,$E:$E,"P0(후)"))</f>
        <v/>
      </c>
      <c r="S2315" s="31">
        <f>IF(N2315&lt;&gt;"OK","",P2315+(R2315-P2315)*(I2315-O2315)/(Q2315-O2315))</f>
        <v/>
      </c>
      <c r="T2315" s="31">
        <f>IF(OR(N2315&lt;&gt;"OK",NOT(ISNUMBER(M2315))),"",M2315-S2315)</f>
        <v/>
      </c>
      <c r="U2315" s="49">
        <f>IF(OR(NOT(ISNUMBER(T2315)),IF(ISNUMBER(H2315),H2315,G2315)=0),"",T2315/IF(ISNUMBER(H2315),H2315,G2315))</f>
        <v/>
      </c>
      <c r="V2315" s="49">
        <f>IF(ISNUMBER(U2315),ABS(U2315),"")</f>
        <v/>
      </c>
      <c r="W2315" s="49">
        <f>IF(OR($E2314&lt;&gt;"측정",$C2314&lt;&gt;$C2315,$D2314&lt;&gt;$D2315,NOT(ISNUMBER(M2315)),NOT(ISNUMBER(M2314)),(IF(ISNUMBER(H2315),H2315,G2315)-IF(ISNUMBER(H2314),H2314,G2314))=0),"",(M2315-M2314)/(IF(ISNUMBER(H2315),H2315,G2315)-IF(ISNUMBER(H2314),H2314,G2314)))</f>
        <v/>
      </c>
      <c r="X2315" s="31">
        <f>IF(NOT(AND(ISNUMBER(O2315),ISNUMBER(Q2315))),"",(Q2315-O2315)*1440)</f>
        <v/>
      </c>
      <c r="Y2315" s="29" t="n"/>
      <c r="Z2315" s="29" t="n"/>
      <c r="AA2315" s="29" t="n"/>
      <c r="AB2315" s="32" t="n"/>
      <c r="AC2315" s="32" t="n"/>
    </row>
    <row r="2316">
      <c r="A2316" s="26" t="inlineStr">
        <is>
          <t>S45</t>
        </is>
      </c>
      <c r="B2316" s="26" t="inlineStr">
        <is>
          <t>여주</t>
        </is>
      </c>
      <c r="C2316" s="26" t="inlineStr">
        <is>
          <t>S45-H서</t>
        </is>
      </c>
      <c r="D2316" s="47" t="n">
        <v>1</v>
      </c>
      <c r="E2316" s="26" t="inlineStr">
        <is>
          <t>측정</t>
        </is>
      </c>
      <c r="F2316" s="26" t="inlineStr">
        <is>
          <t>서</t>
        </is>
      </c>
      <c r="G2316" s="31" t="n">
        <v>8</v>
      </c>
      <c r="H2316" s="30" t="n"/>
      <c r="I2316" s="43" t="n"/>
      <c r="J2316" s="41" t="n"/>
      <c r="K2316" s="41" t="n"/>
      <c r="L2316" s="41" t="n"/>
      <c r="M2316" s="31">
        <f>IF(COUNT(J2316:L2316)=0,"",MEDIAN(J2316:L2316))</f>
        <v/>
      </c>
      <c r="N2316" s="26">
        <f>IF(COUNTIFS($C:$C,$C2316,$D:$D,$D2316,$E:$E,"P0(전)",$M:$M,"&gt;0")&lt;&gt;1,"P0(전) 유효 1개 아님",IF(COUNTIFS($C:$C,$C2316,$D:$D,$D2316,$E:$E,"P0(후)",$M:$M,"&gt;0")&lt;&gt;1,"P0(후) 유효 1개 아님",IF(NOT(AND(ISNUMBER(O2316),ISNUMBER(Q2316),ISNUMBER(I2316))),"시각 결측",IF(Q2316&lt;=O2316,"P0 시각 역전",IF(OR(I2316&lt;O2316,I2316&gt;Q2316),"측정시각 구간 밖","OK")))))</f>
        <v/>
      </c>
      <c r="O2316" s="48">
        <f>IF(COUNTIFS($C:$C,$C2316,$D:$D,$D2316,$E:$E,"P0(전)",$M:$M,"&gt;0")&lt;&gt;1,"",SUMIFS($I:$I,$C:$C,$C2316,$D:$D,$D2316,$E:$E,"P0(전)"))</f>
        <v/>
      </c>
      <c r="P2316" s="31">
        <f>IF(COUNTIFS($C:$C,$C2316,$D:$D,$D2316,$E:$E,"P0(전)",$M:$M,"&gt;0")&lt;&gt;1,"",SUMIFS($M:$M,$C:$C,$C2316,$D:$D,$D2316,$E:$E,"P0(전)"))</f>
        <v/>
      </c>
      <c r="Q2316" s="48">
        <f>IF(COUNTIFS($C:$C,$C2316,$D:$D,$D2316,$E:$E,"P0(후)",$M:$M,"&gt;0")&lt;&gt;1,"",SUMIFS($I:$I,$C:$C,$C2316,$D:$D,$D2316,$E:$E,"P0(후)"))</f>
        <v/>
      </c>
      <c r="R2316" s="31">
        <f>IF(COUNTIFS($C:$C,$C2316,$D:$D,$D2316,$E:$E,"P0(후)",$M:$M,"&gt;0")&lt;&gt;1,"",SUMIFS($M:$M,$C:$C,$C2316,$D:$D,$D2316,$E:$E,"P0(후)"))</f>
        <v/>
      </c>
      <c r="S2316" s="31">
        <f>IF(N2316&lt;&gt;"OK","",P2316+(R2316-P2316)*(I2316-O2316)/(Q2316-O2316))</f>
        <v/>
      </c>
      <c r="T2316" s="31">
        <f>IF(OR(N2316&lt;&gt;"OK",NOT(ISNUMBER(M2316))),"",M2316-S2316)</f>
        <v/>
      </c>
      <c r="U2316" s="49">
        <f>IF(OR(NOT(ISNUMBER(T2316)),IF(ISNUMBER(H2316),H2316,G2316)=0),"",T2316/IF(ISNUMBER(H2316),H2316,G2316))</f>
        <v/>
      </c>
      <c r="V2316" s="49">
        <f>IF(ISNUMBER(U2316),ABS(U2316),"")</f>
        <v/>
      </c>
      <c r="W2316" s="49">
        <f>IF(OR($E2315&lt;&gt;"측정",$C2315&lt;&gt;$C2316,$D2315&lt;&gt;$D2316,NOT(ISNUMBER(M2316)),NOT(ISNUMBER(M2315)),(IF(ISNUMBER(H2316),H2316,G2316)-IF(ISNUMBER(H2315),H2315,G2315))=0),"",(M2316-M2315)/(IF(ISNUMBER(H2316),H2316,G2316)-IF(ISNUMBER(H2315),H2315,G2315)))</f>
        <v/>
      </c>
      <c r="X2316" s="31">
        <f>IF(NOT(AND(ISNUMBER(O2316),ISNUMBER(Q2316))),"",(Q2316-O2316)*1440)</f>
        <v/>
      </c>
      <c r="Y2316" s="29" t="n"/>
      <c r="Z2316" s="29" t="n"/>
      <c r="AA2316" s="29" t="n"/>
      <c r="AB2316" s="32" t="n"/>
      <c r="AC2316" s="32" t="n"/>
    </row>
    <row r="2317">
      <c r="A2317" s="26" t="inlineStr">
        <is>
          <t>S45</t>
        </is>
      </c>
      <c r="B2317" s="26" t="inlineStr">
        <is>
          <t>여주</t>
        </is>
      </c>
      <c r="C2317" s="26" t="inlineStr">
        <is>
          <t>S45-H서</t>
        </is>
      </c>
      <c r="D2317" s="47" t="n">
        <v>1</v>
      </c>
      <c r="E2317" s="26" t="inlineStr">
        <is>
          <t>측정</t>
        </is>
      </c>
      <c r="F2317" s="26" t="inlineStr">
        <is>
          <t>서</t>
        </is>
      </c>
      <c r="G2317" s="31" t="n">
        <v>9</v>
      </c>
      <c r="H2317" s="30" t="n"/>
      <c r="I2317" s="43" t="n"/>
      <c r="J2317" s="41" t="n"/>
      <c r="K2317" s="41" t="n"/>
      <c r="L2317" s="41" t="n"/>
      <c r="M2317" s="31">
        <f>IF(COUNT(J2317:L2317)=0,"",MEDIAN(J2317:L2317))</f>
        <v/>
      </c>
      <c r="N2317" s="26">
        <f>IF(COUNTIFS($C:$C,$C2317,$D:$D,$D2317,$E:$E,"P0(전)",$M:$M,"&gt;0")&lt;&gt;1,"P0(전) 유효 1개 아님",IF(COUNTIFS($C:$C,$C2317,$D:$D,$D2317,$E:$E,"P0(후)",$M:$M,"&gt;0")&lt;&gt;1,"P0(후) 유효 1개 아님",IF(NOT(AND(ISNUMBER(O2317),ISNUMBER(Q2317),ISNUMBER(I2317))),"시각 결측",IF(Q2317&lt;=O2317,"P0 시각 역전",IF(OR(I2317&lt;O2317,I2317&gt;Q2317),"측정시각 구간 밖","OK")))))</f>
        <v/>
      </c>
      <c r="O2317" s="48">
        <f>IF(COUNTIFS($C:$C,$C2317,$D:$D,$D2317,$E:$E,"P0(전)",$M:$M,"&gt;0")&lt;&gt;1,"",SUMIFS($I:$I,$C:$C,$C2317,$D:$D,$D2317,$E:$E,"P0(전)"))</f>
        <v/>
      </c>
      <c r="P2317" s="31">
        <f>IF(COUNTIFS($C:$C,$C2317,$D:$D,$D2317,$E:$E,"P0(전)",$M:$M,"&gt;0")&lt;&gt;1,"",SUMIFS($M:$M,$C:$C,$C2317,$D:$D,$D2317,$E:$E,"P0(전)"))</f>
        <v/>
      </c>
      <c r="Q2317" s="48">
        <f>IF(COUNTIFS($C:$C,$C2317,$D:$D,$D2317,$E:$E,"P0(후)",$M:$M,"&gt;0")&lt;&gt;1,"",SUMIFS($I:$I,$C:$C,$C2317,$D:$D,$D2317,$E:$E,"P0(후)"))</f>
        <v/>
      </c>
      <c r="R2317" s="31">
        <f>IF(COUNTIFS($C:$C,$C2317,$D:$D,$D2317,$E:$E,"P0(후)",$M:$M,"&gt;0")&lt;&gt;1,"",SUMIFS($M:$M,$C:$C,$C2317,$D:$D,$D2317,$E:$E,"P0(후)"))</f>
        <v/>
      </c>
      <c r="S2317" s="31">
        <f>IF(N2317&lt;&gt;"OK","",P2317+(R2317-P2317)*(I2317-O2317)/(Q2317-O2317))</f>
        <v/>
      </c>
      <c r="T2317" s="31">
        <f>IF(OR(N2317&lt;&gt;"OK",NOT(ISNUMBER(M2317))),"",M2317-S2317)</f>
        <v/>
      </c>
      <c r="U2317" s="49">
        <f>IF(OR(NOT(ISNUMBER(T2317)),IF(ISNUMBER(H2317),H2317,G2317)=0),"",T2317/IF(ISNUMBER(H2317),H2317,G2317))</f>
        <v/>
      </c>
      <c r="V2317" s="49">
        <f>IF(ISNUMBER(U2317),ABS(U2317),"")</f>
        <v/>
      </c>
      <c r="W2317" s="49">
        <f>IF(OR($E2316&lt;&gt;"측정",$C2316&lt;&gt;$C2317,$D2316&lt;&gt;$D2317,NOT(ISNUMBER(M2317)),NOT(ISNUMBER(M2316)),(IF(ISNUMBER(H2317),H2317,G2317)-IF(ISNUMBER(H2316),H2316,G2316))=0),"",(M2317-M2316)/(IF(ISNUMBER(H2317),H2317,G2317)-IF(ISNUMBER(H2316),H2316,G2316)))</f>
        <v/>
      </c>
      <c r="X2317" s="31">
        <f>IF(NOT(AND(ISNUMBER(O2317),ISNUMBER(Q2317))),"",(Q2317-O2317)*1440)</f>
        <v/>
      </c>
      <c r="Y2317" s="29" t="n"/>
      <c r="Z2317" s="29" t="n"/>
      <c r="AA2317" s="29" t="n"/>
      <c r="AB2317" s="32" t="n"/>
      <c r="AC2317" s="32" t="n"/>
    </row>
    <row r="2318">
      <c r="A2318" s="26" t="inlineStr">
        <is>
          <t>S45</t>
        </is>
      </c>
      <c r="B2318" s="26" t="inlineStr">
        <is>
          <t>여주</t>
        </is>
      </c>
      <c r="C2318" s="26" t="inlineStr">
        <is>
          <t>S45-H서</t>
        </is>
      </c>
      <c r="D2318" s="47" t="n">
        <v>1</v>
      </c>
      <c r="E2318" s="26" t="inlineStr">
        <is>
          <t>측정</t>
        </is>
      </c>
      <c r="F2318" s="26" t="inlineStr">
        <is>
          <t>서</t>
        </is>
      </c>
      <c r="G2318" s="31" t="n">
        <v>10</v>
      </c>
      <c r="H2318" s="30" t="n"/>
      <c r="I2318" s="43" t="n"/>
      <c r="J2318" s="41" t="n"/>
      <c r="K2318" s="41" t="n"/>
      <c r="L2318" s="41" t="n"/>
      <c r="M2318" s="31">
        <f>IF(COUNT(J2318:L2318)=0,"",MEDIAN(J2318:L2318))</f>
        <v/>
      </c>
      <c r="N2318" s="26">
        <f>IF(COUNTIFS($C:$C,$C2318,$D:$D,$D2318,$E:$E,"P0(전)",$M:$M,"&gt;0")&lt;&gt;1,"P0(전) 유효 1개 아님",IF(COUNTIFS($C:$C,$C2318,$D:$D,$D2318,$E:$E,"P0(후)",$M:$M,"&gt;0")&lt;&gt;1,"P0(후) 유효 1개 아님",IF(NOT(AND(ISNUMBER(O2318),ISNUMBER(Q2318),ISNUMBER(I2318))),"시각 결측",IF(Q2318&lt;=O2318,"P0 시각 역전",IF(OR(I2318&lt;O2318,I2318&gt;Q2318),"측정시각 구간 밖","OK")))))</f>
        <v/>
      </c>
      <c r="O2318" s="48">
        <f>IF(COUNTIFS($C:$C,$C2318,$D:$D,$D2318,$E:$E,"P0(전)",$M:$M,"&gt;0")&lt;&gt;1,"",SUMIFS($I:$I,$C:$C,$C2318,$D:$D,$D2318,$E:$E,"P0(전)"))</f>
        <v/>
      </c>
      <c r="P2318" s="31">
        <f>IF(COUNTIFS($C:$C,$C2318,$D:$D,$D2318,$E:$E,"P0(전)",$M:$M,"&gt;0")&lt;&gt;1,"",SUMIFS($M:$M,$C:$C,$C2318,$D:$D,$D2318,$E:$E,"P0(전)"))</f>
        <v/>
      </c>
      <c r="Q2318" s="48">
        <f>IF(COUNTIFS($C:$C,$C2318,$D:$D,$D2318,$E:$E,"P0(후)",$M:$M,"&gt;0")&lt;&gt;1,"",SUMIFS($I:$I,$C:$C,$C2318,$D:$D,$D2318,$E:$E,"P0(후)"))</f>
        <v/>
      </c>
      <c r="R2318" s="31">
        <f>IF(COUNTIFS($C:$C,$C2318,$D:$D,$D2318,$E:$E,"P0(후)",$M:$M,"&gt;0")&lt;&gt;1,"",SUMIFS($M:$M,$C:$C,$C2318,$D:$D,$D2318,$E:$E,"P0(후)"))</f>
        <v/>
      </c>
      <c r="S2318" s="31">
        <f>IF(N2318&lt;&gt;"OK","",P2318+(R2318-P2318)*(I2318-O2318)/(Q2318-O2318))</f>
        <v/>
      </c>
      <c r="T2318" s="31">
        <f>IF(OR(N2318&lt;&gt;"OK",NOT(ISNUMBER(M2318))),"",M2318-S2318)</f>
        <v/>
      </c>
      <c r="U2318" s="49">
        <f>IF(OR(NOT(ISNUMBER(T2318)),IF(ISNUMBER(H2318),H2318,G2318)=0),"",T2318/IF(ISNUMBER(H2318),H2318,G2318))</f>
        <v/>
      </c>
      <c r="V2318" s="49">
        <f>IF(ISNUMBER(U2318),ABS(U2318),"")</f>
        <v/>
      </c>
      <c r="W2318" s="49">
        <f>IF(OR($E2317&lt;&gt;"측정",$C2317&lt;&gt;$C2318,$D2317&lt;&gt;$D2318,NOT(ISNUMBER(M2318)),NOT(ISNUMBER(M2317)),(IF(ISNUMBER(H2318),H2318,G2318)-IF(ISNUMBER(H2317),H2317,G2317))=0),"",(M2318-M2317)/(IF(ISNUMBER(H2318),H2318,G2318)-IF(ISNUMBER(H2317),H2317,G2317)))</f>
        <v/>
      </c>
      <c r="X2318" s="31">
        <f>IF(NOT(AND(ISNUMBER(O2318),ISNUMBER(Q2318))),"",(Q2318-O2318)*1440)</f>
        <v/>
      </c>
      <c r="Y2318" s="29" t="n"/>
      <c r="Z2318" s="29" t="n"/>
      <c r="AA2318" s="29" t="n"/>
      <c r="AB2318" s="32" t="n"/>
      <c r="AC2318" s="32" t="n"/>
    </row>
    <row r="2319">
      <c r="A2319" s="44" t="inlineStr">
        <is>
          <t>S45</t>
        </is>
      </c>
      <c r="B2319" s="44" t="inlineStr">
        <is>
          <t>여주</t>
        </is>
      </c>
      <c r="C2319" s="44" t="inlineStr">
        <is>
          <t>S45-H서</t>
        </is>
      </c>
      <c r="D2319" s="45" t="n">
        <v>1</v>
      </c>
      <c r="E2319" s="44" t="inlineStr">
        <is>
          <t>P0(후)</t>
        </is>
      </c>
      <c r="F2319" s="44" t="inlineStr">
        <is>
          <t>서</t>
        </is>
      </c>
      <c r="G2319" s="46" t="n"/>
      <c r="H2319" s="30" t="n"/>
      <c r="I2319" s="43" t="n"/>
      <c r="J2319" s="41" t="n"/>
      <c r="K2319" s="41" t="n"/>
      <c r="L2319" s="41" t="n"/>
      <c r="M2319" s="31">
        <f>IF(COUNT(J2319:L2319)=0,"",MEDIAN(J2319:L2319))</f>
        <v/>
      </c>
      <c r="N2319" s="38" t="n"/>
      <c r="O2319" s="38" t="n"/>
      <c r="P2319" s="38" t="n"/>
      <c r="Q2319" s="38" t="n"/>
      <c r="R2319" s="38" t="n"/>
      <c r="S2319" s="38" t="n"/>
      <c r="T2319" s="38" t="n"/>
      <c r="U2319" s="38" t="n"/>
      <c r="V2319" s="38" t="n"/>
      <c r="W2319" s="38" t="n"/>
      <c r="X2319" s="38" t="n"/>
      <c r="Y2319" s="29" t="n"/>
      <c r="Z2319" s="29" t="n"/>
      <c r="AA2319" s="29" t="n"/>
      <c r="AB2319" s="32" t="n"/>
      <c r="AC2319" s="32" t="n"/>
    </row>
    <row r="2320">
      <c r="A2320" s="44" t="inlineStr">
        <is>
          <t>S45</t>
        </is>
      </c>
      <c r="B2320" s="44" t="inlineStr">
        <is>
          <t>여주</t>
        </is>
      </c>
      <c r="C2320" s="44" t="inlineStr">
        <is>
          <t>S45-H남</t>
        </is>
      </c>
      <c r="D2320" s="45" t="n">
        <v>1</v>
      </c>
      <c r="E2320" s="44" t="inlineStr">
        <is>
          <t>P0(전)</t>
        </is>
      </c>
      <c r="F2320" s="44" t="inlineStr">
        <is>
          <t>남</t>
        </is>
      </c>
      <c r="G2320" s="46" t="n"/>
      <c r="H2320" s="30" t="n"/>
      <c r="I2320" s="43" t="n"/>
      <c r="J2320" s="41" t="n"/>
      <c r="K2320" s="41" t="n"/>
      <c r="L2320" s="41" t="n"/>
      <c r="M2320" s="31">
        <f>IF(COUNT(J2320:L2320)=0,"",MEDIAN(J2320:L2320))</f>
        <v/>
      </c>
      <c r="N2320" s="38" t="n"/>
      <c r="O2320" s="38" t="n"/>
      <c r="P2320" s="38" t="n"/>
      <c r="Q2320" s="38" t="n"/>
      <c r="R2320" s="38" t="n"/>
      <c r="S2320" s="38" t="n"/>
      <c r="T2320" s="38" t="n"/>
      <c r="U2320" s="38" t="n"/>
      <c r="V2320" s="38" t="n"/>
      <c r="W2320" s="38" t="n"/>
      <c r="X2320" s="38" t="n"/>
      <c r="Y2320" s="29" t="n"/>
      <c r="Z2320" s="29" t="n"/>
      <c r="AA2320" s="29" t="n"/>
      <c r="AB2320" s="32" t="n"/>
      <c r="AC2320" s="32" t="n"/>
    </row>
    <row r="2321">
      <c r="A2321" s="26" t="inlineStr">
        <is>
          <t>S45</t>
        </is>
      </c>
      <c r="B2321" s="26" t="inlineStr">
        <is>
          <t>여주</t>
        </is>
      </c>
      <c r="C2321" s="26" t="inlineStr">
        <is>
          <t>S45-H남</t>
        </is>
      </c>
      <c r="D2321" s="47" t="n">
        <v>1</v>
      </c>
      <c r="E2321" s="26" t="inlineStr">
        <is>
          <t>측정</t>
        </is>
      </c>
      <c r="F2321" s="26" t="inlineStr">
        <is>
          <t>남</t>
        </is>
      </c>
      <c r="G2321" s="31" t="n">
        <v>0.5</v>
      </c>
      <c r="H2321" s="30" t="n"/>
      <c r="I2321" s="43" t="n"/>
      <c r="J2321" s="41" t="n"/>
      <c r="K2321" s="41" t="n"/>
      <c r="L2321" s="41" t="n"/>
      <c r="M2321" s="31">
        <f>IF(COUNT(J2321:L2321)=0,"",MEDIAN(J2321:L2321))</f>
        <v/>
      </c>
      <c r="N2321" s="26">
        <f>IF(COUNTIFS($C:$C,$C2321,$D:$D,$D2321,$E:$E,"P0(전)",$M:$M,"&gt;0")&lt;&gt;1,"P0(전) 유효 1개 아님",IF(COUNTIFS($C:$C,$C2321,$D:$D,$D2321,$E:$E,"P0(후)",$M:$M,"&gt;0")&lt;&gt;1,"P0(후) 유효 1개 아님",IF(NOT(AND(ISNUMBER(O2321),ISNUMBER(Q2321),ISNUMBER(I2321))),"시각 결측",IF(Q2321&lt;=O2321,"P0 시각 역전",IF(OR(I2321&lt;O2321,I2321&gt;Q2321),"측정시각 구간 밖","OK")))))</f>
        <v/>
      </c>
      <c r="O2321" s="48">
        <f>IF(COUNTIFS($C:$C,$C2321,$D:$D,$D2321,$E:$E,"P0(전)",$M:$M,"&gt;0")&lt;&gt;1,"",SUMIFS($I:$I,$C:$C,$C2321,$D:$D,$D2321,$E:$E,"P0(전)"))</f>
        <v/>
      </c>
      <c r="P2321" s="31">
        <f>IF(COUNTIFS($C:$C,$C2321,$D:$D,$D2321,$E:$E,"P0(전)",$M:$M,"&gt;0")&lt;&gt;1,"",SUMIFS($M:$M,$C:$C,$C2321,$D:$D,$D2321,$E:$E,"P0(전)"))</f>
        <v/>
      </c>
      <c r="Q2321" s="48">
        <f>IF(COUNTIFS($C:$C,$C2321,$D:$D,$D2321,$E:$E,"P0(후)",$M:$M,"&gt;0")&lt;&gt;1,"",SUMIFS($I:$I,$C:$C,$C2321,$D:$D,$D2321,$E:$E,"P0(후)"))</f>
        <v/>
      </c>
      <c r="R2321" s="31">
        <f>IF(COUNTIFS($C:$C,$C2321,$D:$D,$D2321,$E:$E,"P0(후)",$M:$M,"&gt;0")&lt;&gt;1,"",SUMIFS($M:$M,$C:$C,$C2321,$D:$D,$D2321,$E:$E,"P0(후)"))</f>
        <v/>
      </c>
      <c r="S2321" s="31">
        <f>IF(N2321&lt;&gt;"OK","",P2321+(R2321-P2321)*(I2321-O2321)/(Q2321-O2321))</f>
        <v/>
      </c>
      <c r="T2321" s="31">
        <f>IF(OR(N2321&lt;&gt;"OK",NOT(ISNUMBER(M2321))),"",M2321-S2321)</f>
        <v/>
      </c>
      <c r="U2321" s="49">
        <f>IF(OR(NOT(ISNUMBER(T2321)),IF(ISNUMBER(H2321),H2321,G2321)=0),"",T2321/IF(ISNUMBER(H2321),H2321,G2321))</f>
        <v/>
      </c>
      <c r="V2321" s="49">
        <f>IF(ISNUMBER(U2321),ABS(U2321),"")</f>
        <v/>
      </c>
      <c r="W2321" s="49">
        <f>IF(OR($E2320&lt;&gt;"측정",$C2320&lt;&gt;$C2321,$D2320&lt;&gt;$D2321,NOT(ISNUMBER(M2321)),NOT(ISNUMBER(M2320)),(IF(ISNUMBER(H2321),H2321,G2321)-IF(ISNUMBER(H2320),H2320,G2320))=0),"",(M2321-M2320)/(IF(ISNUMBER(H2321),H2321,G2321)-IF(ISNUMBER(H2320),H2320,G2320)))</f>
        <v/>
      </c>
      <c r="X2321" s="31">
        <f>IF(NOT(AND(ISNUMBER(O2321),ISNUMBER(Q2321))),"",(Q2321-O2321)*1440)</f>
        <v/>
      </c>
      <c r="Y2321" s="29" t="n"/>
      <c r="Z2321" s="29" t="n"/>
      <c r="AA2321" s="29" t="n"/>
      <c r="AB2321" s="32" t="n"/>
      <c r="AC2321" s="32" t="n"/>
    </row>
    <row r="2322">
      <c r="A2322" s="26" t="inlineStr">
        <is>
          <t>S45</t>
        </is>
      </c>
      <c r="B2322" s="26" t="inlineStr">
        <is>
          <t>여주</t>
        </is>
      </c>
      <c r="C2322" s="26" t="inlineStr">
        <is>
          <t>S45-H남</t>
        </is>
      </c>
      <c r="D2322" s="47" t="n">
        <v>1</v>
      </c>
      <c r="E2322" s="26" t="inlineStr">
        <is>
          <t>측정</t>
        </is>
      </c>
      <c r="F2322" s="26" t="inlineStr">
        <is>
          <t>남</t>
        </is>
      </c>
      <c r="G2322" s="31" t="n">
        <v>1</v>
      </c>
      <c r="H2322" s="30" t="n"/>
      <c r="I2322" s="43" t="n"/>
      <c r="J2322" s="41" t="n"/>
      <c r="K2322" s="41" t="n"/>
      <c r="L2322" s="41" t="n"/>
      <c r="M2322" s="31">
        <f>IF(COUNT(J2322:L2322)=0,"",MEDIAN(J2322:L2322))</f>
        <v/>
      </c>
      <c r="N2322" s="26">
        <f>IF(COUNTIFS($C:$C,$C2322,$D:$D,$D2322,$E:$E,"P0(전)",$M:$M,"&gt;0")&lt;&gt;1,"P0(전) 유효 1개 아님",IF(COUNTIFS($C:$C,$C2322,$D:$D,$D2322,$E:$E,"P0(후)",$M:$M,"&gt;0")&lt;&gt;1,"P0(후) 유효 1개 아님",IF(NOT(AND(ISNUMBER(O2322),ISNUMBER(Q2322),ISNUMBER(I2322))),"시각 결측",IF(Q2322&lt;=O2322,"P0 시각 역전",IF(OR(I2322&lt;O2322,I2322&gt;Q2322),"측정시각 구간 밖","OK")))))</f>
        <v/>
      </c>
      <c r="O2322" s="48">
        <f>IF(COUNTIFS($C:$C,$C2322,$D:$D,$D2322,$E:$E,"P0(전)",$M:$M,"&gt;0")&lt;&gt;1,"",SUMIFS($I:$I,$C:$C,$C2322,$D:$D,$D2322,$E:$E,"P0(전)"))</f>
        <v/>
      </c>
      <c r="P2322" s="31">
        <f>IF(COUNTIFS($C:$C,$C2322,$D:$D,$D2322,$E:$E,"P0(전)",$M:$M,"&gt;0")&lt;&gt;1,"",SUMIFS($M:$M,$C:$C,$C2322,$D:$D,$D2322,$E:$E,"P0(전)"))</f>
        <v/>
      </c>
      <c r="Q2322" s="48">
        <f>IF(COUNTIFS($C:$C,$C2322,$D:$D,$D2322,$E:$E,"P0(후)",$M:$M,"&gt;0")&lt;&gt;1,"",SUMIFS($I:$I,$C:$C,$C2322,$D:$D,$D2322,$E:$E,"P0(후)"))</f>
        <v/>
      </c>
      <c r="R2322" s="31">
        <f>IF(COUNTIFS($C:$C,$C2322,$D:$D,$D2322,$E:$E,"P0(후)",$M:$M,"&gt;0")&lt;&gt;1,"",SUMIFS($M:$M,$C:$C,$C2322,$D:$D,$D2322,$E:$E,"P0(후)"))</f>
        <v/>
      </c>
      <c r="S2322" s="31">
        <f>IF(N2322&lt;&gt;"OK","",P2322+(R2322-P2322)*(I2322-O2322)/(Q2322-O2322))</f>
        <v/>
      </c>
      <c r="T2322" s="31">
        <f>IF(OR(N2322&lt;&gt;"OK",NOT(ISNUMBER(M2322))),"",M2322-S2322)</f>
        <v/>
      </c>
      <c r="U2322" s="49">
        <f>IF(OR(NOT(ISNUMBER(T2322)),IF(ISNUMBER(H2322),H2322,G2322)=0),"",T2322/IF(ISNUMBER(H2322),H2322,G2322))</f>
        <v/>
      </c>
      <c r="V2322" s="49">
        <f>IF(ISNUMBER(U2322),ABS(U2322),"")</f>
        <v/>
      </c>
      <c r="W2322" s="49">
        <f>IF(OR($E2321&lt;&gt;"측정",$C2321&lt;&gt;$C2322,$D2321&lt;&gt;$D2322,NOT(ISNUMBER(M2322)),NOT(ISNUMBER(M2321)),(IF(ISNUMBER(H2322),H2322,G2322)-IF(ISNUMBER(H2321),H2321,G2321))=0),"",(M2322-M2321)/(IF(ISNUMBER(H2322),H2322,G2322)-IF(ISNUMBER(H2321),H2321,G2321)))</f>
        <v/>
      </c>
      <c r="X2322" s="31">
        <f>IF(NOT(AND(ISNUMBER(O2322),ISNUMBER(Q2322))),"",(Q2322-O2322)*1440)</f>
        <v/>
      </c>
      <c r="Y2322" s="29" t="n"/>
      <c r="Z2322" s="29" t="n"/>
      <c r="AA2322" s="29" t="n"/>
      <c r="AB2322" s="32" t="n"/>
      <c r="AC2322" s="32" t="n"/>
    </row>
    <row r="2323">
      <c r="A2323" s="26" t="inlineStr">
        <is>
          <t>S45</t>
        </is>
      </c>
      <c r="B2323" s="26" t="inlineStr">
        <is>
          <t>여주</t>
        </is>
      </c>
      <c r="C2323" s="26" t="inlineStr">
        <is>
          <t>S45-H남</t>
        </is>
      </c>
      <c r="D2323" s="47" t="n">
        <v>1</v>
      </c>
      <c r="E2323" s="26" t="inlineStr">
        <is>
          <t>측정</t>
        </is>
      </c>
      <c r="F2323" s="26" t="inlineStr">
        <is>
          <t>남</t>
        </is>
      </c>
      <c r="G2323" s="31" t="n">
        <v>2</v>
      </c>
      <c r="H2323" s="30" t="n"/>
      <c r="I2323" s="43" t="n"/>
      <c r="J2323" s="41" t="n"/>
      <c r="K2323" s="41" t="n"/>
      <c r="L2323" s="41" t="n"/>
      <c r="M2323" s="31">
        <f>IF(COUNT(J2323:L2323)=0,"",MEDIAN(J2323:L2323))</f>
        <v/>
      </c>
      <c r="N2323" s="26">
        <f>IF(COUNTIFS($C:$C,$C2323,$D:$D,$D2323,$E:$E,"P0(전)",$M:$M,"&gt;0")&lt;&gt;1,"P0(전) 유효 1개 아님",IF(COUNTIFS($C:$C,$C2323,$D:$D,$D2323,$E:$E,"P0(후)",$M:$M,"&gt;0")&lt;&gt;1,"P0(후) 유효 1개 아님",IF(NOT(AND(ISNUMBER(O2323),ISNUMBER(Q2323),ISNUMBER(I2323))),"시각 결측",IF(Q2323&lt;=O2323,"P0 시각 역전",IF(OR(I2323&lt;O2323,I2323&gt;Q2323),"측정시각 구간 밖","OK")))))</f>
        <v/>
      </c>
      <c r="O2323" s="48">
        <f>IF(COUNTIFS($C:$C,$C2323,$D:$D,$D2323,$E:$E,"P0(전)",$M:$M,"&gt;0")&lt;&gt;1,"",SUMIFS($I:$I,$C:$C,$C2323,$D:$D,$D2323,$E:$E,"P0(전)"))</f>
        <v/>
      </c>
      <c r="P2323" s="31">
        <f>IF(COUNTIFS($C:$C,$C2323,$D:$D,$D2323,$E:$E,"P0(전)",$M:$M,"&gt;0")&lt;&gt;1,"",SUMIFS($M:$M,$C:$C,$C2323,$D:$D,$D2323,$E:$E,"P0(전)"))</f>
        <v/>
      </c>
      <c r="Q2323" s="48">
        <f>IF(COUNTIFS($C:$C,$C2323,$D:$D,$D2323,$E:$E,"P0(후)",$M:$M,"&gt;0")&lt;&gt;1,"",SUMIFS($I:$I,$C:$C,$C2323,$D:$D,$D2323,$E:$E,"P0(후)"))</f>
        <v/>
      </c>
      <c r="R2323" s="31">
        <f>IF(COUNTIFS($C:$C,$C2323,$D:$D,$D2323,$E:$E,"P0(후)",$M:$M,"&gt;0")&lt;&gt;1,"",SUMIFS($M:$M,$C:$C,$C2323,$D:$D,$D2323,$E:$E,"P0(후)"))</f>
        <v/>
      </c>
      <c r="S2323" s="31">
        <f>IF(N2323&lt;&gt;"OK","",P2323+(R2323-P2323)*(I2323-O2323)/(Q2323-O2323))</f>
        <v/>
      </c>
      <c r="T2323" s="31">
        <f>IF(OR(N2323&lt;&gt;"OK",NOT(ISNUMBER(M2323))),"",M2323-S2323)</f>
        <v/>
      </c>
      <c r="U2323" s="49">
        <f>IF(OR(NOT(ISNUMBER(T2323)),IF(ISNUMBER(H2323),H2323,G2323)=0),"",T2323/IF(ISNUMBER(H2323),H2323,G2323))</f>
        <v/>
      </c>
      <c r="V2323" s="49">
        <f>IF(ISNUMBER(U2323),ABS(U2323),"")</f>
        <v/>
      </c>
      <c r="W2323" s="49">
        <f>IF(OR($E2322&lt;&gt;"측정",$C2322&lt;&gt;$C2323,$D2322&lt;&gt;$D2323,NOT(ISNUMBER(M2323)),NOT(ISNUMBER(M2322)),(IF(ISNUMBER(H2323),H2323,G2323)-IF(ISNUMBER(H2322),H2322,G2322))=0),"",(M2323-M2322)/(IF(ISNUMBER(H2323),H2323,G2323)-IF(ISNUMBER(H2322),H2322,G2322)))</f>
        <v/>
      </c>
      <c r="X2323" s="31">
        <f>IF(NOT(AND(ISNUMBER(O2323),ISNUMBER(Q2323))),"",(Q2323-O2323)*1440)</f>
        <v/>
      </c>
      <c r="Y2323" s="29" t="n"/>
      <c r="Z2323" s="29" t="n"/>
      <c r="AA2323" s="29" t="n"/>
      <c r="AB2323" s="32" t="n"/>
      <c r="AC2323" s="32" t="n"/>
    </row>
    <row r="2324">
      <c r="A2324" s="26" t="inlineStr">
        <is>
          <t>S45</t>
        </is>
      </c>
      <c r="B2324" s="26" t="inlineStr">
        <is>
          <t>여주</t>
        </is>
      </c>
      <c r="C2324" s="26" t="inlineStr">
        <is>
          <t>S45-H남</t>
        </is>
      </c>
      <c r="D2324" s="47" t="n">
        <v>1</v>
      </c>
      <c r="E2324" s="26" t="inlineStr">
        <is>
          <t>측정</t>
        </is>
      </c>
      <c r="F2324" s="26" t="inlineStr">
        <is>
          <t>남</t>
        </is>
      </c>
      <c r="G2324" s="31" t="n">
        <v>3</v>
      </c>
      <c r="H2324" s="30" t="n"/>
      <c r="I2324" s="43" t="n"/>
      <c r="J2324" s="41" t="n"/>
      <c r="K2324" s="41" t="n"/>
      <c r="L2324" s="41" t="n"/>
      <c r="M2324" s="31">
        <f>IF(COUNT(J2324:L2324)=0,"",MEDIAN(J2324:L2324))</f>
        <v/>
      </c>
      <c r="N2324" s="26">
        <f>IF(COUNTIFS($C:$C,$C2324,$D:$D,$D2324,$E:$E,"P0(전)",$M:$M,"&gt;0")&lt;&gt;1,"P0(전) 유효 1개 아님",IF(COUNTIFS($C:$C,$C2324,$D:$D,$D2324,$E:$E,"P0(후)",$M:$M,"&gt;0")&lt;&gt;1,"P0(후) 유효 1개 아님",IF(NOT(AND(ISNUMBER(O2324),ISNUMBER(Q2324),ISNUMBER(I2324))),"시각 결측",IF(Q2324&lt;=O2324,"P0 시각 역전",IF(OR(I2324&lt;O2324,I2324&gt;Q2324),"측정시각 구간 밖","OK")))))</f>
        <v/>
      </c>
      <c r="O2324" s="48">
        <f>IF(COUNTIFS($C:$C,$C2324,$D:$D,$D2324,$E:$E,"P0(전)",$M:$M,"&gt;0")&lt;&gt;1,"",SUMIFS($I:$I,$C:$C,$C2324,$D:$D,$D2324,$E:$E,"P0(전)"))</f>
        <v/>
      </c>
      <c r="P2324" s="31">
        <f>IF(COUNTIFS($C:$C,$C2324,$D:$D,$D2324,$E:$E,"P0(전)",$M:$M,"&gt;0")&lt;&gt;1,"",SUMIFS($M:$M,$C:$C,$C2324,$D:$D,$D2324,$E:$E,"P0(전)"))</f>
        <v/>
      </c>
      <c r="Q2324" s="48">
        <f>IF(COUNTIFS($C:$C,$C2324,$D:$D,$D2324,$E:$E,"P0(후)",$M:$M,"&gt;0")&lt;&gt;1,"",SUMIFS($I:$I,$C:$C,$C2324,$D:$D,$D2324,$E:$E,"P0(후)"))</f>
        <v/>
      </c>
      <c r="R2324" s="31">
        <f>IF(COUNTIFS($C:$C,$C2324,$D:$D,$D2324,$E:$E,"P0(후)",$M:$M,"&gt;0")&lt;&gt;1,"",SUMIFS($M:$M,$C:$C,$C2324,$D:$D,$D2324,$E:$E,"P0(후)"))</f>
        <v/>
      </c>
      <c r="S2324" s="31">
        <f>IF(N2324&lt;&gt;"OK","",P2324+(R2324-P2324)*(I2324-O2324)/(Q2324-O2324))</f>
        <v/>
      </c>
      <c r="T2324" s="31">
        <f>IF(OR(N2324&lt;&gt;"OK",NOT(ISNUMBER(M2324))),"",M2324-S2324)</f>
        <v/>
      </c>
      <c r="U2324" s="49">
        <f>IF(OR(NOT(ISNUMBER(T2324)),IF(ISNUMBER(H2324),H2324,G2324)=0),"",T2324/IF(ISNUMBER(H2324),H2324,G2324))</f>
        <v/>
      </c>
      <c r="V2324" s="49">
        <f>IF(ISNUMBER(U2324),ABS(U2324),"")</f>
        <v/>
      </c>
      <c r="W2324" s="49">
        <f>IF(OR($E2323&lt;&gt;"측정",$C2323&lt;&gt;$C2324,$D2323&lt;&gt;$D2324,NOT(ISNUMBER(M2324)),NOT(ISNUMBER(M2323)),(IF(ISNUMBER(H2324),H2324,G2324)-IF(ISNUMBER(H2323),H2323,G2323))=0),"",(M2324-M2323)/(IF(ISNUMBER(H2324),H2324,G2324)-IF(ISNUMBER(H2323),H2323,G2323)))</f>
        <v/>
      </c>
      <c r="X2324" s="31">
        <f>IF(NOT(AND(ISNUMBER(O2324),ISNUMBER(Q2324))),"",(Q2324-O2324)*1440)</f>
        <v/>
      </c>
      <c r="Y2324" s="29" t="n"/>
      <c r="Z2324" s="29" t="n"/>
      <c r="AA2324" s="29" t="n"/>
      <c r="AB2324" s="32" t="n"/>
      <c r="AC2324" s="32" t="n"/>
    </row>
    <row r="2325">
      <c r="A2325" s="26" t="inlineStr">
        <is>
          <t>S45</t>
        </is>
      </c>
      <c r="B2325" s="26" t="inlineStr">
        <is>
          <t>여주</t>
        </is>
      </c>
      <c r="C2325" s="26" t="inlineStr">
        <is>
          <t>S45-H남</t>
        </is>
      </c>
      <c r="D2325" s="47" t="n">
        <v>1</v>
      </c>
      <c r="E2325" s="26" t="inlineStr">
        <is>
          <t>측정</t>
        </is>
      </c>
      <c r="F2325" s="26" t="inlineStr">
        <is>
          <t>남</t>
        </is>
      </c>
      <c r="G2325" s="31" t="n">
        <v>4</v>
      </c>
      <c r="H2325" s="30" t="n"/>
      <c r="I2325" s="43" t="n"/>
      <c r="J2325" s="41" t="n"/>
      <c r="K2325" s="41" t="n"/>
      <c r="L2325" s="41" t="n"/>
      <c r="M2325" s="31">
        <f>IF(COUNT(J2325:L2325)=0,"",MEDIAN(J2325:L2325))</f>
        <v/>
      </c>
      <c r="N2325" s="26">
        <f>IF(COUNTIFS($C:$C,$C2325,$D:$D,$D2325,$E:$E,"P0(전)",$M:$M,"&gt;0")&lt;&gt;1,"P0(전) 유효 1개 아님",IF(COUNTIFS($C:$C,$C2325,$D:$D,$D2325,$E:$E,"P0(후)",$M:$M,"&gt;0")&lt;&gt;1,"P0(후) 유효 1개 아님",IF(NOT(AND(ISNUMBER(O2325),ISNUMBER(Q2325),ISNUMBER(I2325))),"시각 결측",IF(Q2325&lt;=O2325,"P0 시각 역전",IF(OR(I2325&lt;O2325,I2325&gt;Q2325),"측정시각 구간 밖","OK")))))</f>
        <v/>
      </c>
      <c r="O2325" s="48">
        <f>IF(COUNTIFS($C:$C,$C2325,$D:$D,$D2325,$E:$E,"P0(전)",$M:$M,"&gt;0")&lt;&gt;1,"",SUMIFS($I:$I,$C:$C,$C2325,$D:$D,$D2325,$E:$E,"P0(전)"))</f>
        <v/>
      </c>
      <c r="P2325" s="31">
        <f>IF(COUNTIFS($C:$C,$C2325,$D:$D,$D2325,$E:$E,"P0(전)",$M:$M,"&gt;0")&lt;&gt;1,"",SUMIFS($M:$M,$C:$C,$C2325,$D:$D,$D2325,$E:$E,"P0(전)"))</f>
        <v/>
      </c>
      <c r="Q2325" s="48">
        <f>IF(COUNTIFS($C:$C,$C2325,$D:$D,$D2325,$E:$E,"P0(후)",$M:$M,"&gt;0")&lt;&gt;1,"",SUMIFS($I:$I,$C:$C,$C2325,$D:$D,$D2325,$E:$E,"P0(후)"))</f>
        <v/>
      </c>
      <c r="R2325" s="31">
        <f>IF(COUNTIFS($C:$C,$C2325,$D:$D,$D2325,$E:$E,"P0(후)",$M:$M,"&gt;0")&lt;&gt;1,"",SUMIFS($M:$M,$C:$C,$C2325,$D:$D,$D2325,$E:$E,"P0(후)"))</f>
        <v/>
      </c>
      <c r="S2325" s="31">
        <f>IF(N2325&lt;&gt;"OK","",P2325+(R2325-P2325)*(I2325-O2325)/(Q2325-O2325))</f>
        <v/>
      </c>
      <c r="T2325" s="31">
        <f>IF(OR(N2325&lt;&gt;"OK",NOT(ISNUMBER(M2325))),"",M2325-S2325)</f>
        <v/>
      </c>
      <c r="U2325" s="49">
        <f>IF(OR(NOT(ISNUMBER(T2325)),IF(ISNUMBER(H2325),H2325,G2325)=0),"",T2325/IF(ISNUMBER(H2325),H2325,G2325))</f>
        <v/>
      </c>
      <c r="V2325" s="49">
        <f>IF(ISNUMBER(U2325),ABS(U2325),"")</f>
        <v/>
      </c>
      <c r="W2325" s="49">
        <f>IF(OR($E2324&lt;&gt;"측정",$C2324&lt;&gt;$C2325,$D2324&lt;&gt;$D2325,NOT(ISNUMBER(M2325)),NOT(ISNUMBER(M2324)),(IF(ISNUMBER(H2325),H2325,G2325)-IF(ISNUMBER(H2324),H2324,G2324))=0),"",(M2325-M2324)/(IF(ISNUMBER(H2325),H2325,G2325)-IF(ISNUMBER(H2324),H2324,G2324)))</f>
        <v/>
      </c>
      <c r="X2325" s="31">
        <f>IF(NOT(AND(ISNUMBER(O2325),ISNUMBER(Q2325))),"",(Q2325-O2325)*1440)</f>
        <v/>
      </c>
      <c r="Y2325" s="29" t="n"/>
      <c r="Z2325" s="29" t="n"/>
      <c r="AA2325" s="29" t="n"/>
      <c r="AB2325" s="32" t="n"/>
      <c r="AC2325" s="32" t="n"/>
    </row>
    <row r="2326">
      <c r="A2326" s="26" t="inlineStr">
        <is>
          <t>S45</t>
        </is>
      </c>
      <c r="B2326" s="26" t="inlineStr">
        <is>
          <t>여주</t>
        </is>
      </c>
      <c r="C2326" s="26" t="inlineStr">
        <is>
          <t>S45-H남</t>
        </is>
      </c>
      <c r="D2326" s="47" t="n">
        <v>1</v>
      </c>
      <c r="E2326" s="26" t="inlineStr">
        <is>
          <t>측정</t>
        </is>
      </c>
      <c r="F2326" s="26" t="inlineStr">
        <is>
          <t>남</t>
        </is>
      </c>
      <c r="G2326" s="31" t="n">
        <v>5</v>
      </c>
      <c r="H2326" s="30" t="n"/>
      <c r="I2326" s="43" t="n"/>
      <c r="J2326" s="41" t="n"/>
      <c r="K2326" s="41" t="n"/>
      <c r="L2326" s="41" t="n"/>
      <c r="M2326" s="31">
        <f>IF(COUNT(J2326:L2326)=0,"",MEDIAN(J2326:L2326))</f>
        <v/>
      </c>
      <c r="N2326" s="26">
        <f>IF(COUNTIFS($C:$C,$C2326,$D:$D,$D2326,$E:$E,"P0(전)",$M:$M,"&gt;0")&lt;&gt;1,"P0(전) 유효 1개 아님",IF(COUNTIFS($C:$C,$C2326,$D:$D,$D2326,$E:$E,"P0(후)",$M:$M,"&gt;0")&lt;&gt;1,"P0(후) 유효 1개 아님",IF(NOT(AND(ISNUMBER(O2326),ISNUMBER(Q2326),ISNUMBER(I2326))),"시각 결측",IF(Q2326&lt;=O2326,"P0 시각 역전",IF(OR(I2326&lt;O2326,I2326&gt;Q2326),"측정시각 구간 밖","OK")))))</f>
        <v/>
      </c>
      <c r="O2326" s="48">
        <f>IF(COUNTIFS($C:$C,$C2326,$D:$D,$D2326,$E:$E,"P0(전)",$M:$M,"&gt;0")&lt;&gt;1,"",SUMIFS($I:$I,$C:$C,$C2326,$D:$D,$D2326,$E:$E,"P0(전)"))</f>
        <v/>
      </c>
      <c r="P2326" s="31">
        <f>IF(COUNTIFS($C:$C,$C2326,$D:$D,$D2326,$E:$E,"P0(전)",$M:$M,"&gt;0")&lt;&gt;1,"",SUMIFS($M:$M,$C:$C,$C2326,$D:$D,$D2326,$E:$E,"P0(전)"))</f>
        <v/>
      </c>
      <c r="Q2326" s="48">
        <f>IF(COUNTIFS($C:$C,$C2326,$D:$D,$D2326,$E:$E,"P0(후)",$M:$M,"&gt;0")&lt;&gt;1,"",SUMIFS($I:$I,$C:$C,$C2326,$D:$D,$D2326,$E:$E,"P0(후)"))</f>
        <v/>
      </c>
      <c r="R2326" s="31">
        <f>IF(COUNTIFS($C:$C,$C2326,$D:$D,$D2326,$E:$E,"P0(후)",$M:$M,"&gt;0")&lt;&gt;1,"",SUMIFS($M:$M,$C:$C,$C2326,$D:$D,$D2326,$E:$E,"P0(후)"))</f>
        <v/>
      </c>
      <c r="S2326" s="31">
        <f>IF(N2326&lt;&gt;"OK","",P2326+(R2326-P2326)*(I2326-O2326)/(Q2326-O2326))</f>
        <v/>
      </c>
      <c r="T2326" s="31">
        <f>IF(OR(N2326&lt;&gt;"OK",NOT(ISNUMBER(M2326))),"",M2326-S2326)</f>
        <v/>
      </c>
      <c r="U2326" s="49">
        <f>IF(OR(NOT(ISNUMBER(T2326)),IF(ISNUMBER(H2326),H2326,G2326)=0),"",T2326/IF(ISNUMBER(H2326),H2326,G2326))</f>
        <v/>
      </c>
      <c r="V2326" s="49">
        <f>IF(ISNUMBER(U2326),ABS(U2326),"")</f>
        <v/>
      </c>
      <c r="W2326" s="49">
        <f>IF(OR($E2325&lt;&gt;"측정",$C2325&lt;&gt;$C2326,$D2325&lt;&gt;$D2326,NOT(ISNUMBER(M2326)),NOT(ISNUMBER(M2325)),(IF(ISNUMBER(H2326),H2326,G2326)-IF(ISNUMBER(H2325),H2325,G2325))=0),"",(M2326-M2325)/(IF(ISNUMBER(H2326),H2326,G2326)-IF(ISNUMBER(H2325),H2325,G2325)))</f>
        <v/>
      </c>
      <c r="X2326" s="31">
        <f>IF(NOT(AND(ISNUMBER(O2326),ISNUMBER(Q2326))),"",(Q2326-O2326)*1440)</f>
        <v/>
      </c>
      <c r="Y2326" s="29" t="n"/>
      <c r="Z2326" s="29" t="n"/>
      <c r="AA2326" s="29" t="n"/>
      <c r="AB2326" s="32" t="n"/>
      <c r="AC2326" s="32" t="n"/>
    </row>
    <row r="2327">
      <c r="A2327" s="26" t="inlineStr">
        <is>
          <t>S45</t>
        </is>
      </c>
      <c r="B2327" s="26" t="inlineStr">
        <is>
          <t>여주</t>
        </is>
      </c>
      <c r="C2327" s="26" t="inlineStr">
        <is>
          <t>S45-H남</t>
        </is>
      </c>
      <c r="D2327" s="47" t="n">
        <v>1</v>
      </c>
      <c r="E2327" s="26" t="inlineStr">
        <is>
          <t>측정</t>
        </is>
      </c>
      <c r="F2327" s="26" t="inlineStr">
        <is>
          <t>남</t>
        </is>
      </c>
      <c r="G2327" s="31" t="n">
        <v>6</v>
      </c>
      <c r="H2327" s="30" t="n"/>
      <c r="I2327" s="43" t="n"/>
      <c r="J2327" s="41" t="n"/>
      <c r="K2327" s="41" t="n"/>
      <c r="L2327" s="41" t="n"/>
      <c r="M2327" s="31">
        <f>IF(COUNT(J2327:L2327)=0,"",MEDIAN(J2327:L2327))</f>
        <v/>
      </c>
      <c r="N2327" s="26">
        <f>IF(COUNTIFS($C:$C,$C2327,$D:$D,$D2327,$E:$E,"P0(전)",$M:$M,"&gt;0")&lt;&gt;1,"P0(전) 유효 1개 아님",IF(COUNTIFS($C:$C,$C2327,$D:$D,$D2327,$E:$E,"P0(후)",$M:$M,"&gt;0")&lt;&gt;1,"P0(후) 유효 1개 아님",IF(NOT(AND(ISNUMBER(O2327),ISNUMBER(Q2327),ISNUMBER(I2327))),"시각 결측",IF(Q2327&lt;=O2327,"P0 시각 역전",IF(OR(I2327&lt;O2327,I2327&gt;Q2327),"측정시각 구간 밖","OK")))))</f>
        <v/>
      </c>
      <c r="O2327" s="48">
        <f>IF(COUNTIFS($C:$C,$C2327,$D:$D,$D2327,$E:$E,"P0(전)",$M:$M,"&gt;0")&lt;&gt;1,"",SUMIFS($I:$I,$C:$C,$C2327,$D:$D,$D2327,$E:$E,"P0(전)"))</f>
        <v/>
      </c>
      <c r="P2327" s="31">
        <f>IF(COUNTIFS($C:$C,$C2327,$D:$D,$D2327,$E:$E,"P0(전)",$M:$M,"&gt;0")&lt;&gt;1,"",SUMIFS($M:$M,$C:$C,$C2327,$D:$D,$D2327,$E:$E,"P0(전)"))</f>
        <v/>
      </c>
      <c r="Q2327" s="48">
        <f>IF(COUNTIFS($C:$C,$C2327,$D:$D,$D2327,$E:$E,"P0(후)",$M:$M,"&gt;0")&lt;&gt;1,"",SUMIFS($I:$I,$C:$C,$C2327,$D:$D,$D2327,$E:$E,"P0(후)"))</f>
        <v/>
      </c>
      <c r="R2327" s="31">
        <f>IF(COUNTIFS($C:$C,$C2327,$D:$D,$D2327,$E:$E,"P0(후)",$M:$M,"&gt;0")&lt;&gt;1,"",SUMIFS($M:$M,$C:$C,$C2327,$D:$D,$D2327,$E:$E,"P0(후)"))</f>
        <v/>
      </c>
      <c r="S2327" s="31">
        <f>IF(N2327&lt;&gt;"OK","",P2327+(R2327-P2327)*(I2327-O2327)/(Q2327-O2327))</f>
        <v/>
      </c>
      <c r="T2327" s="31">
        <f>IF(OR(N2327&lt;&gt;"OK",NOT(ISNUMBER(M2327))),"",M2327-S2327)</f>
        <v/>
      </c>
      <c r="U2327" s="49">
        <f>IF(OR(NOT(ISNUMBER(T2327)),IF(ISNUMBER(H2327),H2327,G2327)=0),"",T2327/IF(ISNUMBER(H2327),H2327,G2327))</f>
        <v/>
      </c>
      <c r="V2327" s="49">
        <f>IF(ISNUMBER(U2327),ABS(U2327),"")</f>
        <v/>
      </c>
      <c r="W2327" s="49">
        <f>IF(OR($E2326&lt;&gt;"측정",$C2326&lt;&gt;$C2327,$D2326&lt;&gt;$D2327,NOT(ISNUMBER(M2327)),NOT(ISNUMBER(M2326)),(IF(ISNUMBER(H2327),H2327,G2327)-IF(ISNUMBER(H2326),H2326,G2326))=0),"",(M2327-M2326)/(IF(ISNUMBER(H2327),H2327,G2327)-IF(ISNUMBER(H2326),H2326,G2326)))</f>
        <v/>
      </c>
      <c r="X2327" s="31">
        <f>IF(NOT(AND(ISNUMBER(O2327),ISNUMBER(Q2327))),"",(Q2327-O2327)*1440)</f>
        <v/>
      </c>
      <c r="Y2327" s="29" t="n"/>
      <c r="Z2327" s="29" t="n"/>
      <c r="AA2327" s="29" t="n"/>
      <c r="AB2327" s="32" t="n"/>
      <c r="AC2327" s="32" t="n"/>
    </row>
    <row r="2328">
      <c r="A2328" s="26" t="inlineStr">
        <is>
          <t>S45</t>
        </is>
      </c>
      <c r="B2328" s="26" t="inlineStr">
        <is>
          <t>여주</t>
        </is>
      </c>
      <c r="C2328" s="26" t="inlineStr">
        <is>
          <t>S45-H남</t>
        </is>
      </c>
      <c r="D2328" s="47" t="n">
        <v>1</v>
      </c>
      <c r="E2328" s="26" t="inlineStr">
        <is>
          <t>측정</t>
        </is>
      </c>
      <c r="F2328" s="26" t="inlineStr">
        <is>
          <t>남</t>
        </is>
      </c>
      <c r="G2328" s="31" t="n">
        <v>7</v>
      </c>
      <c r="H2328" s="30" t="n"/>
      <c r="I2328" s="43" t="n"/>
      <c r="J2328" s="41" t="n"/>
      <c r="K2328" s="41" t="n"/>
      <c r="L2328" s="41" t="n"/>
      <c r="M2328" s="31">
        <f>IF(COUNT(J2328:L2328)=0,"",MEDIAN(J2328:L2328))</f>
        <v/>
      </c>
      <c r="N2328" s="26">
        <f>IF(COUNTIFS($C:$C,$C2328,$D:$D,$D2328,$E:$E,"P0(전)",$M:$M,"&gt;0")&lt;&gt;1,"P0(전) 유효 1개 아님",IF(COUNTIFS($C:$C,$C2328,$D:$D,$D2328,$E:$E,"P0(후)",$M:$M,"&gt;0")&lt;&gt;1,"P0(후) 유효 1개 아님",IF(NOT(AND(ISNUMBER(O2328),ISNUMBER(Q2328),ISNUMBER(I2328))),"시각 결측",IF(Q2328&lt;=O2328,"P0 시각 역전",IF(OR(I2328&lt;O2328,I2328&gt;Q2328),"측정시각 구간 밖","OK")))))</f>
        <v/>
      </c>
      <c r="O2328" s="48">
        <f>IF(COUNTIFS($C:$C,$C2328,$D:$D,$D2328,$E:$E,"P0(전)",$M:$M,"&gt;0")&lt;&gt;1,"",SUMIFS($I:$I,$C:$C,$C2328,$D:$D,$D2328,$E:$E,"P0(전)"))</f>
        <v/>
      </c>
      <c r="P2328" s="31">
        <f>IF(COUNTIFS($C:$C,$C2328,$D:$D,$D2328,$E:$E,"P0(전)",$M:$M,"&gt;0")&lt;&gt;1,"",SUMIFS($M:$M,$C:$C,$C2328,$D:$D,$D2328,$E:$E,"P0(전)"))</f>
        <v/>
      </c>
      <c r="Q2328" s="48">
        <f>IF(COUNTIFS($C:$C,$C2328,$D:$D,$D2328,$E:$E,"P0(후)",$M:$M,"&gt;0")&lt;&gt;1,"",SUMIFS($I:$I,$C:$C,$C2328,$D:$D,$D2328,$E:$E,"P0(후)"))</f>
        <v/>
      </c>
      <c r="R2328" s="31">
        <f>IF(COUNTIFS($C:$C,$C2328,$D:$D,$D2328,$E:$E,"P0(후)",$M:$M,"&gt;0")&lt;&gt;1,"",SUMIFS($M:$M,$C:$C,$C2328,$D:$D,$D2328,$E:$E,"P0(후)"))</f>
        <v/>
      </c>
      <c r="S2328" s="31">
        <f>IF(N2328&lt;&gt;"OK","",P2328+(R2328-P2328)*(I2328-O2328)/(Q2328-O2328))</f>
        <v/>
      </c>
      <c r="T2328" s="31">
        <f>IF(OR(N2328&lt;&gt;"OK",NOT(ISNUMBER(M2328))),"",M2328-S2328)</f>
        <v/>
      </c>
      <c r="U2328" s="49">
        <f>IF(OR(NOT(ISNUMBER(T2328)),IF(ISNUMBER(H2328),H2328,G2328)=0),"",T2328/IF(ISNUMBER(H2328),H2328,G2328))</f>
        <v/>
      </c>
      <c r="V2328" s="49">
        <f>IF(ISNUMBER(U2328),ABS(U2328),"")</f>
        <v/>
      </c>
      <c r="W2328" s="49">
        <f>IF(OR($E2327&lt;&gt;"측정",$C2327&lt;&gt;$C2328,$D2327&lt;&gt;$D2328,NOT(ISNUMBER(M2328)),NOT(ISNUMBER(M2327)),(IF(ISNUMBER(H2328),H2328,G2328)-IF(ISNUMBER(H2327),H2327,G2327))=0),"",(M2328-M2327)/(IF(ISNUMBER(H2328),H2328,G2328)-IF(ISNUMBER(H2327),H2327,G2327)))</f>
        <v/>
      </c>
      <c r="X2328" s="31">
        <f>IF(NOT(AND(ISNUMBER(O2328),ISNUMBER(Q2328))),"",(Q2328-O2328)*1440)</f>
        <v/>
      </c>
      <c r="Y2328" s="29" t="n"/>
      <c r="Z2328" s="29" t="n"/>
      <c r="AA2328" s="29" t="n"/>
      <c r="AB2328" s="32" t="n"/>
      <c r="AC2328" s="32" t="n"/>
    </row>
    <row r="2329">
      <c r="A2329" s="26" t="inlineStr">
        <is>
          <t>S45</t>
        </is>
      </c>
      <c r="B2329" s="26" t="inlineStr">
        <is>
          <t>여주</t>
        </is>
      </c>
      <c r="C2329" s="26" t="inlineStr">
        <is>
          <t>S45-H남</t>
        </is>
      </c>
      <c r="D2329" s="47" t="n">
        <v>1</v>
      </c>
      <c r="E2329" s="26" t="inlineStr">
        <is>
          <t>측정</t>
        </is>
      </c>
      <c r="F2329" s="26" t="inlineStr">
        <is>
          <t>남</t>
        </is>
      </c>
      <c r="G2329" s="31" t="n">
        <v>8</v>
      </c>
      <c r="H2329" s="30" t="n"/>
      <c r="I2329" s="43" t="n"/>
      <c r="J2329" s="41" t="n"/>
      <c r="K2329" s="41" t="n"/>
      <c r="L2329" s="41" t="n"/>
      <c r="M2329" s="31">
        <f>IF(COUNT(J2329:L2329)=0,"",MEDIAN(J2329:L2329))</f>
        <v/>
      </c>
      <c r="N2329" s="26">
        <f>IF(COUNTIFS($C:$C,$C2329,$D:$D,$D2329,$E:$E,"P0(전)",$M:$M,"&gt;0")&lt;&gt;1,"P0(전) 유효 1개 아님",IF(COUNTIFS($C:$C,$C2329,$D:$D,$D2329,$E:$E,"P0(후)",$M:$M,"&gt;0")&lt;&gt;1,"P0(후) 유효 1개 아님",IF(NOT(AND(ISNUMBER(O2329),ISNUMBER(Q2329),ISNUMBER(I2329))),"시각 결측",IF(Q2329&lt;=O2329,"P0 시각 역전",IF(OR(I2329&lt;O2329,I2329&gt;Q2329),"측정시각 구간 밖","OK")))))</f>
        <v/>
      </c>
      <c r="O2329" s="48">
        <f>IF(COUNTIFS($C:$C,$C2329,$D:$D,$D2329,$E:$E,"P0(전)",$M:$M,"&gt;0")&lt;&gt;1,"",SUMIFS($I:$I,$C:$C,$C2329,$D:$D,$D2329,$E:$E,"P0(전)"))</f>
        <v/>
      </c>
      <c r="P2329" s="31">
        <f>IF(COUNTIFS($C:$C,$C2329,$D:$D,$D2329,$E:$E,"P0(전)",$M:$M,"&gt;0")&lt;&gt;1,"",SUMIFS($M:$M,$C:$C,$C2329,$D:$D,$D2329,$E:$E,"P0(전)"))</f>
        <v/>
      </c>
      <c r="Q2329" s="48">
        <f>IF(COUNTIFS($C:$C,$C2329,$D:$D,$D2329,$E:$E,"P0(후)",$M:$M,"&gt;0")&lt;&gt;1,"",SUMIFS($I:$I,$C:$C,$C2329,$D:$D,$D2329,$E:$E,"P0(후)"))</f>
        <v/>
      </c>
      <c r="R2329" s="31">
        <f>IF(COUNTIFS($C:$C,$C2329,$D:$D,$D2329,$E:$E,"P0(후)",$M:$M,"&gt;0")&lt;&gt;1,"",SUMIFS($M:$M,$C:$C,$C2329,$D:$D,$D2329,$E:$E,"P0(후)"))</f>
        <v/>
      </c>
      <c r="S2329" s="31">
        <f>IF(N2329&lt;&gt;"OK","",P2329+(R2329-P2329)*(I2329-O2329)/(Q2329-O2329))</f>
        <v/>
      </c>
      <c r="T2329" s="31">
        <f>IF(OR(N2329&lt;&gt;"OK",NOT(ISNUMBER(M2329))),"",M2329-S2329)</f>
        <v/>
      </c>
      <c r="U2329" s="49">
        <f>IF(OR(NOT(ISNUMBER(T2329)),IF(ISNUMBER(H2329),H2329,G2329)=0),"",T2329/IF(ISNUMBER(H2329),H2329,G2329))</f>
        <v/>
      </c>
      <c r="V2329" s="49">
        <f>IF(ISNUMBER(U2329),ABS(U2329),"")</f>
        <v/>
      </c>
      <c r="W2329" s="49">
        <f>IF(OR($E2328&lt;&gt;"측정",$C2328&lt;&gt;$C2329,$D2328&lt;&gt;$D2329,NOT(ISNUMBER(M2329)),NOT(ISNUMBER(M2328)),(IF(ISNUMBER(H2329),H2329,G2329)-IF(ISNUMBER(H2328),H2328,G2328))=0),"",(M2329-M2328)/(IF(ISNUMBER(H2329),H2329,G2329)-IF(ISNUMBER(H2328),H2328,G2328)))</f>
        <v/>
      </c>
      <c r="X2329" s="31">
        <f>IF(NOT(AND(ISNUMBER(O2329),ISNUMBER(Q2329))),"",(Q2329-O2329)*1440)</f>
        <v/>
      </c>
      <c r="Y2329" s="29" t="n"/>
      <c r="Z2329" s="29" t="n"/>
      <c r="AA2329" s="29" t="n"/>
      <c r="AB2329" s="32" t="n"/>
      <c r="AC2329" s="32" t="n"/>
    </row>
    <row r="2330">
      <c r="A2330" s="26" t="inlineStr">
        <is>
          <t>S45</t>
        </is>
      </c>
      <c r="B2330" s="26" t="inlineStr">
        <is>
          <t>여주</t>
        </is>
      </c>
      <c r="C2330" s="26" t="inlineStr">
        <is>
          <t>S45-H남</t>
        </is>
      </c>
      <c r="D2330" s="47" t="n">
        <v>1</v>
      </c>
      <c r="E2330" s="26" t="inlineStr">
        <is>
          <t>측정</t>
        </is>
      </c>
      <c r="F2330" s="26" t="inlineStr">
        <is>
          <t>남</t>
        </is>
      </c>
      <c r="G2330" s="31" t="n">
        <v>9</v>
      </c>
      <c r="H2330" s="30" t="n"/>
      <c r="I2330" s="43" t="n"/>
      <c r="J2330" s="41" t="n"/>
      <c r="K2330" s="41" t="n"/>
      <c r="L2330" s="41" t="n"/>
      <c r="M2330" s="31">
        <f>IF(COUNT(J2330:L2330)=0,"",MEDIAN(J2330:L2330))</f>
        <v/>
      </c>
      <c r="N2330" s="26">
        <f>IF(COUNTIFS($C:$C,$C2330,$D:$D,$D2330,$E:$E,"P0(전)",$M:$M,"&gt;0")&lt;&gt;1,"P0(전) 유효 1개 아님",IF(COUNTIFS($C:$C,$C2330,$D:$D,$D2330,$E:$E,"P0(후)",$M:$M,"&gt;0")&lt;&gt;1,"P0(후) 유효 1개 아님",IF(NOT(AND(ISNUMBER(O2330),ISNUMBER(Q2330),ISNUMBER(I2330))),"시각 결측",IF(Q2330&lt;=O2330,"P0 시각 역전",IF(OR(I2330&lt;O2330,I2330&gt;Q2330),"측정시각 구간 밖","OK")))))</f>
        <v/>
      </c>
      <c r="O2330" s="48">
        <f>IF(COUNTIFS($C:$C,$C2330,$D:$D,$D2330,$E:$E,"P0(전)",$M:$M,"&gt;0")&lt;&gt;1,"",SUMIFS($I:$I,$C:$C,$C2330,$D:$D,$D2330,$E:$E,"P0(전)"))</f>
        <v/>
      </c>
      <c r="P2330" s="31">
        <f>IF(COUNTIFS($C:$C,$C2330,$D:$D,$D2330,$E:$E,"P0(전)",$M:$M,"&gt;0")&lt;&gt;1,"",SUMIFS($M:$M,$C:$C,$C2330,$D:$D,$D2330,$E:$E,"P0(전)"))</f>
        <v/>
      </c>
      <c r="Q2330" s="48">
        <f>IF(COUNTIFS($C:$C,$C2330,$D:$D,$D2330,$E:$E,"P0(후)",$M:$M,"&gt;0")&lt;&gt;1,"",SUMIFS($I:$I,$C:$C,$C2330,$D:$D,$D2330,$E:$E,"P0(후)"))</f>
        <v/>
      </c>
      <c r="R2330" s="31">
        <f>IF(COUNTIFS($C:$C,$C2330,$D:$D,$D2330,$E:$E,"P0(후)",$M:$M,"&gt;0")&lt;&gt;1,"",SUMIFS($M:$M,$C:$C,$C2330,$D:$D,$D2330,$E:$E,"P0(후)"))</f>
        <v/>
      </c>
      <c r="S2330" s="31">
        <f>IF(N2330&lt;&gt;"OK","",P2330+(R2330-P2330)*(I2330-O2330)/(Q2330-O2330))</f>
        <v/>
      </c>
      <c r="T2330" s="31">
        <f>IF(OR(N2330&lt;&gt;"OK",NOT(ISNUMBER(M2330))),"",M2330-S2330)</f>
        <v/>
      </c>
      <c r="U2330" s="49">
        <f>IF(OR(NOT(ISNUMBER(T2330)),IF(ISNUMBER(H2330),H2330,G2330)=0),"",T2330/IF(ISNUMBER(H2330),H2330,G2330))</f>
        <v/>
      </c>
      <c r="V2330" s="49">
        <f>IF(ISNUMBER(U2330),ABS(U2330),"")</f>
        <v/>
      </c>
      <c r="W2330" s="49">
        <f>IF(OR($E2329&lt;&gt;"측정",$C2329&lt;&gt;$C2330,$D2329&lt;&gt;$D2330,NOT(ISNUMBER(M2330)),NOT(ISNUMBER(M2329)),(IF(ISNUMBER(H2330),H2330,G2330)-IF(ISNUMBER(H2329),H2329,G2329))=0),"",(M2330-M2329)/(IF(ISNUMBER(H2330),H2330,G2330)-IF(ISNUMBER(H2329),H2329,G2329)))</f>
        <v/>
      </c>
      <c r="X2330" s="31">
        <f>IF(NOT(AND(ISNUMBER(O2330),ISNUMBER(Q2330))),"",(Q2330-O2330)*1440)</f>
        <v/>
      </c>
      <c r="Y2330" s="29" t="n"/>
      <c r="Z2330" s="29" t="n"/>
      <c r="AA2330" s="29" t="n"/>
      <c r="AB2330" s="32" t="n"/>
      <c r="AC2330" s="32" t="n"/>
    </row>
    <row r="2331">
      <c r="A2331" s="26" t="inlineStr">
        <is>
          <t>S45</t>
        </is>
      </c>
      <c r="B2331" s="26" t="inlineStr">
        <is>
          <t>여주</t>
        </is>
      </c>
      <c r="C2331" s="26" t="inlineStr">
        <is>
          <t>S45-H남</t>
        </is>
      </c>
      <c r="D2331" s="47" t="n">
        <v>1</v>
      </c>
      <c r="E2331" s="26" t="inlineStr">
        <is>
          <t>측정</t>
        </is>
      </c>
      <c r="F2331" s="26" t="inlineStr">
        <is>
          <t>남</t>
        </is>
      </c>
      <c r="G2331" s="31" t="n">
        <v>10</v>
      </c>
      <c r="H2331" s="30" t="n"/>
      <c r="I2331" s="43" t="n"/>
      <c r="J2331" s="41" t="n"/>
      <c r="K2331" s="41" t="n"/>
      <c r="L2331" s="41" t="n"/>
      <c r="M2331" s="31">
        <f>IF(COUNT(J2331:L2331)=0,"",MEDIAN(J2331:L2331))</f>
        <v/>
      </c>
      <c r="N2331" s="26">
        <f>IF(COUNTIFS($C:$C,$C2331,$D:$D,$D2331,$E:$E,"P0(전)",$M:$M,"&gt;0")&lt;&gt;1,"P0(전) 유효 1개 아님",IF(COUNTIFS($C:$C,$C2331,$D:$D,$D2331,$E:$E,"P0(후)",$M:$M,"&gt;0")&lt;&gt;1,"P0(후) 유효 1개 아님",IF(NOT(AND(ISNUMBER(O2331),ISNUMBER(Q2331),ISNUMBER(I2331))),"시각 결측",IF(Q2331&lt;=O2331,"P0 시각 역전",IF(OR(I2331&lt;O2331,I2331&gt;Q2331),"측정시각 구간 밖","OK")))))</f>
        <v/>
      </c>
      <c r="O2331" s="48">
        <f>IF(COUNTIFS($C:$C,$C2331,$D:$D,$D2331,$E:$E,"P0(전)",$M:$M,"&gt;0")&lt;&gt;1,"",SUMIFS($I:$I,$C:$C,$C2331,$D:$D,$D2331,$E:$E,"P0(전)"))</f>
        <v/>
      </c>
      <c r="P2331" s="31">
        <f>IF(COUNTIFS($C:$C,$C2331,$D:$D,$D2331,$E:$E,"P0(전)",$M:$M,"&gt;0")&lt;&gt;1,"",SUMIFS($M:$M,$C:$C,$C2331,$D:$D,$D2331,$E:$E,"P0(전)"))</f>
        <v/>
      </c>
      <c r="Q2331" s="48">
        <f>IF(COUNTIFS($C:$C,$C2331,$D:$D,$D2331,$E:$E,"P0(후)",$M:$M,"&gt;0")&lt;&gt;1,"",SUMIFS($I:$I,$C:$C,$C2331,$D:$D,$D2331,$E:$E,"P0(후)"))</f>
        <v/>
      </c>
      <c r="R2331" s="31">
        <f>IF(COUNTIFS($C:$C,$C2331,$D:$D,$D2331,$E:$E,"P0(후)",$M:$M,"&gt;0")&lt;&gt;1,"",SUMIFS($M:$M,$C:$C,$C2331,$D:$D,$D2331,$E:$E,"P0(후)"))</f>
        <v/>
      </c>
      <c r="S2331" s="31">
        <f>IF(N2331&lt;&gt;"OK","",P2331+(R2331-P2331)*(I2331-O2331)/(Q2331-O2331))</f>
        <v/>
      </c>
      <c r="T2331" s="31">
        <f>IF(OR(N2331&lt;&gt;"OK",NOT(ISNUMBER(M2331))),"",M2331-S2331)</f>
        <v/>
      </c>
      <c r="U2331" s="49">
        <f>IF(OR(NOT(ISNUMBER(T2331)),IF(ISNUMBER(H2331),H2331,G2331)=0),"",T2331/IF(ISNUMBER(H2331),H2331,G2331))</f>
        <v/>
      </c>
      <c r="V2331" s="49">
        <f>IF(ISNUMBER(U2331),ABS(U2331),"")</f>
        <v/>
      </c>
      <c r="W2331" s="49">
        <f>IF(OR($E2330&lt;&gt;"측정",$C2330&lt;&gt;$C2331,$D2330&lt;&gt;$D2331,NOT(ISNUMBER(M2331)),NOT(ISNUMBER(M2330)),(IF(ISNUMBER(H2331),H2331,G2331)-IF(ISNUMBER(H2330),H2330,G2330))=0),"",(M2331-M2330)/(IF(ISNUMBER(H2331),H2331,G2331)-IF(ISNUMBER(H2330),H2330,G2330)))</f>
        <v/>
      </c>
      <c r="X2331" s="31">
        <f>IF(NOT(AND(ISNUMBER(O2331),ISNUMBER(Q2331))),"",(Q2331-O2331)*1440)</f>
        <v/>
      </c>
      <c r="Y2331" s="29" t="n"/>
      <c r="Z2331" s="29" t="n"/>
      <c r="AA2331" s="29" t="n"/>
      <c r="AB2331" s="32" t="n"/>
      <c r="AC2331" s="32" t="n"/>
    </row>
    <row r="2332">
      <c r="A2332" s="44" t="inlineStr">
        <is>
          <t>S45</t>
        </is>
      </c>
      <c r="B2332" s="44" t="inlineStr">
        <is>
          <t>여주</t>
        </is>
      </c>
      <c r="C2332" s="44" t="inlineStr">
        <is>
          <t>S45-H남</t>
        </is>
      </c>
      <c r="D2332" s="45" t="n">
        <v>1</v>
      </c>
      <c r="E2332" s="44" t="inlineStr">
        <is>
          <t>P0(후)</t>
        </is>
      </c>
      <c r="F2332" s="44" t="inlineStr">
        <is>
          <t>남</t>
        </is>
      </c>
      <c r="G2332" s="46" t="n"/>
      <c r="H2332" s="30" t="n"/>
      <c r="I2332" s="43" t="n"/>
      <c r="J2332" s="41" t="n"/>
      <c r="K2332" s="41" t="n"/>
      <c r="L2332" s="41" t="n"/>
      <c r="M2332" s="31">
        <f>IF(COUNT(J2332:L2332)=0,"",MEDIAN(J2332:L2332))</f>
        <v/>
      </c>
      <c r="N2332" s="38" t="n"/>
      <c r="O2332" s="38" t="n"/>
      <c r="P2332" s="38" t="n"/>
      <c r="Q2332" s="38" t="n"/>
      <c r="R2332" s="38" t="n"/>
      <c r="S2332" s="38" t="n"/>
      <c r="T2332" s="38" t="n"/>
      <c r="U2332" s="38" t="n"/>
      <c r="V2332" s="38" t="n"/>
      <c r="W2332" s="38" t="n"/>
      <c r="X2332" s="38" t="n"/>
      <c r="Y2332" s="29" t="n"/>
      <c r="Z2332" s="29" t="n"/>
      <c r="AA2332" s="29" t="n"/>
      <c r="AB2332" s="32" t="n"/>
      <c r="AC2332" s="32" t="n"/>
    </row>
    <row r="2333">
      <c r="A2333" s="44" t="inlineStr">
        <is>
          <t>S45</t>
        </is>
      </c>
      <c r="B2333" s="44" t="inlineStr">
        <is>
          <t>여주</t>
        </is>
      </c>
      <c r="C2333" s="44" t="inlineStr">
        <is>
          <t>S45-H북</t>
        </is>
      </c>
      <c r="D2333" s="45" t="n">
        <v>1</v>
      </c>
      <c r="E2333" s="44" t="inlineStr">
        <is>
          <t>P0(전)</t>
        </is>
      </c>
      <c r="F2333" s="44" t="inlineStr">
        <is>
          <t>북</t>
        </is>
      </c>
      <c r="G2333" s="46" t="n"/>
      <c r="H2333" s="30" t="n"/>
      <c r="I2333" s="43" t="n"/>
      <c r="J2333" s="41" t="n"/>
      <c r="K2333" s="41" t="n"/>
      <c r="L2333" s="41" t="n"/>
      <c r="M2333" s="31">
        <f>IF(COUNT(J2333:L2333)=0,"",MEDIAN(J2333:L2333))</f>
        <v/>
      </c>
      <c r="N2333" s="38" t="n"/>
      <c r="O2333" s="38" t="n"/>
      <c r="P2333" s="38" t="n"/>
      <c r="Q2333" s="38" t="n"/>
      <c r="R2333" s="38" t="n"/>
      <c r="S2333" s="38" t="n"/>
      <c r="T2333" s="38" t="n"/>
      <c r="U2333" s="38" t="n"/>
      <c r="V2333" s="38" t="n"/>
      <c r="W2333" s="38" t="n"/>
      <c r="X2333" s="38" t="n"/>
      <c r="Y2333" s="29" t="n"/>
      <c r="Z2333" s="29" t="n"/>
      <c r="AA2333" s="29" t="n"/>
      <c r="AB2333" s="32" t="n"/>
      <c r="AC2333" s="32" t="n"/>
    </row>
    <row r="2334">
      <c r="A2334" s="26" t="inlineStr">
        <is>
          <t>S45</t>
        </is>
      </c>
      <c r="B2334" s="26" t="inlineStr">
        <is>
          <t>여주</t>
        </is>
      </c>
      <c r="C2334" s="26" t="inlineStr">
        <is>
          <t>S45-H북</t>
        </is>
      </c>
      <c r="D2334" s="47" t="n">
        <v>1</v>
      </c>
      <c r="E2334" s="26" t="inlineStr">
        <is>
          <t>측정</t>
        </is>
      </c>
      <c r="F2334" s="26" t="inlineStr">
        <is>
          <t>북</t>
        </is>
      </c>
      <c r="G2334" s="31" t="n">
        <v>0.5</v>
      </c>
      <c r="H2334" s="30" t="n"/>
      <c r="I2334" s="43" t="n"/>
      <c r="J2334" s="41" t="n"/>
      <c r="K2334" s="41" t="n"/>
      <c r="L2334" s="41" t="n"/>
      <c r="M2334" s="31">
        <f>IF(COUNT(J2334:L2334)=0,"",MEDIAN(J2334:L2334))</f>
        <v/>
      </c>
      <c r="N2334" s="26">
        <f>IF(COUNTIFS($C:$C,$C2334,$D:$D,$D2334,$E:$E,"P0(전)",$M:$M,"&gt;0")&lt;&gt;1,"P0(전) 유효 1개 아님",IF(COUNTIFS($C:$C,$C2334,$D:$D,$D2334,$E:$E,"P0(후)",$M:$M,"&gt;0")&lt;&gt;1,"P0(후) 유효 1개 아님",IF(NOT(AND(ISNUMBER(O2334),ISNUMBER(Q2334),ISNUMBER(I2334))),"시각 결측",IF(Q2334&lt;=O2334,"P0 시각 역전",IF(OR(I2334&lt;O2334,I2334&gt;Q2334),"측정시각 구간 밖","OK")))))</f>
        <v/>
      </c>
      <c r="O2334" s="48">
        <f>IF(COUNTIFS($C:$C,$C2334,$D:$D,$D2334,$E:$E,"P0(전)",$M:$M,"&gt;0")&lt;&gt;1,"",SUMIFS($I:$I,$C:$C,$C2334,$D:$D,$D2334,$E:$E,"P0(전)"))</f>
        <v/>
      </c>
      <c r="P2334" s="31">
        <f>IF(COUNTIFS($C:$C,$C2334,$D:$D,$D2334,$E:$E,"P0(전)",$M:$M,"&gt;0")&lt;&gt;1,"",SUMIFS($M:$M,$C:$C,$C2334,$D:$D,$D2334,$E:$E,"P0(전)"))</f>
        <v/>
      </c>
      <c r="Q2334" s="48">
        <f>IF(COUNTIFS($C:$C,$C2334,$D:$D,$D2334,$E:$E,"P0(후)",$M:$M,"&gt;0")&lt;&gt;1,"",SUMIFS($I:$I,$C:$C,$C2334,$D:$D,$D2334,$E:$E,"P0(후)"))</f>
        <v/>
      </c>
      <c r="R2334" s="31">
        <f>IF(COUNTIFS($C:$C,$C2334,$D:$D,$D2334,$E:$E,"P0(후)",$M:$M,"&gt;0")&lt;&gt;1,"",SUMIFS($M:$M,$C:$C,$C2334,$D:$D,$D2334,$E:$E,"P0(후)"))</f>
        <v/>
      </c>
      <c r="S2334" s="31">
        <f>IF(N2334&lt;&gt;"OK","",P2334+(R2334-P2334)*(I2334-O2334)/(Q2334-O2334))</f>
        <v/>
      </c>
      <c r="T2334" s="31">
        <f>IF(OR(N2334&lt;&gt;"OK",NOT(ISNUMBER(M2334))),"",M2334-S2334)</f>
        <v/>
      </c>
      <c r="U2334" s="49">
        <f>IF(OR(NOT(ISNUMBER(T2334)),IF(ISNUMBER(H2334),H2334,G2334)=0),"",T2334/IF(ISNUMBER(H2334),H2334,G2334))</f>
        <v/>
      </c>
      <c r="V2334" s="49">
        <f>IF(ISNUMBER(U2334),ABS(U2334),"")</f>
        <v/>
      </c>
      <c r="W2334" s="49">
        <f>IF(OR($E2333&lt;&gt;"측정",$C2333&lt;&gt;$C2334,$D2333&lt;&gt;$D2334,NOT(ISNUMBER(M2334)),NOT(ISNUMBER(M2333)),(IF(ISNUMBER(H2334),H2334,G2334)-IF(ISNUMBER(H2333),H2333,G2333))=0),"",(M2334-M2333)/(IF(ISNUMBER(H2334),H2334,G2334)-IF(ISNUMBER(H2333),H2333,G2333)))</f>
        <v/>
      </c>
      <c r="X2334" s="31">
        <f>IF(NOT(AND(ISNUMBER(O2334),ISNUMBER(Q2334))),"",(Q2334-O2334)*1440)</f>
        <v/>
      </c>
      <c r="Y2334" s="29" t="n"/>
      <c r="Z2334" s="29" t="n"/>
      <c r="AA2334" s="29" t="n"/>
      <c r="AB2334" s="32" t="n"/>
      <c r="AC2334" s="32" t="n"/>
    </row>
    <row r="2335">
      <c r="A2335" s="26" t="inlineStr">
        <is>
          <t>S45</t>
        </is>
      </c>
      <c r="B2335" s="26" t="inlineStr">
        <is>
          <t>여주</t>
        </is>
      </c>
      <c r="C2335" s="26" t="inlineStr">
        <is>
          <t>S45-H북</t>
        </is>
      </c>
      <c r="D2335" s="47" t="n">
        <v>1</v>
      </c>
      <c r="E2335" s="26" t="inlineStr">
        <is>
          <t>측정</t>
        </is>
      </c>
      <c r="F2335" s="26" t="inlineStr">
        <is>
          <t>북</t>
        </is>
      </c>
      <c r="G2335" s="31" t="n">
        <v>1</v>
      </c>
      <c r="H2335" s="30" t="n"/>
      <c r="I2335" s="43" t="n"/>
      <c r="J2335" s="41" t="n"/>
      <c r="K2335" s="41" t="n"/>
      <c r="L2335" s="41" t="n"/>
      <c r="M2335" s="31">
        <f>IF(COUNT(J2335:L2335)=0,"",MEDIAN(J2335:L2335))</f>
        <v/>
      </c>
      <c r="N2335" s="26">
        <f>IF(COUNTIFS($C:$C,$C2335,$D:$D,$D2335,$E:$E,"P0(전)",$M:$M,"&gt;0")&lt;&gt;1,"P0(전) 유효 1개 아님",IF(COUNTIFS($C:$C,$C2335,$D:$D,$D2335,$E:$E,"P0(후)",$M:$M,"&gt;0")&lt;&gt;1,"P0(후) 유효 1개 아님",IF(NOT(AND(ISNUMBER(O2335),ISNUMBER(Q2335),ISNUMBER(I2335))),"시각 결측",IF(Q2335&lt;=O2335,"P0 시각 역전",IF(OR(I2335&lt;O2335,I2335&gt;Q2335),"측정시각 구간 밖","OK")))))</f>
        <v/>
      </c>
      <c r="O2335" s="48">
        <f>IF(COUNTIFS($C:$C,$C2335,$D:$D,$D2335,$E:$E,"P0(전)",$M:$M,"&gt;0")&lt;&gt;1,"",SUMIFS($I:$I,$C:$C,$C2335,$D:$D,$D2335,$E:$E,"P0(전)"))</f>
        <v/>
      </c>
      <c r="P2335" s="31">
        <f>IF(COUNTIFS($C:$C,$C2335,$D:$D,$D2335,$E:$E,"P0(전)",$M:$M,"&gt;0")&lt;&gt;1,"",SUMIFS($M:$M,$C:$C,$C2335,$D:$D,$D2335,$E:$E,"P0(전)"))</f>
        <v/>
      </c>
      <c r="Q2335" s="48">
        <f>IF(COUNTIFS($C:$C,$C2335,$D:$D,$D2335,$E:$E,"P0(후)",$M:$M,"&gt;0")&lt;&gt;1,"",SUMIFS($I:$I,$C:$C,$C2335,$D:$D,$D2335,$E:$E,"P0(후)"))</f>
        <v/>
      </c>
      <c r="R2335" s="31">
        <f>IF(COUNTIFS($C:$C,$C2335,$D:$D,$D2335,$E:$E,"P0(후)",$M:$M,"&gt;0")&lt;&gt;1,"",SUMIFS($M:$M,$C:$C,$C2335,$D:$D,$D2335,$E:$E,"P0(후)"))</f>
        <v/>
      </c>
      <c r="S2335" s="31">
        <f>IF(N2335&lt;&gt;"OK","",P2335+(R2335-P2335)*(I2335-O2335)/(Q2335-O2335))</f>
        <v/>
      </c>
      <c r="T2335" s="31">
        <f>IF(OR(N2335&lt;&gt;"OK",NOT(ISNUMBER(M2335))),"",M2335-S2335)</f>
        <v/>
      </c>
      <c r="U2335" s="49">
        <f>IF(OR(NOT(ISNUMBER(T2335)),IF(ISNUMBER(H2335),H2335,G2335)=0),"",T2335/IF(ISNUMBER(H2335),H2335,G2335))</f>
        <v/>
      </c>
      <c r="V2335" s="49">
        <f>IF(ISNUMBER(U2335),ABS(U2335),"")</f>
        <v/>
      </c>
      <c r="W2335" s="49">
        <f>IF(OR($E2334&lt;&gt;"측정",$C2334&lt;&gt;$C2335,$D2334&lt;&gt;$D2335,NOT(ISNUMBER(M2335)),NOT(ISNUMBER(M2334)),(IF(ISNUMBER(H2335),H2335,G2335)-IF(ISNUMBER(H2334),H2334,G2334))=0),"",(M2335-M2334)/(IF(ISNUMBER(H2335),H2335,G2335)-IF(ISNUMBER(H2334),H2334,G2334)))</f>
        <v/>
      </c>
      <c r="X2335" s="31">
        <f>IF(NOT(AND(ISNUMBER(O2335),ISNUMBER(Q2335))),"",(Q2335-O2335)*1440)</f>
        <v/>
      </c>
      <c r="Y2335" s="29" t="n"/>
      <c r="Z2335" s="29" t="n"/>
      <c r="AA2335" s="29" t="n"/>
      <c r="AB2335" s="32" t="n"/>
      <c r="AC2335" s="32" t="n"/>
    </row>
    <row r="2336">
      <c r="A2336" s="26" t="inlineStr">
        <is>
          <t>S45</t>
        </is>
      </c>
      <c r="B2336" s="26" t="inlineStr">
        <is>
          <t>여주</t>
        </is>
      </c>
      <c r="C2336" s="26" t="inlineStr">
        <is>
          <t>S45-H북</t>
        </is>
      </c>
      <c r="D2336" s="47" t="n">
        <v>1</v>
      </c>
      <c r="E2336" s="26" t="inlineStr">
        <is>
          <t>측정</t>
        </is>
      </c>
      <c r="F2336" s="26" t="inlineStr">
        <is>
          <t>북</t>
        </is>
      </c>
      <c r="G2336" s="31" t="n">
        <v>2</v>
      </c>
      <c r="H2336" s="30" t="n"/>
      <c r="I2336" s="43" t="n"/>
      <c r="J2336" s="41" t="n"/>
      <c r="K2336" s="41" t="n"/>
      <c r="L2336" s="41" t="n"/>
      <c r="M2336" s="31">
        <f>IF(COUNT(J2336:L2336)=0,"",MEDIAN(J2336:L2336))</f>
        <v/>
      </c>
      <c r="N2336" s="26">
        <f>IF(COUNTIFS($C:$C,$C2336,$D:$D,$D2336,$E:$E,"P0(전)",$M:$M,"&gt;0")&lt;&gt;1,"P0(전) 유효 1개 아님",IF(COUNTIFS($C:$C,$C2336,$D:$D,$D2336,$E:$E,"P0(후)",$M:$M,"&gt;0")&lt;&gt;1,"P0(후) 유효 1개 아님",IF(NOT(AND(ISNUMBER(O2336),ISNUMBER(Q2336),ISNUMBER(I2336))),"시각 결측",IF(Q2336&lt;=O2336,"P0 시각 역전",IF(OR(I2336&lt;O2336,I2336&gt;Q2336),"측정시각 구간 밖","OK")))))</f>
        <v/>
      </c>
      <c r="O2336" s="48">
        <f>IF(COUNTIFS($C:$C,$C2336,$D:$D,$D2336,$E:$E,"P0(전)",$M:$M,"&gt;0")&lt;&gt;1,"",SUMIFS($I:$I,$C:$C,$C2336,$D:$D,$D2336,$E:$E,"P0(전)"))</f>
        <v/>
      </c>
      <c r="P2336" s="31">
        <f>IF(COUNTIFS($C:$C,$C2336,$D:$D,$D2336,$E:$E,"P0(전)",$M:$M,"&gt;0")&lt;&gt;1,"",SUMIFS($M:$M,$C:$C,$C2336,$D:$D,$D2336,$E:$E,"P0(전)"))</f>
        <v/>
      </c>
      <c r="Q2336" s="48">
        <f>IF(COUNTIFS($C:$C,$C2336,$D:$D,$D2336,$E:$E,"P0(후)",$M:$M,"&gt;0")&lt;&gt;1,"",SUMIFS($I:$I,$C:$C,$C2336,$D:$D,$D2336,$E:$E,"P0(후)"))</f>
        <v/>
      </c>
      <c r="R2336" s="31">
        <f>IF(COUNTIFS($C:$C,$C2336,$D:$D,$D2336,$E:$E,"P0(후)",$M:$M,"&gt;0")&lt;&gt;1,"",SUMIFS($M:$M,$C:$C,$C2336,$D:$D,$D2336,$E:$E,"P0(후)"))</f>
        <v/>
      </c>
      <c r="S2336" s="31">
        <f>IF(N2336&lt;&gt;"OK","",P2336+(R2336-P2336)*(I2336-O2336)/(Q2336-O2336))</f>
        <v/>
      </c>
      <c r="T2336" s="31">
        <f>IF(OR(N2336&lt;&gt;"OK",NOT(ISNUMBER(M2336))),"",M2336-S2336)</f>
        <v/>
      </c>
      <c r="U2336" s="49">
        <f>IF(OR(NOT(ISNUMBER(T2336)),IF(ISNUMBER(H2336),H2336,G2336)=0),"",T2336/IF(ISNUMBER(H2336),H2336,G2336))</f>
        <v/>
      </c>
      <c r="V2336" s="49">
        <f>IF(ISNUMBER(U2336),ABS(U2336),"")</f>
        <v/>
      </c>
      <c r="W2336" s="49">
        <f>IF(OR($E2335&lt;&gt;"측정",$C2335&lt;&gt;$C2336,$D2335&lt;&gt;$D2336,NOT(ISNUMBER(M2336)),NOT(ISNUMBER(M2335)),(IF(ISNUMBER(H2336),H2336,G2336)-IF(ISNUMBER(H2335),H2335,G2335))=0),"",(M2336-M2335)/(IF(ISNUMBER(H2336),H2336,G2336)-IF(ISNUMBER(H2335),H2335,G2335)))</f>
        <v/>
      </c>
      <c r="X2336" s="31">
        <f>IF(NOT(AND(ISNUMBER(O2336),ISNUMBER(Q2336))),"",(Q2336-O2336)*1440)</f>
        <v/>
      </c>
      <c r="Y2336" s="29" t="n"/>
      <c r="Z2336" s="29" t="n"/>
      <c r="AA2336" s="29" t="n"/>
      <c r="AB2336" s="32" t="n"/>
      <c r="AC2336" s="32" t="n"/>
    </row>
    <row r="2337">
      <c r="A2337" s="26" t="inlineStr">
        <is>
          <t>S45</t>
        </is>
      </c>
      <c r="B2337" s="26" t="inlineStr">
        <is>
          <t>여주</t>
        </is>
      </c>
      <c r="C2337" s="26" t="inlineStr">
        <is>
          <t>S45-H북</t>
        </is>
      </c>
      <c r="D2337" s="47" t="n">
        <v>1</v>
      </c>
      <c r="E2337" s="26" t="inlineStr">
        <is>
          <t>측정</t>
        </is>
      </c>
      <c r="F2337" s="26" t="inlineStr">
        <is>
          <t>북</t>
        </is>
      </c>
      <c r="G2337" s="31" t="n">
        <v>3</v>
      </c>
      <c r="H2337" s="30" t="n"/>
      <c r="I2337" s="43" t="n"/>
      <c r="J2337" s="41" t="n"/>
      <c r="K2337" s="41" t="n"/>
      <c r="L2337" s="41" t="n"/>
      <c r="M2337" s="31">
        <f>IF(COUNT(J2337:L2337)=0,"",MEDIAN(J2337:L2337))</f>
        <v/>
      </c>
      <c r="N2337" s="26">
        <f>IF(COUNTIFS($C:$C,$C2337,$D:$D,$D2337,$E:$E,"P0(전)",$M:$M,"&gt;0")&lt;&gt;1,"P0(전) 유효 1개 아님",IF(COUNTIFS($C:$C,$C2337,$D:$D,$D2337,$E:$E,"P0(후)",$M:$M,"&gt;0")&lt;&gt;1,"P0(후) 유효 1개 아님",IF(NOT(AND(ISNUMBER(O2337),ISNUMBER(Q2337),ISNUMBER(I2337))),"시각 결측",IF(Q2337&lt;=O2337,"P0 시각 역전",IF(OR(I2337&lt;O2337,I2337&gt;Q2337),"측정시각 구간 밖","OK")))))</f>
        <v/>
      </c>
      <c r="O2337" s="48">
        <f>IF(COUNTIFS($C:$C,$C2337,$D:$D,$D2337,$E:$E,"P0(전)",$M:$M,"&gt;0")&lt;&gt;1,"",SUMIFS($I:$I,$C:$C,$C2337,$D:$D,$D2337,$E:$E,"P0(전)"))</f>
        <v/>
      </c>
      <c r="P2337" s="31">
        <f>IF(COUNTIFS($C:$C,$C2337,$D:$D,$D2337,$E:$E,"P0(전)",$M:$M,"&gt;0")&lt;&gt;1,"",SUMIFS($M:$M,$C:$C,$C2337,$D:$D,$D2337,$E:$E,"P0(전)"))</f>
        <v/>
      </c>
      <c r="Q2337" s="48">
        <f>IF(COUNTIFS($C:$C,$C2337,$D:$D,$D2337,$E:$E,"P0(후)",$M:$M,"&gt;0")&lt;&gt;1,"",SUMIFS($I:$I,$C:$C,$C2337,$D:$D,$D2337,$E:$E,"P0(후)"))</f>
        <v/>
      </c>
      <c r="R2337" s="31">
        <f>IF(COUNTIFS($C:$C,$C2337,$D:$D,$D2337,$E:$E,"P0(후)",$M:$M,"&gt;0")&lt;&gt;1,"",SUMIFS($M:$M,$C:$C,$C2337,$D:$D,$D2337,$E:$E,"P0(후)"))</f>
        <v/>
      </c>
      <c r="S2337" s="31">
        <f>IF(N2337&lt;&gt;"OK","",P2337+(R2337-P2337)*(I2337-O2337)/(Q2337-O2337))</f>
        <v/>
      </c>
      <c r="T2337" s="31">
        <f>IF(OR(N2337&lt;&gt;"OK",NOT(ISNUMBER(M2337))),"",M2337-S2337)</f>
        <v/>
      </c>
      <c r="U2337" s="49">
        <f>IF(OR(NOT(ISNUMBER(T2337)),IF(ISNUMBER(H2337),H2337,G2337)=0),"",T2337/IF(ISNUMBER(H2337),H2337,G2337))</f>
        <v/>
      </c>
      <c r="V2337" s="49">
        <f>IF(ISNUMBER(U2337),ABS(U2337),"")</f>
        <v/>
      </c>
      <c r="W2337" s="49">
        <f>IF(OR($E2336&lt;&gt;"측정",$C2336&lt;&gt;$C2337,$D2336&lt;&gt;$D2337,NOT(ISNUMBER(M2337)),NOT(ISNUMBER(M2336)),(IF(ISNUMBER(H2337),H2337,G2337)-IF(ISNUMBER(H2336),H2336,G2336))=0),"",(M2337-M2336)/(IF(ISNUMBER(H2337),H2337,G2337)-IF(ISNUMBER(H2336),H2336,G2336)))</f>
        <v/>
      </c>
      <c r="X2337" s="31">
        <f>IF(NOT(AND(ISNUMBER(O2337),ISNUMBER(Q2337))),"",(Q2337-O2337)*1440)</f>
        <v/>
      </c>
      <c r="Y2337" s="29" t="n"/>
      <c r="Z2337" s="29" t="n"/>
      <c r="AA2337" s="29" t="n"/>
      <c r="AB2337" s="32" t="n"/>
      <c r="AC2337" s="32" t="n"/>
    </row>
    <row r="2338">
      <c r="A2338" s="26" t="inlineStr">
        <is>
          <t>S45</t>
        </is>
      </c>
      <c r="B2338" s="26" t="inlineStr">
        <is>
          <t>여주</t>
        </is>
      </c>
      <c r="C2338" s="26" t="inlineStr">
        <is>
          <t>S45-H북</t>
        </is>
      </c>
      <c r="D2338" s="47" t="n">
        <v>1</v>
      </c>
      <c r="E2338" s="26" t="inlineStr">
        <is>
          <t>측정</t>
        </is>
      </c>
      <c r="F2338" s="26" t="inlineStr">
        <is>
          <t>북</t>
        </is>
      </c>
      <c r="G2338" s="31" t="n">
        <v>4</v>
      </c>
      <c r="H2338" s="30" t="n"/>
      <c r="I2338" s="43" t="n"/>
      <c r="J2338" s="41" t="n"/>
      <c r="K2338" s="41" t="n"/>
      <c r="L2338" s="41" t="n"/>
      <c r="M2338" s="31">
        <f>IF(COUNT(J2338:L2338)=0,"",MEDIAN(J2338:L2338))</f>
        <v/>
      </c>
      <c r="N2338" s="26">
        <f>IF(COUNTIFS($C:$C,$C2338,$D:$D,$D2338,$E:$E,"P0(전)",$M:$M,"&gt;0")&lt;&gt;1,"P0(전) 유효 1개 아님",IF(COUNTIFS($C:$C,$C2338,$D:$D,$D2338,$E:$E,"P0(후)",$M:$M,"&gt;0")&lt;&gt;1,"P0(후) 유효 1개 아님",IF(NOT(AND(ISNUMBER(O2338),ISNUMBER(Q2338),ISNUMBER(I2338))),"시각 결측",IF(Q2338&lt;=O2338,"P0 시각 역전",IF(OR(I2338&lt;O2338,I2338&gt;Q2338),"측정시각 구간 밖","OK")))))</f>
        <v/>
      </c>
      <c r="O2338" s="48">
        <f>IF(COUNTIFS($C:$C,$C2338,$D:$D,$D2338,$E:$E,"P0(전)",$M:$M,"&gt;0")&lt;&gt;1,"",SUMIFS($I:$I,$C:$C,$C2338,$D:$D,$D2338,$E:$E,"P0(전)"))</f>
        <v/>
      </c>
      <c r="P2338" s="31">
        <f>IF(COUNTIFS($C:$C,$C2338,$D:$D,$D2338,$E:$E,"P0(전)",$M:$M,"&gt;0")&lt;&gt;1,"",SUMIFS($M:$M,$C:$C,$C2338,$D:$D,$D2338,$E:$E,"P0(전)"))</f>
        <v/>
      </c>
      <c r="Q2338" s="48">
        <f>IF(COUNTIFS($C:$C,$C2338,$D:$D,$D2338,$E:$E,"P0(후)",$M:$M,"&gt;0")&lt;&gt;1,"",SUMIFS($I:$I,$C:$C,$C2338,$D:$D,$D2338,$E:$E,"P0(후)"))</f>
        <v/>
      </c>
      <c r="R2338" s="31">
        <f>IF(COUNTIFS($C:$C,$C2338,$D:$D,$D2338,$E:$E,"P0(후)",$M:$M,"&gt;0")&lt;&gt;1,"",SUMIFS($M:$M,$C:$C,$C2338,$D:$D,$D2338,$E:$E,"P0(후)"))</f>
        <v/>
      </c>
      <c r="S2338" s="31">
        <f>IF(N2338&lt;&gt;"OK","",P2338+(R2338-P2338)*(I2338-O2338)/(Q2338-O2338))</f>
        <v/>
      </c>
      <c r="T2338" s="31">
        <f>IF(OR(N2338&lt;&gt;"OK",NOT(ISNUMBER(M2338))),"",M2338-S2338)</f>
        <v/>
      </c>
      <c r="U2338" s="49">
        <f>IF(OR(NOT(ISNUMBER(T2338)),IF(ISNUMBER(H2338),H2338,G2338)=0),"",T2338/IF(ISNUMBER(H2338),H2338,G2338))</f>
        <v/>
      </c>
      <c r="V2338" s="49">
        <f>IF(ISNUMBER(U2338),ABS(U2338),"")</f>
        <v/>
      </c>
      <c r="W2338" s="49">
        <f>IF(OR($E2337&lt;&gt;"측정",$C2337&lt;&gt;$C2338,$D2337&lt;&gt;$D2338,NOT(ISNUMBER(M2338)),NOT(ISNUMBER(M2337)),(IF(ISNUMBER(H2338),H2338,G2338)-IF(ISNUMBER(H2337),H2337,G2337))=0),"",(M2338-M2337)/(IF(ISNUMBER(H2338),H2338,G2338)-IF(ISNUMBER(H2337),H2337,G2337)))</f>
        <v/>
      </c>
      <c r="X2338" s="31">
        <f>IF(NOT(AND(ISNUMBER(O2338),ISNUMBER(Q2338))),"",(Q2338-O2338)*1440)</f>
        <v/>
      </c>
      <c r="Y2338" s="29" t="n"/>
      <c r="Z2338" s="29" t="n"/>
      <c r="AA2338" s="29" t="n"/>
      <c r="AB2338" s="32" t="n"/>
      <c r="AC2338" s="32" t="n"/>
    </row>
    <row r="2339">
      <c r="A2339" s="26" t="inlineStr">
        <is>
          <t>S45</t>
        </is>
      </c>
      <c r="B2339" s="26" t="inlineStr">
        <is>
          <t>여주</t>
        </is>
      </c>
      <c r="C2339" s="26" t="inlineStr">
        <is>
          <t>S45-H북</t>
        </is>
      </c>
      <c r="D2339" s="47" t="n">
        <v>1</v>
      </c>
      <c r="E2339" s="26" t="inlineStr">
        <is>
          <t>측정</t>
        </is>
      </c>
      <c r="F2339" s="26" t="inlineStr">
        <is>
          <t>북</t>
        </is>
      </c>
      <c r="G2339" s="31" t="n">
        <v>5</v>
      </c>
      <c r="H2339" s="30" t="n"/>
      <c r="I2339" s="43" t="n"/>
      <c r="J2339" s="41" t="n"/>
      <c r="K2339" s="41" t="n"/>
      <c r="L2339" s="41" t="n"/>
      <c r="M2339" s="31">
        <f>IF(COUNT(J2339:L2339)=0,"",MEDIAN(J2339:L2339))</f>
        <v/>
      </c>
      <c r="N2339" s="26">
        <f>IF(COUNTIFS($C:$C,$C2339,$D:$D,$D2339,$E:$E,"P0(전)",$M:$M,"&gt;0")&lt;&gt;1,"P0(전) 유효 1개 아님",IF(COUNTIFS($C:$C,$C2339,$D:$D,$D2339,$E:$E,"P0(후)",$M:$M,"&gt;0")&lt;&gt;1,"P0(후) 유효 1개 아님",IF(NOT(AND(ISNUMBER(O2339),ISNUMBER(Q2339),ISNUMBER(I2339))),"시각 결측",IF(Q2339&lt;=O2339,"P0 시각 역전",IF(OR(I2339&lt;O2339,I2339&gt;Q2339),"측정시각 구간 밖","OK")))))</f>
        <v/>
      </c>
      <c r="O2339" s="48">
        <f>IF(COUNTIFS($C:$C,$C2339,$D:$D,$D2339,$E:$E,"P0(전)",$M:$M,"&gt;0")&lt;&gt;1,"",SUMIFS($I:$I,$C:$C,$C2339,$D:$D,$D2339,$E:$E,"P0(전)"))</f>
        <v/>
      </c>
      <c r="P2339" s="31">
        <f>IF(COUNTIFS($C:$C,$C2339,$D:$D,$D2339,$E:$E,"P0(전)",$M:$M,"&gt;0")&lt;&gt;1,"",SUMIFS($M:$M,$C:$C,$C2339,$D:$D,$D2339,$E:$E,"P0(전)"))</f>
        <v/>
      </c>
      <c r="Q2339" s="48">
        <f>IF(COUNTIFS($C:$C,$C2339,$D:$D,$D2339,$E:$E,"P0(후)",$M:$M,"&gt;0")&lt;&gt;1,"",SUMIFS($I:$I,$C:$C,$C2339,$D:$D,$D2339,$E:$E,"P0(후)"))</f>
        <v/>
      </c>
      <c r="R2339" s="31">
        <f>IF(COUNTIFS($C:$C,$C2339,$D:$D,$D2339,$E:$E,"P0(후)",$M:$M,"&gt;0")&lt;&gt;1,"",SUMIFS($M:$M,$C:$C,$C2339,$D:$D,$D2339,$E:$E,"P0(후)"))</f>
        <v/>
      </c>
      <c r="S2339" s="31">
        <f>IF(N2339&lt;&gt;"OK","",P2339+(R2339-P2339)*(I2339-O2339)/(Q2339-O2339))</f>
        <v/>
      </c>
      <c r="T2339" s="31">
        <f>IF(OR(N2339&lt;&gt;"OK",NOT(ISNUMBER(M2339))),"",M2339-S2339)</f>
        <v/>
      </c>
      <c r="U2339" s="49">
        <f>IF(OR(NOT(ISNUMBER(T2339)),IF(ISNUMBER(H2339),H2339,G2339)=0),"",T2339/IF(ISNUMBER(H2339),H2339,G2339))</f>
        <v/>
      </c>
      <c r="V2339" s="49">
        <f>IF(ISNUMBER(U2339),ABS(U2339),"")</f>
        <v/>
      </c>
      <c r="W2339" s="49">
        <f>IF(OR($E2338&lt;&gt;"측정",$C2338&lt;&gt;$C2339,$D2338&lt;&gt;$D2339,NOT(ISNUMBER(M2339)),NOT(ISNUMBER(M2338)),(IF(ISNUMBER(H2339),H2339,G2339)-IF(ISNUMBER(H2338),H2338,G2338))=0),"",(M2339-M2338)/(IF(ISNUMBER(H2339),H2339,G2339)-IF(ISNUMBER(H2338),H2338,G2338)))</f>
        <v/>
      </c>
      <c r="X2339" s="31">
        <f>IF(NOT(AND(ISNUMBER(O2339),ISNUMBER(Q2339))),"",(Q2339-O2339)*1440)</f>
        <v/>
      </c>
      <c r="Y2339" s="29" t="n"/>
      <c r="Z2339" s="29" t="n"/>
      <c r="AA2339" s="29" t="n"/>
      <c r="AB2339" s="32" t="n"/>
      <c r="AC2339" s="32" t="n"/>
    </row>
    <row r="2340">
      <c r="A2340" s="26" t="inlineStr">
        <is>
          <t>S45</t>
        </is>
      </c>
      <c r="B2340" s="26" t="inlineStr">
        <is>
          <t>여주</t>
        </is>
      </c>
      <c r="C2340" s="26" t="inlineStr">
        <is>
          <t>S45-H북</t>
        </is>
      </c>
      <c r="D2340" s="47" t="n">
        <v>1</v>
      </c>
      <c r="E2340" s="26" t="inlineStr">
        <is>
          <t>측정</t>
        </is>
      </c>
      <c r="F2340" s="26" t="inlineStr">
        <is>
          <t>북</t>
        </is>
      </c>
      <c r="G2340" s="31" t="n">
        <v>6</v>
      </c>
      <c r="H2340" s="30" t="n"/>
      <c r="I2340" s="43" t="n"/>
      <c r="J2340" s="41" t="n"/>
      <c r="K2340" s="41" t="n"/>
      <c r="L2340" s="41" t="n"/>
      <c r="M2340" s="31">
        <f>IF(COUNT(J2340:L2340)=0,"",MEDIAN(J2340:L2340))</f>
        <v/>
      </c>
      <c r="N2340" s="26">
        <f>IF(COUNTIFS($C:$C,$C2340,$D:$D,$D2340,$E:$E,"P0(전)",$M:$M,"&gt;0")&lt;&gt;1,"P0(전) 유효 1개 아님",IF(COUNTIFS($C:$C,$C2340,$D:$D,$D2340,$E:$E,"P0(후)",$M:$M,"&gt;0")&lt;&gt;1,"P0(후) 유효 1개 아님",IF(NOT(AND(ISNUMBER(O2340),ISNUMBER(Q2340),ISNUMBER(I2340))),"시각 결측",IF(Q2340&lt;=O2340,"P0 시각 역전",IF(OR(I2340&lt;O2340,I2340&gt;Q2340),"측정시각 구간 밖","OK")))))</f>
        <v/>
      </c>
      <c r="O2340" s="48">
        <f>IF(COUNTIFS($C:$C,$C2340,$D:$D,$D2340,$E:$E,"P0(전)",$M:$M,"&gt;0")&lt;&gt;1,"",SUMIFS($I:$I,$C:$C,$C2340,$D:$D,$D2340,$E:$E,"P0(전)"))</f>
        <v/>
      </c>
      <c r="P2340" s="31">
        <f>IF(COUNTIFS($C:$C,$C2340,$D:$D,$D2340,$E:$E,"P0(전)",$M:$M,"&gt;0")&lt;&gt;1,"",SUMIFS($M:$M,$C:$C,$C2340,$D:$D,$D2340,$E:$E,"P0(전)"))</f>
        <v/>
      </c>
      <c r="Q2340" s="48">
        <f>IF(COUNTIFS($C:$C,$C2340,$D:$D,$D2340,$E:$E,"P0(후)",$M:$M,"&gt;0")&lt;&gt;1,"",SUMIFS($I:$I,$C:$C,$C2340,$D:$D,$D2340,$E:$E,"P0(후)"))</f>
        <v/>
      </c>
      <c r="R2340" s="31">
        <f>IF(COUNTIFS($C:$C,$C2340,$D:$D,$D2340,$E:$E,"P0(후)",$M:$M,"&gt;0")&lt;&gt;1,"",SUMIFS($M:$M,$C:$C,$C2340,$D:$D,$D2340,$E:$E,"P0(후)"))</f>
        <v/>
      </c>
      <c r="S2340" s="31">
        <f>IF(N2340&lt;&gt;"OK","",P2340+(R2340-P2340)*(I2340-O2340)/(Q2340-O2340))</f>
        <v/>
      </c>
      <c r="T2340" s="31">
        <f>IF(OR(N2340&lt;&gt;"OK",NOT(ISNUMBER(M2340))),"",M2340-S2340)</f>
        <v/>
      </c>
      <c r="U2340" s="49">
        <f>IF(OR(NOT(ISNUMBER(T2340)),IF(ISNUMBER(H2340),H2340,G2340)=0),"",T2340/IF(ISNUMBER(H2340),H2340,G2340))</f>
        <v/>
      </c>
      <c r="V2340" s="49">
        <f>IF(ISNUMBER(U2340),ABS(U2340),"")</f>
        <v/>
      </c>
      <c r="W2340" s="49">
        <f>IF(OR($E2339&lt;&gt;"측정",$C2339&lt;&gt;$C2340,$D2339&lt;&gt;$D2340,NOT(ISNUMBER(M2340)),NOT(ISNUMBER(M2339)),(IF(ISNUMBER(H2340),H2340,G2340)-IF(ISNUMBER(H2339),H2339,G2339))=0),"",(M2340-M2339)/(IF(ISNUMBER(H2340),H2340,G2340)-IF(ISNUMBER(H2339),H2339,G2339)))</f>
        <v/>
      </c>
      <c r="X2340" s="31">
        <f>IF(NOT(AND(ISNUMBER(O2340),ISNUMBER(Q2340))),"",(Q2340-O2340)*1440)</f>
        <v/>
      </c>
      <c r="Y2340" s="29" t="n"/>
      <c r="Z2340" s="29" t="n"/>
      <c r="AA2340" s="29" t="n"/>
      <c r="AB2340" s="32" t="n"/>
      <c r="AC2340" s="32" t="n"/>
    </row>
    <row r="2341">
      <c r="A2341" s="26" t="inlineStr">
        <is>
          <t>S45</t>
        </is>
      </c>
      <c r="B2341" s="26" t="inlineStr">
        <is>
          <t>여주</t>
        </is>
      </c>
      <c r="C2341" s="26" t="inlineStr">
        <is>
          <t>S45-H북</t>
        </is>
      </c>
      <c r="D2341" s="47" t="n">
        <v>1</v>
      </c>
      <c r="E2341" s="26" t="inlineStr">
        <is>
          <t>측정</t>
        </is>
      </c>
      <c r="F2341" s="26" t="inlineStr">
        <is>
          <t>북</t>
        </is>
      </c>
      <c r="G2341" s="31" t="n">
        <v>7</v>
      </c>
      <c r="H2341" s="30" t="n"/>
      <c r="I2341" s="43" t="n"/>
      <c r="J2341" s="41" t="n"/>
      <c r="K2341" s="41" t="n"/>
      <c r="L2341" s="41" t="n"/>
      <c r="M2341" s="31">
        <f>IF(COUNT(J2341:L2341)=0,"",MEDIAN(J2341:L2341))</f>
        <v/>
      </c>
      <c r="N2341" s="26">
        <f>IF(COUNTIFS($C:$C,$C2341,$D:$D,$D2341,$E:$E,"P0(전)",$M:$M,"&gt;0")&lt;&gt;1,"P0(전) 유효 1개 아님",IF(COUNTIFS($C:$C,$C2341,$D:$D,$D2341,$E:$E,"P0(후)",$M:$M,"&gt;0")&lt;&gt;1,"P0(후) 유효 1개 아님",IF(NOT(AND(ISNUMBER(O2341),ISNUMBER(Q2341),ISNUMBER(I2341))),"시각 결측",IF(Q2341&lt;=O2341,"P0 시각 역전",IF(OR(I2341&lt;O2341,I2341&gt;Q2341),"측정시각 구간 밖","OK")))))</f>
        <v/>
      </c>
      <c r="O2341" s="48">
        <f>IF(COUNTIFS($C:$C,$C2341,$D:$D,$D2341,$E:$E,"P0(전)",$M:$M,"&gt;0")&lt;&gt;1,"",SUMIFS($I:$I,$C:$C,$C2341,$D:$D,$D2341,$E:$E,"P0(전)"))</f>
        <v/>
      </c>
      <c r="P2341" s="31">
        <f>IF(COUNTIFS($C:$C,$C2341,$D:$D,$D2341,$E:$E,"P0(전)",$M:$M,"&gt;0")&lt;&gt;1,"",SUMIFS($M:$M,$C:$C,$C2341,$D:$D,$D2341,$E:$E,"P0(전)"))</f>
        <v/>
      </c>
      <c r="Q2341" s="48">
        <f>IF(COUNTIFS($C:$C,$C2341,$D:$D,$D2341,$E:$E,"P0(후)",$M:$M,"&gt;0")&lt;&gt;1,"",SUMIFS($I:$I,$C:$C,$C2341,$D:$D,$D2341,$E:$E,"P0(후)"))</f>
        <v/>
      </c>
      <c r="R2341" s="31">
        <f>IF(COUNTIFS($C:$C,$C2341,$D:$D,$D2341,$E:$E,"P0(후)",$M:$M,"&gt;0")&lt;&gt;1,"",SUMIFS($M:$M,$C:$C,$C2341,$D:$D,$D2341,$E:$E,"P0(후)"))</f>
        <v/>
      </c>
      <c r="S2341" s="31">
        <f>IF(N2341&lt;&gt;"OK","",P2341+(R2341-P2341)*(I2341-O2341)/(Q2341-O2341))</f>
        <v/>
      </c>
      <c r="T2341" s="31">
        <f>IF(OR(N2341&lt;&gt;"OK",NOT(ISNUMBER(M2341))),"",M2341-S2341)</f>
        <v/>
      </c>
      <c r="U2341" s="49">
        <f>IF(OR(NOT(ISNUMBER(T2341)),IF(ISNUMBER(H2341),H2341,G2341)=0),"",T2341/IF(ISNUMBER(H2341),H2341,G2341))</f>
        <v/>
      </c>
      <c r="V2341" s="49">
        <f>IF(ISNUMBER(U2341),ABS(U2341),"")</f>
        <v/>
      </c>
      <c r="W2341" s="49">
        <f>IF(OR($E2340&lt;&gt;"측정",$C2340&lt;&gt;$C2341,$D2340&lt;&gt;$D2341,NOT(ISNUMBER(M2341)),NOT(ISNUMBER(M2340)),(IF(ISNUMBER(H2341),H2341,G2341)-IF(ISNUMBER(H2340),H2340,G2340))=0),"",(M2341-M2340)/(IF(ISNUMBER(H2341),H2341,G2341)-IF(ISNUMBER(H2340),H2340,G2340)))</f>
        <v/>
      </c>
      <c r="X2341" s="31">
        <f>IF(NOT(AND(ISNUMBER(O2341),ISNUMBER(Q2341))),"",(Q2341-O2341)*1440)</f>
        <v/>
      </c>
      <c r="Y2341" s="29" t="n"/>
      <c r="Z2341" s="29" t="n"/>
      <c r="AA2341" s="29" t="n"/>
      <c r="AB2341" s="32" t="n"/>
      <c r="AC2341" s="32" t="n"/>
    </row>
    <row r="2342">
      <c r="A2342" s="26" t="inlineStr">
        <is>
          <t>S45</t>
        </is>
      </c>
      <c r="B2342" s="26" t="inlineStr">
        <is>
          <t>여주</t>
        </is>
      </c>
      <c r="C2342" s="26" t="inlineStr">
        <is>
          <t>S45-H북</t>
        </is>
      </c>
      <c r="D2342" s="47" t="n">
        <v>1</v>
      </c>
      <c r="E2342" s="26" t="inlineStr">
        <is>
          <t>측정</t>
        </is>
      </c>
      <c r="F2342" s="26" t="inlineStr">
        <is>
          <t>북</t>
        </is>
      </c>
      <c r="G2342" s="31" t="n">
        <v>8</v>
      </c>
      <c r="H2342" s="30" t="n"/>
      <c r="I2342" s="43" t="n"/>
      <c r="J2342" s="41" t="n"/>
      <c r="K2342" s="41" t="n"/>
      <c r="L2342" s="41" t="n"/>
      <c r="M2342" s="31">
        <f>IF(COUNT(J2342:L2342)=0,"",MEDIAN(J2342:L2342))</f>
        <v/>
      </c>
      <c r="N2342" s="26">
        <f>IF(COUNTIFS($C:$C,$C2342,$D:$D,$D2342,$E:$E,"P0(전)",$M:$M,"&gt;0")&lt;&gt;1,"P0(전) 유효 1개 아님",IF(COUNTIFS($C:$C,$C2342,$D:$D,$D2342,$E:$E,"P0(후)",$M:$M,"&gt;0")&lt;&gt;1,"P0(후) 유효 1개 아님",IF(NOT(AND(ISNUMBER(O2342),ISNUMBER(Q2342),ISNUMBER(I2342))),"시각 결측",IF(Q2342&lt;=O2342,"P0 시각 역전",IF(OR(I2342&lt;O2342,I2342&gt;Q2342),"측정시각 구간 밖","OK")))))</f>
        <v/>
      </c>
      <c r="O2342" s="48">
        <f>IF(COUNTIFS($C:$C,$C2342,$D:$D,$D2342,$E:$E,"P0(전)",$M:$M,"&gt;0")&lt;&gt;1,"",SUMIFS($I:$I,$C:$C,$C2342,$D:$D,$D2342,$E:$E,"P0(전)"))</f>
        <v/>
      </c>
      <c r="P2342" s="31">
        <f>IF(COUNTIFS($C:$C,$C2342,$D:$D,$D2342,$E:$E,"P0(전)",$M:$M,"&gt;0")&lt;&gt;1,"",SUMIFS($M:$M,$C:$C,$C2342,$D:$D,$D2342,$E:$E,"P0(전)"))</f>
        <v/>
      </c>
      <c r="Q2342" s="48">
        <f>IF(COUNTIFS($C:$C,$C2342,$D:$D,$D2342,$E:$E,"P0(후)",$M:$M,"&gt;0")&lt;&gt;1,"",SUMIFS($I:$I,$C:$C,$C2342,$D:$D,$D2342,$E:$E,"P0(후)"))</f>
        <v/>
      </c>
      <c r="R2342" s="31">
        <f>IF(COUNTIFS($C:$C,$C2342,$D:$D,$D2342,$E:$E,"P0(후)",$M:$M,"&gt;0")&lt;&gt;1,"",SUMIFS($M:$M,$C:$C,$C2342,$D:$D,$D2342,$E:$E,"P0(후)"))</f>
        <v/>
      </c>
      <c r="S2342" s="31">
        <f>IF(N2342&lt;&gt;"OK","",P2342+(R2342-P2342)*(I2342-O2342)/(Q2342-O2342))</f>
        <v/>
      </c>
      <c r="T2342" s="31">
        <f>IF(OR(N2342&lt;&gt;"OK",NOT(ISNUMBER(M2342))),"",M2342-S2342)</f>
        <v/>
      </c>
      <c r="U2342" s="49">
        <f>IF(OR(NOT(ISNUMBER(T2342)),IF(ISNUMBER(H2342),H2342,G2342)=0),"",T2342/IF(ISNUMBER(H2342),H2342,G2342))</f>
        <v/>
      </c>
      <c r="V2342" s="49">
        <f>IF(ISNUMBER(U2342),ABS(U2342),"")</f>
        <v/>
      </c>
      <c r="W2342" s="49">
        <f>IF(OR($E2341&lt;&gt;"측정",$C2341&lt;&gt;$C2342,$D2341&lt;&gt;$D2342,NOT(ISNUMBER(M2342)),NOT(ISNUMBER(M2341)),(IF(ISNUMBER(H2342),H2342,G2342)-IF(ISNUMBER(H2341),H2341,G2341))=0),"",(M2342-M2341)/(IF(ISNUMBER(H2342),H2342,G2342)-IF(ISNUMBER(H2341),H2341,G2341)))</f>
        <v/>
      </c>
      <c r="X2342" s="31">
        <f>IF(NOT(AND(ISNUMBER(O2342),ISNUMBER(Q2342))),"",(Q2342-O2342)*1440)</f>
        <v/>
      </c>
      <c r="Y2342" s="29" t="n"/>
      <c r="Z2342" s="29" t="n"/>
      <c r="AA2342" s="29" t="n"/>
      <c r="AB2342" s="32" t="n"/>
      <c r="AC2342" s="32" t="n"/>
    </row>
    <row r="2343">
      <c r="A2343" s="26" t="inlineStr">
        <is>
          <t>S45</t>
        </is>
      </c>
      <c r="B2343" s="26" t="inlineStr">
        <is>
          <t>여주</t>
        </is>
      </c>
      <c r="C2343" s="26" t="inlineStr">
        <is>
          <t>S45-H북</t>
        </is>
      </c>
      <c r="D2343" s="47" t="n">
        <v>1</v>
      </c>
      <c r="E2343" s="26" t="inlineStr">
        <is>
          <t>측정</t>
        </is>
      </c>
      <c r="F2343" s="26" t="inlineStr">
        <is>
          <t>북</t>
        </is>
      </c>
      <c r="G2343" s="31" t="n">
        <v>9</v>
      </c>
      <c r="H2343" s="30" t="n"/>
      <c r="I2343" s="43" t="n"/>
      <c r="J2343" s="41" t="n"/>
      <c r="K2343" s="41" t="n"/>
      <c r="L2343" s="41" t="n"/>
      <c r="M2343" s="31">
        <f>IF(COUNT(J2343:L2343)=0,"",MEDIAN(J2343:L2343))</f>
        <v/>
      </c>
      <c r="N2343" s="26">
        <f>IF(COUNTIFS($C:$C,$C2343,$D:$D,$D2343,$E:$E,"P0(전)",$M:$M,"&gt;0")&lt;&gt;1,"P0(전) 유효 1개 아님",IF(COUNTIFS($C:$C,$C2343,$D:$D,$D2343,$E:$E,"P0(후)",$M:$M,"&gt;0")&lt;&gt;1,"P0(후) 유효 1개 아님",IF(NOT(AND(ISNUMBER(O2343),ISNUMBER(Q2343),ISNUMBER(I2343))),"시각 결측",IF(Q2343&lt;=O2343,"P0 시각 역전",IF(OR(I2343&lt;O2343,I2343&gt;Q2343),"측정시각 구간 밖","OK")))))</f>
        <v/>
      </c>
      <c r="O2343" s="48">
        <f>IF(COUNTIFS($C:$C,$C2343,$D:$D,$D2343,$E:$E,"P0(전)",$M:$M,"&gt;0")&lt;&gt;1,"",SUMIFS($I:$I,$C:$C,$C2343,$D:$D,$D2343,$E:$E,"P0(전)"))</f>
        <v/>
      </c>
      <c r="P2343" s="31">
        <f>IF(COUNTIFS($C:$C,$C2343,$D:$D,$D2343,$E:$E,"P0(전)",$M:$M,"&gt;0")&lt;&gt;1,"",SUMIFS($M:$M,$C:$C,$C2343,$D:$D,$D2343,$E:$E,"P0(전)"))</f>
        <v/>
      </c>
      <c r="Q2343" s="48">
        <f>IF(COUNTIFS($C:$C,$C2343,$D:$D,$D2343,$E:$E,"P0(후)",$M:$M,"&gt;0")&lt;&gt;1,"",SUMIFS($I:$I,$C:$C,$C2343,$D:$D,$D2343,$E:$E,"P0(후)"))</f>
        <v/>
      </c>
      <c r="R2343" s="31">
        <f>IF(COUNTIFS($C:$C,$C2343,$D:$D,$D2343,$E:$E,"P0(후)",$M:$M,"&gt;0")&lt;&gt;1,"",SUMIFS($M:$M,$C:$C,$C2343,$D:$D,$D2343,$E:$E,"P0(후)"))</f>
        <v/>
      </c>
      <c r="S2343" s="31">
        <f>IF(N2343&lt;&gt;"OK","",P2343+(R2343-P2343)*(I2343-O2343)/(Q2343-O2343))</f>
        <v/>
      </c>
      <c r="T2343" s="31">
        <f>IF(OR(N2343&lt;&gt;"OK",NOT(ISNUMBER(M2343))),"",M2343-S2343)</f>
        <v/>
      </c>
      <c r="U2343" s="49">
        <f>IF(OR(NOT(ISNUMBER(T2343)),IF(ISNUMBER(H2343),H2343,G2343)=0),"",T2343/IF(ISNUMBER(H2343),H2343,G2343))</f>
        <v/>
      </c>
      <c r="V2343" s="49">
        <f>IF(ISNUMBER(U2343),ABS(U2343),"")</f>
        <v/>
      </c>
      <c r="W2343" s="49">
        <f>IF(OR($E2342&lt;&gt;"측정",$C2342&lt;&gt;$C2343,$D2342&lt;&gt;$D2343,NOT(ISNUMBER(M2343)),NOT(ISNUMBER(M2342)),(IF(ISNUMBER(H2343),H2343,G2343)-IF(ISNUMBER(H2342),H2342,G2342))=0),"",(M2343-M2342)/(IF(ISNUMBER(H2343),H2343,G2343)-IF(ISNUMBER(H2342),H2342,G2342)))</f>
        <v/>
      </c>
      <c r="X2343" s="31">
        <f>IF(NOT(AND(ISNUMBER(O2343),ISNUMBER(Q2343))),"",(Q2343-O2343)*1440)</f>
        <v/>
      </c>
      <c r="Y2343" s="29" t="n"/>
      <c r="Z2343" s="29" t="n"/>
      <c r="AA2343" s="29" t="n"/>
      <c r="AB2343" s="32" t="n"/>
      <c r="AC2343" s="32" t="n"/>
    </row>
    <row r="2344">
      <c r="A2344" s="26" t="inlineStr">
        <is>
          <t>S45</t>
        </is>
      </c>
      <c r="B2344" s="26" t="inlineStr">
        <is>
          <t>여주</t>
        </is>
      </c>
      <c r="C2344" s="26" t="inlineStr">
        <is>
          <t>S45-H북</t>
        </is>
      </c>
      <c r="D2344" s="47" t="n">
        <v>1</v>
      </c>
      <c r="E2344" s="26" t="inlineStr">
        <is>
          <t>측정</t>
        </is>
      </c>
      <c r="F2344" s="26" t="inlineStr">
        <is>
          <t>북</t>
        </is>
      </c>
      <c r="G2344" s="31" t="n">
        <v>10</v>
      </c>
      <c r="H2344" s="30" t="n"/>
      <c r="I2344" s="43" t="n"/>
      <c r="J2344" s="41" t="n"/>
      <c r="K2344" s="41" t="n"/>
      <c r="L2344" s="41" t="n"/>
      <c r="M2344" s="31">
        <f>IF(COUNT(J2344:L2344)=0,"",MEDIAN(J2344:L2344))</f>
        <v/>
      </c>
      <c r="N2344" s="26">
        <f>IF(COUNTIFS($C:$C,$C2344,$D:$D,$D2344,$E:$E,"P0(전)",$M:$M,"&gt;0")&lt;&gt;1,"P0(전) 유효 1개 아님",IF(COUNTIFS($C:$C,$C2344,$D:$D,$D2344,$E:$E,"P0(후)",$M:$M,"&gt;0")&lt;&gt;1,"P0(후) 유효 1개 아님",IF(NOT(AND(ISNUMBER(O2344),ISNUMBER(Q2344),ISNUMBER(I2344))),"시각 결측",IF(Q2344&lt;=O2344,"P0 시각 역전",IF(OR(I2344&lt;O2344,I2344&gt;Q2344),"측정시각 구간 밖","OK")))))</f>
        <v/>
      </c>
      <c r="O2344" s="48">
        <f>IF(COUNTIFS($C:$C,$C2344,$D:$D,$D2344,$E:$E,"P0(전)",$M:$M,"&gt;0")&lt;&gt;1,"",SUMIFS($I:$I,$C:$C,$C2344,$D:$D,$D2344,$E:$E,"P0(전)"))</f>
        <v/>
      </c>
      <c r="P2344" s="31">
        <f>IF(COUNTIFS($C:$C,$C2344,$D:$D,$D2344,$E:$E,"P0(전)",$M:$M,"&gt;0")&lt;&gt;1,"",SUMIFS($M:$M,$C:$C,$C2344,$D:$D,$D2344,$E:$E,"P0(전)"))</f>
        <v/>
      </c>
      <c r="Q2344" s="48">
        <f>IF(COUNTIFS($C:$C,$C2344,$D:$D,$D2344,$E:$E,"P0(후)",$M:$M,"&gt;0")&lt;&gt;1,"",SUMIFS($I:$I,$C:$C,$C2344,$D:$D,$D2344,$E:$E,"P0(후)"))</f>
        <v/>
      </c>
      <c r="R2344" s="31">
        <f>IF(COUNTIFS($C:$C,$C2344,$D:$D,$D2344,$E:$E,"P0(후)",$M:$M,"&gt;0")&lt;&gt;1,"",SUMIFS($M:$M,$C:$C,$C2344,$D:$D,$D2344,$E:$E,"P0(후)"))</f>
        <v/>
      </c>
      <c r="S2344" s="31">
        <f>IF(N2344&lt;&gt;"OK","",P2344+(R2344-P2344)*(I2344-O2344)/(Q2344-O2344))</f>
        <v/>
      </c>
      <c r="T2344" s="31">
        <f>IF(OR(N2344&lt;&gt;"OK",NOT(ISNUMBER(M2344))),"",M2344-S2344)</f>
        <v/>
      </c>
      <c r="U2344" s="49">
        <f>IF(OR(NOT(ISNUMBER(T2344)),IF(ISNUMBER(H2344),H2344,G2344)=0),"",T2344/IF(ISNUMBER(H2344),H2344,G2344))</f>
        <v/>
      </c>
      <c r="V2344" s="49">
        <f>IF(ISNUMBER(U2344),ABS(U2344),"")</f>
        <v/>
      </c>
      <c r="W2344" s="49">
        <f>IF(OR($E2343&lt;&gt;"측정",$C2343&lt;&gt;$C2344,$D2343&lt;&gt;$D2344,NOT(ISNUMBER(M2344)),NOT(ISNUMBER(M2343)),(IF(ISNUMBER(H2344),H2344,G2344)-IF(ISNUMBER(H2343),H2343,G2343))=0),"",(M2344-M2343)/(IF(ISNUMBER(H2344),H2344,G2344)-IF(ISNUMBER(H2343),H2343,G2343)))</f>
        <v/>
      </c>
      <c r="X2344" s="31">
        <f>IF(NOT(AND(ISNUMBER(O2344),ISNUMBER(Q2344))),"",(Q2344-O2344)*1440)</f>
        <v/>
      </c>
      <c r="Y2344" s="29" t="n"/>
      <c r="Z2344" s="29" t="n"/>
      <c r="AA2344" s="29" t="n"/>
      <c r="AB2344" s="32" t="n"/>
      <c r="AC2344" s="32" t="n"/>
    </row>
    <row r="2345">
      <c r="A2345" s="44" t="inlineStr">
        <is>
          <t>S45</t>
        </is>
      </c>
      <c r="B2345" s="44" t="inlineStr">
        <is>
          <t>여주</t>
        </is>
      </c>
      <c r="C2345" s="44" t="inlineStr">
        <is>
          <t>S45-H북</t>
        </is>
      </c>
      <c r="D2345" s="45" t="n">
        <v>1</v>
      </c>
      <c r="E2345" s="44" t="inlineStr">
        <is>
          <t>P0(후)</t>
        </is>
      </c>
      <c r="F2345" s="44" t="inlineStr">
        <is>
          <t>북</t>
        </is>
      </c>
      <c r="G2345" s="46" t="n"/>
      <c r="H2345" s="30" t="n"/>
      <c r="I2345" s="43" t="n"/>
      <c r="J2345" s="41" t="n"/>
      <c r="K2345" s="41" t="n"/>
      <c r="L2345" s="41" t="n"/>
      <c r="M2345" s="31">
        <f>IF(COUNT(J2345:L2345)=0,"",MEDIAN(J2345:L2345))</f>
        <v/>
      </c>
      <c r="N2345" s="38" t="n"/>
      <c r="O2345" s="38" t="n"/>
      <c r="P2345" s="38" t="n"/>
      <c r="Q2345" s="38" t="n"/>
      <c r="R2345" s="38" t="n"/>
      <c r="S2345" s="38" t="n"/>
      <c r="T2345" s="38" t="n"/>
      <c r="U2345" s="38" t="n"/>
      <c r="V2345" s="38" t="n"/>
      <c r="W2345" s="38" t="n"/>
      <c r="X2345" s="38" t="n"/>
      <c r="Y2345" s="29" t="n"/>
      <c r="Z2345" s="29" t="n"/>
      <c r="AA2345" s="29" t="n"/>
      <c r="AB2345" s="32" t="n"/>
      <c r="AC2345" s="32" t="n"/>
    </row>
    <row r="2346">
      <c r="A2346" s="44" t="inlineStr">
        <is>
          <t>S46</t>
        </is>
      </c>
      <c r="B2346" s="44" t="inlineStr">
        <is>
          <t>화천</t>
        </is>
      </c>
      <c r="C2346" s="44" t="inlineStr">
        <is>
          <t>S46-H동</t>
        </is>
      </c>
      <c r="D2346" s="45" t="n">
        <v>1</v>
      </c>
      <c r="E2346" s="44" t="inlineStr">
        <is>
          <t>P0(전)</t>
        </is>
      </c>
      <c r="F2346" s="44" t="inlineStr">
        <is>
          <t>동</t>
        </is>
      </c>
      <c r="G2346" s="46" t="n"/>
      <c r="H2346" s="30" t="n"/>
      <c r="I2346" s="43" t="n"/>
      <c r="J2346" s="41" t="n"/>
      <c r="K2346" s="41" t="n"/>
      <c r="L2346" s="41" t="n"/>
      <c r="M2346" s="31">
        <f>IF(COUNT(J2346:L2346)=0,"",MEDIAN(J2346:L2346))</f>
        <v/>
      </c>
      <c r="N2346" s="38" t="n"/>
      <c r="O2346" s="38" t="n"/>
      <c r="P2346" s="38" t="n"/>
      <c r="Q2346" s="38" t="n"/>
      <c r="R2346" s="38" t="n"/>
      <c r="S2346" s="38" t="n"/>
      <c r="T2346" s="38" t="n"/>
      <c r="U2346" s="38" t="n"/>
      <c r="V2346" s="38" t="n"/>
      <c r="W2346" s="38" t="n"/>
      <c r="X2346" s="38" t="n"/>
      <c r="Y2346" s="29" t="n"/>
      <c r="Z2346" s="29" t="n"/>
      <c r="AA2346" s="29" t="n"/>
      <c r="AB2346" s="32" t="n"/>
      <c r="AC2346" s="32" t="n"/>
    </row>
    <row r="2347">
      <c r="A2347" s="26" t="inlineStr">
        <is>
          <t>S46</t>
        </is>
      </c>
      <c r="B2347" s="26" t="inlineStr">
        <is>
          <t>화천</t>
        </is>
      </c>
      <c r="C2347" s="26" t="inlineStr">
        <is>
          <t>S46-H동</t>
        </is>
      </c>
      <c r="D2347" s="47" t="n">
        <v>1</v>
      </c>
      <c r="E2347" s="26" t="inlineStr">
        <is>
          <t>측정</t>
        </is>
      </c>
      <c r="F2347" s="26" t="inlineStr">
        <is>
          <t>동</t>
        </is>
      </c>
      <c r="G2347" s="31" t="n">
        <v>0.5</v>
      </c>
      <c r="H2347" s="30" t="n"/>
      <c r="I2347" s="43" t="n"/>
      <c r="J2347" s="41" t="n"/>
      <c r="K2347" s="41" t="n"/>
      <c r="L2347" s="41" t="n"/>
      <c r="M2347" s="31">
        <f>IF(COUNT(J2347:L2347)=0,"",MEDIAN(J2347:L2347))</f>
        <v/>
      </c>
      <c r="N2347" s="26">
        <f>IF(COUNTIFS($C:$C,$C2347,$D:$D,$D2347,$E:$E,"P0(전)",$M:$M,"&gt;0")&lt;&gt;1,"P0(전) 유효 1개 아님",IF(COUNTIFS($C:$C,$C2347,$D:$D,$D2347,$E:$E,"P0(후)",$M:$M,"&gt;0")&lt;&gt;1,"P0(후) 유효 1개 아님",IF(NOT(AND(ISNUMBER(O2347),ISNUMBER(Q2347),ISNUMBER(I2347))),"시각 결측",IF(Q2347&lt;=O2347,"P0 시각 역전",IF(OR(I2347&lt;O2347,I2347&gt;Q2347),"측정시각 구간 밖","OK")))))</f>
        <v/>
      </c>
      <c r="O2347" s="48">
        <f>IF(COUNTIFS($C:$C,$C2347,$D:$D,$D2347,$E:$E,"P0(전)",$M:$M,"&gt;0")&lt;&gt;1,"",SUMIFS($I:$I,$C:$C,$C2347,$D:$D,$D2347,$E:$E,"P0(전)"))</f>
        <v/>
      </c>
      <c r="P2347" s="31">
        <f>IF(COUNTIFS($C:$C,$C2347,$D:$D,$D2347,$E:$E,"P0(전)",$M:$M,"&gt;0")&lt;&gt;1,"",SUMIFS($M:$M,$C:$C,$C2347,$D:$D,$D2347,$E:$E,"P0(전)"))</f>
        <v/>
      </c>
      <c r="Q2347" s="48">
        <f>IF(COUNTIFS($C:$C,$C2347,$D:$D,$D2347,$E:$E,"P0(후)",$M:$M,"&gt;0")&lt;&gt;1,"",SUMIFS($I:$I,$C:$C,$C2347,$D:$D,$D2347,$E:$E,"P0(후)"))</f>
        <v/>
      </c>
      <c r="R2347" s="31">
        <f>IF(COUNTIFS($C:$C,$C2347,$D:$D,$D2347,$E:$E,"P0(후)",$M:$M,"&gt;0")&lt;&gt;1,"",SUMIFS($M:$M,$C:$C,$C2347,$D:$D,$D2347,$E:$E,"P0(후)"))</f>
        <v/>
      </c>
      <c r="S2347" s="31">
        <f>IF(N2347&lt;&gt;"OK","",P2347+(R2347-P2347)*(I2347-O2347)/(Q2347-O2347))</f>
        <v/>
      </c>
      <c r="T2347" s="31">
        <f>IF(OR(N2347&lt;&gt;"OK",NOT(ISNUMBER(M2347))),"",M2347-S2347)</f>
        <v/>
      </c>
      <c r="U2347" s="49">
        <f>IF(OR(NOT(ISNUMBER(T2347)),IF(ISNUMBER(H2347),H2347,G2347)=0),"",T2347/IF(ISNUMBER(H2347),H2347,G2347))</f>
        <v/>
      </c>
      <c r="V2347" s="49">
        <f>IF(ISNUMBER(U2347),ABS(U2347),"")</f>
        <v/>
      </c>
      <c r="W2347" s="49">
        <f>IF(OR($E2346&lt;&gt;"측정",$C2346&lt;&gt;$C2347,$D2346&lt;&gt;$D2347,NOT(ISNUMBER(M2347)),NOT(ISNUMBER(M2346)),(IF(ISNUMBER(H2347),H2347,G2347)-IF(ISNUMBER(H2346),H2346,G2346))=0),"",(M2347-M2346)/(IF(ISNUMBER(H2347),H2347,G2347)-IF(ISNUMBER(H2346),H2346,G2346)))</f>
        <v/>
      </c>
      <c r="X2347" s="31">
        <f>IF(NOT(AND(ISNUMBER(O2347),ISNUMBER(Q2347))),"",(Q2347-O2347)*1440)</f>
        <v/>
      </c>
      <c r="Y2347" s="29" t="n"/>
      <c r="Z2347" s="29" t="n"/>
      <c r="AA2347" s="29" t="n"/>
      <c r="AB2347" s="32" t="n"/>
      <c r="AC2347" s="32" t="n"/>
    </row>
    <row r="2348">
      <c r="A2348" s="26" t="inlineStr">
        <is>
          <t>S46</t>
        </is>
      </c>
      <c r="B2348" s="26" t="inlineStr">
        <is>
          <t>화천</t>
        </is>
      </c>
      <c r="C2348" s="26" t="inlineStr">
        <is>
          <t>S46-H동</t>
        </is>
      </c>
      <c r="D2348" s="47" t="n">
        <v>1</v>
      </c>
      <c r="E2348" s="26" t="inlineStr">
        <is>
          <t>측정</t>
        </is>
      </c>
      <c r="F2348" s="26" t="inlineStr">
        <is>
          <t>동</t>
        </is>
      </c>
      <c r="G2348" s="31" t="n">
        <v>1</v>
      </c>
      <c r="H2348" s="30" t="n"/>
      <c r="I2348" s="43" t="n"/>
      <c r="J2348" s="41" t="n"/>
      <c r="K2348" s="41" t="n"/>
      <c r="L2348" s="41" t="n"/>
      <c r="M2348" s="31">
        <f>IF(COUNT(J2348:L2348)=0,"",MEDIAN(J2348:L2348))</f>
        <v/>
      </c>
      <c r="N2348" s="26">
        <f>IF(COUNTIFS($C:$C,$C2348,$D:$D,$D2348,$E:$E,"P0(전)",$M:$M,"&gt;0")&lt;&gt;1,"P0(전) 유효 1개 아님",IF(COUNTIFS($C:$C,$C2348,$D:$D,$D2348,$E:$E,"P0(후)",$M:$M,"&gt;0")&lt;&gt;1,"P0(후) 유효 1개 아님",IF(NOT(AND(ISNUMBER(O2348),ISNUMBER(Q2348),ISNUMBER(I2348))),"시각 결측",IF(Q2348&lt;=O2348,"P0 시각 역전",IF(OR(I2348&lt;O2348,I2348&gt;Q2348),"측정시각 구간 밖","OK")))))</f>
        <v/>
      </c>
      <c r="O2348" s="48">
        <f>IF(COUNTIFS($C:$C,$C2348,$D:$D,$D2348,$E:$E,"P0(전)",$M:$M,"&gt;0")&lt;&gt;1,"",SUMIFS($I:$I,$C:$C,$C2348,$D:$D,$D2348,$E:$E,"P0(전)"))</f>
        <v/>
      </c>
      <c r="P2348" s="31">
        <f>IF(COUNTIFS($C:$C,$C2348,$D:$D,$D2348,$E:$E,"P0(전)",$M:$M,"&gt;0")&lt;&gt;1,"",SUMIFS($M:$M,$C:$C,$C2348,$D:$D,$D2348,$E:$E,"P0(전)"))</f>
        <v/>
      </c>
      <c r="Q2348" s="48">
        <f>IF(COUNTIFS($C:$C,$C2348,$D:$D,$D2348,$E:$E,"P0(후)",$M:$M,"&gt;0")&lt;&gt;1,"",SUMIFS($I:$I,$C:$C,$C2348,$D:$D,$D2348,$E:$E,"P0(후)"))</f>
        <v/>
      </c>
      <c r="R2348" s="31">
        <f>IF(COUNTIFS($C:$C,$C2348,$D:$D,$D2348,$E:$E,"P0(후)",$M:$M,"&gt;0")&lt;&gt;1,"",SUMIFS($M:$M,$C:$C,$C2348,$D:$D,$D2348,$E:$E,"P0(후)"))</f>
        <v/>
      </c>
      <c r="S2348" s="31">
        <f>IF(N2348&lt;&gt;"OK","",P2348+(R2348-P2348)*(I2348-O2348)/(Q2348-O2348))</f>
        <v/>
      </c>
      <c r="T2348" s="31">
        <f>IF(OR(N2348&lt;&gt;"OK",NOT(ISNUMBER(M2348))),"",M2348-S2348)</f>
        <v/>
      </c>
      <c r="U2348" s="49">
        <f>IF(OR(NOT(ISNUMBER(T2348)),IF(ISNUMBER(H2348),H2348,G2348)=0),"",T2348/IF(ISNUMBER(H2348),H2348,G2348))</f>
        <v/>
      </c>
      <c r="V2348" s="49">
        <f>IF(ISNUMBER(U2348),ABS(U2348),"")</f>
        <v/>
      </c>
      <c r="W2348" s="49">
        <f>IF(OR($E2347&lt;&gt;"측정",$C2347&lt;&gt;$C2348,$D2347&lt;&gt;$D2348,NOT(ISNUMBER(M2348)),NOT(ISNUMBER(M2347)),(IF(ISNUMBER(H2348),H2348,G2348)-IF(ISNUMBER(H2347),H2347,G2347))=0),"",(M2348-M2347)/(IF(ISNUMBER(H2348),H2348,G2348)-IF(ISNUMBER(H2347),H2347,G2347)))</f>
        <v/>
      </c>
      <c r="X2348" s="31">
        <f>IF(NOT(AND(ISNUMBER(O2348),ISNUMBER(Q2348))),"",(Q2348-O2348)*1440)</f>
        <v/>
      </c>
      <c r="Y2348" s="29" t="n"/>
      <c r="Z2348" s="29" t="n"/>
      <c r="AA2348" s="29" t="n"/>
      <c r="AB2348" s="32" t="n"/>
      <c r="AC2348" s="32" t="n"/>
    </row>
    <row r="2349">
      <c r="A2349" s="26" t="inlineStr">
        <is>
          <t>S46</t>
        </is>
      </c>
      <c r="B2349" s="26" t="inlineStr">
        <is>
          <t>화천</t>
        </is>
      </c>
      <c r="C2349" s="26" t="inlineStr">
        <is>
          <t>S46-H동</t>
        </is>
      </c>
      <c r="D2349" s="47" t="n">
        <v>1</v>
      </c>
      <c r="E2349" s="26" t="inlineStr">
        <is>
          <t>측정</t>
        </is>
      </c>
      <c r="F2349" s="26" t="inlineStr">
        <is>
          <t>동</t>
        </is>
      </c>
      <c r="G2349" s="31" t="n">
        <v>2</v>
      </c>
      <c r="H2349" s="30" t="n"/>
      <c r="I2349" s="43" t="n"/>
      <c r="J2349" s="41" t="n"/>
      <c r="K2349" s="41" t="n"/>
      <c r="L2349" s="41" t="n"/>
      <c r="M2349" s="31">
        <f>IF(COUNT(J2349:L2349)=0,"",MEDIAN(J2349:L2349))</f>
        <v/>
      </c>
      <c r="N2349" s="26">
        <f>IF(COUNTIFS($C:$C,$C2349,$D:$D,$D2349,$E:$E,"P0(전)",$M:$M,"&gt;0")&lt;&gt;1,"P0(전) 유효 1개 아님",IF(COUNTIFS($C:$C,$C2349,$D:$D,$D2349,$E:$E,"P0(후)",$M:$M,"&gt;0")&lt;&gt;1,"P0(후) 유효 1개 아님",IF(NOT(AND(ISNUMBER(O2349),ISNUMBER(Q2349),ISNUMBER(I2349))),"시각 결측",IF(Q2349&lt;=O2349,"P0 시각 역전",IF(OR(I2349&lt;O2349,I2349&gt;Q2349),"측정시각 구간 밖","OK")))))</f>
        <v/>
      </c>
      <c r="O2349" s="48">
        <f>IF(COUNTIFS($C:$C,$C2349,$D:$D,$D2349,$E:$E,"P0(전)",$M:$M,"&gt;0")&lt;&gt;1,"",SUMIFS($I:$I,$C:$C,$C2349,$D:$D,$D2349,$E:$E,"P0(전)"))</f>
        <v/>
      </c>
      <c r="P2349" s="31">
        <f>IF(COUNTIFS($C:$C,$C2349,$D:$D,$D2349,$E:$E,"P0(전)",$M:$M,"&gt;0")&lt;&gt;1,"",SUMIFS($M:$M,$C:$C,$C2349,$D:$D,$D2349,$E:$E,"P0(전)"))</f>
        <v/>
      </c>
      <c r="Q2349" s="48">
        <f>IF(COUNTIFS($C:$C,$C2349,$D:$D,$D2349,$E:$E,"P0(후)",$M:$M,"&gt;0")&lt;&gt;1,"",SUMIFS($I:$I,$C:$C,$C2349,$D:$D,$D2349,$E:$E,"P0(후)"))</f>
        <v/>
      </c>
      <c r="R2349" s="31">
        <f>IF(COUNTIFS($C:$C,$C2349,$D:$D,$D2349,$E:$E,"P0(후)",$M:$M,"&gt;0")&lt;&gt;1,"",SUMIFS($M:$M,$C:$C,$C2349,$D:$D,$D2349,$E:$E,"P0(후)"))</f>
        <v/>
      </c>
      <c r="S2349" s="31">
        <f>IF(N2349&lt;&gt;"OK","",P2349+(R2349-P2349)*(I2349-O2349)/(Q2349-O2349))</f>
        <v/>
      </c>
      <c r="T2349" s="31">
        <f>IF(OR(N2349&lt;&gt;"OK",NOT(ISNUMBER(M2349))),"",M2349-S2349)</f>
        <v/>
      </c>
      <c r="U2349" s="49">
        <f>IF(OR(NOT(ISNUMBER(T2349)),IF(ISNUMBER(H2349),H2349,G2349)=0),"",T2349/IF(ISNUMBER(H2349),H2349,G2349))</f>
        <v/>
      </c>
      <c r="V2349" s="49">
        <f>IF(ISNUMBER(U2349),ABS(U2349),"")</f>
        <v/>
      </c>
      <c r="W2349" s="49">
        <f>IF(OR($E2348&lt;&gt;"측정",$C2348&lt;&gt;$C2349,$D2348&lt;&gt;$D2349,NOT(ISNUMBER(M2349)),NOT(ISNUMBER(M2348)),(IF(ISNUMBER(H2349),H2349,G2349)-IF(ISNUMBER(H2348),H2348,G2348))=0),"",(M2349-M2348)/(IF(ISNUMBER(H2349),H2349,G2349)-IF(ISNUMBER(H2348),H2348,G2348)))</f>
        <v/>
      </c>
      <c r="X2349" s="31">
        <f>IF(NOT(AND(ISNUMBER(O2349),ISNUMBER(Q2349))),"",(Q2349-O2349)*1440)</f>
        <v/>
      </c>
      <c r="Y2349" s="29" t="n"/>
      <c r="Z2349" s="29" t="n"/>
      <c r="AA2349" s="29" t="n"/>
      <c r="AB2349" s="32" t="n"/>
      <c r="AC2349" s="32" t="n"/>
    </row>
    <row r="2350">
      <c r="A2350" s="26" t="inlineStr">
        <is>
          <t>S46</t>
        </is>
      </c>
      <c r="B2350" s="26" t="inlineStr">
        <is>
          <t>화천</t>
        </is>
      </c>
      <c r="C2350" s="26" t="inlineStr">
        <is>
          <t>S46-H동</t>
        </is>
      </c>
      <c r="D2350" s="47" t="n">
        <v>1</v>
      </c>
      <c r="E2350" s="26" t="inlineStr">
        <is>
          <t>측정</t>
        </is>
      </c>
      <c r="F2350" s="26" t="inlineStr">
        <is>
          <t>동</t>
        </is>
      </c>
      <c r="G2350" s="31" t="n">
        <v>3</v>
      </c>
      <c r="H2350" s="30" t="n"/>
      <c r="I2350" s="43" t="n"/>
      <c r="J2350" s="41" t="n"/>
      <c r="K2350" s="41" t="n"/>
      <c r="L2350" s="41" t="n"/>
      <c r="M2350" s="31">
        <f>IF(COUNT(J2350:L2350)=0,"",MEDIAN(J2350:L2350))</f>
        <v/>
      </c>
      <c r="N2350" s="26">
        <f>IF(COUNTIFS($C:$C,$C2350,$D:$D,$D2350,$E:$E,"P0(전)",$M:$M,"&gt;0")&lt;&gt;1,"P0(전) 유효 1개 아님",IF(COUNTIFS($C:$C,$C2350,$D:$D,$D2350,$E:$E,"P0(후)",$M:$M,"&gt;0")&lt;&gt;1,"P0(후) 유효 1개 아님",IF(NOT(AND(ISNUMBER(O2350),ISNUMBER(Q2350),ISNUMBER(I2350))),"시각 결측",IF(Q2350&lt;=O2350,"P0 시각 역전",IF(OR(I2350&lt;O2350,I2350&gt;Q2350),"측정시각 구간 밖","OK")))))</f>
        <v/>
      </c>
      <c r="O2350" s="48">
        <f>IF(COUNTIFS($C:$C,$C2350,$D:$D,$D2350,$E:$E,"P0(전)",$M:$M,"&gt;0")&lt;&gt;1,"",SUMIFS($I:$I,$C:$C,$C2350,$D:$D,$D2350,$E:$E,"P0(전)"))</f>
        <v/>
      </c>
      <c r="P2350" s="31">
        <f>IF(COUNTIFS($C:$C,$C2350,$D:$D,$D2350,$E:$E,"P0(전)",$M:$M,"&gt;0")&lt;&gt;1,"",SUMIFS($M:$M,$C:$C,$C2350,$D:$D,$D2350,$E:$E,"P0(전)"))</f>
        <v/>
      </c>
      <c r="Q2350" s="48">
        <f>IF(COUNTIFS($C:$C,$C2350,$D:$D,$D2350,$E:$E,"P0(후)",$M:$M,"&gt;0")&lt;&gt;1,"",SUMIFS($I:$I,$C:$C,$C2350,$D:$D,$D2350,$E:$E,"P0(후)"))</f>
        <v/>
      </c>
      <c r="R2350" s="31">
        <f>IF(COUNTIFS($C:$C,$C2350,$D:$D,$D2350,$E:$E,"P0(후)",$M:$M,"&gt;0")&lt;&gt;1,"",SUMIFS($M:$M,$C:$C,$C2350,$D:$D,$D2350,$E:$E,"P0(후)"))</f>
        <v/>
      </c>
      <c r="S2350" s="31">
        <f>IF(N2350&lt;&gt;"OK","",P2350+(R2350-P2350)*(I2350-O2350)/(Q2350-O2350))</f>
        <v/>
      </c>
      <c r="T2350" s="31">
        <f>IF(OR(N2350&lt;&gt;"OK",NOT(ISNUMBER(M2350))),"",M2350-S2350)</f>
        <v/>
      </c>
      <c r="U2350" s="49">
        <f>IF(OR(NOT(ISNUMBER(T2350)),IF(ISNUMBER(H2350),H2350,G2350)=0),"",T2350/IF(ISNUMBER(H2350),H2350,G2350))</f>
        <v/>
      </c>
      <c r="V2350" s="49">
        <f>IF(ISNUMBER(U2350),ABS(U2350),"")</f>
        <v/>
      </c>
      <c r="W2350" s="49">
        <f>IF(OR($E2349&lt;&gt;"측정",$C2349&lt;&gt;$C2350,$D2349&lt;&gt;$D2350,NOT(ISNUMBER(M2350)),NOT(ISNUMBER(M2349)),(IF(ISNUMBER(H2350),H2350,G2350)-IF(ISNUMBER(H2349),H2349,G2349))=0),"",(M2350-M2349)/(IF(ISNUMBER(H2350),H2350,G2350)-IF(ISNUMBER(H2349),H2349,G2349)))</f>
        <v/>
      </c>
      <c r="X2350" s="31">
        <f>IF(NOT(AND(ISNUMBER(O2350),ISNUMBER(Q2350))),"",(Q2350-O2350)*1440)</f>
        <v/>
      </c>
      <c r="Y2350" s="29" t="n"/>
      <c r="Z2350" s="29" t="n"/>
      <c r="AA2350" s="29" t="n"/>
      <c r="AB2350" s="32" t="n"/>
      <c r="AC2350" s="32" t="n"/>
    </row>
    <row r="2351">
      <c r="A2351" s="26" t="inlineStr">
        <is>
          <t>S46</t>
        </is>
      </c>
      <c r="B2351" s="26" t="inlineStr">
        <is>
          <t>화천</t>
        </is>
      </c>
      <c r="C2351" s="26" t="inlineStr">
        <is>
          <t>S46-H동</t>
        </is>
      </c>
      <c r="D2351" s="47" t="n">
        <v>1</v>
      </c>
      <c r="E2351" s="26" t="inlineStr">
        <is>
          <t>측정</t>
        </is>
      </c>
      <c r="F2351" s="26" t="inlineStr">
        <is>
          <t>동</t>
        </is>
      </c>
      <c r="G2351" s="31" t="n">
        <v>4</v>
      </c>
      <c r="H2351" s="30" t="n"/>
      <c r="I2351" s="43" t="n"/>
      <c r="J2351" s="41" t="n"/>
      <c r="K2351" s="41" t="n"/>
      <c r="L2351" s="41" t="n"/>
      <c r="M2351" s="31">
        <f>IF(COUNT(J2351:L2351)=0,"",MEDIAN(J2351:L2351))</f>
        <v/>
      </c>
      <c r="N2351" s="26">
        <f>IF(COUNTIFS($C:$C,$C2351,$D:$D,$D2351,$E:$E,"P0(전)",$M:$M,"&gt;0")&lt;&gt;1,"P0(전) 유효 1개 아님",IF(COUNTIFS($C:$C,$C2351,$D:$D,$D2351,$E:$E,"P0(후)",$M:$M,"&gt;0")&lt;&gt;1,"P0(후) 유효 1개 아님",IF(NOT(AND(ISNUMBER(O2351),ISNUMBER(Q2351),ISNUMBER(I2351))),"시각 결측",IF(Q2351&lt;=O2351,"P0 시각 역전",IF(OR(I2351&lt;O2351,I2351&gt;Q2351),"측정시각 구간 밖","OK")))))</f>
        <v/>
      </c>
      <c r="O2351" s="48">
        <f>IF(COUNTIFS($C:$C,$C2351,$D:$D,$D2351,$E:$E,"P0(전)",$M:$M,"&gt;0")&lt;&gt;1,"",SUMIFS($I:$I,$C:$C,$C2351,$D:$D,$D2351,$E:$E,"P0(전)"))</f>
        <v/>
      </c>
      <c r="P2351" s="31">
        <f>IF(COUNTIFS($C:$C,$C2351,$D:$D,$D2351,$E:$E,"P0(전)",$M:$M,"&gt;0")&lt;&gt;1,"",SUMIFS($M:$M,$C:$C,$C2351,$D:$D,$D2351,$E:$E,"P0(전)"))</f>
        <v/>
      </c>
      <c r="Q2351" s="48">
        <f>IF(COUNTIFS($C:$C,$C2351,$D:$D,$D2351,$E:$E,"P0(후)",$M:$M,"&gt;0")&lt;&gt;1,"",SUMIFS($I:$I,$C:$C,$C2351,$D:$D,$D2351,$E:$E,"P0(후)"))</f>
        <v/>
      </c>
      <c r="R2351" s="31">
        <f>IF(COUNTIFS($C:$C,$C2351,$D:$D,$D2351,$E:$E,"P0(후)",$M:$M,"&gt;0")&lt;&gt;1,"",SUMIFS($M:$M,$C:$C,$C2351,$D:$D,$D2351,$E:$E,"P0(후)"))</f>
        <v/>
      </c>
      <c r="S2351" s="31">
        <f>IF(N2351&lt;&gt;"OK","",P2351+(R2351-P2351)*(I2351-O2351)/(Q2351-O2351))</f>
        <v/>
      </c>
      <c r="T2351" s="31">
        <f>IF(OR(N2351&lt;&gt;"OK",NOT(ISNUMBER(M2351))),"",M2351-S2351)</f>
        <v/>
      </c>
      <c r="U2351" s="49">
        <f>IF(OR(NOT(ISNUMBER(T2351)),IF(ISNUMBER(H2351),H2351,G2351)=0),"",T2351/IF(ISNUMBER(H2351),H2351,G2351))</f>
        <v/>
      </c>
      <c r="V2351" s="49">
        <f>IF(ISNUMBER(U2351),ABS(U2351),"")</f>
        <v/>
      </c>
      <c r="W2351" s="49">
        <f>IF(OR($E2350&lt;&gt;"측정",$C2350&lt;&gt;$C2351,$D2350&lt;&gt;$D2351,NOT(ISNUMBER(M2351)),NOT(ISNUMBER(M2350)),(IF(ISNUMBER(H2351),H2351,G2351)-IF(ISNUMBER(H2350),H2350,G2350))=0),"",(M2351-M2350)/(IF(ISNUMBER(H2351),H2351,G2351)-IF(ISNUMBER(H2350),H2350,G2350)))</f>
        <v/>
      </c>
      <c r="X2351" s="31">
        <f>IF(NOT(AND(ISNUMBER(O2351),ISNUMBER(Q2351))),"",(Q2351-O2351)*1440)</f>
        <v/>
      </c>
      <c r="Y2351" s="29" t="n"/>
      <c r="Z2351" s="29" t="n"/>
      <c r="AA2351" s="29" t="n"/>
      <c r="AB2351" s="32" t="n"/>
      <c r="AC2351" s="32" t="n"/>
    </row>
    <row r="2352">
      <c r="A2352" s="26" t="inlineStr">
        <is>
          <t>S46</t>
        </is>
      </c>
      <c r="B2352" s="26" t="inlineStr">
        <is>
          <t>화천</t>
        </is>
      </c>
      <c r="C2352" s="26" t="inlineStr">
        <is>
          <t>S46-H동</t>
        </is>
      </c>
      <c r="D2352" s="47" t="n">
        <v>1</v>
      </c>
      <c r="E2352" s="26" t="inlineStr">
        <is>
          <t>측정</t>
        </is>
      </c>
      <c r="F2352" s="26" t="inlineStr">
        <is>
          <t>동</t>
        </is>
      </c>
      <c r="G2352" s="31" t="n">
        <v>5</v>
      </c>
      <c r="H2352" s="30" t="n"/>
      <c r="I2352" s="43" t="n"/>
      <c r="J2352" s="41" t="n"/>
      <c r="K2352" s="41" t="n"/>
      <c r="L2352" s="41" t="n"/>
      <c r="M2352" s="31">
        <f>IF(COUNT(J2352:L2352)=0,"",MEDIAN(J2352:L2352))</f>
        <v/>
      </c>
      <c r="N2352" s="26">
        <f>IF(COUNTIFS($C:$C,$C2352,$D:$D,$D2352,$E:$E,"P0(전)",$M:$M,"&gt;0")&lt;&gt;1,"P0(전) 유효 1개 아님",IF(COUNTIFS($C:$C,$C2352,$D:$D,$D2352,$E:$E,"P0(후)",$M:$M,"&gt;0")&lt;&gt;1,"P0(후) 유효 1개 아님",IF(NOT(AND(ISNUMBER(O2352),ISNUMBER(Q2352),ISNUMBER(I2352))),"시각 결측",IF(Q2352&lt;=O2352,"P0 시각 역전",IF(OR(I2352&lt;O2352,I2352&gt;Q2352),"측정시각 구간 밖","OK")))))</f>
        <v/>
      </c>
      <c r="O2352" s="48">
        <f>IF(COUNTIFS($C:$C,$C2352,$D:$D,$D2352,$E:$E,"P0(전)",$M:$M,"&gt;0")&lt;&gt;1,"",SUMIFS($I:$I,$C:$C,$C2352,$D:$D,$D2352,$E:$E,"P0(전)"))</f>
        <v/>
      </c>
      <c r="P2352" s="31">
        <f>IF(COUNTIFS($C:$C,$C2352,$D:$D,$D2352,$E:$E,"P0(전)",$M:$M,"&gt;0")&lt;&gt;1,"",SUMIFS($M:$M,$C:$C,$C2352,$D:$D,$D2352,$E:$E,"P0(전)"))</f>
        <v/>
      </c>
      <c r="Q2352" s="48">
        <f>IF(COUNTIFS($C:$C,$C2352,$D:$D,$D2352,$E:$E,"P0(후)",$M:$M,"&gt;0")&lt;&gt;1,"",SUMIFS($I:$I,$C:$C,$C2352,$D:$D,$D2352,$E:$E,"P0(후)"))</f>
        <v/>
      </c>
      <c r="R2352" s="31">
        <f>IF(COUNTIFS($C:$C,$C2352,$D:$D,$D2352,$E:$E,"P0(후)",$M:$M,"&gt;0")&lt;&gt;1,"",SUMIFS($M:$M,$C:$C,$C2352,$D:$D,$D2352,$E:$E,"P0(후)"))</f>
        <v/>
      </c>
      <c r="S2352" s="31">
        <f>IF(N2352&lt;&gt;"OK","",P2352+(R2352-P2352)*(I2352-O2352)/(Q2352-O2352))</f>
        <v/>
      </c>
      <c r="T2352" s="31">
        <f>IF(OR(N2352&lt;&gt;"OK",NOT(ISNUMBER(M2352))),"",M2352-S2352)</f>
        <v/>
      </c>
      <c r="U2352" s="49">
        <f>IF(OR(NOT(ISNUMBER(T2352)),IF(ISNUMBER(H2352),H2352,G2352)=0),"",T2352/IF(ISNUMBER(H2352),H2352,G2352))</f>
        <v/>
      </c>
      <c r="V2352" s="49">
        <f>IF(ISNUMBER(U2352),ABS(U2352),"")</f>
        <v/>
      </c>
      <c r="W2352" s="49">
        <f>IF(OR($E2351&lt;&gt;"측정",$C2351&lt;&gt;$C2352,$D2351&lt;&gt;$D2352,NOT(ISNUMBER(M2352)),NOT(ISNUMBER(M2351)),(IF(ISNUMBER(H2352),H2352,G2352)-IF(ISNUMBER(H2351),H2351,G2351))=0),"",(M2352-M2351)/(IF(ISNUMBER(H2352),H2352,G2352)-IF(ISNUMBER(H2351),H2351,G2351)))</f>
        <v/>
      </c>
      <c r="X2352" s="31">
        <f>IF(NOT(AND(ISNUMBER(O2352),ISNUMBER(Q2352))),"",(Q2352-O2352)*1440)</f>
        <v/>
      </c>
      <c r="Y2352" s="29" t="n"/>
      <c r="Z2352" s="29" t="n"/>
      <c r="AA2352" s="29" t="n"/>
      <c r="AB2352" s="32" t="n"/>
      <c r="AC2352" s="32" t="n"/>
    </row>
    <row r="2353">
      <c r="A2353" s="26" t="inlineStr">
        <is>
          <t>S46</t>
        </is>
      </c>
      <c r="B2353" s="26" t="inlineStr">
        <is>
          <t>화천</t>
        </is>
      </c>
      <c r="C2353" s="26" t="inlineStr">
        <is>
          <t>S46-H동</t>
        </is>
      </c>
      <c r="D2353" s="47" t="n">
        <v>1</v>
      </c>
      <c r="E2353" s="26" t="inlineStr">
        <is>
          <t>측정</t>
        </is>
      </c>
      <c r="F2353" s="26" t="inlineStr">
        <is>
          <t>동</t>
        </is>
      </c>
      <c r="G2353" s="31" t="n">
        <v>6</v>
      </c>
      <c r="H2353" s="30" t="n"/>
      <c r="I2353" s="43" t="n"/>
      <c r="J2353" s="41" t="n"/>
      <c r="K2353" s="41" t="n"/>
      <c r="L2353" s="41" t="n"/>
      <c r="M2353" s="31">
        <f>IF(COUNT(J2353:L2353)=0,"",MEDIAN(J2353:L2353))</f>
        <v/>
      </c>
      <c r="N2353" s="26">
        <f>IF(COUNTIFS($C:$C,$C2353,$D:$D,$D2353,$E:$E,"P0(전)",$M:$M,"&gt;0")&lt;&gt;1,"P0(전) 유효 1개 아님",IF(COUNTIFS($C:$C,$C2353,$D:$D,$D2353,$E:$E,"P0(후)",$M:$M,"&gt;0")&lt;&gt;1,"P0(후) 유효 1개 아님",IF(NOT(AND(ISNUMBER(O2353),ISNUMBER(Q2353),ISNUMBER(I2353))),"시각 결측",IF(Q2353&lt;=O2353,"P0 시각 역전",IF(OR(I2353&lt;O2353,I2353&gt;Q2353),"측정시각 구간 밖","OK")))))</f>
        <v/>
      </c>
      <c r="O2353" s="48">
        <f>IF(COUNTIFS($C:$C,$C2353,$D:$D,$D2353,$E:$E,"P0(전)",$M:$M,"&gt;0")&lt;&gt;1,"",SUMIFS($I:$I,$C:$C,$C2353,$D:$D,$D2353,$E:$E,"P0(전)"))</f>
        <v/>
      </c>
      <c r="P2353" s="31">
        <f>IF(COUNTIFS($C:$C,$C2353,$D:$D,$D2353,$E:$E,"P0(전)",$M:$M,"&gt;0")&lt;&gt;1,"",SUMIFS($M:$M,$C:$C,$C2353,$D:$D,$D2353,$E:$E,"P0(전)"))</f>
        <v/>
      </c>
      <c r="Q2353" s="48">
        <f>IF(COUNTIFS($C:$C,$C2353,$D:$D,$D2353,$E:$E,"P0(후)",$M:$M,"&gt;0")&lt;&gt;1,"",SUMIFS($I:$I,$C:$C,$C2353,$D:$D,$D2353,$E:$E,"P0(후)"))</f>
        <v/>
      </c>
      <c r="R2353" s="31">
        <f>IF(COUNTIFS($C:$C,$C2353,$D:$D,$D2353,$E:$E,"P0(후)",$M:$M,"&gt;0")&lt;&gt;1,"",SUMIFS($M:$M,$C:$C,$C2353,$D:$D,$D2353,$E:$E,"P0(후)"))</f>
        <v/>
      </c>
      <c r="S2353" s="31">
        <f>IF(N2353&lt;&gt;"OK","",P2353+(R2353-P2353)*(I2353-O2353)/(Q2353-O2353))</f>
        <v/>
      </c>
      <c r="T2353" s="31">
        <f>IF(OR(N2353&lt;&gt;"OK",NOT(ISNUMBER(M2353))),"",M2353-S2353)</f>
        <v/>
      </c>
      <c r="U2353" s="49">
        <f>IF(OR(NOT(ISNUMBER(T2353)),IF(ISNUMBER(H2353),H2353,G2353)=0),"",T2353/IF(ISNUMBER(H2353),H2353,G2353))</f>
        <v/>
      </c>
      <c r="V2353" s="49">
        <f>IF(ISNUMBER(U2353),ABS(U2353),"")</f>
        <v/>
      </c>
      <c r="W2353" s="49">
        <f>IF(OR($E2352&lt;&gt;"측정",$C2352&lt;&gt;$C2353,$D2352&lt;&gt;$D2353,NOT(ISNUMBER(M2353)),NOT(ISNUMBER(M2352)),(IF(ISNUMBER(H2353),H2353,G2353)-IF(ISNUMBER(H2352),H2352,G2352))=0),"",(M2353-M2352)/(IF(ISNUMBER(H2353),H2353,G2353)-IF(ISNUMBER(H2352),H2352,G2352)))</f>
        <v/>
      </c>
      <c r="X2353" s="31">
        <f>IF(NOT(AND(ISNUMBER(O2353),ISNUMBER(Q2353))),"",(Q2353-O2353)*1440)</f>
        <v/>
      </c>
      <c r="Y2353" s="29" t="n"/>
      <c r="Z2353" s="29" t="n"/>
      <c r="AA2353" s="29" t="n"/>
      <c r="AB2353" s="32" t="n"/>
      <c r="AC2353" s="32" t="n"/>
    </row>
    <row r="2354">
      <c r="A2354" s="26" t="inlineStr">
        <is>
          <t>S46</t>
        </is>
      </c>
      <c r="B2354" s="26" t="inlineStr">
        <is>
          <t>화천</t>
        </is>
      </c>
      <c r="C2354" s="26" t="inlineStr">
        <is>
          <t>S46-H동</t>
        </is>
      </c>
      <c r="D2354" s="47" t="n">
        <v>1</v>
      </c>
      <c r="E2354" s="26" t="inlineStr">
        <is>
          <t>측정</t>
        </is>
      </c>
      <c r="F2354" s="26" t="inlineStr">
        <is>
          <t>동</t>
        </is>
      </c>
      <c r="G2354" s="31" t="n">
        <v>7</v>
      </c>
      <c r="H2354" s="30" t="n"/>
      <c r="I2354" s="43" t="n"/>
      <c r="J2354" s="41" t="n"/>
      <c r="K2354" s="41" t="n"/>
      <c r="L2354" s="41" t="n"/>
      <c r="M2354" s="31">
        <f>IF(COUNT(J2354:L2354)=0,"",MEDIAN(J2354:L2354))</f>
        <v/>
      </c>
      <c r="N2354" s="26">
        <f>IF(COUNTIFS($C:$C,$C2354,$D:$D,$D2354,$E:$E,"P0(전)",$M:$M,"&gt;0")&lt;&gt;1,"P0(전) 유효 1개 아님",IF(COUNTIFS($C:$C,$C2354,$D:$D,$D2354,$E:$E,"P0(후)",$M:$M,"&gt;0")&lt;&gt;1,"P0(후) 유효 1개 아님",IF(NOT(AND(ISNUMBER(O2354),ISNUMBER(Q2354),ISNUMBER(I2354))),"시각 결측",IF(Q2354&lt;=O2354,"P0 시각 역전",IF(OR(I2354&lt;O2354,I2354&gt;Q2354),"측정시각 구간 밖","OK")))))</f>
        <v/>
      </c>
      <c r="O2354" s="48">
        <f>IF(COUNTIFS($C:$C,$C2354,$D:$D,$D2354,$E:$E,"P0(전)",$M:$M,"&gt;0")&lt;&gt;1,"",SUMIFS($I:$I,$C:$C,$C2354,$D:$D,$D2354,$E:$E,"P0(전)"))</f>
        <v/>
      </c>
      <c r="P2354" s="31">
        <f>IF(COUNTIFS($C:$C,$C2354,$D:$D,$D2354,$E:$E,"P0(전)",$M:$M,"&gt;0")&lt;&gt;1,"",SUMIFS($M:$M,$C:$C,$C2354,$D:$D,$D2354,$E:$E,"P0(전)"))</f>
        <v/>
      </c>
      <c r="Q2354" s="48">
        <f>IF(COUNTIFS($C:$C,$C2354,$D:$D,$D2354,$E:$E,"P0(후)",$M:$M,"&gt;0")&lt;&gt;1,"",SUMIFS($I:$I,$C:$C,$C2354,$D:$D,$D2354,$E:$E,"P0(후)"))</f>
        <v/>
      </c>
      <c r="R2354" s="31">
        <f>IF(COUNTIFS($C:$C,$C2354,$D:$D,$D2354,$E:$E,"P0(후)",$M:$M,"&gt;0")&lt;&gt;1,"",SUMIFS($M:$M,$C:$C,$C2354,$D:$D,$D2354,$E:$E,"P0(후)"))</f>
        <v/>
      </c>
      <c r="S2354" s="31">
        <f>IF(N2354&lt;&gt;"OK","",P2354+(R2354-P2354)*(I2354-O2354)/(Q2354-O2354))</f>
        <v/>
      </c>
      <c r="T2354" s="31">
        <f>IF(OR(N2354&lt;&gt;"OK",NOT(ISNUMBER(M2354))),"",M2354-S2354)</f>
        <v/>
      </c>
      <c r="U2354" s="49">
        <f>IF(OR(NOT(ISNUMBER(T2354)),IF(ISNUMBER(H2354),H2354,G2354)=0),"",T2354/IF(ISNUMBER(H2354),H2354,G2354))</f>
        <v/>
      </c>
      <c r="V2354" s="49">
        <f>IF(ISNUMBER(U2354),ABS(U2354),"")</f>
        <v/>
      </c>
      <c r="W2354" s="49">
        <f>IF(OR($E2353&lt;&gt;"측정",$C2353&lt;&gt;$C2354,$D2353&lt;&gt;$D2354,NOT(ISNUMBER(M2354)),NOT(ISNUMBER(M2353)),(IF(ISNUMBER(H2354),H2354,G2354)-IF(ISNUMBER(H2353),H2353,G2353))=0),"",(M2354-M2353)/(IF(ISNUMBER(H2354),H2354,G2354)-IF(ISNUMBER(H2353),H2353,G2353)))</f>
        <v/>
      </c>
      <c r="X2354" s="31">
        <f>IF(NOT(AND(ISNUMBER(O2354),ISNUMBER(Q2354))),"",(Q2354-O2354)*1440)</f>
        <v/>
      </c>
      <c r="Y2354" s="29" t="n"/>
      <c r="Z2354" s="29" t="n"/>
      <c r="AA2354" s="29" t="n"/>
      <c r="AB2354" s="32" t="n"/>
      <c r="AC2354" s="32" t="n"/>
    </row>
    <row r="2355">
      <c r="A2355" s="26" t="inlineStr">
        <is>
          <t>S46</t>
        </is>
      </c>
      <c r="B2355" s="26" t="inlineStr">
        <is>
          <t>화천</t>
        </is>
      </c>
      <c r="C2355" s="26" t="inlineStr">
        <is>
          <t>S46-H동</t>
        </is>
      </c>
      <c r="D2355" s="47" t="n">
        <v>1</v>
      </c>
      <c r="E2355" s="26" t="inlineStr">
        <is>
          <t>측정</t>
        </is>
      </c>
      <c r="F2355" s="26" t="inlineStr">
        <is>
          <t>동</t>
        </is>
      </c>
      <c r="G2355" s="31" t="n">
        <v>8</v>
      </c>
      <c r="H2355" s="30" t="n"/>
      <c r="I2355" s="43" t="n"/>
      <c r="J2355" s="41" t="n"/>
      <c r="K2355" s="41" t="n"/>
      <c r="L2355" s="41" t="n"/>
      <c r="M2355" s="31">
        <f>IF(COUNT(J2355:L2355)=0,"",MEDIAN(J2355:L2355))</f>
        <v/>
      </c>
      <c r="N2355" s="26">
        <f>IF(COUNTIFS($C:$C,$C2355,$D:$D,$D2355,$E:$E,"P0(전)",$M:$M,"&gt;0")&lt;&gt;1,"P0(전) 유효 1개 아님",IF(COUNTIFS($C:$C,$C2355,$D:$D,$D2355,$E:$E,"P0(후)",$M:$M,"&gt;0")&lt;&gt;1,"P0(후) 유효 1개 아님",IF(NOT(AND(ISNUMBER(O2355),ISNUMBER(Q2355),ISNUMBER(I2355))),"시각 결측",IF(Q2355&lt;=O2355,"P0 시각 역전",IF(OR(I2355&lt;O2355,I2355&gt;Q2355),"측정시각 구간 밖","OK")))))</f>
        <v/>
      </c>
      <c r="O2355" s="48">
        <f>IF(COUNTIFS($C:$C,$C2355,$D:$D,$D2355,$E:$E,"P0(전)",$M:$M,"&gt;0")&lt;&gt;1,"",SUMIFS($I:$I,$C:$C,$C2355,$D:$D,$D2355,$E:$E,"P0(전)"))</f>
        <v/>
      </c>
      <c r="P2355" s="31">
        <f>IF(COUNTIFS($C:$C,$C2355,$D:$D,$D2355,$E:$E,"P0(전)",$M:$M,"&gt;0")&lt;&gt;1,"",SUMIFS($M:$M,$C:$C,$C2355,$D:$D,$D2355,$E:$E,"P0(전)"))</f>
        <v/>
      </c>
      <c r="Q2355" s="48">
        <f>IF(COUNTIFS($C:$C,$C2355,$D:$D,$D2355,$E:$E,"P0(후)",$M:$M,"&gt;0")&lt;&gt;1,"",SUMIFS($I:$I,$C:$C,$C2355,$D:$D,$D2355,$E:$E,"P0(후)"))</f>
        <v/>
      </c>
      <c r="R2355" s="31">
        <f>IF(COUNTIFS($C:$C,$C2355,$D:$D,$D2355,$E:$E,"P0(후)",$M:$M,"&gt;0")&lt;&gt;1,"",SUMIFS($M:$M,$C:$C,$C2355,$D:$D,$D2355,$E:$E,"P0(후)"))</f>
        <v/>
      </c>
      <c r="S2355" s="31">
        <f>IF(N2355&lt;&gt;"OK","",P2355+(R2355-P2355)*(I2355-O2355)/(Q2355-O2355))</f>
        <v/>
      </c>
      <c r="T2355" s="31">
        <f>IF(OR(N2355&lt;&gt;"OK",NOT(ISNUMBER(M2355))),"",M2355-S2355)</f>
        <v/>
      </c>
      <c r="U2355" s="49">
        <f>IF(OR(NOT(ISNUMBER(T2355)),IF(ISNUMBER(H2355),H2355,G2355)=0),"",T2355/IF(ISNUMBER(H2355),H2355,G2355))</f>
        <v/>
      </c>
      <c r="V2355" s="49">
        <f>IF(ISNUMBER(U2355),ABS(U2355),"")</f>
        <v/>
      </c>
      <c r="W2355" s="49">
        <f>IF(OR($E2354&lt;&gt;"측정",$C2354&lt;&gt;$C2355,$D2354&lt;&gt;$D2355,NOT(ISNUMBER(M2355)),NOT(ISNUMBER(M2354)),(IF(ISNUMBER(H2355),H2355,G2355)-IF(ISNUMBER(H2354),H2354,G2354))=0),"",(M2355-M2354)/(IF(ISNUMBER(H2355),H2355,G2355)-IF(ISNUMBER(H2354),H2354,G2354)))</f>
        <v/>
      </c>
      <c r="X2355" s="31">
        <f>IF(NOT(AND(ISNUMBER(O2355),ISNUMBER(Q2355))),"",(Q2355-O2355)*1440)</f>
        <v/>
      </c>
      <c r="Y2355" s="29" t="n"/>
      <c r="Z2355" s="29" t="n"/>
      <c r="AA2355" s="29" t="n"/>
      <c r="AB2355" s="32" t="n"/>
      <c r="AC2355" s="32" t="n"/>
    </row>
    <row r="2356">
      <c r="A2356" s="26" t="inlineStr">
        <is>
          <t>S46</t>
        </is>
      </c>
      <c r="B2356" s="26" t="inlineStr">
        <is>
          <t>화천</t>
        </is>
      </c>
      <c r="C2356" s="26" t="inlineStr">
        <is>
          <t>S46-H동</t>
        </is>
      </c>
      <c r="D2356" s="47" t="n">
        <v>1</v>
      </c>
      <c r="E2356" s="26" t="inlineStr">
        <is>
          <t>측정</t>
        </is>
      </c>
      <c r="F2356" s="26" t="inlineStr">
        <is>
          <t>동</t>
        </is>
      </c>
      <c r="G2356" s="31" t="n">
        <v>9</v>
      </c>
      <c r="H2356" s="30" t="n"/>
      <c r="I2356" s="43" t="n"/>
      <c r="J2356" s="41" t="n"/>
      <c r="K2356" s="41" t="n"/>
      <c r="L2356" s="41" t="n"/>
      <c r="M2356" s="31">
        <f>IF(COUNT(J2356:L2356)=0,"",MEDIAN(J2356:L2356))</f>
        <v/>
      </c>
      <c r="N2356" s="26">
        <f>IF(COUNTIFS($C:$C,$C2356,$D:$D,$D2356,$E:$E,"P0(전)",$M:$M,"&gt;0")&lt;&gt;1,"P0(전) 유효 1개 아님",IF(COUNTIFS($C:$C,$C2356,$D:$D,$D2356,$E:$E,"P0(후)",$M:$M,"&gt;0")&lt;&gt;1,"P0(후) 유효 1개 아님",IF(NOT(AND(ISNUMBER(O2356),ISNUMBER(Q2356),ISNUMBER(I2356))),"시각 결측",IF(Q2356&lt;=O2356,"P0 시각 역전",IF(OR(I2356&lt;O2356,I2356&gt;Q2356),"측정시각 구간 밖","OK")))))</f>
        <v/>
      </c>
      <c r="O2356" s="48">
        <f>IF(COUNTIFS($C:$C,$C2356,$D:$D,$D2356,$E:$E,"P0(전)",$M:$M,"&gt;0")&lt;&gt;1,"",SUMIFS($I:$I,$C:$C,$C2356,$D:$D,$D2356,$E:$E,"P0(전)"))</f>
        <v/>
      </c>
      <c r="P2356" s="31">
        <f>IF(COUNTIFS($C:$C,$C2356,$D:$D,$D2356,$E:$E,"P0(전)",$M:$M,"&gt;0")&lt;&gt;1,"",SUMIFS($M:$M,$C:$C,$C2356,$D:$D,$D2356,$E:$E,"P0(전)"))</f>
        <v/>
      </c>
      <c r="Q2356" s="48">
        <f>IF(COUNTIFS($C:$C,$C2356,$D:$D,$D2356,$E:$E,"P0(후)",$M:$M,"&gt;0")&lt;&gt;1,"",SUMIFS($I:$I,$C:$C,$C2356,$D:$D,$D2356,$E:$E,"P0(후)"))</f>
        <v/>
      </c>
      <c r="R2356" s="31">
        <f>IF(COUNTIFS($C:$C,$C2356,$D:$D,$D2356,$E:$E,"P0(후)",$M:$M,"&gt;0")&lt;&gt;1,"",SUMIFS($M:$M,$C:$C,$C2356,$D:$D,$D2356,$E:$E,"P0(후)"))</f>
        <v/>
      </c>
      <c r="S2356" s="31">
        <f>IF(N2356&lt;&gt;"OK","",P2356+(R2356-P2356)*(I2356-O2356)/(Q2356-O2356))</f>
        <v/>
      </c>
      <c r="T2356" s="31">
        <f>IF(OR(N2356&lt;&gt;"OK",NOT(ISNUMBER(M2356))),"",M2356-S2356)</f>
        <v/>
      </c>
      <c r="U2356" s="49">
        <f>IF(OR(NOT(ISNUMBER(T2356)),IF(ISNUMBER(H2356),H2356,G2356)=0),"",T2356/IF(ISNUMBER(H2356),H2356,G2356))</f>
        <v/>
      </c>
      <c r="V2356" s="49">
        <f>IF(ISNUMBER(U2356),ABS(U2356),"")</f>
        <v/>
      </c>
      <c r="W2356" s="49">
        <f>IF(OR($E2355&lt;&gt;"측정",$C2355&lt;&gt;$C2356,$D2355&lt;&gt;$D2356,NOT(ISNUMBER(M2356)),NOT(ISNUMBER(M2355)),(IF(ISNUMBER(H2356),H2356,G2356)-IF(ISNUMBER(H2355),H2355,G2355))=0),"",(M2356-M2355)/(IF(ISNUMBER(H2356),H2356,G2356)-IF(ISNUMBER(H2355),H2355,G2355)))</f>
        <v/>
      </c>
      <c r="X2356" s="31">
        <f>IF(NOT(AND(ISNUMBER(O2356),ISNUMBER(Q2356))),"",(Q2356-O2356)*1440)</f>
        <v/>
      </c>
      <c r="Y2356" s="29" t="n"/>
      <c r="Z2356" s="29" t="n"/>
      <c r="AA2356" s="29" t="n"/>
      <c r="AB2356" s="32" t="n"/>
      <c r="AC2356" s="32" t="n"/>
    </row>
    <row r="2357">
      <c r="A2357" s="26" t="inlineStr">
        <is>
          <t>S46</t>
        </is>
      </c>
      <c r="B2357" s="26" t="inlineStr">
        <is>
          <t>화천</t>
        </is>
      </c>
      <c r="C2357" s="26" t="inlineStr">
        <is>
          <t>S46-H동</t>
        </is>
      </c>
      <c r="D2357" s="47" t="n">
        <v>1</v>
      </c>
      <c r="E2357" s="26" t="inlineStr">
        <is>
          <t>측정</t>
        </is>
      </c>
      <c r="F2357" s="26" t="inlineStr">
        <is>
          <t>동</t>
        </is>
      </c>
      <c r="G2357" s="31" t="n">
        <v>10</v>
      </c>
      <c r="H2357" s="30" t="n"/>
      <c r="I2357" s="43" t="n"/>
      <c r="J2357" s="41" t="n"/>
      <c r="K2357" s="41" t="n"/>
      <c r="L2357" s="41" t="n"/>
      <c r="M2357" s="31">
        <f>IF(COUNT(J2357:L2357)=0,"",MEDIAN(J2357:L2357))</f>
        <v/>
      </c>
      <c r="N2357" s="26">
        <f>IF(COUNTIFS($C:$C,$C2357,$D:$D,$D2357,$E:$E,"P0(전)",$M:$M,"&gt;0")&lt;&gt;1,"P0(전) 유효 1개 아님",IF(COUNTIFS($C:$C,$C2357,$D:$D,$D2357,$E:$E,"P0(후)",$M:$M,"&gt;0")&lt;&gt;1,"P0(후) 유효 1개 아님",IF(NOT(AND(ISNUMBER(O2357),ISNUMBER(Q2357),ISNUMBER(I2357))),"시각 결측",IF(Q2357&lt;=O2357,"P0 시각 역전",IF(OR(I2357&lt;O2357,I2357&gt;Q2357),"측정시각 구간 밖","OK")))))</f>
        <v/>
      </c>
      <c r="O2357" s="48">
        <f>IF(COUNTIFS($C:$C,$C2357,$D:$D,$D2357,$E:$E,"P0(전)",$M:$M,"&gt;0")&lt;&gt;1,"",SUMIFS($I:$I,$C:$C,$C2357,$D:$D,$D2357,$E:$E,"P0(전)"))</f>
        <v/>
      </c>
      <c r="P2357" s="31">
        <f>IF(COUNTIFS($C:$C,$C2357,$D:$D,$D2357,$E:$E,"P0(전)",$M:$M,"&gt;0")&lt;&gt;1,"",SUMIFS($M:$M,$C:$C,$C2357,$D:$D,$D2357,$E:$E,"P0(전)"))</f>
        <v/>
      </c>
      <c r="Q2357" s="48">
        <f>IF(COUNTIFS($C:$C,$C2357,$D:$D,$D2357,$E:$E,"P0(후)",$M:$M,"&gt;0")&lt;&gt;1,"",SUMIFS($I:$I,$C:$C,$C2357,$D:$D,$D2357,$E:$E,"P0(후)"))</f>
        <v/>
      </c>
      <c r="R2357" s="31">
        <f>IF(COUNTIFS($C:$C,$C2357,$D:$D,$D2357,$E:$E,"P0(후)",$M:$M,"&gt;0")&lt;&gt;1,"",SUMIFS($M:$M,$C:$C,$C2357,$D:$D,$D2357,$E:$E,"P0(후)"))</f>
        <v/>
      </c>
      <c r="S2357" s="31">
        <f>IF(N2357&lt;&gt;"OK","",P2357+(R2357-P2357)*(I2357-O2357)/(Q2357-O2357))</f>
        <v/>
      </c>
      <c r="T2357" s="31">
        <f>IF(OR(N2357&lt;&gt;"OK",NOT(ISNUMBER(M2357))),"",M2357-S2357)</f>
        <v/>
      </c>
      <c r="U2357" s="49">
        <f>IF(OR(NOT(ISNUMBER(T2357)),IF(ISNUMBER(H2357),H2357,G2357)=0),"",T2357/IF(ISNUMBER(H2357),H2357,G2357))</f>
        <v/>
      </c>
      <c r="V2357" s="49">
        <f>IF(ISNUMBER(U2357),ABS(U2357),"")</f>
        <v/>
      </c>
      <c r="W2357" s="49">
        <f>IF(OR($E2356&lt;&gt;"측정",$C2356&lt;&gt;$C2357,$D2356&lt;&gt;$D2357,NOT(ISNUMBER(M2357)),NOT(ISNUMBER(M2356)),(IF(ISNUMBER(H2357),H2357,G2357)-IF(ISNUMBER(H2356),H2356,G2356))=0),"",(M2357-M2356)/(IF(ISNUMBER(H2357),H2357,G2357)-IF(ISNUMBER(H2356),H2356,G2356)))</f>
        <v/>
      </c>
      <c r="X2357" s="31">
        <f>IF(NOT(AND(ISNUMBER(O2357),ISNUMBER(Q2357))),"",(Q2357-O2357)*1440)</f>
        <v/>
      </c>
      <c r="Y2357" s="29" t="n"/>
      <c r="Z2357" s="29" t="n"/>
      <c r="AA2357" s="29" t="n"/>
      <c r="AB2357" s="32" t="n"/>
      <c r="AC2357" s="32" t="n"/>
    </row>
    <row r="2358">
      <c r="A2358" s="44" t="inlineStr">
        <is>
          <t>S46</t>
        </is>
      </c>
      <c r="B2358" s="44" t="inlineStr">
        <is>
          <t>화천</t>
        </is>
      </c>
      <c r="C2358" s="44" t="inlineStr">
        <is>
          <t>S46-H동</t>
        </is>
      </c>
      <c r="D2358" s="45" t="n">
        <v>1</v>
      </c>
      <c r="E2358" s="44" t="inlineStr">
        <is>
          <t>P0(후)</t>
        </is>
      </c>
      <c r="F2358" s="44" t="inlineStr">
        <is>
          <t>동</t>
        </is>
      </c>
      <c r="G2358" s="46" t="n"/>
      <c r="H2358" s="30" t="n"/>
      <c r="I2358" s="43" t="n"/>
      <c r="J2358" s="41" t="n"/>
      <c r="K2358" s="41" t="n"/>
      <c r="L2358" s="41" t="n"/>
      <c r="M2358" s="31">
        <f>IF(COUNT(J2358:L2358)=0,"",MEDIAN(J2358:L2358))</f>
        <v/>
      </c>
      <c r="N2358" s="38" t="n"/>
      <c r="O2358" s="38" t="n"/>
      <c r="P2358" s="38" t="n"/>
      <c r="Q2358" s="38" t="n"/>
      <c r="R2358" s="38" t="n"/>
      <c r="S2358" s="38" t="n"/>
      <c r="T2358" s="38" t="n"/>
      <c r="U2358" s="38" t="n"/>
      <c r="V2358" s="38" t="n"/>
      <c r="W2358" s="38" t="n"/>
      <c r="X2358" s="38" t="n"/>
      <c r="Y2358" s="29" t="n"/>
      <c r="Z2358" s="29" t="n"/>
      <c r="AA2358" s="29" t="n"/>
      <c r="AB2358" s="32" t="n"/>
      <c r="AC2358" s="32" t="n"/>
    </row>
    <row r="2359">
      <c r="A2359" s="44" t="inlineStr">
        <is>
          <t>S46</t>
        </is>
      </c>
      <c r="B2359" s="44" t="inlineStr">
        <is>
          <t>화천</t>
        </is>
      </c>
      <c r="C2359" s="44" t="inlineStr">
        <is>
          <t>S46-H서</t>
        </is>
      </c>
      <c r="D2359" s="45" t="n">
        <v>1</v>
      </c>
      <c r="E2359" s="44" t="inlineStr">
        <is>
          <t>P0(전)</t>
        </is>
      </c>
      <c r="F2359" s="44" t="inlineStr">
        <is>
          <t>서</t>
        </is>
      </c>
      <c r="G2359" s="46" t="n"/>
      <c r="H2359" s="30" t="n"/>
      <c r="I2359" s="43" t="n"/>
      <c r="J2359" s="41" t="n"/>
      <c r="K2359" s="41" t="n"/>
      <c r="L2359" s="41" t="n"/>
      <c r="M2359" s="31">
        <f>IF(COUNT(J2359:L2359)=0,"",MEDIAN(J2359:L2359))</f>
        <v/>
      </c>
      <c r="N2359" s="38" t="n"/>
      <c r="O2359" s="38" t="n"/>
      <c r="P2359" s="38" t="n"/>
      <c r="Q2359" s="38" t="n"/>
      <c r="R2359" s="38" t="n"/>
      <c r="S2359" s="38" t="n"/>
      <c r="T2359" s="38" t="n"/>
      <c r="U2359" s="38" t="n"/>
      <c r="V2359" s="38" t="n"/>
      <c r="W2359" s="38" t="n"/>
      <c r="X2359" s="38" t="n"/>
      <c r="Y2359" s="29" t="n"/>
      <c r="Z2359" s="29" t="n"/>
      <c r="AA2359" s="29" t="n"/>
      <c r="AB2359" s="32" t="n"/>
      <c r="AC2359" s="32" t="n"/>
    </row>
    <row r="2360">
      <c r="A2360" s="26" t="inlineStr">
        <is>
          <t>S46</t>
        </is>
      </c>
      <c r="B2360" s="26" t="inlineStr">
        <is>
          <t>화천</t>
        </is>
      </c>
      <c r="C2360" s="26" t="inlineStr">
        <is>
          <t>S46-H서</t>
        </is>
      </c>
      <c r="D2360" s="47" t="n">
        <v>1</v>
      </c>
      <c r="E2360" s="26" t="inlineStr">
        <is>
          <t>측정</t>
        </is>
      </c>
      <c r="F2360" s="26" t="inlineStr">
        <is>
          <t>서</t>
        </is>
      </c>
      <c r="G2360" s="31" t="n">
        <v>0.5</v>
      </c>
      <c r="H2360" s="30" t="n"/>
      <c r="I2360" s="43" t="n"/>
      <c r="J2360" s="41" t="n"/>
      <c r="K2360" s="41" t="n"/>
      <c r="L2360" s="41" t="n"/>
      <c r="M2360" s="31">
        <f>IF(COUNT(J2360:L2360)=0,"",MEDIAN(J2360:L2360))</f>
        <v/>
      </c>
      <c r="N2360" s="26">
        <f>IF(COUNTIFS($C:$C,$C2360,$D:$D,$D2360,$E:$E,"P0(전)",$M:$M,"&gt;0")&lt;&gt;1,"P0(전) 유효 1개 아님",IF(COUNTIFS($C:$C,$C2360,$D:$D,$D2360,$E:$E,"P0(후)",$M:$M,"&gt;0")&lt;&gt;1,"P0(후) 유효 1개 아님",IF(NOT(AND(ISNUMBER(O2360),ISNUMBER(Q2360),ISNUMBER(I2360))),"시각 결측",IF(Q2360&lt;=O2360,"P0 시각 역전",IF(OR(I2360&lt;O2360,I2360&gt;Q2360),"측정시각 구간 밖","OK")))))</f>
        <v/>
      </c>
      <c r="O2360" s="48">
        <f>IF(COUNTIFS($C:$C,$C2360,$D:$D,$D2360,$E:$E,"P0(전)",$M:$M,"&gt;0")&lt;&gt;1,"",SUMIFS($I:$I,$C:$C,$C2360,$D:$D,$D2360,$E:$E,"P0(전)"))</f>
        <v/>
      </c>
      <c r="P2360" s="31">
        <f>IF(COUNTIFS($C:$C,$C2360,$D:$D,$D2360,$E:$E,"P0(전)",$M:$M,"&gt;0")&lt;&gt;1,"",SUMIFS($M:$M,$C:$C,$C2360,$D:$D,$D2360,$E:$E,"P0(전)"))</f>
        <v/>
      </c>
      <c r="Q2360" s="48">
        <f>IF(COUNTIFS($C:$C,$C2360,$D:$D,$D2360,$E:$E,"P0(후)",$M:$M,"&gt;0")&lt;&gt;1,"",SUMIFS($I:$I,$C:$C,$C2360,$D:$D,$D2360,$E:$E,"P0(후)"))</f>
        <v/>
      </c>
      <c r="R2360" s="31">
        <f>IF(COUNTIFS($C:$C,$C2360,$D:$D,$D2360,$E:$E,"P0(후)",$M:$M,"&gt;0")&lt;&gt;1,"",SUMIFS($M:$M,$C:$C,$C2360,$D:$D,$D2360,$E:$E,"P0(후)"))</f>
        <v/>
      </c>
      <c r="S2360" s="31">
        <f>IF(N2360&lt;&gt;"OK","",P2360+(R2360-P2360)*(I2360-O2360)/(Q2360-O2360))</f>
        <v/>
      </c>
      <c r="T2360" s="31">
        <f>IF(OR(N2360&lt;&gt;"OK",NOT(ISNUMBER(M2360))),"",M2360-S2360)</f>
        <v/>
      </c>
      <c r="U2360" s="49">
        <f>IF(OR(NOT(ISNUMBER(T2360)),IF(ISNUMBER(H2360),H2360,G2360)=0),"",T2360/IF(ISNUMBER(H2360),H2360,G2360))</f>
        <v/>
      </c>
      <c r="V2360" s="49">
        <f>IF(ISNUMBER(U2360),ABS(U2360),"")</f>
        <v/>
      </c>
      <c r="W2360" s="49">
        <f>IF(OR($E2359&lt;&gt;"측정",$C2359&lt;&gt;$C2360,$D2359&lt;&gt;$D2360,NOT(ISNUMBER(M2360)),NOT(ISNUMBER(M2359)),(IF(ISNUMBER(H2360),H2360,G2360)-IF(ISNUMBER(H2359),H2359,G2359))=0),"",(M2360-M2359)/(IF(ISNUMBER(H2360),H2360,G2360)-IF(ISNUMBER(H2359),H2359,G2359)))</f>
        <v/>
      </c>
      <c r="X2360" s="31">
        <f>IF(NOT(AND(ISNUMBER(O2360),ISNUMBER(Q2360))),"",(Q2360-O2360)*1440)</f>
        <v/>
      </c>
      <c r="Y2360" s="29" t="n"/>
      <c r="Z2360" s="29" t="n"/>
      <c r="AA2360" s="29" t="n"/>
      <c r="AB2360" s="32" t="n"/>
      <c r="AC2360" s="32" t="n"/>
    </row>
    <row r="2361">
      <c r="A2361" s="26" t="inlineStr">
        <is>
          <t>S46</t>
        </is>
      </c>
      <c r="B2361" s="26" t="inlineStr">
        <is>
          <t>화천</t>
        </is>
      </c>
      <c r="C2361" s="26" t="inlineStr">
        <is>
          <t>S46-H서</t>
        </is>
      </c>
      <c r="D2361" s="47" t="n">
        <v>1</v>
      </c>
      <c r="E2361" s="26" t="inlineStr">
        <is>
          <t>측정</t>
        </is>
      </c>
      <c r="F2361" s="26" t="inlineStr">
        <is>
          <t>서</t>
        </is>
      </c>
      <c r="G2361" s="31" t="n">
        <v>1</v>
      </c>
      <c r="H2361" s="30" t="n"/>
      <c r="I2361" s="43" t="n"/>
      <c r="J2361" s="41" t="n"/>
      <c r="K2361" s="41" t="n"/>
      <c r="L2361" s="41" t="n"/>
      <c r="M2361" s="31">
        <f>IF(COUNT(J2361:L2361)=0,"",MEDIAN(J2361:L2361))</f>
        <v/>
      </c>
      <c r="N2361" s="26">
        <f>IF(COUNTIFS($C:$C,$C2361,$D:$D,$D2361,$E:$E,"P0(전)",$M:$M,"&gt;0")&lt;&gt;1,"P0(전) 유효 1개 아님",IF(COUNTIFS($C:$C,$C2361,$D:$D,$D2361,$E:$E,"P0(후)",$M:$M,"&gt;0")&lt;&gt;1,"P0(후) 유효 1개 아님",IF(NOT(AND(ISNUMBER(O2361),ISNUMBER(Q2361),ISNUMBER(I2361))),"시각 결측",IF(Q2361&lt;=O2361,"P0 시각 역전",IF(OR(I2361&lt;O2361,I2361&gt;Q2361),"측정시각 구간 밖","OK")))))</f>
        <v/>
      </c>
      <c r="O2361" s="48">
        <f>IF(COUNTIFS($C:$C,$C2361,$D:$D,$D2361,$E:$E,"P0(전)",$M:$M,"&gt;0")&lt;&gt;1,"",SUMIFS($I:$I,$C:$C,$C2361,$D:$D,$D2361,$E:$E,"P0(전)"))</f>
        <v/>
      </c>
      <c r="P2361" s="31">
        <f>IF(COUNTIFS($C:$C,$C2361,$D:$D,$D2361,$E:$E,"P0(전)",$M:$M,"&gt;0")&lt;&gt;1,"",SUMIFS($M:$M,$C:$C,$C2361,$D:$D,$D2361,$E:$E,"P0(전)"))</f>
        <v/>
      </c>
      <c r="Q2361" s="48">
        <f>IF(COUNTIFS($C:$C,$C2361,$D:$D,$D2361,$E:$E,"P0(후)",$M:$M,"&gt;0")&lt;&gt;1,"",SUMIFS($I:$I,$C:$C,$C2361,$D:$D,$D2361,$E:$E,"P0(후)"))</f>
        <v/>
      </c>
      <c r="R2361" s="31">
        <f>IF(COUNTIFS($C:$C,$C2361,$D:$D,$D2361,$E:$E,"P0(후)",$M:$M,"&gt;0")&lt;&gt;1,"",SUMIFS($M:$M,$C:$C,$C2361,$D:$D,$D2361,$E:$E,"P0(후)"))</f>
        <v/>
      </c>
      <c r="S2361" s="31">
        <f>IF(N2361&lt;&gt;"OK","",P2361+(R2361-P2361)*(I2361-O2361)/(Q2361-O2361))</f>
        <v/>
      </c>
      <c r="T2361" s="31">
        <f>IF(OR(N2361&lt;&gt;"OK",NOT(ISNUMBER(M2361))),"",M2361-S2361)</f>
        <v/>
      </c>
      <c r="U2361" s="49">
        <f>IF(OR(NOT(ISNUMBER(T2361)),IF(ISNUMBER(H2361),H2361,G2361)=0),"",T2361/IF(ISNUMBER(H2361),H2361,G2361))</f>
        <v/>
      </c>
      <c r="V2361" s="49">
        <f>IF(ISNUMBER(U2361),ABS(U2361),"")</f>
        <v/>
      </c>
      <c r="W2361" s="49">
        <f>IF(OR($E2360&lt;&gt;"측정",$C2360&lt;&gt;$C2361,$D2360&lt;&gt;$D2361,NOT(ISNUMBER(M2361)),NOT(ISNUMBER(M2360)),(IF(ISNUMBER(H2361),H2361,G2361)-IF(ISNUMBER(H2360),H2360,G2360))=0),"",(M2361-M2360)/(IF(ISNUMBER(H2361),H2361,G2361)-IF(ISNUMBER(H2360),H2360,G2360)))</f>
        <v/>
      </c>
      <c r="X2361" s="31">
        <f>IF(NOT(AND(ISNUMBER(O2361),ISNUMBER(Q2361))),"",(Q2361-O2361)*1440)</f>
        <v/>
      </c>
      <c r="Y2361" s="29" t="n"/>
      <c r="Z2361" s="29" t="n"/>
      <c r="AA2361" s="29" t="n"/>
      <c r="AB2361" s="32" t="n"/>
      <c r="AC2361" s="32" t="n"/>
    </row>
    <row r="2362">
      <c r="A2362" s="26" t="inlineStr">
        <is>
          <t>S46</t>
        </is>
      </c>
      <c r="B2362" s="26" t="inlineStr">
        <is>
          <t>화천</t>
        </is>
      </c>
      <c r="C2362" s="26" t="inlineStr">
        <is>
          <t>S46-H서</t>
        </is>
      </c>
      <c r="D2362" s="47" t="n">
        <v>1</v>
      </c>
      <c r="E2362" s="26" t="inlineStr">
        <is>
          <t>측정</t>
        </is>
      </c>
      <c r="F2362" s="26" t="inlineStr">
        <is>
          <t>서</t>
        </is>
      </c>
      <c r="G2362" s="31" t="n">
        <v>2</v>
      </c>
      <c r="H2362" s="30" t="n"/>
      <c r="I2362" s="43" t="n"/>
      <c r="J2362" s="41" t="n"/>
      <c r="K2362" s="41" t="n"/>
      <c r="L2362" s="41" t="n"/>
      <c r="M2362" s="31">
        <f>IF(COUNT(J2362:L2362)=0,"",MEDIAN(J2362:L2362))</f>
        <v/>
      </c>
      <c r="N2362" s="26">
        <f>IF(COUNTIFS($C:$C,$C2362,$D:$D,$D2362,$E:$E,"P0(전)",$M:$M,"&gt;0")&lt;&gt;1,"P0(전) 유효 1개 아님",IF(COUNTIFS($C:$C,$C2362,$D:$D,$D2362,$E:$E,"P0(후)",$M:$M,"&gt;0")&lt;&gt;1,"P0(후) 유효 1개 아님",IF(NOT(AND(ISNUMBER(O2362),ISNUMBER(Q2362),ISNUMBER(I2362))),"시각 결측",IF(Q2362&lt;=O2362,"P0 시각 역전",IF(OR(I2362&lt;O2362,I2362&gt;Q2362),"측정시각 구간 밖","OK")))))</f>
        <v/>
      </c>
      <c r="O2362" s="48">
        <f>IF(COUNTIFS($C:$C,$C2362,$D:$D,$D2362,$E:$E,"P0(전)",$M:$M,"&gt;0")&lt;&gt;1,"",SUMIFS($I:$I,$C:$C,$C2362,$D:$D,$D2362,$E:$E,"P0(전)"))</f>
        <v/>
      </c>
      <c r="P2362" s="31">
        <f>IF(COUNTIFS($C:$C,$C2362,$D:$D,$D2362,$E:$E,"P0(전)",$M:$M,"&gt;0")&lt;&gt;1,"",SUMIFS($M:$M,$C:$C,$C2362,$D:$D,$D2362,$E:$E,"P0(전)"))</f>
        <v/>
      </c>
      <c r="Q2362" s="48">
        <f>IF(COUNTIFS($C:$C,$C2362,$D:$D,$D2362,$E:$E,"P0(후)",$M:$M,"&gt;0")&lt;&gt;1,"",SUMIFS($I:$I,$C:$C,$C2362,$D:$D,$D2362,$E:$E,"P0(후)"))</f>
        <v/>
      </c>
      <c r="R2362" s="31">
        <f>IF(COUNTIFS($C:$C,$C2362,$D:$D,$D2362,$E:$E,"P0(후)",$M:$M,"&gt;0")&lt;&gt;1,"",SUMIFS($M:$M,$C:$C,$C2362,$D:$D,$D2362,$E:$E,"P0(후)"))</f>
        <v/>
      </c>
      <c r="S2362" s="31">
        <f>IF(N2362&lt;&gt;"OK","",P2362+(R2362-P2362)*(I2362-O2362)/(Q2362-O2362))</f>
        <v/>
      </c>
      <c r="T2362" s="31">
        <f>IF(OR(N2362&lt;&gt;"OK",NOT(ISNUMBER(M2362))),"",M2362-S2362)</f>
        <v/>
      </c>
      <c r="U2362" s="49">
        <f>IF(OR(NOT(ISNUMBER(T2362)),IF(ISNUMBER(H2362),H2362,G2362)=0),"",T2362/IF(ISNUMBER(H2362),H2362,G2362))</f>
        <v/>
      </c>
      <c r="V2362" s="49">
        <f>IF(ISNUMBER(U2362),ABS(U2362),"")</f>
        <v/>
      </c>
      <c r="W2362" s="49">
        <f>IF(OR($E2361&lt;&gt;"측정",$C2361&lt;&gt;$C2362,$D2361&lt;&gt;$D2362,NOT(ISNUMBER(M2362)),NOT(ISNUMBER(M2361)),(IF(ISNUMBER(H2362),H2362,G2362)-IF(ISNUMBER(H2361),H2361,G2361))=0),"",(M2362-M2361)/(IF(ISNUMBER(H2362),H2362,G2362)-IF(ISNUMBER(H2361),H2361,G2361)))</f>
        <v/>
      </c>
      <c r="X2362" s="31">
        <f>IF(NOT(AND(ISNUMBER(O2362),ISNUMBER(Q2362))),"",(Q2362-O2362)*1440)</f>
        <v/>
      </c>
      <c r="Y2362" s="29" t="n"/>
      <c r="Z2362" s="29" t="n"/>
      <c r="AA2362" s="29" t="n"/>
      <c r="AB2362" s="32" t="n"/>
      <c r="AC2362" s="32" t="n"/>
    </row>
    <row r="2363">
      <c r="A2363" s="26" t="inlineStr">
        <is>
          <t>S46</t>
        </is>
      </c>
      <c r="B2363" s="26" t="inlineStr">
        <is>
          <t>화천</t>
        </is>
      </c>
      <c r="C2363" s="26" t="inlineStr">
        <is>
          <t>S46-H서</t>
        </is>
      </c>
      <c r="D2363" s="47" t="n">
        <v>1</v>
      </c>
      <c r="E2363" s="26" t="inlineStr">
        <is>
          <t>측정</t>
        </is>
      </c>
      <c r="F2363" s="26" t="inlineStr">
        <is>
          <t>서</t>
        </is>
      </c>
      <c r="G2363" s="31" t="n">
        <v>3</v>
      </c>
      <c r="H2363" s="30" t="n"/>
      <c r="I2363" s="43" t="n"/>
      <c r="J2363" s="41" t="n"/>
      <c r="K2363" s="41" t="n"/>
      <c r="L2363" s="41" t="n"/>
      <c r="M2363" s="31">
        <f>IF(COUNT(J2363:L2363)=0,"",MEDIAN(J2363:L2363))</f>
        <v/>
      </c>
      <c r="N2363" s="26">
        <f>IF(COUNTIFS($C:$C,$C2363,$D:$D,$D2363,$E:$E,"P0(전)",$M:$M,"&gt;0")&lt;&gt;1,"P0(전) 유효 1개 아님",IF(COUNTIFS($C:$C,$C2363,$D:$D,$D2363,$E:$E,"P0(후)",$M:$M,"&gt;0")&lt;&gt;1,"P0(후) 유효 1개 아님",IF(NOT(AND(ISNUMBER(O2363),ISNUMBER(Q2363),ISNUMBER(I2363))),"시각 결측",IF(Q2363&lt;=O2363,"P0 시각 역전",IF(OR(I2363&lt;O2363,I2363&gt;Q2363),"측정시각 구간 밖","OK")))))</f>
        <v/>
      </c>
      <c r="O2363" s="48">
        <f>IF(COUNTIFS($C:$C,$C2363,$D:$D,$D2363,$E:$E,"P0(전)",$M:$M,"&gt;0")&lt;&gt;1,"",SUMIFS($I:$I,$C:$C,$C2363,$D:$D,$D2363,$E:$E,"P0(전)"))</f>
        <v/>
      </c>
      <c r="P2363" s="31">
        <f>IF(COUNTIFS($C:$C,$C2363,$D:$D,$D2363,$E:$E,"P0(전)",$M:$M,"&gt;0")&lt;&gt;1,"",SUMIFS($M:$M,$C:$C,$C2363,$D:$D,$D2363,$E:$E,"P0(전)"))</f>
        <v/>
      </c>
      <c r="Q2363" s="48">
        <f>IF(COUNTIFS($C:$C,$C2363,$D:$D,$D2363,$E:$E,"P0(후)",$M:$M,"&gt;0")&lt;&gt;1,"",SUMIFS($I:$I,$C:$C,$C2363,$D:$D,$D2363,$E:$E,"P0(후)"))</f>
        <v/>
      </c>
      <c r="R2363" s="31">
        <f>IF(COUNTIFS($C:$C,$C2363,$D:$D,$D2363,$E:$E,"P0(후)",$M:$M,"&gt;0")&lt;&gt;1,"",SUMIFS($M:$M,$C:$C,$C2363,$D:$D,$D2363,$E:$E,"P0(후)"))</f>
        <v/>
      </c>
      <c r="S2363" s="31">
        <f>IF(N2363&lt;&gt;"OK","",P2363+(R2363-P2363)*(I2363-O2363)/(Q2363-O2363))</f>
        <v/>
      </c>
      <c r="T2363" s="31">
        <f>IF(OR(N2363&lt;&gt;"OK",NOT(ISNUMBER(M2363))),"",M2363-S2363)</f>
        <v/>
      </c>
      <c r="U2363" s="49">
        <f>IF(OR(NOT(ISNUMBER(T2363)),IF(ISNUMBER(H2363),H2363,G2363)=0),"",T2363/IF(ISNUMBER(H2363),H2363,G2363))</f>
        <v/>
      </c>
      <c r="V2363" s="49">
        <f>IF(ISNUMBER(U2363),ABS(U2363),"")</f>
        <v/>
      </c>
      <c r="W2363" s="49">
        <f>IF(OR($E2362&lt;&gt;"측정",$C2362&lt;&gt;$C2363,$D2362&lt;&gt;$D2363,NOT(ISNUMBER(M2363)),NOT(ISNUMBER(M2362)),(IF(ISNUMBER(H2363),H2363,G2363)-IF(ISNUMBER(H2362),H2362,G2362))=0),"",(M2363-M2362)/(IF(ISNUMBER(H2363),H2363,G2363)-IF(ISNUMBER(H2362),H2362,G2362)))</f>
        <v/>
      </c>
      <c r="X2363" s="31">
        <f>IF(NOT(AND(ISNUMBER(O2363),ISNUMBER(Q2363))),"",(Q2363-O2363)*1440)</f>
        <v/>
      </c>
      <c r="Y2363" s="29" t="n"/>
      <c r="Z2363" s="29" t="n"/>
      <c r="AA2363" s="29" t="n"/>
      <c r="AB2363" s="32" t="n"/>
      <c r="AC2363" s="32" t="n"/>
    </row>
    <row r="2364">
      <c r="A2364" s="26" t="inlineStr">
        <is>
          <t>S46</t>
        </is>
      </c>
      <c r="B2364" s="26" t="inlineStr">
        <is>
          <t>화천</t>
        </is>
      </c>
      <c r="C2364" s="26" t="inlineStr">
        <is>
          <t>S46-H서</t>
        </is>
      </c>
      <c r="D2364" s="47" t="n">
        <v>1</v>
      </c>
      <c r="E2364" s="26" t="inlineStr">
        <is>
          <t>측정</t>
        </is>
      </c>
      <c r="F2364" s="26" t="inlineStr">
        <is>
          <t>서</t>
        </is>
      </c>
      <c r="G2364" s="31" t="n">
        <v>4</v>
      </c>
      <c r="H2364" s="30" t="n"/>
      <c r="I2364" s="43" t="n"/>
      <c r="J2364" s="41" t="n"/>
      <c r="K2364" s="41" t="n"/>
      <c r="L2364" s="41" t="n"/>
      <c r="M2364" s="31">
        <f>IF(COUNT(J2364:L2364)=0,"",MEDIAN(J2364:L2364))</f>
        <v/>
      </c>
      <c r="N2364" s="26">
        <f>IF(COUNTIFS($C:$C,$C2364,$D:$D,$D2364,$E:$E,"P0(전)",$M:$M,"&gt;0")&lt;&gt;1,"P0(전) 유효 1개 아님",IF(COUNTIFS($C:$C,$C2364,$D:$D,$D2364,$E:$E,"P0(후)",$M:$M,"&gt;0")&lt;&gt;1,"P0(후) 유효 1개 아님",IF(NOT(AND(ISNUMBER(O2364),ISNUMBER(Q2364),ISNUMBER(I2364))),"시각 결측",IF(Q2364&lt;=O2364,"P0 시각 역전",IF(OR(I2364&lt;O2364,I2364&gt;Q2364),"측정시각 구간 밖","OK")))))</f>
        <v/>
      </c>
      <c r="O2364" s="48">
        <f>IF(COUNTIFS($C:$C,$C2364,$D:$D,$D2364,$E:$E,"P0(전)",$M:$M,"&gt;0")&lt;&gt;1,"",SUMIFS($I:$I,$C:$C,$C2364,$D:$D,$D2364,$E:$E,"P0(전)"))</f>
        <v/>
      </c>
      <c r="P2364" s="31">
        <f>IF(COUNTIFS($C:$C,$C2364,$D:$D,$D2364,$E:$E,"P0(전)",$M:$M,"&gt;0")&lt;&gt;1,"",SUMIFS($M:$M,$C:$C,$C2364,$D:$D,$D2364,$E:$E,"P0(전)"))</f>
        <v/>
      </c>
      <c r="Q2364" s="48">
        <f>IF(COUNTIFS($C:$C,$C2364,$D:$D,$D2364,$E:$E,"P0(후)",$M:$M,"&gt;0")&lt;&gt;1,"",SUMIFS($I:$I,$C:$C,$C2364,$D:$D,$D2364,$E:$E,"P0(후)"))</f>
        <v/>
      </c>
      <c r="R2364" s="31">
        <f>IF(COUNTIFS($C:$C,$C2364,$D:$D,$D2364,$E:$E,"P0(후)",$M:$M,"&gt;0")&lt;&gt;1,"",SUMIFS($M:$M,$C:$C,$C2364,$D:$D,$D2364,$E:$E,"P0(후)"))</f>
        <v/>
      </c>
      <c r="S2364" s="31">
        <f>IF(N2364&lt;&gt;"OK","",P2364+(R2364-P2364)*(I2364-O2364)/(Q2364-O2364))</f>
        <v/>
      </c>
      <c r="T2364" s="31">
        <f>IF(OR(N2364&lt;&gt;"OK",NOT(ISNUMBER(M2364))),"",M2364-S2364)</f>
        <v/>
      </c>
      <c r="U2364" s="49">
        <f>IF(OR(NOT(ISNUMBER(T2364)),IF(ISNUMBER(H2364),H2364,G2364)=0),"",T2364/IF(ISNUMBER(H2364),H2364,G2364))</f>
        <v/>
      </c>
      <c r="V2364" s="49">
        <f>IF(ISNUMBER(U2364),ABS(U2364),"")</f>
        <v/>
      </c>
      <c r="W2364" s="49">
        <f>IF(OR($E2363&lt;&gt;"측정",$C2363&lt;&gt;$C2364,$D2363&lt;&gt;$D2364,NOT(ISNUMBER(M2364)),NOT(ISNUMBER(M2363)),(IF(ISNUMBER(H2364),H2364,G2364)-IF(ISNUMBER(H2363),H2363,G2363))=0),"",(M2364-M2363)/(IF(ISNUMBER(H2364),H2364,G2364)-IF(ISNUMBER(H2363),H2363,G2363)))</f>
        <v/>
      </c>
      <c r="X2364" s="31">
        <f>IF(NOT(AND(ISNUMBER(O2364),ISNUMBER(Q2364))),"",(Q2364-O2364)*1440)</f>
        <v/>
      </c>
      <c r="Y2364" s="29" t="n"/>
      <c r="Z2364" s="29" t="n"/>
      <c r="AA2364" s="29" t="n"/>
      <c r="AB2364" s="32" t="n"/>
      <c r="AC2364" s="32" t="n"/>
    </row>
    <row r="2365">
      <c r="A2365" s="26" t="inlineStr">
        <is>
          <t>S46</t>
        </is>
      </c>
      <c r="B2365" s="26" t="inlineStr">
        <is>
          <t>화천</t>
        </is>
      </c>
      <c r="C2365" s="26" t="inlineStr">
        <is>
          <t>S46-H서</t>
        </is>
      </c>
      <c r="D2365" s="47" t="n">
        <v>1</v>
      </c>
      <c r="E2365" s="26" t="inlineStr">
        <is>
          <t>측정</t>
        </is>
      </c>
      <c r="F2365" s="26" t="inlineStr">
        <is>
          <t>서</t>
        </is>
      </c>
      <c r="G2365" s="31" t="n">
        <v>5</v>
      </c>
      <c r="H2365" s="30" t="n"/>
      <c r="I2365" s="43" t="n"/>
      <c r="J2365" s="41" t="n"/>
      <c r="K2365" s="41" t="n"/>
      <c r="L2365" s="41" t="n"/>
      <c r="M2365" s="31">
        <f>IF(COUNT(J2365:L2365)=0,"",MEDIAN(J2365:L2365))</f>
        <v/>
      </c>
      <c r="N2365" s="26">
        <f>IF(COUNTIFS($C:$C,$C2365,$D:$D,$D2365,$E:$E,"P0(전)",$M:$M,"&gt;0")&lt;&gt;1,"P0(전) 유효 1개 아님",IF(COUNTIFS($C:$C,$C2365,$D:$D,$D2365,$E:$E,"P0(후)",$M:$M,"&gt;0")&lt;&gt;1,"P0(후) 유효 1개 아님",IF(NOT(AND(ISNUMBER(O2365),ISNUMBER(Q2365),ISNUMBER(I2365))),"시각 결측",IF(Q2365&lt;=O2365,"P0 시각 역전",IF(OR(I2365&lt;O2365,I2365&gt;Q2365),"측정시각 구간 밖","OK")))))</f>
        <v/>
      </c>
      <c r="O2365" s="48">
        <f>IF(COUNTIFS($C:$C,$C2365,$D:$D,$D2365,$E:$E,"P0(전)",$M:$M,"&gt;0")&lt;&gt;1,"",SUMIFS($I:$I,$C:$C,$C2365,$D:$D,$D2365,$E:$E,"P0(전)"))</f>
        <v/>
      </c>
      <c r="P2365" s="31">
        <f>IF(COUNTIFS($C:$C,$C2365,$D:$D,$D2365,$E:$E,"P0(전)",$M:$M,"&gt;0")&lt;&gt;1,"",SUMIFS($M:$M,$C:$C,$C2365,$D:$D,$D2365,$E:$E,"P0(전)"))</f>
        <v/>
      </c>
      <c r="Q2365" s="48">
        <f>IF(COUNTIFS($C:$C,$C2365,$D:$D,$D2365,$E:$E,"P0(후)",$M:$M,"&gt;0")&lt;&gt;1,"",SUMIFS($I:$I,$C:$C,$C2365,$D:$D,$D2365,$E:$E,"P0(후)"))</f>
        <v/>
      </c>
      <c r="R2365" s="31">
        <f>IF(COUNTIFS($C:$C,$C2365,$D:$D,$D2365,$E:$E,"P0(후)",$M:$M,"&gt;0")&lt;&gt;1,"",SUMIFS($M:$M,$C:$C,$C2365,$D:$D,$D2365,$E:$E,"P0(후)"))</f>
        <v/>
      </c>
      <c r="S2365" s="31">
        <f>IF(N2365&lt;&gt;"OK","",P2365+(R2365-P2365)*(I2365-O2365)/(Q2365-O2365))</f>
        <v/>
      </c>
      <c r="T2365" s="31">
        <f>IF(OR(N2365&lt;&gt;"OK",NOT(ISNUMBER(M2365))),"",M2365-S2365)</f>
        <v/>
      </c>
      <c r="U2365" s="49">
        <f>IF(OR(NOT(ISNUMBER(T2365)),IF(ISNUMBER(H2365),H2365,G2365)=0),"",T2365/IF(ISNUMBER(H2365),H2365,G2365))</f>
        <v/>
      </c>
      <c r="V2365" s="49">
        <f>IF(ISNUMBER(U2365),ABS(U2365),"")</f>
        <v/>
      </c>
      <c r="W2365" s="49">
        <f>IF(OR($E2364&lt;&gt;"측정",$C2364&lt;&gt;$C2365,$D2364&lt;&gt;$D2365,NOT(ISNUMBER(M2365)),NOT(ISNUMBER(M2364)),(IF(ISNUMBER(H2365),H2365,G2365)-IF(ISNUMBER(H2364),H2364,G2364))=0),"",(M2365-M2364)/(IF(ISNUMBER(H2365),H2365,G2365)-IF(ISNUMBER(H2364),H2364,G2364)))</f>
        <v/>
      </c>
      <c r="X2365" s="31">
        <f>IF(NOT(AND(ISNUMBER(O2365),ISNUMBER(Q2365))),"",(Q2365-O2365)*1440)</f>
        <v/>
      </c>
      <c r="Y2365" s="29" t="n"/>
      <c r="Z2365" s="29" t="n"/>
      <c r="AA2365" s="29" t="n"/>
      <c r="AB2365" s="32" t="n"/>
      <c r="AC2365" s="32" t="n"/>
    </row>
    <row r="2366">
      <c r="A2366" s="26" t="inlineStr">
        <is>
          <t>S46</t>
        </is>
      </c>
      <c r="B2366" s="26" t="inlineStr">
        <is>
          <t>화천</t>
        </is>
      </c>
      <c r="C2366" s="26" t="inlineStr">
        <is>
          <t>S46-H서</t>
        </is>
      </c>
      <c r="D2366" s="47" t="n">
        <v>1</v>
      </c>
      <c r="E2366" s="26" t="inlineStr">
        <is>
          <t>측정</t>
        </is>
      </c>
      <c r="F2366" s="26" t="inlineStr">
        <is>
          <t>서</t>
        </is>
      </c>
      <c r="G2366" s="31" t="n">
        <v>6</v>
      </c>
      <c r="H2366" s="30" t="n"/>
      <c r="I2366" s="43" t="n"/>
      <c r="J2366" s="41" t="n"/>
      <c r="K2366" s="41" t="n"/>
      <c r="L2366" s="41" t="n"/>
      <c r="M2366" s="31">
        <f>IF(COUNT(J2366:L2366)=0,"",MEDIAN(J2366:L2366))</f>
        <v/>
      </c>
      <c r="N2366" s="26">
        <f>IF(COUNTIFS($C:$C,$C2366,$D:$D,$D2366,$E:$E,"P0(전)",$M:$M,"&gt;0")&lt;&gt;1,"P0(전) 유효 1개 아님",IF(COUNTIFS($C:$C,$C2366,$D:$D,$D2366,$E:$E,"P0(후)",$M:$M,"&gt;0")&lt;&gt;1,"P0(후) 유효 1개 아님",IF(NOT(AND(ISNUMBER(O2366),ISNUMBER(Q2366),ISNUMBER(I2366))),"시각 결측",IF(Q2366&lt;=O2366,"P0 시각 역전",IF(OR(I2366&lt;O2366,I2366&gt;Q2366),"측정시각 구간 밖","OK")))))</f>
        <v/>
      </c>
      <c r="O2366" s="48">
        <f>IF(COUNTIFS($C:$C,$C2366,$D:$D,$D2366,$E:$E,"P0(전)",$M:$M,"&gt;0")&lt;&gt;1,"",SUMIFS($I:$I,$C:$C,$C2366,$D:$D,$D2366,$E:$E,"P0(전)"))</f>
        <v/>
      </c>
      <c r="P2366" s="31">
        <f>IF(COUNTIFS($C:$C,$C2366,$D:$D,$D2366,$E:$E,"P0(전)",$M:$M,"&gt;0")&lt;&gt;1,"",SUMIFS($M:$M,$C:$C,$C2366,$D:$D,$D2366,$E:$E,"P0(전)"))</f>
        <v/>
      </c>
      <c r="Q2366" s="48">
        <f>IF(COUNTIFS($C:$C,$C2366,$D:$D,$D2366,$E:$E,"P0(후)",$M:$M,"&gt;0")&lt;&gt;1,"",SUMIFS($I:$I,$C:$C,$C2366,$D:$D,$D2366,$E:$E,"P0(후)"))</f>
        <v/>
      </c>
      <c r="R2366" s="31">
        <f>IF(COUNTIFS($C:$C,$C2366,$D:$D,$D2366,$E:$E,"P0(후)",$M:$M,"&gt;0")&lt;&gt;1,"",SUMIFS($M:$M,$C:$C,$C2366,$D:$D,$D2366,$E:$E,"P0(후)"))</f>
        <v/>
      </c>
      <c r="S2366" s="31">
        <f>IF(N2366&lt;&gt;"OK","",P2366+(R2366-P2366)*(I2366-O2366)/(Q2366-O2366))</f>
        <v/>
      </c>
      <c r="T2366" s="31">
        <f>IF(OR(N2366&lt;&gt;"OK",NOT(ISNUMBER(M2366))),"",M2366-S2366)</f>
        <v/>
      </c>
      <c r="U2366" s="49">
        <f>IF(OR(NOT(ISNUMBER(T2366)),IF(ISNUMBER(H2366),H2366,G2366)=0),"",T2366/IF(ISNUMBER(H2366),H2366,G2366))</f>
        <v/>
      </c>
      <c r="V2366" s="49">
        <f>IF(ISNUMBER(U2366),ABS(U2366),"")</f>
        <v/>
      </c>
      <c r="W2366" s="49">
        <f>IF(OR($E2365&lt;&gt;"측정",$C2365&lt;&gt;$C2366,$D2365&lt;&gt;$D2366,NOT(ISNUMBER(M2366)),NOT(ISNUMBER(M2365)),(IF(ISNUMBER(H2366),H2366,G2366)-IF(ISNUMBER(H2365),H2365,G2365))=0),"",(M2366-M2365)/(IF(ISNUMBER(H2366),H2366,G2366)-IF(ISNUMBER(H2365),H2365,G2365)))</f>
        <v/>
      </c>
      <c r="X2366" s="31">
        <f>IF(NOT(AND(ISNUMBER(O2366),ISNUMBER(Q2366))),"",(Q2366-O2366)*1440)</f>
        <v/>
      </c>
      <c r="Y2366" s="29" t="n"/>
      <c r="Z2366" s="29" t="n"/>
      <c r="AA2366" s="29" t="n"/>
      <c r="AB2366" s="32" t="n"/>
      <c r="AC2366" s="32" t="n"/>
    </row>
    <row r="2367">
      <c r="A2367" s="26" t="inlineStr">
        <is>
          <t>S46</t>
        </is>
      </c>
      <c r="B2367" s="26" t="inlineStr">
        <is>
          <t>화천</t>
        </is>
      </c>
      <c r="C2367" s="26" t="inlineStr">
        <is>
          <t>S46-H서</t>
        </is>
      </c>
      <c r="D2367" s="47" t="n">
        <v>1</v>
      </c>
      <c r="E2367" s="26" t="inlineStr">
        <is>
          <t>측정</t>
        </is>
      </c>
      <c r="F2367" s="26" t="inlineStr">
        <is>
          <t>서</t>
        </is>
      </c>
      <c r="G2367" s="31" t="n">
        <v>7</v>
      </c>
      <c r="H2367" s="30" t="n"/>
      <c r="I2367" s="43" t="n"/>
      <c r="J2367" s="41" t="n"/>
      <c r="K2367" s="41" t="n"/>
      <c r="L2367" s="41" t="n"/>
      <c r="M2367" s="31">
        <f>IF(COUNT(J2367:L2367)=0,"",MEDIAN(J2367:L2367))</f>
        <v/>
      </c>
      <c r="N2367" s="26">
        <f>IF(COUNTIFS($C:$C,$C2367,$D:$D,$D2367,$E:$E,"P0(전)",$M:$M,"&gt;0")&lt;&gt;1,"P0(전) 유효 1개 아님",IF(COUNTIFS($C:$C,$C2367,$D:$D,$D2367,$E:$E,"P0(후)",$M:$M,"&gt;0")&lt;&gt;1,"P0(후) 유효 1개 아님",IF(NOT(AND(ISNUMBER(O2367),ISNUMBER(Q2367),ISNUMBER(I2367))),"시각 결측",IF(Q2367&lt;=O2367,"P0 시각 역전",IF(OR(I2367&lt;O2367,I2367&gt;Q2367),"측정시각 구간 밖","OK")))))</f>
        <v/>
      </c>
      <c r="O2367" s="48">
        <f>IF(COUNTIFS($C:$C,$C2367,$D:$D,$D2367,$E:$E,"P0(전)",$M:$M,"&gt;0")&lt;&gt;1,"",SUMIFS($I:$I,$C:$C,$C2367,$D:$D,$D2367,$E:$E,"P0(전)"))</f>
        <v/>
      </c>
      <c r="P2367" s="31">
        <f>IF(COUNTIFS($C:$C,$C2367,$D:$D,$D2367,$E:$E,"P0(전)",$M:$M,"&gt;0")&lt;&gt;1,"",SUMIFS($M:$M,$C:$C,$C2367,$D:$D,$D2367,$E:$E,"P0(전)"))</f>
        <v/>
      </c>
      <c r="Q2367" s="48">
        <f>IF(COUNTIFS($C:$C,$C2367,$D:$D,$D2367,$E:$E,"P0(후)",$M:$M,"&gt;0")&lt;&gt;1,"",SUMIFS($I:$I,$C:$C,$C2367,$D:$D,$D2367,$E:$E,"P0(후)"))</f>
        <v/>
      </c>
      <c r="R2367" s="31">
        <f>IF(COUNTIFS($C:$C,$C2367,$D:$D,$D2367,$E:$E,"P0(후)",$M:$M,"&gt;0")&lt;&gt;1,"",SUMIFS($M:$M,$C:$C,$C2367,$D:$D,$D2367,$E:$E,"P0(후)"))</f>
        <v/>
      </c>
      <c r="S2367" s="31">
        <f>IF(N2367&lt;&gt;"OK","",P2367+(R2367-P2367)*(I2367-O2367)/(Q2367-O2367))</f>
        <v/>
      </c>
      <c r="T2367" s="31">
        <f>IF(OR(N2367&lt;&gt;"OK",NOT(ISNUMBER(M2367))),"",M2367-S2367)</f>
        <v/>
      </c>
      <c r="U2367" s="49">
        <f>IF(OR(NOT(ISNUMBER(T2367)),IF(ISNUMBER(H2367),H2367,G2367)=0),"",T2367/IF(ISNUMBER(H2367),H2367,G2367))</f>
        <v/>
      </c>
      <c r="V2367" s="49">
        <f>IF(ISNUMBER(U2367),ABS(U2367),"")</f>
        <v/>
      </c>
      <c r="W2367" s="49">
        <f>IF(OR($E2366&lt;&gt;"측정",$C2366&lt;&gt;$C2367,$D2366&lt;&gt;$D2367,NOT(ISNUMBER(M2367)),NOT(ISNUMBER(M2366)),(IF(ISNUMBER(H2367),H2367,G2367)-IF(ISNUMBER(H2366),H2366,G2366))=0),"",(M2367-M2366)/(IF(ISNUMBER(H2367),H2367,G2367)-IF(ISNUMBER(H2366),H2366,G2366)))</f>
        <v/>
      </c>
      <c r="X2367" s="31">
        <f>IF(NOT(AND(ISNUMBER(O2367),ISNUMBER(Q2367))),"",(Q2367-O2367)*1440)</f>
        <v/>
      </c>
      <c r="Y2367" s="29" t="n"/>
      <c r="Z2367" s="29" t="n"/>
      <c r="AA2367" s="29" t="n"/>
      <c r="AB2367" s="32" t="n"/>
      <c r="AC2367" s="32" t="n"/>
    </row>
    <row r="2368">
      <c r="A2368" s="26" t="inlineStr">
        <is>
          <t>S46</t>
        </is>
      </c>
      <c r="B2368" s="26" t="inlineStr">
        <is>
          <t>화천</t>
        </is>
      </c>
      <c r="C2368" s="26" t="inlineStr">
        <is>
          <t>S46-H서</t>
        </is>
      </c>
      <c r="D2368" s="47" t="n">
        <v>1</v>
      </c>
      <c r="E2368" s="26" t="inlineStr">
        <is>
          <t>측정</t>
        </is>
      </c>
      <c r="F2368" s="26" t="inlineStr">
        <is>
          <t>서</t>
        </is>
      </c>
      <c r="G2368" s="31" t="n">
        <v>8</v>
      </c>
      <c r="H2368" s="30" t="n"/>
      <c r="I2368" s="43" t="n"/>
      <c r="J2368" s="41" t="n"/>
      <c r="K2368" s="41" t="n"/>
      <c r="L2368" s="41" t="n"/>
      <c r="M2368" s="31">
        <f>IF(COUNT(J2368:L2368)=0,"",MEDIAN(J2368:L2368))</f>
        <v/>
      </c>
      <c r="N2368" s="26">
        <f>IF(COUNTIFS($C:$C,$C2368,$D:$D,$D2368,$E:$E,"P0(전)",$M:$M,"&gt;0")&lt;&gt;1,"P0(전) 유효 1개 아님",IF(COUNTIFS($C:$C,$C2368,$D:$D,$D2368,$E:$E,"P0(후)",$M:$M,"&gt;0")&lt;&gt;1,"P0(후) 유효 1개 아님",IF(NOT(AND(ISNUMBER(O2368),ISNUMBER(Q2368),ISNUMBER(I2368))),"시각 결측",IF(Q2368&lt;=O2368,"P0 시각 역전",IF(OR(I2368&lt;O2368,I2368&gt;Q2368),"측정시각 구간 밖","OK")))))</f>
        <v/>
      </c>
      <c r="O2368" s="48">
        <f>IF(COUNTIFS($C:$C,$C2368,$D:$D,$D2368,$E:$E,"P0(전)",$M:$M,"&gt;0")&lt;&gt;1,"",SUMIFS($I:$I,$C:$C,$C2368,$D:$D,$D2368,$E:$E,"P0(전)"))</f>
        <v/>
      </c>
      <c r="P2368" s="31">
        <f>IF(COUNTIFS($C:$C,$C2368,$D:$D,$D2368,$E:$E,"P0(전)",$M:$M,"&gt;0")&lt;&gt;1,"",SUMIFS($M:$M,$C:$C,$C2368,$D:$D,$D2368,$E:$E,"P0(전)"))</f>
        <v/>
      </c>
      <c r="Q2368" s="48">
        <f>IF(COUNTIFS($C:$C,$C2368,$D:$D,$D2368,$E:$E,"P0(후)",$M:$M,"&gt;0")&lt;&gt;1,"",SUMIFS($I:$I,$C:$C,$C2368,$D:$D,$D2368,$E:$E,"P0(후)"))</f>
        <v/>
      </c>
      <c r="R2368" s="31">
        <f>IF(COUNTIFS($C:$C,$C2368,$D:$D,$D2368,$E:$E,"P0(후)",$M:$M,"&gt;0")&lt;&gt;1,"",SUMIFS($M:$M,$C:$C,$C2368,$D:$D,$D2368,$E:$E,"P0(후)"))</f>
        <v/>
      </c>
      <c r="S2368" s="31">
        <f>IF(N2368&lt;&gt;"OK","",P2368+(R2368-P2368)*(I2368-O2368)/(Q2368-O2368))</f>
        <v/>
      </c>
      <c r="T2368" s="31">
        <f>IF(OR(N2368&lt;&gt;"OK",NOT(ISNUMBER(M2368))),"",M2368-S2368)</f>
        <v/>
      </c>
      <c r="U2368" s="49">
        <f>IF(OR(NOT(ISNUMBER(T2368)),IF(ISNUMBER(H2368),H2368,G2368)=0),"",T2368/IF(ISNUMBER(H2368),H2368,G2368))</f>
        <v/>
      </c>
      <c r="V2368" s="49">
        <f>IF(ISNUMBER(U2368),ABS(U2368),"")</f>
        <v/>
      </c>
      <c r="W2368" s="49">
        <f>IF(OR($E2367&lt;&gt;"측정",$C2367&lt;&gt;$C2368,$D2367&lt;&gt;$D2368,NOT(ISNUMBER(M2368)),NOT(ISNUMBER(M2367)),(IF(ISNUMBER(H2368),H2368,G2368)-IF(ISNUMBER(H2367),H2367,G2367))=0),"",(M2368-M2367)/(IF(ISNUMBER(H2368),H2368,G2368)-IF(ISNUMBER(H2367),H2367,G2367)))</f>
        <v/>
      </c>
      <c r="X2368" s="31">
        <f>IF(NOT(AND(ISNUMBER(O2368),ISNUMBER(Q2368))),"",(Q2368-O2368)*1440)</f>
        <v/>
      </c>
      <c r="Y2368" s="29" t="n"/>
      <c r="Z2368" s="29" t="n"/>
      <c r="AA2368" s="29" t="n"/>
      <c r="AB2368" s="32" t="n"/>
      <c r="AC2368" s="32" t="n"/>
    </row>
    <row r="2369">
      <c r="A2369" s="26" t="inlineStr">
        <is>
          <t>S46</t>
        </is>
      </c>
      <c r="B2369" s="26" t="inlineStr">
        <is>
          <t>화천</t>
        </is>
      </c>
      <c r="C2369" s="26" t="inlineStr">
        <is>
          <t>S46-H서</t>
        </is>
      </c>
      <c r="D2369" s="47" t="n">
        <v>1</v>
      </c>
      <c r="E2369" s="26" t="inlineStr">
        <is>
          <t>측정</t>
        </is>
      </c>
      <c r="F2369" s="26" t="inlineStr">
        <is>
          <t>서</t>
        </is>
      </c>
      <c r="G2369" s="31" t="n">
        <v>9</v>
      </c>
      <c r="H2369" s="30" t="n"/>
      <c r="I2369" s="43" t="n"/>
      <c r="J2369" s="41" t="n"/>
      <c r="K2369" s="41" t="n"/>
      <c r="L2369" s="41" t="n"/>
      <c r="M2369" s="31">
        <f>IF(COUNT(J2369:L2369)=0,"",MEDIAN(J2369:L2369))</f>
        <v/>
      </c>
      <c r="N2369" s="26">
        <f>IF(COUNTIFS($C:$C,$C2369,$D:$D,$D2369,$E:$E,"P0(전)",$M:$M,"&gt;0")&lt;&gt;1,"P0(전) 유효 1개 아님",IF(COUNTIFS($C:$C,$C2369,$D:$D,$D2369,$E:$E,"P0(후)",$M:$M,"&gt;0")&lt;&gt;1,"P0(후) 유효 1개 아님",IF(NOT(AND(ISNUMBER(O2369),ISNUMBER(Q2369),ISNUMBER(I2369))),"시각 결측",IF(Q2369&lt;=O2369,"P0 시각 역전",IF(OR(I2369&lt;O2369,I2369&gt;Q2369),"측정시각 구간 밖","OK")))))</f>
        <v/>
      </c>
      <c r="O2369" s="48">
        <f>IF(COUNTIFS($C:$C,$C2369,$D:$D,$D2369,$E:$E,"P0(전)",$M:$M,"&gt;0")&lt;&gt;1,"",SUMIFS($I:$I,$C:$C,$C2369,$D:$D,$D2369,$E:$E,"P0(전)"))</f>
        <v/>
      </c>
      <c r="P2369" s="31">
        <f>IF(COUNTIFS($C:$C,$C2369,$D:$D,$D2369,$E:$E,"P0(전)",$M:$M,"&gt;0")&lt;&gt;1,"",SUMIFS($M:$M,$C:$C,$C2369,$D:$D,$D2369,$E:$E,"P0(전)"))</f>
        <v/>
      </c>
      <c r="Q2369" s="48">
        <f>IF(COUNTIFS($C:$C,$C2369,$D:$D,$D2369,$E:$E,"P0(후)",$M:$M,"&gt;0")&lt;&gt;1,"",SUMIFS($I:$I,$C:$C,$C2369,$D:$D,$D2369,$E:$E,"P0(후)"))</f>
        <v/>
      </c>
      <c r="R2369" s="31">
        <f>IF(COUNTIFS($C:$C,$C2369,$D:$D,$D2369,$E:$E,"P0(후)",$M:$M,"&gt;0")&lt;&gt;1,"",SUMIFS($M:$M,$C:$C,$C2369,$D:$D,$D2369,$E:$E,"P0(후)"))</f>
        <v/>
      </c>
      <c r="S2369" s="31">
        <f>IF(N2369&lt;&gt;"OK","",P2369+(R2369-P2369)*(I2369-O2369)/(Q2369-O2369))</f>
        <v/>
      </c>
      <c r="T2369" s="31">
        <f>IF(OR(N2369&lt;&gt;"OK",NOT(ISNUMBER(M2369))),"",M2369-S2369)</f>
        <v/>
      </c>
      <c r="U2369" s="49">
        <f>IF(OR(NOT(ISNUMBER(T2369)),IF(ISNUMBER(H2369),H2369,G2369)=0),"",T2369/IF(ISNUMBER(H2369),H2369,G2369))</f>
        <v/>
      </c>
      <c r="V2369" s="49">
        <f>IF(ISNUMBER(U2369),ABS(U2369),"")</f>
        <v/>
      </c>
      <c r="W2369" s="49">
        <f>IF(OR($E2368&lt;&gt;"측정",$C2368&lt;&gt;$C2369,$D2368&lt;&gt;$D2369,NOT(ISNUMBER(M2369)),NOT(ISNUMBER(M2368)),(IF(ISNUMBER(H2369),H2369,G2369)-IF(ISNUMBER(H2368),H2368,G2368))=0),"",(M2369-M2368)/(IF(ISNUMBER(H2369),H2369,G2369)-IF(ISNUMBER(H2368),H2368,G2368)))</f>
        <v/>
      </c>
      <c r="X2369" s="31">
        <f>IF(NOT(AND(ISNUMBER(O2369),ISNUMBER(Q2369))),"",(Q2369-O2369)*1440)</f>
        <v/>
      </c>
      <c r="Y2369" s="29" t="n"/>
      <c r="Z2369" s="29" t="n"/>
      <c r="AA2369" s="29" t="n"/>
      <c r="AB2369" s="32" t="n"/>
      <c r="AC2369" s="32" t="n"/>
    </row>
    <row r="2370">
      <c r="A2370" s="26" t="inlineStr">
        <is>
          <t>S46</t>
        </is>
      </c>
      <c r="B2370" s="26" t="inlineStr">
        <is>
          <t>화천</t>
        </is>
      </c>
      <c r="C2370" s="26" t="inlineStr">
        <is>
          <t>S46-H서</t>
        </is>
      </c>
      <c r="D2370" s="47" t="n">
        <v>1</v>
      </c>
      <c r="E2370" s="26" t="inlineStr">
        <is>
          <t>측정</t>
        </is>
      </c>
      <c r="F2370" s="26" t="inlineStr">
        <is>
          <t>서</t>
        </is>
      </c>
      <c r="G2370" s="31" t="n">
        <v>10</v>
      </c>
      <c r="H2370" s="30" t="n"/>
      <c r="I2370" s="43" t="n"/>
      <c r="J2370" s="41" t="n"/>
      <c r="K2370" s="41" t="n"/>
      <c r="L2370" s="41" t="n"/>
      <c r="M2370" s="31">
        <f>IF(COUNT(J2370:L2370)=0,"",MEDIAN(J2370:L2370))</f>
        <v/>
      </c>
      <c r="N2370" s="26">
        <f>IF(COUNTIFS($C:$C,$C2370,$D:$D,$D2370,$E:$E,"P0(전)",$M:$M,"&gt;0")&lt;&gt;1,"P0(전) 유효 1개 아님",IF(COUNTIFS($C:$C,$C2370,$D:$D,$D2370,$E:$E,"P0(후)",$M:$M,"&gt;0")&lt;&gt;1,"P0(후) 유효 1개 아님",IF(NOT(AND(ISNUMBER(O2370),ISNUMBER(Q2370),ISNUMBER(I2370))),"시각 결측",IF(Q2370&lt;=O2370,"P0 시각 역전",IF(OR(I2370&lt;O2370,I2370&gt;Q2370),"측정시각 구간 밖","OK")))))</f>
        <v/>
      </c>
      <c r="O2370" s="48">
        <f>IF(COUNTIFS($C:$C,$C2370,$D:$D,$D2370,$E:$E,"P0(전)",$M:$M,"&gt;0")&lt;&gt;1,"",SUMIFS($I:$I,$C:$C,$C2370,$D:$D,$D2370,$E:$E,"P0(전)"))</f>
        <v/>
      </c>
      <c r="P2370" s="31">
        <f>IF(COUNTIFS($C:$C,$C2370,$D:$D,$D2370,$E:$E,"P0(전)",$M:$M,"&gt;0")&lt;&gt;1,"",SUMIFS($M:$M,$C:$C,$C2370,$D:$D,$D2370,$E:$E,"P0(전)"))</f>
        <v/>
      </c>
      <c r="Q2370" s="48">
        <f>IF(COUNTIFS($C:$C,$C2370,$D:$D,$D2370,$E:$E,"P0(후)",$M:$M,"&gt;0")&lt;&gt;1,"",SUMIFS($I:$I,$C:$C,$C2370,$D:$D,$D2370,$E:$E,"P0(후)"))</f>
        <v/>
      </c>
      <c r="R2370" s="31">
        <f>IF(COUNTIFS($C:$C,$C2370,$D:$D,$D2370,$E:$E,"P0(후)",$M:$M,"&gt;0")&lt;&gt;1,"",SUMIFS($M:$M,$C:$C,$C2370,$D:$D,$D2370,$E:$E,"P0(후)"))</f>
        <v/>
      </c>
      <c r="S2370" s="31">
        <f>IF(N2370&lt;&gt;"OK","",P2370+(R2370-P2370)*(I2370-O2370)/(Q2370-O2370))</f>
        <v/>
      </c>
      <c r="T2370" s="31">
        <f>IF(OR(N2370&lt;&gt;"OK",NOT(ISNUMBER(M2370))),"",M2370-S2370)</f>
        <v/>
      </c>
      <c r="U2370" s="49">
        <f>IF(OR(NOT(ISNUMBER(T2370)),IF(ISNUMBER(H2370),H2370,G2370)=0),"",T2370/IF(ISNUMBER(H2370),H2370,G2370))</f>
        <v/>
      </c>
      <c r="V2370" s="49">
        <f>IF(ISNUMBER(U2370),ABS(U2370),"")</f>
        <v/>
      </c>
      <c r="W2370" s="49">
        <f>IF(OR($E2369&lt;&gt;"측정",$C2369&lt;&gt;$C2370,$D2369&lt;&gt;$D2370,NOT(ISNUMBER(M2370)),NOT(ISNUMBER(M2369)),(IF(ISNUMBER(H2370),H2370,G2370)-IF(ISNUMBER(H2369),H2369,G2369))=0),"",(M2370-M2369)/(IF(ISNUMBER(H2370),H2370,G2370)-IF(ISNUMBER(H2369),H2369,G2369)))</f>
        <v/>
      </c>
      <c r="X2370" s="31">
        <f>IF(NOT(AND(ISNUMBER(O2370),ISNUMBER(Q2370))),"",(Q2370-O2370)*1440)</f>
        <v/>
      </c>
      <c r="Y2370" s="29" t="n"/>
      <c r="Z2370" s="29" t="n"/>
      <c r="AA2370" s="29" t="n"/>
      <c r="AB2370" s="32" t="n"/>
      <c r="AC2370" s="32" t="n"/>
    </row>
    <row r="2371">
      <c r="A2371" s="44" t="inlineStr">
        <is>
          <t>S46</t>
        </is>
      </c>
      <c r="B2371" s="44" t="inlineStr">
        <is>
          <t>화천</t>
        </is>
      </c>
      <c r="C2371" s="44" t="inlineStr">
        <is>
          <t>S46-H서</t>
        </is>
      </c>
      <c r="D2371" s="45" t="n">
        <v>1</v>
      </c>
      <c r="E2371" s="44" t="inlineStr">
        <is>
          <t>P0(후)</t>
        </is>
      </c>
      <c r="F2371" s="44" t="inlineStr">
        <is>
          <t>서</t>
        </is>
      </c>
      <c r="G2371" s="46" t="n"/>
      <c r="H2371" s="30" t="n"/>
      <c r="I2371" s="43" t="n"/>
      <c r="J2371" s="41" t="n"/>
      <c r="K2371" s="41" t="n"/>
      <c r="L2371" s="41" t="n"/>
      <c r="M2371" s="31">
        <f>IF(COUNT(J2371:L2371)=0,"",MEDIAN(J2371:L2371))</f>
        <v/>
      </c>
      <c r="N2371" s="38" t="n"/>
      <c r="O2371" s="38" t="n"/>
      <c r="P2371" s="38" t="n"/>
      <c r="Q2371" s="38" t="n"/>
      <c r="R2371" s="38" t="n"/>
      <c r="S2371" s="38" t="n"/>
      <c r="T2371" s="38" t="n"/>
      <c r="U2371" s="38" t="n"/>
      <c r="V2371" s="38" t="n"/>
      <c r="W2371" s="38" t="n"/>
      <c r="X2371" s="38" t="n"/>
      <c r="Y2371" s="29" t="n"/>
      <c r="Z2371" s="29" t="n"/>
      <c r="AA2371" s="29" t="n"/>
      <c r="AB2371" s="32" t="n"/>
      <c r="AC2371" s="32" t="n"/>
    </row>
    <row r="2372">
      <c r="A2372" s="44" t="inlineStr">
        <is>
          <t>S46</t>
        </is>
      </c>
      <c r="B2372" s="44" t="inlineStr">
        <is>
          <t>화천</t>
        </is>
      </c>
      <c r="C2372" s="44" t="inlineStr">
        <is>
          <t>S46-H남</t>
        </is>
      </c>
      <c r="D2372" s="45" t="n">
        <v>1</v>
      </c>
      <c r="E2372" s="44" t="inlineStr">
        <is>
          <t>P0(전)</t>
        </is>
      </c>
      <c r="F2372" s="44" t="inlineStr">
        <is>
          <t>남</t>
        </is>
      </c>
      <c r="G2372" s="46" t="n"/>
      <c r="H2372" s="30" t="n"/>
      <c r="I2372" s="43" t="n"/>
      <c r="J2372" s="41" t="n"/>
      <c r="K2372" s="41" t="n"/>
      <c r="L2372" s="41" t="n"/>
      <c r="M2372" s="31">
        <f>IF(COUNT(J2372:L2372)=0,"",MEDIAN(J2372:L2372))</f>
        <v/>
      </c>
      <c r="N2372" s="38" t="n"/>
      <c r="O2372" s="38" t="n"/>
      <c r="P2372" s="38" t="n"/>
      <c r="Q2372" s="38" t="n"/>
      <c r="R2372" s="38" t="n"/>
      <c r="S2372" s="38" t="n"/>
      <c r="T2372" s="38" t="n"/>
      <c r="U2372" s="38" t="n"/>
      <c r="V2372" s="38" t="n"/>
      <c r="W2372" s="38" t="n"/>
      <c r="X2372" s="38" t="n"/>
      <c r="Y2372" s="29" t="n"/>
      <c r="Z2372" s="29" t="n"/>
      <c r="AA2372" s="29" t="n"/>
      <c r="AB2372" s="32" t="n"/>
      <c r="AC2372" s="32" t="n"/>
    </row>
    <row r="2373">
      <c r="A2373" s="26" t="inlineStr">
        <is>
          <t>S46</t>
        </is>
      </c>
      <c r="B2373" s="26" t="inlineStr">
        <is>
          <t>화천</t>
        </is>
      </c>
      <c r="C2373" s="26" t="inlineStr">
        <is>
          <t>S46-H남</t>
        </is>
      </c>
      <c r="D2373" s="47" t="n">
        <v>1</v>
      </c>
      <c r="E2373" s="26" t="inlineStr">
        <is>
          <t>측정</t>
        </is>
      </c>
      <c r="F2373" s="26" t="inlineStr">
        <is>
          <t>남</t>
        </is>
      </c>
      <c r="G2373" s="31" t="n">
        <v>0.5</v>
      </c>
      <c r="H2373" s="30" t="n"/>
      <c r="I2373" s="43" t="n"/>
      <c r="J2373" s="41" t="n"/>
      <c r="K2373" s="41" t="n"/>
      <c r="L2373" s="41" t="n"/>
      <c r="M2373" s="31">
        <f>IF(COUNT(J2373:L2373)=0,"",MEDIAN(J2373:L2373))</f>
        <v/>
      </c>
      <c r="N2373" s="26">
        <f>IF(COUNTIFS($C:$C,$C2373,$D:$D,$D2373,$E:$E,"P0(전)",$M:$M,"&gt;0")&lt;&gt;1,"P0(전) 유효 1개 아님",IF(COUNTIFS($C:$C,$C2373,$D:$D,$D2373,$E:$E,"P0(후)",$M:$M,"&gt;0")&lt;&gt;1,"P0(후) 유효 1개 아님",IF(NOT(AND(ISNUMBER(O2373),ISNUMBER(Q2373),ISNUMBER(I2373))),"시각 결측",IF(Q2373&lt;=O2373,"P0 시각 역전",IF(OR(I2373&lt;O2373,I2373&gt;Q2373),"측정시각 구간 밖","OK")))))</f>
        <v/>
      </c>
      <c r="O2373" s="48">
        <f>IF(COUNTIFS($C:$C,$C2373,$D:$D,$D2373,$E:$E,"P0(전)",$M:$M,"&gt;0")&lt;&gt;1,"",SUMIFS($I:$I,$C:$C,$C2373,$D:$D,$D2373,$E:$E,"P0(전)"))</f>
        <v/>
      </c>
      <c r="P2373" s="31">
        <f>IF(COUNTIFS($C:$C,$C2373,$D:$D,$D2373,$E:$E,"P0(전)",$M:$M,"&gt;0")&lt;&gt;1,"",SUMIFS($M:$M,$C:$C,$C2373,$D:$D,$D2373,$E:$E,"P0(전)"))</f>
        <v/>
      </c>
      <c r="Q2373" s="48">
        <f>IF(COUNTIFS($C:$C,$C2373,$D:$D,$D2373,$E:$E,"P0(후)",$M:$M,"&gt;0")&lt;&gt;1,"",SUMIFS($I:$I,$C:$C,$C2373,$D:$D,$D2373,$E:$E,"P0(후)"))</f>
        <v/>
      </c>
      <c r="R2373" s="31">
        <f>IF(COUNTIFS($C:$C,$C2373,$D:$D,$D2373,$E:$E,"P0(후)",$M:$M,"&gt;0")&lt;&gt;1,"",SUMIFS($M:$M,$C:$C,$C2373,$D:$D,$D2373,$E:$E,"P0(후)"))</f>
        <v/>
      </c>
      <c r="S2373" s="31">
        <f>IF(N2373&lt;&gt;"OK","",P2373+(R2373-P2373)*(I2373-O2373)/(Q2373-O2373))</f>
        <v/>
      </c>
      <c r="T2373" s="31">
        <f>IF(OR(N2373&lt;&gt;"OK",NOT(ISNUMBER(M2373))),"",M2373-S2373)</f>
        <v/>
      </c>
      <c r="U2373" s="49">
        <f>IF(OR(NOT(ISNUMBER(T2373)),IF(ISNUMBER(H2373),H2373,G2373)=0),"",T2373/IF(ISNUMBER(H2373),H2373,G2373))</f>
        <v/>
      </c>
      <c r="V2373" s="49">
        <f>IF(ISNUMBER(U2373),ABS(U2373),"")</f>
        <v/>
      </c>
      <c r="W2373" s="49">
        <f>IF(OR($E2372&lt;&gt;"측정",$C2372&lt;&gt;$C2373,$D2372&lt;&gt;$D2373,NOT(ISNUMBER(M2373)),NOT(ISNUMBER(M2372)),(IF(ISNUMBER(H2373),H2373,G2373)-IF(ISNUMBER(H2372),H2372,G2372))=0),"",(M2373-M2372)/(IF(ISNUMBER(H2373),H2373,G2373)-IF(ISNUMBER(H2372),H2372,G2372)))</f>
        <v/>
      </c>
      <c r="X2373" s="31">
        <f>IF(NOT(AND(ISNUMBER(O2373),ISNUMBER(Q2373))),"",(Q2373-O2373)*1440)</f>
        <v/>
      </c>
      <c r="Y2373" s="29" t="n"/>
      <c r="Z2373" s="29" t="n"/>
      <c r="AA2373" s="29" t="n"/>
      <c r="AB2373" s="32" t="n"/>
      <c r="AC2373" s="32" t="n"/>
    </row>
    <row r="2374">
      <c r="A2374" s="26" t="inlineStr">
        <is>
          <t>S46</t>
        </is>
      </c>
      <c r="B2374" s="26" t="inlineStr">
        <is>
          <t>화천</t>
        </is>
      </c>
      <c r="C2374" s="26" t="inlineStr">
        <is>
          <t>S46-H남</t>
        </is>
      </c>
      <c r="D2374" s="47" t="n">
        <v>1</v>
      </c>
      <c r="E2374" s="26" t="inlineStr">
        <is>
          <t>측정</t>
        </is>
      </c>
      <c r="F2374" s="26" t="inlineStr">
        <is>
          <t>남</t>
        </is>
      </c>
      <c r="G2374" s="31" t="n">
        <v>1</v>
      </c>
      <c r="H2374" s="30" t="n"/>
      <c r="I2374" s="43" t="n"/>
      <c r="J2374" s="41" t="n"/>
      <c r="K2374" s="41" t="n"/>
      <c r="L2374" s="41" t="n"/>
      <c r="M2374" s="31">
        <f>IF(COUNT(J2374:L2374)=0,"",MEDIAN(J2374:L2374))</f>
        <v/>
      </c>
      <c r="N2374" s="26">
        <f>IF(COUNTIFS($C:$C,$C2374,$D:$D,$D2374,$E:$E,"P0(전)",$M:$M,"&gt;0")&lt;&gt;1,"P0(전) 유효 1개 아님",IF(COUNTIFS($C:$C,$C2374,$D:$D,$D2374,$E:$E,"P0(후)",$M:$M,"&gt;0")&lt;&gt;1,"P0(후) 유효 1개 아님",IF(NOT(AND(ISNUMBER(O2374),ISNUMBER(Q2374),ISNUMBER(I2374))),"시각 결측",IF(Q2374&lt;=O2374,"P0 시각 역전",IF(OR(I2374&lt;O2374,I2374&gt;Q2374),"측정시각 구간 밖","OK")))))</f>
        <v/>
      </c>
      <c r="O2374" s="48">
        <f>IF(COUNTIFS($C:$C,$C2374,$D:$D,$D2374,$E:$E,"P0(전)",$M:$M,"&gt;0")&lt;&gt;1,"",SUMIFS($I:$I,$C:$C,$C2374,$D:$D,$D2374,$E:$E,"P0(전)"))</f>
        <v/>
      </c>
      <c r="P2374" s="31">
        <f>IF(COUNTIFS($C:$C,$C2374,$D:$D,$D2374,$E:$E,"P0(전)",$M:$M,"&gt;0")&lt;&gt;1,"",SUMIFS($M:$M,$C:$C,$C2374,$D:$D,$D2374,$E:$E,"P0(전)"))</f>
        <v/>
      </c>
      <c r="Q2374" s="48">
        <f>IF(COUNTIFS($C:$C,$C2374,$D:$D,$D2374,$E:$E,"P0(후)",$M:$M,"&gt;0")&lt;&gt;1,"",SUMIFS($I:$I,$C:$C,$C2374,$D:$D,$D2374,$E:$E,"P0(후)"))</f>
        <v/>
      </c>
      <c r="R2374" s="31">
        <f>IF(COUNTIFS($C:$C,$C2374,$D:$D,$D2374,$E:$E,"P0(후)",$M:$M,"&gt;0")&lt;&gt;1,"",SUMIFS($M:$M,$C:$C,$C2374,$D:$D,$D2374,$E:$E,"P0(후)"))</f>
        <v/>
      </c>
      <c r="S2374" s="31">
        <f>IF(N2374&lt;&gt;"OK","",P2374+(R2374-P2374)*(I2374-O2374)/(Q2374-O2374))</f>
        <v/>
      </c>
      <c r="T2374" s="31">
        <f>IF(OR(N2374&lt;&gt;"OK",NOT(ISNUMBER(M2374))),"",M2374-S2374)</f>
        <v/>
      </c>
      <c r="U2374" s="49">
        <f>IF(OR(NOT(ISNUMBER(T2374)),IF(ISNUMBER(H2374),H2374,G2374)=0),"",T2374/IF(ISNUMBER(H2374),H2374,G2374))</f>
        <v/>
      </c>
      <c r="V2374" s="49">
        <f>IF(ISNUMBER(U2374),ABS(U2374),"")</f>
        <v/>
      </c>
      <c r="W2374" s="49">
        <f>IF(OR($E2373&lt;&gt;"측정",$C2373&lt;&gt;$C2374,$D2373&lt;&gt;$D2374,NOT(ISNUMBER(M2374)),NOT(ISNUMBER(M2373)),(IF(ISNUMBER(H2374),H2374,G2374)-IF(ISNUMBER(H2373),H2373,G2373))=0),"",(M2374-M2373)/(IF(ISNUMBER(H2374),H2374,G2374)-IF(ISNUMBER(H2373),H2373,G2373)))</f>
        <v/>
      </c>
      <c r="X2374" s="31">
        <f>IF(NOT(AND(ISNUMBER(O2374),ISNUMBER(Q2374))),"",(Q2374-O2374)*1440)</f>
        <v/>
      </c>
      <c r="Y2374" s="29" t="n"/>
      <c r="Z2374" s="29" t="n"/>
      <c r="AA2374" s="29" t="n"/>
      <c r="AB2374" s="32" t="n"/>
      <c r="AC2374" s="32" t="n"/>
    </row>
    <row r="2375">
      <c r="A2375" s="26" t="inlineStr">
        <is>
          <t>S46</t>
        </is>
      </c>
      <c r="B2375" s="26" t="inlineStr">
        <is>
          <t>화천</t>
        </is>
      </c>
      <c r="C2375" s="26" t="inlineStr">
        <is>
          <t>S46-H남</t>
        </is>
      </c>
      <c r="D2375" s="47" t="n">
        <v>1</v>
      </c>
      <c r="E2375" s="26" t="inlineStr">
        <is>
          <t>측정</t>
        </is>
      </c>
      <c r="F2375" s="26" t="inlineStr">
        <is>
          <t>남</t>
        </is>
      </c>
      <c r="G2375" s="31" t="n">
        <v>2</v>
      </c>
      <c r="H2375" s="30" t="n"/>
      <c r="I2375" s="43" t="n"/>
      <c r="J2375" s="41" t="n"/>
      <c r="K2375" s="41" t="n"/>
      <c r="L2375" s="41" t="n"/>
      <c r="M2375" s="31">
        <f>IF(COUNT(J2375:L2375)=0,"",MEDIAN(J2375:L2375))</f>
        <v/>
      </c>
      <c r="N2375" s="26">
        <f>IF(COUNTIFS($C:$C,$C2375,$D:$D,$D2375,$E:$E,"P0(전)",$M:$M,"&gt;0")&lt;&gt;1,"P0(전) 유효 1개 아님",IF(COUNTIFS($C:$C,$C2375,$D:$D,$D2375,$E:$E,"P0(후)",$M:$M,"&gt;0")&lt;&gt;1,"P0(후) 유효 1개 아님",IF(NOT(AND(ISNUMBER(O2375),ISNUMBER(Q2375),ISNUMBER(I2375))),"시각 결측",IF(Q2375&lt;=O2375,"P0 시각 역전",IF(OR(I2375&lt;O2375,I2375&gt;Q2375),"측정시각 구간 밖","OK")))))</f>
        <v/>
      </c>
      <c r="O2375" s="48">
        <f>IF(COUNTIFS($C:$C,$C2375,$D:$D,$D2375,$E:$E,"P0(전)",$M:$M,"&gt;0")&lt;&gt;1,"",SUMIFS($I:$I,$C:$C,$C2375,$D:$D,$D2375,$E:$E,"P0(전)"))</f>
        <v/>
      </c>
      <c r="P2375" s="31">
        <f>IF(COUNTIFS($C:$C,$C2375,$D:$D,$D2375,$E:$E,"P0(전)",$M:$M,"&gt;0")&lt;&gt;1,"",SUMIFS($M:$M,$C:$C,$C2375,$D:$D,$D2375,$E:$E,"P0(전)"))</f>
        <v/>
      </c>
      <c r="Q2375" s="48">
        <f>IF(COUNTIFS($C:$C,$C2375,$D:$D,$D2375,$E:$E,"P0(후)",$M:$M,"&gt;0")&lt;&gt;1,"",SUMIFS($I:$I,$C:$C,$C2375,$D:$D,$D2375,$E:$E,"P0(후)"))</f>
        <v/>
      </c>
      <c r="R2375" s="31">
        <f>IF(COUNTIFS($C:$C,$C2375,$D:$D,$D2375,$E:$E,"P0(후)",$M:$M,"&gt;0")&lt;&gt;1,"",SUMIFS($M:$M,$C:$C,$C2375,$D:$D,$D2375,$E:$E,"P0(후)"))</f>
        <v/>
      </c>
      <c r="S2375" s="31">
        <f>IF(N2375&lt;&gt;"OK","",P2375+(R2375-P2375)*(I2375-O2375)/(Q2375-O2375))</f>
        <v/>
      </c>
      <c r="T2375" s="31">
        <f>IF(OR(N2375&lt;&gt;"OK",NOT(ISNUMBER(M2375))),"",M2375-S2375)</f>
        <v/>
      </c>
      <c r="U2375" s="49">
        <f>IF(OR(NOT(ISNUMBER(T2375)),IF(ISNUMBER(H2375),H2375,G2375)=0),"",T2375/IF(ISNUMBER(H2375),H2375,G2375))</f>
        <v/>
      </c>
      <c r="V2375" s="49">
        <f>IF(ISNUMBER(U2375),ABS(U2375),"")</f>
        <v/>
      </c>
      <c r="W2375" s="49">
        <f>IF(OR($E2374&lt;&gt;"측정",$C2374&lt;&gt;$C2375,$D2374&lt;&gt;$D2375,NOT(ISNUMBER(M2375)),NOT(ISNUMBER(M2374)),(IF(ISNUMBER(H2375),H2375,G2375)-IF(ISNUMBER(H2374),H2374,G2374))=0),"",(M2375-M2374)/(IF(ISNUMBER(H2375),H2375,G2375)-IF(ISNUMBER(H2374),H2374,G2374)))</f>
        <v/>
      </c>
      <c r="X2375" s="31">
        <f>IF(NOT(AND(ISNUMBER(O2375),ISNUMBER(Q2375))),"",(Q2375-O2375)*1440)</f>
        <v/>
      </c>
      <c r="Y2375" s="29" t="n"/>
      <c r="Z2375" s="29" t="n"/>
      <c r="AA2375" s="29" t="n"/>
      <c r="AB2375" s="32" t="n"/>
      <c r="AC2375" s="32" t="n"/>
    </row>
    <row r="2376">
      <c r="A2376" s="26" t="inlineStr">
        <is>
          <t>S46</t>
        </is>
      </c>
      <c r="B2376" s="26" t="inlineStr">
        <is>
          <t>화천</t>
        </is>
      </c>
      <c r="C2376" s="26" t="inlineStr">
        <is>
          <t>S46-H남</t>
        </is>
      </c>
      <c r="D2376" s="47" t="n">
        <v>1</v>
      </c>
      <c r="E2376" s="26" t="inlineStr">
        <is>
          <t>측정</t>
        </is>
      </c>
      <c r="F2376" s="26" t="inlineStr">
        <is>
          <t>남</t>
        </is>
      </c>
      <c r="G2376" s="31" t="n">
        <v>3</v>
      </c>
      <c r="H2376" s="30" t="n"/>
      <c r="I2376" s="43" t="n"/>
      <c r="J2376" s="41" t="n"/>
      <c r="K2376" s="41" t="n"/>
      <c r="L2376" s="41" t="n"/>
      <c r="M2376" s="31">
        <f>IF(COUNT(J2376:L2376)=0,"",MEDIAN(J2376:L2376))</f>
        <v/>
      </c>
      <c r="N2376" s="26">
        <f>IF(COUNTIFS($C:$C,$C2376,$D:$D,$D2376,$E:$E,"P0(전)",$M:$M,"&gt;0")&lt;&gt;1,"P0(전) 유효 1개 아님",IF(COUNTIFS($C:$C,$C2376,$D:$D,$D2376,$E:$E,"P0(후)",$M:$M,"&gt;0")&lt;&gt;1,"P0(후) 유효 1개 아님",IF(NOT(AND(ISNUMBER(O2376),ISNUMBER(Q2376),ISNUMBER(I2376))),"시각 결측",IF(Q2376&lt;=O2376,"P0 시각 역전",IF(OR(I2376&lt;O2376,I2376&gt;Q2376),"측정시각 구간 밖","OK")))))</f>
        <v/>
      </c>
      <c r="O2376" s="48">
        <f>IF(COUNTIFS($C:$C,$C2376,$D:$D,$D2376,$E:$E,"P0(전)",$M:$M,"&gt;0")&lt;&gt;1,"",SUMIFS($I:$I,$C:$C,$C2376,$D:$D,$D2376,$E:$E,"P0(전)"))</f>
        <v/>
      </c>
      <c r="P2376" s="31">
        <f>IF(COUNTIFS($C:$C,$C2376,$D:$D,$D2376,$E:$E,"P0(전)",$M:$M,"&gt;0")&lt;&gt;1,"",SUMIFS($M:$M,$C:$C,$C2376,$D:$D,$D2376,$E:$E,"P0(전)"))</f>
        <v/>
      </c>
      <c r="Q2376" s="48">
        <f>IF(COUNTIFS($C:$C,$C2376,$D:$D,$D2376,$E:$E,"P0(후)",$M:$M,"&gt;0")&lt;&gt;1,"",SUMIFS($I:$I,$C:$C,$C2376,$D:$D,$D2376,$E:$E,"P0(후)"))</f>
        <v/>
      </c>
      <c r="R2376" s="31">
        <f>IF(COUNTIFS($C:$C,$C2376,$D:$D,$D2376,$E:$E,"P0(후)",$M:$M,"&gt;0")&lt;&gt;1,"",SUMIFS($M:$M,$C:$C,$C2376,$D:$D,$D2376,$E:$E,"P0(후)"))</f>
        <v/>
      </c>
      <c r="S2376" s="31">
        <f>IF(N2376&lt;&gt;"OK","",P2376+(R2376-P2376)*(I2376-O2376)/(Q2376-O2376))</f>
        <v/>
      </c>
      <c r="T2376" s="31">
        <f>IF(OR(N2376&lt;&gt;"OK",NOT(ISNUMBER(M2376))),"",M2376-S2376)</f>
        <v/>
      </c>
      <c r="U2376" s="49">
        <f>IF(OR(NOT(ISNUMBER(T2376)),IF(ISNUMBER(H2376),H2376,G2376)=0),"",T2376/IF(ISNUMBER(H2376),H2376,G2376))</f>
        <v/>
      </c>
      <c r="V2376" s="49">
        <f>IF(ISNUMBER(U2376),ABS(U2376),"")</f>
        <v/>
      </c>
      <c r="W2376" s="49">
        <f>IF(OR($E2375&lt;&gt;"측정",$C2375&lt;&gt;$C2376,$D2375&lt;&gt;$D2376,NOT(ISNUMBER(M2376)),NOT(ISNUMBER(M2375)),(IF(ISNUMBER(H2376),H2376,G2376)-IF(ISNUMBER(H2375),H2375,G2375))=0),"",(M2376-M2375)/(IF(ISNUMBER(H2376),H2376,G2376)-IF(ISNUMBER(H2375),H2375,G2375)))</f>
        <v/>
      </c>
      <c r="X2376" s="31">
        <f>IF(NOT(AND(ISNUMBER(O2376),ISNUMBER(Q2376))),"",(Q2376-O2376)*1440)</f>
        <v/>
      </c>
      <c r="Y2376" s="29" t="n"/>
      <c r="Z2376" s="29" t="n"/>
      <c r="AA2376" s="29" t="n"/>
      <c r="AB2376" s="32" t="n"/>
      <c r="AC2376" s="32" t="n"/>
    </row>
    <row r="2377">
      <c r="A2377" s="26" t="inlineStr">
        <is>
          <t>S46</t>
        </is>
      </c>
      <c r="B2377" s="26" t="inlineStr">
        <is>
          <t>화천</t>
        </is>
      </c>
      <c r="C2377" s="26" t="inlineStr">
        <is>
          <t>S46-H남</t>
        </is>
      </c>
      <c r="D2377" s="47" t="n">
        <v>1</v>
      </c>
      <c r="E2377" s="26" t="inlineStr">
        <is>
          <t>측정</t>
        </is>
      </c>
      <c r="F2377" s="26" t="inlineStr">
        <is>
          <t>남</t>
        </is>
      </c>
      <c r="G2377" s="31" t="n">
        <v>4</v>
      </c>
      <c r="H2377" s="30" t="n"/>
      <c r="I2377" s="43" t="n"/>
      <c r="J2377" s="41" t="n"/>
      <c r="K2377" s="41" t="n"/>
      <c r="L2377" s="41" t="n"/>
      <c r="M2377" s="31">
        <f>IF(COUNT(J2377:L2377)=0,"",MEDIAN(J2377:L2377))</f>
        <v/>
      </c>
      <c r="N2377" s="26">
        <f>IF(COUNTIFS($C:$C,$C2377,$D:$D,$D2377,$E:$E,"P0(전)",$M:$M,"&gt;0")&lt;&gt;1,"P0(전) 유효 1개 아님",IF(COUNTIFS($C:$C,$C2377,$D:$D,$D2377,$E:$E,"P0(후)",$M:$M,"&gt;0")&lt;&gt;1,"P0(후) 유효 1개 아님",IF(NOT(AND(ISNUMBER(O2377),ISNUMBER(Q2377),ISNUMBER(I2377))),"시각 결측",IF(Q2377&lt;=O2377,"P0 시각 역전",IF(OR(I2377&lt;O2377,I2377&gt;Q2377),"측정시각 구간 밖","OK")))))</f>
        <v/>
      </c>
      <c r="O2377" s="48">
        <f>IF(COUNTIFS($C:$C,$C2377,$D:$D,$D2377,$E:$E,"P0(전)",$M:$M,"&gt;0")&lt;&gt;1,"",SUMIFS($I:$I,$C:$C,$C2377,$D:$D,$D2377,$E:$E,"P0(전)"))</f>
        <v/>
      </c>
      <c r="P2377" s="31">
        <f>IF(COUNTIFS($C:$C,$C2377,$D:$D,$D2377,$E:$E,"P0(전)",$M:$M,"&gt;0")&lt;&gt;1,"",SUMIFS($M:$M,$C:$C,$C2377,$D:$D,$D2377,$E:$E,"P0(전)"))</f>
        <v/>
      </c>
      <c r="Q2377" s="48">
        <f>IF(COUNTIFS($C:$C,$C2377,$D:$D,$D2377,$E:$E,"P0(후)",$M:$M,"&gt;0")&lt;&gt;1,"",SUMIFS($I:$I,$C:$C,$C2377,$D:$D,$D2377,$E:$E,"P0(후)"))</f>
        <v/>
      </c>
      <c r="R2377" s="31">
        <f>IF(COUNTIFS($C:$C,$C2377,$D:$D,$D2377,$E:$E,"P0(후)",$M:$M,"&gt;0")&lt;&gt;1,"",SUMIFS($M:$M,$C:$C,$C2377,$D:$D,$D2377,$E:$E,"P0(후)"))</f>
        <v/>
      </c>
      <c r="S2377" s="31">
        <f>IF(N2377&lt;&gt;"OK","",P2377+(R2377-P2377)*(I2377-O2377)/(Q2377-O2377))</f>
        <v/>
      </c>
      <c r="T2377" s="31">
        <f>IF(OR(N2377&lt;&gt;"OK",NOT(ISNUMBER(M2377))),"",M2377-S2377)</f>
        <v/>
      </c>
      <c r="U2377" s="49">
        <f>IF(OR(NOT(ISNUMBER(T2377)),IF(ISNUMBER(H2377),H2377,G2377)=0),"",T2377/IF(ISNUMBER(H2377),H2377,G2377))</f>
        <v/>
      </c>
      <c r="V2377" s="49">
        <f>IF(ISNUMBER(U2377),ABS(U2377),"")</f>
        <v/>
      </c>
      <c r="W2377" s="49">
        <f>IF(OR($E2376&lt;&gt;"측정",$C2376&lt;&gt;$C2377,$D2376&lt;&gt;$D2377,NOT(ISNUMBER(M2377)),NOT(ISNUMBER(M2376)),(IF(ISNUMBER(H2377),H2377,G2377)-IF(ISNUMBER(H2376),H2376,G2376))=0),"",(M2377-M2376)/(IF(ISNUMBER(H2377),H2377,G2377)-IF(ISNUMBER(H2376),H2376,G2376)))</f>
        <v/>
      </c>
      <c r="X2377" s="31">
        <f>IF(NOT(AND(ISNUMBER(O2377),ISNUMBER(Q2377))),"",(Q2377-O2377)*1440)</f>
        <v/>
      </c>
      <c r="Y2377" s="29" t="n"/>
      <c r="Z2377" s="29" t="n"/>
      <c r="AA2377" s="29" t="n"/>
      <c r="AB2377" s="32" t="n"/>
      <c r="AC2377" s="32" t="n"/>
    </row>
    <row r="2378">
      <c r="A2378" s="26" t="inlineStr">
        <is>
          <t>S46</t>
        </is>
      </c>
      <c r="B2378" s="26" t="inlineStr">
        <is>
          <t>화천</t>
        </is>
      </c>
      <c r="C2378" s="26" t="inlineStr">
        <is>
          <t>S46-H남</t>
        </is>
      </c>
      <c r="D2378" s="47" t="n">
        <v>1</v>
      </c>
      <c r="E2378" s="26" t="inlineStr">
        <is>
          <t>측정</t>
        </is>
      </c>
      <c r="F2378" s="26" t="inlineStr">
        <is>
          <t>남</t>
        </is>
      </c>
      <c r="G2378" s="31" t="n">
        <v>5</v>
      </c>
      <c r="H2378" s="30" t="n"/>
      <c r="I2378" s="43" t="n"/>
      <c r="J2378" s="41" t="n"/>
      <c r="K2378" s="41" t="n"/>
      <c r="L2378" s="41" t="n"/>
      <c r="M2378" s="31">
        <f>IF(COUNT(J2378:L2378)=0,"",MEDIAN(J2378:L2378))</f>
        <v/>
      </c>
      <c r="N2378" s="26">
        <f>IF(COUNTIFS($C:$C,$C2378,$D:$D,$D2378,$E:$E,"P0(전)",$M:$M,"&gt;0")&lt;&gt;1,"P0(전) 유효 1개 아님",IF(COUNTIFS($C:$C,$C2378,$D:$D,$D2378,$E:$E,"P0(후)",$M:$M,"&gt;0")&lt;&gt;1,"P0(후) 유효 1개 아님",IF(NOT(AND(ISNUMBER(O2378),ISNUMBER(Q2378),ISNUMBER(I2378))),"시각 결측",IF(Q2378&lt;=O2378,"P0 시각 역전",IF(OR(I2378&lt;O2378,I2378&gt;Q2378),"측정시각 구간 밖","OK")))))</f>
        <v/>
      </c>
      <c r="O2378" s="48">
        <f>IF(COUNTIFS($C:$C,$C2378,$D:$D,$D2378,$E:$E,"P0(전)",$M:$M,"&gt;0")&lt;&gt;1,"",SUMIFS($I:$I,$C:$C,$C2378,$D:$D,$D2378,$E:$E,"P0(전)"))</f>
        <v/>
      </c>
      <c r="P2378" s="31">
        <f>IF(COUNTIFS($C:$C,$C2378,$D:$D,$D2378,$E:$E,"P0(전)",$M:$M,"&gt;0")&lt;&gt;1,"",SUMIFS($M:$M,$C:$C,$C2378,$D:$D,$D2378,$E:$E,"P0(전)"))</f>
        <v/>
      </c>
      <c r="Q2378" s="48">
        <f>IF(COUNTIFS($C:$C,$C2378,$D:$D,$D2378,$E:$E,"P0(후)",$M:$M,"&gt;0")&lt;&gt;1,"",SUMIFS($I:$I,$C:$C,$C2378,$D:$D,$D2378,$E:$E,"P0(후)"))</f>
        <v/>
      </c>
      <c r="R2378" s="31">
        <f>IF(COUNTIFS($C:$C,$C2378,$D:$D,$D2378,$E:$E,"P0(후)",$M:$M,"&gt;0")&lt;&gt;1,"",SUMIFS($M:$M,$C:$C,$C2378,$D:$D,$D2378,$E:$E,"P0(후)"))</f>
        <v/>
      </c>
      <c r="S2378" s="31">
        <f>IF(N2378&lt;&gt;"OK","",P2378+(R2378-P2378)*(I2378-O2378)/(Q2378-O2378))</f>
        <v/>
      </c>
      <c r="T2378" s="31">
        <f>IF(OR(N2378&lt;&gt;"OK",NOT(ISNUMBER(M2378))),"",M2378-S2378)</f>
        <v/>
      </c>
      <c r="U2378" s="49">
        <f>IF(OR(NOT(ISNUMBER(T2378)),IF(ISNUMBER(H2378),H2378,G2378)=0),"",T2378/IF(ISNUMBER(H2378),H2378,G2378))</f>
        <v/>
      </c>
      <c r="V2378" s="49">
        <f>IF(ISNUMBER(U2378),ABS(U2378),"")</f>
        <v/>
      </c>
      <c r="W2378" s="49">
        <f>IF(OR($E2377&lt;&gt;"측정",$C2377&lt;&gt;$C2378,$D2377&lt;&gt;$D2378,NOT(ISNUMBER(M2378)),NOT(ISNUMBER(M2377)),(IF(ISNUMBER(H2378),H2378,G2378)-IF(ISNUMBER(H2377),H2377,G2377))=0),"",(M2378-M2377)/(IF(ISNUMBER(H2378),H2378,G2378)-IF(ISNUMBER(H2377),H2377,G2377)))</f>
        <v/>
      </c>
      <c r="X2378" s="31">
        <f>IF(NOT(AND(ISNUMBER(O2378),ISNUMBER(Q2378))),"",(Q2378-O2378)*1440)</f>
        <v/>
      </c>
      <c r="Y2378" s="29" t="n"/>
      <c r="Z2378" s="29" t="n"/>
      <c r="AA2378" s="29" t="n"/>
      <c r="AB2378" s="32" t="n"/>
      <c r="AC2378" s="32" t="n"/>
    </row>
    <row r="2379">
      <c r="A2379" s="26" t="inlineStr">
        <is>
          <t>S46</t>
        </is>
      </c>
      <c r="B2379" s="26" t="inlineStr">
        <is>
          <t>화천</t>
        </is>
      </c>
      <c r="C2379" s="26" t="inlineStr">
        <is>
          <t>S46-H남</t>
        </is>
      </c>
      <c r="D2379" s="47" t="n">
        <v>1</v>
      </c>
      <c r="E2379" s="26" t="inlineStr">
        <is>
          <t>측정</t>
        </is>
      </c>
      <c r="F2379" s="26" t="inlineStr">
        <is>
          <t>남</t>
        </is>
      </c>
      <c r="G2379" s="31" t="n">
        <v>6</v>
      </c>
      <c r="H2379" s="30" t="n"/>
      <c r="I2379" s="43" t="n"/>
      <c r="J2379" s="41" t="n"/>
      <c r="K2379" s="41" t="n"/>
      <c r="L2379" s="41" t="n"/>
      <c r="M2379" s="31">
        <f>IF(COUNT(J2379:L2379)=0,"",MEDIAN(J2379:L2379))</f>
        <v/>
      </c>
      <c r="N2379" s="26">
        <f>IF(COUNTIFS($C:$C,$C2379,$D:$D,$D2379,$E:$E,"P0(전)",$M:$M,"&gt;0")&lt;&gt;1,"P0(전) 유효 1개 아님",IF(COUNTIFS($C:$C,$C2379,$D:$D,$D2379,$E:$E,"P0(후)",$M:$M,"&gt;0")&lt;&gt;1,"P0(후) 유효 1개 아님",IF(NOT(AND(ISNUMBER(O2379),ISNUMBER(Q2379),ISNUMBER(I2379))),"시각 결측",IF(Q2379&lt;=O2379,"P0 시각 역전",IF(OR(I2379&lt;O2379,I2379&gt;Q2379),"측정시각 구간 밖","OK")))))</f>
        <v/>
      </c>
      <c r="O2379" s="48">
        <f>IF(COUNTIFS($C:$C,$C2379,$D:$D,$D2379,$E:$E,"P0(전)",$M:$M,"&gt;0")&lt;&gt;1,"",SUMIFS($I:$I,$C:$C,$C2379,$D:$D,$D2379,$E:$E,"P0(전)"))</f>
        <v/>
      </c>
      <c r="P2379" s="31">
        <f>IF(COUNTIFS($C:$C,$C2379,$D:$D,$D2379,$E:$E,"P0(전)",$M:$M,"&gt;0")&lt;&gt;1,"",SUMIFS($M:$M,$C:$C,$C2379,$D:$D,$D2379,$E:$E,"P0(전)"))</f>
        <v/>
      </c>
      <c r="Q2379" s="48">
        <f>IF(COUNTIFS($C:$C,$C2379,$D:$D,$D2379,$E:$E,"P0(후)",$M:$M,"&gt;0")&lt;&gt;1,"",SUMIFS($I:$I,$C:$C,$C2379,$D:$D,$D2379,$E:$E,"P0(후)"))</f>
        <v/>
      </c>
      <c r="R2379" s="31">
        <f>IF(COUNTIFS($C:$C,$C2379,$D:$D,$D2379,$E:$E,"P0(후)",$M:$M,"&gt;0")&lt;&gt;1,"",SUMIFS($M:$M,$C:$C,$C2379,$D:$D,$D2379,$E:$E,"P0(후)"))</f>
        <v/>
      </c>
      <c r="S2379" s="31">
        <f>IF(N2379&lt;&gt;"OK","",P2379+(R2379-P2379)*(I2379-O2379)/(Q2379-O2379))</f>
        <v/>
      </c>
      <c r="T2379" s="31">
        <f>IF(OR(N2379&lt;&gt;"OK",NOT(ISNUMBER(M2379))),"",M2379-S2379)</f>
        <v/>
      </c>
      <c r="U2379" s="49">
        <f>IF(OR(NOT(ISNUMBER(T2379)),IF(ISNUMBER(H2379),H2379,G2379)=0),"",T2379/IF(ISNUMBER(H2379),H2379,G2379))</f>
        <v/>
      </c>
      <c r="V2379" s="49">
        <f>IF(ISNUMBER(U2379),ABS(U2379),"")</f>
        <v/>
      </c>
      <c r="W2379" s="49">
        <f>IF(OR($E2378&lt;&gt;"측정",$C2378&lt;&gt;$C2379,$D2378&lt;&gt;$D2379,NOT(ISNUMBER(M2379)),NOT(ISNUMBER(M2378)),(IF(ISNUMBER(H2379),H2379,G2379)-IF(ISNUMBER(H2378),H2378,G2378))=0),"",(M2379-M2378)/(IF(ISNUMBER(H2379),H2379,G2379)-IF(ISNUMBER(H2378),H2378,G2378)))</f>
        <v/>
      </c>
      <c r="X2379" s="31">
        <f>IF(NOT(AND(ISNUMBER(O2379),ISNUMBER(Q2379))),"",(Q2379-O2379)*1440)</f>
        <v/>
      </c>
      <c r="Y2379" s="29" t="n"/>
      <c r="Z2379" s="29" t="n"/>
      <c r="AA2379" s="29" t="n"/>
      <c r="AB2379" s="32" t="n"/>
      <c r="AC2379" s="32" t="n"/>
    </row>
    <row r="2380">
      <c r="A2380" s="26" t="inlineStr">
        <is>
          <t>S46</t>
        </is>
      </c>
      <c r="B2380" s="26" t="inlineStr">
        <is>
          <t>화천</t>
        </is>
      </c>
      <c r="C2380" s="26" t="inlineStr">
        <is>
          <t>S46-H남</t>
        </is>
      </c>
      <c r="D2380" s="47" t="n">
        <v>1</v>
      </c>
      <c r="E2380" s="26" t="inlineStr">
        <is>
          <t>측정</t>
        </is>
      </c>
      <c r="F2380" s="26" t="inlineStr">
        <is>
          <t>남</t>
        </is>
      </c>
      <c r="G2380" s="31" t="n">
        <v>7</v>
      </c>
      <c r="H2380" s="30" t="n"/>
      <c r="I2380" s="43" t="n"/>
      <c r="J2380" s="41" t="n"/>
      <c r="K2380" s="41" t="n"/>
      <c r="L2380" s="41" t="n"/>
      <c r="M2380" s="31">
        <f>IF(COUNT(J2380:L2380)=0,"",MEDIAN(J2380:L2380))</f>
        <v/>
      </c>
      <c r="N2380" s="26">
        <f>IF(COUNTIFS($C:$C,$C2380,$D:$D,$D2380,$E:$E,"P0(전)",$M:$M,"&gt;0")&lt;&gt;1,"P0(전) 유효 1개 아님",IF(COUNTIFS($C:$C,$C2380,$D:$D,$D2380,$E:$E,"P0(후)",$M:$M,"&gt;0")&lt;&gt;1,"P0(후) 유효 1개 아님",IF(NOT(AND(ISNUMBER(O2380),ISNUMBER(Q2380),ISNUMBER(I2380))),"시각 결측",IF(Q2380&lt;=O2380,"P0 시각 역전",IF(OR(I2380&lt;O2380,I2380&gt;Q2380),"측정시각 구간 밖","OK")))))</f>
        <v/>
      </c>
      <c r="O2380" s="48">
        <f>IF(COUNTIFS($C:$C,$C2380,$D:$D,$D2380,$E:$E,"P0(전)",$M:$M,"&gt;0")&lt;&gt;1,"",SUMIFS($I:$I,$C:$C,$C2380,$D:$D,$D2380,$E:$E,"P0(전)"))</f>
        <v/>
      </c>
      <c r="P2380" s="31">
        <f>IF(COUNTIFS($C:$C,$C2380,$D:$D,$D2380,$E:$E,"P0(전)",$M:$M,"&gt;0")&lt;&gt;1,"",SUMIFS($M:$M,$C:$C,$C2380,$D:$D,$D2380,$E:$E,"P0(전)"))</f>
        <v/>
      </c>
      <c r="Q2380" s="48">
        <f>IF(COUNTIFS($C:$C,$C2380,$D:$D,$D2380,$E:$E,"P0(후)",$M:$M,"&gt;0")&lt;&gt;1,"",SUMIFS($I:$I,$C:$C,$C2380,$D:$D,$D2380,$E:$E,"P0(후)"))</f>
        <v/>
      </c>
      <c r="R2380" s="31">
        <f>IF(COUNTIFS($C:$C,$C2380,$D:$D,$D2380,$E:$E,"P0(후)",$M:$M,"&gt;0")&lt;&gt;1,"",SUMIFS($M:$M,$C:$C,$C2380,$D:$D,$D2380,$E:$E,"P0(후)"))</f>
        <v/>
      </c>
      <c r="S2380" s="31">
        <f>IF(N2380&lt;&gt;"OK","",P2380+(R2380-P2380)*(I2380-O2380)/(Q2380-O2380))</f>
        <v/>
      </c>
      <c r="T2380" s="31">
        <f>IF(OR(N2380&lt;&gt;"OK",NOT(ISNUMBER(M2380))),"",M2380-S2380)</f>
        <v/>
      </c>
      <c r="U2380" s="49">
        <f>IF(OR(NOT(ISNUMBER(T2380)),IF(ISNUMBER(H2380),H2380,G2380)=0),"",T2380/IF(ISNUMBER(H2380),H2380,G2380))</f>
        <v/>
      </c>
      <c r="V2380" s="49">
        <f>IF(ISNUMBER(U2380),ABS(U2380),"")</f>
        <v/>
      </c>
      <c r="W2380" s="49">
        <f>IF(OR($E2379&lt;&gt;"측정",$C2379&lt;&gt;$C2380,$D2379&lt;&gt;$D2380,NOT(ISNUMBER(M2380)),NOT(ISNUMBER(M2379)),(IF(ISNUMBER(H2380),H2380,G2380)-IF(ISNUMBER(H2379),H2379,G2379))=0),"",(M2380-M2379)/(IF(ISNUMBER(H2380),H2380,G2380)-IF(ISNUMBER(H2379),H2379,G2379)))</f>
        <v/>
      </c>
      <c r="X2380" s="31">
        <f>IF(NOT(AND(ISNUMBER(O2380),ISNUMBER(Q2380))),"",(Q2380-O2380)*1440)</f>
        <v/>
      </c>
      <c r="Y2380" s="29" t="n"/>
      <c r="Z2380" s="29" t="n"/>
      <c r="AA2380" s="29" t="n"/>
      <c r="AB2380" s="32" t="n"/>
      <c r="AC2380" s="32" t="n"/>
    </row>
    <row r="2381">
      <c r="A2381" s="26" t="inlineStr">
        <is>
          <t>S46</t>
        </is>
      </c>
      <c r="B2381" s="26" t="inlineStr">
        <is>
          <t>화천</t>
        </is>
      </c>
      <c r="C2381" s="26" t="inlineStr">
        <is>
          <t>S46-H남</t>
        </is>
      </c>
      <c r="D2381" s="47" t="n">
        <v>1</v>
      </c>
      <c r="E2381" s="26" t="inlineStr">
        <is>
          <t>측정</t>
        </is>
      </c>
      <c r="F2381" s="26" t="inlineStr">
        <is>
          <t>남</t>
        </is>
      </c>
      <c r="G2381" s="31" t="n">
        <v>8</v>
      </c>
      <c r="H2381" s="30" t="n"/>
      <c r="I2381" s="43" t="n"/>
      <c r="J2381" s="41" t="n"/>
      <c r="K2381" s="41" t="n"/>
      <c r="L2381" s="41" t="n"/>
      <c r="M2381" s="31">
        <f>IF(COUNT(J2381:L2381)=0,"",MEDIAN(J2381:L2381))</f>
        <v/>
      </c>
      <c r="N2381" s="26">
        <f>IF(COUNTIFS($C:$C,$C2381,$D:$D,$D2381,$E:$E,"P0(전)",$M:$M,"&gt;0")&lt;&gt;1,"P0(전) 유효 1개 아님",IF(COUNTIFS($C:$C,$C2381,$D:$D,$D2381,$E:$E,"P0(후)",$M:$M,"&gt;0")&lt;&gt;1,"P0(후) 유효 1개 아님",IF(NOT(AND(ISNUMBER(O2381),ISNUMBER(Q2381),ISNUMBER(I2381))),"시각 결측",IF(Q2381&lt;=O2381,"P0 시각 역전",IF(OR(I2381&lt;O2381,I2381&gt;Q2381),"측정시각 구간 밖","OK")))))</f>
        <v/>
      </c>
      <c r="O2381" s="48">
        <f>IF(COUNTIFS($C:$C,$C2381,$D:$D,$D2381,$E:$E,"P0(전)",$M:$M,"&gt;0")&lt;&gt;1,"",SUMIFS($I:$I,$C:$C,$C2381,$D:$D,$D2381,$E:$E,"P0(전)"))</f>
        <v/>
      </c>
      <c r="P2381" s="31">
        <f>IF(COUNTIFS($C:$C,$C2381,$D:$D,$D2381,$E:$E,"P0(전)",$M:$M,"&gt;0")&lt;&gt;1,"",SUMIFS($M:$M,$C:$C,$C2381,$D:$D,$D2381,$E:$E,"P0(전)"))</f>
        <v/>
      </c>
      <c r="Q2381" s="48">
        <f>IF(COUNTIFS($C:$C,$C2381,$D:$D,$D2381,$E:$E,"P0(후)",$M:$M,"&gt;0")&lt;&gt;1,"",SUMIFS($I:$I,$C:$C,$C2381,$D:$D,$D2381,$E:$E,"P0(후)"))</f>
        <v/>
      </c>
      <c r="R2381" s="31">
        <f>IF(COUNTIFS($C:$C,$C2381,$D:$D,$D2381,$E:$E,"P0(후)",$M:$M,"&gt;0")&lt;&gt;1,"",SUMIFS($M:$M,$C:$C,$C2381,$D:$D,$D2381,$E:$E,"P0(후)"))</f>
        <v/>
      </c>
      <c r="S2381" s="31">
        <f>IF(N2381&lt;&gt;"OK","",P2381+(R2381-P2381)*(I2381-O2381)/(Q2381-O2381))</f>
        <v/>
      </c>
      <c r="T2381" s="31">
        <f>IF(OR(N2381&lt;&gt;"OK",NOT(ISNUMBER(M2381))),"",M2381-S2381)</f>
        <v/>
      </c>
      <c r="U2381" s="49">
        <f>IF(OR(NOT(ISNUMBER(T2381)),IF(ISNUMBER(H2381),H2381,G2381)=0),"",T2381/IF(ISNUMBER(H2381),H2381,G2381))</f>
        <v/>
      </c>
      <c r="V2381" s="49">
        <f>IF(ISNUMBER(U2381),ABS(U2381),"")</f>
        <v/>
      </c>
      <c r="W2381" s="49">
        <f>IF(OR($E2380&lt;&gt;"측정",$C2380&lt;&gt;$C2381,$D2380&lt;&gt;$D2381,NOT(ISNUMBER(M2381)),NOT(ISNUMBER(M2380)),(IF(ISNUMBER(H2381),H2381,G2381)-IF(ISNUMBER(H2380),H2380,G2380))=0),"",(M2381-M2380)/(IF(ISNUMBER(H2381),H2381,G2381)-IF(ISNUMBER(H2380),H2380,G2380)))</f>
        <v/>
      </c>
      <c r="X2381" s="31">
        <f>IF(NOT(AND(ISNUMBER(O2381),ISNUMBER(Q2381))),"",(Q2381-O2381)*1440)</f>
        <v/>
      </c>
      <c r="Y2381" s="29" t="n"/>
      <c r="Z2381" s="29" t="n"/>
      <c r="AA2381" s="29" t="n"/>
      <c r="AB2381" s="32" t="n"/>
      <c r="AC2381" s="32" t="n"/>
    </row>
    <row r="2382">
      <c r="A2382" s="26" t="inlineStr">
        <is>
          <t>S46</t>
        </is>
      </c>
      <c r="B2382" s="26" t="inlineStr">
        <is>
          <t>화천</t>
        </is>
      </c>
      <c r="C2382" s="26" t="inlineStr">
        <is>
          <t>S46-H남</t>
        </is>
      </c>
      <c r="D2382" s="47" t="n">
        <v>1</v>
      </c>
      <c r="E2382" s="26" t="inlineStr">
        <is>
          <t>측정</t>
        </is>
      </c>
      <c r="F2382" s="26" t="inlineStr">
        <is>
          <t>남</t>
        </is>
      </c>
      <c r="G2382" s="31" t="n">
        <v>9</v>
      </c>
      <c r="H2382" s="30" t="n"/>
      <c r="I2382" s="43" t="n"/>
      <c r="J2382" s="41" t="n"/>
      <c r="K2382" s="41" t="n"/>
      <c r="L2382" s="41" t="n"/>
      <c r="M2382" s="31">
        <f>IF(COUNT(J2382:L2382)=0,"",MEDIAN(J2382:L2382))</f>
        <v/>
      </c>
      <c r="N2382" s="26">
        <f>IF(COUNTIFS($C:$C,$C2382,$D:$D,$D2382,$E:$E,"P0(전)",$M:$M,"&gt;0")&lt;&gt;1,"P0(전) 유효 1개 아님",IF(COUNTIFS($C:$C,$C2382,$D:$D,$D2382,$E:$E,"P0(후)",$M:$M,"&gt;0")&lt;&gt;1,"P0(후) 유효 1개 아님",IF(NOT(AND(ISNUMBER(O2382),ISNUMBER(Q2382),ISNUMBER(I2382))),"시각 결측",IF(Q2382&lt;=O2382,"P0 시각 역전",IF(OR(I2382&lt;O2382,I2382&gt;Q2382),"측정시각 구간 밖","OK")))))</f>
        <v/>
      </c>
      <c r="O2382" s="48">
        <f>IF(COUNTIFS($C:$C,$C2382,$D:$D,$D2382,$E:$E,"P0(전)",$M:$M,"&gt;0")&lt;&gt;1,"",SUMIFS($I:$I,$C:$C,$C2382,$D:$D,$D2382,$E:$E,"P0(전)"))</f>
        <v/>
      </c>
      <c r="P2382" s="31">
        <f>IF(COUNTIFS($C:$C,$C2382,$D:$D,$D2382,$E:$E,"P0(전)",$M:$M,"&gt;0")&lt;&gt;1,"",SUMIFS($M:$M,$C:$C,$C2382,$D:$D,$D2382,$E:$E,"P0(전)"))</f>
        <v/>
      </c>
      <c r="Q2382" s="48">
        <f>IF(COUNTIFS($C:$C,$C2382,$D:$D,$D2382,$E:$E,"P0(후)",$M:$M,"&gt;0")&lt;&gt;1,"",SUMIFS($I:$I,$C:$C,$C2382,$D:$D,$D2382,$E:$E,"P0(후)"))</f>
        <v/>
      </c>
      <c r="R2382" s="31">
        <f>IF(COUNTIFS($C:$C,$C2382,$D:$D,$D2382,$E:$E,"P0(후)",$M:$M,"&gt;0")&lt;&gt;1,"",SUMIFS($M:$M,$C:$C,$C2382,$D:$D,$D2382,$E:$E,"P0(후)"))</f>
        <v/>
      </c>
      <c r="S2382" s="31">
        <f>IF(N2382&lt;&gt;"OK","",P2382+(R2382-P2382)*(I2382-O2382)/(Q2382-O2382))</f>
        <v/>
      </c>
      <c r="T2382" s="31">
        <f>IF(OR(N2382&lt;&gt;"OK",NOT(ISNUMBER(M2382))),"",M2382-S2382)</f>
        <v/>
      </c>
      <c r="U2382" s="49">
        <f>IF(OR(NOT(ISNUMBER(T2382)),IF(ISNUMBER(H2382),H2382,G2382)=0),"",T2382/IF(ISNUMBER(H2382),H2382,G2382))</f>
        <v/>
      </c>
      <c r="V2382" s="49">
        <f>IF(ISNUMBER(U2382),ABS(U2382),"")</f>
        <v/>
      </c>
      <c r="W2382" s="49">
        <f>IF(OR($E2381&lt;&gt;"측정",$C2381&lt;&gt;$C2382,$D2381&lt;&gt;$D2382,NOT(ISNUMBER(M2382)),NOT(ISNUMBER(M2381)),(IF(ISNUMBER(H2382),H2382,G2382)-IF(ISNUMBER(H2381),H2381,G2381))=0),"",(M2382-M2381)/(IF(ISNUMBER(H2382),H2382,G2382)-IF(ISNUMBER(H2381),H2381,G2381)))</f>
        <v/>
      </c>
      <c r="X2382" s="31">
        <f>IF(NOT(AND(ISNUMBER(O2382),ISNUMBER(Q2382))),"",(Q2382-O2382)*1440)</f>
        <v/>
      </c>
      <c r="Y2382" s="29" t="n"/>
      <c r="Z2382" s="29" t="n"/>
      <c r="AA2382" s="29" t="n"/>
      <c r="AB2382" s="32" t="n"/>
      <c r="AC2382" s="32" t="n"/>
    </row>
    <row r="2383">
      <c r="A2383" s="26" t="inlineStr">
        <is>
          <t>S46</t>
        </is>
      </c>
      <c r="B2383" s="26" t="inlineStr">
        <is>
          <t>화천</t>
        </is>
      </c>
      <c r="C2383" s="26" t="inlineStr">
        <is>
          <t>S46-H남</t>
        </is>
      </c>
      <c r="D2383" s="47" t="n">
        <v>1</v>
      </c>
      <c r="E2383" s="26" t="inlineStr">
        <is>
          <t>측정</t>
        </is>
      </c>
      <c r="F2383" s="26" t="inlineStr">
        <is>
          <t>남</t>
        </is>
      </c>
      <c r="G2383" s="31" t="n">
        <v>10</v>
      </c>
      <c r="H2383" s="30" t="n"/>
      <c r="I2383" s="43" t="n"/>
      <c r="J2383" s="41" t="n"/>
      <c r="K2383" s="41" t="n"/>
      <c r="L2383" s="41" t="n"/>
      <c r="M2383" s="31">
        <f>IF(COUNT(J2383:L2383)=0,"",MEDIAN(J2383:L2383))</f>
        <v/>
      </c>
      <c r="N2383" s="26">
        <f>IF(COUNTIFS($C:$C,$C2383,$D:$D,$D2383,$E:$E,"P0(전)",$M:$M,"&gt;0")&lt;&gt;1,"P0(전) 유효 1개 아님",IF(COUNTIFS($C:$C,$C2383,$D:$D,$D2383,$E:$E,"P0(후)",$M:$M,"&gt;0")&lt;&gt;1,"P0(후) 유효 1개 아님",IF(NOT(AND(ISNUMBER(O2383),ISNUMBER(Q2383),ISNUMBER(I2383))),"시각 결측",IF(Q2383&lt;=O2383,"P0 시각 역전",IF(OR(I2383&lt;O2383,I2383&gt;Q2383),"측정시각 구간 밖","OK")))))</f>
        <v/>
      </c>
      <c r="O2383" s="48">
        <f>IF(COUNTIFS($C:$C,$C2383,$D:$D,$D2383,$E:$E,"P0(전)",$M:$M,"&gt;0")&lt;&gt;1,"",SUMIFS($I:$I,$C:$C,$C2383,$D:$D,$D2383,$E:$E,"P0(전)"))</f>
        <v/>
      </c>
      <c r="P2383" s="31">
        <f>IF(COUNTIFS($C:$C,$C2383,$D:$D,$D2383,$E:$E,"P0(전)",$M:$M,"&gt;0")&lt;&gt;1,"",SUMIFS($M:$M,$C:$C,$C2383,$D:$D,$D2383,$E:$E,"P0(전)"))</f>
        <v/>
      </c>
      <c r="Q2383" s="48">
        <f>IF(COUNTIFS($C:$C,$C2383,$D:$D,$D2383,$E:$E,"P0(후)",$M:$M,"&gt;0")&lt;&gt;1,"",SUMIFS($I:$I,$C:$C,$C2383,$D:$D,$D2383,$E:$E,"P0(후)"))</f>
        <v/>
      </c>
      <c r="R2383" s="31">
        <f>IF(COUNTIFS($C:$C,$C2383,$D:$D,$D2383,$E:$E,"P0(후)",$M:$M,"&gt;0")&lt;&gt;1,"",SUMIFS($M:$M,$C:$C,$C2383,$D:$D,$D2383,$E:$E,"P0(후)"))</f>
        <v/>
      </c>
      <c r="S2383" s="31">
        <f>IF(N2383&lt;&gt;"OK","",P2383+(R2383-P2383)*(I2383-O2383)/(Q2383-O2383))</f>
        <v/>
      </c>
      <c r="T2383" s="31">
        <f>IF(OR(N2383&lt;&gt;"OK",NOT(ISNUMBER(M2383))),"",M2383-S2383)</f>
        <v/>
      </c>
      <c r="U2383" s="49">
        <f>IF(OR(NOT(ISNUMBER(T2383)),IF(ISNUMBER(H2383),H2383,G2383)=0),"",T2383/IF(ISNUMBER(H2383),H2383,G2383))</f>
        <v/>
      </c>
      <c r="V2383" s="49">
        <f>IF(ISNUMBER(U2383),ABS(U2383),"")</f>
        <v/>
      </c>
      <c r="W2383" s="49">
        <f>IF(OR($E2382&lt;&gt;"측정",$C2382&lt;&gt;$C2383,$D2382&lt;&gt;$D2383,NOT(ISNUMBER(M2383)),NOT(ISNUMBER(M2382)),(IF(ISNUMBER(H2383),H2383,G2383)-IF(ISNUMBER(H2382),H2382,G2382))=0),"",(M2383-M2382)/(IF(ISNUMBER(H2383),H2383,G2383)-IF(ISNUMBER(H2382),H2382,G2382)))</f>
        <v/>
      </c>
      <c r="X2383" s="31">
        <f>IF(NOT(AND(ISNUMBER(O2383),ISNUMBER(Q2383))),"",(Q2383-O2383)*1440)</f>
        <v/>
      </c>
      <c r="Y2383" s="29" t="n"/>
      <c r="Z2383" s="29" t="n"/>
      <c r="AA2383" s="29" t="n"/>
      <c r="AB2383" s="32" t="n"/>
      <c r="AC2383" s="32" t="n"/>
    </row>
    <row r="2384">
      <c r="A2384" s="44" t="inlineStr">
        <is>
          <t>S46</t>
        </is>
      </c>
      <c r="B2384" s="44" t="inlineStr">
        <is>
          <t>화천</t>
        </is>
      </c>
      <c r="C2384" s="44" t="inlineStr">
        <is>
          <t>S46-H남</t>
        </is>
      </c>
      <c r="D2384" s="45" t="n">
        <v>1</v>
      </c>
      <c r="E2384" s="44" t="inlineStr">
        <is>
          <t>P0(후)</t>
        </is>
      </c>
      <c r="F2384" s="44" t="inlineStr">
        <is>
          <t>남</t>
        </is>
      </c>
      <c r="G2384" s="46" t="n"/>
      <c r="H2384" s="30" t="n"/>
      <c r="I2384" s="43" t="n"/>
      <c r="J2384" s="41" t="n"/>
      <c r="K2384" s="41" t="n"/>
      <c r="L2384" s="41" t="n"/>
      <c r="M2384" s="31">
        <f>IF(COUNT(J2384:L2384)=0,"",MEDIAN(J2384:L2384))</f>
        <v/>
      </c>
      <c r="N2384" s="38" t="n"/>
      <c r="O2384" s="38" t="n"/>
      <c r="P2384" s="38" t="n"/>
      <c r="Q2384" s="38" t="n"/>
      <c r="R2384" s="38" t="n"/>
      <c r="S2384" s="38" t="n"/>
      <c r="T2384" s="38" t="n"/>
      <c r="U2384" s="38" t="n"/>
      <c r="V2384" s="38" t="n"/>
      <c r="W2384" s="38" t="n"/>
      <c r="X2384" s="38" t="n"/>
      <c r="Y2384" s="29" t="n"/>
      <c r="Z2384" s="29" t="n"/>
      <c r="AA2384" s="29" t="n"/>
      <c r="AB2384" s="32" t="n"/>
      <c r="AC2384" s="32" t="n"/>
    </row>
    <row r="2385">
      <c r="A2385" s="44" t="inlineStr">
        <is>
          <t>S46</t>
        </is>
      </c>
      <c r="B2385" s="44" t="inlineStr">
        <is>
          <t>화천</t>
        </is>
      </c>
      <c r="C2385" s="44" t="inlineStr">
        <is>
          <t>S46-H북</t>
        </is>
      </c>
      <c r="D2385" s="45" t="n">
        <v>1</v>
      </c>
      <c r="E2385" s="44" t="inlineStr">
        <is>
          <t>P0(전)</t>
        </is>
      </c>
      <c r="F2385" s="44" t="inlineStr">
        <is>
          <t>북</t>
        </is>
      </c>
      <c r="G2385" s="46" t="n"/>
      <c r="H2385" s="30" t="n"/>
      <c r="I2385" s="43" t="n"/>
      <c r="J2385" s="41" t="n"/>
      <c r="K2385" s="41" t="n"/>
      <c r="L2385" s="41" t="n"/>
      <c r="M2385" s="31">
        <f>IF(COUNT(J2385:L2385)=0,"",MEDIAN(J2385:L2385))</f>
        <v/>
      </c>
      <c r="N2385" s="38" t="n"/>
      <c r="O2385" s="38" t="n"/>
      <c r="P2385" s="38" t="n"/>
      <c r="Q2385" s="38" t="n"/>
      <c r="R2385" s="38" t="n"/>
      <c r="S2385" s="38" t="n"/>
      <c r="T2385" s="38" t="n"/>
      <c r="U2385" s="38" t="n"/>
      <c r="V2385" s="38" t="n"/>
      <c r="W2385" s="38" t="n"/>
      <c r="X2385" s="38" t="n"/>
      <c r="Y2385" s="29" t="n"/>
      <c r="Z2385" s="29" t="n"/>
      <c r="AA2385" s="29" t="n"/>
      <c r="AB2385" s="32" t="n"/>
      <c r="AC2385" s="32" t="n"/>
    </row>
    <row r="2386">
      <c r="A2386" s="26" t="inlineStr">
        <is>
          <t>S46</t>
        </is>
      </c>
      <c r="B2386" s="26" t="inlineStr">
        <is>
          <t>화천</t>
        </is>
      </c>
      <c r="C2386" s="26" t="inlineStr">
        <is>
          <t>S46-H북</t>
        </is>
      </c>
      <c r="D2386" s="47" t="n">
        <v>1</v>
      </c>
      <c r="E2386" s="26" t="inlineStr">
        <is>
          <t>측정</t>
        </is>
      </c>
      <c r="F2386" s="26" t="inlineStr">
        <is>
          <t>북</t>
        </is>
      </c>
      <c r="G2386" s="31" t="n">
        <v>0.5</v>
      </c>
      <c r="H2386" s="30" t="n"/>
      <c r="I2386" s="43" t="n"/>
      <c r="J2386" s="41" t="n"/>
      <c r="K2386" s="41" t="n"/>
      <c r="L2386" s="41" t="n"/>
      <c r="M2386" s="31">
        <f>IF(COUNT(J2386:L2386)=0,"",MEDIAN(J2386:L2386))</f>
        <v/>
      </c>
      <c r="N2386" s="26">
        <f>IF(COUNTIFS($C:$C,$C2386,$D:$D,$D2386,$E:$E,"P0(전)",$M:$M,"&gt;0")&lt;&gt;1,"P0(전) 유효 1개 아님",IF(COUNTIFS($C:$C,$C2386,$D:$D,$D2386,$E:$E,"P0(후)",$M:$M,"&gt;0")&lt;&gt;1,"P0(후) 유효 1개 아님",IF(NOT(AND(ISNUMBER(O2386),ISNUMBER(Q2386),ISNUMBER(I2386))),"시각 결측",IF(Q2386&lt;=O2386,"P0 시각 역전",IF(OR(I2386&lt;O2386,I2386&gt;Q2386),"측정시각 구간 밖","OK")))))</f>
        <v/>
      </c>
      <c r="O2386" s="48">
        <f>IF(COUNTIFS($C:$C,$C2386,$D:$D,$D2386,$E:$E,"P0(전)",$M:$M,"&gt;0")&lt;&gt;1,"",SUMIFS($I:$I,$C:$C,$C2386,$D:$D,$D2386,$E:$E,"P0(전)"))</f>
        <v/>
      </c>
      <c r="P2386" s="31">
        <f>IF(COUNTIFS($C:$C,$C2386,$D:$D,$D2386,$E:$E,"P0(전)",$M:$M,"&gt;0")&lt;&gt;1,"",SUMIFS($M:$M,$C:$C,$C2386,$D:$D,$D2386,$E:$E,"P0(전)"))</f>
        <v/>
      </c>
      <c r="Q2386" s="48">
        <f>IF(COUNTIFS($C:$C,$C2386,$D:$D,$D2386,$E:$E,"P0(후)",$M:$M,"&gt;0")&lt;&gt;1,"",SUMIFS($I:$I,$C:$C,$C2386,$D:$D,$D2386,$E:$E,"P0(후)"))</f>
        <v/>
      </c>
      <c r="R2386" s="31">
        <f>IF(COUNTIFS($C:$C,$C2386,$D:$D,$D2386,$E:$E,"P0(후)",$M:$M,"&gt;0")&lt;&gt;1,"",SUMIFS($M:$M,$C:$C,$C2386,$D:$D,$D2386,$E:$E,"P0(후)"))</f>
        <v/>
      </c>
      <c r="S2386" s="31">
        <f>IF(N2386&lt;&gt;"OK","",P2386+(R2386-P2386)*(I2386-O2386)/(Q2386-O2386))</f>
        <v/>
      </c>
      <c r="T2386" s="31">
        <f>IF(OR(N2386&lt;&gt;"OK",NOT(ISNUMBER(M2386))),"",M2386-S2386)</f>
        <v/>
      </c>
      <c r="U2386" s="49">
        <f>IF(OR(NOT(ISNUMBER(T2386)),IF(ISNUMBER(H2386),H2386,G2386)=0),"",T2386/IF(ISNUMBER(H2386),H2386,G2386))</f>
        <v/>
      </c>
      <c r="V2386" s="49">
        <f>IF(ISNUMBER(U2386),ABS(U2386),"")</f>
        <v/>
      </c>
      <c r="W2386" s="49">
        <f>IF(OR($E2385&lt;&gt;"측정",$C2385&lt;&gt;$C2386,$D2385&lt;&gt;$D2386,NOT(ISNUMBER(M2386)),NOT(ISNUMBER(M2385)),(IF(ISNUMBER(H2386),H2386,G2386)-IF(ISNUMBER(H2385),H2385,G2385))=0),"",(M2386-M2385)/(IF(ISNUMBER(H2386),H2386,G2386)-IF(ISNUMBER(H2385),H2385,G2385)))</f>
        <v/>
      </c>
      <c r="X2386" s="31">
        <f>IF(NOT(AND(ISNUMBER(O2386),ISNUMBER(Q2386))),"",(Q2386-O2386)*1440)</f>
        <v/>
      </c>
      <c r="Y2386" s="29" t="n"/>
      <c r="Z2386" s="29" t="n"/>
      <c r="AA2386" s="29" t="n"/>
      <c r="AB2386" s="32" t="n"/>
      <c r="AC2386" s="32" t="n"/>
    </row>
    <row r="2387">
      <c r="A2387" s="26" t="inlineStr">
        <is>
          <t>S46</t>
        </is>
      </c>
      <c r="B2387" s="26" t="inlineStr">
        <is>
          <t>화천</t>
        </is>
      </c>
      <c r="C2387" s="26" t="inlineStr">
        <is>
          <t>S46-H북</t>
        </is>
      </c>
      <c r="D2387" s="47" t="n">
        <v>1</v>
      </c>
      <c r="E2387" s="26" t="inlineStr">
        <is>
          <t>측정</t>
        </is>
      </c>
      <c r="F2387" s="26" t="inlineStr">
        <is>
          <t>북</t>
        </is>
      </c>
      <c r="G2387" s="31" t="n">
        <v>1</v>
      </c>
      <c r="H2387" s="30" t="n"/>
      <c r="I2387" s="43" t="n"/>
      <c r="J2387" s="41" t="n"/>
      <c r="K2387" s="41" t="n"/>
      <c r="L2387" s="41" t="n"/>
      <c r="M2387" s="31">
        <f>IF(COUNT(J2387:L2387)=0,"",MEDIAN(J2387:L2387))</f>
        <v/>
      </c>
      <c r="N2387" s="26">
        <f>IF(COUNTIFS($C:$C,$C2387,$D:$D,$D2387,$E:$E,"P0(전)",$M:$M,"&gt;0")&lt;&gt;1,"P0(전) 유효 1개 아님",IF(COUNTIFS($C:$C,$C2387,$D:$D,$D2387,$E:$E,"P0(후)",$M:$M,"&gt;0")&lt;&gt;1,"P0(후) 유효 1개 아님",IF(NOT(AND(ISNUMBER(O2387),ISNUMBER(Q2387),ISNUMBER(I2387))),"시각 결측",IF(Q2387&lt;=O2387,"P0 시각 역전",IF(OR(I2387&lt;O2387,I2387&gt;Q2387),"측정시각 구간 밖","OK")))))</f>
        <v/>
      </c>
      <c r="O2387" s="48">
        <f>IF(COUNTIFS($C:$C,$C2387,$D:$D,$D2387,$E:$E,"P0(전)",$M:$M,"&gt;0")&lt;&gt;1,"",SUMIFS($I:$I,$C:$C,$C2387,$D:$D,$D2387,$E:$E,"P0(전)"))</f>
        <v/>
      </c>
      <c r="P2387" s="31">
        <f>IF(COUNTIFS($C:$C,$C2387,$D:$D,$D2387,$E:$E,"P0(전)",$M:$M,"&gt;0")&lt;&gt;1,"",SUMIFS($M:$M,$C:$C,$C2387,$D:$D,$D2387,$E:$E,"P0(전)"))</f>
        <v/>
      </c>
      <c r="Q2387" s="48">
        <f>IF(COUNTIFS($C:$C,$C2387,$D:$D,$D2387,$E:$E,"P0(후)",$M:$M,"&gt;0")&lt;&gt;1,"",SUMIFS($I:$I,$C:$C,$C2387,$D:$D,$D2387,$E:$E,"P0(후)"))</f>
        <v/>
      </c>
      <c r="R2387" s="31">
        <f>IF(COUNTIFS($C:$C,$C2387,$D:$D,$D2387,$E:$E,"P0(후)",$M:$M,"&gt;0")&lt;&gt;1,"",SUMIFS($M:$M,$C:$C,$C2387,$D:$D,$D2387,$E:$E,"P0(후)"))</f>
        <v/>
      </c>
      <c r="S2387" s="31">
        <f>IF(N2387&lt;&gt;"OK","",P2387+(R2387-P2387)*(I2387-O2387)/(Q2387-O2387))</f>
        <v/>
      </c>
      <c r="T2387" s="31">
        <f>IF(OR(N2387&lt;&gt;"OK",NOT(ISNUMBER(M2387))),"",M2387-S2387)</f>
        <v/>
      </c>
      <c r="U2387" s="49">
        <f>IF(OR(NOT(ISNUMBER(T2387)),IF(ISNUMBER(H2387),H2387,G2387)=0),"",T2387/IF(ISNUMBER(H2387),H2387,G2387))</f>
        <v/>
      </c>
      <c r="V2387" s="49">
        <f>IF(ISNUMBER(U2387),ABS(U2387),"")</f>
        <v/>
      </c>
      <c r="W2387" s="49">
        <f>IF(OR($E2386&lt;&gt;"측정",$C2386&lt;&gt;$C2387,$D2386&lt;&gt;$D2387,NOT(ISNUMBER(M2387)),NOT(ISNUMBER(M2386)),(IF(ISNUMBER(H2387),H2387,G2387)-IF(ISNUMBER(H2386),H2386,G2386))=0),"",(M2387-M2386)/(IF(ISNUMBER(H2387),H2387,G2387)-IF(ISNUMBER(H2386),H2386,G2386)))</f>
        <v/>
      </c>
      <c r="X2387" s="31">
        <f>IF(NOT(AND(ISNUMBER(O2387),ISNUMBER(Q2387))),"",(Q2387-O2387)*1440)</f>
        <v/>
      </c>
      <c r="Y2387" s="29" t="n"/>
      <c r="Z2387" s="29" t="n"/>
      <c r="AA2387" s="29" t="n"/>
      <c r="AB2387" s="32" t="n"/>
      <c r="AC2387" s="32" t="n"/>
    </row>
    <row r="2388">
      <c r="A2388" s="26" t="inlineStr">
        <is>
          <t>S46</t>
        </is>
      </c>
      <c r="B2388" s="26" t="inlineStr">
        <is>
          <t>화천</t>
        </is>
      </c>
      <c r="C2388" s="26" t="inlineStr">
        <is>
          <t>S46-H북</t>
        </is>
      </c>
      <c r="D2388" s="47" t="n">
        <v>1</v>
      </c>
      <c r="E2388" s="26" t="inlineStr">
        <is>
          <t>측정</t>
        </is>
      </c>
      <c r="F2388" s="26" t="inlineStr">
        <is>
          <t>북</t>
        </is>
      </c>
      <c r="G2388" s="31" t="n">
        <v>2</v>
      </c>
      <c r="H2388" s="30" t="n"/>
      <c r="I2388" s="43" t="n"/>
      <c r="J2388" s="41" t="n"/>
      <c r="K2388" s="41" t="n"/>
      <c r="L2388" s="41" t="n"/>
      <c r="M2388" s="31">
        <f>IF(COUNT(J2388:L2388)=0,"",MEDIAN(J2388:L2388))</f>
        <v/>
      </c>
      <c r="N2388" s="26">
        <f>IF(COUNTIFS($C:$C,$C2388,$D:$D,$D2388,$E:$E,"P0(전)",$M:$M,"&gt;0")&lt;&gt;1,"P0(전) 유효 1개 아님",IF(COUNTIFS($C:$C,$C2388,$D:$D,$D2388,$E:$E,"P0(후)",$M:$M,"&gt;0")&lt;&gt;1,"P0(후) 유효 1개 아님",IF(NOT(AND(ISNUMBER(O2388),ISNUMBER(Q2388),ISNUMBER(I2388))),"시각 결측",IF(Q2388&lt;=O2388,"P0 시각 역전",IF(OR(I2388&lt;O2388,I2388&gt;Q2388),"측정시각 구간 밖","OK")))))</f>
        <v/>
      </c>
      <c r="O2388" s="48">
        <f>IF(COUNTIFS($C:$C,$C2388,$D:$D,$D2388,$E:$E,"P0(전)",$M:$M,"&gt;0")&lt;&gt;1,"",SUMIFS($I:$I,$C:$C,$C2388,$D:$D,$D2388,$E:$E,"P0(전)"))</f>
        <v/>
      </c>
      <c r="P2388" s="31">
        <f>IF(COUNTIFS($C:$C,$C2388,$D:$D,$D2388,$E:$E,"P0(전)",$M:$M,"&gt;0")&lt;&gt;1,"",SUMIFS($M:$M,$C:$C,$C2388,$D:$D,$D2388,$E:$E,"P0(전)"))</f>
        <v/>
      </c>
      <c r="Q2388" s="48">
        <f>IF(COUNTIFS($C:$C,$C2388,$D:$D,$D2388,$E:$E,"P0(후)",$M:$M,"&gt;0")&lt;&gt;1,"",SUMIFS($I:$I,$C:$C,$C2388,$D:$D,$D2388,$E:$E,"P0(후)"))</f>
        <v/>
      </c>
      <c r="R2388" s="31">
        <f>IF(COUNTIFS($C:$C,$C2388,$D:$D,$D2388,$E:$E,"P0(후)",$M:$M,"&gt;0")&lt;&gt;1,"",SUMIFS($M:$M,$C:$C,$C2388,$D:$D,$D2388,$E:$E,"P0(후)"))</f>
        <v/>
      </c>
      <c r="S2388" s="31">
        <f>IF(N2388&lt;&gt;"OK","",P2388+(R2388-P2388)*(I2388-O2388)/(Q2388-O2388))</f>
        <v/>
      </c>
      <c r="T2388" s="31">
        <f>IF(OR(N2388&lt;&gt;"OK",NOT(ISNUMBER(M2388))),"",M2388-S2388)</f>
        <v/>
      </c>
      <c r="U2388" s="49">
        <f>IF(OR(NOT(ISNUMBER(T2388)),IF(ISNUMBER(H2388),H2388,G2388)=0),"",T2388/IF(ISNUMBER(H2388),H2388,G2388))</f>
        <v/>
      </c>
      <c r="V2388" s="49">
        <f>IF(ISNUMBER(U2388),ABS(U2388),"")</f>
        <v/>
      </c>
      <c r="W2388" s="49">
        <f>IF(OR($E2387&lt;&gt;"측정",$C2387&lt;&gt;$C2388,$D2387&lt;&gt;$D2388,NOT(ISNUMBER(M2388)),NOT(ISNUMBER(M2387)),(IF(ISNUMBER(H2388),H2388,G2388)-IF(ISNUMBER(H2387),H2387,G2387))=0),"",(M2388-M2387)/(IF(ISNUMBER(H2388),H2388,G2388)-IF(ISNUMBER(H2387),H2387,G2387)))</f>
        <v/>
      </c>
      <c r="X2388" s="31">
        <f>IF(NOT(AND(ISNUMBER(O2388),ISNUMBER(Q2388))),"",(Q2388-O2388)*1440)</f>
        <v/>
      </c>
      <c r="Y2388" s="29" t="n"/>
      <c r="Z2388" s="29" t="n"/>
      <c r="AA2388" s="29" t="n"/>
      <c r="AB2388" s="32" t="n"/>
      <c r="AC2388" s="32" t="n"/>
    </row>
    <row r="2389">
      <c r="A2389" s="26" t="inlineStr">
        <is>
          <t>S46</t>
        </is>
      </c>
      <c r="B2389" s="26" t="inlineStr">
        <is>
          <t>화천</t>
        </is>
      </c>
      <c r="C2389" s="26" t="inlineStr">
        <is>
          <t>S46-H북</t>
        </is>
      </c>
      <c r="D2389" s="47" t="n">
        <v>1</v>
      </c>
      <c r="E2389" s="26" t="inlineStr">
        <is>
          <t>측정</t>
        </is>
      </c>
      <c r="F2389" s="26" t="inlineStr">
        <is>
          <t>북</t>
        </is>
      </c>
      <c r="G2389" s="31" t="n">
        <v>3</v>
      </c>
      <c r="H2389" s="30" t="n"/>
      <c r="I2389" s="43" t="n"/>
      <c r="J2389" s="41" t="n"/>
      <c r="K2389" s="41" t="n"/>
      <c r="L2389" s="41" t="n"/>
      <c r="M2389" s="31">
        <f>IF(COUNT(J2389:L2389)=0,"",MEDIAN(J2389:L2389))</f>
        <v/>
      </c>
      <c r="N2389" s="26">
        <f>IF(COUNTIFS($C:$C,$C2389,$D:$D,$D2389,$E:$E,"P0(전)",$M:$M,"&gt;0")&lt;&gt;1,"P0(전) 유효 1개 아님",IF(COUNTIFS($C:$C,$C2389,$D:$D,$D2389,$E:$E,"P0(후)",$M:$M,"&gt;0")&lt;&gt;1,"P0(후) 유효 1개 아님",IF(NOT(AND(ISNUMBER(O2389),ISNUMBER(Q2389),ISNUMBER(I2389))),"시각 결측",IF(Q2389&lt;=O2389,"P0 시각 역전",IF(OR(I2389&lt;O2389,I2389&gt;Q2389),"측정시각 구간 밖","OK")))))</f>
        <v/>
      </c>
      <c r="O2389" s="48">
        <f>IF(COUNTIFS($C:$C,$C2389,$D:$D,$D2389,$E:$E,"P0(전)",$M:$M,"&gt;0")&lt;&gt;1,"",SUMIFS($I:$I,$C:$C,$C2389,$D:$D,$D2389,$E:$E,"P0(전)"))</f>
        <v/>
      </c>
      <c r="P2389" s="31">
        <f>IF(COUNTIFS($C:$C,$C2389,$D:$D,$D2389,$E:$E,"P0(전)",$M:$M,"&gt;0")&lt;&gt;1,"",SUMIFS($M:$M,$C:$C,$C2389,$D:$D,$D2389,$E:$E,"P0(전)"))</f>
        <v/>
      </c>
      <c r="Q2389" s="48">
        <f>IF(COUNTIFS($C:$C,$C2389,$D:$D,$D2389,$E:$E,"P0(후)",$M:$M,"&gt;0")&lt;&gt;1,"",SUMIFS($I:$I,$C:$C,$C2389,$D:$D,$D2389,$E:$E,"P0(후)"))</f>
        <v/>
      </c>
      <c r="R2389" s="31">
        <f>IF(COUNTIFS($C:$C,$C2389,$D:$D,$D2389,$E:$E,"P0(후)",$M:$M,"&gt;0")&lt;&gt;1,"",SUMIFS($M:$M,$C:$C,$C2389,$D:$D,$D2389,$E:$E,"P0(후)"))</f>
        <v/>
      </c>
      <c r="S2389" s="31">
        <f>IF(N2389&lt;&gt;"OK","",P2389+(R2389-P2389)*(I2389-O2389)/(Q2389-O2389))</f>
        <v/>
      </c>
      <c r="T2389" s="31">
        <f>IF(OR(N2389&lt;&gt;"OK",NOT(ISNUMBER(M2389))),"",M2389-S2389)</f>
        <v/>
      </c>
      <c r="U2389" s="49">
        <f>IF(OR(NOT(ISNUMBER(T2389)),IF(ISNUMBER(H2389),H2389,G2389)=0),"",T2389/IF(ISNUMBER(H2389),H2389,G2389))</f>
        <v/>
      </c>
      <c r="V2389" s="49">
        <f>IF(ISNUMBER(U2389),ABS(U2389),"")</f>
        <v/>
      </c>
      <c r="W2389" s="49">
        <f>IF(OR($E2388&lt;&gt;"측정",$C2388&lt;&gt;$C2389,$D2388&lt;&gt;$D2389,NOT(ISNUMBER(M2389)),NOT(ISNUMBER(M2388)),(IF(ISNUMBER(H2389),H2389,G2389)-IF(ISNUMBER(H2388),H2388,G2388))=0),"",(M2389-M2388)/(IF(ISNUMBER(H2389),H2389,G2389)-IF(ISNUMBER(H2388),H2388,G2388)))</f>
        <v/>
      </c>
      <c r="X2389" s="31">
        <f>IF(NOT(AND(ISNUMBER(O2389),ISNUMBER(Q2389))),"",(Q2389-O2389)*1440)</f>
        <v/>
      </c>
      <c r="Y2389" s="29" t="n"/>
      <c r="Z2389" s="29" t="n"/>
      <c r="AA2389" s="29" t="n"/>
      <c r="AB2389" s="32" t="n"/>
      <c r="AC2389" s="32" t="n"/>
    </row>
    <row r="2390">
      <c r="A2390" s="26" t="inlineStr">
        <is>
          <t>S46</t>
        </is>
      </c>
      <c r="B2390" s="26" t="inlineStr">
        <is>
          <t>화천</t>
        </is>
      </c>
      <c r="C2390" s="26" t="inlineStr">
        <is>
          <t>S46-H북</t>
        </is>
      </c>
      <c r="D2390" s="47" t="n">
        <v>1</v>
      </c>
      <c r="E2390" s="26" t="inlineStr">
        <is>
          <t>측정</t>
        </is>
      </c>
      <c r="F2390" s="26" t="inlineStr">
        <is>
          <t>북</t>
        </is>
      </c>
      <c r="G2390" s="31" t="n">
        <v>4</v>
      </c>
      <c r="H2390" s="30" t="n"/>
      <c r="I2390" s="43" t="n"/>
      <c r="J2390" s="41" t="n"/>
      <c r="K2390" s="41" t="n"/>
      <c r="L2390" s="41" t="n"/>
      <c r="M2390" s="31">
        <f>IF(COUNT(J2390:L2390)=0,"",MEDIAN(J2390:L2390))</f>
        <v/>
      </c>
      <c r="N2390" s="26">
        <f>IF(COUNTIFS($C:$C,$C2390,$D:$D,$D2390,$E:$E,"P0(전)",$M:$M,"&gt;0")&lt;&gt;1,"P0(전) 유효 1개 아님",IF(COUNTIFS($C:$C,$C2390,$D:$D,$D2390,$E:$E,"P0(후)",$M:$M,"&gt;0")&lt;&gt;1,"P0(후) 유효 1개 아님",IF(NOT(AND(ISNUMBER(O2390),ISNUMBER(Q2390),ISNUMBER(I2390))),"시각 결측",IF(Q2390&lt;=O2390,"P0 시각 역전",IF(OR(I2390&lt;O2390,I2390&gt;Q2390),"측정시각 구간 밖","OK")))))</f>
        <v/>
      </c>
      <c r="O2390" s="48">
        <f>IF(COUNTIFS($C:$C,$C2390,$D:$D,$D2390,$E:$E,"P0(전)",$M:$M,"&gt;0")&lt;&gt;1,"",SUMIFS($I:$I,$C:$C,$C2390,$D:$D,$D2390,$E:$E,"P0(전)"))</f>
        <v/>
      </c>
      <c r="P2390" s="31">
        <f>IF(COUNTIFS($C:$C,$C2390,$D:$D,$D2390,$E:$E,"P0(전)",$M:$M,"&gt;0")&lt;&gt;1,"",SUMIFS($M:$M,$C:$C,$C2390,$D:$D,$D2390,$E:$E,"P0(전)"))</f>
        <v/>
      </c>
      <c r="Q2390" s="48">
        <f>IF(COUNTIFS($C:$C,$C2390,$D:$D,$D2390,$E:$E,"P0(후)",$M:$M,"&gt;0")&lt;&gt;1,"",SUMIFS($I:$I,$C:$C,$C2390,$D:$D,$D2390,$E:$E,"P0(후)"))</f>
        <v/>
      </c>
      <c r="R2390" s="31">
        <f>IF(COUNTIFS($C:$C,$C2390,$D:$D,$D2390,$E:$E,"P0(후)",$M:$M,"&gt;0")&lt;&gt;1,"",SUMIFS($M:$M,$C:$C,$C2390,$D:$D,$D2390,$E:$E,"P0(후)"))</f>
        <v/>
      </c>
      <c r="S2390" s="31">
        <f>IF(N2390&lt;&gt;"OK","",P2390+(R2390-P2390)*(I2390-O2390)/(Q2390-O2390))</f>
        <v/>
      </c>
      <c r="T2390" s="31">
        <f>IF(OR(N2390&lt;&gt;"OK",NOT(ISNUMBER(M2390))),"",M2390-S2390)</f>
        <v/>
      </c>
      <c r="U2390" s="49">
        <f>IF(OR(NOT(ISNUMBER(T2390)),IF(ISNUMBER(H2390),H2390,G2390)=0),"",T2390/IF(ISNUMBER(H2390),H2390,G2390))</f>
        <v/>
      </c>
      <c r="V2390" s="49">
        <f>IF(ISNUMBER(U2390),ABS(U2390),"")</f>
        <v/>
      </c>
      <c r="W2390" s="49">
        <f>IF(OR($E2389&lt;&gt;"측정",$C2389&lt;&gt;$C2390,$D2389&lt;&gt;$D2390,NOT(ISNUMBER(M2390)),NOT(ISNUMBER(M2389)),(IF(ISNUMBER(H2390),H2390,G2390)-IF(ISNUMBER(H2389),H2389,G2389))=0),"",(M2390-M2389)/(IF(ISNUMBER(H2390),H2390,G2390)-IF(ISNUMBER(H2389),H2389,G2389)))</f>
        <v/>
      </c>
      <c r="X2390" s="31">
        <f>IF(NOT(AND(ISNUMBER(O2390),ISNUMBER(Q2390))),"",(Q2390-O2390)*1440)</f>
        <v/>
      </c>
      <c r="Y2390" s="29" t="n"/>
      <c r="Z2390" s="29" t="n"/>
      <c r="AA2390" s="29" t="n"/>
      <c r="AB2390" s="32" t="n"/>
      <c r="AC2390" s="32" t="n"/>
    </row>
    <row r="2391">
      <c r="A2391" s="26" t="inlineStr">
        <is>
          <t>S46</t>
        </is>
      </c>
      <c r="B2391" s="26" t="inlineStr">
        <is>
          <t>화천</t>
        </is>
      </c>
      <c r="C2391" s="26" t="inlineStr">
        <is>
          <t>S46-H북</t>
        </is>
      </c>
      <c r="D2391" s="47" t="n">
        <v>1</v>
      </c>
      <c r="E2391" s="26" t="inlineStr">
        <is>
          <t>측정</t>
        </is>
      </c>
      <c r="F2391" s="26" t="inlineStr">
        <is>
          <t>북</t>
        </is>
      </c>
      <c r="G2391" s="31" t="n">
        <v>5</v>
      </c>
      <c r="H2391" s="30" t="n"/>
      <c r="I2391" s="43" t="n"/>
      <c r="J2391" s="41" t="n"/>
      <c r="K2391" s="41" t="n"/>
      <c r="L2391" s="41" t="n"/>
      <c r="M2391" s="31">
        <f>IF(COUNT(J2391:L2391)=0,"",MEDIAN(J2391:L2391))</f>
        <v/>
      </c>
      <c r="N2391" s="26">
        <f>IF(COUNTIFS($C:$C,$C2391,$D:$D,$D2391,$E:$E,"P0(전)",$M:$M,"&gt;0")&lt;&gt;1,"P0(전) 유효 1개 아님",IF(COUNTIFS($C:$C,$C2391,$D:$D,$D2391,$E:$E,"P0(후)",$M:$M,"&gt;0")&lt;&gt;1,"P0(후) 유효 1개 아님",IF(NOT(AND(ISNUMBER(O2391),ISNUMBER(Q2391),ISNUMBER(I2391))),"시각 결측",IF(Q2391&lt;=O2391,"P0 시각 역전",IF(OR(I2391&lt;O2391,I2391&gt;Q2391),"측정시각 구간 밖","OK")))))</f>
        <v/>
      </c>
      <c r="O2391" s="48">
        <f>IF(COUNTIFS($C:$C,$C2391,$D:$D,$D2391,$E:$E,"P0(전)",$M:$M,"&gt;0")&lt;&gt;1,"",SUMIFS($I:$I,$C:$C,$C2391,$D:$D,$D2391,$E:$E,"P0(전)"))</f>
        <v/>
      </c>
      <c r="P2391" s="31">
        <f>IF(COUNTIFS($C:$C,$C2391,$D:$D,$D2391,$E:$E,"P0(전)",$M:$M,"&gt;0")&lt;&gt;1,"",SUMIFS($M:$M,$C:$C,$C2391,$D:$D,$D2391,$E:$E,"P0(전)"))</f>
        <v/>
      </c>
      <c r="Q2391" s="48">
        <f>IF(COUNTIFS($C:$C,$C2391,$D:$D,$D2391,$E:$E,"P0(후)",$M:$M,"&gt;0")&lt;&gt;1,"",SUMIFS($I:$I,$C:$C,$C2391,$D:$D,$D2391,$E:$E,"P0(후)"))</f>
        <v/>
      </c>
      <c r="R2391" s="31">
        <f>IF(COUNTIFS($C:$C,$C2391,$D:$D,$D2391,$E:$E,"P0(후)",$M:$M,"&gt;0")&lt;&gt;1,"",SUMIFS($M:$M,$C:$C,$C2391,$D:$D,$D2391,$E:$E,"P0(후)"))</f>
        <v/>
      </c>
      <c r="S2391" s="31">
        <f>IF(N2391&lt;&gt;"OK","",P2391+(R2391-P2391)*(I2391-O2391)/(Q2391-O2391))</f>
        <v/>
      </c>
      <c r="T2391" s="31">
        <f>IF(OR(N2391&lt;&gt;"OK",NOT(ISNUMBER(M2391))),"",M2391-S2391)</f>
        <v/>
      </c>
      <c r="U2391" s="49">
        <f>IF(OR(NOT(ISNUMBER(T2391)),IF(ISNUMBER(H2391),H2391,G2391)=0),"",T2391/IF(ISNUMBER(H2391),H2391,G2391))</f>
        <v/>
      </c>
      <c r="V2391" s="49">
        <f>IF(ISNUMBER(U2391),ABS(U2391),"")</f>
        <v/>
      </c>
      <c r="W2391" s="49">
        <f>IF(OR($E2390&lt;&gt;"측정",$C2390&lt;&gt;$C2391,$D2390&lt;&gt;$D2391,NOT(ISNUMBER(M2391)),NOT(ISNUMBER(M2390)),(IF(ISNUMBER(H2391),H2391,G2391)-IF(ISNUMBER(H2390),H2390,G2390))=0),"",(M2391-M2390)/(IF(ISNUMBER(H2391),H2391,G2391)-IF(ISNUMBER(H2390),H2390,G2390)))</f>
        <v/>
      </c>
      <c r="X2391" s="31">
        <f>IF(NOT(AND(ISNUMBER(O2391),ISNUMBER(Q2391))),"",(Q2391-O2391)*1440)</f>
        <v/>
      </c>
      <c r="Y2391" s="29" t="n"/>
      <c r="Z2391" s="29" t="n"/>
      <c r="AA2391" s="29" t="n"/>
      <c r="AB2391" s="32" t="n"/>
      <c r="AC2391" s="32" t="n"/>
    </row>
    <row r="2392">
      <c r="A2392" s="26" t="inlineStr">
        <is>
          <t>S46</t>
        </is>
      </c>
      <c r="B2392" s="26" t="inlineStr">
        <is>
          <t>화천</t>
        </is>
      </c>
      <c r="C2392" s="26" t="inlineStr">
        <is>
          <t>S46-H북</t>
        </is>
      </c>
      <c r="D2392" s="47" t="n">
        <v>1</v>
      </c>
      <c r="E2392" s="26" t="inlineStr">
        <is>
          <t>측정</t>
        </is>
      </c>
      <c r="F2392" s="26" t="inlineStr">
        <is>
          <t>북</t>
        </is>
      </c>
      <c r="G2392" s="31" t="n">
        <v>6</v>
      </c>
      <c r="H2392" s="30" t="n"/>
      <c r="I2392" s="43" t="n"/>
      <c r="J2392" s="41" t="n"/>
      <c r="K2392" s="41" t="n"/>
      <c r="L2392" s="41" t="n"/>
      <c r="M2392" s="31">
        <f>IF(COUNT(J2392:L2392)=0,"",MEDIAN(J2392:L2392))</f>
        <v/>
      </c>
      <c r="N2392" s="26">
        <f>IF(COUNTIFS($C:$C,$C2392,$D:$D,$D2392,$E:$E,"P0(전)",$M:$M,"&gt;0")&lt;&gt;1,"P0(전) 유효 1개 아님",IF(COUNTIFS($C:$C,$C2392,$D:$D,$D2392,$E:$E,"P0(후)",$M:$M,"&gt;0")&lt;&gt;1,"P0(후) 유효 1개 아님",IF(NOT(AND(ISNUMBER(O2392),ISNUMBER(Q2392),ISNUMBER(I2392))),"시각 결측",IF(Q2392&lt;=O2392,"P0 시각 역전",IF(OR(I2392&lt;O2392,I2392&gt;Q2392),"측정시각 구간 밖","OK")))))</f>
        <v/>
      </c>
      <c r="O2392" s="48">
        <f>IF(COUNTIFS($C:$C,$C2392,$D:$D,$D2392,$E:$E,"P0(전)",$M:$M,"&gt;0")&lt;&gt;1,"",SUMIFS($I:$I,$C:$C,$C2392,$D:$D,$D2392,$E:$E,"P0(전)"))</f>
        <v/>
      </c>
      <c r="P2392" s="31">
        <f>IF(COUNTIFS($C:$C,$C2392,$D:$D,$D2392,$E:$E,"P0(전)",$M:$M,"&gt;0")&lt;&gt;1,"",SUMIFS($M:$M,$C:$C,$C2392,$D:$D,$D2392,$E:$E,"P0(전)"))</f>
        <v/>
      </c>
      <c r="Q2392" s="48">
        <f>IF(COUNTIFS($C:$C,$C2392,$D:$D,$D2392,$E:$E,"P0(후)",$M:$M,"&gt;0")&lt;&gt;1,"",SUMIFS($I:$I,$C:$C,$C2392,$D:$D,$D2392,$E:$E,"P0(후)"))</f>
        <v/>
      </c>
      <c r="R2392" s="31">
        <f>IF(COUNTIFS($C:$C,$C2392,$D:$D,$D2392,$E:$E,"P0(후)",$M:$M,"&gt;0")&lt;&gt;1,"",SUMIFS($M:$M,$C:$C,$C2392,$D:$D,$D2392,$E:$E,"P0(후)"))</f>
        <v/>
      </c>
      <c r="S2392" s="31">
        <f>IF(N2392&lt;&gt;"OK","",P2392+(R2392-P2392)*(I2392-O2392)/(Q2392-O2392))</f>
        <v/>
      </c>
      <c r="T2392" s="31">
        <f>IF(OR(N2392&lt;&gt;"OK",NOT(ISNUMBER(M2392))),"",M2392-S2392)</f>
        <v/>
      </c>
      <c r="U2392" s="49">
        <f>IF(OR(NOT(ISNUMBER(T2392)),IF(ISNUMBER(H2392),H2392,G2392)=0),"",T2392/IF(ISNUMBER(H2392),H2392,G2392))</f>
        <v/>
      </c>
      <c r="V2392" s="49">
        <f>IF(ISNUMBER(U2392),ABS(U2392),"")</f>
        <v/>
      </c>
      <c r="W2392" s="49">
        <f>IF(OR($E2391&lt;&gt;"측정",$C2391&lt;&gt;$C2392,$D2391&lt;&gt;$D2392,NOT(ISNUMBER(M2392)),NOT(ISNUMBER(M2391)),(IF(ISNUMBER(H2392),H2392,G2392)-IF(ISNUMBER(H2391),H2391,G2391))=0),"",(M2392-M2391)/(IF(ISNUMBER(H2392),H2392,G2392)-IF(ISNUMBER(H2391),H2391,G2391)))</f>
        <v/>
      </c>
      <c r="X2392" s="31">
        <f>IF(NOT(AND(ISNUMBER(O2392),ISNUMBER(Q2392))),"",(Q2392-O2392)*1440)</f>
        <v/>
      </c>
      <c r="Y2392" s="29" t="n"/>
      <c r="Z2392" s="29" t="n"/>
      <c r="AA2392" s="29" t="n"/>
      <c r="AB2392" s="32" t="n"/>
      <c r="AC2392" s="32" t="n"/>
    </row>
    <row r="2393">
      <c r="A2393" s="26" t="inlineStr">
        <is>
          <t>S46</t>
        </is>
      </c>
      <c r="B2393" s="26" t="inlineStr">
        <is>
          <t>화천</t>
        </is>
      </c>
      <c r="C2393" s="26" t="inlineStr">
        <is>
          <t>S46-H북</t>
        </is>
      </c>
      <c r="D2393" s="47" t="n">
        <v>1</v>
      </c>
      <c r="E2393" s="26" t="inlineStr">
        <is>
          <t>측정</t>
        </is>
      </c>
      <c r="F2393" s="26" t="inlineStr">
        <is>
          <t>북</t>
        </is>
      </c>
      <c r="G2393" s="31" t="n">
        <v>7</v>
      </c>
      <c r="H2393" s="30" t="n"/>
      <c r="I2393" s="43" t="n"/>
      <c r="J2393" s="41" t="n"/>
      <c r="K2393" s="41" t="n"/>
      <c r="L2393" s="41" t="n"/>
      <c r="M2393" s="31">
        <f>IF(COUNT(J2393:L2393)=0,"",MEDIAN(J2393:L2393))</f>
        <v/>
      </c>
      <c r="N2393" s="26">
        <f>IF(COUNTIFS($C:$C,$C2393,$D:$D,$D2393,$E:$E,"P0(전)",$M:$M,"&gt;0")&lt;&gt;1,"P0(전) 유효 1개 아님",IF(COUNTIFS($C:$C,$C2393,$D:$D,$D2393,$E:$E,"P0(후)",$M:$M,"&gt;0")&lt;&gt;1,"P0(후) 유효 1개 아님",IF(NOT(AND(ISNUMBER(O2393),ISNUMBER(Q2393),ISNUMBER(I2393))),"시각 결측",IF(Q2393&lt;=O2393,"P0 시각 역전",IF(OR(I2393&lt;O2393,I2393&gt;Q2393),"측정시각 구간 밖","OK")))))</f>
        <v/>
      </c>
      <c r="O2393" s="48">
        <f>IF(COUNTIFS($C:$C,$C2393,$D:$D,$D2393,$E:$E,"P0(전)",$M:$M,"&gt;0")&lt;&gt;1,"",SUMIFS($I:$I,$C:$C,$C2393,$D:$D,$D2393,$E:$E,"P0(전)"))</f>
        <v/>
      </c>
      <c r="P2393" s="31">
        <f>IF(COUNTIFS($C:$C,$C2393,$D:$D,$D2393,$E:$E,"P0(전)",$M:$M,"&gt;0")&lt;&gt;1,"",SUMIFS($M:$M,$C:$C,$C2393,$D:$D,$D2393,$E:$E,"P0(전)"))</f>
        <v/>
      </c>
      <c r="Q2393" s="48">
        <f>IF(COUNTIFS($C:$C,$C2393,$D:$D,$D2393,$E:$E,"P0(후)",$M:$M,"&gt;0")&lt;&gt;1,"",SUMIFS($I:$I,$C:$C,$C2393,$D:$D,$D2393,$E:$E,"P0(후)"))</f>
        <v/>
      </c>
      <c r="R2393" s="31">
        <f>IF(COUNTIFS($C:$C,$C2393,$D:$D,$D2393,$E:$E,"P0(후)",$M:$M,"&gt;0")&lt;&gt;1,"",SUMIFS($M:$M,$C:$C,$C2393,$D:$D,$D2393,$E:$E,"P0(후)"))</f>
        <v/>
      </c>
      <c r="S2393" s="31">
        <f>IF(N2393&lt;&gt;"OK","",P2393+(R2393-P2393)*(I2393-O2393)/(Q2393-O2393))</f>
        <v/>
      </c>
      <c r="T2393" s="31">
        <f>IF(OR(N2393&lt;&gt;"OK",NOT(ISNUMBER(M2393))),"",M2393-S2393)</f>
        <v/>
      </c>
      <c r="U2393" s="49">
        <f>IF(OR(NOT(ISNUMBER(T2393)),IF(ISNUMBER(H2393),H2393,G2393)=0),"",T2393/IF(ISNUMBER(H2393),H2393,G2393))</f>
        <v/>
      </c>
      <c r="V2393" s="49">
        <f>IF(ISNUMBER(U2393),ABS(U2393),"")</f>
        <v/>
      </c>
      <c r="W2393" s="49">
        <f>IF(OR($E2392&lt;&gt;"측정",$C2392&lt;&gt;$C2393,$D2392&lt;&gt;$D2393,NOT(ISNUMBER(M2393)),NOT(ISNUMBER(M2392)),(IF(ISNUMBER(H2393),H2393,G2393)-IF(ISNUMBER(H2392),H2392,G2392))=0),"",(M2393-M2392)/(IF(ISNUMBER(H2393),H2393,G2393)-IF(ISNUMBER(H2392),H2392,G2392)))</f>
        <v/>
      </c>
      <c r="X2393" s="31">
        <f>IF(NOT(AND(ISNUMBER(O2393),ISNUMBER(Q2393))),"",(Q2393-O2393)*1440)</f>
        <v/>
      </c>
      <c r="Y2393" s="29" t="n"/>
      <c r="Z2393" s="29" t="n"/>
      <c r="AA2393" s="29" t="n"/>
      <c r="AB2393" s="32" t="n"/>
      <c r="AC2393" s="32" t="n"/>
    </row>
    <row r="2394">
      <c r="A2394" s="26" t="inlineStr">
        <is>
          <t>S46</t>
        </is>
      </c>
      <c r="B2394" s="26" t="inlineStr">
        <is>
          <t>화천</t>
        </is>
      </c>
      <c r="C2394" s="26" t="inlineStr">
        <is>
          <t>S46-H북</t>
        </is>
      </c>
      <c r="D2394" s="47" t="n">
        <v>1</v>
      </c>
      <c r="E2394" s="26" t="inlineStr">
        <is>
          <t>측정</t>
        </is>
      </c>
      <c r="F2394" s="26" t="inlineStr">
        <is>
          <t>북</t>
        </is>
      </c>
      <c r="G2394" s="31" t="n">
        <v>8</v>
      </c>
      <c r="H2394" s="30" t="n"/>
      <c r="I2394" s="43" t="n"/>
      <c r="J2394" s="41" t="n"/>
      <c r="K2394" s="41" t="n"/>
      <c r="L2394" s="41" t="n"/>
      <c r="M2394" s="31">
        <f>IF(COUNT(J2394:L2394)=0,"",MEDIAN(J2394:L2394))</f>
        <v/>
      </c>
      <c r="N2394" s="26">
        <f>IF(COUNTIFS($C:$C,$C2394,$D:$D,$D2394,$E:$E,"P0(전)",$M:$M,"&gt;0")&lt;&gt;1,"P0(전) 유효 1개 아님",IF(COUNTIFS($C:$C,$C2394,$D:$D,$D2394,$E:$E,"P0(후)",$M:$M,"&gt;0")&lt;&gt;1,"P0(후) 유효 1개 아님",IF(NOT(AND(ISNUMBER(O2394),ISNUMBER(Q2394),ISNUMBER(I2394))),"시각 결측",IF(Q2394&lt;=O2394,"P0 시각 역전",IF(OR(I2394&lt;O2394,I2394&gt;Q2394),"측정시각 구간 밖","OK")))))</f>
        <v/>
      </c>
      <c r="O2394" s="48">
        <f>IF(COUNTIFS($C:$C,$C2394,$D:$D,$D2394,$E:$E,"P0(전)",$M:$M,"&gt;0")&lt;&gt;1,"",SUMIFS($I:$I,$C:$C,$C2394,$D:$D,$D2394,$E:$E,"P0(전)"))</f>
        <v/>
      </c>
      <c r="P2394" s="31">
        <f>IF(COUNTIFS($C:$C,$C2394,$D:$D,$D2394,$E:$E,"P0(전)",$M:$M,"&gt;0")&lt;&gt;1,"",SUMIFS($M:$M,$C:$C,$C2394,$D:$D,$D2394,$E:$E,"P0(전)"))</f>
        <v/>
      </c>
      <c r="Q2394" s="48">
        <f>IF(COUNTIFS($C:$C,$C2394,$D:$D,$D2394,$E:$E,"P0(후)",$M:$M,"&gt;0")&lt;&gt;1,"",SUMIFS($I:$I,$C:$C,$C2394,$D:$D,$D2394,$E:$E,"P0(후)"))</f>
        <v/>
      </c>
      <c r="R2394" s="31">
        <f>IF(COUNTIFS($C:$C,$C2394,$D:$D,$D2394,$E:$E,"P0(후)",$M:$M,"&gt;0")&lt;&gt;1,"",SUMIFS($M:$M,$C:$C,$C2394,$D:$D,$D2394,$E:$E,"P0(후)"))</f>
        <v/>
      </c>
      <c r="S2394" s="31">
        <f>IF(N2394&lt;&gt;"OK","",P2394+(R2394-P2394)*(I2394-O2394)/(Q2394-O2394))</f>
        <v/>
      </c>
      <c r="T2394" s="31">
        <f>IF(OR(N2394&lt;&gt;"OK",NOT(ISNUMBER(M2394))),"",M2394-S2394)</f>
        <v/>
      </c>
      <c r="U2394" s="49">
        <f>IF(OR(NOT(ISNUMBER(T2394)),IF(ISNUMBER(H2394),H2394,G2394)=0),"",T2394/IF(ISNUMBER(H2394),H2394,G2394))</f>
        <v/>
      </c>
      <c r="V2394" s="49">
        <f>IF(ISNUMBER(U2394),ABS(U2394),"")</f>
        <v/>
      </c>
      <c r="W2394" s="49">
        <f>IF(OR($E2393&lt;&gt;"측정",$C2393&lt;&gt;$C2394,$D2393&lt;&gt;$D2394,NOT(ISNUMBER(M2394)),NOT(ISNUMBER(M2393)),(IF(ISNUMBER(H2394),H2394,G2394)-IF(ISNUMBER(H2393),H2393,G2393))=0),"",(M2394-M2393)/(IF(ISNUMBER(H2394),H2394,G2394)-IF(ISNUMBER(H2393),H2393,G2393)))</f>
        <v/>
      </c>
      <c r="X2394" s="31">
        <f>IF(NOT(AND(ISNUMBER(O2394),ISNUMBER(Q2394))),"",(Q2394-O2394)*1440)</f>
        <v/>
      </c>
      <c r="Y2394" s="29" t="n"/>
      <c r="Z2394" s="29" t="n"/>
      <c r="AA2394" s="29" t="n"/>
      <c r="AB2394" s="32" t="n"/>
      <c r="AC2394" s="32" t="n"/>
    </row>
    <row r="2395">
      <c r="A2395" s="26" t="inlineStr">
        <is>
          <t>S46</t>
        </is>
      </c>
      <c r="B2395" s="26" t="inlineStr">
        <is>
          <t>화천</t>
        </is>
      </c>
      <c r="C2395" s="26" t="inlineStr">
        <is>
          <t>S46-H북</t>
        </is>
      </c>
      <c r="D2395" s="47" t="n">
        <v>1</v>
      </c>
      <c r="E2395" s="26" t="inlineStr">
        <is>
          <t>측정</t>
        </is>
      </c>
      <c r="F2395" s="26" t="inlineStr">
        <is>
          <t>북</t>
        </is>
      </c>
      <c r="G2395" s="31" t="n">
        <v>9</v>
      </c>
      <c r="H2395" s="30" t="n"/>
      <c r="I2395" s="43" t="n"/>
      <c r="J2395" s="41" t="n"/>
      <c r="K2395" s="41" t="n"/>
      <c r="L2395" s="41" t="n"/>
      <c r="M2395" s="31">
        <f>IF(COUNT(J2395:L2395)=0,"",MEDIAN(J2395:L2395))</f>
        <v/>
      </c>
      <c r="N2395" s="26">
        <f>IF(COUNTIFS($C:$C,$C2395,$D:$D,$D2395,$E:$E,"P0(전)",$M:$M,"&gt;0")&lt;&gt;1,"P0(전) 유효 1개 아님",IF(COUNTIFS($C:$C,$C2395,$D:$D,$D2395,$E:$E,"P0(후)",$M:$M,"&gt;0")&lt;&gt;1,"P0(후) 유효 1개 아님",IF(NOT(AND(ISNUMBER(O2395),ISNUMBER(Q2395),ISNUMBER(I2395))),"시각 결측",IF(Q2395&lt;=O2395,"P0 시각 역전",IF(OR(I2395&lt;O2395,I2395&gt;Q2395),"측정시각 구간 밖","OK")))))</f>
        <v/>
      </c>
      <c r="O2395" s="48">
        <f>IF(COUNTIFS($C:$C,$C2395,$D:$D,$D2395,$E:$E,"P0(전)",$M:$M,"&gt;0")&lt;&gt;1,"",SUMIFS($I:$I,$C:$C,$C2395,$D:$D,$D2395,$E:$E,"P0(전)"))</f>
        <v/>
      </c>
      <c r="P2395" s="31">
        <f>IF(COUNTIFS($C:$C,$C2395,$D:$D,$D2395,$E:$E,"P0(전)",$M:$M,"&gt;0")&lt;&gt;1,"",SUMIFS($M:$M,$C:$C,$C2395,$D:$D,$D2395,$E:$E,"P0(전)"))</f>
        <v/>
      </c>
      <c r="Q2395" s="48">
        <f>IF(COUNTIFS($C:$C,$C2395,$D:$D,$D2395,$E:$E,"P0(후)",$M:$M,"&gt;0")&lt;&gt;1,"",SUMIFS($I:$I,$C:$C,$C2395,$D:$D,$D2395,$E:$E,"P0(후)"))</f>
        <v/>
      </c>
      <c r="R2395" s="31">
        <f>IF(COUNTIFS($C:$C,$C2395,$D:$D,$D2395,$E:$E,"P0(후)",$M:$M,"&gt;0")&lt;&gt;1,"",SUMIFS($M:$M,$C:$C,$C2395,$D:$D,$D2395,$E:$E,"P0(후)"))</f>
        <v/>
      </c>
      <c r="S2395" s="31">
        <f>IF(N2395&lt;&gt;"OK","",P2395+(R2395-P2395)*(I2395-O2395)/(Q2395-O2395))</f>
        <v/>
      </c>
      <c r="T2395" s="31">
        <f>IF(OR(N2395&lt;&gt;"OK",NOT(ISNUMBER(M2395))),"",M2395-S2395)</f>
        <v/>
      </c>
      <c r="U2395" s="49">
        <f>IF(OR(NOT(ISNUMBER(T2395)),IF(ISNUMBER(H2395),H2395,G2395)=0),"",T2395/IF(ISNUMBER(H2395),H2395,G2395))</f>
        <v/>
      </c>
      <c r="V2395" s="49">
        <f>IF(ISNUMBER(U2395),ABS(U2395),"")</f>
        <v/>
      </c>
      <c r="W2395" s="49">
        <f>IF(OR($E2394&lt;&gt;"측정",$C2394&lt;&gt;$C2395,$D2394&lt;&gt;$D2395,NOT(ISNUMBER(M2395)),NOT(ISNUMBER(M2394)),(IF(ISNUMBER(H2395),H2395,G2395)-IF(ISNUMBER(H2394),H2394,G2394))=0),"",(M2395-M2394)/(IF(ISNUMBER(H2395),H2395,G2395)-IF(ISNUMBER(H2394),H2394,G2394)))</f>
        <v/>
      </c>
      <c r="X2395" s="31">
        <f>IF(NOT(AND(ISNUMBER(O2395),ISNUMBER(Q2395))),"",(Q2395-O2395)*1440)</f>
        <v/>
      </c>
      <c r="Y2395" s="29" t="n"/>
      <c r="Z2395" s="29" t="n"/>
      <c r="AA2395" s="29" t="n"/>
      <c r="AB2395" s="32" t="n"/>
      <c r="AC2395" s="32" t="n"/>
    </row>
    <row r="2396">
      <c r="A2396" s="26" t="inlineStr">
        <is>
          <t>S46</t>
        </is>
      </c>
      <c r="B2396" s="26" t="inlineStr">
        <is>
          <t>화천</t>
        </is>
      </c>
      <c r="C2396" s="26" t="inlineStr">
        <is>
          <t>S46-H북</t>
        </is>
      </c>
      <c r="D2396" s="47" t="n">
        <v>1</v>
      </c>
      <c r="E2396" s="26" t="inlineStr">
        <is>
          <t>측정</t>
        </is>
      </c>
      <c r="F2396" s="26" t="inlineStr">
        <is>
          <t>북</t>
        </is>
      </c>
      <c r="G2396" s="31" t="n">
        <v>10</v>
      </c>
      <c r="H2396" s="30" t="n"/>
      <c r="I2396" s="43" t="n"/>
      <c r="J2396" s="41" t="n"/>
      <c r="K2396" s="41" t="n"/>
      <c r="L2396" s="41" t="n"/>
      <c r="M2396" s="31">
        <f>IF(COUNT(J2396:L2396)=0,"",MEDIAN(J2396:L2396))</f>
        <v/>
      </c>
      <c r="N2396" s="26">
        <f>IF(COUNTIFS($C:$C,$C2396,$D:$D,$D2396,$E:$E,"P0(전)",$M:$M,"&gt;0")&lt;&gt;1,"P0(전) 유효 1개 아님",IF(COUNTIFS($C:$C,$C2396,$D:$D,$D2396,$E:$E,"P0(후)",$M:$M,"&gt;0")&lt;&gt;1,"P0(후) 유효 1개 아님",IF(NOT(AND(ISNUMBER(O2396),ISNUMBER(Q2396),ISNUMBER(I2396))),"시각 결측",IF(Q2396&lt;=O2396,"P0 시각 역전",IF(OR(I2396&lt;O2396,I2396&gt;Q2396),"측정시각 구간 밖","OK")))))</f>
        <v/>
      </c>
      <c r="O2396" s="48">
        <f>IF(COUNTIFS($C:$C,$C2396,$D:$D,$D2396,$E:$E,"P0(전)",$M:$M,"&gt;0")&lt;&gt;1,"",SUMIFS($I:$I,$C:$C,$C2396,$D:$D,$D2396,$E:$E,"P0(전)"))</f>
        <v/>
      </c>
      <c r="P2396" s="31">
        <f>IF(COUNTIFS($C:$C,$C2396,$D:$D,$D2396,$E:$E,"P0(전)",$M:$M,"&gt;0")&lt;&gt;1,"",SUMIFS($M:$M,$C:$C,$C2396,$D:$D,$D2396,$E:$E,"P0(전)"))</f>
        <v/>
      </c>
      <c r="Q2396" s="48">
        <f>IF(COUNTIFS($C:$C,$C2396,$D:$D,$D2396,$E:$E,"P0(후)",$M:$M,"&gt;0")&lt;&gt;1,"",SUMIFS($I:$I,$C:$C,$C2396,$D:$D,$D2396,$E:$E,"P0(후)"))</f>
        <v/>
      </c>
      <c r="R2396" s="31">
        <f>IF(COUNTIFS($C:$C,$C2396,$D:$D,$D2396,$E:$E,"P0(후)",$M:$M,"&gt;0")&lt;&gt;1,"",SUMIFS($M:$M,$C:$C,$C2396,$D:$D,$D2396,$E:$E,"P0(후)"))</f>
        <v/>
      </c>
      <c r="S2396" s="31">
        <f>IF(N2396&lt;&gt;"OK","",P2396+(R2396-P2396)*(I2396-O2396)/(Q2396-O2396))</f>
        <v/>
      </c>
      <c r="T2396" s="31">
        <f>IF(OR(N2396&lt;&gt;"OK",NOT(ISNUMBER(M2396))),"",M2396-S2396)</f>
        <v/>
      </c>
      <c r="U2396" s="49">
        <f>IF(OR(NOT(ISNUMBER(T2396)),IF(ISNUMBER(H2396),H2396,G2396)=0),"",T2396/IF(ISNUMBER(H2396),H2396,G2396))</f>
        <v/>
      </c>
      <c r="V2396" s="49">
        <f>IF(ISNUMBER(U2396),ABS(U2396),"")</f>
        <v/>
      </c>
      <c r="W2396" s="49">
        <f>IF(OR($E2395&lt;&gt;"측정",$C2395&lt;&gt;$C2396,$D2395&lt;&gt;$D2396,NOT(ISNUMBER(M2396)),NOT(ISNUMBER(M2395)),(IF(ISNUMBER(H2396),H2396,G2396)-IF(ISNUMBER(H2395),H2395,G2395))=0),"",(M2396-M2395)/(IF(ISNUMBER(H2396),H2396,G2396)-IF(ISNUMBER(H2395),H2395,G2395)))</f>
        <v/>
      </c>
      <c r="X2396" s="31">
        <f>IF(NOT(AND(ISNUMBER(O2396),ISNUMBER(Q2396))),"",(Q2396-O2396)*1440)</f>
        <v/>
      </c>
      <c r="Y2396" s="29" t="n"/>
      <c r="Z2396" s="29" t="n"/>
      <c r="AA2396" s="29" t="n"/>
      <c r="AB2396" s="32" t="n"/>
      <c r="AC2396" s="32" t="n"/>
    </row>
    <row r="2397">
      <c r="A2397" s="44" t="inlineStr">
        <is>
          <t>S46</t>
        </is>
      </c>
      <c r="B2397" s="44" t="inlineStr">
        <is>
          <t>화천</t>
        </is>
      </c>
      <c r="C2397" s="44" t="inlineStr">
        <is>
          <t>S46-H북</t>
        </is>
      </c>
      <c r="D2397" s="45" t="n">
        <v>1</v>
      </c>
      <c r="E2397" s="44" t="inlineStr">
        <is>
          <t>P0(후)</t>
        </is>
      </c>
      <c r="F2397" s="44" t="inlineStr">
        <is>
          <t>북</t>
        </is>
      </c>
      <c r="G2397" s="46" t="n"/>
      <c r="H2397" s="30" t="n"/>
      <c r="I2397" s="43" t="n"/>
      <c r="J2397" s="41" t="n"/>
      <c r="K2397" s="41" t="n"/>
      <c r="L2397" s="41" t="n"/>
      <c r="M2397" s="31">
        <f>IF(COUNT(J2397:L2397)=0,"",MEDIAN(J2397:L2397))</f>
        <v/>
      </c>
      <c r="N2397" s="38" t="n"/>
      <c r="O2397" s="38" t="n"/>
      <c r="P2397" s="38" t="n"/>
      <c r="Q2397" s="38" t="n"/>
      <c r="R2397" s="38" t="n"/>
      <c r="S2397" s="38" t="n"/>
      <c r="T2397" s="38" t="n"/>
      <c r="U2397" s="38" t="n"/>
      <c r="V2397" s="38" t="n"/>
      <c r="W2397" s="38" t="n"/>
      <c r="X2397" s="38" t="n"/>
      <c r="Y2397" s="29" t="n"/>
      <c r="Z2397" s="29" t="n"/>
      <c r="AA2397" s="29" t="n"/>
      <c r="AB2397" s="32" t="n"/>
      <c r="AC2397" s="32" t="n"/>
    </row>
    <row r="2398">
      <c r="A2398" s="44" t="inlineStr">
        <is>
          <t>S47</t>
        </is>
      </c>
      <c r="B2398" s="44" t="inlineStr">
        <is>
          <t>봉평</t>
        </is>
      </c>
      <c r="C2398" s="44" t="inlineStr">
        <is>
          <t>S47-H동</t>
        </is>
      </c>
      <c r="D2398" s="45" t="n">
        <v>1</v>
      </c>
      <c r="E2398" s="44" t="inlineStr">
        <is>
          <t>P0(전)</t>
        </is>
      </c>
      <c r="F2398" s="44" t="inlineStr">
        <is>
          <t>동</t>
        </is>
      </c>
      <c r="G2398" s="46" t="n"/>
      <c r="H2398" s="30" t="n"/>
      <c r="I2398" s="43" t="n"/>
      <c r="J2398" s="41" t="n"/>
      <c r="K2398" s="41" t="n"/>
      <c r="L2398" s="41" t="n"/>
      <c r="M2398" s="31">
        <f>IF(COUNT(J2398:L2398)=0,"",MEDIAN(J2398:L2398))</f>
        <v/>
      </c>
      <c r="N2398" s="38" t="n"/>
      <c r="O2398" s="38" t="n"/>
      <c r="P2398" s="38" t="n"/>
      <c r="Q2398" s="38" t="n"/>
      <c r="R2398" s="38" t="n"/>
      <c r="S2398" s="38" t="n"/>
      <c r="T2398" s="38" t="n"/>
      <c r="U2398" s="38" t="n"/>
      <c r="V2398" s="38" t="n"/>
      <c r="W2398" s="38" t="n"/>
      <c r="X2398" s="38" t="n"/>
      <c r="Y2398" s="29" t="n"/>
      <c r="Z2398" s="29" t="n"/>
      <c r="AA2398" s="29" t="n"/>
      <c r="AB2398" s="32" t="n"/>
      <c r="AC2398" s="32" t="n"/>
    </row>
    <row r="2399">
      <c r="A2399" s="26" t="inlineStr">
        <is>
          <t>S47</t>
        </is>
      </c>
      <c r="B2399" s="26" t="inlineStr">
        <is>
          <t>봉평</t>
        </is>
      </c>
      <c r="C2399" s="26" t="inlineStr">
        <is>
          <t>S47-H동</t>
        </is>
      </c>
      <c r="D2399" s="47" t="n">
        <v>1</v>
      </c>
      <c r="E2399" s="26" t="inlineStr">
        <is>
          <t>측정</t>
        </is>
      </c>
      <c r="F2399" s="26" t="inlineStr">
        <is>
          <t>동</t>
        </is>
      </c>
      <c r="G2399" s="31" t="n">
        <v>0.5</v>
      </c>
      <c r="H2399" s="30" t="n"/>
      <c r="I2399" s="43" t="n"/>
      <c r="J2399" s="41" t="n"/>
      <c r="K2399" s="41" t="n"/>
      <c r="L2399" s="41" t="n"/>
      <c r="M2399" s="31">
        <f>IF(COUNT(J2399:L2399)=0,"",MEDIAN(J2399:L2399))</f>
        <v/>
      </c>
      <c r="N2399" s="26">
        <f>IF(COUNTIFS($C:$C,$C2399,$D:$D,$D2399,$E:$E,"P0(전)",$M:$M,"&gt;0")&lt;&gt;1,"P0(전) 유효 1개 아님",IF(COUNTIFS($C:$C,$C2399,$D:$D,$D2399,$E:$E,"P0(후)",$M:$M,"&gt;0")&lt;&gt;1,"P0(후) 유효 1개 아님",IF(NOT(AND(ISNUMBER(O2399),ISNUMBER(Q2399),ISNUMBER(I2399))),"시각 결측",IF(Q2399&lt;=O2399,"P0 시각 역전",IF(OR(I2399&lt;O2399,I2399&gt;Q2399),"측정시각 구간 밖","OK")))))</f>
        <v/>
      </c>
      <c r="O2399" s="48">
        <f>IF(COUNTIFS($C:$C,$C2399,$D:$D,$D2399,$E:$E,"P0(전)",$M:$M,"&gt;0")&lt;&gt;1,"",SUMIFS($I:$I,$C:$C,$C2399,$D:$D,$D2399,$E:$E,"P0(전)"))</f>
        <v/>
      </c>
      <c r="P2399" s="31">
        <f>IF(COUNTIFS($C:$C,$C2399,$D:$D,$D2399,$E:$E,"P0(전)",$M:$M,"&gt;0")&lt;&gt;1,"",SUMIFS($M:$M,$C:$C,$C2399,$D:$D,$D2399,$E:$E,"P0(전)"))</f>
        <v/>
      </c>
      <c r="Q2399" s="48">
        <f>IF(COUNTIFS($C:$C,$C2399,$D:$D,$D2399,$E:$E,"P0(후)",$M:$M,"&gt;0")&lt;&gt;1,"",SUMIFS($I:$I,$C:$C,$C2399,$D:$D,$D2399,$E:$E,"P0(후)"))</f>
        <v/>
      </c>
      <c r="R2399" s="31">
        <f>IF(COUNTIFS($C:$C,$C2399,$D:$D,$D2399,$E:$E,"P0(후)",$M:$M,"&gt;0")&lt;&gt;1,"",SUMIFS($M:$M,$C:$C,$C2399,$D:$D,$D2399,$E:$E,"P0(후)"))</f>
        <v/>
      </c>
      <c r="S2399" s="31">
        <f>IF(N2399&lt;&gt;"OK","",P2399+(R2399-P2399)*(I2399-O2399)/(Q2399-O2399))</f>
        <v/>
      </c>
      <c r="T2399" s="31">
        <f>IF(OR(N2399&lt;&gt;"OK",NOT(ISNUMBER(M2399))),"",M2399-S2399)</f>
        <v/>
      </c>
      <c r="U2399" s="49">
        <f>IF(OR(NOT(ISNUMBER(T2399)),IF(ISNUMBER(H2399),H2399,G2399)=0),"",T2399/IF(ISNUMBER(H2399),H2399,G2399))</f>
        <v/>
      </c>
      <c r="V2399" s="49">
        <f>IF(ISNUMBER(U2399),ABS(U2399),"")</f>
        <v/>
      </c>
      <c r="W2399" s="49">
        <f>IF(OR($E2398&lt;&gt;"측정",$C2398&lt;&gt;$C2399,$D2398&lt;&gt;$D2399,NOT(ISNUMBER(M2399)),NOT(ISNUMBER(M2398)),(IF(ISNUMBER(H2399),H2399,G2399)-IF(ISNUMBER(H2398),H2398,G2398))=0),"",(M2399-M2398)/(IF(ISNUMBER(H2399),H2399,G2399)-IF(ISNUMBER(H2398),H2398,G2398)))</f>
        <v/>
      </c>
      <c r="X2399" s="31">
        <f>IF(NOT(AND(ISNUMBER(O2399),ISNUMBER(Q2399))),"",(Q2399-O2399)*1440)</f>
        <v/>
      </c>
      <c r="Y2399" s="29" t="n"/>
      <c r="Z2399" s="29" t="n"/>
      <c r="AA2399" s="29" t="n"/>
      <c r="AB2399" s="32" t="n"/>
      <c r="AC2399" s="32" t="n"/>
    </row>
    <row r="2400">
      <c r="A2400" s="26" t="inlineStr">
        <is>
          <t>S47</t>
        </is>
      </c>
      <c r="B2400" s="26" t="inlineStr">
        <is>
          <t>봉평</t>
        </is>
      </c>
      <c r="C2400" s="26" t="inlineStr">
        <is>
          <t>S47-H동</t>
        </is>
      </c>
      <c r="D2400" s="47" t="n">
        <v>1</v>
      </c>
      <c r="E2400" s="26" t="inlineStr">
        <is>
          <t>측정</t>
        </is>
      </c>
      <c r="F2400" s="26" t="inlineStr">
        <is>
          <t>동</t>
        </is>
      </c>
      <c r="G2400" s="31" t="n">
        <v>1</v>
      </c>
      <c r="H2400" s="30" t="n"/>
      <c r="I2400" s="43" t="n"/>
      <c r="J2400" s="41" t="n"/>
      <c r="K2400" s="41" t="n"/>
      <c r="L2400" s="41" t="n"/>
      <c r="M2400" s="31">
        <f>IF(COUNT(J2400:L2400)=0,"",MEDIAN(J2400:L2400))</f>
        <v/>
      </c>
      <c r="N2400" s="26">
        <f>IF(COUNTIFS($C:$C,$C2400,$D:$D,$D2400,$E:$E,"P0(전)",$M:$M,"&gt;0")&lt;&gt;1,"P0(전) 유효 1개 아님",IF(COUNTIFS($C:$C,$C2400,$D:$D,$D2400,$E:$E,"P0(후)",$M:$M,"&gt;0")&lt;&gt;1,"P0(후) 유효 1개 아님",IF(NOT(AND(ISNUMBER(O2400),ISNUMBER(Q2400),ISNUMBER(I2400))),"시각 결측",IF(Q2400&lt;=O2400,"P0 시각 역전",IF(OR(I2400&lt;O2400,I2400&gt;Q2400),"측정시각 구간 밖","OK")))))</f>
        <v/>
      </c>
      <c r="O2400" s="48">
        <f>IF(COUNTIFS($C:$C,$C2400,$D:$D,$D2400,$E:$E,"P0(전)",$M:$M,"&gt;0")&lt;&gt;1,"",SUMIFS($I:$I,$C:$C,$C2400,$D:$D,$D2400,$E:$E,"P0(전)"))</f>
        <v/>
      </c>
      <c r="P2400" s="31">
        <f>IF(COUNTIFS($C:$C,$C2400,$D:$D,$D2400,$E:$E,"P0(전)",$M:$M,"&gt;0")&lt;&gt;1,"",SUMIFS($M:$M,$C:$C,$C2400,$D:$D,$D2400,$E:$E,"P0(전)"))</f>
        <v/>
      </c>
      <c r="Q2400" s="48">
        <f>IF(COUNTIFS($C:$C,$C2400,$D:$D,$D2400,$E:$E,"P0(후)",$M:$M,"&gt;0")&lt;&gt;1,"",SUMIFS($I:$I,$C:$C,$C2400,$D:$D,$D2400,$E:$E,"P0(후)"))</f>
        <v/>
      </c>
      <c r="R2400" s="31">
        <f>IF(COUNTIFS($C:$C,$C2400,$D:$D,$D2400,$E:$E,"P0(후)",$M:$M,"&gt;0")&lt;&gt;1,"",SUMIFS($M:$M,$C:$C,$C2400,$D:$D,$D2400,$E:$E,"P0(후)"))</f>
        <v/>
      </c>
      <c r="S2400" s="31">
        <f>IF(N2400&lt;&gt;"OK","",P2400+(R2400-P2400)*(I2400-O2400)/(Q2400-O2400))</f>
        <v/>
      </c>
      <c r="T2400" s="31">
        <f>IF(OR(N2400&lt;&gt;"OK",NOT(ISNUMBER(M2400))),"",M2400-S2400)</f>
        <v/>
      </c>
      <c r="U2400" s="49">
        <f>IF(OR(NOT(ISNUMBER(T2400)),IF(ISNUMBER(H2400),H2400,G2400)=0),"",T2400/IF(ISNUMBER(H2400),H2400,G2400))</f>
        <v/>
      </c>
      <c r="V2400" s="49">
        <f>IF(ISNUMBER(U2400),ABS(U2400),"")</f>
        <v/>
      </c>
      <c r="W2400" s="49">
        <f>IF(OR($E2399&lt;&gt;"측정",$C2399&lt;&gt;$C2400,$D2399&lt;&gt;$D2400,NOT(ISNUMBER(M2400)),NOT(ISNUMBER(M2399)),(IF(ISNUMBER(H2400),H2400,G2400)-IF(ISNUMBER(H2399),H2399,G2399))=0),"",(M2400-M2399)/(IF(ISNUMBER(H2400),H2400,G2400)-IF(ISNUMBER(H2399),H2399,G2399)))</f>
        <v/>
      </c>
      <c r="X2400" s="31">
        <f>IF(NOT(AND(ISNUMBER(O2400),ISNUMBER(Q2400))),"",(Q2400-O2400)*1440)</f>
        <v/>
      </c>
      <c r="Y2400" s="29" t="n"/>
      <c r="Z2400" s="29" t="n"/>
      <c r="AA2400" s="29" t="n"/>
      <c r="AB2400" s="32" t="n"/>
      <c r="AC2400" s="32" t="n"/>
    </row>
    <row r="2401">
      <c r="A2401" s="26" t="inlineStr">
        <is>
          <t>S47</t>
        </is>
      </c>
      <c r="B2401" s="26" t="inlineStr">
        <is>
          <t>봉평</t>
        </is>
      </c>
      <c r="C2401" s="26" t="inlineStr">
        <is>
          <t>S47-H동</t>
        </is>
      </c>
      <c r="D2401" s="47" t="n">
        <v>1</v>
      </c>
      <c r="E2401" s="26" t="inlineStr">
        <is>
          <t>측정</t>
        </is>
      </c>
      <c r="F2401" s="26" t="inlineStr">
        <is>
          <t>동</t>
        </is>
      </c>
      <c r="G2401" s="31" t="n">
        <v>2</v>
      </c>
      <c r="H2401" s="30" t="n"/>
      <c r="I2401" s="43" t="n"/>
      <c r="J2401" s="41" t="n"/>
      <c r="K2401" s="41" t="n"/>
      <c r="L2401" s="41" t="n"/>
      <c r="M2401" s="31">
        <f>IF(COUNT(J2401:L2401)=0,"",MEDIAN(J2401:L2401))</f>
        <v/>
      </c>
      <c r="N2401" s="26">
        <f>IF(COUNTIFS($C:$C,$C2401,$D:$D,$D2401,$E:$E,"P0(전)",$M:$M,"&gt;0")&lt;&gt;1,"P0(전) 유효 1개 아님",IF(COUNTIFS($C:$C,$C2401,$D:$D,$D2401,$E:$E,"P0(후)",$M:$M,"&gt;0")&lt;&gt;1,"P0(후) 유효 1개 아님",IF(NOT(AND(ISNUMBER(O2401),ISNUMBER(Q2401),ISNUMBER(I2401))),"시각 결측",IF(Q2401&lt;=O2401,"P0 시각 역전",IF(OR(I2401&lt;O2401,I2401&gt;Q2401),"측정시각 구간 밖","OK")))))</f>
        <v/>
      </c>
      <c r="O2401" s="48">
        <f>IF(COUNTIFS($C:$C,$C2401,$D:$D,$D2401,$E:$E,"P0(전)",$M:$M,"&gt;0")&lt;&gt;1,"",SUMIFS($I:$I,$C:$C,$C2401,$D:$D,$D2401,$E:$E,"P0(전)"))</f>
        <v/>
      </c>
      <c r="P2401" s="31">
        <f>IF(COUNTIFS($C:$C,$C2401,$D:$D,$D2401,$E:$E,"P0(전)",$M:$M,"&gt;0")&lt;&gt;1,"",SUMIFS($M:$M,$C:$C,$C2401,$D:$D,$D2401,$E:$E,"P0(전)"))</f>
        <v/>
      </c>
      <c r="Q2401" s="48">
        <f>IF(COUNTIFS($C:$C,$C2401,$D:$D,$D2401,$E:$E,"P0(후)",$M:$M,"&gt;0")&lt;&gt;1,"",SUMIFS($I:$I,$C:$C,$C2401,$D:$D,$D2401,$E:$E,"P0(후)"))</f>
        <v/>
      </c>
      <c r="R2401" s="31">
        <f>IF(COUNTIFS($C:$C,$C2401,$D:$D,$D2401,$E:$E,"P0(후)",$M:$M,"&gt;0")&lt;&gt;1,"",SUMIFS($M:$M,$C:$C,$C2401,$D:$D,$D2401,$E:$E,"P0(후)"))</f>
        <v/>
      </c>
      <c r="S2401" s="31">
        <f>IF(N2401&lt;&gt;"OK","",P2401+(R2401-P2401)*(I2401-O2401)/(Q2401-O2401))</f>
        <v/>
      </c>
      <c r="T2401" s="31">
        <f>IF(OR(N2401&lt;&gt;"OK",NOT(ISNUMBER(M2401))),"",M2401-S2401)</f>
        <v/>
      </c>
      <c r="U2401" s="49">
        <f>IF(OR(NOT(ISNUMBER(T2401)),IF(ISNUMBER(H2401),H2401,G2401)=0),"",T2401/IF(ISNUMBER(H2401),H2401,G2401))</f>
        <v/>
      </c>
      <c r="V2401" s="49">
        <f>IF(ISNUMBER(U2401),ABS(U2401),"")</f>
        <v/>
      </c>
      <c r="W2401" s="49">
        <f>IF(OR($E2400&lt;&gt;"측정",$C2400&lt;&gt;$C2401,$D2400&lt;&gt;$D2401,NOT(ISNUMBER(M2401)),NOT(ISNUMBER(M2400)),(IF(ISNUMBER(H2401),H2401,G2401)-IF(ISNUMBER(H2400),H2400,G2400))=0),"",(M2401-M2400)/(IF(ISNUMBER(H2401),H2401,G2401)-IF(ISNUMBER(H2400),H2400,G2400)))</f>
        <v/>
      </c>
      <c r="X2401" s="31">
        <f>IF(NOT(AND(ISNUMBER(O2401),ISNUMBER(Q2401))),"",(Q2401-O2401)*1440)</f>
        <v/>
      </c>
      <c r="Y2401" s="29" t="n"/>
      <c r="Z2401" s="29" t="n"/>
      <c r="AA2401" s="29" t="n"/>
      <c r="AB2401" s="32" t="n"/>
      <c r="AC2401" s="32" t="n"/>
    </row>
    <row r="2402">
      <c r="A2402" s="26" t="inlineStr">
        <is>
          <t>S47</t>
        </is>
      </c>
      <c r="B2402" s="26" t="inlineStr">
        <is>
          <t>봉평</t>
        </is>
      </c>
      <c r="C2402" s="26" t="inlineStr">
        <is>
          <t>S47-H동</t>
        </is>
      </c>
      <c r="D2402" s="47" t="n">
        <v>1</v>
      </c>
      <c r="E2402" s="26" t="inlineStr">
        <is>
          <t>측정</t>
        </is>
      </c>
      <c r="F2402" s="26" t="inlineStr">
        <is>
          <t>동</t>
        </is>
      </c>
      <c r="G2402" s="31" t="n">
        <v>3</v>
      </c>
      <c r="H2402" s="30" t="n"/>
      <c r="I2402" s="43" t="n"/>
      <c r="J2402" s="41" t="n"/>
      <c r="K2402" s="41" t="n"/>
      <c r="L2402" s="41" t="n"/>
      <c r="M2402" s="31">
        <f>IF(COUNT(J2402:L2402)=0,"",MEDIAN(J2402:L2402))</f>
        <v/>
      </c>
      <c r="N2402" s="26">
        <f>IF(COUNTIFS($C:$C,$C2402,$D:$D,$D2402,$E:$E,"P0(전)",$M:$M,"&gt;0")&lt;&gt;1,"P0(전) 유효 1개 아님",IF(COUNTIFS($C:$C,$C2402,$D:$D,$D2402,$E:$E,"P0(후)",$M:$M,"&gt;0")&lt;&gt;1,"P0(후) 유효 1개 아님",IF(NOT(AND(ISNUMBER(O2402),ISNUMBER(Q2402),ISNUMBER(I2402))),"시각 결측",IF(Q2402&lt;=O2402,"P0 시각 역전",IF(OR(I2402&lt;O2402,I2402&gt;Q2402),"측정시각 구간 밖","OK")))))</f>
        <v/>
      </c>
      <c r="O2402" s="48">
        <f>IF(COUNTIFS($C:$C,$C2402,$D:$D,$D2402,$E:$E,"P0(전)",$M:$M,"&gt;0")&lt;&gt;1,"",SUMIFS($I:$I,$C:$C,$C2402,$D:$D,$D2402,$E:$E,"P0(전)"))</f>
        <v/>
      </c>
      <c r="P2402" s="31">
        <f>IF(COUNTIFS($C:$C,$C2402,$D:$D,$D2402,$E:$E,"P0(전)",$M:$M,"&gt;0")&lt;&gt;1,"",SUMIFS($M:$M,$C:$C,$C2402,$D:$D,$D2402,$E:$E,"P0(전)"))</f>
        <v/>
      </c>
      <c r="Q2402" s="48">
        <f>IF(COUNTIFS($C:$C,$C2402,$D:$D,$D2402,$E:$E,"P0(후)",$M:$M,"&gt;0")&lt;&gt;1,"",SUMIFS($I:$I,$C:$C,$C2402,$D:$D,$D2402,$E:$E,"P0(후)"))</f>
        <v/>
      </c>
      <c r="R2402" s="31">
        <f>IF(COUNTIFS($C:$C,$C2402,$D:$D,$D2402,$E:$E,"P0(후)",$M:$M,"&gt;0")&lt;&gt;1,"",SUMIFS($M:$M,$C:$C,$C2402,$D:$D,$D2402,$E:$E,"P0(후)"))</f>
        <v/>
      </c>
      <c r="S2402" s="31">
        <f>IF(N2402&lt;&gt;"OK","",P2402+(R2402-P2402)*(I2402-O2402)/(Q2402-O2402))</f>
        <v/>
      </c>
      <c r="T2402" s="31">
        <f>IF(OR(N2402&lt;&gt;"OK",NOT(ISNUMBER(M2402))),"",M2402-S2402)</f>
        <v/>
      </c>
      <c r="U2402" s="49">
        <f>IF(OR(NOT(ISNUMBER(T2402)),IF(ISNUMBER(H2402),H2402,G2402)=0),"",T2402/IF(ISNUMBER(H2402),H2402,G2402))</f>
        <v/>
      </c>
      <c r="V2402" s="49">
        <f>IF(ISNUMBER(U2402),ABS(U2402),"")</f>
        <v/>
      </c>
      <c r="W2402" s="49">
        <f>IF(OR($E2401&lt;&gt;"측정",$C2401&lt;&gt;$C2402,$D2401&lt;&gt;$D2402,NOT(ISNUMBER(M2402)),NOT(ISNUMBER(M2401)),(IF(ISNUMBER(H2402),H2402,G2402)-IF(ISNUMBER(H2401),H2401,G2401))=0),"",(M2402-M2401)/(IF(ISNUMBER(H2402),H2402,G2402)-IF(ISNUMBER(H2401),H2401,G2401)))</f>
        <v/>
      </c>
      <c r="X2402" s="31">
        <f>IF(NOT(AND(ISNUMBER(O2402),ISNUMBER(Q2402))),"",(Q2402-O2402)*1440)</f>
        <v/>
      </c>
      <c r="Y2402" s="29" t="n"/>
      <c r="Z2402" s="29" t="n"/>
      <c r="AA2402" s="29" t="n"/>
      <c r="AB2402" s="32" t="n"/>
      <c r="AC2402" s="32" t="n"/>
    </row>
    <row r="2403">
      <c r="A2403" s="26" t="inlineStr">
        <is>
          <t>S47</t>
        </is>
      </c>
      <c r="B2403" s="26" t="inlineStr">
        <is>
          <t>봉평</t>
        </is>
      </c>
      <c r="C2403" s="26" t="inlineStr">
        <is>
          <t>S47-H동</t>
        </is>
      </c>
      <c r="D2403" s="47" t="n">
        <v>1</v>
      </c>
      <c r="E2403" s="26" t="inlineStr">
        <is>
          <t>측정</t>
        </is>
      </c>
      <c r="F2403" s="26" t="inlineStr">
        <is>
          <t>동</t>
        </is>
      </c>
      <c r="G2403" s="31" t="n">
        <v>4</v>
      </c>
      <c r="H2403" s="30" t="n"/>
      <c r="I2403" s="43" t="n"/>
      <c r="J2403" s="41" t="n"/>
      <c r="K2403" s="41" t="n"/>
      <c r="L2403" s="41" t="n"/>
      <c r="M2403" s="31">
        <f>IF(COUNT(J2403:L2403)=0,"",MEDIAN(J2403:L2403))</f>
        <v/>
      </c>
      <c r="N2403" s="26">
        <f>IF(COUNTIFS($C:$C,$C2403,$D:$D,$D2403,$E:$E,"P0(전)",$M:$M,"&gt;0")&lt;&gt;1,"P0(전) 유효 1개 아님",IF(COUNTIFS($C:$C,$C2403,$D:$D,$D2403,$E:$E,"P0(후)",$M:$M,"&gt;0")&lt;&gt;1,"P0(후) 유효 1개 아님",IF(NOT(AND(ISNUMBER(O2403),ISNUMBER(Q2403),ISNUMBER(I2403))),"시각 결측",IF(Q2403&lt;=O2403,"P0 시각 역전",IF(OR(I2403&lt;O2403,I2403&gt;Q2403),"측정시각 구간 밖","OK")))))</f>
        <v/>
      </c>
      <c r="O2403" s="48">
        <f>IF(COUNTIFS($C:$C,$C2403,$D:$D,$D2403,$E:$E,"P0(전)",$M:$M,"&gt;0")&lt;&gt;1,"",SUMIFS($I:$I,$C:$C,$C2403,$D:$D,$D2403,$E:$E,"P0(전)"))</f>
        <v/>
      </c>
      <c r="P2403" s="31">
        <f>IF(COUNTIFS($C:$C,$C2403,$D:$D,$D2403,$E:$E,"P0(전)",$M:$M,"&gt;0")&lt;&gt;1,"",SUMIFS($M:$M,$C:$C,$C2403,$D:$D,$D2403,$E:$E,"P0(전)"))</f>
        <v/>
      </c>
      <c r="Q2403" s="48">
        <f>IF(COUNTIFS($C:$C,$C2403,$D:$D,$D2403,$E:$E,"P0(후)",$M:$M,"&gt;0")&lt;&gt;1,"",SUMIFS($I:$I,$C:$C,$C2403,$D:$D,$D2403,$E:$E,"P0(후)"))</f>
        <v/>
      </c>
      <c r="R2403" s="31">
        <f>IF(COUNTIFS($C:$C,$C2403,$D:$D,$D2403,$E:$E,"P0(후)",$M:$M,"&gt;0")&lt;&gt;1,"",SUMIFS($M:$M,$C:$C,$C2403,$D:$D,$D2403,$E:$E,"P0(후)"))</f>
        <v/>
      </c>
      <c r="S2403" s="31">
        <f>IF(N2403&lt;&gt;"OK","",P2403+(R2403-P2403)*(I2403-O2403)/(Q2403-O2403))</f>
        <v/>
      </c>
      <c r="T2403" s="31">
        <f>IF(OR(N2403&lt;&gt;"OK",NOT(ISNUMBER(M2403))),"",M2403-S2403)</f>
        <v/>
      </c>
      <c r="U2403" s="49">
        <f>IF(OR(NOT(ISNUMBER(T2403)),IF(ISNUMBER(H2403),H2403,G2403)=0),"",T2403/IF(ISNUMBER(H2403),H2403,G2403))</f>
        <v/>
      </c>
      <c r="V2403" s="49">
        <f>IF(ISNUMBER(U2403),ABS(U2403),"")</f>
        <v/>
      </c>
      <c r="W2403" s="49">
        <f>IF(OR($E2402&lt;&gt;"측정",$C2402&lt;&gt;$C2403,$D2402&lt;&gt;$D2403,NOT(ISNUMBER(M2403)),NOT(ISNUMBER(M2402)),(IF(ISNUMBER(H2403),H2403,G2403)-IF(ISNUMBER(H2402),H2402,G2402))=0),"",(M2403-M2402)/(IF(ISNUMBER(H2403),H2403,G2403)-IF(ISNUMBER(H2402),H2402,G2402)))</f>
        <v/>
      </c>
      <c r="X2403" s="31">
        <f>IF(NOT(AND(ISNUMBER(O2403),ISNUMBER(Q2403))),"",(Q2403-O2403)*1440)</f>
        <v/>
      </c>
      <c r="Y2403" s="29" t="n"/>
      <c r="Z2403" s="29" t="n"/>
      <c r="AA2403" s="29" t="n"/>
      <c r="AB2403" s="32" t="n"/>
      <c r="AC2403" s="32" t="n"/>
    </row>
    <row r="2404">
      <c r="A2404" s="26" t="inlineStr">
        <is>
          <t>S47</t>
        </is>
      </c>
      <c r="B2404" s="26" t="inlineStr">
        <is>
          <t>봉평</t>
        </is>
      </c>
      <c r="C2404" s="26" t="inlineStr">
        <is>
          <t>S47-H동</t>
        </is>
      </c>
      <c r="D2404" s="47" t="n">
        <v>1</v>
      </c>
      <c r="E2404" s="26" t="inlineStr">
        <is>
          <t>측정</t>
        </is>
      </c>
      <c r="F2404" s="26" t="inlineStr">
        <is>
          <t>동</t>
        </is>
      </c>
      <c r="G2404" s="31" t="n">
        <v>5</v>
      </c>
      <c r="H2404" s="30" t="n"/>
      <c r="I2404" s="43" t="n"/>
      <c r="J2404" s="41" t="n"/>
      <c r="K2404" s="41" t="n"/>
      <c r="L2404" s="41" t="n"/>
      <c r="M2404" s="31">
        <f>IF(COUNT(J2404:L2404)=0,"",MEDIAN(J2404:L2404))</f>
        <v/>
      </c>
      <c r="N2404" s="26">
        <f>IF(COUNTIFS($C:$C,$C2404,$D:$D,$D2404,$E:$E,"P0(전)",$M:$M,"&gt;0")&lt;&gt;1,"P0(전) 유효 1개 아님",IF(COUNTIFS($C:$C,$C2404,$D:$D,$D2404,$E:$E,"P0(후)",$M:$M,"&gt;0")&lt;&gt;1,"P0(후) 유효 1개 아님",IF(NOT(AND(ISNUMBER(O2404),ISNUMBER(Q2404),ISNUMBER(I2404))),"시각 결측",IF(Q2404&lt;=O2404,"P0 시각 역전",IF(OR(I2404&lt;O2404,I2404&gt;Q2404),"측정시각 구간 밖","OK")))))</f>
        <v/>
      </c>
      <c r="O2404" s="48">
        <f>IF(COUNTIFS($C:$C,$C2404,$D:$D,$D2404,$E:$E,"P0(전)",$M:$M,"&gt;0")&lt;&gt;1,"",SUMIFS($I:$I,$C:$C,$C2404,$D:$D,$D2404,$E:$E,"P0(전)"))</f>
        <v/>
      </c>
      <c r="P2404" s="31">
        <f>IF(COUNTIFS($C:$C,$C2404,$D:$D,$D2404,$E:$E,"P0(전)",$M:$M,"&gt;0")&lt;&gt;1,"",SUMIFS($M:$M,$C:$C,$C2404,$D:$D,$D2404,$E:$E,"P0(전)"))</f>
        <v/>
      </c>
      <c r="Q2404" s="48">
        <f>IF(COUNTIFS($C:$C,$C2404,$D:$D,$D2404,$E:$E,"P0(후)",$M:$M,"&gt;0")&lt;&gt;1,"",SUMIFS($I:$I,$C:$C,$C2404,$D:$D,$D2404,$E:$E,"P0(후)"))</f>
        <v/>
      </c>
      <c r="R2404" s="31">
        <f>IF(COUNTIFS($C:$C,$C2404,$D:$D,$D2404,$E:$E,"P0(후)",$M:$M,"&gt;0")&lt;&gt;1,"",SUMIFS($M:$M,$C:$C,$C2404,$D:$D,$D2404,$E:$E,"P0(후)"))</f>
        <v/>
      </c>
      <c r="S2404" s="31">
        <f>IF(N2404&lt;&gt;"OK","",P2404+(R2404-P2404)*(I2404-O2404)/(Q2404-O2404))</f>
        <v/>
      </c>
      <c r="T2404" s="31">
        <f>IF(OR(N2404&lt;&gt;"OK",NOT(ISNUMBER(M2404))),"",M2404-S2404)</f>
        <v/>
      </c>
      <c r="U2404" s="49">
        <f>IF(OR(NOT(ISNUMBER(T2404)),IF(ISNUMBER(H2404),H2404,G2404)=0),"",T2404/IF(ISNUMBER(H2404),H2404,G2404))</f>
        <v/>
      </c>
      <c r="V2404" s="49">
        <f>IF(ISNUMBER(U2404),ABS(U2404),"")</f>
        <v/>
      </c>
      <c r="W2404" s="49">
        <f>IF(OR($E2403&lt;&gt;"측정",$C2403&lt;&gt;$C2404,$D2403&lt;&gt;$D2404,NOT(ISNUMBER(M2404)),NOT(ISNUMBER(M2403)),(IF(ISNUMBER(H2404),H2404,G2404)-IF(ISNUMBER(H2403),H2403,G2403))=0),"",(M2404-M2403)/(IF(ISNUMBER(H2404),H2404,G2404)-IF(ISNUMBER(H2403),H2403,G2403)))</f>
        <v/>
      </c>
      <c r="X2404" s="31">
        <f>IF(NOT(AND(ISNUMBER(O2404),ISNUMBER(Q2404))),"",(Q2404-O2404)*1440)</f>
        <v/>
      </c>
      <c r="Y2404" s="29" t="n"/>
      <c r="Z2404" s="29" t="n"/>
      <c r="AA2404" s="29" t="n"/>
      <c r="AB2404" s="32" t="n"/>
      <c r="AC2404" s="32" t="n"/>
    </row>
    <row r="2405">
      <c r="A2405" s="26" t="inlineStr">
        <is>
          <t>S47</t>
        </is>
      </c>
      <c r="B2405" s="26" t="inlineStr">
        <is>
          <t>봉평</t>
        </is>
      </c>
      <c r="C2405" s="26" t="inlineStr">
        <is>
          <t>S47-H동</t>
        </is>
      </c>
      <c r="D2405" s="47" t="n">
        <v>1</v>
      </c>
      <c r="E2405" s="26" t="inlineStr">
        <is>
          <t>측정</t>
        </is>
      </c>
      <c r="F2405" s="26" t="inlineStr">
        <is>
          <t>동</t>
        </is>
      </c>
      <c r="G2405" s="31" t="n">
        <v>6</v>
      </c>
      <c r="H2405" s="30" t="n"/>
      <c r="I2405" s="43" t="n"/>
      <c r="J2405" s="41" t="n"/>
      <c r="K2405" s="41" t="n"/>
      <c r="L2405" s="41" t="n"/>
      <c r="M2405" s="31">
        <f>IF(COUNT(J2405:L2405)=0,"",MEDIAN(J2405:L2405))</f>
        <v/>
      </c>
      <c r="N2405" s="26">
        <f>IF(COUNTIFS($C:$C,$C2405,$D:$D,$D2405,$E:$E,"P0(전)",$M:$M,"&gt;0")&lt;&gt;1,"P0(전) 유효 1개 아님",IF(COUNTIFS($C:$C,$C2405,$D:$D,$D2405,$E:$E,"P0(후)",$M:$M,"&gt;0")&lt;&gt;1,"P0(후) 유효 1개 아님",IF(NOT(AND(ISNUMBER(O2405),ISNUMBER(Q2405),ISNUMBER(I2405))),"시각 결측",IF(Q2405&lt;=O2405,"P0 시각 역전",IF(OR(I2405&lt;O2405,I2405&gt;Q2405),"측정시각 구간 밖","OK")))))</f>
        <v/>
      </c>
      <c r="O2405" s="48">
        <f>IF(COUNTIFS($C:$C,$C2405,$D:$D,$D2405,$E:$E,"P0(전)",$M:$M,"&gt;0")&lt;&gt;1,"",SUMIFS($I:$I,$C:$C,$C2405,$D:$D,$D2405,$E:$E,"P0(전)"))</f>
        <v/>
      </c>
      <c r="P2405" s="31">
        <f>IF(COUNTIFS($C:$C,$C2405,$D:$D,$D2405,$E:$E,"P0(전)",$M:$M,"&gt;0")&lt;&gt;1,"",SUMIFS($M:$M,$C:$C,$C2405,$D:$D,$D2405,$E:$E,"P0(전)"))</f>
        <v/>
      </c>
      <c r="Q2405" s="48">
        <f>IF(COUNTIFS($C:$C,$C2405,$D:$D,$D2405,$E:$E,"P0(후)",$M:$M,"&gt;0")&lt;&gt;1,"",SUMIFS($I:$I,$C:$C,$C2405,$D:$D,$D2405,$E:$E,"P0(후)"))</f>
        <v/>
      </c>
      <c r="R2405" s="31">
        <f>IF(COUNTIFS($C:$C,$C2405,$D:$D,$D2405,$E:$E,"P0(후)",$M:$M,"&gt;0")&lt;&gt;1,"",SUMIFS($M:$M,$C:$C,$C2405,$D:$D,$D2405,$E:$E,"P0(후)"))</f>
        <v/>
      </c>
      <c r="S2405" s="31">
        <f>IF(N2405&lt;&gt;"OK","",P2405+(R2405-P2405)*(I2405-O2405)/(Q2405-O2405))</f>
        <v/>
      </c>
      <c r="T2405" s="31">
        <f>IF(OR(N2405&lt;&gt;"OK",NOT(ISNUMBER(M2405))),"",M2405-S2405)</f>
        <v/>
      </c>
      <c r="U2405" s="49">
        <f>IF(OR(NOT(ISNUMBER(T2405)),IF(ISNUMBER(H2405),H2405,G2405)=0),"",T2405/IF(ISNUMBER(H2405),H2405,G2405))</f>
        <v/>
      </c>
      <c r="V2405" s="49">
        <f>IF(ISNUMBER(U2405),ABS(U2405),"")</f>
        <v/>
      </c>
      <c r="W2405" s="49">
        <f>IF(OR($E2404&lt;&gt;"측정",$C2404&lt;&gt;$C2405,$D2404&lt;&gt;$D2405,NOT(ISNUMBER(M2405)),NOT(ISNUMBER(M2404)),(IF(ISNUMBER(H2405),H2405,G2405)-IF(ISNUMBER(H2404),H2404,G2404))=0),"",(M2405-M2404)/(IF(ISNUMBER(H2405),H2405,G2405)-IF(ISNUMBER(H2404),H2404,G2404)))</f>
        <v/>
      </c>
      <c r="X2405" s="31">
        <f>IF(NOT(AND(ISNUMBER(O2405),ISNUMBER(Q2405))),"",(Q2405-O2405)*1440)</f>
        <v/>
      </c>
      <c r="Y2405" s="29" t="n"/>
      <c r="Z2405" s="29" t="n"/>
      <c r="AA2405" s="29" t="n"/>
      <c r="AB2405" s="32" t="n"/>
      <c r="AC2405" s="32" t="n"/>
    </row>
    <row r="2406">
      <c r="A2406" s="26" t="inlineStr">
        <is>
          <t>S47</t>
        </is>
      </c>
      <c r="B2406" s="26" t="inlineStr">
        <is>
          <t>봉평</t>
        </is>
      </c>
      <c r="C2406" s="26" t="inlineStr">
        <is>
          <t>S47-H동</t>
        </is>
      </c>
      <c r="D2406" s="47" t="n">
        <v>1</v>
      </c>
      <c r="E2406" s="26" t="inlineStr">
        <is>
          <t>측정</t>
        </is>
      </c>
      <c r="F2406" s="26" t="inlineStr">
        <is>
          <t>동</t>
        </is>
      </c>
      <c r="G2406" s="31" t="n">
        <v>7</v>
      </c>
      <c r="H2406" s="30" t="n"/>
      <c r="I2406" s="43" t="n"/>
      <c r="J2406" s="41" t="n"/>
      <c r="K2406" s="41" t="n"/>
      <c r="L2406" s="41" t="n"/>
      <c r="M2406" s="31">
        <f>IF(COUNT(J2406:L2406)=0,"",MEDIAN(J2406:L2406))</f>
        <v/>
      </c>
      <c r="N2406" s="26">
        <f>IF(COUNTIFS($C:$C,$C2406,$D:$D,$D2406,$E:$E,"P0(전)",$M:$M,"&gt;0")&lt;&gt;1,"P0(전) 유효 1개 아님",IF(COUNTIFS($C:$C,$C2406,$D:$D,$D2406,$E:$E,"P0(후)",$M:$M,"&gt;0")&lt;&gt;1,"P0(후) 유효 1개 아님",IF(NOT(AND(ISNUMBER(O2406),ISNUMBER(Q2406),ISNUMBER(I2406))),"시각 결측",IF(Q2406&lt;=O2406,"P0 시각 역전",IF(OR(I2406&lt;O2406,I2406&gt;Q2406),"측정시각 구간 밖","OK")))))</f>
        <v/>
      </c>
      <c r="O2406" s="48">
        <f>IF(COUNTIFS($C:$C,$C2406,$D:$D,$D2406,$E:$E,"P0(전)",$M:$M,"&gt;0")&lt;&gt;1,"",SUMIFS($I:$I,$C:$C,$C2406,$D:$D,$D2406,$E:$E,"P0(전)"))</f>
        <v/>
      </c>
      <c r="P2406" s="31">
        <f>IF(COUNTIFS($C:$C,$C2406,$D:$D,$D2406,$E:$E,"P0(전)",$M:$M,"&gt;0")&lt;&gt;1,"",SUMIFS($M:$M,$C:$C,$C2406,$D:$D,$D2406,$E:$E,"P0(전)"))</f>
        <v/>
      </c>
      <c r="Q2406" s="48">
        <f>IF(COUNTIFS($C:$C,$C2406,$D:$D,$D2406,$E:$E,"P0(후)",$M:$M,"&gt;0")&lt;&gt;1,"",SUMIFS($I:$I,$C:$C,$C2406,$D:$D,$D2406,$E:$E,"P0(후)"))</f>
        <v/>
      </c>
      <c r="R2406" s="31">
        <f>IF(COUNTIFS($C:$C,$C2406,$D:$D,$D2406,$E:$E,"P0(후)",$M:$M,"&gt;0")&lt;&gt;1,"",SUMIFS($M:$M,$C:$C,$C2406,$D:$D,$D2406,$E:$E,"P0(후)"))</f>
        <v/>
      </c>
      <c r="S2406" s="31">
        <f>IF(N2406&lt;&gt;"OK","",P2406+(R2406-P2406)*(I2406-O2406)/(Q2406-O2406))</f>
        <v/>
      </c>
      <c r="T2406" s="31">
        <f>IF(OR(N2406&lt;&gt;"OK",NOT(ISNUMBER(M2406))),"",M2406-S2406)</f>
        <v/>
      </c>
      <c r="U2406" s="49">
        <f>IF(OR(NOT(ISNUMBER(T2406)),IF(ISNUMBER(H2406),H2406,G2406)=0),"",T2406/IF(ISNUMBER(H2406),H2406,G2406))</f>
        <v/>
      </c>
      <c r="V2406" s="49">
        <f>IF(ISNUMBER(U2406),ABS(U2406),"")</f>
        <v/>
      </c>
      <c r="W2406" s="49">
        <f>IF(OR($E2405&lt;&gt;"측정",$C2405&lt;&gt;$C2406,$D2405&lt;&gt;$D2406,NOT(ISNUMBER(M2406)),NOT(ISNUMBER(M2405)),(IF(ISNUMBER(H2406),H2406,G2406)-IF(ISNUMBER(H2405),H2405,G2405))=0),"",(M2406-M2405)/(IF(ISNUMBER(H2406),H2406,G2406)-IF(ISNUMBER(H2405),H2405,G2405)))</f>
        <v/>
      </c>
      <c r="X2406" s="31">
        <f>IF(NOT(AND(ISNUMBER(O2406),ISNUMBER(Q2406))),"",(Q2406-O2406)*1440)</f>
        <v/>
      </c>
      <c r="Y2406" s="29" t="n"/>
      <c r="Z2406" s="29" t="n"/>
      <c r="AA2406" s="29" t="n"/>
      <c r="AB2406" s="32" t="n"/>
      <c r="AC2406" s="32" t="n"/>
    </row>
    <row r="2407">
      <c r="A2407" s="26" t="inlineStr">
        <is>
          <t>S47</t>
        </is>
      </c>
      <c r="B2407" s="26" t="inlineStr">
        <is>
          <t>봉평</t>
        </is>
      </c>
      <c r="C2407" s="26" t="inlineStr">
        <is>
          <t>S47-H동</t>
        </is>
      </c>
      <c r="D2407" s="47" t="n">
        <v>1</v>
      </c>
      <c r="E2407" s="26" t="inlineStr">
        <is>
          <t>측정</t>
        </is>
      </c>
      <c r="F2407" s="26" t="inlineStr">
        <is>
          <t>동</t>
        </is>
      </c>
      <c r="G2407" s="31" t="n">
        <v>8</v>
      </c>
      <c r="H2407" s="30" t="n"/>
      <c r="I2407" s="43" t="n"/>
      <c r="J2407" s="41" t="n"/>
      <c r="K2407" s="41" t="n"/>
      <c r="L2407" s="41" t="n"/>
      <c r="M2407" s="31">
        <f>IF(COUNT(J2407:L2407)=0,"",MEDIAN(J2407:L2407))</f>
        <v/>
      </c>
      <c r="N2407" s="26">
        <f>IF(COUNTIFS($C:$C,$C2407,$D:$D,$D2407,$E:$E,"P0(전)",$M:$M,"&gt;0")&lt;&gt;1,"P0(전) 유효 1개 아님",IF(COUNTIFS($C:$C,$C2407,$D:$D,$D2407,$E:$E,"P0(후)",$M:$M,"&gt;0")&lt;&gt;1,"P0(후) 유효 1개 아님",IF(NOT(AND(ISNUMBER(O2407),ISNUMBER(Q2407),ISNUMBER(I2407))),"시각 결측",IF(Q2407&lt;=O2407,"P0 시각 역전",IF(OR(I2407&lt;O2407,I2407&gt;Q2407),"측정시각 구간 밖","OK")))))</f>
        <v/>
      </c>
      <c r="O2407" s="48">
        <f>IF(COUNTIFS($C:$C,$C2407,$D:$D,$D2407,$E:$E,"P0(전)",$M:$M,"&gt;0")&lt;&gt;1,"",SUMIFS($I:$I,$C:$C,$C2407,$D:$D,$D2407,$E:$E,"P0(전)"))</f>
        <v/>
      </c>
      <c r="P2407" s="31">
        <f>IF(COUNTIFS($C:$C,$C2407,$D:$D,$D2407,$E:$E,"P0(전)",$M:$M,"&gt;0")&lt;&gt;1,"",SUMIFS($M:$M,$C:$C,$C2407,$D:$D,$D2407,$E:$E,"P0(전)"))</f>
        <v/>
      </c>
      <c r="Q2407" s="48">
        <f>IF(COUNTIFS($C:$C,$C2407,$D:$D,$D2407,$E:$E,"P0(후)",$M:$M,"&gt;0")&lt;&gt;1,"",SUMIFS($I:$I,$C:$C,$C2407,$D:$D,$D2407,$E:$E,"P0(후)"))</f>
        <v/>
      </c>
      <c r="R2407" s="31">
        <f>IF(COUNTIFS($C:$C,$C2407,$D:$D,$D2407,$E:$E,"P0(후)",$M:$M,"&gt;0")&lt;&gt;1,"",SUMIFS($M:$M,$C:$C,$C2407,$D:$D,$D2407,$E:$E,"P0(후)"))</f>
        <v/>
      </c>
      <c r="S2407" s="31">
        <f>IF(N2407&lt;&gt;"OK","",P2407+(R2407-P2407)*(I2407-O2407)/(Q2407-O2407))</f>
        <v/>
      </c>
      <c r="T2407" s="31">
        <f>IF(OR(N2407&lt;&gt;"OK",NOT(ISNUMBER(M2407))),"",M2407-S2407)</f>
        <v/>
      </c>
      <c r="U2407" s="49">
        <f>IF(OR(NOT(ISNUMBER(T2407)),IF(ISNUMBER(H2407),H2407,G2407)=0),"",T2407/IF(ISNUMBER(H2407),H2407,G2407))</f>
        <v/>
      </c>
      <c r="V2407" s="49">
        <f>IF(ISNUMBER(U2407),ABS(U2407),"")</f>
        <v/>
      </c>
      <c r="W2407" s="49">
        <f>IF(OR($E2406&lt;&gt;"측정",$C2406&lt;&gt;$C2407,$D2406&lt;&gt;$D2407,NOT(ISNUMBER(M2407)),NOT(ISNUMBER(M2406)),(IF(ISNUMBER(H2407),H2407,G2407)-IF(ISNUMBER(H2406),H2406,G2406))=0),"",(M2407-M2406)/(IF(ISNUMBER(H2407),H2407,G2407)-IF(ISNUMBER(H2406),H2406,G2406)))</f>
        <v/>
      </c>
      <c r="X2407" s="31">
        <f>IF(NOT(AND(ISNUMBER(O2407),ISNUMBER(Q2407))),"",(Q2407-O2407)*1440)</f>
        <v/>
      </c>
      <c r="Y2407" s="29" t="n"/>
      <c r="Z2407" s="29" t="n"/>
      <c r="AA2407" s="29" t="n"/>
      <c r="AB2407" s="32" t="n"/>
      <c r="AC2407" s="32" t="n"/>
    </row>
    <row r="2408">
      <c r="A2408" s="26" t="inlineStr">
        <is>
          <t>S47</t>
        </is>
      </c>
      <c r="B2408" s="26" t="inlineStr">
        <is>
          <t>봉평</t>
        </is>
      </c>
      <c r="C2408" s="26" t="inlineStr">
        <is>
          <t>S47-H동</t>
        </is>
      </c>
      <c r="D2408" s="47" t="n">
        <v>1</v>
      </c>
      <c r="E2408" s="26" t="inlineStr">
        <is>
          <t>측정</t>
        </is>
      </c>
      <c r="F2408" s="26" t="inlineStr">
        <is>
          <t>동</t>
        </is>
      </c>
      <c r="G2408" s="31" t="n">
        <v>9</v>
      </c>
      <c r="H2408" s="30" t="n"/>
      <c r="I2408" s="43" t="n"/>
      <c r="J2408" s="41" t="n"/>
      <c r="K2408" s="41" t="n"/>
      <c r="L2408" s="41" t="n"/>
      <c r="M2408" s="31">
        <f>IF(COUNT(J2408:L2408)=0,"",MEDIAN(J2408:L2408))</f>
        <v/>
      </c>
      <c r="N2408" s="26">
        <f>IF(COUNTIFS($C:$C,$C2408,$D:$D,$D2408,$E:$E,"P0(전)",$M:$M,"&gt;0")&lt;&gt;1,"P0(전) 유효 1개 아님",IF(COUNTIFS($C:$C,$C2408,$D:$D,$D2408,$E:$E,"P0(후)",$M:$M,"&gt;0")&lt;&gt;1,"P0(후) 유효 1개 아님",IF(NOT(AND(ISNUMBER(O2408),ISNUMBER(Q2408),ISNUMBER(I2408))),"시각 결측",IF(Q2408&lt;=O2408,"P0 시각 역전",IF(OR(I2408&lt;O2408,I2408&gt;Q2408),"측정시각 구간 밖","OK")))))</f>
        <v/>
      </c>
      <c r="O2408" s="48">
        <f>IF(COUNTIFS($C:$C,$C2408,$D:$D,$D2408,$E:$E,"P0(전)",$M:$M,"&gt;0")&lt;&gt;1,"",SUMIFS($I:$I,$C:$C,$C2408,$D:$D,$D2408,$E:$E,"P0(전)"))</f>
        <v/>
      </c>
      <c r="P2408" s="31">
        <f>IF(COUNTIFS($C:$C,$C2408,$D:$D,$D2408,$E:$E,"P0(전)",$M:$M,"&gt;0")&lt;&gt;1,"",SUMIFS($M:$M,$C:$C,$C2408,$D:$D,$D2408,$E:$E,"P0(전)"))</f>
        <v/>
      </c>
      <c r="Q2408" s="48">
        <f>IF(COUNTIFS($C:$C,$C2408,$D:$D,$D2408,$E:$E,"P0(후)",$M:$M,"&gt;0")&lt;&gt;1,"",SUMIFS($I:$I,$C:$C,$C2408,$D:$D,$D2408,$E:$E,"P0(후)"))</f>
        <v/>
      </c>
      <c r="R2408" s="31">
        <f>IF(COUNTIFS($C:$C,$C2408,$D:$D,$D2408,$E:$E,"P0(후)",$M:$M,"&gt;0")&lt;&gt;1,"",SUMIFS($M:$M,$C:$C,$C2408,$D:$D,$D2408,$E:$E,"P0(후)"))</f>
        <v/>
      </c>
      <c r="S2408" s="31">
        <f>IF(N2408&lt;&gt;"OK","",P2408+(R2408-P2408)*(I2408-O2408)/(Q2408-O2408))</f>
        <v/>
      </c>
      <c r="T2408" s="31">
        <f>IF(OR(N2408&lt;&gt;"OK",NOT(ISNUMBER(M2408))),"",M2408-S2408)</f>
        <v/>
      </c>
      <c r="U2408" s="49">
        <f>IF(OR(NOT(ISNUMBER(T2408)),IF(ISNUMBER(H2408),H2408,G2408)=0),"",T2408/IF(ISNUMBER(H2408),H2408,G2408))</f>
        <v/>
      </c>
      <c r="V2408" s="49">
        <f>IF(ISNUMBER(U2408),ABS(U2408),"")</f>
        <v/>
      </c>
      <c r="W2408" s="49">
        <f>IF(OR($E2407&lt;&gt;"측정",$C2407&lt;&gt;$C2408,$D2407&lt;&gt;$D2408,NOT(ISNUMBER(M2408)),NOT(ISNUMBER(M2407)),(IF(ISNUMBER(H2408),H2408,G2408)-IF(ISNUMBER(H2407),H2407,G2407))=0),"",(M2408-M2407)/(IF(ISNUMBER(H2408),H2408,G2408)-IF(ISNUMBER(H2407),H2407,G2407)))</f>
        <v/>
      </c>
      <c r="X2408" s="31">
        <f>IF(NOT(AND(ISNUMBER(O2408),ISNUMBER(Q2408))),"",(Q2408-O2408)*1440)</f>
        <v/>
      </c>
      <c r="Y2408" s="29" t="n"/>
      <c r="Z2408" s="29" t="n"/>
      <c r="AA2408" s="29" t="n"/>
      <c r="AB2408" s="32" t="n"/>
      <c r="AC2408" s="32" t="n"/>
    </row>
    <row r="2409">
      <c r="A2409" s="26" t="inlineStr">
        <is>
          <t>S47</t>
        </is>
      </c>
      <c r="B2409" s="26" t="inlineStr">
        <is>
          <t>봉평</t>
        </is>
      </c>
      <c r="C2409" s="26" t="inlineStr">
        <is>
          <t>S47-H동</t>
        </is>
      </c>
      <c r="D2409" s="47" t="n">
        <v>1</v>
      </c>
      <c r="E2409" s="26" t="inlineStr">
        <is>
          <t>측정</t>
        </is>
      </c>
      <c r="F2409" s="26" t="inlineStr">
        <is>
          <t>동</t>
        </is>
      </c>
      <c r="G2409" s="31" t="n">
        <v>10</v>
      </c>
      <c r="H2409" s="30" t="n"/>
      <c r="I2409" s="43" t="n"/>
      <c r="J2409" s="41" t="n"/>
      <c r="K2409" s="41" t="n"/>
      <c r="L2409" s="41" t="n"/>
      <c r="M2409" s="31">
        <f>IF(COUNT(J2409:L2409)=0,"",MEDIAN(J2409:L2409))</f>
        <v/>
      </c>
      <c r="N2409" s="26">
        <f>IF(COUNTIFS($C:$C,$C2409,$D:$D,$D2409,$E:$E,"P0(전)",$M:$M,"&gt;0")&lt;&gt;1,"P0(전) 유효 1개 아님",IF(COUNTIFS($C:$C,$C2409,$D:$D,$D2409,$E:$E,"P0(후)",$M:$M,"&gt;0")&lt;&gt;1,"P0(후) 유효 1개 아님",IF(NOT(AND(ISNUMBER(O2409),ISNUMBER(Q2409),ISNUMBER(I2409))),"시각 결측",IF(Q2409&lt;=O2409,"P0 시각 역전",IF(OR(I2409&lt;O2409,I2409&gt;Q2409),"측정시각 구간 밖","OK")))))</f>
        <v/>
      </c>
      <c r="O2409" s="48">
        <f>IF(COUNTIFS($C:$C,$C2409,$D:$D,$D2409,$E:$E,"P0(전)",$M:$M,"&gt;0")&lt;&gt;1,"",SUMIFS($I:$I,$C:$C,$C2409,$D:$D,$D2409,$E:$E,"P0(전)"))</f>
        <v/>
      </c>
      <c r="P2409" s="31">
        <f>IF(COUNTIFS($C:$C,$C2409,$D:$D,$D2409,$E:$E,"P0(전)",$M:$M,"&gt;0")&lt;&gt;1,"",SUMIFS($M:$M,$C:$C,$C2409,$D:$D,$D2409,$E:$E,"P0(전)"))</f>
        <v/>
      </c>
      <c r="Q2409" s="48">
        <f>IF(COUNTIFS($C:$C,$C2409,$D:$D,$D2409,$E:$E,"P0(후)",$M:$M,"&gt;0")&lt;&gt;1,"",SUMIFS($I:$I,$C:$C,$C2409,$D:$D,$D2409,$E:$E,"P0(후)"))</f>
        <v/>
      </c>
      <c r="R2409" s="31">
        <f>IF(COUNTIFS($C:$C,$C2409,$D:$D,$D2409,$E:$E,"P0(후)",$M:$M,"&gt;0")&lt;&gt;1,"",SUMIFS($M:$M,$C:$C,$C2409,$D:$D,$D2409,$E:$E,"P0(후)"))</f>
        <v/>
      </c>
      <c r="S2409" s="31">
        <f>IF(N2409&lt;&gt;"OK","",P2409+(R2409-P2409)*(I2409-O2409)/(Q2409-O2409))</f>
        <v/>
      </c>
      <c r="T2409" s="31">
        <f>IF(OR(N2409&lt;&gt;"OK",NOT(ISNUMBER(M2409))),"",M2409-S2409)</f>
        <v/>
      </c>
      <c r="U2409" s="49">
        <f>IF(OR(NOT(ISNUMBER(T2409)),IF(ISNUMBER(H2409),H2409,G2409)=0),"",T2409/IF(ISNUMBER(H2409),H2409,G2409))</f>
        <v/>
      </c>
      <c r="V2409" s="49">
        <f>IF(ISNUMBER(U2409),ABS(U2409),"")</f>
        <v/>
      </c>
      <c r="W2409" s="49">
        <f>IF(OR($E2408&lt;&gt;"측정",$C2408&lt;&gt;$C2409,$D2408&lt;&gt;$D2409,NOT(ISNUMBER(M2409)),NOT(ISNUMBER(M2408)),(IF(ISNUMBER(H2409),H2409,G2409)-IF(ISNUMBER(H2408),H2408,G2408))=0),"",(M2409-M2408)/(IF(ISNUMBER(H2409),H2409,G2409)-IF(ISNUMBER(H2408),H2408,G2408)))</f>
        <v/>
      </c>
      <c r="X2409" s="31">
        <f>IF(NOT(AND(ISNUMBER(O2409),ISNUMBER(Q2409))),"",(Q2409-O2409)*1440)</f>
        <v/>
      </c>
      <c r="Y2409" s="29" t="n"/>
      <c r="Z2409" s="29" t="n"/>
      <c r="AA2409" s="29" t="n"/>
      <c r="AB2409" s="32" t="n"/>
      <c r="AC2409" s="32" t="n"/>
    </row>
    <row r="2410">
      <c r="A2410" s="44" t="inlineStr">
        <is>
          <t>S47</t>
        </is>
      </c>
      <c r="B2410" s="44" t="inlineStr">
        <is>
          <t>봉평</t>
        </is>
      </c>
      <c r="C2410" s="44" t="inlineStr">
        <is>
          <t>S47-H동</t>
        </is>
      </c>
      <c r="D2410" s="45" t="n">
        <v>1</v>
      </c>
      <c r="E2410" s="44" t="inlineStr">
        <is>
          <t>P0(후)</t>
        </is>
      </c>
      <c r="F2410" s="44" t="inlineStr">
        <is>
          <t>동</t>
        </is>
      </c>
      <c r="G2410" s="46" t="n"/>
      <c r="H2410" s="30" t="n"/>
      <c r="I2410" s="43" t="n"/>
      <c r="J2410" s="41" t="n"/>
      <c r="K2410" s="41" t="n"/>
      <c r="L2410" s="41" t="n"/>
      <c r="M2410" s="31">
        <f>IF(COUNT(J2410:L2410)=0,"",MEDIAN(J2410:L2410))</f>
        <v/>
      </c>
      <c r="N2410" s="38" t="n"/>
      <c r="O2410" s="38" t="n"/>
      <c r="P2410" s="38" t="n"/>
      <c r="Q2410" s="38" t="n"/>
      <c r="R2410" s="38" t="n"/>
      <c r="S2410" s="38" t="n"/>
      <c r="T2410" s="38" t="n"/>
      <c r="U2410" s="38" t="n"/>
      <c r="V2410" s="38" t="n"/>
      <c r="W2410" s="38" t="n"/>
      <c r="X2410" s="38" t="n"/>
      <c r="Y2410" s="29" t="n"/>
      <c r="Z2410" s="29" t="n"/>
      <c r="AA2410" s="29" t="n"/>
      <c r="AB2410" s="32" t="n"/>
      <c r="AC2410" s="32" t="n"/>
    </row>
    <row r="2411">
      <c r="A2411" s="44" t="inlineStr">
        <is>
          <t>S47</t>
        </is>
      </c>
      <c r="B2411" s="44" t="inlineStr">
        <is>
          <t>봉평</t>
        </is>
      </c>
      <c r="C2411" s="44" t="inlineStr">
        <is>
          <t>S47-H서</t>
        </is>
      </c>
      <c r="D2411" s="45" t="n">
        <v>1</v>
      </c>
      <c r="E2411" s="44" t="inlineStr">
        <is>
          <t>P0(전)</t>
        </is>
      </c>
      <c r="F2411" s="44" t="inlineStr">
        <is>
          <t>서</t>
        </is>
      </c>
      <c r="G2411" s="46" t="n"/>
      <c r="H2411" s="30" t="n"/>
      <c r="I2411" s="43" t="n"/>
      <c r="J2411" s="41" t="n"/>
      <c r="K2411" s="41" t="n"/>
      <c r="L2411" s="41" t="n"/>
      <c r="M2411" s="31">
        <f>IF(COUNT(J2411:L2411)=0,"",MEDIAN(J2411:L2411))</f>
        <v/>
      </c>
      <c r="N2411" s="38" t="n"/>
      <c r="O2411" s="38" t="n"/>
      <c r="P2411" s="38" t="n"/>
      <c r="Q2411" s="38" t="n"/>
      <c r="R2411" s="38" t="n"/>
      <c r="S2411" s="38" t="n"/>
      <c r="T2411" s="38" t="n"/>
      <c r="U2411" s="38" t="n"/>
      <c r="V2411" s="38" t="n"/>
      <c r="W2411" s="38" t="n"/>
      <c r="X2411" s="38" t="n"/>
      <c r="Y2411" s="29" t="n"/>
      <c r="Z2411" s="29" t="n"/>
      <c r="AA2411" s="29" t="n"/>
      <c r="AB2411" s="32" t="n"/>
      <c r="AC2411" s="32" t="n"/>
    </row>
    <row r="2412">
      <c r="A2412" s="26" t="inlineStr">
        <is>
          <t>S47</t>
        </is>
      </c>
      <c r="B2412" s="26" t="inlineStr">
        <is>
          <t>봉평</t>
        </is>
      </c>
      <c r="C2412" s="26" t="inlineStr">
        <is>
          <t>S47-H서</t>
        </is>
      </c>
      <c r="D2412" s="47" t="n">
        <v>1</v>
      </c>
      <c r="E2412" s="26" t="inlineStr">
        <is>
          <t>측정</t>
        </is>
      </c>
      <c r="F2412" s="26" t="inlineStr">
        <is>
          <t>서</t>
        </is>
      </c>
      <c r="G2412" s="31" t="n">
        <v>0.5</v>
      </c>
      <c r="H2412" s="30" t="n"/>
      <c r="I2412" s="43" t="n"/>
      <c r="J2412" s="41" t="n"/>
      <c r="K2412" s="41" t="n"/>
      <c r="L2412" s="41" t="n"/>
      <c r="M2412" s="31">
        <f>IF(COUNT(J2412:L2412)=0,"",MEDIAN(J2412:L2412))</f>
        <v/>
      </c>
      <c r="N2412" s="26">
        <f>IF(COUNTIFS($C:$C,$C2412,$D:$D,$D2412,$E:$E,"P0(전)",$M:$M,"&gt;0")&lt;&gt;1,"P0(전) 유효 1개 아님",IF(COUNTIFS($C:$C,$C2412,$D:$D,$D2412,$E:$E,"P0(후)",$M:$M,"&gt;0")&lt;&gt;1,"P0(후) 유효 1개 아님",IF(NOT(AND(ISNUMBER(O2412),ISNUMBER(Q2412),ISNUMBER(I2412))),"시각 결측",IF(Q2412&lt;=O2412,"P0 시각 역전",IF(OR(I2412&lt;O2412,I2412&gt;Q2412),"측정시각 구간 밖","OK")))))</f>
        <v/>
      </c>
      <c r="O2412" s="48">
        <f>IF(COUNTIFS($C:$C,$C2412,$D:$D,$D2412,$E:$E,"P0(전)",$M:$M,"&gt;0")&lt;&gt;1,"",SUMIFS($I:$I,$C:$C,$C2412,$D:$D,$D2412,$E:$E,"P0(전)"))</f>
        <v/>
      </c>
      <c r="P2412" s="31">
        <f>IF(COUNTIFS($C:$C,$C2412,$D:$D,$D2412,$E:$E,"P0(전)",$M:$M,"&gt;0")&lt;&gt;1,"",SUMIFS($M:$M,$C:$C,$C2412,$D:$D,$D2412,$E:$E,"P0(전)"))</f>
        <v/>
      </c>
      <c r="Q2412" s="48">
        <f>IF(COUNTIFS($C:$C,$C2412,$D:$D,$D2412,$E:$E,"P0(후)",$M:$M,"&gt;0")&lt;&gt;1,"",SUMIFS($I:$I,$C:$C,$C2412,$D:$D,$D2412,$E:$E,"P0(후)"))</f>
        <v/>
      </c>
      <c r="R2412" s="31">
        <f>IF(COUNTIFS($C:$C,$C2412,$D:$D,$D2412,$E:$E,"P0(후)",$M:$M,"&gt;0")&lt;&gt;1,"",SUMIFS($M:$M,$C:$C,$C2412,$D:$D,$D2412,$E:$E,"P0(후)"))</f>
        <v/>
      </c>
      <c r="S2412" s="31">
        <f>IF(N2412&lt;&gt;"OK","",P2412+(R2412-P2412)*(I2412-O2412)/(Q2412-O2412))</f>
        <v/>
      </c>
      <c r="T2412" s="31">
        <f>IF(OR(N2412&lt;&gt;"OK",NOT(ISNUMBER(M2412))),"",M2412-S2412)</f>
        <v/>
      </c>
      <c r="U2412" s="49">
        <f>IF(OR(NOT(ISNUMBER(T2412)),IF(ISNUMBER(H2412),H2412,G2412)=0),"",T2412/IF(ISNUMBER(H2412),H2412,G2412))</f>
        <v/>
      </c>
      <c r="V2412" s="49">
        <f>IF(ISNUMBER(U2412),ABS(U2412),"")</f>
        <v/>
      </c>
      <c r="W2412" s="49">
        <f>IF(OR($E2411&lt;&gt;"측정",$C2411&lt;&gt;$C2412,$D2411&lt;&gt;$D2412,NOT(ISNUMBER(M2412)),NOT(ISNUMBER(M2411)),(IF(ISNUMBER(H2412),H2412,G2412)-IF(ISNUMBER(H2411),H2411,G2411))=0),"",(M2412-M2411)/(IF(ISNUMBER(H2412),H2412,G2412)-IF(ISNUMBER(H2411),H2411,G2411)))</f>
        <v/>
      </c>
      <c r="X2412" s="31">
        <f>IF(NOT(AND(ISNUMBER(O2412),ISNUMBER(Q2412))),"",(Q2412-O2412)*1440)</f>
        <v/>
      </c>
      <c r="Y2412" s="29" t="n"/>
      <c r="Z2412" s="29" t="n"/>
      <c r="AA2412" s="29" t="n"/>
      <c r="AB2412" s="32" t="n"/>
      <c r="AC2412" s="32" t="n"/>
    </row>
    <row r="2413">
      <c r="A2413" s="26" t="inlineStr">
        <is>
          <t>S47</t>
        </is>
      </c>
      <c r="B2413" s="26" t="inlineStr">
        <is>
          <t>봉평</t>
        </is>
      </c>
      <c r="C2413" s="26" t="inlineStr">
        <is>
          <t>S47-H서</t>
        </is>
      </c>
      <c r="D2413" s="47" t="n">
        <v>1</v>
      </c>
      <c r="E2413" s="26" t="inlineStr">
        <is>
          <t>측정</t>
        </is>
      </c>
      <c r="F2413" s="26" t="inlineStr">
        <is>
          <t>서</t>
        </is>
      </c>
      <c r="G2413" s="31" t="n">
        <v>1</v>
      </c>
      <c r="H2413" s="30" t="n"/>
      <c r="I2413" s="43" t="n"/>
      <c r="J2413" s="41" t="n"/>
      <c r="K2413" s="41" t="n"/>
      <c r="L2413" s="41" t="n"/>
      <c r="M2413" s="31">
        <f>IF(COUNT(J2413:L2413)=0,"",MEDIAN(J2413:L2413))</f>
        <v/>
      </c>
      <c r="N2413" s="26">
        <f>IF(COUNTIFS($C:$C,$C2413,$D:$D,$D2413,$E:$E,"P0(전)",$M:$M,"&gt;0")&lt;&gt;1,"P0(전) 유효 1개 아님",IF(COUNTIFS($C:$C,$C2413,$D:$D,$D2413,$E:$E,"P0(후)",$M:$M,"&gt;0")&lt;&gt;1,"P0(후) 유효 1개 아님",IF(NOT(AND(ISNUMBER(O2413),ISNUMBER(Q2413),ISNUMBER(I2413))),"시각 결측",IF(Q2413&lt;=O2413,"P0 시각 역전",IF(OR(I2413&lt;O2413,I2413&gt;Q2413),"측정시각 구간 밖","OK")))))</f>
        <v/>
      </c>
      <c r="O2413" s="48">
        <f>IF(COUNTIFS($C:$C,$C2413,$D:$D,$D2413,$E:$E,"P0(전)",$M:$M,"&gt;0")&lt;&gt;1,"",SUMIFS($I:$I,$C:$C,$C2413,$D:$D,$D2413,$E:$E,"P0(전)"))</f>
        <v/>
      </c>
      <c r="P2413" s="31">
        <f>IF(COUNTIFS($C:$C,$C2413,$D:$D,$D2413,$E:$E,"P0(전)",$M:$M,"&gt;0")&lt;&gt;1,"",SUMIFS($M:$M,$C:$C,$C2413,$D:$D,$D2413,$E:$E,"P0(전)"))</f>
        <v/>
      </c>
      <c r="Q2413" s="48">
        <f>IF(COUNTIFS($C:$C,$C2413,$D:$D,$D2413,$E:$E,"P0(후)",$M:$M,"&gt;0")&lt;&gt;1,"",SUMIFS($I:$I,$C:$C,$C2413,$D:$D,$D2413,$E:$E,"P0(후)"))</f>
        <v/>
      </c>
      <c r="R2413" s="31">
        <f>IF(COUNTIFS($C:$C,$C2413,$D:$D,$D2413,$E:$E,"P0(후)",$M:$M,"&gt;0")&lt;&gt;1,"",SUMIFS($M:$M,$C:$C,$C2413,$D:$D,$D2413,$E:$E,"P0(후)"))</f>
        <v/>
      </c>
      <c r="S2413" s="31">
        <f>IF(N2413&lt;&gt;"OK","",P2413+(R2413-P2413)*(I2413-O2413)/(Q2413-O2413))</f>
        <v/>
      </c>
      <c r="T2413" s="31">
        <f>IF(OR(N2413&lt;&gt;"OK",NOT(ISNUMBER(M2413))),"",M2413-S2413)</f>
        <v/>
      </c>
      <c r="U2413" s="49">
        <f>IF(OR(NOT(ISNUMBER(T2413)),IF(ISNUMBER(H2413),H2413,G2413)=0),"",T2413/IF(ISNUMBER(H2413),H2413,G2413))</f>
        <v/>
      </c>
      <c r="V2413" s="49">
        <f>IF(ISNUMBER(U2413),ABS(U2413),"")</f>
        <v/>
      </c>
      <c r="W2413" s="49">
        <f>IF(OR($E2412&lt;&gt;"측정",$C2412&lt;&gt;$C2413,$D2412&lt;&gt;$D2413,NOT(ISNUMBER(M2413)),NOT(ISNUMBER(M2412)),(IF(ISNUMBER(H2413),H2413,G2413)-IF(ISNUMBER(H2412),H2412,G2412))=0),"",(M2413-M2412)/(IF(ISNUMBER(H2413),H2413,G2413)-IF(ISNUMBER(H2412),H2412,G2412)))</f>
        <v/>
      </c>
      <c r="X2413" s="31">
        <f>IF(NOT(AND(ISNUMBER(O2413),ISNUMBER(Q2413))),"",(Q2413-O2413)*1440)</f>
        <v/>
      </c>
      <c r="Y2413" s="29" t="n"/>
      <c r="Z2413" s="29" t="n"/>
      <c r="AA2413" s="29" t="n"/>
      <c r="AB2413" s="32" t="n"/>
      <c r="AC2413" s="32" t="n"/>
    </row>
    <row r="2414">
      <c r="A2414" s="26" t="inlineStr">
        <is>
          <t>S47</t>
        </is>
      </c>
      <c r="B2414" s="26" t="inlineStr">
        <is>
          <t>봉평</t>
        </is>
      </c>
      <c r="C2414" s="26" t="inlineStr">
        <is>
          <t>S47-H서</t>
        </is>
      </c>
      <c r="D2414" s="47" t="n">
        <v>1</v>
      </c>
      <c r="E2414" s="26" t="inlineStr">
        <is>
          <t>측정</t>
        </is>
      </c>
      <c r="F2414" s="26" t="inlineStr">
        <is>
          <t>서</t>
        </is>
      </c>
      <c r="G2414" s="31" t="n">
        <v>2</v>
      </c>
      <c r="H2414" s="30" t="n"/>
      <c r="I2414" s="43" t="n"/>
      <c r="J2414" s="41" t="n"/>
      <c r="K2414" s="41" t="n"/>
      <c r="L2414" s="41" t="n"/>
      <c r="M2414" s="31">
        <f>IF(COUNT(J2414:L2414)=0,"",MEDIAN(J2414:L2414))</f>
        <v/>
      </c>
      <c r="N2414" s="26">
        <f>IF(COUNTIFS($C:$C,$C2414,$D:$D,$D2414,$E:$E,"P0(전)",$M:$M,"&gt;0")&lt;&gt;1,"P0(전) 유효 1개 아님",IF(COUNTIFS($C:$C,$C2414,$D:$D,$D2414,$E:$E,"P0(후)",$M:$M,"&gt;0")&lt;&gt;1,"P0(후) 유효 1개 아님",IF(NOT(AND(ISNUMBER(O2414),ISNUMBER(Q2414),ISNUMBER(I2414))),"시각 결측",IF(Q2414&lt;=O2414,"P0 시각 역전",IF(OR(I2414&lt;O2414,I2414&gt;Q2414),"측정시각 구간 밖","OK")))))</f>
        <v/>
      </c>
      <c r="O2414" s="48">
        <f>IF(COUNTIFS($C:$C,$C2414,$D:$D,$D2414,$E:$E,"P0(전)",$M:$M,"&gt;0")&lt;&gt;1,"",SUMIFS($I:$I,$C:$C,$C2414,$D:$D,$D2414,$E:$E,"P0(전)"))</f>
        <v/>
      </c>
      <c r="P2414" s="31">
        <f>IF(COUNTIFS($C:$C,$C2414,$D:$D,$D2414,$E:$E,"P0(전)",$M:$M,"&gt;0")&lt;&gt;1,"",SUMIFS($M:$M,$C:$C,$C2414,$D:$D,$D2414,$E:$E,"P0(전)"))</f>
        <v/>
      </c>
      <c r="Q2414" s="48">
        <f>IF(COUNTIFS($C:$C,$C2414,$D:$D,$D2414,$E:$E,"P0(후)",$M:$M,"&gt;0")&lt;&gt;1,"",SUMIFS($I:$I,$C:$C,$C2414,$D:$D,$D2414,$E:$E,"P0(후)"))</f>
        <v/>
      </c>
      <c r="R2414" s="31">
        <f>IF(COUNTIFS($C:$C,$C2414,$D:$D,$D2414,$E:$E,"P0(후)",$M:$M,"&gt;0")&lt;&gt;1,"",SUMIFS($M:$M,$C:$C,$C2414,$D:$D,$D2414,$E:$E,"P0(후)"))</f>
        <v/>
      </c>
      <c r="S2414" s="31">
        <f>IF(N2414&lt;&gt;"OK","",P2414+(R2414-P2414)*(I2414-O2414)/(Q2414-O2414))</f>
        <v/>
      </c>
      <c r="T2414" s="31">
        <f>IF(OR(N2414&lt;&gt;"OK",NOT(ISNUMBER(M2414))),"",M2414-S2414)</f>
        <v/>
      </c>
      <c r="U2414" s="49">
        <f>IF(OR(NOT(ISNUMBER(T2414)),IF(ISNUMBER(H2414),H2414,G2414)=0),"",T2414/IF(ISNUMBER(H2414),H2414,G2414))</f>
        <v/>
      </c>
      <c r="V2414" s="49">
        <f>IF(ISNUMBER(U2414),ABS(U2414),"")</f>
        <v/>
      </c>
      <c r="W2414" s="49">
        <f>IF(OR($E2413&lt;&gt;"측정",$C2413&lt;&gt;$C2414,$D2413&lt;&gt;$D2414,NOT(ISNUMBER(M2414)),NOT(ISNUMBER(M2413)),(IF(ISNUMBER(H2414),H2414,G2414)-IF(ISNUMBER(H2413),H2413,G2413))=0),"",(M2414-M2413)/(IF(ISNUMBER(H2414),H2414,G2414)-IF(ISNUMBER(H2413),H2413,G2413)))</f>
        <v/>
      </c>
      <c r="X2414" s="31">
        <f>IF(NOT(AND(ISNUMBER(O2414),ISNUMBER(Q2414))),"",(Q2414-O2414)*1440)</f>
        <v/>
      </c>
      <c r="Y2414" s="29" t="n"/>
      <c r="Z2414" s="29" t="n"/>
      <c r="AA2414" s="29" t="n"/>
      <c r="AB2414" s="32" t="n"/>
      <c r="AC2414" s="32" t="n"/>
    </row>
    <row r="2415">
      <c r="A2415" s="26" t="inlineStr">
        <is>
          <t>S47</t>
        </is>
      </c>
      <c r="B2415" s="26" t="inlineStr">
        <is>
          <t>봉평</t>
        </is>
      </c>
      <c r="C2415" s="26" t="inlineStr">
        <is>
          <t>S47-H서</t>
        </is>
      </c>
      <c r="D2415" s="47" t="n">
        <v>1</v>
      </c>
      <c r="E2415" s="26" t="inlineStr">
        <is>
          <t>측정</t>
        </is>
      </c>
      <c r="F2415" s="26" t="inlineStr">
        <is>
          <t>서</t>
        </is>
      </c>
      <c r="G2415" s="31" t="n">
        <v>3</v>
      </c>
      <c r="H2415" s="30" t="n"/>
      <c r="I2415" s="43" t="n"/>
      <c r="J2415" s="41" t="n"/>
      <c r="K2415" s="41" t="n"/>
      <c r="L2415" s="41" t="n"/>
      <c r="M2415" s="31">
        <f>IF(COUNT(J2415:L2415)=0,"",MEDIAN(J2415:L2415))</f>
        <v/>
      </c>
      <c r="N2415" s="26">
        <f>IF(COUNTIFS($C:$C,$C2415,$D:$D,$D2415,$E:$E,"P0(전)",$M:$M,"&gt;0")&lt;&gt;1,"P0(전) 유효 1개 아님",IF(COUNTIFS($C:$C,$C2415,$D:$D,$D2415,$E:$E,"P0(후)",$M:$M,"&gt;0")&lt;&gt;1,"P0(후) 유효 1개 아님",IF(NOT(AND(ISNUMBER(O2415),ISNUMBER(Q2415),ISNUMBER(I2415))),"시각 결측",IF(Q2415&lt;=O2415,"P0 시각 역전",IF(OR(I2415&lt;O2415,I2415&gt;Q2415),"측정시각 구간 밖","OK")))))</f>
        <v/>
      </c>
      <c r="O2415" s="48">
        <f>IF(COUNTIFS($C:$C,$C2415,$D:$D,$D2415,$E:$E,"P0(전)",$M:$M,"&gt;0")&lt;&gt;1,"",SUMIFS($I:$I,$C:$C,$C2415,$D:$D,$D2415,$E:$E,"P0(전)"))</f>
        <v/>
      </c>
      <c r="P2415" s="31">
        <f>IF(COUNTIFS($C:$C,$C2415,$D:$D,$D2415,$E:$E,"P0(전)",$M:$M,"&gt;0")&lt;&gt;1,"",SUMIFS($M:$M,$C:$C,$C2415,$D:$D,$D2415,$E:$E,"P0(전)"))</f>
        <v/>
      </c>
      <c r="Q2415" s="48">
        <f>IF(COUNTIFS($C:$C,$C2415,$D:$D,$D2415,$E:$E,"P0(후)",$M:$M,"&gt;0")&lt;&gt;1,"",SUMIFS($I:$I,$C:$C,$C2415,$D:$D,$D2415,$E:$E,"P0(후)"))</f>
        <v/>
      </c>
      <c r="R2415" s="31">
        <f>IF(COUNTIFS($C:$C,$C2415,$D:$D,$D2415,$E:$E,"P0(후)",$M:$M,"&gt;0")&lt;&gt;1,"",SUMIFS($M:$M,$C:$C,$C2415,$D:$D,$D2415,$E:$E,"P0(후)"))</f>
        <v/>
      </c>
      <c r="S2415" s="31">
        <f>IF(N2415&lt;&gt;"OK","",P2415+(R2415-P2415)*(I2415-O2415)/(Q2415-O2415))</f>
        <v/>
      </c>
      <c r="T2415" s="31">
        <f>IF(OR(N2415&lt;&gt;"OK",NOT(ISNUMBER(M2415))),"",M2415-S2415)</f>
        <v/>
      </c>
      <c r="U2415" s="49">
        <f>IF(OR(NOT(ISNUMBER(T2415)),IF(ISNUMBER(H2415),H2415,G2415)=0),"",T2415/IF(ISNUMBER(H2415),H2415,G2415))</f>
        <v/>
      </c>
      <c r="V2415" s="49">
        <f>IF(ISNUMBER(U2415),ABS(U2415),"")</f>
        <v/>
      </c>
      <c r="W2415" s="49">
        <f>IF(OR($E2414&lt;&gt;"측정",$C2414&lt;&gt;$C2415,$D2414&lt;&gt;$D2415,NOT(ISNUMBER(M2415)),NOT(ISNUMBER(M2414)),(IF(ISNUMBER(H2415),H2415,G2415)-IF(ISNUMBER(H2414),H2414,G2414))=0),"",(M2415-M2414)/(IF(ISNUMBER(H2415),H2415,G2415)-IF(ISNUMBER(H2414),H2414,G2414)))</f>
        <v/>
      </c>
      <c r="X2415" s="31">
        <f>IF(NOT(AND(ISNUMBER(O2415),ISNUMBER(Q2415))),"",(Q2415-O2415)*1440)</f>
        <v/>
      </c>
      <c r="Y2415" s="29" t="n"/>
      <c r="Z2415" s="29" t="n"/>
      <c r="AA2415" s="29" t="n"/>
      <c r="AB2415" s="32" t="n"/>
      <c r="AC2415" s="32" t="n"/>
    </row>
    <row r="2416">
      <c r="A2416" s="26" t="inlineStr">
        <is>
          <t>S47</t>
        </is>
      </c>
      <c r="B2416" s="26" t="inlineStr">
        <is>
          <t>봉평</t>
        </is>
      </c>
      <c r="C2416" s="26" t="inlineStr">
        <is>
          <t>S47-H서</t>
        </is>
      </c>
      <c r="D2416" s="47" t="n">
        <v>1</v>
      </c>
      <c r="E2416" s="26" t="inlineStr">
        <is>
          <t>측정</t>
        </is>
      </c>
      <c r="F2416" s="26" t="inlineStr">
        <is>
          <t>서</t>
        </is>
      </c>
      <c r="G2416" s="31" t="n">
        <v>4</v>
      </c>
      <c r="H2416" s="30" t="n"/>
      <c r="I2416" s="43" t="n"/>
      <c r="J2416" s="41" t="n"/>
      <c r="K2416" s="41" t="n"/>
      <c r="L2416" s="41" t="n"/>
      <c r="M2416" s="31">
        <f>IF(COUNT(J2416:L2416)=0,"",MEDIAN(J2416:L2416))</f>
        <v/>
      </c>
      <c r="N2416" s="26">
        <f>IF(COUNTIFS($C:$C,$C2416,$D:$D,$D2416,$E:$E,"P0(전)",$M:$M,"&gt;0")&lt;&gt;1,"P0(전) 유효 1개 아님",IF(COUNTIFS($C:$C,$C2416,$D:$D,$D2416,$E:$E,"P0(후)",$M:$M,"&gt;0")&lt;&gt;1,"P0(후) 유효 1개 아님",IF(NOT(AND(ISNUMBER(O2416),ISNUMBER(Q2416),ISNUMBER(I2416))),"시각 결측",IF(Q2416&lt;=O2416,"P0 시각 역전",IF(OR(I2416&lt;O2416,I2416&gt;Q2416),"측정시각 구간 밖","OK")))))</f>
        <v/>
      </c>
      <c r="O2416" s="48">
        <f>IF(COUNTIFS($C:$C,$C2416,$D:$D,$D2416,$E:$E,"P0(전)",$M:$M,"&gt;0")&lt;&gt;1,"",SUMIFS($I:$I,$C:$C,$C2416,$D:$D,$D2416,$E:$E,"P0(전)"))</f>
        <v/>
      </c>
      <c r="P2416" s="31">
        <f>IF(COUNTIFS($C:$C,$C2416,$D:$D,$D2416,$E:$E,"P0(전)",$M:$M,"&gt;0")&lt;&gt;1,"",SUMIFS($M:$M,$C:$C,$C2416,$D:$D,$D2416,$E:$E,"P0(전)"))</f>
        <v/>
      </c>
      <c r="Q2416" s="48">
        <f>IF(COUNTIFS($C:$C,$C2416,$D:$D,$D2416,$E:$E,"P0(후)",$M:$M,"&gt;0")&lt;&gt;1,"",SUMIFS($I:$I,$C:$C,$C2416,$D:$D,$D2416,$E:$E,"P0(후)"))</f>
        <v/>
      </c>
      <c r="R2416" s="31">
        <f>IF(COUNTIFS($C:$C,$C2416,$D:$D,$D2416,$E:$E,"P0(후)",$M:$M,"&gt;0")&lt;&gt;1,"",SUMIFS($M:$M,$C:$C,$C2416,$D:$D,$D2416,$E:$E,"P0(후)"))</f>
        <v/>
      </c>
      <c r="S2416" s="31">
        <f>IF(N2416&lt;&gt;"OK","",P2416+(R2416-P2416)*(I2416-O2416)/(Q2416-O2416))</f>
        <v/>
      </c>
      <c r="T2416" s="31">
        <f>IF(OR(N2416&lt;&gt;"OK",NOT(ISNUMBER(M2416))),"",M2416-S2416)</f>
        <v/>
      </c>
      <c r="U2416" s="49">
        <f>IF(OR(NOT(ISNUMBER(T2416)),IF(ISNUMBER(H2416),H2416,G2416)=0),"",T2416/IF(ISNUMBER(H2416),H2416,G2416))</f>
        <v/>
      </c>
      <c r="V2416" s="49">
        <f>IF(ISNUMBER(U2416),ABS(U2416),"")</f>
        <v/>
      </c>
      <c r="W2416" s="49">
        <f>IF(OR($E2415&lt;&gt;"측정",$C2415&lt;&gt;$C2416,$D2415&lt;&gt;$D2416,NOT(ISNUMBER(M2416)),NOT(ISNUMBER(M2415)),(IF(ISNUMBER(H2416),H2416,G2416)-IF(ISNUMBER(H2415),H2415,G2415))=0),"",(M2416-M2415)/(IF(ISNUMBER(H2416),H2416,G2416)-IF(ISNUMBER(H2415),H2415,G2415)))</f>
        <v/>
      </c>
      <c r="X2416" s="31">
        <f>IF(NOT(AND(ISNUMBER(O2416),ISNUMBER(Q2416))),"",(Q2416-O2416)*1440)</f>
        <v/>
      </c>
      <c r="Y2416" s="29" t="n"/>
      <c r="Z2416" s="29" t="n"/>
      <c r="AA2416" s="29" t="n"/>
      <c r="AB2416" s="32" t="n"/>
      <c r="AC2416" s="32" t="n"/>
    </row>
    <row r="2417">
      <c r="A2417" s="26" t="inlineStr">
        <is>
          <t>S47</t>
        </is>
      </c>
      <c r="B2417" s="26" t="inlineStr">
        <is>
          <t>봉평</t>
        </is>
      </c>
      <c r="C2417" s="26" t="inlineStr">
        <is>
          <t>S47-H서</t>
        </is>
      </c>
      <c r="D2417" s="47" t="n">
        <v>1</v>
      </c>
      <c r="E2417" s="26" t="inlineStr">
        <is>
          <t>측정</t>
        </is>
      </c>
      <c r="F2417" s="26" t="inlineStr">
        <is>
          <t>서</t>
        </is>
      </c>
      <c r="G2417" s="31" t="n">
        <v>5</v>
      </c>
      <c r="H2417" s="30" t="n"/>
      <c r="I2417" s="43" t="n"/>
      <c r="J2417" s="41" t="n"/>
      <c r="K2417" s="41" t="n"/>
      <c r="L2417" s="41" t="n"/>
      <c r="M2417" s="31">
        <f>IF(COUNT(J2417:L2417)=0,"",MEDIAN(J2417:L2417))</f>
        <v/>
      </c>
      <c r="N2417" s="26">
        <f>IF(COUNTIFS($C:$C,$C2417,$D:$D,$D2417,$E:$E,"P0(전)",$M:$M,"&gt;0")&lt;&gt;1,"P0(전) 유효 1개 아님",IF(COUNTIFS($C:$C,$C2417,$D:$D,$D2417,$E:$E,"P0(후)",$M:$M,"&gt;0")&lt;&gt;1,"P0(후) 유효 1개 아님",IF(NOT(AND(ISNUMBER(O2417),ISNUMBER(Q2417),ISNUMBER(I2417))),"시각 결측",IF(Q2417&lt;=O2417,"P0 시각 역전",IF(OR(I2417&lt;O2417,I2417&gt;Q2417),"측정시각 구간 밖","OK")))))</f>
        <v/>
      </c>
      <c r="O2417" s="48">
        <f>IF(COUNTIFS($C:$C,$C2417,$D:$D,$D2417,$E:$E,"P0(전)",$M:$M,"&gt;0")&lt;&gt;1,"",SUMIFS($I:$I,$C:$C,$C2417,$D:$D,$D2417,$E:$E,"P0(전)"))</f>
        <v/>
      </c>
      <c r="P2417" s="31">
        <f>IF(COUNTIFS($C:$C,$C2417,$D:$D,$D2417,$E:$E,"P0(전)",$M:$M,"&gt;0")&lt;&gt;1,"",SUMIFS($M:$M,$C:$C,$C2417,$D:$D,$D2417,$E:$E,"P0(전)"))</f>
        <v/>
      </c>
      <c r="Q2417" s="48">
        <f>IF(COUNTIFS($C:$C,$C2417,$D:$D,$D2417,$E:$E,"P0(후)",$M:$M,"&gt;0")&lt;&gt;1,"",SUMIFS($I:$I,$C:$C,$C2417,$D:$D,$D2417,$E:$E,"P0(후)"))</f>
        <v/>
      </c>
      <c r="R2417" s="31">
        <f>IF(COUNTIFS($C:$C,$C2417,$D:$D,$D2417,$E:$E,"P0(후)",$M:$M,"&gt;0")&lt;&gt;1,"",SUMIFS($M:$M,$C:$C,$C2417,$D:$D,$D2417,$E:$E,"P0(후)"))</f>
        <v/>
      </c>
      <c r="S2417" s="31">
        <f>IF(N2417&lt;&gt;"OK","",P2417+(R2417-P2417)*(I2417-O2417)/(Q2417-O2417))</f>
        <v/>
      </c>
      <c r="T2417" s="31">
        <f>IF(OR(N2417&lt;&gt;"OK",NOT(ISNUMBER(M2417))),"",M2417-S2417)</f>
        <v/>
      </c>
      <c r="U2417" s="49">
        <f>IF(OR(NOT(ISNUMBER(T2417)),IF(ISNUMBER(H2417),H2417,G2417)=0),"",T2417/IF(ISNUMBER(H2417),H2417,G2417))</f>
        <v/>
      </c>
      <c r="V2417" s="49">
        <f>IF(ISNUMBER(U2417),ABS(U2417),"")</f>
        <v/>
      </c>
      <c r="W2417" s="49">
        <f>IF(OR($E2416&lt;&gt;"측정",$C2416&lt;&gt;$C2417,$D2416&lt;&gt;$D2417,NOT(ISNUMBER(M2417)),NOT(ISNUMBER(M2416)),(IF(ISNUMBER(H2417),H2417,G2417)-IF(ISNUMBER(H2416),H2416,G2416))=0),"",(M2417-M2416)/(IF(ISNUMBER(H2417),H2417,G2417)-IF(ISNUMBER(H2416),H2416,G2416)))</f>
        <v/>
      </c>
      <c r="X2417" s="31">
        <f>IF(NOT(AND(ISNUMBER(O2417),ISNUMBER(Q2417))),"",(Q2417-O2417)*1440)</f>
        <v/>
      </c>
      <c r="Y2417" s="29" t="n"/>
      <c r="Z2417" s="29" t="n"/>
      <c r="AA2417" s="29" t="n"/>
      <c r="AB2417" s="32" t="n"/>
      <c r="AC2417" s="32" t="n"/>
    </row>
    <row r="2418">
      <c r="A2418" s="26" t="inlineStr">
        <is>
          <t>S47</t>
        </is>
      </c>
      <c r="B2418" s="26" t="inlineStr">
        <is>
          <t>봉평</t>
        </is>
      </c>
      <c r="C2418" s="26" t="inlineStr">
        <is>
          <t>S47-H서</t>
        </is>
      </c>
      <c r="D2418" s="47" t="n">
        <v>1</v>
      </c>
      <c r="E2418" s="26" t="inlineStr">
        <is>
          <t>측정</t>
        </is>
      </c>
      <c r="F2418" s="26" t="inlineStr">
        <is>
          <t>서</t>
        </is>
      </c>
      <c r="G2418" s="31" t="n">
        <v>6</v>
      </c>
      <c r="H2418" s="30" t="n"/>
      <c r="I2418" s="43" t="n"/>
      <c r="J2418" s="41" t="n"/>
      <c r="K2418" s="41" t="n"/>
      <c r="L2418" s="41" t="n"/>
      <c r="M2418" s="31">
        <f>IF(COUNT(J2418:L2418)=0,"",MEDIAN(J2418:L2418))</f>
        <v/>
      </c>
      <c r="N2418" s="26">
        <f>IF(COUNTIFS($C:$C,$C2418,$D:$D,$D2418,$E:$E,"P0(전)",$M:$M,"&gt;0")&lt;&gt;1,"P0(전) 유효 1개 아님",IF(COUNTIFS($C:$C,$C2418,$D:$D,$D2418,$E:$E,"P0(후)",$M:$M,"&gt;0")&lt;&gt;1,"P0(후) 유효 1개 아님",IF(NOT(AND(ISNUMBER(O2418),ISNUMBER(Q2418),ISNUMBER(I2418))),"시각 결측",IF(Q2418&lt;=O2418,"P0 시각 역전",IF(OR(I2418&lt;O2418,I2418&gt;Q2418),"측정시각 구간 밖","OK")))))</f>
        <v/>
      </c>
      <c r="O2418" s="48">
        <f>IF(COUNTIFS($C:$C,$C2418,$D:$D,$D2418,$E:$E,"P0(전)",$M:$M,"&gt;0")&lt;&gt;1,"",SUMIFS($I:$I,$C:$C,$C2418,$D:$D,$D2418,$E:$E,"P0(전)"))</f>
        <v/>
      </c>
      <c r="P2418" s="31">
        <f>IF(COUNTIFS($C:$C,$C2418,$D:$D,$D2418,$E:$E,"P0(전)",$M:$M,"&gt;0")&lt;&gt;1,"",SUMIFS($M:$M,$C:$C,$C2418,$D:$D,$D2418,$E:$E,"P0(전)"))</f>
        <v/>
      </c>
      <c r="Q2418" s="48">
        <f>IF(COUNTIFS($C:$C,$C2418,$D:$D,$D2418,$E:$E,"P0(후)",$M:$M,"&gt;0")&lt;&gt;1,"",SUMIFS($I:$I,$C:$C,$C2418,$D:$D,$D2418,$E:$E,"P0(후)"))</f>
        <v/>
      </c>
      <c r="R2418" s="31">
        <f>IF(COUNTIFS($C:$C,$C2418,$D:$D,$D2418,$E:$E,"P0(후)",$M:$M,"&gt;0")&lt;&gt;1,"",SUMIFS($M:$M,$C:$C,$C2418,$D:$D,$D2418,$E:$E,"P0(후)"))</f>
        <v/>
      </c>
      <c r="S2418" s="31">
        <f>IF(N2418&lt;&gt;"OK","",P2418+(R2418-P2418)*(I2418-O2418)/(Q2418-O2418))</f>
        <v/>
      </c>
      <c r="T2418" s="31">
        <f>IF(OR(N2418&lt;&gt;"OK",NOT(ISNUMBER(M2418))),"",M2418-S2418)</f>
        <v/>
      </c>
      <c r="U2418" s="49">
        <f>IF(OR(NOT(ISNUMBER(T2418)),IF(ISNUMBER(H2418),H2418,G2418)=0),"",T2418/IF(ISNUMBER(H2418),H2418,G2418))</f>
        <v/>
      </c>
      <c r="V2418" s="49">
        <f>IF(ISNUMBER(U2418),ABS(U2418),"")</f>
        <v/>
      </c>
      <c r="W2418" s="49">
        <f>IF(OR($E2417&lt;&gt;"측정",$C2417&lt;&gt;$C2418,$D2417&lt;&gt;$D2418,NOT(ISNUMBER(M2418)),NOT(ISNUMBER(M2417)),(IF(ISNUMBER(H2418),H2418,G2418)-IF(ISNUMBER(H2417),H2417,G2417))=0),"",(M2418-M2417)/(IF(ISNUMBER(H2418),H2418,G2418)-IF(ISNUMBER(H2417),H2417,G2417)))</f>
        <v/>
      </c>
      <c r="X2418" s="31">
        <f>IF(NOT(AND(ISNUMBER(O2418),ISNUMBER(Q2418))),"",(Q2418-O2418)*1440)</f>
        <v/>
      </c>
      <c r="Y2418" s="29" t="n"/>
      <c r="Z2418" s="29" t="n"/>
      <c r="AA2418" s="29" t="n"/>
      <c r="AB2418" s="32" t="n"/>
      <c r="AC2418" s="32" t="n"/>
    </row>
    <row r="2419">
      <c r="A2419" s="26" t="inlineStr">
        <is>
          <t>S47</t>
        </is>
      </c>
      <c r="B2419" s="26" t="inlineStr">
        <is>
          <t>봉평</t>
        </is>
      </c>
      <c r="C2419" s="26" t="inlineStr">
        <is>
          <t>S47-H서</t>
        </is>
      </c>
      <c r="D2419" s="47" t="n">
        <v>1</v>
      </c>
      <c r="E2419" s="26" t="inlineStr">
        <is>
          <t>측정</t>
        </is>
      </c>
      <c r="F2419" s="26" t="inlineStr">
        <is>
          <t>서</t>
        </is>
      </c>
      <c r="G2419" s="31" t="n">
        <v>7</v>
      </c>
      <c r="H2419" s="30" t="n"/>
      <c r="I2419" s="43" t="n"/>
      <c r="J2419" s="41" t="n"/>
      <c r="K2419" s="41" t="n"/>
      <c r="L2419" s="41" t="n"/>
      <c r="M2419" s="31">
        <f>IF(COUNT(J2419:L2419)=0,"",MEDIAN(J2419:L2419))</f>
        <v/>
      </c>
      <c r="N2419" s="26">
        <f>IF(COUNTIFS($C:$C,$C2419,$D:$D,$D2419,$E:$E,"P0(전)",$M:$M,"&gt;0")&lt;&gt;1,"P0(전) 유효 1개 아님",IF(COUNTIFS($C:$C,$C2419,$D:$D,$D2419,$E:$E,"P0(후)",$M:$M,"&gt;0")&lt;&gt;1,"P0(후) 유효 1개 아님",IF(NOT(AND(ISNUMBER(O2419),ISNUMBER(Q2419),ISNUMBER(I2419))),"시각 결측",IF(Q2419&lt;=O2419,"P0 시각 역전",IF(OR(I2419&lt;O2419,I2419&gt;Q2419),"측정시각 구간 밖","OK")))))</f>
        <v/>
      </c>
      <c r="O2419" s="48">
        <f>IF(COUNTIFS($C:$C,$C2419,$D:$D,$D2419,$E:$E,"P0(전)",$M:$M,"&gt;0")&lt;&gt;1,"",SUMIFS($I:$I,$C:$C,$C2419,$D:$D,$D2419,$E:$E,"P0(전)"))</f>
        <v/>
      </c>
      <c r="P2419" s="31">
        <f>IF(COUNTIFS($C:$C,$C2419,$D:$D,$D2419,$E:$E,"P0(전)",$M:$M,"&gt;0")&lt;&gt;1,"",SUMIFS($M:$M,$C:$C,$C2419,$D:$D,$D2419,$E:$E,"P0(전)"))</f>
        <v/>
      </c>
      <c r="Q2419" s="48">
        <f>IF(COUNTIFS($C:$C,$C2419,$D:$D,$D2419,$E:$E,"P0(후)",$M:$M,"&gt;0")&lt;&gt;1,"",SUMIFS($I:$I,$C:$C,$C2419,$D:$D,$D2419,$E:$E,"P0(후)"))</f>
        <v/>
      </c>
      <c r="R2419" s="31">
        <f>IF(COUNTIFS($C:$C,$C2419,$D:$D,$D2419,$E:$E,"P0(후)",$M:$M,"&gt;0")&lt;&gt;1,"",SUMIFS($M:$M,$C:$C,$C2419,$D:$D,$D2419,$E:$E,"P0(후)"))</f>
        <v/>
      </c>
      <c r="S2419" s="31">
        <f>IF(N2419&lt;&gt;"OK","",P2419+(R2419-P2419)*(I2419-O2419)/(Q2419-O2419))</f>
        <v/>
      </c>
      <c r="T2419" s="31">
        <f>IF(OR(N2419&lt;&gt;"OK",NOT(ISNUMBER(M2419))),"",M2419-S2419)</f>
        <v/>
      </c>
      <c r="U2419" s="49">
        <f>IF(OR(NOT(ISNUMBER(T2419)),IF(ISNUMBER(H2419),H2419,G2419)=0),"",T2419/IF(ISNUMBER(H2419),H2419,G2419))</f>
        <v/>
      </c>
      <c r="V2419" s="49">
        <f>IF(ISNUMBER(U2419),ABS(U2419),"")</f>
        <v/>
      </c>
      <c r="W2419" s="49">
        <f>IF(OR($E2418&lt;&gt;"측정",$C2418&lt;&gt;$C2419,$D2418&lt;&gt;$D2419,NOT(ISNUMBER(M2419)),NOT(ISNUMBER(M2418)),(IF(ISNUMBER(H2419),H2419,G2419)-IF(ISNUMBER(H2418),H2418,G2418))=0),"",(M2419-M2418)/(IF(ISNUMBER(H2419),H2419,G2419)-IF(ISNUMBER(H2418),H2418,G2418)))</f>
        <v/>
      </c>
      <c r="X2419" s="31">
        <f>IF(NOT(AND(ISNUMBER(O2419),ISNUMBER(Q2419))),"",(Q2419-O2419)*1440)</f>
        <v/>
      </c>
      <c r="Y2419" s="29" t="n"/>
      <c r="Z2419" s="29" t="n"/>
      <c r="AA2419" s="29" t="n"/>
      <c r="AB2419" s="32" t="n"/>
      <c r="AC2419" s="32" t="n"/>
    </row>
    <row r="2420">
      <c r="A2420" s="26" t="inlineStr">
        <is>
          <t>S47</t>
        </is>
      </c>
      <c r="B2420" s="26" t="inlineStr">
        <is>
          <t>봉평</t>
        </is>
      </c>
      <c r="C2420" s="26" t="inlineStr">
        <is>
          <t>S47-H서</t>
        </is>
      </c>
      <c r="D2420" s="47" t="n">
        <v>1</v>
      </c>
      <c r="E2420" s="26" t="inlineStr">
        <is>
          <t>측정</t>
        </is>
      </c>
      <c r="F2420" s="26" t="inlineStr">
        <is>
          <t>서</t>
        </is>
      </c>
      <c r="G2420" s="31" t="n">
        <v>8</v>
      </c>
      <c r="H2420" s="30" t="n"/>
      <c r="I2420" s="43" t="n"/>
      <c r="J2420" s="41" t="n"/>
      <c r="K2420" s="41" t="n"/>
      <c r="L2420" s="41" t="n"/>
      <c r="M2420" s="31">
        <f>IF(COUNT(J2420:L2420)=0,"",MEDIAN(J2420:L2420))</f>
        <v/>
      </c>
      <c r="N2420" s="26">
        <f>IF(COUNTIFS($C:$C,$C2420,$D:$D,$D2420,$E:$E,"P0(전)",$M:$M,"&gt;0")&lt;&gt;1,"P0(전) 유효 1개 아님",IF(COUNTIFS($C:$C,$C2420,$D:$D,$D2420,$E:$E,"P0(후)",$M:$M,"&gt;0")&lt;&gt;1,"P0(후) 유효 1개 아님",IF(NOT(AND(ISNUMBER(O2420),ISNUMBER(Q2420),ISNUMBER(I2420))),"시각 결측",IF(Q2420&lt;=O2420,"P0 시각 역전",IF(OR(I2420&lt;O2420,I2420&gt;Q2420),"측정시각 구간 밖","OK")))))</f>
        <v/>
      </c>
      <c r="O2420" s="48">
        <f>IF(COUNTIFS($C:$C,$C2420,$D:$D,$D2420,$E:$E,"P0(전)",$M:$M,"&gt;0")&lt;&gt;1,"",SUMIFS($I:$I,$C:$C,$C2420,$D:$D,$D2420,$E:$E,"P0(전)"))</f>
        <v/>
      </c>
      <c r="P2420" s="31">
        <f>IF(COUNTIFS($C:$C,$C2420,$D:$D,$D2420,$E:$E,"P0(전)",$M:$M,"&gt;0")&lt;&gt;1,"",SUMIFS($M:$M,$C:$C,$C2420,$D:$D,$D2420,$E:$E,"P0(전)"))</f>
        <v/>
      </c>
      <c r="Q2420" s="48">
        <f>IF(COUNTIFS($C:$C,$C2420,$D:$D,$D2420,$E:$E,"P0(후)",$M:$M,"&gt;0")&lt;&gt;1,"",SUMIFS($I:$I,$C:$C,$C2420,$D:$D,$D2420,$E:$E,"P0(후)"))</f>
        <v/>
      </c>
      <c r="R2420" s="31">
        <f>IF(COUNTIFS($C:$C,$C2420,$D:$D,$D2420,$E:$E,"P0(후)",$M:$M,"&gt;0")&lt;&gt;1,"",SUMIFS($M:$M,$C:$C,$C2420,$D:$D,$D2420,$E:$E,"P0(후)"))</f>
        <v/>
      </c>
      <c r="S2420" s="31">
        <f>IF(N2420&lt;&gt;"OK","",P2420+(R2420-P2420)*(I2420-O2420)/(Q2420-O2420))</f>
        <v/>
      </c>
      <c r="T2420" s="31">
        <f>IF(OR(N2420&lt;&gt;"OK",NOT(ISNUMBER(M2420))),"",M2420-S2420)</f>
        <v/>
      </c>
      <c r="U2420" s="49">
        <f>IF(OR(NOT(ISNUMBER(T2420)),IF(ISNUMBER(H2420),H2420,G2420)=0),"",T2420/IF(ISNUMBER(H2420),H2420,G2420))</f>
        <v/>
      </c>
      <c r="V2420" s="49">
        <f>IF(ISNUMBER(U2420),ABS(U2420),"")</f>
        <v/>
      </c>
      <c r="W2420" s="49">
        <f>IF(OR($E2419&lt;&gt;"측정",$C2419&lt;&gt;$C2420,$D2419&lt;&gt;$D2420,NOT(ISNUMBER(M2420)),NOT(ISNUMBER(M2419)),(IF(ISNUMBER(H2420),H2420,G2420)-IF(ISNUMBER(H2419),H2419,G2419))=0),"",(M2420-M2419)/(IF(ISNUMBER(H2420),H2420,G2420)-IF(ISNUMBER(H2419),H2419,G2419)))</f>
        <v/>
      </c>
      <c r="X2420" s="31">
        <f>IF(NOT(AND(ISNUMBER(O2420),ISNUMBER(Q2420))),"",(Q2420-O2420)*1440)</f>
        <v/>
      </c>
      <c r="Y2420" s="29" t="n"/>
      <c r="Z2420" s="29" t="n"/>
      <c r="AA2420" s="29" t="n"/>
      <c r="AB2420" s="32" t="n"/>
      <c r="AC2420" s="32" t="n"/>
    </row>
    <row r="2421">
      <c r="A2421" s="26" t="inlineStr">
        <is>
          <t>S47</t>
        </is>
      </c>
      <c r="B2421" s="26" t="inlineStr">
        <is>
          <t>봉평</t>
        </is>
      </c>
      <c r="C2421" s="26" t="inlineStr">
        <is>
          <t>S47-H서</t>
        </is>
      </c>
      <c r="D2421" s="47" t="n">
        <v>1</v>
      </c>
      <c r="E2421" s="26" t="inlineStr">
        <is>
          <t>측정</t>
        </is>
      </c>
      <c r="F2421" s="26" t="inlineStr">
        <is>
          <t>서</t>
        </is>
      </c>
      <c r="G2421" s="31" t="n">
        <v>9</v>
      </c>
      <c r="H2421" s="30" t="n"/>
      <c r="I2421" s="43" t="n"/>
      <c r="J2421" s="41" t="n"/>
      <c r="K2421" s="41" t="n"/>
      <c r="L2421" s="41" t="n"/>
      <c r="M2421" s="31">
        <f>IF(COUNT(J2421:L2421)=0,"",MEDIAN(J2421:L2421))</f>
        <v/>
      </c>
      <c r="N2421" s="26">
        <f>IF(COUNTIFS($C:$C,$C2421,$D:$D,$D2421,$E:$E,"P0(전)",$M:$M,"&gt;0")&lt;&gt;1,"P0(전) 유효 1개 아님",IF(COUNTIFS($C:$C,$C2421,$D:$D,$D2421,$E:$E,"P0(후)",$M:$M,"&gt;0")&lt;&gt;1,"P0(후) 유효 1개 아님",IF(NOT(AND(ISNUMBER(O2421),ISNUMBER(Q2421),ISNUMBER(I2421))),"시각 결측",IF(Q2421&lt;=O2421,"P0 시각 역전",IF(OR(I2421&lt;O2421,I2421&gt;Q2421),"측정시각 구간 밖","OK")))))</f>
        <v/>
      </c>
      <c r="O2421" s="48">
        <f>IF(COUNTIFS($C:$C,$C2421,$D:$D,$D2421,$E:$E,"P0(전)",$M:$M,"&gt;0")&lt;&gt;1,"",SUMIFS($I:$I,$C:$C,$C2421,$D:$D,$D2421,$E:$E,"P0(전)"))</f>
        <v/>
      </c>
      <c r="P2421" s="31">
        <f>IF(COUNTIFS($C:$C,$C2421,$D:$D,$D2421,$E:$E,"P0(전)",$M:$M,"&gt;0")&lt;&gt;1,"",SUMIFS($M:$M,$C:$C,$C2421,$D:$D,$D2421,$E:$E,"P0(전)"))</f>
        <v/>
      </c>
      <c r="Q2421" s="48">
        <f>IF(COUNTIFS($C:$C,$C2421,$D:$D,$D2421,$E:$E,"P0(후)",$M:$M,"&gt;0")&lt;&gt;1,"",SUMIFS($I:$I,$C:$C,$C2421,$D:$D,$D2421,$E:$E,"P0(후)"))</f>
        <v/>
      </c>
      <c r="R2421" s="31">
        <f>IF(COUNTIFS($C:$C,$C2421,$D:$D,$D2421,$E:$E,"P0(후)",$M:$M,"&gt;0")&lt;&gt;1,"",SUMIFS($M:$M,$C:$C,$C2421,$D:$D,$D2421,$E:$E,"P0(후)"))</f>
        <v/>
      </c>
      <c r="S2421" s="31">
        <f>IF(N2421&lt;&gt;"OK","",P2421+(R2421-P2421)*(I2421-O2421)/(Q2421-O2421))</f>
        <v/>
      </c>
      <c r="T2421" s="31">
        <f>IF(OR(N2421&lt;&gt;"OK",NOT(ISNUMBER(M2421))),"",M2421-S2421)</f>
        <v/>
      </c>
      <c r="U2421" s="49">
        <f>IF(OR(NOT(ISNUMBER(T2421)),IF(ISNUMBER(H2421),H2421,G2421)=0),"",T2421/IF(ISNUMBER(H2421),H2421,G2421))</f>
        <v/>
      </c>
      <c r="V2421" s="49">
        <f>IF(ISNUMBER(U2421),ABS(U2421),"")</f>
        <v/>
      </c>
      <c r="W2421" s="49">
        <f>IF(OR($E2420&lt;&gt;"측정",$C2420&lt;&gt;$C2421,$D2420&lt;&gt;$D2421,NOT(ISNUMBER(M2421)),NOT(ISNUMBER(M2420)),(IF(ISNUMBER(H2421),H2421,G2421)-IF(ISNUMBER(H2420),H2420,G2420))=0),"",(M2421-M2420)/(IF(ISNUMBER(H2421),H2421,G2421)-IF(ISNUMBER(H2420),H2420,G2420)))</f>
        <v/>
      </c>
      <c r="X2421" s="31">
        <f>IF(NOT(AND(ISNUMBER(O2421),ISNUMBER(Q2421))),"",(Q2421-O2421)*1440)</f>
        <v/>
      </c>
      <c r="Y2421" s="29" t="n"/>
      <c r="Z2421" s="29" t="n"/>
      <c r="AA2421" s="29" t="n"/>
      <c r="AB2421" s="32" t="n"/>
      <c r="AC2421" s="32" t="n"/>
    </row>
    <row r="2422">
      <c r="A2422" s="26" t="inlineStr">
        <is>
          <t>S47</t>
        </is>
      </c>
      <c r="B2422" s="26" t="inlineStr">
        <is>
          <t>봉평</t>
        </is>
      </c>
      <c r="C2422" s="26" t="inlineStr">
        <is>
          <t>S47-H서</t>
        </is>
      </c>
      <c r="D2422" s="47" t="n">
        <v>1</v>
      </c>
      <c r="E2422" s="26" t="inlineStr">
        <is>
          <t>측정</t>
        </is>
      </c>
      <c r="F2422" s="26" t="inlineStr">
        <is>
          <t>서</t>
        </is>
      </c>
      <c r="G2422" s="31" t="n">
        <v>10</v>
      </c>
      <c r="H2422" s="30" t="n"/>
      <c r="I2422" s="43" t="n"/>
      <c r="J2422" s="41" t="n"/>
      <c r="K2422" s="41" t="n"/>
      <c r="L2422" s="41" t="n"/>
      <c r="M2422" s="31">
        <f>IF(COUNT(J2422:L2422)=0,"",MEDIAN(J2422:L2422))</f>
        <v/>
      </c>
      <c r="N2422" s="26">
        <f>IF(COUNTIFS($C:$C,$C2422,$D:$D,$D2422,$E:$E,"P0(전)",$M:$M,"&gt;0")&lt;&gt;1,"P0(전) 유효 1개 아님",IF(COUNTIFS($C:$C,$C2422,$D:$D,$D2422,$E:$E,"P0(후)",$M:$M,"&gt;0")&lt;&gt;1,"P0(후) 유효 1개 아님",IF(NOT(AND(ISNUMBER(O2422),ISNUMBER(Q2422),ISNUMBER(I2422))),"시각 결측",IF(Q2422&lt;=O2422,"P0 시각 역전",IF(OR(I2422&lt;O2422,I2422&gt;Q2422),"측정시각 구간 밖","OK")))))</f>
        <v/>
      </c>
      <c r="O2422" s="48">
        <f>IF(COUNTIFS($C:$C,$C2422,$D:$D,$D2422,$E:$E,"P0(전)",$M:$M,"&gt;0")&lt;&gt;1,"",SUMIFS($I:$I,$C:$C,$C2422,$D:$D,$D2422,$E:$E,"P0(전)"))</f>
        <v/>
      </c>
      <c r="P2422" s="31">
        <f>IF(COUNTIFS($C:$C,$C2422,$D:$D,$D2422,$E:$E,"P0(전)",$M:$M,"&gt;0")&lt;&gt;1,"",SUMIFS($M:$M,$C:$C,$C2422,$D:$D,$D2422,$E:$E,"P0(전)"))</f>
        <v/>
      </c>
      <c r="Q2422" s="48">
        <f>IF(COUNTIFS($C:$C,$C2422,$D:$D,$D2422,$E:$E,"P0(후)",$M:$M,"&gt;0")&lt;&gt;1,"",SUMIFS($I:$I,$C:$C,$C2422,$D:$D,$D2422,$E:$E,"P0(후)"))</f>
        <v/>
      </c>
      <c r="R2422" s="31">
        <f>IF(COUNTIFS($C:$C,$C2422,$D:$D,$D2422,$E:$E,"P0(후)",$M:$M,"&gt;0")&lt;&gt;1,"",SUMIFS($M:$M,$C:$C,$C2422,$D:$D,$D2422,$E:$E,"P0(후)"))</f>
        <v/>
      </c>
      <c r="S2422" s="31">
        <f>IF(N2422&lt;&gt;"OK","",P2422+(R2422-P2422)*(I2422-O2422)/(Q2422-O2422))</f>
        <v/>
      </c>
      <c r="T2422" s="31">
        <f>IF(OR(N2422&lt;&gt;"OK",NOT(ISNUMBER(M2422))),"",M2422-S2422)</f>
        <v/>
      </c>
      <c r="U2422" s="49">
        <f>IF(OR(NOT(ISNUMBER(T2422)),IF(ISNUMBER(H2422),H2422,G2422)=0),"",T2422/IF(ISNUMBER(H2422),H2422,G2422))</f>
        <v/>
      </c>
      <c r="V2422" s="49">
        <f>IF(ISNUMBER(U2422),ABS(U2422),"")</f>
        <v/>
      </c>
      <c r="W2422" s="49">
        <f>IF(OR($E2421&lt;&gt;"측정",$C2421&lt;&gt;$C2422,$D2421&lt;&gt;$D2422,NOT(ISNUMBER(M2422)),NOT(ISNUMBER(M2421)),(IF(ISNUMBER(H2422),H2422,G2422)-IF(ISNUMBER(H2421),H2421,G2421))=0),"",(M2422-M2421)/(IF(ISNUMBER(H2422),H2422,G2422)-IF(ISNUMBER(H2421),H2421,G2421)))</f>
        <v/>
      </c>
      <c r="X2422" s="31">
        <f>IF(NOT(AND(ISNUMBER(O2422),ISNUMBER(Q2422))),"",(Q2422-O2422)*1440)</f>
        <v/>
      </c>
      <c r="Y2422" s="29" t="n"/>
      <c r="Z2422" s="29" t="n"/>
      <c r="AA2422" s="29" t="n"/>
      <c r="AB2422" s="32" t="n"/>
      <c r="AC2422" s="32" t="n"/>
    </row>
    <row r="2423">
      <c r="A2423" s="44" t="inlineStr">
        <is>
          <t>S47</t>
        </is>
      </c>
      <c r="B2423" s="44" t="inlineStr">
        <is>
          <t>봉평</t>
        </is>
      </c>
      <c r="C2423" s="44" t="inlineStr">
        <is>
          <t>S47-H서</t>
        </is>
      </c>
      <c r="D2423" s="45" t="n">
        <v>1</v>
      </c>
      <c r="E2423" s="44" t="inlineStr">
        <is>
          <t>P0(후)</t>
        </is>
      </c>
      <c r="F2423" s="44" t="inlineStr">
        <is>
          <t>서</t>
        </is>
      </c>
      <c r="G2423" s="46" t="n"/>
      <c r="H2423" s="30" t="n"/>
      <c r="I2423" s="43" t="n"/>
      <c r="J2423" s="41" t="n"/>
      <c r="K2423" s="41" t="n"/>
      <c r="L2423" s="41" t="n"/>
      <c r="M2423" s="31">
        <f>IF(COUNT(J2423:L2423)=0,"",MEDIAN(J2423:L2423))</f>
        <v/>
      </c>
      <c r="N2423" s="38" t="n"/>
      <c r="O2423" s="38" t="n"/>
      <c r="P2423" s="38" t="n"/>
      <c r="Q2423" s="38" t="n"/>
      <c r="R2423" s="38" t="n"/>
      <c r="S2423" s="38" t="n"/>
      <c r="T2423" s="38" t="n"/>
      <c r="U2423" s="38" t="n"/>
      <c r="V2423" s="38" t="n"/>
      <c r="W2423" s="38" t="n"/>
      <c r="X2423" s="38" t="n"/>
      <c r="Y2423" s="29" t="n"/>
      <c r="Z2423" s="29" t="n"/>
      <c r="AA2423" s="29" t="n"/>
      <c r="AB2423" s="32" t="n"/>
      <c r="AC2423" s="32" t="n"/>
    </row>
    <row r="2424">
      <c r="A2424" s="44" t="inlineStr">
        <is>
          <t>S47</t>
        </is>
      </c>
      <c r="B2424" s="44" t="inlineStr">
        <is>
          <t>봉평</t>
        </is>
      </c>
      <c r="C2424" s="44" t="inlineStr">
        <is>
          <t>S47-H남</t>
        </is>
      </c>
      <c r="D2424" s="45" t="n">
        <v>1</v>
      </c>
      <c r="E2424" s="44" t="inlineStr">
        <is>
          <t>P0(전)</t>
        </is>
      </c>
      <c r="F2424" s="44" t="inlineStr">
        <is>
          <t>남</t>
        </is>
      </c>
      <c r="G2424" s="46" t="n"/>
      <c r="H2424" s="30" t="n"/>
      <c r="I2424" s="43" t="n"/>
      <c r="J2424" s="41" t="n"/>
      <c r="K2424" s="41" t="n"/>
      <c r="L2424" s="41" t="n"/>
      <c r="M2424" s="31">
        <f>IF(COUNT(J2424:L2424)=0,"",MEDIAN(J2424:L2424))</f>
        <v/>
      </c>
      <c r="N2424" s="38" t="n"/>
      <c r="O2424" s="38" t="n"/>
      <c r="P2424" s="38" t="n"/>
      <c r="Q2424" s="38" t="n"/>
      <c r="R2424" s="38" t="n"/>
      <c r="S2424" s="38" t="n"/>
      <c r="T2424" s="38" t="n"/>
      <c r="U2424" s="38" t="n"/>
      <c r="V2424" s="38" t="n"/>
      <c r="W2424" s="38" t="n"/>
      <c r="X2424" s="38" t="n"/>
      <c r="Y2424" s="29" t="n"/>
      <c r="Z2424" s="29" t="n"/>
      <c r="AA2424" s="29" t="n"/>
      <c r="AB2424" s="32" t="n"/>
      <c r="AC2424" s="32" t="n"/>
    </row>
    <row r="2425">
      <c r="A2425" s="26" t="inlineStr">
        <is>
          <t>S47</t>
        </is>
      </c>
      <c r="B2425" s="26" t="inlineStr">
        <is>
          <t>봉평</t>
        </is>
      </c>
      <c r="C2425" s="26" t="inlineStr">
        <is>
          <t>S47-H남</t>
        </is>
      </c>
      <c r="D2425" s="47" t="n">
        <v>1</v>
      </c>
      <c r="E2425" s="26" t="inlineStr">
        <is>
          <t>측정</t>
        </is>
      </c>
      <c r="F2425" s="26" t="inlineStr">
        <is>
          <t>남</t>
        </is>
      </c>
      <c r="G2425" s="31" t="n">
        <v>0.5</v>
      </c>
      <c r="H2425" s="30" t="n"/>
      <c r="I2425" s="43" t="n"/>
      <c r="J2425" s="41" t="n"/>
      <c r="K2425" s="41" t="n"/>
      <c r="L2425" s="41" t="n"/>
      <c r="M2425" s="31">
        <f>IF(COUNT(J2425:L2425)=0,"",MEDIAN(J2425:L2425))</f>
        <v/>
      </c>
      <c r="N2425" s="26">
        <f>IF(COUNTIFS($C:$C,$C2425,$D:$D,$D2425,$E:$E,"P0(전)",$M:$M,"&gt;0")&lt;&gt;1,"P0(전) 유효 1개 아님",IF(COUNTIFS($C:$C,$C2425,$D:$D,$D2425,$E:$E,"P0(후)",$M:$M,"&gt;0")&lt;&gt;1,"P0(후) 유효 1개 아님",IF(NOT(AND(ISNUMBER(O2425),ISNUMBER(Q2425),ISNUMBER(I2425))),"시각 결측",IF(Q2425&lt;=O2425,"P0 시각 역전",IF(OR(I2425&lt;O2425,I2425&gt;Q2425),"측정시각 구간 밖","OK")))))</f>
        <v/>
      </c>
      <c r="O2425" s="48">
        <f>IF(COUNTIFS($C:$C,$C2425,$D:$D,$D2425,$E:$E,"P0(전)",$M:$M,"&gt;0")&lt;&gt;1,"",SUMIFS($I:$I,$C:$C,$C2425,$D:$D,$D2425,$E:$E,"P0(전)"))</f>
        <v/>
      </c>
      <c r="P2425" s="31">
        <f>IF(COUNTIFS($C:$C,$C2425,$D:$D,$D2425,$E:$E,"P0(전)",$M:$M,"&gt;0")&lt;&gt;1,"",SUMIFS($M:$M,$C:$C,$C2425,$D:$D,$D2425,$E:$E,"P0(전)"))</f>
        <v/>
      </c>
      <c r="Q2425" s="48">
        <f>IF(COUNTIFS($C:$C,$C2425,$D:$D,$D2425,$E:$E,"P0(후)",$M:$M,"&gt;0")&lt;&gt;1,"",SUMIFS($I:$I,$C:$C,$C2425,$D:$D,$D2425,$E:$E,"P0(후)"))</f>
        <v/>
      </c>
      <c r="R2425" s="31">
        <f>IF(COUNTIFS($C:$C,$C2425,$D:$D,$D2425,$E:$E,"P0(후)",$M:$M,"&gt;0")&lt;&gt;1,"",SUMIFS($M:$M,$C:$C,$C2425,$D:$D,$D2425,$E:$E,"P0(후)"))</f>
        <v/>
      </c>
      <c r="S2425" s="31">
        <f>IF(N2425&lt;&gt;"OK","",P2425+(R2425-P2425)*(I2425-O2425)/(Q2425-O2425))</f>
        <v/>
      </c>
      <c r="T2425" s="31">
        <f>IF(OR(N2425&lt;&gt;"OK",NOT(ISNUMBER(M2425))),"",M2425-S2425)</f>
        <v/>
      </c>
      <c r="U2425" s="49">
        <f>IF(OR(NOT(ISNUMBER(T2425)),IF(ISNUMBER(H2425),H2425,G2425)=0),"",T2425/IF(ISNUMBER(H2425),H2425,G2425))</f>
        <v/>
      </c>
      <c r="V2425" s="49">
        <f>IF(ISNUMBER(U2425),ABS(U2425),"")</f>
        <v/>
      </c>
      <c r="W2425" s="49">
        <f>IF(OR($E2424&lt;&gt;"측정",$C2424&lt;&gt;$C2425,$D2424&lt;&gt;$D2425,NOT(ISNUMBER(M2425)),NOT(ISNUMBER(M2424)),(IF(ISNUMBER(H2425),H2425,G2425)-IF(ISNUMBER(H2424),H2424,G2424))=0),"",(M2425-M2424)/(IF(ISNUMBER(H2425),H2425,G2425)-IF(ISNUMBER(H2424),H2424,G2424)))</f>
        <v/>
      </c>
      <c r="X2425" s="31">
        <f>IF(NOT(AND(ISNUMBER(O2425),ISNUMBER(Q2425))),"",(Q2425-O2425)*1440)</f>
        <v/>
      </c>
      <c r="Y2425" s="29" t="n"/>
      <c r="Z2425" s="29" t="n"/>
      <c r="AA2425" s="29" t="n"/>
      <c r="AB2425" s="32" t="n"/>
      <c r="AC2425" s="32" t="n"/>
    </row>
    <row r="2426">
      <c r="A2426" s="26" t="inlineStr">
        <is>
          <t>S47</t>
        </is>
      </c>
      <c r="B2426" s="26" t="inlineStr">
        <is>
          <t>봉평</t>
        </is>
      </c>
      <c r="C2426" s="26" t="inlineStr">
        <is>
          <t>S47-H남</t>
        </is>
      </c>
      <c r="D2426" s="47" t="n">
        <v>1</v>
      </c>
      <c r="E2426" s="26" t="inlineStr">
        <is>
          <t>측정</t>
        </is>
      </c>
      <c r="F2426" s="26" t="inlineStr">
        <is>
          <t>남</t>
        </is>
      </c>
      <c r="G2426" s="31" t="n">
        <v>1</v>
      </c>
      <c r="H2426" s="30" t="n"/>
      <c r="I2426" s="43" t="n"/>
      <c r="J2426" s="41" t="n"/>
      <c r="K2426" s="41" t="n"/>
      <c r="L2426" s="41" t="n"/>
      <c r="M2426" s="31">
        <f>IF(COUNT(J2426:L2426)=0,"",MEDIAN(J2426:L2426))</f>
        <v/>
      </c>
      <c r="N2426" s="26">
        <f>IF(COUNTIFS($C:$C,$C2426,$D:$D,$D2426,$E:$E,"P0(전)",$M:$M,"&gt;0")&lt;&gt;1,"P0(전) 유효 1개 아님",IF(COUNTIFS($C:$C,$C2426,$D:$D,$D2426,$E:$E,"P0(후)",$M:$M,"&gt;0")&lt;&gt;1,"P0(후) 유효 1개 아님",IF(NOT(AND(ISNUMBER(O2426),ISNUMBER(Q2426),ISNUMBER(I2426))),"시각 결측",IF(Q2426&lt;=O2426,"P0 시각 역전",IF(OR(I2426&lt;O2426,I2426&gt;Q2426),"측정시각 구간 밖","OK")))))</f>
        <v/>
      </c>
      <c r="O2426" s="48">
        <f>IF(COUNTIFS($C:$C,$C2426,$D:$D,$D2426,$E:$E,"P0(전)",$M:$M,"&gt;0")&lt;&gt;1,"",SUMIFS($I:$I,$C:$C,$C2426,$D:$D,$D2426,$E:$E,"P0(전)"))</f>
        <v/>
      </c>
      <c r="P2426" s="31">
        <f>IF(COUNTIFS($C:$C,$C2426,$D:$D,$D2426,$E:$E,"P0(전)",$M:$M,"&gt;0")&lt;&gt;1,"",SUMIFS($M:$M,$C:$C,$C2426,$D:$D,$D2426,$E:$E,"P0(전)"))</f>
        <v/>
      </c>
      <c r="Q2426" s="48">
        <f>IF(COUNTIFS($C:$C,$C2426,$D:$D,$D2426,$E:$E,"P0(후)",$M:$M,"&gt;0")&lt;&gt;1,"",SUMIFS($I:$I,$C:$C,$C2426,$D:$D,$D2426,$E:$E,"P0(후)"))</f>
        <v/>
      </c>
      <c r="R2426" s="31">
        <f>IF(COUNTIFS($C:$C,$C2426,$D:$D,$D2426,$E:$E,"P0(후)",$M:$M,"&gt;0")&lt;&gt;1,"",SUMIFS($M:$M,$C:$C,$C2426,$D:$D,$D2426,$E:$E,"P0(후)"))</f>
        <v/>
      </c>
      <c r="S2426" s="31">
        <f>IF(N2426&lt;&gt;"OK","",P2426+(R2426-P2426)*(I2426-O2426)/(Q2426-O2426))</f>
        <v/>
      </c>
      <c r="T2426" s="31">
        <f>IF(OR(N2426&lt;&gt;"OK",NOT(ISNUMBER(M2426))),"",M2426-S2426)</f>
        <v/>
      </c>
      <c r="U2426" s="49">
        <f>IF(OR(NOT(ISNUMBER(T2426)),IF(ISNUMBER(H2426),H2426,G2426)=0),"",T2426/IF(ISNUMBER(H2426),H2426,G2426))</f>
        <v/>
      </c>
      <c r="V2426" s="49">
        <f>IF(ISNUMBER(U2426),ABS(U2426),"")</f>
        <v/>
      </c>
      <c r="W2426" s="49">
        <f>IF(OR($E2425&lt;&gt;"측정",$C2425&lt;&gt;$C2426,$D2425&lt;&gt;$D2426,NOT(ISNUMBER(M2426)),NOT(ISNUMBER(M2425)),(IF(ISNUMBER(H2426),H2426,G2426)-IF(ISNUMBER(H2425),H2425,G2425))=0),"",(M2426-M2425)/(IF(ISNUMBER(H2426),H2426,G2426)-IF(ISNUMBER(H2425),H2425,G2425)))</f>
        <v/>
      </c>
      <c r="X2426" s="31">
        <f>IF(NOT(AND(ISNUMBER(O2426),ISNUMBER(Q2426))),"",(Q2426-O2426)*1440)</f>
        <v/>
      </c>
      <c r="Y2426" s="29" t="n"/>
      <c r="Z2426" s="29" t="n"/>
      <c r="AA2426" s="29" t="n"/>
      <c r="AB2426" s="32" t="n"/>
      <c r="AC2426" s="32" t="n"/>
    </row>
    <row r="2427">
      <c r="A2427" s="26" t="inlineStr">
        <is>
          <t>S47</t>
        </is>
      </c>
      <c r="B2427" s="26" t="inlineStr">
        <is>
          <t>봉평</t>
        </is>
      </c>
      <c r="C2427" s="26" t="inlineStr">
        <is>
          <t>S47-H남</t>
        </is>
      </c>
      <c r="D2427" s="47" t="n">
        <v>1</v>
      </c>
      <c r="E2427" s="26" t="inlineStr">
        <is>
          <t>측정</t>
        </is>
      </c>
      <c r="F2427" s="26" t="inlineStr">
        <is>
          <t>남</t>
        </is>
      </c>
      <c r="G2427" s="31" t="n">
        <v>2</v>
      </c>
      <c r="H2427" s="30" t="n"/>
      <c r="I2427" s="43" t="n"/>
      <c r="J2427" s="41" t="n"/>
      <c r="K2427" s="41" t="n"/>
      <c r="L2427" s="41" t="n"/>
      <c r="M2427" s="31">
        <f>IF(COUNT(J2427:L2427)=0,"",MEDIAN(J2427:L2427))</f>
        <v/>
      </c>
      <c r="N2427" s="26">
        <f>IF(COUNTIFS($C:$C,$C2427,$D:$D,$D2427,$E:$E,"P0(전)",$M:$M,"&gt;0")&lt;&gt;1,"P0(전) 유효 1개 아님",IF(COUNTIFS($C:$C,$C2427,$D:$D,$D2427,$E:$E,"P0(후)",$M:$M,"&gt;0")&lt;&gt;1,"P0(후) 유효 1개 아님",IF(NOT(AND(ISNUMBER(O2427),ISNUMBER(Q2427),ISNUMBER(I2427))),"시각 결측",IF(Q2427&lt;=O2427,"P0 시각 역전",IF(OR(I2427&lt;O2427,I2427&gt;Q2427),"측정시각 구간 밖","OK")))))</f>
        <v/>
      </c>
      <c r="O2427" s="48">
        <f>IF(COUNTIFS($C:$C,$C2427,$D:$D,$D2427,$E:$E,"P0(전)",$M:$M,"&gt;0")&lt;&gt;1,"",SUMIFS($I:$I,$C:$C,$C2427,$D:$D,$D2427,$E:$E,"P0(전)"))</f>
        <v/>
      </c>
      <c r="P2427" s="31">
        <f>IF(COUNTIFS($C:$C,$C2427,$D:$D,$D2427,$E:$E,"P0(전)",$M:$M,"&gt;0")&lt;&gt;1,"",SUMIFS($M:$M,$C:$C,$C2427,$D:$D,$D2427,$E:$E,"P0(전)"))</f>
        <v/>
      </c>
      <c r="Q2427" s="48">
        <f>IF(COUNTIFS($C:$C,$C2427,$D:$D,$D2427,$E:$E,"P0(후)",$M:$M,"&gt;0")&lt;&gt;1,"",SUMIFS($I:$I,$C:$C,$C2427,$D:$D,$D2427,$E:$E,"P0(후)"))</f>
        <v/>
      </c>
      <c r="R2427" s="31">
        <f>IF(COUNTIFS($C:$C,$C2427,$D:$D,$D2427,$E:$E,"P0(후)",$M:$M,"&gt;0")&lt;&gt;1,"",SUMIFS($M:$M,$C:$C,$C2427,$D:$D,$D2427,$E:$E,"P0(후)"))</f>
        <v/>
      </c>
      <c r="S2427" s="31">
        <f>IF(N2427&lt;&gt;"OK","",P2427+(R2427-P2427)*(I2427-O2427)/(Q2427-O2427))</f>
        <v/>
      </c>
      <c r="T2427" s="31">
        <f>IF(OR(N2427&lt;&gt;"OK",NOT(ISNUMBER(M2427))),"",M2427-S2427)</f>
        <v/>
      </c>
      <c r="U2427" s="49">
        <f>IF(OR(NOT(ISNUMBER(T2427)),IF(ISNUMBER(H2427),H2427,G2427)=0),"",T2427/IF(ISNUMBER(H2427),H2427,G2427))</f>
        <v/>
      </c>
      <c r="V2427" s="49">
        <f>IF(ISNUMBER(U2427),ABS(U2427),"")</f>
        <v/>
      </c>
      <c r="W2427" s="49">
        <f>IF(OR($E2426&lt;&gt;"측정",$C2426&lt;&gt;$C2427,$D2426&lt;&gt;$D2427,NOT(ISNUMBER(M2427)),NOT(ISNUMBER(M2426)),(IF(ISNUMBER(H2427),H2427,G2427)-IF(ISNUMBER(H2426),H2426,G2426))=0),"",(M2427-M2426)/(IF(ISNUMBER(H2427),H2427,G2427)-IF(ISNUMBER(H2426),H2426,G2426)))</f>
        <v/>
      </c>
      <c r="X2427" s="31">
        <f>IF(NOT(AND(ISNUMBER(O2427),ISNUMBER(Q2427))),"",(Q2427-O2427)*1440)</f>
        <v/>
      </c>
      <c r="Y2427" s="29" t="n"/>
      <c r="Z2427" s="29" t="n"/>
      <c r="AA2427" s="29" t="n"/>
      <c r="AB2427" s="32" t="n"/>
      <c r="AC2427" s="32" t="n"/>
    </row>
    <row r="2428">
      <c r="A2428" s="26" t="inlineStr">
        <is>
          <t>S47</t>
        </is>
      </c>
      <c r="B2428" s="26" t="inlineStr">
        <is>
          <t>봉평</t>
        </is>
      </c>
      <c r="C2428" s="26" t="inlineStr">
        <is>
          <t>S47-H남</t>
        </is>
      </c>
      <c r="D2428" s="47" t="n">
        <v>1</v>
      </c>
      <c r="E2428" s="26" t="inlineStr">
        <is>
          <t>측정</t>
        </is>
      </c>
      <c r="F2428" s="26" t="inlineStr">
        <is>
          <t>남</t>
        </is>
      </c>
      <c r="G2428" s="31" t="n">
        <v>3</v>
      </c>
      <c r="H2428" s="30" t="n"/>
      <c r="I2428" s="43" t="n"/>
      <c r="J2428" s="41" t="n"/>
      <c r="K2428" s="41" t="n"/>
      <c r="L2428" s="41" t="n"/>
      <c r="M2428" s="31">
        <f>IF(COUNT(J2428:L2428)=0,"",MEDIAN(J2428:L2428))</f>
        <v/>
      </c>
      <c r="N2428" s="26">
        <f>IF(COUNTIFS($C:$C,$C2428,$D:$D,$D2428,$E:$E,"P0(전)",$M:$M,"&gt;0")&lt;&gt;1,"P0(전) 유효 1개 아님",IF(COUNTIFS($C:$C,$C2428,$D:$D,$D2428,$E:$E,"P0(후)",$M:$M,"&gt;0")&lt;&gt;1,"P0(후) 유효 1개 아님",IF(NOT(AND(ISNUMBER(O2428),ISNUMBER(Q2428),ISNUMBER(I2428))),"시각 결측",IF(Q2428&lt;=O2428,"P0 시각 역전",IF(OR(I2428&lt;O2428,I2428&gt;Q2428),"측정시각 구간 밖","OK")))))</f>
        <v/>
      </c>
      <c r="O2428" s="48">
        <f>IF(COUNTIFS($C:$C,$C2428,$D:$D,$D2428,$E:$E,"P0(전)",$M:$M,"&gt;0")&lt;&gt;1,"",SUMIFS($I:$I,$C:$C,$C2428,$D:$D,$D2428,$E:$E,"P0(전)"))</f>
        <v/>
      </c>
      <c r="P2428" s="31">
        <f>IF(COUNTIFS($C:$C,$C2428,$D:$D,$D2428,$E:$E,"P0(전)",$M:$M,"&gt;0")&lt;&gt;1,"",SUMIFS($M:$M,$C:$C,$C2428,$D:$D,$D2428,$E:$E,"P0(전)"))</f>
        <v/>
      </c>
      <c r="Q2428" s="48">
        <f>IF(COUNTIFS($C:$C,$C2428,$D:$D,$D2428,$E:$E,"P0(후)",$M:$M,"&gt;0")&lt;&gt;1,"",SUMIFS($I:$I,$C:$C,$C2428,$D:$D,$D2428,$E:$E,"P0(후)"))</f>
        <v/>
      </c>
      <c r="R2428" s="31">
        <f>IF(COUNTIFS($C:$C,$C2428,$D:$D,$D2428,$E:$E,"P0(후)",$M:$M,"&gt;0")&lt;&gt;1,"",SUMIFS($M:$M,$C:$C,$C2428,$D:$D,$D2428,$E:$E,"P0(후)"))</f>
        <v/>
      </c>
      <c r="S2428" s="31">
        <f>IF(N2428&lt;&gt;"OK","",P2428+(R2428-P2428)*(I2428-O2428)/(Q2428-O2428))</f>
        <v/>
      </c>
      <c r="T2428" s="31">
        <f>IF(OR(N2428&lt;&gt;"OK",NOT(ISNUMBER(M2428))),"",M2428-S2428)</f>
        <v/>
      </c>
      <c r="U2428" s="49">
        <f>IF(OR(NOT(ISNUMBER(T2428)),IF(ISNUMBER(H2428),H2428,G2428)=0),"",T2428/IF(ISNUMBER(H2428),H2428,G2428))</f>
        <v/>
      </c>
      <c r="V2428" s="49">
        <f>IF(ISNUMBER(U2428),ABS(U2428),"")</f>
        <v/>
      </c>
      <c r="W2428" s="49">
        <f>IF(OR($E2427&lt;&gt;"측정",$C2427&lt;&gt;$C2428,$D2427&lt;&gt;$D2428,NOT(ISNUMBER(M2428)),NOT(ISNUMBER(M2427)),(IF(ISNUMBER(H2428),H2428,G2428)-IF(ISNUMBER(H2427),H2427,G2427))=0),"",(M2428-M2427)/(IF(ISNUMBER(H2428),H2428,G2428)-IF(ISNUMBER(H2427),H2427,G2427)))</f>
        <v/>
      </c>
      <c r="X2428" s="31">
        <f>IF(NOT(AND(ISNUMBER(O2428),ISNUMBER(Q2428))),"",(Q2428-O2428)*1440)</f>
        <v/>
      </c>
      <c r="Y2428" s="29" t="n"/>
      <c r="Z2428" s="29" t="n"/>
      <c r="AA2428" s="29" t="n"/>
      <c r="AB2428" s="32" t="n"/>
      <c r="AC2428" s="32" t="n"/>
    </row>
    <row r="2429">
      <c r="A2429" s="26" t="inlineStr">
        <is>
          <t>S47</t>
        </is>
      </c>
      <c r="B2429" s="26" t="inlineStr">
        <is>
          <t>봉평</t>
        </is>
      </c>
      <c r="C2429" s="26" t="inlineStr">
        <is>
          <t>S47-H남</t>
        </is>
      </c>
      <c r="D2429" s="47" t="n">
        <v>1</v>
      </c>
      <c r="E2429" s="26" t="inlineStr">
        <is>
          <t>측정</t>
        </is>
      </c>
      <c r="F2429" s="26" t="inlineStr">
        <is>
          <t>남</t>
        </is>
      </c>
      <c r="G2429" s="31" t="n">
        <v>4</v>
      </c>
      <c r="H2429" s="30" t="n"/>
      <c r="I2429" s="43" t="n"/>
      <c r="J2429" s="41" t="n"/>
      <c r="K2429" s="41" t="n"/>
      <c r="L2429" s="41" t="n"/>
      <c r="M2429" s="31">
        <f>IF(COUNT(J2429:L2429)=0,"",MEDIAN(J2429:L2429))</f>
        <v/>
      </c>
      <c r="N2429" s="26">
        <f>IF(COUNTIFS($C:$C,$C2429,$D:$D,$D2429,$E:$E,"P0(전)",$M:$M,"&gt;0")&lt;&gt;1,"P0(전) 유효 1개 아님",IF(COUNTIFS($C:$C,$C2429,$D:$D,$D2429,$E:$E,"P0(후)",$M:$M,"&gt;0")&lt;&gt;1,"P0(후) 유효 1개 아님",IF(NOT(AND(ISNUMBER(O2429),ISNUMBER(Q2429),ISNUMBER(I2429))),"시각 결측",IF(Q2429&lt;=O2429,"P0 시각 역전",IF(OR(I2429&lt;O2429,I2429&gt;Q2429),"측정시각 구간 밖","OK")))))</f>
        <v/>
      </c>
      <c r="O2429" s="48">
        <f>IF(COUNTIFS($C:$C,$C2429,$D:$D,$D2429,$E:$E,"P0(전)",$M:$M,"&gt;0")&lt;&gt;1,"",SUMIFS($I:$I,$C:$C,$C2429,$D:$D,$D2429,$E:$E,"P0(전)"))</f>
        <v/>
      </c>
      <c r="P2429" s="31">
        <f>IF(COUNTIFS($C:$C,$C2429,$D:$D,$D2429,$E:$E,"P0(전)",$M:$M,"&gt;0")&lt;&gt;1,"",SUMIFS($M:$M,$C:$C,$C2429,$D:$D,$D2429,$E:$E,"P0(전)"))</f>
        <v/>
      </c>
      <c r="Q2429" s="48">
        <f>IF(COUNTIFS($C:$C,$C2429,$D:$D,$D2429,$E:$E,"P0(후)",$M:$M,"&gt;0")&lt;&gt;1,"",SUMIFS($I:$I,$C:$C,$C2429,$D:$D,$D2429,$E:$E,"P0(후)"))</f>
        <v/>
      </c>
      <c r="R2429" s="31">
        <f>IF(COUNTIFS($C:$C,$C2429,$D:$D,$D2429,$E:$E,"P0(후)",$M:$M,"&gt;0")&lt;&gt;1,"",SUMIFS($M:$M,$C:$C,$C2429,$D:$D,$D2429,$E:$E,"P0(후)"))</f>
        <v/>
      </c>
      <c r="S2429" s="31">
        <f>IF(N2429&lt;&gt;"OK","",P2429+(R2429-P2429)*(I2429-O2429)/(Q2429-O2429))</f>
        <v/>
      </c>
      <c r="T2429" s="31">
        <f>IF(OR(N2429&lt;&gt;"OK",NOT(ISNUMBER(M2429))),"",M2429-S2429)</f>
        <v/>
      </c>
      <c r="U2429" s="49">
        <f>IF(OR(NOT(ISNUMBER(T2429)),IF(ISNUMBER(H2429),H2429,G2429)=0),"",T2429/IF(ISNUMBER(H2429),H2429,G2429))</f>
        <v/>
      </c>
      <c r="V2429" s="49">
        <f>IF(ISNUMBER(U2429),ABS(U2429),"")</f>
        <v/>
      </c>
      <c r="W2429" s="49">
        <f>IF(OR($E2428&lt;&gt;"측정",$C2428&lt;&gt;$C2429,$D2428&lt;&gt;$D2429,NOT(ISNUMBER(M2429)),NOT(ISNUMBER(M2428)),(IF(ISNUMBER(H2429),H2429,G2429)-IF(ISNUMBER(H2428),H2428,G2428))=0),"",(M2429-M2428)/(IF(ISNUMBER(H2429),H2429,G2429)-IF(ISNUMBER(H2428),H2428,G2428)))</f>
        <v/>
      </c>
      <c r="X2429" s="31">
        <f>IF(NOT(AND(ISNUMBER(O2429),ISNUMBER(Q2429))),"",(Q2429-O2429)*1440)</f>
        <v/>
      </c>
      <c r="Y2429" s="29" t="n"/>
      <c r="Z2429" s="29" t="n"/>
      <c r="AA2429" s="29" t="n"/>
      <c r="AB2429" s="32" t="n"/>
      <c r="AC2429" s="32" t="n"/>
    </row>
    <row r="2430">
      <c r="A2430" s="26" t="inlineStr">
        <is>
          <t>S47</t>
        </is>
      </c>
      <c r="B2430" s="26" t="inlineStr">
        <is>
          <t>봉평</t>
        </is>
      </c>
      <c r="C2430" s="26" t="inlineStr">
        <is>
          <t>S47-H남</t>
        </is>
      </c>
      <c r="D2430" s="47" t="n">
        <v>1</v>
      </c>
      <c r="E2430" s="26" t="inlineStr">
        <is>
          <t>측정</t>
        </is>
      </c>
      <c r="F2430" s="26" t="inlineStr">
        <is>
          <t>남</t>
        </is>
      </c>
      <c r="G2430" s="31" t="n">
        <v>5</v>
      </c>
      <c r="H2430" s="30" t="n"/>
      <c r="I2430" s="43" t="n"/>
      <c r="J2430" s="41" t="n"/>
      <c r="K2430" s="41" t="n"/>
      <c r="L2430" s="41" t="n"/>
      <c r="M2430" s="31">
        <f>IF(COUNT(J2430:L2430)=0,"",MEDIAN(J2430:L2430))</f>
        <v/>
      </c>
      <c r="N2430" s="26">
        <f>IF(COUNTIFS($C:$C,$C2430,$D:$D,$D2430,$E:$E,"P0(전)",$M:$M,"&gt;0")&lt;&gt;1,"P0(전) 유효 1개 아님",IF(COUNTIFS($C:$C,$C2430,$D:$D,$D2430,$E:$E,"P0(후)",$M:$M,"&gt;0")&lt;&gt;1,"P0(후) 유효 1개 아님",IF(NOT(AND(ISNUMBER(O2430),ISNUMBER(Q2430),ISNUMBER(I2430))),"시각 결측",IF(Q2430&lt;=O2430,"P0 시각 역전",IF(OR(I2430&lt;O2430,I2430&gt;Q2430),"측정시각 구간 밖","OK")))))</f>
        <v/>
      </c>
      <c r="O2430" s="48">
        <f>IF(COUNTIFS($C:$C,$C2430,$D:$D,$D2430,$E:$E,"P0(전)",$M:$M,"&gt;0")&lt;&gt;1,"",SUMIFS($I:$I,$C:$C,$C2430,$D:$D,$D2430,$E:$E,"P0(전)"))</f>
        <v/>
      </c>
      <c r="P2430" s="31">
        <f>IF(COUNTIFS($C:$C,$C2430,$D:$D,$D2430,$E:$E,"P0(전)",$M:$M,"&gt;0")&lt;&gt;1,"",SUMIFS($M:$M,$C:$C,$C2430,$D:$D,$D2430,$E:$E,"P0(전)"))</f>
        <v/>
      </c>
      <c r="Q2430" s="48">
        <f>IF(COUNTIFS($C:$C,$C2430,$D:$D,$D2430,$E:$E,"P0(후)",$M:$M,"&gt;0")&lt;&gt;1,"",SUMIFS($I:$I,$C:$C,$C2430,$D:$D,$D2430,$E:$E,"P0(후)"))</f>
        <v/>
      </c>
      <c r="R2430" s="31">
        <f>IF(COUNTIFS($C:$C,$C2430,$D:$D,$D2430,$E:$E,"P0(후)",$M:$M,"&gt;0")&lt;&gt;1,"",SUMIFS($M:$M,$C:$C,$C2430,$D:$D,$D2430,$E:$E,"P0(후)"))</f>
        <v/>
      </c>
      <c r="S2430" s="31">
        <f>IF(N2430&lt;&gt;"OK","",P2430+(R2430-P2430)*(I2430-O2430)/(Q2430-O2430))</f>
        <v/>
      </c>
      <c r="T2430" s="31">
        <f>IF(OR(N2430&lt;&gt;"OK",NOT(ISNUMBER(M2430))),"",M2430-S2430)</f>
        <v/>
      </c>
      <c r="U2430" s="49">
        <f>IF(OR(NOT(ISNUMBER(T2430)),IF(ISNUMBER(H2430),H2430,G2430)=0),"",T2430/IF(ISNUMBER(H2430),H2430,G2430))</f>
        <v/>
      </c>
      <c r="V2430" s="49">
        <f>IF(ISNUMBER(U2430),ABS(U2430),"")</f>
        <v/>
      </c>
      <c r="W2430" s="49">
        <f>IF(OR($E2429&lt;&gt;"측정",$C2429&lt;&gt;$C2430,$D2429&lt;&gt;$D2430,NOT(ISNUMBER(M2430)),NOT(ISNUMBER(M2429)),(IF(ISNUMBER(H2430),H2430,G2430)-IF(ISNUMBER(H2429),H2429,G2429))=0),"",(M2430-M2429)/(IF(ISNUMBER(H2430),H2430,G2430)-IF(ISNUMBER(H2429),H2429,G2429)))</f>
        <v/>
      </c>
      <c r="X2430" s="31">
        <f>IF(NOT(AND(ISNUMBER(O2430),ISNUMBER(Q2430))),"",(Q2430-O2430)*1440)</f>
        <v/>
      </c>
      <c r="Y2430" s="29" t="n"/>
      <c r="Z2430" s="29" t="n"/>
      <c r="AA2430" s="29" t="n"/>
      <c r="AB2430" s="32" t="n"/>
      <c r="AC2430" s="32" t="n"/>
    </row>
    <row r="2431">
      <c r="A2431" s="26" t="inlineStr">
        <is>
          <t>S47</t>
        </is>
      </c>
      <c r="B2431" s="26" t="inlineStr">
        <is>
          <t>봉평</t>
        </is>
      </c>
      <c r="C2431" s="26" t="inlineStr">
        <is>
          <t>S47-H남</t>
        </is>
      </c>
      <c r="D2431" s="47" t="n">
        <v>1</v>
      </c>
      <c r="E2431" s="26" t="inlineStr">
        <is>
          <t>측정</t>
        </is>
      </c>
      <c r="F2431" s="26" t="inlineStr">
        <is>
          <t>남</t>
        </is>
      </c>
      <c r="G2431" s="31" t="n">
        <v>6</v>
      </c>
      <c r="H2431" s="30" t="n"/>
      <c r="I2431" s="43" t="n"/>
      <c r="J2431" s="41" t="n"/>
      <c r="K2431" s="41" t="n"/>
      <c r="L2431" s="41" t="n"/>
      <c r="M2431" s="31">
        <f>IF(COUNT(J2431:L2431)=0,"",MEDIAN(J2431:L2431))</f>
        <v/>
      </c>
      <c r="N2431" s="26">
        <f>IF(COUNTIFS($C:$C,$C2431,$D:$D,$D2431,$E:$E,"P0(전)",$M:$M,"&gt;0")&lt;&gt;1,"P0(전) 유효 1개 아님",IF(COUNTIFS($C:$C,$C2431,$D:$D,$D2431,$E:$E,"P0(후)",$M:$M,"&gt;0")&lt;&gt;1,"P0(후) 유효 1개 아님",IF(NOT(AND(ISNUMBER(O2431),ISNUMBER(Q2431),ISNUMBER(I2431))),"시각 결측",IF(Q2431&lt;=O2431,"P0 시각 역전",IF(OR(I2431&lt;O2431,I2431&gt;Q2431),"측정시각 구간 밖","OK")))))</f>
        <v/>
      </c>
      <c r="O2431" s="48">
        <f>IF(COUNTIFS($C:$C,$C2431,$D:$D,$D2431,$E:$E,"P0(전)",$M:$M,"&gt;0")&lt;&gt;1,"",SUMIFS($I:$I,$C:$C,$C2431,$D:$D,$D2431,$E:$E,"P0(전)"))</f>
        <v/>
      </c>
      <c r="P2431" s="31">
        <f>IF(COUNTIFS($C:$C,$C2431,$D:$D,$D2431,$E:$E,"P0(전)",$M:$M,"&gt;0")&lt;&gt;1,"",SUMIFS($M:$M,$C:$C,$C2431,$D:$D,$D2431,$E:$E,"P0(전)"))</f>
        <v/>
      </c>
      <c r="Q2431" s="48">
        <f>IF(COUNTIFS($C:$C,$C2431,$D:$D,$D2431,$E:$E,"P0(후)",$M:$M,"&gt;0")&lt;&gt;1,"",SUMIFS($I:$I,$C:$C,$C2431,$D:$D,$D2431,$E:$E,"P0(후)"))</f>
        <v/>
      </c>
      <c r="R2431" s="31">
        <f>IF(COUNTIFS($C:$C,$C2431,$D:$D,$D2431,$E:$E,"P0(후)",$M:$M,"&gt;0")&lt;&gt;1,"",SUMIFS($M:$M,$C:$C,$C2431,$D:$D,$D2431,$E:$E,"P0(후)"))</f>
        <v/>
      </c>
      <c r="S2431" s="31">
        <f>IF(N2431&lt;&gt;"OK","",P2431+(R2431-P2431)*(I2431-O2431)/(Q2431-O2431))</f>
        <v/>
      </c>
      <c r="T2431" s="31">
        <f>IF(OR(N2431&lt;&gt;"OK",NOT(ISNUMBER(M2431))),"",M2431-S2431)</f>
        <v/>
      </c>
      <c r="U2431" s="49">
        <f>IF(OR(NOT(ISNUMBER(T2431)),IF(ISNUMBER(H2431),H2431,G2431)=0),"",T2431/IF(ISNUMBER(H2431),H2431,G2431))</f>
        <v/>
      </c>
      <c r="V2431" s="49">
        <f>IF(ISNUMBER(U2431),ABS(U2431),"")</f>
        <v/>
      </c>
      <c r="W2431" s="49">
        <f>IF(OR($E2430&lt;&gt;"측정",$C2430&lt;&gt;$C2431,$D2430&lt;&gt;$D2431,NOT(ISNUMBER(M2431)),NOT(ISNUMBER(M2430)),(IF(ISNUMBER(H2431),H2431,G2431)-IF(ISNUMBER(H2430),H2430,G2430))=0),"",(M2431-M2430)/(IF(ISNUMBER(H2431),H2431,G2431)-IF(ISNUMBER(H2430),H2430,G2430)))</f>
        <v/>
      </c>
      <c r="X2431" s="31">
        <f>IF(NOT(AND(ISNUMBER(O2431),ISNUMBER(Q2431))),"",(Q2431-O2431)*1440)</f>
        <v/>
      </c>
      <c r="Y2431" s="29" t="n"/>
      <c r="Z2431" s="29" t="n"/>
      <c r="AA2431" s="29" t="n"/>
      <c r="AB2431" s="32" t="n"/>
      <c r="AC2431" s="32" t="n"/>
    </row>
    <row r="2432">
      <c r="A2432" s="26" t="inlineStr">
        <is>
          <t>S47</t>
        </is>
      </c>
      <c r="B2432" s="26" t="inlineStr">
        <is>
          <t>봉평</t>
        </is>
      </c>
      <c r="C2432" s="26" t="inlineStr">
        <is>
          <t>S47-H남</t>
        </is>
      </c>
      <c r="D2432" s="47" t="n">
        <v>1</v>
      </c>
      <c r="E2432" s="26" t="inlineStr">
        <is>
          <t>측정</t>
        </is>
      </c>
      <c r="F2432" s="26" t="inlineStr">
        <is>
          <t>남</t>
        </is>
      </c>
      <c r="G2432" s="31" t="n">
        <v>7</v>
      </c>
      <c r="H2432" s="30" t="n"/>
      <c r="I2432" s="43" t="n"/>
      <c r="J2432" s="41" t="n"/>
      <c r="K2432" s="41" t="n"/>
      <c r="L2432" s="41" t="n"/>
      <c r="M2432" s="31">
        <f>IF(COUNT(J2432:L2432)=0,"",MEDIAN(J2432:L2432))</f>
        <v/>
      </c>
      <c r="N2432" s="26">
        <f>IF(COUNTIFS($C:$C,$C2432,$D:$D,$D2432,$E:$E,"P0(전)",$M:$M,"&gt;0")&lt;&gt;1,"P0(전) 유효 1개 아님",IF(COUNTIFS($C:$C,$C2432,$D:$D,$D2432,$E:$E,"P0(후)",$M:$M,"&gt;0")&lt;&gt;1,"P0(후) 유효 1개 아님",IF(NOT(AND(ISNUMBER(O2432),ISNUMBER(Q2432),ISNUMBER(I2432))),"시각 결측",IF(Q2432&lt;=O2432,"P0 시각 역전",IF(OR(I2432&lt;O2432,I2432&gt;Q2432),"측정시각 구간 밖","OK")))))</f>
        <v/>
      </c>
      <c r="O2432" s="48">
        <f>IF(COUNTIFS($C:$C,$C2432,$D:$D,$D2432,$E:$E,"P0(전)",$M:$M,"&gt;0")&lt;&gt;1,"",SUMIFS($I:$I,$C:$C,$C2432,$D:$D,$D2432,$E:$E,"P0(전)"))</f>
        <v/>
      </c>
      <c r="P2432" s="31">
        <f>IF(COUNTIFS($C:$C,$C2432,$D:$D,$D2432,$E:$E,"P0(전)",$M:$M,"&gt;0")&lt;&gt;1,"",SUMIFS($M:$M,$C:$C,$C2432,$D:$D,$D2432,$E:$E,"P0(전)"))</f>
        <v/>
      </c>
      <c r="Q2432" s="48">
        <f>IF(COUNTIFS($C:$C,$C2432,$D:$D,$D2432,$E:$E,"P0(후)",$M:$M,"&gt;0")&lt;&gt;1,"",SUMIFS($I:$I,$C:$C,$C2432,$D:$D,$D2432,$E:$E,"P0(후)"))</f>
        <v/>
      </c>
      <c r="R2432" s="31">
        <f>IF(COUNTIFS($C:$C,$C2432,$D:$D,$D2432,$E:$E,"P0(후)",$M:$M,"&gt;0")&lt;&gt;1,"",SUMIFS($M:$M,$C:$C,$C2432,$D:$D,$D2432,$E:$E,"P0(후)"))</f>
        <v/>
      </c>
      <c r="S2432" s="31">
        <f>IF(N2432&lt;&gt;"OK","",P2432+(R2432-P2432)*(I2432-O2432)/(Q2432-O2432))</f>
        <v/>
      </c>
      <c r="T2432" s="31">
        <f>IF(OR(N2432&lt;&gt;"OK",NOT(ISNUMBER(M2432))),"",M2432-S2432)</f>
        <v/>
      </c>
      <c r="U2432" s="49">
        <f>IF(OR(NOT(ISNUMBER(T2432)),IF(ISNUMBER(H2432),H2432,G2432)=0),"",T2432/IF(ISNUMBER(H2432),H2432,G2432))</f>
        <v/>
      </c>
      <c r="V2432" s="49">
        <f>IF(ISNUMBER(U2432),ABS(U2432),"")</f>
        <v/>
      </c>
      <c r="W2432" s="49">
        <f>IF(OR($E2431&lt;&gt;"측정",$C2431&lt;&gt;$C2432,$D2431&lt;&gt;$D2432,NOT(ISNUMBER(M2432)),NOT(ISNUMBER(M2431)),(IF(ISNUMBER(H2432),H2432,G2432)-IF(ISNUMBER(H2431),H2431,G2431))=0),"",(M2432-M2431)/(IF(ISNUMBER(H2432),H2432,G2432)-IF(ISNUMBER(H2431),H2431,G2431)))</f>
        <v/>
      </c>
      <c r="X2432" s="31">
        <f>IF(NOT(AND(ISNUMBER(O2432),ISNUMBER(Q2432))),"",(Q2432-O2432)*1440)</f>
        <v/>
      </c>
      <c r="Y2432" s="29" t="n"/>
      <c r="Z2432" s="29" t="n"/>
      <c r="AA2432" s="29" t="n"/>
      <c r="AB2432" s="32" t="n"/>
      <c r="AC2432" s="32" t="n"/>
    </row>
    <row r="2433">
      <c r="A2433" s="26" t="inlineStr">
        <is>
          <t>S47</t>
        </is>
      </c>
      <c r="B2433" s="26" t="inlineStr">
        <is>
          <t>봉평</t>
        </is>
      </c>
      <c r="C2433" s="26" t="inlineStr">
        <is>
          <t>S47-H남</t>
        </is>
      </c>
      <c r="D2433" s="47" t="n">
        <v>1</v>
      </c>
      <c r="E2433" s="26" t="inlineStr">
        <is>
          <t>측정</t>
        </is>
      </c>
      <c r="F2433" s="26" t="inlineStr">
        <is>
          <t>남</t>
        </is>
      </c>
      <c r="G2433" s="31" t="n">
        <v>8</v>
      </c>
      <c r="H2433" s="30" t="n"/>
      <c r="I2433" s="43" t="n"/>
      <c r="J2433" s="41" t="n"/>
      <c r="K2433" s="41" t="n"/>
      <c r="L2433" s="41" t="n"/>
      <c r="M2433" s="31">
        <f>IF(COUNT(J2433:L2433)=0,"",MEDIAN(J2433:L2433))</f>
        <v/>
      </c>
      <c r="N2433" s="26">
        <f>IF(COUNTIFS($C:$C,$C2433,$D:$D,$D2433,$E:$E,"P0(전)",$M:$M,"&gt;0")&lt;&gt;1,"P0(전) 유효 1개 아님",IF(COUNTIFS($C:$C,$C2433,$D:$D,$D2433,$E:$E,"P0(후)",$M:$M,"&gt;0")&lt;&gt;1,"P0(후) 유효 1개 아님",IF(NOT(AND(ISNUMBER(O2433),ISNUMBER(Q2433),ISNUMBER(I2433))),"시각 결측",IF(Q2433&lt;=O2433,"P0 시각 역전",IF(OR(I2433&lt;O2433,I2433&gt;Q2433),"측정시각 구간 밖","OK")))))</f>
        <v/>
      </c>
      <c r="O2433" s="48">
        <f>IF(COUNTIFS($C:$C,$C2433,$D:$D,$D2433,$E:$E,"P0(전)",$M:$M,"&gt;0")&lt;&gt;1,"",SUMIFS($I:$I,$C:$C,$C2433,$D:$D,$D2433,$E:$E,"P0(전)"))</f>
        <v/>
      </c>
      <c r="P2433" s="31">
        <f>IF(COUNTIFS($C:$C,$C2433,$D:$D,$D2433,$E:$E,"P0(전)",$M:$M,"&gt;0")&lt;&gt;1,"",SUMIFS($M:$M,$C:$C,$C2433,$D:$D,$D2433,$E:$E,"P0(전)"))</f>
        <v/>
      </c>
      <c r="Q2433" s="48">
        <f>IF(COUNTIFS($C:$C,$C2433,$D:$D,$D2433,$E:$E,"P0(후)",$M:$M,"&gt;0")&lt;&gt;1,"",SUMIFS($I:$I,$C:$C,$C2433,$D:$D,$D2433,$E:$E,"P0(후)"))</f>
        <v/>
      </c>
      <c r="R2433" s="31">
        <f>IF(COUNTIFS($C:$C,$C2433,$D:$D,$D2433,$E:$E,"P0(후)",$M:$M,"&gt;0")&lt;&gt;1,"",SUMIFS($M:$M,$C:$C,$C2433,$D:$D,$D2433,$E:$E,"P0(후)"))</f>
        <v/>
      </c>
      <c r="S2433" s="31">
        <f>IF(N2433&lt;&gt;"OK","",P2433+(R2433-P2433)*(I2433-O2433)/(Q2433-O2433))</f>
        <v/>
      </c>
      <c r="T2433" s="31">
        <f>IF(OR(N2433&lt;&gt;"OK",NOT(ISNUMBER(M2433))),"",M2433-S2433)</f>
        <v/>
      </c>
      <c r="U2433" s="49">
        <f>IF(OR(NOT(ISNUMBER(T2433)),IF(ISNUMBER(H2433),H2433,G2433)=0),"",T2433/IF(ISNUMBER(H2433),H2433,G2433))</f>
        <v/>
      </c>
      <c r="V2433" s="49">
        <f>IF(ISNUMBER(U2433),ABS(U2433),"")</f>
        <v/>
      </c>
      <c r="W2433" s="49">
        <f>IF(OR($E2432&lt;&gt;"측정",$C2432&lt;&gt;$C2433,$D2432&lt;&gt;$D2433,NOT(ISNUMBER(M2433)),NOT(ISNUMBER(M2432)),(IF(ISNUMBER(H2433),H2433,G2433)-IF(ISNUMBER(H2432),H2432,G2432))=0),"",(M2433-M2432)/(IF(ISNUMBER(H2433),H2433,G2433)-IF(ISNUMBER(H2432),H2432,G2432)))</f>
        <v/>
      </c>
      <c r="X2433" s="31">
        <f>IF(NOT(AND(ISNUMBER(O2433),ISNUMBER(Q2433))),"",(Q2433-O2433)*1440)</f>
        <v/>
      </c>
      <c r="Y2433" s="29" t="n"/>
      <c r="Z2433" s="29" t="n"/>
      <c r="AA2433" s="29" t="n"/>
      <c r="AB2433" s="32" t="n"/>
      <c r="AC2433" s="32" t="n"/>
    </row>
    <row r="2434">
      <c r="A2434" s="26" t="inlineStr">
        <is>
          <t>S47</t>
        </is>
      </c>
      <c r="B2434" s="26" t="inlineStr">
        <is>
          <t>봉평</t>
        </is>
      </c>
      <c r="C2434" s="26" t="inlineStr">
        <is>
          <t>S47-H남</t>
        </is>
      </c>
      <c r="D2434" s="47" t="n">
        <v>1</v>
      </c>
      <c r="E2434" s="26" t="inlineStr">
        <is>
          <t>측정</t>
        </is>
      </c>
      <c r="F2434" s="26" t="inlineStr">
        <is>
          <t>남</t>
        </is>
      </c>
      <c r="G2434" s="31" t="n">
        <v>9</v>
      </c>
      <c r="H2434" s="30" t="n"/>
      <c r="I2434" s="43" t="n"/>
      <c r="J2434" s="41" t="n"/>
      <c r="K2434" s="41" t="n"/>
      <c r="L2434" s="41" t="n"/>
      <c r="M2434" s="31">
        <f>IF(COUNT(J2434:L2434)=0,"",MEDIAN(J2434:L2434))</f>
        <v/>
      </c>
      <c r="N2434" s="26">
        <f>IF(COUNTIFS($C:$C,$C2434,$D:$D,$D2434,$E:$E,"P0(전)",$M:$M,"&gt;0")&lt;&gt;1,"P0(전) 유효 1개 아님",IF(COUNTIFS($C:$C,$C2434,$D:$D,$D2434,$E:$E,"P0(후)",$M:$M,"&gt;0")&lt;&gt;1,"P0(후) 유효 1개 아님",IF(NOT(AND(ISNUMBER(O2434),ISNUMBER(Q2434),ISNUMBER(I2434))),"시각 결측",IF(Q2434&lt;=O2434,"P0 시각 역전",IF(OR(I2434&lt;O2434,I2434&gt;Q2434),"측정시각 구간 밖","OK")))))</f>
        <v/>
      </c>
      <c r="O2434" s="48">
        <f>IF(COUNTIFS($C:$C,$C2434,$D:$D,$D2434,$E:$E,"P0(전)",$M:$M,"&gt;0")&lt;&gt;1,"",SUMIFS($I:$I,$C:$C,$C2434,$D:$D,$D2434,$E:$E,"P0(전)"))</f>
        <v/>
      </c>
      <c r="P2434" s="31">
        <f>IF(COUNTIFS($C:$C,$C2434,$D:$D,$D2434,$E:$E,"P0(전)",$M:$M,"&gt;0")&lt;&gt;1,"",SUMIFS($M:$M,$C:$C,$C2434,$D:$D,$D2434,$E:$E,"P0(전)"))</f>
        <v/>
      </c>
      <c r="Q2434" s="48">
        <f>IF(COUNTIFS($C:$C,$C2434,$D:$D,$D2434,$E:$E,"P0(후)",$M:$M,"&gt;0")&lt;&gt;1,"",SUMIFS($I:$I,$C:$C,$C2434,$D:$D,$D2434,$E:$E,"P0(후)"))</f>
        <v/>
      </c>
      <c r="R2434" s="31">
        <f>IF(COUNTIFS($C:$C,$C2434,$D:$D,$D2434,$E:$E,"P0(후)",$M:$M,"&gt;0")&lt;&gt;1,"",SUMIFS($M:$M,$C:$C,$C2434,$D:$D,$D2434,$E:$E,"P0(후)"))</f>
        <v/>
      </c>
      <c r="S2434" s="31">
        <f>IF(N2434&lt;&gt;"OK","",P2434+(R2434-P2434)*(I2434-O2434)/(Q2434-O2434))</f>
        <v/>
      </c>
      <c r="T2434" s="31">
        <f>IF(OR(N2434&lt;&gt;"OK",NOT(ISNUMBER(M2434))),"",M2434-S2434)</f>
        <v/>
      </c>
      <c r="U2434" s="49">
        <f>IF(OR(NOT(ISNUMBER(T2434)),IF(ISNUMBER(H2434),H2434,G2434)=0),"",T2434/IF(ISNUMBER(H2434),H2434,G2434))</f>
        <v/>
      </c>
      <c r="V2434" s="49">
        <f>IF(ISNUMBER(U2434),ABS(U2434),"")</f>
        <v/>
      </c>
      <c r="W2434" s="49">
        <f>IF(OR($E2433&lt;&gt;"측정",$C2433&lt;&gt;$C2434,$D2433&lt;&gt;$D2434,NOT(ISNUMBER(M2434)),NOT(ISNUMBER(M2433)),(IF(ISNUMBER(H2434),H2434,G2434)-IF(ISNUMBER(H2433),H2433,G2433))=0),"",(M2434-M2433)/(IF(ISNUMBER(H2434),H2434,G2434)-IF(ISNUMBER(H2433),H2433,G2433)))</f>
        <v/>
      </c>
      <c r="X2434" s="31">
        <f>IF(NOT(AND(ISNUMBER(O2434),ISNUMBER(Q2434))),"",(Q2434-O2434)*1440)</f>
        <v/>
      </c>
      <c r="Y2434" s="29" t="n"/>
      <c r="Z2434" s="29" t="n"/>
      <c r="AA2434" s="29" t="n"/>
      <c r="AB2434" s="32" t="n"/>
      <c r="AC2434" s="32" t="n"/>
    </row>
    <row r="2435">
      <c r="A2435" s="26" t="inlineStr">
        <is>
          <t>S47</t>
        </is>
      </c>
      <c r="B2435" s="26" t="inlineStr">
        <is>
          <t>봉평</t>
        </is>
      </c>
      <c r="C2435" s="26" t="inlineStr">
        <is>
          <t>S47-H남</t>
        </is>
      </c>
      <c r="D2435" s="47" t="n">
        <v>1</v>
      </c>
      <c r="E2435" s="26" t="inlineStr">
        <is>
          <t>측정</t>
        </is>
      </c>
      <c r="F2435" s="26" t="inlineStr">
        <is>
          <t>남</t>
        </is>
      </c>
      <c r="G2435" s="31" t="n">
        <v>10</v>
      </c>
      <c r="H2435" s="30" t="n"/>
      <c r="I2435" s="43" t="n"/>
      <c r="J2435" s="41" t="n"/>
      <c r="K2435" s="41" t="n"/>
      <c r="L2435" s="41" t="n"/>
      <c r="M2435" s="31">
        <f>IF(COUNT(J2435:L2435)=0,"",MEDIAN(J2435:L2435))</f>
        <v/>
      </c>
      <c r="N2435" s="26">
        <f>IF(COUNTIFS($C:$C,$C2435,$D:$D,$D2435,$E:$E,"P0(전)",$M:$M,"&gt;0")&lt;&gt;1,"P0(전) 유효 1개 아님",IF(COUNTIFS($C:$C,$C2435,$D:$D,$D2435,$E:$E,"P0(후)",$M:$M,"&gt;0")&lt;&gt;1,"P0(후) 유효 1개 아님",IF(NOT(AND(ISNUMBER(O2435),ISNUMBER(Q2435),ISNUMBER(I2435))),"시각 결측",IF(Q2435&lt;=O2435,"P0 시각 역전",IF(OR(I2435&lt;O2435,I2435&gt;Q2435),"측정시각 구간 밖","OK")))))</f>
        <v/>
      </c>
      <c r="O2435" s="48">
        <f>IF(COUNTIFS($C:$C,$C2435,$D:$D,$D2435,$E:$E,"P0(전)",$M:$M,"&gt;0")&lt;&gt;1,"",SUMIFS($I:$I,$C:$C,$C2435,$D:$D,$D2435,$E:$E,"P0(전)"))</f>
        <v/>
      </c>
      <c r="P2435" s="31">
        <f>IF(COUNTIFS($C:$C,$C2435,$D:$D,$D2435,$E:$E,"P0(전)",$M:$M,"&gt;0")&lt;&gt;1,"",SUMIFS($M:$M,$C:$C,$C2435,$D:$D,$D2435,$E:$E,"P0(전)"))</f>
        <v/>
      </c>
      <c r="Q2435" s="48">
        <f>IF(COUNTIFS($C:$C,$C2435,$D:$D,$D2435,$E:$E,"P0(후)",$M:$M,"&gt;0")&lt;&gt;1,"",SUMIFS($I:$I,$C:$C,$C2435,$D:$D,$D2435,$E:$E,"P0(후)"))</f>
        <v/>
      </c>
      <c r="R2435" s="31">
        <f>IF(COUNTIFS($C:$C,$C2435,$D:$D,$D2435,$E:$E,"P0(후)",$M:$M,"&gt;0")&lt;&gt;1,"",SUMIFS($M:$M,$C:$C,$C2435,$D:$D,$D2435,$E:$E,"P0(후)"))</f>
        <v/>
      </c>
      <c r="S2435" s="31">
        <f>IF(N2435&lt;&gt;"OK","",P2435+(R2435-P2435)*(I2435-O2435)/(Q2435-O2435))</f>
        <v/>
      </c>
      <c r="T2435" s="31">
        <f>IF(OR(N2435&lt;&gt;"OK",NOT(ISNUMBER(M2435))),"",M2435-S2435)</f>
        <v/>
      </c>
      <c r="U2435" s="49">
        <f>IF(OR(NOT(ISNUMBER(T2435)),IF(ISNUMBER(H2435),H2435,G2435)=0),"",T2435/IF(ISNUMBER(H2435),H2435,G2435))</f>
        <v/>
      </c>
      <c r="V2435" s="49">
        <f>IF(ISNUMBER(U2435),ABS(U2435),"")</f>
        <v/>
      </c>
      <c r="W2435" s="49">
        <f>IF(OR($E2434&lt;&gt;"측정",$C2434&lt;&gt;$C2435,$D2434&lt;&gt;$D2435,NOT(ISNUMBER(M2435)),NOT(ISNUMBER(M2434)),(IF(ISNUMBER(H2435),H2435,G2435)-IF(ISNUMBER(H2434),H2434,G2434))=0),"",(M2435-M2434)/(IF(ISNUMBER(H2435),H2435,G2435)-IF(ISNUMBER(H2434),H2434,G2434)))</f>
        <v/>
      </c>
      <c r="X2435" s="31">
        <f>IF(NOT(AND(ISNUMBER(O2435),ISNUMBER(Q2435))),"",(Q2435-O2435)*1440)</f>
        <v/>
      </c>
      <c r="Y2435" s="29" t="n"/>
      <c r="Z2435" s="29" t="n"/>
      <c r="AA2435" s="29" t="n"/>
      <c r="AB2435" s="32" t="n"/>
      <c r="AC2435" s="32" t="n"/>
    </row>
    <row r="2436">
      <c r="A2436" s="44" t="inlineStr">
        <is>
          <t>S47</t>
        </is>
      </c>
      <c r="B2436" s="44" t="inlineStr">
        <is>
          <t>봉평</t>
        </is>
      </c>
      <c r="C2436" s="44" t="inlineStr">
        <is>
          <t>S47-H남</t>
        </is>
      </c>
      <c r="D2436" s="45" t="n">
        <v>1</v>
      </c>
      <c r="E2436" s="44" t="inlineStr">
        <is>
          <t>P0(후)</t>
        </is>
      </c>
      <c r="F2436" s="44" t="inlineStr">
        <is>
          <t>남</t>
        </is>
      </c>
      <c r="G2436" s="46" t="n"/>
      <c r="H2436" s="30" t="n"/>
      <c r="I2436" s="43" t="n"/>
      <c r="J2436" s="41" t="n"/>
      <c r="K2436" s="41" t="n"/>
      <c r="L2436" s="41" t="n"/>
      <c r="M2436" s="31">
        <f>IF(COUNT(J2436:L2436)=0,"",MEDIAN(J2436:L2436))</f>
        <v/>
      </c>
      <c r="N2436" s="38" t="n"/>
      <c r="O2436" s="38" t="n"/>
      <c r="P2436" s="38" t="n"/>
      <c r="Q2436" s="38" t="n"/>
      <c r="R2436" s="38" t="n"/>
      <c r="S2436" s="38" t="n"/>
      <c r="T2436" s="38" t="n"/>
      <c r="U2436" s="38" t="n"/>
      <c r="V2436" s="38" t="n"/>
      <c r="W2436" s="38" t="n"/>
      <c r="X2436" s="38" t="n"/>
      <c r="Y2436" s="29" t="n"/>
      <c r="Z2436" s="29" t="n"/>
      <c r="AA2436" s="29" t="n"/>
      <c r="AB2436" s="32" t="n"/>
      <c r="AC2436" s="32" t="n"/>
    </row>
    <row r="2437">
      <c r="A2437" s="44" t="inlineStr">
        <is>
          <t>S47</t>
        </is>
      </c>
      <c r="B2437" s="44" t="inlineStr">
        <is>
          <t>봉평</t>
        </is>
      </c>
      <c r="C2437" s="44" t="inlineStr">
        <is>
          <t>S47-H북</t>
        </is>
      </c>
      <c r="D2437" s="45" t="n">
        <v>1</v>
      </c>
      <c r="E2437" s="44" t="inlineStr">
        <is>
          <t>P0(전)</t>
        </is>
      </c>
      <c r="F2437" s="44" t="inlineStr">
        <is>
          <t>북</t>
        </is>
      </c>
      <c r="G2437" s="46" t="n"/>
      <c r="H2437" s="30" t="n"/>
      <c r="I2437" s="43" t="n"/>
      <c r="J2437" s="41" t="n"/>
      <c r="K2437" s="41" t="n"/>
      <c r="L2437" s="41" t="n"/>
      <c r="M2437" s="31">
        <f>IF(COUNT(J2437:L2437)=0,"",MEDIAN(J2437:L2437))</f>
        <v/>
      </c>
      <c r="N2437" s="38" t="n"/>
      <c r="O2437" s="38" t="n"/>
      <c r="P2437" s="38" t="n"/>
      <c r="Q2437" s="38" t="n"/>
      <c r="R2437" s="38" t="n"/>
      <c r="S2437" s="38" t="n"/>
      <c r="T2437" s="38" t="n"/>
      <c r="U2437" s="38" t="n"/>
      <c r="V2437" s="38" t="n"/>
      <c r="W2437" s="38" t="n"/>
      <c r="X2437" s="38" t="n"/>
      <c r="Y2437" s="29" t="n"/>
      <c r="Z2437" s="29" t="n"/>
      <c r="AA2437" s="29" t="n"/>
      <c r="AB2437" s="32" t="n"/>
      <c r="AC2437" s="32" t="n"/>
    </row>
    <row r="2438">
      <c r="A2438" s="26" t="inlineStr">
        <is>
          <t>S47</t>
        </is>
      </c>
      <c r="B2438" s="26" t="inlineStr">
        <is>
          <t>봉평</t>
        </is>
      </c>
      <c r="C2438" s="26" t="inlineStr">
        <is>
          <t>S47-H북</t>
        </is>
      </c>
      <c r="D2438" s="47" t="n">
        <v>1</v>
      </c>
      <c r="E2438" s="26" t="inlineStr">
        <is>
          <t>측정</t>
        </is>
      </c>
      <c r="F2438" s="26" t="inlineStr">
        <is>
          <t>북</t>
        </is>
      </c>
      <c r="G2438" s="31" t="n">
        <v>0.5</v>
      </c>
      <c r="H2438" s="30" t="n"/>
      <c r="I2438" s="43" t="n"/>
      <c r="J2438" s="41" t="n"/>
      <c r="K2438" s="41" t="n"/>
      <c r="L2438" s="41" t="n"/>
      <c r="M2438" s="31">
        <f>IF(COUNT(J2438:L2438)=0,"",MEDIAN(J2438:L2438))</f>
        <v/>
      </c>
      <c r="N2438" s="26">
        <f>IF(COUNTIFS($C:$C,$C2438,$D:$D,$D2438,$E:$E,"P0(전)",$M:$M,"&gt;0")&lt;&gt;1,"P0(전) 유효 1개 아님",IF(COUNTIFS($C:$C,$C2438,$D:$D,$D2438,$E:$E,"P0(후)",$M:$M,"&gt;0")&lt;&gt;1,"P0(후) 유효 1개 아님",IF(NOT(AND(ISNUMBER(O2438),ISNUMBER(Q2438),ISNUMBER(I2438))),"시각 결측",IF(Q2438&lt;=O2438,"P0 시각 역전",IF(OR(I2438&lt;O2438,I2438&gt;Q2438),"측정시각 구간 밖","OK")))))</f>
        <v/>
      </c>
      <c r="O2438" s="48">
        <f>IF(COUNTIFS($C:$C,$C2438,$D:$D,$D2438,$E:$E,"P0(전)",$M:$M,"&gt;0")&lt;&gt;1,"",SUMIFS($I:$I,$C:$C,$C2438,$D:$D,$D2438,$E:$E,"P0(전)"))</f>
        <v/>
      </c>
      <c r="P2438" s="31">
        <f>IF(COUNTIFS($C:$C,$C2438,$D:$D,$D2438,$E:$E,"P0(전)",$M:$M,"&gt;0")&lt;&gt;1,"",SUMIFS($M:$M,$C:$C,$C2438,$D:$D,$D2438,$E:$E,"P0(전)"))</f>
        <v/>
      </c>
      <c r="Q2438" s="48">
        <f>IF(COUNTIFS($C:$C,$C2438,$D:$D,$D2438,$E:$E,"P0(후)",$M:$M,"&gt;0")&lt;&gt;1,"",SUMIFS($I:$I,$C:$C,$C2438,$D:$D,$D2438,$E:$E,"P0(후)"))</f>
        <v/>
      </c>
      <c r="R2438" s="31">
        <f>IF(COUNTIFS($C:$C,$C2438,$D:$D,$D2438,$E:$E,"P0(후)",$M:$M,"&gt;0")&lt;&gt;1,"",SUMIFS($M:$M,$C:$C,$C2438,$D:$D,$D2438,$E:$E,"P0(후)"))</f>
        <v/>
      </c>
      <c r="S2438" s="31">
        <f>IF(N2438&lt;&gt;"OK","",P2438+(R2438-P2438)*(I2438-O2438)/(Q2438-O2438))</f>
        <v/>
      </c>
      <c r="T2438" s="31">
        <f>IF(OR(N2438&lt;&gt;"OK",NOT(ISNUMBER(M2438))),"",M2438-S2438)</f>
        <v/>
      </c>
      <c r="U2438" s="49">
        <f>IF(OR(NOT(ISNUMBER(T2438)),IF(ISNUMBER(H2438),H2438,G2438)=0),"",T2438/IF(ISNUMBER(H2438),H2438,G2438))</f>
        <v/>
      </c>
      <c r="V2438" s="49">
        <f>IF(ISNUMBER(U2438),ABS(U2438),"")</f>
        <v/>
      </c>
      <c r="W2438" s="49">
        <f>IF(OR($E2437&lt;&gt;"측정",$C2437&lt;&gt;$C2438,$D2437&lt;&gt;$D2438,NOT(ISNUMBER(M2438)),NOT(ISNUMBER(M2437)),(IF(ISNUMBER(H2438),H2438,G2438)-IF(ISNUMBER(H2437),H2437,G2437))=0),"",(M2438-M2437)/(IF(ISNUMBER(H2438),H2438,G2438)-IF(ISNUMBER(H2437),H2437,G2437)))</f>
        <v/>
      </c>
      <c r="X2438" s="31">
        <f>IF(NOT(AND(ISNUMBER(O2438),ISNUMBER(Q2438))),"",(Q2438-O2438)*1440)</f>
        <v/>
      </c>
      <c r="Y2438" s="29" t="n"/>
      <c r="Z2438" s="29" t="n"/>
      <c r="AA2438" s="29" t="n"/>
      <c r="AB2438" s="32" t="n"/>
      <c r="AC2438" s="32" t="n"/>
    </row>
    <row r="2439">
      <c r="A2439" s="26" t="inlineStr">
        <is>
          <t>S47</t>
        </is>
      </c>
      <c r="B2439" s="26" t="inlineStr">
        <is>
          <t>봉평</t>
        </is>
      </c>
      <c r="C2439" s="26" t="inlineStr">
        <is>
          <t>S47-H북</t>
        </is>
      </c>
      <c r="D2439" s="47" t="n">
        <v>1</v>
      </c>
      <c r="E2439" s="26" t="inlineStr">
        <is>
          <t>측정</t>
        </is>
      </c>
      <c r="F2439" s="26" t="inlineStr">
        <is>
          <t>북</t>
        </is>
      </c>
      <c r="G2439" s="31" t="n">
        <v>1</v>
      </c>
      <c r="H2439" s="30" t="n"/>
      <c r="I2439" s="43" t="n"/>
      <c r="J2439" s="41" t="n"/>
      <c r="K2439" s="41" t="n"/>
      <c r="L2439" s="41" t="n"/>
      <c r="M2439" s="31">
        <f>IF(COUNT(J2439:L2439)=0,"",MEDIAN(J2439:L2439))</f>
        <v/>
      </c>
      <c r="N2439" s="26">
        <f>IF(COUNTIFS($C:$C,$C2439,$D:$D,$D2439,$E:$E,"P0(전)",$M:$M,"&gt;0")&lt;&gt;1,"P0(전) 유효 1개 아님",IF(COUNTIFS($C:$C,$C2439,$D:$D,$D2439,$E:$E,"P0(후)",$M:$M,"&gt;0")&lt;&gt;1,"P0(후) 유효 1개 아님",IF(NOT(AND(ISNUMBER(O2439),ISNUMBER(Q2439),ISNUMBER(I2439))),"시각 결측",IF(Q2439&lt;=O2439,"P0 시각 역전",IF(OR(I2439&lt;O2439,I2439&gt;Q2439),"측정시각 구간 밖","OK")))))</f>
        <v/>
      </c>
      <c r="O2439" s="48">
        <f>IF(COUNTIFS($C:$C,$C2439,$D:$D,$D2439,$E:$E,"P0(전)",$M:$M,"&gt;0")&lt;&gt;1,"",SUMIFS($I:$I,$C:$C,$C2439,$D:$D,$D2439,$E:$E,"P0(전)"))</f>
        <v/>
      </c>
      <c r="P2439" s="31">
        <f>IF(COUNTIFS($C:$C,$C2439,$D:$D,$D2439,$E:$E,"P0(전)",$M:$M,"&gt;0")&lt;&gt;1,"",SUMIFS($M:$M,$C:$C,$C2439,$D:$D,$D2439,$E:$E,"P0(전)"))</f>
        <v/>
      </c>
      <c r="Q2439" s="48">
        <f>IF(COUNTIFS($C:$C,$C2439,$D:$D,$D2439,$E:$E,"P0(후)",$M:$M,"&gt;0")&lt;&gt;1,"",SUMIFS($I:$I,$C:$C,$C2439,$D:$D,$D2439,$E:$E,"P0(후)"))</f>
        <v/>
      </c>
      <c r="R2439" s="31">
        <f>IF(COUNTIFS($C:$C,$C2439,$D:$D,$D2439,$E:$E,"P0(후)",$M:$M,"&gt;0")&lt;&gt;1,"",SUMIFS($M:$M,$C:$C,$C2439,$D:$D,$D2439,$E:$E,"P0(후)"))</f>
        <v/>
      </c>
      <c r="S2439" s="31">
        <f>IF(N2439&lt;&gt;"OK","",P2439+(R2439-P2439)*(I2439-O2439)/(Q2439-O2439))</f>
        <v/>
      </c>
      <c r="T2439" s="31">
        <f>IF(OR(N2439&lt;&gt;"OK",NOT(ISNUMBER(M2439))),"",M2439-S2439)</f>
        <v/>
      </c>
      <c r="U2439" s="49">
        <f>IF(OR(NOT(ISNUMBER(T2439)),IF(ISNUMBER(H2439),H2439,G2439)=0),"",T2439/IF(ISNUMBER(H2439),H2439,G2439))</f>
        <v/>
      </c>
      <c r="V2439" s="49">
        <f>IF(ISNUMBER(U2439),ABS(U2439),"")</f>
        <v/>
      </c>
      <c r="W2439" s="49">
        <f>IF(OR($E2438&lt;&gt;"측정",$C2438&lt;&gt;$C2439,$D2438&lt;&gt;$D2439,NOT(ISNUMBER(M2439)),NOT(ISNUMBER(M2438)),(IF(ISNUMBER(H2439),H2439,G2439)-IF(ISNUMBER(H2438),H2438,G2438))=0),"",(M2439-M2438)/(IF(ISNUMBER(H2439),H2439,G2439)-IF(ISNUMBER(H2438),H2438,G2438)))</f>
        <v/>
      </c>
      <c r="X2439" s="31">
        <f>IF(NOT(AND(ISNUMBER(O2439),ISNUMBER(Q2439))),"",(Q2439-O2439)*1440)</f>
        <v/>
      </c>
      <c r="Y2439" s="29" t="n"/>
      <c r="Z2439" s="29" t="n"/>
      <c r="AA2439" s="29" t="n"/>
      <c r="AB2439" s="32" t="n"/>
      <c r="AC2439" s="32" t="n"/>
    </row>
    <row r="2440">
      <c r="A2440" s="26" t="inlineStr">
        <is>
          <t>S47</t>
        </is>
      </c>
      <c r="B2440" s="26" t="inlineStr">
        <is>
          <t>봉평</t>
        </is>
      </c>
      <c r="C2440" s="26" t="inlineStr">
        <is>
          <t>S47-H북</t>
        </is>
      </c>
      <c r="D2440" s="47" t="n">
        <v>1</v>
      </c>
      <c r="E2440" s="26" t="inlineStr">
        <is>
          <t>측정</t>
        </is>
      </c>
      <c r="F2440" s="26" t="inlineStr">
        <is>
          <t>북</t>
        </is>
      </c>
      <c r="G2440" s="31" t="n">
        <v>2</v>
      </c>
      <c r="H2440" s="30" t="n"/>
      <c r="I2440" s="43" t="n"/>
      <c r="J2440" s="41" t="n"/>
      <c r="K2440" s="41" t="n"/>
      <c r="L2440" s="41" t="n"/>
      <c r="M2440" s="31">
        <f>IF(COUNT(J2440:L2440)=0,"",MEDIAN(J2440:L2440))</f>
        <v/>
      </c>
      <c r="N2440" s="26">
        <f>IF(COUNTIFS($C:$C,$C2440,$D:$D,$D2440,$E:$E,"P0(전)",$M:$M,"&gt;0")&lt;&gt;1,"P0(전) 유효 1개 아님",IF(COUNTIFS($C:$C,$C2440,$D:$D,$D2440,$E:$E,"P0(후)",$M:$M,"&gt;0")&lt;&gt;1,"P0(후) 유효 1개 아님",IF(NOT(AND(ISNUMBER(O2440),ISNUMBER(Q2440),ISNUMBER(I2440))),"시각 결측",IF(Q2440&lt;=O2440,"P0 시각 역전",IF(OR(I2440&lt;O2440,I2440&gt;Q2440),"측정시각 구간 밖","OK")))))</f>
        <v/>
      </c>
      <c r="O2440" s="48">
        <f>IF(COUNTIFS($C:$C,$C2440,$D:$D,$D2440,$E:$E,"P0(전)",$M:$M,"&gt;0")&lt;&gt;1,"",SUMIFS($I:$I,$C:$C,$C2440,$D:$D,$D2440,$E:$E,"P0(전)"))</f>
        <v/>
      </c>
      <c r="P2440" s="31">
        <f>IF(COUNTIFS($C:$C,$C2440,$D:$D,$D2440,$E:$E,"P0(전)",$M:$M,"&gt;0")&lt;&gt;1,"",SUMIFS($M:$M,$C:$C,$C2440,$D:$D,$D2440,$E:$E,"P0(전)"))</f>
        <v/>
      </c>
      <c r="Q2440" s="48">
        <f>IF(COUNTIFS($C:$C,$C2440,$D:$D,$D2440,$E:$E,"P0(후)",$M:$M,"&gt;0")&lt;&gt;1,"",SUMIFS($I:$I,$C:$C,$C2440,$D:$D,$D2440,$E:$E,"P0(후)"))</f>
        <v/>
      </c>
      <c r="R2440" s="31">
        <f>IF(COUNTIFS($C:$C,$C2440,$D:$D,$D2440,$E:$E,"P0(후)",$M:$M,"&gt;0")&lt;&gt;1,"",SUMIFS($M:$M,$C:$C,$C2440,$D:$D,$D2440,$E:$E,"P0(후)"))</f>
        <v/>
      </c>
      <c r="S2440" s="31">
        <f>IF(N2440&lt;&gt;"OK","",P2440+(R2440-P2440)*(I2440-O2440)/(Q2440-O2440))</f>
        <v/>
      </c>
      <c r="T2440" s="31">
        <f>IF(OR(N2440&lt;&gt;"OK",NOT(ISNUMBER(M2440))),"",M2440-S2440)</f>
        <v/>
      </c>
      <c r="U2440" s="49">
        <f>IF(OR(NOT(ISNUMBER(T2440)),IF(ISNUMBER(H2440),H2440,G2440)=0),"",T2440/IF(ISNUMBER(H2440),H2440,G2440))</f>
        <v/>
      </c>
      <c r="V2440" s="49">
        <f>IF(ISNUMBER(U2440),ABS(U2440),"")</f>
        <v/>
      </c>
      <c r="W2440" s="49">
        <f>IF(OR($E2439&lt;&gt;"측정",$C2439&lt;&gt;$C2440,$D2439&lt;&gt;$D2440,NOT(ISNUMBER(M2440)),NOT(ISNUMBER(M2439)),(IF(ISNUMBER(H2440),H2440,G2440)-IF(ISNUMBER(H2439),H2439,G2439))=0),"",(M2440-M2439)/(IF(ISNUMBER(H2440),H2440,G2440)-IF(ISNUMBER(H2439),H2439,G2439)))</f>
        <v/>
      </c>
      <c r="X2440" s="31">
        <f>IF(NOT(AND(ISNUMBER(O2440),ISNUMBER(Q2440))),"",(Q2440-O2440)*1440)</f>
        <v/>
      </c>
      <c r="Y2440" s="29" t="n"/>
      <c r="Z2440" s="29" t="n"/>
      <c r="AA2440" s="29" t="n"/>
      <c r="AB2440" s="32" t="n"/>
      <c r="AC2440" s="32" t="n"/>
    </row>
    <row r="2441">
      <c r="A2441" s="26" t="inlineStr">
        <is>
          <t>S47</t>
        </is>
      </c>
      <c r="B2441" s="26" t="inlineStr">
        <is>
          <t>봉평</t>
        </is>
      </c>
      <c r="C2441" s="26" t="inlineStr">
        <is>
          <t>S47-H북</t>
        </is>
      </c>
      <c r="D2441" s="47" t="n">
        <v>1</v>
      </c>
      <c r="E2441" s="26" t="inlineStr">
        <is>
          <t>측정</t>
        </is>
      </c>
      <c r="F2441" s="26" t="inlineStr">
        <is>
          <t>북</t>
        </is>
      </c>
      <c r="G2441" s="31" t="n">
        <v>3</v>
      </c>
      <c r="H2441" s="30" t="n"/>
      <c r="I2441" s="43" t="n"/>
      <c r="J2441" s="41" t="n"/>
      <c r="K2441" s="41" t="n"/>
      <c r="L2441" s="41" t="n"/>
      <c r="M2441" s="31">
        <f>IF(COUNT(J2441:L2441)=0,"",MEDIAN(J2441:L2441))</f>
        <v/>
      </c>
      <c r="N2441" s="26">
        <f>IF(COUNTIFS($C:$C,$C2441,$D:$D,$D2441,$E:$E,"P0(전)",$M:$M,"&gt;0")&lt;&gt;1,"P0(전) 유효 1개 아님",IF(COUNTIFS($C:$C,$C2441,$D:$D,$D2441,$E:$E,"P0(후)",$M:$M,"&gt;0")&lt;&gt;1,"P0(후) 유효 1개 아님",IF(NOT(AND(ISNUMBER(O2441),ISNUMBER(Q2441),ISNUMBER(I2441))),"시각 결측",IF(Q2441&lt;=O2441,"P0 시각 역전",IF(OR(I2441&lt;O2441,I2441&gt;Q2441),"측정시각 구간 밖","OK")))))</f>
        <v/>
      </c>
      <c r="O2441" s="48">
        <f>IF(COUNTIFS($C:$C,$C2441,$D:$D,$D2441,$E:$E,"P0(전)",$M:$M,"&gt;0")&lt;&gt;1,"",SUMIFS($I:$I,$C:$C,$C2441,$D:$D,$D2441,$E:$E,"P0(전)"))</f>
        <v/>
      </c>
      <c r="P2441" s="31">
        <f>IF(COUNTIFS($C:$C,$C2441,$D:$D,$D2441,$E:$E,"P0(전)",$M:$M,"&gt;0")&lt;&gt;1,"",SUMIFS($M:$M,$C:$C,$C2441,$D:$D,$D2441,$E:$E,"P0(전)"))</f>
        <v/>
      </c>
      <c r="Q2441" s="48">
        <f>IF(COUNTIFS($C:$C,$C2441,$D:$D,$D2441,$E:$E,"P0(후)",$M:$M,"&gt;0")&lt;&gt;1,"",SUMIFS($I:$I,$C:$C,$C2441,$D:$D,$D2441,$E:$E,"P0(후)"))</f>
        <v/>
      </c>
      <c r="R2441" s="31">
        <f>IF(COUNTIFS($C:$C,$C2441,$D:$D,$D2441,$E:$E,"P0(후)",$M:$M,"&gt;0")&lt;&gt;1,"",SUMIFS($M:$M,$C:$C,$C2441,$D:$D,$D2441,$E:$E,"P0(후)"))</f>
        <v/>
      </c>
      <c r="S2441" s="31">
        <f>IF(N2441&lt;&gt;"OK","",P2441+(R2441-P2441)*(I2441-O2441)/(Q2441-O2441))</f>
        <v/>
      </c>
      <c r="T2441" s="31">
        <f>IF(OR(N2441&lt;&gt;"OK",NOT(ISNUMBER(M2441))),"",M2441-S2441)</f>
        <v/>
      </c>
      <c r="U2441" s="49">
        <f>IF(OR(NOT(ISNUMBER(T2441)),IF(ISNUMBER(H2441),H2441,G2441)=0),"",T2441/IF(ISNUMBER(H2441),H2441,G2441))</f>
        <v/>
      </c>
      <c r="V2441" s="49">
        <f>IF(ISNUMBER(U2441),ABS(U2441),"")</f>
        <v/>
      </c>
      <c r="W2441" s="49">
        <f>IF(OR($E2440&lt;&gt;"측정",$C2440&lt;&gt;$C2441,$D2440&lt;&gt;$D2441,NOT(ISNUMBER(M2441)),NOT(ISNUMBER(M2440)),(IF(ISNUMBER(H2441),H2441,G2441)-IF(ISNUMBER(H2440),H2440,G2440))=0),"",(M2441-M2440)/(IF(ISNUMBER(H2441),H2441,G2441)-IF(ISNUMBER(H2440),H2440,G2440)))</f>
        <v/>
      </c>
      <c r="X2441" s="31">
        <f>IF(NOT(AND(ISNUMBER(O2441),ISNUMBER(Q2441))),"",(Q2441-O2441)*1440)</f>
        <v/>
      </c>
      <c r="Y2441" s="29" t="n"/>
      <c r="Z2441" s="29" t="n"/>
      <c r="AA2441" s="29" t="n"/>
      <c r="AB2441" s="32" t="n"/>
      <c r="AC2441" s="32" t="n"/>
    </row>
    <row r="2442">
      <c r="A2442" s="26" t="inlineStr">
        <is>
          <t>S47</t>
        </is>
      </c>
      <c r="B2442" s="26" t="inlineStr">
        <is>
          <t>봉평</t>
        </is>
      </c>
      <c r="C2442" s="26" t="inlineStr">
        <is>
          <t>S47-H북</t>
        </is>
      </c>
      <c r="D2442" s="47" t="n">
        <v>1</v>
      </c>
      <c r="E2442" s="26" t="inlineStr">
        <is>
          <t>측정</t>
        </is>
      </c>
      <c r="F2442" s="26" t="inlineStr">
        <is>
          <t>북</t>
        </is>
      </c>
      <c r="G2442" s="31" t="n">
        <v>4</v>
      </c>
      <c r="H2442" s="30" t="n"/>
      <c r="I2442" s="43" t="n"/>
      <c r="J2442" s="41" t="n"/>
      <c r="K2442" s="41" t="n"/>
      <c r="L2442" s="41" t="n"/>
      <c r="M2442" s="31">
        <f>IF(COUNT(J2442:L2442)=0,"",MEDIAN(J2442:L2442))</f>
        <v/>
      </c>
      <c r="N2442" s="26">
        <f>IF(COUNTIFS($C:$C,$C2442,$D:$D,$D2442,$E:$E,"P0(전)",$M:$M,"&gt;0")&lt;&gt;1,"P0(전) 유효 1개 아님",IF(COUNTIFS($C:$C,$C2442,$D:$D,$D2442,$E:$E,"P0(후)",$M:$M,"&gt;0")&lt;&gt;1,"P0(후) 유효 1개 아님",IF(NOT(AND(ISNUMBER(O2442),ISNUMBER(Q2442),ISNUMBER(I2442))),"시각 결측",IF(Q2442&lt;=O2442,"P0 시각 역전",IF(OR(I2442&lt;O2442,I2442&gt;Q2442),"측정시각 구간 밖","OK")))))</f>
        <v/>
      </c>
      <c r="O2442" s="48">
        <f>IF(COUNTIFS($C:$C,$C2442,$D:$D,$D2442,$E:$E,"P0(전)",$M:$M,"&gt;0")&lt;&gt;1,"",SUMIFS($I:$I,$C:$C,$C2442,$D:$D,$D2442,$E:$E,"P0(전)"))</f>
        <v/>
      </c>
      <c r="P2442" s="31">
        <f>IF(COUNTIFS($C:$C,$C2442,$D:$D,$D2442,$E:$E,"P0(전)",$M:$M,"&gt;0")&lt;&gt;1,"",SUMIFS($M:$M,$C:$C,$C2442,$D:$D,$D2442,$E:$E,"P0(전)"))</f>
        <v/>
      </c>
      <c r="Q2442" s="48">
        <f>IF(COUNTIFS($C:$C,$C2442,$D:$D,$D2442,$E:$E,"P0(후)",$M:$M,"&gt;0")&lt;&gt;1,"",SUMIFS($I:$I,$C:$C,$C2442,$D:$D,$D2442,$E:$E,"P0(후)"))</f>
        <v/>
      </c>
      <c r="R2442" s="31">
        <f>IF(COUNTIFS($C:$C,$C2442,$D:$D,$D2442,$E:$E,"P0(후)",$M:$M,"&gt;0")&lt;&gt;1,"",SUMIFS($M:$M,$C:$C,$C2442,$D:$D,$D2442,$E:$E,"P0(후)"))</f>
        <v/>
      </c>
      <c r="S2442" s="31">
        <f>IF(N2442&lt;&gt;"OK","",P2442+(R2442-P2442)*(I2442-O2442)/(Q2442-O2442))</f>
        <v/>
      </c>
      <c r="T2442" s="31">
        <f>IF(OR(N2442&lt;&gt;"OK",NOT(ISNUMBER(M2442))),"",M2442-S2442)</f>
        <v/>
      </c>
      <c r="U2442" s="49">
        <f>IF(OR(NOT(ISNUMBER(T2442)),IF(ISNUMBER(H2442),H2442,G2442)=0),"",T2442/IF(ISNUMBER(H2442),H2442,G2442))</f>
        <v/>
      </c>
      <c r="V2442" s="49">
        <f>IF(ISNUMBER(U2442),ABS(U2442),"")</f>
        <v/>
      </c>
      <c r="W2442" s="49">
        <f>IF(OR($E2441&lt;&gt;"측정",$C2441&lt;&gt;$C2442,$D2441&lt;&gt;$D2442,NOT(ISNUMBER(M2442)),NOT(ISNUMBER(M2441)),(IF(ISNUMBER(H2442),H2442,G2442)-IF(ISNUMBER(H2441),H2441,G2441))=0),"",(M2442-M2441)/(IF(ISNUMBER(H2442),H2442,G2442)-IF(ISNUMBER(H2441),H2441,G2441)))</f>
        <v/>
      </c>
      <c r="X2442" s="31">
        <f>IF(NOT(AND(ISNUMBER(O2442),ISNUMBER(Q2442))),"",(Q2442-O2442)*1440)</f>
        <v/>
      </c>
      <c r="Y2442" s="29" t="n"/>
      <c r="Z2442" s="29" t="n"/>
      <c r="AA2442" s="29" t="n"/>
      <c r="AB2442" s="32" t="n"/>
      <c r="AC2442" s="32" t="n"/>
    </row>
    <row r="2443">
      <c r="A2443" s="26" t="inlineStr">
        <is>
          <t>S47</t>
        </is>
      </c>
      <c r="B2443" s="26" t="inlineStr">
        <is>
          <t>봉평</t>
        </is>
      </c>
      <c r="C2443" s="26" t="inlineStr">
        <is>
          <t>S47-H북</t>
        </is>
      </c>
      <c r="D2443" s="47" t="n">
        <v>1</v>
      </c>
      <c r="E2443" s="26" t="inlineStr">
        <is>
          <t>측정</t>
        </is>
      </c>
      <c r="F2443" s="26" t="inlineStr">
        <is>
          <t>북</t>
        </is>
      </c>
      <c r="G2443" s="31" t="n">
        <v>5</v>
      </c>
      <c r="H2443" s="30" t="n"/>
      <c r="I2443" s="43" t="n"/>
      <c r="J2443" s="41" t="n"/>
      <c r="K2443" s="41" t="n"/>
      <c r="L2443" s="41" t="n"/>
      <c r="M2443" s="31">
        <f>IF(COUNT(J2443:L2443)=0,"",MEDIAN(J2443:L2443))</f>
        <v/>
      </c>
      <c r="N2443" s="26">
        <f>IF(COUNTIFS($C:$C,$C2443,$D:$D,$D2443,$E:$E,"P0(전)",$M:$M,"&gt;0")&lt;&gt;1,"P0(전) 유효 1개 아님",IF(COUNTIFS($C:$C,$C2443,$D:$D,$D2443,$E:$E,"P0(후)",$M:$M,"&gt;0")&lt;&gt;1,"P0(후) 유효 1개 아님",IF(NOT(AND(ISNUMBER(O2443),ISNUMBER(Q2443),ISNUMBER(I2443))),"시각 결측",IF(Q2443&lt;=O2443,"P0 시각 역전",IF(OR(I2443&lt;O2443,I2443&gt;Q2443),"측정시각 구간 밖","OK")))))</f>
        <v/>
      </c>
      <c r="O2443" s="48">
        <f>IF(COUNTIFS($C:$C,$C2443,$D:$D,$D2443,$E:$E,"P0(전)",$M:$M,"&gt;0")&lt;&gt;1,"",SUMIFS($I:$I,$C:$C,$C2443,$D:$D,$D2443,$E:$E,"P0(전)"))</f>
        <v/>
      </c>
      <c r="P2443" s="31">
        <f>IF(COUNTIFS($C:$C,$C2443,$D:$D,$D2443,$E:$E,"P0(전)",$M:$M,"&gt;0")&lt;&gt;1,"",SUMIFS($M:$M,$C:$C,$C2443,$D:$D,$D2443,$E:$E,"P0(전)"))</f>
        <v/>
      </c>
      <c r="Q2443" s="48">
        <f>IF(COUNTIFS($C:$C,$C2443,$D:$D,$D2443,$E:$E,"P0(후)",$M:$M,"&gt;0")&lt;&gt;1,"",SUMIFS($I:$I,$C:$C,$C2443,$D:$D,$D2443,$E:$E,"P0(후)"))</f>
        <v/>
      </c>
      <c r="R2443" s="31">
        <f>IF(COUNTIFS($C:$C,$C2443,$D:$D,$D2443,$E:$E,"P0(후)",$M:$M,"&gt;0")&lt;&gt;1,"",SUMIFS($M:$M,$C:$C,$C2443,$D:$D,$D2443,$E:$E,"P0(후)"))</f>
        <v/>
      </c>
      <c r="S2443" s="31">
        <f>IF(N2443&lt;&gt;"OK","",P2443+(R2443-P2443)*(I2443-O2443)/(Q2443-O2443))</f>
        <v/>
      </c>
      <c r="T2443" s="31">
        <f>IF(OR(N2443&lt;&gt;"OK",NOT(ISNUMBER(M2443))),"",M2443-S2443)</f>
        <v/>
      </c>
      <c r="U2443" s="49">
        <f>IF(OR(NOT(ISNUMBER(T2443)),IF(ISNUMBER(H2443),H2443,G2443)=0),"",T2443/IF(ISNUMBER(H2443),H2443,G2443))</f>
        <v/>
      </c>
      <c r="V2443" s="49">
        <f>IF(ISNUMBER(U2443),ABS(U2443),"")</f>
        <v/>
      </c>
      <c r="W2443" s="49">
        <f>IF(OR($E2442&lt;&gt;"측정",$C2442&lt;&gt;$C2443,$D2442&lt;&gt;$D2443,NOT(ISNUMBER(M2443)),NOT(ISNUMBER(M2442)),(IF(ISNUMBER(H2443),H2443,G2443)-IF(ISNUMBER(H2442),H2442,G2442))=0),"",(M2443-M2442)/(IF(ISNUMBER(H2443),H2443,G2443)-IF(ISNUMBER(H2442),H2442,G2442)))</f>
        <v/>
      </c>
      <c r="X2443" s="31">
        <f>IF(NOT(AND(ISNUMBER(O2443),ISNUMBER(Q2443))),"",(Q2443-O2443)*1440)</f>
        <v/>
      </c>
      <c r="Y2443" s="29" t="n"/>
      <c r="Z2443" s="29" t="n"/>
      <c r="AA2443" s="29" t="n"/>
      <c r="AB2443" s="32" t="n"/>
      <c r="AC2443" s="32" t="n"/>
    </row>
    <row r="2444">
      <c r="A2444" s="26" t="inlineStr">
        <is>
          <t>S47</t>
        </is>
      </c>
      <c r="B2444" s="26" t="inlineStr">
        <is>
          <t>봉평</t>
        </is>
      </c>
      <c r="C2444" s="26" t="inlineStr">
        <is>
          <t>S47-H북</t>
        </is>
      </c>
      <c r="D2444" s="47" t="n">
        <v>1</v>
      </c>
      <c r="E2444" s="26" t="inlineStr">
        <is>
          <t>측정</t>
        </is>
      </c>
      <c r="F2444" s="26" t="inlineStr">
        <is>
          <t>북</t>
        </is>
      </c>
      <c r="G2444" s="31" t="n">
        <v>6</v>
      </c>
      <c r="H2444" s="30" t="n"/>
      <c r="I2444" s="43" t="n"/>
      <c r="J2444" s="41" t="n"/>
      <c r="K2444" s="41" t="n"/>
      <c r="L2444" s="41" t="n"/>
      <c r="M2444" s="31">
        <f>IF(COUNT(J2444:L2444)=0,"",MEDIAN(J2444:L2444))</f>
        <v/>
      </c>
      <c r="N2444" s="26">
        <f>IF(COUNTIFS($C:$C,$C2444,$D:$D,$D2444,$E:$E,"P0(전)",$M:$M,"&gt;0")&lt;&gt;1,"P0(전) 유효 1개 아님",IF(COUNTIFS($C:$C,$C2444,$D:$D,$D2444,$E:$E,"P0(후)",$M:$M,"&gt;0")&lt;&gt;1,"P0(후) 유효 1개 아님",IF(NOT(AND(ISNUMBER(O2444),ISNUMBER(Q2444),ISNUMBER(I2444))),"시각 결측",IF(Q2444&lt;=O2444,"P0 시각 역전",IF(OR(I2444&lt;O2444,I2444&gt;Q2444),"측정시각 구간 밖","OK")))))</f>
        <v/>
      </c>
      <c r="O2444" s="48">
        <f>IF(COUNTIFS($C:$C,$C2444,$D:$D,$D2444,$E:$E,"P0(전)",$M:$M,"&gt;0")&lt;&gt;1,"",SUMIFS($I:$I,$C:$C,$C2444,$D:$D,$D2444,$E:$E,"P0(전)"))</f>
        <v/>
      </c>
      <c r="P2444" s="31">
        <f>IF(COUNTIFS($C:$C,$C2444,$D:$D,$D2444,$E:$E,"P0(전)",$M:$M,"&gt;0")&lt;&gt;1,"",SUMIFS($M:$M,$C:$C,$C2444,$D:$D,$D2444,$E:$E,"P0(전)"))</f>
        <v/>
      </c>
      <c r="Q2444" s="48">
        <f>IF(COUNTIFS($C:$C,$C2444,$D:$D,$D2444,$E:$E,"P0(후)",$M:$M,"&gt;0")&lt;&gt;1,"",SUMIFS($I:$I,$C:$C,$C2444,$D:$D,$D2444,$E:$E,"P0(후)"))</f>
        <v/>
      </c>
      <c r="R2444" s="31">
        <f>IF(COUNTIFS($C:$C,$C2444,$D:$D,$D2444,$E:$E,"P0(후)",$M:$M,"&gt;0")&lt;&gt;1,"",SUMIFS($M:$M,$C:$C,$C2444,$D:$D,$D2444,$E:$E,"P0(후)"))</f>
        <v/>
      </c>
      <c r="S2444" s="31">
        <f>IF(N2444&lt;&gt;"OK","",P2444+(R2444-P2444)*(I2444-O2444)/(Q2444-O2444))</f>
        <v/>
      </c>
      <c r="T2444" s="31">
        <f>IF(OR(N2444&lt;&gt;"OK",NOT(ISNUMBER(M2444))),"",M2444-S2444)</f>
        <v/>
      </c>
      <c r="U2444" s="49">
        <f>IF(OR(NOT(ISNUMBER(T2444)),IF(ISNUMBER(H2444),H2444,G2444)=0),"",T2444/IF(ISNUMBER(H2444),H2444,G2444))</f>
        <v/>
      </c>
      <c r="V2444" s="49">
        <f>IF(ISNUMBER(U2444),ABS(U2444),"")</f>
        <v/>
      </c>
      <c r="W2444" s="49">
        <f>IF(OR($E2443&lt;&gt;"측정",$C2443&lt;&gt;$C2444,$D2443&lt;&gt;$D2444,NOT(ISNUMBER(M2444)),NOT(ISNUMBER(M2443)),(IF(ISNUMBER(H2444),H2444,G2444)-IF(ISNUMBER(H2443),H2443,G2443))=0),"",(M2444-M2443)/(IF(ISNUMBER(H2444),H2444,G2444)-IF(ISNUMBER(H2443),H2443,G2443)))</f>
        <v/>
      </c>
      <c r="X2444" s="31">
        <f>IF(NOT(AND(ISNUMBER(O2444),ISNUMBER(Q2444))),"",(Q2444-O2444)*1440)</f>
        <v/>
      </c>
      <c r="Y2444" s="29" t="n"/>
      <c r="Z2444" s="29" t="n"/>
      <c r="AA2444" s="29" t="n"/>
      <c r="AB2444" s="32" t="n"/>
      <c r="AC2444" s="32" t="n"/>
    </row>
    <row r="2445">
      <c r="A2445" s="26" t="inlineStr">
        <is>
          <t>S47</t>
        </is>
      </c>
      <c r="B2445" s="26" t="inlineStr">
        <is>
          <t>봉평</t>
        </is>
      </c>
      <c r="C2445" s="26" t="inlineStr">
        <is>
          <t>S47-H북</t>
        </is>
      </c>
      <c r="D2445" s="47" t="n">
        <v>1</v>
      </c>
      <c r="E2445" s="26" t="inlineStr">
        <is>
          <t>측정</t>
        </is>
      </c>
      <c r="F2445" s="26" t="inlineStr">
        <is>
          <t>북</t>
        </is>
      </c>
      <c r="G2445" s="31" t="n">
        <v>7</v>
      </c>
      <c r="H2445" s="30" t="n"/>
      <c r="I2445" s="43" t="n"/>
      <c r="J2445" s="41" t="n"/>
      <c r="K2445" s="41" t="n"/>
      <c r="L2445" s="41" t="n"/>
      <c r="M2445" s="31">
        <f>IF(COUNT(J2445:L2445)=0,"",MEDIAN(J2445:L2445))</f>
        <v/>
      </c>
      <c r="N2445" s="26">
        <f>IF(COUNTIFS($C:$C,$C2445,$D:$D,$D2445,$E:$E,"P0(전)",$M:$M,"&gt;0")&lt;&gt;1,"P0(전) 유효 1개 아님",IF(COUNTIFS($C:$C,$C2445,$D:$D,$D2445,$E:$E,"P0(후)",$M:$M,"&gt;0")&lt;&gt;1,"P0(후) 유효 1개 아님",IF(NOT(AND(ISNUMBER(O2445),ISNUMBER(Q2445),ISNUMBER(I2445))),"시각 결측",IF(Q2445&lt;=O2445,"P0 시각 역전",IF(OR(I2445&lt;O2445,I2445&gt;Q2445),"측정시각 구간 밖","OK")))))</f>
        <v/>
      </c>
      <c r="O2445" s="48">
        <f>IF(COUNTIFS($C:$C,$C2445,$D:$D,$D2445,$E:$E,"P0(전)",$M:$M,"&gt;0")&lt;&gt;1,"",SUMIFS($I:$I,$C:$C,$C2445,$D:$D,$D2445,$E:$E,"P0(전)"))</f>
        <v/>
      </c>
      <c r="P2445" s="31">
        <f>IF(COUNTIFS($C:$C,$C2445,$D:$D,$D2445,$E:$E,"P0(전)",$M:$M,"&gt;0")&lt;&gt;1,"",SUMIFS($M:$M,$C:$C,$C2445,$D:$D,$D2445,$E:$E,"P0(전)"))</f>
        <v/>
      </c>
      <c r="Q2445" s="48">
        <f>IF(COUNTIFS($C:$C,$C2445,$D:$D,$D2445,$E:$E,"P0(후)",$M:$M,"&gt;0")&lt;&gt;1,"",SUMIFS($I:$I,$C:$C,$C2445,$D:$D,$D2445,$E:$E,"P0(후)"))</f>
        <v/>
      </c>
      <c r="R2445" s="31">
        <f>IF(COUNTIFS($C:$C,$C2445,$D:$D,$D2445,$E:$E,"P0(후)",$M:$M,"&gt;0")&lt;&gt;1,"",SUMIFS($M:$M,$C:$C,$C2445,$D:$D,$D2445,$E:$E,"P0(후)"))</f>
        <v/>
      </c>
      <c r="S2445" s="31">
        <f>IF(N2445&lt;&gt;"OK","",P2445+(R2445-P2445)*(I2445-O2445)/(Q2445-O2445))</f>
        <v/>
      </c>
      <c r="T2445" s="31">
        <f>IF(OR(N2445&lt;&gt;"OK",NOT(ISNUMBER(M2445))),"",M2445-S2445)</f>
        <v/>
      </c>
      <c r="U2445" s="49">
        <f>IF(OR(NOT(ISNUMBER(T2445)),IF(ISNUMBER(H2445),H2445,G2445)=0),"",T2445/IF(ISNUMBER(H2445),H2445,G2445))</f>
        <v/>
      </c>
      <c r="V2445" s="49">
        <f>IF(ISNUMBER(U2445),ABS(U2445),"")</f>
        <v/>
      </c>
      <c r="W2445" s="49">
        <f>IF(OR($E2444&lt;&gt;"측정",$C2444&lt;&gt;$C2445,$D2444&lt;&gt;$D2445,NOT(ISNUMBER(M2445)),NOT(ISNUMBER(M2444)),(IF(ISNUMBER(H2445),H2445,G2445)-IF(ISNUMBER(H2444),H2444,G2444))=0),"",(M2445-M2444)/(IF(ISNUMBER(H2445),H2445,G2445)-IF(ISNUMBER(H2444),H2444,G2444)))</f>
        <v/>
      </c>
      <c r="X2445" s="31">
        <f>IF(NOT(AND(ISNUMBER(O2445),ISNUMBER(Q2445))),"",(Q2445-O2445)*1440)</f>
        <v/>
      </c>
      <c r="Y2445" s="29" t="n"/>
      <c r="Z2445" s="29" t="n"/>
      <c r="AA2445" s="29" t="n"/>
      <c r="AB2445" s="32" t="n"/>
      <c r="AC2445" s="32" t="n"/>
    </row>
    <row r="2446">
      <c r="A2446" s="26" t="inlineStr">
        <is>
          <t>S47</t>
        </is>
      </c>
      <c r="B2446" s="26" t="inlineStr">
        <is>
          <t>봉평</t>
        </is>
      </c>
      <c r="C2446" s="26" t="inlineStr">
        <is>
          <t>S47-H북</t>
        </is>
      </c>
      <c r="D2446" s="47" t="n">
        <v>1</v>
      </c>
      <c r="E2446" s="26" t="inlineStr">
        <is>
          <t>측정</t>
        </is>
      </c>
      <c r="F2446" s="26" t="inlineStr">
        <is>
          <t>북</t>
        </is>
      </c>
      <c r="G2446" s="31" t="n">
        <v>8</v>
      </c>
      <c r="H2446" s="30" t="n"/>
      <c r="I2446" s="43" t="n"/>
      <c r="J2446" s="41" t="n"/>
      <c r="K2446" s="41" t="n"/>
      <c r="L2446" s="41" t="n"/>
      <c r="M2446" s="31">
        <f>IF(COUNT(J2446:L2446)=0,"",MEDIAN(J2446:L2446))</f>
        <v/>
      </c>
      <c r="N2446" s="26">
        <f>IF(COUNTIFS($C:$C,$C2446,$D:$D,$D2446,$E:$E,"P0(전)",$M:$M,"&gt;0")&lt;&gt;1,"P0(전) 유효 1개 아님",IF(COUNTIFS($C:$C,$C2446,$D:$D,$D2446,$E:$E,"P0(후)",$M:$M,"&gt;0")&lt;&gt;1,"P0(후) 유효 1개 아님",IF(NOT(AND(ISNUMBER(O2446),ISNUMBER(Q2446),ISNUMBER(I2446))),"시각 결측",IF(Q2446&lt;=O2446,"P0 시각 역전",IF(OR(I2446&lt;O2446,I2446&gt;Q2446),"측정시각 구간 밖","OK")))))</f>
        <v/>
      </c>
      <c r="O2446" s="48">
        <f>IF(COUNTIFS($C:$C,$C2446,$D:$D,$D2446,$E:$E,"P0(전)",$M:$M,"&gt;0")&lt;&gt;1,"",SUMIFS($I:$I,$C:$C,$C2446,$D:$D,$D2446,$E:$E,"P0(전)"))</f>
        <v/>
      </c>
      <c r="P2446" s="31">
        <f>IF(COUNTIFS($C:$C,$C2446,$D:$D,$D2446,$E:$E,"P0(전)",$M:$M,"&gt;0")&lt;&gt;1,"",SUMIFS($M:$M,$C:$C,$C2446,$D:$D,$D2446,$E:$E,"P0(전)"))</f>
        <v/>
      </c>
      <c r="Q2446" s="48">
        <f>IF(COUNTIFS($C:$C,$C2446,$D:$D,$D2446,$E:$E,"P0(후)",$M:$M,"&gt;0")&lt;&gt;1,"",SUMIFS($I:$I,$C:$C,$C2446,$D:$D,$D2446,$E:$E,"P0(후)"))</f>
        <v/>
      </c>
      <c r="R2446" s="31">
        <f>IF(COUNTIFS($C:$C,$C2446,$D:$D,$D2446,$E:$E,"P0(후)",$M:$M,"&gt;0")&lt;&gt;1,"",SUMIFS($M:$M,$C:$C,$C2446,$D:$D,$D2446,$E:$E,"P0(후)"))</f>
        <v/>
      </c>
      <c r="S2446" s="31">
        <f>IF(N2446&lt;&gt;"OK","",P2446+(R2446-P2446)*(I2446-O2446)/(Q2446-O2446))</f>
        <v/>
      </c>
      <c r="T2446" s="31">
        <f>IF(OR(N2446&lt;&gt;"OK",NOT(ISNUMBER(M2446))),"",M2446-S2446)</f>
        <v/>
      </c>
      <c r="U2446" s="49">
        <f>IF(OR(NOT(ISNUMBER(T2446)),IF(ISNUMBER(H2446),H2446,G2446)=0),"",T2446/IF(ISNUMBER(H2446),H2446,G2446))</f>
        <v/>
      </c>
      <c r="V2446" s="49">
        <f>IF(ISNUMBER(U2446),ABS(U2446),"")</f>
        <v/>
      </c>
      <c r="W2446" s="49">
        <f>IF(OR($E2445&lt;&gt;"측정",$C2445&lt;&gt;$C2446,$D2445&lt;&gt;$D2446,NOT(ISNUMBER(M2446)),NOT(ISNUMBER(M2445)),(IF(ISNUMBER(H2446),H2446,G2446)-IF(ISNUMBER(H2445),H2445,G2445))=0),"",(M2446-M2445)/(IF(ISNUMBER(H2446),H2446,G2446)-IF(ISNUMBER(H2445),H2445,G2445)))</f>
        <v/>
      </c>
      <c r="X2446" s="31">
        <f>IF(NOT(AND(ISNUMBER(O2446),ISNUMBER(Q2446))),"",(Q2446-O2446)*1440)</f>
        <v/>
      </c>
      <c r="Y2446" s="29" t="n"/>
      <c r="Z2446" s="29" t="n"/>
      <c r="AA2446" s="29" t="n"/>
      <c r="AB2446" s="32" t="n"/>
      <c r="AC2446" s="32" t="n"/>
    </row>
    <row r="2447">
      <c r="A2447" s="26" t="inlineStr">
        <is>
          <t>S47</t>
        </is>
      </c>
      <c r="B2447" s="26" t="inlineStr">
        <is>
          <t>봉평</t>
        </is>
      </c>
      <c r="C2447" s="26" t="inlineStr">
        <is>
          <t>S47-H북</t>
        </is>
      </c>
      <c r="D2447" s="47" t="n">
        <v>1</v>
      </c>
      <c r="E2447" s="26" t="inlineStr">
        <is>
          <t>측정</t>
        </is>
      </c>
      <c r="F2447" s="26" t="inlineStr">
        <is>
          <t>북</t>
        </is>
      </c>
      <c r="G2447" s="31" t="n">
        <v>9</v>
      </c>
      <c r="H2447" s="30" t="n"/>
      <c r="I2447" s="43" t="n"/>
      <c r="J2447" s="41" t="n"/>
      <c r="K2447" s="41" t="n"/>
      <c r="L2447" s="41" t="n"/>
      <c r="M2447" s="31">
        <f>IF(COUNT(J2447:L2447)=0,"",MEDIAN(J2447:L2447))</f>
        <v/>
      </c>
      <c r="N2447" s="26">
        <f>IF(COUNTIFS($C:$C,$C2447,$D:$D,$D2447,$E:$E,"P0(전)",$M:$M,"&gt;0")&lt;&gt;1,"P0(전) 유효 1개 아님",IF(COUNTIFS($C:$C,$C2447,$D:$D,$D2447,$E:$E,"P0(후)",$M:$M,"&gt;0")&lt;&gt;1,"P0(후) 유효 1개 아님",IF(NOT(AND(ISNUMBER(O2447),ISNUMBER(Q2447),ISNUMBER(I2447))),"시각 결측",IF(Q2447&lt;=O2447,"P0 시각 역전",IF(OR(I2447&lt;O2447,I2447&gt;Q2447),"측정시각 구간 밖","OK")))))</f>
        <v/>
      </c>
      <c r="O2447" s="48">
        <f>IF(COUNTIFS($C:$C,$C2447,$D:$D,$D2447,$E:$E,"P0(전)",$M:$M,"&gt;0")&lt;&gt;1,"",SUMIFS($I:$I,$C:$C,$C2447,$D:$D,$D2447,$E:$E,"P0(전)"))</f>
        <v/>
      </c>
      <c r="P2447" s="31">
        <f>IF(COUNTIFS($C:$C,$C2447,$D:$D,$D2447,$E:$E,"P0(전)",$M:$M,"&gt;0")&lt;&gt;1,"",SUMIFS($M:$M,$C:$C,$C2447,$D:$D,$D2447,$E:$E,"P0(전)"))</f>
        <v/>
      </c>
      <c r="Q2447" s="48">
        <f>IF(COUNTIFS($C:$C,$C2447,$D:$D,$D2447,$E:$E,"P0(후)",$M:$M,"&gt;0")&lt;&gt;1,"",SUMIFS($I:$I,$C:$C,$C2447,$D:$D,$D2447,$E:$E,"P0(후)"))</f>
        <v/>
      </c>
      <c r="R2447" s="31">
        <f>IF(COUNTIFS($C:$C,$C2447,$D:$D,$D2447,$E:$E,"P0(후)",$M:$M,"&gt;0")&lt;&gt;1,"",SUMIFS($M:$M,$C:$C,$C2447,$D:$D,$D2447,$E:$E,"P0(후)"))</f>
        <v/>
      </c>
      <c r="S2447" s="31">
        <f>IF(N2447&lt;&gt;"OK","",P2447+(R2447-P2447)*(I2447-O2447)/(Q2447-O2447))</f>
        <v/>
      </c>
      <c r="T2447" s="31">
        <f>IF(OR(N2447&lt;&gt;"OK",NOT(ISNUMBER(M2447))),"",M2447-S2447)</f>
        <v/>
      </c>
      <c r="U2447" s="49">
        <f>IF(OR(NOT(ISNUMBER(T2447)),IF(ISNUMBER(H2447),H2447,G2447)=0),"",T2447/IF(ISNUMBER(H2447),H2447,G2447))</f>
        <v/>
      </c>
      <c r="V2447" s="49">
        <f>IF(ISNUMBER(U2447),ABS(U2447),"")</f>
        <v/>
      </c>
      <c r="W2447" s="49">
        <f>IF(OR($E2446&lt;&gt;"측정",$C2446&lt;&gt;$C2447,$D2446&lt;&gt;$D2447,NOT(ISNUMBER(M2447)),NOT(ISNUMBER(M2446)),(IF(ISNUMBER(H2447),H2447,G2447)-IF(ISNUMBER(H2446),H2446,G2446))=0),"",(M2447-M2446)/(IF(ISNUMBER(H2447),H2447,G2447)-IF(ISNUMBER(H2446),H2446,G2446)))</f>
        <v/>
      </c>
      <c r="X2447" s="31">
        <f>IF(NOT(AND(ISNUMBER(O2447),ISNUMBER(Q2447))),"",(Q2447-O2447)*1440)</f>
        <v/>
      </c>
      <c r="Y2447" s="29" t="n"/>
      <c r="Z2447" s="29" t="n"/>
      <c r="AA2447" s="29" t="n"/>
      <c r="AB2447" s="32" t="n"/>
      <c r="AC2447" s="32" t="n"/>
    </row>
    <row r="2448">
      <c r="A2448" s="26" t="inlineStr">
        <is>
          <t>S47</t>
        </is>
      </c>
      <c r="B2448" s="26" t="inlineStr">
        <is>
          <t>봉평</t>
        </is>
      </c>
      <c r="C2448" s="26" t="inlineStr">
        <is>
          <t>S47-H북</t>
        </is>
      </c>
      <c r="D2448" s="47" t="n">
        <v>1</v>
      </c>
      <c r="E2448" s="26" t="inlineStr">
        <is>
          <t>측정</t>
        </is>
      </c>
      <c r="F2448" s="26" t="inlineStr">
        <is>
          <t>북</t>
        </is>
      </c>
      <c r="G2448" s="31" t="n">
        <v>10</v>
      </c>
      <c r="H2448" s="30" t="n"/>
      <c r="I2448" s="43" t="n"/>
      <c r="J2448" s="41" t="n"/>
      <c r="K2448" s="41" t="n"/>
      <c r="L2448" s="41" t="n"/>
      <c r="M2448" s="31">
        <f>IF(COUNT(J2448:L2448)=0,"",MEDIAN(J2448:L2448))</f>
        <v/>
      </c>
      <c r="N2448" s="26">
        <f>IF(COUNTIFS($C:$C,$C2448,$D:$D,$D2448,$E:$E,"P0(전)",$M:$M,"&gt;0")&lt;&gt;1,"P0(전) 유효 1개 아님",IF(COUNTIFS($C:$C,$C2448,$D:$D,$D2448,$E:$E,"P0(후)",$M:$M,"&gt;0")&lt;&gt;1,"P0(후) 유효 1개 아님",IF(NOT(AND(ISNUMBER(O2448),ISNUMBER(Q2448),ISNUMBER(I2448))),"시각 결측",IF(Q2448&lt;=O2448,"P0 시각 역전",IF(OR(I2448&lt;O2448,I2448&gt;Q2448),"측정시각 구간 밖","OK")))))</f>
        <v/>
      </c>
      <c r="O2448" s="48">
        <f>IF(COUNTIFS($C:$C,$C2448,$D:$D,$D2448,$E:$E,"P0(전)",$M:$M,"&gt;0")&lt;&gt;1,"",SUMIFS($I:$I,$C:$C,$C2448,$D:$D,$D2448,$E:$E,"P0(전)"))</f>
        <v/>
      </c>
      <c r="P2448" s="31">
        <f>IF(COUNTIFS($C:$C,$C2448,$D:$D,$D2448,$E:$E,"P0(전)",$M:$M,"&gt;0")&lt;&gt;1,"",SUMIFS($M:$M,$C:$C,$C2448,$D:$D,$D2448,$E:$E,"P0(전)"))</f>
        <v/>
      </c>
      <c r="Q2448" s="48">
        <f>IF(COUNTIFS($C:$C,$C2448,$D:$D,$D2448,$E:$E,"P0(후)",$M:$M,"&gt;0")&lt;&gt;1,"",SUMIFS($I:$I,$C:$C,$C2448,$D:$D,$D2448,$E:$E,"P0(후)"))</f>
        <v/>
      </c>
      <c r="R2448" s="31">
        <f>IF(COUNTIFS($C:$C,$C2448,$D:$D,$D2448,$E:$E,"P0(후)",$M:$M,"&gt;0")&lt;&gt;1,"",SUMIFS($M:$M,$C:$C,$C2448,$D:$D,$D2448,$E:$E,"P0(후)"))</f>
        <v/>
      </c>
      <c r="S2448" s="31">
        <f>IF(N2448&lt;&gt;"OK","",P2448+(R2448-P2448)*(I2448-O2448)/(Q2448-O2448))</f>
        <v/>
      </c>
      <c r="T2448" s="31">
        <f>IF(OR(N2448&lt;&gt;"OK",NOT(ISNUMBER(M2448))),"",M2448-S2448)</f>
        <v/>
      </c>
      <c r="U2448" s="49">
        <f>IF(OR(NOT(ISNUMBER(T2448)),IF(ISNUMBER(H2448),H2448,G2448)=0),"",T2448/IF(ISNUMBER(H2448),H2448,G2448))</f>
        <v/>
      </c>
      <c r="V2448" s="49">
        <f>IF(ISNUMBER(U2448),ABS(U2448),"")</f>
        <v/>
      </c>
      <c r="W2448" s="49">
        <f>IF(OR($E2447&lt;&gt;"측정",$C2447&lt;&gt;$C2448,$D2447&lt;&gt;$D2448,NOT(ISNUMBER(M2448)),NOT(ISNUMBER(M2447)),(IF(ISNUMBER(H2448),H2448,G2448)-IF(ISNUMBER(H2447),H2447,G2447))=0),"",(M2448-M2447)/(IF(ISNUMBER(H2448),H2448,G2448)-IF(ISNUMBER(H2447),H2447,G2447)))</f>
        <v/>
      </c>
      <c r="X2448" s="31">
        <f>IF(NOT(AND(ISNUMBER(O2448),ISNUMBER(Q2448))),"",(Q2448-O2448)*1440)</f>
        <v/>
      </c>
      <c r="Y2448" s="29" t="n"/>
      <c r="Z2448" s="29" t="n"/>
      <c r="AA2448" s="29" t="n"/>
      <c r="AB2448" s="32" t="n"/>
      <c r="AC2448" s="32" t="n"/>
    </row>
    <row r="2449">
      <c r="A2449" s="44" t="inlineStr">
        <is>
          <t>S47</t>
        </is>
      </c>
      <c r="B2449" s="44" t="inlineStr">
        <is>
          <t>봉평</t>
        </is>
      </c>
      <c r="C2449" s="44" t="inlineStr">
        <is>
          <t>S47-H북</t>
        </is>
      </c>
      <c r="D2449" s="45" t="n">
        <v>1</v>
      </c>
      <c r="E2449" s="44" t="inlineStr">
        <is>
          <t>P0(후)</t>
        </is>
      </c>
      <c r="F2449" s="44" t="inlineStr">
        <is>
          <t>북</t>
        </is>
      </c>
      <c r="G2449" s="46" t="n"/>
      <c r="H2449" s="30" t="n"/>
      <c r="I2449" s="43" t="n"/>
      <c r="J2449" s="41" t="n"/>
      <c r="K2449" s="41" t="n"/>
      <c r="L2449" s="41" t="n"/>
      <c r="M2449" s="31">
        <f>IF(COUNT(J2449:L2449)=0,"",MEDIAN(J2449:L2449))</f>
        <v/>
      </c>
      <c r="N2449" s="38" t="n"/>
      <c r="O2449" s="38" t="n"/>
      <c r="P2449" s="38" t="n"/>
      <c r="Q2449" s="38" t="n"/>
      <c r="R2449" s="38" t="n"/>
      <c r="S2449" s="38" t="n"/>
      <c r="T2449" s="38" t="n"/>
      <c r="U2449" s="38" t="n"/>
      <c r="V2449" s="38" t="n"/>
      <c r="W2449" s="38" t="n"/>
      <c r="X2449" s="38" t="n"/>
      <c r="Y2449" s="29" t="n"/>
      <c r="Z2449" s="29" t="n"/>
      <c r="AA2449" s="29" t="n"/>
      <c r="AB2449" s="32" t="n"/>
      <c r="AC2449" s="32" t="n"/>
    </row>
    <row r="2450">
      <c r="A2450" s="44" t="inlineStr">
        <is>
          <t>S48</t>
        </is>
      </c>
      <c r="B2450" s="44" t="inlineStr">
        <is>
          <t>삼척</t>
        </is>
      </c>
      <c r="C2450" s="44" t="inlineStr">
        <is>
          <t>S48-H동</t>
        </is>
      </c>
      <c r="D2450" s="45" t="n">
        <v>1</v>
      </c>
      <c r="E2450" s="44" t="inlineStr">
        <is>
          <t>P0(전)</t>
        </is>
      </c>
      <c r="F2450" s="44" t="inlineStr">
        <is>
          <t>동</t>
        </is>
      </c>
      <c r="G2450" s="46" t="n"/>
      <c r="H2450" s="30" t="n"/>
      <c r="I2450" s="43" t="n"/>
      <c r="J2450" s="41" t="n"/>
      <c r="K2450" s="41" t="n"/>
      <c r="L2450" s="41" t="n"/>
      <c r="M2450" s="31">
        <f>IF(COUNT(J2450:L2450)=0,"",MEDIAN(J2450:L2450))</f>
        <v/>
      </c>
      <c r="N2450" s="38" t="n"/>
      <c r="O2450" s="38" t="n"/>
      <c r="P2450" s="38" t="n"/>
      <c r="Q2450" s="38" t="n"/>
      <c r="R2450" s="38" t="n"/>
      <c r="S2450" s="38" t="n"/>
      <c r="T2450" s="38" t="n"/>
      <c r="U2450" s="38" t="n"/>
      <c r="V2450" s="38" t="n"/>
      <c r="W2450" s="38" t="n"/>
      <c r="X2450" s="38" t="n"/>
      <c r="Y2450" s="29" t="n"/>
      <c r="Z2450" s="29" t="n"/>
      <c r="AA2450" s="29" t="n"/>
      <c r="AB2450" s="32" t="n"/>
      <c r="AC2450" s="32" t="n"/>
    </row>
    <row r="2451">
      <c r="A2451" s="26" t="inlineStr">
        <is>
          <t>S48</t>
        </is>
      </c>
      <c r="B2451" s="26" t="inlineStr">
        <is>
          <t>삼척</t>
        </is>
      </c>
      <c r="C2451" s="26" t="inlineStr">
        <is>
          <t>S48-H동</t>
        </is>
      </c>
      <c r="D2451" s="47" t="n">
        <v>1</v>
      </c>
      <c r="E2451" s="26" t="inlineStr">
        <is>
          <t>측정</t>
        </is>
      </c>
      <c r="F2451" s="26" t="inlineStr">
        <is>
          <t>동</t>
        </is>
      </c>
      <c r="G2451" s="31" t="n">
        <v>0.5</v>
      </c>
      <c r="H2451" s="30" t="n"/>
      <c r="I2451" s="43" t="n"/>
      <c r="J2451" s="41" t="n"/>
      <c r="K2451" s="41" t="n"/>
      <c r="L2451" s="41" t="n"/>
      <c r="M2451" s="31">
        <f>IF(COUNT(J2451:L2451)=0,"",MEDIAN(J2451:L2451))</f>
        <v/>
      </c>
      <c r="N2451" s="26">
        <f>IF(COUNTIFS($C:$C,$C2451,$D:$D,$D2451,$E:$E,"P0(전)",$M:$M,"&gt;0")&lt;&gt;1,"P0(전) 유효 1개 아님",IF(COUNTIFS($C:$C,$C2451,$D:$D,$D2451,$E:$E,"P0(후)",$M:$M,"&gt;0")&lt;&gt;1,"P0(후) 유효 1개 아님",IF(NOT(AND(ISNUMBER(O2451),ISNUMBER(Q2451),ISNUMBER(I2451))),"시각 결측",IF(Q2451&lt;=O2451,"P0 시각 역전",IF(OR(I2451&lt;O2451,I2451&gt;Q2451),"측정시각 구간 밖","OK")))))</f>
        <v/>
      </c>
      <c r="O2451" s="48">
        <f>IF(COUNTIFS($C:$C,$C2451,$D:$D,$D2451,$E:$E,"P0(전)",$M:$M,"&gt;0")&lt;&gt;1,"",SUMIFS($I:$I,$C:$C,$C2451,$D:$D,$D2451,$E:$E,"P0(전)"))</f>
        <v/>
      </c>
      <c r="P2451" s="31">
        <f>IF(COUNTIFS($C:$C,$C2451,$D:$D,$D2451,$E:$E,"P0(전)",$M:$M,"&gt;0")&lt;&gt;1,"",SUMIFS($M:$M,$C:$C,$C2451,$D:$D,$D2451,$E:$E,"P0(전)"))</f>
        <v/>
      </c>
      <c r="Q2451" s="48">
        <f>IF(COUNTIFS($C:$C,$C2451,$D:$D,$D2451,$E:$E,"P0(후)",$M:$M,"&gt;0")&lt;&gt;1,"",SUMIFS($I:$I,$C:$C,$C2451,$D:$D,$D2451,$E:$E,"P0(후)"))</f>
        <v/>
      </c>
      <c r="R2451" s="31">
        <f>IF(COUNTIFS($C:$C,$C2451,$D:$D,$D2451,$E:$E,"P0(후)",$M:$M,"&gt;0")&lt;&gt;1,"",SUMIFS($M:$M,$C:$C,$C2451,$D:$D,$D2451,$E:$E,"P0(후)"))</f>
        <v/>
      </c>
      <c r="S2451" s="31">
        <f>IF(N2451&lt;&gt;"OK","",P2451+(R2451-P2451)*(I2451-O2451)/(Q2451-O2451))</f>
        <v/>
      </c>
      <c r="T2451" s="31">
        <f>IF(OR(N2451&lt;&gt;"OK",NOT(ISNUMBER(M2451))),"",M2451-S2451)</f>
        <v/>
      </c>
      <c r="U2451" s="49">
        <f>IF(OR(NOT(ISNUMBER(T2451)),IF(ISNUMBER(H2451),H2451,G2451)=0),"",T2451/IF(ISNUMBER(H2451),H2451,G2451))</f>
        <v/>
      </c>
      <c r="V2451" s="49">
        <f>IF(ISNUMBER(U2451),ABS(U2451),"")</f>
        <v/>
      </c>
      <c r="W2451" s="49">
        <f>IF(OR($E2450&lt;&gt;"측정",$C2450&lt;&gt;$C2451,$D2450&lt;&gt;$D2451,NOT(ISNUMBER(M2451)),NOT(ISNUMBER(M2450)),(IF(ISNUMBER(H2451),H2451,G2451)-IF(ISNUMBER(H2450),H2450,G2450))=0),"",(M2451-M2450)/(IF(ISNUMBER(H2451),H2451,G2451)-IF(ISNUMBER(H2450),H2450,G2450)))</f>
        <v/>
      </c>
      <c r="X2451" s="31">
        <f>IF(NOT(AND(ISNUMBER(O2451),ISNUMBER(Q2451))),"",(Q2451-O2451)*1440)</f>
        <v/>
      </c>
      <c r="Y2451" s="29" t="n"/>
      <c r="Z2451" s="29" t="n"/>
      <c r="AA2451" s="29" t="n"/>
      <c r="AB2451" s="32" t="n"/>
      <c r="AC2451" s="32" t="n"/>
    </row>
    <row r="2452">
      <c r="A2452" s="26" t="inlineStr">
        <is>
          <t>S48</t>
        </is>
      </c>
      <c r="B2452" s="26" t="inlineStr">
        <is>
          <t>삼척</t>
        </is>
      </c>
      <c r="C2452" s="26" t="inlineStr">
        <is>
          <t>S48-H동</t>
        </is>
      </c>
      <c r="D2452" s="47" t="n">
        <v>1</v>
      </c>
      <c r="E2452" s="26" t="inlineStr">
        <is>
          <t>측정</t>
        </is>
      </c>
      <c r="F2452" s="26" t="inlineStr">
        <is>
          <t>동</t>
        </is>
      </c>
      <c r="G2452" s="31" t="n">
        <v>1</v>
      </c>
      <c r="H2452" s="30" t="n"/>
      <c r="I2452" s="43" t="n"/>
      <c r="J2452" s="41" t="n"/>
      <c r="K2452" s="41" t="n"/>
      <c r="L2452" s="41" t="n"/>
      <c r="M2452" s="31">
        <f>IF(COUNT(J2452:L2452)=0,"",MEDIAN(J2452:L2452))</f>
        <v/>
      </c>
      <c r="N2452" s="26">
        <f>IF(COUNTIFS($C:$C,$C2452,$D:$D,$D2452,$E:$E,"P0(전)",$M:$M,"&gt;0")&lt;&gt;1,"P0(전) 유효 1개 아님",IF(COUNTIFS($C:$C,$C2452,$D:$D,$D2452,$E:$E,"P0(후)",$M:$M,"&gt;0")&lt;&gt;1,"P0(후) 유효 1개 아님",IF(NOT(AND(ISNUMBER(O2452),ISNUMBER(Q2452),ISNUMBER(I2452))),"시각 결측",IF(Q2452&lt;=O2452,"P0 시각 역전",IF(OR(I2452&lt;O2452,I2452&gt;Q2452),"측정시각 구간 밖","OK")))))</f>
        <v/>
      </c>
      <c r="O2452" s="48">
        <f>IF(COUNTIFS($C:$C,$C2452,$D:$D,$D2452,$E:$E,"P0(전)",$M:$M,"&gt;0")&lt;&gt;1,"",SUMIFS($I:$I,$C:$C,$C2452,$D:$D,$D2452,$E:$E,"P0(전)"))</f>
        <v/>
      </c>
      <c r="P2452" s="31">
        <f>IF(COUNTIFS($C:$C,$C2452,$D:$D,$D2452,$E:$E,"P0(전)",$M:$M,"&gt;0")&lt;&gt;1,"",SUMIFS($M:$M,$C:$C,$C2452,$D:$D,$D2452,$E:$E,"P0(전)"))</f>
        <v/>
      </c>
      <c r="Q2452" s="48">
        <f>IF(COUNTIFS($C:$C,$C2452,$D:$D,$D2452,$E:$E,"P0(후)",$M:$M,"&gt;0")&lt;&gt;1,"",SUMIFS($I:$I,$C:$C,$C2452,$D:$D,$D2452,$E:$E,"P0(후)"))</f>
        <v/>
      </c>
      <c r="R2452" s="31">
        <f>IF(COUNTIFS($C:$C,$C2452,$D:$D,$D2452,$E:$E,"P0(후)",$M:$M,"&gt;0")&lt;&gt;1,"",SUMIFS($M:$M,$C:$C,$C2452,$D:$D,$D2452,$E:$E,"P0(후)"))</f>
        <v/>
      </c>
      <c r="S2452" s="31">
        <f>IF(N2452&lt;&gt;"OK","",P2452+(R2452-P2452)*(I2452-O2452)/(Q2452-O2452))</f>
        <v/>
      </c>
      <c r="T2452" s="31">
        <f>IF(OR(N2452&lt;&gt;"OK",NOT(ISNUMBER(M2452))),"",M2452-S2452)</f>
        <v/>
      </c>
      <c r="U2452" s="49">
        <f>IF(OR(NOT(ISNUMBER(T2452)),IF(ISNUMBER(H2452),H2452,G2452)=0),"",T2452/IF(ISNUMBER(H2452),H2452,G2452))</f>
        <v/>
      </c>
      <c r="V2452" s="49">
        <f>IF(ISNUMBER(U2452),ABS(U2452),"")</f>
        <v/>
      </c>
      <c r="W2452" s="49">
        <f>IF(OR($E2451&lt;&gt;"측정",$C2451&lt;&gt;$C2452,$D2451&lt;&gt;$D2452,NOT(ISNUMBER(M2452)),NOT(ISNUMBER(M2451)),(IF(ISNUMBER(H2452),H2452,G2452)-IF(ISNUMBER(H2451),H2451,G2451))=0),"",(M2452-M2451)/(IF(ISNUMBER(H2452),H2452,G2452)-IF(ISNUMBER(H2451),H2451,G2451)))</f>
        <v/>
      </c>
      <c r="X2452" s="31">
        <f>IF(NOT(AND(ISNUMBER(O2452),ISNUMBER(Q2452))),"",(Q2452-O2452)*1440)</f>
        <v/>
      </c>
      <c r="Y2452" s="29" t="n"/>
      <c r="Z2452" s="29" t="n"/>
      <c r="AA2452" s="29" t="n"/>
      <c r="AB2452" s="32" t="n"/>
      <c r="AC2452" s="32" t="n"/>
    </row>
    <row r="2453">
      <c r="A2453" s="26" t="inlineStr">
        <is>
          <t>S48</t>
        </is>
      </c>
      <c r="B2453" s="26" t="inlineStr">
        <is>
          <t>삼척</t>
        </is>
      </c>
      <c r="C2453" s="26" t="inlineStr">
        <is>
          <t>S48-H동</t>
        </is>
      </c>
      <c r="D2453" s="47" t="n">
        <v>1</v>
      </c>
      <c r="E2453" s="26" t="inlineStr">
        <is>
          <t>측정</t>
        </is>
      </c>
      <c r="F2453" s="26" t="inlineStr">
        <is>
          <t>동</t>
        </is>
      </c>
      <c r="G2453" s="31" t="n">
        <v>2</v>
      </c>
      <c r="H2453" s="30" t="n"/>
      <c r="I2453" s="43" t="n"/>
      <c r="J2453" s="41" t="n"/>
      <c r="K2453" s="41" t="n"/>
      <c r="L2453" s="41" t="n"/>
      <c r="M2453" s="31">
        <f>IF(COUNT(J2453:L2453)=0,"",MEDIAN(J2453:L2453))</f>
        <v/>
      </c>
      <c r="N2453" s="26">
        <f>IF(COUNTIFS($C:$C,$C2453,$D:$D,$D2453,$E:$E,"P0(전)",$M:$M,"&gt;0")&lt;&gt;1,"P0(전) 유효 1개 아님",IF(COUNTIFS($C:$C,$C2453,$D:$D,$D2453,$E:$E,"P0(후)",$M:$M,"&gt;0")&lt;&gt;1,"P0(후) 유효 1개 아님",IF(NOT(AND(ISNUMBER(O2453),ISNUMBER(Q2453),ISNUMBER(I2453))),"시각 결측",IF(Q2453&lt;=O2453,"P0 시각 역전",IF(OR(I2453&lt;O2453,I2453&gt;Q2453),"측정시각 구간 밖","OK")))))</f>
        <v/>
      </c>
      <c r="O2453" s="48">
        <f>IF(COUNTIFS($C:$C,$C2453,$D:$D,$D2453,$E:$E,"P0(전)",$M:$M,"&gt;0")&lt;&gt;1,"",SUMIFS($I:$I,$C:$C,$C2453,$D:$D,$D2453,$E:$E,"P0(전)"))</f>
        <v/>
      </c>
      <c r="P2453" s="31">
        <f>IF(COUNTIFS($C:$C,$C2453,$D:$D,$D2453,$E:$E,"P0(전)",$M:$M,"&gt;0")&lt;&gt;1,"",SUMIFS($M:$M,$C:$C,$C2453,$D:$D,$D2453,$E:$E,"P0(전)"))</f>
        <v/>
      </c>
      <c r="Q2453" s="48">
        <f>IF(COUNTIFS($C:$C,$C2453,$D:$D,$D2453,$E:$E,"P0(후)",$M:$M,"&gt;0")&lt;&gt;1,"",SUMIFS($I:$I,$C:$C,$C2453,$D:$D,$D2453,$E:$E,"P0(후)"))</f>
        <v/>
      </c>
      <c r="R2453" s="31">
        <f>IF(COUNTIFS($C:$C,$C2453,$D:$D,$D2453,$E:$E,"P0(후)",$M:$M,"&gt;0")&lt;&gt;1,"",SUMIFS($M:$M,$C:$C,$C2453,$D:$D,$D2453,$E:$E,"P0(후)"))</f>
        <v/>
      </c>
      <c r="S2453" s="31">
        <f>IF(N2453&lt;&gt;"OK","",P2453+(R2453-P2453)*(I2453-O2453)/(Q2453-O2453))</f>
        <v/>
      </c>
      <c r="T2453" s="31">
        <f>IF(OR(N2453&lt;&gt;"OK",NOT(ISNUMBER(M2453))),"",M2453-S2453)</f>
        <v/>
      </c>
      <c r="U2453" s="49">
        <f>IF(OR(NOT(ISNUMBER(T2453)),IF(ISNUMBER(H2453),H2453,G2453)=0),"",T2453/IF(ISNUMBER(H2453),H2453,G2453))</f>
        <v/>
      </c>
      <c r="V2453" s="49">
        <f>IF(ISNUMBER(U2453),ABS(U2453),"")</f>
        <v/>
      </c>
      <c r="W2453" s="49">
        <f>IF(OR($E2452&lt;&gt;"측정",$C2452&lt;&gt;$C2453,$D2452&lt;&gt;$D2453,NOT(ISNUMBER(M2453)),NOT(ISNUMBER(M2452)),(IF(ISNUMBER(H2453),H2453,G2453)-IF(ISNUMBER(H2452),H2452,G2452))=0),"",(M2453-M2452)/(IF(ISNUMBER(H2453),H2453,G2453)-IF(ISNUMBER(H2452),H2452,G2452)))</f>
        <v/>
      </c>
      <c r="X2453" s="31">
        <f>IF(NOT(AND(ISNUMBER(O2453),ISNUMBER(Q2453))),"",(Q2453-O2453)*1440)</f>
        <v/>
      </c>
      <c r="Y2453" s="29" t="n"/>
      <c r="Z2453" s="29" t="n"/>
      <c r="AA2453" s="29" t="n"/>
      <c r="AB2453" s="32" t="n"/>
      <c r="AC2453" s="32" t="n"/>
    </row>
    <row r="2454">
      <c r="A2454" s="26" t="inlineStr">
        <is>
          <t>S48</t>
        </is>
      </c>
      <c r="B2454" s="26" t="inlineStr">
        <is>
          <t>삼척</t>
        </is>
      </c>
      <c r="C2454" s="26" t="inlineStr">
        <is>
          <t>S48-H동</t>
        </is>
      </c>
      <c r="D2454" s="47" t="n">
        <v>1</v>
      </c>
      <c r="E2454" s="26" t="inlineStr">
        <is>
          <t>측정</t>
        </is>
      </c>
      <c r="F2454" s="26" t="inlineStr">
        <is>
          <t>동</t>
        </is>
      </c>
      <c r="G2454" s="31" t="n">
        <v>3</v>
      </c>
      <c r="H2454" s="30" t="n"/>
      <c r="I2454" s="43" t="n"/>
      <c r="J2454" s="41" t="n"/>
      <c r="K2454" s="41" t="n"/>
      <c r="L2454" s="41" t="n"/>
      <c r="M2454" s="31">
        <f>IF(COUNT(J2454:L2454)=0,"",MEDIAN(J2454:L2454))</f>
        <v/>
      </c>
      <c r="N2454" s="26">
        <f>IF(COUNTIFS($C:$C,$C2454,$D:$D,$D2454,$E:$E,"P0(전)",$M:$M,"&gt;0")&lt;&gt;1,"P0(전) 유효 1개 아님",IF(COUNTIFS($C:$C,$C2454,$D:$D,$D2454,$E:$E,"P0(후)",$M:$M,"&gt;0")&lt;&gt;1,"P0(후) 유효 1개 아님",IF(NOT(AND(ISNUMBER(O2454),ISNUMBER(Q2454),ISNUMBER(I2454))),"시각 결측",IF(Q2454&lt;=O2454,"P0 시각 역전",IF(OR(I2454&lt;O2454,I2454&gt;Q2454),"측정시각 구간 밖","OK")))))</f>
        <v/>
      </c>
      <c r="O2454" s="48">
        <f>IF(COUNTIFS($C:$C,$C2454,$D:$D,$D2454,$E:$E,"P0(전)",$M:$M,"&gt;0")&lt;&gt;1,"",SUMIFS($I:$I,$C:$C,$C2454,$D:$D,$D2454,$E:$E,"P0(전)"))</f>
        <v/>
      </c>
      <c r="P2454" s="31">
        <f>IF(COUNTIFS($C:$C,$C2454,$D:$D,$D2454,$E:$E,"P0(전)",$M:$M,"&gt;0")&lt;&gt;1,"",SUMIFS($M:$M,$C:$C,$C2454,$D:$D,$D2454,$E:$E,"P0(전)"))</f>
        <v/>
      </c>
      <c r="Q2454" s="48">
        <f>IF(COUNTIFS($C:$C,$C2454,$D:$D,$D2454,$E:$E,"P0(후)",$M:$M,"&gt;0")&lt;&gt;1,"",SUMIFS($I:$I,$C:$C,$C2454,$D:$D,$D2454,$E:$E,"P0(후)"))</f>
        <v/>
      </c>
      <c r="R2454" s="31">
        <f>IF(COUNTIFS($C:$C,$C2454,$D:$D,$D2454,$E:$E,"P0(후)",$M:$M,"&gt;0")&lt;&gt;1,"",SUMIFS($M:$M,$C:$C,$C2454,$D:$D,$D2454,$E:$E,"P0(후)"))</f>
        <v/>
      </c>
      <c r="S2454" s="31">
        <f>IF(N2454&lt;&gt;"OK","",P2454+(R2454-P2454)*(I2454-O2454)/(Q2454-O2454))</f>
        <v/>
      </c>
      <c r="T2454" s="31">
        <f>IF(OR(N2454&lt;&gt;"OK",NOT(ISNUMBER(M2454))),"",M2454-S2454)</f>
        <v/>
      </c>
      <c r="U2454" s="49">
        <f>IF(OR(NOT(ISNUMBER(T2454)),IF(ISNUMBER(H2454),H2454,G2454)=0),"",T2454/IF(ISNUMBER(H2454),H2454,G2454))</f>
        <v/>
      </c>
      <c r="V2454" s="49">
        <f>IF(ISNUMBER(U2454),ABS(U2454),"")</f>
        <v/>
      </c>
      <c r="W2454" s="49">
        <f>IF(OR($E2453&lt;&gt;"측정",$C2453&lt;&gt;$C2454,$D2453&lt;&gt;$D2454,NOT(ISNUMBER(M2454)),NOT(ISNUMBER(M2453)),(IF(ISNUMBER(H2454),H2454,G2454)-IF(ISNUMBER(H2453),H2453,G2453))=0),"",(M2454-M2453)/(IF(ISNUMBER(H2454),H2454,G2454)-IF(ISNUMBER(H2453),H2453,G2453)))</f>
        <v/>
      </c>
      <c r="X2454" s="31">
        <f>IF(NOT(AND(ISNUMBER(O2454),ISNUMBER(Q2454))),"",(Q2454-O2454)*1440)</f>
        <v/>
      </c>
      <c r="Y2454" s="29" t="n"/>
      <c r="Z2454" s="29" t="n"/>
      <c r="AA2454" s="29" t="n"/>
      <c r="AB2454" s="32" t="n"/>
      <c r="AC2454" s="32" t="n"/>
    </row>
    <row r="2455">
      <c r="A2455" s="26" t="inlineStr">
        <is>
          <t>S48</t>
        </is>
      </c>
      <c r="B2455" s="26" t="inlineStr">
        <is>
          <t>삼척</t>
        </is>
      </c>
      <c r="C2455" s="26" t="inlineStr">
        <is>
          <t>S48-H동</t>
        </is>
      </c>
      <c r="D2455" s="47" t="n">
        <v>1</v>
      </c>
      <c r="E2455" s="26" t="inlineStr">
        <is>
          <t>측정</t>
        </is>
      </c>
      <c r="F2455" s="26" t="inlineStr">
        <is>
          <t>동</t>
        </is>
      </c>
      <c r="G2455" s="31" t="n">
        <v>4</v>
      </c>
      <c r="H2455" s="30" t="n"/>
      <c r="I2455" s="43" t="n"/>
      <c r="J2455" s="41" t="n"/>
      <c r="K2455" s="41" t="n"/>
      <c r="L2455" s="41" t="n"/>
      <c r="M2455" s="31">
        <f>IF(COUNT(J2455:L2455)=0,"",MEDIAN(J2455:L2455))</f>
        <v/>
      </c>
      <c r="N2455" s="26">
        <f>IF(COUNTIFS($C:$C,$C2455,$D:$D,$D2455,$E:$E,"P0(전)",$M:$M,"&gt;0")&lt;&gt;1,"P0(전) 유효 1개 아님",IF(COUNTIFS($C:$C,$C2455,$D:$D,$D2455,$E:$E,"P0(후)",$M:$M,"&gt;0")&lt;&gt;1,"P0(후) 유효 1개 아님",IF(NOT(AND(ISNUMBER(O2455),ISNUMBER(Q2455),ISNUMBER(I2455))),"시각 결측",IF(Q2455&lt;=O2455,"P0 시각 역전",IF(OR(I2455&lt;O2455,I2455&gt;Q2455),"측정시각 구간 밖","OK")))))</f>
        <v/>
      </c>
      <c r="O2455" s="48">
        <f>IF(COUNTIFS($C:$C,$C2455,$D:$D,$D2455,$E:$E,"P0(전)",$M:$M,"&gt;0")&lt;&gt;1,"",SUMIFS($I:$I,$C:$C,$C2455,$D:$D,$D2455,$E:$E,"P0(전)"))</f>
        <v/>
      </c>
      <c r="P2455" s="31">
        <f>IF(COUNTIFS($C:$C,$C2455,$D:$D,$D2455,$E:$E,"P0(전)",$M:$M,"&gt;0")&lt;&gt;1,"",SUMIFS($M:$M,$C:$C,$C2455,$D:$D,$D2455,$E:$E,"P0(전)"))</f>
        <v/>
      </c>
      <c r="Q2455" s="48">
        <f>IF(COUNTIFS($C:$C,$C2455,$D:$D,$D2455,$E:$E,"P0(후)",$M:$M,"&gt;0")&lt;&gt;1,"",SUMIFS($I:$I,$C:$C,$C2455,$D:$D,$D2455,$E:$E,"P0(후)"))</f>
        <v/>
      </c>
      <c r="R2455" s="31">
        <f>IF(COUNTIFS($C:$C,$C2455,$D:$D,$D2455,$E:$E,"P0(후)",$M:$M,"&gt;0")&lt;&gt;1,"",SUMIFS($M:$M,$C:$C,$C2455,$D:$D,$D2455,$E:$E,"P0(후)"))</f>
        <v/>
      </c>
      <c r="S2455" s="31">
        <f>IF(N2455&lt;&gt;"OK","",P2455+(R2455-P2455)*(I2455-O2455)/(Q2455-O2455))</f>
        <v/>
      </c>
      <c r="T2455" s="31">
        <f>IF(OR(N2455&lt;&gt;"OK",NOT(ISNUMBER(M2455))),"",M2455-S2455)</f>
        <v/>
      </c>
      <c r="U2455" s="49">
        <f>IF(OR(NOT(ISNUMBER(T2455)),IF(ISNUMBER(H2455),H2455,G2455)=0),"",T2455/IF(ISNUMBER(H2455),H2455,G2455))</f>
        <v/>
      </c>
      <c r="V2455" s="49">
        <f>IF(ISNUMBER(U2455),ABS(U2455),"")</f>
        <v/>
      </c>
      <c r="W2455" s="49">
        <f>IF(OR($E2454&lt;&gt;"측정",$C2454&lt;&gt;$C2455,$D2454&lt;&gt;$D2455,NOT(ISNUMBER(M2455)),NOT(ISNUMBER(M2454)),(IF(ISNUMBER(H2455),H2455,G2455)-IF(ISNUMBER(H2454),H2454,G2454))=0),"",(M2455-M2454)/(IF(ISNUMBER(H2455),H2455,G2455)-IF(ISNUMBER(H2454),H2454,G2454)))</f>
        <v/>
      </c>
      <c r="X2455" s="31">
        <f>IF(NOT(AND(ISNUMBER(O2455),ISNUMBER(Q2455))),"",(Q2455-O2455)*1440)</f>
        <v/>
      </c>
      <c r="Y2455" s="29" t="n"/>
      <c r="Z2455" s="29" t="n"/>
      <c r="AA2455" s="29" t="n"/>
      <c r="AB2455" s="32" t="n"/>
      <c r="AC2455" s="32" t="n"/>
    </row>
    <row r="2456">
      <c r="A2456" s="26" t="inlineStr">
        <is>
          <t>S48</t>
        </is>
      </c>
      <c r="B2456" s="26" t="inlineStr">
        <is>
          <t>삼척</t>
        </is>
      </c>
      <c r="C2456" s="26" t="inlineStr">
        <is>
          <t>S48-H동</t>
        </is>
      </c>
      <c r="D2456" s="47" t="n">
        <v>1</v>
      </c>
      <c r="E2456" s="26" t="inlineStr">
        <is>
          <t>측정</t>
        </is>
      </c>
      <c r="F2456" s="26" t="inlineStr">
        <is>
          <t>동</t>
        </is>
      </c>
      <c r="G2456" s="31" t="n">
        <v>5</v>
      </c>
      <c r="H2456" s="30" t="n"/>
      <c r="I2456" s="43" t="n"/>
      <c r="J2456" s="41" t="n"/>
      <c r="K2456" s="41" t="n"/>
      <c r="L2456" s="41" t="n"/>
      <c r="M2456" s="31">
        <f>IF(COUNT(J2456:L2456)=0,"",MEDIAN(J2456:L2456))</f>
        <v/>
      </c>
      <c r="N2456" s="26">
        <f>IF(COUNTIFS($C:$C,$C2456,$D:$D,$D2456,$E:$E,"P0(전)",$M:$M,"&gt;0")&lt;&gt;1,"P0(전) 유효 1개 아님",IF(COUNTIFS($C:$C,$C2456,$D:$D,$D2456,$E:$E,"P0(후)",$M:$M,"&gt;0")&lt;&gt;1,"P0(후) 유효 1개 아님",IF(NOT(AND(ISNUMBER(O2456),ISNUMBER(Q2456),ISNUMBER(I2456))),"시각 결측",IF(Q2456&lt;=O2456,"P0 시각 역전",IF(OR(I2456&lt;O2456,I2456&gt;Q2456),"측정시각 구간 밖","OK")))))</f>
        <v/>
      </c>
      <c r="O2456" s="48">
        <f>IF(COUNTIFS($C:$C,$C2456,$D:$D,$D2456,$E:$E,"P0(전)",$M:$M,"&gt;0")&lt;&gt;1,"",SUMIFS($I:$I,$C:$C,$C2456,$D:$D,$D2456,$E:$E,"P0(전)"))</f>
        <v/>
      </c>
      <c r="P2456" s="31">
        <f>IF(COUNTIFS($C:$C,$C2456,$D:$D,$D2456,$E:$E,"P0(전)",$M:$M,"&gt;0")&lt;&gt;1,"",SUMIFS($M:$M,$C:$C,$C2456,$D:$D,$D2456,$E:$E,"P0(전)"))</f>
        <v/>
      </c>
      <c r="Q2456" s="48">
        <f>IF(COUNTIFS($C:$C,$C2456,$D:$D,$D2456,$E:$E,"P0(후)",$M:$M,"&gt;0")&lt;&gt;1,"",SUMIFS($I:$I,$C:$C,$C2456,$D:$D,$D2456,$E:$E,"P0(후)"))</f>
        <v/>
      </c>
      <c r="R2456" s="31">
        <f>IF(COUNTIFS($C:$C,$C2456,$D:$D,$D2456,$E:$E,"P0(후)",$M:$M,"&gt;0")&lt;&gt;1,"",SUMIFS($M:$M,$C:$C,$C2456,$D:$D,$D2456,$E:$E,"P0(후)"))</f>
        <v/>
      </c>
      <c r="S2456" s="31">
        <f>IF(N2456&lt;&gt;"OK","",P2456+(R2456-P2456)*(I2456-O2456)/(Q2456-O2456))</f>
        <v/>
      </c>
      <c r="T2456" s="31">
        <f>IF(OR(N2456&lt;&gt;"OK",NOT(ISNUMBER(M2456))),"",M2456-S2456)</f>
        <v/>
      </c>
      <c r="U2456" s="49">
        <f>IF(OR(NOT(ISNUMBER(T2456)),IF(ISNUMBER(H2456),H2456,G2456)=0),"",T2456/IF(ISNUMBER(H2456),H2456,G2456))</f>
        <v/>
      </c>
      <c r="V2456" s="49">
        <f>IF(ISNUMBER(U2456),ABS(U2456),"")</f>
        <v/>
      </c>
      <c r="W2456" s="49">
        <f>IF(OR($E2455&lt;&gt;"측정",$C2455&lt;&gt;$C2456,$D2455&lt;&gt;$D2456,NOT(ISNUMBER(M2456)),NOT(ISNUMBER(M2455)),(IF(ISNUMBER(H2456),H2456,G2456)-IF(ISNUMBER(H2455),H2455,G2455))=0),"",(M2456-M2455)/(IF(ISNUMBER(H2456),H2456,G2456)-IF(ISNUMBER(H2455),H2455,G2455)))</f>
        <v/>
      </c>
      <c r="X2456" s="31">
        <f>IF(NOT(AND(ISNUMBER(O2456),ISNUMBER(Q2456))),"",(Q2456-O2456)*1440)</f>
        <v/>
      </c>
      <c r="Y2456" s="29" t="n"/>
      <c r="Z2456" s="29" t="n"/>
      <c r="AA2456" s="29" t="n"/>
      <c r="AB2456" s="32" t="n"/>
      <c r="AC2456" s="32" t="n"/>
    </row>
    <row r="2457">
      <c r="A2457" s="26" t="inlineStr">
        <is>
          <t>S48</t>
        </is>
      </c>
      <c r="B2457" s="26" t="inlineStr">
        <is>
          <t>삼척</t>
        </is>
      </c>
      <c r="C2457" s="26" t="inlineStr">
        <is>
          <t>S48-H동</t>
        </is>
      </c>
      <c r="D2457" s="47" t="n">
        <v>1</v>
      </c>
      <c r="E2457" s="26" t="inlineStr">
        <is>
          <t>측정</t>
        </is>
      </c>
      <c r="F2457" s="26" t="inlineStr">
        <is>
          <t>동</t>
        </is>
      </c>
      <c r="G2457" s="31" t="n">
        <v>6</v>
      </c>
      <c r="H2457" s="30" t="n"/>
      <c r="I2457" s="43" t="n"/>
      <c r="J2457" s="41" t="n"/>
      <c r="K2457" s="41" t="n"/>
      <c r="L2457" s="41" t="n"/>
      <c r="M2457" s="31">
        <f>IF(COUNT(J2457:L2457)=0,"",MEDIAN(J2457:L2457))</f>
        <v/>
      </c>
      <c r="N2457" s="26">
        <f>IF(COUNTIFS($C:$C,$C2457,$D:$D,$D2457,$E:$E,"P0(전)",$M:$M,"&gt;0")&lt;&gt;1,"P0(전) 유효 1개 아님",IF(COUNTIFS($C:$C,$C2457,$D:$D,$D2457,$E:$E,"P0(후)",$M:$M,"&gt;0")&lt;&gt;1,"P0(후) 유효 1개 아님",IF(NOT(AND(ISNUMBER(O2457),ISNUMBER(Q2457),ISNUMBER(I2457))),"시각 결측",IF(Q2457&lt;=O2457,"P0 시각 역전",IF(OR(I2457&lt;O2457,I2457&gt;Q2457),"측정시각 구간 밖","OK")))))</f>
        <v/>
      </c>
      <c r="O2457" s="48">
        <f>IF(COUNTIFS($C:$C,$C2457,$D:$D,$D2457,$E:$E,"P0(전)",$M:$M,"&gt;0")&lt;&gt;1,"",SUMIFS($I:$I,$C:$C,$C2457,$D:$D,$D2457,$E:$E,"P0(전)"))</f>
        <v/>
      </c>
      <c r="P2457" s="31">
        <f>IF(COUNTIFS($C:$C,$C2457,$D:$D,$D2457,$E:$E,"P0(전)",$M:$M,"&gt;0")&lt;&gt;1,"",SUMIFS($M:$M,$C:$C,$C2457,$D:$D,$D2457,$E:$E,"P0(전)"))</f>
        <v/>
      </c>
      <c r="Q2457" s="48">
        <f>IF(COUNTIFS($C:$C,$C2457,$D:$D,$D2457,$E:$E,"P0(후)",$M:$M,"&gt;0")&lt;&gt;1,"",SUMIFS($I:$I,$C:$C,$C2457,$D:$D,$D2457,$E:$E,"P0(후)"))</f>
        <v/>
      </c>
      <c r="R2457" s="31">
        <f>IF(COUNTIFS($C:$C,$C2457,$D:$D,$D2457,$E:$E,"P0(후)",$M:$M,"&gt;0")&lt;&gt;1,"",SUMIFS($M:$M,$C:$C,$C2457,$D:$D,$D2457,$E:$E,"P0(후)"))</f>
        <v/>
      </c>
      <c r="S2457" s="31">
        <f>IF(N2457&lt;&gt;"OK","",P2457+(R2457-P2457)*(I2457-O2457)/(Q2457-O2457))</f>
        <v/>
      </c>
      <c r="T2457" s="31">
        <f>IF(OR(N2457&lt;&gt;"OK",NOT(ISNUMBER(M2457))),"",M2457-S2457)</f>
        <v/>
      </c>
      <c r="U2457" s="49">
        <f>IF(OR(NOT(ISNUMBER(T2457)),IF(ISNUMBER(H2457),H2457,G2457)=0),"",T2457/IF(ISNUMBER(H2457),H2457,G2457))</f>
        <v/>
      </c>
      <c r="V2457" s="49">
        <f>IF(ISNUMBER(U2457),ABS(U2457),"")</f>
        <v/>
      </c>
      <c r="W2457" s="49">
        <f>IF(OR($E2456&lt;&gt;"측정",$C2456&lt;&gt;$C2457,$D2456&lt;&gt;$D2457,NOT(ISNUMBER(M2457)),NOT(ISNUMBER(M2456)),(IF(ISNUMBER(H2457),H2457,G2457)-IF(ISNUMBER(H2456),H2456,G2456))=0),"",(M2457-M2456)/(IF(ISNUMBER(H2457),H2457,G2457)-IF(ISNUMBER(H2456),H2456,G2456)))</f>
        <v/>
      </c>
      <c r="X2457" s="31">
        <f>IF(NOT(AND(ISNUMBER(O2457),ISNUMBER(Q2457))),"",(Q2457-O2457)*1440)</f>
        <v/>
      </c>
      <c r="Y2457" s="29" t="n"/>
      <c r="Z2457" s="29" t="n"/>
      <c r="AA2457" s="29" t="n"/>
      <c r="AB2457" s="32" t="n"/>
      <c r="AC2457" s="32" t="n"/>
    </row>
    <row r="2458">
      <c r="A2458" s="26" t="inlineStr">
        <is>
          <t>S48</t>
        </is>
      </c>
      <c r="B2458" s="26" t="inlineStr">
        <is>
          <t>삼척</t>
        </is>
      </c>
      <c r="C2458" s="26" t="inlineStr">
        <is>
          <t>S48-H동</t>
        </is>
      </c>
      <c r="D2458" s="47" t="n">
        <v>1</v>
      </c>
      <c r="E2458" s="26" t="inlineStr">
        <is>
          <t>측정</t>
        </is>
      </c>
      <c r="F2458" s="26" t="inlineStr">
        <is>
          <t>동</t>
        </is>
      </c>
      <c r="G2458" s="31" t="n">
        <v>7</v>
      </c>
      <c r="H2458" s="30" t="n"/>
      <c r="I2458" s="43" t="n"/>
      <c r="J2458" s="41" t="n"/>
      <c r="K2458" s="41" t="n"/>
      <c r="L2458" s="41" t="n"/>
      <c r="M2458" s="31">
        <f>IF(COUNT(J2458:L2458)=0,"",MEDIAN(J2458:L2458))</f>
        <v/>
      </c>
      <c r="N2458" s="26">
        <f>IF(COUNTIFS($C:$C,$C2458,$D:$D,$D2458,$E:$E,"P0(전)",$M:$M,"&gt;0")&lt;&gt;1,"P0(전) 유효 1개 아님",IF(COUNTIFS($C:$C,$C2458,$D:$D,$D2458,$E:$E,"P0(후)",$M:$M,"&gt;0")&lt;&gt;1,"P0(후) 유효 1개 아님",IF(NOT(AND(ISNUMBER(O2458),ISNUMBER(Q2458),ISNUMBER(I2458))),"시각 결측",IF(Q2458&lt;=O2458,"P0 시각 역전",IF(OR(I2458&lt;O2458,I2458&gt;Q2458),"측정시각 구간 밖","OK")))))</f>
        <v/>
      </c>
      <c r="O2458" s="48">
        <f>IF(COUNTIFS($C:$C,$C2458,$D:$D,$D2458,$E:$E,"P0(전)",$M:$M,"&gt;0")&lt;&gt;1,"",SUMIFS($I:$I,$C:$C,$C2458,$D:$D,$D2458,$E:$E,"P0(전)"))</f>
        <v/>
      </c>
      <c r="P2458" s="31">
        <f>IF(COUNTIFS($C:$C,$C2458,$D:$D,$D2458,$E:$E,"P0(전)",$M:$M,"&gt;0")&lt;&gt;1,"",SUMIFS($M:$M,$C:$C,$C2458,$D:$D,$D2458,$E:$E,"P0(전)"))</f>
        <v/>
      </c>
      <c r="Q2458" s="48">
        <f>IF(COUNTIFS($C:$C,$C2458,$D:$D,$D2458,$E:$E,"P0(후)",$M:$M,"&gt;0")&lt;&gt;1,"",SUMIFS($I:$I,$C:$C,$C2458,$D:$D,$D2458,$E:$E,"P0(후)"))</f>
        <v/>
      </c>
      <c r="R2458" s="31">
        <f>IF(COUNTIFS($C:$C,$C2458,$D:$D,$D2458,$E:$E,"P0(후)",$M:$M,"&gt;0")&lt;&gt;1,"",SUMIFS($M:$M,$C:$C,$C2458,$D:$D,$D2458,$E:$E,"P0(후)"))</f>
        <v/>
      </c>
      <c r="S2458" s="31">
        <f>IF(N2458&lt;&gt;"OK","",P2458+(R2458-P2458)*(I2458-O2458)/(Q2458-O2458))</f>
        <v/>
      </c>
      <c r="T2458" s="31">
        <f>IF(OR(N2458&lt;&gt;"OK",NOT(ISNUMBER(M2458))),"",M2458-S2458)</f>
        <v/>
      </c>
      <c r="U2458" s="49">
        <f>IF(OR(NOT(ISNUMBER(T2458)),IF(ISNUMBER(H2458),H2458,G2458)=0),"",T2458/IF(ISNUMBER(H2458),H2458,G2458))</f>
        <v/>
      </c>
      <c r="V2458" s="49">
        <f>IF(ISNUMBER(U2458),ABS(U2458),"")</f>
        <v/>
      </c>
      <c r="W2458" s="49">
        <f>IF(OR($E2457&lt;&gt;"측정",$C2457&lt;&gt;$C2458,$D2457&lt;&gt;$D2458,NOT(ISNUMBER(M2458)),NOT(ISNUMBER(M2457)),(IF(ISNUMBER(H2458),H2458,G2458)-IF(ISNUMBER(H2457),H2457,G2457))=0),"",(M2458-M2457)/(IF(ISNUMBER(H2458),H2458,G2458)-IF(ISNUMBER(H2457),H2457,G2457)))</f>
        <v/>
      </c>
      <c r="X2458" s="31">
        <f>IF(NOT(AND(ISNUMBER(O2458),ISNUMBER(Q2458))),"",(Q2458-O2458)*1440)</f>
        <v/>
      </c>
      <c r="Y2458" s="29" t="n"/>
      <c r="Z2458" s="29" t="n"/>
      <c r="AA2458" s="29" t="n"/>
      <c r="AB2458" s="32" t="n"/>
      <c r="AC2458" s="32" t="n"/>
    </row>
    <row r="2459">
      <c r="A2459" s="26" t="inlineStr">
        <is>
          <t>S48</t>
        </is>
      </c>
      <c r="B2459" s="26" t="inlineStr">
        <is>
          <t>삼척</t>
        </is>
      </c>
      <c r="C2459" s="26" t="inlineStr">
        <is>
          <t>S48-H동</t>
        </is>
      </c>
      <c r="D2459" s="47" t="n">
        <v>1</v>
      </c>
      <c r="E2459" s="26" t="inlineStr">
        <is>
          <t>측정</t>
        </is>
      </c>
      <c r="F2459" s="26" t="inlineStr">
        <is>
          <t>동</t>
        </is>
      </c>
      <c r="G2459" s="31" t="n">
        <v>8</v>
      </c>
      <c r="H2459" s="30" t="n"/>
      <c r="I2459" s="43" t="n"/>
      <c r="J2459" s="41" t="n"/>
      <c r="K2459" s="41" t="n"/>
      <c r="L2459" s="41" t="n"/>
      <c r="M2459" s="31">
        <f>IF(COUNT(J2459:L2459)=0,"",MEDIAN(J2459:L2459))</f>
        <v/>
      </c>
      <c r="N2459" s="26">
        <f>IF(COUNTIFS($C:$C,$C2459,$D:$D,$D2459,$E:$E,"P0(전)",$M:$M,"&gt;0")&lt;&gt;1,"P0(전) 유효 1개 아님",IF(COUNTIFS($C:$C,$C2459,$D:$D,$D2459,$E:$E,"P0(후)",$M:$M,"&gt;0")&lt;&gt;1,"P0(후) 유효 1개 아님",IF(NOT(AND(ISNUMBER(O2459),ISNUMBER(Q2459),ISNUMBER(I2459))),"시각 결측",IF(Q2459&lt;=O2459,"P0 시각 역전",IF(OR(I2459&lt;O2459,I2459&gt;Q2459),"측정시각 구간 밖","OK")))))</f>
        <v/>
      </c>
      <c r="O2459" s="48">
        <f>IF(COUNTIFS($C:$C,$C2459,$D:$D,$D2459,$E:$E,"P0(전)",$M:$M,"&gt;0")&lt;&gt;1,"",SUMIFS($I:$I,$C:$C,$C2459,$D:$D,$D2459,$E:$E,"P0(전)"))</f>
        <v/>
      </c>
      <c r="P2459" s="31">
        <f>IF(COUNTIFS($C:$C,$C2459,$D:$D,$D2459,$E:$E,"P0(전)",$M:$M,"&gt;0")&lt;&gt;1,"",SUMIFS($M:$M,$C:$C,$C2459,$D:$D,$D2459,$E:$E,"P0(전)"))</f>
        <v/>
      </c>
      <c r="Q2459" s="48">
        <f>IF(COUNTIFS($C:$C,$C2459,$D:$D,$D2459,$E:$E,"P0(후)",$M:$M,"&gt;0")&lt;&gt;1,"",SUMIFS($I:$I,$C:$C,$C2459,$D:$D,$D2459,$E:$E,"P0(후)"))</f>
        <v/>
      </c>
      <c r="R2459" s="31">
        <f>IF(COUNTIFS($C:$C,$C2459,$D:$D,$D2459,$E:$E,"P0(후)",$M:$M,"&gt;0")&lt;&gt;1,"",SUMIFS($M:$M,$C:$C,$C2459,$D:$D,$D2459,$E:$E,"P0(후)"))</f>
        <v/>
      </c>
      <c r="S2459" s="31">
        <f>IF(N2459&lt;&gt;"OK","",P2459+(R2459-P2459)*(I2459-O2459)/(Q2459-O2459))</f>
        <v/>
      </c>
      <c r="T2459" s="31">
        <f>IF(OR(N2459&lt;&gt;"OK",NOT(ISNUMBER(M2459))),"",M2459-S2459)</f>
        <v/>
      </c>
      <c r="U2459" s="49">
        <f>IF(OR(NOT(ISNUMBER(T2459)),IF(ISNUMBER(H2459),H2459,G2459)=0),"",T2459/IF(ISNUMBER(H2459),H2459,G2459))</f>
        <v/>
      </c>
      <c r="V2459" s="49">
        <f>IF(ISNUMBER(U2459),ABS(U2459),"")</f>
        <v/>
      </c>
      <c r="W2459" s="49">
        <f>IF(OR($E2458&lt;&gt;"측정",$C2458&lt;&gt;$C2459,$D2458&lt;&gt;$D2459,NOT(ISNUMBER(M2459)),NOT(ISNUMBER(M2458)),(IF(ISNUMBER(H2459),H2459,G2459)-IF(ISNUMBER(H2458),H2458,G2458))=0),"",(M2459-M2458)/(IF(ISNUMBER(H2459),H2459,G2459)-IF(ISNUMBER(H2458),H2458,G2458)))</f>
        <v/>
      </c>
      <c r="X2459" s="31">
        <f>IF(NOT(AND(ISNUMBER(O2459),ISNUMBER(Q2459))),"",(Q2459-O2459)*1440)</f>
        <v/>
      </c>
      <c r="Y2459" s="29" t="n"/>
      <c r="Z2459" s="29" t="n"/>
      <c r="AA2459" s="29" t="n"/>
      <c r="AB2459" s="32" t="n"/>
      <c r="AC2459" s="32" t="n"/>
    </row>
    <row r="2460">
      <c r="A2460" s="26" t="inlineStr">
        <is>
          <t>S48</t>
        </is>
      </c>
      <c r="B2460" s="26" t="inlineStr">
        <is>
          <t>삼척</t>
        </is>
      </c>
      <c r="C2460" s="26" t="inlineStr">
        <is>
          <t>S48-H동</t>
        </is>
      </c>
      <c r="D2460" s="47" t="n">
        <v>1</v>
      </c>
      <c r="E2460" s="26" t="inlineStr">
        <is>
          <t>측정</t>
        </is>
      </c>
      <c r="F2460" s="26" t="inlineStr">
        <is>
          <t>동</t>
        </is>
      </c>
      <c r="G2460" s="31" t="n">
        <v>9</v>
      </c>
      <c r="H2460" s="30" t="n"/>
      <c r="I2460" s="43" t="n"/>
      <c r="J2460" s="41" t="n"/>
      <c r="K2460" s="41" t="n"/>
      <c r="L2460" s="41" t="n"/>
      <c r="M2460" s="31">
        <f>IF(COUNT(J2460:L2460)=0,"",MEDIAN(J2460:L2460))</f>
        <v/>
      </c>
      <c r="N2460" s="26">
        <f>IF(COUNTIFS($C:$C,$C2460,$D:$D,$D2460,$E:$E,"P0(전)",$M:$M,"&gt;0")&lt;&gt;1,"P0(전) 유효 1개 아님",IF(COUNTIFS($C:$C,$C2460,$D:$D,$D2460,$E:$E,"P0(후)",$M:$M,"&gt;0")&lt;&gt;1,"P0(후) 유효 1개 아님",IF(NOT(AND(ISNUMBER(O2460),ISNUMBER(Q2460),ISNUMBER(I2460))),"시각 결측",IF(Q2460&lt;=O2460,"P0 시각 역전",IF(OR(I2460&lt;O2460,I2460&gt;Q2460),"측정시각 구간 밖","OK")))))</f>
        <v/>
      </c>
      <c r="O2460" s="48">
        <f>IF(COUNTIFS($C:$C,$C2460,$D:$D,$D2460,$E:$E,"P0(전)",$M:$M,"&gt;0")&lt;&gt;1,"",SUMIFS($I:$I,$C:$C,$C2460,$D:$D,$D2460,$E:$E,"P0(전)"))</f>
        <v/>
      </c>
      <c r="P2460" s="31">
        <f>IF(COUNTIFS($C:$C,$C2460,$D:$D,$D2460,$E:$E,"P0(전)",$M:$M,"&gt;0")&lt;&gt;1,"",SUMIFS($M:$M,$C:$C,$C2460,$D:$D,$D2460,$E:$E,"P0(전)"))</f>
        <v/>
      </c>
      <c r="Q2460" s="48">
        <f>IF(COUNTIFS($C:$C,$C2460,$D:$D,$D2460,$E:$E,"P0(후)",$M:$M,"&gt;0")&lt;&gt;1,"",SUMIFS($I:$I,$C:$C,$C2460,$D:$D,$D2460,$E:$E,"P0(후)"))</f>
        <v/>
      </c>
      <c r="R2460" s="31">
        <f>IF(COUNTIFS($C:$C,$C2460,$D:$D,$D2460,$E:$E,"P0(후)",$M:$M,"&gt;0")&lt;&gt;1,"",SUMIFS($M:$M,$C:$C,$C2460,$D:$D,$D2460,$E:$E,"P0(후)"))</f>
        <v/>
      </c>
      <c r="S2460" s="31">
        <f>IF(N2460&lt;&gt;"OK","",P2460+(R2460-P2460)*(I2460-O2460)/(Q2460-O2460))</f>
        <v/>
      </c>
      <c r="T2460" s="31">
        <f>IF(OR(N2460&lt;&gt;"OK",NOT(ISNUMBER(M2460))),"",M2460-S2460)</f>
        <v/>
      </c>
      <c r="U2460" s="49">
        <f>IF(OR(NOT(ISNUMBER(T2460)),IF(ISNUMBER(H2460),H2460,G2460)=0),"",T2460/IF(ISNUMBER(H2460),H2460,G2460))</f>
        <v/>
      </c>
      <c r="V2460" s="49">
        <f>IF(ISNUMBER(U2460),ABS(U2460),"")</f>
        <v/>
      </c>
      <c r="W2460" s="49">
        <f>IF(OR($E2459&lt;&gt;"측정",$C2459&lt;&gt;$C2460,$D2459&lt;&gt;$D2460,NOT(ISNUMBER(M2460)),NOT(ISNUMBER(M2459)),(IF(ISNUMBER(H2460),H2460,G2460)-IF(ISNUMBER(H2459),H2459,G2459))=0),"",(M2460-M2459)/(IF(ISNUMBER(H2460),H2460,G2460)-IF(ISNUMBER(H2459),H2459,G2459)))</f>
        <v/>
      </c>
      <c r="X2460" s="31">
        <f>IF(NOT(AND(ISNUMBER(O2460),ISNUMBER(Q2460))),"",(Q2460-O2460)*1440)</f>
        <v/>
      </c>
      <c r="Y2460" s="29" t="n"/>
      <c r="Z2460" s="29" t="n"/>
      <c r="AA2460" s="29" t="n"/>
      <c r="AB2460" s="32" t="n"/>
      <c r="AC2460" s="32" t="n"/>
    </row>
    <row r="2461">
      <c r="A2461" s="26" t="inlineStr">
        <is>
          <t>S48</t>
        </is>
      </c>
      <c r="B2461" s="26" t="inlineStr">
        <is>
          <t>삼척</t>
        </is>
      </c>
      <c r="C2461" s="26" t="inlineStr">
        <is>
          <t>S48-H동</t>
        </is>
      </c>
      <c r="D2461" s="47" t="n">
        <v>1</v>
      </c>
      <c r="E2461" s="26" t="inlineStr">
        <is>
          <t>측정</t>
        </is>
      </c>
      <c r="F2461" s="26" t="inlineStr">
        <is>
          <t>동</t>
        </is>
      </c>
      <c r="G2461" s="31" t="n">
        <v>10</v>
      </c>
      <c r="H2461" s="30" t="n"/>
      <c r="I2461" s="43" t="n"/>
      <c r="J2461" s="41" t="n"/>
      <c r="K2461" s="41" t="n"/>
      <c r="L2461" s="41" t="n"/>
      <c r="M2461" s="31">
        <f>IF(COUNT(J2461:L2461)=0,"",MEDIAN(J2461:L2461))</f>
        <v/>
      </c>
      <c r="N2461" s="26">
        <f>IF(COUNTIFS($C:$C,$C2461,$D:$D,$D2461,$E:$E,"P0(전)",$M:$M,"&gt;0")&lt;&gt;1,"P0(전) 유효 1개 아님",IF(COUNTIFS($C:$C,$C2461,$D:$D,$D2461,$E:$E,"P0(후)",$M:$M,"&gt;0")&lt;&gt;1,"P0(후) 유효 1개 아님",IF(NOT(AND(ISNUMBER(O2461),ISNUMBER(Q2461),ISNUMBER(I2461))),"시각 결측",IF(Q2461&lt;=O2461,"P0 시각 역전",IF(OR(I2461&lt;O2461,I2461&gt;Q2461),"측정시각 구간 밖","OK")))))</f>
        <v/>
      </c>
      <c r="O2461" s="48">
        <f>IF(COUNTIFS($C:$C,$C2461,$D:$D,$D2461,$E:$E,"P0(전)",$M:$M,"&gt;0")&lt;&gt;1,"",SUMIFS($I:$I,$C:$C,$C2461,$D:$D,$D2461,$E:$E,"P0(전)"))</f>
        <v/>
      </c>
      <c r="P2461" s="31">
        <f>IF(COUNTIFS($C:$C,$C2461,$D:$D,$D2461,$E:$E,"P0(전)",$M:$M,"&gt;0")&lt;&gt;1,"",SUMIFS($M:$M,$C:$C,$C2461,$D:$D,$D2461,$E:$E,"P0(전)"))</f>
        <v/>
      </c>
      <c r="Q2461" s="48">
        <f>IF(COUNTIFS($C:$C,$C2461,$D:$D,$D2461,$E:$E,"P0(후)",$M:$M,"&gt;0")&lt;&gt;1,"",SUMIFS($I:$I,$C:$C,$C2461,$D:$D,$D2461,$E:$E,"P0(후)"))</f>
        <v/>
      </c>
      <c r="R2461" s="31">
        <f>IF(COUNTIFS($C:$C,$C2461,$D:$D,$D2461,$E:$E,"P0(후)",$M:$M,"&gt;0")&lt;&gt;1,"",SUMIFS($M:$M,$C:$C,$C2461,$D:$D,$D2461,$E:$E,"P0(후)"))</f>
        <v/>
      </c>
      <c r="S2461" s="31">
        <f>IF(N2461&lt;&gt;"OK","",P2461+(R2461-P2461)*(I2461-O2461)/(Q2461-O2461))</f>
        <v/>
      </c>
      <c r="T2461" s="31">
        <f>IF(OR(N2461&lt;&gt;"OK",NOT(ISNUMBER(M2461))),"",M2461-S2461)</f>
        <v/>
      </c>
      <c r="U2461" s="49">
        <f>IF(OR(NOT(ISNUMBER(T2461)),IF(ISNUMBER(H2461),H2461,G2461)=0),"",T2461/IF(ISNUMBER(H2461),H2461,G2461))</f>
        <v/>
      </c>
      <c r="V2461" s="49">
        <f>IF(ISNUMBER(U2461),ABS(U2461),"")</f>
        <v/>
      </c>
      <c r="W2461" s="49">
        <f>IF(OR($E2460&lt;&gt;"측정",$C2460&lt;&gt;$C2461,$D2460&lt;&gt;$D2461,NOT(ISNUMBER(M2461)),NOT(ISNUMBER(M2460)),(IF(ISNUMBER(H2461),H2461,G2461)-IF(ISNUMBER(H2460),H2460,G2460))=0),"",(M2461-M2460)/(IF(ISNUMBER(H2461),H2461,G2461)-IF(ISNUMBER(H2460),H2460,G2460)))</f>
        <v/>
      </c>
      <c r="X2461" s="31">
        <f>IF(NOT(AND(ISNUMBER(O2461),ISNUMBER(Q2461))),"",(Q2461-O2461)*1440)</f>
        <v/>
      </c>
      <c r="Y2461" s="29" t="n"/>
      <c r="Z2461" s="29" t="n"/>
      <c r="AA2461" s="29" t="n"/>
      <c r="AB2461" s="32" t="n"/>
      <c r="AC2461" s="32" t="n"/>
    </row>
    <row r="2462">
      <c r="A2462" s="44" t="inlineStr">
        <is>
          <t>S48</t>
        </is>
      </c>
      <c r="B2462" s="44" t="inlineStr">
        <is>
          <t>삼척</t>
        </is>
      </c>
      <c r="C2462" s="44" t="inlineStr">
        <is>
          <t>S48-H동</t>
        </is>
      </c>
      <c r="D2462" s="45" t="n">
        <v>1</v>
      </c>
      <c r="E2462" s="44" t="inlineStr">
        <is>
          <t>P0(후)</t>
        </is>
      </c>
      <c r="F2462" s="44" t="inlineStr">
        <is>
          <t>동</t>
        </is>
      </c>
      <c r="G2462" s="46" t="n"/>
      <c r="H2462" s="30" t="n"/>
      <c r="I2462" s="43" t="n"/>
      <c r="J2462" s="41" t="n"/>
      <c r="K2462" s="41" t="n"/>
      <c r="L2462" s="41" t="n"/>
      <c r="M2462" s="31">
        <f>IF(COUNT(J2462:L2462)=0,"",MEDIAN(J2462:L2462))</f>
        <v/>
      </c>
      <c r="N2462" s="38" t="n"/>
      <c r="O2462" s="38" t="n"/>
      <c r="P2462" s="38" t="n"/>
      <c r="Q2462" s="38" t="n"/>
      <c r="R2462" s="38" t="n"/>
      <c r="S2462" s="38" t="n"/>
      <c r="T2462" s="38" t="n"/>
      <c r="U2462" s="38" t="n"/>
      <c r="V2462" s="38" t="n"/>
      <c r="W2462" s="38" t="n"/>
      <c r="X2462" s="38" t="n"/>
      <c r="Y2462" s="29" t="n"/>
      <c r="Z2462" s="29" t="n"/>
      <c r="AA2462" s="29" t="n"/>
      <c r="AB2462" s="32" t="n"/>
      <c r="AC2462" s="32" t="n"/>
    </row>
    <row r="2463">
      <c r="A2463" s="44" t="inlineStr">
        <is>
          <t>S48</t>
        </is>
      </c>
      <c r="B2463" s="44" t="inlineStr">
        <is>
          <t>삼척</t>
        </is>
      </c>
      <c r="C2463" s="44" t="inlineStr">
        <is>
          <t>S48-H서</t>
        </is>
      </c>
      <c r="D2463" s="45" t="n">
        <v>1</v>
      </c>
      <c r="E2463" s="44" t="inlineStr">
        <is>
          <t>P0(전)</t>
        </is>
      </c>
      <c r="F2463" s="44" t="inlineStr">
        <is>
          <t>서</t>
        </is>
      </c>
      <c r="G2463" s="46" t="n"/>
      <c r="H2463" s="30" t="n"/>
      <c r="I2463" s="43" t="n"/>
      <c r="J2463" s="41" t="n"/>
      <c r="K2463" s="41" t="n"/>
      <c r="L2463" s="41" t="n"/>
      <c r="M2463" s="31">
        <f>IF(COUNT(J2463:L2463)=0,"",MEDIAN(J2463:L2463))</f>
        <v/>
      </c>
      <c r="N2463" s="38" t="n"/>
      <c r="O2463" s="38" t="n"/>
      <c r="P2463" s="38" t="n"/>
      <c r="Q2463" s="38" t="n"/>
      <c r="R2463" s="38" t="n"/>
      <c r="S2463" s="38" t="n"/>
      <c r="T2463" s="38" t="n"/>
      <c r="U2463" s="38" t="n"/>
      <c r="V2463" s="38" t="n"/>
      <c r="W2463" s="38" t="n"/>
      <c r="X2463" s="38" t="n"/>
      <c r="Y2463" s="29" t="n"/>
      <c r="Z2463" s="29" t="n"/>
      <c r="AA2463" s="29" t="n"/>
      <c r="AB2463" s="32" t="n"/>
      <c r="AC2463" s="32" t="n"/>
    </row>
    <row r="2464">
      <c r="A2464" s="26" t="inlineStr">
        <is>
          <t>S48</t>
        </is>
      </c>
      <c r="B2464" s="26" t="inlineStr">
        <is>
          <t>삼척</t>
        </is>
      </c>
      <c r="C2464" s="26" t="inlineStr">
        <is>
          <t>S48-H서</t>
        </is>
      </c>
      <c r="D2464" s="47" t="n">
        <v>1</v>
      </c>
      <c r="E2464" s="26" t="inlineStr">
        <is>
          <t>측정</t>
        </is>
      </c>
      <c r="F2464" s="26" t="inlineStr">
        <is>
          <t>서</t>
        </is>
      </c>
      <c r="G2464" s="31" t="n">
        <v>0.5</v>
      </c>
      <c r="H2464" s="30" t="n"/>
      <c r="I2464" s="43" t="n"/>
      <c r="J2464" s="41" t="n"/>
      <c r="K2464" s="41" t="n"/>
      <c r="L2464" s="41" t="n"/>
      <c r="M2464" s="31">
        <f>IF(COUNT(J2464:L2464)=0,"",MEDIAN(J2464:L2464))</f>
        <v/>
      </c>
      <c r="N2464" s="26">
        <f>IF(COUNTIFS($C:$C,$C2464,$D:$D,$D2464,$E:$E,"P0(전)",$M:$M,"&gt;0")&lt;&gt;1,"P0(전) 유효 1개 아님",IF(COUNTIFS($C:$C,$C2464,$D:$D,$D2464,$E:$E,"P0(후)",$M:$M,"&gt;0")&lt;&gt;1,"P0(후) 유효 1개 아님",IF(NOT(AND(ISNUMBER(O2464),ISNUMBER(Q2464),ISNUMBER(I2464))),"시각 결측",IF(Q2464&lt;=O2464,"P0 시각 역전",IF(OR(I2464&lt;O2464,I2464&gt;Q2464),"측정시각 구간 밖","OK")))))</f>
        <v/>
      </c>
      <c r="O2464" s="48">
        <f>IF(COUNTIFS($C:$C,$C2464,$D:$D,$D2464,$E:$E,"P0(전)",$M:$M,"&gt;0")&lt;&gt;1,"",SUMIFS($I:$I,$C:$C,$C2464,$D:$D,$D2464,$E:$E,"P0(전)"))</f>
        <v/>
      </c>
      <c r="P2464" s="31">
        <f>IF(COUNTIFS($C:$C,$C2464,$D:$D,$D2464,$E:$E,"P0(전)",$M:$M,"&gt;0")&lt;&gt;1,"",SUMIFS($M:$M,$C:$C,$C2464,$D:$D,$D2464,$E:$E,"P0(전)"))</f>
        <v/>
      </c>
      <c r="Q2464" s="48">
        <f>IF(COUNTIFS($C:$C,$C2464,$D:$D,$D2464,$E:$E,"P0(후)",$M:$M,"&gt;0")&lt;&gt;1,"",SUMIFS($I:$I,$C:$C,$C2464,$D:$D,$D2464,$E:$E,"P0(후)"))</f>
        <v/>
      </c>
      <c r="R2464" s="31">
        <f>IF(COUNTIFS($C:$C,$C2464,$D:$D,$D2464,$E:$E,"P0(후)",$M:$M,"&gt;0")&lt;&gt;1,"",SUMIFS($M:$M,$C:$C,$C2464,$D:$D,$D2464,$E:$E,"P0(후)"))</f>
        <v/>
      </c>
      <c r="S2464" s="31">
        <f>IF(N2464&lt;&gt;"OK","",P2464+(R2464-P2464)*(I2464-O2464)/(Q2464-O2464))</f>
        <v/>
      </c>
      <c r="T2464" s="31">
        <f>IF(OR(N2464&lt;&gt;"OK",NOT(ISNUMBER(M2464))),"",M2464-S2464)</f>
        <v/>
      </c>
      <c r="U2464" s="49">
        <f>IF(OR(NOT(ISNUMBER(T2464)),IF(ISNUMBER(H2464),H2464,G2464)=0),"",T2464/IF(ISNUMBER(H2464),H2464,G2464))</f>
        <v/>
      </c>
      <c r="V2464" s="49">
        <f>IF(ISNUMBER(U2464),ABS(U2464),"")</f>
        <v/>
      </c>
      <c r="W2464" s="49">
        <f>IF(OR($E2463&lt;&gt;"측정",$C2463&lt;&gt;$C2464,$D2463&lt;&gt;$D2464,NOT(ISNUMBER(M2464)),NOT(ISNUMBER(M2463)),(IF(ISNUMBER(H2464),H2464,G2464)-IF(ISNUMBER(H2463),H2463,G2463))=0),"",(M2464-M2463)/(IF(ISNUMBER(H2464),H2464,G2464)-IF(ISNUMBER(H2463),H2463,G2463)))</f>
        <v/>
      </c>
      <c r="X2464" s="31">
        <f>IF(NOT(AND(ISNUMBER(O2464),ISNUMBER(Q2464))),"",(Q2464-O2464)*1440)</f>
        <v/>
      </c>
      <c r="Y2464" s="29" t="n"/>
      <c r="Z2464" s="29" t="n"/>
      <c r="AA2464" s="29" t="n"/>
      <c r="AB2464" s="32" t="n"/>
      <c r="AC2464" s="32" t="n"/>
    </row>
    <row r="2465">
      <c r="A2465" s="26" t="inlineStr">
        <is>
          <t>S48</t>
        </is>
      </c>
      <c r="B2465" s="26" t="inlineStr">
        <is>
          <t>삼척</t>
        </is>
      </c>
      <c r="C2465" s="26" t="inlineStr">
        <is>
          <t>S48-H서</t>
        </is>
      </c>
      <c r="D2465" s="47" t="n">
        <v>1</v>
      </c>
      <c r="E2465" s="26" t="inlineStr">
        <is>
          <t>측정</t>
        </is>
      </c>
      <c r="F2465" s="26" t="inlineStr">
        <is>
          <t>서</t>
        </is>
      </c>
      <c r="G2465" s="31" t="n">
        <v>1</v>
      </c>
      <c r="H2465" s="30" t="n"/>
      <c r="I2465" s="43" t="n"/>
      <c r="J2465" s="41" t="n"/>
      <c r="K2465" s="41" t="n"/>
      <c r="L2465" s="41" t="n"/>
      <c r="M2465" s="31">
        <f>IF(COUNT(J2465:L2465)=0,"",MEDIAN(J2465:L2465))</f>
        <v/>
      </c>
      <c r="N2465" s="26">
        <f>IF(COUNTIFS($C:$C,$C2465,$D:$D,$D2465,$E:$E,"P0(전)",$M:$M,"&gt;0")&lt;&gt;1,"P0(전) 유효 1개 아님",IF(COUNTIFS($C:$C,$C2465,$D:$D,$D2465,$E:$E,"P0(후)",$M:$M,"&gt;0")&lt;&gt;1,"P0(후) 유효 1개 아님",IF(NOT(AND(ISNUMBER(O2465),ISNUMBER(Q2465),ISNUMBER(I2465))),"시각 결측",IF(Q2465&lt;=O2465,"P0 시각 역전",IF(OR(I2465&lt;O2465,I2465&gt;Q2465),"측정시각 구간 밖","OK")))))</f>
        <v/>
      </c>
      <c r="O2465" s="48">
        <f>IF(COUNTIFS($C:$C,$C2465,$D:$D,$D2465,$E:$E,"P0(전)",$M:$M,"&gt;0")&lt;&gt;1,"",SUMIFS($I:$I,$C:$C,$C2465,$D:$D,$D2465,$E:$E,"P0(전)"))</f>
        <v/>
      </c>
      <c r="P2465" s="31">
        <f>IF(COUNTIFS($C:$C,$C2465,$D:$D,$D2465,$E:$E,"P0(전)",$M:$M,"&gt;0")&lt;&gt;1,"",SUMIFS($M:$M,$C:$C,$C2465,$D:$D,$D2465,$E:$E,"P0(전)"))</f>
        <v/>
      </c>
      <c r="Q2465" s="48">
        <f>IF(COUNTIFS($C:$C,$C2465,$D:$D,$D2465,$E:$E,"P0(후)",$M:$M,"&gt;0")&lt;&gt;1,"",SUMIFS($I:$I,$C:$C,$C2465,$D:$D,$D2465,$E:$E,"P0(후)"))</f>
        <v/>
      </c>
      <c r="R2465" s="31">
        <f>IF(COUNTIFS($C:$C,$C2465,$D:$D,$D2465,$E:$E,"P0(후)",$M:$M,"&gt;0")&lt;&gt;1,"",SUMIFS($M:$M,$C:$C,$C2465,$D:$D,$D2465,$E:$E,"P0(후)"))</f>
        <v/>
      </c>
      <c r="S2465" s="31">
        <f>IF(N2465&lt;&gt;"OK","",P2465+(R2465-P2465)*(I2465-O2465)/(Q2465-O2465))</f>
        <v/>
      </c>
      <c r="T2465" s="31">
        <f>IF(OR(N2465&lt;&gt;"OK",NOT(ISNUMBER(M2465))),"",M2465-S2465)</f>
        <v/>
      </c>
      <c r="U2465" s="49">
        <f>IF(OR(NOT(ISNUMBER(T2465)),IF(ISNUMBER(H2465),H2465,G2465)=0),"",T2465/IF(ISNUMBER(H2465),H2465,G2465))</f>
        <v/>
      </c>
      <c r="V2465" s="49">
        <f>IF(ISNUMBER(U2465),ABS(U2465),"")</f>
        <v/>
      </c>
      <c r="W2465" s="49">
        <f>IF(OR($E2464&lt;&gt;"측정",$C2464&lt;&gt;$C2465,$D2464&lt;&gt;$D2465,NOT(ISNUMBER(M2465)),NOT(ISNUMBER(M2464)),(IF(ISNUMBER(H2465),H2465,G2465)-IF(ISNUMBER(H2464),H2464,G2464))=0),"",(M2465-M2464)/(IF(ISNUMBER(H2465),H2465,G2465)-IF(ISNUMBER(H2464),H2464,G2464)))</f>
        <v/>
      </c>
      <c r="X2465" s="31">
        <f>IF(NOT(AND(ISNUMBER(O2465),ISNUMBER(Q2465))),"",(Q2465-O2465)*1440)</f>
        <v/>
      </c>
      <c r="Y2465" s="29" t="n"/>
      <c r="Z2465" s="29" t="n"/>
      <c r="AA2465" s="29" t="n"/>
      <c r="AB2465" s="32" t="n"/>
      <c r="AC2465" s="32" t="n"/>
    </row>
    <row r="2466">
      <c r="A2466" s="26" t="inlineStr">
        <is>
          <t>S48</t>
        </is>
      </c>
      <c r="B2466" s="26" t="inlineStr">
        <is>
          <t>삼척</t>
        </is>
      </c>
      <c r="C2466" s="26" t="inlineStr">
        <is>
          <t>S48-H서</t>
        </is>
      </c>
      <c r="D2466" s="47" t="n">
        <v>1</v>
      </c>
      <c r="E2466" s="26" t="inlineStr">
        <is>
          <t>측정</t>
        </is>
      </c>
      <c r="F2466" s="26" t="inlineStr">
        <is>
          <t>서</t>
        </is>
      </c>
      <c r="G2466" s="31" t="n">
        <v>2</v>
      </c>
      <c r="H2466" s="30" t="n"/>
      <c r="I2466" s="43" t="n"/>
      <c r="J2466" s="41" t="n"/>
      <c r="K2466" s="41" t="n"/>
      <c r="L2466" s="41" t="n"/>
      <c r="M2466" s="31">
        <f>IF(COUNT(J2466:L2466)=0,"",MEDIAN(J2466:L2466))</f>
        <v/>
      </c>
      <c r="N2466" s="26">
        <f>IF(COUNTIFS($C:$C,$C2466,$D:$D,$D2466,$E:$E,"P0(전)",$M:$M,"&gt;0")&lt;&gt;1,"P0(전) 유효 1개 아님",IF(COUNTIFS($C:$C,$C2466,$D:$D,$D2466,$E:$E,"P0(후)",$M:$M,"&gt;0")&lt;&gt;1,"P0(후) 유효 1개 아님",IF(NOT(AND(ISNUMBER(O2466),ISNUMBER(Q2466),ISNUMBER(I2466))),"시각 결측",IF(Q2466&lt;=O2466,"P0 시각 역전",IF(OR(I2466&lt;O2466,I2466&gt;Q2466),"측정시각 구간 밖","OK")))))</f>
        <v/>
      </c>
      <c r="O2466" s="48">
        <f>IF(COUNTIFS($C:$C,$C2466,$D:$D,$D2466,$E:$E,"P0(전)",$M:$M,"&gt;0")&lt;&gt;1,"",SUMIFS($I:$I,$C:$C,$C2466,$D:$D,$D2466,$E:$E,"P0(전)"))</f>
        <v/>
      </c>
      <c r="P2466" s="31">
        <f>IF(COUNTIFS($C:$C,$C2466,$D:$D,$D2466,$E:$E,"P0(전)",$M:$M,"&gt;0")&lt;&gt;1,"",SUMIFS($M:$M,$C:$C,$C2466,$D:$D,$D2466,$E:$E,"P0(전)"))</f>
        <v/>
      </c>
      <c r="Q2466" s="48">
        <f>IF(COUNTIFS($C:$C,$C2466,$D:$D,$D2466,$E:$E,"P0(후)",$M:$M,"&gt;0")&lt;&gt;1,"",SUMIFS($I:$I,$C:$C,$C2466,$D:$D,$D2466,$E:$E,"P0(후)"))</f>
        <v/>
      </c>
      <c r="R2466" s="31">
        <f>IF(COUNTIFS($C:$C,$C2466,$D:$D,$D2466,$E:$E,"P0(후)",$M:$M,"&gt;0")&lt;&gt;1,"",SUMIFS($M:$M,$C:$C,$C2466,$D:$D,$D2466,$E:$E,"P0(후)"))</f>
        <v/>
      </c>
      <c r="S2466" s="31">
        <f>IF(N2466&lt;&gt;"OK","",P2466+(R2466-P2466)*(I2466-O2466)/(Q2466-O2466))</f>
        <v/>
      </c>
      <c r="T2466" s="31">
        <f>IF(OR(N2466&lt;&gt;"OK",NOT(ISNUMBER(M2466))),"",M2466-S2466)</f>
        <v/>
      </c>
      <c r="U2466" s="49">
        <f>IF(OR(NOT(ISNUMBER(T2466)),IF(ISNUMBER(H2466),H2466,G2466)=0),"",T2466/IF(ISNUMBER(H2466),H2466,G2466))</f>
        <v/>
      </c>
      <c r="V2466" s="49">
        <f>IF(ISNUMBER(U2466),ABS(U2466),"")</f>
        <v/>
      </c>
      <c r="W2466" s="49">
        <f>IF(OR($E2465&lt;&gt;"측정",$C2465&lt;&gt;$C2466,$D2465&lt;&gt;$D2466,NOT(ISNUMBER(M2466)),NOT(ISNUMBER(M2465)),(IF(ISNUMBER(H2466),H2466,G2466)-IF(ISNUMBER(H2465),H2465,G2465))=0),"",(M2466-M2465)/(IF(ISNUMBER(H2466),H2466,G2466)-IF(ISNUMBER(H2465),H2465,G2465)))</f>
        <v/>
      </c>
      <c r="X2466" s="31">
        <f>IF(NOT(AND(ISNUMBER(O2466),ISNUMBER(Q2466))),"",(Q2466-O2466)*1440)</f>
        <v/>
      </c>
      <c r="Y2466" s="29" t="n"/>
      <c r="Z2466" s="29" t="n"/>
      <c r="AA2466" s="29" t="n"/>
      <c r="AB2466" s="32" t="n"/>
      <c r="AC2466" s="32" t="n"/>
    </row>
    <row r="2467">
      <c r="A2467" s="26" t="inlineStr">
        <is>
          <t>S48</t>
        </is>
      </c>
      <c r="B2467" s="26" t="inlineStr">
        <is>
          <t>삼척</t>
        </is>
      </c>
      <c r="C2467" s="26" t="inlineStr">
        <is>
          <t>S48-H서</t>
        </is>
      </c>
      <c r="D2467" s="47" t="n">
        <v>1</v>
      </c>
      <c r="E2467" s="26" t="inlineStr">
        <is>
          <t>측정</t>
        </is>
      </c>
      <c r="F2467" s="26" t="inlineStr">
        <is>
          <t>서</t>
        </is>
      </c>
      <c r="G2467" s="31" t="n">
        <v>3</v>
      </c>
      <c r="H2467" s="30" t="n"/>
      <c r="I2467" s="43" t="n"/>
      <c r="J2467" s="41" t="n"/>
      <c r="K2467" s="41" t="n"/>
      <c r="L2467" s="41" t="n"/>
      <c r="M2467" s="31">
        <f>IF(COUNT(J2467:L2467)=0,"",MEDIAN(J2467:L2467))</f>
        <v/>
      </c>
      <c r="N2467" s="26">
        <f>IF(COUNTIFS($C:$C,$C2467,$D:$D,$D2467,$E:$E,"P0(전)",$M:$M,"&gt;0")&lt;&gt;1,"P0(전) 유효 1개 아님",IF(COUNTIFS($C:$C,$C2467,$D:$D,$D2467,$E:$E,"P0(후)",$M:$M,"&gt;0")&lt;&gt;1,"P0(후) 유효 1개 아님",IF(NOT(AND(ISNUMBER(O2467),ISNUMBER(Q2467),ISNUMBER(I2467))),"시각 결측",IF(Q2467&lt;=O2467,"P0 시각 역전",IF(OR(I2467&lt;O2467,I2467&gt;Q2467),"측정시각 구간 밖","OK")))))</f>
        <v/>
      </c>
      <c r="O2467" s="48">
        <f>IF(COUNTIFS($C:$C,$C2467,$D:$D,$D2467,$E:$E,"P0(전)",$M:$M,"&gt;0")&lt;&gt;1,"",SUMIFS($I:$I,$C:$C,$C2467,$D:$D,$D2467,$E:$E,"P0(전)"))</f>
        <v/>
      </c>
      <c r="P2467" s="31">
        <f>IF(COUNTIFS($C:$C,$C2467,$D:$D,$D2467,$E:$E,"P0(전)",$M:$M,"&gt;0")&lt;&gt;1,"",SUMIFS($M:$M,$C:$C,$C2467,$D:$D,$D2467,$E:$E,"P0(전)"))</f>
        <v/>
      </c>
      <c r="Q2467" s="48">
        <f>IF(COUNTIFS($C:$C,$C2467,$D:$D,$D2467,$E:$E,"P0(후)",$M:$M,"&gt;0")&lt;&gt;1,"",SUMIFS($I:$I,$C:$C,$C2467,$D:$D,$D2467,$E:$E,"P0(후)"))</f>
        <v/>
      </c>
      <c r="R2467" s="31">
        <f>IF(COUNTIFS($C:$C,$C2467,$D:$D,$D2467,$E:$E,"P0(후)",$M:$M,"&gt;0")&lt;&gt;1,"",SUMIFS($M:$M,$C:$C,$C2467,$D:$D,$D2467,$E:$E,"P0(후)"))</f>
        <v/>
      </c>
      <c r="S2467" s="31">
        <f>IF(N2467&lt;&gt;"OK","",P2467+(R2467-P2467)*(I2467-O2467)/(Q2467-O2467))</f>
        <v/>
      </c>
      <c r="T2467" s="31">
        <f>IF(OR(N2467&lt;&gt;"OK",NOT(ISNUMBER(M2467))),"",M2467-S2467)</f>
        <v/>
      </c>
      <c r="U2467" s="49">
        <f>IF(OR(NOT(ISNUMBER(T2467)),IF(ISNUMBER(H2467),H2467,G2467)=0),"",T2467/IF(ISNUMBER(H2467),H2467,G2467))</f>
        <v/>
      </c>
      <c r="V2467" s="49">
        <f>IF(ISNUMBER(U2467),ABS(U2467),"")</f>
        <v/>
      </c>
      <c r="W2467" s="49">
        <f>IF(OR($E2466&lt;&gt;"측정",$C2466&lt;&gt;$C2467,$D2466&lt;&gt;$D2467,NOT(ISNUMBER(M2467)),NOT(ISNUMBER(M2466)),(IF(ISNUMBER(H2467),H2467,G2467)-IF(ISNUMBER(H2466),H2466,G2466))=0),"",(M2467-M2466)/(IF(ISNUMBER(H2467),H2467,G2467)-IF(ISNUMBER(H2466),H2466,G2466)))</f>
        <v/>
      </c>
      <c r="X2467" s="31">
        <f>IF(NOT(AND(ISNUMBER(O2467),ISNUMBER(Q2467))),"",(Q2467-O2467)*1440)</f>
        <v/>
      </c>
      <c r="Y2467" s="29" t="n"/>
      <c r="Z2467" s="29" t="n"/>
      <c r="AA2467" s="29" t="n"/>
      <c r="AB2467" s="32" t="n"/>
      <c r="AC2467" s="32" t="n"/>
    </row>
    <row r="2468">
      <c r="A2468" s="26" t="inlineStr">
        <is>
          <t>S48</t>
        </is>
      </c>
      <c r="B2468" s="26" t="inlineStr">
        <is>
          <t>삼척</t>
        </is>
      </c>
      <c r="C2468" s="26" t="inlineStr">
        <is>
          <t>S48-H서</t>
        </is>
      </c>
      <c r="D2468" s="47" t="n">
        <v>1</v>
      </c>
      <c r="E2468" s="26" t="inlineStr">
        <is>
          <t>측정</t>
        </is>
      </c>
      <c r="F2468" s="26" t="inlineStr">
        <is>
          <t>서</t>
        </is>
      </c>
      <c r="G2468" s="31" t="n">
        <v>4</v>
      </c>
      <c r="H2468" s="30" t="n"/>
      <c r="I2468" s="43" t="n"/>
      <c r="J2468" s="41" t="n"/>
      <c r="K2468" s="41" t="n"/>
      <c r="L2468" s="41" t="n"/>
      <c r="M2468" s="31">
        <f>IF(COUNT(J2468:L2468)=0,"",MEDIAN(J2468:L2468))</f>
        <v/>
      </c>
      <c r="N2468" s="26">
        <f>IF(COUNTIFS($C:$C,$C2468,$D:$D,$D2468,$E:$E,"P0(전)",$M:$M,"&gt;0")&lt;&gt;1,"P0(전) 유효 1개 아님",IF(COUNTIFS($C:$C,$C2468,$D:$D,$D2468,$E:$E,"P0(후)",$M:$M,"&gt;0")&lt;&gt;1,"P0(후) 유효 1개 아님",IF(NOT(AND(ISNUMBER(O2468),ISNUMBER(Q2468),ISNUMBER(I2468))),"시각 결측",IF(Q2468&lt;=O2468,"P0 시각 역전",IF(OR(I2468&lt;O2468,I2468&gt;Q2468),"측정시각 구간 밖","OK")))))</f>
        <v/>
      </c>
      <c r="O2468" s="48">
        <f>IF(COUNTIFS($C:$C,$C2468,$D:$D,$D2468,$E:$E,"P0(전)",$M:$M,"&gt;0")&lt;&gt;1,"",SUMIFS($I:$I,$C:$C,$C2468,$D:$D,$D2468,$E:$E,"P0(전)"))</f>
        <v/>
      </c>
      <c r="P2468" s="31">
        <f>IF(COUNTIFS($C:$C,$C2468,$D:$D,$D2468,$E:$E,"P0(전)",$M:$M,"&gt;0")&lt;&gt;1,"",SUMIFS($M:$M,$C:$C,$C2468,$D:$D,$D2468,$E:$E,"P0(전)"))</f>
        <v/>
      </c>
      <c r="Q2468" s="48">
        <f>IF(COUNTIFS($C:$C,$C2468,$D:$D,$D2468,$E:$E,"P0(후)",$M:$M,"&gt;0")&lt;&gt;1,"",SUMIFS($I:$I,$C:$C,$C2468,$D:$D,$D2468,$E:$E,"P0(후)"))</f>
        <v/>
      </c>
      <c r="R2468" s="31">
        <f>IF(COUNTIFS($C:$C,$C2468,$D:$D,$D2468,$E:$E,"P0(후)",$M:$M,"&gt;0")&lt;&gt;1,"",SUMIFS($M:$M,$C:$C,$C2468,$D:$D,$D2468,$E:$E,"P0(후)"))</f>
        <v/>
      </c>
      <c r="S2468" s="31">
        <f>IF(N2468&lt;&gt;"OK","",P2468+(R2468-P2468)*(I2468-O2468)/(Q2468-O2468))</f>
        <v/>
      </c>
      <c r="T2468" s="31">
        <f>IF(OR(N2468&lt;&gt;"OK",NOT(ISNUMBER(M2468))),"",M2468-S2468)</f>
        <v/>
      </c>
      <c r="U2468" s="49">
        <f>IF(OR(NOT(ISNUMBER(T2468)),IF(ISNUMBER(H2468),H2468,G2468)=0),"",T2468/IF(ISNUMBER(H2468),H2468,G2468))</f>
        <v/>
      </c>
      <c r="V2468" s="49">
        <f>IF(ISNUMBER(U2468),ABS(U2468),"")</f>
        <v/>
      </c>
      <c r="W2468" s="49">
        <f>IF(OR($E2467&lt;&gt;"측정",$C2467&lt;&gt;$C2468,$D2467&lt;&gt;$D2468,NOT(ISNUMBER(M2468)),NOT(ISNUMBER(M2467)),(IF(ISNUMBER(H2468),H2468,G2468)-IF(ISNUMBER(H2467),H2467,G2467))=0),"",(M2468-M2467)/(IF(ISNUMBER(H2468),H2468,G2468)-IF(ISNUMBER(H2467),H2467,G2467)))</f>
        <v/>
      </c>
      <c r="X2468" s="31">
        <f>IF(NOT(AND(ISNUMBER(O2468),ISNUMBER(Q2468))),"",(Q2468-O2468)*1440)</f>
        <v/>
      </c>
      <c r="Y2468" s="29" t="n"/>
      <c r="Z2468" s="29" t="n"/>
      <c r="AA2468" s="29" t="n"/>
      <c r="AB2468" s="32" t="n"/>
      <c r="AC2468" s="32" t="n"/>
    </row>
    <row r="2469">
      <c r="A2469" s="26" t="inlineStr">
        <is>
          <t>S48</t>
        </is>
      </c>
      <c r="B2469" s="26" t="inlineStr">
        <is>
          <t>삼척</t>
        </is>
      </c>
      <c r="C2469" s="26" t="inlineStr">
        <is>
          <t>S48-H서</t>
        </is>
      </c>
      <c r="D2469" s="47" t="n">
        <v>1</v>
      </c>
      <c r="E2469" s="26" t="inlineStr">
        <is>
          <t>측정</t>
        </is>
      </c>
      <c r="F2469" s="26" t="inlineStr">
        <is>
          <t>서</t>
        </is>
      </c>
      <c r="G2469" s="31" t="n">
        <v>5</v>
      </c>
      <c r="H2469" s="30" t="n"/>
      <c r="I2469" s="43" t="n"/>
      <c r="J2469" s="41" t="n"/>
      <c r="K2469" s="41" t="n"/>
      <c r="L2469" s="41" t="n"/>
      <c r="M2469" s="31">
        <f>IF(COUNT(J2469:L2469)=0,"",MEDIAN(J2469:L2469))</f>
        <v/>
      </c>
      <c r="N2469" s="26">
        <f>IF(COUNTIFS($C:$C,$C2469,$D:$D,$D2469,$E:$E,"P0(전)",$M:$M,"&gt;0")&lt;&gt;1,"P0(전) 유효 1개 아님",IF(COUNTIFS($C:$C,$C2469,$D:$D,$D2469,$E:$E,"P0(후)",$M:$M,"&gt;0")&lt;&gt;1,"P0(후) 유효 1개 아님",IF(NOT(AND(ISNUMBER(O2469),ISNUMBER(Q2469),ISNUMBER(I2469))),"시각 결측",IF(Q2469&lt;=O2469,"P0 시각 역전",IF(OR(I2469&lt;O2469,I2469&gt;Q2469),"측정시각 구간 밖","OK")))))</f>
        <v/>
      </c>
      <c r="O2469" s="48">
        <f>IF(COUNTIFS($C:$C,$C2469,$D:$D,$D2469,$E:$E,"P0(전)",$M:$M,"&gt;0")&lt;&gt;1,"",SUMIFS($I:$I,$C:$C,$C2469,$D:$D,$D2469,$E:$E,"P0(전)"))</f>
        <v/>
      </c>
      <c r="P2469" s="31">
        <f>IF(COUNTIFS($C:$C,$C2469,$D:$D,$D2469,$E:$E,"P0(전)",$M:$M,"&gt;0")&lt;&gt;1,"",SUMIFS($M:$M,$C:$C,$C2469,$D:$D,$D2469,$E:$E,"P0(전)"))</f>
        <v/>
      </c>
      <c r="Q2469" s="48">
        <f>IF(COUNTIFS($C:$C,$C2469,$D:$D,$D2469,$E:$E,"P0(후)",$M:$M,"&gt;0")&lt;&gt;1,"",SUMIFS($I:$I,$C:$C,$C2469,$D:$D,$D2469,$E:$E,"P0(후)"))</f>
        <v/>
      </c>
      <c r="R2469" s="31">
        <f>IF(COUNTIFS($C:$C,$C2469,$D:$D,$D2469,$E:$E,"P0(후)",$M:$M,"&gt;0")&lt;&gt;1,"",SUMIFS($M:$M,$C:$C,$C2469,$D:$D,$D2469,$E:$E,"P0(후)"))</f>
        <v/>
      </c>
      <c r="S2469" s="31">
        <f>IF(N2469&lt;&gt;"OK","",P2469+(R2469-P2469)*(I2469-O2469)/(Q2469-O2469))</f>
        <v/>
      </c>
      <c r="T2469" s="31">
        <f>IF(OR(N2469&lt;&gt;"OK",NOT(ISNUMBER(M2469))),"",M2469-S2469)</f>
        <v/>
      </c>
      <c r="U2469" s="49">
        <f>IF(OR(NOT(ISNUMBER(T2469)),IF(ISNUMBER(H2469),H2469,G2469)=0),"",T2469/IF(ISNUMBER(H2469),H2469,G2469))</f>
        <v/>
      </c>
      <c r="V2469" s="49">
        <f>IF(ISNUMBER(U2469),ABS(U2469),"")</f>
        <v/>
      </c>
      <c r="W2469" s="49">
        <f>IF(OR($E2468&lt;&gt;"측정",$C2468&lt;&gt;$C2469,$D2468&lt;&gt;$D2469,NOT(ISNUMBER(M2469)),NOT(ISNUMBER(M2468)),(IF(ISNUMBER(H2469),H2469,G2469)-IF(ISNUMBER(H2468),H2468,G2468))=0),"",(M2469-M2468)/(IF(ISNUMBER(H2469),H2469,G2469)-IF(ISNUMBER(H2468),H2468,G2468)))</f>
        <v/>
      </c>
      <c r="X2469" s="31">
        <f>IF(NOT(AND(ISNUMBER(O2469),ISNUMBER(Q2469))),"",(Q2469-O2469)*1440)</f>
        <v/>
      </c>
      <c r="Y2469" s="29" t="n"/>
      <c r="Z2469" s="29" t="n"/>
      <c r="AA2469" s="29" t="n"/>
      <c r="AB2469" s="32" t="n"/>
      <c r="AC2469" s="32" t="n"/>
    </row>
    <row r="2470">
      <c r="A2470" s="26" t="inlineStr">
        <is>
          <t>S48</t>
        </is>
      </c>
      <c r="B2470" s="26" t="inlineStr">
        <is>
          <t>삼척</t>
        </is>
      </c>
      <c r="C2470" s="26" t="inlineStr">
        <is>
          <t>S48-H서</t>
        </is>
      </c>
      <c r="D2470" s="47" t="n">
        <v>1</v>
      </c>
      <c r="E2470" s="26" t="inlineStr">
        <is>
          <t>측정</t>
        </is>
      </c>
      <c r="F2470" s="26" t="inlineStr">
        <is>
          <t>서</t>
        </is>
      </c>
      <c r="G2470" s="31" t="n">
        <v>6</v>
      </c>
      <c r="H2470" s="30" t="n"/>
      <c r="I2470" s="43" t="n"/>
      <c r="J2470" s="41" t="n"/>
      <c r="K2470" s="41" t="n"/>
      <c r="L2470" s="41" t="n"/>
      <c r="M2470" s="31">
        <f>IF(COUNT(J2470:L2470)=0,"",MEDIAN(J2470:L2470))</f>
        <v/>
      </c>
      <c r="N2470" s="26">
        <f>IF(COUNTIFS($C:$C,$C2470,$D:$D,$D2470,$E:$E,"P0(전)",$M:$M,"&gt;0")&lt;&gt;1,"P0(전) 유효 1개 아님",IF(COUNTIFS($C:$C,$C2470,$D:$D,$D2470,$E:$E,"P0(후)",$M:$M,"&gt;0")&lt;&gt;1,"P0(후) 유효 1개 아님",IF(NOT(AND(ISNUMBER(O2470),ISNUMBER(Q2470),ISNUMBER(I2470))),"시각 결측",IF(Q2470&lt;=O2470,"P0 시각 역전",IF(OR(I2470&lt;O2470,I2470&gt;Q2470),"측정시각 구간 밖","OK")))))</f>
        <v/>
      </c>
      <c r="O2470" s="48">
        <f>IF(COUNTIFS($C:$C,$C2470,$D:$D,$D2470,$E:$E,"P0(전)",$M:$M,"&gt;0")&lt;&gt;1,"",SUMIFS($I:$I,$C:$C,$C2470,$D:$D,$D2470,$E:$E,"P0(전)"))</f>
        <v/>
      </c>
      <c r="P2470" s="31">
        <f>IF(COUNTIFS($C:$C,$C2470,$D:$D,$D2470,$E:$E,"P0(전)",$M:$M,"&gt;0")&lt;&gt;1,"",SUMIFS($M:$M,$C:$C,$C2470,$D:$D,$D2470,$E:$E,"P0(전)"))</f>
        <v/>
      </c>
      <c r="Q2470" s="48">
        <f>IF(COUNTIFS($C:$C,$C2470,$D:$D,$D2470,$E:$E,"P0(후)",$M:$M,"&gt;0")&lt;&gt;1,"",SUMIFS($I:$I,$C:$C,$C2470,$D:$D,$D2470,$E:$E,"P0(후)"))</f>
        <v/>
      </c>
      <c r="R2470" s="31">
        <f>IF(COUNTIFS($C:$C,$C2470,$D:$D,$D2470,$E:$E,"P0(후)",$M:$M,"&gt;0")&lt;&gt;1,"",SUMIFS($M:$M,$C:$C,$C2470,$D:$D,$D2470,$E:$E,"P0(후)"))</f>
        <v/>
      </c>
      <c r="S2470" s="31">
        <f>IF(N2470&lt;&gt;"OK","",P2470+(R2470-P2470)*(I2470-O2470)/(Q2470-O2470))</f>
        <v/>
      </c>
      <c r="T2470" s="31">
        <f>IF(OR(N2470&lt;&gt;"OK",NOT(ISNUMBER(M2470))),"",M2470-S2470)</f>
        <v/>
      </c>
      <c r="U2470" s="49">
        <f>IF(OR(NOT(ISNUMBER(T2470)),IF(ISNUMBER(H2470),H2470,G2470)=0),"",T2470/IF(ISNUMBER(H2470),H2470,G2470))</f>
        <v/>
      </c>
      <c r="V2470" s="49">
        <f>IF(ISNUMBER(U2470),ABS(U2470),"")</f>
        <v/>
      </c>
      <c r="W2470" s="49">
        <f>IF(OR($E2469&lt;&gt;"측정",$C2469&lt;&gt;$C2470,$D2469&lt;&gt;$D2470,NOT(ISNUMBER(M2470)),NOT(ISNUMBER(M2469)),(IF(ISNUMBER(H2470),H2470,G2470)-IF(ISNUMBER(H2469),H2469,G2469))=0),"",(M2470-M2469)/(IF(ISNUMBER(H2470),H2470,G2470)-IF(ISNUMBER(H2469),H2469,G2469)))</f>
        <v/>
      </c>
      <c r="X2470" s="31">
        <f>IF(NOT(AND(ISNUMBER(O2470),ISNUMBER(Q2470))),"",(Q2470-O2470)*1440)</f>
        <v/>
      </c>
      <c r="Y2470" s="29" t="n"/>
      <c r="Z2470" s="29" t="n"/>
      <c r="AA2470" s="29" t="n"/>
      <c r="AB2470" s="32" t="n"/>
      <c r="AC2470" s="32" t="n"/>
    </row>
    <row r="2471">
      <c r="A2471" s="26" t="inlineStr">
        <is>
          <t>S48</t>
        </is>
      </c>
      <c r="B2471" s="26" t="inlineStr">
        <is>
          <t>삼척</t>
        </is>
      </c>
      <c r="C2471" s="26" t="inlineStr">
        <is>
          <t>S48-H서</t>
        </is>
      </c>
      <c r="D2471" s="47" t="n">
        <v>1</v>
      </c>
      <c r="E2471" s="26" t="inlineStr">
        <is>
          <t>측정</t>
        </is>
      </c>
      <c r="F2471" s="26" t="inlineStr">
        <is>
          <t>서</t>
        </is>
      </c>
      <c r="G2471" s="31" t="n">
        <v>7</v>
      </c>
      <c r="H2471" s="30" t="n"/>
      <c r="I2471" s="43" t="n"/>
      <c r="J2471" s="41" t="n"/>
      <c r="K2471" s="41" t="n"/>
      <c r="L2471" s="41" t="n"/>
      <c r="M2471" s="31">
        <f>IF(COUNT(J2471:L2471)=0,"",MEDIAN(J2471:L2471))</f>
        <v/>
      </c>
      <c r="N2471" s="26">
        <f>IF(COUNTIFS($C:$C,$C2471,$D:$D,$D2471,$E:$E,"P0(전)",$M:$M,"&gt;0")&lt;&gt;1,"P0(전) 유효 1개 아님",IF(COUNTIFS($C:$C,$C2471,$D:$D,$D2471,$E:$E,"P0(후)",$M:$M,"&gt;0")&lt;&gt;1,"P0(후) 유효 1개 아님",IF(NOT(AND(ISNUMBER(O2471),ISNUMBER(Q2471),ISNUMBER(I2471))),"시각 결측",IF(Q2471&lt;=O2471,"P0 시각 역전",IF(OR(I2471&lt;O2471,I2471&gt;Q2471),"측정시각 구간 밖","OK")))))</f>
        <v/>
      </c>
      <c r="O2471" s="48">
        <f>IF(COUNTIFS($C:$C,$C2471,$D:$D,$D2471,$E:$E,"P0(전)",$M:$M,"&gt;0")&lt;&gt;1,"",SUMIFS($I:$I,$C:$C,$C2471,$D:$D,$D2471,$E:$E,"P0(전)"))</f>
        <v/>
      </c>
      <c r="P2471" s="31">
        <f>IF(COUNTIFS($C:$C,$C2471,$D:$D,$D2471,$E:$E,"P0(전)",$M:$M,"&gt;0")&lt;&gt;1,"",SUMIFS($M:$M,$C:$C,$C2471,$D:$D,$D2471,$E:$E,"P0(전)"))</f>
        <v/>
      </c>
      <c r="Q2471" s="48">
        <f>IF(COUNTIFS($C:$C,$C2471,$D:$D,$D2471,$E:$E,"P0(후)",$M:$M,"&gt;0")&lt;&gt;1,"",SUMIFS($I:$I,$C:$C,$C2471,$D:$D,$D2471,$E:$E,"P0(후)"))</f>
        <v/>
      </c>
      <c r="R2471" s="31">
        <f>IF(COUNTIFS($C:$C,$C2471,$D:$D,$D2471,$E:$E,"P0(후)",$M:$M,"&gt;0")&lt;&gt;1,"",SUMIFS($M:$M,$C:$C,$C2471,$D:$D,$D2471,$E:$E,"P0(후)"))</f>
        <v/>
      </c>
      <c r="S2471" s="31">
        <f>IF(N2471&lt;&gt;"OK","",P2471+(R2471-P2471)*(I2471-O2471)/(Q2471-O2471))</f>
        <v/>
      </c>
      <c r="T2471" s="31">
        <f>IF(OR(N2471&lt;&gt;"OK",NOT(ISNUMBER(M2471))),"",M2471-S2471)</f>
        <v/>
      </c>
      <c r="U2471" s="49">
        <f>IF(OR(NOT(ISNUMBER(T2471)),IF(ISNUMBER(H2471),H2471,G2471)=0),"",T2471/IF(ISNUMBER(H2471),H2471,G2471))</f>
        <v/>
      </c>
      <c r="V2471" s="49">
        <f>IF(ISNUMBER(U2471),ABS(U2471),"")</f>
        <v/>
      </c>
      <c r="W2471" s="49">
        <f>IF(OR($E2470&lt;&gt;"측정",$C2470&lt;&gt;$C2471,$D2470&lt;&gt;$D2471,NOT(ISNUMBER(M2471)),NOT(ISNUMBER(M2470)),(IF(ISNUMBER(H2471),H2471,G2471)-IF(ISNUMBER(H2470),H2470,G2470))=0),"",(M2471-M2470)/(IF(ISNUMBER(H2471),H2471,G2471)-IF(ISNUMBER(H2470),H2470,G2470)))</f>
        <v/>
      </c>
      <c r="X2471" s="31">
        <f>IF(NOT(AND(ISNUMBER(O2471),ISNUMBER(Q2471))),"",(Q2471-O2471)*1440)</f>
        <v/>
      </c>
      <c r="Y2471" s="29" t="n"/>
      <c r="Z2471" s="29" t="n"/>
      <c r="AA2471" s="29" t="n"/>
      <c r="AB2471" s="32" t="n"/>
      <c r="AC2471" s="32" t="n"/>
    </row>
    <row r="2472">
      <c r="A2472" s="26" t="inlineStr">
        <is>
          <t>S48</t>
        </is>
      </c>
      <c r="B2472" s="26" t="inlineStr">
        <is>
          <t>삼척</t>
        </is>
      </c>
      <c r="C2472" s="26" t="inlineStr">
        <is>
          <t>S48-H서</t>
        </is>
      </c>
      <c r="D2472" s="47" t="n">
        <v>1</v>
      </c>
      <c r="E2472" s="26" t="inlineStr">
        <is>
          <t>측정</t>
        </is>
      </c>
      <c r="F2472" s="26" t="inlineStr">
        <is>
          <t>서</t>
        </is>
      </c>
      <c r="G2472" s="31" t="n">
        <v>8</v>
      </c>
      <c r="H2472" s="30" t="n"/>
      <c r="I2472" s="43" t="n"/>
      <c r="J2472" s="41" t="n"/>
      <c r="K2472" s="41" t="n"/>
      <c r="L2472" s="41" t="n"/>
      <c r="M2472" s="31">
        <f>IF(COUNT(J2472:L2472)=0,"",MEDIAN(J2472:L2472))</f>
        <v/>
      </c>
      <c r="N2472" s="26">
        <f>IF(COUNTIFS($C:$C,$C2472,$D:$D,$D2472,$E:$E,"P0(전)",$M:$M,"&gt;0")&lt;&gt;1,"P0(전) 유효 1개 아님",IF(COUNTIFS($C:$C,$C2472,$D:$D,$D2472,$E:$E,"P0(후)",$M:$M,"&gt;0")&lt;&gt;1,"P0(후) 유효 1개 아님",IF(NOT(AND(ISNUMBER(O2472),ISNUMBER(Q2472),ISNUMBER(I2472))),"시각 결측",IF(Q2472&lt;=O2472,"P0 시각 역전",IF(OR(I2472&lt;O2472,I2472&gt;Q2472),"측정시각 구간 밖","OK")))))</f>
        <v/>
      </c>
      <c r="O2472" s="48">
        <f>IF(COUNTIFS($C:$C,$C2472,$D:$D,$D2472,$E:$E,"P0(전)",$M:$M,"&gt;0")&lt;&gt;1,"",SUMIFS($I:$I,$C:$C,$C2472,$D:$D,$D2472,$E:$E,"P0(전)"))</f>
        <v/>
      </c>
      <c r="P2472" s="31">
        <f>IF(COUNTIFS($C:$C,$C2472,$D:$D,$D2472,$E:$E,"P0(전)",$M:$M,"&gt;0")&lt;&gt;1,"",SUMIFS($M:$M,$C:$C,$C2472,$D:$D,$D2472,$E:$E,"P0(전)"))</f>
        <v/>
      </c>
      <c r="Q2472" s="48">
        <f>IF(COUNTIFS($C:$C,$C2472,$D:$D,$D2472,$E:$E,"P0(후)",$M:$M,"&gt;0")&lt;&gt;1,"",SUMIFS($I:$I,$C:$C,$C2472,$D:$D,$D2472,$E:$E,"P0(후)"))</f>
        <v/>
      </c>
      <c r="R2472" s="31">
        <f>IF(COUNTIFS($C:$C,$C2472,$D:$D,$D2472,$E:$E,"P0(후)",$M:$M,"&gt;0")&lt;&gt;1,"",SUMIFS($M:$M,$C:$C,$C2472,$D:$D,$D2472,$E:$E,"P0(후)"))</f>
        <v/>
      </c>
      <c r="S2472" s="31">
        <f>IF(N2472&lt;&gt;"OK","",P2472+(R2472-P2472)*(I2472-O2472)/(Q2472-O2472))</f>
        <v/>
      </c>
      <c r="T2472" s="31">
        <f>IF(OR(N2472&lt;&gt;"OK",NOT(ISNUMBER(M2472))),"",M2472-S2472)</f>
        <v/>
      </c>
      <c r="U2472" s="49">
        <f>IF(OR(NOT(ISNUMBER(T2472)),IF(ISNUMBER(H2472),H2472,G2472)=0),"",T2472/IF(ISNUMBER(H2472),H2472,G2472))</f>
        <v/>
      </c>
      <c r="V2472" s="49">
        <f>IF(ISNUMBER(U2472),ABS(U2472),"")</f>
        <v/>
      </c>
      <c r="W2472" s="49">
        <f>IF(OR($E2471&lt;&gt;"측정",$C2471&lt;&gt;$C2472,$D2471&lt;&gt;$D2472,NOT(ISNUMBER(M2472)),NOT(ISNUMBER(M2471)),(IF(ISNUMBER(H2472),H2472,G2472)-IF(ISNUMBER(H2471),H2471,G2471))=0),"",(M2472-M2471)/(IF(ISNUMBER(H2472),H2472,G2472)-IF(ISNUMBER(H2471),H2471,G2471)))</f>
        <v/>
      </c>
      <c r="X2472" s="31">
        <f>IF(NOT(AND(ISNUMBER(O2472),ISNUMBER(Q2472))),"",(Q2472-O2472)*1440)</f>
        <v/>
      </c>
      <c r="Y2472" s="29" t="n"/>
      <c r="Z2472" s="29" t="n"/>
      <c r="AA2472" s="29" t="n"/>
      <c r="AB2472" s="32" t="n"/>
      <c r="AC2472" s="32" t="n"/>
    </row>
    <row r="2473">
      <c r="A2473" s="26" t="inlineStr">
        <is>
          <t>S48</t>
        </is>
      </c>
      <c r="B2473" s="26" t="inlineStr">
        <is>
          <t>삼척</t>
        </is>
      </c>
      <c r="C2473" s="26" t="inlineStr">
        <is>
          <t>S48-H서</t>
        </is>
      </c>
      <c r="D2473" s="47" t="n">
        <v>1</v>
      </c>
      <c r="E2473" s="26" t="inlineStr">
        <is>
          <t>측정</t>
        </is>
      </c>
      <c r="F2473" s="26" t="inlineStr">
        <is>
          <t>서</t>
        </is>
      </c>
      <c r="G2473" s="31" t="n">
        <v>9</v>
      </c>
      <c r="H2473" s="30" t="n"/>
      <c r="I2473" s="43" t="n"/>
      <c r="J2473" s="41" t="n"/>
      <c r="K2473" s="41" t="n"/>
      <c r="L2473" s="41" t="n"/>
      <c r="M2473" s="31">
        <f>IF(COUNT(J2473:L2473)=0,"",MEDIAN(J2473:L2473))</f>
        <v/>
      </c>
      <c r="N2473" s="26">
        <f>IF(COUNTIFS($C:$C,$C2473,$D:$D,$D2473,$E:$E,"P0(전)",$M:$M,"&gt;0")&lt;&gt;1,"P0(전) 유효 1개 아님",IF(COUNTIFS($C:$C,$C2473,$D:$D,$D2473,$E:$E,"P0(후)",$M:$M,"&gt;0")&lt;&gt;1,"P0(후) 유효 1개 아님",IF(NOT(AND(ISNUMBER(O2473),ISNUMBER(Q2473),ISNUMBER(I2473))),"시각 결측",IF(Q2473&lt;=O2473,"P0 시각 역전",IF(OR(I2473&lt;O2473,I2473&gt;Q2473),"측정시각 구간 밖","OK")))))</f>
        <v/>
      </c>
      <c r="O2473" s="48">
        <f>IF(COUNTIFS($C:$C,$C2473,$D:$D,$D2473,$E:$E,"P0(전)",$M:$M,"&gt;0")&lt;&gt;1,"",SUMIFS($I:$I,$C:$C,$C2473,$D:$D,$D2473,$E:$E,"P0(전)"))</f>
        <v/>
      </c>
      <c r="P2473" s="31">
        <f>IF(COUNTIFS($C:$C,$C2473,$D:$D,$D2473,$E:$E,"P0(전)",$M:$M,"&gt;0")&lt;&gt;1,"",SUMIFS($M:$M,$C:$C,$C2473,$D:$D,$D2473,$E:$E,"P0(전)"))</f>
        <v/>
      </c>
      <c r="Q2473" s="48">
        <f>IF(COUNTIFS($C:$C,$C2473,$D:$D,$D2473,$E:$E,"P0(후)",$M:$M,"&gt;0")&lt;&gt;1,"",SUMIFS($I:$I,$C:$C,$C2473,$D:$D,$D2473,$E:$E,"P0(후)"))</f>
        <v/>
      </c>
      <c r="R2473" s="31">
        <f>IF(COUNTIFS($C:$C,$C2473,$D:$D,$D2473,$E:$E,"P0(후)",$M:$M,"&gt;0")&lt;&gt;1,"",SUMIFS($M:$M,$C:$C,$C2473,$D:$D,$D2473,$E:$E,"P0(후)"))</f>
        <v/>
      </c>
      <c r="S2473" s="31">
        <f>IF(N2473&lt;&gt;"OK","",P2473+(R2473-P2473)*(I2473-O2473)/(Q2473-O2473))</f>
        <v/>
      </c>
      <c r="T2473" s="31">
        <f>IF(OR(N2473&lt;&gt;"OK",NOT(ISNUMBER(M2473))),"",M2473-S2473)</f>
        <v/>
      </c>
      <c r="U2473" s="49">
        <f>IF(OR(NOT(ISNUMBER(T2473)),IF(ISNUMBER(H2473),H2473,G2473)=0),"",T2473/IF(ISNUMBER(H2473),H2473,G2473))</f>
        <v/>
      </c>
      <c r="V2473" s="49">
        <f>IF(ISNUMBER(U2473),ABS(U2473),"")</f>
        <v/>
      </c>
      <c r="W2473" s="49">
        <f>IF(OR($E2472&lt;&gt;"측정",$C2472&lt;&gt;$C2473,$D2472&lt;&gt;$D2473,NOT(ISNUMBER(M2473)),NOT(ISNUMBER(M2472)),(IF(ISNUMBER(H2473),H2473,G2473)-IF(ISNUMBER(H2472),H2472,G2472))=0),"",(M2473-M2472)/(IF(ISNUMBER(H2473),H2473,G2473)-IF(ISNUMBER(H2472),H2472,G2472)))</f>
        <v/>
      </c>
      <c r="X2473" s="31">
        <f>IF(NOT(AND(ISNUMBER(O2473),ISNUMBER(Q2473))),"",(Q2473-O2473)*1440)</f>
        <v/>
      </c>
      <c r="Y2473" s="29" t="n"/>
      <c r="Z2473" s="29" t="n"/>
      <c r="AA2473" s="29" t="n"/>
      <c r="AB2473" s="32" t="n"/>
      <c r="AC2473" s="32" t="n"/>
    </row>
    <row r="2474">
      <c r="A2474" s="26" t="inlineStr">
        <is>
          <t>S48</t>
        </is>
      </c>
      <c r="B2474" s="26" t="inlineStr">
        <is>
          <t>삼척</t>
        </is>
      </c>
      <c r="C2474" s="26" t="inlineStr">
        <is>
          <t>S48-H서</t>
        </is>
      </c>
      <c r="D2474" s="47" t="n">
        <v>1</v>
      </c>
      <c r="E2474" s="26" t="inlineStr">
        <is>
          <t>측정</t>
        </is>
      </c>
      <c r="F2474" s="26" t="inlineStr">
        <is>
          <t>서</t>
        </is>
      </c>
      <c r="G2474" s="31" t="n">
        <v>10</v>
      </c>
      <c r="H2474" s="30" t="n"/>
      <c r="I2474" s="43" t="n"/>
      <c r="J2474" s="41" t="n"/>
      <c r="K2474" s="41" t="n"/>
      <c r="L2474" s="41" t="n"/>
      <c r="M2474" s="31">
        <f>IF(COUNT(J2474:L2474)=0,"",MEDIAN(J2474:L2474))</f>
        <v/>
      </c>
      <c r="N2474" s="26">
        <f>IF(COUNTIFS($C:$C,$C2474,$D:$D,$D2474,$E:$E,"P0(전)",$M:$M,"&gt;0")&lt;&gt;1,"P0(전) 유효 1개 아님",IF(COUNTIFS($C:$C,$C2474,$D:$D,$D2474,$E:$E,"P0(후)",$M:$M,"&gt;0")&lt;&gt;1,"P0(후) 유효 1개 아님",IF(NOT(AND(ISNUMBER(O2474),ISNUMBER(Q2474),ISNUMBER(I2474))),"시각 결측",IF(Q2474&lt;=O2474,"P0 시각 역전",IF(OR(I2474&lt;O2474,I2474&gt;Q2474),"측정시각 구간 밖","OK")))))</f>
        <v/>
      </c>
      <c r="O2474" s="48">
        <f>IF(COUNTIFS($C:$C,$C2474,$D:$D,$D2474,$E:$E,"P0(전)",$M:$M,"&gt;0")&lt;&gt;1,"",SUMIFS($I:$I,$C:$C,$C2474,$D:$D,$D2474,$E:$E,"P0(전)"))</f>
        <v/>
      </c>
      <c r="P2474" s="31">
        <f>IF(COUNTIFS($C:$C,$C2474,$D:$D,$D2474,$E:$E,"P0(전)",$M:$M,"&gt;0")&lt;&gt;1,"",SUMIFS($M:$M,$C:$C,$C2474,$D:$D,$D2474,$E:$E,"P0(전)"))</f>
        <v/>
      </c>
      <c r="Q2474" s="48">
        <f>IF(COUNTIFS($C:$C,$C2474,$D:$D,$D2474,$E:$E,"P0(후)",$M:$M,"&gt;0")&lt;&gt;1,"",SUMIFS($I:$I,$C:$C,$C2474,$D:$D,$D2474,$E:$E,"P0(후)"))</f>
        <v/>
      </c>
      <c r="R2474" s="31">
        <f>IF(COUNTIFS($C:$C,$C2474,$D:$D,$D2474,$E:$E,"P0(후)",$M:$M,"&gt;0")&lt;&gt;1,"",SUMIFS($M:$M,$C:$C,$C2474,$D:$D,$D2474,$E:$E,"P0(후)"))</f>
        <v/>
      </c>
      <c r="S2474" s="31">
        <f>IF(N2474&lt;&gt;"OK","",P2474+(R2474-P2474)*(I2474-O2474)/(Q2474-O2474))</f>
        <v/>
      </c>
      <c r="T2474" s="31">
        <f>IF(OR(N2474&lt;&gt;"OK",NOT(ISNUMBER(M2474))),"",M2474-S2474)</f>
        <v/>
      </c>
      <c r="U2474" s="49">
        <f>IF(OR(NOT(ISNUMBER(T2474)),IF(ISNUMBER(H2474),H2474,G2474)=0),"",T2474/IF(ISNUMBER(H2474),H2474,G2474))</f>
        <v/>
      </c>
      <c r="V2474" s="49">
        <f>IF(ISNUMBER(U2474),ABS(U2474),"")</f>
        <v/>
      </c>
      <c r="W2474" s="49">
        <f>IF(OR($E2473&lt;&gt;"측정",$C2473&lt;&gt;$C2474,$D2473&lt;&gt;$D2474,NOT(ISNUMBER(M2474)),NOT(ISNUMBER(M2473)),(IF(ISNUMBER(H2474),H2474,G2474)-IF(ISNUMBER(H2473),H2473,G2473))=0),"",(M2474-M2473)/(IF(ISNUMBER(H2474),H2474,G2474)-IF(ISNUMBER(H2473),H2473,G2473)))</f>
        <v/>
      </c>
      <c r="X2474" s="31">
        <f>IF(NOT(AND(ISNUMBER(O2474),ISNUMBER(Q2474))),"",(Q2474-O2474)*1440)</f>
        <v/>
      </c>
      <c r="Y2474" s="29" t="n"/>
      <c r="Z2474" s="29" t="n"/>
      <c r="AA2474" s="29" t="n"/>
      <c r="AB2474" s="32" t="n"/>
      <c r="AC2474" s="32" t="n"/>
    </row>
    <row r="2475">
      <c r="A2475" s="44" t="inlineStr">
        <is>
          <t>S48</t>
        </is>
      </c>
      <c r="B2475" s="44" t="inlineStr">
        <is>
          <t>삼척</t>
        </is>
      </c>
      <c r="C2475" s="44" t="inlineStr">
        <is>
          <t>S48-H서</t>
        </is>
      </c>
      <c r="D2475" s="45" t="n">
        <v>1</v>
      </c>
      <c r="E2475" s="44" t="inlineStr">
        <is>
          <t>P0(후)</t>
        </is>
      </c>
      <c r="F2475" s="44" t="inlineStr">
        <is>
          <t>서</t>
        </is>
      </c>
      <c r="G2475" s="46" t="n"/>
      <c r="H2475" s="30" t="n"/>
      <c r="I2475" s="43" t="n"/>
      <c r="J2475" s="41" t="n"/>
      <c r="K2475" s="41" t="n"/>
      <c r="L2475" s="41" t="n"/>
      <c r="M2475" s="31">
        <f>IF(COUNT(J2475:L2475)=0,"",MEDIAN(J2475:L2475))</f>
        <v/>
      </c>
      <c r="N2475" s="38" t="n"/>
      <c r="O2475" s="38" t="n"/>
      <c r="P2475" s="38" t="n"/>
      <c r="Q2475" s="38" t="n"/>
      <c r="R2475" s="38" t="n"/>
      <c r="S2475" s="38" t="n"/>
      <c r="T2475" s="38" t="n"/>
      <c r="U2475" s="38" t="n"/>
      <c r="V2475" s="38" t="n"/>
      <c r="W2475" s="38" t="n"/>
      <c r="X2475" s="38" t="n"/>
      <c r="Y2475" s="29" t="n"/>
      <c r="Z2475" s="29" t="n"/>
      <c r="AA2475" s="29" t="n"/>
      <c r="AB2475" s="32" t="n"/>
      <c r="AC2475" s="32" t="n"/>
    </row>
    <row r="2476">
      <c r="A2476" s="44" t="inlineStr">
        <is>
          <t>S48</t>
        </is>
      </c>
      <c r="B2476" s="44" t="inlineStr">
        <is>
          <t>삼척</t>
        </is>
      </c>
      <c r="C2476" s="44" t="inlineStr">
        <is>
          <t>S48-H남</t>
        </is>
      </c>
      <c r="D2476" s="45" t="n">
        <v>1</v>
      </c>
      <c r="E2476" s="44" t="inlineStr">
        <is>
          <t>P0(전)</t>
        </is>
      </c>
      <c r="F2476" s="44" t="inlineStr">
        <is>
          <t>남</t>
        </is>
      </c>
      <c r="G2476" s="46" t="n"/>
      <c r="H2476" s="30" t="n"/>
      <c r="I2476" s="43" t="n"/>
      <c r="J2476" s="41" t="n"/>
      <c r="K2476" s="41" t="n"/>
      <c r="L2476" s="41" t="n"/>
      <c r="M2476" s="31">
        <f>IF(COUNT(J2476:L2476)=0,"",MEDIAN(J2476:L2476))</f>
        <v/>
      </c>
      <c r="N2476" s="38" t="n"/>
      <c r="O2476" s="38" t="n"/>
      <c r="P2476" s="38" t="n"/>
      <c r="Q2476" s="38" t="n"/>
      <c r="R2476" s="38" t="n"/>
      <c r="S2476" s="38" t="n"/>
      <c r="T2476" s="38" t="n"/>
      <c r="U2476" s="38" t="n"/>
      <c r="V2476" s="38" t="n"/>
      <c r="W2476" s="38" t="n"/>
      <c r="X2476" s="38" t="n"/>
      <c r="Y2476" s="29" t="n"/>
      <c r="Z2476" s="29" t="n"/>
      <c r="AA2476" s="29" t="n"/>
      <c r="AB2476" s="32" t="n"/>
      <c r="AC2476" s="32" t="n"/>
    </row>
    <row r="2477">
      <c r="A2477" s="26" t="inlineStr">
        <is>
          <t>S48</t>
        </is>
      </c>
      <c r="B2477" s="26" t="inlineStr">
        <is>
          <t>삼척</t>
        </is>
      </c>
      <c r="C2477" s="26" t="inlineStr">
        <is>
          <t>S48-H남</t>
        </is>
      </c>
      <c r="D2477" s="47" t="n">
        <v>1</v>
      </c>
      <c r="E2477" s="26" t="inlineStr">
        <is>
          <t>측정</t>
        </is>
      </c>
      <c r="F2477" s="26" t="inlineStr">
        <is>
          <t>남</t>
        </is>
      </c>
      <c r="G2477" s="31" t="n">
        <v>0.5</v>
      </c>
      <c r="H2477" s="30" t="n"/>
      <c r="I2477" s="43" t="n"/>
      <c r="J2477" s="41" t="n"/>
      <c r="K2477" s="41" t="n"/>
      <c r="L2477" s="41" t="n"/>
      <c r="M2477" s="31">
        <f>IF(COUNT(J2477:L2477)=0,"",MEDIAN(J2477:L2477))</f>
        <v/>
      </c>
      <c r="N2477" s="26">
        <f>IF(COUNTIFS($C:$C,$C2477,$D:$D,$D2477,$E:$E,"P0(전)",$M:$M,"&gt;0")&lt;&gt;1,"P0(전) 유효 1개 아님",IF(COUNTIFS($C:$C,$C2477,$D:$D,$D2477,$E:$E,"P0(후)",$M:$M,"&gt;0")&lt;&gt;1,"P0(후) 유효 1개 아님",IF(NOT(AND(ISNUMBER(O2477),ISNUMBER(Q2477),ISNUMBER(I2477))),"시각 결측",IF(Q2477&lt;=O2477,"P0 시각 역전",IF(OR(I2477&lt;O2477,I2477&gt;Q2477),"측정시각 구간 밖","OK")))))</f>
        <v/>
      </c>
      <c r="O2477" s="48">
        <f>IF(COUNTIFS($C:$C,$C2477,$D:$D,$D2477,$E:$E,"P0(전)",$M:$M,"&gt;0")&lt;&gt;1,"",SUMIFS($I:$I,$C:$C,$C2477,$D:$D,$D2477,$E:$E,"P0(전)"))</f>
        <v/>
      </c>
      <c r="P2477" s="31">
        <f>IF(COUNTIFS($C:$C,$C2477,$D:$D,$D2477,$E:$E,"P0(전)",$M:$M,"&gt;0")&lt;&gt;1,"",SUMIFS($M:$M,$C:$C,$C2477,$D:$D,$D2477,$E:$E,"P0(전)"))</f>
        <v/>
      </c>
      <c r="Q2477" s="48">
        <f>IF(COUNTIFS($C:$C,$C2477,$D:$D,$D2477,$E:$E,"P0(후)",$M:$M,"&gt;0")&lt;&gt;1,"",SUMIFS($I:$I,$C:$C,$C2477,$D:$D,$D2477,$E:$E,"P0(후)"))</f>
        <v/>
      </c>
      <c r="R2477" s="31">
        <f>IF(COUNTIFS($C:$C,$C2477,$D:$D,$D2477,$E:$E,"P0(후)",$M:$M,"&gt;0")&lt;&gt;1,"",SUMIFS($M:$M,$C:$C,$C2477,$D:$D,$D2477,$E:$E,"P0(후)"))</f>
        <v/>
      </c>
      <c r="S2477" s="31">
        <f>IF(N2477&lt;&gt;"OK","",P2477+(R2477-P2477)*(I2477-O2477)/(Q2477-O2477))</f>
        <v/>
      </c>
      <c r="T2477" s="31">
        <f>IF(OR(N2477&lt;&gt;"OK",NOT(ISNUMBER(M2477))),"",M2477-S2477)</f>
        <v/>
      </c>
      <c r="U2477" s="49">
        <f>IF(OR(NOT(ISNUMBER(T2477)),IF(ISNUMBER(H2477),H2477,G2477)=0),"",T2477/IF(ISNUMBER(H2477),H2477,G2477))</f>
        <v/>
      </c>
      <c r="V2477" s="49">
        <f>IF(ISNUMBER(U2477),ABS(U2477),"")</f>
        <v/>
      </c>
      <c r="W2477" s="49">
        <f>IF(OR($E2476&lt;&gt;"측정",$C2476&lt;&gt;$C2477,$D2476&lt;&gt;$D2477,NOT(ISNUMBER(M2477)),NOT(ISNUMBER(M2476)),(IF(ISNUMBER(H2477),H2477,G2477)-IF(ISNUMBER(H2476),H2476,G2476))=0),"",(M2477-M2476)/(IF(ISNUMBER(H2477),H2477,G2477)-IF(ISNUMBER(H2476),H2476,G2476)))</f>
        <v/>
      </c>
      <c r="X2477" s="31">
        <f>IF(NOT(AND(ISNUMBER(O2477),ISNUMBER(Q2477))),"",(Q2477-O2477)*1440)</f>
        <v/>
      </c>
      <c r="Y2477" s="29" t="n"/>
      <c r="Z2477" s="29" t="n"/>
      <c r="AA2477" s="29" t="n"/>
      <c r="AB2477" s="32" t="n"/>
      <c r="AC2477" s="32" t="n"/>
    </row>
    <row r="2478">
      <c r="A2478" s="26" t="inlineStr">
        <is>
          <t>S48</t>
        </is>
      </c>
      <c r="B2478" s="26" t="inlineStr">
        <is>
          <t>삼척</t>
        </is>
      </c>
      <c r="C2478" s="26" t="inlineStr">
        <is>
          <t>S48-H남</t>
        </is>
      </c>
      <c r="D2478" s="47" t="n">
        <v>1</v>
      </c>
      <c r="E2478" s="26" t="inlineStr">
        <is>
          <t>측정</t>
        </is>
      </c>
      <c r="F2478" s="26" t="inlineStr">
        <is>
          <t>남</t>
        </is>
      </c>
      <c r="G2478" s="31" t="n">
        <v>1</v>
      </c>
      <c r="H2478" s="30" t="n"/>
      <c r="I2478" s="43" t="n"/>
      <c r="J2478" s="41" t="n"/>
      <c r="K2478" s="41" t="n"/>
      <c r="L2478" s="41" t="n"/>
      <c r="M2478" s="31">
        <f>IF(COUNT(J2478:L2478)=0,"",MEDIAN(J2478:L2478))</f>
        <v/>
      </c>
      <c r="N2478" s="26">
        <f>IF(COUNTIFS($C:$C,$C2478,$D:$D,$D2478,$E:$E,"P0(전)",$M:$M,"&gt;0")&lt;&gt;1,"P0(전) 유효 1개 아님",IF(COUNTIFS($C:$C,$C2478,$D:$D,$D2478,$E:$E,"P0(후)",$M:$M,"&gt;0")&lt;&gt;1,"P0(후) 유효 1개 아님",IF(NOT(AND(ISNUMBER(O2478),ISNUMBER(Q2478),ISNUMBER(I2478))),"시각 결측",IF(Q2478&lt;=O2478,"P0 시각 역전",IF(OR(I2478&lt;O2478,I2478&gt;Q2478),"측정시각 구간 밖","OK")))))</f>
        <v/>
      </c>
      <c r="O2478" s="48">
        <f>IF(COUNTIFS($C:$C,$C2478,$D:$D,$D2478,$E:$E,"P0(전)",$M:$M,"&gt;0")&lt;&gt;1,"",SUMIFS($I:$I,$C:$C,$C2478,$D:$D,$D2478,$E:$E,"P0(전)"))</f>
        <v/>
      </c>
      <c r="P2478" s="31">
        <f>IF(COUNTIFS($C:$C,$C2478,$D:$D,$D2478,$E:$E,"P0(전)",$M:$M,"&gt;0")&lt;&gt;1,"",SUMIFS($M:$M,$C:$C,$C2478,$D:$D,$D2478,$E:$E,"P0(전)"))</f>
        <v/>
      </c>
      <c r="Q2478" s="48">
        <f>IF(COUNTIFS($C:$C,$C2478,$D:$D,$D2478,$E:$E,"P0(후)",$M:$M,"&gt;0")&lt;&gt;1,"",SUMIFS($I:$I,$C:$C,$C2478,$D:$D,$D2478,$E:$E,"P0(후)"))</f>
        <v/>
      </c>
      <c r="R2478" s="31">
        <f>IF(COUNTIFS($C:$C,$C2478,$D:$D,$D2478,$E:$E,"P0(후)",$M:$M,"&gt;0")&lt;&gt;1,"",SUMIFS($M:$M,$C:$C,$C2478,$D:$D,$D2478,$E:$E,"P0(후)"))</f>
        <v/>
      </c>
      <c r="S2478" s="31">
        <f>IF(N2478&lt;&gt;"OK","",P2478+(R2478-P2478)*(I2478-O2478)/(Q2478-O2478))</f>
        <v/>
      </c>
      <c r="T2478" s="31">
        <f>IF(OR(N2478&lt;&gt;"OK",NOT(ISNUMBER(M2478))),"",M2478-S2478)</f>
        <v/>
      </c>
      <c r="U2478" s="49">
        <f>IF(OR(NOT(ISNUMBER(T2478)),IF(ISNUMBER(H2478),H2478,G2478)=0),"",T2478/IF(ISNUMBER(H2478),H2478,G2478))</f>
        <v/>
      </c>
      <c r="V2478" s="49">
        <f>IF(ISNUMBER(U2478),ABS(U2478),"")</f>
        <v/>
      </c>
      <c r="W2478" s="49">
        <f>IF(OR($E2477&lt;&gt;"측정",$C2477&lt;&gt;$C2478,$D2477&lt;&gt;$D2478,NOT(ISNUMBER(M2478)),NOT(ISNUMBER(M2477)),(IF(ISNUMBER(H2478),H2478,G2478)-IF(ISNUMBER(H2477),H2477,G2477))=0),"",(M2478-M2477)/(IF(ISNUMBER(H2478),H2478,G2478)-IF(ISNUMBER(H2477),H2477,G2477)))</f>
        <v/>
      </c>
      <c r="X2478" s="31">
        <f>IF(NOT(AND(ISNUMBER(O2478),ISNUMBER(Q2478))),"",(Q2478-O2478)*1440)</f>
        <v/>
      </c>
      <c r="Y2478" s="29" t="n"/>
      <c r="Z2478" s="29" t="n"/>
      <c r="AA2478" s="29" t="n"/>
      <c r="AB2478" s="32" t="n"/>
      <c r="AC2478" s="32" t="n"/>
    </row>
    <row r="2479">
      <c r="A2479" s="26" t="inlineStr">
        <is>
          <t>S48</t>
        </is>
      </c>
      <c r="B2479" s="26" t="inlineStr">
        <is>
          <t>삼척</t>
        </is>
      </c>
      <c r="C2479" s="26" t="inlineStr">
        <is>
          <t>S48-H남</t>
        </is>
      </c>
      <c r="D2479" s="47" t="n">
        <v>1</v>
      </c>
      <c r="E2479" s="26" t="inlineStr">
        <is>
          <t>측정</t>
        </is>
      </c>
      <c r="F2479" s="26" t="inlineStr">
        <is>
          <t>남</t>
        </is>
      </c>
      <c r="G2479" s="31" t="n">
        <v>2</v>
      </c>
      <c r="H2479" s="30" t="n"/>
      <c r="I2479" s="43" t="n"/>
      <c r="J2479" s="41" t="n"/>
      <c r="K2479" s="41" t="n"/>
      <c r="L2479" s="41" t="n"/>
      <c r="M2479" s="31">
        <f>IF(COUNT(J2479:L2479)=0,"",MEDIAN(J2479:L2479))</f>
        <v/>
      </c>
      <c r="N2479" s="26">
        <f>IF(COUNTIFS($C:$C,$C2479,$D:$D,$D2479,$E:$E,"P0(전)",$M:$M,"&gt;0")&lt;&gt;1,"P0(전) 유효 1개 아님",IF(COUNTIFS($C:$C,$C2479,$D:$D,$D2479,$E:$E,"P0(후)",$M:$M,"&gt;0")&lt;&gt;1,"P0(후) 유효 1개 아님",IF(NOT(AND(ISNUMBER(O2479),ISNUMBER(Q2479),ISNUMBER(I2479))),"시각 결측",IF(Q2479&lt;=O2479,"P0 시각 역전",IF(OR(I2479&lt;O2479,I2479&gt;Q2479),"측정시각 구간 밖","OK")))))</f>
        <v/>
      </c>
      <c r="O2479" s="48">
        <f>IF(COUNTIFS($C:$C,$C2479,$D:$D,$D2479,$E:$E,"P0(전)",$M:$M,"&gt;0")&lt;&gt;1,"",SUMIFS($I:$I,$C:$C,$C2479,$D:$D,$D2479,$E:$E,"P0(전)"))</f>
        <v/>
      </c>
      <c r="P2479" s="31">
        <f>IF(COUNTIFS($C:$C,$C2479,$D:$D,$D2479,$E:$E,"P0(전)",$M:$M,"&gt;0")&lt;&gt;1,"",SUMIFS($M:$M,$C:$C,$C2479,$D:$D,$D2479,$E:$E,"P0(전)"))</f>
        <v/>
      </c>
      <c r="Q2479" s="48">
        <f>IF(COUNTIFS($C:$C,$C2479,$D:$D,$D2479,$E:$E,"P0(후)",$M:$M,"&gt;0")&lt;&gt;1,"",SUMIFS($I:$I,$C:$C,$C2479,$D:$D,$D2479,$E:$E,"P0(후)"))</f>
        <v/>
      </c>
      <c r="R2479" s="31">
        <f>IF(COUNTIFS($C:$C,$C2479,$D:$D,$D2479,$E:$E,"P0(후)",$M:$M,"&gt;0")&lt;&gt;1,"",SUMIFS($M:$M,$C:$C,$C2479,$D:$D,$D2479,$E:$E,"P0(후)"))</f>
        <v/>
      </c>
      <c r="S2479" s="31">
        <f>IF(N2479&lt;&gt;"OK","",P2479+(R2479-P2479)*(I2479-O2479)/(Q2479-O2479))</f>
        <v/>
      </c>
      <c r="T2479" s="31">
        <f>IF(OR(N2479&lt;&gt;"OK",NOT(ISNUMBER(M2479))),"",M2479-S2479)</f>
        <v/>
      </c>
      <c r="U2479" s="49">
        <f>IF(OR(NOT(ISNUMBER(T2479)),IF(ISNUMBER(H2479),H2479,G2479)=0),"",T2479/IF(ISNUMBER(H2479),H2479,G2479))</f>
        <v/>
      </c>
      <c r="V2479" s="49">
        <f>IF(ISNUMBER(U2479),ABS(U2479),"")</f>
        <v/>
      </c>
      <c r="W2479" s="49">
        <f>IF(OR($E2478&lt;&gt;"측정",$C2478&lt;&gt;$C2479,$D2478&lt;&gt;$D2479,NOT(ISNUMBER(M2479)),NOT(ISNUMBER(M2478)),(IF(ISNUMBER(H2479),H2479,G2479)-IF(ISNUMBER(H2478),H2478,G2478))=0),"",(M2479-M2478)/(IF(ISNUMBER(H2479),H2479,G2479)-IF(ISNUMBER(H2478),H2478,G2478)))</f>
        <v/>
      </c>
      <c r="X2479" s="31">
        <f>IF(NOT(AND(ISNUMBER(O2479),ISNUMBER(Q2479))),"",(Q2479-O2479)*1440)</f>
        <v/>
      </c>
      <c r="Y2479" s="29" t="n"/>
      <c r="Z2479" s="29" t="n"/>
      <c r="AA2479" s="29" t="n"/>
      <c r="AB2479" s="32" t="n"/>
      <c r="AC2479" s="32" t="n"/>
    </row>
    <row r="2480">
      <c r="A2480" s="26" t="inlineStr">
        <is>
          <t>S48</t>
        </is>
      </c>
      <c r="B2480" s="26" t="inlineStr">
        <is>
          <t>삼척</t>
        </is>
      </c>
      <c r="C2480" s="26" t="inlineStr">
        <is>
          <t>S48-H남</t>
        </is>
      </c>
      <c r="D2480" s="47" t="n">
        <v>1</v>
      </c>
      <c r="E2480" s="26" t="inlineStr">
        <is>
          <t>측정</t>
        </is>
      </c>
      <c r="F2480" s="26" t="inlineStr">
        <is>
          <t>남</t>
        </is>
      </c>
      <c r="G2480" s="31" t="n">
        <v>3</v>
      </c>
      <c r="H2480" s="30" t="n"/>
      <c r="I2480" s="43" t="n"/>
      <c r="J2480" s="41" t="n"/>
      <c r="K2480" s="41" t="n"/>
      <c r="L2480" s="41" t="n"/>
      <c r="M2480" s="31">
        <f>IF(COUNT(J2480:L2480)=0,"",MEDIAN(J2480:L2480))</f>
        <v/>
      </c>
      <c r="N2480" s="26">
        <f>IF(COUNTIFS($C:$C,$C2480,$D:$D,$D2480,$E:$E,"P0(전)",$M:$M,"&gt;0")&lt;&gt;1,"P0(전) 유효 1개 아님",IF(COUNTIFS($C:$C,$C2480,$D:$D,$D2480,$E:$E,"P0(후)",$M:$M,"&gt;0")&lt;&gt;1,"P0(후) 유효 1개 아님",IF(NOT(AND(ISNUMBER(O2480),ISNUMBER(Q2480),ISNUMBER(I2480))),"시각 결측",IF(Q2480&lt;=O2480,"P0 시각 역전",IF(OR(I2480&lt;O2480,I2480&gt;Q2480),"측정시각 구간 밖","OK")))))</f>
        <v/>
      </c>
      <c r="O2480" s="48">
        <f>IF(COUNTIFS($C:$C,$C2480,$D:$D,$D2480,$E:$E,"P0(전)",$M:$M,"&gt;0")&lt;&gt;1,"",SUMIFS($I:$I,$C:$C,$C2480,$D:$D,$D2480,$E:$E,"P0(전)"))</f>
        <v/>
      </c>
      <c r="P2480" s="31">
        <f>IF(COUNTIFS($C:$C,$C2480,$D:$D,$D2480,$E:$E,"P0(전)",$M:$M,"&gt;0")&lt;&gt;1,"",SUMIFS($M:$M,$C:$C,$C2480,$D:$D,$D2480,$E:$E,"P0(전)"))</f>
        <v/>
      </c>
      <c r="Q2480" s="48">
        <f>IF(COUNTIFS($C:$C,$C2480,$D:$D,$D2480,$E:$E,"P0(후)",$M:$M,"&gt;0")&lt;&gt;1,"",SUMIFS($I:$I,$C:$C,$C2480,$D:$D,$D2480,$E:$E,"P0(후)"))</f>
        <v/>
      </c>
      <c r="R2480" s="31">
        <f>IF(COUNTIFS($C:$C,$C2480,$D:$D,$D2480,$E:$E,"P0(후)",$M:$M,"&gt;0")&lt;&gt;1,"",SUMIFS($M:$M,$C:$C,$C2480,$D:$D,$D2480,$E:$E,"P0(후)"))</f>
        <v/>
      </c>
      <c r="S2480" s="31">
        <f>IF(N2480&lt;&gt;"OK","",P2480+(R2480-P2480)*(I2480-O2480)/(Q2480-O2480))</f>
        <v/>
      </c>
      <c r="T2480" s="31">
        <f>IF(OR(N2480&lt;&gt;"OK",NOT(ISNUMBER(M2480))),"",M2480-S2480)</f>
        <v/>
      </c>
      <c r="U2480" s="49">
        <f>IF(OR(NOT(ISNUMBER(T2480)),IF(ISNUMBER(H2480),H2480,G2480)=0),"",T2480/IF(ISNUMBER(H2480),H2480,G2480))</f>
        <v/>
      </c>
      <c r="V2480" s="49">
        <f>IF(ISNUMBER(U2480),ABS(U2480),"")</f>
        <v/>
      </c>
      <c r="W2480" s="49">
        <f>IF(OR($E2479&lt;&gt;"측정",$C2479&lt;&gt;$C2480,$D2479&lt;&gt;$D2480,NOT(ISNUMBER(M2480)),NOT(ISNUMBER(M2479)),(IF(ISNUMBER(H2480),H2480,G2480)-IF(ISNUMBER(H2479),H2479,G2479))=0),"",(M2480-M2479)/(IF(ISNUMBER(H2480),H2480,G2480)-IF(ISNUMBER(H2479),H2479,G2479)))</f>
        <v/>
      </c>
      <c r="X2480" s="31">
        <f>IF(NOT(AND(ISNUMBER(O2480),ISNUMBER(Q2480))),"",(Q2480-O2480)*1440)</f>
        <v/>
      </c>
      <c r="Y2480" s="29" t="n"/>
      <c r="Z2480" s="29" t="n"/>
      <c r="AA2480" s="29" t="n"/>
      <c r="AB2480" s="32" t="n"/>
      <c r="AC2480" s="32" t="n"/>
    </row>
    <row r="2481">
      <c r="A2481" s="26" t="inlineStr">
        <is>
          <t>S48</t>
        </is>
      </c>
      <c r="B2481" s="26" t="inlineStr">
        <is>
          <t>삼척</t>
        </is>
      </c>
      <c r="C2481" s="26" t="inlineStr">
        <is>
          <t>S48-H남</t>
        </is>
      </c>
      <c r="D2481" s="47" t="n">
        <v>1</v>
      </c>
      <c r="E2481" s="26" t="inlineStr">
        <is>
          <t>측정</t>
        </is>
      </c>
      <c r="F2481" s="26" t="inlineStr">
        <is>
          <t>남</t>
        </is>
      </c>
      <c r="G2481" s="31" t="n">
        <v>4</v>
      </c>
      <c r="H2481" s="30" t="n"/>
      <c r="I2481" s="43" t="n"/>
      <c r="J2481" s="41" t="n"/>
      <c r="K2481" s="41" t="n"/>
      <c r="L2481" s="41" t="n"/>
      <c r="M2481" s="31">
        <f>IF(COUNT(J2481:L2481)=0,"",MEDIAN(J2481:L2481))</f>
        <v/>
      </c>
      <c r="N2481" s="26">
        <f>IF(COUNTIFS($C:$C,$C2481,$D:$D,$D2481,$E:$E,"P0(전)",$M:$M,"&gt;0")&lt;&gt;1,"P0(전) 유효 1개 아님",IF(COUNTIFS($C:$C,$C2481,$D:$D,$D2481,$E:$E,"P0(후)",$M:$M,"&gt;0")&lt;&gt;1,"P0(후) 유효 1개 아님",IF(NOT(AND(ISNUMBER(O2481),ISNUMBER(Q2481),ISNUMBER(I2481))),"시각 결측",IF(Q2481&lt;=O2481,"P0 시각 역전",IF(OR(I2481&lt;O2481,I2481&gt;Q2481),"측정시각 구간 밖","OK")))))</f>
        <v/>
      </c>
      <c r="O2481" s="48">
        <f>IF(COUNTIFS($C:$C,$C2481,$D:$D,$D2481,$E:$E,"P0(전)",$M:$M,"&gt;0")&lt;&gt;1,"",SUMIFS($I:$I,$C:$C,$C2481,$D:$D,$D2481,$E:$E,"P0(전)"))</f>
        <v/>
      </c>
      <c r="P2481" s="31">
        <f>IF(COUNTIFS($C:$C,$C2481,$D:$D,$D2481,$E:$E,"P0(전)",$M:$M,"&gt;0")&lt;&gt;1,"",SUMIFS($M:$M,$C:$C,$C2481,$D:$D,$D2481,$E:$E,"P0(전)"))</f>
        <v/>
      </c>
      <c r="Q2481" s="48">
        <f>IF(COUNTIFS($C:$C,$C2481,$D:$D,$D2481,$E:$E,"P0(후)",$M:$M,"&gt;0")&lt;&gt;1,"",SUMIFS($I:$I,$C:$C,$C2481,$D:$D,$D2481,$E:$E,"P0(후)"))</f>
        <v/>
      </c>
      <c r="R2481" s="31">
        <f>IF(COUNTIFS($C:$C,$C2481,$D:$D,$D2481,$E:$E,"P0(후)",$M:$M,"&gt;0")&lt;&gt;1,"",SUMIFS($M:$M,$C:$C,$C2481,$D:$D,$D2481,$E:$E,"P0(후)"))</f>
        <v/>
      </c>
      <c r="S2481" s="31">
        <f>IF(N2481&lt;&gt;"OK","",P2481+(R2481-P2481)*(I2481-O2481)/(Q2481-O2481))</f>
        <v/>
      </c>
      <c r="T2481" s="31">
        <f>IF(OR(N2481&lt;&gt;"OK",NOT(ISNUMBER(M2481))),"",M2481-S2481)</f>
        <v/>
      </c>
      <c r="U2481" s="49">
        <f>IF(OR(NOT(ISNUMBER(T2481)),IF(ISNUMBER(H2481),H2481,G2481)=0),"",T2481/IF(ISNUMBER(H2481),H2481,G2481))</f>
        <v/>
      </c>
      <c r="V2481" s="49">
        <f>IF(ISNUMBER(U2481),ABS(U2481),"")</f>
        <v/>
      </c>
      <c r="W2481" s="49">
        <f>IF(OR($E2480&lt;&gt;"측정",$C2480&lt;&gt;$C2481,$D2480&lt;&gt;$D2481,NOT(ISNUMBER(M2481)),NOT(ISNUMBER(M2480)),(IF(ISNUMBER(H2481),H2481,G2481)-IF(ISNUMBER(H2480),H2480,G2480))=0),"",(M2481-M2480)/(IF(ISNUMBER(H2481),H2481,G2481)-IF(ISNUMBER(H2480),H2480,G2480)))</f>
        <v/>
      </c>
      <c r="X2481" s="31">
        <f>IF(NOT(AND(ISNUMBER(O2481),ISNUMBER(Q2481))),"",(Q2481-O2481)*1440)</f>
        <v/>
      </c>
      <c r="Y2481" s="29" t="n"/>
      <c r="Z2481" s="29" t="n"/>
      <c r="AA2481" s="29" t="n"/>
      <c r="AB2481" s="32" t="n"/>
      <c r="AC2481" s="32" t="n"/>
    </row>
    <row r="2482">
      <c r="A2482" s="26" t="inlineStr">
        <is>
          <t>S48</t>
        </is>
      </c>
      <c r="B2482" s="26" t="inlineStr">
        <is>
          <t>삼척</t>
        </is>
      </c>
      <c r="C2482" s="26" t="inlineStr">
        <is>
          <t>S48-H남</t>
        </is>
      </c>
      <c r="D2482" s="47" t="n">
        <v>1</v>
      </c>
      <c r="E2482" s="26" t="inlineStr">
        <is>
          <t>측정</t>
        </is>
      </c>
      <c r="F2482" s="26" t="inlineStr">
        <is>
          <t>남</t>
        </is>
      </c>
      <c r="G2482" s="31" t="n">
        <v>5</v>
      </c>
      <c r="H2482" s="30" t="n"/>
      <c r="I2482" s="43" t="n"/>
      <c r="J2482" s="41" t="n"/>
      <c r="K2482" s="41" t="n"/>
      <c r="L2482" s="41" t="n"/>
      <c r="M2482" s="31">
        <f>IF(COUNT(J2482:L2482)=0,"",MEDIAN(J2482:L2482))</f>
        <v/>
      </c>
      <c r="N2482" s="26">
        <f>IF(COUNTIFS($C:$C,$C2482,$D:$D,$D2482,$E:$E,"P0(전)",$M:$M,"&gt;0")&lt;&gt;1,"P0(전) 유효 1개 아님",IF(COUNTIFS($C:$C,$C2482,$D:$D,$D2482,$E:$E,"P0(후)",$M:$M,"&gt;0")&lt;&gt;1,"P0(후) 유효 1개 아님",IF(NOT(AND(ISNUMBER(O2482),ISNUMBER(Q2482),ISNUMBER(I2482))),"시각 결측",IF(Q2482&lt;=O2482,"P0 시각 역전",IF(OR(I2482&lt;O2482,I2482&gt;Q2482),"측정시각 구간 밖","OK")))))</f>
        <v/>
      </c>
      <c r="O2482" s="48">
        <f>IF(COUNTIFS($C:$C,$C2482,$D:$D,$D2482,$E:$E,"P0(전)",$M:$M,"&gt;0")&lt;&gt;1,"",SUMIFS($I:$I,$C:$C,$C2482,$D:$D,$D2482,$E:$E,"P0(전)"))</f>
        <v/>
      </c>
      <c r="P2482" s="31">
        <f>IF(COUNTIFS($C:$C,$C2482,$D:$D,$D2482,$E:$E,"P0(전)",$M:$M,"&gt;0")&lt;&gt;1,"",SUMIFS($M:$M,$C:$C,$C2482,$D:$D,$D2482,$E:$E,"P0(전)"))</f>
        <v/>
      </c>
      <c r="Q2482" s="48">
        <f>IF(COUNTIFS($C:$C,$C2482,$D:$D,$D2482,$E:$E,"P0(후)",$M:$M,"&gt;0")&lt;&gt;1,"",SUMIFS($I:$I,$C:$C,$C2482,$D:$D,$D2482,$E:$E,"P0(후)"))</f>
        <v/>
      </c>
      <c r="R2482" s="31">
        <f>IF(COUNTIFS($C:$C,$C2482,$D:$D,$D2482,$E:$E,"P0(후)",$M:$M,"&gt;0")&lt;&gt;1,"",SUMIFS($M:$M,$C:$C,$C2482,$D:$D,$D2482,$E:$E,"P0(후)"))</f>
        <v/>
      </c>
      <c r="S2482" s="31">
        <f>IF(N2482&lt;&gt;"OK","",P2482+(R2482-P2482)*(I2482-O2482)/(Q2482-O2482))</f>
        <v/>
      </c>
      <c r="T2482" s="31">
        <f>IF(OR(N2482&lt;&gt;"OK",NOT(ISNUMBER(M2482))),"",M2482-S2482)</f>
        <v/>
      </c>
      <c r="U2482" s="49">
        <f>IF(OR(NOT(ISNUMBER(T2482)),IF(ISNUMBER(H2482),H2482,G2482)=0),"",T2482/IF(ISNUMBER(H2482),H2482,G2482))</f>
        <v/>
      </c>
      <c r="V2482" s="49">
        <f>IF(ISNUMBER(U2482),ABS(U2482),"")</f>
        <v/>
      </c>
      <c r="W2482" s="49">
        <f>IF(OR($E2481&lt;&gt;"측정",$C2481&lt;&gt;$C2482,$D2481&lt;&gt;$D2482,NOT(ISNUMBER(M2482)),NOT(ISNUMBER(M2481)),(IF(ISNUMBER(H2482),H2482,G2482)-IF(ISNUMBER(H2481),H2481,G2481))=0),"",(M2482-M2481)/(IF(ISNUMBER(H2482),H2482,G2482)-IF(ISNUMBER(H2481),H2481,G2481)))</f>
        <v/>
      </c>
      <c r="X2482" s="31">
        <f>IF(NOT(AND(ISNUMBER(O2482),ISNUMBER(Q2482))),"",(Q2482-O2482)*1440)</f>
        <v/>
      </c>
      <c r="Y2482" s="29" t="n"/>
      <c r="Z2482" s="29" t="n"/>
      <c r="AA2482" s="29" t="n"/>
      <c r="AB2482" s="32" t="n"/>
      <c r="AC2482" s="32" t="n"/>
    </row>
    <row r="2483">
      <c r="A2483" s="26" t="inlineStr">
        <is>
          <t>S48</t>
        </is>
      </c>
      <c r="B2483" s="26" t="inlineStr">
        <is>
          <t>삼척</t>
        </is>
      </c>
      <c r="C2483" s="26" t="inlineStr">
        <is>
          <t>S48-H남</t>
        </is>
      </c>
      <c r="D2483" s="47" t="n">
        <v>1</v>
      </c>
      <c r="E2483" s="26" t="inlineStr">
        <is>
          <t>측정</t>
        </is>
      </c>
      <c r="F2483" s="26" t="inlineStr">
        <is>
          <t>남</t>
        </is>
      </c>
      <c r="G2483" s="31" t="n">
        <v>6</v>
      </c>
      <c r="H2483" s="30" t="n"/>
      <c r="I2483" s="43" t="n"/>
      <c r="J2483" s="41" t="n"/>
      <c r="K2483" s="41" t="n"/>
      <c r="L2483" s="41" t="n"/>
      <c r="M2483" s="31">
        <f>IF(COUNT(J2483:L2483)=0,"",MEDIAN(J2483:L2483))</f>
        <v/>
      </c>
      <c r="N2483" s="26">
        <f>IF(COUNTIFS($C:$C,$C2483,$D:$D,$D2483,$E:$E,"P0(전)",$M:$M,"&gt;0")&lt;&gt;1,"P0(전) 유효 1개 아님",IF(COUNTIFS($C:$C,$C2483,$D:$D,$D2483,$E:$E,"P0(후)",$M:$M,"&gt;0")&lt;&gt;1,"P0(후) 유효 1개 아님",IF(NOT(AND(ISNUMBER(O2483),ISNUMBER(Q2483),ISNUMBER(I2483))),"시각 결측",IF(Q2483&lt;=O2483,"P0 시각 역전",IF(OR(I2483&lt;O2483,I2483&gt;Q2483),"측정시각 구간 밖","OK")))))</f>
        <v/>
      </c>
      <c r="O2483" s="48">
        <f>IF(COUNTIFS($C:$C,$C2483,$D:$D,$D2483,$E:$E,"P0(전)",$M:$M,"&gt;0")&lt;&gt;1,"",SUMIFS($I:$I,$C:$C,$C2483,$D:$D,$D2483,$E:$E,"P0(전)"))</f>
        <v/>
      </c>
      <c r="P2483" s="31">
        <f>IF(COUNTIFS($C:$C,$C2483,$D:$D,$D2483,$E:$E,"P0(전)",$M:$M,"&gt;0")&lt;&gt;1,"",SUMIFS($M:$M,$C:$C,$C2483,$D:$D,$D2483,$E:$E,"P0(전)"))</f>
        <v/>
      </c>
      <c r="Q2483" s="48">
        <f>IF(COUNTIFS($C:$C,$C2483,$D:$D,$D2483,$E:$E,"P0(후)",$M:$M,"&gt;0")&lt;&gt;1,"",SUMIFS($I:$I,$C:$C,$C2483,$D:$D,$D2483,$E:$E,"P0(후)"))</f>
        <v/>
      </c>
      <c r="R2483" s="31">
        <f>IF(COUNTIFS($C:$C,$C2483,$D:$D,$D2483,$E:$E,"P0(후)",$M:$M,"&gt;0")&lt;&gt;1,"",SUMIFS($M:$M,$C:$C,$C2483,$D:$D,$D2483,$E:$E,"P0(후)"))</f>
        <v/>
      </c>
      <c r="S2483" s="31">
        <f>IF(N2483&lt;&gt;"OK","",P2483+(R2483-P2483)*(I2483-O2483)/(Q2483-O2483))</f>
        <v/>
      </c>
      <c r="T2483" s="31">
        <f>IF(OR(N2483&lt;&gt;"OK",NOT(ISNUMBER(M2483))),"",M2483-S2483)</f>
        <v/>
      </c>
      <c r="U2483" s="49">
        <f>IF(OR(NOT(ISNUMBER(T2483)),IF(ISNUMBER(H2483),H2483,G2483)=0),"",T2483/IF(ISNUMBER(H2483),H2483,G2483))</f>
        <v/>
      </c>
      <c r="V2483" s="49">
        <f>IF(ISNUMBER(U2483),ABS(U2483),"")</f>
        <v/>
      </c>
      <c r="W2483" s="49">
        <f>IF(OR($E2482&lt;&gt;"측정",$C2482&lt;&gt;$C2483,$D2482&lt;&gt;$D2483,NOT(ISNUMBER(M2483)),NOT(ISNUMBER(M2482)),(IF(ISNUMBER(H2483),H2483,G2483)-IF(ISNUMBER(H2482),H2482,G2482))=0),"",(M2483-M2482)/(IF(ISNUMBER(H2483),H2483,G2483)-IF(ISNUMBER(H2482),H2482,G2482)))</f>
        <v/>
      </c>
      <c r="X2483" s="31">
        <f>IF(NOT(AND(ISNUMBER(O2483),ISNUMBER(Q2483))),"",(Q2483-O2483)*1440)</f>
        <v/>
      </c>
      <c r="Y2483" s="29" t="n"/>
      <c r="Z2483" s="29" t="n"/>
      <c r="AA2483" s="29" t="n"/>
      <c r="AB2483" s="32" t="n"/>
      <c r="AC2483" s="32" t="n"/>
    </row>
    <row r="2484">
      <c r="A2484" s="26" t="inlineStr">
        <is>
          <t>S48</t>
        </is>
      </c>
      <c r="B2484" s="26" t="inlineStr">
        <is>
          <t>삼척</t>
        </is>
      </c>
      <c r="C2484" s="26" t="inlineStr">
        <is>
          <t>S48-H남</t>
        </is>
      </c>
      <c r="D2484" s="47" t="n">
        <v>1</v>
      </c>
      <c r="E2484" s="26" t="inlineStr">
        <is>
          <t>측정</t>
        </is>
      </c>
      <c r="F2484" s="26" t="inlineStr">
        <is>
          <t>남</t>
        </is>
      </c>
      <c r="G2484" s="31" t="n">
        <v>7</v>
      </c>
      <c r="H2484" s="30" t="n"/>
      <c r="I2484" s="43" t="n"/>
      <c r="J2484" s="41" t="n"/>
      <c r="K2484" s="41" t="n"/>
      <c r="L2484" s="41" t="n"/>
      <c r="M2484" s="31">
        <f>IF(COUNT(J2484:L2484)=0,"",MEDIAN(J2484:L2484))</f>
        <v/>
      </c>
      <c r="N2484" s="26">
        <f>IF(COUNTIFS($C:$C,$C2484,$D:$D,$D2484,$E:$E,"P0(전)",$M:$M,"&gt;0")&lt;&gt;1,"P0(전) 유효 1개 아님",IF(COUNTIFS($C:$C,$C2484,$D:$D,$D2484,$E:$E,"P0(후)",$M:$M,"&gt;0")&lt;&gt;1,"P0(후) 유효 1개 아님",IF(NOT(AND(ISNUMBER(O2484),ISNUMBER(Q2484),ISNUMBER(I2484))),"시각 결측",IF(Q2484&lt;=O2484,"P0 시각 역전",IF(OR(I2484&lt;O2484,I2484&gt;Q2484),"측정시각 구간 밖","OK")))))</f>
        <v/>
      </c>
      <c r="O2484" s="48">
        <f>IF(COUNTIFS($C:$C,$C2484,$D:$D,$D2484,$E:$E,"P0(전)",$M:$M,"&gt;0")&lt;&gt;1,"",SUMIFS($I:$I,$C:$C,$C2484,$D:$D,$D2484,$E:$E,"P0(전)"))</f>
        <v/>
      </c>
      <c r="P2484" s="31">
        <f>IF(COUNTIFS($C:$C,$C2484,$D:$D,$D2484,$E:$E,"P0(전)",$M:$M,"&gt;0")&lt;&gt;1,"",SUMIFS($M:$M,$C:$C,$C2484,$D:$D,$D2484,$E:$E,"P0(전)"))</f>
        <v/>
      </c>
      <c r="Q2484" s="48">
        <f>IF(COUNTIFS($C:$C,$C2484,$D:$D,$D2484,$E:$E,"P0(후)",$M:$M,"&gt;0")&lt;&gt;1,"",SUMIFS($I:$I,$C:$C,$C2484,$D:$D,$D2484,$E:$E,"P0(후)"))</f>
        <v/>
      </c>
      <c r="R2484" s="31">
        <f>IF(COUNTIFS($C:$C,$C2484,$D:$D,$D2484,$E:$E,"P0(후)",$M:$M,"&gt;0")&lt;&gt;1,"",SUMIFS($M:$M,$C:$C,$C2484,$D:$D,$D2484,$E:$E,"P0(후)"))</f>
        <v/>
      </c>
      <c r="S2484" s="31">
        <f>IF(N2484&lt;&gt;"OK","",P2484+(R2484-P2484)*(I2484-O2484)/(Q2484-O2484))</f>
        <v/>
      </c>
      <c r="T2484" s="31">
        <f>IF(OR(N2484&lt;&gt;"OK",NOT(ISNUMBER(M2484))),"",M2484-S2484)</f>
        <v/>
      </c>
      <c r="U2484" s="49">
        <f>IF(OR(NOT(ISNUMBER(T2484)),IF(ISNUMBER(H2484),H2484,G2484)=0),"",T2484/IF(ISNUMBER(H2484),H2484,G2484))</f>
        <v/>
      </c>
      <c r="V2484" s="49">
        <f>IF(ISNUMBER(U2484),ABS(U2484),"")</f>
        <v/>
      </c>
      <c r="W2484" s="49">
        <f>IF(OR($E2483&lt;&gt;"측정",$C2483&lt;&gt;$C2484,$D2483&lt;&gt;$D2484,NOT(ISNUMBER(M2484)),NOT(ISNUMBER(M2483)),(IF(ISNUMBER(H2484),H2484,G2484)-IF(ISNUMBER(H2483),H2483,G2483))=0),"",(M2484-M2483)/(IF(ISNUMBER(H2484),H2484,G2484)-IF(ISNUMBER(H2483),H2483,G2483)))</f>
        <v/>
      </c>
      <c r="X2484" s="31">
        <f>IF(NOT(AND(ISNUMBER(O2484),ISNUMBER(Q2484))),"",(Q2484-O2484)*1440)</f>
        <v/>
      </c>
      <c r="Y2484" s="29" t="n"/>
      <c r="Z2484" s="29" t="n"/>
      <c r="AA2484" s="29" t="n"/>
      <c r="AB2484" s="32" t="n"/>
      <c r="AC2484" s="32" t="n"/>
    </row>
    <row r="2485">
      <c r="A2485" s="26" t="inlineStr">
        <is>
          <t>S48</t>
        </is>
      </c>
      <c r="B2485" s="26" t="inlineStr">
        <is>
          <t>삼척</t>
        </is>
      </c>
      <c r="C2485" s="26" t="inlineStr">
        <is>
          <t>S48-H남</t>
        </is>
      </c>
      <c r="D2485" s="47" t="n">
        <v>1</v>
      </c>
      <c r="E2485" s="26" t="inlineStr">
        <is>
          <t>측정</t>
        </is>
      </c>
      <c r="F2485" s="26" t="inlineStr">
        <is>
          <t>남</t>
        </is>
      </c>
      <c r="G2485" s="31" t="n">
        <v>8</v>
      </c>
      <c r="H2485" s="30" t="n"/>
      <c r="I2485" s="43" t="n"/>
      <c r="J2485" s="41" t="n"/>
      <c r="K2485" s="41" t="n"/>
      <c r="L2485" s="41" t="n"/>
      <c r="M2485" s="31">
        <f>IF(COUNT(J2485:L2485)=0,"",MEDIAN(J2485:L2485))</f>
        <v/>
      </c>
      <c r="N2485" s="26">
        <f>IF(COUNTIFS($C:$C,$C2485,$D:$D,$D2485,$E:$E,"P0(전)",$M:$M,"&gt;0")&lt;&gt;1,"P0(전) 유효 1개 아님",IF(COUNTIFS($C:$C,$C2485,$D:$D,$D2485,$E:$E,"P0(후)",$M:$M,"&gt;0")&lt;&gt;1,"P0(후) 유효 1개 아님",IF(NOT(AND(ISNUMBER(O2485),ISNUMBER(Q2485),ISNUMBER(I2485))),"시각 결측",IF(Q2485&lt;=O2485,"P0 시각 역전",IF(OR(I2485&lt;O2485,I2485&gt;Q2485),"측정시각 구간 밖","OK")))))</f>
        <v/>
      </c>
      <c r="O2485" s="48">
        <f>IF(COUNTIFS($C:$C,$C2485,$D:$D,$D2485,$E:$E,"P0(전)",$M:$M,"&gt;0")&lt;&gt;1,"",SUMIFS($I:$I,$C:$C,$C2485,$D:$D,$D2485,$E:$E,"P0(전)"))</f>
        <v/>
      </c>
      <c r="P2485" s="31">
        <f>IF(COUNTIFS($C:$C,$C2485,$D:$D,$D2485,$E:$E,"P0(전)",$M:$M,"&gt;0")&lt;&gt;1,"",SUMIFS($M:$M,$C:$C,$C2485,$D:$D,$D2485,$E:$E,"P0(전)"))</f>
        <v/>
      </c>
      <c r="Q2485" s="48">
        <f>IF(COUNTIFS($C:$C,$C2485,$D:$D,$D2485,$E:$E,"P0(후)",$M:$M,"&gt;0")&lt;&gt;1,"",SUMIFS($I:$I,$C:$C,$C2485,$D:$D,$D2485,$E:$E,"P0(후)"))</f>
        <v/>
      </c>
      <c r="R2485" s="31">
        <f>IF(COUNTIFS($C:$C,$C2485,$D:$D,$D2485,$E:$E,"P0(후)",$M:$M,"&gt;0")&lt;&gt;1,"",SUMIFS($M:$M,$C:$C,$C2485,$D:$D,$D2485,$E:$E,"P0(후)"))</f>
        <v/>
      </c>
      <c r="S2485" s="31">
        <f>IF(N2485&lt;&gt;"OK","",P2485+(R2485-P2485)*(I2485-O2485)/(Q2485-O2485))</f>
        <v/>
      </c>
      <c r="T2485" s="31">
        <f>IF(OR(N2485&lt;&gt;"OK",NOT(ISNUMBER(M2485))),"",M2485-S2485)</f>
        <v/>
      </c>
      <c r="U2485" s="49">
        <f>IF(OR(NOT(ISNUMBER(T2485)),IF(ISNUMBER(H2485),H2485,G2485)=0),"",T2485/IF(ISNUMBER(H2485),H2485,G2485))</f>
        <v/>
      </c>
      <c r="V2485" s="49">
        <f>IF(ISNUMBER(U2485),ABS(U2485),"")</f>
        <v/>
      </c>
      <c r="W2485" s="49">
        <f>IF(OR($E2484&lt;&gt;"측정",$C2484&lt;&gt;$C2485,$D2484&lt;&gt;$D2485,NOT(ISNUMBER(M2485)),NOT(ISNUMBER(M2484)),(IF(ISNUMBER(H2485),H2485,G2485)-IF(ISNUMBER(H2484),H2484,G2484))=0),"",(M2485-M2484)/(IF(ISNUMBER(H2485),H2485,G2485)-IF(ISNUMBER(H2484),H2484,G2484)))</f>
        <v/>
      </c>
      <c r="X2485" s="31">
        <f>IF(NOT(AND(ISNUMBER(O2485),ISNUMBER(Q2485))),"",(Q2485-O2485)*1440)</f>
        <v/>
      </c>
      <c r="Y2485" s="29" t="n"/>
      <c r="Z2485" s="29" t="n"/>
      <c r="AA2485" s="29" t="n"/>
      <c r="AB2485" s="32" t="n"/>
      <c r="AC2485" s="32" t="n"/>
    </row>
    <row r="2486">
      <c r="A2486" s="26" t="inlineStr">
        <is>
          <t>S48</t>
        </is>
      </c>
      <c r="B2486" s="26" t="inlineStr">
        <is>
          <t>삼척</t>
        </is>
      </c>
      <c r="C2486" s="26" t="inlineStr">
        <is>
          <t>S48-H남</t>
        </is>
      </c>
      <c r="D2486" s="47" t="n">
        <v>1</v>
      </c>
      <c r="E2486" s="26" t="inlineStr">
        <is>
          <t>측정</t>
        </is>
      </c>
      <c r="F2486" s="26" t="inlineStr">
        <is>
          <t>남</t>
        </is>
      </c>
      <c r="G2486" s="31" t="n">
        <v>9</v>
      </c>
      <c r="H2486" s="30" t="n"/>
      <c r="I2486" s="43" t="n"/>
      <c r="J2486" s="41" t="n"/>
      <c r="K2486" s="41" t="n"/>
      <c r="L2486" s="41" t="n"/>
      <c r="M2486" s="31">
        <f>IF(COUNT(J2486:L2486)=0,"",MEDIAN(J2486:L2486))</f>
        <v/>
      </c>
      <c r="N2486" s="26">
        <f>IF(COUNTIFS($C:$C,$C2486,$D:$D,$D2486,$E:$E,"P0(전)",$M:$M,"&gt;0")&lt;&gt;1,"P0(전) 유효 1개 아님",IF(COUNTIFS($C:$C,$C2486,$D:$D,$D2486,$E:$E,"P0(후)",$M:$M,"&gt;0")&lt;&gt;1,"P0(후) 유효 1개 아님",IF(NOT(AND(ISNUMBER(O2486),ISNUMBER(Q2486),ISNUMBER(I2486))),"시각 결측",IF(Q2486&lt;=O2486,"P0 시각 역전",IF(OR(I2486&lt;O2486,I2486&gt;Q2486),"측정시각 구간 밖","OK")))))</f>
        <v/>
      </c>
      <c r="O2486" s="48">
        <f>IF(COUNTIFS($C:$C,$C2486,$D:$D,$D2486,$E:$E,"P0(전)",$M:$M,"&gt;0")&lt;&gt;1,"",SUMIFS($I:$I,$C:$C,$C2486,$D:$D,$D2486,$E:$E,"P0(전)"))</f>
        <v/>
      </c>
      <c r="P2486" s="31">
        <f>IF(COUNTIFS($C:$C,$C2486,$D:$D,$D2486,$E:$E,"P0(전)",$M:$M,"&gt;0")&lt;&gt;1,"",SUMIFS($M:$M,$C:$C,$C2486,$D:$D,$D2486,$E:$E,"P0(전)"))</f>
        <v/>
      </c>
      <c r="Q2486" s="48">
        <f>IF(COUNTIFS($C:$C,$C2486,$D:$D,$D2486,$E:$E,"P0(후)",$M:$M,"&gt;0")&lt;&gt;1,"",SUMIFS($I:$I,$C:$C,$C2486,$D:$D,$D2486,$E:$E,"P0(후)"))</f>
        <v/>
      </c>
      <c r="R2486" s="31">
        <f>IF(COUNTIFS($C:$C,$C2486,$D:$D,$D2486,$E:$E,"P0(후)",$M:$M,"&gt;0")&lt;&gt;1,"",SUMIFS($M:$M,$C:$C,$C2486,$D:$D,$D2486,$E:$E,"P0(후)"))</f>
        <v/>
      </c>
      <c r="S2486" s="31">
        <f>IF(N2486&lt;&gt;"OK","",P2486+(R2486-P2486)*(I2486-O2486)/(Q2486-O2486))</f>
        <v/>
      </c>
      <c r="T2486" s="31">
        <f>IF(OR(N2486&lt;&gt;"OK",NOT(ISNUMBER(M2486))),"",M2486-S2486)</f>
        <v/>
      </c>
      <c r="U2486" s="49">
        <f>IF(OR(NOT(ISNUMBER(T2486)),IF(ISNUMBER(H2486),H2486,G2486)=0),"",T2486/IF(ISNUMBER(H2486),H2486,G2486))</f>
        <v/>
      </c>
      <c r="V2486" s="49">
        <f>IF(ISNUMBER(U2486),ABS(U2486),"")</f>
        <v/>
      </c>
      <c r="W2486" s="49">
        <f>IF(OR($E2485&lt;&gt;"측정",$C2485&lt;&gt;$C2486,$D2485&lt;&gt;$D2486,NOT(ISNUMBER(M2486)),NOT(ISNUMBER(M2485)),(IF(ISNUMBER(H2486),H2486,G2486)-IF(ISNUMBER(H2485),H2485,G2485))=0),"",(M2486-M2485)/(IF(ISNUMBER(H2486),H2486,G2486)-IF(ISNUMBER(H2485),H2485,G2485)))</f>
        <v/>
      </c>
      <c r="X2486" s="31">
        <f>IF(NOT(AND(ISNUMBER(O2486),ISNUMBER(Q2486))),"",(Q2486-O2486)*1440)</f>
        <v/>
      </c>
      <c r="Y2486" s="29" t="n"/>
      <c r="Z2486" s="29" t="n"/>
      <c r="AA2486" s="29" t="n"/>
      <c r="AB2486" s="32" t="n"/>
      <c r="AC2486" s="32" t="n"/>
    </row>
    <row r="2487">
      <c r="A2487" s="26" t="inlineStr">
        <is>
          <t>S48</t>
        </is>
      </c>
      <c r="B2487" s="26" t="inlineStr">
        <is>
          <t>삼척</t>
        </is>
      </c>
      <c r="C2487" s="26" t="inlineStr">
        <is>
          <t>S48-H남</t>
        </is>
      </c>
      <c r="D2487" s="47" t="n">
        <v>1</v>
      </c>
      <c r="E2487" s="26" t="inlineStr">
        <is>
          <t>측정</t>
        </is>
      </c>
      <c r="F2487" s="26" t="inlineStr">
        <is>
          <t>남</t>
        </is>
      </c>
      <c r="G2487" s="31" t="n">
        <v>10</v>
      </c>
      <c r="H2487" s="30" t="n"/>
      <c r="I2487" s="43" t="n"/>
      <c r="J2487" s="41" t="n"/>
      <c r="K2487" s="41" t="n"/>
      <c r="L2487" s="41" t="n"/>
      <c r="M2487" s="31">
        <f>IF(COUNT(J2487:L2487)=0,"",MEDIAN(J2487:L2487))</f>
        <v/>
      </c>
      <c r="N2487" s="26">
        <f>IF(COUNTIFS($C:$C,$C2487,$D:$D,$D2487,$E:$E,"P0(전)",$M:$M,"&gt;0")&lt;&gt;1,"P0(전) 유효 1개 아님",IF(COUNTIFS($C:$C,$C2487,$D:$D,$D2487,$E:$E,"P0(후)",$M:$M,"&gt;0")&lt;&gt;1,"P0(후) 유효 1개 아님",IF(NOT(AND(ISNUMBER(O2487),ISNUMBER(Q2487),ISNUMBER(I2487))),"시각 결측",IF(Q2487&lt;=O2487,"P0 시각 역전",IF(OR(I2487&lt;O2487,I2487&gt;Q2487),"측정시각 구간 밖","OK")))))</f>
        <v/>
      </c>
      <c r="O2487" s="48">
        <f>IF(COUNTIFS($C:$C,$C2487,$D:$D,$D2487,$E:$E,"P0(전)",$M:$M,"&gt;0")&lt;&gt;1,"",SUMIFS($I:$I,$C:$C,$C2487,$D:$D,$D2487,$E:$E,"P0(전)"))</f>
        <v/>
      </c>
      <c r="P2487" s="31">
        <f>IF(COUNTIFS($C:$C,$C2487,$D:$D,$D2487,$E:$E,"P0(전)",$M:$M,"&gt;0")&lt;&gt;1,"",SUMIFS($M:$M,$C:$C,$C2487,$D:$D,$D2487,$E:$E,"P0(전)"))</f>
        <v/>
      </c>
      <c r="Q2487" s="48">
        <f>IF(COUNTIFS($C:$C,$C2487,$D:$D,$D2487,$E:$E,"P0(후)",$M:$M,"&gt;0")&lt;&gt;1,"",SUMIFS($I:$I,$C:$C,$C2487,$D:$D,$D2487,$E:$E,"P0(후)"))</f>
        <v/>
      </c>
      <c r="R2487" s="31">
        <f>IF(COUNTIFS($C:$C,$C2487,$D:$D,$D2487,$E:$E,"P0(후)",$M:$M,"&gt;0")&lt;&gt;1,"",SUMIFS($M:$M,$C:$C,$C2487,$D:$D,$D2487,$E:$E,"P0(후)"))</f>
        <v/>
      </c>
      <c r="S2487" s="31">
        <f>IF(N2487&lt;&gt;"OK","",P2487+(R2487-P2487)*(I2487-O2487)/(Q2487-O2487))</f>
        <v/>
      </c>
      <c r="T2487" s="31">
        <f>IF(OR(N2487&lt;&gt;"OK",NOT(ISNUMBER(M2487))),"",M2487-S2487)</f>
        <v/>
      </c>
      <c r="U2487" s="49">
        <f>IF(OR(NOT(ISNUMBER(T2487)),IF(ISNUMBER(H2487),H2487,G2487)=0),"",T2487/IF(ISNUMBER(H2487),H2487,G2487))</f>
        <v/>
      </c>
      <c r="V2487" s="49">
        <f>IF(ISNUMBER(U2487),ABS(U2487),"")</f>
        <v/>
      </c>
      <c r="W2487" s="49">
        <f>IF(OR($E2486&lt;&gt;"측정",$C2486&lt;&gt;$C2487,$D2486&lt;&gt;$D2487,NOT(ISNUMBER(M2487)),NOT(ISNUMBER(M2486)),(IF(ISNUMBER(H2487),H2487,G2487)-IF(ISNUMBER(H2486),H2486,G2486))=0),"",(M2487-M2486)/(IF(ISNUMBER(H2487),H2487,G2487)-IF(ISNUMBER(H2486),H2486,G2486)))</f>
        <v/>
      </c>
      <c r="X2487" s="31">
        <f>IF(NOT(AND(ISNUMBER(O2487),ISNUMBER(Q2487))),"",(Q2487-O2487)*1440)</f>
        <v/>
      </c>
      <c r="Y2487" s="29" t="n"/>
      <c r="Z2487" s="29" t="n"/>
      <c r="AA2487" s="29" t="n"/>
      <c r="AB2487" s="32" t="n"/>
      <c r="AC2487" s="32" t="n"/>
    </row>
    <row r="2488">
      <c r="A2488" s="44" t="inlineStr">
        <is>
          <t>S48</t>
        </is>
      </c>
      <c r="B2488" s="44" t="inlineStr">
        <is>
          <t>삼척</t>
        </is>
      </c>
      <c r="C2488" s="44" t="inlineStr">
        <is>
          <t>S48-H남</t>
        </is>
      </c>
      <c r="D2488" s="45" t="n">
        <v>1</v>
      </c>
      <c r="E2488" s="44" t="inlineStr">
        <is>
          <t>P0(후)</t>
        </is>
      </c>
      <c r="F2488" s="44" t="inlineStr">
        <is>
          <t>남</t>
        </is>
      </c>
      <c r="G2488" s="46" t="n"/>
      <c r="H2488" s="30" t="n"/>
      <c r="I2488" s="43" t="n"/>
      <c r="J2488" s="41" t="n"/>
      <c r="K2488" s="41" t="n"/>
      <c r="L2488" s="41" t="n"/>
      <c r="M2488" s="31">
        <f>IF(COUNT(J2488:L2488)=0,"",MEDIAN(J2488:L2488))</f>
        <v/>
      </c>
      <c r="N2488" s="38" t="n"/>
      <c r="O2488" s="38" t="n"/>
      <c r="P2488" s="38" t="n"/>
      <c r="Q2488" s="38" t="n"/>
      <c r="R2488" s="38" t="n"/>
      <c r="S2488" s="38" t="n"/>
      <c r="T2488" s="38" t="n"/>
      <c r="U2488" s="38" t="n"/>
      <c r="V2488" s="38" t="n"/>
      <c r="W2488" s="38" t="n"/>
      <c r="X2488" s="38" t="n"/>
      <c r="Y2488" s="29" t="n"/>
      <c r="Z2488" s="29" t="n"/>
      <c r="AA2488" s="29" t="n"/>
      <c r="AB2488" s="32" t="n"/>
      <c r="AC2488" s="32" t="n"/>
    </row>
    <row r="2489">
      <c r="A2489" s="44" t="inlineStr">
        <is>
          <t>S48</t>
        </is>
      </c>
      <c r="B2489" s="44" t="inlineStr">
        <is>
          <t>삼척</t>
        </is>
      </c>
      <c r="C2489" s="44" t="inlineStr">
        <is>
          <t>S48-H북</t>
        </is>
      </c>
      <c r="D2489" s="45" t="n">
        <v>1</v>
      </c>
      <c r="E2489" s="44" t="inlineStr">
        <is>
          <t>P0(전)</t>
        </is>
      </c>
      <c r="F2489" s="44" t="inlineStr">
        <is>
          <t>북</t>
        </is>
      </c>
      <c r="G2489" s="46" t="n"/>
      <c r="H2489" s="30" t="n"/>
      <c r="I2489" s="43" t="n"/>
      <c r="J2489" s="41" t="n"/>
      <c r="K2489" s="41" t="n"/>
      <c r="L2489" s="41" t="n"/>
      <c r="M2489" s="31">
        <f>IF(COUNT(J2489:L2489)=0,"",MEDIAN(J2489:L2489))</f>
        <v/>
      </c>
      <c r="N2489" s="38" t="n"/>
      <c r="O2489" s="38" t="n"/>
      <c r="P2489" s="38" t="n"/>
      <c r="Q2489" s="38" t="n"/>
      <c r="R2489" s="38" t="n"/>
      <c r="S2489" s="38" t="n"/>
      <c r="T2489" s="38" t="n"/>
      <c r="U2489" s="38" t="n"/>
      <c r="V2489" s="38" t="n"/>
      <c r="W2489" s="38" t="n"/>
      <c r="X2489" s="38" t="n"/>
      <c r="Y2489" s="29" t="n"/>
      <c r="Z2489" s="29" t="n"/>
      <c r="AA2489" s="29" t="n"/>
      <c r="AB2489" s="32" t="n"/>
      <c r="AC2489" s="32" t="n"/>
    </row>
    <row r="2490">
      <c r="A2490" s="26" t="inlineStr">
        <is>
          <t>S48</t>
        </is>
      </c>
      <c r="B2490" s="26" t="inlineStr">
        <is>
          <t>삼척</t>
        </is>
      </c>
      <c r="C2490" s="26" t="inlineStr">
        <is>
          <t>S48-H북</t>
        </is>
      </c>
      <c r="D2490" s="47" t="n">
        <v>1</v>
      </c>
      <c r="E2490" s="26" t="inlineStr">
        <is>
          <t>측정</t>
        </is>
      </c>
      <c r="F2490" s="26" t="inlineStr">
        <is>
          <t>북</t>
        </is>
      </c>
      <c r="G2490" s="31" t="n">
        <v>0.5</v>
      </c>
      <c r="H2490" s="30" t="n"/>
      <c r="I2490" s="43" t="n"/>
      <c r="J2490" s="41" t="n"/>
      <c r="K2490" s="41" t="n"/>
      <c r="L2490" s="41" t="n"/>
      <c r="M2490" s="31">
        <f>IF(COUNT(J2490:L2490)=0,"",MEDIAN(J2490:L2490))</f>
        <v/>
      </c>
      <c r="N2490" s="26">
        <f>IF(COUNTIFS($C:$C,$C2490,$D:$D,$D2490,$E:$E,"P0(전)",$M:$M,"&gt;0")&lt;&gt;1,"P0(전) 유효 1개 아님",IF(COUNTIFS($C:$C,$C2490,$D:$D,$D2490,$E:$E,"P0(후)",$M:$M,"&gt;0")&lt;&gt;1,"P0(후) 유효 1개 아님",IF(NOT(AND(ISNUMBER(O2490),ISNUMBER(Q2490),ISNUMBER(I2490))),"시각 결측",IF(Q2490&lt;=O2490,"P0 시각 역전",IF(OR(I2490&lt;O2490,I2490&gt;Q2490),"측정시각 구간 밖","OK")))))</f>
        <v/>
      </c>
      <c r="O2490" s="48">
        <f>IF(COUNTIFS($C:$C,$C2490,$D:$D,$D2490,$E:$E,"P0(전)",$M:$M,"&gt;0")&lt;&gt;1,"",SUMIFS($I:$I,$C:$C,$C2490,$D:$D,$D2490,$E:$E,"P0(전)"))</f>
        <v/>
      </c>
      <c r="P2490" s="31">
        <f>IF(COUNTIFS($C:$C,$C2490,$D:$D,$D2490,$E:$E,"P0(전)",$M:$M,"&gt;0")&lt;&gt;1,"",SUMIFS($M:$M,$C:$C,$C2490,$D:$D,$D2490,$E:$E,"P0(전)"))</f>
        <v/>
      </c>
      <c r="Q2490" s="48">
        <f>IF(COUNTIFS($C:$C,$C2490,$D:$D,$D2490,$E:$E,"P0(후)",$M:$M,"&gt;0")&lt;&gt;1,"",SUMIFS($I:$I,$C:$C,$C2490,$D:$D,$D2490,$E:$E,"P0(후)"))</f>
        <v/>
      </c>
      <c r="R2490" s="31">
        <f>IF(COUNTIFS($C:$C,$C2490,$D:$D,$D2490,$E:$E,"P0(후)",$M:$M,"&gt;0")&lt;&gt;1,"",SUMIFS($M:$M,$C:$C,$C2490,$D:$D,$D2490,$E:$E,"P0(후)"))</f>
        <v/>
      </c>
      <c r="S2490" s="31">
        <f>IF(N2490&lt;&gt;"OK","",P2490+(R2490-P2490)*(I2490-O2490)/(Q2490-O2490))</f>
        <v/>
      </c>
      <c r="T2490" s="31">
        <f>IF(OR(N2490&lt;&gt;"OK",NOT(ISNUMBER(M2490))),"",M2490-S2490)</f>
        <v/>
      </c>
      <c r="U2490" s="49">
        <f>IF(OR(NOT(ISNUMBER(T2490)),IF(ISNUMBER(H2490),H2490,G2490)=0),"",T2490/IF(ISNUMBER(H2490),H2490,G2490))</f>
        <v/>
      </c>
      <c r="V2490" s="49">
        <f>IF(ISNUMBER(U2490),ABS(U2490),"")</f>
        <v/>
      </c>
      <c r="W2490" s="49">
        <f>IF(OR($E2489&lt;&gt;"측정",$C2489&lt;&gt;$C2490,$D2489&lt;&gt;$D2490,NOT(ISNUMBER(M2490)),NOT(ISNUMBER(M2489)),(IF(ISNUMBER(H2490),H2490,G2490)-IF(ISNUMBER(H2489),H2489,G2489))=0),"",(M2490-M2489)/(IF(ISNUMBER(H2490),H2490,G2490)-IF(ISNUMBER(H2489),H2489,G2489)))</f>
        <v/>
      </c>
      <c r="X2490" s="31">
        <f>IF(NOT(AND(ISNUMBER(O2490),ISNUMBER(Q2490))),"",(Q2490-O2490)*1440)</f>
        <v/>
      </c>
      <c r="Y2490" s="29" t="n"/>
      <c r="Z2490" s="29" t="n"/>
      <c r="AA2490" s="29" t="n"/>
      <c r="AB2490" s="32" t="n"/>
      <c r="AC2490" s="32" t="n"/>
    </row>
    <row r="2491">
      <c r="A2491" s="26" t="inlineStr">
        <is>
          <t>S48</t>
        </is>
      </c>
      <c r="B2491" s="26" t="inlineStr">
        <is>
          <t>삼척</t>
        </is>
      </c>
      <c r="C2491" s="26" t="inlineStr">
        <is>
          <t>S48-H북</t>
        </is>
      </c>
      <c r="D2491" s="47" t="n">
        <v>1</v>
      </c>
      <c r="E2491" s="26" t="inlineStr">
        <is>
          <t>측정</t>
        </is>
      </c>
      <c r="F2491" s="26" t="inlineStr">
        <is>
          <t>북</t>
        </is>
      </c>
      <c r="G2491" s="31" t="n">
        <v>1</v>
      </c>
      <c r="H2491" s="30" t="n"/>
      <c r="I2491" s="43" t="n"/>
      <c r="J2491" s="41" t="n"/>
      <c r="K2491" s="41" t="n"/>
      <c r="L2491" s="41" t="n"/>
      <c r="M2491" s="31">
        <f>IF(COUNT(J2491:L2491)=0,"",MEDIAN(J2491:L2491))</f>
        <v/>
      </c>
      <c r="N2491" s="26">
        <f>IF(COUNTIFS($C:$C,$C2491,$D:$D,$D2491,$E:$E,"P0(전)",$M:$M,"&gt;0")&lt;&gt;1,"P0(전) 유효 1개 아님",IF(COUNTIFS($C:$C,$C2491,$D:$D,$D2491,$E:$E,"P0(후)",$M:$M,"&gt;0")&lt;&gt;1,"P0(후) 유효 1개 아님",IF(NOT(AND(ISNUMBER(O2491),ISNUMBER(Q2491),ISNUMBER(I2491))),"시각 결측",IF(Q2491&lt;=O2491,"P0 시각 역전",IF(OR(I2491&lt;O2491,I2491&gt;Q2491),"측정시각 구간 밖","OK")))))</f>
        <v/>
      </c>
      <c r="O2491" s="48">
        <f>IF(COUNTIFS($C:$C,$C2491,$D:$D,$D2491,$E:$E,"P0(전)",$M:$M,"&gt;0")&lt;&gt;1,"",SUMIFS($I:$I,$C:$C,$C2491,$D:$D,$D2491,$E:$E,"P0(전)"))</f>
        <v/>
      </c>
      <c r="P2491" s="31">
        <f>IF(COUNTIFS($C:$C,$C2491,$D:$D,$D2491,$E:$E,"P0(전)",$M:$M,"&gt;0")&lt;&gt;1,"",SUMIFS($M:$M,$C:$C,$C2491,$D:$D,$D2491,$E:$E,"P0(전)"))</f>
        <v/>
      </c>
      <c r="Q2491" s="48">
        <f>IF(COUNTIFS($C:$C,$C2491,$D:$D,$D2491,$E:$E,"P0(후)",$M:$M,"&gt;0")&lt;&gt;1,"",SUMIFS($I:$I,$C:$C,$C2491,$D:$D,$D2491,$E:$E,"P0(후)"))</f>
        <v/>
      </c>
      <c r="R2491" s="31">
        <f>IF(COUNTIFS($C:$C,$C2491,$D:$D,$D2491,$E:$E,"P0(후)",$M:$M,"&gt;0")&lt;&gt;1,"",SUMIFS($M:$M,$C:$C,$C2491,$D:$D,$D2491,$E:$E,"P0(후)"))</f>
        <v/>
      </c>
      <c r="S2491" s="31">
        <f>IF(N2491&lt;&gt;"OK","",P2491+(R2491-P2491)*(I2491-O2491)/(Q2491-O2491))</f>
        <v/>
      </c>
      <c r="T2491" s="31">
        <f>IF(OR(N2491&lt;&gt;"OK",NOT(ISNUMBER(M2491))),"",M2491-S2491)</f>
        <v/>
      </c>
      <c r="U2491" s="49">
        <f>IF(OR(NOT(ISNUMBER(T2491)),IF(ISNUMBER(H2491),H2491,G2491)=0),"",T2491/IF(ISNUMBER(H2491),H2491,G2491))</f>
        <v/>
      </c>
      <c r="V2491" s="49">
        <f>IF(ISNUMBER(U2491),ABS(U2491),"")</f>
        <v/>
      </c>
      <c r="W2491" s="49">
        <f>IF(OR($E2490&lt;&gt;"측정",$C2490&lt;&gt;$C2491,$D2490&lt;&gt;$D2491,NOT(ISNUMBER(M2491)),NOT(ISNUMBER(M2490)),(IF(ISNUMBER(H2491),H2491,G2491)-IF(ISNUMBER(H2490),H2490,G2490))=0),"",(M2491-M2490)/(IF(ISNUMBER(H2491),H2491,G2491)-IF(ISNUMBER(H2490),H2490,G2490)))</f>
        <v/>
      </c>
      <c r="X2491" s="31">
        <f>IF(NOT(AND(ISNUMBER(O2491),ISNUMBER(Q2491))),"",(Q2491-O2491)*1440)</f>
        <v/>
      </c>
      <c r="Y2491" s="29" t="n"/>
      <c r="Z2491" s="29" t="n"/>
      <c r="AA2491" s="29" t="n"/>
      <c r="AB2491" s="32" t="n"/>
      <c r="AC2491" s="32" t="n"/>
    </row>
    <row r="2492">
      <c r="A2492" s="26" t="inlineStr">
        <is>
          <t>S48</t>
        </is>
      </c>
      <c r="B2492" s="26" t="inlineStr">
        <is>
          <t>삼척</t>
        </is>
      </c>
      <c r="C2492" s="26" t="inlineStr">
        <is>
          <t>S48-H북</t>
        </is>
      </c>
      <c r="D2492" s="47" t="n">
        <v>1</v>
      </c>
      <c r="E2492" s="26" t="inlineStr">
        <is>
          <t>측정</t>
        </is>
      </c>
      <c r="F2492" s="26" t="inlineStr">
        <is>
          <t>북</t>
        </is>
      </c>
      <c r="G2492" s="31" t="n">
        <v>2</v>
      </c>
      <c r="H2492" s="30" t="n"/>
      <c r="I2492" s="43" t="n"/>
      <c r="J2492" s="41" t="n"/>
      <c r="K2492" s="41" t="n"/>
      <c r="L2492" s="41" t="n"/>
      <c r="M2492" s="31">
        <f>IF(COUNT(J2492:L2492)=0,"",MEDIAN(J2492:L2492))</f>
        <v/>
      </c>
      <c r="N2492" s="26">
        <f>IF(COUNTIFS($C:$C,$C2492,$D:$D,$D2492,$E:$E,"P0(전)",$M:$M,"&gt;0")&lt;&gt;1,"P0(전) 유효 1개 아님",IF(COUNTIFS($C:$C,$C2492,$D:$D,$D2492,$E:$E,"P0(후)",$M:$M,"&gt;0")&lt;&gt;1,"P0(후) 유효 1개 아님",IF(NOT(AND(ISNUMBER(O2492),ISNUMBER(Q2492),ISNUMBER(I2492))),"시각 결측",IF(Q2492&lt;=O2492,"P0 시각 역전",IF(OR(I2492&lt;O2492,I2492&gt;Q2492),"측정시각 구간 밖","OK")))))</f>
        <v/>
      </c>
      <c r="O2492" s="48">
        <f>IF(COUNTIFS($C:$C,$C2492,$D:$D,$D2492,$E:$E,"P0(전)",$M:$M,"&gt;0")&lt;&gt;1,"",SUMIFS($I:$I,$C:$C,$C2492,$D:$D,$D2492,$E:$E,"P0(전)"))</f>
        <v/>
      </c>
      <c r="P2492" s="31">
        <f>IF(COUNTIFS($C:$C,$C2492,$D:$D,$D2492,$E:$E,"P0(전)",$M:$M,"&gt;0")&lt;&gt;1,"",SUMIFS($M:$M,$C:$C,$C2492,$D:$D,$D2492,$E:$E,"P0(전)"))</f>
        <v/>
      </c>
      <c r="Q2492" s="48">
        <f>IF(COUNTIFS($C:$C,$C2492,$D:$D,$D2492,$E:$E,"P0(후)",$M:$M,"&gt;0")&lt;&gt;1,"",SUMIFS($I:$I,$C:$C,$C2492,$D:$D,$D2492,$E:$E,"P0(후)"))</f>
        <v/>
      </c>
      <c r="R2492" s="31">
        <f>IF(COUNTIFS($C:$C,$C2492,$D:$D,$D2492,$E:$E,"P0(후)",$M:$M,"&gt;0")&lt;&gt;1,"",SUMIFS($M:$M,$C:$C,$C2492,$D:$D,$D2492,$E:$E,"P0(후)"))</f>
        <v/>
      </c>
      <c r="S2492" s="31">
        <f>IF(N2492&lt;&gt;"OK","",P2492+(R2492-P2492)*(I2492-O2492)/(Q2492-O2492))</f>
        <v/>
      </c>
      <c r="T2492" s="31">
        <f>IF(OR(N2492&lt;&gt;"OK",NOT(ISNUMBER(M2492))),"",M2492-S2492)</f>
        <v/>
      </c>
      <c r="U2492" s="49">
        <f>IF(OR(NOT(ISNUMBER(T2492)),IF(ISNUMBER(H2492),H2492,G2492)=0),"",T2492/IF(ISNUMBER(H2492),H2492,G2492))</f>
        <v/>
      </c>
      <c r="V2492" s="49">
        <f>IF(ISNUMBER(U2492),ABS(U2492),"")</f>
        <v/>
      </c>
      <c r="W2492" s="49">
        <f>IF(OR($E2491&lt;&gt;"측정",$C2491&lt;&gt;$C2492,$D2491&lt;&gt;$D2492,NOT(ISNUMBER(M2492)),NOT(ISNUMBER(M2491)),(IF(ISNUMBER(H2492),H2492,G2492)-IF(ISNUMBER(H2491),H2491,G2491))=0),"",(M2492-M2491)/(IF(ISNUMBER(H2492),H2492,G2492)-IF(ISNUMBER(H2491),H2491,G2491)))</f>
        <v/>
      </c>
      <c r="X2492" s="31">
        <f>IF(NOT(AND(ISNUMBER(O2492),ISNUMBER(Q2492))),"",(Q2492-O2492)*1440)</f>
        <v/>
      </c>
      <c r="Y2492" s="29" t="n"/>
      <c r="Z2492" s="29" t="n"/>
      <c r="AA2492" s="29" t="n"/>
      <c r="AB2492" s="32" t="n"/>
      <c r="AC2492" s="32" t="n"/>
    </row>
    <row r="2493">
      <c r="A2493" s="26" t="inlineStr">
        <is>
          <t>S48</t>
        </is>
      </c>
      <c r="B2493" s="26" t="inlineStr">
        <is>
          <t>삼척</t>
        </is>
      </c>
      <c r="C2493" s="26" t="inlineStr">
        <is>
          <t>S48-H북</t>
        </is>
      </c>
      <c r="D2493" s="47" t="n">
        <v>1</v>
      </c>
      <c r="E2493" s="26" t="inlineStr">
        <is>
          <t>측정</t>
        </is>
      </c>
      <c r="F2493" s="26" t="inlineStr">
        <is>
          <t>북</t>
        </is>
      </c>
      <c r="G2493" s="31" t="n">
        <v>3</v>
      </c>
      <c r="H2493" s="30" t="n"/>
      <c r="I2493" s="43" t="n"/>
      <c r="J2493" s="41" t="n"/>
      <c r="K2493" s="41" t="n"/>
      <c r="L2493" s="41" t="n"/>
      <c r="M2493" s="31">
        <f>IF(COUNT(J2493:L2493)=0,"",MEDIAN(J2493:L2493))</f>
        <v/>
      </c>
      <c r="N2493" s="26">
        <f>IF(COUNTIFS($C:$C,$C2493,$D:$D,$D2493,$E:$E,"P0(전)",$M:$M,"&gt;0")&lt;&gt;1,"P0(전) 유효 1개 아님",IF(COUNTIFS($C:$C,$C2493,$D:$D,$D2493,$E:$E,"P0(후)",$M:$M,"&gt;0")&lt;&gt;1,"P0(후) 유효 1개 아님",IF(NOT(AND(ISNUMBER(O2493),ISNUMBER(Q2493),ISNUMBER(I2493))),"시각 결측",IF(Q2493&lt;=O2493,"P0 시각 역전",IF(OR(I2493&lt;O2493,I2493&gt;Q2493),"측정시각 구간 밖","OK")))))</f>
        <v/>
      </c>
      <c r="O2493" s="48">
        <f>IF(COUNTIFS($C:$C,$C2493,$D:$D,$D2493,$E:$E,"P0(전)",$M:$M,"&gt;0")&lt;&gt;1,"",SUMIFS($I:$I,$C:$C,$C2493,$D:$D,$D2493,$E:$E,"P0(전)"))</f>
        <v/>
      </c>
      <c r="P2493" s="31">
        <f>IF(COUNTIFS($C:$C,$C2493,$D:$D,$D2493,$E:$E,"P0(전)",$M:$M,"&gt;0")&lt;&gt;1,"",SUMIFS($M:$M,$C:$C,$C2493,$D:$D,$D2493,$E:$E,"P0(전)"))</f>
        <v/>
      </c>
      <c r="Q2493" s="48">
        <f>IF(COUNTIFS($C:$C,$C2493,$D:$D,$D2493,$E:$E,"P0(후)",$M:$M,"&gt;0")&lt;&gt;1,"",SUMIFS($I:$I,$C:$C,$C2493,$D:$D,$D2493,$E:$E,"P0(후)"))</f>
        <v/>
      </c>
      <c r="R2493" s="31">
        <f>IF(COUNTIFS($C:$C,$C2493,$D:$D,$D2493,$E:$E,"P0(후)",$M:$M,"&gt;0")&lt;&gt;1,"",SUMIFS($M:$M,$C:$C,$C2493,$D:$D,$D2493,$E:$E,"P0(후)"))</f>
        <v/>
      </c>
      <c r="S2493" s="31">
        <f>IF(N2493&lt;&gt;"OK","",P2493+(R2493-P2493)*(I2493-O2493)/(Q2493-O2493))</f>
        <v/>
      </c>
      <c r="T2493" s="31">
        <f>IF(OR(N2493&lt;&gt;"OK",NOT(ISNUMBER(M2493))),"",M2493-S2493)</f>
        <v/>
      </c>
      <c r="U2493" s="49">
        <f>IF(OR(NOT(ISNUMBER(T2493)),IF(ISNUMBER(H2493),H2493,G2493)=0),"",T2493/IF(ISNUMBER(H2493),H2493,G2493))</f>
        <v/>
      </c>
      <c r="V2493" s="49">
        <f>IF(ISNUMBER(U2493),ABS(U2493),"")</f>
        <v/>
      </c>
      <c r="W2493" s="49">
        <f>IF(OR($E2492&lt;&gt;"측정",$C2492&lt;&gt;$C2493,$D2492&lt;&gt;$D2493,NOT(ISNUMBER(M2493)),NOT(ISNUMBER(M2492)),(IF(ISNUMBER(H2493),H2493,G2493)-IF(ISNUMBER(H2492),H2492,G2492))=0),"",(M2493-M2492)/(IF(ISNUMBER(H2493),H2493,G2493)-IF(ISNUMBER(H2492),H2492,G2492)))</f>
        <v/>
      </c>
      <c r="X2493" s="31">
        <f>IF(NOT(AND(ISNUMBER(O2493),ISNUMBER(Q2493))),"",(Q2493-O2493)*1440)</f>
        <v/>
      </c>
      <c r="Y2493" s="29" t="n"/>
      <c r="Z2493" s="29" t="n"/>
      <c r="AA2493" s="29" t="n"/>
      <c r="AB2493" s="32" t="n"/>
      <c r="AC2493" s="32" t="n"/>
    </row>
    <row r="2494">
      <c r="A2494" s="26" t="inlineStr">
        <is>
          <t>S48</t>
        </is>
      </c>
      <c r="B2494" s="26" t="inlineStr">
        <is>
          <t>삼척</t>
        </is>
      </c>
      <c r="C2494" s="26" t="inlineStr">
        <is>
          <t>S48-H북</t>
        </is>
      </c>
      <c r="D2494" s="47" t="n">
        <v>1</v>
      </c>
      <c r="E2494" s="26" t="inlineStr">
        <is>
          <t>측정</t>
        </is>
      </c>
      <c r="F2494" s="26" t="inlineStr">
        <is>
          <t>북</t>
        </is>
      </c>
      <c r="G2494" s="31" t="n">
        <v>4</v>
      </c>
      <c r="H2494" s="30" t="n"/>
      <c r="I2494" s="43" t="n"/>
      <c r="J2494" s="41" t="n"/>
      <c r="K2494" s="41" t="n"/>
      <c r="L2494" s="41" t="n"/>
      <c r="M2494" s="31">
        <f>IF(COUNT(J2494:L2494)=0,"",MEDIAN(J2494:L2494))</f>
        <v/>
      </c>
      <c r="N2494" s="26">
        <f>IF(COUNTIFS($C:$C,$C2494,$D:$D,$D2494,$E:$E,"P0(전)",$M:$M,"&gt;0")&lt;&gt;1,"P0(전) 유효 1개 아님",IF(COUNTIFS($C:$C,$C2494,$D:$D,$D2494,$E:$E,"P0(후)",$M:$M,"&gt;0")&lt;&gt;1,"P0(후) 유효 1개 아님",IF(NOT(AND(ISNUMBER(O2494),ISNUMBER(Q2494),ISNUMBER(I2494))),"시각 결측",IF(Q2494&lt;=O2494,"P0 시각 역전",IF(OR(I2494&lt;O2494,I2494&gt;Q2494),"측정시각 구간 밖","OK")))))</f>
        <v/>
      </c>
      <c r="O2494" s="48">
        <f>IF(COUNTIFS($C:$C,$C2494,$D:$D,$D2494,$E:$E,"P0(전)",$M:$M,"&gt;0")&lt;&gt;1,"",SUMIFS($I:$I,$C:$C,$C2494,$D:$D,$D2494,$E:$E,"P0(전)"))</f>
        <v/>
      </c>
      <c r="P2494" s="31">
        <f>IF(COUNTIFS($C:$C,$C2494,$D:$D,$D2494,$E:$E,"P0(전)",$M:$M,"&gt;0")&lt;&gt;1,"",SUMIFS($M:$M,$C:$C,$C2494,$D:$D,$D2494,$E:$E,"P0(전)"))</f>
        <v/>
      </c>
      <c r="Q2494" s="48">
        <f>IF(COUNTIFS($C:$C,$C2494,$D:$D,$D2494,$E:$E,"P0(후)",$M:$M,"&gt;0")&lt;&gt;1,"",SUMIFS($I:$I,$C:$C,$C2494,$D:$D,$D2494,$E:$E,"P0(후)"))</f>
        <v/>
      </c>
      <c r="R2494" s="31">
        <f>IF(COUNTIFS($C:$C,$C2494,$D:$D,$D2494,$E:$E,"P0(후)",$M:$M,"&gt;0")&lt;&gt;1,"",SUMIFS($M:$M,$C:$C,$C2494,$D:$D,$D2494,$E:$E,"P0(후)"))</f>
        <v/>
      </c>
      <c r="S2494" s="31">
        <f>IF(N2494&lt;&gt;"OK","",P2494+(R2494-P2494)*(I2494-O2494)/(Q2494-O2494))</f>
        <v/>
      </c>
      <c r="T2494" s="31">
        <f>IF(OR(N2494&lt;&gt;"OK",NOT(ISNUMBER(M2494))),"",M2494-S2494)</f>
        <v/>
      </c>
      <c r="U2494" s="49">
        <f>IF(OR(NOT(ISNUMBER(T2494)),IF(ISNUMBER(H2494),H2494,G2494)=0),"",T2494/IF(ISNUMBER(H2494),H2494,G2494))</f>
        <v/>
      </c>
      <c r="V2494" s="49">
        <f>IF(ISNUMBER(U2494),ABS(U2494),"")</f>
        <v/>
      </c>
      <c r="W2494" s="49">
        <f>IF(OR($E2493&lt;&gt;"측정",$C2493&lt;&gt;$C2494,$D2493&lt;&gt;$D2494,NOT(ISNUMBER(M2494)),NOT(ISNUMBER(M2493)),(IF(ISNUMBER(H2494),H2494,G2494)-IF(ISNUMBER(H2493),H2493,G2493))=0),"",(M2494-M2493)/(IF(ISNUMBER(H2494),H2494,G2494)-IF(ISNUMBER(H2493),H2493,G2493)))</f>
        <v/>
      </c>
      <c r="X2494" s="31">
        <f>IF(NOT(AND(ISNUMBER(O2494),ISNUMBER(Q2494))),"",(Q2494-O2494)*1440)</f>
        <v/>
      </c>
      <c r="Y2494" s="29" t="n"/>
      <c r="Z2494" s="29" t="n"/>
      <c r="AA2494" s="29" t="n"/>
      <c r="AB2494" s="32" t="n"/>
      <c r="AC2494" s="32" t="n"/>
    </row>
    <row r="2495">
      <c r="A2495" s="26" t="inlineStr">
        <is>
          <t>S48</t>
        </is>
      </c>
      <c r="B2495" s="26" t="inlineStr">
        <is>
          <t>삼척</t>
        </is>
      </c>
      <c r="C2495" s="26" t="inlineStr">
        <is>
          <t>S48-H북</t>
        </is>
      </c>
      <c r="D2495" s="47" t="n">
        <v>1</v>
      </c>
      <c r="E2495" s="26" t="inlineStr">
        <is>
          <t>측정</t>
        </is>
      </c>
      <c r="F2495" s="26" t="inlineStr">
        <is>
          <t>북</t>
        </is>
      </c>
      <c r="G2495" s="31" t="n">
        <v>5</v>
      </c>
      <c r="H2495" s="30" t="n"/>
      <c r="I2495" s="43" t="n"/>
      <c r="J2495" s="41" t="n"/>
      <c r="K2495" s="41" t="n"/>
      <c r="L2495" s="41" t="n"/>
      <c r="M2495" s="31">
        <f>IF(COUNT(J2495:L2495)=0,"",MEDIAN(J2495:L2495))</f>
        <v/>
      </c>
      <c r="N2495" s="26">
        <f>IF(COUNTIFS($C:$C,$C2495,$D:$D,$D2495,$E:$E,"P0(전)",$M:$M,"&gt;0")&lt;&gt;1,"P0(전) 유효 1개 아님",IF(COUNTIFS($C:$C,$C2495,$D:$D,$D2495,$E:$E,"P0(후)",$M:$M,"&gt;0")&lt;&gt;1,"P0(후) 유효 1개 아님",IF(NOT(AND(ISNUMBER(O2495),ISNUMBER(Q2495),ISNUMBER(I2495))),"시각 결측",IF(Q2495&lt;=O2495,"P0 시각 역전",IF(OR(I2495&lt;O2495,I2495&gt;Q2495),"측정시각 구간 밖","OK")))))</f>
        <v/>
      </c>
      <c r="O2495" s="48">
        <f>IF(COUNTIFS($C:$C,$C2495,$D:$D,$D2495,$E:$E,"P0(전)",$M:$M,"&gt;0")&lt;&gt;1,"",SUMIFS($I:$I,$C:$C,$C2495,$D:$D,$D2495,$E:$E,"P0(전)"))</f>
        <v/>
      </c>
      <c r="P2495" s="31">
        <f>IF(COUNTIFS($C:$C,$C2495,$D:$D,$D2495,$E:$E,"P0(전)",$M:$M,"&gt;0")&lt;&gt;1,"",SUMIFS($M:$M,$C:$C,$C2495,$D:$D,$D2495,$E:$E,"P0(전)"))</f>
        <v/>
      </c>
      <c r="Q2495" s="48">
        <f>IF(COUNTIFS($C:$C,$C2495,$D:$D,$D2495,$E:$E,"P0(후)",$M:$M,"&gt;0")&lt;&gt;1,"",SUMIFS($I:$I,$C:$C,$C2495,$D:$D,$D2495,$E:$E,"P0(후)"))</f>
        <v/>
      </c>
      <c r="R2495" s="31">
        <f>IF(COUNTIFS($C:$C,$C2495,$D:$D,$D2495,$E:$E,"P0(후)",$M:$M,"&gt;0")&lt;&gt;1,"",SUMIFS($M:$M,$C:$C,$C2495,$D:$D,$D2495,$E:$E,"P0(후)"))</f>
        <v/>
      </c>
      <c r="S2495" s="31">
        <f>IF(N2495&lt;&gt;"OK","",P2495+(R2495-P2495)*(I2495-O2495)/(Q2495-O2495))</f>
        <v/>
      </c>
      <c r="T2495" s="31">
        <f>IF(OR(N2495&lt;&gt;"OK",NOT(ISNUMBER(M2495))),"",M2495-S2495)</f>
        <v/>
      </c>
      <c r="U2495" s="49">
        <f>IF(OR(NOT(ISNUMBER(T2495)),IF(ISNUMBER(H2495),H2495,G2495)=0),"",T2495/IF(ISNUMBER(H2495),H2495,G2495))</f>
        <v/>
      </c>
      <c r="V2495" s="49">
        <f>IF(ISNUMBER(U2495),ABS(U2495),"")</f>
        <v/>
      </c>
      <c r="W2495" s="49">
        <f>IF(OR($E2494&lt;&gt;"측정",$C2494&lt;&gt;$C2495,$D2494&lt;&gt;$D2495,NOT(ISNUMBER(M2495)),NOT(ISNUMBER(M2494)),(IF(ISNUMBER(H2495),H2495,G2495)-IF(ISNUMBER(H2494),H2494,G2494))=0),"",(M2495-M2494)/(IF(ISNUMBER(H2495),H2495,G2495)-IF(ISNUMBER(H2494),H2494,G2494)))</f>
        <v/>
      </c>
      <c r="X2495" s="31">
        <f>IF(NOT(AND(ISNUMBER(O2495),ISNUMBER(Q2495))),"",(Q2495-O2495)*1440)</f>
        <v/>
      </c>
      <c r="Y2495" s="29" t="n"/>
      <c r="Z2495" s="29" t="n"/>
      <c r="AA2495" s="29" t="n"/>
      <c r="AB2495" s="32" t="n"/>
      <c r="AC2495" s="32" t="n"/>
    </row>
    <row r="2496">
      <c r="A2496" s="26" t="inlineStr">
        <is>
          <t>S48</t>
        </is>
      </c>
      <c r="B2496" s="26" t="inlineStr">
        <is>
          <t>삼척</t>
        </is>
      </c>
      <c r="C2496" s="26" t="inlineStr">
        <is>
          <t>S48-H북</t>
        </is>
      </c>
      <c r="D2496" s="47" t="n">
        <v>1</v>
      </c>
      <c r="E2496" s="26" t="inlineStr">
        <is>
          <t>측정</t>
        </is>
      </c>
      <c r="F2496" s="26" t="inlineStr">
        <is>
          <t>북</t>
        </is>
      </c>
      <c r="G2496" s="31" t="n">
        <v>6</v>
      </c>
      <c r="H2496" s="30" t="n"/>
      <c r="I2496" s="43" t="n"/>
      <c r="J2496" s="41" t="n"/>
      <c r="K2496" s="41" t="n"/>
      <c r="L2496" s="41" t="n"/>
      <c r="M2496" s="31">
        <f>IF(COUNT(J2496:L2496)=0,"",MEDIAN(J2496:L2496))</f>
        <v/>
      </c>
      <c r="N2496" s="26">
        <f>IF(COUNTIFS($C:$C,$C2496,$D:$D,$D2496,$E:$E,"P0(전)",$M:$M,"&gt;0")&lt;&gt;1,"P0(전) 유효 1개 아님",IF(COUNTIFS($C:$C,$C2496,$D:$D,$D2496,$E:$E,"P0(후)",$M:$M,"&gt;0")&lt;&gt;1,"P0(후) 유효 1개 아님",IF(NOT(AND(ISNUMBER(O2496),ISNUMBER(Q2496),ISNUMBER(I2496))),"시각 결측",IF(Q2496&lt;=O2496,"P0 시각 역전",IF(OR(I2496&lt;O2496,I2496&gt;Q2496),"측정시각 구간 밖","OK")))))</f>
        <v/>
      </c>
      <c r="O2496" s="48">
        <f>IF(COUNTIFS($C:$C,$C2496,$D:$D,$D2496,$E:$E,"P0(전)",$M:$M,"&gt;0")&lt;&gt;1,"",SUMIFS($I:$I,$C:$C,$C2496,$D:$D,$D2496,$E:$E,"P0(전)"))</f>
        <v/>
      </c>
      <c r="P2496" s="31">
        <f>IF(COUNTIFS($C:$C,$C2496,$D:$D,$D2496,$E:$E,"P0(전)",$M:$M,"&gt;0")&lt;&gt;1,"",SUMIFS($M:$M,$C:$C,$C2496,$D:$D,$D2496,$E:$E,"P0(전)"))</f>
        <v/>
      </c>
      <c r="Q2496" s="48">
        <f>IF(COUNTIFS($C:$C,$C2496,$D:$D,$D2496,$E:$E,"P0(후)",$M:$M,"&gt;0")&lt;&gt;1,"",SUMIFS($I:$I,$C:$C,$C2496,$D:$D,$D2496,$E:$E,"P0(후)"))</f>
        <v/>
      </c>
      <c r="R2496" s="31">
        <f>IF(COUNTIFS($C:$C,$C2496,$D:$D,$D2496,$E:$E,"P0(후)",$M:$M,"&gt;0")&lt;&gt;1,"",SUMIFS($M:$M,$C:$C,$C2496,$D:$D,$D2496,$E:$E,"P0(후)"))</f>
        <v/>
      </c>
      <c r="S2496" s="31">
        <f>IF(N2496&lt;&gt;"OK","",P2496+(R2496-P2496)*(I2496-O2496)/(Q2496-O2496))</f>
        <v/>
      </c>
      <c r="T2496" s="31">
        <f>IF(OR(N2496&lt;&gt;"OK",NOT(ISNUMBER(M2496))),"",M2496-S2496)</f>
        <v/>
      </c>
      <c r="U2496" s="49">
        <f>IF(OR(NOT(ISNUMBER(T2496)),IF(ISNUMBER(H2496),H2496,G2496)=0),"",T2496/IF(ISNUMBER(H2496),H2496,G2496))</f>
        <v/>
      </c>
      <c r="V2496" s="49">
        <f>IF(ISNUMBER(U2496),ABS(U2496),"")</f>
        <v/>
      </c>
      <c r="W2496" s="49">
        <f>IF(OR($E2495&lt;&gt;"측정",$C2495&lt;&gt;$C2496,$D2495&lt;&gt;$D2496,NOT(ISNUMBER(M2496)),NOT(ISNUMBER(M2495)),(IF(ISNUMBER(H2496),H2496,G2496)-IF(ISNUMBER(H2495),H2495,G2495))=0),"",(M2496-M2495)/(IF(ISNUMBER(H2496),H2496,G2496)-IF(ISNUMBER(H2495),H2495,G2495)))</f>
        <v/>
      </c>
      <c r="X2496" s="31">
        <f>IF(NOT(AND(ISNUMBER(O2496),ISNUMBER(Q2496))),"",(Q2496-O2496)*1440)</f>
        <v/>
      </c>
      <c r="Y2496" s="29" t="n"/>
      <c r="Z2496" s="29" t="n"/>
      <c r="AA2496" s="29" t="n"/>
      <c r="AB2496" s="32" t="n"/>
      <c r="AC2496" s="32" t="n"/>
    </row>
    <row r="2497">
      <c r="A2497" s="26" t="inlineStr">
        <is>
          <t>S48</t>
        </is>
      </c>
      <c r="B2497" s="26" t="inlineStr">
        <is>
          <t>삼척</t>
        </is>
      </c>
      <c r="C2497" s="26" t="inlineStr">
        <is>
          <t>S48-H북</t>
        </is>
      </c>
      <c r="D2497" s="47" t="n">
        <v>1</v>
      </c>
      <c r="E2497" s="26" t="inlineStr">
        <is>
          <t>측정</t>
        </is>
      </c>
      <c r="F2497" s="26" t="inlineStr">
        <is>
          <t>북</t>
        </is>
      </c>
      <c r="G2497" s="31" t="n">
        <v>7</v>
      </c>
      <c r="H2497" s="30" t="n"/>
      <c r="I2497" s="43" t="n"/>
      <c r="J2497" s="41" t="n"/>
      <c r="K2497" s="41" t="n"/>
      <c r="L2497" s="41" t="n"/>
      <c r="M2497" s="31">
        <f>IF(COUNT(J2497:L2497)=0,"",MEDIAN(J2497:L2497))</f>
        <v/>
      </c>
      <c r="N2497" s="26">
        <f>IF(COUNTIFS($C:$C,$C2497,$D:$D,$D2497,$E:$E,"P0(전)",$M:$M,"&gt;0")&lt;&gt;1,"P0(전) 유효 1개 아님",IF(COUNTIFS($C:$C,$C2497,$D:$D,$D2497,$E:$E,"P0(후)",$M:$M,"&gt;0")&lt;&gt;1,"P0(후) 유효 1개 아님",IF(NOT(AND(ISNUMBER(O2497),ISNUMBER(Q2497),ISNUMBER(I2497))),"시각 결측",IF(Q2497&lt;=O2497,"P0 시각 역전",IF(OR(I2497&lt;O2497,I2497&gt;Q2497),"측정시각 구간 밖","OK")))))</f>
        <v/>
      </c>
      <c r="O2497" s="48">
        <f>IF(COUNTIFS($C:$C,$C2497,$D:$D,$D2497,$E:$E,"P0(전)",$M:$M,"&gt;0")&lt;&gt;1,"",SUMIFS($I:$I,$C:$C,$C2497,$D:$D,$D2497,$E:$E,"P0(전)"))</f>
        <v/>
      </c>
      <c r="P2497" s="31">
        <f>IF(COUNTIFS($C:$C,$C2497,$D:$D,$D2497,$E:$E,"P0(전)",$M:$M,"&gt;0")&lt;&gt;1,"",SUMIFS($M:$M,$C:$C,$C2497,$D:$D,$D2497,$E:$E,"P0(전)"))</f>
        <v/>
      </c>
      <c r="Q2497" s="48">
        <f>IF(COUNTIFS($C:$C,$C2497,$D:$D,$D2497,$E:$E,"P0(후)",$M:$M,"&gt;0")&lt;&gt;1,"",SUMIFS($I:$I,$C:$C,$C2497,$D:$D,$D2497,$E:$E,"P0(후)"))</f>
        <v/>
      </c>
      <c r="R2497" s="31">
        <f>IF(COUNTIFS($C:$C,$C2497,$D:$D,$D2497,$E:$E,"P0(후)",$M:$M,"&gt;0")&lt;&gt;1,"",SUMIFS($M:$M,$C:$C,$C2497,$D:$D,$D2497,$E:$E,"P0(후)"))</f>
        <v/>
      </c>
      <c r="S2497" s="31">
        <f>IF(N2497&lt;&gt;"OK","",P2497+(R2497-P2497)*(I2497-O2497)/(Q2497-O2497))</f>
        <v/>
      </c>
      <c r="T2497" s="31">
        <f>IF(OR(N2497&lt;&gt;"OK",NOT(ISNUMBER(M2497))),"",M2497-S2497)</f>
        <v/>
      </c>
      <c r="U2497" s="49">
        <f>IF(OR(NOT(ISNUMBER(T2497)),IF(ISNUMBER(H2497),H2497,G2497)=0),"",T2497/IF(ISNUMBER(H2497),H2497,G2497))</f>
        <v/>
      </c>
      <c r="V2497" s="49">
        <f>IF(ISNUMBER(U2497),ABS(U2497),"")</f>
        <v/>
      </c>
      <c r="W2497" s="49">
        <f>IF(OR($E2496&lt;&gt;"측정",$C2496&lt;&gt;$C2497,$D2496&lt;&gt;$D2497,NOT(ISNUMBER(M2497)),NOT(ISNUMBER(M2496)),(IF(ISNUMBER(H2497),H2497,G2497)-IF(ISNUMBER(H2496),H2496,G2496))=0),"",(M2497-M2496)/(IF(ISNUMBER(H2497),H2497,G2497)-IF(ISNUMBER(H2496),H2496,G2496)))</f>
        <v/>
      </c>
      <c r="X2497" s="31">
        <f>IF(NOT(AND(ISNUMBER(O2497),ISNUMBER(Q2497))),"",(Q2497-O2497)*1440)</f>
        <v/>
      </c>
      <c r="Y2497" s="29" t="n"/>
      <c r="Z2497" s="29" t="n"/>
      <c r="AA2497" s="29" t="n"/>
      <c r="AB2497" s="32" t="n"/>
      <c r="AC2497" s="32" t="n"/>
    </row>
    <row r="2498">
      <c r="A2498" s="26" t="inlineStr">
        <is>
          <t>S48</t>
        </is>
      </c>
      <c r="B2498" s="26" t="inlineStr">
        <is>
          <t>삼척</t>
        </is>
      </c>
      <c r="C2498" s="26" t="inlineStr">
        <is>
          <t>S48-H북</t>
        </is>
      </c>
      <c r="D2498" s="47" t="n">
        <v>1</v>
      </c>
      <c r="E2498" s="26" t="inlineStr">
        <is>
          <t>측정</t>
        </is>
      </c>
      <c r="F2498" s="26" t="inlineStr">
        <is>
          <t>북</t>
        </is>
      </c>
      <c r="G2498" s="31" t="n">
        <v>8</v>
      </c>
      <c r="H2498" s="30" t="n"/>
      <c r="I2498" s="43" t="n"/>
      <c r="J2498" s="41" t="n"/>
      <c r="K2498" s="41" t="n"/>
      <c r="L2498" s="41" t="n"/>
      <c r="M2498" s="31">
        <f>IF(COUNT(J2498:L2498)=0,"",MEDIAN(J2498:L2498))</f>
        <v/>
      </c>
      <c r="N2498" s="26">
        <f>IF(COUNTIFS($C:$C,$C2498,$D:$D,$D2498,$E:$E,"P0(전)",$M:$M,"&gt;0")&lt;&gt;1,"P0(전) 유효 1개 아님",IF(COUNTIFS($C:$C,$C2498,$D:$D,$D2498,$E:$E,"P0(후)",$M:$M,"&gt;0")&lt;&gt;1,"P0(후) 유효 1개 아님",IF(NOT(AND(ISNUMBER(O2498),ISNUMBER(Q2498),ISNUMBER(I2498))),"시각 결측",IF(Q2498&lt;=O2498,"P0 시각 역전",IF(OR(I2498&lt;O2498,I2498&gt;Q2498),"측정시각 구간 밖","OK")))))</f>
        <v/>
      </c>
      <c r="O2498" s="48">
        <f>IF(COUNTIFS($C:$C,$C2498,$D:$D,$D2498,$E:$E,"P0(전)",$M:$M,"&gt;0")&lt;&gt;1,"",SUMIFS($I:$I,$C:$C,$C2498,$D:$D,$D2498,$E:$E,"P0(전)"))</f>
        <v/>
      </c>
      <c r="P2498" s="31">
        <f>IF(COUNTIFS($C:$C,$C2498,$D:$D,$D2498,$E:$E,"P0(전)",$M:$M,"&gt;0")&lt;&gt;1,"",SUMIFS($M:$M,$C:$C,$C2498,$D:$D,$D2498,$E:$E,"P0(전)"))</f>
        <v/>
      </c>
      <c r="Q2498" s="48">
        <f>IF(COUNTIFS($C:$C,$C2498,$D:$D,$D2498,$E:$E,"P0(후)",$M:$M,"&gt;0")&lt;&gt;1,"",SUMIFS($I:$I,$C:$C,$C2498,$D:$D,$D2498,$E:$E,"P0(후)"))</f>
        <v/>
      </c>
      <c r="R2498" s="31">
        <f>IF(COUNTIFS($C:$C,$C2498,$D:$D,$D2498,$E:$E,"P0(후)",$M:$M,"&gt;0")&lt;&gt;1,"",SUMIFS($M:$M,$C:$C,$C2498,$D:$D,$D2498,$E:$E,"P0(후)"))</f>
        <v/>
      </c>
      <c r="S2498" s="31">
        <f>IF(N2498&lt;&gt;"OK","",P2498+(R2498-P2498)*(I2498-O2498)/(Q2498-O2498))</f>
        <v/>
      </c>
      <c r="T2498" s="31">
        <f>IF(OR(N2498&lt;&gt;"OK",NOT(ISNUMBER(M2498))),"",M2498-S2498)</f>
        <v/>
      </c>
      <c r="U2498" s="49">
        <f>IF(OR(NOT(ISNUMBER(T2498)),IF(ISNUMBER(H2498),H2498,G2498)=0),"",T2498/IF(ISNUMBER(H2498),H2498,G2498))</f>
        <v/>
      </c>
      <c r="V2498" s="49">
        <f>IF(ISNUMBER(U2498),ABS(U2498),"")</f>
        <v/>
      </c>
      <c r="W2498" s="49">
        <f>IF(OR($E2497&lt;&gt;"측정",$C2497&lt;&gt;$C2498,$D2497&lt;&gt;$D2498,NOT(ISNUMBER(M2498)),NOT(ISNUMBER(M2497)),(IF(ISNUMBER(H2498),H2498,G2498)-IF(ISNUMBER(H2497),H2497,G2497))=0),"",(M2498-M2497)/(IF(ISNUMBER(H2498),H2498,G2498)-IF(ISNUMBER(H2497),H2497,G2497)))</f>
        <v/>
      </c>
      <c r="X2498" s="31">
        <f>IF(NOT(AND(ISNUMBER(O2498),ISNUMBER(Q2498))),"",(Q2498-O2498)*1440)</f>
        <v/>
      </c>
      <c r="Y2498" s="29" t="n"/>
      <c r="Z2498" s="29" t="n"/>
      <c r="AA2498" s="29" t="n"/>
      <c r="AB2498" s="32" t="n"/>
      <c r="AC2498" s="32" t="n"/>
    </row>
    <row r="2499">
      <c r="A2499" s="26" t="inlineStr">
        <is>
          <t>S48</t>
        </is>
      </c>
      <c r="B2499" s="26" t="inlineStr">
        <is>
          <t>삼척</t>
        </is>
      </c>
      <c r="C2499" s="26" t="inlineStr">
        <is>
          <t>S48-H북</t>
        </is>
      </c>
      <c r="D2499" s="47" t="n">
        <v>1</v>
      </c>
      <c r="E2499" s="26" t="inlineStr">
        <is>
          <t>측정</t>
        </is>
      </c>
      <c r="F2499" s="26" t="inlineStr">
        <is>
          <t>북</t>
        </is>
      </c>
      <c r="G2499" s="31" t="n">
        <v>9</v>
      </c>
      <c r="H2499" s="30" t="n"/>
      <c r="I2499" s="43" t="n"/>
      <c r="J2499" s="41" t="n"/>
      <c r="K2499" s="41" t="n"/>
      <c r="L2499" s="41" t="n"/>
      <c r="M2499" s="31">
        <f>IF(COUNT(J2499:L2499)=0,"",MEDIAN(J2499:L2499))</f>
        <v/>
      </c>
      <c r="N2499" s="26">
        <f>IF(COUNTIFS($C:$C,$C2499,$D:$D,$D2499,$E:$E,"P0(전)",$M:$M,"&gt;0")&lt;&gt;1,"P0(전) 유효 1개 아님",IF(COUNTIFS($C:$C,$C2499,$D:$D,$D2499,$E:$E,"P0(후)",$M:$M,"&gt;0")&lt;&gt;1,"P0(후) 유효 1개 아님",IF(NOT(AND(ISNUMBER(O2499),ISNUMBER(Q2499),ISNUMBER(I2499))),"시각 결측",IF(Q2499&lt;=O2499,"P0 시각 역전",IF(OR(I2499&lt;O2499,I2499&gt;Q2499),"측정시각 구간 밖","OK")))))</f>
        <v/>
      </c>
      <c r="O2499" s="48">
        <f>IF(COUNTIFS($C:$C,$C2499,$D:$D,$D2499,$E:$E,"P0(전)",$M:$M,"&gt;0")&lt;&gt;1,"",SUMIFS($I:$I,$C:$C,$C2499,$D:$D,$D2499,$E:$E,"P0(전)"))</f>
        <v/>
      </c>
      <c r="P2499" s="31">
        <f>IF(COUNTIFS($C:$C,$C2499,$D:$D,$D2499,$E:$E,"P0(전)",$M:$M,"&gt;0")&lt;&gt;1,"",SUMIFS($M:$M,$C:$C,$C2499,$D:$D,$D2499,$E:$E,"P0(전)"))</f>
        <v/>
      </c>
      <c r="Q2499" s="48">
        <f>IF(COUNTIFS($C:$C,$C2499,$D:$D,$D2499,$E:$E,"P0(후)",$M:$M,"&gt;0")&lt;&gt;1,"",SUMIFS($I:$I,$C:$C,$C2499,$D:$D,$D2499,$E:$E,"P0(후)"))</f>
        <v/>
      </c>
      <c r="R2499" s="31">
        <f>IF(COUNTIFS($C:$C,$C2499,$D:$D,$D2499,$E:$E,"P0(후)",$M:$M,"&gt;0")&lt;&gt;1,"",SUMIFS($M:$M,$C:$C,$C2499,$D:$D,$D2499,$E:$E,"P0(후)"))</f>
        <v/>
      </c>
      <c r="S2499" s="31">
        <f>IF(N2499&lt;&gt;"OK","",P2499+(R2499-P2499)*(I2499-O2499)/(Q2499-O2499))</f>
        <v/>
      </c>
      <c r="T2499" s="31">
        <f>IF(OR(N2499&lt;&gt;"OK",NOT(ISNUMBER(M2499))),"",M2499-S2499)</f>
        <v/>
      </c>
      <c r="U2499" s="49">
        <f>IF(OR(NOT(ISNUMBER(T2499)),IF(ISNUMBER(H2499),H2499,G2499)=0),"",T2499/IF(ISNUMBER(H2499),H2499,G2499))</f>
        <v/>
      </c>
      <c r="V2499" s="49">
        <f>IF(ISNUMBER(U2499),ABS(U2499),"")</f>
        <v/>
      </c>
      <c r="W2499" s="49">
        <f>IF(OR($E2498&lt;&gt;"측정",$C2498&lt;&gt;$C2499,$D2498&lt;&gt;$D2499,NOT(ISNUMBER(M2499)),NOT(ISNUMBER(M2498)),(IF(ISNUMBER(H2499),H2499,G2499)-IF(ISNUMBER(H2498),H2498,G2498))=0),"",(M2499-M2498)/(IF(ISNUMBER(H2499),H2499,G2499)-IF(ISNUMBER(H2498),H2498,G2498)))</f>
        <v/>
      </c>
      <c r="X2499" s="31">
        <f>IF(NOT(AND(ISNUMBER(O2499),ISNUMBER(Q2499))),"",(Q2499-O2499)*1440)</f>
        <v/>
      </c>
      <c r="Y2499" s="29" t="n"/>
      <c r="Z2499" s="29" t="n"/>
      <c r="AA2499" s="29" t="n"/>
      <c r="AB2499" s="32" t="n"/>
      <c r="AC2499" s="32" t="n"/>
    </row>
    <row r="2500">
      <c r="A2500" s="26" t="inlineStr">
        <is>
          <t>S48</t>
        </is>
      </c>
      <c r="B2500" s="26" t="inlineStr">
        <is>
          <t>삼척</t>
        </is>
      </c>
      <c r="C2500" s="26" t="inlineStr">
        <is>
          <t>S48-H북</t>
        </is>
      </c>
      <c r="D2500" s="47" t="n">
        <v>1</v>
      </c>
      <c r="E2500" s="26" t="inlineStr">
        <is>
          <t>측정</t>
        </is>
      </c>
      <c r="F2500" s="26" t="inlineStr">
        <is>
          <t>북</t>
        </is>
      </c>
      <c r="G2500" s="31" t="n">
        <v>10</v>
      </c>
      <c r="H2500" s="30" t="n"/>
      <c r="I2500" s="43" t="n"/>
      <c r="J2500" s="41" t="n"/>
      <c r="K2500" s="41" t="n"/>
      <c r="L2500" s="41" t="n"/>
      <c r="M2500" s="31">
        <f>IF(COUNT(J2500:L2500)=0,"",MEDIAN(J2500:L2500))</f>
        <v/>
      </c>
      <c r="N2500" s="26">
        <f>IF(COUNTIFS($C:$C,$C2500,$D:$D,$D2500,$E:$E,"P0(전)",$M:$M,"&gt;0")&lt;&gt;1,"P0(전) 유효 1개 아님",IF(COUNTIFS($C:$C,$C2500,$D:$D,$D2500,$E:$E,"P0(후)",$M:$M,"&gt;0")&lt;&gt;1,"P0(후) 유효 1개 아님",IF(NOT(AND(ISNUMBER(O2500),ISNUMBER(Q2500),ISNUMBER(I2500))),"시각 결측",IF(Q2500&lt;=O2500,"P0 시각 역전",IF(OR(I2500&lt;O2500,I2500&gt;Q2500),"측정시각 구간 밖","OK")))))</f>
        <v/>
      </c>
      <c r="O2500" s="48">
        <f>IF(COUNTIFS($C:$C,$C2500,$D:$D,$D2500,$E:$E,"P0(전)",$M:$M,"&gt;0")&lt;&gt;1,"",SUMIFS($I:$I,$C:$C,$C2500,$D:$D,$D2500,$E:$E,"P0(전)"))</f>
        <v/>
      </c>
      <c r="P2500" s="31">
        <f>IF(COUNTIFS($C:$C,$C2500,$D:$D,$D2500,$E:$E,"P0(전)",$M:$M,"&gt;0")&lt;&gt;1,"",SUMIFS($M:$M,$C:$C,$C2500,$D:$D,$D2500,$E:$E,"P0(전)"))</f>
        <v/>
      </c>
      <c r="Q2500" s="48">
        <f>IF(COUNTIFS($C:$C,$C2500,$D:$D,$D2500,$E:$E,"P0(후)",$M:$M,"&gt;0")&lt;&gt;1,"",SUMIFS($I:$I,$C:$C,$C2500,$D:$D,$D2500,$E:$E,"P0(후)"))</f>
        <v/>
      </c>
      <c r="R2500" s="31">
        <f>IF(COUNTIFS($C:$C,$C2500,$D:$D,$D2500,$E:$E,"P0(후)",$M:$M,"&gt;0")&lt;&gt;1,"",SUMIFS($M:$M,$C:$C,$C2500,$D:$D,$D2500,$E:$E,"P0(후)"))</f>
        <v/>
      </c>
      <c r="S2500" s="31">
        <f>IF(N2500&lt;&gt;"OK","",P2500+(R2500-P2500)*(I2500-O2500)/(Q2500-O2500))</f>
        <v/>
      </c>
      <c r="T2500" s="31">
        <f>IF(OR(N2500&lt;&gt;"OK",NOT(ISNUMBER(M2500))),"",M2500-S2500)</f>
        <v/>
      </c>
      <c r="U2500" s="49">
        <f>IF(OR(NOT(ISNUMBER(T2500)),IF(ISNUMBER(H2500),H2500,G2500)=0),"",T2500/IF(ISNUMBER(H2500),H2500,G2500))</f>
        <v/>
      </c>
      <c r="V2500" s="49">
        <f>IF(ISNUMBER(U2500),ABS(U2500),"")</f>
        <v/>
      </c>
      <c r="W2500" s="49">
        <f>IF(OR($E2499&lt;&gt;"측정",$C2499&lt;&gt;$C2500,$D2499&lt;&gt;$D2500,NOT(ISNUMBER(M2500)),NOT(ISNUMBER(M2499)),(IF(ISNUMBER(H2500),H2500,G2500)-IF(ISNUMBER(H2499),H2499,G2499))=0),"",(M2500-M2499)/(IF(ISNUMBER(H2500),H2500,G2500)-IF(ISNUMBER(H2499),H2499,G2499)))</f>
        <v/>
      </c>
      <c r="X2500" s="31">
        <f>IF(NOT(AND(ISNUMBER(O2500),ISNUMBER(Q2500))),"",(Q2500-O2500)*1440)</f>
        <v/>
      </c>
      <c r="Y2500" s="29" t="n"/>
      <c r="Z2500" s="29" t="n"/>
      <c r="AA2500" s="29" t="n"/>
      <c r="AB2500" s="32" t="n"/>
      <c r="AC2500" s="32" t="n"/>
    </row>
    <row r="2501">
      <c r="A2501" s="44" t="inlineStr">
        <is>
          <t>S48</t>
        </is>
      </c>
      <c r="B2501" s="44" t="inlineStr">
        <is>
          <t>삼척</t>
        </is>
      </c>
      <c r="C2501" s="44" t="inlineStr">
        <is>
          <t>S48-H북</t>
        </is>
      </c>
      <c r="D2501" s="45" t="n">
        <v>1</v>
      </c>
      <c r="E2501" s="44" t="inlineStr">
        <is>
          <t>P0(후)</t>
        </is>
      </c>
      <c r="F2501" s="44" t="inlineStr">
        <is>
          <t>북</t>
        </is>
      </c>
      <c r="G2501" s="46" t="n"/>
      <c r="H2501" s="30" t="n"/>
      <c r="I2501" s="43" t="n"/>
      <c r="J2501" s="41" t="n"/>
      <c r="K2501" s="41" t="n"/>
      <c r="L2501" s="41" t="n"/>
      <c r="M2501" s="31">
        <f>IF(COUNT(J2501:L2501)=0,"",MEDIAN(J2501:L2501))</f>
        <v/>
      </c>
      <c r="N2501" s="38" t="n"/>
      <c r="O2501" s="38" t="n"/>
      <c r="P2501" s="38" t="n"/>
      <c r="Q2501" s="38" t="n"/>
      <c r="R2501" s="38" t="n"/>
      <c r="S2501" s="38" t="n"/>
      <c r="T2501" s="38" t="n"/>
      <c r="U2501" s="38" t="n"/>
      <c r="V2501" s="38" t="n"/>
      <c r="W2501" s="38" t="n"/>
      <c r="X2501" s="38" t="n"/>
      <c r="Y2501" s="29" t="n"/>
      <c r="Z2501" s="29" t="n"/>
      <c r="AA2501" s="29" t="n"/>
      <c r="AB2501" s="32" t="n"/>
      <c r="AC2501" s="32" t="n"/>
    </row>
    <row r="2502">
      <c r="A2502" s="44" t="inlineStr">
        <is>
          <t>S49</t>
        </is>
      </c>
      <c r="B2502" s="44" t="inlineStr">
        <is>
          <t>제천</t>
        </is>
      </c>
      <c r="C2502" s="44" t="inlineStr">
        <is>
          <t>S49-H동</t>
        </is>
      </c>
      <c r="D2502" s="45" t="n">
        <v>1</v>
      </c>
      <c r="E2502" s="44" t="inlineStr">
        <is>
          <t>P0(전)</t>
        </is>
      </c>
      <c r="F2502" s="44" t="inlineStr">
        <is>
          <t>동</t>
        </is>
      </c>
      <c r="G2502" s="46" t="n"/>
      <c r="H2502" s="30" t="n"/>
      <c r="I2502" s="43" t="n"/>
      <c r="J2502" s="41" t="n"/>
      <c r="K2502" s="41" t="n"/>
      <c r="L2502" s="41" t="n"/>
      <c r="M2502" s="31">
        <f>IF(COUNT(J2502:L2502)=0,"",MEDIAN(J2502:L2502))</f>
        <v/>
      </c>
      <c r="N2502" s="38" t="n"/>
      <c r="O2502" s="38" t="n"/>
      <c r="P2502" s="38" t="n"/>
      <c r="Q2502" s="38" t="n"/>
      <c r="R2502" s="38" t="n"/>
      <c r="S2502" s="38" t="n"/>
      <c r="T2502" s="38" t="n"/>
      <c r="U2502" s="38" t="n"/>
      <c r="V2502" s="38" t="n"/>
      <c r="W2502" s="38" t="n"/>
      <c r="X2502" s="38" t="n"/>
      <c r="Y2502" s="29" t="n"/>
      <c r="Z2502" s="29" t="n"/>
      <c r="AA2502" s="29" t="n"/>
      <c r="AB2502" s="32" t="n"/>
      <c r="AC2502" s="32" t="n"/>
    </row>
    <row r="2503">
      <c r="A2503" s="26" t="inlineStr">
        <is>
          <t>S49</t>
        </is>
      </c>
      <c r="B2503" s="26" t="inlineStr">
        <is>
          <t>제천</t>
        </is>
      </c>
      <c r="C2503" s="26" t="inlineStr">
        <is>
          <t>S49-H동</t>
        </is>
      </c>
      <c r="D2503" s="47" t="n">
        <v>1</v>
      </c>
      <c r="E2503" s="26" t="inlineStr">
        <is>
          <t>측정</t>
        </is>
      </c>
      <c r="F2503" s="26" t="inlineStr">
        <is>
          <t>동</t>
        </is>
      </c>
      <c r="G2503" s="31" t="n">
        <v>0.5</v>
      </c>
      <c r="H2503" s="30" t="n"/>
      <c r="I2503" s="43" t="n"/>
      <c r="J2503" s="41" t="n"/>
      <c r="K2503" s="41" t="n"/>
      <c r="L2503" s="41" t="n"/>
      <c r="M2503" s="31">
        <f>IF(COUNT(J2503:L2503)=0,"",MEDIAN(J2503:L2503))</f>
        <v/>
      </c>
      <c r="N2503" s="26">
        <f>IF(COUNTIFS($C:$C,$C2503,$D:$D,$D2503,$E:$E,"P0(전)",$M:$M,"&gt;0")&lt;&gt;1,"P0(전) 유효 1개 아님",IF(COUNTIFS($C:$C,$C2503,$D:$D,$D2503,$E:$E,"P0(후)",$M:$M,"&gt;0")&lt;&gt;1,"P0(후) 유효 1개 아님",IF(NOT(AND(ISNUMBER(O2503),ISNUMBER(Q2503),ISNUMBER(I2503))),"시각 결측",IF(Q2503&lt;=O2503,"P0 시각 역전",IF(OR(I2503&lt;O2503,I2503&gt;Q2503),"측정시각 구간 밖","OK")))))</f>
        <v/>
      </c>
      <c r="O2503" s="48">
        <f>IF(COUNTIFS($C:$C,$C2503,$D:$D,$D2503,$E:$E,"P0(전)",$M:$M,"&gt;0")&lt;&gt;1,"",SUMIFS($I:$I,$C:$C,$C2503,$D:$D,$D2503,$E:$E,"P0(전)"))</f>
        <v/>
      </c>
      <c r="P2503" s="31">
        <f>IF(COUNTIFS($C:$C,$C2503,$D:$D,$D2503,$E:$E,"P0(전)",$M:$M,"&gt;0")&lt;&gt;1,"",SUMIFS($M:$M,$C:$C,$C2503,$D:$D,$D2503,$E:$E,"P0(전)"))</f>
        <v/>
      </c>
      <c r="Q2503" s="48">
        <f>IF(COUNTIFS($C:$C,$C2503,$D:$D,$D2503,$E:$E,"P0(후)",$M:$M,"&gt;0")&lt;&gt;1,"",SUMIFS($I:$I,$C:$C,$C2503,$D:$D,$D2503,$E:$E,"P0(후)"))</f>
        <v/>
      </c>
      <c r="R2503" s="31">
        <f>IF(COUNTIFS($C:$C,$C2503,$D:$D,$D2503,$E:$E,"P0(후)",$M:$M,"&gt;0")&lt;&gt;1,"",SUMIFS($M:$M,$C:$C,$C2503,$D:$D,$D2503,$E:$E,"P0(후)"))</f>
        <v/>
      </c>
      <c r="S2503" s="31">
        <f>IF(N2503&lt;&gt;"OK","",P2503+(R2503-P2503)*(I2503-O2503)/(Q2503-O2503))</f>
        <v/>
      </c>
      <c r="T2503" s="31">
        <f>IF(OR(N2503&lt;&gt;"OK",NOT(ISNUMBER(M2503))),"",M2503-S2503)</f>
        <v/>
      </c>
      <c r="U2503" s="49">
        <f>IF(OR(NOT(ISNUMBER(T2503)),IF(ISNUMBER(H2503),H2503,G2503)=0),"",T2503/IF(ISNUMBER(H2503),H2503,G2503))</f>
        <v/>
      </c>
      <c r="V2503" s="49">
        <f>IF(ISNUMBER(U2503),ABS(U2503),"")</f>
        <v/>
      </c>
      <c r="W2503" s="49">
        <f>IF(OR($E2502&lt;&gt;"측정",$C2502&lt;&gt;$C2503,$D2502&lt;&gt;$D2503,NOT(ISNUMBER(M2503)),NOT(ISNUMBER(M2502)),(IF(ISNUMBER(H2503),H2503,G2503)-IF(ISNUMBER(H2502),H2502,G2502))=0),"",(M2503-M2502)/(IF(ISNUMBER(H2503),H2503,G2503)-IF(ISNUMBER(H2502),H2502,G2502)))</f>
        <v/>
      </c>
      <c r="X2503" s="31">
        <f>IF(NOT(AND(ISNUMBER(O2503),ISNUMBER(Q2503))),"",(Q2503-O2503)*1440)</f>
        <v/>
      </c>
      <c r="Y2503" s="29" t="n"/>
      <c r="Z2503" s="29" t="n"/>
      <c r="AA2503" s="29" t="n"/>
      <c r="AB2503" s="32" t="n"/>
      <c r="AC2503" s="32" t="n"/>
    </row>
    <row r="2504">
      <c r="A2504" s="26" t="inlineStr">
        <is>
          <t>S49</t>
        </is>
      </c>
      <c r="B2504" s="26" t="inlineStr">
        <is>
          <t>제천</t>
        </is>
      </c>
      <c r="C2504" s="26" t="inlineStr">
        <is>
          <t>S49-H동</t>
        </is>
      </c>
      <c r="D2504" s="47" t="n">
        <v>1</v>
      </c>
      <c r="E2504" s="26" t="inlineStr">
        <is>
          <t>측정</t>
        </is>
      </c>
      <c r="F2504" s="26" t="inlineStr">
        <is>
          <t>동</t>
        </is>
      </c>
      <c r="G2504" s="31" t="n">
        <v>1</v>
      </c>
      <c r="H2504" s="30" t="n"/>
      <c r="I2504" s="43" t="n"/>
      <c r="J2504" s="41" t="n"/>
      <c r="K2504" s="41" t="n"/>
      <c r="L2504" s="41" t="n"/>
      <c r="M2504" s="31">
        <f>IF(COUNT(J2504:L2504)=0,"",MEDIAN(J2504:L2504))</f>
        <v/>
      </c>
      <c r="N2504" s="26">
        <f>IF(COUNTIFS($C:$C,$C2504,$D:$D,$D2504,$E:$E,"P0(전)",$M:$M,"&gt;0")&lt;&gt;1,"P0(전) 유효 1개 아님",IF(COUNTIFS($C:$C,$C2504,$D:$D,$D2504,$E:$E,"P0(후)",$M:$M,"&gt;0")&lt;&gt;1,"P0(후) 유효 1개 아님",IF(NOT(AND(ISNUMBER(O2504),ISNUMBER(Q2504),ISNUMBER(I2504))),"시각 결측",IF(Q2504&lt;=O2504,"P0 시각 역전",IF(OR(I2504&lt;O2504,I2504&gt;Q2504),"측정시각 구간 밖","OK")))))</f>
        <v/>
      </c>
      <c r="O2504" s="48">
        <f>IF(COUNTIFS($C:$C,$C2504,$D:$D,$D2504,$E:$E,"P0(전)",$M:$M,"&gt;0")&lt;&gt;1,"",SUMIFS($I:$I,$C:$C,$C2504,$D:$D,$D2504,$E:$E,"P0(전)"))</f>
        <v/>
      </c>
      <c r="P2504" s="31">
        <f>IF(COUNTIFS($C:$C,$C2504,$D:$D,$D2504,$E:$E,"P0(전)",$M:$M,"&gt;0")&lt;&gt;1,"",SUMIFS($M:$M,$C:$C,$C2504,$D:$D,$D2504,$E:$E,"P0(전)"))</f>
        <v/>
      </c>
      <c r="Q2504" s="48">
        <f>IF(COUNTIFS($C:$C,$C2504,$D:$D,$D2504,$E:$E,"P0(후)",$M:$M,"&gt;0")&lt;&gt;1,"",SUMIFS($I:$I,$C:$C,$C2504,$D:$D,$D2504,$E:$E,"P0(후)"))</f>
        <v/>
      </c>
      <c r="R2504" s="31">
        <f>IF(COUNTIFS($C:$C,$C2504,$D:$D,$D2504,$E:$E,"P0(후)",$M:$M,"&gt;0")&lt;&gt;1,"",SUMIFS($M:$M,$C:$C,$C2504,$D:$D,$D2504,$E:$E,"P0(후)"))</f>
        <v/>
      </c>
      <c r="S2504" s="31">
        <f>IF(N2504&lt;&gt;"OK","",P2504+(R2504-P2504)*(I2504-O2504)/(Q2504-O2504))</f>
        <v/>
      </c>
      <c r="T2504" s="31">
        <f>IF(OR(N2504&lt;&gt;"OK",NOT(ISNUMBER(M2504))),"",M2504-S2504)</f>
        <v/>
      </c>
      <c r="U2504" s="49">
        <f>IF(OR(NOT(ISNUMBER(T2504)),IF(ISNUMBER(H2504),H2504,G2504)=0),"",T2504/IF(ISNUMBER(H2504),H2504,G2504))</f>
        <v/>
      </c>
      <c r="V2504" s="49">
        <f>IF(ISNUMBER(U2504),ABS(U2504),"")</f>
        <v/>
      </c>
      <c r="W2504" s="49">
        <f>IF(OR($E2503&lt;&gt;"측정",$C2503&lt;&gt;$C2504,$D2503&lt;&gt;$D2504,NOT(ISNUMBER(M2504)),NOT(ISNUMBER(M2503)),(IF(ISNUMBER(H2504),H2504,G2504)-IF(ISNUMBER(H2503),H2503,G2503))=0),"",(M2504-M2503)/(IF(ISNUMBER(H2504),H2504,G2504)-IF(ISNUMBER(H2503),H2503,G2503)))</f>
        <v/>
      </c>
      <c r="X2504" s="31">
        <f>IF(NOT(AND(ISNUMBER(O2504),ISNUMBER(Q2504))),"",(Q2504-O2504)*1440)</f>
        <v/>
      </c>
      <c r="Y2504" s="29" t="n"/>
      <c r="Z2504" s="29" t="n"/>
      <c r="AA2504" s="29" t="n"/>
      <c r="AB2504" s="32" t="n"/>
      <c r="AC2504" s="32" t="n"/>
    </row>
    <row r="2505">
      <c r="A2505" s="26" t="inlineStr">
        <is>
          <t>S49</t>
        </is>
      </c>
      <c r="B2505" s="26" t="inlineStr">
        <is>
          <t>제천</t>
        </is>
      </c>
      <c r="C2505" s="26" t="inlineStr">
        <is>
          <t>S49-H동</t>
        </is>
      </c>
      <c r="D2505" s="47" t="n">
        <v>1</v>
      </c>
      <c r="E2505" s="26" t="inlineStr">
        <is>
          <t>측정</t>
        </is>
      </c>
      <c r="F2505" s="26" t="inlineStr">
        <is>
          <t>동</t>
        </is>
      </c>
      <c r="G2505" s="31" t="n">
        <v>2</v>
      </c>
      <c r="H2505" s="30" t="n"/>
      <c r="I2505" s="43" t="n"/>
      <c r="J2505" s="41" t="n"/>
      <c r="K2505" s="41" t="n"/>
      <c r="L2505" s="41" t="n"/>
      <c r="M2505" s="31">
        <f>IF(COUNT(J2505:L2505)=0,"",MEDIAN(J2505:L2505))</f>
        <v/>
      </c>
      <c r="N2505" s="26">
        <f>IF(COUNTIFS($C:$C,$C2505,$D:$D,$D2505,$E:$E,"P0(전)",$M:$M,"&gt;0")&lt;&gt;1,"P0(전) 유효 1개 아님",IF(COUNTIFS($C:$C,$C2505,$D:$D,$D2505,$E:$E,"P0(후)",$M:$M,"&gt;0")&lt;&gt;1,"P0(후) 유효 1개 아님",IF(NOT(AND(ISNUMBER(O2505),ISNUMBER(Q2505),ISNUMBER(I2505))),"시각 결측",IF(Q2505&lt;=O2505,"P0 시각 역전",IF(OR(I2505&lt;O2505,I2505&gt;Q2505),"측정시각 구간 밖","OK")))))</f>
        <v/>
      </c>
      <c r="O2505" s="48">
        <f>IF(COUNTIFS($C:$C,$C2505,$D:$D,$D2505,$E:$E,"P0(전)",$M:$M,"&gt;0")&lt;&gt;1,"",SUMIFS($I:$I,$C:$C,$C2505,$D:$D,$D2505,$E:$E,"P0(전)"))</f>
        <v/>
      </c>
      <c r="P2505" s="31">
        <f>IF(COUNTIFS($C:$C,$C2505,$D:$D,$D2505,$E:$E,"P0(전)",$M:$M,"&gt;0")&lt;&gt;1,"",SUMIFS($M:$M,$C:$C,$C2505,$D:$D,$D2505,$E:$E,"P0(전)"))</f>
        <v/>
      </c>
      <c r="Q2505" s="48">
        <f>IF(COUNTIFS($C:$C,$C2505,$D:$D,$D2505,$E:$E,"P0(후)",$M:$M,"&gt;0")&lt;&gt;1,"",SUMIFS($I:$I,$C:$C,$C2505,$D:$D,$D2505,$E:$E,"P0(후)"))</f>
        <v/>
      </c>
      <c r="R2505" s="31">
        <f>IF(COUNTIFS($C:$C,$C2505,$D:$D,$D2505,$E:$E,"P0(후)",$M:$M,"&gt;0")&lt;&gt;1,"",SUMIFS($M:$M,$C:$C,$C2505,$D:$D,$D2505,$E:$E,"P0(후)"))</f>
        <v/>
      </c>
      <c r="S2505" s="31">
        <f>IF(N2505&lt;&gt;"OK","",P2505+(R2505-P2505)*(I2505-O2505)/(Q2505-O2505))</f>
        <v/>
      </c>
      <c r="T2505" s="31">
        <f>IF(OR(N2505&lt;&gt;"OK",NOT(ISNUMBER(M2505))),"",M2505-S2505)</f>
        <v/>
      </c>
      <c r="U2505" s="49">
        <f>IF(OR(NOT(ISNUMBER(T2505)),IF(ISNUMBER(H2505),H2505,G2505)=0),"",T2505/IF(ISNUMBER(H2505),H2505,G2505))</f>
        <v/>
      </c>
      <c r="V2505" s="49">
        <f>IF(ISNUMBER(U2505),ABS(U2505),"")</f>
        <v/>
      </c>
      <c r="W2505" s="49">
        <f>IF(OR($E2504&lt;&gt;"측정",$C2504&lt;&gt;$C2505,$D2504&lt;&gt;$D2505,NOT(ISNUMBER(M2505)),NOT(ISNUMBER(M2504)),(IF(ISNUMBER(H2505),H2505,G2505)-IF(ISNUMBER(H2504),H2504,G2504))=0),"",(M2505-M2504)/(IF(ISNUMBER(H2505),H2505,G2505)-IF(ISNUMBER(H2504),H2504,G2504)))</f>
        <v/>
      </c>
      <c r="X2505" s="31">
        <f>IF(NOT(AND(ISNUMBER(O2505),ISNUMBER(Q2505))),"",(Q2505-O2505)*1440)</f>
        <v/>
      </c>
      <c r="Y2505" s="29" t="n"/>
      <c r="Z2505" s="29" t="n"/>
      <c r="AA2505" s="29" t="n"/>
      <c r="AB2505" s="32" t="n"/>
      <c r="AC2505" s="32" t="n"/>
    </row>
    <row r="2506">
      <c r="A2506" s="26" t="inlineStr">
        <is>
          <t>S49</t>
        </is>
      </c>
      <c r="B2506" s="26" t="inlineStr">
        <is>
          <t>제천</t>
        </is>
      </c>
      <c r="C2506" s="26" t="inlineStr">
        <is>
          <t>S49-H동</t>
        </is>
      </c>
      <c r="D2506" s="47" t="n">
        <v>1</v>
      </c>
      <c r="E2506" s="26" t="inlineStr">
        <is>
          <t>측정</t>
        </is>
      </c>
      <c r="F2506" s="26" t="inlineStr">
        <is>
          <t>동</t>
        </is>
      </c>
      <c r="G2506" s="31" t="n">
        <v>3</v>
      </c>
      <c r="H2506" s="30" t="n"/>
      <c r="I2506" s="43" t="n"/>
      <c r="J2506" s="41" t="n"/>
      <c r="K2506" s="41" t="n"/>
      <c r="L2506" s="41" t="n"/>
      <c r="M2506" s="31">
        <f>IF(COUNT(J2506:L2506)=0,"",MEDIAN(J2506:L2506))</f>
        <v/>
      </c>
      <c r="N2506" s="26">
        <f>IF(COUNTIFS($C:$C,$C2506,$D:$D,$D2506,$E:$E,"P0(전)",$M:$M,"&gt;0")&lt;&gt;1,"P0(전) 유효 1개 아님",IF(COUNTIFS($C:$C,$C2506,$D:$D,$D2506,$E:$E,"P0(후)",$M:$M,"&gt;0")&lt;&gt;1,"P0(후) 유효 1개 아님",IF(NOT(AND(ISNUMBER(O2506),ISNUMBER(Q2506),ISNUMBER(I2506))),"시각 결측",IF(Q2506&lt;=O2506,"P0 시각 역전",IF(OR(I2506&lt;O2506,I2506&gt;Q2506),"측정시각 구간 밖","OK")))))</f>
        <v/>
      </c>
      <c r="O2506" s="48">
        <f>IF(COUNTIFS($C:$C,$C2506,$D:$D,$D2506,$E:$E,"P0(전)",$M:$M,"&gt;0")&lt;&gt;1,"",SUMIFS($I:$I,$C:$C,$C2506,$D:$D,$D2506,$E:$E,"P0(전)"))</f>
        <v/>
      </c>
      <c r="P2506" s="31">
        <f>IF(COUNTIFS($C:$C,$C2506,$D:$D,$D2506,$E:$E,"P0(전)",$M:$M,"&gt;0")&lt;&gt;1,"",SUMIFS($M:$M,$C:$C,$C2506,$D:$D,$D2506,$E:$E,"P0(전)"))</f>
        <v/>
      </c>
      <c r="Q2506" s="48">
        <f>IF(COUNTIFS($C:$C,$C2506,$D:$D,$D2506,$E:$E,"P0(후)",$M:$M,"&gt;0")&lt;&gt;1,"",SUMIFS($I:$I,$C:$C,$C2506,$D:$D,$D2506,$E:$E,"P0(후)"))</f>
        <v/>
      </c>
      <c r="R2506" s="31">
        <f>IF(COUNTIFS($C:$C,$C2506,$D:$D,$D2506,$E:$E,"P0(후)",$M:$M,"&gt;0")&lt;&gt;1,"",SUMIFS($M:$M,$C:$C,$C2506,$D:$D,$D2506,$E:$E,"P0(후)"))</f>
        <v/>
      </c>
      <c r="S2506" s="31">
        <f>IF(N2506&lt;&gt;"OK","",P2506+(R2506-P2506)*(I2506-O2506)/(Q2506-O2506))</f>
        <v/>
      </c>
      <c r="T2506" s="31">
        <f>IF(OR(N2506&lt;&gt;"OK",NOT(ISNUMBER(M2506))),"",M2506-S2506)</f>
        <v/>
      </c>
      <c r="U2506" s="49">
        <f>IF(OR(NOT(ISNUMBER(T2506)),IF(ISNUMBER(H2506),H2506,G2506)=0),"",T2506/IF(ISNUMBER(H2506),H2506,G2506))</f>
        <v/>
      </c>
      <c r="V2506" s="49">
        <f>IF(ISNUMBER(U2506),ABS(U2506),"")</f>
        <v/>
      </c>
      <c r="W2506" s="49">
        <f>IF(OR($E2505&lt;&gt;"측정",$C2505&lt;&gt;$C2506,$D2505&lt;&gt;$D2506,NOT(ISNUMBER(M2506)),NOT(ISNUMBER(M2505)),(IF(ISNUMBER(H2506),H2506,G2506)-IF(ISNUMBER(H2505),H2505,G2505))=0),"",(M2506-M2505)/(IF(ISNUMBER(H2506),H2506,G2506)-IF(ISNUMBER(H2505),H2505,G2505)))</f>
        <v/>
      </c>
      <c r="X2506" s="31">
        <f>IF(NOT(AND(ISNUMBER(O2506),ISNUMBER(Q2506))),"",(Q2506-O2506)*1440)</f>
        <v/>
      </c>
      <c r="Y2506" s="29" t="n"/>
      <c r="Z2506" s="29" t="n"/>
      <c r="AA2506" s="29" t="n"/>
      <c r="AB2506" s="32" t="n"/>
      <c r="AC2506" s="32" t="n"/>
    </row>
    <row r="2507">
      <c r="A2507" s="26" t="inlineStr">
        <is>
          <t>S49</t>
        </is>
      </c>
      <c r="B2507" s="26" t="inlineStr">
        <is>
          <t>제천</t>
        </is>
      </c>
      <c r="C2507" s="26" t="inlineStr">
        <is>
          <t>S49-H동</t>
        </is>
      </c>
      <c r="D2507" s="47" t="n">
        <v>1</v>
      </c>
      <c r="E2507" s="26" t="inlineStr">
        <is>
          <t>측정</t>
        </is>
      </c>
      <c r="F2507" s="26" t="inlineStr">
        <is>
          <t>동</t>
        </is>
      </c>
      <c r="G2507" s="31" t="n">
        <v>4</v>
      </c>
      <c r="H2507" s="30" t="n"/>
      <c r="I2507" s="43" t="n"/>
      <c r="J2507" s="41" t="n"/>
      <c r="K2507" s="41" t="n"/>
      <c r="L2507" s="41" t="n"/>
      <c r="M2507" s="31">
        <f>IF(COUNT(J2507:L2507)=0,"",MEDIAN(J2507:L2507))</f>
        <v/>
      </c>
      <c r="N2507" s="26">
        <f>IF(COUNTIFS($C:$C,$C2507,$D:$D,$D2507,$E:$E,"P0(전)",$M:$M,"&gt;0")&lt;&gt;1,"P0(전) 유효 1개 아님",IF(COUNTIFS($C:$C,$C2507,$D:$D,$D2507,$E:$E,"P0(후)",$M:$M,"&gt;0")&lt;&gt;1,"P0(후) 유효 1개 아님",IF(NOT(AND(ISNUMBER(O2507),ISNUMBER(Q2507),ISNUMBER(I2507))),"시각 결측",IF(Q2507&lt;=O2507,"P0 시각 역전",IF(OR(I2507&lt;O2507,I2507&gt;Q2507),"측정시각 구간 밖","OK")))))</f>
        <v/>
      </c>
      <c r="O2507" s="48">
        <f>IF(COUNTIFS($C:$C,$C2507,$D:$D,$D2507,$E:$E,"P0(전)",$M:$M,"&gt;0")&lt;&gt;1,"",SUMIFS($I:$I,$C:$C,$C2507,$D:$D,$D2507,$E:$E,"P0(전)"))</f>
        <v/>
      </c>
      <c r="P2507" s="31">
        <f>IF(COUNTIFS($C:$C,$C2507,$D:$D,$D2507,$E:$E,"P0(전)",$M:$M,"&gt;0")&lt;&gt;1,"",SUMIFS($M:$M,$C:$C,$C2507,$D:$D,$D2507,$E:$E,"P0(전)"))</f>
        <v/>
      </c>
      <c r="Q2507" s="48">
        <f>IF(COUNTIFS($C:$C,$C2507,$D:$D,$D2507,$E:$E,"P0(후)",$M:$M,"&gt;0")&lt;&gt;1,"",SUMIFS($I:$I,$C:$C,$C2507,$D:$D,$D2507,$E:$E,"P0(후)"))</f>
        <v/>
      </c>
      <c r="R2507" s="31">
        <f>IF(COUNTIFS($C:$C,$C2507,$D:$D,$D2507,$E:$E,"P0(후)",$M:$M,"&gt;0")&lt;&gt;1,"",SUMIFS($M:$M,$C:$C,$C2507,$D:$D,$D2507,$E:$E,"P0(후)"))</f>
        <v/>
      </c>
      <c r="S2507" s="31">
        <f>IF(N2507&lt;&gt;"OK","",P2507+(R2507-P2507)*(I2507-O2507)/(Q2507-O2507))</f>
        <v/>
      </c>
      <c r="T2507" s="31">
        <f>IF(OR(N2507&lt;&gt;"OK",NOT(ISNUMBER(M2507))),"",M2507-S2507)</f>
        <v/>
      </c>
      <c r="U2507" s="49">
        <f>IF(OR(NOT(ISNUMBER(T2507)),IF(ISNUMBER(H2507),H2507,G2507)=0),"",T2507/IF(ISNUMBER(H2507),H2507,G2507))</f>
        <v/>
      </c>
      <c r="V2507" s="49">
        <f>IF(ISNUMBER(U2507),ABS(U2507),"")</f>
        <v/>
      </c>
      <c r="W2507" s="49">
        <f>IF(OR($E2506&lt;&gt;"측정",$C2506&lt;&gt;$C2507,$D2506&lt;&gt;$D2507,NOT(ISNUMBER(M2507)),NOT(ISNUMBER(M2506)),(IF(ISNUMBER(H2507),H2507,G2507)-IF(ISNUMBER(H2506),H2506,G2506))=0),"",(M2507-M2506)/(IF(ISNUMBER(H2507),H2507,G2507)-IF(ISNUMBER(H2506),H2506,G2506)))</f>
        <v/>
      </c>
      <c r="X2507" s="31">
        <f>IF(NOT(AND(ISNUMBER(O2507),ISNUMBER(Q2507))),"",(Q2507-O2507)*1440)</f>
        <v/>
      </c>
      <c r="Y2507" s="29" t="n"/>
      <c r="Z2507" s="29" t="n"/>
      <c r="AA2507" s="29" t="n"/>
      <c r="AB2507" s="32" t="n"/>
      <c r="AC2507" s="32" t="n"/>
    </row>
    <row r="2508">
      <c r="A2508" s="26" t="inlineStr">
        <is>
          <t>S49</t>
        </is>
      </c>
      <c r="B2508" s="26" t="inlineStr">
        <is>
          <t>제천</t>
        </is>
      </c>
      <c r="C2508" s="26" t="inlineStr">
        <is>
          <t>S49-H동</t>
        </is>
      </c>
      <c r="D2508" s="47" t="n">
        <v>1</v>
      </c>
      <c r="E2508" s="26" t="inlineStr">
        <is>
          <t>측정</t>
        </is>
      </c>
      <c r="F2508" s="26" t="inlineStr">
        <is>
          <t>동</t>
        </is>
      </c>
      <c r="G2508" s="31" t="n">
        <v>5</v>
      </c>
      <c r="H2508" s="30" t="n"/>
      <c r="I2508" s="43" t="n"/>
      <c r="J2508" s="41" t="n"/>
      <c r="K2508" s="41" t="n"/>
      <c r="L2508" s="41" t="n"/>
      <c r="M2508" s="31">
        <f>IF(COUNT(J2508:L2508)=0,"",MEDIAN(J2508:L2508))</f>
        <v/>
      </c>
      <c r="N2508" s="26">
        <f>IF(COUNTIFS($C:$C,$C2508,$D:$D,$D2508,$E:$E,"P0(전)",$M:$M,"&gt;0")&lt;&gt;1,"P0(전) 유효 1개 아님",IF(COUNTIFS($C:$C,$C2508,$D:$D,$D2508,$E:$E,"P0(후)",$M:$M,"&gt;0")&lt;&gt;1,"P0(후) 유효 1개 아님",IF(NOT(AND(ISNUMBER(O2508),ISNUMBER(Q2508),ISNUMBER(I2508))),"시각 결측",IF(Q2508&lt;=O2508,"P0 시각 역전",IF(OR(I2508&lt;O2508,I2508&gt;Q2508),"측정시각 구간 밖","OK")))))</f>
        <v/>
      </c>
      <c r="O2508" s="48">
        <f>IF(COUNTIFS($C:$C,$C2508,$D:$D,$D2508,$E:$E,"P0(전)",$M:$M,"&gt;0")&lt;&gt;1,"",SUMIFS($I:$I,$C:$C,$C2508,$D:$D,$D2508,$E:$E,"P0(전)"))</f>
        <v/>
      </c>
      <c r="P2508" s="31">
        <f>IF(COUNTIFS($C:$C,$C2508,$D:$D,$D2508,$E:$E,"P0(전)",$M:$M,"&gt;0")&lt;&gt;1,"",SUMIFS($M:$M,$C:$C,$C2508,$D:$D,$D2508,$E:$E,"P0(전)"))</f>
        <v/>
      </c>
      <c r="Q2508" s="48">
        <f>IF(COUNTIFS($C:$C,$C2508,$D:$D,$D2508,$E:$E,"P0(후)",$M:$M,"&gt;0")&lt;&gt;1,"",SUMIFS($I:$I,$C:$C,$C2508,$D:$D,$D2508,$E:$E,"P0(후)"))</f>
        <v/>
      </c>
      <c r="R2508" s="31">
        <f>IF(COUNTIFS($C:$C,$C2508,$D:$D,$D2508,$E:$E,"P0(후)",$M:$M,"&gt;0")&lt;&gt;1,"",SUMIFS($M:$M,$C:$C,$C2508,$D:$D,$D2508,$E:$E,"P0(후)"))</f>
        <v/>
      </c>
      <c r="S2508" s="31">
        <f>IF(N2508&lt;&gt;"OK","",P2508+(R2508-P2508)*(I2508-O2508)/(Q2508-O2508))</f>
        <v/>
      </c>
      <c r="T2508" s="31">
        <f>IF(OR(N2508&lt;&gt;"OK",NOT(ISNUMBER(M2508))),"",M2508-S2508)</f>
        <v/>
      </c>
      <c r="U2508" s="49">
        <f>IF(OR(NOT(ISNUMBER(T2508)),IF(ISNUMBER(H2508),H2508,G2508)=0),"",T2508/IF(ISNUMBER(H2508),H2508,G2508))</f>
        <v/>
      </c>
      <c r="V2508" s="49">
        <f>IF(ISNUMBER(U2508),ABS(U2508),"")</f>
        <v/>
      </c>
      <c r="W2508" s="49">
        <f>IF(OR($E2507&lt;&gt;"측정",$C2507&lt;&gt;$C2508,$D2507&lt;&gt;$D2508,NOT(ISNUMBER(M2508)),NOT(ISNUMBER(M2507)),(IF(ISNUMBER(H2508),H2508,G2508)-IF(ISNUMBER(H2507),H2507,G2507))=0),"",(M2508-M2507)/(IF(ISNUMBER(H2508),H2508,G2508)-IF(ISNUMBER(H2507),H2507,G2507)))</f>
        <v/>
      </c>
      <c r="X2508" s="31">
        <f>IF(NOT(AND(ISNUMBER(O2508),ISNUMBER(Q2508))),"",(Q2508-O2508)*1440)</f>
        <v/>
      </c>
      <c r="Y2508" s="29" t="n"/>
      <c r="Z2508" s="29" t="n"/>
      <c r="AA2508" s="29" t="n"/>
      <c r="AB2508" s="32" t="n"/>
      <c r="AC2508" s="32" t="n"/>
    </row>
    <row r="2509">
      <c r="A2509" s="26" t="inlineStr">
        <is>
          <t>S49</t>
        </is>
      </c>
      <c r="B2509" s="26" t="inlineStr">
        <is>
          <t>제천</t>
        </is>
      </c>
      <c r="C2509" s="26" t="inlineStr">
        <is>
          <t>S49-H동</t>
        </is>
      </c>
      <c r="D2509" s="47" t="n">
        <v>1</v>
      </c>
      <c r="E2509" s="26" t="inlineStr">
        <is>
          <t>측정</t>
        </is>
      </c>
      <c r="F2509" s="26" t="inlineStr">
        <is>
          <t>동</t>
        </is>
      </c>
      <c r="G2509" s="31" t="n">
        <v>6</v>
      </c>
      <c r="H2509" s="30" t="n"/>
      <c r="I2509" s="43" t="n"/>
      <c r="J2509" s="41" t="n"/>
      <c r="K2509" s="41" t="n"/>
      <c r="L2509" s="41" t="n"/>
      <c r="M2509" s="31">
        <f>IF(COUNT(J2509:L2509)=0,"",MEDIAN(J2509:L2509))</f>
        <v/>
      </c>
      <c r="N2509" s="26">
        <f>IF(COUNTIFS($C:$C,$C2509,$D:$D,$D2509,$E:$E,"P0(전)",$M:$M,"&gt;0")&lt;&gt;1,"P0(전) 유효 1개 아님",IF(COUNTIFS($C:$C,$C2509,$D:$D,$D2509,$E:$E,"P0(후)",$M:$M,"&gt;0")&lt;&gt;1,"P0(후) 유효 1개 아님",IF(NOT(AND(ISNUMBER(O2509),ISNUMBER(Q2509),ISNUMBER(I2509))),"시각 결측",IF(Q2509&lt;=O2509,"P0 시각 역전",IF(OR(I2509&lt;O2509,I2509&gt;Q2509),"측정시각 구간 밖","OK")))))</f>
        <v/>
      </c>
      <c r="O2509" s="48">
        <f>IF(COUNTIFS($C:$C,$C2509,$D:$D,$D2509,$E:$E,"P0(전)",$M:$M,"&gt;0")&lt;&gt;1,"",SUMIFS($I:$I,$C:$C,$C2509,$D:$D,$D2509,$E:$E,"P0(전)"))</f>
        <v/>
      </c>
      <c r="P2509" s="31">
        <f>IF(COUNTIFS($C:$C,$C2509,$D:$D,$D2509,$E:$E,"P0(전)",$M:$M,"&gt;0")&lt;&gt;1,"",SUMIFS($M:$M,$C:$C,$C2509,$D:$D,$D2509,$E:$E,"P0(전)"))</f>
        <v/>
      </c>
      <c r="Q2509" s="48">
        <f>IF(COUNTIFS($C:$C,$C2509,$D:$D,$D2509,$E:$E,"P0(후)",$M:$M,"&gt;0")&lt;&gt;1,"",SUMIFS($I:$I,$C:$C,$C2509,$D:$D,$D2509,$E:$E,"P0(후)"))</f>
        <v/>
      </c>
      <c r="R2509" s="31">
        <f>IF(COUNTIFS($C:$C,$C2509,$D:$D,$D2509,$E:$E,"P0(후)",$M:$M,"&gt;0")&lt;&gt;1,"",SUMIFS($M:$M,$C:$C,$C2509,$D:$D,$D2509,$E:$E,"P0(후)"))</f>
        <v/>
      </c>
      <c r="S2509" s="31">
        <f>IF(N2509&lt;&gt;"OK","",P2509+(R2509-P2509)*(I2509-O2509)/(Q2509-O2509))</f>
        <v/>
      </c>
      <c r="T2509" s="31">
        <f>IF(OR(N2509&lt;&gt;"OK",NOT(ISNUMBER(M2509))),"",M2509-S2509)</f>
        <v/>
      </c>
      <c r="U2509" s="49">
        <f>IF(OR(NOT(ISNUMBER(T2509)),IF(ISNUMBER(H2509),H2509,G2509)=0),"",T2509/IF(ISNUMBER(H2509),H2509,G2509))</f>
        <v/>
      </c>
      <c r="V2509" s="49">
        <f>IF(ISNUMBER(U2509),ABS(U2509),"")</f>
        <v/>
      </c>
      <c r="W2509" s="49">
        <f>IF(OR($E2508&lt;&gt;"측정",$C2508&lt;&gt;$C2509,$D2508&lt;&gt;$D2509,NOT(ISNUMBER(M2509)),NOT(ISNUMBER(M2508)),(IF(ISNUMBER(H2509),H2509,G2509)-IF(ISNUMBER(H2508),H2508,G2508))=0),"",(M2509-M2508)/(IF(ISNUMBER(H2509),H2509,G2509)-IF(ISNUMBER(H2508),H2508,G2508)))</f>
        <v/>
      </c>
      <c r="X2509" s="31">
        <f>IF(NOT(AND(ISNUMBER(O2509),ISNUMBER(Q2509))),"",(Q2509-O2509)*1440)</f>
        <v/>
      </c>
      <c r="Y2509" s="29" t="n"/>
      <c r="Z2509" s="29" t="n"/>
      <c r="AA2509" s="29" t="n"/>
      <c r="AB2509" s="32" t="n"/>
      <c r="AC2509" s="32" t="n"/>
    </row>
    <row r="2510">
      <c r="A2510" s="26" t="inlineStr">
        <is>
          <t>S49</t>
        </is>
      </c>
      <c r="B2510" s="26" t="inlineStr">
        <is>
          <t>제천</t>
        </is>
      </c>
      <c r="C2510" s="26" t="inlineStr">
        <is>
          <t>S49-H동</t>
        </is>
      </c>
      <c r="D2510" s="47" t="n">
        <v>1</v>
      </c>
      <c r="E2510" s="26" t="inlineStr">
        <is>
          <t>측정</t>
        </is>
      </c>
      <c r="F2510" s="26" t="inlineStr">
        <is>
          <t>동</t>
        </is>
      </c>
      <c r="G2510" s="31" t="n">
        <v>7</v>
      </c>
      <c r="H2510" s="30" t="n"/>
      <c r="I2510" s="43" t="n"/>
      <c r="J2510" s="41" t="n"/>
      <c r="K2510" s="41" t="n"/>
      <c r="L2510" s="41" t="n"/>
      <c r="M2510" s="31">
        <f>IF(COUNT(J2510:L2510)=0,"",MEDIAN(J2510:L2510))</f>
        <v/>
      </c>
      <c r="N2510" s="26">
        <f>IF(COUNTIFS($C:$C,$C2510,$D:$D,$D2510,$E:$E,"P0(전)",$M:$M,"&gt;0")&lt;&gt;1,"P0(전) 유효 1개 아님",IF(COUNTIFS($C:$C,$C2510,$D:$D,$D2510,$E:$E,"P0(후)",$M:$M,"&gt;0")&lt;&gt;1,"P0(후) 유효 1개 아님",IF(NOT(AND(ISNUMBER(O2510),ISNUMBER(Q2510),ISNUMBER(I2510))),"시각 결측",IF(Q2510&lt;=O2510,"P0 시각 역전",IF(OR(I2510&lt;O2510,I2510&gt;Q2510),"측정시각 구간 밖","OK")))))</f>
        <v/>
      </c>
      <c r="O2510" s="48">
        <f>IF(COUNTIFS($C:$C,$C2510,$D:$D,$D2510,$E:$E,"P0(전)",$M:$M,"&gt;0")&lt;&gt;1,"",SUMIFS($I:$I,$C:$C,$C2510,$D:$D,$D2510,$E:$E,"P0(전)"))</f>
        <v/>
      </c>
      <c r="P2510" s="31">
        <f>IF(COUNTIFS($C:$C,$C2510,$D:$D,$D2510,$E:$E,"P0(전)",$M:$M,"&gt;0")&lt;&gt;1,"",SUMIFS($M:$M,$C:$C,$C2510,$D:$D,$D2510,$E:$E,"P0(전)"))</f>
        <v/>
      </c>
      <c r="Q2510" s="48">
        <f>IF(COUNTIFS($C:$C,$C2510,$D:$D,$D2510,$E:$E,"P0(후)",$M:$M,"&gt;0")&lt;&gt;1,"",SUMIFS($I:$I,$C:$C,$C2510,$D:$D,$D2510,$E:$E,"P0(후)"))</f>
        <v/>
      </c>
      <c r="R2510" s="31">
        <f>IF(COUNTIFS($C:$C,$C2510,$D:$D,$D2510,$E:$E,"P0(후)",$M:$M,"&gt;0")&lt;&gt;1,"",SUMIFS($M:$M,$C:$C,$C2510,$D:$D,$D2510,$E:$E,"P0(후)"))</f>
        <v/>
      </c>
      <c r="S2510" s="31">
        <f>IF(N2510&lt;&gt;"OK","",P2510+(R2510-P2510)*(I2510-O2510)/(Q2510-O2510))</f>
        <v/>
      </c>
      <c r="T2510" s="31">
        <f>IF(OR(N2510&lt;&gt;"OK",NOT(ISNUMBER(M2510))),"",M2510-S2510)</f>
        <v/>
      </c>
      <c r="U2510" s="49">
        <f>IF(OR(NOT(ISNUMBER(T2510)),IF(ISNUMBER(H2510),H2510,G2510)=0),"",T2510/IF(ISNUMBER(H2510),H2510,G2510))</f>
        <v/>
      </c>
      <c r="V2510" s="49">
        <f>IF(ISNUMBER(U2510),ABS(U2510),"")</f>
        <v/>
      </c>
      <c r="W2510" s="49">
        <f>IF(OR($E2509&lt;&gt;"측정",$C2509&lt;&gt;$C2510,$D2509&lt;&gt;$D2510,NOT(ISNUMBER(M2510)),NOT(ISNUMBER(M2509)),(IF(ISNUMBER(H2510),H2510,G2510)-IF(ISNUMBER(H2509),H2509,G2509))=0),"",(M2510-M2509)/(IF(ISNUMBER(H2510),H2510,G2510)-IF(ISNUMBER(H2509),H2509,G2509)))</f>
        <v/>
      </c>
      <c r="X2510" s="31">
        <f>IF(NOT(AND(ISNUMBER(O2510),ISNUMBER(Q2510))),"",(Q2510-O2510)*1440)</f>
        <v/>
      </c>
      <c r="Y2510" s="29" t="n"/>
      <c r="Z2510" s="29" t="n"/>
      <c r="AA2510" s="29" t="n"/>
      <c r="AB2510" s="32" t="n"/>
      <c r="AC2510" s="32" t="n"/>
    </row>
    <row r="2511">
      <c r="A2511" s="26" t="inlineStr">
        <is>
          <t>S49</t>
        </is>
      </c>
      <c r="B2511" s="26" t="inlineStr">
        <is>
          <t>제천</t>
        </is>
      </c>
      <c r="C2511" s="26" t="inlineStr">
        <is>
          <t>S49-H동</t>
        </is>
      </c>
      <c r="D2511" s="47" t="n">
        <v>1</v>
      </c>
      <c r="E2511" s="26" t="inlineStr">
        <is>
          <t>측정</t>
        </is>
      </c>
      <c r="F2511" s="26" t="inlineStr">
        <is>
          <t>동</t>
        </is>
      </c>
      <c r="G2511" s="31" t="n">
        <v>8</v>
      </c>
      <c r="H2511" s="30" t="n"/>
      <c r="I2511" s="43" t="n"/>
      <c r="J2511" s="41" t="n"/>
      <c r="K2511" s="41" t="n"/>
      <c r="L2511" s="41" t="n"/>
      <c r="M2511" s="31">
        <f>IF(COUNT(J2511:L2511)=0,"",MEDIAN(J2511:L2511))</f>
        <v/>
      </c>
      <c r="N2511" s="26">
        <f>IF(COUNTIFS($C:$C,$C2511,$D:$D,$D2511,$E:$E,"P0(전)",$M:$M,"&gt;0")&lt;&gt;1,"P0(전) 유효 1개 아님",IF(COUNTIFS($C:$C,$C2511,$D:$D,$D2511,$E:$E,"P0(후)",$M:$M,"&gt;0")&lt;&gt;1,"P0(후) 유효 1개 아님",IF(NOT(AND(ISNUMBER(O2511),ISNUMBER(Q2511),ISNUMBER(I2511))),"시각 결측",IF(Q2511&lt;=O2511,"P0 시각 역전",IF(OR(I2511&lt;O2511,I2511&gt;Q2511),"측정시각 구간 밖","OK")))))</f>
        <v/>
      </c>
      <c r="O2511" s="48">
        <f>IF(COUNTIFS($C:$C,$C2511,$D:$D,$D2511,$E:$E,"P0(전)",$M:$M,"&gt;0")&lt;&gt;1,"",SUMIFS($I:$I,$C:$C,$C2511,$D:$D,$D2511,$E:$E,"P0(전)"))</f>
        <v/>
      </c>
      <c r="P2511" s="31">
        <f>IF(COUNTIFS($C:$C,$C2511,$D:$D,$D2511,$E:$E,"P0(전)",$M:$M,"&gt;0")&lt;&gt;1,"",SUMIFS($M:$M,$C:$C,$C2511,$D:$D,$D2511,$E:$E,"P0(전)"))</f>
        <v/>
      </c>
      <c r="Q2511" s="48">
        <f>IF(COUNTIFS($C:$C,$C2511,$D:$D,$D2511,$E:$E,"P0(후)",$M:$M,"&gt;0")&lt;&gt;1,"",SUMIFS($I:$I,$C:$C,$C2511,$D:$D,$D2511,$E:$E,"P0(후)"))</f>
        <v/>
      </c>
      <c r="R2511" s="31">
        <f>IF(COUNTIFS($C:$C,$C2511,$D:$D,$D2511,$E:$E,"P0(후)",$M:$M,"&gt;0")&lt;&gt;1,"",SUMIFS($M:$M,$C:$C,$C2511,$D:$D,$D2511,$E:$E,"P0(후)"))</f>
        <v/>
      </c>
      <c r="S2511" s="31">
        <f>IF(N2511&lt;&gt;"OK","",P2511+(R2511-P2511)*(I2511-O2511)/(Q2511-O2511))</f>
        <v/>
      </c>
      <c r="T2511" s="31">
        <f>IF(OR(N2511&lt;&gt;"OK",NOT(ISNUMBER(M2511))),"",M2511-S2511)</f>
        <v/>
      </c>
      <c r="U2511" s="49">
        <f>IF(OR(NOT(ISNUMBER(T2511)),IF(ISNUMBER(H2511),H2511,G2511)=0),"",T2511/IF(ISNUMBER(H2511),H2511,G2511))</f>
        <v/>
      </c>
      <c r="V2511" s="49">
        <f>IF(ISNUMBER(U2511),ABS(U2511),"")</f>
        <v/>
      </c>
      <c r="W2511" s="49">
        <f>IF(OR($E2510&lt;&gt;"측정",$C2510&lt;&gt;$C2511,$D2510&lt;&gt;$D2511,NOT(ISNUMBER(M2511)),NOT(ISNUMBER(M2510)),(IF(ISNUMBER(H2511),H2511,G2511)-IF(ISNUMBER(H2510),H2510,G2510))=0),"",(M2511-M2510)/(IF(ISNUMBER(H2511),H2511,G2511)-IF(ISNUMBER(H2510),H2510,G2510)))</f>
        <v/>
      </c>
      <c r="X2511" s="31">
        <f>IF(NOT(AND(ISNUMBER(O2511),ISNUMBER(Q2511))),"",(Q2511-O2511)*1440)</f>
        <v/>
      </c>
      <c r="Y2511" s="29" t="n"/>
      <c r="Z2511" s="29" t="n"/>
      <c r="AA2511" s="29" t="n"/>
      <c r="AB2511" s="32" t="n"/>
      <c r="AC2511" s="32" t="n"/>
    </row>
    <row r="2512">
      <c r="A2512" s="26" t="inlineStr">
        <is>
          <t>S49</t>
        </is>
      </c>
      <c r="B2512" s="26" t="inlineStr">
        <is>
          <t>제천</t>
        </is>
      </c>
      <c r="C2512" s="26" t="inlineStr">
        <is>
          <t>S49-H동</t>
        </is>
      </c>
      <c r="D2512" s="47" t="n">
        <v>1</v>
      </c>
      <c r="E2512" s="26" t="inlineStr">
        <is>
          <t>측정</t>
        </is>
      </c>
      <c r="F2512" s="26" t="inlineStr">
        <is>
          <t>동</t>
        </is>
      </c>
      <c r="G2512" s="31" t="n">
        <v>9</v>
      </c>
      <c r="H2512" s="30" t="n"/>
      <c r="I2512" s="43" t="n"/>
      <c r="J2512" s="41" t="n"/>
      <c r="K2512" s="41" t="n"/>
      <c r="L2512" s="41" t="n"/>
      <c r="M2512" s="31">
        <f>IF(COUNT(J2512:L2512)=0,"",MEDIAN(J2512:L2512))</f>
        <v/>
      </c>
      <c r="N2512" s="26">
        <f>IF(COUNTIFS($C:$C,$C2512,$D:$D,$D2512,$E:$E,"P0(전)",$M:$M,"&gt;0")&lt;&gt;1,"P0(전) 유효 1개 아님",IF(COUNTIFS($C:$C,$C2512,$D:$D,$D2512,$E:$E,"P0(후)",$M:$M,"&gt;0")&lt;&gt;1,"P0(후) 유효 1개 아님",IF(NOT(AND(ISNUMBER(O2512),ISNUMBER(Q2512),ISNUMBER(I2512))),"시각 결측",IF(Q2512&lt;=O2512,"P0 시각 역전",IF(OR(I2512&lt;O2512,I2512&gt;Q2512),"측정시각 구간 밖","OK")))))</f>
        <v/>
      </c>
      <c r="O2512" s="48">
        <f>IF(COUNTIFS($C:$C,$C2512,$D:$D,$D2512,$E:$E,"P0(전)",$M:$M,"&gt;0")&lt;&gt;1,"",SUMIFS($I:$I,$C:$C,$C2512,$D:$D,$D2512,$E:$E,"P0(전)"))</f>
        <v/>
      </c>
      <c r="P2512" s="31">
        <f>IF(COUNTIFS($C:$C,$C2512,$D:$D,$D2512,$E:$E,"P0(전)",$M:$M,"&gt;0")&lt;&gt;1,"",SUMIFS($M:$M,$C:$C,$C2512,$D:$D,$D2512,$E:$E,"P0(전)"))</f>
        <v/>
      </c>
      <c r="Q2512" s="48">
        <f>IF(COUNTIFS($C:$C,$C2512,$D:$D,$D2512,$E:$E,"P0(후)",$M:$M,"&gt;0")&lt;&gt;1,"",SUMIFS($I:$I,$C:$C,$C2512,$D:$D,$D2512,$E:$E,"P0(후)"))</f>
        <v/>
      </c>
      <c r="R2512" s="31">
        <f>IF(COUNTIFS($C:$C,$C2512,$D:$D,$D2512,$E:$E,"P0(후)",$M:$M,"&gt;0")&lt;&gt;1,"",SUMIFS($M:$M,$C:$C,$C2512,$D:$D,$D2512,$E:$E,"P0(후)"))</f>
        <v/>
      </c>
      <c r="S2512" s="31">
        <f>IF(N2512&lt;&gt;"OK","",P2512+(R2512-P2512)*(I2512-O2512)/(Q2512-O2512))</f>
        <v/>
      </c>
      <c r="T2512" s="31">
        <f>IF(OR(N2512&lt;&gt;"OK",NOT(ISNUMBER(M2512))),"",M2512-S2512)</f>
        <v/>
      </c>
      <c r="U2512" s="49">
        <f>IF(OR(NOT(ISNUMBER(T2512)),IF(ISNUMBER(H2512),H2512,G2512)=0),"",T2512/IF(ISNUMBER(H2512),H2512,G2512))</f>
        <v/>
      </c>
      <c r="V2512" s="49">
        <f>IF(ISNUMBER(U2512),ABS(U2512),"")</f>
        <v/>
      </c>
      <c r="W2512" s="49">
        <f>IF(OR($E2511&lt;&gt;"측정",$C2511&lt;&gt;$C2512,$D2511&lt;&gt;$D2512,NOT(ISNUMBER(M2512)),NOT(ISNUMBER(M2511)),(IF(ISNUMBER(H2512),H2512,G2512)-IF(ISNUMBER(H2511),H2511,G2511))=0),"",(M2512-M2511)/(IF(ISNUMBER(H2512),H2512,G2512)-IF(ISNUMBER(H2511),H2511,G2511)))</f>
        <v/>
      </c>
      <c r="X2512" s="31">
        <f>IF(NOT(AND(ISNUMBER(O2512),ISNUMBER(Q2512))),"",(Q2512-O2512)*1440)</f>
        <v/>
      </c>
      <c r="Y2512" s="29" t="n"/>
      <c r="Z2512" s="29" t="n"/>
      <c r="AA2512" s="29" t="n"/>
      <c r="AB2512" s="32" t="n"/>
      <c r="AC2512" s="32" t="n"/>
    </row>
    <row r="2513">
      <c r="A2513" s="26" t="inlineStr">
        <is>
          <t>S49</t>
        </is>
      </c>
      <c r="B2513" s="26" t="inlineStr">
        <is>
          <t>제천</t>
        </is>
      </c>
      <c r="C2513" s="26" t="inlineStr">
        <is>
          <t>S49-H동</t>
        </is>
      </c>
      <c r="D2513" s="47" t="n">
        <v>1</v>
      </c>
      <c r="E2513" s="26" t="inlineStr">
        <is>
          <t>측정</t>
        </is>
      </c>
      <c r="F2513" s="26" t="inlineStr">
        <is>
          <t>동</t>
        </is>
      </c>
      <c r="G2513" s="31" t="n">
        <v>10</v>
      </c>
      <c r="H2513" s="30" t="n"/>
      <c r="I2513" s="43" t="n"/>
      <c r="J2513" s="41" t="n"/>
      <c r="K2513" s="41" t="n"/>
      <c r="L2513" s="41" t="n"/>
      <c r="M2513" s="31">
        <f>IF(COUNT(J2513:L2513)=0,"",MEDIAN(J2513:L2513))</f>
        <v/>
      </c>
      <c r="N2513" s="26">
        <f>IF(COUNTIFS($C:$C,$C2513,$D:$D,$D2513,$E:$E,"P0(전)",$M:$M,"&gt;0")&lt;&gt;1,"P0(전) 유효 1개 아님",IF(COUNTIFS($C:$C,$C2513,$D:$D,$D2513,$E:$E,"P0(후)",$M:$M,"&gt;0")&lt;&gt;1,"P0(후) 유효 1개 아님",IF(NOT(AND(ISNUMBER(O2513),ISNUMBER(Q2513),ISNUMBER(I2513))),"시각 결측",IF(Q2513&lt;=O2513,"P0 시각 역전",IF(OR(I2513&lt;O2513,I2513&gt;Q2513),"측정시각 구간 밖","OK")))))</f>
        <v/>
      </c>
      <c r="O2513" s="48">
        <f>IF(COUNTIFS($C:$C,$C2513,$D:$D,$D2513,$E:$E,"P0(전)",$M:$M,"&gt;0")&lt;&gt;1,"",SUMIFS($I:$I,$C:$C,$C2513,$D:$D,$D2513,$E:$E,"P0(전)"))</f>
        <v/>
      </c>
      <c r="P2513" s="31">
        <f>IF(COUNTIFS($C:$C,$C2513,$D:$D,$D2513,$E:$E,"P0(전)",$M:$M,"&gt;0")&lt;&gt;1,"",SUMIFS($M:$M,$C:$C,$C2513,$D:$D,$D2513,$E:$E,"P0(전)"))</f>
        <v/>
      </c>
      <c r="Q2513" s="48">
        <f>IF(COUNTIFS($C:$C,$C2513,$D:$D,$D2513,$E:$E,"P0(후)",$M:$M,"&gt;0")&lt;&gt;1,"",SUMIFS($I:$I,$C:$C,$C2513,$D:$D,$D2513,$E:$E,"P0(후)"))</f>
        <v/>
      </c>
      <c r="R2513" s="31">
        <f>IF(COUNTIFS($C:$C,$C2513,$D:$D,$D2513,$E:$E,"P0(후)",$M:$M,"&gt;0")&lt;&gt;1,"",SUMIFS($M:$M,$C:$C,$C2513,$D:$D,$D2513,$E:$E,"P0(후)"))</f>
        <v/>
      </c>
      <c r="S2513" s="31">
        <f>IF(N2513&lt;&gt;"OK","",P2513+(R2513-P2513)*(I2513-O2513)/(Q2513-O2513))</f>
        <v/>
      </c>
      <c r="T2513" s="31">
        <f>IF(OR(N2513&lt;&gt;"OK",NOT(ISNUMBER(M2513))),"",M2513-S2513)</f>
        <v/>
      </c>
      <c r="U2513" s="49">
        <f>IF(OR(NOT(ISNUMBER(T2513)),IF(ISNUMBER(H2513),H2513,G2513)=0),"",T2513/IF(ISNUMBER(H2513),H2513,G2513))</f>
        <v/>
      </c>
      <c r="V2513" s="49">
        <f>IF(ISNUMBER(U2513),ABS(U2513),"")</f>
        <v/>
      </c>
      <c r="W2513" s="49">
        <f>IF(OR($E2512&lt;&gt;"측정",$C2512&lt;&gt;$C2513,$D2512&lt;&gt;$D2513,NOT(ISNUMBER(M2513)),NOT(ISNUMBER(M2512)),(IF(ISNUMBER(H2513),H2513,G2513)-IF(ISNUMBER(H2512),H2512,G2512))=0),"",(M2513-M2512)/(IF(ISNUMBER(H2513),H2513,G2513)-IF(ISNUMBER(H2512),H2512,G2512)))</f>
        <v/>
      </c>
      <c r="X2513" s="31">
        <f>IF(NOT(AND(ISNUMBER(O2513),ISNUMBER(Q2513))),"",(Q2513-O2513)*1440)</f>
        <v/>
      </c>
      <c r="Y2513" s="29" t="n"/>
      <c r="Z2513" s="29" t="n"/>
      <c r="AA2513" s="29" t="n"/>
      <c r="AB2513" s="32" t="n"/>
      <c r="AC2513" s="32" t="n"/>
    </row>
    <row r="2514">
      <c r="A2514" s="44" t="inlineStr">
        <is>
          <t>S49</t>
        </is>
      </c>
      <c r="B2514" s="44" t="inlineStr">
        <is>
          <t>제천</t>
        </is>
      </c>
      <c r="C2514" s="44" t="inlineStr">
        <is>
          <t>S49-H동</t>
        </is>
      </c>
      <c r="D2514" s="45" t="n">
        <v>1</v>
      </c>
      <c r="E2514" s="44" t="inlineStr">
        <is>
          <t>P0(후)</t>
        </is>
      </c>
      <c r="F2514" s="44" t="inlineStr">
        <is>
          <t>동</t>
        </is>
      </c>
      <c r="G2514" s="46" t="n"/>
      <c r="H2514" s="30" t="n"/>
      <c r="I2514" s="43" t="n"/>
      <c r="J2514" s="41" t="n"/>
      <c r="K2514" s="41" t="n"/>
      <c r="L2514" s="41" t="n"/>
      <c r="M2514" s="31">
        <f>IF(COUNT(J2514:L2514)=0,"",MEDIAN(J2514:L2514))</f>
        <v/>
      </c>
      <c r="N2514" s="38" t="n"/>
      <c r="O2514" s="38" t="n"/>
      <c r="P2514" s="38" t="n"/>
      <c r="Q2514" s="38" t="n"/>
      <c r="R2514" s="38" t="n"/>
      <c r="S2514" s="38" t="n"/>
      <c r="T2514" s="38" t="n"/>
      <c r="U2514" s="38" t="n"/>
      <c r="V2514" s="38" t="n"/>
      <c r="W2514" s="38" t="n"/>
      <c r="X2514" s="38" t="n"/>
      <c r="Y2514" s="29" t="n"/>
      <c r="Z2514" s="29" t="n"/>
      <c r="AA2514" s="29" t="n"/>
      <c r="AB2514" s="32" t="n"/>
      <c r="AC2514" s="32" t="n"/>
    </row>
    <row r="2515">
      <c r="A2515" s="44" t="inlineStr">
        <is>
          <t>S49</t>
        </is>
      </c>
      <c r="B2515" s="44" t="inlineStr">
        <is>
          <t>제천</t>
        </is>
      </c>
      <c r="C2515" s="44" t="inlineStr">
        <is>
          <t>S49-H서</t>
        </is>
      </c>
      <c r="D2515" s="45" t="n">
        <v>1</v>
      </c>
      <c r="E2515" s="44" t="inlineStr">
        <is>
          <t>P0(전)</t>
        </is>
      </c>
      <c r="F2515" s="44" t="inlineStr">
        <is>
          <t>서</t>
        </is>
      </c>
      <c r="G2515" s="46" t="n"/>
      <c r="H2515" s="30" t="n"/>
      <c r="I2515" s="43" t="n"/>
      <c r="J2515" s="41" t="n"/>
      <c r="K2515" s="41" t="n"/>
      <c r="L2515" s="41" t="n"/>
      <c r="M2515" s="31">
        <f>IF(COUNT(J2515:L2515)=0,"",MEDIAN(J2515:L2515))</f>
        <v/>
      </c>
      <c r="N2515" s="38" t="n"/>
      <c r="O2515" s="38" t="n"/>
      <c r="P2515" s="38" t="n"/>
      <c r="Q2515" s="38" t="n"/>
      <c r="R2515" s="38" t="n"/>
      <c r="S2515" s="38" t="n"/>
      <c r="T2515" s="38" t="n"/>
      <c r="U2515" s="38" t="n"/>
      <c r="V2515" s="38" t="n"/>
      <c r="W2515" s="38" t="n"/>
      <c r="X2515" s="38" t="n"/>
      <c r="Y2515" s="29" t="n"/>
      <c r="Z2515" s="29" t="n"/>
      <c r="AA2515" s="29" t="n"/>
      <c r="AB2515" s="32" t="n"/>
      <c r="AC2515" s="32" t="n"/>
    </row>
    <row r="2516">
      <c r="A2516" s="26" t="inlineStr">
        <is>
          <t>S49</t>
        </is>
      </c>
      <c r="B2516" s="26" t="inlineStr">
        <is>
          <t>제천</t>
        </is>
      </c>
      <c r="C2516" s="26" t="inlineStr">
        <is>
          <t>S49-H서</t>
        </is>
      </c>
      <c r="D2516" s="47" t="n">
        <v>1</v>
      </c>
      <c r="E2516" s="26" t="inlineStr">
        <is>
          <t>측정</t>
        </is>
      </c>
      <c r="F2516" s="26" t="inlineStr">
        <is>
          <t>서</t>
        </is>
      </c>
      <c r="G2516" s="31" t="n">
        <v>0.5</v>
      </c>
      <c r="H2516" s="30" t="n"/>
      <c r="I2516" s="43" t="n"/>
      <c r="J2516" s="41" t="n"/>
      <c r="K2516" s="41" t="n"/>
      <c r="L2516" s="41" t="n"/>
      <c r="M2516" s="31">
        <f>IF(COUNT(J2516:L2516)=0,"",MEDIAN(J2516:L2516))</f>
        <v/>
      </c>
      <c r="N2516" s="26">
        <f>IF(COUNTIFS($C:$C,$C2516,$D:$D,$D2516,$E:$E,"P0(전)",$M:$M,"&gt;0")&lt;&gt;1,"P0(전) 유효 1개 아님",IF(COUNTIFS($C:$C,$C2516,$D:$D,$D2516,$E:$E,"P0(후)",$M:$M,"&gt;0")&lt;&gt;1,"P0(후) 유효 1개 아님",IF(NOT(AND(ISNUMBER(O2516),ISNUMBER(Q2516),ISNUMBER(I2516))),"시각 결측",IF(Q2516&lt;=O2516,"P0 시각 역전",IF(OR(I2516&lt;O2516,I2516&gt;Q2516),"측정시각 구간 밖","OK")))))</f>
        <v/>
      </c>
      <c r="O2516" s="48">
        <f>IF(COUNTIFS($C:$C,$C2516,$D:$D,$D2516,$E:$E,"P0(전)",$M:$M,"&gt;0")&lt;&gt;1,"",SUMIFS($I:$I,$C:$C,$C2516,$D:$D,$D2516,$E:$E,"P0(전)"))</f>
        <v/>
      </c>
      <c r="P2516" s="31">
        <f>IF(COUNTIFS($C:$C,$C2516,$D:$D,$D2516,$E:$E,"P0(전)",$M:$M,"&gt;0")&lt;&gt;1,"",SUMIFS($M:$M,$C:$C,$C2516,$D:$D,$D2516,$E:$E,"P0(전)"))</f>
        <v/>
      </c>
      <c r="Q2516" s="48">
        <f>IF(COUNTIFS($C:$C,$C2516,$D:$D,$D2516,$E:$E,"P0(후)",$M:$M,"&gt;0")&lt;&gt;1,"",SUMIFS($I:$I,$C:$C,$C2516,$D:$D,$D2516,$E:$E,"P0(후)"))</f>
        <v/>
      </c>
      <c r="R2516" s="31">
        <f>IF(COUNTIFS($C:$C,$C2516,$D:$D,$D2516,$E:$E,"P0(후)",$M:$M,"&gt;0")&lt;&gt;1,"",SUMIFS($M:$M,$C:$C,$C2516,$D:$D,$D2516,$E:$E,"P0(후)"))</f>
        <v/>
      </c>
      <c r="S2516" s="31">
        <f>IF(N2516&lt;&gt;"OK","",P2516+(R2516-P2516)*(I2516-O2516)/(Q2516-O2516))</f>
        <v/>
      </c>
      <c r="T2516" s="31">
        <f>IF(OR(N2516&lt;&gt;"OK",NOT(ISNUMBER(M2516))),"",M2516-S2516)</f>
        <v/>
      </c>
      <c r="U2516" s="49">
        <f>IF(OR(NOT(ISNUMBER(T2516)),IF(ISNUMBER(H2516),H2516,G2516)=0),"",T2516/IF(ISNUMBER(H2516),H2516,G2516))</f>
        <v/>
      </c>
      <c r="V2516" s="49">
        <f>IF(ISNUMBER(U2516),ABS(U2516),"")</f>
        <v/>
      </c>
      <c r="W2516" s="49">
        <f>IF(OR($E2515&lt;&gt;"측정",$C2515&lt;&gt;$C2516,$D2515&lt;&gt;$D2516,NOT(ISNUMBER(M2516)),NOT(ISNUMBER(M2515)),(IF(ISNUMBER(H2516),H2516,G2516)-IF(ISNUMBER(H2515),H2515,G2515))=0),"",(M2516-M2515)/(IF(ISNUMBER(H2516),H2516,G2516)-IF(ISNUMBER(H2515),H2515,G2515)))</f>
        <v/>
      </c>
      <c r="X2516" s="31">
        <f>IF(NOT(AND(ISNUMBER(O2516),ISNUMBER(Q2516))),"",(Q2516-O2516)*1440)</f>
        <v/>
      </c>
      <c r="Y2516" s="29" t="n"/>
      <c r="Z2516" s="29" t="n"/>
      <c r="AA2516" s="29" t="n"/>
      <c r="AB2516" s="32" t="n"/>
      <c r="AC2516" s="32" t="n"/>
    </row>
    <row r="2517">
      <c r="A2517" s="26" t="inlineStr">
        <is>
          <t>S49</t>
        </is>
      </c>
      <c r="B2517" s="26" t="inlineStr">
        <is>
          <t>제천</t>
        </is>
      </c>
      <c r="C2517" s="26" t="inlineStr">
        <is>
          <t>S49-H서</t>
        </is>
      </c>
      <c r="D2517" s="47" t="n">
        <v>1</v>
      </c>
      <c r="E2517" s="26" t="inlineStr">
        <is>
          <t>측정</t>
        </is>
      </c>
      <c r="F2517" s="26" t="inlineStr">
        <is>
          <t>서</t>
        </is>
      </c>
      <c r="G2517" s="31" t="n">
        <v>1</v>
      </c>
      <c r="H2517" s="30" t="n"/>
      <c r="I2517" s="43" t="n"/>
      <c r="J2517" s="41" t="n"/>
      <c r="K2517" s="41" t="n"/>
      <c r="L2517" s="41" t="n"/>
      <c r="M2517" s="31">
        <f>IF(COUNT(J2517:L2517)=0,"",MEDIAN(J2517:L2517))</f>
        <v/>
      </c>
      <c r="N2517" s="26">
        <f>IF(COUNTIFS($C:$C,$C2517,$D:$D,$D2517,$E:$E,"P0(전)",$M:$M,"&gt;0")&lt;&gt;1,"P0(전) 유효 1개 아님",IF(COUNTIFS($C:$C,$C2517,$D:$D,$D2517,$E:$E,"P0(후)",$M:$M,"&gt;0")&lt;&gt;1,"P0(후) 유효 1개 아님",IF(NOT(AND(ISNUMBER(O2517),ISNUMBER(Q2517),ISNUMBER(I2517))),"시각 결측",IF(Q2517&lt;=O2517,"P0 시각 역전",IF(OR(I2517&lt;O2517,I2517&gt;Q2517),"측정시각 구간 밖","OK")))))</f>
        <v/>
      </c>
      <c r="O2517" s="48">
        <f>IF(COUNTIFS($C:$C,$C2517,$D:$D,$D2517,$E:$E,"P0(전)",$M:$M,"&gt;0")&lt;&gt;1,"",SUMIFS($I:$I,$C:$C,$C2517,$D:$D,$D2517,$E:$E,"P0(전)"))</f>
        <v/>
      </c>
      <c r="P2517" s="31">
        <f>IF(COUNTIFS($C:$C,$C2517,$D:$D,$D2517,$E:$E,"P0(전)",$M:$M,"&gt;0")&lt;&gt;1,"",SUMIFS($M:$M,$C:$C,$C2517,$D:$D,$D2517,$E:$E,"P0(전)"))</f>
        <v/>
      </c>
      <c r="Q2517" s="48">
        <f>IF(COUNTIFS($C:$C,$C2517,$D:$D,$D2517,$E:$E,"P0(후)",$M:$M,"&gt;0")&lt;&gt;1,"",SUMIFS($I:$I,$C:$C,$C2517,$D:$D,$D2517,$E:$E,"P0(후)"))</f>
        <v/>
      </c>
      <c r="R2517" s="31">
        <f>IF(COUNTIFS($C:$C,$C2517,$D:$D,$D2517,$E:$E,"P0(후)",$M:$M,"&gt;0")&lt;&gt;1,"",SUMIFS($M:$M,$C:$C,$C2517,$D:$D,$D2517,$E:$E,"P0(후)"))</f>
        <v/>
      </c>
      <c r="S2517" s="31">
        <f>IF(N2517&lt;&gt;"OK","",P2517+(R2517-P2517)*(I2517-O2517)/(Q2517-O2517))</f>
        <v/>
      </c>
      <c r="T2517" s="31">
        <f>IF(OR(N2517&lt;&gt;"OK",NOT(ISNUMBER(M2517))),"",M2517-S2517)</f>
        <v/>
      </c>
      <c r="U2517" s="49">
        <f>IF(OR(NOT(ISNUMBER(T2517)),IF(ISNUMBER(H2517),H2517,G2517)=0),"",T2517/IF(ISNUMBER(H2517),H2517,G2517))</f>
        <v/>
      </c>
      <c r="V2517" s="49">
        <f>IF(ISNUMBER(U2517),ABS(U2517),"")</f>
        <v/>
      </c>
      <c r="W2517" s="49">
        <f>IF(OR($E2516&lt;&gt;"측정",$C2516&lt;&gt;$C2517,$D2516&lt;&gt;$D2517,NOT(ISNUMBER(M2517)),NOT(ISNUMBER(M2516)),(IF(ISNUMBER(H2517),H2517,G2517)-IF(ISNUMBER(H2516),H2516,G2516))=0),"",(M2517-M2516)/(IF(ISNUMBER(H2517),H2517,G2517)-IF(ISNUMBER(H2516),H2516,G2516)))</f>
        <v/>
      </c>
      <c r="X2517" s="31">
        <f>IF(NOT(AND(ISNUMBER(O2517),ISNUMBER(Q2517))),"",(Q2517-O2517)*1440)</f>
        <v/>
      </c>
      <c r="Y2517" s="29" t="n"/>
      <c r="Z2517" s="29" t="n"/>
      <c r="AA2517" s="29" t="n"/>
      <c r="AB2517" s="32" t="n"/>
      <c r="AC2517" s="32" t="n"/>
    </row>
    <row r="2518">
      <c r="A2518" s="26" t="inlineStr">
        <is>
          <t>S49</t>
        </is>
      </c>
      <c r="B2518" s="26" t="inlineStr">
        <is>
          <t>제천</t>
        </is>
      </c>
      <c r="C2518" s="26" t="inlineStr">
        <is>
          <t>S49-H서</t>
        </is>
      </c>
      <c r="D2518" s="47" t="n">
        <v>1</v>
      </c>
      <c r="E2518" s="26" t="inlineStr">
        <is>
          <t>측정</t>
        </is>
      </c>
      <c r="F2518" s="26" t="inlineStr">
        <is>
          <t>서</t>
        </is>
      </c>
      <c r="G2518" s="31" t="n">
        <v>2</v>
      </c>
      <c r="H2518" s="30" t="n"/>
      <c r="I2518" s="43" t="n"/>
      <c r="J2518" s="41" t="n"/>
      <c r="K2518" s="41" t="n"/>
      <c r="L2518" s="41" t="n"/>
      <c r="M2518" s="31">
        <f>IF(COUNT(J2518:L2518)=0,"",MEDIAN(J2518:L2518))</f>
        <v/>
      </c>
      <c r="N2518" s="26">
        <f>IF(COUNTIFS($C:$C,$C2518,$D:$D,$D2518,$E:$E,"P0(전)",$M:$M,"&gt;0")&lt;&gt;1,"P0(전) 유효 1개 아님",IF(COUNTIFS($C:$C,$C2518,$D:$D,$D2518,$E:$E,"P0(후)",$M:$M,"&gt;0")&lt;&gt;1,"P0(후) 유효 1개 아님",IF(NOT(AND(ISNUMBER(O2518),ISNUMBER(Q2518),ISNUMBER(I2518))),"시각 결측",IF(Q2518&lt;=O2518,"P0 시각 역전",IF(OR(I2518&lt;O2518,I2518&gt;Q2518),"측정시각 구간 밖","OK")))))</f>
        <v/>
      </c>
      <c r="O2518" s="48">
        <f>IF(COUNTIFS($C:$C,$C2518,$D:$D,$D2518,$E:$E,"P0(전)",$M:$M,"&gt;0")&lt;&gt;1,"",SUMIFS($I:$I,$C:$C,$C2518,$D:$D,$D2518,$E:$E,"P0(전)"))</f>
        <v/>
      </c>
      <c r="P2518" s="31">
        <f>IF(COUNTIFS($C:$C,$C2518,$D:$D,$D2518,$E:$E,"P0(전)",$M:$M,"&gt;0")&lt;&gt;1,"",SUMIFS($M:$M,$C:$C,$C2518,$D:$D,$D2518,$E:$E,"P0(전)"))</f>
        <v/>
      </c>
      <c r="Q2518" s="48">
        <f>IF(COUNTIFS($C:$C,$C2518,$D:$D,$D2518,$E:$E,"P0(후)",$M:$M,"&gt;0")&lt;&gt;1,"",SUMIFS($I:$I,$C:$C,$C2518,$D:$D,$D2518,$E:$E,"P0(후)"))</f>
        <v/>
      </c>
      <c r="R2518" s="31">
        <f>IF(COUNTIFS($C:$C,$C2518,$D:$D,$D2518,$E:$E,"P0(후)",$M:$M,"&gt;0")&lt;&gt;1,"",SUMIFS($M:$M,$C:$C,$C2518,$D:$D,$D2518,$E:$E,"P0(후)"))</f>
        <v/>
      </c>
      <c r="S2518" s="31">
        <f>IF(N2518&lt;&gt;"OK","",P2518+(R2518-P2518)*(I2518-O2518)/(Q2518-O2518))</f>
        <v/>
      </c>
      <c r="T2518" s="31">
        <f>IF(OR(N2518&lt;&gt;"OK",NOT(ISNUMBER(M2518))),"",M2518-S2518)</f>
        <v/>
      </c>
      <c r="U2518" s="49">
        <f>IF(OR(NOT(ISNUMBER(T2518)),IF(ISNUMBER(H2518),H2518,G2518)=0),"",T2518/IF(ISNUMBER(H2518),H2518,G2518))</f>
        <v/>
      </c>
      <c r="V2518" s="49">
        <f>IF(ISNUMBER(U2518),ABS(U2518),"")</f>
        <v/>
      </c>
      <c r="W2518" s="49">
        <f>IF(OR($E2517&lt;&gt;"측정",$C2517&lt;&gt;$C2518,$D2517&lt;&gt;$D2518,NOT(ISNUMBER(M2518)),NOT(ISNUMBER(M2517)),(IF(ISNUMBER(H2518),H2518,G2518)-IF(ISNUMBER(H2517),H2517,G2517))=0),"",(M2518-M2517)/(IF(ISNUMBER(H2518),H2518,G2518)-IF(ISNUMBER(H2517),H2517,G2517)))</f>
        <v/>
      </c>
      <c r="X2518" s="31">
        <f>IF(NOT(AND(ISNUMBER(O2518),ISNUMBER(Q2518))),"",(Q2518-O2518)*1440)</f>
        <v/>
      </c>
      <c r="Y2518" s="29" t="n"/>
      <c r="Z2518" s="29" t="n"/>
      <c r="AA2518" s="29" t="n"/>
      <c r="AB2518" s="32" t="n"/>
      <c r="AC2518" s="32" t="n"/>
    </row>
    <row r="2519">
      <c r="A2519" s="26" t="inlineStr">
        <is>
          <t>S49</t>
        </is>
      </c>
      <c r="B2519" s="26" t="inlineStr">
        <is>
          <t>제천</t>
        </is>
      </c>
      <c r="C2519" s="26" t="inlineStr">
        <is>
          <t>S49-H서</t>
        </is>
      </c>
      <c r="D2519" s="47" t="n">
        <v>1</v>
      </c>
      <c r="E2519" s="26" t="inlineStr">
        <is>
          <t>측정</t>
        </is>
      </c>
      <c r="F2519" s="26" t="inlineStr">
        <is>
          <t>서</t>
        </is>
      </c>
      <c r="G2519" s="31" t="n">
        <v>3</v>
      </c>
      <c r="H2519" s="30" t="n"/>
      <c r="I2519" s="43" t="n"/>
      <c r="J2519" s="41" t="n"/>
      <c r="K2519" s="41" t="n"/>
      <c r="L2519" s="41" t="n"/>
      <c r="M2519" s="31">
        <f>IF(COUNT(J2519:L2519)=0,"",MEDIAN(J2519:L2519))</f>
        <v/>
      </c>
      <c r="N2519" s="26">
        <f>IF(COUNTIFS($C:$C,$C2519,$D:$D,$D2519,$E:$E,"P0(전)",$M:$M,"&gt;0")&lt;&gt;1,"P0(전) 유효 1개 아님",IF(COUNTIFS($C:$C,$C2519,$D:$D,$D2519,$E:$E,"P0(후)",$M:$M,"&gt;0")&lt;&gt;1,"P0(후) 유효 1개 아님",IF(NOT(AND(ISNUMBER(O2519),ISNUMBER(Q2519),ISNUMBER(I2519))),"시각 결측",IF(Q2519&lt;=O2519,"P0 시각 역전",IF(OR(I2519&lt;O2519,I2519&gt;Q2519),"측정시각 구간 밖","OK")))))</f>
        <v/>
      </c>
      <c r="O2519" s="48">
        <f>IF(COUNTIFS($C:$C,$C2519,$D:$D,$D2519,$E:$E,"P0(전)",$M:$M,"&gt;0")&lt;&gt;1,"",SUMIFS($I:$I,$C:$C,$C2519,$D:$D,$D2519,$E:$E,"P0(전)"))</f>
        <v/>
      </c>
      <c r="P2519" s="31">
        <f>IF(COUNTIFS($C:$C,$C2519,$D:$D,$D2519,$E:$E,"P0(전)",$M:$M,"&gt;0")&lt;&gt;1,"",SUMIFS($M:$M,$C:$C,$C2519,$D:$D,$D2519,$E:$E,"P0(전)"))</f>
        <v/>
      </c>
      <c r="Q2519" s="48">
        <f>IF(COUNTIFS($C:$C,$C2519,$D:$D,$D2519,$E:$E,"P0(후)",$M:$M,"&gt;0")&lt;&gt;1,"",SUMIFS($I:$I,$C:$C,$C2519,$D:$D,$D2519,$E:$E,"P0(후)"))</f>
        <v/>
      </c>
      <c r="R2519" s="31">
        <f>IF(COUNTIFS($C:$C,$C2519,$D:$D,$D2519,$E:$E,"P0(후)",$M:$M,"&gt;0")&lt;&gt;1,"",SUMIFS($M:$M,$C:$C,$C2519,$D:$D,$D2519,$E:$E,"P0(후)"))</f>
        <v/>
      </c>
      <c r="S2519" s="31">
        <f>IF(N2519&lt;&gt;"OK","",P2519+(R2519-P2519)*(I2519-O2519)/(Q2519-O2519))</f>
        <v/>
      </c>
      <c r="T2519" s="31">
        <f>IF(OR(N2519&lt;&gt;"OK",NOT(ISNUMBER(M2519))),"",M2519-S2519)</f>
        <v/>
      </c>
      <c r="U2519" s="49">
        <f>IF(OR(NOT(ISNUMBER(T2519)),IF(ISNUMBER(H2519),H2519,G2519)=0),"",T2519/IF(ISNUMBER(H2519),H2519,G2519))</f>
        <v/>
      </c>
      <c r="V2519" s="49">
        <f>IF(ISNUMBER(U2519),ABS(U2519),"")</f>
        <v/>
      </c>
      <c r="W2519" s="49">
        <f>IF(OR($E2518&lt;&gt;"측정",$C2518&lt;&gt;$C2519,$D2518&lt;&gt;$D2519,NOT(ISNUMBER(M2519)),NOT(ISNUMBER(M2518)),(IF(ISNUMBER(H2519),H2519,G2519)-IF(ISNUMBER(H2518),H2518,G2518))=0),"",(M2519-M2518)/(IF(ISNUMBER(H2519),H2519,G2519)-IF(ISNUMBER(H2518),H2518,G2518)))</f>
        <v/>
      </c>
      <c r="X2519" s="31">
        <f>IF(NOT(AND(ISNUMBER(O2519),ISNUMBER(Q2519))),"",(Q2519-O2519)*1440)</f>
        <v/>
      </c>
      <c r="Y2519" s="29" t="n"/>
      <c r="Z2519" s="29" t="n"/>
      <c r="AA2519" s="29" t="n"/>
      <c r="AB2519" s="32" t="n"/>
      <c r="AC2519" s="32" t="n"/>
    </row>
    <row r="2520">
      <c r="A2520" s="26" t="inlineStr">
        <is>
          <t>S49</t>
        </is>
      </c>
      <c r="B2520" s="26" t="inlineStr">
        <is>
          <t>제천</t>
        </is>
      </c>
      <c r="C2520" s="26" t="inlineStr">
        <is>
          <t>S49-H서</t>
        </is>
      </c>
      <c r="D2520" s="47" t="n">
        <v>1</v>
      </c>
      <c r="E2520" s="26" t="inlineStr">
        <is>
          <t>측정</t>
        </is>
      </c>
      <c r="F2520" s="26" t="inlineStr">
        <is>
          <t>서</t>
        </is>
      </c>
      <c r="G2520" s="31" t="n">
        <v>4</v>
      </c>
      <c r="H2520" s="30" t="n"/>
      <c r="I2520" s="43" t="n"/>
      <c r="J2520" s="41" t="n"/>
      <c r="K2520" s="41" t="n"/>
      <c r="L2520" s="41" t="n"/>
      <c r="M2520" s="31">
        <f>IF(COUNT(J2520:L2520)=0,"",MEDIAN(J2520:L2520))</f>
        <v/>
      </c>
      <c r="N2520" s="26">
        <f>IF(COUNTIFS($C:$C,$C2520,$D:$D,$D2520,$E:$E,"P0(전)",$M:$M,"&gt;0")&lt;&gt;1,"P0(전) 유효 1개 아님",IF(COUNTIFS($C:$C,$C2520,$D:$D,$D2520,$E:$E,"P0(후)",$M:$M,"&gt;0")&lt;&gt;1,"P0(후) 유효 1개 아님",IF(NOT(AND(ISNUMBER(O2520),ISNUMBER(Q2520),ISNUMBER(I2520))),"시각 결측",IF(Q2520&lt;=O2520,"P0 시각 역전",IF(OR(I2520&lt;O2520,I2520&gt;Q2520),"측정시각 구간 밖","OK")))))</f>
        <v/>
      </c>
      <c r="O2520" s="48">
        <f>IF(COUNTIFS($C:$C,$C2520,$D:$D,$D2520,$E:$E,"P0(전)",$M:$M,"&gt;0")&lt;&gt;1,"",SUMIFS($I:$I,$C:$C,$C2520,$D:$D,$D2520,$E:$E,"P0(전)"))</f>
        <v/>
      </c>
      <c r="P2520" s="31">
        <f>IF(COUNTIFS($C:$C,$C2520,$D:$D,$D2520,$E:$E,"P0(전)",$M:$M,"&gt;0")&lt;&gt;1,"",SUMIFS($M:$M,$C:$C,$C2520,$D:$D,$D2520,$E:$E,"P0(전)"))</f>
        <v/>
      </c>
      <c r="Q2520" s="48">
        <f>IF(COUNTIFS($C:$C,$C2520,$D:$D,$D2520,$E:$E,"P0(후)",$M:$M,"&gt;0")&lt;&gt;1,"",SUMIFS($I:$I,$C:$C,$C2520,$D:$D,$D2520,$E:$E,"P0(후)"))</f>
        <v/>
      </c>
      <c r="R2520" s="31">
        <f>IF(COUNTIFS($C:$C,$C2520,$D:$D,$D2520,$E:$E,"P0(후)",$M:$M,"&gt;0")&lt;&gt;1,"",SUMIFS($M:$M,$C:$C,$C2520,$D:$D,$D2520,$E:$E,"P0(후)"))</f>
        <v/>
      </c>
      <c r="S2520" s="31">
        <f>IF(N2520&lt;&gt;"OK","",P2520+(R2520-P2520)*(I2520-O2520)/(Q2520-O2520))</f>
        <v/>
      </c>
      <c r="T2520" s="31">
        <f>IF(OR(N2520&lt;&gt;"OK",NOT(ISNUMBER(M2520))),"",M2520-S2520)</f>
        <v/>
      </c>
      <c r="U2520" s="49">
        <f>IF(OR(NOT(ISNUMBER(T2520)),IF(ISNUMBER(H2520),H2520,G2520)=0),"",T2520/IF(ISNUMBER(H2520),H2520,G2520))</f>
        <v/>
      </c>
      <c r="V2520" s="49">
        <f>IF(ISNUMBER(U2520),ABS(U2520),"")</f>
        <v/>
      </c>
      <c r="W2520" s="49">
        <f>IF(OR($E2519&lt;&gt;"측정",$C2519&lt;&gt;$C2520,$D2519&lt;&gt;$D2520,NOT(ISNUMBER(M2520)),NOT(ISNUMBER(M2519)),(IF(ISNUMBER(H2520),H2520,G2520)-IF(ISNUMBER(H2519),H2519,G2519))=0),"",(M2520-M2519)/(IF(ISNUMBER(H2520),H2520,G2520)-IF(ISNUMBER(H2519),H2519,G2519)))</f>
        <v/>
      </c>
      <c r="X2520" s="31">
        <f>IF(NOT(AND(ISNUMBER(O2520),ISNUMBER(Q2520))),"",(Q2520-O2520)*1440)</f>
        <v/>
      </c>
      <c r="Y2520" s="29" t="n"/>
      <c r="Z2520" s="29" t="n"/>
      <c r="AA2520" s="29" t="n"/>
      <c r="AB2520" s="32" t="n"/>
      <c r="AC2520" s="32" t="n"/>
    </row>
    <row r="2521">
      <c r="A2521" s="26" t="inlineStr">
        <is>
          <t>S49</t>
        </is>
      </c>
      <c r="B2521" s="26" t="inlineStr">
        <is>
          <t>제천</t>
        </is>
      </c>
      <c r="C2521" s="26" t="inlineStr">
        <is>
          <t>S49-H서</t>
        </is>
      </c>
      <c r="D2521" s="47" t="n">
        <v>1</v>
      </c>
      <c r="E2521" s="26" t="inlineStr">
        <is>
          <t>측정</t>
        </is>
      </c>
      <c r="F2521" s="26" t="inlineStr">
        <is>
          <t>서</t>
        </is>
      </c>
      <c r="G2521" s="31" t="n">
        <v>5</v>
      </c>
      <c r="H2521" s="30" t="n"/>
      <c r="I2521" s="43" t="n"/>
      <c r="J2521" s="41" t="n"/>
      <c r="K2521" s="41" t="n"/>
      <c r="L2521" s="41" t="n"/>
      <c r="M2521" s="31">
        <f>IF(COUNT(J2521:L2521)=0,"",MEDIAN(J2521:L2521))</f>
        <v/>
      </c>
      <c r="N2521" s="26">
        <f>IF(COUNTIFS($C:$C,$C2521,$D:$D,$D2521,$E:$E,"P0(전)",$M:$M,"&gt;0")&lt;&gt;1,"P0(전) 유효 1개 아님",IF(COUNTIFS($C:$C,$C2521,$D:$D,$D2521,$E:$E,"P0(후)",$M:$M,"&gt;0")&lt;&gt;1,"P0(후) 유효 1개 아님",IF(NOT(AND(ISNUMBER(O2521),ISNUMBER(Q2521),ISNUMBER(I2521))),"시각 결측",IF(Q2521&lt;=O2521,"P0 시각 역전",IF(OR(I2521&lt;O2521,I2521&gt;Q2521),"측정시각 구간 밖","OK")))))</f>
        <v/>
      </c>
      <c r="O2521" s="48">
        <f>IF(COUNTIFS($C:$C,$C2521,$D:$D,$D2521,$E:$E,"P0(전)",$M:$M,"&gt;0")&lt;&gt;1,"",SUMIFS($I:$I,$C:$C,$C2521,$D:$D,$D2521,$E:$E,"P0(전)"))</f>
        <v/>
      </c>
      <c r="P2521" s="31">
        <f>IF(COUNTIFS($C:$C,$C2521,$D:$D,$D2521,$E:$E,"P0(전)",$M:$M,"&gt;0")&lt;&gt;1,"",SUMIFS($M:$M,$C:$C,$C2521,$D:$D,$D2521,$E:$E,"P0(전)"))</f>
        <v/>
      </c>
      <c r="Q2521" s="48">
        <f>IF(COUNTIFS($C:$C,$C2521,$D:$D,$D2521,$E:$E,"P0(후)",$M:$M,"&gt;0")&lt;&gt;1,"",SUMIFS($I:$I,$C:$C,$C2521,$D:$D,$D2521,$E:$E,"P0(후)"))</f>
        <v/>
      </c>
      <c r="R2521" s="31">
        <f>IF(COUNTIFS($C:$C,$C2521,$D:$D,$D2521,$E:$E,"P0(후)",$M:$M,"&gt;0")&lt;&gt;1,"",SUMIFS($M:$M,$C:$C,$C2521,$D:$D,$D2521,$E:$E,"P0(후)"))</f>
        <v/>
      </c>
      <c r="S2521" s="31">
        <f>IF(N2521&lt;&gt;"OK","",P2521+(R2521-P2521)*(I2521-O2521)/(Q2521-O2521))</f>
        <v/>
      </c>
      <c r="T2521" s="31">
        <f>IF(OR(N2521&lt;&gt;"OK",NOT(ISNUMBER(M2521))),"",M2521-S2521)</f>
        <v/>
      </c>
      <c r="U2521" s="49">
        <f>IF(OR(NOT(ISNUMBER(T2521)),IF(ISNUMBER(H2521),H2521,G2521)=0),"",T2521/IF(ISNUMBER(H2521),H2521,G2521))</f>
        <v/>
      </c>
      <c r="V2521" s="49">
        <f>IF(ISNUMBER(U2521),ABS(U2521),"")</f>
        <v/>
      </c>
      <c r="W2521" s="49">
        <f>IF(OR($E2520&lt;&gt;"측정",$C2520&lt;&gt;$C2521,$D2520&lt;&gt;$D2521,NOT(ISNUMBER(M2521)),NOT(ISNUMBER(M2520)),(IF(ISNUMBER(H2521),H2521,G2521)-IF(ISNUMBER(H2520),H2520,G2520))=0),"",(M2521-M2520)/(IF(ISNUMBER(H2521),H2521,G2521)-IF(ISNUMBER(H2520),H2520,G2520)))</f>
        <v/>
      </c>
      <c r="X2521" s="31">
        <f>IF(NOT(AND(ISNUMBER(O2521),ISNUMBER(Q2521))),"",(Q2521-O2521)*1440)</f>
        <v/>
      </c>
      <c r="Y2521" s="29" t="n"/>
      <c r="Z2521" s="29" t="n"/>
      <c r="AA2521" s="29" t="n"/>
      <c r="AB2521" s="32" t="n"/>
      <c r="AC2521" s="32" t="n"/>
    </row>
    <row r="2522">
      <c r="A2522" s="26" t="inlineStr">
        <is>
          <t>S49</t>
        </is>
      </c>
      <c r="B2522" s="26" t="inlineStr">
        <is>
          <t>제천</t>
        </is>
      </c>
      <c r="C2522" s="26" t="inlineStr">
        <is>
          <t>S49-H서</t>
        </is>
      </c>
      <c r="D2522" s="47" t="n">
        <v>1</v>
      </c>
      <c r="E2522" s="26" t="inlineStr">
        <is>
          <t>측정</t>
        </is>
      </c>
      <c r="F2522" s="26" t="inlineStr">
        <is>
          <t>서</t>
        </is>
      </c>
      <c r="G2522" s="31" t="n">
        <v>6</v>
      </c>
      <c r="H2522" s="30" t="n"/>
      <c r="I2522" s="43" t="n"/>
      <c r="J2522" s="41" t="n"/>
      <c r="K2522" s="41" t="n"/>
      <c r="L2522" s="41" t="n"/>
      <c r="M2522" s="31">
        <f>IF(COUNT(J2522:L2522)=0,"",MEDIAN(J2522:L2522))</f>
        <v/>
      </c>
      <c r="N2522" s="26">
        <f>IF(COUNTIFS($C:$C,$C2522,$D:$D,$D2522,$E:$E,"P0(전)",$M:$M,"&gt;0")&lt;&gt;1,"P0(전) 유효 1개 아님",IF(COUNTIFS($C:$C,$C2522,$D:$D,$D2522,$E:$E,"P0(후)",$M:$M,"&gt;0")&lt;&gt;1,"P0(후) 유효 1개 아님",IF(NOT(AND(ISNUMBER(O2522),ISNUMBER(Q2522),ISNUMBER(I2522))),"시각 결측",IF(Q2522&lt;=O2522,"P0 시각 역전",IF(OR(I2522&lt;O2522,I2522&gt;Q2522),"측정시각 구간 밖","OK")))))</f>
        <v/>
      </c>
      <c r="O2522" s="48">
        <f>IF(COUNTIFS($C:$C,$C2522,$D:$D,$D2522,$E:$E,"P0(전)",$M:$M,"&gt;0")&lt;&gt;1,"",SUMIFS($I:$I,$C:$C,$C2522,$D:$D,$D2522,$E:$E,"P0(전)"))</f>
        <v/>
      </c>
      <c r="P2522" s="31">
        <f>IF(COUNTIFS($C:$C,$C2522,$D:$D,$D2522,$E:$E,"P0(전)",$M:$M,"&gt;0")&lt;&gt;1,"",SUMIFS($M:$M,$C:$C,$C2522,$D:$D,$D2522,$E:$E,"P0(전)"))</f>
        <v/>
      </c>
      <c r="Q2522" s="48">
        <f>IF(COUNTIFS($C:$C,$C2522,$D:$D,$D2522,$E:$E,"P0(후)",$M:$M,"&gt;0")&lt;&gt;1,"",SUMIFS($I:$I,$C:$C,$C2522,$D:$D,$D2522,$E:$E,"P0(후)"))</f>
        <v/>
      </c>
      <c r="R2522" s="31">
        <f>IF(COUNTIFS($C:$C,$C2522,$D:$D,$D2522,$E:$E,"P0(후)",$M:$M,"&gt;0")&lt;&gt;1,"",SUMIFS($M:$M,$C:$C,$C2522,$D:$D,$D2522,$E:$E,"P0(후)"))</f>
        <v/>
      </c>
      <c r="S2522" s="31">
        <f>IF(N2522&lt;&gt;"OK","",P2522+(R2522-P2522)*(I2522-O2522)/(Q2522-O2522))</f>
        <v/>
      </c>
      <c r="T2522" s="31">
        <f>IF(OR(N2522&lt;&gt;"OK",NOT(ISNUMBER(M2522))),"",M2522-S2522)</f>
        <v/>
      </c>
      <c r="U2522" s="49">
        <f>IF(OR(NOT(ISNUMBER(T2522)),IF(ISNUMBER(H2522),H2522,G2522)=0),"",T2522/IF(ISNUMBER(H2522),H2522,G2522))</f>
        <v/>
      </c>
      <c r="V2522" s="49">
        <f>IF(ISNUMBER(U2522),ABS(U2522),"")</f>
        <v/>
      </c>
      <c r="W2522" s="49">
        <f>IF(OR($E2521&lt;&gt;"측정",$C2521&lt;&gt;$C2522,$D2521&lt;&gt;$D2522,NOT(ISNUMBER(M2522)),NOT(ISNUMBER(M2521)),(IF(ISNUMBER(H2522),H2522,G2522)-IF(ISNUMBER(H2521),H2521,G2521))=0),"",(M2522-M2521)/(IF(ISNUMBER(H2522),H2522,G2522)-IF(ISNUMBER(H2521),H2521,G2521)))</f>
        <v/>
      </c>
      <c r="X2522" s="31">
        <f>IF(NOT(AND(ISNUMBER(O2522),ISNUMBER(Q2522))),"",(Q2522-O2522)*1440)</f>
        <v/>
      </c>
      <c r="Y2522" s="29" t="n"/>
      <c r="Z2522" s="29" t="n"/>
      <c r="AA2522" s="29" t="n"/>
      <c r="AB2522" s="32" t="n"/>
      <c r="AC2522" s="32" t="n"/>
    </row>
    <row r="2523">
      <c r="A2523" s="26" t="inlineStr">
        <is>
          <t>S49</t>
        </is>
      </c>
      <c r="B2523" s="26" t="inlineStr">
        <is>
          <t>제천</t>
        </is>
      </c>
      <c r="C2523" s="26" t="inlineStr">
        <is>
          <t>S49-H서</t>
        </is>
      </c>
      <c r="D2523" s="47" t="n">
        <v>1</v>
      </c>
      <c r="E2523" s="26" t="inlineStr">
        <is>
          <t>측정</t>
        </is>
      </c>
      <c r="F2523" s="26" t="inlineStr">
        <is>
          <t>서</t>
        </is>
      </c>
      <c r="G2523" s="31" t="n">
        <v>7</v>
      </c>
      <c r="H2523" s="30" t="n"/>
      <c r="I2523" s="43" t="n"/>
      <c r="J2523" s="41" t="n"/>
      <c r="K2523" s="41" t="n"/>
      <c r="L2523" s="41" t="n"/>
      <c r="M2523" s="31">
        <f>IF(COUNT(J2523:L2523)=0,"",MEDIAN(J2523:L2523))</f>
        <v/>
      </c>
      <c r="N2523" s="26">
        <f>IF(COUNTIFS($C:$C,$C2523,$D:$D,$D2523,$E:$E,"P0(전)",$M:$M,"&gt;0")&lt;&gt;1,"P0(전) 유효 1개 아님",IF(COUNTIFS($C:$C,$C2523,$D:$D,$D2523,$E:$E,"P0(후)",$M:$M,"&gt;0")&lt;&gt;1,"P0(후) 유효 1개 아님",IF(NOT(AND(ISNUMBER(O2523),ISNUMBER(Q2523),ISNUMBER(I2523))),"시각 결측",IF(Q2523&lt;=O2523,"P0 시각 역전",IF(OR(I2523&lt;O2523,I2523&gt;Q2523),"측정시각 구간 밖","OK")))))</f>
        <v/>
      </c>
      <c r="O2523" s="48">
        <f>IF(COUNTIFS($C:$C,$C2523,$D:$D,$D2523,$E:$E,"P0(전)",$M:$M,"&gt;0")&lt;&gt;1,"",SUMIFS($I:$I,$C:$C,$C2523,$D:$D,$D2523,$E:$E,"P0(전)"))</f>
        <v/>
      </c>
      <c r="P2523" s="31">
        <f>IF(COUNTIFS($C:$C,$C2523,$D:$D,$D2523,$E:$E,"P0(전)",$M:$M,"&gt;0")&lt;&gt;1,"",SUMIFS($M:$M,$C:$C,$C2523,$D:$D,$D2523,$E:$E,"P0(전)"))</f>
        <v/>
      </c>
      <c r="Q2523" s="48">
        <f>IF(COUNTIFS($C:$C,$C2523,$D:$D,$D2523,$E:$E,"P0(후)",$M:$M,"&gt;0")&lt;&gt;1,"",SUMIFS($I:$I,$C:$C,$C2523,$D:$D,$D2523,$E:$E,"P0(후)"))</f>
        <v/>
      </c>
      <c r="R2523" s="31">
        <f>IF(COUNTIFS($C:$C,$C2523,$D:$D,$D2523,$E:$E,"P0(후)",$M:$M,"&gt;0")&lt;&gt;1,"",SUMIFS($M:$M,$C:$C,$C2523,$D:$D,$D2523,$E:$E,"P0(후)"))</f>
        <v/>
      </c>
      <c r="S2523" s="31">
        <f>IF(N2523&lt;&gt;"OK","",P2523+(R2523-P2523)*(I2523-O2523)/(Q2523-O2523))</f>
        <v/>
      </c>
      <c r="T2523" s="31">
        <f>IF(OR(N2523&lt;&gt;"OK",NOT(ISNUMBER(M2523))),"",M2523-S2523)</f>
        <v/>
      </c>
      <c r="U2523" s="49">
        <f>IF(OR(NOT(ISNUMBER(T2523)),IF(ISNUMBER(H2523),H2523,G2523)=0),"",T2523/IF(ISNUMBER(H2523),H2523,G2523))</f>
        <v/>
      </c>
      <c r="V2523" s="49">
        <f>IF(ISNUMBER(U2523),ABS(U2523),"")</f>
        <v/>
      </c>
      <c r="W2523" s="49">
        <f>IF(OR($E2522&lt;&gt;"측정",$C2522&lt;&gt;$C2523,$D2522&lt;&gt;$D2523,NOT(ISNUMBER(M2523)),NOT(ISNUMBER(M2522)),(IF(ISNUMBER(H2523),H2523,G2523)-IF(ISNUMBER(H2522),H2522,G2522))=0),"",(M2523-M2522)/(IF(ISNUMBER(H2523),H2523,G2523)-IF(ISNUMBER(H2522),H2522,G2522)))</f>
        <v/>
      </c>
      <c r="X2523" s="31">
        <f>IF(NOT(AND(ISNUMBER(O2523),ISNUMBER(Q2523))),"",(Q2523-O2523)*1440)</f>
        <v/>
      </c>
      <c r="Y2523" s="29" t="n"/>
      <c r="Z2523" s="29" t="n"/>
      <c r="AA2523" s="29" t="n"/>
      <c r="AB2523" s="32" t="n"/>
      <c r="AC2523" s="32" t="n"/>
    </row>
    <row r="2524">
      <c r="A2524" s="26" t="inlineStr">
        <is>
          <t>S49</t>
        </is>
      </c>
      <c r="B2524" s="26" t="inlineStr">
        <is>
          <t>제천</t>
        </is>
      </c>
      <c r="C2524" s="26" t="inlineStr">
        <is>
          <t>S49-H서</t>
        </is>
      </c>
      <c r="D2524" s="47" t="n">
        <v>1</v>
      </c>
      <c r="E2524" s="26" t="inlineStr">
        <is>
          <t>측정</t>
        </is>
      </c>
      <c r="F2524" s="26" t="inlineStr">
        <is>
          <t>서</t>
        </is>
      </c>
      <c r="G2524" s="31" t="n">
        <v>8</v>
      </c>
      <c r="H2524" s="30" t="n"/>
      <c r="I2524" s="43" t="n"/>
      <c r="J2524" s="41" t="n"/>
      <c r="K2524" s="41" t="n"/>
      <c r="L2524" s="41" t="n"/>
      <c r="M2524" s="31">
        <f>IF(COUNT(J2524:L2524)=0,"",MEDIAN(J2524:L2524))</f>
        <v/>
      </c>
      <c r="N2524" s="26">
        <f>IF(COUNTIFS($C:$C,$C2524,$D:$D,$D2524,$E:$E,"P0(전)",$M:$M,"&gt;0")&lt;&gt;1,"P0(전) 유효 1개 아님",IF(COUNTIFS($C:$C,$C2524,$D:$D,$D2524,$E:$E,"P0(후)",$M:$M,"&gt;0")&lt;&gt;1,"P0(후) 유효 1개 아님",IF(NOT(AND(ISNUMBER(O2524),ISNUMBER(Q2524),ISNUMBER(I2524))),"시각 결측",IF(Q2524&lt;=O2524,"P0 시각 역전",IF(OR(I2524&lt;O2524,I2524&gt;Q2524),"측정시각 구간 밖","OK")))))</f>
        <v/>
      </c>
      <c r="O2524" s="48">
        <f>IF(COUNTIFS($C:$C,$C2524,$D:$D,$D2524,$E:$E,"P0(전)",$M:$M,"&gt;0")&lt;&gt;1,"",SUMIFS($I:$I,$C:$C,$C2524,$D:$D,$D2524,$E:$E,"P0(전)"))</f>
        <v/>
      </c>
      <c r="P2524" s="31">
        <f>IF(COUNTIFS($C:$C,$C2524,$D:$D,$D2524,$E:$E,"P0(전)",$M:$M,"&gt;0")&lt;&gt;1,"",SUMIFS($M:$M,$C:$C,$C2524,$D:$D,$D2524,$E:$E,"P0(전)"))</f>
        <v/>
      </c>
      <c r="Q2524" s="48">
        <f>IF(COUNTIFS($C:$C,$C2524,$D:$D,$D2524,$E:$E,"P0(후)",$M:$M,"&gt;0")&lt;&gt;1,"",SUMIFS($I:$I,$C:$C,$C2524,$D:$D,$D2524,$E:$E,"P0(후)"))</f>
        <v/>
      </c>
      <c r="R2524" s="31">
        <f>IF(COUNTIFS($C:$C,$C2524,$D:$D,$D2524,$E:$E,"P0(후)",$M:$M,"&gt;0")&lt;&gt;1,"",SUMIFS($M:$M,$C:$C,$C2524,$D:$D,$D2524,$E:$E,"P0(후)"))</f>
        <v/>
      </c>
      <c r="S2524" s="31">
        <f>IF(N2524&lt;&gt;"OK","",P2524+(R2524-P2524)*(I2524-O2524)/(Q2524-O2524))</f>
        <v/>
      </c>
      <c r="T2524" s="31">
        <f>IF(OR(N2524&lt;&gt;"OK",NOT(ISNUMBER(M2524))),"",M2524-S2524)</f>
        <v/>
      </c>
      <c r="U2524" s="49">
        <f>IF(OR(NOT(ISNUMBER(T2524)),IF(ISNUMBER(H2524),H2524,G2524)=0),"",T2524/IF(ISNUMBER(H2524),H2524,G2524))</f>
        <v/>
      </c>
      <c r="V2524" s="49">
        <f>IF(ISNUMBER(U2524),ABS(U2524),"")</f>
        <v/>
      </c>
      <c r="W2524" s="49">
        <f>IF(OR($E2523&lt;&gt;"측정",$C2523&lt;&gt;$C2524,$D2523&lt;&gt;$D2524,NOT(ISNUMBER(M2524)),NOT(ISNUMBER(M2523)),(IF(ISNUMBER(H2524),H2524,G2524)-IF(ISNUMBER(H2523),H2523,G2523))=0),"",(M2524-M2523)/(IF(ISNUMBER(H2524),H2524,G2524)-IF(ISNUMBER(H2523),H2523,G2523)))</f>
        <v/>
      </c>
      <c r="X2524" s="31">
        <f>IF(NOT(AND(ISNUMBER(O2524),ISNUMBER(Q2524))),"",(Q2524-O2524)*1440)</f>
        <v/>
      </c>
      <c r="Y2524" s="29" t="n"/>
      <c r="Z2524" s="29" t="n"/>
      <c r="AA2524" s="29" t="n"/>
      <c r="AB2524" s="32" t="n"/>
      <c r="AC2524" s="32" t="n"/>
    </row>
    <row r="2525">
      <c r="A2525" s="26" t="inlineStr">
        <is>
          <t>S49</t>
        </is>
      </c>
      <c r="B2525" s="26" t="inlineStr">
        <is>
          <t>제천</t>
        </is>
      </c>
      <c r="C2525" s="26" t="inlineStr">
        <is>
          <t>S49-H서</t>
        </is>
      </c>
      <c r="D2525" s="47" t="n">
        <v>1</v>
      </c>
      <c r="E2525" s="26" t="inlineStr">
        <is>
          <t>측정</t>
        </is>
      </c>
      <c r="F2525" s="26" t="inlineStr">
        <is>
          <t>서</t>
        </is>
      </c>
      <c r="G2525" s="31" t="n">
        <v>9</v>
      </c>
      <c r="H2525" s="30" t="n"/>
      <c r="I2525" s="43" t="n"/>
      <c r="J2525" s="41" t="n"/>
      <c r="K2525" s="41" t="n"/>
      <c r="L2525" s="41" t="n"/>
      <c r="M2525" s="31">
        <f>IF(COUNT(J2525:L2525)=0,"",MEDIAN(J2525:L2525))</f>
        <v/>
      </c>
      <c r="N2525" s="26">
        <f>IF(COUNTIFS($C:$C,$C2525,$D:$D,$D2525,$E:$E,"P0(전)",$M:$M,"&gt;0")&lt;&gt;1,"P0(전) 유효 1개 아님",IF(COUNTIFS($C:$C,$C2525,$D:$D,$D2525,$E:$E,"P0(후)",$M:$M,"&gt;0")&lt;&gt;1,"P0(후) 유효 1개 아님",IF(NOT(AND(ISNUMBER(O2525),ISNUMBER(Q2525),ISNUMBER(I2525))),"시각 결측",IF(Q2525&lt;=O2525,"P0 시각 역전",IF(OR(I2525&lt;O2525,I2525&gt;Q2525),"측정시각 구간 밖","OK")))))</f>
        <v/>
      </c>
      <c r="O2525" s="48">
        <f>IF(COUNTIFS($C:$C,$C2525,$D:$D,$D2525,$E:$E,"P0(전)",$M:$M,"&gt;0")&lt;&gt;1,"",SUMIFS($I:$I,$C:$C,$C2525,$D:$D,$D2525,$E:$E,"P0(전)"))</f>
        <v/>
      </c>
      <c r="P2525" s="31">
        <f>IF(COUNTIFS($C:$C,$C2525,$D:$D,$D2525,$E:$E,"P0(전)",$M:$M,"&gt;0")&lt;&gt;1,"",SUMIFS($M:$M,$C:$C,$C2525,$D:$D,$D2525,$E:$E,"P0(전)"))</f>
        <v/>
      </c>
      <c r="Q2525" s="48">
        <f>IF(COUNTIFS($C:$C,$C2525,$D:$D,$D2525,$E:$E,"P0(후)",$M:$M,"&gt;0")&lt;&gt;1,"",SUMIFS($I:$I,$C:$C,$C2525,$D:$D,$D2525,$E:$E,"P0(후)"))</f>
        <v/>
      </c>
      <c r="R2525" s="31">
        <f>IF(COUNTIFS($C:$C,$C2525,$D:$D,$D2525,$E:$E,"P0(후)",$M:$M,"&gt;0")&lt;&gt;1,"",SUMIFS($M:$M,$C:$C,$C2525,$D:$D,$D2525,$E:$E,"P0(후)"))</f>
        <v/>
      </c>
      <c r="S2525" s="31">
        <f>IF(N2525&lt;&gt;"OK","",P2525+(R2525-P2525)*(I2525-O2525)/(Q2525-O2525))</f>
        <v/>
      </c>
      <c r="T2525" s="31">
        <f>IF(OR(N2525&lt;&gt;"OK",NOT(ISNUMBER(M2525))),"",M2525-S2525)</f>
        <v/>
      </c>
      <c r="U2525" s="49">
        <f>IF(OR(NOT(ISNUMBER(T2525)),IF(ISNUMBER(H2525),H2525,G2525)=0),"",T2525/IF(ISNUMBER(H2525),H2525,G2525))</f>
        <v/>
      </c>
      <c r="V2525" s="49">
        <f>IF(ISNUMBER(U2525),ABS(U2525),"")</f>
        <v/>
      </c>
      <c r="W2525" s="49">
        <f>IF(OR($E2524&lt;&gt;"측정",$C2524&lt;&gt;$C2525,$D2524&lt;&gt;$D2525,NOT(ISNUMBER(M2525)),NOT(ISNUMBER(M2524)),(IF(ISNUMBER(H2525),H2525,G2525)-IF(ISNUMBER(H2524),H2524,G2524))=0),"",(M2525-M2524)/(IF(ISNUMBER(H2525),H2525,G2525)-IF(ISNUMBER(H2524),H2524,G2524)))</f>
        <v/>
      </c>
      <c r="X2525" s="31">
        <f>IF(NOT(AND(ISNUMBER(O2525),ISNUMBER(Q2525))),"",(Q2525-O2525)*1440)</f>
        <v/>
      </c>
      <c r="Y2525" s="29" t="n"/>
      <c r="Z2525" s="29" t="n"/>
      <c r="AA2525" s="29" t="n"/>
      <c r="AB2525" s="32" t="n"/>
      <c r="AC2525" s="32" t="n"/>
    </row>
    <row r="2526">
      <c r="A2526" s="26" t="inlineStr">
        <is>
          <t>S49</t>
        </is>
      </c>
      <c r="B2526" s="26" t="inlineStr">
        <is>
          <t>제천</t>
        </is>
      </c>
      <c r="C2526" s="26" t="inlineStr">
        <is>
          <t>S49-H서</t>
        </is>
      </c>
      <c r="D2526" s="47" t="n">
        <v>1</v>
      </c>
      <c r="E2526" s="26" t="inlineStr">
        <is>
          <t>측정</t>
        </is>
      </c>
      <c r="F2526" s="26" t="inlineStr">
        <is>
          <t>서</t>
        </is>
      </c>
      <c r="G2526" s="31" t="n">
        <v>10</v>
      </c>
      <c r="H2526" s="30" t="n"/>
      <c r="I2526" s="43" t="n"/>
      <c r="J2526" s="41" t="n"/>
      <c r="K2526" s="41" t="n"/>
      <c r="L2526" s="41" t="n"/>
      <c r="M2526" s="31">
        <f>IF(COUNT(J2526:L2526)=0,"",MEDIAN(J2526:L2526))</f>
        <v/>
      </c>
      <c r="N2526" s="26">
        <f>IF(COUNTIFS($C:$C,$C2526,$D:$D,$D2526,$E:$E,"P0(전)",$M:$M,"&gt;0")&lt;&gt;1,"P0(전) 유효 1개 아님",IF(COUNTIFS($C:$C,$C2526,$D:$D,$D2526,$E:$E,"P0(후)",$M:$M,"&gt;0")&lt;&gt;1,"P0(후) 유효 1개 아님",IF(NOT(AND(ISNUMBER(O2526),ISNUMBER(Q2526),ISNUMBER(I2526))),"시각 결측",IF(Q2526&lt;=O2526,"P0 시각 역전",IF(OR(I2526&lt;O2526,I2526&gt;Q2526),"측정시각 구간 밖","OK")))))</f>
        <v/>
      </c>
      <c r="O2526" s="48">
        <f>IF(COUNTIFS($C:$C,$C2526,$D:$D,$D2526,$E:$E,"P0(전)",$M:$M,"&gt;0")&lt;&gt;1,"",SUMIFS($I:$I,$C:$C,$C2526,$D:$D,$D2526,$E:$E,"P0(전)"))</f>
        <v/>
      </c>
      <c r="P2526" s="31">
        <f>IF(COUNTIFS($C:$C,$C2526,$D:$D,$D2526,$E:$E,"P0(전)",$M:$M,"&gt;0")&lt;&gt;1,"",SUMIFS($M:$M,$C:$C,$C2526,$D:$D,$D2526,$E:$E,"P0(전)"))</f>
        <v/>
      </c>
      <c r="Q2526" s="48">
        <f>IF(COUNTIFS($C:$C,$C2526,$D:$D,$D2526,$E:$E,"P0(후)",$M:$M,"&gt;0")&lt;&gt;1,"",SUMIFS($I:$I,$C:$C,$C2526,$D:$D,$D2526,$E:$E,"P0(후)"))</f>
        <v/>
      </c>
      <c r="R2526" s="31">
        <f>IF(COUNTIFS($C:$C,$C2526,$D:$D,$D2526,$E:$E,"P0(후)",$M:$M,"&gt;0")&lt;&gt;1,"",SUMIFS($M:$M,$C:$C,$C2526,$D:$D,$D2526,$E:$E,"P0(후)"))</f>
        <v/>
      </c>
      <c r="S2526" s="31">
        <f>IF(N2526&lt;&gt;"OK","",P2526+(R2526-P2526)*(I2526-O2526)/(Q2526-O2526))</f>
        <v/>
      </c>
      <c r="T2526" s="31">
        <f>IF(OR(N2526&lt;&gt;"OK",NOT(ISNUMBER(M2526))),"",M2526-S2526)</f>
        <v/>
      </c>
      <c r="U2526" s="49">
        <f>IF(OR(NOT(ISNUMBER(T2526)),IF(ISNUMBER(H2526),H2526,G2526)=0),"",T2526/IF(ISNUMBER(H2526),H2526,G2526))</f>
        <v/>
      </c>
      <c r="V2526" s="49">
        <f>IF(ISNUMBER(U2526),ABS(U2526),"")</f>
        <v/>
      </c>
      <c r="W2526" s="49">
        <f>IF(OR($E2525&lt;&gt;"측정",$C2525&lt;&gt;$C2526,$D2525&lt;&gt;$D2526,NOT(ISNUMBER(M2526)),NOT(ISNUMBER(M2525)),(IF(ISNUMBER(H2526),H2526,G2526)-IF(ISNUMBER(H2525),H2525,G2525))=0),"",(M2526-M2525)/(IF(ISNUMBER(H2526),H2526,G2526)-IF(ISNUMBER(H2525),H2525,G2525)))</f>
        <v/>
      </c>
      <c r="X2526" s="31">
        <f>IF(NOT(AND(ISNUMBER(O2526),ISNUMBER(Q2526))),"",(Q2526-O2526)*1440)</f>
        <v/>
      </c>
      <c r="Y2526" s="29" t="n"/>
      <c r="Z2526" s="29" t="n"/>
      <c r="AA2526" s="29" t="n"/>
      <c r="AB2526" s="32" t="n"/>
      <c r="AC2526" s="32" t="n"/>
    </row>
    <row r="2527">
      <c r="A2527" s="44" t="inlineStr">
        <is>
          <t>S49</t>
        </is>
      </c>
      <c r="B2527" s="44" t="inlineStr">
        <is>
          <t>제천</t>
        </is>
      </c>
      <c r="C2527" s="44" t="inlineStr">
        <is>
          <t>S49-H서</t>
        </is>
      </c>
      <c r="D2527" s="45" t="n">
        <v>1</v>
      </c>
      <c r="E2527" s="44" t="inlineStr">
        <is>
          <t>P0(후)</t>
        </is>
      </c>
      <c r="F2527" s="44" t="inlineStr">
        <is>
          <t>서</t>
        </is>
      </c>
      <c r="G2527" s="46" t="n"/>
      <c r="H2527" s="30" t="n"/>
      <c r="I2527" s="43" t="n"/>
      <c r="J2527" s="41" t="n"/>
      <c r="K2527" s="41" t="n"/>
      <c r="L2527" s="41" t="n"/>
      <c r="M2527" s="31">
        <f>IF(COUNT(J2527:L2527)=0,"",MEDIAN(J2527:L2527))</f>
        <v/>
      </c>
      <c r="N2527" s="38" t="n"/>
      <c r="O2527" s="38" t="n"/>
      <c r="P2527" s="38" t="n"/>
      <c r="Q2527" s="38" t="n"/>
      <c r="R2527" s="38" t="n"/>
      <c r="S2527" s="38" t="n"/>
      <c r="T2527" s="38" t="n"/>
      <c r="U2527" s="38" t="n"/>
      <c r="V2527" s="38" t="n"/>
      <c r="W2527" s="38" t="n"/>
      <c r="X2527" s="38" t="n"/>
      <c r="Y2527" s="29" t="n"/>
      <c r="Z2527" s="29" t="n"/>
      <c r="AA2527" s="29" t="n"/>
      <c r="AB2527" s="32" t="n"/>
      <c r="AC2527" s="32" t="n"/>
    </row>
    <row r="2528">
      <c r="A2528" s="44" t="inlineStr">
        <is>
          <t>S49</t>
        </is>
      </c>
      <c r="B2528" s="44" t="inlineStr">
        <is>
          <t>제천</t>
        </is>
      </c>
      <c r="C2528" s="44" t="inlineStr">
        <is>
          <t>S49-H남</t>
        </is>
      </c>
      <c r="D2528" s="45" t="n">
        <v>1</v>
      </c>
      <c r="E2528" s="44" t="inlineStr">
        <is>
          <t>P0(전)</t>
        </is>
      </c>
      <c r="F2528" s="44" t="inlineStr">
        <is>
          <t>남</t>
        </is>
      </c>
      <c r="G2528" s="46" t="n"/>
      <c r="H2528" s="30" t="n"/>
      <c r="I2528" s="43" t="n"/>
      <c r="J2528" s="41" t="n"/>
      <c r="K2528" s="41" t="n"/>
      <c r="L2528" s="41" t="n"/>
      <c r="M2528" s="31">
        <f>IF(COUNT(J2528:L2528)=0,"",MEDIAN(J2528:L2528))</f>
        <v/>
      </c>
      <c r="N2528" s="38" t="n"/>
      <c r="O2528" s="38" t="n"/>
      <c r="P2528" s="38" t="n"/>
      <c r="Q2528" s="38" t="n"/>
      <c r="R2528" s="38" t="n"/>
      <c r="S2528" s="38" t="n"/>
      <c r="T2528" s="38" t="n"/>
      <c r="U2528" s="38" t="n"/>
      <c r="V2528" s="38" t="n"/>
      <c r="W2528" s="38" t="n"/>
      <c r="X2528" s="38" t="n"/>
      <c r="Y2528" s="29" t="n"/>
      <c r="Z2528" s="29" t="n"/>
      <c r="AA2528" s="29" t="n"/>
      <c r="AB2528" s="32" t="n"/>
      <c r="AC2528" s="32" t="n"/>
    </row>
    <row r="2529">
      <c r="A2529" s="26" t="inlineStr">
        <is>
          <t>S49</t>
        </is>
      </c>
      <c r="B2529" s="26" t="inlineStr">
        <is>
          <t>제천</t>
        </is>
      </c>
      <c r="C2529" s="26" t="inlineStr">
        <is>
          <t>S49-H남</t>
        </is>
      </c>
      <c r="D2529" s="47" t="n">
        <v>1</v>
      </c>
      <c r="E2529" s="26" t="inlineStr">
        <is>
          <t>측정</t>
        </is>
      </c>
      <c r="F2529" s="26" t="inlineStr">
        <is>
          <t>남</t>
        </is>
      </c>
      <c r="G2529" s="31" t="n">
        <v>0.5</v>
      </c>
      <c r="H2529" s="30" t="n"/>
      <c r="I2529" s="43" t="n"/>
      <c r="J2529" s="41" t="n"/>
      <c r="K2529" s="41" t="n"/>
      <c r="L2529" s="41" t="n"/>
      <c r="M2529" s="31">
        <f>IF(COUNT(J2529:L2529)=0,"",MEDIAN(J2529:L2529))</f>
        <v/>
      </c>
      <c r="N2529" s="26">
        <f>IF(COUNTIFS($C:$C,$C2529,$D:$D,$D2529,$E:$E,"P0(전)",$M:$M,"&gt;0")&lt;&gt;1,"P0(전) 유효 1개 아님",IF(COUNTIFS($C:$C,$C2529,$D:$D,$D2529,$E:$E,"P0(후)",$M:$M,"&gt;0")&lt;&gt;1,"P0(후) 유효 1개 아님",IF(NOT(AND(ISNUMBER(O2529),ISNUMBER(Q2529),ISNUMBER(I2529))),"시각 결측",IF(Q2529&lt;=O2529,"P0 시각 역전",IF(OR(I2529&lt;O2529,I2529&gt;Q2529),"측정시각 구간 밖","OK")))))</f>
        <v/>
      </c>
      <c r="O2529" s="48">
        <f>IF(COUNTIFS($C:$C,$C2529,$D:$D,$D2529,$E:$E,"P0(전)",$M:$M,"&gt;0")&lt;&gt;1,"",SUMIFS($I:$I,$C:$C,$C2529,$D:$D,$D2529,$E:$E,"P0(전)"))</f>
        <v/>
      </c>
      <c r="P2529" s="31">
        <f>IF(COUNTIFS($C:$C,$C2529,$D:$D,$D2529,$E:$E,"P0(전)",$M:$M,"&gt;0")&lt;&gt;1,"",SUMIFS($M:$M,$C:$C,$C2529,$D:$D,$D2529,$E:$E,"P0(전)"))</f>
        <v/>
      </c>
      <c r="Q2529" s="48">
        <f>IF(COUNTIFS($C:$C,$C2529,$D:$D,$D2529,$E:$E,"P0(후)",$M:$M,"&gt;0")&lt;&gt;1,"",SUMIFS($I:$I,$C:$C,$C2529,$D:$D,$D2529,$E:$E,"P0(후)"))</f>
        <v/>
      </c>
      <c r="R2529" s="31">
        <f>IF(COUNTIFS($C:$C,$C2529,$D:$D,$D2529,$E:$E,"P0(후)",$M:$M,"&gt;0")&lt;&gt;1,"",SUMIFS($M:$M,$C:$C,$C2529,$D:$D,$D2529,$E:$E,"P0(후)"))</f>
        <v/>
      </c>
      <c r="S2529" s="31">
        <f>IF(N2529&lt;&gt;"OK","",P2529+(R2529-P2529)*(I2529-O2529)/(Q2529-O2529))</f>
        <v/>
      </c>
      <c r="T2529" s="31">
        <f>IF(OR(N2529&lt;&gt;"OK",NOT(ISNUMBER(M2529))),"",M2529-S2529)</f>
        <v/>
      </c>
      <c r="U2529" s="49">
        <f>IF(OR(NOT(ISNUMBER(T2529)),IF(ISNUMBER(H2529),H2529,G2529)=0),"",T2529/IF(ISNUMBER(H2529),H2529,G2529))</f>
        <v/>
      </c>
      <c r="V2529" s="49">
        <f>IF(ISNUMBER(U2529),ABS(U2529),"")</f>
        <v/>
      </c>
      <c r="W2529" s="49">
        <f>IF(OR($E2528&lt;&gt;"측정",$C2528&lt;&gt;$C2529,$D2528&lt;&gt;$D2529,NOT(ISNUMBER(M2529)),NOT(ISNUMBER(M2528)),(IF(ISNUMBER(H2529),H2529,G2529)-IF(ISNUMBER(H2528),H2528,G2528))=0),"",(M2529-M2528)/(IF(ISNUMBER(H2529),H2529,G2529)-IF(ISNUMBER(H2528),H2528,G2528)))</f>
        <v/>
      </c>
      <c r="X2529" s="31">
        <f>IF(NOT(AND(ISNUMBER(O2529),ISNUMBER(Q2529))),"",(Q2529-O2529)*1440)</f>
        <v/>
      </c>
      <c r="Y2529" s="29" t="n"/>
      <c r="Z2529" s="29" t="n"/>
      <c r="AA2529" s="29" t="n"/>
      <c r="AB2529" s="32" t="n"/>
      <c r="AC2529" s="32" t="n"/>
    </row>
    <row r="2530">
      <c r="A2530" s="26" t="inlineStr">
        <is>
          <t>S49</t>
        </is>
      </c>
      <c r="B2530" s="26" t="inlineStr">
        <is>
          <t>제천</t>
        </is>
      </c>
      <c r="C2530" s="26" t="inlineStr">
        <is>
          <t>S49-H남</t>
        </is>
      </c>
      <c r="D2530" s="47" t="n">
        <v>1</v>
      </c>
      <c r="E2530" s="26" t="inlineStr">
        <is>
          <t>측정</t>
        </is>
      </c>
      <c r="F2530" s="26" t="inlineStr">
        <is>
          <t>남</t>
        </is>
      </c>
      <c r="G2530" s="31" t="n">
        <v>1</v>
      </c>
      <c r="H2530" s="30" t="n"/>
      <c r="I2530" s="43" t="n"/>
      <c r="J2530" s="41" t="n"/>
      <c r="K2530" s="41" t="n"/>
      <c r="L2530" s="41" t="n"/>
      <c r="M2530" s="31">
        <f>IF(COUNT(J2530:L2530)=0,"",MEDIAN(J2530:L2530))</f>
        <v/>
      </c>
      <c r="N2530" s="26">
        <f>IF(COUNTIFS($C:$C,$C2530,$D:$D,$D2530,$E:$E,"P0(전)",$M:$M,"&gt;0")&lt;&gt;1,"P0(전) 유효 1개 아님",IF(COUNTIFS($C:$C,$C2530,$D:$D,$D2530,$E:$E,"P0(후)",$M:$M,"&gt;0")&lt;&gt;1,"P0(후) 유효 1개 아님",IF(NOT(AND(ISNUMBER(O2530),ISNUMBER(Q2530),ISNUMBER(I2530))),"시각 결측",IF(Q2530&lt;=O2530,"P0 시각 역전",IF(OR(I2530&lt;O2530,I2530&gt;Q2530),"측정시각 구간 밖","OK")))))</f>
        <v/>
      </c>
      <c r="O2530" s="48">
        <f>IF(COUNTIFS($C:$C,$C2530,$D:$D,$D2530,$E:$E,"P0(전)",$M:$M,"&gt;0")&lt;&gt;1,"",SUMIFS($I:$I,$C:$C,$C2530,$D:$D,$D2530,$E:$E,"P0(전)"))</f>
        <v/>
      </c>
      <c r="P2530" s="31">
        <f>IF(COUNTIFS($C:$C,$C2530,$D:$D,$D2530,$E:$E,"P0(전)",$M:$M,"&gt;0")&lt;&gt;1,"",SUMIFS($M:$M,$C:$C,$C2530,$D:$D,$D2530,$E:$E,"P0(전)"))</f>
        <v/>
      </c>
      <c r="Q2530" s="48">
        <f>IF(COUNTIFS($C:$C,$C2530,$D:$D,$D2530,$E:$E,"P0(후)",$M:$M,"&gt;0")&lt;&gt;1,"",SUMIFS($I:$I,$C:$C,$C2530,$D:$D,$D2530,$E:$E,"P0(후)"))</f>
        <v/>
      </c>
      <c r="R2530" s="31">
        <f>IF(COUNTIFS($C:$C,$C2530,$D:$D,$D2530,$E:$E,"P0(후)",$M:$M,"&gt;0")&lt;&gt;1,"",SUMIFS($M:$M,$C:$C,$C2530,$D:$D,$D2530,$E:$E,"P0(후)"))</f>
        <v/>
      </c>
      <c r="S2530" s="31">
        <f>IF(N2530&lt;&gt;"OK","",P2530+(R2530-P2530)*(I2530-O2530)/(Q2530-O2530))</f>
        <v/>
      </c>
      <c r="T2530" s="31">
        <f>IF(OR(N2530&lt;&gt;"OK",NOT(ISNUMBER(M2530))),"",M2530-S2530)</f>
        <v/>
      </c>
      <c r="U2530" s="49">
        <f>IF(OR(NOT(ISNUMBER(T2530)),IF(ISNUMBER(H2530),H2530,G2530)=0),"",T2530/IF(ISNUMBER(H2530),H2530,G2530))</f>
        <v/>
      </c>
      <c r="V2530" s="49">
        <f>IF(ISNUMBER(U2530),ABS(U2530),"")</f>
        <v/>
      </c>
      <c r="W2530" s="49">
        <f>IF(OR($E2529&lt;&gt;"측정",$C2529&lt;&gt;$C2530,$D2529&lt;&gt;$D2530,NOT(ISNUMBER(M2530)),NOT(ISNUMBER(M2529)),(IF(ISNUMBER(H2530),H2530,G2530)-IF(ISNUMBER(H2529),H2529,G2529))=0),"",(M2530-M2529)/(IF(ISNUMBER(H2530),H2530,G2530)-IF(ISNUMBER(H2529),H2529,G2529)))</f>
        <v/>
      </c>
      <c r="X2530" s="31">
        <f>IF(NOT(AND(ISNUMBER(O2530),ISNUMBER(Q2530))),"",(Q2530-O2530)*1440)</f>
        <v/>
      </c>
      <c r="Y2530" s="29" t="n"/>
      <c r="Z2530" s="29" t="n"/>
      <c r="AA2530" s="29" t="n"/>
      <c r="AB2530" s="32" t="n"/>
      <c r="AC2530" s="32" t="n"/>
    </row>
    <row r="2531">
      <c r="A2531" s="26" t="inlineStr">
        <is>
          <t>S49</t>
        </is>
      </c>
      <c r="B2531" s="26" t="inlineStr">
        <is>
          <t>제천</t>
        </is>
      </c>
      <c r="C2531" s="26" t="inlineStr">
        <is>
          <t>S49-H남</t>
        </is>
      </c>
      <c r="D2531" s="47" t="n">
        <v>1</v>
      </c>
      <c r="E2531" s="26" t="inlineStr">
        <is>
          <t>측정</t>
        </is>
      </c>
      <c r="F2531" s="26" t="inlineStr">
        <is>
          <t>남</t>
        </is>
      </c>
      <c r="G2531" s="31" t="n">
        <v>2</v>
      </c>
      <c r="H2531" s="30" t="n"/>
      <c r="I2531" s="43" t="n"/>
      <c r="J2531" s="41" t="n"/>
      <c r="K2531" s="41" t="n"/>
      <c r="L2531" s="41" t="n"/>
      <c r="M2531" s="31">
        <f>IF(COUNT(J2531:L2531)=0,"",MEDIAN(J2531:L2531))</f>
        <v/>
      </c>
      <c r="N2531" s="26">
        <f>IF(COUNTIFS($C:$C,$C2531,$D:$D,$D2531,$E:$E,"P0(전)",$M:$M,"&gt;0")&lt;&gt;1,"P0(전) 유효 1개 아님",IF(COUNTIFS($C:$C,$C2531,$D:$D,$D2531,$E:$E,"P0(후)",$M:$M,"&gt;0")&lt;&gt;1,"P0(후) 유효 1개 아님",IF(NOT(AND(ISNUMBER(O2531),ISNUMBER(Q2531),ISNUMBER(I2531))),"시각 결측",IF(Q2531&lt;=O2531,"P0 시각 역전",IF(OR(I2531&lt;O2531,I2531&gt;Q2531),"측정시각 구간 밖","OK")))))</f>
        <v/>
      </c>
      <c r="O2531" s="48">
        <f>IF(COUNTIFS($C:$C,$C2531,$D:$D,$D2531,$E:$E,"P0(전)",$M:$M,"&gt;0")&lt;&gt;1,"",SUMIFS($I:$I,$C:$C,$C2531,$D:$D,$D2531,$E:$E,"P0(전)"))</f>
        <v/>
      </c>
      <c r="P2531" s="31">
        <f>IF(COUNTIFS($C:$C,$C2531,$D:$D,$D2531,$E:$E,"P0(전)",$M:$M,"&gt;0")&lt;&gt;1,"",SUMIFS($M:$M,$C:$C,$C2531,$D:$D,$D2531,$E:$E,"P0(전)"))</f>
        <v/>
      </c>
      <c r="Q2531" s="48">
        <f>IF(COUNTIFS($C:$C,$C2531,$D:$D,$D2531,$E:$E,"P0(후)",$M:$M,"&gt;0")&lt;&gt;1,"",SUMIFS($I:$I,$C:$C,$C2531,$D:$D,$D2531,$E:$E,"P0(후)"))</f>
        <v/>
      </c>
      <c r="R2531" s="31">
        <f>IF(COUNTIFS($C:$C,$C2531,$D:$D,$D2531,$E:$E,"P0(후)",$M:$M,"&gt;0")&lt;&gt;1,"",SUMIFS($M:$M,$C:$C,$C2531,$D:$D,$D2531,$E:$E,"P0(후)"))</f>
        <v/>
      </c>
      <c r="S2531" s="31">
        <f>IF(N2531&lt;&gt;"OK","",P2531+(R2531-P2531)*(I2531-O2531)/(Q2531-O2531))</f>
        <v/>
      </c>
      <c r="T2531" s="31">
        <f>IF(OR(N2531&lt;&gt;"OK",NOT(ISNUMBER(M2531))),"",M2531-S2531)</f>
        <v/>
      </c>
      <c r="U2531" s="49">
        <f>IF(OR(NOT(ISNUMBER(T2531)),IF(ISNUMBER(H2531),H2531,G2531)=0),"",T2531/IF(ISNUMBER(H2531),H2531,G2531))</f>
        <v/>
      </c>
      <c r="V2531" s="49">
        <f>IF(ISNUMBER(U2531),ABS(U2531),"")</f>
        <v/>
      </c>
      <c r="W2531" s="49">
        <f>IF(OR($E2530&lt;&gt;"측정",$C2530&lt;&gt;$C2531,$D2530&lt;&gt;$D2531,NOT(ISNUMBER(M2531)),NOT(ISNUMBER(M2530)),(IF(ISNUMBER(H2531),H2531,G2531)-IF(ISNUMBER(H2530),H2530,G2530))=0),"",(M2531-M2530)/(IF(ISNUMBER(H2531),H2531,G2531)-IF(ISNUMBER(H2530),H2530,G2530)))</f>
        <v/>
      </c>
      <c r="X2531" s="31">
        <f>IF(NOT(AND(ISNUMBER(O2531),ISNUMBER(Q2531))),"",(Q2531-O2531)*1440)</f>
        <v/>
      </c>
      <c r="Y2531" s="29" t="n"/>
      <c r="Z2531" s="29" t="n"/>
      <c r="AA2531" s="29" t="n"/>
      <c r="AB2531" s="32" t="n"/>
      <c r="AC2531" s="32" t="n"/>
    </row>
    <row r="2532">
      <c r="A2532" s="26" t="inlineStr">
        <is>
          <t>S49</t>
        </is>
      </c>
      <c r="B2532" s="26" t="inlineStr">
        <is>
          <t>제천</t>
        </is>
      </c>
      <c r="C2532" s="26" t="inlineStr">
        <is>
          <t>S49-H남</t>
        </is>
      </c>
      <c r="D2532" s="47" t="n">
        <v>1</v>
      </c>
      <c r="E2532" s="26" t="inlineStr">
        <is>
          <t>측정</t>
        </is>
      </c>
      <c r="F2532" s="26" t="inlineStr">
        <is>
          <t>남</t>
        </is>
      </c>
      <c r="G2532" s="31" t="n">
        <v>3</v>
      </c>
      <c r="H2532" s="30" t="n"/>
      <c r="I2532" s="43" t="n"/>
      <c r="J2532" s="41" t="n"/>
      <c r="K2532" s="41" t="n"/>
      <c r="L2532" s="41" t="n"/>
      <c r="M2532" s="31">
        <f>IF(COUNT(J2532:L2532)=0,"",MEDIAN(J2532:L2532))</f>
        <v/>
      </c>
      <c r="N2532" s="26">
        <f>IF(COUNTIFS($C:$C,$C2532,$D:$D,$D2532,$E:$E,"P0(전)",$M:$M,"&gt;0")&lt;&gt;1,"P0(전) 유효 1개 아님",IF(COUNTIFS($C:$C,$C2532,$D:$D,$D2532,$E:$E,"P0(후)",$M:$M,"&gt;0")&lt;&gt;1,"P0(후) 유효 1개 아님",IF(NOT(AND(ISNUMBER(O2532),ISNUMBER(Q2532),ISNUMBER(I2532))),"시각 결측",IF(Q2532&lt;=O2532,"P0 시각 역전",IF(OR(I2532&lt;O2532,I2532&gt;Q2532),"측정시각 구간 밖","OK")))))</f>
        <v/>
      </c>
      <c r="O2532" s="48">
        <f>IF(COUNTIFS($C:$C,$C2532,$D:$D,$D2532,$E:$E,"P0(전)",$M:$M,"&gt;0")&lt;&gt;1,"",SUMIFS($I:$I,$C:$C,$C2532,$D:$D,$D2532,$E:$E,"P0(전)"))</f>
        <v/>
      </c>
      <c r="P2532" s="31">
        <f>IF(COUNTIFS($C:$C,$C2532,$D:$D,$D2532,$E:$E,"P0(전)",$M:$M,"&gt;0")&lt;&gt;1,"",SUMIFS($M:$M,$C:$C,$C2532,$D:$D,$D2532,$E:$E,"P0(전)"))</f>
        <v/>
      </c>
      <c r="Q2532" s="48">
        <f>IF(COUNTIFS($C:$C,$C2532,$D:$D,$D2532,$E:$E,"P0(후)",$M:$M,"&gt;0")&lt;&gt;1,"",SUMIFS($I:$I,$C:$C,$C2532,$D:$D,$D2532,$E:$E,"P0(후)"))</f>
        <v/>
      </c>
      <c r="R2532" s="31">
        <f>IF(COUNTIFS($C:$C,$C2532,$D:$D,$D2532,$E:$E,"P0(후)",$M:$M,"&gt;0")&lt;&gt;1,"",SUMIFS($M:$M,$C:$C,$C2532,$D:$D,$D2532,$E:$E,"P0(후)"))</f>
        <v/>
      </c>
      <c r="S2532" s="31">
        <f>IF(N2532&lt;&gt;"OK","",P2532+(R2532-P2532)*(I2532-O2532)/(Q2532-O2532))</f>
        <v/>
      </c>
      <c r="T2532" s="31">
        <f>IF(OR(N2532&lt;&gt;"OK",NOT(ISNUMBER(M2532))),"",M2532-S2532)</f>
        <v/>
      </c>
      <c r="U2532" s="49">
        <f>IF(OR(NOT(ISNUMBER(T2532)),IF(ISNUMBER(H2532),H2532,G2532)=0),"",T2532/IF(ISNUMBER(H2532),H2532,G2532))</f>
        <v/>
      </c>
      <c r="V2532" s="49">
        <f>IF(ISNUMBER(U2532),ABS(U2532),"")</f>
        <v/>
      </c>
      <c r="W2532" s="49">
        <f>IF(OR($E2531&lt;&gt;"측정",$C2531&lt;&gt;$C2532,$D2531&lt;&gt;$D2532,NOT(ISNUMBER(M2532)),NOT(ISNUMBER(M2531)),(IF(ISNUMBER(H2532),H2532,G2532)-IF(ISNUMBER(H2531),H2531,G2531))=0),"",(M2532-M2531)/(IF(ISNUMBER(H2532),H2532,G2532)-IF(ISNUMBER(H2531),H2531,G2531)))</f>
        <v/>
      </c>
      <c r="X2532" s="31">
        <f>IF(NOT(AND(ISNUMBER(O2532),ISNUMBER(Q2532))),"",(Q2532-O2532)*1440)</f>
        <v/>
      </c>
      <c r="Y2532" s="29" t="n"/>
      <c r="Z2532" s="29" t="n"/>
      <c r="AA2532" s="29" t="n"/>
      <c r="AB2532" s="32" t="n"/>
      <c r="AC2532" s="32" t="n"/>
    </row>
    <row r="2533">
      <c r="A2533" s="26" t="inlineStr">
        <is>
          <t>S49</t>
        </is>
      </c>
      <c r="B2533" s="26" t="inlineStr">
        <is>
          <t>제천</t>
        </is>
      </c>
      <c r="C2533" s="26" t="inlineStr">
        <is>
          <t>S49-H남</t>
        </is>
      </c>
      <c r="D2533" s="47" t="n">
        <v>1</v>
      </c>
      <c r="E2533" s="26" t="inlineStr">
        <is>
          <t>측정</t>
        </is>
      </c>
      <c r="F2533" s="26" t="inlineStr">
        <is>
          <t>남</t>
        </is>
      </c>
      <c r="G2533" s="31" t="n">
        <v>4</v>
      </c>
      <c r="H2533" s="30" t="n"/>
      <c r="I2533" s="43" t="n"/>
      <c r="J2533" s="41" t="n"/>
      <c r="K2533" s="41" t="n"/>
      <c r="L2533" s="41" t="n"/>
      <c r="M2533" s="31">
        <f>IF(COUNT(J2533:L2533)=0,"",MEDIAN(J2533:L2533))</f>
        <v/>
      </c>
      <c r="N2533" s="26">
        <f>IF(COUNTIFS($C:$C,$C2533,$D:$D,$D2533,$E:$E,"P0(전)",$M:$M,"&gt;0")&lt;&gt;1,"P0(전) 유효 1개 아님",IF(COUNTIFS($C:$C,$C2533,$D:$D,$D2533,$E:$E,"P0(후)",$M:$M,"&gt;0")&lt;&gt;1,"P0(후) 유효 1개 아님",IF(NOT(AND(ISNUMBER(O2533),ISNUMBER(Q2533),ISNUMBER(I2533))),"시각 결측",IF(Q2533&lt;=O2533,"P0 시각 역전",IF(OR(I2533&lt;O2533,I2533&gt;Q2533),"측정시각 구간 밖","OK")))))</f>
        <v/>
      </c>
      <c r="O2533" s="48">
        <f>IF(COUNTIFS($C:$C,$C2533,$D:$D,$D2533,$E:$E,"P0(전)",$M:$M,"&gt;0")&lt;&gt;1,"",SUMIFS($I:$I,$C:$C,$C2533,$D:$D,$D2533,$E:$E,"P0(전)"))</f>
        <v/>
      </c>
      <c r="P2533" s="31">
        <f>IF(COUNTIFS($C:$C,$C2533,$D:$D,$D2533,$E:$E,"P0(전)",$M:$M,"&gt;0")&lt;&gt;1,"",SUMIFS($M:$M,$C:$C,$C2533,$D:$D,$D2533,$E:$E,"P0(전)"))</f>
        <v/>
      </c>
      <c r="Q2533" s="48">
        <f>IF(COUNTIFS($C:$C,$C2533,$D:$D,$D2533,$E:$E,"P0(후)",$M:$M,"&gt;0")&lt;&gt;1,"",SUMIFS($I:$I,$C:$C,$C2533,$D:$D,$D2533,$E:$E,"P0(후)"))</f>
        <v/>
      </c>
      <c r="R2533" s="31">
        <f>IF(COUNTIFS($C:$C,$C2533,$D:$D,$D2533,$E:$E,"P0(후)",$M:$M,"&gt;0")&lt;&gt;1,"",SUMIFS($M:$M,$C:$C,$C2533,$D:$D,$D2533,$E:$E,"P0(후)"))</f>
        <v/>
      </c>
      <c r="S2533" s="31">
        <f>IF(N2533&lt;&gt;"OK","",P2533+(R2533-P2533)*(I2533-O2533)/(Q2533-O2533))</f>
        <v/>
      </c>
      <c r="T2533" s="31">
        <f>IF(OR(N2533&lt;&gt;"OK",NOT(ISNUMBER(M2533))),"",M2533-S2533)</f>
        <v/>
      </c>
      <c r="U2533" s="49">
        <f>IF(OR(NOT(ISNUMBER(T2533)),IF(ISNUMBER(H2533),H2533,G2533)=0),"",T2533/IF(ISNUMBER(H2533),H2533,G2533))</f>
        <v/>
      </c>
      <c r="V2533" s="49">
        <f>IF(ISNUMBER(U2533),ABS(U2533),"")</f>
        <v/>
      </c>
      <c r="W2533" s="49">
        <f>IF(OR($E2532&lt;&gt;"측정",$C2532&lt;&gt;$C2533,$D2532&lt;&gt;$D2533,NOT(ISNUMBER(M2533)),NOT(ISNUMBER(M2532)),(IF(ISNUMBER(H2533),H2533,G2533)-IF(ISNUMBER(H2532),H2532,G2532))=0),"",(M2533-M2532)/(IF(ISNUMBER(H2533),H2533,G2533)-IF(ISNUMBER(H2532),H2532,G2532)))</f>
        <v/>
      </c>
      <c r="X2533" s="31">
        <f>IF(NOT(AND(ISNUMBER(O2533),ISNUMBER(Q2533))),"",(Q2533-O2533)*1440)</f>
        <v/>
      </c>
      <c r="Y2533" s="29" t="n"/>
      <c r="Z2533" s="29" t="n"/>
      <c r="AA2533" s="29" t="n"/>
      <c r="AB2533" s="32" t="n"/>
      <c r="AC2533" s="32" t="n"/>
    </row>
    <row r="2534">
      <c r="A2534" s="26" t="inlineStr">
        <is>
          <t>S49</t>
        </is>
      </c>
      <c r="B2534" s="26" t="inlineStr">
        <is>
          <t>제천</t>
        </is>
      </c>
      <c r="C2534" s="26" t="inlineStr">
        <is>
          <t>S49-H남</t>
        </is>
      </c>
      <c r="D2534" s="47" t="n">
        <v>1</v>
      </c>
      <c r="E2534" s="26" t="inlineStr">
        <is>
          <t>측정</t>
        </is>
      </c>
      <c r="F2534" s="26" t="inlineStr">
        <is>
          <t>남</t>
        </is>
      </c>
      <c r="G2534" s="31" t="n">
        <v>5</v>
      </c>
      <c r="H2534" s="30" t="n"/>
      <c r="I2534" s="43" t="n"/>
      <c r="J2534" s="41" t="n"/>
      <c r="K2534" s="41" t="n"/>
      <c r="L2534" s="41" t="n"/>
      <c r="M2534" s="31">
        <f>IF(COUNT(J2534:L2534)=0,"",MEDIAN(J2534:L2534))</f>
        <v/>
      </c>
      <c r="N2534" s="26">
        <f>IF(COUNTIFS($C:$C,$C2534,$D:$D,$D2534,$E:$E,"P0(전)",$M:$M,"&gt;0")&lt;&gt;1,"P0(전) 유효 1개 아님",IF(COUNTIFS($C:$C,$C2534,$D:$D,$D2534,$E:$E,"P0(후)",$M:$M,"&gt;0")&lt;&gt;1,"P0(후) 유효 1개 아님",IF(NOT(AND(ISNUMBER(O2534),ISNUMBER(Q2534),ISNUMBER(I2534))),"시각 결측",IF(Q2534&lt;=O2534,"P0 시각 역전",IF(OR(I2534&lt;O2534,I2534&gt;Q2534),"측정시각 구간 밖","OK")))))</f>
        <v/>
      </c>
      <c r="O2534" s="48">
        <f>IF(COUNTIFS($C:$C,$C2534,$D:$D,$D2534,$E:$E,"P0(전)",$M:$M,"&gt;0")&lt;&gt;1,"",SUMIFS($I:$I,$C:$C,$C2534,$D:$D,$D2534,$E:$E,"P0(전)"))</f>
        <v/>
      </c>
      <c r="P2534" s="31">
        <f>IF(COUNTIFS($C:$C,$C2534,$D:$D,$D2534,$E:$E,"P0(전)",$M:$M,"&gt;0")&lt;&gt;1,"",SUMIFS($M:$M,$C:$C,$C2534,$D:$D,$D2534,$E:$E,"P0(전)"))</f>
        <v/>
      </c>
      <c r="Q2534" s="48">
        <f>IF(COUNTIFS($C:$C,$C2534,$D:$D,$D2534,$E:$E,"P0(후)",$M:$M,"&gt;0")&lt;&gt;1,"",SUMIFS($I:$I,$C:$C,$C2534,$D:$D,$D2534,$E:$E,"P0(후)"))</f>
        <v/>
      </c>
      <c r="R2534" s="31">
        <f>IF(COUNTIFS($C:$C,$C2534,$D:$D,$D2534,$E:$E,"P0(후)",$M:$M,"&gt;0")&lt;&gt;1,"",SUMIFS($M:$M,$C:$C,$C2534,$D:$D,$D2534,$E:$E,"P0(후)"))</f>
        <v/>
      </c>
      <c r="S2534" s="31">
        <f>IF(N2534&lt;&gt;"OK","",P2534+(R2534-P2534)*(I2534-O2534)/(Q2534-O2534))</f>
        <v/>
      </c>
      <c r="T2534" s="31">
        <f>IF(OR(N2534&lt;&gt;"OK",NOT(ISNUMBER(M2534))),"",M2534-S2534)</f>
        <v/>
      </c>
      <c r="U2534" s="49">
        <f>IF(OR(NOT(ISNUMBER(T2534)),IF(ISNUMBER(H2534),H2534,G2534)=0),"",T2534/IF(ISNUMBER(H2534),H2534,G2534))</f>
        <v/>
      </c>
      <c r="V2534" s="49">
        <f>IF(ISNUMBER(U2534),ABS(U2534),"")</f>
        <v/>
      </c>
      <c r="W2534" s="49">
        <f>IF(OR($E2533&lt;&gt;"측정",$C2533&lt;&gt;$C2534,$D2533&lt;&gt;$D2534,NOT(ISNUMBER(M2534)),NOT(ISNUMBER(M2533)),(IF(ISNUMBER(H2534),H2534,G2534)-IF(ISNUMBER(H2533),H2533,G2533))=0),"",(M2534-M2533)/(IF(ISNUMBER(H2534),H2534,G2534)-IF(ISNUMBER(H2533),H2533,G2533)))</f>
        <v/>
      </c>
      <c r="X2534" s="31">
        <f>IF(NOT(AND(ISNUMBER(O2534),ISNUMBER(Q2534))),"",(Q2534-O2534)*1440)</f>
        <v/>
      </c>
      <c r="Y2534" s="29" t="n"/>
      <c r="Z2534" s="29" t="n"/>
      <c r="AA2534" s="29" t="n"/>
      <c r="AB2534" s="32" t="n"/>
      <c r="AC2534" s="32" t="n"/>
    </row>
    <row r="2535">
      <c r="A2535" s="26" t="inlineStr">
        <is>
          <t>S49</t>
        </is>
      </c>
      <c r="B2535" s="26" t="inlineStr">
        <is>
          <t>제천</t>
        </is>
      </c>
      <c r="C2535" s="26" t="inlineStr">
        <is>
          <t>S49-H남</t>
        </is>
      </c>
      <c r="D2535" s="47" t="n">
        <v>1</v>
      </c>
      <c r="E2535" s="26" t="inlineStr">
        <is>
          <t>측정</t>
        </is>
      </c>
      <c r="F2535" s="26" t="inlineStr">
        <is>
          <t>남</t>
        </is>
      </c>
      <c r="G2535" s="31" t="n">
        <v>6</v>
      </c>
      <c r="H2535" s="30" t="n"/>
      <c r="I2535" s="43" t="n"/>
      <c r="J2535" s="41" t="n"/>
      <c r="K2535" s="41" t="n"/>
      <c r="L2535" s="41" t="n"/>
      <c r="M2535" s="31">
        <f>IF(COUNT(J2535:L2535)=0,"",MEDIAN(J2535:L2535))</f>
        <v/>
      </c>
      <c r="N2535" s="26">
        <f>IF(COUNTIFS($C:$C,$C2535,$D:$D,$D2535,$E:$E,"P0(전)",$M:$M,"&gt;0")&lt;&gt;1,"P0(전) 유효 1개 아님",IF(COUNTIFS($C:$C,$C2535,$D:$D,$D2535,$E:$E,"P0(후)",$M:$M,"&gt;0")&lt;&gt;1,"P0(후) 유효 1개 아님",IF(NOT(AND(ISNUMBER(O2535),ISNUMBER(Q2535),ISNUMBER(I2535))),"시각 결측",IF(Q2535&lt;=O2535,"P0 시각 역전",IF(OR(I2535&lt;O2535,I2535&gt;Q2535),"측정시각 구간 밖","OK")))))</f>
        <v/>
      </c>
      <c r="O2535" s="48">
        <f>IF(COUNTIFS($C:$C,$C2535,$D:$D,$D2535,$E:$E,"P0(전)",$M:$M,"&gt;0")&lt;&gt;1,"",SUMIFS($I:$I,$C:$C,$C2535,$D:$D,$D2535,$E:$E,"P0(전)"))</f>
        <v/>
      </c>
      <c r="P2535" s="31">
        <f>IF(COUNTIFS($C:$C,$C2535,$D:$D,$D2535,$E:$E,"P0(전)",$M:$M,"&gt;0")&lt;&gt;1,"",SUMIFS($M:$M,$C:$C,$C2535,$D:$D,$D2535,$E:$E,"P0(전)"))</f>
        <v/>
      </c>
      <c r="Q2535" s="48">
        <f>IF(COUNTIFS($C:$C,$C2535,$D:$D,$D2535,$E:$E,"P0(후)",$M:$M,"&gt;0")&lt;&gt;1,"",SUMIFS($I:$I,$C:$C,$C2535,$D:$D,$D2535,$E:$E,"P0(후)"))</f>
        <v/>
      </c>
      <c r="R2535" s="31">
        <f>IF(COUNTIFS($C:$C,$C2535,$D:$D,$D2535,$E:$E,"P0(후)",$M:$M,"&gt;0")&lt;&gt;1,"",SUMIFS($M:$M,$C:$C,$C2535,$D:$D,$D2535,$E:$E,"P0(후)"))</f>
        <v/>
      </c>
      <c r="S2535" s="31">
        <f>IF(N2535&lt;&gt;"OK","",P2535+(R2535-P2535)*(I2535-O2535)/(Q2535-O2535))</f>
        <v/>
      </c>
      <c r="T2535" s="31">
        <f>IF(OR(N2535&lt;&gt;"OK",NOT(ISNUMBER(M2535))),"",M2535-S2535)</f>
        <v/>
      </c>
      <c r="U2535" s="49">
        <f>IF(OR(NOT(ISNUMBER(T2535)),IF(ISNUMBER(H2535),H2535,G2535)=0),"",T2535/IF(ISNUMBER(H2535),H2535,G2535))</f>
        <v/>
      </c>
      <c r="V2535" s="49">
        <f>IF(ISNUMBER(U2535),ABS(U2535),"")</f>
        <v/>
      </c>
      <c r="W2535" s="49">
        <f>IF(OR($E2534&lt;&gt;"측정",$C2534&lt;&gt;$C2535,$D2534&lt;&gt;$D2535,NOT(ISNUMBER(M2535)),NOT(ISNUMBER(M2534)),(IF(ISNUMBER(H2535),H2535,G2535)-IF(ISNUMBER(H2534),H2534,G2534))=0),"",(M2535-M2534)/(IF(ISNUMBER(H2535),H2535,G2535)-IF(ISNUMBER(H2534),H2534,G2534)))</f>
        <v/>
      </c>
      <c r="X2535" s="31">
        <f>IF(NOT(AND(ISNUMBER(O2535),ISNUMBER(Q2535))),"",(Q2535-O2535)*1440)</f>
        <v/>
      </c>
      <c r="Y2535" s="29" t="n"/>
      <c r="Z2535" s="29" t="n"/>
      <c r="AA2535" s="29" t="n"/>
      <c r="AB2535" s="32" t="n"/>
      <c r="AC2535" s="32" t="n"/>
    </row>
    <row r="2536">
      <c r="A2536" s="26" t="inlineStr">
        <is>
          <t>S49</t>
        </is>
      </c>
      <c r="B2536" s="26" t="inlineStr">
        <is>
          <t>제천</t>
        </is>
      </c>
      <c r="C2536" s="26" t="inlineStr">
        <is>
          <t>S49-H남</t>
        </is>
      </c>
      <c r="D2536" s="47" t="n">
        <v>1</v>
      </c>
      <c r="E2536" s="26" t="inlineStr">
        <is>
          <t>측정</t>
        </is>
      </c>
      <c r="F2536" s="26" t="inlineStr">
        <is>
          <t>남</t>
        </is>
      </c>
      <c r="G2536" s="31" t="n">
        <v>7</v>
      </c>
      <c r="H2536" s="30" t="n"/>
      <c r="I2536" s="43" t="n"/>
      <c r="J2536" s="41" t="n"/>
      <c r="K2536" s="41" t="n"/>
      <c r="L2536" s="41" t="n"/>
      <c r="M2536" s="31">
        <f>IF(COUNT(J2536:L2536)=0,"",MEDIAN(J2536:L2536))</f>
        <v/>
      </c>
      <c r="N2536" s="26">
        <f>IF(COUNTIFS($C:$C,$C2536,$D:$D,$D2536,$E:$E,"P0(전)",$M:$M,"&gt;0")&lt;&gt;1,"P0(전) 유효 1개 아님",IF(COUNTIFS($C:$C,$C2536,$D:$D,$D2536,$E:$E,"P0(후)",$M:$M,"&gt;0")&lt;&gt;1,"P0(후) 유효 1개 아님",IF(NOT(AND(ISNUMBER(O2536),ISNUMBER(Q2536),ISNUMBER(I2536))),"시각 결측",IF(Q2536&lt;=O2536,"P0 시각 역전",IF(OR(I2536&lt;O2536,I2536&gt;Q2536),"측정시각 구간 밖","OK")))))</f>
        <v/>
      </c>
      <c r="O2536" s="48">
        <f>IF(COUNTIFS($C:$C,$C2536,$D:$D,$D2536,$E:$E,"P0(전)",$M:$M,"&gt;0")&lt;&gt;1,"",SUMIFS($I:$I,$C:$C,$C2536,$D:$D,$D2536,$E:$E,"P0(전)"))</f>
        <v/>
      </c>
      <c r="P2536" s="31">
        <f>IF(COUNTIFS($C:$C,$C2536,$D:$D,$D2536,$E:$E,"P0(전)",$M:$M,"&gt;0")&lt;&gt;1,"",SUMIFS($M:$M,$C:$C,$C2536,$D:$D,$D2536,$E:$E,"P0(전)"))</f>
        <v/>
      </c>
      <c r="Q2536" s="48">
        <f>IF(COUNTIFS($C:$C,$C2536,$D:$D,$D2536,$E:$E,"P0(후)",$M:$M,"&gt;0")&lt;&gt;1,"",SUMIFS($I:$I,$C:$C,$C2536,$D:$D,$D2536,$E:$E,"P0(후)"))</f>
        <v/>
      </c>
      <c r="R2536" s="31">
        <f>IF(COUNTIFS($C:$C,$C2536,$D:$D,$D2536,$E:$E,"P0(후)",$M:$M,"&gt;0")&lt;&gt;1,"",SUMIFS($M:$M,$C:$C,$C2536,$D:$D,$D2536,$E:$E,"P0(후)"))</f>
        <v/>
      </c>
      <c r="S2536" s="31">
        <f>IF(N2536&lt;&gt;"OK","",P2536+(R2536-P2536)*(I2536-O2536)/(Q2536-O2536))</f>
        <v/>
      </c>
      <c r="T2536" s="31">
        <f>IF(OR(N2536&lt;&gt;"OK",NOT(ISNUMBER(M2536))),"",M2536-S2536)</f>
        <v/>
      </c>
      <c r="U2536" s="49">
        <f>IF(OR(NOT(ISNUMBER(T2536)),IF(ISNUMBER(H2536),H2536,G2536)=0),"",T2536/IF(ISNUMBER(H2536),H2536,G2536))</f>
        <v/>
      </c>
      <c r="V2536" s="49">
        <f>IF(ISNUMBER(U2536),ABS(U2536),"")</f>
        <v/>
      </c>
      <c r="W2536" s="49">
        <f>IF(OR($E2535&lt;&gt;"측정",$C2535&lt;&gt;$C2536,$D2535&lt;&gt;$D2536,NOT(ISNUMBER(M2536)),NOT(ISNUMBER(M2535)),(IF(ISNUMBER(H2536),H2536,G2536)-IF(ISNUMBER(H2535),H2535,G2535))=0),"",(M2536-M2535)/(IF(ISNUMBER(H2536),H2536,G2536)-IF(ISNUMBER(H2535),H2535,G2535)))</f>
        <v/>
      </c>
      <c r="X2536" s="31">
        <f>IF(NOT(AND(ISNUMBER(O2536),ISNUMBER(Q2536))),"",(Q2536-O2536)*1440)</f>
        <v/>
      </c>
      <c r="Y2536" s="29" t="n"/>
      <c r="Z2536" s="29" t="n"/>
      <c r="AA2536" s="29" t="n"/>
      <c r="AB2536" s="32" t="n"/>
      <c r="AC2536" s="32" t="n"/>
    </row>
    <row r="2537">
      <c r="A2537" s="26" t="inlineStr">
        <is>
          <t>S49</t>
        </is>
      </c>
      <c r="B2537" s="26" t="inlineStr">
        <is>
          <t>제천</t>
        </is>
      </c>
      <c r="C2537" s="26" t="inlineStr">
        <is>
          <t>S49-H남</t>
        </is>
      </c>
      <c r="D2537" s="47" t="n">
        <v>1</v>
      </c>
      <c r="E2537" s="26" t="inlineStr">
        <is>
          <t>측정</t>
        </is>
      </c>
      <c r="F2537" s="26" t="inlineStr">
        <is>
          <t>남</t>
        </is>
      </c>
      <c r="G2537" s="31" t="n">
        <v>8</v>
      </c>
      <c r="H2537" s="30" t="n"/>
      <c r="I2537" s="43" t="n"/>
      <c r="J2537" s="41" t="n"/>
      <c r="K2537" s="41" t="n"/>
      <c r="L2537" s="41" t="n"/>
      <c r="M2537" s="31">
        <f>IF(COUNT(J2537:L2537)=0,"",MEDIAN(J2537:L2537))</f>
        <v/>
      </c>
      <c r="N2537" s="26">
        <f>IF(COUNTIFS($C:$C,$C2537,$D:$D,$D2537,$E:$E,"P0(전)",$M:$M,"&gt;0")&lt;&gt;1,"P0(전) 유효 1개 아님",IF(COUNTIFS($C:$C,$C2537,$D:$D,$D2537,$E:$E,"P0(후)",$M:$M,"&gt;0")&lt;&gt;1,"P0(후) 유효 1개 아님",IF(NOT(AND(ISNUMBER(O2537),ISNUMBER(Q2537),ISNUMBER(I2537))),"시각 결측",IF(Q2537&lt;=O2537,"P0 시각 역전",IF(OR(I2537&lt;O2537,I2537&gt;Q2537),"측정시각 구간 밖","OK")))))</f>
        <v/>
      </c>
      <c r="O2537" s="48">
        <f>IF(COUNTIFS($C:$C,$C2537,$D:$D,$D2537,$E:$E,"P0(전)",$M:$M,"&gt;0")&lt;&gt;1,"",SUMIFS($I:$I,$C:$C,$C2537,$D:$D,$D2537,$E:$E,"P0(전)"))</f>
        <v/>
      </c>
      <c r="P2537" s="31">
        <f>IF(COUNTIFS($C:$C,$C2537,$D:$D,$D2537,$E:$E,"P0(전)",$M:$M,"&gt;0")&lt;&gt;1,"",SUMIFS($M:$M,$C:$C,$C2537,$D:$D,$D2537,$E:$E,"P0(전)"))</f>
        <v/>
      </c>
      <c r="Q2537" s="48">
        <f>IF(COUNTIFS($C:$C,$C2537,$D:$D,$D2537,$E:$E,"P0(후)",$M:$M,"&gt;0")&lt;&gt;1,"",SUMIFS($I:$I,$C:$C,$C2537,$D:$D,$D2537,$E:$E,"P0(후)"))</f>
        <v/>
      </c>
      <c r="R2537" s="31">
        <f>IF(COUNTIFS($C:$C,$C2537,$D:$D,$D2537,$E:$E,"P0(후)",$M:$M,"&gt;0")&lt;&gt;1,"",SUMIFS($M:$M,$C:$C,$C2537,$D:$D,$D2537,$E:$E,"P0(후)"))</f>
        <v/>
      </c>
      <c r="S2537" s="31">
        <f>IF(N2537&lt;&gt;"OK","",P2537+(R2537-P2537)*(I2537-O2537)/(Q2537-O2537))</f>
        <v/>
      </c>
      <c r="T2537" s="31">
        <f>IF(OR(N2537&lt;&gt;"OK",NOT(ISNUMBER(M2537))),"",M2537-S2537)</f>
        <v/>
      </c>
      <c r="U2537" s="49">
        <f>IF(OR(NOT(ISNUMBER(T2537)),IF(ISNUMBER(H2537),H2537,G2537)=0),"",T2537/IF(ISNUMBER(H2537),H2537,G2537))</f>
        <v/>
      </c>
      <c r="V2537" s="49">
        <f>IF(ISNUMBER(U2537),ABS(U2537),"")</f>
        <v/>
      </c>
      <c r="W2537" s="49">
        <f>IF(OR($E2536&lt;&gt;"측정",$C2536&lt;&gt;$C2537,$D2536&lt;&gt;$D2537,NOT(ISNUMBER(M2537)),NOT(ISNUMBER(M2536)),(IF(ISNUMBER(H2537),H2537,G2537)-IF(ISNUMBER(H2536),H2536,G2536))=0),"",(M2537-M2536)/(IF(ISNUMBER(H2537),H2537,G2537)-IF(ISNUMBER(H2536),H2536,G2536)))</f>
        <v/>
      </c>
      <c r="X2537" s="31">
        <f>IF(NOT(AND(ISNUMBER(O2537),ISNUMBER(Q2537))),"",(Q2537-O2537)*1440)</f>
        <v/>
      </c>
      <c r="Y2537" s="29" t="n"/>
      <c r="Z2537" s="29" t="n"/>
      <c r="AA2537" s="29" t="n"/>
      <c r="AB2537" s="32" t="n"/>
      <c r="AC2537" s="32" t="n"/>
    </row>
    <row r="2538">
      <c r="A2538" s="26" t="inlineStr">
        <is>
          <t>S49</t>
        </is>
      </c>
      <c r="B2538" s="26" t="inlineStr">
        <is>
          <t>제천</t>
        </is>
      </c>
      <c r="C2538" s="26" t="inlineStr">
        <is>
          <t>S49-H남</t>
        </is>
      </c>
      <c r="D2538" s="47" t="n">
        <v>1</v>
      </c>
      <c r="E2538" s="26" t="inlineStr">
        <is>
          <t>측정</t>
        </is>
      </c>
      <c r="F2538" s="26" t="inlineStr">
        <is>
          <t>남</t>
        </is>
      </c>
      <c r="G2538" s="31" t="n">
        <v>9</v>
      </c>
      <c r="H2538" s="30" t="n"/>
      <c r="I2538" s="43" t="n"/>
      <c r="J2538" s="41" t="n"/>
      <c r="K2538" s="41" t="n"/>
      <c r="L2538" s="41" t="n"/>
      <c r="M2538" s="31">
        <f>IF(COUNT(J2538:L2538)=0,"",MEDIAN(J2538:L2538))</f>
        <v/>
      </c>
      <c r="N2538" s="26">
        <f>IF(COUNTIFS($C:$C,$C2538,$D:$D,$D2538,$E:$E,"P0(전)",$M:$M,"&gt;0")&lt;&gt;1,"P0(전) 유효 1개 아님",IF(COUNTIFS($C:$C,$C2538,$D:$D,$D2538,$E:$E,"P0(후)",$M:$M,"&gt;0")&lt;&gt;1,"P0(후) 유효 1개 아님",IF(NOT(AND(ISNUMBER(O2538),ISNUMBER(Q2538),ISNUMBER(I2538))),"시각 결측",IF(Q2538&lt;=O2538,"P0 시각 역전",IF(OR(I2538&lt;O2538,I2538&gt;Q2538),"측정시각 구간 밖","OK")))))</f>
        <v/>
      </c>
      <c r="O2538" s="48">
        <f>IF(COUNTIFS($C:$C,$C2538,$D:$D,$D2538,$E:$E,"P0(전)",$M:$M,"&gt;0")&lt;&gt;1,"",SUMIFS($I:$I,$C:$C,$C2538,$D:$D,$D2538,$E:$E,"P0(전)"))</f>
        <v/>
      </c>
      <c r="P2538" s="31">
        <f>IF(COUNTIFS($C:$C,$C2538,$D:$D,$D2538,$E:$E,"P0(전)",$M:$M,"&gt;0")&lt;&gt;1,"",SUMIFS($M:$M,$C:$C,$C2538,$D:$D,$D2538,$E:$E,"P0(전)"))</f>
        <v/>
      </c>
      <c r="Q2538" s="48">
        <f>IF(COUNTIFS($C:$C,$C2538,$D:$D,$D2538,$E:$E,"P0(후)",$M:$M,"&gt;0")&lt;&gt;1,"",SUMIFS($I:$I,$C:$C,$C2538,$D:$D,$D2538,$E:$E,"P0(후)"))</f>
        <v/>
      </c>
      <c r="R2538" s="31">
        <f>IF(COUNTIFS($C:$C,$C2538,$D:$D,$D2538,$E:$E,"P0(후)",$M:$M,"&gt;0")&lt;&gt;1,"",SUMIFS($M:$M,$C:$C,$C2538,$D:$D,$D2538,$E:$E,"P0(후)"))</f>
        <v/>
      </c>
      <c r="S2538" s="31">
        <f>IF(N2538&lt;&gt;"OK","",P2538+(R2538-P2538)*(I2538-O2538)/(Q2538-O2538))</f>
        <v/>
      </c>
      <c r="T2538" s="31">
        <f>IF(OR(N2538&lt;&gt;"OK",NOT(ISNUMBER(M2538))),"",M2538-S2538)</f>
        <v/>
      </c>
      <c r="U2538" s="49">
        <f>IF(OR(NOT(ISNUMBER(T2538)),IF(ISNUMBER(H2538),H2538,G2538)=0),"",T2538/IF(ISNUMBER(H2538),H2538,G2538))</f>
        <v/>
      </c>
      <c r="V2538" s="49">
        <f>IF(ISNUMBER(U2538),ABS(U2538),"")</f>
        <v/>
      </c>
      <c r="W2538" s="49">
        <f>IF(OR($E2537&lt;&gt;"측정",$C2537&lt;&gt;$C2538,$D2537&lt;&gt;$D2538,NOT(ISNUMBER(M2538)),NOT(ISNUMBER(M2537)),(IF(ISNUMBER(H2538),H2538,G2538)-IF(ISNUMBER(H2537),H2537,G2537))=0),"",(M2538-M2537)/(IF(ISNUMBER(H2538),H2538,G2538)-IF(ISNUMBER(H2537),H2537,G2537)))</f>
        <v/>
      </c>
      <c r="X2538" s="31">
        <f>IF(NOT(AND(ISNUMBER(O2538),ISNUMBER(Q2538))),"",(Q2538-O2538)*1440)</f>
        <v/>
      </c>
      <c r="Y2538" s="29" t="n"/>
      <c r="Z2538" s="29" t="n"/>
      <c r="AA2538" s="29" t="n"/>
      <c r="AB2538" s="32" t="n"/>
      <c r="AC2538" s="32" t="n"/>
    </row>
    <row r="2539">
      <c r="A2539" s="26" t="inlineStr">
        <is>
          <t>S49</t>
        </is>
      </c>
      <c r="B2539" s="26" t="inlineStr">
        <is>
          <t>제천</t>
        </is>
      </c>
      <c r="C2539" s="26" t="inlineStr">
        <is>
          <t>S49-H남</t>
        </is>
      </c>
      <c r="D2539" s="47" t="n">
        <v>1</v>
      </c>
      <c r="E2539" s="26" t="inlineStr">
        <is>
          <t>측정</t>
        </is>
      </c>
      <c r="F2539" s="26" t="inlineStr">
        <is>
          <t>남</t>
        </is>
      </c>
      <c r="G2539" s="31" t="n">
        <v>10</v>
      </c>
      <c r="H2539" s="30" t="n"/>
      <c r="I2539" s="43" t="n"/>
      <c r="J2539" s="41" t="n"/>
      <c r="K2539" s="41" t="n"/>
      <c r="L2539" s="41" t="n"/>
      <c r="M2539" s="31">
        <f>IF(COUNT(J2539:L2539)=0,"",MEDIAN(J2539:L2539))</f>
        <v/>
      </c>
      <c r="N2539" s="26">
        <f>IF(COUNTIFS($C:$C,$C2539,$D:$D,$D2539,$E:$E,"P0(전)",$M:$M,"&gt;0")&lt;&gt;1,"P0(전) 유효 1개 아님",IF(COUNTIFS($C:$C,$C2539,$D:$D,$D2539,$E:$E,"P0(후)",$M:$M,"&gt;0")&lt;&gt;1,"P0(후) 유효 1개 아님",IF(NOT(AND(ISNUMBER(O2539),ISNUMBER(Q2539),ISNUMBER(I2539))),"시각 결측",IF(Q2539&lt;=O2539,"P0 시각 역전",IF(OR(I2539&lt;O2539,I2539&gt;Q2539),"측정시각 구간 밖","OK")))))</f>
        <v/>
      </c>
      <c r="O2539" s="48">
        <f>IF(COUNTIFS($C:$C,$C2539,$D:$D,$D2539,$E:$E,"P0(전)",$M:$M,"&gt;0")&lt;&gt;1,"",SUMIFS($I:$I,$C:$C,$C2539,$D:$D,$D2539,$E:$E,"P0(전)"))</f>
        <v/>
      </c>
      <c r="P2539" s="31">
        <f>IF(COUNTIFS($C:$C,$C2539,$D:$D,$D2539,$E:$E,"P0(전)",$M:$M,"&gt;0")&lt;&gt;1,"",SUMIFS($M:$M,$C:$C,$C2539,$D:$D,$D2539,$E:$E,"P0(전)"))</f>
        <v/>
      </c>
      <c r="Q2539" s="48">
        <f>IF(COUNTIFS($C:$C,$C2539,$D:$D,$D2539,$E:$E,"P0(후)",$M:$M,"&gt;0")&lt;&gt;1,"",SUMIFS($I:$I,$C:$C,$C2539,$D:$D,$D2539,$E:$E,"P0(후)"))</f>
        <v/>
      </c>
      <c r="R2539" s="31">
        <f>IF(COUNTIFS($C:$C,$C2539,$D:$D,$D2539,$E:$E,"P0(후)",$M:$M,"&gt;0")&lt;&gt;1,"",SUMIFS($M:$M,$C:$C,$C2539,$D:$D,$D2539,$E:$E,"P0(후)"))</f>
        <v/>
      </c>
      <c r="S2539" s="31">
        <f>IF(N2539&lt;&gt;"OK","",P2539+(R2539-P2539)*(I2539-O2539)/(Q2539-O2539))</f>
        <v/>
      </c>
      <c r="T2539" s="31">
        <f>IF(OR(N2539&lt;&gt;"OK",NOT(ISNUMBER(M2539))),"",M2539-S2539)</f>
        <v/>
      </c>
      <c r="U2539" s="49">
        <f>IF(OR(NOT(ISNUMBER(T2539)),IF(ISNUMBER(H2539),H2539,G2539)=0),"",T2539/IF(ISNUMBER(H2539),H2539,G2539))</f>
        <v/>
      </c>
      <c r="V2539" s="49">
        <f>IF(ISNUMBER(U2539),ABS(U2539),"")</f>
        <v/>
      </c>
      <c r="W2539" s="49">
        <f>IF(OR($E2538&lt;&gt;"측정",$C2538&lt;&gt;$C2539,$D2538&lt;&gt;$D2539,NOT(ISNUMBER(M2539)),NOT(ISNUMBER(M2538)),(IF(ISNUMBER(H2539),H2539,G2539)-IF(ISNUMBER(H2538),H2538,G2538))=0),"",(M2539-M2538)/(IF(ISNUMBER(H2539),H2539,G2539)-IF(ISNUMBER(H2538),H2538,G2538)))</f>
        <v/>
      </c>
      <c r="X2539" s="31">
        <f>IF(NOT(AND(ISNUMBER(O2539),ISNUMBER(Q2539))),"",(Q2539-O2539)*1440)</f>
        <v/>
      </c>
      <c r="Y2539" s="29" t="n"/>
      <c r="Z2539" s="29" t="n"/>
      <c r="AA2539" s="29" t="n"/>
      <c r="AB2539" s="32" t="n"/>
      <c r="AC2539" s="32" t="n"/>
    </row>
    <row r="2540">
      <c r="A2540" s="44" t="inlineStr">
        <is>
          <t>S49</t>
        </is>
      </c>
      <c r="B2540" s="44" t="inlineStr">
        <is>
          <t>제천</t>
        </is>
      </c>
      <c r="C2540" s="44" t="inlineStr">
        <is>
          <t>S49-H남</t>
        </is>
      </c>
      <c r="D2540" s="45" t="n">
        <v>1</v>
      </c>
      <c r="E2540" s="44" t="inlineStr">
        <is>
          <t>P0(후)</t>
        </is>
      </c>
      <c r="F2540" s="44" t="inlineStr">
        <is>
          <t>남</t>
        </is>
      </c>
      <c r="G2540" s="46" t="n"/>
      <c r="H2540" s="30" t="n"/>
      <c r="I2540" s="43" t="n"/>
      <c r="J2540" s="41" t="n"/>
      <c r="K2540" s="41" t="n"/>
      <c r="L2540" s="41" t="n"/>
      <c r="M2540" s="31">
        <f>IF(COUNT(J2540:L2540)=0,"",MEDIAN(J2540:L2540))</f>
        <v/>
      </c>
      <c r="N2540" s="38" t="n"/>
      <c r="O2540" s="38" t="n"/>
      <c r="P2540" s="38" t="n"/>
      <c r="Q2540" s="38" t="n"/>
      <c r="R2540" s="38" t="n"/>
      <c r="S2540" s="38" t="n"/>
      <c r="T2540" s="38" t="n"/>
      <c r="U2540" s="38" t="n"/>
      <c r="V2540" s="38" t="n"/>
      <c r="W2540" s="38" t="n"/>
      <c r="X2540" s="38" t="n"/>
      <c r="Y2540" s="29" t="n"/>
      <c r="Z2540" s="29" t="n"/>
      <c r="AA2540" s="29" t="n"/>
      <c r="AB2540" s="32" t="n"/>
      <c r="AC2540" s="32" t="n"/>
    </row>
    <row r="2541">
      <c r="A2541" s="44" t="inlineStr">
        <is>
          <t>S49</t>
        </is>
      </c>
      <c r="B2541" s="44" t="inlineStr">
        <is>
          <t>제천</t>
        </is>
      </c>
      <c r="C2541" s="44" t="inlineStr">
        <is>
          <t>S49-H북</t>
        </is>
      </c>
      <c r="D2541" s="45" t="n">
        <v>1</v>
      </c>
      <c r="E2541" s="44" t="inlineStr">
        <is>
          <t>P0(전)</t>
        </is>
      </c>
      <c r="F2541" s="44" t="inlineStr">
        <is>
          <t>북</t>
        </is>
      </c>
      <c r="G2541" s="46" t="n"/>
      <c r="H2541" s="30" t="n"/>
      <c r="I2541" s="43" t="n"/>
      <c r="J2541" s="41" t="n"/>
      <c r="K2541" s="41" t="n"/>
      <c r="L2541" s="41" t="n"/>
      <c r="M2541" s="31">
        <f>IF(COUNT(J2541:L2541)=0,"",MEDIAN(J2541:L2541))</f>
        <v/>
      </c>
      <c r="N2541" s="38" t="n"/>
      <c r="O2541" s="38" t="n"/>
      <c r="P2541" s="38" t="n"/>
      <c r="Q2541" s="38" t="n"/>
      <c r="R2541" s="38" t="n"/>
      <c r="S2541" s="38" t="n"/>
      <c r="T2541" s="38" t="n"/>
      <c r="U2541" s="38" t="n"/>
      <c r="V2541" s="38" t="n"/>
      <c r="W2541" s="38" t="n"/>
      <c r="X2541" s="38" t="n"/>
      <c r="Y2541" s="29" t="n"/>
      <c r="Z2541" s="29" t="n"/>
      <c r="AA2541" s="29" t="n"/>
      <c r="AB2541" s="32" t="n"/>
      <c r="AC2541" s="32" t="n"/>
    </row>
    <row r="2542">
      <c r="A2542" s="26" t="inlineStr">
        <is>
          <t>S49</t>
        </is>
      </c>
      <c r="B2542" s="26" t="inlineStr">
        <is>
          <t>제천</t>
        </is>
      </c>
      <c r="C2542" s="26" t="inlineStr">
        <is>
          <t>S49-H북</t>
        </is>
      </c>
      <c r="D2542" s="47" t="n">
        <v>1</v>
      </c>
      <c r="E2542" s="26" t="inlineStr">
        <is>
          <t>측정</t>
        </is>
      </c>
      <c r="F2542" s="26" t="inlineStr">
        <is>
          <t>북</t>
        </is>
      </c>
      <c r="G2542" s="31" t="n">
        <v>0.5</v>
      </c>
      <c r="H2542" s="30" t="n"/>
      <c r="I2542" s="43" t="n"/>
      <c r="J2542" s="41" t="n"/>
      <c r="K2542" s="41" t="n"/>
      <c r="L2542" s="41" t="n"/>
      <c r="M2542" s="31">
        <f>IF(COUNT(J2542:L2542)=0,"",MEDIAN(J2542:L2542))</f>
        <v/>
      </c>
      <c r="N2542" s="26">
        <f>IF(COUNTIFS($C:$C,$C2542,$D:$D,$D2542,$E:$E,"P0(전)",$M:$M,"&gt;0")&lt;&gt;1,"P0(전) 유효 1개 아님",IF(COUNTIFS($C:$C,$C2542,$D:$D,$D2542,$E:$E,"P0(후)",$M:$M,"&gt;0")&lt;&gt;1,"P0(후) 유효 1개 아님",IF(NOT(AND(ISNUMBER(O2542),ISNUMBER(Q2542),ISNUMBER(I2542))),"시각 결측",IF(Q2542&lt;=O2542,"P0 시각 역전",IF(OR(I2542&lt;O2542,I2542&gt;Q2542),"측정시각 구간 밖","OK")))))</f>
        <v/>
      </c>
      <c r="O2542" s="48">
        <f>IF(COUNTIFS($C:$C,$C2542,$D:$D,$D2542,$E:$E,"P0(전)",$M:$M,"&gt;0")&lt;&gt;1,"",SUMIFS($I:$I,$C:$C,$C2542,$D:$D,$D2542,$E:$E,"P0(전)"))</f>
        <v/>
      </c>
      <c r="P2542" s="31">
        <f>IF(COUNTIFS($C:$C,$C2542,$D:$D,$D2542,$E:$E,"P0(전)",$M:$M,"&gt;0")&lt;&gt;1,"",SUMIFS($M:$M,$C:$C,$C2542,$D:$D,$D2542,$E:$E,"P0(전)"))</f>
        <v/>
      </c>
      <c r="Q2542" s="48">
        <f>IF(COUNTIFS($C:$C,$C2542,$D:$D,$D2542,$E:$E,"P0(후)",$M:$M,"&gt;0")&lt;&gt;1,"",SUMIFS($I:$I,$C:$C,$C2542,$D:$D,$D2542,$E:$E,"P0(후)"))</f>
        <v/>
      </c>
      <c r="R2542" s="31">
        <f>IF(COUNTIFS($C:$C,$C2542,$D:$D,$D2542,$E:$E,"P0(후)",$M:$M,"&gt;0")&lt;&gt;1,"",SUMIFS($M:$M,$C:$C,$C2542,$D:$D,$D2542,$E:$E,"P0(후)"))</f>
        <v/>
      </c>
      <c r="S2542" s="31">
        <f>IF(N2542&lt;&gt;"OK","",P2542+(R2542-P2542)*(I2542-O2542)/(Q2542-O2542))</f>
        <v/>
      </c>
      <c r="T2542" s="31">
        <f>IF(OR(N2542&lt;&gt;"OK",NOT(ISNUMBER(M2542))),"",M2542-S2542)</f>
        <v/>
      </c>
      <c r="U2542" s="49">
        <f>IF(OR(NOT(ISNUMBER(T2542)),IF(ISNUMBER(H2542),H2542,G2542)=0),"",T2542/IF(ISNUMBER(H2542),H2542,G2542))</f>
        <v/>
      </c>
      <c r="V2542" s="49">
        <f>IF(ISNUMBER(U2542),ABS(U2542),"")</f>
        <v/>
      </c>
      <c r="W2542" s="49">
        <f>IF(OR($E2541&lt;&gt;"측정",$C2541&lt;&gt;$C2542,$D2541&lt;&gt;$D2542,NOT(ISNUMBER(M2542)),NOT(ISNUMBER(M2541)),(IF(ISNUMBER(H2542),H2542,G2542)-IF(ISNUMBER(H2541),H2541,G2541))=0),"",(M2542-M2541)/(IF(ISNUMBER(H2542),H2542,G2542)-IF(ISNUMBER(H2541),H2541,G2541)))</f>
        <v/>
      </c>
      <c r="X2542" s="31">
        <f>IF(NOT(AND(ISNUMBER(O2542),ISNUMBER(Q2542))),"",(Q2542-O2542)*1440)</f>
        <v/>
      </c>
      <c r="Y2542" s="29" t="n"/>
      <c r="Z2542" s="29" t="n"/>
      <c r="AA2542" s="29" t="n"/>
      <c r="AB2542" s="32" t="n"/>
      <c r="AC2542" s="32" t="n"/>
    </row>
    <row r="2543">
      <c r="A2543" s="26" t="inlineStr">
        <is>
          <t>S49</t>
        </is>
      </c>
      <c r="B2543" s="26" t="inlineStr">
        <is>
          <t>제천</t>
        </is>
      </c>
      <c r="C2543" s="26" t="inlineStr">
        <is>
          <t>S49-H북</t>
        </is>
      </c>
      <c r="D2543" s="47" t="n">
        <v>1</v>
      </c>
      <c r="E2543" s="26" t="inlineStr">
        <is>
          <t>측정</t>
        </is>
      </c>
      <c r="F2543" s="26" t="inlineStr">
        <is>
          <t>북</t>
        </is>
      </c>
      <c r="G2543" s="31" t="n">
        <v>1</v>
      </c>
      <c r="H2543" s="30" t="n"/>
      <c r="I2543" s="43" t="n"/>
      <c r="J2543" s="41" t="n"/>
      <c r="K2543" s="41" t="n"/>
      <c r="L2543" s="41" t="n"/>
      <c r="M2543" s="31">
        <f>IF(COUNT(J2543:L2543)=0,"",MEDIAN(J2543:L2543))</f>
        <v/>
      </c>
      <c r="N2543" s="26">
        <f>IF(COUNTIFS($C:$C,$C2543,$D:$D,$D2543,$E:$E,"P0(전)",$M:$M,"&gt;0")&lt;&gt;1,"P0(전) 유효 1개 아님",IF(COUNTIFS($C:$C,$C2543,$D:$D,$D2543,$E:$E,"P0(후)",$M:$M,"&gt;0")&lt;&gt;1,"P0(후) 유효 1개 아님",IF(NOT(AND(ISNUMBER(O2543),ISNUMBER(Q2543),ISNUMBER(I2543))),"시각 결측",IF(Q2543&lt;=O2543,"P0 시각 역전",IF(OR(I2543&lt;O2543,I2543&gt;Q2543),"측정시각 구간 밖","OK")))))</f>
        <v/>
      </c>
      <c r="O2543" s="48">
        <f>IF(COUNTIFS($C:$C,$C2543,$D:$D,$D2543,$E:$E,"P0(전)",$M:$M,"&gt;0")&lt;&gt;1,"",SUMIFS($I:$I,$C:$C,$C2543,$D:$D,$D2543,$E:$E,"P0(전)"))</f>
        <v/>
      </c>
      <c r="P2543" s="31">
        <f>IF(COUNTIFS($C:$C,$C2543,$D:$D,$D2543,$E:$E,"P0(전)",$M:$M,"&gt;0")&lt;&gt;1,"",SUMIFS($M:$M,$C:$C,$C2543,$D:$D,$D2543,$E:$E,"P0(전)"))</f>
        <v/>
      </c>
      <c r="Q2543" s="48">
        <f>IF(COUNTIFS($C:$C,$C2543,$D:$D,$D2543,$E:$E,"P0(후)",$M:$M,"&gt;0")&lt;&gt;1,"",SUMIFS($I:$I,$C:$C,$C2543,$D:$D,$D2543,$E:$E,"P0(후)"))</f>
        <v/>
      </c>
      <c r="R2543" s="31">
        <f>IF(COUNTIFS($C:$C,$C2543,$D:$D,$D2543,$E:$E,"P0(후)",$M:$M,"&gt;0")&lt;&gt;1,"",SUMIFS($M:$M,$C:$C,$C2543,$D:$D,$D2543,$E:$E,"P0(후)"))</f>
        <v/>
      </c>
      <c r="S2543" s="31">
        <f>IF(N2543&lt;&gt;"OK","",P2543+(R2543-P2543)*(I2543-O2543)/(Q2543-O2543))</f>
        <v/>
      </c>
      <c r="T2543" s="31">
        <f>IF(OR(N2543&lt;&gt;"OK",NOT(ISNUMBER(M2543))),"",M2543-S2543)</f>
        <v/>
      </c>
      <c r="U2543" s="49">
        <f>IF(OR(NOT(ISNUMBER(T2543)),IF(ISNUMBER(H2543),H2543,G2543)=0),"",T2543/IF(ISNUMBER(H2543),H2543,G2543))</f>
        <v/>
      </c>
      <c r="V2543" s="49">
        <f>IF(ISNUMBER(U2543),ABS(U2543),"")</f>
        <v/>
      </c>
      <c r="W2543" s="49">
        <f>IF(OR($E2542&lt;&gt;"측정",$C2542&lt;&gt;$C2543,$D2542&lt;&gt;$D2543,NOT(ISNUMBER(M2543)),NOT(ISNUMBER(M2542)),(IF(ISNUMBER(H2543),H2543,G2543)-IF(ISNUMBER(H2542),H2542,G2542))=0),"",(M2543-M2542)/(IF(ISNUMBER(H2543),H2543,G2543)-IF(ISNUMBER(H2542),H2542,G2542)))</f>
        <v/>
      </c>
      <c r="X2543" s="31">
        <f>IF(NOT(AND(ISNUMBER(O2543),ISNUMBER(Q2543))),"",(Q2543-O2543)*1440)</f>
        <v/>
      </c>
      <c r="Y2543" s="29" t="n"/>
      <c r="Z2543" s="29" t="n"/>
      <c r="AA2543" s="29" t="n"/>
      <c r="AB2543" s="32" t="n"/>
      <c r="AC2543" s="32" t="n"/>
    </row>
    <row r="2544">
      <c r="A2544" s="26" t="inlineStr">
        <is>
          <t>S49</t>
        </is>
      </c>
      <c r="B2544" s="26" t="inlineStr">
        <is>
          <t>제천</t>
        </is>
      </c>
      <c r="C2544" s="26" t="inlineStr">
        <is>
          <t>S49-H북</t>
        </is>
      </c>
      <c r="D2544" s="47" t="n">
        <v>1</v>
      </c>
      <c r="E2544" s="26" t="inlineStr">
        <is>
          <t>측정</t>
        </is>
      </c>
      <c r="F2544" s="26" t="inlineStr">
        <is>
          <t>북</t>
        </is>
      </c>
      <c r="G2544" s="31" t="n">
        <v>2</v>
      </c>
      <c r="H2544" s="30" t="n"/>
      <c r="I2544" s="43" t="n"/>
      <c r="J2544" s="41" t="n"/>
      <c r="K2544" s="41" t="n"/>
      <c r="L2544" s="41" t="n"/>
      <c r="M2544" s="31">
        <f>IF(COUNT(J2544:L2544)=0,"",MEDIAN(J2544:L2544))</f>
        <v/>
      </c>
      <c r="N2544" s="26">
        <f>IF(COUNTIFS($C:$C,$C2544,$D:$D,$D2544,$E:$E,"P0(전)",$M:$M,"&gt;0")&lt;&gt;1,"P0(전) 유효 1개 아님",IF(COUNTIFS($C:$C,$C2544,$D:$D,$D2544,$E:$E,"P0(후)",$M:$M,"&gt;0")&lt;&gt;1,"P0(후) 유효 1개 아님",IF(NOT(AND(ISNUMBER(O2544),ISNUMBER(Q2544),ISNUMBER(I2544))),"시각 결측",IF(Q2544&lt;=O2544,"P0 시각 역전",IF(OR(I2544&lt;O2544,I2544&gt;Q2544),"측정시각 구간 밖","OK")))))</f>
        <v/>
      </c>
      <c r="O2544" s="48">
        <f>IF(COUNTIFS($C:$C,$C2544,$D:$D,$D2544,$E:$E,"P0(전)",$M:$M,"&gt;0")&lt;&gt;1,"",SUMIFS($I:$I,$C:$C,$C2544,$D:$D,$D2544,$E:$E,"P0(전)"))</f>
        <v/>
      </c>
      <c r="P2544" s="31">
        <f>IF(COUNTIFS($C:$C,$C2544,$D:$D,$D2544,$E:$E,"P0(전)",$M:$M,"&gt;0")&lt;&gt;1,"",SUMIFS($M:$M,$C:$C,$C2544,$D:$D,$D2544,$E:$E,"P0(전)"))</f>
        <v/>
      </c>
      <c r="Q2544" s="48">
        <f>IF(COUNTIFS($C:$C,$C2544,$D:$D,$D2544,$E:$E,"P0(후)",$M:$M,"&gt;0")&lt;&gt;1,"",SUMIFS($I:$I,$C:$C,$C2544,$D:$D,$D2544,$E:$E,"P0(후)"))</f>
        <v/>
      </c>
      <c r="R2544" s="31">
        <f>IF(COUNTIFS($C:$C,$C2544,$D:$D,$D2544,$E:$E,"P0(후)",$M:$M,"&gt;0")&lt;&gt;1,"",SUMIFS($M:$M,$C:$C,$C2544,$D:$D,$D2544,$E:$E,"P0(후)"))</f>
        <v/>
      </c>
      <c r="S2544" s="31">
        <f>IF(N2544&lt;&gt;"OK","",P2544+(R2544-P2544)*(I2544-O2544)/(Q2544-O2544))</f>
        <v/>
      </c>
      <c r="T2544" s="31">
        <f>IF(OR(N2544&lt;&gt;"OK",NOT(ISNUMBER(M2544))),"",M2544-S2544)</f>
        <v/>
      </c>
      <c r="U2544" s="49">
        <f>IF(OR(NOT(ISNUMBER(T2544)),IF(ISNUMBER(H2544),H2544,G2544)=0),"",T2544/IF(ISNUMBER(H2544),H2544,G2544))</f>
        <v/>
      </c>
      <c r="V2544" s="49">
        <f>IF(ISNUMBER(U2544),ABS(U2544),"")</f>
        <v/>
      </c>
      <c r="W2544" s="49">
        <f>IF(OR($E2543&lt;&gt;"측정",$C2543&lt;&gt;$C2544,$D2543&lt;&gt;$D2544,NOT(ISNUMBER(M2544)),NOT(ISNUMBER(M2543)),(IF(ISNUMBER(H2544),H2544,G2544)-IF(ISNUMBER(H2543),H2543,G2543))=0),"",(M2544-M2543)/(IF(ISNUMBER(H2544),H2544,G2544)-IF(ISNUMBER(H2543),H2543,G2543)))</f>
        <v/>
      </c>
      <c r="X2544" s="31">
        <f>IF(NOT(AND(ISNUMBER(O2544),ISNUMBER(Q2544))),"",(Q2544-O2544)*1440)</f>
        <v/>
      </c>
      <c r="Y2544" s="29" t="n"/>
      <c r="Z2544" s="29" t="n"/>
      <c r="AA2544" s="29" t="n"/>
      <c r="AB2544" s="32" t="n"/>
      <c r="AC2544" s="32" t="n"/>
    </row>
    <row r="2545">
      <c r="A2545" s="26" t="inlineStr">
        <is>
          <t>S49</t>
        </is>
      </c>
      <c r="B2545" s="26" t="inlineStr">
        <is>
          <t>제천</t>
        </is>
      </c>
      <c r="C2545" s="26" t="inlineStr">
        <is>
          <t>S49-H북</t>
        </is>
      </c>
      <c r="D2545" s="47" t="n">
        <v>1</v>
      </c>
      <c r="E2545" s="26" t="inlineStr">
        <is>
          <t>측정</t>
        </is>
      </c>
      <c r="F2545" s="26" t="inlineStr">
        <is>
          <t>북</t>
        </is>
      </c>
      <c r="G2545" s="31" t="n">
        <v>3</v>
      </c>
      <c r="H2545" s="30" t="n"/>
      <c r="I2545" s="43" t="n"/>
      <c r="J2545" s="41" t="n"/>
      <c r="K2545" s="41" t="n"/>
      <c r="L2545" s="41" t="n"/>
      <c r="M2545" s="31">
        <f>IF(COUNT(J2545:L2545)=0,"",MEDIAN(J2545:L2545))</f>
        <v/>
      </c>
      <c r="N2545" s="26">
        <f>IF(COUNTIFS($C:$C,$C2545,$D:$D,$D2545,$E:$E,"P0(전)",$M:$M,"&gt;0")&lt;&gt;1,"P0(전) 유효 1개 아님",IF(COUNTIFS($C:$C,$C2545,$D:$D,$D2545,$E:$E,"P0(후)",$M:$M,"&gt;0")&lt;&gt;1,"P0(후) 유효 1개 아님",IF(NOT(AND(ISNUMBER(O2545),ISNUMBER(Q2545),ISNUMBER(I2545))),"시각 결측",IF(Q2545&lt;=O2545,"P0 시각 역전",IF(OR(I2545&lt;O2545,I2545&gt;Q2545),"측정시각 구간 밖","OK")))))</f>
        <v/>
      </c>
      <c r="O2545" s="48">
        <f>IF(COUNTIFS($C:$C,$C2545,$D:$D,$D2545,$E:$E,"P0(전)",$M:$M,"&gt;0")&lt;&gt;1,"",SUMIFS($I:$I,$C:$C,$C2545,$D:$D,$D2545,$E:$E,"P0(전)"))</f>
        <v/>
      </c>
      <c r="P2545" s="31">
        <f>IF(COUNTIFS($C:$C,$C2545,$D:$D,$D2545,$E:$E,"P0(전)",$M:$M,"&gt;0")&lt;&gt;1,"",SUMIFS($M:$M,$C:$C,$C2545,$D:$D,$D2545,$E:$E,"P0(전)"))</f>
        <v/>
      </c>
      <c r="Q2545" s="48">
        <f>IF(COUNTIFS($C:$C,$C2545,$D:$D,$D2545,$E:$E,"P0(후)",$M:$M,"&gt;0")&lt;&gt;1,"",SUMIFS($I:$I,$C:$C,$C2545,$D:$D,$D2545,$E:$E,"P0(후)"))</f>
        <v/>
      </c>
      <c r="R2545" s="31">
        <f>IF(COUNTIFS($C:$C,$C2545,$D:$D,$D2545,$E:$E,"P0(후)",$M:$M,"&gt;0")&lt;&gt;1,"",SUMIFS($M:$M,$C:$C,$C2545,$D:$D,$D2545,$E:$E,"P0(후)"))</f>
        <v/>
      </c>
      <c r="S2545" s="31">
        <f>IF(N2545&lt;&gt;"OK","",P2545+(R2545-P2545)*(I2545-O2545)/(Q2545-O2545))</f>
        <v/>
      </c>
      <c r="T2545" s="31">
        <f>IF(OR(N2545&lt;&gt;"OK",NOT(ISNUMBER(M2545))),"",M2545-S2545)</f>
        <v/>
      </c>
      <c r="U2545" s="49">
        <f>IF(OR(NOT(ISNUMBER(T2545)),IF(ISNUMBER(H2545),H2545,G2545)=0),"",T2545/IF(ISNUMBER(H2545),H2545,G2545))</f>
        <v/>
      </c>
      <c r="V2545" s="49">
        <f>IF(ISNUMBER(U2545),ABS(U2545),"")</f>
        <v/>
      </c>
      <c r="W2545" s="49">
        <f>IF(OR($E2544&lt;&gt;"측정",$C2544&lt;&gt;$C2545,$D2544&lt;&gt;$D2545,NOT(ISNUMBER(M2545)),NOT(ISNUMBER(M2544)),(IF(ISNUMBER(H2545),H2545,G2545)-IF(ISNUMBER(H2544),H2544,G2544))=0),"",(M2545-M2544)/(IF(ISNUMBER(H2545),H2545,G2545)-IF(ISNUMBER(H2544),H2544,G2544)))</f>
        <v/>
      </c>
      <c r="X2545" s="31">
        <f>IF(NOT(AND(ISNUMBER(O2545),ISNUMBER(Q2545))),"",(Q2545-O2545)*1440)</f>
        <v/>
      </c>
      <c r="Y2545" s="29" t="n"/>
      <c r="Z2545" s="29" t="n"/>
      <c r="AA2545" s="29" t="n"/>
      <c r="AB2545" s="32" t="n"/>
      <c r="AC2545" s="32" t="n"/>
    </row>
    <row r="2546">
      <c r="A2546" s="26" t="inlineStr">
        <is>
          <t>S49</t>
        </is>
      </c>
      <c r="B2546" s="26" t="inlineStr">
        <is>
          <t>제천</t>
        </is>
      </c>
      <c r="C2546" s="26" t="inlineStr">
        <is>
          <t>S49-H북</t>
        </is>
      </c>
      <c r="D2546" s="47" t="n">
        <v>1</v>
      </c>
      <c r="E2546" s="26" t="inlineStr">
        <is>
          <t>측정</t>
        </is>
      </c>
      <c r="F2546" s="26" t="inlineStr">
        <is>
          <t>북</t>
        </is>
      </c>
      <c r="G2546" s="31" t="n">
        <v>4</v>
      </c>
      <c r="H2546" s="30" t="n"/>
      <c r="I2546" s="43" t="n"/>
      <c r="J2546" s="41" t="n"/>
      <c r="K2546" s="41" t="n"/>
      <c r="L2546" s="41" t="n"/>
      <c r="M2546" s="31">
        <f>IF(COUNT(J2546:L2546)=0,"",MEDIAN(J2546:L2546))</f>
        <v/>
      </c>
      <c r="N2546" s="26">
        <f>IF(COUNTIFS($C:$C,$C2546,$D:$D,$D2546,$E:$E,"P0(전)",$M:$M,"&gt;0")&lt;&gt;1,"P0(전) 유효 1개 아님",IF(COUNTIFS($C:$C,$C2546,$D:$D,$D2546,$E:$E,"P0(후)",$M:$M,"&gt;0")&lt;&gt;1,"P0(후) 유효 1개 아님",IF(NOT(AND(ISNUMBER(O2546),ISNUMBER(Q2546),ISNUMBER(I2546))),"시각 결측",IF(Q2546&lt;=O2546,"P0 시각 역전",IF(OR(I2546&lt;O2546,I2546&gt;Q2546),"측정시각 구간 밖","OK")))))</f>
        <v/>
      </c>
      <c r="O2546" s="48">
        <f>IF(COUNTIFS($C:$C,$C2546,$D:$D,$D2546,$E:$E,"P0(전)",$M:$M,"&gt;0")&lt;&gt;1,"",SUMIFS($I:$I,$C:$C,$C2546,$D:$D,$D2546,$E:$E,"P0(전)"))</f>
        <v/>
      </c>
      <c r="P2546" s="31">
        <f>IF(COUNTIFS($C:$C,$C2546,$D:$D,$D2546,$E:$E,"P0(전)",$M:$M,"&gt;0")&lt;&gt;1,"",SUMIFS($M:$M,$C:$C,$C2546,$D:$D,$D2546,$E:$E,"P0(전)"))</f>
        <v/>
      </c>
      <c r="Q2546" s="48">
        <f>IF(COUNTIFS($C:$C,$C2546,$D:$D,$D2546,$E:$E,"P0(후)",$M:$M,"&gt;0")&lt;&gt;1,"",SUMIFS($I:$I,$C:$C,$C2546,$D:$D,$D2546,$E:$E,"P0(후)"))</f>
        <v/>
      </c>
      <c r="R2546" s="31">
        <f>IF(COUNTIFS($C:$C,$C2546,$D:$D,$D2546,$E:$E,"P0(후)",$M:$M,"&gt;0")&lt;&gt;1,"",SUMIFS($M:$M,$C:$C,$C2546,$D:$D,$D2546,$E:$E,"P0(후)"))</f>
        <v/>
      </c>
      <c r="S2546" s="31">
        <f>IF(N2546&lt;&gt;"OK","",P2546+(R2546-P2546)*(I2546-O2546)/(Q2546-O2546))</f>
        <v/>
      </c>
      <c r="T2546" s="31">
        <f>IF(OR(N2546&lt;&gt;"OK",NOT(ISNUMBER(M2546))),"",M2546-S2546)</f>
        <v/>
      </c>
      <c r="U2546" s="49">
        <f>IF(OR(NOT(ISNUMBER(T2546)),IF(ISNUMBER(H2546),H2546,G2546)=0),"",T2546/IF(ISNUMBER(H2546),H2546,G2546))</f>
        <v/>
      </c>
      <c r="V2546" s="49">
        <f>IF(ISNUMBER(U2546),ABS(U2546),"")</f>
        <v/>
      </c>
      <c r="W2546" s="49">
        <f>IF(OR($E2545&lt;&gt;"측정",$C2545&lt;&gt;$C2546,$D2545&lt;&gt;$D2546,NOT(ISNUMBER(M2546)),NOT(ISNUMBER(M2545)),(IF(ISNUMBER(H2546),H2546,G2546)-IF(ISNUMBER(H2545),H2545,G2545))=0),"",(M2546-M2545)/(IF(ISNUMBER(H2546),H2546,G2546)-IF(ISNUMBER(H2545),H2545,G2545)))</f>
        <v/>
      </c>
      <c r="X2546" s="31">
        <f>IF(NOT(AND(ISNUMBER(O2546),ISNUMBER(Q2546))),"",(Q2546-O2546)*1440)</f>
        <v/>
      </c>
      <c r="Y2546" s="29" t="n"/>
      <c r="Z2546" s="29" t="n"/>
      <c r="AA2546" s="29" t="n"/>
      <c r="AB2546" s="32" t="n"/>
      <c r="AC2546" s="32" t="n"/>
    </row>
    <row r="2547">
      <c r="A2547" s="26" t="inlineStr">
        <is>
          <t>S49</t>
        </is>
      </c>
      <c r="B2547" s="26" t="inlineStr">
        <is>
          <t>제천</t>
        </is>
      </c>
      <c r="C2547" s="26" t="inlineStr">
        <is>
          <t>S49-H북</t>
        </is>
      </c>
      <c r="D2547" s="47" t="n">
        <v>1</v>
      </c>
      <c r="E2547" s="26" t="inlineStr">
        <is>
          <t>측정</t>
        </is>
      </c>
      <c r="F2547" s="26" t="inlineStr">
        <is>
          <t>북</t>
        </is>
      </c>
      <c r="G2547" s="31" t="n">
        <v>5</v>
      </c>
      <c r="H2547" s="30" t="n"/>
      <c r="I2547" s="43" t="n"/>
      <c r="J2547" s="41" t="n"/>
      <c r="K2547" s="41" t="n"/>
      <c r="L2547" s="41" t="n"/>
      <c r="M2547" s="31">
        <f>IF(COUNT(J2547:L2547)=0,"",MEDIAN(J2547:L2547))</f>
        <v/>
      </c>
      <c r="N2547" s="26">
        <f>IF(COUNTIFS($C:$C,$C2547,$D:$D,$D2547,$E:$E,"P0(전)",$M:$M,"&gt;0")&lt;&gt;1,"P0(전) 유효 1개 아님",IF(COUNTIFS($C:$C,$C2547,$D:$D,$D2547,$E:$E,"P0(후)",$M:$M,"&gt;0")&lt;&gt;1,"P0(후) 유효 1개 아님",IF(NOT(AND(ISNUMBER(O2547),ISNUMBER(Q2547),ISNUMBER(I2547))),"시각 결측",IF(Q2547&lt;=O2547,"P0 시각 역전",IF(OR(I2547&lt;O2547,I2547&gt;Q2547),"측정시각 구간 밖","OK")))))</f>
        <v/>
      </c>
      <c r="O2547" s="48">
        <f>IF(COUNTIFS($C:$C,$C2547,$D:$D,$D2547,$E:$E,"P0(전)",$M:$M,"&gt;0")&lt;&gt;1,"",SUMIFS($I:$I,$C:$C,$C2547,$D:$D,$D2547,$E:$E,"P0(전)"))</f>
        <v/>
      </c>
      <c r="P2547" s="31">
        <f>IF(COUNTIFS($C:$C,$C2547,$D:$D,$D2547,$E:$E,"P0(전)",$M:$M,"&gt;0")&lt;&gt;1,"",SUMIFS($M:$M,$C:$C,$C2547,$D:$D,$D2547,$E:$E,"P0(전)"))</f>
        <v/>
      </c>
      <c r="Q2547" s="48">
        <f>IF(COUNTIFS($C:$C,$C2547,$D:$D,$D2547,$E:$E,"P0(후)",$M:$M,"&gt;0")&lt;&gt;1,"",SUMIFS($I:$I,$C:$C,$C2547,$D:$D,$D2547,$E:$E,"P0(후)"))</f>
        <v/>
      </c>
      <c r="R2547" s="31">
        <f>IF(COUNTIFS($C:$C,$C2547,$D:$D,$D2547,$E:$E,"P0(후)",$M:$M,"&gt;0")&lt;&gt;1,"",SUMIFS($M:$M,$C:$C,$C2547,$D:$D,$D2547,$E:$E,"P0(후)"))</f>
        <v/>
      </c>
      <c r="S2547" s="31">
        <f>IF(N2547&lt;&gt;"OK","",P2547+(R2547-P2547)*(I2547-O2547)/(Q2547-O2547))</f>
        <v/>
      </c>
      <c r="T2547" s="31">
        <f>IF(OR(N2547&lt;&gt;"OK",NOT(ISNUMBER(M2547))),"",M2547-S2547)</f>
        <v/>
      </c>
      <c r="U2547" s="49">
        <f>IF(OR(NOT(ISNUMBER(T2547)),IF(ISNUMBER(H2547),H2547,G2547)=0),"",T2547/IF(ISNUMBER(H2547),H2547,G2547))</f>
        <v/>
      </c>
      <c r="V2547" s="49">
        <f>IF(ISNUMBER(U2547),ABS(U2547),"")</f>
        <v/>
      </c>
      <c r="W2547" s="49">
        <f>IF(OR($E2546&lt;&gt;"측정",$C2546&lt;&gt;$C2547,$D2546&lt;&gt;$D2547,NOT(ISNUMBER(M2547)),NOT(ISNUMBER(M2546)),(IF(ISNUMBER(H2547),H2547,G2547)-IF(ISNUMBER(H2546),H2546,G2546))=0),"",(M2547-M2546)/(IF(ISNUMBER(H2547),H2547,G2547)-IF(ISNUMBER(H2546),H2546,G2546)))</f>
        <v/>
      </c>
      <c r="X2547" s="31">
        <f>IF(NOT(AND(ISNUMBER(O2547),ISNUMBER(Q2547))),"",(Q2547-O2547)*1440)</f>
        <v/>
      </c>
      <c r="Y2547" s="29" t="n"/>
      <c r="Z2547" s="29" t="n"/>
      <c r="AA2547" s="29" t="n"/>
      <c r="AB2547" s="32" t="n"/>
      <c r="AC2547" s="32" t="n"/>
    </row>
    <row r="2548">
      <c r="A2548" s="26" t="inlineStr">
        <is>
          <t>S49</t>
        </is>
      </c>
      <c r="B2548" s="26" t="inlineStr">
        <is>
          <t>제천</t>
        </is>
      </c>
      <c r="C2548" s="26" t="inlineStr">
        <is>
          <t>S49-H북</t>
        </is>
      </c>
      <c r="D2548" s="47" t="n">
        <v>1</v>
      </c>
      <c r="E2548" s="26" t="inlineStr">
        <is>
          <t>측정</t>
        </is>
      </c>
      <c r="F2548" s="26" t="inlineStr">
        <is>
          <t>북</t>
        </is>
      </c>
      <c r="G2548" s="31" t="n">
        <v>6</v>
      </c>
      <c r="H2548" s="30" t="n"/>
      <c r="I2548" s="43" t="n"/>
      <c r="J2548" s="41" t="n"/>
      <c r="K2548" s="41" t="n"/>
      <c r="L2548" s="41" t="n"/>
      <c r="M2548" s="31">
        <f>IF(COUNT(J2548:L2548)=0,"",MEDIAN(J2548:L2548))</f>
        <v/>
      </c>
      <c r="N2548" s="26">
        <f>IF(COUNTIFS($C:$C,$C2548,$D:$D,$D2548,$E:$E,"P0(전)",$M:$M,"&gt;0")&lt;&gt;1,"P0(전) 유효 1개 아님",IF(COUNTIFS($C:$C,$C2548,$D:$D,$D2548,$E:$E,"P0(후)",$M:$M,"&gt;0")&lt;&gt;1,"P0(후) 유효 1개 아님",IF(NOT(AND(ISNUMBER(O2548),ISNUMBER(Q2548),ISNUMBER(I2548))),"시각 결측",IF(Q2548&lt;=O2548,"P0 시각 역전",IF(OR(I2548&lt;O2548,I2548&gt;Q2548),"측정시각 구간 밖","OK")))))</f>
        <v/>
      </c>
      <c r="O2548" s="48">
        <f>IF(COUNTIFS($C:$C,$C2548,$D:$D,$D2548,$E:$E,"P0(전)",$M:$M,"&gt;0")&lt;&gt;1,"",SUMIFS($I:$I,$C:$C,$C2548,$D:$D,$D2548,$E:$E,"P0(전)"))</f>
        <v/>
      </c>
      <c r="P2548" s="31">
        <f>IF(COUNTIFS($C:$C,$C2548,$D:$D,$D2548,$E:$E,"P0(전)",$M:$M,"&gt;0")&lt;&gt;1,"",SUMIFS($M:$M,$C:$C,$C2548,$D:$D,$D2548,$E:$E,"P0(전)"))</f>
        <v/>
      </c>
      <c r="Q2548" s="48">
        <f>IF(COUNTIFS($C:$C,$C2548,$D:$D,$D2548,$E:$E,"P0(후)",$M:$M,"&gt;0")&lt;&gt;1,"",SUMIFS($I:$I,$C:$C,$C2548,$D:$D,$D2548,$E:$E,"P0(후)"))</f>
        <v/>
      </c>
      <c r="R2548" s="31">
        <f>IF(COUNTIFS($C:$C,$C2548,$D:$D,$D2548,$E:$E,"P0(후)",$M:$M,"&gt;0")&lt;&gt;1,"",SUMIFS($M:$M,$C:$C,$C2548,$D:$D,$D2548,$E:$E,"P0(후)"))</f>
        <v/>
      </c>
      <c r="S2548" s="31">
        <f>IF(N2548&lt;&gt;"OK","",P2548+(R2548-P2548)*(I2548-O2548)/(Q2548-O2548))</f>
        <v/>
      </c>
      <c r="T2548" s="31">
        <f>IF(OR(N2548&lt;&gt;"OK",NOT(ISNUMBER(M2548))),"",M2548-S2548)</f>
        <v/>
      </c>
      <c r="U2548" s="49">
        <f>IF(OR(NOT(ISNUMBER(T2548)),IF(ISNUMBER(H2548),H2548,G2548)=0),"",T2548/IF(ISNUMBER(H2548),H2548,G2548))</f>
        <v/>
      </c>
      <c r="V2548" s="49">
        <f>IF(ISNUMBER(U2548),ABS(U2548),"")</f>
        <v/>
      </c>
      <c r="W2548" s="49">
        <f>IF(OR($E2547&lt;&gt;"측정",$C2547&lt;&gt;$C2548,$D2547&lt;&gt;$D2548,NOT(ISNUMBER(M2548)),NOT(ISNUMBER(M2547)),(IF(ISNUMBER(H2548),H2548,G2548)-IF(ISNUMBER(H2547),H2547,G2547))=0),"",(M2548-M2547)/(IF(ISNUMBER(H2548),H2548,G2548)-IF(ISNUMBER(H2547),H2547,G2547)))</f>
        <v/>
      </c>
      <c r="X2548" s="31">
        <f>IF(NOT(AND(ISNUMBER(O2548),ISNUMBER(Q2548))),"",(Q2548-O2548)*1440)</f>
        <v/>
      </c>
      <c r="Y2548" s="29" t="n"/>
      <c r="Z2548" s="29" t="n"/>
      <c r="AA2548" s="29" t="n"/>
      <c r="AB2548" s="32" t="n"/>
      <c r="AC2548" s="32" t="n"/>
    </row>
    <row r="2549">
      <c r="A2549" s="26" t="inlineStr">
        <is>
          <t>S49</t>
        </is>
      </c>
      <c r="B2549" s="26" t="inlineStr">
        <is>
          <t>제천</t>
        </is>
      </c>
      <c r="C2549" s="26" t="inlineStr">
        <is>
          <t>S49-H북</t>
        </is>
      </c>
      <c r="D2549" s="47" t="n">
        <v>1</v>
      </c>
      <c r="E2549" s="26" t="inlineStr">
        <is>
          <t>측정</t>
        </is>
      </c>
      <c r="F2549" s="26" t="inlineStr">
        <is>
          <t>북</t>
        </is>
      </c>
      <c r="G2549" s="31" t="n">
        <v>7</v>
      </c>
      <c r="H2549" s="30" t="n"/>
      <c r="I2549" s="43" t="n"/>
      <c r="J2549" s="41" t="n"/>
      <c r="K2549" s="41" t="n"/>
      <c r="L2549" s="41" t="n"/>
      <c r="M2549" s="31">
        <f>IF(COUNT(J2549:L2549)=0,"",MEDIAN(J2549:L2549))</f>
        <v/>
      </c>
      <c r="N2549" s="26">
        <f>IF(COUNTIFS($C:$C,$C2549,$D:$D,$D2549,$E:$E,"P0(전)",$M:$M,"&gt;0")&lt;&gt;1,"P0(전) 유효 1개 아님",IF(COUNTIFS($C:$C,$C2549,$D:$D,$D2549,$E:$E,"P0(후)",$M:$M,"&gt;0")&lt;&gt;1,"P0(후) 유효 1개 아님",IF(NOT(AND(ISNUMBER(O2549),ISNUMBER(Q2549),ISNUMBER(I2549))),"시각 결측",IF(Q2549&lt;=O2549,"P0 시각 역전",IF(OR(I2549&lt;O2549,I2549&gt;Q2549),"측정시각 구간 밖","OK")))))</f>
        <v/>
      </c>
      <c r="O2549" s="48">
        <f>IF(COUNTIFS($C:$C,$C2549,$D:$D,$D2549,$E:$E,"P0(전)",$M:$M,"&gt;0")&lt;&gt;1,"",SUMIFS($I:$I,$C:$C,$C2549,$D:$D,$D2549,$E:$E,"P0(전)"))</f>
        <v/>
      </c>
      <c r="P2549" s="31">
        <f>IF(COUNTIFS($C:$C,$C2549,$D:$D,$D2549,$E:$E,"P0(전)",$M:$M,"&gt;0")&lt;&gt;1,"",SUMIFS($M:$M,$C:$C,$C2549,$D:$D,$D2549,$E:$E,"P0(전)"))</f>
        <v/>
      </c>
      <c r="Q2549" s="48">
        <f>IF(COUNTIFS($C:$C,$C2549,$D:$D,$D2549,$E:$E,"P0(후)",$M:$M,"&gt;0")&lt;&gt;1,"",SUMIFS($I:$I,$C:$C,$C2549,$D:$D,$D2549,$E:$E,"P0(후)"))</f>
        <v/>
      </c>
      <c r="R2549" s="31">
        <f>IF(COUNTIFS($C:$C,$C2549,$D:$D,$D2549,$E:$E,"P0(후)",$M:$M,"&gt;0")&lt;&gt;1,"",SUMIFS($M:$M,$C:$C,$C2549,$D:$D,$D2549,$E:$E,"P0(후)"))</f>
        <v/>
      </c>
      <c r="S2549" s="31">
        <f>IF(N2549&lt;&gt;"OK","",P2549+(R2549-P2549)*(I2549-O2549)/(Q2549-O2549))</f>
        <v/>
      </c>
      <c r="T2549" s="31">
        <f>IF(OR(N2549&lt;&gt;"OK",NOT(ISNUMBER(M2549))),"",M2549-S2549)</f>
        <v/>
      </c>
      <c r="U2549" s="49">
        <f>IF(OR(NOT(ISNUMBER(T2549)),IF(ISNUMBER(H2549),H2549,G2549)=0),"",T2549/IF(ISNUMBER(H2549),H2549,G2549))</f>
        <v/>
      </c>
      <c r="V2549" s="49">
        <f>IF(ISNUMBER(U2549),ABS(U2549),"")</f>
        <v/>
      </c>
      <c r="W2549" s="49">
        <f>IF(OR($E2548&lt;&gt;"측정",$C2548&lt;&gt;$C2549,$D2548&lt;&gt;$D2549,NOT(ISNUMBER(M2549)),NOT(ISNUMBER(M2548)),(IF(ISNUMBER(H2549),H2549,G2549)-IF(ISNUMBER(H2548),H2548,G2548))=0),"",(M2549-M2548)/(IF(ISNUMBER(H2549),H2549,G2549)-IF(ISNUMBER(H2548),H2548,G2548)))</f>
        <v/>
      </c>
      <c r="X2549" s="31">
        <f>IF(NOT(AND(ISNUMBER(O2549),ISNUMBER(Q2549))),"",(Q2549-O2549)*1440)</f>
        <v/>
      </c>
      <c r="Y2549" s="29" t="n"/>
      <c r="Z2549" s="29" t="n"/>
      <c r="AA2549" s="29" t="n"/>
      <c r="AB2549" s="32" t="n"/>
      <c r="AC2549" s="32" t="n"/>
    </row>
    <row r="2550">
      <c r="A2550" s="26" t="inlineStr">
        <is>
          <t>S49</t>
        </is>
      </c>
      <c r="B2550" s="26" t="inlineStr">
        <is>
          <t>제천</t>
        </is>
      </c>
      <c r="C2550" s="26" t="inlineStr">
        <is>
          <t>S49-H북</t>
        </is>
      </c>
      <c r="D2550" s="47" t="n">
        <v>1</v>
      </c>
      <c r="E2550" s="26" t="inlineStr">
        <is>
          <t>측정</t>
        </is>
      </c>
      <c r="F2550" s="26" t="inlineStr">
        <is>
          <t>북</t>
        </is>
      </c>
      <c r="G2550" s="31" t="n">
        <v>8</v>
      </c>
      <c r="H2550" s="30" t="n"/>
      <c r="I2550" s="43" t="n"/>
      <c r="J2550" s="41" t="n"/>
      <c r="K2550" s="41" t="n"/>
      <c r="L2550" s="41" t="n"/>
      <c r="M2550" s="31">
        <f>IF(COUNT(J2550:L2550)=0,"",MEDIAN(J2550:L2550))</f>
        <v/>
      </c>
      <c r="N2550" s="26">
        <f>IF(COUNTIFS($C:$C,$C2550,$D:$D,$D2550,$E:$E,"P0(전)",$M:$M,"&gt;0")&lt;&gt;1,"P0(전) 유효 1개 아님",IF(COUNTIFS($C:$C,$C2550,$D:$D,$D2550,$E:$E,"P0(후)",$M:$M,"&gt;0")&lt;&gt;1,"P0(후) 유효 1개 아님",IF(NOT(AND(ISNUMBER(O2550),ISNUMBER(Q2550),ISNUMBER(I2550))),"시각 결측",IF(Q2550&lt;=O2550,"P0 시각 역전",IF(OR(I2550&lt;O2550,I2550&gt;Q2550),"측정시각 구간 밖","OK")))))</f>
        <v/>
      </c>
      <c r="O2550" s="48">
        <f>IF(COUNTIFS($C:$C,$C2550,$D:$D,$D2550,$E:$E,"P0(전)",$M:$M,"&gt;0")&lt;&gt;1,"",SUMIFS($I:$I,$C:$C,$C2550,$D:$D,$D2550,$E:$E,"P0(전)"))</f>
        <v/>
      </c>
      <c r="P2550" s="31">
        <f>IF(COUNTIFS($C:$C,$C2550,$D:$D,$D2550,$E:$E,"P0(전)",$M:$M,"&gt;0")&lt;&gt;1,"",SUMIFS($M:$M,$C:$C,$C2550,$D:$D,$D2550,$E:$E,"P0(전)"))</f>
        <v/>
      </c>
      <c r="Q2550" s="48">
        <f>IF(COUNTIFS($C:$C,$C2550,$D:$D,$D2550,$E:$E,"P0(후)",$M:$M,"&gt;0")&lt;&gt;1,"",SUMIFS($I:$I,$C:$C,$C2550,$D:$D,$D2550,$E:$E,"P0(후)"))</f>
        <v/>
      </c>
      <c r="R2550" s="31">
        <f>IF(COUNTIFS($C:$C,$C2550,$D:$D,$D2550,$E:$E,"P0(후)",$M:$M,"&gt;0")&lt;&gt;1,"",SUMIFS($M:$M,$C:$C,$C2550,$D:$D,$D2550,$E:$E,"P0(후)"))</f>
        <v/>
      </c>
      <c r="S2550" s="31">
        <f>IF(N2550&lt;&gt;"OK","",P2550+(R2550-P2550)*(I2550-O2550)/(Q2550-O2550))</f>
        <v/>
      </c>
      <c r="T2550" s="31">
        <f>IF(OR(N2550&lt;&gt;"OK",NOT(ISNUMBER(M2550))),"",M2550-S2550)</f>
        <v/>
      </c>
      <c r="U2550" s="49">
        <f>IF(OR(NOT(ISNUMBER(T2550)),IF(ISNUMBER(H2550),H2550,G2550)=0),"",T2550/IF(ISNUMBER(H2550),H2550,G2550))</f>
        <v/>
      </c>
      <c r="V2550" s="49">
        <f>IF(ISNUMBER(U2550),ABS(U2550),"")</f>
        <v/>
      </c>
      <c r="W2550" s="49">
        <f>IF(OR($E2549&lt;&gt;"측정",$C2549&lt;&gt;$C2550,$D2549&lt;&gt;$D2550,NOT(ISNUMBER(M2550)),NOT(ISNUMBER(M2549)),(IF(ISNUMBER(H2550),H2550,G2550)-IF(ISNUMBER(H2549),H2549,G2549))=0),"",(M2550-M2549)/(IF(ISNUMBER(H2550),H2550,G2550)-IF(ISNUMBER(H2549),H2549,G2549)))</f>
        <v/>
      </c>
      <c r="X2550" s="31">
        <f>IF(NOT(AND(ISNUMBER(O2550),ISNUMBER(Q2550))),"",(Q2550-O2550)*1440)</f>
        <v/>
      </c>
      <c r="Y2550" s="29" t="n"/>
      <c r="Z2550" s="29" t="n"/>
      <c r="AA2550" s="29" t="n"/>
      <c r="AB2550" s="32" t="n"/>
      <c r="AC2550" s="32" t="n"/>
    </row>
    <row r="2551">
      <c r="A2551" s="26" t="inlineStr">
        <is>
          <t>S49</t>
        </is>
      </c>
      <c r="B2551" s="26" t="inlineStr">
        <is>
          <t>제천</t>
        </is>
      </c>
      <c r="C2551" s="26" t="inlineStr">
        <is>
          <t>S49-H북</t>
        </is>
      </c>
      <c r="D2551" s="47" t="n">
        <v>1</v>
      </c>
      <c r="E2551" s="26" t="inlineStr">
        <is>
          <t>측정</t>
        </is>
      </c>
      <c r="F2551" s="26" t="inlineStr">
        <is>
          <t>북</t>
        </is>
      </c>
      <c r="G2551" s="31" t="n">
        <v>9</v>
      </c>
      <c r="H2551" s="30" t="n"/>
      <c r="I2551" s="43" t="n"/>
      <c r="J2551" s="41" t="n"/>
      <c r="K2551" s="41" t="n"/>
      <c r="L2551" s="41" t="n"/>
      <c r="M2551" s="31">
        <f>IF(COUNT(J2551:L2551)=0,"",MEDIAN(J2551:L2551))</f>
        <v/>
      </c>
      <c r="N2551" s="26">
        <f>IF(COUNTIFS($C:$C,$C2551,$D:$D,$D2551,$E:$E,"P0(전)",$M:$M,"&gt;0")&lt;&gt;1,"P0(전) 유효 1개 아님",IF(COUNTIFS($C:$C,$C2551,$D:$D,$D2551,$E:$E,"P0(후)",$M:$M,"&gt;0")&lt;&gt;1,"P0(후) 유효 1개 아님",IF(NOT(AND(ISNUMBER(O2551),ISNUMBER(Q2551),ISNUMBER(I2551))),"시각 결측",IF(Q2551&lt;=O2551,"P0 시각 역전",IF(OR(I2551&lt;O2551,I2551&gt;Q2551),"측정시각 구간 밖","OK")))))</f>
        <v/>
      </c>
      <c r="O2551" s="48">
        <f>IF(COUNTIFS($C:$C,$C2551,$D:$D,$D2551,$E:$E,"P0(전)",$M:$M,"&gt;0")&lt;&gt;1,"",SUMIFS($I:$I,$C:$C,$C2551,$D:$D,$D2551,$E:$E,"P0(전)"))</f>
        <v/>
      </c>
      <c r="P2551" s="31">
        <f>IF(COUNTIFS($C:$C,$C2551,$D:$D,$D2551,$E:$E,"P0(전)",$M:$M,"&gt;0")&lt;&gt;1,"",SUMIFS($M:$M,$C:$C,$C2551,$D:$D,$D2551,$E:$E,"P0(전)"))</f>
        <v/>
      </c>
      <c r="Q2551" s="48">
        <f>IF(COUNTIFS($C:$C,$C2551,$D:$D,$D2551,$E:$E,"P0(후)",$M:$M,"&gt;0")&lt;&gt;1,"",SUMIFS($I:$I,$C:$C,$C2551,$D:$D,$D2551,$E:$E,"P0(후)"))</f>
        <v/>
      </c>
      <c r="R2551" s="31">
        <f>IF(COUNTIFS($C:$C,$C2551,$D:$D,$D2551,$E:$E,"P0(후)",$M:$M,"&gt;0")&lt;&gt;1,"",SUMIFS($M:$M,$C:$C,$C2551,$D:$D,$D2551,$E:$E,"P0(후)"))</f>
        <v/>
      </c>
      <c r="S2551" s="31">
        <f>IF(N2551&lt;&gt;"OK","",P2551+(R2551-P2551)*(I2551-O2551)/(Q2551-O2551))</f>
        <v/>
      </c>
      <c r="T2551" s="31">
        <f>IF(OR(N2551&lt;&gt;"OK",NOT(ISNUMBER(M2551))),"",M2551-S2551)</f>
        <v/>
      </c>
      <c r="U2551" s="49">
        <f>IF(OR(NOT(ISNUMBER(T2551)),IF(ISNUMBER(H2551),H2551,G2551)=0),"",T2551/IF(ISNUMBER(H2551),H2551,G2551))</f>
        <v/>
      </c>
      <c r="V2551" s="49">
        <f>IF(ISNUMBER(U2551),ABS(U2551),"")</f>
        <v/>
      </c>
      <c r="W2551" s="49">
        <f>IF(OR($E2550&lt;&gt;"측정",$C2550&lt;&gt;$C2551,$D2550&lt;&gt;$D2551,NOT(ISNUMBER(M2551)),NOT(ISNUMBER(M2550)),(IF(ISNUMBER(H2551),H2551,G2551)-IF(ISNUMBER(H2550),H2550,G2550))=0),"",(M2551-M2550)/(IF(ISNUMBER(H2551),H2551,G2551)-IF(ISNUMBER(H2550),H2550,G2550)))</f>
        <v/>
      </c>
      <c r="X2551" s="31">
        <f>IF(NOT(AND(ISNUMBER(O2551),ISNUMBER(Q2551))),"",(Q2551-O2551)*1440)</f>
        <v/>
      </c>
      <c r="Y2551" s="29" t="n"/>
      <c r="Z2551" s="29" t="n"/>
      <c r="AA2551" s="29" t="n"/>
      <c r="AB2551" s="32" t="n"/>
      <c r="AC2551" s="32" t="n"/>
    </row>
    <row r="2552">
      <c r="A2552" s="26" t="inlineStr">
        <is>
          <t>S49</t>
        </is>
      </c>
      <c r="B2552" s="26" t="inlineStr">
        <is>
          <t>제천</t>
        </is>
      </c>
      <c r="C2552" s="26" t="inlineStr">
        <is>
          <t>S49-H북</t>
        </is>
      </c>
      <c r="D2552" s="47" t="n">
        <v>1</v>
      </c>
      <c r="E2552" s="26" t="inlineStr">
        <is>
          <t>측정</t>
        </is>
      </c>
      <c r="F2552" s="26" t="inlineStr">
        <is>
          <t>북</t>
        </is>
      </c>
      <c r="G2552" s="31" t="n">
        <v>10</v>
      </c>
      <c r="H2552" s="30" t="n"/>
      <c r="I2552" s="43" t="n"/>
      <c r="J2552" s="41" t="n"/>
      <c r="K2552" s="41" t="n"/>
      <c r="L2552" s="41" t="n"/>
      <c r="M2552" s="31">
        <f>IF(COUNT(J2552:L2552)=0,"",MEDIAN(J2552:L2552))</f>
        <v/>
      </c>
      <c r="N2552" s="26">
        <f>IF(COUNTIFS($C:$C,$C2552,$D:$D,$D2552,$E:$E,"P0(전)",$M:$M,"&gt;0")&lt;&gt;1,"P0(전) 유효 1개 아님",IF(COUNTIFS($C:$C,$C2552,$D:$D,$D2552,$E:$E,"P0(후)",$M:$M,"&gt;0")&lt;&gt;1,"P0(후) 유효 1개 아님",IF(NOT(AND(ISNUMBER(O2552),ISNUMBER(Q2552),ISNUMBER(I2552))),"시각 결측",IF(Q2552&lt;=O2552,"P0 시각 역전",IF(OR(I2552&lt;O2552,I2552&gt;Q2552),"측정시각 구간 밖","OK")))))</f>
        <v/>
      </c>
      <c r="O2552" s="48">
        <f>IF(COUNTIFS($C:$C,$C2552,$D:$D,$D2552,$E:$E,"P0(전)",$M:$M,"&gt;0")&lt;&gt;1,"",SUMIFS($I:$I,$C:$C,$C2552,$D:$D,$D2552,$E:$E,"P0(전)"))</f>
        <v/>
      </c>
      <c r="P2552" s="31">
        <f>IF(COUNTIFS($C:$C,$C2552,$D:$D,$D2552,$E:$E,"P0(전)",$M:$M,"&gt;0")&lt;&gt;1,"",SUMIFS($M:$M,$C:$C,$C2552,$D:$D,$D2552,$E:$E,"P0(전)"))</f>
        <v/>
      </c>
      <c r="Q2552" s="48">
        <f>IF(COUNTIFS($C:$C,$C2552,$D:$D,$D2552,$E:$E,"P0(후)",$M:$M,"&gt;0")&lt;&gt;1,"",SUMIFS($I:$I,$C:$C,$C2552,$D:$D,$D2552,$E:$E,"P0(후)"))</f>
        <v/>
      </c>
      <c r="R2552" s="31">
        <f>IF(COUNTIFS($C:$C,$C2552,$D:$D,$D2552,$E:$E,"P0(후)",$M:$M,"&gt;0")&lt;&gt;1,"",SUMIFS($M:$M,$C:$C,$C2552,$D:$D,$D2552,$E:$E,"P0(후)"))</f>
        <v/>
      </c>
      <c r="S2552" s="31">
        <f>IF(N2552&lt;&gt;"OK","",P2552+(R2552-P2552)*(I2552-O2552)/(Q2552-O2552))</f>
        <v/>
      </c>
      <c r="T2552" s="31">
        <f>IF(OR(N2552&lt;&gt;"OK",NOT(ISNUMBER(M2552))),"",M2552-S2552)</f>
        <v/>
      </c>
      <c r="U2552" s="49">
        <f>IF(OR(NOT(ISNUMBER(T2552)),IF(ISNUMBER(H2552),H2552,G2552)=0),"",T2552/IF(ISNUMBER(H2552),H2552,G2552))</f>
        <v/>
      </c>
      <c r="V2552" s="49">
        <f>IF(ISNUMBER(U2552),ABS(U2552),"")</f>
        <v/>
      </c>
      <c r="W2552" s="49">
        <f>IF(OR($E2551&lt;&gt;"측정",$C2551&lt;&gt;$C2552,$D2551&lt;&gt;$D2552,NOT(ISNUMBER(M2552)),NOT(ISNUMBER(M2551)),(IF(ISNUMBER(H2552),H2552,G2552)-IF(ISNUMBER(H2551),H2551,G2551))=0),"",(M2552-M2551)/(IF(ISNUMBER(H2552),H2552,G2552)-IF(ISNUMBER(H2551),H2551,G2551)))</f>
        <v/>
      </c>
      <c r="X2552" s="31">
        <f>IF(NOT(AND(ISNUMBER(O2552),ISNUMBER(Q2552))),"",(Q2552-O2552)*1440)</f>
        <v/>
      </c>
      <c r="Y2552" s="29" t="n"/>
      <c r="Z2552" s="29" t="n"/>
      <c r="AA2552" s="29" t="n"/>
      <c r="AB2552" s="32" t="n"/>
      <c r="AC2552" s="32" t="n"/>
    </row>
    <row r="2553">
      <c r="A2553" s="44" t="inlineStr">
        <is>
          <t>S49</t>
        </is>
      </c>
      <c r="B2553" s="44" t="inlineStr">
        <is>
          <t>제천</t>
        </is>
      </c>
      <c r="C2553" s="44" t="inlineStr">
        <is>
          <t>S49-H북</t>
        </is>
      </c>
      <c r="D2553" s="45" t="n">
        <v>1</v>
      </c>
      <c r="E2553" s="44" t="inlineStr">
        <is>
          <t>P0(후)</t>
        </is>
      </c>
      <c r="F2553" s="44" t="inlineStr">
        <is>
          <t>북</t>
        </is>
      </c>
      <c r="G2553" s="46" t="n"/>
      <c r="H2553" s="30" t="n"/>
      <c r="I2553" s="43" t="n"/>
      <c r="J2553" s="41" t="n"/>
      <c r="K2553" s="41" t="n"/>
      <c r="L2553" s="41" t="n"/>
      <c r="M2553" s="31">
        <f>IF(COUNT(J2553:L2553)=0,"",MEDIAN(J2553:L2553))</f>
        <v/>
      </c>
      <c r="N2553" s="38" t="n"/>
      <c r="O2553" s="38" t="n"/>
      <c r="P2553" s="38" t="n"/>
      <c r="Q2553" s="38" t="n"/>
      <c r="R2553" s="38" t="n"/>
      <c r="S2553" s="38" t="n"/>
      <c r="T2553" s="38" t="n"/>
      <c r="U2553" s="38" t="n"/>
      <c r="V2553" s="38" t="n"/>
      <c r="W2553" s="38" t="n"/>
      <c r="X2553" s="38" t="n"/>
      <c r="Y2553" s="29" t="n"/>
      <c r="Z2553" s="29" t="n"/>
      <c r="AA2553" s="29" t="n"/>
      <c r="AB2553" s="32" t="n"/>
      <c r="AC2553" s="32" t="n"/>
    </row>
    <row r="2554">
      <c r="A2554" s="44" t="inlineStr">
        <is>
          <t>S50</t>
        </is>
      </c>
      <c r="B2554" s="44" t="inlineStr">
        <is>
          <t>함양</t>
        </is>
      </c>
      <c r="C2554" s="44" t="inlineStr">
        <is>
          <t>S50-H동</t>
        </is>
      </c>
      <c r="D2554" s="45" t="n">
        <v>1</v>
      </c>
      <c r="E2554" s="44" t="inlineStr">
        <is>
          <t>P0(전)</t>
        </is>
      </c>
      <c r="F2554" s="44" t="inlineStr">
        <is>
          <t>동</t>
        </is>
      </c>
      <c r="G2554" s="46" t="n"/>
      <c r="H2554" s="30" t="n"/>
      <c r="I2554" s="43" t="n"/>
      <c r="J2554" s="41" t="n"/>
      <c r="K2554" s="41" t="n"/>
      <c r="L2554" s="41" t="n"/>
      <c r="M2554" s="31">
        <f>IF(COUNT(J2554:L2554)=0,"",MEDIAN(J2554:L2554))</f>
        <v/>
      </c>
      <c r="N2554" s="38" t="n"/>
      <c r="O2554" s="38" t="n"/>
      <c r="P2554" s="38" t="n"/>
      <c r="Q2554" s="38" t="n"/>
      <c r="R2554" s="38" t="n"/>
      <c r="S2554" s="38" t="n"/>
      <c r="T2554" s="38" t="n"/>
      <c r="U2554" s="38" t="n"/>
      <c r="V2554" s="38" t="n"/>
      <c r="W2554" s="38" t="n"/>
      <c r="X2554" s="38" t="n"/>
      <c r="Y2554" s="29" t="n"/>
      <c r="Z2554" s="29" t="n"/>
      <c r="AA2554" s="29" t="n"/>
      <c r="AB2554" s="32" t="n"/>
      <c r="AC2554" s="32" t="n"/>
    </row>
    <row r="2555">
      <c r="A2555" s="26" t="inlineStr">
        <is>
          <t>S50</t>
        </is>
      </c>
      <c r="B2555" s="26" t="inlineStr">
        <is>
          <t>함양</t>
        </is>
      </c>
      <c r="C2555" s="26" t="inlineStr">
        <is>
          <t>S50-H동</t>
        </is>
      </c>
      <c r="D2555" s="47" t="n">
        <v>1</v>
      </c>
      <c r="E2555" s="26" t="inlineStr">
        <is>
          <t>측정</t>
        </is>
      </c>
      <c r="F2555" s="26" t="inlineStr">
        <is>
          <t>동</t>
        </is>
      </c>
      <c r="G2555" s="31" t="n">
        <v>0.5</v>
      </c>
      <c r="H2555" s="30" t="n"/>
      <c r="I2555" s="43" t="n"/>
      <c r="J2555" s="41" t="n"/>
      <c r="K2555" s="41" t="n"/>
      <c r="L2555" s="41" t="n"/>
      <c r="M2555" s="31">
        <f>IF(COUNT(J2555:L2555)=0,"",MEDIAN(J2555:L2555))</f>
        <v/>
      </c>
      <c r="N2555" s="26">
        <f>IF(COUNTIFS($C:$C,$C2555,$D:$D,$D2555,$E:$E,"P0(전)",$M:$M,"&gt;0")&lt;&gt;1,"P0(전) 유효 1개 아님",IF(COUNTIFS($C:$C,$C2555,$D:$D,$D2555,$E:$E,"P0(후)",$M:$M,"&gt;0")&lt;&gt;1,"P0(후) 유효 1개 아님",IF(NOT(AND(ISNUMBER(O2555),ISNUMBER(Q2555),ISNUMBER(I2555))),"시각 결측",IF(Q2555&lt;=O2555,"P0 시각 역전",IF(OR(I2555&lt;O2555,I2555&gt;Q2555),"측정시각 구간 밖","OK")))))</f>
        <v/>
      </c>
      <c r="O2555" s="48">
        <f>IF(COUNTIFS($C:$C,$C2555,$D:$D,$D2555,$E:$E,"P0(전)",$M:$M,"&gt;0")&lt;&gt;1,"",SUMIFS($I:$I,$C:$C,$C2555,$D:$D,$D2555,$E:$E,"P0(전)"))</f>
        <v/>
      </c>
      <c r="P2555" s="31">
        <f>IF(COUNTIFS($C:$C,$C2555,$D:$D,$D2555,$E:$E,"P0(전)",$M:$M,"&gt;0")&lt;&gt;1,"",SUMIFS($M:$M,$C:$C,$C2555,$D:$D,$D2555,$E:$E,"P0(전)"))</f>
        <v/>
      </c>
      <c r="Q2555" s="48">
        <f>IF(COUNTIFS($C:$C,$C2555,$D:$D,$D2555,$E:$E,"P0(후)",$M:$M,"&gt;0")&lt;&gt;1,"",SUMIFS($I:$I,$C:$C,$C2555,$D:$D,$D2555,$E:$E,"P0(후)"))</f>
        <v/>
      </c>
      <c r="R2555" s="31">
        <f>IF(COUNTIFS($C:$C,$C2555,$D:$D,$D2555,$E:$E,"P0(후)",$M:$M,"&gt;0")&lt;&gt;1,"",SUMIFS($M:$M,$C:$C,$C2555,$D:$D,$D2555,$E:$E,"P0(후)"))</f>
        <v/>
      </c>
      <c r="S2555" s="31">
        <f>IF(N2555&lt;&gt;"OK","",P2555+(R2555-P2555)*(I2555-O2555)/(Q2555-O2555))</f>
        <v/>
      </c>
      <c r="T2555" s="31">
        <f>IF(OR(N2555&lt;&gt;"OK",NOT(ISNUMBER(M2555))),"",M2555-S2555)</f>
        <v/>
      </c>
      <c r="U2555" s="49">
        <f>IF(OR(NOT(ISNUMBER(T2555)),IF(ISNUMBER(H2555),H2555,G2555)=0),"",T2555/IF(ISNUMBER(H2555),H2555,G2555))</f>
        <v/>
      </c>
      <c r="V2555" s="49">
        <f>IF(ISNUMBER(U2555),ABS(U2555),"")</f>
        <v/>
      </c>
      <c r="W2555" s="49">
        <f>IF(OR($E2554&lt;&gt;"측정",$C2554&lt;&gt;$C2555,$D2554&lt;&gt;$D2555,NOT(ISNUMBER(M2555)),NOT(ISNUMBER(M2554)),(IF(ISNUMBER(H2555),H2555,G2555)-IF(ISNUMBER(H2554),H2554,G2554))=0),"",(M2555-M2554)/(IF(ISNUMBER(H2555),H2555,G2555)-IF(ISNUMBER(H2554),H2554,G2554)))</f>
        <v/>
      </c>
      <c r="X2555" s="31">
        <f>IF(NOT(AND(ISNUMBER(O2555),ISNUMBER(Q2555))),"",(Q2555-O2555)*1440)</f>
        <v/>
      </c>
      <c r="Y2555" s="29" t="n"/>
      <c r="Z2555" s="29" t="n"/>
      <c r="AA2555" s="29" t="n"/>
      <c r="AB2555" s="32" t="n"/>
      <c r="AC2555" s="32" t="n"/>
    </row>
    <row r="2556">
      <c r="A2556" s="26" t="inlineStr">
        <is>
          <t>S50</t>
        </is>
      </c>
      <c r="B2556" s="26" t="inlineStr">
        <is>
          <t>함양</t>
        </is>
      </c>
      <c r="C2556" s="26" t="inlineStr">
        <is>
          <t>S50-H동</t>
        </is>
      </c>
      <c r="D2556" s="47" t="n">
        <v>1</v>
      </c>
      <c r="E2556" s="26" t="inlineStr">
        <is>
          <t>측정</t>
        </is>
      </c>
      <c r="F2556" s="26" t="inlineStr">
        <is>
          <t>동</t>
        </is>
      </c>
      <c r="G2556" s="31" t="n">
        <v>1</v>
      </c>
      <c r="H2556" s="30" t="n"/>
      <c r="I2556" s="43" t="n"/>
      <c r="J2556" s="41" t="n"/>
      <c r="K2556" s="41" t="n"/>
      <c r="L2556" s="41" t="n"/>
      <c r="M2556" s="31">
        <f>IF(COUNT(J2556:L2556)=0,"",MEDIAN(J2556:L2556))</f>
        <v/>
      </c>
      <c r="N2556" s="26">
        <f>IF(COUNTIFS($C:$C,$C2556,$D:$D,$D2556,$E:$E,"P0(전)",$M:$M,"&gt;0")&lt;&gt;1,"P0(전) 유효 1개 아님",IF(COUNTIFS($C:$C,$C2556,$D:$D,$D2556,$E:$E,"P0(후)",$M:$M,"&gt;0")&lt;&gt;1,"P0(후) 유효 1개 아님",IF(NOT(AND(ISNUMBER(O2556),ISNUMBER(Q2556),ISNUMBER(I2556))),"시각 결측",IF(Q2556&lt;=O2556,"P0 시각 역전",IF(OR(I2556&lt;O2556,I2556&gt;Q2556),"측정시각 구간 밖","OK")))))</f>
        <v/>
      </c>
      <c r="O2556" s="48">
        <f>IF(COUNTIFS($C:$C,$C2556,$D:$D,$D2556,$E:$E,"P0(전)",$M:$M,"&gt;0")&lt;&gt;1,"",SUMIFS($I:$I,$C:$C,$C2556,$D:$D,$D2556,$E:$E,"P0(전)"))</f>
        <v/>
      </c>
      <c r="P2556" s="31">
        <f>IF(COUNTIFS($C:$C,$C2556,$D:$D,$D2556,$E:$E,"P0(전)",$M:$M,"&gt;0")&lt;&gt;1,"",SUMIFS($M:$M,$C:$C,$C2556,$D:$D,$D2556,$E:$E,"P0(전)"))</f>
        <v/>
      </c>
      <c r="Q2556" s="48">
        <f>IF(COUNTIFS($C:$C,$C2556,$D:$D,$D2556,$E:$E,"P0(후)",$M:$M,"&gt;0")&lt;&gt;1,"",SUMIFS($I:$I,$C:$C,$C2556,$D:$D,$D2556,$E:$E,"P0(후)"))</f>
        <v/>
      </c>
      <c r="R2556" s="31">
        <f>IF(COUNTIFS($C:$C,$C2556,$D:$D,$D2556,$E:$E,"P0(후)",$M:$M,"&gt;0")&lt;&gt;1,"",SUMIFS($M:$M,$C:$C,$C2556,$D:$D,$D2556,$E:$E,"P0(후)"))</f>
        <v/>
      </c>
      <c r="S2556" s="31">
        <f>IF(N2556&lt;&gt;"OK","",P2556+(R2556-P2556)*(I2556-O2556)/(Q2556-O2556))</f>
        <v/>
      </c>
      <c r="T2556" s="31">
        <f>IF(OR(N2556&lt;&gt;"OK",NOT(ISNUMBER(M2556))),"",M2556-S2556)</f>
        <v/>
      </c>
      <c r="U2556" s="49">
        <f>IF(OR(NOT(ISNUMBER(T2556)),IF(ISNUMBER(H2556),H2556,G2556)=0),"",T2556/IF(ISNUMBER(H2556),H2556,G2556))</f>
        <v/>
      </c>
      <c r="V2556" s="49">
        <f>IF(ISNUMBER(U2556),ABS(U2556),"")</f>
        <v/>
      </c>
      <c r="W2556" s="49">
        <f>IF(OR($E2555&lt;&gt;"측정",$C2555&lt;&gt;$C2556,$D2555&lt;&gt;$D2556,NOT(ISNUMBER(M2556)),NOT(ISNUMBER(M2555)),(IF(ISNUMBER(H2556),H2556,G2556)-IF(ISNUMBER(H2555),H2555,G2555))=0),"",(M2556-M2555)/(IF(ISNUMBER(H2556),H2556,G2556)-IF(ISNUMBER(H2555),H2555,G2555)))</f>
        <v/>
      </c>
      <c r="X2556" s="31">
        <f>IF(NOT(AND(ISNUMBER(O2556),ISNUMBER(Q2556))),"",(Q2556-O2556)*1440)</f>
        <v/>
      </c>
      <c r="Y2556" s="29" t="n"/>
      <c r="Z2556" s="29" t="n"/>
      <c r="AA2556" s="29" t="n"/>
      <c r="AB2556" s="32" t="n"/>
      <c r="AC2556" s="32" t="n"/>
    </row>
    <row r="2557">
      <c r="A2557" s="26" t="inlineStr">
        <is>
          <t>S50</t>
        </is>
      </c>
      <c r="B2557" s="26" t="inlineStr">
        <is>
          <t>함양</t>
        </is>
      </c>
      <c r="C2557" s="26" t="inlineStr">
        <is>
          <t>S50-H동</t>
        </is>
      </c>
      <c r="D2557" s="47" t="n">
        <v>1</v>
      </c>
      <c r="E2557" s="26" t="inlineStr">
        <is>
          <t>측정</t>
        </is>
      </c>
      <c r="F2557" s="26" t="inlineStr">
        <is>
          <t>동</t>
        </is>
      </c>
      <c r="G2557" s="31" t="n">
        <v>2</v>
      </c>
      <c r="H2557" s="30" t="n"/>
      <c r="I2557" s="43" t="n"/>
      <c r="J2557" s="41" t="n"/>
      <c r="K2557" s="41" t="n"/>
      <c r="L2557" s="41" t="n"/>
      <c r="M2557" s="31">
        <f>IF(COUNT(J2557:L2557)=0,"",MEDIAN(J2557:L2557))</f>
        <v/>
      </c>
      <c r="N2557" s="26">
        <f>IF(COUNTIFS($C:$C,$C2557,$D:$D,$D2557,$E:$E,"P0(전)",$M:$M,"&gt;0")&lt;&gt;1,"P0(전) 유효 1개 아님",IF(COUNTIFS($C:$C,$C2557,$D:$D,$D2557,$E:$E,"P0(후)",$M:$M,"&gt;0")&lt;&gt;1,"P0(후) 유효 1개 아님",IF(NOT(AND(ISNUMBER(O2557),ISNUMBER(Q2557),ISNUMBER(I2557))),"시각 결측",IF(Q2557&lt;=O2557,"P0 시각 역전",IF(OR(I2557&lt;O2557,I2557&gt;Q2557),"측정시각 구간 밖","OK")))))</f>
        <v/>
      </c>
      <c r="O2557" s="48">
        <f>IF(COUNTIFS($C:$C,$C2557,$D:$D,$D2557,$E:$E,"P0(전)",$M:$M,"&gt;0")&lt;&gt;1,"",SUMIFS($I:$I,$C:$C,$C2557,$D:$D,$D2557,$E:$E,"P0(전)"))</f>
        <v/>
      </c>
      <c r="P2557" s="31">
        <f>IF(COUNTIFS($C:$C,$C2557,$D:$D,$D2557,$E:$E,"P0(전)",$M:$M,"&gt;0")&lt;&gt;1,"",SUMIFS($M:$M,$C:$C,$C2557,$D:$D,$D2557,$E:$E,"P0(전)"))</f>
        <v/>
      </c>
      <c r="Q2557" s="48">
        <f>IF(COUNTIFS($C:$C,$C2557,$D:$D,$D2557,$E:$E,"P0(후)",$M:$M,"&gt;0")&lt;&gt;1,"",SUMIFS($I:$I,$C:$C,$C2557,$D:$D,$D2557,$E:$E,"P0(후)"))</f>
        <v/>
      </c>
      <c r="R2557" s="31">
        <f>IF(COUNTIFS($C:$C,$C2557,$D:$D,$D2557,$E:$E,"P0(후)",$M:$M,"&gt;0")&lt;&gt;1,"",SUMIFS($M:$M,$C:$C,$C2557,$D:$D,$D2557,$E:$E,"P0(후)"))</f>
        <v/>
      </c>
      <c r="S2557" s="31">
        <f>IF(N2557&lt;&gt;"OK","",P2557+(R2557-P2557)*(I2557-O2557)/(Q2557-O2557))</f>
        <v/>
      </c>
      <c r="T2557" s="31">
        <f>IF(OR(N2557&lt;&gt;"OK",NOT(ISNUMBER(M2557))),"",M2557-S2557)</f>
        <v/>
      </c>
      <c r="U2557" s="49">
        <f>IF(OR(NOT(ISNUMBER(T2557)),IF(ISNUMBER(H2557),H2557,G2557)=0),"",T2557/IF(ISNUMBER(H2557),H2557,G2557))</f>
        <v/>
      </c>
      <c r="V2557" s="49">
        <f>IF(ISNUMBER(U2557),ABS(U2557),"")</f>
        <v/>
      </c>
      <c r="W2557" s="49">
        <f>IF(OR($E2556&lt;&gt;"측정",$C2556&lt;&gt;$C2557,$D2556&lt;&gt;$D2557,NOT(ISNUMBER(M2557)),NOT(ISNUMBER(M2556)),(IF(ISNUMBER(H2557),H2557,G2557)-IF(ISNUMBER(H2556),H2556,G2556))=0),"",(M2557-M2556)/(IF(ISNUMBER(H2557),H2557,G2557)-IF(ISNUMBER(H2556),H2556,G2556)))</f>
        <v/>
      </c>
      <c r="X2557" s="31">
        <f>IF(NOT(AND(ISNUMBER(O2557),ISNUMBER(Q2557))),"",(Q2557-O2557)*1440)</f>
        <v/>
      </c>
      <c r="Y2557" s="29" t="n"/>
      <c r="Z2557" s="29" t="n"/>
      <c r="AA2557" s="29" t="n"/>
      <c r="AB2557" s="32" t="n"/>
      <c r="AC2557" s="32" t="n"/>
    </row>
    <row r="2558">
      <c r="A2558" s="26" t="inlineStr">
        <is>
          <t>S50</t>
        </is>
      </c>
      <c r="B2558" s="26" t="inlineStr">
        <is>
          <t>함양</t>
        </is>
      </c>
      <c r="C2558" s="26" t="inlineStr">
        <is>
          <t>S50-H동</t>
        </is>
      </c>
      <c r="D2558" s="47" t="n">
        <v>1</v>
      </c>
      <c r="E2558" s="26" t="inlineStr">
        <is>
          <t>측정</t>
        </is>
      </c>
      <c r="F2558" s="26" t="inlineStr">
        <is>
          <t>동</t>
        </is>
      </c>
      <c r="G2558" s="31" t="n">
        <v>3</v>
      </c>
      <c r="H2558" s="30" t="n"/>
      <c r="I2558" s="43" t="n"/>
      <c r="J2558" s="41" t="n"/>
      <c r="K2558" s="41" t="n"/>
      <c r="L2558" s="41" t="n"/>
      <c r="M2558" s="31">
        <f>IF(COUNT(J2558:L2558)=0,"",MEDIAN(J2558:L2558))</f>
        <v/>
      </c>
      <c r="N2558" s="26">
        <f>IF(COUNTIFS($C:$C,$C2558,$D:$D,$D2558,$E:$E,"P0(전)",$M:$M,"&gt;0")&lt;&gt;1,"P0(전) 유효 1개 아님",IF(COUNTIFS($C:$C,$C2558,$D:$D,$D2558,$E:$E,"P0(후)",$M:$M,"&gt;0")&lt;&gt;1,"P0(후) 유효 1개 아님",IF(NOT(AND(ISNUMBER(O2558),ISNUMBER(Q2558),ISNUMBER(I2558))),"시각 결측",IF(Q2558&lt;=O2558,"P0 시각 역전",IF(OR(I2558&lt;O2558,I2558&gt;Q2558),"측정시각 구간 밖","OK")))))</f>
        <v/>
      </c>
      <c r="O2558" s="48">
        <f>IF(COUNTIFS($C:$C,$C2558,$D:$D,$D2558,$E:$E,"P0(전)",$M:$M,"&gt;0")&lt;&gt;1,"",SUMIFS($I:$I,$C:$C,$C2558,$D:$D,$D2558,$E:$E,"P0(전)"))</f>
        <v/>
      </c>
      <c r="P2558" s="31">
        <f>IF(COUNTIFS($C:$C,$C2558,$D:$D,$D2558,$E:$E,"P0(전)",$M:$M,"&gt;0")&lt;&gt;1,"",SUMIFS($M:$M,$C:$C,$C2558,$D:$D,$D2558,$E:$E,"P0(전)"))</f>
        <v/>
      </c>
      <c r="Q2558" s="48">
        <f>IF(COUNTIFS($C:$C,$C2558,$D:$D,$D2558,$E:$E,"P0(후)",$M:$M,"&gt;0")&lt;&gt;1,"",SUMIFS($I:$I,$C:$C,$C2558,$D:$D,$D2558,$E:$E,"P0(후)"))</f>
        <v/>
      </c>
      <c r="R2558" s="31">
        <f>IF(COUNTIFS($C:$C,$C2558,$D:$D,$D2558,$E:$E,"P0(후)",$M:$M,"&gt;0")&lt;&gt;1,"",SUMIFS($M:$M,$C:$C,$C2558,$D:$D,$D2558,$E:$E,"P0(후)"))</f>
        <v/>
      </c>
      <c r="S2558" s="31">
        <f>IF(N2558&lt;&gt;"OK","",P2558+(R2558-P2558)*(I2558-O2558)/(Q2558-O2558))</f>
        <v/>
      </c>
      <c r="T2558" s="31">
        <f>IF(OR(N2558&lt;&gt;"OK",NOT(ISNUMBER(M2558))),"",M2558-S2558)</f>
        <v/>
      </c>
      <c r="U2558" s="49">
        <f>IF(OR(NOT(ISNUMBER(T2558)),IF(ISNUMBER(H2558),H2558,G2558)=0),"",T2558/IF(ISNUMBER(H2558),H2558,G2558))</f>
        <v/>
      </c>
      <c r="V2558" s="49">
        <f>IF(ISNUMBER(U2558),ABS(U2558),"")</f>
        <v/>
      </c>
      <c r="W2558" s="49">
        <f>IF(OR($E2557&lt;&gt;"측정",$C2557&lt;&gt;$C2558,$D2557&lt;&gt;$D2558,NOT(ISNUMBER(M2558)),NOT(ISNUMBER(M2557)),(IF(ISNUMBER(H2558),H2558,G2558)-IF(ISNUMBER(H2557),H2557,G2557))=0),"",(M2558-M2557)/(IF(ISNUMBER(H2558),H2558,G2558)-IF(ISNUMBER(H2557),H2557,G2557)))</f>
        <v/>
      </c>
      <c r="X2558" s="31">
        <f>IF(NOT(AND(ISNUMBER(O2558),ISNUMBER(Q2558))),"",(Q2558-O2558)*1440)</f>
        <v/>
      </c>
      <c r="Y2558" s="29" t="n"/>
      <c r="Z2558" s="29" t="n"/>
      <c r="AA2558" s="29" t="n"/>
      <c r="AB2558" s="32" t="n"/>
      <c r="AC2558" s="32" t="n"/>
    </row>
    <row r="2559">
      <c r="A2559" s="26" t="inlineStr">
        <is>
          <t>S50</t>
        </is>
      </c>
      <c r="B2559" s="26" t="inlineStr">
        <is>
          <t>함양</t>
        </is>
      </c>
      <c r="C2559" s="26" t="inlineStr">
        <is>
          <t>S50-H동</t>
        </is>
      </c>
      <c r="D2559" s="47" t="n">
        <v>1</v>
      </c>
      <c r="E2559" s="26" t="inlineStr">
        <is>
          <t>측정</t>
        </is>
      </c>
      <c r="F2559" s="26" t="inlineStr">
        <is>
          <t>동</t>
        </is>
      </c>
      <c r="G2559" s="31" t="n">
        <v>4</v>
      </c>
      <c r="H2559" s="30" t="n"/>
      <c r="I2559" s="43" t="n"/>
      <c r="J2559" s="41" t="n"/>
      <c r="K2559" s="41" t="n"/>
      <c r="L2559" s="41" t="n"/>
      <c r="M2559" s="31">
        <f>IF(COUNT(J2559:L2559)=0,"",MEDIAN(J2559:L2559))</f>
        <v/>
      </c>
      <c r="N2559" s="26">
        <f>IF(COUNTIFS($C:$C,$C2559,$D:$D,$D2559,$E:$E,"P0(전)",$M:$M,"&gt;0")&lt;&gt;1,"P0(전) 유효 1개 아님",IF(COUNTIFS($C:$C,$C2559,$D:$D,$D2559,$E:$E,"P0(후)",$M:$M,"&gt;0")&lt;&gt;1,"P0(후) 유효 1개 아님",IF(NOT(AND(ISNUMBER(O2559),ISNUMBER(Q2559),ISNUMBER(I2559))),"시각 결측",IF(Q2559&lt;=O2559,"P0 시각 역전",IF(OR(I2559&lt;O2559,I2559&gt;Q2559),"측정시각 구간 밖","OK")))))</f>
        <v/>
      </c>
      <c r="O2559" s="48">
        <f>IF(COUNTIFS($C:$C,$C2559,$D:$D,$D2559,$E:$E,"P0(전)",$M:$M,"&gt;0")&lt;&gt;1,"",SUMIFS($I:$I,$C:$C,$C2559,$D:$D,$D2559,$E:$E,"P0(전)"))</f>
        <v/>
      </c>
      <c r="P2559" s="31">
        <f>IF(COUNTIFS($C:$C,$C2559,$D:$D,$D2559,$E:$E,"P0(전)",$M:$M,"&gt;0")&lt;&gt;1,"",SUMIFS($M:$M,$C:$C,$C2559,$D:$D,$D2559,$E:$E,"P0(전)"))</f>
        <v/>
      </c>
      <c r="Q2559" s="48">
        <f>IF(COUNTIFS($C:$C,$C2559,$D:$D,$D2559,$E:$E,"P0(후)",$M:$M,"&gt;0")&lt;&gt;1,"",SUMIFS($I:$I,$C:$C,$C2559,$D:$D,$D2559,$E:$E,"P0(후)"))</f>
        <v/>
      </c>
      <c r="R2559" s="31">
        <f>IF(COUNTIFS($C:$C,$C2559,$D:$D,$D2559,$E:$E,"P0(후)",$M:$M,"&gt;0")&lt;&gt;1,"",SUMIFS($M:$M,$C:$C,$C2559,$D:$D,$D2559,$E:$E,"P0(후)"))</f>
        <v/>
      </c>
      <c r="S2559" s="31">
        <f>IF(N2559&lt;&gt;"OK","",P2559+(R2559-P2559)*(I2559-O2559)/(Q2559-O2559))</f>
        <v/>
      </c>
      <c r="T2559" s="31">
        <f>IF(OR(N2559&lt;&gt;"OK",NOT(ISNUMBER(M2559))),"",M2559-S2559)</f>
        <v/>
      </c>
      <c r="U2559" s="49">
        <f>IF(OR(NOT(ISNUMBER(T2559)),IF(ISNUMBER(H2559),H2559,G2559)=0),"",T2559/IF(ISNUMBER(H2559),H2559,G2559))</f>
        <v/>
      </c>
      <c r="V2559" s="49">
        <f>IF(ISNUMBER(U2559),ABS(U2559),"")</f>
        <v/>
      </c>
      <c r="W2559" s="49">
        <f>IF(OR($E2558&lt;&gt;"측정",$C2558&lt;&gt;$C2559,$D2558&lt;&gt;$D2559,NOT(ISNUMBER(M2559)),NOT(ISNUMBER(M2558)),(IF(ISNUMBER(H2559),H2559,G2559)-IF(ISNUMBER(H2558),H2558,G2558))=0),"",(M2559-M2558)/(IF(ISNUMBER(H2559),H2559,G2559)-IF(ISNUMBER(H2558),H2558,G2558)))</f>
        <v/>
      </c>
      <c r="X2559" s="31">
        <f>IF(NOT(AND(ISNUMBER(O2559),ISNUMBER(Q2559))),"",(Q2559-O2559)*1440)</f>
        <v/>
      </c>
      <c r="Y2559" s="29" t="n"/>
      <c r="Z2559" s="29" t="n"/>
      <c r="AA2559" s="29" t="n"/>
      <c r="AB2559" s="32" t="n"/>
      <c r="AC2559" s="32" t="n"/>
    </row>
    <row r="2560">
      <c r="A2560" s="26" t="inlineStr">
        <is>
          <t>S50</t>
        </is>
      </c>
      <c r="B2560" s="26" t="inlineStr">
        <is>
          <t>함양</t>
        </is>
      </c>
      <c r="C2560" s="26" t="inlineStr">
        <is>
          <t>S50-H동</t>
        </is>
      </c>
      <c r="D2560" s="47" t="n">
        <v>1</v>
      </c>
      <c r="E2560" s="26" t="inlineStr">
        <is>
          <t>측정</t>
        </is>
      </c>
      <c r="F2560" s="26" t="inlineStr">
        <is>
          <t>동</t>
        </is>
      </c>
      <c r="G2560" s="31" t="n">
        <v>5</v>
      </c>
      <c r="H2560" s="30" t="n"/>
      <c r="I2560" s="43" t="n"/>
      <c r="J2560" s="41" t="n"/>
      <c r="K2560" s="41" t="n"/>
      <c r="L2560" s="41" t="n"/>
      <c r="M2560" s="31">
        <f>IF(COUNT(J2560:L2560)=0,"",MEDIAN(J2560:L2560))</f>
        <v/>
      </c>
      <c r="N2560" s="26">
        <f>IF(COUNTIFS($C:$C,$C2560,$D:$D,$D2560,$E:$E,"P0(전)",$M:$M,"&gt;0")&lt;&gt;1,"P0(전) 유효 1개 아님",IF(COUNTIFS($C:$C,$C2560,$D:$D,$D2560,$E:$E,"P0(후)",$M:$M,"&gt;0")&lt;&gt;1,"P0(후) 유효 1개 아님",IF(NOT(AND(ISNUMBER(O2560),ISNUMBER(Q2560),ISNUMBER(I2560))),"시각 결측",IF(Q2560&lt;=O2560,"P0 시각 역전",IF(OR(I2560&lt;O2560,I2560&gt;Q2560),"측정시각 구간 밖","OK")))))</f>
        <v/>
      </c>
      <c r="O2560" s="48">
        <f>IF(COUNTIFS($C:$C,$C2560,$D:$D,$D2560,$E:$E,"P0(전)",$M:$M,"&gt;0")&lt;&gt;1,"",SUMIFS($I:$I,$C:$C,$C2560,$D:$D,$D2560,$E:$E,"P0(전)"))</f>
        <v/>
      </c>
      <c r="P2560" s="31">
        <f>IF(COUNTIFS($C:$C,$C2560,$D:$D,$D2560,$E:$E,"P0(전)",$M:$M,"&gt;0")&lt;&gt;1,"",SUMIFS($M:$M,$C:$C,$C2560,$D:$D,$D2560,$E:$E,"P0(전)"))</f>
        <v/>
      </c>
      <c r="Q2560" s="48">
        <f>IF(COUNTIFS($C:$C,$C2560,$D:$D,$D2560,$E:$E,"P0(후)",$M:$M,"&gt;0")&lt;&gt;1,"",SUMIFS($I:$I,$C:$C,$C2560,$D:$D,$D2560,$E:$E,"P0(후)"))</f>
        <v/>
      </c>
      <c r="R2560" s="31">
        <f>IF(COUNTIFS($C:$C,$C2560,$D:$D,$D2560,$E:$E,"P0(후)",$M:$M,"&gt;0")&lt;&gt;1,"",SUMIFS($M:$M,$C:$C,$C2560,$D:$D,$D2560,$E:$E,"P0(후)"))</f>
        <v/>
      </c>
      <c r="S2560" s="31">
        <f>IF(N2560&lt;&gt;"OK","",P2560+(R2560-P2560)*(I2560-O2560)/(Q2560-O2560))</f>
        <v/>
      </c>
      <c r="T2560" s="31">
        <f>IF(OR(N2560&lt;&gt;"OK",NOT(ISNUMBER(M2560))),"",M2560-S2560)</f>
        <v/>
      </c>
      <c r="U2560" s="49">
        <f>IF(OR(NOT(ISNUMBER(T2560)),IF(ISNUMBER(H2560),H2560,G2560)=0),"",T2560/IF(ISNUMBER(H2560),H2560,G2560))</f>
        <v/>
      </c>
      <c r="V2560" s="49">
        <f>IF(ISNUMBER(U2560),ABS(U2560),"")</f>
        <v/>
      </c>
      <c r="W2560" s="49">
        <f>IF(OR($E2559&lt;&gt;"측정",$C2559&lt;&gt;$C2560,$D2559&lt;&gt;$D2560,NOT(ISNUMBER(M2560)),NOT(ISNUMBER(M2559)),(IF(ISNUMBER(H2560),H2560,G2560)-IF(ISNUMBER(H2559),H2559,G2559))=0),"",(M2560-M2559)/(IF(ISNUMBER(H2560),H2560,G2560)-IF(ISNUMBER(H2559),H2559,G2559)))</f>
        <v/>
      </c>
      <c r="X2560" s="31">
        <f>IF(NOT(AND(ISNUMBER(O2560),ISNUMBER(Q2560))),"",(Q2560-O2560)*1440)</f>
        <v/>
      </c>
      <c r="Y2560" s="29" t="n"/>
      <c r="Z2560" s="29" t="n"/>
      <c r="AA2560" s="29" t="n"/>
      <c r="AB2560" s="32" t="n"/>
      <c r="AC2560" s="32" t="n"/>
    </row>
    <row r="2561">
      <c r="A2561" s="26" t="inlineStr">
        <is>
          <t>S50</t>
        </is>
      </c>
      <c r="B2561" s="26" t="inlineStr">
        <is>
          <t>함양</t>
        </is>
      </c>
      <c r="C2561" s="26" t="inlineStr">
        <is>
          <t>S50-H동</t>
        </is>
      </c>
      <c r="D2561" s="47" t="n">
        <v>1</v>
      </c>
      <c r="E2561" s="26" t="inlineStr">
        <is>
          <t>측정</t>
        </is>
      </c>
      <c r="F2561" s="26" t="inlineStr">
        <is>
          <t>동</t>
        </is>
      </c>
      <c r="G2561" s="31" t="n">
        <v>6</v>
      </c>
      <c r="H2561" s="30" t="n"/>
      <c r="I2561" s="43" t="n"/>
      <c r="J2561" s="41" t="n"/>
      <c r="K2561" s="41" t="n"/>
      <c r="L2561" s="41" t="n"/>
      <c r="M2561" s="31">
        <f>IF(COUNT(J2561:L2561)=0,"",MEDIAN(J2561:L2561))</f>
        <v/>
      </c>
      <c r="N2561" s="26">
        <f>IF(COUNTIFS($C:$C,$C2561,$D:$D,$D2561,$E:$E,"P0(전)",$M:$M,"&gt;0")&lt;&gt;1,"P0(전) 유효 1개 아님",IF(COUNTIFS($C:$C,$C2561,$D:$D,$D2561,$E:$E,"P0(후)",$M:$M,"&gt;0")&lt;&gt;1,"P0(후) 유효 1개 아님",IF(NOT(AND(ISNUMBER(O2561),ISNUMBER(Q2561),ISNUMBER(I2561))),"시각 결측",IF(Q2561&lt;=O2561,"P0 시각 역전",IF(OR(I2561&lt;O2561,I2561&gt;Q2561),"측정시각 구간 밖","OK")))))</f>
        <v/>
      </c>
      <c r="O2561" s="48">
        <f>IF(COUNTIFS($C:$C,$C2561,$D:$D,$D2561,$E:$E,"P0(전)",$M:$M,"&gt;0")&lt;&gt;1,"",SUMIFS($I:$I,$C:$C,$C2561,$D:$D,$D2561,$E:$E,"P0(전)"))</f>
        <v/>
      </c>
      <c r="P2561" s="31">
        <f>IF(COUNTIFS($C:$C,$C2561,$D:$D,$D2561,$E:$E,"P0(전)",$M:$M,"&gt;0")&lt;&gt;1,"",SUMIFS($M:$M,$C:$C,$C2561,$D:$D,$D2561,$E:$E,"P0(전)"))</f>
        <v/>
      </c>
      <c r="Q2561" s="48">
        <f>IF(COUNTIFS($C:$C,$C2561,$D:$D,$D2561,$E:$E,"P0(후)",$M:$M,"&gt;0")&lt;&gt;1,"",SUMIFS($I:$I,$C:$C,$C2561,$D:$D,$D2561,$E:$E,"P0(후)"))</f>
        <v/>
      </c>
      <c r="R2561" s="31">
        <f>IF(COUNTIFS($C:$C,$C2561,$D:$D,$D2561,$E:$E,"P0(후)",$M:$M,"&gt;0")&lt;&gt;1,"",SUMIFS($M:$M,$C:$C,$C2561,$D:$D,$D2561,$E:$E,"P0(후)"))</f>
        <v/>
      </c>
      <c r="S2561" s="31">
        <f>IF(N2561&lt;&gt;"OK","",P2561+(R2561-P2561)*(I2561-O2561)/(Q2561-O2561))</f>
        <v/>
      </c>
      <c r="T2561" s="31">
        <f>IF(OR(N2561&lt;&gt;"OK",NOT(ISNUMBER(M2561))),"",M2561-S2561)</f>
        <v/>
      </c>
      <c r="U2561" s="49">
        <f>IF(OR(NOT(ISNUMBER(T2561)),IF(ISNUMBER(H2561),H2561,G2561)=0),"",T2561/IF(ISNUMBER(H2561),H2561,G2561))</f>
        <v/>
      </c>
      <c r="V2561" s="49">
        <f>IF(ISNUMBER(U2561),ABS(U2561),"")</f>
        <v/>
      </c>
      <c r="W2561" s="49">
        <f>IF(OR($E2560&lt;&gt;"측정",$C2560&lt;&gt;$C2561,$D2560&lt;&gt;$D2561,NOT(ISNUMBER(M2561)),NOT(ISNUMBER(M2560)),(IF(ISNUMBER(H2561),H2561,G2561)-IF(ISNUMBER(H2560),H2560,G2560))=0),"",(M2561-M2560)/(IF(ISNUMBER(H2561),H2561,G2561)-IF(ISNUMBER(H2560),H2560,G2560)))</f>
        <v/>
      </c>
      <c r="X2561" s="31">
        <f>IF(NOT(AND(ISNUMBER(O2561),ISNUMBER(Q2561))),"",(Q2561-O2561)*1440)</f>
        <v/>
      </c>
      <c r="Y2561" s="29" t="n"/>
      <c r="Z2561" s="29" t="n"/>
      <c r="AA2561" s="29" t="n"/>
      <c r="AB2561" s="32" t="n"/>
      <c r="AC2561" s="32" t="n"/>
    </row>
    <row r="2562">
      <c r="A2562" s="26" t="inlineStr">
        <is>
          <t>S50</t>
        </is>
      </c>
      <c r="B2562" s="26" t="inlineStr">
        <is>
          <t>함양</t>
        </is>
      </c>
      <c r="C2562" s="26" t="inlineStr">
        <is>
          <t>S50-H동</t>
        </is>
      </c>
      <c r="D2562" s="47" t="n">
        <v>1</v>
      </c>
      <c r="E2562" s="26" t="inlineStr">
        <is>
          <t>측정</t>
        </is>
      </c>
      <c r="F2562" s="26" t="inlineStr">
        <is>
          <t>동</t>
        </is>
      </c>
      <c r="G2562" s="31" t="n">
        <v>7</v>
      </c>
      <c r="H2562" s="30" t="n"/>
      <c r="I2562" s="43" t="n"/>
      <c r="J2562" s="41" t="n"/>
      <c r="K2562" s="41" t="n"/>
      <c r="L2562" s="41" t="n"/>
      <c r="M2562" s="31">
        <f>IF(COUNT(J2562:L2562)=0,"",MEDIAN(J2562:L2562))</f>
        <v/>
      </c>
      <c r="N2562" s="26">
        <f>IF(COUNTIFS($C:$C,$C2562,$D:$D,$D2562,$E:$E,"P0(전)",$M:$M,"&gt;0")&lt;&gt;1,"P0(전) 유효 1개 아님",IF(COUNTIFS($C:$C,$C2562,$D:$D,$D2562,$E:$E,"P0(후)",$M:$M,"&gt;0")&lt;&gt;1,"P0(후) 유효 1개 아님",IF(NOT(AND(ISNUMBER(O2562),ISNUMBER(Q2562),ISNUMBER(I2562))),"시각 결측",IF(Q2562&lt;=O2562,"P0 시각 역전",IF(OR(I2562&lt;O2562,I2562&gt;Q2562),"측정시각 구간 밖","OK")))))</f>
        <v/>
      </c>
      <c r="O2562" s="48">
        <f>IF(COUNTIFS($C:$C,$C2562,$D:$D,$D2562,$E:$E,"P0(전)",$M:$M,"&gt;0")&lt;&gt;1,"",SUMIFS($I:$I,$C:$C,$C2562,$D:$D,$D2562,$E:$E,"P0(전)"))</f>
        <v/>
      </c>
      <c r="P2562" s="31">
        <f>IF(COUNTIFS($C:$C,$C2562,$D:$D,$D2562,$E:$E,"P0(전)",$M:$M,"&gt;0")&lt;&gt;1,"",SUMIFS($M:$M,$C:$C,$C2562,$D:$D,$D2562,$E:$E,"P0(전)"))</f>
        <v/>
      </c>
      <c r="Q2562" s="48">
        <f>IF(COUNTIFS($C:$C,$C2562,$D:$D,$D2562,$E:$E,"P0(후)",$M:$M,"&gt;0")&lt;&gt;1,"",SUMIFS($I:$I,$C:$C,$C2562,$D:$D,$D2562,$E:$E,"P0(후)"))</f>
        <v/>
      </c>
      <c r="R2562" s="31">
        <f>IF(COUNTIFS($C:$C,$C2562,$D:$D,$D2562,$E:$E,"P0(후)",$M:$M,"&gt;0")&lt;&gt;1,"",SUMIFS($M:$M,$C:$C,$C2562,$D:$D,$D2562,$E:$E,"P0(후)"))</f>
        <v/>
      </c>
      <c r="S2562" s="31">
        <f>IF(N2562&lt;&gt;"OK","",P2562+(R2562-P2562)*(I2562-O2562)/(Q2562-O2562))</f>
        <v/>
      </c>
      <c r="T2562" s="31">
        <f>IF(OR(N2562&lt;&gt;"OK",NOT(ISNUMBER(M2562))),"",M2562-S2562)</f>
        <v/>
      </c>
      <c r="U2562" s="49">
        <f>IF(OR(NOT(ISNUMBER(T2562)),IF(ISNUMBER(H2562),H2562,G2562)=0),"",T2562/IF(ISNUMBER(H2562),H2562,G2562))</f>
        <v/>
      </c>
      <c r="V2562" s="49">
        <f>IF(ISNUMBER(U2562),ABS(U2562),"")</f>
        <v/>
      </c>
      <c r="W2562" s="49">
        <f>IF(OR($E2561&lt;&gt;"측정",$C2561&lt;&gt;$C2562,$D2561&lt;&gt;$D2562,NOT(ISNUMBER(M2562)),NOT(ISNUMBER(M2561)),(IF(ISNUMBER(H2562),H2562,G2562)-IF(ISNUMBER(H2561),H2561,G2561))=0),"",(M2562-M2561)/(IF(ISNUMBER(H2562),H2562,G2562)-IF(ISNUMBER(H2561),H2561,G2561)))</f>
        <v/>
      </c>
      <c r="X2562" s="31">
        <f>IF(NOT(AND(ISNUMBER(O2562),ISNUMBER(Q2562))),"",(Q2562-O2562)*1440)</f>
        <v/>
      </c>
      <c r="Y2562" s="29" t="n"/>
      <c r="Z2562" s="29" t="n"/>
      <c r="AA2562" s="29" t="n"/>
      <c r="AB2562" s="32" t="n"/>
      <c r="AC2562" s="32" t="n"/>
    </row>
    <row r="2563">
      <c r="A2563" s="26" t="inlineStr">
        <is>
          <t>S50</t>
        </is>
      </c>
      <c r="B2563" s="26" t="inlineStr">
        <is>
          <t>함양</t>
        </is>
      </c>
      <c r="C2563" s="26" t="inlineStr">
        <is>
          <t>S50-H동</t>
        </is>
      </c>
      <c r="D2563" s="47" t="n">
        <v>1</v>
      </c>
      <c r="E2563" s="26" t="inlineStr">
        <is>
          <t>측정</t>
        </is>
      </c>
      <c r="F2563" s="26" t="inlineStr">
        <is>
          <t>동</t>
        </is>
      </c>
      <c r="G2563" s="31" t="n">
        <v>8</v>
      </c>
      <c r="H2563" s="30" t="n"/>
      <c r="I2563" s="43" t="n"/>
      <c r="J2563" s="41" t="n"/>
      <c r="K2563" s="41" t="n"/>
      <c r="L2563" s="41" t="n"/>
      <c r="M2563" s="31">
        <f>IF(COUNT(J2563:L2563)=0,"",MEDIAN(J2563:L2563))</f>
        <v/>
      </c>
      <c r="N2563" s="26">
        <f>IF(COUNTIFS($C:$C,$C2563,$D:$D,$D2563,$E:$E,"P0(전)",$M:$M,"&gt;0")&lt;&gt;1,"P0(전) 유효 1개 아님",IF(COUNTIFS($C:$C,$C2563,$D:$D,$D2563,$E:$E,"P0(후)",$M:$M,"&gt;0")&lt;&gt;1,"P0(후) 유효 1개 아님",IF(NOT(AND(ISNUMBER(O2563),ISNUMBER(Q2563),ISNUMBER(I2563))),"시각 결측",IF(Q2563&lt;=O2563,"P0 시각 역전",IF(OR(I2563&lt;O2563,I2563&gt;Q2563),"측정시각 구간 밖","OK")))))</f>
        <v/>
      </c>
      <c r="O2563" s="48">
        <f>IF(COUNTIFS($C:$C,$C2563,$D:$D,$D2563,$E:$E,"P0(전)",$M:$M,"&gt;0")&lt;&gt;1,"",SUMIFS($I:$I,$C:$C,$C2563,$D:$D,$D2563,$E:$E,"P0(전)"))</f>
        <v/>
      </c>
      <c r="P2563" s="31">
        <f>IF(COUNTIFS($C:$C,$C2563,$D:$D,$D2563,$E:$E,"P0(전)",$M:$M,"&gt;0")&lt;&gt;1,"",SUMIFS($M:$M,$C:$C,$C2563,$D:$D,$D2563,$E:$E,"P0(전)"))</f>
        <v/>
      </c>
      <c r="Q2563" s="48">
        <f>IF(COUNTIFS($C:$C,$C2563,$D:$D,$D2563,$E:$E,"P0(후)",$M:$M,"&gt;0")&lt;&gt;1,"",SUMIFS($I:$I,$C:$C,$C2563,$D:$D,$D2563,$E:$E,"P0(후)"))</f>
        <v/>
      </c>
      <c r="R2563" s="31">
        <f>IF(COUNTIFS($C:$C,$C2563,$D:$D,$D2563,$E:$E,"P0(후)",$M:$M,"&gt;0")&lt;&gt;1,"",SUMIFS($M:$M,$C:$C,$C2563,$D:$D,$D2563,$E:$E,"P0(후)"))</f>
        <v/>
      </c>
      <c r="S2563" s="31">
        <f>IF(N2563&lt;&gt;"OK","",P2563+(R2563-P2563)*(I2563-O2563)/(Q2563-O2563))</f>
        <v/>
      </c>
      <c r="T2563" s="31">
        <f>IF(OR(N2563&lt;&gt;"OK",NOT(ISNUMBER(M2563))),"",M2563-S2563)</f>
        <v/>
      </c>
      <c r="U2563" s="49">
        <f>IF(OR(NOT(ISNUMBER(T2563)),IF(ISNUMBER(H2563),H2563,G2563)=0),"",T2563/IF(ISNUMBER(H2563),H2563,G2563))</f>
        <v/>
      </c>
      <c r="V2563" s="49">
        <f>IF(ISNUMBER(U2563),ABS(U2563),"")</f>
        <v/>
      </c>
      <c r="W2563" s="49">
        <f>IF(OR($E2562&lt;&gt;"측정",$C2562&lt;&gt;$C2563,$D2562&lt;&gt;$D2563,NOT(ISNUMBER(M2563)),NOT(ISNUMBER(M2562)),(IF(ISNUMBER(H2563),H2563,G2563)-IF(ISNUMBER(H2562),H2562,G2562))=0),"",(M2563-M2562)/(IF(ISNUMBER(H2563),H2563,G2563)-IF(ISNUMBER(H2562),H2562,G2562)))</f>
        <v/>
      </c>
      <c r="X2563" s="31">
        <f>IF(NOT(AND(ISNUMBER(O2563),ISNUMBER(Q2563))),"",(Q2563-O2563)*1440)</f>
        <v/>
      </c>
      <c r="Y2563" s="29" t="n"/>
      <c r="Z2563" s="29" t="n"/>
      <c r="AA2563" s="29" t="n"/>
      <c r="AB2563" s="32" t="n"/>
      <c r="AC2563" s="32" t="n"/>
    </row>
    <row r="2564">
      <c r="A2564" s="26" t="inlineStr">
        <is>
          <t>S50</t>
        </is>
      </c>
      <c r="B2564" s="26" t="inlineStr">
        <is>
          <t>함양</t>
        </is>
      </c>
      <c r="C2564" s="26" t="inlineStr">
        <is>
          <t>S50-H동</t>
        </is>
      </c>
      <c r="D2564" s="47" t="n">
        <v>1</v>
      </c>
      <c r="E2564" s="26" t="inlineStr">
        <is>
          <t>측정</t>
        </is>
      </c>
      <c r="F2564" s="26" t="inlineStr">
        <is>
          <t>동</t>
        </is>
      </c>
      <c r="G2564" s="31" t="n">
        <v>9</v>
      </c>
      <c r="H2564" s="30" t="n"/>
      <c r="I2564" s="43" t="n"/>
      <c r="J2564" s="41" t="n"/>
      <c r="K2564" s="41" t="n"/>
      <c r="L2564" s="41" t="n"/>
      <c r="M2564" s="31">
        <f>IF(COUNT(J2564:L2564)=0,"",MEDIAN(J2564:L2564))</f>
        <v/>
      </c>
      <c r="N2564" s="26">
        <f>IF(COUNTIFS($C:$C,$C2564,$D:$D,$D2564,$E:$E,"P0(전)",$M:$M,"&gt;0")&lt;&gt;1,"P0(전) 유효 1개 아님",IF(COUNTIFS($C:$C,$C2564,$D:$D,$D2564,$E:$E,"P0(후)",$M:$M,"&gt;0")&lt;&gt;1,"P0(후) 유효 1개 아님",IF(NOT(AND(ISNUMBER(O2564),ISNUMBER(Q2564),ISNUMBER(I2564))),"시각 결측",IF(Q2564&lt;=O2564,"P0 시각 역전",IF(OR(I2564&lt;O2564,I2564&gt;Q2564),"측정시각 구간 밖","OK")))))</f>
        <v/>
      </c>
      <c r="O2564" s="48">
        <f>IF(COUNTIFS($C:$C,$C2564,$D:$D,$D2564,$E:$E,"P0(전)",$M:$M,"&gt;0")&lt;&gt;1,"",SUMIFS($I:$I,$C:$C,$C2564,$D:$D,$D2564,$E:$E,"P0(전)"))</f>
        <v/>
      </c>
      <c r="P2564" s="31">
        <f>IF(COUNTIFS($C:$C,$C2564,$D:$D,$D2564,$E:$E,"P0(전)",$M:$M,"&gt;0")&lt;&gt;1,"",SUMIFS($M:$M,$C:$C,$C2564,$D:$D,$D2564,$E:$E,"P0(전)"))</f>
        <v/>
      </c>
      <c r="Q2564" s="48">
        <f>IF(COUNTIFS($C:$C,$C2564,$D:$D,$D2564,$E:$E,"P0(후)",$M:$M,"&gt;0")&lt;&gt;1,"",SUMIFS($I:$I,$C:$C,$C2564,$D:$D,$D2564,$E:$E,"P0(후)"))</f>
        <v/>
      </c>
      <c r="R2564" s="31">
        <f>IF(COUNTIFS($C:$C,$C2564,$D:$D,$D2564,$E:$E,"P0(후)",$M:$M,"&gt;0")&lt;&gt;1,"",SUMIFS($M:$M,$C:$C,$C2564,$D:$D,$D2564,$E:$E,"P0(후)"))</f>
        <v/>
      </c>
      <c r="S2564" s="31">
        <f>IF(N2564&lt;&gt;"OK","",P2564+(R2564-P2564)*(I2564-O2564)/(Q2564-O2564))</f>
        <v/>
      </c>
      <c r="T2564" s="31">
        <f>IF(OR(N2564&lt;&gt;"OK",NOT(ISNUMBER(M2564))),"",M2564-S2564)</f>
        <v/>
      </c>
      <c r="U2564" s="49">
        <f>IF(OR(NOT(ISNUMBER(T2564)),IF(ISNUMBER(H2564),H2564,G2564)=0),"",T2564/IF(ISNUMBER(H2564),H2564,G2564))</f>
        <v/>
      </c>
      <c r="V2564" s="49">
        <f>IF(ISNUMBER(U2564),ABS(U2564),"")</f>
        <v/>
      </c>
      <c r="W2564" s="49">
        <f>IF(OR($E2563&lt;&gt;"측정",$C2563&lt;&gt;$C2564,$D2563&lt;&gt;$D2564,NOT(ISNUMBER(M2564)),NOT(ISNUMBER(M2563)),(IF(ISNUMBER(H2564),H2564,G2564)-IF(ISNUMBER(H2563),H2563,G2563))=0),"",(M2564-M2563)/(IF(ISNUMBER(H2564),H2564,G2564)-IF(ISNUMBER(H2563),H2563,G2563)))</f>
        <v/>
      </c>
      <c r="X2564" s="31">
        <f>IF(NOT(AND(ISNUMBER(O2564),ISNUMBER(Q2564))),"",(Q2564-O2564)*1440)</f>
        <v/>
      </c>
      <c r="Y2564" s="29" t="n"/>
      <c r="Z2564" s="29" t="n"/>
      <c r="AA2564" s="29" t="n"/>
      <c r="AB2564" s="32" t="n"/>
      <c r="AC2564" s="32" t="n"/>
    </row>
    <row r="2565">
      <c r="A2565" s="26" t="inlineStr">
        <is>
          <t>S50</t>
        </is>
      </c>
      <c r="B2565" s="26" t="inlineStr">
        <is>
          <t>함양</t>
        </is>
      </c>
      <c r="C2565" s="26" t="inlineStr">
        <is>
          <t>S50-H동</t>
        </is>
      </c>
      <c r="D2565" s="47" t="n">
        <v>1</v>
      </c>
      <c r="E2565" s="26" t="inlineStr">
        <is>
          <t>측정</t>
        </is>
      </c>
      <c r="F2565" s="26" t="inlineStr">
        <is>
          <t>동</t>
        </is>
      </c>
      <c r="G2565" s="31" t="n">
        <v>10</v>
      </c>
      <c r="H2565" s="30" t="n"/>
      <c r="I2565" s="43" t="n"/>
      <c r="J2565" s="41" t="n"/>
      <c r="K2565" s="41" t="n"/>
      <c r="L2565" s="41" t="n"/>
      <c r="M2565" s="31">
        <f>IF(COUNT(J2565:L2565)=0,"",MEDIAN(J2565:L2565))</f>
        <v/>
      </c>
      <c r="N2565" s="26">
        <f>IF(COUNTIFS($C:$C,$C2565,$D:$D,$D2565,$E:$E,"P0(전)",$M:$M,"&gt;0")&lt;&gt;1,"P0(전) 유효 1개 아님",IF(COUNTIFS($C:$C,$C2565,$D:$D,$D2565,$E:$E,"P0(후)",$M:$M,"&gt;0")&lt;&gt;1,"P0(후) 유효 1개 아님",IF(NOT(AND(ISNUMBER(O2565),ISNUMBER(Q2565),ISNUMBER(I2565))),"시각 결측",IF(Q2565&lt;=O2565,"P0 시각 역전",IF(OR(I2565&lt;O2565,I2565&gt;Q2565),"측정시각 구간 밖","OK")))))</f>
        <v/>
      </c>
      <c r="O2565" s="48">
        <f>IF(COUNTIFS($C:$C,$C2565,$D:$D,$D2565,$E:$E,"P0(전)",$M:$M,"&gt;0")&lt;&gt;1,"",SUMIFS($I:$I,$C:$C,$C2565,$D:$D,$D2565,$E:$E,"P0(전)"))</f>
        <v/>
      </c>
      <c r="P2565" s="31">
        <f>IF(COUNTIFS($C:$C,$C2565,$D:$D,$D2565,$E:$E,"P0(전)",$M:$M,"&gt;0")&lt;&gt;1,"",SUMIFS($M:$M,$C:$C,$C2565,$D:$D,$D2565,$E:$E,"P0(전)"))</f>
        <v/>
      </c>
      <c r="Q2565" s="48">
        <f>IF(COUNTIFS($C:$C,$C2565,$D:$D,$D2565,$E:$E,"P0(후)",$M:$M,"&gt;0")&lt;&gt;1,"",SUMIFS($I:$I,$C:$C,$C2565,$D:$D,$D2565,$E:$E,"P0(후)"))</f>
        <v/>
      </c>
      <c r="R2565" s="31">
        <f>IF(COUNTIFS($C:$C,$C2565,$D:$D,$D2565,$E:$E,"P0(후)",$M:$M,"&gt;0")&lt;&gt;1,"",SUMIFS($M:$M,$C:$C,$C2565,$D:$D,$D2565,$E:$E,"P0(후)"))</f>
        <v/>
      </c>
      <c r="S2565" s="31">
        <f>IF(N2565&lt;&gt;"OK","",P2565+(R2565-P2565)*(I2565-O2565)/(Q2565-O2565))</f>
        <v/>
      </c>
      <c r="T2565" s="31">
        <f>IF(OR(N2565&lt;&gt;"OK",NOT(ISNUMBER(M2565))),"",M2565-S2565)</f>
        <v/>
      </c>
      <c r="U2565" s="49">
        <f>IF(OR(NOT(ISNUMBER(T2565)),IF(ISNUMBER(H2565),H2565,G2565)=0),"",T2565/IF(ISNUMBER(H2565),H2565,G2565))</f>
        <v/>
      </c>
      <c r="V2565" s="49">
        <f>IF(ISNUMBER(U2565),ABS(U2565),"")</f>
        <v/>
      </c>
      <c r="W2565" s="49">
        <f>IF(OR($E2564&lt;&gt;"측정",$C2564&lt;&gt;$C2565,$D2564&lt;&gt;$D2565,NOT(ISNUMBER(M2565)),NOT(ISNUMBER(M2564)),(IF(ISNUMBER(H2565),H2565,G2565)-IF(ISNUMBER(H2564),H2564,G2564))=0),"",(M2565-M2564)/(IF(ISNUMBER(H2565),H2565,G2565)-IF(ISNUMBER(H2564),H2564,G2564)))</f>
        <v/>
      </c>
      <c r="X2565" s="31">
        <f>IF(NOT(AND(ISNUMBER(O2565),ISNUMBER(Q2565))),"",(Q2565-O2565)*1440)</f>
        <v/>
      </c>
      <c r="Y2565" s="29" t="n"/>
      <c r="Z2565" s="29" t="n"/>
      <c r="AA2565" s="29" t="n"/>
      <c r="AB2565" s="32" t="n"/>
      <c r="AC2565" s="32" t="n"/>
    </row>
    <row r="2566">
      <c r="A2566" s="44" t="inlineStr">
        <is>
          <t>S50</t>
        </is>
      </c>
      <c r="B2566" s="44" t="inlineStr">
        <is>
          <t>함양</t>
        </is>
      </c>
      <c r="C2566" s="44" t="inlineStr">
        <is>
          <t>S50-H동</t>
        </is>
      </c>
      <c r="D2566" s="45" t="n">
        <v>1</v>
      </c>
      <c r="E2566" s="44" t="inlineStr">
        <is>
          <t>P0(후)</t>
        </is>
      </c>
      <c r="F2566" s="44" t="inlineStr">
        <is>
          <t>동</t>
        </is>
      </c>
      <c r="G2566" s="46" t="n"/>
      <c r="H2566" s="30" t="n"/>
      <c r="I2566" s="43" t="n"/>
      <c r="J2566" s="41" t="n"/>
      <c r="K2566" s="41" t="n"/>
      <c r="L2566" s="41" t="n"/>
      <c r="M2566" s="31">
        <f>IF(COUNT(J2566:L2566)=0,"",MEDIAN(J2566:L2566))</f>
        <v/>
      </c>
      <c r="N2566" s="38" t="n"/>
      <c r="O2566" s="38" t="n"/>
      <c r="P2566" s="38" t="n"/>
      <c r="Q2566" s="38" t="n"/>
      <c r="R2566" s="38" t="n"/>
      <c r="S2566" s="38" t="n"/>
      <c r="T2566" s="38" t="n"/>
      <c r="U2566" s="38" t="n"/>
      <c r="V2566" s="38" t="n"/>
      <c r="W2566" s="38" t="n"/>
      <c r="X2566" s="38" t="n"/>
      <c r="Y2566" s="29" t="n"/>
      <c r="Z2566" s="29" t="n"/>
      <c r="AA2566" s="29" t="n"/>
      <c r="AB2566" s="32" t="n"/>
      <c r="AC2566" s="32" t="n"/>
    </row>
    <row r="2567">
      <c r="A2567" s="44" t="inlineStr">
        <is>
          <t>S50</t>
        </is>
      </c>
      <c r="B2567" s="44" t="inlineStr">
        <is>
          <t>함양</t>
        </is>
      </c>
      <c r="C2567" s="44" t="inlineStr">
        <is>
          <t>S50-H서</t>
        </is>
      </c>
      <c r="D2567" s="45" t="n">
        <v>1</v>
      </c>
      <c r="E2567" s="44" t="inlineStr">
        <is>
          <t>P0(전)</t>
        </is>
      </c>
      <c r="F2567" s="44" t="inlineStr">
        <is>
          <t>서</t>
        </is>
      </c>
      <c r="G2567" s="46" t="n"/>
      <c r="H2567" s="30" t="n"/>
      <c r="I2567" s="43" t="n"/>
      <c r="J2567" s="41" t="n"/>
      <c r="K2567" s="41" t="n"/>
      <c r="L2567" s="41" t="n"/>
      <c r="M2567" s="31">
        <f>IF(COUNT(J2567:L2567)=0,"",MEDIAN(J2567:L2567))</f>
        <v/>
      </c>
      <c r="N2567" s="38" t="n"/>
      <c r="O2567" s="38" t="n"/>
      <c r="P2567" s="38" t="n"/>
      <c r="Q2567" s="38" t="n"/>
      <c r="R2567" s="38" t="n"/>
      <c r="S2567" s="38" t="n"/>
      <c r="T2567" s="38" t="n"/>
      <c r="U2567" s="38" t="n"/>
      <c r="V2567" s="38" t="n"/>
      <c r="W2567" s="38" t="n"/>
      <c r="X2567" s="38" t="n"/>
      <c r="Y2567" s="29" t="n"/>
      <c r="Z2567" s="29" t="n"/>
      <c r="AA2567" s="29" t="n"/>
      <c r="AB2567" s="32" t="n"/>
      <c r="AC2567" s="32" t="n"/>
    </row>
    <row r="2568">
      <c r="A2568" s="26" t="inlineStr">
        <is>
          <t>S50</t>
        </is>
      </c>
      <c r="B2568" s="26" t="inlineStr">
        <is>
          <t>함양</t>
        </is>
      </c>
      <c r="C2568" s="26" t="inlineStr">
        <is>
          <t>S50-H서</t>
        </is>
      </c>
      <c r="D2568" s="47" t="n">
        <v>1</v>
      </c>
      <c r="E2568" s="26" t="inlineStr">
        <is>
          <t>측정</t>
        </is>
      </c>
      <c r="F2568" s="26" t="inlineStr">
        <is>
          <t>서</t>
        </is>
      </c>
      <c r="G2568" s="31" t="n">
        <v>0.5</v>
      </c>
      <c r="H2568" s="30" t="n"/>
      <c r="I2568" s="43" t="n"/>
      <c r="J2568" s="41" t="n"/>
      <c r="K2568" s="41" t="n"/>
      <c r="L2568" s="41" t="n"/>
      <c r="M2568" s="31">
        <f>IF(COUNT(J2568:L2568)=0,"",MEDIAN(J2568:L2568))</f>
        <v/>
      </c>
      <c r="N2568" s="26">
        <f>IF(COUNTIFS($C:$C,$C2568,$D:$D,$D2568,$E:$E,"P0(전)",$M:$M,"&gt;0")&lt;&gt;1,"P0(전) 유효 1개 아님",IF(COUNTIFS($C:$C,$C2568,$D:$D,$D2568,$E:$E,"P0(후)",$M:$M,"&gt;0")&lt;&gt;1,"P0(후) 유효 1개 아님",IF(NOT(AND(ISNUMBER(O2568),ISNUMBER(Q2568),ISNUMBER(I2568))),"시각 결측",IF(Q2568&lt;=O2568,"P0 시각 역전",IF(OR(I2568&lt;O2568,I2568&gt;Q2568),"측정시각 구간 밖","OK")))))</f>
        <v/>
      </c>
      <c r="O2568" s="48">
        <f>IF(COUNTIFS($C:$C,$C2568,$D:$D,$D2568,$E:$E,"P0(전)",$M:$M,"&gt;0")&lt;&gt;1,"",SUMIFS($I:$I,$C:$C,$C2568,$D:$D,$D2568,$E:$E,"P0(전)"))</f>
        <v/>
      </c>
      <c r="P2568" s="31">
        <f>IF(COUNTIFS($C:$C,$C2568,$D:$D,$D2568,$E:$E,"P0(전)",$M:$M,"&gt;0")&lt;&gt;1,"",SUMIFS($M:$M,$C:$C,$C2568,$D:$D,$D2568,$E:$E,"P0(전)"))</f>
        <v/>
      </c>
      <c r="Q2568" s="48">
        <f>IF(COUNTIFS($C:$C,$C2568,$D:$D,$D2568,$E:$E,"P0(후)",$M:$M,"&gt;0")&lt;&gt;1,"",SUMIFS($I:$I,$C:$C,$C2568,$D:$D,$D2568,$E:$E,"P0(후)"))</f>
        <v/>
      </c>
      <c r="R2568" s="31">
        <f>IF(COUNTIFS($C:$C,$C2568,$D:$D,$D2568,$E:$E,"P0(후)",$M:$M,"&gt;0")&lt;&gt;1,"",SUMIFS($M:$M,$C:$C,$C2568,$D:$D,$D2568,$E:$E,"P0(후)"))</f>
        <v/>
      </c>
      <c r="S2568" s="31">
        <f>IF(N2568&lt;&gt;"OK","",P2568+(R2568-P2568)*(I2568-O2568)/(Q2568-O2568))</f>
        <v/>
      </c>
      <c r="T2568" s="31">
        <f>IF(OR(N2568&lt;&gt;"OK",NOT(ISNUMBER(M2568))),"",M2568-S2568)</f>
        <v/>
      </c>
      <c r="U2568" s="49">
        <f>IF(OR(NOT(ISNUMBER(T2568)),IF(ISNUMBER(H2568),H2568,G2568)=0),"",T2568/IF(ISNUMBER(H2568),H2568,G2568))</f>
        <v/>
      </c>
      <c r="V2568" s="49">
        <f>IF(ISNUMBER(U2568),ABS(U2568),"")</f>
        <v/>
      </c>
      <c r="W2568" s="49">
        <f>IF(OR($E2567&lt;&gt;"측정",$C2567&lt;&gt;$C2568,$D2567&lt;&gt;$D2568,NOT(ISNUMBER(M2568)),NOT(ISNUMBER(M2567)),(IF(ISNUMBER(H2568),H2568,G2568)-IF(ISNUMBER(H2567),H2567,G2567))=0),"",(M2568-M2567)/(IF(ISNUMBER(H2568),H2568,G2568)-IF(ISNUMBER(H2567),H2567,G2567)))</f>
        <v/>
      </c>
      <c r="X2568" s="31">
        <f>IF(NOT(AND(ISNUMBER(O2568),ISNUMBER(Q2568))),"",(Q2568-O2568)*1440)</f>
        <v/>
      </c>
      <c r="Y2568" s="29" t="n"/>
      <c r="Z2568" s="29" t="n"/>
      <c r="AA2568" s="29" t="n"/>
      <c r="AB2568" s="32" t="n"/>
      <c r="AC2568" s="32" t="n"/>
    </row>
    <row r="2569">
      <c r="A2569" s="26" t="inlineStr">
        <is>
          <t>S50</t>
        </is>
      </c>
      <c r="B2569" s="26" t="inlineStr">
        <is>
          <t>함양</t>
        </is>
      </c>
      <c r="C2569" s="26" t="inlineStr">
        <is>
          <t>S50-H서</t>
        </is>
      </c>
      <c r="D2569" s="47" t="n">
        <v>1</v>
      </c>
      <c r="E2569" s="26" t="inlineStr">
        <is>
          <t>측정</t>
        </is>
      </c>
      <c r="F2569" s="26" t="inlineStr">
        <is>
          <t>서</t>
        </is>
      </c>
      <c r="G2569" s="31" t="n">
        <v>1</v>
      </c>
      <c r="H2569" s="30" t="n"/>
      <c r="I2569" s="43" t="n"/>
      <c r="J2569" s="41" t="n"/>
      <c r="K2569" s="41" t="n"/>
      <c r="L2569" s="41" t="n"/>
      <c r="M2569" s="31">
        <f>IF(COUNT(J2569:L2569)=0,"",MEDIAN(J2569:L2569))</f>
        <v/>
      </c>
      <c r="N2569" s="26">
        <f>IF(COUNTIFS($C:$C,$C2569,$D:$D,$D2569,$E:$E,"P0(전)",$M:$M,"&gt;0")&lt;&gt;1,"P0(전) 유효 1개 아님",IF(COUNTIFS($C:$C,$C2569,$D:$D,$D2569,$E:$E,"P0(후)",$M:$M,"&gt;0")&lt;&gt;1,"P0(후) 유효 1개 아님",IF(NOT(AND(ISNUMBER(O2569),ISNUMBER(Q2569),ISNUMBER(I2569))),"시각 결측",IF(Q2569&lt;=O2569,"P0 시각 역전",IF(OR(I2569&lt;O2569,I2569&gt;Q2569),"측정시각 구간 밖","OK")))))</f>
        <v/>
      </c>
      <c r="O2569" s="48">
        <f>IF(COUNTIFS($C:$C,$C2569,$D:$D,$D2569,$E:$E,"P0(전)",$M:$M,"&gt;0")&lt;&gt;1,"",SUMIFS($I:$I,$C:$C,$C2569,$D:$D,$D2569,$E:$E,"P0(전)"))</f>
        <v/>
      </c>
      <c r="P2569" s="31">
        <f>IF(COUNTIFS($C:$C,$C2569,$D:$D,$D2569,$E:$E,"P0(전)",$M:$M,"&gt;0")&lt;&gt;1,"",SUMIFS($M:$M,$C:$C,$C2569,$D:$D,$D2569,$E:$E,"P0(전)"))</f>
        <v/>
      </c>
      <c r="Q2569" s="48">
        <f>IF(COUNTIFS($C:$C,$C2569,$D:$D,$D2569,$E:$E,"P0(후)",$M:$M,"&gt;0")&lt;&gt;1,"",SUMIFS($I:$I,$C:$C,$C2569,$D:$D,$D2569,$E:$E,"P0(후)"))</f>
        <v/>
      </c>
      <c r="R2569" s="31">
        <f>IF(COUNTIFS($C:$C,$C2569,$D:$D,$D2569,$E:$E,"P0(후)",$M:$M,"&gt;0")&lt;&gt;1,"",SUMIFS($M:$M,$C:$C,$C2569,$D:$D,$D2569,$E:$E,"P0(후)"))</f>
        <v/>
      </c>
      <c r="S2569" s="31">
        <f>IF(N2569&lt;&gt;"OK","",P2569+(R2569-P2569)*(I2569-O2569)/(Q2569-O2569))</f>
        <v/>
      </c>
      <c r="T2569" s="31">
        <f>IF(OR(N2569&lt;&gt;"OK",NOT(ISNUMBER(M2569))),"",M2569-S2569)</f>
        <v/>
      </c>
      <c r="U2569" s="49">
        <f>IF(OR(NOT(ISNUMBER(T2569)),IF(ISNUMBER(H2569),H2569,G2569)=0),"",T2569/IF(ISNUMBER(H2569),H2569,G2569))</f>
        <v/>
      </c>
      <c r="V2569" s="49">
        <f>IF(ISNUMBER(U2569),ABS(U2569),"")</f>
        <v/>
      </c>
      <c r="W2569" s="49">
        <f>IF(OR($E2568&lt;&gt;"측정",$C2568&lt;&gt;$C2569,$D2568&lt;&gt;$D2569,NOT(ISNUMBER(M2569)),NOT(ISNUMBER(M2568)),(IF(ISNUMBER(H2569),H2569,G2569)-IF(ISNUMBER(H2568),H2568,G2568))=0),"",(M2569-M2568)/(IF(ISNUMBER(H2569),H2569,G2569)-IF(ISNUMBER(H2568),H2568,G2568)))</f>
        <v/>
      </c>
      <c r="X2569" s="31">
        <f>IF(NOT(AND(ISNUMBER(O2569),ISNUMBER(Q2569))),"",(Q2569-O2569)*1440)</f>
        <v/>
      </c>
      <c r="Y2569" s="29" t="n"/>
      <c r="Z2569" s="29" t="n"/>
      <c r="AA2569" s="29" t="n"/>
      <c r="AB2569" s="32" t="n"/>
      <c r="AC2569" s="32" t="n"/>
    </row>
    <row r="2570">
      <c r="A2570" s="26" t="inlineStr">
        <is>
          <t>S50</t>
        </is>
      </c>
      <c r="B2570" s="26" t="inlineStr">
        <is>
          <t>함양</t>
        </is>
      </c>
      <c r="C2570" s="26" t="inlineStr">
        <is>
          <t>S50-H서</t>
        </is>
      </c>
      <c r="D2570" s="47" t="n">
        <v>1</v>
      </c>
      <c r="E2570" s="26" t="inlineStr">
        <is>
          <t>측정</t>
        </is>
      </c>
      <c r="F2570" s="26" t="inlineStr">
        <is>
          <t>서</t>
        </is>
      </c>
      <c r="G2570" s="31" t="n">
        <v>2</v>
      </c>
      <c r="H2570" s="30" t="n"/>
      <c r="I2570" s="43" t="n"/>
      <c r="J2570" s="41" t="n"/>
      <c r="K2570" s="41" t="n"/>
      <c r="L2570" s="41" t="n"/>
      <c r="M2570" s="31">
        <f>IF(COUNT(J2570:L2570)=0,"",MEDIAN(J2570:L2570))</f>
        <v/>
      </c>
      <c r="N2570" s="26">
        <f>IF(COUNTIFS($C:$C,$C2570,$D:$D,$D2570,$E:$E,"P0(전)",$M:$M,"&gt;0")&lt;&gt;1,"P0(전) 유효 1개 아님",IF(COUNTIFS($C:$C,$C2570,$D:$D,$D2570,$E:$E,"P0(후)",$M:$M,"&gt;0")&lt;&gt;1,"P0(후) 유효 1개 아님",IF(NOT(AND(ISNUMBER(O2570),ISNUMBER(Q2570),ISNUMBER(I2570))),"시각 결측",IF(Q2570&lt;=O2570,"P0 시각 역전",IF(OR(I2570&lt;O2570,I2570&gt;Q2570),"측정시각 구간 밖","OK")))))</f>
        <v/>
      </c>
      <c r="O2570" s="48">
        <f>IF(COUNTIFS($C:$C,$C2570,$D:$D,$D2570,$E:$E,"P0(전)",$M:$M,"&gt;0")&lt;&gt;1,"",SUMIFS($I:$I,$C:$C,$C2570,$D:$D,$D2570,$E:$E,"P0(전)"))</f>
        <v/>
      </c>
      <c r="P2570" s="31">
        <f>IF(COUNTIFS($C:$C,$C2570,$D:$D,$D2570,$E:$E,"P0(전)",$M:$M,"&gt;0")&lt;&gt;1,"",SUMIFS($M:$M,$C:$C,$C2570,$D:$D,$D2570,$E:$E,"P0(전)"))</f>
        <v/>
      </c>
      <c r="Q2570" s="48">
        <f>IF(COUNTIFS($C:$C,$C2570,$D:$D,$D2570,$E:$E,"P0(후)",$M:$M,"&gt;0")&lt;&gt;1,"",SUMIFS($I:$I,$C:$C,$C2570,$D:$D,$D2570,$E:$E,"P0(후)"))</f>
        <v/>
      </c>
      <c r="R2570" s="31">
        <f>IF(COUNTIFS($C:$C,$C2570,$D:$D,$D2570,$E:$E,"P0(후)",$M:$M,"&gt;0")&lt;&gt;1,"",SUMIFS($M:$M,$C:$C,$C2570,$D:$D,$D2570,$E:$E,"P0(후)"))</f>
        <v/>
      </c>
      <c r="S2570" s="31">
        <f>IF(N2570&lt;&gt;"OK","",P2570+(R2570-P2570)*(I2570-O2570)/(Q2570-O2570))</f>
        <v/>
      </c>
      <c r="T2570" s="31">
        <f>IF(OR(N2570&lt;&gt;"OK",NOT(ISNUMBER(M2570))),"",M2570-S2570)</f>
        <v/>
      </c>
      <c r="U2570" s="49">
        <f>IF(OR(NOT(ISNUMBER(T2570)),IF(ISNUMBER(H2570),H2570,G2570)=0),"",T2570/IF(ISNUMBER(H2570),H2570,G2570))</f>
        <v/>
      </c>
      <c r="V2570" s="49">
        <f>IF(ISNUMBER(U2570),ABS(U2570),"")</f>
        <v/>
      </c>
      <c r="W2570" s="49">
        <f>IF(OR($E2569&lt;&gt;"측정",$C2569&lt;&gt;$C2570,$D2569&lt;&gt;$D2570,NOT(ISNUMBER(M2570)),NOT(ISNUMBER(M2569)),(IF(ISNUMBER(H2570),H2570,G2570)-IF(ISNUMBER(H2569),H2569,G2569))=0),"",(M2570-M2569)/(IF(ISNUMBER(H2570),H2570,G2570)-IF(ISNUMBER(H2569),H2569,G2569)))</f>
        <v/>
      </c>
      <c r="X2570" s="31">
        <f>IF(NOT(AND(ISNUMBER(O2570),ISNUMBER(Q2570))),"",(Q2570-O2570)*1440)</f>
        <v/>
      </c>
      <c r="Y2570" s="29" t="n"/>
      <c r="Z2570" s="29" t="n"/>
      <c r="AA2570" s="29" t="n"/>
      <c r="AB2570" s="32" t="n"/>
      <c r="AC2570" s="32" t="n"/>
    </row>
    <row r="2571">
      <c r="A2571" s="26" t="inlineStr">
        <is>
          <t>S50</t>
        </is>
      </c>
      <c r="B2571" s="26" t="inlineStr">
        <is>
          <t>함양</t>
        </is>
      </c>
      <c r="C2571" s="26" t="inlineStr">
        <is>
          <t>S50-H서</t>
        </is>
      </c>
      <c r="D2571" s="47" t="n">
        <v>1</v>
      </c>
      <c r="E2571" s="26" t="inlineStr">
        <is>
          <t>측정</t>
        </is>
      </c>
      <c r="F2571" s="26" t="inlineStr">
        <is>
          <t>서</t>
        </is>
      </c>
      <c r="G2571" s="31" t="n">
        <v>3</v>
      </c>
      <c r="H2571" s="30" t="n"/>
      <c r="I2571" s="43" t="n"/>
      <c r="J2571" s="41" t="n"/>
      <c r="K2571" s="41" t="n"/>
      <c r="L2571" s="41" t="n"/>
      <c r="M2571" s="31">
        <f>IF(COUNT(J2571:L2571)=0,"",MEDIAN(J2571:L2571))</f>
        <v/>
      </c>
      <c r="N2571" s="26">
        <f>IF(COUNTIFS($C:$C,$C2571,$D:$D,$D2571,$E:$E,"P0(전)",$M:$M,"&gt;0")&lt;&gt;1,"P0(전) 유효 1개 아님",IF(COUNTIFS($C:$C,$C2571,$D:$D,$D2571,$E:$E,"P0(후)",$M:$M,"&gt;0")&lt;&gt;1,"P0(후) 유효 1개 아님",IF(NOT(AND(ISNUMBER(O2571),ISNUMBER(Q2571),ISNUMBER(I2571))),"시각 결측",IF(Q2571&lt;=O2571,"P0 시각 역전",IF(OR(I2571&lt;O2571,I2571&gt;Q2571),"측정시각 구간 밖","OK")))))</f>
        <v/>
      </c>
      <c r="O2571" s="48">
        <f>IF(COUNTIFS($C:$C,$C2571,$D:$D,$D2571,$E:$E,"P0(전)",$M:$M,"&gt;0")&lt;&gt;1,"",SUMIFS($I:$I,$C:$C,$C2571,$D:$D,$D2571,$E:$E,"P0(전)"))</f>
        <v/>
      </c>
      <c r="P2571" s="31">
        <f>IF(COUNTIFS($C:$C,$C2571,$D:$D,$D2571,$E:$E,"P0(전)",$M:$M,"&gt;0")&lt;&gt;1,"",SUMIFS($M:$M,$C:$C,$C2571,$D:$D,$D2571,$E:$E,"P0(전)"))</f>
        <v/>
      </c>
      <c r="Q2571" s="48">
        <f>IF(COUNTIFS($C:$C,$C2571,$D:$D,$D2571,$E:$E,"P0(후)",$M:$M,"&gt;0")&lt;&gt;1,"",SUMIFS($I:$I,$C:$C,$C2571,$D:$D,$D2571,$E:$E,"P0(후)"))</f>
        <v/>
      </c>
      <c r="R2571" s="31">
        <f>IF(COUNTIFS($C:$C,$C2571,$D:$D,$D2571,$E:$E,"P0(후)",$M:$M,"&gt;0")&lt;&gt;1,"",SUMIFS($M:$M,$C:$C,$C2571,$D:$D,$D2571,$E:$E,"P0(후)"))</f>
        <v/>
      </c>
      <c r="S2571" s="31">
        <f>IF(N2571&lt;&gt;"OK","",P2571+(R2571-P2571)*(I2571-O2571)/(Q2571-O2571))</f>
        <v/>
      </c>
      <c r="T2571" s="31">
        <f>IF(OR(N2571&lt;&gt;"OK",NOT(ISNUMBER(M2571))),"",M2571-S2571)</f>
        <v/>
      </c>
      <c r="U2571" s="49">
        <f>IF(OR(NOT(ISNUMBER(T2571)),IF(ISNUMBER(H2571),H2571,G2571)=0),"",T2571/IF(ISNUMBER(H2571),H2571,G2571))</f>
        <v/>
      </c>
      <c r="V2571" s="49">
        <f>IF(ISNUMBER(U2571),ABS(U2571),"")</f>
        <v/>
      </c>
      <c r="W2571" s="49">
        <f>IF(OR($E2570&lt;&gt;"측정",$C2570&lt;&gt;$C2571,$D2570&lt;&gt;$D2571,NOT(ISNUMBER(M2571)),NOT(ISNUMBER(M2570)),(IF(ISNUMBER(H2571),H2571,G2571)-IF(ISNUMBER(H2570),H2570,G2570))=0),"",(M2571-M2570)/(IF(ISNUMBER(H2571),H2571,G2571)-IF(ISNUMBER(H2570),H2570,G2570)))</f>
        <v/>
      </c>
      <c r="X2571" s="31">
        <f>IF(NOT(AND(ISNUMBER(O2571),ISNUMBER(Q2571))),"",(Q2571-O2571)*1440)</f>
        <v/>
      </c>
      <c r="Y2571" s="29" t="n"/>
      <c r="Z2571" s="29" t="n"/>
      <c r="AA2571" s="29" t="n"/>
      <c r="AB2571" s="32" t="n"/>
      <c r="AC2571" s="32" t="n"/>
    </row>
    <row r="2572">
      <c r="A2572" s="26" t="inlineStr">
        <is>
          <t>S50</t>
        </is>
      </c>
      <c r="B2572" s="26" t="inlineStr">
        <is>
          <t>함양</t>
        </is>
      </c>
      <c r="C2572" s="26" t="inlineStr">
        <is>
          <t>S50-H서</t>
        </is>
      </c>
      <c r="D2572" s="47" t="n">
        <v>1</v>
      </c>
      <c r="E2572" s="26" t="inlineStr">
        <is>
          <t>측정</t>
        </is>
      </c>
      <c r="F2572" s="26" t="inlineStr">
        <is>
          <t>서</t>
        </is>
      </c>
      <c r="G2572" s="31" t="n">
        <v>4</v>
      </c>
      <c r="H2572" s="30" t="n"/>
      <c r="I2572" s="43" t="n"/>
      <c r="J2572" s="41" t="n"/>
      <c r="K2572" s="41" t="n"/>
      <c r="L2572" s="41" t="n"/>
      <c r="M2572" s="31">
        <f>IF(COUNT(J2572:L2572)=0,"",MEDIAN(J2572:L2572))</f>
        <v/>
      </c>
      <c r="N2572" s="26">
        <f>IF(COUNTIFS($C:$C,$C2572,$D:$D,$D2572,$E:$E,"P0(전)",$M:$M,"&gt;0")&lt;&gt;1,"P0(전) 유효 1개 아님",IF(COUNTIFS($C:$C,$C2572,$D:$D,$D2572,$E:$E,"P0(후)",$M:$M,"&gt;0")&lt;&gt;1,"P0(후) 유효 1개 아님",IF(NOT(AND(ISNUMBER(O2572),ISNUMBER(Q2572),ISNUMBER(I2572))),"시각 결측",IF(Q2572&lt;=O2572,"P0 시각 역전",IF(OR(I2572&lt;O2572,I2572&gt;Q2572),"측정시각 구간 밖","OK")))))</f>
        <v/>
      </c>
      <c r="O2572" s="48">
        <f>IF(COUNTIFS($C:$C,$C2572,$D:$D,$D2572,$E:$E,"P0(전)",$M:$M,"&gt;0")&lt;&gt;1,"",SUMIFS($I:$I,$C:$C,$C2572,$D:$D,$D2572,$E:$E,"P0(전)"))</f>
        <v/>
      </c>
      <c r="P2572" s="31">
        <f>IF(COUNTIFS($C:$C,$C2572,$D:$D,$D2572,$E:$E,"P0(전)",$M:$M,"&gt;0")&lt;&gt;1,"",SUMIFS($M:$M,$C:$C,$C2572,$D:$D,$D2572,$E:$E,"P0(전)"))</f>
        <v/>
      </c>
      <c r="Q2572" s="48">
        <f>IF(COUNTIFS($C:$C,$C2572,$D:$D,$D2572,$E:$E,"P0(후)",$M:$M,"&gt;0")&lt;&gt;1,"",SUMIFS($I:$I,$C:$C,$C2572,$D:$D,$D2572,$E:$E,"P0(후)"))</f>
        <v/>
      </c>
      <c r="R2572" s="31">
        <f>IF(COUNTIFS($C:$C,$C2572,$D:$D,$D2572,$E:$E,"P0(후)",$M:$M,"&gt;0")&lt;&gt;1,"",SUMIFS($M:$M,$C:$C,$C2572,$D:$D,$D2572,$E:$E,"P0(후)"))</f>
        <v/>
      </c>
      <c r="S2572" s="31">
        <f>IF(N2572&lt;&gt;"OK","",P2572+(R2572-P2572)*(I2572-O2572)/(Q2572-O2572))</f>
        <v/>
      </c>
      <c r="T2572" s="31">
        <f>IF(OR(N2572&lt;&gt;"OK",NOT(ISNUMBER(M2572))),"",M2572-S2572)</f>
        <v/>
      </c>
      <c r="U2572" s="49">
        <f>IF(OR(NOT(ISNUMBER(T2572)),IF(ISNUMBER(H2572),H2572,G2572)=0),"",T2572/IF(ISNUMBER(H2572),H2572,G2572))</f>
        <v/>
      </c>
      <c r="V2572" s="49">
        <f>IF(ISNUMBER(U2572),ABS(U2572),"")</f>
        <v/>
      </c>
      <c r="W2572" s="49">
        <f>IF(OR($E2571&lt;&gt;"측정",$C2571&lt;&gt;$C2572,$D2571&lt;&gt;$D2572,NOT(ISNUMBER(M2572)),NOT(ISNUMBER(M2571)),(IF(ISNUMBER(H2572),H2572,G2572)-IF(ISNUMBER(H2571),H2571,G2571))=0),"",(M2572-M2571)/(IF(ISNUMBER(H2572),H2572,G2572)-IF(ISNUMBER(H2571),H2571,G2571)))</f>
        <v/>
      </c>
      <c r="X2572" s="31">
        <f>IF(NOT(AND(ISNUMBER(O2572),ISNUMBER(Q2572))),"",(Q2572-O2572)*1440)</f>
        <v/>
      </c>
      <c r="Y2572" s="29" t="n"/>
      <c r="Z2572" s="29" t="n"/>
      <c r="AA2572" s="29" t="n"/>
      <c r="AB2572" s="32" t="n"/>
      <c r="AC2572" s="32" t="n"/>
    </row>
    <row r="2573">
      <c r="A2573" s="26" t="inlineStr">
        <is>
          <t>S50</t>
        </is>
      </c>
      <c r="B2573" s="26" t="inlineStr">
        <is>
          <t>함양</t>
        </is>
      </c>
      <c r="C2573" s="26" t="inlineStr">
        <is>
          <t>S50-H서</t>
        </is>
      </c>
      <c r="D2573" s="47" t="n">
        <v>1</v>
      </c>
      <c r="E2573" s="26" t="inlineStr">
        <is>
          <t>측정</t>
        </is>
      </c>
      <c r="F2573" s="26" t="inlineStr">
        <is>
          <t>서</t>
        </is>
      </c>
      <c r="G2573" s="31" t="n">
        <v>5</v>
      </c>
      <c r="H2573" s="30" t="n"/>
      <c r="I2573" s="43" t="n"/>
      <c r="J2573" s="41" t="n"/>
      <c r="K2573" s="41" t="n"/>
      <c r="L2573" s="41" t="n"/>
      <c r="M2573" s="31">
        <f>IF(COUNT(J2573:L2573)=0,"",MEDIAN(J2573:L2573))</f>
        <v/>
      </c>
      <c r="N2573" s="26">
        <f>IF(COUNTIFS($C:$C,$C2573,$D:$D,$D2573,$E:$E,"P0(전)",$M:$M,"&gt;0")&lt;&gt;1,"P0(전) 유효 1개 아님",IF(COUNTIFS($C:$C,$C2573,$D:$D,$D2573,$E:$E,"P0(후)",$M:$M,"&gt;0")&lt;&gt;1,"P0(후) 유효 1개 아님",IF(NOT(AND(ISNUMBER(O2573),ISNUMBER(Q2573),ISNUMBER(I2573))),"시각 결측",IF(Q2573&lt;=O2573,"P0 시각 역전",IF(OR(I2573&lt;O2573,I2573&gt;Q2573),"측정시각 구간 밖","OK")))))</f>
        <v/>
      </c>
      <c r="O2573" s="48">
        <f>IF(COUNTIFS($C:$C,$C2573,$D:$D,$D2573,$E:$E,"P0(전)",$M:$M,"&gt;0")&lt;&gt;1,"",SUMIFS($I:$I,$C:$C,$C2573,$D:$D,$D2573,$E:$E,"P0(전)"))</f>
        <v/>
      </c>
      <c r="P2573" s="31">
        <f>IF(COUNTIFS($C:$C,$C2573,$D:$D,$D2573,$E:$E,"P0(전)",$M:$M,"&gt;0")&lt;&gt;1,"",SUMIFS($M:$M,$C:$C,$C2573,$D:$D,$D2573,$E:$E,"P0(전)"))</f>
        <v/>
      </c>
      <c r="Q2573" s="48">
        <f>IF(COUNTIFS($C:$C,$C2573,$D:$D,$D2573,$E:$E,"P0(후)",$M:$M,"&gt;0")&lt;&gt;1,"",SUMIFS($I:$I,$C:$C,$C2573,$D:$D,$D2573,$E:$E,"P0(후)"))</f>
        <v/>
      </c>
      <c r="R2573" s="31">
        <f>IF(COUNTIFS($C:$C,$C2573,$D:$D,$D2573,$E:$E,"P0(후)",$M:$M,"&gt;0")&lt;&gt;1,"",SUMIFS($M:$M,$C:$C,$C2573,$D:$D,$D2573,$E:$E,"P0(후)"))</f>
        <v/>
      </c>
      <c r="S2573" s="31">
        <f>IF(N2573&lt;&gt;"OK","",P2573+(R2573-P2573)*(I2573-O2573)/(Q2573-O2573))</f>
        <v/>
      </c>
      <c r="T2573" s="31">
        <f>IF(OR(N2573&lt;&gt;"OK",NOT(ISNUMBER(M2573))),"",M2573-S2573)</f>
        <v/>
      </c>
      <c r="U2573" s="49">
        <f>IF(OR(NOT(ISNUMBER(T2573)),IF(ISNUMBER(H2573),H2573,G2573)=0),"",T2573/IF(ISNUMBER(H2573),H2573,G2573))</f>
        <v/>
      </c>
      <c r="V2573" s="49">
        <f>IF(ISNUMBER(U2573),ABS(U2573),"")</f>
        <v/>
      </c>
      <c r="W2573" s="49">
        <f>IF(OR($E2572&lt;&gt;"측정",$C2572&lt;&gt;$C2573,$D2572&lt;&gt;$D2573,NOT(ISNUMBER(M2573)),NOT(ISNUMBER(M2572)),(IF(ISNUMBER(H2573),H2573,G2573)-IF(ISNUMBER(H2572),H2572,G2572))=0),"",(M2573-M2572)/(IF(ISNUMBER(H2573),H2573,G2573)-IF(ISNUMBER(H2572),H2572,G2572)))</f>
        <v/>
      </c>
      <c r="X2573" s="31">
        <f>IF(NOT(AND(ISNUMBER(O2573),ISNUMBER(Q2573))),"",(Q2573-O2573)*1440)</f>
        <v/>
      </c>
      <c r="Y2573" s="29" t="n"/>
      <c r="Z2573" s="29" t="n"/>
      <c r="AA2573" s="29" t="n"/>
      <c r="AB2573" s="32" t="n"/>
      <c r="AC2573" s="32" t="n"/>
    </row>
    <row r="2574">
      <c r="A2574" s="26" t="inlineStr">
        <is>
          <t>S50</t>
        </is>
      </c>
      <c r="B2574" s="26" t="inlineStr">
        <is>
          <t>함양</t>
        </is>
      </c>
      <c r="C2574" s="26" t="inlineStr">
        <is>
          <t>S50-H서</t>
        </is>
      </c>
      <c r="D2574" s="47" t="n">
        <v>1</v>
      </c>
      <c r="E2574" s="26" t="inlineStr">
        <is>
          <t>측정</t>
        </is>
      </c>
      <c r="F2574" s="26" t="inlineStr">
        <is>
          <t>서</t>
        </is>
      </c>
      <c r="G2574" s="31" t="n">
        <v>6</v>
      </c>
      <c r="H2574" s="30" t="n"/>
      <c r="I2574" s="43" t="n"/>
      <c r="J2574" s="41" t="n"/>
      <c r="K2574" s="41" t="n"/>
      <c r="L2574" s="41" t="n"/>
      <c r="M2574" s="31">
        <f>IF(COUNT(J2574:L2574)=0,"",MEDIAN(J2574:L2574))</f>
        <v/>
      </c>
      <c r="N2574" s="26">
        <f>IF(COUNTIFS($C:$C,$C2574,$D:$D,$D2574,$E:$E,"P0(전)",$M:$M,"&gt;0")&lt;&gt;1,"P0(전) 유효 1개 아님",IF(COUNTIFS($C:$C,$C2574,$D:$D,$D2574,$E:$E,"P0(후)",$M:$M,"&gt;0")&lt;&gt;1,"P0(후) 유효 1개 아님",IF(NOT(AND(ISNUMBER(O2574),ISNUMBER(Q2574),ISNUMBER(I2574))),"시각 결측",IF(Q2574&lt;=O2574,"P0 시각 역전",IF(OR(I2574&lt;O2574,I2574&gt;Q2574),"측정시각 구간 밖","OK")))))</f>
        <v/>
      </c>
      <c r="O2574" s="48">
        <f>IF(COUNTIFS($C:$C,$C2574,$D:$D,$D2574,$E:$E,"P0(전)",$M:$M,"&gt;0")&lt;&gt;1,"",SUMIFS($I:$I,$C:$C,$C2574,$D:$D,$D2574,$E:$E,"P0(전)"))</f>
        <v/>
      </c>
      <c r="P2574" s="31">
        <f>IF(COUNTIFS($C:$C,$C2574,$D:$D,$D2574,$E:$E,"P0(전)",$M:$M,"&gt;0")&lt;&gt;1,"",SUMIFS($M:$M,$C:$C,$C2574,$D:$D,$D2574,$E:$E,"P0(전)"))</f>
        <v/>
      </c>
      <c r="Q2574" s="48">
        <f>IF(COUNTIFS($C:$C,$C2574,$D:$D,$D2574,$E:$E,"P0(후)",$M:$M,"&gt;0")&lt;&gt;1,"",SUMIFS($I:$I,$C:$C,$C2574,$D:$D,$D2574,$E:$E,"P0(후)"))</f>
        <v/>
      </c>
      <c r="R2574" s="31">
        <f>IF(COUNTIFS($C:$C,$C2574,$D:$D,$D2574,$E:$E,"P0(후)",$M:$M,"&gt;0")&lt;&gt;1,"",SUMIFS($M:$M,$C:$C,$C2574,$D:$D,$D2574,$E:$E,"P0(후)"))</f>
        <v/>
      </c>
      <c r="S2574" s="31">
        <f>IF(N2574&lt;&gt;"OK","",P2574+(R2574-P2574)*(I2574-O2574)/(Q2574-O2574))</f>
        <v/>
      </c>
      <c r="T2574" s="31">
        <f>IF(OR(N2574&lt;&gt;"OK",NOT(ISNUMBER(M2574))),"",M2574-S2574)</f>
        <v/>
      </c>
      <c r="U2574" s="49">
        <f>IF(OR(NOT(ISNUMBER(T2574)),IF(ISNUMBER(H2574),H2574,G2574)=0),"",T2574/IF(ISNUMBER(H2574),H2574,G2574))</f>
        <v/>
      </c>
      <c r="V2574" s="49">
        <f>IF(ISNUMBER(U2574),ABS(U2574),"")</f>
        <v/>
      </c>
      <c r="W2574" s="49">
        <f>IF(OR($E2573&lt;&gt;"측정",$C2573&lt;&gt;$C2574,$D2573&lt;&gt;$D2574,NOT(ISNUMBER(M2574)),NOT(ISNUMBER(M2573)),(IF(ISNUMBER(H2574),H2574,G2574)-IF(ISNUMBER(H2573),H2573,G2573))=0),"",(M2574-M2573)/(IF(ISNUMBER(H2574),H2574,G2574)-IF(ISNUMBER(H2573),H2573,G2573)))</f>
        <v/>
      </c>
      <c r="X2574" s="31">
        <f>IF(NOT(AND(ISNUMBER(O2574),ISNUMBER(Q2574))),"",(Q2574-O2574)*1440)</f>
        <v/>
      </c>
      <c r="Y2574" s="29" t="n"/>
      <c r="Z2574" s="29" t="n"/>
      <c r="AA2574" s="29" t="n"/>
      <c r="AB2574" s="32" t="n"/>
      <c r="AC2574" s="32" t="n"/>
    </row>
    <row r="2575">
      <c r="A2575" s="26" t="inlineStr">
        <is>
          <t>S50</t>
        </is>
      </c>
      <c r="B2575" s="26" t="inlineStr">
        <is>
          <t>함양</t>
        </is>
      </c>
      <c r="C2575" s="26" t="inlineStr">
        <is>
          <t>S50-H서</t>
        </is>
      </c>
      <c r="D2575" s="47" t="n">
        <v>1</v>
      </c>
      <c r="E2575" s="26" t="inlineStr">
        <is>
          <t>측정</t>
        </is>
      </c>
      <c r="F2575" s="26" t="inlineStr">
        <is>
          <t>서</t>
        </is>
      </c>
      <c r="G2575" s="31" t="n">
        <v>7</v>
      </c>
      <c r="H2575" s="30" t="n"/>
      <c r="I2575" s="43" t="n"/>
      <c r="J2575" s="41" t="n"/>
      <c r="K2575" s="41" t="n"/>
      <c r="L2575" s="41" t="n"/>
      <c r="M2575" s="31">
        <f>IF(COUNT(J2575:L2575)=0,"",MEDIAN(J2575:L2575))</f>
        <v/>
      </c>
      <c r="N2575" s="26">
        <f>IF(COUNTIFS($C:$C,$C2575,$D:$D,$D2575,$E:$E,"P0(전)",$M:$M,"&gt;0")&lt;&gt;1,"P0(전) 유효 1개 아님",IF(COUNTIFS($C:$C,$C2575,$D:$D,$D2575,$E:$E,"P0(후)",$M:$M,"&gt;0")&lt;&gt;1,"P0(후) 유효 1개 아님",IF(NOT(AND(ISNUMBER(O2575),ISNUMBER(Q2575),ISNUMBER(I2575))),"시각 결측",IF(Q2575&lt;=O2575,"P0 시각 역전",IF(OR(I2575&lt;O2575,I2575&gt;Q2575),"측정시각 구간 밖","OK")))))</f>
        <v/>
      </c>
      <c r="O2575" s="48">
        <f>IF(COUNTIFS($C:$C,$C2575,$D:$D,$D2575,$E:$E,"P0(전)",$M:$M,"&gt;0")&lt;&gt;1,"",SUMIFS($I:$I,$C:$C,$C2575,$D:$D,$D2575,$E:$E,"P0(전)"))</f>
        <v/>
      </c>
      <c r="P2575" s="31">
        <f>IF(COUNTIFS($C:$C,$C2575,$D:$D,$D2575,$E:$E,"P0(전)",$M:$M,"&gt;0")&lt;&gt;1,"",SUMIFS($M:$M,$C:$C,$C2575,$D:$D,$D2575,$E:$E,"P0(전)"))</f>
        <v/>
      </c>
      <c r="Q2575" s="48">
        <f>IF(COUNTIFS($C:$C,$C2575,$D:$D,$D2575,$E:$E,"P0(후)",$M:$M,"&gt;0")&lt;&gt;1,"",SUMIFS($I:$I,$C:$C,$C2575,$D:$D,$D2575,$E:$E,"P0(후)"))</f>
        <v/>
      </c>
      <c r="R2575" s="31">
        <f>IF(COUNTIFS($C:$C,$C2575,$D:$D,$D2575,$E:$E,"P0(후)",$M:$M,"&gt;0")&lt;&gt;1,"",SUMIFS($M:$M,$C:$C,$C2575,$D:$D,$D2575,$E:$E,"P0(후)"))</f>
        <v/>
      </c>
      <c r="S2575" s="31">
        <f>IF(N2575&lt;&gt;"OK","",P2575+(R2575-P2575)*(I2575-O2575)/(Q2575-O2575))</f>
        <v/>
      </c>
      <c r="T2575" s="31">
        <f>IF(OR(N2575&lt;&gt;"OK",NOT(ISNUMBER(M2575))),"",M2575-S2575)</f>
        <v/>
      </c>
      <c r="U2575" s="49">
        <f>IF(OR(NOT(ISNUMBER(T2575)),IF(ISNUMBER(H2575),H2575,G2575)=0),"",T2575/IF(ISNUMBER(H2575),H2575,G2575))</f>
        <v/>
      </c>
      <c r="V2575" s="49">
        <f>IF(ISNUMBER(U2575),ABS(U2575),"")</f>
        <v/>
      </c>
      <c r="W2575" s="49">
        <f>IF(OR($E2574&lt;&gt;"측정",$C2574&lt;&gt;$C2575,$D2574&lt;&gt;$D2575,NOT(ISNUMBER(M2575)),NOT(ISNUMBER(M2574)),(IF(ISNUMBER(H2575),H2575,G2575)-IF(ISNUMBER(H2574),H2574,G2574))=0),"",(M2575-M2574)/(IF(ISNUMBER(H2575),H2575,G2575)-IF(ISNUMBER(H2574),H2574,G2574)))</f>
        <v/>
      </c>
      <c r="X2575" s="31">
        <f>IF(NOT(AND(ISNUMBER(O2575),ISNUMBER(Q2575))),"",(Q2575-O2575)*1440)</f>
        <v/>
      </c>
      <c r="Y2575" s="29" t="n"/>
      <c r="Z2575" s="29" t="n"/>
      <c r="AA2575" s="29" t="n"/>
      <c r="AB2575" s="32" t="n"/>
      <c r="AC2575" s="32" t="n"/>
    </row>
    <row r="2576">
      <c r="A2576" s="26" t="inlineStr">
        <is>
          <t>S50</t>
        </is>
      </c>
      <c r="B2576" s="26" t="inlineStr">
        <is>
          <t>함양</t>
        </is>
      </c>
      <c r="C2576" s="26" t="inlineStr">
        <is>
          <t>S50-H서</t>
        </is>
      </c>
      <c r="D2576" s="47" t="n">
        <v>1</v>
      </c>
      <c r="E2576" s="26" t="inlineStr">
        <is>
          <t>측정</t>
        </is>
      </c>
      <c r="F2576" s="26" t="inlineStr">
        <is>
          <t>서</t>
        </is>
      </c>
      <c r="G2576" s="31" t="n">
        <v>8</v>
      </c>
      <c r="H2576" s="30" t="n"/>
      <c r="I2576" s="43" t="n"/>
      <c r="J2576" s="41" t="n"/>
      <c r="K2576" s="41" t="n"/>
      <c r="L2576" s="41" t="n"/>
      <c r="M2576" s="31">
        <f>IF(COUNT(J2576:L2576)=0,"",MEDIAN(J2576:L2576))</f>
        <v/>
      </c>
      <c r="N2576" s="26">
        <f>IF(COUNTIFS($C:$C,$C2576,$D:$D,$D2576,$E:$E,"P0(전)",$M:$M,"&gt;0")&lt;&gt;1,"P0(전) 유효 1개 아님",IF(COUNTIFS($C:$C,$C2576,$D:$D,$D2576,$E:$E,"P0(후)",$M:$M,"&gt;0")&lt;&gt;1,"P0(후) 유효 1개 아님",IF(NOT(AND(ISNUMBER(O2576),ISNUMBER(Q2576),ISNUMBER(I2576))),"시각 결측",IF(Q2576&lt;=O2576,"P0 시각 역전",IF(OR(I2576&lt;O2576,I2576&gt;Q2576),"측정시각 구간 밖","OK")))))</f>
        <v/>
      </c>
      <c r="O2576" s="48">
        <f>IF(COUNTIFS($C:$C,$C2576,$D:$D,$D2576,$E:$E,"P0(전)",$M:$M,"&gt;0")&lt;&gt;1,"",SUMIFS($I:$I,$C:$C,$C2576,$D:$D,$D2576,$E:$E,"P0(전)"))</f>
        <v/>
      </c>
      <c r="P2576" s="31">
        <f>IF(COUNTIFS($C:$C,$C2576,$D:$D,$D2576,$E:$E,"P0(전)",$M:$M,"&gt;0")&lt;&gt;1,"",SUMIFS($M:$M,$C:$C,$C2576,$D:$D,$D2576,$E:$E,"P0(전)"))</f>
        <v/>
      </c>
      <c r="Q2576" s="48">
        <f>IF(COUNTIFS($C:$C,$C2576,$D:$D,$D2576,$E:$E,"P0(후)",$M:$M,"&gt;0")&lt;&gt;1,"",SUMIFS($I:$I,$C:$C,$C2576,$D:$D,$D2576,$E:$E,"P0(후)"))</f>
        <v/>
      </c>
      <c r="R2576" s="31">
        <f>IF(COUNTIFS($C:$C,$C2576,$D:$D,$D2576,$E:$E,"P0(후)",$M:$M,"&gt;0")&lt;&gt;1,"",SUMIFS($M:$M,$C:$C,$C2576,$D:$D,$D2576,$E:$E,"P0(후)"))</f>
        <v/>
      </c>
      <c r="S2576" s="31">
        <f>IF(N2576&lt;&gt;"OK","",P2576+(R2576-P2576)*(I2576-O2576)/(Q2576-O2576))</f>
        <v/>
      </c>
      <c r="T2576" s="31">
        <f>IF(OR(N2576&lt;&gt;"OK",NOT(ISNUMBER(M2576))),"",M2576-S2576)</f>
        <v/>
      </c>
      <c r="U2576" s="49">
        <f>IF(OR(NOT(ISNUMBER(T2576)),IF(ISNUMBER(H2576),H2576,G2576)=0),"",T2576/IF(ISNUMBER(H2576),H2576,G2576))</f>
        <v/>
      </c>
      <c r="V2576" s="49">
        <f>IF(ISNUMBER(U2576),ABS(U2576),"")</f>
        <v/>
      </c>
      <c r="W2576" s="49">
        <f>IF(OR($E2575&lt;&gt;"측정",$C2575&lt;&gt;$C2576,$D2575&lt;&gt;$D2576,NOT(ISNUMBER(M2576)),NOT(ISNUMBER(M2575)),(IF(ISNUMBER(H2576),H2576,G2576)-IF(ISNUMBER(H2575),H2575,G2575))=0),"",(M2576-M2575)/(IF(ISNUMBER(H2576),H2576,G2576)-IF(ISNUMBER(H2575),H2575,G2575)))</f>
        <v/>
      </c>
      <c r="X2576" s="31">
        <f>IF(NOT(AND(ISNUMBER(O2576),ISNUMBER(Q2576))),"",(Q2576-O2576)*1440)</f>
        <v/>
      </c>
      <c r="Y2576" s="29" t="n"/>
      <c r="Z2576" s="29" t="n"/>
      <c r="AA2576" s="29" t="n"/>
      <c r="AB2576" s="32" t="n"/>
      <c r="AC2576" s="32" t="n"/>
    </row>
    <row r="2577">
      <c r="A2577" s="26" t="inlineStr">
        <is>
          <t>S50</t>
        </is>
      </c>
      <c r="B2577" s="26" t="inlineStr">
        <is>
          <t>함양</t>
        </is>
      </c>
      <c r="C2577" s="26" t="inlineStr">
        <is>
          <t>S50-H서</t>
        </is>
      </c>
      <c r="D2577" s="47" t="n">
        <v>1</v>
      </c>
      <c r="E2577" s="26" t="inlineStr">
        <is>
          <t>측정</t>
        </is>
      </c>
      <c r="F2577" s="26" t="inlineStr">
        <is>
          <t>서</t>
        </is>
      </c>
      <c r="G2577" s="31" t="n">
        <v>9</v>
      </c>
      <c r="H2577" s="30" t="n"/>
      <c r="I2577" s="43" t="n"/>
      <c r="J2577" s="41" t="n"/>
      <c r="K2577" s="41" t="n"/>
      <c r="L2577" s="41" t="n"/>
      <c r="M2577" s="31">
        <f>IF(COUNT(J2577:L2577)=0,"",MEDIAN(J2577:L2577))</f>
        <v/>
      </c>
      <c r="N2577" s="26">
        <f>IF(COUNTIFS($C:$C,$C2577,$D:$D,$D2577,$E:$E,"P0(전)",$M:$M,"&gt;0")&lt;&gt;1,"P0(전) 유효 1개 아님",IF(COUNTIFS($C:$C,$C2577,$D:$D,$D2577,$E:$E,"P0(후)",$M:$M,"&gt;0")&lt;&gt;1,"P0(후) 유효 1개 아님",IF(NOT(AND(ISNUMBER(O2577),ISNUMBER(Q2577),ISNUMBER(I2577))),"시각 결측",IF(Q2577&lt;=O2577,"P0 시각 역전",IF(OR(I2577&lt;O2577,I2577&gt;Q2577),"측정시각 구간 밖","OK")))))</f>
        <v/>
      </c>
      <c r="O2577" s="48">
        <f>IF(COUNTIFS($C:$C,$C2577,$D:$D,$D2577,$E:$E,"P0(전)",$M:$M,"&gt;0")&lt;&gt;1,"",SUMIFS($I:$I,$C:$C,$C2577,$D:$D,$D2577,$E:$E,"P0(전)"))</f>
        <v/>
      </c>
      <c r="P2577" s="31">
        <f>IF(COUNTIFS($C:$C,$C2577,$D:$D,$D2577,$E:$E,"P0(전)",$M:$M,"&gt;0")&lt;&gt;1,"",SUMIFS($M:$M,$C:$C,$C2577,$D:$D,$D2577,$E:$E,"P0(전)"))</f>
        <v/>
      </c>
      <c r="Q2577" s="48">
        <f>IF(COUNTIFS($C:$C,$C2577,$D:$D,$D2577,$E:$E,"P0(후)",$M:$M,"&gt;0")&lt;&gt;1,"",SUMIFS($I:$I,$C:$C,$C2577,$D:$D,$D2577,$E:$E,"P0(후)"))</f>
        <v/>
      </c>
      <c r="R2577" s="31">
        <f>IF(COUNTIFS($C:$C,$C2577,$D:$D,$D2577,$E:$E,"P0(후)",$M:$M,"&gt;0")&lt;&gt;1,"",SUMIFS($M:$M,$C:$C,$C2577,$D:$D,$D2577,$E:$E,"P0(후)"))</f>
        <v/>
      </c>
      <c r="S2577" s="31">
        <f>IF(N2577&lt;&gt;"OK","",P2577+(R2577-P2577)*(I2577-O2577)/(Q2577-O2577))</f>
        <v/>
      </c>
      <c r="T2577" s="31">
        <f>IF(OR(N2577&lt;&gt;"OK",NOT(ISNUMBER(M2577))),"",M2577-S2577)</f>
        <v/>
      </c>
      <c r="U2577" s="49">
        <f>IF(OR(NOT(ISNUMBER(T2577)),IF(ISNUMBER(H2577),H2577,G2577)=0),"",T2577/IF(ISNUMBER(H2577),H2577,G2577))</f>
        <v/>
      </c>
      <c r="V2577" s="49">
        <f>IF(ISNUMBER(U2577),ABS(U2577),"")</f>
        <v/>
      </c>
      <c r="W2577" s="49">
        <f>IF(OR($E2576&lt;&gt;"측정",$C2576&lt;&gt;$C2577,$D2576&lt;&gt;$D2577,NOT(ISNUMBER(M2577)),NOT(ISNUMBER(M2576)),(IF(ISNUMBER(H2577),H2577,G2577)-IF(ISNUMBER(H2576),H2576,G2576))=0),"",(M2577-M2576)/(IF(ISNUMBER(H2577),H2577,G2577)-IF(ISNUMBER(H2576),H2576,G2576)))</f>
        <v/>
      </c>
      <c r="X2577" s="31">
        <f>IF(NOT(AND(ISNUMBER(O2577),ISNUMBER(Q2577))),"",(Q2577-O2577)*1440)</f>
        <v/>
      </c>
      <c r="Y2577" s="29" t="n"/>
      <c r="Z2577" s="29" t="n"/>
      <c r="AA2577" s="29" t="n"/>
      <c r="AB2577" s="32" t="n"/>
      <c r="AC2577" s="32" t="n"/>
    </row>
    <row r="2578">
      <c r="A2578" s="26" t="inlineStr">
        <is>
          <t>S50</t>
        </is>
      </c>
      <c r="B2578" s="26" t="inlineStr">
        <is>
          <t>함양</t>
        </is>
      </c>
      <c r="C2578" s="26" t="inlineStr">
        <is>
          <t>S50-H서</t>
        </is>
      </c>
      <c r="D2578" s="47" t="n">
        <v>1</v>
      </c>
      <c r="E2578" s="26" t="inlineStr">
        <is>
          <t>측정</t>
        </is>
      </c>
      <c r="F2578" s="26" t="inlineStr">
        <is>
          <t>서</t>
        </is>
      </c>
      <c r="G2578" s="31" t="n">
        <v>10</v>
      </c>
      <c r="H2578" s="30" t="n"/>
      <c r="I2578" s="43" t="n"/>
      <c r="J2578" s="41" t="n"/>
      <c r="K2578" s="41" t="n"/>
      <c r="L2578" s="41" t="n"/>
      <c r="M2578" s="31">
        <f>IF(COUNT(J2578:L2578)=0,"",MEDIAN(J2578:L2578))</f>
        <v/>
      </c>
      <c r="N2578" s="26">
        <f>IF(COUNTIFS($C:$C,$C2578,$D:$D,$D2578,$E:$E,"P0(전)",$M:$M,"&gt;0")&lt;&gt;1,"P0(전) 유효 1개 아님",IF(COUNTIFS($C:$C,$C2578,$D:$D,$D2578,$E:$E,"P0(후)",$M:$M,"&gt;0")&lt;&gt;1,"P0(후) 유효 1개 아님",IF(NOT(AND(ISNUMBER(O2578),ISNUMBER(Q2578),ISNUMBER(I2578))),"시각 결측",IF(Q2578&lt;=O2578,"P0 시각 역전",IF(OR(I2578&lt;O2578,I2578&gt;Q2578),"측정시각 구간 밖","OK")))))</f>
        <v/>
      </c>
      <c r="O2578" s="48">
        <f>IF(COUNTIFS($C:$C,$C2578,$D:$D,$D2578,$E:$E,"P0(전)",$M:$M,"&gt;0")&lt;&gt;1,"",SUMIFS($I:$I,$C:$C,$C2578,$D:$D,$D2578,$E:$E,"P0(전)"))</f>
        <v/>
      </c>
      <c r="P2578" s="31">
        <f>IF(COUNTIFS($C:$C,$C2578,$D:$D,$D2578,$E:$E,"P0(전)",$M:$M,"&gt;0")&lt;&gt;1,"",SUMIFS($M:$M,$C:$C,$C2578,$D:$D,$D2578,$E:$E,"P0(전)"))</f>
        <v/>
      </c>
      <c r="Q2578" s="48">
        <f>IF(COUNTIFS($C:$C,$C2578,$D:$D,$D2578,$E:$E,"P0(후)",$M:$M,"&gt;0")&lt;&gt;1,"",SUMIFS($I:$I,$C:$C,$C2578,$D:$D,$D2578,$E:$E,"P0(후)"))</f>
        <v/>
      </c>
      <c r="R2578" s="31">
        <f>IF(COUNTIFS($C:$C,$C2578,$D:$D,$D2578,$E:$E,"P0(후)",$M:$M,"&gt;0")&lt;&gt;1,"",SUMIFS($M:$M,$C:$C,$C2578,$D:$D,$D2578,$E:$E,"P0(후)"))</f>
        <v/>
      </c>
      <c r="S2578" s="31">
        <f>IF(N2578&lt;&gt;"OK","",P2578+(R2578-P2578)*(I2578-O2578)/(Q2578-O2578))</f>
        <v/>
      </c>
      <c r="T2578" s="31">
        <f>IF(OR(N2578&lt;&gt;"OK",NOT(ISNUMBER(M2578))),"",M2578-S2578)</f>
        <v/>
      </c>
      <c r="U2578" s="49">
        <f>IF(OR(NOT(ISNUMBER(T2578)),IF(ISNUMBER(H2578),H2578,G2578)=0),"",T2578/IF(ISNUMBER(H2578),H2578,G2578))</f>
        <v/>
      </c>
      <c r="V2578" s="49">
        <f>IF(ISNUMBER(U2578),ABS(U2578),"")</f>
        <v/>
      </c>
      <c r="W2578" s="49">
        <f>IF(OR($E2577&lt;&gt;"측정",$C2577&lt;&gt;$C2578,$D2577&lt;&gt;$D2578,NOT(ISNUMBER(M2578)),NOT(ISNUMBER(M2577)),(IF(ISNUMBER(H2578),H2578,G2578)-IF(ISNUMBER(H2577),H2577,G2577))=0),"",(M2578-M2577)/(IF(ISNUMBER(H2578),H2578,G2578)-IF(ISNUMBER(H2577),H2577,G2577)))</f>
        <v/>
      </c>
      <c r="X2578" s="31">
        <f>IF(NOT(AND(ISNUMBER(O2578),ISNUMBER(Q2578))),"",(Q2578-O2578)*1440)</f>
        <v/>
      </c>
      <c r="Y2578" s="29" t="n"/>
      <c r="Z2578" s="29" t="n"/>
      <c r="AA2578" s="29" t="n"/>
      <c r="AB2578" s="32" t="n"/>
      <c r="AC2578" s="32" t="n"/>
    </row>
    <row r="2579">
      <c r="A2579" s="44" t="inlineStr">
        <is>
          <t>S50</t>
        </is>
      </c>
      <c r="B2579" s="44" t="inlineStr">
        <is>
          <t>함양</t>
        </is>
      </c>
      <c r="C2579" s="44" t="inlineStr">
        <is>
          <t>S50-H서</t>
        </is>
      </c>
      <c r="D2579" s="45" t="n">
        <v>1</v>
      </c>
      <c r="E2579" s="44" t="inlineStr">
        <is>
          <t>P0(후)</t>
        </is>
      </c>
      <c r="F2579" s="44" t="inlineStr">
        <is>
          <t>서</t>
        </is>
      </c>
      <c r="G2579" s="46" t="n"/>
      <c r="H2579" s="30" t="n"/>
      <c r="I2579" s="43" t="n"/>
      <c r="J2579" s="41" t="n"/>
      <c r="K2579" s="41" t="n"/>
      <c r="L2579" s="41" t="n"/>
      <c r="M2579" s="31">
        <f>IF(COUNT(J2579:L2579)=0,"",MEDIAN(J2579:L2579))</f>
        <v/>
      </c>
      <c r="N2579" s="38" t="n"/>
      <c r="O2579" s="38" t="n"/>
      <c r="P2579" s="38" t="n"/>
      <c r="Q2579" s="38" t="n"/>
      <c r="R2579" s="38" t="n"/>
      <c r="S2579" s="38" t="n"/>
      <c r="T2579" s="38" t="n"/>
      <c r="U2579" s="38" t="n"/>
      <c r="V2579" s="38" t="n"/>
      <c r="W2579" s="38" t="n"/>
      <c r="X2579" s="38" t="n"/>
      <c r="Y2579" s="29" t="n"/>
      <c r="Z2579" s="29" t="n"/>
      <c r="AA2579" s="29" t="n"/>
      <c r="AB2579" s="32" t="n"/>
      <c r="AC2579" s="32" t="n"/>
    </row>
    <row r="2580">
      <c r="A2580" s="44" t="inlineStr">
        <is>
          <t>S50</t>
        </is>
      </c>
      <c r="B2580" s="44" t="inlineStr">
        <is>
          <t>함양</t>
        </is>
      </c>
      <c r="C2580" s="44" t="inlineStr">
        <is>
          <t>S50-H남</t>
        </is>
      </c>
      <c r="D2580" s="45" t="n">
        <v>1</v>
      </c>
      <c r="E2580" s="44" t="inlineStr">
        <is>
          <t>P0(전)</t>
        </is>
      </c>
      <c r="F2580" s="44" t="inlineStr">
        <is>
          <t>남</t>
        </is>
      </c>
      <c r="G2580" s="46" t="n"/>
      <c r="H2580" s="30" t="n"/>
      <c r="I2580" s="43" t="n"/>
      <c r="J2580" s="41" t="n"/>
      <c r="K2580" s="41" t="n"/>
      <c r="L2580" s="41" t="n"/>
      <c r="M2580" s="31">
        <f>IF(COUNT(J2580:L2580)=0,"",MEDIAN(J2580:L2580))</f>
        <v/>
      </c>
      <c r="N2580" s="38" t="n"/>
      <c r="O2580" s="38" t="n"/>
      <c r="P2580" s="38" t="n"/>
      <c r="Q2580" s="38" t="n"/>
      <c r="R2580" s="38" t="n"/>
      <c r="S2580" s="38" t="n"/>
      <c r="T2580" s="38" t="n"/>
      <c r="U2580" s="38" t="n"/>
      <c r="V2580" s="38" t="n"/>
      <c r="W2580" s="38" t="n"/>
      <c r="X2580" s="38" t="n"/>
      <c r="Y2580" s="29" t="n"/>
      <c r="Z2580" s="29" t="n"/>
      <c r="AA2580" s="29" t="n"/>
      <c r="AB2580" s="32" t="n"/>
      <c r="AC2580" s="32" t="n"/>
    </row>
    <row r="2581">
      <c r="A2581" s="26" t="inlineStr">
        <is>
          <t>S50</t>
        </is>
      </c>
      <c r="B2581" s="26" t="inlineStr">
        <is>
          <t>함양</t>
        </is>
      </c>
      <c r="C2581" s="26" t="inlineStr">
        <is>
          <t>S50-H남</t>
        </is>
      </c>
      <c r="D2581" s="47" t="n">
        <v>1</v>
      </c>
      <c r="E2581" s="26" t="inlineStr">
        <is>
          <t>측정</t>
        </is>
      </c>
      <c r="F2581" s="26" t="inlineStr">
        <is>
          <t>남</t>
        </is>
      </c>
      <c r="G2581" s="31" t="n">
        <v>0.5</v>
      </c>
      <c r="H2581" s="30" t="n"/>
      <c r="I2581" s="43" t="n"/>
      <c r="J2581" s="41" t="n"/>
      <c r="K2581" s="41" t="n"/>
      <c r="L2581" s="41" t="n"/>
      <c r="M2581" s="31">
        <f>IF(COUNT(J2581:L2581)=0,"",MEDIAN(J2581:L2581))</f>
        <v/>
      </c>
      <c r="N2581" s="26">
        <f>IF(COUNTIFS($C:$C,$C2581,$D:$D,$D2581,$E:$E,"P0(전)",$M:$M,"&gt;0")&lt;&gt;1,"P0(전) 유효 1개 아님",IF(COUNTIFS($C:$C,$C2581,$D:$D,$D2581,$E:$E,"P0(후)",$M:$M,"&gt;0")&lt;&gt;1,"P0(후) 유효 1개 아님",IF(NOT(AND(ISNUMBER(O2581),ISNUMBER(Q2581),ISNUMBER(I2581))),"시각 결측",IF(Q2581&lt;=O2581,"P0 시각 역전",IF(OR(I2581&lt;O2581,I2581&gt;Q2581),"측정시각 구간 밖","OK")))))</f>
        <v/>
      </c>
      <c r="O2581" s="48">
        <f>IF(COUNTIFS($C:$C,$C2581,$D:$D,$D2581,$E:$E,"P0(전)",$M:$M,"&gt;0")&lt;&gt;1,"",SUMIFS($I:$I,$C:$C,$C2581,$D:$D,$D2581,$E:$E,"P0(전)"))</f>
        <v/>
      </c>
      <c r="P2581" s="31">
        <f>IF(COUNTIFS($C:$C,$C2581,$D:$D,$D2581,$E:$E,"P0(전)",$M:$M,"&gt;0")&lt;&gt;1,"",SUMIFS($M:$M,$C:$C,$C2581,$D:$D,$D2581,$E:$E,"P0(전)"))</f>
        <v/>
      </c>
      <c r="Q2581" s="48">
        <f>IF(COUNTIFS($C:$C,$C2581,$D:$D,$D2581,$E:$E,"P0(후)",$M:$M,"&gt;0")&lt;&gt;1,"",SUMIFS($I:$I,$C:$C,$C2581,$D:$D,$D2581,$E:$E,"P0(후)"))</f>
        <v/>
      </c>
      <c r="R2581" s="31">
        <f>IF(COUNTIFS($C:$C,$C2581,$D:$D,$D2581,$E:$E,"P0(후)",$M:$M,"&gt;0")&lt;&gt;1,"",SUMIFS($M:$M,$C:$C,$C2581,$D:$D,$D2581,$E:$E,"P0(후)"))</f>
        <v/>
      </c>
      <c r="S2581" s="31">
        <f>IF(N2581&lt;&gt;"OK","",P2581+(R2581-P2581)*(I2581-O2581)/(Q2581-O2581))</f>
        <v/>
      </c>
      <c r="T2581" s="31">
        <f>IF(OR(N2581&lt;&gt;"OK",NOT(ISNUMBER(M2581))),"",M2581-S2581)</f>
        <v/>
      </c>
      <c r="U2581" s="49">
        <f>IF(OR(NOT(ISNUMBER(T2581)),IF(ISNUMBER(H2581),H2581,G2581)=0),"",T2581/IF(ISNUMBER(H2581),H2581,G2581))</f>
        <v/>
      </c>
      <c r="V2581" s="49">
        <f>IF(ISNUMBER(U2581),ABS(U2581),"")</f>
        <v/>
      </c>
      <c r="W2581" s="49">
        <f>IF(OR($E2580&lt;&gt;"측정",$C2580&lt;&gt;$C2581,$D2580&lt;&gt;$D2581,NOT(ISNUMBER(M2581)),NOT(ISNUMBER(M2580)),(IF(ISNUMBER(H2581),H2581,G2581)-IF(ISNUMBER(H2580),H2580,G2580))=0),"",(M2581-M2580)/(IF(ISNUMBER(H2581),H2581,G2581)-IF(ISNUMBER(H2580),H2580,G2580)))</f>
        <v/>
      </c>
      <c r="X2581" s="31">
        <f>IF(NOT(AND(ISNUMBER(O2581),ISNUMBER(Q2581))),"",(Q2581-O2581)*1440)</f>
        <v/>
      </c>
      <c r="Y2581" s="29" t="n"/>
      <c r="Z2581" s="29" t="n"/>
      <c r="AA2581" s="29" t="n"/>
      <c r="AB2581" s="32" t="n"/>
      <c r="AC2581" s="32" t="n"/>
    </row>
    <row r="2582">
      <c r="A2582" s="26" t="inlineStr">
        <is>
          <t>S50</t>
        </is>
      </c>
      <c r="B2582" s="26" t="inlineStr">
        <is>
          <t>함양</t>
        </is>
      </c>
      <c r="C2582" s="26" t="inlineStr">
        <is>
          <t>S50-H남</t>
        </is>
      </c>
      <c r="D2582" s="47" t="n">
        <v>1</v>
      </c>
      <c r="E2582" s="26" t="inlineStr">
        <is>
          <t>측정</t>
        </is>
      </c>
      <c r="F2582" s="26" t="inlineStr">
        <is>
          <t>남</t>
        </is>
      </c>
      <c r="G2582" s="31" t="n">
        <v>1</v>
      </c>
      <c r="H2582" s="30" t="n"/>
      <c r="I2582" s="43" t="n"/>
      <c r="J2582" s="41" t="n"/>
      <c r="K2582" s="41" t="n"/>
      <c r="L2582" s="41" t="n"/>
      <c r="M2582" s="31">
        <f>IF(COUNT(J2582:L2582)=0,"",MEDIAN(J2582:L2582))</f>
        <v/>
      </c>
      <c r="N2582" s="26">
        <f>IF(COUNTIFS($C:$C,$C2582,$D:$D,$D2582,$E:$E,"P0(전)",$M:$M,"&gt;0")&lt;&gt;1,"P0(전) 유효 1개 아님",IF(COUNTIFS($C:$C,$C2582,$D:$D,$D2582,$E:$E,"P0(후)",$M:$M,"&gt;0")&lt;&gt;1,"P0(후) 유효 1개 아님",IF(NOT(AND(ISNUMBER(O2582),ISNUMBER(Q2582),ISNUMBER(I2582))),"시각 결측",IF(Q2582&lt;=O2582,"P0 시각 역전",IF(OR(I2582&lt;O2582,I2582&gt;Q2582),"측정시각 구간 밖","OK")))))</f>
        <v/>
      </c>
      <c r="O2582" s="48">
        <f>IF(COUNTIFS($C:$C,$C2582,$D:$D,$D2582,$E:$E,"P0(전)",$M:$M,"&gt;0")&lt;&gt;1,"",SUMIFS($I:$I,$C:$C,$C2582,$D:$D,$D2582,$E:$E,"P0(전)"))</f>
        <v/>
      </c>
      <c r="P2582" s="31">
        <f>IF(COUNTIFS($C:$C,$C2582,$D:$D,$D2582,$E:$E,"P0(전)",$M:$M,"&gt;0")&lt;&gt;1,"",SUMIFS($M:$M,$C:$C,$C2582,$D:$D,$D2582,$E:$E,"P0(전)"))</f>
        <v/>
      </c>
      <c r="Q2582" s="48">
        <f>IF(COUNTIFS($C:$C,$C2582,$D:$D,$D2582,$E:$E,"P0(후)",$M:$M,"&gt;0")&lt;&gt;1,"",SUMIFS($I:$I,$C:$C,$C2582,$D:$D,$D2582,$E:$E,"P0(후)"))</f>
        <v/>
      </c>
      <c r="R2582" s="31">
        <f>IF(COUNTIFS($C:$C,$C2582,$D:$D,$D2582,$E:$E,"P0(후)",$M:$M,"&gt;0")&lt;&gt;1,"",SUMIFS($M:$M,$C:$C,$C2582,$D:$D,$D2582,$E:$E,"P0(후)"))</f>
        <v/>
      </c>
      <c r="S2582" s="31">
        <f>IF(N2582&lt;&gt;"OK","",P2582+(R2582-P2582)*(I2582-O2582)/(Q2582-O2582))</f>
        <v/>
      </c>
      <c r="T2582" s="31">
        <f>IF(OR(N2582&lt;&gt;"OK",NOT(ISNUMBER(M2582))),"",M2582-S2582)</f>
        <v/>
      </c>
      <c r="U2582" s="49">
        <f>IF(OR(NOT(ISNUMBER(T2582)),IF(ISNUMBER(H2582),H2582,G2582)=0),"",T2582/IF(ISNUMBER(H2582),H2582,G2582))</f>
        <v/>
      </c>
      <c r="V2582" s="49">
        <f>IF(ISNUMBER(U2582),ABS(U2582),"")</f>
        <v/>
      </c>
      <c r="W2582" s="49">
        <f>IF(OR($E2581&lt;&gt;"측정",$C2581&lt;&gt;$C2582,$D2581&lt;&gt;$D2582,NOT(ISNUMBER(M2582)),NOT(ISNUMBER(M2581)),(IF(ISNUMBER(H2582),H2582,G2582)-IF(ISNUMBER(H2581),H2581,G2581))=0),"",(M2582-M2581)/(IF(ISNUMBER(H2582),H2582,G2582)-IF(ISNUMBER(H2581),H2581,G2581)))</f>
        <v/>
      </c>
      <c r="X2582" s="31">
        <f>IF(NOT(AND(ISNUMBER(O2582),ISNUMBER(Q2582))),"",(Q2582-O2582)*1440)</f>
        <v/>
      </c>
      <c r="Y2582" s="29" t="n"/>
      <c r="Z2582" s="29" t="n"/>
      <c r="AA2582" s="29" t="n"/>
      <c r="AB2582" s="32" t="n"/>
      <c r="AC2582" s="32" t="n"/>
    </row>
    <row r="2583">
      <c r="A2583" s="26" t="inlineStr">
        <is>
          <t>S50</t>
        </is>
      </c>
      <c r="B2583" s="26" t="inlineStr">
        <is>
          <t>함양</t>
        </is>
      </c>
      <c r="C2583" s="26" t="inlineStr">
        <is>
          <t>S50-H남</t>
        </is>
      </c>
      <c r="D2583" s="47" t="n">
        <v>1</v>
      </c>
      <c r="E2583" s="26" t="inlineStr">
        <is>
          <t>측정</t>
        </is>
      </c>
      <c r="F2583" s="26" t="inlineStr">
        <is>
          <t>남</t>
        </is>
      </c>
      <c r="G2583" s="31" t="n">
        <v>2</v>
      </c>
      <c r="H2583" s="30" t="n"/>
      <c r="I2583" s="43" t="n"/>
      <c r="J2583" s="41" t="n"/>
      <c r="K2583" s="41" t="n"/>
      <c r="L2583" s="41" t="n"/>
      <c r="M2583" s="31">
        <f>IF(COUNT(J2583:L2583)=0,"",MEDIAN(J2583:L2583))</f>
        <v/>
      </c>
      <c r="N2583" s="26">
        <f>IF(COUNTIFS($C:$C,$C2583,$D:$D,$D2583,$E:$E,"P0(전)",$M:$M,"&gt;0")&lt;&gt;1,"P0(전) 유효 1개 아님",IF(COUNTIFS($C:$C,$C2583,$D:$D,$D2583,$E:$E,"P0(후)",$M:$M,"&gt;0")&lt;&gt;1,"P0(후) 유효 1개 아님",IF(NOT(AND(ISNUMBER(O2583),ISNUMBER(Q2583),ISNUMBER(I2583))),"시각 결측",IF(Q2583&lt;=O2583,"P0 시각 역전",IF(OR(I2583&lt;O2583,I2583&gt;Q2583),"측정시각 구간 밖","OK")))))</f>
        <v/>
      </c>
      <c r="O2583" s="48">
        <f>IF(COUNTIFS($C:$C,$C2583,$D:$D,$D2583,$E:$E,"P0(전)",$M:$M,"&gt;0")&lt;&gt;1,"",SUMIFS($I:$I,$C:$C,$C2583,$D:$D,$D2583,$E:$E,"P0(전)"))</f>
        <v/>
      </c>
      <c r="P2583" s="31">
        <f>IF(COUNTIFS($C:$C,$C2583,$D:$D,$D2583,$E:$E,"P0(전)",$M:$M,"&gt;0")&lt;&gt;1,"",SUMIFS($M:$M,$C:$C,$C2583,$D:$D,$D2583,$E:$E,"P0(전)"))</f>
        <v/>
      </c>
      <c r="Q2583" s="48">
        <f>IF(COUNTIFS($C:$C,$C2583,$D:$D,$D2583,$E:$E,"P0(후)",$M:$M,"&gt;0")&lt;&gt;1,"",SUMIFS($I:$I,$C:$C,$C2583,$D:$D,$D2583,$E:$E,"P0(후)"))</f>
        <v/>
      </c>
      <c r="R2583" s="31">
        <f>IF(COUNTIFS($C:$C,$C2583,$D:$D,$D2583,$E:$E,"P0(후)",$M:$M,"&gt;0")&lt;&gt;1,"",SUMIFS($M:$M,$C:$C,$C2583,$D:$D,$D2583,$E:$E,"P0(후)"))</f>
        <v/>
      </c>
      <c r="S2583" s="31">
        <f>IF(N2583&lt;&gt;"OK","",P2583+(R2583-P2583)*(I2583-O2583)/(Q2583-O2583))</f>
        <v/>
      </c>
      <c r="T2583" s="31">
        <f>IF(OR(N2583&lt;&gt;"OK",NOT(ISNUMBER(M2583))),"",M2583-S2583)</f>
        <v/>
      </c>
      <c r="U2583" s="49">
        <f>IF(OR(NOT(ISNUMBER(T2583)),IF(ISNUMBER(H2583),H2583,G2583)=0),"",T2583/IF(ISNUMBER(H2583),H2583,G2583))</f>
        <v/>
      </c>
      <c r="V2583" s="49">
        <f>IF(ISNUMBER(U2583),ABS(U2583),"")</f>
        <v/>
      </c>
      <c r="W2583" s="49">
        <f>IF(OR($E2582&lt;&gt;"측정",$C2582&lt;&gt;$C2583,$D2582&lt;&gt;$D2583,NOT(ISNUMBER(M2583)),NOT(ISNUMBER(M2582)),(IF(ISNUMBER(H2583),H2583,G2583)-IF(ISNUMBER(H2582),H2582,G2582))=0),"",(M2583-M2582)/(IF(ISNUMBER(H2583),H2583,G2583)-IF(ISNUMBER(H2582),H2582,G2582)))</f>
        <v/>
      </c>
      <c r="X2583" s="31">
        <f>IF(NOT(AND(ISNUMBER(O2583),ISNUMBER(Q2583))),"",(Q2583-O2583)*1440)</f>
        <v/>
      </c>
      <c r="Y2583" s="29" t="n"/>
      <c r="Z2583" s="29" t="n"/>
      <c r="AA2583" s="29" t="n"/>
      <c r="AB2583" s="32" t="n"/>
      <c r="AC2583" s="32" t="n"/>
    </row>
    <row r="2584">
      <c r="A2584" s="26" t="inlineStr">
        <is>
          <t>S50</t>
        </is>
      </c>
      <c r="B2584" s="26" t="inlineStr">
        <is>
          <t>함양</t>
        </is>
      </c>
      <c r="C2584" s="26" t="inlineStr">
        <is>
          <t>S50-H남</t>
        </is>
      </c>
      <c r="D2584" s="47" t="n">
        <v>1</v>
      </c>
      <c r="E2584" s="26" t="inlineStr">
        <is>
          <t>측정</t>
        </is>
      </c>
      <c r="F2584" s="26" t="inlineStr">
        <is>
          <t>남</t>
        </is>
      </c>
      <c r="G2584" s="31" t="n">
        <v>3</v>
      </c>
      <c r="H2584" s="30" t="n"/>
      <c r="I2584" s="43" t="n"/>
      <c r="J2584" s="41" t="n"/>
      <c r="K2584" s="41" t="n"/>
      <c r="L2584" s="41" t="n"/>
      <c r="M2584" s="31">
        <f>IF(COUNT(J2584:L2584)=0,"",MEDIAN(J2584:L2584))</f>
        <v/>
      </c>
      <c r="N2584" s="26">
        <f>IF(COUNTIFS($C:$C,$C2584,$D:$D,$D2584,$E:$E,"P0(전)",$M:$M,"&gt;0")&lt;&gt;1,"P0(전) 유효 1개 아님",IF(COUNTIFS($C:$C,$C2584,$D:$D,$D2584,$E:$E,"P0(후)",$M:$M,"&gt;0")&lt;&gt;1,"P0(후) 유효 1개 아님",IF(NOT(AND(ISNUMBER(O2584),ISNUMBER(Q2584),ISNUMBER(I2584))),"시각 결측",IF(Q2584&lt;=O2584,"P0 시각 역전",IF(OR(I2584&lt;O2584,I2584&gt;Q2584),"측정시각 구간 밖","OK")))))</f>
        <v/>
      </c>
      <c r="O2584" s="48">
        <f>IF(COUNTIFS($C:$C,$C2584,$D:$D,$D2584,$E:$E,"P0(전)",$M:$M,"&gt;0")&lt;&gt;1,"",SUMIFS($I:$I,$C:$C,$C2584,$D:$D,$D2584,$E:$E,"P0(전)"))</f>
        <v/>
      </c>
      <c r="P2584" s="31">
        <f>IF(COUNTIFS($C:$C,$C2584,$D:$D,$D2584,$E:$E,"P0(전)",$M:$M,"&gt;0")&lt;&gt;1,"",SUMIFS($M:$M,$C:$C,$C2584,$D:$D,$D2584,$E:$E,"P0(전)"))</f>
        <v/>
      </c>
      <c r="Q2584" s="48">
        <f>IF(COUNTIFS($C:$C,$C2584,$D:$D,$D2584,$E:$E,"P0(후)",$M:$M,"&gt;0")&lt;&gt;1,"",SUMIFS($I:$I,$C:$C,$C2584,$D:$D,$D2584,$E:$E,"P0(후)"))</f>
        <v/>
      </c>
      <c r="R2584" s="31">
        <f>IF(COUNTIFS($C:$C,$C2584,$D:$D,$D2584,$E:$E,"P0(후)",$M:$M,"&gt;0")&lt;&gt;1,"",SUMIFS($M:$M,$C:$C,$C2584,$D:$D,$D2584,$E:$E,"P0(후)"))</f>
        <v/>
      </c>
      <c r="S2584" s="31">
        <f>IF(N2584&lt;&gt;"OK","",P2584+(R2584-P2584)*(I2584-O2584)/(Q2584-O2584))</f>
        <v/>
      </c>
      <c r="T2584" s="31">
        <f>IF(OR(N2584&lt;&gt;"OK",NOT(ISNUMBER(M2584))),"",M2584-S2584)</f>
        <v/>
      </c>
      <c r="U2584" s="49">
        <f>IF(OR(NOT(ISNUMBER(T2584)),IF(ISNUMBER(H2584),H2584,G2584)=0),"",T2584/IF(ISNUMBER(H2584),H2584,G2584))</f>
        <v/>
      </c>
      <c r="V2584" s="49">
        <f>IF(ISNUMBER(U2584),ABS(U2584),"")</f>
        <v/>
      </c>
      <c r="W2584" s="49">
        <f>IF(OR($E2583&lt;&gt;"측정",$C2583&lt;&gt;$C2584,$D2583&lt;&gt;$D2584,NOT(ISNUMBER(M2584)),NOT(ISNUMBER(M2583)),(IF(ISNUMBER(H2584),H2584,G2584)-IF(ISNUMBER(H2583),H2583,G2583))=0),"",(M2584-M2583)/(IF(ISNUMBER(H2584),H2584,G2584)-IF(ISNUMBER(H2583),H2583,G2583)))</f>
        <v/>
      </c>
      <c r="X2584" s="31">
        <f>IF(NOT(AND(ISNUMBER(O2584),ISNUMBER(Q2584))),"",(Q2584-O2584)*1440)</f>
        <v/>
      </c>
      <c r="Y2584" s="29" t="n"/>
      <c r="Z2584" s="29" t="n"/>
      <c r="AA2584" s="29" t="n"/>
      <c r="AB2584" s="32" t="n"/>
      <c r="AC2584" s="32" t="n"/>
    </row>
    <row r="2585">
      <c r="A2585" s="26" t="inlineStr">
        <is>
          <t>S50</t>
        </is>
      </c>
      <c r="B2585" s="26" t="inlineStr">
        <is>
          <t>함양</t>
        </is>
      </c>
      <c r="C2585" s="26" t="inlineStr">
        <is>
          <t>S50-H남</t>
        </is>
      </c>
      <c r="D2585" s="47" t="n">
        <v>1</v>
      </c>
      <c r="E2585" s="26" t="inlineStr">
        <is>
          <t>측정</t>
        </is>
      </c>
      <c r="F2585" s="26" t="inlineStr">
        <is>
          <t>남</t>
        </is>
      </c>
      <c r="G2585" s="31" t="n">
        <v>4</v>
      </c>
      <c r="H2585" s="30" t="n"/>
      <c r="I2585" s="43" t="n"/>
      <c r="J2585" s="41" t="n"/>
      <c r="K2585" s="41" t="n"/>
      <c r="L2585" s="41" t="n"/>
      <c r="M2585" s="31">
        <f>IF(COUNT(J2585:L2585)=0,"",MEDIAN(J2585:L2585))</f>
        <v/>
      </c>
      <c r="N2585" s="26">
        <f>IF(COUNTIFS($C:$C,$C2585,$D:$D,$D2585,$E:$E,"P0(전)",$M:$M,"&gt;0")&lt;&gt;1,"P0(전) 유효 1개 아님",IF(COUNTIFS($C:$C,$C2585,$D:$D,$D2585,$E:$E,"P0(후)",$M:$M,"&gt;0")&lt;&gt;1,"P0(후) 유효 1개 아님",IF(NOT(AND(ISNUMBER(O2585),ISNUMBER(Q2585),ISNUMBER(I2585))),"시각 결측",IF(Q2585&lt;=O2585,"P0 시각 역전",IF(OR(I2585&lt;O2585,I2585&gt;Q2585),"측정시각 구간 밖","OK")))))</f>
        <v/>
      </c>
      <c r="O2585" s="48">
        <f>IF(COUNTIFS($C:$C,$C2585,$D:$D,$D2585,$E:$E,"P0(전)",$M:$M,"&gt;0")&lt;&gt;1,"",SUMIFS($I:$I,$C:$C,$C2585,$D:$D,$D2585,$E:$E,"P0(전)"))</f>
        <v/>
      </c>
      <c r="P2585" s="31">
        <f>IF(COUNTIFS($C:$C,$C2585,$D:$D,$D2585,$E:$E,"P0(전)",$M:$M,"&gt;0")&lt;&gt;1,"",SUMIFS($M:$M,$C:$C,$C2585,$D:$D,$D2585,$E:$E,"P0(전)"))</f>
        <v/>
      </c>
      <c r="Q2585" s="48">
        <f>IF(COUNTIFS($C:$C,$C2585,$D:$D,$D2585,$E:$E,"P0(후)",$M:$M,"&gt;0")&lt;&gt;1,"",SUMIFS($I:$I,$C:$C,$C2585,$D:$D,$D2585,$E:$E,"P0(후)"))</f>
        <v/>
      </c>
      <c r="R2585" s="31">
        <f>IF(COUNTIFS($C:$C,$C2585,$D:$D,$D2585,$E:$E,"P0(후)",$M:$M,"&gt;0")&lt;&gt;1,"",SUMIFS($M:$M,$C:$C,$C2585,$D:$D,$D2585,$E:$E,"P0(후)"))</f>
        <v/>
      </c>
      <c r="S2585" s="31">
        <f>IF(N2585&lt;&gt;"OK","",P2585+(R2585-P2585)*(I2585-O2585)/(Q2585-O2585))</f>
        <v/>
      </c>
      <c r="T2585" s="31">
        <f>IF(OR(N2585&lt;&gt;"OK",NOT(ISNUMBER(M2585))),"",M2585-S2585)</f>
        <v/>
      </c>
      <c r="U2585" s="49">
        <f>IF(OR(NOT(ISNUMBER(T2585)),IF(ISNUMBER(H2585),H2585,G2585)=0),"",T2585/IF(ISNUMBER(H2585),H2585,G2585))</f>
        <v/>
      </c>
      <c r="V2585" s="49">
        <f>IF(ISNUMBER(U2585),ABS(U2585),"")</f>
        <v/>
      </c>
      <c r="W2585" s="49">
        <f>IF(OR($E2584&lt;&gt;"측정",$C2584&lt;&gt;$C2585,$D2584&lt;&gt;$D2585,NOT(ISNUMBER(M2585)),NOT(ISNUMBER(M2584)),(IF(ISNUMBER(H2585),H2585,G2585)-IF(ISNUMBER(H2584),H2584,G2584))=0),"",(M2585-M2584)/(IF(ISNUMBER(H2585),H2585,G2585)-IF(ISNUMBER(H2584),H2584,G2584)))</f>
        <v/>
      </c>
      <c r="X2585" s="31">
        <f>IF(NOT(AND(ISNUMBER(O2585),ISNUMBER(Q2585))),"",(Q2585-O2585)*1440)</f>
        <v/>
      </c>
      <c r="Y2585" s="29" t="n"/>
      <c r="Z2585" s="29" t="n"/>
      <c r="AA2585" s="29" t="n"/>
      <c r="AB2585" s="32" t="n"/>
      <c r="AC2585" s="32" t="n"/>
    </row>
    <row r="2586">
      <c r="A2586" s="26" t="inlineStr">
        <is>
          <t>S50</t>
        </is>
      </c>
      <c r="B2586" s="26" t="inlineStr">
        <is>
          <t>함양</t>
        </is>
      </c>
      <c r="C2586" s="26" t="inlineStr">
        <is>
          <t>S50-H남</t>
        </is>
      </c>
      <c r="D2586" s="47" t="n">
        <v>1</v>
      </c>
      <c r="E2586" s="26" t="inlineStr">
        <is>
          <t>측정</t>
        </is>
      </c>
      <c r="F2586" s="26" t="inlineStr">
        <is>
          <t>남</t>
        </is>
      </c>
      <c r="G2586" s="31" t="n">
        <v>5</v>
      </c>
      <c r="H2586" s="30" t="n"/>
      <c r="I2586" s="43" t="n"/>
      <c r="J2586" s="41" t="n"/>
      <c r="K2586" s="41" t="n"/>
      <c r="L2586" s="41" t="n"/>
      <c r="M2586" s="31">
        <f>IF(COUNT(J2586:L2586)=0,"",MEDIAN(J2586:L2586))</f>
        <v/>
      </c>
      <c r="N2586" s="26">
        <f>IF(COUNTIFS($C:$C,$C2586,$D:$D,$D2586,$E:$E,"P0(전)",$M:$M,"&gt;0")&lt;&gt;1,"P0(전) 유효 1개 아님",IF(COUNTIFS($C:$C,$C2586,$D:$D,$D2586,$E:$E,"P0(후)",$M:$M,"&gt;0")&lt;&gt;1,"P0(후) 유효 1개 아님",IF(NOT(AND(ISNUMBER(O2586),ISNUMBER(Q2586),ISNUMBER(I2586))),"시각 결측",IF(Q2586&lt;=O2586,"P0 시각 역전",IF(OR(I2586&lt;O2586,I2586&gt;Q2586),"측정시각 구간 밖","OK")))))</f>
        <v/>
      </c>
      <c r="O2586" s="48">
        <f>IF(COUNTIFS($C:$C,$C2586,$D:$D,$D2586,$E:$E,"P0(전)",$M:$M,"&gt;0")&lt;&gt;1,"",SUMIFS($I:$I,$C:$C,$C2586,$D:$D,$D2586,$E:$E,"P0(전)"))</f>
        <v/>
      </c>
      <c r="P2586" s="31">
        <f>IF(COUNTIFS($C:$C,$C2586,$D:$D,$D2586,$E:$E,"P0(전)",$M:$M,"&gt;0")&lt;&gt;1,"",SUMIFS($M:$M,$C:$C,$C2586,$D:$D,$D2586,$E:$E,"P0(전)"))</f>
        <v/>
      </c>
      <c r="Q2586" s="48">
        <f>IF(COUNTIFS($C:$C,$C2586,$D:$D,$D2586,$E:$E,"P0(후)",$M:$M,"&gt;0")&lt;&gt;1,"",SUMIFS($I:$I,$C:$C,$C2586,$D:$D,$D2586,$E:$E,"P0(후)"))</f>
        <v/>
      </c>
      <c r="R2586" s="31">
        <f>IF(COUNTIFS($C:$C,$C2586,$D:$D,$D2586,$E:$E,"P0(후)",$M:$M,"&gt;0")&lt;&gt;1,"",SUMIFS($M:$M,$C:$C,$C2586,$D:$D,$D2586,$E:$E,"P0(후)"))</f>
        <v/>
      </c>
      <c r="S2586" s="31">
        <f>IF(N2586&lt;&gt;"OK","",P2586+(R2586-P2586)*(I2586-O2586)/(Q2586-O2586))</f>
        <v/>
      </c>
      <c r="T2586" s="31">
        <f>IF(OR(N2586&lt;&gt;"OK",NOT(ISNUMBER(M2586))),"",M2586-S2586)</f>
        <v/>
      </c>
      <c r="U2586" s="49">
        <f>IF(OR(NOT(ISNUMBER(T2586)),IF(ISNUMBER(H2586),H2586,G2586)=0),"",T2586/IF(ISNUMBER(H2586),H2586,G2586))</f>
        <v/>
      </c>
      <c r="V2586" s="49">
        <f>IF(ISNUMBER(U2586),ABS(U2586),"")</f>
        <v/>
      </c>
      <c r="W2586" s="49">
        <f>IF(OR($E2585&lt;&gt;"측정",$C2585&lt;&gt;$C2586,$D2585&lt;&gt;$D2586,NOT(ISNUMBER(M2586)),NOT(ISNUMBER(M2585)),(IF(ISNUMBER(H2586),H2586,G2586)-IF(ISNUMBER(H2585),H2585,G2585))=0),"",(M2586-M2585)/(IF(ISNUMBER(H2586),H2586,G2586)-IF(ISNUMBER(H2585),H2585,G2585)))</f>
        <v/>
      </c>
      <c r="X2586" s="31">
        <f>IF(NOT(AND(ISNUMBER(O2586),ISNUMBER(Q2586))),"",(Q2586-O2586)*1440)</f>
        <v/>
      </c>
      <c r="Y2586" s="29" t="n"/>
      <c r="Z2586" s="29" t="n"/>
      <c r="AA2586" s="29" t="n"/>
      <c r="AB2586" s="32" t="n"/>
      <c r="AC2586" s="32" t="n"/>
    </row>
    <row r="2587">
      <c r="A2587" s="26" t="inlineStr">
        <is>
          <t>S50</t>
        </is>
      </c>
      <c r="B2587" s="26" t="inlineStr">
        <is>
          <t>함양</t>
        </is>
      </c>
      <c r="C2587" s="26" t="inlineStr">
        <is>
          <t>S50-H남</t>
        </is>
      </c>
      <c r="D2587" s="47" t="n">
        <v>1</v>
      </c>
      <c r="E2587" s="26" t="inlineStr">
        <is>
          <t>측정</t>
        </is>
      </c>
      <c r="F2587" s="26" t="inlineStr">
        <is>
          <t>남</t>
        </is>
      </c>
      <c r="G2587" s="31" t="n">
        <v>6</v>
      </c>
      <c r="H2587" s="30" t="n"/>
      <c r="I2587" s="43" t="n"/>
      <c r="J2587" s="41" t="n"/>
      <c r="K2587" s="41" t="n"/>
      <c r="L2587" s="41" t="n"/>
      <c r="M2587" s="31">
        <f>IF(COUNT(J2587:L2587)=0,"",MEDIAN(J2587:L2587))</f>
        <v/>
      </c>
      <c r="N2587" s="26">
        <f>IF(COUNTIFS($C:$C,$C2587,$D:$D,$D2587,$E:$E,"P0(전)",$M:$M,"&gt;0")&lt;&gt;1,"P0(전) 유효 1개 아님",IF(COUNTIFS($C:$C,$C2587,$D:$D,$D2587,$E:$E,"P0(후)",$M:$M,"&gt;0")&lt;&gt;1,"P0(후) 유효 1개 아님",IF(NOT(AND(ISNUMBER(O2587),ISNUMBER(Q2587),ISNUMBER(I2587))),"시각 결측",IF(Q2587&lt;=O2587,"P0 시각 역전",IF(OR(I2587&lt;O2587,I2587&gt;Q2587),"측정시각 구간 밖","OK")))))</f>
        <v/>
      </c>
      <c r="O2587" s="48">
        <f>IF(COUNTIFS($C:$C,$C2587,$D:$D,$D2587,$E:$E,"P0(전)",$M:$M,"&gt;0")&lt;&gt;1,"",SUMIFS($I:$I,$C:$C,$C2587,$D:$D,$D2587,$E:$E,"P0(전)"))</f>
        <v/>
      </c>
      <c r="P2587" s="31">
        <f>IF(COUNTIFS($C:$C,$C2587,$D:$D,$D2587,$E:$E,"P0(전)",$M:$M,"&gt;0")&lt;&gt;1,"",SUMIFS($M:$M,$C:$C,$C2587,$D:$D,$D2587,$E:$E,"P0(전)"))</f>
        <v/>
      </c>
      <c r="Q2587" s="48">
        <f>IF(COUNTIFS($C:$C,$C2587,$D:$D,$D2587,$E:$E,"P0(후)",$M:$M,"&gt;0")&lt;&gt;1,"",SUMIFS($I:$I,$C:$C,$C2587,$D:$D,$D2587,$E:$E,"P0(후)"))</f>
        <v/>
      </c>
      <c r="R2587" s="31">
        <f>IF(COUNTIFS($C:$C,$C2587,$D:$D,$D2587,$E:$E,"P0(후)",$M:$M,"&gt;0")&lt;&gt;1,"",SUMIFS($M:$M,$C:$C,$C2587,$D:$D,$D2587,$E:$E,"P0(후)"))</f>
        <v/>
      </c>
      <c r="S2587" s="31">
        <f>IF(N2587&lt;&gt;"OK","",P2587+(R2587-P2587)*(I2587-O2587)/(Q2587-O2587))</f>
        <v/>
      </c>
      <c r="T2587" s="31">
        <f>IF(OR(N2587&lt;&gt;"OK",NOT(ISNUMBER(M2587))),"",M2587-S2587)</f>
        <v/>
      </c>
      <c r="U2587" s="49">
        <f>IF(OR(NOT(ISNUMBER(T2587)),IF(ISNUMBER(H2587),H2587,G2587)=0),"",T2587/IF(ISNUMBER(H2587),H2587,G2587))</f>
        <v/>
      </c>
      <c r="V2587" s="49">
        <f>IF(ISNUMBER(U2587),ABS(U2587),"")</f>
        <v/>
      </c>
      <c r="W2587" s="49">
        <f>IF(OR($E2586&lt;&gt;"측정",$C2586&lt;&gt;$C2587,$D2586&lt;&gt;$D2587,NOT(ISNUMBER(M2587)),NOT(ISNUMBER(M2586)),(IF(ISNUMBER(H2587),H2587,G2587)-IF(ISNUMBER(H2586),H2586,G2586))=0),"",(M2587-M2586)/(IF(ISNUMBER(H2587),H2587,G2587)-IF(ISNUMBER(H2586),H2586,G2586)))</f>
        <v/>
      </c>
      <c r="X2587" s="31">
        <f>IF(NOT(AND(ISNUMBER(O2587),ISNUMBER(Q2587))),"",(Q2587-O2587)*1440)</f>
        <v/>
      </c>
      <c r="Y2587" s="29" t="n"/>
      <c r="Z2587" s="29" t="n"/>
      <c r="AA2587" s="29" t="n"/>
      <c r="AB2587" s="32" t="n"/>
      <c r="AC2587" s="32" t="n"/>
    </row>
    <row r="2588">
      <c r="A2588" s="26" t="inlineStr">
        <is>
          <t>S50</t>
        </is>
      </c>
      <c r="B2588" s="26" t="inlineStr">
        <is>
          <t>함양</t>
        </is>
      </c>
      <c r="C2588" s="26" t="inlineStr">
        <is>
          <t>S50-H남</t>
        </is>
      </c>
      <c r="D2588" s="47" t="n">
        <v>1</v>
      </c>
      <c r="E2588" s="26" t="inlineStr">
        <is>
          <t>측정</t>
        </is>
      </c>
      <c r="F2588" s="26" t="inlineStr">
        <is>
          <t>남</t>
        </is>
      </c>
      <c r="G2588" s="31" t="n">
        <v>7</v>
      </c>
      <c r="H2588" s="30" t="n"/>
      <c r="I2588" s="43" t="n"/>
      <c r="J2588" s="41" t="n"/>
      <c r="K2588" s="41" t="n"/>
      <c r="L2588" s="41" t="n"/>
      <c r="M2588" s="31">
        <f>IF(COUNT(J2588:L2588)=0,"",MEDIAN(J2588:L2588))</f>
        <v/>
      </c>
      <c r="N2588" s="26">
        <f>IF(COUNTIFS($C:$C,$C2588,$D:$D,$D2588,$E:$E,"P0(전)",$M:$M,"&gt;0")&lt;&gt;1,"P0(전) 유효 1개 아님",IF(COUNTIFS($C:$C,$C2588,$D:$D,$D2588,$E:$E,"P0(후)",$M:$M,"&gt;0")&lt;&gt;1,"P0(후) 유효 1개 아님",IF(NOT(AND(ISNUMBER(O2588),ISNUMBER(Q2588),ISNUMBER(I2588))),"시각 결측",IF(Q2588&lt;=O2588,"P0 시각 역전",IF(OR(I2588&lt;O2588,I2588&gt;Q2588),"측정시각 구간 밖","OK")))))</f>
        <v/>
      </c>
      <c r="O2588" s="48">
        <f>IF(COUNTIFS($C:$C,$C2588,$D:$D,$D2588,$E:$E,"P0(전)",$M:$M,"&gt;0")&lt;&gt;1,"",SUMIFS($I:$I,$C:$C,$C2588,$D:$D,$D2588,$E:$E,"P0(전)"))</f>
        <v/>
      </c>
      <c r="P2588" s="31">
        <f>IF(COUNTIFS($C:$C,$C2588,$D:$D,$D2588,$E:$E,"P0(전)",$M:$M,"&gt;0")&lt;&gt;1,"",SUMIFS($M:$M,$C:$C,$C2588,$D:$D,$D2588,$E:$E,"P0(전)"))</f>
        <v/>
      </c>
      <c r="Q2588" s="48">
        <f>IF(COUNTIFS($C:$C,$C2588,$D:$D,$D2588,$E:$E,"P0(후)",$M:$M,"&gt;0")&lt;&gt;1,"",SUMIFS($I:$I,$C:$C,$C2588,$D:$D,$D2588,$E:$E,"P0(후)"))</f>
        <v/>
      </c>
      <c r="R2588" s="31">
        <f>IF(COUNTIFS($C:$C,$C2588,$D:$D,$D2588,$E:$E,"P0(후)",$M:$M,"&gt;0")&lt;&gt;1,"",SUMIFS($M:$M,$C:$C,$C2588,$D:$D,$D2588,$E:$E,"P0(후)"))</f>
        <v/>
      </c>
      <c r="S2588" s="31">
        <f>IF(N2588&lt;&gt;"OK","",P2588+(R2588-P2588)*(I2588-O2588)/(Q2588-O2588))</f>
        <v/>
      </c>
      <c r="T2588" s="31">
        <f>IF(OR(N2588&lt;&gt;"OK",NOT(ISNUMBER(M2588))),"",M2588-S2588)</f>
        <v/>
      </c>
      <c r="U2588" s="49">
        <f>IF(OR(NOT(ISNUMBER(T2588)),IF(ISNUMBER(H2588),H2588,G2588)=0),"",T2588/IF(ISNUMBER(H2588),H2588,G2588))</f>
        <v/>
      </c>
      <c r="V2588" s="49">
        <f>IF(ISNUMBER(U2588),ABS(U2588),"")</f>
        <v/>
      </c>
      <c r="W2588" s="49">
        <f>IF(OR($E2587&lt;&gt;"측정",$C2587&lt;&gt;$C2588,$D2587&lt;&gt;$D2588,NOT(ISNUMBER(M2588)),NOT(ISNUMBER(M2587)),(IF(ISNUMBER(H2588),H2588,G2588)-IF(ISNUMBER(H2587),H2587,G2587))=0),"",(M2588-M2587)/(IF(ISNUMBER(H2588),H2588,G2588)-IF(ISNUMBER(H2587),H2587,G2587)))</f>
        <v/>
      </c>
      <c r="X2588" s="31">
        <f>IF(NOT(AND(ISNUMBER(O2588),ISNUMBER(Q2588))),"",(Q2588-O2588)*1440)</f>
        <v/>
      </c>
      <c r="Y2588" s="29" t="n"/>
      <c r="Z2588" s="29" t="n"/>
      <c r="AA2588" s="29" t="n"/>
      <c r="AB2588" s="32" t="n"/>
      <c r="AC2588" s="32" t="n"/>
    </row>
    <row r="2589">
      <c r="A2589" s="26" t="inlineStr">
        <is>
          <t>S50</t>
        </is>
      </c>
      <c r="B2589" s="26" t="inlineStr">
        <is>
          <t>함양</t>
        </is>
      </c>
      <c r="C2589" s="26" t="inlineStr">
        <is>
          <t>S50-H남</t>
        </is>
      </c>
      <c r="D2589" s="47" t="n">
        <v>1</v>
      </c>
      <c r="E2589" s="26" t="inlineStr">
        <is>
          <t>측정</t>
        </is>
      </c>
      <c r="F2589" s="26" t="inlineStr">
        <is>
          <t>남</t>
        </is>
      </c>
      <c r="G2589" s="31" t="n">
        <v>8</v>
      </c>
      <c r="H2589" s="30" t="n"/>
      <c r="I2589" s="43" t="n"/>
      <c r="J2589" s="41" t="n"/>
      <c r="K2589" s="41" t="n"/>
      <c r="L2589" s="41" t="n"/>
      <c r="M2589" s="31">
        <f>IF(COUNT(J2589:L2589)=0,"",MEDIAN(J2589:L2589))</f>
        <v/>
      </c>
      <c r="N2589" s="26">
        <f>IF(COUNTIFS($C:$C,$C2589,$D:$D,$D2589,$E:$E,"P0(전)",$M:$M,"&gt;0")&lt;&gt;1,"P0(전) 유효 1개 아님",IF(COUNTIFS($C:$C,$C2589,$D:$D,$D2589,$E:$E,"P0(후)",$M:$M,"&gt;0")&lt;&gt;1,"P0(후) 유효 1개 아님",IF(NOT(AND(ISNUMBER(O2589),ISNUMBER(Q2589),ISNUMBER(I2589))),"시각 결측",IF(Q2589&lt;=O2589,"P0 시각 역전",IF(OR(I2589&lt;O2589,I2589&gt;Q2589),"측정시각 구간 밖","OK")))))</f>
        <v/>
      </c>
      <c r="O2589" s="48">
        <f>IF(COUNTIFS($C:$C,$C2589,$D:$D,$D2589,$E:$E,"P0(전)",$M:$M,"&gt;0")&lt;&gt;1,"",SUMIFS($I:$I,$C:$C,$C2589,$D:$D,$D2589,$E:$E,"P0(전)"))</f>
        <v/>
      </c>
      <c r="P2589" s="31">
        <f>IF(COUNTIFS($C:$C,$C2589,$D:$D,$D2589,$E:$E,"P0(전)",$M:$M,"&gt;0")&lt;&gt;1,"",SUMIFS($M:$M,$C:$C,$C2589,$D:$D,$D2589,$E:$E,"P0(전)"))</f>
        <v/>
      </c>
      <c r="Q2589" s="48">
        <f>IF(COUNTIFS($C:$C,$C2589,$D:$D,$D2589,$E:$E,"P0(후)",$M:$M,"&gt;0")&lt;&gt;1,"",SUMIFS($I:$I,$C:$C,$C2589,$D:$D,$D2589,$E:$E,"P0(후)"))</f>
        <v/>
      </c>
      <c r="R2589" s="31">
        <f>IF(COUNTIFS($C:$C,$C2589,$D:$D,$D2589,$E:$E,"P0(후)",$M:$M,"&gt;0")&lt;&gt;1,"",SUMIFS($M:$M,$C:$C,$C2589,$D:$D,$D2589,$E:$E,"P0(후)"))</f>
        <v/>
      </c>
      <c r="S2589" s="31">
        <f>IF(N2589&lt;&gt;"OK","",P2589+(R2589-P2589)*(I2589-O2589)/(Q2589-O2589))</f>
        <v/>
      </c>
      <c r="T2589" s="31">
        <f>IF(OR(N2589&lt;&gt;"OK",NOT(ISNUMBER(M2589))),"",M2589-S2589)</f>
        <v/>
      </c>
      <c r="U2589" s="49">
        <f>IF(OR(NOT(ISNUMBER(T2589)),IF(ISNUMBER(H2589),H2589,G2589)=0),"",T2589/IF(ISNUMBER(H2589),H2589,G2589))</f>
        <v/>
      </c>
      <c r="V2589" s="49">
        <f>IF(ISNUMBER(U2589),ABS(U2589),"")</f>
        <v/>
      </c>
      <c r="W2589" s="49">
        <f>IF(OR($E2588&lt;&gt;"측정",$C2588&lt;&gt;$C2589,$D2588&lt;&gt;$D2589,NOT(ISNUMBER(M2589)),NOT(ISNUMBER(M2588)),(IF(ISNUMBER(H2589),H2589,G2589)-IF(ISNUMBER(H2588),H2588,G2588))=0),"",(M2589-M2588)/(IF(ISNUMBER(H2589),H2589,G2589)-IF(ISNUMBER(H2588),H2588,G2588)))</f>
        <v/>
      </c>
      <c r="X2589" s="31">
        <f>IF(NOT(AND(ISNUMBER(O2589),ISNUMBER(Q2589))),"",(Q2589-O2589)*1440)</f>
        <v/>
      </c>
      <c r="Y2589" s="29" t="n"/>
      <c r="Z2589" s="29" t="n"/>
      <c r="AA2589" s="29" t="n"/>
      <c r="AB2589" s="32" t="n"/>
      <c r="AC2589" s="32" t="n"/>
    </row>
    <row r="2590">
      <c r="A2590" s="26" t="inlineStr">
        <is>
          <t>S50</t>
        </is>
      </c>
      <c r="B2590" s="26" t="inlineStr">
        <is>
          <t>함양</t>
        </is>
      </c>
      <c r="C2590" s="26" t="inlineStr">
        <is>
          <t>S50-H남</t>
        </is>
      </c>
      <c r="D2590" s="47" t="n">
        <v>1</v>
      </c>
      <c r="E2590" s="26" t="inlineStr">
        <is>
          <t>측정</t>
        </is>
      </c>
      <c r="F2590" s="26" t="inlineStr">
        <is>
          <t>남</t>
        </is>
      </c>
      <c r="G2590" s="31" t="n">
        <v>9</v>
      </c>
      <c r="H2590" s="30" t="n"/>
      <c r="I2590" s="43" t="n"/>
      <c r="J2590" s="41" t="n"/>
      <c r="K2590" s="41" t="n"/>
      <c r="L2590" s="41" t="n"/>
      <c r="M2590" s="31">
        <f>IF(COUNT(J2590:L2590)=0,"",MEDIAN(J2590:L2590))</f>
        <v/>
      </c>
      <c r="N2590" s="26">
        <f>IF(COUNTIFS($C:$C,$C2590,$D:$D,$D2590,$E:$E,"P0(전)",$M:$M,"&gt;0")&lt;&gt;1,"P0(전) 유효 1개 아님",IF(COUNTIFS($C:$C,$C2590,$D:$D,$D2590,$E:$E,"P0(후)",$M:$M,"&gt;0")&lt;&gt;1,"P0(후) 유효 1개 아님",IF(NOT(AND(ISNUMBER(O2590),ISNUMBER(Q2590),ISNUMBER(I2590))),"시각 결측",IF(Q2590&lt;=O2590,"P0 시각 역전",IF(OR(I2590&lt;O2590,I2590&gt;Q2590),"측정시각 구간 밖","OK")))))</f>
        <v/>
      </c>
      <c r="O2590" s="48">
        <f>IF(COUNTIFS($C:$C,$C2590,$D:$D,$D2590,$E:$E,"P0(전)",$M:$M,"&gt;0")&lt;&gt;1,"",SUMIFS($I:$I,$C:$C,$C2590,$D:$D,$D2590,$E:$E,"P0(전)"))</f>
        <v/>
      </c>
      <c r="P2590" s="31">
        <f>IF(COUNTIFS($C:$C,$C2590,$D:$D,$D2590,$E:$E,"P0(전)",$M:$M,"&gt;0")&lt;&gt;1,"",SUMIFS($M:$M,$C:$C,$C2590,$D:$D,$D2590,$E:$E,"P0(전)"))</f>
        <v/>
      </c>
      <c r="Q2590" s="48">
        <f>IF(COUNTIFS($C:$C,$C2590,$D:$D,$D2590,$E:$E,"P0(후)",$M:$M,"&gt;0")&lt;&gt;1,"",SUMIFS($I:$I,$C:$C,$C2590,$D:$D,$D2590,$E:$E,"P0(후)"))</f>
        <v/>
      </c>
      <c r="R2590" s="31">
        <f>IF(COUNTIFS($C:$C,$C2590,$D:$D,$D2590,$E:$E,"P0(후)",$M:$M,"&gt;0")&lt;&gt;1,"",SUMIFS($M:$M,$C:$C,$C2590,$D:$D,$D2590,$E:$E,"P0(후)"))</f>
        <v/>
      </c>
      <c r="S2590" s="31">
        <f>IF(N2590&lt;&gt;"OK","",P2590+(R2590-P2590)*(I2590-O2590)/(Q2590-O2590))</f>
        <v/>
      </c>
      <c r="T2590" s="31">
        <f>IF(OR(N2590&lt;&gt;"OK",NOT(ISNUMBER(M2590))),"",M2590-S2590)</f>
        <v/>
      </c>
      <c r="U2590" s="49">
        <f>IF(OR(NOT(ISNUMBER(T2590)),IF(ISNUMBER(H2590),H2590,G2590)=0),"",T2590/IF(ISNUMBER(H2590),H2590,G2590))</f>
        <v/>
      </c>
      <c r="V2590" s="49">
        <f>IF(ISNUMBER(U2590),ABS(U2590),"")</f>
        <v/>
      </c>
      <c r="W2590" s="49">
        <f>IF(OR($E2589&lt;&gt;"측정",$C2589&lt;&gt;$C2590,$D2589&lt;&gt;$D2590,NOT(ISNUMBER(M2590)),NOT(ISNUMBER(M2589)),(IF(ISNUMBER(H2590),H2590,G2590)-IF(ISNUMBER(H2589),H2589,G2589))=0),"",(M2590-M2589)/(IF(ISNUMBER(H2590),H2590,G2590)-IF(ISNUMBER(H2589),H2589,G2589)))</f>
        <v/>
      </c>
      <c r="X2590" s="31">
        <f>IF(NOT(AND(ISNUMBER(O2590),ISNUMBER(Q2590))),"",(Q2590-O2590)*1440)</f>
        <v/>
      </c>
      <c r="Y2590" s="29" t="n"/>
      <c r="Z2590" s="29" t="n"/>
      <c r="AA2590" s="29" t="n"/>
      <c r="AB2590" s="32" t="n"/>
      <c r="AC2590" s="32" t="n"/>
    </row>
    <row r="2591">
      <c r="A2591" s="26" t="inlineStr">
        <is>
          <t>S50</t>
        </is>
      </c>
      <c r="B2591" s="26" t="inlineStr">
        <is>
          <t>함양</t>
        </is>
      </c>
      <c r="C2591" s="26" t="inlineStr">
        <is>
          <t>S50-H남</t>
        </is>
      </c>
      <c r="D2591" s="47" t="n">
        <v>1</v>
      </c>
      <c r="E2591" s="26" t="inlineStr">
        <is>
          <t>측정</t>
        </is>
      </c>
      <c r="F2591" s="26" t="inlineStr">
        <is>
          <t>남</t>
        </is>
      </c>
      <c r="G2591" s="31" t="n">
        <v>10</v>
      </c>
      <c r="H2591" s="30" t="n"/>
      <c r="I2591" s="43" t="n"/>
      <c r="J2591" s="41" t="n"/>
      <c r="K2591" s="41" t="n"/>
      <c r="L2591" s="41" t="n"/>
      <c r="M2591" s="31">
        <f>IF(COUNT(J2591:L2591)=0,"",MEDIAN(J2591:L2591))</f>
        <v/>
      </c>
      <c r="N2591" s="26">
        <f>IF(COUNTIFS($C:$C,$C2591,$D:$D,$D2591,$E:$E,"P0(전)",$M:$M,"&gt;0")&lt;&gt;1,"P0(전) 유효 1개 아님",IF(COUNTIFS($C:$C,$C2591,$D:$D,$D2591,$E:$E,"P0(후)",$M:$M,"&gt;0")&lt;&gt;1,"P0(후) 유효 1개 아님",IF(NOT(AND(ISNUMBER(O2591),ISNUMBER(Q2591),ISNUMBER(I2591))),"시각 결측",IF(Q2591&lt;=O2591,"P0 시각 역전",IF(OR(I2591&lt;O2591,I2591&gt;Q2591),"측정시각 구간 밖","OK")))))</f>
        <v/>
      </c>
      <c r="O2591" s="48">
        <f>IF(COUNTIFS($C:$C,$C2591,$D:$D,$D2591,$E:$E,"P0(전)",$M:$M,"&gt;0")&lt;&gt;1,"",SUMIFS($I:$I,$C:$C,$C2591,$D:$D,$D2591,$E:$E,"P0(전)"))</f>
        <v/>
      </c>
      <c r="P2591" s="31">
        <f>IF(COUNTIFS($C:$C,$C2591,$D:$D,$D2591,$E:$E,"P0(전)",$M:$M,"&gt;0")&lt;&gt;1,"",SUMIFS($M:$M,$C:$C,$C2591,$D:$D,$D2591,$E:$E,"P0(전)"))</f>
        <v/>
      </c>
      <c r="Q2591" s="48">
        <f>IF(COUNTIFS($C:$C,$C2591,$D:$D,$D2591,$E:$E,"P0(후)",$M:$M,"&gt;0")&lt;&gt;1,"",SUMIFS($I:$I,$C:$C,$C2591,$D:$D,$D2591,$E:$E,"P0(후)"))</f>
        <v/>
      </c>
      <c r="R2591" s="31">
        <f>IF(COUNTIFS($C:$C,$C2591,$D:$D,$D2591,$E:$E,"P0(후)",$M:$M,"&gt;0")&lt;&gt;1,"",SUMIFS($M:$M,$C:$C,$C2591,$D:$D,$D2591,$E:$E,"P0(후)"))</f>
        <v/>
      </c>
      <c r="S2591" s="31">
        <f>IF(N2591&lt;&gt;"OK","",P2591+(R2591-P2591)*(I2591-O2591)/(Q2591-O2591))</f>
        <v/>
      </c>
      <c r="T2591" s="31">
        <f>IF(OR(N2591&lt;&gt;"OK",NOT(ISNUMBER(M2591))),"",M2591-S2591)</f>
        <v/>
      </c>
      <c r="U2591" s="49">
        <f>IF(OR(NOT(ISNUMBER(T2591)),IF(ISNUMBER(H2591),H2591,G2591)=0),"",T2591/IF(ISNUMBER(H2591),H2591,G2591))</f>
        <v/>
      </c>
      <c r="V2591" s="49">
        <f>IF(ISNUMBER(U2591),ABS(U2591),"")</f>
        <v/>
      </c>
      <c r="W2591" s="49">
        <f>IF(OR($E2590&lt;&gt;"측정",$C2590&lt;&gt;$C2591,$D2590&lt;&gt;$D2591,NOT(ISNUMBER(M2591)),NOT(ISNUMBER(M2590)),(IF(ISNUMBER(H2591),H2591,G2591)-IF(ISNUMBER(H2590),H2590,G2590))=0),"",(M2591-M2590)/(IF(ISNUMBER(H2591),H2591,G2591)-IF(ISNUMBER(H2590),H2590,G2590)))</f>
        <v/>
      </c>
      <c r="X2591" s="31">
        <f>IF(NOT(AND(ISNUMBER(O2591),ISNUMBER(Q2591))),"",(Q2591-O2591)*1440)</f>
        <v/>
      </c>
      <c r="Y2591" s="29" t="n"/>
      <c r="Z2591" s="29" t="n"/>
      <c r="AA2591" s="29" t="n"/>
      <c r="AB2591" s="32" t="n"/>
      <c r="AC2591" s="32" t="n"/>
    </row>
    <row r="2592">
      <c r="A2592" s="44" t="inlineStr">
        <is>
          <t>S50</t>
        </is>
      </c>
      <c r="B2592" s="44" t="inlineStr">
        <is>
          <t>함양</t>
        </is>
      </c>
      <c r="C2592" s="44" t="inlineStr">
        <is>
          <t>S50-H남</t>
        </is>
      </c>
      <c r="D2592" s="45" t="n">
        <v>1</v>
      </c>
      <c r="E2592" s="44" t="inlineStr">
        <is>
          <t>P0(후)</t>
        </is>
      </c>
      <c r="F2592" s="44" t="inlineStr">
        <is>
          <t>남</t>
        </is>
      </c>
      <c r="G2592" s="46" t="n"/>
      <c r="H2592" s="30" t="n"/>
      <c r="I2592" s="43" t="n"/>
      <c r="J2592" s="41" t="n"/>
      <c r="K2592" s="41" t="n"/>
      <c r="L2592" s="41" t="n"/>
      <c r="M2592" s="31">
        <f>IF(COUNT(J2592:L2592)=0,"",MEDIAN(J2592:L2592))</f>
        <v/>
      </c>
      <c r="N2592" s="38" t="n"/>
      <c r="O2592" s="38" t="n"/>
      <c r="P2592" s="38" t="n"/>
      <c r="Q2592" s="38" t="n"/>
      <c r="R2592" s="38" t="n"/>
      <c r="S2592" s="38" t="n"/>
      <c r="T2592" s="38" t="n"/>
      <c r="U2592" s="38" t="n"/>
      <c r="V2592" s="38" t="n"/>
      <c r="W2592" s="38" t="n"/>
      <c r="X2592" s="38" t="n"/>
      <c r="Y2592" s="29" t="n"/>
      <c r="Z2592" s="29" t="n"/>
      <c r="AA2592" s="29" t="n"/>
      <c r="AB2592" s="32" t="n"/>
      <c r="AC2592" s="32" t="n"/>
    </row>
    <row r="2593">
      <c r="A2593" s="44" t="inlineStr">
        <is>
          <t>S50</t>
        </is>
      </c>
      <c r="B2593" s="44" t="inlineStr">
        <is>
          <t>함양</t>
        </is>
      </c>
      <c r="C2593" s="44" t="inlineStr">
        <is>
          <t>S50-H북</t>
        </is>
      </c>
      <c r="D2593" s="45" t="n">
        <v>1</v>
      </c>
      <c r="E2593" s="44" t="inlineStr">
        <is>
          <t>P0(전)</t>
        </is>
      </c>
      <c r="F2593" s="44" t="inlineStr">
        <is>
          <t>북</t>
        </is>
      </c>
      <c r="G2593" s="46" t="n"/>
      <c r="H2593" s="30" t="n"/>
      <c r="I2593" s="43" t="n"/>
      <c r="J2593" s="41" t="n"/>
      <c r="K2593" s="41" t="n"/>
      <c r="L2593" s="41" t="n"/>
      <c r="M2593" s="31">
        <f>IF(COUNT(J2593:L2593)=0,"",MEDIAN(J2593:L2593))</f>
        <v/>
      </c>
      <c r="N2593" s="38" t="n"/>
      <c r="O2593" s="38" t="n"/>
      <c r="P2593" s="38" t="n"/>
      <c r="Q2593" s="38" t="n"/>
      <c r="R2593" s="38" t="n"/>
      <c r="S2593" s="38" t="n"/>
      <c r="T2593" s="38" t="n"/>
      <c r="U2593" s="38" t="n"/>
      <c r="V2593" s="38" t="n"/>
      <c r="W2593" s="38" t="n"/>
      <c r="X2593" s="38" t="n"/>
      <c r="Y2593" s="29" t="n"/>
      <c r="Z2593" s="29" t="n"/>
      <c r="AA2593" s="29" t="n"/>
      <c r="AB2593" s="32" t="n"/>
      <c r="AC2593" s="32" t="n"/>
    </row>
    <row r="2594">
      <c r="A2594" s="26" t="inlineStr">
        <is>
          <t>S50</t>
        </is>
      </c>
      <c r="B2594" s="26" t="inlineStr">
        <is>
          <t>함양</t>
        </is>
      </c>
      <c r="C2594" s="26" t="inlineStr">
        <is>
          <t>S50-H북</t>
        </is>
      </c>
      <c r="D2594" s="47" t="n">
        <v>1</v>
      </c>
      <c r="E2594" s="26" t="inlineStr">
        <is>
          <t>측정</t>
        </is>
      </c>
      <c r="F2594" s="26" t="inlineStr">
        <is>
          <t>북</t>
        </is>
      </c>
      <c r="G2594" s="31" t="n">
        <v>0.5</v>
      </c>
      <c r="H2594" s="30" t="n"/>
      <c r="I2594" s="43" t="n"/>
      <c r="J2594" s="41" t="n"/>
      <c r="K2594" s="41" t="n"/>
      <c r="L2594" s="41" t="n"/>
      <c r="M2594" s="31">
        <f>IF(COUNT(J2594:L2594)=0,"",MEDIAN(J2594:L2594))</f>
        <v/>
      </c>
      <c r="N2594" s="26">
        <f>IF(COUNTIFS($C:$C,$C2594,$D:$D,$D2594,$E:$E,"P0(전)",$M:$M,"&gt;0")&lt;&gt;1,"P0(전) 유효 1개 아님",IF(COUNTIFS($C:$C,$C2594,$D:$D,$D2594,$E:$E,"P0(후)",$M:$M,"&gt;0")&lt;&gt;1,"P0(후) 유효 1개 아님",IF(NOT(AND(ISNUMBER(O2594),ISNUMBER(Q2594),ISNUMBER(I2594))),"시각 결측",IF(Q2594&lt;=O2594,"P0 시각 역전",IF(OR(I2594&lt;O2594,I2594&gt;Q2594),"측정시각 구간 밖","OK")))))</f>
        <v/>
      </c>
      <c r="O2594" s="48">
        <f>IF(COUNTIFS($C:$C,$C2594,$D:$D,$D2594,$E:$E,"P0(전)",$M:$M,"&gt;0")&lt;&gt;1,"",SUMIFS($I:$I,$C:$C,$C2594,$D:$D,$D2594,$E:$E,"P0(전)"))</f>
        <v/>
      </c>
      <c r="P2594" s="31">
        <f>IF(COUNTIFS($C:$C,$C2594,$D:$D,$D2594,$E:$E,"P0(전)",$M:$M,"&gt;0")&lt;&gt;1,"",SUMIFS($M:$M,$C:$C,$C2594,$D:$D,$D2594,$E:$E,"P0(전)"))</f>
        <v/>
      </c>
      <c r="Q2594" s="48">
        <f>IF(COUNTIFS($C:$C,$C2594,$D:$D,$D2594,$E:$E,"P0(후)",$M:$M,"&gt;0")&lt;&gt;1,"",SUMIFS($I:$I,$C:$C,$C2594,$D:$D,$D2594,$E:$E,"P0(후)"))</f>
        <v/>
      </c>
      <c r="R2594" s="31">
        <f>IF(COUNTIFS($C:$C,$C2594,$D:$D,$D2594,$E:$E,"P0(후)",$M:$M,"&gt;0")&lt;&gt;1,"",SUMIFS($M:$M,$C:$C,$C2594,$D:$D,$D2594,$E:$E,"P0(후)"))</f>
        <v/>
      </c>
      <c r="S2594" s="31">
        <f>IF(N2594&lt;&gt;"OK","",P2594+(R2594-P2594)*(I2594-O2594)/(Q2594-O2594))</f>
        <v/>
      </c>
      <c r="T2594" s="31">
        <f>IF(OR(N2594&lt;&gt;"OK",NOT(ISNUMBER(M2594))),"",M2594-S2594)</f>
        <v/>
      </c>
      <c r="U2594" s="49">
        <f>IF(OR(NOT(ISNUMBER(T2594)),IF(ISNUMBER(H2594),H2594,G2594)=0),"",T2594/IF(ISNUMBER(H2594),H2594,G2594))</f>
        <v/>
      </c>
      <c r="V2594" s="49">
        <f>IF(ISNUMBER(U2594),ABS(U2594),"")</f>
        <v/>
      </c>
      <c r="W2594" s="49">
        <f>IF(OR($E2593&lt;&gt;"측정",$C2593&lt;&gt;$C2594,$D2593&lt;&gt;$D2594,NOT(ISNUMBER(M2594)),NOT(ISNUMBER(M2593)),(IF(ISNUMBER(H2594),H2594,G2594)-IF(ISNUMBER(H2593),H2593,G2593))=0),"",(M2594-M2593)/(IF(ISNUMBER(H2594),H2594,G2594)-IF(ISNUMBER(H2593),H2593,G2593)))</f>
        <v/>
      </c>
      <c r="X2594" s="31">
        <f>IF(NOT(AND(ISNUMBER(O2594),ISNUMBER(Q2594))),"",(Q2594-O2594)*1440)</f>
        <v/>
      </c>
      <c r="Y2594" s="29" t="n"/>
      <c r="Z2594" s="29" t="n"/>
      <c r="AA2594" s="29" t="n"/>
      <c r="AB2594" s="32" t="n"/>
      <c r="AC2594" s="32" t="n"/>
    </row>
    <row r="2595">
      <c r="A2595" s="26" t="inlineStr">
        <is>
          <t>S50</t>
        </is>
      </c>
      <c r="B2595" s="26" t="inlineStr">
        <is>
          <t>함양</t>
        </is>
      </c>
      <c r="C2595" s="26" t="inlineStr">
        <is>
          <t>S50-H북</t>
        </is>
      </c>
      <c r="D2595" s="47" t="n">
        <v>1</v>
      </c>
      <c r="E2595" s="26" t="inlineStr">
        <is>
          <t>측정</t>
        </is>
      </c>
      <c r="F2595" s="26" t="inlineStr">
        <is>
          <t>북</t>
        </is>
      </c>
      <c r="G2595" s="31" t="n">
        <v>1</v>
      </c>
      <c r="H2595" s="30" t="n"/>
      <c r="I2595" s="43" t="n"/>
      <c r="J2595" s="41" t="n"/>
      <c r="K2595" s="41" t="n"/>
      <c r="L2595" s="41" t="n"/>
      <c r="M2595" s="31">
        <f>IF(COUNT(J2595:L2595)=0,"",MEDIAN(J2595:L2595))</f>
        <v/>
      </c>
      <c r="N2595" s="26">
        <f>IF(COUNTIFS($C:$C,$C2595,$D:$D,$D2595,$E:$E,"P0(전)",$M:$M,"&gt;0")&lt;&gt;1,"P0(전) 유효 1개 아님",IF(COUNTIFS($C:$C,$C2595,$D:$D,$D2595,$E:$E,"P0(후)",$M:$M,"&gt;0")&lt;&gt;1,"P0(후) 유효 1개 아님",IF(NOT(AND(ISNUMBER(O2595),ISNUMBER(Q2595),ISNUMBER(I2595))),"시각 결측",IF(Q2595&lt;=O2595,"P0 시각 역전",IF(OR(I2595&lt;O2595,I2595&gt;Q2595),"측정시각 구간 밖","OK")))))</f>
        <v/>
      </c>
      <c r="O2595" s="48">
        <f>IF(COUNTIFS($C:$C,$C2595,$D:$D,$D2595,$E:$E,"P0(전)",$M:$M,"&gt;0")&lt;&gt;1,"",SUMIFS($I:$I,$C:$C,$C2595,$D:$D,$D2595,$E:$E,"P0(전)"))</f>
        <v/>
      </c>
      <c r="P2595" s="31">
        <f>IF(COUNTIFS($C:$C,$C2595,$D:$D,$D2595,$E:$E,"P0(전)",$M:$M,"&gt;0")&lt;&gt;1,"",SUMIFS($M:$M,$C:$C,$C2595,$D:$D,$D2595,$E:$E,"P0(전)"))</f>
        <v/>
      </c>
      <c r="Q2595" s="48">
        <f>IF(COUNTIFS($C:$C,$C2595,$D:$D,$D2595,$E:$E,"P0(후)",$M:$M,"&gt;0")&lt;&gt;1,"",SUMIFS($I:$I,$C:$C,$C2595,$D:$D,$D2595,$E:$E,"P0(후)"))</f>
        <v/>
      </c>
      <c r="R2595" s="31">
        <f>IF(COUNTIFS($C:$C,$C2595,$D:$D,$D2595,$E:$E,"P0(후)",$M:$M,"&gt;0")&lt;&gt;1,"",SUMIFS($M:$M,$C:$C,$C2595,$D:$D,$D2595,$E:$E,"P0(후)"))</f>
        <v/>
      </c>
      <c r="S2595" s="31">
        <f>IF(N2595&lt;&gt;"OK","",P2595+(R2595-P2595)*(I2595-O2595)/(Q2595-O2595))</f>
        <v/>
      </c>
      <c r="T2595" s="31">
        <f>IF(OR(N2595&lt;&gt;"OK",NOT(ISNUMBER(M2595))),"",M2595-S2595)</f>
        <v/>
      </c>
      <c r="U2595" s="49">
        <f>IF(OR(NOT(ISNUMBER(T2595)),IF(ISNUMBER(H2595),H2595,G2595)=0),"",T2595/IF(ISNUMBER(H2595),H2595,G2595))</f>
        <v/>
      </c>
      <c r="V2595" s="49">
        <f>IF(ISNUMBER(U2595),ABS(U2595),"")</f>
        <v/>
      </c>
      <c r="W2595" s="49">
        <f>IF(OR($E2594&lt;&gt;"측정",$C2594&lt;&gt;$C2595,$D2594&lt;&gt;$D2595,NOT(ISNUMBER(M2595)),NOT(ISNUMBER(M2594)),(IF(ISNUMBER(H2595),H2595,G2595)-IF(ISNUMBER(H2594),H2594,G2594))=0),"",(M2595-M2594)/(IF(ISNUMBER(H2595),H2595,G2595)-IF(ISNUMBER(H2594),H2594,G2594)))</f>
        <v/>
      </c>
      <c r="X2595" s="31">
        <f>IF(NOT(AND(ISNUMBER(O2595),ISNUMBER(Q2595))),"",(Q2595-O2595)*1440)</f>
        <v/>
      </c>
      <c r="Y2595" s="29" t="n"/>
      <c r="Z2595" s="29" t="n"/>
      <c r="AA2595" s="29" t="n"/>
      <c r="AB2595" s="32" t="n"/>
      <c r="AC2595" s="32" t="n"/>
    </row>
    <row r="2596">
      <c r="A2596" s="26" t="inlineStr">
        <is>
          <t>S50</t>
        </is>
      </c>
      <c r="B2596" s="26" t="inlineStr">
        <is>
          <t>함양</t>
        </is>
      </c>
      <c r="C2596" s="26" t="inlineStr">
        <is>
          <t>S50-H북</t>
        </is>
      </c>
      <c r="D2596" s="47" t="n">
        <v>1</v>
      </c>
      <c r="E2596" s="26" t="inlineStr">
        <is>
          <t>측정</t>
        </is>
      </c>
      <c r="F2596" s="26" t="inlineStr">
        <is>
          <t>북</t>
        </is>
      </c>
      <c r="G2596" s="31" t="n">
        <v>2</v>
      </c>
      <c r="H2596" s="30" t="n"/>
      <c r="I2596" s="43" t="n"/>
      <c r="J2596" s="41" t="n"/>
      <c r="K2596" s="41" t="n"/>
      <c r="L2596" s="41" t="n"/>
      <c r="M2596" s="31">
        <f>IF(COUNT(J2596:L2596)=0,"",MEDIAN(J2596:L2596))</f>
        <v/>
      </c>
      <c r="N2596" s="26">
        <f>IF(COUNTIFS($C:$C,$C2596,$D:$D,$D2596,$E:$E,"P0(전)",$M:$M,"&gt;0")&lt;&gt;1,"P0(전) 유효 1개 아님",IF(COUNTIFS($C:$C,$C2596,$D:$D,$D2596,$E:$E,"P0(후)",$M:$M,"&gt;0")&lt;&gt;1,"P0(후) 유효 1개 아님",IF(NOT(AND(ISNUMBER(O2596),ISNUMBER(Q2596),ISNUMBER(I2596))),"시각 결측",IF(Q2596&lt;=O2596,"P0 시각 역전",IF(OR(I2596&lt;O2596,I2596&gt;Q2596),"측정시각 구간 밖","OK")))))</f>
        <v/>
      </c>
      <c r="O2596" s="48">
        <f>IF(COUNTIFS($C:$C,$C2596,$D:$D,$D2596,$E:$E,"P0(전)",$M:$M,"&gt;0")&lt;&gt;1,"",SUMIFS($I:$I,$C:$C,$C2596,$D:$D,$D2596,$E:$E,"P0(전)"))</f>
        <v/>
      </c>
      <c r="P2596" s="31">
        <f>IF(COUNTIFS($C:$C,$C2596,$D:$D,$D2596,$E:$E,"P0(전)",$M:$M,"&gt;0")&lt;&gt;1,"",SUMIFS($M:$M,$C:$C,$C2596,$D:$D,$D2596,$E:$E,"P0(전)"))</f>
        <v/>
      </c>
      <c r="Q2596" s="48">
        <f>IF(COUNTIFS($C:$C,$C2596,$D:$D,$D2596,$E:$E,"P0(후)",$M:$M,"&gt;0")&lt;&gt;1,"",SUMIFS($I:$I,$C:$C,$C2596,$D:$D,$D2596,$E:$E,"P0(후)"))</f>
        <v/>
      </c>
      <c r="R2596" s="31">
        <f>IF(COUNTIFS($C:$C,$C2596,$D:$D,$D2596,$E:$E,"P0(후)",$M:$M,"&gt;0")&lt;&gt;1,"",SUMIFS($M:$M,$C:$C,$C2596,$D:$D,$D2596,$E:$E,"P0(후)"))</f>
        <v/>
      </c>
      <c r="S2596" s="31">
        <f>IF(N2596&lt;&gt;"OK","",P2596+(R2596-P2596)*(I2596-O2596)/(Q2596-O2596))</f>
        <v/>
      </c>
      <c r="T2596" s="31">
        <f>IF(OR(N2596&lt;&gt;"OK",NOT(ISNUMBER(M2596))),"",M2596-S2596)</f>
        <v/>
      </c>
      <c r="U2596" s="49">
        <f>IF(OR(NOT(ISNUMBER(T2596)),IF(ISNUMBER(H2596),H2596,G2596)=0),"",T2596/IF(ISNUMBER(H2596),H2596,G2596))</f>
        <v/>
      </c>
      <c r="V2596" s="49">
        <f>IF(ISNUMBER(U2596),ABS(U2596),"")</f>
        <v/>
      </c>
      <c r="W2596" s="49">
        <f>IF(OR($E2595&lt;&gt;"측정",$C2595&lt;&gt;$C2596,$D2595&lt;&gt;$D2596,NOT(ISNUMBER(M2596)),NOT(ISNUMBER(M2595)),(IF(ISNUMBER(H2596),H2596,G2596)-IF(ISNUMBER(H2595),H2595,G2595))=0),"",(M2596-M2595)/(IF(ISNUMBER(H2596),H2596,G2596)-IF(ISNUMBER(H2595),H2595,G2595)))</f>
        <v/>
      </c>
      <c r="X2596" s="31">
        <f>IF(NOT(AND(ISNUMBER(O2596),ISNUMBER(Q2596))),"",(Q2596-O2596)*1440)</f>
        <v/>
      </c>
      <c r="Y2596" s="29" t="n"/>
      <c r="Z2596" s="29" t="n"/>
      <c r="AA2596" s="29" t="n"/>
      <c r="AB2596" s="32" t="n"/>
      <c r="AC2596" s="32" t="n"/>
    </row>
    <row r="2597">
      <c r="A2597" s="26" t="inlineStr">
        <is>
          <t>S50</t>
        </is>
      </c>
      <c r="B2597" s="26" t="inlineStr">
        <is>
          <t>함양</t>
        </is>
      </c>
      <c r="C2597" s="26" t="inlineStr">
        <is>
          <t>S50-H북</t>
        </is>
      </c>
      <c r="D2597" s="47" t="n">
        <v>1</v>
      </c>
      <c r="E2597" s="26" t="inlineStr">
        <is>
          <t>측정</t>
        </is>
      </c>
      <c r="F2597" s="26" t="inlineStr">
        <is>
          <t>북</t>
        </is>
      </c>
      <c r="G2597" s="31" t="n">
        <v>3</v>
      </c>
      <c r="H2597" s="30" t="n"/>
      <c r="I2597" s="43" t="n"/>
      <c r="J2597" s="41" t="n"/>
      <c r="K2597" s="41" t="n"/>
      <c r="L2597" s="41" t="n"/>
      <c r="M2597" s="31">
        <f>IF(COUNT(J2597:L2597)=0,"",MEDIAN(J2597:L2597))</f>
        <v/>
      </c>
      <c r="N2597" s="26">
        <f>IF(COUNTIFS($C:$C,$C2597,$D:$D,$D2597,$E:$E,"P0(전)",$M:$M,"&gt;0")&lt;&gt;1,"P0(전) 유효 1개 아님",IF(COUNTIFS($C:$C,$C2597,$D:$D,$D2597,$E:$E,"P0(후)",$M:$M,"&gt;0")&lt;&gt;1,"P0(후) 유효 1개 아님",IF(NOT(AND(ISNUMBER(O2597),ISNUMBER(Q2597),ISNUMBER(I2597))),"시각 결측",IF(Q2597&lt;=O2597,"P0 시각 역전",IF(OR(I2597&lt;O2597,I2597&gt;Q2597),"측정시각 구간 밖","OK")))))</f>
        <v/>
      </c>
      <c r="O2597" s="48">
        <f>IF(COUNTIFS($C:$C,$C2597,$D:$D,$D2597,$E:$E,"P0(전)",$M:$M,"&gt;0")&lt;&gt;1,"",SUMIFS($I:$I,$C:$C,$C2597,$D:$D,$D2597,$E:$E,"P0(전)"))</f>
        <v/>
      </c>
      <c r="P2597" s="31">
        <f>IF(COUNTIFS($C:$C,$C2597,$D:$D,$D2597,$E:$E,"P0(전)",$M:$M,"&gt;0")&lt;&gt;1,"",SUMIFS($M:$M,$C:$C,$C2597,$D:$D,$D2597,$E:$E,"P0(전)"))</f>
        <v/>
      </c>
      <c r="Q2597" s="48">
        <f>IF(COUNTIFS($C:$C,$C2597,$D:$D,$D2597,$E:$E,"P0(후)",$M:$M,"&gt;0")&lt;&gt;1,"",SUMIFS($I:$I,$C:$C,$C2597,$D:$D,$D2597,$E:$E,"P0(후)"))</f>
        <v/>
      </c>
      <c r="R2597" s="31">
        <f>IF(COUNTIFS($C:$C,$C2597,$D:$D,$D2597,$E:$E,"P0(후)",$M:$M,"&gt;0")&lt;&gt;1,"",SUMIFS($M:$M,$C:$C,$C2597,$D:$D,$D2597,$E:$E,"P0(후)"))</f>
        <v/>
      </c>
      <c r="S2597" s="31">
        <f>IF(N2597&lt;&gt;"OK","",P2597+(R2597-P2597)*(I2597-O2597)/(Q2597-O2597))</f>
        <v/>
      </c>
      <c r="T2597" s="31">
        <f>IF(OR(N2597&lt;&gt;"OK",NOT(ISNUMBER(M2597))),"",M2597-S2597)</f>
        <v/>
      </c>
      <c r="U2597" s="49">
        <f>IF(OR(NOT(ISNUMBER(T2597)),IF(ISNUMBER(H2597),H2597,G2597)=0),"",T2597/IF(ISNUMBER(H2597),H2597,G2597))</f>
        <v/>
      </c>
      <c r="V2597" s="49">
        <f>IF(ISNUMBER(U2597),ABS(U2597),"")</f>
        <v/>
      </c>
      <c r="W2597" s="49">
        <f>IF(OR($E2596&lt;&gt;"측정",$C2596&lt;&gt;$C2597,$D2596&lt;&gt;$D2597,NOT(ISNUMBER(M2597)),NOT(ISNUMBER(M2596)),(IF(ISNUMBER(H2597),H2597,G2597)-IF(ISNUMBER(H2596),H2596,G2596))=0),"",(M2597-M2596)/(IF(ISNUMBER(H2597),H2597,G2597)-IF(ISNUMBER(H2596),H2596,G2596)))</f>
        <v/>
      </c>
      <c r="X2597" s="31">
        <f>IF(NOT(AND(ISNUMBER(O2597),ISNUMBER(Q2597))),"",(Q2597-O2597)*1440)</f>
        <v/>
      </c>
      <c r="Y2597" s="29" t="n"/>
      <c r="Z2597" s="29" t="n"/>
      <c r="AA2597" s="29" t="n"/>
      <c r="AB2597" s="32" t="n"/>
      <c r="AC2597" s="32" t="n"/>
    </row>
    <row r="2598">
      <c r="A2598" s="26" t="inlineStr">
        <is>
          <t>S50</t>
        </is>
      </c>
      <c r="B2598" s="26" t="inlineStr">
        <is>
          <t>함양</t>
        </is>
      </c>
      <c r="C2598" s="26" t="inlineStr">
        <is>
          <t>S50-H북</t>
        </is>
      </c>
      <c r="D2598" s="47" t="n">
        <v>1</v>
      </c>
      <c r="E2598" s="26" t="inlineStr">
        <is>
          <t>측정</t>
        </is>
      </c>
      <c r="F2598" s="26" t="inlineStr">
        <is>
          <t>북</t>
        </is>
      </c>
      <c r="G2598" s="31" t="n">
        <v>4</v>
      </c>
      <c r="H2598" s="30" t="n"/>
      <c r="I2598" s="43" t="n"/>
      <c r="J2598" s="41" t="n"/>
      <c r="K2598" s="41" t="n"/>
      <c r="L2598" s="41" t="n"/>
      <c r="M2598" s="31">
        <f>IF(COUNT(J2598:L2598)=0,"",MEDIAN(J2598:L2598))</f>
        <v/>
      </c>
      <c r="N2598" s="26">
        <f>IF(COUNTIFS($C:$C,$C2598,$D:$D,$D2598,$E:$E,"P0(전)",$M:$M,"&gt;0")&lt;&gt;1,"P0(전) 유효 1개 아님",IF(COUNTIFS($C:$C,$C2598,$D:$D,$D2598,$E:$E,"P0(후)",$M:$M,"&gt;0")&lt;&gt;1,"P0(후) 유효 1개 아님",IF(NOT(AND(ISNUMBER(O2598),ISNUMBER(Q2598),ISNUMBER(I2598))),"시각 결측",IF(Q2598&lt;=O2598,"P0 시각 역전",IF(OR(I2598&lt;O2598,I2598&gt;Q2598),"측정시각 구간 밖","OK")))))</f>
        <v/>
      </c>
      <c r="O2598" s="48">
        <f>IF(COUNTIFS($C:$C,$C2598,$D:$D,$D2598,$E:$E,"P0(전)",$M:$M,"&gt;0")&lt;&gt;1,"",SUMIFS($I:$I,$C:$C,$C2598,$D:$D,$D2598,$E:$E,"P0(전)"))</f>
        <v/>
      </c>
      <c r="P2598" s="31">
        <f>IF(COUNTIFS($C:$C,$C2598,$D:$D,$D2598,$E:$E,"P0(전)",$M:$M,"&gt;0")&lt;&gt;1,"",SUMIFS($M:$M,$C:$C,$C2598,$D:$D,$D2598,$E:$E,"P0(전)"))</f>
        <v/>
      </c>
      <c r="Q2598" s="48">
        <f>IF(COUNTIFS($C:$C,$C2598,$D:$D,$D2598,$E:$E,"P0(후)",$M:$M,"&gt;0")&lt;&gt;1,"",SUMIFS($I:$I,$C:$C,$C2598,$D:$D,$D2598,$E:$E,"P0(후)"))</f>
        <v/>
      </c>
      <c r="R2598" s="31">
        <f>IF(COUNTIFS($C:$C,$C2598,$D:$D,$D2598,$E:$E,"P0(후)",$M:$M,"&gt;0")&lt;&gt;1,"",SUMIFS($M:$M,$C:$C,$C2598,$D:$D,$D2598,$E:$E,"P0(후)"))</f>
        <v/>
      </c>
      <c r="S2598" s="31">
        <f>IF(N2598&lt;&gt;"OK","",P2598+(R2598-P2598)*(I2598-O2598)/(Q2598-O2598))</f>
        <v/>
      </c>
      <c r="T2598" s="31">
        <f>IF(OR(N2598&lt;&gt;"OK",NOT(ISNUMBER(M2598))),"",M2598-S2598)</f>
        <v/>
      </c>
      <c r="U2598" s="49">
        <f>IF(OR(NOT(ISNUMBER(T2598)),IF(ISNUMBER(H2598),H2598,G2598)=0),"",T2598/IF(ISNUMBER(H2598),H2598,G2598))</f>
        <v/>
      </c>
      <c r="V2598" s="49">
        <f>IF(ISNUMBER(U2598),ABS(U2598),"")</f>
        <v/>
      </c>
      <c r="W2598" s="49">
        <f>IF(OR($E2597&lt;&gt;"측정",$C2597&lt;&gt;$C2598,$D2597&lt;&gt;$D2598,NOT(ISNUMBER(M2598)),NOT(ISNUMBER(M2597)),(IF(ISNUMBER(H2598),H2598,G2598)-IF(ISNUMBER(H2597),H2597,G2597))=0),"",(M2598-M2597)/(IF(ISNUMBER(H2598),H2598,G2598)-IF(ISNUMBER(H2597),H2597,G2597)))</f>
        <v/>
      </c>
      <c r="X2598" s="31">
        <f>IF(NOT(AND(ISNUMBER(O2598),ISNUMBER(Q2598))),"",(Q2598-O2598)*1440)</f>
        <v/>
      </c>
      <c r="Y2598" s="29" t="n"/>
      <c r="Z2598" s="29" t="n"/>
      <c r="AA2598" s="29" t="n"/>
      <c r="AB2598" s="32" t="n"/>
      <c r="AC2598" s="32" t="n"/>
    </row>
    <row r="2599">
      <c r="A2599" s="26" t="inlineStr">
        <is>
          <t>S50</t>
        </is>
      </c>
      <c r="B2599" s="26" t="inlineStr">
        <is>
          <t>함양</t>
        </is>
      </c>
      <c r="C2599" s="26" t="inlineStr">
        <is>
          <t>S50-H북</t>
        </is>
      </c>
      <c r="D2599" s="47" t="n">
        <v>1</v>
      </c>
      <c r="E2599" s="26" t="inlineStr">
        <is>
          <t>측정</t>
        </is>
      </c>
      <c r="F2599" s="26" t="inlineStr">
        <is>
          <t>북</t>
        </is>
      </c>
      <c r="G2599" s="31" t="n">
        <v>5</v>
      </c>
      <c r="H2599" s="30" t="n"/>
      <c r="I2599" s="43" t="n"/>
      <c r="J2599" s="41" t="n"/>
      <c r="K2599" s="41" t="n"/>
      <c r="L2599" s="41" t="n"/>
      <c r="M2599" s="31">
        <f>IF(COUNT(J2599:L2599)=0,"",MEDIAN(J2599:L2599))</f>
        <v/>
      </c>
      <c r="N2599" s="26">
        <f>IF(COUNTIFS($C:$C,$C2599,$D:$D,$D2599,$E:$E,"P0(전)",$M:$M,"&gt;0")&lt;&gt;1,"P0(전) 유효 1개 아님",IF(COUNTIFS($C:$C,$C2599,$D:$D,$D2599,$E:$E,"P0(후)",$M:$M,"&gt;0")&lt;&gt;1,"P0(후) 유효 1개 아님",IF(NOT(AND(ISNUMBER(O2599),ISNUMBER(Q2599),ISNUMBER(I2599))),"시각 결측",IF(Q2599&lt;=O2599,"P0 시각 역전",IF(OR(I2599&lt;O2599,I2599&gt;Q2599),"측정시각 구간 밖","OK")))))</f>
        <v/>
      </c>
      <c r="O2599" s="48">
        <f>IF(COUNTIFS($C:$C,$C2599,$D:$D,$D2599,$E:$E,"P0(전)",$M:$M,"&gt;0")&lt;&gt;1,"",SUMIFS($I:$I,$C:$C,$C2599,$D:$D,$D2599,$E:$E,"P0(전)"))</f>
        <v/>
      </c>
      <c r="P2599" s="31">
        <f>IF(COUNTIFS($C:$C,$C2599,$D:$D,$D2599,$E:$E,"P0(전)",$M:$M,"&gt;0")&lt;&gt;1,"",SUMIFS($M:$M,$C:$C,$C2599,$D:$D,$D2599,$E:$E,"P0(전)"))</f>
        <v/>
      </c>
      <c r="Q2599" s="48">
        <f>IF(COUNTIFS($C:$C,$C2599,$D:$D,$D2599,$E:$E,"P0(후)",$M:$M,"&gt;0")&lt;&gt;1,"",SUMIFS($I:$I,$C:$C,$C2599,$D:$D,$D2599,$E:$E,"P0(후)"))</f>
        <v/>
      </c>
      <c r="R2599" s="31">
        <f>IF(COUNTIFS($C:$C,$C2599,$D:$D,$D2599,$E:$E,"P0(후)",$M:$M,"&gt;0")&lt;&gt;1,"",SUMIFS($M:$M,$C:$C,$C2599,$D:$D,$D2599,$E:$E,"P0(후)"))</f>
        <v/>
      </c>
      <c r="S2599" s="31">
        <f>IF(N2599&lt;&gt;"OK","",P2599+(R2599-P2599)*(I2599-O2599)/(Q2599-O2599))</f>
        <v/>
      </c>
      <c r="T2599" s="31">
        <f>IF(OR(N2599&lt;&gt;"OK",NOT(ISNUMBER(M2599))),"",M2599-S2599)</f>
        <v/>
      </c>
      <c r="U2599" s="49">
        <f>IF(OR(NOT(ISNUMBER(T2599)),IF(ISNUMBER(H2599),H2599,G2599)=0),"",T2599/IF(ISNUMBER(H2599),H2599,G2599))</f>
        <v/>
      </c>
      <c r="V2599" s="49">
        <f>IF(ISNUMBER(U2599),ABS(U2599),"")</f>
        <v/>
      </c>
      <c r="W2599" s="49">
        <f>IF(OR($E2598&lt;&gt;"측정",$C2598&lt;&gt;$C2599,$D2598&lt;&gt;$D2599,NOT(ISNUMBER(M2599)),NOT(ISNUMBER(M2598)),(IF(ISNUMBER(H2599),H2599,G2599)-IF(ISNUMBER(H2598),H2598,G2598))=0),"",(M2599-M2598)/(IF(ISNUMBER(H2599),H2599,G2599)-IF(ISNUMBER(H2598),H2598,G2598)))</f>
        <v/>
      </c>
      <c r="X2599" s="31">
        <f>IF(NOT(AND(ISNUMBER(O2599),ISNUMBER(Q2599))),"",(Q2599-O2599)*1440)</f>
        <v/>
      </c>
      <c r="Y2599" s="29" t="n"/>
      <c r="Z2599" s="29" t="n"/>
      <c r="AA2599" s="29" t="n"/>
      <c r="AB2599" s="32" t="n"/>
      <c r="AC2599" s="32" t="n"/>
    </row>
    <row r="2600">
      <c r="A2600" s="26" t="inlineStr">
        <is>
          <t>S50</t>
        </is>
      </c>
      <c r="B2600" s="26" t="inlineStr">
        <is>
          <t>함양</t>
        </is>
      </c>
      <c r="C2600" s="26" t="inlineStr">
        <is>
          <t>S50-H북</t>
        </is>
      </c>
      <c r="D2600" s="47" t="n">
        <v>1</v>
      </c>
      <c r="E2600" s="26" t="inlineStr">
        <is>
          <t>측정</t>
        </is>
      </c>
      <c r="F2600" s="26" t="inlineStr">
        <is>
          <t>북</t>
        </is>
      </c>
      <c r="G2600" s="31" t="n">
        <v>6</v>
      </c>
      <c r="H2600" s="30" t="n"/>
      <c r="I2600" s="43" t="n"/>
      <c r="J2600" s="41" t="n"/>
      <c r="K2600" s="41" t="n"/>
      <c r="L2600" s="41" t="n"/>
      <c r="M2600" s="31">
        <f>IF(COUNT(J2600:L2600)=0,"",MEDIAN(J2600:L2600))</f>
        <v/>
      </c>
      <c r="N2600" s="26">
        <f>IF(COUNTIFS($C:$C,$C2600,$D:$D,$D2600,$E:$E,"P0(전)",$M:$M,"&gt;0")&lt;&gt;1,"P0(전) 유효 1개 아님",IF(COUNTIFS($C:$C,$C2600,$D:$D,$D2600,$E:$E,"P0(후)",$M:$M,"&gt;0")&lt;&gt;1,"P0(후) 유효 1개 아님",IF(NOT(AND(ISNUMBER(O2600),ISNUMBER(Q2600),ISNUMBER(I2600))),"시각 결측",IF(Q2600&lt;=O2600,"P0 시각 역전",IF(OR(I2600&lt;O2600,I2600&gt;Q2600),"측정시각 구간 밖","OK")))))</f>
        <v/>
      </c>
      <c r="O2600" s="48">
        <f>IF(COUNTIFS($C:$C,$C2600,$D:$D,$D2600,$E:$E,"P0(전)",$M:$M,"&gt;0")&lt;&gt;1,"",SUMIFS($I:$I,$C:$C,$C2600,$D:$D,$D2600,$E:$E,"P0(전)"))</f>
        <v/>
      </c>
      <c r="P2600" s="31">
        <f>IF(COUNTIFS($C:$C,$C2600,$D:$D,$D2600,$E:$E,"P0(전)",$M:$M,"&gt;0")&lt;&gt;1,"",SUMIFS($M:$M,$C:$C,$C2600,$D:$D,$D2600,$E:$E,"P0(전)"))</f>
        <v/>
      </c>
      <c r="Q2600" s="48">
        <f>IF(COUNTIFS($C:$C,$C2600,$D:$D,$D2600,$E:$E,"P0(후)",$M:$M,"&gt;0")&lt;&gt;1,"",SUMIFS($I:$I,$C:$C,$C2600,$D:$D,$D2600,$E:$E,"P0(후)"))</f>
        <v/>
      </c>
      <c r="R2600" s="31">
        <f>IF(COUNTIFS($C:$C,$C2600,$D:$D,$D2600,$E:$E,"P0(후)",$M:$M,"&gt;0")&lt;&gt;1,"",SUMIFS($M:$M,$C:$C,$C2600,$D:$D,$D2600,$E:$E,"P0(후)"))</f>
        <v/>
      </c>
      <c r="S2600" s="31">
        <f>IF(N2600&lt;&gt;"OK","",P2600+(R2600-P2600)*(I2600-O2600)/(Q2600-O2600))</f>
        <v/>
      </c>
      <c r="T2600" s="31">
        <f>IF(OR(N2600&lt;&gt;"OK",NOT(ISNUMBER(M2600))),"",M2600-S2600)</f>
        <v/>
      </c>
      <c r="U2600" s="49">
        <f>IF(OR(NOT(ISNUMBER(T2600)),IF(ISNUMBER(H2600),H2600,G2600)=0),"",T2600/IF(ISNUMBER(H2600),H2600,G2600))</f>
        <v/>
      </c>
      <c r="V2600" s="49">
        <f>IF(ISNUMBER(U2600),ABS(U2600),"")</f>
        <v/>
      </c>
      <c r="W2600" s="49">
        <f>IF(OR($E2599&lt;&gt;"측정",$C2599&lt;&gt;$C2600,$D2599&lt;&gt;$D2600,NOT(ISNUMBER(M2600)),NOT(ISNUMBER(M2599)),(IF(ISNUMBER(H2600),H2600,G2600)-IF(ISNUMBER(H2599),H2599,G2599))=0),"",(M2600-M2599)/(IF(ISNUMBER(H2600),H2600,G2600)-IF(ISNUMBER(H2599),H2599,G2599)))</f>
        <v/>
      </c>
      <c r="X2600" s="31">
        <f>IF(NOT(AND(ISNUMBER(O2600),ISNUMBER(Q2600))),"",(Q2600-O2600)*1440)</f>
        <v/>
      </c>
      <c r="Y2600" s="29" t="n"/>
      <c r="Z2600" s="29" t="n"/>
      <c r="AA2600" s="29" t="n"/>
      <c r="AB2600" s="32" t="n"/>
      <c r="AC2600" s="32" t="n"/>
    </row>
    <row r="2601">
      <c r="A2601" s="26" t="inlineStr">
        <is>
          <t>S50</t>
        </is>
      </c>
      <c r="B2601" s="26" t="inlineStr">
        <is>
          <t>함양</t>
        </is>
      </c>
      <c r="C2601" s="26" t="inlineStr">
        <is>
          <t>S50-H북</t>
        </is>
      </c>
      <c r="D2601" s="47" t="n">
        <v>1</v>
      </c>
      <c r="E2601" s="26" t="inlineStr">
        <is>
          <t>측정</t>
        </is>
      </c>
      <c r="F2601" s="26" t="inlineStr">
        <is>
          <t>북</t>
        </is>
      </c>
      <c r="G2601" s="31" t="n">
        <v>7</v>
      </c>
      <c r="H2601" s="30" t="n"/>
      <c r="I2601" s="43" t="n"/>
      <c r="J2601" s="41" t="n"/>
      <c r="K2601" s="41" t="n"/>
      <c r="L2601" s="41" t="n"/>
      <c r="M2601" s="31">
        <f>IF(COUNT(J2601:L2601)=0,"",MEDIAN(J2601:L2601))</f>
        <v/>
      </c>
      <c r="N2601" s="26">
        <f>IF(COUNTIFS($C:$C,$C2601,$D:$D,$D2601,$E:$E,"P0(전)",$M:$M,"&gt;0")&lt;&gt;1,"P0(전) 유효 1개 아님",IF(COUNTIFS($C:$C,$C2601,$D:$D,$D2601,$E:$E,"P0(후)",$M:$M,"&gt;0")&lt;&gt;1,"P0(후) 유효 1개 아님",IF(NOT(AND(ISNUMBER(O2601),ISNUMBER(Q2601),ISNUMBER(I2601))),"시각 결측",IF(Q2601&lt;=O2601,"P0 시각 역전",IF(OR(I2601&lt;O2601,I2601&gt;Q2601),"측정시각 구간 밖","OK")))))</f>
        <v/>
      </c>
      <c r="O2601" s="48">
        <f>IF(COUNTIFS($C:$C,$C2601,$D:$D,$D2601,$E:$E,"P0(전)",$M:$M,"&gt;0")&lt;&gt;1,"",SUMIFS($I:$I,$C:$C,$C2601,$D:$D,$D2601,$E:$E,"P0(전)"))</f>
        <v/>
      </c>
      <c r="P2601" s="31">
        <f>IF(COUNTIFS($C:$C,$C2601,$D:$D,$D2601,$E:$E,"P0(전)",$M:$M,"&gt;0")&lt;&gt;1,"",SUMIFS($M:$M,$C:$C,$C2601,$D:$D,$D2601,$E:$E,"P0(전)"))</f>
        <v/>
      </c>
      <c r="Q2601" s="48">
        <f>IF(COUNTIFS($C:$C,$C2601,$D:$D,$D2601,$E:$E,"P0(후)",$M:$M,"&gt;0")&lt;&gt;1,"",SUMIFS($I:$I,$C:$C,$C2601,$D:$D,$D2601,$E:$E,"P0(후)"))</f>
        <v/>
      </c>
      <c r="R2601" s="31">
        <f>IF(COUNTIFS($C:$C,$C2601,$D:$D,$D2601,$E:$E,"P0(후)",$M:$M,"&gt;0")&lt;&gt;1,"",SUMIFS($M:$M,$C:$C,$C2601,$D:$D,$D2601,$E:$E,"P0(후)"))</f>
        <v/>
      </c>
      <c r="S2601" s="31">
        <f>IF(N2601&lt;&gt;"OK","",P2601+(R2601-P2601)*(I2601-O2601)/(Q2601-O2601))</f>
        <v/>
      </c>
      <c r="T2601" s="31">
        <f>IF(OR(N2601&lt;&gt;"OK",NOT(ISNUMBER(M2601))),"",M2601-S2601)</f>
        <v/>
      </c>
      <c r="U2601" s="49">
        <f>IF(OR(NOT(ISNUMBER(T2601)),IF(ISNUMBER(H2601),H2601,G2601)=0),"",T2601/IF(ISNUMBER(H2601),H2601,G2601))</f>
        <v/>
      </c>
      <c r="V2601" s="49">
        <f>IF(ISNUMBER(U2601),ABS(U2601),"")</f>
        <v/>
      </c>
      <c r="W2601" s="49">
        <f>IF(OR($E2600&lt;&gt;"측정",$C2600&lt;&gt;$C2601,$D2600&lt;&gt;$D2601,NOT(ISNUMBER(M2601)),NOT(ISNUMBER(M2600)),(IF(ISNUMBER(H2601),H2601,G2601)-IF(ISNUMBER(H2600),H2600,G2600))=0),"",(M2601-M2600)/(IF(ISNUMBER(H2601),H2601,G2601)-IF(ISNUMBER(H2600),H2600,G2600)))</f>
        <v/>
      </c>
      <c r="X2601" s="31">
        <f>IF(NOT(AND(ISNUMBER(O2601),ISNUMBER(Q2601))),"",(Q2601-O2601)*1440)</f>
        <v/>
      </c>
      <c r="Y2601" s="29" t="n"/>
      <c r="Z2601" s="29" t="n"/>
      <c r="AA2601" s="29" t="n"/>
      <c r="AB2601" s="32" t="n"/>
      <c r="AC2601" s="32" t="n"/>
    </row>
    <row r="2602">
      <c r="A2602" s="26" t="inlineStr">
        <is>
          <t>S50</t>
        </is>
      </c>
      <c r="B2602" s="26" t="inlineStr">
        <is>
          <t>함양</t>
        </is>
      </c>
      <c r="C2602" s="26" t="inlineStr">
        <is>
          <t>S50-H북</t>
        </is>
      </c>
      <c r="D2602" s="47" t="n">
        <v>1</v>
      </c>
      <c r="E2602" s="26" t="inlineStr">
        <is>
          <t>측정</t>
        </is>
      </c>
      <c r="F2602" s="26" t="inlineStr">
        <is>
          <t>북</t>
        </is>
      </c>
      <c r="G2602" s="31" t="n">
        <v>8</v>
      </c>
      <c r="H2602" s="30" t="n"/>
      <c r="I2602" s="43" t="n"/>
      <c r="J2602" s="41" t="n"/>
      <c r="K2602" s="41" t="n"/>
      <c r="L2602" s="41" t="n"/>
      <c r="M2602" s="31">
        <f>IF(COUNT(J2602:L2602)=0,"",MEDIAN(J2602:L2602))</f>
        <v/>
      </c>
      <c r="N2602" s="26">
        <f>IF(COUNTIFS($C:$C,$C2602,$D:$D,$D2602,$E:$E,"P0(전)",$M:$M,"&gt;0")&lt;&gt;1,"P0(전) 유효 1개 아님",IF(COUNTIFS($C:$C,$C2602,$D:$D,$D2602,$E:$E,"P0(후)",$M:$M,"&gt;0")&lt;&gt;1,"P0(후) 유효 1개 아님",IF(NOT(AND(ISNUMBER(O2602),ISNUMBER(Q2602),ISNUMBER(I2602))),"시각 결측",IF(Q2602&lt;=O2602,"P0 시각 역전",IF(OR(I2602&lt;O2602,I2602&gt;Q2602),"측정시각 구간 밖","OK")))))</f>
        <v/>
      </c>
      <c r="O2602" s="48">
        <f>IF(COUNTIFS($C:$C,$C2602,$D:$D,$D2602,$E:$E,"P0(전)",$M:$M,"&gt;0")&lt;&gt;1,"",SUMIFS($I:$I,$C:$C,$C2602,$D:$D,$D2602,$E:$E,"P0(전)"))</f>
        <v/>
      </c>
      <c r="P2602" s="31">
        <f>IF(COUNTIFS($C:$C,$C2602,$D:$D,$D2602,$E:$E,"P0(전)",$M:$M,"&gt;0")&lt;&gt;1,"",SUMIFS($M:$M,$C:$C,$C2602,$D:$D,$D2602,$E:$E,"P0(전)"))</f>
        <v/>
      </c>
      <c r="Q2602" s="48">
        <f>IF(COUNTIFS($C:$C,$C2602,$D:$D,$D2602,$E:$E,"P0(후)",$M:$M,"&gt;0")&lt;&gt;1,"",SUMIFS($I:$I,$C:$C,$C2602,$D:$D,$D2602,$E:$E,"P0(후)"))</f>
        <v/>
      </c>
      <c r="R2602" s="31">
        <f>IF(COUNTIFS($C:$C,$C2602,$D:$D,$D2602,$E:$E,"P0(후)",$M:$M,"&gt;0")&lt;&gt;1,"",SUMIFS($M:$M,$C:$C,$C2602,$D:$D,$D2602,$E:$E,"P0(후)"))</f>
        <v/>
      </c>
      <c r="S2602" s="31">
        <f>IF(N2602&lt;&gt;"OK","",P2602+(R2602-P2602)*(I2602-O2602)/(Q2602-O2602))</f>
        <v/>
      </c>
      <c r="T2602" s="31">
        <f>IF(OR(N2602&lt;&gt;"OK",NOT(ISNUMBER(M2602))),"",M2602-S2602)</f>
        <v/>
      </c>
      <c r="U2602" s="49">
        <f>IF(OR(NOT(ISNUMBER(T2602)),IF(ISNUMBER(H2602),H2602,G2602)=0),"",T2602/IF(ISNUMBER(H2602),H2602,G2602))</f>
        <v/>
      </c>
      <c r="V2602" s="49">
        <f>IF(ISNUMBER(U2602),ABS(U2602),"")</f>
        <v/>
      </c>
      <c r="W2602" s="49">
        <f>IF(OR($E2601&lt;&gt;"측정",$C2601&lt;&gt;$C2602,$D2601&lt;&gt;$D2602,NOT(ISNUMBER(M2602)),NOT(ISNUMBER(M2601)),(IF(ISNUMBER(H2602),H2602,G2602)-IF(ISNUMBER(H2601),H2601,G2601))=0),"",(M2602-M2601)/(IF(ISNUMBER(H2602),H2602,G2602)-IF(ISNUMBER(H2601),H2601,G2601)))</f>
        <v/>
      </c>
      <c r="X2602" s="31">
        <f>IF(NOT(AND(ISNUMBER(O2602),ISNUMBER(Q2602))),"",(Q2602-O2602)*1440)</f>
        <v/>
      </c>
      <c r="Y2602" s="29" t="n"/>
      <c r="Z2602" s="29" t="n"/>
      <c r="AA2602" s="29" t="n"/>
      <c r="AB2602" s="32" t="n"/>
      <c r="AC2602" s="32" t="n"/>
    </row>
    <row r="2603">
      <c r="A2603" s="26" t="inlineStr">
        <is>
          <t>S50</t>
        </is>
      </c>
      <c r="B2603" s="26" t="inlineStr">
        <is>
          <t>함양</t>
        </is>
      </c>
      <c r="C2603" s="26" t="inlineStr">
        <is>
          <t>S50-H북</t>
        </is>
      </c>
      <c r="D2603" s="47" t="n">
        <v>1</v>
      </c>
      <c r="E2603" s="26" t="inlineStr">
        <is>
          <t>측정</t>
        </is>
      </c>
      <c r="F2603" s="26" t="inlineStr">
        <is>
          <t>북</t>
        </is>
      </c>
      <c r="G2603" s="31" t="n">
        <v>9</v>
      </c>
      <c r="H2603" s="30" t="n"/>
      <c r="I2603" s="43" t="n"/>
      <c r="J2603" s="41" t="n"/>
      <c r="K2603" s="41" t="n"/>
      <c r="L2603" s="41" t="n"/>
      <c r="M2603" s="31">
        <f>IF(COUNT(J2603:L2603)=0,"",MEDIAN(J2603:L2603))</f>
        <v/>
      </c>
      <c r="N2603" s="26">
        <f>IF(COUNTIFS($C:$C,$C2603,$D:$D,$D2603,$E:$E,"P0(전)",$M:$M,"&gt;0")&lt;&gt;1,"P0(전) 유효 1개 아님",IF(COUNTIFS($C:$C,$C2603,$D:$D,$D2603,$E:$E,"P0(후)",$M:$M,"&gt;0")&lt;&gt;1,"P0(후) 유효 1개 아님",IF(NOT(AND(ISNUMBER(O2603),ISNUMBER(Q2603),ISNUMBER(I2603))),"시각 결측",IF(Q2603&lt;=O2603,"P0 시각 역전",IF(OR(I2603&lt;O2603,I2603&gt;Q2603),"측정시각 구간 밖","OK")))))</f>
        <v/>
      </c>
      <c r="O2603" s="48">
        <f>IF(COUNTIFS($C:$C,$C2603,$D:$D,$D2603,$E:$E,"P0(전)",$M:$M,"&gt;0")&lt;&gt;1,"",SUMIFS($I:$I,$C:$C,$C2603,$D:$D,$D2603,$E:$E,"P0(전)"))</f>
        <v/>
      </c>
      <c r="P2603" s="31">
        <f>IF(COUNTIFS($C:$C,$C2603,$D:$D,$D2603,$E:$E,"P0(전)",$M:$M,"&gt;0")&lt;&gt;1,"",SUMIFS($M:$M,$C:$C,$C2603,$D:$D,$D2603,$E:$E,"P0(전)"))</f>
        <v/>
      </c>
      <c r="Q2603" s="48">
        <f>IF(COUNTIFS($C:$C,$C2603,$D:$D,$D2603,$E:$E,"P0(후)",$M:$M,"&gt;0")&lt;&gt;1,"",SUMIFS($I:$I,$C:$C,$C2603,$D:$D,$D2603,$E:$E,"P0(후)"))</f>
        <v/>
      </c>
      <c r="R2603" s="31">
        <f>IF(COUNTIFS($C:$C,$C2603,$D:$D,$D2603,$E:$E,"P0(후)",$M:$M,"&gt;0")&lt;&gt;1,"",SUMIFS($M:$M,$C:$C,$C2603,$D:$D,$D2603,$E:$E,"P0(후)"))</f>
        <v/>
      </c>
      <c r="S2603" s="31">
        <f>IF(N2603&lt;&gt;"OK","",P2603+(R2603-P2603)*(I2603-O2603)/(Q2603-O2603))</f>
        <v/>
      </c>
      <c r="T2603" s="31">
        <f>IF(OR(N2603&lt;&gt;"OK",NOT(ISNUMBER(M2603))),"",M2603-S2603)</f>
        <v/>
      </c>
      <c r="U2603" s="49">
        <f>IF(OR(NOT(ISNUMBER(T2603)),IF(ISNUMBER(H2603),H2603,G2603)=0),"",T2603/IF(ISNUMBER(H2603),H2603,G2603))</f>
        <v/>
      </c>
      <c r="V2603" s="49">
        <f>IF(ISNUMBER(U2603),ABS(U2603),"")</f>
        <v/>
      </c>
      <c r="W2603" s="49">
        <f>IF(OR($E2602&lt;&gt;"측정",$C2602&lt;&gt;$C2603,$D2602&lt;&gt;$D2603,NOT(ISNUMBER(M2603)),NOT(ISNUMBER(M2602)),(IF(ISNUMBER(H2603),H2603,G2603)-IF(ISNUMBER(H2602),H2602,G2602))=0),"",(M2603-M2602)/(IF(ISNUMBER(H2603),H2603,G2603)-IF(ISNUMBER(H2602),H2602,G2602)))</f>
        <v/>
      </c>
      <c r="X2603" s="31">
        <f>IF(NOT(AND(ISNUMBER(O2603),ISNUMBER(Q2603))),"",(Q2603-O2603)*1440)</f>
        <v/>
      </c>
      <c r="Y2603" s="29" t="n"/>
      <c r="Z2603" s="29" t="n"/>
      <c r="AA2603" s="29" t="n"/>
      <c r="AB2603" s="32" t="n"/>
      <c r="AC2603" s="32" t="n"/>
    </row>
    <row r="2604">
      <c r="A2604" s="26" t="inlineStr">
        <is>
          <t>S50</t>
        </is>
      </c>
      <c r="B2604" s="26" t="inlineStr">
        <is>
          <t>함양</t>
        </is>
      </c>
      <c r="C2604" s="26" t="inlineStr">
        <is>
          <t>S50-H북</t>
        </is>
      </c>
      <c r="D2604" s="47" t="n">
        <v>1</v>
      </c>
      <c r="E2604" s="26" t="inlineStr">
        <is>
          <t>측정</t>
        </is>
      </c>
      <c r="F2604" s="26" t="inlineStr">
        <is>
          <t>북</t>
        </is>
      </c>
      <c r="G2604" s="31" t="n">
        <v>10</v>
      </c>
      <c r="H2604" s="30" t="n"/>
      <c r="I2604" s="43" t="n"/>
      <c r="J2604" s="41" t="n"/>
      <c r="K2604" s="41" t="n"/>
      <c r="L2604" s="41" t="n"/>
      <c r="M2604" s="31">
        <f>IF(COUNT(J2604:L2604)=0,"",MEDIAN(J2604:L2604))</f>
        <v/>
      </c>
      <c r="N2604" s="26">
        <f>IF(COUNTIFS($C:$C,$C2604,$D:$D,$D2604,$E:$E,"P0(전)",$M:$M,"&gt;0")&lt;&gt;1,"P0(전) 유효 1개 아님",IF(COUNTIFS($C:$C,$C2604,$D:$D,$D2604,$E:$E,"P0(후)",$M:$M,"&gt;0")&lt;&gt;1,"P0(후) 유효 1개 아님",IF(NOT(AND(ISNUMBER(O2604),ISNUMBER(Q2604),ISNUMBER(I2604))),"시각 결측",IF(Q2604&lt;=O2604,"P0 시각 역전",IF(OR(I2604&lt;O2604,I2604&gt;Q2604),"측정시각 구간 밖","OK")))))</f>
        <v/>
      </c>
      <c r="O2604" s="48">
        <f>IF(COUNTIFS($C:$C,$C2604,$D:$D,$D2604,$E:$E,"P0(전)",$M:$M,"&gt;0")&lt;&gt;1,"",SUMIFS($I:$I,$C:$C,$C2604,$D:$D,$D2604,$E:$E,"P0(전)"))</f>
        <v/>
      </c>
      <c r="P2604" s="31">
        <f>IF(COUNTIFS($C:$C,$C2604,$D:$D,$D2604,$E:$E,"P0(전)",$M:$M,"&gt;0")&lt;&gt;1,"",SUMIFS($M:$M,$C:$C,$C2604,$D:$D,$D2604,$E:$E,"P0(전)"))</f>
        <v/>
      </c>
      <c r="Q2604" s="48">
        <f>IF(COUNTIFS($C:$C,$C2604,$D:$D,$D2604,$E:$E,"P0(후)",$M:$M,"&gt;0")&lt;&gt;1,"",SUMIFS($I:$I,$C:$C,$C2604,$D:$D,$D2604,$E:$E,"P0(후)"))</f>
        <v/>
      </c>
      <c r="R2604" s="31">
        <f>IF(COUNTIFS($C:$C,$C2604,$D:$D,$D2604,$E:$E,"P0(후)",$M:$M,"&gt;0")&lt;&gt;1,"",SUMIFS($M:$M,$C:$C,$C2604,$D:$D,$D2604,$E:$E,"P0(후)"))</f>
        <v/>
      </c>
      <c r="S2604" s="31">
        <f>IF(N2604&lt;&gt;"OK","",P2604+(R2604-P2604)*(I2604-O2604)/(Q2604-O2604))</f>
        <v/>
      </c>
      <c r="T2604" s="31">
        <f>IF(OR(N2604&lt;&gt;"OK",NOT(ISNUMBER(M2604))),"",M2604-S2604)</f>
        <v/>
      </c>
      <c r="U2604" s="49">
        <f>IF(OR(NOT(ISNUMBER(T2604)),IF(ISNUMBER(H2604),H2604,G2604)=0),"",T2604/IF(ISNUMBER(H2604),H2604,G2604))</f>
        <v/>
      </c>
      <c r="V2604" s="49">
        <f>IF(ISNUMBER(U2604),ABS(U2604),"")</f>
        <v/>
      </c>
      <c r="W2604" s="49">
        <f>IF(OR($E2603&lt;&gt;"측정",$C2603&lt;&gt;$C2604,$D2603&lt;&gt;$D2604,NOT(ISNUMBER(M2604)),NOT(ISNUMBER(M2603)),(IF(ISNUMBER(H2604),H2604,G2604)-IF(ISNUMBER(H2603),H2603,G2603))=0),"",(M2604-M2603)/(IF(ISNUMBER(H2604),H2604,G2604)-IF(ISNUMBER(H2603),H2603,G2603)))</f>
        <v/>
      </c>
      <c r="X2604" s="31">
        <f>IF(NOT(AND(ISNUMBER(O2604),ISNUMBER(Q2604))),"",(Q2604-O2604)*1440)</f>
        <v/>
      </c>
      <c r="Y2604" s="29" t="n"/>
      <c r="Z2604" s="29" t="n"/>
      <c r="AA2604" s="29" t="n"/>
      <c r="AB2604" s="32" t="n"/>
      <c r="AC2604" s="32" t="n"/>
    </row>
    <row r="2605">
      <c r="A2605" s="44" t="inlineStr">
        <is>
          <t>S50</t>
        </is>
      </c>
      <c r="B2605" s="44" t="inlineStr">
        <is>
          <t>함양</t>
        </is>
      </c>
      <c r="C2605" s="44" t="inlineStr">
        <is>
          <t>S50-H북</t>
        </is>
      </c>
      <c r="D2605" s="45" t="n">
        <v>1</v>
      </c>
      <c r="E2605" s="44" t="inlineStr">
        <is>
          <t>P0(후)</t>
        </is>
      </c>
      <c r="F2605" s="44" t="inlineStr">
        <is>
          <t>북</t>
        </is>
      </c>
      <c r="G2605" s="46" t="n"/>
      <c r="H2605" s="30" t="n"/>
      <c r="I2605" s="43" t="n"/>
      <c r="J2605" s="41" t="n"/>
      <c r="K2605" s="41" t="n"/>
      <c r="L2605" s="41" t="n"/>
      <c r="M2605" s="31">
        <f>IF(COUNT(J2605:L2605)=0,"",MEDIAN(J2605:L2605))</f>
        <v/>
      </c>
      <c r="N2605" s="38" t="n"/>
      <c r="O2605" s="38" t="n"/>
      <c r="P2605" s="38" t="n"/>
      <c r="Q2605" s="38" t="n"/>
      <c r="R2605" s="38" t="n"/>
      <c r="S2605" s="38" t="n"/>
      <c r="T2605" s="38" t="n"/>
      <c r="U2605" s="38" t="n"/>
      <c r="V2605" s="38" t="n"/>
      <c r="W2605" s="38" t="n"/>
      <c r="X2605" s="38" t="n"/>
      <c r="Y2605" s="29" t="n"/>
      <c r="Z2605" s="29" t="n"/>
      <c r="AA2605" s="29" t="n"/>
      <c r="AB2605" s="32" t="n"/>
      <c r="AC2605" s="32" t="n"/>
    </row>
  </sheetData>
  <mergeCells count="4">
    <mergeCell ref="A3:AC3"/>
    <mergeCell ref="A2:AC2"/>
    <mergeCell ref="A1:AC1"/>
    <mergeCell ref="A4:AC4"/>
  </mergeCells>
  <dataValidations count="4">
    <dataValidation sqref="D6:D2605" showDropDown="0" showInputMessage="0" showErrorMessage="0" allowBlank="1" type="list">
      <formula1>"1,2,3"</formula1>
    </dataValidation>
    <dataValidation sqref="AA6:AA2605" showDropDown="0" showInputMessage="0" showErrorMessage="0" allowBlank="1" type="list">
      <formula1>"정상,중단,재시작,무효,PENDING"</formula1>
    </dataValidation>
    <dataValidation sqref="AC6:AC2605" showDropDown="0" showInputMessage="0" showErrorMessage="0" allowBlank="1" type="list">
      <formula1>"정상,NOT AVAILABLE,NOT OBSERVED,INVALID,NOT APPLICABLE,PENDING"</formula1>
    </dataValidation>
    <dataValidation sqref="J6:L2605" showDropDown="0" showInputMessage="0" showErrorMessage="1" allowBlank="1" errorTitle="예상 범위 밖" error="한반도 총자력 범위 밖이다. 실제 이상일 수 있으니 지우지 말고 사유를 비고에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7" customWidth="1" min="4" max="4"/>
    <col width="11" customWidth="1" min="5" max="5"/>
    <col width="11" customWidth="1" min="6" max="6"/>
    <col width="15" customWidth="1" min="7" max="7"/>
    <col width="13" customWidth="1" min="8" max="8"/>
    <col width="19" customWidth="1" min="9" max="9"/>
    <col width="12" customWidth="1" min="10" max="10"/>
    <col width="11" customWidth="1" min="11" max="11"/>
    <col width="11" customWidth="1" min="12" max="12"/>
    <col width="11" customWidth="1" min="13" max="13"/>
    <col width="16" customWidth="1" min="14" max="14"/>
    <col width="17" customWidth="1" min="15" max="15"/>
    <col width="12" customWidth="1" min="16" max="16"/>
    <col width="17" customWidth="1" min="17" max="17"/>
    <col width="12" customWidth="1" min="18" max="18"/>
    <col width="12" customWidth="1" min="19" max="19"/>
    <col width="11" customWidth="1" min="20" max="20"/>
    <col width="14" customWidth="1" min="21" max="21"/>
    <col width="11" customWidth="1" min="22" max="22"/>
    <col width="12" customWidth="1" min="23" max="23"/>
    <col width="24" customWidth="1" min="24" max="24"/>
  </cols>
  <sheetData>
    <row r="1" ht="26" customHeight="1">
      <c r="A1" s="1" t="inlineStr">
        <is>
          <t>수직 자기구배 — 중심점(P0) 높이별 측정</t>
        </is>
      </c>
    </row>
    <row r="2" ht="33" customHeight="1">
      <c r="A2" s="2" t="inlineStr">
        <is>
          <t>중심점에서 지상 20~200 cm 를 20 cm 간격으로 순차 측정한다(Guide for Magnetic Repeat Station Surveys §4.2 (IAGA, 1996)). 기준높이에서 전·후 반복관측해 시간변화를 뺀다.</t>
        </is>
      </c>
    </row>
    <row r="3" ht="47" customHeight="1">
      <c r="A3" s="3" t="inlineStr">
        <is>
          <t>유럽 권고는 수직 자기구배를 점검하라고만 하고 얼마 이하여야 한다는 수치는 주지 않았습니다. 그래서 이 시트는 자동으로 합격·불합격을 가르지 않고, 보정한 F 프로파일과 전 구간 변화폭, 이웃 높이 사이의 변화 같은 기술지표만 냅니다. 높이는 목표값이 아니라 센서 가운데가 실제로 어디였는지와 어디를 기준면으로 삼았는지를 적어 주셔야 나중에 같은 조건을 재현할 수 있습니다.</t>
        </is>
      </c>
    </row>
    <row r="4" ht="19" customHeight="1">
      <c r="A4" s="3" t="inlineStr">
        <is>
          <t>다시 쟀다면 차수를 올려 행을 새로 추가해 주세요. 1차 행을 고쳐 쓰거나 차수 없이 행만 늘리면 기준 관측이 두 벌이 되어 1차 계산까지 막힙니다.</t>
        </is>
      </c>
    </row>
    <row r="5" ht="36" customHeight="1">
      <c r="A5" s="8" t="inlineStr">
        <is>
          <t>Site ID</t>
        </is>
      </c>
      <c r="B5" s="9" t="inlineStr">
        <is>
          <t>지점명</t>
        </is>
      </c>
      <c r="C5" s="8" t="inlineStr">
        <is>
          <t>Set ID</t>
        </is>
      </c>
      <c r="D5" s="8" t="inlineStr">
        <is>
          <t>차수</t>
        </is>
      </c>
      <c r="E5" s="8" t="inlineStr">
        <is>
          <t>구분</t>
        </is>
      </c>
      <c r="F5" s="9" t="inlineStr">
        <is>
          <t>명목 높이(cm)</t>
        </is>
      </c>
      <c r="G5" s="9" t="inlineStr">
        <is>
          <t>실제 센서 중심높이(cm)</t>
        </is>
      </c>
      <c r="H5" s="9" t="inlineStr">
        <is>
          <t>측정 기준면</t>
        </is>
      </c>
      <c r="I5" s="9" t="inlineStr">
        <is>
          <t>측정 시각(KST)</t>
        </is>
      </c>
      <c r="J5" s="9" t="inlineStr">
        <is>
          <t>F 판독1(nT)</t>
        </is>
      </c>
      <c r="K5" s="9" t="inlineStr">
        <is>
          <t>F 판독2</t>
        </is>
      </c>
      <c r="L5" s="9" t="inlineStr">
        <is>
          <t>F 판독3</t>
        </is>
      </c>
      <c r="M5" s="9" t="inlineStr">
        <is>
          <t>중앙값
계산</t>
        </is>
      </c>
      <c r="N5" s="9" t="inlineStr">
        <is>
          <t>Set 검증
계산</t>
        </is>
      </c>
      <c r="O5" s="9" t="inlineStr">
        <is>
          <t>기준(전) 시각
계산</t>
        </is>
      </c>
      <c r="P5" s="9" t="inlineStr">
        <is>
          <t>기준(전) F
계산</t>
        </is>
      </c>
      <c r="Q5" s="9" t="inlineStr">
        <is>
          <t>기준(후) 시각
계산</t>
        </is>
      </c>
      <c r="R5" s="9" t="inlineStr">
        <is>
          <t>기준(후) F
계산</t>
        </is>
      </c>
      <c r="S5" s="9" t="inlineStr">
        <is>
          <t>기준 추정값
계산</t>
        </is>
      </c>
      <c r="T5" s="9" t="inlineStr">
        <is>
          <t>ΔF(nT)
계산</t>
        </is>
      </c>
      <c r="U5" s="9" t="inlineStr">
        <is>
          <t>인접높이 변화율
(nT/m)
계산</t>
        </is>
      </c>
      <c r="V5" s="9" t="inlineStr">
        <is>
          <t>기기번호</t>
        </is>
      </c>
      <c r="W5" s="9" t="inlineStr">
        <is>
          <t>Set 상태</t>
        </is>
      </c>
      <c r="X5" s="9" t="inlineStr">
        <is>
          <t>상태·비고</t>
        </is>
      </c>
    </row>
    <row r="6">
      <c r="A6" s="44" t="inlineStr">
        <is>
          <t>S01</t>
        </is>
      </c>
      <c r="B6" s="44" t="inlineStr">
        <is>
          <t>태백 신규점</t>
        </is>
      </c>
      <c r="C6" s="44" t="inlineStr">
        <is>
          <t>S01-V</t>
        </is>
      </c>
      <c r="D6" s="45" t="n">
        <v>1</v>
      </c>
      <c r="E6" s="44" t="inlineStr">
        <is>
          <t>기준(전)</t>
        </is>
      </c>
      <c r="F6" s="45" t="n"/>
      <c r="G6" s="41" t="n"/>
      <c r="H6" s="29" t="n"/>
      <c r="I6" s="43" t="n"/>
      <c r="J6" s="41" t="n"/>
      <c r="K6" s="41" t="n"/>
      <c r="L6" s="41" t="n"/>
      <c r="M6" s="31">
        <f>IF(COUNT(J6:L6)=0,"",MEDIAN(J6:L6))</f>
        <v/>
      </c>
      <c r="N6" s="38" t="n"/>
      <c r="O6" s="38" t="n"/>
      <c r="P6" s="38" t="n"/>
      <c r="Q6" s="38" t="n"/>
      <c r="R6" s="38" t="n"/>
      <c r="S6" s="38" t="n"/>
      <c r="T6" s="38" t="n"/>
      <c r="U6" s="38" t="n"/>
      <c r="V6" s="29" t="n"/>
      <c r="W6" s="29" t="n"/>
      <c r="X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S01-V</t>
        </is>
      </c>
      <c r="D7" s="47" t="n">
        <v>1</v>
      </c>
      <c r="E7" s="26" t="inlineStr">
        <is>
          <t>측정</t>
        </is>
      </c>
      <c r="F7" s="47" t="n">
        <v>20</v>
      </c>
      <c r="G7" s="41" t="n"/>
      <c r="H7" s="29" t="n"/>
      <c r="I7" s="43" t="n"/>
      <c r="J7" s="41" t="n"/>
      <c r="K7" s="41" t="n"/>
      <c r="L7" s="41" t="n"/>
      <c r="M7" s="31">
        <f>IF(COUNT(J7:L7)=0,"",MEDIAN(J7:L7))</f>
        <v/>
      </c>
      <c r="N7" s="26">
        <f>IF(COUNTIFS($C:$C,$C7,$D:$D,$D7,$E:$E,"기준(전)",$M:$M,"&gt;0")&lt;&gt;1,"기준(전) 유효 1개 아님",IF(COUNTIFS($C:$C,$C7,$D:$D,$D7,$E:$E,"기준(후)",$M:$M,"&gt;0")&lt;&gt;1,"기준(후) 유효 1개 아님",IF(NOT(AND(ISNUMBER(O7),ISNUMBER(Q7),ISNUMBER(I7))),"시각 결측",IF(Q7&lt;=O7,"기준 시각 역전",IF(OR(I7&lt;O7,I7&gt;Q7),"측정시각 구간 밖","OK")))))</f>
        <v/>
      </c>
      <c r="O7" s="48">
        <f>IF(COUNTIFS($C:$C,$C7,$D:$D,$D7,$E:$E,"기준(전)",$M:$M,"&gt;0")&lt;&gt;1,"",SUMIFS($I:$I,$C:$C,$C7,$D:$D,$D7,$E:$E,"기준(전)"))</f>
        <v/>
      </c>
      <c r="P7" s="31">
        <f>IF(COUNTIFS($C:$C,$C7,$D:$D,$D7,$E:$E,"기준(전)",$M:$M,"&gt;0")&lt;&gt;1,"",SUMIFS($M:$M,$C:$C,$C7,$D:$D,$D7,$E:$E,"기준(전)"))</f>
        <v/>
      </c>
      <c r="Q7" s="48">
        <f>IF(COUNTIFS($C:$C,$C7,$D:$D,$D7,$E:$E,"기준(후)",$M:$M,"&gt;0")&lt;&gt;1,"",SUMIFS($I:$I,$C:$C,$C7,$D:$D,$D7,$E:$E,"기준(후)"))</f>
        <v/>
      </c>
      <c r="R7" s="31">
        <f>IF(COUNTIFS($C:$C,$C7,$D:$D,$D7,$E:$E,"기준(후)",$M:$M,"&gt;0")&lt;&gt;1,"",SUMIFS($M:$M,$C:$C,$C7,$D:$D,$D7,$E:$E,"기준(후)"))</f>
        <v/>
      </c>
      <c r="S7" s="31">
        <f>IF(N7&lt;&gt;"OK","",P7+(R7-P7)*(I7-O7)/(Q7-O7))</f>
        <v/>
      </c>
      <c r="T7" s="31">
        <f>IF(OR(N7&lt;&gt;"OK",NOT(ISNUMBER(M7))),"",M7-S7)</f>
        <v/>
      </c>
      <c r="U7" s="49">
        <f>IF(OR($E6&lt;&gt;"측정",$C6&lt;&gt;$C7,$D6&lt;&gt;$D7,NOT(ISNUMBER(M7)),NOT(ISNUMBER(M6)),(IF(ISNUMBER(G7),G7,F7)-IF(ISNUMBER(G6),G6,F6))=0),"",(M7-M6)/((IF(ISNUMBER(G7),G7,F7)-IF(ISNUMBER(G6),G6,F6))/100))</f>
        <v/>
      </c>
      <c r="V7" s="29" t="n"/>
      <c r="W7" s="29" t="n"/>
      <c r="X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S01-V</t>
        </is>
      </c>
      <c r="D8" s="47" t="n">
        <v>1</v>
      </c>
      <c r="E8" s="26" t="inlineStr">
        <is>
          <t>측정</t>
        </is>
      </c>
      <c r="F8" s="47" t="n">
        <v>40</v>
      </c>
      <c r="G8" s="41" t="n"/>
      <c r="H8" s="29" t="n"/>
      <c r="I8" s="43" t="n"/>
      <c r="J8" s="41" t="n"/>
      <c r="K8" s="41" t="n"/>
      <c r="L8" s="41" t="n"/>
      <c r="M8" s="31">
        <f>IF(COUNT(J8:L8)=0,"",MEDIAN(J8:L8))</f>
        <v/>
      </c>
      <c r="N8" s="26">
        <f>IF(COUNTIFS($C:$C,$C8,$D:$D,$D8,$E:$E,"기준(전)",$M:$M,"&gt;0")&lt;&gt;1,"기준(전) 유효 1개 아님",IF(COUNTIFS($C:$C,$C8,$D:$D,$D8,$E:$E,"기준(후)",$M:$M,"&gt;0")&lt;&gt;1,"기준(후) 유효 1개 아님",IF(NOT(AND(ISNUMBER(O8),ISNUMBER(Q8),ISNUMBER(I8))),"시각 결측",IF(Q8&lt;=O8,"기준 시각 역전",IF(OR(I8&lt;O8,I8&gt;Q8),"측정시각 구간 밖","OK")))))</f>
        <v/>
      </c>
      <c r="O8" s="48">
        <f>IF(COUNTIFS($C:$C,$C8,$D:$D,$D8,$E:$E,"기준(전)",$M:$M,"&gt;0")&lt;&gt;1,"",SUMIFS($I:$I,$C:$C,$C8,$D:$D,$D8,$E:$E,"기준(전)"))</f>
        <v/>
      </c>
      <c r="P8" s="31">
        <f>IF(COUNTIFS($C:$C,$C8,$D:$D,$D8,$E:$E,"기준(전)",$M:$M,"&gt;0")&lt;&gt;1,"",SUMIFS($M:$M,$C:$C,$C8,$D:$D,$D8,$E:$E,"기준(전)"))</f>
        <v/>
      </c>
      <c r="Q8" s="48">
        <f>IF(COUNTIFS($C:$C,$C8,$D:$D,$D8,$E:$E,"기준(후)",$M:$M,"&gt;0")&lt;&gt;1,"",SUMIFS($I:$I,$C:$C,$C8,$D:$D,$D8,$E:$E,"기준(후)"))</f>
        <v/>
      </c>
      <c r="R8" s="31">
        <f>IF(COUNTIFS($C:$C,$C8,$D:$D,$D8,$E:$E,"기준(후)",$M:$M,"&gt;0")&lt;&gt;1,"",SUMIFS($M:$M,$C:$C,$C8,$D:$D,$D8,$E:$E,"기준(후)"))</f>
        <v/>
      </c>
      <c r="S8" s="31">
        <f>IF(N8&lt;&gt;"OK","",P8+(R8-P8)*(I8-O8)/(Q8-O8))</f>
        <v/>
      </c>
      <c r="T8" s="31">
        <f>IF(OR(N8&lt;&gt;"OK",NOT(ISNUMBER(M8))),"",M8-S8)</f>
        <v/>
      </c>
      <c r="U8" s="49">
        <f>IF(OR($E7&lt;&gt;"측정",$C7&lt;&gt;$C8,$D7&lt;&gt;$D8,NOT(ISNUMBER(M8)),NOT(ISNUMBER(M7)),(IF(ISNUMBER(G8),G8,F8)-IF(ISNUMBER(G7),G7,F7))=0),"",(M8-M7)/((IF(ISNUMBER(G8),G8,F8)-IF(ISNUMBER(G7),G7,F7))/100))</f>
        <v/>
      </c>
      <c r="V8" s="29" t="n"/>
      <c r="W8" s="29" t="n"/>
      <c r="X8" s="32" t="n"/>
    </row>
    <row r="9">
      <c r="A9" s="26" t="inlineStr">
        <is>
          <t>S01</t>
        </is>
      </c>
      <c r="B9" s="26" t="inlineStr">
        <is>
          <t>태백 신규점</t>
        </is>
      </c>
      <c r="C9" s="26" t="inlineStr">
        <is>
          <t>S01-V</t>
        </is>
      </c>
      <c r="D9" s="47" t="n">
        <v>1</v>
      </c>
      <c r="E9" s="26" t="inlineStr">
        <is>
          <t>측정</t>
        </is>
      </c>
      <c r="F9" s="47" t="n">
        <v>60</v>
      </c>
      <c r="G9" s="41" t="n"/>
      <c r="H9" s="29" t="n"/>
      <c r="I9" s="43" t="n"/>
      <c r="J9" s="41" t="n"/>
      <c r="K9" s="41" t="n"/>
      <c r="L9" s="41" t="n"/>
      <c r="M9" s="31">
        <f>IF(COUNT(J9:L9)=0,"",MEDIAN(J9:L9))</f>
        <v/>
      </c>
      <c r="N9" s="26">
        <f>IF(COUNTIFS($C:$C,$C9,$D:$D,$D9,$E:$E,"기준(전)",$M:$M,"&gt;0")&lt;&gt;1,"기준(전) 유효 1개 아님",IF(COUNTIFS($C:$C,$C9,$D:$D,$D9,$E:$E,"기준(후)",$M:$M,"&gt;0")&lt;&gt;1,"기준(후) 유효 1개 아님",IF(NOT(AND(ISNUMBER(O9),ISNUMBER(Q9),ISNUMBER(I9))),"시각 결측",IF(Q9&lt;=O9,"기준 시각 역전",IF(OR(I9&lt;O9,I9&gt;Q9),"측정시각 구간 밖","OK")))))</f>
        <v/>
      </c>
      <c r="O9" s="48">
        <f>IF(COUNTIFS($C:$C,$C9,$D:$D,$D9,$E:$E,"기준(전)",$M:$M,"&gt;0")&lt;&gt;1,"",SUMIFS($I:$I,$C:$C,$C9,$D:$D,$D9,$E:$E,"기준(전)"))</f>
        <v/>
      </c>
      <c r="P9" s="31">
        <f>IF(COUNTIFS($C:$C,$C9,$D:$D,$D9,$E:$E,"기준(전)",$M:$M,"&gt;0")&lt;&gt;1,"",SUMIFS($M:$M,$C:$C,$C9,$D:$D,$D9,$E:$E,"기준(전)"))</f>
        <v/>
      </c>
      <c r="Q9" s="48">
        <f>IF(COUNTIFS($C:$C,$C9,$D:$D,$D9,$E:$E,"기준(후)",$M:$M,"&gt;0")&lt;&gt;1,"",SUMIFS($I:$I,$C:$C,$C9,$D:$D,$D9,$E:$E,"기준(후)"))</f>
        <v/>
      </c>
      <c r="R9" s="31">
        <f>IF(COUNTIFS($C:$C,$C9,$D:$D,$D9,$E:$E,"기준(후)",$M:$M,"&gt;0")&lt;&gt;1,"",SUMIFS($M:$M,$C:$C,$C9,$D:$D,$D9,$E:$E,"기준(후)"))</f>
        <v/>
      </c>
      <c r="S9" s="31">
        <f>IF(N9&lt;&gt;"OK","",P9+(R9-P9)*(I9-O9)/(Q9-O9))</f>
        <v/>
      </c>
      <c r="T9" s="31">
        <f>IF(OR(N9&lt;&gt;"OK",NOT(ISNUMBER(M9))),"",M9-S9)</f>
        <v/>
      </c>
      <c r="U9" s="49">
        <f>IF(OR($E8&lt;&gt;"측정",$C8&lt;&gt;$C9,$D8&lt;&gt;$D9,NOT(ISNUMBER(M9)),NOT(ISNUMBER(M8)),(IF(ISNUMBER(G9),G9,F9)-IF(ISNUMBER(G8),G8,F8))=0),"",(M9-M8)/((IF(ISNUMBER(G9),G9,F9)-IF(ISNUMBER(G8),G8,F8))/100))</f>
        <v/>
      </c>
      <c r="V9" s="29" t="n"/>
      <c r="W9" s="29" t="n"/>
      <c r="X9" s="32" t="n"/>
    </row>
    <row r="10">
      <c r="A10" s="26" t="inlineStr">
        <is>
          <t>S01</t>
        </is>
      </c>
      <c r="B10" s="26" t="inlineStr">
        <is>
          <t>태백 신규점</t>
        </is>
      </c>
      <c r="C10" s="26" t="inlineStr">
        <is>
          <t>S01-V</t>
        </is>
      </c>
      <c r="D10" s="47" t="n">
        <v>1</v>
      </c>
      <c r="E10" s="26" t="inlineStr">
        <is>
          <t>측정</t>
        </is>
      </c>
      <c r="F10" s="47" t="n">
        <v>80</v>
      </c>
      <c r="G10" s="41" t="n"/>
      <c r="H10" s="29" t="n"/>
      <c r="I10" s="43" t="n"/>
      <c r="J10" s="41" t="n"/>
      <c r="K10" s="41" t="n"/>
      <c r="L10" s="41" t="n"/>
      <c r="M10" s="31">
        <f>IF(COUNT(J10:L10)=0,"",MEDIAN(J10:L10))</f>
        <v/>
      </c>
      <c r="N10" s="26">
        <f>IF(COUNTIFS($C:$C,$C10,$D:$D,$D10,$E:$E,"기준(전)",$M:$M,"&gt;0")&lt;&gt;1,"기준(전) 유효 1개 아님",IF(COUNTIFS($C:$C,$C10,$D:$D,$D10,$E:$E,"기준(후)",$M:$M,"&gt;0")&lt;&gt;1,"기준(후) 유효 1개 아님",IF(NOT(AND(ISNUMBER(O10),ISNUMBER(Q10),ISNUMBER(I10))),"시각 결측",IF(Q10&lt;=O10,"기준 시각 역전",IF(OR(I10&lt;O10,I10&gt;Q10),"측정시각 구간 밖","OK")))))</f>
        <v/>
      </c>
      <c r="O10" s="48">
        <f>IF(COUNTIFS($C:$C,$C10,$D:$D,$D10,$E:$E,"기준(전)",$M:$M,"&gt;0")&lt;&gt;1,"",SUMIFS($I:$I,$C:$C,$C10,$D:$D,$D10,$E:$E,"기준(전)"))</f>
        <v/>
      </c>
      <c r="P10" s="31">
        <f>IF(COUNTIFS($C:$C,$C10,$D:$D,$D10,$E:$E,"기준(전)",$M:$M,"&gt;0")&lt;&gt;1,"",SUMIFS($M:$M,$C:$C,$C10,$D:$D,$D10,$E:$E,"기준(전)"))</f>
        <v/>
      </c>
      <c r="Q10" s="48">
        <f>IF(COUNTIFS($C:$C,$C10,$D:$D,$D10,$E:$E,"기준(후)",$M:$M,"&gt;0")&lt;&gt;1,"",SUMIFS($I:$I,$C:$C,$C10,$D:$D,$D10,$E:$E,"기준(후)"))</f>
        <v/>
      </c>
      <c r="R10" s="31">
        <f>IF(COUNTIFS($C:$C,$C10,$D:$D,$D10,$E:$E,"기준(후)",$M:$M,"&gt;0")&lt;&gt;1,"",SUMIFS($M:$M,$C:$C,$C10,$D:$D,$D10,$E:$E,"기준(후)"))</f>
        <v/>
      </c>
      <c r="S10" s="31">
        <f>IF(N10&lt;&gt;"OK","",P10+(R10-P10)*(I10-O10)/(Q10-O10))</f>
        <v/>
      </c>
      <c r="T10" s="31">
        <f>IF(OR(N10&lt;&gt;"OK",NOT(ISNUMBER(M10))),"",M10-S10)</f>
        <v/>
      </c>
      <c r="U10" s="49">
        <f>IF(OR($E9&lt;&gt;"측정",$C9&lt;&gt;$C10,$D9&lt;&gt;$D10,NOT(ISNUMBER(M10)),NOT(ISNUMBER(M9)),(IF(ISNUMBER(G10),G10,F10)-IF(ISNUMBER(G9),G9,F9))=0),"",(M10-M9)/((IF(ISNUMBER(G10),G10,F10)-IF(ISNUMBER(G9),G9,F9))/100))</f>
        <v/>
      </c>
      <c r="V10" s="29" t="n"/>
      <c r="W10" s="29" t="n"/>
      <c r="X10" s="32" t="n"/>
    </row>
    <row r="11">
      <c r="A11" s="26" t="inlineStr">
        <is>
          <t>S01</t>
        </is>
      </c>
      <c r="B11" s="26" t="inlineStr">
        <is>
          <t>태백 신규점</t>
        </is>
      </c>
      <c r="C11" s="26" t="inlineStr">
        <is>
          <t>S01-V</t>
        </is>
      </c>
      <c r="D11" s="47" t="n">
        <v>1</v>
      </c>
      <c r="E11" s="26" t="inlineStr">
        <is>
          <t>측정</t>
        </is>
      </c>
      <c r="F11" s="47" t="n">
        <v>100</v>
      </c>
      <c r="G11" s="41" t="n"/>
      <c r="H11" s="29" t="n"/>
      <c r="I11" s="43" t="n"/>
      <c r="J11" s="41" t="n"/>
      <c r="K11" s="41" t="n"/>
      <c r="L11" s="41" t="n"/>
      <c r="M11" s="31">
        <f>IF(COUNT(J11:L11)=0,"",MEDIAN(J11:L11))</f>
        <v/>
      </c>
      <c r="N11" s="26">
        <f>IF(COUNTIFS($C:$C,$C11,$D:$D,$D11,$E:$E,"기준(전)",$M:$M,"&gt;0")&lt;&gt;1,"기준(전) 유효 1개 아님",IF(COUNTIFS($C:$C,$C11,$D:$D,$D11,$E:$E,"기준(후)",$M:$M,"&gt;0")&lt;&gt;1,"기준(후) 유효 1개 아님",IF(NOT(AND(ISNUMBER(O11),ISNUMBER(Q11),ISNUMBER(I11))),"시각 결측",IF(Q11&lt;=O11,"기준 시각 역전",IF(OR(I11&lt;O11,I11&gt;Q11),"측정시각 구간 밖","OK")))))</f>
        <v/>
      </c>
      <c r="O11" s="48">
        <f>IF(COUNTIFS($C:$C,$C11,$D:$D,$D11,$E:$E,"기준(전)",$M:$M,"&gt;0")&lt;&gt;1,"",SUMIFS($I:$I,$C:$C,$C11,$D:$D,$D11,$E:$E,"기준(전)"))</f>
        <v/>
      </c>
      <c r="P11" s="31">
        <f>IF(COUNTIFS($C:$C,$C11,$D:$D,$D11,$E:$E,"기준(전)",$M:$M,"&gt;0")&lt;&gt;1,"",SUMIFS($M:$M,$C:$C,$C11,$D:$D,$D11,$E:$E,"기준(전)"))</f>
        <v/>
      </c>
      <c r="Q11" s="48">
        <f>IF(COUNTIFS($C:$C,$C11,$D:$D,$D11,$E:$E,"기준(후)",$M:$M,"&gt;0")&lt;&gt;1,"",SUMIFS($I:$I,$C:$C,$C11,$D:$D,$D11,$E:$E,"기준(후)"))</f>
        <v/>
      </c>
      <c r="R11" s="31">
        <f>IF(COUNTIFS($C:$C,$C11,$D:$D,$D11,$E:$E,"기준(후)",$M:$M,"&gt;0")&lt;&gt;1,"",SUMIFS($M:$M,$C:$C,$C11,$D:$D,$D11,$E:$E,"기준(후)"))</f>
        <v/>
      </c>
      <c r="S11" s="31">
        <f>IF(N11&lt;&gt;"OK","",P11+(R11-P11)*(I11-O11)/(Q11-O11))</f>
        <v/>
      </c>
      <c r="T11" s="31">
        <f>IF(OR(N11&lt;&gt;"OK",NOT(ISNUMBER(M11))),"",M11-S11)</f>
        <v/>
      </c>
      <c r="U11" s="49">
        <f>IF(OR($E10&lt;&gt;"측정",$C10&lt;&gt;$C11,$D10&lt;&gt;$D11,NOT(ISNUMBER(M11)),NOT(ISNUMBER(M10)),(IF(ISNUMBER(G11),G11,F11)-IF(ISNUMBER(G10),G10,F10))=0),"",(M11-M10)/((IF(ISNUMBER(G11),G11,F11)-IF(ISNUMBER(G10),G10,F10))/100))</f>
        <v/>
      </c>
      <c r="V11" s="29" t="n"/>
      <c r="W11" s="29" t="n"/>
      <c r="X11" s="32" t="n"/>
    </row>
    <row r="12">
      <c r="A12" s="26" t="inlineStr">
        <is>
          <t>S01</t>
        </is>
      </c>
      <c r="B12" s="26" t="inlineStr">
        <is>
          <t>태백 신규점</t>
        </is>
      </c>
      <c r="C12" s="26" t="inlineStr">
        <is>
          <t>S01-V</t>
        </is>
      </c>
      <c r="D12" s="47" t="n">
        <v>1</v>
      </c>
      <c r="E12" s="26" t="inlineStr">
        <is>
          <t>측정</t>
        </is>
      </c>
      <c r="F12" s="47" t="n">
        <v>120</v>
      </c>
      <c r="G12" s="41" t="n"/>
      <c r="H12" s="29" t="n"/>
      <c r="I12" s="43" t="n"/>
      <c r="J12" s="41" t="n"/>
      <c r="K12" s="41" t="n"/>
      <c r="L12" s="41" t="n"/>
      <c r="M12" s="31">
        <f>IF(COUNT(J12:L12)=0,"",MEDIAN(J12:L12))</f>
        <v/>
      </c>
      <c r="N12" s="26">
        <f>IF(COUNTIFS($C:$C,$C12,$D:$D,$D12,$E:$E,"기준(전)",$M:$M,"&gt;0")&lt;&gt;1,"기준(전) 유효 1개 아님",IF(COUNTIFS($C:$C,$C12,$D:$D,$D12,$E:$E,"기준(후)",$M:$M,"&gt;0")&lt;&gt;1,"기준(후) 유효 1개 아님",IF(NOT(AND(ISNUMBER(O12),ISNUMBER(Q12),ISNUMBER(I12))),"시각 결측",IF(Q12&lt;=O12,"기준 시각 역전",IF(OR(I12&lt;O12,I12&gt;Q12),"측정시각 구간 밖","OK")))))</f>
        <v/>
      </c>
      <c r="O12" s="48">
        <f>IF(COUNTIFS($C:$C,$C12,$D:$D,$D12,$E:$E,"기준(전)",$M:$M,"&gt;0")&lt;&gt;1,"",SUMIFS($I:$I,$C:$C,$C12,$D:$D,$D12,$E:$E,"기준(전)"))</f>
        <v/>
      </c>
      <c r="P12" s="31">
        <f>IF(COUNTIFS($C:$C,$C12,$D:$D,$D12,$E:$E,"기준(전)",$M:$M,"&gt;0")&lt;&gt;1,"",SUMIFS($M:$M,$C:$C,$C12,$D:$D,$D12,$E:$E,"기준(전)"))</f>
        <v/>
      </c>
      <c r="Q12" s="48">
        <f>IF(COUNTIFS($C:$C,$C12,$D:$D,$D12,$E:$E,"기준(후)",$M:$M,"&gt;0")&lt;&gt;1,"",SUMIFS($I:$I,$C:$C,$C12,$D:$D,$D12,$E:$E,"기준(후)"))</f>
        <v/>
      </c>
      <c r="R12" s="31">
        <f>IF(COUNTIFS($C:$C,$C12,$D:$D,$D12,$E:$E,"기준(후)",$M:$M,"&gt;0")&lt;&gt;1,"",SUMIFS($M:$M,$C:$C,$C12,$D:$D,$D12,$E:$E,"기준(후)"))</f>
        <v/>
      </c>
      <c r="S12" s="31">
        <f>IF(N12&lt;&gt;"OK","",P12+(R12-P12)*(I12-O12)/(Q12-O12))</f>
        <v/>
      </c>
      <c r="T12" s="31">
        <f>IF(OR(N12&lt;&gt;"OK",NOT(ISNUMBER(M12))),"",M12-S12)</f>
        <v/>
      </c>
      <c r="U12" s="49">
        <f>IF(OR($E11&lt;&gt;"측정",$C11&lt;&gt;$C12,$D11&lt;&gt;$D12,NOT(ISNUMBER(M12)),NOT(ISNUMBER(M11)),(IF(ISNUMBER(G12),G12,F12)-IF(ISNUMBER(G11),G11,F11))=0),"",(M12-M11)/((IF(ISNUMBER(G12),G12,F12)-IF(ISNUMBER(G11),G11,F11))/100))</f>
        <v/>
      </c>
      <c r="V12" s="29" t="n"/>
      <c r="W12" s="29" t="n"/>
      <c r="X12" s="32" t="n"/>
    </row>
    <row r="13">
      <c r="A13" s="26" t="inlineStr">
        <is>
          <t>S01</t>
        </is>
      </c>
      <c r="B13" s="26" t="inlineStr">
        <is>
          <t>태백 신규점</t>
        </is>
      </c>
      <c r="C13" s="26" t="inlineStr">
        <is>
          <t>S01-V</t>
        </is>
      </c>
      <c r="D13" s="47" t="n">
        <v>1</v>
      </c>
      <c r="E13" s="26" t="inlineStr">
        <is>
          <t>측정</t>
        </is>
      </c>
      <c r="F13" s="47" t="n">
        <v>140</v>
      </c>
      <c r="G13" s="41" t="n"/>
      <c r="H13" s="29" t="n"/>
      <c r="I13" s="43" t="n"/>
      <c r="J13" s="41" t="n"/>
      <c r="K13" s="41" t="n"/>
      <c r="L13" s="41" t="n"/>
      <c r="M13" s="31">
        <f>IF(COUNT(J13:L13)=0,"",MEDIAN(J13:L13))</f>
        <v/>
      </c>
      <c r="N13" s="26">
        <f>IF(COUNTIFS($C:$C,$C13,$D:$D,$D13,$E:$E,"기준(전)",$M:$M,"&gt;0")&lt;&gt;1,"기준(전) 유효 1개 아님",IF(COUNTIFS($C:$C,$C13,$D:$D,$D13,$E:$E,"기준(후)",$M:$M,"&gt;0")&lt;&gt;1,"기준(후) 유효 1개 아님",IF(NOT(AND(ISNUMBER(O13),ISNUMBER(Q13),ISNUMBER(I13))),"시각 결측",IF(Q13&lt;=O13,"기준 시각 역전",IF(OR(I13&lt;O13,I13&gt;Q13),"측정시각 구간 밖","OK")))))</f>
        <v/>
      </c>
      <c r="O13" s="48">
        <f>IF(COUNTIFS($C:$C,$C13,$D:$D,$D13,$E:$E,"기준(전)",$M:$M,"&gt;0")&lt;&gt;1,"",SUMIFS($I:$I,$C:$C,$C13,$D:$D,$D13,$E:$E,"기준(전)"))</f>
        <v/>
      </c>
      <c r="P13" s="31">
        <f>IF(COUNTIFS($C:$C,$C13,$D:$D,$D13,$E:$E,"기준(전)",$M:$M,"&gt;0")&lt;&gt;1,"",SUMIFS($M:$M,$C:$C,$C13,$D:$D,$D13,$E:$E,"기준(전)"))</f>
        <v/>
      </c>
      <c r="Q13" s="48">
        <f>IF(COUNTIFS($C:$C,$C13,$D:$D,$D13,$E:$E,"기준(후)",$M:$M,"&gt;0")&lt;&gt;1,"",SUMIFS($I:$I,$C:$C,$C13,$D:$D,$D13,$E:$E,"기준(후)"))</f>
        <v/>
      </c>
      <c r="R13" s="31">
        <f>IF(COUNTIFS($C:$C,$C13,$D:$D,$D13,$E:$E,"기준(후)",$M:$M,"&gt;0")&lt;&gt;1,"",SUMIFS($M:$M,$C:$C,$C13,$D:$D,$D13,$E:$E,"기준(후)"))</f>
        <v/>
      </c>
      <c r="S13" s="31">
        <f>IF(N13&lt;&gt;"OK","",P13+(R13-P13)*(I13-O13)/(Q13-O13))</f>
        <v/>
      </c>
      <c r="T13" s="31">
        <f>IF(OR(N13&lt;&gt;"OK",NOT(ISNUMBER(M13))),"",M13-S13)</f>
        <v/>
      </c>
      <c r="U13" s="49">
        <f>IF(OR($E12&lt;&gt;"측정",$C12&lt;&gt;$C13,$D12&lt;&gt;$D13,NOT(ISNUMBER(M13)),NOT(ISNUMBER(M12)),(IF(ISNUMBER(G13),G13,F13)-IF(ISNUMBER(G12),G12,F12))=0),"",(M13-M12)/((IF(ISNUMBER(G13),G13,F13)-IF(ISNUMBER(G12),G12,F12))/100))</f>
        <v/>
      </c>
      <c r="V13" s="29" t="n"/>
      <c r="W13" s="29" t="n"/>
      <c r="X13" s="32" t="n"/>
    </row>
    <row r="14">
      <c r="A14" s="26" t="inlineStr">
        <is>
          <t>S01</t>
        </is>
      </c>
      <c r="B14" s="26" t="inlineStr">
        <is>
          <t>태백 신규점</t>
        </is>
      </c>
      <c r="C14" s="26" t="inlineStr">
        <is>
          <t>S01-V</t>
        </is>
      </c>
      <c r="D14" s="47" t="n">
        <v>1</v>
      </c>
      <c r="E14" s="26" t="inlineStr">
        <is>
          <t>측정</t>
        </is>
      </c>
      <c r="F14" s="47" t="n">
        <v>160</v>
      </c>
      <c r="G14" s="41" t="n"/>
      <c r="H14" s="29" t="n"/>
      <c r="I14" s="43" t="n"/>
      <c r="J14" s="41" t="n"/>
      <c r="K14" s="41" t="n"/>
      <c r="L14" s="41" t="n"/>
      <c r="M14" s="31">
        <f>IF(COUNT(J14:L14)=0,"",MEDIAN(J14:L14))</f>
        <v/>
      </c>
      <c r="N14" s="26">
        <f>IF(COUNTIFS($C:$C,$C14,$D:$D,$D14,$E:$E,"기준(전)",$M:$M,"&gt;0")&lt;&gt;1,"기준(전) 유효 1개 아님",IF(COUNTIFS($C:$C,$C14,$D:$D,$D14,$E:$E,"기준(후)",$M:$M,"&gt;0")&lt;&gt;1,"기준(후) 유효 1개 아님",IF(NOT(AND(ISNUMBER(O14),ISNUMBER(Q14),ISNUMBER(I14))),"시각 결측",IF(Q14&lt;=O14,"기준 시각 역전",IF(OR(I14&lt;O14,I14&gt;Q14),"측정시각 구간 밖","OK")))))</f>
        <v/>
      </c>
      <c r="O14" s="48">
        <f>IF(COUNTIFS($C:$C,$C14,$D:$D,$D14,$E:$E,"기준(전)",$M:$M,"&gt;0")&lt;&gt;1,"",SUMIFS($I:$I,$C:$C,$C14,$D:$D,$D14,$E:$E,"기준(전)"))</f>
        <v/>
      </c>
      <c r="P14" s="31">
        <f>IF(COUNTIFS($C:$C,$C14,$D:$D,$D14,$E:$E,"기준(전)",$M:$M,"&gt;0")&lt;&gt;1,"",SUMIFS($M:$M,$C:$C,$C14,$D:$D,$D14,$E:$E,"기준(전)"))</f>
        <v/>
      </c>
      <c r="Q14" s="48">
        <f>IF(COUNTIFS($C:$C,$C14,$D:$D,$D14,$E:$E,"기준(후)",$M:$M,"&gt;0")&lt;&gt;1,"",SUMIFS($I:$I,$C:$C,$C14,$D:$D,$D14,$E:$E,"기준(후)"))</f>
        <v/>
      </c>
      <c r="R14" s="31">
        <f>IF(COUNTIFS($C:$C,$C14,$D:$D,$D14,$E:$E,"기준(후)",$M:$M,"&gt;0")&lt;&gt;1,"",SUMIFS($M:$M,$C:$C,$C14,$D:$D,$D14,$E:$E,"기준(후)"))</f>
        <v/>
      </c>
      <c r="S14" s="31">
        <f>IF(N14&lt;&gt;"OK","",P14+(R14-P14)*(I14-O14)/(Q14-O14))</f>
        <v/>
      </c>
      <c r="T14" s="31">
        <f>IF(OR(N14&lt;&gt;"OK",NOT(ISNUMBER(M14))),"",M14-S14)</f>
        <v/>
      </c>
      <c r="U14" s="49">
        <f>IF(OR($E13&lt;&gt;"측정",$C13&lt;&gt;$C14,$D13&lt;&gt;$D14,NOT(ISNUMBER(M14)),NOT(ISNUMBER(M13)),(IF(ISNUMBER(G14),G14,F14)-IF(ISNUMBER(G13),G13,F13))=0),"",(M14-M13)/((IF(ISNUMBER(G14),G14,F14)-IF(ISNUMBER(G13),G13,F13))/100))</f>
        <v/>
      </c>
      <c r="V14" s="29" t="n"/>
      <c r="W14" s="29" t="n"/>
      <c r="X14" s="32" t="n"/>
    </row>
    <row r="15">
      <c r="A15" s="26" t="inlineStr">
        <is>
          <t>S01</t>
        </is>
      </c>
      <c r="B15" s="26" t="inlineStr">
        <is>
          <t>태백 신규점</t>
        </is>
      </c>
      <c r="C15" s="26" t="inlineStr">
        <is>
          <t>S01-V</t>
        </is>
      </c>
      <c r="D15" s="47" t="n">
        <v>1</v>
      </c>
      <c r="E15" s="26" t="inlineStr">
        <is>
          <t>측정</t>
        </is>
      </c>
      <c r="F15" s="47" t="n">
        <v>180</v>
      </c>
      <c r="G15" s="41" t="n"/>
      <c r="H15" s="29" t="n"/>
      <c r="I15" s="43" t="n"/>
      <c r="J15" s="41" t="n"/>
      <c r="K15" s="41" t="n"/>
      <c r="L15" s="41" t="n"/>
      <c r="M15" s="31">
        <f>IF(COUNT(J15:L15)=0,"",MEDIAN(J15:L15))</f>
        <v/>
      </c>
      <c r="N15" s="26">
        <f>IF(COUNTIFS($C:$C,$C15,$D:$D,$D15,$E:$E,"기준(전)",$M:$M,"&gt;0")&lt;&gt;1,"기준(전) 유효 1개 아님",IF(COUNTIFS($C:$C,$C15,$D:$D,$D15,$E:$E,"기준(후)",$M:$M,"&gt;0")&lt;&gt;1,"기준(후) 유효 1개 아님",IF(NOT(AND(ISNUMBER(O15),ISNUMBER(Q15),ISNUMBER(I15))),"시각 결측",IF(Q15&lt;=O15,"기준 시각 역전",IF(OR(I15&lt;O15,I15&gt;Q15),"측정시각 구간 밖","OK")))))</f>
        <v/>
      </c>
      <c r="O15" s="48">
        <f>IF(COUNTIFS($C:$C,$C15,$D:$D,$D15,$E:$E,"기준(전)",$M:$M,"&gt;0")&lt;&gt;1,"",SUMIFS($I:$I,$C:$C,$C15,$D:$D,$D15,$E:$E,"기준(전)"))</f>
        <v/>
      </c>
      <c r="P15" s="31">
        <f>IF(COUNTIFS($C:$C,$C15,$D:$D,$D15,$E:$E,"기준(전)",$M:$M,"&gt;0")&lt;&gt;1,"",SUMIFS($M:$M,$C:$C,$C15,$D:$D,$D15,$E:$E,"기준(전)"))</f>
        <v/>
      </c>
      <c r="Q15" s="48">
        <f>IF(COUNTIFS($C:$C,$C15,$D:$D,$D15,$E:$E,"기준(후)",$M:$M,"&gt;0")&lt;&gt;1,"",SUMIFS($I:$I,$C:$C,$C15,$D:$D,$D15,$E:$E,"기준(후)"))</f>
        <v/>
      </c>
      <c r="R15" s="31">
        <f>IF(COUNTIFS($C:$C,$C15,$D:$D,$D15,$E:$E,"기준(후)",$M:$M,"&gt;0")&lt;&gt;1,"",SUMIFS($M:$M,$C:$C,$C15,$D:$D,$D15,$E:$E,"기준(후)"))</f>
        <v/>
      </c>
      <c r="S15" s="31">
        <f>IF(N15&lt;&gt;"OK","",P15+(R15-P15)*(I15-O15)/(Q15-O15))</f>
        <v/>
      </c>
      <c r="T15" s="31">
        <f>IF(OR(N15&lt;&gt;"OK",NOT(ISNUMBER(M15))),"",M15-S15)</f>
        <v/>
      </c>
      <c r="U15" s="49">
        <f>IF(OR($E14&lt;&gt;"측정",$C14&lt;&gt;$C15,$D14&lt;&gt;$D15,NOT(ISNUMBER(M15)),NOT(ISNUMBER(M14)),(IF(ISNUMBER(G15),G15,F15)-IF(ISNUMBER(G14),G14,F14))=0),"",(M15-M14)/((IF(ISNUMBER(G15),G15,F15)-IF(ISNUMBER(G14),G14,F14))/100))</f>
        <v/>
      </c>
      <c r="V15" s="29" t="n"/>
      <c r="W15" s="29" t="n"/>
      <c r="X15" s="32" t="n"/>
    </row>
    <row r="16">
      <c r="A16" s="26" t="inlineStr">
        <is>
          <t>S01</t>
        </is>
      </c>
      <c r="B16" s="26" t="inlineStr">
        <is>
          <t>태백 신규점</t>
        </is>
      </c>
      <c r="C16" s="26" t="inlineStr">
        <is>
          <t>S01-V</t>
        </is>
      </c>
      <c r="D16" s="47" t="n">
        <v>1</v>
      </c>
      <c r="E16" s="26" t="inlineStr">
        <is>
          <t>측정</t>
        </is>
      </c>
      <c r="F16" s="47" t="n">
        <v>200</v>
      </c>
      <c r="G16" s="41" t="n"/>
      <c r="H16" s="29" t="n"/>
      <c r="I16" s="43" t="n"/>
      <c r="J16" s="41" t="n"/>
      <c r="K16" s="41" t="n"/>
      <c r="L16" s="41" t="n"/>
      <c r="M16" s="31">
        <f>IF(COUNT(J16:L16)=0,"",MEDIAN(J16:L16))</f>
        <v/>
      </c>
      <c r="N16" s="26">
        <f>IF(COUNTIFS($C:$C,$C16,$D:$D,$D16,$E:$E,"기준(전)",$M:$M,"&gt;0")&lt;&gt;1,"기준(전) 유효 1개 아님",IF(COUNTIFS($C:$C,$C16,$D:$D,$D16,$E:$E,"기준(후)",$M:$M,"&gt;0")&lt;&gt;1,"기준(후) 유효 1개 아님",IF(NOT(AND(ISNUMBER(O16),ISNUMBER(Q16),ISNUMBER(I16))),"시각 결측",IF(Q16&lt;=O16,"기준 시각 역전",IF(OR(I16&lt;O16,I16&gt;Q16),"측정시각 구간 밖","OK")))))</f>
        <v/>
      </c>
      <c r="O16" s="48">
        <f>IF(COUNTIFS($C:$C,$C16,$D:$D,$D16,$E:$E,"기준(전)",$M:$M,"&gt;0")&lt;&gt;1,"",SUMIFS($I:$I,$C:$C,$C16,$D:$D,$D16,$E:$E,"기준(전)"))</f>
        <v/>
      </c>
      <c r="P16" s="31">
        <f>IF(COUNTIFS($C:$C,$C16,$D:$D,$D16,$E:$E,"기준(전)",$M:$M,"&gt;0")&lt;&gt;1,"",SUMIFS($M:$M,$C:$C,$C16,$D:$D,$D16,$E:$E,"기준(전)"))</f>
        <v/>
      </c>
      <c r="Q16" s="48">
        <f>IF(COUNTIFS($C:$C,$C16,$D:$D,$D16,$E:$E,"기준(후)",$M:$M,"&gt;0")&lt;&gt;1,"",SUMIFS($I:$I,$C:$C,$C16,$D:$D,$D16,$E:$E,"기준(후)"))</f>
        <v/>
      </c>
      <c r="R16" s="31">
        <f>IF(COUNTIFS($C:$C,$C16,$D:$D,$D16,$E:$E,"기준(후)",$M:$M,"&gt;0")&lt;&gt;1,"",SUMIFS($M:$M,$C:$C,$C16,$D:$D,$D16,$E:$E,"기준(후)"))</f>
        <v/>
      </c>
      <c r="S16" s="31">
        <f>IF(N16&lt;&gt;"OK","",P16+(R16-P16)*(I16-O16)/(Q16-O16))</f>
        <v/>
      </c>
      <c r="T16" s="31">
        <f>IF(OR(N16&lt;&gt;"OK",NOT(ISNUMBER(M16))),"",M16-S16)</f>
        <v/>
      </c>
      <c r="U16" s="49">
        <f>IF(OR($E15&lt;&gt;"측정",$C15&lt;&gt;$C16,$D15&lt;&gt;$D16,NOT(ISNUMBER(M16)),NOT(ISNUMBER(M15)),(IF(ISNUMBER(G16),G16,F16)-IF(ISNUMBER(G15),G15,F15))=0),"",(M16-M15)/((IF(ISNUMBER(G16),G16,F16)-IF(ISNUMBER(G15),G15,F15))/100))</f>
        <v/>
      </c>
      <c r="V16" s="29" t="n"/>
      <c r="W16" s="29" t="n"/>
      <c r="X16" s="32" t="n"/>
    </row>
    <row r="17">
      <c r="A17" s="44" t="inlineStr">
        <is>
          <t>S01</t>
        </is>
      </c>
      <c r="B17" s="44" t="inlineStr">
        <is>
          <t>태백 신규점</t>
        </is>
      </c>
      <c r="C17" s="44" t="inlineStr">
        <is>
          <t>S01-V</t>
        </is>
      </c>
      <c r="D17" s="45" t="n">
        <v>1</v>
      </c>
      <c r="E17" s="44" t="inlineStr">
        <is>
          <t>기준(후)</t>
        </is>
      </c>
      <c r="F17" s="45" t="n"/>
      <c r="G17" s="41" t="n"/>
      <c r="H17" s="29" t="n"/>
      <c r="I17" s="43" t="n"/>
      <c r="J17" s="41" t="n"/>
      <c r="K17" s="41" t="n"/>
      <c r="L17" s="41" t="n"/>
      <c r="M17" s="31">
        <f>IF(COUNT(J17:L17)=0,"",MEDIAN(J17:L17))</f>
        <v/>
      </c>
      <c r="N17" s="38" t="n"/>
      <c r="O17" s="38" t="n"/>
      <c r="P17" s="38" t="n"/>
      <c r="Q17" s="38" t="n"/>
      <c r="R17" s="38" t="n"/>
      <c r="S17" s="38" t="n"/>
      <c r="T17" s="38" t="n"/>
      <c r="U17" s="38" t="n"/>
      <c r="V17" s="29" t="n"/>
      <c r="W17" s="29" t="n"/>
      <c r="X17" s="32" t="n"/>
    </row>
    <row r="18">
      <c r="A18" s="44" t="inlineStr">
        <is>
          <t>S02</t>
        </is>
      </c>
      <c r="B18" s="44" t="inlineStr">
        <is>
          <t>임계 신규점1</t>
        </is>
      </c>
      <c r="C18" s="44" t="inlineStr">
        <is>
          <t>S02-V</t>
        </is>
      </c>
      <c r="D18" s="45" t="n">
        <v>1</v>
      </c>
      <c r="E18" s="44" t="inlineStr">
        <is>
          <t>기준(전)</t>
        </is>
      </c>
      <c r="F18" s="45" t="n"/>
      <c r="G18" s="41" t="n"/>
      <c r="H18" s="29" t="n"/>
      <c r="I18" s="43" t="n"/>
      <c r="J18" s="41" t="n"/>
      <c r="K18" s="41" t="n"/>
      <c r="L18" s="41" t="n"/>
      <c r="M18" s="31">
        <f>IF(COUNT(J18:L18)=0,"",MEDIAN(J18:L18))</f>
        <v/>
      </c>
      <c r="N18" s="38" t="n"/>
      <c r="O18" s="38" t="n"/>
      <c r="P18" s="38" t="n"/>
      <c r="Q18" s="38" t="n"/>
      <c r="R18" s="38" t="n"/>
      <c r="S18" s="38" t="n"/>
      <c r="T18" s="38" t="n"/>
      <c r="U18" s="38" t="n"/>
      <c r="V18" s="29" t="n"/>
      <c r="W18" s="29" t="n"/>
      <c r="X18" s="32" t="n"/>
    </row>
    <row r="19">
      <c r="A19" s="26" t="inlineStr">
        <is>
          <t>S02</t>
        </is>
      </c>
      <c r="B19" s="26" t="inlineStr">
        <is>
          <t>임계 신규점1</t>
        </is>
      </c>
      <c r="C19" s="26" t="inlineStr">
        <is>
          <t>S02-V</t>
        </is>
      </c>
      <c r="D19" s="47" t="n">
        <v>1</v>
      </c>
      <c r="E19" s="26" t="inlineStr">
        <is>
          <t>측정</t>
        </is>
      </c>
      <c r="F19" s="47" t="n">
        <v>20</v>
      </c>
      <c r="G19" s="41" t="n"/>
      <c r="H19" s="29" t="n"/>
      <c r="I19" s="43" t="n"/>
      <c r="J19" s="41" t="n"/>
      <c r="K19" s="41" t="n"/>
      <c r="L19" s="41" t="n"/>
      <c r="M19" s="31">
        <f>IF(COUNT(J19:L19)=0,"",MEDIAN(J19:L19))</f>
        <v/>
      </c>
      <c r="N19" s="26">
        <f>IF(COUNTIFS($C:$C,$C19,$D:$D,$D19,$E:$E,"기준(전)",$M:$M,"&gt;0")&lt;&gt;1,"기준(전) 유효 1개 아님",IF(COUNTIFS($C:$C,$C19,$D:$D,$D19,$E:$E,"기준(후)",$M:$M,"&gt;0")&lt;&gt;1,"기준(후) 유효 1개 아님",IF(NOT(AND(ISNUMBER(O19),ISNUMBER(Q19),ISNUMBER(I19))),"시각 결측",IF(Q19&lt;=O19,"기준 시각 역전",IF(OR(I19&lt;O19,I19&gt;Q19),"측정시각 구간 밖","OK")))))</f>
        <v/>
      </c>
      <c r="O19" s="48">
        <f>IF(COUNTIFS($C:$C,$C19,$D:$D,$D19,$E:$E,"기준(전)",$M:$M,"&gt;0")&lt;&gt;1,"",SUMIFS($I:$I,$C:$C,$C19,$D:$D,$D19,$E:$E,"기준(전)"))</f>
        <v/>
      </c>
      <c r="P19" s="31">
        <f>IF(COUNTIFS($C:$C,$C19,$D:$D,$D19,$E:$E,"기준(전)",$M:$M,"&gt;0")&lt;&gt;1,"",SUMIFS($M:$M,$C:$C,$C19,$D:$D,$D19,$E:$E,"기준(전)"))</f>
        <v/>
      </c>
      <c r="Q19" s="48">
        <f>IF(COUNTIFS($C:$C,$C19,$D:$D,$D19,$E:$E,"기준(후)",$M:$M,"&gt;0")&lt;&gt;1,"",SUMIFS($I:$I,$C:$C,$C19,$D:$D,$D19,$E:$E,"기준(후)"))</f>
        <v/>
      </c>
      <c r="R19" s="31">
        <f>IF(COUNTIFS($C:$C,$C19,$D:$D,$D19,$E:$E,"기준(후)",$M:$M,"&gt;0")&lt;&gt;1,"",SUMIFS($M:$M,$C:$C,$C19,$D:$D,$D19,$E:$E,"기준(후)"))</f>
        <v/>
      </c>
      <c r="S19" s="31">
        <f>IF(N19&lt;&gt;"OK","",P19+(R19-P19)*(I19-O19)/(Q19-O19))</f>
        <v/>
      </c>
      <c r="T19" s="31">
        <f>IF(OR(N19&lt;&gt;"OK",NOT(ISNUMBER(M19))),"",M19-S19)</f>
        <v/>
      </c>
      <c r="U19" s="49">
        <f>IF(OR($E18&lt;&gt;"측정",$C18&lt;&gt;$C19,$D18&lt;&gt;$D19,NOT(ISNUMBER(M19)),NOT(ISNUMBER(M18)),(IF(ISNUMBER(G19),G19,F19)-IF(ISNUMBER(G18),G18,F18))=0),"",(M19-M18)/((IF(ISNUMBER(G19),G19,F19)-IF(ISNUMBER(G18),G18,F18))/100))</f>
        <v/>
      </c>
      <c r="V19" s="29" t="n"/>
      <c r="W19" s="29" t="n"/>
      <c r="X19" s="32" t="n"/>
    </row>
    <row r="20">
      <c r="A20" s="26" t="inlineStr">
        <is>
          <t>S02</t>
        </is>
      </c>
      <c r="B20" s="26" t="inlineStr">
        <is>
          <t>임계 신규점1</t>
        </is>
      </c>
      <c r="C20" s="26" t="inlineStr">
        <is>
          <t>S02-V</t>
        </is>
      </c>
      <c r="D20" s="47" t="n">
        <v>1</v>
      </c>
      <c r="E20" s="26" t="inlineStr">
        <is>
          <t>측정</t>
        </is>
      </c>
      <c r="F20" s="47" t="n">
        <v>40</v>
      </c>
      <c r="G20" s="41" t="n"/>
      <c r="H20" s="29" t="n"/>
      <c r="I20" s="43" t="n"/>
      <c r="J20" s="41" t="n"/>
      <c r="K20" s="41" t="n"/>
      <c r="L20" s="41" t="n"/>
      <c r="M20" s="31">
        <f>IF(COUNT(J20:L20)=0,"",MEDIAN(J20:L20))</f>
        <v/>
      </c>
      <c r="N20" s="26">
        <f>IF(COUNTIFS($C:$C,$C20,$D:$D,$D20,$E:$E,"기준(전)",$M:$M,"&gt;0")&lt;&gt;1,"기준(전) 유효 1개 아님",IF(COUNTIFS($C:$C,$C20,$D:$D,$D20,$E:$E,"기준(후)",$M:$M,"&gt;0")&lt;&gt;1,"기준(후) 유효 1개 아님",IF(NOT(AND(ISNUMBER(O20),ISNUMBER(Q20),ISNUMBER(I20))),"시각 결측",IF(Q20&lt;=O20,"기준 시각 역전",IF(OR(I20&lt;O20,I20&gt;Q20),"측정시각 구간 밖","OK")))))</f>
        <v/>
      </c>
      <c r="O20" s="48">
        <f>IF(COUNTIFS($C:$C,$C20,$D:$D,$D20,$E:$E,"기준(전)",$M:$M,"&gt;0")&lt;&gt;1,"",SUMIFS($I:$I,$C:$C,$C20,$D:$D,$D20,$E:$E,"기준(전)"))</f>
        <v/>
      </c>
      <c r="P20" s="31">
        <f>IF(COUNTIFS($C:$C,$C20,$D:$D,$D20,$E:$E,"기준(전)",$M:$M,"&gt;0")&lt;&gt;1,"",SUMIFS($M:$M,$C:$C,$C20,$D:$D,$D20,$E:$E,"기준(전)"))</f>
        <v/>
      </c>
      <c r="Q20" s="48">
        <f>IF(COUNTIFS($C:$C,$C20,$D:$D,$D20,$E:$E,"기준(후)",$M:$M,"&gt;0")&lt;&gt;1,"",SUMIFS($I:$I,$C:$C,$C20,$D:$D,$D20,$E:$E,"기준(후)"))</f>
        <v/>
      </c>
      <c r="R20" s="31">
        <f>IF(COUNTIFS($C:$C,$C20,$D:$D,$D20,$E:$E,"기준(후)",$M:$M,"&gt;0")&lt;&gt;1,"",SUMIFS($M:$M,$C:$C,$C20,$D:$D,$D20,$E:$E,"기준(후)"))</f>
        <v/>
      </c>
      <c r="S20" s="31">
        <f>IF(N20&lt;&gt;"OK","",P20+(R20-P20)*(I20-O20)/(Q20-O20))</f>
        <v/>
      </c>
      <c r="T20" s="31">
        <f>IF(OR(N20&lt;&gt;"OK",NOT(ISNUMBER(M20))),"",M20-S20)</f>
        <v/>
      </c>
      <c r="U20" s="49">
        <f>IF(OR($E19&lt;&gt;"측정",$C19&lt;&gt;$C20,$D19&lt;&gt;$D20,NOT(ISNUMBER(M20)),NOT(ISNUMBER(M19)),(IF(ISNUMBER(G20),G20,F20)-IF(ISNUMBER(G19),G19,F19))=0),"",(M20-M19)/((IF(ISNUMBER(G20),G20,F20)-IF(ISNUMBER(G19),G19,F19))/100))</f>
        <v/>
      </c>
      <c r="V20" s="29" t="n"/>
      <c r="W20" s="29" t="n"/>
      <c r="X20" s="32" t="n"/>
    </row>
    <row r="21">
      <c r="A21" s="26" t="inlineStr">
        <is>
          <t>S02</t>
        </is>
      </c>
      <c r="B21" s="26" t="inlineStr">
        <is>
          <t>임계 신규점1</t>
        </is>
      </c>
      <c r="C21" s="26" t="inlineStr">
        <is>
          <t>S02-V</t>
        </is>
      </c>
      <c r="D21" s="47" t="n">
        <v>1</v>
      </c>
      <c r="E21" s="26" t="inlineStr">
        <is>
          <t>측정</t>
        </is>
      </c>
      <c r="F21" s="47" t="n">
        <v>60</v>
      </c>
      <c r="G21" s="41" t="n"/>
      <c r="H21" s="29" t="n"/>
      <c r="I21" s="43" t="n"/>
      <c r="J21" s="41" t="n"/>
      <c r="K21" s="41" t="n"/>
      <c r="L21" s="41" t="n"/>
      <c r="M21" s="31">
        <f>IF(COUNT(J21:L21)=0,"",MEDIAN(J21:L21))</f>
        <v/>
      </c>
      <c r="N21" s="26">
        <f>IF(COUNTIFS($C:$C,$C21,$D:$D,$D21,$E:$E,"기준(전)",$M:$M,"&gt;0")&lt;&gt;1,"기준(전) 유효 1개 아님",IF(COUNTIFS($C:$C,$C21,$D:$D,$D21,$E:$E,"기준(후)",$M:$M,"&gt;0")&lt;&gt;1,"기준(후) 유효 1개 아님",IF(NOT(AND(ISNUMBER(O21),ISNUMBER(Q21),ISNUMBER(I21))),"시각 결측",IF(Q21&lt;=O21,"기준 시각 역전",IF(OR(I21&lt;O21,I21&gt;Q21),"측정시각 구간 밖","OK")))))</f>
        <v/>
      </c>
      <c r="O21" s="48">
        <f>IF(COUNTIFS($C:$C,$C21,$D:$D,$D21,$E:$E,"기준(전)",$M:$M,"&gt;0")&lt;&gt;1,"",SUMIFS($I:$I,$C:$C,$C21,$D:$D,$D21,$E:$E,"기준(전)"))</f>
        <v/>
      </c>
      <c r="P21" s="31">
        <f>IF(COUNTIFS($C:$C,$C21,$D:$D,$D21,$E:$E,"기준(전)",$M:$M,"&gt;0")&lt;&gt;1,"",SUMIFS($M:$M,$C:$C,$C21,$D:$D,$D21,$E:$E,"기준(전)"))</f>
        <v/>
      </c>
      <c r="Q21" s="48">
        <f>IF(COUNTIFS($C:$C,$C21,$D:$D,$D21,$E:$E,"기준(후)",$M:$M,"&gt;0")&lt;&gt;1,"",SUMIFS($I:$I,$C:$C,$C21,$D:$D,$D21,$E:$E,"기준(후)"))</f>
        <v/>
      </c>
      <c r="R21" s="31">
        <f>IF(COUNTIFS($C:$C,$C21,$D:$D,$D21,$E:$E,"기준(후)",$M:$M,"&gt;0")&lt;&gt;1,"",SUMIFS($M:$M,$C:$C,$C21,$D:$D,$D21,$E:$E,"기준(후)"))</f>
        <v/>
      </c>
      <c r="S21" s="31">
        <f>IF(N21&lt;&gt;"OK","",P21+(R21-P21)*(I21-O21)/(Q21-O21))</f>
        <v/>
      </c>
      <c r="T21" s="31">
        <f>IF(OR(N21&lt;&gt;"OK",NOT(ISNUMBER(M21))),"",M21-S21)</f>
        <v/>
      </c>
      <c r="U21" s="49">
        <f>IF(OR($E20&lt;&gt;"측정",$C20&lt;&gt;$C21,$D20&lt;&gt;$D21,NOT(ISNUMBER(M21)),NOT(ISNUMBER(M20)),(IF(ISNUMBER(G21),G21,F21)-IF(ISNUMBER(G20),G20,F20))=0),"",(M21-M20)/((IF(ISNUMBER(G21),G21,F21)-IF(ISNUMBER(G20),G20,F20))/100))</f>
        <v/>
      </c>
      <c r="V21" s="29" t="n"/>
      <c r="W21" s="29" t="n"/>
      <c r="X21" s="32" t="n"/>
    </row>
    <row r="22">
      <c r="A22" s="26" t="inlineStr">
        <is>
          <t>S02</t>
        </is>
      </c>
      <c r="B22" s="26" t="inlineStr">
        <is>
          <t>임계 신규점1</t>
        </is>
      </c>
      <c r="C22" s="26" t="inlineStr">
        <is>
          <t>S02-V</t>
        </is>
      </c>
      <c r="D22" s="47" t="n">
        <v>1</v>
      </c>
      <c r="E22" s="26" t="inlineStr">
        <is>
          <t>측정</t>
        </is>
      </c>
      <c r="F22" s="47" t="n">
        <v>80</v>
      </c>
      <c r="G22" s="41" t="n"/>
      <c r="H22" s="29" t="n"/>
      <c r="I22" s="43" t="n"/>
      <c r="J22" s="41" t="n"/>
      <c r="K22" s="41" t="n"/>
      <c r="L22" s="41" t="n"/>
      <c r="M22" s="31">
        <f>IF(COUNT(J22:L22)=0,"",MEDIAN(J22:L22))</f>
        <v/>
      </c>
      <c r="N22" s="26">
        <f>IF(COUNTIFS($C:$C,$C22,$D:$D,$D22,$E:$E,"기준(전)",$M:$M,"&gt;0")&lt;&gt;1,"기준(전) 유효 1개 아님",IF(COUNTIFS($C:$C,$C22,$D:$D,$D22,$E:$E,"기준(후)",$M:$M,"&gt;0")&lt;&gt;1,"기준(후) 유효 1개 아님",IF(NOT(AND(ISNUMBER(O22),ISNUMBER(Q22),ISNUMBER(I22))),"시각 결측",IF(Q22&lt;=O22,"기준 시각 역전",IF(OR(I22&lt;O22,I22&gt;Q22),"측정시각 구간 밖","OK")))))</f>
        <v/>
      </c>
      <c r="O22" s="48">
        <f>IF(COUNTIFS($C:$C,$C22,$D:$D,$D22,$E:$E,"기준(전)",$M:$M,"&gt;0")&lt;&gt;1,"",SUMIFS($I:$I,$C:$C,$C22,$D:$D,$D22,$E:$E,"기준(전)"))</f>
        <v/>
      </c>
      <c r="P22" s="31">
        <f>IF(COUNTIFS($C:$C,$C22,$D:$D,$D22,$E:$E,"기준(전)",$M:$M,"&gt;0")&lt;&gt;1,"",SUMIFS($M:$M,$C:$C,$C22,$D:$D,$D22,$E:$E,"기준(전)"))</f>
        <v/>
      </c>
      <c r="Q22" s="48">
        <f>IF(COUNTIFS($C:$C,$C22,$D:$D,$D22,$E:$E,"기준(후)",$M:$M,"&gt;0")&lt;&gt;1,"",SUMIFS($I:$I,$C:$C,$C22,$D:$D,$D22,$E:$E,"기준(후)"))</f>
        <v/>
      </c>
      <c r="R22" s="31">
        <f>IF(COUNTIFS($C:$C,$C22,$D:$D,$D22,$E:$E,"기준(후)",$M:$M,"&gt;0")&lt;&gt;1,"",SUMIFS($M:$M,$C:$C,$C22,$D:$D,$D22,$E:$E,"기준(후)"))</f>
        <v/>
      </c>
      <c r="S22" s="31">
        <f>IF(N22&lt;&gt;"OK","",P22+(R22-P22)*(I22-O22)/(Q22-O22))</f>
        <v/>
      </c>
      <c r="T22" s="31">
        <f>IF(OR(N22&lt;&gt;"OK",NOT(ISNUMBER(M22))),"",M22-S22)</f>
        <v/>
      </c>
      <c r="U22" s="49">
        <f>IF(OR($E21&lt;&gt;"측정",$C21&lt;&gt;$C22,$D21&lt;&gt;$D22,NOT(ISNUMBER(M22)),NOT(ISNUMBER(M21)),(IF(ISNUMBER(G22),G22,F22)-IF(ISNUMBER(G21),G21,F21))=0),"",(M22-M21)/((IF(ISNUMBER(G22),G22,F22)-IF(ISNUMBER(G21),G21,F21))/100))</f>
        <v/>
      </c>
      <c r="V22" s="29" t="n"/>
      <c r="W22" s="29" t="n"/>
      <c r="X22" s="32" t="n"/>
    </row>
    <row r="23">
      <c r="A23" s="26" t="inlineStr">
        <is>
          <t>S02</t>
        </is>
      </c>
      <c r="B23" s="26" t="inlineStr">
        <is>
          <t>임계 신규점1</t>
        </is>
      </c>
      <c r="C23" s="26" t="inlineStr">
        <is>
          <t>S02-V</t>
        </is>
      </c>
      <c r="D23" s="47" t="n">
        <v>1</v>
      </c>
      <c r="E23" s="26" t="inlineStr">
        <is>
          <t>측정</t>
        </is>
      </c>
      <c r="F23" s="47" t="n">
        <v>100</v>
      </c>
      <c r="G23" s="41" t="n"/>
      <c r="H23" s="29" t="n"/>
      <c r="I23" s="43" t="n"/>
      <c r="J23" s="41" t="n"/>
      <c r="K23" s="41" t="n"/>
      <c r="L23" s="41" t="n"/>
      <c r="M23" s="31">
        <f>IF(COUNT(J23:L23)=0,"",MEDIAN(J23:L23))</f>
        <v/>
      </c>
      <c r="N23" s="26">
        <f>IF(COUNTIFS($C:$C,$C23,$D:$D,$D23,$E:$E,"기준(전)",$M:$M,"&gt;0")&lt;&gt;1,"기준(전) 유효 1개 아님",IF(COUNTIFS($C:$C,$C23,$D:$D,$D23,$E:$E,"기준(후)",$M:$M,"&gt;0")&lt;&gt;1,"기준(후) 유효 1개 아님",IF(NOT(AND(ISNUMBER(O23),ISNUMBER(Q23),ISNUMBER(I23))),"시각 결측",IF(Q23&lt;=O23,"기준 시각 역전",IF(OR(I23&lt;O23,I23&gt;Q23),"측정시각 구간 밖","OK")))))</f>
        <v/>
      </c>
      <c r="O23" s="48">
        <f>IF(COUNTIFS($C:$C,$C23,$D:$D,$D23,$E:$E,"기준(전)",$M:$M,"&gt;0")&lt;&gt;1,"",SUMIFS($I:$I,$C:$C,$C23,$D:$D,$D23,$E:$E,"기준(전)"))</f>
        <v/>
      </c>
      <c r="P23" s="31">
        <f>IF(COUNTIFS($C:$C,$C23,$D:$D,$D23,$E:$E,"기준(전)",$M:$M,"&gt;0")&lt;&gt;1,"",SUMIFS($M:$M,$C:$C,$C23,$D:$D,$D23,$E:$E,"기준(전)"))</f>
        <v/>
      </c>
      <c r="Q23" s="48">
        <f>IF(COUNTIFS($C:$C,$C23,$D:$D,$D23,$E:$E,"기준(후)",$M:$M,"&gt;0")&lt;&gt;1,"",SUMIFS($I:$I,$C:$C,$C23,$D:$D,$D23,$E:$E,"기준(후)"))</f>
        <v/>
      </c>
      <c r="R23" s="31">
        <f>IF(COUNTIFS($C:$C,$C23,$D:$D,$D23,$E:$E,"기준(후)",$M:$M,"&gt;0")&lt;&gt;1,"",SUMIFS($M:$M,$C:$C,$C23,$D:$D,$D23,$E:$E,"기준(후)"))</f>
        <v/>
      </c>
      <c r="S23" s="31">
        <f>IF(N23&lt;&gt;"OK","",P23+(R23-P23)*(I23-O23)/(Q23-O23))</f>
        <v/>
      </c>
      <c r="T23" s="31">
        <f>IF(OR(N23&lt;&gt;"OK",NOT(ISNUMBER(M23))),"",M23-S23)</f>
        <v/>
      </c>
      <c r="U23" s="49">
        <f>IF(OR($E22&lt;&gt;"측정",$C22&lt;&gt;$C23,$D22&lt;&gt;$D23,NOT(ISNUMBER(M23)),NOT(ISNUMBER(M22)),(IF(ISNUMBER(G23),G23,F23)-IF(ISNUMBER(G22),G22,F22))=0),"",(M23-M22)/((IF(ISNUMBER(G23),G23,F23)-IF(ISNUMBER(G22),G22,F22))/100))</f>
        <v/>
      </c>
      <c r="V23" s="29" t="n"/>
      <c r="W23" s="29" t="n"/>
      <c r="X23" s="32" t="n"/>
    </row>
    <row r="24">
      <c r="A24" s="26" t="inlineStr">
        <is>
          <t>S02</t>
        </is>
      </c>
      <c r="B24" s="26" t="inlineStr">
        <is>
          <t>임계 신규점1</t>
        </is>
      </c>
      <c r="C24" s="26" t="inlineStr">
        <is>
          <t>S02-V</t>
        </is>
      </c>
      <c r="D24" s="47" t="n">
        <v>1</v>
      </c>
      <c r="E24" s="26" t="inlineStr">
        <is>
          <t>측정</t>
        </is>
      </c>
      <c r="F24" s="47" t="n">
        <v>120</v>
      </c>
      <c r="G24" s="41" t="n"/>
      <c r="H24" s="29" t="n"/>
      <c r="I24" s="43" t="n"/>
      <c r="J24" s="41" t="n"/>
      <c r="K24" s="41" t="n"/>
      <c r="L24" s="41" t="n"/>
      <c r="M24" s="31">
        <f>IF(COUNT(J24:L24)=0,"",MEDIAN(J24:L24))</f>
        <v/>
      </c>
      <c r="N24" s="26">
        <f>IF(COUNTIFS($C:$C,$C24,$D:$D,$D24,$E:$E,"기준(전)",$M:$M,"&gt;0")&lt;&gt;1,"기준(전) 유효 1개 아님",IF(COUNTIFS($C:$C,$C24,$D:$D,$D24,$E:$E,"기준(후)",$M:$M,"&gt;0")&lt;&gt;1,"기준(후) 유효 1개 아님",IF(NOT(AND(ISNUMBER(O24),ISNUMBER(Q24),ISNUMBER(I24))),"시각 결측",IF(Q24&lt;=O24,"기준 시각 역전",IF(OR(I24&lt;O24,I24&gt;Q24),"측정시각 구간 밖","OK")))))</f>
        <v/>
      </c>
      <c r="O24" s="48">
        <f>IF(COUNTIFS($C:$C,$C24,$D:$D,$D24,$E:$E,"기준(전)",$M:$M,"&gt;0")&lt;&gt;1,"",SUMIFS($I:$I,$C:$C,$C24,$D:$D,$D24,$E:$E,"기준(전)"))</f>
        <v/>
      </c>
      <c r="P24" s="31">
        <f>IF(COUNTIFS($C:$C,$C24,$D:$D,$D24,$E:$E,"기준(전)",$M:$M,"&gt;0")&lt;&gt;1,"",SUMIFS($M:$M,$C:$C,$C24,$D:$D,$D24,$E:$E,"기준(전)"))</f>
        <v/>
      </c>
      <c r="Q24" s="48">
        <f>IF(COUNTIFS($C:$C,$C24,$D:$D,$D24,$E:$E,"기준(후)",$M:$M,"&gt;0")&lt;&gt;1,"",SUMIFS($I:$I,$C:$C,$C24,$D:$D,$D24,$E:$E,"기준(후)"))</f>
        <v/>
      </c>
      <c r="R24" s="31">
        <f>IF(COUNTIFS($C:$C,$C24,$D:$D,$D24,$E:$E,"기준(후)",$M:$M,"&gt;0")&lt;&gt;1,"",SUMIFS($M:$M,$C:$C,$C24,$D:$D,$D24,$E:$E,"기준(후)"))</f>
        <v/>
      </c>
      <c r="S24" s="31">
        <f>IF(N24&lt;&gt;"OK","",P24+(R24-P24)*(I24-O24)/(Q24-O24))</f>
        <v/>
      </c>
      <c r="T24" s="31">
        <f>IF(OR(N24&lt;&gt;"OK",NOT(ISNUMBER(M24))),"",M24-S24)</f>
        <v/>
      </c>
      <c r="U24" s="49">
        <f>IF(OR($E23&lt;&gt;"측정",$C23&lt;&gt;$C24,$D23&lt;&gt;$D24,NOT(ISNUMBER(M24)),NOT(ISNUMBER(M23)),(IF(ISNUMBER(G24),G24,F24)-IF(ISNUMBER(G23),G23,F23))=0),"",(M24-M23)/((IF(ISNUMBER(G24),G24,F24)-IF(ISNUMBER(G23),G23,F23))/100))</f>
        <v/>
      </c>
      <c r="V24" s="29" t="n"/>
      <c r="W24" s="29" t="n"/>
      <c r="X24" s="32" t="n"/>
    </row>
    <row r="25">
      <c r="A25" s="26" t="inlineStr">
        <is>
          <t>S02</t>
        </is>
      </c>
      <c r="B25" s="26" t="inlineStr">
        <is>
          <t>임계 신규점1</t>
        </is>
      </c>
      <c r="C25" s="26" t="inlineStr">
        <is>
          <t>S02-V</t>
        </is>
      </c>
      <c r="D25" s="47" t="n">
        <v>1</v>
      </c>
      <c r="E25" s="26" t="inlineStr">
        <is>
          <t>측정</t>
        </is>
      </c>
      <c r="F25" s="47" t="n">
        <v>140</v>
      </c>
      <c r="G25" s="41" t="n"/>
      <c r="H25" s="29" t="n"/>
      <c r="I25" s="43" t="n"/>
      <c r="J25" s="41" t="n"/>
      <c r="K25" s="41" t="n"/>
      <c r="L25" s="41" t="n"/>
      <c r="M25" s="31">
        <f>IF(COUNT(J25:L25)=0,"",MEDIAN(J25:L25))</f>
        <v/>
      </c>
      <c r="N25" s="26">
        <f>IF(COUNTIFS($C:$C,$C25,$D:$D,$D25,$E:$E,"기준(전)",$M:$M,"&gt;0")&lt;&gt;1,"기준(전) 유효 1개 아님",IF(COUNTIFS($C:$C,$C25,$D:$D,$D25,$E:$E,"기준(후)",$M:$M,"&gt;0")&lt;&gt;1,"기준(후) 유효 1개 아님",IF(NOT(AND(ISNUMBER(O25),ISNUMBER(Q25),ISNUMBER(I25))),"시각 결측",IF(Q25&lt;=O25,"기준 시각 역전",IF(OR(I25&lt;O25,I25&gt;Q25),"측정시각 구간 밖","OK")))))</f>
        <v/>
      </c>
      <c r="O25" s="48">
        <f>IF(COUNTIFS($C:$C,$C25,$D:$D,$D25,$E:$E,"기준(전)",$M:$M,"&gt;0")&lt;&gt;1,"",SUMIFS($I:$I,$C:$C,$C25,$D:$D,$D25,$E:$E,"기준(전)"))</f>
        <v/>
      </c>
      <c r="P25" s="31">
        <f>IF(COUNTIFS($C:$C,$C25,$D:$D,$D25,$E:$E,"기준(전)",$M:$M,"&gt;0")&lt;&gt;1,"",SUMIFS($M:$M,$C:$C,$C25,$D:$D,$D25,$E:$E,"기준(전)"))</f>
        <v/>
      </c>
      <c r="Q25" s="48">
        <f>IF(COUNTIFS($C:$C,$C25,$D:$D,$D25,$E:$E,"기준(후)",$M:$M,"&gt;0")&lt;&gt;1,"",SUMIFS($I:$I,$C:$C,$C25,$D:$D,$D25,$E:$E,"기준(후)"))</f>
        <v/>
      </c>
      <c r="R25" s="31">
        <f>IF(COUNTIFS($C:$C,$C25,$D:$D,$D25,$E:$E,"기준(후)",$M:$M,"&gt;0")&lt;&gt;1,"",SUMIFS($M:$M,$C:$C,$C25,$D:$D,$D25,$E:$E,"기준(후)"))</f>
        <v/>
      </c>
      <c r="S25" s="31">
        <f>IF(N25&lt;&gt;"OK","",P25+(R25-P25)*(I25-O25)/(Q25-O25))</f>
        <v/>
      </c>
      <c r="T25" s="31">
        <f>IF(OR(N25&lt;&gt;"OK",NOT(ISNUMBER(M25))),"",M25-S25)</f>
        <v/>
      </c>
      <c r="U25" s="49">
        <f>IF(OR($E24&lt;&gt;"측정",$C24&lt;&gt;$C25,$D24&lt;&gt;$D25,NOT(ISNUMBER(M25)),NOT(ISNUMBER(M24)),(IF(ISNUMBER(G25),G25,F25)-IF(ISNUMBER(G24),G24,F24))=0),"",(M25-M24)/((IF(ISNUMBER(G25),G25,F25)-IF(ISNUMBER(G24),G24,F24))/100))</f>
        <v/>
      </c>
      <c r="V25" s="29" t="n"/>
      <c r="W25" s="29" t="n"/>
      <c r="X25" s="32" t="n"/>
    </row>
    <row r="26">
      <c r="A26" s="26" t="inlineStr">
        <is>
          <t>S02</t>
        </is>
      </c>
      <c r="B26" s="26" t="inlineStr">
        <is>
          <t>임계 신규점1</t>
        </is>
      </c>
      <c r="C26" s="26" t="inlineStr">
        <is>
          <t>S02-V</t>
        </is>
      </c>
      <c r="D26" s="47" t="n">
        <v>1</v>
      </c>
      <c r="E26" s="26" t="inlineStr">
        <is>
          <t>측정</t>
        </is>
      </c>
      <c r="F26" s="47" t="n">
        <v>160</v>
      </c>
      <c r="G26" s="41" t="n"/>
      <c r="H26" s="29" t="n"/>
      <c r="I26" s="43" t="n"/>
      <c r="J26" s="41" t="n"/>
      <c r="K26" s="41" t="n"/>
      <c r="L26" s="41" t="n"/>
      <c r="M26" s="31">
        <f>IF(COUNT(J26:L26)=0,"",MEDIAN(J26:L26))</f>
        <v/>
      </c>
      <c r="N26" s="26">
        <f>IF(COUNTIFS($C:$C,$C26,$D:$D,$D26,$E:$E,"기준(전)",$M:$M,"&gt;0")&lt;&gt;1,"기준(전) 유효 1개 아님",IF(COUNTIFS($C:$C,$C26,$D:$D,$D26,$E:$E,"기준(후)",$M:$M,"&gt;0")&lt;&gt;1,"기준(후) 유효 1개 아님",IF(NOT(AND(ISNUMBER(O26),ISNUMBER(Q26),ISNUMBER(I26))),"시각 결측",IF(Q26&lt;=O26,"기준 시각 역전",IF(OR(I26&lt;O26,I26&gt;Q26),"측정시각 구간 밖","OK")))))</f>
        <v/>
      </c>
      <c r="O26" s="48">
        <f>IF(COUNTIFS($C:$C,$C26,$D:$D,$D26,$E:$E,"기준(전)",$M:$M,"&gt;0")&lt;&gt;1,"",SUMIFS($I:$I,$C:$C,$C26,$D:$D,$D26,$E:$E,"기준(전)"))</f>
        <v/>
      </c>
      <c r="P26" s="31">
        <f>IF(COUNTIFS($C:$C,$C26,$D:$D,$D26,$E:$E,"기준(전)",$M:$M,"&gt;0")&lt;&gt;1,"",SUMIFS($M:$M,$C:$C,$C26,$D:$D,$D26,$E:$E,"기준(전)"))</f>
        <v/>
      </c>
      <c r="Q26" s="48">
        <f>IF(COUNTIFS($C:$C,$C26,$D:$D,$D26,$E:$E,"기준(후)",$M:$M,"&gt;0")&lt;&gt;1,"",SUMIFS($I:$I,$C:$C,$C26,$D:$D,$D26,$E:$E,"기준(후)"))</f>
        <v/>
      </c>
      <c r="R26" s="31">
        <f>IF(COUNTIFS($C:$C,$C26,$D:$D,$D26,$E:$E,"기준(후)",$M:$M,"&gt;0")&lt;&gt;1,"",SUMIFS($M:$M,$C:$C,$C26,$D:$D,$D26,$E:$E,"기준(후)"))</f>
        <v/>
      </c>
      <c r="S26" s="31">
        <f>IF(N26&lt;&gt;"OK","",P26+(R26-P26)*(I26-O26)/(Q26-O26))</f>
        <v/>
      </c>
      <c r="T26" s="31">
        <f>IF(OR(N26&lt;&gt;"OK",NOT(ISNUMBER(M26))),"",M26-S26)</f>
        <v/>
      </c>
      <c r="U26" s="49">
        <f>IF(OR($E25&lt;&gt;"측정",$C25&lt;&gt;$C26,$D25&lt;&gt;$D26,NOT(ISNUMBER(M26)),NOT(ISNUMBER(M25)),(IF(ISNUMBER(G26),G26,F26)-IF(ISNUMBER(G25),G25,F25))=0),"",(M26-M25)/((IF(ISNUMBER(G26),G26,F26)-IF(ISNUMBER(G25),G25,F25))/100))</f>
        <v/>
      </c>
      <c r="V26" s="29" t="n"/>
      <c r="W26" s="29" t="n"/>
      <c r="X26" s="32" t="n"/>
    </row>
    <row r="27">
      <c r="A27" s="26" t="inlineStr">
        <is>
          <t>S02</t>
        </is>
      </c>
      <c r="B27" s="26" t="inlineStr">
        <is>
          <t>임계 신규점1</t>
        </is>
      </c>
      <c r="C27" s="26" t="inlineStr">
        <is>
          <t>S02-V</t>
        </is>
      </c>
      <c r="D27" s="47" t="n">
        <v>1</v>
      </c>
      <c r="E27" s="26" t="inlineStr">
        <is>
          <t>측정</t>
        </is>
      </c>
      <c r="F27" s="47" t="n">
        <v>180</v>
      </c>
      <c r="G27" s="41" t="n"/>
      <c r="H27" s="29" t="n"/>
      <c r="I27" s="43" t="n"/>
      <c r="J27" s="41" t="n"/>
      <c r="K27" s="41" t="n"/>
      <c r="L27" s="41" t="n"/>
      <c r="M27" s="31">
        <f>IF(COUNT(J27:L27)=0,"",MEDIAN(J27:L27))</f>
        <v/>
      </c>
      <c r="N27" s="26">
        <f>IF(COUNTIFS($C:$C,$C27,$D:$D,$D27,$E:$E,"기준(전)",$M:$M,"&gt;0")&lt;&gt;1,"기준(전) 유효 1개 아님",IF(COUNTIFS($C:$C,$C27,$D:$D,$D27,$E:$E,"기준(후)",$M:$M,"&gt;0")&lt;&gt;1,"기준(후) 유효 1개 아님",IF(NOT(AND(ISNUMBER(O27),ISNUMBER(Q27),ISNUMBER(I27))),"시각 결측",IF(Q27&lt;=O27,"기준 시각 역전",IF(OR(I27&lt;O27,I27&gt;Q27),"측정시각 구간 밖","OK")))))</f>
        <v/>
      </c>
      <c r="O27" s="48">
        <f>IF(COUNTIFS($C:$C,$C27,$D:$D,$D27,$E:$E,"기준(전)",$M:$M,"&gt;0")&lt;&gt;1,"",SUMIFS($I:$I,$C:$C,$C27,$D:$D,$D27,$E:$E,"기준(전)"))</f>
        <v/>
      </c>
      <c r="P27" s="31">
        <f>IF(COUNTIFS($C:$C,$C27,$D:$D,$D27,$E:$E,"기준(전)",$M:$M,"&gt;0")&lt;&gt;1,"",SUMIFS($M:$M,$C:$C,$C27,$D:$D,$D27,$E:$E,"기준(전)"))</f>
        <v/>
      </c>
      <c r="Q27" s="48">
        <f>IF(COUNTIFS($C:$C,$C27,$D:$D,$D27,$E:$E,"기준(후)",$M:$M,"&gt;0")&lt;&gt;1,"",SUMIFS($I:$I,$C:$C,$C27,$D:$D,$D27,$E:$E,"기준(후)"))</f>
        <v/>
      </c>
      <c r="R27" s="31">
        <f>IF(COUNTIFS($C:$C,$C27,$D:$D,$D27,$E:$E,"기준(후)",$M:$M,"&gt;0")&lt;&gt;1,"",SUMIFS($M:$M,$C:$C,$C27,$D:$D,$D27,$E:$E,"기준(후)"))</f>
        <v/>
      </c>
      <c r="S27" s="31">
        <f>IF(N27&lt;&gt;"OK","",P27+(R27-P27)*(I27-O27)/(Q27-O27))</f>
        <v/>
      </c>
      <c r="T27" s="31">
        <f>IF(OR(N27&lt;&gt;"OK",NOT(ISNUMBER(M27))),"",M27-S27)</f>
        <v/>
      </c>
      <c r="U27" s="49">
        <f>IF(OR($E26&lt;&gt;"측정",$C26&lt;&gt;$C27,$D26&lt;&gt;$D27,NOT(ISNUMBER(M27)),NOT(ISNUMBER(M26)),(IF(ISNUMBER(G27),G27,F27)-IF(ISNUMBER(G26),G26,F26))=0),"",(M27-M26)/((IF(ISNUMBER(G27),G27,F27)-IF(ISNUMBER(G26),G26,F26))/100))</f>
        <v/>
      </c>
      <c r="V27" s="29" t="n"/>
      <c r="W27" s="29" t="n"/>
      <c r="X27" s="32" t="n"/>
    </row>
    <row r="28">
      <c r="A28" s="26" t="inlineStr">
        <is>
          <t>S02</t>
        </is>
      </c>
      <c r="B28" s="26" t="inlineStr">
        <is>
          <t>임계 신규점1</t>
        </is>
      </c>
      <c r="C28" s="26" t="inlineStr">
        <is>
          <t>S02-V</t>
        </is>
      </c>
      <c r="D28" s="47" t="n">
        <v>1</v>
      </c>
      <c r="E28" s="26" t="inlineStr">
        <is>
          <t>측정</t>
        </is>
      </c>
      <c r="F28" s="47" t="n">
        <v>200</v>
      </c>
      <c r="G28" s="41" t="n"/>
      <c r="H28" s="29" t="n"/>
      <c r="I28" s="43" t="n"/>
      <c r="J28" s="41" t="n"/>
      <c r="K28" s="41" t="n"/>
      <c r="L28" s="41" t="n"/>
      <c r="M28" s="31">
        <f>IF(COUNT(J28:L28)=0,"",MEDIAN(J28:L28))</f>
        <v/>
      </c>
      <c r="N28" s="26">
        <f>IF(COUNTIFS($C:$C,$C28,$D:$D,$D28,$E:$E,"기준(전)",$M:$M,"&gt;0")&lt;&gt;1,"기준(전) 유효 1개 아님",IF(COUNTIFS($C:$C,$C28,$D:$D,$D28,$E:$E,"기준(후)",$M:$M,"&gt;0")&lt;&gt;1,"기준(후) 유효 1개 아님",IF(NOT(AND(ISNUMBER(O28),ISNUMBER(Q28),ISNUMBER(I28))),"시각 결측",IF(Q28&lt;=O28,"기준 시각 역전",IF(OR(I28&lt;O28,I28&gt;Q28),"측정시각 구간 밖","OK")))))</f>
        <v/>
      </c>
      <c r="O28" s="48">
        <f>IF(COUNTIFS($C:$C,$C28,$D:$D,$D28,$E:$E,"기준(전)",$M:$M,"&gt;0")&lt;&gt;1,"",SUMIFS($I:$I,$C:$C,$C28,$D:$D,$D28,$E:$E,"기준(전)"))</f>
        <v/>
      </c>
      <c r="P28" s="31">
        <f>IF(COUNTIFS($C:$C,$C28,$D:$D,$D28,$E:$E,"기준(전)",$M:$M,"&gt;0")&lt;&gt;1,"",SUMIFS($M:$M,$C:$C,$C28,$D:$D,$D28,$E:$E,"기준(전)"))</f>
        <v/>
      </c>
      <c r="Q28" s="48">
        <f>IF(COUNTIFS($C:$C,$C28,$D:$D,$D28,$E:$E,"기준(후)",$M:$M,"&gt;0")&lt;&gt;1,"",SUMIFS($I:$I,$C:$C,$C28,$D:$D,$D28,$E:$E,"기준(후)"))</f>
        <v/>
      </c>
      <c r="R28" s="31">
        <f>IF(COUNTIFS($C:$C,$C28,$D:$D,$D28,$E:$E,"기준(후)",$M:$M,"&gt;0")&lt;&gt;1,"",SUMIFS($M:$M,$C:$C,$C28,$D:$D,$D28,$E:$E,"기준(후)"))</f>
        <v/>
      </c>
      <c r="S28" s="31">
        <f>IF(N28&lt;&gt;"OK","",P28+(R28-P28)*(I28-O28)/(Q28-O28))</f>
        <v/>
      </c>
      <c r="T28" s="31">
        <f>IF(OR(N28&lt;&gt;"OK",NOT(ISNUMBER(M28))),"",M28-S28)</f>
        <v/>
      </c>
      <c r="U28" s="49">
        <f>IF(OR($E27&lt;&gt;"측정",$C27&lt;&gt;$C28,$D27&lt;&gt;$D28,NOT(ISNUMBER(M28)),NOT(ISNUMBER(M27)),(IF(ISNUMBER(G28),G28,F28)-IF(ISNUMBER(G27),G27,F27))=0),"",(M28-M27)/((IF(ISNUMBER(G28),G28,F28)-IF(ISNUMBER(G27),G27,F27))/100))</f>
        <v/>
      </c>
      <c r="V28" s="29" t="n"/>
      <c r="W28" s="29" t="n"/>
      <c r="X28" s="32" t="n"/>
    </row>
    <row r="29">
      <c r="A29" s="44" t="inlineStr">
        <is>
          <t>S02</t>
        </is>
      </c>
      <c r="B29" s="44" t="inlineStr">
        <is>
          <t>임계 신규점1</t>
        </is>
      </c>
      <c r="C29" s="44" t="inlineStr">
        <is>
          <t>S02-V</t>
        </is>
      </c>
      <c r="D29" s="45" t="n">
        <v>1</v>
      </c>
      <c r="E29" s="44" t="inlineStr">
        <is>
          <t>기준(후)</t>
        </is>
      </c>
      <c r="F29" s="45" t="n"/>
      <c r="G29" s="41" t="n"/>
      <c r="H29" s="29" t="n"/>
      <c r="I29" s="43" t="n"/>
      <c r="J29" s="41" t="n"/>
      <c r="K29" s="41" t="n"/>
      <c r="L29" s="41" t="n"/>
      <c r="M29" s="31">
        <f>IF(COUNT(J29:L29)=0,"",MEDIAN(J29:L29))</f>
        <v/>
      </c>
      <c r="N29" s="38" t="n"/>
      <c r="O29" s="38" t="n"/>
      <c r="P29" s="38" t="n"/>
      <c r="Q29" s="38" t="n"/>
      <c r="R29" s="38" t="n"/>
      <c r="S29" s="38" t="n"/>
      <c r="T29" s="38" t="n"/>
      <c r="U29" s="38" t="n"/>
      <c r="V29" s="29" t="n"/>
      <c r="W29" s="29" t="n"/>
      <c r="X29" s="32" t="n"/>
    </row>
    <row r="30">
      <c r="A30" s="44" t="inlineStr">
        <is>
          <t>S03</t>
        </is>
      </c>
      <c r="B30" s="44" t="inlineStr">
        <is>
          <t>예산 신규점2</t>
        </is>
      </c>
      <c r="C30" s="44" t="inlineStr">
        <is>
          <t>S03-V</t>
        </is>
      </c>
      <c r="D30" s="45" t="n">
        <v>1</v>
      </c>
      <c r="E30" s="44" t="inlineStr">
        <is>
          <t>기준(전)</t>
        </is>
      </c>
      <c r="F30" s="45" t="n"/>
      <c r="G30" s="41" t="n"/>
      <c r="H30" s="29" t="n"/>
      <c r="I30" s="43" t="n"/>
      <c r="J30" s="41" t="n"/>
      <c r="K30" s="41" t="n"/>
      <c r="L30" s="41" t="n"/>
      <c r="M30" s="31">
        <f>IF(COUNT(J30:L30)=0,"",MEDIAN(J30:L30))</f>
        <v/>
      </c>
      <c r="N30" s="38" t="n"/>
      <c r="O30" s="38" t="n"/>
      <c r="P30" s="38" t="n"/>
      <c r="Q30" s="38" t="n"/>
      <c r="R30" s="38" t="n"/>
      <c r="S30" s="38" t="n"/>
      <c r="T30" s="38" t="n"/>
      <c r="U30" s="38" t="n"/>
      <c r="V30" s="29" t="n"/>
      <c r="W30" s="29" t="n"/>
      <c r="X30" s="32" t="n"/>
    </row>
    <row r="31">
      <c r="A31" s="26" t="inlineStr">
        <is>
          <t>S03</t>
        </is>
      </c>
      <c r="B31" s="26" t="inlineStr">
        <is>
          <t>예산 신규점2</t>
        </is>
      </c>
      <c r="C31" s="26" t="inlineStr">
        <is>
          <t>S03-V</t>
        </is>
      </c>
      <c r="D31" s="47" t="n">
        <v>1</v>
      </c>
      <c r="E31" s="26" t="inlineStr">
        <is>
          <t>측정</t>
        </is>
      </c>
      <c r="F31" s="47" t="n">
        <v>20</v>
      </c>
      <c r="G31" s="41" t="n"/>
      <c r="H31" s="29" t="n"/>
      <c r="I31" s="43" t="n"/>
      <c r="J31" s="41" t="n"/>
      <c r="K31" s="41" t="n"/>
      <c r="L31" s="41" t="n"/>
      <c r="M31" s="31">
        <f>IF(COUNT(J31:L31)=0,"",MEDIAN(J31:L31))</f>
        <v/>
      </c>
      <c r="N31" s="26">
        <f>IF(COUNTIFS($C:$C,$C31,$D:$D,$D31,$E:$E,"기준(전)",$M:$M,"&gt;0")&lt;&gt;1,"기준(전) 유효 1개 아님",IF(COUNTIFS($C:$C,$C31,$D:$D,$D31,$E:$E,"기준(후)",$M:$M,"&gt;0")&lt;&gt;1,"기준(후) 유효 1개 아님",IF(NOT(AND(ISNUMBER(O31),ISNUMBER(Q31),ISNUMBER(I31))),"시각 결측",IF(Q31&lt;=O31,"기준 시각 역전",IF(OR(I31&lt;O31,I31&gt;Q31),"측정시각 구간 밖","OK")))))</f>
        <v/>
      </c>
      <c r="O31" s="48">
        <f>IF(COUNTIFS($C:$C,$C31,$D:$D,$D31,$E:$E,"기준(전)",$M:$M,"&gt;0")&lt;&gt;1,"",SUMIFS($I:$I,$C:$C,$C31,$D:$D,$D31,$E:$E,"기준(전)"))</f>
        <v/>
      </c>
      <c r="P31" s="31">
        <f>IF(COUNTIFS($C:$C,$C31,$D:$D,$D31,$E:$E,"기준(전)",$M:$M,"&gt;0")&lt;&gt;1,"",SUMIFS($M:$M,$C:$C,$C31,$D:$D,$D31,$E:$E,"기준(전)"))</f>
        <v/>
      </c>
      <c r="Q31" s="48">
        <f>IF(COUNTIFS($C:$C,$C31,$D:$D,$D31,$E:$E,"기준(후)",$M:$M,"&gt;0")&lt;&gt;1,"",SUMIFS($I:$I,$C:$C,$C31,$D:$D,$D31,$E:$E,"기준(후)"))</f>
        <v/>
      </c>
      <c r="R31" s="31">
        <f>IF(COUNTIFS($C:$C,$C31,$D:$D,$D31,$E:$E,"기준(후)",$M:$M,"&gt;0")&lt;&gt;1,"",SUMIFS($M:$M,$C:$C,$C31,$D:$D,$D31,$E:$E,"기준(후)"))</f>
        <v/>
      </c>
      <c r="S31" s="31">
        <f>IF(N31&lt;&gt;"OK","",P31+(R31-P31)*(I31-O31)/(Q31-O31))</f>
        <v/>
      </c>
      <c r="T31" s="31">
        <f>IF(OR(N31&lt;&gt;"OK",NOT(ISNUMBER(M31))),"",M31-S31)</f>
        <v/>
      </c>
      <c r="U31" s="49">
        <f>IF(OR($E30&lt;&gt;"측정",$C30&lt;&gt;$C31,$D30&lt;&gt;$D31,NOT(ISNUMBER(M31)),NOT(ISNUMBER(M30)),(IF(ISNUMBER(G31),G31,F31)-IF(ISNUMBER(G30),G30,F30))=0),"",(M31-M30)/((IF(ISNUMBER(G31),G31,F31)-IF(ISNUMBER(G30),G30,F30))/100))</f>
        <v/>
      </c>
      <c r="V31" s="29" t="n"/>
      <c r="W31" s="29" t="n"/>
      <c r="X31" s="32" t="n"/>
    </row>
    <row r="32">
      <c r="A32" s="26" t="inlineStr">
        <is>
          <t>S03</t>
        </is>
      </c>
      <c r="B32" s="26" t="inlineStr">
        <is>
          <t>예산 신규점2</t>
        </is>
      </c>
      <c r="C32" s="26" t="inlineStr">
        <is>
          <t>S03-V</t>
        </is>
      </c>
      <c r="D32" s="47" t="n">
        <v>1</v>
      </c>
      <c r="E32" s="26" t="inlineStr">
        <is>
          <t>측정</t>
        </is>
      </c>
      <c r="F32" s="47" t="n">
        <v>40</v>
      </c>
      <c r="G32" s="41" t="n"/>
      <c r="H32" s="29" t="n"/>
      <c r="I32" s="43" t="n"/>
      <c r="J32" s="41" t="n"/>
      <c r="K32" s="41" t="n"/>
      <c r="L32" s="41" t="n"/>
      <c r="M32" s="31">
        <f>IF(COUNT(J32:L32)=0,"",MEDIAN(J32:L32))</f>
        <v/>
      </c>
      <c r="N32" s="26">
        <f>IF(COUNTIFS($C:$C,$C32,$D:$D,$D32,$E:$E,"기준(전)",$M:$M,"&gt;0")&lt;&gt;1,"기준(전) 유효 1개 아님",IF(COUNTIFS($C:$C,$C32,$D:$D,$D32,$E:$E,"기준(후)",$M:$M,"&gt;0")&lt;&gt;1,"기준(후) 유효 1개 아님",IF(NOT(AND(ISNUMBER(O32),ISNUMBER(Q32),ISNUMBER(I32))),"시각 결측",IF(Q32&lt;=O32,"기준 시각 역전",IF(OR(I32&lt;O32,I32&gt;Q32),"측정시각 구간 밖","OK")))))</f>
        <v/>
      </c>
      <c r="O32" s="48">
        <f>IF(COUNTIFS($C:$C,$C32,$D:$D,$D32,$E:$E,"기준(전)",$M:$M,"&gt;0")&lt;&gt;1,"",SUMIFS($I:$I,$C:$C,$C32,$D:$D,$D32,$E:$E,"기준(전)"))</f>
        <v/>
      </c>
      <c r="P32" s="31">
        <f>IF(COUNTIFS($C:$C,$C32,$D:$D,$D32,$E:$E,"기준(전)",$M:$M,"&gt;0")&lt;&gt;1,"",SUMIFS($M:$M,$C:$C,$C32,$D:$D,$D32,$E:$E,"기준(전)"))</f>
        <v/>
      </c>
      <c r="Q32" s="48">
        <f>IF(COUNTIFS($C:$C,$C32,$D:$D,$D32,$E:$E,"기준(후)",$M:$M,"&gt;0")&lt;&gt;1,"",SUMIFS($I:$I,$C:$C,$C32,$D:$D,$D32,$E:$E,"기준(후)"))</f>
        <v/>
      </c>
      <c r="R32" s="31">
        <f>IF(COUNTIFS($C:$C,$C32,$D:$D,$D32,$E:$E,"기준(후)",$M:$M,"&gt;0")&lt;&gt;1,"",SUMIFS($M:$M,$C:$C,$C32,$D:$D,$D32,$E:$E,"기준(후)"))</f>
        <v/>
      </c>
      <c r="S32" s="31">
        <f>IF(N32&lt;&gt;"OK","",P32+(R32-P32)*(I32-O32)/(Q32-O32))</f>
        <v/>
      </c>
      <c r="T32" s="31">
        <f>IF(OR(N32&lt;&gt;"OK",NOT(ISNUMBER(M32))),"",M32-S32)</f>
        <v/>
      </c>
      <c r="U32" s="49">
        <f>IF(OR($E31&lt;&gt;"측정",$C31&lt;&gt;$C32,$D31&lt;&gt;$D32,NOT(ISNUMBER(M32)),NOT(ISNUMBER(M31)),(IF(ISNUMBER(G32),G32,F32)-IF(ISNUMBER(G31),G31,F31))=0),"",(M32-M31)/((IF(ISNUMBER(G32),G32,F32)-IF(ISNUMBER(G31),G31,F31))/100))</f>
        <v/>
      </c>
      <c r="V32" s="29" t="n"/>
      <c r="W32" s="29" t="n"/>
      <c r="X32" s="32" t="n"/>
    </row>
    <row r="33">
      <c r="A33" s="26" t="inlineStr">
        <is>
          <t>S03</t>
        </is>
      </c>
      <c r="B33" s="26" t="inlineStr">
        <is>
          <t>예산 신규점2</t>
        </is>
      </c>
      <c r="C33" s="26" t="inlineStr">
        <is>
          <t>S03-V</t>
        </is>
      </c>
      <c r="D33" s="47" t="n">
        <v>1</v>
      </c>
      <c r="E33" s="26" t="inlineStr">
        <is>
          <t>측정</t>
        </is>
      </c>
      <c r="F33" s="47" t="n">
        <v>60</v>
      </c>
      <c r="G33" s="41" t="n"/>
      <c r="H33" s="29" t="n"/>
      <c r="I33" s="43" t="n"/>
      <c r="J33" s="41" t="n"/>
      <c r="K33" s="41" t="n"/>
      <c r="L33" s="41" t="n"/>
      <c r="M33" s="31">
        <f>IF(COUNT(J33:L33)=0,"",MEDIAN(J33:L33))</f>
        <v/>
      </c>
      <c r="N33" s="26">
        <f>IF(COUNTIFS($C:$C,$C33,$D:$D,$D33,$E:$E,"기준(전)",$M:$M,"&gt;0")&lt;&gt;1,"기준(전) 유효 1개 아님",IF(COUNTIFS($C:$C,$C33,$D:$D,$D33,$E:$E,"기준(후)",$M:$M,"&gt;0")&lt;&gt;1,"기준(후) 유효 1개 아님",IF(NOT(AND(ISNUMBER(O33),ISNUMBER(Q33),ISNUMBER(I33))),"시각 결측",IF(Q33&lt;=O33,"기준 시각 역전",IF(OR(I33&lt;O33,I33&gt;Q33),"측정시각 구간 밖","OK")))))</f>
        <v/>
      </c>
      <c r="O33" s="48">
        <f>IF(COUNTIFS($C:$C,$C33,$D:$D,$D33,$E:$E,"기준(전)",$M:$M,"&gt;0")&lt;&gt;1,"",SUMIFS($I:$I,$C:$C,$C33,$D:$D,$D33,$E:$E,"기준(전)"))</f>
        <v/>
      </c>
      <c r="P33" s="31">
        <f>IF(COUNTIFS($C:$C,$C33,$D:$D,$D33,$E:$E,"기준(전)",$M:$M,"&gt;0")&lt;&gt;1,"",SUMIFS($M:$M,$C:$C,$C33,$D:$D,$D33,$E:$E,"기준(전)"))</f>
        <v/>
      </c>
      <c r="Q33" s="48">
        <f>IF(COUNTIFS($C:$C,$C33,$D:$D,$D33,$E:$E,"기준(후)",$M:$M,"&gt;0")&lt;&gt;1,"",SUMIFS($I:$I,$C:$C,$C33,$D:$D,$D33,$E:$E,"기준(후)"))</f>
        <v/>
      </c>
      <c r="R33" s="31">
        <f>IF(COUNTIFS($C:$C,$C33,$D:$D,$D33,$E:$E,"기준(후)",$M:$M,"&gt;0")&lt;&gt;1,"",SUMIFS($M:$M,$C:$C,$C33,$D:$D,$D33,$E:$E,"기준(후)"))</f>
        <v/>
      </c>
      <c r="S33" s="31">
        <f>IF(N33&lt;&gt;"OK","",P33+(R33-P33)*(I33-O33)/(Q33-O33))</f>
        <v/>
      </c>
      <c r="T33" s="31">
        <f>IF(OR(N33&lt;&gt;"OK",NOT(ISNUMBER(M33))),"",M33-S33)</f>
        <v/>
      </c>
      <c r="U33" s="49">
        <f>IF(OR($E32&lt;&gt;"측정",$C32&lt;&gt;$C33,$D32&lt;&gt;$D33,NOT(ISNUMBER(M33)),NOT(ISNUMBER(M32)),(IF(ISNUMBER(G33),G33,F33)-IF(ISNUMBER(G32),G32,F32))=0),"",(M33-M32)/((IF(ISNUMBER(G33),G33,F33)-IF(ISNUMBER(G32),G32,F32))/100))</f>
        <v/>
      </c>
      <c r="V33" s="29" t="n"/>
      <c r="W33" s="29" t="n"/>
      <c r="X33" s="32" t="n"/>
    </row>
    <row r="34">
      <c r="A34" s="26" t="inlineStr">
        <is>
          <t>S03</t>
        </is>
      </c>
      <c r="B34" s="26" t="inlineStr">
        <is>
          <t>예산 신규점2</t>
        </is>
      </c>
      <c r="C34" s="26" t="inlineStr">
        <is>
          <t>S03-V</t>
        </is>
      </c>
      <c r="D34" s="47" t="n">
        <v>1</v>
      </c>
      <c r="E34" s="26" t="inlineStr">
        <is>
          <t>측정</t>
        </is>
      </c>
      <c r="F34" s="47" t="n">
        <v>80</v>
      </c>
      <c r="G34" s="41" t="n"/>
      <c r="H34" s="29" t="n"/>
      <c r="I34" s="43" t="n"/>
      <c r="J34" s="41" t="n"/>
      <c r="K34" s="41" t="n"/>
      <c r="L34" s="41" t="n"/>
      <c r="M34" s="31">
        <f>IF(COUNT(J34:L34)=0,"",MEDIAN(J34:L34))</f>
        <v/>
      </c>
      <c r="N34" s="26">
        <f>IF(COUNTIFS($C:$C,$C34,$D:$D,$D34,$E:$E,"기준(전)",$M:$M,"&gt;0")&lt;&gt;1,"기준(전) 유효 1개 아님",IF(COUNTIFS($C:$C,$C34,$D:$D,$D34,$E:$E,"기준(후)",$M:$M,"&gt;0")&lt;&gt;1,"기준(후) 유효 1개 아님",IF(NOT(AND(ISNUMBER(O34),ISNUMBER(Q34),ISNUMBER(I34))),"시각 결측",IF(Q34&lt;=O34,"기준 시각 역전",IF(OR(I34&lt;O34,I34&gt;Q34),"측정시각 구간 밖","OK")))))</f>
        <v/>
      </c>
      <c r="O34" s="48">
        <f>IF(COUNTIFS($C:$C,$C34,$D:$D,$D34,$E:$E,"기준(전)",$M:$M,"&gt;0")&lt;&gt;1,"",SUMIFS($I:$I,$C:$C,$C34,$D:$D,$D34,$E:$E,"기준(전)"))</f>
        <v/>
      </c>
      <c r="P34" s="31">
        <f>IF(COUNTIFS($C:$C,$C34,$D:$D,$D34,$E:$E,"기준(전)",$M:$M,"&gt;0")&lt;&gt;1,"",SUMIFS($M:$M,$C:$C,$C34,$D:$D,$D34,$E:$E,"기준(전)"))</f>
        <v/>
      </c>
      <c r="Q34" s="48">
        <f>IF(COUNTIFS($C:$C,$C34,$D:$D,$D34,$E:$E,"기준(후)",$M:$M,"&gt;0")&lt;&gt;1,"",SUMIFS($I:$I,$C:$C,$C34,$D:$D,$D34,$E:$E,"기준(후)"))</f>
        <v/>
      </c>
      <c r="R34" s="31">
        <f>IF(COUNTIFS($C:$C,$C34,$D:$D,$D34,$E:$E,"기준(후)",$M:$M,"&gt;0")&lt;&gt;1,"",SUMIFS($M:$M,$C:$C,$C34,$D:$D,$D34,$E:$E,"기준(후)"))</f>
        <v/>
      </c>
      <c r="S34" s="31">
        <f>IF(N34&lt;&gt;"OK","",P34+(R34-P34)*(I34-O34)/(Q34-O34))</f>
        <v/>
      </c>
      <c r="T34" s="31">
        <f>IF(OR(N34&lt;&gt;"OK",NOT(ISNUMBER(M34))),"",M34-S34)</f>
        <v/>
      </c>
      <c r="U34" s="49">
        <f>IF(OR($E33&lt;&gt;"측정",$C33&lt;&gt;$C34,$D33&lt;&gt;$D34,NOT(ISNUMBER(M34)),NOT(ISNUMBER(M33)),(IF(ISNUMBER(G34),G34,F34)-IF(ISNUMBER(G33),G33,F33))=0),"",(M34-M33)/((IF(ISNUMBER(G34),G34,F34)-IF(ISNUMBER(G33),G33,F33))/100))</f>
        <v/>
      </c>
      <c r="V34" s="29" t="n"/>
      <c r="W34" s="29" t="n"/>
      <c r="X34" s="32" t="n"/>
    </row>
    <row r="35">
      <c r="A35" s="26" t="inlineStr">
        <is>
          <t>S03</t>
        </is>
      </c>
      <c r="B35" s="26" t="inlineStr">
        <is>
          <t>예산 신규점2</t>
        </is>
      </c>
      <c r="C35" s="26" t="inlineStr">
        <is>
          <t>S03-V</t>
        </is>
      </c>
      <c r="D35" s="47" t="n">
        <v>1</v>
      </c>
      <c r="E35" s="26" t="inlineStr">
        <is>
          <t>측정</t>
        </is>
      </c>
      <c r="F35" s="47" t="n">
        <v>100</v>
      </c>
      <c r="G35" s="41" t="n"/>
      <c r="H35" s="29" t="n"/>
      <c r="I35" s="43" t="n"/>
      <c r="J35" s="41" t="n"/>
      <c r="K35" s="41" t="n"/>
      <c r="L35" s="41" t="n"/>
      <c r="M35" s="31">
        <f>IF(COUNT(J35:L35)=0,"",MEDIAN(J35:L35))</f>
        <v/>
      </c>
      <c r="N35" s="26">
        <f>IF(COUNTIFS($C:$C,$C35,$D:$D,$D35,$E:$E,"기준(전)",$M:$M,"&gt;0")&lt;&gt;1,"기준(전) 유효 1개 아님",IF(COUNTIFS($C:$C,$C35,$D:$D,$D35,$E:$E,"기준(후)",$M:$M,"&gt;0")&lt;&gt;1,"기준(후) 유효 1개 아님",IF(NOT(AND(ISNUMBER(O35),ISNUMBER(Q35),ISNUMBER(I35))),"시각 결측",IF(Q35&lt;=O35,"기준 시각 역전",IF(OR(I35&lt;O35,I35&gt;Q35),"측정시각 구간 밖","OK")))))</f>
        <v/>
      </c>
      <c r="O35" s="48">
        <f>IF(COUNTIFS($C:$C,$C35,$D:$D,$D35,$E:$E,"기준(전)",$M:$M,"&gt;0")&lt;&gt;1,"",SUMIFS($I:$I,$C:$C,$C35,$D:$D,$D35,$E:$E,"기준(전)"))</f>
        <v/>
      </c>
      <c r="P35" s="31">
        <f>IF(COUNTIFS($C:$C,$C35,$D:$D,$D35,$E:$E,"기준(전)",$M:$M,"&gt;0")&lt;&gt;1,"",SUMIFS($M:$M,$C:$C,$C35,$D:$D,$D35,$E:$E,"기준(전)"))</f>
        <v/>
      </c>
      <c r="Q35" s="48">
        <f>IF(COUNTIFS($C:$C,$C35,$D:$D,$D35,$E:$E,"기준(후)",$M:$M,"&gt;0")&lt;&gt;1,"",SUMIFS($I:$I,$C:$C,$C35,$D:$D,$D35,$E:$E,"기준(후)"))</f>
        <v/>
      </c>
      <c r="R35" s="31">
        <f>IF(COUNTIFS($C:$C,$C35,$D:$D,$D35,$E:$E,"기준(후)",$M:$M,"&gt;0")&lt;&gt;1,"",SUMIFS($M:$M,$C:$C,$C35,$D:$D,$D35,$E:$E,"기준(후)"))</f>
        <v/>
      </c>
      <c r="S35" s="31">
        <f>IF(N35&lt;&gt;"OK","",P35+(R35-P35)*(I35-O35)/(Q35-O35))</f>
        <v/>
      </c>
      <c r="T35" s="31">
        <f>IF(OR(N35&lt;&gt;"OK",NOT(ISNUMBER(M35))),"",M35-S35)</f>
        <v/>
      </c>
      <c r="U35" s="49">
        <f>IF(OR($E34&lt;&gt;"측정",$C34&lt;&gt;$C35,$D34&lt;&gt;$D35,NOT(ISNUMBER(M35)),NOT(ISNUMBER(M34)),(IF(ISNUMBER(G35),G35,F35)-IF(ISNUMBER(G34),G34,F34))=0),"",(M35-M34)/((IF(ISNUMBER(G35),G35,F35)-IF(ISNUMBER(G34),G34,F34))/100))</f>
        <v/>
      </c>
      <c r="V35" s="29" t="n"/>
      <c r="W35" s="29" t="n"/>
      <c r="X35" s="32" t="n"/>
    </row>
    <row r="36">
      <c r="A36" s="26" t="inlineStr">
        <is>
          <t>S03</t>
        </is>
      </c>
      <c r="B36" s="26" t="inlineStr">
        <is>
          <t>예산 신규점2</t>
        </is>
      </c>
      <c r="C36" s="26" t="inlineStr">
        <is>
          <t>S03-V</t>
        </is>
      </c>
      <c r="D36" s="47" t="n">
        <v>1</v>
      </c>
      <c r="E36" s="26" t="inlineStr">
        <is>
          <t>측정</t>
        </is>
      </c>
      <c r="F36" s="47" t="n">
        <v>120</v>
      </c>
      <c r="G36" s="41" t="n"/>
      <c r="H36" s="29" t="n"/>
      <c r="I36" s="43" t="n"/>
      <c r="J36" s="41" t="n"/>
      <c r="K36" s="41" t="n"/>
      <c r="L36" s="41" t="n"/>
      <c r="M36" s="31">
        <f>IF(COUNT(J36:L36)=0,"",MEDIAN(J36:L36))</f>
        <v/>
      </c>
      <c r="N36" s="26">
        <f>IF(COUNTIFS($C:$C,$C36,$D:$D,$D36,$E:$E,"기준(전)",$M:$M,"&gt;0")&lt;&gt;1,"기준(전) 유효 1개 아님",IF(COUNTIFS($C:$C,$C36,$D:$D,$D36,$E:$E,"기준(후)",$M:$M,"&gt;0")&lt;&gt;1,"기준(후) 유효 1개 아님",IF(NOT(AND(ISNUMBER(O36),ISNUMBER(Q36),ISNUMBER(I36))),"시각 결측",IF(Q36&lt;=O36,"기준 시각 역전",IF(OR(I36&lt;O36,I36&gt;Q36),"측정시각 구간 밖","OK")))))</f>
        <v/>
      </c>
      <c r="O36" s="48">
        <f>IF(COUNTIFS($C:$C,$C36,$D:$D,$D36,$E:$E,"기준(전)",$M:$M,"&gt;0")&lt;&gt;1,"",SUMIFS($I:$I,$C:$C,$C36,$D:$D,$D36,$E:$E,"기준(전)"))</f>
        <v/>
      </c>
      <c r="P36" s="31">
        <f>IF(COUNTIFS($C:$C,$C36,$D:$D,$D36,$E:$E,"기준(전)",$M:$M,"&gt;0")&lt;&gt;1,"",SUMIFS($M:$M,$C:$C,$C36,$D:$D,$D36,$E:$E,"기준(전)"))</f>
        <v/>
      </c>
      <c r="Q36" s="48">
        <f>IF(COUNTIFS($C:$C,$C36,$D:$D,$D36,$E:$E,"기준(후)",$M:$M,"&gt;0")&lt;&gt;1,"",SUMIFS($I:$I,$C:$C,$C36,$D:$D,$D36,$E:$E,"기준(후)"))</f>
        <v/>
      </c>
      <c r="R36" s="31">
        <f>IF(COUNTIFS($C:$C,$C36,$D:$D,$D36,$E:$E,"기준(후)",$M:$M,"&gt;0")&lt;&gt;1,"",SUMIFS($M:$M,$C:$C,$C36,$D:$D,$D36,$E:$E,"기준(후)"))</f>
        <v/>
      </c>
      <c r="S36" s="31">
        <f>IF(N36&lt;&gt;"OK","",P36+(R36-P36)*(I36-O36)/(Q36-O36))</f>
        <v/>
      </c>
      <c r="T36" s="31">
        <f>IF(OR(N36&lt;&gt;"OK",NOT(ISNUMBER(M36))),"",M36-S36)</f>
        <v/>
      </c>
      <c r="U36" s="49">
        <f>IF(OR($E35&lt;&gt;"측정",$C35&lt;&gt;$C36,$D35&lt;&gt;$D36,NOT(ISNUMBER(M36)),NOT(ISNUMBER(M35)),(IF(ISNUMBER(G36),G36,F36)-IF(ISNUMBER(G35),G35,F35))=0),"",(M36-M35)/((IF(ISNUMBER(G36),G36,F36)-IF(ISNUMBER(G35),G35,F35))/100))</f>
        <v/>
      </c>
      <c r="V36" s="29" t="n"/>
      <c r="W36" s="29" t="n"/>
      <c r="X36" s="32" t="n"/>
    </row>
    <row r="37">
      <c r="A37" s="26" t="inlineStr">
        <is>
          <t>S03</t>
        </is>
      </c>
      <c r="B37" s="26" t="inlineStr">
        <is>
          <t>예산 신규점2</t>
        </is>
      </c>
      <c r="C37" s="26" t="inlineStr">
        <is>
          <t>S03-V</t>
        </is>
      </c>
      <c r="D37" s="47" t="n">
        <v>1</v>
      </c>
      <c r="E37" s="26" t="inlineStr">
        <is>
          <t>측정</t>
        </is>
      </c>
      <c r="F37" s="47" t="n">
        <v>140</v>
      </c>
      <c r="G37" s="41" t="n"/>
      <c r="H37" s="29" t="n"/>
      <c r="I37" s="43" t="n"/>
      <c r="J37" s="41" t="n"/>
      <c r="K37" s="41" t="n"/>
      <c r="L37" s="41" t="n"/>
      <c r="M37" s="31">
        <f>IF(COUNT(J37:L37)=0,"",MEDIAN(J37:L37))</f>
        <v/>
      </c>
      <c r="N37" s="26">
        <f>IF(COUNTIFS($C:$C,$C37,$D:$D,$D37,$E:$E,"기준(전)",$M:$M,"&gt;0")&lt;&gt;1,"기준(전) 유효 1개 아님",IF(COUNTIFS($C:$C,$C37,$D:$D,$D37,$E:$E,"기준(후)",$M:$M,"&gt;0")&lt;&gt;1,"기준(후) 유효 1개 아님",IF(NOT(AND(ISNUMBER(O37),ISNUMBER(Q37),ISNUMBER(I37))),"시각 결측",IF(Q37&lt;=O37,"기준 시각 역전",IF(OR(I37&lt;O37,I37&gt;Q37),"측정시각 구간 밖","OK")))))</f>
        <v/>
      </c>
      <c r="O37" s="48">
        <f>IF(COUNTIFS($C:$C,$C37,$D:$D,$D37,$E:$E,"기준(전)",$M:$M,"&gt;0")&lt;&gt;1,"",SUMIFS($I:$I,$C:$C,$C37,$D:$D,$D37,$E:$E,"기준(전)"))</f>
        <v/>
      </c>
      <c r="P37" s="31">
        <f>IF(COUNTIFS($C:$C,$C37,$D:$D,$D37,$E:$E,"기준(전)",$M:$M,"&gt;0")&lt;&gt;1,"",SUMIFS($M:$M,$C:$C,$C37,$D:$D,$D37,$E:$E,"기준(전)"))</f>
        <v/>
      </c>
      <c r="Q37" s="48">
        <f>IF(COUNTIFS($C:$C,$C37,$D:$D,$D37,$E:$E,"기준(후)",$M:$M,"&gt;0")&lt;&gt;1,"",SUMIFS($I:$I,$C:$C,$C37,$D:$D,$D37,$E:$E,"기준(후)"))</f>
        <v/>
      </c>
      <c r="R37" s="31">
        <f>IF(COUNTIFS($C:$C,$C37,$D:$D,$D37,$E:$E,"기준(후)",$M:$M,"&gt;0")&lt;&gt;1,"",SUMIFS($M:$M,$C:$C,$C37,$D:$D,$D37,$E:$E,"기준(후)"))</f>
        <v/>
      </c>
      <c r="S37" s="31">
        <f>IF(N37&lt;&gt;"OK","",P37+(R37-P37)*(I37-O37)/(Q37-O37))</f>
        <v/>
      </c>
      <c r="T37" s="31">
        <f>IF(OR(N37&lt;&gt;"OK",NOT(ISNUMBER(M37))),"",M37-S37)</f>
        <v/>
      </c>
      <c r="U37" s="49">
        <f>IF(OR($E36&lt;&gt;"측정",$C36&lt;&gt;$C37,$D36&lt;&gt;$D37,NOT(ISNUMBER(M37)),NOT(ISNUMBER(M36)),(IF(ISNUMBER(G37),G37,F37)-IF(ISNUMBER(G36),G36,F36))=0),"",(M37-M36)/((IF(ISNUMBER(G37),G37,F37)-IF(ISNUMBER(G36),G36,F36))/100))</f>
        <v/>
      </c>
      <c r="V37" s="29" t="n"/>
      <c r="W37" s="29" t="n"/>
      <c r="X37" s="32" t="n"/>
    </row>
    <row r="38">
      <c r="A38" s="26" t="inlineStr">
        <is>
          <t>S03</t>
        </is>
      </c>
      <c r="B38" s="26" t="inlineStr">
        <is>
          <t>예산 신규점2</t>
        </is>
      </c>
      <c r="C38" s="26" t="inlineStr">
        <is>
          <t>S03-V</t>
        </is>
      </c>
      <c r="D38" s="47" t="n">
        <v>1</v>
      </c>
      <c r="E38" s="26" t="inlineStr">
        <is>
          <t>측정</t>
        </is>
      </c>
      <c r="F38" s="47" t="n">
        <v>160</v>
      </c>
      <c r="G38" s="41" t="n"/>
      <c r="H38" s="29" t="n"/>
      <c r="I38" s="43" t="n"/>
      <c r="J38" s="41" t="n"/>
      <c r="K38" s="41" t="n"/>
      <c r="L38" s="41" t="n"/>
      <c r="M38" s="31">
        <f>IF(COUNT(J38:L38)=0,"",MEDIAN(J38:L38))</f>
        <v/>
      </c>
      <c r="N38" s="26">
        <f>IF(COUNTIFS($C:$C,$C38,$D:$D,$D38,$E:$E,"기준(전)",$M:$M,"&gt;0")&lt;&gt;1,"기준(전) 유효 1개 아님",IF(COUNTIFS($C:$C,$C38,$D:$D,$D38,$E:$E,"기준(후)",$M:$M,"&gt;0")&lt;&gt;1,"기준(후) 유효 1개 아님",IF(NOT(AND(ISNUMBER(O38),ISNUMBER(Q38),ISNUMBER(I38))),"시각 결측",IF(Q38&lt;=O38,"기준 시각 역전",IF(OR(I38&lt;O38,I38&gt;Q38),"측정시각 구간 밖","OK")))))</f>
        <v/>
      </c>
      <c r="O38" s="48">
        <f>IF(COUNTIFS($C:$C,$C38,$D:$D,$D38,$E:$E,"기준(전)",$M:$M,"&gt;0")&lt;&gt;1,"",SUMIFS($I:$I,$C:$C,$C38,$D:$D,$D38,$E:$E,"기준(전)"))</f>
        <v/>
      </c>
      <c r="P38" s="31">
        <f>IF(COUNTIFS($C:$C,$C38,$D:$D,$D38,$E:$E,"기준(전)",$M:$M,"&gt;0")&lt;&gt;1,"",SUMIFS($M:$M,$C:$C,$C38,$D:$D,$D38,$E:$E,"기준(전)"))</f>
        <v/>
      </c>
      <c r="Q38" s="48">
        <f>IF(COUNTIFS($C:$C,$C38,$D:$D,$D38,$E:$E,"기준(후)",$M:$M,"&gt;0")&lt;&gt;1,"",SUMIFS($I:$I,$C:$C,$C38,$D:$D,$D38,$E:$E,"기준(후)"))</f>
        <v/>
      </c>
      <c r="R38" s="31">
        <f>IF(COUNTIFS($C:$C,$C38,$D:$D,$D38,$E:$E,"기준(후)",$M:$M,"&gt;0")&lt;&gt;1,"",SUMIFS($M:$M,$C:$C,$C38,$D:$D,$D38,$E:$E,"기준(후)"))</f>
        <v/>
      </c>
      <c r="S38" s="31">
        <f>IF(N38&lt;&gt;"OK","",P38+(R38-P38)*(I38-O38)/(Q38-O38))</f>
        <v/>
      </c>
      <c r="T38" s="31">
        <f>IF(OR(N38&lt;&gt;"OK",NOT(ISNUMBER(M38))),"",M38-S38)</f>
        <v/>
      </c>
      <c r="U38" s="49">
        <f>IF(OR($E37&lt;&gt;"측정",$C37&lt;&gt;$C38,$D37&lt;&gt;$D38,NOT(ISNUMBER(M38)),NOT(ISNUMBER(M37)),(IF(ISNUMBER(G38),G38,F38)-IF(ISNUMBER(G37),G37,F37))=0),"",(M38-M37)/((IF(ISNUMBER(G38),G38,F38)-IF(ISNUMBER(G37),G37,F37))/100))</f>
        <v/>
      </c>
      <c r="V38" s="29" t="n"/>
      <c r="W38" s="29" t="n"/>
      <c r="X38" s="32" t="n"/>
    </row>
    <row r="39">
      <c r="A39" s="26" t="inlineStr">
        <is>
          <t>S03</t>
        </is>
      </c>
      <c r="B39" s="26" t="inlineStr">
        <is>
          <t>예산 신규점2</t>
        </is>
      </c>
      <c r="C39" s="26" t="inlineStr">
        <is>
          <t>S03-V</t>
        </is>
      </c>
      <c r="D39" s="47" t="n">
        <v>1</v>
      </c>
      <c r="E39" s="26" t="inlineStr">
        <is>
          <t>측정</t>
        </is>
      </c>
      <c r="F39" s="47" t="n">
        <v>180</v>
      </c>
      <c r="G39" s="41" t="n"/>
      <c r="H39" s="29" t="n"/>
      <c r="I39" s="43" t="n"/>
      <c r="J39" s="41" t="n"/>
      <c r="K39" s="41" t="n"/>
      <c r="L39" s="41" t="n"/>
      <c r="M39" s="31">
        <f>IF(COUNT(J39:L39)=0,"",MEDIAN(J39:L39))</f>
        <v/>
      </c>
      <c r="N39" s="26">
        <f>IF(COUNTIFS($C:$C,$C39,$D:$D,$D39,$E:$E,"기준(전)",$M:$M,"&gt;0")&lt;&gt;1,"기준(전) 유효 1개 아님",IF(COUNTIFS($C:$C,$C39,$D:$D,$D39,$E:$E,"기준(후)",$M:$M,"&gt;0")&lt;&gt;1,"기준(후) 유효 1개 아님",IF(NOT(AND(ISNUMBER(O39),ISNUMBER(Q39),ISNUMBER(I39))),"시각 결측",IF(Q39&lt;=O39,"기준 시각 역전",IF(OR(I39&lt;O39,I39&gt;Q39),"측정시각 구간 밖","OK")))))</f>
        <v/>
      </c>
      <c r="O39" s="48">
        <f>IF(COUNTIFS($C:$C,$C39,$D:$D,$D39,$E:$E,"기준(전)",$M:$M,"&gt;0")&lt;&gt;1,"",SUMIFS($I:$I,$C:$C,$C39,$D:$D,$D39,$E:$E,"기준(전)"))</f>
        <v/>
      </c>
      <c r="P39" s="31">
        <f>IF(COUNTIFS($C:$C,$C39,$D:$D,$D39,$E:$E,"기준(전)",$M:$M,"&gt;0")&lt;&gt;1,"",SUMIFS($M:$M,$C:$C,$C39,$D:$D,$D39,$E:$E,"기준(전)"))</f>
        <v/>
      </c>
      <c r="Q39" s="48">
        <f>IF(COUNTIFS($C:$C,$C39,$D:$D,$D39,$E:$E,"기준(후)",$M:$M,"&gt;0")&lt;&gt;1,"",SUMIFS($I:$I,$C:$C,$C39,$D:$D,$D39,$E:$E,"기준(후)"))</f>
        <v/>
      </c>
      <c r="R39" s="31">
        <f>IF(COUNTIFS($C:$C,$C39,$D:$D,$D39,$E:$E,"기준(후)",$M:$M,"&gt;0")&lt;&gt;1,"",SUMIFS($M:$M,$C:$C,$C39,$D:$D,$D39,$E:$E,"기준(후)"))</f>
        <v/>
      </c>
      <c r="S39" s="31">
        <f>IF(N39&lt;&gt;"OK","",P39+(R39-P39)*(I39-O39)/(Q39-O39))</f>
        <v/>
      </c>
      <c r="T39" s="31">
        <f>IF(OR(N39&lt;&gt;"OK",NOT(ISNUMBER(M39))),"",M39-S39)</f>
        <v/>
      </c>
      <c r="U39" s="49">
        <f>IF(OR($E38&lt;&gt;"측정",$C38&lt;&gt;$C39,$D38&lt;&gt;$D39,NOT(ISNUMBER(M39)),NOT(ISNUMBER(M38)),(IF(ISNUMBER(G39),G39,F39)-IF(ISNUMBER(G38),G38,F38))=0),"",(M39-M38)/((IF(ISNUMBER(G39),G39,F39)-IF(ISNUMBER(G38),G38,F38))/100))</f>
        <v/>
      </c>
      <c r="V39" s="29" t="n"/>
      <c r="W39" s="29" t="n"/>
      <c r="X39" s="32" t="n"/>
    </row>
    <row r="40">
      <c r="A40" s="26" t="inlineStr">
        <is>
          <t>S03</t>
        </is>
      </c>
      <c r="B40" s="26" t="inlineStr">
        <is>
          <t>예산 신규점2</t>
        </is>
      </c>
      <c r="C40" s="26" t="inlineStr">
        <is>
          <t>S03-V</t>
        </is>
      </c>
      <c r="D40" s="47" t="n">
        <v>1</v>
      </c>
      <c r="E40" s="26" t="inlineStr">
        <is>
          <t>측정</t>
        </is>
      </c>
      <c r="F40" s="47" t="n">
        <v>200</v>
      </c>
      <c r="G40" s="41" t="n"/>
      <c r="H40" s="29" t="n"/>
      <c r="I40" s="43" t="n"/>
      <c r="J40" s="41" t="n"/>
      <c r="K40" s="41" t="n"/>
      <c r="L40" s="41" t="n"/>
      <c r="M40" s="31">
        <f>IF(COUNT(J40:L40)=0,"",MEDIAN(J40:L40))</f>
        <v/>
      </c>
      <c r="N40" s="26">
        <f>IF(COUNTIFS($C:$C,$C40,$D:$D,$D40,$E:$E,"기준(전)",$M:$M,"&gt;0")&lt;&gt;1,"기준(전) 유효 1개 아님",IF(COUNTIFS($C:$C,$C40,$D:$D,$D40,$E:$E,"기준(후)",$M:$M,"&gt;0")&lt;&gt;1,"기준(후) 유효 1개 아님",IF(NOT(AND(ISNUMBER(O40),ISNUMBER(Q40),ISNUMBER(I40))),"시각 결측",IF(Q40&lt;=O40,"기준 시각 역전",IF(OR(I40&lt;O40,I40&gt;Q40),"측정시각 구간 밖","OK")))))</f>
        <v/>
      </c>
      <c r="O40" s="48">
        <f>IF(COUNTIFS($C:$C,$C40,$D:$D,$D40,$E:$E,"기준(전)",$M:$M,"&gt;0")&lt;&gt;1,"",SUMIFS($I:$I,$C:$C,$C40,$D:$D,$D40,$E:$E,"기준(전)"))</f>
        <v/>
      </c>
      <c r="P40" s="31">
        <f>IF(COUNTIFS($C:$C,$C40,$D:$D,$D40,$E:$E,"기준(전)",$M:$M,"&gt;0")&lt;&gt;1,"",SUMIFS($M:$M,$C:$C,$C40,$D:$D,$D40,$E:$E,"기준(전)"))</f>
        <v/>
      </c>
      <c r="Q40" s="48">
        <f>IF(COUNTIFS($C:$C,$C40,$D:$D,$D40,$E:$E,"기준(후)",$M:$M,"&gt;0")&lt;&gt;1,"",SUMIFS($I:$I,$C:$C,$C40,$D:$D,$D40,$E:$E,"기준(후)"))</f>
        <v/>
      </c>
      <c r="R40" s="31">
        <f>IF(COUNTIFS($C:$C,$C40,$D:$D,$D40,$E:$E,"기준(후)",$M:$M,"&gt;0")&lt;&gt;1,"",SUMIFS($M:$M,$C:$C,$C40,$D:$D,$D40,$E:$E,"기준(후)"))</f>
        <v/>
      </c>
      <c r="S40" s="31">
        <f>IF(N40&lt;&gt;"OK","",P40+(R40-P40)*(I40-O40)/(Q40-O40))</f>
        <v/>
      </c>
      <c r="T40" s="31">
        <f>IF(OR(N40&lt;&gt;"OK",NOT(ISNUMBER(M40))),"",M40-S40)</f>
        <v/>
      </c>
      <c r="U40" s="49">
        <f>IF(OR($E39&lt;&gt;"측정",$C39&lt;&gt;$C40,$D39&lt;&gt;$D40,NOT(ISNUMBER(M40)),NOT(ISNUMBER(M39)),(IF(ISNUMBER(G40),G40,F40)-IF(ISNUMBER(G39),G39,F39))=0),"",(M40-M39)/((IF(ISNUMBER(G40),G40,F40)-IF(ISNUMBER(G39),G39,F39))/100))</f>
        <v/>
      </c>
      <c r="V40" s="29" t="n"/>
      <c r="W40" s="29" t="n"/>
      <c r="X40" s="32" t="n"/>
    </row>
    <row r="41">
      <c r="A41" s="44" t="inlineStr">
        <is>
          <t>S03</t>
        </is>
      </c>
      <c r="B41" s="44" t="inlineStr">
        <is>
          <t>예산 신규점2</t>
        </is>
      </c>
      <c r="C41" s="44" t="inlineStr">
        <is>
          <t>S03-V</t>
        </is>
      </c>
      <c r="D41" s="45" t="n">
        <v>1</v>
      </c>
      <c r="E41" s="44" t="inlineStr">
        <is>
          <t>기준(후)</t>
        </is>
      </c>
      <c r="F41" s="45" t="n"/>
      <c r="G41" s="41" t="n"/>
      <c r="H41" s="29" t="n"/>
      <c r="I41" s="43" t="n"/>
      <c r="J41" s="41" t="n"/>
      <c r="K41" s="41" t="n"/>
      <c r="L41" s="41" t="n"/>
      <c r="M41" s="31">
        <f>IF(COUNT(J41:L41)=0,"",MEDIAN(J41:L41))</f>
        <v/>
      </c>
      <c r="N41" s="38" t="n"/>
      <c r="O41" s="38" t="n"/>
      <c r="P41" s="38" t="n"/>
      <c r="Q41" s="38" t="n"/>
      <c r="R41" s="38" t="n"/>
      <c r="S41" s="38" t="n"/>
      <c r="T41" s="38" t="n"/>
      <c r="U41" s="38" t="n"/>
      <c r="V41" s="29" t="n"/>
      <c r="W41" s="29" t="n"/>
      <c r="X41" s="32" t="n"/>
    </row>
    <row r="42">
      <c r="A42" s="44" t="inlineStr">
        <is>
          <t>S04</t>
        </is>
      </c>
      <c r="B42" s="44" t="inlineStr">
        <is>
          <t>진안 신규점1</t>
        </is>
      </c>
      <c r="C42" s="44" t="inlineStr">
        <is>
          <t>S04-V</t>
        </is>
      </c>
      <c r="D42" s="45" t="n">
        <v>1</v>
      </c>
      <c r="E42" s="44" t="inlineStr">
        <is>
          <t>기준(전)</t>
        </is>
      </c>
      <c r="F42" s="45" t="n"/>
      <c r="G42" s="41" t="n"/>
      <c r="H42" s="29" t="n"/>
      <c r="I42" s="43" t="n"/>
      <c r="J42" s="41" t="n"/>
      <c r="K42" s="41" t="n"/>
      <c r="L42" s="41" t="n"/>
      <c r="M42" s="31">
        <f>IF(COUNT(J42:L42)=0,"",MEDIAN(J42:L42))</f>
        <v/>
      </c>
      <c r="N42" s="38" t="n"/>
      <c r="O42" s="38" t="n"/>
      <c r="P42" s="38" t="n"/>
      <c r="Q42" s="38" t="n"/>
      <c r="R42" s="38" t="n"/>
      <c r="S42" s="38" t="n"/>
      <c r="T42" s="38" t="n"/>
      <c r="U42" s="38" t="n"/>
      <c r="V42" s="29" t="n"/>
      <c r="W42" s="29" t="n"/>
      <c r="X42" s="32" t="n"/>
    </row>
    <row r="43">
      <c r="A43" s="26" t="inlineStr">
        <is>
          <t>S04</t>
        </is>
      </c>
      <c r="B43" s="26" t="inlineStr">
        <is>
          <t>진안 신규점1</t>
        </is>
      </c>
      <c r="C43" s="26" t="inlineStr">
        <is>
          <t>S04-V</t>
        </is>
      </c>
      <c r="D43" s="47" t="n">
        <v>1</v>
      </c>
      <c r="E43" s="26" t="inlineStr">
        <is>
          <t>측정</t>
        </is>
      </c>
      <c r="F43" s="47" t="n">
        <v>20</v>
      </c>
      <c r="G43" s="41" t="n"/>
      <c r="H43" s="29" t="n"/>
      <c r="I43" s="43" t="n"/>
      <c r="J43" s="41" t="n"/>
      <c r="K43" s="41" t="n"/>
      <c r="L43" s="41" t="n"/>
      <c r="M43" s="31">
        <f>IF(COUNT(J43:L43)=0,"",MEDIAN(J43:L43))</f>
        <v/>
      </c>
      <c r="N43" s="26">
        <f>IF(COUNTIFS($C:$C,$C43,$D:$D,$D43,$E:$E,"기준(전)",$M:$M,"&gt;0")&lt;&gt;1,"기준(전) 유효 1개 아님",IF(COUNTIFS($C:$C,$C43,$D:$D,$D43,$E:$E,"기준(후)",$M:$M,"&gt;0")&lt;&gt;1,"기준(후) 유효 1개 아님",IF(NOT(AND(ISNUMBER(O43),ISNUMBER(Q43),ISNUMBER(I43))),"시각 결측",IF(Q43&lt;=O43,"기준 시각 역전",IF(OR(I43&lt;O43,I43&gt;Q43),"측정시각 구간 밖","OK")))))</f>
        <v/>
      </c>
      <c r="O43" s="48">
        <f>IF(COUNTIFS($C:$C,$C43,$D:$D,$D43,$E:$E,"기준(전)",$M:$M,"&gt;0")&lt;&gt;1,"",SUMIFS($I:$I,$C:$C,$C43,$D:$D,$D43,$E:$E,"기준(전)"))</f>
        <v/>
      </c>
      <c r="P43" s="31">
        <f>IF(COUNTIFS($C:$C,$C43,$D:$D,$D43,$E:$E,"기준(전)",$M:$M,"&gt;0")&lt;&gt;1,"",SUMIFS($M:$M,$C:$C,$C43,$D:$D,$D43,$E:$E,"기준(전)"))</f>
        <v/>
      </c>
      <c r="Q43" s="48">
        <f>IF(COUNTIFS($C:$C,$C43,$D:$D,$D43,$E:$E,"기준(후)",$M:$M,"&gt;0")&lt;&gt;1,"",SUMIFS($I:$I,$C:$C,$C43,$D:$D,$D43,$E:$E,"기준(후)"))</f>
        <v/>
      </c>
      <c r="R43" s="31">
        <f>IF(COUNTIFS($C:$C,$C43,$D:$D,$D43,$E:$E,"기준(후)",$M:$M,"&gt;0")&lt;&gt;1,"",SUMIFS($M:$M,$C:$C,$C43,$D:$D,$D43,$E:$E,"기준(후)"))</f>
        <v/>
      </c>
      <c r="S43" s="31">
        <f>IF(N43&lt;&gt;"OK","",P43+(R43-P43)*(I43-O43)/(Q43-O43))</f>
        <v/>
      </c>
      <c r="T43" s="31">
        <f>IF(OR(N43&lt;&gt;"OK",NOT(ISNUMBER(M43))),"",M43-S43)</f>
        <v/>
      </c>
      <c r="U43" s="49">
        <f>IF(OR($E42&lt;&gt;"측정",$C42&lt;&gt;$C43,$D42&lt;&gt;$D43,NOT(ISNUMBER(M43)),NOT(ISNUMBER(M42)),(IF(ISNUMBER(G43),G43,F43)-IF(ISNUMBER(G42),G42,F42))=0),"",(M43-M42)/((IF(ISNUMBER(G43),G43,F43)-IF(ISNUMBER(G42),G42,F42))/100))</f>
        <v/>
      </c>
      <c r="V43" s="29" t="n"/>
      <c r="W43" s="29" t="n"/>
      <c r="X43" s="32" t="n"/>
    </row>
    <row r="44">
      <c r="A44" s="26" t="inlineStr">
        <is>
          <t>S04</t>
        </is>
      </c>
      <c r="B44" s="26" t="inlineStr">
        <is>
          <t>진안 신규점1</t>
        </is>
      </c>
      <c r="C44" s="26" t="inlineStr">
        <is>
          <t>S04-V</t>
        </is>
      </c>
      <c r="D44" s="47" t="n">
        <v>1</v>
      </c>
      <c r="E44" s="26" t="inlineStr">
        <is>
          <t>측정</t>
        </is>
      </c>
      <c r="F44" s="47" t="n">
        <v>40</v>
      </c>
      <c r="G44" s="41" t="n"/>
      <c r="H44" s="29" t="n"/>
      <c r="I44" s="43" t="n"/>
      <c r="J44" s="41" t="n"/>
      <c r="K44" s="41" t="n"/>
      <c r="L44" s="41" t="n"/>
      <c r="M44" s="31">
        <f>IF(COUNT(J44:L44)=0,"",MEDIAN(J44:L44))</f>
        <v/>
      </c>
      <c r="N44" s="26">
        <f>IF(COUNTIFS($C:$C,$C44,$D:$D,$D44,$E:$E,"기준(전)",$M:$M,"&gt;0")&lt;&gt;1,"기준(전) 유효 1개 아님",IF(COUNTIFS($C:$C,$C44,$D:$D,$D44,$E:$E,"기준(후)",$M:$M,"&gt;0")&lt;&gt;1,"기준(후) 유효 1개 아님",IF(NOT(AND(ISNUMBER(O44),ISNUMBER(Q44),ISNUMBER(I44))),"시각 결측",IF(Q44&lt;=O44,"기준 시각 역전",IF(OR(I44&lt;O44,I44&gt;Q44),"측정시각 구간 밖","OK")))))</f>
        <v/>
      </c>
      <c r="O44" s="48">
        <f>IF(COUNTIFS($C:$C,$C44,$D:$D,$D44,$E:$E,"기준(전)",$M:$M,"&gt;0")&lt;&gt;1,"",SUMIFS($I:$I,$C:$C,$C44,$D:$D,$D44,$E:$E,"기준(전)"))</f>
        <v/>
      </c>
      <c r="P44" s="31">
        <f>IF(COUNTIFS($C:$C,$C44,$D:$D,$D44,$E:$E,"기준(전)",$M:$M,"&gt;0")&lt;&gt;1,"",SUMIFS($M:$M,$C:$C,$C44,$D:$D,$D44,$E:$E,"기준(전)"))</f>
        <v/>
      </c>
      <c r="Q44" s="48">
        <f>IF(COUNTIFS($C:$C,$C44,$D:$D,$D44,$E:$E,"기준(후)",$M:$M,"&gt;0")&lt;&gt;1,"",SUMIFS($I:$I,$C:$C,$C44,$D:$D,$D44,$E:$E,"기준(후)"))</f>
        <v/>
      </c>
      <c r="R44" s="31">
        <f>IF(COUNTIFS($C:$C,$C44,$D:$D,$D44,$E:$E,"기준(후)",$M:$M,"&gt;0")&lt;&gt;1,"",SUMIFS($M:$M,$C:$C,$C44,$D:$D,$D44,$E:$E,"기준(후)"))</f>
        <v/>
      </c>
      <c r="S44" s="31">
        <f>IF(N44&lt;&gt;"OK","",P44+(R44-P44)*(I44-O44)/(Q44-O44))</f>
        <v/>
      </c>
      <c r="T44" s="31">
        <f>IF(OR(N44&lt;&gt;"OK",NOT(ISNUMBER(M44))),"",M44-S44)</f>
        <v/>
      </c>
      <c r="U44" s="49">
        <f>IF(OR($E43&lt;&gt;"측정",$C43&lt;&gt;$C44,$D43&lt;&gt;$D44,NOT(ISNUMBER(M44)),NOT(ISNUMBER(M43)),(IF(ISNUMBER(G44),G44,F44)-IF(ISNUMBER(G43),G43,F43))=0),"",(M44-M43)/((IF(ISNUMBER(G44),G44,F44)-IF(ISNUMBER(G43),G43,F43))/100))</f>
        <v/>
      </c>
      <c r="V44" s="29" t="n"/>
      <c r="W44" s="29" t="n"/>
      <c r="X44" s="32" t="n"/>
    </row>
    <row r="45">
      <c r="A45" s="26" t="inlineStr">
        <is>
          <t>S04</t>
        </is>
      </c>
      <c r="B45" s="26" t="inlineStr">
        <is>
          <t>진안 신규점1</t>
        </is>
      </c>
      <c r="C45" s="26" t="inlineStr">
        <is>
          <t>S04-V</t>
        </is>
      </c>
      <c r="D45" s="47" t="n">
        <v>1</v>
      </c>
      <c r="E45" s="26" t="inlineStr">
        <is>
          <t>측정</t>
        </is>
      </c>
      <c r="F45" s="47" t="n">
        <v>60</v>
      </c>
      <c r="G45" s="41" t="n"/>
      <c r="H45" s="29" t="n"/>
      <c r="I45" s="43" t="n"/>
      <c r="J45" s="41" t="n"/>
      <c r="K45" s="41" t="n"/>
      <c r="L45" s="41" t="n"/>
      <c r="M45" s="31">
        <f>IF(COUNT(J45:L45)=0,"",MEDIAN(J45:L45))</f>
        <v/>
      </c>
      <c r="N45" s="26">
        <f>IF(COUNTIFS($C:$C,$C45,$D:$D,$D45,$E:$E,"기준(전)",$M:$M,"&gt;0")&lt;&gt;1,"기준(전) 유효 1개 아님",IF(COUNTIFS($C:$C,$C45,$D:$D,$D45,$E:$E,"기준(후)",$M:$M,"&gt;0")&lt;&gt;1,"기준(후) 유효 1개 아님",IF(NOT(AND(ISNUMBER(O45),ISNUMBER(Q45),ISNUMBER(I45))),"시각 결측",IF(Q45&lt;=O45,"기준 시각 역전",IF(OR(I45&lt;O45,I45&gt;Q45),"측정시각 구간 밖","OK")))))</f>
        <v/>
      </c>
      <c r="O45" s="48">
        <f>IF(COUNTIFS($C:$C,$C45,$D:$D,$D45,$E:$E,"기준(전)",$M:$M,"&gt;0")&lt;&gt;1,"",SUMIFS($I:$I,$C:$C,$C45,$D:$D,$D45,$E:$E,"기준(전)"))</f>
        <v/>
      </c>
      <c r="P45" s="31">
        <f>IF(COUNTIFS($C:$C,$C45,$D:$D,$D45,$E:$E,"기준(전)",$M:$M,"&gt;0")&lt;&gt;1,"",SUMIFS($M:$M,$C:$C,$C45,$D:$D,$D45,$E:$E,"기준(전)"))</f>
        <v/>
      </c>
      <c r="Q45" s="48">
        <f>IF(COUNTIFS($C:$C,$C45,$D:$D,$D45,$E:$E,"기준(후)",$M:$M,"&gt;0")&lt;&gt;1,"",SUMIFS($I:$I,$C:$C,$C45,$D:$D,$D45,$E:$E,"기준(후)"))</f>
        <v/>
      </c>
      <c r="R45" s="31">
        <f>IF(COUNTIFS($C:$C,$C45,$D:$D,$D45,$E:$E,"기준(후)",$M:$M,"&gt;0")&lt;&gt;1,"",SUMIFS($M:$M,$C:$C,$C45,$D:$D,$D45,$E:$E,"기준(후)"))</f>
        <v/>
      </c>
      <c r="S45" s="31">
        <f>IF(N45&lt;&gt;"OK","",P45+(R45-P45)*(I45-O45)/(Q45-O45))</f>
        <v/>
      </c>
      <c r="T45" s="31">
        <f>IF(OR(N45&lt;&gt;"OK",NOT(ISNUMBER(M45))),"",M45-S45)</f>
        <v/>
      </c>
      <c r="U45" s="49">
        <f>IF(OR($E44&lt;&gt;"측정",$C44&lt;&gt;$C45,$D44&lt;&gt;$D45,NOT(ISNUMBER(M45)),NOT(ISNUMBER(M44)),(IF(ISNUMBER(G45),G45,F45)-IF(ISNUMBER(G44),G44,F44))=0),"",(M45-M44)/((IF(ISNUMBER(G45),G45,F45)-IF(ISNUMBER(G44),G44,F44))/100))</f>
        <v/>
      </c>
      <c r="V45" s="29" t="n"/>
      <c r="W45" s="29" t="n"/>
      <c r="X45" s="32" t="n"/>
    </row>
    <row r="46">
      <c r="A46" s="26" t="inlineStr">
        <is>
          <t>S04</t>
        </is>
      </c>
      <c r="B46" s="26" t="inlineStr">
        <is>
          <t>진안 신규점1</t>
        </is>
      </c>
      <c r="C46" s="26" t="inlineStr">
        <is>
          <t>S04-V</t>
        </is>
      </c>
      <c r="D46" s="47" t="n">
        <v>1</v>
      </c>
      <c r="E46" s="26" t="inlineStr">
        <is>
          <t>측정</t>
        </is>
      </c>
      <c r="F46" s="47" t="n">
        <v>80</v>
      </c>
      <c r="G46" s="41" t="n"/>
      <c r="H46" s="29" t="n"/>
      <c r="I46" s="43" t="n"/>
      <c r="J46" s="41" t="n"/>
      <c r="K46" s="41" t="n"/>
      <c r="L46" s="41" t="n"/>
      <c r="M46" s="31">
        <f>IF(COUNT(J46:L46)=0,"",MEDIAN(J46:L46))</f>
        <v/>
      </c>
      <c r="N46" s="26">
        <f>IF(COUNTIFS($C:$C,$C46,$D:$D,$D46,$E:$E,"기준(전)",$M:$M,"&gt;0")&lt;&gt;1,"기준(전) 유효 1개 아님",IF(COUNTIFS($C:$C,$C46,$D:$D,$D46,$E:$E,"기준(후)",$M:$M,"&gt;0")&lt;&gt;1,"기준(후) 유효 1개 아님",IF(NOT(AND(ISNUMBER(O46),ISNUMBER(Q46),ISNUMBER(I46))),"시각 결측",IF(Q46&lt;=O46,"기준 시각 역전",IF(OR(I46&lt;O46,I46&gt;Q46),"측정시각 구간 밖","OK")))))</f>
        <v/>
      </c>
      <c r="O46" s="48">
        <f>IF(COUNTIFS($C:$C,$C46,$D:$D,$D46,$E:$E,"기준(전)",$M:$M,"&gt;0")&lt;&gt;1,"",SUMIFS($I:$I,$C:$C,$C46,$D:$D,$D46,$E:$E,"기준(전)"))</f>
        <v/>
      </c>
      <c r="P46" s="31">
        <f>IF(COUNTIFS($C:$C,$C46,$D:$D,$D46,$E:$E,"기준(전)",$M:$M,"&gt;0")&lt;&gt;1,"",SUMIFS($M:$M,$C:$C,$C46,$D:$D,$D46,$E:$E,"기준(전)"))</f>
        <v/>
      </c>
      <c r="Q46" s="48">
        <f>IF(COUNTIFS($C:$C,$C46,$D:$D,$D46,$E:$E,"기준(후)",$M:$M,"&gt;0")&lt;&gt;1,"",SUMIFS($I:$I,$C:$C,$C46,$D:$D,$D46,$E:$E,"기준(후)"))</f>
        <v/>
      </c>
      <c r="R46" s="31">
        <f>IF(COUNTIFS($C:$C,$C46,$D:$D,$D46,$E:$E,"기준(후)",$M:$M,"&gt;0")&lt;&gt;1,"",SUMIFS($M:$M,$C:$C,$C46,$D:$D,$D46,$E:$E,"기준(후)"))</f>
        <v/>
      </c>
      <c r="S46" s="31">
        <f>IF(N46&lt;&gt;"OK","",P46+(R46-P46)*(I46-O46)/(Q46-O46))</f>
        <v/>
      </c>
      <c r="T46" s="31">
        <f>IF(OR(N46&lt;&gt;"OK",NOT(ISNUMBER(M46))),"",M46-S46)</f>
        <v/>
      </c>
      <c r="U46" s="49">
        <f>IF(OR($E45&lt;&gt;"측정",$C45&lt;&gt;$C46,$D45&lt;&gt;$D46,NOT(ISNUMBER(M46)),NOT(ISNUMBER(M45)),(IF(ISNUMBER(G46),G46,F46)-IF(ISNUMBER(G45),G45,F45))=0),"",(M46-M45)/((IF(ISNUMBER(G46),G46,F46)-IF(ISNUMBER(G45),G45,F45))/100))</f>
        <v/>
      </c>
      <c r="V46" s="29" t="n"/>
      <c r="W46" s="29" t="n"/>
      <c r="X46" s="32" t="n"/>
    </row>
    <row r="47">
      <c r="A47" s="26" t="inlineStr">
        <is>
          <t>S04</t>
        </is>
      </c>
      <c r="B47" s="26" t="inlineStr">
        <is>
          <t>진안 신규점1</t>
        </is>
      </c>
      <c r="C47" s="26" t="inlineStr">
        <is>
          <t>S04-V</t>
        </is>
      </c>
      <c r="D47" s="47" t="n">
        <v>1</v>
      </c>
      <c r="E47" s="26" t="inlineStr">
        <is>
          <t>측정</t>
        </is>
      </c>
      <c r="F47" s="47" t="n">
        <v>100</v>
      </c>
      <c r="G47" s="41" t="n"/>
      <c r="H47" s="29" t="n"/>
      <c r="I47" s="43" t="n"/>
      <c r="J47" s="41" t="n"/>
      <c r="K47" s="41" t="n"/>
      <c r="L47" s="41" t="n"/>
      <c r="M47" s="31">
        <f>IF(COUNT(J47:L47)=0,"",MEDIAN(J47:L47))</f>
        <v/>
      </c>
      <c r="N47" s="26">
        <f>IF(COUNTIFS($C:$C,$C47,$D:$D,$D47,$E:$E,"기준(전)",$M:$M,"&gt;0")&lt;&gt;1,"기준(전) 유효 1개 아님",IF(COUNTIFS($C:$C,$C47,$D:$D,$D47,$E:$E,"기준(후)",$M:$M,"&gt;0")&lt;&gt;1,"기준(후) 유효 1개 아님",IF(NOT(AND(ISNUMBER(O47),ISNUMBER(Q47),ISNUMBER(I47))),"시각 결측",IF(Q47&lt;=O47,"기준 시각 역전",IF(OR(I47&lt;O47,I47&gt;Q47),"측정시각 구간 밖","OK")))))</f>
        <v/>
      </c>
      <c r="O47" s="48">
        <f>IF(COUNTIFS($C:$C,$C47,$D:$D,$D47,$E:$E,"기준(전)",$M:$M,"&gt;0")&lt;&gt;1,"",SUMIFS($I:$I,$C:$C,$C47,$D:$D,$D47,$E:$E,"기준(전)"))</f>
        <v/>
      </c>
      <c r="P47" s="31">
        <f>IF(COUNTIFS($C:$C,$C47,$D:$D,$D47,$E:$E,"기준(전)",$M:$M,"&gt;0")&lt;&gt;1,"",SUMIFS($M:$M,$C:$C,$C47,$D:$D,$D47,$E:$E,"기준(전)"))</f>
        <v/>
      </c>
      <c r="Q47" s="48">
        <f>IF(COUNTIFS($C:$C,$C47,$D:$D,$D47,$E:$E,"기준(후)",$M:$M,"&gt;0")&lt;&gt;1,"",SUMIFS($I:$I,$C:$C,$C47,$D:$D,$D47,$E:$E,"기준(후)"))</f>
        <v/>
      </c>
      <c r="R47" s="31">
        <f>IF(COUNTIFS($C:$C,$C47,$D:$D,$D47,$E:$E,"기준(후)",$M:$M,"&gt;0")&lt;&gt;1,"",SUMIFS($M:$M,$C:$C,$C47,$D:$D,$D47,$E:$E,"기준(후)"))</f>
        <v/>
      </c>
      <c r="S47" s="31">
        <f>IF(N47&lt;&gt;"OK","",P47+(R47-P47)*(I47-O47)/(Q47-O47))</f>
        <v/>
      </c>
      <c r="T47" s="31">
        <f>IF(OR(N47&lt;&gt;"OK",NOT(ISNUMBER(M47))),"",M47-S47)</f>
        <v/>
      </c>
      <c r="U47" s="49">
        <f>IF(OR($E46&lt;&gt;"측정",$C46&lt;&gt;$C47,$D46&lt;&gt;$D47,NOT(ISNUMBER(M47)),NOT(ISNUMBER(M46)),(IF(ISNUMBER(G47),G47,F47)-IF(ISNUMBER(G46),G46,F46))=0),"",(M47-M46)/((IF(ISNUMBER(G47),G47,F47)-IF(ISNUMBER(G46),G46,F46))/100))</f>
        <v/>
      </c>
      <c r="V47" s="29" t="n"/>
      <c r="W47" s="29" t="n"/>
      <c r="X47" s="32" t="n"/>
    </row>
    <row r="48">
      <c r="A48" s="26" t="inlineStr">
        <is>
          <t>S04</t>
        </is>
      </c>
      <c r="B48" s="26" t="inlineStr">
        <is>
          <t>진안 신규점1</t>
        </is>
      </c>
      <c r="C48" s="26" t="inlineStr">
        <is>
          <t>S04-V</t>
        </is>
      </c>
      <c r="D48" s="47" t="n">
        <v>1</v>
      </c>
      <c r="E48" s="26" t="inlineStr">
        <is>
          <t>측정</t>
        </is>
      </c>
      <c r="F48" s="47" t="n">
        <v>120</v>
      </c>
      <c r="G48" s="41" t="n"/>
      <c r="H48" s="29" t="n"/>
      <c r="I48" s="43" t="n"/>
      <c r="J48" s="41" t="n"/>
      <c r="K48" s="41" t="n"/>
      <c r="L48" s="41" t="n"/>
      <c r="M48" s="31">
        <f>IF(COUNT(J48:L48)=0,"",MEDIAN(J48:L48))</f>
        <v/>
      </c>
      <c r="N48" s="26">
        <f>IF(COUNTIFS($C:$C,$C48,$D:$D,$D48,$E:$E,"기준(전)",$M:$M,"&gt;0")&lt;&gt;1,"기준(전) 유효 1개 아님",IF(COUNTIFS($C:$C,$C48,$D:$D,$D48,$E:$E,"기준(후)",$M:$M,"&gt;0")&lt;&gt;1,"기준(후) 유효 1개 아님",IF(NOT(AND(ISNUMBER(O48),ISNUMBER(Q48),ISNUMBER(I48))),"시각 결측",IF(Q48&lt;=O48,"기준 시각 역전",IF(OR(I48&lt;O48,I48&gt;Q48),"측정시각 구간 밖","OK")))))</f>
        <v/>
      </c>
      <c r="O48" s="48">
        <f>IF(COUNTIFS($C:$C,$C48,$D:$D,$D48,$E:$E,"기준(전)",$M:$M,"&gt;0")&lt;&gt;1,"",SUMIFS($I:$I,$C:$C,$C48,$D:$D,$D48,$E:$E,"기준(전)"))</f>
        <v/>
      </c>
      <c r="P48" s="31">
        <f>IF(COUNTIFS($C:$C,$C48,$D:$D,$D48,$E:$E,"기준(전)",$M:$M,"&gt;0")&lt;&gt;1,"",SUMIFS($M:$M,$C:$C,$C48,$D:$D,$D48,$E:$E,"기준(전)"))</f>
        <v/>
      </c>
      <c r="Q48" s="48">
        <f>IF(COUNTIFS($C:$C,$C48,$D:$D,$D48,$E:$E,"기준(후)",$M:$M,"&gt;0")&lt;&gt;1,"",SUMIFS($I:$I,$C:$C,$C48,$D:$D,$D48,$E:$E,"기준(후)"))</f>
        <v/>
      </c>
      <c r="R48" s="31">
        <f>IF(COUNTIFS($C:$C,$C48,$D:$D,$D48,$E:$E,"기준(후)",$M:$M,"&gt;0")&lt;&gt;1,"",SUMIFS($M:$M,$C:$C,$C48,$D:$D,$D48,$E:$E,"기준(후)"))</f>
        <v/>
      </c>
      <c r="S48" s="31">
        <f>IF(N48&lt;&gt;"OK","",P48+(R48-P48)*(I48-O48)/(Q48-O48))</f>
        <v/>
      </c>
      <c r="T48" s="31">
        <f>IF(OR(N48&lt;&gt;"OK",NOT(ISNUMBER(M48))),"",M48-S48)</f>
        <v/>
      </c>
      <c r="U48" s="49">
        <f>IF(OR($E47&lt;&gt;"측정",$C47&lt;&gt;$C48,$D47&lt;&gt;$D48,NOT(ISNUMBER(M48)),NOT(ISNUMBER(M47)),(IF(ISNUMBER(G48),G48,F48)-IF(ISNUMBER(G47),G47,F47))=0),"",(M48-M47)/((IF(ISNUMBER(G48),G48,F48)-IF(ISNUMBER(G47),G47,F47))/100))</f>
        <v/>
      </c>
      <c r="V48" s="29" t="n"/>
      <c r="W48" s="29" t="n"/>
      <c r="X48" s="32" t="n"/>
    </row>
    <row r="49">
      <c r="A49" s="26" t="inlineStr">
        <is>
          <t>S04</t>
        </is>
      </c>
      <c r="B49" s="26" t="inlineStr">
        <is>
          <t>진안 신규점1</t>
        </is>
      </c>
      <c r="C49" s="26" t="inlineStr">
        <is>
          <t>S04-V</t>
        </is>
      </c>
      <c r="D49" s="47" t="n">
        <v>1</v>
      </c>
      <c r="E49" s="26" t="inlineStr">
        <is>
          <t>측정</t>
        </is>
      </c>
      <c r="F49" s="47" t="n">
        <v>140</v>
      </c>
      <c r="G49" s="41" t="n"/>
      <c r="H49" s="29" t="n"/>
      <c r="I49" s="43" t="n"/>
      <c r="J49" s="41" t="n"/>
      <c r="K49" s="41" t="n"/>
      <c r="L49" s="41" t="n"/>
      <c r="M49" s="31">
        <f>IF(COUNT(J49:L49)=0,"",MEDIAN(J49:L49))</f>
        <v/>
      </c>
      <c r="N49" s="26">
        <f>IF(COUNTIFS($C:$C,$C49,$D:$D,$D49,$E:$E,"기준(전)",$M:$M,"&gt;0")&lt;&gt;1,"기준(전) 유효 1개 아님",IF(COUNTIFS($C:$C,$C49,$D:$D,$D49,$E:$E,"기준(후)",$M:$M,"&gt;0")&lt;&gt;1,"기준(후) 유효 1개 아님",IF(NOT(AND(ISNUMBER(O49),ISNUMBER(Q49),ISNUMBER(I49))),"시각 결측",IF(Q49&lt;=O49,"기준 시각 역전",IF(OR(I49&lt;O49,I49&gt;Q49),"측정시각 구간 밖","OK")))))</f>
        <v/>
      </c>
      <c r="O49" s="48">
        <f>IF(COUNTIFS($C:$C,$C49,$D:$D,$D49,$E:$E,"기준(전)",$M:$M,"&gt;0")&lt;&gt;1,"",SUMIFS($I:$I,$C:$C,$C49,$D:$D,$D49,$E:$E,"기준(전)"))</f>
        <v/>
      </c>
      <c r="P49" s="31">
        <f>IF(COUNTIFS($C:$C,$C49,$D:$D,$D49,$E:$E,"기준(전)",$M:$M,"&gt;0")&lt;&gt;1,"",SUMIFS($M:$M,$C:$C,$C49,$D:$D,$D49,$E:$E,"기준(전)"))</f>
        <v/>
      </c>
      <c r="Q49" s="48">
        <f>IF(COUNTIFS($C:$C,$C49,$D:$D,$D49,$E:$E,"기준(후)",$M:$M,"&gt;0")&lt;&gt;1,"",SUMIFS($I:$I,$C:$C,$C49,$D:$D,$D49,$E:$E,"기준(후)"))</f>
        <v/>
      </c>
      <c r="R49" s="31">
        <f>IF(COUNTIFS($C:$C,$C49,$D:$D,$D49,$E:$E,"기준(후)",$M:$M,"&gt;0")&lt;&gt;1,"",SUMIFS($M:$M,$C:$C,$C49,$D:$D,$D49,$E:$E,"기준(후)"))</f>
        <v/>
      </c>
      <c r="S49" s="31">
        <f>IF(N49&lt;&gt;"OK","",P49+(R49-P49)*(I49-O49)/(Q49-O49))</f>
        <v/>
      </c>
      <c r="T49" s="31">
        <f>IF(OR(N49&lt;&gt;"OK",NOT(ISNUMBER(M49))),"",M49-S49)</f>
        <v/>
      </c>
      <c r="U49" s="49">
        <f>IF(OR($E48&lt;&gt;"측정",$C48&lt;&gt;$C49,$D48&lt;&gt;$D49,NOT(ISNUMBER(M49)),NOT(ISNUMBER(M48)),(IF(ISNUMBER(G49),G49,F49)-IF(ISNUMBER(G48),G48,F48))=0),"",(M49-M48)/((IF(ISNUMBER(G49),G49,F49)-IF(ISNUMBER(G48),G48,F48))/100))</f>
        <v/>
      </c>
      <c r="V49" s="29" t="n"/>
      <c r="W49" s="29" t="n"/>
      <c r="X49" s="32" t="n"/>
    </row>
    <row r="50">
      <c r="A50" s="26" t="inlineStr">
        <is>
          <t>S04</t>
        </is>
      </c>
      <c r="B50" s="26" t="inlineStr">
        <is>
          <t>진안 신규점1</t>
        </is>
      </c>
      <c r="C50" s="26" t="inlineStr">
        <is>
          <t>S04-V</t>
        </is>
      </c>
      <c r="D50" s="47" t="n">
        <v>1</v>
      </c>
      <c r="E50" s="26" t="inlineStr">
        <is>
          <t>측정</t>
        </is>
      </c>
      <c r="F50" s="47" t="n">
        <v>160</v>
      </c>
      <c r="G50" s="41" t="n"/>
      <c r="H50" s="29" t="n"/>
      <c r="I50" s="43" t="n"/>
      <c r="J50" s="41" t="n"/>
      <c r="K50" s="41" t="n"/>
      <c r="L50" s="41" t="n"/>
      <c r="M50" s="31">
        <f>IF(COUNT(J50:L50)=0,"",MEDIAN(J50:L50))</f>
        <v/>
      </c>
      <c r="N50" s="26">
        <f>IF(COUNTIFS($C:$C,$C50,$D:$D,$D50,$E:$E,"기준(전)",$M:$M,"&gt;0")&lt;&gt;1,"기준(전) 유효 1개 아님",IF(COUNTIFS($C:$C,$C50,$D:$D,$D50,$E:$E,"기준(후)",$M:$M,"&gt;0")&lt;&gt;1,"기준(후) 유효 1개 아님",IF(NOT(AND(ISNUMBER(O50),ISNUMBER(Q50),ISNUMBER(I50))),"시각 결측",IF(Q50&lt;=O50,"기준 시각 역전",IF(OR(I50&lt;O50,I50&gt;Q50),"측정시각 구간 밖","OK")))))</f>
        <v/>
      </c>
      <c r="O50" s="48">
        <f>IF(COUNTIFS($C:$C,$C50,$D:$D,$D50,$E:$E,"기준(전)",$M:$M,"&gt;0")&lt;&gt;1,"",SUMIFS($I:$I,$C:$C,$C50,$D:$D,$D50,$E:$E,"기준(전)"))</f>
        <v/>
      </c>
      <c r="P50" s="31">
        <f>IF(COUNTIFS($C:$C,$C50,$D:$D,$D50,$E:$E,"기준(전)",$M:$M,"&gt;0")&lt;&gt;1,"",SUMIFS($M:$M,$C:$C,$C50,$D:$D,$D50,$E:$E,"기준(전)"))</f>
        <v/>
      </c>
      <c r="Q50" s="48">
        <f>IF(COUNTIFS($C:$C,$C50,$D:$D,$D50,$E:$E,"기준(후)",$M:$M,"&gt;0")&lt;&gt;1,"",SUMIFS($I:$I,$C:$C,$C50,$D:$D,$D50,$E:$E,"기준(후)"))</f>
        <v/>
      </c>
      <c r="R50" s="31">
        <f>IF(COUNTIFS($C:$C,$C50,$D:$D,$D50,$E:$E,"기준(후)",$M:$M,"&gt;0")&lt;&gt;1,"",SUMIFS($M:$M,$C:$C,$C50,$D:$D,$D50,$E:$E,"기준(후)"))</f>
        <v/>
      </c>
      <c r="S50" s="31">
        <f>IF(N50&lt;&gt;"OK","",P50+(R50-P50)*(I50-O50)/(Q50-O50))</f>
        <v/>
      </c>
      <c r="T50" s="31">
        <f>IF(OR(N50&lt;&gt;"OK",NOT(ISNUMBER(M50))),"",M50-S50)</f>
        <v/>
      </c>
      <c r="U50" s="49">
        <f>IF(OR($E49&lt;&gt;"측정",$C49&lt;&gt;$C50,$D49&lt;&gt;$D50,NOT(ISNUMBER(M50)),NOT(ISNUMBER(M49)),(IF(ISNUMBER(G50),G50,F50)-IF(ISNUMBER(G49),G49,F49))=0),"",(M50-M49)/((IF(ISNUMBER(G50),G50,F50)-IF(ISNUMBER(G49),G49,F49))/100))</f>
        <v/>
      </c>
      <c r="V50" s="29" t="n"/>
      <c r="W50" s="29" t="n"/>
      <c r="X50" s="32" t="n"/>
    </row>
    <row r="51">
      <c r="A51" s="26" t="inlineStr">
        <is>
          <t>S04</t>
        </is>
      </c>
      <c r="B51" s="26" t="inlineStr">
        <is>
          <t>진안 신규점1</t>
        </is>
      </c>
      <c r="C51" s="26" t="inlineStr">
        <is>
          <t>S04-V</t>
        </is>
      </c>
      <c r="D51" s="47" t="n">
        <v>1</v>
      </c>
      <c r="E51" s="26" t="inlineStr">
        <is>
          <t>측정</t>
        </is>
      </c>
      <c r="F51" s="47" t="n">
        <v>180</v>
      </c>
      <c r="G51" s="41" t="n"/>
      <c r="H51" s="29" t="n"/>
      <c r="I51" s="43" t="n"/>
      <c r="J51" s="41" t="n"/>
      <c r="K51" s="41" t="n"/>
      <c r="L51" s="41" t="n"/>
      <c r="M51" s="31">
        <f>IF(COUNT(J51:L51)=0,"",MEDIAN(J51:L51))</f>
        <v/>
      </c>
      <c r="N51" s="26">
        <f>IF(COUNTIFS($C:$C,$C51,$D:$D,$D51,$E:$E,"기준(전)",$M:$M,"&gt;0")&lt;&gt;1,"기준(전) 유효 1개 아님",IF(COUNTIFS($C:$C,$C51,$D:$D,$D51,$E:$E,"기준(후)",$M:$M,"&gt;0")&lt;&gt;1,"기준(후) 유효 1개 아님",IF(NOT(AND(ISNUMBER(O51),ISNUMBER(Q51),ISNUMBER(I51))),"시각 결측",IF(Q51&lt;=O51,"기준 시각 역전",IF(OR(I51&lt;O51,I51&gt;Q51),"측정시각 구간 밖","OK")))))</f>
        <v/>
      </c>
      <c r="O51" s="48">
        <f>IF(COUNTIFS($C:$C,$C51,$D:$D,$D51,$E:$E,"기준(전)",$M:$M,"&gt;0")&lt;&gt;1,"",SUMIFS($I:$I,$C:$C,$C51,$D:$D,$D51,$E:$E,"기준(전)"))</f>
        <v/>
      </c>
      <c r="P51" s="31">
        <f>IF(COUNTIFS($C:$C,$C51,$D:$D,$D51,$E:$E,"기준(전)",$M:$M,"&gt;0")&lt;&gt;1,"",SUMIFS($M:$M,$C:$C,$C51,$D:$D,$D51,$E:$E,"기준(전)"))</f>
        <v/>
      </c>
      <c r="Q51" s="48">
        <f>IF(COUNTIFS($C:$C,$C51,$D:$D,$D51,$E:$E,"기준(후)",$M:$M,"&gt;0")&lt;&gt;1,"",SUMIFS($I:$I,$C:$C,$C51,$D:$D,$D51,$E:$E,"기준(후)"))</f>
        <v/>
      </c>
      <c r="R51" s="31">
        <f>IF(COUNTIFS($C:$C,$C51,$D:$D,$D51,$E:$E,"기준(후)",$M:$M,"&gt;0")&lt;&gt;1,"",SUMIFS($M:$M,$C:$C,$C51,$D:$D,$D51,$E:$E,"기준(후)"))</f>
        <v/>
      </c>
      <c r="S51" s="31">
        <f>IF(N51&lt;&gt;"OK","",P51+(R51-P51)*(I51-O51)/(Q51-O51))</f>
        <v/>
      </c>
      <c r="T51" s="31">
        <f>IF(OR(N51&lt;&gt;"OK",NOT(ISNUMBER(M51))),"",M51-S51)</f>
        <v/>
      </c>
      <c r="U51" s="49">
        <f>IF(OR($E50&lt;&gt;"측정",$C50&lt;&gt;$C51,$D50&lt;&gt;$D51,NOT(ISNUMBER(M51)),NOT(ISNUMBER(M50)),(IF(ISNUMBER(G51),G51,F51)-IF(ISNUMBER(G50),G50,F50))=0),"",(M51-M50)/((IF(ISNUMBER(G51),G51,F51)-IF(ISNUMBER(G50),G50,F50))/100))</f>
        <v/>
      </c>
      <c r="V51" s="29" t="n"/>
      <c r="W51" s="29" t="n"/>
      <c r="X51" s="32" t="n"/>
    </row>
    <row r="52">
      <c r="A52" s="26" t="inlineStr">
        <is>
          <t>S04</t>
        </is>
      </c>
      <c r="B52" s="26" t="inlineStr">
        <is>
          <t>진안 신규점1</t>
        </is>
      </c>
      <c r="C52" s="26" t="inlineStr">
        <is>
          <t>S04-V</t>
        </is>
      </c>
      <c r="D52" s="47" t="n">
        <v>1</v>
      </c>
      <c r="E52" s="26" t="inlineStr">
        <is>
          <t>측정</t>
        </is>
      </c>
      <c r="F52" s="47" t="n">
        <v>200</v>
      </c>
      <c r="G52" s="41" t="n"/>
      <c r="H52" s="29" t="n"/>
      <c r="I52" s="43" t="n"/>
      <c r="J52" s="41" t="n"/>
      <c r="K52" s="41" t="n"/>
      <c r="L52" s="41" t="n"/>
      <c r="M52" s="31">
        <f>IF(COUNT(J52:L52)=0,"",MEDIAN(J52:L52))</f>
        <v/>
      </c>
      <c r="N52" s="26">
        <f>IF(COUNTIFS($C:$C,$C52,$D:$D,$D52,$E:$E,"기준(전)",$M:$M,"&gt;0")&lt;&gt;1,"기준(전) 유효 1개 아님",IF(COUNTIFS($C:$C,$C52,$D:$D,$D52,$E:$E,"기준(후)",$M:$M,"&gt;0")&lt;&gt;1,"기준(후) 유효 1개 아님",IF(NOT(AND(ISNUMBER(O52),ISNUMBER(Q52),ISNUMBER(I52))),"시각 결측",IF(Q52&lt;=O52,"기준 시각 역전",IF(OR(I52&lt;O52,I52&gt;Q52),"측정시각 구간 밖","OK")))))</f>
        <v/>
      </c>
      <c r="O52" s="48">
        <f>IF(COUNTIFS($C:$C,$C52,$D:$D,$D52,$E:$E,"기준(전)",$M:$M,"&gt;0")&lt;&gt;1,"",SUMIFS($I:$I,$C:$C,$C52,$D:$D,$D52,$E:$E,"기준(전)"))</f>
        <v/>
      </c>
      <c r="P52" s="31">
        <f>IF(COUNTIFS($C:$C,$C52,$D:$D,$D52,$E:$E,"기준(전)",$M:$M,"&gt;0")&lt;&gt;1,"",SUMIFS($M:$M,$C:$C,$C52,$D:$D,$D52,$E:$E,"기준(전)"))</f>
        <v/>
      </c>
      <c r="Q52" s="48">
        <f>IF(COUNTIFS($C:$C,$C52,$D:$D,$D52,$E:$E,"기준(후)",$M:$M,"&gt;0")&lt;&gt;1,"",SUMIFS($I:$I,$C:$C,$C52,$D:$D,$D52,$E:$E,"기준(후)"))</f>
        <v/>
      </c>
      <c r="R52" s="31">
        <f>IF(COUNTIFS($C:$C,$C52,$D:$D,$D52,$E:$E,"기준(후)",$M:$M,"&gt;0")&lt;&gt;1,"",SUMIFS($M:$M,$C:$C,$C52,$D:$D,$D52,$E:$E,"기준(후)"))</f>
        <v/>
      </c>
      <c r="S52" s="31">
        <f>IF(N52&lt;&gt;"OK","",P52+(R52-P52)*(I52-O52)/(Q52-O52))</f>
        <v/>
      </c>
      <c r="T52" s="31">
        <f>IF(OR(N52&lt;&gt;"OK",NOT(ISNUMBER(M52))),"",M52-S52)</f>
        <v/>
      </c>
      <c r="U52" s="49">
        <f>IF(OR($E51&lt;&gt;"측정",$C51&lt;&gt;$C52,$D51&lt;&gt;$D52,NOT(ISNUMBER(M52)),NOT(ISNUMBER(M51)),(IF(ISNUMBER(G52),G52,F52)-IF(ISNUMBER(G51),G51,F51))=0),"",(M52-M51)/((IF(ISNUMBER(G52),G52,F52)-IF(ISNUMBER(G51),G51,F51))/100))</f>
        <v/>
      </c>
      <c r="V52" s="29" t="n"/>
      <c r="W52" s="29" t="n"/>
      <c r="X52" s="32" t="n"/>
    </row>
    <row r="53">
      <c r="A53" s="44" t="inlineStr">
        <is>
          <t>S04</t>
        </is>
      </c>
      <c r="B53" s="44" t="inlineStr">
        <is>
          <t>진안 신규점1</t>
        </is>
      </c>
      <c r="C53" s="44" t="inlineStr">
        <is>
          <t>S04-V</t>
        </is>
      </c>
      <c r="D53" s="45" t="n">
        <v>1</v>
      </c>
      <c r="E53" s="44" t="inlineStr">
        <is>
          <t>기준(후)</t>
        </is>
      </c>
      <c r="F53" s="45" t="n"/>
      <c r="G53" s="41" t="n"/>
      <c r="H53" s="29" t="n"/>
      <c r="I53" s="43" t="n"/>
      <c r="J53" s="41" t="n"/>
      <c r="K53" s="41" t="n"/>
      <c r="L53" s="41" t="n"/>
      <c r="M53" s="31">
        <f>IF(COUNT(J53:L53)=0,"",MEDIAN(J53:L53))</f>
        <v/>
      </c>
      <c r="N53" s="38" t="n"/>
      <c r="O53" s="38" t="n"/>
      <c r="P53" s="38" t="n"/>
      <c r="Q53" s="38" t="n"/>
      <c r="R53" s="38" t="n"/>
      <c r="S53" s="38" t="n"/>
      <c r="T53" s="38" t="n"/>
      <c r="U53" s="38" t="n"/>
      <c r="V53" s="29" t="n"/>
      <c r="W53" s="29" t="n"/>
      <c r="X53" s="32" t="n"/>
    </row>
    <row r="54">
      <c r="A54" s="44" t="inlineStr">
        <is>
          <t>S05</t>
        </is>
      </c>
      <c r="B54" s="44" t="inlineStr">
        <is>
          <t>무풍 신규점1</t>
        </is>
      </c>
      <c r="C54" s="44" t="inlineStr">
        <is>
          <t>S05-V</t>
        </is>
      </c>
      <c r="D54" s="45" t="n">
        <v>1</v>
      </c>
      <c r="E54" s="44" t="inlineStr">
        <is>
          <t>기준(전)</t>
        </is>
      </c>
      <c r="F54" s="45" t="n"/>
      <c r="G54" s="41" t="n"/>
      <c r="H54" s="29" t="n"/>
      <c r="I54" s="43" t="n"/>
      <c r="J54" s="41" t="n"/>
      <c r="K54" s="41" t="n"/>
      <c r="L54" s="41" t="n"/>
      <c r="M54" s="31">
        <f>IF(COUNT(J54:L54)=0,"",MEDIAN(J54:L54))</f>
        <v/>
      </c>
      <c r="N54" s="38" t="n"/>
      <c r="O54" s="38" t="n"/>
      <c r="P54" s="38" t="n"/>
      <c r="Q54" s="38" t="n"/>
      <c r="R54" s="38" t="n"/>
      <c r="S54" s="38" t="n"/>
      <c r="T54" s="38" t="n"/>
      <c r="U54" s="38" t="n"/>
      <c r="V54" s="29" t="n"/>
      <c r="W54" s="29" t="n"/>
      <c r="X54" s="32" t="n"/>
    </row>
    <row r="55">
      <c r="A55" s="26" t="inlineStr">
        <is>
          <t>S05</t>
        </is>
      </c>
      <c r="B55" s="26" t="inlineStr">
        <is>
          <t>무풍 신규점1</t>
        </is>
      </c>
      <c r="C55" s="26" t="inlineStr">
        <is>
          <t>S05-V</t>
        </is>
      </c>
      <c r="D55" s="47" t="n">
        <v>1</v>
      </c>
      <c r="E55" s="26" t="inlineStr">
        <is>
          <t>측정</t>
        </is>
      </c>
      <c r="F55" s="47" t="n">
        <v>20</v>
      </c>
      <c r="G55" s="41" t="n"/>
      <c r="H55" s="29" t="n"/>
      <c r="I55" s="43" t="n"/>
      <c r="J55" s="41" t="n"/>
      <c r="K55" s="41" t="n"/>
      <c r="L55" s="41" t="n"/>
      <c r="M55" s="31">
        <f>IF(COUNT(J55:L55)=0,"",MEDIAN(J55:L55))</f>
        <v/>
      </c>
      <c r="N55" s="26">
        <f>IF(COUNTIFS($C:$C,$C55,$D:$D,$D55,$E:$E,"기준(전)",$M:$M,"&gt;0")&lt;&gt;1,"기준(전) 유효 1개 아님",IF(COUNTIFS($C:$C,$C55,$D:$D,$D55,$E:$E,"기준(후)",$M:$M,"&gt;0")&lt;&gt;1,"기준(후) 유효 1개 아님",IF(NOT(AND(ISNUMBER(O55),ISNUMBER(Q55),ISNUMBER(I55))),"시각 결측",IF(Q55&lt;=O55,"기준 시각 역전",IF(OR(I55&lt;O55,I55&gt;Q55),"측정시각 구간 밖","OK")))))</f>
        <v/>
      </c>
      <c r="O55" s="48">
        <f>IF(COUNTIFS($C:$C,$C55,$D:$D,$D55,$E:$E,"기준(전)",$M:$M,"&gt;0")&lt;&gt;1,"",SUMIFS($I:$I,$C:$C,$C55,$D:$D,$D55,$E:$E,"기준(전)"))</f>
        <v/>
      </c>
      <c r="P55" s="31">
        <f>IF(COUNTIFS($C:$C,$C55,$D:$D,$D55,$E:$E,"기준(전)",$M:$M,"&gt;0")&lt;&gt;1,"",SUMIFS($M:$M,$C:$C,$C55,$D:$D,$D55,$E:$E,"기준(전)"))</f>
        <v/>
      </c>
      <c r="Q55" s="48">
        <f>IF(COUNTIFS($C:$C,$C55,$D:$D,$D55,$E:$E,"기준(후)",$M:$M,"&gt;0")&lt;&gt;1,"",SUMIFS($I:$I,$C:$C,$C55,$D:$D,$D55,$E:$E,"기준(후)"))</f>
        <v/>
      </c>
      <c r="R55" s="31">
        <f>IF(COUNTIFS($C:$C,$C55,$D:$D,$D55,$E:$E,"기준(후)",$M:$M,"&gt;0")&lt;&gt;1,"",SUMIFS($M:$M,$C:$C,$C55,$D:$D,$D55,$E:$E,"기준(후)"))</f>
        <v/>
      </c>
      <c r="S55" s="31">
        <f>IF(N55&lt;&gt;"OK","",P55+(R55-P55)*(I55-O55)/(Q55-O55))</f>
        <v/>
      </c>
      <c r="T55" s="31">
        <f>IF(OR(N55&lt;&gt;"OK",NOT(ISNUMBER(M55))),"",M55-S55)</f>
        <v/>
      </c>
      <c r="U55" s="49">
        <f>IF(OR($E54&lt;&gt;"측정",$C54&lt;&gt;$C55,$D54&lt;&gt;$D55,NOT(ISNUMBER(M55)),NOT(ISNUMBER(M54)),(IF(ISNUMBER(G55),G55,F55)-IF(ISNUMBER(G54),G54,F54))=0),"",(M55-M54)/((IF(ISNUMBER(G55),G55,F55)-IF(ISNUMBER(G54),G54,F54))/100))</f>
        <v/>
      </c>
      <c r="V55" s="29" t="n"/>
      <c r="W55" s="29" t="n"/>
      <c r="X55" s="32" t="n"/>
    </row>
    <row r="56">
      <c r="A56" s="26" t="inlineStr">
        <is>
          <t>S05</t>
        </is>
      </c>
      <c r="B56" s="26" t="inlineStr">
        <is>
          <t>무풍 신규점1</t>
        </is>
      </c>
      <c r="C56" s="26" t="inlineStr">
        <is>
          <t>S05-V</t>
        </is>
      </c>
      <c r="D56" s="47" t="n">
        <v>1</v>
      </c>
      <c r="E56" s="26" t="inlineStr">
        <is>
          <t>측정</t>
        </is>
      </c>
      <c r="F56" s="47" t="n">
        <v>40</v>
      </c>
      <c r="G56" s="41" t="n"/>
      <c r="H56" s="29" t="n"/>
      <c r="I56" s="43" t="n"/>
      <c r="J56" s="41" t="n"/>
      <c r="K56" s="41" t="n"/>
      <c r="L56" s="41" t="n"/>
      <c r="M56" s="31">
        <f>IF(COUNT(J56:L56)=0,"",MEDIAN(J56:L56))</f>
        <v/>
      </c>
      <c r="N56" s="26">
        <f>IF(COUNTIFS($C:$C,$C56,$D:$D,$D56,$E:$E,"기준(전)",$M:$M,"&gt;0")&lt;&gt;1,"기준(전) 유효 1개 아님",IF(COUNTIFS($C:$C,$C56,$D:$D,$D56,$E:$E,"기준(후)",$M:$M,"&gt;0")&lt;&gt;1,"기준(후) 유효 1개 아님",IF(NOT(AND(ISNUMBER(O56),ISNUMBER(Q56),ISNUMBER(I56))),"시각 결측",IF(Q56&lt;=O56,"기준 시각 역전",IF(OR(I56&lt;O56,I56&gt;Q56),"측정시각 구간 밖","OK")))))</f>
        <v/>
      </c>
      <c r="O56" s="48">
        <f>IF(COUNTIFS($C:$C,$C56,$D:$D,$D56,$E:$E,"기준(전)",$M:$M,"&gt;0")&lt;&gt;1,"",SUMIFS($I:$I,$C:$C,$C56,$D:$D,$D56,$E:$E,"기준(전)"))</f>
        <v/>
      </c>
      <c r="P56" s="31">
        <f>IF(COUNTIFS($C:$C,$C56,$D:$D,$D56,$E:$E,"기준(전)",$M:$M,"&gt;0")&lt;&gt;1,"",SUMIFS($M:$M,$C:$C,$C56,$D:$D,$D56,$E:$E,"기준(전)"))</f>
        <v/>
      </c>
      <c r="Q56" s="48">
        <f>IF(COUNTIFS($C:$C,$C56,$D:$D,$D56,$E:$E,"기준(후)",$M:$M,"&gt;0")&lt;&gt;1,"",SUMIFS($I:$I,$C:$C,$C56,$D:$D,$D56,$E:$E,"기준(후)"))</f>
        <v/>
      </c>
      <c r="R56" s="31">
        <f>IF(COUNTIFS($C:$C,$C56,$D:$D,$D56,$E:$E,"기준(후)",$M:$M,"&gt;0")&lt;&gt;1,"",SUMIFS($M:$M,$C:$C,$C56,$D:$D,$D56,$E:$E,"기준(후)"))</f>
        <v/>
      </c>
      <c r="S56" s="31">
        <f>IF(N56&lt;&gt;"OK","",P56+(R56-P56)*(I56-O56)/(Q56-O56))</f>
        <v/>
      </c>
      <c r="T56" s="31">
        <f>IF(OR(N56&lt;&gt;"OK",NOT(ISNUMBER(M56))),"",M56-S56)</f>
        <v/>
      </c>
      <c r="U56" s="49">
        <f>IF(OR($E55&lt;&gt;"측정",$C55&lt;&gt;$C56,$D55&lt;&gt;$D56,NOT(ISNUMBER(M56)),NOT(ISNUMBER(M55)),(IF(ISNUMBER(G56),G56,F56)-IF(ISNUMBER(G55),G55,F55))=0),"",(M56-M55)/((IF(ISNUMBER(G56),G56,F56)-IF(ISNUMBER(G55),G55,F55))/100))</f>
        <v/>
      </c>
      <c r="V56" s="29" t="n"/>
      <c r="W56" s="29" t="n"/>
      <c r="X56" s="32" t="n"/>
    </row>
    <row r="57">
      <c r="A57" s="26" t="inlineStr">
        <is>
          <t>S05</t>
        </is>
      </c>
      <c r="B57" s="26" t="inlineStr">
        <is>
          <t>무풍 신규점1</t>
        </is>
      </c>
      <c r="C57" s="26" t="inlineStr">
        <is>
          <t>S05-V</t>
        </is>
      </c>
      <c r="D57" s="47" t="n">
        <v>1</v>
      </c>
      <c r="E57" s="26" t="inlineStr">
        <is>
          <t>측정</t>
        </is>
      </c>
      <c r="F57" s="47" t="n">
        <v>60</v>
      </c>
      <c r="G57" s="41" t="n"/>
      <c r="H57" s="29" t="n"/>
      <c r="I57" s="43" t="n"/>
      <c r="J57" s="41" t="n"/>
      <c r="K57" s="41" t="n"/>
      <c r="L57" s="41" t="n"/>
      <c r="M57" s="31">
        <f>IF(COUNT(J57:L57)=0,"",MEDIAN(J57:L57))</f>
        <v/>
      </c>
      <c r="N57" s="26">
        <f>IF(COUNTIFS($C:$C,$C57,$D:$D,$D57,$E:$E,"기준(전)",$M:$M,"&gt;0")&lt;&gt;1,"기준(전) 유효 1개 아님",IF(COUNTIFS($C:$C,$C57,$D:$D,$D57,$E:$E,"기준(후)",$M:$M,"&gt;0")&lt;&gt;1,"기준(후) 유효 1개 아님",IF(NOT(AND(ISNUMBER(O57),ISNUMBER(Q57),ISNUMBER(I57))),"시각 결측",IF(Q57&lt;=O57,"기준 시각 역전",IF(OR(I57&lt;O57,I57&gt;Q57),"측정시각 구간 밖","OK")))))</f>
        <v/>
      </c>
      <c r="O57" s="48">
        <f>IF(COUNTIFS($C:$C,$C57,$D:$D,$D57,$E:$E,"기준(전)",$M:$M,"&gt;0")&lt;&gt;1,"",SUMIFS($I:$I,$C:$C,$C57,$D:$D,$D57,$E:$E,"기준(전)"))</f>
        <v/>
      </c>
      <c r="P57" s="31">
        <f>IF(COUNTIFS($C:$C,$C57,$D:$D,$D57,$E:$E,"기준(전)",$M:$M,"&gt;0")&lt;&gt;1,"",SUMIFS($M:$M,$C:$C,$C57,$D:$D,$D57,$E:$E,"기준(전)"))</f>
        <v/>
      </c>
      <c r="Q57" s="48">
        <f>IF(COUNTIFS($C:$C,$C57,$D:$D,$D57,$E:$E,"기준(후)",$M:$M,"&gt;0")&lt;&gt;1,"",SUMIFS($I:$I,$C:$C,$C57,$D:$D,$D57,$E:$E,"기준(후)"))</f>
        <v/>
      </c>
      <c r="R57" s="31">
        <f>IF(COUNTIFS($C:$C,$C57,$D:$D,$D57,$E:$E,"기준(후)",$M:$M,"&gt;0")&lt;&gt;1,"",SUMIFS($M:$M,$C:$C,$C57,$D:$D,$D57,$E:$E,"기준(후)"))</f>
        <v/>
      </c>
      <c r="S57" s="31">
        <f>IF(N57&lt;&gt;"OK","",P57+(R57-P57)*(I57-O57)/(Q57-O57))</f>
        <v/>
      </c>
      <c r="T57" s="31">
        <f>IF(OR(N57&lt;&gt;"OK",NOT(ISNUMBER(M57))),"",M57-S57)</f>
        <v/>
      </c>
      <c r="U57" s="49">
        <f>IF(OR($E56&lt;&gt;"측정",$C56&lt;&gt;$C57,$D56&lt;&gt;$D57,NOT(ISNUMBER(M57)),NOT(ISNUMBER(M56)),(IF(ISNUMBER(G57),G57,F57)-IF(ISNUMBER(G56),G56,F56))=0),"",(M57-M56)/((IF(ISNUMBER(G57),G57,F57)-IF(ISNUMBER(G56),G56,F56))/100))</f>
        <v/>
      </c>
      <c r="V57" s="29" t="n"/>
      <c r="W57" s="29" t="n"/>
      <c r="X57" s="32" t="n"/>
    </row>
    <row r="58">
      <c r="A58" s="26" t="inlineStr">
        <is>
          <t>S05</t>
        </is>
      </c>
      <c r="B58" s="26" t="inlineStr">
        <is>
          <t>무풍 신규점1</t>
        </is>
      </c>
      <c r="C58" s="26" t="inlineStr">
        <is>
          <t>S05-V</t>
        </is>
      </c>
      <c r="D58" s="47" t="n">
        <v>1</v>
      </c>
      <c r="E58" s="26" t="inlineStr">
        <is>
          <t>측정</t>
        </is>
      </c>
      <c r="F58" s="47" t="n">
        <v>80</v>
      </c>
      <c r="G58" s="41" t="n"/>
      <c r="H58" s="29" t="n"/>
      <c r="I58" s="43" t="n"/>
      <c r="J58" s="41" t="n"/>
      <c r="K58" s="41" t="n"/>
      <c r="L58" s="41" t="n"/>
      <c r="M58" s="31">
        <f>IF(COUNT(J58:L58)=0,"",MEDIAN(J58:L58))</f>
        <v/>
      </c>
      <c r="N58" s="26">
        <f>IF(COUNTIFS($C:$C,$C58,$D:$D,$D58,$E:$E,"기준(전)",$M:$M,"&gt;0")&lt;&gt;1,"기준(전) 유효 1개 아님",IF(COUNTIFS($C:$C,$C58,$D:$D,$D58,$E:$E,"기준(후)",$M:$M,"&gt;0")&lt;&gt;1,"기준(후) 유효 1개 아님",IF(NOT(AND(ISNUMBER(O58),ISNUMBER(Q58),ISNUMBER(I58))),"시각 결측",IF(Q58&lt;=O58,"기준 시각 역전",IF(OR(I58&lt;O58,I58&gt;Q58),"측정시각 구간 밖","OK")))))</f>
        <v/>
      </c>
      <c r="O58" s="48">
        <f>IF(COUNTIFS($C:$C,$C58,$D:$D,$D58,$E:$E,"기준(전)",$M:$M,"&gt;0")&lt;&gt;1,"",SUMIFS($I:$I,$C:$C,$C58,$D:$D,$D58,$E:$E,"기준(전)"))</f>
        <v/>
      </c>
      <c r="P58" s="31">
        <f>IF(COUNTIFS($C:$C,$C58,$D:$D,$D58,$E:$E,"기준(전)",$M:$M,"&gt;0")&lt;&gt;1,"",SUMIFS($M:$M,$C:$C,$C58,$D:$D,$D58,$E:$E,"기준(전)"))</f>
        <v/>
      </c>
      <c r="Q58" s="48">
        <f>IF(COUNTIFS($C:$C,$C58,$D:$D,$D58,$E:$E,"기준(후)",$M:$M,"&gt;0")&lt;&gt;1,"",SUMIFS($I:$I,$C:$C,$C58,$D:$D,$D58,$E:$E,"기준(후)"))</f>
        <v/>
      </c>
      <c r="R58" s="31">
        <f>IF(COUNTIFS($C:$C,$C58,$D:$D,$D58,$E:$E,"기준(후)",$M:$M,"&gt;0")&lt;&gt;1,"",SUMIFS($M:$M,$C:$C,$C58,$D:$D,$D58,$E:$E,"기준(후)"))</f>
        <v/>
      </c>
      <c r="S58" s="31">
        <f>IF(N58&lt;&gt;"OK","",P58+(R58-P58)*(I58-O58)/(Q58-O58))</f>
        <v/>
      </c>
      <c r="T58" s="31">
        <f>IF(OR(N58&lt;&gt;"OK",NOT(ISNUMBER(M58))),"",M58-S58)</f>
        <v/>
      </c>
      <c r="U58" s="49">
        <f>IF(OR($E57&lt;&gt;"측정",$C57&lt;&gt;$C58,$D57&lt;&gt;$D58,NOT(ISNUMBER(M58)),NOT(ISNUMBER(M57)),(IF(ISNUMBER(G58),G58,F58)-IF(ISNUMBER(G57),G57,F57))=0),"",(M58-M57)/((IF(ISNUMBER(G58),G58,F58)-IF(ISNUMBER(G57),G57,F57))/100))</f>
        <v/>
      </c>
      <c r="V58" s="29" t="n"/>
      <c r="W58" s="29" t="n"/>
      <c r="X58" s="32" t="n"/>
    </row>
    <row r="59">
      <c r="A59" s="26" t="inlineStr">
        <is>
          <t>S05</t>
        </is>
      </c>
      <c r="B59" s="26" t="inlineStr">
        <is>
          <t>무풍 신규점1</t>
        </is>
      </c>
      <c r="C59" s="26" t="inlineStr">
        <is>
          <t>S05-V</t>
        </is>
      </c>
      <c r="D59" s="47" t="n">
        <v>1</v>
      </c>
      <c r="E59" s="26" t="inlineStr">
        <is>
          <t>측정</t>
        </is>
      </c>
      <c r="F59" s="47" t="n">
        <v>100</v>
      </c>
      <c r="G59" s="41" t="n"/>
      <c r="H59" s="29" t="n"/>
      <c r="I59" s="43" t="n"/>
      <c r="J59" s="41" t="n"/>
      <c r="K59" s="41" t="n"/>
      <c r="L59" s="41" t="n"/>
      <c r="M59" s="31">
        <f>IF(COUNT(J59:L59)=0,"",MEDIAN(J59:L59))</f>
        <v/>
      </c>
      <c r="N59" s="26">
        <f>IF(COUNTIFS($C:$C,$C59,$D:$D,$D59,$E:$E,"기준(전)",$M:$M,"&gt;0")&lt;&gt;1,"기준(전) 유효 1개 아님",IF(COUNTIFS($C:$C,$C59,$D:$D,$D59,$E:$E,"기준(후)",$M:$M,"&gt;0")&lt;&gt;1,"기준(후) 유효 1개 아님",IF(NOT(AND(ISNUMBER(O59),ISNUMBER(Q59),ISNUMBER(I59))),"시각 결측",IF(Q59&lt;=O59,"기준 시각 역전",IF(OR(I59&lt;O59,I59&gt;Q59),"측정시각 구간 밖","OK")))))</f>
        <v/>
      </c>
      <c r="O59" s="48">
        <f>IF(COUNTIFS($C:$C,$C59,$D:$D,$D59,$E:$E,"기준(전)",$M:$M,"&gt;0")&lt;&gt;1,"",SUMIFS($I:$I,$C:$C,$C59,$D:$D,$D59,$E:$E,"기준(전)"))</f>
        <v/>
      </c>
      <c r="P59" s="31">
        <f>IF(COUNTIFS($C:$C,$C59,$D:$D,$D59,$E:$E,"기준(전)",$M:$M,"&gt;0")&lt;&gt;1,"",SUMIFS($M:$M,$C:$C,$C59,$D:$D,$D59,$E:$E,"기준(전)"))</f>
        <v/>
      </c>
      <c r="Q59" s="48">
        <f>IF(COUNTIFS($C:$C,$C59,$D:$D,$D59,$E:$E,"기준(후)",$M:$M,"&gt;0")&lt;&gt;1,"",SUMIFS($I:$I,$C:$C,$C59,$D:$D,$D59,$E:$E,"기준(후)"))</f>
        <v/>
      </c>
      <c r="R59" s="31">
        <f>IF(COUNTIFS($C:$C,$C59,$D:$D,$D59,$E:$E,"기준(후)",$M:$M,"&gt;0")&lt;&gt;1,"",SUMIFS($M:$M,$C:$C,$C59,$D:$D,$D59,$E:$E,"기준(후)"))</f>
        <v/>
      </c>
      <c r="S59" s="31">
        <f>IF(N59&lt;&gt;"OK","",P59+(R59-P59)*(I59-O59)/(Q59-O59))</f>
        <v/>
      </c>
      <c r="T59" s="31">
        <f>IF(OR(N59&lt;&gt;"OK",NOT(ISNUMBER(M59))),"",M59-S59)</f>
        <v/>
      </c>
      <c r="U59" s="49">
        <f>IF(OR($E58&lt;&gt;"측정",$C58&lt;&gt;$C59,$D58&lt;&gt;$D59,NOT(ISNUMBER(M59)),NOT(ISNUMBER(M58)),(IF(ISNUMBER(G59),G59,F59)-IF(ISNUMBER(G58),G58,F58))=0),"",(M59-M58)/((IF(ISNUMBER(G59),G59,F59)-IF(ISNUMBER(G58),G58,F58))/100))</f>
        <v/>
      </c>
      <c r="V59" s="29" t="n"/>
      <c r="W59" s="29" t="n"/>
      <c r="X59" s="32" t="n"/>
    </row>
    <row r="60">
      <c r="A60" s="26" t="inlineStr">
        <is>
          <t>S05</t>
        </is>
      </c>
      <c r="B60" s="26" t="inlineStr">
        <is>
          <t>무풍 신규점1</t>
        </is>
      </c>
      <c r="C60" s="26" t="inlineStr">
        <is>
          <t>S05-V</t>
        </is>
      </c>
      <c r="D60" s="47" t="n">
        <v>1</v>
      </c>
      <c r="E60" s="26" t="inlineStr">
        <is>
          <t>측정</t>
        </is>
      </c>
      <c r="F60" s="47" t="n">
        <v>120</v>
      </c>
      <c r="G60" s="41" t="n"/>
      <c r="H60" s="29" t="n"/>
      <c r="I60" s="43" t="n"/>
      <c r="J60" s="41" t="n"/>
      <c r="K60" s="41" t="n"/>
      <c r="L60" s="41" t="n"/>
      <c r="M60" s="31">
        <f>IF(COUNT(J60:L60)=0,"",MEDIAN(J60:L60))</f>
        <v/>
      </c>
      <c r="N60" s="26">
        <f>IF(COUNTIFS($C:$C,$C60,$D:$D,$D60,$E:$E,"기준(전)",$M:$M,"&gt;0")&lt;&gt;1,"기준(전) 유효 1개 아님",IF(COUNTIFS($C:$C,$C60,$D:$D,$D60,$E:$E,"기준(후)",$M:$M,"&gt;0")&lt;&gt;1,"기준(후) 유효 1개 아님",IF(NOT(AND(ISNUMBER(O60),ISNUMBER(Q60),ISNUMBER(I60))),"시각 결측",IF(Q60&lt;=O60,"기준 시각 역전",IF(OR(I60&lt;O60,I60&gt;Q60),"측정시각 구간 밖","OK")))))</f>
        <v/>
      </c>
      <c r="O60" s="48">
        <f>IF(COUNTIFS($C:$C,$C60,$D:$D,$D60,$E:$E,"기준(전)",$M:$M,"&gt;0")&lt;&gt;1,"",SUMIFS($I:$I,$C:$C,$C60,$D:$D,$D60,$E:$E,"기준(전)"))</f>
        <v/>
      </c>
      <c r="P60" s="31">
        <f>IF(COUNTIFS($C:$C,$C60,$D:$D,$D60,$E:$E,"기준(전)",$M:$M,"&gt;0")&lt;&gt;1,"",SUMIFS($M:$M,$C:$C,$C60,$D:$D,$D60,$E:$E,"기준(전)"))</f>
        <v/>
      </c>
      <c r="Q60" s="48">
        <f>IF(COUNTIFS($C:$C,$C60,$D:$D,$D60,$E:$E,"기준(후)",$M:$M,"&gt;0")&lt;&gt;1,"",SUMIFS($I:$I,$C:$C,$C60,$D:$D,$D60,$E:$E,"기준(후)"))</f>
        <v/>
      </c>
      <c r="R60" s="31">
        <f>IF(COUNTIFS($C:$C,$C60,$D:$D,$D60,$E:$E,"기준(후)",$M:$M,"&gt;0")&lt;&gt;1,"",SUMIFS($M:$M,$C:$C,$C60,$D:$D,$D60,$E:$E,"기준(후)"))</f>
        <v/>
      </c>
      <c r="S60" s="31">
        <f>IF(N60&lt;&gt;"OK","",P60+(R60-P60)*(I60-O60)/(Q60-O60))</f>
        <v/>
      </c>
      <c r="T60" s="31">
        <f>IF(OR(N60&lt;&gt;"OK",NOT(ISNUMBER(M60))),"",M60-S60)</f>
        <v/>
      </c>
      <c r="U60" s="49">
        <f>IF(OR($E59&lt;&gt;"측정",$C59&lt;&gt;$C60,$D59&lt;&gt;$D60,NOT(ISNUMBER(M60)),NOT(ISNUMBER(M59)),(IF(ISNUMBER(G60),G60,F60)-IF(ISNUMBER(G59),G59,F59))=0),"",(M60-M59)/((IF(ISNUMBER(G60),G60,F60)-IF(ISNUMBER(G59),G59,F59))/100))</f>
        <v/>
      </c>
      <c r="V60" s="29" t="n"/>
      <c r="W60" s="29" t="n"/>
      <c r="X60" s="32" t="n"/>
    </row>
    <row r="61">
      <c r="A61" s="26" t="inlineStr">
        <is>
          <t>S05</t>
        </is>
      </c>
      <c r="B61" s="26" t="inlineStr">
        <is>
          <t>무풍 신규점1</t>
        </is>
      </c>
      <c r="C61" s="26" t="inlineStr">
        <is>
          <t>S05-V</t>
        </is>
      </c>
      <c r="D61" s="47" t="n">
        <v>1</v>
      </c>
      <c r="E61" s="26" t="inlineStr">
        <is>
          <t>측정</t>
        </is>
      </c>
      <c r="F61" s="47" t="n">
        <v>140</v>
      </c>
      <c r="G61" s="41" t="n"/>
      <c r="H61" s="29" t="n"/>
      <c r="I61" s="43" t="n"/>
      <c r="J61" s="41" t="n"/>
      <c r="K61" s="41" t="n"/>
      <c r="L61" s="41" t="n"/>
      <c r="M61" s="31">
        <f>IF(COUNT(J61:L61)=0,"",MEDIAN(J61:L61))</f>
        <v/>
      </c>
      <c r="N61" s="26">
        <f>IF(COUNTIFS($C:$C,$C61,$D:$D,$D61,$E:$E,"기준(전)",$M:$M,"&gt;0")&lt;&gt;1,"기준(전) 유효 1개 아님",IF(COUNTIFS($C:$C,$C61,$D:$D,$D61,$E:$E,"기준(후)",$M:$M,"&gt;0")&lt;&gt;1,"기준(후) 유효 1개 아님",IF(NOT(AND(ISNUMBER(O61),ISNUMBER(Q61),ISNUMBER(I61))),"시각 결측",IF(Q61&lt;=O61,"기준 시각 역전",IF(OR(I61&lt;O61,I61&gt;Q61),"측정시각 구간 밖","OK")))))</f>
        <v/>
      </c>
      <c r="O61" s="48">
        <f>IF(COUNTIFS($C:$C,$C61,$D:$D,$D61,$E:$E,"기준(전)",$M:$M,"&gt;0")&lt;&gt;1,"",SUMIFS($I:$I,$C:$C,$C61,$D:$D,$D61,$E:$E,"기준(전)"))</f>
        <v/>
      </c>
      <c r="P61" s="31">
        <f>IF(COUNTIFS($C:$C,$C61,$D:$D,$D61,$E:$E,"기준(전)",$M:$M,"&gt;0")&lt;&gt;1,"",SUMIFS($M:$M,$C:$C,$C61,$D:$D,$D61,$E:$E,"기준(전)"))</f>
        <v/>
      </c>
      <c r="Q61" s="48">
        <f>IF(COUNTIFS($C:$C,$C61,$D:$D,$D61,$E:$E,"기준(후)",$M:$M,"&gt;0")&lt;&gt;1,"",SUMIFS($I:$I,$C:$C,$C61,$D:$D,$D61,$E:$E,"기준(후)"))</f>
        <v/>
      </c>
      <c r="R61" s="31">
        <f>IF(COUNTIFS($C:$C,$C61,$D:$D,$D61,$E:$E,"기준(후)",$M:$M,"&gt;0")&lt;&gt;1,"",SUMIFS($M:$M,$C:$C,$C61,$D:$D,$D61,$E:$E,"기준(후)"))</f>
        <v/>
      </c>
      <c r="S61" s="31">
        <f>IF(N61&lt;&gt;"OK","",P61+(R61-P61)*(I61-O61)/(Q61-O61))</f>
        <v/>
      </c>
      <c r="T61" s="31">
        <f>IF(OR(N61&lt;&gt;"OK",NOT(ISNUMBER(M61))),"",M61-S61)</f>
        <v/>
      </c>
      <c r="U61" s="49">
        <f>IF(OR($E60&lt;&gt;"측정",$C60&lt;&gt;$C61,$D60&lt;&gt;$D61,NOT(ISNUMBER(M61)),NOT(ISNUMBER(M60)),(IF(ISNUMBER(G61),G61,F61)-IF(ISNUMBER(G60),G60,F60))=0),"",(M61-M60)/((IF(ISNUMBER(G61),G61,F61)-IF(ISNUMBER(G60),G60,F60))/100))</f>
        <v/>
      </c>
      <c r="V61" s="29" t="n"/>
      <c r="W61" s="29" t="n"/>
      <c r="X61" s="32" t="n"/>
    </row>
    <row r="62">
      <c r="A62" s="26" t="inlineStr">
        <is>
          <t>S05</t>
        </is>
      </c>
      <c r="B62" s="26" t="inlineStr">
        <is>
          <t>무풍 신규점1</t>
        </is>
      </c>
      <c r="C62" s="26" t="inlineStr">
        <is>
          <t>S05-V</t>
        </is>
      </c>
      <c r="D62" s="47" t="n">
        <v>1</v>
      </c>
      <c r="E62" s="26" t="inlineStr">
        <is>
          <t>측정</t>
        </is>
      </c>
      <c r="F62" s="47" t="n">
        <v>160</v>
      </c>
      <c r="G62" s="41" t="n"/>
      <c r="H62" s="29" t="n"/>
      <c r="I62" s="43" t="n"/>
      <c r="J62" s="41" t="n"/>
      <c r="K62" s="41" t="n"/>
      <c r="L62" s="41" t="n"/>
      <c r="M62" s="31">
        <f>IF(COUNT(J62:L62)=0,"",MEDIAN(J62:L62))</f>
        <v/>
      </c>
      <c r="N62" s="26">
        <f>IF(COUNTIFS($C:$C,$C62,$D:$D,$D62,$E:$E,"기준(전)",$M:$M,"&gt;0")&lt;&gt;1,"기준(전) 유효 1개 아님",IF(COUNTIFS($C:$C,$C62,$D:$D,$D62,$E:$E,"기준(후)",$M:$M,"&gt;0")&lt;&gt;1,"기준(후) 유효 1개 아님",IF(NOT(AND(ISNUMBER(O62),ISNUMBER(Q62),ISNUMBER(I62))),"시각 결측",IF(Q62&lt;=O62,"기준 시각 역전",IF(OR(I62&lt;O62,I62&gt;Q62),"측정시각 구간 밖","OK")))))</f>
        <v/>
      </c>
      <c r="O62" s="48">
        <f>IF(COUNTIFS($C:$C,$C62,$D:$D,$D62,$E:$E,"기준(전)",$M:$M,"&gt;0")&lt;&gt;1,"",SUMIFS($I:$I,$C:$C,$C62,$D:$D,$D62,$E:$E,"기준(전)"))</f>
        <v/>
      </c>
      <c r="P62" s="31">
        <f>IF(COUNTIFS($C:$C,$C62,$D:$D,$D62,$E:$E,"기준(전)",$M:$M,"&gt;0")&lt;&gt;1,"",SUMIFS($M:$M,$C:$C,$C62,$D:$D,$D62,$E:$E,"기준(전)"))</f>
        <v/>
      </c>
      <c r="Q62" s="48">
        <f>IF(COUNTIFS($C:$C,$C62,$D:$D,$D62,$E:$E,"기준(후)",$M:$M,"&gt;0")&lt;&gt;1,"",SUMIFS($I:$I,$C:$C,$C62,$D:$D,$D62,$E:$E,"기준(후)"))</f>
        <v/>
      </c>
      <c r="R62" s="31">
        <f>IF(COUNTIFS($C:$C,$C62,$D:$D,$D62,$E:$E,"기준(후)",$M:$M,"&gt;0")&lt;&gt;1,"",SUMIFS($M:$M,$C:$C,$C62,$D:$D,$D62,$E:$E,"기준(후)"))</f>
        <v/>
      </c>
      <c r="S62" s="31">
        <f>IF(N62&lt;&gt;"OK","",P62+(R62-P62)*(I62-O62)/(Q62-O62))</f>
        <v/>
      </c>
      <c r="T62" s="31">
        <f>IF(OR(N62&lt;&gt;"OK",NOT(ISNUMBER(M62))),"",M62-S62)</f>
        <v/>
      </c>
      <c r="U62" s="49">
        <f>IF(OR($E61&lt;&gt;"측정",$C61&lt;&gt;$C62,$D61&lt;&gt;$D62,NOT(ISNUMBER(M62)),NOT(ISNUMBER(M61)),(IF(ISNUMBER(G62),G62,F62)-IF(ISNUMBER(G61),G61,F61))=0),"",(M62-M61)/((IF(ISNUMBER(G62),G62,F62)-IF(ISNUMBER(G61),G61,F61))/100))</f>
        <v/>
      </c>
      <c r="V62" s="29" t="n"/>
      <c r="W62" s="29" t="n"/>
      <c r="X62" s="32" t="n"/>
    </row>
    <row r="63">
      <c r="A63" s="26" t="inlineStr">
        <is>
          <t>S05</t>
        </is>
      </c>
      <c r="B63" s="26" t="inlineStr">
        <is>
          <t>무풍 신규점1</t>
        </is>
      </c>
      <c r="C63" s="26" t="inlineStr">
        <is>
          <t>S05-V</t>
        </is>
      </c>
      <c r="D63" s="47" t="n">
        <v>1</v>
      </c>
      <c r="E63" s="26" t="inlineStr">
        <is>
          <t>측정</t>
        </is>
      </c>
      <c r="F63" s="47" t="n">
        <v>180</v>
      </c>
      <c r="G63" s="41" t="n"/>
      <c r="H63" s="29" t="n"/>
      <c r="I63" s="43" t="n"/>
      <c r="J63" s="41" t="n"/>
      <c r="K63" s="41" t="n"/>
      <c r="L63" s="41" t="n"/>
      <c r="M63" s="31">
        <f>IF(COUNT(J63:L63)=0,"",MEDIAN(J63:L63))</f>
        <v/>
      </c>
      <c r="N63" s="26">
        <f>IF(COUNTIFS($C:$C,$C63,$D:$D,$D63,$E:$E,"기준(전)",$M:$M,"&gt;0")&lt;&gt;1,"기준(전) 유효 1개 아님",IF(COUNTIFS($C:$C,$C63,$D:$D,$D63,$E:$E,"기준(후)",$M:$M,"&gt;0")&lt;&gt;1,"기준(후) 유효 1개 아님",IF(NOT(AND(ISNUMBER(O63),ISNUMBER(Q63),ISNUMBER(I63))),"시각 결측",IF(Q63&lt;=O63,"기준 시각 역전",IF(OR(I63&lt;O63,I63&gt;Q63),"측정시각 구간 밖","OK")))))</f>
        <v/>
      </c>
      <c r="O63" s="48">
        <f>IF(COUNTIFS($C:$C,$C63,$D:$D,$D63,$E:$E,"기준(전)",$M:$M,"&gt;0")&lt;&gt;1,"",SUMIFS($I:$I,$C:$C,$C63,$D:$D,$D63,$E:$E,"기준(전)"))</f>
        <v/>
      </c>
      <c r="P63" s="31">
        <f>IF(COUNTIFS($C:$C,$C63,$D:$D,$D63,$E:$E,"기준(전)",$M:$M,"&gt;0")&lt;&gt;1,"",SUMIFS($M:$M,$C:$C,$C63,$D:$D,$D63,$E:$E,"기준(전)"))</f>
        <v/>
      </c>
      <c r="Q63" s="48">
        <f>IF(COUNTIFS($C:$C,$C63,$D:$D,$D63,$E:$E,"기준(후)",$M:$M,"&gt;0")&lt;&gt;1,"",SUMIFS($I:$I,$C:$C,$C63,$D:$D,$D63,$E:$E,"기준(후)"))</f>
        <v/>
      </c>
      <c r="R63" s="31">
        <f>IF(COUNTIFS($C:$C,$C63,$D:$D,$D63,$E:$E,"기준(후)",$M:$M,"&gt;0")&lt;&gt;1,"",SUMIFS($M:$M,$C:$C,$C63,$D:$D,$D63,$E:$E,"기준(후)"))</f>
        <v/>
      </c>
      <c r="S63" s="31">
        <f>IF(N63&lt;&gt;"OK","",P63+(R63-P63)*(I63-O63)/(Q63-O63))</f>
        <v/>
      </c>
      <c r="T63" s="31">
        <f>IF(OR(N63&lt;&gt;"OK",NOT(ISNUMBER(M63))),"",M63-S63)</f>
        <v/>
      </c>
      <c r="U63" s="49">
        <f>IF(OR($E62&lt;&gt;"측정",$C62&lt;&gt;$C63,$D62&lt;&gt;$D63,NOT(ISNUMBER(M63)),NOT(ISNUMBER(M62)),(IF(ISNUMBER(G63),G63,F63)-IF(ISNUMBER(G62),G62,F62))=0),"",(M63-M62)/((IF(ISNUMBER(G63),G63,F63)-IF(ISNUMBER(G62),G62,F62))/100))</f>
        <v/>
      </c>
      <c r="V63" s="29" t="n"/>
      <c r="W63" s="29" t="n"/>
      <c r="X63" s="32" t="n"/>
    </row>
    <row r="64">
      <c r="A64" s="26" t="inlineStr">
        <is>
          <t>S05</t>
        </is>
      </c>
      <c r="B64" s="26" t="inlineStr">
        <is>
          <t>무풍 신규점1</t>
        </is>
      </c>
      <c r="C64" s="26" t="inlineStr">
        <is>
          <t>S05-V</t>
        </is>
      </c>
      <c r="D64" s="47" t="n">
        <v>1</v>
      </c>
      <c r="E64" s="26" t="inlineStr">
        <is>
          <t>측정</t>
        </is>
      </c>
      <c r="F64" s="47" t="n">
        <v>200</v>
      </c>
      <c r="G64" s="41" t="n"/>
      <c r="H64" s="29" t="n"/>
      <c r="I64" s="43" t="n"/>
      <c r="J64" s="41" t="n"/>
      <c r="K64" s="41" t="n"/>
      <c r="L64" s="41" t="n"/>
      <c r="M64" s="31">
        <f>IF(COUNT(J64:L64)=0,"",MEDIAN(J64:L64))</f>
        <v/>
      </c>
      <c r="N64" s="26">
        <f>IF(COUNTIFS($C:$C,$C64,$D:$D,$D64,$E:$E,"기준(전)",$M:$M,"&gt;0")&lt;&gt;1,"기준(전) 유효 1개 아님",IF(COUNTIFS($C:$C,$C64,$D:$D,$D64,$E:$E,"기준(후)",$M:$M,"&gt;0")&lt;&gt;1,"기준(후) 유효 1개 아님",IF(NOT(AND(ISNUMBER(O64),ISNUMBER(Q64),ISNUMBER(I64))),"시각 결측",IF(Q64&lt;=O64,"기준 시각 역전",IF(OR(I64&lt;O64,I64&gt;Q64),"측정시각 구간 밖","OK")))))</f>
        <v/>
      </c>
      <c r="O64" s="48">
        <f>IF(COUNTIFS($C:$C,$C64,$D:$D,$D64,$E:$E,"기준(전)",$M:$M,"&gt;0")&lt;&gt;1,"",SUMIFS($I:$I,$C:$C,$C64,$D:$D,$D64,$E:$E,"기준(전)"))</f>
        <v/>
      </c>
      <c r="P64" s="31">
        <f>IF(COUNTIFS($C:$C,$C64,$D:$D,$D64,$E:$E,"기준(전)",$M:$M,"&gt;0")&lt;&gt;1,"",SUMIFS($M:$M,$C:$C,$C64,$D:$D,$D64,$E:$E,"기준(전)"))</f>
        <v/>
      </c>
      <c r="Q64" s="48">
        <f>IF(COUNTIFS($C:$C,$C64,$D:$D,$D64,$E:$E,"기준(후)",$M:$M,"&gt;0")&lt;&gt;1,"",SUMIFS($I:$I,$C:$C,$C64,$D:$D,$D64,$E:$E,"기준(후)"))</f>
        <v/>
      </c>
      <c r="R64" s="31">
        <f>IF(COUNTIFS($C:$C,$C64,$D:$D,$D64,$E:$E,"기준(후)",$M:$M,"&gt;0")&lt;&gt;1,"",SUMIFS($M:$M,$C:$C,$C64,$D:$D,$D64,$E:$E,"기준(후)"))</f>
        <v/>
      </c>
      <c r="S64" s="31">
        <f>IF(N64&lt;&gt;"OK","",P64+(R64-P64)*(I64-O64)/(Q64-O64))</f>
        <v/>
      </c>
      <c r="T64" s="31">
        <f>IF(OR(N64&lt;&gt;"OK",NOT(ISNUMBER(M64))),"",M64-S64)</f>
        <v/>
      </c>
      <c r="U64" s="49">
        <f>IF(OR($E63&lt;&gt;"측정",$C63&lt;&gt;$C64,$D63&lt;&gt;$D64,NOT(ISNUMBER(M64)),NOT(ISNUMBER(M63)),(IF(ISNUMBER(G64),G64,F64)-IF(ISNUMBER(G63),G63,F63))=0),"",(M64-M63)/((IF(ISNUMBER(G64),G64,F64)-IF(ISNUMBER(G63),G63,F63))/100))</f>
        <v/>
      </c>
      <c r="V64" s="29" t="n"/>
      <c r="W64" s="29" t="n"/>
      <c r="X64" s="32" t="n"/>
    </row>
    <row r="65">
      <c r="A65" s="44" t="inlineStr">
        <is>
          <t>S05</t>
        </is>
      </c>
      <c r="B65" s="44" t="inlineStr">
        <is>
          <t>무풍 신규점1</t>
        </is>
      </c>
      <c r="C65" s="44" t="inlineStr">
        <is>
          <t>S05-V</t>
        </is>
      </c>
      <c r="D65" s="45" t="n">
        <v>1</v>
      </c>
      <c r="E65" s="44" t="inlineStr">
        <is>
          <t>기준(후)</t>
        </is>
      </c>
      <c r="F65" s="45" t="n"/>
      <c r="G65" s="41" t="n"/>
      <c r="H65" s="29" t="n"/>
      <c r="I65" s="43" t="n"/>
      <c r="J65" s="41" t="n"/>
      <c r="K65" s="41" t="n"/>
      <c r="L65" s="41" t="n"/>
      <c r="M65" s="31">
        <f>IF(COUNT(J65:L65)=0,"",MEDIAN(J65:L65))</f>
        <v/>
      </c>
      <c r="N65" s="38" t="n"/>
      <c r="O65" s="38" t="n"/>
      <c r="P65" s="38" t="n"/>
      <c r="Q65" s="38" t="n"/>
      <c r="R65" s="38" t="n"/>
      <c r="S65" s="38" t="n"/>
      <c r="T65" s="38" t="n"/>
      <c r="U65" s="38" t="n"/>
      <c r="V65" s="29" t="n"/>
      <c r="W65" s="29" t="n"/>
      <c r="X65" s="32" t="n"/>
    </row>
    <row r="66">
      <c r="A66" s="44" t="inlineStr">
        <is>
          <t>S06</t>
        </is>
      </c>
      <c r="B66" s="44" t="inlineStr">
        <is>
          <t>길담 신규점</t>
        </is>
      </c>
      <c r="C66" s="44" t="inlineStr">
        <is>
          <t>S06-V</t>
        </is>
      </c>
      <c r="D66" s="45" t="n">
        <v>1</v>
      </c>
      <c r="E66" s="44" t="inlineStr">
        <is>
          <t>기준(전)</t>
        </is>
      </c>
      <c r="F66" s="45" t="n"/>
      <c r="G66" s="41" t="n"/>
      <c r="H66" s="29" t="n"/>
      <c r="I66" s="43" t="n"/>
      <c r="J66" s="41" t="n"/>
      <c r="K66" s="41" t="n"/>
      <c r="L66" s="41" t="n"/>
      <c r="M66" s="31">
        <f>IF(COUNT(J66:L66)=0,"",MEDIAN(J66:L66))</f>
        <v/>
      </c>
      <c r="N66" s="38" t="n"/>
      <c r="O66" s="38" t="n"/>
      <c r="P66" s="38" t="n"/>
      <c r="Q66" s="38" t="n"/>
      <c r="R66" s="38" t="n"/>
      <c r="S66" s="38" t="n"/>
      <c r="T66" s="38" t="n"/>
      <c r="U66" s="38" t="n"/>
      <c r="V66" s="29" t="n"/>
      <c r="W66" s="29" t="n"/>
      <c r="X66" s="32" t="n"/>
    </row>
    <row r="67">
      <c r="A67" s="26" t="inlineStr">
        <is>
          <t>S06</t>
        </is>
      </c>
      <c r="B67" s="26" t="inlineStr">
        <is>
          <t>길담 신규점</t>
        </is>
      </c>
      <c r="C67" s="26" t="inlineStr">
        <is>
          <t>S06-V</t>
        </is>
      </c>
      <c r="D67" s="47" t="n">
        <v>1</v>
      </c>
      <c r="E67" s="26" t="inlineStr">
        <is>
          <t>측정</t>
        </is>
      </c>
      <c r="F67" s="47" t="n">
        <v>20</v>
      </c>
      <c r="G67" s="41" t="n"/>
      <c r="H67" s="29" t="n"/>
      <c r="I67" s="43" t="n"/>
      <c r="J67" s="41" t="n"/>
      <c r="K67" s="41" t="n"/>
      <c r="L67" s="41" t="n"/>
      <c r="M67" s="31">
        <f>IF(COUNT(J67:L67)=0,"",MEDIAN(J67:L67))</f>
        <v/>
      </c>
      <c r="N67" s="26">
        <f>IF(COUNTIFS($C:$C,$C67,$D:$D,$D67,$E:$E,"기준(전)",$M:$M,"&gt;0")&lt;&gt;1,"기준(전) 유효 1개 아님",IF(COUNTIFS($C:$C,$C67,$D:$D,$D67,$E:$E,"기준(후)",$M:$M,"&gt;0")&lt;&gt;1,"기준(후) 유효 1개 아님",IF(NOT(AND(ISNUMBER(O67),ISNUMBER(Q67),ISNUMBER(I67))),"시각 결측",IF(Q67&lt;=O67,"기준 시각 역전",IF(OR(I67&lt;O67,I67&gt;Q67),"측정시각 구간 밖","OK")))))</f>
        <v/>
      </c>
      <c r="O67" s="48">
        <f>IF(COUNTIFS($C:$C,$C67,$D:$D,$D67,$E:$E,"기준(전)",$M:$M,"&gt;0")&lt;&gt;1,"",SUMIFS($I:$I,$C:$C,$C67,$D:$D,$D67,$E:$E,"기준(전)"))</f>
        <v/>
      </c>
      <c r="P67" s="31">
        <f>IF(COUNTIFS($C:$C,$C67,$D:$D,$D67,$E:$E,"기준(전)",$M:$M,"&gt;0")&lt;&gt;1,"",SUMIFS($M:$M,$C:$C,$C67,$D:$D,$D67,$E:$E,"기준(전)"))</f>
        <v/>
      </c>
      <c r="Q67" s="48">
        <f>IF(COUNTIFS($C:$C,$C67,$D:$D,$D67,$E:$E,"기준(후)",$M:$M,"&gt;0")&lt;&gt;1,"",SUMIFS($I:$I,$C:$C,$C67,$D:$D,$D67,$E:$E,"기준(후)"))</f>
        <v/>
      </c>
      <c r="R67" s="31">
        <f>IF(COUNTIFS($C:$C,$C67,$D:$D,$D67,$E:$E,"기준(후)",$M:$M,"&gt;0")&lt;&gt;1,"",SUMIFS($M:$M,$C:$C,$C67,$D:$D,$D67,$E:$E,"기준(후)"))</f>
        <v/>
      </c>
      <c r="S67" s="31">
        <f>IF(N67&lt;&gt;"OK","",P67+(R67-P67)*(I67-O67)/(Q67-O67))</f>
        <v/>
      </c>
      <c r="T67" s="31">
        <f>IF(OR(N67&lt;&gt;"OK",NOT(ISNUMBER(M67))),"",M67-S67)</f>
        <v/>
      </c>
      <c r="U67" s="49">
        <f>IF(OR($E66&lt;&gt;"측정",$C66&lt;&gt;$C67,$D66&lt;&gt;$D67,NOT(ISNUMBER(M67)),NOT(ISNUMBER(M66)),(IF(ISNUMBER(G67),G67,F67)-IF(ISNUMBER(G66),G66,F66))=0),"",(M67-M66)/((IF(ISNUMBER(G67),G67,F67)-IF(ISNUMBER(G66),G66,F66))/100))</f>
        <v/>
      </c>
      <c r="V67" s="29" t="n"/>
      <c r="W67" s="29" t="n"/>
      <c r="X67" s="32" t="n"/>
    </row>
    <row r="68">
      <c r="A68" s="26" t="inlineStr">
        <is>
          <t>S06</t>
        </is>
      </c>
      <c r="B68" s="26" t="inlineStr">
        <is>
          <t>길담 신규점</t>
        </is>
      </c>
      <c r="C68" s="26" t="inlineStr">
        <is>
          <t>S06-V</t>
        </is>
      </c>
      <c r="D68" s="47" t="n">
        <v>1</v>
      </c>
      <c r="E68" s="26" t="inlineStr">
        <is>
          <t>측정</t>
        </is>
      </c>
      <c r="F68" s="47" t="n">
        <v>40</v>
      </c>
      <c r="G68" s="41" t="n"/>
      <c r="H68" s="29" t="n"/>
      <c r="I68" s="43" t="n"/>
      <c r="J68" s="41" t="n"/>
      <c r="K68" s="41" t="n"/>
      <c r="L68" s="41" t="n"/>
      <c r="M68" s="31">
        <f>IF(COUNT(J68:L68)=0,"",MEDIAN(J68:L68))</f>
        <v/>
      </c>
      <c r="N68" s="26">
        <f>IF(COUNTIFS($C:$C,$C68,$D:$D,$D68,$E:$E,"기준(전)",$M:$M,"&gt;0")&lt;&gt;1,"기준(전) 유효 1개 아님",IF(COUNTIFS($C:$C,$C68,$D:$D,$D68,$E:$E,"기준(후)",$M:$M,"&gt;0")&lt;&gt;1,"기준(후) 유효 1개 아님",IF(NOT(AND(ISNUMBER(O68),ISNUMBER(Q68),ISNUMBER(I68))),"시각 결측",IF(Q68&lt;=O68,"기준 시각 역전",IF(OR(I68&lt;O68,I68&gt;Q68),"측정시각 구간 밖","OK")))))</f>
        <v/>
      </c>
      <c r="O68" s="48">
        <f>IF(COUNTIFS($C:$C,$C68,$D:$D,$D68,$E:$E,"기준(전)",$M:$M,"&gt;0")&lt;&gt;1,"",SUMIFS($I:$I,$C:$C,$C68,$D:$D,$D68,$E:$E,"기준(전)"))</f>
        <v/>
      </c>
      <c r="P68" s="31">
        <f>IF(COUNTIFS($C:$C,$C68,$D:$D,$D68,$E:$E,"기준(전)",$M:$M,"&gt;0")&lt;&gt;1,"",SUMIFS($M:$M,$C:$C,$C68,$D:$D,$D68,$E:$E,"기준(전)"))</f>
        <v/>
      </c>
      <c r="Q68" s="48">
        <f>IF(COUNTIFS($C:$C,$C68,$D:$D,$D68,$E:$E,"기준(후)",$M:$M,"&gt;0")&lt;&gt;1,"",SUMIFS($I:$I,$C:$C,$C68,$D:$D,$D68,$E:$E,"기준(후)"))</f>
        <v/>
      </c>
      <c r="R68" s="31">
        <f>IF(COUNTIFS($C:$C,$C68,$D:$D,$D68,$E:$E,"기준(후)",$M:$M,"&gt;0")&lt;&gt;1,"",SUMIFS($M:$M,$C:$C,$C68,$D:$D,$D68,$E:$E,"기준(후)"))</f>
        <v/>
      </c>
      <c r="S68" s="31">
        <f>IF(N68&lt;&gt;"OK","",P68+(R68-P68)*(I68-O68)/(Q68-O68))</f>
        <v/>
      </c>
      <c r="T68" s="31">
        <f>IF(OR(N68&lt;&gt;"OK",NOT(ISNUMBER(M68))),"",M68-S68)</f>
        <v/>
      </c>
      <c r="U68" s="49">
        <f>IF(OR($E67&lt;&gt;"측정",$C67&lt;&gt;$C68,$D67&lt;&gt;$D68,NOT(ISNUMBER(M68)),NOT(ISNUMBER(M67)),(IF(ISNUMBER(G68),G68,F68)-IF(ISNUMBER(G67),G67,F67))=0),"",(M68-M67)/((IF(ISNUMBER(G68),G68,F68)-IF(ISNUMBER(G67),G67,F67))/100))</f>
        <v/>
      </c>
      <c r="V68" s="29" t="n"/>
      <c r="W68" s="29" t="n"/>
      <c r="X68" s="32" t="n"/>
    </row>
    <row r="69">
      <c r="A69" s="26" t="inlineStr">
        <is>
          <t>S06</t>
        </is>
      </c>
      <c r="B69" s="26" t="inlineStr">
        <is>
          <t>길담 신규점</t>
        </is>
      </c>
      <c r="C69" s="26" t="inlineStr">
        <is>
          <t>S06-V</t>
        </is>
      </c>
      <c r="D69" s="47" t="n">
        <v>1</v>
      </c>
      <c r="E69" s="26" t="inlineStr">
        <is>
          <t>측정</t>
        </is>
      </c>
      <c r="F69" s="47" t="n">
        <v>60</v>
      </c>
      <c r="G69" s="41" t="n"/>
      <c r="H69" s="29" t="n"/>
      <c r="I69" s="43" t="n"/>
      <c r="J69" s="41" t="n"/>
      <c r="K69" s="41" t="n"/>
      <c r="L69" s="41" t="n"/>
      <c r="M69" s="31">
        <f>IF(COUNT(J69:L69)=0,"",MEDIAN(J69:L69))</f>
        <v/>
      </c>
      <c r="N69" s="26">
        <f>IF(COUNTIFS($C:$C,$C69,$D:$D,$D69,$E:$E,"기준(전)",$M:$M,"&gt;0")&lt;&gt;1,"기준(전) 유효 1개 아님",IF(COUNTIFS($C:$C,$C69,$D:$D,$D69,$E:$E,"기준(후)",$M:$M,"&gt;0")&lt;&gt;1,"기준(후) 유효 1개 아님",IF(NOT(AND(ISNUMBER(O69),ISNUMBER(Q69),ISNUMBER(I69))),"시각 결측",IF(Q69&lt;=O69,"기준 시각 역전",IF(OR(I69&lt;O69,I69&gt;Q69),"측정시각 구간 밖","OK")))))</f>
        <v/>
      </c>
      <c r="O69" s="48">
        <f>IF(COUNTIFS($C:$C,$C69,$D:$D,$D69,$E:$E,"기준(전)",$M:$M,"&gt;0")&lt;&gt;1,"",SUMIFS($I:$I,$C:$C,$C69,$D:$D,$D69,$E:$E,"기준(전)"))</f>
        <v/>
      </c>
      <c r="P69" s="31">
        <f>IF(COUNTIFS($C:$C,$C69,$D:$D,$D69,$E:$E,"기준(전)",$M:$M,"&gt;0")&lt;&gt;1,"",SUMIFS($M:$M,$C:$C,$C69,$D:$D,$D69,$E:$E,"기준(전)"))</f>
        <v/>
      </c>
      <c r="Q69" s="48">
        <f>IF(COUNTIFS($C:$C,$C69,$D:$D,$D69,$E:$E,"기준(후)",$M:$M,"&gt;0")&lt;&gt;1,"",SUMIFS($I:$I,$C:$C,$C69,$D:$D,$D69,$E:$E,"기준(후)"))</f>
        <v/>
      </c>
      <c r="R69" s="31">
        <f>IF(COUNTIFS($C:$C,$C69,$D:$D,$D69,$E:$E,"기준(후)",$M:$M,"&gt;0")&lt;&gt;1,"",SUMIFS($M:$M,$C:$C,$C69,$D:$D,$D69,$E:$E,"기준(후)"))</f>
        <v/>
      </c>
      <c r="S69" s="31">
        <f>IF(N69&lt;&gt;"OK","",P69+(R69-P69)*(I69-O69)/(Q69-O69))</f>
        <v/>
      </c>
      <c r="T69" s="31">
        <f>IF(OR(N69&lt;&gt;"OK",NOT(ISNUMBER(M69))),"",M69-S69)</f>
        <v/>
      </c>
      <c r="U69" s="49">
        <f>IF(OR($E68&lt;&gt;"측정",$C68&lt;&gt;$C69,$D68&lt;&gt;$D69,NOT(ISNUMBER(M69)),NOT(ISNUMBER(M68)),(IF(ISNUMBER(G69),G69,F69)-IF(ISNUMBER(G68),G68,F68))=0),"",(M69-M68)/((IF(ISNUMBER(G69),G69,F69)-IF(ISNUMBER(G68),G68,F68))/100))</f>
        <v/>
      </c>
      <c r="V69" s="29" t="n"/>
      <c r="W69" s="29" t="n"/>
      <c r="X69" s="32" t="n"/>
    </row>
    <row r="70">
      <c r="A70" s="26" t="inlineStr">
        <is>
          <t>S06</t>
        </is>
      </c>
      <c r="B70" s="26" t="inlineStr">
        <is>
          <t>길담 신규점</t>
        </is>
      </c>
      <c r="C70" s="26" t="inlineStr">
        <is>
          <t>S06-V</t>
        </is>
      </c>
      <c r="D70" s="47" t="n">
        <v>1</v>
      </c>
      <c r="E70" s="26" t="inlineStr">
        <is>
          <t>측정</t>
        </is>
      </c>
      <c r="F70" s="47" t="n">
        <v>80</v>
      </c>
      <c r="G70" s="41" t="n"/>
      <c r="H70" s="29" t="n"/>
      <c r="I70" s="43" t="n"/>
      <c r="J70" s="41" t="n"/>
      <c r="K70" s="41" t="n"/>
      <c r="L70" s="41" t="n"/>
      <c r="M70" s="31">
        <f>IF(COUNT(J70:L70)=0,"",MEDIAN(J70:L70))</f>
        <v/>
      </c>
      <c r="N70" s="26">
        <f>IF(COUNTIFS($C:$C,$C70,$D:$D,$D70,$E:$E,"기준(전)",$M:$M,"&gt;0")&lt;&gt;1,"기준(전) 유효 1개 아님",IF(COUNTIFS($C:$C,$C70,$D:$D,$D70,$E:$E,"기준(후)",$M:$M,"&gt;0")&lt;&gt;1,"기준(후) 유효 1개 아님",IF(NOT(AND(ISNUMBER(O70),ISNUMBER(Q70),ISNUMBER(I70))),"시각 결측",IF(Q70&lt;=O70,"기준 시각 역전",IF(OR(I70&lt;O70,I70&gt;Q70),"측정시각 구간 밖","OK")))))</f>
        <v/>
      </c>
      <c r="O70" s="48">
        <f>IF(COUNTIFS($C:$C,$C70,$D:$D,$D70,$E:$E,"기준(전)",$M:$M,"&gt;0")&lt;&gt;1,"",SUMIFS($I:$I,$C:$C,$C70,$D:$D,$D70,$E:$E,"기준(전)"))</f>
        <v/>
      </c>
      <c r="P70" s="31">
        <f>IF(COUNTIFS($C:$C,$C70,$D:$D,$D70,$E:$E,"기준(전)",$M:$M,"&gt;0")&lt;&gt;1,"",SUMIFS($M:$M,$C:$C,$C70,$D:$D,$D70,$E:$E,"기준(전)"))</f>
        <v/>
      </c>
      <c r="Q70" s="48">
        <f>IF(COUNTIFS($C:$C,$C70,$D:$D,$D70,$E:$E,"기준(후)",$M:$M,"&gt;0")&lt;&gt;1,"",SUMIFS($I:$I,$C:$C,$C70,$D:$D,$D70,$E:$E,"기준(후)"))</f>
        <v/>
      </c>
      <c r="R70" s="31">
        <f>IF(COUNTIFS($C:$C,$C70,$D:$D,$D70,$E:$E,"기준(후)",$M:$M,"&gt;0")&lt;&gt;1,"",SUMIFS($M:$M,$C:$C,$C70,$D:$D,$D70,$E:$E,"기준(후)"))</f>
        <v/>
      </c>
      <c r="S70" s="31">
        <f>IF(N70&lt;&gt;"OK","",P70+(R70-P70)*(I70-O70)/(Q70-O70))</f>
        <v/>
      </c>
      <c r="T70" s="31">
        <f>IF(OR(N70&lt;&gt;"OK",NOT(ISNUMBER(M70))),"",M70-S70)</f>
        <v/>
      </c>
      <c r="U70" s="49">
        <f>IF(OR($E69&lt;&gt;"측정",$C69&lt;&gt;$C70,$D69&lt;&gt;$D70,NOT(ISNUMBER(M70)),NOT(ISNUMBER(M69)),(IF(ISNUMBER(G70),G70,F70)-IF(ISNUMBER(G69),G69,F69))=0),"",(M70-M69)/((IF(ISNUMBER(G70),G70,F70)-IF(ISNUMBER(G69),G69,F69))/100))</f>
        <v/>
      </c>
      <c r="V70" s="29" t="n"/>
      <c r="W70" s="29" t="n"/>
      <c r="X70" s="32" t="n"/>
    </row>
    <row r="71">
      <c r="A71" s="26" t="inlineStr">
        <is>
          <t>S06</t>
        </is>
      </c>
      <c r="B71" s="26" t="inlineStr">
        <is>
          <t>길담 신규점</t>
        </is>
      </c>
      <c r="C71" s="26" t="inlineStr">
        <is>
          <t>S06-V</t>
        </is>
      </c>
      <c r="D71" s="47" t="n">
        <v>1</v>
      </c>
      <c r="E71" s="26" t="inlineStr">
        <is>
          <t>측정</t>
        </is>
      </c>
      <c r="F71" s="47" t="n">
        <v>100</v>
      </c>
      <c r="G71" s="41" t="n"/>
      <c r="H71" s="29" t="n"/>
      <c r="I71" s="43" t="n"/>
      <c r="J71" s="41" t="n"/>
      <c r="K71" s="41" t="n"/>
      <c r="L71" s="41" t="n"/>
      <c r="M71" s="31">
        <f>IF(COUNT(J71:L71)=0,"",MEDIAN(J71:L71))</f>
        <v/>
      </c>
      <c r="N71" s="26">
        <f>IF(COUNTIFS($C:$C,$C71,$D:$D,$D71,$E:$E,"기준(전)",$M:$M,"&gt;0")&lt;&gt;1,"기준(전) 유효 1개 아님",IF(COUNTIFS($C:$C,$C71,$D:$D,$D71,$E:$E,"기준(후)",$M:$M,"&gt;0")&lt;&gt;1,"기준(후) 유효 1개 아님",IF(NOT(AND(ISNUMBER(O71),ISNUMBER(Q71),ISNUMBER(I71))),"시각 결측",IF(Q71&lt;=O71,"기준 시각 역전",IF(OR(I71&lt;O71,I71&gt;Q71),"측정시각 구간 밖","OK")))))</f>
        <v/>
      </c>
      <c r="O71" s="48">
        <f>IF(COUNTIFS($C:$C,$C71,$D:$D,$D71,$E:$E,"기준(전)",$M:$M,"&gt;0")&lt;&gt;1,"",SUMIFS($I:$I,$C:$C,$C71,$D:$D,$D71,$E:$E,"기준(전)"))</f>
        <v/>
      </c>
      <c r="P71" s="31">
        <f>IF(COUNTIFS($C:$C,$C71,$D:$D,$D71,$E:$E,"기준(전)",$M:$M,"&gt;0")&lt;&gt;1,"",SUMIFS($M:$M,$C:$C,$C71,$D:$D,$D71,$E:$E,"기준(전)"))</f>
        <v/>
      </c>
      <c r="Q71" s="48">
        <f>IF(COUNTIFS($C:$C,$C71,$D:$D,$D71,$E:$E,"기준(후)",$M:$M,"&gt;0")&lt;&gt;1,"",SUMIFS($I:$I,$C:$C,$C71,$D:$D,$D71,$E:$E,"기준(후)"))</f>
        <v/>
      </c>
      <c r="R71" s="31">
        <f>IF(COUNTIFS($C:$C,$C71,$D:$D,$D71,$E:$E,"기준(후)",$M:$M,"&gt;0")&lt;&gt;1,"",SUMIFS($M:$M,$C:$C,$C71,$D:$D,$D71,$E:$E,"기준(후)"))</f>
        <v/>
      </c>
      <c r="S71" s="31">
        <f>IF(N71&lt;&gt;"OK","",P71+(R71-P71)*(I71-O71)/(Q71-O71))</f>
        <v/>
      </c>
      <c r="T71" s="31">
        <f>IF(OR(N71&lt;&gt;"OK",NOT(ISNUMBER(M71))),"",M71-S71)</f>
        <v/>
      </c>
      <c r="U71" s="49">
        <f>IF(OR($E70&lt;&gt;"측정",$C70&lt;&gt;$C71,$D70&lt;&gt;$D71,NOT(ISNUMBER(M71)),NOT(ISNUMBER(M70)),(IF(ISNUMBER(G71),G71,F71)-IF(ISNUMBER(G70),G70,F70))=0),"",(M71-M70)/((IF(ISNUMBER(G71),G71,F71)-IF(ISNUMBER(G70),G70,F70))/100))</f>
        <v/>
      </c>
      <c r="V71" s="29" t="n"/>
      <c r="W71" s="29" t="n"/>
      <c r="X71" s="32" t="n"/>
    </row>
    <row r="72">
      <c r="A72" s="26" t="inlineStr">
        <is>
          <t>S06</t>
        </is>
      </c>
      <c r="B72" s="26" t="inlineStr">
        <is>
          <t>길담 신규점</t>
        </is>
      </c>
      <c r="C72" s="26" t="inlineStr">
        <is>
          <t>S06-V</t>
        </is>
      </c>
      <c r="D72" s="47" t="n">
        <v>1</v>
      </c>
      <c r="E72" s="26" t="inlineStr">
        <is>
          <t>측정</t>
        </is>
      </c>
      <c r="F72" s="47" t="n">
        <v>120</v>
      </c>
      <c r="G72" s="41" t="n"/>
      <c r="H72" s="29" t="n"/>
      <c r="I72" s="43" t="n"/>
      <c r="J72" s="41" t="n"/>
      <c r="K72" s="41" t="n"/>
      <c r="L72" s="41" t="n"/>
      <c r="M72" s="31">
        <f>IF(COUNT(J72:L72)=0,"",MEDIAN(J72:L72))</f>
        <v/>
      </c>
      <c r="N72" s="26">
        <f>IF(COUNTIFS($C:$C,$C72,$D:$D,$D72,$E:$E,"기준(전)",$M:$M,"&gt;0")&lt;&gt;1,"기준(전) 유효 1개 아님",IF(COUNTIFS($C:$C,$C72,$D:$D,$D72,$E:$E,"기준(후)",$M:$M,"&gt;0")&lt;&gt;1,"기준(후) 유효 1개 아님",IF(NOT(AND(ISNUMBER(O72),ISNUMBER(Q72),ISNUMBER(I72))),"시각 결측",IF(Q72&lt;=O72,"기준 시각 역전",IF(OR(I72&lt;O72,I72&gt;Q72),"측정시각 구간 밖","OK")))))</f>
        <v/>
      </c>
      <c r="O72" s="48">
        <f>IF(COUNTIFS($C:$C,$C72,$D:$D,$D72,$E:$E,"기준(전)",$M:$M,"&gt;0")&lt;&gt;1,"",SUMIFS($I:$I,$C:$C,$C72,$D:$D,$D72,$E:$E,"기준(전)"))</f>
        <v/>
      </c>
      <c r="P72" s="31">
        <f>IF(COUNTIFS($C:$C,$C72,$D:$D,$D72,$E:$E,"기준(전)",$M:$M,"&gt;0")&lt;&gt;1,"",SUMIFS($M:$M,$C:$C,$C72,$D:$D,$D72,$E:$E,"기준(전)"))</f>
        <v/>
      </c>
      <c r="Q72" s="48">
        <f>IF(COUNTIFS($C:$C,$C72,$D:$D,$D72,$E:$E,"기준(후)",$M:$M,"&gt;0")&lt;&gt;1,"",SUMIFS($I:$I,$C:$C,$C72,$D:$D,$D72,$E:$E,"기준(후)"))</f>
        <v/>
      </c>
      <c r="R72" s="31">
        <f>IF(COUNTIFS($C:$C,$C72,$D:$D,$D72,$E:$E,"기준(후)",$M:$M,"&gt;0")&lt;&gt;1,"",SUMIFS($M:$M,$C:$C,$C72,$D:$D,$D72,$E:$E,"기준(후)"))</f>
        <v/>
      </c>
      <c r="S72" s="31">
        <f>IF(N72&lt;&gt;"OK","",P72+(R72-P72)*(I72-O72)/(Q72-O72))</f>
        <v/>
      </c>
      <c r="T72" s="31">
        <f>IF(OR(N72&lt;&gt;"OK",NOT(ISNUMBER(M72))),"",M72-S72)</f>
        <v/>
      </c>
      <c r="U72" s="49">
        <f>IF(OR($E71&lt;&gt;"측정",$C71&lt;&gt;$C72,$D71&lt;&gt;$D72,NOT(ISNUMBER(M72)),NOT(ISNUMBER(M71)),(IF(ISNUMBER(G72),G72,F72)-IF(ISNUMBER(G71),G71,F71))=0),"",(M72-M71)/((IF(ISNUMBER(G72),G72,F72)-IF(ISNUMBER(G71),G71,F71))/100))</f>
        <v/>
      </c>
      <c r="V72" s="29" t="n"/>
      <c r="W72" s="29" t="n"/>
      <c r="X72" s="32" t="n"/>
    </row>
    <row r="73">
      <c r="A73" s="26" t="inlineStr">
        <is>
          <t>S06</t>
        </is>
      </c>
      <c r="B73" s="26" t="inlineStr">
        <is>
          <t>길담 신규점</t>
        </is>
      </c>
      <c r="C73" s="26" t="inlineStr">
        <is>
          <t>S06-V</t>
        </is>
      </c>
      <c r="D73" s="47" t="n">
        <v>1</v>
      </c>
      <c r="E73" s="26" t="inlineStr">
        <is>
          <t>측정</t>
        </is>
      </c>
      <c r="F73" s="47" t="n">
        <v>140</v>
      </c>
      <c r="G73" s="41" t="n"/>
      <c r="H73" s="29" t="n"/>
      <c r="I73" s="43" t="n"/>
      <c r="J73" s="41" t="n"/>
      <c r="K73" s="41" t="n"/>
      <c r="L73" s="41" t="n"/>
      <c r="M73" s="31">
        <f>IF(COUNT(J73:L73)=0,"",MEDIAN(J73:L73))</f>
        <v/>
      </c>
      <c r="N73" s="26">
        <f>IF(COUNTIFS($C:$C,$C73,$D:$D,$D73,$E:$E,"기준(전)",$M:$M,"&gt;0")&lt;&gt;1,"기준(전) 유효 1개 아님",IF(COUNTIFS($C:$C,$C73,$D:$D,$D73,$E:$E,"기준(후)",$M:$M,"&gt;0")&lt;&gt;1,"기준(후) 유효 1개 아님",IF(NOT(AND(ISNUMBER(O73),ISNUMBER(Q73),ISNUMBER(I73))),"시각 결측",IF(Q73&lt;=O73,"기준 시각 역전",IF(OR(I73&lt;O73,I73&gt;Q73),"측정시각 구간 밖","OK")))))</f>
        <v/>
      </c>
      <c r="O73" s="48">
        <f>IF(COUNTIFS($C:$C,$C73,$D:$D,$D73,$E:$E,"기준(전)",$M:$M,"&gt;0")&lt;&gt;1,"",SUMIFS($I:$I,$C:$C,$C73,$D:$D,$D73,$E:$E,"기준(전)"))</f>
        <v/>
      </c>
      <c r="P73" s="31">
        <f>IF(COUNTIFS($C:$C,$C73,$D:$D,$D73,$E:$E,"기준(전)",$M:$M,"&gt;0")&lt;&gt;1,"",SUMIFS($M:$M,$C:$C,$C73,$D:$D,$D73,$E:$E,"기준(전)"))</f>
        <v/>
      </c>
      <c r="Q73" s="48">
        <f>IF(COUNTIFS($C:$C,$C73,$D:$D,$D73,$E:$E,"기준(후)",$M:$M,"&gt;0")&lt;&gt;1,"",SUMIFS($I:$I,$C:$C,$C73,$D:$D,$D73,$E:$E,"기준(후)"))</f>
        <v/>
      </c>
      <c r="R73" s="31">
        <f>IF(COUNTIFS($C:$C,$C73,$D:$D,$D73,$E:$E,"기준(후)",$M:$M,"&gt;0")&lt;&gt;1,"",SUMIFS($M:$M,$C:$C,$C73,$D:$D,$D73,$E:$E,"기준(후)"))</f>
        <v/>
      </c>
      <c r="S73" s="31">
        <f>IF(N73&lt;&gt;"OK","",P73+(R73-P73)*(I73-O73)/(Q73-O73))</f>
        <v/>
      </c>
      <c r="T73" s="31">
        <f>IF(OR(N73&lt;&gt;"OK",NOT(ISNUMBER(M73))),"",M73-S73)</f>
        <v/>
      </c>
      <c r="U73" s="49">
        <f>IF(OR($E72&lt;&gt;"측정",$C72&lt;&gt;$C73,$D72&lt;&gt;$D73,NOT(ISNUMBER(M73)),NOT(ISNUMBER(M72)),(IF(ISNUMBER(G73),G73,F73)-IF(ISNUMBER(G72),G72,F72))=0),"",(M73-M72)/((IF(ISNUMBER(G73),G73,F73)-IF(ISNUMBER(G72),G72,F72))/100))</f>
        <v/>
      </c>
      <c r="V73" s="29" t="n"/>
      <c r="W73" s="29" t="n"/>
      <c r="X73" s="32" t="n"/>
    </row>
    <row r="74">
      <c r="A74" s="26" t="inlineStr">
        <is>
          <t>S06</t>
        </is>
      </c>
      <c r="B74" s="26" t="inlineStr">
        <is>
          <t>길담 신규점</t>
        </is>
      </c>
      <c r="C74" s="26" t="inlineStr">
        <is>
          <t>S06-V</t>
        </is>
      </c>
      <c r="D74" s="47" t="n">
        <v>1</v>
      </c>
      <c r="E74" s="26" t="inlineStr">
        <is>
          <t>측정</t>
        </is>
      </c>
      <c r="F74" s="47" t="n">
        <v>160</v>
      </c>
      <c r="G74" s="41" t="n"/>
      <c r="H74" s="29" t="n"/>
      <c r="I74" s="43" t="n"/>
      <c r="J74" s="41" t="n"/>
      <c r="K74" s="41" t="n"/>
      <c r="L74" s="41" t="n"/>
      <c r="M74" s="31">
        <f>IF(COUNT(J74:L74)=0,"",MEDIAN(J74:L74))</f>
        <v/>
      </c>
      <c r="N74" s="26">
        <f>IF(COUNTIFS($C:$C,$C74,$D:$D,$D74,$E:$E,"기준(전)",$M:$M,"&gt;0")&lt;&gt;1,"기준(전) 유효 1개 아님",IF(COUNTIFS($C:$C,$C74,$D:$D,$D74,$E:$E,"기준(후)",$M:$M,"&gt;0")&lt;&gt;1,"기준(후) 유효 1개 아님",IF(NOT(AND(ISNUMBER(O74),ISNUMBER(Q74),ISNUMBER(I74))),"시각 결측",IF(Q74&lt;=O74,"기준 시각 역전",IF(OR(I74&lt;O74,I74&gt;Q74),"측정시각 구간 밖","OK")))))</f>
        <v/>
      </c>
      <c r="O74" s="48">
        <f>IF(COUNTIFS($C:$C,$C74,$D:$D,$D74,$E:$E,"기준(전)",$M:$M,"&gt;0")&lt;&gt;1,"",SUMIFS($I:$I,$C:$C,$C74,$D:$D,$D74,$E:$E,"기준(전)"))</f>
        <v/>
      </c>
      <c r="P74" s="31">
        <f>IF(COUNTIFS($C:$C,$C74,$D:$D,$D74,$E:$E,"기준(전)",$M:$M,"&gt;0")&lt;&gt;1,"",SUMIFS($M:$M,$C:$C,$C74,$D:$D,$D74,$E:$E,"기준(전)"))</f>
        <v/>
      </c>
      <c r="Q74" s="48">
        <f>IF(COUNTIFS($C:$C,$C74,$D:$D,$D74,$E:$E,"기준(후)",$M:$M,"&gt;0")&lt;&gt;1,"",SUMIFS($I:$I,$C:$C,$C74,$D:$D,$D74,$E:$E,"기준(후)"))</f>
        <v/>
      </c>
      <c r="R74" s="31">
        <f>IF(COUNTIFS($C:$C,$C74,$D:$D,$D74,$E:$E,"기준(후)",$M:$M,"&gt;0")&lt;&gt;1,"",SUMIFS($M:$M,$C:$C,$C74,$D:$D,$D74,$E:$E,"기준(후)"))</f>
        <v/>
      </c>
      <c r="S74" s="31">
        <f>IF(N74&lt;&gt;"OK","",P74+(R74-P74)*(I74-O74)/(Q74-O74))</f>
        <v/>
      </c>
      <c r="T74" s="31">
        <f>IF(OR(N74&lt;&gt;"OK",NOT(ISNUMBER(M74))),"",M74-S74)</f>
        <v/>
      </c>
      <c r="U74" s="49">
        <f>IF(OR($E73&lt;&gt;"측정",$C73&lt;&gt;$C74,$D73&lt;&gt;$D74,NOT(ISNUMBER(M74)),NOT(ISNUMBER(M73)),(IF(ISNUMBER(G74),G74,F74)-IF(ISNUMBER(G73),G73,F73))=0),"",(M74-M73)/((IF(ISNUMBER(G74),G74,F74)-IF(ISNUMBER(G73),G73,F73))/100))</f>
        <v/>
      </c>
      <c r="V74" s="29" t="n"/>
      <c r="W74" s="29" t="n"/>
      <c r="X74" s="32" t="n"/>
    </row>
    <row r="75">
      <c r="A75" s="26" t="inlineStr">
        <is>
          <t>S06</t>
        </is>
      </c>
      <c r="B75" s="26" t="inlineStr">
        <is>
          <t>길담 신규점</t>
        </is>
      </c>
      <c r="C75" s="26" t="inlineStr">
        <is>
          <t>S06-V</t>
        </is>
      </c>
      <c r="D75" s="47" t="n">
        <v>1</v>
      </c>
      <c r="E75" s="26" t="inlineStr">
        <is>
          <t>측정</t>
        </is>
      </c>
      <c r="F75" s="47" t="n">
        <v>180</v>
      </c>
      <c r="G75" s="41" t="n"/>
      <c r="H75" s="29" t="n"/>
      <c r="I75" s="43" t="n"/>
      <c r="J75" s="41" t="n"/>
      <c r="K75" s="41" t="n"/>
      <c r="L75" s="41" t="n"/>
      <c r="M75" s="31">
        <f>IF(COUNT(J75:L75)=0,"",MEDIAN(J75:L75))</f>
        <v/>
      </c>
      <c r="N75" s="26">
        <f>IF(COUNTIFS($C:$C,$C75,$D:$D,$D75,$E:$E,"기준(전)",$M:$M,"&gt;0")&lt;&gt;1,"기준(전) 유효 1개 아님",IF(COUNTIFS($C:$C,$C75,$D:$D,$D75,$E:$E,"기준(후)",$M:$M,"&gt;0")&lt;&gt;1,"기준(후) 유효 1개 아님",IF(NOT(AND(ISNUMBER(O75),ISNUMBER(Q75),ISNUMBER(I75))),"시각 결측",IF(Q75&lt;=O75,"기준 시각 역전",IF(OR(I75&lt;O75,I75&gt;Q75),"측정시각 구간 밖","OK")))))</f>
        <v/>
      </c>
      <c r="O75" s="48">
        <f>IF(COUNTIFS($C:$C,$C75,$D:$D,$D75,$E:$E,"기준(전)",$M:$M,"&gt;0")&lt;&gt;1,"",SUMIFS($I:$I,$C:$C,$C75,$D:$D,$D75,$E:$E,"기준(전)"))</f>
        <v/>
      </c>
      <c r="P75" s="31">
        <f>IF(COUNTIFS($C:$C,$C75,$D:$D,$D75,$E:$E,"기준(전)",$M:$M,"&gt;0")&lt;&gt;1,"",SUMIFS($M:$M,$C:$C,$C75,$D:$D,$D75,$E:$E,"기준(전)"))</f>
        <v/>
      </c>
      <c r="Q75" s="48">
        <f>IF(COUNTIFS($C:$C,$C75,$D:$D,$D75,$E:$E,"기준(후)",$M:$M,"&gt;0")&lt;&gt;1,"",SUMIFS($I:$I,$C:$C,$C75,$D:$D,$D75,$E:$E,"기준(후)"))</f>
        <v/>
      </c>
      <c r="R75" s="31">
        <f>IF(COUNTIFS($C:$C,$C75,$D:$D,$D75,$E:$E,"기준(후)",$M:$M,"&gt;0")&lt;&gt;1,"",SUMIFS($M:$M,$C:$C,$C75,$D:$D,$D75,$E:$E,"기준(후)"))</f>
        <v/>
      </c>
      <c r="S75" s="31">
        <f>IF(N75&lt;&gt;"OK","",P75+(R75-P75)*(I75-O75)/(Q75-O75))</f>
        <v/>
      </c>
      <c r="T75" s="31">
        <f>IF(OR(N75&lt;&gt;"OK",NOT(ISNUMBER(M75))),"",M75-S75)</f>
        <v/>
      </c>
      <c r="U75" s="49">
        <f>IF(OR($E74&lt;&gt;"측정",$C74&lt;&gt;$C75,$D74&lt;&gt;$D75,NOT(ISNUMBER(M75)),NOT(ISNUMBER(M74)),(IF(ISNUMBER(G75),G75,F75)-IF(ISNUMBER(G74),G74,F74))=0),"",(M75-M74)/((IF(ISNUMBER(G75),G75,F75)-IF(ISNUMBER(G74),G74,F74))/100))</f>
        <v/>
      </c>
      <c r="V75" s="29" t="n"/>
      <c r="W75" s="29" t="n"/>
      <c r="X75" s="32" t="n"/>
    </row>
    <row r="76">
      <c r="A76" s="26" t="inlineStr">
        <is>
          <t>S06</t>
        </is>
      </c>
      <c r="B76" s="26" t="inlineStr">
        <is>
          <t>길담 신규점</t>
        </is>
      </c>
      <c r="C76" s="26" t="inlineStr">
        <is>
          <t>S06-V</t>
        </is>
      </c>
      <c r="D76" s="47" t="n">
        <v>1</v>
      </c>
      <c r="E76" s="26" t="inlineStr">
        <is>
          <t>측정</t>
        </is>
      </c>
      <c r="F76" s="47" t="n">
        <v>200</v>
      </c>
      <c r="G76" s="41" t="n"/>
      <c r="H76" s="29" t="n"/>
      <c r="I76" s="43" t="n"/>
      <c r="J76" s="41" t="n"/>
      <c r="K76" s="41" t="n"/>
      <c r="L76" s="41" t="n"/>
      <c r="M76" s="31">
        <f>IF(COUNT(J76:L76)=0,"",MEDIAN(J76:L76))</f>
        <v/>
      </c>
      <c r="N76" s="26">
        <f>IF(COUNTIFS($C:$C,$C76,$D:$D,$D76,$E:$E,"기준(전)",$M:$M,"&gt;0")&lt;&gt;1,"기준(전) 유효 1개 아님",IF(COUNTIFS($C:$C,$C76,$D:$D,$D76,$E:$E,"기준(후)",$M:$M,"&gt;0")&lt;&gt;1,"기준(후) 유효 1개 아님",IF(NOT(AND(ISNUMBER(O76),ISNUMBER(Q76),ISNUMBER(I76))),"시각 결측",IF(Q76&lt;=O76,"기준 시각 역전",IF(OR(I76&lt;O76,I76&gt;Q76),"측정시각 구간 밖","OK")))))</f>
        <v/>
      </c>
      <c r="O76" s="48">
        <f>IF(COUNTIFS($C:$C,$C76,$D:$D,$D76,$E:$E,"기준(전)",$M:$M,"&gt;0")&lt;&gt;1,"",SUMIFS($I:$I,$C:$C,$C76,$D:$D,$D76,$E:$E,"기준(전)"))</f>
        <v/>
      </c>
      <c r="P76" s="31">
        <f>IF(COUNTIFS($C:$C,$C76,$D:$D,$D76,$E:$E,"기준(전)",$M:$M,"&gt;0")&lt;&gt;1,"",SUMIFS($M:$M,$C:$C,$C76,$D:$D,$D76,$E:$E,"기준(전)"))</f>
        <v/>
      </c>
      <c r="Q76" s="48">
        <f>IF(COUNTIFS($C:$C,$C76,$D:$D,$D76,$E:$E,"기준(후)",$M:$M,"&gt;0")&lt;&gt;1,"",SUMIFS($I:$I,$C:$C,$C76,$D:$D,$D76,$E:$E,"기준(후)"))</f>
        <v/>
      </c>
      <c r="R76" s="31">
        <f>IF(COUNTIFS($C:$C,$C76,$D:$D,$D76,$E:$E,"기준(후)",$M:$M,"&gt;0")&lt;&gt;1,"",SUMIFS($M:$M,$C:$C,$C76,$D:$D,$D76,$E:$E,"기준(후)"))</f>
        <v/>
      </c>
      <c r="S76" s="31">
        <f>IF(N76&lt;&gt;"OK","",P76+(R76-P76)*(I76-O76)/(Q76-O76))</f>
        <v/>
      </c>
      <c r="T76" s="31">
        <f>IF(OR(N76&lt;&gt;"OK",NOT(ISNUMBER(M76))),"",M76-S76)</f>
        <v/>
      </c>
      <c r="U76" s="49">
        <f>IF(OR($E75&lt;&gt;"측정",$C75&lt;&gt;$C76,$D75&lt;&gt;$D76,NOT(ISNUMBER(M76)),NOT(ISNUMBER(M75)),(IF(ISNUMBER(G76),G76,F76)-IF(ISNUMBER(G75),G75,F75))=0),"",(M76-M75)/((IF(ISNUMBER(G76),G76,F76)-IF(ISNUMBER(G75),G75,F75))/100))</f>
        <v/>
      </c>
      <c r="V76" s="29" t="n"/>
      <c r="W76" s="29" t="n"/>
      <c r="X76" s="32" t="n"/>
    </row>
    <row r="77">
      <c r="A77" s="44" t="inlineStr">
        <is>
          <t>S06</t>
        </is>
      </c>
      <c r="B77" s="44" t="inlineStr">
        <is>
          <t>길담 신규점</t>
        </is>
      </c>
      <c r="C77" s="44" t="inlineStr">
        <is>
          <t>S06-V</t>
        </is>
      </c>
      <c r="D77" s="45" t="n">
        <v>1</v>
      </c>
      <c r="E77" s="44" t="inlineStr">
        <is>
          <t>기준(후)</t>
        </is>
      </c>
      <c r="F77" s="45" t="n"/>
      <c r="G77" s="41" t="n"/>
      <c r="H77" s="29" t="n"/>
      <c r="I77" s="43" t="n"/>
      <c r="J77" s="41" t="n"/>
      <c r="K77" s="41" t="n"/>
      <c r="L77" s="41" t="n"/>
      <c r="M77" s="31">
        <f>IF(COUNT(J77:L77)=0,"",MEDIAN(J77:L77))</f>
        <v/>
      </c>
      <c r="N77" s="38" t="n"/>
      <c r="O77" s="38" t="n"/>
      <c r="P77" s="38" t="n"/>
      <c r="Q77" s="38" t="n"/>
      <c r="R77" s="38" t="n"/>
      <c r="S77" s="38" t="n"/>
      <c r="T77" s="38" t="n"/>
      <c r="U77" s="38" t="n"/>
      <c r="V77" s="29" t="n"/>
      <c r="W77" s="29" t="n"/>
      <c r="X77" s="32" t="n"/>
    </row>
    <row r="78">
      <c r="A78" s="44" t="inlineStr">
        <is>
          <t>S07</t>
        </is>
      </c>
      <c r="B78" s="44" t="inlineStr">
        <is>
          <t>남해 신규점1</t>
        </is>
      </c>
      <c r="C78" s="44" t="inlineStr">
        <is>
          <t>S07-V</t>
        </is>
      </c>
      <c r="D78" s="45" t="n">
        <v>1</v>
      </c>
      <c r="E78" s="44" t="inlineStr">
        <is>
          <t>기준(전)</t>
        </is>
      </c>
      <c r="F78" s="45" t="n"/>
      <c r="G78" s="41" t="n"/>
      <c r="H78" s="29" t="n"/>
      <c r="I78" s="43" t="n"/>
      <c r="J78" s="41" t="n"/>
      <c r="K78" s="41" t="n"/>
      <c r="L78" s="41" t="n"/>
      <c r="M78" s="31">
        <f>IF(COUNT(J78:L78)=0,"",MEDIAN(J78:L78))</f>
        <v/>
      </c>
      <c r="N78" s="38" t="n"/>
      <c r="O78" s="38" t="n"/>
      <c r="P78" s="38" t="n"/>
      <c r="Q78" s="38" t="n"/>
      <c r="R78" s="38" t="n"/>
      <c r="S78" s="38" t="n"/>
      <c r="T78" s="38" t="n"/>
      <c r="U78" s="38" t="n"/>
      <c r="V78" s="29" t="n"/>
      <c r="W78" s="29" t="n"/>
      <c r="X78" s="32" t="n"/>
    </row>
    <row r="79">
      <c r="A79" s="26" t="inlineStr">
        <is>
          <t>S07</t>
        </is>
      </c>
      <c r="B79" s="26" t="inlineStr">
        <is>
          <t>남해 신규점1</t>
        </is>
      </c>
      <c r="C79" s="26" t="inlineStr">
        <is>
          <t>S07-V</t>
        </is>
      </c>
      <c r="D79" s="47" t="n">
        <v>1</v>
      </c>
      <c r="E79" s="26" t="inlineStr">
        <is>
          <t>측정</t>
        </is>
      </c>
      <c r="F79" s="47" t="n">
        <v>20</v>
      </c>
      <c r="G79" s="41" t="n"/>
      <c r="H79" s="29" t="n"/>
      <c r="I79" s="43" t="n"/>
      <c r="J79" s="41" t="n"/>
      <c r="K79" s="41" t="n"/>
      <c r="L79" s="41" t="n"/>
      <c r="M79" s="31">
        <f>IF(COUNT(J79:L79)=0,"",MEDIAN(J79:L79))</f>
        <v/>
      </c>
      <c r="N79" s="26">
        <f>IF(COUNTIFS($C:$C,$C79,$D:$D,$D79,$E:$E,"기준(전)",$M:$M,"&gt;0")&lt;&gt;1,"기준(전) 유효 1개 아님",IF(COUNTIFS($C:$C,$C79,$D:$D,$D79,$E:$E,"기준(후)",$M:$M,"&gt;0")&lt;&gt;1,"기준(후) 유효 1개 아님",IF(NOT(AND(ISNUMBER(O79),ISNUMBER(Q79),ISNUMBER(I79))),"시각 결측",IF(Q79&lt;=O79,"기준 시각 역전",IF(OR(I79&lt;O79,I79&gt;Q79),"측정시각 구간 밖","OK")))))</f>
        <v/>
      </c>
      <c r="O79" s="48">
        <f>IF(COUNTIFS($C:$C,$C79,$D:$D,$D79,$E:$E,"기준(전)",$M:$M,"&gt;0")&lt;&gt;1,"",SUMIFS($I:$I,$C:$C,$C79,$D:$D,$D79,$E:$E,"기준(전)"))</f>
        <v/>
      </c>
      <c r="P79" s="31">
        <f>IF(COUNTIFS($C:$C,$C79,$D:$D,$D79,$E:$E,"기준(전)",$M:$M,"&gt;0")&lt;&gt;1,"",SUMIFS($M:$M,$C:$C,$C79,$D:$D,$D79,$E:$E,"기준(전)"))</f>
        <v/>
      </c>
      <c r="Q79" s="48">
        <f>IF(COUNTIFS($C:$C,$C79,$D:$D,$D79,$E:$E,"기준(후)",$M:$M,"&gt;0")&lt;&gt;1,"",SUMIFS($I:$I,$C:$C,$C79,$D:$D,$D79,$E:$E,"기준(후)"))</f>
        <v/>
      </c>
      <c r="R79" s="31">
        <f>IF(COUNTIFS($C:$C,$C79,$D:$D,$D79,$E:$E,"기준(후)",$M:$M,"&gt;0")&lt;&gt;1,"",SUMIFS($M:$M,$C:$C,$C79,$D:$D,$D79,$E:$E,"기준(후)"))</f>
        <v/>
      </c>
      <c r="S79" s="31">
        <f>IF(N79&lt;&gt;"OK","",P79+(R79-P79)*(I79-O79)/(Q79-O79))</f>
        <v/>
      </c>
      <c r="T79" s="31">
        <f>IF(OR(N79&lt;&gt;"OK",NOT(ISNUMBER(M79))),"",M79-S79)</f>
        <v/>
      </c>
      <c r="U79" s="49">
        <f>IF(OR($E78&lt;&gt;"측정",$C78&lt;&gt;$C79,$D78&lt;&gt;$D79,NOT(ISNUMBER(M79)),NOT(ISNUMBER(M78)),(IF(ISNUMBER(G79),G79,F79)-IF(ISNUMBER(G78),G78,F78))=0),"",(M79-M78)/((IF(ISNUMBER(G79),G79,F79)-IF(ISNUMBER(G78),G78,F78))/100))</f>
        <v/>
      </c>
      <c r="V79" s="29" t="n"/>
      <c r="W79" s="29" t="n"/>
      <c r="X79" s="32" t="n"/>
    </row>
    <row r="80">
      <c r="A80" s="26" t="inlineStr">
        <is>
          <t>S07</t>
        </is>
      </c>
      <c r="B80" s="26" t="inlineStr">
        <is>
          <t>남해 신규점1</t>
        </is>
      </c>
      <c r="C80" s="26" t="inlineStr">
        <is>
          <t>S07-V</t>
        </is>
      </c>
      <c r="D80" s="47" t="n">
        <v>1</v>
      </c>
      <c r="E80" s="26" t="inlineStr">
        <is>
          <t>측정</t>
        </is>
      </c>
      <c r="F80" s="47" t="n">
        <v>40</v>
      </c>
      <c r="G80" s="41" t="n"/>
      <c r="H80" s="29" t="n"/>
      <c r="I80" s="43" t="n"/>
      <c r="J80" s="41" t="n"/>
      <c r="K80" s="41" t="n"/>
      <c r="L80" s="41" t="n"/>
      <c r="M80" s="31">
        <f>IF(COUNT(J80:L80)=0,"",MEDIAN(J80:L80))</f>
        <v/>
      </c>
      <c r="N80" s="26">
        <f>IF(COUNTIFS($C:$C,$C80,$D:$D,$D80,$E:$E,"기준(전)",$M:$M,"&gt;0")&lt;&gt;1,"기준(전) 유효 1개 아님",IF(COUNTIFS($C:$C,$C80,$D:$D,$D80,$E:$E,"기준(후)",$M:$M,"&gt;0")&lt;&gt;1,"기준(후) 유효 1개 아님",IF(NOT(AND(ISNUMBER(O80),ISNUMBER(Q80),ISNUMBER(I80))),"시각 결측",IF(Q80&lt;=O80,"기준 시각 역전",IF(OR(I80&lt;O80,I80&gt;Q80),"측정시각 구간 밖","OK")))))</f>
        <v/>
      </c>
      <c r="O80" s="48">
        <f>IF(COUNTIFS($C:$C,$C80,$D:$D,$D80,$E:$E,"기준(전)",$M:$M,"&gt;0")&lt;&gt;1,"",SUMIFS($I:$I,$C:$C,$C80,$D:$D,$D80,$E:$E,"기준(전)"))</f>
        <v/>
      </c>
      <c r="P80" s="31">
        <f>IF(COUNTIFS($C:$C,$C80,$D:$D,$D80,$E:$E,"기준(전)",$M:$M,"&gt;0")&lt;&gt;1,"",SUMIFS($M:$M,$C:$C,$C80,$D:$D,$D80,$E:$E,"기준(전)"))</f>
        <v/>
      </c>
      <c r="Q80" s="48">
        <f>IF(COUNTIFS($C:$C,$C80,$D:$D,$D80,$E:$E,"기준(후)",$M:$M,"&gt;0")&lt;&gt;1,"",SUMIFS($I:$I,$C:$C,$C80,$D:$D,$D80,$E:$E,"기준(후)"))</f>
        <v/>
      </c>
      <c r="R80" s="31">
        <f>IF(COUNTIFS($C:$C,$C80,$D:$D,$D80,$E:$E,"기준(후)",$M:$M,"&gt;0")&lt;&gt;1,"",SUMIFS($M:$M,$C:$C,$C80,$D:$D,$D80,$E:$E,"기준(후)"))</f>
        <v/>
      </c>
      <c r="S80" s="31">
        <f>IF(N80&lt;&gt;"OK","",P80+(R80-P80)*(I80-O80)/(Q80-O80))</f>
        <v/>
      </c>
      <c r="T80" s="31">
        <f>IF(OR(N80&lt;&gt;"OK",NOT(ISNUMBER(M80))),"",M80-S80)</f>
        <v/>
      </c>
      <c r="U80" s="49">
        <f>IF(OR($E79&lt;&gt;"측정",$C79&lt;&gt;$C80,$D79&lt;&gt;$D80,NOT(ISNUMBER(M80)),NOT(ISNUMBER(M79)),(IF(ISNUMBER(G80),G80,F80)-IF(ISNUMBER(G79),G79,F79))=0),"",(M80-M79)/((IF(ISNUMBER(G80),G80,F80)-IF(ISNUMBER(G79),G79,F79))/100))</f>
        <v/>
      </c>
      <c r="V80" s="29" t="n"/>
      <c r="W80" s="29" t="n"/>
      <c r="X80" s="32" t="n"/>
    </row>
    <row r="81">
      <c r="A81" s="26" t="inlineStr">
        <is>
          <t>S07</t>
        </is>
      </c>
      <c r="B81" s="26" t="inlineStr">
        <is>
          <t>남해 신규점1</t>
        </is>
      </c>
      <c r="C81" s="26" t="inlineStr">
        <is>
          <t>S07-V</t>
        </is>
      </c>
      <c r="D81" s="47" t="n">
        <v>1</v>
      </c>
      <c r="E81" s="26" t="inlineStr">
        <is>
          <t>측정</t>
        </is>
      </c>
      <c r="F81" s="47" t="n">
        <v>60</v>
      </c>
      <c r="G81" s="41" t="n"/>
      <c r="H81" s="29" t="n"/>
      <c r="I81" s="43" t="n"/>
      <c r="J81" s="41" t="n"/>
      <c r="K81" s="41" t="n"/>
      <c r="L81" s="41" t="n"/>
      <c r="M81" s="31">
        <f>IF(COUNT(J81:L81)=0,"",MEDIAN(J81:L81))</f>
        <v/>
      </c>
      <c r="N81" s="26">
        <f>IF(COUNTIFS($C:$C,$C81,$D:$D,$D81,$E:$E,"기준(전)",$M:$M,"&gt;0")&lt;&gt;1,"기준(전) 유효 1개 아님",IF(COUNTIFS($C:$C,$C81,$D:$D,$D81,$E:$E,"기준(후)",$M:$M,"&gt;0")&lt;&gt;1,"기준(후) 유효 1개 아님",IF(NOT(AND(ISNUMBER(O81),ISNUMBER(Q81),ISNUMBER(I81))),"시각 결측",IF(Q81&lt;=O81,"기준 시각 역전",IF(OR(I81&lt;O81,I81&gt;Q81),"측정시각 구간 밖","OK")))))</f>
        <v/>
      </c>
      <c r="O81" s="48">
        <f>IF(COUNTIFS($C:$C,$C81,$D:$D,$D81,$E:$E,"기준(전)",$M:$M,"&gt;0")&lt;&gt;1,"",SUMIFS($I:$I,$C:$C,$C81,$D:$D,$D81,$E:$E,"기준(전)"))</f>
        <v/>
      </c>
      <c r="P81" s="31">
        <f>IF(COUNTIFS($C:$C,$C81,$D:$D,$D81,$E:$E,"기준(전)",$M:$M,"&gt;0")&lt;&gt;1,"",SUMIFS($M:$M,$C:$C,$C81,$D:$D,$D81,$E:$E,"기준(전)"))</f>
        <v/>
      </c>
      <c r="Q81" s="48">
        <f>IF(COUNTIFS($C:$C,$C81,$D:$D,$D81,$E:$E,"기준(후)",$M:$M,"&gt;0")&lt;&gt;1,"",SUMIFS($I:$I,$C:$C,$C81,$D:$D,$D81,$E:$E,"기준(후)"))</f>
        <v/>
      </c>
      <c r="R81" s="31">
        <f>IF(COUNTIFS($C:$C,$C81,$D:$D,$D81,$E:$E,"기준(후)",$M:$M,"&gt;0")&lt;&gt;1,"",SUMIFS($M:$M,$C:$C,$C81,$D:$D,$D81,$E:$E,"기준(후)"))</f>
        <v/>
      </c>
      <c r="S81" s="31">
        <f>IF(N81&lt;&gt;"OK","",P81+(R81-P81)*(I81-O81)/(Q81-O81))</f>
        <v/>
      </c>
      <c r="T81" s="31">
        <f>IF(OR(N81&lt;&gt;"OK",NOT(ISNUMBER(M81))),"",M81-S81)</f>
        <v/>
      </c>
      <c r="U81" s="49">
        <f>IF(OR($E80&lt;&gt;"측정",$C80&lt;&gt;$C81,$D80&lt;&gt;$D81,NOT(ISNUMBER(M81)),NOT(ISNUMBER(M80)),(IF(ISNUMBER(G81),G81,F81)-IF(ISNUMBER(G80),G80,F80))=0),"",(M81-M80)/((IF(ISNUMBER(G81),G81,F81)-IF(ISNUMBER(G80),G80,F80))/100))</f>
        <v/>
      </c>
      <c r="V81" s="29" t="n"/>
      <c r="W81" s="29" t="n"/>
      <c r="X81" s="32" t="n"/>
    </row>
    <row r="82">
      <c r="A82" s="26" t="inlineStr">
        <is>
          <t>S07</t>
        </is>
      </c>
      <c r="B82" s="26" t="inlineStr">
        <is>
          <t>남해 신규점1</t>
        </is>
      </c>
      <c r="C82" s="26" t="inlineStr">
        <is>
          <t>S07-V</t>
        </is>
      </c>
      <c r="D82" s="47" t="n">
        <v>1</v>
      </c>
      <c r="E82" s="26" t="inlineStr">
        <is>
          <t>측정</t>
        </is>
      </c>
      <c r="F82" s="47" t="n">
        <v>80</v>
      </c>
      <c r="G82" s="41" t="n"/>
      <c r="H82" s="29" t="n"/>
      <c r="I82" s="43" t="n"/>
      <c r="J82" s="41" t="n"/>
      <c r="K82" s="41" t="n"/>
      <c r="L82" s="41" t="n"/>
      <c r="M82" s="31">
        <f>IF(COUNT(J82:L82)=0,"",MEDIAN(J82:L82))</f>
        <v/>
      </c>
      <c r="N82" s="26">
        <f>IF(COUNTIFS($C:$C,$C82,$D:$D,$D82,$E:$E,"기준(전)",$M:$M,"&gt;0")&lt;&gt;1,"기준(전) 유효 1개 아님",IF(COUNTIFS($C:$C,$C82,$D:$D,$D82,$E:$E,"기준(후)",$M:$M,"&gt;0")&lt;&gt;1,"기준(후) 유효 1개 아님",IF(NOT(AND(ISNUMBER(O82),ISNUMBER(Q82),ISNUMBER(I82))),"시각 결측",IF(Q82&lt;=O82,"기준 시각 역전",IF(OR(I82&lt;O82,I82&gt;Q82),"측정시각 구간 밖","OK")))))</f>
        <v/>
      </c>
      <c r="O82" s="48">
        <f>IF(COUNTIFS($C:$C,$C82,$D:$D,$D82,$E:$E,"기준(전)",$M:$M,"&gt;0")&lt;&gt;1,"",SUMIFS($I:$I,$C:$C,$C82,$D:$D,$D82,$E:$E,"기준(전)"))</f>
        <v/>
      </c>
      <c r="P82" s="31">
        <f>IF(COUNTIFS($C:$C,$C82,$D:$D,$D82,$E:$E,"기준(전)",$M:$M,"&gt;0")&lt;&gt;1,"",SUMIFS($M:$M,$C:$C,$C82,$D:$D,$D82,$E:$E,"기준(전)"))</f>
        <v/>
      </c>
      <c r="Q82" s="48">
        <f>IF(COUNTIFS($C:$C,$C82,$D:$D,$D82,$E:$E,"기준(후)",$M:$M,"&gt;0")&lt;&gt;1,"",SUMIFS($I:$I,$C:$C,$C82,$D:$D,$D82,$E:$E,"기준(후)"))</f>
        <v/>
      </c>
      <c r="R82" s="31">
        <f>IF(COUNTIFS($C:$C,$C82,$D:$D,$D82,$E:$E,"기준(후)",$M:$M,"&gt;0")&lt;&gt;1,"",SUMIFS($M:$M,$C:$C,$C82,$D:$D,$D82,$E:$E,"기준(후)"))</f>
        <v/>
      </c>
      <c r="S82" s="31">
        <f>IF(N82&lt;&gt;"OK","",P82+(R82-P82)*(I82-O82)/(Q82-O82))</f>
        <v/>
      </c>
      <c r="T82" s="31">
        <f>IF(OR(N82&lt;&gt;"OK",NOT(ISNUMBER(M82))),"",M82-S82)</f>
        <v/>
      </c>
      <c r="U82" s="49">
        <f>IF(OR($E81&lt;&gt;"측정",$C81&lt;&gt;$C82,$D81&lt;&gt;$D82,NOT(ISNUMBER(M82)),NOT(ISNUMBER(M81)),(IF(ISNUMBER(G82),G82,F82)-IF(ISNUMBER(G81),G81,F81))=0),"",(M82-M81)/((IF(ISNUMBER(G82),G82,F82)-IF(ISNUMBER(G81),G81,F81))/100))</f>
        <v/>
      </c>
      <c r="V82" s="29" t="n"/>
      <c r="W82" s="29" t="n"/>
      <c r="X82" s="32" t="n"/>
    </row>
    <row r="83">
      <c r="A83" s="26" t="inlineStr">
        <is>
          <t>S07</t>
        </is>
      </c>
      <c r="B83" s="26" t="inlineStr">
        <is>
          <t>남해 신규점1</t>
        </is>
      </c>
      <c r="C83" s="26" t="inlineStr">
        <is>
          <t>S07-V</t>
        </is>
      </c>
      <c r="D83" s="47" t="n">
        <v>1</v>
      </c>
      <c r="E83" s="26" t="inlineStr">
        <is>
          <t>측정</t>
        </is>
      </c>
      <c r="F83" s="47" t="n">
        <v>100</v>
      </c>
      <c r="G83" s="41" t="n"/>
      <c r="H83" s="29" t="n"/>
      <c r="I83" s="43" t="n"/>
      <c r="J83" s="41" t="n"/>
      <c r="K83" s="41" t="n"/>
      <c r="L83" s="41" t="n"/>
      <c r="M83" s="31">
        <f>IF(COUNT(J83:L83)=0,"",MEDIAN(J83:L83))</f>
        <v/>
      </c>
      <c r="N83" s="26">
        <f>IF(COUNTIFS($C:$C,$C83,$D:$D,$D83,$E:$E,"기준(전)",$M:$M,"&gt;0")&lt;&gt;1,"기준(전) 유효 1개 아님",IF(COUNTIFS($C:$C,$C83,$D:$D,$D83,$E:$E,"기준(후)",$M:$M,"&gt;0")&lt;&gt;1,"기준(후) 유효 1개 아님",IF(NOT(AND(ISNUMBER(O83),ISNUMBER(Q83),ISNUMBER(I83))),"시각 결측",IF(Q83&lt;=O83,"기준 시각 역전",IF(OR(I83&lt;O83,I83&gt;Q83),"측정시각 구간 밖","OK")))))</f>
        <v/>
      </c>
      <c r="O83" s="48">
        <f>IF(COUNTIFS($C:$C,$C83,$D:$D,$D83,$E:$E,"기준(전)",$M:$M,"&gt;0")&lt;&gt;1,"",SUMIFS($I:$I,$C:$C,$C83,$D:$D,$D83,$E:$E,"기준(전)"))</f>
        <v/>
      </c>
      <c r="P83" s="31">
        <f>IF(COUNTIFS($C:$C,$C83,$D:$D,$D83,$E:$E,"기준(전)",$M:$M,"&gt;0")&lt;&gt;1,"",SUMIFS($M:$M,$C:$C,$C83,$D:$D,$D83,$E:$E,"기준(전)"))</f>
        <v/>
      </c>
      <c r="Q83" s="48">
        <f>IF(COUNTIFS($C:$C,$C83,$D:$D,$D83,$E:$E,"기준(후)",$M:$M,"&gt;0")&lt;&gt;1,"",SUMIFS($I:$I,$C:$C,$C83,$D:$D,$D83,$E:$E,"기준(후)"))</f>
        <v/>
      </c>
      <c r="R83" s="31">
        <f>IF(COUNTIFS($C:$C,$C83,$D:$D,$D83,$E:$E,"기준(후)",$M:$M,"&gt;0")&lt;&gt;1,"",SUMIFS($M:$M,$C:$C,$C83,$D:$D,$D83,$E:$E,"기준(후)"))</f>
        <v/>
      </c>
      <c r="S83" s="31">
        <f>IF(N83&lt;&gt;"OK","",P83+(R83-P83)*(I83-O83)/(Q83-O83))</f>
        <v/>
      </c>
      <c r="T83" s="31">
        <f>IF(OR(N83&lt;&gt;"OK",NOT(ISNUMBER(M83))),"",M83-S83)</f>
        <v/>
      </c>
      <c r="U83" s="49">
        <f>IF(OR($E82&lt;&gt;"측정",$C82&lt;&gt;$C83,$D82&lt;&gt;$D83,NOT(ISNUMBER(M83)),NOT(ISNUMBER(M82)),(IF(ISNUMBER(G83),G83,F83)-IF(ISNUMBER(G82),G82,F82))=0),"",(M83-M82)/((IF(ISNUMBER(G83),G83,F83)-IF(ISNUMBER(G82),G82,F82))/100))</f>
        <v/>
      </c>
      <c r="V83" s="29" t="n"/>
      <c r="W83" s="29" t="n"/>
      <c r="X83" s="32" t="n"/>
    </row>
    <row r="84">
      <c r="A84" s="26" t="inlineStr">
        <is>
          <t>S07</t>
        </is>
      </c>
      <c r="B84" s="26" t="inlineStr">
        <is>
          <t>남해 신규점1</t>
        </is>
      </c>
      <c r="C84" s="26" t="inlineStr">
        <is>
          <t>S07-V</t>
        </is>
      </c>
      <c r="D84" s="47" t="n">
        <v>1</v>
      </c>
      <c r="E84" s="26" t="inlineStr">
        <is>
          <t>측정</t>
        </is>
      </c>
      <c r="F84" s="47" t="n">
        <v>120</v>
      </c>
      <c r="G84" s="41" t="n"/>
      <c r="H84" s="29" t="n"/>
      <c r="I84" s="43" t="n"/>
      <c r="J84" s="41" t="n"/>
      <c r="K84" s="41" t="n"/>
      <c r="L84" s="41" t="n"/>
      <c r="M84" s="31">
        <f>IF(COUNT(J84:L84)=0,"",MEDIAN(J84:L84))</f>
        <v/>
      </c>
      <c r="N84" s="26">
        <f>IF(COUNTIFS($C:$C,$C84,$D:$D,$D84,$E:$E,"기준(전)",$M:$M,"&gt;0")&lt;&gt;1,"기준(전) 유효 1개 아님",IF(COUNTIFS($C:$C,$C84,$D:$D,$D84,$E:$E,"기준(후)",$M:$M,"&gt;0")&lt;&gt;1,"기준(후) 유효 1개 아님",IF(NOT(AND(ISNUMBER(O84),ISNUMBER(Q84),ISNUMBER(I84))),"시각 결측",IF(Q84&lt;=O84,"기준 시각 역전",IF(OR(I84&lt;O84,I84&gt;Q84),"측정시각 구간 밖","OK")))))</f>
        <v/>
      </c>
      <c r="O84" s="48">
        <f>IF(COUNTIFS($C:$C,$C84,$D:$D,$D84,$E:$E,"기준(전)",$M:$M,"&gt;0")&lt;&gt;1,"",SUMIFS($I:$I,$C:$C,$C84,$D:$D,$D84,$E:$E,"기준(전)"))</f>
        <v/>
      </c>
      <c r="P84" s="31">
        <f>IF(COUNTIFS($C:$C,$C84,$D:$D,$D84,$E:$E,"기준(전)",$M:$M,"&gt;0")&lt;&gt;1,"",SUMIFS($M:$M,$C:$C,$C84,$D:$D,$D84,$E:$E,"기준(전)"))</f>
        <v/>
      </c>
      <c r="Q84" s="48">
        <f>IF(COUNTIFS($C:$C,$C84,$D:$D,$D84,$E:$E,"기준(후)",$M:$M,"&gt;0")&lt;&gt;1,"",SUMIFS($I:$I,$C:$C,$C84,$D:$D,$D84,$E:$E,"기준(후)"))</f>
        <v/>
      </c>
      <c r="R84" s="31">
        <f>IF(COUNTIFS($C:$C,$C84,$D:$D,$D84,$E:$E,"기준(후)",$M:$M,"&gt;0")&lt;&gt;1,"",SUMIFS($M:$M,$C:$C,$C84,$D:$D,$D84,$E:$E,"기준(후)"))</f>
        <v/>
      </c>
      <c r="S84" s="31">
        <f>IF(N84&lt;&gt;"OK","",P84+(R84-P84)*(I84-O84)/(Q84-O84))</f>
        <v/>
      </c>
      <c r="T84" s="31">
        <f>IF(OR(N84&lt;&gt;"OK",NOT(ISNUMBER(M84))),"",M84-S84)</f>
        <v/>
      </c>
      <c r="U84" s="49">
        <f>IF(OR($E83&lt;&gt;"측정",$C83&lt;&gt;$C84,$D83&lt;&gt;$D84,NOT(ISNUMBER(M84)),NOT(ISNUMBER(M83)),(IF(ISNUMBER(G84),G84,F84)-IF(ISNUMBER(G83),G83,F83))=0),"",(M84-M83)/((IF(ISNUMBER(G84),G84,F84)-IF(ISNUMBER(G83),G83,F83))/100))</f>
        <v/>
      </c>
      <c r="V84" s="29" t="n"/>
      <c r="W84" s="29" t="n"/>
      <c r="X84" s="32" t="n"/>
    </row>
    <row r="85">
      <c r="A85" s="26" t="inlineStr">
        <is>
          <t>S07</t>
        </is>
      </c>
      <c r="B85" s="26" t="inlineStr">
        <is>
          <t>남해 신규점1</t>
        </is>
      </c>
      <c r="C85" s="26" t="inlineStr">
        <is>
          <t>S07-V</t>
        </is>
      </c>
      <c r="D85" s="47" t="n">
        <v>1</v>
      </c>
      <c r="E85" s="26" t="inlineStr">
        <is>
          <t>측정</t>
        </is>
      </c>
      <c r="F85" s="47" t="n">
        <v>140</v>
      </c>
      <c r="G85" s="41" t="n"/>
      <c r="H85" s="29" t="n"/>
      <c r="I85" s="43" t="n"/>
      <c r="J85" s="41" t="n"/>
      <c r="K85" s="41" t="n"/>
      <c r="L85" s="41" t="n"/>
      <c r="M85" s="31">
        <f>IF(COUNT(J85:L85)=0,"",MEDIAN(J85:L85))</f>
        <v/>
      </c>
      <c r="N85" s="26">
        <f>IF(COUNTIFS($C:$C,$C85,$D:$D,$D85,$E:$E,"기준(전)",$M:$M,"&gt;0")&lt;&gt;1,"기준(전) 유효 1개 아님",IF(COUNTIFS($C:$C,$C85,$D:$D,$D85,$E:$E,"기준(후)",$M:$M,"&gt;0")&lt;&gt;1,"기준(후) 유효 1개 아님",IF(NOT(AND(ISNUMBER(O85),ISNUMBER(Q85),ISNUMBER(I85))),"시각 결측",IF(Q85&lt;=O85,"기준 시각 역전",IF(OR(I85&lt;O85,I85&gt;Q85),"측정시각 구간 밖","OK")))))</f>
        <v/>
      </c>
      <c r="O85" s="48">
        <f>IF(COUNTIFS($C:$C,$C85,$D:$D,$D85,$E:$E,"기준(전)",$M:$M,"&gt;0")&lt;&gt;1,"",SUMIFS($I:$I,$C:$C,$C85,$D:$D,$D85,$E:$E,"기준(전)"))</f>
        <v/>
      </c>
      <c r="P85" s="31">
        <f>IF(COUNTIFS($C:$C,$C85,$D:$D,$D85,$E:$E,"기준(전)",$M:$M,"&gt;0")&lt;&gt;1,"",SUMIFS($M:$M,$C:$C,$C85,$D:$D,$D85,$E:$E,"기준(전)"))</f>
        <v/>
      </c>
      <c r="Q85" s="48">
        <f>IF(COUNTIFS($C:$C,$C85,$D:$D,$D85,$E:$E,"기준(후)",$M:$M,"&gt;0")&lt;&gt;1,"",SUMIFS($I:$I,$C:$C,$C85,$D:$D,$D85,$E:$E,"기준(후)"))</f>
        <v/>
      </c>
      <c r="R85" s="31">
        <f>IF(COUNTIFS($C:$C,$C85,$D:$D,$D85,$E:$E,"기준(후)",$M:$M,"&gt;0")&lt;&gt;1,"",SUMIFS($M:$M,$C:$C,$C85,$D:$D,$D85,$E:$E,"기준(후)"))</f>
        <v/>
      </c>
      <c r="S85" s="31">
        <f>IF(N85&lt;&gt;"OK","",P85+(R85-P85)*(I85-O85)/(Q85-O85))</f>
        <v/>
      </c>
      <c r="T85" s="31">
        <f>IF(OR(N85&lt;&gt;"OK",NOT(ISNUMBER(M85))),"",M85-S85)</f>
        <v/>
      </c>
      <c r="U85" s="49">
        <f>IF(OR($E84&lt;&gt;"측정",$C84&lt;&gt;$C85,$D84&lt;&gt;$D85,NOT(ISNUMBER(M85)),NOT(ISNUMBER(M84)),(IF(ISNUMBER(G85),G85,F85)-IF(ISNUMBER(G84),G84,F84))=0),"",(M85-M84)/((IF(ISNUMBER(G85),G85,F85)-IF(ISNUMBER(G84),G84,F84))/100))</f>
        <v/>
      </c>
      <c r="V85" s="29" t="n"/>
      <c r="W85" s="29" t="n"/>
      <c r="X85" s="32" t="n"/>
    </row>
    <row r="86">
      <c r="A86" s="26" t="inlineStr">
        <is>
          <t>S07</t>
        </is>
      </c>
      <c r="B86" s="26" t="inlineStr">
        <is>
          <t>남해 신규점1</t>
        </is>
      </c>
      <c r="C86" s="26" t="inlineStr">
        <is>
          <t>S07-V</t>
        </is>
      </c>
      <c r="D86" s="47" t="n">
        <v>1</v>
      </c>
      <c r="E86" s="26" t="inlineStr">
        <is>
          <t>측정</t>
        </is>
      </c>
      <c r="F86" s="47" t="n">
        <v>160</v>
      </c>
      <c r="G86" s="41" t="n"/>
      <c r="H86" s="29" t="n"/>
      <c r="I86" s="43" t="n"/>
      <c r="J86" s="41" t="n"/>
      <c r="K86" s="41" t="n"/>
      <c r="L86" s="41" t="n"/>
      <c r="M86" s="31">
        <f>IF(COUNT(J86:L86)=0,"",MEDIAN(J86:L86))</f>
        <v/>
      </c>
      <c r="N86" s="26">
        <f>IF(COUNTIFS($C:$C,$C86,$D:$D,$D86,$E:$E,"기준(전)",$M:$M,"&gt;0")&lt;&gt;1,"기준(전) 유효 1개 아님",IF(COUNTIFS($C:$C,$C86,$D:$D,$D86,$E:$E,"기준(후)",$M:$M,"&gt;0")&lt;&gt;1,"기준(후) 유효 1개 아님",IF(NOT(AND(ISNUMBER(O86),ISNUMBER(Q86),ISNUMBER(I86))),"시각 결측",IF(Q86&lt;=O86,"기준 시각 역전",IF(OR(I86&lt;O86,I86&gt;Q86),"측정시각 구간 밖","OK")))))</f>
        <v/>
      </c>
      <c r="O86" s="48">
        <f>IF(COUNTIFS($C:$C,$C86,$D:$D,$D86,$E:$E,"기준(전)",$M:$M,"&gt;0")&lt;&gt;1,"",SUMIFS($I:$I,$C:$C,$C86,$D:$D,$D86,$E:$E,"기준(전)"))</f>
        <v/>
      </c>
      <c r="P86" s="31">
        <f>IF(COUNTIFS($C:$C,$C86,$D:$D,$D86,$E:$E,"기준(전)",$M:$M,"&gt;0")&lt;&gt;1,"",SUMIFS($M:$M,$C:$C,$C86,$D:$D,$D86,$E:$E,"기준(전)"))</f>
        <v/>
      </c>
      <c r="Q86" s="48">
        <f>IF(COUNTIFS($C:$C,$C86,$D:$D,$D86,$E:$E,"기준(후)",$M:$M,"&gt;0")&lt;&gt;1,"",SUMIFS($I:$I,$C:$C,$C86,$D:$D,$D86,$E:$E,"기준(후)"))</f>
        <v/>
      </c>
      <c r="R86" s="31">
        <f>IF(COUNTIFS($C:$C,$C86,$D:$D,$D86,$E:$E,"기준(후)",$M:$M,"&gt;0")&lt;&gt;1,"",SUMIFS($M:$M,$C:$C,$C86,$D:$D,$D86,$E:$E,"기준(후)"))</f>
        <v/>
      </c>
      <c r="S86" s="31">
        <f>IF(N86&lt;&gt;"OK","",P86+(R86-P86)*(I86-O86)/(Q86-O86))</f>
        <v/>
      </c>
      <c r="T86" s="31">
        <f>IF(OR(N86&lt;&gt;"OK",NOT(ISNUMBER(M86))),"",M86-S86)</f>
        <v/>
      </c>
      <c r="U86" s="49">
        <f>IF(OR($E85&lt;&gt;"측정",$C85&lt;&gt;$C86,$D85&lt;&gt;$D86,NOT(ISNUMBER(M86)),NOT(ISNUMBER(M85)),(IF(ISNUMBER(G86),G86,F86)-IF(ISNUMBER(G85),G85,F85))=0),"",(M86-M85)/((IF(ISNUMBER(G86),G86,F86)-IF(ISNUMBER(G85),G85,F85))/100))</f>
        <v/>
      </c>
      <c r="V86" s="29" t="n"/>
      <c r="W86" s="29" t="n"/>
      <c r="X86" s="32" t="n"/>
    </row>
    <row r="87">
      <c r="A87" s="26" t="inlineStr">
        <is>
          <t>S07</t>
        </is>
      </c>
      <c r="B87" s="26" t="inlineStr">
        <is>
          <t>남해 신규점1</t>
        </is>
      </c>
      <c r="C87" s="26" t="inlineStr">
        <is>
          <t>S07-V</t>
        </is>
      </c>
      <c r="D87" s="47" t="n">
        <v>1</v>
      </c>
      <c r="E87" s="26" t="inlineStr">
        <is>
          <t>측정</t>
        </is>
      </c>
      <c r="F87" s="47" t="n">
        <v>180</v>
      </c>
      <c r="G87" s="41" t="n"/>
      <c r="H87" s="29" t="n"/>
      <c r="I87" s="43" t="n"/>
      <c r="J87" s="41" t="n"/>
      <c r="K87" s="41" t="n"/>
      <c r="L87" s="41" t="n"/>
      <c r="M87" s="31">
        <f>IF(COUNT(J87:L87)=0,"",MEDIAN(J87:L87))</f>
        <v/>
      </c>
      <c r="N87" s="26">
        <f>IF(COUNTIFS($C:$C,$C87,$D:$D,$D87,$E:$E,"기준(전)",$M:$M,"&gt;0")&lt;&gt;1,"기준(전) 유효 1개 아님",IF(COUNTIFS($C:$C,$C87,$D:$D,$D87,$E:$E,"기준(후)",$M:$M,"&gt;0")&lt;&gt;1,"기준(후) 유효 1개 아님",IF(NOT(AND(ISNUMBER(O87),ISNUMBER(Q87),ISNUMBER(I87))),"시각 결측",IF(Q87&lt;=O87,"기준 시각 역전",IF(OR(I87&lt;O87,I87&gt;Q87),"측정시각 구간 밖","OK")))))</f>
        <v/>
      </c>
      <c r="O87" s="48">
        <f>IF(COUNTIFS($C:$C,$C87,$D:$D,$D87,$E:$E,"기준(전)",$M:$M,"&gt;0")&lt;&gt;1,"",SUMIFS($I:$I,$C:$C,$C87,$D:$D,$D87,$E:$E,"기준(전)"))</f>
        <v/>
      </c>
      <c r="P87" s="31">
        <f>IF(COUNTIFS($C:$C,$C87,$D:$D,$D87,$E:$E,"기준(전)",$M:$M,"&gt;0")&lt;&gt;1,"",SUMIFS($M:$M,$C:$C,$C87,$D:$D,$D87,$E:$E,"기준(전)"))</f>
        <v/>
      </c>
      <c r="Q87" s="48">
        <f>IF(COUNTIFS($C:$C,$C87,$D:$D,$D87,$E:$E,"기준(후)",$M:$M,"&gt;0")&lt;&gt;1,"",SUMIFS($I:$I,$C:$C,$C87,$D:$D,$D87,$E:$E,"기준(후)"))</f>
        <v/>
      </c>
      <c r="R87" s="31">
        <f>IF(COUNTIFS($C:$C,$C87,$D:$D,$D87,$E:$E,"기준(후)",$M:$M,"&gt;0")&lt;&gt;1,"",SUMIFS($M:$M,$C:$C,$C87,$D:$D,$D87,$E:$E,"기준(후)"))</f>
        <v/>
      </c>
      <c r="S87" s="31">
        <f>IF(N87&lt;&gt;"OK","",P87+(R87-P87)*(I87-O87)/(Q87-O87))</f>
        <v/>
      </c>
      <c r="T87" s="31">
        <f>IF(OR(N87&lt;&gt;"OK",NOT(ISNUMBER(M87))),"",M87-S87)</f>
        <v/>
      </c>
      <c r="U87" s="49">
        <f>IF(OR($E86&lt;&gt;"측정",$C86&lt;&gt;$C87,$D86&lt;&gt;$D87,NOT(ISNUMBER(M87)),NOT(ISNUMBER(M86)),(IF(ISNUMBER(G87),G87,F87)-IF(ISNUMBER(G86),G86,F86))=0),"",(M87-M86)/((IF(ISNUMBER(G87),G87,F87)-IF(ISNUMBER(G86),G86,F86))/100))</f>
        <v/>
      </c>
      <c r="V87" s="29" t="n"/>
      <c r="W87" s="29" t="n"/>
      <c r="X87" s="32" t="n"/>
    </row>
    <row r="88">
      <c r="A88" s="26" t="inlineStr">
        <is>
          <t>S07</t>
        </is>
      </c>
      <c r="B88" s="26" t="inlineStr">
        <is>
          <t>남해 신규점1</t>
        </is>
      </c>
      <c r="C88" s="26" t="inlineStr">
        <is>
          <t>S07-V</t>
        </is>
      </c>
      <c r="D88" s="47" t="n">
        <v>1</v>
      </c>
      <c r="E88" s="26" t="inlineStr">
        <is>
          <t>측정</t>
        </is>
      </c>
      <c r="F88" s="47" t="n">
        <v>200</v>
      </c>
      <c r="G88" s="41" t="n"/>
      <c r="H88" s="29" t="n"/>
      <c r="I88" s="43" t="n"/>
      <c r="J88" s="41" t="n"/>
      <c r="K88" s="41" t="n"/>
      <c r="L88" s="41" t="n"/>
      <c r="M88" s="31">
        <f>IF(COUNT(J88:L88)=0,"",MEDIAN(J88:L88))</f>
        <v/>
      </c>
      <c r="N88" s="26">
        <f>IF(COUNTIFS($C:$C,$C88,$D:$D,$D88,$E:$E,"기준(전)",$M:$M,"&gt;0")&lt;&gt;1,"기준(전) 유효 1개 아님",IF(COUNTIFS($C:$C,$C88,$D:$D,$D88,$E:$E,"기준(후)",$M:$M,"&gt;0")&lt;&gt;1,"기준(후) 유효 1개 아님",IF(NOT(AND(ISNUMBER(O88),ISNUMBER(Q88),ISNUMBER(I88))),"시각 결측",IF(Q88&lt;=O88,"기준 시각 역전",IF(OR(I88&lt;O88,I88&gt;Q88),"측정시각 구간 밖","OK")))))</f>
        <v/>
      </c>
      <c r="O88" s="48">
        <f>IF(COUNTIFS($C:$C,$C88,$D:$D,$D88,$E:$E,"기준(전)",$M:$M,"&gt;0")&lt;&gt;1,"",SUMIFS($I:$I,$C:$C,$C88,$D:$D,$D88,$E:$E,"기준(전)"))</f>
        <v/>
      </c>
      <c r="P88" s="31">
        <f>IF(COUNTIFS($C:$C,$C88,$D:$D,$D88,$E:$E,"기준(전)",$M:$M,"&gt;0")&lt;&gt;1,"",SUMIFS($M:$M,$C:$C,$C88,$D:$D,$D88,$E:$E,"기준(전)"))</f>
        <v/>
      </c>
      <c r="Q88" s="48">
        <f>IF(COUNTIFS($C:$C,$C88,$D:$D,$D88,$E:$E,"기준(후)",$M:$M,"&gt;0")&lt;&gt;1,"",SUMIFS($I:$I,$C:$C,$C88,$D:$D,$D88,$E:$E,"기준(후)"))</f>
        <v/>
      </c>
      <c r="R88" s="31">
        <f>IF(COUNTIFS($C:$C,$C88,$D:$D,$D88,$E:$E,"기준(후)",$M:$M,"&gt;0")&lt;&gt;1,"",SUMIFS($M:$M,$C:$C,$C88,$D:$D,$D88,$E:$E,"기준(후)"))</f>
        <v/>
      </c>
      <c r="S88" s="31">
        <f>IF(N88&lt;&gt;"OK","",P88+(R88-P88)*(I88-O88)/(Q88-O88))</f>
        <v/>
      </c>
      <c r="T88" s="31">
        <f>IF(OR(N88&lt;&gt;"OK",NOT(ISNUMBER(M88))),"",M88-S88)</f>
        <v/>
      </c>
      <c r="U88" s="49">
        <f>IF(OR($E87&lt;&gt;"측정",$C87&lt;&gt;$C88,$D87&lt;&gt;$D88,NOT(ISNUMBER(M88)),NOT(ISNUMBER(M87)),(IF(ISNUMBER(G88),G88,F88)-IF(ISNUMBER(G87),G87,F87))=0),"",(M88-M87)/((IF(ISNUMBER(G88),G88,F88)-IF(ISNUMBER(G87),G87,F87))/100))</f>
        <v/>
      </c>
      <c r="V88" s="29" t="n"/>
      <c r="W88" s="29" t="n"/>
      <c r="X88" s="32" t="n"/>
    </row>
    <row r="89">
      <c r="A89" s="44" t="inlineStr">
        <is>
          <t>S07</t>
        </is>
      </c>
      <c r="B89" s="44" t="inlineStr">
        <is>
          <t>남해 신규점1</t>
        </is>
      </c>
      <c r="C89" s="44" t="inlineStr">
        <is>
          <t>S07-V</t>
        </is>
      </c>
      <c r="D89" s="45" t="n">
        <v>1</v>
      </c>
      <c r="E89" s="44" t="inlineStr">
        <is>
          <t>기준(후)</t>
        </is>
      </c>
      <c r="F89" s="45" t="n"/>
      <c r="G89" s="41" t="n"/>
      <c r="H89" s="29" t="n"/>
      <c r="I89" s="43" t="n"/>
      <c r="J89" s="41" t="n"/>
      <c r="K89" s="41" t="n"/>
      <c r="L89" s="41" t="n"/>
      <c r="M89" s="31">
        <f>IF(COUNT(J89:L89)=0,"",MEDIAN(J89:L89))</f>
        <v/>
      </c>
      <c r="N89" s="38" t="n"/>
      <c r="O89" s="38" t="n"/>
      <c r="P89" s="38" t="n"/>
      <c r="Q89" s="38" t="n"/>
      <c r="R89" s="38" t="n"/>
      <c r="S89" s="38" t="n"/>
      <c r="T89" s="38" t="n"/>
      <c r="U89" s="38" t="n"/>
      <c r="V89" s="29" t="n"/>
      <c r="W89" s="29" t="n"/>
      <c r="X89" s="32" t="n"/>
    </row>
    <row r="90">
      <c r="A90" s="44" t="inlineStr">
        <is>
          <t>S08</t>
        </is>
      </c>
      <c r="B90" s="44" t="inlineStr">
        <is>
          <t>청일 신규점2</t>
        </is>
      </c>
      <c r="C90" s="44" t="inlineStr">
        <is>
          <t>S08-V</t>
        </is>
      </c>
      <c r="D90" s="45" t="n">
        <v>1</v>
      </c>
      <c r="E90" s="44" t="inlineStr">
        <is>
          <t>기준(전)</t>
        </is>
      </c>
      <c r="F90" s="45" t="n"/>
      <c r="G90" s="41" t="n"/>
      <c r="H90" s="29" t="n"/>
      <c r="I90" s="43" t="n"/>
      <c r="J90" s="41" t="n"/>
      <c r="K90" s="41" t="n"/>
      <c r="L90" s="41" t="n"/>
      <c r="M90" s="31">
        <f>IF(COUNT(J90:L90)=0,"",MEDIAN(J90:L90))</f>
        <v/>
      </c>
      <c r="N90" s="38" t="n"/>
      <c r="O90" s="38" t="n"/>
      <c r="P90" s="38" t="n"/>
      <c r="Q90" s="38" t="n"/>
      <c r="R90" s="38" t="n"/>
      <c r="S90" s="38" t="n"/>
      <c r="T90" s="38" t="n"/>
      <c r="U90" s="38" t="n"/>
      <c r="V90" s="29" t="n"/>
      <c r="W90" s="29" t="n"/>
      <c r="X90" s="32" t="n"/>
    </row>
    <row r="91">
      <c r="A91" s="26" t="inlineStr">
        <is>
          <t>S08</t>
        </is>
      </c>
      <c r="B91" s="26" t="inlineStr">
        <is>
          <t>청일 신규점2</t>
        </is>
      </c>
      <c r="C91" s="26" t="inlineStr">
        <is>
          <t>S08-V</t>
        </is>
      </c>
      <c r="D91" s="47" t="n">
        <v>1</v>
      </c>
      <c r="E91" s="26" t="inlineStr">
        <is>
          <t>측정</t>
        </is>
      </c>
      <c r="F91" s="47" t="n">
        <v>20</v>
      </c>
      <c r="G91" s="41" t="n"/>
      <c r="H91" s="29" t="n"/>
      <c r="I91" s="43" t="n"/>
      <c r="J91" s="41" t="n"/>
      <c r="K91" s="41" t="n"/>
      <c r="L91" s="41" t="n"/>
      <c r="M91" s="31">
        <f>IF(COUNT(J91:L91)=0,"",MEDIAN(J91:L91))</f>
        <v/>
      </c>
      <c r="N91" s="26">
        <f>IF(COUNTIFS($C:$C,$C91,$D:$D,$D91,$E:$E,"기준(전)",$M:$M,"&gt;0")&lt;&gt;1,"기준(전) 유효 1개 아님",IF(COUNTIFS($C:$C,$C91,$D:$D,$D91,$E:$E,"기준(후)",$M:$M,"&gt;0")&lt;&gt;1,"기준(후) 유효 1개 아님",IF(NOT(AND(ISNUMBER(O91),ISNUMBER(Q91),ISNUMBER(I91))),"시각 결측",IF(Q91&lt;=O91,"기준 시각 역전",IF(OR(I91&lt;O91,I91&gt;Q91),"측정시각 구간 밖","OK")))))</f>
        <v/>
      </c>
      <c r="O91" s="48">
        <f>IF(COUNTIFS($C:$C,$C91,$D:$D,$D91,$E:$E,"기준(전)",$M:$M,"&gt;0")&lt;&gt;1,"",SUMIFS($I:$I,$C:$C,$C91,$D:$D,$D91,$E:$E,"기준(전)"))</f>
        <v/>
      </c>
      <c r="P91" s="31">
        <f>IF(COUNTIFS($C:$C,$C91,$D:$D,$D91,$E:$E,"기준(전)",$M:$M,"&gt;0")&lt;&gt;1,"",SUMIFS($M:$M,$C:$C,$C91,$D:$D,$D91,$E:$E,"기준(전)"))</f>
        <v/>
      </c>
      <c r="Q91" s="48">
        <f>IF(COUNTIFS($C:$C,$C91,$D:$D,$D91,$E:$E,"기준(후)",$M:$M,"&gt;0")&lt;&gt;1,"",SUMIFS($I:$I,$C:$C,$C91,$D:$D,$D91,$E:$E,"기준(후)"))</f>
        <v/>
      </c>
      <c r="R91" s="31">
        <f>IF(COUNTIFS($C:$C,$C91,$D:$D,$D91,$E:$E,"기준(후)",$M:$M,"&gt;0")&lt;&gt;1,"",SUMIFS($M:$M,$C:$C,$C91,$D:$D,$D91,$E:$E,"기준(후)"))</f>
        <v/>
      </c>
      <c r="S91" s="31">
        <f>IF(N91&lt;&gt;"OK","",P91+(R91-P91)*(I91-O91)/(Q91-O91))</f>
        <v/>
      </c>
      <c r="T91" s="31">
        <f>IF(OR(N91&lt;&gt;"OK",NOT(ISNUMBER(M91))),"",M91-S91)</f>
        <v/>
      </c>
      <c r="U91" s="49">
        <f>IF(OR($E90&lt;&gt;"측정",$C90&lt;&gt;$C91,$D90&lt;&gt;$D91,NOT(ISNUMBER(M91)),NOT(ISNUMBER(M90)),(IF(ISNUMBER(G91),G91,F91)-IF(ISNUMBER(G90),G90,F90))=0),"",(M91-M90)/((IF(ISNUMBER(G91),G91,F91)-IF(ISNUMBER(G90),G90,F90))/100))</f>
        <v/>
      </c>
      <c r="V91" s="29" t="n"/>
      <c r="W91" s="29" t="n"/>
      <c r="X91" s="32" t="n"/>
    </row>
    <row r="92">
      <c r="A92" s="26" t="inlineStr">
        <is>
          <t>S08</t>
        </is>
      </c>
      <c r="B92" s="26" t="inlineStr">
        <is>
          <t>청일 신규점2</t>
        </is>
      </c>
      <c r="C92" s="26" t="inlineStr">
        <is>
          <t>S08-V</t>
        </is>
      </c>
      <c r="D92" s="47" t="n">
        <v>1</v>
      </c>
      <c r="E92" s="26" t="inlineStr">
        <is>
          <t>측정</t>
        </is>
      </c>
      <c r="F92" s="47" t="n">
        <v>40</v>
      </c>
      <c r="G92" s="41" t="n"/>
      <c r="H92" s="29" t="n"/>
      <c r="I92" s="43" t="n"/>
      <c r="J92" s="41" t="n"/>
      <c r="K92" s="41" t="n"/>
      <c r="L92" s="41" t="n"/>
      <c r="M92" s="31">
        <f>IF(COUNT(J92:L92)=0,"",MEDIAN(J92:L92))</f>
        <v/>
      </c>
      <c r="N92" s="26">
        <f>IF(COUNTIFS($C:$C,$C92,$D:$D,$D92,$E:$E,"기준(전)",$M:$M,"&gt;0")&lt;&gt;1,"기준(전) 유효 1개 아님",IF(COUNTIFS($C:$C,$C92,$D:$D,$D92,$E:$E,"기준(후)",$M:$M,"&gt;0")&lt;&gt;1,"기준(후) 유효 1개 아님",IF(NOT(AND(ISNUMBER(O92),ISNUMBER(Q92),ISNUMBER(I92))),"시각 결측",IF(Q92&lt;=O92,"기준 시각 역전",IF(OR(I92&lt;O92,I92&gt;Q92),"측정시각 구간 밖","OK")))))</f>
        <v/>
      </c>
      <c r="O92" s="48">
        <f>IF(COUNTIFS($C:$C,$C92,$D:$D,$D92,$E:$E,"기준(전)",$M:$M,"&gt;0")&lt;&gt;1,"",SUMIFS($I:$I,$C:$C,$C92,$D:$D,$D92,$E:$E,"기준(전)"))</f>
        <v/>
      </c>
      <c r="P92" s="31">
        <f>IF(COUNTIFS($C:$C,$C92,$D:$D,$D92,$E:$E,"기준(전)",$M:$M,"&gt;0")&lt;&gt;1,"",SUMIFS($M:$M,$C:$C,$C92,$D:$D,$D92,$E:$E,"기준(전)"))</f>
        <v/>
      </c>
      <c r="Q92" s="48">
        <f>IF(COUNTIFS($C:$C,$C92,$D:$D,$D92,$E:$E,"기준(후)",$M:$M,"&gt;0")&lt;&gt;1,"",SUMIFS($I:$I,$C:$C,$C92,$D:$D,$D92,$E:$E,"기준(후)"))</f>
        <v/>
      </c>
      <c r="R92" s="31">
        <f>IF(COUNTIFS($C:$C,$C92,$D:$D,$D92,$E:$E,"기준(후)",$M:$M,"&gt;0")&lt;&gt;1,"",SUMIFS($M:$M,$C:$C,$C92,$D:$D,$D92,$E:$E,"기준(후)"))</f>
        <v/>
      </c>
      <c r="S92" s="31">
        <f>IF(N92&lt;&gt;"OK","",P92+(R92-P92)*(I92-O92)/(Q92-O92))</f>
        <v/>
      </c>
      <c r="T92" s="31">
        <f>IF(OR(N92&lt;&gt;"OK",NOT(ISNUMBER(M92))),"",M92-S92)</f>
        <v/>
      </c>
      <c r="U92" s="49">
        <f>IF(OR($E91&lt;&gt;"측정",$C91&lt;&gt;$C92,$D91&lt;&gt;$D92,NOT(ISNUMBER(M92)),NOT(ISNUMBER(M91)),(IF(ISNUMBER(G92),G92,F92)-IF(ISNUMBER(G91),G91,F91))=0),"",(M92-M91)/((IF(ISNUMBER(G92),G92,F92)-IF(ISNUMBER(G91),G91,F91))/100))</f>
        <v/>
      </c>
      <c r="V92" s="29" t="n"/>
      <c r="W92" s="29" t="n"/>
      <c r="X92" s="32" t="n"/>
    </row>
    <row r="93">
      <c r="A93" s="26" t="inlineStr">
        <is>
          <t>S08</t>
        </is>
      </c>
      <c r="B93" s="26" t="inlineStr">
        <is>
          <t>청일 신규점2</t>
        </is>
      </c>
      <c r="C93" s="26" t="inlineStr">
        <is>
          <t>S08-V</t>
        </is>
      </c>
      <c r="D93" s="47" t="n">
        <v>1</v>
      </c>
      <c r="E93" s="26" t="inlineStr">
        <is>
          <t>측정</t>
        </is>
      </c>
      <c r="F93" s="47" t="n">
        <v>60</v>
      </c>
      <c r="G93" s="41" t="n"/>
      <c r="H93" s="29" t="n"/>
      <c r="I93" s="43" t="n"/>
      <c r="J93" s="41" t="n"/>
      <c r="K93" s="41" t="n"/>
      <c r="L93" s="41" t="n"/>
      <c r="M93" s="31">
        <f>IF(COUNT(J93:L93)=0,"",MEDIAN(J93:L93))</f>
        <v/>
      </c>
      <c r="N93" s="26">
        <f>IF(COUNTIFS($C:$C,$C93,$D:$D,$D93,$E:$E,"기준(전)",$M:$M,"&gt;0")&lt;&gt;1,"기준(전) 유효 1개 아님",IF(COUNTIFS($C:$C,$C93,$D:$D,$D93,$E:$E,"기준(후)",$M:$M,"&gt;0")&lt;&gt;1,"기준(후) 유효 1개 아님",IF(NOT(AND(ISNUMBER(O93),ISNUMBER(Q93),ISNUMBER(I93))),"시각 결측",IF(Q93&lt;=O93,"기준 시각 역전",IF(OR(I93&lt;O93,I93&gt;Q93),"측정시각 구간 밖","OK")))))</f>
        <v/>
      </c>
      <c r="O93" s="48">
        <f>IF(COUNTIFS($C:$C,$C93,$D:$D,$D93,$E:$E,"기준(전)",$M:$M,"&gt;0")&lt;&gt;1,"",SUMIFS($I:$I,$C:$C,$C93,$D:$D,$D93,$E:$E,"기준(전)"))</f>
        <v/>
      </c>
      <c r="P93" s="31">
        <f>IF(COUNTIFS($C:$C,$C93,$D:$D,$D93,$E:$E,"기준(전)",$M:$M,"&gt;0")&lt;&gt;1,"",SUMIFS($M:$M,$C:$C,$C93,$D:$D,$D93,$E:$E,"기준(전)"))</f>
        <v/>
      </c>
      <c r="Q93" s="48">
        <f>IF(COUNTIFS($C:$C,$C93,$D:$D,$D93,$E:$E,"기준(후)",$M:$M,"&gt;0")&lt;&gt;1,"",SUMIFS($I:$I,$C:$C,$C93,$D:$D,$D93,$E:$E,"기준(후)"))</f>
        <v/>
      </c>
      <c r="R93" s="31">
        <f>IF(COUNTIFS($C:$C,$C93,$D:$D,$D93,$E:$E,"기준(후)",$M:$M,"&gt;0")&lt;&gt;1,"",SUMIFS($M:$M,$C:$C,$C93,$D:$D,$D93,$E:$E,"기준(후)"))</f>
        <v/>
      </c>
      <c r="S93" s="31">
        <f>IF(N93&lt;&gt;"OK","",P93+(R93-P93)*(I93-O93)/(Q93-O93))</f>
        <v/>
      </c>
      <c r="T93" s="31">
        <f>IF(OR(N93&lt;&gt;"OK",NOT(ISNUMBER(M93))),"",M93-S93)</f>
        <v/>
      </c>
      <c r="U93" s="49">
        <f>IF(OR($E92&lt;&gt;"측정",$C92&lt;&gt;$C93,$D92&lt;&gt;$D93,NOT(ISNUMBER(M93)),NOT(ISNUMBER(M92)),(IF(ISNUMBER(G93),G93,F93)-IF(ISNUMBER(G92),G92,F92))=0),"",(M93-M92)/((IF(ISNUMBER(G93),G93,F93)-IF(ISNUMBER(G92),G92,F92))/100))</f>
        <v/>
      </c>
      <c r="V93" s="29" t="n"/>
      <c r="W93" s="29" t="n"/>
      <c r="X93" s="32" t="n"/>
    </row>
    <row r="94">
      <c r="A94" s="26" t="inlineStr">
        <is>
          <t>S08</t>
        </is>
      </c>
      <c r="B94" s="26" t="inlineStr">
        <is>
          <t>청일 신규점2</t>
        </is>
      </c>
      <c r="C94" s="26" t="inlineStr">
        <is>
          <t>S08-V</t>
        </is>
      </c>
      <c r="D94" s="47" t="n">
        <v>1</v>
      </c>
      <c r="E94" s="26" t="inlineStr">
        <is>
          <t>측정</t>
        </is>
      </c>
      <c r="F94" s="47" t="n">
        <v>80</v>
      </c>
      <c r="G94" s="41" t="n"/>
      <c r="H94" s="29" t="n"/>
      <c r="I94" s="43" t="n"/>
      <c r="J94" s="41" t="n"/>
      <c r="K94" s="41" t="n"/>
      <c r="L94" s="41" t="n"/>
      <c r="M94" s="31">
        <f>IF(COUNT(J94:L94)=0,"",MEDIAN(J94:L94))</f>
        <v/>
      </c>
      <c r="N94" s="26">
        <f>IF(COUNTIFS($C:$C,$C94,$D:$D,$D94,$E:$E,"기준(전)",$M:$M,"&gt;0")&lt;&gt;1,"기준(전) 유효 1개 아님",IF(COUNTIFS($C:$C,$C94,$D:$D,$D94,$E:$E,"기준(후)",$M:$M,"&gt;0")&lt;&gt;1,"기준(후) 유효 1개 아님",IF(NOT(AND(ISNUMBER(O94),ISNUMBER(Q94),ISNUMBER(I94))),"시각 결측",IF(Q94&lt;=O94,"기준 시각 역전",IF(OR(I94&lt;O94,I94&gt;Q94),"측정시각 구간 밖","OK")))))</f>
        <v/>
      </c>
      <c r="O94" s="48">
        <f>IF(COUNTIFS($C:$C,$C94,$D:$D,$D94,$E:$E,"기준(전)",$M:$M,"&gt;0")&lt;&gt;1,"",SUMIFS($I:$I,$C:$C,$C94,$D:$D,$D94,$E:$E,"기준(전)"))</f>
        <v/>
      </c>
      <c r="P94" s="31">
        <f>IF(COUNTIFS($C:$C,$C94,$D:$D,$D94,$E:$E,"기준(전)",$M:$M,"&gt;0")&lt;&gt;1,"",SUMIFS($M:$M,$C:$C,$C94,$D:$D,$D94,$E:$E,"기준(전)"))</f>
        <v/>
      </c>
      <c r="Q94" s="48">
        <f>IF(COUNTIFS($C:$C,$C94,$D:$D,$D94,$E:$E,"기준(후)",$M:$M,"&gt;0")&lt;&gt;1,"",SUMIFS($I:$I,$C:$C,$C94,$D:$D,$D94,$E:$E,"기준(후)"))</f>
        <v/>
      </c>
      <c r="R94" s="31">
        <f>IF(COUNTIFS($C:$C,$C94,$D:$D,$D94,$E:$E,"기준(후)",$M:$M,"&gt;0")&lt;&gt;1,"",SUMIFS($M:$M,$C:$C,$C94,$D:$D,$D94,$E:$E,"기준(후)"))</f>
        <v/>
      </c>
      <c r="S94" s="31">
        <f>IF(N94&lt;&gt;"OK","",P94+(R94-P94)*(I94-O94)/(Q94-O94))</f>
        <v/>
      </c>
      <c r="T94" s="31">
        <f>IF(OR(N94&lt;&gt;"OK",NOT(ISNUMBER(M94))),"",M94-S94)</f>
        <v/>
      </c>
      <c r="U94" s="49">
        <f>IF(OR($E93&lt;&gt;"측정",$C93&lt;&gt;$C94,$D93&lt;&gt;$D94,NOT(ISNUMBER(M94)),NOT(ISNUMBER(M93)),(IF(ISNUMBER(G94),G94,F94)-IF(ISNUMBER(G93),G93,F93))=0),"",(M94-M93)/((IF(ISNUMBER(G94),G94,F94)-IF(ISNUMBER(G93),G93,F93))/100))</f>
        <v/>
      </c>
      <c r="V94" s="29" t="n"/>
      <c r="W94" s="29" t="n"/>
      <c r="X94" s="32" t="n"/>
    </row>
    <row r="95">
      <c r="A95" s="26" t="inlineStr">
        <is>
          <t>S08</t>
        </is>
      </c>
      <c r="B95" s="26" t="inlineStr">
        <is>
          <t>청일 신규점2</t>
        </is>
      </c>
      <c r="C95" s="26" t="inlineStr">
        <is>
          <t>S08-V</t>
        </is>
      </c>
      <c r="D95" s="47" t="n">
        <v>1</v>
      </c>
      <c r="E95" s="26" t="inlineStr">
        <is>
          <t>측정</t>
        </is>
      </c>
      <c r="F95" s="47" t="n">
        <v>100</v>
      </c>
      <c r="G95" s="41" t="n"/>
      <c r="H95" s="29" t="n"/>
      <c r="I95" s="43" t="n"/>
      <c r="J95" s="41" t="n"/>
      <c r="K95" s="41" t="n"/>
      <c r="L95" s="41" t="n"/>
      <c r="M95" s="31">
        <f>IF(COUNT(J95:L95)=0,"",MEDIAN(J95:L95))</f>
        <v/>
      </c>
      <c r="N95" s="26">
        <f>IF(COUNTIFS($C:$C,$C95,$D:$D,$D95,$E:$E,"기준(전)",$M:$M,"&gt;0")&lt;&gt;1,"기준(전) 유효 1개 아님",IF(COUNTIFS($C:$C,$C95,$D:$D,$D95,$E:$E,"기준(후)",$M:$M,"&gt;0")&lt;&gt;1,"기준(후) 유효 1개 아님",IF(NOT(AND(ISNUMBER(O95),ISNUMBER(Q95),ISNUMBER(I95))),"시각 결측",IF(Q95&lt;=O95,"기준 시각 역전",IF(OR(I95&lt;O95,I95&gt;Q95),"측정시각 구간 밖","OK")))))</f>
        <v/>
      </c>
      <c r="O95" s="48">
        <f>IF(COUNTIFS($C:$C,$C95,$D:$D,$D95,$E:$E,"기준(전)",$M:$M,"&gt;0")&lt;&gt;1,"",SUMIFS($I:$I,$C:$C,$C95,$D:$D,$D95,$E:$E,"기준(전)"))</f>
        <v/>
      </c>
      <c r="P95" s="31">
        <f>IF(COUNTIFS($C:$C,$C95,$D:$D,$D95,$E:$E,"기준(전)",$M:$M,"&gt;0")&lt;&gt;1,"",SUMIFS($M:$M,$C:$C,$C95,$D:$D,$D95,$E:$E,"기준(전)"))</f>
        <v/>
      </c>
      <c r="Q95" s="48">
        <f>IF(COUNTIFS($C:$C,$C95,$D:$D,$D95,$E:$E,"기준(후)",$M:$M,"&gt;0")&lt;&gt;1,"",SUMIFS($I:$I,$C:$C,$C95,$D:$D,$D95,$E:$E,"기준(후)"))</f>
        <v/>
      </c>
      <c r="R95" s="31">
        <f>IF(COUNTIFS($C:$C,$C95,$D:$D,$D95,$E:$E,"기준(후)",$M:$M,"&gt;0")&lt;&gt;1,"",SUMIFS($M:$M,$C:$C,$C95,$D:$D,$D95,$E:$E,"기준(후)"))</f>
        <v/>
      </c>
      <c r="S95" s="31">
        <f>IF(N95&lt;&gt;"OK","",P95+(R95-P95)*(I95-O95)/(Q95-O95))</f>
        <v/>
      </c>
      <c r="T95" s="31">
        <f>IF(OR(N95&lt;&gt;"OK",NOT(ISNUMBER(M95))),"",M95-S95)</f>
        <v/>
      </c>
      <c r="U95" s="49">
        <f>IF(OR($E94&lt;&gt;"측정",$C94&lt;&gt;$C95,$D94&lt;&gt;$D95,NOT(ISNUMBER(M95)),NOT(ISNUMBER(M94)),(IF(ISNUMBER(G95),G95,F95)-IF(ISNUMBER(G94),G94,F94))=0),"",(M95-M94)/((IF(ISNUMBER(G95),G95,F95)-IF(ISNUMBER(G94),G94,F94))/100))</f>
        <v/>
      </c>
      <c r="V95" s="29" t="n"/>
      <c r="W95" s="29" t="n"/>
      <c r="X95" s="32" t="n"/>
    </row>
    <row r="96">
      <c r="A96" s="26" t="inlineStr">
        <is>
          <t>S08</t>
        </is>
      </c>
      <c r="B96" s="26" t="inlineStr">
        <is>
          <t>청일 신규점2</t>
        </is>
      </c>
      <c r="C96" s="26" t="inlineStr">
        <is>
          <t>S08-V</t>
        </is>
      </c>
      <c r="D96" s="47" t="n">
        <v>1</v>
      </c>
      <c r="E96" s="26" t="inlineStr">
        <is>
          <t>측정</t>
        </is>
      </c>
      <c r="F96" s="47" t="n">
        <v>120</v>
      </c>
      <c r="G96" s="41" t="n"/>
      <c r="H96" s="29" t="n"/>
      <c r="I96" s="43" t="n"/>
      <c r="J96" s="41" t="n"/>
      <c r="K96" s="41" t="n"/>
      <c r="L96" s="41" t="n"/>
      <c r="M96" s="31">
        <f>IF(COUNT(J96:L96)=0,"",MEDIAN(J96:L96))</f>
        <v/>
      </c>
      <c r="N96" s="26">
        <f>IF(COUNTIFS($C:$C,$C96,$D:$D,$D96,$E:$E,"기준(전)",$M:$M,"&gt;0")&lt;&gt;1,"기준(전) 유효 1개 아님",IF(COUNTIFS($C:$C,$C96,$D:$D,$D96,$E:$E,"기준(후)",$M:$M,"&gt;0")&lt;&gt;1,"기준(후) 유효 1개 아님",IF(NOT(AND(ISNUMBER(O96),ISNUMBER(Q96),ISNUMBER(I96))),"시각 결측",IF(Q96&lt;=O96,"기준 시각 역전",IF(OR(I96&lt;O96,I96&gt;Q96),"측정시각 구간 밖","OK")))))</f>
        <v/>
      </c>
      <c r="O96" s="48">
        <f>IF(COUNTIFS($C:$C,$C96,$D:$D,$D96,$E:$E,"기준(전)",$M:$M,"&gt;0")&lt;&gt;1,"",SUMIFS($I:$I,$C:$C,$C96,$D:$D,$D96,$E:$E,"기준(전)"))</f>
        <v/>
      </c>
      <c r="P96" s="31">
        <f>IF(COUNTIFS($C:$C,$C96,$D:$D,$D96,$E:$E,"기준(전)",$M:$M,"&gt;0")&lt;&gt;1,"",SUMIFS($M:$M,$C:$C,$C96,$D:$D,$D96,$E:$E,"기준(전)"))</f>
        <v/>
      </c>
      <c r="Q96" s="48">
        <f>IF(COUNTIFS($C:$C,$C96,$D:$D,$D96,$E:$E,"기준(후)",$M:$M,"&gt;0")&lt;&gt;1,"",SUMIFS($I:$I,$C:$C,$C96,$D:$D,$D96,$E:$E,"기준(후)"))</f>
        <v/>
      </c>
      <c r="R96" s="31">
        <f>IF(COUNTIFS($C:$C,$C96,$D:$D,$D96,$E:$E,"기준(후)",$M:$M,"&gt;0")&lt;&gt;1,"",SUMIFS($M:$M,$C:$C,$C96,$D:$D,$D96,$E:$E,"기준(후)"))</f>
        <v/>
      </c>
      <c r="S96" s="31">
        <f>IF(N96&lt;&gt;"OK","",P96+(R96-P96)*(I96-O96)/(Q96-O96))</f>
        <v/>
      </c>
      <c r="T96" s="31">
        <f>IF(OR(N96&lt;&gt;"OK",NOT(ISNUMBER(M96))),"",M96-S96)</f>
        <v/>
      </c>
      <c r="U96" s="49">
        <f>IF(OR($E95&lt;&gt;"측정",$C95&lt;&gt;$C96,$D95&lt;&gt;$D96,NOT(ISNUMBER(M96)),NOT(ISNUMBER(M95)),(IF(ISNUMBER(G96),G96,F96)-IF(ISNUMBER(G95),G95,F95))=0),"",(M96-M95)/((IF(ISNUMBER(G96),G96,F96)-IF(ISNUMBER(G95),G95,F95))/100))</f>
        <v/>
      </c>
      <c r="V96" s="29" t="n"/>
      <c r="W96" s="29" t="n"/>
      <c r="X96" s="32" t="n"/>
    </row>
    <row r="97">
      <c r="A97" s="26" t="inlineStr">
        <is>
          <t>S08</t>
        </is>
      </c>
      <c r="B97" s="26" t="inlineStr">
        <is>
          <t>청일 신규점2</t>
        </is>
      </c>
      <c r="C97" s="26" t="inlineStr">
        <is>
          <t>S08-V</t>
        </is>
      </c>
      <c r="D97" s="47" t="n">
        <v>1</v>
      </c>
      <c r="E97" s="26" t="inlineStr">
        <is>
          <t>측정</t>
        </is>
      </c>
      <c r="F97" s="47" t="n">
        <v>140</v>
      </c>
      <c r="G97" s="41" t="n"/>
      <c r="H97" s="29" t="n"/>
      <c r="I97" s="43" t="n"/>
      <c r="J97" s="41" t="n"/>
      <c r="K97" s="41" t="n"/>
      <c r="L97" s="41" t="n"/>
      <c r="M97" s="31">
        <f>IF(COUNT(J97:L97)=0,"",MEDIAN(J97:L97))</f>
        <v/>
      </c>
      <c r="N97" s="26">
        <f>IF(COUNTIFS($C:$C,$C97,$D:$D,$D97,$E:$E,"기준(전)",$M:$M,"&gt;0")&lt;&gt;1,"기준(전) 유효 1개 아님",IF(COUNTIFS($C:$C,$C97,$D:$D,$D97,$E:$E,"기준(후)",$M:$M,"&gt;0")&lt;&gt;1,"기준(후) 유효 1개 아님",IF(NOT(AND(ISNUMBER(O97),ISNUMBER(Q97),ISNUMBER(I97))),"시각 결측",IF(Q97&lt;=O97,"기준 시각 역전",IF(OR(I97&lt;O97,I97&gt;Q97),"측정시각 구간 밖","OK")))))</f>
        <v/>
      </c>
      <c r="O97" s="48">
        <f>IF(COUNTIFS($C:$C,$C97,$D:$D,$D97,$E:$E,"기준(전)",$M:$M,"&gt;0")&lt;&gt;1,"",SUMIFS($I:$I,$C:$C,$C97,$D:$D,$D97,$E:$E,"기준(전)"))</f>
        <v/>
      </c>
      <c r="P97" s="31">
        <f>IF(COUNTIFS($C:$C,$C97,$D:$D,$D97,$E:$E,"기준(전)",$M:$M,"&gt;0")&lt;&gt;1,"",SUMIFS($M:$M,$C:$C,$C97,$D:$D,$D97,$E:$E,"기준(전)"))</f>
        <v/>
      </c>
      <c r="Q97" s="48">
        <f>IF(COUNTIFS($C:$C,$C97,$D:$D,$D97,$E:$E,"기준(후)",$M:$M,"&gt;0")&lt;&gt;1,"",SUMIFS($I:$I,$C:$C,$C97,$D:$D,$D97,$E:$E,"기준(후)"))</f>
        <v/>
      </c>
      <c r="R97" s="31">
        <f>IF(COUNTIFS($C:$C,$C97,$D:$D,$D97,$E:$E,"기준(후)",$M:$M,"&gt;0")&lt;&gt;1,"",SUMIFS($M:$M,$C:$C,$C97,$D:$D,$D97,$E:$E,"기준(후)"))</f>
        <v/>
      </c>
      <c r="S97" s="31">
        <f>IF(N97&lt;&gt;"OK","",P97+(R97-P97)*(I97-O97)/(Q97-O97))</f>
        <v/>
      </c>
      <c r="T97" s="31">
        <f>IF(OR(N97&lt;&gt;"OK",NOT(ISNUMBER(M97))),"",M97-S97)</f>
        <v/>
      </c>
      <c r="U97" s="49">
        <f>IF(OR($E96&lt;&gt;"측정",$C96&lt;&gt;$C97,$D96&lt;&gt;$D97,NOT(ISNUMBER(M97)),NOT(ISNUMBER(M96)),(IF(ISNUMBER(G97),G97,F97)-IF(ISNUMBER(G96),G96,F96))=0),"",(M97-M96)/((IF(ISNUMBER(G97),G97,F97)-IF(ISNUMBER(G96),G96,F96))/100))</f>
        <v/>
      </c>
      <c r="V97" s="29" t="n"/>
      <c r="W97" s="29" t="n"/>
      <c r="X97" s="32" t="n"/>
    </row>
    <row r="98">
      <c r="A98" s="26" t="inlineStr">
        <is>
          <t>S08</t>
        </is>
      </c>
      <c r="B98" s="26" t="inlineStr">
        <is>
          <t>청일 신규점2</t>
        </is>
      </c>
      <c r="C98" s="26" t="inlineStr">
        <is>
          <t>S08-V</t>
        </is>
      </c>
      <c r="D98" s="47" t="n">
        <v>1</v>
      </c>
      <c r="E98" s="26" t="inlineStr">
        <is>
          <t>측정</t>
        </is>
      </c>
      <c r="F98" s="47" t="n">
        <v>160</v>
      </c>
      <c r="G98" s="41" t="n"/>
      <c r="H98" s="29" t="n"/>
      <c r="I98" s="43" t="n"/>
      <c r="J98" s="41" t="n"/>
      <c r="K98" s="41" t="n"/>
      <c r="L98" s="41" t="n"/>
      <c r="M98" s="31">
        <f>IF(COUNT(J98:L98)=0,"",MEDIAN(J98:L98))</f>
        <v/>
      </c>
      <c r="N98" s="26">
        <f>IF(COUNTIFS($C:$C,$C98,$D:$D,$D98,$E:$E,"기준(전)",$M:$M,"&gt;0")&lt;&gt;1,"기준(전) 유효 1개 아님",IF(COUNTIFS($C:$C,$C98,$D:$D,$D98,$E:$E,"기준(후)",$M:$M,"&gt;0")&lt;&gt;1,"기준(후) 유효 1개 아님",IF(NOT(AND(ISNUMBER(O98),ISNUMBER(Q98),ISNUMBER(I98))),"시각 결측",IF(Q98&lt;=O98,"기준 시각 역전",IF(OR(I98&lt;O98,I98&gt;Q98),"측정시각 구간 밖","OK")))))</f>
        <v/>
      </c>
      <c r="O98" s="48">
        <f>IF(COUNTIFS($C:$C,$C98,$D:$D,$D98,$E:$E,"기준(전)",$M:$M,"&gt;0")&lt;&gt;1,"",SUMIFS($I:$I,$C:$C,$C98,$D:$D,$D98,$E:$E,"기준(전)"))</f>
        <v/>
      </c>
      <c r="P98" s="31">
        <f>IF(COUNTIFS($C:$C,$C98,$D:$D,$D98,$E:$E,"기준(전)",$M:$M,"&gt;0")&lt;&gt;1,"",SUMIFS($M:$M,$C:$C,$C98,$D:$D,$D98,$E:$E,"기준(전)"))</f>
        <v/>
      </c>
      <c r="Q98" s="48">
        <f>IF(COUNTIFS($C:$C,$C98,$D:$D,$D98,$E:$E,"기준(후)",$M:$M,"&gt;0")&lt;&gt;1,"",SUMIFS($I:$I,$C:$C,$C98,$D:$D,$D98,$E:$E,"기준(후)"))</f>
        <v/>
      </c>
      <c r="R98" s="31">
        <f>IF(COUNTIFS($C:$C,$C98,$D:$D,$D98,$E:$E,"기준(후)",$M:$M,"&gt;0")&lt;&gt;1,"",SUMIFS($M:$M,$C:$C,$C98,$D:$D,$D98,$E:$E,"기준(후)"))</f>
        <v/>
      </c>
      <c r="S98" s="31">
        <f>IF(N98&lt;&gt;"OK","",P98+(R98-P98)*(I98-O98)/(Q98-O98))</f>
        <v/>
      </c>
      <c r="T98" s="31">
        <f>IF(OR(N98&lt;&gt;"OK",NOT(ISNUMBER(M98))),"",M98-S98)</f>
        <v/>
      </c>
      <c r="U98" s="49">
        <f>IF(OR($E97&lt;&gt;"측정",$C97&lt;&gt;$C98,$D97&lt;&gt;$D98,NOT(ISNUMBER(M98)),NOT(ISNUMBER(M97)),(IF(ISNUMBER(G98),G98,F98)-IF(ISNUMBER(G97),G97,F97))=0),"",(M98-M97)/((IF(ISNUMBER(G98),G98,F98)-IF(ISNUMBER(G97),G97,F97))/100))</f>
        <v/>
      </c>
      <c r="V98" s="29" t="n"/>
      <c r="W98" s="29" t="n"/>
      <c r="X98" s="32" t="n"/>
    </row>
    <row r="99">
      <c r="A99" s="26" t="inlineStr">
        <is>
          <t>S08</t>
        </is>
      </c>
      <c r="B99" s="26" t="inlineStr">
        <is>
          <t>청일 신규점2</t>
        </is>
      </c>
      <c r="C99" s="26" t="inlineStr">
        <is>
          <t>S08-V</t>
        </is>
      </c>
      <c r="D99" s="47" t="n">
        <v>1</v>
      </c>
      <c r="E99" s="26" t="inlineStr">
        <is>
          <t>측정</t>
        </is>
      </c>
      <c r="F99" s="47" t="n">
        <v>180</v>
      </c>
      <c r="G99" s="41" t="n"/>
      <c r="H99" s="29" t="n"/>
      <c r="I99" s="43" t="n"/>
      <c r="J99" s="41" t="n"/>
      <c r="K99" s="41" t="n"/>
      <c r="L99" s="41" t="n"/>
      <c r="M99" s="31">
        <f>IF(COUNT(J99:L99)=0,"",MEDIAN(J99:L99))</f>
        <v/>
      </c>
      <c r="N99" s="26">
        <f>IF(COUNTIFS($C:$C,$C99,$D:$D,$D99,$E:$E,"기준(전)",$M:$M,"&gt;0")&lt;&gt;1,"기준(전) 유효 1개 아님",IF(COUNTIFS($C:$C,$C99,$D:$D,$D99,$E:$E,"기준(후)",$M:$M,"&gt;0")&lt;&gt;1,"기준(후) 유효 1개 아님",IF(NOT(AND(ISNUMBER(O99),ISNUMBER(Q99),ISNUMBER(I99))),"시각 결측",IF(Q99&lt;=O99,"기준 시각 역전",IF(OR(I99&lt;O99,I99&gt;Q99),"측정시각 구간 밖","OK")))))</f>
        <v/>
      </c>
      <c r="O99" s="48">
        <f>IF(COUNTIFS($C:$C,$C99,$D:$D,$D99,$E:$E,"기준(전)",$M:$M,"&gt;0")&lt;&gt;1,"",SUMIFS($I:$I,$C:$C,$C99,$D:$D,$D99,$E:$E,"기준(전)"))</f>
        <v/>
      </c>
      <c r="P99" s="31">
        <f>IF(COUNTIFS($C:$C,$C99,$D:$D,$D99,$E:$E,"기준(전)",$M:$M,"&gt;0")&lt;&gt;1,"",SUMIFS($M:$M,$C:$C,$C99,$D:$D,$D99,$E:$E,"기준(전)"))</f>
        <v/>
      </c>
      <c r="Q99" s="48">
        <f>IF(COUNTIFS($C:$C,$C99,$D:$D,$D99,$E:$E,"기준(후)",$M:$M,"&gt;0")&lt;&gt;1,"",SUMIFS($I:$I,$C:$C,$C99,$D:$D,$D99,$E:$E,"기준(후)"))</f>
        <v/>
      </c>
      <c r="R99" s="31">
        <f>IF(COUNTIFS($C:$C,$C99,$D:$D,$D99,$E:$E,"기준(후)",$M:$M,"&gt;0")&lt;&gt;1,"",SUMIFS($M:$M,$C:$C,$C99,$D:$D,$D99,$E:$E,"기준(후)"))</f>
        <v/>
      </c>
      <c r="S99" s="31">
        <f>IF(N99&lt;&gt;"OK","",P99+(R99-P99)*(I99-O99)/(Q99-O99))</f>
        <v/>
      </c>
      <c r="T99" s="31">
        <f>IF(OR(N99&lt;&gt;"OK",NOT(ISNUMBER(M99))),"",M99-S99)</f>
        <v/>
      </c>
      <c r="U99" s="49">
        <f>IF(OR($E98&lt;&gt;"측정",$C98&lt;&gt;$C99,$D98&lt;&gt;$D99,NOT(ISNUMBER(M99)),NOT(ISNUMBER(M98)),(IF(ISNUMBER(G99),G99,F99)-IF(ISNUMBER(G98),G98,F98))=0),"",(M99-M98)/((IF(ISNUMBER(G99),G99,F99)-IF(ISNUMBER(G98),G98,F98))/100))</f>
        <v/>
      </c>
      <c r="V99" s="29" t="n"/>
      <c r="W99" s="29" t="n"/>
      <c r="X99" s="32" t="n"/>
    </row>
    <row r="100">
      <c r="A100" s="26" t="inlineStr">
        <is>
          <t>S08</t>
        </is>
      </c>
      <c r="B100" s="26" t="inlineStr">
        <is>
          <t>청일 신규점2</t>
        </is>
      </c>
      <c r="C100" s="26" t="inlineStr">
        <is>
          <t>S08-V</t>
        </is>
      </c>
      <c r="D100" s="47" t="n">
        <v>1</v>
      </c>
      <c r="E100" s="26" t="inlineStr">
        <is>
          <t>측정</t>
        </is>
      </c>
      <c r="F100" s="47" t="n">
        <v>200</v>
      </c>
      <c r="G100" s="41" t="n"/>
      <c r="H100" s="29" t="n"/>
      <c r="I100" s="43" t="n"/>
      <c r="J100" s="41" t="n"/>
      <c r="K100" s="41" t="n"/>
      <c r="L100" s="41" t="n"/>
      <c r="M100" s="31">
        <f>IF(COUNT(J100:L100)=0,"",MEDIAN(J100:L100))</f>
        <v/>
      </c>
      <c r="N100" s="26">
        <f>IF(COUNTIFS($C:$C,$C100,$D:$D,$D100,$E:$E,"기준(전)",$M:$M,"&gt;0")&lt;&gt;1,"기준(전) 유효 1개 아님",IF(COUNTIFS($C:$C,$C100,$D:$D,$D100,$E:$E,"기준(후)",$M:$M,"&gt;0")&lt;&gt;1,"기준(후) 유효 1개 아님",IF(NOT(AND(ISNUMBER(O100),ISNUMBER(Q100),ISNUMBER(I100))),"시각 결측",IF(Q100&lt;=O100,"기준 시각 역전",IF(OR(I100&lt;O100,I100&gt;Q100),"측정시각 구간 밖","OK")))))</f>
        <v/>
      </c>
      <c r="O100" s="48">
        <f>IF(COUNTIFS($C:$C,$C100,$D:$D,$D100,$E:$E,"기준(전)",$M:$M,"&gt;0")&lt;&gt;1,"",SUMIFS($I:$I,$C:$C,$C100,$D:$D,$D100,$E:$E,"기준(전)"))</f>
        <v/>
      </c>
      <c r="P100" s="31">
        <f>IF(COUNTIFS($C:$C,$C100,$D:$D,$D100,$E:$E,"기준(전)",$M:$M,"&gt;0")&lt;&gt;1,"",SUMIFS($M:$M,$C:$C,$C100,$D:$D,$D100,$E:$E,"기준(전)"))</f>
        <v/>
      </c>
      <c r="Q100" s="48">
        <f>IF(COUNTIFS($C:$C,$C100,$D:$D,$D100,$E:$E,"기준(후)",$M:$M,"&gt;0")&lt;&gt;1,"",SUMIFS($I:$I,$C:$C,$C100,$D:$D,$D100,$E:$E,"기준(후)"))</f>
        <v/>
      </c>
      <c r="R100" s="31">
        <f>IF(COUNTIFS($C:$C,$C100,$D:$D,$D100,$E:$E,"기준(후)",$M:$M,"&gt;0")&lt;&gt;1,"",SUMIFS($M:$M,$C:$C,$C100,$D:$D,$D100,$E:$E,"기준(후)"))</f>
        <v/>
      </c>
      <c r="S100" s="31">
        <f>IF(N100&lt;&gt;"OK","",P100+(R100-P100)*(I100-O100)/(Q100-O100))</f>
        <v/>
      </c>
      <c r="T100" s="31">
        <f>IF(OR(N100&lt;&gt;"OK",NOT(ISNUMBER(M100))),"",M100-S100)</f>
        <v/>
      </c>
      <c r="U100" s="49">
        <f>IF(OR($E99&lt;&gt;"측정",$C99&lt;&gt;$C100,$D99&lt;&gt;$D100,NOT(ISNUMBER(M100)),NOT(ISNUMBER(M99)),(IF(ISNUMBER(G100),G100,F100)-IF(ISNUMBER(G99),G99,F99))=0),"",(M100-M99)/((IF(ISNUMBER(G100),G100,F100)-IF(ISNUMBER(G99),G99,F99))/100))</f>
        <v/>
      </c>
      <c r="V100" s="29" t="n"/>
      <c r="W100" s="29" t="n"/>
      <c r="X100" s="32" t="n"/>
    </row>
    <row r="101">
      <c r="A101" s="44" t="inlineStr">
        <is>
          <t>S08</t>
        </is>
      </c>
      <c r="B101" s="44" t="inlineStr">
        <is>
          <t>청일 신규점2</t>
        </is>
      </c>
      <c r="C101" s="44" t="inlineStr">
        <is>
          <t>S08-V</t>
        </is>
      </c>
      <c r="D101" s="45" t="n">
        <v>1</v>
      </c>
      <c r="E101" s="44" t="inlineStr">
        <is>
          <t>기준(후)</t>
        </is>
      </c>
      <c r="F101" s="45" t="n"/>
      <c r="G101" s="41" t="n"/>
      <c r="H101" s="29" t="n"/>
      <c r="I101" s="43" t="n"/>
      <c r="J101" s="41" t="n"/>
      <c r="K101" s="41" t="n"/>
      <c r="L101" s="41" t="n"/>
      <c r="M101" s="31">
        <f>IF(COUNT(J101:L101)=0,"",MEDIAN(J101:L101))</f>
        <v/>
      </c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29" t="n"/>
      <c r="W101" s="29" t="n"/>
      <c r="X101" s="32" t="n"/>
    </row>
    <row r="102">
      <c r="A102" s="44" t="inlineStr">
        <is>
          <t>S09</t>
        </is>
      </c>
      <c r="B102" s="44" t="inlineStr">
        <is>
          <t>어론 신규점</t>
        </is>
      </c>
      <c r="C102" s="44" t="inlineStr">
        <is>
          <t>S09-V</t>
        </is>
      </c>
      <c r="D102" s="45" t="n">
        <v>1</v>
      </c>
      <c r="E102" s="44" t="inlineStr">
        <is>
          <t>기준(전)</t>
        </is>
      </c>
      <c r="F102" s="45" t="n"/>
      <c r="G102" s="41" t="n"/>
      <c r="H102" s="29" t="n"/>
      <c r="I102" s="43" t="n"/>
      <c r="J102" s="41" t="n"/>
      <c r="K102" s="41" t="n"/>
      <c r="L102" s="41" t="n"/>
      <c r="M102" s="31">
        <f>IF(COUNT(J102:L102)=0,"",MEDIAN(J102:L102))</f>
        <v/>
      </c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29" t="n"/>
      <c r="W102" s="29" t="n"/>
      <c r="X102" s="32" t="n"/>
    </row>
    <row r="103">
      <c r="A103" s="26" t="inlineStr">
        <is>
          <t>S09</t>
        </is>
      </c>
      <c r="B103" s="26" t="inlineStr">
        <is>
          <t>어론 신규점</t>
        </is>
      </c>
      <c r="C103" s="26" t="inlineStr">
        <is>
          <t>S09-V</t>
        </is>
      </c>
      <c r="D103" s="47" t="n">
        <v>1</v>
      </c>
      <c r="E103" s="26" t="inlineStr">
        <is>
          <t>측정</t>
        </is>
      </c>
      <c r="F103" s="47" t="n">
        <v>20</v>
      </c>
      <c r="G103" s="41" t="n"/>
      <c r="H103" s="29" t="n"/>
      <c r="I103" s="43" t="n"/>
      <c r="J103" s="41" t="n"/>
      <c r="K103" s="41" t="n"/>
      <c r="L103" s="41" t="n"/>
      <c r="M103" s="31">
        <f>IF(COUNT(J103:L103)=0,"",MEDIAN(J103:L103))</f>
        <v/>
      </c>
      <c r="N103" s="26">
        <f>IF(COUNTIFS($C:$C,$C103,$D:$D,$D103,$E:$E,"기준(전)",$M:$M,"&gt;0")&lt;&gt;1,"기준(전) 유효 1개 아님",IF(COUNTIFS($C:$C,$C103,$D:$D,$D103,$E:$E,"기준(후)",$M:$M,"&gt;0")&lt;&gt;1,"기준(후) 유효 1개 아님",IF(NOT(AND(ISNUMBER(O103),ISNUMBER(Q103),ISNUMBER(I103))),"시각 결측",IF(Q103&lt;=O103,"기준 시각 역전",IF(OR(I103&lt;O103,I103&gt;Q103),"측정시각 구간 밖","OK")))))</f>
        <v/>
      </c>
      <c r="O103" s="48">
        <f>IF(COUNTIFS($C:$C,$C103,$D:$D,$D103,$E:$E,"기준(전)",$M:$M,"&gt;0")&lt;&gt;1,"",SUMIFS($I:$I,$C:$C,$C103,$D:$D,$D103,$E:$E,"기준(전)"))</f>
        <v/>
      </c>
      <c r="P103" s="31">
        <f>IF(COUNTIFS($C:$C,$C103,$D:$D,$D103,$E:$E,"기준(전)",$M:$M,"&gt;0")&lt;&gt;1,"",SUMIFS($M:$M,$C:$C,$C103,$D:$D,$D103,$E:$E,"기준(전)"))</f>
        <v/>
      </c>
      <c r="Q103" s="48">
        <f>IF(COUNTIFS($C:$C,$C103,$D:$D,$D103,$E:$E,"기준(후)",$M:$M,"&gt;0")&lt;&gt;1,"",SUMIFS($I:$I,$C:$C,$C103,$D:$D,$D103,$E:$E,"기준(후)"))</f>
        <v/>
      </c>
      <c r="R103" s="31">
        <f>IF(COUNTIFS($C:$C,$C103,$D:$D,$D103,$E:$E,"기준(후)",$M:$M,"&gt;0")&lt;&gt;1,"",SUMIFS($M:$M,$C:$C,$C103,$D:$D,$D103,$E:$E,"기준(후)"))</f>
        <v/>
      </c>
      <c r="S103" s="31">
        <f>IF(N103&lt;&gt;"OK","",P103+(R103-P103)*(I103-O103)/(Q103-O103))</f>
        <v/>
      </c>
      <c r="T103" s="31">
        <f>IF(OR(N103&lt;&gt;"OK",NOT(ISNUMBER(M103))),"",M103-S103)</f>
        <v/>
      </c>
      <c r="U103" s="49">
        <f>IF(OR($E102&lt;&gt;"측정",$C102&lt;&gt;$C103,$D102&lt;&gt;$D103,NOT(ISNUMBER(M103)),NOT(ISNUMBER(M102)),(IF(ISNUMBER(G103),G103,F103)-IF(ISNUMBER(G102),G102,F102))=0),"",(M103-M102)/((IF(ISNUMBER(G103),G103,F103)-IF(ISNUMBER(G102),G102,F102))/100))</f>
        <v/>
      </c>
      <c r="V103" s="29" t="n"/>
      <c r="W103" s="29" t="n"/>
      <c r="X103" s="32" t="n"/>
    </row>
    <row r="104">
      <c r="A104" s="26" t="inlineStr">
        <is>
          <t>S09</t>
        </is>
      </c>
      <c r="B104" s="26" t="inlineStr">
        <is>
          <t>어론 신규점</t>
        </is>
      </c>
      <c r="C104" s="26" t="inlineStr">
        <is>
          <t>S09-V</t>
        </is>
      </c>
      <c r="D104" s="47" t="n">
        <v>1</v>
      </c>
      <c r="E104" s="26" t="inlineStr">
        <is>
          <t>측정</t>
        </is>
      </c>
      <c r="F104" s="47" t="n">
        <v>40</v>
      </c>
      <c r="G104" s="41" t="n"/>
      <c r="H104" s="29" t="n"/>
      <c r="I104" s="43" t="n"/>
      <c r="J104" s="41" t="n"/>
      <c r="K104" s="41" t="n"/>
      <c r="L104" s="41" t="n"/>
      <c r="M104" s="31">
        <f>IF(COUNT(J104:L104)=0,"",MEDIAN(J104:L104))</f>
        <v/>
      </c>
      <c r="N104" s="26">
        <f>IF(COUNTIFS($C:$C,$C104,$D:$D,$D104,$E:$E,"기준(전)",$M:$M,"&gt;0")&lt;&gt;1,"기준(전) 유효 1개 아님",IF(COUNTIFS($C:$C,$C104,$D:$D,$D104,$E:$E,"기준(후)",$M:$M,"&gt;0")&lt;&gt;1,"기준(후) 유효 1개 아님",IF(NOT(AND(ISNUMBER(O104),ISNUMBER(Q104),ISNUMBER(I104))),"시각 결측",IF(Q104&lt;=O104,"기준 시각 역전",IF(OR(I104&lt;O104,I104&gt;Q104),"측정시각 구간 밖","OK")))))</f>
        <v/>
      </c>
      <c r="O104" s="48">
        <f>IF(COUNTIFS($C:$C,$C104,$D:$D,$D104,$E:$E,"기준(전)",$M:$M,"&gt;0")&lt;&gt;1,"",SUMIFS($I:$I,$C:$C,$C104,$D:$D,$D104,$E:$E,"기준(전)"))</f>
        <v/>
      </c>
      <c r="P104" s="31">
        <f>IF(COUNTIFS($C:$C,$C104,$D:$D,$D104,$E:$E,"기준(전)",$M:$M,"&gt;0")&lt;&gt;1,"",SUMIFS($M:$M,$C:$C,$C104,$D:$D,$D104,$E:$E,"기준(전)"))</f>
        <v/>
      </c>
      <c r="Q104" s="48">
        <f>IF(COUNTIFS($C:$C,$C104,$D:$D,$D104,$E:$E,"기준(후)",$M:$M,"&gt;0")&lt;&gt;1,"",SUMIFS($I:$I,$C:$C,$C104,$D:$D,$D104,$E:$E,"기준(후)"))</f>
        <v/>
      </c>
      <c r="R104" s="31">
        <f>IF(COUNTIFS($C:$C,$C104,$D:$D,$D104,$E:$E,"기준(후)",$M:$M,"&gt;0")&lt;&gt;1,"",SUMIFS($M:$M,$C:$C,$C104,$D:$D,$D104,$E:$E,"기준(후)"))</f>
        <v/>
      </c>
      <c r="S104" s="31">
        <f>IF(N104&lt;&gt;"OK","",P104+(R104-P104)*(I104-O104)/(Q104-O104))</f>
        <v/>
      </c>
      <c r="T104" s="31">
        <f>IF(OR(N104&lt;&gt;"OK",NOT(ISNUMBER(M104))),"",M104-S104)</f>
        <v/>
      </c>
      <c r="U104" s="49">
        <f>IF(OR($E103&lt;&gt;"측정",$C103&lt;&gt;$C104,$D103&lt;&gt;$D104,NOT(ISNUMBER(M104)),NOT(ISNUMBER(M103)),(IF(ISNUMBER(G104),G104,F104)-IF(ISNUMBER(G103),G103,F103))=0),"",(M104-M103)/((IF(ISNUMBER(G104),G104,F104)-IF(ISNUMBER(G103),G103,F103))/100))</f>
        <v/>
      </c>
      <c r="V104" s="29" t="n"/>
      <c r="W104" s="29" t="n"/>
      <c r="X104" s="32" t="n"/>
    </row>
    <row r="105">
      <c r="A105" s="26" t="inlineStr">
        <is>
          <t>S09</t>
        </is>
      </c>
      <c r="B105" s="26" t="inlineStr">
        <is>
          <t>어론 신규점</t>
        </is>
      </c>
      <c r="C105" s="26" t="inlineStr">
        <is>
          <t>S09-V</t>
        </is>
      </c>
      <c r="D105" s="47" t="n">
        <v>1</v>
      </c>
      <c r="E105" s="26" t="inlineStr">
        <is>
          <t>측정</t>
        </is>
      </c>
      <c r="F105" s="47" t="n">
        <v>60</v>
      </c>
      <c r="G105" s="41" t="n"/>
      <c r="H105" s="29" t="n"/>
      <c r="I105" s="43" t="n"/>
      <c r="J105" s="41" t="n"/>
      <c r="K105" s="41" t="n"/>
      <c r="L105" s="41" t="n"/>
      <c r="M105" s="31">
        <f>IF(COUNT(J105:L105)=0,"",MEDIAN(J105:L105))</f>
        <v/>
      </c>
      <c r="N105" s="26">
        <f>IF(COUNTIFS($C:$C,$C105,$D:$D,$D105,$E:$E,"기준(전)",$M:$M,"&gt;0")&lt;&gt;1,"기준(전) 유효 1개 아님",IF(COUNTIFS($C:$C,$C105,$D:$D,$D105,$E:$E,"기준(후)",$M:$M,"&gt;0")&lt;&gt;1,"기준(후) 유효 1개 아님",IF(NOT(AND(ISNUMBER(O105),ISNUMBER(Q105),ISNUMBER(I105))),"시각 결측",IF(Q105&lt;=O105,"기준 시각 역전",IF(OR(I105&lt;O105,I105&gt;Q105),"측정시각 구간 밖","OK")))))</f>
        <v/>
      </c>
      <c r="O105" s="48">
        <f>IF(COUNTIFS($C:$C,$C105,$D:$D,$D105,$E:$E,"기준(전)",$M:$M,"&gt;0")&lt;&gt;1,"",SUMIFS($I:$I,$C:$C,$C105,$D:$D,$D105,$E:$E,"기준(전)"))</f>
        <v/>
      </c>
      <c r="P105" s="31">
        <f>IF(COUNTIFS($C:$C,$C105,$D:$D,$D105,$E:$E,"기준(전)",$M:$M,"&gt;0")&lt;&gt;1,"",SUMIFS($M:$M,$C:$C,$C105,$D:$D,$D105,$E:$E,"기준(전)"))</f>
        <v/>
      </c>
      <c r="Q105" s="48">
        <f>IF(COUNTIFS($C:$C,$C105,$D:$D,$D105,$E:$E,"기준(후)",$M:$M,"&gt;0")&lt;&gt;1,"",SUMIFS($I:$I,$C:$C,$C105,$D:$D,$D105,$E:$E,"기준(후)"))</f>
        <v/>
      </c>
      <c r="R105" s="31">
        <f>IF(COUNTIFS($C:$C,$C105,$D:$D,$D105,$E:$E,"기준(후)",$M:$M,"&gt;0")&lt;&gt;1,"",SUMIFS($M:$M,$C:$C,$C105,$D:$D,$D105,$E:$E,"기준(후)"))</f>
        <v/>
      </c>
      <c r="S105" s="31">
        <f>IF(N105&lt;&gt;"OK","",P105+(R105-P105)*(I105-O105)/(Q105-O105))</f>
        <v/>
      </c>
      <c r="T105" s="31">
        <f>IF(OR(N105&lt;&gt;"OK",NOT(ISNUMBER(M105))),"",M105-S105)</f>
        <v/>
      </c>
      <c r="U105" s="49">
        <f>IF(OR($E104&lt;&gt;"측정",$C104&lt;&gt;$C105,$D104&lt;&gt;$D105,NOT(ISNUMBER(M105)),NOT(ISNUMBER(M104)),(IF(ISNUMBER(G105),G105,F105)-IF(ISNUMBER(G104),G104,F104))=0),"",(M105-M104)/((IF(ISNUMBER(G105),G105,F105)-IF(ISNUMBER(G104),G104,F104))/100))</f>
        <v/>
      </c>
      <c r="V105" s="29" t="n"/>
      <c r="W105" s="29" t="n"/>
      <c r="X105" s="32" t="n"/>
    </row>
    <row r="106">
      <c r="A106" s="26" t="inlineStr">
        <is>
          <t>S09</t>
        </is>
      </c>
      <c r="B106" s="26" t="inlineStr">
        <is>
          <t>어론 신규점</t>
        </is>
      </c>
      <c r="C106" s="26" t="inlineStr">
        <is>
          <t>S09-V</t>
        </is>
      </c>
      <c r="D106" s="47" t="n">
        <v>1</v>
      </c>
      <c r="E106" s="26" t="inlineStr">
        <is>
          <t>측정</t>
        </is>
      </c>
      <c r="F106" s="47" t="n">
        <v>80</v>
      </c>
      <c r="G106" s="41" t="n"/>
      <c r="H106" s="29" t="n"/>
      <c r="I106" s="43" t="n"/>
      <c r="J106" s="41" t="n"/>
      <c r="K106" s="41" t="n"/>
      <c r="L106" s="41" t="n"/>
      <c r="M106" s="31">
        <f>IF(COUNT(J106:L106)=0,"",MEDIAN(J106:L106))</f>
        <v/>
      </c>
      <c r="N106" s="26">
        <f>IF(COUNTIFS($C:$C,$C106,$D:$D,$D106,$E:$E,"기준(전)",$M:$M,"&gt;0")&lt;&gt;1,"기준(전) 유효 1개 아님",IF(COUNTIFS($C:$C,$C106,$D:$D,$D106,$E:$E,"기준(후)",$M:$M,"&gt;0")&lt;&gt;1,"기준(후) 유효 1개 아님",IF(NOT(AND(ISNUMBER(O106),ISNUMBER(Q106),ISNUMBER(I106))),"시각 결측",IF(Q106&lt;=O106,"기준 시각 역전",IF(OR(I106&lt;O106,I106&gt;Q106),"측정시각 구간 밖","OK")))))</f>
        <v/>
      </c>
      <c r="O106" s="48">
        <f>IF(COUNTIFS($C:$C,$C106,$D:$D,$D106,$E:$E,"기준(전)",$M:$M,"&gt;0")&lt;&gt;1,"",SUMIFS($I:$I,$C:$C,$C106,$D:$D,$D106,$E:$E,"기준(전)"))</f>
        <v/>
      </c>
      <c r="P106" s="31">
        <f>IF(COUNTIFS($C:$C,$C106,$D:$D,$D106,$E:$E,"기준(전)",$M:$M,"&gt;0")&lt;&gt;1,"",SUMIFS($M:$M,$C:$C,$C106,$D:$D,$D106,$E:$E,"기준(전)"))</f>
        <v/>
      </c>
      <c r="Q106" s="48">
        <f>IF(COUNTIFS($C:$C,$C106,$D:$D,$D106,$E:$E,"기준(후)",$M:$M,"&gt;0")&lt;&gt;1,"",SUMIFS($I:$I,$C:$C,$C106,$D:$D,$D106,$E:$E,"기준(후)"))</f>
        <v/>
      </c>
      <c r="R106" s="31">
        <f>IF(COUNTIFS($C:$C,$C106,$D:$D,$D106,$E:$E,"기준(후)",$M:$M,"&gt;0")&lt;&gt;1,"",SUMIFS($M:$M,$C:$C,$C106,$D:$D,$D106,$E:$E,"기준(후)"))</f>
        <v/>
      </c>
      <c r="S106" s="31">
        <f>IF(N106&lt;&gt;"OK","",P106+(R106-P106)*(I106-O106)/(Q106-O106))</f>
        <v/>
      </c>
      <c r="T106" s="31">
        <f>IF(OR(N106&lt;&gt;"OK",NOT(ISNUMBER(M106))),"",M106-S106)</f>
        <v/>
      </c>
      <c r="U106" s="49">
        <f>IF(OR($E105&lt;&gt;"측정",$C105&lt;&gt;$C106,$D105&lt;&gt;$D106,NOT(ISNUMBER(M106)),NOT(ISNUMBER(M105)),(IF(ISNUMBER(G106),G106,F106)-IF(ISNUMBER(G105),G105,F105))=0),"",(M106-M105)/((IF(ISNUMBER(G106),G106,F106)-IF(ISNUMBER(G105),G105,F105))/100))</f>
        <v/>
      </c>
      <c r="V106" s="29" t="n"/>
      <c r="W106" s="29" t="n"/>
      <c r="X106" s="32" t="n"/>
    </row>
    <row r="107">
      <c r="A107" s="26" t="inlineStr">
        <is>
          <t>S09</t>
        </is>
      </c>
      <c r="B107" s="26" t="inlineStr">
        <is>
          <t>어론 신규점</t>
        </is>
      </c>
      <c r="C107" s="26" t="inlineStr">
        <is>
          <t>S09-V</t>
        </is>
      </c>
      <c r="D107" s="47" t="n">
        <v>1</v>
      </c>
      <c r="E107" s="26" t="inlineStr">
        <is>
          <t>측정</t>
        </is>
      </c>
      <c r="F107" s="47" t="n">
        <v>100</v>
      </c>
      <c r="G107" s="41" t="n"/>
      <c r="H107" s="29" t="n"/>
      <c r="I107" s="43" t="n"/>
      <c r="J107" s="41" t="n"/>
      <c r="K107" s="41" t="n"/>
      <c r="L107" s="41" t="n"/>
      <c r="M107" s="31">
        <f>IF(COUNT(J107:L107)=0,"",MEDIAN(J107:L107))</f>
        <v/>
      </c>
      <c r="N107" s="26">
        <f>IF(COUNTIFS($C:$C,$C107,$D:$D,$D107,$E:$E,"기준(전)",$M:$M,"&gt;0")&lt;&gt;1,"기준(전) 유효 1개 아님",IF(COUNTIFS($C:$C,$C107,$D:$D,$D107,$E:$E,"기준(후)",$M:$M,"&gt;0")&lt;&gt;1,"기준(후) 유효 1개 아님",IF(NOT(AND(ISNUMBER(O107),ISNUMBER(Q107),ISNUMBER(I107))),"시각 결측",IF(Q107&lt;=O107,"기준 시각 역전",IF(OR(I107&lt;O107,I107&gt;Q107),"측정시각 구간 밖","OK")))))</f>
        <v/>
      </c>
      <c r="O107" s="48">
        <f>IF(COUNTIFS($C:$C,$C107,$D:$D,$D107,$E:$E,"기준(전)",$M:$M,"&gt;0")&lt;&gt;1,"",SUMIFS($I:$I,$C:$C,$C107,$D:$D,$D107,$E:$E,"기준(전)"))</f>
        <v/>
      </c>
      <c r="P107" s="31">
        <f>IF(COUNTIFS($C:$C,$C107,$D:$D,$D107,$E:$E,"기준(전)",$M:$M,"&gt;0")&lt;&gt;1,"",SUMIFS($M:$M,$C:$C,$C107,$D:$D,$D107,$E:$E,"기준(전)"))</f>
        <v/>
      </c>
      <c r="Q107" s="48">
        <f>IF(COUNTIFS($C:$C,$C107,$D:$D,$D107,$E:$E,"기준(후)",$M:$M,"&gt;0")&lt;&gt;1,"",SUMIFS($I:$I,$C:$C,$C107,$D:$D,$D107,$E:$E,"기준(후)"))</f>
        <v/>
      </c>
      <c r="R107" s="31">
        <f>IF(COUNTIFS($C:$C,$C107,$D:$D,$D107,$E:$E,"기준(후)",$M:$M,"&gt;0")&lt;&gt;1,"",SUMIFS($M:$M,$C:$C,$C107,$D:$D,$D107,$E:$E,"기준(후)"))</f>
        <v/>
      </c>
      <c r="S107" s="31">
        <f>IF(N107&lt;&gt;"OK","",P107+(R107-P107)*(I107-O107)/(Q107-O107))</f>
        <v/>
      </c>
      <c r="T107" s="31">
        <f>IF(OR(N107&lt;&gt;"OK",NOT(ISNUMBER(M107))),"",M107-S107)</f>
        <v/>
      </c>
      <c r="U107" s="49">
        <f>IF(OR($E106&lt;&gt;"측정",$C106&lt;&gt;$C107,$D106&lt;&gt;$D107,NOT(ISNUMBER(M107)),NOT(ISNUMBER(M106)),(IF(ISNUMBER(G107),G107,F107)-IF(ISNUMBER(G106),G106,F106))=0),"",(M107-M106)/((IF(ISNUMBER(G107),G107,F107)-IF(ISNUMBER(G106),G106,F106))/100))</f>
        <v/>
      </c>
      <c r="V107" s="29" t="n"/>
      <c r="W107" s="29" t="n"/>
      <c r="X107" s="32" t="n"/>
    </row>
    <row r="108">
      <c r="A108" s="26" t="inlineStr">
        <is>
          <t>S09</t>
        </is>
      </c>
      <c r="B108" s="26" t="inlineStr">
        <is>
          <t>어론 신규점</t>
        </is>
      </c>
      <c r="C108" s="26" t="inlineStr">
        <is>
          <t>S09-V</t>
        </is>
      </c>
      <c r="D108" s="47" t="n">
        <v>1</v>
      </c>
      <c r="E108" s="26" t="inlineStr">
        <is>
          <t>측정</t>
        </is>
      </c>
      <c r="F108" s="47" t="n">
        <v>120</v>
      </c>
      <c r="G108" s="41" t="n"/>
      <c r="H108" s="29" t="n"/>
      <c r="I108" s="43" t="n"/>
      <c r="J108" s="41" t="n"/>
      <c r="K108" s="41" t="n"/>
      <c r="L108" s="41" t="n"/>
      <c r="M108" s="31">
        <f>IF(COUNT(J108:L108)=0,"",MEDIAN(J108:L108))</f>
        <v/>
      </c>
      <c r="N108" s="26">
        <f>IF(COUNTIFS($C:$C,$C108,$D:$D,$D108,$E:$E,"기준(전)",$M:$M,"&gt;0")&lt;&gt;1,"기준(전) 유효 1개 아님",IF(COUNTIFS($C:$C,$C108,$D:$D,$D108,$E:$E,"기준(후)",$M:$M,"&gt;0")&lt;&gt;1,"기준(후) 유효 1개 아님",IF(NOT(AND(ISNUMBER(O108),ISNUMBER(Q108),ISNUMBER(I108))),"시각 결측",IF(Q108&lt;=O108,"기준 시각 역전",IF(OR(I108&lt;O108,I108&gt;Q108),"측정시각 구간 밖","OK")))))</f>
        <v/>
      </c>
      <c r="O108" s="48">
        <f>IF(COUNTIFS($C:$C,$C108,$D:$D,$D108,$E:$E,"기준(전)",$M:$M,"&gt;0")&lt;&gt;1,"",SUMIFS($I:$I,$C:$C,$C108,$D:$D,$D108,$E:$E,"기준(전)"))</f>
        <v/>
      </c>
      <c r="P108" s="31">
        <f>IF(COUNTIFS($C:$C,$C108,$D:$D,$D108,$E:$E,"기준(전)",$M:$M,"&gt;0")&lt;&gt;1,"",SUMIFS($M:$M,$C:$C,$C108,$D:$D,$D108,$E:$E,"기준(전)"))</f>
        <v/>
      </c>
      <c r="Q108" s="48">
        <f>IF(COUNTIFS($C:$C,$C108,$D:$D,$D108,$E:$E,"기준(후)",$M:$M,"&gt;0")&lt;&gt;1,"",SUMIFS($I:$I,$C:$C,$C108,$D:$D,$D108,$E:$E,"기준(후)"))</f>
        <v/>
      </c>
      <c r="R108" s="31">
        <f>IF(COUNTIFS($C:$C,$C108,$D:$D,$D108,$E:$E,"기준(후)",$M:$M,"&gt;0")&lt;&gt;1,"",SUMIFS($M:$M,$C:$C,$C108,$D:$D,$D108,$E:$E,"기준(후)"))</f>
        <v/>
      </c>
      <c r="S108" s="31">
        <f>IF(N108&lt;&gt;"OK","",P108+(R108-P108)*(I108-O108)/(Q108-O108))</f>
        <v/>
      </c>
      <c r="T108" s="31">
        <f>IF(OR(N108&lt;&gt;"OK",NOT(ISNUMBER(M108))),"",M108-S108)</f>
        <v/>
      </c>
      <c r="U108" s="49">
        <f>IF(OR($E107&lt;&gt;"측정",$C107&lt;&gt;$C108,$D107&lt;&gt;$D108,NOT(ISNUMBER(M108)),NOT(ISNUMBER(M107)),(IF(ISNUMBER(G108),G108,F108)-IF(ISNUMBER(G107),G107,F107))=0),"",(M108-M107)/((IF(ISNUMBER(G108),G108,F108)-IF(ISNUMBER(G107),G107,F107))/100))</f>
        <v/>
      </c>
      <c r="V108" s="29" t="n"/>
      <c r="W108" s="29" t="n"/>
      <c r="X108" s="32" t="n"/>
    </row>
    <row r="109">
      <c r="A109" s="26" t="inlineStr">
        <is>
          <t>S09</t>
        </is>
      </c>
      <c r="B109" s="26" t="inlineStr">
        <is>
          <t>어론 신규점</t>
        </is>
      </c>
      <c r="C109" s="26" t="inlineStr">
        <is>
          <t>S09-V</t>
        </is>
      </c>
      <c r="D109" s="47" t="n">
        <v>1</v>
      </c>
      <c r="E109" s="26" t="inlineStr">
        <is>
          <t>측정</t>
        </is>
      </c>
      <c r="F109" s="47" t="n">
        <v>140</v>
      </c>
      <c r="G109" s="41" t="n"/>
      <c r="H109" s="29" t="n"/>
      <c r="I109" s="43" t="n"/>
      <c r="J109" s="41" t="n"/>
      <c r="K109" s="41" t="n"/>
      <c r="L109" s="41" t="n"/>
      <c r="M109" s="31">
        <f>IF(COUNT(J109:L109)=0,"",MEDIAN(J109:L109))</f>
        <v/>
      </c>
      <c r="N109" s="26">
        <f>IF(COUNTIFS($C:$C,$C109,$D:$D,$D109,$E:$E,"기준(전)",$M:$M,"&gt;0")&lt;&gt;1,"기준(전) 유효 1개 아님",IF(COUNTIFS($C:$C,$C109,$D:$D,$D109,$E:$E,"기준(후)",$M:$M,"&gt;0")&lt;&gt;1,"기준(후) 유효 1개 아님",IF(NOT(AND(ISNUMBER(O109),ISNUMBER(Q109),ISNUMBER(I109))),"시각 결측",IF(Q109&lt;=O109,"기준 시각 역전",IF(OR(I109&lt;O109,I109&gt;Q109),"측정시각 구간 밖","OK")))))</f>
        <v/>
      </c>
      <c r="O109" s="48">
        <f>IF(COUNTIFS($C:$C,$C109,$D:$D,$D109,$E:$E,"기준(전)",$M:$M,"&gt;0")&lt;&gt;1,"",SUMIFS($I:$I,$C:$C,$C109,$D:$D,$D109,$E:$E,"기준(전)"))</f>
        <v/>
      </c>
      <c r="P109" s="31">
        <f>IF(COUNTIFS($C:$C,$C109,$D:$D,$D109,$E:$E,"기준(전)",$M:$M,"&gt;0")&lt;&gt;1,"",SUMIFS($M:$M,$C:$C,$C109,$D:$D,$D109,$E:$E,"기준(전)"))</f>
        <v/>
      </c>
      <c r="Q109" s="48">
        <f>IF(COUNTIFS($C:$C,$C109,$D:$D,$D109,$E:$E,"기준(후)",$M:$M,"&gt;0")&lt;&gt;1,"",SUMIFS($I:$I,$C:$C,$C109,$D:$D,$D109,$E:$E,"기준(후)"))</f>
        <v/>
      </c>
      <c r="R109" s="31">
        <f>IF(COUNTIFS($C:$C,$C109,$D:$D,$D109,$E:$E,"기준(후)",$M:$M,"&gt;0")&lt;&gt;1,"",SUMIFS($M:$M,$C:$C,$C109,$D:$D,$D109,$E:$E,"기준(후)"))</f>
        <v/>
      </c>
      <c r="S109" s="31">
        <f>IF(N109&lt;&gt;"OK","",P109+(R109-P109)*(I109-O109)/(Q109-O109))</f>
        <v/>
      </c>
      <c r="T109" s="31">
        <f>IF(OR(N109&lt;&gt;"OK",NOT(ISNUMBER(M109))),"",M109-S109)</f>
        <v/>
      </c>
      <c r="U109" s="49">
        <f>IF(OR($E108&lt;&gt;"측정",$C108&lt;&gt;$C109,$D108&lt;&gt;$D109,NOT(ISNUMBER(M109)),NOT(ISNUMBER(M108)),(IF(ISNUMBER(G109),G109,F109)-IF(ISNUMBER(G108),G108,F108))=0),"",(M109-M108)/((IF(ISNUMBER(G109),G109,F109)-IF(ISNUMBER(G108),G108,F108))/100))</f>
        <v/>
      </c>
      <c r="V109" s="29" t="n"/>
      <c r="W109" s="29" t="n"/>
      <c r="X109" s="32" t="n"/>
    </row>
    <row r="110">
      <c r="A110" s="26" t="inlineStr">
        <is>
          <t>S09</t>
        </is>
      </c>
      <c r="B110" s="26" t="inlineStr">
        <is>
          <t>어론 신규점</t>
        </is>
      </c>
      <c r="C110" s="26" t="inlineStr">
        <is>
          <t>S09-V</t>
        </is>
      </c>
      <c r="D110" s="47" t="n">
        <v>1</v>
      </c>
      <c r="E110" s="26" t="inlineStr">
        <is>
          <t>측정</t>
        </is>
      </c>
      <c r="F110" s="47" t="n">
        <v>160</v>
      </c>
      <c r="G110" s="41" t="n"/>
      <c r="H110" s="29" t="n"/>
      <c r="I110" s="43" t="n"/>
      <c r="J110" s="41" t="n"/>
      <c r="K110" s="41" t="n"/>
      <c r="L110" s="41" t="n"/>
      <c r="M110" s="31">
        <f>IF(COUNT(J110:L110)=0,"",MEDIAN(J110:L110))</f>
        <v/>
      </c>
      <c r="N110" s="26">
        <f>IF(COUNTIFS($C:$C,$C110,$D:$D,$D110,$E:$E,"기준(전)",$M:$M,"&gt;0")&lt;&gt;1,"기준(전) 유효 1개 아님",IF(COUNTIFS($C:$C,$C110,$D:$D,$D110,$E:$E,"기준(후)",$M:$M,"&gt;0")&lt;&gt;1,"기준(후) 유효 1개 아님",IF(NOT(AND(ISNUMBER(O110),ISNUMBER(Q110),ISNUMBER(I110))),"시각 결측",IF(Q110&lt;=O110,"기준 시각 역전",IF(OR(I110&lt;O110,I110&gt;Q110),"측정시각 구간 밖","OK")))))</f>
        <v/>
      </c>
      <c r="O110" s="48">
        <f>IF(COUNTIFS($C:$C,$C110,$D:$D,$D110,$E:$E,"기준(전)",$M:$M,"&gt;0")&lt;&gt;1,"",SUMIFS($I:$I,$C:$C,$C110,$D:$D,$D110,$E:$E,"기준(전)"))</f>
        <v/>
      </c>
      <c r="P110" s="31">
        <f>IF(COUNTIFS($C:$C,$C110,$D:$D,$D110,$E:$E,"기준(전)",$M:$M,"&gt;0")&lt;&gt;1,"",SUMIFS($M:$M,$C:$C,$C110,$D:$D,$D110,$E:$E,"기준(전)"))</f>
        <v/>
      </c>
      <c r="Q110" s="48">
        <f>IF(COUNTIFS($C:$C,$C110,$D:$D,$D110,$E:$E,"기준(후)",$M:$M,"&gt;0")&lt;&gt;1,"",SUMIFS($I:$I,$C:$C,$C110,$D:$D,$D110,$E:$E,"기준(후)"))</f>
        <v/>
      </c>
      <c r="R110" s="31">
        <f>IF(COUNTIFS($C:$C,$C110,$D:$D,$D110,$E:$E,"기준(후)",$M:$M,"&gt;0")&lt;&gt;1,"",SUMIFS($M:$M,$C:$C,$C110,$D:$D,$D110,$E:$E,"기준(후)"))</f>
        <v/>
      </c>
      <c r="S110" s="31">
        <f>IF(N110&lt;&gt;"OK","",P110+(R110-P110)*(I110-O110)/(Q110-O110))</f>
        <v/>
      </c>
      <c r="T110" s="31">
        <f>IF(OR(N110&lt;&gt;"OK",NOT(ISNUMBER(M110))),"",M110-S110)</f>
        <v/>
      </c>
      <c r="U110" s="49">
        <f>IF(OR($E109&lt;&gt;"측정",$C109&lt;&gt;$C110,$D109&lt;&gt;$D110,NOT(ISNUMBER(M110)),NOT(ISNUMBER(M109)),(IF(ISNUMBER(G110),G110,F110)-IF(ISNUMBER(G109),G109,F109))=0),"",(M110-M109)/((IF(ISNUMBER(G110),G110,F110)-IF(ISNUMBER(G109),G109,F109))/100))</f>
        <v/>
      </c>
      <c r="V110" s="29" t="n"/>
      <c r="W110" s="29" t="n"/>
      <c r="X110" s="32" t="n"/>
    </row>
    <row r="111">
      <c r="A111" s="26" t="inlineStr">
        <is>
          <t>S09</t>
        </is>
      </c>
      <c r="B111" s="26" t="inlineStr">
        <is>
          <t>어론 신규점</t>
        </is>
      </c>
      <c r="C111" s="26" t="inlineStr">
        <is>
          <t>S09-V</t>
        </is>
      </c>
      <c r="D111" s="47" t="n">
        <v>1</v>
      </c>
      <c r="E111" s="26" t="inlineStr">
        <is>
          <t>측정</t>
        </is>
      </c>
      <c r="F111" s="47" t="n">
        <v>180</v>
      </c>
      <c r="G111" s="41" t="n"/>
      <c r="H111" s="29" t="n"/>
      <c r="I111" s="43" t="n"/>
      <c r="J111" s="41" t="n"/>
      <c r="K111" s="41" t="n"/>
      <c r="L111" s="41" t="n"/>
      <c r="M111" s="31">
        <f>IF(COUNT(J111:L111)=0,"",MEDIAN(J111:L111))</f>
        <v/>
      </c>
      <c r="N111" s="26">
        <f>IF(COUNTIFS($C:$C,$C111,$D:$D,$D111,$E:$E,"기준(전)",$M:$M,"&gt;0")&lt;&gt;1,"기준(전) 유효 1개 아님",IF(COUNTIFS($C:$C,$C111,$D:$D,$D111,$E:$E,"기준(후)",$M:$M,"&gt;0")&lt;&gt;1,"기준(후) 유효 1개 아님",IF(NOT(AND(ISNUMBER(O111),ISNUMBER(Q111),ISNUMBER(I111))),"시각 결측",IF(Q111&lt;=O111,"기준 시각 역전",IF(OR(I111&lt;O111,I111&gt;Q111),"측정시각 구간 밖","OK")))))</f>
        <v/>
      </c>
      <c r="O111" s="48">
        <f>IF(COUNTIFS($C:$C,$C111,$D:$D,$D111,$E:$E,"기준(전)",$M:$M,"&gt;0")&lt;&gt;1,"",SUMIFS($I:$I,$C:$C,$C111,$D:$D,$D111,$E:$E,"기준(전)"))</f>
        <v/>
      </c>
      <c r="P111" s="31">
        <f>IF(COUNTIFS($C:$C,$C111,$D:$D,$D111,$E:$E,"기준(전)",$M:$M,"&gt;0")&lt;&gt;1,"",SUMIFS($M:$M,$C:$C,$C111,$D:$D,$D111,$E:$E,"기준(전)"))</f>
        <v/>
      </c>
      <c r="Q111" s="48">
        <f>IF(COUNTIFS($C:$C,$C111,$D:$D,$D111,$E:$E,"기준(후)",$M:$M,"&gt;0")&lt;&gt;1,"",SUMIFS($I:$I,$C:$C,$C111,$D:$D,$D111,$E:$E,"기준(후)"))</f>
        <v/>
      </c>
      <c r="R111" s="31">
        <f>IF(COUNTIFS($C:$C,$C111,$D:$D,$D111,$E:$E,"기준(후)",$M:$M,"&gt;0")&lt;&gt;1,"",SUMIFS($M:$M,$C:$C,$C111,$D:$D,$D111,$E:$E,"기준(후)"))</f>
        <v/>
      </c>
      <c r="S111" s="31">
        <f>IF(N111&lt;&gt;"OK","",P111+(R111-P111)*(I111-O111)/(Q111-O111))</f>
        <v/>
      </c>
      <c r="T111" s="31">
        <f>IF(OR(N111&lt;&gt;"OK",NOT(ISNUMBER(M111))),"",M111-S111)</f>
        <v/>
      </c>
      <c r="U111" s="49">
        <f>IF(OR($E110&lt;&gt;"측정",$C110&lt;&gt;$C111,$D110&lt;&gt;$D111,NOT(ISNUMBER(M111)),NOT(ISNUMBER(M110)),(IF(ISNUMBER(G111),G111,F111)-IF(ISNUMBER(G110),G110,F110))=0),"",(M111-M110)/((IF(ISNUMBER(G111),G111,F111)-IF(ISNUMBER(G110),G110,F110))/100))</f>
        <v/>
      </c>
      <c r="V111" s="29" t="n"/>
      <c r="W111" s="29" t="n"/>
      <c r="X111" s="32" t="n"/>
    </row>
    <row r="112">
      <c r="A112" s="26" t="inlineStr">
        <is>
          <t>S09</t>
        </is>
      </c>
      <c r="B112" s="26" t="inlineStr">
        <is>
          <t>어론 신규점</t>
        </is>
      </c>
      <c r="C112" s="26" t="inlineStr">
        <is>
          <t>S09-V</t>
        </is>
      </c>
      <c r="D112" s="47" t="n">
        <v>1</v>
      </c>
      <c r="E112" s="26" t="inlineStr">
        <is>
          <t>측정</t>
        </is>
      </c>
      <c r="F112" s="47" t="n">
        <v>200</v>
      </c>
      <c r="G112" s="41" t="n"/>
      <c r="H112" s="29" t="n"/>
      <c r="I112" s="43" t="n"/>
      <c r="J112" s="41" t="n"/>
      <c r="K112" s="41" t="n"/>
      <c r="L112" s="41" t="n"/>
      <c r="M112" s="31">
        <f>IF(COUNT(J112:L112)=0,"",MEDIAN(J112:L112))</f>
        <v/>
      </c>
      <c r="N112" s="26">
        <f>IF(COUNTIFS($C:$C,$C112,$D:$D,$D112,$E:$E,"기준(전)",$M:$M,"&gt;0")&lt;&gt;1,"기준(전) 유효 1개 아님",IF(COUNTIFS($C:$C,$C112,$D:$D,$D112,$E:$E,"기준(후)",$M:$M,"&gt;0")&lt;&gt;1,"기준(후) 유효 1개 아님",IF(NOT(AND(ISNUMBER(O112),ISNUMBER(Q112),ISNUMBER(I112))),"시각 결측",IF(Q112&lt;=O112,"기준 시각 역전",IF(OR(I112&lt;O112,I112&gt;Q112),"측정시각 구간 밖","OK")))))</f>
        <v/>
      </c>
      <c r="O112" s="48">
        <f>IF(COUNTIFS($C:$C,$C112,$D:$D,$D112,$E:$E,"기준(전)",$M:$M,"&gt;0")&lt;&gt;1,"",SUMIFS($I:$I,$C:$C,$C112,$D:$D,$D112,$E:$E,"기준(전)"))</f>
        <v/>
      </c>
      <c r="P112" s="31">
        <f>IF(COUNTIFS($C:$C,$C112,$D:$D,$D112,$E:$E,"기준(전)",$M:$M,"&gt;0")&lt;&gt;1,"",SUMIFS($M:$M,$C:$C,$C112,$D:$D,$D112,$E:$E,"기준(전)"))</f>
        <v/>
      </c>
      <c r="Q112" s="48">
        <f>IF(COUNTIFS($C:$C,$C112,$D:$D,$D112,$E:$E,"기준(후)",$M:$M,"&gt;0")&lt;&gt;1,"",SUMIFS($I:$I,$C:$C,$C112,$D:$D,$D112,$E:$E,"기준(후)"))</f>
        <v/>
      </c>
      <c r="R112" s="31">
        <f>IF(COUNTIFS($C:$C,$C112,$D:$D,$D112,$E:$E,"기준(후)",$M:$M,"&gt;0")&lt;&gt;1,"",SUMIFS($M:$M,$C:$C,$C112,$D:$D,$D112,$E:$E,"기준(후)"))</f>
        <v/>
      </c>
      <c r="S112" s="31">
        <f>IF(N112&lt;&gt;"OK","",P112+(R112-P112)*(I112-O112)/(Q112-O112))</f>
        <v/>
      </c>
      <c r="T112" s="31">
        <f>IF(OR(N112&lt;&gt;"OK",NOT(ISNUMBER(M112))),"",M112-S112)</f>
        <v/>
      </c>
      <c r="U112" s="49">
        <f>IF(OR($E111&lt;&gt;"측정",$C111&lt;&gt;$C112,$D111&lt;&gt;$D112,NOT(ISNUMBER(M112)),NOT(ISNUMBER(M111)),(IF(ISNUMBER(G112),G112,F112)-IF(ISNUMBER(G111),G111,F111))=0),"",(M112-M111)/((IF(ISNUMBER(G112),G112,F112)-IF(ISNUMBER(G111),G111,F111))/100))</f>
        <v/>
      </c>
      <c r="V112" s="29" t="n"/>
      <c r="W112" s="29" t="n"/>
      <c r="X112" s="32" t="n"/>
    </row>
    <row r="113">
      <c r="A113" s="44" t="inlineStr">
        <is>
          <t>S09</t>
        </is>
      </c>
      <c r="B113" s="44" t="inlineStr">
        <is>
          <t>어론 신규점</t>
        </is>
      </c>
      <c r="C113" s="44" t="inlineStr">
        <is>
          <t>S09-V</t>
        </is>
      </c>
      <c r="D113" s="45" t="n">
        <v>1</v>
      </c>
      <c r="E113" s="44" t="inlineStr">
        <is>
          <t>기준(후)</t>
        </is>
      </c>
      <c r="F113" s="45" t="n"/>
      <c r="G113" s="41" t="n"/>
      <c r="H113" s="29" t="n"/>
      <c r="I113" s="43" t="n"/>
      <c r="J113" s="41" t="n"/>
      <c r="K113" s="41" t="n"/>
      <c r="L113" s="41" t="n"/>
      <c r="M113" s="31">
        <f>IF(COUNT(J113:L113)=0,"",MEDIAN(J113:L113))</f>
        <v/>
      </c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29" t="n"/>
      <c r="W113" s="29" t="n"/>
      <c r="X113" s="32" t="n"/>
    </row>
    <row r="114">
      <c r="A114" s="44" t="inlineStr">
        <is>
          <t>S10</t>
        </is>
      </c>
      <c r="B114" s="44" t="inlineStr">
        <is>
          <t>예안 신규점1</t>
        </is>
      </c>
      <c r="C114" s="44" t="inlineStr">
        <is>
          <t>S10-V</t>
        </is>
      </c>
      <c r="D114" s="45" t="n">
        <v>1</v>
      </c>
      <c r="E114" s="44" t="inlineStr">
        <is>
          <t>기준(전)</t>
        </is>
      </c>
      <c r="F114" s="45" t="n"/>
      <c r="G114" s="41" t="n"/>
      <c r="H114" s="29" t="n"/>
      <c r="I114" s="43" t="n"/>
      <c r="J114" s="41" t="n"/>
      <c r="K114" s="41" t="n"/>
      <c r="L114" s="41" t="n"/>
      <c r="M114" s="31">
        <f>IF(COUNT(J114:L114)=0,"",MEDIAN(J114:L114))</f>
        <v/>
      </c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29" t="n"/>
      <c r="W114" s="29" t="n"/>
      <c r="X114" s="32" t="n"/>
    </row>
    <row r="115">
      <c r="A115" s="26" t="inlineStr">
        <is>
          <t>S10</t>
        </is>
      </c>
      <c r="B115" s="26" t="inlineStr">
        <is>
          <t>예안 신규점1</t>
        </is>
      </c>
      <c r="C115" s="26" t="inlineStr">
        <is>
          <t>S10-V</t>
        </is>
      </c>
      <c r="D115" s="47" t="n">
        <v>1</v>
      </c>
      <c r="E115" s="26" t="inlineStr">
        <is>
          <t>측정</t>
        </is>
      </c>
      <c r="F115" s="47" t="n">
        <v>20</v>
      </c>
      <c r="G115" s="41" t="n"/>
      <c r="H115" s="29" t="n"/>
      <c r="I115" s="43" t="n"/>
      <c r="J115" s="41" t="n"/>
      <c r="K115" s="41" t="n"/>
      <c r="L115" s="41" t="n"/>
      <c r="M115" s="31">
        <f>IF(COUNT(J115:L115)=0,"",MEDIAN(J115:L115))</f>
        <v/>
      </c>
      <c r="N115" s="26">
        <f>IF(COUNTIFS($C:$C,$C115,$D:$D,$D115,$E:$E,"기준(전)",$M:$M,"&gt;0")&lt;&gt;1,"기준(전) 유효 1개 아님",IF(COUNTIFS($C:$C,$C115,$D:$D,$D115,$E:$E,"기준(후)",$M:$M,"&gt;0")&lt;&gt;1,"기준(후) 유효 1개 아님",IF(NOT(AND(ISNUMBER(O115),ISNUMBER(Q115),ISNUMBER(I115))),"시각 결측",IF(Q115&lt;=O115,"기준 시각 역전",IF(OR(I115&lt;O115,I115&gt;Q115),"측정시각 구간 밖","OK")))))</f>
        <v/>
      </c>
      <c r="O115" s="48">
        <f>IF(COUNTIFS($C:$C,$C115,$D:$D,$D115,$E:$E,"기준(전)",$M:$M,"&gt;0")&lt;&gt;1,"",SUMIFS($I:$I,$C:$C,$C115,$D:$D,$D115,$E:$E,"기준(전)"))</f>
        <v/>
      </c>
      <c r="P115" s="31">
        <f>IF(COUNTIFS($C:$C,$C115,$D:$D,$D115,$E:$E,"기준(전)",$M:$M,"&gt;0")&lt;&gt;1,"",SUMIFS($M:$M,$C:$C,$C115,$D:$D,$D115,$E:$E,"기준(전)"))</f>
        <v/>
      </c>
      <c r="Q115" s="48">
        <f>IF(COUNTIFS($C:$C,$C115,$D:$D,$D115,$E:$E,"기준(후)",$M:$M,"&gt;0")&lt;&gt;1,"",SUMIFS($I:$I,$C:$C,$C115,$D:$D,$D115,$E:$E,"기준(후)"))</f>
        <v/>
      </c>
      <c r="R115" s="31">
        <f>IF(COUNTIFS($C:$C,$C115,$D:$D,$D115,$E:$E,"기준(후)",$M:$M,"&gt;0")&lt;&gt;1,"",SUMIFS($M:$M,$C:$C,$C115,$D:$D,$D115,$E:$E,"기준(후)"))</f>
        <v/>
      </c>
      <c r="S115" s="31">
        <f>IF(N115&lt;&gt;"OK","",P115+(R115-P115)*(I115-O115)/(Q115-O115))</f>
        <v/>
      </c>
      <c r="T115" s="31">
        <f>IF(OR(N115&lt;&gt;"OK",NOT(ISNUMBER(M115))),"",M115-S115)</f>
        <v/>
      </c>
      <c r="U115" s="49">
        <f>IF(OR($E114&lt;&gt;"측정",$C114&lt;&gt;$C115,$D114&lt;&gt;$D115,NOT(ISNUMBER(M115)),NOT(ISNUMBER(M114)),(IF(ISNUMBER(G115),G115,F115)-IF(ISNUMBER(G114),G114,F114))=0),"",(M115-M114)/((IF(ISNUMBER(G115),G115,F115)-IF(ISNUMBER(G114),G114,F114))/100))</f>
        <v/>
      </c>
      <c r="V115" s="29" t="n"/>
      <c r="W115" s="29" t="n"/>
      <c r="X115" s="32" t="n"/>
    </row>
    <row r="116">
      <c r="A116" s="26" t="inlineStr">
        <is>
          <t>S10</t>
        </is>
      </c>
      <c r="B116" s="26" t="inlineStr">
        <is>
          <t>예안 신규점1</t>
        </is>
      </c>
      <c r="C116" s="26" t="inlineStr">
        <is>
          <t>S10-V</t>
        </is>
      </c>
      <c r="D116" s="47" t="n">
        <v>1</v>
      </c>
      <c r="E116" s="26" t="inlineStr">
        <is>
          <t>측정</t>
        </is>
      </c>
      <c r="F116" s="47" t="n">
        <v>40</v>
      </c>
      <c r="G116" s="41" t="n"/>
      <c r="H116" s="29" t="n"/>
      <c r="I116" s="43" t="n"/>
      <c r="J116" s="41" t="n"/>
      <c r="K116" s="41" t="n"/>
      <c r="L116" s="41" t="n"/>
      <c r="M116" s="31">
        <f>IF(COUNT(J116:L116)=0,"",MEDIAN(J116:L116))</f>
        <v/>
      </c>
      <c r="N116" s="26">
        <f>IF(COUNTIFS($C:$C,$C116,$D:$D,$D116,$E:$E,"기준(전)",$M:$M,"&gt;0")&lt;&gt;1,"기준(전) 유효 1개 아님",IF(COUNTIFS($C:$C,$C116,$D:$D,$D116,$E:$E,"기준(후)",$M:$M,"&gt;0")&lt;&gt;1,"기준(후) 유효 1개 아님",IF(NOT(AND(ISNUMBER(O116),ISNUMBER(Q116),ISNUMBER(I116))),"시각 결측",IF(Q116&lt;=O116,"기준 시각 역전",IF(OR(I116&lt;O116,I116&gt;Q116),"측정시각 구간 밖","OK")))))</f>
        <v/>
      </c>
      <c r="O116" s="48">
        <f>IF(COUNTIFS($C:$C,$C116,$D:$D,$D116,$E:$E,"기준(전)",$M:$M,"&gt;0")&lt;&gt;1,"",SUMIFS($I:$I,$C:$C,$C116,$D:$D,$D116,$E:$E,"기준(전)"))</f>
        <v/>
      </c>
      <c r="P116" s="31">
        <f>IF(COUNTIFS($C:$C,$C116,$D:$D,$D116,$E:$E,"기준(전)",$M:$M,"&gt;0")&lt;&gt;1,"",SUMIFS($M:$M,$C:$C,$C116,$D:$D,$D116,$E:$E,"기준(전)"))</f>
        <v/>
      </c>
      <c r="Q116" s="48">
        <f>IF(COUNTIFS($C:$C,$C116,$D:$D,$D116,$E:$E,"기준(후)",$M:$M,"&gt;0")&lt;&gt;1,"",SUMIFS($I:$I,$C:$C,$C116,$D:$D,$D116,$E:$E,"기준(후)"))</f>
        <v/>
      </c>
      <c r="R116" s="31">
        <f>IF(COUNTIFS($C:$C,$C116,$D:$D,$D116,$E:$E,"기준(후)",$M:$M,"&gt;0")&lt;&gt;1,"",SUMIFS($M:$M,$C:$C,$C116,$D:$D,$D116,$E:$E,"기준(후)"))</f>
        <v/>
      </c>
      <c r="S116" s="31">
        <f>IF(N116&lt;&gt;"OK","",P116+(R116-P116)*(I116-O116)/(Q116-O116))</f>
        <v/>
      </c>
      <c r="T116" s="31">
        <f>IF(OR(N116&lt;&gt;"OK",NOT(ISNUMBER(M116))),"",M116-S116)</f>
        <v/>
      </c>
      <c r="U116" s="49">
        <f>IF(OR($E115&lt;&gt;"측정",$C115&lt;&gt;$C116,$D115&lt;&gt;$D116,NOT(ISNUMBER(M116)),NOT(ISNUMBER(M115)),(IF(ISNUMBER(G116),G116,F116)-IF(ISNUMBER(G115),G115,F115))=0),"",(M116-M115)/((IF(ISNUMBER(G116),G116,F116)-IF(ISNUMBER(G115),G115,F115))/100))</f>
        <v/>
      </c>
      <c r="V116" s="29" t="n"/>
      <c r="W116" s="29" t="n"/>
      <c r="X116" s="32" t="n"/>
    </row>
    <row r="117">
      <c r="A117" s="26" t="inlineStr">
        <is>
          <t>S10</t>
        </is>
      </c>
      <c r="B117" s="26" t="inlineStr">
        <is>
          <t>예안 신규점1</t>
        </is>
      </c>
      <c r="C117" s="26" t="inlineStr">
        <is>
          <t>S10-V</t>
        </is>
      </c>
      <c r="D117" s="47" t="n">
        <v>1</v>
      </c>
      <c r="E117" s="26" t="inlineStr">
        <is>
          <t>측정</t>
        </is>
      </c>
      <c r="F117" s="47" t="n">
        <v>60</v>
      </c>
      <c r="G117" s="41" t="n"/>
      <c r="H117" s="29" t="n"/>
      <c r="I117" s="43" t="n"/>
      <c r="J117" s="41" t="n"/>
      <c r="K117" s="41" t="n"/>
      <c r="L117" s="41" t="n"/>
      <c r="M117" s="31">
        <f>IF(COUNT(J117:L117)=0,"",MEDIAN(J117:L117))</f>
        <v/>
      </c>
      <c r="N117" s="26">
        <f>IF(COUNTIFS($C:$C,$C117,$D:$D,$D117,$E:$E,"기준(전)",$M:$M,"&gt;0")&lt;&gt;1,"기준(전) 유효 1개 아님",IF(COUNTIFS($C:$C,$C117,$D:$D,$D117,$E:$E,"기준(후)",$M:$M,"&gt;0")&lt;&gt;1,"기준(후) 유효 1개 아님",IF(NOT(AND(ISNUMBER(O117),ISNUMBER(Q117),ISNUMBER(I117))),"시각 결측",IF(Q117&lt;=O117,"기준 시각 역전",IF(OR(I117&lt;O117,I117&gt;Q117),"측정시각 구간 밖","OK")))))</f>
        <v/>
      </c>
      <c r="O117" s="48">
        <f>IF(COUNTIFS($C:$C,$C117,$D:$D,$D117,$E:$E,"기준(전)",$M:$M,"&gt;0")&lt;&gt;1,"",SUMIFS($I:$I,$C:$C,$C117,$D:$D,$D117,$E:$E,"기준(전)"))</f>
        <v/>
      </c>
      <c r="P117" s="31">
        <f>IF(COUNTIFS($C:$C,$C117,$D:$D,$D117,$E:$E,"기준(전)",$M:$M,"&gt;0")&lt;&gt;1,"",SUMIFS($M:$M,$C:$C,$C117,$D:$D,$D117,$E:$E,"기준(전)"))</f>
        <v/>
      </c>
      <c r="Q117" s="48">
        <f>IF(COUNTIFS($C:$C,$C117,$D:$D,$D117,$E:$E,"기준(후)",$M:$M,"&gt;0")&lt;&gt;1,"",SUMIFS($I:$I,$C:$C,$C117,$D:$D,$D117,$E:$E,"기준(후)"))</f>
        <v/>
      </c>
      <c r="R117" s="31">
        <f>IF(COUNTIFS($C:$C,$C117,$D:$D,$D117,$E:$E,"기준(후)",$M:$M,"&gt;0")&lt;&gt;1,"",SUMIFS($M:$M,$C:$C,$C117,$D:$D,$D117,$E:$E,"기준(후)"))</f>
        <v/>
      </c>
      <c r="S117" s="31">
        <f>IF(N117&lt;&gt;"OK","",P117+(R117-P117)*(I117-O117)/(Q117-O117))</f>
        <v/>
      </c>
      <c r="T117" s="31">
        <f>IF(OR(N117&lt;&gt;"OK",NOT(ISNUMBER(M117))),"",M117-S117)</f>
        <v/>
      </c>
      <c r="U117" s="49">
        <f>IF(OR($E116&lt;&gt;"측정",$C116&lt;&gt;$C117,$D116&lt;&gt;$D117,NOT(ISNUMBER(M117)),NOT(ISNUMBER(M116)),(IF(ISNUMBER(G117),G117,F117)-IF(ISNUMBER(G116),G116,F116))=0),"",(M117-M116)/((IF(ISNUMBER(G117),G117,F117)-IF(ISNUMBER(G116),G116,F116))/100))</f>
        <v/>
      </c>
      <c r="V117" s="29" t="n"/>
      <c r="W117" s="29" t="n"/>
      <c r="X117" s="32" t="n"/>
    </row>
    <row r="118">
      <c r="A118" s="26" t="inlineStr">
        <is>
          <t>S10</t>
        </is>
      </c>
      <c r="B118" s="26" t="inlineStr">
        <is>
          <t>예안 신규점1</t>
        </is>
      </c>
      <c r="C118" s="26" t="inlineStr">
        <is>
          <t>S10-V</t>
        </is>
      </c>
      <c r="D118" s="47" t="n">
        <v>1</v>
      </c>
      <c r="E118" s="26" t="inlineStr">
        <is>
          <t>측정</t>
        </is>
      </c>
      <c r="F118" s="47" t="n">
        <v>80</v>
      </c>
      <c r="G118" s="41" t="n"/>
      <c r="H118" s="29" t="n"/>
      <c r="I118" s="43" t="n"/>
      <c r="J118" s="41" t="n"/>
      <c r="K118" s="41" t="n"/>
      <c r="L118" s="41" t="n"/>
      <c r="M118" s="31">
        <f>IF(COUNT(J118:L118)=0,"",MEDIAN(J118:L118))</f>
        <v/>
      </c>
      <c r="N118" s="26">
        <f>IF(COUNTIFS($C:$C,$C118,$D:$D,$D118,$E:$E,"기준(전)",$M:$M,"&gt;0")&lt;&gt;1,"기준(전) 유효 1개 아님",IF(COUNTIFS($C:$C,$C118,$D:$D,$D118,$E:$E,"기준(후)",$M:$M,"&gt;0")&lt;&gt;1,"기준(후) 유효 1개 아님",IF(NOT(AND(ISNUMBER(O118),ISNUMBER(Q118),ISNUMBER(I118))),"시각 결측",IF(Q118&lt;=O118,"기준 시각 역전",IF(OR(I118&lt;O118,I118&gt;Q118),"측정시각 구간 밖","OK")))))</f>
        <v/>
      </c>
      <c r="O118" s="48">
        <f>IF(COUNTIFS($C:$C,$C118,$D:$D,$D118,$E:$E,"기준(전)",$M:$M,"&gt;0")&lt;&gt;1,"",SUMIFS($I:$I,$C:$C,$C118,$D:$D,$D118,$E:$E,"기준(전)"))</f>
        <v/>
      </c>
      <c r="P118" s="31">
        <f>IF(COUNTIFS($C:$C,$C118,$D:$D,$D118,$E:$E,"기준(전)",$M:$M,"&gt;0")&lt;&gt;1,"",SUMIFS($M:$M,$C:$C,$C118,$D:$D,$D118,$E:$E,"기준(전)"))</f>
        <v/>
      </c>
      <c r="Q118" s="48">
        <f>IF(COUNTIFS($C:$C,$C118,$D:$D,$D118,$E:$E,"기준(후)",$M:$M,"&gt;0")&lt;&gt;1,"",SUMIFS($I:$I,$C:$C,$C118,$D:$D,$D118,$E:$E,"기준(후)"))</f>
        <v/>
      </c>
      <c r="R118" s="31">
        <f>IF(COUNTIFS($C:$C,$C118,$D:$D,$D118,$E:$E,"기준(후)",$M:$M,"&gt;0")&lt;&gt;1,"",SUMIFS($M:$M,$C:$C,$C118,$D:$D,$D118,$E:$E,"기준(후)"))</f>
        <v/>
      </c>
      <c r="S118" s="31">
        <f>IF(N118&lt;&gt;"OK","",P118+(R118-P118)*(I118-O118)/(Q118-O118))</f>
        <v/>
      </c>
      <c r="T118" s="31">
        <f>IF(OR(N118&lt;&gt;"OK",NOT(ISNUMBER(M118))),"",M118-S118)</f>
        <v/>
      </c>
      <c r="U118" s="49">
        <f>IF(OR($E117&lt;&gt;"측정",$C117&lt;&gt;$C118,$D117&lt;&gt;$D118,NOT(ISNUMBER(M118)),NOT(ISNUMBER(M117)),(IF(ISNUMBER(G118),G118,F118)-IF(ISNUMBER(G117),G117,F117))=0),"",(M118-M117)/((IF(ISNUMBER(G118),G118,F118)-IF(ISNUMBER(G117),G117,F117))/100))</f>
        <v/>
      </c>
      <c r="V118" s="29" t="n"/>
      <c r="W118" s="29" t="n"/>
      <c r="X118" s="32" t="n"/>
    </row>
    <row r="119">
      <c r="A119" s="26" t="inlineStr">
        <is>
          <t>S10</t>
        </is>
      </c>
      <c r="B119" s="26" t="inlineStr">
        <is>
          <t>예안 신규점1</t>
        </is>
      </c>
      <c r="C119" s="26" t="inlineStr">
        <is>
          <t>S10-V</t>
        </is>
      </c>
      <c r="D119" s="47" t="n">
        <v>1</v>
      </c>
      <c r="E119" s="26" t="inlineStr">
        <is>
          <t>측정</t>
        </is>
      </c>
      <c r="F119" s="47" t="n">
        <v>100</v>
      </c>
      <c r="G119" s="41" t="n"/>
      <c r="H119" s="29" t="n"/>
      <c r="I119" s="43" t="n"/>
      <c r="J119" s="41" t="n"/>
      <c r="K119" s="41" t="n"/>
      <c r="L119" s="41" t="n"/>
      <c r="M119" s="31">
        <f>IF(COUNT(J119:L119)=0,"",MEDIAN(J119:L119))</f>
        <v/>
      </c>
      <c r="N119" s="26">
        <f>IF(COUNTIFS($C:$C,$C119,$D:$D,$D119,$E:$E,"기준(전)",$M:$M,"&gt;0")&lt;&gt;1,"기준(전) 유효 1개 아님",IF(COUNTIFS($C:$C,$C119,$D:$D,$D119,$E:$E,"기준(후)",$M:$M,"&gt;0")&lt;&gt;1,"기준(후) 유효 1개 아님",IF(NOT(AND(ISNUMBER(O119),ISNUMBER(Q119),ISNUMBER(I119))),"시각 결측",IF(Q119&lt;=O119,"기준 시각 역전",IF(OR(I119&lt;O119,I119&gt;Q119),"측정시각 구간 밖","OK")))))</f>
        <v/>
      </c>
      <c r="O119" s="48">
        <f>IF(COUNTIFS($C:$C,$C119,$D:$D,$D119,$E:$E,"기준(전)",$M:$M,"&gt;0")&lt;&gt;1,"",SUMIFS($I:$I,$C:$C,$C119,$D:$D,$D119,$E:$E,"기준(전)"))</f>
        <v/>
      </c>
      <c r="P119" s="31">
        <f>IF(COUNTIFS($C:$C,$C119,$D:$D,$D119,$E:$E,"기준(전)",$M:$M,"&gt;0")&lt;&gt;1,"",SUMIFS($M:$M,$C:$C,$C119,$D:$D,$D119,$E:$E,"기준(전)"))</f>
        <v/>
      </c>
      <c r="Q119" s="48">
        <f>IF(COUNTIFS($C:$C,$C119,$D:$D,$D119,$E:$E,"기준(후)",$M:$M,"&gt;0")&lt;&gt;1,"",SUMIFS($I:$I,$C:$C,$C119,$D:$D,$D119,$E:$E,"기준(후)"))</f>
        <v/>
      </c>
      <c r="R119" s="31">
        <f>IF(COUNTIFS($C:$C,$C119,$D:$D,$D119,$E:$E,"기준(후)",$M:$M,"&gt;0")&lt;&gt;1,"",SUMIFS($M:$M,$C:$C,$C119,$D:$D,$D119,$E:$E,"기준(후)"))</f>
        <v/>
      </c>
      <c r="S119" s="31">
        <f>IF(N119&lt;&gt;"OK","",P119+(R119-P119)*(I119-O119)/(Q119-O119))</f>
        <v/>
      </c>
      <c r="T119" s="31">
        <f>IF(OR(N119&lt;&gt;"OK",NOT(ISNUMBER(M119))),"",M119-S119)</f>
        <v/>
      </c>
      <c r="U119" s="49">
        <f>IF(OR($E118&lt;&gt;"측정",$C118&lt;&gt;$C119,$D118&lt;&gt;$D119,NOT(ISNUMBER(M119)),NOT(ISNUMBER(M118)),(IF(ISNUMBER(G119),G119,F119)-IF(ISNUMBER(G118),G118,F118))=0),"",(M119-M118)/((IF(ISNUMBER(G119),G119,F119)-IF(ISNUMBER(G118),G118,F118))/100))</f>
        <v/>
      </c>
      <c r="V119" s="29" t="n"/>
      <c r="W119" s="29" t="n"/>
      <c r="X119" s="32" t="n"/>
    </row>
    <row r="120">
      <c r="A120" s="26" t="inlineStr">
        <is>
          <t>S10</t>
        </is>
      </c>
      <c r="B120" s="26" t="inlineStr">
        <is>
          <t>예안 신규점1</t>
        </is>
      </c>
      <c r="C120" s="26" t="inlineStr">
        <is>
          <t>S10-V</t>
        </is>
      </c>
      <c r="D120" s="47" t="n">
        <v>1</v>
      </c>
      <c r="E120" s="26" t="inlineStr">
        <is>
          <t>측정</t>
        </is>
      </c>
      <c r="F120" s="47" t="n">
        <v>120</v>
      </c>
      <c r="G120" s="41" t="n"/>
      <c r="H120" s="29" t="n"/>
      <c r="I120" s="43" t="n"/>
      <c r="J120" s="41" t="n"/>
      <c r="K120" s="41" t="n"/>
      <c r="L120" s="41" t="n"/>
      <c r="M120" s="31">
        <f>IF(COUNT(J120:L120)=0,"",MEDIAN(J120:L120))</f>
        <v/>
      </c>
      <c r="N120" s="26">
        <f>IF(COUNTIFS($C:$C,$C120,$D:$D,$D120,$E:$E,"기준(전)",$M:$M,"&gt;0")&lt;&gt;1,"기준(전) 유효 1개 아님",IF(COUNTIFS($C:$C,$C120,$D:$D,$D120,$E:$E,"기준(후)",$M:$M,"&gt;0")&lt;&gt;1,"기준(후) 유효 1개 아님",IF(NOT(AND(ISNUMBER(O120),ISNUMBER(Q120),ISNUMBER(I120))),"시각 결측",IF(Q120&lt;=O120,"기준 시각 역전",IF(OR(I120&lt;O120,I120&gt;Q120),"측정시각 구간 밖","OK")))))</f>
        <v/>
      </c>
      <c r="O120" s="48">
        <f>IF(COUNTIFS($C:$C,$C120,$D:$D,$D120,$E:$E,"기준(전)",$M:$M,"&gt;0")&lt;&gt;1,"",SUMIFS($I:$I,$C:$C,$C120,$D:$D,$D120,$E:$E,"기준(전)"))</f>
        <v/>
      </c>
      <c r="P120" s="31">
        <f>IF(COUNTIFS($C:$C,$C120,$D:$D,$D120,$E:$E,"기준(전)",$M:$M,"&gt;0")&lt;&gt;1,"",SUMIFS($M:$M,$C:$C,$C120,$D:$D,$D120,$E:$E,"기준(전)"))</f>
        <v/>
      </c>
      <c r="Q120" s="48">
        <f>IF(COUNTIFS($C:$C,$C120,$D:$D,$D120,$E:$E,"기준(후)",$M:$M,"&gt;0")&lt;&gt;1,"",SUMIFS($I:$I,$C:$C,$C120,$D:$D,$D120,$E:$E,"기준(후)"))</f>
        <v/>
      </c>
      <c r="R120" s="31">
        <f>IF(COUNTIFS($C:$C,$C120,$D:$D,$D120,$E:$E,"기준(후)",$M:$M,"&gt;0")&lt;&gt;1,"",SUMIFS($M:$M,$C:$C,$C120,$D:$D,$D120,$E:$E,"기준(후)"))</f>
        <v/>
      </c>
      <c r="S120" s="31">
        <f>IF(N120&lt;&gt;"OK","",P120+(R120-P120)*(I120-O120)/(Q120-O120))</f>
        <v/>
      </c>
      <c r="T120" s="31">
        <f>IF(OR(N120&lt;&gt;"OK",NOT(ISNUMBER(M120))),"",M120-S120)</f>
        <v/>
      </c>
      <c r="U120" s="49">
        <f>IF(OR($E119&lt;&gt;"측정",$C119&lt;&gt;$C120,$D119&lt;&gt;$D120,NOT(ISNUMBER(M120)),NOT(ISNUMBER(M119)),(IF(ISNUMBER(G120),G120,F120)-IF(ISNUMBER(G119),G119,F119))=0),"",(M120-M119)/((IF(ISNUMBER(G120),G120,F120)-IF(ISNUMBER(G119),G119,F119))/100))</f>
        <v/>
      </c>
      <c r="V120" s="29" t="n"/>
      <c r="W120" s="29" t="n"/>
      <c r="X120" s="32" t="n"/>
    </row>
    <row r="121">
      <c r="A121" s="26" t="inlineStr">
        <is>
          <t>S10</t>
        </is>
      </c>
      <c r="B121" s="26" t="inlineStr">
        <is>
          <t>예안 신규점1</t>
        </is>
      </c>
      <c r="C121" s="26" t="inlineStr">
        <is>
          <t>S10-V</t>
        </is>
      </c>
      <c r="D121" s="47" t="n">
        <v>1</v>
      </c>
      <c r="E121" s="26" t="inlineStr">
        <is>
          <t>측정</t>
        </is>
      </c>
      <c r="F121" s="47" t="n">
        <v>140</v>
      </c>
      <c r="G121" s="41" t="n"/>
      <c r="H121" s="29" t="n"/>
      <c r="I121" s="43" t="n"/>
      <c r="J121" s="41" t="n"/>
      <c r="K121" s="41" t="n"/>
      <c r="L121" s="41" t="n"/>
      <c r="M121" s="31">
        <f>IF(COUNT(J121:L121)=0,"",MEDIAN(J121:L121))</f>
        <v/>
      </c>
      <c r="N121" s="26">
        <f>IF(COUNTIFS($C:$C,$C121,$D:$D,$D121,$E:$E,"기준(전)",$M:$M,"&gt;0")&lt;&gt;1,"기준(전) 유효 1개 아님",IF(COUNTIFS($C:$C,$C121,$D:$D,$D121,$E:$E,"기준(후)",$M:$M,"&gt;0")&lt;&gt;1,"기준(후) 유효 1개 아님",IF(NOT(AND(ISNUMBER(O121),ISNUMBER(Q121),ISNUMBER(I121))),"시각 결측",IF(Q121&lt;=O121,"기준 시각 역전",IF(OR(I121&lt;O121,I121&gt;Q121),"측정시각 구간 밖","OK")))))</f>
        <v/>
      </c>
      <c r="O121" s="48">
        <f>IF(COUNTIFS($C:$C,$C121,$D:$D,$D121,$E:$E,"기준(전)",$M:$M,"&gt;0")&lt;&gt;1,"",SUMIFS($I:$I,$C:$C,$C121,$D:$D,$D121,$E:$E,"기준(전)"))</f>
        <v/>
      </c>
      <c r="P121" s="31">
        <f>IF(COUNTIFS($C:$C,$C121,$D:$D,$D121,$E:$E,"기준(전)",$M:$M,"&gt;0")&lt;&gt;1,"",SUMIFS($M:$M,$C:$C,$C121,$D:$D,$D121,$E:$E,"기준(전)"))</f>
        <v/>
      </c>
      <c r="Q121" s="48">
        <f>IF(COUNTIFS($C:$C,$C121,$D:$D,$D121,$E:$E,"기준(후)",$M:$M,"&gt;0")&lt;&gt;1,"",SUMIFS($I:$I,$C:$C,$C121,$D:$D,$D121,$E:$E,"기준(후)"))</f>
        <v/>
      </c>
      <c r="R121" s="31">
        <f>IF(COUNTIFS($C:$C,$C121,$D:$D,$D121,$E:$E,"기준(후)",$M:$M,"&gt;0")&lt;&gt;1,"",SUMIFS($M:$M,$C:$C,$C121,$D:$D,$D121,$E:$E,"기준(후)"))</f>
        <v/>
      </c>
      <c r="S121" s="31">
        <f>IF(N121&lt;&gt;"OK","",P121+(R121-P121)*(I121-O121)/(Q121-O121))</f>
        <v/>
      </c>
      <c r="T121" s="31">
        <f>IF(OR(N121&lt;&gt;"OK",NOT(ISNUMBER(M121))),"",M121-S121)</f>
        <v/>
      </c>
      <c r="U121" s="49">
        <f>IF(OR($E120&lt;&gt;"측정",$C120&lt;&gt;$C121,$D120&lt;&gt;$D121,NOT(ISNUMBER(M121)),NOT(ISNUMBER(M120)),(IF(ISNUMBER(G121),G121,F121)-IF(ISNUMBER(G120),G120,F120))=0),"",(M121-M120)/((IF(ISNUMBER(G121),G121,F121)-IF(ISNUMBER(G120),G120,F120))/100))</f>
        <v/>
      </c>
      <c r="V121" s="29" t="n"/>
      <c r="W121" s="29" t="n"/>
      <c r="X121" s="32" t="n"/>
    </row>
    <row r="122">
      <c r="A122" s="26" t="inlineStr">
        <is>
          <t>S10</t>
        </is>
      </c>
      <c r="B122" s="26" t="inlineStr">
        <is>
          <t>예안 신규점1</t>
        </is>
      </c>
      <c r="C122" s="26" t="inlineStr">
        <is>
          <t>S10-V</t>
        </is>
      </c>
      <c r="D122" s="47" t="n">
        <v>1</v>
      </c>
      <c r="E122" s="26" t="inlineStr">
        <is>
          <t>측정</t>
        </is>
      </c>
      <c r="F122" s="47" t="n">
        <v>160</v>
      </c>
      <c r="G122" s="41" t="n"/>
      <c r="H122" s="29" t="n"/>
      <c r="I122" s="43" t="n"/>
      <c r="J122" s="41" t="n"/>
      <c r="K122" s="41" t="n"/>
      <c r="L122" s="41" t="n"/>
      <c r="M122" s="31">
        <f>IF(COUNT(J122:L122)=0,"",MEDIAN(J122:L122))</f>
        <v/>
      </c>
      <c r="N122" s="26">
        <f>IF(COUNTIFS($C:$C,$C122,$D:$D,$D122,$E:$E,"기준(전)",$M:$M,"&gt;0")&lt;&gt;1,"기준(전) 유효 1개 아님",IF(COUNTIFS($C:$C,$C122,$D:$D,$D122,$E:$E,"기준(후)",$M:$M,"&gt;0")&lt;&gt;1,"기준(후) 유효 1개 아님",IF(NOT(AND(ISNUMBER(O122),ISNUMBER(Q122),ISNUMBER(I122))),"시각 결측",IF(Q122&lt;=O122,"기준 시각 역전",IF(OR(I122&lt;O122,I122&gt;Q122),"측정시각 구간 밖","OK")))))</f>
        <v/>
      </c>
      <c r="O122" s="48">
        <f>IF(COUNTIFS($C:$C,$C122,$D:$D,$D122,$E:$E,"기준(전)",$M:$M,"&gt;0")&lt;&gt;1,"",SUMIFS($I:$I,$C:$C,$C122,$D:$D,$D122,$E:$E,"기준(전)"))</f>
        <v/>
      </c>
      <c r="P122" s="31">
        <f>IF(COUNTIFS($C:$C,$C122,$D:$D,$D122,$E:$E,"기준(전)",$M:$M,"&gt;0")&lt;&gt;1,"",SUMIFS($M:$M,$C:$C,$C122,$D:$D,$D122,$E:$E,"기준(전)"))</f>
        <v/>
      </c>
      <c r="Q122" s="48">
        <f>IF(COUNTIFS($C:$C,$C122,$D:$D,$D122,$E:$E,"기준(후)",$M:$M,"&gt;0")&lt;&gt;1,"",SUMIFS($I:$I,$C:$C,$C122,$D:$D,$D122,$E:$E,"기준(후)"))</f>
        <v/>
      </c>
      <c r="R122" s="31">
        <f>IF(COUNTIFS($C:$C,$C122,$D:$D,$D122,$E:$E,"기준(후)",$M:$M,"&gt;0")&lt;&gt;1,"",SUMIFS($M:$M,$C:$C,$C122,$D:$D,$D122,$E:$E,"기준(후)"))</f>
        <v/>
      </c>
      <c r="S122" s="31">
        <f>IF(N122&lt;&gt;"OK","",P122+(R122-P122)*(I122-O122)/(Q122-O122))</f>
        <v/>
      </c>
      <c r="T122" s="31">
        <f>IF(OR(N122&lt;&gt;"OK",NOT(ISNUMBER(M122))),"",M122-S122)</f>
        <v/>
      </c>
      <c r="U122" s="49">
        <f>IF(OR($E121&lt;&gt;"측정",$C121&lt;&gt;$C122,$D121&lt;&gt;$D122,NOT(ISNUMBER(M122)),NOT(ISNUMBER(M121)),(IF(ISNUMBER(G122),G122,F122)-IF(ISNUMBER(G121),G121,F121))=0),"",(M122-M121)/((IF(ISNUMBER(G122),G122,F122)-IF(ISNUMBER(G121),G121,F121))/100))</f>
        <v/>
      </c>
      <c r="V122" s="29" t="n"/>
      <c r="W122" s="29" t="n"/>
      <c r="X122" s="32" t="n"/>
    </row>
    <row r="123">
      <c r="A123" s="26" t="inlineStr">
        <is>
          <t>S10</t>
        </is>
      </c>
      <c r="B123" s="26" t="inlineStr">
        <is>
          <t>예안 신규점1</t>
        </is>
      </c>
      <c r="C123" s="26" t="inlineStr">
        <is>
          <t>S10-V</t>
        </is>
      </c>
      <c r="D123" s="47" t="n">
        <v>1</v>
      </c>
      <c r="E123" s="26" t="inlineStr">
        <is>
          <t>측정</t>
        </is>
      </c>
      <c r="F123" s="47" t="n">
        <v>180</v>
      </c>
      <c r="G123" s="41" t="n"/>
      <c r="H123" s="29" t="n"/>
      <c r="I123" s="43" t="n"/>
      <c r="J123" s="41" t="n"/>
      <c r="K123" s="41" t="n"/>
      <c r="L123" s="41" t="n"/>
      <c r="M123" s="31">
        <f>IF(COUNT(J123:L123)=0,"",MEDIAN(J123:L123))</f>
        <v/>
      </c>
      <c r="N123" s="26">
        <f>IF(COUNTIFS($C:$C,$C123,$D:$D,$D123,$E:$E,"기준(전)",$M:$M,"&gt;0")&lt;&gt;1,"기준(전) 유효 1개 아님",IF(COUNTIFS($C:$C,$C123,$D:$D,$D123,$E:$E,"기준(후)",$M:$M,"&gt;0")&lt;&gt;1,"기준(후) 유효 1개 아님",IF(NOT(AND(ISNUMBER(O123),ISNUMBER(Q123),ISNUMBER(I123))),"시각 결측",IF(Q123&lt;=O123,"기준 시각 역전",IF(OR(I123&lt;O123,I123&gt;Q123),"측정시각 구간 밖","OK")))))</f>
        <v/>
      </c>
      <c r="O123" s="48">
        <f>IF(COUNTIFS($C:$C,$C123,$D:$D,$D123,$E:$E,"기준(전)",$M:$M,"&gt;0")&lt;&gt;1,"",SUMIFS($I:$I,$C:$C,$C123,$D:$D,$D123,$E:$E,"기준(전)"))</f>
        <v/>
      </c>
      <c r="P123" s="31">
        <f>IF(COUNTIFS($C:$C,$C123,$D:$D,$D123,$E:$E,"기준(전)",$M:$M,"&gt;0")&lt;&gt;1,"",SUMIFS($M:$M,$C:$C,$C123,$D:$D,$D123,$E:$E,"기준(전)"))</f>
        <v/>
      </c>
      <c r="Q123" s="48">
        <f>IF(COUNTIFS($C:$C,$C123,$D:$D,$D123,$E:$E,"기준(후)",$M:$M,"&gt;0")&lt;&gt;1,"",SUMIFS($I:$I,$C:$C,$C123,$D:$D,$D123,$E:$E,"기준(후)"))</f>
        <v/>
      </c>
      <c r="R123" s="31">
        <f>IF(COUNTIFS($C:$C,$C123,$D:$D,$D123,$E:$E,"기준(후)",$M:$M,"&gt;0")&lt;&gt;1,"",SUMIFS($M:$M,$C:$C,$C123,$D:$D,$D123,$E:$E,"기준(후)"))</f>
        <v/>
      </c>
      <c r="S123" s="31">
        <f>IF(N123&lt;&gt;"OK","",P123+(R123-P123)*(I123-O123)/(Q123-O123))</f>
        <v/>
      </c>
      <c r="T123" s="31">
        <f>IF(OR(N123&lt;&gt;"OK",NOT(ISNUMBER(M123))),"",M123-S123)</f>
        <v/>
      </c>
      <c r="U123" s="49">
        <f>IF(OR($E122&lt;&gt;"측정",$C122&lt;&gt;$C123,$D122&lt;&gt;$D123,NOT(ISNUMBER(M123)),NOT(ISNUMBER(M122)),(IF(ISNUMBER(G123),G123,F123)-IF(ISNUMBER(G122),G122,F122))=0),"",(M123-M122)/((IF(ISNUMBER(G123),G123,F123)-IF(ISNUMBER(G122),G122,F122))/100))</f>
        <v/>
      </c>
      <c r="V123" s="29" t="n"/>
      <c r="W123" s="29" t="n"/>
      <c r="X123" s="32" t="n"/>
    </row>
    <row r="124">
      <c r="A124" s="26" t="inlineStr">
        <is>
          <t>S10</t>
        </is>
      </c>
      <c r="B124" s="26" t="inlineStr">
        <is>
          <t>예안 신규점1</t>
        </is>
      </c>
      <c r="C124" s="26" t="inlineStr">
        <is>
          <t>S10-V</t>
        </is>
      </c>
      <c r="D124" s="47" t="n">
        <v>1</v>
      </c>
      <c r="E124" s="26" t="inlineStr">
        <is>
          <t>측정</t>
        </is>
      </c>
      <c r="F124" s="47" t="n">
        <v>200</v>
      </c>
      <c r="G124" s="41" t="n"/>
      <c r="H124" s="29" t="n"/>
      <c r="I124" s="43" t="n"/>
      <c r="J124" s="41" t="n"/>
      <c r="K124" s="41" t="n"/>
      <c r="L124" s="41" t="n"/>
      <c r="M124" s="31">
        <f>IF(COUNT(J124:L124)=0,"",MEDIAN(J124:L124))</f>
        <v/>
      </c>
      <c r="N124" s="26">
        <f>IF(COUNTIFS($C:$C,$C124,$D:$D,$D124,$E:$E,"기준(전)",$M:$M,"&gt;0")&lt;&gt;1,"기준(전) 유효 1개 아님",IF(COUNTIFS($C:$C,$C124,$D:$D,$D124,$E:$E,"기준(후)",$M:$M,"&gt;0")&lt;&gt;1,"기준(후) 유효 1개 아님",IF(NOT(AND(ISNUMBER(O124),ISNUMBER(Q124),ISNUMBER(I124))),"시각 결측",IF(Q124&lt;=O124,"기준 시각 역전",IF(OR(I124&lt;O124,I124&gt;Q124),"측정시각 구간 밖","OK")))))</f>
        <v/>
      </c>
      <c r="O124" s="48">
        <f>IF(COUNTIFS($C:$C,$C124,$D:$D,$D124,$E:$E,"기준(전)",$M:$M,"&gt;0")&lt;&gt;1,"",SUMIFS($I:$I,$C:$C,$C124,$D:$D,$D124,$E:$E,"기준(전)"))</f>
        <v/>
      </c>
      <c r="P124" s="31">
        <f>IF(COUNTIFS($C:$C,$C124,$D:$D,$D124,$E:$E,"기준(전)",$M:$M,"&gt;0")&lt;&gt;1,"",SUMIFS($M:$M,$C:$C,$C124,$D:$D,$D124,$E:$E,"기준(전)"))</f>
        <v/>
      </c>
      <c r="Q124" s="48">
        <f>IF(COUNTIFS($C:$C,$C124,$D:$D,$D124,$E:$E,"기준(후)",$M:$M,"&gt;0")&lt;&gt;1,"",SUMIFS($I:$I,$C:$C,$C124,$D:$D,$D124,$E:$E,"기준(후)"))</f>
        <v/>
      </c>
      <c r="R124" s="31">
        <f>IF(COUNTIFS($C:$C,$C124,$D:$D,$D124,$E:$E,"기준(후)",$M:$M,"&gt;0")&lt;&gt;1,"",SUMIFS($M:$M,$C:$C,$C124,$D:$D,$D124,$E:$E,"기준(후)"))</f>
        <v/>
      </c>
      <c r="S124" s="31">
        <f>IF(N124&lt;&gt;"OK","",P124+(R124-P124)*(I124-O124)/(Q124-O124))</f>
        <v/>
      </c>
      <c r="T124" s="31">
        <f>IF(OR(N124&lt;&gt;"OK",NOT(ISNUMBER(M124))),"",M124-S124)</f>
        <v/>
      </c>
      <c r="U124" s="49">
        <f>IF(OR($E123&lt;&gt;"측정",$C123&lt;&gt;$C124,$D123&lt;&gt;$D124,NOT(ISNUMBER(M124)),NOT(ISNUMBER(M123)),(IF(ISNUMBER(G124),G124,F124)-IF(ISNUMBER(G123),G123,F123))=0),"",(M124-M123)/((IF(ISNUMBER(G124),G124,F124)-IF(ISNUMBER(G123),G123,F123))/100))</f>
        <v/>
      </c>
      <c r="V124" s="29" t="n"/>
      <c r="W124" s="29" t="n"/>
      <c r="X124" s="32" t="n"/>
    </row>
    <row r="125">
      <c r="A125" s="44" t="inlineStr">
        <is>
          <t>S10</t>
        </is>
      </c>
      <c r="B125" s="44" t="inlineStr">
        <is>
          <t>예안 신규점1</t>
        </is>
      </c>
      <c r="C125" s="44" t="inlineStr">
        <is>
          <t>S10-V</t>
        </is>
      </c>
      <c r="D125" s="45" t="n">
        <v>1</v>
      </c>
      <c r="E125" s="44" t="inlineStr">
        <is>
          <t>기준(후)</t>
        </is>
      </c>
      <c r="F125" s="45" t="n"/>
      <c r="G125" s="41" t="n"/>
      <c r="H125" s="29" t="n"/>
      <c r="I125" s="43" t="n"/>
      <c r="J125" s="41" t="n"/>
      <c r="K125" s="41" t="n"/>
      <c r="L125" s="41" t="n"/>
      <c r="M125" s="31">
        <f>IF(COUNT(J125:L125)=0,"",MEDIAN(J125:L125))</f>
        <v/>
      </c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29" t="n"/>
      <c r="W125" s="29" t="n"/>
      <c r="X125" s="32" t="n"/>
    </row>
    <row r="126">
      <c r="A126" s="44" t="inlineStr">
        <is>
          <t>S11</t>
        </is>
      </c>
      <c r="B126" s="44" t="inlineStr">
        <is>
          <t>소천 신규점4</t>
        </is>
      </c>
      <c r="C126" s="44" t="inlineStr">
        <is>
          <t>S11-V</t>
        </is>
      </c>
      <c r="D126" s="45" t="n">
        <v>1</v>
      </c>
      <c r="E126" s="44" t="inlineStr">
        <is>
          <t>기준(전)</t>
        </is>
      </c>
      <c r="F126" s="45" t="n"/>
      <c r="G126" s="41" t="n"/>
      <c r="H126" s="29" t="n"/>
      <c r="I126" s="43" t="n"/>
      <c r="J126" s="41" t="n"/>
      <c r="K126" s="41" t="n"/>
      <c r="L126" s="41" t="n"/>
      <c r="M126" s="31">
        <f>IF(COUNT(J126:L126)=0,"",MEDIAN(J126:L126))</f>
        <v/>
      </c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29" t="n"/>
      <c r="W126" s="29" t="n"/>
      <c r="X126" s="32" t="n"/>
    </row>
    <row r="127">
      <c r="A127" s="26" t="inlineStr">
        <is>
          <t>S11</t>
        </is>
      </c>
      <c r="B127" s="26" t="inlineStr">
        <is>
          <t>소천 신규점4</t>
        </is>
      </c>
      <c r="C127" s="26" t="inlineStr">
        <is>
          <t>S11-V</t>
        </is>
      </c>
      <c r="D127" s="47" t="n">
        <v>1</v>
      </c>
      <c r="E127" s="26" t="inlineStr">
        <is>
          <t>측정</t>
        </is>
      </c>
      <c r="F127" s="47" t="n">
        <v>20</v>
      </c>
      <c r="G127" s="41" t="n"/>
      <c r="H127" s="29" t="n"/>
      <c r="I127" s="43" t="n"/>
      <c r="J127" s="41" t="n"/>
      <c r="K127" s="41" t="n"/>
      <c r="L127" s="41" t="n"/>
      <c r="M127" s="31">
        <f>IF(COUNT(J127:L127)=0,"",MEDIAN(J127:L127))</f>
        <v/>
      </c>
      <c r="N127" s="26">
        <f>IF(COUNTIFS($C:$C,$C127,$D:$D,$D127,$E:$E,"기준(전)",$M:$M,"&gt;0")&lt;&gt;1,"기준(전) 유효 1개 아님",IF(COUNTIFS($C:$C,$C127,$D:$D,$D127,$E:$E,"기준(후)",$M:$M,"&gt;0")&lt;&gt;1,"기준(후) 유효 1개 아님",IF(NOT(AND(ISNUMBER(O127),ISNUMBER(Q127),ISNUMBER(I127))),"시각 결측",IF(Q127&lt;=O127,"기준 시각 역전",IF(OR(I127&lt;O127,I127&gt;Q127),"측정시각 구간 밖","OK")))))</f>
        <v/>
      </c>
      <c r="O127" s="48">
        <f>IF(COUNTIFS($C:$C,$C127,$D:$D,$D127,$E:$E,"기준(전)",$M:$M,"&gt;0")&lt;&gt;1,"",SUMIFS($I:$I,$C:$C,$C127,$D:$D,$D127,$E:$E,"기준(전)"))</f>
        <v/>
      </c>
      <c r="P127" s="31">
        <f>IF(COUNTIFS($C:$C,$C127,$D:$D,$D127,$E:$E,"기준(전)",$M:$M,"&gt;0")&lt;&gt;1,"",SUMIFS($M:$M,$C:$C,$C127,$D:$D,$D127,$E:$E,"기준(전)"))</f>
        <v/>
      </c>
      <c r="Q127" s="48">
        <f>IF(COUNTIFS($C:$C,$C127,$D:$D,$D127,$E:$E,"기준(후)",$M:$M,"&gt;0")&lt;&gt;1,"",SUMIFS($I:$I,$C:$C,$C127,$D:$D,$D127,$E:$E,"기준(후)"))</f>
        <v/>
      </c>
      <c r="R127" s="31">
        <f>IF(COUNTIFS($C:$C,$C127,$D:$D,$D127,$E:$E,"기준(후)",$M:$M,"&gt;0")&lt;&gt;1,"",SUMIFS($M:$M,$C:$C,$C127,$D:$D,$D127,$E:$E,"기준(후)"))</f>
        <v/>
      </c>
      <c r="S127" s="31">
        <f>IF(N127&lt;&gt;"OK","",P127+(R127-P127)*(I127-O127)/(Q127-O127))</f>
        <v/>
      </c>
      <c r="T127" s="31">
        <f>IF(OR(N127&lt;&gt;"OK",NOT(ISNUMBER(M127))),"",M127-S127)</f>
        <v/>
      </c>
      <c r="U127" s="49">
        <f>IF(OR($E126&lt;&gt;"측정",$C126&lt;&gt;$C127,$D126&lt;&gt;$D127,NOT(ISNUMBER(M127)),NOT(ISNUMBER(M126)),(IF(ISNUMBER(G127),G127,F127)-IF(ISNUMBER(G126),G126,F126))=0),"",(M127-M126)/((IF(ISNUMBER(G127),G127,F127)-IF(ISNUMBER(G126),G126,F126))/100))</f>
        <v/>
      </c>
      <c r="V127" s="29" t="n"/>
      <c r="W127" s="29" t="n"/>
      <c r="X127" s="32" t="n"/>
    </row>
    <row r="128">
      <c r="A128" s="26" t="inlineStr">
        <is>
          <t>S11</t>
        </is>
      </c>
      <c r="B128" s="26" t="inlineStr">
        <is>
          <t>소천 신규점4</t>
        </is>
      </c>
      <c r="C128" s="26" t="inlineStr">
        <is>
          <t>S11-V</t>
        </is>
      </c>
      <c r="D128" s="47" t="n">
        <v>1</v>
      </c>
      <c r="E128" s="26" t="inlineStr">
        <is>
          <t>측정</t>
        </is>
      </c>
      <c r="F128" s="47" t="n">
        <v>40</v>
      </c>
      <c r="G128" s="41" t="n"/>
      <c r="H128" s="29" t="n"/>
      <c r="I128" s="43" t="n"/>
      <c r="J128" s="41" t="n"/>
      <c r="K128" s="41" t="n"/>
      <c r="L128" s="41" t="n"/>
      <c r="M128" s="31">
        <f>IF(COUNT(J128:L128)=0,"",MEDIAN(J128:L128))</f>
        <v/>
      </c>
      <c r="N128" s="26">
        <f>IF(COUNTIFS($C:$C,$C128,$D:$D,$D128,$E:$E,"기준(전)",$M:$M,"&gt;0")&lt;&gt;1,"기준(전) 유효 1개 아님",IF(COUNTIFS($C:$C,$C128,$D:$D,$D128,$E:$E,"기준(후)",$M:$M,"&gt;0")&lt;&gt;1,"기준(후) 유효 1개 아님",IF(NOT(AND(ISNUMBER(O128),ISNUMBER(Q128),ISNUMBER(I128))),"시각 결측",IF(Q128&lt;=O128,"기준 시각 역전",IF(OR(I128&lt;O128,I128&gt;Q128),"측정시각 구간 밖","OK")))))</f>
        <v/>
      </c>
      <c r="O128" s="48">
        <f>IF(COUNTIFS($C:$C,$C128,$D:$D,$D128,$E:$E,"기준(전)",$M:$M,"&gt;0")&lt;&gt;1,"",SUMIFS($I:$I,$C:$C,$C128,$D:$D,$D128,$E:$E,"기준(전)"))</f>
        <v/>
      </c>
      <c r="P128" s="31">
        <f>IF(COUNTIFS($C:$C,$C128,$D:$D,$D128,$E:$E,"기준(전)",$M:$M,"&gt;0")&lt;&gt;1,"",SUMIFS($M:$M,$C:$C,$C128,$D:$D,$D128,$E:$E,"기준(전)"))</f>
        <v/>
      </c>
      <c r="Q128" s="48">
        <f>IF(COUNTIFS($C:$C,$C128,$D:$D,$D128,$E:$E,"기준(후)",$M:$M,"&gt;0")&lt;&gt;1,"",SUMIFS($I:$I,$C:$C,$C128,$D:$D,$D128,$E:$E,"기준(후)"))</f>
        <v/>
      </c>
      <c r="R128" s="31">
        <f>IF(COUNTIFS($C:$C,$C128,$D:$D,$D128,$E:$E,"기준(후)",$M:$M,"&gt;0")&lt;&gt;1,"",SUMIFS($M:$M,$C:$C,$C128,$D:$D,$D128,$E:$E,"기준(후)"))</f>
        <v/>
      </c>
      <c r="S128" s="31">
        <f>IF(N128&lt;&gt;"OK","",P128+(R128-P128)*(I128-O128)/(Q128-O128))</f>
        <v/>
      </c>
      <c r="T128" s="31">
        <f>IF(OR(N128&lt;&gt;"OK",NOT(ISNUMBER(M128))),"",M128-S128)</f>
        <v/>
      </c>
      <c r="U128" s="49">
        <f>IF(OR($E127&lt;&gt;"측정",$C127&lt;&gt;$C128,$D127&lt;&gt;$D128,NOT(ISNUMBER(M128)),NOT(ISNUMBER(M127)),(IF(ISNUMBER(G128),G128,F128)-IF(ISNUMBER(G127),G127,F127))=0),"",(M128-M127)/((IF(ISNUMBER(G128),G128,F128)-IF(ISNUMBER(G127),G127,F127))/100))</f>
        <v/>
      </c>
      <c r="V128" s="29" t="n"/>
      <c r="W128" s="29" t="n"/>
      <c r="X128" s="32" t="n"/>
    </row>
    <row r="129">
      <c r="A129" s="26" t="inlineStr">
        <is>
          <t>S11</t>
        </is>
      </c>
      <c r="B129" s="26" t="inlineStr">
        <is>
          <t>소천 신규점4</t>
        </is>
      </c>
      <c r="C129" s="26" t="inlineStr">
        <is>
          <t>S11-V</t>
        </is>
      </c>
      <c r="D129" s="47" t="n">
        <v>1</v>
      </c>
      <c r="E129" s="26" t="inlineStr">
        <is>
          <t>측정</t>
        </is>
      </c>
      <c r="F129" s="47" t="n">
        <v>60</v>
      </c>
      <c r="G129" s="41" t="n"/>
      <c r="H129" s="29" t="n"/>
      <c r="I129" s="43" t="n"/>
      <c r="J129" s="41" t="n"/>
      <c r="K129" s="41" t="n"/>
      <c r="L129" s="41" t="n"/>
      <c r="M129" s="31">
        <f>IF(COUNT(J129:L129)=0,"",MEDIAN(J129:L129))</f>
        <v/>
      </c>
      <c r="N129" s="26">
        <f>IF(COUNTIFS($C:$C,$C129,$D:$D,$D129,$E:$E,"기준(전)",$M:$M,"&gt;0")&lt;&gt;1,"기준(전) 유효 1개 아님",IF(COUNTIFS($C:$C,$C129,$D:$D,$D129,$E:$E,"기준(후)",$M:$M,"&gt;0")&lt;&gt;1,"기준(후) 유효 1개 아님",IF(NOT(AND(ISNUMBER(O129),ISNUMBER(Q129),ISNUMBER(I129))),"시각 결측",IF(Q129&lt;=O129,"기준 시각 역전",IF(OR(I129&lt;O129,I129&gt;Q129),"측정시각 구간 밖","OK")))))</f>
        <v/>
      </c>
      <c r="O129" s="48">
        <f>IF(COUNTIFS($C:$C,$C129,$D:$D,$D129,$E:$E,"기준(전)",$M:$M,"&gt;0")&lt;&gt;1,"",SUMIFS($I:$I,$C:$C,$C129,$D:$D,$D129,$E:$E,"기준(전)"))</f>
        <v/>
      </c>
      <c r="P129" s="31">
        <f>IF(COUNTIFS($C:$C,$C129,$D:$D,$D129,$E:$E,"기준(전)",$M:$M,"&gt;0")&lt;&gt;1,"",SUMIFS($M:$M,$C:$C,$C129,$D:$D,$D129,$E:$E,"기준(전)"))</f>
        <v/>
      </c>
      <c r="Q129" s="48">
        <f>IF(COUNTIFS($C:$C,$C129,$D:$D,$D129,$E:$E,"기준(후)",$M:$M,"&gt;0")&lt;&gt;1,"",SUMIFS($I:$I,$C:$C,$C129,$D:$D,$D129,$E:$E,"기준(후)"))</f>
        <v/>
      </c>
      <c r="R129" s="31">
        <f>IF(COUNTIFS($C:$C,$C129,$D:$D,$D129,$E:$E,"기준(후)",$M:$M,"&gt;0")&lt;&gt;1,"",SUMIFS($M:$M,$C:$C,$C129,$D:$D,$D129,$E:$E,"기준(후)"))</f>
        <v/>
      </c>
      <c r="S129" s="31">
        <f>IF(N129&lt;&gt;"OK","",P129+(R129-P129)*(I129-O129)/(Q129-O129))</f>
        <v/>
      </c>
      <c r="T129" s="31">
        <f>IF(OR(N129&lt;&gt;"OK",NOT(ISNUMBER(M129))),"",M129-S129)</f>
        <v/>
      </c>
      <c r="U129" s="49">
        <f>IF(OR($E128&lt;&gt;"측정",$C128&lt;&gt;$C129,$D128&lt;&gt;$D129,NOT(ISNUMBER(M129)),NOT(ISNUMBER(M128)),(IF(ISNUMBER(G129),G129,F129)-IF(ISNUMBER(G128),G128,F128))=0),"",(M129-M128)/((IF(ISNUMBER(G129),G129,F129)-IF(ISNUMBER(G128),G128,F128))/100))</f>
        <v/>
      </c>
      <c r="V129" s="29" t="n"/>
      <c r="W129" s="29" t="n"/>
      <c r="X129" s="32" t="n"/>
    </row>
    <row r="130">
      <c r="A130" s="26" t="inlineStr">
        <is>
          <t>S11</t>
        </is>
      </c>
      <c r="B130" s="26" t="inlineStr">
        <is>
          <t>소천 신규점4</t>
        </is>
      </c>
      <c r="C130" s="26" t="inlineStr">
        <is>
          <t>S11-V</t>
        </is>
      </c>
      <c r="D130" s="47" t="n">
        <v>1</v>
      </c>
      <c r="E130" s="26" t="inlineStr">
        <is>
          <t>측정</t>
        </is>
      </c>
      <c r="F130" s="47" t="n">
        <v>80</v>
      </c>
      <c r="G130" s="41" t="n"/>
      <c r="H130" s="29" t="n"/>
      <c r="I130" s="43" t="n"/>
      <c r="J130" s="41" t="n"/>
      <c r="K130" s="41" t="n"/>
      <c r="L130" s="41" t="n"/>
      <c r="M130" s="31">
        <f>IF(COUNT(J130:L130)=0,"",MEDIAN(J130:L130))</f>
        <v/>
      </c>
      <c r="N130" s="26">
        <f>IF(COUNTIFS($C:$C,$C130,$D:$D,$D130,$E:$E,"기준(전)",$M:$M,"&gt;0")&lt;&gt;1,"기준(전) 유효 1개 아님",IF(COUNTIFS($C:$C,$C130,$D:$D,$D130,$E:$E,"기준(후)",$M:$M,"&gt;0")&lt;&gt;1,"기준(후) 유효 1개 아님",IF(NOT(AND(ISNUMBER(O130),ISNUMBER(Q130),ISNUMBER(I130))),"시각 결측",IF(Q130&lt;=O130,"기준 시각 역전",IF(OR(I130&lt;O130,I130&gt;Q130),"측정시각 구간 밖","OK")))))</f>
        <v/>
      </c>
      <c r="O130" s="48">
        <f>IF(COUNTIFS($C:$C,$C130,$D:$D,$D130,$E:$E,"기준(전)",$M:$M,"&gt;0")&lt;&gt;1,"",SUMIFS($I:$I,$C:$C,$C130,$D:$D,$D130,$E:$E,"기준(전)"))</f>
        <v/>
      </c>
      <c r="P130" s="31">
        <f>IF(COUNTIFS($C:$C,$C130,$D:$D,$D130,$E:$E,"기준(전)",$M:$M,"&gt;0")&lt;&gt;1,"",SUMIFS($M:$M,$C:$C,$C130,$D:$D,$D130,$E:$E,"기준(전)"))</f>
        <v/>
      </c>
      <c r="Q130" s="48">
        <f>IF(COUNTIFS($C:$C,$C130,$D:$D,$D130,$E:$E,"기준(후)",$M:$M,"&gt;0")&lt;&gt;1,"",SUMIFS($I:$I,$C:$C,$C130,$D:$D,$D130,$E:$E,"기준(후)"))</f>
        <v/>
      </c>
      <c r="R130" s="31">
        <f>IF(COUNTIFS($C:$C,$C130,$D:$D,$D130,$E:$E,"기준(후)",$M:$M,"&gt;0")&lt;&gt;1,"",SUMIFS($M:$M,$C:$C,$C130,$D:$D,$D130,$E:$E,"기준(후)"))</f>
        <v/>
      </c>
      <c r="S130" s="31">
        <f>IF(N130&lt;&gt;"OK","",P130+(R130-P130)*(I130-O130)/(Q130-O130))</f>
        <v/>
      </c>
      <c r="T130" s="31">
        <f>IF(OR(N130&lt;&gt;"OK",NOT(ISNUMBER(M130))),"",M130-S130)</f>
        <v/>
      </c>
      <c r="U130" s="49">
        <f>IF(OR($E129&lt;&gt;"측정",$C129&lt;&gt;$C130,$D129&lt;&gt;$D130,NOT(ISNUMBER(M130)),NOT(ISNUMBER(M129)),(IF(ISNUMBER(G130),G130,F130)-IF(ISNUMBER(G129),G129,F129))=0),"",(M130-M129)/((IF(ISNUMBER(G130),G130,F130)-IF(ISNUMBER(G129),G129,F129))/100))</f>
        <v/>
      </c>
      <c r="V130" s="29" t="n"/>
      <c r="W130" s="29" t="n"/>
      <c r="X130" s="32" t="n"/>
    </row>
    <row r="131">
      <c r="A131" s="26" t="inlineStr">
        <is>
          <t>S11</t>
        </is>
      </c>
      <c r="B131" s="26" t="inlineStr">
        <is>
          <t>소천 신규점4</t>
        </is>
      </c>
      <c r="C131" s="26" t="inlineStr">
        <is>
          <t>S11-V</t>
        </is>
      </c>
      <c r="D131" s="47" t="n">
        <v>1</v>
      </c>
      <c r="E131" s="26" t="inlineStr">
        <is>
          <t>측정</t>
        </is>
      </c>
      <c r="F131" s="47" t="n">
        <v>100</v>
      </c>
      <c r="G131" s="41" t="n"/>
      <c r="H131" s="29" t="n"/>
      <c r="I131" s="43" t="n"/>
      <c r="J131" s="41" t="n"/>
      <c r="K131" s="41" t="n"/>
      <c r="L131" s="41" t="n"/>
      <c r="M131" s="31">
        <f>IF(COUNT(J131:L131)=0,"",MEDIAN(J131:L131))</f>
        <v/>
      </c>
      <c r="N131" s="26">
        <f>IF(COUNTIFS($C:$C,$C131,$D:$D,$D131,$E:$E,"기준(전)",$M:$M,"&gt;0")&lt;&gt;1,"기준(전) 유효 1개 아님",IF(COUNTIFS($C:$C,$C131,$D:$D,$D131,$E:$E,"기준(후)",$M:$M,"&gt;0")&lt;&gt;1,"기준(후) 유효 1개 아님",IF(NOT(AND(ISNUMBER(O131),ISNUMBER(Q131),ISNUMBER(I131))),"시각 결측",IF(Q131&lt;=O131,"기준 시각 역전",IF(OR(I131&lt;O131,I131&gt;Q131),"측정시각 구간 밖","OK")))))</f>
        <v/>
      </c>
      <c r="O131" s="48">
        <f>IF(COUNTIFS($C:$C,$C131,$D:$D,$D131,$E:$E,"기준(전)",$M:$M,"&gt;0")&lt;&gt;1,"",SUMIFS($I:$I,$C:$C,$C131,$D:$D,$D131,$E:$E,"기준(전)"))</f>
        <v/>
      </c>
      <c r="P131" s="31">
        <f>IF(COUNTIFS($C:$C,$C131,$D:$D,$D131,$E:$E,"기준(전)",$M:$M,"&gt;0")&lt;&gt;1,"",SUMIFS($M:$M,$C:$C,$C131,$D:$D,$D131,$E:$E,"기준(전)"))</f>
        <v/>
      </c>
      <c r="Q131" s="48">
        <f>IF(COUNTIFS($C:$C,$C131,$D:$D,$D131,$E:$E,"기준(후)",$M:$M,"&gt;0")&lt;&gt;1,"",SUMIFS($I:$I,$C:$C,$C131,$D:$D,$D131,$E:$E,"기준(후)"))</f>
        <v/>
      </c>
      <c r="R131" s="31">
        <f>IF(COUNTIFS($C:$C,$C131,$D:$D,$D131,$E:$E,"기준(후)",$M:$M,"&gt;0")&lt;&gt;1,"",SUMIFS($M:$M,$C:$C,$C131,$D:$D,$D131,$E:$E,"기준(후)"))</f>
        <v/>
      </c>
      <c r="S131" s="31">
        <f>IF(N131&lt;&gt;"OK","",P131+(R131-P131)*(I131-O131)/(Q131-O131))</f>
        <v/>
      </c>
      <c r="T131" s="31">
        <f>IF(OR(N131&lt;&gt;"OK",NOT(ISNUMBER(M131))),"",M131-S131)</f>
        <v/>
      </c>
      <c r="U131" s="49">
        <f>IF(OR($E130&lt;&gt;"측정",$C130&lt;&gt;$C131,$D130&lt;&gt;$D131,NOT(ISNUMBER(M131)),NOT(ISNUMBER(M130)),(IF(ISNUMBER(G131),G131,F131)-IF(ISNUMBER(G130),G130,F130))=0),"",(M131-M130)/((IF(ISNUMBER(G131),G131,F131)-IF(ISNUMBER(G130),G130,F130))/100))</f>
        <v/>
      </c>
      <c r="V131" s="29" t="n"/>
      <c r="W131" s="29" t="n"/>
      <c r="X131" s="32" t="n"/>
    </row>
    <row r="132">
      <c r="A132" s="26" t="inlineStr">
        <is>
          <t>S11</t>
        </is>
      </c>
      <c r="B132" s="26" t="inlineStr">
        <is>
          <t>소천 신규점4</t>
        </is>
      </c>
      <c r="C132" s="26" t="inlineStr">
        <is>
          <t>S11-V</t>
        </is>
      </c>
      <c r="D132" s="47" t="n">
        <v>1</v>
      </c>
      <c r="E132" s="26" t="inlineStr">
        <is>
          <t>측정</t>
        </is>
      </c>
      <c r="F132" s="47" t="n">
        <v>120</v>
      </c>
      <c r="G132" s="41" t="n"/>
      <c r="H132" s="29" t="n"/>
      <c r="I132" s="43" t="n"/>
      <c r="J132" s="41" t="n"/>
      <c r="K132" s="41" t="n"/>
      <c r="L132" s="41" t="n"/>
      <c r="M132" s="31">
        <f>IF(COUNT(J132:L132)=0,"",MEDIAN(J132:L132))</f>
        <v/>
      </c>
      <c r="N132" s="26">
        <f>IF(COUNTIFS($C:$C,$C132,$D:$D,$D132,$E:$E,"기준(전)",$M:$M,"&gt;0")&lt;&gt;1,"기준(전) 유효 1개 아님",IF(COUNTIFS($C:$C,$C132,$D:$D,$D132,$E:$E,"기준(후)",$M:$M,"&gt;0")&lt;&gt;1,"기준(후) 유효 1개 아님",IF(NOT(AND(ISNUMBER(O132),ISNUMBER(Q132),ISNUMBER(I132))),"시각 결측",IF(Q132&lt;=O132,"기준 시각 역전",IF(OR(I132&lt;O132,I132&gt;Q132),"측정시각 구간 밖","OK")))))</f>
        <v/>
      </c>
      <c r="O132" s="48">
        <f>IF(COUNTIFS($C:$C,$C132,$D:$D,$D132,$E:$E,"기준(전)",$M:$M,"&gt;0")&lt;&gt;1,"",SUMIFS($I:$I,$C:$C,$C132,$D:$D,$D132,$E:$E,"기준(전)"))</f>
        <v/>
      </c>
      <c r="P132" s="31">
        <f>IF(COUNTIFS($C:$C,$C132,$D:$D,$D132,$E:$E,"기준(전)",$M:$M,"&gt;0")&lt;&gt;1,"",SUMIFS($M:$M,$C:$C,$C132,$D:$D,$D132,$E:$E,"기준(전)"))</f>
        <v/>
      </c>
      <c r="Q132" s="48">
        <f>IF(COUNTIFS($C:$C,$C132,$D:$D,$D132,$E:$E,"기준(후)",$M:$M,"&gt;0")&lt;&gt;1,"",SUMIFS($I:$I,$C:$C,$C132,$D:$D,$D132,$E:$E,"기준(후)"))</f>
        <v/>
      </c>
      <c r="R132" s="31">
        <f>IF(COUNTIFS($C:$C,$C132,$D:$D,$D132,$E:$E,"기준(후)",$M:$M,"&gt;0")&lt;&gt;1,"",SUMIFS($M:$M,$C:$C,$C132,$D:$D,$D132,$E:$E,"기준(후)"))</f>
        <v/>
      </c>
      <c r="S132" s="31">
        <f>IF(N132&lt;&gt;"OK","",P132+(R132-P132)*(I132-O132)/(Q132-O132))</f>
        <v/>
      </c>
      <c r="T132" s="31">
        <f>IF(OR(N132&lt;&gt;"OK",NOT(ISNUMBER(M132))),"",M132-S132)</f>
        <v/>
      </c>
      <c r="U132" s="49">
        <f>IF(OR($E131&lt;&gt;"측정",$C131&lt;&gt;$C132,$D131&lt;&gt;$D132,NOT(ISNUMBER(M132)),NOT(ISNUMBER(M131)),(IF(ISNUMBER(G132),G132,F132)-IF(ISNUMBER(G131),G131,F131))=0),"",(M132-M131)/((IF(ISNUMBER(G132),G132,F132)-IF(ISNUMBER(G131),G131,F131))/100))</f>
        <v/>
      </c>
      <c r="V132" s="29" t="n"/>
      <c r="W132" s="29" t="n"/>
      <c r="X132" s="32" t="n"/>
    </row>
    <row r="133">
      <c r="A133" s="26" t="inlineStr">
        <is>
          <t>S11</t>
        </is>
      </c>
      <c r="B133" s="26" t="inlineStr">
        <is>
          <t>소천 신규점4</t>
        </is>
      </c>
      <c r="C133" s="26" t="inlineStr">
        <is>
          <t>S11-V</t>
        </is>
      </c>
      <c r="D133" s="47" t="n">
        <v>1</v>
      </c>
      <c r="E133" s="26" t="inlineStr">
        <is>
          <t>측정</t>
        </is>
      </c>
      <c r="F133" s="47" t="n">
        <v>140</v>
      </c>
      <c r="G133" s="41" t="n"/>
      <c r="H133" s="29" t="n"/>
      <c r="I133" s="43" t="n"/>
      <c r="J133" s="41" t="n"/>
      <c r="K133" s="41" t="n"/>
      <c r="L133" s="41" t="n"/>
      <c r="M133" s="31">
        <f>IF(COUNT(J133:L133)=0,"",MEDIAN(J133:L133))</f>
        <v/>
      </c>
      <c r="N133" s="26">
        <f>IF(COUNTIFS($C:$C,$C133,$D:$D,$D133,$E:$E,"기준(전)",$M:$M,"&gt;0")&lt;&gt;1,"기준(전) 유효 1개 아님",IF(COUNTIFS($C:$C,$C133,$D:$D,$D133,$E:$E,"기준(후)",$M:$M,"&gt;0")&lt;&gt;1,"기준(후) 유효 1개 아님",IF(NOT(AND(ISNUMBER(O133),ISNUMBER(Q133),ISNUMBER(I133))),"시각 결측",IF(Q133&lt;=O133,"기준 시각 역전",IF(OR(I133&lt;O133,I133&gt;Q133),"측정시각 구간 밖","OK")))))</f>
        <v/>
      </c>
      <c r="O133" s="48">
        <f>IF(COUNTIFS($C:$C,$C133,$D:$D,$D133,$E:$E,"기준(전)",$M:$M,"&gt;0")&lt;&gt;1,"",SUMIFS($I:$I,$C:$C,$C133,$D:$D,$D133,$E:$E,"기준(전)"))</f>
        <v/>
      </c>
      <c r="P133" s="31">
        <f>IF(COUNTIFS($C:$C,$C133,$D:$D,$D133,$E:$E,"기준(전)",$M:$M,"&gt;0")&lt;&gt;1,"",SUMIFS($M:$M,$C:$C,$C133,$D:$D,$D133,$E:$E,"기준(전)"))</f>
        <v/>
      </c>
      <c r="Q133" s="48">
        <f>IF(COUNTIFS($C:$C,$C133,$D:$D,$D133,$E:$E,"기준(후)",$M:$M,"&gt;0")&lt;&gt;1,"",SUMIFS($I:$I,$C:$C,$C133,$D:$D,$D133,$E:$E,"기준(후)"))</f>
        <v/>
      </c>
      <c r="R133" s="31">
        <f>IF(COUNTIFS($C:$C,$C133,$D:$D,$D133,$E:$E,"기준(후)",$M:$M,"&gt;0")&lt;&gt;1,"",SUMIFS($M:$M,$C:$C,$C133,$D:$D,$D133,$E:$E,"기준(후)"))</f>
        <v/>
      </c>
      <c r="S133" s="31">
        <f>IF(N133&lt;&gt;"OK","",P133+(R133-P133)*(I133-O133)/(Q133-O133))</f>
        <v/>
      </c>
      <c r="T133" s="31">
        <f>IF(OR(N133&lt;&gt;"OK",NOT(ISNUMBER(M133))),"",M133-S133)</f>
        <v/>
      </c>
      <c r="U133" s="49">
        <f>IF(OR($E132&lt;&gt;"측정",$C132&lt;&gt;$C133,$D132&lt;&gt;$D133,NOT(ISNUMBER(M133)),NOT(ISNUMBER(M132)),(IF(ISNUMBER(G133),G133,F133)-IF(ISNUMBER(G132),G132,F132))=0),"",(M133-M132)/((IF(ISNUMBER(G133),G133,F133)-IF(ISNUMBER(G132),G132,F132))/100))</f>
        <v/>
      </c>
      <c r="V133" s="29" t="n"/>
      <c r="W133" s="29" t="n"/>
      <c r="X133" s="32" t="n"/>
    </row>
    <row r="134">
      <c r="A134" s="26" t="inlineStr">
        <is>
          <t>S11</t>
        </is>
      </c>
      <c r="B134" s="26" t="inlineStr">
        <is>
          <t>소천 신규점4</t>
        </is>
      </c>
      <c r="C134" s="26" t="inlineStr">
        <is>
          <t>S11-V</t>
        </is>
      </c>
      <c r="D134" s="47" t="n">
        <v>1</v>
      </c>
      <c r="E134" s="26" t="inlineStr">
        <is>
          <t>측정</t>
        </is>
      </c>
      <c r="F134" s="47" t="n">
        <v>160</v>
      </c>
      <c r="G134" s="41" t="n"/>
      <c r="H134" s="29" t="n"/>
      <c r="I134" s="43" t="n"/>
      <c r="J134" s="41" t="n"/>
      <c r="K134" s="41" t="n"/>
      <c r="L134" s="41" t="n"/>
      <c r="M134" s="31">
        <f>IF(COUNT(J134:L134)=0,"",MEDIAN(J134:L134))</f>
        <v/>
      </c>
      <c r="N134" s="26">
        <f>IF(COUNTIFS($C:$C,$C134,$D:$D,$D134,$E:$E,"기준(전)",$M:$M,"&gt;0")&lt;&gt;1,"기준(전) 유효 1개 아님",IF(COUNTIFS($C:$C,$C134,$D:$D,$D134,$E:$E,"기준(후)",$M:$M,"&gt;0")&lt;&gt;1,"기준(후) 유효 1개 아님",IF(NOT(AND(ISNUMBER(O134),ISNUMBER(Q134),ISNUMBER(I134))),"시각 결측",IF(Q134&lt;=O134,"기준 시각 역전",IF(OR(I134&lt;O134,I134&gt;Q134),"측정시각 구간 밖","OK")))))</f>
        <v/>
      </c>
      <c r="O134" s="48">
        <f>IF(COUNTIFS($C:$C,$C134,$D:$D,$D134,$E:$E,"기준(전)",$M:$M,"&gt;0")&lt;&gt;1,"",SUMIFS($I:$I,$C:$C,$C134,$D:$D,$D134,$E:$E,"기준(전)"))</f>
        <v/>
      </c>
      <c r="P134" s="31">
        <f>IF(COUNTIFS($C:$C,$C134,$D:$D,$D134,$E:$E,"기준(전)",$M:$M,"&gt;0")&lt;&gt;1,"",SUMIFS($M:$M,$C:$C,$C134,$D:$D,$D134,$E:$E,"기준(전)"))</f>
        <v/>
      </c>
      <c r="Q134" s="48">
        <f>IF(COUNTIFS($C:$C,$C134,$D:$D,$D134,$E:$E,"기준(후)",$M:$M,"&gt;0")&lt;&gt;1,"",SUMIFS($I:$I,$C:$C,$C134,$D:$D,$D134,$E:$E,"기준(후)"))</f>
        <v/>
      </c>
      <c r="R134" s="31">
        <f>IF(COUNTIFS($C:$C,$C134,$D:$D,$D134,$E:$E,"기준(후)",$M:$M,"&gt;0")&lt;&gt;1,"",SUMIFS($M:$M,$C:$C,$C134,$D:$D,$D134,$E:$E,"기준(후)"))</f>
        <v/>
      </c>
      <c r="S134" s="31">
        <f>IF(N134&lt;&gt;"OK","",P134+(R134-P134)*(I134-O134)/(Q134-O134))</f>
        <v/>
      </c>
      <c r="T134" s="31">
        <f>IF(OR(N134&lt;&gt;"OK",NOT(ISNUMBER(M134))),"",M134-S134)</f>
        <v/>
      </c>
      <c r="U134" s="49">
        <f>IF(OR($E133&lt;&gt;"측정",$C133&lt;&gt;$C134,$D133&lt;&gt;$D134,NOT(ISNUMBER(M134)),NOT(ISNUMBER(M133)),(IF(ISNUMBER(G134),G134,F134)-IF(ISNUMBER(G133),G133,F133))=0),"",(M134-M133)/((IF(ISNUMBER(G134),G134,F134)-IF(ISNUMBER(G133),G133,F133))/100))</f>
        <v/>
      </c>
      <c r="V134" s="29" t="n"/>
      <c r="W134" s="29" t="n"/>
      <c r="X134" s="32" t="n"/>
    </row>
    <row r="135">
      <c r="A135" s="26" t="inlineStr">
        <is>
          <t>S11</t>
        </is>
      </c>
      <c r="B135" s="26" t="inlineStr">
        <is>
          <t>소천 신규점4</t>
        </is>
      </c>
      <c r="C135" s="26" t="inlineStr">
        <is>
          <t>S11-V</t>
        </is>
      </c>
      <c r="D135" s="47" t="n">
        <v>1</v>
      </c>
      <c r="E135" s="26" t="inlineStr">
        <is>
          <t>측정</t>
        </is>
      </c>
      <c r="F135" s="47" t="n">
        <v>180</v>
      </c>
      <c r="G135" s="41" t="n"/>
      <c r="H135" s="29" t="n"/>
      <c r="I135" s="43" t="n"/>
      <c r="J135" s="41" t="n"/>
      <c r="K135" s="41" t="n"/>
      <c r="L135" s="41" t="n"/>
      <c r="M135" s="31">
        <f>IF(COUNT(J135:L135)=0,"",MEDIAN(J135:L135))</f>
        <v/>
      </c>
      <c r="N135" s="26">
        <f>IF(COUNTIFS($C:$C,$C135,$D:$D,$D135,$E:$E,"기준(전)",$M:$M,"&gt;0")&lt;&gt;1,"기준(전) 유효 1개 아님",IF(COUNTIFS($C:$C,$C135,$D:$D,$D135,$E:$E,"기준(후)",$M:$M,"&gt;0")&lt;&gt;1,"기준(후) 유효 1개 아님",IF(NOT(AND(ISNUMBER(O135),ISNUMBER(Q135),ISNUMBER(I135))),"시각 결측",IF(Q135&lt;=O135,"기준 시각 역전",IF(OR(I135&lt;O135,I135&gt;Q135),"측정시각 구간 밖","OK")))))</f>
        <v/>
      </c>
      <c r="O135" s="48">
        <f>IF(COUNTIFS($C:$C,$C135,$D:$D,$D135,$E:$E,"기준(전)",$M:$M,"&gt;0")&lt;&gt;1,"",SUMIFS($I:$I,$C:$C,$C135,$D:$D,$D135,$E:$E,"기준(전)"))</f>
        <v/>
      </c>
      <c r="P135" s="31">
        <f>IF(COUNTIFS($C:$C,$C135,$D:$D,$D135,$E:$E,"기준(전)",$M:$M,"&gt;0")&lt;&gt;1,"",SUMIFS($M:$M,$C:$C,$C135,$D:$D,$D135,$E:$E,"기준(전)"))</f>
        <v/>
      </c>
      <c r="Q135" s="48">
        <f>IF(COUNTIFS($C:$C,$C135,$D:$D,$D135,$E:$E,"기준(후)",$M:$M,"&gt;0")&lt;&gt;1,"",SUMIFS($I:$I,$C:$C,$C135,$D:$D,$D135,$E:$E,"기준(후)"))</f>
        <v/>
      </c>
      <c r="R135" s="31">
        <f>IF(COUNTIFS($C:$C,$C135,$D:$D,$D135,$E:$E,"기준(후)",$M:$M,"&gt;0")&lt;&gt;1,"",SUMIFS($M:$M,$C:$C,$C135,$D:$D,$D135,$E:$E,"기준(후)"))</f>
        <v/>
      </c>
      <c r="S135" s="31">
        <f>IF(N135&lt;&gt;"OK","",P135+(R135-P135)*(I135-O135)/(Q135-O135))</f>
        <v/>
      </c>
      <c r="T135" s="31">
        <f>IF(OR(N135&lt;&gt;"OK",NOT(ISNUMBER(M135))),"",M135-S135)</f>
        <v/>
      </c>
      <c r="U135" s="49">
        <f>IF(OR($E134&lt;&gt;"측정",$C134&lt;&gt;$C135,$D134&lt;&gt;$D135,NOT(ISNUMBER(M135)),NOT(ISNUMBER(M134)),(IF(ISNUMBER(G135),G135,F135)-IF(ISNUMBER(G134),G134,F134))=0),"",(M135-M134)/((IF(ISNUMBER(G135),G135,F135)-IF(ISNUMBER(G134),G134,F134))/100))</f>
        <v/>
      </c>
      <c r="V135" s="29" t="n"/>
      <c r="W135" s="29" t="n"/>
      <c r="X135" s="32" t="n"/>
    </row>
    <row r="136">
      <c r="A136" s="26" t="inlineStr">
        <is>
          <t>S11</t>
        </is>
      </c>
      <c r="B136" s="26" t="inlineStr">
        <is>
          <t>소천 신규점4</t>
        </is>
      </c>
      <c r="C136" s="26" t="inlineStr">
        <is>
          <t>S11-V</t>
        </is>
      </c>
      <c r="D136" s="47" t="n">
        <v>1</v>
      </c>
      <c r="E136" s="26" t="inlineStr">
        <is>
          <t>측정</t>
        </is>
      </c>
      <c r="F136" s="47" t="n">
        <v>200</v>
      </c>
      <c r="G136" s="41" t="n"/>
      <c r="H136" s="29" t="n"/>
      <c r="I136" s="43" t="n"/>
      <c r="J136" s="41" t="n"/>
      <c r="K136" s="41" t="n"/>
      <c r="L136" s="41" t="n"/>
      <c r="M136" s="31">
        <f>IF(COUNT(J136:L136)=0,"",MEDIAN(J136:L136))</f>
        <v/>
      </c>
      <c r="N136" s="26">
        <f>IF(COUNTIFS($C:$C,$C136,$D:$D,$D136,$E:$E,"기준(전)",$M:$M,"&gt;0")&lt;&gt;1,"기준(전) 유효 1개 아님",IF(COUNTIFS($C:$C,$C136,$D:$D,$D136,$E:$E,"기준(후)",$M:$M,"&gt;0")&lt;&gt;1,"기준(후) 유효 1개 아님",IF(NOT(AND(ISNUMBER(O136),ISNUMBER(Q136),ISNUMBER(I136))),"시각 결측",IF(Q136&lt;=O136,"기준 시각 역전",IF(OR(I136&lt;O136,I136&gt;Q136),"측정시각 구간 밖","OK")))))</f>
        <v/>
      </c>
      <c r="O136" s="48">
        <f>IF(COUNTIFS($C:$C,$C136,$D:$D,$D136,$E:$E,"기준(전)",$M:$M,"&gt;0")&lt;&gt;1,"",SUMIFS($I:$I,$C:$C,$C136,$D:$D,$D136,$E:$E,"기준(전)"))</f>
        <v/>
      </c>
      <c r="P136" s="31">
        <f>IF(COUNTIFS($C:$C,$C136,$D:$D,$D136,$E:$E,"기준(전)",$M:$M,"&gt;0")&lt;&gt;1,"",SUMIFS($M:$M,$C:$C,$C136,$D:$D,$D136,$E:$E,"기준(전)"))</f>
        <v/>
      </c>
      <c r="Q136" s="48">
        <f>IF(COUNTIFS($C:$C,$C136,$D:$D,$D136,$E:$E,"기준(후)",$M:$M,"&gt;0")&lt;&gt;1,"",SUMIFS($I:$I,$C:$C,$C136,$D:$D,$D136,$E:$E,"기준(후)"))</f>
        <v/>
      </c>
      <c r="R136" s="31">
        <f>IF(COUNTIFS($C:$C,$C136,$D:$D,$D136,$E:$E,"기준(후)",$M:$M,"&gt;0")&lt;&gt;1,"",SUMIFS($M:$M,$C:$C,$C136,$D:$D,$D136,$E:$E,"기준(후)"))</f>
        <v/>
      </c>
      <c r="S136" s="31">
        <f>IF(N136&lt;&gt;"OK","",P136+(R136-P136)*(I136-O136)/(Q136-O136))</f>
        <v/>
      </c>
      <c r="T136" s="31">
        <f>IF(OR(N136&lt;&gt;"OK",NOT(ISNUMBER(M136))),"",M136-S136)</f>
        <v/>
      </c>
      <c r="U136" s="49">
        <f>IF(OR($E135&lt;&gt;"측정",$C135&lt;&gt;$C136,$D135&lt;&gt;$D136,NOT(ISNUMBER(M136)),NOT(ISNUMBER(M135)),(IF(ISNUMBER(G136),G136,F136)-IF(ISNUMBER(G135),G135,F135))=0),"",(M136-M135)/((IF(ISNUMBER(G136),G136,F136)-IF(ISNUMBER(G135),G135,F135))/100))</f>
        <v/>
      </c>
      <c r="V136" s="29" t="n"/>
      <c r="W136" s="29" t="n"/>
      <c r="X136" s="32" t="n"/>
    </row>
    <row r="137">
      <c r="A137" s="44" t="inlineStr">
        <is>
          <t>S11</t>
        </is>
      </c>
      <c r="B137" s="44" t="inlineStr">
        <is>
          <t>소천 신규점4</t>
        </is>
      </c>
      <c r="C137" s="44" t="inlineStr">
        <is>
          <t>S11-V</t>
        </is>
      </c>
      <c r="D137" s="45" t="n">
        <v>1</v>
      </c>
      <c r="E137" s="44" t="inlineStr">
        <is>
          <t>기준(후)</t>
        </is>
      </c>
      <c r="F137" s="45" t="n"/>
      <c r="G137" s="41" t="n"/>
      <c r="H137" s="29" t="n"/>
      <c r="I137" s="43" t="n"/>
      <c r="J137" s="41" t="n"/>
      <c r="K137" s="41" t="n"/>
      <c r="L137" s="41" t="n"/>
      <c r="M137" s="31">
        <f>IF(COUNT(J137:L137)=0,"",MEDIAN(J137:L137))</f>
        <v/>
      </c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29" t="n"/>
      <c r="W137" s="29" t="n"/>
      <c r="X137" s="32" t="n"/>
    </row>
    <row r="138">
      <c r="A138" s="44" t="inlineStr">
        <is>
          <t>S12</t>
        </is>
      </c>
      <c r="B138" s="44" t="inlineStr">
        <is>
          <t>순창 신규점</t>
        </is>
      </c>
      <c r="C138" s="44" t="inlineStr">
        <is>
          <t>S12-V</t>
        </is>
      </c>
      <c r="D138" s="45" t="n">
        <v>1</v>
      </c>
      <c r="E138" s="44" t="inlineStr">
        <is>
          <t>기준(전)</t>
        </is>
      </c>
      <c r="F138" s="45" t="n"/>
      <c r="G138" s="41" t="n"/>
      <c r="H138" s="29" t="n"/>
      <c r="I138" s="43" t="n"/>
      <c r="J138" s="41" t="n"/>
      <c r="K138" s="41" t="n"/>
      <c r="L138" s="41" t="n"/>
      <c r="M138" s="31">
        <f>IF(COUNT(J138:L138)=0,"",MEDIAN(J138:L138))</f>
        <v/>
      </c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29" t="n"/>
      <c r="W138" s="29" t="n"/>
      <c r="X138" s="32" t="n"/>
    </row>
    <row r="139">
      <c r="A139" s="26" t="inlineStr">
        <is>
          <t>S12</t>
        </is>
      </c>
      <c r="B139" s="26" t="inlineStr">
        <is>
          <t>순창 신규점</t>
        </is>
      </c>
      <c r="C139" s="26" t="inlineStr">
        <is>
          <t>S12-V</t>
        </is>
      </c>
      <c r="D139" s="47" t="n">
        <v>1</v>
      </c>
      <c r="E139" s="26" t="inlineStr">
        <is>
          <t>측정</t>
        </is>
      </c>
      <c r="F139" s="47" t="n">
        <v>20</v>
      </c>
      <c r="G139" s="41" t="n"/>
      <c r="H139" s="29" t="n"/>
      <c r="I139" s="43" t="n"/>
      <c r="J139" s="41" t="n"/>
      <c r="K139" s="41" t="n"/>
      <c r="L139" s="41" t="n"/>
      <c r="M139" s="31">
        <f>IF(COUNT(J139:L139)=0,"",MEDIAN(J139:L139))</f>
        <v/>
      </c>
      <c r="N139" s="26">
        <f>IF(COUNTIFS($C:$C,$C139,$D:$D,$D139,$E:$E,"기준(전)",$M:$M,"&gt;0")&lt;&gt;1,"기준(전) 유효 1개 아님",IF(COUNTIFS($C:$C,$C139,$D:$D,$D139,$E:$E,"기준(후)",$M:$M,"&gt;0")&lt;&gt;1,"기준(후) 유효 1개 아님",IF(NOT(AND(ISNUMBER(O139),ISNUMBER(Q139),ISNUMBER(I139))),"시각 결측",IF(Q139&lt;=O139,"기준 시각 역전",IF(OR(I139&lt;O139,I139&gt;Q139),"측정시각 구간 밖","OK")))))</f>
        <v/>
      </c>
      <c r="O139" s="48">
        <f>IF(COUNTIFS($C:$C,$C139,$D:$D,$D139,$E:$E,"기준(전)",$M:$M,"&gt;0")&lt;&gt;1,"",SUMIFS($I:$I,$C:$C,$C139,$D:$D,$D139,$E:$E,"기준(전)"))</f>
        <v/>
      </c>
      <c r="P139" s="31">
        <f>IF(COUNTIFS($C:$C,$C139,$D:$D,$D139,$E:$E,"기준(전)",$M:$M,"&gt;0")&lt;&gt;1,"",SUMIFS($M:$M,$C:$C,$C139,$D:$D,$D139,$E:$E,"기준(전)"))</f>
        <v/>
      </c>
      <c r="Q139" s="48">
        <f>IF(COUNTIFS($C:$C,$C139,$D:$D,$D139,$E:$E,"기준(후)",$M:$M,"&gt;0")&lt;&gt;1,"",SUMIFS($I:$I,$C:$C,$C139,$D:$D,$D139,$E:$E,"기준(후)"))</f>
        <v/>
      </c>
      <c r="R139" s="31">
        <f>IF(COUNTIFS($C:$C,$C139,$D:$D,$D139,$E:$E,"기준(후)",$M:$M,"&gt;0")&lt;&gt;1,"",SUMIFS($M:$M,$C:$C,$C139,$D:$D,$D139,$E:$E,"기준(후)"))</f>
        <v/>
      </c>
      <c r="S139" s="31">
        <f>IF(N139&lt;&gt;"OK","",P139+(R139-P139)*(I139-O139)/(Q139-O139))</f>
        <v/>
      </c>
      <c r="T139" s="31">
        <f>IF(OR(N139&lt;&gt;"OK",NOT(ISNUMBER(M139))),"",M139-S139)</f>
        <v/>
      </c>
      <c r="U139" s="49">
        <f>IF(OR($E138&lt;&gt;"측정",$C138&lt;&gt;$C139,$D138&lt;&gt;$D139,NOT(ISNUMBER(M139)),NOT(ISNUMBER(M138)),(IF(ISNUMBER(G139),G139,F139)-IF(ISNUMBER(G138),G138,F138))=0),"",(M139-M138)/((IF(ISNUMBER(G139),G139,F139)-IF(ISNUMBER(G138),G138,F138))/100))</f>
        <v/>
      </c>
      <c r="V139" s="29" t="n"/>
      <c r="W139" s="29" t="n"/>
      <c r="X139" s="32" t="n"/>
    </row>
    <row r="140">
      <c r="A140" s="26" t="inlineStr">
        <is>
          <t>S12</t>
        </is>
      </c>
      <c r="B140" s="26" t="inlineStr">
        <is>
          <t>순창 신규점</t>
        </is>
      </c>
      <c r="C140" s="26" t="inlineStr">
        <is>
          <t>S12-V</t>
        </is>
      </c>
      <c r="D140" s="47" t="n">
        <v>1</v>
      </c>
      <c r="E140" s="26" t="inlineStr">
        <is>
          <t>측정</t>
        </is>
      </c>
      <c r="F140" s="47" t="n">
        <v>40</v>
      </c>
      <c r="G140" s="41" t="n"/>
      <c r="H140" s="29" t="n"/>
      <c r="I140" s="43" t="n"/>
      <c r="J140" s="41" t="n"/>
      <c r="K140" s="41" t="n"/>
      <c r="L140" s="41" t="n"/>
      <c r="M140" s="31">
        <f>IF(COUNT(J140:L140)=0,"",MEDIAN(J140:L140))</f>
        <v/>
      </c>
      <c r="N140" s="26">
        <f>IF(COUNTIFS($C:$C,$C140,$D:$D,$D140,$E:$E,"기준(전)",$M:$M,"&gt;0")&lt;&gt;1,"기준(전) 유효 1개 아님",IF(COUNTIFS($C:$C,$C140,$D:$D,$D140,$E:$E,"기준(후)",$M:$M,"&gt;0")&lt;&gt;1,"기준(후) 유효 1개 아님",IF(NOT(AND(ISNUMBER(O140),ISNUMBER(Q140),ISNUMBER(I140))),"시각 결측",IF(Q140&lt;=O140,"기준 시각 역전",IF(OR(I140&lt;O140,I140&gt;Q140),"측정시각 구간 밖","OK")))))</f>
        <v/>
      </c>
      <c r="O140" s="48">
        <f>IF(COUNTIFS($C:$C,$C140,$D:$D,$D140,$E:$E,"기준(전)",$M:$M,"&gt;0")&lt;&gt;1,"",SUMIFS($I:$I,$C:$C,$C140,$D:$D,$D140,$E:$E,"기준(전)"))</f>
        <v/>
      </c>
      <c r="P140" s="31">
        <f>IF(COUNTIFS($C:$C,$C140,$D:$D,$D140,$E:$E,"기준(전)",$M:$M,"&gt;0")&lt;&gt;1,"",SUMIFS($M:$M,$C:$C,$C140,$D:$D,$D140,$E:$E,"기준(전)"))</f>
        <v/>
      </c>
      <c r="Q140" s="48">
        <f>IF(COUNTIFS($C:$C,$C140,$D:$D,$D140,$E:$E,"기준(후)",$M:$M,"&gt;0")&lt;&gt;1,"",SUMIFS($I:$I,$C:$C,$C140,$D:$D,$D140,$E:$E,"기준(후)"))</f>
        <v/>
      </c>
      <c r="R140" s="31">
        <f>IF(COUNTIFS($C:$C,$C140,$D:$D,$D140,$E:$E,"기준(후)",$M:$M,"&gt;0")&lt;&gt;1,"",SUMIFS($M:$M,$C:$C,$C140,$D:$D,$D140,$E:$E,"기준(후)"))</f>
        <v/>
      </c>
      <c r="S140" s="31">
        <f>IF(N140&lt;&gt;"OK","",P140+(R140-P140)*(I140-O140)/(Q140-O140))</f>
        <v/>
      </c>
      <c r="T140" s="31">
        <f>IF(OR(N140&lt;&gt;"OK",NOT(ISNUMBER(M140))),"",M140-S140)</f>
        <v/>
      </c>
      <c r="U140" s="49">
        <f>IF(OR($E139&lt;&gt;"측정",$C139&lt;&gt;$C140,$D139&lt;&gt;$D140,NOT(ISNUMBER(M140)),NOT(ISNUMBER(M139)),(IF(ISNUMBER(G140),G140,F140)-IF(ISNUMBER(G139),G139,F139))=0),"",(M140-M139)/((IF(ISNUMBER(G140),G140,F140)-IF(ISNUMBER(G139),G139,F139))/100))</f>
        <v/>
      </c>
      <c r="V140" s="29" t="n"/>
      <c r="W140" s="29" t="n"/>
      <c r="X140" s="32" t="n"/>
    </row>
    <row r="141">
      <c r="A141" s="26" t="inlineStr">
        <is>
          <t>S12</t>
        </is>
      </c>
      <c r="B141" s="26" t="inlineStr">
        <is>
          <t>순창 신규점</t>
        </is>
      </c>
      <c r="C141" s="26" t="inlineStr">
        <is>
          <t>S12-V</t>
        </is>
      </c>
      <c r="D141" s="47" t="n">
        <v>1</v>
      </c>
      <c r="E141" s="26" t="inlineStr">
        <is>
          <t>측정</t>
        </is>
      </c>
      <c r="F141" s="47" t="n">
        <v>60</v>
      </c>
      <c r="G141" s="41" t="n"/>
      <c r="H141" s="29" t="n"/>
      <c r="I141" s="43" t="n"/>
      <c r="J141" s="41" t="n"/>
      <c r="K141" s="41" t="n"/>
      <c r="L141" s="41" t="n"/>
      <c r="M141" s="31">
        <f>IF(COUNT(J141:L141)=0,"",MEDIAN(J141:L141))</f>
        <v/>
      </c>
      <c r="N141" s="26">
        <f>IF(COUNTIFS($C:$C,$C141,$D:$D,$D141,$E:$E,"기준(전)",$M:$M,"&gt;0")&lt;&gt;1,"기준(전) 유효 1개 아님",IF(COUNTIFS($C:$C,$C141,$D:$D,$D141,$E:$E,"기준(후)",$M:$M,"&gt;0")&lt;&gt;1,"기준(후) 유효 1개 아님",IF(NOT(AND(ISNUMBER(O141),ISNUMBER(Q141),ISNUMBER(I141))),"시각 결측",IF(Q141&lt;=O141,"기준 시각 역전",IF(OR(I141&lt;O141,I141&gt;Q141),"측정시각 구간 밖","OK")))))</f>
        <v/>
      </c>
      <c r="O141" s="48">
        <f>IF(COUNTIFS($C:$C,$C141,$D:$D,$D141,$E:$E,"기준(전)",$M:$M,"&gt;0")&lt;&gt;1,"",SUMIFS($I:$I,$C:$C,$C141,$D:$D,$D141,$E:$E,"기준(전)"))</f>
        <v/>
      </c>
      <c r="P141" s="31">
        <f>IF(COUNTIFS($C:$C,$C141,$D:$D,$D141,$E:$E,"기준(전)",$M:$M,"&gt;0")&lt;&gt;1,"",SUMIFS($M:$M,$C:$C,$C141,$D:$D,$D141,$E:$E,"기준(전)"))</f>
        <v/>
      </c>
      <c r="Q141" s="48">
        <f>IF(COUNTIFS($C:$C,$C141,$D:$D,$D141,$E:$E,"기준(후)",$M:$M,"&gt;0")&lt;&gt;1,"",SUMIFS($I:$I,$C:$C,$C141,$D:$D,$D141,$E:$E,"기준(후)"))</f>
        <v/>
      </c>
      <c r="R141" s="31">
        <f>IF(COUNTIFS($C:$C,$C141,$D:$D,$D141,$E:$E,"기준(후)",$M:$M,"&gt;0")&lt;&gt;1,"",SUMIFS($M:$M,$C:$C,$C141,$D:$D,$D141,$E:$E,"기준(후)"))</f>
        <v/>
      </c>
      <c r="S141" s="31">
        <f>IF(N141&lt;&gt;"OK","",P141+(R141-P141)*(I141-O141)/(Q141-O141))</f>
        <v/>
      </c>
      <c r="T141" s="31">
        <f>IF(OR(N141&lt;&gt;"OK",NOT(ISNUMBER(M141))),"",M141-S141)</f>
        <v/>
      </c>
      <c r="U141" s="49">
        <f>IF(OR($E140&lt;&gt;"측정",$C140&lt;&gt;$C141,$D140&lt;&gt;$D141,NOT(ISNUMBER(M141)),NOT(ISNUMBER(M140)),(IF(ISNUMBER(G141),G141,F141)-IF(ISNUMBER(G140),G140,F140))=0),"",(M141-M140)/((IF(ISNUMBER(G141),G141,F141)-IF(ISNUMBER(G140),G140,F140))/100))</f>
        <v/>
      </c>
      <c r="V141" s="29" t="n"/>
      <c r="W141" s="29" t="n"/>
      <c r="X141" s="32" t="n"/>
    </row>
    <row r="142">
      <c r="A142" s="26" t="inlineStr">
        <is>
          <t>S12</t>
        </is>
      </c>
      <c r="B142" s="26" t="inlineStr">
        <is>
          <t>순창 신규점</t>
        </is>
      </c>
      <c r="C142" s="26" t="inlineStr">
        <is>
          <t>S12-V</t>
        </is>
      </c>
      <c r="D142" s="47" t="n">
        <v>1</v>
      </c>
      <c r="E142" s="26" t="inlineStr">
        <is>
          <t>측정</t>
        </is>
      </c>
      <c r="F142" s="47" t="n">
        <v>80</v>
      </c>
      <c r="G142" s="41" t="n"/>
      <c r="H142" s="29" t="n"/>
      <c r="I142" s="43" t="n"/>
      <c r="J142" s="41" t="n"/>
      <c r="K142" s="41" t="n"/>
      <c r="L142" s="41" t="n"/>
      <c r="M142" s="31">
        <f>IF(COUNT(J142:L142)=0,"",MEDIAN(J142:L142))</f>
        <v/>
      </c>
      <c r="N142" s="26">
        <f>IF(COUNTIFS($C:$C,$C142,$D:$D,$D142,$E:$E,"기준(전)",$M:$M,"&gt;0")&lt;&gt;1,"기준(전) 유효 1개 아님",IF(COUNTIFS($C:$C,$C142,$D:$D,$D142,$E:$E,"기준(후)",$M:$M,"&gt;0")&lt;&gt;1,"기준(후) 유효 1개 아님",IF(NOT(AND(ISNUMBER(O142),ISNUMBER(Q142),ISNUMBER(I142))),"시각 결측",IF(Q142&lt;=O142,"기준 시각 역전",IF(OR(I142&lt;O142,I142&gt;Q142),"측정시각 구간 밖","OK")))))</f>
        <v/>
      </c>
      <c r="O142" s="48">
        <f>IF(COUNTIFS($C:$C,$C142,$D:$D,$D142,$E:$E,"기준(전)",$M:$M,"&gt;0")&lt;&gt;1,"",SUMIFS($I:$I,$C:$C,$C142,$D:$D,$D142,$E:$E,"기준(전)"))</f>
        <v/>
      </c>
      <c r="P142" s="31">
        <f>IF(COUNTIFS($C:$C,$C142,$D:$D,$D142,$E:$E,"기준(전)",$M:$M,"&gt;0")&lt;&gt;1,"",SUMIFS($M:$M,$C:$C,$C142,$D:$D,$D142,$E:$E,"기준(전)"))</f>
        <v/>
      </c>
      <c r="Q142" s="48">
        <f>IF(COUNTIFS($C:$C,$C142,$D:$D,$D142,$E:$E,"기준(후)",$M:$M,"&gt;0")&lt;&gt;1,"",SUMIFS($I:$I,$C:$C,$C142,$D:$D,$D142,$E:$E,"기준(후)"))</f>
        <v/>
      </c>
      <c r="R142" s="31">
        <f>IF(COUNTIFS($C:$C,$C142,$D:$D,$D142,$E:$E,"기준(후)",$M:$M,"&gt;0")&lt;&gt;1,"",SUMIFS($M:$M,$C:$C,$C142,$D:$D,$D142,$E:$E,"기준(후)"))</f>
        <v/>
      </c>
      <c r="S142" s="31">
        <f>IF(N142&lt;&gt;"OK","",P142+(R142-P142)*(I142-O142)/(Q142-O142))</f>
        <v/>
      </c>
      <c r="T142" s="31">
        <f>IF(OR(N142&lt;&gt;"OK",NOT(ISNUMBER(M142))),"",M142-S142)</f>
        <v/>
      </c>
      <c r="U142" s="49">
        <f>IF(OR($E141&lt;&gt;"측정",$C141&lt;&gt;$C142,$D141&lt;&gt;$D142,NOT(ISNUMBER(M142)),NOT(ISNUMBER(M141)),(IF(ISNUMBER(G142),G142,F142)-IF(ISNUMBER(G141),G141,F141))=0),"",(M142-M141)/((IF(ISNUMBER(G142),G142,F142)-IF(ISNUMBER(G141),G141,F141))/100))</f>
        <v/>
      </c>
      <c r="V142" s="29" t="n"/>
      <c r="W142" s="29" t="n"/>
      <c r="X142" s="32" t="n"/>
    </row>
    <row r="143">
      <c r="A143" s="26" t="inlineStr">
        <is>
          <t>S12</t>
        </is>
      </c>
      <c r="B143" s="26" t="inlineStr">
        <is>
          <t>순창 신규점</t>
        </is>
      </c>
      <c r="C143" s="26" t="inlineStr">
        <is>
          <t>S12-V</t>
        </is>
      </c>
      <c r="D143" s="47" t="n">
        <v>1</v>
      </c>
      <c r="E143" s="26" t="inlineStr">
        <is>
          <t>측정</t>
        </is>
      </c>
      <c r="F143" s="47" t="n">
        <v>100</v>
      </c>
      <c r="G143" s="41" t="n"/>
      <c r="H143" s="29" t="n"/>
      <c r="I143" s="43" t="n"/>
      <c r="J143" s="41" t="n"/>
      <c r="K143" s="41" t="n"/>
      <c r="L143" s="41" t="n"/>
      <c r="M143" s="31">
        <f>IF(COUNT(J143:L143)=0,"",MEDIAN(J143:L143))</f>
        <v/>
      </c>
      <c r="N143" s="26">
        <f>IF(COUNTIFS($C:$C,$C143,$D:$D,$D143,$E:$E,"기준(전)",$M:$M,"&gt;0")&lt;&gt;1,"기준(전) 유효 1개 아님",IF(COUNTIFS($C:$C,$C143,$D:$D,$D143,$E:$E,"기준(후)",$M:$M,"&gt;0")&lt;&gt;1,"기준(후) 유효 1개 아님",IF(NOT(AND(ISNUMBER(O143),ISNUMBER(Q143),ISNUMBER(I143))),"시각 결측",IF(Q143&lt;=O143,"기준 시각 역전",IF(OR(I143&lt;O143,I143&gt;Q143),"측정시각 구간 밖","OK")))))</f>
        <v/>
      </c>
      <c r="O143" s="48">
        <f>IF(COUNTIFS($C:$C,$C143,$D:$D,$D143,$E:$E,"기준(전)",$M:$M,"&gt;0")&lt;&gt;1,"",SUMIFS($I:$I,$C:$C,$C143,$D:$D,$D143,$E:$E,"기준(전)"))</f>
        <v/>
      </c>
      <c r="P143" s="31">
        <f>IF(COUNTIFS($C:$C,$C143,$D:$D,$D143,$E:$E,"기준(전)",$M:$M,"&gt;0")&lt;&gt;1,"",SUMIFS($M:$M,$C:$C,$C143,$D:$D,$D143,$E:$E,"기준(전)"))</f>
        <v/>
      </c>
      <c r="Q143" s="48">
        <f>IF(COUNTIFS($C:$C,$C143,$D:$D,$D143,$E:$E,"기준(후)",$M:$M,"&gt;0")&lt;&gt;1,"",SUMIFS($I:$I,$C:$C,$C143,$D:$D,$D143,$E:$E,"기준(후)"))</f>
        <v/>
      </c>
      <c r="R143" s="31">
        <f>IF(COUNTIFS($C:$C,$C143,$D:$D,$D143,$E:$E,"기준(후)",$M:$M,"&gt;0")&lt;&gt;1,"",SUMIFS($M:$M,$C:$C,$C143,$D:$D,$D143,$E:$E,"기준(후)"))</f>
        <v/>
      </c>
      <c r="S143" s="31">
        <f>IF(N143&lt;&gt;"OK","",P143+(R143-P143)*(I143-O143)/(Q143-O143))</f>
        <v/>
      </c>
      <c r="T143" s="31">
        <f>IF(OR(N143&lt;&gt;"OK",NOT(ISNUMBER(M143))),"",M143-S143)</f>
        <v/>
      </c>
      <c r="U143" s="49">
        <f>IF(OR($E142&lt;&gt;"측정",$C142&lt;&gt;$C143,$D142&lt;&gt;$D143,NOT(ISNUMBER(M143)),NOT(ISNUMBER(M142)),(IF(ISNUMBER(G143),G143,F143)-IF(ISNUMBER(G142),G142,F142))=0),"",(M143-M142)/((IF(ISNUMBER(G143),G143,F143)-IF(ISNUMBER(G142),G142,F142))/100))</f>
        <v/>
      </c>
      <c r="V143" s="29" t="n"/>
      <c r="W143" s="29" t="n"/>
      <c r="X143" s="32" t="n"/>
    </row>
    <row r="144">
      <c r="A144" s="26" t="inlineStr">
        <is>
          <t>S12</t>
        </is>
      </c>
      <c r="B144" s="26" t="inlineStr">
        <is>
          <t>순창 신규점</t>
        </is>
      </c>
      <c r="C144" s="26" t="inlineStr">
        <is>
          <t>S12-V</t>
        </is>
      </c>
      <c r="D144" s="47" t="n">
        <v>1</v>
      </c>
      <c r="E144" s="26" t="inlineStr">
        <is>
          <t>측정</t>
        </is>
      </c>
      <c r="F144" s="47" t="n">
        <v>120</v>
      </c>
      <c r="G144" s="41" t="n"/>
      <c r="H144" s="29" t="n"/>
      <c r="I144" s="43" t="n"/>
      <c r="J144" s="41" t="n"/>
      <c r="K144" s="41" t="n"/>
      <c r="L144" s="41" t="n"/>
      <c r="M144" s="31">
        <f>IF(COUNT(J144:L144)=0,"",MEDIAN(J144:L144))</f>
        <v/>
      </c>
      <c r="N144" s="26">
        <f>IF(COUNTIFS($C:$C,$C144,$D:$D,$D144,$E:$E,"기준(전)",$M:$M,"&gt;0")&lt;&gt;1,"기준(전) 유효 1개 아님",IF(COUNTIFS($C:$C,$C144,$D:$D,$D144,$E:$E,"기준(후)",$M:$M,"&gt;0")&lt;&gt;1,"기준(후) 유효 1개 아님",IF(NOT(AND(ISNUMBER(O144),ISNUMBER(Q144),ISNUMBER(I144))),"시각 결측",IF(Q144&lt;=O144,"기준 시각 역전",IF(OR(I144&lt;O144,I144&gt;Q144),"측정시각 구간 밖","OK")))))</f>
        <v/>
      </c>
      <c r="O144" s="48">
        <f>IF(COUNTIFS($C:$C,$C144,$D:$D,$D144,$E:$E,"기준(전)",$M:$M,"&gt;0")&lt;&gt;1,"",SUMIFS($I:$I,$C:$C,$C144,$D:$D,$D144,$E:$E,"기준(전)"))</f>
        <v/>
      </c>
      <c r="P144" s="31">
        <f>IF(COUNTIFS($C:$C,$C144,$D:$D,$D144,$E:$E,"기준(전)",$M:$M,"&gt;0")&lt;&gt;1,"",SUMIFS($M:$M,$C:$C,$C144,$D:$D,$D144,$E:$E,"기준(전)"))</f>
        <v/>
      </c>
      <c r="Q144" s="48">
        <f>IF(COUNTIFS($C:$C,$C144,$D:$D,$D144,$E:$E,"기준(후)",$M:$M,"&gt;0")&lt;&gt;1,"",SUMIFS($I:$I,$C:$C,$C144,$D:$D,$D144,$E:$E,"기준(후)"))</f>
        <v/>
      </c>
      <c r="R144" s="31">
        <f>IF(COUNTIFS($C:$C,$C144,$D:$D,$D144,$E:$E,"기준(후)",$M:$M,"&gt;0")&lt;&gt;1,"",SUMIFS($M:$M,$C:$C,$C144,$D:$D,$D144,$E:$E,"기준(후)"))</f>
        <v/>
      </c>
      <c r="S144" s="31">
        <f>IF(N144&lt;&gt;"OK","",P144+(R144-P144)*(I144-O144)/(Q144-O144))</f>
        <v/>
      </c>
      <c r="T144" s="31">
        <f>IF(OR(N144&lt;&gt;"OK",NOT(ISNUMBER(M144))),"",M144-S144)</f>
        <v/>
      </c>
      <c r="U144" s="49">
        <f>IF(OR($E143&lt;&gt;"측정",$C143&lt;&gt;$C144,$D143&lt;&gt;$D144,NOT(ISNUMBER(M144)),NOT(ISNUMBER(M143)),(IF(ISNUMBER(G144),G144,F144)-IF(ISNUMBER(G143),G143,F143))=0),"",(M144-M143)/((IF(ISNUMBER(G144),G144,F144)-IF(ISNUMBER(G143),G143,F143))/100))</f>
        <v/>
      </c>
      <c r="V144" s="29" t="n"/>
      <c r="W144" s="29" t="n"/>
      <c r="X144" s="32" t="n"/>
    </row>
    <row r="145">
      <c r="A145" s="26" t="inlineStr">
        <is>
          <t>S12</t>
        </is>
      </c>
      <c r="B145" s="26" t="inlineStr">
        <is>
          <t>순창 신규점</t>
        </is>
      </c>
      <c r="C145" s="26" t="inlineStr">
        <is>
          <t>S12-V</t>
        </is>
      </c>
      <c r="D145" s="47" t="n">
        <v>1</v>
      </c>
      <c r="E145" s="26" t="inlineStr">
        <is>
          <t>측정</t>
        </is>
      </c>
      <c r="F145" s="47" t="n">
        <v>140</v>
      </c>
      <c r="G145" s="41" t="n"/>
      <c r="H145" s="29" t="n"/>
      <c r="I145" s="43" t="n"/>
      <c r="J145" s="41" t="n"/>
      <c r="K145" s="41" t="n"/>
      <c r="L145" s="41" t="n"/>
      <c r="M145" s="31">
        <f>IF(COUNT(J145:L145)=0,"",MEDIAN(J145:L145))</f>
        <v/>
      </c>
      <c r="N145" s="26">
        <f>IF(COUNTIFS($C:$C,$C145,$D:$D,$D145,$E:$E,"기준(전)",$M:$M,"&gt;0")&lt;&gt;1,"기준(전) 유효 1개 아님",IF(COUNTIFS($C:$C,$C145,$D:$D,$D145,$E:$E,"기준(후)",$M:$M,"&gt;0")&lt;&gt;1,"기준(후) 유효 1개 아님",IF(NOT(AND(ISNUMBER(O145),ISNUMBER(Q145),ISNUMBER(I145))),"시각 결측",IF(Q145&lt;=O145,"기준 시각 역전",IF(OR(I145&lt;O145,I145&gt;Q145),"측정시각 구간 밖","OK")))))</f>
        <v/>
      </c>
      <c r="O145" s="48">
        <f>IF(COUNTIFS($C:$C,$C145,$D:$D,$D145,$E:$E,"기준(전)",$M:$M,"&gt;0")&lt;&gt;1,"",SUMIFS($I:$I,$C:$C,$C145,$D:$D,$D145,$E:$E,"기준(전)"))</f>
        <v/>
      </c>
      <c r="P145" s="31">
        <f>IF(COUNTIFS($C:$C,$C145,$D:$D,$D145,$E:$E,"기준(전)",$M:$M,"&gt;0")&lt;&gt;1,"",SUMIFS($M:$M,$C:$C,$C145,$D:$D,$D145,$E:$E,"기준(전)"))</f>
        <v/>
      </c>
      <c r="Q145" s="48">
        <f>IF(COUNTIFS($C:$C,$C145,$D:$D,$D145,$E:$E,"기준(후)",$M:$M,"&gt;0")&lt;&gt;1,"",SUMIFS($I:$I,$C:$C,$C145,$D:$D,$D145,$E:$E,"기준(후)"))</f>
        <v/>
      </c>
      <c r="R145" s="31">
        <f>IF(COUNTIFS($C:$C,$C145,$D:$D,$D145,$E:$E,"기준(후)",$M:$M,"&gt;0")&lt;&gt;1,"",SUMIFS($M:$M,$C:$C,$C145,$D:$D,$D145,$E:$E,"기준(후)"))</f>
        <v/>
      </c>
      <c r="S145" s="31">
        <f>IF(N145&lt;&gt;"OK","",P145+(R145-P145)*(I145-O145)/(Q145-O145))</f>
        <v/>
      </c>
      <c r="T145" s="31">
        <f>IF(OR(N145&lt;&gt;"OK",NOT(ISNUMBER(M145))),"",M145-S145)</f>
        <v/>
      </c>
      <c r="U145" s="49">
        <f>IF(OR($E144&lt;&gt;"측정",$C144&lt;&gt;$C145,$D144&lt;&gt;$D145,NOT(ISNUMBER(M145)),NOT(ISNUMBER(M144)),(IF(ISNUMBER(G145),G145,F145)-IF(ISNUMBER(G144),G144,F144))=0),"",(M145-M144)/((IF(ISNUMBER(G145),G145,F145)-IF(ISNUMBER(G144),G144,F144))/100))</f>
        <v/>
      </c>
      <c r="V145" s="29" t="n"/>
      <c r="W145" s="29" t="n"/>
      <c r="X145" s="32" t="n"/>
    </row>
    <row r="146">
      <c r="A146" s="26" t="inlineStr">
        <is>
          <t>S12</t>
        </is>
      </c>
      <c r="B146" s="26" t="inlineStr">
        <is>
          <t>순창 신규점</t>
        </is>
      </c>
      <c r="C146" s="26" t="inlineStr">
        <is>
          <t>S12-V</t>
        </is>
      </c>
      <c r="D146" s="47" t="n">
        <v>1</v>
      </c>
      <c r="E146" s="26" t="inlineStr">
        <is>
          <t>측정</t>
        </is>
      </c>
      <c r="F146" s="47" t="n">
        <v>160</v>
      </c>
      <c r="G146" s="41" t="n"/>
      <c r="H146" s="29" t="n"/>
      <c r="I146" s="43" t="n"/>
      <c r="J146" s="41" t="n"/>
      <c r="K146" s="41" t="n"/>
      <c r="L146" s="41" t="n"/>
      <c r="M146" s="31">
        <f>IF(COUNT(J146:L146)=0,"",MEDIAN(J146:L146))</f>
        <v/>
      </c>
      <c r="N146" s="26">
        <f>IF(COUNTIFS($C:$C,$C146,$D:$D,$D146,$E:$E,"기준(전)",$M:$M,"&gt;0")&lt;&gt;1,"기준(전) 유효 1개 아님",IF(COUNTIFS($C:$C,$C146,$D:$D,$D146,$E:$E,"기준(후)",$M:$M,"&gt;0")&lt;&gt;1,"기준(후) 유효 1개 아님",IF(NOT(AND(ISNUMBER(O146),ISNUMBER(Q146),ISNUMBER(I146))),"시각 결측",IF(Q146&lt;=O146,"기준 시각 역전",IF(OR(I146&lt;O146,I146&gt;Q146),"측정시각 구간 밖","OK")))))</f>
        <v/>
      </c>
      <c r="O146" s="48">
        <f>IF(COUNTIFS($C:$C,$C146,$D:$D,$D146,$E:$E,"기준(전)",$M:$M,"&gt;0")&lt;&gt;1,"",SUMIFS($I:$I,$C:$C,$C146,$D:$D,$D146,$E:$E,"기준(전)"))</f>
        <v/>
      </c>
      <c r="P146" s="31">
        <f>IF(COUNTIFS($C:$C,$C146,$D:$D,$D146,$E:$E,"기준(전)",$M:$M,"&gt;0")&lt;&gt;1,"",SUMIFS($M:$M,$C:$C,$C146,$D:$D,$D146,$E:$E,"기준(전)"))</f>
        <v/>
      </c>
      <c r="Q146" s="48">
        <f>IF(COUNTIFS($C:$C,$C146,$D:$D,$D146,$E:$E,"기준(후)",$M:$M,"&gt;0")&lt;&gt;1,"",SUMIFS($I:$I,$C:$C,$C146,$D:$D,$D146,$E:$E,"기준(후)"))</f>
        <v/>
      </c>
      <c r="R146" s="31">
        <f>IF(COUNTIFS($C:$C,$C146,$D:$D,$D146,$E:$E,"기준(후)",$M:$M,"&gt;0")&lt;&gt;1,"",SUMIFS($M:$M,$C:$C,$C146,$D:$D,$D146,$E:$E,"기준(후)"))</f>
        <v/>
      </c>
      <c r="S146" s="31">
        <f>IF(N146&lt;&gt;"OK","",P146+(R146-P146)*(I146-O146)/(Q146-O146))</f>
        <v/>
      </c>
      <c r="T146" s="31">
        <f>IF(OR(N146&lt;&gt;"OK",NOT(ISNUMBER(M146))),"",M146-S146)</f>
        <v/>
      </c>
      <c r="U146" s="49">
        <f>IF(OR($E145&lt;&gt;"측정",$C145&lt;&gt;$C146,$D145&lt;&gt;$D146,NOT(ISNUMBER(M146)),NOT(ISNUMBER(M145)),(IF(ISNUMBER(G146),G146,F146)-IF(ISNUMBER(G145),G145,F145))=0),"",(M146-M145)/((IF(ISNUMBER(G146),G146,F146)-IF(ISNUMBER(G145),G145,F145))/100))</f>
        <v/>
      </c>
      <c r="V146" s="29" t="n"/>
      <c r="W146" s="29" t="n"/>
      <c r="X146" s="32" t="n"/>
    </row>
    <row r="147">
      <c r="A147" s="26" t="inlineStr">
        <is>
          <t>S12</t>
        </is>
      </c>
      <c r="B147" s="26" t="inlineStr">
        <is>
          <t>순창 신규점</t>
        </is>
      </c>
      <c r="C147" s="26" t="inlineStr">
        <is>
          <t>S12-V</t>
        </is>
      </c>
      <c r="D147" s="47" t="n">
        <v>1</v>
      </c>
      <c r="E147" s="26" t="inlineStr">
        <is>
          <t>측정</t>
        </is>
      </c>
      <c r="F147" s="47" t="n">
        <v>180</v>
      </c>
      <c r="G147" s="41" t="n"/>
      <c r="H147" s="29" t="n"/>
      <c r="I147" s="43" t="n"/>
      <c r="J147" s="41" t="n"/>
      <c r="K147" s="41" t="n"/>
      <c r="L147" s="41" t="n"/>
      <c r="M147" s="31">
        <f>IF(COUNT(J147:L147)=0,"",MEDIAN(J147:L147))</f>
        <v/>
      </c>
      <c r="N147" s="26">
        <f>IF(COUNTIFS($C:$C,$C147,$D:$D,$D147,$E:$E,"기준(전)",$M:$M,"&gt;0")&lt;&gt;1,"기준(전) 유효 1개 아님",IF(COUNTIFS($C:$C,$C147,$D:$D,$D147,$E:$E,"기준(후)",$M:$M,"&gt;0")&lt;&gt;1,"기준(후) 유효 1개 아님",IF(NOT(AND(ISNUMBER(O147),ISNUMBER(Q147),ISNUMBER(I147))),"시각 결측",IF(Q147&lt;=O147,"기준 시각 역전",IF(OR(I147&lt;O147,I147&gt;Q147),"측정시각 구간 밖","OK")))))</f>
        <v/>
      </c>
      <c r="O147" s="48">
        <f>IF(COUNTIFS($C:$C,$C147,$D:$D,$D147,$E:$E,"기준(전)",$M:$M,"&gt;0")&lt;&gt;1,"",SUMIFS($I:$I,$C:$C,$C147,$D:$D,$D147,$E:$E,"기준(전)"))</f>
        <v/>
      </c>
      <c r="P147" s="31">
        <f>IF(COUNTIFS($C:$C,$C147,$D:$D,$D147,$E:$E,"기준(전)",$M:$M,"&gt;0")&lt;&gt;1,"",SUMIFS($M:$M,$C:$C,$C147,$D:$D,$D147,$E:$E,"기준(전)"))</f>
        <v/>
      </c>
      <c r="Q147" s="48">
        <f>IF(COUNTIFS($C:$C,$C147,$D:$D,$D147,$E:$E,"기준(후)",$M:$M,"&gt;0")&lt;&gt;1,"",SUMIFS($I:$I,$C:$C,$C147,$D:$D,$D147,$E:$E,"기준(후)"))</f>
        <v/>
      </c>
      <c r="R147" s="31">
        <f>IF(COUNTIFS($C:$C,$C147,$D:$D,$D147,$E:$E,"기준(후)",$M:$M,"&gt;0")&lt;&gt;1,"",SUMIFS($M:$M,$C:$C,$C147,$D:$D,$D147,$E:$E,"기준(후)"))</f>
        <v/>
      </c>
      <c r="S147" s="31">
        <f>IF(N147&lt;&gt;"OK","",P147+(R147-P147)*(I147-O147)/(Q147-O147))</f>
        <v/>
      </c>
      <c r="T147" s="31">
        <f>IF(OR(N147&lt;&gt;"OK",NOT(ISNUMBER(M147))),"",M147-S147)</f>
        <v/>
      </c>
      <c r="U147" s="49">
        <f>IF(OR($E146&lt;&gt;"측정",$C146&lt;&gt;$C147,$D146&lt;&gt;$D147,NOT(ISNUMBER(M147)),NOT(ISNUMBER(M146)),(IF(ISNUMBER(G147),G147,F147)-IF(ISNUMBER(G146),G146,F146))=0),"",(M147-M146)/((IF(ISNUMBER(G147),G147,F147)-IF(ISNUMBER(G146),G146,F146))/100))</f>
        <v/>
      </c>
      <c r="V147" s="29" t="n"/>
      <c r="W147" s="29" t="n"/>
      <c r="X147" s="32" t="n"/>
    </row>
    <row r="148">
      <c r="A148" s="26" t="inlineStr">
        <is>
          <t>S12</t>
        </is>
      </c>
      <c r="B148" s="26" t="inlineStr">
        <is>
          <t>순창 신규점</t>
        </is>
      </c>
      <c r="C148" s="26" t="inlineStr">
        <is>
          <t>S12-V</t>
        </is>
      </c>
      <c r="D148" s="47" t="n">
        <v>1</v>
      </c>
      <c r="E148" s="26" t="inlineStr">
        <is>
          <t>측정</t>
        </is>
      </c>
      <c r="F148" s="47" t="n">
        <v>200</v>
      </c>
      <c r="G148" s="41" t="n"/>
      <c r="H148" s="29" t="n"/>
      <c r="I148" s="43" t="n"/>
      <c r="J148" s="41" t="n"/>
      <c r="K148" s="41" t="n"/>
      <c r="L148" s="41" t="n"/>
      <c r="M148" s="31">
        <f>IF(COUNT(J148:L148)=0,"",MEDIAN(J148:L148))</f>
        <v/>
      </c>
      <c r="N148" s="26">
        <f>IF(COUNTIFS($C:$C,$C148,$D:$D,$D148,$E:$E,"기준(전)",$M:$M,"&gt;0")&lt;&gt;1,"기준(전) 유효 1개 아님",IF(COUNTIFS($C:$C,$C148,$D:$D,$D148,$E:$E,"기준(후)",$M:$M,"&gt;0")&lt;&gt;1,"기준(후) 유효 1개 아님",IF(NOT(AND(ISNUMBER(O148),ISNUMBER(Q148),ISNUMBER(I148))),"시각 결측",IF(Q148&lt;=O148,"기준 시각 역전",IF(OR(I148&lt;O148,I148&gt;Q148),"측정시각 구간 밖","OK")))))</f>
        <v/>
      </c>
      <c r="O148" s="48">
        <f>IF(COUNTIFS($C:$C,$C148,$D:$D,$D148,$E:$E,"기준(전)",$M:$M,"&gt;0")&lt;&gt;1,"",SUMIFS($I:$I,$C:$C,$C148,$D:$D,$D148,$E:$E,"기준(전)"))</f>
        <v/>
      </c>
      <c r="P148" s="31">
        <f>IF(COUNTIFS($C:$C,$C148,$D:$D,$D148,$E:$E,"기준(전)",$M:$M,"&gt;0")&lt;&gt;1,"",SUMIFS($M:$M,$C:$C,$C148,$D:$D,$D148,$E:$E,"기준(전)"))</f>
        <v/>
      </c>
      <c r="Q148" s="48">
        <f>IF(COUNTIFS($C:$C,$C148,$D:$D,$D148,$E:$E,"기준(후)",$M:$M,"&gt;0")&lt;&gt;1,"",SUMIFS($I:$I,$C:$C,$C148,$D:$D,$D148,$E:$E,"기준(후)"))</f>
        <v/>
      </c>
      <c r="R148" s="31">
        <f>IF(COUNTIFS($C:$C,$C148,$D:$D,$D148,$E:$E,"기준(후)",$M:$M,"&gt;0")&lt;&gt;1,"",SUMIFS($M:$M,$C:$C,$C148,$D:$D,$D148,$E:$E,"기준(후)"))</f>
        <v/>
      </c>
      <c r="S148" s="31">
        <f>IF(N148&lt;&gt;"OK","",P148+(R148-P148)*(I148-O148)/(Q148-O148))</f>
        <v/>
      </c>
      <c r="T148" s="31">
        <f>IF(OR(N148&lt;&gt;"OK",NOT(ISNUMBER(M148))),"",M148-S148)</f>
        <v/>
      </c>
      <c r="U148" s="49">
        <f>IF(OR($E147&lt;&gt;"측정",$C147&lt;&gt;$C148,$D147&lt;&gt;$D148,NOT(ISNUMBER(M148)),NOT(ISNUMBER(M147)),(IF(ISNUMBER(G148),G148,F148)-IF(ISNUMBER(G147),G147,F147))=0),"",(M148-M147)/((IF(ISNUMBER(G148),G148,F148)-IF(ISNUMBER(G147),G147,F147))/100))</f>
        <v/>
      </c>
      <c r="V148" s="29" t="n"/>
      <c r="W148" s="29" t="n"/>
      <c r="X148" s="32" t="n"/>
    </row>
    <row r="149">
      <c r="A149" s="44" t="inlineStr">
        <is>
          <t>S12</t>
        </is>
      </c>
      <c r="B149" s="44" t="inlineStr">
        <is>
          <t>순창 신규점</t>
        </is>
      </c>
      <c r="C149" s="44" t="inlineStr">
        <is>
          <t>S12-V</t>
        </is>
      </c>
      <c r="D149" s="45" t="n">
        <v>1</v>
      </c>
      <c r="E149" s="44" t="inlineStr">
        <is>
          <t>기준(후)</t>
        </is>
      </c>
      <c r="F149" s="45" t="n"/>
      <c r="G149" s="41" t="n"/>
      <c r="H149" s="29" t="n"/>
      <c r="I149" s="43" t="n"/>
      <c r="J149" s="41" t="n"/>
      <c r="K149" s="41" t="n"/>
      <c r="L149" s="41" t="n"/>
      <c r="M149" s="31">
        <f>IF(COUNT(J149:L149)=0,"",MEDIAN(J149:L149))</f>
        <v/>
      </c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29" t="n"/>
      <c r="W149" s="29" t="n"/>
      <c r="X149" s="32" t="n"/>
    </row>
    <row r="150">
      <c r="A150" s="44" t="inlineStr">
        <is>
          <t>S13</t>
        </is>
      </c>
      <c r="B150" s="44" t="inlineStr">
        <is>
          <t>순천 신규점</t>
        </is>
      </c>
      <c r="C150" s="44" t="inlineStr">
        <is>
          <t>S13-V</t>
        </is>
      </c>
      <c r="D150" s="45" t="n">
        <v>1</v>
      </c>
      <c r="E150" s="44" t="inlineStr">
        <is>
          <t>기준(전)</t>
        </is>
      </c>
      <c r="F150" s="45" t="n"/>
      <c r="G150" s="41" t="n"/>
      <c r="H150" s="29" t="n"/>
      <c r="I150" s="43" t="n"/>
      <c r="J150" s="41" t="n"/>
      <c r="K150" s="41" t="n"/>
      <c r="L150" s="41" t="n"/>
      <c r="M150" s="31">
        <f>IF(COUNT(J150:L150)=0,"",MEDIAN(J150:L150))</f>
        <v/>
      </c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29" t="n"/>
      <c r="W150" s="29" t="n"/>
      <c r="X150" s="32" t="n"/>
    </row>
    <row r="151">
      <c r="A151" s="26" t="inlineStr">
        <is>
          <t>S13</t>
        </is>
      </c>
      <c r="B151" s="26" t="inlineStr">
        <is>
          <t>순천 신규점</t>
        </is>
      </c>
      <c r="C151" s="26" t="inlineStr">
        <is>
          <t>S13-V</t>
        </is>
      </c>
      <c r="D151" s="47" t="n">
        <v>1</v>
      </c>
      <c r="E151" s="26" t="inlineStr">
        <is>
          <t>측정</t>
        </is>
      </c>
      <c r="F151" s="47" t="n">
        <v>20</v>
      </c>
      <c r="G151" s="41" t="n"/>
      <c r="H151" s="29" t="n"/>
      <c r="I151" s="43" t="n"/>
      <c r="J151" s="41" t="n"/>
      <c r="K151" s="41" t="n"/>
      <c r="L151" s="41" t="n"/>
      <c r="M151" s="31">
        <f>IF(COUNT(J151:L151)=0,"",MEDIAN(J151:L151))</f>
        <v/>
      </c>
      <c r="N151" s="26">
        <f>IF(COUNTIFS($C:$C,$C151,$D:$D,$D151,$E:$E,"기준(전)",$M:$M,"&gt;0")&lt;&gt;1,"기준(전) 유효 1개 아님",IF(COUNTIFS($C:$C,$C151,$D:$D,$D151,$E:$E,"기준(후)",$M:$M,"&gt;0")&lt;&gt;1,"기준(후) 유효 1개 아님",IF(NOT(AND(ISNUMBER(O151),ISNUMBER(Q151),ISNUMBER(I151))),"시각 결측",IF(Q151&lt;=O151,"기준 시각 역전",IF(OR(I151&lt;O151,I151&gt;Q151),"측정시각 구간 밖","OK")))))</f>
        <v/>
      </c>
      <c r="O151" s="48">
        <f>IF(COUNTIFS($C:$C,$C151,$D:$D,$D151,$E:$E,"기준(전)",$M:$M,"&gt;0")&lt;&gt;1,"",SUMIFS($I:$I,$C:$C,$C151,$D:$D,$D151,$E:$E,"기준(전)"))</f>
        <v/>
      </c>
      <c r="P151" s="31">
        <f>IF(COUNTIFS($C:$C,$C151,$D:$D,$D151,$E:$E,"기준(전)",$M:$M,"&gt;0")&lt;&gt;1,"",SUMIFS($M:$M,$C:$C,$C151,$D:$D,$D151,$E:$E,"기준(전)"))</f>
        <v/>
      </c>
      <c r="Q151" s="48">
        <f>IF(COUNTIFS($C:$C,$C151,$D:$D,$D151,$E:$E,"기준(후)",$M:$M,"&gt;0")&lt;&gt;1,"",SUMIFS($I:$I,$C:$C,$C151,$D:$D,$D151,$E:$E,"기준(후)"))</f>
        <v/>
      </c>
      <c r="R151" s="31">
        <f>IF(COUNTIFS($C:$C,$C151,$D:$D,$D151,$E:$E,"기준(후)",$M:$M,"&gt;0")&lt;&gt;1,"",SUMIFS($M:$M,$C:$C,$C151,$D:$D,$D151,$E:$E,"기준(후)"))</f>
        <v/>
      </c>
      <c r="S151" s="31">
        <f>IF(N151&lt;&gt;"OK","",P151+(R151-P151)*(I151-O151)/(Q151-O151))</f>
        <v/>
      </c>
      <c r="T151" s="31">
        <f>IF(OR(N151&lt;&gt;"OK",NOT(ISNUMBER(M151))),"",M151-S151)</f>
        <v/>
      </c>
      <c r="U151" s="49">
        <f>IF(OR($E150&lt;&gt;"측정",$C150&lt;&gt;$C151,$D150&lt;&gt;$D151,NOT(ISNUMBER(M151)),NOT(ISNUMBER(M150)),(IF(ISNUMBER(G151),G151,F151)-IF(ISNUMBER(G150),G150,F150))=0),"",(M151-M150)/((IF(ISNUMBER(G151),G151,F151)-IF(ISNUMBER(G150),G150,F150))/100))</f>
        <v/>
      </c>
      <c r="V151" s="29" t="n"/>
      <c r="W151" s="29" t="n"/>
      <c r="X151" s="32" t="n"/>
    </row>
    <row r="152">
      <c r="A152" s="26" t="inlineStr">
        <is>
          <t>S13</t>
        </is>
      </c>
      <c r="B152" s="26" t="inlineStr">
        <is>
          <t>순천 신규점</t>
        </is>
      </c>
      <c r="C152" s="26" t="inlineStr">
        <is>
          <t>S13-V</t>
        </is>
      </c>
      <c r="D152" s="47" t="n">
        <v>1</v>
      </c>
      <c r="E152" s="26" t="inlineStr">
        <is>
          <t>측정</t>
        </is>
      </c>
      <c r="F152" s="47" t="n">
        <v>40</v>
      </c>
      <c r="G152" s="41" t="n"/>
      <c r="H152" s="29" t="n"/>
      <c r="I152" s="43" t="n"/>
      <c r="J152" s="41" t="n"/>
      <c r="K152" s="41" t="n"/>
      <c r="L152" s="41" t="n"/>
      <c r="M152" s="31">
        <f>IF(COUNT(J152:L152)=0,"",MEDIAN(J152:L152))</f>
        <v/>
      </c>
      <c r="N152" s="26">
        <f>IF(COUNTIFS($C:$C,$C152,$D:$D,$D152,$E:$E,"기준(전)",$M:$M,"&gt;0")&lt;&gt;1,"기준(전) 유효 1개 아님",IF(COUNTIFS($C:$C,$C152,$D:$D,$D152,$E:$E,"기준(후)",$M:$M,"&gt;0")&lt;&gt;1,"기준(후) 유효 1개 아님",IF(NOT(AND(ISNUMBER(O152),ISNUMBER(Q152),ISNUMBER(I152))),"시각 결측",IF(Q152&lt;=O152,"기준 시각 역전",IF(OR(I152&lt;O152,I152&gt;Q152),"측정시각 구간 밖","OK")))))</f>
        <v/>
      </c>
      <c r="O152" s="48">
        <f>IF(COUNTIFS($C:$C,$C152,$D:$D,$D152,$E:$E,"기준(전)",$M:$M,"&gt;0")&lt;&gt;1,"",SUMIFS($I:$I,$C:$C,$C152,$D:$D,$D152,$E:$E,"기준(전)"))</f>
        <v/>
      </c>
      <c r="P152" s="31">
        <f>IF(COUNTIFS($C:$C,$C152,$D:$D,$D152,$E:$E,"기준(전)",$M:$M,"&gt;0")&lt;&gt;1,"",SUMIFS($M:$M,$C:$C,$C152,$D:$D,$D152,$E:$E,"기준(전)"))</f>
        <v/>
      </c>
      <c r="Q152" s="48">
        <f>IF(COUNTIFS($C:$C,$C152,$D:$D,$D152,$E:$E,"기준(후)",$M:$M,"&gt;0")&lt;&gt;1,"",SUMIFS($I:$I,$C:$C,$C152,$D:$D,$D152,$E:$E,"기준(후)"))</f>
        <v/>
      </c>
      <c r="R152" s="31">
        <f>IF(COUNTIFS($C:$C,$C152,$D:$D,$D152,$E:$E,"기준(후)",$M:$M,"&gt;0")&lt;&gt;1,"",SUMIFS($M:$M,$C:$C,$C152,$D:$D,$D152,$E:$E,"기준(후)"))</f>
        <v/>
      </c>
      <c r="S152" s="31">
        <f>IF(N152&lt;&gt;"OK","",P152+(R152-P152)*(I152-O152)/(Q152-O152))</f>
        <v/>
      </c>
      <c r="T152" s="31">
        <f>IF(OR(N152&lt;&gt;"OK",NOT(ISNUMBER(M152))),"",M152-S152)</f>
        <v/>
      </c>
      <c r="U152" s="49">
        <f>IF(OR($E151&lt;&gt;"측정",$C151&lt;&gt;$C152,$D151&lt;&gt;$D152,NOT(ISNUMBER(M152)),NOT(ISNUMBER(M151)),(IF(ISNUMBER(G152),G152,F152)-IF(ISNUMBER(G151),G151,F151))=0),"",(M152-M151)/((IF(ISNUMBER(G152),G152,F152)-IF(ISNUMBER(G151),G151,F151))/100))</f>
        <v/>
      </c>
      <c r="V152" s="29" t="n"/>
      <c r="W152" s="29" t="n"/>
      <c r="X152" s="32" t="n"/>
    </row>
    <row r="153">
      <c r="A153" s="26" t="inlineStr">
        <is>
          <t>S13</t>
        </is>
      </c>
      <c r="B153" s="26" t="inlineStr">
        <is>
          <t>순천 신규점</t>
        </is>
      </c>
      <c r="C153" s="26" t="inlineStr">
        <is>
          <t>S13-V</t>
        </is>
      </c>
      <c r="D153" s="47" t="n">
        <v>1</v>
      </c>
      <c r="E153" s="26" t="inlineStr">
        <is>
          <t>측정</t>
        </is>
      </c>
      <c r="F153" s="47" t="n">
        <v>60</v>
      </c>
      <c r="G153" s="41" t="n"/>
      <c r="H153" s="29" t="n"/>
      <c r="I153" s="43" t="n"/>
      <c r="J153" s="41" t="n"/>
      <c r="K153" s="41" t="n"/>
      <c r="L153" s="41" t="n"/>
      <c r="M153" s="31">
        <f>IF(COUNT(J153:L153)=0,"",MEDIAN(J153:L153))</f>
        <v/>
      </c>
      <c r="N153" s="26">
        <f>IF(COUNTIFS($C:$C,$C153,$D:$D,$D153,$E:$E,"기준(전)",$M:$M,"&gt;0")&lt;&gt;1,"기준(전) 유효 1개 아님",IF(COUNTIFS($C:$C,$C153,$D:$D,$D153,$E:$E,"기준(후)",$M:$M,"&gt;0")&lt;&gt;1,"기준(후) 유효 1개 아님",IF(NOT(AND(ISNUMBER(O153),ISNUMBER(Q153),ISNUMBER(I153))),"시각 결측",IF(Q153&lt;=O153,"기준 시각 역전",IF(OR(I153&lt;O153,I153&gt;Q153),"측정시각 구간 밖","OK")))))</f>
        <v/>
      </c>
      <c r="O153" s="48">
        <f>IF(COUNTIFS($C:$C,$C153,$D:$D,$D153,$E:$E,"기준(전)",$M:$M,"&gt;0")&lt;&gt;1,"",SUMIFS($I:$I,$C:$C,$C153,$D:$D,$D153,$E:$E,"기준(전)"))</f>
        <v/>
      </c>
      <c r="P153" s="31">
        <f>IF(COUNTIFS($C:$C,$C153,$D:$D,$D153,$E:$E,"기준(전)",$M:$M,"&gt;0")&lt;&gt;1,"",SUMIFS($M:$M,$C:$C,$C153,$D:$D,$D153,$E:$E,"기준(전)"))</f>
        <v/>
      </c>
      <c r="Q153" s="48">
        <f>IF(COUNTIFS($C:$C,$C153,$D:$D,$D153,$E:$E,"기준(후)",$M:$M,"&gt;0")&lt;&gt;1,"",SUMIFS($I:$I,$C:$C,$C153,$D:$D,$D153,$E:$E,"기준(후)"))</f>
        <v/>
      </c>
      <c r="R153" s="31">
        <f>IF(COUNTIFS($C:$C,$C153,$D:$D,$D153,$E:$E,"기준(후)",$M:$M,"&gt;0")&lt;&gt;1,"",SUMIFS($M:$M,$C:$C,$C153,$D:$D,$D153,$E:$E,"기준(후)"))</f>
        <v/>
      </c>
      <c r="S153" s="31">
        <f>IF(N153&lt;&gt;"OK","",P153+(R153-P153)*(I153-O153)/(Q153-O153))</f>
        <v/>
      </c>
      <c r="T153" s="31">
        <f>IF(OR(N153&lt;&gt;"OK",NOT(ISNUMBER(M153))),"",M153-S153)</f>
        <v/>
      </c>
      <c r="U153" s="49">
        <f>IF(OR($E152&lt;&gt;"측정",$C152&lt;&gt;$C153,$D152&lt;&gt;$D153,NOT(ISNUMBER(M153)),NOT(ISNUMBER(M152)),(IF(ISNUMBER(G153),G153,F153)-IF(ISNUMBER(G152),G152,F152))=0),"",(M153-M152)/((IF(ISNUMBER(G153),G153,F153)-IF(ISNUMBER(G152),G152,F152))/100))</f>
        <v/>
      </c>
      <c r="V153" s="29" t="n"/>
      <c r="W153" s="29" t="n"/>
      <c r="X153" s="32" t="n"/>
    </row>
    <row r="154">
      <c r="A154" s="26" t="inlineStr">
        <is>
          <t>S13</t>
        </is>
      </c>
      <c r="B154" s="26" t="inlineStr">
        <is>
          <t>순천 신규점</t>
        </is>
      </c>
      <c r="C154" s="26" t="inlineStr">
        <is>
          <t>S13-V</t>
        </is>
      </c>
      <c r="D154" s="47" t="n">
        <v>1</v>
      </c>
      <c r="E154" s="26" t="inlineStr">
        <is>
          <t>측정</t>
        </is>
      </c>
      <c r="F154" s="47" t="n">
        <v>80</v>
      </c>
      <c r="G154" s="41" t="n"/>
      <c r="H154" s="29" t="n"/>
      <c r="I154" s="43" t="n"/>
      <c r="J154" s="41" t="n"/>
      <c r="K154" s="41" t="n"/>
      <c r="L154" s="41" t="n"/>
      <c r="M154" s="31">
        <f>IF(COUNT(J154:L154)=0,"",MEDIAN(J154:L154))</f>
        <v/>
      </c>
      <c r="N154" s="26">
        <f>IF(COUNTIFS($C:$C,$C154,$D:$D,$D154,$E:$E,"기준(전)",$M:$M,"&gt;0")&lt;&gt;1,"기준(전) 유효 1개 아님",IF(COUNTIFS($C:$C,$C154,$D:$D,$D154,$E:$E,"기준(후)",$M:$M,"&gt;0")&lt;&gt;1,"기준(후) 유효 1개 아님",IF(NOT(AND(ISNUMBER(O154),ISNUMBER(Q154),ISNUMBER(I154))),"시각 결측",IF(Q154&lt;=O154,"기준 시각 역전",IF(OR(I154&lt;O154,I154&gt;Q154),"측정시각 구간 밖","OK")))))</f>
        <v/>
      </c>
      <c r="O154" s="48">
        <f>IF(COUNTIFS($C:$C,$C154,$D:$D,$D154,$E:$E,"기준(전)",$M:$M,"&gt;0")&lt;&gt;1,"",SUMIFS($I:$I,$C:$C,$C154,$D:$D,$D154,$E:$E,"기준(전)"))</f>
        <v/>
      </c>
      <c r="P154" s="31">
        <f>IF(COUNTIFS($C:$C,$C154,$D:$D,$D154,$E:$E,"기준(전)",$M:$M,"&gt;0")&lt;&gt;1,"",SUMIFS($M:$M,$C:$C,$C154,$D:$D,$D154,$E:$E,"기준(전)"))</f>
        <v/>
      </c>
      <c r="Q154" s="48">
        <f>IF(COUNTIFS($C:$C,$C154,$D:$D,$D154,$E:$E,"기준(후)",$M:$M,"&gt;0")&lt;&gt;1,"",SUMIFS($I:$I,$C:$C,$C154,$D:$D,$D154,$E:$E,"기준(후)"))</f>
        <v/>
      </c>
      <c r="R154" s="31">
        <f>IF(COUNTIFS($C:$C,$C154,$D:$D,$D154,$E:$E,"기준(후)",$M:$M,"&gt;0")&lt;&gt;1,"",SUMIFS($M:$M,$C:$C,$C154,$D:$D,$D154,$E:$E,"기준(후)"))</f>
        <v/>
      </c>
      <c r="S154" s="31">
        <f>IF(N154&lt;&gt;"OK","",P154+(R154-P154)*(I154-O154)/(Q154-O154))</f>
        <v/>
      </c>
      <c r="T154" s="31">
        <f>IF(OR(N154&lt;&gt;"OK",NOT(ISNUMBER(M154))),"",M154-S154)</f>
        <v/>
      </c>
      <c r="U154" s="49">
        <f>IF(OR($E153&lt;&gt;"측정",$C153&lt;&gt;$C154,$D153&lt;&gt;$D154,NOT(ISNUMBER(M154)),NOT(ISNUMBER(M153)),(IF(ISNUMBER(G154),G154,F154)-IF(ISNUMBER(G153),G153,F153))=0),"",(M154-M153)/((IF(ISNUMBER(G154),G154,F154)-IF(ISNUMBER(G153),G153,F153))/100))</f>
        <v/>
      </c>
      <c r="V154" s="29" t="n"/>
      <c r="W154" s="29" t="n"/>
      <c r="X154" s="32" t="n"/>
    </row>
    <row r="155">
      <c r="A155" s="26" t="inlineStr">
        <is>
          <t>S13</t>
        </is>
      </c>
      <c r="B155" s="26" t="inlineStr">
        <is>
          <t>순천 신규점</t>
        </is>
      </c>
      <c r="C155" s="26" t="inlineStr">
        <is>
          <t>S13-V</t>
        </is>
      </c>
      <c r="D155" s="47" t="n">
        <v>1</v>
      </c>
      <c r="E155" s="26" t="inlineStr">
        <is>
          <t>측정</t>
        </is>
      </c>
      <c r="F155" s="47" t="n">
        <v>100</v>
      </c>
      <c r="G155" s="41" t="n"/>
      <c r="H155" s="29" t="n"/>
      <c r="I155" s="43" t="n"/>
      <c r="J155" s="41" t="n"/>
      <c r="K155" s="41" t="n"/>
      <c r="L155" s="41" t="n"/>
      <c r="M155" s="31">
        <f>IF(COUNT(J155:L155)=0,"",MEDIAN(J155:L155))</f>
        <v/>
      </c>
      <c r="N155" s="26">
        <f>IF(COUNTIFS($C:$C,$C155,$D:$D,$D155,$E:$E,"기준(전)",$M:$M,"&gt;0")&lt;&gt;1,"기준(전) 유효 1개 아님",IF(COUNTIFS($C:$C,$C155,$D:$D,$D155,$E:$E,"기준(후)",$M:$M,"&gt;0")&lt;&gt;1,"기준(후) 유효 1개 아님",IF(NOT(AND(ISNUMBER(O155),ISNUMBER(Q155),ISNUMBER(I155))),"시각 결측",IF(Q155&lt;=O155,"기준 시각 역전",IF(OR(I155&lt;O155,I155&gt;Q155),"측정시각 구간 밖","OK")))))</f>
        <v/>
      </c>
      <c r="O155" s="48">
        <f>IF(COUNTIFS($C:$C,$C155,$D:$D,$D155,$E:$E,"기준(전)",$M:$M,"&gt;0")&lt;&gt;1,"",SUMIFS($I:$I,$C:$C,$C155,$D:$D,$D155,$E:$E,"기준(전)"))</f>
        <v/>
      </c>
      <c r="P155" s="31">
        <f>IF(COUNTIFS($C:$C,$C155,$D:$D,$D155,$E:$E,"기준(전)",$M:$M,"&gt;0")&lt;&gt;1,"",SUMIFS($M:$M,$C:$C,$C155,$D:$D,$D155,$E:$E,"기준(전)"))</f>
        <v/>
      </c>
      <c r="Q155" s="48">
        <f>IF(COUNTIFS($C:$C,$C155,$D:$D,$D155,$E:$E,"기준(후)",$M:$M,"&gt;0")&lt;&gt;1,"",SUMIFS($I:$I,$C:$C,$C155,$D:$D,$D155,$E:$E,"기준(후)"))</f>
        <v/>
      </c>
      <c r="R155" s="31">
        <f>IF(COUNTIFS($C:$C,$C155,$D:$D,$D155,$E:$E,"기준(후)",$M:$M,"&gt;0")&lt;&gt;1,"",SUMIFS($M:$M,$C:$C,$C155,$D:$D,$D155,$E:$E,"기준(후)"))</f>
        <v/>
      </c>
      <c r="S155" s="31">
        <f>IF(N155&lt;&gt;"OK","",P155+(R155-P155)*(I155-O155)/(Q155-O155))</f>
        <v/>
      </c>
      <c r="T155" s="31">
        <f>IF(OR(N155&lt;&gt;"OK",NOT(ISNUMBER(M155))),"",M155-S155)</f>
        <v/>
      </c>
      <c r="U155" s="49">
        <f>IF(OR($E154&lt;&gt;"측정",$C154&lt;&gt;$C155,$D154&lt;&gt;$D155,NOT(ISNUMBER(M155)),NOT(ISNUMBER(M154)),(IF(ISNUMBER(G155),G155,F155)-IF(ISNUMBER(G154),G154,F154))=0),"",(M155-M154)/((IF(ISNUMBER(G155),G155,F155)-IF(ISNUMBER(G154),G154,F154))/100))</f>
        <v/>
      </c>
      <c r="V155" s="29" t="n"/>
      <c r="W155" s="29" t="n"/>
      <c r="X155" s="32" t="n"/>
    </row>
    <row r="156">
      <c r="A156" s="26" t="inlineStr">
        <is>
          <t>S13</t>
        </is>
      </c>
      <c r="B156" s="26" t="inlineStr">
        <is>
          <t>순천 신규점</t>
        </is>
      </c>
      <c r="C156" s="26" t="inlineStr">
        <is>
          <t>S13-V</t>
        </is>
      </c>
      <c r="D156" s="47" t="n">
        <v>1</v>
      </c>
      <c r="E156" s="26" t="inlineStr">
        <is>
          <t>측정</t>
        </is>
      </c>
      <c r="F156" s="47" t="n">
        <v>120</v>
      </c>
      <c r="G156" s="41" t="n"/>
      <c r="H156" s="29" t="n"/>
      <c r="I156" s="43" t="n"/>
      <c r="J156" s="41" t="n"/>
      <c r="K156" s="41" t="n"/>
      <c r="L156" s="41" t="n"/>
      <c r="M156" s="31">
        <f>IF(COUNT(J156:L156)=0,"",MEDIAN(J156:L156))</f>
        <v/>
      </c>
      <c r="N156" s="26">
        <f>IF(COUNTIFS($C:$C,$C156,$D:$D,$D156,$E:$E,"기준(전)",$M:$M,"&gt;0")&lt;&gt;1,"기준(전) 유효 1개 아님",IF(COUNTIFS($C:$C,$C156,$D:$D,$D156,$E:$E,"기준(후)",$M:$M,"&gt;0")&lt;&gt;1,"기준(후) 유효 1개 아님",IF(NOT(AND(ISNUMBER(O156),ISNUMBER(Q156),ISNUMBER(I156))),"시각 결측",IF(Q156&lt;=O156,"기준 시각 역전",IF(OR(I156&lt;O156,I156&gt;Q156),"측정시각 구간 밖","OK")))))</f>
        <v/>
      </c>
      <c r="O156" s="48">
        <f>IF(COUNTIFS($C:$C,$C156,$D:$D,$D156,$E:$E,"기준(전)",$M:$M,"&gt;0")&lt;&gt;1,"",SUMIFS($I:$I,$C:$C,$C156,$D:$D,$D156,$E:$E,"기준(전)"))</f>
        <v/>
      </c>
      <c r="P156" s="31">
        <f>IF(COUNTIFS($C:$C,$C156,$D:$D,$D156,$E:$E,"기준(전)",$M:$M,"&gt;0")&lt;&gt;1,"",SUMIFS($M:$M,$C:$C,$C156,$D:$D,$D156,$E:$E,"기준(전)"))</f>
        <v/>
      </c>
      <c r="Q156" s="48">
        <f>IF(COUNTIFS($C:$C,$C156,$D:$D,$D156,$E:$E,"기준(후)",$M:$M,"&gt;0")&lt;&gt;1,"",SUMIFS($I:$I,$C:$C,$C156,$D:$D,$D156,$E:$E,"기준(후)"))</f>
        <v/>
      </c>
      <c r="R156" s="31">
        <f>IF(COUNTIFS($C:$C,$C156,$D:$D,$D156,$E:$E,"기준(후)",$M:$M,"&gt;0")&lt;&gt;1,"",SUMIFS($M:$M,$C:$C,$C156,$D:$D,$D156,$E:$E,"기준(후)"))</f>
        <v/>
      </c>
      <c r="S156" s="31">
        <f>IF(N156&lt;&gt;"OK","",P156+(R156-P156)*(I156-O156)/(Q156-O156))</f>
        <v/>
      </c>
      <c r="T156" s="31">
        <f>IF(OR(N156&lt;&gt;"OK",NOT(ISNUMBER(M156))),"",M156-S156)</f>
        <v/>
      </c>
      <c r="U156" s="49">
        <f>IF(OR($E155&lt;&gt;"측정",$C155&lt;&gt;$C156,$D155&lt;&gt;$D156,NOT(ISNUMBER(M156)),NOT(ISNUMBER(M155)),(IF(ISNUMBER(G156),G156,F156)-IF(ISNUMBER(G155),G155,F155))=0),"",(M156-M155)/((IF(ISNUMBER(G156),G156,F156)-IF(ISNUMBER(G155),G155,F155))/100))</f>
        <v/>
      </c>
      <c r="V156" s="29" t="n"/>
      <c r="W156" s="29" t="n"/>
      <c r="X156" s="32" t="n"/>
    </row>
    <row r="157">
      <c r="A157" s="26" t="inlineStr">
        <is>
          <t>S13</t>
        </is>
      </c>
      <c r="B157" s="26" t="inlineStr">
        <is>
          <t>순천 신규점</t>
        </is>
      </c>
      <c r="C157" s="26" t="inlineStr">
        <is>
          <t>S13-V</t>
        </is>
      </c>
      <c r="D157" s="47" t="n">
        <v>1</v>
      </c>
      <c r="E157" s="26" t="inlineStr">
        <is>
          <t>측정</t>
        </is>
      </c>
      <c r="F157" s="47" t="n">
        <v>140</v>
      </c>
      <c r="G157" s="41" t="n"/>
      <c r="H157" s="29" t="n"/>
      <c r="I157" s="43" t="n"/>
      <c r="J157" s="41" t="n"/>
      <c r="K157" s="41" t="n"/>
      <c r="L157" s="41" t="n"/>
      <c r="M157" s="31">
        <f>IF(COUNT(J157:L157)=0,"",MEDIAN(J157:L157))</f>
        <v/>
      </c>
      <c r="N157" s="26">
        <f>IF(COUNTIFS($C:$C,$C157,$D:$D,$D157,$E:$E,"기준(전)",$M:$M,"&gt;0")&lt;&gt;1,"기준(전) 유효 1개 아님",IF(COUNTIFS($C:$C,$C157,$D:$D,$D157,$E:$E,"기준(후)",$M:$M,"&gt;0")&lt;&gt;1,"기준(후) 유효 1개 아님",IF(NOT(AND(ISNUMBER(O157),ISNUMBER(Q157),ISNUMBER(I157))),"시각 결측",IF(Q157&lt;=O157,"기준 시각 역전",IF(OR(I157&lt;O157,I157&gt;Q157),"측정시각 구간 밖","OK")))))</f>
        <v/>
      </c>
      <c r="O157" s="48">
        <f>IF(COUNTIFS($C:$C,$C157,$D:$D,$D157,$E:$E,"기준(전)",$M:$M,"&gt;0")&lt;&gt;1,"",SUMIFS($I:$I,$C:$C,$C157,$D:$D,$D157,$E:$E,"기준(전)"))</f>
        <v/>
      </c>
      <c r="P157" s="31">
        <f>IF(COUNTIFS($C:$C,$C157,$D:$D,$D157,$E:$E,"기준(전)",$M:$M,"&gt;0")&lt;&gt;1,"",SUMIFS($M:$M,$C:$C,$C157,$D:$D,$D157,$E:$E,"기준(전)"))</f>
        <v/>
      </c>
      <c r="Q157" s="48">
        <f>IF(COUNTIFS($C:$C,$C157,$D:$D,$D157,$E:$E,"기준(후)",$M:$M,"&gt;0")&lt;&gt;1,"",SUMIFS($I:$I,$C:$C,$C157,$D:$D,$D157,$E:$E,"기준(후)"))</f>
        <v/>
      </c>
      <c r="R157" s="31">
        <f>IF(COUNTIFS($C:$C,$C157,$D:$D,$D157,$E:$E,"기준(후)",$M:$M,"&gt;0")&lt;&gt;1,"",SUMIFS($M:$M,$C:$C,$C157,$D:$D,$D157,$E:$E,"기준(후)"))</f>
        <v/>
      </c>
      <c r="S157" s="31">
        <f>IF(N157&lt;&gt;"OK","",P157+(R157-P157)*(I157-O157)/(Q157-O157))</f>
        <v/>
      </c>
      <c r="T157" s="31">
        <f>IF(OR(N157&lt;&gt;"OK",NOT(ISNUMBER(M157))),"",M157-S157)</f>
        <v/>
      </c>
      <c r="U157" s="49">
        <f>IF(OR($E156&lt;&gt;"측정",$C156&lt;&gt;$C157,$D156&lt;&gt;$D157,NOT(ISNUMBER(M157)),NOT(ISNUMBER(M156)),(IF(ISNUMBER(G157),G157,F157)-IF(ISNUMBER(G156),G156,F156))=0),"",(M157-M156)/((IF(ISNUMBER(G157),G157,F157)-IF(ISNUMBER(G156),G156,F156))/100))</f>
        <v/>
      </c>
      <c r="V157" s="29" t="n"/>
      <c r="W157" s="29" t="n"/>
      <c r="X157" s="32" t="n"/>
    </row>
    <row r="158">
      <c r="A158" s="26" t="inlineStr">
        <is>
          <t>S13</t>
        </is>
      </c>
      <c r="B158" s="26" t="inlineStr">
        <is>
          <t>순천 신규점</t>
        </is>
      </c>
      <c r="C158" s="26" t="inlineStr">
        <is>
          <t>S13-V</t>
        </is>
      </c>
      <c r="D158" s="47" t="n">
        <v>1</v>
      </c>
      <c r="E158" s="26" t="inlineStr">
        <is>
          <t>측정</t>
        </is>
      </c>
      <c r="F158" s="47" t="n">
        <v>160</v>
      </c>
      <c r="G158" s="41" t="n"/>
      <c r="H158" s="29" t="n"/>
      <c r="I158" s="43" t="n"/>
      <c r="J158" s="41" t="n"/>
      <c r="K158" s="41" t="n"/>
      <c r="L158" s="41" t="n"/>
      <c r="M158" s="31">
        <f>IF(COUNT(J158:L158)=0,"",MEDIAN(J158:L158))</f>
        <v/>
      </c>
      <c r="N158" s="26">
        <f>IF(COUNTIFS($C:$C,$C158,$D:$D,$D158,$E:$E,"기준(전)",$M:$M,"&gt;0")&lt;&gt;1,"기준(전) 유효 1개 아님",IF(COUNTIFS($C:$C,$C158,$D:$D,$D158,$E:$E,"기준(후)",$M:$M,"&gt;0")&lt;&gt;1,"기준(후) 유효 1개 아님",IF(NOT(AND(ISNUMBER(O158),ISNUMBER(Q158),ISNUMBER(I158))),"시각 결측",IF(Q158&lt;=O158,"기준 시각 역전",IF(OR(I158&lt;O158,I158&gt;Q158),"측정시각 구간 밖","OK")))))</f>
        <v/>
      </c>
      <c r="O158" s="48">
        <f>IF(COUNTIFS($C:$C,$C158,$D:$D,$D158,$E:$E,"기준(전)",$M:$M,"&gt;0")&lt;&gt;1,"",SUMIFS($I:$I,$C:$C,$C158,$D:$D,$D158,$E:$E,"기준(전)"))</f>
        <v/>
      </c>
      <c r="P158" s="31">
        <f>IF(COUNTIFS($C:$C,$C158,$D:$D,$D158,$E:$E,"기준(전)",$M:$M,"&gt;0")&lt;&gt;1,"",SUMIFS($M:$M,$C:$C,$C158,$D:$D,$D158,$E:$E,"기준(전)"))</f>
        <v/>
      </c>
      <c r="Q158" s="48">
        <f>IF(COUNTIFS($C:$C,$C158,$D:$D,$D158,$E:$E,"기준(후)",$M:$M,"&gt;0")&lt;&gt;1,"",SUMIFS($I:$I,$C:$C,$C158,$D:$D,$D158,$E:$E,"기준(후)"))</f>
        <v/>
      </c>
      <c r="R158" s="31">
        <f>IF(COUNTIFS($C:$C,$C158,$D:$D,$D158,$E:$E,"기준(후)",$M:$M,"&gt;0")&lt;&gt;1,"",SUMIFS($M:$M,$C:$C,$C158,$D:$D,$D158,$E:$E,"기준(후)"))</f>
        <v/>
      </c>
      <c r="S158" s="31">
        <f>IF(N158&lt;&gt;"OK","",P158+(R158-P158)*(I158-O158)/(Q158-O158))</f>
        <v/>
      </c>
      <c r="T158" s="31">
        <f>IF(OR(N158&lt;&gt;"OK",NOT(ISNUMBER(M158))),"",M158-S158)</f>
        <v/>
      </c>
      <c r="U158" s="49">
        <f>IF(OR($E157&lt;&gt;"측정",$C157&lt;&gt;$C158,$D157&lt;&gt;$D158,NOT(ISNUMBER(M158)),NOT(ISNUMBER(M157)),(IF(ISNUMBER(G158),G158,F158)-IF(ISNUMBER(G157),G157,F157))=0),"",(M158-M157)/((IF(ISNUMBER(G158),G158,F158)-IF(ISNUMBER(G157),G157,F157))/100))</f>
        <v/>
      </c>
      <c r="V158" s="29" t="n"/>
      <c r="W158" s="29" t="n"/>
      <c r="X158" s="32" t="n"/>
    </row>
    <row r="159">
      <c r="A159" s="26" t="inlineStr">
        <is>
          <t>S13</t>
        </is>
      </c>
      <c r="B159" s="26" t="inlineStr">
        <is>
          <t>순천 신규점</t>
        </is>
      </c>
      <c r="C159" s="26" t="inlineStr">
        <is>
          <t>S13-V</t>
        </is>
      </c>
      <c r="D159" s="47" t="n">
        <v>1</v>
      </c>
      <c r="E159" s="26" t="inlineStr">
        <is>
          <t>측정</t>
        </is>
      </c>
      <c r="F159" s="47" t="n">
        <v>180</v>
      </c>
      <c r="G159" s="41" t="n"/>
      <c r="H159" s="29" t="n"/>
      <c r="I159" s="43" t="n"/>
      <c r="J159" s="41" t="n"/>
      <c r="K159" s="41" t="n"/>
      <c r="L159" s="41" t="n"/>
      <c r="M159" s="31">
        <f>IF(COUNT(J159:L159)=0,"",MEDIAN(J159:L159))</f>
        <v/>
      </c>
      <c r="N159" s="26">
        <f>IF(COUNTIFS($C:$C,$C159,$D:$D,$D159,$E:$E,"기준(전)",$M:$M,"&gt;0")&lt;&gt;1,"기준(전) 유효 1개 아님",IF(COUNTIFS($C:$C,$C159,$D:$D,$D159,$E:$E,"기준(후)",$M:$M,"&gt;0")&lt;&gt;1,"기준(후) 유효 1개 아님",IF(NOT(AND(ISNUMBER(O159),ISNUMBER(Q159),ISNUMBER(I159))),"시각 결측",IF(Q159&lt;=O159,"기준 시각 역전",IF(OR(I159&lt;O159,I159&gt;Q159),"측정시각 구간 밖","OK")))))</f>
        <v/>
      </c>
      <c r="O159" s="48">
        <f>IF(COUNTIFS($C:$C,$C159,$D:$D,$D159,$E:$E,"기준(전)",$M:$M,"&gt;0")&lt;&gt;1,"",SUMIFS($I:$I,$C:$C,$C159,$D:$D,$D159,$E:$E,"기준(전)"))</f>
        <v/>
      </c>
      <c r="P159" s="31">
        <f>IF(COUNTIFS($C:$C,$C159,$D:$D,$D159,$E:$E,"기준(전)",$M:$M,"&gt;0")&lt;&gt;1,"",SUMIFS($M:$M,$C:$C,$C159,$D:$D,$D159,$E:$E,"기준(전)"))</f>
        <v/>
      </c>
      <c r="Q159" s="48">
        <f>IF(COUNTIFS($C:$C,$C159,$D:$D,$D159,$E:$E,"기준(후)",$M:$M,"&gt;0")&lt;&gt;1,"",SUMIFS($I:$I,$C:$C,$C159,$D:$D,$D159,$E:$E,"기준(후)"))</f>
        <v/>
      </c>
      <c r="R159" s="31">
        <f>IF(COUNTIFS($C:$C,$C159,$D:$D,$D159,$E:$E,"기준(후)",$M:$M,"&gt;0")&lt;&gt;1,"",SUMIFS($M:$M,$C:$C,$C159,$D:$D,$D159,$E:$E,"기준(후)"))</f>
        <v/>
      </c>
      <c r="S159" s="31">
        <f>IF(N159&lt;&gt;"OK","",P159+(R159-P159)*(I159-O159)/(Q159-O159))</f>
        <v/>
      </c>
      <c r="T159" s="31">
        <f>IF(OR(N159&lt;&gt;"OK",NOT(ISNUMBER(M159))),"",M159-S159)</f>
        <v/>
      </c>
      <c r="U159" s="49">
        <f>IF(OR($E158&lt;&gt;"측정",$C158&lt;&gt;$C159,$D158&lt;&gt;$D159,NOT(ISNUMBER(M159)),NOT(ISNUMBER(M158)),(IF(ISNUMBER(G159),G159,F159)-IF(ISNUMBER(G158),G158,F158))=0),"",(M159-M158)/((IF(ISNUMBER(G159),G159,F159)-IF(ISNUMBER(G158),G158,F158))/100))</f>
        <v/>
      </c>
      <c r="V159" s="29" t="n"/>
      <c r="W159" s="29" t="n"/>
      <c r="X159" s="32" t="n"/>
    </row>
    <row r="160">
      <c r="A160" s="26" t="inlineStr">
        <is>
          <t>S13</t>
        </is>
      </c>
      <c r="B160" s="26" t="inlineStr">
        <is>
          <t>순천 신규점</t>
        </is>
      </c>
      <c r="C160" s="26" t="inlineStr">
        <is>
          <t>S13-V</t>
        </is>
      </c>
      <c r="D160" s="47" t="n">
        <v>1</v>
      </c>
      <c r="E160" s="26" t="inlineStr">
        <is>
          <t>측정</t>
        </is>
      </c>
      <c r="F160" s="47" t="n">
        <v>200</v>
      </c>
      <c r="G160" s="41" t="n"/>
      <c r="H160" s="29" t="n"/>
      <c r="I160" s="43" t="n"/>
      <c r="J160" s="41" t="n"/>
      <c r="K160" s="41" t="n"/>
      <c r="L160" s="41" t="n"/>
      <c r="M160" s="31">
        <f>IF(COUNT(J160:L160)=0,"",MEDIAN(J160:L160))</f>
        <v/>
      </c>
      <c r="N160" s="26">
        <f>IF(COUNTIFS($C:$C,$C160,$D:$D,$D160,$E:$E,"기준(전)",$M:$M,"&gt;0")&lt;&gt;1,"기준(전) 유효 1개 아님",IF(COUNTIFS($C:$C,$C160,$D:$D,$D160,$E:$E,"기준(후)",$M:$M,"&gt;0")&lt;&gt;1,"기준(후) 유효 1개 아님",IF(NOT(AND(ISNUMBER(O160),ISNUMBER(Q160),ISNUMBER(I160))),"시각 결측",IF(Q160&lt;=O160,"기준 시각 역전",IF(OR(I160&lt;O160,I160&gt;Q160),"측정시각 구간 밖","OK")))))</f>
        <v/>
      </c>
      <c r="O160" s="48">
        <f>IF(COUNTIFS($C:$C,$C160,$D:$D,$D160,$E:$E,"기준(전)",$M:$M,"&gt;0")&lt;&gt;1,"",SUMIFS($I:$I,$C:$C,$C160,$D:$D,$D160,$E:$E,"기준(전)"))</f>
        <v/>
      </c>
      <c r="P160" s="31">
        <f>IF(COUNTIFS($C:$C,$C160,$D:$D,$D160,$E:$E,"기준(전)",$M:$M,"&gt;0")&lt;&gt;1,"",SUMIFS($M:$M,$C:$C,$C160,$D:$D,$D160,$E:$E,"기준(전)"))</f>
        <v/>
      </c>
      <c r="Q160" s="48">
        <f>IF(COUNTIFS($C:$C,$C160,$D:$D,$D160,$E:$E,"기준(후)",$M:$M,"&gt;0")&lt;&gt;1,"",SUMIFS($I:$I,$C:$C,$C160,$D:$D,$D160,$E:$E,"기준(후)"))</f>
        <v/>
      </c>
      <c r="R160" s="31">
        <f>IF(COUNTIFS($C:$C,$C160,$D:$D,$D160,$E:$E,"기준(후)",$M:$M,"&gt;0")&lt;&gt;1,"",SUMIFS($M:$M,$C:$C,$C160,$D:$D,$D160,$E:$E,"기준(후)"))</f>
        <v/>
      </c>
      <c r="S160" s="31">
        <f>IF(N160&lt;&gt;"OK","",P160+(R160-P160)*(I160-O160)/(Q160-O160))</f>
        <v/>
      </c>
      <c r="T160" s="31">
        <f>IF(OR(N160&lt;&gt;"OK",NOT(ISNUMBER(M160))),"",M160-S160)</f>
        <v/>
      </c>
      <c r="U160" s="49">
        <f>IF(OR($E159&lt;&gt;"측정",$C159&lt;&gt;$C160,$D159&lt;&gt;$D160,NOT(ISNUMBER(M160)),NOT(ISNUMBER(M159)),(IF(ISNUMBER(G160),G160,F160)-IF(ISNUMBER(G159),G159,F159))=0),"",(M160-M159)/((IF(ISNUMBER(G160),G160,F160)-IF(ISNUMBER(G159),G159,F159))/100))</f>
        <v/>
      </c>
      <c r="V160" s="29" t="n"/>
      <c r="W160" s="29" t="n"/>
      <c r="X160" s="32" t="n"/>
    </row>
    <row r="161">
      <c r="A161" s="44" t="inlineStr">
        <is>
          <t>S13</t>
        </is>
      </c>
      <c r="B161" s="44" t="inlineStr">
        <is>
          <t>순천 신규점</t>
        </is>
      </c>
      <c r="C161" s="44" t="inlineStr">
        <is>
          <t>S13-V</t>
        </is>
      </c>
      <c r="D161" s="45" t="n">
        <v>1</v>
      </c>
      <c r="E161" s="44" t="inlineStr">
        <is>
          <t>기준(후)</t>
        </is>
      </c>
      <c r="F161" s="45" t="n"/>
      <c r="G161" s="41" t="n"/>
      <c r="H161" s="29" t="n"/>
      <c r="I161" s="43" t="n"/>
      <c r="J161" s="41" t="n"/>
      <c r="K161" s="41" t="n"/>
      <c r="L161" s="41" t="n"/>
      <c r="M161" s="31">
        <f>IF(COUNT(J161:L161)=0,"",MEDIAN(J161:L161))</f>
        <v/>
      </c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29" t="n"/>
      <c r="W161" s="29" t="n"/>
      <c r="X161" s="32" t="n"/>
    </row>
    <row r="162">
      <c r="A162" s="44" t="inlineStr">
        <is>
          <t>S14</t>
        </is>
      </c>
      <c r="B162" s="44" t="inlineStr">
        <is>
          <t>청송 신규점1</t>
        </is>
      </c>
      <c r="C162" s="44" t="inlineStr">
        <is>
          <t>S14-V</t>
        </is>
      </c>
      <c r="D162" s="45" t="n">
        <v>1</v>
      </c>
      <c r="E162" s="44" t="inlineStr">
        <is>
          <t>기준(전)</t>
        </is>
      </c>
      <c r="F162" s="45" t="n"/>
      <c r="G162" s="41" t="n"/>
      <c r="H162" s="29" t="n"/>
      <c r="I162" s="43" t="n"/>
      <c r="J162" s="41" t="n"/>
      <c r="K162" s="41" t="n"/>
      <c r="L162" s="41" t="n"/>
      <c r="M162" s="31">
        <f>IF(COUNT(J162:L162)=0,"",MEDIAN(J162:L162))</f>
        <v/>
      </c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29" t="n"/>
      <c r="W162" s="29" t="n"/>
      <c r="X162" s="32" t="n"/>
    </row>
    <row r="163">
      <c r="A163" s="26" t="inlineStr">
        <is>
          <t>S14</t>
        </is>
      </c>
      <c r="B163" s="26" t="inlineStr">
        <is>
          <t>청송 신규점1</t>
        </is>
      </c>
      <c r="C163" s="26" t="inlineStr">
        <is>
          <t>S14-V</t>
        </is>
      </c>
      <c r="D163" s="47" t="n">
        <v>1</v>
      </c>
      <c r="E163" s="26" t="inlineStr">
        <is>
          <t>측정</t>
        </is>
      </c>
      <c r="F163" s="47" t="n">
        <v>20</v>
      </c>
      <c r="G163" s="41" t="n"/>
      <c r="H163" s="29" t="n"/>
      <c r="I163" s="43" t="n"/>
      <c r="J163" s="41" t="n"/>
      <c r="K163" s="41" t="n"/>
      <c r="L163" s="41" t="n"/>
      <c r="M163" s="31">
        <f>IF(COUNT(J163:L163)=0,"",MEDIAN(J163:L163))</f>
        <v/>
      </c>
      <c r="N163" s="26">
        <f>IF(COUNTIFS($C:$C,$C163,$D:$D,$D163,$E:$E,"기준(전)",$M:$M,"&gt;0")&lt;&gt;1,"기준(전) 유효 1개 아님",IF(COUNTIFS($C:$C,$C163,$D:$D,$D163,$E:$E,"기준(후)",$M:$M,"&gt;0")&lt;&gt;1,"기준(후) 유효 1개 아님",IF(NOT(AND(ISNUMBER(O163),ISNUMBER(Q163),ISNUMBER(I163))),"시각 결측",IF(Q163&lt;=O163,"기준 시각 역전",IF(OR(I163&lt;O163,I163&gt;Q163),"측정시각 구간 밖","OK")))))</f>
        <v/>
      </c>
      <c r="O163" s="48">
        <f>IF(COUNTIFS($C:$C,$C163,$D:$D,$D163,$E:$E,"기준(전)",$M:$M,"&gt;0")&lt;&gt;1,"",SUMIFS($I:$I,$C:$C,$C163,$D:$D,$D163,$E:$E,"기준(전)"))</f>
        <v/>
      </c>
      <c r="P163" s="31">
        <f>IF(COUNTIFS($C:$C,$C163,$D:$D,$D163,$E:$E,"기준(전)",$M:$M,"&gt;0")&lt;&gt;1,"",SUMIFS($M:$M,$C:$C,$C163,$D:$D,$D163,$E:$E,"기준(전)"))</f>
        <v/>
      </c>
      <c r="Q163" s="48">
        <f>IF(COUNTIFS($C:$C,$C163,$D:$D,$D163,$E:$E,"기준(후)",$M:$M,"&gt;0")&lt;&gt;1,"",SUMIFS($I:$I,$C:$C,$C163,$D:$D,$D163,$E:$E,"기준(후)"))</f>
        <v/>
      </c>
      <c r="R163" s="31">
        <f>IF(COUNTIFS($C:$C,$C163,$D:$D,$D163,$E:$E,"기준(후)",$M:$M,"&gt;0")&lt;&gt;1,"",SUMIFS($M:$M,$C:$C,$C163,$D:$D,$D163,$E:$E,"기준(후)"))</f>
        <v/>
      </c>
      <c r="S163" s="31">
        <f>IF(N163&lt;&gt;"OK","",P163+(R163-P163)*(I163-O163)/(Q163-O163))</f>
        <v/>
      </c>
      <c r="T163" s="31">
        <f>IF(OR(N163&lt;&gt;"OK",NOT(ISNUMBER(M163))),"",M163-S163)</f>
        <v/>
      </c>
      <c r="U163" s="49">
        <f>IF(OR($E162&lt;&gt;"측정",$C162&lt;&gt;$C163,$D162&lt;&gt;$D163,NOT(ISNUMBER(M163)),NOT(ISNUMBER(M162)),(IF(ISNUMBER(G163),G163,F163)-IF(ISNUMBER(G162),G162,F162))=0),"",(M163-M162)/((IF(ISNUMBER(G163),G163,F163)-IF(ISNUMBER(G162),G162,F162))/100))</f>
        <v/>
      </c>
      <c r="V163" s="29" t="n"/>
      <c r="W163" s="29" t="n"/>
      <c r="X163" s="32" t="n"/>
    </row>
    <row r="164">
      <c r="A164" s="26" t="inlineStr">
        <is>
          <t>S14</t>
        </is>
      </c>
      <c r="B164" s="26" t="inlineStr">
        <is>
          <t>청송 신규점1</t>
        </is>
      </c>
      <c r="C164" s="26" t="inlineStr">
        <is>
          <t>S14-V</t>
        </is>
      </c>
      <c r="D164" s="47" t="n">
        <v>1</v>
      </c>
      <c r="E164" s="26" t="inlineStr">
        <is>
          <t>측정</t>
        </is>
      </c>
      <c r="F164" s="47" t="n">
        <v>40</v>
      </c>
      <c r="G164" s="41" t="n"/>
      <c r="H164" s="29" t="n"/>
      <c r="I164" s="43" t="n"/>
      <c r="J164" s="41" t="n"/>
      <c r="K164" s="41" t="n"/>
      <c r="L164" s="41" t="n"/>
      <c r="M164" s="31">
        <f>IF(COUNT(J164:L164)=0,"",MEDIAN(J164:L164))</f>
        <v/>
      </c>
      <c r="N164" s="26">
        <f>IF(COUNTIFS($C:$C,$C164,$D:$D,$D164,$E:$E,"기준(전)",$M:$M,"&gt;0")&lt;&gt;1,"기준(전) 유효 1개 아님",IF(COUNTIFS($C:$C,$C164,$D:$D,$D164,$E:$E,"기준(후)",$M:$M,"&gt;0")&lt;&gt;1,"기준(후) 유효 1개 아님",IF(NOT(AND(ISNUMBER(O164),ISNUMBER(Q164),ISNUMBER(I164))),"시각 결측",IF(Q164&lt;=O164,"기준 시각 역전",IF(OR(I164&lt;O164,I164&gt;Q164),"측정시각 구간 밖","OK")))))</f>
        <v/>
      </c>
      <c r="O164" s="48">
        <f>IF(COUNTIFS($C:$C,$C164,$D:$D,$D164,$E:$E,"기준(전)",$M:$M,"&gt;0")&lt;&gt;1,"",SUMIFS($I:$I,$C:$C,$C164,$D:$D,$D164,$E:$E,"기준(전)"))</f>
        <v/>
      </c>
      <c r="P164" s="31">
        <f>IF(COUNTIFS($C:$C,$C164,$D:$D,$D164,$E:$E,"기준(전)",$M:$M,"&gt;0")&lt;&gt;1,"",SUMIFS($M:$M,$C:$C,$C164,$D:$D,$D164,$E:$E,"기준(전)"))</f>
        <v/>
      </c>
      <c r="Q164" s="48">
        <f>IF(COUNTIFS($C:$C,$C164,$D:$D,$D164,$E:$E,"기준(후)",$M:$M,"&gt;0")&lt;&gt;1,"",SUMIFS($I:$I,$C:$C,$C164,$D:$D,$D164,$E:$E,"기준(후)"))</f>
        <v/>
      </c>
      <c r="R164" s="31">
        <f>IF(COUNTIFS($C:$C,$C164,$D:$D,$D164,$E:$E,"기준(후)",$M:$M,"&gt;0")&lt;&gt;1,"",SUMIFS($M:$M,$C:$C,$C164,$D:$D,$D164,$E:$E,"기준(후)"))</f>
        <v/>
      </c>
      <c r="S164" s="31">
        <f>IF(N164&lt;&gt;"OK","",P164+(R164-P164)*(I164-O164)/(Q164-O164))</f>
        <v/>
      </c>
      <c r="T164" s="31">
        <f>IF(OR(N164&lt;&gt;"OK",NOT(ISNUMBER(M164))),"",M164-S164)</f>
        <v/>
      </c>
      <c r="U164" s="49">
        <f>IF(OR($E163&lt;&gt;"측정",$C163&lt;&gt;$C164,$D163&lt;&gt;$D164,NOT(ISNUMBER(M164)),NOT(ISNUMBER(M163)),(IF(ISNUMBER(G164),G164,F164)-IF(ISNUMBER(G163),G163,F163))=0),"",(M164-M163)/((IF(ISNUMBER(G164),G164,F164)-IF(ISNUMBER(G163),G163,F163))/100))</f>
        <v/>
      </c>
      <c r="V164" s="29" t="n"/>
      <c r="W164" s="29" t="n"/>
      <c r="X164" s="32" t="n"/>
    </row>
    <row r="165">
      <c r="A165" s="26" t="inlineStr">
        <is>
          <t>S14</t>
        </is>
      </c>
      <c r="B165" s="26" t="inlineStr">
        <is>
          <t>청송 신규점1</t>
        </is>
      </c>
      <c r="C165" s="26" t="inlineStr">
        <is>
          <t>S14-V</t>
        </is>
      </c>
      <c r="D165" s="47" t="n">
        <v>1</v>
      </c>
      <c r="E165" s="26" t="inlineStr">
        <is>
          <t>측정</t>
        </is>
      </c>
      <c r="F165" s="47" t="n">
        <v>60</v>
      </c>
      <c r="G165" s="41" t="n"/>
      <c r="H165" s="29" t="n"/>
      <c r="I165" s="43" t="n"/>
      <c r="J165" s="41" t="n"/>
      <c r="K165" s="41" t="n"/>
      <c r="L165" s="41" t="n"/>
      <c r="M165" s="31">
        <f>IF(COUNT(J165:L165)=0,"",MEDIAN(J165:L165))</f>
        <v/>
      </c>
      <c r="N165" s="26">
        <f>IF(COUNTIFS($C:$C,$C165,$D:$D,$D165,$E:$E,"기준(전)",$M:$M,"&gt;0")&lt;&gt;1,"기준(전) 유효 1개 아님",IF(COUNTIFS($C:$C,$C165,$D:$D,$D165,$E:$E,"기준(후)",$M:$M,"&gt;0")&lt;&gt;1,"기준(후) 유효 1개 아님",IF(NOT(AND(ISNUMBER(O165),ISNUMBER(Q165),ISNUMBER(I165))),"시각 결측",IF(Q165&lt;=O165,"기준 시각 역전",IF(OR(I165&lt;O165,I165&gt;Q165),"측정시각 구간 밖","OK")))))</f>
        <v/>
      </c>
      <c r="O165" s="48">
        <f>IF(COUNTIFS($C:$C,$C165,$D:$D,$D165,$E:$E,"기준(전)",$M:$M,"&gt;0")&lt;&gt;1,"",SUMIFS($I:$I,$C:$C,$C165,$D:$D,$D165,$E:$E,"기준(전)"))</f>
        <v/>
      </c>
      <c r="P165" s="31">
        <f>IF(COUNTIFS($C:$C,$C165,$D:$D,$D165,$E:$E,"기준(전)",$M:$M,"&gt;0")&lt;&gt;1,"",SUMIFS($M:$M,$C:$C,$C165,$D:$D,$D165,$E:$E,"기준(전)"))</f>
        <v/>
      </c>
      <c r="Q165" s="48">
        <f>IF(COUNTIFS($C:$C,$C165,$D:$D,$D165,$E:$E,"기준(후)",$M:$M,"&gt;0")&lt;&gt;1,"",SUMIFS($I:$I,$C:$C,$C165,$D:$D,$D165,$E:$E,"기준(후)"))</f>
        <v/>
      </c>
      <c r="R165" s="31">
        <f>IF(COUNTIFS($C:$C,$C165,$D:$D,$D165,$E:$E,"기준(후)",$M:$M,"&gt;0")&lt;&gt;1,"",SUMIFS($M:$M,$C:$C,$C165,$D:$D,$D165,$E:$E,"기준(후)"))</f>
        <v/>
      </c>
      <c r="S165" s="31">
        <f>IF(N165&lt;&gt;"OK","",P165+(R165-P165)*(I165-O165)/(Q165-O165))</f>
        <v/>
      </c>
      <c r="T165" s="31">
        <f>IF(OR(N165&lt;&gt;"OK",NOT(ISNUMBER(M165))),"",M165-S165)</f>
        <v/>
      </c>
      <c r="U165" s="49">
        <f>IF(OR($E164&lt;&gt;"측정",$C164&lt;&gt;$C165,$D164&lt;&gt;$D165,NOT(ISNUMBER(M165)),NOT(ISNUMBER(M164)),(IF(ISNUMBER(G165),G165,F165)-IF(ISNUMBER(G164),G164,F164))=0),"",(M165-M164)/((IF(ISNUMBER(G165),G165,F165)-IF(ISNUMBER(G164),G164,F164))/100))</f>
        <v/>
      </c>
      <c r="V165" s="29" t="n"/>
      <c r="W165" s="29" t="n"/>
      <c r="X165" s="32" t="n"/>
    </row>
    <row r="166">
      <c r="A166" s="26" t="inlineStr">
        <is>
          <t>S14</t>
        </is>
      </c>
      <c r="B166" s="26" t="inlineStr">
        <is>
          <t>청송 신규점1</t>
        </is>
      </c>
      <c r="C166" s="26" t="inlineStr">
        <is>
          <t>S14-V</t>
        </is>
      </c>
      <c r="D166" s="47" t="n">
        <v>1</v>
      </c>
      <c r="E166" s="26" t="inlineStr">
        <is>
          <t>측정</t>
        </is>
      </c>
      <c r="F166" s="47" t="n">
        <v>80</v>
      </c>
      <c r="G166" s="41" t="n"/>
      <c r="H166" s="29" t="n"/>
      <c r="I166" s="43" t="n"/>
      <c r="J166" s="41" t="n"/>
      <c r="K166" s="41" t="n"/>
      <c r="L166" s="41" t="n"/>
      <c r="M166" s="31">
        <f>IF(COUNT(J166:L166)=0,"",MEDIAN(J166:L166))</f>
        <v/>
      </c>
      <c r="N166" s="26">
        <f>IF(COUNTIFS($C:$C,$C166,$D:$D,$D166,$E:$E,"기준(전)",$M:$M,"&gt;0")&lt;&gt;1,"기준(전) 유효 1개 아님",IF(COUNTIFS($C:$C,$C166,$D:$D,$D166,$E:$E,"기준(후)",$M:$M,"&gt;0")&lt;&gt;1,"기준(후) 유효 1개 아님",IF(NOT(AND(ISNUMBER(O166),ISNUMBER(Q166),ISNUMBER(I166))),"시각 결측",IF(Q166&lt;=O166,"기준 시각 역전",IF(OR(I166&lt;O166,I166&gt;Q166),"측정시각 구간 밖","OK")))))</f>
        <v/>
      </c>
      <c r="O166" s="48">
        <f>IF(COUNTIFS($C:$C,$C166,$D:$D,$D166,$E:$E,"기준(전)",$M:$M,"&gt;0")&lt;&gt;1,"",SUMIFS($I:$I,$C:$C,$C166,$D:$D,$D166,$E:$E,"기준(전)"))</f>
        <v/>
      </c>
      <c r="P166" s="31">
        <f>IF(COUNTIFS($C:$C,$C166,$D:$D,$D166,$E:$E,"기준(전)",$M:$M,"&gt;0")&lt;&gt;1,"",SUMIFS($M:$M,$C:$C,$C166,$D:$D,$D166,$E:$E,"기준(전)"))</f>
        <v/>
      </c>
      <c r="Q166" s="48">
        <f>IF(COUNTIFS($C:$C,$C166,$D:$D,$D166,$E:$E,"기준(후)",$M:$M,"&gt;0")&lt;&gt;1,"",SUMIFS($I:$I,$C:$C,$C166,$D:$D,$D166,$E:$E,"기준(후)"))</f>
        <v/>
      </c>
      <c r="R166" s="31">
        <f>IF(COUNTIFS($C:$C,$C166,$D:$D,$D166,$E:$E,"기준(후)",$M:$M,"&gt;0")&lt;&gt;1,"",SUMIFS($M:$M,$C:$C,$C166,$D:$D,$D166,$E:$E,"기준(후)"))</f>
        <v/>
      </c>
      <c r="S166" s="31">
        <f>IF(N166&lt;&gt;"OK","",P166+(R166-P166)*(I166-O166)/(Q166-O166))</f>
        <v/>
      </c>
      <c r="T166" s="31">
        <f>IF(OR(N166&lt;&gt;"OK",NOT(ISNUMBER(M166))),"",M166-S166)</f>
        <v/>
      </c>
      <c r="U166" s="49">
        <f>IF(OR($E165&lt;&gt;"측정",$C165&lt;&gt;$C166,$D165&lt;&gt;$D166,NOT(ISNUMBER(M166)),NOT(ISNUMBER(M165)),(IF(ISNUMBER(G166),G166,F166)-IF(ISNUMBER(G165),G165,F165))=0),"",(M166-M165)/((IF(ISNUMBER(G166),G166,F166)-IF(ISNUMBER(G165),G165,F165))/100))</f>
        <v/>
      </c>
      <c r="V166" s="29" t="n"/>
      <c r="W166" s="29" t="n"/>
      <c r="X166" s="32" t="n"/>
    </row>
    <row r="167">
      <c r="A167" s="26" t="inlineStr">
        <is>
          <t>S14</t>
        </is>
      </c>
      <c r="B167" s="26" t="inlineStr">
        <is>
          <t>청송 신규점1</t>
        </is>
      </c>
      <c r="C167" s="26" t="inlineStr">
        <is>
          <t>S14-V</t>
        </is>
      </c>
      <c r="D167" s="47" t="n">
        <v>1</v>
      </c>
      <c r="E167" s="26" t="inlineStr">
        <is>
          <t>측정</t>
        </is>
      </c>
      <c r="F167" s="47" t="n">
        <v>100</v>
      </c>
      <c r="G167" s="41" t="n"/>
      <c r="H167" s="29" t="n"/>
      <c r="I167" s="43" t="n"/>
      <c r="J167" s="41" t="n"/>
      <c r="K167" s="41" t="n"/>
      <c r="L167" s="41" t="n"/>
      <c r="M167" s="31">
        <f>IF(COUNT(J167:L167)=0,"",MEDIAN(J167:L167))</f>
        <v/>
      </c>
      <c r="N167" s="26">
        <f>IF(COUNTIFS($C:$C,$C167,$D:$D,$D167,$E:$E,"기준(전)",$M:$M,"&gt;0")&lt;&gt;1,"기준(전) 유효 1개 아님",IF(COUNTIFS($C:$C,$C167,$D:$D,$D167,$E:$E,"기준(후)",$M:$M,"&gt;0")&lt;&gt;1,"기준(후) 유효 1개 아님",IF(NOT(AND(ISNUMBER(O167),ISNUMBER(Q167),ISNUMBER(I167))),"시각 결측",IF(Q167&lt;=O167,"기준 시각 역전",IF(OR(I167&lt;O167,I167&gt;Q167),"측정시각 구간 밖","OK")))))</f>
        <v/>
      </c>
      <c r="O167" s="48">
        <f>IF(COUNTIFS($C:$C,$C167,$D:$D,$D167,$E:$E,"기준(전)",$M:$M,"&gt;0")&lt;&gt;1,"",SUMIFS($I:$I,$C:$C,$C167,$D:$D,$D167,$E:$E,"기준(전)"))</f>
        <v/>
      </c>
      <c r="P167" s="31">
        <f>IF(COUNTIFS($C:$C,$C167,$D:$D,$D167,$E:$E,"기준(전)",$M:$M,"&gt;0")&lt;&gt;1,"",SUMIFS($M:$M,$C:$C,$C167,$D:$D,$D167,$E:$E,"기준(전)"))</f>
        <v/>
      </c>
      <c r="Q167" s="48">
        <f>IF(COUNTIFS($C:$C,$C167,$D:$D,$D167,$E:$E,"기준(후)",$M:$M,"&gt;0")&lt;&gt;1,"",SUMIFS($I:$I,$C:$C,$C167,$D:$D,$D167,$E:$E,"기준(후)"))</f>
        <v/>
      </c>
      <c r="R167" s="31">
        <f>IF(COUNTIFS($C:$C,$C167,$D:$D,$D167,$E:$E,"기준(후)",$M:$M,"&gt;0")&lt;&gt;1,"",SUMIFS($M:$M,$C:$C,$C167,$D:$D,$D167,$E:$E,"기준(후)"))</f>
        <v/>
      </c>
      <c r="S167" s="31">
        <f>IF(N167&lt;&gt;"OK","",P167+(R167-P167)*(I167-O167)/(Q167-O167))</f>
        <v/>
      </c>
      <c r="T167" s="31">
        <f>IF(OR(N167&lt;&gt;"OK",NOT(ISNUMBER(M167))),"",M167-S167)</f>
        <v/>
      </c>
      <c r="U167" s="49">
        <f>IF(OR($E166&lt;&gt;"측정",$C166&lt;&gt;$C167,$D166&lt;&gt;$D167,NOT(ISNUMBER(M167)),NOT(ISNUMBER(M166)),(IF(ISNUMBER(G167),G167,F167)-IF(ISNUMBER(G166),G166,F166))=0),"",(M167-M166)/((IF(ISNUMBER(G167),G167,F167)-IF(ISNUMBER(G166),G166,F166))/100))</f>
        <v/>
      </c>
      <c r="V167" s="29" t="n"/>
      <c r="W167" s="29" t="n"/>
      <c r="X167" s="32" t="n"/>
    </row>
    <row r="168">
      <c r="A168" s="26" t="inlineStr">
        <is>
          <t>S14</t>
        </is>
      </c>
      <c r="B168" s="26" t="inlineStr">
        <is>
          <t>청송 신규점1</t>
        </is>
      </c>
      <c r="C168" s="26" t="inlineStr">
        <is>
          <t>S14-V</t>
        </is>
      </c>
      <c r="D168" s="47" t="n">
        <v>1</v>
      </c>
      <c r="E168" s="26" t="inlineStr">
        <is>
          <t>측정</t>
        </is>
      </c>
      <c r="F168" s="47" t="n">
        <v>120</v>
      </c>
      <c r="G168" s="41" t="n"/>
      <c r="H168" s="29" t="n"/>
      <c r="I168" s="43" t="n"/>
      <c r="J168" s="41" t="n"/>
      <c r="K168" s="41" t="n"/>
      <c r="L168" s="41" t="n"/>
      <c r="M168" s="31">
        <f>IF(COUNT(J168:L168)=0,"",MEDIAN(J168:L168))</f>
        <v/>
      </c>
      <c r="N168" s="26">
        <f>IF(COUNTIFS($C:$C,$C168,$D:$D,$D168,$E:$E,"기준(전)",$M:$M,"&gt;0")&lt;&gt;1,"기준(전) 유효 1개 아님",IF(COUNTIFS($C:$C,$C168,$D:$D,$D168,$E:$E,"기준(후)",$M:$M,"&gt;0")&lt;&gt;1,"기준(후) 유효 1개 아님",IF(NOT(AND(ISNUMBER(O168),ISNUMBER(Q168),ISNUMBER(I168))),"시각 결측",IF(Q168&lt;=O168,"기준 시각 역전",IF(OR(I168&lt;O168,I168&gt;Q168),"측정시각 구간 밖","OK")))))</f>
        <v/>
      </c>
      <c r="O168" s="48">
        <f>IF(COUNTIFS($C:$C,$C168,$D:$D,$D168,$E:$E,"기준(전)",$M:$M,"&gt;0")&lt;&gt;1,"",SUMIFS($I:$I,$C:$C,$C168,$D:$D,$D168,$E:$E,"기준(전)"))</f>
        <v/>
      </c>
      <c r="P168" s="31">
        <f>IF(COUNTIFS($C:$C,$C168,$D:$D,$D168,$E:$E,"기준(전)",$M:$M,"&gt;0")&lt;&gt;1,"",SUMIFS($M:$M,$C:$C,$C168,$D:$D,$D168,$E:$E,"기준(전)"))</f>
        <v/>
      </c>
      <c r="Q168" s="48">
        <f>IF(COUNTIFS($C:$C,$C168,$D:$D,$D168,$E:$E,"기준(후)",$M:$M,"&gt;0")&lt;&gt;1,"",SUMIFS($I:$I,$C:$C,$C168,$D:$D,$D168,$E:$E,"기준(후)"))</f>
        <v/>
      </c>
      <c r="R168" s="31">
        <f>IF(COUNTIFS($C:$C,$C168,$D:$D,$D168,$E:$E,"기준(후)",$M:$M,"&gt;0")&lt;&gt;1,"",SUMIFS($M:$M,$C:$C,$C168,$D:$D,$D168,$E:$E,"기준(후)"))</f>
        <v/>
      </c>
      <c r="S168" s="31">
        <f>IF(N168&lt;&gt;"OK","",P168+(R168-P168)*(I168-O168)/(Q168-O168))</f>
        <v/>
      </c>
      <c r="T168" s="31">
        <f>IF(OR(N168&lt;&gt;"OK",NOT(ISNUMBER(M168))),"",M168-S168)</f>
        <v/>
      </c>
      <c r="U168" s="49">
        <f>IF(OR($E167&lt;&gt;"측정",$C167&lt;&gt;$C168,$D167&lt;&gt;$D168,NOT(ISNUMBER(M168)),NOT(ISNUMBER(M167)),(IF(ISNUMBER(G168),G168,F168)-IF(ISNUMBER(G167),G167,F167))=0),"",(M168-M167)/((IF(ISNUMBER(G168),G168,F168)-IF(ISNUMBER(G167),G167,F167))/100))</f>
        <v/>
      </c>
      <c r="V168" s="29" t="n"/>
      <c r="W168" s="29" t="n"/>
      <c r="X168" s="32" t="n"/>
    </row>
    <row r="169">
      <c r="A169" s="26" t="inlineStr">
        <is>
          <t>S14</t>
        </is>
      </c>
      <c r="B169" s="26" t="inlineStr">
        <is>
          <t>청송 신규점1</t>
        </is>
      </c>
      <c r="C169" s="26" t="inlineStr">
        <is>
          <t>S14-V</t>
        </is>
      </c>
      <c r="D169" s="47" t="n">
        <v>1</v>
      </c>
      <c r="E169" s="26" t="inlineStr">
        <is>
          <t>측정</t>
        </is>
      </c>
      <c r="F169" s="47" t="n">
        <v>140</v>
      </c>
      <c r="G169" s="41" t="n"/>
      <c r="H169" s="29" t="n"/>
      <c r="I169" s="43" t="n"/>
      <c r="J169" s="41" t="n"/>
      <c r="K169" s="41" t="n"/>
      <c r="L169" s="41" t="n"/>
      <c r="M169" s="31">
        <f>IF(COUNT(J169:L169)=0,"",MEDIAN(J169:L169))</f>
        <v/>
      </c>
      <c r="N169" s="26">
        <f>IF(COUNTIFS($C:$C,$C169,$D:$D,$D169,$E:$E,"기준(전)",$M:$M,"&gt;0")&lt;&gt;1,"기준(전) 유효 1개 아님",IF(COUNTIFS($C:$C,$C169,$D:$D,$D169,$E:$E,"기준(후)",$M:$M,"&gt;0")&lt;&gt;1,"기준(후) 유효 1개 아님",IF(NOT(AND(ISNUMBER(O169),ISNUMBER(Q169),ISNUMBER(I169))),"시각 결측",IF(Q169&lt;=O169,"기준 시각 역전",IF(OR(I169&lt;O169,I169&gt;Q169),"측정시각 구간 밖","OK")))))</f>
        <v/>
      </c>
      <c r="O169" s="48">
        <f>IF(COUNTIFS($C:$C,$C169,$D:$D,$D169,$E:$E,"기준(전)",$M:$M,"&gt;0")&lt;&gt;1,"",SUMIFS($I:$I,$C:$C,$C169,$D:$D,$D169,$E:$E,"기준(전)"))</f>
        <v/>
      </c>
      <c r="P169" s="31">
        <f>IF(COUNTIFS($C:$C,$C169,$D:$D,$D169,$E:$E,"기준(전)",$M:$M,"&gt;0")&lt;&gt;1,"",SUMIFS($M:$M,$C:$C,$C169,$D:$D,$D169,$E:$E,"기준(전)"))</f>
        <v/>
      </c>
      <c r="Q169" s="48">
        <f>IF(COUNTIFS($C:$C,$C169,$D:$D,$D169,$E:$E,"기준(후)",$M:$M,"&gt;0")&lt;&gt;1,"",SUMIFS($I:$I,$C:$C,$C169,$D:$D,$D169,$E:$E,"기준(후)"))</f>
        <v/>
      </c>
      <c r="R169" s="31">
        <f>IF(COUNTIFS($C:$C,$C169,$D:$D,$D169,$E:$E,"기준(후)",$M:$M,"&gt;0")&lt;&gt;1,"",SUMIFS($M:$M,$C:$C,$C169,$D:$D,$D169,$E:$E,"기준(후)"))</f>
        <v/>
      </c>
      <c r="S169" s="31">
        <f>IF(N169&lt;&gt;"OK","",P169+(R169-P169)*(I169-O169)/(Q169-O169))</f>
        <v/>
      </c>
      <c r="T169" s="31">
        <f>IF(OR(N169&lt;&gt;"OK",NOT(ISNUMBER(M169))),"",M169-S169)</f>
        <v/>
      </c>
      <c r="U169" s="49">
        <f>IF(OR($E168&lt;&gt;"측정",$C168&lt;&gt;$C169,$D168&lt;&gt;$D169,NOT(ISNUMBER(M169)),NOT(ISNUMBER(M168)),(IF(ISNUMBER(G169),G169,F169)-IF(ISNUMBER(G168),G168,F168))=0),"",(M169-M168)/((IF(ISNUMBER(G169),G169,F169)-IF(ISNUMBER(G168),G168,F168))/100))</f>
        <v/>
      </c>
      <c r="V169" s="29" t="n"/>
      <c r="W169" s="29" t="n"/>
      <c r="X169" s="32" t="n"/>
    </row>
    <row r="170">
      <c r="A170" s="26" t="inlineStr">
        <is>
          <t>S14</t>
        </is>
      </c>
      <c r="B170" s="26" t="inlineStr">
        <is>
          <t>청송 신규점1</t>
        </is>
      </c>
      <c r="C170" s="26" t="inlineStr">
        <is>
          <t>S14-V</t>
        </is>
      </c>
      <c r="D170" s="47" t="n">
        <v>1</v>
      </c>
      <c r="E170" s="26" t="inlineStr">
        <is>
          <t>측정</t>
        </is>
      </c>
      <c r="F170" s="47" t="n">
        <v>160</v>
      </c>
      <c r="G170" s="41" t="n"/>
      <c r="H170" s="29" t="n"/>
      <c r="I170" s="43" t="n"/>
      <c r="J170" s="41" t="n"/>
      <c r="K170" s="41" t="n"/>
      <c r="L170" s="41" t="n"/>
      <c r="M170" s="31">
        <f>IF(COUNT(J170:L170)=0,"",MEDIAN(J170:L170))</f>
        <v/>
      </c>
      <c r="N170" s="26">
        <f>IF(COUNTIFS($C:$C,$C170,$D:$D,$D170,$E:$E,"기준(전)",$M:$M,"&gt;0")&lt;&gt;1,"기준(전) 유효 1개 아님",IF(COUNTIFS($C:$C,$C170,$D:$D,$D170,$E:$E,"기준(후)",$M:$M,"&gt;0")&lt;&gt;1,"기준(후) 유효 1개 아님",IF(NOT(AND(ISNUMBER(O170),ISNUMBER(Q170),ISNUMBER(I170))),"시각 결측",IF(Q170&lt;=O170,"기준 시각 역전",IF(OR(I170&lt;O170,I170&gt;Q170),"측정시각 구간 밖","OK")))))</f>
        <v/>
      </c>
      <c r="O170" s="48">
        <f>IF(COUNTIFS($C:$C,$C170,$D:$D,$D170,$E:$E,"기준(전)",$M:$M,"&gt;0")&lt;&gt;1,"",SUMIFS($I:$I,$C:$C,$C170,$D:$D,$D170,$E:$E,"기준(전)"))</f>
        <v/>
      </c>
      <c r="P170" s="31">
        <f>IF(COUNTIFS($C:$C,$C170,$D:$D,$D170,$E:$E,"기준(전)",$M:$M,"&gt;0")&lt;&gt;1,"",SUMIFS($M:$M,$C:$C,$C170,$D:$D,$D170,$E:$E,"기준(전)"))</f>
        <v/>
      </c>
      <c r="Q170" s="48">
        <f>IF(COUNTIFS($C:$C,$C170,$D:$D,$D170,$E:$E,"기준(후)",$M:$M,"&gt;0")&lt;&gt;1,"",SUMIFS($I:$I,$C:$C,$C170,$D:$D,$D170,$E:$E,"기준(후)"))</f>
        <v/>
      </c>
      <c r="R170" s="31">
        <f>IF(COUNTIFS($C:$C,$C170,$D:$D,$D170,$E:$E,"기준(후)",$M:$M,"&gt;0")&lt;&gt;1,"",SUMIFS($M:$M,$C:$C,$C170,$D:$D,$D170,$E:$E,"기준(후)"))</f>
        <v/>
      </c>
      <c r="S170" s="31">
        <f>IF(N170&lt;&gt;"OK","",P170+(R170-P170)*(I170-O170)/(Q170-O170))</f>
        <v/>
      </c>
      <c r="T170" s="31">
        <f>IF(OR(N170&lt;&gt;"OK",NOT(ISNUMBER(M170))),"",M170-S170)</f>
        <v/>
      </c>
      <c r="U170" s="49">
        <f>IF(OR($E169&lt;&gt;"측정",$C169&lt;&gt;$C170,$D169&lt;&gt;$D170,NOT(ISNUMBER(M170)),NOT(ISNUMBER(M169)),(IF(ISNUMBER(G170),G170,F170)-IF(ISNUMBER(G169),G169,F169))=0),"",(M170-M169)/((IF(ISNUMBER(G170),G170,F170)-IF(ISNUMBER(G169),G169,F169))/100))</f>
        <v/>
      </c>
      <c r="V170" s="29" t="n"/>
      <c r="W170" s="29" t="n"/>
      <c r="X170" s="32" t="n"/>
    </row>
    <row r="171">
      <c r="A171" s="26" t="inlineStr">
        <is>
          <t>S14</t>
        </is>
      </c>
      <c r="B171" s="26" t="inlineStr">
        <is>
          <t>청송 신규점1</t>
        </is>
      </c>
      <c r="C171" s="26" t="inlineStr">
        <is>
          <t>S14-V</t>
        </is>
      </c>
      <c r="D171" s="47" t="n">
        <v>1</v>
      </c>
      <c r="E171" s="26" t="inlineStr">
        <is>
          <t>측정</t>
        </is>
      </c>
      <c r="F171" s="47" t="n">
        <v>180</v>
      </c>
      <c r="G171" s="41" t="n"/>
      <c r="H171" s="29" t="n"/>
      <c r="I171" s="43" t="n"/>
      <c r="J171" s="41" t="n"/>
      <c r="K171" s="41" t="n"/>
      <c r="L171" s="41" t="n"/>
      <c r="M171" s="31">
        <f>IF(COUNT(J171:L171)=0,"",MEDIAN(J171:L171))</f>
        <v/>
      </c>
      <c r="N171" s="26">
        <f>IF(COUNTIFS($C:$C,$C171,$D:$D,$D171,$E:$E,"기준(전)",$M:$M,"&gt;0")&lt;&gt;1,"기준(전) 유효 1개 아님",IF(COUNTIFS($C:$C,$C171,$D:$D,$D171,$E:$E,"기준(후)",$M:$M,"&gt;0")&lt;&gt;1,"기준(후) 유효 1개 아님",IF(NOT(AND(ISNUMBER(O171),ISNUMBER(Q171),ISNUMBER(I171))),"시각 결측",IF(Q171&lt;=O171,"기준 시각 역전",IF(OR(I171&lt;O171,I171&gt;Q171),"측정시각 구간 밖","OK")))))</f>
        <v/>
      </c>
      <c r="O171" s="48">
        <f>IF(COUNTIFS($C:$C,$C171,$D:$D,$D171,$E:$E,"기준(전)",$M:$M,"&gt;0")&lt;&gt;1,"",SUMIFS($I:$I,$C:$C,$C171,$D:$D,$D171,$E:$E,"기준(전)"))</f>
        <v/>
      </c>
      <c r="P171" s="31">
        <f>IF(COUNTIFS($C:$C,$C171,$D:$D,$D171,$E:$E,"기준(전)",$M:$M,"&gt;0")&lt;&gt;1,"",SUMIFS($M:$M,$C:$C,$C171,$D:$D,$D171,$E:$E,"기준(전)"))</f>
        <v/>
      </c>
      <c r="Q171" s="48">
        <f>IF(COUNTIFS($C:$C,$C171,$D:$D,$D171,$E:$E,"기준(후)",$M:$M,"&gt;0")&lt;&gt;1,"",SUMIFS($I:$I,$C:$C,$C171,$D:$D,$D171,$E:$E,"기준(후)"))</f>
        <v/>
      </c>
      <c r="R171" s="31">
        <f>IF(COUNTIFS($C:$C,$C171,$D:$D,$D171,$E:$E,"기준(후)",$M:$M,"&gt;0")&lt;&gt;1,"",SUMIFS($M:$M,$C:$C,$C171,$D:$D,$D171,$E:$E,"기준(후)"))</f>
        <v/>
      </c>
      <c r="S171" s="31">
        <f>IF(N171&lt;&gt;"OK","",P171+(R171-P171)*(I171-O171)/(Q171-O171))</f>
        <v/>
      </c>
      <c r="T171" s="31">
        <f>IF(OR(N171&lt;&gt;"OK",NOT(ISNUMBER(M171))),"",M171-S171)</f>
        <v/>
      </c>
      <c r="U171" s="49">
        <f>IF(OR($E170&lt;&gt;"측정",$C170&lt;&gt;$C171,$D170&lt;&gt;$D171,NOT(ISNUMBER(M171)),NOT(ISNUMBER(M170)),(IF(ISNUMBER(G171),G171,F171)-IF(ISNUMBER(G170),G170,F170))=0),"",(M171-M170)/((IF(ISNUMBER(G171),G171,F171)-IF(ISNUMBER(G170),G170,F170))/100))</f>
        <v/>
      </c>
      <c r="V171" s="29" t="n"/>
      <c r="W171" s="29" t="n"/>
      <c r="X171" s="32" t="n"/>
    </row>
    <row r="172">
      <c r="A172" s="26" t="inlineStr">
        <is>
          <t>S14</t>
        </is>
      </c>
      <c r="B172" s="26" t="inlineStr">
        <is>
          <t>청송 신규점1</t>
        </is>
      </c>
      <c r="C172" s="26" t="inlineStr">
        <is>
          <t>S14-V</t>
        </is>
      </c>
      <c r="D172" s="47" t="n">
        <v>1</v>
      </c>
      <c r="E172" s="26" t="inlineStr">
        <is>
          <t>측정</t>
        </is>
      </c>
      <c r="F172" s="47" t="n">
        <v>200</v>
      </c>
      <c r="G172" s="41" t="n"/>
      <c r="H172" s="29" t="n"/>
      <c r="I172" s="43" t="n"/>
      <c r="J172" s="41" t="n"/>
      <c r="K172" s="41" t="n"/>
      <c r="L172" s="41" t="n"/>
      <c r="M172" s="31">
        <f>IF(COUNT(J172:L172)=0,"",MEDIAN(J172:L172))</f>
        <v/>
      </c>
      <c r="N172" s="26">
        <f>IF(COUNTIFS($C:$C,$C172,$D:$D,$D172,$E:$E,"기준(전)",$M:$M,"&gt;0")&lt;&gt;1,"기준(전) 유효 1개 아님",IF(COUNTIFS($C:$C,$C172,$D:$D,$D172,$E:$E,"기준(후)",$M:$M,"&gt;0")&lt;&gt;1,"기준(후) 유효 1개 아님",IF(NOT(AND(ISNUMBER(O172),ISNUMBER(Q172),ISNUMBER(I172))),"시각 결측",IF(Q172&lt;=O172,"기준 시각 역전",IF(OR(I172&lt;O172,I172&gt;Q172),"측정시각 구간 밖","OK")))))</f>
        <v/>
      </c>
      <c r="O172" s="48">
        <f>IF(COUNTIFS($C:$C,$C172,$D:$D,$D172,$E:$E,"기준(전)",$M:$M,"&gt;0")&lt;&gt;1,"",SUMIFS($I:$I,$C:$C,$C172,$D:$D,$D172,$E:$E,"기준(전)"))</f>
        <v/>
      </c>
      <c r="P172" s="31">
        <f>IF(COUNTIFS($C:$C,$C172,$D:$D,$D172,$E:$E,"기준(전)",$M:$M,"&gt;0")&lt;&gt;1,"",SUMIFS($M:$M,$C:$C,$C172,$D:$D,$D172,$E:$E,"기준(전)"))</f>
        <v/>
      </c>
      <c r="Q172" s="48">
        <f>IF(COUNTIFS($C:$C,$C172,$D:$D,$D172,$E:$E,"기준(후)",$M:$M,"&gt;0")&lt;&gt;1,"",SUMIFS($I:$I,$C:$C,$C172,$D:$D,$D172,$E:$E,"기준(후)"))</f>
        <v/>
      </c>
      <c r="R172" s="31">
        <f>IF(COUNTIFS($C:$C,$C172,$D:$D,$D172,$E:$E,"기준(후)",$M:$M,"&gt;0")&lt;&gt;1,"",SUMIFS($M:$M,$C:$C,$C172,$D:$D,$D172,$E:$E,"기준(후)"))</f>
        <v/>
      </c>
      <c r="S172" s="31">
        <f>IF(N172&lt;&gt;"OK","",P172+(R172-P172)*(I172-O172)/(Q172-O172))</f>
        <v/>
      </c>
      <c r="T172" s="31">
        <f>IF(OR(N172&lt;&gt;"OK",NOT(ISNUMBER(M172))),"",M172-S172)</f>
        <v/>
      </c>
      <c r="U172" s="49">
        <f>IF(OR($E171&lt;&gt;"측정",$C171&lt;&gt;$C172,$D171&lt;&gt;$D172,NOT(ISNUMBER(M172)),NOT(ISNUMBER(M171)),(IF(ISNUMBER(G172),G172,F172)-IF(ISNUMBER(G171),G171,F171))=0),"",(M172-M171)/((IF(ISNUMBER(G172),G172,F172)-IF(ISNUMBER(G171),G171,F171))/100))</f>
        <v/>
      </c>
      <c r="V172" s="29" t="n"/>
      <c r="W172" s="29" t="n"/>
      <c r="X172" s="32" t="n"/>
    </row>
    <row r="173">
      <c r="A173" s="44" t="inlineStr">
        <is>
          <t>S14</t>
        </is>
      </c>
      <c r="B173" s="44" t="inlineStr">
        <is>
          <t>청송 신규점1</t>
        </is>
      </c>
      <c r="C173" s="44" t="inlineStr">
        <is>
          <t>S14-V</t>
        </is>
      </c>
      <c r="D173" s="45" t="n">
        <v>1</v>
      </c>
      <c r="E173" s="44" t="inlineStr">
        <is>
          <t>기준(후)</t>
        </is>
      </c>
      <c r="F173" s="45" t="n"/>
      <c r="G173" s="41" t="n"/>
      <c r="H173" s="29" t="n"/>
      <c r="I173" s="43" t="n"/>
      <c r="J173" s="41" t="n"/>
      <c r="K173" s="41" t="n"/>
      <c r="L173" s="41" t="n"/>
      <c r="M173" s="31">
        <f>IF(COUNT(J173:L173)=0,"",MEDIAN(J173:L173))</f>
        <v/>
      </c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29" t="n"/>
      <c r="W173" s="29" t="n"/>
      <c r="X173" s="32" t="n"/>
    </row>
    <row r="174">
      <c r="A174" s="44" t="inlineStr">
        <is>
          <t>S15</t>
        </is>
      </c>
      <c r="B174" s="44" t="inlineStr">
        <is>
          <t>의성 신규점</t>
        </is>
      </c>
      <c r="C174" s="44" t="inlineStr">
        <is>
          <t>S15-V</t>
        </is>
      </c>
      <c r="D174" s="45" t="n">
        <v>1</v>
      </c>
      <c r="E174" s="44" t="inlineStr">
        <is>
          <t>기준(전)</t>
        </is>
      </c>
      <c r="F174" s="45" t="n"/>
      <c r="G174" s="41" t="n"/>
      <c r="H174" s="29" t="n"/>
      <c r="I174" s="43" t="n"/>
      <c r="J174" s="41" t="n"/>
      <c r="K174" s="41" t="n"/>
      <c r="L174" s="41" t="n"/>
      <c r="M174" s="31">
        <f>IF(COUNT(J174:L174)=0,"",MEDIAN(J174:L174))</f>
        <v/>
      </c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29" t="n"/>
      <c r="W174" s="29" t="n"/>
      <c r="X174" s="32" t="n"/>
    </row>
    <row r="175">
      <c r="A175" s="26" t="inlineStr">
        <is>
          <t>S15</t>
        </is>
      </c>
      <c r="B175" s="26" t="inlineStr">
        <is>
          <t>의성 신규점</t>
        </is>
      </c>
      <c r="C175" s="26" t="inlineStr">
        <is>
          <t>S15-V</t>
        </is>
      </c>
      <c r="D175" s="47" t="n">
        <v>1</v>
      </c>
      <c r="E175" s="26" t="inlineStr">
        <is>
          <t>측정</t>
        </is>
      </c>
      <c r="F175" s="47" t="n">
        <v>20</v>
      </c>
      <c r="G175" s="41" t="n"/>
      <c r="H175" s="29" t="n"/>
      <c r="I175" s="43" t="n"/>
      <c r="J175" s="41" t="n"/>
      <c r="K175" s="41" t="n"/>
      <c r="L175" s="41" t="n"/>
      <c r="M175" s="31">
        <f>IF(COUNT(J175:L175)=0,"",MEDIAN(J175:L175))</f>
        <v/>
      </c>
      <c r="N175" s="26">
        <f>IF(COUNTIFS($C:$C,$C175,$D:$D,$D175,$E:$E,"기준(전)",$M:$M,"&gt;0")&lt;&gt;1,"기준(전) 유효 1개 아님",IF(COUNTIFS($C:$C,$C175,$D:$D,$D175,$E:$E,"기준(후)",$M:$M,"&gt;0")&lt;&gt;1,"기준(후) 유효 1개 아님",IF(NOT(AND(ISNUMBER(O175),ISNUMBER(Q175),ISNUMBER(I175))),"시각 결측",IF(Q175&lt;=O175,"기준 시각 역전",IF(OR(I175&lt;O175,I175&gt;Q175),"측정시각 구간 밖","OK")))))</f>
        <v/>
      </c>
      <c r="O175" s="48">
        <f>IF(COUNTIFS($C:$C,$C175,$D:$D,$D175,$E:$E,"기준(전)",$M:$M,"&gt;0")&lt;&gt;1,"",SUMIFS($I:$I,$C:$C,$C175,$D:$D,$D175,$E:$E,"기준(전)"))</f>
        <v/>
      </c>
      <c r="P175" s="31">
        <f>IF(COUNTIFS($C:$C,$C175,$D:$D,$D175,$E:$E,"기준(전)",$M:$M,"&gt;0")&lt;&gt;1,"",SUMIFS($M:$M,$C:$C,$C175,$D:$D,$D175,$E:$E,"기준(전)"))</f>
        <v/>
      </c>
      <c r="Q175" s="48">
        <f>IF(COUNTIFS($C:$C,$C175,$D:$D,$D175,$E:$E,"기준(후)",$M:$M,"&gt;0")&lt;&gt;1,"",SUMIFS($I:$I,$C:$C,$C175,$D:$D,$D175,$E:$E,"기준(후)"))</f>
        <v/>
      </c>
      <c r="R175" s="31">
        <f>IF(COUNTIFS($C:$C,$C175,$D:$D,$D175,$E:$E,"기준(후)",$M:$M,"&gt;0")&lt;&gt;1,"",SUMIFS($M:$M,$C:$C,$C175,$D:$D,$D175,$E:$E,"기준(후)"))</f>
        <v/>
      </c>
      <c r="S175" s="31">
        <f>IF(N175&lt;&gt;"OK","",P175+(R175-P175)*(I175-O175)/(Q175-O175))</f>
        <v/>
      </c>
      <c r="T175" s="31">
        <f>IF(OR(N175&lt;&gt;"OK",NOT(ISNUMBER(M175))),"",M175-S175)</f>
        <v/>
      </c>
      <c r="U175" s="49">
        <f>IF(OR($E174&lt;&gt;"측정",$C174&lt;&gt;$C175,$D174&lt;&gt;$D175,NOT(ISNUMBER(M175)),NOT(ISNUMBER(M174)),(IF(ISNUMBER(G175),G175,F175)-IF(ISNUMBER(G174),G174,F174))=0),"",(M175-M174)/((IF(ISNUMBER(G175),G175,F175)-IF(ISNUMBER(G174),G174,F174))/100))</f>
        <v/>
      </c>
      <c r="V175" s="29" t="n"/>
      <c r="W175" s="29" t="n"/>
      <c r="X175" s="32" t="n"/>
    </row>
    <row r="176">
      <c r="A176" s="26" t="inlineStr">
        <is>
          <t>S15</t>
        </is>
      </c>
      <c r="B176" s="26" t="inlineStr">
        <is>
          <t>의성 신규점</t>
        </is>
      </c>
      <c r="C176" s="26" t="inlineStr">
        <is>
          <t>S15-V</t>
        </is>
      </c>
      <c r="D176" s="47" t="n">
        <v>1</v>
      </c>
      <c r="E176" s="26" t="inlineStr">
        <is>
          <t>측정</t>
        </is>
      </c>
      <c r="F176" s="47" t="n">
        <v>40</v>
      </c>
      <c r="G176" s="41" t="n"/>
      <c r="H176" s="29" t="n"/>
      <c r="I176" s="43" t="n"/>
      <c r="J176" s="41" t="n"/>
      <c r="K176" s="41" t="n"/>
      <c r="L176" s="41" t="n"/>
      <c r="M176" s="31">
        <f>IF(COUNT(J176:L176)=0,"",MEDIAN(J176:L176))</f>
        <v/>
      </c>
      <c r="N176" s="26">
        <f>IF(COUNTIFS($C:$C,$C176,$D:$D,$D176,$E:$E,"기준(전)",$M:$M,"&gt;0")&lt;&gt;1,"기준(전) 유효 1개 아님",IF(COUNTIFS($C:$C,$C176,$D:$D,$D176,$E:$E,"기준(후)",$M:$M,"&gt;0")&lt;&gt;1,"기준(후) 유효 1개 아님",IF(NOT(AND(ISNUMBER(O176),ISNUMBER(Q176),ISNUMBER(I176))),"시각 결측",IF(Q176&lt;=O176,"기준 시각 역전",IF(OR(I176&lt;O176,I176&gt;Q176),"측정시각 구간 밖","OK")))))</f>
        <v/>
      </c>
      <c r="O176" s="48">
        <f>IF(COUNTIFS($C:$C,$C176,$D:$D,$D176,$E:$E,"기준(전)",$M:$M,"&gt;0")&lt;&gt;1,"",SUMIFS($I:$I,$C:$C,$C176,$D:$D,$D176,$E:$E,"기준(전)"))</f>
        <v/>
      </c>
      <c r="P176" s="31">
        <f>IF(COUNTIFS($C:$C,$C176,$D:$D,$D176,$E:$E,"기준(전)",$M:$M,"&gt;0")&lt;&gt;1,"",SUMIFS($M:$M,$C:$C,$C176,$D:$D,$D176,$E:$E,"기준(전)"))</f>
        <v/>
      </c>
      <c r="Q176" s="48">
        <f>IF(COUNTIFS($C:$C,$C176,$D:$D,$D176,$E:$E,"기준(후)",$M:$M,"&gt;0")&lt;&gt;1,"",SUMIFS($I:$I,$C:$C,$C176,$D:$D,$D176,$E:$E,"기준(후)"))</f>
        <v/>
      </c>
      <c r="R176" s="31">
        <f>IF(COUNTIFS($C:$C,$C176,$D:$D,$D176,$E:$E,"기준(후)",$M:$M,"&gt;0")&lt;&gt;1,"",SUMIFS($M:$M,$C:$C,$C176,$D:$D,$D176,$E:$E,"기준(후)"))</f>
        <v/>
      </c>
      <c r="S176" s="31">
        <f>IF(N176&lt;&gt;"OK","",P176+(R176-P176)*(I176-O176)/(Q176-O176))</f>
        <v/>
      </c>
      <c r="T176" s="31">
        <f>IF(OR(N176&lt;&gt;"OK",NOT(ISNUMBER(M176))),"",M176-S176)</f>
        <v/>
      </c>
      <c r="U176" s="49">
        <f>IF(OR($E175&lt;&gt;"측정",$C175&lt;&gt;$C176,$D175&lt;&gt;$D176,NOT(ISNUMBER(M176)),NOT(ISNUMBER(M175)),(IF(ISNUMBER(G176),G176,F176)-IF(ISNUMBER(G175),G175,F175))=0),"",(M176-M175)/((IF(ISNUMBER(G176),G176,F176)-IF(ISNUMBER(G175),G175,F175))/100))</f>
        <v/>
      </c>
      <c r="V176" s="29" t="n"/>
      <c r="W176" s="29" t="n"/>
      <c r="X176" s="32" t="n"/>
    </row>
    <row r="177">
      <c r="A177" s="26" t="inlineStr">
        <is>
          <t>S15</t>
        </is>
      </c>
      <c r="B177" s="26" t="inlineStr">
        <is>
          <t>의성 신규점</t>
        </is>
      </c>
      <c r="C177" s="26" t="inlineStr">
        <is>
          <t>S15-V</t>
        </is>
      </c>
      <c r="D177" s="47" t="n">
        <v>1</v>
      </c>
      <c r="E177" s="26" t="inlineStr">
        <is>
          <t>측정</t>
        </is>
      </c>
      <c r="F177" s="47" t="n">
        <v>60</v>
      </c>
      <c r="G177" s="41" t="n"/>
      <c r="H177" s="29" t="n"/>
      <c r="I177" s="43" t="n"/>
      <c r="J177" s="41" t="n"/>
      <c r="K177" s="41" t="n"/>
      <c r="L177" s="41" t="n"/>
      <c r="M177" s="31">
        <f>IF(COUNT(J177:L177)=0,"",MEDIAN(J177:L177))</f>
        <v/>
      </c>
      <c r="N177" s="26">
        <f>IF(COUNTIFS($C:$C,$C177,$D:$D,$D177,$E:$E,"기준(전)",$M:$M,"&gt;0")&lt;&gt;1,"기준(전) 유효 1개 아님",IF(COUNTIFS($C:$C,$C177,$D:$D,$D177,$E:$E,"기준(후)",$M:$M,"&gt;0")&lt;&gt;1,"기준(후) 유효 1개 아님",IF(NOT(AND(ISNUMBER(O177),ISNUMBER(Q177),ISNUMBER(I177))),"시각 결측",IF(Q177&lt;=O177,"기준 시각 역전",IF(OR(I177&lt;O177,I177&gt;Q177),"측정시각 구간 밖","OK")))))</f>
        <v/>
      </c>
      <c r="O177" s="48">
        <f>IF(COUNTIFS($C:$C,$C177,$D:$D,$D177,$E:$E,"기준(전)",$M:$M,"&gt;0")&lt;&gt;1,"",SUMIFS($I:$I,$C:$C,$C177,$D:$D,$D177,$E:$E,"기준(전)"))</f>
        <v/>
      </c>
      <c r="P177" s="31">
        <f>IF(COUNTIFS($C:$C,$C177,$D:$D,$D177,$E:$E,"기준(전)",$M:$M,"&gt;0")&lt;&gt;1,"",SUMIFS($M:$M,$C:$C,$C177,$D:$D,$D177,$E:$E,"기준(전)"))</f>
        <v/>
      </c>
      <c r="Q177" s="48">
        <f>IF(COUNTIFS($C:$C,$C177,$D:$D,$D177,$E:$E,"기준(후)",$M:$M,"&gt;0")&lt;&gt;1,"",SUMIFS($I:$I,$C:$C,$C177,$D:$D,$D177,$E:$E,"기준(후)"))</f>
        <v/>
      </c>
      <c r="R177" s="31">
        <f>IF(COUNTIFS($C:$C,$C177,$D:$D,$D177,$E:$E,"기준(후)",$M:$M,"&gt;0")&lt;&gt;1,"",SUMIFS($M:$M,$C:$C,$C177,$D:$D,$D177,$E:$E,"기준(후)"))</f>
        <v/>
      </c>
      <c r="S177" s="31">
        <f>IF(N177&lt;&gt;"OK","",P177+(R177-P177)*(I177-O177)/(Q177-O177))</f>
        <v/>
      </c>
      <c r="T177" s="31">
        <f>IF(OR(N177&lt;&gt;"OK",NOT(ISNUMBER(M177))),"",M177-S177)</f>
        <v/>
      </c>
      <c r="U177" s="49">
        <f>IF(OR($E176&lt;&gt;"측정",$C176&lt;&gt;$C177,$D176&lt;&gt;$D177,NOT(ISNUMBER(M177)),NOT(ISNUMBER(M176)),(IF(ISNUMBER(G177),G177,F177)-IF(ISNUMBER(G176),G176,F176))=0),"",(M177-M176)/((IF(ISNUMBER(G177),G177,F177)-IF(ISNUMBER(G176),G176,F176))/100))</f>
        <v/>
      </c>
      <c r="V177" s="29" t="n"/>
      <c r="W177" s="29" t="n"/>
      <c r="X177" s="32" t="n"/>
    </row>
    <row r="178">
      <c r="A178" s="26" t="inlineStr">
        <is>
          <t>S15</t>
        </is>
      </c>
      <c r="B178" s="26" t="inlineStr">
        <is>
          <t>의성 신규점</t>
        </is>
      </c>
      <c r="C178" s="26" t="inlineStr">
        <is>
          <t>S15-V</t>
        </is>
      </c>
      <c r="D178" s="47" t="n">
        <v>1</v>
      </c>
      <c r="E178" s="26" t="inlineStr">
        <is>
          <t>측정</t>
        </is>
      </c>
      <c r="F178" s="47" t="n">
        <v>80</v>
      </c>
      <c r="G178" s="41" t="n"/>
      <c r="H178" s="29" t="n"/>
      <c r="I178" s="43" t="n"/>
      <c r="J178" s="41" t="n"/>
      <c r="K178" s="41" t="n"/>
      <c r="L178" s="41" t="n"/>
      <c r="M178" s="31">
        <f>IF(COUNT(J178:L178)=0,"",MEDIAN(J178:L178))</f>
        <v/>
      </c>
      <c r="N178" s="26">
        <f>IF(COUNTIFS($C:$C,$C178,$D:$D,$D178,$E:$E,"기준(전)",$M:$M,"&gt;0")&lt;&gt;1,"기준(전) 유효 1개 아님",IF(COUNTIFS($C:$C,$C178,$D:$D,$D178,$E:$E,"기준(후)",$M:$M,"&gt;0")&lt;&gt;1,"기준(후) 유효 1개 아님",IF(NOT(AND(ISNUMBER(O178),ISNUMBER(Q178),ISNUMBER(I178))),"시각 결측",IF(Q178&lt;=O178,"기준 시각 역전",IF(OR(I178&lt;O178,I178&gt;Q178),"측정시각 구간 밖","OK")))))</f>
        <v/>
      </c>
      <c r="O178" s="48">
        <f>IF(COUNTIFS($C:$C,$C178,$D:$D,$D178,$E:$E,"기준(전)",$M:$M,"&gt;0")&lt;&gt;1,"",SUMIFS($I:$I,$C:$C,$C178,$D:$D,$D178,$E:$E,"기준(전)"))</f>
        <v/>
      </c>
      <c r="P178" s="31">
        <f>IF(COUNTIFS($C:$C,$C178,$D:$D,$D178,$E:$E,"기준(전)",$M:$M,"&gt;0")&lt;&gt;1,"",SUMIFS($M:$M,$C:$C,$C178,$D:$D,$D178,$E:$E,"기준(전)"))</f>
        <v/>
      </c>
      <c r="Q178" s="48">
        <f>IF(COUNTIFS($C:$C,$C178,$D:$D,$D178,$E:$E,"기준(후)",$M:$M,"&gt;0")&lt;&gt;1,"",SUMIFS($I:$I,$C:$C,$C178,$D:$D,$D178,$E:$E,"기준(후)"))</f>
        <v/>
      </c>
      <c r="R178" s="31">
        <f>IF(COUNTIFS($C:$C,$C178,$D:$D,$D178,$E:$E,"기준(후)",$M:$M,"&gt;0")&lt;&gt;1,"",SUMIFS($M:$M,$C:$C,$C178,$D:$D,$D178,$E:$E,"기준(후)"))</f>
        <v/>
      </c>
      <c r="S178" s="31">
        <f>IF(N178&lt;&gt;"OK","",P178+(R178-P178)*(I178-O178)/(Q178-O178))</f>
        <v/>
      </c>
      <c r="T178" s="31">
        <f>IF(OR(N178&lt;&gt;"OK",NOT(ISNUMBER(M178))),"",M178-S178)</f>
        <v/>
      </c>
      <c r="U178" s="49">
        <f>IF(OR($E177&lt;&gt;"측정",$C177&lt;&gt;$C178,$D177&lt;&gt;$D178,NOT(ISNUMBER(M178)),NOT(ISNUMBER(M177)),(IF(ISNUMBER(G178),G178,F178)-IF(ISNUMBER(G177),G177,F177))=0),"",(M178-M177)/((IF(ISNUMBER(G178),G178,F178)-IF(ISNUMBER(G177),G177,F177))/100))</f>
        <v/>
      </c>
      <c r="V178" s="29" t="n"/>
      <c r="W178" s="29" t="n"/>
      <c r="X178" s="32" t="n"/>
    </row>
    <row r="179">
      <c r="A179" s="26" t="inlineStr">
        <is>
          <t>S15</t>
        </is>
      </c>
      <c r="B179" s="26" t="inlineStr">
        <is>
          <t>의성 신규점</t>
        </is>
      </c>
      <c r="C179" s="26" t="inlineStr">
        <is>
          <t>S15-V</t>
        </is>
      </c>
      <c r="D179" s="47" t="n">
        <v>1</v>
      </c>
      <c r="E179" s="26" t="inlineStr">
        <is>
          <t>측정</t>
        </is>
      </c>
      <c r="F179" s="47" t="n">
        <v>100</v>
      </c>
      <c r="G179" s="41" t="n"/>
      <c r="H179" s="29" t="n"/>
      <c r="I179" s="43" t="n"/>
      <c r="J179" s="41" t="n"/>
      <c r="K179" s="41" t="n"/>
      <c r="L179" s="41" t="n"/>
      <c r="M179" s="31">
        <f>IF(COUNT(J179:L179)=0,"",MEDIAN(J179:L179))</f>
        <v/>
      </c>
      <c r="N179" s="26">
        <f>IF(COUNTIFS($C:$C,$C179,$D:$D,$D179,$E:$E,"기준(전)",$M:$M,"&gt;0")&lt;&gt;1,"기준(전) 유효 1개 아님",IF(COUNTIFS($C:$C,$C179,$D:$D,$D179,$E:$E,"기준(후)",$M:$M,"&gt;0")&lt;&gt;1,"기준(후) 유효 1개 아님",IF(NOT(AND(ISNUMBER(O179),ISNUMBER(Q179),ISNUMBER(I179))),"시각 결측",IF(Q179&lt;=O179,"기준 시각 역전",IF(OR(I179&lt;O179,I179&gt;Q179),"측정시각 구간 밖","OK")))))</f>
        <v/>
      </c>
      <c r="O179" s="48">
        <f>IF(COUNTIFS($C:$C,$C179,$D:$D,$D179,$E:$E,"기준(전)",$M:$M,"&gt;0")&lt;&gt;1,"",SUMIFS($I:$I,$C:$C,$C179,$D:$D,$D179,$E:$E,"기준(전)"))</f>
        <v/>
      </c>
      <c r="P179" s="31">
        <f>IF(COUNTIFS($C:$C,$C179,$D:$D,$D179,$E:$E,"기준(전)",$M:$M,"&gt;0")&lt;&gt;1,"",SUMIFS($M:$M,$C:$C,$C179,$D:$D,$D179,$E:$E,"기준(전)"))</f>
        <v/>
      </c>
      <c r="Q179" s="48">
        <f>IF(COUNTIFS($C:$C,$C179,$D:$D,$D179,$E:$E,"기준(후)",$M:$M,"&gt;0")&lt;&gt;1,"",SUMIFS($I:$I,$C:$C,$C179,$D:$D,$D179,$E:$E,"기준(후)"))</f>
        <v/>
      </c>
      <c r="R179" s="31">
        <f>IF(COUNTIFS($C:$C,$C179,$D:$D,$D179,$E:$E,"기준(후)",$M:$M,"&gt;0")&lt;&gt;1,"",SUMIFS($M:$M,$C:$C,$C179,$D:$D,$D179,$E:$E,"기준(후)"))</f>
        <v/>
      </c>
      <c r="S179" s="31">
        <f>IF(N179&lt;&gt;"OK","",P179+(R179-P179)*(I179-O179)/(Q179-O179))</f>
        <v/>
      </c>
      <c r="T179" s="31">
        <f>IF(OR(N179&lt;&gt;"OK",NOT(ISNUMBER(M179))),"",M179-S179)</f>
        <v/>
      </c>
      <c r="U179" s="49">
        <f>IF(OR($E178&lt;&gt;"측정",$C178&lt;&gt;$C179,$D178&lt;&gt;$D179,NOT(ISNUMBER(M179)),NOT(ISNUMBER(M178)),(IF(ISNUMBER(G179),G179,F179)-IF(ISNUMBER(G178),G178,F178))=0),"",(M179-M178)/((IF(ISNUMBER(G179),G179,F179)-IF(ISNUMBER(G178),G178,F178))/100))</f>
        <v/>
      </c>
      <c r="V179" s="29" t="n"/>
      <c r="W179" s="29" t="n"/>
      <c r="X179" s="32" t="n"/>
    </row>
    <row r="180">
      <c r="A180" s="26" t="inlineStr">
        <is>
          <t>S15</t>
        </is>
      </c>
      <c r="B180" s="26" t="inlineStr">
        <is>
          <t>의성 신규점</t>
        </is>
      </c>
      <c r="C180" s="26" t="inlineStr">
        <is>
          <t>S15-V</t>
        </is>
      </c>
      <c r="D180" s="47" t="n">
        <v>1</v>
      </c>
      <c r="E180" s="26" t="inlineStr">
        <is>
          <t>측정</t>
        </is>
      </c>
      <c r="F180" s="47" t="n">
        <v>120</v>
      </c>
      <c r="G180" s="41" t="n"/>
      <c r="H180" s="29" t="n"/>
      <c r="I180" s="43" t="n"/>
      <c r="J180" s="41" t="n"/>
      <c r="K180" s="41" t="n"/>
      <c r="L180" s="41" t="n"/>
      <c r="M180" s="31">
        <f>IF(COUNT(J180:L180)=0,"",MEDIAN(J180:L180))</f>
        <v/>
      </c>
      <c r="N180" s="26">
        <f>IF(COUNTIFS($C:$C,$C180,$D:$D,$D180,$E:$E,"기준(전)",$M:$M,"&gt;0")&lt;&gt;1,"기준(전) 유효 1개 아님",IF(COUNTIFS($C:$C,$C180,$D:$D,$D180,$E:$E,"기준(후)",$M:$M,"&gt;0")&lt;&gt;1,"기준(후) 유효 1개 아님",IF(NOT(AND(ISNUMBER(O180),ISNUMBER(Q180),ISNUMBER(I180))),"시각 결측",IF(Q180&lt;=O180,"기준 시각 역전",IF(OR(I180&lt;O180,I180&gt;Q180),"측정시각 구간 밖","OK")))))</f>
        <v/>
      </c>
      <c r="O180" s="48">
        <f>IF(COUNTIFS($C:$C,$C180,$D:$D,$D180,$E:$E,"기준(전)",$M:$M,"&gt;0")&lt;&gt;1,"",SUMIFS($I:$I,$C:$C,$C180,$D:$D,$D180,$E:$E,"기준(전)"))</f>
        <v/>
      </c>
      <c r="P180" s="31">
        <f>IF(COUNTIFS($C:$C,$C180,$D:$D,$D180,$E:$E,"기준(전)",$M:$M,"&gt;0")&lt;&gt;1,"",SUMIFS($M:$M,$C:$C,$C180,$D:$D,$D180,$E:$E,"기준(전)"))</f>
        <v/>
      </c>
      <c r="Q180" s="48">
        <f>IF(COUNTIFS($C:$C,$C180,$D:$D,$D180,$E:$E,"기준(후)",$M:$M,"&gt;0")&lt;&gt;1,"",SUMIFS($I:$I,$C:$C,$C180,$D:$D,$D180,$E:$E,"기준(후)"))</f>
        <v/>
      </c>
      <c r="R180" s="31">
        <f>IF(COUNTIFS($C:$C,$C180,$D:$D,$D180,$E:$E,"기준(후)",$M:$M,"&gt;0")&lt;&gt;1,"",SUMIFS($M:$M,$C:$C,$C180,$D:$D,$D180,$E:$E,"기준(후)"))</f>
        <v/>
      </c>
      <c r="S180" s="31">
        <f>IF(N180&lt;&gt;"OK","",P180+(R180-P180)*(I180-O180)/(Q180-O180))</f>
        <v/>
      </c>
      <c r="T180" s="31">
        <f>IF(OR(N180&lt;&gt;"OK",NOT(ISNUMBER(M180))),"",M180-S180)</f>
        <v/>
      </c>
      <c r="U180" s="49">
        <f>IF(OR($E179&lt;&gt;"측정",$C179&lt;&gt;$C180,$D179&lt;&gt;$D180,NOT(ISNUMBER(M180)),NOT(ISNUMBER(M179)),(IF(ISNUMBER(G180),G180,F180)-IF(ISNUMBER(G179),G179,F179))=0),"",(M180-M179)/((IF(ISNUMBER(G180),G180,F180)-IF(ISNUMBER(G179),G179,F179))/100))</f>
        <v/>
      </c>
      <c r="V180" s="29" t="n"/>
      <c r="W180" s="29" t="n"/>
      <c r="X180" s="32" t="n"/>
    </row>
    <row r="181">
      <c r="A181" s="26" t="inlineStr">
        <is>
          <t>S15</t>
        </is>
      </c>
      <c r="B181" s="26" t="inlineStr">
        <is>
          <t>의성 신규점</t>
        </is>
      </c>
      <c r="C181" s="26" t="inlineStr">
        <is>
          <t>S15-V</t>
        </is>
      </c>
      <c r="D181" s="47" t="n">
        <v>1</v>
      </c>
      <c r="E181" s="26" t="inlineStr">
        <is>
          <t>측정</t>
        </is>
      </c>
      <c r="F181" s="47" t="n">
        <v>140</v>
      </c>
      <c r="G181" s="41" t="n"/>
      <c r="H181" s="29" t="n"/>
      <c r="I181" s="43" t="n"/>
      <c r="J181" s="41" t="n"/>
      <c r="K181" s="41" t="n"/>
      <c r="L181" s="41" t="n"/>
      <c r="M181" s="31">
        <f>IF(COUNT(J181:L181)=0,"",MEDIAN(J181:L181))</f>
        <v/>
      </c>
      <c r="N181" s="26">
        <f>IF(COUNTIFS($C:$C,$C181,$D:$D,$D181,$E:$E,"기준(전)",$M:$M,"&gt;0")&lt;&gt;1,"기준(전) 유효 1개 아님",IF(COUNTIFS($C:$C,$C181,$D:$D,$D181,$E:$E,"기준(후)",$M:$M,"&gt;0")&lt;&gt;1,"기준(후) 유효 1개 아님",IF(NOT(AND(ISNUMBER(O181),ISNUMBER(Q181),ISNUMBER(I181))),"시각 결측",IF(Q181&lt;=O181,"기준 시각 역전",IF(OR(I181&lt;O181,I181&gt;Q181),"측정시각 구간 밖","OK")))))</f>
        <v/>
      </c>
      <c r="O181" s="48">
        <f>IF(COUNTIFS($C:$C,$C181,$D:$D,$D181,$E:$E,"기준(전)",$M:$M,"&gt;0")&lt;&gt;1,"",SUMIFS($I:$I,$C:$C,$C181,$D:$D,$D181,$E:$E,"기준(전)"))</f>
        <v/>
      </c>
      <c r="P181" s="31">
        <f>IF(COUNTIFS($C:$C,$C181,$D:$D,$D181,$E:$E,"기준(전)",$M:$M,"&gt;0")&lt;&gt;1,"",SUMIFS($M:$M,$C:$C,$C181,$D:$D,$D181,$E:$E,"기준(전)"))</f>
        <v/>
      </c>
      <c r="Q181" s="48">
        <f>IF(COUNTIFS($C:$C,$C181,$D:$D,$D181,$E:$E,"기준(후)",$M:$M,"&gt;0")&lt;&gt;1,"",SUMIFS($I:$I,$C:$C,$C181,$D:$D,$D181,$E:$E,"기준(후)"))</f>
        <v/>
      </c>
      <c r="R181" s="31">
        <f>IF(COUNTIFS($C:$C,$C181,$D:$D,$D181,$E:$E,"기준(후)",$M:$M,"&gt;0")&lt;&gt;1,"",SUMIFS($M:$M,$C:$C,$C181,$D:$D,$D181,$E:$E,"기준(후)"))</f>
        <v/>
      </c>
      <c r="S181" s="31">
        <f>IF(N181&lt;&gt;"OK","",P181+(R181-P181)*(I181-O181)/(Q181-O181))</f>
        <v/>
      </c>
      <c r="T181" s="31">
        <f>IF(OR(N181&lt;&gt;"OK",NOT(ISNUMBER(M181))),"",M181-S181)</f>
        <v/>
      </c>
      <c r="U181" s="49">
        <f>IF(OR($E180&lt;&gt;"측정",$C180&lt;&gt;$C181,$D180&lt;&gt;$D181,NOT(ISNUMBER(M181)),NOT(ISNUMBER(M180)),(IF(ISNUMBER(G181),G181,F181)-IF(ISNUMBER(G180),G180,F180))=0),"",(M181-M180)/((IF(ISNUMBER(G181),G181,F181)-IF(ISNUMBER(G180),G180,F180))/100))</f>
        <v/>
      </c>
      <c r="V181" s="29" t="n"/>
      <c r="W181" s="29" t="n"/>
      <c r="X181" s="32" t="n"/>
    </row>
    <row r="182">
      <c r="A182" s="26" t="inlineStr">
        <is>
          <t>S15</t>
        </is>
      </c>
      <c r="B182" s="26" t="inlineStr">
        <is>
          <t>의성 신규점</t>
        </is>
      </c>
      <c r="C182" s="26" t="inlineStr">
        <is>
          <t>S15-V</t>
        </is>
      </c>
      <c r="D182" s="47" t="n">
        <v>1</v>
      </c>
      <c r="E182" s="26" t="inlineStr">
        <is>
          <t>측정</t>
        </is>
      </c>
      <c r="F182" s="47" t="n">
        <v>160</v>
      </c>
      <c r="G182" s="41" t="n"/>
      <c r="H182" s="29" t="n"/>
      <c r="I182" s="43" t="n"/>
      <c r="J182" s="41" t="n"/>
      <c r="K182" s="41" t="n"/>
      <c r="L182" s="41" t="n"/>
      <c r="M182" s="31">
        <f>IF(COUNT(J182:L182)=0,"",MEDIAN(J182:L182))</f>
        <v/>
      </c>
      <c r="N182" s="26">
        <f>IF(COUNTIFS($C:$C,$C182,$D:$D,$D182,$E:$E,"기준(전)",$M:$M,"&gt;0")&lt;&gt;1,"기준(전) 유효 1개 아님",IF(COUNTIFS($C:$C,$C182,$D:$D,$D182,$E:$E,"기준(후)",$M:$M,"&gt;0")&lt;&gt;1,"기준(후) 유효 1개 아님",IF(NOT(AND(ISNUMBER(O182),ISNUMBER(Q182),ISNUMBER(I182))),"시각 결측",IF(Q182&lt;=O182,"기준 시각 역전",IF(OR(I182&lt;O182,I182&gt;Q182),"측정시각 구간 밖","OK")))))</f>
        <v/>
      </c>
      <c r="O182" s="48">
        <f>IF(COUNTIFS($C:$C,$C182,$D:$D,$D182,$E:$E,"기준(전)",$M:$M,"&gt;0")&lt;&gt;1,"",SUMIFS($I:$I,$C:$C,$C182,$D:$D,$D182,$E:$E,"기준(전)"))</f>
        <v/>
      </c>
      <c r="P182" s="31">
        <f>IF(COUNTIFS($C:$C,$C182,$D:$D,$D182,$E:$E,"기준(전)",$M:$M,"&gt;0")&lt;&gt;1,"",SUMIFS($M:$M,$C:$C,$C182,$D:$D,$D182,$E:$E,"기준(전)"))</f>
        <v/>
      </c>
      <c r="Q182" s="48">
        <f>IF(COUNTIFS($C:$C,$C182,$D:$D,$D182,$E:$E,"기준(후)",$M:$M,"&gt;0")&lt;&gt;1,"",SUMIFS($I:$I,$C:$C,$C182,$D:$D,$D182,$E:$E,"기준(후)"))</f>
        <v/>
      </c>
      <c r="R182" s="31">
        <f>IF(COUNTIFS($C:$C,$C182,$D:$D,$D182,$E:$E,"기준(후)",$M:$M,"&gt;0")&lt;&gt;1,"",SUMIFS($M:$M,$C:$C,$C182,$D:$D,$D182,$E:$E,"기준(후)"))</f>
        <v/>
      </c>
      <c r="S182" s="31">
        <f>IF(N182&lt;&gt;"OK","",P182+(R182-P182)*(I182-O182)/(Q182-O182))</f>
        <v/>
      </c>
      <c r="T182" s="31">
        <f>IF(OR(N182&lt;&gt;"OK",NOT(ISNUMBER(M182))),"",M182-S182)</f>
        <v/>
      </c>
      <c r="U182" s="49">
        <f>IF(OR($E181&lt;&gt;"측정",$C181&lt;&gt;$C182,$D181&lt;&gt;$D182,NOT(ISNUMBER(M182)),NOT(ISNUMBER(M181)),(IF(ISNUMBER(G182),G182,F182)-IF(ISNUMBER(G181),G181,F181))=0),"",(M182-M181)/((IF(ISNUMBER(G182),G182,F182)-IF(ISNUMBER(G181),G181,F181))/100))</f>
        <v/>
      </c>
      <c r="V182" s="29" t="n"/>
      <c r="W182" s="29" t="n"/>
      <c r="X182" s="32" t="n"/>
    </row>
    <row r="183">
      <c r="A183" s="26" t="inlineStr">
        <is>
          <t>S15</t>
        </is>
      </c>
      <c r="B183" s="26" t="inlineStr">
        <is>
          <t>의성 신규점</t>
        </is>
      </c>
      <c r="C183" s="26" t="inlineStr">
        <is>
          <t>S15-V</t>
        </is>
      </c>
      <c r="D183" s="47" t="n">
        <v>1</v>
      </c>
      <c r="E183" s="26" t="inlineStr">
        <is>
          <t>측정</t>
        </is>
      </c>
      <c r="F183" s="47" t="n">
        <v>180</v>
      </c>
      <c r="G183" s="41" t="n"/>
      <c r="H183" s="29" t="n"/>
      <c r="I183" s="43" t="n"/>
      <c r="J183" s="41" t="n"/>
      <c r="K183" s="41" t="n"/>
      <c r="L183" s="41" t="n"/>
      <c r="M183" s="31">
        <f>IF(COUNT(J183:L183)=0,"",MEDIAN(J183:L183))</f>
        <v/>
      </c>
      <c r="N183" s="26">
        <f>IF(COUNTIFS($C:$C,$C183,$D:$D,$D183,$E:$E,"기준(전)",$M:$M,"&gt;0")&lt;&gt;1,"기준(전) 유효 1개 아님",IF(COUNTIFS($C:$C,$C183,$D:$D,$D183,$E:$E,"기준(후)",$M:$M,"&gt;0")&lt;&gt;1,"기준(후) 유효 1개 아님",IF(NOT(AND(ISNUMBER(O183),ISNUMBER(Q183),ISNUMBER(I183))),"시각 결측",IF(Q183&lt;=O183,"기준 시각 역전",IF(OR(I183&lt;O183,I183&gt;Q183),"측정시각 구간 밖","OK")))))</f>
        <v/>
      </c>
      <c r="O183" s="48">
        <f>IF(COUNTIFS($C:$C,$C183,$D:$D,$D183,$E:$E,"기준(전)",$M:$M,"&gt;0")&lt;&gt;1,"",SUMIFS($I:$I,$C:$C,$C183,$D:$D,$D183,$E:$E,"기준(전)"))</f>
        <v/>
      </c>
      <c r="P183" s="31">
        <f>IF(COUNTIFS($C:$C,$C183,$D:$D,$D183,$E:$E,"기준(전)",$M:$M,"&gt;0")&lt;&gt;1,"",SUMIFS($M:$M,$C:$C,$C183,$D:$D,$D183,$E:$E,"기준(전)"))</f>
        <v/>
      </c>
      <c r="Q183" s="48">
        <f>IF(COUNTIFS($C:$C,$C183,$D:$D,$D183,$E:$E,"기준(후)",$M:$M,"&gt;0")&lt;&gt;1,"",SUMIFS($I:$I,$C:$C,$C183,$D:$D,$D183,$E:$E,"기준(후)"))</f>
        <v/>
      </c>
      <c r="R183" s="31">
        <f>IF(COUNTIFS($C:$C,$C183,$D:$D,$D183,$E:$E,"기준(후)",$M:$M,"&gt;0")&lt;&gt;1,"",SUMIFS($M:$M,$C:$C,$C183,$D:$D,$D183,$E:$E,"기준(후)"))</f>
        <v/>
      </c>
      <c r="S183" s="31">
        <f>IF(N183&lt;&gt;"OK","",P183+(R183-P183)*(I183-O183)/(Q183-O183))</f>
        <v/>
      </c>
      <c r="T183" s="31">
        <f>IF(OR(N183&lt;&gt;"OK",NOT(ISNUMBER(M183))),"",M183-S183)</f>
        <v/>
      </c>
      <c r="U183" s="49">
        <f>IF(OR($E182&lt;&gt;"측정",$C182&lt;&gt;$C183,$D182&lt;&gt;$D183,NOT(ISNUMBER(M183)),NOT(ISNUMBER(M182)),(IF(ISNUMBER(G183),G183,F183)-IF(ISNUMBER(G182),G182,F182))=0),"",(M183-M182)/((IF(ISNUMBER(G183),G183,F183)-IF(ISNUMBER(G182),G182,F182))/100))</f>
        <v/>
      </c>
      <c r="V183" s="29" t="n"/>
      <c r="W183" s="29" t="n"/>
      <c r="X183" s="32" t="n"/>
    </row>
    <row r="184">
      <c r="A184" s="26" t="inlineStr">
        <is>
          <t>S15</t>
        </is>
      </c>
      <c r="B184" s="26" t="inlineStr">
        <is>
          <t>의성 신규점</t>
        </is>
      </c>
      <c r="C184" s="26" t="inlineStr">
        <is>
          <t>S15-V</t>
        </is>
      </c>
      <c r="D184" s="47" t="n">
        <v>1</v>
      </c>
      <c r="E184" s="26" t="inlineStr">
        <is>
          <t>측정</t>
        </is>
      </c>
      <c r="F184" s="47" t="n">
        <v>200</v>
      </c>
      <c r="G184" s="41" t="n"/>
      <c r="H184" s="29" t="n"/>
      <c r="I184" s="43" t="n"/>
      <c r="J184" s="41" t="n"/>
      <c r="K184" s="41" t="n"/>
      <c r="L184" s="41" t="n"/>
      <c r="M184" s="31">
        <f>IF(COUNT(J184:L184)=0,"",MEDIAN(J184:L184))</f>
        <v/>
      </c>
      <c r="N184" s="26">
        <f>IF(COUNTIFS($C:$C,$C184,$D:$D,$D184,$E:$E,"기준(전)",$M:$M,"&gt;0")&lt;&gt;1,"기준(전) 유효 1개 아님",IF(COUNTIFS($C:$C,$C184,$D:$D,$D184,$E:$E,"기준(후)",$M:$M,"&gt;0")&lt;&gt;1,"기준(후) 유효 1개 아님",IF(NOT(AND(ISNUMBER(O184),ISNUMBER(Q184),ISNUMBER(I184))),"시각 결측",IF(Q184&lt;=O184,"기준 시각 역전",IF(OR(I184&lt;O184,I184&gt;Q184),"측정시각 구간 밖","OK")))))</f>
        <v/>
      </c>
      <c r="O184" s="48">
        <f>IF(COUNTIFS($C:$C,$C184,$D:$D,$D184,$E:$E,"기준(전)",$M:$M,"&gt;0")&lt;&gt;1,"",SUMIFS($I:$I,$C:$C,$C184,$D:$D,$D184,$E:$E,"기준(전)"))</f>
        <v/>
      </c>
      <c r="P184" s="31">
        <f>IF(COUNTIFS($C:$C,$C184,$D:$D,$D184,$E:$E,"기준(전)",$M:$M,"&gt;0")&lt;&gt;1,"",SUMIFS($M:$M,$C:$C,$C184,$D:$D,$D184,$E:$E,"기준(전)"))</f>
        <v/>
      </c>
      <c r="Q184" s="48">
        <f>IF(COUNTIFS($C:$C,$C184,$D:$D,$D184,$E:$E,"기준(후)",$M:$M,"&gt;0")&lt;&gt;1,"",SUMIFS($I:$I,$C:$C,$C184,$D:$D,$D184,$E:$E,"기준(후)"))</f>
        <v/>
      </c>
      <c r="R184" s="31">
        <f>IF(COUNTIFS($C:$C,$C184,$D:$D,$D184,$E:$E,"기준(후)",$M:$M,"&gt;0")&lt;&gt;1,"",SUMIFS($M:$M,$C:$C,$C184,$D:$D,$D184,$E:$E,"기준(후)"))</f>
        <v/>
      </c>
      <c r="S184" s="31">
        <f>IF(N184&lt;&gt;"OK","",P184+(R184-P184)*(I184-O184)/(Q184-O184))</f>
        <v/>
      </c>
      <c r="T184" s="31">
        <f>IF(OR(N184&lt;&gt;"OK",NOT(ISNUMBER(M184))),"",M184-S184)</f>
        <v/>
      </c>
      <c r="U184" s="49">
        <f>IF(OR($E183&lt;&gt;"측정",$C183&lt;&gt;$C184,$D183&lt;&gt;$D184,NOT(ISNUMBER(M184)),NOT(ISNUMBER(M183)),(IF(ISNUMBER(G184),G184,F184)-IF(ISNUMBER(G183),G183,F183))=0),"",(M184-M183)/((IF(ISNUMBER(G184),G184,F184)-IF(ISNUMBER(G183),G183,F183))/100))</f>
        <v/>
      </c>
      <c r="V184" s="29" t="n"/>
      <c r="W184" s="29" t="n"/>
      <c r="X184" s="32" t="n"/>
    </row>
    <row r="185">
      <c r="A185" s="44" t="inlineStr">
        <is>
          <t>S15</t>
        </is>
      </c>
      <c r="B185" s="44" t="inlineStr">
        <is>
          <t>의성 신규점</t>
        </is>
      </c>
      <c r="C185" s="44" t="inlineStr">
        <is>
          <t>S15-V</t>
        </is>
      </c>
      <c r="D185" s="45" t="n">
        <v>1</v>
      </c>
      <c r="E185" s="44" t="inlineStr">
        <is>
          <t>기준(후)</t>
        </is>
      </c>
      <c r="F185" s="45" t="n"/>
      <c r="G185" s="41" t="n"/>
      <c r="H185" s="29" t="n"/>
      <c r="I185" s="43" t="n"/>
      <c r="J185" s="41" t="n"/>
      <c r="K185" s="41" t="n"/>
      <c r="L185" s="41" t="n"/>
      <c r="M185" s="31">
        <f>IF(COUNT(J185:L185)=0,"",MEDIAN(J185:L185))</f>
        <v/>
      </c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29" t="n"/>
      <c r="W185" s="29" t="n"/>
      <c r="X185" s="32" t="n"/>
    </row>
    <row r="186">
      <c r="A186" s="44" t="inlineStr">
        <is>
          <t>S16</t>
        </is>
      </c>
      <c r="B186" s="44" t="inlineStr">
        <is>
          <t>예천 신규점</t>
        </is>
      </c>
      <c r="C186" s="44" t="inlineStr">
        <is>
          <t>S16-V</t>
        </is>
      </c>
      <c r="D186" s="45" t="n">
        <v>1</v>
      </c>
      <c r="E186" s="44" t="inlineStr">
        <is>
          <t>기준(전)</t>
        </is>
      </c>
      <c r="F186" s="45" t="n"/>
      <c r="G186" s="41" t="n"/>
      <c r="H186" s="29" t="n"/>
      <c r="I186" s="43" t="n"/>
      <c r="J186" s="41" t="n"/>
      <c r="K186" s="41" t="n"/>
      <c r="L186" s="41" t="n"/>
      <c r="M186" s="31">
        <f>IF(COUNT(J186:L186)=0,"",MEDIAN(J186:L186))</f>
        <v/>
      </c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29" t="n"/>
      <c r="W186" s="29" t="n"/>
      <c r="X186" s="32" t="n"/>
    </row>
    <row r="187">
      <c r="A187" s="26" t="inlineStr">
        <is>
          <t>S16</t>
        </is>
      </c>
      <c r="B187" s="26" t="inlineStr">
        <is>
          <t>예천 신규점</t>
        </is>
      </c>
      <c r="C187" s="26" t="inlineStr">
        <is>
          <t>S16-V</t>
        </is>
      </c>
      <c r="D187" s="47" t="n">
        <v>1</v>
      </c>
      <c r="E187" s="26" t="inlineStr">
        <is>
          <t>측정</t>
        </is>
      </c>
      <c r="F187" s="47" t="n">
        <v>20</v>
      </c>
      <c r="G187" s="41" t="n"/>
      <c r="H187" s="29" t="n"/>
      <c r="I187" s="43" t="n"/>
      <c r="J187" s="41" t="n"/>
      <c r="K187" s="41" t="n"/>
      <c r="L187" s="41" t="n"/>
      <c r="M187" s="31">
        <f>IF(COUNT(J187:L187)=0,"",MEDIAN(J187:L187))</f>
        <v/>
      </c>
      <c r="N187" s="26">
        <f>IF(COUNTIFS($C:$C,$C187,$D:$D,$D187,$E:$E,"기준(전)",$M:$M,"&gt;0")&lt;&gt;1,"기준(전) 유효 1개 아님",IF(COUNTIFS($C:$C,$C187,$D:$D,$D187,$E:$E,"기준(후)",$M:$M,"&gt;0")&lt;&gt;1,"기준(후) 유효 1개 아님",IF(NOT(AND(ISNUMBER(O187),ISNUMBER(Q187),ISNUMBER(I187))),"시각 결측",IF(Q187&lt;=O187,"기준 시각 역전",IF(OR(I187&lt;O187,I187&gt;Q187),"측정시각 구간 밖","OK")))))</f>
        <v/>
      </c>
      <c r="O187" s="48">
        <f>IF(COUNTIFS($C:$C,$C187,$D:$D,$D187,$E:$E,"기준(전)",$M:$M,"&gt;0")&lt;&gt;1,"",SUMIFS($I:$I,$C:$C,$C187,$D:$D,$D187,$E:$E,"기준(전)"))</f>
        <v/>
      </c>
      <c r="P187" s="31">
        <f>IF(COUNTIFS($C:$C,$C187,$D:$D,$D187,$E:$E,"기준(전)",$M:$M,"&gt;0")&lt;&gt;1,"",SUMIFS($M:$M,$C:$C,$C187,$D:$D,$D187,$E:$E,"기준(전)"))</f>
        <v/>
      </c>
      <c r="Q187" s="48">
        <f>IF(COUNTIFS($C:$C,$C187,$D:$D,$D187,$E:$E,"기준(후)",$M:$M,"&gt;0")&lt;&gt;1,"",SUMIFS($I:$I,$C:$C,$C187,$D:$D,$D187,$E:$E,"기준(후)"))</f>
        <v/>
      </c>
      <c r="R187" s="31">
        <f>IF(COUNTIFS($C:$C,$C187,$D:$D,$D187,$E:$E,"기준(후)",$M:$M,"&gt;0")&lt;&gt;1,"",SUMIFS($M:$M,$C:$C,$C187,$D:$D,$D187,$E:$E,"기준(후)"))</f>
        <v/>
      </c>
      <c r="S187" s="31">
        <f>IF(N187&lt;&gt;"OK","",P187+(R187-P187)*(I187-O187)/(Q187-O187))</f>
        <v/>
      </c>
      <c r="T187" s="31">
        <f>IF(OR(N187&lt;&gt;"OK",NOT(ISNUMBER(M187))),"",M187-S187)</f>
        <v/>
      </c>
      <c r="U187" s="49">
        <f>IF(OR($E186&lt;&gt;"측정",$C186&lt;&gt;$C187,$D186&lt;&gt;$D187,NOT(ISNUMBER(M187)),NOT(ISNUMBER(M186)),(IF(ISNUMBER(G187),G187,F187)-IF(ISNUMBER(G186),G186,F186))=0),"",(M187-M186)/((IF(ISNUMBER(G187),G187,F187)-IF(ISNUMBER(G186),G186,F186))/100))</f>
        <v/>
      </c>
      <c r="V187" s="29" t="n"/>
      <c r="W187" s="29" t="n"/>
      <c r="X187" s="32" t="n"/>
    </row>
    <row r="188">
      <c r="A188" s="26" t="inlineStr">
        <is>
          <t>S16</t>
        </is>
      </c>
      <c r="B188" s="26" t="inlineStr">
        <is>
          <t>예천 신규점</t>
        </is>
      </c>
      <c r="C188" s="26" t="inlineStr">
        <is>
          <t>S16-V</t>
        </is>
      </c>
      <c r="D188" s="47" t="n">
        <v>1</v>
      </c>
      <c r="E188" s="26" t="inlineStr">
        <is>
          <t>측정</t>
        </is>
      </c>
      <c r="F188" s="47" t="n">
        <v>40</v>
      </c>
      <c r="G188" s="41" t="n"/>
      <c r="H188" s="29" t="n"/>
      <c r="I188" s="43" t="n"/>
      <c r="J188" s="41" t="n"/>
      <c r="K188" s="41" t="n"/>
      <c r="L188" s="41" t="n"/>
      <c r="M188" s="31">
        <f>IF(COUNT(J188:L188)=0,"",MEDIAN(J188:L188))</f>
        <v/>
      </c>
      <c r="N188" s="26">
        <f>IF(COUNTIFS($C:$C,$C188,$D:$D,$D188,$E:$E,"기준(전)",$M:$M,"&gt;0")&lt;&gt;1,"기준(전) 유효 1개 아님",IF(COUNTIFS($C:$C,$C188,$D:$D,$D188,$E:$E,"기준(후)",$M:$M,"&gt;0")&lt;&gt;1,"기준(후) 유효 1개 아님",IF(NOT(AND(ISNUMBER(O188),ISNUMBER(Q188),ISNUMBER(I188))),"시각 결측",IF(Q188&lt;=O188,"기준 시각 역전",IF(OR(I188&lt;O188,I188&gt;Q188),"측정시각 구간 밖","OK")))))</f>
        <v/>
      </c>
      <c r="O188" s="48">
        <f>IF(COUNTIFS($C:$C,$C188,$D:$D,$D188,$E:$E,"기준(전)",$M:$M,"&gt;0")&lt;&gt;1,"",SUMIFS($I:$I,$C:$C,$C188,$D:$D,$D188,$E:$E,"기준(전)"))</f>
        <v/>
      </c>
      <c r="P188" s="31">
        <f>IF(COUNTIFS($C:$C,$C188,$D:$D,$D188,$E:$E,"기준(전)",$M:$M,"&gt;0")&lt;&gt;1,"",SUMIFS($M:$M,$C:$C,$C188,$D:$D,$D188,$E:$E,"기준(전)"))</f>
        <v/>
      </c>
      <c r="Q188" s="48">
        <f>IF(COUNTIFS($C:$C,$C188,$D:$D,$D188,$E:$E,"기준(후)",$M:$M,"&gt;0")&lt;&gt;1,"",SUMIFS($I:$I,$C:$C,$C188,$D:$D,$D188,$E:$E,"기준(후)"))</f>
        <v/>
      </c>
      <c r="R188" s="31">
        <f>IF(COUNTIFS($C:$C,$C188,$D:$D,$D188,$E:$E,"기준(후)",$M:$M,"&gt;0")&lt;&gt;1,"",SUMIFS($M:$M,$C:$C,$C188,$D:$D,$D188,$E:$E,"기준(후)"))</f>
        <v/>
      </c>
      <c r="S188" s="31">
        <f>IF(N188&lt;&gt;"OK","",P188+(R188-P188)*(I188-O188)/(Q188-O188))</f>
        <v/>
      </c>
      <c r="T188" s="31">
        <f>IF(OR(N188&lt;&gt;"OK",NOT(ISNUMBER(M188))),"",M188-S188)</f>
        <v/>
      </c>
      <c r="U188" s="49">
        <f>IF(OR($E187&lt;&gt;"측정",$C187&lt;&gt;$C188,$D187&lt;&gt;$D188,NOT(ISNUMBER(M188)),NOT(ISNUMBER(M187)),(IF(ISNUMBER(G188),G188,F188)-IF(ISNUMBER(G187),G187,F187))=0),"",(M188-M187)/((IF(ISNUMBER(G188),G188,F188)-IF(ISNUMBER(G187),G187,F187))/100))</f>
        <v/>
      </c>
      <c r="V188" s="29" t="n"/>
      <c r="W188" s="29" t="n"/>
      <c r="X188" s="32" t="n"/>
    </row>
    <row r="189">
      <c r="A189" s="26" t="inlineStr">
        <is>
          <t>S16</t>
        </is>
      </c>
      <c r="B189" s="26" t="inlineStr">
        <is>
          <t>예천 신규점</t>
        </is>
      </c>
      <c r="C189" s="26" t="inlineStr">
        <is>
          <t>S16-V</t>
        </is>
      </c>
      <c r="D189" s="47" t="n">
        <v>1</v>
      </c>
      <c r="E189" s="26" t="inlineStr">
        <is>
          <t>측정</t>
        </is>
      </c>
      <c r="F189" s="47" t="n">
        <v>60</v>
      </c>
      <c r="G189" s="41" t="n"/>
      <c r="H189" s="29" t="n"/>
      <c r="I189" s="43" t="n"/>
      <c r="J189" s="41" t="n"/>
      <c r="K189" s="41" t="n"/>
      <c r="L189" s="41" t="n"/>
      <c r="M189" s="31">
        <f>IF(COUNT(J189:L189)=0,"",MEDIAN(J189:L189))</f>
        <v/>
      </c>
      <c r="N189" s="26">
        <f>IF(COUNTIFS($C:$C,$C189,$D:$D,$D189,$E:$E,"기준(전)",$M:$M,"&gt;0")&lt;&gt;1,"기준(전) 유효 1개 아님",IF(COUNTIFS($C:$C,$C189,$D:$D,$D189,$E:$E,"기준(후)",$M:$M,"&gt;0")&lt;&gt;1,"기준(후) 유효 1개 아님",IF(NOT(AND(ISNUMBER(O189),ISNUMBER(Q189),ISNUMBER(I189))),"시각 결측",IF(Q189&lt;=O189,"기준 시각 역전",IF(OR(I189&lt;O189,I189&gt;Q189),"측정시각 구간 밖","OK")))))</f>
        <v/>
      </c>
      <c r="O189" s="48">
        <f>IF(COUNTIFS($C:$C,$C189,$D:$D,$D189,$E:$E,"기준(전)",$M:$M,"&gt;0")&lt;&gt;1,"",SUMIFS($I:$I,$C:$C,$C189,$D:$D,$D189,$E:$E,"기준(전)"))</f>
        <v/>
      </c>
      <c r="P189" s="31">
        <f>IF(COUNTIFS($C:$C,$C189,$D:$D,$D189,$E:$E,"기준(전)",$M:$M,"&gt;0")&lt;&gt;1,"",SUMIFS($M:$M,$C:$C,$C189,$D:$D,$D189,$E:$E,"기준(전)"))</f>
        <v/>
      </c>
      <c r="Q189" s="48">
        <f>IF(COUNTIFS($C:$C,$C189,$D:$D,$D189,$E:$E,"기준(후)",$M:$M,"&gt;0")&lt;&gt;1,"",SUMIFS($I:$I,$C:$C,$C189,$D:$D,$D189,$E:$E,"기준(후)"))</f>
        <v/>
      </c>
      <c r="R189" s="31">
        <f>IF(COUNTIFS($C:$C,$C189,$D:$D,$D189,$E:$E,"기준(후)",$M:$M,"&gt;0")&lt;&gt;1,"",SUMIFS($M:$M,$C:$C,$C189,$D:$D,$D189,$E:$E,"기준(후)"))</f>
        <v/>
      </c>
      <c r="S189" s="31">
        <f>IF(N189&lt;&gt;"OK","",P189+(R189-P189)*(I189-O189)/(Q189-O189))</f>
        <v/>
      </c>
      <c r="T189" s="31">
        <f>IF(OR(N189&lt;&gt;"OK",NOT(ISNUMBER(M189))),"",M189-S189)</f>
        <v/>
      </c>
      <c r="U189" s="49">
        <f>IF(OR($E188&lt;&gt;"측정",$C188&lt;&gt;$C189,$D188&lt;&gt;$D189,NOT(ISNUMBER(M189)),NOT(ISNUMBER(M188)),(IF(ISNUMBER(G189),G189,F189)-IF(ISNUMBER(G188),G188,F188))=0),"",(M189-M188)/((IF(ISNUMBER(G189),G189,F189)-IF(ISNUMBER(G188),G188,F188))/100))</f>
        <v/>
      </c>
      <c r="V189" s="29" t="n"/>
      <c r="W189" s="29" t="n"/>
      <c r="X189" s="32" t="n"/>
    </row>
    <row r="190">
      <c r="A190" s="26" t="inlineStr">
        <is>
          <t>S16</t>
        </is>
      </c>
      <c r="B190" s="26" t="inlineStr">
        <is>
          <t>예천 신규점</t>
        </is>
      </c>
      <c r="C190" s="26" t="inlineStr">
        <is>
          <t>S16-V</t>
        </is>
      </c>
      <c r="D190" s="47" t="n">
        <v>1</v>
      </c>
      <c r="E190" s="26" t="inlineStr">
        <is>
          <t>측정</t>
        </is>
      </c>
      <c r="F190" s="47" t="n">
        <v>80</v>
      </c>
      <c r="G190" s="41" t="n"/>
      <c r="H190" s="29" t="n"/>
      <c r="I190" s="43" t="n"/>
      <c r="J190" s="41" t="n"/>
      <c r="K190" s="41" t="n"/>
      <c r="L190" s="41" t="n"/>
      <c r="M190" s="31">
        <f>IF(COUNT(J190:L190)=0,"",MEDIAN(J190:L190))</f>
        <v/>
      </c>
      <c r="N190" s="26">
        <f>IF(COUNTIFS($C:$C,$C190,$D:$D,$D190,$E:$E,"기준(전)",$M:$M,"&gt;0")&lt;&gt;1,"기준(전) 유효 1개 아님",IF(COUNTIFS($C:$C,$C190,$D:$D,$D190,$E:$E,"기준(후)",$M:$M,"&gt;0")&lt;&gt;1,"기준(후) 유효 1개 아님",IF(NOT(AND(ISNUMBER(O190),ISNUMBER(Q190),ISNUMBER(I190))),"시각 결측",IF(Q190&lt;=O190,"기준 시각 역전",IF(OR(I190&lt;O190,I190&gt;Q190),"측정시각 구간 밖","OK")))))</f>
        <v/>
      </c>
      <c r="O190" s="48">
        <f>IF(COUNTIFS($C:$C,$C190,$D:$D,$D190,$E:$E,"기준(전)",$M:$M,"&gt;0")&lt;&gt;1,"",SUMIFS($I:$I,$C:$C,$C190,$D:$D,$D190,$E:$E,"기준(전)"))</f>
        <v/>
      </c>
      <c r="P190" s="31">
        <f>IF(COUNTIFS($C:$C,$C190,$D:$D,$D190,$E:$E,"기준(전)",$M:$M,"&gt;0")&lt;&gt;1,"",SUMIFS($M:$M,$C:$C,$C190,$D:$D,$D190,$E:$E,"기준(전)"))</f>
        <v/>
      </c>
      <c r="Q190" s="48">
        <f>IF(COUNTIFS($C:$C,$C190,$D:$D,$D190,$E:$E,"기준(후)",$M:$M,"&gt;0")&lt;&gt;1,"",SUMIFS($I:$I,$C:$C,$C190,$D:$D,$D190,$E:$E,"기준(후)"))</f>
        <v/>
      </c>
      <c r="R190" s="31">
        <f>IF(COUNTIFS($C:$C,$C190,$D:$D,$D190,$E:$E,"기준(후)",$M:$M,"&gt;0")&lt;&gt;1,"",SUMIFS($M:$M,$C:$C,$C190,$D:$D,$D190,$E:$E,"기준(후)"))</f>
        <v/>
      </c>
      <c r="S190" s="31">
        <f>IF(N190&lt;&gt;"OK","",P190+(R190-P190)*(I190-O190)/(Q190-O190))</f>
        <v/>
      </c>
      <c r="T190" s="31">
        <f>IF(OR(N190&lt;&gt;"OK",NOT(ISNUMBER(M190))),"",M190-S190)</f>
        <v/>
      </c>
      <c r="U190" s="49">
        <f>IF(OR($E189&lt;&gt;"측정",$C189&lt;&gt;$C190,$D189&lt;&gt;$D190,NOT(ISNUMBER(M190)),NOT(ISNUMBER(M189)),(IF(ISNUMBER(G190),G190,F190)-IF(ISNUMBER(G189),G189,F189))=0),"",(M190-M189)/((IF(ISNUMBER(G190),G190,F190)-IF(ISNUMBER(G189),G189,F189))/100))</f>
        <v/>
      </c>
      <c r="V190" s="29" t="n"/>
      <c r="W190" s="29" t="n"/>
      <c r="X190" s="32" t="n"/>
    </row>
    <row r="191">
      <c r="A191" s="26" t="inlineStr">
        <is>
          <t>S16</t>
        </is>
      </c>
      <c r="B191" s="26" t="inlineStr">
        <is>
          <t>예천 신규점</t>
        </is>
      </c>
      <c r="C191" s="26" t="inlineStr">
        <is>
          <t>S16-V</t>
        </is>
      </c>
      <c r="D191" s="47" t="n">
        <v>1</v>
      </c>
      <c r="E191" s="26" t="inlineStr">
        <is>
          <t>측정</t>
        </is>
      </c>
      <c r="F191" s="47" t="n">
        <v>100</v>
      </c>
      <c r="G191" s="41" t="n"/>
      <c r="H191" s="29" t="n"/>
      <c r="I191" s="43" t="n"/>
      <c r="J191" s="41" t="n"/>
      <c r="K191" s="41" t="n"/>
      <c r="L191" s="41" t="n"/>
      <c r="M191" s="31">
        <f>IF(COUNT(J191:L191)=0,"",MEDIAN(J191:L191))</f>
        <v/>
      </c>
      <c r="N191" s="26">
        <f>IF(COUNTIFS($C:$C,$C191,$D:$D,$D191,$E:$E,"기준(전)",$M:$M,"&gt;0")&lt;&gt;1,"기준(전) 유효 1개 아님",IF(COUNTIFS($C:$C,$C191,$D:$D,$D191,$E:$E,"기준(후)",$M:$M,"&gt;0")&lt;&gt;1,"기준(후) 유효 1개 아님",IF(NOT(AND(ISNUMBER(O191),ISNUMBER(Q191),ISNUMBER(I191))),"시각 결측",IF(Q191&lt;=O191,"기준 시각 역전",IF(OR(I191&lt;O191,I191&gt;Q191),"측정시각 구간 밖","OK")))))</f>
        <v/>
      </c>
      <c r="O191" s="48">
        <f>IF(COUNTIFS($C:$C,$C191,$D:$D,$D191,$E:$E,"기준(전)",$M:$M,"&gt;0")&lt;&gt;1,"",SUMIFS($I:$I,$C:$C,$C191,$D:$D,$D191,$E:$E,"기준(전)"))</f>
        <v/>
      </c>
      <c r="P191" s="31">
        <f>IF(COUNTIFS($C:$C,$C191,$D:$D,$D191,$E:$E,"기준(전)",$M:$M,"&gt;0")&lt;&gt;1,"",SUMIFS($M:$M,$C:$C,$C191,$D:$D,$D191,$E:$E,"기준(전)"))</f>
        <v/>
      </c>
      <c r="Q191" s="48">
        <f>IF(COUNTIFS($C:$C,$C191,$D:$D,$D191,$E:$E,"기준(후)",$M:$M,"&gt;0")&lt;&gt;1,"",SUMIFS($I:$I,$C:$C,$C191,$D:$D,$D191,$E:$E,"기준(후)"))</f>
        <v/>
      </c>
      <c r="R191" s="31">
        <f>IF(COUNTIFS($C:$C,$C191,$D:$D,$D191,$E:$E,"기준(후)",$M:$M,"&gt;0")&lt;&gt;1,"",SUMIFS($M:$M,$C:$C,$C191,$D:$D,$D191,$E:$E,"기준(후)"))</f>
        <v/>
      </c>
      <c r="S191" s="31">
        <f>IF(N191&lt;&gt;"OK","",P191+(R191-P191)*(I191-O191)/(Q191-O191))</f>
        <v/>
      </c>
      <c r="T191" s="31">
        <f>IF(OR(N191&lt;&gt;"OK",NOT(ISNUMBER(M191))),"",M191-S191)</f>
        <v/>
      </c>
      <c r="U191" s="49">
        <f>IF(OR($E190&lt;&gt;"측정",$C190&lt;&gt;$C191,$D190&lt;&gt;$D191,NOT(ISNUMBER(M191)),NOT(ISNUMBER(M190)),(IF(ISNUMBER(G191),G191,F191)-IF(ISNUMBER(G190),G190,F190))=0),"",(M191-M190)/((IF(ISNUMBER(G191),G191,F191)-IF(ISNUMBER(G190),G190,F190))/100))</f>
        <v/>
      </c>
      <c r="V191" s="29" t="n"/>
      <c r="W191" s="29" t="n"/>
      <c r="X191" s="32" t="n"/>
    </row>
    <row r="192">
      <c r="A192" s="26" t="inlineStr">
        <is>
          <t>S16</t>
        </is>
      </c>
      <c r="B192" s="26" t="inlineStr">
        <is>
          <t>예천 신규점</t>
        </is>
      </c>
      <c r="C192" s="26" t="inlineStr">
        <is>
          <t>S16-V</t>
        </is>
      </c>
      <c r="D192" s="47" t="n">
        <v>1</v>
      </c>
      <c r="E192" s="26" t="inlineStr">
        <is>
          <t>측정</t>
        </is>
      </c>
      <c r="F192" s="47" t="n">
        <v>120</v>
      </c>
      <c r="G192" s="41" t="n"/>
      <c r="H192" s="29" t="n"/>
      <c r="I192" s="43" t="n"/>
      <c r="J192" s="41" t="n"/>
      <c r="K192" s="41" t="n"/>
      <c r="L192" s="41" t="n"/>
      <c r="M192" s="31">
        <f>IF(COUNT(J192:L192)=0,"",MEDIAN(J192:L192))</f>
        <v/>
      </c>
      <c r="N192" s="26">
        <f>IF(COUNTIFS($C:$C,$C192,$D:$D,$D192,$E:$E,"기준(전)",$M:$M,"&gt;0")&lt;&gt;1,"기준(전) 유효 1개 아님",IF(COUNTIFS($C:$C,$C192,$D:$D,$D192,$E:$E,"기준(후)",$M:$M,"&gt;0")&lt;&gt;1,"기준(후) 유효 1개 아님",IF(NOT(AND(ISNUMBER(O192),ISNUMBER(Q192),ISNUMBER(I192))),"시각 결측",IF(Q192&lt;=O192,"기준 시각 역전",IF(OR(I192&lt;O192,I192&gt;Q192),"측정시각 구간 밖","OK")))))</f>
        <v/>
      </c>
      <c r="O192" s="48">
        <f>IF(COUNTIFS($C:$C,$C192,$D:$D,$D192,$E:$E,"기준(전)",$M:$M,"&gt;0")&lt;&gt;1,"",SUMIFS($I:$I,$C:$C,$C192,$D:$D,$D192,$E:$E,"기준(전)"))</f>
        <v/>
      </c>
      <c r="P192" s="31">
        <f>IF(COUNTIFS($C:$C,$C192,$D:$D,$D192,$E:$E,"기준(전)",$M:$M,"&gt;0")&lt;&gt;1,"",SUMIFS($M:$M,$C:$C,$C192,$D:$D,$D192,$E:$E,"기준(전)"))</f>
        <v/>
      </c>
      <c r="Q192" s="48">
        <f>IF(COUNTIFS($C:$C,$C192,$D:$D,$D192,$E:$E,"기준(후)",$M:$M,"&gt;0")&lt;&gt;1,"",SUMIFS($I:$I,$C:$C,$C192,$D:$D,$D192,$E:$E,"기준(후)"))</f>
        <v/>
      </c>
      <c r="R192" s="31">
        <f>IF(COUNTIFS($C:$C,$C192,$D:$D,$D192,$E:$E,"기준(후)",$M:$M,"&gt;0")&lt;&gt;1,"",SUMIFS($M:$M,$C:$C,$C192,$D:$D,$D192,$E:$E,"기준(후)"))</f>
        <v/>
      </c>
      <c r="S192" s="31">
        <f>IF(N192&lt;&gt;"OK","",P192+(R192-P192)*(I192-O192)/(Q192-O192))</f>
        <v/>
      </c>
      <c r="T192" s="31">
        <f>IF(OR(N192&lt;&gt;"OK",NOT(ISNUMBER(M192))),"",M192-S192)</f>
        <v/>
      </c>
      <c r="U192" s="49">
        <f>IF(OR($E191&lt;&gt;"측정",$C191&lt;&gt;$C192,$D191&lt;&gt;$D192,NOT(ISNUMBER(M192)),NOT(ISNUMBER(M191)),(IF(ISNUMBER(G192),G192,F192)-IF(ISNUMBER(G191),G191,F191))=0),"",(M192-M191)/((IF(ISNUMBER(G192),G192,F192)-IF(ISNUMBER(G191),G191,F191))/100))</f>
        <v/>
      </c>
      <c r="V192" s="29" t="n"/>
      <c r="W192" s="29" t="n"/>
      <c r="X192" s="32" t="n"/>
    </row>
    <row r="193">
      <c r="A193" s="26" t="inlineStr">
        <is>
          <t>S16</t>
        </is>
      </c>
      <c r="B193" s="26" t="inlineStr">
        <is>
          <t>예천 신규점</t>
        </is>
      </c>
      <c r="C193" s="26" t="inlineStr">
        <is>
          <t>S16-V</t>
        </is>
      </c>
      <c r="D193" s="47" t="n">
        <v>1</v>
      </c>
      <c r="E193" s="26" t="inlineStr">
        <is>
          <t>측정</t>
        </is>
      </c>
      <c r="F193" s="47" t="n">
        <v>140</v>
      </c>
      <c r="G193" s="41" t="n"/>
      <c r="H193" s="29" t="n"/>
      <c r="I193" s="43" t="n"/>
      <c r="J193" s="41" t="n"/>
      <c r="K193" s="41" t="n"/>
      <c r="L193" s="41" t="n"/>
      <c r="M193" s="31">
        <f>IF(COUNT(J193:L193)=0,"",MEDIAN(J193:L193))</f>
        <v/>
      </c>
      <c r="N193" s="26">
        <f>IF(COUNTIFS($C:$C,$C193,$D:$D,$D193,$E:$E,"기준(전)",$M:$M,"&gt;0")&lt;&gt;1,"기준(전) 유효 1개 아님",IF(COUNTIFS($C:$C,$C193,$D:$D,$D193,$E:$E,"기준(후)",$M:$M,"&gt;0")&lt;&gt;1,"기준(후) 유효 1개 아님",IF(NOT(AND(ISNUMBER(O193),ISNUMBER(Q193),ISNUMBER(I193))),"시각 결측",IF(Q193&lt;=O193,"기준 시각 역전",IF(OR(I193&lt;O193,I193&gt;Q193),"측정시각 구간 밖","OK")))))</f>
        <v/>
      </c>
      <c r="O193" s="48">
        <f>IF(COUNTIFS($C:$C,$C193,$D:$D,$D193,$E:$E,"기준(전)",$M:$M,"&gt;0")&lt;&gt;1,"",SUMIFS($I:$I,$C:$C,$C193,$D:$D,$D193,$E:$E,"기준(전)"))</f>
        <v/>
      </c>
      <c r="P193" s="31">
        <f>IF(COUNTIFS($C:$C,$C193,$D:$D,$D193,$E:$E,"기준(전)",$M:$M,"&gt;0")&lt;&gt;1,"",SUMIFS($M:$M,$C:$C,$C193,$D:$D,$D193,$E:$E,"기준(전)"))</f>
        <v/>
      </c>
      <c r="Q193" s="48">
        <f>IF(COUNTIFS($C:$C,$C193,$D:$D,$D193,$E:$E,"기준(후)",$M:$M,"&gt;0")&lt;&gt;1,"",SUMIFS($I:$I,$C:$C,$C193,$D:$D,$D193,$E:$E,"기준(후)"))</f>
        <v/>
      </c>
      <c r="R193" s="31">
        <f>IF(COUNTIFS($C:$C,$C193,$D:$D,$D193,$E:$E,"기준(후)",$M:$M,"&gt;0")&lt;&gt;1,"",SUMIFS($M:$M,$C:$C,$C193,$D:$D,$D193,$E:$E,"기준(후)"))</f>
        <v/>
      </c>
      <c r="S193" s="31">
        <f>IF(N193&lt;&gt;"OK","",P193+(R193-P193)*(I193-O193)/(Q193-O193))</f>
        <v/>
      </c>
      <c r="T193" s="31">
        <f>IF(OR(N193&lt;&gt;"OK",NOT(ISNUMBER(M193))),"",M193-S193)</f>
        <v/>
      </c>
      <c r="U193" s="49">
        <f>IF(OR($E192&lt;&gt;"측정",$C192&lt;&gt;$C193,$D192&lt;&gt;$D193,NOT(ISNUMBER(M193)),NOT(ISNUMBER(M192)),(IF(ISNUMBER(G193),G193,F193)-IF(ISNUMBER(G192),G192,F192))=0),"",(M193-M192)/((IF(ISNUMBER(G193),G193,F193)-IF(ISNUMBER(G192),G192,F192))/100))</f>
        <v/>
      </c>
      <c r="V193" s="29" t="n"/>
      <c r="W193" s="29" t="n"/>
      <c r="X193" s="32" t="n"/>
    </row>
    <row r="194">
      <c r="A194" s="26" t="inlineStr">
        <is>
          <t>S16</t>
        </is>
      </c>
      <c r="B194" s="26" t="inlineStr">
        <is>
          <t>예천 신규점</t>
        </is>
      </c>
      <c r="C194" s="26" t="inlineStr">
        <is>
          <t>S16-V</t>
        </is>
      </c>
      <c r="D194" s="47" t="n">
        <v>1</v>
      </c>
      <c r="E194" s="26" t="inlineStr">
        <is>
          <t>측정</t>
        </is>
      </c>
      <c r="F194" s="47" t="n">
        <v>160</v>
      </c>
      <c r="G194" s="41" t="n"/>
      <c r="H194" s="29" t="n"/>
      <c r="I194" s="43" t="n"/>
      <c r="J194" s="41" t="n"/>
      <c r="K194" s="41" t="n"/>
      <c r="L194" s="41" t="n"/>
      <c r="M194" s="31">
        <f>IF(COUNT(J194:L194)=0,"",MEDIAN(J194:L194))</f>
        <v/>
      </c>
      <c r="N194" s="26">
        <f>IF(COUNTIFS($C:$C,$C194,$D:$D,$D194,$E:$E,"기준(전)",$M:$M,"&gt;0")&lt;&gt;1,"기준(전) 유효 1개 아님",IF(COUNTIFS($C:$C,$C194,$D:$D,$D194,$E:$E,"기준(후)",$M:$M,"&gt;0")&lt;&gt;1,"기준(후) 유효 1개 아님",IF(NOT(AND(ISNUMBER(O194),ISNUMBER(Q194),ISNUMBER(I194))),"시각 결측",IF(Q194&lt;=O194,"기준 시각 역전",IF(OR(I194&lt;O194,I194&gt;Q194),"측정시각 구간 밖","OK")))))</f>
        <v/>
      </c>
      <c r="O194" s="48">
        <f>IF(COUNTIFS($C:$C,$C194,$D:$D,$D194,$E:$E,"기준(전)",$M:$M,"&gt;0")&lt;&gt;1,"",SUMIFS($I:$I,$C:$C,$C194,$D:$D,$D194,$E:$E,"기준(전)"))</f>
        <v/>
      </c>
      <c r="P194" s="31">
        <f>IF(COUNTIFS($C:$C,$C194,$D:$D,$D194,$E:$E,"기준(전)",$M:$M,"&gt;0")&lt;&gt;1,"",SUMIFS($M:$M,$C:$C,$C194,$D:$D,$D194,$E:$E,"기준(전)"))</f>
        <v/>
      </c>
      <c r="Q194" s="48">
        <f>IF(COUNTIFS($C:$C,$C194,$D:$D,$D194,$E:$E,"기준(후)",$M:$M,"&gt;0")&lt;&gt;1,"",SUMIFS($I:$I,$C:$C,$C194,$D:$D,$D194,$E:$E,"기준(후)"))</f>
        <v/>
      </c>
      <c r="R194" s="31">
        <f>IF(COUNTIFS($C:$C,$C194,$D:$D,$D194,$E:$E,"기준(후)",$M:$M,"&gt;0")&lt;&gt;1,"",SUMIFS($M:$M,$C:$C,$C194,$D:$D,$D194,$E:$E,"기준(후)"))</f>
        <v/>
      </c>
      <c r="S194" s="31">
        <f>IF(N194&lt;&gt;"OK","",P194+(R194-P194)*(I194-O194)/(Q194-O194))</f>
        <v/>
      </c>
      <c r="T194" s="31">
        <f>IF(OR(N194&lt;&gt;"OK",NOT(ISNUMBER(M194))),"",M194-S194)</f>
        <v/>
      </c>
      <c r="U194" s="49">
        <f>IF(OR($E193&lt;&gt;"측정",$C193&lt;&gt;$C194,$D193&lt;&gt;$D194,NOT(ISNUMBER(M194)),NOT(ISNUMBER(M193)),(IF(ISNUMBER(G194),G194,F194)-IF(ISNUMBER(G193),G193,F193))=0),"",(M194-M193)/((IF(ISNUMBER(G194),G194,F194)-IF(ISNUMBER(G193),G193,F193))/100))</f>
        <v/>
      </c>
      <c r="V194" s="29" t="n"/>
      <c r="W194" s="29" t="n"/>
      <c r="X194" s="32" t="n"/>
    </row>
    <row r="195">
      <c r="A195" s="26" t="inlineStr">
        <is>
          <t>S16</t>
        </is>
      </c>
      <c r="B195" s="26" t="inlineStr">
        <is>
          <t>예천 신규점</t>
        </is>
      </c>
      <c r="C195" s="26" t="inlineStr">
        <is>
          <t>S16-V</t>
        </is>
      </c>
      <c r="D195" s="47" t="n">
        <v>1</v>
      </c>
      <c r="E195" s="26" t="inlineStr">
        <is>
          <t>측정</t>
        </is>
      </c>
      <c r="F195" s="47" t="n">
        <v>180</v>
      </c>
      <c r="G195" s="41" t="n"/>
      <c r="H195" s="29" t="n"/>
      <c r="I195" s="43" t="n"/>
      <c r="J195" s="41" t="n"/>
      <c r="K195" s="41" t="n"/>
      <c r="L195" s="41" t="n"/>
      <c r="M195" s="31">
        <f>IF(COUNT(J195:L195)=0,"",MEDIAN(J195:L195))</f>
        <v/>
      </c>
      <c r="N195" s="26">
        <f>IF(COUNTIFS($C:$C,$C195,$D:$D,$D195,$E:$E,"기준(전)",$M:$M,"&gt;0")&lt;&gt;1,"기준(전) 유효 1개 아님",IF(COUNTIFS($C:$C,$C195,$D:$D,$D195,$E:$E,"기준(후)",$M:$M,"&gt;0")&lt;&gt;1,"기준(후) 유효 1개 아님",IF(NOT(AND(ISNUMBER(O195),ISNUMBER(Q195),ISNUMBER(I195))),"시각 결측",IF(Q195&lt;=O195,"기준 시각 역전",IF(OR(I195&lt;O195,I195&gt;Q195),"측정시각 구간 밖","OK")))))</f>
        <v/>
      </c>
      <c r="O195" s="48">
        <f>IF(COUNTIFS($C:$C,$C195,$D:$D,$D195,$E:$E,"기준(전)",$M:$M,"&gt;0")&lt;&gt;1,"",SUMIFS($I:$I,$C:$C,$C195,$D:$D,$D195,$E:$E,"기준(전)"))</f>
        <v/>
      </c>
      <c r="P195" s="31">
        <f>IF(COUNTIFS($C:$C,$C195,$D:$D,$D195,$E:$E,"기준(전)",$M:$M,"&gt;0")&lt;&gt;1,"",SUMIFS($M:$M,$C:$C,$C195,$D:$D,$D195,$E:$E,"기준(전)"))</f>
        <v/>
      </c>
      <c r="Q195" s="48">
        <f>IF(COUNTIFS($C:$C,$C195,$D:$D,$D195,$E:$E,"기준(후)",$M:$M,"&gt;0")&lt;&gt;1,"",SUMIFS($I:$I,$C:$C,$C195,$D:$D,$D195,$E:$E,"기준(후)"))</f>
        <v/>
      </c>
      <c r="R195" s="31">
        <f>IF(COUNTIFS($C:$C,$C195,$D:$D,$D195,$E:$E,"기준(후)",$M:$M,"&gt;0")&lt;&gt;1,"",SUMIFS($M:$M,$C:$C,$C195,$D:$D,$D195,$E:$E,"기준(후)"))</f>
        <v/>
      </c>
      <c r="S195" s="31">
        <f>IF(N195&lt;&gt;"OK","",P195+(R195-P195)*(I195-O195)/(Q195-O195))</f>
        <v/>
      </c>
      <c r="T195" s="31">
        <f>IF(OR(N195&lt;&gt;"OK",NOT(ISNUMBER(M195))),"",M195-S195)</f>
        <v/>
      </c>
      <c r="U195" s="49">
        <f>IF(OR($E194&lt;&gt;"측정",$C194&lt;&gt;$C195,$D194&lt;&gt;$D195,NOT(ISNUMBER(M195)),NOT(ISNUMBER(M194)),(IF(ISNUMBER(G195),G195,F195)-IF(ISNUMBER(G194),G194,F194))=0),"",(M195-M194)/((IF(ISNUMBER(G195),G195,F195)-IF(ISNUMBER(G194),G194,F194))/100))</f>
        <v/>
      </c>
      <c r="V195" s="29" t="n"/>
      <c r="W195" s="29" t="n"/>
      <c r="X195" s="32" t="n"/>
    </row>
    <row r="196">
      <c r="A196" s="26" t="inlineStr">
        <is>
          <t>S16</t>
        </is>
      </c>
      <c r="B196" s="26" t="inlineStr">
        <is>
          <t>예천 신규점</t>
        </is>
      </c>
      <c r="C196" s="26" t="inlineStr">
        <is>
          <t>S16-V</t>
        </is>
      </c>
      <c r="D196" s="47" t="n">
        <v>1</v>
      </c>
      <c r="E196" s="26" t="inlineStr">
        <is>
          <t>측정</t>
        </is>
      </c>
      <c r="F196" s="47" t="n">
        <v>200</v>
      </c>
      <c r="G196" s="41" t="n"/>
      <c r="H196" s="29" t="n"/>
      <c r="I196" s="43" t="n"/>
      <c r="J196" s="41" t="n"/>
      <c r="K196" s="41" t="n"/>
      <c r="L196" s="41" t="n"/>
      <c r="M196" s="31">
        <f>IF(COUNT(J196:L196)=0,"",MEDIAN(J196:L196))</f>
        <v/>
      </c>
      <c r="N196" s="26">
        <f>IF(COUNTIFS($C:$C,$C196,$D:$D,$D196,$E:$E,"기준(전)",$M:$M,"&gt;0")&lt;&gt;1,"기준(전) 유효 1개 아님",IF(COUNTIFS($C:$C,$C196,$D:$D,$D196,$E:$E,"기준(후)",$M:$M,"&gt;0")&lt;&gt;1,"기준(후) 유효 1개 아님",IF(NOT(AND(ISNUMBER(O196),ISNUMBER(Q196),ISNUMBER(I196))),"시각 결측",IF(Q196&lt;=O196,"기준 시각 역전",IF(OR(I196&lt;O196,I196&gt;Q196),"측정시각 구간 밖","OK")))))</f>
        <v/>
      </c>
      <c r="O196" s="48">
        <f>IF(COUNTIFS($C:$C,$C196,$D:$D,$D196,$E:$E,"기준(전)",$M:$M,"&gt;0")&lt;&gt;1,"",SUMIFS($I:$I,$C:$C,$C196,$D:$D,$D196,$E:$E,"기준(전)"))</f>
        <v/>
      </c>
      <c r="P196" s="31">
        <f>IF(COUNTIFS($C:$C,$C196,$D:$D,$D196,$E:$E,"기준(전)",$M:$M,"&gt;0")&lt;&gt;1,"",SUMIFS($M:$M,$C:$C,$C196,$D:$D,$D196,$E:$E,"기준(전)"))</f>
        <v/>
      </c>
      <c r="Q196" s="48">
        <f>IF(COUNTIFS($C:$C,$C196,$D:$D,$D196,$E:$E,"기준(후)",$M:$M,"&gt;0")&lt;&gt;1,"",SUMIFS($I:$I,$C:$C,$C196,$D:$D,$D196,$E:$E,"기준(후)"))</f>
        <v/>
      </c>
      <c r="R196" s="31">
        <f>IF(COUNTIFS($C:$C,$C196,$D:$D,$D196,$E:$E,"기준(후)",$M:$M,"&gt;0")&lt;&gt;1,"",SUMIFS($M:$M,$C:$C,$C196,$D:$D,$D196,$E:$E,"기준(후)"))</f>
        <v/>
      </c>
      <c r="S196" s="31">
        <f>IF(N196&lt;&gt;"OK","",P196+(R196-P196)*(I196-O196)/(Q196-O196))</f>
        <v/>
      </c>
      <c r="T196" s="31">
        <f>IF(OR(N196&lt;&gt;"OK",NOT(ISNUMBER(M196))),"",M196-S196)</f>
        <v/>
      </c>
      <c r="U196" s="49">
        <f>IF(OR($E195&lt;&gt;"측정",$C195&lt;&gt;$C196,$D195&lt;&gt;$D196,NOT(ISNUMBER(M196)),NOT(ISNUMBER(M195)),(IF(ISNUMBER(G196),G196,F196)-IF(ISNUMBER(G195),G195,F195))=0),"",(M196-M195)/((IF(ISNUMBER(G196),G196,F196)-IF(ISNUMBER(G195),G195,F195))/100))</f>
        <v/>
      </c>
      <c r="V196" s="29" t="n"/>
      <c r="W196" s="29" t="n"/>
      <c r="X196" s="32" t="n"/>
    </row>
    <row r="197">
      <c r="A197" s="44" t="inlineStr">
        <is>
          <t>S16</t>
        </is>
      </c>
      <c r="B197" s="44" t="inlineStr">
        <is>
          <t>예천 신규점</t>
        </is>
      </c>
      <c r="C197" s="44" t="inlineStr">
        <is>
          <t>S16-V</t>
        </is>
      </c>
      <c r="D197" s="45" t="n">
        <v>1</v>
      </c>
      <c r="E197" s="44" t="inlineStr">
        <is>
          <t>기준(후)</t>
        </is>
      </c>
      <c r="F197" s="45" t="n"/>
      <c r="G197" s="41" t="n"/>
      <c r="H197" s="29" t="n"/>
      <c r="I197" s="43" t="n"/>
      <c r="J197" s="41" t="n"/>
      <c r="K197" s="41" t="n"/>
      <c r="L197" s="41" t="n"/>
      <c r="M197" s="31">
        <f>IF(COUNT(J197:L197)=0,"",MEDIAN(J197:L197))</f>
        <v/>
      </c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29" t="n"/>
      <c r="W197" s="29" t="n"/>
      <c r="X197" s="32" t="n"/>
    </row>
    <row r="198">
      <c r="A198" s="44" t="inlineStr">
        <is>
          <t>S17</t>
        </is>
      </c>
      <c r="B198" s="44" t="inlineStr">
        <is>
          <t>영양 신규점4</t>
        </is>
      </c>
      <c r="C198" s="44" t="inlineStr">
        <is>
          <t>S17-V</t>
        </is>
      </c>
      <c r="D198" s="45" t="n">
        <v>1</v>
      </c>
      <c r="E198" s="44" t="inlineStr">
        <is>
          <t>기준(전)</t>
        </is>
      </c>
      <c r="F198" s="45" t="n"/>
      <c r="G198" s="41" t="n"/>
      <c r="H198" s="29" t="n"/>
      <c r="I198" s="43" t="n"/>
      <c r="J198" s="41" t="n"/>
      <c r="K198" s="41" t="n"/>
      <c r="L198" s="41" t="n"/>
      <c r="M198" s="31">
        <f>IF(COUNT(J198:L198)=0,"",MEDIAN(J198:L198))</f>
        <v/>
      </c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29" t="n"/>
      <c r="W198" s="29" t="n"/>
      <c r="X198" s="32" t="n"/>
    </row>
    <row r="199">
      <c r="A199" s="26" t="inlineStr">
        <is>
          <t>S17</t>
        </is>
      </c>
      <c r="B199" s="26" t="inlineStr">
        <is>
          <t>영양 신규점4</t>
        </is>
      </c>
      <c r="C199" s="26" t="inlineStr">
        <is>
          <t>S17-V</t>
        </is>
      </c>
      <c r="D199" s="47" t="n">
        <v>1</v>
      </c>
      <c r="E199" s="26" t="inlineStr">
        <is>
          <t>측정</t>
        </is>
      </c>
      <c r="F199" s="47" t="n">
        <v>20</v>
      </c>
      <c r="G199" s="41" t="n"/>
      <c r="H199" s="29" t="n"/>
      <c r="I199" s="43" t="n"/>
      <c r="J199" s="41" t="n"/>
      <c r="K199" s="41" t="n"/>
      <c r="L199" s="41" t="n"/>
      <c r="M199" s="31">
        <f>IF(COUNT(J199:L199)=0,"",MEDIAN(J199:L199))</f>
        <v/>
      </c>
      <c r="N199" s="26">
        <f>IF(COUNTIFS($C:$C,$C199,$D:$D,$D199,$E:$E,"기준(전)",$M:$M,"&gt;0")&lt;&gt;1,"기준(전) 유효 1개 아님",IF(COUNTIFS($C:$C,$C199,$D:$D,$D199,$E:$E,"기준(후)",$M:$M,"&gt;0")&lt;&gt;1,"기준(후) 유효 1개 아님",IF(NOT(AND(ISNUMBER(O199),ISNUMBER(Q199),ISNUMBER(I199))),"시각 결측",IF(Q199&lt;=O199,"기준 시각 역전",IF(OR(I199&lt;O199,I199&gt;Q199),"측정시각 구간 밖","OK")))))</f>
        <v/>
      </c>
      <c r="O199" s="48">
        <f>IF(COUNTIFS($C:$C,$C199,$D:$D,$D199,$E:$E,"기준(전)",$M:$M,"&gt;0")&lt;&gt;1,"",SUMIFS($I:$I,$C:$C,$C199,$D:$D,$D199,$E:$E,"기준(전)"))</f>
        <v/>
      </c>
      <c r="P199" s="31">
        <f>IF(COUNTIFS($C:$C,$C199,$D:$D,$D199,$E:$E,"기준(전)",$M:$M,"&gt;0")&lt;&gt;1,"",SUMIFS($M:$M,$C:$C,$C199,$D:$D,$D199,$E:$E,"기준(전)"))</f>
        <v/>
      </c>
      <c r="Q199" s="48">
        <f>IF(COUNTIFS($C:$C,$C199,$D:$D,$D199,$E:$E,"기준(후)",$M:$M,"&gt;0")&lt;&gt;1,"",SUMIFS($I:$I,$C:$C,$C199,$D:$D,$D199,$E:$E,"기준(후)"))</f>
        <v/>
      </c>
      <c r="R199" s="31">
        <f>IF(COUNTIFS($C:$C,$C199,$D:$D,$D199,$E:$E,"기준(후)",$M:$M,"&gt;0")&lt;&gt;1,"",SUMIFS($M:$M,$C:$C,$C199,$D:$D,$D199,$E:$E,"기준(후)"))</f>
        <v/>
      </c>
      <c r="S199" s="31">
        <f>IF(N199&lt;&gt;"OK","",P199+(R199-P199)*(I199-O199)/(Q199-O199))</f>
        <v/>
      </c>
      <c r="T199" s="31">
        <f>IF(OR(N199&lt;&gt;"OK",NOT(ISNUMBER(M199))),"",M199-S199)</f>
        <v/>
      </c>
      <c r="U199" s="49">
        <f>IF(OR($E198&lt;&gt;"측정",$C198&lt;&gt;$C199,$D198&lt;&gt;$D199,NOT(ISNUMBER(M199)),NOT(ISNUMBER(M198)),(IF(ISNUMBER(G199),G199,F199)-IF(ISNUMBER(G198),G198,F198))=0),"",(M199-M198)/((IF(ISNUMBER(G199),G199,F199)-IF(ISNUMBER(G198),G198,F198))/100))</f>
        <v/>
      </c>
      <c r="V199" s="29" t="n"/>
      <c r="W199" s="29" t="n"/>
      <c r="X199" s="32" t="n"/>
    </row>
    <row r="200">
      <c r="A200" s="26" t="inlineStr">
        <is>
          <t>S17</t>
        </is>
      </c>
      <c r="B200" s="26" t="inlineStr">
        <is>
          <t>영양 신규점4</t>
        </is>
      </c>
      <c r="C200" s="26" t="inlineStr">
        <is>
          <t>S17-V</t>
        </is>
      </c>
      <c r="D200" s="47" t="n">
        <v>1</v>
      </c>
      <c r="E200" s="26" t="inlineStr">
        <is>
          <t>측정</t>
        </is>
      </c>
      <c r="F200" s="47" t="n">
        <v>40</v>
      </c>
      <c r="G200" s="41" t="n"/>
      <c r="H200" s="29" t="n"/>
      <c r="I200" s="43" t="n"/>
      <c r="J200" s="41" t="n"/>
      <c r="K200" s="41" t="n"/>
      <c r="L200" s="41" t="n"/>
      <c r="M200" s="31">
        <f>IF(COUNT(J200:L200)=0,"",MEDIAN(J200:L200))</f>
        <v/>
      </c>
      <c r="N200" s="26">
        <f>IF(COUNTIFS($C:$C,$C200,$D:$D,$D200,$E:$E,"기준(전)",$M:$M,"&gt;0")&lt;&gt;1,"기준(전) 유효 1개 아님",IF(COUNTIFS($C:$C,$C200,$D:$D,$D200,$E:$E,"기준(후)",$M:$M,"&gt;0")&lt;&gt;1,"기준(후) 유효 1개 아님",IF(NOT(AND(ISNUMBER(O200),ISNUMBER(Q200),ISNUMBER(I200))),"시각 결측",IF(Q200&lt;=O200,"기준 시각 역전",IF(OR(I200&lt;O200,I200&gt;Q200),"측정시각 구간 밖","OK")))))</f>
        <v/>
      </c>
      <c r="O200" s="48">
        <f>IF(COUNTIFS($C:$C,$C200,$D:$D,$D200,$E:$E,"기준(전)",$M:$M,"&gt;0")&lt;&gt;1,"",SUMIFS($I:$I,$C:$C,$C200,$D:$D,$D200,$E:$E,"기준(전)"))</f>
        <v/>
      </c>
      <c r="P200" s="31">
        <f>IF(COUNTIFS($C:$C,$C200,$D:$D,$D200,$E:$E,"기준(전)",$M:$M,"&gt;0")&lt;&gt;1,"",SUMIFS($M:$M,$C:$C,$C200,$D:$D,$D200,$E:$E,"기준(전)"))</f>
        <v/>
      </c>
      <c r="Q200" s="48">
        <f>IF(COUNTIFS($C:$C,$C200,$D:$D,$D200,$E:$E,"기준(후)",$M:$M,"&gt;0")&lt;&gt;1,"",SUMIFS($I:$I,$C:$C,$C200,$D:$D,$D200,$E:$E,"기준(후)"))</f>
        <v/>
      </c>
      <c r="R200" s="31">
        <f>IF(COUNTIFS($C:$C,$C200,$D:$D,$D200,$E:$E,"기준(후)",$M:$M,"&gt;0")&lt;&gt;1,"",SUMIFS($M:$M,$C:$C,$C200,$D:$D,$D200,$E:$E,"기준(후)"))</f>
        <v/>
      </c>
      <c r="S200" s="31">
        <f>IF(N200&lt;&gt;"OK","",P200+(R200-P200)*(I200-O200)/(Q200-O200))</f>
        <v/>
      </c>
      <c r="T200" s="31">
        <f>IF(OR(N200&lt;&gt;"OK",NOT(ISNUMBER(M200))),"",M200-S200)</f>
        <v/>
      </c>
      <c r="U200" s="49">
        <f>IF(OR($E199&lt;&gt;"측정",$C199&lt;&gt;$C200,$D199&lt;&gt;$D200,NOT(ISNUMBER(M200)),NOT(ISNUMBER(M199)),(IF(ISNUMBER(G200),G200,F200)-IF(ISNUMBER(G199),G199,F199))=0),"",(M200-M199)/((IF(ISNUMBER(G200),G200,F200)-IF(ISNUMBER(G199),G199,F199))/100))</f>
        <v/>
      </c>
      <c r="V200" s="29" t="n"/>
      <c r="W200" s="29" t="n"/>
      <c r="X200" s="32" t="n"/>
    </row>
    <row r="201">
      <c r="A201" s="26" t="inlineStr">
        <is>
          <t>S17</t>
        </is>
      </c>
      <c r="B201" s="26" t="inlineStr">
        <is>
          <t>영양 신규점4</t>
        </is>
      </c>
      <c r="C201" s="26" t="inlineStr">
        <is>
          <t>S17-V</t>
        </is>
      </c>
      <c r="D201" s="47" t="n">
        <v>1</v>
      </c>
      <c r="E201" s="26" t="inlineStr">
        <is>
          <t>측정</t>
        </is>
      </c>
      <c r="F201" s="47" t="n">
        <v>60</v>
      </c>
      <c r="G201" s="41" t="n"/>
      <c r="H201" s="29" t="n"/>
      <c r="I201" s="43" t="n"/>
      <c r="J201" s="41" t="n"/>
      <c r="K201" s="41" t="n"/>
      <c r="L201" s="41" t="n"/>
      <c r="M201" s="31">
        <f>IF(COUNT(J201:L201)=0,"",MEDIAN(J201:L201))</f>
        <v/>
      </c>
      <c r="N201" s="26">
        <f>IF(COUNTIFS($C:$C,$C201,$D:$D,$D201,$E:$E,"기준(전)",$M:$M,"&gt;0")&lt;&gt;1,"기준(전) 유효 1개 아님",IF(COUNTIFS($C:$C,$C201,$D:$D,$D201,$E:$E,"기준(후)",$M:$M,"&gt;0")&lt;&gt;1,"기준(후) 유효 1개 아님",IF(NOT(AND(ISNUMBER(O201),ISNUMBER(Q201),ISNUMBER(I201))),"시각 결측",IF(Q201&lt;=O201,"기준 시각 역전",IF(OR(I201&lt;O201,I201&gt;Q201),"측정시각 구간 밖","OK")))))</f>
        <v/>
      </c>
      <c r="O201" s="48">
        <f>IF(COUNTIFS($C:$C,$C201,$D:$D,$D201,$E:$E,"기준(전)",$M:$M,"&gt;0")&lt;&gt;1,"",SUMIFS($I:$I,$C:$C,$C201,$D:$D,$D201,$E:$E,"기준(전)"))</f>
        <v/>
      </c>
      <c r="P201" s="31">
        <f>IF(COUNTIFS($C:$C,$C201,$D:$D,$D201,$E:$E,"기준(전)",$M:$M,"&gt;0")&lt;&gt;1,"",SUMIFS($M:$M,$C:$C,$C201,$D:$D,$D201,$E:$E,"기준(전)"))</f>
        <v/>
      </c>
      <c r="Q201" s="48">
        <f>IF(COUNTIFS($C:$C,$C201,$D:$D,$D201,$E:$E,"기준(후)",$M:$M,"&gt;0")&lt;&gt;1,"",SUMIFS($I:$I,$C:$C,$C201,$D:$D,$D201,$E:$E,"기준(후)"))</f>
        <v/>
      </c>
      <c r="R201" s="31">
        <f>IF(COUNTIFS($C:$C,$C201,$D:$D,$D201,$E:$E,"기준(후)",$M:$M,"&gt;0")&lt;&gt;1,"",SUMIFS($M:$M,$C:$C,$C201,$D:$D,$D201,$E:$E,"기준(후)"))</f>
        <v/>
      </c>
      <c r="S201" s="31">
        <f>IF(N201&lt;&gt;"OK","",P201+(R201-P201)*(I201-O201)/(Q201-O201))</f>
        <v/>
      </c>
      <c r="T201" s="31">
        <f>IF(OR(N201&lt;&gt;"OK",NOT(ISNUMBER(M201))),"",M201-S201)</f>
        <v/>
      </c>
      <c r="U201" s="49">
        <f>IF(OR($E200&lt;&gt;"측정",$C200&lt;&gt;$C201,$D200&lt;&gt;$D201,NOT(ISNUMBER(M201)),NOT(ISNUMBER(M200)),(IF(ISNUMBER(G201),G201,F201)-IF(ISNUMBER(G200),G200,F200))=0),"",(M201-M200)/((IF(ISNUMBER(G201),G201,F201)-IF(ISNUMBER(G200),G200,F200))/100))</f>
        <v/>
      </c>
      <c r="V201" s="29" t="n"/>
      <c r="W201" s="29" t="n"/>
      <c r="X201" s="32" t="n"/>
    </row>
    <row r="202">
      <c r="A202" s="26" t="inlineStr">
        <is>
          <t>S17</t>
        </is>
      </c>
      <c r="B202" s="26" t="inlineStr">
        <is>
          <t>영양 신규점4</t>
        </is>
      </c>
      <c r="C202" s="26" t="inlineStr">
        <is>
          <t>S17-V</t>
        </is>
      </c>
      <c r="D202" s="47" t="n">
        <v>1</v>
      </c>
      <c r="E202" s="26" t="inlineStr">
        <is>
          <t>측정</t>
        </is>
      </c>
      <c r="F202" s="47" t="n">
        <v>80</v>
      </c>
      <c r="G202" s="41" t="n"/>
      <c r="H202" s="29" t="n"/>
      <c r="I202" s="43" t="n"/>
      <c r="J202" s="41" t="n"/>
      <c r="K202" s="41" t="n"/>
      <c r="L202" s="41" t="n"/>
      <c r="M202" s="31">
        <f>IF(COUNT(J202:L202)=0,"",MEDIAN(J202:L202))</f>
        <v/>
      </c>
      <c r="N202" s="26">
        <f>IF(COUNTIFS($C:$C,$C202,$D:$D,$D202,$E:$E,"기준(전)",$M:$M,"&gt;0")&lt;&gt;1,"기준(전) 유효 1개 아님",IF(COUNTIFS($C:$C,$C202,$D:$D,$D202,$E:$E,"기준(후)",$M:$M,"&gt;0")&lt;&gt;1,"기준(후) 유효 1개 아님",IF(NOT(AND(ISNUMBER(O202),ISNUMBER(Q202),ISNUMBER(I202))),"시각 결측",IF(Q202&lt;=O202,"기준 시각 역전",IF(OR(I202&lt;O202,I202&gt;Q202),"측정시각 구간 밖","OK")))))</f>
        <v/>
      </c>
      <c r="O202" s="48">
        <f>IF(COUNTIFS($C:$C,$C202,$D:$D,$D202,$E:$E,"기준(전)",$M:$M,"&gt;0")&lt;&gt;1,"",SUMIFS($I:$I,$C:$C,$C202,$D:$D,$D202,$E:$E,"기준(전)"))</f>
        <v/>
      </c>
      <c r="P202" s="31">
        <f>IF(COUNTIFS($C:$C,$C202,$D:$D,$D202,$E:$E,"기준(전)",$M:$M,"&gt;0")&lt;&gt;1,"",SUMIFS($M:$M,$C:$C,$C202,$D:$D,$D202,$E:$E,"기준(전)"))</f>
        <v/>
      </c>
      <c r="Q202" s="48">
        <f>IF(COUNTIFS($C:$C,$C202,$D:$D,$D202,$E:$E,"기준(후)",$M:$M,"&gt;0")&lt;&gt;1,"",SUMIFS($I:$I,$C:$C,$C202,$D:$D,$D202,$E:$E,"기준(후)"))</f>
        <v/>
      </c>
      <c r="R202" s="31">
        <f>IF(COUNTIFS($C:$C,$C202,$D:$D,$D202,$E:$E,"기준(후)",$M:$M,"&gt;0")&lt;&gt;1,"",SUMIFS($M:$M,$C:$C,$C202,$D:$D,$D202,$E:$E,"기준(후)"))</f>
        <v/>
      </c>
      <c r="S202" s="31">
        <f>IF(N202&lt;&gt;"OK","",P202+(R202-P202)*(I202-O202)/(Q202-O202))</f>
        <v/>
      </c>
      <c r="T202" s="31">
        <f>IF(OR(N202&lt;&gt;"OK",NOT(ISNUMBER(M202))),"",M202-S202)</f>
        <v/>
      </c>
      <c r="U202" s="49">
        <f>IF(OR($E201&lt;&gt;"측정",$C201&lt;&gt;$C202,$D201&lt;&gt;$D202,NOT(ISNUMBER(M202)),NOT(ISNUMBER(M201)),(IF(ISNUMBER(G202),G202,F202)-IF(ISNUMBER(G201),G201,F201))=0),"",(M202-M201)/((IF(ISNUMBER(G202),G202,F202)-IF(ISNUMBER(G201),G201,F201))/100))</f>
        <v/>
      </c>
      <c r="V202" s="29" t="n"/>
      <c r="W202" s="29" t="n"/>
      <c r="X202" s="32" t="n"/>
    </row>
    <row r="203">
      <c r="A203" s="26" t="inlineStr">
        <is>
          <t>S17</t>
        </is>
      </c>
      <c r="B203" s="26" t="inlineStr">
        <is>
          <t>영양 신규점4</t>
        </is>
      </c>
      <c r="C203" s="26" t="inlineStr">
        <is>
          <t>S17-V</t>
        </is>
      </c>
      <c r="D203" s="47" t="n">
        <v>1</v>
      </c>
      <c r="E203" s="26" t="inlineStr">
        <is>
          <t>측정</t>
        </is>
      </c>
      <c r="F203" s="47" t="n">
        <v>100</v>
      </c>
      <c r="G203" s="41" t="n"/>
      <c r="H203" s="29" t="n"/>
      <c r="I203" s="43" t="n"/>
      <c r="J203" s="41" t="n"/>
      <c r="K203" s="41" t="n"/>
      <c r="L203" s="41" t="n"/>
      <c r="M203" s="31">
        <f>IF(COUNT(J203:L203)=0,"",MEDIAN(J203:L203))</f>
        <v/>
      </c>
      <c r="N203" s="26">
        <f>IF(COUNTIFS($C:$C,$C203,$D:$D,$D203,$E:$E,"기준(전)",$M:$M,"&gt;0")&lt;&gt;1,"기준(전) 유효 1개 아님",IF(COUNTIFS($C:$C,$C203,$D:$D,$D203,$E:$E,"기준(후)",$M:$M,"&gt;0")&lt;&gt;1,"기준(후) 유효 1개 아님",IF(NOT(AND(ISNUMBER(O203),ISNUMBER(Q203),ISNUMBER(I203))),"시각 결측",IF(Q203&lt;=O203,"기준 시각 역전",IF(OR(I203&lt;O203,I203&gt;Q203),"측정시각 구간 밖","OK")))))</f>
        <v/>
      </c>
      <c r="O203" s="48">
        <f>IF(COUNTIFS($C:$C,$C203,$D:$D,$D203,$E:$E,"기준(전)",$M:$M,"&gt;0")&lt;&gt;1,"",SUMIFS($I:$I,$C:$C,$C203,$D:$D,$D203,$E:$E,"기준(전)"))</f>
        <v/>
      </c>
      <c r="P203" s="31">
        <f>IF(COUNTIFS($C:$C,$C203,$D:$D,$D203,$E:$E,"기준(전)",$M:$M,"&gt;0")&lt;&gt;1,"",SUMIFS($M:$M,$C:$C,$C203,$D:$D,$D203,$E:$E,"기준(전)"))</f>
        <v/>
      </c>
      <c r="Q203" s="48">
        <f>IF(COUNTIFS($C:$C,$C203,$D:$D,$D203,$E:$E,"기준(후)",$M:$M,"&gt;0")&lt;&gt;1,"",SUMIFS($I:$I,$C:$C,$C203,$D:$D,$D203,$E:$E,"기준(후)"))</f>
        <v/>
      </c>
      <c r="R203" s="31">
        <f>IF(COUNTIFS($C:$C,$C203,$D:$D,$D203,$E:$E,"기준(후)",$M:$M,"&gt;0")&lt;&gt;1,"",SUMIFS($M:$M,$C:$C,$C203,$D:$D,$D203,$E:$E,"기준(후)"))</f>
        <v/>
      </c>
      <c r="S203" s="31">
        <f>IF(N203&lt;&gt;"OK","",P203+(R203-P203)*(I203-O203)/(Q203-O203))</f>
        <v/>
      </c>
      <c r="T203" s="31">
        <f>IF(OR(N203&lt;&gt;"OK",NOT(ISNUMBER(M203))),"",M203-S203)</f>
        <v/>
      </c>
      <c r="U203" s="49">
        <f>IF(OR($E202&lt;&gt;"측정",$C202&lt;&gt;$C203,$D202&lt;&gt;$D203,NOT(ISNUMBER(M203)),NOT(ISNUMBER(M202)),(IF(ISNUMBER(G203),G203,F203)-IF(ISNUMBER(G202),G202,F202))=0),"",(M203-M202)/((IF(ISNUMBER(G203),G203,F203)-IF(ISNUMBER(G202),G202,F202))/100))</f>
        <v/>
      </c>
      <c r="V203" s="29" t="n"/>
      <c r="W203" s="29" t="n"/>
      <c r="X203" s="32" t="n"/>
    </row>
    <row r="204">
      <c r="A204" s="26" t="inlineStr">
        <is>
          <t>S17</t>
        </is>
      </c>
      <c r="B204" s="26" t="inlineStr">
        <is>
          <t>영양 신규점4</t>
        </is>
      </c>
      <c r="C204" s="26" t="inlineStr">
        <is>
          <t>S17-V</t>
        </is>
      </c>
      <c r="D204" s="47" t="n">
        <v>1</v>
      </c>
      <c r="E204" s="26" t="inlineStr">
        <is>
          <t>측정</t>
        </is>
      </c>
      <c r="F204" s="47" t="n">
        <v>120</v>
      </c>
      <c r="G204" s="41" t="n"/>
      <c r="H204" s="29" t="n"/>
      <c r="I204" s="43" t="n"/>
      <c r="J204" s="41" t="n"/>
      <c r="K204" s="41" t="n"/>
      <c r="L204" s="41" t="n"/>
      <c r="M204" s="31">
        <f>IF(COUNT(J204:L204)=0,"",MEDIAN(J204:L204))</f>
        <v/>
      </c>
      <c r="N204" s="26">
        <f>IF(COUNTIFS($C:$C,$C204,$D:$D,$D204,$E:$E,"기준(전)",$M:$M,"&gt;0")&lt;&gt;1,"기준(전) 유효 1개 아님",IF(COUNTIFS($C:$C,$C204,$D:$D,$D204,$E:$E,"기준(후)",$M:$M,"&gt;0")&lt;&gt;1,"기준(후) 유효 1개 아님",IF(NOT(AND(ISNUMBER(O204),ISNUMBER(Q204),ISNUMBER(I204))),"시각 결측",IF(Q204&lt;=O204,"기준 시각 역전",IF(OR(I204&lt;O204,I204&gt;Q204),"측정시각 구간 밖","OK")))))</f>
        <v/>
      </c>
      <c r="O204" s="48">
        <f>IF(COUNTIFS($C:$C,$C204,$D:$D,$D204,$E:$E,"기준(전)",$M:$M,"&gt;0")&lt;&gt;1,"",SUMIFS($I:$I,$C:$C,$C204,$D:$D,$D204,$E:$E,"기준(전)"))</f>
        <v/>
      </c>
      <c r="P204" s="31">
        <f>IF(COUNTIFS($C:$C,$C204,$D:$D,$D204,$E:$E,"기준(전)",$M:$M,"&gt;0")&lt;&gt;1,"",SUMIFS($M:$M,$C:$C,$C204,$D:$D,$D204,$E:$E,"기준(전)"))</f>
        <v/>
      </c>
      <c r="Q204" s="48">
        <f>IF(COUNTIFS($C:$C,$C204,$D:$D,$D204,$E:$E,"기준(후)",$M:$M,"&gt;0")&lt;&gt;1,"",SUMIFS($I:$I,$C:$C,$C204,$D:$D,$D204,$E:$E,"기준(후)"))</f>
        <v/>
      </c>
      <c r="R204" s="31">
        <f>IF(COUNTIFS($C:$C,$C204,$D:$D,$D204,$E:$E,"기준(후)",$M:$M,"&gt;0")&lt;&gt;1,"",SUMIFS($M:$M,$C:$C,$C204,$D:$D,$D204,$E:$E,"기준(후)"))</f>
        <v/>
      </c>
      <c r="S204" s="31">
        <f>IF(N204&lt;&gt;"OK","",P204+(R204-P204)*(I204-O204)/(Q204-O204))</f>
        <v/>
      </c>
      <c r="T204" s="31">
        <f>IF(OR(N204&lt;&gt;"OK",NOT(ISNUMBER(M204))),"",M204-S204)</f>
        <v/>
      </c>
      <c r="U204" s="49">
        <f>IF(OR($E203&lt;&gt;"측정",$C203&lt;&gt;$C204,$D203&lt;&gt;$D204,NOT(ISNUMBER(M204)),NOT(ISNUMBER(M203)),(IF(ISNUMBER(G204),G204,F204)-IF(ISNUMBER(G203),G203,F203))=0),"",(M204-M203)/((IF(ISNUMBER(G204),G204,F204)-IF(ISNUMBER(G203),G203,F203))/100))</f>
        <v/>
      </c>
      <c r="V204" s="29" t="n"/>
      <c r="W204" s="29" t="n"/>
      <c r="X204" s="32" t="n"/>
    </row>
    <row r="205">
      <c r="A205" s="26" t="inlineStr">
        <is>
          <t>S17</t>
        </is>
      </c>
      <c r="B205" s="26" t="inlineStr">
        <is>
          <t>영양 신규점4</t>
        </is>
      </c>
      <c r="C205" s="26" t="inlineStr">
        <is>
          <t>S17-V</t>
        </is>
      </c>
      <c r="D205" s="47" t="n">
        <v>1</v>
      </c>
      <c r="E205" s="26" t="inlineStr">
        <is>
          <t>측정</t>
        </is>
      </c>
      <c r="F205" s="47" t="n">
        <v>140</v>
      </c>
      <c r="G205" s="41" t="n"/>
      <c r="H205" s="29" t="n"/>
      <c r="I205" s="43" t="n"/>
      <c r="J205" s="41" t="n"/>
      <c r="K205" s="41" t="n"/>
      <c r="L205" s="41" t="n"/>
      <c r="M205" s="31">
        <f>IF(COUNT(J205:L205)=0,"",MEDIAN(J205:L205))</f>
        <v/>
      </c>
      <c r="N205" s="26">
        <f>IF(COUNTIFS($C:$C,$C205,$D:$D,$D205,$E:$E,"기준(전)",$M:$M,"&gt;0")&lt;&gt;1,"기준(전) 유효 1개 아님",IF(COUNTIFS($C:$C,$C205,$D:$D,$D205,$E:$E,"기준(후)",$M:$M,"&gt;0")&lt;&gt;1,"기준(후) 유효 1개 아님",IF(NOT(AND(ISNUMBER(O205),ISNUMBER(Q205),ISNUMBER(I205))),"시각 결측",IF(Q205&lt;=O205,"기준 시각 역전",IF(OR(I205&lt;O205,I205&gt;Q205),"측정시각 구간 밖","OK")))))</f>
        <v/>
      </c>
      <c r="O205" s="48">
        <f>IF(COUNTIFS($C:$C,$C205,$D:$D,$D205,$E:$E,"기준(전)",$M:$M,"&gt;0")&lt;&gt;1,"",SUMIFS($I:$I,$C:$C,$C205,$D:$D,$D205,$E:$E,"기준(전)"))</f>
        <v/>
      </c>
      <c r="P205" s="31">
        <f>IF(COUNTIFS($C:$C,$C205,$D:$D,$D205,$E:$E,"기준(전)",$M:$M,"&gt;0")&lt;&gt;1,"",SUMIFS($M:$M,$C:$C,$C205,$D:$D,$D205,$E:$E,"기준(전)"))</f>
        <v/>
      </c>
      <c r="Q205" s="48">
        <f>IF(COUNTIFS($C:$C,$C205,$D:$D,$D205,$E:$E,"기준(후)",$M:$M,"&gt;0")&lt;&gt;1,"",SUMIFS($I:$I,$C:$C,$C205,$D:$D,$D205,$E:$E,"기준(후)"))</f>
        <v/>
      </c>
      <c r="R205" s="31">
        <f>IF(COUNTIFS($C:$C,$C205,$D:$D,$D205,$E:$E,"기준(후)",$M:$M,"&gt;0")&lt;&gt;1,"",SUMIFS($M:$M,$C:$C,$C205,$D:$D,$D205,$E:$E,"기준(후)"))</f>
        <v/>
      </c>
      <c r="S205" s="31">
        <f>IF(N205&lt;&gt;"OK","",P205+(R205-P205)*(I205-O205)/(Q205-O205))</f>
        <v/>
      </c>
      <c r="T205" s="31">
        <f>IF(OR(N205&lt;&gt;"OK",NOT(ISNUMBER(M205))),"",M205-S205)</f>
        <v/>
      </c>
      <c r="U205" s="49">
        <f>IF(OR($E204&lt;&gt;"측정",$C204&lt;&gt;$C205,$D204&lt;&gt;$D205,NOT(ISNUMBER(M205)),NOT(ISNUMBER(M204)),(IF(ISNUMBER(G205),G205,F205)-IF(ISNUMBER(G204),G204,F204))=0),"",(M205-M204)/((IF(ISNUMBER(G205),G205,F205)-IF(ISNUMBER(G204),G204,F204))/100))</f>
        <v/>
      </c>
      <c r="V205" s="29" t="n"/>
      <c r="W205" s="29" t="n"/>
      <c r="X205" s="32" t="n"/>
    </row>
    <row r="206">
      <c r="A206" s="26" t="inlineStr">
        <is>
          <t>S17</t>
        </is>
      </c>
      <c r="B206" s="26" t="inlineStr">
        <is>
          <t>영양 신규점4</t>
        </is>
      </c>
      <c r="C206" s="26" t="inlineStr">
        <is>
          <t>S17-V</t>
        </is>
      </c>
      <c r="D206" s="47" t="n">
        <v>1</v>
      </c>
      <c r="E206" s="26" t="inlineStr">
        <is>
          <t>측정</t>
        </is>
      </c>
      <c r="F206" s="47" t="n">
        <v>160</v>
      </c>
      <c r="G206" s="41" t="n"/>
      <c r="H206" s="29" t="n"/>
      <c r="I206" s="43" t="n"/>
      <c r="J206" s="41" t="n"/>
      <c r="K206" s="41" t="n"/>
      <c r="L206" s="41" t="n"/>
      <c r="M206" s="31">
        <f>IF(COUNT(J206:L206)=0,"",MEDIAN(J206:L206))</f>
        <v/>
      </c>
      <c r="N206" s="26">
        <f>IF(COUNTIFS($C:$C,$C206,$D:$D,$D206,$E:$E,"기준(전)",$M:$M,"&gt;0")&lt;&gt;1,"기준(전) 유효 1개 아님",IF(COUNTIFS($C:$C,$C206,$D:$D,$D206,$E:$E,"기준(후)",$M:$M,"&gt;0")&lt;&gt;1,"기준(후) 유효 1개 아님",IF(NOT(AND(ISNUMBER(O206),ISNUMBER(Q206),ISNUMBER(I206))),"시각 결측",IF(Q206&lt;=O206,"기준 시각 역전",IF(OR(I206&lt;O206,I206&gt;Q206),"측정시각 구간 밖","OK")))))</f>
        <v/>
      </c>
      <c r="O206" s="48">
        <f>IF(COUNTIFS($C:$C,$C206,$D:$D,$D206,$E:$E,"기준(전)",$M:$M,"&gt;0")&lt;&gt;1,"",SUMIFS($I:$I,$C:$C,$C206,$D:$D,$D206,$E:$E,"기준(전)"))</f>
        <v/>
      </c>
      <c r="P206" s="31">
        <f>IF(COUNTIFS($C:$C,$C206,$D:$D,$D206,$E:$E,"기준(전)",$M:$M,"&gt;0")&lt;&gt;1,"",SUMIFS($M:$M,$C:$C,$C206,$D:$D,$D206,$E:$E,"기준(전)"))</f>
        <v/>
      </c>
      <c r="Q206" s="48">
        <f>IF(COUNTIFS($C:$C,$C206,$D:$D,$D206,$E:$E,"기준(후)",$M:$M,"&gt;0")&lt;&gt;1,"",SUMIFS($I:$I,$C:$C,$C206,$D:$D,$D206,$E:$E,"기준(후)"))</f>
        <v/>
      </c>
      <c r="R206" s="31">
        <f>IF(COUNTIFS($C:$C,$C206,$D:$D,$D206,$E:$E,"기준(후)",$M:$M,"&gt;0")&lt;&gt;1,"",SUMIFS($M:$M,$C:$C,$C206,$D:$D,$D206,$E:$E,"기준(후)"))</f>
        <v/>
      </c>
      <c r="S206" s="31">
        <f>IF(N206&lt;&gt;"OK","",P206+(R206-P206)*(I206-O206)/(Q206-O206))</f>
        <v/>
      </c>
      <c r="T206" s="31">
        <f>IF(OR(N206&lt;&gt;"OK",NOT(ISNUMBER(M206))),"",M206-S206)</f>
        <v/>
      </c>
      <c r="U206" s="49">
        <f>IF(OR($E205&lt;&gt;"측정",$C205&lt;&gt;$C206,$D205&lt;&gt;$D206,NOT(ISNUMBER(M206)),NOT(ISNUMBER(M205)),(IF(ISNUMBER(G206),G206,F206)-IF(ISNUMBER(G205),G205,F205))=0),"",(M206-M205)/((IF(ISNUMBER(G206),G206,F206)-IF(ISNUMBER(G205),G205,F205))/100))</f>
        <v/>
      </c>
      <c r="V206" s="29" t="n"/>
      <c r="W206" s="29" t="n"/>
      <c r="X206" s="32" t="n"/>
    </row>
    <row r="207">
      <c r="A207" s="26" t="inlineStr">
        <is>
          <t>S17</t>
        </is>
      </c>
      <c r="B207" s="26" t="inlineStr">
        <is>
          <t>영양 신규점4</t>
        </is>
      </c>
      <c r="C207" s="26" t="inlineStr">
        <is>
          <t>S17-V</t>
        </is>
      </c>
      <c r="D207" s="47" t="n">
        <v>1</v>
      </c>
      <c r="E207" s="26" t="inlineStr">
        <is>
          <t>측정</t>
        </is>
      </c>
      <c r="F207" s="47" t="n">
        <v>180</v>
      </c>
      <c r="G207" s="41" t="n"/>
      <c r="H207" s="29" t="n"/>
      <c r="I207" s="43" t="n"/>
      <c r="J207" s="41" t="n"/>
      <c r="K207" s="41" t="n"/>
      <c r="L207" s="41" t="n"/>
      <c r="M207" s="31">
        <f>IF(COUNT(J207:L207)=0,"",MEDIAN(J207:L207))</f>
        <v/>
      </c>
      <c r="N207" s="26">
        <f>IF(COUNTIFS($C:$C,$C207,$D:$D,$D207,$E:$E,"기준(전)",$M:$M,"&gt;0")&lt;&gt;1,"기준(전) 유효 1개 아님",IF(COUNTIFS($C:$C,$C207,$D:$D,$D207,$E:$E,"기준(후)",$M:$M,"&gt;0")&lt;&gt;1,"기준(후) 유효 1개 아님",IF(NOT(AND(ISNUMBER(O207),ISNUMBER(Q207),ISNUMBER(I207))),"시각 결측",IF(Q207&lt;=O207,"기준 시각 역전",IF(OR(I207&lt;O207,I207&gt;Q207),"측정시각 구간 밖","OK")))))</f>
        <v/>
      </c>
      <c r="O207" s="48">
        <f>IF(COUNTIFS($C:$C,$C207,$D:$D,$D207,$E:$E,"기준(전)",$M:$M,"&gt;0")&lt;&gt;1,"",SUMIFS($I:$I,$C:$C,$C207,$D:$D,$D207,$E:$E,"기준(전)"))</f>
        <v/>
      </c>
      <c r="P207" s="31">
        <f>IF(COUNTIFS($C:$C,$C207,$D:$D,$D207,$E:$E,"기준(전)",$M:$M,"&gt;0")&lt;&gt;1,"",SUMIFS($M:$M,$C:$C,$C207,$D:$D,$D207,$E:$E,"기준(전)"))</f>
        <v/>
      </c>
      <c r="Q207" s="48">
        <f>IF(COUNTIFS($C:$C,$C207,$D:$D,$D207,$E:$E,"기준(후)",$M:$M,"&gt;0")&lt;&gt;1,"",SUMIFS($I:$I,$C:$C,$C207,$D:$D,$D207,$E:$E,"기준(후)"))</f>
        <v/>
      </c>
      <c r="R207" s="31">
        <f>IF(COUNTIFS($C:$C,$C207,$D:$D,$D207,$E:$E,"기준(후)",$M:$M,"&gt;0")&lt;&gt;1,"",SUMIFS($M:$M,$C:$C,$C207,$D:$D,$D207,$E:$E,"기준(후)"))</f>
        <v/>
      </c>
      <c r="S207" s="31">
        <f>IF(N207&lt;&gt;"OK","",P207+(R207-P207)*(I207-O207)/(Q207-O207))</f>
        <v/>
      </c>
      <c r="T207" s="31">
        <f>IF(OR(N207&lt;&gt;"OK",NOT(ISNUMBER(M207))),"",M207-S207)</f>
        <v/>
      </c>
      <c r="U207" s="49">
        <f>IF(OR($E206&lt;&gt;"측정",$C206&lt;&gt;$C207,$D206&lt;&gt;$D207,NOT(ISNUMBER(M207)),NOT(ISNUMBER(M206)),(IF(ISNUMBER(G207),G207,F207)-IF(ISNUMBER(G206),G206,F206))=0),"",(M207-M206)/((IF(ISNUMBER(G207),G207,F207)-IF(ISNUMBER(G206),G206,F206))/100))</f>
        <v/>
      </c>
      <c r="V207" s="29" t="n"/>
      <c r="W207" s="29" t="n"/>
      <c r="X207" s="32" t="n"/>
    </row>
    <row r="208">
      <c r="A208" s="26" t="inlineStr">
        <is>
          <t>S17</t>
        </is>
      </c>
      <c r="B208" s="26" t="inlineStr">
        <is>
          <t>영양 신규점4</t>
        </is>
      </c>
      <c r="C208" s="26" t="inlineStr">
        <is>
          <t>S17-V</t>
        </is>
      </c>
      <c r="D208" s="47" t="n">
        <v>1</v>
      </c>
      <c r="E208" s="26" t="inlineStr">
        <is>
          <t>측정</t>
        </is>
      </c>
      <c r="F208" s="47" t="n">
        <v>200</v>
      </c>
      <c r="G208" s="41" t="n"/>
      <c r="H208" s="29" t="n"/>
      <c r="I208" s="43" t="n"/>
      <c r="J208" s="41" t="n"/>
      <c r="K208" s="41" t="n"/>
      <c r="L208" s="41" t="n"/>
      <c r="M208" s="31">
        <f>IF(COUNT(J208:L208)=0,"",MEDIAN(J208:L208))</f>
        <v/>
      </c>
      <c r="N208" s="26">
        <f>IF(COUNTIFS($C:$C,$C208,$D:$D,$D208,$E:$E,"기준(전)",$M:$M,"&gt;0")&lt;&gt;1,"기준(전) 유효 1개 아님",IF(COUNTIFS($C:$C,$C208,$D:$D,$D208,$E:$E,"기준(후)",$M:$M,"&gt;0")&lt;&gt;1,"기준(후) 유효 1개 아님",IF(NOT(AND(ISNUMBER(O208),ISNUMBER(Q208),ISNUMBER(I208))),"시각 결측",IF(Q208&lt;=O208,"기준 시각 역전",IF(OR(I208&lt;O208,I208&gt;Q208),"측정시각 구간 밖","OK")))))</f>
        <v/>
      </c>
      <c r="O208" s="48">
        <f>IF(COUNTIFS($C:$C,$C208,$D:$D,$D208,$E:$E,"기준(전)",$M:$M,"&gt;0")&lt;&gt;1,"",SUMIFS($I:$I,$C:$C,$C208,$D:$D,$D208,$E:$E,"기준(전)"))</f>
        <v/>
      </c>
      <c r="P208" s="31">
        <f>IF(COUNTIFS($C:$C,$C208,$D:$D,$D208,$E:$E,"기준(전)",$M:$M,"&gt;0")&lt;&gt;1,"",SUMIFS($M:$M,$C:$C,$C208,$D:$D,$D208,$E:$E,"기준(전)"))</f>
        <v/>
      </c>
      <c r="Q208" s="48">
        <f>IF(COUNTIFS($C:$C,$C208,$D:$D,$D208,$E:$E,"기준(후)",$M:$M,"&gt;0")&lt;&gt;1,"",SUMIFS($I:$I,$C:$C,$C208,$D:$D,$D208,$E:$E,"기준(후)"))</f>
        <v/>
      </c>
      <c r="R208" s="31">
        <f>IF(COUNTIFS($C:$C,$C208,$D:$D,$D208,$E:$E,"기준(후)",$M:$M,"&gt;0")&lt;&gt;1,"",SUMIFS($M:$M,$C:$C,$C208,$D:$D,$D208,$E:$E,"기준(후)"))</f>
        <v/>
      </c>
      <c r="S208" s="31">
        <f>IF(N208&lt;&gt;"OK","",P208+(R208-P208)*(I208-O208)/(Q208-O208))</f>
        <v/>
      </c>
      <c r="T208" s="31">
        <f>IF(OR(N208&lt;&gt;"OK",NOT(ISNUMBER(M208))),"",M208-S208)</f>
        <v/>
      </c>
      <c r="U208" s="49">
        <f>IF(OR($E207&lt;&gt;"측정",$C207&lt;&gt;$C208,$D207&lt;&gt;$D208,NOT(ISNUMBER(M208)),NOT(ISNUMBER(M207)),(IF(ISNUMBER(G208),G208,F208)-IF(ISNUMBER(G207),G207,F207))=0),"",(M208-M207)/((IF(ISNUMBER(G208),G208,F208)-IF(ISNUMBER(G207),G207,F207))/100))</f>
        <v/>
      </c>
      <c r="V208" s="29" t="n"/>
      <c r="W208" s="29" t="n"/>
      <c r="X208" s="32" t="n"/>
    </row>
    <row r="209">
      <c r="A209" s="44" t="inlineStr">
        <is>
          <t>S17</t>
        </is>
      </c>
      <c r="B209" s="44" t="inlineStr">
        <is>
          <t>영양 신규점4</t>
        </is>
      </c>
      <c r="C209" s="44" t="inlineStr">
        <is>
          <t>S17-V</t>
        </is>
      </c>
      <c r="D209" s="45" t="n">
        <v>1</v>
      </c>
      <c r="E209" s="44" t="inlineStr">
        <is>
          <t>기준(후)</t>
        </is>
      </c>
      <c r="F209" s="45" t="n"/>
      <c r="G209" s="41" t="n"/>
      <c r="H209" s="29" t="n"/>
      <c r="I209" s="43" t="n"/>
      <c r="J209" s="41" t="n"/>
      <c r="K209" s="41" t="n"/>
      <c r="L209" s="41" t="n"/>
      <c r="M209" s="31">
        <f>IF(COUNT(J209:L209)=0,"",MEDIAN(J209:L209))</f>
        <v/>
      </c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29" t="n"/>
      <c r="W209" s="29" t="n"/>
      <c r="X209" s="32" t="n"/>
    </row>
    <row r="210">
      <c r="A210" s="44" t="inlineStr">
        <is>
          <t>S18</t>
        </is>
      </c>
      <c r="B210" s="44" t="inlineStr">
        <is>
          <t>통영 신규점</t>
        </is>
      </c>
      <c r="C210" s="44" t="inlineStr">
        <is>
          <t>S18-V</t>
        </is>
      </c>
      <c r="D210" s="45" t="n">
        <v>1</v>
      </c>
      <c r="E210" s="44" t="inlineStr">
        <is>
          <t>기준(전)</t>
        </is>
      </c>
      <c r="F210" s="45" t="n"/>
      <c r="G210" s="41" t="n"/>
      <c r="H210" s="29" t="n"/>
      <c r="I210" s="43" t="n"/>
      <c r="J210" s="41" t="n"/>
      <c r="K210" s="41" t="n"/>
      <c r="L210" s="41" t="n"/>
      <c r="M210" s="31">
        <f>IF(COUNT(J210:L210)=0,"",MEDIAN(J210:L210))</f>
        <v/>
      </c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29" t="n"/>
      <c r="W210" s="29" t="n"/>
      <c r="X210" s="32" t="n"/>
    </row>
    <row r="211">
      <c r="A211" s="26" t="inlineStr">
        <is>
          <t>S18</t>
        </is>
      </c>
      <c r="B211" s="26" t="inlineStr">
        <is>
          <t>통영 신규점</t>
        </is>
      </c>
      <c r="C211" s="26" t="inlineStr">
        <is>
          <t>S18-V</t>
        </is>
      </c>
      <c r="D211" s="47" t="n">
        <v>1</v>
      </c>
      <c r="E211" s="26" t="inlineStr">
        <is>
          <t>측정</t>
        </is>
      </c>
      <c r="F211" s="47" t="n">
        <v>20</v>
      </c>
      <c r="G211" s="41" t="n"/>
      <c r="H211" s="29" t="n"/>
      <c r="I211" s="43" t="n"/>
      <c r="J211" s="41" t="n"/>
      <c r="K211" s="41" t="n"/>
      <c r="L211" s="41" t="n"/>
      <c r="M211" s="31">
        <f>IF(COUNT(J211:L211)=0,"",MEDIAN(J211:L211))</f>
        <v/>
      </c>
      <c r="N211" s="26">
        <f>IF(COUNTIFS($C:$C,$C211,$D:$D,$D211,$E:$E,"기준(전)",$M:$M,"&gt;0")&lt;&gt;1,"기준(전) 유효 1개 아님",IF(COUNTIFS($C:$C,$C211,$D:$D,$D211,$E:$E,"기준(후)",$M:$M,"&gt;0")&lt;&gt;1,"기준(후) 유효 1개 아님",IF(NOT(AND(ISNUMBER(O211),ISNUMBER(Q211),ISNUMBER(I211))),"시각 결측",IF(Q211&lt;=O211,"기준 시각 역전",IF(OR(I211&lt;O211,I211&gt;Q211),"측정시각 구간 밖","OK")))))</f>
        <v/>
      </c>
      <c r="O211" s="48">
        <f>IF(COUNTIFS($C:$C,$C211,$D:$D,$D211,$E:$E,"기준(전)",$M:$M,"&gt;0")&lt;&gt;1,"",SUMIFS($I:$I,$C:$C,$C211,$D:$D,$D211,$E:$E,"기준(전)"))</f>
        <v/>
      </c>
      <c r="P211" s="31">
        <f>IF(COUNTIFS($C:$C,$C211,$D:$D,$D211,$E:$E,"기준(전)",$M:$M,"&gt;0")&lt;&gt;1,"",SUMIFS($M:$M,$C:$C,$C211,$D:$D,$D211,$E:$E,"기준(전)"))</f>
        <v/>
      </c>
      <c r="Q211" s="48">
        <f>IF(COUNTIFS($C:$C,$C211,$D:$D,$D211,$E:$E,"기준(후)",$M:$M,"&gt;0")&lt;&gt;1,"",SUMIFS($I:$I,$C:$C,$C211,$D:$D,$D211,$E:$E,"기준(후)"))</f>
        <v/>
      </c>
      <c r="R211" s="31">
        <f>IF(COUNTIFS($C:$C,$C211,$D:$D,$D211,$E:$E,"기준(후)",$M:$M,"&gt;0")&lt;&gt;1,"",SUMIFS($M:$M,$C:$C,$C211,$D:$D,$D211,$E:$E,"기준(후)"))</f>
        <v/>
      </c>
      <c r="S211" s="31">
        <f>IF(N211&lt;&gt;"OK","",P211+(R211-P211)*(I211-O211)/(Q211-O211))</f>
        <v/>
      </c>
      <c r="T211" s="31">
        <f>IF(OR(N211&lt;&gt;"OK",NOT(ISNUMBER(M211))),"",M211-S211)</f>
        <v/>
      </c>
      <c r="U211" s="49">
        <f>IF(OR($E210&lt;&gt;"측정",$C210&lt;&gt;$C211,$D210&lt;&gt;$D211,NOT(ISNUMBER(M211)),NOT(ISNUMBER(M210)),(IF(ISNUMBER(G211),G211,F211)-IF(ISNUMBER(G210),G210,F210))=0),"",(M211-M210)/((IF(ISNUMBER(G211),G211,F211)-IF(ISNUMBER(G210),G210,F210))/100))</f>
        <v/>
      </c>
      <c r="V211" s="29" t="n"/>
      <c r="W211" s="29" t="n"/>
      <c r="X211" s="32" t="n"/>
    </row>
    <row r="212">
      <c r="A212" s="26" t="inlineStr">
        <is>
          <t>S18</t>
        </is>
      </c>
      <c r="B212" s="26" t="inlineStr">
        <is>
          <t>통영 신규점</t>
        </is>
      </c>
      <c r="C212" s="26" t="inlineStr">
        <is>
          <t>S18-V</t>
        </is>
      </c>
      <c r="D212" s="47" t="n">
        <v>1</v>
      </c>
      <c r="E212" s="26" t="inlineStr">
        <is>
          <t>측정</t>
        </is>
      </c>
      <c r="F212" s="47" t="n">
        <v>40</v>
      </c>
      <c r="G212" s="41" t="n"/>
      <c r="H212" s="29" t="n"/>
      <c r="I212" s="43" t="n"/>
      <c r="J212" s="41" t="n"/>
      <c r="K212" s="41" t="n"/>
      <c r="L212" s="41" t="n"/>
      <c r="M212" s="31">
        <f>IF(COUNT(J212:L212)=0,"",MEDIAN(J212:L212))</f>
        <v/>
      </c>
      <c r="N212" s="26">
        <f>IF(COUNTIFS($C:$C,$C212,$D:$D,$D212,$E:$E,"기준(전)",$M:$M,"&gt;0")&lt;&gt;1,"기준(전) 유효 1개 아님",IF(COUNTIFS($C:$C,$C212,$D:$D,$D212,$E:$E,"기준(후)",$M:$M,"&gt;0")&lt;&gt;1,"기준(후) 유효 1개 아님",IF(NOT(AND(ISNUMBER(O212),ISNUMBER(Q212),ISNUMBER(I212))),"시각 결측",IF(Q212&lt;=O212,"기준 시각 역전",IF(OR(I212&lt;O212,I212&gt;Q212),"측정시각 구간 밖","OK")))))</f>
        <v/>
      </c>
      <c r="O212" s="48">
        <f>IF(COUNTIFS($C:$C,$C212,$D:$D,$D212,$E:$E,"기준(전)",$M:$M,"&gt;0")&lt;&gt;1,"",SUMIFS($I:$I,$C:$C,$C212,$D:$D,$D212,$E:$E,"기준(전)"))</f>
        <v/>
      </c>
      <c r="P212" s="31">
        <f>IF(COUNTIFS($C:$C,$C212,$D:$D,$D212,$E:$E,"기준(전)",$M:$M,"&gt;0")&lt;&gt;1,"",SUMIFS($M:$M,$C:$C,$C212,$D:$D,$D212,$E:$E,"기준(전)"))</f>
        <v/>
      </c>
      <c r="Q212" s="48">
        <f>IF(COUNTIFS($C:$C,$C212,$D:$D,$D212,$E:$E,"기준(후)",$M:$M,"&gt;0")&lt;&gt;1,"",SUMIFS($I:$I,$C:$C,$C212,$D:$D,$D212,$E:$E,"기준(후)"))</f>
        <v/>
      </c>
      <c r="R212" s="31">
        <f>IF(COUNTIFS($C:$C,$C212,$D:$D,$D212,$E:$E,"기준(후)",$M:$M,"&gt;0")&lt;&gt;1,"",SUMIFS($M:$M,$C:$C,$C212,$D:$D,$D212,$E:$E,"기준(후)"))</f>
        <v/>
      </c>
      <c r="S212" s="31">
        <f>IF(N212&lt;&gt;"OK","",P212+(R212-P212)*(I212-O212)/(Q212-O212))</f>
        <v/>
      </c>
      <c r="T212" s="31">
        <f>IF(OR(N212&lt;&gt;"OK",NOT(ISNUMBER(M212))),"",M212-S212)</f>
        <v/>
      </c>
      <c r="U212" s="49">
        <f>IF(OR($E211&lt;&gt;"측정",$C211&lt;&gt;$C212,$D211&lt;&gt;$D212,NOT(ISNUMBER(M212)),NOT(ISNUMBER(M211)),(IF(ISNUMBER(G212),G212,F212)-IF(ISNUMBER(G211),G211,F211))=0),"",(M212-M211)/((IF(ISNUMBER(G212),G212,F212)-IF(ISNUMBER(G211),G211,F211))/100))</f>
        <v/>
      </c>
      <c r="V212" s="29" t="n"/>
      <c r="W212" s="29" t="n"/>
      <c r="X212" s="32" t="n"/>
    </row>
    <row r="213">
      <c r="A213" s="26" t="inlineStr">
        <is>
          <t>S18</t>
        </is>
      </c>
      <c r="B213" s="26" t="inlineStr">
        <is>
          <t>통영 신규점</t>
        </is>
      </c>
      <c r="C213" s="26" t="inlineStr">
        <is>
          <t>S18-V</t>
        </is>
      </c>
      <c r="D213" s="47" t="n">
        <v>1</v>
      </c>
      <c r="E213" s="26" t="inlineStr">
        <is>
          <t>측정</t>
        </is>
      </c>
      <c r="F213" s="47" t="n">
        <v>60</v>
      </c>
      <c r="G213" s="41" t="n"/>
      <c r="H213" s="29" t="n"/>
      <c r="I213" s="43" t="n"/>
      <c r="J213" s="41" t="n"/>
      <c r="K213" s="41" t="n"/>
      <c r="L213" s="41" t="n"/>
      <c r="M213" s="31">
        <f>IF(COUNT(J213:L213)=0,"",MEDIAN(J213:L213))</f>
        <v/>
      </c>
      <c r="N213" s="26">
        <f>IF(COUNTIFS($C:$C,$C213,$D:$D,$D213,$E:$E,"기준(전)",$M:$M,"&gt;0")&lt;&gt;1,"기준(전) 유효 1개 아님",IF(COUNTIFS($C:$C,$C213,$D:$D,$D213,$E:$E,"기준(후)",$M:$M,"&gt;0")&lt;&gt;1,"기준(후) 유효 1개 아님",IF(NOT(AND(ISNUMBER(O213),ISNUMBER(Q213),ISNUMBER(I213))),"시각 결측",IF(Q213&lt;=O213,"기준 시각 역전",IF(OR(I213&lt;O213,I213&gt;Q213),"측정시각 구간 밖","OK")))))</f>
        <v/>
      </c>
      <c r="O213" s="48">
        <f>IF(COUNTIFS($C:$C,$C213,$D:$D,$D213,$E:$E,"기준(전)",$M:$M,"&gt;0")&lt;&gt;1,"",SUMIFS($I:$I,$C:$C,$C213,$D:$D,$D213,$E:$E,"기준(전)"))</f>
        <v/>
      </c>
      <c r="P213" s="31">
        <f>IF(COUNTIFS($C:$C,$C213,$D:$D,$D213,$E:$E,"기준(전)",$M:$M,"&gt;0")&lt;&gt;1,"",SUMIFS($M:$M,$C:$C,$C213,$D:$D,$D213,$E:$E,"기준(전)"))</f>
        <v/>
      </c>
      <c r="Q213" s="48">
        <f>IF(COUNTIFS($C:$C,$C213,$D:$D,$D213,$E:$E,"기준(후)",$M:$M,"&gt;0")&lt;&gt;1,"",SUMIFS($I:$I,$C:$C,$C213,$D:$D,$D213,$E:$E,"기준(후)"))</f>
        <v/>
      </c>
      <c r="R213" s="31">
        <f>IF(COUNTIFS($C:$C,$C213,$D:$D,$D213,$E:$E,"기준(후)",$M:$M,"&gt;0")&lt;&gt;1,"",SUMIFS($M:$M,$C:$C,$C213,$D:$D,$D213,$E:$E,"기준(후)"))</f>
        <v/>
      </c>
      <c r="S213" s="31">
        <f>IF(N213&lt;&gt;"OK","",P213+(R213-P213)*(I213-O213)/(Q213-O213))</f>
        <v/>
      </c>
      <c r="T213" s="31">
        <f>IF(OR(N213&lt;&gt;"OK",NOT(ISNUMBER(M213))),"",M213-S213)</f>
        <v/>
      </c>
      <c r="U213" s="49">
        <f>IF(OR($E212&lt;&gt;"측정",$C212&lt;&gt;$C213,$D212&lt;&gt;$D213,NOT(ISNUMBER(M213)),NOT(ISNUMBER(M212)),(IF(ISNUMBER(G213),G213,F213)-IF(ISNUMBER(G212),G212,F212))=0),"",(M213-M212)/((IF(ISNUMBER(G213),G213,F213)-IF(ISNUMBER(G212),G212,F212))/100))</f>
        <v/>
      </c>
      <c r="V213" s="29" t="n"/>
      <c r="W213" s="29" t="n"/>
      <c r="X213" s="32" t="n"/>
    </row>
    <row r="214">
      <c r="A214" s="26" t="inlineStr">
        <is>
          <t>S18</t>
        </is>
      </c>
      <c r="B214" s="26" t="inlineStr">
        <is>
          <t>통영 신규점</t>
        </is>
      </c>
      <c r="C214" s="26" t="inlineStr">
        <is>
          <t>S18-V</t>
        </is>
      </c>
      <c r="D214" s="47" t="n">
        <v>1</v>
      </c>
      <c r="E214" s="26" t="inlineStr">
        <is>
          <t>측정</t>
        </is>
      </c>
      <c r="F214" s="47" t="n">
        <v>80</v>
      </c>
      <c r="G214" s="41" t="n"/>
      <c r="H214" s="29" t="n"/>
      <c r="I214" s="43" t="n"/>
      <c r="J214" s="41" t="n"/>
      <c r="K214" s="41" t="n"/>
      <c r="L214" s="41" t="n"/>
      <c r="M214" s="31">
        <f>IF(COUNT(J214:L214)=0,"",MEDIAN(J214:L214))</f>
        <v/>
      </c>
      <c r="N214" s="26">
        <f>IF(COUNTIFS($C:$C,$C214,$D:$D,$D214,$E:$E,"기준(전)",$M:$M,"&gt;0")&lt;&gt;1,"기준(전) 유효 1개 아님",IF(COUNTIFS($C:$C,$C214,$D:$D,$D214,$E:$E,"기준(후)",$M:$M,"&gt;0")&lt;&gt;1,"기준(후) 유효 1개 아님",IF(NOT(AND(ISNUMBER(O214),ISNUMBER(Q214),ISNUMBER(I214))),"시각 결측",IF(Q214&lt;=O214,"기준 시각 역전",IF(OR(I214&lt;O214,I214&gt;Q214),"측정시각 구간 밖","OK")))))</f>
        <v/>
      </c>
      <c r="O214" s="48">
        <f>IF(COUNTIFS($C:$C,$C214,$D:$D,$D214,$E:$E,"기준(전)",$M:$M,"&gt;0")&lt;&gt;1,"",SUMIFS($I:$I,$C:$C,$C214,$D:$D,$D214,$E:$E,"기준(전)"))</f>
        <v/>
      </c>
      <c r="P214" s="31">
        <f>IF(COUNTIFS($C:$C,$C214,$D:$D,$D214,$E:$E,"기준(전)",$M:$M,"&gt;0")&lt;&gt;1,"",SUMIFS($M:$M,$C:$C,$C214,$D:$D,$D214,$E:$E,"기준(전)"))</f>
        <v/>
      </c>
      <c r="Q214" s="48">
        <f>IF(COUNTIFS($C:$C,$C214,$D:$D,$D214,$E:$E,"기준(후)",$M:$M,"&gt;0")&lt;&gt;1,"",SUMIFS($I:$I,$C:$C,$C214,$D:$D,$D214,$E:$E,"기준(후)"))</f>
        <v/>
      </c>
      <c r="R214" s="31">
        <f>IF(COUNTIFS($C:$C,$C214,$D:$D,$D214,$E:$E,"기준(후)",$M:$M,"&gt;0")&lt;&gt;1,"",SUMIFS($M:$M,$C:$C,$C214,$D:$D,$D214,$E:$E,"기준(후)"))</f>
        <v/>
      </c>
      <c r="S214" s="31">
        <f>IF(N214&lt;&gt;"OK","",P214+(R214-P214)*(I214-O214)/(Q214-O214))</f>
        <v/>
      </c>
      <c r="T214" s="31">
        <f>IF(OR(N214&lt;&gt;"OK",NOT(ISNUMBER(M214))),"",M214-S214)</f>
        <v/>
      </c>
      <c r="U214" s="49">
        <f>IF(OR($E213&lt;&gt;"측정",$C213&lt;&gt;$C214,$D213&lt;&gt;$D214,NOT(ISNUMBER(M214)),NOT(ISNUMBER(M213)),(IF(ISNUMBER(G214),G214,F214)-IF(ISNUMBER(G213),G213,F213))=0),"",(M214-M213)/((IF(ISNUMBER(G214),G214,F214)-IF(ISNUMBER(G213),G213,F213))/100))</f>
        <v/>
      </c>
      <c r="V214" s="29" t="n"/>
      <c r="W214" s="29" t="n"/>
      <c r="X214" s="32" t="n"/>
    </row>
    <row r="215">
      <c r="A215" s="26" t="inlineStr">
        <is>
          <t>S18</t>
        </is>
      </c>
      <c r="B215" s="26" t="inlineStr">
        <is>
          <t>통영 신규점</t>
        </is>
      </c>
      <c r="C215" s="26" t="inlineStr">
        <is>
          <t>S18-V</t>
        </is>
      </c>
      <c r="D215" s="47" t="n">
        <v>1</v>
      </c>
      <c r="E215" s="26" t="inlineStr">
        <is>
          <t>측정</t>
        </is>
      </c>
      <c r="F215" s="47" t="n">
        <v>100</v>
      </c>
      <c r="G215" s="41" t="n"/>
      <c r="H215" s="29" t="n"/>
      <c r="I215" s="43" t="n"/>
      <c r="J215" s="41" t="n"/>
      <c r="K215" s="41" t="n"/>
      <c r="L215" s="41" t="n"/>
      <c r="M215" s="31">
        <f>IF(COUNT(J215:L215)=0,"",MEDIAN(J215:L215))</f>
        <v/>
      </c>
      <c r="N215" s="26">
        <f>IF(COUNTIFS($C:$C,$C215,$D:$D,$D215,$E:$E,"기준(전)",$M:$M,"&gt;0")&lt;&gt;1,"기준(전) 유효 1개 아님",IF(COUNTIFS($C:$C,$C215,$D:$D,$D215,$E:$E,"기준(후)",$M:$M,"&gt;0")&lt;&gt;1,"기준(후) 유효 1개 아님",IF(NOT(AND(ISNUMBER(O215),ISNUMBER(Q215),ISNUMBER(I215))),"시각 결측",IF(Q215&lt;=O215,"기준 시각 역전",IF(OR(I215&lt;O215,I215&gt;Q215),"측정시각 구간 밖","OK")))))</f>
        <v/>
      </c>
      <c r="O215" s="48">
        <f>IF(COUNTIFS($C:$C,$C215,$D:$D,$D215,$E:$E,"기준(전)",$M:$M,"&gt;0")&lt;&gt;1,"",SUMIFS($I:$I,$C:$C,$C215,$D:$D,$D215,$E:$E,"기준(전)"))</f>
        <v/>
      </c>
      <c r="P215" s="31">
        <f>IF(COUNTIFS($C:$C,$C215,$D:$D,$D215,$E:$E,"기준(전)",$M:$M,"&gt;0")&lt;&gt;1,"",SUMIFS($M:$M,$C:$C,$C215,$D:$D,$D215,$E:$E,"기준(전)"))</f>
        <v/>
      </c>
      <c r="Q215" s="48">
        <f>IF(COUNTIFS($C:$C,$C215,$D:$D,$D215,$E:$E,"기준(후)",$M:$M,"&gt;0")&lt;&gt;1,"",SUMIFS($I:$I,$C:$C,$C215,$D:$D,$D215,$E:$E,"기준(후)"))</f>
        <v/>
      </c>
      <c r="R215" s="31">
        <f>IF(COUNTIFS($C:$C,$C215,$D:$D,$D215,$E:$E,"기준(후)",$M:$M,"&gt;0")&lt;&gt;1,"",SUMIFS($M:$M,$C:$C,$C215,$D:$D,$D215,$E:$E,"기준(후)"))</f>
        <v/>
      </c>
      <c r="S215" s="31">
        <f>IF(N215&lt;&gt;"OK","",P215+(R215-P215)*(I215-O215)/(Q215-O215))</f>
        <v/>
      </c>
      <c r="T215" s="31">
        <f>IF(OR(N215&lt;&gt;"OK",NOT(ISNUMBER(M215))),"",M215-S215)</f>
        <v/>
      </c>
      <c r="U215" s="49">
        <f>IF(OR($E214&lt;&gt;"측정",$C214&lt;&gt;$C215,$D214&lt;&gt;$D215,NOT(ISNUMBER(M215)),NOT(ISNUMBER(M214)),(IF(ISNUMBER(G215),G215,F215)-IF(ISNUMBER(G214),G214,F214))=0),"",(M215-M214)/((IF(ISNUMBER(G215),G215,F215)-IF(ISNUMBER(G214),G214,F214))/100))</f>
        <v/>
      </c>
      <c r="V215" s="29" t="n"/>
      <c r="W215" s="29" t="n"/>
      <c r="X215" s="32" t="n"/>
    </row>
    <row r="216">
      <c r="A216" s="26" t="inlineStr">
        <is>
          <t>S18</t>
        </is>
      </c>
      <c r="B216" s="26" t="inlineStr">
        <is>
          <t>통영 신규점</t>
        </is>
      </c>
      <c r="C216" s="26" t="inlineStr">
        <is>
          <t>S18-V</t>
        </is>
      </c>
      <c r="D216" s="47" t="n">
        <v>1</v>
      </c>
      <c r="E216" s="26" t="inlineStr">
        <is>
          <t>측정</t>
        </is>
      </c>
      <c r="F216" s="47" t="n">
        <v>120</v>
      </c>
      <c r="G216" s="41" t="n"/>
      <c r="H216" s="29" t="n"/>
      <c r="I216" s="43" t="n"/>
      <c r="J216" s="41" t="n"/>
      <c r="K216" s="41" t="n"/>
      <c r="L216" s="41" t="n"/>
      <c r="M216" s="31">
        <f>IF(COUNT(J216:L216)=0,"",MEDIAN(J216:L216))</f>
        <v/>
      </c>
      <c r="N216" s="26">
        <f>IF(COUNTIFS($C:$C,$C216,$D:$D,$D216,$E:$E,"기준(전)",$M:$M,"&gt;0")&lt;&gt;1,"기준(전) 유효 1개 아님",IF(COUNTIFS($C:$C,$C216,$D:$D,$D216,$E:$E,"기준(후)",$M:$M,"&gt;0")&lt;&gt;1,"기준(후) 유효 1개 아님",IF(NOT(AND(ISNUMBER(O216),ISNUMBER(Q216),ISNUMBER(I216))),"시각 결측",IF(Q216&lt;=O216,"기준 시각 역전",IF(OR(I216&lt;O216,I216&gt;Q216),"측정시각 구간 밖","OK")))))</f>
        <v/>
      </c>
      <c r="O216" s="48">
        <f>IF(COUNTIFS($C:$C,$C216,$D:$D,$D216,$E:$E,"기준(전)",$M:$M,"&gt;0")&lt;&gt;1,"",SUMIFS($I:$I,$C:$C,$C216,$D:$D,$D216,$E:$E,"기준(전)"))</f>
        <v/>
      </c>
      <c r="P216" s="31">
        <f>IF(COUNTIFS($C:$C,$C216,$D:$D,$D216,$E:$E,"기준(전)",$M:$M,"&gt;0")&lt;&gt;1,"",SUMIFS($M:$M,$C:$C,$C216,$D:$D,$D216,$E:$E,"기준(전)"))</f>
        <v/>
      </c>
      <c r="Q216" s="48">
        <f>IF(COUNTIFS($C:$C,$C216,$D:$D,$D216,$E:$E,"기준(후)",$M:$M,"&gt;0")&lt;&gt;1,"",SUMIFS($I:$I,$C:$C,$C216,$D:$D,$D216,$E:$E,"기준(후)"))</f>
        <v/>
      </c>
      <c r="R216" s="31">
        <f>IF(COUNTIFS($C:$C,$C216,$D:$D,$D216,$E:$E,"기준(후)",$M:$M,"&gt;0")&lt;&gt;1,"",SUMIFS($M:$M,$C:$C,$C216,$D:$D,$D216,$E:$E,"기준(후)"))</f>
        <v/>
      </c>
      <c r="S216" s="31">
        <f>IF(N216&lt;&gt;"OK","",P216+(R216-P216)*(I216-O216)/(Q216-O216))</f>
        <v/>
      </c>
      <c r="T216" s="31">
        <f>IF(OR(N216&lt;&gt;"OK",NOT(ISNUMBER(M216))),"",M216-S216)</f>
        <v/>
      </c>
      <c r="U216" s="49">
        <f>IF(OR($E215&lt;&gt;"측정",$C215&lt;&gt;$C216,$D215&lt;&gt;$D216,NOT(ISNUMBER(M216)),NOT(ISNUMBER(M215)),(IF(ISNUMBER(G216),G216,F216)-IF(ISNUMBER(G215),G215,F215))=0),"",(M216-M215)/((IF(ISNUMBER(G216),G216,F216)-IF(ISNUMBER(G215),G215,F215))/100))</f>
        <v/>
      </c>
      <c r="V216" s="29" t="n"/>
      <c r="W216" s="29" t="n"/>
      <c r="X216" s="32" t="n"/>
    </row>
    <row r="217">
      <c r="A217" s="26" t="inlineStr">
        <is>
          <t>S18</t>
        </is>
      </c>
      <c r="B217" s="26" t="inlineStr">
        <is>
          <t>통영 신규점</t>
        </is>
      </c>
      <c r="C217" s="26" t="inlineStr">
        <is>
          <t>S18-V</t>
        </is>
      </c>
      <c r="D217" s="47" t="n">
        <v>1</v>
      </c>
      <c r="E217" s="26" t="inlineStr">
        <is>
          <t>측정</t>
        </is>
      </c>
      <c r="F217" s="47" t="n">
        <v>140</v>
      </c>
      <c r="G217" s="41" t="n"/>
      <c r="H217" s="29" t="n"/>
      <c r="I217" s="43" t="n"/>
      <c r="J217" s="41" t="n"/>
      <c r="K217" s="41" t="n"/>
      <c r="L217" s="41" t="n"/>
      <c r="M217" s="31">
        <f>IF(COUNT(J217:L217)=0,"",MEDIAN(J217:L217))</f>
        <v/>
      </c>
      <c r="N217" s="26">
        <f>IF(COUNTIFS($C:$C,$C217,$D:$D,$D217,$E:$E,"기준(전)",$M:$M,"&gt;0")&lt;&gt;1,"기준(전) 유효 1개 아님",IF(COUNTIFS($C:$C,$C217,$D:$D,$D217,$E:$E,"기준(후)",$M:$M,"&gt;0")&lt;&gt;1,"기준(후) 유효 1개 아님",IF(NOT(AND(ISNUMBER(O217),ISNUMBER(Q217),ISNUMBER(I217))),"시각 결측",IF(Q217&lt;=O217,"기준 시각 역전",IF(OR(I217&lt;O217,I217&gt;Q217),"측정시각 구간 밖","OK")))))</f>
        <v/>
      </c>
      <c r="O217" s="48">
        <f>IF(COUNTIFS($C:$C,$C217,$D:$D,$D217,$E:$E,"기준(전)",$M:$M,"&gt;0")&lt;&gt;1,"",SUMIFS($I:$I,$C:$C,$C217,$D:$D,$D217,$E:$E,"기준(전)"))</f>
        <v/>
      </c>
      <c r="P217" s="31">
        <f>IF(COUNTIFS($C:$C,$C217,$D:$D,$D217,$E:$E,"기준(전)",$M:$M,"&gt;0")&lt;&gt;1,"",SUMIFS($M:$M,$C:$C,$C217,$D:$D,$D217,$E:$E,"기준(전)"))</f>
        <v/>
      </c>
      <c r="Q217" s="48">
        <f>IF(COUNTIFS($C:$C,$C217,$D:$D,$D217,$E:$E,"기준(후)",$M:$M,"&gt;0")&lt;&gt;1,"",SUMIFS($I:$I,$C:$C,$C217,$D:$D,$D217,$E:$E,"기준(후)"))</f>
        <v/>
      </c>
      <c r="R217" s="31">
        <f>IF(COUNTIFS($C:$C,$C217,$D:$D,$D217,$E:$E,"기준(후)",$M:$M,"&gt;0")&lt;&gt;1,"",SUMIFS($M:$M,$C:$C,$C217,$D:$D,$D217,$E:$E,"기준(후)"))</f>
        <v/>
      </c>
      <c r="S217" s="31">
        <f>IF(N217&lt;&gt;"OK","",P217+(R217-P217)*(I217-O217)/(Q217-O217))</f>
        <v/>
      </c>
      <c r="T217" s="31">
        <f>IF(OR(N217&lt;&gt;"OK",NOT(ISNUMBER(M217))),"",M217-S217)</f>
        <v/>
      </c>
      <c r="U217" s="49">
        <f>IF(OR($E216&lt;&gt;"측정",$C216&lt;&gt;$C217,$D216&lt;&gt;$D217,NOT(ISNUMBER(M217)),NOT(ISNUMBER(M216)),(IF(ISNUMBER(G217),G217,F217)-IF(ISNUMBER(G216),G216,F216))=0),"",(M217-M216)/((IF(ISNUMBER(G217),G217,F217)-IF(ISNUMBER(G216),G216,F216))/100))</f>
        <v/>
      </c>
      <c r="V217" s="29" t="n"/>
      <c r="W217" s="29" t="n"/>
      <c r="X217" s="32" t="n"/>
    </row>
    <row r="218">
      <c r="A218" s="26" t="inlineStr">
        <is>
          <t>S18</t>
        </is>
      </c>
      <c r="B218" s="26" t="inlineStr">
        <is>
          <t>통영 신규점</t>
        </is>
      </c>
      <c r="C218" s="26" t="inlineStr">
        <is>
          <t>S18-V</t>
        </is>
      </c>
      <c r="D218" s="47" t="n">
        <v>1</v>
      </c>
      <c r="E218" s="26" t="inlineStr">
        <is>
          <t>측정</t>
        </is>
      </c>
      <c r="F218" s="47" t="n">
        <v>160</v>
      </c>
      <c r="G218" s="41" t="n"/>
      <c r="H218" s="29" t="n"/>
      <c r="I218" s="43" t="n"/>
      <c r="J218" s="41" t="n"/>
      <c r="K218" s="41" t="n"/>
      <c r="L218" s="41" t="n"/>
      <c r="M218" s="31">
        <f>IF(COUNT(J218:L218)=0,"",MEDIAN(J218:L218))</f>
        <v/>
      </c>
      <c r="N218" s="26">
        <f>IF(COUNTIFS($C:$C,$C218,$D:$D,$D218,$E:$E,"기준(전)",$M:$M,"&gt;0")&lt;&gt;1,"기준(전) 유효 1개 아님",IF(COUNTIFS($C:$C,$C218,$D:$D,$D218,$E:$E,"기준(후)",$M:$M,"&gt;0")&lt;&gt;1,"기준(후) 유효 1개 아님",IF(NOT(AND(ISNUMBER(O218),ISNUMBER(Q218),ISNUMBER(I218))),"시각 결측",IF(Q218&lt;=O218,"기준 시각 역전",IF(OR(I218&lt;O218,I218&gt;Q218),"측정시각 구간 밖","OK")))))</f>
        <v/>
      </c>
      <c r="O218" s="48">
        <f>IF(COUNTIFS($C:$C,$C218,$D:$D,$D218,$E:$E,"기준(전)",$M:$M,"&gt;0")&lt;&gt;1,"",SUMIFS($I:$I,$C:$C,$C218,$D:$D,$D218,$E:$E,"기준(전)"))</f>
        <v/>
      </c>
      <c r="P218" s="31">
        <f>IF(COUNTIFS($C:$C,$C218,$D:$D,$D218,$E:$E,"기준(전)",$M:$M,"&gt;0")&lt;&gt;1,"",SUMIFS($M:$M,$C:$C,$C218,$D:$D,$D218,$E:$E,"기준(전)"))</f>
        <v/>
      </c>
      <c r="Q218" s="48">
        <f>IF(COUNTIFS($C:$C,$C218,$D:$D,$D218,$E:$E,"기준(후)",$M:$M,"&gt;0")&lt;&gt;1,"",SUMIFS($I:$I,$C:$C,$C218,$D:$D,$D218,$E:$E,"기준(후)"))</f>
        <v/>
      </c>
      <c r="R218" s="31">
        <f>IF(COUNTIFS($C:$C,$C218,$D:$D,$D218,$E:$E,"기준(후)",$M:$M,"&gt;0")&lt;&gt;1,"",SUMIFS($M:$M,$C:$C,$C218,$D:$D,$D218,$E:$E,"기준(후)"))</f>
        <v/>
      </c>
      <c r="S218" s="31">
        <f>IF(N218&lt;&gt;"OK","",P218+(R218-P218)*(I218-O218)/(Q218-O218))</f>
        <v/>
      </c>
      <c r="T218" s="31">
        <f>IF(OR(N218&lt;&gt;"OK",NOT(ISNUMBER(M218))),"",M218-S218)</f>
        <v/>
      </c>
      <c r="U218" s="49">
        <f>IF(OR($E217&lt;&gt;"측정",$C217&lt;&gt;$C218,$D217&lt;&gt;$D218,NOT(ISNUMBER(M218)),NOT(ISNUMBER(M217)),(IF(ISNUMBER(G218),G218,F218)-IF(ISNUMBER(G217),G217,F217))=0),"",(M218-M217)/((IF(ISNUMBER(G218),G218,F218)-IF(ISNUMBER(G217),G217,F217))/100))</f>
        <v/>
      </c>
      <c r="V218" s="29" t="n"/>
      <c r="W218" s="29" t="n"/>
      <c r="X218" s="32" t="n"/>
    </row>
    <row r="219">
      <c r="A219" s="26" t="inlineStr">
        <is>
          <t>S18</t>
        </is>
      </c>
      <c r="B219" s="26" t="inlineStr">
        <is>
          <t>통영 신규점</t>
        </is>
      </c>
      <c r="C219" s="26" t="inlineStr">
        <is>
          <t>S18-V</t>
        </is>
      </c>
      <c r="D219" s="47" t="n">
        <v>1</v>
      </c>
      <c r="E219" s="26" t="inlineStr">
        <is>
          <t>측정</t>
        </is>
      </c>
      <c r="F219" s="47" t="n">
        <v>180</v>
      </c>
      <c r="G219" s="41" t="n"/>
      <c r="H219" s="29" t="n"/>
      <c r="I219" s="43" t="n"/>
      <c r="J219" s="41" t="n"/>
      <c r="K219" s="41" t="n"/>
      <c r="L219" s="41" t="n"/>
      <c r="M219" s="31">
        <f>IF(COUNT(J219:L219)=0,"",MEDIAN(J219:L219))</f>
        <v/>
      </c>
      <c r="N219" s="26">
        <f>IF(COUNTIFS($C:$C,$C219,$D:$D,$D219,$E:$E,"기준(전)",$M:$M,"&gt;0")&lt;&gt;1,"기준(전) 유효 1개 아님",IF(COUNTIFS($C:$C,$C219,$D:$D,$D219,$E:$E,"기준(후)",$M:$M,"&gt;0")&lt;&gt;1,"기준(후) 유효 1개 아님",IF(NOT(AND(ISNUMBER(O219),ISNUMBER(Q219),ISNUMBER(I219))),"시각 결측",IF(Q219&lt;=O219,"기준 시각 역전",IF(OR(I219&lt;O219,I219&gt;Q219),"측정시각 구간 밖","OK")))))</f>
        <v/>
      </c>
      <c r="O219" s="48">
        <f>IF(COUNTIFS($C:$C,$C219,$D:$D,$D219,$E:$E,"기준(전)",$M:$M,"&gt;0")&lt;&gt;1,"",SUMIFS($I:$I,$C:$C,$C219,$D:$D,$D219,$E:$E,"기준(전)"))</f>
        <v/>
      </c>
      <c r="P219" s="31">
        <f>IF(COUNTIFS($C:$C,$C219,$D:$D,$D219,$E:$E,"기준(전)",$M:$M,"&gt;0")&lt;&gt;1,"",SUMIFS($M:$M,$C:$C,$C219,$D:$D,$D219,$E:$E,"기준(전)"))</f>
        <v/>
      </c>
      <c r="Q219" s="48">
        <f>IF(COUNTIFS($C:$C,$C219,$D:$D,$D219,$E:$E,"기준(후)",$M:$M,"&gt;0")&lt;&gt;1,"",SUMIFS($I:$I,$C:$C,$C219,$D:$D,$D219,$E:$E,"기준(후)"))</f>
        <v/>
      </c>
      <c r="R219" s="31">
        <f>IF(COUNTIFS($C:$C,$C219,$D:$D,$D219,$E:$E,"기준(후)",$M:$M,"&gt;0")&lt;&gt;1,"",SUMIFS($M:$M,$C:$C,$C219,$D:$D,$D219,$E:$E,"기준(후)"))</f>
        <v/>
      </c>
      <c r="S219" s="31">
        <f>IF(N219&lt;&gt;"OK","",P219+(R219-P219)*(I219-O219)/(Q219-O219))</f>
        <v/>
      </c>
      <c r="T219" s="31">
        <f>IF(OR(N219&lt;&gt;"OK",NOT(ISNUMBER(M219))),"",M219-S219)</f>
        <v/>
      </c>
      <c r="U219" s="49">
        <f>IF(OR($E218&lt;&gt;"측정",$C218&lt;&gt;$C219,$D218&lt;&gt;$D219,NOT(ISNUMBER(M219)),NOT(ISNUMBER(M218)),(IF(ISNUMBER(G219),G219,F219)-IF(ISNUMBER(G218),G218,F218))=0),"",(M219-M218)/((IF(ISNUMBER(G219),G219,F219)-IF(ISNUMBER(G218),G218,F218))/100))</f>
        <v/>
      </c>
      <c r="V219" s="29" t="n"/>
      <c r="W219" s="29" t="n"/>
      <c r="X219" s="32" t="n"/>
    </row>
    <row r="220">
      <c r="A220" s="26" t="inlineStr">
        <is>
          <t>S18</t>
        </is>
      </c>
      <c r="B220" s="26" t="inlineStr">
        <is>
          <t>통영 신규점</t>
        </is>
      </c>
      <c r="C220" s="26" t="inlineStr">
        <is>
          <t>S18-V</t>
        </is>
      </c>
      <c r="D220" s="47" t="n">
        <v>1</v>
      </c>
      <c r="E220" s="26" t="inlineStr">
        <is>
          <t>측정</t>
        </is>
      </c>
      <c r="F220" s="47" t="n">
        <v>200</v>
      </c>
      <c r="G220" s="41" t="n"/>
      <c r="H220" s="29" t="n"/>
      <c r="I220" s="43" t="n"/>
      <c r="J220" s="41" t="n"/>
      <c r="K220" s="41" t="n"/>
      <c r="L220" s="41" t="n"/>
      <c r="M220" s="31">
        <f>IF(COUNT(J220:L220)=0,"",MEDIAN(J220:L220))</f>
        <v/>
      </c>
      <c r="N220" s="26">
        <f>IF(COUNTIFS($C:$C,$C220,$D:$D,$D220,$E:$E,"기준(전)",$M:$M,"&gt;0")&lt;&gt;1,"기준(전) 유효 1개 아님",IF(COUNTIFS($C:$C,$C220,$D:$D,$D220,$E:$E,"기준(후)",$M:$M,"&gt;0")&lt;&gt;1,"기준(후) 유효 1개 아님",IF(NOT(AND(ISNUMBER(O220),ISNUMBER(Q220),ISNUMBER(I220))),"시각 결측",IF(Q220&lt;=O220,"기준 시각 역전",IF(OR(I220&lt;O220,I220&gt;Q220),"측정시각 구간 밖","OK")))))</f>
        <v/>
      </c>
      <c r="O220" s="48">
        <f>IF(COUNTIFS($C:$C,$C220,$D:$D,$D220,$E:$E,"기준(전)",$M:$M,"&gt;0")&lt;&gt;1,"",SUMIFS($I:$I,$C:$C,$C220,$D:$D,$D220,$E:$E,"기준(전)"))</f>
        <v/>
      </c>
      <c r="P220" s="31">
        <f>IF(COUNTIFS($C:$C,$C220,$D:$D,$D220,$E:$E,"기준(전)",$M:$M,"&gt;0")&lt;&gt;1,"",SUMIFS($M:$M,$C:$C,$C220,$D:$D,$D220,$E:$E,"기준(전)"))</f>
        <v/>
      </c>
      <c r="Q220" s="48">
        <f>IF(COUNTIFS($C:$C,$C220,$D:$D,$D220,$E:$E,"기준(후)",$M:$M,"&gt;0")&lt;&gt;1,"",SUMIFS($I:$I,$C:$C,$C220,$D:$D,$D220,$E:$E,"기준(후)"))</f>
        <v/>
      </c>
      <c r="R220" s="31">
        <f>IF(COUNTIFS($C:$C,$C220,$D:$D,$D220,$E:$E,"기준(후)",$M:$M,"&gt;0")&lt;&gt;1,"",SUMIFS($M:$M,$C:$C,$C220,$D:$D,$D220,$E:$E,"기준(후)"))</f>
        <v/>
      </c>
      <c r="S220" s="31">
        <f>IF(N220&lt;&gt;"OK","",P220+(R220-P220)*(I220-O220)/(Q220-O220))</f>
        <v/>
      </c>
      <c r="T220" s="31">
        <f>IF(OR(N220&lt;&gt;"OK",NOT(ISNUMBER(M220))),"",M220-S220)</f>
        <v/>
      </c>
      <c r="U220" s="49">
        <f>IF(OR($E219&lt;&gt;"측정",$C219&lt;&gt;$C220,$D219&lt;&gt;$D220,NOT(ISNUMBER(M220)),NOT(ISNUMBER(M219)),(IF(ISNUMBER(G220),G220,F220)-IF(ISNUMBER(G219),G219,F219))=0),"",(M220-M219)/((IF(ISNUMBER(G220),G220,F220)-IF(ISNUMBER(G219),G219,F219))/100))</f>
        <v/>
      </c>
      <c r="V220" s="29" t="n"/>
      <c r="W220" s="29" t="n"/>
      <c r="X220" s="32" t="n"/>
    </row>
    <row r="221">
      <c r="A221" s="44" t="inlineStr">
        <is>
          <t>S18</t>
        </is>
      </c>
      <c r="B221" s="44" t="inlineStr">
        <is>
          <t>통영 신규점</t>
        </is>
      </c>
      <c r="C221" s="44" t="inlineStr">
        <is>
          <t>S18-V</t>
        </is>
      </c>
      <c r="D221" s="45" t="n">
        <v>1</v>
      </c>
      <c r="E221" s="44" t="inlineStr">
        <is>
          <t>기준(후)</t>
        </is>
      </c>
      <c r="F221" s="45" t="n"/>
      <c r="G221" s="41" t="n"/>
      <c r="H221" s="29" t="n"/>
      <c r="I221" s="43" t="n"/>
      <c r="J221" s="41" t="n"/>
      <c r="K221" s="41" t="n"/>
      <c r="L221" s="41" t="n"/>
      <c r="M221" s="31">
        <f>IF(COUNT(J221:L221)=0,"",MEDIAN(J221:L221))</f>
        <v/>
      </c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29" t="n"/>
      <c r="W221" s="29" t="n"/>
      <c r="X221" s="32" t="n"/>
    </row>
    <row r="222">
      <c r="A222" s="44" t="inlineStr">
        <is>
          <t>S19</t>
        </is>
      </c>
      <c r="B222" s="44" t="inlineStr">
        <is>
          <t>오호 신규점</t>
        </is>
      </c>
      <c r="C222" s="44" t="inlineStr">
        <is>
          <t>S19-V</t>
        </is>
      </c>
      <c r="D222" s="45" t="n">
        <v>1</v>
      </c>
      <c r="E222" s="44" t="inlineStr">
        <is>
          <t>기준(전)</t>
        </is>
      </c>
      <c r="F222" s="45" t="n"/>
      <c r="G222" s="41" t="n"/>
      <c r="H222" s="29" t="n"/>
      <c r="I222" s="43" t="n"/>
      <c r="J222" s="41" t="n"/>
      <c r="K222" s="41" t="n"/>
      <c r="L222" s="41" t="n"/>
      <c r="M222" s="31">
        <f>IF(COUNT(J222:L222)=0,"",MEDIAN(J222:L222))</f>
        <v/>
      </c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29" t="n"/>
      <c r="W222" s="29" t="n"/>
      <c r="X222" s="32" t="n"/>
    </row>
    <row r="223">
      <c r="A223" s="26" t="inlineStr">
        <is>
          <t>S19</t>
        </is>
      </c>
      <c r="B223" s="26" t="inlineStr">
        <is>
          <t>오호 신규점</t>
        </is>
      </c>
      <c r="C223" s="26" t="inlineStr">
        <is>
          <t>S19-V</t>
        </is>
      </c>
      <c r="D223" s="47" t="n">
        <v>1</v>
      </c>
      <c r="E223" s="26" t="inlineStr">
        <is>
          <t>측정</t>
        </is>
      </c>
      <c r="F223" s="47" t="n">
        <v>20</v>
      </c>
      <c r="G223" s="41" t="n"/>
      <c r="H223" s="29" t="n"/>
      <c r="I223" s="43" t="n"/>
      <c r="J223" s="41" t="n"/>
      <c r="K223" s="41" t="n"/>
      <c r="L223" s="41" t="n"/>
      <c r="M223" s="31">
        <f>IF(COUNT(J223:L223)=0,"",MEDIAN(J223:L223))</f>
        <v/>
      </c>
      <c r="N223" s="26">
        <f>IF(COUNTIFS($C:$C,$C223,$D:$D,$D223,$E:$E,"기준(전)",$M:$M,"&gt;0")&lt;&gt;1,"기준(전) 유효 1개 아님",IF(COUNTIFS($C:$C,$C223,$D:$D,$D223,$E:$E,"기준(후)",$M:$M,"&gt;0")&lt;&gt;1,"기준(후) 유효 1개 아님",IF(NOT(AND(ISNUMBER(O223),ISNUMBER(Q223),ISNUMBER(I223))),"시각 결측",IF(Q223&lt;=O223,"기준 시각 역전",IF(OR(I223&lt;O223,I223&gt;Q223),"측정시각 구간 밖","OK")))))</f>
        <v/>
      </c>
      <c r="O223" s="48">
        <f>IF(COUNTIFS($C:$C,$C223,$D:$D,$D223,$E:$E,"기준(전)",$M:$M,"&gt;0")&lt;&gt;1,"",SUMIFS($I:$I,$C:$C,$C223,$D:$D,$D223,$E:$E,"기준(전)"))</f>
        <v/>
      </c>
      <c r="P223" s="31">
        <f>IF(COUNTIFS($C:$C,$C223,$D:$D,$D223,$E:$E,"기준(전)",$M:$M,"&gt;0")&lt;&gt;1,"",SUMIFS($M:$M,$C:$C,$C223,$D:$D,$D223,$E:$E,"기준(전)"))</f>
        <v/>
      </c>
      <c r="Q223" s="48">
        <f>IF(COUNTIFS($C:$C,$C223,$D:$D,$D223,$E:$E,"기준(후)",$M:$M,"&gt;0")&lt;&gt;1,"",SUMIFS($I:$I,$C:$C,$C223,$D:$D,$D223,$E:$E,"기준(후)"))</f>
        <v/>
      </c>
      <c r="R223" s="31">
        <f>IF(COUNTIFS($C:$C,$C223,$D:$D,$D223,$E:$E,"기준(후)",$M:$M,"&gt;0")&lt;&gt;1,"",SUMIFS($M:$M,$C:$C,$C223,$D:$D,$D223,$E:$E,"기준(후)"))</f>
        <v/>
      </c>
      <c r="S223" s="31">
        <f>IF(N223&lt;&gt;"OK","",P223+(R223-P223)*(I223-O223)/(Q223-O223))</f>
        <v/>
      </c>
      <c r="T223" s="31">
        <f>IF(OR(N223&lt;&gt;"OK",NOT(ISNUMBER(M223))),"",M223-S223)</f>
        <v/>
      </c>
      <c r="U223" s="49">
        <f>IF(OR($E222&lt;&gt;"측정",$C222&lt;&gt;$C223,$D222&lt;&gt;$D223,NOT(ISNUMBER(M223)),NOT(ISNUMBER(M222)),(IF(ISNUMBER(G223),G223,F223)-IF(ISNUMBER(G222),G222,F222))=0),"",(M223-M222)/((IF(ISNUMBER(G223),G223,F223)-IF(ISNUMBER(G222),G222,F222))/100))</f>
        <v/>
      </c>
      <c r="V223" s="29" t="n"/>
      <c r="W223" s="29" t="n"/>
      <c r="X223" s="32" t="n"/>
    </row>
    <row r="224">
      <c r="A224" s="26" t="inlineStr">
        <is>
          <t>S19</t>
        </is>
      </c>
      <c r="B224" s="26" t="inlineStr">
        <is>
          <t>오호 신규점</t>
        </is>
      </c>
      <c r="C224" s="26" t="inlineStr">
        <is>
          <t>S19-V</t>
        </is>
      </c>
      <c r="D224" s="47" t="n">
        <v>1</v>
      </c>
      <c r="E224" s="26" t="inlineStr">
        <is>
          <t>측정</t>
        </is>
      </c>
      <c r="F224" s="47" t="n">
        <v>40</v>
      </c>
      <c r="G224" s="41" t="n"/>
      <c r="H224" s="29" t="n"/>
      <c r="I224" s="43" t="n"/>
      <c r="J224" s="41" t="n"/>
      <c r="K224" s="41" t="n"/>
      <c r="L224" s="41" t="n"/>
      <c r="M224" s="31">
        <f>IF(COUNT(J224:L224)=0,"",MEDIAN(J224:L224))</f>
        <v/>
      </c>
      <c r="N224" s="26">
        <f>IF(COUNTIFS($C:$C,$C224,$D:$D,$D224,$E:$E,"기준(전)",$M:$M,"&gt;0")&lt;&gt;1,"기준(전) 유효 1개 아님",IF(COUNTIFS($C:$C,$C224,$D:$D,$D224,$E:$E,"기준(후)",$M:$M,"&gt;0")&lt;&gt;1,"기준(후) 유효 1개 아님",IF(NOT(AND(ISNUMBER(O224),ISNUMBER(Q224),ISNUMBER(I224))),"시각 결측",IF(Q224&lt;=O224,"기준 시각 역전",IF(OR(I224&lt;O224,I224&gt;Q224),"측정시각 구간 밖","OK")))))</f>
        <v/>
      </c>
      <c r="O224" s="48">
        <f>IF(COUNTIFS($C:$C,$C224,$D:$D,$D224,$E:$E,"기준(전)",$M:$M,"&gt;0")&lt;&gt;1,"",SUMIFS($I:$I,$C:$C,$C224,$D:$D,$D224,$E:$E,"기준(전)"))</f>
        <v/>
      </c>
      <c r="P224" s="31">
        <f>IF(COUNTIFS($C:$C,$C224,$D:$D,$D224,$E:$E,"기준(전)",$M:$M,"&gt;0")&lt;&gt;1,"",SUMIFS($M:$M,$C:$C,$C224,$D:$D,$D224,$E:$E,"기준(전)"))</f>
        <v/>
      </c>
      <c r="Q224" s="48">
        <f>IF(COUNTIFS($C:$C,$C224,$D:$D,$D224,$E:$E,"기준(후)",$M:$M,"&gt;0")&lt;&gt;1,"",SUMIFS($I:$I,$C:$C,$C224,$D:$D,$D224,$E:$E,"기준(후)"))</f>
        <v/>
      </c>
      <c r="R224" s="31">
        <f>IF(COUNTIFS($C:$C,$C224,$D:$D,$D224,$E:$E,"기준(후)",$M:$M,"&gt;0")&lt;&gt;1,"",SUMIFS($M:$M,$C:$C,$C224,$D:$D,$D224,$E:$E,"기준(후)"))</f>
        <v/>
      </c>
      <c r="S224" s="31">
        <f>IF(N224&lt;&gt;"OK","",P224+(R224-P224)*(I224-O224)/(Q224-O224))</f>
        <v/>
      </c>
      <c r="T224" s="31">
        <f>IF(OR(N224&lt;&gt;"OK",NOT(ISNUMBER(M224))),"",M224-S224)</f>
        <v/>
      </c>
      <c r="U224" s="49">
        <f>IF(OR($E223&lt;&gt;"측정",$C223&lt;&gt;$C224,$D223&lt;&gt;$D224,NOT(ISNUMBER(M224)),NOT(ISNUMBER(M223)),(IF(ISNUMBER(G224),G224,F224)-IF(ISNUMBER(G223),G223,F223))=0),"",(M224-M223)/((IF(ISNUMBER(G224),G224,F224)-IF(ISNUMBER(G223),G223,F223))/100))</f>
        <v/>
      </c>
      <c r="V224" s="29" t="n"/>
      <c r="W224" s="29" t="n"/>
      <c r="X224" s="32" t="n"/>
    </row>
    <row r="225">
      <c r="A225" s="26" t="inlineStr">
        <is>
          <t>S19</t>
        </is>
      </c>
      <c r="B225" s="26" t="inlineStr">
        <is>
          <t>오호 신규점</t>
        </is>
      </c>
      <c r="C225" s="26" t="inlineStr">
        <is>
          <t>S19-V</t>
        </is>
      </c>
      <c r="D225" s="47" t="n">
        <v>1</v>
      </c>
      <c r="E225" s="26" t="inlineStr">
        <is>
          <t>측정</t>
        </is>
      </c>
      <c r="F225" s="47" t="n">
        <v>60</v>
      </c>
      <c r="G225" s="41" t="n"/>
      <c r="H225" s="29" t="n"/>
      <c r="I225" s="43" t="n"/>
      <c r="J225" s="41" t="n"/>
      <c r="K225" s="41" t="n"/>
      <c r="L225" s="41" t="n"/>
      <c r="M225" s="31">
        <f>IF(COUNT(J225:L225)=0,"",MEDIAN(J225:L225))</f>
        <v/>
      </c>
      <c r="N225" s="26">
        <f>IF(COUNTIFS($C:$C,$C225,$D:$D,$D225,$E:$E,"기준(전)",$M:$M,"&gt;0")&lt;&gt;1,"기준(전) 유효 1개 아님",IF(COUNTIFS($C:$C,$C225,$D:$D,$D225,$E:$E,"기준(후)",$M:$M,"&gt;0")&lt;&gt;1,"기준(후) 유효 1개 아님",IF(NOT(AND(ISNUMBER(O225),ISNUMBER(Q225),ISNUMBER(I225))),"시각 결측",IF(Q225&lt;=O225,"기준 시각 역전",IF(OR(I225&lt;O225,I225&gt;Q225),"측정시각 구간 밖","OK")))))</f>
        <v/>
      </c>
      <c r="O225" s="48">
        <f>IF(COUNTIFS($C:$C,$C225,$D:$D,$D225,$E:$E,"기준(전)",$M:$M,"&gt;0")&lt;&gt;1,"",SUMIFS($I:$I,$C:$C,$C225,$D:$D,$D225,$E:$E,"기준(전)"))</f>
        <v/>
      </c>
      <c r="P225" s="31">
        <f>IF(COUNTIFS($C:$C,$C225,$D:$D,$D225,$E:$E,"기준(전)",$M:$M,"&gt;0")&lt;&gt;1,"",SUMIFS($M:$M,$C:$C,$C225,$D:$D,$D225,$E:$E,"기준(전)"))</f>
        <v/>
      </c>
      <c r="Q225" s="48">
        <f>IF(COUNTIFS($C:$C,$C225,$D:$D,$D225,$E:$E,"기준(후)",$M:$M,"&gt;0")&lt;&gt;1,"",SUMIFS($I:$I,$C:$C,$C225,$D:$D,$D225,$E:$E,"기준(후)"))</f>
        <v/>
      </c>
      <c r="R225" s="31">
        <f>IF(COUNTIFS($C:$C,$C225,$D:$D,$D225,$E:$E,"기준(후)",$M:$M,"&gt;0")&lt;&gt;1,"",SUMIFS($M:$M,$C:$C,$C225,$D:$D,$D225,$E:$E,"기준(후)"))</f>
        <v/>
      </c>
      <c r="S225" s="31">
        <f>IF(N225&lt;&gt;"OK","",P225+(R225-P225)*(I225-O225)/(Q225-O225))</f>
        <v/>
      </c>
      <c r="T225" s="31">
        <f>IF(OR(N225&lt;&gt;"OK",NOT(ISNUMBER(M225))),"",M225-S225)</f>
        <v/>
      </c>
      <c r="U225" s="49">
        <f>IF(OR($E224&lt;&gt;"측정",$C224&lt;&gt;$C225,$D224&lt;&gt;$D225,NOT(ISNUMBER(M225)),NOT(ISNUMBER(M224)),(IF(ISNUMBER(G225),G225,F225)-IF(ISNUMBER(G224),G224,F224))=0),"",(M225-M224)/((IF(ISNUMBER(G225),G225,F225)-IF(ISNUMBER(G224),G224,F224))/100))</f>
        <v/>
      </c>
      <c r="V225" s="29" t="n"/>
      <c r="W225" s="29" t="n"/>
      <c r="X225" s="32" t="n"/>
    </row>
    <row r="226">
      <c r="A226" s="26" t="inlineStr">
        <is>
          <t>S19</t>
        </is>
      </c>
      <c r="B226" s="26" t="inlineStr">
        <is>
          <t>오호 신규점</t>
        </is>
      </c>
      <c r="C226" s="26" t="inlineStr">
        <is>
          <t>S19-V</t>
        </is>
      </c>
      <c r="D226" s="47" t="n">
        <v>1</v>
      </c>
      <c r="E226" s="26" t="inlineStr">
        <is>
          <t>측정</t>
        </is>
      </c>
      <c r="F226" s="47" t="n">
        <v>80</v>
      </c>
      <c r="G226" s="41" t="n"/>
      <c r="H226" s="29" t="n"/>
      <c r="I226" s="43" t="n"/>
      <c r="J226" s="41" t="n"/>
      <c r="K226" s="41" t="n"/>
      <c r="L226" s="41" t="n"/>
      <c r="M226" s="31">
        <f>IF(COUNT(J226:L226)=0,"",MEDIAN(J226:L226))</f>
        <v/>
      </c>
      <c r="N226" s="26">
        <f>IF(COUNTIFS($C:$C,$C226,$D:$D,$D226,$E:$E,"기준(전)",$M:$M,"&gt;0")&lt;&gt;1,"기준(전) 유효 1개 아님",IF(COUNTIFS($C:$C,$C226,$D:$D,$D226,$E:$E,"기준(후)",$M:$M,"&gt;0")&lt;&gt;1,"기준(후) 유효 1개 아님",IF(NOT(AND(ISNUMBER(O226),ISNUMBER(Q226),ISNUMBER(I226))),"시각 결측",IF(Q226&lt;=O226,"기준 시각 역전",IF(OR(I226&lt;O226,I226&gt;Q226),"측정시각 구간 밖","OK")))))</f>
        <v/>
      </c>
      <c r="O226" s="48">
        <f>IF(COUNTIFS($C:$C,$C226,$D:$D,$D226,$E:$E,"기준(전)",$M:$M,"&gt;0")&lt;&gt;1,"",SUMIFS($I:$I,$C:$C,$C226,$D:$D,$D226,$E:$E,"기준(전)"))</f>
        <v/>
      </c>
      <c r="P226" s="31">
        <f>IF(COUNTIFS($C:$C,$C226,$D:$D,$D226,$E:$E,"기준(전)",$M:$M,"&gt;0")&lt;&gt;1,"",SUMIFS($M:$M,$C:$C,$C226,$D:$D,$D226,$E:$E,"기준(전)"))</f>
        <v/>
      </c>
      <c r="Q226" s="48">
        <f>IF(COUNTIFS($C:$C,$C226,$D:$D,$D226,$E:$E,"기준(후)",$M:$M,"&gt;0")&lt;&gt;1,"",SUMIFS($I:$I,$C:$C,$C226,$D:$D,$D226,$E:$E,"기준(후)"))</f>
        <v/>
      </c>
      <c r="R226" s="31">
        <f>IF(COUNTIFS($C:$C,$C226,$D:$D,$D226,$E:$E,"기준(후)",$M:$M,"&gt;0")&lt;&gt;1,"",SUMIFS($M:$M,$C:$C,$C226,$D:$D,$D226,$E:$E,"기준(후)"))</f>
        <v/>
      </c>
      <c r="S226" s="31">
        <f>IF(N226&lt;&gt;"OK","",P226+(R226-P226)*(I226-O226)/(Q226-O226))</f>
        <v/>
      </c>
      <c r="T226" s="31">
        <f>IF(OR(N226&lt;&gt;"OK",NOT(ISNUMBER(M226))),"",M226-S226)</f>
        <v/>
      </c>
      <c r="U226" s="49">
        <f>IF(OR($E225&lt;&gt;"측정",$C225&lt;&gt;$C226,$D225&lt;&gt;$D226,NOT(ISNUMBER(M226)),NOT(ISNUMBER(M225)),(IF(ISNUMBER(G226),G226,F226)-IF(ISNUMBER(G225),G225,F225))=0),"",(M226-M225)/((IF(ISNUMBER(G226),G226,F226)-IF(ISNUMBER(G225),G225,F225))/100))</f>
        <v/>
      </c>
      <c r="V226" s="29" t="n"/>
      <c r="W226" s="29" t="n"/>
      <c r="X226" s="32" t="n"/>
    </row>
    <row r="227">
      <c r="A227" s="26" t="inlineStr">
        <is>
          <t>S19</t>
        </is>
      </c>
      <c r="B227" s="26" t="inlineStr">
        <is>
          <t>오호 신규점</t>
        </is>
      </c>
      <c r="C227" s="26" t="inlineStr">
        <is>
          <t>S19-V</t>
        </is>
      </c>
      <c r="D227" s="47" t="n">
        <v>1</v>
      </c>
      <c r="E227" s="26" t="inlineStr">
        <is>
          <t>측정</t>
        </is>
      </c>
      <c r="F227" s="47" t="n">
        <v>100</v>
      </c>
      <c r="G227" s="41" t="n"/>
      <c r="H227" s="29" t="n"/>
      <c r="I227" s="43" t="n"/>
      <c r="J227" s="41" t="n"/>
      <c r="K227" s="41" t="n"/>
      <c r="L227" s="41" t="n"/>
      <c r="M227" s="31">
        <f>IF(COUNT(J227:L227)=0,"",MEDIAN(J227:L227))</f>
        <v/>
      </c>
      <c r="N227" s="26">
        <f>IF(COUNTIFS($C:$C,$C227,$D:$D,$D227,$E:$E,"기준(전)",$M:$M,"&gt;0")&lt;&gt;1,"기준(전) 유효 1개 아님",IF(COUNTIFS($C:$C,$C227,$D:$D,$D227,$E:$E,"기준(후)",$M:$M,"&gt;0")&lt;&gt;1,"기준(후) 유효 1개 아님",IF(NOT(AND(ISNUMBER(O227),ISNUMBER(Q227),ISNUMBER(I227))),"시각 결측",IF(Q227&lt;=O227,"기준 시각 역전",IF(OR(I227&lt;O227,I227&gt;Q227),"측정시각 구간 밖","OK")))))</f>
        <v/>
      </c>
      <c r="O227" s="48">
        <f>IF(COUNTIFS($C:$C,$C227,$D:$D,$D227,$E:$E,"기준(전)",$M:$M,"&gt;0")&lt;&gt;1,"",SUMIFS($I:$I,$C:$C,$C227,$D:$D,$D227,$E:$E,"기준(전)"))</f>
        <v/>
      </c>
      <c r="P227" s="31">
        <f>IF(COUNTIFS($C:$C,$C227,$D:$D,$D227,$E:$E,"기준(전)",$M:$M,"&gt;0")&lt;&gt;1,"",SUMIFS($M:$M,$C:$C,$C227,$D:$D,$D227,$E:$E,"기준(전)"))</f>
        <v/>
      </c>
      <c r="Q227" s="48">
        <f>IF(COUNTIFS($C:$C,$C227,$D:$D,$D227,$E:$E,"기준(후)",$M:$M,"&gt;0")&lt;&gt;1,"",SUMIFS($I:$I,$C:$C,$C227,$D:$D,$D227,$E:$E,"기준(후)"))</f>
        <v/>
      </c>
      <c r="R227" s="31">
        <f>IF(COUNTIFS($C:$C,$C227,$D:$D,$D227,$E:$E,"기준(후)",$M:$M,"&gt;0")&lt;&gt;1,"",SUMIFS($M:$M,$C:$C,$C227,$D:$D,$D227,$E:$E,"기준(후)"))</f>
        <v/>
      </c>
      <c r="S227" s="31">
        <f>IF(N227&lt;&gt;"OK","",P227+(R227-P227)*(I227-O227)/(Q227-O227))</f>
        <v/>
      </c>
      <c r="T227" s="31">
        <f>IF(OR(N227&lt;&gt;"OK",NOT(ISNUMBER(M227))),"",M227-S227)</f>
        <v/>
      </c>
      <c r="U227" s="49">
        <f>IF(OR($E226&lt;&gt;"측정",$C226&lt;&gt;$C227,$D226&lt;&gt;$D227,NOT(ISNUMBER(M227)),NOT(ISNUMBER(M226)),(IF(ISNUMBER(G227),G227,F227)-IF(ISNUMBER(G226),G226,F226))=0),"",(M227-M226)/((IF(ISNUMBER(G227),G227,F227)-IF(ISNUMBER(G226),G226,F226))/100))</f>
        <v/>
      </c>
      <c r="V227" s="29" t="n"/>
      <c r="W227" s="29" t="n"/>
      <c r="X227" s="32" t="n"/>
    </row>
    <row r="228">
      <c r="A228" s="26" t="inlineStr">
        <is>
          <t>S19</t>
        </is>
      </c>
      <c r="B228" s="26" t="inlineStr">
        <is>
          <t>오호 신규점</t>
        </is>
      </c>
      <c r="C228" s="26" t="inlineStr">
        <is>
          <t>S19-V</t>
        </is>
      </c>
      <c r="D228" s="47" t="n">
        <v>1</v>
      </c>
      <c r="E228" s="26" t="inlineStr">
        <is>
          <t>측정</t>
        </is>
      </c>
      <c r="F228" s="47" t="n">
        <v>120</v>
      </c>
      <c r="G228" s="41" t="n"/>
      <c r="H228" s="29" t="n"/>
      <c r="I228" s="43" t="n"/>
      <c r="J228" s="41" t="n"/>
      <c r="K228" s="41" t="n"/>
      <c r="L228" s="41" t="n"/>
      <c r="M228" s="31">
        <f>IF(COUNT(J228:L228)=0,"",MEDIAN(J228:L228))</f>
        <v/>
      </c>
      <c r="N228" s="26">
        <f>IF(COUNTIFS($C:$C,$C228,$D:$D,$D228,$E:$E,"기준(전)",$M:$M,"&gt;0")&lt;&gt;1,"기준(전) 유효 1개 아님",IF(COUNTIFS($C:$C,$C228,$D:$D,$D228,$E:$E,"기준(후)",$M:$M,"&gt;0")&lt;&gt;1,"기준(후) 유효 1개 아님",IF(NOT(AND(ISNUMBER(O228),ISNUMBER(Q228),ISNUMBER(I228))),"시각 결측",IF(Q228&lt;=O228,"기준 시각 역전",IF(OR(I228&lt;O228,I228&gt;Q228),"측정시각 구간 밖","OK")))))</f>
        <v/>
      </c>
      <c r="O228" s="48">
        <f>IF(COUNTIFS($C:$C,$C228,$D:$D,$D228,$E:$E,"기준(전)",$M:$M,"&gt;0")&lt;&gt;1,"",SUMIFS($I:$I,$C:$C,$C228,$D:$D,$D228,$E:$E,"기준(전)"))</f>
        <v/>
      </c>
      <c r="P228" s="31">
        <f>IF(COUNTIFS($C:$C,$C228,$D:$D,$D228,$E:$E,"기준(전)",$M:$M,"&gt;0")&lt;&gt;1,"",SUMIFS($M:$M,$C:$C,$C228,$D:$D,$D228,$E:$E,"기준(전)"))</f>
        <v/>
      </c>
      <c r="Q228" s="48">
        <f>IF(COUNTIFS($C:$C,$C228,$D:$D,$D228,$E:$E,"기준(후)",$M:$M,"&gt;0")&lt;&gt;1,"",SUMIFS($I:$I,$C:$C,$C228,$D:$D,$D228,$E:$E,"기준(후)"))</f>
        <v/>
      </c>
      <c r="R228" s="31">
        <f>IF(COUNTIFS($C:$C,$C228,$D:$D,$D228,$E:$E,"기준(후)",$M:$M,"&gt;0")&lt;&gt;1,"",SUMIFS($M:$M,$C:$C,$C228,$D:$D,$D228,$E:$E,"기준(후)"))</f>
        <v/>
      </c>
      <c r="S228" s="31">
        <f>IF(N228&lt;&gt;"OK","",P228+(R228-P228)*(I228-O228)/(Q228-O228))</f>
        <v/>
      </c>
      <c r="T228" s="31">
        <f>IF(OR(N228&lt;&gt;"OK",NOT(ISNUMBER(M228))),"",M228-S228)</f>
        <v/>
      </c>
      <c r="U228" s="49">
        <f>IF(OR($E227&lt;&gt;"측정",$C227&lt;&gt;$C228,$D227&lt;&gt;$D228,NOT(ISNUMBER(M228)),NOT(ISNUMBER(M227)),(IF(ISNUMBER(G228),G228,F228)-IF(ISNUMBER(G227),G227,F227))=0),"",(M228-M227)/((IF(ISNUMBER(G228),G228,F228)-IF(ISNUMBER(G227),G227,F227))/100))</f>
        <v/>
      </c>
      <c r="V228" s="29" t="n"/>
      <c r="W228" s="29" t="n"/>
      <c r="X228" s="32" t="n"/>
    </row>
    <row r="229">
      <c r="A229" s="26" t="inlineStr">
        <is>
          <t>S19</t>
        </is>
      </c>
      <c r="B229" s="26" t="inlineStr">
        <is>
          <t>오호 신규점</t>
        </is>
      </c>
      <c r="C229" s="26" t="inlineStr">
        <is>
          <t>S19-V</t>
        </is>
      </c>
      <c r="D229" s="47" t="n">
        <v>1</v>
      </c>
      <c r="E229" s="26" t="inlineStr">
        <is>
          <t>측정</t>
        </is>
      </c>
      <c r="F229" s="47" t="n">
        <v>140</v>
      </c>
      <c r="G229" s="41" t="n"/>
      <c r="H229" s="29" t="n"/>
      <c r="I229" s="43" t="n"/>
      <c r="J229" s="41" t="n"/>
      <c r="K229" s="41" t="n"/>
      <c r="L229" s="41" t="n"/>
      <c r="M229" s="31">
        <f>IF(COUNT(J229:L229)=0,"",MEDIAN(J229:L229))</f>
        <v/>
      </c>
      <c r="N229" s="26">
        <f>IF(COUNTIFS($C:$C,$C229,$D:$D,$D229,$E:$E,"기준(전)",$M:$M,"&gt;0")&lt;&gt;1,"기준(전) 유효 1개 아님",IF(COUNTIFS($C:$C,$C229,$D:$D,$D229,$E:$E,"기준(후)",$M:$M,"&gt;0")&lt;&gt;1,"기준(후) 유효 1개 아님",IF(NOT(AND(ISNUMBER(O229),ISNUMBER(Q229),ISNUMBER(I229))),"시각 결측",IF(Q229&lt;=O229,"기준 시각 역전",IF(OR(I229&lt;O229,I229&gt;Q229),"측정시각 구간 밖","OK")))))</f>
        <v/>
      </c>
      <c r="O229" s="48">
        <f>IF(COUNTIFS($C:$C,$C229,$D:$D,$D229,$E:$E,"기준(전)",$M:$M,"&gt;0")&lt;&gt;1,"",SUMIFS($I:$I,$C:$C,$C229,$D:$D,$D229,$E:$E,"기준(전)"))</f>
        <v/>
      </c>
      <c r="P229" s="31">
        <f>IF(COUNTIFS($C:$C,$C229,$D:$D,$D229,$E:$E,"기준(전)",$M:$M,"&gt;0")&lt;&gt;1,"",SUMIFS($M:$M,$C:$C,$C229,$D:$D,$D229,$E:$E,"기준(전)"))</f>
        <v/>
      </c>
      <c r="Q229" s="48">
        <f>IF(COUNTIFS($C:$C,$C229,$D:$D,$D229,$E:$E,"기준(후)",$M:$M,"&gt;0")&lt;&gt;1,"",SUMIFS($I:$I,$C:$C,$C229,$D:$D,$D229,$E:$E,"기준(후)"))</f>
        <v/>
      </c>
      <c r="R229" s="31">
        <f>IF(COUNTIFS($C:$C,$C229,$D:$D,$D229,$E:$E,"기준(후)",$M:$M,"&gt;0")&lt;&gt;1,"",SUMIFS($M:$M,$C:$C,$C229,$D:$D,$D229,$E:$E,"기준(후)"))</f>
        <v/>
      </c>
      <c r="S229" s="31">
        <f>IF(N229&lt;&gt;"OK","",P229+(R229-P229)*(I229-O229)/(Q229-O229))</f>
        <v/>
      </c>
      <c r="T229" s="31">
        <f>IF(OR(N229&lt;&gt;"OK",NOT(ISNUMBER(M229))),"",M229-S229)</f>
        <v/>
      </c>
      <c r="U229" s="49">
        <f>IF(OR($E228&lt;&gt;"측정",$C228&lt;&gt;$C229,$D228&lt;&gt;$D229,NOT(ISNUMBER(M229)),NOT(ISNUMBER(M228)),(IF(ISNUMBER(G229),G229,F229)-IF(ISNUMBER(G228),G228,F228))=0),"",(M229-M228)/((IF(ISNUMBER(G229),G229,F229)-IF(ISNUMBER(G228),G228,F228))/100))</f>
        <v/>
      </c>
      <c r="V229" s="29" t="n"/>
      <c r="W229" s="29" t="n"/>
      <c r="X229" s="32" t="n"/>
    </row>
    <row r="230">
      <c r="A230" s="26" t="inlineStr">
        <is>
          <t>S19</t>
        </is>
      </c>
      <c r="B230" s="26" t="inlineStr">
        <is>
          <t>오호 신규점</t>
        </is>
      </c>
      <c r="C230" s="26" t="inlineStr">
        <is>
          <t>S19-V</t>
        </is>
      </c>
      <c r="D230" s="47" t="n">
        <v>1</v>
      </c>
      <c r="E230" s="26" t="inlineStr">
        <is>
          <t>측정</t>
        </is>
      </c>
      <c r="F230" s="47" t="n">
        <v>160</v>
      </c>
      <c r="G230" s="41" t="n"/>
      <c r="H230" s="29" t="n"/>
      <c r="I230" s="43" t="n"/>
      <c r="J230" s="41" t="n"/>
      <c r="K230" s="41" t="n"/>
      <c r="L230" s="41" t="n"/>
      <c r="M230" s="31">
        <f>IF(COUNT(J230:L230)=0,"",MEDIAN(J230:L230))</f>
        <v/>
      </c>
      <c r="N230" s="26">
        <f>IF(COUNTIFS($C:$C,$C230,$D:$D,$D230,$E:$E,"기준(전)",$M:$M,"&gt;0")&lt;&gt;1,"기준(전) 유효 1개 아님",IF(COUNTIFS($C:$C,$C230,$D:$D,$D230,$E:$E,"기준(후)",$M:$M,"&gt;0")&lt;&gt;1,"기준(후) 유효 1개 아님",IF(NOT(AND(ISNUMBER(O230),ISNUMBER(Q230),ISNUMBER(I230))),"시각 결측",IF(Q230&lt;=O230,"기준 시각 역전",IF(OR(I230&lt;O230,I230&gt;Q230),"측정시각 구간 밖","OK")))))</f>
        <v/>
      </c>
      <c r="O230" s="48">
        <f>IF(COUNTIFS($C:$C,$C230,$D:$D,$D230,$E:$E,"기준(전)",$M:$M,"&gt;0")&lt;&gt;1,"",SUMIFS($I:$I,$C:$C,$C230,$D:$D,$D230,$E:$E,"기준(전)"))</f>
        <v/>
      </c>
      <c r="P230" s="31">
        <f>IF(COUNTIFS($C:$C,$C230,$D:$D,$D230,$E:$E,"기준(전)",$M:$M,"&gt;0")&lt;&gt;1,"",SUMIFS($M:$M,$C:$C,$C230,$D:$D,$D230,$E:$E,"기준(전)"))</f>
        <v/>
      </c>
      <c r="Q230" s="48">
        <f>IF(COUNTIFS($C:$C,$C230,$D:$D,$D230,$E:$E,"기준(후)",$M:$M,"&gt;0")&lt;&gt;1,"",SUMIFS($I:$I,$C:$C,$C230,$D:$D,$D230,$E:$E,"기준(후)"))</f>
        <v/>
      </c>
      <c r="R230" s="31">
        <f>IF(COUNTIFS($C:$C,$C230,$D:$D,$D230,$E:$E,"기준(후)",$M:$M,"&gt;0")&lt;&gt;1,"",SUMIFS($M:$M,$C:$C,$C230,$D:$D,$D230,$E:$E,"기준(후)"))</f>
        <v/>
      </c>
      <c r="S230" s="31">
        <f>IF(N230&lt;&gt;"OK","",P230+(R230-P230)*(I230-O230)/(Q230-O230))</f>
        <v/>
      </c>
      <c r="T230" s="31">
        <f>IF(OR(N230&lt;&gt;"OK",NOT(ISNUMBER(M230))),"",M230-S230)</f>
        <v/>
      </c>
      <c r="U230" s="49">
        <f>IF(OR($E229&lt;&gt;"측정",$C229&lt;&gt;$C230,$D229&lt;&gt;$D230,NOT(ISNUMBER(M230)),NOT(ISNUMBER(M229)),(IF(ISNUMBER(G230),G230,F230)-IF(ISNUMBER(G229),G229,F229))=0),"",(M230-M229)/((IF(ISNUMBER(G230),G230,F230)-IF(ISNUMBER(G229),G229,F229))/100))</f>
        <v/>
      </c>
      <c r="V230" s="29" t="n"/>
      <c r="W230" s="29" t="n"/>
      <c r="X230" s="32" t="n"/>
    </row>
    <row r="231">
      <c r="A231" s="26" t="inlineStr">
        <is>
          <t>S19</t>
        </is>
      </c>
      <c r="B231" s="26" t="inlineStr">
        <is>
          <t>오호 신규점</t>
        </is>
      </c>
      <c r="C231" s="26" t="inlineStr">
        <is>
          <t>S19-V</t>
        </is>
      </c>
      <c r="D231" s="47" t="n">
        <v>1</v>
      </c>
      <c r="E231" s="26" t="inlineStr">
        <is>
          <t>측정</t>
        </is>
      </c>
      <c r="F231" s="47" t="n">
        <v>180</v>
      </c>
      <c r="G231" s="41" t="n"/>
      <c r="H231" s="29" t="n"/>
      <c r="I231" s="43" t="n"/>
      <c r="J231" s="41" t="n"/>
      <c r="K231" s="41" t="n"/>
      <c r="L231" s="41" t="n"/>
      <c r="M231" s="31">
        <f>IF(COUNT(J231:L231)=0,"",MEDIAN(J231:L231))</f>
        <v/>
      </c>
      <c r="N231" s="26">
        <f>IF(COUNTIFS($C:$C,$C231,$D:$D,$D231,$E:$E,"기준(전)",$M:$M,"&gt;0")&lt;&gt;1,"기준(전) 유효 1개 아님",IF(COUNTIFS($C:$C,$C231,$D:$D,$D231,$E:$E,"기준(후)",$M:$M,"&gt;0")&lt;&gt;1,"기준(후) 유효 1개 아님",IF(NOT(AND(ISNUMBER(O231),ISNUMBER(Q231),ISNUMBER(I231))),"시각 결측",IF(Q231&lt;=O231,"기준 시각 역전",IF(OR(I231&lt;O231,I231&gt;Q231),"측정시각 구간 밖","OK")))))</f>
        <v/>
      </c>
      <c r="O231" s="48">
        <f>IF(COUNTIFS($C:$C,$C231,$D:$D,$D231,$E:$E,"기준(전)",$M:$M,"&gt;0")&lt;&gt;1,"",SUMIFS($I:$I,$C:$C,$C231,$D:$D,$D231,$E:$E,"기준(전)"))</f>
        <v/>
      </c>
      <c r="P231" s="31">
        <f>IF(COUNTIFS($C:$C,$C231,$D:$D,$D231,$E:$E,"기준(전)",$M:$M,"&gt;0")&lt;&gt;1,"",SUMIFS($M:$M,$C:$C,$C231,$D:$D,$D231,$E:$E,"기준(전)"))</f>
        <v/>
      </c>
      <c r="Q231" s="48">
        <f>IF(COUNTIFS($C:$C,$C231,$D:$D,$D231,$E:$E,"기준(후)",$M:$M,"&gt;0")&lt;&gt;1,"",SUMIFS($I:$I,$C:$C,$C231,$D:$D,$D231,$E:$E,"기준(후)"))</f>
        <v/>
      </c>
      <c r="R231" s="31">
        <f>IF(COUNTIFS($C:$C,$C231,$D:$D,$D231,$E:$E,"기준(후)",$M:$M,"&gt;0")&lt;&gt;1,"",SUMIFS($M:$M,$C:$C,$C231,$D:$D,$D231,$E:$E,"기준(후)"))</f>
        <v/>
      </c>
      <c r="S231" s="31">
        <f>IF(N231&lt;&gt;"OK","",P231+(R231-P231)*(I231-O231)/(Q231-O231))</f>
        <v/>
      </c>
      <c r="T231" s="31">
        <f>IF(OR(N231&lt;&gt;"OK",NOT(ISNUMBER(M231))),"",M231-S231)</f>
        <v/>
      </c>
      <c r="U231" s="49">
        <f>IF(OR($E230&lt;&gt;"측정",$C230&lt;&gt;$C231,$D230&lt;&gt;$D231,NOT(ISNUMBER(M231)),NOT(ISNUMBER(M230)),(IF(ISNUMBER(G231),G231,F231)-IF(ISNUMBER(G230),G230,F230))=0),"",(M231-M230)/((IF(ISNUMBER(G231),G231,F231)-IF(ISNUMBER(G230),G230,F230))/100))</f>
        <v/>
      </c>
      <c r="V231" s="29" t="n"/>
      <c r="W231" s="29" t="n"/>
      <c r="X231" s="32" t="n"/>
    </row>
    <row r="232">
      <c r="A232" s="26" t="inlineStr">
        <is>
          <t>S19</t>
        </is>
      </c>
      <c r="B232" s="26" t="inlineStr">
        <is>
          <t>오호 신규점</t>
        </is>
      </c>
      <c r="C232" s="26" t="inlineStr">
        <is>
          <t>S19-V</t>
        </is>
      </c>
      <c r="D232" s="47" t="n">
        <v>1</v>
      </c>
      <c r="E232" s="26" t="inlineStr">
        <is>
          <t>측정</t>
        </is>
      </c>
      <c r="F232" s="47" t="n">
        <v>200</v>
      </c>
      <c r="G232" s="41" t="n"/>
      <c r="H232" s="29" t="n"/>
      <c r="I232" s="43" t="n"/>
      <c r="J232" s="41" t="n"/>
      <c r="K232" s="41" t="n"/>
      <c r="L232" s="41" t="n"/>
      <c r="M232" s="31">
        <f>IF(COUNT(J232:L232)=0,"",MEDIAN(J232:L232))</f>
        <v/>
      </c>
      <c r="N232" s="26">
        <f>IF(COUNTIFS($C:$C,$C232,$D:$D,$D232,$E:$E,"기준(전)",$M:$M,"&gt;0")&lt;&gt;1,"기준(전) 유효 1개 아님",IF(COUNTIFS($C:$C,$C232,$D:$D,$D232,$E:$E,"기준(후)",$M:$M,"&gt;0")&lt;&gt;1,"기준(후) 유효 1개 아님",IF(NOT(AND(ISNUMBER(O232),ISNUMBER(Q232),ISNUMBER(I232))),"시각 결측",IF(Q232&lt;=O232,"기준 시각 역전",IF(OR(I232&lt;O232,I232&gt;Q232),"측정시각 구간 밖","OK")))))</f>
        <v/>
      </c>
      <c r="O232" s="48">
        <f>IF(COUNTIFS($C:$C,$C232,$D:$D,$D232,$E:$E,"기준(전)",$M:$M,"&gt;0")&lt;&gt;1,"",SUMIFS($I:$I,$C:$C,$C232,$D:$D,$D232,$E:$E,"기준(전)"))</f>
        <v/>
      </c>
      <c r="P232" s="31">
        <f>IF(COUNTIFS($C:$C,$C232,$D:$D,$D232,$E:$E,"기준(전)",$M:$M,"&gt;0")&lt;&gt;1,"",SUMIFS($M:$M,$C:$C,$C232,$D:$D,$D232,$E:$E,"기준(전)"))</f>
        <v/>
      </c>
      <c r="Q232" s="48">
        <f>IF(COUNTIFS($C:$C,$C232,$D:$D,$D232,$E:$E,"기준(후)",$M:$M,"&gt;0")&lt;&gt;1,"",SUMIFS($I:$I,$C:$C,$C232,$D:$D,$D232,$E:$E,"기준(후)"))</f>
        <v/>
      </c>
      <c r="R232" s="31">
        <f>IF(COUNTIFS($C:$C,$C232,$D:$D,$D232,$E:$E,"기준(후)",$M:$M,"&gt;0")&lt;&gt;1,"",SUMIFS($M:$M,$C:$C,$C232,$D:$D,$D232,$E:$E,"기준(후)"))</f>
        <v/>
      </c>
      <c r="S232" s="31">
        <f>IF(N232&lt;&gt;"OK","",P232+(R232-P232)*(I232-O232)/(Q232-O232))</f>
        <v/>
      </c>
      <c r="T232" s="31">
        <f>IF(OR(N232&lt;&gt;"OK",NOT(ISNUMBER(M232))),"",M232-S232)</f>
        <v/>
      </c>
      <c r="U232" s="49">
        <f>IF(OR($E231&lt;&gt;"측정",$C231&lt;&gt;$C232,$D231&lt;&gt;$D232,NOT(ISNUMBER(M232)),NOT(ISNUMBER(M231)),(IF(ISNUMBER(G232),G232,F232)-IF(ISNUMBER(G231),G231,F231))=0),"",(M232-M231)/((IF(ISNUMBER(G232),G232,F232)-IF(ISNUMBER(G231),G231,F231))/100))</f>
        <v/>
      </c>
      <c r="V232" s="29" t="n"/>
      <c r="W232" s="29" t="n"/>
      <c r="X232" s="32" t="n"/>
    </row>
    <row r="233">
      <c r="A233" s="44" t="inlineStr">
        <is>
          <t>S19</t>
        </is>
      </c>
      <c r="B233" s="44" t="inlineStr">
        <is>
          <t>오호 신규점</t>
        </is>
      </c>
      <c r="C233" s="44" t="inlineStr">
        <is>
          <t>S19-V</t>
        </is>
      </c>
      <c r="D233" s="45" t="n">
        <v>1</v>
      </c>
      <c r="E233" s="44" t="inlineStr">
        <is>
          <t>기준(후)</t>
        </is>
      </c>
      <c r="F233" s="45" t="n"/>
      <c r="G233" s="41" t="n"/>
      <c r="H233" s="29" t="n"/>
      <c r="I233" s="43" t="n"/>
      <c r="J233" s="41" t="n"/>
      <c r="K233" s="41" t="n"/>
      <c r="L233" s="41" t="n"/>
      <c r="M233" s="31">
        <f>IF(COUNT(J233:L233)=0,"",MEDIAN(J233:L233))</f>
        <v/>
      </c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29" t="n"/>
      <c r="W233" s="29" t="n"/>
      <c r="X233" s="32" t="n"/>
    </row>
    <row r="234">
      <c r="A234" s="44" t="inlineStr">
        <is>
          <t>S20</t>
        </is>
      </c>
      <c r="B234" s="44" t="inlineStr">
        <is>
          <t>보령 신규점2</t>
        </is>
      </c>
      <c r="C234" s="44" t="inlineStr">
        <is>
          <t>S20-V</t>
        </is>
      </c>
      <c r="D234" s="45" t="n">
        <v>1</v>
      </c>
      <c r="E234" s="44" t="inlineStr">
        <is>
          <t>기준(전)</t>
        </is>
      </c>
      <c r="F234" s="45" t="n"/>
      <c r="G234" s="41" t="n"/>
      <c r="H234" s="29" t="n"/>
      <c r="I234" s="43" t="n"/>
      <c r="J234" s="41" t="n"/>
      <c r="K234" s="41" t="n"/>
      <c r="L234" s="41" t="n"/>
      <c r="M234" s="31">
        <f>IF(COUNT(J234:L234)=0,"",MEDIAN(J234:L234))</f>
        <v/>
      </c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29" t="n"/>
      <c r="W234" s="29" t="n"/>
      <c r="X234" s="32" t="n"/>
    </row>
    <row r="235">
      <c r="A235" s="26" t="inlineStr">
        <is>
          <t>S20</t>
        </is>
      </c>
      <c r="B235" s="26" t="inlineStr">
        <is>
          <t>보령 신규점2</t>
        </is>
      </c>
      <c r="C235" s="26" t="inlineStr">
        <is>
          <t>S20-V</t>
        </is>
      </c>
      <c r="D235" s="47" t="n">
        <v>1</v>
      </c>
      <c r="E235" s="26" t="inlineStr">
        <is>
          <t>측정</t>
        </is>
      </c>
      <c r="F235" s="47" t="n">
        <v>20</v>
      </c>
      <c r="G235" s="41" t="n"/>
      <c r="H235" s="29" t="n"/>
      <c r="I235" s="43" t="n"/>
      <c r="J235" s="41" t="n"/>
      <c r="K235" s="41" t="n"/>
      <c r="L235" s="41" t="n"/>
      <c r="M235" s="31">
        <f>IF(COUNT(J235:L235)=0,"",MEDIAN(J235:L235))</f>
        <v/>
      </c>
      <c r="N235" s="26">
        <f>IF(COUNTIFS($C:$C,$C235,$D:$D,$D235,$E:$E,"기준(전)",$M:$M,"&gt;0")&lt;&gt;1,"기준(전) 유효 1개 아님",IF(COUNTIFS($C:$C,$C235,$D:$D,$D235,$E:$E,"기준(후)",$M:$M,"&gt;0")&lt;&gt;1,"기준(후) 유효 1개 아님",IF(NOT(AND(ISNUMBER(O235),ISNUMBER(Q235),ISNUMBER(I235))),"시각 결측",IF(Q235&lt;=O235,"기준 시각 역전",IF(OR(I235&lt;O235,I235&gt;Q235),"측정시각 구간 밖","OK")))))</f>
        <v/>
      </c>
      <c r="O235" s="48">
        <f>IF(COUNTIFS($C:$C,$C235,$D:$D,$D235,$E:$E,"기준(전)",$M:$M,"&gt;0")&lt;&gt;1,"",SUMIFS($I:$I,$C:$C,$C235,$D:$D,$D235,$E:$E,"기준(전)"))</f>
        <v/>
      </c>
      <c r="P235" s="31">
        <f>IF(COUNTIFS($C:$C,$C235,$D:$D,$D235,$E:$E,"기준(전)",$M:$M,"&gt;0")&lt;&gt;1,"",SUMIFS($M:$M,$C:$C,$C235,$D:$D,$D235,$E:$E,"기준(전)"))</f>
        <v/>
      </c>
      <c r="Q235" s="48">
        <f>IF(COUNTIFS($C:$C,$C235,$D:$D,$D235,$E:$E,"기준(후)",$M:$M,"&gt;0")&lt;&gt;1,"",SUMIFS($I:$I,$C:$C,$C235,$D:$D,$D235,$E:$E,"기준(후)"))</f>
        <v/>
      </c>
      <c r="R235" s="31">
        <f>IF(COUNTIFS($C:$C,$C235,$D:$D,$D235,$E:$E,"기준(후)",$M:$M,"&gt;0")&lt;&gt;1,"",SUMIFS($M:$M,$C:$C,$C235,$D:$D,$D235,$E:$E,"기준(후)"))</f>
        <v/>
      </c>
      <c r="S235" s="31">
        <f>IF(N235&lt;&gt;"OK","",P235+(R235-P235)*(I235-O235)/(Q235-O235))</f>
        <v/>
      </c>
      <c r="T235" s="31">
        <f>IF(OR(N235&lt;&gt;"OK",NOT(ISNUMBER(M235))),"",M235-S235)</f>
        <v/>
      </c>
      <c r="U235" s="49">
        <f>IF(OR($E234&lt;&gt;"측정",$C234&lt;&gt;$C235,$D234&lt;&gt;$D235,NOT(ISNUMBER(M235)),NOT(ISNUMBER(M234)),(IF(ISNUMBER(G235),G235,F235)-IF(ISNUMBER(G234),G234,F234))=0),"",(M235-M234)/((IF(ISNUMBER(G235),G235,F235)-IF(ISNUMBER(G234),G234,F234))/100))</f>
        <v/>
      </c>
      <c r="V235" s="29" t="n"/>
      <c r="W235" s="29" t="n"/>
      <c r="X235" s="32" t="n"/>
    </row>
    <row r="236">
      <c r="A236" s="26" t="inlineStr">
        <is>
          <t>S20</t>
        </is>
      </c>
      <c r="B236" s="26" t="inlineStr">
        <is>
          <t>보령 신규점2</t>
        </is>
      </c>
      <c r="C236" s="26" t="inlineStr">
        <is>
          <t>S20-V</t>
        </is>
      </c>
      <c r="D236" s="47" t="n">
        <v>1</v>
      </c>
      <c r="E236" s="26" t="inlineStr">
        <is>
          <t>측정</t>
        </is>
      </c>
      <c r="F236" s="47" t="n">
        <v>40</v>
      </c>
      <c r="G236" s="41" t="n"/>
      <c r="H236" s="29" t="n"/>
      <c r="I236" s="43" t="n"/>
      <c r="J236" s="41" t="n"/>
      <c r="K236" s="41" t="n"/>
      <c r="L236" s="41" t="n"/>
      <c r="M236" s="31">
        <f>IF(COUNT(J236:L236)=0,"",MEDIAN(J236:L236))</f>
        <v/>
      </c>
      <c r="N236" s="26">
        <f>IF(COUNTIFS($C:$C,$C236,$D:$D,$D236,$E:$E,"기준(전)",$M:$M,"&gt;0")&lt;&gt;1,"기준(전) 유효 1개 아님",IF(COUNTIFS($C:$C,$C236,$D:$D,$D236,$E:$E,"기준(후)",$M:$M,"&gt;0")&lt;&gt;1,"기준(후) 유효 1개 아님",IF(NOT(AND(ISNUMBER(O236),ISNUMBER(Q236),ISNUMBER(I236))),"시각 결측",IF(Q236&lt;=O236,"기준 시각 역전",IF(OR(I236&lt;O236,I236&gt;Q236),"측정시각 구간 밖","OK")))))</f>
        <v/>
      </c>
      <c r="O236" s="48">
        <f>IF(COUNTIFS($C:$C,$C236,$D:$D,$D236,$E:$E,"기준(전)",$M:$M,"&gt;0")&lt;&gt;1,"",SUMIFS($I:$I,$C:$C,$C236,$D:$D,$D236,$E:$E,"기준(전)"))</f>
        <v/>
      </c>
      <c r="P236" s="31">
        <f>IF(COUNTIFS($C:$C,$C236,$D:$D,$D236,$E:$E,"기준(전)",$M:$M,"&gt;0")&lt;&gt;1,"",SUMIFS($M:$M,$C:$C,$C236,$D:$D,$D236,$E:$E,"기준(전)"))</f>
        <v/>
      </c>
      <c r="Q236" s="48">
        <f>IF(COUNTIFS($C:$C,$C236,$D:$D,$D236,$E:$E,"기준(후)",$M:$M,"&gt;0")&lt;&gt;1,"",SUMIFS($I:$I,$C:$C,$C236,$D:$D,$D236,$E:$E,"기준(후)"))</f>
        <v/>
      </c>
      <c r="R236" s="31">
        <f>IF(COUNTIFS($C:$C,$C236,$D:$D,$D236,$E:$E,"기준(후)",$M:$M,"&gt;0")&lt;&gt;1,"",SUMIFS($M:$M,$C:$C,$C236,$D:$D,$D236,$E:$E,"기준(후)"))</f>
        <v/>
      </c>
      <c r="S236" s="31">
        <f>IF(N236&lt;&gt;"OK","",P236+(R236-P236)*(I236-O236)/(Q236-O236))</f>
        <v/>
      </c>
      <c r="T236" s="31">
        <f>IF(OR(N236&lt;&gt;"OK",NOT(ISNUMBER(M236))),"",M236-S236)</f>
        <v/>
      </c>
      <c r="U236" s="49">
        <f>IF(OR($E235&lt;&gt;"측정",$C235&lt;&gt;$C236,$D235&lt;&gt;$D236,NOT(ISNUMBER(M236)),NOT(ISNUMBER(M235)),(IF(ISNUMBER(G236),G236,F236)-IF(ISNUMBER(G235),G235,F235))=0),"",(M236-M235)/((IF(ISNUMBER(G236),G236,F236)-IF(ISNUMBER(G235),G235,F235))/100))</f>
        <v/>
      </c>
      <c r="V236" s="29" t="n"/>
      <c r="W236" s="29" t="n"/>
      <c r="X236" s="32" t="n"/>
    </row>
    <row r="237">
      <c r="A237" s="26" t="inlineStr">
        <is>
          <t>S20</t>
        </is>
      </c>
      <c r="B237" s="26" t="inlineStr">
        <is>
          <t>보령 신규점2</t>
        </is>
      </c>
      <c r="C237" s="26" t="inlineStr">
        <is>
          <t>S20-V</t>
        </is>
      </c>
      <c r="D237" s="47" t="n">
        <v>1</v>
      </c>
      <c r="E237" s="26" t="inlineStr">
        <is>
          <t>측정</t>
        </is>
      </c>
      <c r="F237" s="47" t="n">
        <v>60</v>
      </c>
      <c r="G237" s="41" t="n"/>
      <c r="H237" s="29" t="n"/>
      <c r="I237" s="43" t="n"/>
      <c r="J237" s="41" t="n"/>
      <c r="K237" s="41" t="n"/>
      <c r="L237" s="41" t="n"/>
      <c r="M237" s="31">
        <f>IF(COUNT(J237:L237)=0,"",MEDIAN(J237:L237))</f>
        <v/>
      </c>
      <c r="N237" s="26">
        <f>IF(COUNTIFS($C:$C,$C237,$D:$D,$D237,$E:$E,"기준(전)",$M:$M,"&gt;0")&lt;&gt;1,"기준(전) 유효 1개 아님",IF(COUNTIFS($C:$C,$C237,$D:$D,$D237,$E:$E,"기준(후)",$M:$M,"&gt;0")&lt;&gt;1,"기준(후) 유효 1개 아님",IF(NOT(AND(ISNUMBER(O237),ISNUMBER(Q237),ISNUMBER(I237))),"시각 결측",IF(Q237&lt;=O237,"기준 시각 역전",IF(OR(I237&lt;O237,I237&gt;Q237),"측정시각 구간 밖","OK")))))</f>
        <v/>
      </c>
      <c r="O237" s="48">
        <f>IF(COUNTIFS($C:$C,$C237,$D:$D,$D237,$E:$E,"기준(전)",$M:$M,"&gt;0")&lt;&gt;1,"",SUMIFS($I:$I,$C:$C,$C237,$D:$D,$D237,$E:$E,"기준(전)"))</f>
        <v/>
      </c>
      <c r="P237" s="31">
        <f>IF(COUNTIFS($C:$C,$C237,$D:$D,$D237,$E:$E,"기준(전)",$M:$M,"&gt;0")&lt;&gt;1,"",SUMIFS($M:$M,$C:$C,$C237,$D:$D,$D237,$E:$E,"기준(전)"))</f>
        <v/>
      </c>
      <c r="Q237" s="48">
        <f>IF(COUNTIFS($C:$C,$C237,$D:$D,$D237,$E:$E,"기준(후)",$M:$M,"&gt;0")&lt;&gt;1,"",SUMIFS($I:$I,$C:$C,$C237,$D:$D,$D237,$E:$E,"기준(후)"))</f>
        <v/>
      </c>
      <c r="R237" s="31">
        <f>IF(COUNTIFS($C:$C,$C237,$D:$D,$D237,$E:$E,"기준(후)",$M:$M,"&gt;0")&lt;&gt;1,"",SUMIFS($M:$M,$C:$C,$C237,$D:$D,$D237,$E:$E,"기준(후)"))</f>
        <v/>
      </c>
      <c r="S237" s="31">
        <f>IF(N237&lt;&gt;"OK","",P237+(R237-P237)*(I237-O237)/(Q237-O237))</f>
        <v/>
      </c>
      <c r="T237" s="31">
        <f>IF(OR(N237&lt;&gt;"OK",NOT(ISNUMBER(M237))),"",M237-S237)</f>
        <v/>
      </c>
      <c r="U237" s="49">
        <f>IF(OR($E236&lt;&gt;"측정",$C236&lt;&gt;$C237,$D236&lt;&gt;$D237,NOT(ISNUMBER(M237)),NOT(ISNUMBER(M236)),(IF(ISNUMBER(G237),G237,F237)-IF(ISNUMBER(G236),G236,F236))=0),"",(M237-M236)/((IF(ISNUMBER(G237),G237,F237)-IF(ISNUMBER(G236),G236,F236))/100))</f>
        <v/>
      </c>
      <c r="V237" s="29" t="n"/>
      <c r="W237" s="29" t="n"/>
      <c r="X237" s="32" t="n"/>
    </row>
    <row r="238">
      <c r="A238" s="26" t="inlineStr">
        <is>
          <t>S20</t>
        </is>
      </c>
      <c r="B238" s="26" t="inlineStr">
        <is>
          <t>보령 신규점2</t>
        </is>
      </c>
      <c r="C238" s="26" t="inlineStr">
        <is>
          <t>S20-V</t>
        </is>
      </c>
      <c r="D238" s="47" t="n">
        <v>1</v>
      </c>
      <c r="E238" s="26" t="inlineStr">
        <is>
          <t>측정</t>
        </is>
      </c>
      <c r="F238" s="47" t="n">
        <v>80</v>
      </c>
      <c r="G238" s="41" t="n"/>
      <c r="H238" s="29" t="n"/>
      <c r="I238" s="43" t="n"/>
      <c r="J238" s="41" t="n"/>
      <c r="K238" s="41" t="n"/>
      <c r="L238" s="41" t="n"/>
      <c r="M238" s="31">
        <f>IF(COUNT(J238:L238)=0,"",MEDIAN(J238:L238))</f>
        <v/>
      </c>
      <c r="N238" s="26">
        <f>IF(COUNTIFS($C:$C,$C238,$D:$D,$D238,$E:$E,"기준(전)",$M:$M,"&gt;0")&lt;&gt;1,"기준(전) 유효 1개 아님",IF(COUNTIFS($C:$C,$C238,$D:$D,$D238,$E:$E,"기준(후)",$M:$M,"&gt;0")&lt;&gt;1,"기준(후) 유효 1개 아님",IF(NOT(AND(ISNUMBER(O238),ISNUMBER(Q238),ISNUMBER(I238))),"시각 결측",IF(Q238&lt;=O238,"기준 시각 역전",IF(OR(I238&lt;O238,I238&gt;Q238),"측정시각 구간 밖","OK")))))</f>
        <v/>
      </c>
      <c r="O238" s="48">
        <f>IF(COUNTIFS($C:$C,$C238,$D:$D,$D238,$E:$E,"기준(전)",$M:$M,"&gt;0")&lt;&gt;1,"",SUMIFS($I:$I,$C:$C,$C238,$D:$D,$D238,$E:$E,"기준(전)"))</f>
        <v/>
      </c>
      <c r="P238" s="31">
        <f>IF(COUNTIFS($C:$C,$C238,$D:$D,$D238,$E:$E,"기준(전)",$M:$M,"&gt;0")&lt;&gt;1,"",SUMIFS($M:$M,$C:$C,$C238,$D:$D,$D238,$E:$E,"기준(전)"))</f>
        <v/>
      </c>
      <c r="Q238" s="48">
        <f>IF(COUNTIFS($C:$C,$C238,$D:$D,$D238,$E:$E,"기준(후)",$M:$M,"&gt;0")&lt;&gt;1,"",SUMIFS($I:$I,$C:$C,$C238,$D:$D,$D238,$E:$E,"기준(후)"))</f>
        <v/>
      </c>
      <c r="R238" s="31">
        <f>IF(COUNTIFS($C:$C,$C238,$D:$D,$D238,$E:$E,"기준(후)",$M:$M,"&gt;0")&lt;&gt;1,"",SUMIFS($M:$M,$C:$C,$C238,$D:$D,$D238,$E:$E,"기준(후)"))</f>
        <v/>
      </c>
      <c r="S238" s="31">
        <f>IF(N238&lt;&gt;"OK","",P238+(R238-P238)*(I238-O238)/(Q238-O238))</f>
        <v/>
      </c>
      <c r="T238" s="31">
        <f>IF(OR(N238&lt;&gt;"OK",NOT(ISNUMBER(M238))),"",M238-S238)</f>
        <v/>
      </c>
      <c r="U238" s="49">
        <f>IF(OR($E237&lt;&gt;"측정",$C237&lt;&gt;$C238,$D237&lt;&gt;$D238,NOT(ISNUMBER(M238)),NOT(ISNUMBER(M237)),(IF(ISNUMBER(G238),G238,F238)-IF(ISNUMBER(G237),G237,F237))=0),"",(M238-M237)/((IF(ISNUMBER(G238),G238,F238)-IF(ISNUMBER(G237),G237,F237))/100))</f>
        <v/>
      </c>
      <c r="V238" s="29" t="n"/>
      <c r="W238" s="29" t="n"/>
      <c r="X238" s="32" t="n"/>
    </row>
    <row r="239">
      <c r="A239" s="26" t="inlineStr">
        <is>
          <t>S20</t>
        </is>
      </c>
      <c r="B239" s="26" t="inlineStr">
        <is>
          <t>보령 신규점2</t>
        </is>
      </c>
      <c r="C239" s="26" t="inlineStr">
        <is>
          <t>S20-V</t>
        </is>
      </c>
      <c r="D239" s="47" t="n">
        <v>1</v>
      </c>
      <c r="E239" s="26" t="inlineStr">
        <is>
          <t>측정</t>
        </is>
      </c>
      <c r="F239" s="47" t="n">
        <v>100</v>
      </c>
      <c r="G239" s="41" t="n"/>
      <c r="H239" s="29" t="n"/>
      <c r="I239" s="43" t="n"/>
      <c r="J239" s="41" t="n"/>
      <c r="K239" s="41" t="n"/>
      <c r="L239" s="41" t="n"/>
      <c r="M239" s="31">
        <f>IF(COUNT(J239:L239)=0,"",MEDIAN(J239:L239))</f>
        <v/>
      </c>
      <c r="N239" s="26">
        <f>IF(COUNTIFS($C:$C,$C239,$D:$D,$D239,$E:$E,"기준(전)",$M:$M,"&gt;0")&lt;&gt;1,"기준(전) 유효 1개 아님",IF(COUNTIFS($C:$C,$C239,$D:$D,$D239,$E:$E,"기준(후)",$M:$M,"&gt;0")&lt;&gt;1,"기준(후) 유효 1개 아님",IF(NOT(AND(ISNUMBER(O239),ISNUMBER(Q239),ISNUMBER(I239))),"시각 결측",IF(Q239&lt;=O239,"기준 시각 역전",IF(OR(I239&lt;O239,I239&gt;Q239),"측정시각 구간 밖","OK")))))</f>
        <v/>
      </c>
      <c r="O239" s="48">
        <f>IF(COUNTIFS($C:$C,$C239,$D:$D,$D239,$E:$E,"기준(전)",$M:$M,"&gt;0")&lt;&gt;1,"",SUMIFS($I:$I,$C:$C,$C239,$D:$D,$D239,$E:$E,"기준(전)"))</f>
        <v/>
      </c>
      <c r="P239" s="31">
        <f>IF(COUNTIFS($C:$C,$C239,$D:$D,$D239,$E:$E,"기준(전)",$M:$M,"&gt;0")&lt;&gt;1,"",SUMIFS($M:$M,$C:$C,$C239,$D:$D,$D239,$E:$E,"기준(전)"))</f>
        <v/>
      </c>
      <c r="Q239" s="48">
        <f>IF(COUNTIFS($C:$C,$C239,$D:$D,$D239,$E:$E,"기준(후)",$M:$M,"&gt;0")&lt;&gt;1,"",SUMIFS($I:$I,$C:$C,$C239,$D:$D,$D239,$E:$E,"기준(후)"))</f>
        <v/>
      </c>
      <c r="R239" s="31">
        <f>IF(COUNTIFS($C:$C,$C239,$D:$D,$D239,$E:$E,"기준(후)",$M:$M,"&gt;0")&lt;&gt;1,"",SUMIFS($M:$M,$C:$C,$C239,$D:$D,$D239,$E:$E,"기준(후)"))</f>
        <v/>
      </c>
      <c r="S239" s="31">
        <f>IF(N239&lt;&gt;"OK","",P239+(R239-P239)*(I239-O239)/(Q239-O239))</f>
        <v/>
      </c>
      <c r="T239" s="31">
        <f>IF(OR(N239&lt;&gt;"OK",NOT(ISNUMBER(M239))),"",M239-S239)</f>
        <v/>
      </c>
      <c r="U239" s="49">
        <f>IF(OR($E238&lt;&gt;"측정",$C238&lt;&gt;$C239,$D238&lt;&gt;$D239,NOT(ISNUMBER(M239)),NOT(ISNUMBER(M238)),(IF(ISNUMBER(G239),G239,F239)-IF(ISNUMBER(G238),G238,F238))=0),"",(M239-M238)/((IF(ISNUMBER(G239),G239,F239)-IF(ISNUMBER(G238),G238,F238))/100))</f>
        <v/>
      </c>
      <c r="V239" s="29" t="n"/>
      <c r="W239" s="29" t="n"/>
      <c r="X239" s="32" t="n"/>
    </row>
    <row r="240">
      <c r="A240" s="26" t="inlineStr">
        <is>
          <t>S20</t>
        </is>
      </c>
      <c r="B240" s="26" t="inlineStr">
        <is>
          <t>보령 신규점2</t>
        </is>
      </c>
      <c r="C240" s="26" t="inlineStr">
        <is>
          <t>S20-V</t>
        </is>
      </c>
      <c r="D240" s="47" t="n">
        <v>1</v>
      </c>
      <c r="E240" s="26" t="inlineStr">
        <is>
          <t>측정</t>
        </is>
      </c>
      <c r="F240" s="47" t="n">
        <v>120</v>
      </c>
      <c r="G240" s="41" t="n"/>
      <c r="H240" s="29" t="n"/>
      <c r="I240" s="43" t="n"/>
      <c r="J240" s="41" t="n"/>
      <c r="K240" s="41" t="n"/>
      <c r="L240" s="41" t="n"/>
      <c r="M240" s="31">
        <f>IF(COUNT(J240:L240)=0,"",MEDIAN(J240:L240))</f>
        <v/>
      </c>
      <c r="N240" s="26">
        <f>IF(COUNTIFS($C:$C,$C240,$D:$D,$D240,$E:$E,"기준(전)",$M:$M,"&gt;0")&lt;&gt;1,"기준(전) 유효 1개 아님",IF(COUNTIFS($C:$C,$C240,$D:$D,$D240,$E:$E,"기준(후)",$M:$M,"&gt;0")&lt;&gt;1,"기준(후) 유효 1개 아님",IF(NOT(AND(ISNUMBER(O240),ISNUMBER(Q240),ISNUMBER(I240))),"시각 결측",IF(Q240&lt;=O240,"기준 시각 역전",IF(OR(I240&lt;O240,I240&gt;Q240),"측정시각 구간 밖","OK")))))</f>
        <v/>
      </c>
      <c r="O240" s="48">
        <f>IF(COUNTIFS($C:$C,$C240,$D:$D,$D240,$E:$E,"기준(전)",$M:$M,"&gt;0")&lt;&gt;1,"",SUMIFS($I:$I,$C:$C,$C240,$D:$D,$D240,$E:$E,"기준(전)"))</f>
        <v/>
      </c>
      <c r="P240" s="31">
        <f>IF(COUNTIFS($C:$C,$C240,$D:$D,$D240,$E:$E,"기준(전)",$M:$M,"&gt;0")&lt;&gt;1,"",SUMIFS($M:$M,$C:$C,$C240,$D:$D,$D240,$E:$E,"기준(전)"))</f>
        <v/>
      </c>
      <c r="Q240" s="48">
        <f>IF(COUNTIFS($C:$C,$C240,$D:$D,$D240,$E:$E,"기준(후)",$M:$M,"&gt;0")&lt;&gt;1,"",SUMIFS($I:$I,$C:$C,$C240,$D:$D,$D240,$E:$E,"기준(후)"))</f>
        <v/>
      </c>
      <c r="R240" s="31">
        <f>IF(COUNTIFS($C:$C,$C240,$D:$D,$D240,$E:$E,"기준(후)",$M:$M,"&gt;0")&lt;&gt;1,"",SUMIFS($M:$M,$C:$C,$C240,$D:$D,$D240,$E:$E,"기준(후)"))</f>
        <v/>
      </c>
      <c r="S240" s="31">
        <f>IF(N240&lt;&gt;"OK","",P240+(R240-P240)*(I240-O240)/(Q240-O240))</f>
        <v/>
      </c>
      <c r="T240" s="31">
        <f>IF(OR(N240&lt;&gt;"OK",NOT(ISNUMBER(M240))),"",M240-S240)</f>
        <v/>
      </c>
      <c r="U240" s="49">
        <f>IF(OR($E239&lt;&gt;"측정",$C239&lt;&gt;$C240,$D239&lt;&gt;$D240,NOT(ISNUMBER(M240)),NOT(ISNUMBER(M239)),(IF(ISNUMBER(G240),G240,F240)-IF(ISNUMBER(G239),G239,F239))=0),"",(M240-M239)/((IF(ISNUMBER(G240),G240,F240)-IF(ISNUMBER(G239),G239,F239))/100))</f>
        <v/>
      </c>
      <c r="V240" s="29" t="n"/>
      <c r="W240" s="29" t="n"/>
      <c r="X240" s="32" t="n"/>
    </row>
    <row r="241">
      <c r="A241" s="26" t="inlineStr">
        <is>
          <t>S20</t>
        </is>
      </c>
      <c r="B241" s="26" t="inlineStr">
        <is>
          <t>보령 신규점2</t>
        </is>
      </c>
      <c r="C241" s="26" t="inlineStr">
        <is>
          <t>S20-V</t>
        </is>
      </c>
      <c r="D241" s="47" t="n">
        <v>1</v>
      </c>
      <c r="E241" s="26" t="inlineStr">
        <is>
          <t>측정</t>
        </is>
      </c>
      <c r="F241" s="47" t="n">
        <v>140</v>
      </c>
      <c r="G241" s="41" t="n"/>
      <c r="H241" s="29" t="n"/>
      <c r="I241" s="43" t="n"/>
      <c r="J241" s="41" t="n"/>
      <c r="K241" s="41" t="n"/>
      <c r="L241" s="41" t="n"/>
      <c r="M241" s="31">
        <f>IF(COUNT(J241:L241)=0,"",MEDIAN(J241:L241))</f>
        <v/>
      </c>
      <c r="N241" s="26">
        <f>IF(COUNTIFS($C:$C,$C241,$D:$D,$D241,$E:$E,"기준(전)",$M:$M,"&gt;0")&lt;&gt;1,"기준(전) 유효 1개 아님",IF(COUNTIFS($C:$C,$C241,$D:$D,$D241,$E:$E,"기준(후)",$M:$M,"&gt;0")&lt;&gt;1,"기준(후) 유효 1개 아님",IF(NOT(AND(ISNUMBER(O241),ISNUMBER(Q241),ISNUMBER(I241))),"시각 결측",IF(Q241&lt;=O241,"기준 시각 역전",IF(OR(I241&lt;O241,I241&gt;Q241),"측정시각 구간 밖","OK")))))</f>
        <v/>
      </c>
      <c r="O241" s="48">
        <f>IF(COUNTIFS($C:$C,$C241,$D:$D,$D241,$E:$E,"기준(전)",$M:$M,"&gt;0")&lt;&gt;1,"",SUMIFS($I:$I,$C:$C,$C241,$D:$D,$D241,$E:$E,"기준(전)"))</f>
        <v/>
      </c>
      <c r="P241" s="31">
        <f>IF(COUNTIFS($C:$C,$C241,$D:$D,$D241,$E:$E,"기준(전)",$M:$M,"&gt;0")&lt;&gt;1,"",SUMIFS($M:$M,$C:$C,$C241,$D:$D,$D241,$E:$E,"기준(전)"))</f>
        <v/>
      </c>
      <c r="Q241" s="48">
        <f>IF(COUNTIFS($C:$C,$C241,$D:$D,$D241,$E:$E,"기준(후)",$M:$M,"&gt;0")&lt;&gt;1,"",SUMIFS($I:$I,$C:$C,$C241,$D:$D,$D241,$E:$E,"기준(후)"))</f>
        <v/>
      </c>
      <c r="R241" s="31">
        <f>IF(COUNTIFS($C:$C,$C241,$D:$D,$D241,$E:$E,"기준(후)",$M:$M,"&gt;0")&lt;&gt;1,"",SUMIFS($M:$M,$C:$C,$C241,$D:$D,$D241,$E:$E,"기준(후)"))</f>
        <v/>
      </c>
      <c r="S241" s="31">
        <f>IF(N241&lt;&gt;"OK","",P241+(R241-P241)*(I241-O241)/(Q241-O241))</f>
        <v/>
      </c>
      <c r="T241" s="31">
        <f>IF(OR(N241&lt;&gt;"OK",NOT(ISNUMBER(M241))),"",M241-S241)</f>
        <v/>
      </c>
      <c r="U241" s="49">
        <f>IF(OR($E240&lt;&gt;"측정",$C240&lt;&gt;$C241,$D240&lt;&gt;$D241,NOT(ISNUMBER(M241)),NOT(ISNUMBER(M240)),(IF(ISNUMBER(G241),G241,F241)-IF(ISNUMBER(G240),G240,F240))=0),"",(M241-M240)/((IF(ISNUMBER(G241),G241,F241)-IF(ISNUMBER(G240),G240,F240))/100))</f>
        <v/>
      </c>
      <c r="V241" s="29" t="n"/>
      <c r="W241" s="29" t="n"/>
      <c r="X241" s="32" t="n"/>
    </row>
    <row r="242">
      <c r="A242" s="26" t="inlineStr">
        <is>
          <t>S20</t>
        </is>
      </c>
      <c r="B242" s="26" t="inlineStr">
        <is>
          <t>보령 신규점2</t>
        </is>
      </c>
      <c r="C242" s="26" t="inlineStr">
        <is>
          <t>S20-V</t>
        </is>
      </c>
      <c r="D242" s="47" t="n">
        <v>1</v>
      </c>
      <c r="E242" s="26" t="inlineStr">
        <is>
          <t>측정</t>
        </is>
      </c>
      <c r="F242" s="47" t="n">
        <v>160</v>
      </c>
      <c r="G242" s="41" t="n"/>
      <c r="H242" s="29" t="n"/>
      <c r="I242" s="43" t="n"/>
      <c r="J242" s="41" t="n"/>
      <c r="K242" s="41" t="n"/>
      <c r="L242" s="41" t="n"/>
      <c r="M242" s="31">
        <f>IF(COUNT(J242:L242)=0,"",MEDIAN(J242:L242))</f>
        <v/>
      </c>
      <c r="N242" s="26">
        <f>IF(COUNTIFS($C:$C,$C242,$D:$D,$D242,$E:$E,"기준(전)",$M:$M,"&gt;0")&lt;&gt;1,"기준(전) 유효 1개 아님",IF(COUNTIFS($C:$C,$C242,$D:$D,$D242,$E:$E,"기준(후)",$M:$M,"&gt;0")&lt;&gt;1,"기준(후) 유효 1개 아님",IF(NOT(AND(ISNUMBER(O242),ISNUMBER(Q242),ISNUMBER(I242))),"시각 결측",IF(Q242&lt;=O242,"기준 시각 역전",IF(OR(I242&lt;O242,I242&gt;Q242),"측정시각 구간 밖","OK")))))</f>
        <v/>
      </c>
      <c r="O242" s="48">
        <f>IF(COUNTIFS($C:$C,$C242,$D:$D,$D242,$E:$E,"기준(전)",$M:$M,"&gt;0")&lt;&gt;1,"",SUMIFS($I:$I,$C:$C,$C242,$D:$D,$D242,$E:$E,"기준(전)"))</f>
        <v/>
      </c>
      <c r="P242" s="31">
        <f>IF(COUNTIFS($C:$C,$C242,$D:$D,$D242,$E:$E,"기준(전)",$M:$M,"&gt;0")&lt;&gt;1,"",SUMIFS($M:$M,$C:$C,$C242,$D:$D,$D242,$E:$E,"기준(전)"))</f>
        <v/>
      </c>
      <c r="Q242" s="48">
        <f>IF(COUNTIFS($C:$C,$C242,$D:$D,$D242,$E:$E,"기준(후)",$M:$M,"&gt;0")&lt;&gt;1,"",SUMIFS($I:$I,$C:$C,$C242,$D:$D,$D242,$E:$E,"기준(후)"))</f>
        <v/>
      </c>
      <c r="R242" s="31">
        <f>IF(COUNTIFS($C:$C,$C242,$D:$D,$D242,$E:$E,"기준(후)",$M:$M,"&gt;0")&lt;&gt;1,"",SUMIFS($M:$M,$C:$C,$C242,$D:$D,$D242,$E:$E,"기준(후)"))</f>
        <v/>
      </c>
      <c r="S242" s="31">
        <f>IF(N242&lt;&gt;"OK","",P242+(R242-P242)*(I242-O242)/(Q242-O242))</f>
        <v/>
      </c>
      <c r="T242" s="31">
        <f>IF(OR(N242&lt;&gt;"OK",NOT(ISNUMBER(M242))),"",M242-S242)</f>
        <v/>
      </c>
      <c r="U242" s="49">
        <f>IF(OR($E241&lt;&gt;"측정",$C241&lt;&gt;$C242,$D241&lt;&gt;$D242,NOT(ISNUMBER(M242)),NOT(ISNUMBER(M241)),(IF(ISNUMBER(G242),G242,F242)-IF(ISNUMBER(G241),G241,F241))=0),"",(M242-M241)/((IF(ISNUMBER(G242),G242,F242)-IF(ISNUMBER(G241),G241,F241))/100))</f>
        <v/>
      </c>
      <c r="V242" s="29" t="n"/>
      <c r="W242" s="29" t="n"/>
      <c r="X242" s="32" t="n"/>
    </row>
    <row r="243">
      <c r="A243" s="26" t="inlineStr">
        <is>
          <t>S20</t>
        </is>
      </c>
      <c r="B243" s="26" t="inlineStr">
        <is>
          <t>보령 신규점2</t>
        </is>
      </c>
      <c r="C243" s="26" t="inlineStr">
        <is>
          <t>S20-V</t>
        </is>
      </c>
      <c r="D243" s="47" t="n">
        <v>1</v>
      </c>
      <c r="E243" s="26" t="inlineStr">
        <is>
          <t>측정</t>
        </is>
      </c>
      <c r="F243" s="47" t="n">
        <v>180</v>
      </c>
      <c r="G243" s="41" t="n"/>
      <c r="H243" s="29" t="n"/>
      <c r="I243" s="43" t="n"/>
      <c r="J243" s="41" t="n"/>
      <c r="K243" s="41" t="n"/>
      <c r="L243" s="41" t="n"/>
      <c r="M243" s="31">
        <f>IF(COUNT(J243:L243)=0,"",MEDIAN(J243:L243))</f>
        <v/>
      </c>
      <c r="N243" s="26">
        <f>IF(COUNTIFS($C:$C,$C243,$D:$D,$D243,$E:$E,"기준(전)",$M:$M,"&gt;0")&lt;&gt;1,"기준(전) 유효 1개 아님",IF(COUNTIFS($C:$C,$C243,$D:$D,$D243,$E:$E,"기준(후)",$M:$M,"&gt;0")&lt;&gt;1,"기준(후) 유효 1개 아님",IF(NOT(AND(ISNUMBER(O243),ISNUMBER(Q243),ISNUMBER(I243))),"시각 결측",IF(Q243&lt;=O243,"기준 시각 역전",IF(OR(I243&lt;O243,I243&gt;Q243),"측정시각 구간 밖","OK")))))</f>
        <v/>
      </c>
      <c r="O243" s="48">
        <f>IF(COUNTIFS($C:$C,$C243,$D:$D,$D243,$E:$E,"기준(전)",$M:$M,"&gt;0")&lt;&gt;1,"",SUMIFS($I:$I,$C:$C,$C243,$D:$D,$D243,$E:$E,"기준(전)"))</f>
        <v/>
      </c>
      <c r="P243" s="31">
        <f>IF(COUNTIFS($C:$C,$C243,$D:$D,$D243,$E:$E,"기준(전)",$M:$M,"&gt;0")&lt;&gt;1,"",SUMIFS($M:$M,$C:$C,$C243,$D:$D,$D243,$E:$E,"기준(전)"))</f>
        <v/>
      </c>
      <c r="Q243" s="48">
        <f>IF(COUNTIFS($C:$C,$C243,$D:$D,$D243,$E:$E,"기준(후)",$M:$M,"&gt;0")&lt;&gt;1,"",SUMIFS($I:$I,$C:$C,$C243,$D:$D,$D243,$E:$E,"기준(후)"))</f>
        <v/>
      </c>
      <c r="R243" s="31">
        <f>IF(COUNTIFS($C:$C,$C243,$D:$D,$D243,$E:$E,"기준(후)",$M:$M,"&gt;0")&lt;&gt;1,"",SUMIFS($M:$M,$C:$C,$C243,$D:$D,$D243,$E:$E,"기준(후)"))</f>
        <v/>
      </c>
      <c r="S243" s="31">
        <f>IF(N243&lt;&gt;"OK","",P243+(R243-P243)*(I243-O243)/(Q243-O243))</f>
        <v/>
      </c>
      <c r="T243" s="31">
        <f>IF(OR(N243&lt;&gt;"OK",NOT(ISNUMBER(M243))),"",M243-S243)</f>
        <v/>
      </c>
      <c r="U243" s="49">
        <f>IF(OR($E242&lt;&gt;"측정",$C242&lt;&gt;$C243,$D242&lt;&gt;$D243,NOT(ISNUMBER(M243)),NOT(ISNUMBER(M242)),(IF(ISNUMBER(G243),G243,F243)-IF(ISNUMBER(G242),G242,F242))=0),"",(M243-M242)/((IF(ISNUMBER(G243),G243,F243)-IF(ISNUMBER(G242),G242,F242))/100))</f>
        <v/>
      </c>
      <c r="V243" s="29" t="n"/>
      <c r="W243" s="29" t="n"/>
      <c r="X243" s="32" t="n"/>
    </row>
    <row r="244">
      <c r="A244" s="26" t="inlineStr">
        <is>
          <t>S20</t>
        </is>
      </c>
      <c r="B244" s="26" t="inlineStr">
        <is>
          <t>보령 신규점2</t>
        </is>
      </c>
      <c r="C244" s="26" t="inlineStr">
        <is>
          <t>S20-V</t>
        </is>
      </c>
      <c r="D244" s="47" t="n">
        <v>1</v>
      </c>
      <c r="E244" s="26" t="inlineStr">
        <is>
          <t>측정</t>
        </is>
      </c>
      <c r="F244" s="47" t="n">
        <v>200</v>
      </c>
      <c r="G244" s="41" t="n"/>
      <c r="H244" s="29" t="n"/>
      <c r="I244" s="43" t="n"/>
      <c r="J244" s="41" t="n"/>
      <c r="K244" s="41" t="n"/>
      <c r="L244" s="41" t="n"/>
      <c r="M244" s="31">
        <f>IF(COUNT(J244:L244)=0,"",MEDIAN(J244:L244))</f>
        <v/>
      </c>
      <c r="N244" s="26">
        <f>IF(COUNTIFS($C:$C,$C244,$D:$D,$D244,$E:$E,"기준(전)",$M:$M,"&gt;0")&lt;&gt;1,"기준(전) 유효 1개 아님",IF(COUNTIFS($C:$C,$C244,$D:$D,$D244,$E:$E,"기준(후)",$M:$M,"&gt;0")&lt;&gt;1,"기준(후) 유효 1개 아님",IF(NOT(AND(ISNUMBER(O244),ISNUMBER(Q244),ISNUMBER(I244))),"시각 결측",IF(Q244&lt;=O244,"기준 시각 역전",IF(OR(I244&lt;O244,I244&gt;Q244),"측정시각 구간 밖","OK")))))</f>
        <v/>
      </c>
      <c r="O244" s="48">
        <f>IF(COUNTIFS($C:$C,$C244,$D:$D,$D244,$E:$E,"기준(전)",$M:$M,"&gt;0")&lt;&gt;1,"",SUMIFS($I:$I,$C:$C,$C244,$D:$D,$D244,$E:$E,"기준(전)"))</f>
        <v/>
      </c>
      <c r="P244" s="31">
        <f>IF(COUNTIFS($C:$C,$C244,$D:$D,$D244,$E:$E,"기준(전)",$M:$M,"&gt;0")&lt;&gt;1,"",SUMIFS($M:$M,$C:$C,$C244,$D:$D,$D244,$E:$E,"기준(전)"))</f>
        <v/>
      </c>
      <c r="Q244" s="48">
        <f>IF(COUNTIFS($C:$C,$C244,$D:$D,$D244,$E:$E,"기준(후)",$M:$M,"&gt;0")&lt;&gt;1,"",SUMIFS($I:$I,$C:$C,$C244,$D:$D,$D244,$E:$E,"기준(후)"))</f>
        <v/>
      </c>
      <c r="R244" s="31">
        <f>IF(COUNTIFS($C:$C,$C244,$D:$D,$D244,$E:$E,"기준(후)",$M:$M,"&gt;0")&lt;&gt;1,"",SUMIFS($M:$M,$C:$C,$C244,$D:$D,$D244,$E:$E,"기준(후)"))</f>
        <v/>
      </c>
      <c r="S244" s="31">
        <f>IF(N244&lt;&gt;"OK","",P244+(R244-P244)*(I244-O244)/(Q244-O244))</f>
        <v/>
      </c>
      <c r="T244" s="31">
        <f>IF(OR(N244&lt;&gt;"OK",NOT(ISNUMBER(M244))),"",M244-S244)</f>
        <v/>
      </c>
      <c r="U244" s="49">
        <f>IF(OR($E243&lt;&gt;"측정",$C243&lt;&gt;$C244,$D243&lt;&gt;$D244,NOT(ISNUMBER(M244)),NOT(ISNUMBER(M243)),(IF(ISNUMBER(G244),G244,F244)-IF(ISNUMBER(G243),G243,F243))=0),"",(M244-M243)/((IF(ISNUMBER(G244),G244,F244)-IF(ISNUMBER(G243),G243,F243))/100))</f>
        <v/>
      </c>
      <c r="V244" s="29" t="n"/>
      <c r="W244" s="29" t="n"/>
      <c r="X244" s="32" t="n"/>
    </row>
    <row r="245">
      <c r="A245" s="44" t="inlineStr">
        <is>
          <t>S20</t>
        </is>
      </c>
      <c r="B245" s="44" t="inlineStr">
        <is>
          <t>보령 신규점2</t>
        </is>
      </c>
      <c r="C245" s="44" t="inlineStr">
        <is>
          <t>S20-V</t>
        </is>
      </c>
      <c r="D245" s="45" t="n">
        <v>1</v>
      </c>
      <c r="E245" s="44" t="inlineStr">
        <is>
          <t>기준(후)</t>
        </is>
      </c>
      <c r="F245" s="45" t="n"/>
      <c r="G245" s="41" t="n"/>
      <c r="H245" s="29" t="n"/>
      <c r="I245" s="43" t="n"/>
      <c r="J245" s="41" t="n"/>
      <c r="K245" s="41" t="n"/>
      <c r="L245" s="41" t="n"/>
      <c r="M245" s="31">
        <f>IF(COUNT(J245:L245)=0,"",MEDIAN(J245:L245))</f>
        <v/>
      </c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29" t="n"/>
      <c r="W245" s="29" t="n"/>
      <c r="X245" s="32" t="n"/>
    </row>
    <row r="246">
      <c r="A246" s="44" t="inlineStr">
        <is>
          <t>S21</t>
        </is>
      </c>
      <c r="B246" s="44" t="inlineStr">
        <is>
          <t>담양 신규점2</t>
        </is>
      </c>
      <c r="C246" s="44" t="inlineStr">
        <is>
          <t>S21-V</t>
        </is>
      </c>
      <c r="D246" s="45" t="n">
        <v>1</v>
      </c>
      <c r="E246" s="44" t="inlineStr">
        <is>
          <t>기준(전)</t>
        </is>
      </c>
      <c r="F246" s="45" t="n"/>
      <c r="G246" s="41" t="n"/>
      <c r="H246" s="29" t="n"/>
      <c r="I246" s="43" t="n"/>
      <c r="J246" s="41" t="n"/>
      <c r="K246" s="41" t="n"/>
      <c r="L246" s="41" t="n"/>
      <c r="M246" s="31">
        <f>IF(COUNT(J246:L246)=0,"",MEDIAN(J246:L246))</f>
        <v/>
      </c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29" t="n"/>
      <c r="W246" s="29" t="n"/>
      <c r="X246" s="32" t="n"/>
    </row>
    <row r="247">
      <c r="A247" s="26" t="inlineStr">
        <is>
          <t>S21</t>
        </is>
      </c>
      <c r="B247" s="26" t="inlineStr">
        <is>
          <t>담양 신규점2</t>
        </is>
      </c>
      <c r="C247" s="26" t="inlineStr">
        <is>
          <t>S21-V</t>
        </is>
      </c>
      <c r="D247" s="47" t="n">
        <v>1</v>
      </c>
      <c r="E247" s="26" t="inlineStr">
        <is>
          <t>측정</t>
        </is>
      </c>
      <c r="F247" s="47" t="n">
        <v>20</v>
      </c>
      <c r="G247" s="41" t="n"/>
      <c r="H247" s="29" t="n"/>
      <c r="I247" s="43" t="n"/>
      <c r="J247" s="41" t="n"/>
      <c r="K247" s="41" t="n"/>
      <c r="L247" s="41" t="n"/>
      <c r="M247" s="31">
        <f>IF(COUNT(J247:L247)=0,"",MEDIAN(J247:L247))</f>
        <v/>
      </c>
      <c r="N247" s="26">
        <f>IF(COUNTIFS($C:$C,$C247,$D:$D,$D247,$E:$E,"기준(전)",$M:$M,"&gt;0")&lt;&gt;1,"기준(전) 유효 1개 아님",IF(COUNTIFS($C:$C,$C247,$D:$D,$D247,$E:$E,"기준(후)",$M:$M,"&gt;0")&lt;&gt;1,"기준(후) 유효 1개 아님",IF(NOT(AND(ISNUMBER(O247),ISNUMBER(Q247),ISNUMBER(I247))),"시각 결측",IF(Q247&lt;=O247,"기준 시각 역전",IF(OR(I247&lt;O247,I247&gt;Q247),"측정시각 구간 밖","OK")))))</f>
        <v/>
      </c>
      <c r="O247" s="48">
        <f>IF(COUNTIFS($C:$C,$C247,$D:$D,$D247,$E:$E,"기준(전)",$M:$M,"&gt;0")&lt;&gt;1,"",SUMIFS($I:$I,$C:$C,$C247,$D:$D,$D247,$E:$E,"기준(전)"))</f>
        <v/>
      </c>
      <c r="P247" s="31">
        <f>IF(COUNTIFS($C:$C,$C247,$D:$D,$D247,$E:$E,"기준(전)",$M:$M,"&gt;0")&lt;&gt;1,"",SUMIFS($M:$M,$C:$C,$C247,$D:$D,$D247,$E:$E,"기준(전)"))</f>
        <v/>
      </c>
      <c r="Q247" s="48">
        <f>IF(COUNTIFS($C:$C,$C247,$D:$D,$D247,$E:$E,"기준(후)",$M:$M,"&gt;0")&lt;&gt;1,"",SUMIFS($I:$I,$C:$C,$C247,$D:$D,$D247,$E:$E,"기준(후)"))</f>
        <v/>
      </c>
      <c r="R247" s="31">
        <f>IF(COUNTIFS($C:$C,$C247,$D:$D,$D247,$E:$E,"기준(후)",$M:$M,"&gt;0")&lt;&gt;1,"",SUMIFS($M:$M,$C:$C,$C247,$D:$D,$D247,$E:$E,"기준(후)"))</f>
        <v/>
      </c>
      <c r="S247" s="31">
        <f>IF(N247&lt;&gt;"OK","",P247+(R247-P247)*(I247-O247)/(Q247-O247))</f>
        <v/>
      </c>
      <c r="T247" s="31">
        <f>IF(OR(N247&lt;&gt;"OK",NOT(ISNUMBER(M247))),"",M247-S247)</f>
        <v/>
      </c>
      <c r="U247" s="49">
        <f>IF(OR($E246&lt;&gt;"측정",$C246&lt;&gt;$C247,$D246&lt;&gt;$D247,NOT(ISNUMBER(M247)),NOT(ISNUMBER(M246)),(IF(ISNUMBER(G247),G247,F247)-IF(ISNUMBER(G246),G246,F246))=0),"",(M247-M246)/((IF(ISNUMBER(G247),G247,F247)-IF(ISNUMBER(G246),G246,F246))/100))</f>
        <v/>
      </c>
      <c r="V247" s="29" t="n"/>
      <c r="W247" s="29" t="n"/>
      <c r="X247" s="32" t="n"/>
    </row>
    <row r="248">
      <c r="A248" s="26" t="inlineStr">
        <is>
          <t>S21</t>
        </is>
      </c>
      <c r="B248" s="26" t="inlineStr">
        <is>
          <t>담양 신규점2</t>
        </is>
      </c>
      <c r="C248" s="26" t="inlineStr">
        <is>
          <t>S21-V</t>
        </is>
      </c>
      <c r="D248" s="47" t="n">
        <v>1</v>
      </c>
      <c r="E248" s="26" t="inlineStr">
        <is>
          <t>측정</t>
        </is>
      </c>
      <c r="F248" s="47" t="n">
        <v>40</v>
      </c>
      <c r="G248" s="41" t="n"/>
      <c r="H248" s="29" t="n"/>
      <c r="I248" s="43" t="n"/>
      <c r="J248" s="41" t="n"/>
      <c r="K248" s="41" t="n"/>
      <c r="L248" s="41" t="n"/>
      <c r="M248" s="31">
        <f>IF(COUNT(J248:L248)=0,"",MEDIAN(J248:L248))</f>
        <v/>
      </c>
      <c r="N248" s="26">
        <f>IF(COUNTIFS($C:$C,$C248,$D:$D,$D248,$E:$E,"기준(전)",$M:$M,"&gt;0")&lt;&gt;1,"기준(전) 유효 1개 아님",IF(COUNTIFS($C:$C,$C248,$D:$D,$D248,$E:$E,"기준(후)",$M:$M,"&gt;0")&lt;&gt;1,"기준(후) 유효 1개 아님",IF(NOT(AND(ISNUMBER(O248),ISNUMBER(Q248),ISNUMBER(I248))),"시각 결측",IF(Q248&lt;=O248,"기준 시각 역전",IF(OR(I248&lt;O248,I248&gt;Q248),"측정시각 구간 밖","OK")))))</f>
        <v/>
      </c>
      <c r="O248" s="48">
        <f>IF(COUNTIFS($C:$C,$C248,$D:$D,$D248,$E:$E,"기준(전)",$M:$M,"&gt;0")&lt;&gt;1,"",SUMIFS($I:$I,$C:$C,$C248,$D:$D,$D248,$E:$E,"기준(전)"))</f>
        <v/>
      </c>
      <c r="P248" s="31">
        <f>IF(COUNTIFS($C:$C,$C248,$D:$D,$D248,$E:$E,"기준(전)",$M:$M,"&gt;0")&lt;&gt;1,"",SUMIFS($M:$M,$C:$C,$C248,$D:$D,$D248,$E:$E,"기준(전)"))</f>
        <v/>
      </c>
      <c r="Q248" s="48">
        <f>IF(COUNTIFS($C:$C,$C248,$D:$D,$D248,$E:$E,"기준(후)",$M:$M,"&gt;0")&lt;&gt;1,"",SUMIFS($I:$I,$C:$C,$C248,$D:$D,$D248,$E:$E,"기준(후)"))</f>
        <v/>
      </c>
      <c r="R248" s="31">
        <f>IF(COUNTIFS($C:$C,$C248,$D:$D,$D248,$E:$E,"기준(후)",$M:$M,"&gt;0")&lt;&gt;1,"",SUMIFS($M:$M,$C:$C,$C248,$D:$D,$D248,$E:$E,"기준(후)"))</f>
        <v/>
      </c>
      <c r="S248" s="31">
        <f>IF(N248&lt;&gt;"OK","",P248+(R248-P248)*(I248-O248)/(Q248-O248))</f>
        <v/>
      </c>
      <c r="T248" s="31">
        <f>IF(OR(N248&lt;&gt;"OK",NOT(ISNUMBER(M248))),"",M248-S248)</f>
        <v/>
      </c>
      <c r="U248" s="49">
        <f>IF(OR($E247&lt;&gt;"측정",$C247&lt;&gt;$C248,$D247&lt;&gt;$D248,NOT(ISNUMBER(M248)),NOT(ISNUMBER(M247)),(IF(ISNUMBER(G248),G248,F248)-IF(ISNUMBER(G247),G247,F247))=0),"",(M248-M247)/((IF(ISNUMBER(G248),G248,F248)-IF(ISNUMBER(G247),G247,F247))/100))</f>
        <v/>
      </c>
      <c r="V248" s="29" t="n"/>
      <c r="W248" s="29" t="n"/>
      <c r="X248" s="32" t="n"/>
    </row>
    <row r="249">
      <c r="A249" s="26" t="inlineStr">
        <is>
          <t>S21</t>
        </is>
      </c>
      <c r="B249" s="26" t="inlineStr">
        <is>
          <t>담양 신규점2</t>
        </is>
      </c>
      <c r="C249" s="26" t="inlineStr">
        <is>
          <t>S21-V</t>
        </is>
      </c>
      <c r="D249" s="47" t="n">
        <v>1</v>
      </c>
      <c r="E249" s="26" t="inlineStr">
        <is>
          <t>측정</t>
        </is>
      </c>
      <c r="F249" s="47" t="n">
        <v>60</v>
      </c>
      <c r="G249" s="41" t="n"/>
      <c r="H249" s="29" t="n"/>
      <c r="I249" s="43" t="n"/>
      <c r="J249" s="41" t="n"/>
      <c r="K249" s="41" t="n"/>
      <c r="L249" s="41" t="n"/>
      <c r="M249" s="31">
        <f>IF(COUNT(J249:L249)=0,"",MEDIAN(J249:L249))</f>
        <v/>
      </c>
      <c r="N249" s="26">
        <f>IF(COUNTIFS($C:$C,$C249,$D:$D,$D249,$E:$E,"기준(전)",$M:$M,"&gt;0")&lt;&gt;1,"기준(전) 유효 1개 아님",IF(COUNTIFS($C:$C,$C249,$D:$D,$D249,$E:$E,"기준(후)",$M:$M,"&gt;0")&lt;&gt;1,"기준(후) 유효 1개 아님",IF(NOT(AND(ISNUMBER(O249),ISNUMBER(Q249),ISNUMBER(I249))),"시각 결측",IF(Q249&lt;=O249,"기준 시각 역전",IF(OR(I249&lt;O249,I249&gt;Q249),"측정시각 구간 밖","OK")))))</f>
        <v/>
      </c>
      <c r="O249" s="48">
        <f>IF(COUNTIFS($C:$C,$C249,$D:$D,$D249,$E:$E,"기준(전)",$M:$M,"&gt;0")&lt;&gt;1,"",SUMIFS($I:$I,$C:$C,$C249,$D:$D,$D249,$E:$E,"기준(전)"))</f>
        <v/>
      </c>
      <c r="P249" s="31">
        <f>IF(COUNTIFS($C:$C,$C249,$D:$D,$D249,$E:$E,"기준(전)",$M:$M,"&gt;0")&lt;&gt;1,"",SUMIFS($M:$M,$C:$C,$C249,$D:$D,$D249,$E:$E,"기준(전)"))</f>
        <v/>
      </c>
      <c r="Q249" s="48">
        <f>IF(COUNTIFS($C:$C,$C249,$D:$D,$D249,$E:$E,"기준(후)",$M:$M,"&gt;0")&lt;&gt;1,"",SUMIFS($I:$I,$C:$C,$C249,$D:$D,$D249,$E:$E,"기준(후)"))</f>
        <v/>
      </c>
      <c r="R249" s="31">
        <f>IF(COUNTIFS($C:$C,$C249,$D:$D,$D249,$E:$E,"기준(후)",$M:$M,"&gt;0")&lt;&gt;1,"",SUMIFS($M:$M,$C:$C,$C249,$D:$D,$D249,$E:$E,"기준(후)"))</f>
        <v/>
      </c>
      <c r="S249" s="31">
        <f>IF(N249&lt;&gt;"OK","",P249+(R249-P249)*(I249-O249)/(Q249-O249))</f>
        <v/>
      </c>
      <c r="T249" s="31">
        <f>IF(OR(N249&lt;&gt;"OK",NOT(ISNUMBER(M249))),"",M249-S249)</f>
        <v/>
      </c>
      <c r="U249" s="49">
        <f>IF(OR($E248&lt;&gt;"측정",$C248&lt;&gt;$C249,$D248&lt;&gt;$D249,NOT(ISNUMBER(M249)),NOT(ISNUMBER(M248)),(IF(ISNUMBER(G249),G249,F249)-IF(ISNUMBER(G248),G248,F248))=0),"",(M249-M248)/((IF(ISNUMBER(G249),G249,F249)-IF(ISNUMBER(G248),G248,F248))/100))</f>
        <v/>
      </c>
      <c r="V249" s="29" t="n"/>
      <c r="W249" s="29" t="n"/>
      <c r="X249" s="32" t="n"/>
    </row>
    <row r="250">
      <c r="A250" s="26" t="inlineStr">
        <is>
          <t>S21</t>
        </is>
      </c>
      <c r="B250" s="26" t="inlineStr">
        <is>
          <t>담양 신규점2</t>
        </is>
      </c>
      <c r="C250" s="26" t="inlineStr">
        <is>
          <t>S21-V</t>
        </is>
      </c>
      <c r="D250" s="47" t="n">
        <v>1</v>
      </c>
      <c r="E250" s="26" t="inlineStr">
        <is>
          <t>측정</t>
        </is>
      </c>
      <c r="F250" s="47" t="n">
        <v>80</v>
      </c>
      <c r="G250" s="41" t="n"/>
      <c r="H250" s="29" t="n"/>
      <c r="I250" s="43" t="n"/>
      <c r="J250" s="41" t="n"/>
      <c r="K250" s="41" t="n"/>
      <c r="L250" s="41" t="n"/>
      <c r="M250" s="31">
        <f>IF(COUNT(J250:L250)=0,"",MEDIAN(J250:L250))</f>
        <v/>
      </c>
      <c r="N250" s="26">
        <f>IF(COUNTIFS($C:$C,$C250,$D:$D,$D250,$E:$E,"기준(전)",$M:$M,"&gt;0")&lt;&gt;1,"기준(전) 유효 1개 아님",IF(COUNTIFS($C:$C,$C250,$D:$D,$D250,$E:$E,"기준(후)",$M:$M,"&gt;0")&lt;&gt;1,"기준(후) 유효 1개 아님",IF(NOT(AND(ISNUMBER(O250),ISNUMBER(Q250),ISNUMBER(I250))),"시각 결측",IF(Q250&lt;=O250,"기준 시각 역전",IF(OR(I250&lt;O250,I250&gt;Q250),"측정시각 구간 밖","OK")))))</f>
        <v/>
      </c>
      <c r="O250" s="48">
        <f>IF(COUNTIFS($C:$C,$C250,$D:$D,$D250,$E:$E,"기준(전)",$M:$M,"&gt;0")&lt;&gt;1,"",SUMIFS($I:$I,$C:$C,$C250,$D:$D,$D250,$E:$E,"기준(전)"))</f>
        <v/>
      </c>
      <c r="P250" s="31">
        <f>IF(COUNTIFS($C:$C,$C250,$D:$D,$D250,$E:$E,"기준(전)",$M:$M,"&gt;0")&lt;&gt;1,"",SUMIFS($M:$M,$C:$C,$C250,$D:$D,$D250,$E:$E,"기준(전)"))</f>
        <v/>
      </c>
      <c r="Q250" s="48">
        <f>IF(COUNTIFS($C:$C,$C250,$D:$D,$D250,$E:$E,"기준(후)",$M:$M,"&gt;0")&lt;&gt;1,"",SUMIFS($I:$I,$C:$C,$C250,$D:$D,$D250,$E:$E,"기준(후)"))</f>
        <v/>
      </c>
      <c r="R250" s="31">
        <f>IF(COUNTIFS($C:$C,$C250,$D:$D,$D250,$E:$E,"기준(후)",$M:$M,"&gt;0")&lt;&gt;1,"",SUMIFS($M:$M,$C:$C,$C250,$D:$D,$D250,$E:$E,"기준(후)"))</f>
        <v/>
      </c>
      <c r="S250" s="31">
        <f>IF(N250&lt;&gt;"OK","",P250+(R250-P250)*(I250-O250)/(Q250-O250))</f>
        <v/>
      </c>
      <c r="T250" s="31">
        <f>IF(OR(N250&lt;&gt;"OK",NOT(ISNUMBER(M250))),"",M250-S250)</f>
        <v/>
      </c>
      <c r="U250" s="49">
        <f>IF(OR($E249&lt;&gt;"측정",$C249&lt;&gt;$C250,$D249&lt;&gt;$D250,NOT(ISNUMBER(M250)),NOT(ISNUMBER(M249)),(IF(ISNUMBER(G250),G250,F250)-IF(ISNUMBER(G249),G249,F249))=0),"",(M250-M249)/((IF(ISNUMBER(G250),G250,F250)-IF(ISNUMBER(G249),G249,F249))/100))</f>
        <v/>
      </c>
      <c r="V250" s="29" t="n"/>
      <c r="W250" s="29" t="n"/>
      <c r="X250" s="32" t="n"/>
    </row>
    <row r="251">
      <c r="A251" s="26" t="inlineStr">
        <is>
          <t>S21</t>
        </is>
      </c>
      <c r="B251" s="26" t="inlineStr">
        <is>
          <t>담양 신규점2</t>
        </is>
      </c>
      <c r="C251" s="26" t="inlineStr">
        <is>
          <t>S21-V</t>
        </is>
      </c>
      <c r="D251" s="47" t="n">
        <v>1</v>
      </c>
      <c r="E251" s="26" t="inlineStr">
        <is>
          <t>측정</t>
        </is>
      </c>
      <c r="F251" s="47" t="n">
        <v>100</v>
      </c>
      <c r="G251" s="41" t="n"/>
      <c r="H251" s="29" t="n"/>
      <c r="I251" s="43" t="n"/>
      <c r="J251" s="41" t="n"/>
      <c r="K251" s="41" t="n"/>
      <c r="L251" s="41" t="n"/>
      <c r="M251" s="31">
        <f>IF(COUNT(J251:L251)=0,"",MEDIAN(J251:L251))</f>
        <v/>
      </c>
      <c r="N251" s="26">
        <f>IF(COUNTIFS($C:$C,$C251,$D:$D,$D251,$E:$E,"기준(전)",$M:$M,"&gt;0")&lt;&gt;1,"기준(전) 유효 1개 아님",IF(COUNTIFS($C:$C,$C251,$D:$D,$D251,$E:$E,"기준(후)",$M:$M,"&gt;0")&lt;&gt;1,"기준(후) 유효 1개 아님",IF(NOT(AND(ISNUMBER(O251),ISNUMBER(Q251),ISNUMBER(I251))),"시각 결측",IF(Q251&lt;=O251,"기준 시각 역전",IF(OR(I251&lt;O251,I251&gt;Q251),"측정시각 구간 밖","OK")))))</f>
        <v/>
      </c>
      <c r="O251" s="48">
        <f>IF(COUNTIFS($C:$C,$C251,$D:$D,$D251,$E:$E,"기준(전)",$M:$M,"&gt;0")&lt;&gt;1,"",SUMIFS($I:$I,$C:$C,$C251,$D:$D,$D251,$E:$E,"기준(전)"))</f>
        <v/>
      </c>
      <c r="P251" s="31">
        <f>IF(COUNTIFS($C:$C,$C251,$D:$D,$D251,$E:$E,"기준(전)",$M:$M,"&gt;0")&lt;&gt;1,"",SUMIFS($M:$M,$C:$C,$C251,$D:$D,$D251,$E:$E,"기준(전)"))</f>
        <v/>
      </c>
      <c r="Q251" s="48">
        <f>IF(COUNTIFS($C:$C,$C251,$D:$D,$D251,$E:$E,"기준(후)",$M:$M,"&gt;0")&lt;&gt;1,"",SUMIFS($I:$I,$C:$C,$C251,$D:$D,$D251,$E:$E,"기준(후)"))</f>
        <v/>
      </c>
      <c r="R251" s="31">
        <f>IF(COUNTIFS($C:$C,$C251,$D:$D,$D251,$E:$E,"기준(후)",$M:$M,"&gt;0")&lt;&gt;1,"",SUMIFS($M:$M,$C:$C,$C251,$D:$D,$D251,$E:$E,"기준(후)"))</f>
        <v/>
      </c>
      <c r="S251" s="31">
        <f>IF(N251&lt;&gt;"OK","",P251+(R251-P251)*(I251-O251)/(Q251-O251))</f>
        <v/>
      </c>
      <c r="T251" s="31">
        <f>IF(OR(N251&lt;&gt;"OK",NOT(ISNUMBER(M251))),"",M251-S251)</f>
        <v/>
      </c>
      <c r="U251" s="49">
        <f>IF(OR($E250&lt;&gt;"측정",$C250&lt;&gt;$C251,$D250&lt;&gt;$D251,NOT(ISNUMBER(M251)),NOT(ISNUMBER(M250)),(IF(ISNUMBER(G251),G251,F251)-IF(ISNUMBER(G250),G250,F250))=0),"",(M251-M250)/((IF(ISNUMBER(G251),G251,F251)-IF(ISNUMBER(G250),G250,F250))/100))</f>
        <v/>
      </c>
      <c r="V251" s="29" t="n"/>
      <c r="W251" s="29" t="n"/>
      <c r="X251" s="32" t="n"/>
    </row>
    <row r="252">
      <c r="A252" s="26" t="inlineStr">
        <is>
          <t>S21</t>
        </is>
      </c>
      <c r="B252" s="26" t="inlineStr">
        <is>
          <t>담양 신규점2</t>
        </is>
      </c>
      <c r="C252" s="26" t="inlineStr">
        <is>
          <t>S21-V</t>
        </is>
      </c>
      <c r="D252" s="47" t="n">
        <v>1</v>
      </c>
      <c r="E252" s="26" t="inlineStr">
        <is>
          <t>측정</t>
        </is>
      </c>
      <c r="F252" s="47" t="n">
        <v>120</v>
      </c>
      <c r="G252" s="41" t="n"/>
      <c r="H252" s="29" t="n"/>
      <c r="I252" s="43" t="n"/>
      <c r="J252" s="41" t="n"/>
      <c r="K252" s="41" t="n"/>
      <c r="L252" s="41" t="n"/>
      <c r="M252" s="31">
        <f>IF(COUNT(J252:L252)=0,"",MEDIAN(J252:L252))</f>
        <v/>
      </c>
      <c r="N252" s="26">
        <f>IF(COUNTIFS($C:$C,$C252,$D:$D,$D252,$E:$E,"기준(전)",$M:$M,"&gt;0")&lt;&gt;1,"기준(전) 유효 1개 아님",IF(COUNTIFS($C:$C,$C252,$D:$D,$D252,$E:$E,"기준(후)",$M:$M,"&gt;0")&lt;&gt;1,"기준(후) 유효 1개 아님",IF(NOT(AND(ISNUMBER(O252),ISNUMBER(Q252),ISNUMBER(I252))),"시각 결측",IF(Q252&lt;=O252,"기준 시각 역전",IF(OR(I252&lt;O252,I252&gt;Q252),"측정시각 구간 밖","OK")))))</f>
        <v/>
      </c>
      <c r="O252" s="48">
        <f>IF(COUNTIFS($C:$C,$C252,$D:$D,$D252,$E:$E,"기준(전)",$M:$M,"&gt;0")&lt;&gt;1,"",SUMIFS($I:$I,$C:$C,$C252,$D:$D,$D252,$E:$E,"기준(전)"))</f>
        <v/>
      </c>
      <c r="P252" s="31">
        <f>IF(COUNTIFS($C:$C,$C252,$D:$D,$D252,$E:$E,"기준(전)",$M:$M,"&gt;0")&lt;&gt;1,"",SUMIFS($M:$M,$C:$C,$C252,$D:$D,$D252,$E:$E,"기준(전)"))</f>
        <v/>
      </c>
      <c r="Q252" s="48">
        <f>IF(COUNTIFS($C:$C,$C252,$D:$D,$D252,$E:$E,"기준(후)",$M:$M,"&gt;0")&lt;&gt;1,"",SUMIFS($I:$I,$C:$C,$C252,$D:$D,$D252,$E:$E,"기준(후)"))</f>
        <v/>
      </c>
      <c r="R252" s="31">
        <f>IF(COUNTIFS($C:$C,$C252,$D:$D,$D252,$E:$E,"기준(후)",$M:$M,"&gt;0")&lt;&gt;1,"",SUMIFS($M:$M,$C:$C,$C252,$D:$D,$D252,$E:$E,"기준(후)"))</f>
        <v/>
      </c>
      <c r="S252" s="31">
        <f>IF(N252&lt;&gt;"OK","",P252+(R252-P252)*(I252-O252)/(Q252-O252))</f>
        <v/>
      </c>
      <c r="T252" s="31">
        <f>IF(OR(N252&lt;&gt;"OK",NOT(ISNUMBER(M252))),"",M252-S252)</f>
        <v/>
      </c>
      <c r="U252" s="49">
        <f>IF(OR($E251&lt;&gt;"측정",$C251&lt;&gt;$C252,$D251&lt;&gt;$D252,NOT(ISNUMBER(M252)),NOT(ISNUMBER(M251)),(IF(ISNUMBER(G252),G252,F252)-IF(ISNUMBER(G251),G251,F251))=0),"",(M252-M251)/((IF(ISNUMBER(G252),G252,F252)-IF(ISNUMBER(G251),G251,F251))/100))</f>
        <v/>
      </c>
      <c r="V252" s="29" t="n"/>
      <c r="W252" s="29" t="n"/>
      <c r="X252" s="32" t="n"/>
    </row>
    <row r="253">
      <c r="A253" s="26" t="inlineStr">
        <is>
          <t>S21</t>
        </is>
      </c>
      <c r="B253" s="26" t="inlineStr">
        <is>
          <t>담양 신규점2</t>
        </is>
      </c>
      <c r="C253" s="26" t="inlineStr">
        <is>
          <t>S21-V</t>
        </is>
      </c>
      <c r="D253" s="47" t="n">
        <v>1</v>
      </c>
      <c r="E253" s="26" t="inlineStr">
        <is>
          <t>측정</t>
        </is>
      </c>
      <c r="F253" s="47" t="n">
        <v>140</v>
      </c>
      <c r="G253" s="41" t="n"/>
      <c r="H253" s="29" t="n"/>
      <c r="I253" s="43" t="n"/>
      <c r="J253" s="41" t="n"/>
      <c r="K253" s="41" t="n"/>
      <c r="L253" s="41" t="n"/>
      <c r="M253" s="31">
        <f>IF(COUNT(J253:L253)=0,"",MEDIAN(J253:L253))</f>
        <v/>
      </c>
      <c r="N253" s="26">
        <f>IF(COUNTIFS($C:$C,$C253,$D:$D,$D253,$E:$E,"기준(전)",$M:$M,"&gt;0")&lt;&gt;1,"기준(전) 유효 1개 아님",IF(COUNTIFS($C:$C,$C253,$D:$D,$D253,$E:$E,"기준(후)",$M:$M,"&gt;0")&lt;&gt;1,"기준(후) 유효 1개 아님",IF(NOT(AND(ISNUMBER(O253),ISNUMBER(Q253),ISNUMBER(I253))),"시각 결측",IF(Q253&lt;=O253,"기준 시각 역전",IF(OR(I253&lt;O253,I253&gt;Q253),"측정시각 구간 밖","OK")))))</f>
        <v/>
      </c>
      <c r="O253" s="48">
        <f>IF(COUNTIFS($C:$C,$C253,$D:$D,$D253,$E:$E,"기준(전)",$M:$M,"&gt;0")&lt;&gt;1,"",SUMIFS($I:$I,$C:$C,$C253,$D:$D,$D253,$E:$E,"기준(전)"))</f>
        <v/>
      </c>
      <c r="P253" s="31">
        <f>IF(COUNTIFS($C:$C,$C253,$D:$D,$D253,$E:$E,"기준(전)",$M:$M,"&gt;0")&lt;&gt;1,"",SUMIFS($M:$M,$C:$C,$C253,$D:$D,$D253,$E:$E,"기준(전)"))</f>
        <v/>
      </c>
      <c r="Q253" s="48">
        <f>IF(COUNTIFS($C:$C,$C253,$D:$D,$D253,$E:$E,"기준(후)",$M:$M,"&gt;0")&lt;&gt;1,"",SUMIFS($I:$I,$C:$C,$C253,$D:$D,$D253,$E:$E,"기준(후)"))</f>
        <v/>
      </c>
      <c r="R253" s="31">
        <f>IF(COUNTIFS($C:$C,$C253,$D:$D,$D253,$E:$E,"기준(후)",$M:$M,"&gt;0")&lt;&gt;1,"",SUMIFS($M:$M,$C:$C,$C253,$D:$D,$D253,$E:$E,"기준(후)"))</f>
        <v/>
      </c>
      <c r="S253" s="31">
        <f>IF(N253&lt;&gt;"OK","",P253+(R253-P253)*(I253-O253)/(Q253-O253))</f>
        <v/>
      </c>
      <c r="T253" s="31">
        <f>IF(OR(N253&lt;&gt;"OK",NOT(ISNUMBER(M253))),"",M253-S253)</f>
        <v/>
      </c>
      <c r="U253" s="49">
        <f>IF(OR($E252&lt;&gt;"측정",$C252&lt;&gt;$C253,$D252&lt;&gt;$D253,NOT(ISNUMBER(M253)),NOT(ISNUMBER(M252)),(IF(ISNUMBER(G253),G253,F253)-IF(ISNUMBER(G252),G252,F252))=0),"",(M253-M252)/((IF(ISNUMBER(G253),G253,F253)-IF(ISNUMBER(G252),G252,F252))/100))</f>
        <v/>
      </c>
      <c r="V253" s="29" t="n"/>
      <c r="W253" s="29" t="n"/>
      <c r="X253" s="32" t="n"/>
    </row>
    <row r="254">
      <c r="A254" s="26" t="inlineStr">
        <is>
          <t>S21</t>
        </is>
      </c>
      <c r="B254" s="26" t="inlineStr">
        <is>
          <t>담양 신규점2</t>
        </is>
      </c>
      <c r="C254" s="26" t="inlineStr">
        <is>
          <t>S21-V</t>
        </is>
      </c>
      <c r="D254" s="47" t="n">
        <v>1</v>
      </c>
      <c r="E254" s="26" t="inlineStr">
        <is>
          <t>측정</t>
        </is>
      </c>
      <c r="F254" s="47" t="n">
        <v>160</v>
      </c>
      <c r="G254" s="41" t="n"/>
      <c r="H254" s="29" t="n"/>
      <c r="I254" s="43" t="n"/>
      <c r="J254" s="41" t="n"/>
      <c r="K254" s="41" t="n"/>
      <c r="L254" s="41" t="n"/>
      <c r="M254" s="31">
        <f>IF(COUNT(J254:L254)=0,"",MEDIAN(J254:L254))</f>
        <v/>
      </c>
      <c r="N254" s="26">
        <f>IF(COUNTIFS($C:$C,$C254,$D:$D,$D254,$E:$E,"기준(전)",$M:$M,"&gt;0")&lt;&gt;1,"기준(전) 유효 1개 아님",IF(COUNTIFS($C:$C,$C254,$D:$D,$D254,$E:$E,"기준(후)",$M:$M,"&gt;0")&lt;&gt;1,"기준(후) 유효 1개 아님",IF(NOT(AND(ISNUMBER(O254),ISNUMBER(Q254),ISNUMBER(I254))),"시각 결측",IF(Q254&lt;=O254,"기준 시각 역전",IF(OR(I254&lt;O254,I254&gt;Q254),"측정시각 구간 밖","OK")))))</f>
        <v/>
      </c>
      <c r="O254" s="48">
        <f>IF(COUNTIFS($C:$C,$C254,$D:$D,$D254,$E:$E,"기준(전)",$M:$M,"&gt;0")&lt;&gt;1,"",SUMIFS($I:$I,$C:$C,$C254,$D:$D,$D254,$E:$E,"기준(전)"))</f>
        <v/>
      </c>
      <c r="P254" s="31">
        <f>IF(COUNTIFS($C:$C,$C254,$D:$D,$D254,$E:$E,"기준(전)",$M:$M,"&gt;0")&lt;&gt;1,"",SUMIFS($M:$M,$C:$C,$C254,$D:$D,$D254,$E:$E,"기준(전)"))</f>
        <v/>
      </c>
      <c r="Q254" s="48">
        <f>IF(COUNTIFS($C:$C,$C254,$D:$D,$D254,$E:$E,"기준(후)",$M:$M,"&gt;0")&lt;&gt;1,"",SUMIFS($I:$I,$C:$C,$C254,$D:$D,$D254,$E:$E,"기준(후)"))</f>
        <v/>
      </c>
      <c r="R254" s="31">
        <f>IF(COUNTIFS($C:$C,$C254,$D:$D,$D254,$E:$E,"기준(후)",$M:$M,"&gt;0")&lt;&gt;1,"",SUMIFS($M:$M,$C:$C,$C254,$D:$D,$D254,$E:$E,"기준(후)"))</f>
        <v/>
      </c>
      <c r="S254" s="31">
        <f>IF(N254&lt;&gt;"OK","",P254+(R254-P254)*(I254-O254)/(Q254-O254))</f>
        <v/>
      </c>
      <c r="T254" s="31">
        <f>IF(OR(N254&lt;&gt;"OK",NOT(ISNUMBER(M254))),"",M254-S254)</f>
        <v/>
      </c>
      <c r="U254" s="49">
        <f>IF(OR($E253&lt;&gt;"측정",$C253&lt;&gt;$C254,$D253&lt;&gt;$D254,NOT(ISNUMBER(M254)),NOT(ISNUMBER(M253)),(IF(ISNUMBER(G254),G254,F254)-IF(ISNUMBER(G253),G253,F253))=0),"",(M254-M253)/((IF(ISNUMBER(G254),G254,F254)-IF(ISNUMBER(G253),G253,F253))/100))</f>
        <v/>
      </c>
      <c r="V254" s="29" t="n"/>
      <c r="W254" s="29" t="n"/>
      <c r="X254" s="32" t="n"/>
    </row>
    <row r="255">
      <c r="A255" s="26" t="inlineStr">
        <is>
          <t>S21</t>
        </is>
      </c>
      <c r="B255" s="26" t="inlineStr">
        <is>
          <t>담양 신규점2</t>
        </is>
      </c>
      <c r="C255" s="26" t="inlineStr">
        <is>
          <t>S21-V</t>
        </is>
      </c>
      <c r="D255" s="47" t="n">
        <v>1</v>
      </c>
      <c r="E255" s="26" t="inlineStr">
        <is>
          <t>측정</t>
        </is>
      </c>
      <c r="F255" s="47" t="n">
        <v>180</v>
      </c>
      <c r="G255" s="41" t="n"/>
      <c r="H255" s="29" t="n"/>
      <c r="I255" s="43" t="n"/>
      <c r="J255" s="41" t="n"/>
      <c r="K255" s="41" t="n"/>
      <c r="L255" s="41" t="n"/>
      <c r="M255" s="31">
        <f>IF(COUNT(J255:L255)=0,"",MEDIAN(J255:L255))</f>
        <v/>
      </c>
      <c r="N255" s="26">
        <f>IF(COUNTIFS($C:$C,$C255,$D:$D,$D255,$E:$E,"기준(전)",$M:$M,"&gt;0")&lt;&gt;1,"기준(전) 유효 1개 아님",IF(COUNTIFS($C:$C,$C255,$D:$D,$D255,$E:$E,"기준(후)",$M:$M,"&gt;0")&lt;&gt;1,"기준(후) 유효 1개 아님",IF(NOT(AND(ISNUMBER(O255),ISNUMBER(Q255),ISNUMBER(I255))),"시각 결측",IF(Q255&lt;=O255,"기준 시각 역전",IF(OR(I255&lt;O255,I255&gt;Q255),"측정시각 구간 밖","OK")))))</f>
        <v/>
      </c>
      <c r="O255" s="48">
        <f>IF(COUNTIFS($C:$C,$C255,$D:$D,$D255,$E:$E,"기준(전)",$M:$M,"&gt;0")&lt;&gt;1,"",SUMIFS($I:$I,$C:$C,$C255,$D:$D,$D255,$E:$E,"기준(전)"))</f>
        <v/>
      </c>
      <c r="P255" s="31">
        <f>IF(COUNTIFS($C:$C,$C255,$D:$D,$D255,$E:$E,"기준(전)",$M:$M,"&gt;0")&lt;&gt;1,"",SUMIFS($M:$M,$C:$C,$C255,$D:$D,$D255,$E:$E,"기준(전)"))</f>
        <v/>
      </c>
      <c r="Q255" s="48">
        <f>IF(COUNTIFS($C:$C,$C255,$D:$D,$D255,$E:$E,"기준(후)",$M:$M,"&gt;0")&lt;&gt;1,"",SUMIFS($I:$I,$C:$C,$C255,$D:$D,$D255,$E:$E,"기준(후)"))</f>
        <v/>
      </c>
      <c r="R255" s="31">
        <f>IF(COUNTIFS($C:$C,$C255,$D:$D,$D255,$E:$E,"기준(후)",$M:$M,"&gt;0")&lt;&gt;1,"",SUMIFS($M:$M,$C:$C,$C255,$D:$D,$D255,$E:$E,"기준(후)"))</f>
        <v/>
      </c>
      <c r="S255" s="31">
        <f>IF(N255&lt;&gt;"OK","",P255+(R255-P255)*(I255-O255)/(Q255-O255))</f>
        <v/>
      </c>
      <c r="T255" s="31">
        <f>IF(OR(N255&lt;&gt;"OK",NOT(ISNUMBER(M255))),"",M255-S255)</f>
        <v/>
      </c>
      <c r="U255" s="49">
        <f>IF(OR($E254&lt;&gt;"측정",$C254&lt;&gt;$C255,$D254&lt;&gt;$D255,NOT(ISNUMBER(M255)),NOT(ISNUMBER(M254)),(IF(ISNUMBER(G255),G255,F255)-IF(ISNUMBER(G254),G254,F254))=0),"",(M255-M254)/((IF(ISNUMBER(G255),G255,F255)-IF(ISNUMBER(G254),G254,F254))/100))</f>
        <v/>
      </c>
      <c r="V255" s="29" t="n"/>
      <c r="W255" s="29" t="n"/>
      <c r="X255" s="32" t="n"/>
    </row>
    <row r="256">
      <c r="A256" s="26" t="inlineStr">
        <is>
          <t>S21</t>
        </is>
      </c>
      <c r="B256" s="26" t="inlineStr">
        <is>
          <t>담양 신규점2</t>
        </is>
      </c>
      <c r="C256" s="26" t="inlineStr">
        <is>
          <t>S21-V</t>
        </is>
      </c>
      <c r="D256" s="47" t="n">
        <v>1</v>
      </c>
      <c r="E256" s="26" t="inlineStr">
        <is>
          <t>측정</t>
        </is>
      </c>
      <c r="F256" s="47" t="n">
        <v>200</v>
      </c>
      <c r="G256" s="41" t="n"/>
      <c r="H256" s="29" t="n"/>
      <c r="I256" s="43" t="n"/>
      <c r="J256" s="41" t="n"/>
      <c r="K256" s="41" t="n"/>
      <c r="L256" s="41" t="n"/>
      <c r="M256" s="31">
        <f>IF(COUNT(J256:L256)=0,"",MEDIAN(J256:L256))</f>
        <v/>
      </c>
      <c r="N256" s="26">
        <f>IF(COUNTIFS($C:$C,$C256,$D:$D,$D256,$E:$E,"기준(전)",$M:$M,"&gt;0")&lt;&gt;1,"기준(전) 유효 1개 아님",IF(COUNTIFS($C:$C,$C256,$D:$D,$D256,$E:$E,"기준(후)",$M:$M,"&gt;0")&lt;&gt;1,"기준(후) 유효 1개 아님",IF(NOT(AND(ISNUMBER(O256),ISNUMBER(Q256),ISNUMBER(I256))),"시각 결측",IF(Q256&lt;=O256,"기준 시각 역전",IF(OR(I256&lt;O256,I256&gt;Q256),"측정시각 구간 밖","OK")))))</f>
        <v/>
      </c>
      <c r="O256" s="48">
        <f>IF(COUNTIFS($C:$C,$C256,$D:$D,$D256,$E:$E,"기준(전)",$M:$M,"&gt;0")&lt;&gt;1,"",SUMIFS($I:$I,$C:$C,$C256,$D:$D,$D256,$E:$E,"기준(전)"))</f>
        <v/>
      </c>
      <c r="P256" s="31">
        <f>IF(COUNTIFS($C:$C,$C256,$D:$D,$D256,$E:$E,"기준(전)",$M:$M,"&gt;0")&lt;&gt;1,"",SUMIFS($M:$M,$C:$C,$C256,$D:$D,$D256,$E:$E,"기준(전)"))</f>
        <v/>
      </c>
      <c r="Q256" s="48">
        <f>IF(COUNTIFS($C:$C,$C256,$D:$D,$D256,$E:$E,"기준(후)",$M:$M,"&gt;0")&lt;&gt;1,"",SUMIFS($I:$I,$C:$C,$C256,$D:$D,$D256,$E:$E,"기준(후)"))</f>
        <v/>
      </c>
      <c r="R256" s="31">
        <f>IF(COUNTIFS($C:$C,$C256,$D:$D,$D256,$E:$E,"기준(후)",$M:$M,"&gt;0")&lt;&gt;1,"",SUMIFS($M:$M,$C:$C,$C256,$D:$D,$D256,$E:$E,"기준(후)"))</f>
        <v/>
      </c>
      <c r="S256" s="31">
        <f>IF(N256&lt;&gt;"OK","",P256+(R256-P256)*(I256-O256)/(Q256-O256))</f>
        <v/>
      </c>
      <c r="T256" s="31">
        <f>IF(OR(N256&lt;&gt;"OK",NOT(ISNUMBER(M256))),"",M256-S256)</f>
        <v/>
      </c>
      <c r="U256" s="49">
        <f>IF(OR($E255&lt;&gt;"측정",$C255&lt;&gt;$C256,$D255&lt;&gt;$D256,NOT(ISNUMBER(M256)),NOT(ISNUMBER(M255)),(IF(ISNUMBER(G256),G256,F256)-IF(ISNUMBER(G255),G255,F255))=0),"",(M256-M255)/((IF(ISNUMBER(G256),G256,F256)-IF(ISNUMBER(G255),G255,F255))/100))</f>
        <v/>
      </c>
      <c r="V256" s="29" t="n"/>
      <c r="W256" s="29" t="n"/>
      <c r="X256" s="32" t="n"/>
    </row>
    <row r="257">
      <c r="A257" s="44" t="inlineStr">
        <is>
          <t>S21</t>
        </is>
      </c>
      <c r="B257" s="44" t="inlineStr">
        <is>
          <t>담양 신규점2</t>
        </is>
      </c>
      <c r="C257" s="44" t="inlineStr">
        <is>
          <t>S21-V</t>
        </is>
      </c>
      <c r="D257" s="45" t="n">
        <v>1</v>
      </c>
      <c r="E257" s="44" t="inlineStr">
        <is>
          <t>기준(후)</t>
        </is>
      </c>
      <c r="F257" s="45" t="n"/>
      <c r="G257" s="41" t="n"/>
      <c r="H257" s="29" t="n"/>
      <c r="I257" s="43" t="n"/>
      <c r="J257" s="41" t="n"/>
      <c r="K257" s="41" t="n"/>
      <c r="L257" s="41" t="n"/>
      <c r="M257" s="31">
        <f>IF(COUNT(J257:L257)=0,"",MEDIAN(J257:L257))</f>
        <v/>
      </c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29" t="n"/>
      <c r="W257" s="29" t="n"/>
      <c r="X257" s="32" t="n"/>
    </row>
    <row r="258">
      <c r="A258" s="44" t="inlineStr">
        <is>
          <t>S22</t>
        </is>
      </c>
      <c r="B258" s="44" t="inlineStr">
        <is>
          <t>완도 신규점</t>
        </is>
      </c>
      <c r="C258" s="44" t="inlineStr">
        <is>
          <t>S22-V</t>
        </is>
      </c>
      <c r="D258" s="45" t="n">
        <v>1</v>
      </c>
      <c r="E258" s="44" t="inlineStr">
        <is>
          <t>기준(전)</t>
        </is>
      </c>
      <c r="F258" s="45" t="n"/>
      <c r="G258" s="41" t="n"/>
      <c r="H258" s="29" t="n"/>
      <c r="I258" s="43" t="n"/>
      <c r="J258" s="41" t="n"/>
      <c r="K258" s="41" t="n"/>
      <c r="L258" s="41" t="n"/>
      <c r="M258" s="31">
        <f>IF(COUNT(J258:L258)=0,"",MEDIAN(J258:L258))</f>
        <v/>
      </c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29" t="n"/>
      <c r="W258" s="29" t="n"/>
      <c r="X258" s="32" t="n"/>
    </row>
    <row r="259">
      <c r="A259" s="26" t="inlineStr">
        <is>
          <t>S22</t>
        </is>
      </c>
      <c r="B259" s="26" t="inlineStr">
        <is>
          <t>완도 신규점</t>
        </is>
      </c>
      <c r="C259" s="26" t="inlineStr">
        <is>
          <t>S22-V</t>
        </is>
      </c>
      <c r="D259" s="47" t="n">
        <v>1</v>
      </c>
      <c r="E259" s="26" t="inlineStr">
        <is>
          <t>측정</t>
        </is>
      </c>
      <c r="F259" s="47" t="n">
        <v>20</v>
      </c>
      <c r="G259" s="41" t="n"/>
      <c r="H259" s="29" t="n"/>
      <c r="I259" s="43" t="n"/>
      <c r="J259" s="41" t="n"/>
      <c r="K259" s="41" t="n"/>
      <c r="L259" s="41" t="n"/>
      <c r="M259" s="31">
        <f>IF(COUNT(J259:L259)=0,"",MEDIAN(J259:L259))</f>
        <v/>
      </c>
      <c r="N259" s="26">
        <f>IF(COUNTIFS($C:$C,$C259,$D:$D,$D259,$E:$E,"기준(전)",$M:$M,"&gt;0")&lt;&gt;1,"기준(전) 유효 1개 아님",IF(COUNTIFS($C:$C,$C259,$D:$D,$D259,$E:$E,"기준(후)",$M:$M,"&gt;0")&lt;&gt;1,"기준(후) 유효 1개 아님",IF(NOT(AND(ISNUMBER(O259),ISNUMBER(Q259),ISNUMBER(I259))),"시각 결측",IF(Q259&lt;=O259,"기준 시각 역전",IF(OR(I259&lt;O259,I259&gt;Q259),"측정시각 구간 밖","OK")))))</f>
        <v/>
      </c>
      <c r="O259" s="48">
        <f>IF(COUNTIFS($C:$C,$C259,$D:$D,$D259,$E:$E,"기준(전)",$M:$M,"&gt;0")&lt;&gt;1,"",SUMIFS($I:$I,$C:$C,$C259,$D:$D,$D259,$E:$E,"기준(전)"))</f>
        <v/>
      </c>
      <c r="P259" s="31">
        <f>IF(COUNTIFS($C:$C,$C259,$D:$D,$D259,$E:$E,"기준(전)",$M:$M,"&gt;0")&lt;&gt;1,"",SUMIFS($M:$M,$C:$C,$C259,$D:$D,$D259,$E:$E,"기준(전)"))</f>
        <v/>
      </c>
      <c r="Q259" s="48">
        <f>IF(COUNTIFS($C:$C,$C259,$D:$D,$D259,$E:$E,"기준(후)",$M:$M,"&gt;0")&lt;&gt;1,"",SUMIFS($I:$I,$C:$C,$C259,$D:$D,$D259,$E:$E,"기준(후)"))</f>
        <v/>
      </c>
      <c r="R259" s="31">
        <f>IF(COUNTIFS($C:$C,$C259,$D:$D,$D259,$E:$E,"기준(후)",$M:$M,"&gt;0")&lt;&gt;1,"",SUMIFS($M:$M,$C:$C,$C259,$D:$D,$D259,$E:$E,"기준(후)"))</f>
        <v/>
      </c>
      <c r="S259" s="31">
        <f>IF(N259&lt;&gt;"OK","",P259+(R259-P259)*(I259-O259)/(Q259-O259))</f>
        <v/>
      </c>
      <c r="T259" s="31">
        <f>IF(OR(N259&lt;&gt;"OK",NOT(ISNUMBER(M259))),"",M259-S259)</f>
        <v/>
      </c>
      <c r="U259" s="49">
        <f>IF(OR($E258&lt;&gt;"측정",$C258&lt;&gt;$C259,$D258&lt;&gt;$D259,NOT(ISNUMBER(M259)),NOT(ISNUMBER(M258)),(IF(ISNUMBER(G259),G259,F259)-IF(ISNUMBER(G258),G258,F258))=0),"",(M259-M258)/((IF(ISNUMBER(G259),G259,F259)-IF(ISNUMBER(G258),G258,F258))/100))</f>
        <v/>
      </c>
      <c r="V259" s="29" t="n"/>
      <c r="W259" s="29" t="n"/>
      <c r="X259" s="32" t="n"/>
    </row>
    <row r="260">
      <c r="A260" s="26" t="inlineStr">
        <is>
          <t>S22</t>
        </is>
      </c>
      <c r="B260" s="26" t="inlineStr">
        <is>
          <t>완도 신규점</t>
        </is>
      </c>
      <c r="C260" s="26" t="inlineStr">
        <is>
          <t>S22-V</t>
        </is>
      </c>
      <c r="D260" s="47" t="n">
        <v>1</v>
      </c>
      <c r="E260" s="26" t="inlineStr">
        <is>
          <t>측정</t>
        </is>
      </c>
      <c r="F260" s="47" t="n">
        <v>40</v>
      </c>
      <c r="G260" s="41" t="n"/>
      <c r="H260" s="29" t="n"/>
      <c r="I260" s="43" t="n"/>
      <c r="J260" s="41" t="n"/>
      <c r="K260" s="41" t="n"/>
      <c r="L260" s="41" t="n"/>
      <c r="M260" s="31">
        <f>IF(COUNT(J260:L260)=0,"",MEDIAN(J260:L260))</f>
        <v/>
      </c>
      <c r="N260" s="26">
        <f>IF(COUNTIFS($C:$C,$C260,$D:$D,$D260,$E:$E,"기준(전)",$M:$M,"&gt;0")&lt;&gt;1,"기준(전) 유효 1개 아님",IF(COUNTIFS($C:$C,$C260,$D:$D,$D260,$E:$E,"기준(후)",$M:$M,"&gt;0")&lt;&gt;1,"기준(후) 유효 1개 아님",IF(NOT(AND(ISNUMBER(O260),ISNUMBER(Q260),ISNUMBER(I260))),"시각 결측",IF(Q260&lt;=O260,"기준 시각 역전",IF(OR(I260&lt;O260,I260&gt;Q260),"측정시각 구간 밖","OK")))))</f>
        <v/>
      </c>
      <c r="O260" s="48">
        <f>IF(COUNTIFS($C:$C,$C260,$D:$D,$D260,$E:$E,"기준(전)",$M:$M,"&gt;0")&lt;&gt;1,"",SUMIFS($I:$I,$C:$C,$C260,$D:$D,$D260,$E:$E,"기준(전)"))</f>
        <v/>
      </c>
      <c r="P260" s="31">
        <f>IF(COUNTIFS($C:$C,$C260,$D:$D,$D260,$E:$E,"기준(전)",$M:$M,"&gt;0")&lt;&gt;1,"",SUMIFS($M:$M,$C:$C,$C260,$D:$D,$D260,$E:$E,"기준(전)"))</f>
        <v/>
      </c>
      <c r="Q260" s="48">
        <f>IF(COUNTIFS($C:$C,$C260,$D:$D,$D260,$E:$E,"기준(후)",$M:$M,"&gt;0")&lt;&gt;1,"",SUMIFS($I:$I,$C:$C,$C260,$D:$D,$D260,$E:$E,"기준(후)"))</f>
        <v/>
      </c>
      <c r="R260" s="31">
        <f>IF(COUNTIFS($C:$C,$C260,$D:$D,$D260,$E:$E,"기준(후)",$M:$M,"&gt;0")&lt;&gt;1,"",SUMIFS($M:$M,$C:$C,$C260,$D:$D,$D260,$E:$E,"기준(후)"))</f>
        <v/>
      </c>
      <c r="S260" s="31">
        <f>IF(N260&lt;&gt;"OK","",P260+(R260-P260)*(I260-O260)/(Q260-O260))</f>
        <v/>
      </c>
      <c r="T260" s="31">
        <f>IF(OR(N260&lt;&gt;"OK",NOT(ISNUMBER(M260))),"",M260-S260)</f>
        <v/>
      </c>
      <c r="U260" s="49">
        <f>IF(OR($E259&lt;&gt;"측정",$C259&lt;&gt;$C260,$D259&lt;&gt;$D260,NOT(ISNUMBER(M260)),NOT(ISNUMBER(M259)),(IF(ISNUMBER(G260),G260,F260)-IF(ISNUMBER(G259),G259,F259))=0),"",(M260-M259)/((IF(ISNUMBER(G260),G260,F260)-IF(ISNUMBER(G259),G259,F259))/100))</f>
        <v/>
      </c>
      <c r="V260" s="29" t="n"/>
      <c r="W260" s="29" t="n"/>
      <c r="X260" s="32" t="n"/>
    </row>
    <row r="261">
      <c r="A261" s="26" t="inlineStr">
        <is>
          <t>S22</t>
        </is>
      </c>
      <c r="B261" s="26" t="inlineStr">
        <is>
          <t>완도 신규점</t>
        </is>
      </c>
      <c r="C261" s="26" t="inlineStr">
        <is>
          <t>S22-V</t>
        </is>
      </c>
      <c r="D261" s="47" t="n">
        <v>1</v>
      </c>
      <c r="E261" s="26" t="inlineStr">
        <is>
          <t>측정</t>
        </is>
      </c>
      <c r="F261" s="47" t="n">
        <v>60</v>
      </c>
      <c r="G261" s="41" t="n"/>
      <c r="H261" s="29" t="n"/>
      <c r="I261" s="43" t="n"/>
      <c r="J261" s="41" t="n"/>
      <c r="K261" s="41" t="n"/>
      <c r="L261" s="41" t="n"/>
      <c r="M261" s="31">
        <f>IF(COUNT(J261:L261)=0,"",MEDIAN(J261:L261))</f>
        <v/>
      </c>
      <c r="N261" s="26">
        <f>IF(COUNTIFS($C:$C,$C261,$D:$D,$D261,$E:$E,"기준(전)",$M:$M,"&gt;0")&lt;&gt;1,"기준(전) 유효 1개 아님",IF(COUNTIFS($C:$C,$C261,$D:$D,$D261,$E:$E,"기준(후)",$M:$M,"&gt;0")&lt;&gt;1,"기준(후) 유효 1개 아님",IF(NOT(AND(ISNUMBER(O261),ISNUMBER(Q261),ISNUMBER(I261))),"시각 결측",IF(Q261&lt;=O261,"기준 시각 역전",IF(OR(I261&lt;O261,I261&gt;Q261),"측정시각 구간 밖","OK")))))</f>
        <v/>
      </c>
      <c r="O261" s="48">
        <f>IF(COUNTIFS($C:$C,$C261,$D:$D,$D261,$E:$E,"기준(전)",$M:$M,"&gt;0")&lt;&gt;1,"",SUMIFS($I:$I,$C:$C,$C261,$D:$D,$D261,$E:$E,"기준(전)"))</f>
        <v/>
      </c>
      <c r="P261" s="31">
        <f>IF(COUNTIFS($C:$C,$C261,$D:$D,$D261,$E:$E,"기준(전)",$M:$M,"&gt;0")&lt;&gt;1,"",SUMIFS($M:$M,$C:$C,$C261,$D:$D,$D261,$E:$E,"기준(전)"))</f>
        <v/>
      </c>
      <c r="Q261" s="48">
        <f>IF(COUNTIFS($C:$C,$C261,$D:$D,$D261,$E:$E,"기준(후)",$M:$M,"&gt;0")&lt;&gt;1,"",SUMIFS($I:$I,$C:$C,$C261,$D:$D,$D261,$E:$E,"기준(후)"))</f>
        <v/>
      </c>
      <c r="R261" s="31">
        <f>IF(COUNTIFS($C:$C,$C261,$D:$D,$D261,$E:$E,"기준(후)",$M:$M,"&gt;0")&lt;&gt;1,"",SUMIFS($M:$M,$C:$C,$C261,$D:$D,$D261,$E:$E,"기준(후)"))</f>
        <v/>
      </c>
      <c r="S261" s="31">
        <f>IF(N261&lt;&gt;"OK","",P261+(R261-P261)*(I261-O261)/(Q261-O261))</f>
        <v/>
      </c>
      <c r="T261" s="31">
        <f>IF(OR(N261&lt;&gt;"OK",NOT(ISNUMBER(M261))),"",M261-S261)</f>
        <v/>
      </c>
      <c r="U261" s="49">
        <f>IF(OR($E260&lt;&gt;"측정",$C260&lt;&gt;$C261,$D260&lt;&gt;$D261,NOT(ISNUMBER(M261)),NOT(ISNUMBER(M260)),(IF(ISNUMBER(G261),G261,F261)-IF(ISNUMBER(G260),G260,F260))=0),"",(M261-M260)/((IF(ISNUMBER(G261),G261,F261)-IF(ISNUMBER(G260),G260,F260))/100))</f>
        <v/>
      </c>
      <c r="V261" s="29" t="n"/>
      <c r="W261" s="29" t="n"/>
      <c r="X261" s="32" t="n"/>
    </row>
    <row r="262">
      <c r="A262" s="26" t="inlineStr">
        <is>
          <t>S22</t>
        </is>
      </c>
      <c r="B262" s="26" t="inlineStr">
        <is>
          <t>완도 신규점</t>
        </is>
      </c>
      <c r="C262" s="26" t="inlineStr">
        <is>
          <t>S22-V</t>
        </is>
      </c>
      <c r="D262" s="47" t="n">
        <v>1</v>
      </c>
      <c r="E262" s="26" t="inlineStr">
        <is>
          <t>측정</t>
        </is>
      </c>
      <c r="F262" s="47" t="n">
        <v>80</v>
      </c>
      <c r="G262" s="41" t="n"/>
      <c r="H262" s="29" t="n"/>
      <c r="I262" s="43" t="n"/>
      <c r="J262" s="41" t="n"/>
      <c r="K262" s="41" t="n"/>
      <c r="L262" s="41" t="n"/>
      <c r="M262" s="31">
        <f>IF(COUNT(J262:L262)=0,"",MEDIAN(J262:L262))</f>
        <v/>
      </c>
      <c r="N262" s="26">
        <f>IF(COUNTIFS($C:$C,$C262,$D:$D,$D262,$E:$E,"기준(전)",$M:$M,"&gt;0")&lt;&gt;1,"기준(전) 유효 1개 아님",IF(COUNTIFS($C:$C,$C262,$D:$D,$D262,$E:$E,"기준(후)",$M:$M,"&gt;0")&lt;&gt;1,"기준(후) 유효 1개 아님",IF(NOT(AND(ISNUMBER(O262),ISNUMBER(Q262),ISNUMBER(I262))),"시각 결측",IF(Q262&lt;=O262,"기준 시각 역전",IF(OR(I262&lt;O262,I262&gt;Q262),"측정시각 구간 밖","OK")))))</f>
        <v/>
      </c>
      <c r="O262" s="48">
        <f>IF(COUNTIFS($C:$C,$C262,$D:$D,$D262,$E:$E,"기준(전)",$M:$M,"&gt;0")&lt;&gt;1,"",SUMIFS($I:$I,$C:$C,$C262,$D:$D,$D262,$E:$E,"기준(전)"))</f>
        <v/>
      </c>
      <c r="P262" s="31">
        <f>IF(COUNTIFS($C:$C,$C262,$D:$D,$D262,$E:$E,"기준(전)",$M:$M,"&gt;0")&lt;&gt;1,"",SUMIFS($M:$M,$C:$C,$C262,$D:$D,$D262,$E:$E,"기준(전)"))</f>
        <v/>
      </c>
      <c r="Q262" s="48">
        <f>IF(COUNTIFS($C:$C,$C262,$D:$D,$D262,$E:$E,"기준(후)",$M:$M,"&gt;0")&lt;&gt;1,"",SUMIFS($I:$I,$C:$C,$C262,$D:$D,$D262,$E:$E,"기준(후)"))</f>
        <v/>
      </c>
      <c r="R262" s="31">
        <f>IF(COUNTIFS($C:$C,$C262,$D:$D,$D262,$E:$E,"기준(후)",$M:$M,"&gt;0")&lt;&gt;1,"",SUMIFS($M:$M,$C:$C,$C262,$D:$D,$D262,$E:$E,"기준(후)"))</f>
        <v/>
      </c>
      <c r="S262" s="31">
        <f>IF(N262&lt;&gt;"OK","",P262+(R262-P262)*(I262-O262)/(Q262-O262))</f>
        <v/>
      </c>
      <c r="T262" s="31">
        <f>IF(OR(N262&lt;&gt;"OK",NOT(ISNUMBER(M262))),"",M262-S262)</f>
        <v/>
      </c>
      <c r="U262" s="49">
        <f>IF(OR($E261&lt;&gt;"측정",$C261&lt;&gt;$C262,$D261&lt;&gt;$D262,NOT(ISNUMBER(M262)),NOT(ISNUMBER(M261)),(IF(ISNUMBER(G262),G262,F262)-IF(ISNUMBER(G261),G261,F261))=0),"",(M262-M261)/((IF(ISNUMBER(G262),G262,F262)-IF(ISNUMBER(G261),G261,F261))/100))</f>
        <v/>
      </c>
      <c r="V262" s="29" t="n"/>
      <c r="W262" s="29" t="n"/>
      <c r="X262" s="32" t="n"/>
    </row>
    <row r="263">
      <c r="A263" s="26" t="inlineStr">
        <is>
          <t>S22</t>
        </is>
      </c>
      <c r="B263" s="26" t="inlineStr">
        <is>
          <t>완도 신규점</t>
        </is>
      </c>
      <c r="C263" s="26" t="inlineStr">
        <is>
          <t>S22-V</t>
        </is>
      </c>
      <c r="D263" s="47" t="n">
        <v>1</v>
      </c>
      <c r="E263" s="26" t="inlineStr">
        <is>
          <t>측정</t>
        </is>
      </c>
      <c r="F263" s="47" t="n">
        <v>100</v>
      </c>
      <c r="G263" s="41" t="n"/>
      <c r="H263" s="29" t="n"/>
      <c r="I263" s="43" t="n"/>
      <c r="J263" s="41" t="n"/>
      <c r="K263" s="41" t="n"/>
      <c r="L263" s="41" t="n"/>
      <c r="M263" s="31">
        <f>IF(COUNT(J263:L263)=0,"",MEDIAN(J263:L263))</f>
        <v/>
      </c>
      <c r="N263" s="26">
        <f>IF(COUNTIFS($C:$C,$C263,$D:$D,$D263,$E:$E,"기준(전)",$M:$M,"&gt;0")&lt;&gt;1,"기준(전) 유효 1개 아님",IF(COUNTIFS($C:$C,$C263,$D:$D,$D263,$E:$E,"기준(후)",$M:$M,"&gt;0")&lt;&gt;1,"기준(후) 유효 1개 아님",IF(NOT(AND(ISNUMBER(O263),ISNUMBER(Q263),ISNUMBER(I263))),"시각 결측",IF(Q263&lt;=O263,"기준 시각 역전",IF(OR(I263&lt;O263,I263&gt;Q263),"측정시각 구간 밖","OK")))))</f>
        <v/>
      </c>
      <c r="O263" s="48">
        <f>IF(COUNTIFS($C:$C,$C263,$D:$D,$D263,$E:$E,"기준(전)",$M:$M,"&gt;0")&lt;&gt;1,"",SUMIFS($I:$I,$C:$C,$C263,$D:$D,$D263,$E:$E,"기준(전)"))</f>
        <v/>
      </c>
      <c r="P263" s="31">
        <f>IF(COUNTIFS($C:$C,$C263,$D:$D,$D263,$E:$E,"기준(전)",$M:$M,"&gt;0")&lt;&gt;1,"",SUMIFS($M:$M,$C:$C,$C263,$D:$D,$D263,$E:$E,"기준(전)"))</f>
        <v/>
      </c>
      <c r="Q263" s="48">
        <f>IF(COUNTIFS($C:$C,$C263,$D:$D,$D263,$E:$E,"기준(후)",$M:$M,"&gt;0")&lt;&gt;1,"",SUMIFS($I:$I,$C:$C,$C263,$D:$D,$D263,$E:$E,"기준(후)"))</f>
        <v/>
      </c>
      <c r="R263" s="31">
        <f>IF(COUNTIFS($C:$C,$C263,$D:$D,$D263,$E:$E,"기준(후)",$M:$M,"&gt;0")&lt;&gt;1,"",SUMIFS($M:$M,$C:$C,$C263,$D:$D,$D263,$E:$E,"기준(후)"))</f>
        <v/>
      </c>
      <c r="S263" s="31">
        <f>IF(N263&lt;&gt;"OK","",P263+(R263-P263)*(I263-O263)/(Q263-O263))</f>
        <v/>
      </c>
      <c r="T263" s="31">
        <f>IF(OR(N263&lt;&gt;"OK",NOT(ISNUMBER(M263))),"",M263-S263)</f>
        <v/>
      </c>
      <c r="U263" s="49">
        <f>IF(OR($E262&lt;&gt;"측정",$C262&lt;&gt;$C263,$D262&lt;&gt;$D263,NOT(ISNUMBER(M263)),NOT(ISNUMBER(M262)),(IF(ISNUMBER(G263),G263,F263)-IF(ISNUMBER(G262),G262,F262))=0),"",(M263-M262)/((IF(ISNUMBER(G263),G263,F263)-IF(ISNUMBER(G262),G262,F262))/100))</f>
        <v/>
      </c>
      <c r="V263" s="29" t="n"/>
      <c r="W263" s="29" t="n"/>
      <c r="X263" s="32" t="n"/>
    </row>
    <row r="264">
      <c r="A264" s="26" t="inlineStr">
        <is>
          <t>S22</t>
        </is>
      </c>
      <c r="B264" s="26" t="inlineStr">
        <is>
          <t>완도 신규점</t>
        </is>
      </c>
      <c r="C264" s="26" t="inlineStr">
        <is>
          <t>S22-V</t>
        </is>
      </c>
      <c r="D264" s="47" t="n">
        <v>1</v>
      </c>
      <c r="E264" s="26" t="inlineStr">
        <is>
          <t>측정</t>
        </is>
      </c>
      <c r="F264" s="47" t="n">
        <v>120</v>
      </c>
      <c r="G264" s="41" t="n"/>
      <c r="H264" s="29" t="n"/>
      <c r="I264" s="43" t="n"/>
      <c r="J264" s="41" t="n"/>
      <c r="K264" s="41" t="n"/>
      <c r="L264" s="41" t="n"/>
      <c r="M264" s="31">
        <f>IF(COUNT(J264:L264)=0,"",MEDIAN(J264:L264))</f>
        <v/>
      </c>
      <c r="N264" s="26">
        <f>IF(COUNTIFS($C:$C,$C264,$D:$D,$D264,$E:$E,"기준(전)",$M:$M,"&gt;0")&lt;&gt;1,"기준(전) 유효 1개 아님",IF(COUNTIFS($C:$C,$C264,$D:$D,$D264,$E:$E,"기준(후)",$M:$M,"&gt;0")&lt;&gt;1,"기준(후) 유효 1개 아님",IF(NOT(AND(ISNUMBER(O264),ISNUMBER(Q264),ISNUMBER(I264))),"시각 결측",IF(Q264&lt;=O264,"기준 시각 역전",IF(OR(I264&lt;O264,I264&gt;Q264),"측정시각 구간 밖","OK")))))</f>
        <v/>
      </c>
      <c r="O264" s="48">
        <f>IF(COUNTIFS($C:$C,$C264,$D:$D,$D264,$E:$E,"기준(전)",$M:$M,"&gt;0")&lt;&gt;1,"",SUMIFS($I:$I,$C:$C,$C264,$D:$D,$D264,$E:$E,"기준(전)"))</f>
        <v/>
      </c>
      <c r="P264" s="31">
        <f>IF(COUNTIFS($C:$C,$C264,$D:$D,$D264,$E:$E,"기준(전)",$M:$M,"&gt;0")&lt;&gt;1,"",SUMIFS($M:$M,$C:$C,$C264,$D:$D,$D264,$E:$E,"기준(전)"))</f>
        <v/>
      </c>
      <c r="Q264" s="48">
        <f>IF(COUNTIFS($C:$C,$C264,$D:$D,$D264,$E:$E,"기준(후)",$M:$M,"&gt;0")&lt;&gt;1,"",SUMIFS($I:$I,$C:$C,$C264,$D:$D,$D264,$E:$E,"기준(후)"))</f>
        <v/>
      </c>
      <c r="R264" s="31">
        <f>IF(COUNTIFS($C:$C,$C264,$D:$D,$D264,$E:$E,"기준(후)",$M:$M,"&gt;0")&lt;&gt;1,"",SUMIFS($M:$M,$C:$C,$C264,$D:$D,$D264,$E:$E,"기준(후)"))</f>
        <v/>
      </c>
      <c r="S264" s="31">
        <f>IF(N264&lt;&gt;"OK","",P264+(R264-P264)*(I264-O264)/(Q264-O264))</f>
        <v/>
      </c>
      <c r="T264" s="31">
        <f>IF(OR(N264&lt;&gt;"OK",NOT(ISNUMBER(M264))),"",M264-S264)</f>
        <v/>
      </c>
      <c r="U264" s="49">
        <f>IF(OR($E263&lt;&gt;"측정",$C263&lt;&gt;$C264,$D263&lt;&gt;$D264,NOT(ISNUMBER(M264)),NOT(ISNUMBER(M263)),(IF(ISNUMBER(G264),G264,F264)-IF(ISNUMBER(G263),G263,F263))=0),"",(M264-M263)/((IF(ISNUMBER(G264),G264,F264)-IF(ISNUMBER(G263),G263,F263))/100))</f>
        <v/>
      </c>
      <c r="V264" s="29" t="n"/>
      <c r="W264" s="29" t="n"/>
      <c r="X264" s="32" t="n"/>
    </row>
    <row r="265">
      <c r="A265" s="26" t="inlineStr">
        <is>
          <t>S22</t>
        </is>
      </c>
      <c r="B265" s="26" t="inlineStr">
        <is>
          <t>완도 신규점</t>
        </is>
      </c>
      <c r="C265" s="26" t="inlineStr">
        <is>
          <t>S22-V</t>
        </is>
      </c>
      <c r="D265" s="47" t="n">
        <v>1</v>
      </c>
      <c r="E265" s="26" t="inlineStr">
        <is>
          <t>측정</t>
        </is>
      </c>
      <c r="F265" s="47" t="n">
        <v>140</v>
      </c>
      <c r="G265" s="41" t="n"/>
      <c r="H265" s="29" t="n"/>
      <c r="I265" s="43" t="n"/>
      <c r="J265" s="41" t="n"/>
      <c r="K265" s="41" t="n"/>
      <c r="L265" s="41" t="n"/>
      <c r="M265" s="31">
        <f>IF(COUNT(J265:L265)=0,"",MEDIAN(J265:L265))</f>
        <v/>
      </c>
      <c r="N265" s="26">
        <f>IF(COUNTIFS($C:$C,$C265,$D:$D,$D265,$E:$E,"기준(전)",$M:$M,"&gt;0")&lt;&gt;1,"기준(전) 유효 1개 아님",IF(COUNTIFS($C:$C,$C265,$D:$D,$D265,$E:$E,"기준(후)",$M:$M,"&gt;0")&lt;&gt;1,"기준(후) 유효 1개 아님",IF(NOT(AND(ISNUMBER(O265),ISNUMBER(Q265),ISNUMBER(I265))),"시각 결측",IF(Q265&lt;=O265,"기준 시각 역전",IF(OR(I265&lt;O265,I265&gt;Q265),"측정시각 구간 밖","OK")))))</f>
        <v/>
      </c>
      <c r="O265" s="48">
        <f>IF(COUNTIFS($C:$C,$C265,$D:$D,$D265,$E:$E,"기준(전)",$M:$M,"&gt;0")&lt;&gt;1,"",SUMIFS($I:$I,$C:$C,$C265,$D:$D,$D265,$E:$E,"기준(전)"))</f>
        <v/>
      </c>
      <c r="P265" s="31">
        <f>IF(COUNTIFS($C:$C,$C265,$D:$D,$D265,$E:$E,"기준(전)",$M:$M,"&gt;0")&lt;&gt;1,"",SUMIFS($M:$M,$C:$C,$C265,$D:$D,$D265,$E:$E,"기준(전)"))</f>
        <v/>
      </c>
      <c r="Q265" s="48">
        <f>IF(COUNTIFS($C:$C,$C265,$D:$D,$D265,$E:$E,"기준(후)",$M:$M,"&gt;0")&lt;&gt;1,"",SUMIFS($I:$I,$C:$C,$C265,$D:$D,$D265,$E:$E,"기준(후)"))</f>
        <v/>
      </c>
      <c r="R265" s="31">
        <f>IF(COUNTIFS($C:$C,$C265,$D:$D,$D265,$E:$E,"기준(후)",$M:$M,"&gt;0")&lt;&gt;1,"",SUMIFS($M:$M,$C:$C,$C265,$D:$D,$D265,$E:$E,"기준(후)"))</f>
        <v/>
      </c>
      <c r="S265" s="31">
        <f>IF(N265&lt;&gt;"OK","",P265+(R265-P265)*(I265-O265)/(Q265-O265))</f>
        <v/>
      </c>
      <c r="T265" s="31">
        <f>IF(OR(N265&lt;&gt;"OK",NOT(ISNUMBER(M265))),"",M265-S265)</f>
        <v/>
      </c>
      <c r="U265" s="49">
        <f>IF(OR($E264&lt;&gt;"측정",$C264&lt;&gt;$C265,$D264&lt;&gt;$D265,NOT(ISNUMBER(M265)),NOT(ISNUMBER(M264)),(IF(ISNUMBER(G265),G265,F265)-IF(ISNUMBER(G264),G264,F264))=0),"",(M265-M264)/((IF(ISNUMBER(G265),G265,F265)-IF(ISNUMBER(G264),G264,F264))/100))</f>
        <v/>
      </c>
      <c r="V265" s="29" t="n"/>
      <c r="W265" s="29" t="n"/>
      <c r="X265" s="32" t="n"/>
    </row>
    <row r="266">
      <c r="A266" s="26" t="inlineStr">
        <is>
          <t>S22</t>
        </is>
      </c>
      <c r="B266" s="26" t="inlineStr">
        <is>
          <t>완도 신규점</t>
        </is>
      </c>
      <c r="C266" s="26" t="inlineStr">
        <is>
          <t>S22-V</t>
        </is>
      </c>
      <c r="D266" s="47" t="n">
        <v>1</v>
      </c>
      <c r="E266" s="26" t="inlineStr">
        <is>
          <t>측정</t>
        </is>
      </c>
      <c r="F266" s="47" t="n">
        <v>160</v>
      </c>
      <c r="G266" s="41" t="n"/>
      <c r="H266" s="29" t="n"/>
      <c r="I266" s="43" t="n"/>
      <c r="J266" s="41" t="n"/>
      <c r="K266" s="41" t="n"/>
      <c r="L266" s="41" t="n"/>
      <c r="M266" s="31">
        <f>IF(COUNT(J266:L266)=0,"",MEDIAN(J266:L266))</f>
        <v/>
      </c>
      <c r="N266" s="26">
        <f>IF(COUNTIFS($C:$C,$C266,$D:$D,$D266,$E:$E,"기준(전)",$M:$M,"&gt;0")&lt;&gt;1,"기준(전) 유효 1개 아님",IF(COUNTIFS($C:$C,$C266,$D:$D,$D266,$E:$E,"기준(후)",$M:$M,"&gt;0")&lt;&gt;1,"기준(후) 유효 1개 아님",IF(NOT(AND(ISNUMBER(O266),ISNUMBER(Q266),ISNUMBER(I266))),"시각 결측",IF(Q266&lt;=O266,"기준 시각 역전",IF(OR(I266&lt;O266,I266&gt;Q266),"측정시각 구간 밖","OK")))))</f>
        <v/>
      </c>
      <c r="O266" s="48">
        <f>IF(COUNTIFS($C:$C,$C266,$D:$D,$D266,$E:$E,"기준(전)",$M:$M,"&gt;0")&lt;&gt;1,"",SUMIFS($I:$I,$C:$C,$C266,$D:$D,$D266,$E:$E,"기준(전)"))</f>
        <v/>
      </c>
      <c r="P266" s="31">
        <f>IF(COUNTIFS($C:$C,$C266,$D:$D,$D266,$E:$E,"기준(전)",$M:$M,"&gt;0")&lt;&gt;1,"",SUMIFS($M:$M,$C:$C,$C266,$D:$D,$D266,$E:$E,"기준(전)"))</f>
        <v/>
      </c>
      <c r="Q266" s="48">
        <f>IF(COUNTIFS($C:$C,$C266,$D:$D,$D266,$E:$E,"기준(후)",$M:$M,"&gt;0")&lt;&gt;1,"",SUMIFS($I:$I,$C:$C,$C266,$D:$D,$D266,$E:$E,"기준(후)"))</f>
        <v/>
      </c>
      <c r="R266" s="31">
        <f>IF(COUNTIFS($C:$C,$C266,$D:$D,$D266,$E:$E,"기준(후)",$M:$M,"&gt;0")&lt;&gt;1,"",SUMIFS($M:$M,$C:$C,$C266,$D:$D,$D266,$E:$E,"기준(후)"))</f>
        <v/>
      </c>
      <c r="S266" s="31">
        <f>IF(N266&lt;&gt;"OK","",P266+(R266-P266)*(I266-O266)/(Q266-O266))</f>
        <v/>
      </c>
      <c r="T266" s="31">
        <f>IF(OR(N266&lt;&gt;"OK",NOT(ISNUMBER(M266))),"",M266-S266)</f>
        <v/>
      </c>
      <c r="U266" s="49">
        <f>IF(OR($E265&lt;&gt;"측정",$C265&lt;&gt;$C266,$D265&lt;&gt;$D266,NOT(ISNUMBER(M266)),NOT(ISNUMBER(M265)),(IF(ISNUMBER(G266),G266,F266)-IF(ISNUMBER(G265),G265,F265))=0),"",(M266-M265)/((IF(ISNUMBER(G266),G266,F266)-IF(ISNUMBER(G265),G265,F265))/100))</f>
        <v/>
      </c>
      <c r="V266" s="29" t="n"/>
      <c r="W266" s="29" t="n"/>
      <c r="X266" s="32" t="n"/>
    </row>
    <row r="267">
      <c r="A267" s="26" t="inlineStr">
        <is>
          <t>S22</t>
        </is>
      </c>
      <c r="B267" s="26" t="inlineStr">
        <is>
          <t>완도 신규점</t>
        </is>
      </c>
      <c r="C267" s="26" t="inlineStr">
        <is>
          <t>S22-V</t>
        </is>
      </c>
      <c r="D267" s="47" t="n">
        <v>1</v>
      </c>
      <c r="E267" s="26" t="inlineStr">
        <is>
          <t>측정</t>
        </is>
      </c>
      <c r="F267" s="47" t="n">
        <v>180</v>
      </c>
      <c r="G267" s="41" t="n"/>
      <c r="H267" s="29" t="n"/>
      <c r="I267" s="43" t="n"/>
      <c r="J267" s="41" t="n"/>
      <c r="K267" s="41" t="n"/>
      <c r="L267" s="41" t="n"/>
      <c r="M267" s="31">
        <f>IF(COUNT(J267:L267)=0,"",MEDIAN(J267:L267))</f>
        <v/>
      </c>
      <c r="N267" s="26">
        <f>IF(COUNTIFS($C:$C,$C267,$D:$D,$D267,$E:$E,"기준(전)",$M:$M,"&gt;0")&lt;&gt;1,"기준(전) 유효 1개 아님",IF(COUNTIFS($C:$C,$C267,$D:$D,$D267,$E:$E,"기준(후)",$M:$M,"&gt;0")&lt;&gt;1,"기준(후) 유효 1개 아님",IF(NOT(AND(ISNUMBER(O267),ISNUMBER(Q267),ISNUMBER(I267))),"시각 결측",IF(Q267&lt;=O267,"기준 시각 역전",IF(OR(I267&lt;O267,I267&gt;Q267),"측정시각 구간 밖","OK")))))</f>
        <v/>
      </c>
      <c r="O267" s="48">
        <f>IF(COUNTIFS($C:$C,$C267,$D:$D,$D267,$E:$E,"기준(전)",$M:$M,"&gt;0")&lt;&gt;1,"",SUMIFS($I:$I,$C:$C,$C267,$D:$D,$D267,$E:$E,"기준(전)"))</f>
        <v/>
      </c>
      <c r="P267" s="31">
        <f>IF(COUNTIFS($C:$C,$C267,$D:$D,$D267,$E:$E,"기준(전)",$M:$M,"&gt;0")&lt;&gt;1,"",SUMIFS($M:$M,$C:$C,$C267,$D:$D,$D267,$E:$E,"기준(전)"))</f>
        <v/>
      </c>
      <c r="Q267" s="48">
        <f>IF(COUNTIFS($C:$C,$C267,$D:$D,$D267,$E:$E,"기준(후)",$M:$M,"&gt;0")&lt;&gt;1,"",SUMIFS($I:$I,$C:$C,$C267,$D:$D,$D267,$E:$E,"기준(후)"))</f>
        <v/>
      </c>
      <c r="R267" s="31">
        <f>IF(COUNTIFS($C:$C,$C267,$D:$D,$D267,$E:$E,"기준(후)",$M:$M,"&gt;0")&lt;&gt;1,"",SUMIFS($M:$M,$C:$C,$C267,$D:$D,$D267,$E:$E,"기준(후)"))</f>
        <v/>
      </c>
      <c r="S267" s="31">
        <f>IF(N267&lt;&gt;"OK","",P267+(R267-P267)*(I267-O267)/(Q267-O267))</f>
        <v/>
      </c>
      <c r="T267" s="31">
        <f>IF(OR(N267&lt;&gt;"OK",NOT(ISNUMBER(M267))),"",M267-S267)</f>
        <v/>
      </c>
      <c r="U267" s="49">
        <f>IF(OR($E266&lt;&gt;"측정",$C266&lt;&gt;$C267,$D266&lt;&gt;$D267,NOT(ISNUMBER(M267)),NOT(ISNUMBER(M266)),(IF(ISNUMBER(G267),G267,F267)-IF(ISNUMBER(G266),G266,F266))=0),"",(M267-M266)/((IF(ISNUMBER(G267),G267,F267)-IF(ISNUMBER(G266),G266,F266))/100))</f>
        <v/>
      </c>
      <c r="V267" s="29" t="n"/>
      <c r="W267" s="29" t="n"/>
      <c r="X267" s="32" t="n"/>
    </row>
    <row r="268">
      <c r="A268" s="26" t="inlineStr">
        <is>
          <t>S22</t>
        </is>
      </c>
      <c r="B268" s="26" t="inlineStr">
        <is>
          <t>완도 신규점</t>
        </is>
      </c>
      <c r="C268" s="26" t="inlineStr">
        <is>
          <t>S22-V</t>
        </is>
      </c>
      <c r="D268" s="47" t="n">
        <v>1</v>
      </c>
      <c r="E268" s="26" t="inlineStr">
        <is>
          <t>측정</t>
        </is>
      </c>
      <c r="F268" s="47" t="n">
        <v>200</v>
      </c>
      <c r="G268" s="41" t="n"/>
      <c r="H268" s="29" t="n"/>
      <c r="I268" s="43" t="n"/>
      <c r="J268" s="41" t="n"/>
      <c r="K268" s="41" t="n"/>
      <c r="L268" s="41" t="n"/>
      <c r="M268" s="31">
        <f>IF(COUNT(J268:L268)=0,"",MEDIAN(J268:L268))</f>
        <v/>
      </c>
      <c r="N268" s="26">
        <f>IF(COUNTIFS($C:$C,$C268,$D:$D,$D268,$E:$E,"기준(전)",$M:$M,"&gt;0")&lt;&gt;1,"기준(전) 유효 1개 아님",IF(COUNTIFS($C:$C,$C268,$D:$D,$D268,$E:$E,"기준(후)",$M:$M,"&gt;0")&lt;&gt;1,"기준(후) 유효 1개 아님",IF(NOT(AND(ISNUMBER(O268),ISNUMBER(Q268),ISNUMBER(I268))),"시각 결측",IF(Q268&lt;=O268,"기준 시각 역전",IF(OR(I268&lt;O268,I268&gt;Q268),"측정시각 구간 밖","OK")))))</f>
        <v/>
      </c>
      <c r="O268" s="48">
        <f>IF(COUNTIFS($C:$C,$C268,$D:$D,$D268,$E:$E,"기준(전)",$M:$M,"&gt;0")&lt;&gt;1,"",SUMIFS($I:$I,$C:$C,$C268,$D:$D,$D268,$E:$E,"기준(전)"))</f>
        <v/>
      </c>
      <c r="P268" s="31">
        <f>IF(COUNTIFS($C:$C,$C268,$D:$D,$D268,$E:$E,"기준(전)",$M:$M,"&gt;0")&lt;&gt;1,"",SUMIFS($M:$M,$C:$C,$C268,$D:$D,$D268,$E:$E,"기준(전)"))</f>
        <v/>
      </c>
      <c r="Q268" s="48">
        <f>IF(COUNTIFS($C:$C,$C268,$D:$D,$D268,$E:$E,"기준(후)",$M:$M,"&gt;0")&lt;&gt;1,"",SUMIFS($I:$I,$C:$C,$C268,$D:$D,$D268,$E:$E,"기준(후)"))</f>
        <v/>
      </c>
      <c r="R268" s="31">
        <f>IF(COUNTIFS($C:$C,$C268,$D:$D,$D268,$E:$E,"기준(후)",$M:$M,"&gt;0")&lt;&gt;1,"",SUMIFS($M:$M,$C:$C,$C268,$D:$D,$D268,$E:$E,"기준(후)"))</f>
        <v/>
      </c>
      <c r="S268" s="31">
        <f>IF(N268&lt;&gt;"OK","",P268+(R268-P268)*(I268-O268)/(Q268-O268))</f>
        <v/>
      </c>
      <c r="T268" s="31">
        <f>IF(OR(N268&lt;&gt;"OK",NOT(ISNUMBER(M268))),"",M268-S268)</f>
        <v/>
      </c>
      <c r="U268" s="49">
        <f>IF(OR($E267&lt;&gt;"측정",$C267&lt;&gt;$C268,$D267&lt;&gt;$D268,NOT(ISNUMBER(M268)),NOT(ISNUMBER(M267)),(IF(ISNUMBER(G268),G268,F268)-IF(ISNUMBER(G267),G267,F267))=0),"",(M268-M267)/((IF(ISNUMBER(G268),G268,F268)-IF(ISNUMBER(G267),G267,F267))/100))</f>
        <v/>
      </c>
      <c r="V268" s="29" t="n"/>
      <c r="W268" s="29" t="n"/>
      <c r="X268" s="32" t="n"/>
    </row>
    <row r="269">
      <c r="A269" s="44" t="inlineStr">
        <is>
          <t>S22</t>
        </is>
      </c>
      <c r="B269" s="44" t="inlineStr">
        <is>
          <t>완도 신규점</t>
        </is>
      </c>
      <c r="C269" s="44" t="inlineStr">
        <is>
          <t>S22-V</t>
        </is>
      </c>
      <c r="D269" s="45" t="n">
        <v>1</v>
      </c>
      <c r="E269" s="44" t="inlineStr">
        <is>
          <t>기준(후)</t>
        </is>
      </c>
      <c r="F269" s="45" t="n"/>
      <c r="G269" s="41" t="n"/>
      <c r="H269" s="29" t="n"/>
      <c r="I269" s="43" t="n"/>
      <c r="J269" s="41" t="n"/>
      <c r="K269" s="41" t="n"/>
      <c r="L269" s="41" t="n"/>
      <c r="M269" s="31">
        <f>IF(COUNT(J269:L269)=0,"",MEDIAN(J269:L269))</f>
        <v/>
      </c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29" t="n"/>
      <c r="W269" s="29" t="n"/>
      <c r="X269" s="32" t="n"/>
    </row>
    <row r="270">
      <c r="A270" s="44" t="inlineStr">
        <is>
          <t>S23</t>
        </is>
      </c>
      <c r="B270" s="44" t="inlineStr">
        <is>
          <t>덕산 신규점1</t>
        </is>
      </c>
      <c r="C270" s="44" t="inlineStr">
        <is>
          <t>S23-V</t>
        </is>
      </c>
      <c r="D270" s="45" t="n">
        <v>1</v>
      </c>
      <c r="E270" s="44" t="inlineStr">
        <is>
          <t>기준(전)</t>
        </is>
      </c>
      <c r="F270" s="45" t="n"/>
      <c r="G270" s="41" t="n"/>
      <c r="H270" s="29" t="n"/>
      <c r="I270" s="43" t="n"/>
      <c r="J270" s="41" t="n"/>
      <c r="K270" s="41" t="n"/>
      <c r="L270" s="41" t="n"/>
      <c r="M270" s="31">
        <f>IF(COUNT(J270:L270)=0,"",MEDIAN(J270:L270))</f>
        <v/>
      </c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29" t="n"/>
      <c r="W270" s="29" t="n"/>
      <c r="X270" s="32" t="n"/>
    </row>
    <row r="271">
      <c r="A271" s="26" t="inlineStr">
        <is>
          <t>S23</t>
        </is>
      </c>
      <c r="B271" s="26" t="inlineStr">
        <is>
          <t>덕산 신규점1</t>
        </is>
      </c>
      <c r="C271" s="26" t="inlineStr">
        <is>
          <t>S23-V</t>
        </is>
      </c>
      <c r="D271" s="47" t="n">
        <v>1</v>
      </c>
      <c r="E271" s="26" t="inlineStr">
        <is>
          <t>측정</t>
        </is>
      </c>
      <c r="F271" s="47" t="n">
        <v>20</v>
      </c>
      <c r="G271" s="41" t="n"/>
      <c r="H271" s="29" t="n"/>
      <c r="I271" s="43" t="n"/>
      <c r="J271" s="41" t="n"/>
      <c r="K271" s="41" t="n"/>
      <c r="L271" s="41" t="n"/>
      <c r="M271" s="31">
        <f>IF(COUNT(J271:L271)=0,"",MEDIAN(J271:L271))</f>
        <v/>
      </c>
      <c r="N271" s="26">
        <f>IF(COUNTIFS($C:$C,$C271,$D:$D,$D271,$E:$E,"기준(전)",$M:$M,"&gt;0")&lt;&gt;1,"기준(전) 유효 1개 아님",IF(COUNTIFS($C:$C,$C271,$D:$D,$D271,$E:$E,"기준(후)",$M:$M,"&gt;0")&lt;&gt;1,"기준(후) 유효 1개 아님",IF(NOT(AND(ISNUMBER(O271),ISNUMBER(Q271),ISNUMBER(I271))),"시각 결측",IF(Q271&lt;=O271,"기준 시각 역전",IF(OR(I271&lt;O271,I271&gt;Q271),"측정시각 구간 밖","OK")))))</f>
        <v/>
      </c>
      <c r="O271" s="48">
        <f>IF(COUNTIFS($C:$C,$C271,$D:$D,$D271,$E:$E,"기준(전)",$M:$M,"&gt;0")&lt;&gt;1,"",SUMIFS($I:$I,$C:$C,$C271,$D:$D,$D271,$E:$E,"기준(전)"))</f>
        <v/>
      </c>
      <c r="P271" s="31">
        <f>IF(COUNTIFS($C:$C,$C271,$D:$D,$D271,$E:$E,"기준(전)",$M:$M,"&gt;0")&lt;&gt;1,"",SUMIFS($M:$M,$C:$C,$C271,$D:$D,$D271,$E:$E,"기준(전)"))</f>
        <v/>
      </c>
      <c r="Q271" s="48">
        <f>IF(COUNTIFS($C:$C,$C271,$D:$D,$D271,$E:$E,"기준(후)",$M:$M,"&gt;0")&lt;&gt;1,"",SUMIFS($I:$I,$C:$C,$C271,$D:$D,$D271,$E:$E,"기준(후)"))</f>
        <v/>
      </c>
      <c r="R271" s="31">
        <f>IF(COUNTIFS($C:$C,$C271,$D:$D,$D271,$E:$E,"기준(후)",$M:$M,"&gt;0")&lt;&gt;1,"",SUMIFS($M:$M,$C:$C,$C271,$D:$D,$D271,$E:$E,"기준(후)"))</f>
        <v/>
      </c>
      <c r="S271" s="31">
        <f>IF(N271&lt;&gt;"OK","",P271+(R271-P271)*(I271-O271)/(Q271-O271))</f>
        <v/>
      </c>
      <c r="T271" s="31">
        <f>IF(OR(N271&lt;&gt;"OK",NOT(ISNUMBER(M271))),"",M271-S271)</f>
        <v/>
      </c>
      <c r="U271" s="49">
        <f>IF(OR($E270&lt;&gt;"측정",$C270&lt;&gt;$C271,$D270&lt;&gt;$D271,NOT(ISNUMBER(M271)),NOT(ISNUMBER(M270)),(IF(ISNUMBER(G271),G271,F271)-IF(ISNUMBER(G270),G270,F270))=0),"",(M271-M270)/((IF(ISNUMBER(G271),G271,F271)-IF(ISNUMBER(G270),G270,F270))/100))</f>
        <v/>
      </c>
      <c r="V271" s="29" t="n"/>
      <c r="W271" s="29" t="n"/>
      <c r="X271" s="32" t="n"/>
    </row>
    <row r="272">
      <c r="A272" s="26" t="inlineStr">
        <is>
          <t>S23</t>
        </is>
      </c>
      <c r="B272" s="26" t="inlineStr">
        <is>
          <t>덕산 신규점1</t>
        </is>
      </c>
      <c r="C272" s="26" t="inlineStr">
        <is>
          <t>S23-V</t>
        </is>
      </c>
      <c r="D272" s="47" t="n">
        <v>1</v>
      </c>
      <c r="E272" s="26" t="inlineStr">
        <is>
          <t>측정</t>
        </is>
      </c>
      <c r="F272" s="47" t="n">
        <v>40</v>
      </c>
      <c r="G272" s="41" t="n"/>
      <c r="H272" s="29" t="n"/>
      <c r="I272" s="43" t="n"/>
      <c r="J272" s="41" t="n"/>
      <c r="K272" s="41" t="n"/>
      <c r="L272" s="41" t="n"/>
      <c r="M272" s="31">
        <f>IF(COUNT(J272:L272)=0,"",MEDIAN(J272:L272))</f>
        <v/>
      </c>
      <c r="N272" s="26">
        <f>IF(COUNTIFS($C:$C,$C272,$D:$D,$D272,$E:$E,"기준(전)",$M:$M,"&gt;0")&lt;&gt;1,"기준(전) 유효 1개 아님",IF(COUNTIFS($C:$C,$C272,$D:$D,$D272,$E:$E,"기준(후)",$M:$M,"&gt;0")&lt;&gt;1,"기준(후) 유효 1개 아님",IF(NOT(AND(ISNUMBER(O272),ISNUMBER(Q272),ISNUMBER(I272))),"시각 결측",IF(Q272&lt;=O272,"기준 시각 역전",IF(OR(I272&lt;O272,I272&gt;Q272),"측정시각 구간 밖","OK")))))</f>
        <v/>
      </c>
      <c r="O272" s="48">
        <f>IF(COUNTIFS($C:$C,$C272,$D:$D,$D272,$E:$E,"기준(전)",$M:$M,"&gt;0")&lt;&gt;1,"",SUMIFS($I:$I,$C:$C,$C272,$D:$D,$D272,$E:$E,"기준(전)"))</f>
        <v/>
      </c>
      <c r="P272" s="31">
        <f>IF(COUNTIFS($C:$C,$C272,$D:$D,$D272,$E:$E,"기준(전)",$M:$M,"&gt;0")&lt;&gt;1,"",SUMIFS($M:$M,$C:$C,$C272,$D:$D,$D272,$E:$E,"기준(전)"))</f>
        <v/>
      </c>
      <c r="Q272" s="48">
        <f>IF(COUNTIFS($C:$C,$C272,$D:$D,$D272,$E:$E,"기준(후)",$M:$M,"&gt;0")&lt;&gt;1,"",SUMIFS($I:$I,$C:$C,$C272,$D:$D,$D272,$E:$E,"기준(후)"))</f>
        <v/>
      </c>
      <c r="R272" s="31">
        <f>IF(COUNTIFS($C:$C,$C272,$D:$D,$D272,$E:$E,"기준(후)",$M:$M,"&gt;0")&lt;&gt;1,"",SUMIFS($M:$M,$C:$C,$C272,$D:$D,$D272,$E:$E,"기준(후)"))</f>
        <v/>
      </c>
      <c r="S272" s="31">
        <f>IF(N272&lt;&gt;"OK","",P272+(R272-P272)*(I272-O272)/(Q272-O272))</f>
        <v/>
      </c>
      <c r="T272" s="31">
        <f>IF(OR(N272&lt;&gt;"OK",NOT(ISNUMBER(M272))),"",M272-S272)</f>
        <v/>
      </c>
      <c r="U272" s="49">
        <f>IF(OR($E271&lt;&gt;"측정",$C271&lt;&gt;$C272,$D271&lt;&gt;$D272,NOT(ISNUMBER(M272)),NOT(ISNUMBER(M271)),(IF(ISNUMBER(G272),G272,F272)-IF(ISNUMBER(G271),G271,F271))=0),"",(M272-M271)/((IF(ISNUMBER(G272),G272,F272)-IF(ISNUMBER(G271),G271,F271))/100))</f>
        <v/>
      </c>
      <c r="V272" s="29" t="n"/>
      <c r="W272" s="29" t="n"/>
      <c r="X272" s="32" t="n"/>
    </row>
    <row r="273">
      <c r="A273" s="26" t="inlineStr">
        <is>
          <t>S23</t>
        </is>
      </c>
      <c r="B273" s="26" t="inlineStr">
        <is>
          <t>덕산 신규점1</t>
        </is>
      </c>
      <c r="C273" s="26" t="inlineStr">
        <is>
          <t>S23-V</t>
        </is>
      </c>
      <c r="D273" s="47" t="n">
        <v>1</v>
      </c>
      <c r="E273" s="26" t="inlineStr">
        <is>
          <t>측정</t>
        </is>
      </c>
      <c r="F273" s="47" t="n">
        <v>60</v>
      </c>
      <c r="G273" s="41" t="n"/>
      <c r="H273" s="29" t="n"/>
      <c r="I273" s="43" t="n"/>
      <c r="J273" s="41" t="n"/>
      <c r="K273" s="41" t="n"/>
      <c r="L273" s="41" t="n"/>
      <c r="M273" s="31">
        <f>IF(COUNT(J273:L273)=0,"",MEDIAN(J273:L273))</f>
        <v/>
      </c>
      <c r="N273" s="26">
        <f>IF(COUNTIFS($C:$C,$C273,$D:$D,$D273,$E:$E,"기준(전)",$M:$M,"&gt;0")&lt;&gt;1,"기준(전) 유효 1개 아님",IF(COUNTIFS($C:$C,$C273,$D:$D,$D273,$E:$E,"기준(후)",$M:$M,"&gt;0")&lt;&gt;1,"기준(후) 유효 1개 아님",IF(NOT(AND(ISNUMBER(O273),ISNUMBER(Q273),ISNUMBER(I273))),"시각 결측",IF(Q273&lt;=O273,"기준 시각 역전",IF(OR(I273&lt;O273,I273&gt;Q273),"측정시각 구간 밖","OK")))))</f>
        <v/>
      </c>
      <c r="O273" s="48">
        <f>IF(COUNTIFS($C:$C,$C273,$D:$D,$D273,$E:$E,"기준(전)",$M:$M,"&gt;0")&lt;&gt;1,"",SUMIFS($I:$I,$C:$C,$C273,$D:$D,$D273,$E:$E,"기준(전)"))</f>
        <v/>
      </c>
      <c r="P273" s="31">
        <f>IF(COUNTIFS($C:$C,$C273,$D:$D,$D273,$E:$E,"기준(전)",$M:$M,"&gt;0")&lt;&gt;1,"",SUMIFS($M:$M,$C:$C,$C273,$D:$D,$D273,$E:$E,"기준(전)"))</f>
        <v/>
      </c>
      <c r="Q273" s="48">
        <f>IF(COUNTIFS($C:$C,$C273,$D:$D,$D273,$E:$E,"기준(후)",$M:$M,"&gt;0")&lt;&gt;1,"",SUMIFS($I:$I,$C:$C,$C273,$D:$D,$D273,$E:$E,"기준(후)"))</f>
        <v/>
      </c>
      <c r="R273" s="31">
        <f>IF(COUNTIFS($C:$C,$C273,$D:$D,$D273,$E:$E,"기준(후)",$M:$M,"&gt;0")&lt;&gt;1,"",SUMIFS($M:$M,$C:$C,$C273,$D:$D,$D273,$E:$E,"기준(후)"))</f>
        <v/>
      </c>
      <c r="S273" s="31">
        <f>IF(N273&lt;&gt;"OK","",P273+(R273-P273)*(I273-O273)/(Q273-O273))</f>
        <v/>
      </c>
      <c r="T273" s="31">
        <f>IF(OR(N273&lt;&gt;"OK",NOT(ISNUMBER(M273))),"",M273-S273)</f>
        <v/>
      </c>
      <c r="U273" s="49">
        <f>IF(OR($E272&lt;&gt;"측정",$C272&lt;&gt;$C273,$D272&lt;&gt;$D273,NOT(ISNUMBER(M273)),NOT(ISNUMBER(M272)),(IF(ISNUMBER(G273),G273,F273)-IF(ISNUMBER(G272),G272,F272))=0),"",(M273-M272)/((IF(ISNUMBER(G273),G273,F273)-IF(ISNUMBER(G272),G272,F272))/100))</f>
        <v/>
      </c>
      <c r="V273" s="29" t="n"/>
      <c r="W273" s="29" t="n"/>
      <c r="X273" s="32" t="n"/>
    </row>
    <row r="274">
      <c r="A274" s="26" t="inlineStr">
        <is>
          <t>S23</t>
        </is>
      </c>
      <c r="B274" s="26" t="inlineStr">
        <is>
          <t>덕산 신규점1</t>
        </is>
      </c>
      <c r="C274" s="26" t="inlineStr">
        <is>
          <t>S23-V</t>
        </is>
      </c>
      <c r="D274" s="47" t="n">
        <v>1</v>
      </c>
      <c r="E274" s="26" t="inlineStr">
        <is>
          <t>측정</t>
        </is>
      </c>
      <c r="F274" s="47" t="n">
        <v>80</v>
      </c>
      <c r="G274" s="41" t="n"/>
      <c r="H274" s="29" t="n"/>
      <c r="I274" s="43" t="n"/>
      <c r="J274" s="41" t="n"/>
      <c r="K274" s="41" t="n"/>
      <c r="L274" s="41" t="n"/>
      <c r="M274" s="31">
        <f>IF(COUNT(J274:L274)=0,"",MEDIAN(J274:L274))</f>
        <v/>
      </c>
      <c r="N274" s="26">
        <f>IF(COUNTIFS($C:$C,$C274,$D:$D,$D274,$E:$E,"기준(전)",$M:$M,"&gt;0")&lt;&gt;1,"기준(전) 유효 1개 아님",IF(COUNTIFS($C:$C,$C274,$D:$D,$D274,$E:$E,"기준(후)",$M:$M,"&gt;0")&lt;&gt;1,"기준(후) 유효 1개 아님",IF(NOT(AND(ISNUMBER(O274),ISNUMBER(Q274),ISNUMBER(I274))),"시각 결측",IF(Q274&lt;=O274,"기준 시각 역전",IF(OR(I274&lt;O274,I274&gt;Q274),"측정시각 구간 밖","OK")))))</f>
        <v/>
      </c>
      <c r="O274" s="48">
        <f>IF(COUNTIFS($C:$C,$C274,$D:$D,$D274,$E:$E,"기준(전)",$M:$M,"&gt;0")&lt;&gt;1,"",SUMIFS($I:$I,$C:$C,$C274,$D:$D,$D274,$E:$E,"기준(전)"))</f>
        <v/>
      </c>
      <c r="P274" s="31">
        <f>IF(COUNTIFS($C:$C,$C274,$D:$D,$D274,$E:$E,"기준(전)",$M:$M,"&gt;0")&lt;&gt;1,"",SUMIFS($M:$M,$C:$C,$C274,$D:$D,$D274,$E:$E,"기준(전)"))</f>
        <v/>
      </c>
      <c r="Q274" s="48">
        <f>IF(COUNTIFS($C:$C,$C274,$D:$D,$D274,$E:$E,"기준(후)",$M:$M,"&gt;0")&lt;&gt;1,"",SUMIFS($I:$I,$C:$C,$C274,$D:$D,$D274,$E:$E,"기준(후)"))</f>
        <v/>
      </c>
      <c r="R274" s="31">
        <f>IF(COUNTIFS($C:$C,$C274,$D:$D,$D274,$E:$E,"기준(후)",$M:$M,"&gt;0")&lt;&gt;1,"",SUMIFS($M:$M,$C:$C,$C274,$D:$D,$D274,$E:$E,"기준(후)"))</f>
        <v/>
      </c>
      <c r="S274" s="31">
        <f>IF(N274&lt;&gt;"OK","",P274+(R274-P274)*(I274-O274)/(Q274-O274))</f>
        <v/>
      </c>
      <c r="T274" s="31">
        <f>IF(OR(N274&lt;&gt;"OK",NOT(ISNUMBER(M274))),"",M274-S274)</f>
        <v/>
      </c>
      <c r="U274" s="49">
        <f>IF(OR($E273&lt;&gt;"측정",$C273&lt;&gt;$C274,$D273&lt;&gt;$D274,NOT(ISNUMBER(M274)),NOT(ISNUMBER(M273)),(IF(ISNUMBER(G274),G274,F274)-IF(ISNUMBER(G273),G273,F273))=0),"",(M274-M273)/((IF(ISNUMBER(G274),G274,F274)-IF(ISNUMBER(G273),G273,F273))/100))</f>
        <v/>
      </c>
      <c r="V274" s="29" t="n"/>
      <c r="W274" s="29" t="n"/>
      <c r="X274" s="32" t="n"/>
    </row>
    <row r="275">
      <c r="A275" s="26" t="inlineStr">
        <is>
          <t>S23</t>
        </is>
      </c>
      <c r="B275" s="26" t="inlineStr">
        <is>
          <t>덕산 신규점1</t>
        </is>
      </c>
      <c r="C275" s="26" t="inlineStr">
        <is>
          <t>S23-V</t>
        </is>
      </c>
      <c r="D275" s="47" t="n">
        <v>1</v>
      </c>
      <c r="E275" s="26" t="inlineStr">
        <is>
          <t>측정</t>
        </is>
      </c>
      <c r="F275" s="47" t="n">
        <v>100</v>
      </c>
      <c r="G275" s="41" t="n"/>
      <c r="H275" s="29" t="n"/>
      <c r="I275" s="43" t="n"/>
      <c r="J275" s="41" t="n"/>
      <c r="K275" s="41" t="n"/>
      <c r="L275" s="41" t="n"/>
      <c r="M275" s="31">
        <f>IF(COUNT(J275:L275)=0,"",MEDIAN(J275:L275))</f>
        <v/>
      </c>
      <c r="N275" s="26">
        <f>IF(COUNTIFS($C:$C,$C275,$D:$D,$D275,$E:$E,"기준(전)",$M:$M,"&gt;0")&lt;&gt;1,"기준(전) 유효 1개 아님",IF(COUNTIFS($C:$C,$C275,$D:$D,$D275,$E:$E,"기준(후)",$M:$M,"&gt;0")&lt;&gt;1,"기준(후) 유효 1개 아님",IF(NOT(AND(ISNUMBER(O275),ISNUMBER(Q275),ISNUMBER(I275))),"시각 결측",IF(Q275&lt;=O275,"기준 시각 역전",IF(OR(I275&lt;O275,I275&gt;Q275),"측정시각 구간 밖","OK")))))</f>
        <v/>
      </c>
      <c r="O275" s="48">
        <f>IF(COUNTIFS($C:$C,$C275,$D:$D,$D275,$E:$E,"기준(전)",$M:$M,"&gt;0")&lt;&gt;1,"",SUMIFS($I:$I,$C:$C,$C275,$D:$D,$D275,$E:$E,"기준(전)"))</f>
        <v/>
      </c>
      <c r="P275" s="31">
        <f>IF(COUNTIFS($C:$C,$C275,$D:$D,$D275,$E:$E,"기준(전)",$M:$M,"&gt;0")&lt;&gt;1,"",SUMIFS($M:$M,$C:$C,$C275,$D:$D,$D275,$E:$E,"기준(전)"))</f>
        <v/>
      </c>
      <c r="Q275" s="48">
        <f>IF(COUNTIFS($C:$C,$C275,$D:$D,$D275,$E:$E,"기준(후)",$M:$M,"&gt;0")&lt;&gt;1,"",SUMIFS($I:$I,$C:$C,$C275,$D:$D,$D275,$E:$E,"기준(후)"))</f>
        <v/>
      </c>
      <c r="R275" s="31">
        <f>IF(COUNTIFS($C:$C,$C275,$D:$D,$D275,$E:$E,"기준(후)",$M:$M,"&gt;0")&lt;&gt;1,"",SUMIFS($M:$M,$C:$C,$C275,$D:$D,$D275,$E:$E,"기준(후)"))</f>
        <v/>
      </c>
      <c r="S275" s="31">
        <f>IF(N275&lt;&gt;"OK","",P275+(R275-P275)*(I275-O275)/(Q275-O275))</f>
        <v/>
      </c>
      <c r="T275" s="31">
        <f>IF(OR(N275&lt;&gt;"OK",NOT(ISNUMBER(M275))),"",M275-S275)</f>
        <v/>
      </c>
      <c r="U275" s="49">
        <f>IF(OR($E274&lt;&gt;"측정",$C274&lt;&gt;$C275,$D274&lt;&gt;$D275,NOT(ISNUMBER(M275)),NOT(ISNUMBER(M274)),(IF(ISNUMBER(G275),G275,F275)-IF(ISNUMBER(G274),G274,F274))=0),"",(M275-M274)/((IF(ISNUMBER(G275),G275,F275)-IF(ISNUMBER(G274),G274,F274))/100))</f>
        <v/>
      </c>
      <c r="V275" s="29" t="n"/>
      <c r="W275" s="29" t="n"/>
      <c r="X275" s="32" t="n"/>
    </row>
    <row r="276">
      <c r="A276" s="26" t="inlineStr">
        <is>
          <t>S23</t>
        </is>
      </c>
      <c r="B276" s="26" t="inlineStr">
        <is>
          <t>덕산 신규점1</t>
        </is>
      </c>
      <c r="C276" s="26" t="inlineStr">
        <is>
          <t>S23-V</t>
        </is>
      </c>
      <c r="D276" s="47" t="n">
        <v>1</v>
      </c>
      <c r="E276" s="26" t="inlineStr">
        <is>
          <t>측정</t>
        </is>
      </c>
      <c r="F276" s="47" t="n">
        <v>120</v>
      </c>
      <c r="G276" s="41" t="n"/>
      <c r="H276" s="29" t="n"/>
      <c r="I276" s="43" t="n"/>
      <c r="J276" s="41" t="n"/>
      <c r="K276" s="41" t="n"/>
      <c r="L276" s="41" t="n"/>
      <c r="M276" s="31">
        <f>IF(COUNT(J276:L276)=0,"",MEDIAN(J276:L276))</f>
        <v/>
      </c>
      <c r="N276" s="26">
        <f>IF(COUNTIFS($C:$C,$C276,$D:$D,$D276,$E:$E,"기준(전)",$M:$M,"&gt;0")&lt;&gt;1,"기준(전) 유효 1개 아님",IF(COUNTIFS($C:$C,$C276,$D:$D,$D276,$E:$E,"기준(후)",$M:$M,"&gt;0")&lt;&gt;1,"기준(후) 유효 1개 아님",IF(NOT(AND(ISNUMBER(O276),ISNUMBER(Q276),ISNUMBER(I276))),"시각 결측",IF(Q276&lt;=O276,"기준 시각 역전",IF(OR(I276&lt;O276,I276&gt;Q276),"측정시각 구간 밖","OK")))))</f>
        <v/>
      </c>
      <c r="O276" s="48">
        <f>IF(COUNTIFS($C:$C,$C276,$D:$D,$D276,$E:$E,"기준(전)",$M:$M,"&gt;0")&lt;&gt;1,"",SUMIFS($I:$I,$C:$C,$C276,$D:$D,$D276,$E:$E,"기준(전)"))</f>
        <v/>
      </c>
      <c r="P276" s="31">
        <f>IF(COUNTIFS($C:$C,$C276,$D:$D,$D276,$E:$E,"기준(전)",$M:$M,"&gt;0")&lt;&gt;1,"",SUMIFS($M:$M,$C:$C,$C276,$D:$D,$D276,$E:$E,"기준(전)"))</f>
        <v/>
      </c>
      <c r="Q276" s="48">
        <f>IF(COUNTIFS($C:$C,$C276,$D:$D,$D276,$E:$E,"기준(후)",$M:$M,"&gt;0")&lt;&gt;1,"",SUMIFS($I:$I,$C:$C,$C276,$D:$D,$D276,$E:$E,"기준(후)"))</f>
        <v/>
      </c>
      <c r="R276" s="31">
        <f>IF(COUNTIFS($C:$C,$C276,$D:$D,$D276,$E:$E,"기준(후)",$M:$M,"&gt;0")&lt;&gt;1,"",SUMIFS($M:$M,$C:$C,$C276,$D:$D,$D276,$E:$E,"기준(후)"))</f>
        <v/>
      </c>
      <c r="S276" s="31">
        <f>IF(N276&lt;&gt;"OK","",P276+(R276-P276)*(I276-O276)/(Q276-O276))</f>
        <v/>
      </c>
      <c r="T276" s="31">
        <f>IF(OR(N276&lt;&gt;"OK",NOT(ISNUMBER(M276))),"",M276-S276)</f>
        <v/>
      </c>
      <c r="U276" s="49">
        <f>IF(OR($E275&lt;&gt;"측정",$C275&lt;&gt;$C276,$D275&lt;&gt;$D276,NOT(ISNUMBER(M276)),NOT(ISNUMBER(M275)),(IF(ISNUMBER(G276),G276,F276)-IF(ISNUMBER(G275),G275,F275))=0),"",(M276-M275)/((IF(ISNUMBER(G276),G276,F276)-IF(ISNUMBER(G275),G275,F275))/100))</f>
        <v/>
      </c>
      <c r="V276" s="29" t="n"/>
      <c r="W276" s="29" t="n"/>
      <c r="X276" s="32" t="n"/>
    </row>
    <row r="277">
      <c r="A277" s="26" t="inlineStr">
        <is>
          <t>S23</t>
        </is>
      </c>
      <c r="B277" s="26" t="inlineStr">
        <is>
          <t>덕산 신규점1</t>
        </is>
      </c>
      <c r="C277" s="26" t="inlineStr">
        <is>
          <t>S23-V</t>
        </is>
      </c>
      <c r="D277" s="47" t="n">
        <v>1</v>
      </c>
      <c r="E277" s="26" t="inlineStr">
        <is>
          <t>측정</t>
        </is>
      </c>
      <c r="F277" s="47" t="n">
        <v>140</v>
      </c>
      <c r="G277" s="41" t="n"/>
      <c r="H277" s="29" t="n"/>
      <c r="I277" s="43" t="n"/>
      <c r="J277" s="41" t="n"/>
      <c r="K277" s="41" t="n"/>
      <c r="L277" s="41" t="n"/>
      <c r="M277" s="31">
        <f>IF(COUNT(J277:L277)=0,"",MEDIAN(J277:L277))</f>
        <v/>
      </c>
      <c r="N277" s="26">
        <f>IF(COUNTIFS($C:$C,$C277,$D:$D,$D277,$E:$E,"기준(전)",$M:$M,"&gt;0")&lt;&gt;1,"기준(전) 유효 1개 아님",IF(COUNTIFS($C:$C,$C277,$D:$D,$D277,$E:$E,"기준(후)",$M:$M,"&gt;0")&lt;&gt;1,"기준(후) 유효 1개 아님",IF(NOT(AND(ISNUMBER(O277),ISNUMBER(Q277),ISNUMBER(I277))),"시각 결측",IF(Q277&lt;=O277,"기준 시각 역전",IF(OR(I277&lt;O277,I277&gt;Q277),"측정시각 구간 밖","OK")))))</f>
        <v/>
      </c>
      <c r="O277" s="48">
        <f>IF(COUNTIFS($C:$C,$C277,$D:$D,$D277,$E:$E,"기준(전)",$M:$M,"&gt;0")&lt;&gt;1,"",SUMIFS($I:$I,$C:$C,$C277,$D:$D,$D277,$E:$E,"기준(전)"))</f>
        <v/>
      </c>
      <c r="P277" s="31">
        <f>IF(COUNTIFS($C:$C,$C277,$D:$D,$D277,$E:$E,"기준(전)",$M:$M,"&gt;0")&lt;&gt;1,"",SUMIFS($M:$M,$C:$C,$C277,$D:$D,$D277,$E:$E,"기준(전)"))</f>
        <v/>
      </c>
      <c r="Q277" s="48">
        <f>IF(COUNTIFS($C:$C,$C277,$D:$D,$D277,$E:$E,"기준(후)",$M:$M,"&gt;0")&lt;&gt;1,"",SUMIFS($I:$I,$C:$C,$C277,$D:$D,$D277,$E:$E,"기준(후)"))</f>
        <v/>
      </c>
      <c r="R277" s="31">
        <f>IF(COUNTIFS($C:$C,$C277,$D:$D,$D277,$E:$E,"기준(후)",$M:$M,"&gt;0")&lt;&gt;1,"",SUMIFS($M:$M,$C:$C,$C277,$D:$D,$D277,$E:$E,"기준(후)"))</f>
        <v/>
      </c>
      <c r="S277" s="31">
        <f>IF(N277&lt;&gt;"OK","",P277+(R277-P277)*(I277-O277)/(Q277-O277))</f>
        <v/>
      </c>
      <c r="T277" s="31">
        <f>IF(OR(N277&lt;&gt;"OK",NOT(ISNUMBER(M277))),"",M277-S277)</f>
        <v/>
      </c>
      <c r="U277" s="49">
        <f>IF(OR($E276&lt;&gt;"측정",$C276&lt;&gt;$C277,$D276&lt;&gt;$D277,NOT(ISNUMBER(M277)),NOT(ISNUMBER(M276)),(IF(ISNUMBER(G277),G277,F277)-IF(ISNUMBER(G276),G276,F276))=0),"",(M277-M276)/((IF(ISNUMBER(G277),G277,F277)-IF(ISNUMBER(G276),G276,F276))/100))</f>
        <v/>
      </c>
      <c r="V277" s="29" t="n"/>
      <c r="W277" s="29" t="n"/>
      <c r="X277" s="32" t="n"/>
    </row>
    <row r="278">
      <c r="A278" s="26" t="inlineStr">
        <is>
          <t>S23</t>
        </is>
      </c>
      <c r="B278" s="26" t="inlineStr">
        <is>
          <t>덕산 신규점1</t>
        </is>
      </c>
      <c r="C278" s="26" t="inlineStr">
        <is>
          <t>S23-V</t>
        </is>
      </c>
      <c r="D278" s="47" t="n">
        <v>1</v>
      </c>
      <c r="E278" s="26" t="inlineStr">
        <is>
          <t>측정</t>
        </is>
      </c>
      <c r="F278" s="47" t="n">
        <v>160</v>
      </c>
      <c r="G278" s="41" t="n"/>
      <c r="H278" s="29" t="n"/>
      <c r="I278" s="43" t="n"/>
      <c r="J278" s="41" t="n"/>
      <c r="K278" s="41" t="n"/>
      <c r="L278" s="41" t="n"/>
      <c r="M278" s="31">
        <f>IF(COUNT(J278:L278)=0,"",MEDIAN(J278:L278))</f>
        <v/>
      </c>
      <c r="N278" s="26">
        <f>IF(COUNTIFS($C:$C,$C278,$D:$D,$D278,$E:$E,"기준(전)",$M:$M,"&gt;0")&lt;&gt;1,"기준(전) 유효 1개 아님",IF(COUNTIFS($C:$C,$C278,$D:$D,$D278,$E:$E,"기준(후)",$M:$M,"&gt;0")&lt;&gt;1,"기준(후) 유효 1개 아님",IF(NOT(AND(ISNUMBER(O278),ISNUMBER(Q278),ISNUMBER(I278))),"시각 결측",IF(Q278&lt;=O278,"기준 시각 역전",IF(OR(I278&lt;O278,I278&gt;Q278),"측정시각 구간 밖","OK")))))</f>
        <v/>
      </c>
      <c r="O278" s="48">
        <f>IF(COUNTIFS($C:$C,$C278,$D:$D,$D278,$E:$E,"기준(전)",$M:$M,"&gt;0")&lt;&gt;1,"",SUMIFS($I:$I,$C:$C,$C278,$D:$D,$D278,$E:$E,"기준(전)"))</f>
        <v/>
      </c>
      <c r="P278" s="31">
        <f>IF(COUNTIFS($C:$C,$C278,$D:$D,$D278,$E:$E,"기준(전)",$M:$M,"&gt;0")&lt;&gt;1,"",SUMIFS($M:$M,$C:$C,$C278,$D:$D,$D278,$E:$E,"기준(전)"))</f>
        <v/>
      </c>
      <c r="Q278" s="48">
        <f>IF(COUNTIFS($C:$C,$C278,$D:$D,$D278,$E:$E,"기준(후)",$M:$M,"&gt;0")&lt;&gt;1,"",SUMIFS($I:$I,$C:$C,$C278,$D:$D,$D278,$E:$E,"기준(후)"))</f>
        <v/>
      </c>
      <c r="R278" s="31">
        <f>IF(COUNTIFS($C:$C,$C278,$D:$D,$D278,$E:$E,"기준(후)",$M:$M,"&gt;0")&lt;&gt;1,"",SUMIFS($M:$M,$C:$C,$C278,$D:$D,$D278,$E:$E,"기준(후)"))</f>
        <v/>
      </c>
      <c r="S278" s="31">
        <f>IF(N278&lt;&gt;"OK","",P278+(R278-P278)*(I278-O278)/(Q278-O278))</f>
        <v/>
      </c>
      <c r="T278" s="31">
        <f>IF(OR(N278&lt;&gt;"OK",NOT(ISNUMBER(M278))),"",M278-S278)</f>
        <v/>
      </c>
      <c r="U278" s="49">
        <f>IF(OR($E277&lt;&gt;"측정",$C277&lt;&gt;$C278,$D277&lt;&gt;$D278,NOT(ISNUMBER(M278)),NOT(ISNUMBER(M277)),(IF(ISNUMBER(G278),G278,F278)-IF(ISNUMBER(G277),G277,F277))=0),"",(M278-M277)/((IF(ISNUMBER(G278),G278,F278)-IF(ISNUMBER(G277),G277,F277))/100))</f>
        <v/>
      </c>
      <c r="V278" s="29" t="n"/>
      <c r="W278" s="29" t="n"/>
      <c r="X278" s="32" t="n"/>
    </row>
    <row r="279">
      <c r="A279" s="26" t="inlineStr">
        <is>
          <t>S23</t>
        </is>
      </c>
      <c r="B279" s="26" t="inlineStr">
        <is>
          <t>덕산 신규점1</t>
        </is>
      </c>
      <c r="C279" s="26" t="inlineStr">
        <is>
          <t>S23-V</t>
        </is>
      </c>
      <c r="D279" s="47" t="n">
        <v>1</v>
      </c>
      <c r="E279" s="26" t="inlineStr">
        <is>
          <t>측정</t>
        </is>
      </c>
      <c r="F279" s="47" t="n">
        <v>180</v>
      </c>
      <c r="G279" s="41" t="n"/>
      <c r="H279" s="29" t="n"/>
      <c r="I279" s="43" t="n"/>
      <c r="J279" s="41" t="n"/>
      <c r="K279" s="41" t="n"/>
      <c r="L279" s="41" t="n"/>
      <c r="M279" s="31">
        <f>IF(COUNT(J279:L279)=0,"",MEDIAN(J279:L279))</f>
        <v/>
      </c>
      <c r="N279" s="26">
        <f>IF(COUNTIFS($C:$C,$C279,$D:$D,$D279,$E:$E,"기준(전)",$M:$M,"&gt;0")&lt;&gt;1,"기준(전) 유효 1개 아님",IF(COUNTIFS($C:$C,$C279,$D:$D,$D279,$E:$E,"기준(후)",$M:$M,"&gt;0")&lt;&gt;1,"기준(후) 유효 1개 아님",IF(NOT(AND(ISNUMBER(O279),ISNUMBER(Q279),ISNUMBER(I279))),"시각 결측",IF(Q279&lt;=O279,"기준 시각 역전",IF(OR(I279&lt;O279,I279&gt;Q279),"측정시각 구간 밖","OK")))))</f>
        <v/>
      </c>
      <c r="O279" s="48">
        <f>IF(COUNTIFS($C:$C,$C279,$D:$D,$D279,$E:$E,"기준(전)",$M:$M,"&gt;0")&lt;&gt;1,"",SUMIFS($I:$I,$C:$C,$C279,$D:$D,$D279,$E:$E,"기준(전)"))</f>
        <v/>
      </c>
      <c r="P279" s="31">
        <f>IF(COUNTIFS($C:$C,$C279,$D:$D,$D279,$E:$E,"기준(전)",$M:$M,"&gt;0")&lt;&gt;1,"",SUMIFS($M:$M,$C:$C,$C279,$D:$D,$D279,$E:$E,"기준(전)"))</f>
        <v/>
      </c>
      <c r="Q279" s="48">
        <f>IF(COUNTIFS($C:$C,$C279,$D:$D,$D279,$E:$E,"기준(후)",$M:$M,"&gt;0")&lt;&gt;1,"",SUMIFS($I:$I,$C:$C,$C279,$D:$D,$D279,$E:$E,"기준(후)"))</f>
        <v/>
      </c>
      <c r="R279" s="31">
        <f>IF(COUNTIFS($C:$C,$C279,$D:$D,$D279,$E:$E,"기준(후)",$M:$M,"&gt;0")&lt;&gt;1,"",SUMIFS($M:$M,$C:$C,$C279,$D:$D,$D279,$E:$E,"기준(후)"))</f>
        <v/>
      </c>
      <c r="S279" s="31">
        <f>IF(N279&lt;&gt;"OK","",P279+(R279-P279)*(I279-O279)/(Q279-O279))</f>
        <v/>
      </c>
      <c r="T279" s="31">
        <f>IF(OR(N279&lt;&gt;"OK",NOT(ISNUMBER(M279))),"",M279-S279)</f>
        <v/>
      </c>
      <c r="U279" s="49">
        <f>IF(OR($E278&lt;&gt;"측정",$C278&lt;&gt;$C279,$D278&lt;&gt;$D279,NOT(ISNUMBER(M279)),NOT(ISNUMBER(M278)),(IF(ISNUMBER(G279),G279,F279)-IF(ISNUMBER(G278),G278,F278))=0),"",(M279-M278)/((IF(ISNUMBER(G279),G279,F279)-IF(ISNUMBER(G278),G278,F278))/100))</f>
        <v/>
      </c>
      <c r="V279" s="29" t="n"/>
      <c r="W279" s="29" t="n"/>
      <c r="X279" s="32" t="n"/>
    </row>
    <row r="280">
      <c r="A280" s="26" t="inlineStr">
        <is>
          <t>S23</t>
        </is>
      </c>
      <c r="B280" s="26" t="inlineStr">
        <is>
          <t>덕산 신규점1</t>
        </is>
      </c>
      <c r="C280" s="26" t="inlineStr">
        <is>
          <t>S23-V</t>
        </is>
      </c>
      <c r="D280" s="47" t="n">
        <v>1</v>
      </c>
      <c r="E280" s="26" t="inlineStr">
        <is>
          <t>측정</t>
        </is>
      </c>
      <c r="F280" s="47" t="n">
        <v>200</v>
      </c>
      <c r="G280" s="41" t="n"/>
      <c r="H280" s="29" t="n"/>
      <c r="I280" s="43" t="n"/>
      <c r="J280" s="41" t="n"/>
      <c r="K280" s="41" t="n"/>
      <c r="L280" s="41" t="n"/>
      <c r="M280" s="31">
        <f>IF(COUNT(J280:L280)=0,"",MEDIAN(J280:L280))</f>
        <v/>
      </c>
      <c r="N280" s="26">
        <f>IF(COUNTIFS($C:$C,$C280,$D:$D,$D280,$E:$E,"기준(전)",$M:$M,"&gt;0")&lt;&gt;1,"기준(전) 유효 1개 아님",IF(COUNTIFS($C:$C,$C280,$D:$D,$D280,$E:$E,"기준(후)",$M:$M,"&gt;0")&lt;&gt;1,"기준(후) 유효 1개 아님",IF(NOT(AND(ISNUMBER(O280),ISNUMBER(Q280),ISNUMBER(I280))),"시각 결측",IF(Q280&lt;=O280,"기준 시각 역전",IF(OR(I280&lt;O280,I280&gt;Q280),"측정시각 구간 밖","OK")))))</f>
        <v/>
      </c>
      <c r="O280" s="48">
        <f>IF(COUNTIFS($C:$C,$C280,$D:$D,$D280,$E:$E,"기준(전)",$M:$M,"&gt;0")&lt;&gt;1,"",SUMIFS($I:$I,$C:$C,$C280,$D:$D,$D280,$E:$E,"기준(전)"))</f>
        <v/>
      </c>
      <c r="P280" s="31">
        <f>IF(COUNTIFS($C:$C,$C280,$D:$D,$D280,$E:$E,"기준(전)",$M:$M,"&gt;0")&lt;&gt;1,"",SUMIFS($M:$M,$C:$C,$C280,$D:$D,$D280,$E:$E,"기준(전)"))</f>
        <v/>
      </c>
      <c r="Q280" s="48">
        <f>IF(COUNTIFS($C:$C,$C280,$D:$D,$D280,$E:$E,"기준(후)",$M:$M,"&gt;0")&lt;&gt;1,"",SUMIFS($I:$I,$C:$C,$C280,$D:$D,$D280,$E:$E,"기준(후)"))</f>
        <v/>
      </c>
      <c r="R280" s="31">
        <f>IF(COUNTIFS($C:$C,$C280,$D:$D,$D280,$E:$E,"기준(후)",$M:$M,"&gt;0")&lt;&gt;1,"",SUMIFS($M:$M,$C:$C,$C280,$D:$D,$D280,$E:$E,"기준(후)"))</f>
        <v/>
      </c>
      <c r="S280" s="31">
        <f>IF(N280&lt;&gt;"OK","",P280+(R280-P280)*(I280-O280)/(Q280-O280))</f>
        <v/>
      </c>
      <c r="T280" s="31">
        <f>IF(OR(N280&lt;&gt;"OK",NOT(ISNUMBER(M280))),"",M280-S280)</f>
        <v/>
      </c>
      <c r="U280" s="49">
        <f>IF(OR($E279&lt;&gt;"측정",$C279&lt;&gt;$C280,$D279&lt;&gt;$D280,NOT(ISNUMBER(M280)),NOT(ISNUMBER(M279)),(IF(ISNUMBER(G280),G280,F280)-IF(ISNUMBER(G279),G279,F279))=0),"",(M280-M279)/((IF(ISNUMBER(G280),G280,F280)-IF(ISNUMBER(G279),G279,F279))/100))</f>
        <v/>
      </c>
      <c r="V280" s="29" t="n"/>
      <c r="W280" s="29" t="n"/>
      <c r="X280" s="32" t="n"/>
    </row>
    <row r="281">
      <c r="A281" s="44" t="inlineStr">
        <is>
          <t>S23</t>
        </is>
      </c>
      <c r="B281" s="44" t="inlineStr">
        <is>
          <t>덕산 신규점1</t>
        </is>
      </c>
      <c r="C281" s="44" t="inlineStr">
        <is>
          <t>S23-V</t>
        </is>
      </c>
      <c r="D281" s="45" t="n">
        <v>1</v>
      </c>
      <c r="E281" s="44" t="inlineStr">
        <is>
          <t>기준(후)</t>
        </is>
      </c>
      <c r="F281" s="45" t="n"/>
      <c r="G281" s="41" t="n"/>
      <c r="H281" s="29" t="n"/>
      <c r="I281" s="43" t="n"/>
      <c r="J281" s="41" t="n"/>
      <c r="K281" s="41" t="n"/>
      <c r="L281" s="41" t="n"/>
      <c r="M281" s="31">
        <f>IF(COUNT(J281:L281)=0,"",MEDIAN(J281:L281))</f>
        <v/>
      </c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29" t="n"/>
      <c r="W281" s="29" t="n"/>
      <c r="X281" s="32" t="n"/>
    </row>
    <row r="282">
      <c r="A282" s="44" t="inlineStr">
        <is>
          <t>S24</t>
        </is>
      </c>
      <c r="B282" s="44" t="inlineStr">
        <is>
          <t>회천 신규점2</t>
        </is>
      </c>
      <c r="C282" s="44" t="inlineStr">
        <is>
          <t>S24-V</t>
        </is>
      </c>
      <c r="D282" s="45" t="n">
        <v>1</v>
      </c>
      <c r="E282" s="44" t="inlineStr">
        <is>
          <t>기준(전)</t>
        </is>
      </c>
      <c r="F282" s="45" t="n"/>
      <c r="G282" s="41" t="n"/>
      <c r="H282" s="29" t="n"/>
      <c r="I282" s="43" t="n"/>
      <c r="J282" s="41" t="n"/>
      <c r="K282" s="41" t="n"/>
      <c r="L282" s="41" t="n"/>
      <c r="M282" s="31">
        <f>IF(COUNT(J282:L282)=0,"",MEDIAN(J282:L282))</f>
        <v/>
      </c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29" t="n"/>
      <c r="W282" s="29" t="n"/>
      <c r="X282" s="32" t="n"/>
    </row>
    <row r="283">
      <c r="A283" s="26" t="inlineStr">
        <is>
          <t>S24</t>
        </is>
      </c>
      <c r="B283" s="26" t="inlineStr">
        <is>
          <t>회천 신규점2</t>
        </is>
      </c>
      <c r="C283" s="26" t="inlineStr">
        <is>
          <t>S24-V</t>
        </is>
      </c>
      <c r="D283" s="47" t="n">
        <v>1</v>
      </c>
      <c r="E283" s="26" t="inlineStr">
        <is>
          <t>측정</t>
        </is>
      </c>
      <c r="F283" s="47" t="n">
        <v>20</v>
      </c>
      <c r="G283" s="41" t="n"/>
      <c r="H283" s="29" t="n"/>
      <c r="I283" s="43" t="n"/>
      <c r="J283" s="41" t="n"/>
      <c r="K283" s="41" t="n"/>
      <c r="L283" s="41" t="n"/>
      <c r="M283" s="31">
        <f>IF(COUNT(J283:L283)=0,"",MEDIAN(J283:L283))</f>
        <v/>
      </c>
      <c r="N283" s="26">
        <f>IF(COUNTIFS($C:$C,$C283,$D:$D,$D283,$E:$E,"기준(전)",$M:$M,"&gt;0")&lt;&gt;1,"기준(전) 유효 1개 아님",IF(COUNTIFS($C:$C,$C283,$D:$D,$D283,$E:$E,"기준(후)",$M:$M,"&gt;0")&lt;&gt;1,"기준(후) 유효 1개 아님",IF(NOT(AND(ISNUMBER(O283),ISNUMBER(Q283),ISNUMBER(I283))),"시각 결측",IF(Q283&lt;=O283,"기준 시각 역전",IF(OR(I283&lt;O283,I283&gt;Q283),"측정시각 구간 밖","OK")))))</f>
        <v/>
      </c>
      <c r="O283" s="48">
        <f>IF(COUNTIFS($C:$C,$C283,$D:$D,$D283,$E:$E,"기준(전)",$M:$M,"&gt;0")&lt;&gt;1,"",SUMIFS($I:$I,$C:$C,$C283,$D:$D,$D283,$E:$E,"기준(전)"))</f>
        <v/>
      </c>
      <c r="P283" s="31">
        <f>IF(COUNTIFS($C:$C,$C283,$D:$D,$D283,$E:$E,"기준(전)",$M:$M,"&gt;0")&lt;&gt;1,"",SUMIFS($M:$M,$C:$C,$C283,$D:$D,$D283,$E:$E,"기준(전)"))</f>
        <v/>
      </c>
      <c r="Q283" s="48">
        <f>IF(COUNTIFS($C:$C,$C283,$D:$D,$D283,$E:$E,"기준(후)",$M:$M,"&gt;0")&lt;&gt;1,"",SUMIFS($I:$I,$C:$C,$C283,$D:$D,$D283,$E:$E,"기준(후)"))</f>
        <v/>
      </c>
      <c r="R283" s="31">
        <f>IF(COUNTIFS($C:$C,$C283,$D:$D,$D283,$E:$E,"기준(후)",$M:$M,"&gt;0")&lt;&gt;1,"",SUMIFS($M:$M,$C:$C,$C283,$D:$D,$D283,$E:$E,"기준(후)"))</f>
        <v/>
      </c>
      <c r="S283" s="31">
        <f>IF(N283&lt;&gt;"OK","",P283+(R283-P283)*(I283-O283)/(Q283-O283))</f>
        <v/>
      </c>
      <c r="T283" s="31">
        <f>IF(OR(N283&lt;&gt;"OK",NOT(ISNUMBER(M283))),"",M283-S283)</f>
        <v/>
      </c>
      <c r="U283" s="49">
        <f>IF(OR($E282&lt;&gt;"측정",$C282&lt;&gt;$C283,$D282&lt;&gt;$D283,NOT(ISNUMBER(M283)),NOT(ISNUMBER(M282)),(IF(ISNUMBER(G283),G283,F283)-IF(ISNUMBER(G282),G282,F282))=0),"",(M283-M282)/((IF(ISNUMBER(G283),G283,F283)-IF(ISNUMBER(G282),G282,F282))/100))</f>
        <v/>
      </c>
      <c r="V283" s="29" t="n"/>
      <c r="W283" s="29" t="n"/>
      <c r="X283" s="32" t="n"/>
    </row>
    <row r="284">
      <c r="A284" s="26" t="inlineStr">
        <is>
          <t>S24</t>
        </is>
      </c>
      <c r="B284" s="26" t="inlineStr">
        <is>
          <t>회천 신규점2</t>
        </is>
      </c>
      <c r="C284" s="26" t="inlineStr">
        <is>
          <t>S24-V</t>
        </is>
      </c>
      <c r="D284" s="47" t="n">
        <v>1</v>
      </c>
      <c r="E284" s="26" t="inlineStr">
        <is>
          <t>측정</t>
        </is>
      </c>
      <c r="F284" s="47" t="n">
        <v>40</v>
      </c>
      <c r="G284" s="41" t="n"/>
      <c r="H284" s="29" t="n"/>
      <c r="I284" s="43" t="n"/>
      <c r="J284" s="41" t="n"/>
      <c r="K284" s="41" t="n"/>
      <c r="L284" s="41" t="n"/>
      <c r="M284" s="31">
        <f>IF(COUNT(J284:L284)=0,"",MEDIAN(J284:L284))</f>
        <v/>
      </c>
      <c r="N284" s="26">
        <f>IF(COUNTIFS($C:$C,$C284,$D:$D,$D284,$E:$E,"기준(전)",$M:$M,"&gt;0")&lt;&gt;1,"기준(전) 유효 1개 아님",IF(COUNTIFS($C:$C,$C284,$D:$D,$D284,$E:$E,"기준(후)",$M:$M,"&gt;0")&lt;&gt;1,"기준(후) 유효 1개 아님",IF(NOT(AND(ISNUMBER(O284),ISNUMBER(Q284),ISNUMBER(I284))),"시각 결측",IF(Q284&lt;=O284,"기준 시각 역전",IF(OR(I284&lt;O284,I284&gt;Q284),"측정시각 구간 밖","OK")))))</f>
        <v/>
      </c>
      <c r="O284" s="48">
        <f>IF(COUNTIFS($C:$C,$C284,$D:$D,$D284,$E:$E,"기준(전)",$M:$M,"&gt;0")&lt;&gt;1,"",SUMIFS($I:$I,$C:$C,$C284,$D:$D,$D284,$E:$E,"기준(전)"))</f>
        <v/>
      </c>
      <c r="P284" s="31">
        <f>IF(COUNTIFS($C:$C,$C284,$D:$D,$D284,$E:$E,"기준(전)",$M:$M,"&gt;0")&lt;&gt;1,"",SUMIFS($M:$M,$C:$C,$C284,$D:$D,$D284,$E:$E,"기준(전)"))</f>
        <v/>
      </c>
      <c r="Q284" s="48">
        <f>IF(COUNTIFS($C:$C,$C284,$D:$D,$D284,$E:$E,"기준(후)",$M:$M,"&gt;0")&lt;&gt;1,"",SUMIFS($I:$I,$C:$C,$C284,$D:$D,$D284,$E:$E,"기준(후)"))</f>
        <v/>
      </c>
      <c r="R284" s="31">
        <f>IF(COUNTIFS($C:$C,$C284,$D:$D,$D284,$E:$E,"기준(후)",$M:$M,"&gt;0")&lt;&gt;1,"",SUMIFS($M:$M,$C:$C,$C284,$D:$D,$D284,$E:$E,"기준(후)"))</f>
        <v/>
      </c>
      <c r="S284" s="31">
        <f>IF(N284&lt;&gt;"OK","",P284+(R284-P284)*(I284-O284)/(Q284-O284))</f>
        <v/>
      </c>
      <c r="T284" s="31">
        <f>IF(OR(N284&lt;&gt;"OK",NOT(ISNUMBER(M284))),"",M284-S284)</f>
        <v/>
      </c>
      <c r="U284" s="49">
        <f>IF(OR($E283&lt;&gt;"측정",$C283&lt;&gt;$C284,$D283&lt;&gt;$D284,NOT(ISNUMBER(M284)),NOT(ISNUMBER(M283)),(IF(ISNUMBER(G284),G284,F284)-IF(ISNUMBER(G283),G283,F283))=0),"",(M284-M283)/((IF(ISNUMBER(G284),G284,F284)-IF(ISNUMBER(G283),G283,F283))/100))</f>
        <v/>
      </c>
      <c r="V284" s="29" t="n"/>
      <c r="W284" s="29" t="n"/>
      <c r="X284" s="32" t="n"/>
    </row>
    <row r="285">
      <c r="A285" s="26" t="inlineStr">
        <is>
          <t>S24</t>
        </is>
      </c>
      <c r="B285" s="26" t="inlineStr">
        <is>
          <t>회천 신규점2</t>
        </is>
      </c>
      <c r="C285" s="26" t="inlineStr">
        <is>
          <t>S24-V</t>
        </is>
      </c>
      <c r="D285" s="47" t="n">
        <v>1</v>
      </c>
      <c r="E285" s="26" t="inlineStr">
        <is>
          <t>측정</t>
        </is>
      </c>
      <c r="F285" s="47" t="n">
        <v>60</v>
      </c>
      <c r="G285" s="41" t="n"/>
      <c r="H285" s="29" t="n"/>
      <c r="I285" s="43" t="n"/>
      <c r="J285" s="41" t="n"/>
      <c r="K285" s="41" t="n"/>
      <c r="L285" s="41" t="n"/>
      <c r="M285" s="31">
        <f>IF(COUNT(J285:L285)=0,"",MEDIAN(J285:L285))</f>
        <v/>
      </c>
      <c r="N285" s="26">
        <f>IF(COUNTIFS($C:$C,$C285,$D:$D,$D285,$E:$E,"기준(전)",$M:$M,"&gt;0")&lt;&gt;1,"기준(전) 유효 1개 아님",IF(COUNTIFS($C:$C,$C285,$D:$D,$D285,$E:$E,"기준(후)",$M:$M,"&gt;0")&lt;&gt;1,"기준(후) 유효 1개 아님",IF(NOT(AND(ISNUMBER(O285),ISNUMBER(Q285),ISNUMBER(I285))),"시각 결측",IF(Q285&lt;=O285,"기준 시각 역전",IF(OR(I285&lt;O285,I285&gt;Q285),"측정시각 구간 밖","OK")))))</f>
        <v/>
      </c>
      <c r="O285" s="48">
        <f>IF(COUNTIFS($C:$C,$C285,$D:$D,$D285,$E:$E,"기준(전)",$M:$M,"&gt;0")&lt;&gt;1,"",SUMIFS($I:$I,$C:$C,$C285,$D:$D,$D285,$E:$E,"기준(전)"))</f>
        <v/>
      </c>
      <c r="P285" s="31">
        <f>IF(COUNTIFS($C:$C,$C285,$D:$D,$D285,$E:$E,"기준(전)",$M:$M,"&gt;0")&lt;&gt;1,"",SUMIFS($M:$M,$C:$C,$C285,$D:$D,$D285,$E:$E,"기준(전)"))</f>
        <v/>
      </c>
      <c r="Q285" s="48">
        <f>IF(COUNTIFS($C:$C,$C285,$D:$D,$D285,$E:$E,"기준(후)",$M:$M,"&gt;0")&lt;&gt;1,"",SUMIFS($I:$I,$C:$C,$C285,$D:$D,$D285,$E:$E,"기준(후)"))</f>
        <v/>
      </c>
      <c r="R285" s="31">
        <f>IF(COUNTIFS($C:$C,$C285,$D:$D,$D285,$E:$E,"기준(후)",$M:$M,"&gt;0")&lt;&gt;1,"",SUMIFS($M:$M,$C:$C,$C285,$D:$D,$D285,$E:$E,"기준(후)"))</f>
        <v/>
      </c>
      <c r="S285" s="31">
        <f>IF(N285&lt;&gt;"OK","",P285+(R285-P285)*(I285-O285)/(Q285-O285))</f>
        <v/>
      </c>
      <c r="T285" s="31">
        <f>IF(OR(N285&lt;&gt;"OK",NOT(ISNUMBER(M285))),"",M285-S285)</f>
        <v/>
      </c>
      <c r="U285" s="49">
        <f>IF(OR($E284&lt;&gt;"측정",$C284&lt;&gt;$C285,$D284&lt;&gt;$D285,NOT(ISNUMBER(M285)),NOT(ISNUMBER(M284)),(IF(ISNUMBER(G285),G285,F285)-IF(ISNUMBER(G284),G284,F284))=0),"",(M285-M284)/((IF(ISNUMBER(G285),G285,F285)-IF(ISNUMBER(G284),G284,F284))/100))</f>
        <v/>
      </c>
      <c r="V285" s="29" t="n"/>
      <c r="W285" s="29" t="n"/>
      <c r="X285" s="32" t="n"/>
    </row>
    <row r="286">
      <c r="A286" s="26" t="inlineStr">
        <is>
          <t>S24</t>
        </is>
      </c>
      <c r="B286" s="26" t="inlineStr">
        <is>
          <t>회천 신규점2</t>
        </is>
      </c>
      <c r="C286" s="26" t="inlineStr">
        <is>
          <t>S24-V</t>
        </is>
      </c>
      <c r="D286" s="47" t="n">
        <v>1</v>
      </c>
      <c r="E286" s="26" t="inlineStr">
        <is>
          <t>측정</t>
        </is>
      </c>
      <c r="F286" s="47" t="n">
        <v>80</v>
      </c>
      <c r="G286" s="41" t="n"/>
      <c r="H286" s="29" t="n"/>
      <c r="I286" s="43" t="n"/>
      <c r="J286" s="41" t="n"/>
      <c r="K286" s="41" t="n"/>
      <c r="L286" s="41" t="n"/>
      <c r="M286" s="31">
        <f>IF(COUNT(J286:L286)=0,"",MEDIAN(J286:L286))</f>
        <v/>
      </c>
      <c r="N286" s="26">
        <f>IF(COUNTIFS($C:$C,$C286,$D:$D,$D286,$E:$E,"기준(전)",$M:$M,"&gt;0")&lt;&gt;1,"기준(전) 유효 1개 아님",IF(COUNTIFS($C:$C,$C286,$D:$D,$D286,$E:$E,"기준(후)",$M:$M,"&gt;0")&lt;&gt;1,"기준(후) 유효 1개 아님",IF(NOT(AND(ISNUMBER(O286),ISNUMBER(Q286),ISNUMBER(I286))),"시각 결측",IF(Q286&lt;=O286,"기준 시각 역전",IF(OR(I286&lt;O286,I286&gt;Q286),"측정시각 구간 밖","OK")))))</f>
        <v/>
      </c>
      <c r="O286" s="48">
        <f>IF(COUNTIFS($C:$C,$C286,$D:$D,$D286,$E:$E,"기준(전)",$M:$M,"&gt;0")&lt;&gt;1,"",SUMIFS($I:$I,$C:$C,$C286,$D:$D,$D286,$E:$E,"기준(전)"))</f>
        <v/>
      </c>
      <c r="P286" s="31">
        <f>IF(COUNTIFS($C:$C,$C286,$D:$D,$D286,$E:$E,"기준(전)",$M:$M,"&gt;0")&lt;&gt;1,"",SUMIFS($M:$M,$C:$C,$C286,$D:$D,$D286,$E:$E,"기준(전)"))</f>
        <v/>
      </c>
      <c r="Q286" s="48">
        <f>IF(COUNTIFS($C:$C,$C286,$D:$D,$D286,$E:$E,"기준(후)",$M:$M,"&gt;0")&lt;&gt;1,"",SUMIFS($I:$I,$C:$C,$C286,$D:$D,$D286,$E:$E,"기준(후)"))</f>
        <v/>
      </c>
      <c r="R286" s="31">
        <f>IF(COUNTIFS($C:$C,$C286,$D:$D,$D286,$E:$E,"기준(후)",$M:$M,"&gt;0")&lt;&gt;1,"",SUMIFS($M:$M,$C:$C,$C286,$D:$D,$D286,$E:$E,"기준(후)"))</f>
        <v/>
      </c>
      <c r="S286" s="31">
        <f>IF(N286&lt;&gt;"OK","",P286+(R286-P286)*(I286-O286)/(Q286-O286))</f>
        <v/>
      </c>
      <c r="T286" s="31">
        <f>IF(OR(N286&lt;&gt;"OK",NOT(ISNUMBER(M286))),"",M286-S286)</f>
        <v/>
      </c>
      <c r="U286" s="49">
        <f>IF(OR($E285&lt;&gt;"측정",$C285&lt;&gt;$C286,$D285&lt;&gt;$D286,NOT(ISNUMBER(M286)),NOT(ISNUMBER(M285)),(IF(ISNUMBER(G286),G286,F286)-IF(ISNUMBER(G285),G285,F285))=0),"",(M286-M285)/((IF(ISNUMBER(G286),G286,F286)-IF(ISNUMBER(G285),G285,F285))/100))</f>
        <v/>
      </c>
      <c r="V286" s="29" t="n"/>
      <c r="W286" s="29" t="n"/>
      <c r="X286" s="32" t="n"/>
    </row>
    <row r="287">
      <c r="A287" s="26" t="inlineStr">
        <is>
          <t>S24</t>
        </is>
      </c>
      <c r="B287" s="26" t="inlineStr">
        <is>
          <t>회천 신규점2</t>
        </is>
      </c>
      <c r="C287" s="26" t="inlineStr">
        <is>
          <t>S24-V</t>
        </is>
      </c>
      <c r="D287" s="47" t="n">
        <v>1</v>
      </c>
      <c r="E287" s="26" t="inlineStr">
        <is>
          <t>측정</t>
        </is>
      </c>
      <c r="F287" s="47" t="n">
        <v>100</v>
      </c>
      <c r="G287" s="41" t="n"/>
      <c r="H287" s="29" t="n"/>
      <c r="I287" s="43" t="n"/>
      <c r="J287" s="41" t="n"/>
      <c r="K287" s="41" t="n"/>
      <c r="L287" s="41" t="n"/>
      <c r="M287" s="31">
        <f>IF(COUNT(J287:L287)=0,"",MEDIAN(J287:L287))</f>
        <v/>
      </c>
      <c r="N287" s="26">
        <f>IF(COUNTIFS($C:$C,$C287,$D:$D,$D287,$E:$E,"기준(전)",$M:$M,"&gt;0")&lt;&gt;1,"기준(전) 유효 1개 아님",IF(COUNTIFS($C:$C,$C287,$D:$D,$D287,$E:$E,"기준(후)",$M:$M,"&gt;0")&lt;&gt;1,"기준(후) 유효 1개 아님",IF(NOT(AND(ISNUMBER(O287),ISNUMBER(Q287),ISNUMBER(I287))),"시각 결측",IF(Q287&lt;=O287,"기준 시각 역전",IF(OR(I287&lt;O287,I287&gt;Q287),"측정시각 구간 밖","OK")))))</f>
        <v/>
      </c>
      <c r="O287" s="48">
        <f>IF(COUNTIFS($C:$C,$C287,$D:$D,$D287,$E:$E,"기준(전)",$M:$M,"&gt;0")&lt;&gt;1,"",SUMIFS($I:$I,$C:$C,$C287,$D:$D,$D287,$E:$E,"기준(전)"))</f>
        <v/>
      </c>
      <c r="P287" s="31">
        <f>IF(COUNTIFS($C:$C,$C287,$D:$D,$D287,$E:$E,"기준(전)",$M:$M,"&gt;0")&lt;&gt;1,"",SUMIFS($M:$M,$C:$C,$C287,$D:$D,$D287,$E:$E,"기준(전)"))</f>
        <v/>
      </c>
      <c r="Q287" s="48">
        <f>IF(COUNTIFS($C:$C,$C287,$D:$D,$D287,$E:$E,"기준(후)",$M:$M,"&gt;0")&lt;&gt;1,"",SUMIFS($I:$I,$C:$C,$C287,$D:$D,$D287,$E:$E,"기준(후)"))</f>
        <v/>
      </c>
      <c r="R287" s="31">
        <f>IF(COUNTIFS($C:$C,$C287,$D:$D,$D287,$E:$E,"기준(후)",$M:$M,"&gt;0")&lt;&gt;1,"",SUMIFS($M:$M,$C:$C,$C287,$D:$D,$D287,$E:$E,"기준(후)"))</f>
        <v/>
      </c>
      <c r="S287" s="31">
        <f>IF(N287&lt;&gt;"OK","",P287+(R287-P287)*(I287-O287)/(Q287-O287))</f>
        <v/>
      </c>
      <c r="T287" s="31">
        <f>IF(OR(N287&lt;&gt;"OK",NOT(ISNUMBER(M287))),"",M287-S287)</f>
        <v/>
      </c>
      <c r="U287" s="49">
        <f>IF(OR($E286&lt;&gt;"측정",$C286&lt;&gt;$C287,$D286&lt;&gt;$D287,NOT(ISNUMBER(M287)),NOT(ISNUMBER(M286)),(IF(ISNUMBER(G287),G287,F287)-IF(ISNUMBER(G286),G286,F286))=0),"",(M287-M286)/((IF(ISNUMBER(G287),G287,F287)-IF(ISNUMBER(G286),G286,F286))/100))</f>
        <v/>
      </c>
      <c r="V287" s="29" t="n"/>
      <c r="W287" s="29" t="n"/>
      <c r="X287" s="32" t="n"/>
    </row>
    <row r="288">
      <c r="A288" s="26" t="inlineStr">
        <is>
          <t>S24</t>
        </is>
      </c>
      <c r="B288" s="26" t="inlineStr">
        <is>
          <t>회천 신규점2</t>
        </is>
      </c>
      <c r="C288" s="26" t="inlineStr">
        <is>
          <t>S24-V</t>
        </is>
      </c>
      <c r="D288" s="47" t="n">
        <v>1</v>
      </c>
      <c r="E288" s="26" t="inlineStr">
        <is>
          <t>측정</t>
        </is>
      </c>
      <c r="F288" s="47" t="n">
        <v>120</v>
      </c>
      <c r="G288" s="41" t="n"/>
      <c r="H288" s="29" t="n"/>
      <c r="I288" s="43" t="n"/>
      <c r="J288" s="41" t="n"/>
      <c r="K288" s="41" t="n"/>
      <c r="L288" s="41" t="n"/>
      <c r="M288" s="31">
        <f>IF(COUNT(J288:L288)=0,"",MEDIAN(J288:L288))</f>
        <v/>
      </c>
      <c r="N288" s="26">
        <f>IF(COUNTIFS($C:$C,$C288,$D:$D,$D288,$E:$E,"기준(전)",$M:$M,"&gt;0")&lt;&gt;1,"기준(전) 유효 1개 아님",IF(COUNTIFS($C:$C,$C288,$D:$D,$D288,$E:$E,"기준(후)",$M:$M,"&gt;0")&lt;&gt;1,"기준(후) 유효 1개 아님",IF(NOT(AND(ISNUMBER(O288),ISNUMBER(Q288),ISNUMBER(I288))),"시각 결측",IF(Q288&lt;=O288,"기준 시각 역전",IF(OR(I288&lt;O288,I288&gt;Q288),"측정시각 구간 밖","OK")))))</f>
        <v/>
      </c>
      <c r="O288" s="48">
        <f>IF(COUNTIFS($C:$C,$C288,$D:$D,$D288,$E:$E,"기준(전)",$M:$M,"&gt;0")&lt;&gt;1,"",SUMIFS($I:$I,$C:$C,$C288,$D:$D,$D288,$E:$E,"기준(전)"))</f>
        <v/>
      </c>
      <c r="P288" s="31">
        <f>IF(COUNTIFS($C:$C,$C288,$D:$D,$D288,$E:$E,"기준(전)",$M:$M,"&gt;0")&lt;&gt;1,"",SUMIFS($M:$M,$C:$C,$C288,$D:$D,$D288,$E:$E,"기준(전)"))</f>
        <v/>
      </c>
      <c r="Q288" s="48">
        <f>IF(COUNTIFS($C:$C,$C288,$D:$D,$D288,$E:$E,"기준(후)",$M:$M,"&gt;0")&lt;&gt;1,"",SUMIFS($I:$I,$C:$C,$C288,$D:$D,$D288,$E:$E,"기준(후)"))</f>
        <v/>
      </c>
      <c r="R288" s="31">
        <f>IF(COUNTIFS($C:$C,$C288,$D:$D,$D288,$E:$E,"기준(후)",$M:$M,"&gt;0")&lt;&gt;1,"",SUMIFS($M:$M,$C:$C,$C288,$D:$D,$D288,$E:$E,"기준(후)"))</f>
        <v/>
      </c>
      <c r="S288" s="31">
        <f>IF(N288&lt;&gt;"OK","",P288+(R288-P288)*(I288-O288)/(Q288-O288))</f>
        <v/>
      </c>
      <c r="T288" s="31">
        <f>IF(OR(N288&lt;&gt;"OK",NOT(ISNUMBER(M288))),"",M288-S288)</f>
        <v/>
      </c>
      <c r="U288" s="49">
        <f>IF(OR($E287&lt;&gt;"측정",$C287&lt;&gt;$C288,$D287&lt;&gt;$D288,NOT(ISNUMBER(M288)),NOT(ISNUMBER(M287)),(IF(ISNUMBER(G288),G288,F288)-IF(ISNUMBER(G287),G287,F287))=0),"",(M288-M287)/((IF(ISNUMBER(G288),G288,F288)-IF(ISNUMBER(G287),G287,F287))/100))</f>
        <v/>
      </c>
      <c r="V288" s="29" t="n"/>
      <c r="W288" s="29" t="n"/>
      <c r="X288" s="32" t="n"/>
    </row>
    <row r="289">
      <c r="A289" s="26" t="inlineStr">
        <is>
          <t>S24</t>
        </is>
      </c>
      <c r="B289" s="26" t="inlineStr">
        <is>
          <t>회천 신규점2</t>
        </is>
      </c>
      <c r="C289" s="26" t="inlineStr">
        <is>
          <t>S24-V</t>
        </is>
      </c>
      <c r="D289" s="47" t="n">
        <v>1</v>
      </c>
      <c r="E289" s="26" t="inlineStr">
        <is>
          <t>측정</t>
        </is>
      </c>
      <c r="F289" s="47" t="n">
        <v>140</v>
      </c>
      <c r="G289" s="41" t="n"/>
      <c r="H289" s="29" t="n"/>
      <c r="I289" s="43" t="n"/>
      <c r="J289" s="41" t="n"/>
      <c r="K289" s="41" t="n"/>
      <c r="L289" s="41" t="n"/>
      <c r="M289" s="31">
        <f>IF(COUNT(J289:L289)=0,"",MEDIAN(J289:L289))</f>
        <v/>
      </c>
      <c r="N289" s="26">
        <f>IF(COUNTIFS($C:$C,$C289,$D:$D,$D289,$E:$E,"기준(전)",$M:$M,"&gt;0")&lt;&gt;1,"기준(전) 유효 1개 아님",IF(COUNTIFS($C:$C,$C289,$D:$D,$D289,$E:$E,"기준(후)",$M:$M,"&gt;0")&lt;&gt;1,"기준(후) 유효 1개 아님",IF(NOT(AND(ISNUMBER(O289),ISNUMBER(Q289),ISNUMBER(I289))),"시각 결측",IF(Q289&lt;=O289,"기준 시각 역전",IF(OR(I289&lt;O289,I289&gt;Q289),"측정시각 구간 밖","OK")))))</f>
        <v/>
      </c>
      <c r="O289" s="48">
        <f>IF(COUNTIFS($C:$C,$C289,$D:$D,$D289,$E:$E,"기준(전)",$M:$M,"&gt;0")&lt;&gt;1,"",SUMIFS($I:$I,$C:$C,$C289,$D:$D,$D289,$E:$E,"기준(전)"))</f>
        <v/>
      </c>
      <c r="P289" s="31">
        <f>IF(COUNTIFS($C:$C,$C289,$D:$D,$D289,$E:$E,"기준(전)",$M:$M,"&gt;0")&lt;&gt;1,"",SUMIFS($M:$M,$C:$C,$C289,$D:$D,$D289,$E:$E,"기준(전)"))</f>
        <v/>
      </c>
      <c r="Q289" s="48">
        <f>IF(COUNTIFS($C:$C,$C289,$D:$D,$D289,$E:$E,"기준(후)",$M:$M,"&gt;0")&lt;&gt;1,"",SUMIFS($I:$I,$C:$C,$C289,$D:$D,$D289,$E:$E,"기준(후)"))</f>
        <v/>
      </c>
      <c r="R289" s="31">
        <f>IF(COUNTIFS($C:$C,$C289,$D:$D,$D289,$E:$E,"기준(후)",$M:$M,"&gt;0")&lt;&gt;1,"",SUMIFS($M:$M,$C:$C,$C289,$D:$D,$D289,$E:$E,"기준(후)"))</f>
        <v/>
      </c>
      <c r="S289" s="31">
        <f>IF(N289&lt;&gt;"OK","",P289+(R289-P289)*(I289-O289)/(Q289-O289))</f>
        <v/>
      </c>
      <c r="T289" s="31">
        <f>IF(OR(N289&lt;&gt;"OK",NOT(ISNUMBER(M289))),"",M289-S289)</f>
        <v/>
      </c>
      <c r="U289" s="49">
        <f>IF(OR($E288&lt;&gt;"측정",$C288&lt;&gt;$C289,$D288&lt;&gt;$D289,NOT(ISNUMBER(M289)),NOT(ISNUMBER(M288)),(IF(ISNUMBER(G289),G289,F289)-IF(ISNUMBER(G288),G288,F288))=0),"",(M289-M288)/((IF(ISNUMBER(G289),G289,F289)-IF(ISNUMBER(G288),G288,F288))/100))</f>
        <v/>
      </c>
      <c r="V289" s="29" t="n"/>
      <c r="W289" s="29" t="n"/>
      <c r="X289" s="32" t="n"/>
    </row>
    <row r="290">
      <c r="A290" s="26" t="inlineStr">
        <is>
          <t>S24</t>
        </is>
      </c>
      <c r="B290" s="26" t="inlineStr">
        <is>
          <t>회천 신규점2</t>
        </is>
      </c>
      <c r="C290" s="26" t="inlineStr">
        <is>
          <t>S24-V</t>
        </is>
      </c>
      <c r="D290" s="47" t="n">
        <v>1</v>
      </c>
      <c r="E290" s="26" t="inlineStr">
        <is>
          <t>측정</t>
        </is>
      </c>
      <c r="F290" s="47" t="n">
        <v>160</v>
      </c>
      <c r="G290" s="41" t="n"/>
      <c r="H290" s="29" t="n"/>
      <c r="I290" s="43" t="n"/>
      <c r="J290" s="41" t="n"/>
      <c r="K290" s="41" t="n"/>
      <c r="L290" s="41" t="n"/>
      <c r="M290" s="31">
        <f>IF(COUNT(J290:L290)=0,"",MEDIAN(J290:L290))</f>
        <v/>
      </c>
      <c r="N290" s="26">
        <f>IF(COUNTIFS($C:$C,$C290,$D:$D,$D290,$E:$E,"기준(전)",$M:$M,"&gt;0")&lt;&gt;1,"기준(전) 유효 1개 아님",IF(COUNTIFS($C:$C,$C290,$D:$D,$D290,$E:$E,"기준(후)",$M:$M,"&gt;0")&lt;&gt;1,"기준(후) 유효 1개 아님",IF(NOT(AND(ISNUMBER(O290),ISNUMBER(Q290),ISNUMBER(I290))),"시각 결측",IF(Q290&lt;=O290,"기준 시각 역전",IF(OR(I290&lt;O290,I290&gt;Q290),"측정시각 구간 밖","OK")))))</f>
        <v/>
      </c>
      <c r="O290" s="48">
        <f>IF(COUNTIFS($C:$C,$C290,$D:$D,$D290,$E:$E,"기준(전)",$M:$M,"&gt;0")&lt;&gt;1,"",SUMIFS($I:$I,$C:$C,$C290,$D:$D,$D290,$E:$E,"기준(전)"))</f>
        <v/>
      </c>
      <c r="P290" s="31">
        <f>IF(COUNTIFS($C:$C,$C290,$D:$D,$D290,$E:$E,"기준(전)",$M:$M,"&gt;0")&lt;&gt;1,"",SUMIFS($M:$M,$C:$C,$C290,$D:$D,$D290,$E:$E,"기준(전)"))</f>
        <v/>
      </c>
      <c r="Q290" s="48">
        <f>IF(COUNTIFS($C:$C,$C290,$D:$D,$D290,$E:$E,"기준(후)",$M:$M,"&gt;0")&lt;&gt;1,"",SUMIFS($I:$I,$C:$C,$C290,$D:$D,$D290,$E:$E,"기준(후)"))</f>
        <v/>
      </c>
      <c r="R290" s="31">
        <f>IF(COUNTIFS($C:$C,$C290,$D:$D,$D290,$E:$E,"기준(후)",$M:$M,"&gt;0")&lt;&gt;1,"",SUMIFS($M:$M,$C:$C,$C290,$D:$D,$D290,$E:$E,"기준(후)"))</f>
        <v/>
      </c>
      <c r="S290" s="31">
        <f>IF(N290&lt;&gt;"OK","",P290+(R290-P290)*(I290-O290)/(Q290-O290))</f>
        <v/>
      </c>
      <c r="T290" s="31">
        <f>IF(OR(N290&lt;&gt;"OK",NOT(ISNUMBER(M290))),"",M290-S290)</f>
        <v/>
      </c>
      <c r="U290" s="49">
        <f>IF(OR($E289&lt;&gt;"측정",$C289&lt;&gt;$C290,$D289&lt;&gt;$D290,NOT(ISNUMBER(M290)),NOT(ISNUMBER(M289)),(IF(ISNUMBER(G290),G290,F290)-IF(ISNUMBER(G289),G289,F289))=0),"",(M290-M289)/((IF(ISNUMBER(G290),G290,F290)-IF(ISNUMBER(G289),G289,F289))/100))</f>
        <v/>
      </c>
      <c r="V290" s="29" t="n"/>
      <c r="W290" s="29" t="n"/>
      <c r="X290" s="32" t="n"/>
    </row>
    <row r="291">
      <c r="A291" s="26" t="inlineStr">
        <is>
          <t>S24</t>
        </is>
      </c>
      <c r="B291" s="26" t="inlineStr">
        <is>
          <t>회천 신규점2</t>
        </is>
      </c>
      <c r="C291" s="26" t="inlineStr">
        <is>
          <t>S24-V</t>
        </is>
      </c>
      <c r="D291" s="47" t="n">
        <v>1</v>
      </c>
      <c r="E291" s="26" t="inlineStr">
        <is>
          <t>측정</t>
        </is>
      </c>
      <c r="F291" s="47" t="n">
        <v>180</v>
      </c>
      <c r="G291" s="41" t="n"/>
      <c r="H291" s="29" t="n"/>
      <c r="I291" s="43" t="n"/>
      <c r="J291" s="41" t="n"/>
      <c r="K291" s="41" t="n"/>
      <c r="L291" s="41" t="n"/>
      <c r="M291" s="31">
        <f>IF(COUNT(J291:L291)=0,"",MEDIAN(J291:L291))</f>
        <v/>
      </c>
      <c r="N291" s="26">
        <f>IF(COUNTIFS($C:$C,$C291,$D:$D,$D291,$E:$E,"기준(전)",$M:$M,"&gt;0")&lt;&gt;1,"기준(전) 유효 1개 아님",IF(COUNTIFS($C:$C,$C291,$D:$D,$D291,$E:$E,"기준(후)",$M:$M,"&gt;0")&lt;&gt;1,"기준(후) 유효 1개 아님",IF(NOT(AND(ISNUMBER(O291),ISNUMBER(Q291),ISNUMBER(I291))),"시각 결측",IF(Q291&lt;=O291,"기준 시각 역전",IF(OR(I291&lt;O291,I291&gt;Q291),"측정시각 구간 밖","OK")))))</f>
        <v/>
      </c>
      <c r="O291" s="48">
        <f>IF(COUNTIFS($C:$C,$C291,$D:$D,$D291,$E:$E,"기준(전)",$M:$M,"&gt;0")&lt;&gt;1,"",SUMIFS($I:$I,$C:$C,$C291,$D:$D,$D291,$E:$E,"기준(전)"))</f>
        <v/>
      </c>
      <c r="P291" s="31">
        <f>IF(COUNTIFS($C:$C,$C291,$D:$D,$D291,$E:$E,"기준(전)",$M:$M,"&gt;0")&lt;&gt;1,"",SUMIFS($M:$M,$C:$C,$C291,$D:$D,$D291,$E:$E,"기준(전)"))</f>
        <v/>
      </c>
      <c r="Q291" s="48">
        <f>IF(COUNTIFS($C:$C,$C291,$D:$D,$D291,$E:$E,"기준(후)",$M:$M,"&gt;0")&lt;&gt;1,"",SUMIFS($I:$I,$C:$C,$C291,$D:$D,$D291,$E:$E,"기준(후)"))</f>
        <v/>
      </c>
      <c r="R291" s="31">
        <f>IF(COUNTIFS($C:$C,$C291,$D:$D,$D291,$E:$E,"기준(후)",$M:$M,"&gt;0")&lt;&gt;1,"",SUMIFS($M:$M,$C:$C,$C291,$D:$D,$D291,$E:$E,"기준(후)"))</f>
        <v/>
      </c>
      <c r="S291" s="31">
        <f>IF(N291&lt;&gt;"OK","",P291+(R291-P291)*(I291-O291)/(Q291-O291))</f>
        <v/>
      </c>
      <c r="T291" s="31">
        <f>IF(OR(N291&lt;&gt;"OK",NOT(ISNUMBER(M291))),"",M291-S291)</f>
        <v/>
      </c>
      <c r="U291" s="49">
        <f>IF(OR($E290&lt;&gt;"측정",$C290&lt;&gt;$C291,$D290&lt;&gt;$D291,NOT(ISNUMBER(M291)),NOT(ISNUMBER(M290)),(IF(ISNUMBER(G291),G291,F291)-IF(ISNUMBER(G290),G290,F290))=0),"",(M291-M290)/((IF(ISNUMBER(G291),G291,F291)-IF(ISNUMBER(G290),G290,F290))/100))</f>
        <v/>
      </c>
      <c r="V291" s="29" t="n"/>
      <c r="W291" s="29" t="n"/>
      <c r="X291" s="32" t="n"/>
    </row>
    <row r="292">
      <c r="A292" s="26" t="inlineStr">
        <is>
          <t>S24</t>
        </is>
      </c>
      <c r="B292" s="26" t="inlineStr">
        <is>
          <t>회천 신규점2</t>
        </is>
      </c>
      <c r="C292" s="26" t="inlineStr">
        <is>
          <t>S24-V</t>
        </is>
      </c>
      <c r="D292" s="47" t="n">
        <v>1</v>
      </c>
      <c r="E292" s="26" t="inlineStr">
        <is>
          <t>측정</t>
        </is>
      </c>
      <c r="F292" s="47" t="n">
        <v>200</v>
      </c>
      <c r="G292" s="41" t="n"/>
      <c r="H292" s="29" t="n"/>
      <c r="I292" s="43" t="n"/>
      <c r="J292" s="41" t="n"/>
      <c r="K292" s="41" t="n"/>
      <c r="L292" s="41" t="n"/>
      <c r="M292" s="31">
        <f>IF(COUNT(J292:L292)=0,"",MEDIAN(J292:L292))</f>
        <v/>
      </c>
      <c r="N292" s="26">
        <f>IF(COUNTIFS($C:$C,$C292,$D:$D,$D292,$E:$E,"기준(전)",$M:$M,"&gt;0")&lt;&gt;1,"기준(전) 유효 1개 아님",IF(COUNTIFS($C:$C,$C292,$D:$D,$D292,$E:$E,"기준(후)",$M:$M,"&gt;0")&lt;&gt;1,"기준(후) 유효 1개 아님",IF(NOT(AND(ISNUMBER(O292),ISNUMBER(Q292),ISNUMBER(I292))),"시각 결측",IF(Q292&lt;=O292,"기준 시각 역전",IF(OR(I292&lt;O292,I292&gt;Q292),"측정시각 구간 밖","OK")))))</f>
        <v/>
      </c>
      <c r="O292" s="48">
        <f>IF(COUNTIFS($C:$C,$C292,$D:$D,$D292,$E:$E,"기준(전)",$M:$M,"&gt;0")&lt;&gt;1,"",SUMIFS($I:$I,$C:$C,$C292,$D:$D,$D292,$E:$E,"기준(전)"))</f>
        <v/>
      </c>
      <c r="P292" s="31">
        <f>IF(COUNTIFS($C:$C,$C292,$D:$D,$D292,$E:$E,"기준(전)",$M:$M,"&gt;0")&lt;&gt;1,"",SUMIFS($M:$M,$C:$C,$C292,$D:$D,$D292,$E:$E,"기준(전)"))</f>
        <v/>
      </c>
      <c r="Q292" s="48">
        <f>IF(COUNTIFS($C:$C,$C292,$D:$D,$D292,$E:$E,"기준(후)",$M:$M,"&gt;0")&lt;&gt;1,"",SUMIFS($I:$I,$C:$C,$C292,$D:$D,$D292,$E:$E,"기준(후)"))</f>
        <v/>
      </c>
      <c r="R292" s="31">
        <f>IF(COUNTIFS($C:$C,$C292,$D:$D,$D292,$E:$E,"기준(후)",$M:$M,"&gt;0")&lt;&gt;1,"",SUMIFS($M:$M,$C:$C,$C292,$D:$D,$D292,$E:$E,"기준(후)"))</f>
        <v/>
      </c>
      <c r="S292" s="31">
        <f>IF(N292&lt;&gt;"OK","",P292+(R292-P292)*(I292-O292)/(Q292-O292))</f>
        <v/>
      </c>
      <c r="T292" s="31">
        <f>IF(OR(N292&lt;&gt;"OK",NOT(ISNUMBER(M292))),"",M292-S292)</f>
        <v/>
      </c>
      <c r="U292" s="49">
        <f>IF(OR($E291&lt;&gt;"측정",$C291&lt;&gt;$C292,$D291&lt;&gt;$D292,NOT(ISNUMBER(M292)),NOT(ISNUMBER(M291)),(IF(ISNUMBER(G292),G292,F292)-IF(ISNUMBER(G291),G291,F291))=0),"",(M292-M291)/((IF(ISNUMBER(G292),G292,F292)-IF(ISNUMBER(G291),G291,F291))/100))</f>
        <v/>
      </c>
      <c r="V292" s="29" t="n"/>
      <c r="W292" s="29" t="n"/>
      <c r="X292" s="32" t="n"/>
    </row>
    <row r="293">
      <c r="A293" s="44" t="inlineStr">
        <is>
          <t>S24</t>
        </is>
      </c>
      <c r="B293" s="44" t="inlineStr">
        <is>
          <t>회천 신규점2</t>
        </is>
      </c>
      <c r="C293" s="44" t="inlineStr">
        <is>
          <t>S24-V</t>
        </is>
      </c>
      <c r="D293" s="45" t="n">
        <v>1</v>
      </c>
      <c r="E293" s="44" t="inlineStr">
        <is>
          <t>기준(후)</t>
        </is>
      </c>
      <c r="F293" s="45" t="n"/>
      <c r="G293" s="41" t="n"/>
      <c r="H293" s="29" t="n"/>
      <c r="I293" s="43" t="n"/>
      <c r="J293" s="41" t="n"/>
      <c r="K293" s="41" t="n"/>
      <c r="L293" s="41" t="n"/>
      <c r="M293" s="31">
        <f>IF(COUNT(J293:L293)=0,"",MEDIAN(J293:L293))</f>
        <v/>
      </c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29" t="n"/>
      <c r="W293" s="29" t="n"/>
      <c r="X293" s="32" t="n"/>
    </row>
    <row r="294">
      <c r="A294" s="44" t="inlineStr">
        <is>
          <t>S25</t>
        </is>
      </c>
      <c r="B294" s="44" t="inlineStr">
        <is>
          <t>관리 신규점3</t>
        </is>
      </c>
      <c r="C294" s="44" t="inlineStr">
        <is>
          <t>S25-V</t>
        </is>
      </c>
      <c r="D294" s="45" t="n">
        <v>1</v>
      </c>
      <c r="E294" s="44" t="inlineStr">
        <is>
          <t>기준(전)</t>
        </is>
      </c>
      <c r="F294" s="45" t="n"/>
      <c r="G294" s="41" t="n"/>
      <c r="H294" s="29" t="n"/>
      <c r="I294" s="43" t="n"/>
      <c r="J294" s="41" t="n"/>
      <c r="K294" s="41" t="n"/>
      <c r="L294" s="41" t="n"/>
      <c r="M294" s="31">
        <f>IF(COUNT(J294:L294)=0,"",MEDIAN(J294:L294))</f>
        <v/>
      </c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29" t="n"/>
      <c r="W294" s="29" t="n"/>
      <c r="X294" s="32" t="n"/>
    </row>
    <row r="295">
      <c r="A295" s="26" t="inlineStr">
        <is>
          <t>S25</t>
        </is>
      </c>
      <c r="B295" s="26" t="inlineStr">
        <is>
          <t>관리 신규점3</t>
        </is>
      </c>
      <c r="C295" s="26" t="inlineStr">
        <is>
          <t>S25-V</t>
        </is>
      </c>
      <c r="D295" s="47" t="n">
        <v>1</v>
      </c>
      <c r="E295" s="26" t="inlineStr">
        <is>
          <t>측정</t>
        </is>
      </c>
      <c r="F295" s="47" t="n">
        <v>20</v>
      </c>
      <c r="G295" s="41" t="n"/>
      <c r="H295" s="29" t="n"/>
      <c r="I295" s="43" t="n"/>
      <c r="J295" s="41" t="n"/>
      <c r="K295" s="41" t="n"/>
      <c r="L295" s="41" t="n"/>
      <c r="M295" s="31">
        <f>IF(COUNT(J295:L295)=0,"",MEDIAN(J295:L295))</f>
        <v/>
      </c>
      <c r="N295" s="26">
        <f>IF(COUNTIFS($C:$C,$C295,$D:$D,$D295,$E:$E,"기준(전)",$M:$M,"&gt;0")&lt;&gt;1,"기준(전) 유효 1개 아님",IF(COUNTIFS($C:$C,$C295,$D:$D,$D295,$E:$E,"기준(후)",$M:$M,"&gt;0")&lt;&gt;1,"기준(후) 유효 1개 아님",IF(NOT(AND(ISNUMBER(O295),ISNUMBER(Q295),ISNUMBER(I295))),"시각 결측",IF(Q295&lt;=O295,"기준 시각 역전",IF(OR(I295&lt;O295,I295&gt;Q295),"측정시각 구간 밖","OK")))))</f>
        <v/>
      </c>
      <c r="O295" s="48">
        <f>IF(COUNTIFS($C:$C,$C295,$D:$D,$D295,$E:$E,"기준(전)",$M:$M,"&gt;0")&lt;&gt;1,"",SUMIFS($I:$I,$C:$C,$C295,$D:$D,$D295,$E:$E,"기준(전)"))</f>
        <v/>
      </c>
      <c r="P295" s="31">
        <f>IF(COUNTIFS($C:$C,$C295,$D:$D,$D295,$E:$E,"기준(전)",$M:$M,"&gt;0")&lt;&gt;1,"",SUMIFS($M:$M,$C:$C,$C295,$D:$D,$D295,$E:$E,"기준(전)"))</f>
        <v/>
      </c>
      <c r="Q295" s="48">
        <f>IF(COUNTIFS($C:$C,$C295,$D:$D,$D295,$E:$E,"기준(후)",$M:$M,"&gt;0")&lt;&gt;1,"",SUMIFS($I:$I,$C:$C,$C295,$D:$D,$D295,$E:$E,"기준(후)"))</f>
        <v/>
      </c>
      <c r="R295" s="31">
        <f>IF(COUNTIFS($C:$C,$C295,$D:$D,$D295,$E:$E,"기준(후)",$M:$M,"&gt;0")&lt;&gt;1,"",SUMIFS($M:$M,$C:$C,$C295,$D:$D,$D295,$E:$E,"기준(후)"))</f>
        <v/>
      </c>
      <c r="S295" s="31">
        <f>IF(N295&lt;&gt;"OK","",P295+(R295-P295)*(I295-O295)/(Q295-O295))</f>
        <v/>
      </c>
      <c r="T295" s="31">
        <f>IF(OR(N295&lt;&gt;"OK",NOT(ISNUMBER(M295))),"",M295-S295)</f>
        <v/>
      </c>
      <c r="U295" s="49">
        <f>IF(OR($E294&lt;&gt;"측정",$C294&lt;&gt;$C295,$D294&lt;&gt;$D295,NOT(ISNUMBER(M295)),NOT(ISNUMBER(M294)),(IF(ISNUMBER(G295),G295,F295)-IF(ISNUMBER(G294),G294,F294))=0),"",(M295-M294)/((IF(ISNUMBER(G295),G295,F295)-IF(ISNUMBER(G294),G294,F294))/100))</f>
        <v/>
      </c>
      <c r="V295" s="29" t="n"/>
      <c r="W295" s="29" t="n"/>
      <c r="X295" s="32" t="n"/>
    </row>
    <row r="296">
      <c r="A296" s="26" t="inlineStr">
        <is>
          <t>S25</t>
        </is>
      </c>
      <c r="B296" s="26" t="inlineStr">
        <is>
          <t>관리 신규점3</t>
        </is>
      </c>
      <c r="C296" s="26" t="inlineStr">
        <is>
          <t>S25-V</t>
        </is>
      </c>
      <c r="D296" s="47" t="n">
        <v>1</v>
      </c>
      <c r="E296" s="26" t="inlineStr">
        <is>
          <t>측정</t>
        </is>
      </c>
      <c r="F296" s="47" t="n">
        <v>40</v>
      </c>
      <c r="G296" s="41" t="n"/>
      <c r="H296" s="29" t="n"/>
      <c r="I296" s="43" t="n"/>
      <c r="J296" s="41" t="n"/>
      <c r="K296" s="41" t="n"/>
      <c r="L296" s="41" t="n"/>
      <c r="M296" s="31">
        <f>IF(COUNT(J296:L296)=0,"",MEDIAN(J296:L296))</f>
        <v/>
      </c>
      <c r="N296" s="26">
        <f>IF(COUNTIFS($C:$C,$C296,$D:$D,$D296,$E:$E,"기준(전)",$M:$M,"&gt;0")&lt;&gt;1,"기준(전) 유효 1개 아님",IF(COUNTIFS($C:$C,$C296,$D:$D,$D296,$E:$E,"기준(후)",$M:$M,"&gt;0")&lt;&gt;1,"기준(후) 유효 1개 아님",IF(NOT(AND(ISNUMBER(O296),ISNUMBER(Q296),ISNUMBER(I296))),"시각 결측",IF(Q296&lt;=O296,"기준 시각 역전",IF(OR(I296&lt;O296,I296&gt;Q296),"측정시각 구간 밖","OK")))))</f>
        <v/>
      </c>
      <c r="O296" s="48">
        <f>IF(COUNTIFS($C:$C,$C296,$D:$D,$D296,$E:$E,"기준(전)",$M:$M,"&gt;0")&lt;&gt;1,"",SUMIFS($I:$I,$C:$C,$C296,$D:$D,$D296,$E:$E,"기준(전)"))</f>
        <v/>
      </c>
      <c r="P296" s="31">
        <f>IF(COUNTIFS($C:$C,$C296,$D:$D,$D296,$E:$E,"기준(전)",$M:$M,"&gt;0")&lt;&gt;1,"",SUMIFS($M:$M,$C:$C,$C296,$D:$D,$D296,$E:$E,"기준(전)"))</f>
        <v/>
      </c>
      <c r="Q296" s="48">
        <f>IF(COUNTIFS($C:$C,$C296,$D:$D,$D296,$E:$E,"기준(후)",$M:$M,"&gt;0")&lt;&gt;1,"",SUMIFS($I:$I,$C:$C,$C296,$D:$D,$D296,$E:$E,"기준(후)"))</f>
        <v/>
      </c>
      <c r="R296" s="31">
        <f>IF(COUNTIFS($C:$C,$C296,$D:$D,$D296,$E:$E,"기준(후)",$M:$M,"&gt;0")&lt;&gt;1,"",SUMIFS($M:$M,$C:$C,$C296,$D:$D,$D296,$E:$E,"기준(후)"))</f>
        <v/>
      </c>
      <c r="S296" s="31">
        <f>IF(N296&lt;&gt;"OK","",P296+(R296-P296)*(I296-O296)/(Q296-O296))</f>
        <v/>
      </c>
      <c r="T296" s="31">
        <f>IF(OR(N296&lt;&gt;"OK",NOT(ISNUMBER(M296))),"",M296-S296)</f>
        <v/>
      </c>
      <c r="U296" s="49">
        <f>IF(OR($E295&lt;&gt;"측정",$C295&lt;&gt;$C296,$D295&lt;&gt;$D296,NOT(ISNUMBER(M296)),NOT(ISNUMBER(M295)),(IF(ISNUMBER(G296),G296,F296)-IF(ISNUMBER(G295),G295,F295))=0),"",(M296-M295)/((IF(ISNUMBER(G296),G296,F296)-IF(ISNUMBER(G295),G295,F295))/100))</f>
        <v/>
      </c>
      <c r="V296" s="29" t="n"/>
      <c r="W296" s="29" t="n"/>
      <c r="X296" s="32" t="n"/>
    </row>
    <row r="297">
      <c r="A297" s="26" t="inlineStr">
        <is>
          <t>S25</t>
        </is>
      </c>
      <c r="B297" s="26" t="inlineStr">
        <is>
          <t>관리 신규점3</t>
        </is>
      </c>
      <c r="C297" s="26" t="inlineStr">
        <is>
          <t>S25-V</t>
        </is>
      </c>
      <c r="D297" s="47" t="n">
        <v>1</v>
      </c>
      <c r="E297" s="26" t="inlineStr">
        <is>
          <t>측정</t>
        </is>
      </c>
      <c r="F297" s="47" t="n">
        <v>60</v>
      </c>
      <c r="G297" s="41" t="n"/>
      <c r="H297" s="29" t="n"/>
      <c r="I297" s="43" t="n"/>
      <c r="J297" s="41" t="n"/>
      <c r="K297" s="41" t="n"/>
      <c r="L297" s="41" t="n"/>
      <c r="M297" s="31">
        <f>IF(COUNT(J297:L297)=0,"",MEDIAN(J297:L297))</f>
        <v/>
      </c>
      <c r="N297" s="26">
        <f>IF(COUNTIFS($C:$C,$C297,$D:$D,$D297,$E:$E,"기준(전)",$M:$M,"&gt;0")&lt;&gt;1,"기준(전) 유효 1개 아님",IF(COUNTIFS($C:$C,$C297,$D:$D,$D297,$E:$E,"기준(후)",$M:$M,"&gt;0")&lt;&gt;1,"기준(후) 유효 1개 아님",IF(NOT(AND(ISNUMBER(O297),ISNUMBER(Q297),ISNUMBER(I297))),"시각 결측",IF(Q297&lt;=O297,"기준 시각 역전",IF(OR(I297&lt;O297,I297&gt;Q297),"측정시각 구간 밖","OK")))))</f>
        <v/>
      </c>
      <c r="O297" s="48">
        <f>IF(COUNTIFS($C:$C,$C297,$D:$D,$D297,$E:$E,"기준(전)",$M:$M,"&gt;0")&lt;&gt;1,"",SUMIFS($I:$I,$C:$C,$C297,$D:$D,$D297,$E:$E,"기준(전)"))</f>
        <v/>
      </c>
      <c r="P297" s="31">
        <f>IF(COUNTIFS($C:$C,$C297,$D:$D,$D297,$E:$E,"기준(전)",$M:$M,"&gt;0")&lt;&gt;1,"",SUMIFS($M:$M,$C:$C,$C297,$D:$D,$D297,$E:$E,"기준(전)"))</f>
        <v/>
      </c>
      <c r="Q297" s="48">
        <f>IF(COUNTIFS($C:$C,$C297,$D:$D,$D297,$E:$E,"기준(후)",$M:$M,"&gt;0")&lt;&gt;1,"",SUMIFS($I:$I,$C:$C,$C297,$D:$D,$D297,$E:$E,"기준(후)"))</f>
        <v/>
      </c>
      <c r="R297" s="31">
        <f>IF(COUNTIFS($C:$C,$C297,$D:$D,$D297,$E:$E,"기준(후)",$M:$M,"&gt;0")&lt;&gt;1,"",SUMIFS($M:$M,$C:$C,$C297,$D:$D,$D297,$E:$E,"기준(후)"))</f>
        <v/>
      </c>
      <c r="S297" s="31">
        <f>IF(N297&lt;&gt;"OK","",P297+(R297-P297)*(I297-O297)/(Q297-O297))</f>
        <v/>
      </c>
      <c r="T297" s="31">
        <f>IF(OR(N297&lt;&gt;"OK",NOT(ISNUMBER(M297))),"",M297-S297)</f>
        <v/>
      </c>
      <c r="U297" s="49">
        <f>IF(OR($E296&lt;&gt;"측정",$C296&lt;&gt;$C297,$D296&lt;&gt;$D297,NOT(ISNUMBER(M297)),NOT(ISNUMBER(M296)),(IF(ISNUMBER(G297),G297,F297)-IF(ISNUMBER(G296),G296,F296))=0),"",(M297-M296)/((IF(ISNUMBER(G297),G297,F297)-IF(ISNUMBER(G296),G296,F296))/100))</f>
        <v/>
      </c>
      <c r="V297" s="29" t="n"/>
      <c r="W297" s="29" t="n"/>
      <c r="X297" s="32" t="n"/>
    </row>
    <row r="298">
      <c r="A298" s="26" t="inlineStr">
        <is>
          <t>S25</t>
        </is>
      </c>
      <c r="B298" s="26" t="inlineStr">
        <is>
          <t>관리 신규점3</t>
        </is>
      </c>
      <c r="C298" s="26" t="inlineStr">
        <is>
          <t>S25-V</t>
        </is>
      </c>
      <c r="D298" s="47" t="n">
        <v>1</v>
      </c>
      <c r="E298" s="26" t="inlineStr">
        <is>
          <t>측정</t>
        </is>
      </c>
      <c r="F298" s="47" t="n">
        <v>80</v>
      </c>
      <c r="G298" s="41" t="n"/>
      <c r="H298" s="29" t="n"/>
      <c r="I298" s="43" t="n"/>
      <c r="J298" s="41" t="n"/>
      <c r="K298" s="41" t="n"/>
      <c r="L298" s="41" t="n"/>
      <c r="M298" s="31">
        <f>IF(COUNT(J298:L298)=0,"",MEDIAN(J298:L298))</f>
        <v/>
      </c>
      <c r="N298" s="26">
        <f>IF(COUNTIFS($C:$C,$C298,$D:$D,$D298,$E:$E,"기준(전)",$M:$M,"&gt;0")&lt;&gt;1,"기준(전) 유효 1개 아님",IF(COUNTIFS($C:$C,$C298,$D:$D,$D298,$E:$E,"기준(후)",$M:$M,"&gt;0")&lt;&gt;1,"기준(후) 유효 1개 아님",IF(NOT(AND(ISNUMBER(O298),ISNUMBER(Q298),ISNUMBER(I298))),"시각 결측",IF(Q298&lt;=O298,"기준 시각 역전",IF(OR(I298&lt;O298,I298&gt;Q298),"측정시각 구간 밖","OK")))))</f>
        <v/>
      </c>
      <c r="O298" s="48">
        <f>IF(COUNTIFS($C:$C,$C298,$D:$D,$D298,$E:$E,"기준(전)",$M:$M,"&gt;0")&lt;&gt;1,"",SUMIFS($I:$I,$C:$C,$C298,$D:$D,$D298,$E:$E,"기준(전)"))</f>
        <v/>
      </c>
      <c r="P298" s="31">
        <f>IF(COUNTIFS($C:$C,$C298,$D:$D,$D298,$E:$E,"기준(전)",$M:$M,"&gt;0")&lt;&gt;1,"",SUMIFS($M:$M,$C:$C,$C298,$D:$D,$D298,$E:$E,"기준(전)"))</f>
        <v/>
      </c>
      <c r="Q298" s="48">
        <f>IF(COUNTIFS($C:$C,$C298,$D:$D,$D298,$E:$E,"기준(후)",$M:$M,"&gt;0")&lt;&gt;1,"",SUMIFS($I:$I,$C:$C,$C298,$D:$D,$D298,$E:$E,"기준(후)"))</f>
        <v/>
      </c>
      <c r="R298" s="31">
        <f>IF(COUNTIFS($C:$C,$C298,$D:$D,$D298,$E:$E,"기준(후)",$M:$M,"&gt;0")&lt;&gt;1,"",SUMIFS($M:$M,$C:$C,$C298,$D:$D,$D298,$E:$E,"기준(후)"))</f>
        <v/>
      </c>
      <c r="S298" s="31">
        <f>IF(N298&lt;&gt;"OK","",P298+(R298-P298)*(I298-O298)/(Q298-O298))</f>
        <v/>
      </c>
      <c r="T298" s="31">
        <f>IF(OR(N298&lt;&gt;"OK",NOT(ISNUMBER(M298))),"",M298-S298)</f>
        <v/>
      </c>
      <c r="U298" s="49">
        <f>IF(OR($E297&lt;&gt;"측정",$C297&lt;&gt;$C298,$D297&lt;&gt;$D298,NOT(ISNUMBER(M298)),NOT(ISNUMBER(M297)),(IF(ISNUMBER(G298),G298,F298)-IF(ISNUMBER(G297),G297,F297))=0),"",(M298-M297)/((IF(ISNUMBER(G298),G298,F298)-IF(ISNUMBER(G297),G297,F297))/100))</f>
        <v/>
      </c>
      <c r="V298" s="29" t="n"/>
      <c r="W298" s="29" t="n"/>
      <c r="X298" s="32" t="n"/>
    </row>
    <row r="299">
      <c r="A299" s="26" t="inlineStr">
        <is>
          <t>S25</t>
        </is>
      </c>
      <c r="B299" s="26" t="inlineStr">
        <is>
          <t>관리 신규점3</t>
        </is>
      </c>
      <c r="C299" s="26" t="inlineStr">
        <is>
          <t>S25-V</t>
        </is>
      </c>
      <c r="D299" s="47" t="n">
        <v>1</v>
      </c>
      <c r="E299" s="26" t="inlineStr">
        <is>
          <t>측정</t>
        </is>
      </c>
      <c r="F299" s="47" t="n">
        <v>100</v>
      </c>
      <c r="G299" s="41" t="n"/>
      <c r="H299" s="29" t="n"/>
      <c r="I299" s="43" t="n"/>
      <c r="J299" s="41" t="n"/>
      <c r="K299" s="41" t="n"/>
      <c r="L299" s="41" t="n"/>
      <c r="M299" s="31">
        <f>IF(COUNT(J299:L299)=0,"",MEDIAN(J299:L299))</f>
        <v/>
      </c>
      <c r="N299" s="26">
        <f>IF(COUNTIFS($C:$C,$C299,$D:$D,$D299,$E:$E,"기준(전)",$M:$M,"&gt;0")&lt;&gt;1,"기준(전) 유효 1개 아님",IF(COUNTIFS($C:$C,$C299,$D:$D,$D299,$E:$E,"기준(후)",$M:$M,"&gt;0")&lt;&gt;1,"기준(후) 유효 1개 아님",IF(NOT(AND(ISNUMBER(O299),ISNUMBER(Q299),ISNUMBER(I299))),"시각 결측",IF(Q299&lt;=O299,"기준 시각 역전",IF(OR(I299&lt;O299,I299&gt;Q299),"측정시각 구간 밖","OK")))))</f>
        <v/>
      </c>
      <c r="O299" s="48">
        <f>IF(COUNTIFS($C:$C,$C299,$D:$D,$D299,$E:$E,"기준(전)",$M:$M,"&gt;0")&lt;&gt;1,"",SUMIFS($I:$I,$C:$C,$C299,$D:$D,$D299,$E:$E,"기준(전)"))</f>
        <v/>
      </c>
      <c r="P299" s="31">
        <f>IF(COUNTIFS($C:$C,$C299,$D:$D,$D299,$E:$E,"기준(전)",$M:$M,"&gt;0")&lt;&gt;1,"",SUMIFS($M:$M,$C:$C,$C299,$D:$D,$D299,$E:$E,"기준(전)"))</f>
        <v/>
      </c>
      <c r="Q299" s="48">
        <f>IF(COUNTIFS($C:$C,$C299,$D:$D,$D299,$E:$E,"기준(후)",$M:$M,"&gt;0")&lt;&gt;1,"",SUMIFS($I:$I,$C:$C,$C299,$D:$D,$D299,$E:$E,"기준(후)"))</f>
        <v/>
      </c>
      <c r="R299" s="31">
        <f>IF(COUNTIFS($C:$C,$C299,$D:$D,$D299,$E:$E,"기준(후)",$M:$M,"&gt;0")&lt;&gt;1,"",SUMIFS($M:$M,$C:$C,$C299,$D:$D,$D299,$E:$E,"기준(후)"))</f>
        <v/>
      </c>
      <c r="S299" s="31">
        <f>IF(N299&lt;&gt;"OK","",P299+(R299-P299)*(I299-O299)/(Q299-O299))</f>
        <v/>
      </c>
      <c r="T299" s="31">
        <f>IF(OR(N299&lt;&gt;"OK",NOT(ISNUMBER(M299))),"",M299-S299)</f>
        <v/>
      </c>
      <c r="U299" s="49">
        <f>IF(OR($E298&lt;&gt;"측정",$C298&lt;&gt;$C299,$D298&lt;&gt;$D299,NOT(ISNUMBER(M299)),NOT(ISNUMBER(M298)),(IF(ISNUMBER(G299),G299,F299)-IF(ISNUMBER(G298),G298,F298))=0),"",(M299-M298)/((IF(ISNUMBER(G299),G299,F299)-IF(ISNUMBER(G298),G298,F298))/100))</f>
        <v/>
      </c>
      <c r="V299" s="29" t="n"/>
      <c r="W299" s="29" t="n"/>
      <c r="X299" s="32" t="n"/>
    </row>
    <row r="300">
      <c r="A300" s="26" t="inlineStr">
        <is>
          <t>S25</t>
        </is>
      </c>
      <c r="B300" s="26" t="inlineStr">
        <is>
          <t>관리 신규점3</t>
        </is>
      </c>
      <c r="C300" s="26" t="inlineStr">
        <is>
          <t>S25-V</t>
        </is>
      </c>
      <c r="D300" s="47" t="n">
        <v>1</v>
      </c>
      <c r="E300" s="26" t="inlineStr">
        <is>
          <t>측정</t>
        </is>
      </c>
      <c r="F300" s="47" t="n">
        <v>120</v>
      </c>
      <c r="G300" s="41" t="n"/>
      <c r="H300" s="29" t="n"/>
      <c r="I300" s="43" t="n"/>
      <c r="J300" s="41" t="n"/>
      <c r="K300" s="41" t="n"/>
      <c r="L300" s="41" t="n"/>
      <c r="M300" s="31">
        <f>IF(COUNT(J300:L300)=0,"",MEDIAN(J300:L300))</f>
        <v/>
      </c>
      <c r="N300" s="26">
        <f>IF(COUNTIFS($C:$C,$C300,$D:$D,$D300,$E:$E,"기준(전)",$M:$M,"&gt;0")&lt;&gt;1,"기준(전) 유효 1개 아님",IF(COUNTIFS($C:$C,$C300,$D:$D,$D300,$E:$E,"기준(후)",$M:$M,"&gt;0")&lt;&gt;1,"기준(후) 유효 1개 아님",IF(NOT(AND(ISNUMBER(O300),ISNUMBER(Q300),ISNUMBER(I300))),"시각 결측",IF(Q300&lt;=O300,"기준 시각 역전",IF(OR(I300&lt;O300,I300&gt;Q300),"측정시각 구간 밖","OK")))))</f>
        <v/>
      </c>
      <c r="O300" s="48">
        <f>IF(COUNTIFS($C:$C,$C300,$D:$D,$D300,$E:$E,"기준(전)",$M:$M,"&gt;0")&lt;&gt;1,"",SUMIFS($I:$I,$C:$C,$C300,$D:$D,$D300,$E:$E,"기준(전)"))</f>
        <v/>
      </c>
      <c r="P300" s="31">
        <f>IF(COUNTIFS($C:$C,$C300,$D:$D,$D300,$E:$E,"기준(전)",$M:$M,"&gt;0")&lt;&gt;1,"",SUMIFS($M:$M,$C:$C,$C300,$D:$D,$D300,$E:$E,"기준(전)"))</f>
        <v/>
      </c>
      <c r="Q300" s="48">
        <f>IF(COUNTIFS($C:$C,$C300,$D:$D,$D300,$E:$E,"기준(후)",$M:$M,"&gt;0")&lt;&gt;1,"",SUMIFS($I:$I,$C:$C,$C300,$D:$D,$D300,$E:$E,"기준(후)"))</f>
        <v/>
      </c>
      <c r="R300" s="31">
        <f>IF(COUNTIFS($C:$C,$C300,$D:$D,$D300,$E:$E,"기준(후)",$M:$M,"&gt;0")&lt;&gt;1,"",SUMIFS($M:$M,$C:$C,$C300,$D:$D,$D300,$E:$E,"기준(후)"))</f>
        <v/>
      </c>
      <c r="S300" s="31">
        <f>IF(N300&lt;&gt;"OK","",P300+(R300-P300)*(I300-O300)/(Q300-O300))</f>
        <v/>
      </c>
      <c r="T300" s="31">
        <f>IF(OR(N300&lt;&gt;"OK",NOT(ISNUMBER(M300))),"",M300-S300)</f>
        <v/>
      </c>
      <c r="U300" s="49">
        <f>IF(OR($E299&lt;&gt;"측정",$C299&lt;&gt;$C300,$D299&lt;&gt;$D300,NOT(ISNUMBER(M300)),NOT(ISNUMBER(M299)),(IF(ISNUMBER(G300),G300,F300)-IF(ISNUMBER(G299),G299,F299))=0),"",(M300-M299)/((IF(ISNUMBER(G300),G300,F300)-IF(ISNUMBER(G299),G299,F299))/100))</f>
        <v/>
      </c>
      <c r="V300" s="29" t="n"/>
      <c r="W300" s="29" t="n"/>
      <c r="X300" s="32" t="n"/>
    </row>
    <row r="301">
      <c r="A301" s="26" t="inlineStr">
        <is>
          <t>S25</t>
        </is>
      </c>
      <c r="B301" s="26" t="inlineStr">
        <is>
          <t>관리 신규점3</t>
        </is>
      </c>
      <c r="C301" s="26" t="inlineStr">
        <is>
          <t>S25-V</t>
        </is>
      </c>
      <c r="D301" s="47" t="n">
        <v>1</v>
      </c>
      <c r="E301" s="26" t="inlineStr">
        <is>
          <t>측정</t>
        </is>
      </c>
      <c r="F301" s="47" t="n">
        <v>140</v>
      </c>
      <c r="G301" s="41" t="n"/>
      <c r="H301" s="29" t="n"/>
      <c r="I301" s="43" t="n"/>
      <c r="J301" s="41" t="n"/>
      <c r="K301" s="41" t="n"/>
      <c r="L301" s="41" t="n"/>
      <c r="M301" s="31">
        <f>IF(COUNT(J301:L301)=0,"",MEDIAN(J301:L301))</f>
        <v/>
      </c>
      <c r="N301" s="26">
        <f>IF(COUNTIFS($C:$C,$C301,$D:$D,$D301,$E:$E,"기준(전)",$M:$M,"&gt;0")&lt;&gt;1,"기준(전) 유효 1개 아님",IF(COUNTIFS($C:$C,$C301,$D:$D,$D301,$E:$E,"기준(후)",$M:$M,"&gt;0")&lt;&gt;1,"기준(후) 유효 1개 아님",IF(NOT(AND(ISNUMBER(O301),ISNUMBER(Q301),ISNUMBER(I301))),"시각 결측",IF(Q301&lt;=O301,"기준 시각 역전",IF(OR(I301&lt;O301,I301&gt;Q301),"측정시각 구간 밖","OK")))))</f>
        <v/>
      </c>
      <c r="O301" s="48">
        <f>IF(COUNTIFS($C:$C,$C301,$D:$D,$D301,$E:$E,"기준(전)",$M:$M,"&gt;0")&lt;&gt;1,"",SUMIFS($I:$I,$C:$C,$C301,$D:$D,$D301,$E:$E,"기준(전)"))</f>
        <v/>
      </c>
      <c r="P301" s="31">
        <f>IF(COUNTIFS($C:$C,$C301,$D:$D,$D301,$E:$E,"기준(전)",$M:$M,"&gt;0")&lt;&gt;1,"",SUMIFS($M:$M,$C:$C,$C301,$D:$D,$D301,$E:$E,"기준(전)"))</f>
        <v/>
      </c>
      <c r="Q301" s="48">
        <f>IF(COUNTIFS($C:$C,$C301,$D:$D,$D301,$E:$E,"기준(후)",$M:$M,"&gt;0")&lt;&gt;1,"",SUMIFS($I:$I,$C:$C,$C301,$D:$D,$D301,$E:$E,"기준(후)"))</f>
        <v/>
      </c>
      <c r="R301" s="31">
        <f>IF(COUNTIFS($C:$C,$C301,$D:$D,$D301,$E:$E,"기준(후)",$M:$M,"&gt;0")&lt;&gt;1,"",SUMIFS($M:$M,$C:$C,$C301,$D:$D,$D301,$E:$E,"기준(후)"))</f>
        <v/>
      </c>
      <c r="S301" s="31">
        <f>IF(N301&lt;&gt;"OK","",P301+(R301-P301)*(I301-O301)/(Q301-O301))</f>
        <v/>
      </c>
      <c r="T301" s="31">
        <f>IF(OR(N301&lt;&gt;"OK",NOT(ISNUMBER(M301))),"",M301-S301)</f>
        <v/>
      </c>
      <c r="U301" s="49">
        <f>IF(OR($E300&lt;&gt;"측정",$C300&lt;&gt;$C301,$D300&lt;&gt;$D301,NOT(ISNUMBER(M301)),NOT(ISNUMBER(M300)),(IF(ISNUMBER(G301),G301,F301)-IF(ISNUMBER(G300),G300,F300))=0),"",(M301-M300)/((IF(ISNUMBER(G301),G301,F301)-IF(ISNUMBER(G300),G300,F300))/100))</f>
        <v/>
      </c>
      <c r="V301" s="29" t="n"/>
      <c r="W301" s="29" t="n"/>
      <c r="X301" s="32" t="n"/>
    </row>
    <row r="302">
      <c r="A302" s="26" t="inlineStr">
        <is>
          <t>S25</t>
        </is>
      </c>
      <c r="B302" s="26" t="inlineStr">
        <is>
          <t>관리 신규점3</t>
        </is>
      </c>
      <c r="C302" s="26" t="inlineStr">
        <is>
          <t>S25-V</t>
        </is>
      </c>
      <c r="D302" s="47" t="n">
        <v>1</v>
      </c>
      <c r="E302" s="26" t="inlineStr">
        <is>
          <t>측정</t>
        </is>
      </c>
      <c r="F302" s="47" t="n">
        <v>160</v>
      </c>
      <c r="G302" s="41" t="n"/>
      <c r="H302" s="29" t="n"/>
      <c r="I302" s="43" t="n"/>
      <c r="J302" s="41" t="n"/>
      <c r="K302" s="41" t="n"/>
      <c r="L302" s="41" t="n"/>
      <c r="M302" s="31">
        <f>IF(COUNT(J302:L302)=0,"",MEDIAN(J302:L302))</f>
        <v/>
      </c>
      <c r="N302" s="26">
        <f>IF(COUNTIFS($C:$C,$C302,$D:$D,$D302,$E:$E,"기준(전)",$M:$M,"&gt;0")&lt;&gt;1,"기준(전) 유효 1개 아님",IF(COUNTIFS($C:$C,$C302,$D:$D,$D302,$E:$E,"기준(후)",$M:$M,"&gt;0")&lt;&gt;1,"기준(후) 유효 1개 아님",IF(NOT(AND(ISNUMBER(O302),ISNUMBER(Q302),ISNUMBER(I302))),"시각 결측",IF(Q302&lt;=O302,"기준 시각 역전",IF(OR(I302&lt;O302,I302&gt;Q302),"측정시각 구간 밖","OK")))))</f>
        <v/>
      </c>
      <c r="O302" s="48">
        <f>IF(COUNTIFS($C:$C,$C302,$D:$D,$D302,$E:$E,"기준(전)",$M:$M,"&gt;0")&lt;&gt;1,"",SUMIFS($I:$I,$C:$C,$C302,$D:$D,$D302,$E:$E,"기준(전)"))</f>
        <v/>
      </c>
      <c r="P302" s="31">
        <f>IF(COUNTIFS($C:$C,$C302,$D:$D,$D302,$E:$E,"기준(전)",$M:$M,"&gt;0")&lt;&gt;1,"",SUMIFS($M:$M,$C:$C,$C302,$D:$D,$D302,$E:$E,"기준(전)"))</f>
        <v/>
      </c>
      <c r="Q302" s="48">
        <f>IF(COUNTIFS($C:$C,$C302,$D:$D,$D302,$E:$E,"기준(후)",$M:$M,"&gt;0")&lt;&gt;1,"",SUMIFS($I:$I,$C:$C,$C302,$D:$D,$D302,$E:$E,"기준(후)"))</f>
        <v/>
      </c>
      <c r="R302" s="31">
        <f>IF(COUNTIFS($C:$C,$C302,$D:$D,$D302,$E:$E,"기준(후)",$M:$M,"&gt;0")&lt;&gt;1,"",SUMIFS($M:$M,$C:$C,$C302,$D:$D,$D302,$E:$E,"기준(후)"))</f>
        <v/>
      </c>
      <c r="S302" s="31">
        <f>IF(N302&lt;&gt;"OK","",P302+(R302-P302)*(I302-O302)/(Q302-O302))</f>
        <v/>
      </c>
      <c r="T302" s="31">
        <f>IF(OR(N302&lt;&gt;"OK",NOT(ISNUMBER(M302))),"",M302-S302)</f>
        <v/>
      </c>
      <c r="U302" s="49">
        <f>IF(OR($E301&lt;&gt;"측정",$C301&lt;&gt;$C302,$D301&lt;&gt;$D302,NOT(ISNUMBER(M302)),NOT(ISNUMBER(M301)),(IF(ISNUMBER(G302),G302,F302)-IF(ISNUMBER(G301),G301,F301))=0),"",(M302-M301)/((IF(ISNUMBER(G302),G302,F302)-IF(ISNUMBER(G301),G301,F301))/100))</f>
        <v/>
      </c>
      <c r="V302" s="29" t="n"/>
      <c r="W302" s="29" t="n"/>
      <c r="X302" s="32" t="n"/>
    </row>
    <row r="303">
      <c r="A303" s="26" t="inlineStr">
        <is>
          <t>S25</t>
        </is>
      </c>
      <c r="B303" s="26" t="inlineStr">
        <is>
          <t>관리 신규점3</t>
        </is>
      </c>
      <c r="C303" s="26" t="inlineStr">
        <is>
          <t>S25-V</t>
        </is>
      </c>
      <c r="D303" s="47" t="n">
        <v>1</v>
      </c>
      <c r="E303" s="26" t="inlineStr">
        <is>
          <t>측정</t>
        </is>
      </c>
      <c r="F303" s="47" t="n">
        <v>180</v>
      </c>
      <c r="G303" s="41" t="n"/>
      <c r="H303" s="29" t="n"/>
      <c r="I303" s="43" t="n"/>
      <c r="J303" s="41" t="n"/>
      <c r="K303" s="41" t="n"/>
      <c r="L303" s="41" t="n"/>
      <c r="M303" s="31">
        <f>IF(COUNT(J303:L303)=0,"",MEDIAN(J303:L303))</f>
        <v/>
      </c>
      <c r="N303" s="26">
        <f>IF(COUNTIFS($C:$C,$C303,$D:$D,$D303,$E:$E,"기준(전)",$M:$M,"&gt;0")&lt;&gt;1,"기준(전) 유효 1개 아님",IF(COUNTIFS($C:$C,$C303,$D:$D,$D303,$E:$E,"기준(후)",$M:$M,"&gt;0")&lt;&gt;1,"기준(후) 유효 1개 아님",IF(NOT(AND(ISNUMBER(O303),ISNUMBER(Q303),ISNUMBER(I303))),"시각 결측",IF(Q303&lt;=O303,"기준 시각 역전",IF(OR(I303&lt;O303,I303&gt;Q303),"측정시각 구간 밖","OK")))))</f>
        <v/>
      </c>
      <c r="O303" s="48">
        <f>IF(COUNTIFS($C:$C,$C303,$D:$D,$D303,$E:$E,"기준(전)",$M:$M,"&gt;0")&lt;&gt;1,"",SUMIFS($I:$I,$C:$C,$C303,$D:$D,$D303,$E:$E,"기준(전)"))</f>
        <v/>
      </c>
      <c r="P303" s="31">
        <f>IF(COUNTIFS($C:$C,$C303,$D:$D,$D303,$E:$E,"기준(전)",$M:$M,"&gt;0")&lt;&gt;1,"",SUMIFS($M:$M,$C:$C,$C303,$D:$D,$D303,$E:$E,"기준(전)"))</f>
        <v/>
      </c>
      <c r="Q303" s="48">
        <f>IF(COUNTIFS($C:$C,$C303,$D:$D,$D303,$E:$E,"기준(후)",$M:$M,"&gt;0")&lt;&gt;1,"",SUMIFS($I:$I,$C:$C,$C303,$D:$D,$D303,$E:$E,"기준(후)"))</f>
        <v/>
      </c>
      <c r="R303" s="31">
        <f>IF(COUNTIFS($C:$C,$C303,$D:$D,$D303,$E:$E,"기준(후)",$M:$M,"&gt;0")&lt;&gt;1,"",SUMIFS($M:$M,$C:$C,$C303,$D:$D,$D303,$E:$E,"기준(후)"))</f>
        <v/>
      </c>
      <c r="S303" s="31">
        <f>IF(N303&lt;&gt;"OK","",P303+(R303-P303)*(I303-O303)/(Q303-O303))</f>
        <v/>
      </c>
      <c r="T303" s="31">
        <f>IF(OR(N303&lt;&gt;"OK",NOT(ISNUMBER(M303))),"",M303-S303)</f>
        <v/>
      </c>
      <c r="U303" s="49">
        <f>IF(OR($E302&lt;&gt;"측정",$C302&lt;&gt;$C303,$D302&lt;&gt;$D303,NOT(ISNUMBER(M303)),NOT(ISNUMBER(M302)),(IF(ISNUMBER(G303),G303,F303)-IF(ISNUMBER(G302),G302,F302))=0),"",(M303-M302)/((IF(ISNUMBER(G303),G303,F303)-IF(ISNUMBER(G302),G302,F302))/100))</f>
        <v/>
      </c>
      <c r="V303" s="29" t="n"/>
      <c r="W303" s="29" t="n"/>
      <c r="X303" s="32" t="n"/>
    </row>
    <row r="304">
      <c r="A304" s="26" t="inlineStr">
        <is>
          <t>S25</t>
        </is>
      </c>
      <c r="B304" s="26" t="inlineStr">
        <is>
          <t>관리 신규점3</t>
        </is>
      </c>
      <c r="C304" s="26" t="inlineStr">
        <is>
          <t>S25-V</t>
        </is>
      </c>
      <c r="D304" s="47" t="n">
        <v>1</v>
      </c>
      <c r="E304" s="26" t="inlineStr">
        <is>
          <t>측정</t>
        </is>
      </c>
      <c r="F304" s="47" t="n">
        <v>200</v>
      </c>
      <c r="G304" s="41" t="n"/>
      <c r="H304" s="29" t="n"/>
      <c r="I304" s="43" t="n"/>
      <c r="J304" s="41" t="n"/>
      <c r="K304" s="41" t="n"/>
      <c r="L304" s="41" t="n"/>
      <c r="M304" s="31">
        <f>IF(COUNT(J304:L304)=0,"",MEDIAN(J304:L304))</f>
        <v/>
      </c>
      <c r="N304" s="26">
        <f>IF(COUNTIFS($C:$C,$C304,$D:$D,$D304,$E:$E,"기준(전)",$M:$M,"&gt;0")&lt;&gt;1,"기준(전) 유효 1개 아님",IF(COUNTIFS($C:$C,$C304,$D:$D,$D304,$E:$E,"기준(후)",$M:$M,"&gt;0")&lt;&gt;1,"기준(후) 유효 1개 아님",IF(NOT(AND(ISNUMBER(O304),ISNUMBER(Q304),ISNUMBER(I304))),"시각 결측",IF(Q304&lt;=O304,"기준 시각 역전",IF(OR(I304&lt;O304,I304&gt;Q304),"측정시각 구간 밖","OK")))))</f>
        <v/>
      </c>
      <c r="O304" s="48">
        <f>IF(COUNTIFS($C:$C,$C304,$D:$D,$D304,$E:$E,"기준(전)",$M:$M,"&gt;0")&lt;&gt;1,"",SUMIFS($I:$I,$C:$C,$C304,$D:$D,$D304,$E:$E,"기준(전)"))</f>
        <v/>
      </c>
      <c r="P304" s="31">
        <f>IF(COUNTIFS($C:$C,$C304,$D:$D,$D304,$E:$E,"기준(전)",$M:$M,"&gt;0")&lt;&gt;1,"",SUMIFS($M:$M,$C:$C,$C304,$D:$D,$D304,$E:$E,"기준(전)"))</f>
        <v/>
      </c>
      <c r="Q304" s="48">
        <f>IF(COUNTIFS($C:$C,$C304,$D:$D,$D304,$E:$E,"기준(후)",$M:$M,"&gt;0")&lt;&gt;1,"",SUMIFS($I:$I,$C:$C,$C304,$D:$D,$D304,$E:$E,"기준(후)"))</f>
        <v/>
      </c>
      <c r="R304" s="31">
        <f>IF(COUNTIFS($C:$C,$C304,$D:$D,$D304,$E:$E,"기준(후)",$M:$M,"&gt;0")&lt;&gt;1,"",SUMIFS($M:$M,$C:$C,$C304,$D:$D,$D304,$E:$E,"기준(후)"))</f>
        <v/>
      </c>
      <c r="S304" s="31">
        <f>IF(N304&lt;&gt;"OK","",P304+(R304-P304)*(I304-O304)/(Q304-O304))</f>
        <v/>
      </c>
      <c r="T304" s="31">
        <f>IF(OR(N304&lt;&gt;"OK",NOT(ISNUMBER(M304))),"",M304-S304)</f>
        <v/>
      </c>
      <c r="U304" s="49">
        <f>IF(OR($E303&lt;&gt;"측정",$C303&lt;&gt;$C304,$D303&lt;&gt;$D304,NOT(ISNUMBER(M304)),NOT(ISNUMBER(M303)),(IF(ISNUMBER(G304),G304,F304)-IF(ISNUMBER(G303),G303,F303))=0),"",(M304-M303)/((IF(ISNUMBER(G304),G304,F304)-IF(ISNUMBER(G303),G303,F303))/100))</f>
        <v/>
      </c>
      <c r="V304" s="29" t="n"/>
      <c r="W304" s="29" t="n"/>
      <c r="X304" s="32" t="n"/>
    </row>
    <row r="305">
      <c r="A305" s="44" t="inlineStr">
        <is>
          <t>S25</t>
        </is>
      </c>
      <c r="B305" s="44" t="inlineStr">
        <is>
          <t>관리 신규점3</t>
        </is>
      </c>
      <c r="C305" s="44" t="inlineStr">
        <is>
          <t>S25-V</t>
        </is>
      </c>
      <c r="D305" s="45" t="n">
        <v>1</v>
      </c>
      <c r="E305" s="44" t="inlineStr">
        <is>
          <t>기준(후)</t>
        </is>
      </c>
      <c r="F305" s="45" t="n"/>
      <c r="G305" s="41" t="n"/>
      <c r="H305" s="29" t="n"/>
      <c r="I305" s="43" t="n"/>
      <c r="J305" s="41" t="n"/>
      <c r="K305" s="41" t="n"/>
      <c r="L305" s="41" t="n"/>
      <c r="M305" s="31">
        <f>IF(COUNT(J305:L305)=0,"",MEDIAN(J305:L305))</f>
        <v/>
      </c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29" t="n"/>
      <c r="W305" s="29" t="n"/>
      <c r="X305" s="32" t="n"/>
    </row>
    <row r="306">
      <c r="A306" s="44" t="inlineStr">
        <is>
          <t>S26</t>
        </is>
      </c>
      <c r="B306" s="44" t="inlineStr">
        <is>
          <t>고남 신규점2</t>
        </is>
      </c>
      <c r="C306" s="44" t="inlineStr">
        <is>
          <t>S26-V</t>
        </is>
      </c>
      <c r="D306" s="45" t="n">
        <v>1</v>
      </c>
      <c r="E306" s="44" t="inlineStr">
        <is>
          <t>기준(전)</t>
        </is>
      </c>
      <c r="F306" s="45" t="n"/>
      <c r="G306" s="41" t="n"/>
      <c r="H306" s="29" t="n"/>
      <c r="I306" s="43" t="n"/>
      <c r="J306" s="41" t="n"/>
      <c r="K306" s="41" t="n"/>
      <c r="L306" s="41" t="n"/>
      <c r="M306" s="31">
        <f>IF(COUNT(J306:L306)=0,"",MEDIAN(J306:L306))</f>
        <v/>
      </c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29" t="n"/>
      <c r="W306" s="29" t="n"/>
      <c r="X306" s="32" t="n"/>
    </row>
    <row r="307">
      <c r="A307" s="26" t="inlineStr">
        <is>
          <t>S26</t>
        </is>
      </c>
      <c r="B307" s="26" t="inlineStr">
        <is>
          <t>고남 신규점2</t>
        </is>
      </c>
      <c r="C307" s="26" t="inlineStr">
        <is>
          <t>S26-V</t>
        </is>
      </c>
      <c r="D307" s="47" t="n">
        <v>1</v>
      </c>
      <c r="E307" s="26" t="inlineStr">
        <is>
          <t>측정</t>
        </is>
      </c>
      <c r="F307" s="47" t="n">
        <v>20</v>
      </c>
      <c r="G307" s="41" t="n"/>
      <c r="H307" s="29" t="n"/>
      <c r="I307" s="43" t="n"/>
      <c r="J307" s="41" t="n"/>
      <c r="K307" s="41" t="n"/>
      <c r="L307" s="41" t="n"/>
      <c r="M307" s="31">
        <f>IF(COUNT(J307:L307)=0,"",MEDIAN(J307:L307))</f>
        <v/>
      </c>
      <c r="N307" s="26">
        <f>IF(COUNTIFS($C:$C,$C307,$D:$D,$D307,$E:$E,"기준(전)",$M:$M,"&gt;0")&lt;&gt;1,"기준(전) 유효 1개 아님",IF(COUNTIFS($C:$C,$C307,$D:$D,$D307,$E:$E,"기준(후)",$M:$M,"&gt;0")&lt;&gt;1,"기준(후) 유효 1개 아님",IF(NOT(AND(ISNUMBER(O307),ISNUMBER(Q307),ISNUMBER(I307))),"시각 결측",IF(Q307&lt;=O307,"기준 시각 역전",IF(OR(I307&lt;O307,I307&gt;Q307),"측정시각 구간 밖","OK")))))</f>
        <v/>
      </c>
      <c r="O307" s="48">
        <f>IF(COUNTIFS($C:$C,$C307,$D:$D,$D307,$E:$E,"기준(전)",$M:$M,"&gt;0")&lt;&gt;1,"",SUMIFS($I:$I,$C:$C,$C307,$D:$D,$D307,$E:$E,"기준(전)"))</f>
        <v/>
      </c>
      <c r="P307" s="31">
        <f>IF(COUNTIFS($C:$C,$C307,$D:$D,$D307,$E:$E,"기준(전)",$M:$M,"&gt;0")&lt;&gt;1,"",SUMIFS($M:$M,$C:$C,$C307,$D:$D,$D307,$E:$E,"기준(전)"))</f>
        <v/>
      </c>
      <c r="Q307" s="48">
        <f>IF(COUNTIFS($C:$C,$C307,$D:$D,$D307,$E:$E,"기준(후)",$M:$M,"&gt;0")&lt;&gt;1,"",SUMIFS($I:$I,$C:$C,$C307,$D:$D,$D307,$E:$E,"기준(후)"))</f>
        <v/>
      </c>
      <c r="R307" s="31">
        <f>IF(COUNTIFS($C:$C,$C307,$D:$D,$D307,$E:$E,"기준(후)",$M:$M,"&gt;0")&lt;&gt;1,"",SUMIFS($M:$M,$C:$C,$C307,$D:$D,$D307,$E:$E,"기준(후)"))</f>
        <v/>
      </c>
      <c r="S307" s="31">
        <f>IF(N307&lt;&gt;"OK","",P307+(R307-P307)*(I307-O307)/(Q307-O307))</f>
        <v/>
      </c>
      <c r="T307" s="31">
        <f>IF(OR(N307&lt;&gt;"OK",NOT(ISNUMBER(M307))),"",M307-S307)</f>
        <v/>
      </c>
      <c r="U307" s="49">
        <f>IF(OR($E306&lt;&gt;"측정",$C306&lt;&gt;$C307,$D306&lt;&gt;$D307,NOT(ISNUMBER(M307)),NOT(ISNUMBER(M306)),(IF(ISNUMBER(G307),G307,F307)-IF(ISNUMBER(G306),G306,F306))=0),"",(M307-M306)/((IF(ISNUMBER(G307),G307,F307)-IF(ISNUMBER(G306),G306,F306))/100))</f>
        <v/>
      </c>
      <c r="V307" s="29" t="n"/>
      <c r="W307" s="29" t="n"/>
      <c r="X307" s="32" t="n"/>
    </row>
    <row r="308">
      <c r="A308" s="26" t="inlineStr">
        <is>
          <t>S26</t>
        </is>
      </c>
      <c r="B308" s="26" t="inlineStr">
        <is>
          <t>고남 신규점2</t>
        </is>
      </c>
      <c r="C308" s="26" t="inlineStr">
        <is>
          <t>S26-V</t>
        </is>
      </c>
      <c r="D308" s="47" t="n">
        <v>1</v>
      </c>
      <c r="E308" s="26" t="inlineStr">
        <is>
          <t>측정</t>
        </is>
      </c>
      <c r="F308" s="47" t="n">
        <v>40</v>
      </c>
      <c r="G308" s="41" t="n"/>
      <c r="H308" s="29" t="n"/>
      <c r="I308" s="43" t="n"/>
      <c r="J308" s="41" t="n"/>
      <c r="K308" s="41" t="n"/>
      <c r="L308" s="41" t="n"/>
      <c r="M308" s="31">
        <f>IF(COUNT(J308:L308)=0,"",MEDIAN(J308:L308))</f>
        <v/>
      </c>
      <c r="N308" s="26">
        <f>IF(COUNTIFS($C:$C,$C308,$D:$D,$D308,$E:$E,"기준(전)",$M:$M,"&gt;0")&lt;&gt;1,"기준(전) 유효 1개 아님",IF(COUNTIFS($C:$C,$C308,$D:$D,$D308,$E:$E,"기준(후)",$M:$M,"&gt;0")&lt;&gt;1,"기준(후) 유효 1개 아님",IF(NOT(AND(ISNUMBER(O308),ISNUMBER(Q308),ISNUMBER(I308))),"시각 결측",IF(Q308&lt;=O308,"기준 시각 역전",IF(OR(I308&lt;O308,I308&gt;Q308),"측정시각 구간 밖","OK")))))</f>
        <v/>
      </c>
      <c r="O308" s="48">
        <f>IF(COUNTIFS($C:$C,$C308,$D:$D,$D308,$E:$E,"기준(전)",$M:$M,"&gt;0")&lt;&gt;1,"",SUMIFS($I:$I,$C:$C,$C308,$D:$D,$D308,$E:$E,"기준(전)"))</f>
        <v/>
      </c>
      <c r="P308" s="31">
        <f>IF(COUNTIFS($C:$C,$C308,$D:$D,$D308,$E:$E,"기준(전)",$M:$M,"&gt;0")&lt;&gt;1,"",SUMIFS($M:$M,$C:$C,$C308,$D:$D,$D308,$E:$E,"기준(전)"))</f>
        <v/>
      </c>
      <c r="Q308" s="48">
        <f>IF(COUNTIFS($C:$C,$C308,$D:$D,$D308,$E:$E,"기준(후)",$M:$M,"&gt;0")&lt;&gt;1,"",SUMIFS($I:$I,$C:$C,$C308,$D:$D,$D308,$E:$E,"기준(후)"))</f>
        <v/>
      </c>
      <c r="R308" s="31">
        <f>IF(COUNTIFS($C:$C,$C308,$D:$D,$D308,$E:$E,"기준(후)",$M:$M,"&gt;0")&lt;&gt;1,"",SUMIFS($M:$M,$C:$C,$C308,$D:$D,$D308,$E:$E,"기준(후)"))</f>
        <v/>
      </c>
      <c r="S308" s="31">
        <f>IF(N308&lt;&gt;"OK","",P308+(R308-P308)*(I308-O308)/(Q308-O308))</f>
        <v/>
      </c>
      <c r="T308" s="31">
        <f>IF(OR(N308&lt;&gt;"OK",NOT(ISNUMBER(M308))),"",M308-S308)</f>
        <v/>
      </c>
      <c r="U308" s="49">
        <f>IF(OR($E307&lt;&gt;"측정",$C307&lt;&gt;$C308,$D307&lt;&gt;$D308,NOT(ISNUMBER(M308)),NOT(ISNUMBER(M307)),(IF(ISNUMBER(G308),G308,F308)-IF(ISNUMBER(G307),G307,F307))=0),"",(M308-M307)/((IF(ISNUMBER(G308),G308,F308)-IF(ISNUMBER(G307),G307,F307))/100))</f>
        <v/>
      </c>
      <c r="V308" s="29" t="n"/>
      <c r="W308" s="29" t="n"/>
      <c r="X308" s="32" t="n"/>
    </row>
    <row r="309">
      <c r="A309" s="26" t="inlineStr">
        <is>
          <t>S26</t>
        </is>
      </c>
      <c r="B309" s="26" t="inlineStr">
        <is>
          <t>고남 신규점2</t>
        </is>
      </c>
      <c r="C309" s="26" t="inlineStr">
        <is>
          <t>S26-V</t>
        </is>
      </c>
      <c r="D309" s="47" t="n">
        <v>1</v>
      </c>
      <c r="E309" s="26" t="inlineStr">
        <is>
          <t>측정</t>
        </is>
      </c>
      <c r="F309" s="47" t="n">
        <v>60</v>
      </c>
      <c r="G309" s="41" t="n"/>
      <c r="H309" s="29" t="n"/>
      <c r="I309" s="43" t="n"/>
      <c r="J309" s="41" t="n"/>
      <c r="K309" s="41" t="n"/>
      <c r="L309" s="41" t="n"/>
      <c r="M309" s="31">
        <f>IF(COUNT(J309:L309)=0,"",MEDIAN(J309:L309))</f>
        <v/>
      </c>
      <c r="N309" s="26">
        <f>IF(COUNTIFS($C:$C,$C309,$D:$D,$D309,$E:$E,"기준(전)",$M:$M,"&gt;0")&lt;&gt;1,"기준(전) 유효 1개 아님",IF(COUNTIFS($C:$C,$C309,$D:$D,$D309,$E:$E,"기준(후)",$M:$M,"&gt;0")&lt;&gt;1,"기준(후) 유효 1개 아님",IF(NOT(AND(ISNUMBER(O309),ISNUMBER(Q309),ISNUMBER(I309))),"시각 결측",IF(Q309&lt;=O309,"기준 시각 역전",IF(OR(I309&lt;O309,I309&gt;Q309),"측정시각 구간 밖","OK")))))</f>
        <v/>
      </c>
      <c r="O309" s="48">
        <f>IF(COUNTIFS($C:$C,$C309,$D:$D,$D309,$E:$E,"기준(전)",$M:$M,"&gt;0")&lt;&gt;1,"",SUMIFS($I:$I,$C:$C,$C309,$D:$D,$D309,$E:$E,"기준(전)"))</f>
        <v/>
      </c>
      <c r="P309" s="31">
        <f>IF(COUNTIFS($C:$C,$C309,$D:$D,$D309,$E:$E,"기준(전)",$M:$M,"&gt;0")&lt;&gt;1,"",SUMIFS($M:$M,$C:$C,$C309,$D:$D,$D309,$E:$E,"기준(전)"))</f>
        <v/>
      </c>
      <c r="Q309" s="48">
        <f>IF(COUNTIFS($C:$C,$C309,$D:$D,$D309,$E:$E,"기준(후)",$M:$M,"&gt;0")&lt;&gt;1,"",SUMIFS($I:$I,$C:$C,$C309,$D:$D,$D309,$E:$E,"기준(후)"))</f>
        <v/>
      </c>
      <c r="R309" s="31">
        <f>IF(COUNTIFS($C:$C,$C309,$D:$D,$D309,$E:$E,"기준(후)",$M:$M,"&gt;0")&lt;&gt;1,"",SUMIFS($M:$M,$C:$C,$C309,$D:$D,$D309,$E:$E,"기준(후)"))</f>
        <v/>
      </c>
      <c r="S309" s="31">
        <f>IF(N309&lt;&gt;"OK","",P309+(R309-P309)*(I309-O309)/(Q309-O309))</f>
        <v/>
      </c>
      <c r="T309" s="31">
        <f>IF(OR(N309&lt;&gt;"OK",NOT(ISNUMBER(M309))),"",M309-S309)</f>
        <v/>
      </c>
      <c r="U309" s="49">
        <f>IF(OR($E308&lt;&gt;"측정",$C308&lt;&gt;$C309,$D308&lt;&gt;$D309,NOT(ISNUMBER(M309)),NOT(ISNUMBER(M308)),(IF(ISNUMBER(G309),G309,F309)-IF(ISNUMBER(G308),G308,F308))=0),"",(M309-M308)/((IF(ISNUMBER(G309),G309,F309)-IF(ISNUMBER(G308),G308,F308))/100))</f>
        <v/>
      </c>
      <c r="V309" s="29" t="n"/>
      <c r="W309" s="29" t="n"/>
      <c r="X309" s="32" t="n"/>
    </row>
    <row r="310">
      <c r="A310" s="26" t="inlineStr">
        <is>
          <t>S26</t>
        </is>
      </c>
      <c r="B310" s="26" t="inlineStr">
        <is>
          <t>고남 신규점2</t>
        </is>
      </c>
      <c r="C310" s="26" t="inlineStr">
        <is>
          <t>S26-V</t>
        </is>
      </c>
      <c r="D310" s="47" t="n">
        <v>1</v>
      </c>
      <c r="E310" s="26" t="inlineStr">
        <is>
          <t>측정</t>
        </is>
      </c>
      <c r="F310" s="47" t="n">
        <v>80</v>
      </c>
      <c r="G310" s="41" t="n"/>
      <c r="H310" s="29" t="n"/>
      <c r="I310" s="43" t="n"/>
      <c r="J310" s="41" t="n"/>
      <c r="K310" s="41" t="n"/>
      <c r="L310" s="41" t="n"/>
      <c r="M310" s="31">
        <f>IF(COUNT(J310:L310)=0,"",MEDIAN(J310:L310))</f>
        <v/>
      </c>
      <c r="N310" s="26">
        <f>IF(COUNTIFS($C:$C,$C310,$D:$D,$D310,$E:$E,"기준(전)",$M:$M,"&gt;0")&lt;&gt;1,"기준(전) 유효 1개 아님",IF(COUNTIFS($C:$C,$C310,$D:$D,$D310,$E:$E,"기준(후)",$M:$M,"&gt;0")&lt;&gt;1,"기준(후) 유효 1개 아님",IF(NOT(AND(ISNUMBER(O310),ISNUMBER(Q310),ISNUMBER(I310))),"시각 결측",IF(Q310&lt;=O310,"기준 시각 역전",IF(OR(I310&lt;O310,I310&gt;Q310),"측정시각 구간 밖","OK")))))</f>
        <v/>
      </c>
      <c r="O310" s="48">
        <f>IF(COUNTIFS($C:$C,$C310,$D:$D,$D310,$E:$E,"기준(전)",$M:$M,"&gt;0")&lt;&gt;1,"",SUMIFS($I:$I,$C:$C,$C310,$D:$D,$D310,$E:$E,"기준(전)"))</f>
        <v/>
      </c>
      <c r="P310" s="31">
        <f>IF(COUNTIFS($C:$C,$C310,$D:$D,$D310,$E:$E,"기준(전)",$M:$M,"&gt;0")&lt;&gt;1,"",SUMIFS($M:$M,$C:$C,$C310,$D:$D,$D310,$E:$E,"기준(전)"))</f>
        <v/>
      </c>
      <c r="Q310" s="48">
        <f>IF(COUNTIFS($C:$C,$C310,$D:$D,$D310,$E:$E,"기준(후)",$M:$M,"&gt;0")&lt;&gt;1,"",SUMIFS($I:$I,$C:$C,$C310,$D:$D,$D310,$E:$E,"기준(후)"))</f>
        <v/>
      </c>
      <c r="R310" s="31">
        <f>IF(COUNTIFS($C:$C,$C310,$D:$D,$D310,$E:$E,"기준(후)",$M:$M,"&gt;0")&lt;&gt;1,"",SUMIFS($M:$M,$C:$C,$C310,$D:$D,$D310,$E:$E,"기준(후)"))</f>
        <v/>
      </c>
      <c r="S310" s="31">
        <f>IF(N310&lt;&gt;"OK","",P310+(R310-P310)*(I310-O310)/(Q310-O310))</f>
        <v/>
      </c>
      <c r="T310" s="31">
        <f>IF(OR(N310&lt;&gt;"OK",NOT(ISNUMBER(M310))),"",M310-S310)</f>
        <v/>
      </c>
      <c r="U310" s="49">
        <f>IF(OR($E309&lt;&gt;"측정",$C309&lt;&gt;$C310,$D309&lt;&gt;$D310,NOT(ISNUMBER(M310)),NOT(ISNUMBER(M309)),(IF(ISNUMBER(G310),G310,F310)-IF(ISNUMBER(G309),G309,F309))=0),"",(M310-M309)/((IF(ISNUMBER(G310),G310,F310)-IF(ISNUMBER(G309),G309,F309))/100))</f>
        <v/>
      </c>
      <c r="V310" s="29" t="n"/>
      <c r="W310" s="29" t="n"/>
      <c r="X310" s="32" t="n"/>
    </row>
    <row r="311">
      <c r="A311" s="26" t="inlineStr">
        <is>
          <t>S26</t>
        </is>
      </c>
      <c r="B311" s="26" t="inlineStr">
        <is>
          <t>고남 신규점2</t>
        </is>
      </c>
      <c r="C311" s="26" t="inlineStr">
        <is>
          <t>S26-V</t>
        </is>
      </c>
      <c r="D311" s="47" t="n">
        <v>1</v>
      </c>
      <c r="E311" s="26" t="inlineStr">
        <is>
          <t>측정</t>
        </is>
      </c>
      <c r="F311" s="47" t="n">
        <v>100</v>
      </c>
      <c r="G311" s="41" t="n"/>
      <c r="H311" s="29" t="n"/>
      <c r="I311" s="43" t="n"/>
      <c r="J311" s="41" t="n"/>
      <c r="K311" s="41" t="n"/>
      <c r="L311" s="41" t="n"/>
      <c r="M311" s="31">
        <f>IF(COUNT(J311:L311)=0,"",MEDIAN(J311:L311))</f>
        <v/>
      </c>
      <c r="N311" s="26">
        <f>IF(COUNTIFS($C:$C,$C311,$D:$D,$D311,$E:$E,"기준(전)",$M:$M,"&gt;0")&lt;&gt;1,"기준(전) 유효 1개 아님",IF(COUNTIFS($C:$C,$C311,$D:$D,$D311,$E:$E,"기준(후)",$M:$M,"&gt;0")&lt;&gt;1,"기준(후) 유효 1개 아님",IF(NOT(AND(ISNUMBER(O311),ISNUMBER(Q311),ISNUMBER(I311))),"시각 결측",IF(Q311&lt;=O311,"기준 시각 역전",IF(OR(I311&lt;O311,I311&gt;Q311),"측정시각 구간 밖","OK")))))</f>
        <v/>
      </c>
      <c r="O311" s="48">
        <f>IF(COUNTIFS($C:$C,$C311,$D:$D,$D311,$E:$E,"기준(전)",$M:$M,"&gt;0")&lt;&gt;1,"",SUMIFS($I:$I,$C:$C,$C311,$D:$D,$D311,$E:$E,"기준(전)"))</f>
        <v/>
      </c>
      <c r="P311" s="31">
        <f>IF(COUNTIFS($C:$C,$C311,$D:$D,$D311,$E:$E,"기준(전)",$M:$M,"&gt;0")&lt;&gt;1,"",SUMIFS($M:$M,$C:$C,$C311,$D:$D,$D311,$E:$E,"기준(전)"))</f>
        <v/>
      </c>
      <c r="Q311" s="48">
        <f>IF(COUNTIFS($C:$C,$C311,$D:$D,$D311,$E:$E,"기준(후)",$M:$M,"&gt;0")&lt;&gt;1,"",SUMIFS($I:$I,$C:$C,$C311,$D:$D,$D311,$E:$E,"기준(후)"))</f>
        <v/>
      </c>
      <c r="R311" s="31">
        <f>IF(COUNTIFS($C:$C,$C311,$D:$D,$D311,$E:$E,"기준(후)",$M:$M,"&gt;0")&lt;&gt;1,"",SUMIFS($M:$M,$C:$C,$C311,$D:$D,$D311,$E:$E,"기준(후)"))</f>
        <v/>
      </c>
      <c r="S311" s="31">
        <f>IF(N311&lt;&gt;"OK","",P311+(R311-P311)*(I311-O311)/(Q311-O311))</f>
        <v/>
      </c>
      <c r="T311" s="31">
        <f>IF(OR(N311&lt;&gt;"OK",NOT(ISNUMBER(M311))),"",M311-S311)</f>
        <v/>
      </c>
      <c r="U311" s="49">
        <f>IF(OR($E310&lt;&gt;"측정",$C310&lt;&gt;$C311,$D310&lt;&gt;$D311,NOT(ISNUMBER(M311)),NOT(ISNUMBER(M310)),(IF(ISNUMBER(G311),G311,F311)-IF(ISNUMBER(G310),G310,F310))=0),"",(M311-M310)/((IF(ISNUMBER(G311),G311,F311)-IF(ISNUMBER(G310),G310,F310))/100))</f>
        <v/>
      </c>
      <c r="V311" s="29" t="n"/>
      <c r="W311" s="29" t="n"/>
      <c r="X311" s="32" t="n"/>
    </row>
    <row r="312">
      <c r="A312" s="26" t="inlineStr">
        <is>
          <t>S26</t>
        </is>
      </c>
      <c r="B312" s="26" t="inlineStr">
        <is>
          <t>고남 신규점2</t>
        </is>
      </c>
      <c r="C312" s="26" t="inlineStr">
        <is>
          <t>S26-V</t>
        </is>
      </c>
      <c r="D312" s="47" t="n">
        <v>1</v>
      </c>
      <c r="E312" s="26" t="inlineStr">
        <is>
          <t>측정</t>
        </is>
      </c>
      <c r="F312" s="47" t="n">
        <v>120</v>
      </c>
      <c r="G312" s="41" t="n"/>
      <c r="H312" s="29" t="n"/>
      <c r="I312" s="43" t="n"/>
      <c r="J312" s="41" t="n"/>
      <c r="K312" s="41" t="n"/>
      <c r="L312" s="41" t="n"/>
      <c r="M312" s="31">
        <f>IF(COUNT(J312:L312)=0,"",MEDIAN(J312:L312))</f>
        <v/>
      </c>
      <c r="N312" s="26">
        <f>IF(COUNTIFS($C:$C,$C312,$D:$D,$D312,$E:$E,"기준(전)",$M:$M,"&gt;0")&lt;&gt;1,"기준(전) 유효 1개 아님",IF(COUNTIFS($C:$C,$C312,$D:$D,$D312,$E:$E,"기준(후)",$M:$M,"&gt;0")&lt;&gt;1,"기준(후) 유효 1개 아님",IF(NOT(AND(ISNUMBER(O312),ISNUMBER(Q312),ISNUMBER(I312))),"시각 결측",IF(Q312&lt;=O312,"기준 시각 역전",IF(OR(I312&lt;O312,I312&gt;Q312),"측정시각 구간 밖","OK")))))</f>
        <v/>
      </c>
      <c r="O312" s="48">
        <f>IF(COUNTIFS($C:$C,$C312,$D:$D,$D312,$E:$E,"기준(전)",$M:$M,"&gt;0")&lt;&gt;1,"",SUMIFS($I:$I,$C:$C,$C312,$D:$D,$D312,$E:$E,"기준(전)"))</f>
        <v/>
      </c>
      <c r="P312" s="31">
        <f>IF(COUNTIFS($C:$C,$C312,$D:$D,$D312,$E:$E,"기준(전)",$M:$M,"&gt;0")&lt;&gt;1,"",SUMIFS($M:$M,$C:$C,$C312,$D:$D,$D312,$E:$E,"기준(전)"))</f>
        <v/>
      </c>
      <c r="Q312" s="48">
        <f>IF(COUNTIFS($C:$C,$C312,$D:$D,$D312,$E:$E,"기준(후)",$M:$M,"&gt;0")&lt;&gt;1,"",SUMIFS($I:$I,$C:$C,$C312,$D:$D,$D312,$E:$E,"기준(후)"))</f>
        <v/>
      </c>
      <c r="R312" s="31">
        <f>IF(COUNTIFS($C:$C,$C312,$D:$D,$D312,$E:$E,"기준(후)",$M:$M,"&gt;0")&lt;&gt;1,"",SUMIFS($M:$M,$C:$C,$C312,$D:$D,$D312,$E:$E,"기준(후)"))</f>
        <v/>
      </c>
      <c r="S312" s="31">
        <f>IF(N312&lt;&gt;"OK","",P312+(R312-P312)*(I312-O312)/(Q312-O312))</f>
        <v/>
      </c>
      <c r="T312" s="31">
        <f>IF(OR(N312&lt;&gt;"OK",NOT(ISNUMBER(M312))),"",M312-S312)</f>
        <v/>
      </c>
      <c r="U312" s="49">
        <f>IF(OR($E311&lt;&gt;"측정",$C311&lt;&gt;$C312,$D311&lt;&gt;$D312,NOT(ISNUMBER(M312)),NOT(ISNUMBER(M311)),(IF(ISNUMBER(G312),G312,F312)-IF(ISNUMBER(G311),G311,F311))=0),"",(M312-M311)/((IF(ISNUMBER(G312),G312,F312)-IF(ISNUMBER(G311),G311,F311))/100))</f>
        <v/>
      </c>
      <c r="V312" s="29" t="n"/>
      <c r="W312" s="29" t="n"/>
      <c r="X312" s="32" t="n"/>
    </row>
    <row r="313">
      <c r="A313" s="26" t="inlineStr">
        <is>
          <t>S26</t>
        </is>
      </c>
      <c r="B313" s="26" t="inlineStr">
        <is>
          <t>고남 신규점2</t>
        </is>
      </c>
      <c r="C313" s="26" t="inlineStr">
        <is>
          <t>S26-V</t>
        </is>
      </c>
      <c r="D313" s="47" t="n">
        <v>1</v>
      </c>
      <c r="E313" s="26" t="inlineStr">
        <is>
          <t>측정</t>
        </is>
      </c>
      <c r="F313" s="47" t="n">
        <v>140</v>
      </c>
      <c r="G313" s="41" t="n"/>
      <c r="H313" s="29" t="n"/>
      <c r="I313" s="43" t="n"/>
      <c r="J313" s="41" t="n"/>
      <c r="K313" s="41" t="n"/>
      <c r="L313" s="41" t="n"/>
      <c r="M313" s="31">
        <f>IF(COUNT(J313:L313)=0,"",MEDIAN(J313:L313))</f>
        <v/>
      </c>
      <c r="N313" s="26">
        <f>IF(COUNTIFS($C:$C,$C313,$D:$D,$D313,$E:$E,"기준(전)",$M:$M,"&gt;0")&lt;&gt;1,"기준(전) 유효 1개 아님",IF(COUNTIFS($C:$C,$C313,$D:$D,$D313,$E:$E,"기준(후)",$M:$M,"&gt;0")&lt;&gt;1,"기준(후) 유효 1개 아님",IF(NOT(AND(ISNUMBER(O313),ISNUMBER(Q313),ISNUMBER(I313))),"시각 결측",IF(Q313&lt;=O313,"기준 시각 역전",IF(OR(I313&lt;O313,I313&gt;Q313),"측정시각 구간 밖","OK")))))</f>
        <v/>
      </c>
      <c r="O313" s="48">
        <f>IF(COUNTIFS($C:$C,$C313,$D:$D,$D313,$E:$E,"기준(전)",$M:$M,"&gt;0")&lt;&gt;1,"",SUMIFS($I:$I,$C:$C,$C313,$D:$D,$D313,$E:$E,"기준(전)"))</f>
        <v/>
      </c>
      <c r="P313" s="31">
        <f>IF(COUNTIFS($C:$C,$C313,$D:$D,$D313,$E:$E,"기준(전)",$M:$M,"&gt;0")&lt;&gt;1,"",SUMIFS($M:$M,$C:$C,$C313,$D:$D,$D313,$E:$E,"기준(전)"))</f>
        <v/>
      </c>
      <c r="Q313" s="48">
        <f>IF(COUNTIFS($C:$C,$C313,$D:$D,$D313,$E:$E,"기준(후)",$M:$M,"&gt;0")&lt;&gt;1,"",SUMIFS($I:$I,$C:$C,$C313,$D:$D,$D313,$E:$E,"기준(후)"))</f>
        <v/>
      </c>
      <c r="R313" s="31">
        <f>IF(COUNTIFS($C:$C,$C313,$D:$D,$D313,$E:$E,"기준(후)",$M:$M,"&gt;0")&lt;&gt;1,"",SUMIFS($M:$M,$C:$C,$C313,$D:$D,$D313,$E:$E,"기준(후)"))</f>
        <v/>
      </c>
      <c r="S313" s="31">
        <f>IF(N313&lt;&gt;"OK","",P313+(R313-P313)*(I313-O313)/(Q313-O313))</f>
        <v/>
      </c>
      <c r="T313" s="31">
        <f>IF(OR(N313&lt;&gt;"OK",NOT(ISNUMBER(M313))),"",M313-S313)</f>
        <v/>
      </c>
      <c r="U313" s="49">
        <f>IF(OR($E312&lt;&gt;"측정",$C312&lt;&gt;$C313,$D312&lt;&gt;$D313,NOT(ISNUMBER(M313)),NOT(ISNUMBER(M312)),(IF(ISNUMBER(G313),G313,F313)-IF(ISNUMBER(G312),G312,F312))=0),"",(M313-M312)/((IF(ISNUMBER(G313),G313,F313)-IF(ISNUMBER(G312),G312,F312))/100))</f>
        <v/>
      </c>
      <c r="V313" s="29" t="n"/>
      <c r="W313" s="29" t="n"/>
      <c r="X313" s="32" t="n"/>
    </row>
    <row r="314">
      <c r="A314" s="26" t="inlineStr">
        <is>
          <t>S26</t>
        </is>
      </c>
      <c r="B314" s="26" t="inlineStr">
        <is>
          <t>고남 신규점2</t>
        </is>
      </c>
      <c r="C314" s="26" t="inlineStr">
        <is>
          <t>S26-V</t>
        </is>
      </c>
      <c r="D314" s="47" t="n">
        <v>1</v>
      </c>
      <c r="E314" s="26" t="inlineStr">
        <is>
          <t>측정</t>
        </is>
      </c>
      <c r="F314" s="47" t="n">
        <v>160</v>
      </c>
      <c r="G314" s="41" t="n"/>
      <c r="H314" s="29" t="n"/>
      <c r="I314" s="43" t="n"/>
      <c r="J314" s="41" t="n"/>
      <c r="K314" s="41" t="n"/>
      <c r="L314" s="41" t="n"/>
      <c r="M314" s="31">
        <f>IF(COUNT(J314:L314)=0,"",MEDIAN(J314:L314))</f>
        <v/>
      </c>
      <c r="N314" s="26">
        <f>IF(COUNTIFS($C:$C,$C314,$D:$D,$D314,$E:$E,"기준(전)",$M:$M,"&gt;0")&lt;&gt;1,"기준(전) 유효 1개 아님",IF(COUNTIFS($C:$C,$C314,$D:$D,$D314,$E:$E,"기준(후)",$M:$M,"&gt;0")&lt;&gt;1,"기준(후) 유효 1개 아님",IF(NOT(AND(ISNUMBER(O314),ISNUMBER(Q314),ISNUMBER(I314))),"시각 결측",IF(Q314&lt;=O314,"기준 시각 역전",IF(OR(I314&lt;O314,I314&gt;Q314),"측정시각 구간 밖","OK")))))</f>
        <v/>
      </c>
      <c r="O314" s="48">
        <f>IF(COUNTIFS($C:$C,$C314,$D:$D,$D314,$E:$E,"기준(전)",$M:$M,"&gt;0")&lt;&gt;1,"",SUMIFS($I:$I,$C:$C,$C314,$D:$D,$D314,$E:$E,"기준(전)"))</f>
        <v/>
      </c>
      <c r="P314" s="31">
        <f>IF(COUNTIFS($C:$C,$C314,$D:$D,$D314,$E:$E,"기준(전)",$M:$M,"&gt;0")&lt;&gt;1,"",SUMIFS($M:$M,$C:$C,$C314,$D:$D,$D314,$E:$E,"기준(전)"))</f>
        <v/>
      </c>
      <c r="Q314" s="48">
        <f>IF(COUNTIFS($C:$C,$C314,$D:$D,$D314,$E:$E,"기준(후)",$M:$M,"&gt;0")&lt;&gt;1,"",SUMIFS($I:$I,$C:$C,$C314,$D:$D,$D314,$E:$E,"기준(후)"))</f>
        <v/>
      </c>
      <c r="R314" s="31">
        <f>IF(COUNTIFS($C:$C,$C314,$D:$D,$D314,$E:$E,"기준(후)",$M:$M,"&gt;0")&lt;&gt;1,"",SUMIFS($M:$M,$C:$C,$C314,$D:$D,$D314,$E:$E,"기준(후)"))</f>
        <v/>
      </c>
      <c r="S314" s="31">
        <f>IF(N314&lt;&gt;"OK","",P314+(R314-P314)*(I314-O314)/(Q314-O314))</f>
        <v/>
      </c>
      <c r="T314" s="31">
        <f>IF(OR(N314&lt;&gt;"OK",NOT(ISNUMBER(M314))),"",M314-S314)</f>
        <v/>
      </c>
      <c r="U314" s="49">
        <f>IF(OR($E313&lt;&gt;"측정",$C313&lt;&gt;$C314,$D313&lt;&gt;$D314,NOT(ISNUMBER(M314)),NOT(ISNUMBER(M313)),(IF(ISNUMBER(G314),G314,F314)-IF(ISNUMBER(G313),G313,F313))=0),"",(M314-M313)/((IF(ISNUMBER(G314),G314,F314)-IF(ISNUMBER(G313),G313,F313))/100))</f>
        <v/>
      </c>
      <c r="V314" s="29" t="n"/>
      <c r="W314" s="29" t="n"/>
      <c r="X314" s="32" t="n"/>
    </row>
    <row r="315">
      <c r="A315" s="26" t="inlineStr">
        <is>
          <t>S26</t>
        </is>
      </c>
      <c r="B315" s="26" t="inlineStr">
        <is>
          <t>고남 신규점2</t>
        </is>
      </c>
      <c r="C315" s="26" t="inlineStr">
        <is>
          <t>S26-V</t>
        </is>
      </c>
      <c r="D315" s="47" t="n">
        <v>1</v>
      </c>
      <c r="E315" s="26" t="inlineStr">
        <is>
          <t>측정</t>
        </is>
      </c>
      <c r="F315" s="47" t="n">
        <v>180</v>
      </c>
      <c r="G315" s="41" t="n"/>
      <c r="H315" s="29" t="n"/>
      <c r="I315" s="43" t="n"/>
      <c r="J315" s="41" t="n"/>
      <c r="K315" s="41" t="n"/>
      <c r="L315" s="41" t="n"/>
      <c r="M315" s="31">
        <f>IF(COUNT(J315:L315)=0,"",MEDIAN(J315:L315))</f>
        <v/>
      </c>
      <c r="N315" s="26">
        <f>IF(COUNTIFS($C:$C,$C315,$D:$D,$D315,$E:$E,"기준(전)",$M:$M,"&gt;0")&lt;&gt;1,"기준(전) 유효 1개 아님",IF(COUNTIFS($C:$C,$C315,$D:$D,$D315,$E:$E,"기준(후)",$M:$M,"&gt;0")&lt;&gt;1,"기준(후) 유효 1개 아님",IF(NOT(AND(ISNUMBER(O315),ISNUMBER(Q315),ISNUMBER(I315))),"시각 결측",IF(Q315&lt;=O315,"기준 시각 역전",IF(OR(I315&lt;O315,I315&gt;Q315),"측정시각 구간 밖","OK")))))</f>
        <v/>
      </c>
      <c r="O315" s="48">
        <f>IF(COUNTIFS($C:$C,$C315,$D:$D,$D315,$E:$E,"기준(전)",$M:$M,"&gt;0")&lt;&gt;1,"",SUMIFS($I:$I,$C:$C,$C315,$D:$D,$D315,$E:$E,"기준(전)"))</f>
        <v/>
      </c>
      <c r="P315" s="31">
        <f>IF(COUNTIFS($C:$C,$C315,$D:$D,$D315,$E:$E,"기준(전)",$M:$M,"&gt;0")&lt;&gt;1,"",SUMIFS($M:$M,$C:$C,$C315,$D:$D,$D315,$E:$E,"기준(전)"))</f>
        <v/>
      </c>
      <c r="Q315" s="48">
        <f>IF(COUNTIFS($C:$C,$C315,$D:$D,$D315,$E:$E,"기준(후)",$M:$M,"&gt;0")&lt;&gt;1,"",SUMIFS($I:$I,$C:$C,$C315,$D:$D,$D315,$E:$E,"기준(후)"))</f>
        <v/>
      </c>
      <c r="R315" s="31">
        <f>IF(COUNTIFS($C:$C,$C315,$D:$D,$D315,$E:$E,"기준(후)",$M:$M,"&gt;0")&lt;&gt;1,"",SUMIFS($M:$M,$C:$C,$C315,$D:$D,$D315,$E:$E,"기준(후)"))</f>
        <v/>
      </c>
      <c r="S315" s="31">
        <f>IF(N315&lt;&gt;"OK","",P315+(R315-P315)*(I315-O315)/(Q315-O315))</f>
        <v/>
      </c>
      <c r="T315" s="31">
        <f>IF(OR(N315&lt;&gt;"OK",NOT(ISNUMBER(M315))),"",M315-S315)</f>
        <v/>
      </c>
      <c r="U315" s="49">
        <f>IF(OR($E314&lt;&gt;"측정",$C314&lt;&gt;$C315,$D314&lt;&gt;$D315,NOT(ISNUMBER(M315)),NOT(ISNUMBER(M314)),(IF(ISNUMBER(G315),G315,F315)-IF(ISNUMBER(G314),G314,F314))=0),"",(M315-M314)/((IF(ISNUMBER(G315),G315,F315)-IF(ISNUMBER(G314),G314,F314))/100))</f>
        <v/>
      </c>
      <c r="V315" s="29" t="n"/>
      <c r="W315" s="29" t="n"/>
      <c r="X315" s="32" t="n"/>
    </row>
    <row r="316">
      <c r="A316" s="26" t="inlineStr">
        <is>
          <t>S26</t>
        </is>
      </c>
      <c r="B316" s="26" t="inlineStr">
        <is>
          <t>고남 신규점2</t>
        </is>
      </c>
      <c r="C316" s="26" t="inlineStr">
        <is>
          <t>S26-V</t>
        </is>
      </c>
      <c r="D316" s="47" t="n">
        <v>1</v>
      </c>
      <c r="E316" s="26" t="inlineStr">
        <is>
          <t>측정</t>
        </is>
      </c>
      <c r="F316" s="47" t="n">
        <v>200</v>
      </c>
      <c r="G316" s="41" t="n"/>
      <c r="H316" s="29" t="n"/>
      <c r="I316" s="43" t="n"/>
      <c r="J316" s="41" t="n"/>
      <c r="K316" s="41" t="n"/>
      <c r="L316" s="41" t="n"/>
      <c r="M316" s="31">
        <f>IF(COUNT(J316:L316)=0,"",MEDIAN(J316:L316))</f>
        <v/>
      </c>
      <c r="N316" s="26">
        <f>IF(COUNTIFS($C:$C,$C316,$D:$D,$D316,$E:$E,"기준(전)",$M:$M,"&gt;0")&lt;&gt;1,"기준(전) 유효 1개 아님",IF(COUNTIFS($C:$C,$C316,$D:$D,$D316,$E:$E,"기준(후)",$M:$M,"&gt;0")&lt;&gt;1,"기준(후) 유효 1개 아님",IF(NOT(AND(ISNUMBER(O316),ISNUMBER(Q316),ISNUMBER(I316))),"시각 결측",IF(Q316&lt;=O316,"기준 시각 역전",IF(OR(I316&lt;O316,I316&gt;Q316),"측정시각 구간 밖","OK")))))</f>
        <v/>
      </c>
      <c r="O316" s="48">
        <f>IF(COUNTIFS($C:$C,$C316,$D:$D,$D316,$E:$E,"기준(전)",$M:$M,"&gt;0")&lt;&gt;1,"",SUMIFS($I:$I,$C:$C,$C316,$D:$D,$D316,$E:$E,"기준(전)"))</f>
        <v/>
      </c>
      <c r="P316" s="31">
        <f>IF(COUNTIFS($C:$C,$C316,$D:$D,$D316,$E:$E,"기준(전)",$M:$M,"&gt;0")&lt;&gt;1,"",SUMIFS($M:$M,$C:$C,$C316,$D:$D,$D316,$E:$E,"기준(전)"))</f>
        <v/>
      </c>
      <c r="Q316" s="48">
        <f>IF(COUNTIFS($C:$C,$C316,$D:$D,$D316,$E:$E,"기준(후)",$M:$M,"&gt;0")&lt;&gt;1,"",SUMIFS($I:$I,$C:$C,$C316,$D:$D,$D316,$E:$E,"기준(후)"))</f>
        <v/>
      </c>
      <c r="R316" s="31">
        <f>IF(COUNTIFS($C:$C,$C316,$D:$D,$D316,$E:$E,"기준(후)",$M:$M,"&gt;0")&lt;&gt;1,"",SUMIFS($M:$M,$C:$C,$C316,$D:$D,$D316,$E:$E,"기준(후)"))</f>
        <v/>
      </c>
      <c r="S316" s="31">
        <f>IF(N316&lt;&gt;"OK","",P316+(R316-P316)*(I316-O316)/(Q316-O316))</f>
        <v/>
      </c>
      <c r="T316" s="31">
        <f>IF(OR(N316&lt;&gt;"OK",NOT(ISNUMBER(M316))),"",M316-S316)</f>
        <v/>
      </c>
      <c r="U316" s="49">
        <f>IF(OR($E315&lt;&gt;"측정",$C315&lt;&gt;$C316,$D315&lt;&gt;$D316,NOT(ISNUMBER(M316)),NOT(ISNUMBER(M315)),(IF(ISNUMBER(G316),G316,F316)-IF(ISNUMBER(G315),G315,F315))=0),"",(M316-M315)/((IF(ISNUMBER(G316),G316,F316)-IF(ISNUMBER(G315),G315,F315))/100))</f>
        <v/>
      </c>
      <c r="V316" s="29" t="n"/>
      <c r="W316" s="29" t="n"/>
      <c r="X316" s="32" t="n"/>
    </row>
    <row r="317">
      <c r="A317" s="44" t="inlineStr">
        <is>
          <t>S26</t>
        </is>
      </c>
      <c r="B317" s="44" t="inlineStr">
        <is>
          <t>고남 신규점2</t>
        </is>
      </c>
      <c r="C317" s="44" t="inlineStr">
        <is>
          <t>S26-V</t>
        </is>
      </c>
      <c r="D317" s="45" t="n">
        <v>1</v>
      </c>
      <c r="E317" s="44" t="inlineStr">
        <is>
          <t>기준(후)</t>
        </is>
      </c>
      <c r="F317" s="45" t="n"/>
      <c r="G317" s="41" t="n"/>
      <c r="H317" s="29" t="n"/>
      <c r="I317" s="43" t="n"/>
      <c r="J317" s="41" t="n"/>
      <c r="K317" s="41" t="n"/>
      <c r="L317" s="41" t="n"/>
      <c r="M317" s="31">
        <f>IF(COUNT(J317:L317)=0,"",MEDIAN(J317:L317))</f>
        <v/>
      </c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29" t="n"/>
      <c r="W317" s="29" t="n"/>
      <c r="X317" s="32" t="n"/>
    </row>
    <row r="318">
      <c r="A318" s="44" t="inlineStr">
        <is>
          <t>S27</t>
        </is>
      </c>
      <c r="B318" s="44" t="inlineStr">
        <is>
          <t>전의 신규점</t>
        </is>
      </c>
      <c r="C318" s="44" t="inlineStr">
        <is>
          <t>S27-V</t>
        </is>
      </c>
      <c r="D318" s="45" t="n">
        <v>1</v>
      </c>
      <c r="E318" s="44" t="inlineStr">
        <is>
          <t>기준(전)</t>
        </is>
      </c>
      <c r="F318" s="45" t="n"/>
      <c r="G318" s="41" t="n"/>
      <c r="H318" s="29" t="n"/>
      <c r="I318" s="43" t="n"/>
      <c r="J318" s="41" t="n"/>
      <c r="K318" s="41" t="n"/>
      <c r="L318" s="41" t="n"/>
      <c r="M318" s="31">
        <f>IF(COUNT(J318:L318)=0,"",MEDIAN(J318:L318))</f>
        <v/>
      </c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29" t="n"/>
      <c r="W318" s="29" t="n"/>
      <c r="X318" s="32" t="n"/>
    </row>
    <row r="319">
      <c r="A319" s="26" t="inlineStr">
        <is>
          <t>S27</t>
        </is>
      </c>
      <c r="B319" s="26" t="inlineStr">
        <is>
          <t>전의 신규점</t>
        </is>
      </c>
      <c r="C319" s="26" t="inlineStr">
        <is>
          <t>S27-V</t>
        </is>
      </c>
      <c r="D319" s="47" t="n">
        <v>1</v>
      </c>
      <c r="E319" s="26" t="inlineStr">
        <is>
          <t>측정</t>
        </is>
      </c>
      <c r="F319" s="47" t="n">
        <v>20</v>
      </c>
      <c r="G319" s="41" t="n"/>
      <c r="H319" s="29" t="n"/>
      <c r="I319" s="43" t="n"/>
      <c r="J319" s="41" t="n"/>
      <c r="K319" s="41" t="n"/>
      <c r="L319" s="41" t="n"/>
      <c r="M319" s="31">
        <f>IF(COUNT(J319:L319)=0,"",MEDIAN(J319:L319))</f>
        <v/>
      </c>
      <c r="N319" s="26">
        <f>IF(COUNTIFS($C:$C,$C319,$D:$D,$D319,$E:$E,"기준(전)",$M:$M,"&gt;0")&lt;&gt;1,"기준(전) 유효 1개 아님",IF(COUNTIFS($C:$C,$C319,$D:$D,$D319,$E:$E,"기준(후)",$M:$M,"&gt;0")&lt;&gt;1,"기준(후) 유효 1개 아님",IF(NOT(AND(ISNUMBER(O319),ISNUMBER(Q319),ISNUMBER(I319))),"시각 결측",IF(Q319&lt;=O319,"기준 시각 역전",IF(OR(I319&lt;O319,I319&gt;Q319),"측정시각 구간 밖","OK")))))</f>
        <v/>
      </c>
      <c r="O319" s="48">
        <f>IF(COUNTIFS($C:$C,$C319,$D:$D,$D319,$E:$E,"기준(전)",$M:$M,"&gt;0")&lt;&gt;1,"",SUMIFS($I:$I,$C:$C,$C319,$D:$D,$D319,$E:$E,"기준(전)"))</f>
        <v/>
      </c>
      <c r="P319" s="31">
        <f>IF(COUNTIFS($C:$C,$C319,$D:$D,$D319,$E:$E,"기준(전)",$M:$M,"&gt;0")&lt;&gt;1,"",SUMIFS($M:$M,$C:$C,$C319,$D:$D,$D319,$E:$E,"기준(전)"))</f>
        <v/>
      </c>
      <c r="Q319" s="48">
        <f>IF(COUNTIFS($C:$C,$C319,$D:$D,$D319,$E:$E,"기준(후)",$M:$M,"&gt;0")&lt;&gt;1,"",SUMIFS($I:$I,$C:$C,$C319,$D:$D,$D319,$E:$E,"기준(후)"))</f>
        <v/>
      </c>
      <c r="R319" s="31">
        <f>IF(COUNTIFS($C:$C,$C319,$D:$D,$D319,$E:$E,"기준(후)",$M:$M,"&gt;0")&lt;&gt;1,"",SUMIFS($M:$M,$C:$C,$C319,$D:$D,$D319,$E:$E,"기준(후)"))</f>
        <v/>
      </c>
      <c r="S319" s="31">
        <f>IF(N319&lt;&gt;"OK","",P319+(R319-P319)*(I319-O319)/(Q319-O319))</f>
        <v/>
      </c>
      <c r="T319" s="31">
        <f>IF(OR(N319&lt;&gt;"OK",NOT(ISNUMBER(M319))),"",M319-S319)</f>
        <v/>
      </c>
      <c r="U319" s="49">
        <f>IF(OR($E318&lt;&gt;"측정",$C318&lt;&gt;$C319,$D318&lt;&gt;$D319,NOT(ISNUMBER(M319)),NOT(ISNUMBER(M318)),(IF(ISNUMBER(G319),G319,F319)-IF(ISNUMBER(G318),G318,F318))=0),"",(M319-M318)/((IF(ISNUMBER(G319),G319,F319)-IF(ISNUMBER(G318),G318,F318))/100))</f>
        <v/>
      </c>
      <c r="V319" s="29" t="n"/>
      <c r="W319" s="29" t="n"/>
      <c r="X319" s="32" t="n"/>
    </row>
    <row r="320">
      <c r="A320" s="26" t="inlineStr">
        <is>
          <t>S27</t>
        </is>
      </c>
      <c r="B320" s="26" t="inlineStr">
        <is>
          <t>전의 신규점</t>
        </is>
      </c>
      <c r="C320" s="26" t="inlineStr">
        <is>
          <t>S27-V</t>
        </is>
      </c>
      <c r="D320" s="47" t="n">
        <v>1</v>
      </c>
      <c r="E320" s="26" t="inlineStr">
        <is>
          <t>측정</t>
        </is>
      </c>
      <c r="F320" s="47" t="n">
        <v>40</v>
      </c>
      <c r="G320" s="41" t="n"/>
      <c r="H320" s="29" t="n"/>
      <c r="I320" s="43" t="n"/>
      <c r="J320" s="41" t="n"/>
      <c r="K320" s="41" t="n"/>
      <c r="L320" s="41" t="n"/>
      <c r="M320" s="31">
        <f>IF(COUNT(J320:L320)=0,"",MEDIAN(J320:L320))</f>
        <v/>
      </c>
      <c r="N320" s="26">
        <f>IF(COUNTIFS($C:$C,$C320,$D:$D,$D320,$E:$E,"기준(전)",$M:$M,"&gt;0")&lt;&gt;1,"기준(전) 유효 1개 아님",IF(COUNTIFS($C:$C,$C320,$D:$D,$D320,$E:$E,"기준(후)",$M:$M,"&gt;0")&lt;&gt;1,"기준(후) 유효 1개 아님",IF(NOT(AND(ISNUMBER(O320),ISNUMBER(Q320),ISNUMBER(I320))),"시각 결측",IF(Q320&lt;=O320,"기준 시각 역전",IF(OR(I320&lt;O320,I320&gt;Q320),"측정시각 구간 밖","OK")))))</f>
        <v/>
      </c>
      <c r="O320" s="48">
        <f>IF(COUNTIFS($C:$C,$C320,$D:$D,$D320,$E:$E,"기준(전)",$M:$M,"&gt;0")&lt;&gt;1,"",SUMIFS($I:$I,$C:$C,$C320,$D:$D,$D320,$E:$E,"기준(전)"))</f>
        <v/>
      </c>
      <c r="P320" s="31">
        <f>IF(COUNTIFS($C:$C,$C320,$D:$D,$D320,$E:$E,"기준(전)",$M:$M,"&gt;0")&lt;&gt;1,"",SUMIFS($M:$M,$C:$C,$C320,$D:$D,$D320,$E:$E,"기준(전)"))</f>
        <v/>
      </c>
      <c r="Q320" s="48">
        <f>IF(COUNTIFS($C:$C,$C320,$D:$D,$D320,$E:$E,"기준(후)",$M:$M,"&gt;0")&lt;&gt;1,"",SUMIFS($I:$I,$C:$C,$C320,$D:$D,$D320,$E:$E,"기준(후)"))</f>
        <v/>
      </c>
      <c r="R320" s="31">
        <f>IF(COUNTIFS($C:$C,$C320,$D:$D,$D320,$E:$E,"기준(후)",$M:$M,"&gt;0")&lt;&gt;1,"",SUMIFS($M:$M,$C:$C,$C320,$D:$D,$D320,$E:$E,"기준(후)"))</f>
        <v/>
      </c>
      <c r="S320" s="31">
        <f>IF(N320&lt;&gt;"OK","",P320+(R320-P320)*(I320-O320)/(Q320-O320))</f>
        <v/>
      </c>
      <c r="T320" s="31">
        <f>IF(OR(N320&lt;&gt;"OK",NOT(ISNUMBER(M320))),"",M320-S320)</f>
        <v/>
      </c>
      <c r="U320" s="49">
        <f>IF(OR($E319&lt;&gt;"측정",$C319&lt;&gt;$C320,$D319&lt;&gt;$D320,NOT(ISNUMBER(M320)),NOT(ISNUMBER(M319)),(IF(ISNUMBER(G320),G320,F320)-IF(ISNUMBER(G319),G319,F319))=0),"",(M320-M319)/((IF(ISNUMBER(G320),G320,F320)-IF(ISNUMBER(G319),G319,F319))/100))</f>
        <v/>
      </c>
      <c r="V320" s="29" t="n"/>
      <c r="W320" s="29" t="n"/>
      <c r="X320" s="32" t="n"/>
    </row>
    <row r="321">
      <c r="A321" s="26" t="inlineStr">
        <is>
          <t>S27</t>
        </is>
      </c>
      <c r="B321" s="26" t="inlineStr">
        <is>
          <t>전의 신규점</t>
        </is>
      </c>
      <c r="C321" s="26" t="inlineStr">
        <is>
          <t>S27-V</t>
        </is>
      </c>
      <c r="D321" s="47" t="n">
        <v>1</v>
      </c>
      <c r="E321" s="26" t="inlineStr">
        <is>
          <t>측정</t>
        </is>
      </c>
      <c r="F321" s="47" t="n">
        <v>60</v>
      </c>
      <c r="G321" s="41" t="n"/>
      <c r="H321" s="29" t="n"/>
      <c r="I321" s="43" t="n"/>
      <c r="J321" s="41" t="n"/>
      <c r="K321" s="41" t="n"/>
      <c r="L321" s="41" t="n"/>
      <c r="M321" s="31">
        <f>IF(COUNT(J321:L321)=0,"",MEDIAN(J321:L321))</f>
        <v/>
      </c>
      <c r="N321" s="26">
        <f>IF(COUNTIFS($C:$C,$C321,$D:$D,$D321,$E:$E,"기준(전)",$M:$M,"&gt;0")&lt;&gt;1,"기준(전) 유효 1개 아님",IF(COUNTIFS($C:$C,$C321,$D:$D,$D321,$E:$E,"기준(후)",$M:$M,"&gt;0")&lt;&gt;1,"기준(후) 유효 1개 아님",IF(NOT(AND(ISNUMBER(O321),ISNUMBER(Q321),ISNUMBER(I321))),"시각 결측",IF(Q321&lt;=O321,"기준 시각 역전",IF(OR(I321&lt;O321,I321&gt;Q321),"측정시각 구간 밖","OK")))))</f>
        <v/>
      </c>
      <c r="O321" s="48">
        <f>IF(COUNTIFS($C:$C,$C321,$D:$D,$D321,$E:$E,"기준(전)",$M:$M,"&gt;0")&lt;&gt;1,"",SUMIFS($I:$I,$C:$C,$C321,$D:$D,$D321,$E:$E,"기준(전)"))</f>
        <v/>
      </c>
      <c r="P321" s="31">
        <f>IF(COUNTIFS($C:$C,$C321,$D:$D,$D321,$E:$E,"기준(전)",$M:$M,"&gt;0")&lt;&gt;1,"",SUMIFS($M:$M,$C:$C,$C321,$D:$D,$D321,$E:$E,"기준(전)"))</f>
        <v/>
      </c>
      <c r="Q321" s="48">
        <f>IF(COUNTIFS($C:$C,$C321,$D:$D,$D321,$E:$E,"기준(후)",$M:$M,"&gt;0")&lt;&gt;1,"",SUMIFS($I:$I,$C:$C,$C321,$D:$D,$D321,$E:$E,"기준(후)"))</f>
        <v/>
      </c>
      <c r="R321" s="31">
        <f>IF(COUNTIFS($C:$C,$C321,$D:$D,$D321,$E:$E,"기준(후)",$M:$M,"&gt;0")&lt;&gt;1,"",SUMIFS($M:$M,$C:$C,$C321,$D:$D,$D321,$E:$E,"기준(후)"))</f>
        <v/>
      </c>
      <c r="S321" s="31">
        <f>IF(N321&lt;&gt;"OK","",P321+(R321-P321)*(I321-O321)/(Q321-O321))</f>
        <v/>
      </c>
      <c r="T321" s="31">
        <f>IF(OR(N321&lt;&gt;"OK",NOT(ISNUMBER(M321))),"",M321-S321)</f>
        <v/>
      </c>
      <c r="U321" s="49">
        <f>IF(OR($E320&lt;&gt;"측정",$C320&lt;&gt;$C321,$D320&lt;&gt;$D321,NOT(ISNUMBER(M321)),NOT(ISNUMBER(M320)),(IF(ISNUMBER(G321),G321,F321)-IF(ISNUMBER(G320),G320,F320))=0),"",(M321-M320)/((IF(ISNUMBER(G321),G321,F321)-IF(ISNUMBER(G320),G320,F320))/100))</f>
        <v/>
      </c>
      <c r="V321" s="29" t="n"/>
      <c r="W321" s="29" t="n"/>
      <c r="X321" s="32" t="n"/>
    </row>
    <row r="322">
      <c r="A322" s="26" t="inlineStr">
        <is>
          <t>S27</t>
        </is>
      </c>
      <c r="B322" s="26" t="inlineStr">
        <is>
          <t>전의 신규점</t>
        </is>
      </c>
      <c r="C322" s="26" t="inlineStr">
        <is>
          <t>S27-V</t>
        </is>
      </c>
      <c r="D322" s="47" t="n">
        <v>1</v>
      </c>
      <c r="E322" s="26" t="inlineStr">
        <is>
          <t>측정</t>
        </is>
      </c>
      <c r="F322" s="47" t="n">
        <v>80</v>
      </c>
      <c r="G322" s="41" t="n"/>
      <c r="H322" s="29" t="n"/>
      <c r="I322" s="43" t="n"/>
      <c r="J322" s="41" t="n"/>
      <c r="K322" s="41" t="n"/>
      <c r="L322" s="41" t="n"/>
      <c r="M322" s="31">
        <f>IF(COUNT(J322:L322)=0,"",MEDIAN(J322:L322))</f>
        <v/>
      </c>
      <c r="N322" s="26">
        <f>IF(COUNTIFS($C:$C,$C322,$D:$D,$D322,$E:$E,"기준(전)",$M:$M,"&gt;0")&lt;&gt;1,"기준(전) 유효 1개 아님",IF(COUNTIFS($C:$C,$C322,$D:$D,$D322,$E:$E,"기준(후)",$M:$M,"&gt;0")&lt;&gt;1,"기준(후) 유효 1개 아님",IF(NOT(AND(ISNUMBER(O322),ISNUMBER(Q322),ISNUMBER(I322))),"시각 결측",IF(Q322&lt;=O322,"기준 시각 역전",IF(OR(I322&lt;O322,I322&gt;Q322),"측정시각 구간 밖","OK")))))</f>
        <v/>
      </c>
      <c r="O322" s="48">
        <f>IF(COUNTIFS($C:$C,$C322,$D:$D,$D322,$E:$E,"기준(전)",$M:$M,"&gt;0")&lt;&gt;1,"",SUMIFS($I:$I,$C:$C,$C322,$D:$D,$D322,$E:$E,"기준(전)"))</f>
        <v/>
      </c>
      <c r="P322" s="31">
        <f>IF(COUNTIFS($C:$C,$C322,$D:$D,$D322,$E:$E,"기준(전)",$M:$M,"&gt;0")&lt;&gt;1,"",SUMIFS($M:$M,$C:$C,$C322,$D:$D,$D322,$E:$E,"기준(전)"))</f>
        <v/>
      </c>
      <c r="Q322" s="48">
        <f>IF(COUNTIFS($C:$C,$C322,$D:$D,$D322,$E:$E,"기준(후)",$M:$M,"&gt;0")&lt;&gt;1,"",SUMIFS($I:$I,$C:$C,$C322,$D:$D,$D322,$E:$E,"기준(후)"))</f>
        <v/>
      </c>
      <c r="R322" s="31">
        <f>IF(COUNTIFS($C:$C,$C322,$D:$D,$D322,$E:$E,"기준(후)",$M:$M,"&gt;0")&lt;&gt;1,"",SUMIFS($M:$M,$C:$C,$C322,$D:$D,$D322,$E:$E,"기준(후)"))</f>
        <v/>
      </c>
      <c r="S322" s="31">
        <f>IF(N322&lt;&gt;"OK","",P322+(R322-P322)*(I322-O322)/(Q322-O322))</f>
        <v/>
      </c>
      <c r="T322" s="31">
        <f>IF(OR(N322&lt;&gt;"OK",NOT(ISNUMBER(M322))),"",M322-S322)</f>
        <v/>
      </c>
      <c r="U322" s="49">
        <f>IF(OR($E321&lt;&gt;"측정",$C321&lt;&gt;$C322,$D321&lt;&gt;$D322,NOT(ISNUMBER(M322)),NOT(ISNUMBER(M321)),(IF(ISNUMBER(G322),G322,F322)-IF(ISNUMBER(G321),G321,F321))=0),"",(M322-M321)/((IF(ISNUMBER(G322),G322,F322)-IF(ISNUMBER(G321),G321,F321))/100))</f>
        <v/>
      </c>
      <c r="V322" s="29" t="n"/>
      <c r="W322" s="29" t="n"/>
      <c r="X322" s="32" t="n"/>
    </row>
    <row r="323">
      <c r="A323" s="26" t="inlineStr">
        <is>
          <t>S27</t>
        </is>
      </c>
      <c r="B323" s="26" t="inlineStr">
        <is>
          <t>전의 신규점</t>
        </is>
      </c>
      <c r="C323" s="26" t="inlineStr">
        <is>
          <t>S27-V</t>
        </is>
      </c>
      <c r="D323" s="47" t="n">
        <v>1</v>
      </c>
      <c r="E323" s="26" t="inlineStr">
        <is>
          <t>측정</t>
        </is>
      </c>
      <c r="F323" s="47" t="n">
        <v>100</v>
      </c>
      <c r="G323" s="41" t="n"/>
      <c r="H323" s="29" t="n"/>
      <c r="I323" s="43" t="n"/>
      <c r="J323" s="41" t="n"/>
      <c r="K323" s="41" t="n"/>
      <c r="L323" s="41" t="n"/>
      <c r="M323" s="31">
        <f>IF(COUNT(J323:L323)=0,"",MEDIAN(J323:L323))</f>
        <v/>
      </c>
      <c r="N323" s="26">
        <f>IF(COUNTIFS($C:$C,$C323,$D:$D,$D323,$E:$E,"기준(전)",$M:$M,"&gt;0")&lt;&gt;1,"기준(전) 유효 1개 아님",IF(COUNTIFS($C:$C,$C323,$D:$D,$D323,$E:$E,"기준(후)",$M:$M,"&gt;0")&lt;&gt;1,"기준(후) 유효 1개 아님",IF(NOT(AND(ISNUMBER(O323),ISNUMBER(Q323),ISNUMBER(I323))),"시각 결측",IF(Q323&lt;=O323,"기준 시각 역전",IF(OR(I323&lt;O323,I323&gt;Q323),"측정시각 구간 밖","OK")))))</f>
        <v/>
      </c>
      <c r="O323" s="48">
        <f>IF(COUNTIFS($C:$C,$C323,$D:$D,$D323,$E:$E,"기준(전)",$M:$M,"&gt;0")&lt;&gt;1,"",SUMIFS($I:$I,$C:$C,$C323,$D:$D,$D323,$E:$E,"기준(전)"))</f>
        <v/>
      </c>
      <c r="P323" s="31">
        <f>IF(COUNTIFS($C:$C,$C323,$D:$D,$D323,$E:$E,"기준(전)",$M:$M,"&gt;0")&lt;&gt;1,"",SUMIFS($M:$M,$C:$C,$C323,$D:$D,$D323,$E:$E,"기준(전)"))</f>
        <v/>
      </c>
      <c r="Q323" s="48">
        <f>IF(COUNTIFS($C:$C,$C323,$D:$D,$D323,$E:$E,"기준(후)",$M:$M,"&gt;0")&lt;&gt;1,"",SUMIFS($I:$I,$C:$C,$C323,$D:$D,$D323,$E:$E,"기준(후)"))</f>
        <v/>
      </c>
      <c r="R323" s="31">
        <f>IF(COUNTIFS($C:$C,$C323,$D:$D,$D323,$E:$E,"기준(후)",$M:$M,"&gt;0")&lt;&gt;1,"",SUMIFS($M:$M,$C:$C,$C323,$D:$D,$D323,$E:$E,"기준(후)"))</f>
        <v/>
      </c>
      <c r="S323" s="31">
        <f>IF(N323&lt;&gt;"OK","",P323+(R323-P323)*(I323-O323)/(Q323-O323))</f>
        <v/>
      </c>
      <c r="T323" s="31">
        <f>IF(OR(N323&lt;&gt;"OK",NOT(ISNUMBER(M323))),"",M323-S323)</f>
        <v/>
      </c>
      <c r="U323" s="49">
        <f>IF(OR($E322&lt;&gt;"측정",$C322&lt;&gt;$C323,$D322&lt;&gt;$D323,NOT(ISNUMBER(M323)),NOT(ISNUMBER(M322)),(IF(ISNUMBER(G323),G323,F323)-IF(ISNUMBER(G322),G322,F322))=0),"",(M323-M322)/((IF(ISNUMBER(G323),G323,F323)-IF(ISNUMBER(G322),G322,F322))/100))</f>
        <v/>
      </c>
      <c r="V323" s="29" t="n"/>
      <c r="W323" s="29" t="n"/>
      <c r="X323" s="32" t="n"/>
    </row>
    <row r="324">
      <c r="A324" s="26" t="inlineStr">
        <is>
          <t>S27</t>
        </is>
      </c>
      <c r="B324" s="26" t="inlineStr">
        <is>
          <t>전의 신규점</t>
        </is>
      </c>
      <c r="C324" s="26" t="inlineStr">
        <is>
          <t>S27-V</t>
        </is>
      </c>
      <c r="D324" s="47" t="n">
        <v>1</v>
      </c>
      <c r="E324" s="26" t="inlineStr">
        <is>
          <t>측정</t>
        </is>
      </c>
      <c r="F324" s="47" t="n">
        <v>120</v>
      </c>
      <c r="G324" s="41" t="n"/>
      <c r="H324" s="29" t="n"/>
      <c r="I324" s="43" t="n"/>
      <c r="J324" s="41" t="n"/>
      <c r="K324" s="41" t="n"/>
      <c r="L324" s="41" t="n"/>
      <c r="M324" s="31">
        <f>IF(COUNT(J324:L324)=0,"",MEDIAN(J324:L324))</f>
        <v/>
      </c>
      <c r="N324" s="26">
        <f>IF(COUNTIFS($C:$C,$C324,$D:$D,$D324,$E:$E,"기준(전)",$M:$M,"&gt;0")&lt;&gt;1,"기준(전) 유효 1개 아님",IF(COUNTIFS($C:$C,$C324,$D:$D,$D324,$E:$E,"기준(후)",$M:$M,"&gt;0")&lt;&gt;1,"기준(후) 유효 1개 아님",IF(NOT(AND(ISNUMBER(O324),ISNUMBER(Q324),ISNUMBER(I324))),"시각 결측",IF(Q324&lt;=O324,"기준 시각 역전",IF(OR(I324&lt;O324,I324&gt;Q324),"측정시각 구간 밖","OK")))))</f>
        <v/>
      </c>
      <c r="O324" s="48">
        <f>IF(COUNTIFS($C:$C,$C324,$D:$D,$D324,$E:$E,"기준(전)",$M:$M,"&gt;0")&lt;&gt;1,"",SUMIFS($I:$I,$C:$C,$C324,$D:$D,$D324,$E:$E,"기준(전)"))</f>
        <v/>
      </c>
      <c r="P324" s="31">
        <f>IF(COUNTIFS($C:$C,$C324,$D:$D,$D324,$E:$E,"기준(전)",$M:$M,"&gt;0")&lt;&gt;1,"",SUMIFS($M:$M,$C:$C,$C324,$D:$D,$D324,$E:$E,"기준(전)"))</f>
        <v/>
      </c>
      <c r="Q324" s="48">
        <f>IF(COUNTIFS($C:$C,$C324,$D:$D,$D324,$E:$E,"기준(후)",$M:$M,"&gt;0")&lt;&gt;1,"",SUMIFS($I:$I,$C:$C,$C324,$D:$D,$D324,$E:$E,"기준(후)"))</f>
        <v/>
      </c>
      <c r="R324" s="31">
        <f>IF(COUNTIFS($C:$C,$C324,$D:$D,$D324,$E:$E,"기준(후)",$M:$M,"&gt;0")&lt;&gt;1,"",SUMIFS($M:$M,$C:$C,$C324,$D:$D,$D324,$E:$E,"기준(후)"))</f>
        <v/>
      </c>
      <c r="S324" s="31">
        <f>IF(N324&lt;&gt;"OK","",P324+(R324-P324)*(I324-O324)/(Q324-O324))</f>
        <v/>
      </c>
      <c r="T324" s="31">
        <f>IF(OR(N324&lt;&gt;"OK",NOT(ISNUMBER(M324))),"",M324-S324)</f>
        <v/>
      </c>
      <c r="U324" s="49">
        <f>IF(OR($E323&lt;&gt;"측정",$C323&lt;&gt;$C324,$D323&lt;&gt;$D324,NOT(ISNUMBER(M324)),NOT(ISNUMBER(M323)),(IF(ISNUMBER(G324),G324,F324)-IF(ISNUMBER(G323),G323,F323))=0),"",(M324-M323)/((IF(ISNUMBER(G324),G324,F324)-IF(ISNUMBER(G323),G323,F323))/100))</f>
        <v/>
      </c>
      <c r="V324" s="29" t="n"/>
      <c r="W324" s="29" t="n"/>
      <c r="X324" s="32" t="n"/>
    </row>
    <row r="325">
      <c r="A325" s="26" t="inlineStr">
        <is>
          <t>S27</t>
        </is>
      </c>
      <c r="B325" s="26" t="inlineStr">
        <is>
          <t>전의 신규점</t>
        </is>
      </c>
      <c r="C325" s="26" t="inlineStr">
        <is>
          <t>S27-V</t>
        </is>
      </c>
      <c r="D325" s="47" t="n">
        <v>1</v>
      </c>
      <c r="E325" s="26" t="inlineStr">
        <is>
          <t>측정</t>
        </is>
      </c>
      <c r="F325" s="47" t="n">
        <v>140</v>
      </c>
      <c r="G325" s="41" t="n"/>
      <c r="H325" s="29" t="n"/>
      <c r="I325" s="43" t="n"/>
      <c r="J325" s="41" t="n"/>
      <c r="K325" s="41" t="n"/>
      <c r="L325" s="41" t="n"/>
      <c r="M325" s="31">
        <f>IF(COUNT(J325:L325)=0,"",MEDIAN(J325:L325))</f>
        <v/>
      </c>
      <c r="N325" s="26">
        <f>IF(COUNTIFS($C:$C,$C325,$D:$D,$D325,$E:$E,"기준(전)",$M:$M,"&gt;0")&lt;&gt;1,"기준(전) 유효 1개 아님",IF(COUNTIFS($C:$C,$C325,$D:$D,$D325,$E:$E,"기준(후)",$M:$M,"&gt;0")&lt;&gt;1,"기준(후) 유효 1개 아님",IF(NOT(AND(ISNUMBER(O325),ISNUMBER(Q325),ISNUMBER(I325))),"시각 결측",IF(Q325&lt;=O325,"기준 시각 역전",IF(OR(I325&lt;O325,I325&gt;Q325),"측정시각 구간 밖","OK")))))</f>
        <v/>
      </c>
      <c r="O325" s="48">
        <f>IF(COUNTIFS($C:$C,$C325,$D:$D,$D325,$E:$E,"기준(전)",$M:$M,"&gt;0")&lt;&gt;1,"",SUMIFS($I:$I,$C:$C,$C325,$D:$D,$D325,$E:$E,"기준(전)"))</f>
        <v/>
      </c>
      <c r="P325" s="31">
        <f>IF(COUNTIFS($C:$C,$C325,$D:$D,$D325,$E:$E,"기준(전)",$M:$M,"&gt;0")&lt;&gt;1,"",SUMIFS($M:$M,$C:$C,$C325,$D:$D,$D325,$E:$E,"기준(전)"))</f>
        <v/>
      </c>
      <c r="Q325" s="48">
        <f>IF(COUNTIFS($C:$C,$C325,$D:$D,$D325,$E:$E,"기준(후)",$M:$M,"&gt;0")&lt;&gt;1,"",SUMIFS($I:$I,$C:$C,$C325,$D:$D,$D325,$E:$E,"기준(후)"))</f>
        <v/>
      </c>
      <c r="R325" s="31">
        <f>IF(COUNTIFS($C:$C,$C325,$D:$D,$D325,$E:$E,"기준(후)",$M:$M,"&gt;0")&lt;&gt;1,"",SUMIFS($M:$M,$C:$C,$C325,$D:$D,$D325,$E:$E,"기준(후)"))</f>
        <v/>
      </c>
      <c r="S325" s="31">
        <f>IF(N325&lt;&gt;"OK","",P325+(R325-P325)*(I325-O325)/(Q325-O325))</f>
        <v/>
      </c>
      <c r="T325" s="31">
        <f>IF(OR(N325&lt;&gt;"OK",NOT(ISNUMBER(M325))),"",M325-S325)</f>
        <v/>
      </c>
      <c r="U325" s="49">
        <f>IF(OR($E324&lt;&gt;"측정",$C324&lt;&gt;$C325,$D324&lt;&gt;$D325,NOT(ISNUMBER(M325)),NOT(ISNUMBER(M324)),(IF(ISNUMBER(G325),G325,F325)-IF(ISNUMBER(G324),G324,F324))=0),"",(M325-M324)/((IF(ISNUMBER(G325),G325,F325)-IF(ISNUMBER(G324),G324,F324))/100))</f>
        <v/>
      </c>
      <c r="V325" s="29" t="n"/>
      <c r="W325" s="29" t="n"/>
      <c r="X325" s="32" t="n"/>
    </row>
    <row r="326">
      <c r="A326" s="26" t="inlineStr">
        <is>
          <t>S27</t>
        </is>
      </c>
      <c r="B326" s="26" t="inlineStr">
        <is>
          <t>전의 신규점</t>
        </is>
      </c>
      <c r="C326" s="26" t="inlineStr">
        <is>
          <t>S27-V</t>
        </is>
      </c>
      <c r="D326" s="47" t="n">
        <v>1</v>
      </c>
      <c r="E326" s="26" t="inlineStr">
        <is>
          <t>측정</t>
        </is>
      </c>
      <c r="F326" s="47" t="n">
        <v>160</v>
      </c>
      <c r="G326" s="41" t="n"/>
      <c r="H326" s="29" t="n"/>
      <c r="I326" s="43" t="n"/>
      <c r="J326" s="41" t="n"/>
      <c r="K326" s="41" t="n"/>
      <c r="L326" s="41" t="n"/>
      <c r="M326" s="31">
        <f>IF(COUNT(J326:L326)=0,"",MEDIAN(J326:L326))</f>
        <v/>
      </c>
      <c r="N326" s="26">
        <f>IF(COUNTIFS($C:$C,$C326,$D:$D,$D326,$E:$E,"기준(전)",$M:$M,"&gt;0")&lt;&gt;1,"기준(전) 유효 1개 아님",IF(COUNTIFS($C:$C,$C326,$D:$D,$D326,$E:$E,"기준(후)",$M:$M,"&gt;0")&lt;&gt;1,"기준(후) 유효 1개 아님",IF(NOT(AND(ISNUMBER(O326),ISNUMBER(Q326),ISNUMBER(I326))),"시각 결측",IF(Q326&lt;=O326,"기준 시각 역전",IF(OR(I326&lt;O326,I326&gt;Q326),"측정시각 구간 밖","OK")))))</f>
        <v/>
      </c>
      <c r="O326" s="48">
        <f>IF(COUNTIFS($C:$C,$C326,$D:$D,$D326,$E:$E,"기준(전)",$M:$M,"&gt;0")&lt;&gt;1,"",SUMIFS($I:$I,$C:$C,$C326,$D:$D,$D326,$E:$E,"기준(전)"))</f>
        <v/>
      </c>
      <c r="P326" s="31">
        <f>IF(COUNTIFS($C:$C,$C326,$D:$D,$D326,$E:$E,"기준(전)",$M:$M,"&gt;0")&lt;&gt;1,"",SUMIFS($M:$M,$C:$C,$C326,$D:$D,$D326,$E:$E,"기준(전)"))</f>
        <v/>
      </c>
      <c r="Q326" s="48">
        <f>IF(COUNTIFS($C:$C,$C326,$D:$D,$D326,$E:$E,"기준(후)",$M:$M,"&gt;0")&lt;&gt;1,"",SUMIFS($I:$I,$C:$C,$C326,$D:$D,$D326,$E:$E,"기준(후)"))</f>
        <v/>
      </c>
      <c r="R326" s="31">
        <f>IF(COUNTIFS($C:$C,$C326,$D:$D,$D326,$E:$E,"기준(후)",$M:$M,"&gt;0")&lt;&gt;1,"",SUMIFS($M:$M,$C:$C,$C326,$D:$D,$D326,$E:$E,"기준(후)"))</f>
        <v/>
      </c>
      <c r="S326" s="31">
        <f>IF(N326&lt;&gt;"OK","",P326+(R326-P326)*(I326-O326)/(Q326-O326))</f>
        <v/>
      </c>
      <c r="T326" s="31">
        <f>IF(OR(N326&lt;&gt;"OK",NOT(ISNUMBER(M326))),"",M326-S326)</f>
        <v/>
      </c>
      <c r="U326" s="49">
        <f>IF(OR($E325&lt;&gt;"측정",$C325&lt;&gt;$C326,$D325&lt;&gt;$D326,NOT(ISNUMBER(M326)),NOT(ISNUMBER(M325)),(IF(ISNUMBER(G326),G326,F326)-IF(ISNUMBER(G325),G325,F325))=0),"",(M326-M325)/((IF(ISNUMBER(G326),G326,F326)-IF(ISNUMBER(G325),G325,F325))/100))</f>
        <v/>
      </c>
      <c r="V326" s="29" t="n"/>
      <c r="W326" s="29" t="n"/>
      <c r="X326" s="32" t="n"/>
    </row>
    <row r="327">
      <c r="A327" s="26" t="inlineStr">
        <is>
          <t>S27</t>
        </is>
      </c>
      <c r="B327" s="26" t="inlineStr">
        <is>
          <t>전의 신규점</t>
        </is>
      </c>
      <c r="C327" s="26" t="inlineStr">
        <is>
          <t>S27-V</t>
        </is>
      </c>
      <c r="D327" s="47" t="n">
        <v>1</v>
      </c>
      <c r="E327" s="26" t="inlineStr">
        <is>
          <t>측정</t>
        </is>
      </c>
      <c r="F327" s="47" t="n">
        <v>180</v>
      </c>
      <c r="G327" s="41" t="n"/>
      <c r="H327" s="29" t="n"/>
      <c r="I327" s="43" t="n"/>
      <c r="J327" s="41" t="n"/>
      <c r="K327" s="41" t="n"/>
      <c r="L327" s="41" t="n"/>
      <c r="M327" s="31">
        <f>IF(COUNT(J327:L327)=0,"",MEDIAN(J327:L327))</f>
        <v/>
      </c>
      <c r="N327" s="26">
        <f>IF(COUNTIFS($C:$C,$C327,$D:$D,$D327,$E:$E,"기준(전)",$M:$M,"&gt;0")&lt;&gt;1,"기준(전) 유효 1개 아님",IF(COUNTIFS($C:$C,$C327,$D:$D,$D327,$E:$E,"기준(후)",$M:$M,"&gt;0")&lt;&gt;1,"기준(후) 유효 1개 아님",IF(NOT(AND(ISNUMBER(O327),ISNUMBER(Q327),ISNUMBER(I327))),"시각 결측",IF(Q327&lt;=O327,"기준 시각 역전",IF(OR(I327&lt;O327,I327&gt;Q327),"측정시각 구간 밖","OK")))))</f>
        <v/>
      </c>
      <c r="O327" s="48">
        <f>IF(COUNTIFS($C:$C,$C327,$D:$D,$D327,$E:$E,"기준(전)",$M:$M,"&gt;0")&lt;&gt;1,"",SUMIFS($I:$I,$C:$C,$C327,$D:$D,$D327,$E:$E,"기준(전)"))</f>
        <v/>
      </c>
      <c r="P327" s="31">
        <f>IF(COUNTIFS($C:$C,$C327,$D:$D,$D327,$E:$E,"기준(전)",$M:$M,"&gt;0")&lt;&gt;1,"",SUMIFS($M:$M,$C:$C,$C327,$D:$D,$D327,$E:$E,"기준(전)"))</f>
        <v/>
      </c>
      <c r="Q327" s="48">
        <f>IF(COUNTIFS($C:$C,$C327,$D:$D,$D327,$E:$E,"기준(후)",$M:$M,"&gt;0")&lt;&gt;1,"",SUMIFS($I:$I,$C:$C,$C327,$D:$D,$D327,$E:$E,"기준(후)"))</f>
        <v/>
      </c>
      <c r="R327" s="31">
        <f>IF(COUNTIFS($C:$C,$C327,$D:$D,$D327,$E:$E,"기준(후)",$M:$M,"&gt;0")&lt;&gt;1,"",SUMIFS($M:$M,$C:$C,$C327,$D:$D,$D327,$E:$E,"기준(후)"))</f>
        <v/>
      </c>
      <c r="S327" s="31">
        <f>IF(N327&lt;&gt;"OK","",P327+(R327-P327)*(I327-O327)/(Q327-O327))</f>
        <v/>
      </c>
      <c r="T327" s="31">
        <f>IF(OR(N327&lt;&gt;"OK",NOT(ISNUMBER(M327))),"",M327-S327)</f>
        <v/>
      </c>
      <c r="U327" s="49">
        <f>IF(OR($E326&lt;&gt;"측정",$C326&lt;&gt;$C327,$D326&lt;&gt;$D327,NOT(ISNUMBER(M327)),NOT(ISNUMBER(M326)),(IF(ISNUMBER(G327),G327,F327)-IF(ISNUMBER(G326),G326,F326))=0),"",(M327-M326)/((IF(ISNUMBER(G327),G327,F327)-IF(ISNUMBER(G326),G326,F326))/100))</f>
        <v/>
      </c>
      <c r="V327" s="29" t="n"/>
      <c r="W327" s="29" t="n"/>
      <c r="X327" s="32" t="n"/>
    </row>
    <row r="328">
      <c r="A328" s="26" t="inlineStr">
        <is>
          <t>S27</t>
        </is>
      </c>
      <c r="B328" s="26" t="inlineStr">
        <is>
          <t>전의 신규점</t>
        </is>
      </c>
      <c r="C328" s="26" t="inlineStr">
        <is>
          <t>S27-V</t>
        </is>
      </c>
      <c r="D328" s="47" t="n">
        <v>1</v>
      </c>
      <c r="E328" s="26" t="inlineStr">
        <is>
          <t>측정</t>
        </is>
      </c>
      <c r="F328" s="47" t="n">
        <v>200</v>
      </c>
      <c r="G328" s="41" t="n"/>
      <c r="H328" s="29" t="n"/>
      <c r="I328" s="43" t="n"/>
      <c r="J328" s="41" t="n"/>
      <c r="K328" s="41" t="n"/>
      <c r="L328" s="41" t="n"/>
      <c r="M328" s="31">
        <f>IF(COUNT(J328:L328)=0,"",MEDIAN(J328:L328))</f>
        <v/>
      </c>
      <c r="N328" s="26">
        <f>IF(COUNTIFS($C:$C,$C328,$D:$D,$D328,$E:$E,"기준(전)",$M:$M,"&gt;0")&lt;&gt;1,"기준(전) 유효 1개 아님",IF(COUNTIFS($C:$C,$C328,$D:$D,$D328,$E:$E,"기준(후)",$M:$M,"&gt;0")&lt;&gt;1,"기준(후) 유효 1개 아님",IF(NOT(AND(ISNUMBER(O328),ISNUMBER(Q328),ISNUMBER(I328))),"시각 결측",IF(Q328&lt;=O328,"기준 시각 역전",IF(OR(I328&lt;O328,I328&gt;Q328),"측정시각 구간 밖","OK")))))</f>
        <v/>
      </c>
      <c r="O328" s="48">
        <f>IF(COUNTIFS($C:$C,$C328,$D:$D,$D328,$E:$E,"기준(전)",$M:$M,"&gt;0")&lt;&gt;1,"",SUMIFS($I:$I,$C:$C,$C328,$D:$D,$D328,$E:$E,"기준(전)"))</f>
        <v/>
      </c>
      <c r="P328" s="31">
        <f>IF(COUNTIFS($C:$C,$C328,$D:$D,$D328,$E:$E,"기준(전)",$M:$M,"&gt;0")&lt;&gt;1,"",SUMIFS($M:$M,$C:$C,$C328,$D:$D,$D328,$E:$E,"기준(전)"))</f>
        <v/>
      </c>
      <c r="Q328" s="48">
        <f>IF(COUNTIFS($C:$C,$C328,$D:$D,$D328,$E:$E,"기준(후)",$M:$M,"&gt;0")&lt;&gt;1,"",SUMIFS($I:$I,$C:$C,$C328,$D:$D,$D328,$E:$E,"기준(후)"))</f>
        <v/>
      </c>
      <c r="R328" s="31">
        <f>IF(COUNTIFS($C:$C,$C328,$D:$D,$D328,$E:$E,"기준(후)",$M:$M,"&gt;0")&lt;&gt;1,"",SUMIFS($M:$M,$C:$C,$C328,$D:$D,$D328,$E:$E,"기준(후)"))</f>
        <v/>
      </c>
      <c r="S328" s="31">
        <f>IF(N328&lt;&gt;"OK","",P328+(R328-P328)*(I328-O328)/(Q328-O328))</f>
        <v/>
      </c>
      <c r="T328" s="31">
        <f>IF(OR(N328&lt;&gt;"OK",NOT(ISNUMBER(M328))),"",M328-S328)</f>
        <v/>
      </c>
      <c r="U328" s="49">
        <f>IF(OR($E327&lt;&gt;"측정",$C327&lt;&gt;$C328,$D327&lt;&gt;$D328,NOT(ISNUMBER(M328)),NOT(ISNUMBER(M327)),(IF(ISNUMBER(G328),G328,F328)-IF(ISNUMBER(G327),G327,F327))=0),"",(M328-M327)/((IF(ISNUMBER(G328),G328,F328)-IF(ISNUMBER(G327),G327,F327))/100))</f>
        <v/>
      </c>
      <c r="V328" s="29" t="n"/>
      <c r="W328" s="29" t="n"/>
      <c r="X328" s="32" t="n"/>
    </row>
    <row r="329">
      <c r="A329" s="44" t="inlineStr">
        <is>
          <t>S27</t>
        </is>
      </c>
      <c r="B329" s="44" t="inlineStr">
        <is>
          <t>전의 신규점</t>
        </is>
      </c>
      <c r="C329" s="44" t="inlineStr">
        <is>
          <t>S27-V</t>
        </is>
      </c>
      <c r="D329" s="45" t="n">
        <v>1</v>
      </c>
      <c r="E329" s="44" t="inlineStr">
        <is>
          <t>기준(후)</t>
        </is>
      </c>
      <c r="F329" s="45" t="n"/>
      <c r="G329" s="41" t="n"/>
      <c r="H329" s="29" t="n"/>
      <c r="I329" s="43" t="n"/>
      <c r="J329" s="41" t="n"/>
      <c r="K329" s="41" t="n"/>
      <c r="L329" s="41" t="n"/>
      <c r="M329" s="31">
        <f>IF(COUNT(J329:L329)=0,"",MEDIAN(J329:L329))</f>
        <v/>
      </c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29" t="n"/>
      <c r="W329" s="29" t="n"/>
      <c r="X329" s="32" t="n"/>
    </row>
    <row r="330">
      <c r="A330" s="44" t="inlineStr">
        <is>
          <t>S28</t>
        </is>
      </c>
      <c r="B330" s="44" t="inlineStr">
        <is>
          <t>이원 신규점</t>
        </is>
      </c>
      <c r="C330" s="44" t="inlineStr">
        <is>
          <t>S28-V</t>
        </is>
      </c>
      <c r="D330" s="45" t="n">
        <v>1</v>
      </c>
      <c r="E330" s="44" t="inlineStr">
        <is>
          <t>기준(전)</t>
        </is>
      </c>
      <c r="F330" s="45" t="n"/>
      <c r="G330" s="41" t="n"/>
      <c r="H330" s="29" t="n"/>
      <c r="I330" s="43" t="n"/>
      <c r="J330" s="41" t="n"/>
      <c r="K330" s="41" t="n"/>
      <c r="L330" s="41" t="n"/>
      <c r="M330" s="31">
        <f>IF(COUNT(J330:L330)=0,"",MEDIAN(J330:L330))</f>
        <v/>
      </c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29" t="n"/>
      <c r="W330" s="29" t="n"/>
      <c r="X330" s="32" t="n"/>
    </row>
    <row r="331">
      <c r="A331" s="26" t="inlineStr">
        <is>
          <t>S28</t>
        </is>
      </c>
      <c r="B331" s="26" t="inlineStr">
        <is>
          <t>이원 신규점</t>
        </is>
      </c>
      <c r="C331" s="26" t="inlineStr">
        <is>
          <t>S28-V</t>
        </is>
      </c>
      <c r="D331" s="47" t="n">
        <v>1</v>
      </c>
      <c r="E331" s="26" t="inlineStr">
        <is>
          <t>측정</t>
        </is>
      </c>
      <c r="F331" s="47" t="n">
        <v>20</v>
      </c>
      <c r="G331" s="41" t="n"/>
      <c r="H331" s="29" t="n"/>
      <c r="I331" s="43" t="n"/>
      <c r="J331" s="41" t="n"/>
      <c r="K331" s="41" t="n"/>
      <c r="L331" s="41" t="n"/>
      <c r="M331" s="31">
        <f>IF(COUNT(J331:L331)=0,"",MEDIAN(J331:L331))</f>
        <v/>
      </c>
      <c r="N331" s="26">
        <f>IF(COUNTIFS($C:$C,$C331,$D:$D,$D331,$E:$E,"기준(전)",$M:$M,"&gt;0")&lt;&gt;1,"기준(전) 유효 1개 아님",IF(COUNTIFS($C:$C,$C331,$D:$D,$D331,$E:$E,"기준(후)",$M:$M,"&gt;0")&lt;&gt;1,"기준(후) 유효 1개 아님",IF(NOT(AND(ISNUMBER(O331),ISNUMBER(Q331),ISNUMBER(I331))),"시각 결측",IF(Q331&lt;=O331,"기준 시각 역전",IF(OR(I331&lt;O331,I331&gt;Q331),"측정시각 구간 밖","OK")))))</f>
        <v/>
      </c>
      <c r="O331" s="48">
        <f>IF(COUNTIFS($C:$C,$C331,$D:$D,$D331,$E:$E,"기준(전)",$M:$M,"&gt;0")&lt;&gt;1,"",SUMIFS($I:$I,$C:$C,$C331,$D:$D,$D331,$E:$E,"기준(전)"))</f>
        <v/>
      </c>
      <c r="P331" s="31">
        <f>IF(COUNTIFS($C:$C,$C331,$D:$D,$D331,$E:$E,"기준(전)",$M:$M,"&gt;0")&lt;&gt;1,"",SUMIFS($M:$M,$C:$C,$C331,$D:$D,$D331,$E:$E,"기준(전)"))</f>
        <v/>
      </c>
      <c r="Q331" s="48">
        <f>IF(COUNTIFS($C:$C,$C331,$D:$D,$D331,$E:$E,"기준(후)",$M:$M,"&gt;0")&lt;&gt;1,"",SUMIFS($I:$I,$C:$C,$C331,$D:$D,$D331,$E:$E,"기준(후)"))</f>
        <v/>
      </c>
      <c r="R331" s="31">
        <f>IF(COUNTIFS($C:$C,$C331,$D:$D,$D331,$E:$E,"기준(후)",$M:$M,"&gt;0")&lt;&gt;1,"",SUMIFS($M:$M,$C:$C,$C331,$D:$D,$D331,$E:$E,"기준(후)"))</f>
        <v/>
      </c>
      <c r="S331" s="31">
        <f>IF(N331&lt;&gt;"OK","",P331+(R331-P331)*(I331-O331)/(Q331-O331))</f>
        <v/>
      </c>
      <c r="T331" s="31">
        <f>IF(OR(N331&lt;&gt;"OK",NOT(ISNUMBER(M331))),"",M331-S331)</f>
        <v/>
      </c>
      <c r="U331" s="49">
        <f>IF(OR($E330&lt;&gt;"측정",$C330&lt;&gt;$C331,$D330&lt;&gt;$D331,NOT(ISNUMBER(M331)),NOT(ISNUMBER(M330)),(IF(ISNUMBER(G331),G331,F331)-IF(ISNUMBER(G330),G330,F330))=0),"",(M331-M330)/((IF(ISNUMBER(G331),G331,F331)-IF(ISNUMBER(G330),G330,F330))/100))</f>
        <v/>
      </c>
      <c r="V331" s="29" t="n"/>
      <c r="W331" s="29" t="n"/>
      <c r="X331" s="32" t="n"/>
    </row>
    <row r="332">
      <c r="A332" s="26" t="inlineStr">
        <is>
          <t>S28</t>
        </is>
      </c>
      <c r="B332" s="26" t="inlineStr">
        <is>
          <t>이원 신규점</t>
        </is>
      </c>
      <c r="C332" s="26" t="inlineStr">
        <is>
          <t>S28-V</t>
        </is>
      </c>
      <c r="D332" s="47" t="n">
        <v>1</v>
      </c>
      <c r="E332" s="26" t="inlineStr">
        <is>
          <t>측정</t>
        </is>
      </c>
      <c r="F332" s="47" t="n">
        <v>40</v>
      </c>
      <c r="G332" s="41" t="n"/>
      <c r="H332" s="29" t="n"/>
      <c r="I332" s="43" t="n"/>
      <c r="J332" s="41" t="n"/>
      <c r="K332" s="41" t="n"/>
      <c r="L332" s="41" t="n"/>
      <c r="M332" s="31">
        <f>IF(COUNT(J332:L332)=0,"",MEDIAN(J332:L332))</f>
        <v/>
      </c>
      <c r="N332" s="26">
        <f>IF(COUNTIFS($C:$C,$C332,$D:$D,$D332,$E:$E,"기준(전)",$M:$M,"&gt;0")&lt;&gt;1,"기준(전) 유효 1개 아님",IF(COUNTIFS($C:$C,$C332,$D:$D,$D332,$E:$E,"기준(후)",$M:$M,"&gt;0")&lt;&gt;1,"기준(후) 유효 1개 아님",IF(NOT(AND(ISNUMBER(O332),ISNUMBER(Q332),ISNUMBER(I332))),"시각 결측",IF(Q332&lt;=O332,"기준 시각 역전",IF(OR(I332&lt;O332,I332&gt;Q332),"측정시각 구간 밖","OK")))))</f>
        <v/>
      </c>
      <c r="O332" s="48">
        <f>IF(COUNTIFS($C:$C,$C332,$D:$D,$D332,$E:$E,"기준(전)",$M:$M,"&gt;0")&lt;&gt;1,"",SUMIFS($I:$I,$C:$C,$C332,$D:$D,$D332,$E:$E,"기준(전)"))</f>
        <v/>
      </c>
      <c r="P332" s="31">
        <f>IF(COUNTIFS($C:$C,$C332,$D:$D,$D332,$E:$E,"기준(전)",$M:$M,"&gt;0")&lt;&gt;1,"",SUMIFS($M:$M,$C:$C,$C332,$D:$D,$D332,$E:$E,"기준(전)"))</f>
        <v/>
      </c>
      <c r="Q332" s="48">
        <f>IF(COUNTIFS($C:$C,$C332,$D:$D,$D332,$E:$E,"기준(후)",$M:$M,"&gt;0")&lt;&gt;1,"",SUMIFS($I:$I,$C:$C,$C332,$D:$D,$D332,$E:$E,"기준(후)"))</f>
        <v/>
      </c>
      <c r="R332" s="31">
        <f>IF(COUNTIFS($C:$C,$C332,$D:$D,$D332,$E:$E,"기준(후)",$M:$M,"&gt;0")&lt;&gt;1,"",SUMIFS($M:$M,$C:$C,$C332,$D:$D,$D332,$E:$E,"기준(후)"))</f>
        <v/>
      </c>
      <c r="S332" s="31">
        <f>IF(N332&lt;&gt;"OK","",P332+(R332-P332)*(I332-O332)/(Q332-O332))</f>
        <v/>
      </c>
      <c r="T332" s="31">
        <f>IF(OR(N332&lt;&gt;"OK",NOT(ISNUMBER(M332))),"",M332-S332)</f>
        <v/>
      </c>
      <c r="U332" s="49">
        <f>IF(OR($E331&lt;&gt;"측정",$C331&lt;&gt;$C332,$D331&lt;&gt;$D332,NOT(ISNUMBER(M332)),NOT(ISNUMBER(M331)),(IF(ISNUMBER(G332),G332,F332)-IF(ISNUMBER(G331),G331,F331))=0),"",(M332-M331)/((IF(ISNUMBER(G332),G332,F332)-IF(ISNUMBER(G331),G331,F331))/100))</f>
        <v/>
      </c>
      <c r="V332" s="29" t="n"/>
      <c r="W332" s="29" t="n"/>
      <c r="X332" s="32" t="n"/>
    </row>
    <row r="333">
      <c r="A333" s="26" t="inlineStr">
        <is>
          <t>S28</t>
        </is>
      </c>
      <c r="B333" s="26" t="inlineStr">
        <is>
          <t>이원 신규점</t>
        </is>
      </c>
      <c r="C333" s="26" t="inlineStr">
        <is>
          <t>S28-V</t>
        </is>
      </c>
      <c r="D333" s="47" t="n">
        <v>1</v>
      </c>
      <c r="E333" s="26" t="inlineStr">
        <is>
          <t>측정</t>
        </is>
      </c>
      <c r="F333" s="47" t="n">
        <v>60</v>
      </c>
      <c r="G333" s="41" t="n"/>
      <c r="H333" s="29" t="n"/>
      <c r="I333" s="43" t="n"/>
      <c r="J333" s="41" t="n"/>
      <c r="K333" s="41" t="n"/>
      <c r="L333" s="41" t="n"/>
      <c r="M333" s="31">
        <f>IF(COUNT(J333:L333)=0,"",MEDIAN(J333:L333))</f>
        <v/>
      </c>
      <c r="N333" s="26">
        <f>IF(COUNTIFS($C:$C,$C333,$D:$D,$D333,$E:$E,"기준(전)",$M:$M,"&gt;0")&lt;&gt;1,"기준(전) 유효 1개 아님",IF(COUNTIFS($C:$C,$C333,$D:$D,$D333,$E:$E,"기준(후)",$M:$M,"&gt;0")&lt;&gt;1,"기준(후) 유효 1개 아님",IF(NOT(AND(ISNUMBER(O333),ISNUMBER(Q333),ISNUMBER(I333))),"시각 결측",IF(Q333&lt;=O333,"기준 시각 역전",IF(OR(I333&lt;O333,I333&gt;Q333),"측정시각 구간 밖","OK")))))</f>
        <v/>
      </c>
      <c r="O333" s="48">
        <f>IF(COUNTIFS($C:$C,$C333,$D:$D,$D333,$E:$E,"기준(전)",$M:$M,"&gt;0")&lt;&gt;1,"",SUMIFS($I:$I,$C:$C,$C333,$D:$D,$D333,$E:$E,"기준(전)"))</f>
        <v/>
      </c>
      <c r="P333" s="31">
        <f>IF(COUNTIFS($C:$C,$C333,$D:$D,$D333,$E:$E,"기준(전)",$M:$M,"&gt;0")&lt;&gt;1,"",SUMIFS($M:$M,$C:$C,$C333,$D:$D,$D333,$E:$E,"기준(전)"))</f>
        <v/>
      </c>
      <c r="Q333" s="48">
        <f>IF(COUNTIFS($C:$C,$C333,$D:$D,$D333,$E:$E,"기준(후)",$M:$M,"&gt;0")&lt;&gt;1,"",SUMIFS($I:$I,$C:$C,$C333,$D:$D,$D333,$E:$E,"기준(후)"))</f>
        <v/>
      </c>
      <c r="R333" s="31">
        <f>IF(COUNTIFS($C:$C,$C333,$D:$D,$D333,$E:$E,"기준(후)",$M:$M,"&gt;0")&lt;&gt;1,"",SUMIFS($M:$M,$C:$C,$C333,$D:$D,$D333,$E:$E,"기준(후)"))</f>
        <v/>
      </c>
      <c r="S333" s="31">
        <f>IF(N333&lt;&gt;"OK","",P333+(R333-P333)*(I333-O333)/(Q333-O333))</f>
        <v/>
      </c>
      <c r="T333" s="31">
        <f>IF(OR(N333&lt;&gt;"OK",NOT(ISNUMBER(M333))),"",M333-S333)</f>
        <v/>
      </c>
      <c r="U333" s="49">
        <f>IF(OR($E332&lt;&gt;"측정",$C332&lt;&gt;$C333,$D332&lt;&gt;$D333,NOT(ISNUMBER(M333)),NOT(ISNUMBER(M332)),(IF(ISNUMBER(G333),G333,F333)-IF(ISNUMBER(G332),G332,F332))=0),"",(M333-M332)/((IF(ISNUMBER(G333),G333,F333)-IF(ISNUMBER(G332),G332,F332))/100))</f>
        <v/>
      </c>
      <c r="V333" s="29" t="n"/>
      <c r="W333" s="29" t="n"/>
      <c r="X333" s="32" t="n"/>
    </row>
    <row r="334">
      <c r="A334" s="26" t="inlineStr">
        <is>
          <t>S28</t>
        </is>
      </c>
      <c r="B334" s="26" t="inlineStr">
        <is>
          <t>이원 신규점</t>
        </is>
      </c>
      <c r="C334" s="26" t="inlineStr">
        <is>
          <t>S28-V</t>
        </is>
      </c>
      <c r="D334" s="47" t="n">
        <v>1</v>
      </c>
      <c r="E334" s="26" t="inlineStr">
        <is>
          <t>측정</t>
        </is>
      </c>
      <c r="F334" s="47" t="n">
        <v>80</v>
      </c>
      <c r="G334" s="41" t="n"/>
      <c r="H334" s="29" t="n"/>
      <c r="I334" s="43" t="n"/>
      <c r="J334" s="41" t="n"/>
      <c r="K334" s="41" t="n"/>
      <c r="L334" s="41" t="n"/>
      <c r="M334" s="31">
        <f>IF(COUNT(J334:L334)=0,"",MEDIAN(J334:L334))</f>
        <v/>
      </c>
      <c r="N334" s="26">
        <f>IF(COUNTIFS($C:$C,$C334,$D:$D,$D334,$E:$E,"기준(전)",$M:$M,"&gt;0")&lt;&gt;1,"기준(전) 유효 1개 아님",IF(COUNTIFS($C:$C,$C334,$D:$D,$D334,$E:$E,"기준(후)",$M:$M,"&gt;0")&lt;&gt;1,"기준(후) 유효 1개 아님",IF(NOT(AND(ISNUMBER(O334),ISNUMBER(Q334),ISNUMBER(I334))),"시각 결측",IF(Q334&lt;=O334,"기준 시각 역전",IF(OR(I334&lt;O334,I334&gt;Q334),"측정시각 구간 밖","OK")))))</f>
        <v/>
      </c>
      <c r="O334" s="48">
        <f>IF(COUNTIFS($C:$C,$C334,$D:$D,$D334,$E:$E,"기준(전)",$M:$M,"&gt;0")&lt;&gt;1,"",SUMIFS($I:$I,$C:$C,$C334,$D:$D,$D334,$E:$E,"기준(전)"))</f>
        <v/>
      </c>
      <c r="P334" s="31">
        <f>IF(COUNTIFS($C:$C,$C334,$D:$D,$D334,$E:$E,"기준(전)",$M:$M,"&gt;0")&lt;&gt;1,"",SUMIFS($M:$M,$C:$C,$C334,$D:$D,$D334,$E:$E,"기준(전)"))</f>
        <v/>
      </c>
      <c r="Q334" s="48">
        <f>IF(COUNTIFS($C:$C,$C334,$D:$D,$D334,$E:$E,"기준(후)",$M:$M,"&gt;0")&lt;&gt;1,"",SUMIFS($I:$I,$C:$C,$C334,$D:$D,$D334,$E:$E,"기준(후)"))</f>
        <v/>
      </c>
      <c r="R334" s="31">
        <f>IF(COUNTIFS($C:$C,$C334,$D:$D,$D334,$E:$E,"기준(후)",$M:$M,"&gt;0")&lt;&gt;1,"",SUMIFS($M:$M,$C:$C,$C334,$D:$D,$D334,$E:$E,"기준(후)"))</f>
        <v/>
      </c>
      <c r="S334" s="31">
        <f>IF(N334&lt;&gt;"OK","",P334+(R334-P334)*(I334-O334)/(Q334-O334))</f>
        <v/>
      </c>
      <c r="T334" s="31">
        <f>IF(OR(N334&lt;&gt;"OK",NOT(ISNUMBER(M334))),"",M334-S334)</f>
        <v/>
      </c>
      <c r="U334" s="49">
        <f>IF(OR($E333&lt;&gt;"측정",$C333&lt;&gt;$C334,$D333&lt;&gt;$D334,NOT(ISNUMBER(M334)),NOT(ISNUMBER(M333)),(IF(ISNUMBER(G334),G334,F334)-IF(ISNUMBER(G333),G333,F333))=0),"",(M334-M333)/((IF(ISNUMBER(G334),G334,F334)-IF(ISNUMBER(G333),G333,F333))/100))</f>
        <v/>
      </c>
      <c r="V334" s="29" t="n"/>
      <c r="W334" s="29" t="n"/>
      <c r="X334" s="32" t="n"/>
    </row>
    <row r="335">
      <c r="A335" s="26" t="inlineStr">
        <is>
          <t>S28</t>
        </is>
      </c>
      <c r="B335" s="26" t="inlineStr">
        <is>
          <t>이원 신규점</t>
        </is>
      </c>
      <c r="C335" s="26" t="inlineStr">
        <is>
          <t>S28-V</t>
        </is>
      </c>
      <c r="D335" s="47" t="n">
        <v>1</v>
      </c>
      <c r="E335" s="26" t="inlineStr">
        <is>
          <t>측정</t>
        </is>
      </c>
      <c r="F335" s="47" t="n">
        <v>100</v>
      </c>
      <c r="G335" s="41" t="n"/>
      <c r="H335" s="29" t="n"/>
      <c r="I335" s="43" t="n"/>
      <c r="J335" s="41" t="n"/>
      <c r="K335" s="41" t="n"/>
      <c r="L335" s="41" t="n"/>
      <c r="M335" s="31">
        <f>IF(COUNT(J335:L335)=0,"",MEDIAN(J335:L335))</f>
        <v/>
      </c>
      <c r="N335" s="26">
        <f>IF(COUNTIFS($C:$C,$C335,$D:$D,$D335,$E:$E,"기준(전)",$M:$M,"&gt;0")&lt;&gt;1,"기준(전) 유효 1개 아님",IF(COUNTIFS($C:$C,$C335,$D:$D,$D335,$E:$E,"기준(후)",$M:$M,"&gt;0")&lt;&gt;1,"기준(후) 유효 1개 아님",IF(NOT(AND(ISNUMBER(O335),ISNUMBER(Q335),ISNUMBER(I335))),"시각 결측",IF(Q335&lt;=O335,"기준 시각 역전",IF(OR(I335&lt;O335,I335&gt;Q335),"측정시각 구간 밖","OK")))))</f>
        <v/>
      </c>
      <c r="O335" s="48">
        <f>IF(COUNTIFS($C:$C,$C335,$D:$D,$D335,$E:$E,"기준(전)",$M:$M,"&gt;0")&lt;&gt;1,"",SUMIFS($I:$I,$C:$C,$C335,$D:$D,$D335,$E:$E,"기준(전)"))</f>
        <v/>
      </c>
      <c r="P335" s="31">
        <f>IF(COUNTIFS($C:$C,$C335,$D:$D,$D335,$E:$E,"기준(전)",$M:$M,"&gt;0")&lt;&gt;1,"",SUMIFS($M:$M,$C:$C,$C335,$D:$D,$D335,$E:$E,"기준(전)"))</f>
        <v/>
      </c>
      <c r="Q335" s="48">
        <f>IF(COUNTIFS($C:$C,$C335,$D:$D,$D335,$E:$E,"기준(후)",$M:$M,"&gt;0")&lt;&gt;1,"",SUMIFS($I:$I,$C:$C,$C335,$D:$D,$D335,$E:$E,"기준(후)"))</f>
        <v/>
      </c>
      <c r="R335" s="31">
        <f>IF(COUNTIFS($C:$C,$C335,$D:$D,$D335,$E:$E,"기준(후)",$M:$M,"&gt;0")&lt;&gt;1,"",SUMIFS($M:$M,$C:$C,$C335,$D:$D,$D335,$E:$E,"기준(후)"))</f>
        <v/>
      </c>
      <c r="S335" s="31">
        <f>IF(N335&lt;&gt;"OK","",P335+(R335-P335)*(I335-O335)/(Q335-O335))</f>
        <v/>
      </c>
      <c r="T335" s="31">
        <f>IF(OR(N335&lt;&gt;"OK",NOT(ISNUMBER(M335))),"",M335-S335)</f>
        <v/>
      </c>
      <c r="U335" s="49">
        <f>IF(OR($E334&lt;&gt;"측정",$C334&lt;&gt;$C335,$D334&lt;&gt;$D335,NOT(ISNUMBER(M335)),NOT(ISNUMBER(M334)),(IF(ISNUMBER(G335),G335,F335)-IF(ISNUMBER(G334),G334,F334))=0),"",(M335-M334)/((IF(ISNUMBER(G335),G335,F335)-IF(ISNUMBER(G334),G334,F334))/100))</f>
        <v/>
      </c>
      <c r="V335" s="29" t="n"/>
      <c r="W335" s="29" t="n"/>
      <c r="X335" s="32" t="n"/>
    </row>
    <row r="336">
      <c r="A336" s="26" t="inlineStr">
        <is>
          <t>S28</t>
        </is>
      </c>
      <c r="B336" s="26" t="inlineStr">
        <is>
          <t>이원 신규점</t>
        </is>
      </c>
      <c r="C336" s="26" t="inlineStr">
        <is>
          <t>S28-V</t>
        </is>
      </c>
      <c r="D336" s="47" t="n">
        <v>1</v>
      </c>
      <c r="E336" s="26" t="inlineStr">
        <is>
          <t>측정</t>
        </is>
      </c>
      <c r="F336" s="47" t="n">
        <v>120</v>
      </c>
      <c r="G336" s="41" t="n"/>
      <c r="H336" s="29" t="n"/>
      <c r="I336" s="43" t="n"/>
      <c r="J336" s="41" t="n"/>
      <c r="K336" s="41" t="n"/>
      <c r="L336" s="41" t="n"/>
      <c r="M336" s="31">
        <f>IF(COUNT(J336:L336)=0,"",MEDIAN(J336:L336))</f>
        <v/>
      </c>
      <c r="N336" s="26">
        <f>IF(COUNTIFS($C:$C,$C336,$D:$D,$D336,$E:$E,"기준(전)",$M:$M,"&gt;0")&lt;&gt;1,"기준(전) 유효 1개 아님",IF(COUNTIFS($C:$C,$C336,$D:$D,$D336,$E:$E,"기준(후)",$M:$M,"&gt;0")&lt;&gt;1,"기준(후) 유효 1개 아님",IF(NOT(AND(ISNUMBER(O336),ISNUMBER(Q336),ISNUMBER(I336))),"시각 결측",IF(Q336&lt;=O336,"기준 시각 역전",IF(OR(I336&lt;O336,I336&gt;Q336),"측정시각 구간 밖","OK")))))</f>
        <v/>
      </c>
      <c r="O336" s="48">
        <f>IF(COUNTIFS($C:$C,$C336,$D:$D,$D336,$E:$E,"기준(전)",$M:$M,"&gt;0")&lt;&gt;1,"",SUMIFS($I:$I,$C:$C,$C336,$D:$D,$D336,$E:$E,"기준(전)"))</f>
        <v/>
      </c>
      <c r="P336" s="31">
        <f>IF(COUNTIFS($C:$C,$C336,$D:$D,$D336,$E:$E,"기준(전)",$M:$M,"&gt;0")&lt;&gt;1,"",SUMIFS($M:$M,$C:$C,$C336,$D:$D,$D336,$E:$E,"기준(전)"))</f>
        <v/>
      </c>
      <c r="Q336" s="48">
        <f>IF(COUNTIFS($C:$C,$C336,$D:$D,$D336,$E:$E,"기준(후)",$M:$M,"&gt;0")&lt;&gt;1,"",SUMIFS($I:$I,$C:$C,$C336,$D:$D,$D336,$E:$E,"기준(후)"))</f>
        <v/>
      </c>
      <c r="R336" s="31">
        <f>IF(COUNTIFS($C:$C,$C336,$D:$D,$D336,$E:$E,"기준(후)",$M:$M,"&gt;0")&lt;&gt;1,"",SUMIFS($M:$M,$C:$C,$C336,$D:$D,$D336,$E:$E,"기준(후)"))</f>
        <v/>
      </c>
      <c r="S336" s="31">
        <f>IF(N336&lt;&gt;"OK","",P336+(R336-P336)*(I336-O336)/(Q336-O336))</f>
        <v/>
      </c>
      <c r="T336" s="31">
        <f>IF(OR(N336&lt;&gt;"OK",NOT(ISNUMBER(M336))),"",M336-S336)</f>
        <v/>
      </c>
      <c r="U336" s="49">
        <f>IF(OR($E335&lt;&gt;"측정",$C335&lt;&gt;$C336,$D335&lt;&gt;$D336,NOT(ISNUMBER(M336)),NOT(ISNUMBER(M335)),(IF(ISNUMBER(G336),G336,F336)-IF(ISNUMBER(G335),G335,F335))=0),"",(M336-M335)/((IF(ISNUMBER(G336),G336,F336)-IF(ISNUMBER(G335),G335,F335))/100))</f>
        <v/>
      </c>
      <c r="V336" s="29" t="n"/>
      <c r="W336" s="29" t="n"/>
      <c r="X336" s="32" t="n"/>
    </row>
    <row r="337">
      <c r="A337" s="26" t="inlineStr">
        <is>
          <t>S28</t>
        </is>
      </c>
      <c r="B337" s="26" t="inlineStr">
        <is>
          <t>이원 신규점</t>
        </is>
      </c>
      <c r="C337" s="26" t="inlineStr">
        <is>
          <t>S28-V</t>
        </is>
      </c>
      <c r="D337" s="47" t="n">
        <v>1</v>
      </c>
      <c r="E337" s="26" t="inlineStr">
        <is>
          <t>측정</t>
        </is>
      </c>
      <c r="F337" s="47" t="n">
        <v>140</v>
      </c>
      <c r="G337" s="41" t="n"/>
      <c r="H337" s="29" t="n"/>
      <c r="I337" s="43" t="n"/>
      <c r="J337" s="41" t="n"/>
      <c r="K337" s="41" t="n"/>
      <c r="L337" s="41" t="n"/>
      <c r="M337" s="31">
        <f>IF(COUNT(J337:L337)=0,"",MEDIAN(J337:L337))</f>
        <v/>
      </c>
      <c r="N337" s="26">
        <f>IF(COUNTIFS($C:$C,$C337,$D:$D,$D337,$E:$E,"기준(전)",$M:$M,"&gt;0")&lt;&gt;1,"기준(전) 유효 1개 아님",IF(COUNTIFS($C:$C,$C337,$D:$D,$D337,$E:$E,"기준(후)",$M:$M,"&gt;0")&lt;&gt;1,"기준(후) 유효 1개 아님",IF(NOT(AND(ISNUMBER(O337),ISNUMBER(Q337),ISNUMBER(I337))),"시각 결측",IF(Q337&lt;=O337,"기준 시각 역전",IF(OR(I337&lt;O337,I337&gt;Q337),"측정시각 구간 밖","OK")))))</f>
        <v/>
      </c>
      <c r="O337" s="48">
        <f>IF(COUNTIFS($C:$C,$C337,$D:$D,$D337,$E:$E,"기준(전)",$M:$M,"&gt;0")&lt;&gt;1,"",SUMIFS($I:$I,$C:$C,$C337,$D:$D,$D337,$E:$E,"기준(전)"))</f>
        <v/>
      </c>
      <c r="P337" s="31">
        <f>IF(COUNTIFS($C:$C,$C337,$D:$D,$D337,$E:$E,"기준(전)",$M:$M,"&gt;0")&lt;&gt;1,"",SUMIFS($M:$M,$C:$C,$C337,$D:$D,$D337,$E:$E,"기준(전)"))</f>
        <v/>
      </c>
      <c r="Q337" s="48">
        <f>IF(COUNTIFS($C:$C,$C337,$D:$D,$D337,$E:$E,"기준(후)",$M:$M,"&gt;0")&lt;&gt;1,"",SUMIFS($I:$I,$C:$C,$C337,$D:$D,$D337,$E:$E,"기준(후)"))</f>
        <v/>
      </c>
      <c r="R337" s="31">
        <f>IF(COUNTIFS($C:$C,$C337,$D:$D,$D337,$E:$E,"기준(후)",$M:$M,"&gt;0")&lt;&gt;1,"",SUMIFS($M:$M,$C:$C,$C337,$D:$D,$D337,$E:$E,"기준(후)"))</f>
        <v/>
      </c>
      <c r="S337" s="31">
        <f>IF(N337&lt;&gt;"OK","",P337+(R337-P337)*(I337-O337)/(Q337-O337))</f>
        <v/>
      </c>
      <c r="T337" s="31">
        <f>IF(OR(N337&lt;&gt;"OK",NOT(ISNUMBER(M337))),"",M337-S337)</f>
        <v/>
      </c>
      <c r="U337" s="49">
        <f>IF(OR($E336&lt;&gt;"측정",$C336&lt;&gt;$C337,$D336&lt;&gt;$D337,NOT(ISNUMBER(M337)),NOT(ISNUMBER(M336)),(IF(ISNUMBER(G337),G337,F337)-IF(ISNUMBER(G336),G336,F336))=0),"",(M337-M336)/((IF(ISNUMBER(G337),G337,F337)-IF(ISNUMBER(G336),G336,F336))/100))</f>
        <v/>
      </c>
      <c r="V337" s="29" t="n"/>
      <c r="W337" s="29" t="n"/>
      <c r="X337" s="32" t="n"/>
    </row>
    <row r="338">
      <c r="A338" s="26" t="inlineStr">
        <is>
          <t>S28</t>
        </is>
      </c>
      <c r="B338" s="26" t="inlineStr">
        <is>
          <t>이원 신규점</t>
        </is>
      </c>
      <c r="C338" s="26" t="inlineStr">
        <is>
          <t>S28-V</t>
        </is>
      </c>
      <c r="D338" s="47" t="n">
        <v>1</v>
      </c>
      <c r="E338" s="26" t="inlineStr">
        <is>
          <t>측정</t>
        </is>
      </c>
      <c r="F338" s="47" t="n">
        <v>160</v>
      </c>
      <c r="G338" s="41" t="n"/>
      <c r="H338" s="29" t="n"/>
      <c r="I338" s="43" t="n"/>
      <c r="J338" s="41" t="n"/>
      <c r="K338" s="41" t="n"/>
      <c r="L338" s="41" t="n"/>
      <c r="M338" s="31">
        <f>IF(COUNT(J338:L338)=0,"",MEDIAN(J338:L338))</f>
        <v/>
      </c>
      <c r="N338" s="26">
        <f>IF(COUNTIFS($C:$C,$C338,$D:$D,$D338,$E:$E,"기준(전)",$M:$M,"&gt;0")&lt;&gt;1,"기준(전) 유효 1개 아님",IF(COUNTIFS($C:$C,$C338,$D:$D,$D338,$E:$E,"기준(후)",$M:$M,"&gt;0")&lt;&gt;1,"기준(후) 유효 1개 아님",IF(NOT(AND(ISNUMBER(O338),ISNUMBER(Q338),ISNUMBER(I338))),"시각 결측",IF(Q338&lt;=O338,"기준 시각 역전",IF(OR(I338&lt;O338,I338&gt;Q338),"측정시각 구간 밖","OK")))))</f>
        <v/>
      </c>
      <c r="O338" s="48">
        <f>IF(COUNTIFS($C:$C,$C338,$D:$D,$D338,$E:$E,"기준(전)",$M:$M,"&gt;0")&lt;&gt;1,"",SUMIFS($I:$I,$C:$C,$C338,$D:$D,$D338,$E:$E,"기준(전)"))</f>
        <v/>
      </c>
      <c r="P338" s="31">
        <f>IF(COUNTIFS($C:$C,$C338,$D:$D,$D338,$E:$E,"기준(전)",$M:$M,"&gt;0")&lt;&gt;1,"",SUMIFS($M:$M,$C:$C,$C338,$D:$D,$D338,$E:$E,"기준(전)"))</f>
        <v/>
      </c>
      <c r="Q338" s="48">
        <f>IF(COUNTIFS($C:$C,$C338,$D:$D,$D338,$E:$E,"기준(후)",$M:$M,"&gt;0")&lt;&gt;1,"",SUMIFS($I:$I,$C:$C,$C338,$D:$D,$D338,$E:$E,"기준(후)"))</f>
        <v/>
      </c>
      <c r="R338" s="31">
        <f>IF(COUNTIFS($C:$C,$C338,$D:$D,$D338,$E:$E,"기준(후)",$M:$M,"&gt;0")&lt;&gt;1,"",SUMIFS($M:$M,$C:$C,$C338,$D:$D,$D338,$E:$E,"기준(후)"))</f>
        <v/>
      </c>
      <c r="S338" s="31">
        <f>IF(N338&lt;&gt;"OK","",P338+(R338-P338)*(I338-O338)/(Q338-O338))</f>
        <v/>
      </c>
      <c r="T338" s="31">
        <f>IF(OR(N338&lt;&gt;"OK",NOT(ISNUMBER(M338))),"",M338-S338)</f>
        <v/>
      </c>
      <c r="U338" s="49">
        <f>IF(OR($E337&lt;&gt;"측정",$C337&lt;&gt;$C338,$D337&lt;&gt;$D338,NOT(ISNUMBER(M338)),NOT(ISNUMBER(M337)),(IF(ISNUMBER(G338),G338,F338)-IF(ISNUMBER(G337),G337,F337))=0),"",(M338-M337)/((IF(ISNUMBER(G338),G338,F338)-IF(ISNUMBER(G337),G337,F337))/100))</f>
        <v/>
      </c>
      <c r="V338" s="29" t="n"/>
      <c r="W338" s="29" t="n"/>
      <c r="X338" s="32" t="n"/>
    </row>
    <row r="339">
      <c r="A339" s="26" t="inlineStr">
        <is>
          <t>S28</t>
        </is>
      </c>
      <c r="B339" s="26" t="inlineStr">
        <is>
          <t>이원 신규점</t>
        </is>
      </c>
      <c r="C339" s="26" t="inlineStr">
        <is>
          <t>S28-V</t>
        </is>
      </c>
      <c r="D339" s="47" t="n">
        <v>1</v>
      </c>
      <c r="E339" s="26" t="inlineStr">
        <is>
          <t>측정</t>
        </is>
      </c>
      <c r="F339" s="47" t="n">
        <v>180</v>
      </c>
      <c r="G339" s="41" t="n"/>
      <c r="H339" s="29" t="n"/>
      <c r="I339" s="43" t="n"/>
      <c r="J339" s="41" t="n"/>
      <c r="K339" s="41" t="n"/>
      <c r="L339" s="41" t="n"/>
      <c r="M339" s="31">
        <f>IF(COUNT(J339:L339)=0,"",MEDIAN(J339:L339))</f>
        <v/>
      </c>
      <c r="N339" s="26">
        <f>IF(COUNTIFS($C:$C,$C339,$D:$D,$D339,$E:$E,"기준(전)",$M:$M,"&gt;0")&lt;&gt;1,"기준(전) 유효 1개 아님",IF(COUNTIFS($C:$C,$C339,$D:$D,$D339,$E:$E,"기준(후)",$M:$M,"&gt;0")&lt;&gt;1,"기준(후) 유효 1개 아님",IF(NOT(AND(ISNUMBER(O339),ISNUMBER(Q339),ISNUMBER(I339))),"시각 결측",IF(Q339&lt;=O339,"기준 시각 역전",IF(OR(I339&lt;O339,I339&gt;Q339),"측정시각 구간 밖","OK")))))</f>
        <v/>
      </c>
      <c r="O339" s="48">
        <f>IF(COUNTIFS($C:$C,$C339,$D:$D,$D339,$E:$E,"기준(전)",$M:$M,"&gt;0")&lt;&gt;1,"",SUMIFS($I:$I,$C:$C,$C339,$D:$D,$D339,$E:$E,"기준(전)"))</f>
        <v/>
      </c>
      <c r="P339" s="31">
        <f>IF(COUNTIFS($C:$C,$C339,$D:$D,$D339,$E:$E,"기준(전)",$M:$M,"&gt;0")&lt;&gt;1,"",SUMIFS($M:$M,$C:$C,$C339,$D:$D,$D339,$E:$E,"기준(전)"))</f>
        <v/>
      </c>
      <c r="Q339" s="48">
        <f>IF(COUNTIFS($C:$C,$C339,$D:$D,$D339,$E:$E,"기준(후)",$M:$M,"&gt;0")&lt;&gt;1,"",SUMIFS($I:$I,$C:$C,$C339,$D:$D,$D339,$E:$E,"기준(후)"))</f>
        <v/>
      </c>
      <c r="R339" s="31">
        <f>IF(COUNTIFS($C:$C,$C339,$D:$D,$D339,$E:$E,"기준(후)",$M:$M,"&gt;0")&lt;&gt;1,"",SUMIFS($M:$M,$C:$C,$C339,$D:$D,$D339,$E:$E,"기준(후)"))</f>
        <v/>
      </c>
      <c r="S339" s="31">
        <f>IF(N339&lt;&gt;"OK","",P339+(R339-P339)*(I339-O339)/(Q339-O339))</f>
        <v/>
      </c>
      <c r="T339" s="31">
        <f>IF(OR(N339&lt;&gt;"OK",NOT(ISNUMBER(M339))),"",M339-S339)</f>
        <v/>
      </c>
      <c r="U339" s="49">
        <f>IF(OR($E338&lt;&gt;"측정",$C338&lt;&gt;$C339,$D338&lt;&gt;$D339,NOT(ISNUMBER(M339)),NOT(ISNUMBER(M338)),(IF(ISNUMBER(G339),G339,F339)-IF(ISNUMBER(G338),G338,F338))=0),"",(M339-M338)/((IF(ISNUMBER(G339),G339,F339)-IF(ISNUMBER(G338),G338,F338))/100))</f>
        <v/>
      </c>
      <c r="V339" s="29" t="n"/>
      <c r="W339" s="29" t="n"/>
      <c r="X339" s="32" t="n"/>
    </row>
    <row r="340">
      <c r="A340" s="26" t="inlineStr">
        <is>
          <t>S28</t>
        </is>
      </c>
      <c r="B340" s="26" t="inlineStr">
        <is>
          <t>이원 신규점</t>
        </is>
      </c>
      <c r="C340" s="26" t="inlineStr">
        <is>
          <t>S28-V</t>
        </is>
      </c>
      <c r="D340" s="47" t="n">
        <v>1</v>
      </c>
      <c r="E340" s="26" t="inlineStr">
        <is>
          <t>측정</t>
        </is>
      </c>
      <c r="F340" s="47" t="n">
        <v>200</v>
      </c>
      <c r="G340" s="41" t="n"/>
      <c r="H340" s="29" t="n"/>
      <c r="I340" s="43" t="n"/>
      <c r="J340" s="41" t="n"/>
      <c r="K340" s="41" t="n"/>
      <c r="L340" s="41" t="n"/>
      <c r="M340" s="31">
        <f>IF(COUNT(J340:L340)=0,"",MEDIAN(J340:L340))</f>
        <v/>
      </c>
      <c r="N340" s="26">
        <f>IF(COUNTIFS($C:$C,$C340,$D:$D,$D340,$E:$E,"기준(전)",$M:$M,"&gt;0")&lt;&gt;1,"기준(전) 유효 1개 아님",IF(COUNTIFS($C:$C,$C340,$D:$D,$D340,$E:$E,"기준(후)",$M:$M,"&gt;0")&lt;&gt;1,"기준(후) 유효 1개 아님",IF(NOT(AND(ISNUMBER(O340),ISNUMBER(Q340),ISNUMBER(I340))),"시각 결측",IF(Q340&lt;=O340,"기준 시각 역전",IF(OR(I340&lt;O340,I340&gt;Q340),"측정시각 구간 밖","OK")))))</f>
        <v/>
      </c>
      <c r="O340" s="48">
        <f>IF(COUNTIFS($C:$C,$C340,$D:$D,$D340,$E:$E,"기준(전)",$M:$M,"&gt;0")&lt;&gt;1,"",SUMIFS($I:$I,$C:$C,$C340,$D:$D,$D340,$E:$E,"기준(전)"))</f>
        <v/>
      </c>
      <c r="P340" s="31">
        <f>IF(COUNTIFS($C:$C,$C340,$D:$D,$D340,$E:$E,"기준(전)",$M:$M,"&gt;0")&lt;&gt;1,"",SUMIFS($M:$M,$C:$C,$C340,$D:$D,$D340,$E:$E,"기준(전)"))</f>
        <v/>
      </c>
      <c r="Q340" s="48">
        <f>IF(COUNTIFS($C:$C,$C340,$D:$D,$D340,$E:$E,"기준(후)",$M:$M,"&gt;0")&lt;&gt;1,"",SUMIFS($I:$I,$C:$C,$C340,$D:$D,$D340,$E:$E,"기준(후)"))</f>
        <v/>
      </c>
      <c r="R340" s="31">
        <f>IF(COUNTIFS($C:$C,$C340,$D:$D,$D340,$E:$E,"기준(후)",$M:$M,"&gt;0")&lt;&gt;1,"",SUMIFS($M:$M,$C:$C,$C340,$D:$D,$D340,$E:$E,"기준(후)"))</f>
        <v/>
      </c>
      <c r="S340" s="31">
        <f>IF(N340&lt;&gt;"OK","",P340+(R340-P340)*(I340-O340)/(Q340-O340))</f>
        <v/>
      </c>
      <c r="T340" s="31">
        <f>IF(OR(N340&lt;&gt;"OK",NOT(ISNUMBER(M340))),"",M340-S340)</f>
        <v/>
      </c>
      <c r="U340" s="49">
        <f>IF(OR($E339&lt;&gt;"측정",$C339&lt;&gt;$C340,$D339&lt;&gt;$D340,NOT(ISNUMBER(M340)),NOT(ISNUMBER(M339)),(IF(ISNUMBER(G340),G340,F340)-IF(ISNUMBER(G339),G339,F339))=0),"",(M340-M339)/((IF(ISNUMBER(G340),G340,F340)-IF(ISNUMBER(G339),G339,F339))/100))</f>
        <v/>
      </c>
      <c r="V340" s="29" t="n"/>
      <c r="W340" s="29" t="n"/>
      <c r="X340" s="32" t="n"/>
    </row>
    <row r="341">
      <c r="A341" s="44" t="inlineStr">
        <is>
          <t>S28</t>
        </is>
      </c>
      <c r="B341" s="44" t="inlineStr">
        <is>
          <t>이원 신규점</t>
        </is>
      </c>
      <c r="C341" s="44" t="inlineStr">
        <is>
          <t>S28-V</t>
        </is>
      </c>
      <c r="D341" s="45" t="n">
        <v>1</v>
      </c>
      <c r="E341" s="44" t="inlineStr">
        <is>
          <t>기준(후)</t>
        </is>
      </c>
      <c r="F341" s="45" t="n"/>
      <c r="G341" s="41" t="n"/>
      <c r="H341" s="29" t="n"/>
      <c r="I341" s="43" t="n"/>
      <c r="J341" s="41" t="n"/>
      <c r="K341" s="41" t="n"/>
      <c r="L341" s="41" t="n"/>
      <c r="M341" s="31">
        <f>IF(COUNT(J341:L341)=0,"",MEDIAN(J341:L341))</f>
        <v/>
      </c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29" t="n"/>
      <c r="W341" s="29" t="n"/>
      <c r="X341" s="32" t="n"/>
    </row>
    <row r="342">
      <c r="A342" s="44" t="inlineStr">
        <is>
          <t>S29</t>
        </is>
      </c>
      <c r="B342" s="44" t="inlineStr">
        <is>
          <t>가야 신규점1</t>
        </is>
      </c>
      <c r="C342" s="44" t="inlineStr">
        <is>
          <t>S29-V</t>
        </is>
      </c>
      <c r="D342" s="45" t="n">
        <v>1</v>
      </c>
      <c r="E342" s="44" t="inlineStr">
        <is>
          <t>기준(전)</t>
        </is>
      </c>
      <c r="F342" s="45" t="n"/>
      <c r="G342" s="41" t="n"/>
      <c r="H342" s="29" t="n"/>
      <c r="I342" s="43" t="n"/>
      <c r="J342" s="41" t="n"/>
      <c r="K342" s="41" t="n"/>
      <c r="L342" s="41" t="n"/>
      <c r="M342" s="31">
        <f>IF(COUNT(J342:L342)=0,"",MEDIAN(J342:L342))</f>
        <v/>
      </c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29" t="n"/>
      <c r="W342" s="29" t="n"/>
      <c r="X342" s="32" t="n"/>
    </row>
    <row r="343">
      <c r="A343" s="26" t="inlineStr">
        <is>
          <t>S29</t>
        </is>
      </c>
      <c r="B343" s="26" t="inlineStr">
        <is>
          <t>가야 신규점1</t>
        </is>
      </c>
      <c r="C343" s="26" t="inlineStr">
        <is>
          <t>S29-V</t>
        </is>
      </c>
      <c r="D343" s="47" t="n">
        <v>1</v>
      </c>
      <c r="E343" s="26" t="inlineStr">
        <is>
          <t>측정</t>
        </is>
      </c>
      <c r="F343" s="47" t="n">
        <v>20</v>
      </c>
      <c r="G343" s="41" t="n"/>
      <c r="H343" s="29" t="n"/>
      <c r="I343" s="43" t="n"/>
      <c r="J343" s="41" t="n"/>
      <c r="K343" s="41" t="n"/>
      <c r="L343" s="41" t="n"/>
      <c r="M343" s="31">
        <f>IF(COUNT(J343:L343)=0,"",MEDIAN(J343:L343))</f>
        <v/>
      </c>
      <c r="N343" s="26">
        <f>IF(COUNTIFS($C:$C,$C343,$D:$D,$D343,$E:$E,"기준(전)",$M:$M,"&gt;0")&lt;&gt;1,"기준(전) 유효 1개 아님",IF(COUNTIFS($C:$C,$C343,$D:$D,$D343,$E:$E,"기준(후)",$M:$M,"&gt;0")&lt;&gt;1,"기준(후) 유효 1개 아님",IF(NOT(AND(ISNUMBER(O343),ISNUMBER(Q343),ISNUMBER(I343))),"시각 결측",IF(Q343&lt;=O343,"기준 시각 역전",IF(OR(I343&lt;O343,I343&gt;Q343),"측정시각 구간 밖","OK")))))</f>
        <v/>
      </c>
      <c r="O343" s="48">
        <f>IF(COUNTIFS($C:$C,$C343,$D:$D,$D343,$E:$E,"기준(전)",$M:$M,"&gt;0")&lt;&gt;1,"",SUMIFS($I:$I,$C:$C,$C343,$D:$D,$D343,$E:$E,"기준(전)"))</f>
        <v/>
      </c>
      <c r="P343" s="31">
        <f>IF(COUNTIFS($C:$C,$C343,$D:$D,$D343,$E:$E,"기준(전)",$M:$M,"&gt;0")&lt;&gt;1,"",SUMIFS($M:$M,$C:$C,$C343,$D:$D,$D343,$E:$E,"기준(전)"))</f>
        <v/>
      </c>
      <c r="Q343" s="48">
        <f>IF(COUNTIFS($C:$C,$C343,$D:$D,$D343,$E:$E,"기준(후)",$M:$M,"&gt;0")&lt;&gt;1,"",SUMIFS($I:$I,$C:$C,$C343,$D:$D,$D343,$E:$E,"기준(후)"))</f>
        <v/>
      </c>
      <c r="R343" s="31">
        <f>IF(COUNTIFS($C:$C,$C343,$D:$D,$D343,$E:$E,"기준(후)",$M:$M,"&gt;0")&lt;&gt;1,"",SUMIFS($M:$M,$C:$C,$C343,$D:$D,$D343,$E:$E,"기준(후)"))</f>
        <v/>
      </c>
      <c r="S343" s="31">
        <f>IF(N343&lt;&gt;"OK","",P343+(R343-P343)*(I343-O343)/(Q343-O343))</f>
        <v/>
      </c>
      <c r="T343" s="31">
        <f>IF(OR(N343&lt;&gt;"OK",NOT(ISNUMBER(M343))),"",M343-S343)</f>
        <v/>
      </c>
      <c r="U343" s="49">
        <f>IF(OR($E342&lt;&gt;"측정",$C342&lt;&gt;$C343,$D342&lt;&gt;$D343,NOT(ISNUMBER(M343)),NOT(ISNUMBER(M342)),(IF(ISNUMBER(G343),G343,F343)-IF(ISNUMBER(G342),G342,F342))=0),"",(M343-M342)/((IF(ISNUMBER(G343),G343,F343)-IF(ISNUMBER(G342),G342,F342))/100))</f>
        <v/>
      </c>
      <c r="V343" s="29" t="n"/>
      <c r="W343" s="29" t="n"/>
      <c r="X343" s="32" t="n"/>
    </row>
    <row r="344">
      <c r="A344" s="26" t="inlineStr">
        <is>
          <t>S29</t>
        </is>
      </c>
      <c r="B344" s="26" t="inlineStr">
        <is>
          <t>가야 신규점1</t>
        </is>
      </c>
      <c r="C344" s="26" t="inlineStr">
        <is>
          <t>S29-V</t>
        </is>
      </c>
      <c r="D344" s="47" t="n">
        <v>1</v>
      </c>
      <c r="E344" s="26" t="inlineStr">
        <is>
          <t>측정</t>
        </is>
      </c>
      <c r="F344" s="47" t="n">
        <v>40</v>
      </c>
      <c r="G344" s="41" t="n"/>
      <c r="H344" s="29" t="n"/>
      <c r="I344" s="43" t="n"/>
      <c r="J344" s="41" t="n"/>
      <c r="K344" s="41" t="n"/>
      <c r="L344" s="41" t="n"/>
      <c r="M344" s="31">
        <f>IF(COUNT(J344:L344)=0,"",MEDIAN(J344:L344))</f>
        <v/>
      </c>
      <c r="N344" s="26">
        <f>IF(COUNTIFS($C:$C,$C344,$D:$D,$D344,$E:$E,"기준(전)",$M:$M,"&gt;0")&lt;&gt;1,"기준(전) 유효 1개 아님",IF(COUNTIFS($C:$C,$C344,$D:$D,$D344,$E:$E,"기준(후)",$M:$M,"&gt;0")&lt;&gt;1,"기준(후) 유효 1개 아님",IF(NOT(AND(ISNUMBER(O344),ISNUMBER(Q344),ISNUMBER(I344))),"시각 결측",IF(Q344&lt;=O344,"기준 시각 역전",IF(OR(I344&lt;O344,I344&gt;Q344),"측정시각 구간 밖","OK")))))</f>
        <v/>
      </c>
      <c r="O344" s="48">
        <f>IF(COUNTIFS($C:$C,$C344,$D:$D,$D344,$E:$E,"기준(전)",$M:$M,"&gt;0")&lt;&gt;1,"",SUMIFS($I:$I,$C:$C,$C344,$D:$D,$D344,$E:$E,"기준(전)"))</f>
        <v/>
      </c>
      <c r="P344" s="31">
        <f>IF(COUNTIFS($C:$C,$C344,$D:$D,$D344,$E:$E,"기준(전)",$M:$M,"&gt;0")&lt;&gt;1,"",SUMIFS($M:$M,$C:$C,$C344,$D:$D,$D344,$E:$E,"기준(전)"))</f>
        <v/>
      </c>
      <c r="Q344" s="48">
        <f>IF(COUNTIFS($C:$C,$C344,$D:$D,$D344,$E:$E,"기준(후)",$M:$M,"&gt;0")&lt;&gt;1,"",SUMIFS($I:$I,$C:$C,$C344,$D:$D,$D344,$E:$E,"기준(후)"))</f>
        <v/>
      </c>
      <c r="R344" s="31">
        <f>IF(COUNTIFS($C:$C,$C344,$D:$D,$D344,$E:$E,"기준(후)",$M:$M,"&gt;0")&lt;&gt;1,"",SUMIFS($M:$M,$C:$C,$C344,$D:$D,$D344,$E:$E,"기준(후)"))</f>
        <v/>
      </c>
      <c r="S344" s="31">
        <f>IF(N344&lt;&gt;"OK","",P344+(R344-P344)*(I344-O344)/(Q344-O344))</f>
        <v/>
      </c>
      <c r="T344" s="31">
        <f>IF(OR(N344&lt;&gt;"OK",NOT(ISNUMBER(M344))),"",M344-S344)</f>
        <v/>
      </c>
      <c r="U344" s="49">
        <f>IF(OR($E343&lt;&gt;"측정",$C343&lt;&gt;$C344,$D343&lt;&gt;$D344,NOT(ISNUMBER(M344)),NOT(ISNUMBER(M343)),(IF(ISNUMBER(G344),G344,F344)-IF(ISNUMBER(G343),G343,F343))=0),"",(M344-M343)/((IF(ISNUMBER(G344),G344,F344)-IF(ISNUMBER(G343),G343,F343))/100))</f>
        <v/>
      </c>
      <c r="V344" s="29" t="n"/>
      <c r="W344" s="29" t="n"/>
      <c r="X344" s="32" t="n"/>
    </row>
    <row r="345">
      <c r="A345" s="26" t="inlineStr">
        <is>
          <t>S29</t>
        </is>
      </c>
      <c r="B345" s="26" t="inlineStr">
        <is>
          <t>가야 신규점1</t>
        </is>
      </c>
      <c r="C345" s="26" t="inlineStr">
        <is>
          <t>S29-V</t>
        </is>
      </c>
      <c r="D345" s="47" t="n">
        <v>1</v>
      </c>
      <c r="E345" s="26" t="inlineStr">
        <is>
          <t>측정</t>
        </is>
      </c>
      <c r="F345" s="47" t="n">
        <v>60</v>
      </c>
      <c r="G345" s="41" t="n"/>
      <c r="H345" s="29" t="n"/>
      <c r="I345" s="43" t="n"/>
      <c r="J345" s="41" t="n"/>
      <c r="K345" s="41" t="n"/>
      <c r="L345" s="41" t="n"/>
      <c r="M345" s="31">
        <f>IF(COUNT(J345:L345)=0,"",MEDIAN(J345:L345))</f>
        <v/>
      </c>
      <c r="N345" s="26">
        <f>IF(COUNTIFS($C:$C,$C345,$D:$D,$D345,$E:$E,"기준(전)",$M:$M,"&gt;0")&lt;&gt;1,"기준(전) 유효 1개 아님",IF(COUNTIFS($C:$C,$C345,$D:$D,$D345,$E:$E,"기준(후)",$M:$M,"&gt;0")&lt;&gt;1,"기준(후) 유효 1개 아님",IF(NOT(AND(ISNUMBER(O345),ISNUMBER(Q345),ISNUMBER(I345))),"시각 결측",IF(Q345&lt;=O345,"기준 시각 역전",IF(OR(I345&lt;O345,I345&gt;Q345),"측정시각 구간 밖","OK")))))</f>
        <v/>
      </c>
      <c r="O345" s="48">
        <f>IF(COUNTIFS($C:$C,$C345,$D:$D,$D345,$E:$E,"기준(전)",$M:$M,"&gt;0")&lt;&gt;1,"",SUMIFS($I:$I,$C:$C,$C345,$D:$D,$D345,$E:$E,"기준(전)"))</f>
        <v/>
      </c>
      <c r="P345" s="31">
        <f>IF(COUNTIFS($C:$C,$C345,$D:$D,$D345,$E:$E,"기준(전)",$M:$M,"&gt;0")&lt;&gt;1,"",SUMIFS($M:$M,$C:$C,$C345,$D:$D,$D345,$E:$E,"기준(전)"))</f>
        <v/>
      </c>
      <c r="Q345" s="48">
        <f>IF(COUNTIFS($C:$C,$C345,$D:$D,$D345,$E:$E,"기준(후)",$M:$M,"&gt;0")&lt;&gt;1,"",SUMIFS($I:$I,$C:$C,$C345,$D:$D,$D345,$E:$E,"기준(후)"))</f>
        <v/>
      </c>
      <c r="R345" s="31">
        <f>IF(COUNTIFS($C:$C,$C345,$D:$D,$D345,$E:$E,"기준(후)",$M:$M,"&gt;0")&lt;&gt;1,"",SUMIFS($M:$M,$C:$C,$C345,$D:$D,$D345,$E:$E,"기준(후)"))</f>
        <v/>
      </c>
      <c r="S345" s="31">
        <f>IF(N345&lt;&gt;"OK","",P345+(R345-P345)*(I345-O345)/(Q345-O345))</f>
        <v/>
      </c>
      <c r="T345" s="31">
        <f>IF(OR(N345&lt;&gt;"OK",NOT(ISNUMBER(M345))),"",M345-S345)</f>
        <v/>
      </c>
      <c r="U345" s="49">
        <f>IF(OR($E344&lt;&gt;"측정",$C344&lt;&gt;$C345,$D344&lt;&gt;$D345,NOT(ISNUMBER(M345)),NOT(ISNUMBER(M344)),(IF(ISNUMBER(G345),G345,F345)-IF(ISNUMBER(G344),G344,F344))=0),"",(M345-M344)/((IF(ISNUMBER(G345),G345,F345)-IF(ISNUMBER(G344),G344,F344))/100))</f>
        <v/>
      </c>
      <c r="V345" s="29" t="n"/>
      <c r="W345" s="29" t="n"/>
      <c r="X345" s="32" t="n"/>
    </row>
    <row r="346">
      <c r="A346" s="26" t="inlineStr">
        <is>
          <t>S29</t>
        </is>
      </c>
      <c r="B346" s="26" t="inlineStr">
        <is>
          <t>가야 신규점1</t>
        </is>
      </c>
      <c r="C346" s="26" t="inlineStr">
        <is>
          <t>S29-V</t>
        </is>
      </c>
      <c r="D346" s="47" t="n">
        <v>1</v>
      </c>
      <c r="E346" s="26" t="inlineStr">
        <is>
          <t>측정</t>
        </is>
      </c>
      <c r="F346" s="47" t="n">
        <v>80</v>
      </c>
      <c r="G346" s="41" t="n"/>
      <c r="H346" s="29" t="n"/>
      <c r="I346" s="43" t="n"/>
      <c r="J346" s="41" t="n"/>
      <c r="K346" s="41" t="n"/>
      <c r="L346" s="41" t="n"/>
      <c r="M346" s="31">
        <f>IF(COUNT(J346:L346)=0,"",MEDIAN(J346:L346))</f>
        <v/>
      </c>
      <c r="N346" s="26">
        <f>IF(COUNTIFS($C:$C,$C346,$D:$D,$D346,$E:$E,"기준(전)",$M:$M,"&gt;0")&lt;&gt;1,"기준(전) 유효 1개 아님",IF(COUNTIFS($C:$C,$C346,$D:$D,$D346,$E:$E,"기준(후)",$M:$M,"&gt;0")&lt;&gt;1,"기준(후) 유효 1개 아님",IF(NOT(AND(ISNUMBER(O346),ISNUMBER(Q346),ISNUMBER(I346))),"시각 결측",IF(Q346&lt;=O346,"기준 시각 역전",IF(OR(I346&lt;O346,I346&gt;Q346),"측정시각 구간 밖","OK")))))</f>
        <v/>
      </c>
      <c r="O346" s="48">
        <f>IF(COUNTIFS($C:$C,$C346,$D:$D,$D346,$E:$E,"기준(전)",$M:$M,"&gt;0")&lt;&gt;1,"",SUMIFS($I:$I,$C:$C,$C346,$D:$D,$D346,$E:$E,"기준(전)"))</f>
        <v/>
      </c>
      <c r="P346" s="31">
        <f>IF(COUNTIFS($C:$C,$C346,$D:$D,$D346,$E:$E,"기준(전)",$M:$M,"&gt;0")&lt;&gt;1,"",SUMIFS($M:$M,$C:$C,$C346,$D:$D,$D346,$E:$E,"기준(전)"))</f>
        <v/>
      </c>
      <c r="Q346" s="48">
        <f>IF(COUNTIFS($C:$C,$C346,$D:$D,$D346,$E:$E,"기준(후)",$M:$M,"&gt;0")&lt;&gt;1,"",SUMIFS($I:$I,$C:$C,$C346,$D:$D,$D346,$E:$E,"기준(후)"))</f>
        <v/>
      </c>
      <c r="R346" s="31">
        <f>IF(COUNTIFS($C:$C,$C346,$D:$D,$D346,$E:$E,"기준(후)",$M:$M,"&gt;0")&lt;&gt;1,"",SUMIFS($M:$M,$C:$C,$C346,$D:$D,$D346,$E:$E,"기준(후)"))</f>
        <v/>
      </c>
      <c r="S346" s="31">
        <f>IF(N346&lt;&gt;"OK","",P346+(R346-P346)*(I346-O346)/(Q346-O346))</f>
        <v/>
      </c>
      <c r="T346" s="31">
        <f>IF(OR(N346&lt;&gt;"OK",NOT(ISNUMBER(M346))),"",M346-S346)</f>
        <v/>
      </c>
      <c r="U346" s="49">
        <f>IF(OR($E345&lt;&gt;"측정",$C345&lt;&gt;$C346,$D345&lt;&gt;$D346,NOT(ISNUMBER(M346)),NOT(ISNUMBER(M345)),(IF(ISNUMBER(G346),G346,F346)-IF(ISNUMBER(G345),G345,F345))=0),"",(M346-M345)/((IF(ISNUMBER(G346),G346,F346)-IF(ISNUMBER(G345),G345,F345))/100))</f>
        <v/>
      </c>
      <c r="V346" s="29" t="n"/>
      <c r="W346" s="29" t="n"/>
      <c r="X346" s="32" t="n"/>
    </row>
    <row r="347">
      <c r="A347" s="26" t="inlineStr">
        <is>
          <t>S29</t>
        </is>
      </c>
      <c r="B347" s="26" t="inlineStr">
        <is>
          <t>가야 신규점1</t>
        </is>
      </c>
      <c r="C347" s="26" t="inlineStr">
        <is>
          <t>S29-V</t>
        </is>
      </c>
      <c r="D347" s="47" t="n">
        <v>1</v>
      </c>
      <c r="E347" s="26" t="inlineStr">
        <is>
          <t>측정</t>
        </is>
      </c>
      <c r="F347" s="47" t="n">
        <v>100</v>
      </c>
      <c r="G347" s="41" t="n"/>
      <c r="H347" s="29" t="n"/>
      <c r="I347" s="43" t="n"/>
      <c r="J347" s="41" t="n"/>
      <c r="K347" s="41" t="n"/>
      <c r="L347" s="41" t="n"/>
      <c r="M347" s="31">
        <f>IF(COUNT(J347:L347)=0,"",MEDIAN(J347:L347))</f>
        <v/>
      </c>
      <c r="N347" s="26">
        <f>IF(COUNTIFS($C:$C,$C347,$D:$D,$D347,$E:$E,"기준(전)",$M:$M,"&gt;0")&lt;&gt;1,"기준(전) 유효 1개 아님",IF(COUNTIFS($C:$C,$C347,$D:$D,$D347,$E:$E,"기준(후)",$M:$M,"&gt;0")&lt;&gt;1,"기준(후) 유효 1개 아님",IF(NOT(AND(ISNUMBER(O347),ISNUMBER(Q347),ISNUMBER(I347))),"시각 결측",IF(Q347&lt;=O347,"기준 시각 역전",IF(OR(I347&lt;O347,I347&gt;Q347),"측정시각 구간 밖","OK")))))</f>
        <v/>
      </c>
      <c r="O347" s="48">
        <f>IF(COUNTIFS($C:$C,$C347,$D:$D,$D347,$E:$E,"기준(전)",$M:$M,"&gt;0")&lt;&gt;1,"",SUMIFS($I:$I,$C:$C,$C347,$D:$D,$D347,$E:$E,"기준(전)"))</f>
        <v/>
      </c>
      <c r="P347" s="31">
        <f>IF(COUNTIFS($C:$C,$C347,$D:$D,$D347,$E:$E,"기준(전)",$M:$M,"&gt;0")&lt;&gt;1,"",SUMIFS($M:$M,$C:$C,$C347,$D:$D,$D347,$E:$E,"기준(전)"))</f>
        <v/>
      </c>
      <c r="Q347" s="48">
        <f>IF(COUNTIFS($C:$C,$C347,$D:$D,$D347,$E:$E,"기준(후)",$M:$M,"&gt;0")&lt;&gt;1,"",SUMIFS($I:$I,$C:$C,$C347,$D:$D,$D347,$E:$E,"기준(후)"))</f>
        <v/>
      </c>
      <c r="R347" s="31">
        <f>IF(COUNTIFS($C:$C,$C347,$D:$D,$D347,$E:$E,"기준(후)",$M:$M,"&gt;0")&lt;&gt;1,"",SUMIFS($M:$M,$C:$C,$C347,$D:$D,$D347,$E:$E,"기준(후)"))</f>
        <v/>
      </c>
      <c r="S347" s="31">
        <f>IF(N347&lt;&gt;"OK","",P347+(R347-P347)*(I347-O347)/(Q347-O347))</f>
        <v/>
      </c>
      <c r="T347" s="31">
        <f>IF(OR(N347&lt;&gt;"OK",NOT(ISNUMBER(M347))),"",M347-S347)</f>
        <v/>
      </c>
      <c r="U347" s="49">
        <f>IF(OR($E346&lt;&gt;"측정",$C346&lt;&gt;$C347,$D346&lt;&gt;$D347,NOT(ISNUMBER(M347)),NOT(ISNUMBER(M346)),(IF(ISNUMBER(G347),G347,F347)-IF(ISNUMBER(G346),G346,F346))=0),"",(M347-M346)/((IF(ISNUMBER(G347),G347,F347)-IF(ISNUMBER(G346),G346,F346))/100))</f>
        <v/>
      </c>
      <c r="V347" s="29" t="n"/>
      <c r="W347" s="29" t="n"/>
      <c r="X347" s="32" t="n"/>
    </row>
    <row r="348">
      <c r="A348" s="26" t="inlineStr">
        <is>
          <t>S29</t>
        </is>
      </c>
      <c r="B348" s="26" t="inlineStr">
        <is>
          <t>가야 신규점1</t>
        </is>
      </c>
      <c r="C348" s="26" t="inlineStr">
        <is>
          <t>S29-V</t>
        </is>
      </c>
      <c r="D348" s="47" t="n">
        <v>1</v>
      </c>
      <c r="E348" s="26" t="inlineStr">
        <is>
          <t>측정</t>
        </is>
      </c>
      <c r="F348" s="47" t="n">
        <v>120</v>
      </c>
      <c r="G348" s="41" t="n"/>
      <c r="H348" s="29" t="n"/>
      <c r="I348" s="43" t="n"/>
      <c r="J348" s="41" t="n"/>
      <c r="K348" s="41" t="n"/>
      <c r="L348" s="41" t="n"/>
      <c r="M348" s="31">
        <f>IF(COUNT(J348:L348)=0,"",MEDIAN(J348:L348))</f>
        <v/>
      </c>
      <c r="N348" s="26">
        <f>IF(COUNTIFS($C:$C,$C348,$D:$D,$D348,$E:$E,"기준(전)",$M:$M,"&gt;0")&lt;&gt;1,"기준(전) 유효 1개 아님",IF(COUNTIFS($C:$C,$C348,$D:$D,$D348,$E:$E,"기준(후)",$M:$M,"&gt;0")&lt;&gt;1,"기준(후) 유효 1개 아님",IF(NOT(AND(ISNUMBER(O348),ISNUMBER(Q348),ISNUMBER(I348))),"시각 결측",IF(Q348&lt;=O348,"기준 시각 역전",IF(OR(I348&lt;O348,I348&gt;Q348),"측정시각 구간 밖","OK")))))</f>
        <v/>
      </c>
      <c r="O348" s="48">
        <f>IF(COUNTIFS($C:$C,$C348,$D:$D,$D348,$E:$E,"기준(전)",$M:$M,"&gt;0")&lt;&gt;1,"",SUMIFS($I:$I,$C:$C,$C348,$D:$D,$D348,$E:$E,"기준(전)"))</f>
        <v/>
      </c>
      <c r="P348" s="31">
        <f>IF(COUNTIFS($C:$C,$C348,$D:$D,$D348,$E:$E,"기준(전)",$M:$M,"&gt;0")&lt;&gt;1,"",SUMIFS($M:$M,$C:$C,$C348,$D:$D,$D348,$E:$E,"기준(전)"))</f>
        <v/>
      </c>
      <c r="Q348" s="48">
        <f>IF(COUNTIFS($C:$C,$C348,$D:$D,$D348,$E:$E,"기준(후)",$M:$M,"&gt;0")&lt;&gt;1,"",SUMIFS($I:$I,$C:$C,$C348,$D:$D,$D348,$E:$E,"기준(후)"))</f>
        <v/>
      </c>
      <c r="R348" s="31">
        <f>IF(COUNTIFS($C:$C,$C348,$D:$D,$D348,$E:$E,"기준(후)",$M:$M,"&gt;0")&lt;&gt;1,"",SUMIFS($M:$M,$C:$C,$C348,$D:$D,$D348,$E:$E,"기준(후)"))</f>
        <v/>
      </c>
      <c r="S348" s="31">
        <f>IF(N348&lt;&gt;"OK","",P348+(R348-P348)*(I348-O348)/(Q348-O348))</f>
        <v/>
      </c>
      <c r="T348" s="31">
        <f>IF(OR(N348&lt;&gt;"OK",NOT(ISNUMBER(M348))),"",M348-S348)</f>
        <v/>
      </c>
      <c r="U348" s="49">
        <f>IF(OR($E347&lt;&gt;"측정",$C347&lt;&gt;$C348,$D347&lt;&gt;$D348,NOT(ISNUMBER(M348)),NOT(ISNUMBER(M347)),(IF(ISNUMBER(G348),G348,F348)-IF(ISNUMBER(G347),G347,F347))=0),"",(M348-M347)/((IF(ISNUMBER(G348),G348,F348)-IF(ISNUMBER(G347),G347,F347))/100))</f>
        <v/>
      </c>
      <c r="V348" s="29" t="n"/>
      <c r="W348" s="29" t="n"/>
      <c r="X348" s="32" t="n"/>
    </row>
    <row r="349">
      <c r="A349" s="26" t="inlineStr">
        <is>
          <t>S29</t>
        </is>
      </c>
      <c r="B349" s="26" t="inlineStr">
        <is>
          <t>가야 신규점1</t>
        </is>
      </c>
      <c r="C349" s="26" t="inlineStr">
        <is>
          <t>S29-V</t>
        </is>
      </c>
      <c r="D349" s="47" t="n">
        <v>1</v>
      </c>
      <c r="E349" s="26" t="inlineStr">
        <is>
          <t>측정</t>
        </is>
      </c>
      <c r="F349" s="47" t="n">
        <v>140</v>
      </c>
      <c r="G349" s="41" t="n"/>
      <c r="H349" s="29" t="n"/>
      <c r="I349" s="43" t="n"/>
      <c r="J349" s="41" t="n"/>
      <c r="K349" s="41" t="n"/>
      <c r="L349" s="41" t="n"/>
      <c r="M349" s="31">
        <f>IF(COUNT(J349:L349)=0,"",MEDIAN(J349:L349))</f>
        <v/>
      </c>
      <c r="N349" s="26">
        <f>IF(COUNTIFS($C:$C,$C349,$D:$D,$D349,$E:$E,"기준(전)",$M:$M,"&gt;0")&lt;&gt;1,"기준(전) 유효 1개 아님",IF(COUNTIFS($C:$C,$C349,$D:$D,$D349,$E:$E,"기준(후)",$M:$M,"&gt;0")&lt;&gt;1,"기준(후) 유효 1개 아님",IF(NOT(AND(ISNUMBER(O349),ISNUMBER(Q349),ISNUMBER(I349))),"시각 결측",IF(Q349&lt;=O349,"기준 시각 역전",IF(OR(I349&lt;O349,I349&gt;Q349),"측정시각 구간 밖","OK")))))</f>
        <v/>
      </c>
      <c r="O349" s="48">
        <f>IF(COUNTIFS($C:$C,$C349,$D:$D,$D349,$E:$E,"기준(전)",$M:$M,"&gt;0")&lt;&gt;1,"",SUMIFS($I:$I,$C:$C,$C349,$D:$D,$D349,$E:$E,"기준(전)"))</f>
        <v/>
      </c>
      <c r="P349" s="31">
        <f>IF(COUNTIFS($C:$C,$C349,$D:$D,$D349,$E:$E,"기준(전)",$M:$M,"&gt;0")&lt;&gt;1,"",SUMIFS($M:$M,$C:$C,$C349,$D:$D,$D349,$E:$E,"기준(전)"))</f>
        <v/>
      </c>
      <c r="Q349" s="48">
        <f>IF(COUNTIFS($C:$C,$C349,$D:$D,$D349,$E:$E,"기준(후)",$M:$M,"&gt;0")&lt;&gt;1,"",SUMIFS($I:$I,$C:$C,$C349,$D:$D,$D349,$E:$E,"기준(후)"))</f>
        <v/>
      </c>
      <c r="R349" s="31">
        <f>IF(COUNTIFS($C:$C,$C349,$D:$D,$D349,$E:$E,"기준(후)",$M:$M,"&gt;0")&lt;&gt;1,"",SUMIFS($M:$M,$C:$C,$C349,$D:$D,$D349,$E:$E,"기준(후)"))</f>
        <v/>
      </c>
      <c r="S349" s="31">
        <f>IF(N349&lt;&gt;"OK","",P349+(R349-P349)*(I349-O349)/(Q349-O349))</f>
        <v/>
      </c>
      <c r="T349" s="31">
        <f>IF(OR(N349&lt;&gt;"OK",NOT(ISNUMBER(M349))),"",M349-S349)</f>
        <v/>
      </c>
      <c r="U349" s="49">
        <f>IF(OR($E348&lt;&gt;"측정",$C348&lt;&gt;$C349,$D348&lt;&gt;$D349,NOT(ISNUMBER(M349)),NOT(ISNUMBER(M348)),(IF(ISNUMBER(G349),G349,F349)-IF(ISNUMBER(G348),G348,F348))=0),"",(M349-M348)/((IF(ISNUMBER(G349),G349,F349)-IF(ISNUMBER(G348),G348,F348))/100))</f>
        <v/>
      </c>
      <c r="V349" s="29" t="n"/>
      <c r="W349" s="29" t="n"/>
      <c r="X349" s="32" t="n"/>
    </row>
    <row r="350">
      <c r="A350" s="26" t="inlineStr">
        <is>
          <t>S29</t>
        </is>
      </c>
      <c r="B350" s="26" t="inlineStr">
        <is>
          <t>가야 신규점1</t>
        </is>
      </c>
      <c r="C350" s="26" t="inlineStr">
        <is>
          <t>S29-V</t>
        </is>
      </c>
      <c r="D350" s="47" t="n">
        <v>1</v>
      </c>
      <c r="E350" s="26" t="inlineStr">
        <is>
          <t>측정</t>
        </is>
      </c>
      <c r="F350" s="47" t="n">
        <v>160</v>
      </c>
      <c r="G350" s="41" t="n"/>
      <c r="H350" s="29" t="n"/>
      <c r="I350" s="43" t="n"/>
      <c r="J350" s="41" t="n"/>
      <c r="K350" s="41" t="n"/>
      <c r="L350" s="41" t="n"/>
      <c r="M350" s="31">
        <f>IF(COUNT(J350:L350)=0,"",MEDIAN(J350:L350))</f>
        <v/>
      </c>
      <c r="N350" s="26">
        <f>IF(COUNTIFS($C:$C,$C350,$D:$D,$D350,$E:$E,"기준(전)",$M:$M,"&gt;0")&lt;&gt;1,"기준(전) 유효 1개 아님",IF(COUNTIFS($C:$C,$C350,$D:$D,$D350,$E:$E,"기준(후)",$M:$M,"&gt;0")&lt;&gt;1,"기준(후) 유효 1개 아님",IF(NOT(AND(ISNUMBER(O350),ISNUMBER(Q350),ISNUMBER(I350))),"시각 결측",IF(Q350&lt;=O350,"기준 시각 역전",IF(OR(I350&lt;O350,I350&gt;Q350),"측정시각 구간 밖","OK")))))</f>
        <v/>
      </c>
      <c r="O350" s="48">
        <f>IF(COUNTIFS($C:$C,$C350,$D:$D,$D350,$E:$E,"기준(전)",$M:$M,"&gt;0")&lt;&gt;1,"",SUMIFS($I:$I,$C:$C,$C350,$D:$D,$D350,$E:$E,"기준(전)"))</f>
        <v/>
      </c>
      <c r="P350" s="31">
        <f>IF(COUNTIFS($C:$C,$C350,$D:$D,$D350,$E:$E,"기준(전)",$M:$M,"&gt;0")&lt;&gt;1,"",SUMIFS($M:$M,$C:$C,$C350,$D:$D,$D350,$E:$E,"기준(전)"))</f>
        <v/>
      </c>
      <c r="Q350" s="48">
        <f>IF(COUNTIFS($C:$C,$C350,$D:$D,$D350,$E:$E,"기준(후)",$M:$M,"&gt;0")&lt;&gt;1,"",SUMIFS($I:$I,$C:$C,$C350,$D:$D,$D350,$E:$E,"기준(후)"))</f>
        <v/>
      </c>
      <c r="R350" s="31">
        <f>IF(COUNTIFS($C:$C,$C350,$D:$D,$D350,$E:$E,"기준(후)",$M:$M,"&gt;0")&lt;&gt;1,"",SUMIFS($M:$M,$C:$C,$C350,$D:$D,$D350,$E:$E,"기준(후)"))</f>
        <v/>
      </c>
      <c r="S350" s="31">
        <f>IF(N350&lt;&gt;"OK","",P350+(R350-P350)*(I350-O350)/(Q350-O350))</f>
        <v/>
      </c>
      <c r="T350" s="31">
        <f>IF(OR(N350&lt;&gt;"OK",NOT(ISNUMBER(M350))),"",M350-S350)</f>
        <v/>
      </c>
      <c r="U350" s="49">
        <f>IF(OR($E349&lt;&gt;"측정",$C349&lt;&gt;$C350,$D349&lt;&gt;$D350,NOT(ISNUMBER(M350)),NOT(ISNUMBER(M349)),(IF(ISNUMBER(G350),G350,F350)-IF(ISNUMBER(G349),G349,F349))=0),"",(M350-M349)/((IF(ISNUMBER(G350),G350,F350)-IF(ISNUMBER(G349),G349,F349))/100))</f>
        <v/>
      </c>
      <c r="V350" s="29" t="n"/>
      <c r="W350" s="29" t="n"/>
      <c r="X350" s="32" t="n"/>
    </row>
    <row r="351">
      <c r="A351" s="26" t="inlineStr">
        <is>
          <t>S29</t>
        </is>
      </c>
      <c r="B351" s="26" t="inlineStr">
        <is>
          <t>가야 신규점1</t>
        </is>
      </c>
      <c r="C351" s="26" t="inlineStr">
        <is>
          <t>S29-V</t>
        </is>
      </c>
      <c r="D351" s="47" t="n">
        <v>1</v>
      </c>
      <c r="E351" s="26" t="inlineStr">
        <is>
          <t>측정</t>
        </is>
      </c>
      <c r="F351" s="47" t="n">
        <v>180</v>
      </c>
      <c r="G351" s="41" t="n"/>
      <c r="H351" s="29" t="n"/>
      <c r="I351" s="43" t="n"/>
      <c r="J351" s="41" t="n"/>
      <c r="K351" s="41" t="n"/>
      <c r="L351" s="41" t="n"/>
      <c r="M351" s="31">
        <f>IF(COUNT(J351:L351)=0,"",MEDIAN(J351:L351))</f>
        <v/>
      </c>
      <c r="N351" s="26">
        <f>IF(COUNTIFS($C:$C,$C351,$D:$D,$D351,$E:$E,"기준(전)",$M:$M,"&gt;0")&lt;&gt;1,"기준(전) 유효 1개 아님",IF(COUNTIFS($C:$C,$C351,$D:$D,$D351,$E:$E,"기준(후)",$M:$M,"&gt;0")&lt;&gt;1,"기준(후) 유효 1개 아님",IF(NOT(AND(ISNUMBER(O351),ISNUMBER(Q351),ISNUMBER(I351))),"시각 결측",IF(Q351&lt;=O351,"기준 시각 역전",IF(OR(I351&lt;O351,I351&gt;Q351),"측정시각 구간 밖","OK")))))</f>
        <v/>
      </c>
      <c r="O351" s="48">
        <f>IF(COUNTIFS($C:$C,$C351,$D:$D,$D351,$E:$E,"기준(전)",$M:$M,"&gt;0")&lt;&gt;1,"",SUMIFS($I:$I,$C:$C,$C351,$D:$D,$D351,$E:$E,"기준(전)"))</f>
        <v/>
      </c>
      <c r="P351" s="31">
        <f>IF(COUNTIFS($C:$C,$C351,$D:$D,$D351,$E:$E,"기준(전)",$M:$M,"&gt;0")&lt;&gt;1,"",SUMIFS($M:$M,$C:$C,$C351,$D:$D,$D351,$E:$E,"기준(전)"))</f>
        <v/>
      </c>
      <c r="Q351" s="48">
        <f>IF(COUNTIFS($C:$C,$C351,$D:$D,$D351,$E:$E,"기준(후)",$M:$M,"&gt;0")&lt;&gt;1,"",SUMIFS($I:$I,$C:$C,$C351,$D:$D,$D351,$E:$E,"기준(후)"))</f>
        <v/>
      </c>
      <c r="R351" s="31">
        <f>IF(COUNTIFS($C:$C,$C351,$D:$D,$D351,$E:$E,"기준(후)",$M:$M,"&gt;0")&lt;&gt;1,"",SUMIFS($M:$M,$C:$C,$C351,$D:$D,$D351,$E:$E,"기준(후)"))</f>
        <v/>
      </c>
      <c r="S351" s="31">
        <f>IF(N351&lt;&gt;"OK","",P351+(R351-P351)*(I351-O351)/(Q351-O351))</f>
        <v/>
      </c>
      <c r="T351" s="31">
        <f>IF(OR(N351&lt;&gt;"OK",NOT(ISNUMBER(M351))),"",M351-S351)</f>
        <v/>
      </c>
      <c r="U351" s="49">
        <f>IF(OR($E350&lt;&gt;"측정",$C350&lt;&gt;$C351,$D350&lt;&gt;$D351,NOT(ISNUMBER(M351)),NOT(ISNUMBER(M350)),(IF(ISNUMBER(G351),G351,F351)-IF(ISNUMBER(G350),G350,F350))=0),"",(M351-M350)/((IF(ISNUMBER(G351),G351,F351)-IF(ISNUMBER(G350),G350,F350))/100))</f>
        <v/>
      </c>
      <c r="V351" s="29" t="n"/>
      <c r="W351" s="29" t="n"/>
      <c r="X351" s="32" t="n"/>
    </row>
    <row r="352">
      <c r="A352" s="26" t="inlineStr">
        <is>
          <t>S29</t>
        </is>
      </c>
      <c r="B352" s="26" t="inlineStr">
        <is>
          <t>가야 신규점1</t>
        </is>
      </c>
      <c r="C352" s="26" t="inlineStr">
        <is>
          <t>S29-V</t>
        </is>
      </c>
      <c r="D352" s="47" t="n">
        <v>1</v>
      </c>
      <c r="E352" s="26" t="inlineStr">
        <is>
          <t>측정</t>
        </is>
      </c>
      <c r="F352" s="47" t="n">
        <v>200</v>
      </c>
      <c r="G352" s="41" t="n"/>
      <c r="H352" s="29" t="n"/>
      <c r="I352" s="43" t="n"/>
      <c r="J352" s="41" t="n"/>
      <c r="K352" s="41" t="n"/>
      <c r="L352" s="41" t="n"/>
      <c r="M352" s="31">
        <f>IF(COUNT(J352:L352)=0,"",MEDIAN(J352:L352))</f>
        <v/>
      </c>
      <c r="N352" s="26">
        <f>IF(COUNTIFS($C:$C,$C352,$D:$D,$D352,$E:$E,"기준(전)",$M:$M,"&gt;0")&lt;&gt;1,"기준(전) 유효 1개 아님",IF(COUNTIFS($C:$C,$C352,$D:$D,$D352,$E:$E,"기준(후)",$M:$M,"&gt;0")&lt;&gt;1,"기준(후) 유효 1개 아님",IF(NOT(AND(ISNUMBER(O352),ISNUMBER(Q352),ISNUMBER(I352))),"시각 결측",IF(Q352&lt;=O352,"기준 시각 역전",IF(OR(I352&lt;O352,I352&gt;Q352),"측정시각 구간 밖","OK")))))</f>
        <v/>
      </c>
      <c r="O352" s="48">
        <f>IF(COUNTIFS($C:$C,$C352,$D:$D,$D352,$E:$E,"기준(전)",$M:$M,"&gt;0")&lt;&gt;1,"",SUMIFS($I:$I,$C:$C,$C352,$D:$D,$D352,$E:$E,"기준(전)"))</f>
        <v/>
      </c>
      <c r="P352" s="31">
        <f>IF(COUNTIFS($C:$C,$C352,$D:$D,$D352,$E:$E,"기준(전)",$M:$M,"&gt;0")&lt;&gt;1,"",SUMIFS($M:$M,$C:$C,$C352,$D:$D,$D352,$E:$E,"기준(전)"))</f>
        <v/>
      </c>
      <c r="Q352" s="48">
        <f>IF(COUNTIFS($C:$C,$C352,$D:$D,$D352,$E:$E,"기준(후)",$M:$M,"&gt;0")&lt;&gt;1,"",SUMIFS($I:$I,$C:$C,$C352,$D:$D,$D352,$E:$E,"기준(후)"))</f>
        <v/>
      </c>
      <c r="R352" s="31">
        <f>IF(COUNTIFS($C:$C,$C352,$D:$D,$D352,$E:$E,"기준(후)",$M:$M,"&gt;0")&lt;&gt;1,"",SUMIFS($M:$M,$C:$C,$C352,$D:$D,$D352,$E:$E,"기준(후)"))</f>
        <v/>
      </c>
      <c r="S352" s="31">
        <f>IF(N352&lt;&gt;"OK","",P352+(R352-P352)*(I352-O352)/(Q352-O352))</f>
        <v/>
      </c>
      <c r="T352" s="31">
        <f>IF(OR(N352&lt;&gt;"OK",NOT(ISNUMBER(M352))),"",M352-S352)</f>
        <v/>
      </c>
      <c r="U352" s="49">
        <f>IF(OR($E351&lt;&gt;"측정",$C351&lt;&gt;$C352,$D351&lt;&gt;$D352,NOT(ISNUMBER(M352)),NOT(ISNUMBER(M351)),(IF(ISNUMBER(G352),G352,F352)-IF(ISNUMBER(G351),G351,F351))=0),"",(M352-M351)/((IF(ISNUMBER(G352),G352,F352)-IF(ISNUMBER(G351),G351,F351))/100))</f>
        <v/>
      </c>
      <c r="V352" s="29" t="n"/>
      <c r="W352" s="29" t="n"/>
      <c r="X352" s="32" t="n"/>
    </row>
    <row r="353">
      <c r="A353" s="44" t="inlineStr">
        <is>
          <t>S29</t>
        </is>
      </c>
      <c r="B353" s="44" t="inlineStr">
        <is>
          <t>가야 신규점1</t>
        </is>
      </c>
      <c r="C353" s="44" t="inlineStr">
        <is>
          <t>S29-V</t>
        </is>
      </c>
      <c r="D353" s="45" t="n">
        <v>1</v>
      </c>
      <c r="E353" s="44" t="inlineStr">
        <is>
          <t>기준(후)</t>
        </is>
      </c>
      <c r="F353" s="45" t="n"/>
      <c r="G353" s="41" t="n"/>
      <c r="H353" s="29" t="n"/>
      <c r="I353" s="43" t="n"/>
      <c r="J353" s="41" t="n"/>
      <c r="K353" s="41" t="n"/>
      <c r="L353" s="41" t="n"/>
      <c r="M353" s="31">
        <f>IF(COUNT(J353:L353)=0,"",MEDIAN(J353:L353))</f>
        <v/>
      </c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29" t="n"/>
      <c r="W353" s="29" t="n"/>
      <c r="X353" s="32" t="n"/>
    </row>
    <row r="354">
      <c r="A354" s="44" t="inlineStr">
        <is>
          <t>S30</t>
        </is>
      </c>
      <c r="B354" s="44" t="inlineStr">
        <is>
          <t>창녕 신규점</t>
        </is>
      </c>
      <c r="C354" s="44" t="inlineStr">
        <is>
          <t>S30-V</t>
        </is>
      </c>
      <c r="D354" s="45" t="n">
        <v>1</v>
      </c>
      <c r="E354" s="44" t="inlineStr">
        <is>
          <t>기준(전)</t>
        </is>
      </c>
      <c r="F354" s="45" t="n"/>
      <c r="G354" s="41" t="n"/>
      <c r="H354" s="29" t="n"/>
      <c r="I354" s="43" t="n"/>
      <c r="J354" s="41" t="n"/>
      <c r="K354" s="41" t="n"/>
      <c r="L354" s="41" t="n"/>
      <c r="M354" s="31">
        <f>IF(COUNT(J354:L354)=0,"",MEDIAN(J354:L354))</f>
        <v/>
      </c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29" t="n"/>
      <c r="W354" s="29" t="n"/>
      <c r="X354" s="32" t="n"/>
    </row>
    <row r="355">
      <c r="A355" s="26" t="inlineStr">
        <is>
          <t>S30</t>
        </is>
      </c>
      <c r="B355" s="26" t="inlineStr">
        <is>
          <t>창녕 신규점</t>
        </is>
      </c>
      <c r="C355" s="26" t="inlineStr">
        <is>
          <t>S30-V</t>
        </is>
      </c>
      <c r="D355" s="47" t="n">
        <v>1</v>
      </c>
      <c r="E355" s="26" t="inlineStr">
        <is>
          <t>측정</t>
        </is>
      </c>
      <c r="F355" s="47" t="n">
        <v>20</v>
      </c>
      <c r="G355" s="41" t="n"/>
      <c r="H355" s="29" t="n"/>
      <c r="I355" s="43" t="n"/>
      <c r="J355" s="41" t="n"/>
      <c r="K355" s="41" t="n"/>
      <c r="L355" s="41" t="n"/>
      <c r="M355" s="31">
        <f>IF(COUNT(J355:L355)=0,"",MEDIAN(J355:L355))</f>
        <v/>
      </c>
      <c r="N355" s="26">
        <f>IF(COUNTIFS($C:$C,$C355,$D:$D,$D355,$E:$E,"기준(전)",$M:$M,"&gt;0")&lt;&gt;1,"기준(전) 유효 1개 아님",IF(COUNTIFS($C:$C,$C355,$D:$D,$D355,$E:$E,"기준(후)",$M:$M,"&gt;0")&lt;&gt;1,"기준(후) 유효 1개 아님",IF(NOT(AND(ISNUMBER(O355),ISNUMBER(Q355),ISNUMBER(I355))),"시각 결측",IF(Q355&lt;=O355,"기준 시각 역전",IF(OR(I355&lt;O355,I355&gt;Q355),"측정시각 구간 밖","OK")))))</f>
        <v/>
      </c>
      <c r="O355" s="48">
        <f>IF(COUNTIFS($C:$C,$C355,$D:$D,$D355,$E:$E,"기준(전)",$M:$M,"&gt;0")&lt;&gt;1,"",SUMIFS($I:$I,$C:$C,$C355,$D:$D,$D355,$E:$E,"기준(전)"))</f>
        <v/>
      </c>
      <c r="P355" s="31">
        <f>IF(COUNTIFS($C:$C,$C355,$D:$D,$D355,$E:$E,"기준(전)",$M:$M,"&gt;0")&lt;&gt;1,"",SUMIFS($M:$M,$C:$C,$C355,$D:$D,$D355,$E:$E,"기준(전)"))</f>
        <v/>
      </c>
      <c r="Q355" s="48">
        <f>IF(COUNTIFS($C:$C,$C355,$D:$D,$D355,$E:$E,"기준(후)",$M:$M,"&gt;0")&lt;&gt;1,"",SUMIFS($I:$I,$C:$C,$C355,$D:$D,$D355,$E:$E,"기준(후)"))</f>
        <v/>
      </c>
      <c r="R355" s="31">
        <f>IF(COUNTIFS($C:$C,$C355,$D:$D,$D355,$E:$E,"기준(후)",$M:$M,"&gt;0")&lt;&gt;1,"",SUMIFS($M:$M,$C:$C,$C355,$D:$D,$D355,$E:$E,"기준(후)"))</f>
        <v/>
      </c>
      <c r="S355" s="31">
        <f>IF(N355&lt;&gt;"OK","",P355+(R355-P355)*(I355-O355)/(Q355-O355))</f>
        <v/>
      </c>
      <c r="T355" s="31">
        <f>IF(OR(N355&lt;&gt;"OK",NOT(ISNUMBER(M355))),"",M355-S355)</f>
        <v/>
      </c>
      <c r="U355" s="49">
        <f>IF(OR($E354&lt;&gt;"측정",$C354&lt;&gt;$C355,$D354&lt;&gt;$D355,NOT(ISNUMBER(M355)),NOT(ISNUMBER(M354)),(IF(ISNUMBER(G355),G355,F355)-IF(ISNUMBER(G354),G354,F354))=0),"",(M355-M354)/((IF(ISNUMBER(G355),G355,F355)-IF(ISNUMBER(G354),G354,F354))/100))</f>
        <v/>
      </c>
      <c r="V355" s="29" t="n"/>
      <c r="W355" s="29" t="n"/>
      <c r="X355" s="32" t="n"/>
    </row>
    <row r="356">
      <c r="A356" s="26" t="inlineStr">
        <is>
          <t>S30</t>
        </is>
      </c>
      <c r="B356" s="26" t="inlineStr">
        <is>
          <t>창녕 신규점</t>
        </is>
      </c>
      <c r="C356" s="26" t="inlineStr">
        <is>
          <t>S30-V</t>
        </is>
      </c>
      <c r="D356" s="47" t="n">
        <v>1</v>
      </c>
      <c r="E356" s="26" t="inlineStr">
        <is>
          <t>측정</t>
        </is>
      </c>
      <c r="F356" s="47" t="n">
        <v>40</v>
      </c>
      <c r="G356" s="41" t="n"/>
      <c r="H356" s="29" t="n"/>
      <c r="I356" s="43" t="n"/>
      <c r="J356" s="41" t="n"/>
      <c r="K356" s="41" t="n"/>
      <c r="L356" s="41" t="n"/>
      <c r="M356" s="31">
        <f>IF(COUNT(J356:L356)=0,"",MEDIAN(J356:L356))</f>
        <v/>
      </c>
      <c r="N356" s="26">
        <f>IF(COUNTIFS($C:$C,$C356,$D:$D,$D356,$E:$E,"기준(전)",$M:$M,"&gt;0")&lt;&gt;1,"기준(전) 유효 1개 아님",IF(COUNTIFS($C:$C,$C356,$D:$D,$D356,$E:$E,"기준(후)",$M:$M,"&gt;0")&lt;&gt;1,"기준(후) 유효 1개 아님",IF(NOT(AND(ISNUMBER(O356),ISNUMBER(Q356),ISNUMBER(I356))),"시각 결측",IF(Q356&lt;=O356,"기준 시각 역전",IF(OR(I356&lt;O356,I356&gt;Q356),"측정시각 구간 밖","OK")))))</f>
        <v/>
      </c>
      <c r="O356" s="48">
        <f>IF(COUNTIFS($C:$C,$C356,$D:$D,$D356,$E:$E,"기준(전)",$M:$M,"&gt;0")&lt;&gt;1,"",SUMIFS($I:$I,$C:$C,$C356,$D:$D,$D356,$E:$E,"기준(전)"))</f>
        <v/>
      </c>
      <c r="P356" s="31">
        <f>IF(COUNTIFS($C:$C,$C356,$D:$D,$D356,$E:$E,"기준(전)",$M:$M,"&gt;0")&lt;&gt;1,"",SUMIFS($M:$M,$C:$C,$C356,$D:$D,$D356,$E:$E,"기준(전)"))</f>
        <v/>
      </c>
      <c r="Q356" s="48">
        <f>IF(COUNTIFS($C:$C,$C356,$D:$D,$D356,$E:$E,"기준(후)",$M:$M,"&gt;0")&lt;&gt;1,"",SUMIFS($I:$I,$C:$C,$C356,$D:$D,$D356,$E:$E,"기준(후)"))</f>
        <v/>
      </c>
      <c r="R356" s="31">
        <f>IF(COUNTIFS($C:$C,$C356,$D:$D,$D356,$E:$E,"기준(후)",$M:$M,"&gt;0")&lt;&gt;1,"",SUMIFS($M:$M,$C:$C,$C356,$D:$D,$D356,$E:$E,"기준(후)"))</f>
        <v/>
      </c>
      <c r="S356" s="31">
        <f>IF(N356&lt;&gt;"OK","",P356+(R356-P356)*(I356-O356)/(Q356-O356))</f>
        <v/>
      </c>
      <c r="T356" s="31">
        <f>IF(OR(N356&lt;&gt;"OK",NOT(ISNUMBER(M356))),"",M356-S356)</f>
        <v/>
      </c>
      <c r="U356" s="49">
        <f>IF(OR($E355&lt;&gt;"측정",$C355&lt;&gt;$C356,$D355&lt;&gt;$D356,NOT(ISNUMBER(M356)),NOT(ISNUMBER(M355)),(IF(ISNUMBER(G356),G356,F356)-IF(ISNUMBER(G355),G355,F355))=0),"",(M356-M355)/((IF(ISNUMBER(G356),G356,F356)-IF(ISNUMBER(G355),G355,F355))/100))</f>
        <v/>
      </c>
      <c r="V356" s="29" t="n"/>
      <c r="W356" s="29" t="n"/>
      <c r="X356" s="32" t="n"/>
    </row>
    <row r="357">
      <c r="A357" s="26" t="inlineStr">
        <is>
          <t>S30</t>
        </is>
      </c>
      <c r="B357" s="26" t="inlineStr">
        <is>
          <t>창녕 신규점</t>
        </is>
      </c>
      <c r="C357" s="26" t="inlineStr">
        <is>
          <t>S30-V</t>
        </is>
      </c>
      <c r="D357" s="47" t="n">
        <v>1</v>
      </c>
      <c r="E357" s="26" t="inlineStr">
        <is>
          <t>측정</t>
        </is>
      </c>
      <c r="F357" s="47" t="n">
        <v>60</v>
      </c>
      <c r="G357" s="41" t="n"/>
      <c r="H357" s="29" t="n"/>
      <c r="I357" s="43" t="n"/>
      <c r="J357" s="41" t="n"/>
      <c r="K357" s="41" t="n"/>
      <c r="L357" s="41" t="n"/>
      <c r="M357" s="31">
        <f>IF(COUNT(J357:L357)=0,"",MEDIAN(J357:L357))</f>
        <v/>
      </c>
      <c r="N357" s="26">
        <f>IF(COUNTIFS($C:$C,$C357,$D:$D,$D357,$E:$E,"기준(전)",$M:$M,"&gt;0")&lt;&gt;1,"기준(전) 유효 1개 아님",IF(COUNTIFS($C:$C,$C357,$D:$D,$D357,$E:$E,"기준(후)",$M:$M,"&gt;0")&lt;&gt;1,"기준(후) 유효 1개 아님",IF(NOT(AND(ISNUMBER(O357),ISNUMBER(Q357),ISNUMBER(I357))),"시각 결측",IF(Q357&lt;=O357,"기준 시각 역전",IF(OR(I357&lt;O357,I357&gt;Q357),"측정시각 구간 밖","OK")))))</f>
        <v/>
      </c>
      <c r="O357" s="48">
        <f>IF(COUNTIFS($C:$C,$C357,$D:$D,$D357,$E:$E,"기준(전)",$M:$M,"&gt;0")&lt;&gt;1,"",SUMIFS($I:$I,$C:$C,$C357,$D:$D,$D357,$E:$E,"기준(전)"))</f>
        <v/>
      </c>
      <c r="P357" s="31">
        <f>IF(COUNTIFS($C:$C,$C357,$D:$D,$D357,$E:$E,"기준(전)",$M:$M,"&gt;0")&lt;&gt;1,"",SUMIFS($M:$M,$C:$C,$C357,$D:$D,$D357,$E:$E,"기준(전)"))</f>
        <v/>
      </c>
      <c r="Q357" s="48">
        <f>IF(COUNTIFS($C:$C,$C357,$D:$D,$D357,$E:$E,"기준(후)",$M:$M,"&gt;0")&lt;&gt;1,"",SUMIFS($I:$I,$C:$C,$C357,$D:$D,$D357,$E:$E,"기준(후)"))</f>
        <v/>
      </c>
      <c r="R357" s="31">
        <f>IF(COUNTIFS($C:$C,$C357,$D:$D,$D357,$E:$E,"기준(후)",$M:$M,"&gt;0")&lt;&gt;1,"",SUMIFS($M:$M,$C:$C,$C357,$D:$D,$D357,$E:$E,"기준(후)"))</f>
        <v/>
      </c>
      <c r="S357" s="31">
        <f>IF(N357&lt;&gt;"OK","",P357+(R357-P357)*(I357-O357)/(Q357-O357))</f>
        <v/>
      </c>
      <c r="T357" s="31">
        <f>IF(OR(N357&lt;&gt;"OK",NOT(ISNUMBER(M357))),"",M357-S357)</f>
        <v/>
      </c>
      <c r="U357" s="49">
        <f>IF(OR($E356&lt;&gt;"측정",$C356&lt;&gt;$C357,$D356&lt;&gt;$D357,NOT(ISNUMBER(M357)),NOT(ISNUMBER(M356)),(IF(ISNUMBER(G357),G357,F357)-IF(ISNUMBER(G356),G356,F356))=0),"",(M357-M356)/((IF(ISNUMBER(G357),G357,F357)-IF(ISNUMBER(G356),G356,F356))/100))</f>
        <v/>
      </c>
      <c r="V357" s="29" t="n"/>
      <c r="W357" s="29" t="n"/>
      <c r="X357" s="32" t="n"/>
    </row>
    <row r="358">
      <c r="A358" s="26" t="inlineStr">
        <is>
          <t>S30</t>
        </is>
      </c>
      <c r="B358" s="26" t="inlineStr">
        <is>
          <t>창녕 신규점</t>
        </is>
      </c>
      <c r="C358" s="26" t="inlineStr">
        <is>
          <t>S30-V</t>
        </is>
      </c>
      <c r="D358" s="47" t="n">
        <v>1</v>
      </c>
      <c r="E358" s="26" t="inlineStr">
        <is>
          <t>측정</t>
        </is>
      </c>
      <c r="F358" s="47" t="n">
        <v>80</v>
      </c>
      <c r="G358" s="41" t="n"/>
      <c r="H358" s="29" t="n"/>
      <c r="I358" s="43" t="n"/>
      <c r="J358" s="41" t="n"/>
      <c r="K358" s="41" t="n"/>
      <c r="L358" s="41" t="n"/>
      <c r="M358" s="31">
        <f>IF(COUNT(J358:L358)=0,"",MEDIAN(J358:L358))</f>
        <v/>
      </c>
      <c r="N358" s="26">
        <f>IF(COUNTIFS($C:$C,$C358,$D:$D,$D358,$E:$E,"기준(전)",$M:$M,"&gt;0")&lt;&gt;1,"기준(전) 유효 1개 아님",IF(COUNTIFS($C:$C,$C358,$D:$D,$D358,$E:$E,"기준(후)",$M:$M,"&gt;0")&lt;&gt;1,"기준(후) 유효 1개 아님",IF(NOT(AND(ISNUMBER(O358),ISNUMBER(Q358),ISNUMBER(I358))),"시각 결측",IF(Q358&lt;=O358,"기준 시각 역전",IF(OR(I358&lt;O358,I358&gt;Q358),"측정시각 구간 밖","OK")))))</f>
        <v/>
      </c>
      <c r="O358" s="48">
        <f>IF(COUNTIFS($C:$C,$C358,$D:$D,$D358,$E:$E,"기준(전)",$M:$M,"&gt;0")&lt;&gt;1,"",SUMIFS($I:$I,$C:$C,$C358,$D:$D,$D358,$E:$E,"기준(전)"))</f>
        <v/>
      </c>
      <c r="P358" s="31">
        <f>IF(COUNTIFS($C:$C,$C358,$D:$D,$D358,$E:$E,"기준(전)",$M:$M,"&gt;0")&lt;&gt;1,"",SUMIFS($M:$M,$C:$C,$C358,$D:$D,$D358,$E:$E,"기준(전)"))</f>
        <v/>
      </c>
      <c r="Q358" s="48">
        <f>IF(COUNTIFS($C:$C,$C358,$D:$D,$D358,$E:$E,"기준(후)",$M:$M,"&gt;0")&lt;&gt;1,"",SUMIFS($I:$I,$C:$C,$C358,$D:$D,$D358,$E:$E,"기준(후)"))</f>
        <v/>
      </c>
      <c r="R358" s="31">
        <f>IF(COUNTIFS($C:$C,$C358,$D:$D,$D358,$E:$E,"기준(후)",$M:$M,"&gt;0")&lt;&gt;1,"",SUMIFS($M:$M,$C:$C,$C358,$D:$D,$D358,$E:$E,"기준(후)"))</f>
        <v/>
      </c>
      <c r="S358" s="31">
        <f>IF(N358&lt;&gt;"OK","",P358+(R358-P358)*(I358-O358)/(Q358-O358))</f>
        <v/>
      </c>
      <c r="T358" s="31">
        <f>IF(OR(N358&lt;&gt;"OK",NOT(ISNUMBER(M358))),"",M358-S358)</f>
        <v/>
      </c>
      <c r="U358" s="49">
        <f>IF(OR($E357&lt;&gt;"측정",$C357&lt;&gt;$C358,$D357&lt;&gt;$D358,NOT(ISNUMBER(M358)),NOT(ISNUMBER(M357)),(IF(ISNUMBER(G358),G358,F358)-IF(ISNUMBER(G357),G357,F357))=0),"",(M358-M357)/((IF(ISNUMBER(G358),G358,F358)-IF(ISNUMBER(G357),G357,F357))/100))</f>
        <v/>
      </c>
      <c r="V358" s="29" t="n"/>
      <c r="W358" s="29" t="n"/>
      <c r="X358" s="32" t="n"/>
    </row>
    <row r="359">
      <c r="A359" s="26" t="inlineStr">
        <is>
          <t>S30</t>
        </is>
      </c>
      <c r="B359" s="26" t="inlineStr">
        <is>
          <t>창녕 신규점</t>
        </is>
      </c>
      <c r="C359" s="26" t="inlineStr">
        <is>
          <t>S30-V</t>
        </is>
      </c>
      <c r="D359" s="47" t="n">
        <v>1</v>
      </c>
      <c r="E359" s="26" t="inlineStr">
        <is>
          <t>측정</t>
        </is>
      </c>
      <c r="F359" s="47" t="n">
        <v>100</v>
      </c>
      <c r="G359" s="41" t="n"/>
      <c r="H359" s="29" t="n"/>
      <c r="I359" s="43" t="n"/>
      <c r="J359" s="41" t="n"/>
      <c r="K359" s="41" t="n"/>
      <c r="L359" s="41" t="n"/>
      <c r="M359" s="31">
        <f>IF(COUNT(J359:L359)=0,"",MEDIAN(J359:L359))</f>
        <v/>
      </c>
      <c r="N359" s="26">
        <f>IF(COUNTIFS($C:$C,$C359,$D:$D,$D359,$E:$E,"기준(전)",$M:$M,"&gt;0")&lt;&gt;1,"기준(전) 유효 1개 아님",IF(COUNTIFS($C:$C,$C359,$D:$D,$D359,$E:$E,"기준(후)",$M:$M,"&gt;0")&lt;&gt;1,"기준(후) 유효 1개 아님",IF(NOT(AND(ISNUMBER(O359),ISNUMBER(Q359),ISNUMBER(I359))),"시각 결측",IF(Q359&lt;=O359,"기준 시각 역전",IF(OR(I359&lt;O359,I359&gt;Q359),"측정시각 구간 밖","OK")))))</f>
        <v/>
      </c>
      <c r="O359" s="48">
        <f>IF(COUNTIFS($C:$C,$C359,$D:$D,$D359,$E:$E,"기준(전)",$M:$M,"&gt;0")&lt;&gt;1,"",SUMIFS($I:$I,$C:$C,$C359,$D:$D,$D359,$E:$E,"기준(전)"))</f>
        <v/>
      </c>
      <c r="P359" s="31">
        <f>IF(COUNTIFS($C:$C,$C359,$D:$D,$D359,$E:$E,"기준(전)",$M:$M,"&gt;0")&lt;&gt;1,"",SUMIFS($M:$M,$C:$C,$C359,$D:$D,$D359,$E:$E,"기준(전)"))</f>
        <v/>
      </c>
      <c r="Q359" s="48">
        <f>IF(COUNTIFS($C:$C,$C359,$D:$D,$D359,$E:$E,"기준(후)",$M:$M,"&gt;0")&lt;&gt;1,"",SUMIFS($I:$I,$C:$C,$C359,$D:$D,$D359,$E:$E,"기준(후)"))</f>
        <v/>
      </c>
      <c r="R359" s="31">
        <f>IF(COUNTIFS($C:$C,$C359,$D:$D,$D359,$E:$E,"기준(후)",$M:$M,"&gt;0")&lt;&gt;1,"",SUMIFS($M:$M,$C:$C,$C359,$D:$D,$D359,$E:$E,"기준(후)"))</f>
        <v/>
      </c>
      <c r="S359" s="31">
        <f>IF(N359&lt;&gt;"OK","",P359+(R359-P359)*(I359-O359)/(Q359-O359))</f>
        <v/>
      </c>
      <c r="T359" s="31">
        <f>IF(OR(N359&lt;&gt;"OK",NOT(ISNUMBER(M359))),"",M359-S359)</f>
        <v/>
      </c>
      <c r="U359" s="49">
        <f>IF(OR($E358&lt;&gt;"측정",$C358&lt;&gt;$C359,$D358&lt;&gt;$D359,NOT(ISNUMBER(M359)),NOT(ISNUMBER(M358)),(IF(ISNUMBER(G359),G359,F359)-IF(ISNUMBER(G358),G358,F358))=0),"",(M359-M358)/((IF(ISNUMBER(G359),G359,F359)-IF(ISNUMBER(G358),G358,F358))/100))</f>
        <v/>
      </c>
      <c r="V359" s="29" t="n"/>
      <c r="W359" s="29" t="n"/>
      <c r="X359" s="32" t="n"/>
    </row>
    <row r="360">
      <c r="A360" s="26" t="inlineStr">
        <is>
          <t>S30</t>
        </is>
      </c>
      <c r="B360" s="26" t="inlineStr">
        <is>
          <t>창녕 신규점</t>
        </is>
      </c>
      <c r="C360" s="26" t="inlineStr">
        <is>
          <t>S30-V</t>
        </is>
      </c>
      <c r="D360" s="47" t="n">
        <v>1</v>
      </c>
      <c r="E360" s="26" t="inlineStr">
        <is>
          <t>측정</t>
        </is>
      </c>
      <c r="F360" s="47" t="n">
        <v>120</v>
      </c>
      <c r="G360" s="41" t="n"/>
      <c r="H360" s="29" t="n"/>
      <c r="I360" s="43" t="n"/>
      <c r="J360" s="41" t="n"/>
      <c r="K360" s="41" t="n"/>
      <c r="L360" s="41" t="n"/>
      <c r="M360" s="31">
        <f>IF(COUNT(J360:L360)=0,"",MEDIAN(J360:L360))</f>
        <v/>
      </c>
      <c r="N360" s="26">
        <f>IF(COUNTIFS($C:$C,$C360,$D:$D,$D360,$E:$E,"기준(전)",$M:$M,"&gt;0")&lt;&gt;1,"기준(전) 유효 1개 아님",IF(COUNTIFS($C:$C,$C360,$D:$D,$D360,$E:$E,"기준(후)",$M:$M,"&gt;0")&lt;&gt;1,"기준(후) 유효 1개 아님",IF(NOT(AND(ISNUMBER(O360),ISNUMBER(Q360),ISNUMBER(I360))),"시각 결측",IF(Q360&lt;=O360,"기준 시각 역전",IF(OR(I360&lt;O360,I360&gt;Q360),"측정시각 구간 밖","OK")))))</f>
        <v/>
      </c>
      <c r="O360" s="48">
        <f>IF(COUNTIFS($C:$C,$C360,$D:$D,$D360,$E:$E,"기준(전)",$M:$M,"&gt;0")&lt;&gt;1,"",SUMIFS($I:$I,$C:$C,$C360,$D:$D,$D360,$E:$E,"기준(전)"))</f>
        <v/>
      </c>
      <c r="P360" s="31">
        <f>IF(COUNTIFS($C:$C,$C360,$D:$D,$D360,$E:$E,"기준(전)",$M:$M,"&gt;0")&lt;&gt;1,"",SUMIFS($M:$M,$C:$C,$C360,$D:$D,$D360,$E:$E,"기준(전)"))</f>
        <v/>
      </c>
      <c r="Q360" s="48">
        <f>IF(COUNTIFS($C:$C,$C360,$D:$D,$D360,$E:$E,"기준(후)",$M:$M,"&gt;0")&lt;&gt;1,"",SUMIFS($I:$I,$C:$C,$C360,$D:$D,$D360,$E:$E,"기준(후)"))</f>
        <v/>
      </c>
      <c r="R360" s="31">
        <f>IF(COUNTIFS($C:$C,$C360,$D:$D,$D360,$E:$E,"기준(후)",$M:$M,"&gt;0")&lt;&gt;1,"",SUMIFS($M:$M,$C:$C,$C360,$D:$D,$D360,$E:$E,"기준(후)"))</f>
        <v/>
      </c>
      <c r="S360" s="31">
        <f>IF(N360&lt;&gt;"OK","",P360+(R360-P360)*(I360-O360)/(Q360-O360))</f>
        <v/>
      </c>
      <c r="T360" s="31">
        <f>IF(OR(N360&lt;&gt;"OK",NOT(ISNUMBER(M360))),"",M360-S360)</f>
        <v/>
      </c>
      <c r="U360" s="49">
        <f>IF(OR($E359&lt;&gt;"측정",$C359&lt;&gt;$C360,$D359&lt;&gt;$D360,NOT(ISNUMBER(M360)),NOT(ISNUMBER(M359)),(IF(ISNUMBER(G360),G360,F360)-IF(ISNUMBER(G359),G359,F359))=0),"",(M360-M359)/((IF(ISNUMBER(G360),G360,F360)-IF(ISNUMBER(G359),G359,F359))/100))</f>
        <v/>
      </c>
      <c r="V360" s="29" t="n"/>
      <c r="W360" s="29" t="n"/>
      <c r="X360" s="32" t="n"/>
    </row>
    <row r="361">
      <c r="A361" s="26" t="inlineStr">
        <is>
          <t>S30</t>
        </is>
      </c>
      <c r="B361" s="26" t="inlineStr">
        <is>
          <t>창녕 신규점</t>
        </is>
      </c>
      <c r="C361" s="26" t="inlineStr">
        <is>
          <t>S30-V</t>
        </is>
      </c>
      <c r="D361" s="47" t="n">
        <v>1</v>
      </c>
      <c r="E361" s="26" t="inlineStr">
        <is>
          <t>측정</t>
        </is>
      </c>
      <c r="F361" s="47" t="n">
        <v>140</v>
      </c>
      <c r="G361" s="41" t="n"/>
      <c r="H361" s="29" t="n"/>
      <c r="I361" s="43" t="n"/>
      <c r="J361" s="41" t="n"/>
      <c r="K361" s="41" t="n"/>
      <c r="L361" s="41" t="n"/>
      <c r="M361" s="31">
        <f>IF(COUNT(J361:L361)=0,"",MEDIAN(J361:L361))</f>
        <v/>
      </c>
      <c r="N361" s="26">
        <f>IF(COUNTIFS($C:$C,$C361,$D:$D,$D361,$E:$E,"기준(전)",$M:$M,"&gt;0")&lt;&gt;1,"기준(전) 유효 1개 아님",IF(COUNTIFS($C:$C,$C361,$D:$D,$D361,$E:$E,"기준(후)",$M:$M,"&gt;0")&lt;&gt;1,"기준(후) 유효 1개 아님",IF(NOT(AND(ISNUMBER(O361),ISNUMBER(Q361),ISNUMBER(I361))),"시각 결측",IF(Q361&lt;=O361,"기준 시각 역전",IF(OR(I361&lt;O361,I361&gt;Q361),"측정시각 구간 밖","OK")))))</f>
        <v/>
      </c>
      <c r="O361" s="48">
        <f>IF(COUNTIFS($C:$C,$C361,$D:$D,$D361,$E:$E,"기준(전)",$M:$M,"&gt;0")&lt;&gt;1,"",SUMIFS($I:$I,$C:$C,$C361,$D:$D,$D361,$E:$E,"기준(전)"))</f>
        <v/>
      </c>
      <c r="P361" s="31">
        <f>IF(COUNTIFS($C:$C,$C361,$D:$D,$D361,$E:$E,"기준(전)",$M:$M,"&gt;0")&lt;&gt;1,"",SUMIFS($M:$M,$C:$C,$C361,$D:$D,$D361,$E:$E,"기준(전)"))</f>
        <v/>
      </c>
      <c r="Q361" s="48">
        <f>IF(COUNTIFS($C:$C,$C361,$D:$D,$D361,$E:$E,"기준(후)",$M:$M,"&gt;0")&lt;&gt;1,"",SUMIFS($I:$I,$C:$C,$C361,$D:$D,$D361,$E:$E,"기준(후)"))</f>
        <v/>
      </c>
      <c r="R361" s="31">
        <f>IF(COUNTIFS($C:$C,$C361,$D:$D,$D361,$E:$E,"기준(후)",$M:$M,"&gt;0")&lt;&gt;1,"",SUMIFS($M:$M,$C:$C,$C361,$D:$D,$D361,$E:$E,"기준(후)"))</f>
        <v/>
      </c>
      <c r="S361" s="31">
        <f>IF(N361&lt;&gt;"OK","",P361+(R361-P361)*(I361-O361)/(Q361-O361))</f>
        <v/>
      </c>
      <c r="T361" s="31">
        <f>IF(OR(N361&lt;&gt;"OK",NOT(ISNUMBER(M361))),"",M361-S361)</f>
        <v/>
      </c>
      <c r="U361" s="49">
        <f>IF(OR($E360&lt;&gt;"측정",$C360&lt;&gt;$C361,$D360&lt;&gt;$D361,NOT(ISNUMBER(M361)),NOT(ISNUMBER(M360)),(IF(ISNUMBER(G361),G361,F361)-IF(ISNUMBER(G360),G360,F360))=0),"",(M361-M360)/((IF(ISNUMBER(G361),G361,F361)-IF(ISNUMBER(G360),G360,F360))/100))</f>
        <v/>
      </c>
      <c r="V361" s="29" t="n"/>
      <c r="W361" s="29" t="n"/>
      <c r="X361" s="32" t="n"/>
    </row>
    <row r="362">
      <c r="A362" s="26" t="inlineStr">
        <is>
          <t>S30</t>
        </is>
      </c>
      <c r="B362" s="26" t="inlineStr">
        <is>
          <t>창녕 신규점</t>
        </is>
      </c>
      <c r="C362" s="26" t="inlineStr">
        <is>
          <t>S30-V</t>
        </is>
      </c>
      <c r="D362" s="47" t="n">
        <v>1</v>
      </c>
      <c r="E362" s="26" t="inlineStr">
        <is>
          <t>측정</t>
        </is>
      </c>
      <c r="F362" s="47" t="n">
        <v>160</v>
      </c>
      <c r="G362" s="41" t="n"/>
      <c r="H362" s="29" t="n"/>
      <c r="I362" s="43" t="n"/>
      <c r="J362" s="41" t="n"/>
      <c r="K362" s="41" t="n"/>
      <c r="L362" s="41" t="n"/>
      <c r="M362" s="31">
        <f>IF(COUNT(J362:L362)=0,"",MEDIAN(J362:L362))</f>
        <v/>
      </c>
      <c r="N362" s="26">
        <f>IF(COUNTIFS($C:$C,$C362,$D:$D,$D362,$E:$E,"기준(전)",$M:$M,"&gt;0")&lt;&gt;1,"기준(전) 유효 1개 아님",IF(COUNTIFS($C:$C,$C362,$D:$D,$D362,$E:$E,"기준(후)",$M:$M,"&gt;0")&lt;&gt;1,"기준(후) 유효 1개 아님",IF(NOT(AND(ISNUMBER(O362),ISNUMBER(Q362),ISNUMBER(I362))),"시각 결측",IF(Q362&lt;=O362,"기준 시각 역전",IF(OR(I362&lt;O362,I362&gt;Q362),"측정시각 구간 밖","OK")))))</f>
        <v/>
      </c>
      <c r="O362" s="48">
        <f>IF(COUNTIFS($C:$C,$C362,$D:$D,$D362,$E:$E,"기준(전)",$M:$M,"&gt;0")&lt;&gt;1,"",SUMIFS($I:$I,$C:$C,$C362,$D:$D,$D362,$E:$E,"기준(전)"))</f>
        <v/>
      </c>
      <c r="P362" s="31">
        <f>IF(COUNTIFS($C:$C,$C362,$D:$D,$D362,$E:$E,"기준(전)",$M:$M,"&gt;0")&lt;&gt;1,"",SUMIFS($M:$M,$C:$C,$C362,$D:$D,$D362,$E:$E,"기준(전)"))</f>
        <v/>
      </c>
      <c r="Q362" s="48">
        <f>IF(COUNTIFS($C:$C,$C362,$D:$D,$D362,$E:$E,"기준(후)",$M:$M,"&gt;0")&lt;&gt;1,"",SUMIFS($I:$I,$C:$C,$C362,$D:$D,$D362,$E:$E,"기준(후)"))</f>
        <v/>
      </c>
      <c r="R362" s="31">
        <f>IF(COUNTIFS($C:$C,$C362,$D:$D,$D362,$E:$E,"기준(후)",$M:$M,"&gt;0")&lt;&gt;1,"",SUMIFS($M:$M,$C:$C,$C362,$D:$D,$D362,$E:$E,"기준(후)"))</f>
        <v/>
      </c>
      <c r="S362" s="31">
        <f>IF(N362&lt;&gt;"OK","",P362+(R362-P362)*(I362-O362)/(Q362-O362))</f>
        <v/>
      </c>
      <c r="T362" s="31">
        <f>IF(OR(N362&lt;&gt;"OK",NOT(ISNUMBER(M362))),"",M362-S362)</f>
        <v/>
      </c>
      <c r="U362" s="49">
        <f>IF(OR($E361&lt;&gt;"측정",$C361&lt;&gt;$C362,$D361&lt;&gt;$D362,NOT(ISNUMBER(M362)),NOT(ISNUMBER(M361)),(IF(ISNUMBER(G362),G362,F362)-IF(ISNUMBER(G361),G361,F361))=0),"",(M362-M361)/((IF(ISNUMBER(G362),G362,F362)-IF(ISNUMBER(G361),G361,F361))/100))</f>
        <v/>
      </c>
      <c r="V362" s="29" t="n"/>
      <c r="W362" s="29" t="n"/>
      <c r="X362" s="32" t="n"/>
    </row>
    <row r="363">
      <c r="A363" s="26" t="inlineStr">
        <is>
          <t>S30</t>
        </is>
      </c>
      <c r="B363" s="26" t="inlineStr">
        <is>
          <t>창녕 신규점</t>
        </is>
      </c>
      <c r="C363" s="26" t="inlineStr">
        <is>
          <t>S30-V</t>
        </is>
      </c>
      <c r="D363" s="47" t="n">
        <v>1</v>
      </c>
      <c r="E363" s="26" t="inlineStr">
        <is>
          <t>측정</t>
        </is>
      </c>
      <c r="F363" s="47" t="n">
        <v>180</v>
      </c>
      <c r="G363" s="41" t="n"/>
      <c r="H363" s="29" t="n"/>
      <c r="I363" s="43" t="n"/>
      <c r="J363" s="41" t="n"/>
      <c r="K363" s="41" t="n"/>
      <c r="L363" s="41" t="n"/>
      <c r="M363" s="31">
        <f>IF(COUNT(J363:L363)=0,"",MEDIAN(J363:L363))</f>
        <v/>
      </c>
      <c r="N363" s="26">
        <f>IF(COUNTIFS($C:$C,$C363,$D:$D,$D363,$E:$E,"기준(전)",$M:$M,"&gt;0")&lt;&gt;1,"기준(전) 유효 1개 아님",IF(COUNTIFS($C:$C,$C363,$D:$D,$D363,$E:$E,"기준(후)",$M:$M,"&gt;0")&lt;&gt;1,"기준(후) 유효 1개 아님",IF(NOT(AND(ISNUMBER(O363),ISNUMBER(Q363),ISNUMBER(I363))),"시각 결측",IF(Q363&lt;=O363,"기준 시각 역전",IF(OR(I363&lt;O363,I363&gt;Q363),"측정시각 구간 밖","OK")))))</f>
        <v/>
      </c>
      <c r="O363" s="48">
        <f>IF(COUNTIFS($C:$C,$C363,$D:$D,$D363,$E:$E,"기준(전)",$M:$M,"&gt;0")&lt;&gt;1,"",SUMIFS($I:$I,$C:$C,$C363,$D:$D,$D363,$E:$E,"기준(전)"))</f>
        <v/>
      </c>
      <c r="P363" s="31">
        <f>IF(COUNTIFS($C:$C,$C363,$D:$D,$D363,$E:$E,"기준(전)",$M:$M,"&gt;0")&lt;&gt;1,"",SUMIFS($M:$M,$C:$C,$C363,$D:$D,$D363,$E:$E,"기준(전)"))</f>
        <v/>
      </c>
      <c r="Q363" s="48">
        <f>IF(COUNTIFS($C:$C,$C363,$D:$D,$D363,$E:$E,"기준(후)",$M:$M,"&gt;0")&lt;&gt;1,"",SUMIFS($I:$I,$C:$C,$C363,$D:$D,$D363,$E:$E,"기준(후)"))</f>
        <v/>
      </c>
      <c r="R363" s="31">
        <f>IF(COUNTIFS($C:$C,$C363,$D:$D,$D363,$E:$E,"기준(후)",$M:$M,"&gt;0")&lt;&gt;1,"",SUMIFS($M:$M,$C:$C,$C363,$D:$D,$D363,$E:$E,"기준(후)"))</f>
        <v/>
      </c>
      <c r="S363" s="31">
        <f>IF(N363&lt;&gt;"OK","",P363+(R363-P363)*(I363-O363)/(Q363-O363))</f>
        <v/>
      </c>
      <c r="T363" s="31">
        <f>IF(OR(N363&lt;&gt;"OK",NOT(ISNUMBER(M363))),"",M363-S363)</f>
        <v/>
      </c>
      <c r="U363" s="49">
        <f>IF(OR($E362&lt;&gt;"측정",$C362&lt;&gt;$C363,$D362&lt;&gt;$D363,NOT(ISNUMBER(M363)),NOT(ISNUMBER(M362)),(IF(ISNUMBER(G363),G363,F363)-IF(ISNUMBER(G362),G362,F362))=0),"",(M363-M362)/((IF(ISNUMBER(G363),G363,F363)-IF(ISNUMBER(G362),G362,F362))/100))</f>
        <v/>
      </c>
      <c r="V363" s="29" t="n"/>
      <c r="W363" s="29" t="n"/>
      <c r="X363" s="32" t="n"/>
    </row>
    <row r="364">
      <c r="A364" s="26" t="inlineStr">
        <is>
          <t>S30</t>
        </is>
      </c>
      <c r="B364" s="26" t="inlineStr">
        <is>
          <t>창녕 신규점</t>
        </is>
      </c>
      <c r="C364" s="26" t="inlineStr">
        <is>
          <t>S30-V</t>
        </is>
      </c>
      <c r="D364" s="47" t="n">
        <v>1</v>
      </c>
      <c r="E364" s="26" t="inlineStr">
        <is>
          <t>측정</t>
        </is>
      </c>
      <c r="F364" s="47" t="n">
        <v>200</v>
      </c>
      <c r="G364" s="41" t="n"/>
      <c r="H364" s="29" t="n"/>
      <c r="I364" s="43" t="n"/>
      <c r="J364" s="41" t="n"/>
      <c r="K364" s="41" t="n"/>
      <c r="L364" s="41" t="n"/>
      <c r="M364" s="31">
        <f>IF(COUNT(J364:L364)=0,"",MEDIAN(J364:L364))</f>
        <v/>
      </c>
      <c r="N364" s="26">
        <f>IF(COUNTIFS($C:$C,$C364,$D:$D,$D364,$E:$E,"기준(전)",$M:$M,"&gt;0")&lt;&gt;1,"기준(전) 유효 1개 아님",IF(COUNTIFS($C:$C,$C364,$D:$D,$D364,$E:$E,"기준(후)",$M:$M,"&gt;0")&lt;&gt;1,"기준(후) 유효 1개 아님",IF(NOT(AND(ISNUMBER(O364),ISNUMBER(Q364),ISNUMBER(I364))),"시각 결측",IF(Q364&lt;=O364,"기준 시각 역전",IF(OR(I364&lt;O364,I364&gt;Q364),"측정시각 구간 밖","OK")))))</f>
        <v/>
      </c>
      <c r="O364" s="48">
        <f>IF(COUNTIFS($C:$C,$C364,$D:$D,$D364,$E:$E,"기준(전)",$M:$M,"&gt;0")&lt;&gt;1,"",SUMIFS($I:$I,$C:$C,$C364,$D:$D,$D364,$E:$E,"기준(전)"))</f>
        <v/>
      </c>
      <c r="P364" s="31">
        <f>IF(COUNTIFS($C:$C,$C364,$D:$D,$D364,$E:$E,"기준(전)",$M:$M,"&gt;0")&lt;&gt;1,"",SUMIFS($M:$M,$C:$C,$C364,$D:$D,$D364,$E:$E,"기준(전)"))</f>
        <v/>
      </c>
      <c r="Q364" s="48">
        <f>IF(COUNTIFS($C:$C,$C364,$D:$D,$D364,$E:$E,"기준(후)",$M:$M,"&gt;0")&lt;&gt;1,"",SUMIFS($I:$I,$C:$C,$C364,$D:$D,$D364,$E:$E,"기준(후)"))</f>
        <v/>
      </c>
      <c r="R364" s="31">
        <f>IF(COUNTIFS($C:$C,$C364,$D:$D,$D364,$E:$E,"기준(후)",$M:$M,"&gt;0")&lt;&gt;1,"",SUMIFS($M:$M,$C:$C,$C364,$D:$D,$D364,$E:$E,"기준(후)"))</f>
        <v/>
      </c>
      <c r="S364" s="31">
        <f>IF(N364&lt;&gt;"OK","",P364+(R364-P364)*(I364-O364)/(Q364-O364))</f>
        <v/>
      </c>
      <c r="T364" s="31">
        <f>IF(OR(N364&lt;&gt;"OK",NOT(ISNUMBER(M364))),"",M364-S364)</f>
        <v/>
      </c>
      <c r="U364" s="49">
        <f>IF(OR($E363&lt;&gt;"측정",$C363&lt;&gt;$C364,$D363&lt;&gt;$D364,NOT(ISNUMBER(M364)),NOT(ISNUMBER(M363)),(IF(ISNUMBER(G364),G364,F364)-IF(ISNUMBER(G363),G363,F363))=0),"",(M364-M363)/((IF(ISNUMBER(G364),G364,F364)-IF(ISNUMBER(G363),G363,F363))/100))</f>
        <v/>
      </c>
      <c r="V364" s="29" t="n"/>
      <c r="W364" s="29" t="n"/>
      <c r="X364" s="32" t="n"/>
    </row>
    <row r="365">
      <c r="A365" s="44" t="inlineStr">
        <is>
          <t>S30</t>
        </is>
      </c>
      <c r="B365" s="44" t="inlineStr">
        <is>
          <t>창녕 신규점</t>
        </is>
      </c>
      <c r="C365" s="44" t="inlineStr">
        <is>
          <t>S30-V</t>
        </is>
      </c>
      <c r="D365" s="45" t="n">
        <v>1</v>
      </c>
      <c r="E365" s="44" t="inlineStr">
        <is>
          <t>기준(후)</t>
        </is>
      </c>
      <c r="F365" s="45" t="n"/>
      <c r="G365" s="41" t="n"/>
      <c r="H365" s="29" t="n"/>
      <c r="I365" s="43" t="n"/>
      <c r="J365" s="41" t="n"/>
      <c r="K365" s="41" t="n"/>
      <c r="L365" s="41" t="n"/>
      <c r="M365" s="31">
        <f>IF(COUNT(J365:L365)=0,"",MEDIAN(J365:L365))</f>
        <v/>
      </c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29" t="n"/>
      <c r="W365" s="29" t="n"/>
      <c r="X365" s="32" t="n"/>
    </row>
    <row r="366">
      <c r="A366" s="44" t="inlineStr">
        <is>
          <t>S31</t>
        </is>
      </c>
      <c r="B366" s="44" t="inlineStr">
        <is>
          <t>언양 신규점3</t>
        </is>
      </c>
      <c r="C366" s="44" t="inlineStr">
        <is>
          <t>S31-V</t>
        </is>
      </c>
      <c r="D366" s="45" t="n">
        <v>1</v>
      </c>
      <c r="E366" s="44" t="inlineStr">
        <is>
          <t>기준(전)</t>
        </is>
      </c>
      <c r="F366" s="45" t="n"/>
      <c r="G366" s="41" t="n"/>
      <c r="H366" s="29" t="n"/>
      <c r="I366" s="43" t="n"/>
      <c r="J366" s="41" t="n"/>
      <c r="K366" s="41" t="n"/>
      <c r="L366" s="41" t="n"/>
      <c r="M366" s="31">
        <f>IF(COUNT(J366:L366)=0,"",MEDIAN(J366:L366))</f>
        <v/>
      </c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29" t="n"/>
      <c r="W366" s="29" t="n"/>
      <c r="X366" s="32" t="n"/>
    </row>
    <row r="367">
      <c r="A367" s="26" t="inlineStr">
        <is>
          <t>S31</t>
        </is>
      </c>
      <c r="B367" s="26" t="inlineStr">
        <is>
          <t>언양 신규점3</t>
        </is>
      </c>
      <c r="C367" s="26" t="inlineStr">
        <is>
          <t>S31-V</t>
        </is>
      </c>
      <c r="D367" s="47" t="n">
        <v>1</v>
      </c>
      <c r="E367" s="26" t="inlineStr">
        <is>
          <t>측정</t>
        </is>
      </c>
      <c r="F367" s="47" t="n">
        <v>20</v>
      </c>
      <c r="G367" s="41" t="n"/>
      <c r="H367" s="29" t="n"/>
      <c r="I367" s="43" t="n"/>
      <c r="J367" s="41" t="n"/>
      <c r="K367" s="41" t="n"/>
      <c r="L367" s="41" t="n"/>
      <c r="M367" s="31">
        <f>IF(COUNT(J367:L367)=0,"",MEDIAN(J367:L367))</f>
        <v/>
      </c>
      <c r="N367" s="26">
        <f>IF(COUNTIFS($C:$C,$C367,$D:$D,$D367,$E:$E,"기준(전)",$M:$M,"&gt;0")&lt;&gt;1,"기준(전) 유효 1개 아님",IF(COUNTIFS($C:$C,$C367,$D:$D,$D367,$E:$E,"기준(후)",$M:$M,"&gt;0")&lt;&gt;1,"기준(후) 유효 1개 아님",IF(NOT(AND(ISNUMBER(O367),ISNUMBER(Q367),ISNUMBER(I367))),"시각 결측",IF(Q367&lt;=O367,"기준 시각 역전",IF(OR(I367&lt;O367,I367&gt;Q367),"측정시각 구간 밖","OK")))))</f>
        <v/>
      </c>
      <c r="O367" s="48">
        <f>IF(COUNTIFS($C:$C,$C367,$D:$D,$D367,$E:$E,"기준(전)",$M:$M,"&gt;0")&lt;&gt;1,"",SUMIFS($I:$I,$C:$C,$C367,$D:$D,$D367,$E:$E,"기준(전)"))</f>
        <v/>
      </c>
      <c r="P367" s="31">
        <f>IF(COUNTIFS($C:$C,$C367,$D:$D,$D367,$E:$E,"기준(전)",$M:$M,"&gt;0")&lt;&gt;1,"",SUMIFS($M:$M,$C:$C,$C367,$D:$D,$D367,$E:$E,"기준(전)"))</f>
        <v/>
      </c>
      <c r="Q367" s="48">
        <f>IF(COUNTIFS($C:$C,$C367,$D:$D,$D367,$E:$E,"기준(후)",$M:$M,"&gt;0")&lt;&gt;1,"",SUMIFS($I:$I,$C:$C,$C367,$D:$D,$D367,$E:$E,"기준(후)"))</f>
        <v/>
      </c>
      <c r="R367" s="31">
        <f>IF(COUNTIFS($C:$C,$C367,$D:$D,$D367,$E:$E,"기준(후)",$M:$M,"&gt;0")&lt;&gt;1,"",SUMIFS($M:$M,$C:$C,$C367,$D:$D,$D367,$E:$E,"기준(후)"))</f>
        <v/>
      </c>
      <c r="S367" s="31">
        <f>IF(N367&lt;&gt;"OK","",P367+(R367-P367)*(I367-O367)/(Q367-O367))</f>
        <v/>
      </c>
      <c r="T367" s="31">
        <f>IF(OR(N367&lt;&gt;"OK",NOT(ISNUMBER(M367))),"",M367-S367)</f>
        <v/>
      </c>
      <c r="U367" s="49">
        <f>IF(OR($E366&lt;&gt;"측정",$C366&lt;&gt;$C367,$D366&lt;&gt;$D367,NOT(ISNUMBER(M367)),NOT(ISNUMBER(M366)),(IF(ISNUMBER(G367),G367,F367)-IF(ISNUMBER(G366),G366,F366))=0),"",(M367-M366)/((IF(ISNUMBER(G367),G367,F367)-IF(ISNUMBER(G366),G366,F366))/100))</f>
        <v/>
      </c>
      <c r="V367" s="29" t="n"/>
      <c r="W367" s="29" t="n"/>
      <c r="X367" s="32" t="n"/>
    </row>
    <row r="368">
      <c r="A368" s="26" t="inlineStr">
        <is>
          <t>S31</t>
        </is>
      </c>
      <c r="B368" s="26" t="inlineStr">
        <is>
          <t>언양 신규점3</t>
        </is>
      </c>
      <c r="C368" s="26" t="inlineStr">
        <is>
          <t>S31-V</t>
        </is>
      </c>
      <c r="D368" s="47" t="n">
        <v>1</v>
      </c>
      <c r="E368" s="26" t="inlineStr">
        <is>
          <t>측정</t>
        </is>
      </c>
      <c r="F368" s="47" t="n">
        <v>40</v>
      </c>
      <c r="G368" s="41" t="n"/>
      <c r="H368" s="29" t="n"/>
      <c r="I368" s="43" t="n"/>
      <c r="J368" s="41" t="n"/>
      <c r="K368" s="41" t="n"/>
      <c r="L368" s="41" t="n"/>
      <c r="M368" s="31">
        <f>IF(COUNT(J368:L368)=0,"",MEDIAN(J368:L368))</f>
        <v/>
      </c>
      <c r="N368" s="26">
        <f>IF(COUNTIFS($C:$C,$C368,$D:$D,$D368,$E:$E,"기준(전)",$M:$M,"&gt;0")&lt;&gt;1,"기준(전) 유효 1개 아님",IF(COUNTIFS($C:$C,$C368,$D:$D,$D368,$E:$E,"기준(후)",$M:$M,"&gt;0")&lt;&gt;1,"기준(후) 유효 1개 아님",IF(NOT(AND(ISNUMBER(O368),ISNUMBER(Q368),ISNUMBER(I368))),"시각 결측",IF(Q368&lt;=O368,"기준 시각 역전",IF(OR(I368&lt;O368,I368&gt;Q368),"측정시각 구간 밖","OK")))))</f>
        <v/>
      </c>
      <c r="O368" s="48">
        <f>IF(COUNTIFS($C:$C,$C368,$D:$D,$D368,$E:$E,"기준(전)",$M:$M,"&gt;0")&lt;&gt;1,"",SUMIFS($I:$I,$C:$C,$C368,$D:$D,$D368,$E:$E,"기준(전)"))</f>
        <v/>
      </c>
      <c r="P368" s="31">
        <f>IF(COUNTIFS($C:$C,$C368,$D:$D,$D368,$E:$E,"기준(전)",$M:$M,"&gt;0")&lt;&gt;1,"",SUMIFS($M:$M,$C:$C,$C368,$D:$D,$D368,$E:$E,"기준(전)"))</f>
        <v/>
      </c>
      <c r="Q368" s="48">
        <f>IF(COUNTIFS($C:$C,$C368,$D:$D,$D368,$E:$E,"기준(후)",$M:$M,"&gt;0")&lt;&gt;1,"",SUMIFS($I:$I,$C:$C,$C368,$D:$D,$D368,$E:$E,"기준(후)"))</f>
        <v/>
      </c>
      <c r="R368" s="31">
        <f>IF(COUNTIFS($C:$C,$C368,$D:$D,$D368,$E:$E,"기준(후)",$M:$M,"&gt;0")&lt;&gt;1,"",SUMIFS($M:$M,$C:$C,$C368,$D:$D,$D368,$E:$E,"기준(후)"))</f>
        <v/>
      </c>
      <c r="S368" s="31">
        <f>IF(N368&lt;&gt;"OK","",P368+(R368-P368)*(I368-O368)/(Q368-O368))</f>
        <v/>
      </c>
      <c r="T368" s="31">
        <f>IF(OR(N368&lt;&gt;"OK",NOT(ISNUMBER(M368))),"",M368-S368)</f>
        <v/>
      </c>
      <c r="U368" s="49">
        <f>IF(OR($E367&lt;&gt;"측정",$C367&lt;&gt;$C368,$D367&lt;&gt;$D368,NOT(ISNUMBER(M368)),NOT(ISNUMBER(M367)),(IF(ISNUMBER(G368),G368,F368)-IF(ISNUMBER(G367),G367,F367))=0),"",(M368-M367)/((IF(ISNUMBER(G368),G368,F368)-IF(ISNUMBER(G367),G367,F367))/100))</f>
        <v/>
      </c>
      <c r="V368" s="29" t="n"/>
      <c r="W368" s="29" t="n"/>
      <c r="X368" s="32" t="n"/>
    </row>
    <row r="369">
      <c r="A369" s="26" t="inlineStr">
        <is>
          <t>S31</t>
        </is>
      </c>
      <c r="B369" s="26" t="inlineStr">
        <is>
          <t>언양 신규점3</t>
        </is>
      </c>
      <c r="C369" s="26" t="inlineStr">
        <is>
          <t>S31-V</t>
        </is>
      </c>
      <c r="D369" s="47" t="n">
        <v>1</v>
      </c>
      <c r="E369" s="26" t="inlineStr">
        <is>
          <t>측정</t>
        </is>
      </c>
      <c r="F369" s="47" t="n">
        <v>60</v>
      </c>
      <c r="G369" s="41" t="n"/>
      <c r="H369" s="29" t="n"/>
      <c r="I369" s="43" t="n"/>
      <c r="J369" s="41" t="n"/>
      <c r="K369" s="41" t="n"/>
      <c r="L369" s="41" t="n"/>
      <c r="M369" s="31">
        <f>IF(COUNT(J369:L369)=0,"",MEDIAN(J369:L369))</f>
        <v/>
      </c>
      <c r="N369" s="26">
        <f>IF(COUNTIFS($C:$C,$C369,$D:$D,$D369,$E:$E,"기준(전)",$M:$M,"&gt;0")&lt;&gt;1,"기준(전) 유효 1개 아님",IF(COUNTIFS($C:$C,$C369,$D:$D,$D369,$E:$E,"기준(후)",$M:$M,"&gt;0")&lt;&gt;1,"기준(후) 유효 1개 아님",IF(NOT(AND(ISNUMBER(O369),ISNUMBER(Q369),ISNUMBER(I369))),"시각 결측",IF(Q369&lt;=O369,"기준 시각 역전",IF(OR(I369&lt;O369,I369&gt;Q369),"측정시각 구간 밖","OK")))))</f>
        <v/>
      </c>
      <c r="O369" s="48">
        <f>IF(COUNTIFS($C:$C,$C369,$D:$D,$D369,$E:$E,"기준(전)",$M:$M,"&gt;0")&lt;&gt;1,"",SUMIFS($I:$I,$C:$C,$C369,$D:$D,$D369,$E:$E,"기준(전)"))</f>
        <v/>
      </c>
      <c r="P369" s="31">
        <f>IF(COUNTIFS($C:$C,$C369,$D:$D,$D369,$E:$E,"기준(전)",$M:$M,"&gt;0")&lt;&gt;1,"",SUMIFS($M:$M,$C:$C,$C369,$D:$D,$D369,$E:$E,"기준(전)"))</f>
        <v/>
      </c>
      <c r="Q369" s="48">
        <f>IF(COUNTIFS($C:$C,$C369,$D:$D,$D369,$E:$E,"기준(후)",$M:$M,"&gt;0")&lt;&gt;1,"",SUMIFS($I:$I,$C:$C,$C369,$D:$D,$D369,$E:$E,"기준(후)"))</f>
        <v/>
      </c>
      <c r="R369" s="31">
        <f>IF(COUNTIFS($C:$C,$C369,$D:$D,$D369,$E:$E,"기준(후)",$M:$M,"&gt;0")&lt;&gt;1,"",SUMIFS($M:$M,$C:$C,$C369,$D:$D,$D369,$E:$E,"기준(후)"))</f>
        <v/>
      </c>
      <c r="S369" s="31">
        <f>IF(N369&lt;&gt;"OK","",P369+(R369-P369)*(I369-O369)/(Q369-O369))</f>
        <v/>
      </c>
      <c r="T369" s="31">
        <f>IF(OR(N369&lt;&gt;"OK",NOT(ISNUMBER(M369))),"",M369-S369)</f>
        <v/>
      </c>
      <c r="U369" s="49">
        <f>IF(OR($E368&lt;&gt;"측정",$C368&lt;&gt;$C369,$D368&lt;&gt;$D369,NOT(ISNUMBER(M369)),NOT(ISNUMBER(M368)),(IF(ISNUMBER(G369),G369,F369)-IF(ISNUMBER(G368),G368,F368))=0),"",(M369-M368)/((IF(ISNUMBER(G369),G369,F369)-IF(ISNUMBER(G368),G368,F368))/100))</f>
        <v/>
      </c>
      <c r="V369" s="29" t="n"/>
      <c r="W369" s="29" t="n"/>
      <c r="X369" s="32" t="n"/>
    </row>
    <row r="370">
      <c r="A370" s="26" t="inlineStr">
        <is>
          <t>S31</t>
        </is>
      </c>
      <c r="B370" s="26" t="inlineStr">
        <is>
          <t>언양 신규점3</t>
        </is>
      </c>
      <c r="C370" s="26" t="inlineStr">
        <is>
          <t>S31-V</t>
        </is>
      </c>
      <c r="D370" s="47" t="n">
        <v>1</v>
      </c>
      <c r="E370" s="26" t="inlineStr">
        <is>
          <t>측정</t>
        </is>
      </c>
      <c r="F370" s="47" t="n">
        <v>80</v>
      </c>
      <c r="G370" s="41" t="n"/>
      <c r="H370" s="29" t="n"/>
      <c r="I370" s="43" t="n"/>
      <c r="J370" s="41" t="n"/>
      <c r="K370" s="41" t="n"/>
      <c r="L370" s="41" t="n"/>
      <c r="M370" s="31">
        <f>IF(COUNT(J370:L370)=0,"",MEDIAN(J370:L370))</f>
        <v/>
      </c>
      <c r="N370" s="26">
        <f>IF(COUNTIFS($C:$C,$C370,$D:$D,$D370,$E:$E,"기준(전)",$M:$M,"&gt;0")&lt;&gt;1,"기준(전) 유효 1개 아님",IF(COUNTIFS($C:$C,$C370,$D:$D,$D370,$E:$E,"기준(후)",$M:$M,"&gt;0")&lt;&gt;1,"기준(후) 유효 1개 아님",IF(NOT(AND(ISNUMBER(O370),ISNUMBER(Q370),ISNUMBER(I370))),"시각 결측",IF(Q370&lt;=O370,"기준 시각 역전",IF(OR(I370&lt;O370,I370&gt;Q370),"측정시각 구간 밖","OK")))))</f>
        <v/>
      </c>
      <c r="O370" s="48">
        <f>IF(COUNTIFS($C:$C,$C370,$D:$D,$D370,$E:$E,"기준(전)",$M:$M,"&gt;0")&lt;&gt;1,"",SUMIFS($I:$I,$C:$C,$C370,$D:$D,$D370,$E:$E,"기준(전)"))</f>
        <v/>
      </c>
      <c r="P370" s="31">
        <f>IF(COUNTIFS($C:$C,$C370,$D:$D,$D370,$E:$E,"기준(전)",$M:$M,"&gt;0")&lt;&gt;1,"",SUMIFS($M:$M,$C:$C,$C370,$D:$D,$D370,$E:$E,"기준(전)"))</f>
        <v/>
      </c>
      <c r="Q370" s="48">
        <f>IF(COUNTIFS($C:$C,$C370,$D:$D,$D370,$E:$E,"기준(후)",$M:$M,"&gt;0")&lt;&gt;1,"",SUMIFS($I:$I,$C:$C,$C370,$D:$D,$D370,$E:$E,"기준(후)"))</f>
        <v/>
      </c>
      <c r="R370" s="31">
        <f>IF(COUNTIFS($C:$C,$C370,$D:$D,$D370,$E:$E,"기준(후)",$M:$M,"&gt;0")&lt;&gt;1,"",SUMIFS($M:$M,$C:$C,$C370,$D:$D,$D370,$E:$E,"기준(후)"))</f>
        <v/>
      </c>
      <c r="S370" s="31">
        <f>IF(N370&lt;&gt;"OK","",P370+(R370-P370)*(I370-O370)/(Q370-O370))</f>
        <v/>
      </c>
      <c r="T370" s="31">
        <f>IF(OR(N370&lt;&gt;"OK",NOT(ISNUMBER(M370))),"",M370-S370)</f>
        <v/>
      </c>
      <c r="U370" s="49">
        <f>IF(OR($E369&lt;&gt;"측정",$C369&lt;&gt;$C370,$D369&lt;&gt;$D370,NOT(ISNUMBER(M370)),NOT(ISNUMBER(M369)),(IF(ISNUMBER(G370),G370,F370)-IF(ISNUMBER(G369),G369,F369))=0),"",(M370-M369)/((IF(ISNUMBER(G370),G370,F370)-IF(ISNUMBER(G369),G369,F369))/100))</f>
        <v/>
      </c>
      <c r="V370" s="29" t="n"/>
      <c r="W370" s="29" t="n"/>
      <c r="X370" s="32" t="n"/>
    </row>
    <row r="371">
      <c r="A371" s="26" t="inlineStr">
        <is>
          <t>S31</t>
        </is>
      </c>
      <c r="B371" s="26" t="inlineStr">
        <is>
          <t>언양 신규점3</t>
        </is>
      </c>
      <c r="C371" s="26" t="inlineStr">
        <is>
          <t>S31-V</t>
        </is>
      </c>
      <c r="D371" s="47" t="n">
        <v>1</v>
      </c>
      <c r="E371" s="26" t="inlineStr">
        <is>
          <t>측정</t>
        </is>
      </c>
      <c r="F371" s="47" t="n">
        <v>100</v>
      </c>
      <c r="G371" s="41" t="n"/>
      <c r="H371" s="29" t="n"/>
      <c r="I371" s="43" t="n"/>
      <c r="J371" s="41" t="n"/>
      <c r="K371" s="41" t="n"/>
      <c r="L371" s="41" t="n"/>
      <c r="M371" s="31">
        <f>IF(COUNT(J371:L371)=0,"",MEDIAN(J371:L371))</f>
        <v/>
      </c>
      <c r="N371" s="26">
        <f>IF(COUNTIFS($C:$C,$C371,$D:$D,$D371,$E:$E,"기준(전)",$M:$M,"&gt;0")&lt;&gt;1,"기준(전) 유효 1개 아님",IF(COUNTIFS($C:$C,$C371,$D:$D,$D371,$E:$E,"기준(후)",$M:$M,"&gt;0")&lt;&gt;1,"기준(후) 유효 1개 아님",IF(NOT(AND(ISNUMBER(O371),ISNUMBER(Q371),ISNUMBER(I371))),"시각 결측",IF(Q371&lt;=O371,"기준 시각 역전",IF(OR(I371&lt;O371,I371&gt;Q371),"측정시각 구간 밖","OK")))))</f>
        <v/>
      </c>
      <c r="O371" s="48">
        <f>IF(COUNTIFS($C:$C,$C371,$D:$D,$D371,$E:$E,"기준(전)",$M:$M,"&gt;0")&lt;&gt;1,"",SUMIFS($I:$I,$C:$C,$C371,$D:$D,$D371,$E:$E,"기준(전)"))</f>
        <v/>
      </c>
      <c r="P371" s="31">
        <f>IF(COUNTIFS($C:$C,$C371,$D:$D,$D371,$E:$E,"기준(전)",$M:$M,"&gt;0")&lt;&gt;1,"",SUMIFS($M:$M,$C:$C,$C371,$D:$D,$D371,$E:$E,"기준(전)"))</f>
        <v/>
      </c>
      <c r="Q371" s="48">
        <f>IF(COUNTIFS($C:$C,$C371,$D:$D,$D371,$E:$E,"기준(후)",$M:$M,"&gt;0")&lt;&gt;1,"",SUMIFS($I:$I,$C:$C,$C371,$D:$D,$D371,$E:$E,"기준(후)"))</f>
        <v/>
      </c>
      <c r="R371" s="31">
        <f>IF(COUNTIFS($C:$C,$C371,$D:$D,$D371,$E:$E,"기준(후)",$M:$M,"&gt;0")&lt;&gt;1,"",SUMIFS($M:$M,$C:$C,$C371,$D:$D,$D371,$E:$E,"기준(후)"))</f>
        <v/>
      </c>
      <c r="S371" s="31">
        <f>IF(N371&lt;&gt;"OK","",P371+(R371-P371)*(I371-O371)/(Q371-O371))</f>
        <v/>
      </c>
      <c r="T371" s="31">
        <f>IF(OR(N371&lt;&gt;"OK",NOT(ISNUMBER(M371))),"",M371-S371)</f>
        <v/>
      </c>
      <c r="U371" s="49">
        <f>IF(OR($E370&lt;&gt;"측정",$C370&lt;&gt;$C371,$D370&lt;&gt;$D371,NOT(ISNUMBER(M371)),NOT(ISNUMBER(M370)),(IF(ISNUMBER(G371),G371,F371)-IF(ISNUMBER(G370),G370,F370))=0),"",(M371-M370)/((IF(ISNUMBER(G371),G371,F371)-IF(ISNUMBER(G370),G370,F370))/100))</f>
        <v/>
      </c>
      <c r="V371" s="29" t="n"/>
      <c r="W371" s="29" t="n"/>
      <c r="X371" s="32" t="n"/>
    </row>
    <row r="372">
      <c r="A372" s="26" t="inlineStr">
        <is>
          <t>S31</t>
        </is>
      </c>
      <c r="B372" s="26" t="inlineStr">
        <is>
          <t>언양 신규점3</t>
        </is>
      </c>
      <c r="C372" s="26" t="inlineStr">
        <is>
          <t>S31-V</t>
        </is>
      </c>
      <c r="D372" s="47" t="n">
        <v>1</v>
      </c>
      <c r="E372" s="26" t="inlineStr">
        <is>
          <t>측정</t>
        </is>
      </c>
      <c r="F372" s="47" t="n">
        <v>120</v>
      </c>
      <c r="G372" s="41" t="n"/>
      <c r="H372" s="29" t="n"/>
      <c r="I372" s="43" t="n"/>
      <c r="J372" s="41" t="n"/>
      <c r="K372" s="41" t="n"/>
      <c r="L372" s="41" t="n"/>
      <c r="M372" s="31">
        <f>IF(COUNT(J372:L372)=0,"",MEDIAN(J372:L372))</f>
        <v/>
      </c>
      <c r="N372" s="26">
        <f>IF(COUNTIFS($C:$C,$C372,$D:$D,$D372,$E:$E,"기준(전)",$M:$M,"&gt;0")&lt;&gt;1,"기준(전) 유효 1개 아님",IF(COUNTIFS($C:$C,$C372,$D:$D,$D372,$E:$E,"기준(후)",$M:$M,"&gt;0")&lt;&gt;1,"기준(후) 유효 1개 아님",IF(NOT(AND(ISNUMBER(O372),ISNUMBER(Q372),ISNUMBER(I372))),"시각 결측",IF(Q372&lt;=O372,"기준 시각 역전",IF(OR(I372&lt;O372,I372&gt;Q372),"측정시각 구간 밖","OK")))))</f>
        <v/>
      </c>
      <c r="O372" s="48">
        <f>IF(COUNTIFS($C:$C,$C372,$D:$D,$D372,$E:$E,"기준(전)",$M:$M,"&gt;0")&lt;&gt;1,"",SUMIFS($I:$I,$C:$C,$C372,$D:$D,$D372,$E:$E,"기준(전)"))</f>
        <v/>
      </c>
      <c r="P372" s="31">
        <f>IF(COUNTIFS($C:$C,$C372,$D:$D,$D372,$E:$E,"기준(전)",$M:$M,"&gt;0")&lt;&gt;1,"",SUMIFS($M:$M,$C:$C,$C372,$D:$D,$D372,$E:$E,"기준(전)"))</f>
        <v/>
      </c>
      <c r="Q372" s="48">
        <f>IF(COUNTIFS($C:$C,$C372,$D:$D,$D372,$E:$E,"기준(후)",$M:$M,"&gt;0")&lt;&gt;1,"",SUMIFS($I:$I,$C:$C,$C372,$D:$D,$D372,$E:$E,"기준(후)"))</f>
        <v/>
      </c>
      <c r="R372" s="31">
        <f>IF(COUNTIFS($C:$C,$C372,$D:$D,$D372,$E:$E,"기준(후)",$M:$M,"&gt;0")&lt;&gt;1,"",SUMIFS($M:$M,$C:$C,$C372,$D:$D,$D372,$E:$E,"기준(후)"))</f>
        <v/>
      </c>
      <c r="S372" s="31">
        <f>IF(N372&lt;&gt;"OK","",P372+(R372-P372)*(I372-O372)/(Q372-O372))</f>
        <v/>
      </c>
      <c r="T372" s="31">
        <f>IF(OR(N372&lt;&gt;"OK",NOT(ISNUMBER(M372))),"",M372-S372)</f>
        <v/>
      </c>
      <c r="U372" s="49">
        <f>IF(OR($E371&lt;&gt;"측정",$C371&lt;&gt;$C372,$D371&lt;&gt;$D372,NOT(ISNUMBER(M372)),NOT(ISNUMBER(M371)),(IF(ISNUMBER(G372),G372,F372)-IF(ISNUMBER(G371),G371,F371))=0),"",(M372-M371)/((IF(ISNUMBER(G372),G372,F372)-IF(ISNUMBER(G371),G371,F371))/100))</f>
        <v/>
      </c>
      <c r="V372" s="29" t="n"/>
      <c r="W372" s="29" t="n"/>
      <c r="X372" s="32" t="n"/>
    </row>
    <row r="373">
      <c r="A373" s="26" t="inlineStr">
        <is>
          <t>S31</t>
        </is>
      </c>
      <c r="B373" s="26" t="inlineStr">
        <is>
          <t>언양 신규점3</t>
        </is>
      </c>
      <c r="C373" s="26" t="inlineStr">
        <is>
          <t>S31-V</t>
        </is>
      </c>
      <c r="D373" s="47" t="n">
        <v>1</v>
      </c>
      <c r="E373" s="26" t="inlineStr">
        <is>
          <t>측정</t>
        </is>
      </c>
      <c r="F373" s="47" t="n">
        <v>140</v>
      </c>
      <c r="G373" s="41" t="n"/>
      <c r="H373" s="29" t="n"/>
      <c r="I373" s="43" t="n"/>
      <c r="J373" s="41" t="n"/>
      <c r="K373" s="41" t="n"/>
      <c r="L373" s="41" t="n"/>
      <c r="M373" s="31">
        <f>IF(COUNT(J373:L373)=0,"",MEDIAN(J373:L373))</f>
        <v/>
      </c>
      <c r="N373" s="26">
        <f>IF(COUNTIFS($C:$C,$C373,$D:$D,$D373,$E:$E,"기준(전)",$M:$M,"&gt;0")&lt;&gt;1,"기준(전) 유효 1개 아님",IF(COUNTIFS($C:$C,$C373,$D:$D,$D373,$E:$E,"기준(후)",$M:$M,"&gt;0")&lt;&gt;1,"기준(후) 유효 1개 아님",IF(NOT(AND(ISNUMBER(O373),ISNUMBER(Q373),ISNUMBER(I373))),"시각 결측",IF(Q373&lt;=O373,"기준 시각 역전",IF(OR(I373&lt;O373,I373&gt;Q373),"측정시각 구간 밖","OK")))))</f>
        <v/>
      </c>
      <c r="O373" s="48">
        <f>IF(COUNTIFS($C:$C,$C373,$D:$D,$D373,$E:$E,"기준(전)",$M:$M,"&gt;0")&lt;&gt;1,"",SUMIFS($I:$I,$C:$C,$C373,$D:$D,$D373,$E:$E,"기준(전)"))</f>
        <v/>
      </c>
      <c r="P373" s="31">
        <f>IF(COUNTIFS($C:$C,$C373,$D:$D,$D373,$E:$E,"기준(전)",$M:$M,"&gt;0")&lt;&gt;1,"",SUMIFS($M:$M,$C:$C,$C373,$D:$D,$D373,$E:$E,"기준(전)"))</f>
        <v/>
      </c>
      <c r="Q373" s="48">
        <f>IF(COUNTIFS($C:$C,$C373,$D:$D,$D373,$E:$E,"기준(후)",$M:$M,"&gt;0")&lt;&gt;1,"",SUMIFS($I:$I,$C:$C,$C373,$D:$D,$D373,$E:$E,"기준(후)"))</f>
        <v/>
      </c>
      <c r="R373" s="31">
        <f>IF(COUNTIFS($C:$C,$C373,$D:$D,$D373,$E:$E,"기준(후)",$M:$M,"&gt;0")&lt;&gt;1,"",SUMIFS($M:$M,$C:$C,$C373,$D:$D,$D373,$E:$E,"기준(후)"))</f>
        <v/>
      </c>
      <c r="S373" s="31">
        <f>IF(N373&lt;&gt;"OK","",P373+(R373-P373)*(I373-O373)/(Q373-O373))</f>
        <v/>
      </c>
      <c r="T373" s="31">
        <f>IF(OR(N373&lt;&gt;"OK",NOT(ISNUMBER(M373))),"",M373-S373)</f>
        <v/>
      </c>
      <c r="U373" s="49">
        <f>IF(OR($E372&lt;&gt;"측정",$C372&lt;&gt;$C373,$D372&lt;&gt;$D373,NOT(ISNUMBER(M373)),NOT(ISNUMBER(M372)),(IF(ISNUMBER(G373),G373,F373)-IF(ISNUMBER(G372),G372,F372))=0),"",(M373-M372)/((IF(ISNUMBER(G373),G373,F373)-IF(ISNUMBER(G372),G372,F372))/100))</f>
        <v/>
      </c>
      <c r="V373" s="29" t="n"/>
      <c r="W373" s="29" t="n"/>
      <c r="X373" s="32" t="n"/>
    </row>
    <row r="374">
      <c r="A374" s="26" t="inlineStr">
        <is>
          <t>S31</t>
        </is>
      </c>
      <c r="B374" s="26" t="inlineStr">
        <is>
          <t>언양 신규점3</t>
        </is>
      </c>
      <c r="C374" s="26" t="inlineStr">
        <is>
          <t>S31-V</t>
        </is>
      </c>
      <c r="D374" s="47" t="n">
        <v>1</v>
      </c>
      <c r="E374" s="26" t="inlineStr">
        <is>
          <t>측정</t>
        </is>
      </c>
      <c r="F374" s="47" t="n">
        <v>160</v>
      </c>
      <c r="G374" s="41" t="n"/>
      <c r="H374" s="29" t="n"/>
      <c r="I374" s="43" t="n"/>
      <c r="J374" s="41" t="n"/>
      <c r="K374" s="41" t="n"/>
      <c r="L374" s="41" t="n"/>
      <c r="M374" s="31">
        <f>IF(COUNT(J374:L374)=0,"",MEDIAN(J374:L374))</f>
        <v/>
      </c>
      <c r="N374" s="26">
        <f>IF(COUNTIFS($C:$C,$C374,$D:$D,$D374,$E:$E,"기준(전)",$M:$M,"&gt;0")&lt;&gt;1,"기준(전) 유효 1개 아님",IF(COUNTIFS($C:$C,$C374,$D:$D,$D374,$E:$E,"기준(후)",$M:$M,"&gt;0")&lt;&gt;1,"기준(후) 유효 1개 아님",IF(NOT(AND(ISNUMBER(O374),ISNUMBER(Q374),ISNUMBER(I374))),"시각 결측",IF(Q374&lt;=O374,"기준 시각 역전",IF(OR(I374&lt;O374,I374&gt;Q374),"측정시각 구간 밖","OK")))))</f>
        <v/>
      </c>
      <c r="O374" s="48">
        <f>IF(COUNTIFS($C:$C,$C374,$D:$D,$D374,$E:$E,"기준(전)",$M:$M,"&gt;0")&lt;&gt;1,"",SUMIFS($I:$I,$C:$C,$C374,$D:$D,$D374,$E:$E,"기준(전)"))</f>
        <v/>
      </c>
      <c r="P374" s="31">
        <f>IF(COUNTIFS($C:$C,$C374,$D:$D,$D374,$E:$E,"기준(전)",$M:$M,"&gt;0")&lt;&gt;1,"",SUMIFS($M:$M,$C:$C,$C374,$D:$D,$D374,$E:$E,"기준(전)"))</f>
        <v/>
      </c>
      <c r="Q374" s="48">
        <f>IF(COUNTIFS($C:$C,$C374,$D:$D,$D374,$E:$E,"기준(후)",$M:$M,"&gt;0")&lt;&gt;1,"",SUMIFS($I:$I,$C:$C,$C374,$D:$D,$D374,$E:$E,"기준(후)"))</f>
        <v/>
      </c>
      <c r="R374" s="31">
        <f>IF(COUNTIFS($C:$C,$C374,$D:$D,$D374,$E:$E,"기준(후)",$M:$M,"&gt;0")&lt;&gt;1,"",SUMIFS($M:$M,$C:$C,$C374,$D:$D,$D374,$E:$E,"기준(후)"))</f>
        <v/>
      </c>
      <c r="S374" s="31">
        <f>IF(N374&lt;&gt;"OK","",P374+(R374-P374)*(I374-O374)/(Q374-O374))</f>
        <v/>
      </c>
      <c r="T374" s="31">
        <f>IF(OR(N374&lt;&gt;"OK",NOT(ISNUMBER(M374))),"",M374-S374)</f>
        <v/>
      </c>
      <c r="U374" s="49">
        <f>IF(OR($E373&lt;&gt;"측정",$C373&lt;&gt;$C374,$D373&lt;&gt;$D374,NOT(ISNUMBER(M374)),NOT(ISNUMBER(M373)),(IF(ISNUMBER(G374),G374,F374)-IF(ISNUMBER(G373),G373,F373))=0),"",(M374-M373)/((IF(ISNUMBER(G374),G374,F374)-IF(ISNUMBER(G373),G373,F373))/100))</f>
        <v/>
      </c>
      <c r="V374" s="29" t="n"/>
      <c r="W374" s="29" t="n"/>
      <c r="X374" s="32" t="n"/>
    </row>
    <row r="375">
      <c r="A375" s="26" t="inlineStr">
        <is>
          <t>S31</t>
        </is>
      </c>
      <c r="B375" s="26" t="inlineStr">
        <is>
          <t>언양 신규점3</t>
        </is>
      </c>
      <c r="C375" s="26" t="inlineStr">
        <is>
          <t>S31-V</t>
        </is>
      </c>
      <c r="D375" s="47" t="n">
        <v>1</v>
      </c>
      <c r="E375" s="26" t="inlineStr">
        <is>
          <t>측정</t>
        </is>
      </c>
      <c r="F375" s="47" t="n">
        <v>180</v>
      </c>
      <c r="G375" s="41" t="n"/>
      <c r="H375" s="29" t="n"/>
      <c r="I375" s="43" t="n"/>
      <c r="J375" s="41" t="n"/>
      <c r="K375" s="41" t="n"/>
      <c r="L375" s="41" t="n"/>
      <c r="M375" s="31">
        <f>IF(COUNT(J375:L375)=0,"",MEDIAN(J375:L375))</f>
        <v/>
      </c>
      <c r="N375" s="26">
        <f>IF(COUNTIFS($C:$C,$C375,$D:$D,$D375,$E:$E,"기준(전)",$M:$M,"&gt;0")&lt;&gt;1,"기준(전) 유효 1개 아님",IF(COUNTIFS($C:$C,$C375,$D:$D,$D375,$E:$E,"기준(후)",$M:$M,"&gt;0")&lt;&gt;1,"기준(후) 유효 1개 아님",IF(NOT(AND(ISNUMBER(O375),ISNUMBER(Q375),ISNUMBER(I375))),"시각 결측",IF(Q375&lt;=O375,"기준 시각 역전",IF(OR(I375&lt;O375,I375&gt;Q375),"측정시각 구간 밖","OK")))))</f>
        <v/>
      </c>
      <c r="O375" s="48">
        <f>IF(COUNTIFS($C:$C,$C375,$D:$D,$D375,$E:$E,"기준(전)",$M:$M,"&gt;0")&lt;&gt;1,"",SUMIFS($I:$I,$C:$C,$C375,$D:$D,$D375,$E:$E,"기준(전)"))</f>
        <v/>
      </c>
      <c r="P375" s="31">
        <f>IF(COUNTIFS($C:$C,$C375,$D:$D,$D375,$E:$E,"기준(전)",$M:$M,"&gt;0")&lt;&gt;1,"",SUMIFS($M:$M,$C:$C,$C375,$D:$D,$D375,$E:$E,"기준(전)"))</f>
        <v/>
      </c>
      <c r="Q375" s="48">
        <f>IF(COUNTIFS($C:$C,$C375,$D:$D,$D375,$E:$E,"기준(후)",$M:$M,"&gt;0")&lt;&gt;1,"",SUMIFS($I:$I,$C:$C,$C375,$D:$D,$D375,$E:$E,"기준(후)"))</f>
        <v/>
      </c>
      <c r="R375" s="31">
        <f>IF(COUNTIFS($C:$C,$C375,$D:$D,$D375,$E:$E,"기준(후)",$M:$M,"&gt;0")&lt;&gt;1,"",SUMIFS($M:$M,$C:$C,$C375,$D:$D,$D375,$E:$E,"기준(후)"))</f>
        <v/>
      </c>
      <c r="S375" s="31">
        <f>IF(N375&lt;&gt;"OK","",P375+(R375-P375)*(I375-O375)/(Q375-O375))</f>
        <v/>
      </c>
      <c r="T375" s="31">
        <f>IF(OR(N375&lt;&gt;"OK",NOT(ISNUMBER(M375))),"",M375-S375)</f>
        <v/>
      </c>
      <c r="U375" s="49">
        <f>IF(OR($E374&lt;&gt;"측정",$C374&lt;&gt;$C375,$D374&lt;&gt;$D375,NOT(ISNUMBER(M375)),NOT(ISNUMBER(M374)),(IF(ISNUMBER(G375),G375,F375)-IF(ISNUMBER(G374),G374,F374))=0),"",(M375-M374)/((IF(ISNUMBER(G375),G375,F375)-IF(ISNUMBER(G374),G374,F374))/100))</f>
        <v/>
      </c>
      <c r="V375" s="29" t="n"/>
      <c r="W375" s="29" t="n"/>
      <c r="X375" s="32" t="n"/>
    </row>
    <row r="376">
      <c r="A376" s="26" t="inlineStr">
        <is>
          <t>S31</t>
        </is>
      </c>
      <c r="B376" s="26" t="inlineStr">
        <is>
          <t>언양 신규점3</t>
        </is>
      </c>
      <c r="C376" s="26" t="inlineStr">
        <is>
          <t>S31-V</t>
        </is>
      </c>
      <c r="D376" s="47" t="n">
        <v>1</v>
      </c>
      <c r="E376" s="26" t="inlineStr">
        <is>
          <t>측정</t>
        </is>
      </c>
      <c r="F376" s="47" t="n">
        <v>200</v>
      </c>
      <c r="G376" s="41" t="n"/>
      <c r="H376" s="29" t="n"/>
      <c r="I376" s="43" t="n"/>
      <c r="J376" s="41" t="n"/>
      <c r="K376" s="41" t="n"/>
      <c r="L376" s="41" t="n"/>
      <c r="M376" s="31">
        <f>IF(COUNT(J376:L376)=0,"",MEDIAN(J376:L376))</f>
        <v/>
      </c>
      <c r="N376" s="26">
        <f>IF(COUNTIFS($C:$C,$C376,$D:$D,$D376,$E:$E,"기준(전)",$M:$M,"&gt;0")&lt;&gt;1,"기준(전) 유효 1개 아님",IF(COUNTIFS($C:$C,$C376,$D:$D,$D376,$E:$E,"기준(후)",$M:$M,"&gt;0")&lt;&gt;1,"기준(후) 유효 1개 아님",IF(NOT(AND(ISNUMBER(O376),ISNUMBER(Q376),ISNUMBER(I376))),"시각 결측",IF(Q376&lt;=O376,"기준 시각 역전",IF(OR(I376&lt;O376,I376&gt;Q376),"측정시각 구간 밖","OK")))))</f>
        <v/>
      </c>
      <c r="O376" s="48">
        <f>IF(COUNTIFS($C:$C,$C376,$D:$D,$D376,$E:$E,"기준(전)",$M:$M,"&gt;0")&lt;&gt;1,"",SUMIFS($I:$I,$C:$C,$C376,$D:$D,$D376,$E:$E,"기준(전)"))</f>
        <v/>
      </c>
      <c r="P376" s="31">
        <f>IF(COUNTIFS($C:$C,$C376,$D:$D,$D376,$E:$E,"기준(전)",$M:$M,"&gt;0")&lt;&gt;1,"",SUMIFS($M:$M,$C:$C,$C376,$D:$D,$D376,$E:$E,"기준(전)"))</f>
        <v/>
      </c>
      <c r="Q376" s="48">
        <f>IF(COUNTIFS($C:$C,$C376,$D:$D,$D376,$E:$E,"기준(후)",$M:$M,"&gt;0")&lt;&gt;1,"",SUMIFS($I:$I,$C:$C,$C376,$D:$D,$D376,$E:$E,"기준(후)"))</f>
        <v/>
      </c>
      <c r="R376" s="31">
        <f>IF(COUNTIFS($C:$C,$C376,$D:$D,$D376,$E:$E,"기준(후)",$M:$M,"&gt;0")&lt;&gt;1,"",SUMIFS($M:$M,$C:$C,$C376,$D:$D,$D376,$E:$E,"기준(후)"))</f>
        <v/>
      </c>
      <c r="S376" s="31">
        <f>IF(N376&lt;&gt;"OK","",P376+(R376-P376)*(I376-O376)/(Q376-O376))</f>
        <v/>
      </c>
      <c r="T376" s="31">
        <f>IF(OR(N376&lt;&gt;"OK",NOT(ISNUMBER(M376))),"",M376-S376)</f>
        <v/>
      </c>
      <c r="U376" s="49">
        <f>IF(OR($E375&lt;&gt;"측정",$C375&lt;&gt;$C376,$D375&lt;&gt;$D376,NOT(ISNUMBER(M376)),NOT(ISNUMBER(M375)),(IF(ISNUMBER(G376),G376,F376)-IF(ISNUMBER(G375),G375,F375))=0),"",(M376-M375)/((IF(ISNUMBER(G376),G376,F376)-IF(ISNUMBER(G375),G375,F375))/100))</f>
        <v/>
      </c>
      <c r="V376" s="29" t="n"/>
      <c r="W376" s="29" t="n"/>
      <c r="X376" s="32" t="n"/>
    </row>
    <row r="377">
      <c r="A377" s="44" t="inlineStr">
        <is>
          <t>S31</t>
        </is>
      </c>
      <c r="B377" s="44" t="inlineStr">
        <is>
          <t>언양 신규점3</t>
        </is>
      </c>
      <c r="C377" s="44" t="inlineStr">
        <is>
          <t>S31-V</t>
        </is>
      </c>
      <c r="D377" s="45" t="n">
        <v>1</v>
      </c>
      <c r="E377" s="44" t="inlineStr">
        <is>
          <t>기준(후)</t>
        </is>
      </c>
      <c r="F377" s="45" t="n"/>
      <c r="G377" s="41" t="n"/>
      <c r="H377" s="29" t="n"/>
      <c r="I377" s="43" t="n"/>
      <c r="J377" s="41" t="n"/>
      <c r="K377" s="41" t="n"/>
      <c r="L377" s="41" t="n"/>
      <c r="M377" s="31">
        <f>IF(COUNT(J377:L377)=0,"",MEDIAN(J377:L377))</f>
        <v/>
      </c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29" t="n"/>
      <c r="W377" s="29" t="n"/>
      <c r="X377" s="32" t="n"/>
    </row>
    <row r="378">
      <c r="A378" s="44" t="inlineStr">
        <is>
          <t>S32</t>
        </is>
      </c>
      <c r="B378" s="44" t="inlineStr">
        <is>
          <t>함양 신규점</t>
        </is>
      </c>
      <c r="C378" s="44" t="inlineStr">
        <is>
          <t>S32-V</t>
        </is>
      </c>
      <c r="D378" s="45" t="n">
        <v>1</v>
      </c>
      <c r="E378" s="44" t="inlineStr">
        <is>
          <t>기준(전)</t>
        </is>
      </c>
      <c r="F378" s="45" t="n"/>
      <c r="G378" s="41" t="n"/>
      <c r="H378" s="29" t="n"/>
      <c r="I378" s="43" t="n"/>
      <c r="J378" s="41" t="n"/>
      <c r="K378" s="41" t="n"/>
      <c r="L378" s="41" t="n"/>
      <c r="M378" s="31">
        <f>IF(COUNT(J378:L378)=0,"",MEDIAN(J378:L378))</f>
        <v/>
      </c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29" t="n"/>
      <c r="W378" s="29" t="n"/>
      <c r="X378" s="32" t="n"/>
    </row>
    <row r="379">
      <c r="A379" s="26" t="inlineStr">
        <is>
          <t>S32</t>
        </is>
      </c>
      <c r="B379" s="26" t="inlineStr">
        <is>
          <t>함양 신규점</t>
        </is>
      </c>
      <c r="C379" s="26" t="inlineStr">
        <is>
          <t>S32-V</t>
        </is>
      </c>
      <c r="D379" s="47" t="n">
        <v>1</v>
      </c>
      <c r="E379" s="26" t="inlineStr">
        <is>
          <t>측정</t>
        </is>
      </c>
      <c r="F379" s="47" t="n">
        <v>20</v>
      </c>
      <c r="G379" s="41" t="n"/>
      <c r="H379" s="29" t="n"/>
      <c r="I379" s="43" t="n"/>
      <c r="J379" s="41" t="n"/>
      <c r="K379" s="41" t="n"/>
      <c r="L379" s="41" t="n"/>
      <c r="M379" s="31">
        <f>IF(COUNT(J379:L379)=0,"",MEDIAN(J379:L379))</f>
        <v/>
      </c>
      <c r="N379" s="26">
        <f>IF(COUNTIFS($C:$C,$C379,$D:$D,$D379,$E:$E,"기준(전)",$M:$M,"&gt;0")&lt;&gt;1,"기준(전) 유효 1개 아님",IF(COUNTIFS($C:$C,$C379,$D:$D,$D379,$E:$E,"기준(후)",$M:$M,"&gt;0")&lt;&gt;1,"기준(후) 유효 1개 아님",IF(NOT(AND(ISNUMBER(O379),ISNUMBER(Q379),ISNUMBER(I379))),"시각 결측",IF(Q379&lt;=O379,"기준 시각 역전",IF(OR(I379&lt;O379,I379&gt;Q379),"측정시각 구간 밖","OK")))))</f>
        <v/>
      </c>
      <c r="O379" s="48">
        <f>IF(COUNTIFS($C:$C,$C379,$D:$D,$D379,$E:$E,"기준(전)",$M:$M,"&gt;0")&lt;&gt;1,"",SUMIFS($I:$I,$C:$C,$C379,$D:$D,$D379,$E:$E,"기준(전)"))</f>
        <v/>
      </c>
      <c r="P379" s="31">
        <f>IF(COUNTIFS($C:$C,$C379,$D:$D,$D379,$E:$E,"기준(전)",$M:$M,"&gt;0")&lt;&gt;1,"",SUMIFS($M:$M,$C:$C,$C379,$D:$D,$D379,$E:$E,"기준(전)"))</f>
        <v/>
      </c>
      <c r="Q379" s="48">
        <f>IF(COUNTIFS($C:$C,$C379,$D:$D,$D379,$E:$E,"기준(후)",$M:$M,"&gt;0")&lt;&gt;1,"",SUMIFS($I:$I,$C:$C,$C379,$D:$D,$D379,$E:$E,"기준(후)"))</f>
        <v/>
      </c>
      <c r="R379" s="31">
        <f>IF(COUNTIFS($C:$C,$C379,$D:$D,$D379,$E:$E,"기준(후)",$M:$M,"&gt;0")&lt;&gt;1,"",SUMIFS($M:$M,$C:$C,$C379,$D:$D,$D379,$E:$E,"기준(후)"))</f>
        <v/>
      </c>
      <c r="S379" s="31">
        <f>IF(N379&lt;&gt;"OK","",P379+(R379-P379)*(I379-O379)/(Q379-O379))</f>
        <v/>
      </c>
      <c r="T379" s="31">
        <f>IF(OR(N379&lt;&gt;"OK",NOT(ISNUMBER(M379))),"",M379-S379)</f>
        <v/>
      </c>
      <c r="U379" s="49">
        <f>IF(OR($E378&lt;&gt;"측정",$C378&lt;&gt;$C379,$D378&lt;&gt;$D379,NOT(ISNUMBER(M379)),NOT(ISNUMBER(M378)),(IF(ISNUMBER(G379),G379,F379)-IF(ISNUMBER(G378),G378,F378))=0),"",(M379-M378)/((IF(ISNUMBER(G379),G379,F379)-IF(ISNUMBER(G378),G378,F378))/100))</f>
        <v/>
      </c>
      <c r="V379" s="29" t="n"/>
      <c r="W379" s="29" t="n"/>
      <c r="X379" s="32" t="n"/>
    </row>
    <row r="380">
      <c r="A380" s="26" t="inlineStr">
        <is>
          <t>S32</t>
        </is>
      </c>
      <c r="B380" s="26" t="inlineStr">
        <is>
          <t>함양 신규점</t>
        </is>
      </c>
      <c r="C380" s="26" t="inlineStr">
        <is>
          <t>S32-V</t>
        </is>
      </c>
      <c r="D380" s="47" t="n">
        <v>1</v>
      </c>
      <c r="E380" s="26" t="inlineStr">
        <is>
          <t>측정</t>
        </is>
      </c>
      <c r="F380" s="47" t="n">
        <v>40</v>
      </c>
      <c r="G380" s="41" t="n"/>
      <c r="H380" s="29" t="n"/>
      <c r="I380" s="43" t="n"/>
      <c r="J380" s="41" t="n"/>
      <c r="K380" s="41" t="n"/>
      <c r="L380" s="41" t="n"/>
      <c r="M380" s="31">
        <f>IF(COUNT(J380:L380)=0,"",MEDIAN(J380:L380))</f>
        <v/>
      </c>
      <c r="N380" s="26">
        <f>IF(COUNTIFS($C:$C,$C380,$D:$D,$D380,$E:$E,"기준(전)",$M:$M,"&gt;0")&lt;&gt;1,"기준(전) 유효 1개 아님",IF(COUNTIFS($C:$C,$C380,$D:$D,$D380,$E:$E,"기준(후)",$M:$M,"&gt;0")&lt;&gt;1,"기준(후) 유효 1개 아님",IF(NOT(AND(ISNUMBER(O380),ISNUMBER(Q380),ISNUMBER(I380))),"시각 결측",IF(Q380&lt;=O380,"기준 시각 역전",IF(OR(I380&lt;O380,I380&gt;Q380),"측정시각 구간 밖","OK")))))</f>
        <v/>
      </c>
      <c r="O380" s="48">
        <f>IF(COUNTIFS($C:$C,$C380,$D:$D,$D380,$E:$E,"기준(전)",$M:$M,"&gt;0")&lt;&gt;1,"",SUMIFS($I:$I,$C:$C,$C380,$D:$D,$D380,$E:$E,"기준(전)"))</f>
        <v/>
      </c>
      <c r="P380" s="31">
        <f>IF(COUNTIFS($C:$C,$C380,$D:$D,$D380,$E:$E,"기준(전)",$M:$M,"&gt;0")&lt;&gt;1,"",SUMIFS($M:$M,$C:$C,$C380,$D:$D,$D380,$E:$E,"기준(전)"))</f>
        <v/>
      </c>
      <c r="Q380" s="48">
        <f>IF(COUNTIFS($C:$C,$C380,$D:$D,$D380,$E:$E,"기준(후)",$M:$M,"&gt;0")&lt;&gt;1,"",SUMIFS($I:$I,$C:$C,$C380,$D:$D,$D380,$E:$E,"기준(후)"))</f>
        <v/>
      </c>
      <c r="R380" s="31">
        <f>IF(COUNTIFS($C:$C,$C380,$D:$D,$D380,$E:$E,"기준(후)",$M:$M,"&gt;0")&lt;&gt;1,"",SUMIFS($M:$M,$C:$C,$C380,$D:$D,$D380,$E:$E,"기준(후)"))</f>
        <v/>
      </c>
      <c r="S380" s="31">
        <f>IF(N380&lt;&gt;"OK","",P380+(R380-P380)*(I380-O380)/(Q380-O380))</f>
        <v/>
      </c>
      <c r="T380" s="31">
        <f>IF(OR(N380&lt;&gt;"OK",NOT(ISNUMBER(M380))),"",M380-S380)</f>
        <v/>
      </c>
      <c r="U380" s="49">
        <f>IF(OR($E379&lt;&gt;"측정",$C379&lt;&gt;$C380,$D379&lt;&gt;$D380,NOT(ISNUMBER(M380)),NOT(ISNUMBER(M379)),(IF(ISNUMBER(G380),G380,F380)-IF(ISNUMBER(G379),G379,F379))=0),"",(M380-M379)/((IF(ISNUMBER(G380),G380,F380)-IF(ISNUMBER(G379),G379,F379))/100))</f>
        <v/>
      </c>
      <c r="V380" s="29" t="n"/>
      <c r="W380" s="29" t="n"/>
      <c r="X380" s="32" t="n"/>
    </row>
    <row r="381">
      <c r="A381" s="26" t="inlineStr">
        <is>
          <t>S32</t>
        </is>
      </c>
      <c r="B381" s="26" t="inlineStr">
        <is>
          <t>함양 신규점</t>
        </is>
      </c>
      <c r="C381" s="26" t="inlineStr">
        <is>
          <t>S32-V</t>
        </is>
      </c>
      <c r="D381" s="47" t="n">
        <v>1</v>
      </c>
      <c r="E381" s="26" t="inlineStr">
        <is>
          <t>측정</t>
        </is>
      </c>
      <c r="F381" s="47" t="n">
        <v>60</v>
      </c>
      <c r="G381" s="41" t="n"/>
      <c r="H381" s="29" t="n"/>
      <c r="I381" s="43" t="n"/>
      <c r="J381" s="41" t="n"/>
      <c r="K381" s="41" t="n"/>
      <c r="L381" s="41" t="n"/>
      <c r="M381" s="31">
        <f>IF(COUNT(J381:L381)=0,"",MEDIAN(J381:L381))</f>
        <v/>
      </c>
      <c r="N381" s="26">
        <f>IF(COUNTIFS($C:$C,$C381,$D:$D,$D381,$E:$E,"기준(전)",$M:$M,"&gt;0")&lt;&gt;1,"기준(전) 유효 1개 아님",IF(COUNTIFS($C:$C,$C381,$D:$D,$D381,$E:$E,"기준(후)",$M:$M,"&gt;0")&lt;&gt;1,"기준(후) 유효 1개 아님",IF(NOT(AND(ISNUMBER(O381),ISNUMBER(Q381),ISNUMBER(I381))),"시각 결측",IF(Q381&lt;=O381,"기준 시각 역전",IF(OR(I381&lt;O381,I381&gt;Q381),"측정시각 구간 밖","OK")))))</f>
        <v/>
      </c>
      <c r="O381" s="48">
        <f>IF(COUNTIFS($C:$C,$C381,$D:$D,$D381,$E:$E,"기준(전)",$M:$M,"&gt;0")&lt;&gt;1,"",SUMIFS($I:$I,$C:$C,$C381,$D:$D,$D381,$E:$E,"기준(전)"))</f>
        <v/>
      </c>
      <c r="P381" s="31">
        <f>IF(COUNTIFS($C:$C,$C381,$D:$D,$D381,$E:$E,"기준(전)",$M:$M,"&gt;0")&lt;&gt;1,"",SUMIFS($M:$M,$C:$C,$C381,$D:$D,$D381,$E:$E,"기준(전)"))</f>
        <v/>
      </c>
      <c r="Q381" s="48">
        <f>IF(COUNTIFS($C:$C,$C381,$D:$D,$D381,$E:$E,"기준(후)",$M:$M,"&gt;0")&lt;&gt;1,"",SUMIFS($I:$I,$C:$C,$C381,$D:$D,$D381,$E:$E,"기준(후)"))</f>
        <v/>
      </c>
      <c r="R381" s="31">
        <f>IF(COUNTIFS($C:$C,$C381,$D:$D,$D381,$E:$E,"기준(후)",$M:$M,"&gt;0")&lt;&gt;1,"",SUMIFS($M:$M,$C:$C,$C381,$D:$D,$D381,$E:$E,"기준(후)"))</f>
        <v/>
      </c>
      <c r="S381" s="31">
        <f>IF(N381&lt;&gt;"OK","",P381+(R381-P381)*(I381-O381)/(Q381-O381))</f>
        <v/>
      </c>
      <c r="T381" s="31">
        <f>IF(OR(N381&lt;&gt;"OK",NOT(ISNUMBER(M381))),"",M381-S381)</f>
        <v/>
      </c>
      <c r="U381" s="49">
        <f>IF(OR($E380&lt;&gt;"측정",$C380&lt;&gt;$C381,$D380&lt;&gt;$D381,NOT(ISNUMBER(M381)),NOT(ISNUMBER(M380)),(IF(ISNUMBER(G381),G381,F381)-IF(ISNUMBER(G380),G380,F380))=0),"",(M381-M380)/((IF(ISNUMBER(G381),G381,F381)-IF(ISNUMBER(G380),G380,F380))/100))</f>
        <v/>
      </c>
      <c r="V381" s="29" t="n"/>
      <c r="W381" s="29" t="n"/>
      <c r="X381" s="32" t="n"/>
    </row>
    <row r="382">
      <c r="A382" s="26" t="inlineStr">
        <is>
          <t>S32</t>
        </is>
      </c>
      <c r="B382" s="26" t="inlineStr">
        <is>
          <t>함양 신규점</t>
        </is>
      </c>
      <c r="C382" s="26" t="inlineStr">
        <is>
          <t>S32-V</t>
        </is>
      </c>
      <c r="D382" s="47" t="n">
        <v>1</v>
      </c>
      <c r="E382" s="26" t="inlineStr">
        <is>
          <t>측정</t>
        </is>
      </c>
      <c r="F382" s="47" t="n">
        <v>80</v>
      </c>
      <c r="G382" s="41" t="n"/>
      <c r="H382" s="29" t="n"/>
      <c r="I382" s="43" t="n"/>
      <c r="J382" s="41" t="n"/>
      <c r="K382" s="41" t="n"/>
      <c r="L382" s="41" t="n"/>
      <c r="M382" s="31">
        <f>IF(COUNT(J382:L382)=0,"",MEDIAN(J382:L382))</f>
        <v/>
      </c>
      <c r="N382" s="26">
        <f>IF(COUNTIFS($C:$C,$C382,$D:$D,$D382,$E:$E,"기준(전)",$M:$M,"&gt;0")&lt;&gt;1,"기준(전) 유효 1개 아님",IF(COUNTIFS($C:$C,$C382,$D:$D,$D382,$E:$E,"기준(후)",$M:$M,"&gt;0")&lt;&gt;1,"기준(후) 유효 1개 아님",IF(NOT(AND(ISNUMBER(O382),ISNUMBER(Q382),ISNUMBER(I382))),"시각 결측",IF(Q382&lt;=O382,"기준 시각 역전",IF(OR(I382&lt;O382,I382&gt;Q382),"측정시각 구간 밖","OK")))))</f>
        <v/>
      </c>
      <c r="O382" s="48">
        <f>IF(COUNTIFS($C:$C,$C382,$D:$D,$D382,$E:$E,"기준(전)",$M:$M,"&gt;0")&lt;&gt;1,"",SUMIFS($I:$I,$C:$C,$C382,$D:$D,$D382,$E:$E,"기준(전)"))</f>
        <v/>
      </c>
      <c r="P382" s="31">
        <f>IF(COUNTIFS($C:$C,$C382,$D:$D,$D382,$E:$E,"기준(전)",$M:$M,"&gt;0")&lt;&gt;1,"",SUMIFS($M:$M,$C:$C,$C382,$D:$D,$D382,$E:$E,"기준(전)"))</f>
        <v/>
      </c>
      <c r="Q382" s="48">
        <f>IF(COUNTIFS($C:$C,$C382,$D:$D,$D382,$E:$E,"기준(후)",$M:$M,"&gt;0")&lt;&gt;1,"",SUMIFS($I:$I,$C:$C,$C382,$D:$D,$D382,$E:$E,"기준(후)"))</f>
        <v/>
      </c>
      <c r="R382" s="31">
        <f>IF(COUNTIFS($C:$C,$C382,$D:$D,$D382,$E:$E,"기준(후)",$M:$M,"&gt;0")&lt;&gt;1,"",SUMIFS($M:$M,$C:$C,$C382,$D:$D,$D382,$E:$E,"기준(후)"))</f>
        <v/>
      </c>
      <c r="S382" s="31">
        <f>IF(N382&lt;&gt;"OK","",P382+(R382-P382)*(I382-O382)/(Q382-O382))</f>
        <v/>
      </c>
      <c r="T382" s="31">
        <f>IF(OR(N382&lt;&gt;"OK",NOT(ISNUMBER(M382))),"",M382-S382)</f>
        <v/>
      </c>
      <c r="U382" s="49">
        <f>IF(OR($E381&lt;&gt;"측정",$C381&lt;&gt;$C382,$D381&lt;&gt;$D382,NOT(ISNUMBER(M382)),NOT(ISNUMBER(M381)),(IF(ISNUMBER(G382),G382,F382)-IF(ISNUMBER(G381),G381,F381))=0),"",(M382-M381)/((IF(ISNUMBER(G382),G382,F382)-IF(ISNUMBER(G381),G381,F381))/100))</f>
        <v/>
      </c>
      <c r="V382" s="29" t="n"/>
      <c r="W382" s="29" t="n"/>
      <c r="X382" s="32" t="n"/>
    </row>
    <row r="383">
      <c r="A383" s="26" t="inlineStr">
        <is>
          <t>S32</t>
        </is>
      </c>
      <c r="B383" s="26" t="inlineStr">
        <is>
          <t>함양 신규점</t>
        </is>
      </c>
      <c r="C383" s="26" t="inlineStr">
        <is>
          <t>S32-V</t>
        </is>
      </c>
      <c r="D383" s="47" t="n">
        <v>1</v>
      </c>
      <c r="E383" s="26" t="inlineStr">
        <is>
          <t>측정</t>
        </is>
      </c>
      <c r="F383" s="47" t="n">
        <v>100</v>
      </c>
      <c r="G383" s="41" t="n"/>
      <c r="H383" s="29" t="n"/>
      <c r="I383" s="43" t="n"/>
      <c r="J383" s="41" t="n"/>
      <c r="K383" s="41" t="n"/>
      <c r="L383" s="41" t="n"/>
      <c r="M383" s="31">
        <f>IF(COUNT(J383:L383)=0,"",MEDIAN(J383:L383))</f>
        <v/>
      </c>
      <c r="N383" s="26">
        <f>IF(COUNTIFS($C:$C,$C383,$D:$D,$D383,$E:$E,"기준(전)",$M:$M,"&gt;0")&lt;&gt;1,"기준(전) 유효 1개 아님",IF(COUNTIFS($C:$C,$C383,$D:$D,$D383,$E:$E,"기준(후)",$M:$M,"&gt;0")&lt;&gt;1,"기준(후) 유효 1개 아님",IF(NOT(AND(ISNUMBER(O383),ISNUMBER(Q383),ISNUMBER(I383))),"시각 결측",IF(Q383&lt;=O383,"기준 시각 역전",IF(OR(I383&lt;O383,I383&gt;Q383),"측정시각 구간 밖","OK")))))</f>
        <v/>
      </c>
      <c r="O383" s="48">
        <f>IF(COUNTIFS($C:$C,$C383,$D:$D,$D383,$E:$E,"기준(전)",$M:$M,"&gt;0")&lt;&gt;1,"",SUMIFS($I:$I,$C:$C,$C383,$D:$D,$D383,$E:$E,"기준(전)"))</f>
        <v/>
      </c>
      <c r="P383" s="31">
        <f>IF(COUNTIFS($C:$C,$C383,$D:$D,$D383,$E:$E,"기준(전)",$M:$M,"&gt;0")&lt;&gt;1,"",SUMIFS($M:$M,$C:$C,$C383,$D:$D,$D383,$E:$E,"기준(전)"))</f>
        <v/>
      </c>
      <c r="Q383" s="48">
        <f>IF(COUNTIFS($C:$C,$C383,$D:$D,$D383,$E:$E,"기준(후)",$M:$M,"&gt;0")&lt;&gt;1,"",SUMIFS($I:$I,$C:$C,$C383,$D:$D,$D383,$E:$E,"기준(후)"))</f>
        <v/>
      </c>
      <c r="R383" s="31">
        <f>IF(COUNTIFS($C:$C,$C383,$D:$D,$D383,$E:$E,"기준(후)",$M:$M,"&gt;0")&lt;&gt;1,"",SUMIFS($M:$M,$C:$C,$C383,$D:$D,$D383,$E:$E,"기준(후)"))</f>
        <v/>
      </c>
      <c r="S383" s="31">
        <f>IF(N383&lt;&gt;"OK","",P383+(R383-P383)*(I383-O383)/(Q383-O383))</f>
        <v/>
      </c>
      <c r="T383" s="31">
        <f>IF(OR(N383&lt;&gt;"OK",NOT(ISNUMBER(M383))),"",M383-S383)</f>
        <v/>
      </c>
      <c r="U383" s="49">
        <f>IF(OR($E382&lt;&gt;"측정",$C382&lt;&gt;$C383,$D382&lt;&gt;$D383,NOT(ISNUMBER(M383)),NOT(ISNUMBER(M382)),(IF(ISNUMBER(G383),G383,F383)-IF(ISNUMBER(G382),G382,F382))=0),"",(M383-M382)/((IF(ISNUMBER(G383),G383,F383)-IF(ISNUMBER(G382),G382,F382))/100))</f>
        <v/>
      </c>
      <c r="V383" s="29" t="n"/>
      <c r="W383" s="29" t="n"/>
      <c r="X383" s="32" t="n"/>
    </row>
    <row r="384">
      <c r="A384" s="26" t="inlineStr">
        <is>
          <t>S32</t>
        </is>
      </c>
      <c r="B384" s="26" t="inlineStr">
        <is>
          <t>함양 신규점</t>
        </is>
      </c>
      <c r="C384" s="26" t="inlineStr">
        <is>
          <t>S32-V</t>
        </is>
      </c>
      <c r="D384" s="47" t="n">
        <v>1</v>
      </c>
      <c r="E384" s="26" t="inlineStr">
        <is>
          <t>측정</t>
        </is>
      </c>
      <c r="F384" s="47" t="n">
        <v>120</v>
      </c>
      <c r="G384" s="41" t="n"/>
      <c r="H384" s="29" t="n"/>
      <c r="I384" s="43" t="n"/>
      <c r="J384" s="41" t="n"/>
      <c r="K384" s="41" t="n"/>
      <c r="L384" s="41" t="n"/>
      <c r="M384" s="31">
        <f>IF(COUNT(J384:L384)=0,"",MEDIAN(J384:L384))</f>
        <v/>
      </c>
      <c r="N384" s="26">
        <f>IF(COUNTIFS($C:$C,$C384,$D:$D,$D384,$E:$E,"기준(전)",$M:$M,"&gt;0")&lt;&gt;1,"기준(전) 유효 1개 아님",IF(COUNTIFS($C:$C,$C384,$D:$D,$D384,$E:$E,"기준(후)",$M:$M,"&gt;0")&lt;&gt;1,"기준(후) 유효 1개 아님",IF(NOT(AND(ISNUMBER(O384),ISNUMBER(Q384),ISNUMBER(I384))),"시각 결측",IF(Q384&lt;=O384,"기준 시각 역전",IF(OR(I384&lt;O384,I384&gt;Q384),"측정시각 구간 밖","OK")))))</f>
        <v/>
      </c>
      <c r="O384" s="48">
        <f>IF(COUNTIFS($C:$C,$C384,$D:$D,$D384,$E:$E,"기준(전)",$M:$M,"&gt;0")&lt;&gt;1,"",SUMIFS($I:$I,$C:$C,$C384,$D:$D,$D384,$E:$E,"기준(전)"))</f>
        <v/>
      </c>
      <c r="P384" s="31">
        <f>IF(COUNTIFS($C:$C,$C384,$D:$D,$D384,$E:$E,"기준(전)",$M:$M,"&gt;0")&lt;&gt;1,"",SUMIFS($M:$M,$C:$C,$C384,$D:$D,$D384,$E:$E,"기준(전)"))</f>
        <v/>
      </c>
      <c r="Q384" s="48">
        <f>IF(COUNTIFS($C:$C,$C384,$D:$D,$D384,$E:$E,"기준(후)",$M:$M,"&gt;0")&lt;&gt;1,"",SUMIFS($I:$I,$C:$C,$C384,$D:$D,$D384,$E:$E,"기준(후)"))</f>
        <v/>
      </c>
      <c r="R384" s="31">
        <f>IF(COUNTIFS($C:$C,$C384,$D:$D,$D384,$E:$E,"기준(후)",$M:$M,"&gt;0")&lt;&gt;1,"",SUMIFS($M:$M,$C:$C,$C384,$D:$D,$D384,$E:$E,"기준(후)"))</f>
        <v/>
      </c>
      <c r="S384" s="31">
        <f>IF(N384&lt;&gt;"OK","",P384+(R384-P384)*(I384-O384)/(Q384-O384))</f>
        <v/>
      </c>
      <c r="T384" s="31">
        <f>IF(OR(N384&lt;&gt;"OK",NOT(ISNUMBER(M384))),"",M384-S384)</f>
        <v/>
      </c>
      <c r="U384" s="49">
        <f>IF(OR($E383&lt;&gt;"측정",$C383&lt;&gt;$C384,$D383&lt;&gt;$D384,NOT(ISNUMBER(M384)),NOT(ISNUMBER(M383)),(IF(ISNUMBER(G384),G384,F384)-IF(ISNUMBER(G383),G383,F383))=0),"",(M384-M383)/((IF(ISNUMBER(G384),G384,F384)-IF(ISNUMBER(G383),G383,F383))/100))</f>
        <v/>
      </c>
      <c r="V384" s="29" t="n"/>
      <c r="W384" s="29" t="n"/>
      <c r="X384" s="32" t="n"/>
    </row>
    <row r="385">
      <c r="A385" s="26" t="inlineStr">
        <is>
          <t>S32</t>
        </is>
      </c>
      <c r="B385" s="26" t="inlineStr">
        <is>
          <t>함양 신규점</t>
        </is>
      </c>
      <c r="C385" s="26" t="inlineStr">
        <is>
          <t>S32-V</t>
        </is>
      </c>
      <c r="D385" s="47" t="n">
        <v>1</v>
      </c>
      <c r="E385" s="26" t="inlineStr">
        <is>
          <t>측정</t>
        </is>
      </c>
      <c r="F385" s="47" t="n">
        <v>140</v>
      </c>
      <c r="G385" s="41" t="n"/>
      <c r="H385" s="29" t="n"/>
      <c r="I385" s="43" t="n"/>
      <c r="J385" s="41" t="n"/>
      <c r="K385" s="41" t="n"/>
      <c r="L385" s="41" t="n"/>
      <c r="M385" s="31">
        <f>IF(COUNT(J385:L385)=0,"",MEDIAN(J385:L385))</f>
        <v/>
      </c>
      <c r="N385" s="26">
        <f>IF(COUNTIFS($C:$C,$C385,$D:$D,$D385,$E:$E,"기준(전)",$M:$M,"&gt;0")&lt;&gt;1,"기준(전) 유효 1개 아님",IF(COUNTIFS($C:$C,$C385,$D:$D,$D385,$E:$E,"기준(후)",$M:$M,"&gt;0")&lt;&gt;1,"기준(후) 유효 1개 아님",IF(NOT(AND(ISNUMBER(O385),ISNUMBER(Q385),ISNUMBER(I385))),"시각 결측",IF(Q385&lt;=O385,"기준 시각 역전",IF(OR(I385&lt;O385,I385&gt;Q385),"측정시각 구간 밖","OK")))))</f>
        <v/>
      </c>
      <c r="O385" s="48">
        <f>IF(COUNTIFS($C:$C,$C385,$D:$D,$D385,$E:$E,"기준(전)",$M:$M,"&gt;0")&lt;&gt;1,"",SUMIFS($I:$I,$C:$C,$C385,$D:$D,$D385,$E:$E,"기준(전)"))</f>
        <v/>
      </c>
      <c r="P385" s="31">
        <f>IF(COUNTIFS($C:$C,$C385,$D:$D,$D385,$E:$E,"기준(전)",$M:$M,"&gt;0")&lt;&gt;1,"",SUMIFS($M:$M,$C:$C,$C385,$D:$D,$D385,$E:$E,"기준(전)"))</f>
        <v/>
      </c>
      <c r="Q385" s="48">
        <f>IF(COUNTIFS($C:$C,$C385,$D:$D,$D385,$E:$E,"기준(후)",$M:$M,"&gt;0")&lt;&gt;1,"",SUMIFS($I:$I,$C:$C,$C385,$D:$D,$D385,$E:$E,"기준(후)"))</f>
        <v/>
      </c>
      <c r="R385" s="31">
        <f>IF(COUNTIFS($C:$C,$C385,$D:$D,$D385,$E:$E,"기준(후)",$M:$M,"&gt;0")&lt;&gt;1,"",SUMIFS($M:$M,$C:$C,$C385,$D:$D,$D385,$E:$E,"기준(후)"))</f>
        <v/>
      </c>
      <c r="S385" s="31">
        <f>IF(N385&lt;&gt;"OK","",P385+(R385-P385)*(I385-O385)/(Q385-O385))</f>
        <v/>
      </c>
      <c r="T385" s="31">
        <f>IF(OR(N385&lt;&gt;"OK",NOT(ISNUMBER(M385))),"",M385-S385)</f>
        <v/>
      </c>
      <c r="U385" s="49">
        <f>IF(OR($E384&lt;&gt;"측정",$C384&lt;&gt;$C385,$D384&lt;&gt;$D385,NOT(ISNUMBER(M385)),NOT(ISNUMBER(M384)),(IF(ISNUMBER(G385),G385,F385)-IF(ISNUMBER(G384),G384,F384))=0),"",(M385-M384)/((IF(ISNUMBER(G385),G385,F385)-IF(ISNUMBER(G384),G384,F384))/100))</f>
        <v/>
      </c>
      <c r="V385" s="29" t="n"/>
      <c r="W385" s="29" t="n"/>
      <c r="X385" s="32" t="n"/>
    </row>
    <row r="386">
      <c r="A386" s="26" t="inlineStr">
        <is>
          <t>S32</t>
        </is>
      </c>
      <c r="B386" s="26" t="inlineStr">
        <is>
          <t>함양 신규점</t>
        </is>
      </c>
      <c r="C386" s="26" t="inlineStr">
        <is>
          <t>S32-V</t>
        </is>
      </c>
      <c r="D386" s="47" t="n">
        <v>1</v>
      </c>
      <c r="E386" s="26" t="inlineStr">
        <is>
          <t>측정</t>
        </is>
      </c>
      <c r="F386" s="47" t="n">
        <v>160</v>
      </c>
      <c r="G386" s="41" t="n"/>
      <c r="H386" s="29" t="n"/>
      <c r="I386" s="43" t="n"/>
      <c r="J386" s="41" t="n"/>
      <c r="K386" s="41" t="n"/>
      <c r="L386" s="41" t="n"/>
      <c r="M386" s="31">
        <f>IF(COUNT(J386:L386)=0,"",MEDIAN(J386:L386))</f>
        <v/>
      </c>
      <c r="N386" s="26">
        <f>IF(COUNTIFS($C:$C,$C386,$D:$D,$D386,$E:$E,"기준(전)",$M:$M,"&gt;0")&lt;&gt;1,"기준(전) 유효 1개 아님",IF(COUNTIFS($C:$C,$C386,$D:$D,$D386,$E:$E,"기준(후)",$M:$M,"&gt;0")&lt;&gt;1,"기준(후) 유효 1개 아님",IF(NOT(AND(ISNUMBER(O386),ISNUMBER(Q386),ISNUMBER(I386))),"시각 결측",IF(Q386&lt;=O386,"기준 시각 역전",IF(OR(I386&lt;O386,I386&gt;Q386),"측정시각 구간 밖","OK")))))</f>
        <v/>
      </c>
      <c r="O386" s="48">
        <f>IF(COUNTIFS($C:$C,$C386,$D:$D,$D386,$E:$E,"기준(전)",$M:$M,"&gt;0")&lt;&gt;1,"",SUMIFS($I:$I,$C:$C,$C386,$D:$D,$D386,$E:$E,"기준(전)"))</f>
        <v/>
      </c>
      <c r="P386" s="31">
        <f>IF(COUNTIFS($C:$C,$C386,$D:$D,$D386,$E:$E,"기준(전)",$M:$M,"&gt;0")&lt;&gt;1,"",SUMIFS($M:$M,$C:$C,$C386,$D:$D,$D386,$E:$E,"기준(전)"))</f>
        <v/>
      </c>
      <c r="Q386" s="48">
        <f>IF(COUNTIFS($C:$C,$C386,$D:$D,$D386,$E:$E,"기준(후)",$M:$M,"&gt;0")&lt;&gt;1,"",SUMIFS($I:$I,$C:$C,$C386,$D:$D,$D386,$E:$E,"기준(후)"))</f>
        <v/>
      </c>
      <c r="R386" s="31">
        <f>IF(COUNTIFS($C:$C,$C386,$D:$D,$D386,$E:$E,"기준(후)",$M:$M,"&gt;0")&lt;&gt;1,"",SUMIFS($M:$M,$C:$C,$C386,$D:$D,$D386,$E:$E,"기준(후)"))</f>
        <v/>
      </c>
      <c r="S386" s="31">
        <f>IF(N386&lt;&gt;"OK","",P386+(R386-P386)*(I386-O386)/(Q386-O386))</f>
        <v/>
      </c>
      <c r="T386" s="31">
        <f>IF(OR(N386&lt;&gt;"OK",NOT(ISNUMBER(M386))),"",M386-S386)</f>
        <v/>
      </c>
      <c r="U386" s="49">
        <f>IF(OR($E385&lt;&gt;"측정",$C385&lt;&gt;$C386,$D385&lt;&gt;$D386,NOT(ISNUMBER(M386)),NOT(ISNUMBER(M385)),(IF(ISNUMBER(G386),G386,F386)-IF(ISNUMBER(G385),G385,F385))=0),"",(M386-M385)/((IF(ISNUMBER(G386),G386,F386)-IF(ISNUMBER(G385),G385,F385))/100))</f>
        <v/>
      </c>
      <c r="V386" s="29" t="n"/>
      <c r="W386" s="29" t="n"/>
      <c r="X386" s="32" t="n"/>
    </row>
    <row r="387">
      <c r="A387" s="26" t="inlineStr">
        <is>
          <t>S32</t>
        </is>
      </c>
      <c r="B387" s="26" t="inlineStr">
        <is>
          <t>함양 신규점</t>
        </is>
      </c>
      <c r="C387" s="26" t="inlineStr">
        <is>
          <t>S32-V</t>
        </is>
      </c>
      <c r="D387" s="47" t="n">
        <v>1</v>
      </c>
      <c r="E387" s="26" t="inlineStr">
        <is>
          <t>측정</t>
        </is>
      </c>
      <c r="F387" s="47" t="n">
        <v>180</v>
      </c>
      <c r="G387" s="41" t="n"/>
      <c r="H387" s="29" t="n"/>
      <c r="I387" s="43" t="n"/>
      <c r="J387" s="41" t="n"/>
      <c r="K387" s="41" t="n"/>
      <c r="L387" s="41" t="n"/>
      <c r="M387" s="31">
        <f>IF(COUNT(J387:L387)=0,"",MEDIAN(J387:L387))</f>
        <v/>
      </c>
      <c r="N387" s="26">
        <f>IF(COUNTIFS($C:$C,$C387,$D:$D,$D387,$E:$E,"기준(전)",$M:$M,"&gt;0")&lt;&gt;1,"기준(전) 유효 1개 아님",IF(COUNTIFS($C:$C,$C387,$D:$D,$D387,$E:$E,"기준(후)",$M:$M,"&gt;0")&lt;&gt;1,"기준(후) 유효 1개 아님",IF(NOT(AND(ISNUMBER(O387),ISNUMBER(Q387),ISNUMBER(I387))),"시각 결측",IF(Q387&lt;=O387,"기준 시각 역전",IF(OR(I387&lt;O387,I387&gt;Q387),"측정시각 구간 밖","OK")))))</f>
        <v/>
      </c>
      <c r="O387" s="48">
        <f>IF(COUNTIFS($C:$C,$C387,$D:$D,$D387,$E:$E,"기준(전)",$M:$M,"&gt;0")&lt;&gt;1,"",SUMIFS($I:$I,$C:$C,$C387,$D:$D,$D387,$E:$E,"기준(전)"))</f>
        <v/>
      </c>
      <c r="P387" s="31">
        <f>IF(COUNTIFS($C:$C,$C387,$D:$D,$D387,$E:$E,"기준(전)",$M:$M,"&gt;0")&lt;&gt;1,"",SUMIFS($M:$M,$C:$C,$C387,$D:$D,$D387,$E:$E,"기준(전)"))</f>
        <v/>
      </c>
      <c r="Q387" s="48">
        <f>IF(COUNTIFS($C:$C,$C387,$D:$D,$D387,$E:$E,"기준(후)",$M:$M,"&gt;0")&lt;&gt;1,"",SUMIFS($I:$I,$C:$C,$C387,$D:$D,$D387,$E:$E,"기준(후)"))</f>
        <v/>
      </c>
      <c r="R387" s="31">
        <f>IF(COUNTIFS($C:$C,$C387,$D:$D,$D387,$E:$E,"기준(후)",$M:$M,"&gt;0")&lt;&gt;1,"",SUMIFS($M:$M,$C:$C,$C387,$D:$D,$D387,$E:$E,"기준(후)"))</f>
        <v/>
      </c>
      <c r="S387" s="31">
        <f>IF(N387&lt;&gt;"OK","",P387+(R387-P387)*(I387-O387)/(Q387-O387))</f>
        <v/>
      </c>
      <c r="T387" s="31">
        <f>IF(OR(N387&lt;&gt;"OK",NOT(ISNUMBER(M387))),"",M387-S387)</f>
        <v/>
      </c>
      <c r="U387" s="49">
        <f>IF(OR($E386&lt;&gt;"측정",$C386&lt;&gt;$C387,$D386&lt;&gt;$D387,NOT(ISNUMBER(M387)),NOT(ISNUMBER(M386)),(IF(ISNUMBER(G387),G387,F387)-IF(ISNUMBER(G386),G386,F386))=0),"",(M387-M386)/((IF(ISNUMBER(G387),G387,F387)-IF(ISNUMBER(G386),G386,F386))/100))</f>
        <v/>
      </c>
      <c r="V387" s="29" t="n"/>
      <c r="W387" s="29" t="n"/>
      <c r="X387" s="32" t="n"/>
    </row>
    <row r="388">
      <c r="A388" s="26" t="inlineStr">
        <is>
          <t>S32</t>
        </is>
      </c>
      <c r="B388" s="26" t="inlineStr">
        <is>
          <t>함양 신규점</t>
        </is>
      </c>
      <c r="C388" s="26" t="inlineStr">
        <is>
          <t>S32-V</t>
        </is>
      </c>
      <c r="D388" s="47" t="n">
        <v>1</v>
      </c>
      <c r="E388" s="26" t="inlineStr">
        <is>
          <t>측정</t>
        </is>
      </c>
      <c r="F388" s="47" t="n">
        <v>200</v>
      </c>
      <c r="G388" s="41" t="n"/>
      <c r="H388" s="29" t="n"/>
      <c r="I388" s="43" t="n"/>
      <c r="J388" s="41" t="n"/>
      <c r="K388" s="41" t="n"/>
      <c r="L388" s="41" t="n"/>
      <c r="M388" s="31">
        <f>IF(COUNT(J388:L388)=0,"",MEDIAN(J388:L388))</f>
        <v/>
      </c>
      <c r="N388" s="26">
        <f>IF(COUNTIFS($C:$C,$C388,$D:$D,$D388,$E:$E,"기준(전)",$M:$M,"&gt;0")&lt;&gt;1,"기준(전) 유효 1개 아님",IF(COUNTIFS($C:$C,$C388,$D:$D,$D388,$E:$E,"기준(후)",$M:$M,"&gt;0")&lt;&gt;1,"기준(후) 유효 1개 아님",IF(NOT(AND(ISNUMBER(O388),ISNUMBER(Q388),ISNUMBER(I388))),"시각 결측",IF(Q388&lt;=O388,"기준 시각 역전",IF(OR(I388&lt;O388,I388&gt;Q388),"측정시각 구간 밖","OK")))))</f>
        <v/>
      </c>
      <c r="O388" s="48">
        <f>IF(COUNTIFS($C:$C,$C388,$D:$D,$D388,$E:$E,"기준(전)",$M:$M,"&gt;0")&lt;&gt;1,"",SUMIFS($I:$I,$C:$C,$C388,$D:$D,$D388,$E:$E,"기준(전)"))</f>
        <v/>
      </c>
      <c r="P388" s="31">
        <f>IF(COUNTIFS($C:$C,$C388,$D:$D,$D388,$E:$E,"기준(전)",$M:$M,"&gt;0")&lt;&gt;1,"",SUMIFS($M:$M,$C:$C,$C388,$D:$D,$D388,$E:$E,"기준(전)"))</f>
        <v/>
      </c>
      <c r="Q388" s="48">
        <f>IF(COUNTIFS($C:$C,$C388,$D:$D,$D388,$E:$E,"기준(후)",$M:$M,"&gt;0")&lt;&gt;1,"",SUMIFS($I:$I,$C:$C,$C388,$D:$D,$D388,$E:$E,"기준(후)"))</f>
        <v/>
      </c>
      <c r="R388" s="31">
        <f>IF(COUNTIFS($C:$C,$C388,$D:$D,$D388,$E:$E,"기준(후)",$M:$M,"&gt;0")&lt;&gt;1,"",SUMIFS($M:$M,$C:$C,$C388,$D:$D,$D388,$E:$E,"기준(후)"))</f>
        <v/>
      </c>
      <c r="S388" s="31">
        <f>IF(N388&lt;&gt;"OK","",P388+(R388-P388)*(I388-O388)/(Q388-O388))</f>
        <v/>
      </c>
      <c r="T388" s="31">
        <f>IF(OR(N388&lt;&gt;"OK",NOT(ISNUMBER(M388))),"",M388-S388)</f>
        <v/>
      </c>
      <c r="U388" s="49">
        <f>IF(OR($E387&lt;&gt;"측정",$C387&lt;&gt;$C388,$D387&lt;&gt;$D388,NOT(ISNUMBER(M388)),NOT(ISNUMBER(M387)),(IF(ISNUMBER(G388),G388,F388)-IF(ISNUMBER(G387),G387,F387))=0),"",(M388-M387)/((IF(ISNUMBER(G388),G388,F388)-IF(ISNUMBER(G387),G387,F387))/100))</f>
        <v/>
      </c>
      <c r="V388" s="29" t="n"/>
      <c r="W388" s="29" t="n"/>
      <c r="X388" s="32" t="n"/>
    </row>
    <row r="389">
      <c r="A389" s="44" t="inlineStr">
        <is>
          <t>S32</t>
        </is>
      </c>
      <c r="B389" s="44" t="inlineStr">
        <is>
          <t>함양 신규점</t>
        </is>
      </c>
      <c r="C389" s="44" t="inlineStr">
        <is>
          <t>S32-V</t>
        </is>
      </c>
      <c r="D389" s="45" t="n">
        <v>1</v>
      </c>
      <c r="E389" s="44" t="inlineStr">
        <is>
          <t>기준(후)</t>
        </is>
      </c>
      <c r="F389" s="45" t="n"/>
      <c r="G389" s="41" t="n"/>
      <c r="H389" s="29" t="n"/>
      <c r="I389" s="43" t="n"/>
      <c r="J389" s="41" t="n"/>
      <c r="K389" s="41" t="n"/>
      <c r="L389" s="41" t="n"/>
      <c r="M389" s="31">
        <f>IF(COUNT(J389:L389)=0,"",MEDIAN(J389:L389))</f>
        <v/>
      </c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29" t="n"/>
      <c r="W389" s="29" t="n"/>
      <c r="X389" s="32" t="n"/>
    </row>
    <row r="390">
      <c r="A390" s="44" t="inlineStr">
        <is>
          <t>S33</t>
        </is>
      </c>
      <c r="B390" s="44" t="inlineStr">
        <is>
          <t>문산 신규점</t>
        </is>
      </c>
      <c r="C390" s="44" t="inlineStr">
        <is>
          <t>S33-V</t>
        </is>
      </c>
      <c r="D390" s="45" t="n">
        <v>1</v>
      </c>
      <c r="E390" s="44" t="inlineStr">
        <is>
          <t>기준(전)</t>
        </is>
      </c>
      <c r="F390" s="45" t="n"/>
      <c r="G390" s="41" t="n"/>
      <c r="H390" s="29" t="n"/>
      <c r="I390" s="43" t="n"/>
      <c r="J390" s="41" t="n"/>
      <c r="K390" s="41" t="n"/>
      <c r="L390" s="41" t="n"/>
      <c r="M390" s="31">
        <f>IF(COUNT(J390:L390)=0,"",MEDIAN(J390:L390))</f>
        <v/>
      </c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29" t="n"/>
      <c r="W390" s="29" t="n"/>
      <c r="X390" s="32" t="n"/>
    </row>
    <row r="391">
      <c r="A391" s="26" t="inlineStr">
        <is>
          <t>S33</t>
        </is>
      </c>
      <c r="B391" s="26" t="inlineStr">
        <is>
          <t>문산 신규점</t>
        </is>
      </c>
      <c r="C391" s="26" t="inlineStr">
        <is>
          <t>S33-V</t>
        </is>
      </c>
      <c r="D391" s="47" t="n">
        <v>1</v>
      </c>
      <c r="E391" s="26" t="inlineStr">
        <is>
          <t>측정</t>
        </is>
      </c>
      <c r="F391" s="47" t="n">
        <v>20</v>
      </c>
      <c r="G391" s="41" t="n"/>
      <c r="H391" s="29" t="n"/>
      <c r="I391" s="43" t="n"/>
      <c r="J391" s="41" t="n"/>
      <c r="K391" s="41" t="n"/>
      <c r="L391" s="41" t="n"/>
      <c r="M391" s="31">
        <f>IF(COUNT(J391:L391)=0,"",MEDIAN(J391:L391))</f>
        <v/>
      </c>
      <c r="N391" s="26">
        <f>IF(COUNTIFS($C:$C,$C391,$D:$D,$D391,$E:$E,"기준(전)",$M:$M,"&gt;0")&lt;&gt;1,"기준(전) 유효 1개 아님",IF(COUNTIFS($C:$C,$C391,$D:$D,$D391,$E:$E,"기준(후)",$M:$M,"&gt;0")&lt;&gt;1,"기준(후) 유효 1개 아님",IF(NOT(AND(ISNUMBER(O391),ISNUMBER(Q391),ISNUMBER(I391))),"시각 결측",IF(Q391&lt;=O391,"기준 시각 역전",IF(OR(I391&lt;O391,I391&gt;Q391),"측정시각 구간 밖","OK")))))</f>
        <v/>
      </c>
      <c r="O391" s="48">
        <f>IF(COUNTIFS($C:$C,$C391,$D:$D,$D391,$E:$E,"기준(전)",$M:$M,"&gt;0")&lt;&gt;1,"",SUMIFS($I:$I,$C:$C,$C391,$D:$D,$D391,$E:$E,"기준(전)"))</f>
        <v/>
      </c>
      <c r="P391" s="31">
        <f>IF(COUNTIFS($C:$C,$C391,$D:$D,$D391,$E:$E,"기준(전)",$M:$M,"&gt;0")&lt;&gt;1,"",SUMIFS($M:$M,$C:$C,$C391,$D:$D,$D391,$E:$E,"기준(전)"))</f>
        <v/>
      </c>
      <c r="Q391" s="48">
        <f>IF(COUNTIFS($C:$C,$C391,$D:$D,$D391,$E:$E,"기준(후)",$M:$M,"&gt;0")&lt;&gt;1,"",SUMIFS($I:$I,$C:$C,$C391,$D:$D,$D391,$E:$E,"기준(후)"))</f>
        <v/>
      </c>
      <c r="R391" s="31">
        <f>IF(COUNTIFS($C:$C,$C391,$D:$D,$D391,$E:$E,"기준(후)",$M:$M,"&gt;0")&lt;&gt;1,"",SUMIFS($M:$M,$C:$C,$C391,$D:$D,$D391,$E:$E,"기준(후)"))</f>
        <v/>
      </c>
      <c r="S391" s="31">
        <f>IF(N391&lt;&gt;"OK","",P391+(R391-P391)*(I391-O391)/(Q391-O391))</f>
        <v/>
      </c>
      <c r="T391" s="31">
        <f>IF(OR(N391&lt;&gt;"OK",NOT(ISNUMBER(M391))),"",M391-S391)</f>
        <v/>
      </c>
      <c r="U391" s="49">
        <f>IF(OR($E390&lt;&gt;"측정",$C390&lt;&gt;$C391,$D390&lt;&gt;$D391,NOT(ISNUMBER(M391)),NOT(ISNUMBER(M390)),(IF(ISNUMBER(G391),G391,F391)-IF(ISNUMBER(G390),G390,F390))=0),"",(M391-M390)/((IF(ISNUMBER(G391),G391,F391)-IF(ISNUMBER(G390),G390,F390))/100))</f>
        <v/>
      </c>
      <c r="V391" s="29" t="n"/>
      <c r="W391" s="29" t="n"/>
      <c r="X391" s="32" t="n"/>
    </row>
    <row r="392">
      <c r="A392" s="26" t="inlineStr">
        <is>
          <t>S33</t>
        </is>
      </c>
      <c r="B392" s="26" t="inlineStr">
        <is>
          <t>문산 신규점</t>
        </is>
      </c>
      <c r="C392" s="26" t="inlineStr">
        <is>
          <t>S33-V</t>
        </is>
      </c>
      <c r="D392" s="47" t="n">
        <v>1</v>
      </c>
      <c r="E392" s="26" t="inlineStr">
        <is>
          <t>측정</t>
        </is>
      </c>
      <c r="F392" s="47" t="n">
        <v>40</v>
      </c>
      <c r="G392" s="41" t="n"/>
      <c r="H392" s="29" t="n"/>
      <c r="I392" s="43" t="n"/>
      <c r="J392" s="41" t="n"/>
      <c r="K392" s="41" t="n"/>
      <c r="L392" s="41" t="n"/>
      <c r="M392" s="31">
        <f>IF(COUNT(J392:L392)=0,"",MEDIAN(J392:L392))</f>
        <v/>
      </c>
      <c r="N392" s="26">
        <f>IF(COUNTIFS($C:$C,$C392,$D:$D,$D392,$E:$E,"기준(전)",$M:$M,"&gt;0")&lt;&gt;1,"기준(전) 유효 1개 아님",IF(COUNTIFS($C:$C,$C392,$D:$D,$D392,$E:$E,"기준(후)",$M:$M,"&gt;0")&lt;&gt;1,"기준(후) 유효 1개 아님",IF(NOT(AND(ISNUMBER(O392),ISNUMBER(Q392),ISNUMBER(I392))),"시각 결측",IF(Q392&lt;=O392,"기준 시각 역전",IF(OR(I392&lt;O392,I392&gt;Q392),"측정시각 구간 밖","OK")))))</f>
        <v/>
      </c>
      <c r="O392" s="48">
        <f>IF(COUNTIFS($C:$C,$C392,$D:$D,$D392,$E:$E,"기준(전)",$M:$M,"&gt;0")&lt;&gt;1,"",SUMIFS($I:$I,$C:$C,$C392,$D:$D,$D392,$E:$E,"기준(전)"))</f>
        <v/>
      </c>
      <c r="P392" s="31">
        <f>IF(COUNTIFS($C:$C,$C392,$D:$D,$D392,$E:$E,"기준(전)",$M:$M,"&gt;0")&lt;&gt;1,"",SUMIFS($M:$M,$C:$C,$C392,$D:$D,$D392,$E:$E,"기준(전)"))</f>
        <v/>
      </c>
      <c r="Q392" s="48">
        <f>IF(COUNTIFS($C:$C,$C392,$D:$D,$D392,$E:$E,"기준(후)",$M:$M,"&gt;0")&lt;&gt;1,"",SUMIFS($I:$I,$C:$C,$C392,$D:$D,$D392,$E:$E,"기준(후)"))</f>
        <v/>
      </c>
      <c r="R392" s="31">
        <f>IF(COUNTIFS($C:$C,$C392,$D:$D,$D392,$E:$E,"기준(후)",$M:$M,"&gt;0")&lt;&gt;1,"",SUMIFS($M:$M,$C:$C,$C392,$D:$D,$D392,$E:$E,"기준(후)"))</f>
        <v/>
      </c>
      <c r="S392" s="31">
        <f>IF(N392&lt;&gt;"OK","",P392+(R392-P392)*(I392-O392)/(Q392-O392))</f>
        <v/>
      </c>
      <c r="T392" s="31">
        <f>IF(OR(N392&lt;&gt;"OK",NOT(ISNUMBER(M392))),"",M392-S392)</f>
        <v/>
      </c>
      <c r="U392" s="49">
        <f>IF(OR($E391&lt;&gt;"측정",$C391&lt;&gt;$C392,$D391&lt;&gt;$D392,NOT(ISNUMBER(M392)),NOT(ISNUMBER(M391)),(IF(ISNUMBER(G392),G392,F392)-IF(ISNUMBER(G391),G391,F391))=0),"",(M392-M391)/((IF(ISNUMBER(G392),G392,F392)-IF(ISNUMBER(G391),G391,F391))/100))</f>
        <v/>
      </c>
      <c r="V392" s="29" t="n"/>
      <c r="W392" s="29" t="n"/>
      <c r="X392" s="32" t="n"/>
    </row>
    <row r="393">
      <c r="A393" s="26" t="inlineStr">
        <is>
          <t>S33</t>
        </is>
      </c>
      <c r="B393" s="26" t="inlineStr">
        <is>
          <t>문산 신규점</t>
        </is>
      </c>
      <c r="C393" s="26" t="inlineStr">
        <is>
          <t>S33-V</t>
        </is>
      </c>
      <c r="D393" s="47" t="n">
        <v>1</v>
      </c>
      <c r="E393" s="26" t="inlineStr">
        <is>
          <t>측정</t>
        </is>
      </c>
      <c r="F393" s="47" t="n">
        <v>60</v>
      </c>
      <c r="G393" s="41" t="n"/>
      <c r="H393" s="29" t="n"/>
      <c r="I393" s="43" t="n"/>
      <c r="J393" s="41" t="n"/>
      <c r="K393" s="41" t="n"/>
      <c r="L393" s="41" t="n"/>
      <c r="M393" s="31">
        <f>IF(COUNT(J393:L393)=0,"",MEDIAN(J393:L393))</f>
        <v/>
      </c>
      <c r="N393" s="26">
        <f>IF(COUNTIFS($C:$C,$C393,$D:$D,$D393,$E:$E,"기준(전)",$M:$M,"&gt;0")&lt;&gt;1,"기준(전) 유효 1개 아님",IF(COUNTIFS($C:$C,$C393,$D:$D,$D393,$E:$E,"기준(후)",$M:$M,"&gt;0")&lt;&gt;1,"기준(후) 유효 1개 아님",IF(NOT(AND(ISNUMBER(O393),ISNUMBER(Q393),ISNUMBER(I393))),"시각 결측",IF(Q393&lt;=O393,"기준 시각 역전",IF(OR(I393&lt;O393,I393&gt;Q393),"측정시각 구간 밖","OK")))))</f>
        <v/>
      </c>
      <c r="O393" s="48">
        <f>IF(COUNTIFS($C:$C,$C393,$D:$D,$D393,$E:$E,"기준(전)",$M:$M,"&gt;0")&lt;&gt;1,"",SUMIFS($I:$I,$C:$C,$C393,$D:$D,$D393,$E:$E,"기준(전)"))</f>
        <v/>
      </c>
      <c r="P393" s="31">
        <f>IF(COUNTIFS($C:$C,$C393,$D:$D,$D393,$E:$E,"기준(전)",$M:$M,"&gt;0")&lt;&gt;1,"",SUMIFS($M:$M,$C:$C,$C393,$D:$D,$D393,$E:$E,"기준(전)"))</f>
        <v/>
      </c>
      <c r="Q393" s="48">
        <f>IF(COUNTIFS($C:$C,$C393,$D:$D,$D393,$E:$E,"기준(후)",$M:$M,"&gt;0")&lt;&gt;1,"",SUMIFS($I:$I,$C:$C,$C393,$D:$D,$D393,$E:$E,"기준(후)"))</f>
        <v/>
      </c>
      <c r="R393" s="31">
        <f>IF(COUNTIFS($C:$C,$C393,$D:$D,$D393,$E:$E,"기준(후)",$M:$M,"&gt;0")&lt;&gt;1,"",SUMIFS($M:$M,$C:$C,$C393,$D:$D,$D393,$E:$E,"기준(후)"))</f>
        <v/>
      </c>
      <c r="S393" s="31">
        <f>IF(N393&lt;&gt;"OK","",P393+(R393-P393)*(I393-O393)/(Q393-O393))</f>
        <v/>
      </c>
      <c r="T393" s="31">
        <f>IF(OR(N393&lt;&gt;"OK",NOT(ISNUMBER(M393))),"",M393-S393)</f>
        <v/>
      </c>
      <c r="U393" s="49">
        <f>IF(OR($E392&lt;&gt;"측정",$C392&lt;&gt;$C393,$D392&lt;&gt;$D393,NOT(ISNUMBER(M393)),NOT(ISNUMBER(M392)),(IF(ISNUMBER(G393),G393,F393)-IF(ISNUMBER(G392),G392,F392))=0),"",(M393-M392)/((IF(ISNUMBER(G393),G393,F393)-IF(ISNUMBER(G392),G392,F392))/100))</f>
        <v/>
      </c>
      <c r="V393" s="29" t="n"/>
      <c r="W393" s="29" t="n"/>
      <c r="X393" s="32" t="n"/>
    </row>
    <row r="394">
      <c r="A394" s="26" t="inlineStr">
        <is>
          <t>S33</t>
        </is>
      </c>
      <c r="B394" s="26" t="inlineStr">
        <is>
          <t>문산 신규점</t>
        </is>
      </c>
      <c r="C394" s="26" t="inlineStr">
        <is>
          <t>S33-V</t>
        </is>
      </c>
      <c r="D394" s="47" t="n">
        <v>1</v>
      </c>
      <c r="E394" s="26" t="inlineStr">
        <is>
          <t>측정</t>
        </is>
      </c>
      <c r="F394" s="47" t="n">
        <v>80</v>
      </c>
      <c r="G394" s="41" t="n"/>
      <c r="H394" s="29" t="n"/>
      <c r="I394" s="43" t="n"/>
      <c r="J394" s="41" t="n"/>
      <c r="K394" s="41" t="n"/>
      <c r="L394" s="41" t="n"/>
      <c r="M394" s="31">
        <f>IF(COUNT(J394:L394)=0,"",MEDIAN(J394:L394))</f>
        <v/>
      </c>
      <c r="N394" s="26">
        <f>IF(COUNTIFS($C:$C,$C394,$D:$D,$D394,$E:$E,"기준(전)",$M:$M,"&gt;0")&lt;&gt;1,"기준(전) 유효 1개 아님",IF(COUNTIFS($C:$C,$C394,$D:$D,$D394,$E:$E,"기준(후)",$M:$M,"&gt;0")&lt;&gt;1,"기준(후) 유효 1개 아님",IF(NOT(AND(ISNUMBER(O394),ISNUMBER(Q394),ISNUMBER(I394))),"시각 결측",IF(Q394&lt;=O394,"기준 시각 역전",IF(OR(I394&lt;O394,I394&gt;Q394),"측정시각 구간 밖","OK")))))</f>
        <v/>
      </c>
      <c r="O394" s="48">
        <f>IF(COUNTIFS($C:$C,$C394,$D:$D,$D394,$E:$E,"기준(전)",$M:$M,"&gt;0")&lt;&gt;1,"",SUMIFS($I:$I,$C:$C,$C394,$D:$D,$D394,$E:$E,"기준(전)"))</f>
        <v/>
      </c>
      <c r="P394" s="31">
        <f>IF(COUNTIFS($C:$C,$C394,$D:$D,$D394,$E:$E,"기준(전)",$M:$M,"&gt;0")&lt;&gt;1,"",SUMIFS($M:$M,$C:$C,$C394,$D:$D,$D394,$E:$E,"기준(전)"))</f>
        <v/>
      </c>
      <c r="Q394" s="48">
        <f>IF(COUNTIFS($C:$C,$C394,$D:$D,$D394,$E:$E,"기준(후)",$M:$M,"&gt;0")&lt;&gt;1,"",SUMIFS($I:$I,$C:$C,$C394,$D:$D,$D394,$E:$E,"기준(후)"))</f>
        <v/>
      </c>
      <c r="R394" s="31">
        <f>IF(COUNTIFS($C:$C,$C394,$D:$D,$D394,$E:$E,"기준(후)",$M:$M,"&gt;0")&lt;&gt;1,"",SUMIFS($M:$M,$C:$C,$C394,$D:$D,$D394,$E:$E,"기준(후)"))</f>
        <v/>
      </c>
      <c r="S394" s="31">
        <f>IF(N394&lt;&gt;"OK","",P394+(R394-P394)*(I394-O394)/(Q394-O394))</f>
        <v/>
      </c>
      <c r="T394" s="31">
        <f>IF(OR(N394&lt;&gt;"OK",NOT(ISNUMBER(M394))),"",M394-S394)</f>
        <v/>
      </c>
      <c r="U394" s="49">
        <f>IF(OR($E393&lt;&gt;"측정",$C393&lt;&gt;$C394,$D393&lt;&gt;$D394,NOT(ISNUMBER(M394)),NOT(ISNUMBER(M393)),(IF(ISNUMBER(G394),G394,F394)-IF(ISNUMBER(G393),G393,F393))=0),"",(M394-M393)/((IF(ISNUMBER(G394),G394,F394)-IF(ISNUMBER(G393),G393,F393))/100))</f>
        <v/>
      </c>
      <c r="V394" s="29" t="n"/>
      <c r="W394" s="29" t="n"/>
      <c r="X394" s="32" t="n"/>
    </row>
    <row r="395">
      <c r="A395" s="26" t="inlineStr">
        <is>
          <t>S33</t>
        </is>
      </c>
      <c r="B395" s="26" t="inlineStr">
        <is>
          <t>문산 신규점</t>
        </is>
      </c>
      <c r="C395" s="26" t="inlineStr">
        <is>
          <t>S33-V</t>
        </is>
      </c>
      <c r="D395" s="47" t="n">
        <v>1</v>
      </c>
      <c r="E395" s="26" t="inlineStr">
        <is>
          <t>측정</t>
        </is>
      </c>
      <c r="F395" s="47" t="n">
        <v>100</v>
      </c>
      <c r="G395" s="41" t="n"/>
      <c r="H395" s="29" t="n"/>
      <c r="I395" s="43" t="n"/>
      <c r="J395" s="41" t="n"/>
      <c r="K395" s="41" t="n"/>
      <c r="L395" s="41" t="n"/>
      <c r="M395" s="31">
        <f>IF(COUNT(J395:L395)=0,"",MEDIAN(J395:L395))</f>
        <v/>
      </c>
      <c r="N395" s="26">
        <f>IF(COUNTIFS($C:$C,$C395,$D:$D,$D395,$E:$E,"기준(전)",$M:$M,"&gt;0")&lt;&gt;1,"기준(전) 유효 1개 아님",IF(COUNTIFS($C:$C,$C395,$D:$D,$D395,$E:$E,"기준(후)",$M:$M,"&gt;0")&lt;&gt;1,"기준(후) 유효 1개 아님",IF(NOT(AND(ISNUMBER(O395),ISNUMBER(Q395),ISNUMBER(I395))),"시각 결측",IF(Q395&lt;=O395,"기준 시각 역전",IF(OR(I395&lt;O395,I395&gt;Q395),"측정시각 구간 밖","OK")))))</f>
        <v/>
      </c>
      <c r="O395" s="48">
        <f>IF(COUNTIFS($C:$C,$C395,$D:$D,$D395,$E:$E,"기준(전)",$M:$M,"&gt;0")&lt;&gt;1,"",SUMIFS($I:$I,$C:$C,$C395,$D:$D,$D395,$E:$E,"기준(전)"))</f>
        <v/>
      </c>
      <c r="P395" s="31">
        <f>IF(COUNTIFS($C:$C,$C395,$D:$D,$D395,$E:$E,"기준(전)",$M:$M,"&gt;0")&lt;&gt;1,"",SUMIFS($M:$M,$C:$C,$C395,$D:$D,$D395,$E:$E,"기준(전)"))</f>
        <v/>
      </c>
      <c r="Q395" s="48">
        <f>IF(COUNTIFS($C:$C,$C395,$D:$D,$D395,$E:$E,"기준(후)",$M:$M,"&gt;0")&lt;&gt;1,"",SUMIFS($I:$I,$C:$C,$C395,$D:$D,$D395,$E:$E,"기준(후)"))</f>
        <v/>
      </c>
      <c r="R395" s="31">
        <f>IF(COUNTIFS($C:$C,$C395,$D:$D,$D395,$E:$E,"기준(후)",$M:$M,"&gt;0")&lt;&gt;1,"",SUMIFS($M:$M,$C:$C,$C395,$D:$D,$D395,$E:$E,"기준(후)"))</f>
        <v/>
      </c>
      <c r="S395" s="31">
        <f>IF(N395&lt;&gt;"OK","",P395+(R395-P395)*(I395-O395)/(Q395-O395))</f>
        <v/>
      </c>
      <c r="T395" s="31">
        <f>IF(OR(N395&lt;&gt;"OK",NOT(ISNUMBER(M395))),"",M395-S395)</f>
        <v/>
      </c>
      <c r="U395" s="49">
        <f>IF(OR($E394&lt;&gt;"측정",$C394&lt;&gt;$C395,$D394&lt;&gt;$D395,NOT(ISNUMBER(M395)),NOT(ISNUMBER(M394)),(IF(ISNUMBER(G395),G395,F395)-IF(ISNUMBER(G394),G394,F394))=0),"",(M395-M394)/((IF(ISNUMBER(G395),G395,F395)-IF(ISNUMBER(G394),G394,F394))/100))</f>
        <v/>
      </c>
      <c r="V395" s="29" t="n"/>
      <c r="W395" s="29" t="n"/>
      <c r="X395" s="32" t="n"/>
    </row>
    <row r="396">
      <c r="A396" s="26" t="inlineStr">
        <is>
          <t>S33</t>
        </is>
      </c>
      <c r="B396" s="26" t="inlineStr">
        <is>
          <t>문산 신규점</t>
        </is>
      </c>
      <c r="C396" s="26" t="inlineStr">
        <is>
          <t>S33-V</t>
        </is>
      </c>
      <c r="D396" s="47" t="n">
        <v>1</v>
      </c>
      <c r="E396" s="26" t="inlineStr">
        <is>
          <t>측정</t>
        </is>
      </c>
      <c r="F396" s="47" t="n">
        <v>120</v>
      </c>
      <c r="G396" s="41" t="n"/>
      <c r="H396" s="29" t="n"/>
      <c r="I396" s="43" t="n"/>
      <c r="J396" s="41" t="n"/>
      <c r="K396" s="41" t="n"/>
      <c r="L396" s="41" t="n"/>
      <c r="M396" s="31">
        <f>IF(COUNT(J396:L396)=0,"",MEDIAN(J396:L396))</f>
        <v/>
      </c>
      <c r="N396" s="26">
        <f>IF(COUNTIFS($C:$C,$C396,$D:$D,$D396,$E:$E,"기준(전)",$M:$M,"&gt;0")&lt;&gt;1,"기준(전) 유효 1개 아님",IF(COUNTIFS($C:$C,$C396,$D:$D,$D396,$E:$E,"기준(후)",$M:$M,"&gt;0")&lt;&gt;1,"기준(후) 유효 1개 아님",IF(NOT(AND(ISNUMBER(O396),ISNUMBER(Q396),ISNUMBER(I396))),"시각 결측",IF(Q396&lt;=O396,"기준 시각 역전",IF(OR(I396&lt;O396,I396&gt;Q396),"측정시각 구간 밖","OK")))))</f>
        <v/>
      </c>
      <c r="O396" s="48">
        <f>IF(COUNTIFS($C:$C,$C396,$D:$D,$D396,$E:$E,"기준(전)",$M:$M,"&gt;0")&lt;&gt;1,"",SUMIFS($I:$I,$C:$C,$C396,$D:$D,$D396,$E:$E,"기준(전)"))</f>
        <v/>
      </c>
      <c r="P396" s="31">
        <f>IF(COUNTIFS($C:$C,$C396,$D:$D,$D396,$E:$E,"기준(전)",$M:$M,"&gt;0")&lt;&gt;1,"",SUMIFS($M:$M,$C:$C,$C396,$D:$D,$D396,$E:$E,"기준(전)"))</f>
        <v/>
      </c>
      <c r="Q396" s="48">
        <f>IF(COUNTIFS($C:$C,$C396,$D:$D,$D396,$E:$E,"기준(후)",$M:$M,"&gt;0")&lt;&gt;1,"",SUMIFS($I:$I,$C:$C,$C396,$D:$D,$D396,$E:$E,"기준(후)"))</f>
        <v/>
      </c>
      <c r="R396" s="31">
        <f>IF(COUNTIFS($C:$C,$C396,$D:$D,$D396,$E:$E,"기준(후)",$M:$M,"&gt;0")&lt;&gt;1,"",SUMIFS($M:$M,$C:$C,$C396,$D:$D,$D396,$E:$E,"기준(후)"))</f>
        <v/>
      </c>
      <c r="S396" s="31">
        <f>IF(N396&lt;&gt;"OK","",P396+(R396-P396)*(I396-O396)/(Q396-O396))</f>
        <v/>
      </c>
      <c r="T396" s="31">
        <f>IF(OR(N396&lt;&gt;"OK",NOT(ISNUMBER(M396))),"",M396-S396)</f>
        <v/>
      </c>
      <c r="U396" s="49">
        <f>IF(OR($E395&lt;&gt;"측정",$C395&lt;&gt;$C396,$D395&lt;&gt;$D396,NOT(ISNUMBER(M396)),NOT(ISNUMBER(M395)),(IF(ISNUMBER(G396),G396,F396)-IF(ISNUMBER(G395),G395,F395))=0),"",(M396-M395)/((IF(ISNUMBER(G396),G396,F396)-IF(ISNUMBER(G395),G395,F395))/100))</f>
        <v/>
      </c>
      <c r="V396" s="29" t="n"/>
      <c r="W396" s="29" t="n"/>
      <c r="X396" s="32" t="n"/>
    </row>
    <row r="397">
      <c r="A397" s="26" t="inlineStr">
        <is>
          <t>S33</t>
        </is>
      </c>
      <c r="B397" s="26" t="inlineStr">
        <is>
          <t>문산 신규점</t>
        </is>
      </c>
      <c r="C397" s="26" t="inlineStr">
        <is>
          <t>S33-V</t>
        </is>
      </c>
      <c r="D397" s="47" t="n">
        <v>1</v>
      </c>
      <c r="E397" s="26" t="inlineStr">
        <is>
          <t>측정</t>
        </is>
      </c>
      <c r="F397" s="47" t="n">
        <v>140</v>
      </c>
      <c r="G397" s="41" t="n"/>
      <c r="H397" s="29" t="n"/>
      <c r="I397" s="43" t="n"/>
      <c r="J397" s="41" t="n"/>
      <c r="K397" s="41" t="n"/>
      <c r="L397" s="41" t="n"/>
      <c r="M397" s="31">
        <f>IF(COUNT(J397:L397)=0,"",MEDIAN(J397:L397))</f>
        <v/>
      </c>
      <c r="N397" s="26">
        <f>IF(COUNTIFS($C:$C,$C397,$D:$D,$D397,$E:$E,"기준(전)",$M:$M,"&gt;0")&lt;&gt;1,"기준(전) 유효 1개 아님",IF(COUNTIFS($C:$C,$C397,$D:$D,$D397,$E:$E,"기준(후)",$M:$M,"&gt;0")&lt;&gt;1,"기준(후) 유효 1개 아님",IF(NOT(AND(ISNUMBER(O397),ISNUMBER(Q397),ISNUMBER(I397))),"시각 결측",IF(Q397&lt;=O397,"기준 시각 역전",IF(OR(I397&lt;O397,I397&gt;Q397),"측정시각 구간 밖","OK")))))</f>
        <v/>
      </c>
      <c r="O397" s="48">
        <f>IF(COUNTIFS($C:$C,$C397,$D:$D,$D397,$E:$E,"기준(전)",$M:$M,"&gt;0")&lt;&gt;1,"",SUMIFS($I:$I,$C:$C,$C397,$D:$D,$D397,$E:$E,"기준(전)"))</f>
        <v/>
      </c>
      <c r="P397" s="31">
        <f>IF(COUNTIFS($C:$C,$C397,$D:$D,$D397,$E:$E,"기준(전)",$M:$M,"&gt;0")&lt;&gt;1,"",SUMIFS($M:$M,$C:$C,$C397,$D:$D,$D397,$E:$E,"기준(전)"))</f>
        <v/>
      </c>
      <c r="Q397" s="48">
        <f>IF(COUNTIFS($C:$C,$C397,$D:$D,$D397,$E:$E,"기준(후)",$M:$M,"&gt;0")&lt;&gt;1,"",SUMIFS($I:$I,$C:$C,$C397,$D:$D,$D397,$E:$E,"기준(후)"))</f>
        <v/>
      </c>
      <c r="R397" s="31">
        <f>IF(COUNTIFS($C:$C,$C397,$D:$D,$D397,$E:$E,"기준(후)",$M:$M,"&gt;0")&lt;&gt;1,"",SUMIFS($M:$M,$C:$C,$C397,$D:$D,$D397,$E:$E,"기준(후)"))</f>
        <v/>
      </c>
      <c r="S397" s="31">
        <f>IF(N397&lt;&gt;"OK","",P397+(R397-P397)*(I397-O397)/(Q397-O397))</f>
        <v/>
      </c>
      <c r="T397" s="31">
        <f>IF(OR(N397&lt;&gt;"OK",NOT(ISNUMBER(M397))),"",M397-S397)</f>
        <v/>
      </c>
      <c r="U397" s="49">
        <f>IF(OR($E396&lt;&gt;"측정",$C396&lt;&gt;$C397,$D396&lt;&gt;$D397,NOT(ISNUMBER(M397)),NOT(ISNUMBER(M396)),(IF(ISNUMBER(G397),G397,F397)-IF(ISNUMBER(G396),G396,F396))=0),"",(M397-M396)/((IF(ISNUMBER(G397),G397,F397)-IF(ISNUMBER(G396),G396,F396))/100))</f>
        <v/>
      </c>
      <c r="V397" s="29" t="n"/>
      <c r="W397" s="29" t="n"/>
      <c r="X397" s="32" t="n"/>
    </row>
    <row r="398">
      <c r="A398" s="26" t="inlineStr">
        <is>
          <t>S33</t>
        </is>
      </c>
      <c r="B398" s="26" t="inlineStr">
        <is>
          <t>문산 신규점</t>
        </is>
      </c>
      <c r="C398" s="26" t="inlineStr">
        <is>
          <t>S33-V</t>
        </is>
      </c>
      <c r="D398" s="47" t="n">
        <v>1</v>
      </c>
      <c r="E398" s="26" t="inlineStr">
        <is>
          <t>측정</t>
        </is>
      </c>
      <c r="F398" s="47" t="n">
        <v>160</v>
      </c>
      <c r="G398" s="41" t="n"/>
      <c r="H398" s="29" t="n"/>
      <c r="I398" s="43" t="n"/>
      <c r="J398" s="41" t="n"/>
      <c r="K398" s="41" t="n"/>
      <c r="L398" s="41" t="n"/>
      <c r="M398" s="31">
        <f>IF(COUNT(J398:L398)=0,"",MEDIAN(J398:L398))</f>
        <v/>
      </c>
      <c r="N398" s="26">
        <f>IF(COUNTIFS($C:$C,$C398,$D:$D,$D398,$E:$E,"기준(전)",$M:$M,"&gt;0")&lt;&gt;1,"기준(전) 유효 1개 아님",IF(COUNTIFS($C:$C,$C398,$D:$D,$D398,$E:$E,"기준(후)",$M:$M,"&gt;0")&lt;&gt;1,"기준(후) 유효 1개 아님",IF(NOT(AND(ISNUMBER(O398),ISNUMBER(Q398),ISNUMBER(I398))),"시각 결측",IF(Q398&lt;=O398,"기준 시각 역전",IF(OR(I398&lt;O398,I398&gt;Q398),"측정시각 구간 밖","OK")))))</f>
        <v/>
      </c>
      <c r="O398" s="48">
        <f>IF(COUNTIFS($C:$C,$C398,$D:$D,$D398,$E:$E,"기준(전)",$M:$M,"&gt;0")&lt;&gt;1,"",SUMIFS($I:$I,$C:$C,$C398,$D:$D,$D398,$E:$E,"기준(전)"))</f>
        <v/>
      </c>
      <c r="P398" s="31">
        <f>IF(COUNTIFS($C:$C,$C398,$D:$D,$D398,$E:$E,"기준(전)",$M:$M,"&gt;0")&lt;&gt;1,"",SUMIFS($M:$M,$C:$C,$C398,$D:$D,$D398,$E:$E,"기준(전)"))</f>
        <v/>
      </c>
      <c r="Q398" s="48">
        <f>IF(COUNTIFS($C:$C,$C398,$D:$D,$D398,$E:$E,"기준(후)",$M:$M,"&gt;0")&lt;&gt;1,"",SUMIFS($I:$I,$C:$C,$C398,$D:$D,$D398,$E:$E,"기준(후)"))</f>
        <v/>
      </c>
      <c r="R398" s="31">
        <f>IF(COUNTIFS($C:$C,$C398,$D:$D,$D398,$E:$E,"기준(후)",$M:$M,"&gt;0")&lt;&gt;1,"",SUMIFS($M:$M,$C:$C,$C398,$D:$D,$D398,$E:$E,"기준(후)"))</f>
        <v/>
      </c>
      <c r="S398" s="31">
        <f>IF(N398&lt;&gt;"OK","",P398+(R398-P398)*(I398-O398)/(Q398-O398))</f>
        <v/>
      </c>
      <c r="T398" s="31">
        <f>IF(OR(N398&lt;&gt;"OK",NOT(ISNUMBER(M398))),"",M398-S398)</f>
        <v/>
      </c>
      <c r="U398" s="49">
        <f>IF(OR($E397&lt;&gt;"측정",$C397&lt;&gt;$C398,$D397&lt;&gt;$D398,NOT(ISNUMBER(M398)),NOT(ISNUMBER(M397)),(IF(ISNUMBER(G398),G398,F398)-IF(ISNUMBER(G397),G397,F397))=0),"",(M398-M397)/((IF(ISNUMBER(G398),G398,F398)-IF(ISNUMBER(G397),G397,F397))/100))</f>
        <v/>
      </c>
      <c r="V398" s="29" t="n"/>
      <c r="W398" s="29" t="n"/>
      <c r="X398" s="32" t="n"/>
    </row>
    <row r="399">
      <c r="A399" s="26" t="inlineStr">
        <is>
          <t>S33</t>
        </is>
      </c>
      <c r="B399" s="26" t="inlineStr">
        <is>
          <t>문산 신규점</t>
        </is>
      </c>
      <c r="C399" s="26" t="inlineStr">
        <is>
          <t>S33-V</t>
        </is>
      </c>
      <c r="D399" s="47" t="n">
        <v>1</v>
      </c>
      <c r="E399" s="26" t="inlineStr">
        <is>
          <t>측정</t>
        </is>
      </c>
      <c r="F399" s="47" t="n">
        <v>180</v>
      </c>
      <c r="G399" s="41" t="n"/>
      <c r="H399" s="29" t="n"/>
      <c r="I399" s="43" t="n"/>
      <c r="J399" s="41" t="n"/>
      <c r="K399" s="41" t="n"/>
      <c r="L399" s="41" t="n"/>
      <c r="M399" s="31">
        <f>IF(COUNT(J399:L399)=0,"",MEDIAN(J399:L399))</f>
        <v/>
      </c>
      <c r="N399" s="26">
        <f>IF(COUNTIFS($C:$C,$C399,$D:$D,$D399,$E:$E,"기준(전)",$M:$M,"&gt;0")&lt;&gt;1,"기준(전) 유효 1개 아님",IF(COUNTIFS($C:$C,$C399,$D:$D,$D399,$E:$E,"기준(후)",$M:$M,"&gt;0")&lt;&gt;1,"기준(후) 유효 1개 아님",IF(NOT(AND(ISNUMBER(O399),ISNUMBER(Q399),ISNUMBER(I399))),"시각 결측",IF(Q399&lt;=O399,"기준 시각 역전",IF(OR(I399&lt;O399,I399&gt;Q399),"측정시각 구간 밖","OK")))))</f>
        <v/>
      </c>
      <c r="O399" s="48">
        <f>IF(COUNTIFS($C:$C,$C399,$D:$D,$D399,$E:$E,"기준(전)",$M:$M,"&gt;0")&lt;&gt;1,"",SUMIFS($I:$I,$C:$C,$C399,$D:$D,$D399,$E:$E,"기준(전)"))</f>
        <v/>
      </c>
      <c r="P399" s="31">
        <f>IF(COUNTIFS($C:$C,$C399,$D:$D,$D399,$E:$E,"기준(전)",$M:$M,"&gt;0")&lt;&gt;1,"",SUMIFS($M:$M,$C:$C,$C399,$D:$D,$D399,$E:$E,"기준(전)"))</f>
        <v/>
      </c>
      <c r="Q399" s="48">
        <f>IF(COUNTIFS($C:$C,$C399,$D:$D,$D399,$E:$E,"기준(후)",$M:$M,"&gt;0")&lt;&gt;1,"",SUMIFS($I:$I,$C:$C,$C399,$D:$D,$D399,$E:$E,"기준(후)"))</f>
        <v/>
      </c>
      <c r="R399" s="31">
        <f>IF(COUNTIFS($C:$C,$C399,$D:$D,$D399,$E:$E,"기준(후)",$M:$M,"&gt;0")&lt;&gt;1,"",SUMIFS($M:$M,$C:$C,$C399,$D:$D,$D399,$E:$E,"기준(후)"))</f>
        <v/>
      </c>
      <c r="S399" s="31">
        <f>IF(N399&lt;&gt;"OK","",P399+(R399-P399)*(I399-O399)/(Q399-O399))</f>
        <v/>
      </c>
      <c r="T399" s="31">
        <f>IF(OR(N399&lt;&gt;"OK",NOT(ISNUMBER(M399))),"",M399-S399)</f>
        <v/>
      </c>
      <c r="U399" s="49">
        <f>IF(OR($E398&lt;&gt;"측정",$C398&lt;&gt;$C399,$D398&lt;&gt;$D399,NOT(ISNUMBER(M399)),NOT(ISNUMBER(M398)),(IF(ISNUMBER(G399),G399,F399)-IF(ISNUMBER(G398),G398,F398))=0),"",(M399-M398)/((IF(ISNUMBER(G399),G399,F399)-IF(ISNUMBER(G398),G398,F398))/100))</f>
        <v/>
      </c>
      <c r="V399" s="29" t="n"/>
      <c r="W399" s="29" t="n"/>
      <c r="X399" s="32" t="n"/>
    </row>
    <row r="400">
      <c r="A400" s="26" t="inlineStr">
        <is>
          <t>S33</t>
        </is>
      </c>
      <c r="B400" s="26" t="inlineStr">
        <is>
          <t>문산 신규점</t>
        </is>
      </c>
      <c r="C400" s="26" t="inlineStr">
        <is>
          <t>S33-V</t>
        </is>
      </c>
      <c r="D400" s="47" t="n">
        <v>1</v>
      </c>
      <c r="E400" s="26" t="inlineStr">
        <is>
          <t>측정</t>
        </is>
      </c>
      <c r="F400" s="47" t="n">
        <v>200</v>
      </c>
      <c r="G400" s="41" t="n"/>
      <c r="H400" s="29" t="n"/>
      <c r="I400" s="43" t="n"/>
      <c r="J400" s="41" t="n"/>
      <c r="K400" s="41" t="n"/>
      <c r="L400" s="41" t="n"/>
      <c r="M400" s="31">
        <f>IF(COUNT(J400:L400)=0,"",MEDIAN(J400:L400))</f>
        <v/>
      </c>
      <c r="N400" s="26">
        <f>IF(COUNTIFS($C:$C,$C400,$D:$D,$D400,$E:$E,"기준(전)",$M:$M,"&gt;0")&lt;&gt;1,"기준(전) 유효 1개 아님",IF(COUNTIFS($C:$C,$C400,$D:$D,$D400,$E:$E,"기준(후)",$M:$M,"&gt;0")&lt;&gt;1,"기준(후) 유효 1개 아님",IF(NOT(AND(ISNUMBER(O400),ISNUMBER(Q400),ISNUMBER(I400))),"시각 결측",IF(Q400&lt;=O400,"기준 시각 역전",IF(OR(I400&lt;O400,I400&gt;Q400),"측정시각 구간 밖","OK")))))</f>
        <v/>
      </c>
      <c r="O400" s="48">
        <f>IF(COUNTIFS($C:$C,$C400,$D:$D,$D400,$E:$E,"기준(전)",$M:$M,"&gt;0")&lt;&gt;1,"",SUMIFS($I:$I,$C:$C,$C400,$D:$D,$D400,$E:$E,"기준(전)"))</f>
        <v/>
      </c>
      <c r="P400" s="31">
        <f>IF(COUNTIFS($C:$C,$C400,$D:$D,$D400,$E:$E,"기준(전)",$M:$M,"&gt;0")&lt;&gt;1,"",SUMIFS($M:$M,$C:$C,$C400,$D:$D,$D400,$E:$E,"기준(전)"))</f>
        <v/>
      </c>
      <c r="Q400" s="48">
        <f>IF(COUNTIFS($C:$C,$C400,$D:$D,$D400,$E:$E,"기준(후)",$M:$M,"&gt;0")&lt;&gt;1,"",SUMIFS($I:$I,$C:$C,$C400,$D:$D,$D400,$E:$E,"기준(후)"))</f>
        <v/>
      </c>
      <c r="R400" s="31">
        <f>IF(COUNTIFS($C:$C,$C400,$D:$D,$D400,$E:$E,"기준(후)",$M:$M,"&gt;0")&lt;&gt;1,"",SUMIFS($M:$M,$C:$C,$C400,$D:$D,$D400,$E:$E,"기준(후)"))</f>
        <v/>
      </c>
      <c r="S400" s="31">
        <f>IF(N400&lt;&gt;"OK","",P400+(R400-P400)*(I400-O400)/(Q400-O400))</f>
        <v/>
      </c>
      <c r="T400" s="31">
        <f>IF(OR(N400&lt;&gt;"OK",NOT(ISNUMBER(M400))),"",M400-S400)</f>
        <v/>
      </c>
      <c r="U400" s="49">
        <f>IF(OR($E399&lt;&gt;"측정",$C399&lt;&gt;$C400,$D399&lt;&gt;$D400,NOT(ISNUMBER(M400)),NOT(ISNUMBER(M399)),(IF(ISNUMBER(G400),G400,F400)-IF(ISNUMBER(G399),G399,F399))=0),"",(M400-M399)/((IF(ISNUMBER(G400),G400,F400)-IF(ISNUMBER(G399),G399,F399))/100))</f>
        <v/>
      </c>
      <c r="V400" s="29" t="n"/>
      <c r="W400" s="29" t="n"/>
      <c r="X400" s="32" t="n"/>
    </row>
    <row r="401">
      <c r="A401" s="44" t="inlineStr">
        <is>
          <t>S33</t>
        </is>
      </c>
      <c r="B401" s="44" t="inlineStr">
        <is>
          <t>문산 신규점</t>
        </is>
      </c>
      <c r="C401" s="44" t="inlineStr">
        <is>
          <t>S33-V</t>
        </is>
      </c>
      <c r="D401" s="45" t="n">
        <v>1</v>
      </c>
      <c r="E401" s="44" t="inlineStr">
        <is>
          <t>기준(후)</t>
        </is>
      </c>
      <c r="F401" s="45" t="n"/>
      <c r="G401" s="41" t="n"/>
      <c r="H401" s="29" t="n"/>
      <c r="I401" s="43" t="n"/>
      <c r="J401" s="41" t="n"/>
      <c r="K401" s="41" t="n"/>
      <c r="L401" s="41" t="n"/>
      <c r="M401" s="31">
        <f>IF(COUNT(J401:L401)=0,"",MEDIAN(J401:L401))</f>
        <v/>
      </c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29" t="n"/>
      <c r="W401" s="29" t="n"/>
      <c r="X401" s="32" t="n"/>
    </row>
    <row r="402">
      <c r="A402" s="44" t="inlineStr">
        <is>
          <t>S34</t>
        </is>
      </c>
      <c r="B402" s="44" t="inlineStr">
        <is>
          <t>부안 신규점</t>
        </is>
      </c>
      <c r="C402" s="44" t="inlineStr">
        <is>
          <t>S34-V</t>
        </is>
      </c>
      <c r="D402" s="45" t="n">
        <v>1</v>
      </c>
      <c r="E402" s="44" t="inlineStr">
        <is>
          <t>기준(전)</t>
        </is>
      </c>
      <c r="F402" s="45" t="n"/>
      <c r="G402" s="41" t="n"/>
      <c r="H402" s="29" t="n"/>
      <c r="I402" s="43" t="n"/>
      <c r="J402" s="41" t="n"/>
      <c r="K402" s="41" t="n"/>
      <c r="L402" s="41" t="n"/>
      <c r="M402" s="31">
        <f>IF(COUNT(J402:L402)=0,"",MEDIAN(J402:L402))</f>
        <v/>
      </c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29" t="n"/>
      <c r="W402" s="29" t="n"/>
      <c r="X402" s="32" t="n"/>
    </row>
    <row r="403">
      <c r="A403" s="26" t="inlineStr">
        <is>
          <t>S34</t>
        </is>
      </c>
      <c r="B403" s="26" t="inlineStr">
        <is>
          <t>부안 신규점</t>
        </is>
      </c>
      <c r="C403" s="26" t="inlineStr">
        <is>
          <t>S34-V</t>
        </is>
      </c>
      <c r="D403" s="47" t="n">
        <v>1</v>
      </c>
      <c r="E403" s="26" t="inlineStr">
        <is>
          <t>측정</t>
        </is>
      </c>
      <c r="F403" s="47" t="n">
        <v>20</v>
      </c>
      <c r="G403" s="41" t="n"/>
      <c r="H403" s="29" t="n"/>
      <c r="I403" s="43" t="n"/>
      <c r="J403" s="41" t="n"/>
      <c r="K403" s="41" t="n"/>
      <c r="L403" s="41" t="n"/>
      <c r="M403" s="31">
        <f>IF(COUNT(J403:L403)=0,"",MEDIAN(J403:L403))</f>
        <v/>
      </c>
      <c r="N403" s="26">
        <f>IF(COUNTIFS($C:$C,$C403,$D:$D,$D403,$E:$E,"기준(전)",$M:$M,"&gt;0")&lt;&gt;1,"기준(전) 유효 1개 아님",IF(COUNTIFS($C:$C,$C403,$D:$D,$D403,$E:$E,"기준(후)",$M:$M,"&gt;0")&lt;&gt;1,"기준(후) 유효 1개 아님",IF(NOT(AND(ISNUMBER(O403),ISNUMBER(Q403),ISNUMBER(I403))),"시각 결측",IF(Q403&lt;=O403,"기준 시각 역전",IF(OR(I403&lt;O403,I403&gt;Q403),"측정시각 구간 밖","OK")))))</f>
        <v/>
      </c>
      <c r="O403" s="48">
        <f>IF(COUNTIFS($C:$C,$C403,$D:$D,$D403,$E:$E,"기준(전)",$M:$M,"&gt;0")&lt;&gt;1,"",SUMIFS($I:$I,$C:$C,$C403,$D:$D,$D403,$E:$E,"기준(전)"))</f>
        <v/>
      </c>
      <c r="P403" s="31">
        <f>IF(COUNTIFS($C:$C,$C403,$D:$D,$D403,$E:$E,"기준(전)",$M:$M,"&gt;0")&lt;&gt;1,"",SUMIFS($M:$M,$C:$C,$C403,$D:$D,$D403,$E:$E,"기준(전)"))</f>
        <v/>
      </c>
      <c r="Q403" s="48">
        <f>IF(COUNTIFS($C:$C,$C403,$D:$D,$D403,$E:$E,"기준(후)",$M:$M,"&gt;0")&lt;&gt;1,"",SUMIFS($I:$I,$C:$C,$C403,$D:$D,$D403,$E:$E,"기준(후)"))</f>
        <v/>
      </c>
      <c r="R403" s="31">
        <f>IF(COUNTIFS($C:$C,$C403,$D:$D,$D403,$E:$E,"기준(후)",$M:$M,"&gt;0")&lt;&gt;1,"",SUMIFS($M:$M,$C:$C,$C403,$D:$D,$D403,$E:$E,"기준(후)"))</f>
        <v/>
      </c>
      <c r="S403" s="31">
        <f>IF(N403&lt;&gt;"OK","",P403+(R403-P403)*(I403-O403)/(Q403-O403))</f>
        <v/>
      </c>
      <c r="T403" s="31">
        <f>IF(OR(N403&lt;&gt;"OK",NOT(ISNUMBER(M403))),"",M403-S403)</f>
        <v/>
      </c>
      <c r="U403" s="49">
        <f>IF(OR($E402&lt;&gt;"측정",$C402&lt;&gt;$C403,$D402&lt;&gt;$D403,NOT(ISNUMBER(M403)),NOT(ISNUMBER(M402)),(IF(ISNUMBER(G403),G403,F403)-IF(ISNUMBER(G402),G402,F402))=0),"",(M403-M402)/((IF(ISNUMBER(G403),G403,F403)-IF(ISNUMBER(G402),G402,F402))/100))</f>
        <v/>
      </c>
      <c r="V403" s="29" t="n"/>
      <c r="W403" s="29" t="n"/>
      <c r="X403" s="32" t="n"/>
    </row>
    <row r="404">
      <c r="A404" s="26" t="inlineStr">
        <is>
          <t>S34</t>
        </is>
      </c>
      <c r="B404" s="26" t="inlineStr">
        <is>
          <t>부안 신규점</t>
        </is>
      </c>
      <c r="C404" s="26" t="inlineStr">
        <is>
          <t>S34-V</t>
        </is>
      </c>
      <c r="D404" s="47" t="n">
        <v>1</v>
      </c>
      <c r="E404" s="26" t="inlineStr">
        <is>
          <t>측정</t>
        </is>
      </c>
      <c r="F404" s="47" t="n">
        <v>40</v>
      </c>
      <c r="G404" s="41" t="n"/>
      <c r="H404" s="29" t="n"/>
      <c r="I404" s="43" t="n"/>
      <c r="J404" s="41" t="n"/>
      <c r="K404" s="41" t="n"/>
      <c r="L404" s="41" t="n"/>
      <c r="M404" s="31">
        <f>IF(COUNT(J404:L404)=0,"",MEDIAN(J404:L404))</f>
        <v/>
      </c>
      <c r="N404" s="26">
        <f>IF(COUNTIFS($C:$C,$C404,$D:$D,$D404,$E:$E,"기준(전)",$M:$M,"&gt;0")&lt;&gt;1,"기준(전) 유효 1개 아님",IF(COUNTIFS($C:$C,$C404,$D:$D,$D404,$E:$E,"기준(후)",$M:$M,"&gt;0")&lt;&gt;1,"기준(후) 유효 1개 아님",IF(NOT(AND(ISNUMBER(O404),ISNUMBER(Q404),ISNUMBER(I404))),"시각 결측",IF(Q404&lt;=O404,"기준 시각 역전",IF(OR(I404&lt;O404,I404&gt;Q404),"측정시각 구간 밖","OK")))))</f>
        <v/>
      </c>
      <c r="O404" s="48">
        <f>IF(COUNTIFS($C:$C,$C404,$D:$D,$D404,$E:$E,"기준(전)",$M:$M,"&gt;0")&lt;&gt;1,"",SUMIFS($I:$I,$C:$C,$C404,$D:$D,$D404,$E:$E,"기준(전)"))</f>
        <v/>
      </c>
      <c r="P404" s="31">
        <f>IF(COUNTIFS($C:$C,$C404,$D:$D,$D404,$E:$E,"기준(전)",$M:$M,"&gt;0")&lt;&gt;1,"",SUMIFS($M:$M,$C:$C,$C404,$D:$D,$D404,$E:$E,"기준(전)"))</f>
        <v/>
      </c>
      <c r="Q404" s="48">
        <f>IF(COUNTIFS($C:$C,$C404,$D:$D,$D404,$E:$E,"기준(후)",$M:$M,"&gt;0")&lt;&gt;1,"",SUMIFS($I:$I,$C:$C,$C404,$D:$D,$D404,$E:$E,"기준(후)"))</f>
        <v/>
      </c>
      <c r="R404" s="31">
        <f>IF(COUNTIFS($C:$C,$C404,$D:$D,$D404,$E:$E,"기준(후)",$M:$M,"&gt;0")&lt;&gt;1,"",SUMIFS($M:$M,$C:$C,$C404,$D:$D,$D404,$E:$E,"기준(후)"))</f>
        <v/>
      </c>
      <c r="S404" s="31">
        <f>IF(N404&lt;&gt;"OK","",P404+(R404-P404)*(I404-O404)/(Q404-O404))</f>
        <v/>
      </c>
      <c r="T404" s="31">
        <f>IF(OR(N404&lt;&gt;"OK",NOT(ISNUMBER(M404))),"",M404-S404)</f>
        <v/>
      </c>
      <c r="U404" s="49">
        <f>IF(OR($E403&lt;&gt;"측정",$C403&lt;&gt;$C404,$D403&lt;&gt;$D404,NOT(ISNUMBER(M404)),NOT(ISNUMBER(M403)),(IF(ISNUMBER(G404),G404,F404)-IF(ISNUMBER(G403),G403,F403))=0),"",(M404-M403)/((IF(ISNUMBER(G404),G404,F404)-IF(ISNUMBER(G403),G403,F403))/100))</f>
        <v/>
      </c>
      <c r="V404" s="29" t="n"/>
      <c r="W404" s="29" t="n"/>
      <c r="X404" s="32" t="n"/>
    </row>
    <row r="405">
      <c r="A405" s="26" t="inlineStr">
        <is>
          <t>S34</t>
        </is>
      </c>
      <c r="B405" s="26" t="inlineStr">
        <is>
          <t>부안 신규점</t>
        </is>
      </c>
      <c r="C405" s="26" t="inlineStr">
        <is>
          <t>S34-V</t>
        </is>
      </c>
      <c r="D405" s="47" t="n">
        <v>1</v>
      </c>
      <c r="E405" s="26" t="inlineStr">
        <is>
          <t>측정</t>
        </is>
      </c>
      <c r="F405" s="47" t="n">
        <v>60</v>
      </c>
      <c r="G405" s="41" t="n"/>
      <c r="H405" s="29" t="n"/>
      <c r="I405" s="43" t="n"/>
      <c r="J405" s="41" t="n"/>
      <c r="K405" s="41" t="n"/>
      <c r="L405" s="41" t="n"/>
      <c r="M405" s="31">
        <f>IF(COUNT(J405:L405)=0,"",MEDIAN(J405:L405))</f>
        <v/>
      </c>
      <c r="N405" s="26">
        <f>IF(COUNTIFS($C:$C,$C405,$D:$D,$D405,$E:$E,"기준(전)",$M:$M,"&gt;0")&lt;&gt;1,"기준(전) 유효 1개 아님",IF(COUNTIFS($C:$C,$C405,$D:$D,$D405,$E:$E,"기준(후)",$M:$M,"&gt;0")&lt;&gt;1,"기준(후) 유효 1개 아님",IF(NOT(AND(ISNUMBER(O405),ISNUMBER(Q405),ISNUMBER(I405))),"시각 결측",IF(Q405&lt;=O405,"기준 시각 역전",IF(OR(I405&lt;O405,I405&gt;Q405),"측정시각 구간 밖","OK")))))</f>
        <v/>
      </c>
      <c r="O405" s="48">
        <f>IF(COUNTIFS($C:$C,$C405,$D:$D,$D405,$E:$E,"기준(전)",$M:$M,"&gt;0")&lt;&gt;1,"",SUMIFS($I:$I,$C:$C,$C405,$D:$D,$D405,$E:$E,"기준(전)"))</f>
        <v/>
      </c>
      <c r="P405" s="31">
        <f>IF(COUNTIFS($C:$C,$C405,$D:$D,$D405,$E:$E,"기준(전)",$M:$M,"&gt;0")&lt;&gt;1,"",SUMIFS($M:$M,$C:$C,$C405,$D:$D,$D405,$E:$E,"기준(전)"))</f>
        <v/>
      </c>
      <c r="Q405" s="48">
        <f>IF(COUNTIFS($C:$C,$C405,$D:$D,$D405,$E:$E,"기준(후)",$M:$M,"&gt;0")&lt;&gt;1,"",SUMIFS($I:$I,$C:$C,$C405,$D:$D,$D405,$E:$E,"기준(후)"))</f>
        <v/>
      </c>
      <c r="R405" s="31">
        <f>IF(COUNTIFS($C:$C,$C405,$D:$D,$D405,$E:$E,"기준(후)",$M:$M,"&gt;0")&lt;&gt;1,"",SUMIFS($M:$M,$C:$C,$C405,$D:$D,$D405,$E:$E,"기준(후)"))</f>
        <v/>
      </c>
      <c r="S405" s="31">
        <f>IF(N405&lt;&gt;"OK","",P405+(R405-P405)*(I405-O405)/(Q405-O405))</f>
        <v/>
      </c>
      <c r="T405" s="31">
        <f>IF(OR(N405&lt;&gt;"OK",NOT(ISNUMBER(M405))),"",M405-S405)</f>
        <v/>
      </c>
      <c r="U405" s="49">
        <f>IF(OR($E404&lt;&gt;"측정",$C404&lt;&gt;$C405,$D404&lt;&gt;$D405,NOT(ISNUMBER(M405)),NOT(ISNUMBER(M404)),(IF(ISNUMBER(G405),G405,F405)-IF(ISNUMBER(G404),G404,F404))=0),"",(M405-M404)/((IF(ISNUMBER(G405),G405,F405)-IF(ISNUMBER(G404),G404,F404))/100))</f>
        <v/>
      </c>
      <c r="V405" s="29" t="n"/>
      <c r="W405" s="29" t="n"/>
      <c r="X405" s="32" t="n"/>
    </row>
    <row r="406">
      <c r="A406" s="26" t="inlineStr">
        <is>
          <t>S34</t>
        </is>
      </c>
      <c r="B406" s="26" t="inlineStr">
        <is>
          <t>부안 신규점</t>
        </is>
      </c>
      <c r="C406" s="26" t="inlineStr">
        <is>
          <t>S34-V</t>
        </is>
      </c>
      <c r="D406" s="47" t="n">
        <v>1</v>
      </c>
      <c r="E406" s="26" t="inlineStr">
        <is>
          <t>측정</t>
        </is>
      </c>
      <c r="F406" s="47" t="n">
        <v>80</v>
      </c>
      <c r="G406" s="41" t="n"/>
      <c r="H406" s="29" t="n"/>
      <c r="I406" s="43" t="n"/>
      <c r="J406" s="41" t="n"/>
      <c r="K406" s="41" t="n"/>
      <c r="L406" s="41" t="n"/>
      <c r="M406" s="31">
        <f>IF(COUNT(J406:L406)=0,"",MEDIAN(J406:L406))</f>
        <v/>
      </c>
      <c r="N406" s="26">
        <f>IF(COUNTIFS($C:$C,$C406,$D:$D,$D406,$E:$E,"기준(전)",$M:$M,"&gt;0")&lt;&gt;1,"기준(전) 유효 1개 아님",IF(COUNTIFS($C:$C,$C406,$D:$D,$D406,$E:$E,"기준(후)",$M:$M,"&gt;0")&lt;&gt;1,"기준(후) 유효 1개 아님",IF(NOT(AND(ISNUMBER(O406),ISNUMBER(Q406),ISNUMBER(I406))),"시각 결측",IF(Q406&lt;=O406,"기준 시각 역전",IF(OR(I406&lt;O406,I406&gt;Q406),"측정시각 구간 밖","OK")))))</f>
        <v/>
      </c>
      <c r="O406" s="48">
        <f>IF(COUNTIFS($C:$C,$C406,$D:$D,$D406,$E:$E,"기준(전)",$M:$M,"&gt;0")&lt;&gt;1,"",SUMIFS($I:$I,$C:$C,$C406,$D:$D,$D406,$E:$E,"기준(전)"))</f>
        <v/>
      </c>
      <c r="P406" s="31">
        <f>IF(COUNTIFS($C:$C,$C406,$D:$D,$D406,$E:$E,"기준(전)",$M:$M,"&gt;0")&lt;&gt;1,"",SUMIFS($M:$M,$C:$C,$C406,$D:$D,$D406,$E:$E,"기준(전)"))</f>
        <v/>
      </c>
      <c r="Q406" s="48">
        <f>IF(COUNTIFS($C:$C,$C406,$D:$D,$D406,$E:$E,"기준(후)",$M:$M,"&gt;0")&lt;&gt;1,"",SUMIFS($I:$I,$C:$C,$C406,$D:$D,$D406,$E:$E,"기준(후)"))</f>
        <v/>
      </c>
      <c r="R406" s="31">
        <f>IF(COUNTIFS($C:$C,$C406,$D:$D,$D406,$E:$E,"기준(후)",$M:$M,"&gt;0")&lt;&gt;1,"",SUMIFS($M:$M,$C:$C,$C406,$D:$D,$D406,$E:$E,"기준(후)"))</f>
        <v/>
      </c>
      <c r="S406" s="31">
        <f>IF(N406&lt;&gt;"OK","",P406+(R406-P406)*(I406-O406)/(Q406-O406))</f>
        <v/>
      </c>
      <c r="T406" s="31">
        <f>IF(OR(N406&lt;&gt;"OK",NOT(ISNUMBER(M406))),"",M406-S406)</f>
        <v/>
      </c>
      <c r="U406" s="49">
        <f>IF(OR($E405&lt;&gt;"측정",$C405&lt;&gt;$C406,$D405&lt;&gt;$D406,NOT(ISNUMBER(M406)),NOT(ISNUMBER(M405)),(IF(ISNUMBER(G406),G406,F406)-IF(ISNUMBER(G405),G405,F405))=0),"",(M406-M405)/((IF(ISNUMBER(G406),G406,F406)-IF(ISNUMBER(G405),G405,F405))/100))</f>
        <v/>
      </c>
      <c r="V406" s="29" t="n"/>
      <c r="W406" s="29" t="n"/>
      <c r="X406" s="32" t="n"/>
    </row>
    <row r="407">
      <c r="A407" s="26" t="inlineStr">
        <is>
          <t>S34</t>
        </is>
      </c>
      <c r="B407" s="26" t="inlineStr">
        <is>
          <t>부안 신규점</t>
        </is>
      </c>
      <c r="C407" s="26" t="inlineStr">
        <is>
          <t>S34-V</t>
        </is>
      </c>
      <c r="D407" s="47" t="n">
        <v>1</v>
      </c>
      <c r="E407" s="26" t="inlineStr">
        <is>
          <t>측정</t>
        </is>
      </c>
      <c r="F407" s="47" t="n">
        <v>100</v>
      </c>
      <c r="G407" s="41" t="n"/>
      <c r="H407" s="29" t="n"/>
      <c r="I407" s="43" t="n"/>
      <c r="J407" s="41" t="n"/>
      <c r="K407" s="41" t="n"/>
      <c r="L407" s="41" t="n"/>
      <c r="M407" s="31">
        <f>IF(COUNT(J407:L407)=0,"",MEDIAN(J407:L407))</f>
        <v/>
      </c>
      <c r="N407" s="26">
        <f>IF(COUNTIFS($C:$C,$C407,$D:$D,$D407,$E:$E,"기준(전)",$M:$M,"&gt;0")&lt;&gt;1,"기준(전) 유효 1개 아님",IF(COUNTIFS($C:$C,$C407,$D:$D,$D407,$E:$E,"기준(후)",$M:$M,"&gt;0")&lt;&gt;1,"기준(후) 유효 1개 아님",IF(NOT(AND(ISNUMBER(O407),ISNUMBER(Q407),ISNUMBER(I407))),"시각 결측",IF(Q407&lt;=O407,"기준 시각 역전",IF(OR(I407&lt;O407,I407&gt;Q407),"측정시각 구간 밖","OK")))))</f>
        <v/>
      </c>
      <c r="O407" s="48">
        <f>IF(COUNTIFS($C:$C,$C407,$D:$D,$D407,$E:$E,"기준(전)",$M:$M,"&gt;0")&lt;&gt;1,"",SUMIFS($I:$I,$C:$C,$C407,$D:$D,$D407,$E:$E,"기준(전)"))</f>
        <v/>
      </c>
      <c r="P407" s="31">
        <f>IF(COUNTIFS($C:$C,$C407,$D:$D,$D407,$E:$E,"기준(전)",$M:$M,"&gt;0")&lt;&gt;1,"",SUMIFS($M:$M,$C:$C,$C407,$D:$D,$D407,$E:$E,"기준(전)"))</f>
        <v/>
      </c>
      <c r="Q407" s="48">
        <f>IF(COUNTIFS($C:$C,$C407,$D:$D,$D407,$E:$E,"기준(후)",$M:$M,"&gt;0")&lt;&gt;1,"",SUMIFS($I:$I,$C:$C,$C407,$D:$D,$D407,$E:$E,"기준(후)"))</f>
        <v/>
      </c>
      <c r="R407" s="31">
        <f>IF(COUNTIFS($C:$C,$C407,$D:$D,$D407,$E:$E,"기준(후)",$M:$M,"&gt;0")&lt;&gt;1,"",SUMIFS($M:$M,$C:$C,$C407,$D:$D,$D407,$E:$E,"기준(후)"))</f>
        <v/>
      </c>
      <c r="S407" s="31">
        <f>IF(N407&lt;&gt;"OK","",P407+(R407-P407)*(I407-O407)/(Q407-O407))</f>
        <v/>
      </c>
      <c r="T407" s="31">
        <f>IF(OR(N407&lt;&gt;"OK",NOT(ISNUMBER(M407))),"",M407-S407)</f>
        <v/>
      </c>
      <c r="U407" s="49">
        <f>IF(OR($E406&lt;&gt;"측정",$C406&lt;&gt;$C407,$D406&lt;&gt;$D407,NOT(ISNUMBER(M407)),NOT(ISNUMBER(M406)),(IF(ISNUMBER(G407),G407,F407)-IF(ISNUMBER(G406),G406,F406))=0),"",(M407-M406)/((IF(ISNUMBER(G407),G407,F407)-IF(ISNUMBER(G406),G406,F406))/100))</f>
        <v/>
      </c>
      <c r="V407" s="29" t="n"/>
      <c r="W407" s="29" t="n"/>
      <c r="X407" s="32" t="n"/>
    </row>
    <row r="408">
      <c r="A408" s="26" t="inlineStr">
        <is>
          <t>S34</t>
        </is>
      </c>
      <c r="B408" s="26" t="inlineStr">
        <is>
          <t>부안 신규점</t>
        </is>
      </c>
      <c r="C408" s="26" t="inlineStr">
        <is>
          <t>S34-V</t>
        </is>
      </c>
      <c r="D408" s="47" t="n">
        <v>1</v>
      </c>
      <c r="E408" s="26" t="inlineStr">
        <is>
          <t>측정</t>
        </is>
      </c>
      <c r="F408" s="47" t="n">
        <v>120</v>
      </c>
      <c r="G408" s="41" t="n"/>
      <c r="H408" s="29" t="n"/>
      <c r="I408" s="43" t="n"/>
      <c r="J408" s="41" t="n"/>
      <c r="K408" s="41" t="n"/>
      <c r="L408" s="41" t="n"/>
      <c r="M408" s="31">
        <f>IF(COUNT(J408:L408)=0,"",MEDIAN(J408:L408))</f>
        <v/>
      </c>
      <c r="N408" s="26">
        <f>IF(COUNTIFS($C:$C,$C408,$D:$D,$D408,$E:$E,"기준(전)",$M:$M,"&gt;0")&lt;&gt;1,"기준(전) 유효 1개 아님",IF(COUNTIFS($C:$C,$C408,$D:$D,$D408,$E:$E,"기준(후)",$M:$M,"&gt;0")&lt;&gt;1,"기준(후) 유효 1개 아님",IF(NOT(AND(ISNUMBER(O408),ISNUMBER(Q408),ISNUMBER(I408))),"시각 결측",IF(Q408&lt;=O408,"기준 시각 역전",IF(OR(I408&lt;O408,I408&gt;Q408),"측정시각 구간 밖","OK")))))</f>
        <v/>
      </c>
      <c r="O408" s="48">
        <f>IF(COUNTIFS($C:$C,$C408,$D:$D,$D408,$E:$E,"기준(전)",$M:$M,"&gt;0")&lt;&gt;1,"",SUMIFS($I:$I,$C:$C,$C408,$D:$D,$D408,$E:$E,"기준(전)"))</f>
        <v/>
      </c>
      <c r="P408" s="31">
        <f>IF(COUNTIFS($C:$C,$C408,$D:$D,$D408,$E:$E,"기준(전)",$M:$M,"&gt;0")&lt;&gt;1,"",SUMIFS($M:$M,$C:$C,$C408,$D:$D,$D408,$E:$E,"기준(전)"))</f>
        <v/>
      </c>
      <c r="Q408" s="48">
        <f>IF(COUNTIFS($C:$C,$C408,$D:$D,$D408,$E:$E,"기준(후)",$M:$M,"&gt;0")&lt;&gt;1,"",SUMIFS($I:$I,$C:$C,$C408,$D:$D,$D408,$E:$E,"기준(후)"))</f>
        <v/>
      </c>
      <c r="R408" s="31">
        <f>IF(COUNTIFS($C:$C,$C408,$D:$D,$D408,$E:$E,"기준(후)",$M:$M,"&gt;0")&lt;&gt;1,"",SUMIFS($M:$M,$C:$C,$C408,$D:$D,$D408,$E:$E,"기준(후)"))</f>
        <v/>
      </c>
      <c r="S408" s="31">
        <f>IF(N408&lt;&gt;"OK","",P408+(R408-P408)*(I408-O408)/(Q408-O408))</f>
        <v/>
      </c>
      <c r="T408" s="31">
        <f>IF(OR(N408&lt;&gt;"OK",NOT(ISNUMBER(M408))),"",M408-S408)</f>
        <v/>
      </c>
      <c r="U408" s="49">
        <f>IF(OR($E407&lt;&gt;"측정",$C407&lt;&gt;$C408,$D407&lt;&gt;$D408,NOT(ISNUMBER(M408)),NOT(ISNUMBER(M407)),(IF(ISNUMBER(G408),G408,F408)-IF(ISNUMBER(G407),G407,F407))=0),"",(M408-M407)/((IF(ISNUMBER(G408),G408,F408)-IF(ISNUMBER(G407),G407,F407))/100))</f>
        <v/>
      </c>
      <c r="V408" s="29" t="n"/>
      <c r="W408" s="29" t="n"/>
      <c r="X408" s="32" t="n"/>
    </row>
    <row r="409">
      <c r="A409" s="26" t="inlineStr">
        <is>
          <t>S34</t>
        </is>
      </c>
      <c r="B409" s="26" t="inlineStr">
        <is>
          <t>부안 신규점</t>
        </is>
      </c>
      <c r="C409" s="26" t="inlineStr">
        <is>
          <t>S34-V</t>
        </is>
      </c>
      <c r="D409" s="47" t="n">
        <v>1</v>
      </c>
      <c r="E409" s="26" t="inlineStr">
        <is>
          <t>측정</t>
        </is>
      </c>
      <c r="F409" s="47" t="n">
        <v>140</v>
      </c>
      <c r="G409" s="41" t="n"/>
      <c r="H409" s="29" t="n"/>
      <c r="I409" s="43" t="n"/>
      <c r="J409" s="41" t="n"/>
      <c r="K409" s="41" t="n"/>
      <c r="L409" s="41" t="n"/>
      <c r="M409" s="31">
        <f>IF(COUNT(J409:L409)=0,"",MEDIAN(J409:L409))</f>
        <v/>
      </c>
      <c r="N409" s="26">
        <f>IF(COUNTIFS($C:$C,$C409,$D:$D,$D409,$E:$E,"기준(전)",$M:$M,"&gt;0")&lt;&gt;1,"기준(전) 유효 1개 아님",IF(COUNTIFS($C:$C,$C409,$D:$D,$D409,$E:$E,"기준(후)",$M:$M,"&gt;0")&lt;&gt;1,"기준(후) 유효 1개 아님",IF(NOT(AND(ISNUMBER(O409),ISNUMBER(Q409),ISNUMBER(I409))),"시각 결측",IF(Q409&lt;=O409,"기준 시각 역전",IF(OR(I409&lt;O409,I409&gt;Q409),"측정시각 구간 밖","OK")))))</f>
        <v/>
      </c>
      <c r="O409" s="48">
        <f>IF(COUNTIFS($C:$C,$C409,$D:$D,$D409,$E:$E,"기준(전)",$M:$M,"&gt;0")&lt;&gt;1,"",SUMIFS($I:$I,$C:$C,$C409,$D:$D,$D409,$E:$E,"기준(전)"))</f>
        <v/>
      </c>
      <c r="P409" s="31">
        <f>IF(COUNTIFS($C:$C,$C409,$D:$D,$D409,$E:$E,"기준(전)",$M:$M,"&gt;0")&lt;&gt;1,"",SUMIFS($M:$M,$C:$C,$C409,$D:$D,$D409,$E:$E,"기준(전)"))</f>
        <v/>
      </c>
      <c r="Q409" s="48">
        <f>IF(COUNTIFS($C:$C,$C409,$D:$D,$D409,$E:$E,"기준(후)",$M:$M,"&gt;0")&lt;&gt;1,"",SUMIFS($I:$I,$C:$C,$C409,$D:$D,$D409,$E:$E,"기준(후)"))</f>
        <v/>
      </c>
      <c r="R409" s="31">
        <f>IF(COUNTIFS($C:$C,$C409,$D:$D,$D409,$E:$E,"기준(후)",$M:$M,"&gt;0")&lt;&gt;1,"",SUMIFS($M:$M,$C:$C,$C409,$D:$D,$D409,$E:$E,"기준(후)"))</f>
        <v/>
      </c>
      <c r="S409" s="31">
        <f>IF(N409&lt;&gt;"OK","",P409+(R409-P409)*(I409-O409)/(Q409-O409))</f>
        <v/>
      </c>
      <c r="T409" s="31">
        <f>IF(OR(N409&lt;&gt;"OK",NOT(ISNUMBER(M409))),"",M409-S409)</f>
        <v/>
      </c>
      <c r="U409" s="49">
        <f>IF(OR($E408&lt;&gt;"측정",$C408&lt;&gt;$C409,$D408&lt;&gt;$D409,NOT(ISNUMBER(M409)),NOT(ISNUMBER(M408)),(IF(ISNUMBER(G409),G409,F409)-IF(ISNUMBER(G408),G408,F408))=0),"",(M409-M408)/((IF(ISNUMBER(G409),G409,F409)-IF(ISNUMBER(G408),G408,F408))/100))</f>
        <v/>
      </c>
      <c r="V409" s="29" t="n"/>
      <c r="W409" s="29" t="n"/>
      <c r="X409" s="32" t="n"/>
    </row>
    <row r="410">
      <c r="A410" s="26" t="inlineStr">
        <is>
          <t>S34</t>
        </is>
      </c>
      <c r="B410" s="26" t="inlineStr">
        <is>
          <t>부안 신규점</t>
        </is>
      </c>
      <c r="C410" s="26" t="inlineStr">
        <is>
          <t>S34-V</t>
        </is>
      </c>
      <c r="D410" s="47" t="n">
        <v>1</v>
      </c>
      <c r="E410" s="26" t="inlineStr">
        <is>
          <t>측정</t>
        </is>
      </c>
      <c r="F410" s="47" t="n">
        <v>160</v>
      </c>
      <c r="G410" s="41" t="n"/>
      <c r="H410" s="29" t="n"/>
      <c r="I410" s="43" t="n"/>
      <c r="J410" s="41" t="n"/>
      <c r="K410" s="41" t="n"/>
      <c r="L410" s="41" t="n"/>
      <c r="M410" s="31">
        <f>IF(COUNT(J410:L410)=0,"",MEDIAN(J410:L410))</f>
        <v/>
      </c>
      <c r="N410" s="26">
        <f>IF(COUNTIFS($C:$C,$C410,$D:$D,$D410,$E:$E,"기준(전)",$M:$M,"&gt;0")&lt;&gt;1,"기준(전) 유효 1개 아님",IF(COUNTIFS($C:$C,$C410,$D:$D,$D410,$E:$E,"기준(후)",$M:$M,"&gt;0")&lt;&gt;1,"기준(후) 유효 1개 아님",IF(NOT(AND(ISNUMBER(O410),ISNUMBER(Q410),ISNUMBER(I410))),"시각 결측",IF(Q410&lt;=O410,"기준 시각 역전",IF(OR(I410&lt;O410,I410&gt;Q410),"측정시각 구간 밖","OK")))))</f>
        <v/>
      </c>
      <c r="O410" s="48">
        <f>IF(COUNTIFS($C:$C,$C410,$D:$D,$D410,$E:$E,"기준(전)",$M:$M,"&gt;0")&lt;&gt;1,"",SUMIFS($I:$I,$C:$C,$C410,$D:$D,$D410,$E:$E,"기준(전)"))</f>
        <v/>
      </c>
      <c r="P410" s="31">
        <f>IF(COUNTIFS($C:$C,$C410,$D:$D,$D410,$E:$E,"기준(전)",$M:$M,"&gt;0")&lt;&gt;1,"",SUMIFS($M:$M,$C:$C,$C410,$D:$D,$D410,$E:$E,"기준(전)"))</f>
        <v/>
      </c>
      <c r="Q410" s="48">
        <f>IF(COUNTIFS($C:$C,$C410,$D:$D,$D410,$E:$E,"기준(후)",$M:$M,"&gt;0")&lt;&gt;1,"",SUMIFS($I:$I,$C:$C,$C410,$D:$D,$D410,$E:$E,"기준(후)"))</f>
        <v/>
      </c>
      <c r="R410" s="31">
        <f>IF(COUNTIFS($C:$C,$C410,$D:$D,$D410,$E:$E,"기준(후)",$M:$M,"&gt;0")&lt;&gt;1,"",SUMIFS($M:$M,$C:$C,$C410,$D:$D,$D410,$E:$E,"기준(후)"))</f>
        <v/>
      </c>
      <c r="S410" s="31">
        <f>IF(N410&lt;&gt;"OK","",P410+(R410-P410)*(I410-O410)/(Q410-O410))</f>
        <v/>
      </c>
      <c r="T410" s="31">
        <f>IF(OR(N410&lt;&gt;"OK",NOT(ISNUMBER(M410))),"",M410-S410)</f>
        <v/>
      </c>
      <c r="U410" s="49">
        <f>IF(OR($E409&lt;&gt;"측정",$C409&lt;&gt;$C410,$D409&lt;&gt;$D410,NOT(ISNUMBER(M410)),NOT(ISNUMBER(M409)),(IF(ISNUMBER(G410),G410,F410)-IF(ISNUMBER(G409),G409,F409))=0),"",(M410-M409)/((IF(ISNUMBER(G410),G410,F410)-IF(ISNUMBER(G409),G409,F409))/100))</f>
        <v/>
      </c>
      <c r="V410" s="29" t="n"/>
      <c r="W410" s="29" t="n"/>
      <c r="X410" s="32" t="n"/>
    </row>
    <row r="411">
      <c r="A411" s="26" t="inlineStr">
        <is>
          <t>S34</t>
        </is>
      </c>
      <c r="B411" s="26" t="inlineStr">
        <is>
          <t>부안 신규점</t>
        </is>
      </c>
      <c r="C411" s="26" t="inlineStr">
        <is>
          <t>S34-V</t>
        </is>
      </c>
      <c r="D411" s="47" t="n">
        <v>1</v>
      </c>
      <c r="E411" s="26" t="inlineStr">
        <is>
          <t>측정</t>
        </is>
      </c>
      <c r="F411" s="47" t="n">
        <v>180</v>
      </c>
      <c r="G411" s="41" t="n"/>
      <c r="H411" s="29" t="n"/>
      <c r="I411" s="43" t="n"/>
      <c r="J411" s="41" t="n"/>
      <c r="K411" s="41" t="n"/>
      <c r="L411" s="41" t="n"/>
      <c r="M411" s="31">
        <f>IF(COUNT(J411:L411)=0,"",MEDIAN(J411:L411))</f>
        <v/>
      </c>
      <c r="N411" s="26">
        <f>IF(COUNTIFS($C:$C,$C411,$D:$D,$D411,$E:$E,"기준(전)",$M:$M,"&gt;0")&lt;&gt;1,"기준(전) 유효 1개 아님",IF(COUNTIFS($C:$C,$C411,$D:$D,$D411,$E:$E,"기준(후)",$M:$M,"&gt;0")&lt;&gt;1,"기준(후) 유효 1개 아님",IF(NOT(AND(ISNUMBER(O411),ISNUMBER(Q411),ISNUMBER(I411))),"시각 결측",IF(Q411&lt;=O411,"기준 시각 역전",IF(OR(I411&lt;O411,I411&gt;Q411),"측정시각 구간 밖","OK")))))</f>
        <v/>
      </c>
      <c r="O411" s="48">
        <f>IF(COUNTIFS($C:$C,$C411,$D:$D,$D411,$E:$E,"기준(전)",$M:$M,"&gt;0")&lt;&gt;1,"",SUMIFS($I:$I,$C:$C,$C411,$D:$D,$D411,$E:$E,"기준(전)"))</f>
        <v/>
      </c>
      <c r="P411" s="31">
        <f>IF(COUNTIFS($C:$C,$C411,$D:$D,$D411,$E:$E,"기준(전)",$M:$M,"&gt;0")&lt;&gt;1,"",SUMIFS($M:$M,$C:$C,$C411,$D:$D,$D411,$E:$E,"기준(전)"))</f>
        <v/>
      </c>
      <c r="Q411" s="48">
        <f>IF(COUNTIFS($C:$C,$C411,$D:$D,$D411,$E:$E,"기준(후)",$M:$M,"&gt;0")&lt;&gt;1,"",SUMIFS($I:$I,$C:$C,$C411,$D:$D,$D411,$E:$E,"기준(후)"))</f>
        <v/>
      </c>
      <c r="R411" s="31">
        <f>IF(COUNTIFS($C:$C,$C411,$D:$D,$D411,$E:$E,"기준(후)",$M:$M,"&gt;0")&lt;&gt;1,"",SUMIFS($M:$M,$C:$C,$C411,$D:$D,$D411,$E:$E,"기준(후)"))</f>
        <v/>
      </c>
      <c r="S411" s="31">
        <f>IF(N411&lt;&gt;"OK","",P411+(R411-P411)*(I411-O411)/(Q411-O411))</f>
        <v/>
      </c>
      <c r="T411" s="31">
        <f>IF(OR(N411&lt;&gt;"OK",NOT(ISNUMBER(M411))),"",M411-S411)</f>
        <v/>
      </c>
      <c r="U411" s="49">
        <f>IF(OR($E410&lt;&gt;"측정",$C410&lt;&gt;$C411,$D410&lt;&gt;$D411,NOT(ISNUMBER(M411)),NOT(ISNUMBER(M410)),(IF(ISNUMBER(G411),G411,F411)-IF(ISNUMBER(G410),G410,F410))=0),"",(M411-M410)/((IF(ISNUMBER(G411),G411,F411)-IF(ISNUMBER(G410),G410,F410))/100))</f>
        <v/>
      </c>
      <c r="V411" s="29" t="n"/>
      <c r="W411" s="29" t="n"/>
      <c r="X411" s="32" t="n"/>
    </row>
    <row r="412">
      <c r="A412" s="26" t="inlineStr">
        <is>
          <t>S34</t>
        </is>
      </c>
      <c r="B412" s="26" t="inlineStr">
        <is>
          <t>부안 신규점</t>
        </is>
      </c>
      <c r="C412" s="26" t="inlineStr">
        <is>
          <t>S34-V</t>
        </is>
      </c>
      <c r="D412" s="47" t="n">
        <v>1</v>
      </c>
      <c r="E412" s="26" t="inlineStr">
        <is>
          <t>측정</t>
        </is>
      </c>
      <c r="F412" s="47" t="n">
        <v>200</v>
      </c>
      <c r="G412" s="41" t="n"/>
      <c r="H412" s="29" t="n"/>
      <c r="I412" s="43" t="n"/>
      <c r="J412" s="41" t="n"/>
      <c r="K412" s="41" t="n"/>
      <c r="L412" s="41" t="n"/>
      <c r="M412" s="31">
        <f>IF(COUNT(J412:L412)=0,"",MEDIAN(J412:L412))</f>
        <v/>
      </c>
      <c r="N412" s="26">
        <f>IF(COUNTIFS($C:$C,$C412,$D:$D,$D412,$E:$E,"기준(전)",$M:$M,"&gt;0")&lt;&gt;1,"기준(전) 유효 1개 아님",IF(COUNTIFS($C:$C,$C412,$D:$D,$D412,$E:$E,"기준(후)",$M:$M,"&gt;0")&lt;&gt;1,"기준(후) 유효 1개 아님",IF(NOT(AND(ISNUMBER(O412),ISNUMBER(Q412),ISNUMBER(I412))),"시각 결측",IF(Q412&lt;=O412,"기준 시각 역전",IF(OR(I412&lt;O412,I412&gt;Q412),"측정시각 구간 밖","OK")))))</f>
        <v/>
      </c>
      <c r="O412" s="48">
        <f>IF(COUNTIFS($C:$C,$C412,$D:$D,$D412,$E:$E,"기준(전)",$M:$M,"&gt;0")&lt;&gt;1,"",SUMIFS($I:$I,$C:$C,$C412,$D:$D,$D412,$E:$E,"기준(전)"))</f>
        <v/>
      </c>
      <c r="P412" s="31">
        <f>IF(COUNTIFS($C:$C,$C412,$D:$D,$D412,$E:$E,"기준(전)",$M:$M,"&gt;0")&lt;&gt;1,"",SUMIFS($M:$M,$C:$C,$C412,$D:$D,$D412,$E:$E,"기준(전)"))</f>
        <v/>
      </c>
      <c r="Q412" s="48">
        <f>IF(COUNTIFS($C:$C,$C412,$D:$D,$D412,$E:$E,"기준(후)",$M:$M,"&gt;0")&lt;&gt;1,"",SUMIFS($I:$I,$C:$C,$C412,$D:$D,$D412,$E:$E,"기준(후)"))</f>
        <v/>
      </c>
      <c r="R412" s="31">
        <f>IF(COUNTIFS($C:$C,$C412,$D:$D,$D412,$E:$E,"기준(후)",$M:$M,"&gt;0")&lt;&gt;1,"",SUMIFS($M:$M,$C:$C,$C412,$D:$D,$D412,$E:$E,"기준(후)"))</f>
        <v/>
      </c>
      <c r="S412" s="31">
        <f>IF(N412&lt;&gt;"OK","",P412+(R412-P412)*(I412-O412)/(Q412-O412))</f>
        <v/>
      </c>
      <c r="T412" s="31">
        <f>IF(OR(N412&lt;&gt;"OK",NOT(ISNUMBER(M412))),"",M412-S412)</f>
        <v/>
      </c>
      <c r="U412" s="49">
        <f>IF(OR($E411&lt;&gt;"측정",$C411&lt;&gt;$C412,$D411&lt;&gt;$D412,NOT(ISNUMBER(M412)),NOT(ISNUMBER(M411)),(IF(ISNUMBER(G412),G412,F412)-IF(ISNUMBER(G411),G411,F411))=0),"",(M412-M411)/((IF(ISNUMBER(G412),G412,F412)-IF(ISNUMBER(G411),G411,F411))/100))</f>
        <v/>
      </c>
      <c r="V412" s="29" t="n"/>
      <c r="W412" s="29" t="n"/>
      <c r="X412" s="32" t="n"/>
    </row>
    <row r="413">
      <c r="A413" s="44" t="inlineStr">
        <is>
          <t>S34</t>
        </is>
      </c>
      <c r="B413" s="44" t="inlineStr">
        <is>
          <t>부안 신규점</t>
        </is>
      </c>
      <c r="C413" s="44" t="inlineStr">
        <is>
          <t>S34-V</t>
        </is>
      </c>
      <c r="D413" s="45" t="n">
        <v>1</v>
      </c>
      <c r="E413" s="44" t="inlineStr">
        <is>
          <t>기준(후)</t>
        </is>
      </c>
      <c r="F413" s="45" t="n"/>
      <c r="G413" s="41" t="n"/>
      <c r="H413" s="29" t="n"/>
      <c r="I413" s="43" t="n"/>
      <c r="J413" s="41" t="n"/>
      <c r="K413" s="41" t="n"/>
      <c r="L413" s="41" t="n"/>
      <c r="M413" s="31">
        <f>IF(COUNT(J413:L413)=0,"",MEDIAN(J413:L413))</f>
        <v/>
      </c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29" t="n"/>
      <c r="W413" s="29" t="n"/>
      <c r="X413" s="32" t="n"/>
    </row>
    <row r="414">
      <c r="A414" s="44" t="inlineStr">
        <is>
          <t>S35</t>
        </is>
      </c>
      <c r="B414" s="44" t="inlineStr">
        <is>
          <t>상주</t>
        </is>
      </c>
      <c r="C414" s="44" t="inlineStr">
        <is>
          <t>S35-V</t>
        </is>
      </c>
      <c r="D414" s="45" t="n">
        <v>1</v>
      </c>
      <c r="E414" s="44" t="inlineStr">
        <is>
          <t>기준(전)</t>
        </is>
      </c>
      <c r="F414" s="45" t="n"/>
      <c r="G414" s="41" t="n"/>
      <c r="H414" s="29" t="n"/>
      <c r="I414" s="43" t="n"/>
      <c r="J414" s="41" t="n"/>
      <c r="K414" s="41" t="n"/>
      <c r="L414" s="41" t="n"/>
      <c r="M414" s="31">
        <f>IF(COUNT(J414:L414)=0,"",MEDIAN(J414:L414))</f>
        <v/>
      </c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29" t="n"/>
      <c r="W414" s="29" t="n"/>
      <c r="X414" s="32" t="n"/>
    </row>
    <row r="415">
      <c r="A415" s="26" t="inlineStr">
        <is>
          <t>S35</t>
        </is>
      </c>
      <c r="B415" s="26" t="inlineStr">
        <is>
          <t>상주</t>
        </is>
      </c>
      <c r="C415" s="26" t="inlineStr">
        <is>
          <t>S35-V</t>
        </is>
      </c>
      <c r="D415" s="47" t="n">
        <v>1</v>
      </c>
      <c r="E415" s="26" t="inlineStr">
        <is>
          <t>측정</t>
        </is>
      </c>
      <c r="F415" s="47" t="n">
        <v>20</v>
      </c>
      <c r="G415" s="41" t="n"/>
      <c r="H415" s="29" t="n"/>
      <c r="I415" s="43" t="n"/>
      <c r="J415" s="41" t="n"/>
      <c r="K415" s="41" t="n"/>
      <c r="L415" s="41" t="n"/>
      <c r="M415" s="31">
        <f>IF(COUNT(J415:L415)=0,"",MEDIAN(J415:L415))</f>
        <v/>
      </c>
      <c r="N415" s="26">
        <f>IF(COUNTIFS($C:$C,$C415,$D:$D,$D415,$E:$E,"기준(전)",$M:$M,"&gt;0")&lt;&gt;1,"기준(전) 유효 1개 아님",IF(COUNTIFS($C:$C,$C415,$D:$D,$D415,$E:$E,"기준(후)",$M:$M,"&gt;0")&lt;&gt;1,"기준(후) 유효 1개 아님",IF(NOT(AND(ISNUMBER(O415),ISNUMBER(Q415),ISNUMBER(I415))),"시각 결측",IF(Q415&lt;=O415,"기준 시각 역전",IF(OR(I415&lt;O415,I415&gt;Q415),"측정시각 구간 밖","OK")))))</f>
        <v/>
      </c>
      <c r="O415" s="48">
        <f>IF(COUNTIFS($C:$C,$C415,$D:$D,$D415,$E:$E,"기준(전)",$M:$M,"&gt;0")&lt;&gt;1,"",SUMIFS($I:$I,$C:$C,$C415,$D:$D,$D415,$E:$E,"기준(전)"))</f>
        <v/>
      </c>
      <c r="P415" s="31">
        <f>IF(COUNTIFS($C:$C,$C415,$D:$D,$D415,$E:$E,"기준(전)",$M:$M,"&gt;0")&lt;&gt;1,"",SUMIFS($M:$M,$C:$C,$C415,$D:$D,$D415,$E:$E,"기준(전)"))</f>
        <v/>
      </c>
      <c r="Q415" s="48">
        <f>IF(COUNTIFS($C:$C,$C415,$D:$D,$D415,$E:$E,"기준(후)",$M:$M,"&gt;0")&lt;&gt;1,"",SUMIFS($I:$I,$C:$C,$C415,$D:$D,$D415,$E:$E,"기준(후)"))</f>
        <v/>
      </c>
      <c r="R415" s="31">
        <f>IF(COUNTIFS($C:$C,$C415,$D:$D,$D415,$E:$E,"기준(후)",$M:$M,"&gt;0")&lt;&gt;1,"",SUMIFS($M:$M,$C:$C,$C415,$D:$D,$D415,$E:$E,"기준(후)"))</f>
        <v/>
      </c>
      <c r="S415" s="31">
        <f>IF(N415&lt;&gt;"OK","",P415+(R415-P415)*(I415-O415)/(Q415-O415))</f>
        <v/>
      </c>
      <c r="T415" s="31">
        <f>IF(OR(N415&lt;&gt;"OK",NOT(ISNUMBER(M415))),"",M415-S415)</f>
        <v/>
      </c>
      <c r="U415" s="49">
        <f>IF(OR($E414&lt;&gt;"측정",$C414&lt;&gt;$C415,$D414&lt;&gt;$D415,NOT(ISNUMBER(M415)),NOT(ISNUMBER(M414)),(IF(ISNUMBER(G415),G415,F415)-IF(ISNUMBER(G414),G414,F414))=0),"",(M415-M414)/((IF(ISNUMBER(G415),G415,F415)-IF(ISNUMBER(G414),G414,F414))/100))</f>
        <v/>
      </c>
      <c r="V415" s="29" t="n"/>
      <c r="W415" s="29" t="n"/>
      <c r="X415" s="32" t="n"/>
    </row>
    <row r="416">
      <c r="A416" s="26" t="inlineStr">
        <is>
          <t>S35</t>
        </is>
      </c>
      <c r="B416" s="26" t="inlineStr">
        <is>
          <t>상주</t>
        </is>
      </c>
      <c r="C416" s="26" t="inlineStr">
        <is>
          <t>S35-V</t>
        </is>
      </c>
      <c r="D416" s="47" t="n">
        <v>1</v>
      </c>
      <c r="E416" s="26" t="inlineStr">
        <is>
          <t>측정</t>
        </is>
      </c>
      <c r="F416" s="47" t="n">
        <v>40</v>
      </c>
      <c r="G416" s="41" t="n"/>
      <c r="H416" s="29" t="n"/>
      <c r="I416" s="43" t="n"/>
      <c r="J416" s="41" t="n"/>
      <c r="K416" s="41" t="n"/>
      <c r="L416" s="41" t="n"/>
      <c r="M416" s="31">
        <f>IF(COUNT(J416:L416)=0,"",MEDIAN(J416:L416))</f>
        <v/>
      </c>
      <c r="N416" s="26">
        <f>IF(COUNTIFS($C:$C,$C416,$D:$D,$D416,$E:$E,"기준(전)",$M:$M,"&gt;0")&lt;&gt;1,"기준(전) 유효 1개 아님",IF(COUNTIFS($C:$C,$C416,$D:$D,$D416,$E:$E,"기준(후)",$M:$M,"&gt;0")&lt;&gt;1,"기준(후) 유효 1개 아님",IF(NOT(AND(ISNUMBER(O416),ISNUMBER(Q416),ISNUMBER(I416))),"시각 결측",IF(Q416&lt;=O416,"기준 시각 역전",IF(OR(I416&lt;O416,I416&gt;Q416),"측정시각 구간 밖","OK")))))</f>
        <v/>
      </c>
      <c r="O416" s="48">
        <f>IF(COUNTIFS($C:$C,$C416,$D:$D,$D416,$E:$E,"기준(전)",$M:$M,"&gt;0")&lt;&gt;1,"",SUMIFS($I:$I,$C:$C,$C416,$D:$D,$D416,$E:$E,"기준(전)"))</f>
        <v/>
      </c>
      <c r="P416" s="31">
        <f>IF(COUNTIFS($C:$C,$C416,$D:$D,$D416,$E:$E,"기준(전)",$M:$M,"&gt;0")&lt;&gt;1,"",SUMIFS($M:$M,$C:$C,$C416,$D:$D,$D416,$E:$E,"기준(전)"))</f>
        <v/>
      </c>
      <c r="Q416" s="48">
        <f>IF(COUNTIFS($C:$C,$C416,$D:$D,$D416,$E:$E,"기준(후)",$M:$M,"&gt;0")&lt;&gt;1,"",SUMIFS($I:$I,$C:$C,$C416,$D:$D,$D416,$E:$E,"기준(후)"))</f>
        <v/>
      </c>
      <c r="R416" s="31">
        <f>IF(COUNTIFS($C:$C,$C416,$D:$D,$D416,$E:$E,"기준(후)",$M:$M,"&gt;0")&lt;&gt;1,"",SUMIFS($M:$M,$C:$C,$C416,$D:$D,$D416,$E:$E,"기준(후)"))</f>
        <v/>
      </c>
      <c r="S416" s="31">
        <f>IF(N416&lt;&gt;"OK","",P416+(R416-P416)*(I416-O416)/(Q416-O416))</f>
        <v/>
      </c>
      <c r="T416" s="31">
        <f>IF(OR(N416&lt;&gt;"OK",NOT(ISNUMBER(M416))),"",M416-S416)</f>
        <v/>
      </c>
      <c r="U416" s="49">
        <f>IF(OR($E415&lt;&gt;"측정",$C415&lt;&gt;$C416,$D415&lt;&gt;$D416,NOT(ISNUMBER(M416)),NOT(ISNUMBER(M415)),(IF(ISNUMBER(G416),G416,F416)-IF(ISNUMBER(G415),G415,F415))=0),"",(M416-M415)/((IF(ISNUMBER(G416),G416,F416)-IF(ISNUMBER(G415),G415,F415))/100))</f>
        <v/>
      </c>
      <c r="V416" s="29" t="n"/>
      <c r="W416" s="29" t="n"/>
      <c r="X416" s="32" t="n"/>
    </row>
    <row r="417">
      <c r="A417" s="26" t="inlineStr">
        <is>
          <t>S35</t>
        </is>
      </c>
      <c r="B417" s="26" t="inlineStr">
        <is>
          <t>상주</t>
        </is>
      </c>
      <c r="C417" s="26" t="inlineStr">
        <is>
          <t>S35-V</t>
        </is>
      </c>
      <c r="D417" s="47" t="n">
        <v>1</v>
      </c>
      <c r="E417" s="26" t="inlineStr">
        <is>
          <t>측정</t>
        </is>
      </c>
      <c r="F417" s="47" t="n">
        <v>60</v>
      </c>
      <c r="G417" s="41" t="n"/>
      <c r="H417" s="29" t="n"/>
      <c r="I417" s="43" t="n"/>
      <c r="J417" s="41" t="n"/>
      <c r="K417" s="41" t="n"/>
      <c r="L417" s="41" t="n"/>
      <c r="M417" s="31">
        <f>IF(COUNT(J417:L417)=0,"",MEDIAN(J417:L417))</f>
        <v/>
      </c>
      <c r="N417" s="26">
        <f>IF(COUNTIFS($C:$C,$C417,$D:$D,$D417,$E:$E,"기준(전)",$M:$M,"&gt;0")&lt;&gt;1,"기준(전) 유효 1개 아님",IF(COUNTIFS($C:$C,$C417,$D:$D,$D417,$E:$E,"기준(후)",$M:$M,"&gt;0")&lt;&gt;1,"기준(후) 유효 1개 아님",IF(NOT(AND(ISNUMBER(O417),ISNUMBER(Q417),ISNUMBER(I417))),"시각 결측",IF(Q417&lt;=O417,"기준 시각 역전",IF(OR(I417&lt;O417,I417&gt;Q417),"측정시각 구간 밖","OK")))))</f>
        <v/>
      </c>
      <c r="O417" s="48">
        <f>IF(COUNTIFS($C:$C,$C417,$D:$D,$D417,$E:$E,"기준(전)",$M:$M,"&gt;0")&lt;&gt;1,"",SUMIFS($I:$I,$C:$C,$C417,$D:$D,$D417,$E:$E,"기준(전)"))</f>
        <v/>
      </c>
      <c r="P417" s="31">
        <f>IF(COUNTIFS($C:$C,$C417,$D:$D,$D417,$E:$E,"기준(전)",$M:$M,"&gt;0")&lt;&gt;1,"",SUMIFS($M:$M,$C:$C,$C417,$D:$D,$D417,$E:$E,"기준(전)"))</f>
        <v/>
      </c>
      <c r="Q417" s="48">
        <f>IF(COUNTIFS($C:$C,$C417,$D:$D,$D417,$E:$E,"기준(후)",$M:$M,"&gt;0")&lt;&gt;1,"",SUMIFS($I:$I,$C:$C,$C417,$D:$D,$D417,$E:$E,"기준(후)"))</f>
        <v/>
      </c>
      <c r="R417" s="31">
        <f>IF(COUNTIFS($C:$C,$C417,$D:$D,$D417,$E:$E,"기준(후)",$M:$M,"&gt;0")&lt;&gt;1,"",SUMIFS($M:$M,$C:$C,$C417,$D:$D,$D417,$E:$E,"기준(후)"))</f>
        <v/>
      </c>
      <c r="S417" s="31">
        <f>IF(N417&lt;&gt;"OK","",P417+(R417-P417)*(I417-O417)/(Q417-O417))</f>
        <v/>
      </c>
      <c r="T417" s="31">
        <f>IF(OR(N417&lt;&gt;"OK",NOT(ISNUMBER(M417))),"",M417-S417)</f>
        <v/>
      </c>
      <c r="U417" s="49">
        <f>IF(OR($E416&lt;&gt;"측정",$C416&lt;&gt;$C417,$D416&lt;&gt;$D417,NOT(ISNUMBER(M417)),NOT(ISNUMBER(M416)),(IF(ISNUMBER(G417),G417,F417)-IF(ISNUMBER(G416),G416,F416))=0),"",(M417-M416)/((IF(ISNUMBER(G417),G417,F417)-IF(ISNUMBER(G416),G416,F416))/100))</f>
        <v/>
      </c>
      <c r="V417" s="29" t="n"/>
      <c r="W417" s="29" t="n"/>
      <c r="X417" s="32" t="n"/>
    </row>
    <row r="418">
      <c r="A418" s="26" t="inlineStr">
        <is>
          <t>S35</t>
        </is>
      </c>
      <c r="B418" s="26" t="inlineStr">
        <is>
          <t>상주</t>
        </is>
      </c>
      <c r="C418" s="26" t="inlineStr">
        <is>
          <t>S35-V</t>
        </is>
      </c>
      <c r="D418" s="47" t="n">
        <v>1</v>
      </c>
      <c r="E418" s="26" t="inlineStr">
        <is>
          <t>측정</t>
        </is>
      </c>
      <c r="F418" s="47" t="n">
        <v>80</v>
      </c>
      <c r="G418" s="41" t="n"/>
      <c r="H418" s="29" t="n"/>
      <c r="I418" s="43" t="n"/>
      <c r="J418" s="41" t="n"/>
      <c r="K418" s="41" t="n"/>
      <c r="L418" s="41" t="n"/>
      <c r="M418" s="31">
        <f>IF(COUNT(J418:L418)=0,"",MEDIAN(J418:L418))</f>
        <v/>
      </c>
      <c r="N418" s="26">
        <f>IF(COUNTIFS($C:$C,$C418,$D:$D,$D418,$E:$E,"기준(전)",$M:$M,"&gt;0")&lt;&gt;1,"기준(전) 유효 1개 아님",IF(COUNTIFS($C:$C,$C418,$D:$D,$D418,$E:$E,"기준(후)",$M:$M,"&gt;0")&lt;&gt;1,"기준(후) 유효 1개 아님",IF(NOT(AND(ISNUMBER(O418),ISNUMBER(Q418),ISNUMBER(I418))),"시각 결측",IF(Q418&lt;=O418,"기준 시각 역전",IF(OR(I418&lt;O418,I418&gt;Q418),"측정시각 구간 밖","OK")))))</f>
        <v/>
      </c>
      <c r="O418" s="48">
        <f>IF(COUNTIFS($C:$C,$C418,$D:$D,$D418,$E:$E,"기준(전)",$M:$M,"&gt;0")&lt;&gt;1,"",SUMIFS($I:$I,$C:$C,$C418,$D:$D,$D418,$E:$E,"기준(전)"))</f>
        <v/>
      </c>
      <c r="P418" s="31">
        <f>IF(COUNTIFS($C:$C,$C418,$D:$D,$D418,$E:$E,"기준(전)",$M:$M,"&gt;0")&lt;&gt;1,"",SUMIFS($M:$M,$C:$C,$C418,$D:$D,$D418,$E:$E,"기준(전)"))</f>
        <v/>
      </c>
      <c r="Q418" s="48">
        <f>IF(COUNTIFS($C:$C,$C418,$D:$D,$D418,$E:$E,"기준(후)",$M:$M,"&gt;0")&lt;&gt;1,"",SUMIFS($I:$I,$C:$C,$C418,$D:$D,$D418,$E:$E,"기준(후)"))</f>
        <v/>
      </c>
      <c r="R418" s="31">
        <f>IF(COUNTIFS($C:$C,$C418,$D:$D,$D418,$E:$E,"기준(후)",$M:$M,"&gt;0")&lt;&gt;1,"",SUMIFS($M:$M,$C:$C,$C418,$D:$D,$D418,$E:$E,"기준(후)"))</f>
        <v/>
      </c>
      <c r="S418" s="31">
        <f>IF(N418&lt;&gt;"OK","",P418+(R418-P418)*(I418-O418)/(Q418-O418))</f>
        <v/>
      </c>
      <c r="T418" s="31">
        <f>IF(OR(N418&lt;&gt;"OK",NOT(ISNUMBER(M418))),"",M418-S418)</f>
        <v/>
      </c>
      <c r="U418" s="49">
        <f>IF(OR($E417&lt;&gt;"측정",$C417&lt;&gt;$C418,$D417&lt;&gt;$D418,NOT(ISNUMBER(M418)),NOT(ISNUMBER(M417)),(IF(ISNUMBER(G418),G418,F418)-IF(ISNUMBER(G417),G417,F417))=0),"",(M418-M417)/((IF(ISNUMBER(G418),G418,F418)-IF(ISNUMBER(G417),G417,F417))/100))</f>
        <v/>
      </c>
      <c r="V418" s="29" t="n"/>
      <c r="W418" s="29" t="n"/>
      <c r="X418" s="32" t="n"/>
    </row>
    <row r="419">
      <c r="A419" s="26" t="inlineStr">
        <is>
          <t>S35</t>
        </is>
      </c>
      <c r="B419" s="26" t="inlineStr">
        <is>
          <t>상주</t>
        </is>
      </c>
      <c r="C419" s="26" t="inlineStr">
        <is>
          <t>S35-V</t>
        </is>
      </c>
      <c r="D419" s="47" t="n">
        <v>1</v>
      </c>
      <c r="E419" s="26" t="inlineStr">
        <is>
          <t>측정</t>
        </is>
      </c>
      <c r="F419" s="47" t="n">
        <v>100</v>
      </c>
      <c r="G419" s="41" t="n"/>
      <c r="H419" s="29" t="n"/>
      <c r="I419" s="43" t="n"/>
      <c r="J419" s="41" t="n"/>
      <c r="K419" s="41" t="n"/>
      <c r="L419" s="41" t="n"/>
      <c r="M419" s="31">
        <f>IF(COUNT(J419:L419)=0,"",MEDIAN(J419:L419))</f>
        <v/>
      </c>
      <c r="N419" s="26">
        <f>IF(COUNTIFS($C:$C,$C419,$D:$D,$D419,$E:$E,"기준(전)",$M:$M,"&gt;0")&lt;&gt;1,"기준(전) 유효 1개 아님",IF(COUNTIFS($C:$C,$C419,$D:$D,$D419,$E:$E,"기준(후)",$M:$M,"&gt;0")&lt;&gt;1,"기준(후) 유효 1개 아님",IF(NOT(AND(ISNUMBER(O419),ISNUMBER(Q419),ISNUMBER(I419))),"시각 결측",IF(Q419&lt;=O419,"기준 시각 역전",IF(OR(I419&lt;O419,I419&gt;Q419),"측정시각 구간 밖","OK")))))</f>
        <v/>
      </c>
      <c r="O419" s="48">
        <f>IF(COUNTIFS($C:$C,$C419,$D:$D,$D419,$E:$E,"기준(전)",$M:$M,"&gt;0")&lt;&gt;1,"",SUMIFS($I:$I,$C:$C,$C419,$D:$D,$D419,$E:$E,"기준(전)"))</f>
        <v/>
      </c>
      <c r="P419" s="31">
        <f>IF(COUNTIFS($C:$C,$C419,$D:$D,$D419,$E:$E,"기준(전)",$M:$M,"&gt;0")&lt;&gt;1,"",SUMIFS($M:$M,$C:$C,$C419,$D:$D,$D419,$E:$E,"기준(전)"))</f>
        <v/>
      </c>
      <c r="Q419" s="48">
        <f>IF(COUNTIFS($C:$C,$C419,$D:$D,$D419,$E:$E,"기준(후)",$M:$M,"&gt;0")&lt;&gt;1,"",SUMIFS($I:$I,$C:$C,$C419,$D:$D,$D419,$E:$E,"기준(후)"))</f>
        <v/>
      </c>
      <c r="R419" s="31">
        <f>IF(COUNTIFS($C:$C,$C419,$D:$D,$D419,$E:$E,"기준(후)",$M:$M,"&gt;0")&lt;&gt;1,"",SUMIFS($M:$M,$C:$C,$C419,$D:$D,$D419,$E:$E,"기준(후)"))</f>
        <v/>
      </c>
      <c r="S419" s="31">
        <f>IF(N419&lt;&gt;"OK","",P419+(R419-P419)*(I419-O419)/(Q419-O419))</f>
        <v/>
      </c>
      <c r="T419" s="31">
        <f>IF(OR(N419&lt;&gt;"OK",NOT(ISNUMBER(M419))),"",M419-S419)</f>
        <v/>
      </c>
      <c r="U419" s="49">
        <f>IF(OR($E418&lt;&gt;"측정",$C418&lt;&gt;$C419,$D418&lt;&gt;$D419,NOT(ISNUMBER(M419)),NOT(ISNUMBER(M418)),(IF(ISNUMBER(G419),G419,F419)-IF(ISNUMBER(G418),G418,F418))=0),"",(M419-M418)/((IF(ISNUMBER(G419),G419,F419)-IF(ISNUMBER(G418),G418,F418))/100))</f>
        <v/>
      </c>
      <c r="V419" s="29" t="n"/>
      <c r="W419" s="29" t="n"/>
      <c r="X419" s="32" t="n"/>
    </row>
    <row r="420">
      <c r="A420" s="26" t="inlineStr">
        <is>
          <t>S35</t>
        </is>
      </c>
      <c r="B420" s="26" t="inlineStr">
        <is>
          <t>상주</t>
        </is>
      </c>
      <c r="C420" s="26" t="inlineStr">
        <is>
          <t>S35-V</t>
        </is>
      </c>
      <c r="D420" s="47" t="n">
        <v>1</v>
      </c>
      <c r="E420" s="26" t="inlineStr">
        <is>
          <t>측정</t>
        </is>
      </c>
      <c r="F420" s="47" t="n">
        <v>120</v>
      </c>
      <c r="G420" s="41" t="n"/>
      <c r="H420" s="29" t="n"/>
      <c r="I420" s="43" t="n"/>
      <c r="J420" s="41" t="n"/>
      <c r="K420" s="41" t="n"/>
      <c r="L420" s="41" t="n"/>
      <c r="M420" s="31">
        <f>IF(COUNT(J420:L420)=0,"",MEDIAN(J420:L420))</f>
        <v/>
      </c>
      <c r="N420" s="26">
        <f>IF(COUNTIFS($C:$C,$C420,$D:$D,$D420,$E:$E,"기준(전)",$M:$M,"&gt;0")&lt;&gt;1,"기준(전) 유효 1개 아님",IF(COUNTIFS($C:$C,$C420,$D:$D,$D420,$E:$E,"기준(후)",$M:$M,"&gt;0")&lt;&gt;1,"기준(후) 유효 1개 아님",IF(NOT(AND(ISNUMBER(O420),ISNUMBER(Q420),ISNUMBER(I420))),"시각 결측",IF(Q420&lt;=O420,"기준 시각 역전",IF(OR(I420&lt;O420,I420&gt;Q420),"측정시각 구간 밖","OK")))))</f>
        <v/>
      </c>
      <c r="O420" s="48">
        <f>IF(COUNTIFS($C:$C,$C420,$D:$D,$D420,$E:$E,"기준(전)",$M:$M,"&gt;0")&lt;&gt;1,"",SUMIFS($I:$I,$C:$C,$C420,$D:$D,$D420,$E:$E,"기준(전)"))</f>
        <v/>
      </c>
      <c r="P420" s="31">
        <f>IF(COUNTIFS($C:$C,$C420,$D:$D,$D420,$E:$E,"기준(전)",$M:$M,"&gt;0")&lt;&gt;1,"",SUMIFS($M:$M,$C:$C,$C420,$D:$D,$D420,$E:$E,"기준(전)"))</f>
        <v/>
      </c>
      <c r="Q420" s="48">
        <f>IF(COUNTIFS($C:$C,$C420,$D:$D,$D420,$E:$E,"기준(후)",$M:$M,"&gt;0")&lt;&gt;1,"",SUMIFS($I:$I,$C:$C,$C420,$D:$D,$D420,$E:$E,"기준(후)"))</f>
        <v/>
      </c>
      <c r="R420" s="31">
        <f>IF(COUNTIFS($C:$C,$C420,$D:$D,$D420,$E:$E,"기준(후)",$M:$M,"&gt;0")&lt;&gt;1,"",SUMIFS($M:$M,$C:$C,$C420,$D:$D,$D420,$E:$E,"기준(후)"))</f>
        <v/>
      </c>
      <c r="S420" s="31">
        <f>IF(N420&lt;&gt;"OK","",P420+(R420-P420)*(I420-O420)/(Q420-O420))</f>
        <v/>
      </c>
      <c r="T420" s="31">
        <f>IF(OR(N420&lt;&gt;"OK",NOT(ISNUMBER(M420))),"",M420-S420)</f>
        <v/>
      </c>
      <c r="U420" s="49">
        <f>IF(OR($E419&lt;&gt;"측정",$C419&lt;&gt;$C420,$D419&lt;&gt;$D420,NOT(ISNUMBER(M420)),NOT(ISNUMBER(M419)),(IF(ISNUMBER(G420),G420,F420)-IF(ISNUMBER(G419),G419,F419))=0),"",(M420-M419)/((IF(ISNUMBER(G420),G420,F420)-IF(ISNUMBER(G419),G419,F419))/100))</f>
        <v/>
      </c>
      <c r="V420" s="29" t="n"/>
      <c r="W420" s="29" t="n"/>
      <c r="X420" s="32" t="n"/>
    </row>
    <row r="421">
      <c r="A421" s="26" t="inlineStr">
        <is>
          <t>S35</t>
        </is>
      </c>
      <c r="B421" s="26" t="inlineStr">
        <is>
          <t>상주</t>
        </is>
      </c>
      <c r="C421" s="26" t="inlineStr">
        <is>
          <t>S35-V</t>
        </is>
      </c>
      <c r="D421" s="47" t="n">
        <v>1</v>
      </c>
      <c r="E421" s="26" t="inlineStr">
        <is>
          <t>측정</t>
        </is>
      </c>
      <c r="F421" s="47" t="n">
        <v>140</v>
      </c>
      <c r="G421" s="41" t="n"/>
      <c r="H421" s="29" t="n"/>
      <c r="I421" s="43" t="n"/>
      <c r="J421" s="41" t="n"/>
      <c r="K421" s="41" t="n"/>
      <c r="L421" s="41" t="n"/>
      <c r="M421" s="31">
        <f>IF(COUNT(J421:L421)=0,"",MEDIAN(J421:L421))</f>
        <v/>
      </c>
      <c r="N421" s="26">
        <f>IF(COUNTIFS($C:$C,$C421,$D:$D,$D421,$E:$E,"기준(전)",$M:$M,"&gt;0")&lt;&gt;1,"기준(전) 유효 1개 아님",IF(COUNTIFS($C:$C,$C421,$D:$D,$D421,$E:$E,"기준(후)",$M:$M,"&gt;0")&lt;&gt;1,"기준(후) 유효 1개 아님",IF(NOT(AND(ISNUMBER(O421),ISNUMBER(Q421),ISNUMBER(I421))),"시각 결측",IF(Q421&lt;=O421,"기준 시각 역전",IF(OR(I421&lt;O421,I421&gt;Q421),"측정시각 구간 밖","OK")))))</f>
        <v/>
      </c>
      <c r="O421" s="48">
        <f>IF(COUNTIFS($C:$C,$C421,$D:$D,$D421,$E:$E,"기준(전)",$M:$M,"&gt;0")&lt;&gt;1,"",SUMIFS($I:$I,$C:$C,$C421,$D:$D,$D421,$E:$E,"기준(전)"))</f>
        <v/>
      </c>
      <c r="P421" s="31">
        <f>IF(COUNTIFS($C:$C,$C421,$D:$D,$D421,$E:$E,"기준(전)",$M:$M,"&gt;0")&lt;&gt;1,"",SUMIFS($M:$M,$C:$C,$C421,$D:$D,$D421,$E:$E,"기준(전)"))</f>
        <v/>
      </c>
      <c r="Q421" s="48">
        <f>IF(COUNTIFS($C:$C,$C421,$D:$D,$D421,$E:$E,"기준(후)",$M:$M,"&gt;0")&lt;&gt;1,"",SUMIFS($I:$I,$C:$C,$C421,$D:$D,$D421,$E:$E,"기준(후)"))</f>
        <v/>
      </c>
      <c r="R421" s="31">
        <f>IF(COUNTIFS($C:$C,$C421,$D:$D,$D421,$E:$E,"기준(후)",$M:$M,"&gt;0")&lt;&gt;1,"",SUMIFS($M:$M,$C:$C,$C421,$D:$D,$D421,$E:$E,"기준(후)"))</f>
        <v/>
      </c>
      <c r="S421" s="31">
        <f>IF(N421&lt;&gt;"OK","",P421+(R421-P421)*(I421-O421)/(Q421-O421))</f>
        <v/>
      </c>
      <c r="T421" s="31">
        <f>IF(OR(N421&lt;&gt;"OK",NOT(ISNUMBER(M421))),"",M421-S421)</f>
        <v/>
      </c>
      <c r="U421" s="49">
        <f>IF(OR($E420&lt;&gt;"측정",$C420&lt;&gt;$C421,$D420&lt;&gt;$D421,NOT(ISNUMBER(M421)),NOT(ISNUMBER(M420)),(IF(ISNUMBER(G421),G421,F421)-IF(ISNUMBER(G420),G420,F420))=0),"",(M421-M420)/((IF(ISNUMBER(G421),G421,F421)-IF(ISNUMBER(G420),G420,F420))/100))</f>
        <v/>
      </c>
      <c r="V421" s="29" t="n"/>
      <c r="W421" s="29" t="n"/>
      <c r="X421" s="32" t="n"/>
    </row>
    <row r="422">
      <c r="A422" s="26" t="inlineStr">
        <is>
          <t>S35</t>
        </is>
      </c>
      <c r="B422" s="26" t="inlineStr">
        <is>
          <t>상주</t>
        </is>
      </c>
      <c r="C422" s="26" t="inlineStr">
        <is>
          <t>S35-V</t>
        </is>
      </c>
      <c r="D422" s="47" t="n">
        <v>1</v>
      </c>
      <c r="E422" s="26" t="inlineStr">
        <is>
          <t>측정</t>
        </is>
      </c>
      <c r="F422" s="47" t="n">
        <v>160</v>
      </c>
      <c r="G422" s="41" t="n"/>
      <c r="H422" s="29" t="n"/>
      <c r="I422" s="43" t="n"/>
      <c r="J422" s="41" t="n"/>
      <c r="K422" s="41" t="n"/>
      <c r="L422" s="41" t="n"/>
      <c r="M422" s="31">
        <f>IF(COUNT(J422:L422)=0,"",MEDIAN(J422:L422))</f>
        <v/>
      </c>
      <c r="N422" s="26">
        <f>IF(COUNTIFS($C:$C,$C422,$D:$D,$D422,$E:$E,"기준(전)",$M:$M,"&gt;0")&lt;&gt;1,"기준(전) 유효 1개 아님",IF(COUNTIFS($C:$C,$C422,$D:$D,$D422,$E:$E,"기준(후)",$M:$M,"&gt;0")&lt;&gt;1,"기준(후) 유효 1개 아님",IF(NOT(AND(ISNUMBER(O422),ISNUMBER(Q422),ISNUMBER(I422))),"시각 결측",IF(Q422&lt;=O422,"기준 시각 역전",IF(OR(I422&lt;O422,I422&gt;Q422),"측정시각 구간 밖","OK")))))</f>
        <v/>
      </c>
      <c r="O422" s="48">
        <f>IF(COUNTIFS($C:$C,$C422,$D:$D,$D422,$E:$E,"기준(전)",$M:$M,"&gt;0")&lt;&gt;1,"",SUMIFS($I:$I,$C:$C,$C422,$D:$D,$D422,$E:$E,"기준(전)"))</f>
        <v/>
      </c>
      <c r="P422" s="31">
        <f>IF(COUNTIFS($C:$C,$C422,$D:$D,$D422,$E:$E,"기준(전)",$M:$M,"&gt;0")&lt;&gt;1,"",SUMIFS($M:$M,$C:$C,$C422,$D:$D,$D422,$E:$E,"기준(전)"))</f>
        <v/>
      </c>
      <c r="Q422" s="48">
        <f>IF(COUNTIFS($C:$C,$C422,$D:$D,$D422,$E:$E,"기준(후)",$M:$M,"&gt;0")&lt;&gt;1,"",SUMIFS($I:$I,$C:$C,$C422,$D:$D,$D422,$E:$E,"기준(후)"))</f>
        <v/>
      </c>
      <c r="R422" s="31">
        <f>IF(COUNTIFS($C:$C,$C422,$D:$D,$D422,$E:$E,"기준(후)",$M:$M,"&gt;0")&lt;&gt;1,"",SUMIFS($M:$M,$C:$C,$C422,$D:$D,$D422,$E:$E,"기준(후)"))</f>
        <v/>
      </c>
      <c r="S422" s="31">
        <f>IF(N422&lt;&gt;"OK","",P422+(R422-P422)*(I422-O422)/(Q422-O422))</f>
        <v/>
      </c>
      <c r="T422" s="31">
        <f>IF(OR(N422&lt;&gt;"OK",NOT(ISNUMBER(M422))),"",M422-S422)</f>
        <v/>
      </c>
      <c r="U422" s="49">
        <f>IF(OR($E421&lt;&gt;"측정",$C421&lt;&gt;$C422,$D421&lt;&gt;$D422,NOT(ISNUMBER(M422)),NOT(ISNUMBER(M421)),(IF(ISNUMBER(G422),G422,F422)-IF(ISNUMBER(G421),G421,F421))=0),"",(M422-M421)/((IF(ISNUMBER(G422),G422,F422)-IF(ISNUMBER(G421),G421,F421))/100))</f>
        <v/>
      </c>
      <c r="V422" s="29" t="n"/>
      <c r="W422" s="29" t="n"/>
      <c r="X422" s="32" t="n"/>
    </row>
    <row r="423">
      <c r="A423" s="26" t="inlineStr">
        <is>
          <t>S35</t>
        </is>
      </c>
      <c r="B423" s="26" t="inlineStr">
        <is>
          <t>상주</t>
        </is>
      </c>
      <c r="C423" s="26" t="inlineStr">
        <is>
          <t>S35-V</t>
        </is>
      </c>
      <c r="D423" s="47" t="n">
        <v>1</v>
      </c>
      <c r="E423" s="26" t="inlineStr">
        <is>
          <t>측정</t>
        </is>
      </c>
      <c r="F423" s="47" t="n">
        <v>180</v>
      </c>
      <c r="G423" s="41" t="n"/>
      <c r="H423" s="29" t="n"/>
      <c r="I423" s="43" t="n"/>
      <c r="J423" s="41" t="n"/>
      <c r="K423" s="41" t="n"/>
      <c r="L423" s="41" t="n"/>
      <c r="M423" s="31">
        <f>IF(COUNT(J423:L423)=0,"",MEDIAN(J423:L423))</f>
        <v/>
      </c>
      <c r="N423" s="26">
        <f>IF(COUNTIFS($C:$C,$C423,$D:$D,$D423,$E:$E,"기준(전)",$M:$M,"&gt;0")&lt;&gt;1,"기준(전) 유효 1개 아님",IF(COUNTIFS($C:$C,$C423,$D:$D,$D423,$E:$E,"기준(후)",$M:$M,"&gt;0")&lt;&gt;1,"기준(후) 유효 1개 아님",IF(NOT(AND(ISNUMBER(O423),ISNUMBER(Q423),ISNUMBER(I423))),"시각 결측",IF(Q423&lt;=O423,"기준 시각 역전",IF(OR(I423&lt;O423,I423&gt;Q423),"측정시각 구간 밖","OK")))))</f>
        <v/>
      </c>
      <c r="O423" s="48">
        <f>IF(COUNTIFS($C:$C,$C423,$D:$D,$D423,$E:$E,"기준(전)",$M:$M,"&gt;0")&lt;&gt;1,"",SUMIFS($I:$I,$C:$C,$C423,$D:$D,$D423,$E:$E,"기준(전)"))</f>
        <v/>
      </c>
      <c r="P423" s="31">
        <f>IF(COUNTIFS($C:$C,$C423,$D:$D,$D423,$E:$E,"기준(전)",$M:$M,"&gt;0")&lt;&gt;1,"",SUMIFS($M:$M,$C:$C,$C423,$D:$D,$D423,$E:$E,"기준(전)"))</f>
        <v/>
      </c>
      <c r="Q423" s="48">
        <f>IF(COUNTIFS($C:$C,$C423,$D:$D,$D423,$E:$E,"기준(후)",$M:$M,"&gt;0")&lt;&gt;1,"",SUMIFS($I:$I,$C:$C,$C423,$D:$D,$D423,$E:$E,"기준(후)"))</f>
        <v/>
      </c>
      <c r="R423" s="31">
        <f>IF(COUNTIFS($C:$C,$C423,$D:$D,$D423,$E:$E,"기준(후)",$M:$M,"&gt;0")&lt;&gt;1,"",SUMIFS($M:$M,$C:$C,$C423,$D:$D,$D423,$E:$E,"기준(후)"))</f>
        <v/>
      </c>
      <c r="S423" s="31">
        <f>IF(N423&lt;&gt;"OK","",P423+(R423-P423)*(I423-O423)/(Q423-O423))</f>
        <v/>
      </c>
      <c r="T423" s="31">
        <f>IF(OR(N423&lt;&gt;"OK",NOT(ISNUMBER(M423))),"",M423-S423)</f>
        <v/>
      </c>
      <c r="U423" s="49">
        <f>IF(OR($E422&lt;&gt;"측정",$C422&lt;&gt;$C423,$D422&lt;&gt;$D423,NOT(ISNUMBER(M423)),NOT(ISNUMBER(M422)),(IF(ISNUMBER(G423),G423,F423)-IF(ISNUMBER(G422),G422,F422))=0),"",(M423-M422)/((IF(ISNUMBER(G423),G423,F423)-IF(ISNUMBER(G422),G422,F422))/100))</f>
        <v/>
      </c>
      <c r="V423" s="29" t="n"/>
      <c r="W423" s="29" t="n"/>
      <c r="X423" s="32" t="n"/>
    </row>
    <row r="424">
      <c r="A424" s="26" t="inlineStr">
        <is>
          <t>S35</t>
        </is>
      </c>
      <c r="B424" s="26" t="inlineStr">
        <is>
          <t>상주</t>
        </is>
      </c>
      <c r="C424" s="26" t="inlineStr">
        <is>
          <t>S35-V</t>
        </is>
      </c>
      <c r="D424" s="47" t="n">
        <v>1</v>
      </c>
      <c r="E424" s="26" t="inlineStr">
        <is>
          <t>측정</t>
        </is>
      </c>
      <c r="F424" s="47" t="n">
        <v>200</v>
      </c>
      <c r="G424" s="41" t="n"/>
      <c r="H424" s="29" t="n"/>
      <c r="I424" s="43" t="n"/>
      <c r="J424" s="41" t="n"/>
      <c r="K424" s="41" t="n"/>
      <c r="L424" s="41" t="n"/>
      <c r="M424" s="31">
        <f>IF(COUNT(J424:L424)=0,"",MEDIAN(J424:L424))</f>
        <v/>
      </c>
      <c r="N424" s="26">
        <f>IF(COUNTIFS($C:$C,$C424,$D:$D,$D424,$E:$E,"기준(전)",$M:$M,"&gt;0")&lt;&gt;1,"기준(전) 유효 1개 아님",IF(COUNTIFS($C:$C,$C424,$D:$D,$D424,$E:$E,"기준(후)",$M:$M,"&gt;0")&lt;&gt;1,"기준(후) 유효 1개 아님",IF(NOT(AND(ISNUMBER(O424),ISNUMBER(Q424),ISNUMBER(I424))),"시각 결측",IF(Q424&lt;=O424,"기준 시각 역전",IF(OR(I424&lt;O424,I424&gt;Q424),"측정시각 구간 밖","OK")))))</f>
        <v/>
      </c>
      <c r="O424" s="48">
        <f>IF(COUNTIFS($C:$C,$C424,$D:$D,$D424,$E:$E,"기준(전)",$M:$M,"&gt;0")&lt;&gt;1,"",SUMIFS($I:$I,$C:$C,$C424,$D:$D,$D424,$E:$E,"기준(전)"))</f>
        <v/>
      </c>
      <c r="P424" s="31">
        <f>IF(COUNTIFS($C:$C,$C424,$D:$D,$D424,$E:$E,"기준(전)",$M:$M,"&gt;0")&lt;&gt;1,"",SUMIFS($M:$M,$C:$C,$C424,$D:$D,$D424,$E:$E,"기준(전)"))</f>
        <v/>
      </c>
      <c r="Q424" s="48">
        <f>IF(COUNTIFS($C:$C,$C424,$D:$D,$D424,$E:$E,"기준(후)",$M:$M,"&gt;0")&lt;&gt;1,"",SUMIFS($I:$I,$C:$C,$C424,$D:$D,$D424,$E:$E,"기준(후)"))</f>
        <v/>
      </c>
      <c r="R424" s="31">
        <f>IF(COUNTIFS($C:$C,$C424,$D:$D,$D424,$E:$E,"기준(후)",$M:$M,"&gt;0")&lt;&gt;1,"",SUMIFS($M:$M,$C:$C,$C424,$D:$D,$D424,$E:$E,"기준(후)"))</f>
        <v/>
      </c>
      <c r="S424" s="31">
        <f>IF(N424&lt;&gt;"OK","",P424+(R424-P424)*(I424-O424)/(Q424-O424))</f>
        <v/>
      </c>
      <c r="T424" s="31">
        <f>IF(OR(N424&lt;&gt;"OK",NOT(ISNUMBER(M424))),"",M424-S424)</f>
        <v/>
      </c>
      <c r="U424" s="49">
        <f>IF(OR($E423&lt;&gt;"측정",$C423&lt;&gt;$C424,$D423&lt;&gt;$D424,NOT(ISNUMBER(M424)),NOT(ISNUMBER(M423)),(IF(ISNUMBER(G424),G424,F424)-IF(ISNUMBER(G423),G423,F423))=0),"",(M424-M423)/((IF(ISNUMBER(G424),G424,F424)-IF(ISNUMBER(G423),G423,F423))/100))</f>
        <v/>
      </c>
      <c r="V424" s="29" t="n"/>
      <c r="W424" s="29" t="n"/>
      <c r="X424" s="32" t="n"/>
    </row>
    <row r="425">
      <c r="A425" s="44" t="inlineStr">
        <is>
          <t>S35</t>
        </is>
      </c>
      <c r="B425" s="44" t="inlineStr">
        <is>
          <t>상주</t>
        </is>
      </c>
      <c r="C425" s="44" t="inlineStr">
        <is>
          <t>S35-V</t>
        </is>
      </c>
      <c r="D425" s="45" t="n">
        <v>1</v>
      </c>
      <c r="E425" s="44" t="inlineStr">
        <is>
          <t>기준(후)</t>
        </is>
      </c>
      <c r="F425" s="45" t="n"/>
      <c r="G425" s="41" t="n"/>
      <c r="H425" s="29" t="n"/>
      <c r="I425" s="43" t="n"/>
      <c r="J425" s="41" t="n"/>
      <c r="K425" s="41" t="n"/>
      <c r="L425" s="41" t="n"/>
      <c r="M425" s="31">
        <f>IF(COUNT(J425:L425)=0,"",MEDIAN(J425:L425))</f>
        <v/>
      </c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29" t="n"/>
      <c r="W425" s="29" t="n"/>
      <c r="X425" s="32" t="n"/>
    </row>
    <row r="426">
      <c r="A426" s="44" t="inlineStr">
        <is>
          <t>S36</t>
        </is>
      </c>
      <c r="B426" s="44" t="inlineStr">
        <is>
          <t>미원</t>
        </is>
      </c>
      <c r="C426" s="44" t="inlineStr">
        <is>
          <t>S36-V</t>
        </is>
      </c>
      <c r="D426" s="45" t="n">
        <v>1</v>
      </c>
      <c r="E426" s="44" t="inlineStr">
        <is>
          <t>기준(전)</t>
        </is>
      </c>
      <c r="F426" s="45" t="n"/>
      <c r="G426" s="41" t="n"/>
      <c r="H426" s="29" t="n"/>
      <c r="I426" s="43" t="n"/>
      <c r="J426" s="41" t="n"/>
      <c r="K426" s="41" t="n"/>
      <c r="L426" s="41" t="n"/>
      <c r="M426" s="31">
        <f>IF(COUNT(J426:L426)=0,"",MEDIAN(J426:L426))</f>
        <v/>
      </c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29" t="n"/>
      <c r="W426" s="29" t="n"/>
      <c r="X426" s="32" t="n"/>
    </row>
    <row r="427">
      <c r="A427" s="26" t="inlineStr">
        <is>
          <t>S36</t>
        </is>
      </c>
      <c r="B427" s="26" t="inlineStr">
        <is>
          <t>미원</t>
        </is>
      </c>
      <c r="C427" s="26" t="inlineStr">
        <is>
          <t>S36-V</t>
        </is>
      </c>
      <c r="D427" s="47" t="n">
        <v>1</v>
      </c>
      <c r="E427" s="26" t="inlineStr">
        <is>
          <t>측정</t>
        </is>
      </c>
      <c r="F427" s="47" t="n">
        <v>20</v>
      </c>
      <c r="G427" s="41" t="n"/>
      <c r="H427" s="29" t="n"/>
      <c r="I427" s="43" t="n"/>
      <c r="J427" s="41" t="n"/>
      <c r="K427" s="41" t="n"/>
      <c r="L427" s="41" t="n"/>
      <c r="M427" s="31">
        <f>IF(COUNT(J427:L427)=0,"",MEDIAN(J427:L427))</f>
        <v/>
      </c>
      <c r="N427" s="26">
        <f>IF(COUNTIFS($C:$C,$C427,$D:$D,$D427,$E:$E,"기준(전)",$M:$M,"&gt;0")&lt;&gt;1,"기준(전) 유효 1개 아님",IF(COUNTIFS($C:$C,$C427,$D:$D,$D427,$E:$E,"기준(후)",$M:$M,"&gt;0")&lt;&gt;1,"기준(후) 유효 1개 아님",IF(NOT(AND(ISNUMBER(O427),ISNUMBER(Q427),ISNUMBER(I427))),"시각 결측",IF(Q427&lt;=O427,"기준 시각 역전",IF(OR(I427&lt;O427,I427&gt;Q427),"측정시각 구간 밖","OK")))))</f>
        <v/>
      </c>
      <c r="O427" s="48">
        <f>IF(COUNTIFS($C:$C,$C427,$D:$D,$D427,$E:$E,"기준(전)",$M:$M,"&gt;0")&lt;&gt;1,"",SUMIFS($I:$I,$C:$C,$C427,$D:$D,$D427,$E:$E,"기준(전)"))</f>
        <v/>
      </c>
      <c r="P427" s="31">
        <f>IF(COUNTIFS($C:$C,$C427,$D:$D,$D427,$E:$E,"기준(전)",$M:$M,"&gt;0")&lt;&gt;1,"",SUMIFS($M:$M,$C:$C,$C427,$D:$D,$D427,$E:$E,"기준(전)"))</f>
        <v/>
      </c>
      <c r="Q427" s="48">
        <f>IF(COUNTIFS($C:$C,$C427,$D:$D,$D427,$E:$E,"기준(후)",$M:$M,"&gt;0")&lt;&gt;1,"",SUMIFS($I:$I,$C:$C,$C427,$D:$D,$D427,$E:$E,"기준(후)"))</f>
        <v/>
      </c>
      <c r="R427" s="31">
        <f>IF(COUNTIFS($C:$C,$C427,$D:$D,$D427,$E:$E,"기준(후)",$M:$M,"&gt;0")&lt;&gt;1,"",SUMIFS($M:$M,$C:$C,$C427,$D:$D,$D427,$E:$E,"기준(후)"))</f>
        <v/>
      </c>
      <c r="S427" s="31">
        <f>IF(N427&lt;&gt;"OK","",P427+(R427-P427)*(I427-O427)/(Q427-O427))</f>
        <v/>
      </c>
      <c r="T427" s="31">
        <f>IF(OR(N427&lt;&gt;"OK",NOT(ISNUMBER(M427))),"",M427-S427)</f>
        <v/>
      </c>
      <c r="U427" s="49">
        <f>IF(OR($E426&lt;&gt;"측정",$C426&lt;&gt;$C427,$D426&lt;&gt;$D427,NOT(ISNUMBER(M427)),NOT(ISNUMBER(M426)),(IF(ISNUMBER(G427),G427,F427)-IF(ISNUMBER(G426),G426,F426))=0),"",(M427-M426)/((IF(ISNUMBER(G427),G427,F427)-IF(ISNUMBER(G426),G426,F426))/100))</f>
        <v/>
      </c>
      <c r="V427" s="29" t="n"/>
      <c r="W427" s="29" t="n"/>
      <c r="X427" s="32" t="n"/>
    </row>
    <row r="428">
      <c r="A428" s="26" t="inlineStr">
        <is>
          <t>S36</t>
        </is>
      </c>
      <c r="B428" s="26" t="inlineStr">
        <is>
          <t>미원</t>
        </is>
      </c>
      <c r="C428" s="26" t="inlineStr">
        <is>
          <t>S36-V</t>
        </is>
      </c>
      <c r="D428" s="47" t="n">
        <v>1</v>
      </c>
      <c r="E428" s="26" t="inlineStr">
        <is>
          <t>측정</t>
        </is>
      </c>
      <c r="F428" s="47" t="n">
        <v>40</v>
      </c>
      <c r="G428" s="41" t="n"/>
      <c r="H428" s="29" t="n"/>
      <c r="I428" s="43" t="n"/>
      <c r="J428" s="41" t="n"/>
      <c r="K428" s="41" t="n"/>
      <c r="L428" s="41" t="n"/>
      <c r="M428" s="31">
        <f>IF(COUNT(J428:L428)=0,"",MEDIAN(J428:L428))</f>
        <v/>
      </c>
      <c r="N428" s="26">
        <f>IF(COUNTIFS($C:$C,$C428,$D:$D,$D428,$E:$E,"기준(전)",$M:$M,"&gt;0")&lt;&gt;1,"기준(전) 유효 1개 아님",IF(COUNTIFS($C:$C,$C428,$D:$D,$D428,$E:$E,"기준(후)",$M:$M,"&gt;0")&lt;&gt;1,"기준(후) 유효 1개 아님",IF(NOT(AND(ISNUMBER(O428),ISNUMBER(Q428),ISNUMBER(I428))),"시각 결측",IF(Q428&lt;=O428,"기준 시각 역전",IF(OR(I428&lt;O428,I428&gt;Q428),"측정시각 구간 밖","OK")))))</f>
        <v/>
      </c>
      <c r="O428" s="48">
        <f>IF(COUNTIFS($C:$C,$C428,$D:$D,$D428,$E:$E,"기준(전)",$M:$M,"&gt;0")&lt;&gt;1,"",SUMIFS($I:$I,$C:$C,$C428,$D:$D,$D428,$E:$E,"기준(전)"))</f>
        <v/>
      </c>
      <c r="P428" s="31">
        <f>IF(COUNTIFS($C:$C,$C428,$D:$D,$D428,$E:$E,"기준(전)",$M:$M,"&gt;0")&lt;&gt;1,"",SUMIFS($M:$M,$C:$C,$C428,$D:$D,$D428,$E:$E,"기준(전)"))</f>
        <v/>
      </c>
      <c r="Q428" s="48">
        <f>IF(COUNTIFS($C:$C,$C428,$D:$D,$D428,$E:$E,"기준(후)",$M:$M,"&gt;0")&lt;&gt;1,"",SUMIFS($I:$I,$C:$C,$C428,$D:$D,$D428,$E:$E,"기준(후)"))</f>
        <v/>
      </c>
      <c r="R428" s="31">
        <f>IF(COUNTIFS($C:$C,$C428,$D:$D,$D428,$E:$E,"기준(후)",$M:$M,"&gt;0")&lt;&gt;1,"",SUMIFS($M:$M,$C:$C,$C428,$D:$D,$D428,$E:$E,"기준(후)"))</f>
        <v/>
      </c>
      <c r="S428" s="31">
        <f>IF(N428&lt;&gt;"OK","",P428+(R428-P428)*(I428-O428)/(Q428-O428))</f>
        <v/>
      </c>
      <c r="T428" s="31">
        <f>IF(OR(N428&lt;&gt;"OK",NOT(ISNUMBER(M428))),"",M428-S428)</f>
        <v/>
      </c>
      <c r="U428" s="49">
        <f>IF(OR($E427&lt;&gt;"측정",$C427&lt;&gt;$C428,$D427&lt;&gt;$D428,NOT(ISNUMBER(M428)),NOT(ISNUMBER(M427)),(IF(ISNUMBER(G428),G428,F428)-IF(ISNUMBER(G427),G427,F427))=0),"",(M428-M427)/((IF(ISNUMBER(G428),G428,F428)-IF(ISNUMBER(G427),G427,F427))/100))</f>
        <v/>
      </c>
      <c r="V428" s="29" t="n"/>
      <c r="W428" s="29" t="n"/>
      <c r="X428" s="32" t="n"/>
    </row>
    <row r="429">
      <c r="A429" s="26" t="inlineStr">
        <is>
          <t>S36</t>
        </is>
      </c>
      <c r="B429" s="26" t="inlineStr">
        <is>
          <t>미원</t>
        </is>
      </c>
      <c r="C429" s="26" t="inlineStr">
        <is>
          <t>S36-V</t>
        </is>
      </c>
      <c r="D429" s="47" t="n">
        <v>1</v>
      </c>
      <c r="E429" s="26" t="inlineStr">
        <is>
          <t>측정</t>
        </is>
      </c>
      <c r="F429" s="47" t="n">
        <v>60</v>
      </c>
      <c r="G429" s="41" t="n"/>
      <c r="H429" s="29" t="n"/>
      <c r="I429" s="43" t="n"/>
      <c r="J429" s="41" t="n"/>
      <c r="K429" s="41" t="n"/>
      <c r="L429" s="41" t="n"/>
      <c r="M429" s="31">
        <f>IF(COUNT(J429:L429)=0,"",MEDIAN(J429:L429))</f>
        <v/>
      </c>
      <c r="N429" s="26">
        <f>IF(COUNTIFS($C:$C,$C429,$D:$D,$D429,$E:$E,"기준(전)",$M:$M,"&gt;0")&lt;&gt;1,"기준(전) 유효 1개 아님",IF(COUNTIFS($C:$C,$C429,$D:$D,$D429,$E:$E,"기준(후)",$M:$M,"&gt;0")&lt;&gt;1,"기준(후) 유효 1개 아님",IF(NOT(AND(ISNUMBER(O429),ISNUMBER(Q429),ISNUMBER(I429))),"시각 결측",IF(Q429&lt;=O429,"기준 시각 역전",IF(OR(I429&lt;O429,I429&gt;Q429),"측정시각 구간 밖","OK")))))</f>
        <v/>
      </c>
      <c r="O429" s="48">
        <f>IF(COUNTIFS($C:$C,$C429,$D:$D,$D429,$E:$E,"기준(전)",$M:$M,"&gt;0")&lt;&gt;1,"",SUMIFS($I:$I,$C:$C,$C429,$D:$D,$D429,$E:$E,"기준(전)"))</f>
        <v/>
      </c>
      <c r="P429" s="31">
        <f>IF(COUNTIFS($C:$C,$C429,$D:$D,$D429,$E:$E,"기준(전)",$M:$M,"&gt;0")&lt;&gt;1,"",SUMIFS($M:$M,$C:$C,$C429,$D:$D,$D429,$E:$E,"기준(전)"))</f>
        <v/>
      </c>
      <c r="Q429" s="48">
        <f>IF(COUNTIFS($C:$C,$C429,$D:$D,$D429,$E:$E,"기준(후)",$M:$M,"&gt;0")&lt;&gt;1,"",SUMIFS($I:$I,$C:$C,$C429,$D:$D,$D429,$E:$E,"기준(후)"))</f>
        <v/>
      </c>
      <c r="R429" s="31">
        <f>IF(COUNTIFS($C:$C,$C429,$D:$D,$D429,$E:$E,"기준(후)",$M:$M,"&gt;0")&lt;&gt;1,"",SUMIFS($M:$M,$C:$C,$C429,$D:$D,$D429,$E:$E,"기준(후)"))</f>
        <v/>
      </c>
      <c r="S429" s="31">
        <f>IF(N429&lt;&gt;"OK","",P429+(R429-P429)*(I429-O429)/(Q429-O429))</f>
        <v/>
      </c>
      <c r="T429" s="31">
        <f>IF(OR(N429&lt;&gt;"OK",NOT(ISNUMBER(M429))),"",M429-S429)</f>
        <v/>
      </c>
      <c r="U429" s="49">
        <f>IF(OR($E428&lt;&gt;"측정",$C428&lt;&gt;$C429,$D428&lt;&gt;$D429,NOT(ISNUMBER(M429)),NOT(ISNUMBER(M428)),(IF(ISNUMBER(G429),G429,F429)-IF(ISNUMBER(G428),G428,F428))=0),"",(M429-M428)/((IF(ISNUMBER(G429),G429,F429)-IF(ISNUMBER(G428),G428,F428))/100))</f>
        <v/>
      </c>
      <c r="V429" s="29" t="n"/>
      <c r="W429" s="29" t="n"/>
      <c r="X429" s="32" t="n"/>
    </row>
    <row r="430">
      <c r="A430" s="26" t="inlineStr">
        <is>
          <t>S36</t>
        </is>
      </c>
      <c r="B430" s="26" t="inlineStr">
        <is>
          <t>미원</t>
        </is>
      </c>
      <c r="C430" s="26" t="inlineStr">
        <is>
          <t>S36-V</t>
        </is>
      </c>
      <c r="D430" s="47" t="n">
        <v>1</v>
      </c>
      <c r="E430" s="26" t="inlineStr">
        <is>
          <t>측정</t>
        </is>
      </c>
      <c r="F430" s="47" t="n">
        <v>80</v>
      </c>
      <c r="G430" s="41" t="n"/>
      <c r="H430" s="29" t="n"/>
      <c r="I430" s="43" t="n"/>
      <c r="J430" s="41" t="n"/>
      <c r="K430" s="41" t="n"/>
      <c r="L430" s="41" t="n"/>
      <c r="M430" s="31">
        <f>IF(COUNT(J430:L430)=0,"",MEDIAN(J430:L430))</f>
        <v/>
      </c>
      <c r="N430" s="26">
        <f>IF(COUNTIFS($C:$C,$C430,$D:$D,$D430,$E:$E,"기준(전)",$M:$M,"&gt;0")&lt;&gt;1,"기준(전) 유효 1개 아님",IF(COUNTIFS($C:$C,$C430,$D:$D,$D430,$E:$E,"기준(후)",$M:$M,"&gt;0")&lt;&gt;1,"기준(후) 유효 1개 아님",IF(NOT(AND(ISNUMBER(O430),ISNUMBER(Q430),ISNUMBER(I430))),"시각 결측",IF(Q430&lt;=O430,"기준 시각 역전",IF(OR(I430&lt;O430,I430&gt;Q430),"측정시각 구간 밖","OK")))))</f>
        <v/>
      </c>
      <c r="O430" s="48">
        <f>IF(COUNTIFS($C:$C,$C430,$D:$D,$D430,$E:$E,"기준(전)",$M:$M,"&gt;0")&lt;&gt;1,"",SUMIFS($I:$I,$C:$C,$C430,$D:$D,$D430,$E:$E,"기준(전)"))</f>
        <v/>
      </c>
      <c r="P430" s="31">
        <f>IF(COUNTIFS($C:$C,$C430,$D:$D,$D430,$E:$E,"기준(전)",$M:$M,"&gt;0")&lt;&gt;1,"",SUMIFS($M:$M,$C:$C,$C430,$D:$D,$D430,$E:$E,"기준(전)"))</f>
        <v/>
      </c>
      <c r="Q430" s="48">
        <f>IF(COUNTIFS($C:$C,$C430,$D:$D,$D430,$E:$E,"기준(후)",$M:$M,"&gt;0")&lt;&gt;1,"",SUMIFS($I:$I,$C:$C,$C430,$D:$D,$D430,$E:$E,"기준(후)"))</f>
        <v/>
      </c>
      <c r="R430" s="31">
        <f>IF(COUNTIFS($C:$C,$C430,$D:$D,$D430,$E:$E,"기준(후)",$M:$M,"&gt;0")&lt;&gt;1,"",SUMIFS($M:$M,$C:$C,$C430,$D:$D,$D430,$E:$E,"기준(후)"))</f>
        <v/>
      </c>
      <c r="S430" s="31">
        <f>IF(N430&lt;&gt;"OK","",P430+(R430-P430)*(I430-O430)/(Q430-O430))</f>
        <v/>
      </c>
      <c r="T430" s="31">
        <f>IF(OR(N430&lt;&gt;"OK",NOT(ISNUMBER(M430))),"",M430-S430)</f>
        <v/>
      </c>
      <c r="U430" s="49">
        <f>IF(OR($E429&lt;&gt;"측정",$C429&lt;&gt;$C430,$D429&lt;&gt;$D430,NOT(ISNUMBER(M430)),NOT(ISNUMBER(M429)),(IF(ISNUMBER(G430),G430,F430)-IF(ISNUMBER(G429),G429,F429))=0),"",(M430-M429)/((IF(ISNUMBER(G430),G430,F430)-IF(ISNUMBER(G429),G429,F429))/100))</f>
        <v/>
      </c>
      <c r="V430" s="29" t="n"/>
      <c r="W430" s="29" t="n"/>
      <c r="X430" s="32" t="n"/>
    </row>
    <row r="431">
      <c r="A431" s="26" t="inlineStr">
        <is>
          <t>S36</t>
        </is>
      </c>
      <c r="B431" s="26" t="inlineStr">
        <is>
          <t>미원</t>
        </is>
      </c>
      <c r="C431" s="26" t="inlineStr">
        <is>
          <t>S36-V</t>
        </is>
      </c>
      <c r="D431" s="47" t="n">
        <v>1</v>
      </c>
      <c r="E431" s="26" t="inlineStr">
        <is>
          <t>측정</t>
        </is>
      </c>
      <c r="F431" s="47" t="n">
        <v>100</v>
      </c>
      <c r="G431" s="41" t="n"/>
      <c r="H431" s="29" t="n"/>
      <c r="I431" s="43" t="n"/>
      <c r="J431" s="41" t="n"/>
      <c r="K431" s="41" t="n"/>
      <c r="L431" s="41" t="n"/>
      <c r="M431" s="31">
        <f>IF(COUNT(J431:L431)=0,"",MEDIAN(J431:L431))</f>
        <v/>
      </c>
      <c r="N431" s="26">
        <f>IF(COUNTIFS($C:$C,$C431,$D:$D,$D431,$E:$E,"기준(전)",$M:$M,"&gt;0")&lt;&gt;1,"기준(전) 유효 1개 아님",IF(COUNTIFS($C:$C,$C431,$D:$D,$D431,$E:$E,"기준(후)",$M:$M,"&gt;0")&lt;&gt;1,"기준(후) 유효 1개 아님",IF(NOT(AND(ISNUMBER(O431),ISNUMBER(Q431),ISNUMBER(I431))),"시각 결측",IF(Q431&lt;=O431,"기준 시각 역전",IF(OR(I431&lt;O431,I431&gt;Q431),"측정시각 구간 밖","OK")))))</f>
        <v/>
      </c>
      <c r="O431" s="48">
        <f>IF(COUNTIFS($C:$C,$C431,$D:$D,$D431,$E:$E,"기준(전)",$M:$M,"&gt;0")&lt;&gt;1,"",SUMIFS($I:$I,$C:$C,$C431,$D:$D,$D431,$E:$E,"기준(전)"))</f>
        <v/>
      </c>
      <c r="P431" s="31">
        <f>IF(COUNTIFS($C:$C,$C431,$D:$D,$D431,$E:$E,"기준(전)",$M:$M,"&gt;0")&lt;&gt;1,"",SUMIFS($M:$M,$C:$C,$C431,$D:$D,$D431,$E:$E,"기준(전)"))</f>
        <v/>
      </c>
      <c r="Q431" s="48">
        <f>IF(COUNTIFS($C:$C,$C431,$D:$D,$D431,$E:$E,"기준(후)",$M:$M,"&gt;0")&lt;&gt;1,"",SUMIFS($I:$I,$C:$C,$C431,$D:$D,$D431,$E:$E,"기준(후)"))</f>
        <v/>
      </c>
      <c r="R431" s="31">
        <f>IF(COUNTIFS($C:$C,$C431,$D:$D,$D431,$E:$E,"기준(후)",$M:$M,"&gt;0")&lt;&gt;1,"",SUMIFS($M:$M,$C:$C,$C431,$D:$D,$D431,$E:$E,"기준(후)"))</f>
        <v/>
      </c>
      <c r="S431" s="31">
        <f>IF(N431&lt;&gt;"OK","",P431+(R431-P431)*(I431-O431)/(Q431-O431))</f>
        <v/>
      </c>
      <c r="T431" s="31">
        <f>IF(OR(N431&lt;&gt;"OK",NOT(ISNUMBER(M431))),"",M431-S431)</f>
        <v/>
      </c>
      <c r="U431" s="49">
        <f>IF(OR($E430&lt;&gt;"측정",$C430&lt;&gt;$C431,$D430&lt;&gt;$D431,NOT(ISNUMBER(M431)),NOT(ISNUMBER(M430)),(IF(ISNUMBER(G431),G431,F431)-IF(ISNUMBER(G430),G430,F430))=0),"",(M431-M430)/((IF(ISNUMBER(G431),G431,F431)-IF(ISNUMBER(G430),G430,F430))/100))</f>
        <v/>
      </c>
      <c r="V431" s="29" t="n"/>
      <c r="W431" s="29" t="n"/>
      <c r="X431" s="32" t="n"/>
    </row>
    <row r="432">
      <c r="A432" s="26" t="inlineStr">
        <is>
          <t>S36</t>
        </is>
      </c>
      <c r="B432" s="26" t="inlineStr">
        <is>
          <t>미원</t>
        </is>
      </c>
      <c r="C432" s="26" t="inlineStr">
        <is>
          <t>S36-V</t>
        </is>
      </c>
      <c r="D432" s="47" t="n">
        <v>1</v>
      </c>
      <c r="E432" s="26" t="inlineStr">
        <is>
          <t>측정</t>
        </is>
      </c>
      <c r="F432" s="47" t="n">
        <v>120</v>
      </c>
      <c r="G432" s="41" t="n"/>
      <c r="H432" s="29" t="n"/>
      <c r="I432" s="43" t="n"/>
      <c r="J432" s="41" t="n"/>
      <c r="K432" s="41" t="n"/>
      <c r="L432" s="41" t="n"/>
      <c r="M432" s="31">
        <f>IF(COUNT(J432:L432)=0,"",MEDIAN(J432:L432))</f>
        <v/>
      </c>
      <c r="N432" s="26">
        <f>IF(COUNTIFS($C:$C,$C432,$D:$D,$D432,$E:$E,"기준(전)",$M:$M,"&gt;0")&lt;&gt;1,"기준(전) 유효 1개 아님",IF(COUNTIFS($C:$C,$C432,$D:$D,$D432,$E:$E,"기준(후)",$M:$M,"&gt;0")&lt;&gt;1,"기준(후) 유효 1개 아님",IF(NOT(AND(ISNUMBER(O432),ISNUMBER(Q432),ISNUMBER(I432))),"시각 결측",IF(Q432&lt;=O432,"기준 시각 역전",IF(OR(I432&lt;O432,I432&gt;Q432),"측정시각 구간 밖","OK")))))</f>
        <v/>
      </c>
      <c r="O432" s="48">
        <f>IF(COUNTIFS($C:$C,$C432,$D:$D,$D432,$E:$E,"기준(전)",$M:$M,"&gt;0")&lt;&gt;1,"",SUMIFS($I:$I,$C:$C,$C432,$D:$D,$D432,$E:$E,"기준(전)"))</f>
        <v/>
      </c>
      <c r="P432" s="31">
        <f>IF(COUNTIFS($C:$C,$C432,$D:$D,$D432,$E:$E,"기준(전)",$M:$M,"&gt;0")&lt;&gt;1,"",SUMIFS($M:$M,$C:$C,$C432,$D:$D,$D432,$E:$E,"기준(전)"))</f>
        <v/>
      </c>
      <c r="Q432" s="48">
        <f>IF(COUNTIFS($C:$C,$C432,$D:$D,$D432,$E:$E,"기준(후)",$M:$M,"&gt;0")&lt;&gt;1,"",SUMIFS($I:$I,$C:$C,$C432,$D:$D,$D432,$E:$E,"기준(후)"))</f>
        <v/>
      </c>
      <c r="R432" s="31">
        <f>IF(COUNTIFS($C:$C,$C432,$D:$D,$D432,$E:$E,"기준(후)",$M:$M,"&gt;0")&lt;&gt;1,"",SUMIFS($M:$M,$C:$C,$C432,$D:$D,$D432,$E:$E,"기준(후)"))</f>
        <v/>
      </c>
      <c r="S432" s="31">
        <f>IF(N432&lt;&gt;"OK","",P432+(R432-P432)*(I432-O432)/(Q432-O432))</f>
        <v/>
      </c>
      <c r="T432" s="31">
        <f>IF(OR(N432&lt;&gt;"OK",NOT(ISNUMBER(M432))),"",M432-S432)</f>
        <v/>
      </c>
      <c r="U432" s="49">
        <f>IF(OR($E431&lt;&gt;"측정",$C431&lt;&gt;$C432,$D431&lt;&gt;$D432,NOT(ISNUMBER(M432)),NOT(ISNUMBER(M431)),(IF(ISNUMBER(G432),G432,F432)-IF(ISNUMBER(G431),G431,F431))=0),"",(M432-M431)/((IF(ISNUMBER(G432),G432,F432)-IF(ISNUMBER(G431),G431,F431))/100))</f>
        <v/>
      </c>
      <c r="V432" s="29" t="n"/>
      <c r="W432" s="29" t="n"/>
      <c r="X432" s="32" t="n"/>
    </row>
    <row r="433">
      <c r="A433" s="26" t="inlineStr">
        <is>
          <t>S36</t>
        </is>
      </c>
      <c r="B433" s="26" t="inlineStr">
        <is>
          <t>미원</t>
        </is>
      </c>
      <c r="C433" s="26" t="inlineStr">
        <is>
          <t>S36-V</t>
        </is>
      </c>
      <c r="D433" s="47" t="n">
        <v>1</v>
      </c>
      <c r="E433" s="26" t="inlineStr">
        <is>
          <t>측정</t>
        </is>
      </c>
      <c r="F433" s="47" t="n">
        <v>140</v>
      </c>
      <c r="G433" s="41" t="n"/>
      <c r="H433" s="29" t="n"/>
      <c r="I433" s="43" t="n"/>
      <c r="J433" s="41" t="n"/>
      <c r="K433" s="41" t="n"/>
      <c r="L433" s="41" t="n"/>
      <c r="M433" s="31">
        <f>IF(COUNT(J433:L433)=0,"",MEDIAN(J433:L433))</f>
        <v/>
      </c>
      <c r="N433" s="26">
        <f>IF(COUNTIFS($C:$C,$C433,$D:$D,$D433,$E:$E,"기준(전)",$M:$M,"&gt;0")&lt;&gt;1,"기준(전) 유효 1개 아님",IF(COUNTIFS($C:$C,$C433,$D:$D,$D433,$E:$E,"기준(후)",$M:$M,"&gt;0")&lt;&gt;1,"기준(후) 유효 1개 아님",IF(NOT(AND(ISNUMBER(O433),ISNUMBER(Q433),ISNUMBER(I433))),"시각 결측",IF(Q433&lt;=O433,"기준 시각 역전",IF(OR(I433&lt;O433,I433&gt;Q433),"측정시각 구간 밖","OK")))))</f>
        <v/>
      </c>
      <c r="O433" s="48">
        <f>IF(COUNTIFS($C:$C,$C433,$D:$D,$D433,$E:$E,"기준(전)",$M:$M,"&gt;0")&lt;&gt;1,"",SUMIFS($I:$I,$C:$C,$C433,$D:$D,$D433,$E:$E,"기준(전)"))</f>
        <v/>
      </c>
      <c r="P433" s="31">
        <f>IF(COUNTIFS($C:$C,$C433,$D:$D,$D433,$E:$E,"기준(전)",$M:$M,"&gt;0")&lt;&gt;1,"",SUMIFS($M:$M,$C:$C,$C433,$D:$D,$D433,$E:$E,"기준(전)"))</f>
        <v/>
      </c>
      <c r="Q433" s="48">
        <f>IF(COUNTIFS($C:$C,$C433,$D:$D,$D433,$E:$E,"기준(후)",$M:$M,"&gt;0")&lt;&gt;1,"",SUMIFS($I:$I,$C:$C,$C433,$D:$D,$D433,$E:$E,"기준(후)"))</f>
        <v/>
      </c>
      <c r="R433" s="31">
        <f>IF(COUNTIFS($C:$C,$C433,$D:$D,$D433,$E:$E,"기준(후)",$M:$M,"&gt;0")&lt;&gt;1,"",SUMIFS($M:$M,$C:$C,$C433,$D:$D,$D433,$E:$E,"기준(후)"))</f>
        <v/>
      </c>
      <c r="S433" s="31">
        <f>IF(N433&lt;&gt;"OK","",P433+(R433-P433)*(I433-O433)/(Q433-O433))</f>
        <v/>
      </c>
      <c r="T433" s="31">
        <f>IF(OR(N433&lt;&gt;"OK",NOT(ISNUMBER(M433))),"",M433-S433)</f>
        <v/>
      </c>
      <c r="U433" s="49">
        <f>IF(OR($E432&lt;&gt;"측정",$C432&lt;&gt;$C433,$D432&lt;&gt;$D433,NOT(ISNUMBER(M433)),NOT(ISNUMBER(M432)),(IF(ISNUMBER(G433),G433,F433)-IF(ISNUMBER(G432),G432,F432))=0),"",(M433-M432)/((IF(ISNUMBER(G433),G433,F433)-IF(ISNUMBER(G432),G432,F432))/100))</f>
        <v/>
      </c>
      <c r="V433" s="29" t="n"/>
      <c r="W433" s="29" t="n"/>
      <c r="X433" s="32" t="n"/>
    </row>
    <row r="434">
      <c r="A434" s="26" t="inlineStr">
        <is>
          <t>S36</t>
        </is>
      </c>
      <c r="B434" s="26" t="inlineStr">
        <is>
          <t>미원</t>
        </is>
      </c>
      <c r="C434" s="26" t="inlineStr">
        <is>
          <t>S36-V</t>
        </is>
      </c>
      <c r="D434" s="47" t="n">
        <v>1</v>
      </c>
      <c r="E434" s="26" t="inlineStr">
        <is>
          <t>측정</t>
        </is>
      </c>
      <c r="F434" s="47" t="n">
        <v>160</v>
      </c>
      <c r="G434" s="41" t="n"/>
      <c r="H434" s="29" t="n"/>
      <c r="I434" s="43" t="n"/>
      <c r="J434" s="41" t="n"/>
      <c r="K434" s="41" t="n"/>
      <c r="L434" s="41" t="n"/>
      <c r="M434" s="31">
        <f>IF(COUNT(J434:L434)=0,"",MEDIAN(J434:L434))</f>
        <v/>
      </c>
      <c r="N434" s="26">
        <f>IF(COUNTIFS($C:$C,$C434,$D:$D,$D434,$E:$E,"기준(전)",$M:$M,"&gt;0")&lt;&gt;1,"기준(전) 유효 1개 아님",IF(COUNTIFS($C:$C,$C434,$D:$D,$D434,$E:$E,"기준(후)",$M:$M,"&gt;0")&lt;&gt;1,"기준(후) 유효 1개 아님",IF(NOT(AND(ISNUMBER(O434),ISNUMBER(Q434),ISNUMBER(I434))),"시각 결측",IF(Q434&lt;=O434,"기준 시각 역전",IF(OR(I434&lt;O434,I434&gt;Q434),"측정시각 구간 밖","OK")))))</f>
        <v/>
      </c>
      <c r="O434" s="48">
        <f>IF(COUNTIFS($C:$C,$C434,$D:$D,$D434,$E:$E,"기준(전)",$M:$M,"&gt;0")&lt;&gt;1,"",SUMIFS($I:$I,$C:$C,$C434,$D:$D,$D434,$E:$E,"기준(전)"))</f>
        <v/>
      </c>
      <c r="P434" s="31">
        <f>IF(COUNTIFS($C:$C,$C434,$D:$D,$D434,$E:$E,"기준(전)",$M:$M,"&gt;0")&lt;&gt;1,"",SUMIFS($M:$M,$C:$C,$C434,$D:$D,$D434,$E:$E,"기준(전)"))</f>
        <v/>
      </c>
      <c r="Q434" s="48">
        <f>IF(COUNTIFS($C:$C,$C434,$D:$D,$D434,$E:$E,"기준(후)",$M:$M,"&gt;0")&lt;&gt;1,"",SUMIFS($I:$I,$C:$C,$C434,$D:$D,$D434,$E:$E,"기준(후)"))</f>
        <v/>
      </c>
      <c r="R434" s="31">
        <f>IF(COUNTIFS($C:$C,$C434,$D:$D,$D434,$E:$E,"기준(후)",$M:$M,"&gt;0")&lt;&gt;1,"",SUMIFS($M:$M,$C:$C,$C434,$D:$D,$D434,$E:$E,"기준(후)"))</f>
        <v/>
      </c>
      <c r="S434" s="31">
        <f>IF(N434&lt;&gt;"OK","",P434+(R434-P434)*(I434-O434)/(Q434-O434))</f>
        <v/>
      </c>
      <c r="T434" s="31">
        <f>IF(OR(N434&lt;&gt;"OK",NOT(ISNUMBER(M434))),"",M434-S434)</f>
        <v/>
      </c>
      <c r="U434" s="49">
        <f>IF(OR($E433&lt;&gt;"측정",$C433&lt;&gt;$C434,$D433&lt;&gt;$D434,NOT(ISNUMBER(M434)),NOT(ISNUMBER(M433)),(IF(ISNUMBER(G434),G434,F434)-IF(ISNUMBER(G433),G433,F433))=0),"",(M434-M433)/((IF(ISNUMBER(G434),G434,F434)-IF(ISNUMBER(G433),G433,F433))/100))</f>
        <v/>
      </c>
      <c r="V434" s="29" t="n"/>
      <c r="W434" s="29" t="n"/>
      <c r="X434" s="32" t="n"/>
    </row>
    <row r="435">
      <c r="A435" s="26" t="inlineStr">
        <is>
          <t>S36</t>
        </is>
      </c>
      <c r="B435" s="26" t="inlineStr">
        <is>
          <t>미원</t>
        </is>
      </c>
      <c r="C435" s="26" t="inlineStr">
        <is>
          <t>S36-V</t>
        </is>
      </c>
      <c r="D435" s="47" t="n">
        <v>1</v>
      </c>
      <c r="E435" s="26" t="inlineStr">
        <is>
          <t>측정</t>
        </is>
      </c>
      <c r="F435" s="47" t="n">
        <v>180</v>
      </c>
      <c r="G435" s="41" t="n"/>
      <c r="H435" s="29" t="n"/>
      <c r="I435" s="43" t="n"/>
      <c r="J435" s="41" t="n"/>
      <c r="K435" s="41" t="n"/>
      <c r="L435" s="41" t="n"/>
      <c r="M435" s="31">
        <f>IF(COUNT(J435:L435)=0,"",MEDIAN(J435:L435))</f>
        <v/>
      </c>
      <c r="N435" s="26">
        <f>IF(COUNTIFS($C:$C,$C435,$D:$D,$D435,$E:$E,"기준(전)",$M:$M,"&gt;0")&lt;&gt;1,"기준(전) 유효 1개 아님",IF(COUNTIFS($C:$C,$C435,$D:$D,$D435,$E:$E,"기준(후)",$M:$M,"&gt;0")&lt;&gt;1,"기준(후) 유효 1개 아님",IF(NOT(AND(ISNUMBER(O435),ISNUMBER(Q435),ISNUMBER(I435))),"시각 결측",IF(Q435&lt;=O435,"기준 시각 역전",IF(OR(I435&lt;O435,I435&gt;Q435),"측정시각 구간 밖","OK")))))</f>
        <v/>
      </c>
      <c r="O435" s="48">
        <f>IF(COUNTIFS($C:$C,$C435,$D:$D,$D435,$E:$E,"기준(전)",$M:$M,"&gt;0")&lt;&gt;1,"",SUMIFS($I:$I,$C:$C,$C435,$D:$D,$D435,$E:$E,"기준(전)"))</f>
        <v/>
      </c>
      <c r="P435" s="31">
        <f>IF(COUNTIFS($C:$C,$C435,$D:$D,$D435,$E:$E,"기준(전)",$M:$M,"&gt;0")&lt;&gt;1,"",SUMIFS($M:$M,$C:$C,$C435,$D:$D,$D435,$E:$E,"기준(전)"))</f>
        <v/>
      </c>
      <c r="Q435" s="48">
        <f>IF(COUNTIFS($C:$C,$C435,$D:$D,$D435,$E:$E,"기준(후)",$M:$M,"&gt;0")&lt;&gt;1,"",SUMIFS($I:$I,$C:$C,$C435,$D:$D,$D435,$E:$E,"기준(후)"))</f>
        <v/>
      </c>
      <c r="R435" s="31">
        <f>IF(COUNTIFS($C:$C,$C435,$D:$D,$D435,$E:$E,"기준(후)",$M:$M,"&gt;0")&lt;&gt;1,"",SUMIFS($M:$M,$C:$C,$C435,$D:$D,$D435,$E:$E,"기준(후)"))</f>
        <v/>
      </c>
      <c r="S435" s="31">
        <f>IF(N435&lt;&gt;"OK","",P435+(R435-P435)*(I435-O435)/(Q435-O435))</f>
        <v/>
      </c>
      <c r="T435" s="31">
        <f>IF(OR(N435&lt;&gt;"OK",NOT(ISNUMBER(M435))),"",M435-S435)</f>
        <v/>
      </c>
      <c r="U435" s="49">
        <f>IF(OR($E434&lt;&gt;"측정",$C434&lt;&gt;$C435,$D434&lt;&gt;$D435,NOT(ISNUMBER(M435)),NOT(ISNUMBER(M434)),(IF(ISNUMBER(G435),G435,F435)-IF(ISNUMBER(G434),G434,F434))=0),"",(M435-M434)/((IF(ISNUMBER(G435),G435,F435)-IF(ISNUMBER(G434),G434,F434))/100))</f>
        <v/>
      </c>
      <c r="V435" s="29" t="n"/>
      <c r="W435" s="29" t="n"/>
      <c r="X435" s="32" t="n"/>
    </row>
    <row r="436">
      <c r="A436" s="26" t="inlineStr">
        <is>
          <t>S36</t>
        </is>
      </c>
      <c r="B436" s="26" t="inlineStr">
        <is>
          <t>미원</t>
        </is>
      </c>
      <c r="C436" s="26" t="inlineStr">
        <is>
          <t>S36-V</t>
        </is>
      </c>
      <c r="D436" s="47" t="n">
        <v>1</v>
      </c>
      <c r="E436" s="26" t="inlineStr">
        <is>
          <t>측정</t>
        </is>
      </c>
      <c r="F436" s="47" t="n">
        <v>200</v>
      </c>
      <c r="G436" s="41" t="n"/>
      <c r="H436" s="29" t="n"/>
      <c r="I436" s="43" t="n"/>
      <c r="J436" s="41" t="n"/>
      <c r="K436" s="41" t="n"/>
      <c r="L436" s="41" t="n"/>
      <c r="M436" s="31">
        <f>IF(COUNT(J436:L436)=0,"",MEDIAN(J436:L436))</f>
        <v/>
      </c>
      <c r="N436" s="26">
        <f>IF(COUNTIFS($C:$C,$C436,$D:$D,$D436,$E:$E,"기준(전)",$M:$M,"&gt;0")&lt;&gt;1,"기준(전) 유효 1개 아님",IF(COUNTIFS($C:$C,$C436,$D:$D,$D436,$E:$E,"기준(후)",$M:$M,"&gt;0")&lt;&gt;1,"기준(후) 유효 1개 아님",IF(NOT(AND(ISNUMBER(O436),ISNUMBER(Q436),ISNUMBER(I436))),"시각 결측",IF(Q436&lt;=O436,"기준 시각 역전",IF(OR(I436&lt;O436,I436&gt;Q436),"측정시각 구간 밖","OK")))))</f>
        <v/>
      </c>
      <c r="O436" s="48">
        <f>IF(COUNTIFS($C:$C,$C436,$D:$D,$D436,$E:$E,"기준(전)",$M:$M,"&gt;0")&lt;&gt;1,"",SUMIFS($I:$I,$C:$C,$C436,$D:$D,$D436,$E:$E,"기준(전)"))</f>
        <v/>
      </c>
      <c r="P436" s="31">
        <f>IF(COUNTIFS($C:$C,$C436,$D:$D,$D436,$E:$E,"기준(전)",$M:$M,"&gt;0")&lt;&gt;1,"",SUMIFS($M:$M,$C:$C,$C436,$D:$D,$D436,$E:$E,"기준(전)"))</f>
        <v/>
      </c>
      <c r="Q436" s="48">
        <f>IF(COUNTIFS($C:$C,$C436,$D:$D,$D436,$E:$E,"기준(후)",$M:$M,"&gt;0")&lt;&gt;1,"",SUMIFS($I:$I,$C:$C,$C436,$D:$D,$D436,$E:$E,"기준(후)"))</f>
        <v/>
      </c>
      <c r="R436" s="31">
        <f>IF(COUNTIFS($C:$C,$C436,$D:$D,$D436,$E:$E,"기준(후)",$M:$M,"&gt;0")&lt;&gt;1,"",SUMIFS($M:$M,$C:$C,$C436,$D:$D,$D436,$E:$E,"기준(후)"))</f>
        <v/>
      </c>
      <c r="S436" s="31">
        <f>IF(N436&lt;&gt;"OK","",P436+(R436-P436)*(I436-O436)/(Q436-O436))</f>
        <v/>
      </c>
      <c r="T436" s="31">
        <f>IF(OR(N436&lt;&gt;"OK",NOT(ISNUMBER(M436))),"",M436-S436)</f>
        <v/>
      </c>
      <c r="U436" s="49">
        <f>IF(OR($E435&lt;&gt;"측정",$C435&lt;&gt;$C436,$D435&lt;&gt;$D436,NOT(ISNUMBER(M436)),NOT(ISNUMBER(M435)),(IF(ISNUMBER(G436),G436,F436)-IF(ISNUMBER(G435),G435,F435))=0),"",(M436-M435)/((IF(ISNUMBER(G436),G436,F436)-IF(ISNUMBER(G435),G435,F435))/100))</f>
        <v/>
      </c>
      <c r="V436" s="29" t="n"/>
      <c r="W436" s="29" t="n"/>
      <c r="X436" s="32" t="n"/>
    </row>
    <row r="437">
      <c r="A437" s="44" t="inlineStr">
        <is>
          <t>S36</t>
        </is>
      </c>
      <c r="B437" s="44" t="inlineStr">
        <is>
          <t>미원</t>
        </is>
      </c>
      <c r="C437" s="44" t="inlineStr">
        <is>
          <t>S36-V</t>
        </is>
      </c>
      <c r="D437" s="45" t="n">
        <v>1</v>
      </c>
      <c r="E437" s="44" t="inlineStr">
        <is>
          <t>기준(후)</t>
        </is>
      </c>
      <c r="F437" s="45" t="n"/>
      <c r="G437" s="41" t="n"/>
      <c r="H437" s="29" t="n"/>
      <c r="I437" s="43" t="n"/>
      <c r="J437" s="41" t="n"/>
      <c r="K437" s="41" t="n"/>
      <c r="L437" s="41" t="n"/>
      <c r="M437" s="31">
        <f>IF(COUNT(J437:L437)=0,"",MEDIAN(J437:L437))</f>
        <v/>
      </c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29" t="n"/>
      <c r="W437" s="29" t="n"/>
      <c r="X437" s="32" t="n"/>
    </row>
    <row r="438">
      <c r="A438" s="44" t="inlineStr">
        <is>
          <t>S37</t>
        </is>
      </c>
      <c r="B438" s="44" t="inlineStr">
        <is>
          <t>부안</t>
        </is>
      </c>
      <c r="C438" s="44" t="inlineStr">
        <is>
          <t>S37-V</t>
        </is>
      </c>
      <c r="D438" s="45" t="n">
        <v>1</v>
      </c>
      <c r="E438" s="44" t="inlineStr">
        <is>
          <t>기준(전)</t>
        </is>
      </c>
      <c r="F438" s="45" t="n"/>
      <c r="G438" s="41" t="n"/>
      <c r="H438" s="29" t="n"/>
      <c r="I438" s="43" t="n"/>
      <c r="J438" s="41" t="n"/>
      <c r="K438" s="41" t="n"/>
      <c r="L438" s="41" t="n"/>
      <c r="M438" s="31">
        <f>IF(COUNT(J438:L438)=0,"",MEDIAN(J438:L438))</f>
        <v/>
      </c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29" t="n"/>
      <c r="W438" s="29" t="n"/>
      <c r="X438" s="32" t="n"/>
    </row>
    <row r="439">
      <c r="A439" s="26" t="inlineStr">
        <is>
          <t>S37</t>
        </is>
      </c>
      <c r="B439" s="26" t="inlineStr">
        <is>
          <t>부안</t>
        </is>
      </c>
      <c r="C439" s="26" t="inlineStr">
        <is>
          <t>S37-V</t>
        </is>
      </c>
      <c r="D439" s="47" t="n">
        <v>1</v>
      </c>
      <c r="E439" s="26" t="inlineStr">
        <is>
          <t>측정</t>
        </is>
      </c>
      <c r="F439" s="47" t="n">
        <v>20</v>
      </c>
      <c r="G439" s="41" t="n"/>
      <c r="H439" s="29" t="n"/>
      <c r="I439" s="43" t="n"/>
      <c r="J439" s="41" t="n"/>
      <c r="K439" s="41" t="n"/>
      <c r="L439" s="41" t="n"/>
      <c r="M439" s="31">
        <f>IF(COUNT(J439:L439)=0,"",MEDIAN(J439:L439))</f>
        <v/>
      </c>
      <c r="N439" s="26">
        <f>IF(COUNTIFS($C:$C,$C439,$D:$D,$D439,$E:$E,"기준(전)",$M:$M,"&gt;0")&lt;&gt;1,"기준(전) 유효 1개 아님",IF(COUNTIFS($C:$C,$C439,$D:$D,$D439,$E:$E,"기준(후)",$M:$M,"&gt;0")&lt;&gt;1,"기준(후) 유효 1개 아님",IF(NOT(AND(ISNUMBER(O439),ISNUMBER(Q439),ISNUMBER(I439))),"시각 결측",IF(Q439&lt;=O439,"기준 시각 역전",IF(OR(I439&lt;O439,I439&gt;Q439),"측정시각 구간 밖","OK")))))</f>
        <v/>
      </c>
      <c r="O439" s="48">
        <f>IF(COUNTIFS($C:$C,$C439,$D:$D,$D439,$E:$E,"기준(전)",$M:$M,"&gt;0")&lt;&gt;1,"",SUMIFS($I:$I,$C:$C,$C439,$D:$D,$D439,$E:$E,"기준(전)"))</f>
        <v/>
      </c>
      <c r="P439" s="31">
        <f>IF(COUNTIFS($C:$C,$C439,$D:$D,$D439,$E:$E,"기준(전)",$M:$M,"&gt;0")&lt;&gt;1,"",SUMIFS($M:$M,$C:$C,$C439,$D:$D,$D439,$E:$E,"기준(전)"))</f>
        <v/>
      </c>
      <c r="Q439" s="48">
        <f>IF(COUNTIFS($C:$C,$C439,$D:$D,$D439,$E:$E,"기준(후)",$M:$M,"&gt;0")&lt;&gt;1,"",SUMIFS($I:$I,$C:$C,$C439,$D:$D,$D439,$E:$E,"기준(후)"))</f>
        <v/>
      </c>
      <c r="R439" s="31">
        <f>IF(COUNTIFS($C:$C,$C439,$D:$D,$D439,$E:$E,"기준(후)",$M:$M,"&gt;0")&lt;&gt;1,"",SUMIFS($M:$M,$C:$C,$C439,$D:$D,$D439,$E:$E,"기준(후)"))</f>
        <v/>
      </c>
      <c r="S439" s="31">
        <f>IF(N439&lt;&gt;"OK","",P439+(R439-P439)*(I439-O439)/(Q439-O439))</f>
        <v/>
      </c>
      <c r="T439" s="31">
        <f>IF(OR(N439&lt;&gt;"OK",NOT(ISNUMBER(M439))),"",M439-S439)</f>
        <v/>
      </c>
      <c r="U439" s="49">
        <f>IF(OR($E438&lt;&gt;"측정",$C438&lt;&gt;$C439,$D438&lt;&gt;$D439,NOT(ISNUMBER(M439)),NOT(ISNUMBER(M438)),(IF(ISNUMBER(G439),G439,F439)-IF(ISNUMBER(G438),G438,F438))=0),"",(M439-M438)/((IF(ISNUMBER(G439),G439,F439)-IF(ISNUMBER(G438),G438,F438))/100))</f>
        <v/>
      </c>
      <c r="V439" s="29" t="n"/>
      <c r="W439" s="29" t="n"/>
      <c r="X439" s="32" t="n"/>
    </row>
    <row r="440">
      <c r="A440" s="26" t="inlineStr">
        <is>
          <t>S37</t>
        </is>
      </c>
      <c r="B440" s="26" t="inlineStr">
        <is>
          <t>부안</t>
        </is>
      </c>
      <c r="C440" s="26" t="inlineStr">
        <is>
          <t>S37-V</t>
        </is>
      </c>
      <c r="D440" s="47" t="n">
        <v>1</v>
      </c>
      <c r="E440" s="26" t="inlineStr">
        <is>
          <t>측정</t>
        </is>
      </c>
      <c r="F440" s="47" t="n">
        <v>40</v>
      </c>
      <c r="G440" s="41" t="n"/>
      <c r="H440" s="29" t="n"/>
      <c r="I440" s="43" t="n"/>
      <c r="J440" s="41" t="n"/>
      <c r="K440" s="41" t="n"/>
      <c r="L440" s="41" t="n"/>
      <c r="M440" s="31">
        <f>IF(COUNT(J440:L440)=0,"",MEDIAN(J440:L440))</f>
        <v/>
      </c>
      <c r="N440" s="26">
        <f>IF(COUNTIFS($C:$C,$C440,$D:$D,$D440,$E:$E,"기준(전)",$M:$M,"&gt;0")&lt;&gt;1,"기준(전) 유효 1개 아님",IF(COUNTIFS($C:$C,$C440,$D:$D,$D440,$E:$E,"기준(후)",$M:$M,"&gt;0")&lt;&gt;1,"기준(후) 유효 1개 아님",IF(NOT(AND(ISNUMBER(O440),ISNUMBER(Q440),ISNUMBER(I440))),"시각 결측",IF(Q440&lt;=O440,"기준 시각 역전",IF(OR(I440&lt;O440,I440&gt;Q440),"측정시각 구간 밖","OK")))))</f>
        <v/>
      </c>
      <c r="O440" s="48">
        <f>IF(COUNTIFS($C:$C,$C440,$D:$D,$D440,$E:$E,"기준(전)",$M:$M,"&gt;0")&lt;&gt;1,"",SUMIFS($I:$I,$C:$C,$C440,$D:$D,$D440,$E:$E,"기준(전)"))</f>
        <v/>
      </c>
      <c r="P440" s="31">
        <f>IF(COUNTIFS($C:$C,$C440,$D:$D,$D440,$E:$E,"기준(전)",$M:$M,"&gt;0")&lt;&gt;1,"",SUMIFS($M:$M,$C:$C,$C440,$D:$D,$D440,$E:$E,"기준(전)"))</f>
        <v/>
      </c>
      <c r="Q440" s="48">
        <f>IF(COUNTIFS($C:$C,$C440,$D:$D,$D440,$E:$E,"기준(후)",$M:$M,"&gt;0")&lt;&gt;1,"",SUMIFS($I:$I,$C:$C,$C440,$D:$D,$D440,$E:$E,"기준(후)"))</f>
        <v/>
      </c>
      <c r="R440" s="31">
        <f>IF(COUNTIFS($C:$C,$C440,$D:$D,$D440,$E:$E,"기준(후)",$M:$M,"&gt;0")&lt;&gt;1,"",SUMIFS($M:$M,$C:$C,$C440,$D:$D,$D440,$E:$E,"기준(후)"))</f>
        <v/>
      </c>
      <c r="S440" s="31">
        <f>IF(N440&lt;&gt;"OK","",P440+(R440-P440)*(I440-O440)/(Q440-O440))</f>
        <v/>
      </c>
      <c r="T440" s="31">
        <f>IF(OR(N440&lt;&gt;"OK",NOT(ISNUMBER(M440))),"",M440-S440)</f>
        <v/>
      </c>
      <c r="U440" s="49">
        <f>IF(OR($E439&lt;&gt;"측정",$C439&lt;&gt;$C440,$D439&lt;&gt;$D440,NOT(ISNUMBER(M440)),NOT(ISNUMBER(M439)),(IF(ISNUMBER(G440),G440,F440)-IF(ISNUMBER(G439),G439,F439))=0),"",(M440-M439)/((IF(ISNUMBER(G440),G440,F440)-IF(ISNUMBER(G439),G439,F439))/100))</f>
        <v/>
      </c>
      <c r="V440" s="29" t="n"/>
      <c r="W440" s="29" t="n"/>
      <c r="X440" s="32" t="n"/>
    </row>
    <row r="441">
      <c r="A441" s="26" t="inlineStr">
        <is>
          <t>S37</t>
        </is>
      </c>
      <c r="B441" s="26" t="inlineStr">
        <is>
          <t>부안</t>
        </is>
      </c>
      <c r="C441" s="26" t="inlineStr">
        <is>
          <t>S37-V</t>
        </is>
      </c>
      <c r="D441" s="47" t="n">
        <v>1</v>
      </c>
      <c r="E441" s="26" t="inlineStr">
        <is>
          <t>측정</t>
        </is>
      </c>
      <c r="F441" s="47" t="n">
        <v>60</v>
      </c>
      <c r="G441" s="41" t="n"/>
      <c r="H441" s="29" t="n"/>
      <c r="I441" s="43" t="n"/>
      <c r="J441" s="41" t="n"/>
      <c r="K441" s="41" t="n"/>
      <c r="L441" s="41" t="n"/>
      <c r="M441" s="31">
        <f>IF(COUNT(J441:L441)=0,"",MEDIAN(J441:L441))</f>
        <v/>
      </c>
      <c r="N441" s="26">
        <f>IF(COUNTIFS($C:$C,$C441,$D:$D,$D441,$E:$E,"기준(전)",$M:$M,"&gt;0")&lt;&gt;1,"기준(전) 유효 1개 아님",IF(COUNTIFS($C:$C,$C441,$D:$D,$D441,$E:$E,"기준(후)",$M:$M,"&gt;0")&lt;&gt;1,"기준(후) 유효 1개 아님",IF(NOT(AND(ISNUMBER(O441),ISNUMBER(Q441),ISNUMBER(I441))),"시각 결측",IF(Q441&lt;=O441,"기준 시각 역전",IF(OR(I441&lt;O441,I441&gt;Q441),"측정시각 구간 밖","OK")))))</f>
        <v/>
      </c>
      <c r="O441" s="48">
        <f>IF(COUNTIFS($C:$C,$C441,$D:$D,$D441,$E:$E,"기준(전)",$M:$M,"&gt;0")&lt;&gt;1,"",SUMIFS($I:$I,$C:$C,$C441,$D:$D,$D441,$E:$E,"기준(전)"))</f>
        <v/>
      </c>
      <c r="P441" s="31">
        <f>IF(COUNTIFS($C:$C,$C441,$D:$D,$D441,$E:$E,"기준(전)",$M:$M,"&gt;0")&lt;&gt;1,"",SUMIFS($M:$M,$C:$C,$C441,$D:$D,$D441,$E:$E,"기준(전)"))</f>
        <v/>
      </c>
      <c r="Q441" s="48">
        <f>IF(COUNTIFS($C:$C,$C441,$D:$D,$D441,$E:$E,"기준(후)",$M:$M,"&gt;0")&lt;&gt;1,"",SUMIFS($I:$I,$C:$C,$C441,$D:$D,$D441,$E:$E,"기준(후)"))</f>
        <v/>
      </c>
      <c r="R441" s="31">
        <f>IF(COUNTIFS($C:$C,$C441,$D:$D,$D441,$E:$E,"기준(후)",$M:$M,"&gt;0")&lt;&gt;1,"",SUMIFS($M:$M,$C:$C,$C441,$D:$D,$D441,$E:$E,"기준(후)"))</f>
        <v/>
      </c>
      <c r="S441" s="31">
        <f>IF(N441&lt;&gt;"OK","",P441+(R441-P441)*(I441-O441)/(Q441-O441))</f>
        <v/>
      </c>
      <c r="T441" s="31">
        <f>IF(OR(N441&lt;&gt;"OK",NOT(ISNUMBER(M441))),"",M441-S441)</f>
        <v/>
      </c>
      <c r="U441" s="49">
        <f>IF(OR($E440&lt;&gt;"측정",$C440&lt;&gt;$C441,$D440&lt;&gt;$D441,NOT(ISNUMBER(M441)),NOT(ISNUMBER(M440)),(IF(ISNUMBER(G441),G441,F441)-IF(ISNUMBER(G440),G440,F440))=0),"",(M441-M440)/((IF(ISNUMBER(G441),G441,F441)-IF(ISNUMBER(G440),G440,F440))/100))</f>
        <v/>
      </c>
      <c r="V441" s="29" t="n"/>
      <c r="W441" s="29" t="n"/>
      <c r="X441" s="32" t="n"/>
    </row>
    <row r="442">
      <c r="A442" s="26" t="inlineStr">
        <is>
          <t>S37</t>
        </is>
      </c>
      <c r="B442" s="26" t="inlineStr">
        <is>
          <t>부안</t>
        </is>
      </c>
      <c r="C442" s="26" t="inlineStr">
        <is>
          <t>S37-V</t>
        </is>
      </c>
      <c r="D442" s="47" t="n">
        <v>1</v>
      </c>
      <c r="E442" s="26" t="inlineStr">
        <is>
          <t>측정</t>
        </is>
      </c>
      <c r="F442" s="47" t="n">
        <v>80</v>
      </c>
      <c r="G442" s="41" t="n"/>
      <c r="H442" s="29" t="n"/>
      <c r="I442" s="43" t="n"/>
      <c r="J442" s="41" t="n"/>
      <c r="K442" s="41" t="n"/>
      <c r="L442" s="41" t="n"/>
      <c r="M442" s="31">
        <f>IF(COUNT(J442:L442)=0,"",MEDIAN(J442:L442))</f>
        <v/>
      </c>
      <c r="N442" s="26">
        <f>IF(COUNTIFS($C:$C,$C442,$D:$D,$D442,$E:$E,"기준(전)",$M:$M,"&gt;0")&lt;&gt;1,"기준(전) 유효 1개 아님",IF(COUNTIFS($C:$C,$C442,$D:$D,$D442,$E:$E,"기준(후)",$M:$M,"&gt;0")&lt;&gt;1,"기준(후) 유효 1개 아님",IF(NOT(AND(ISNUMBER(O442),ISNUMBER(Q442),ISNUMBER(I442))),"시각 결측",IF(Q442&lt;=O442,"기준 시각 역전",IF(OR(I442&lt;O442,I442&gt;Q442),"측정시각 구간 밖","OK")))))</f>
        <v/>
      </c>
      <c r="O442" s="48">
        <f>IF(COUNTIFS($C:$C,$C442,$D:$D,$D442,$E:$E,"기준(전)",$M:$M,"&gt;0")&lt;&gt;1,"",SUMIFS($I:$I,$C:$C,$C442,$D:$D,$D442,$E:$E,"기준(전)"))</f>
        <v/>
      </c>
      <c r="P442" s="31">
        <f>IF(COUNTIFS($C:$C,$C442,$D:$D,$D442,$E:$E,"기준(전)",$M:$M,"&gt;0")&lt;&gt;1,"",SUMIFS($M:$M,$C:$C,$C442,$D:$D,$D442,$E:$E,"기준(전)"))</f>
        <v/>
      </c>
      <c r="Q442" s="48">
        <f>IF(COUNTIFS($C:$C,$C442,$D:$D,$D442,$E:$E,"기준(후)",$M:$M,"&gt;0")&lt;&gt;1,"",SUMIFS($I:$I,$C:$C,$C442,$D:$D,$D442,$E:$E,"기준(후)"))</f>
        <v/>
      </c>
      <c r="R442" s="31">
        <f>IF(COUNTIFS($C:$C,$C442,$D:$D,$D442,$E:$E,"기준(후)",$M:$M,"&gt;0")&lt;&gt;1,"",SUMIFS($M:$M,$C:$C,$C442,$D:$D,$D442,$E:$E,"기준(후)"))</f>
        <v/>
      </c>
      <c r="S442" s="31">
        <f>IF(N442&lt;&gt;"OK","",P442+(R442-P442)*(I442-O442)/(Q442-O442))</f>
        <v/>
      </c>
      <c r="T442" s="31">
        <f>IF(OR(N442&lt;&gt;"OK",NOT(ISNUMBER(M442))),"",M442-S442)</f>
        <v/>
      </c>
      <c r="U442" s="49">
        <f>IF(OR($E441&lt;&gt;"측정",$C441&lt;&gt;$C442,$D441&lt;&gt;$D442,NOT(ISNUMBER(M442)),NOT(ISNUMBER(M441)),(IF(ISNUMBER(G442),G442,F442)-IF(ISNUMBER(G441),G441,F441))=0),"",(M442-M441)/((IF(ISNUMBER(G442),G442,F442)-IF(ISNUMBER(G441),G441,F441))/100))</f>
        <v/>
      </c>
      <c r="V442" s="29" t="n"/>
      <c r="W442" s="29" t="n"/>
      <c r="X442" s="32" t="n"/>
    </row>
    <row r="443">
      <c r="A443" s="26" t="inlineStr">
        <is>
          <t>S37</t>
        </is>
      </c>
      <c r="B443" s="26" t="inlineStr">
        <is>
          <t>부안</t>
        </is>
      </c>
      <c r="C443" s="26" t="inlineStr">
        <is>
          <t>S37-V</t>
        </is>
      </c>
      <c r="D443" s="47" t="n">
        <v>1</v>
      </c>
      <c r="E443" s="26" t="inlineStr">
        <is>
          <t>측정</t>
        </is>
      </c>
      <c r="F443" s="47" t="n">
        <v>100</v>
      </c>
      <c r="G443" s="41" t="n"/>
      <c r="H443" s="29" t="n"/>
      <c r="I443" s="43" t="n"/>
      <c r="J443" s="41" t="n"/>
      <c r="K443" s="41" t="n"/>
      <c r="L443" s="41" t="n"/>
      <c r="M443" s="31">
        <f>IF(COUNT(J443:L443)=0,"",MEDIAN(J443:L443))</f>
        <v/>
      </c>
      <c r="N443" s="26">
        <f>IF(COUNTIFS($C:$C,$C443,$D:$D,$D443,$E:$E,"기준(전)",$M:$M,"&gt;0")&lt;&gt;1,"기준(전) 유효 1개 아님",IF(COUNTIFS($C:$C,$C443,$D:$D,$D443,$E:$E,"기준(후)",$M:$M,"&gt;0")&lt;&gt;1,"기준(후) 유효 1개 아님",IF(NOT(AND(ISNUMBER(O443),ISNUMBER(Q443),ISNUMBER(I443))),"시각 결측",IF(Q443&lt;=O443,"기준 시각 역전",IF(OR(I443&lt;O443,I443&gt;Q443),"측정시각 구간 밖","OK")))))</f>
        <v/>
      </c>
      <c r="O443" s="48">
        <f>IF(COUNTIFS($C:$C,$C443,$D:$D,$D443,$E:$E,"기준(전)",$M:$M,"&gt;0")&lt;&gt;1,"",SUMIFS($I:$I,$C:$C,$C443,$D:$D,$D443,$E:$E,"기준(전)"))</f>
        <v/>
      </c>
      <c r="P443" s="31">
        <f>IF(COUNTIFS($C:$C,$C443,$D:$D,$D443,$E:$E,"기준(전)",$M:$M,"&gt;0")&lt;&gt;1,"",SUMIFS($M:$M,$C:$C,$C443,$D:$D,$D443,$E:$E,"기준(전)"))</f>
        <v/>
      </c>
      <c r="Q443" s="48">
        <f>IF(COUNTIFS($C:$C,$C443,$D:$D,$D443,$E:$E,"기준(후)",$M:$M,"&gt;0")&lt;&gt;1,"",SUMIFS($I:$I,$C:$C,$C443,$D:$D,$D443,$E:$E,"기준(후)"))</f>
        <v/>
      </c>
      <c r="R443" s="31">
        <f>IF(COUNTIFS($C:$C,$C443,$D:$D,$D443,$E:$E,"기준(후)",$M:$M,"&gt;0")&lt;&gt;1,"",SUMIFS($M:$M,$C:$C,$C443,$D:$D,$D443,$E:$E,"기준(후)"))</f>
        <v/>
      </c>
      <c r="S443" s="31">
        <f>IF(N443&lt;&gt;"OK","",P443+(R443-P443)*(I443-O443)/(Q443-O443))</f>
        <v/>
      </c>
      <c r="T443" s="31">
        <f>IF(OR(N443&lt;&gt;"OK",NOT(ISNUMBER(M443))),"",M443-S443)</f>
        <v/>
      </c>
      <c r="U443" s="49">
        <f>IF(OR($E442&lt;&gt;"측정",$C442&lt;&gt;$C443,$D442&lt;&gt;$D443,NOT(ISNUMBER(M443)),NOT(ISNUMBER(M442)),(IF(ISNUMBER(G443),G443,F443)-IF(ISNUMBER(G442),G442,F442))=0),"",(M443-M442)/((IF(ISNUMBER(G443),G443,F443)-IF(ISNUMBER(G442),G442,F442))/100))</f>
        <v/>
      </c>
      <c r="V443" s="29" t="n"/>
      <c r="W443" s="29" t="n"/>
      <c r="X443" s="32" t="n"/>
    </row>
    <row r="444">
      <c r="A444" s="26" t="inlineStr">
        <is>
          <t>S37</t>
        </is>
      </c>
      <c r="B444" s="26" t="inlineStr">
        <is>
          <t>부안</t>
        </is>
      </c>
      <c r="C444" s="26" t="inlineStr">
        <is>
          <t>S37-V</t>
        </is>
      </c>
      <c r="D444" s="47" t="n">
        <v>1</v>
      </c>
      <c r="E444" s="26" t="inlineStr">
        <is>
          <t>측정</t>
        </is>
      </c>
      <c r="F444" s="47" t="n">
        <v>120</v>
      </c>
      <c r="G444" s="41" t="n"/>
      <c r="H444" s="29" t="n"/>
      <c r="I444" s="43" t="n"/>
      <c r="J444" s="41" t="n"/>
      <c r="K444" s="41" t="n"/>
      <c r="L444" s="41" t="n"/>
      <c r="M444" s="31">
        <f>IF(COUNT(J444:L444)=0,"",MEDIAN(J444:L444))</f>
        <v/>
      </c>
      <c r="N444" s="26">
        <f>IF(COUNTIFS($C:$C,$C444,$D:$D,$D444,$E:$E,"기준(전)",$M:$M,"&gt;0")&lt;&gt;1,"기준(전) 유효 1개 아님",IF(COUNTIFS($C:$C,$C444,$D:$D,$D444,$E:$E,"기준(후)",$M:$M,"&gt;0")&lt;&gt;1,"기준(후) 유효 1개 아님",IF(NOT(AND(ISNUMBER(O444),ISNUMBER(Q444),ISNUMBER(I444))),"시각 결측",IF(Q444&lt;=O444,"기준 시각 역전",IF(OR(I444&lt;O444,I444&gt;Q444),"측정시각 구간 밖","OK")))))</f>
        <v/>
      </c>
      <c r="O444" s="48">
        <f>IF(COUNTIFS($C:$C,$C444,$D:$D,$D444,$E:$E,"기준(전)",$M:$M,"&gt;0")&lt;&gt;1,"",SUMIFS($I:$I,$C:$C,$C444,$D:$D,$D444,$E:$E,"기준(전)"))</f>
        <v/>
      </c>
      <c r="P444" s="31">
        <f>IF(COUNTIFS($C:$C,$C444,$D:$D,$D444,$E:$E,"기준(전)",$M:$M,"&gt;0")&lt;&gt;1,"",SUMIFS($M:$M,$C:$C,$C444,$D:$D,$D444,$E:$E,"기준(전)"))</f>
        <v/>
      </c>
      <c r="Q444" s="48">
        <f>IF(COUNTIFS($C:$C,$C444,$D:$D,$D444,$E:$E,"기준(후)",$M:$M,"&gt;0")&lt;&gt;1,"",SUMIFS($I:$I,$C:$C,$C444,$D:$D,$D444,$E:$E,"기준(후)"))</f>
        <v/>
      </c>
      <c r="R444" s="31">
        <f>IF(COUNTIFS($C:$C,$C444,$D:$D,$D444,$E:$E,"기준(후)",$M:$M,"&gt;0")&lt;&gt;1,"",SUMIFS($M:$M,$C:$C,$C444,$D:$D,$D444,$E:$E,"기준(후)"))</f>
        <v/>
      </c>
      <c r="S444" s="31">
        <f>IF(N444&lt;&gt;"OK","",P444+(R444-P444)*(I444-O444)/(Q444-O444))</f>
        <v/>
      </c>
      <c r="T444" s="31">
        <f>IF(OR(N444&lt;&gt;"OK",NOT(ISNUMBER(M444))),"",M444-S444)</f>
        <v/>
      </c>
      <c r="U444" s="49">
        <f>IF(OR($E443&lt;&gt;"측정",$C443&lt;&gt;$C444,$D443&lt;&gt;$D444,NOT(ISNUMBER(M444)),NOT(ISNUMBER(M443)),(IF(ISNUMBER(G444),G444,F444)-IF(ISNUMBER(G443),G443,F443))=0),"",(M444-M443)/((IF(ISNUMBER(G444),G444,F444)-IF(ISNUMBER(G443),G443,F443))/100))</f>
        <v/>
      </c>
      <c r="V444" s="29" t="n"/>
      <c r="W444" s="29" t="n"/>
      <c r="X444" s="32" t="n"/>
    </row>
    <row r="445">
      <c r="A445" s="26" t="inlineStr">
        <is>
          <t>S37</t>
        </is>
      </c>
      <c r="B445" s="26" t="inlineStr">
        <is>
          <t>부안</t>
        </is>
      </c>
      <c r="C445" s="26" t="inlineStr">
        <is>
          <t>S37-V</t>
        </is>
      </c>
      <c r="D445" s="47" t="n">
        <v>1</v>
      </c>
      <c r="E445" s="26" t="inlineStr">
        <is>
          <t>측정</t>
        </is>
      </c>
      <c r="F445" s="47" t="n">
        <v>140</v>
      </c>
      <c r="G445" s="41" t="n"/>
      <c r="H445" s="29" t="n"/>
      <c r="I445" s="43" t="n"/>
      <c r="J445" s="41" t="n"/>
      <c r="K445" s="41" t="n"/>
      <c r="L445" s="41" t="n"/>
      <c r="M445" s="31">
        <f>IF(COUNT(J445:L445)=0,"",MEDIAN(J445:L445))</f>
        <v/>
      </c>
      <c r="N445" s="26">
        <f>IF(COUNTIFS($C:$C,$C445,$D:$D,$D445,$E:$E,"기준(전)",$M:$M,"&gt;0")&lt;&gt;1,"기준(전) 유효 1개 아님",IF(COUNTIFS($C:$C,$C445,$D:$D,$D445,$E:$E,"기준(후)",$M:$M,"&gt;0")&lt;&gt;1,"기준(후) 유효 1개 아님",IF(NOT(AND(ISNUMBER(O445),ISNUMBER(Q445),ISNUMBER(I445))),"시각 결측",IF(Q445&lt;=O445,"기준 시각 역전",IF(OR(I445&lt;O445,I445&gt;Q445),"측정시각 구간 밖","OK")))))</f>
        <v/>
      </c>
      <c r="O445" s="48">
        <f>IF(COUNTIFS($C:$C,$C445,$D:$D,$D445,$E:$E,"기준(전)",$M:$M,"&gt;0")&lt;&gt;1,"",SUMIFS($I:$I,$C:$C,$C445,$D:$D,$D445,$E:$E,"기준(전)"))</f>
        <v/>
      </c>
      <c r="P445" s="31">
        <f>IF(COUNTIFS($C:$C,$C445,$D:$D,$D445,$E:$E,"기준(전)",$M:$M,"&gt;0")&lt;&gt;1,"",SUMIFS($M:$M,$C:$C,$C445,$D:$D,$D445,$E:$E,"기준(전)"))</f>
        <v/>
      </c>
      <c r="Q445" s="48">
        <f>IF(COUNTIFS($C:$C,$C445,$D:$D,$D445,$E:$E,"기준(후)",$M:$M,"&gt;0")&lt;&gt;1,"",SUMIFS($I:$I,$C:$C,$C445,$D:$D,$D445,$E:$E,"기준(후)"))</f>
        <v/>
      </c>
      <c r="R445" s="31">
        <f>IF(COUNTIFS($C:$C,$C445,$D:$D,$D445,$E:$E,"기준(후)",$M:$M,"&gt;0")&lt;&gt;1,"",SUMIFS($M:$M,$C:$C,$C445,$D:$D,$D445,$E:$E,"기준(후)"))</f>
        <v/>
      </c>
      <c r="S445" s="31">
        <f>IF(N445&lt;&gt;"OK","",P445+(R445-P445)*(I445-O445)/(Q445-O445))</f>
        <v/>
      </c>
      <c r="T445" s="31">
        <f>IF(OR(N445&lt;&gt;"OK",NOT(ISNUMBER(M445))),"",M445-S445)</f>
        <v/>
      </c>
      <c r="U445" s="49">
        <f>IF(OR($E444&lt;&gt;"측정",$C444&lt;&gt;$C445,$D444&lt;&gt;$D445,NOT(ISNUMBER(M445)),NOT(ISNUMBER(M444)),(IF(ISNUMBER(G445),G445,F445)-IF(ISNUMBER(G444),G444,F444))=0),"",(M445-M444)/((IF(ISNUMBER(G445),G445,F445)-IF(ISNUMBER(G444),G444,F444))/100))</f>
        <v/>
      </c>
      <c r="V445" s="29" t="n"/>
      <c r="W445" s="29" t="n"/>
      <c r="X445" s="32" t="n"/>
    </row>
    <row r="446">
      <c r="A446" s="26" t="inlineStr">
        <is>
          <t>S37</t>
        </is>
      </c>
      <c r="B446" s="26" t="inlineStr">
        <is>
          <t>부안</t>
        </is>
      </c>
      <c r="C446" s="26" t="inlineStr">
        <is>
          <t>S37-V</t>
        </is>
      </c>
      <c r="D446" s="47" t="n">
        <v>1</v>
      </c>
      <c r="E446" s="26" t="inlineStr">
        <is>
          <t>측정</t>
        </is>
      </c>
      <c r="F446" s="47" t="n">
        <v>160</v>
      </c>
      <c r="G446" s="41" t="n"/>
      <c r="H446" s="29" t="n"/>
      <c r="I446" s="43" t="n"/>
      <c r="J446" s="41" t="n"/>
      <c r="K446" s="41" t="n"/>
      <c r="L446" s="41" t="n"/>
      <c r="M446" s="31">
        <f>IF(COUNT(J446:L446)=0,"",MEDIAN(J446:L446))</f>
        <v/>
      </c>
      <c r="N446" s="26">
        <f>IF(COUNTIFS($C:$C,$C446,$D:$D,$D446,$E:$E,"기준(전)",$M:$M,"&gt;0")&lt;&gt;1,"기준(전) 유효 1개 아님",IF(COUNTIFS($C:$C,$C446,$D:$D,$D446,$E:$E,"기준(후)",$M:$M,"&gt;0")&lt;&gt;1,"기준(후) 유효 1개 아님",IF(NOT(AND(ISNUMBER(O446),ISNUMBER(Q446),ISNUMBER(I446))),"시각 결측",IF(Q446&lt;=O446,"기준 시각 역전",IF(OR(I446&lt;O446,I446&gt;Q446),"측정시각 구간 밖","OK")))))</f>
        <v/>
      </c>
      <c r="O446" s="48">
        <f>IF(COUNTIFS($C:$C,$C446,$D:$D,$D446,$E:$E,"기준(전)",$M:$M,"&gt;0")&lt;&gt;1,"",SUMIFS($I:$I,$C:$C,$C446,$D:$D,$D446,$E:$E,"기준(전)"))</f>
        <v/>
      </c>
      <c r="P446" s="31">
        <f>IF(COUNTIFS($C:$C,$C446,$D:$D,$D446,$E:$E,"기준(전)",$M:$M,"&gt;0")&lt;&gt;1,"",SUMIFS($M:$M,$C:$C,$C446,$D:$D,$D446,$E:$E,"기준(전)"))</f>
        <v/>
      </c>
      <c r="Q446" s="48">
        <f>IF(COUNTIFS($C:$C,$C446,$D:$D,$D446,$E:$E,"기준(후)",$M:$M,"&gt;0")&lt;&gt;1,"",SUMIFS($I:$I,$C:$C,$C446,$D:$D,$D446,$E:$E,"기준(후)"))</f>
        <v/>
      </c>
      <c r="R446" s="31">
        <f>IF(COUNTIFS($C:$C,$C446,$D:$D,$D446,$E:$E,"기준(후)",$M:$M,"&gt;0")&lt;&gt;1,"",SUMIFS($M:$M,$C:$C,$C446,$D:$D,$D446,$E:$E,"기준(후)"))</f>
        <v/>
      </c>
      <c r="S446" s="31">
        <f>IF(N446&lt;&gt;"OK","",P446+(R446-P446)*(I446-O446)/(Q446-O446))</f>
        <v/>
      </c>
      <c r="T446" s="31">
        <f>IF(OR(N446&lt;&gt;"OK",NOT(ISNUMBER(M446))),"",M446-S446)</f>
        <v/>
      </c>
      <c r="U446" s="49">
        <f>IF(OR($E445&lt;&gt;"측정",$C445&lt;&gt;$C446,$D445&lt;&gt;$D446,NOT(ISNUMBER(M446)),NOT(ISNUMBER(M445)),(IF(ISNUMBER(G446),G446,F446)-IF(ISNUMBER(G445),G445,F445))=0),"",(M446-M445)/((IF(ISNUMBER(G446),G446,F446)-IF(ISNUMBER(G445),G445,F445))/100))</f>
        <v/>
      </c>
      <c r="V446" s="29" t="n"/>
      <c r="W446" s="29" t="n"/>
      <c r="X446" s="32" t="n"/>
    </row>
    <row r="447">
      <c r="A447" s="26" t="inlineStr">
        <is>
          <t>S37</t>
        </is>
      </c>
      <c r="B447" s="26" t="inlineStr">
        <is>
          <t>부안</t>
        </is>
      </c>
      <c r="C447" s="26" t="inlineStr">
        <is>
          <t>S37-V</t>
        </is>
      </c>
      <c r="D447" s="47" t="n">
        <v>1</v>
      </c>
      <c r="E447" s="26" t="inlineStr">
        <is>
          <t>측정</t>
        </is>
      </c>
      <c r="F447" s="47" t="n">
        <v>180</v>
      </c>
      <c r="G447" s="41" t="n"/>
      <c r="H447" s="29" t="n"/>
      <c r="I447" s="43" t="n"/>
      <c r="J447" s="41" t="n"/>
      <c r="K447" s="41" t="n"/>
      <c r="L447" s="41" t="n"/>
      <c r="M447" s="31">
        <f>IF(COUNT(J447:L447)=0,"",MEDIAN(J447:L447))</f>
        <v/>
      </c>
      <c r="N447" s="26">
        <f>IF(COUNTIFS($C:$C,$C447,$D:$D,$D447,$E:$E,"기준(전)",$M:$M,"&gt;0")&lt;&gt;1,"기준(전) 유효 1개 아님",IF(COUNTIFS($C:$C,$C447,$D:$D,$D447,$E:$E,"기준(후)",$M:$M,"&gt;0")&lt;&gt;1,"기준(후) 유효 1개 아님",IF(NOT(AND(ISNUMBER(O447),ISNUMBER(Q447),ISNUMBER(I447))),"시각 결측",IF(Q447&lt;=O447,"기준 시각 역전",IF(OR(I447&lt;O447,I447&gt;Q447),"측정시각 구간 밖","OK")))))</f>
        <v/>
      </c>
      <c r="O447" s="48">
        <f>IF(COUNTIFS($C:$C,$C447,$D:$D,$D447,$E:$E,"기준(전)",$M:$M,"&gt;0")&lt;&gt;1,"",SUMIFS($I:$I,$C:$C,$C447,$D:$D,$D447,$E:$E,"기준(전)"))</f>
        <v/>
      </c>
      <c r="P447" s="31">
        <f>IF(COUNTIFS($C:$C,$C447,$D:$D,$D447,$E:$E,"기준(전)",$M:$M,"&gt;0")&lt;&gt;1,"",SUMIFS($M:$M,$C:$C,$C447,$D:$D,$D447,$E:$E,"기준(전)"))</f>
        <v/>
      </c>
      <c r="Q447" s="48">
        <f>IF(COUNTIFS($C:$C,$C447,$D:$D,$D447,$E:$E,"기준(후)",$M:$M,"&gt;0")&lt;&gt;1,"",SUMIFS($I:$I,$C:$C,$C447,$D:$D,$D447,$E:$E,"기준(후)"))</f>
        <v/>
      </c>
      <c r="R447" s="31">
        <f>IF(COUNTIFS($C:$C,$C447,$D:$D,$D447,$E:$E,"기준(후)",$M:$M,"&gt;0")&lt;&gt;1,"",SUMIFS($M:$M,$C:$C,$C447,$D:$D,$D447,$E:$E,"기준(후)"))</f>
        <v/>
      </c>
      <c r="S447" s="31">
        <f>IF(N447&lt;&gt;"OK","",P447+(R447-P447)*(I447-O447)/(Q447-O447))</f>
        <v/>
      </c>
      <c r="T447" s="31">
        <f>IF(OR(N447&lt;&gt;"OK",NOT(ISNUMBER(M447))),"",M447-S447)</f>
        <v/>
      </c>
      <c r="U447" s="49">
        <f>IF(OR($E446&lt;&gt;"측정",$C446&lt;&gt;$C447,$D446&lt;&gt;$D447,NOT(ISNUMBER(M447)),NOT(ISNUMBER(M446)),(IF(ISNUMBER(G447),G447,F447)-IF(ISNUMBER(G446),G446,F446))=0),"",(M447-M446)/((IF(ISNUMBER(G447),G447,F447)-IF(ISNUMBER(G446),G446,F446))/100))</f>
        <v/>
      </c>
      <c r="V447" s="29" t="n"/>
      <c r="W447" s="29" t="n"/>
      <c r="X447" s="32" t="n"/>
    </row>
    <row r="448">
      <c r="A448" s="26" t="inlineStr">
        <is>
          <t>S37</t>
        </is>
      </c>
      <c r="B448" s="26" t="inlineStr">
        <is>
          <t>부안</t>
        </is>
      </c>
      <c r="C448" s="26" t="inlineStr">
        <is>
          <t>S37-V</t>
        </is>
      </c>
      <c r="D448" s="47" t="n">
        <v>1</v>
      </c>
      <c r="E448" s="26" t="inlineStr">
        <is>
          <t>측정</t>
        </is>
      </c>
      <c r="F448" s="47" t="n">
        <v>200</v>
      </c>
      <c r="G448" s="41" t="n"/>
      <c r="H448" s="29" t="n"/>
      <c r="I448" s="43" t="n"/>
      <c r="J448" s="41" t="n"/>
      <c r="K448" s="41" t="n"/>
      <c r="L448" s="41" t="n"/>
      <c r="M448" s="31">
        <f>IF(COUNT(J448:L448)=0,"",MEDIAN(J448:L448))</f>
        <v/>
      </c>
      <c r="N448" s="26">
        <f>IF(COUNTIFS($C:$C,$C448,$D:$D,$D448,$E:$E,"기준(전)",$M:$M,"&gt;0")&lt;&gt;1,"기준(전) 유효 1개 아님",IF(COUNTIFS($C:$C,$C448,$D:$D,$D448,$E:$E,"기준(후)",$M:$M,"&gt;0")&lt;&gt;1,"기준(후) 유효 1개 아님",IF(NOT(AND(ISNUMBER(O448),ISNUMBER(Q448),ISNUMBER(I448))),"시각 결측",IF(Q448&lt;=O448,"기준 시각 역전",IF(OR(I448&lt;O448,I448&gt;Q448),"측정시각 구간 밖","OK")))))</f>
        <v/>
      </c>
      <c r="O448" s="48">
        <f>IF(COUNTIFS($C:$C,$C448,$D:$D,$D448,$E:$E,"기준(전)",$M:$M,"&gt;0")&lt;&gt;1,"",SUMIFS($I:$I,$C:$C,$C448,$D:$D,$D448,$E:$E,"기준(전)"))</f>
        <v/>
      </c>
      <c r="P448" s="31">
        <f>IF(COUNTIFS($C:$C,$C448,$D:$D,$D448,$E:$E,"기준(전)",$M:$M,"&gt;0")&lt;&gt;1,"",SUMIFS($M:$M,$C:$C,$C448,$D:$D,$D448,$E:$E,"기준(전)"))</f>
        <v/>
      </c>
      <c r="Q448" s="48">
        <f>IF(COUNTIFS($C:$C,$C448,$D:$D,$D448,$E:$E,"기준(후)",$M:$M,"&gt;0")&lt;&gt;1,"",SUMIFS($I:$I,$C:$C,$C448,$D:$D,$D448,$E:$E,"기준(후)"))</f>
        <v/>
      </c>
      <c r="R448" s="31">
        <f>IF(COUNTIFS($C:$C,$C448,$D:$D,$D448,$E:$E,"기준(후)",$M:$M,"&gt;0")&lt;&gt;1,"",SUMIFS($M:$M,$C:$C,$C448,$D:$D,$D448,$E:$E,"기준(후)"))</f>
        <v/>
      </c>
      <c r="S448" s="31">
        <f>IF(N448&lt;&gt;"OK","",P448+(R448-P448)*(I448-O448)/(Q448-O448))</f>
        <v/>
      </c>
      <c r="T448" s="31">
        <f>IF(OR(N448&lt;&gt;"OK",NOT(ISNUMBER(M448))),"",M448-S448)</f>
        <v/>
      </c>
      <c r="U448" s="49">
        <f>IF(OR($E447&lt;&gt;"측정",$C447&lt;&gt;$C448,$D447&lt;&gt;$D448,NOT(ISNUMBER(M448)),NOT(ISNUMBER(M447)),(IF(ISNUMBER(G448),G448,F448)-IF(ISNUMBER(G447),G447,F447))=0),"",(M448-M447)/((IF(ISNUMBER(G448),G448,F448)-IF(ISNUMBER(G447),G447,F447))/100))</f>
        <v/>
      </c>
      <c r="V448" s="29" t="n"/>
      <c r="W448" s="29" t="n"/>
      <c r="X448" s="32" t="n"/>
    </row>
    <row r="449">
      <c r="A449" s="44" t="inlineStr">
        <is>
          <t>S37</t>
        </is>
      </c>
      <c r="B449" s="44" t="inlineStr">
        <is>
          <t>부안</t>
        </is>
      </c>
      <c r="C449" s="44" t="inlineStr">
        <is>
          <t>S37-V</t>
        </is>
      </c>
      <c r="D449" s="45" t="n">
        <v>1</v>
      </c>
      <c r="E449" s="44" t="inlineStr">
        <is>
          <t>기준(후)</t>
        </is>
      </c>
      <c r="F449" s="45" t="n"/>
      <c r="G449" s="41" t="n"/>
      <c r="H449" s="29" t="n"/>
      <c r="I449" s="43" t="n"/>
      <c r="J449" s="41" t="n"/>
      <c r="K449" s="41" t="n"/>
      <c r="L449" s="41" t="n"/>
      <c r="M449" s="31">
        <f>IF(COUNT(J449:L449)=0,"",MEDIAN(J449:L449))</f>
        <v/>
      </c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29" t="n"/>
      <c r="W449" s="29" t="n"/>
      <c r="X449" s="32" t="n"/>
    </row>
    <row r="450">
      <c r="A450" s="44" t="inlineStr">
        <is>
          <t>S38</t>
        </is>
      </c>
      <c r="B450" s="44" t="inlineStr">
        <is>
          <t>강화</t>
        </is>
      </c>
      <c r="C450" s="44" t="inlineStr">
        <is>
          <t>S38-V</t>
        </is>
      </c>
      <c r="D450" s="45" t="n">
        <v>1</v>
      </c>
      <c r="E450" s="44" t="inlineStr">
        <is>
          <t>기준(전)</t>
        </is>
      </c>
      <c r="F450" s="45" t="n"/>
      <c r="G450" s="41" t="n"/>
      <c r="H450" s="29" t="n"/>
      <c r="I450" s="43" t="n"/>
      <c r="J450" s="41" t="n"/>
      <c r="K450" s="41" t="n"/>
      <c r="L450" s="41" t="n"/>
      <c r="M450" s="31">
        <f>IF(COUNT(J450:L450)=0,"",MEDIAN(J450:L450))</f>
        <v/>
      </c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29" t="n"/>
      <c r="W450" s="29" t="n"/>
      <c r="X450" s="32" t="n"/>
    </row>
    <row r="451">
      <c r="A451" s="26" t="inlineStr">
        <is>
          <t>S38</t>
        </is>
      </c>
      <c r="B451" s="26" t="inlineStr">
        <is>
          <t>강화</t>
        </is>
      </c>
      <c r="C451" s="26" t="inlineStr">
        <is>
          <t>S38-V</t>
        </is>
      </c>
      <c r="D451" s="47" t="n">
        <v>1</v>
      </c>
      <c r="E451" s="26" t="inlineStr">
        <is>
          <t>측정</t>
        </is>
      </c>
      <c r="F451" s="47" t="n">
        <v>20</v>
      </c>
      <c r="G451" s="41" t="n"/>
      <c r="H451" s="29" t="n"/>
      <c r="I451" s="43" t="n"/>
      <c r="J451" s="41" t="n"/>
      <c r="K451" s="41" t="n"/>
      <c r="L451" s="41" t="n"/>
      <c r="M451" s="31">
        <f>IF(COUNT(J451:L451)=0,"",MEDIAN(J451:L451))</f>
        <v/>
      </c>
      <c r="N451" s="26">
        <f>IF(COUNTIFS($C:$C,$C451,$D:$D,$D451,$E:$E,"기준(전)",$M:$M,"&gt;0")&lt;&gt;1,"기준(전) 유효 1개 아님",IF(COUNTIFS($C:$C,$C451,$D:$D,$D451,$E:$E,"기준(후)",$M:$M,"&gt;0")&lt;&gt;1,"기준(후) 유효 1개 아님",IF(NOT(AND(ISNUMBER(O451),ISNUMBER(Q451),ISNUMBER(I451))),"시각 결측",IF(Q451&lt;=O451,"기준 시각 역전",IF(OR(I451&lt;O451,I451&gt;Q451),"측정시각 구간 밖","OK")))))</f>
        <v/>
      </c>
      <c r="O451" s="48">
        <f>IF(COUNTIFS($C:$C,$C451,$D:$D,$D451,$E:$E,"기준(전)",$M:$M,"&gt;0")&lt;&gt;1,"",SUMIFS($I:$I,$C:$C,$C451,$D:$D,$D451,$E:$E,"기준(전)"))</f>
        <v/>
      </c>
      <c r="P451" s="31">
        <f>IF(COUNTIFS($C:$C,$C451,$D:$D,$D451,$E:$E,"기준(전)",$M:$M,"&gt;0")&lt;&gt;1,"",SUMIFS($M:$M,$C:$C,$C451,$D:$D,$D451,$E:$E,"기준(전)"))</f>
        <v/>
      </c>
      <c r="Q451" s="48">
        <f>IF(COUNTIFS($C:$C,$C451,$D:$D,$D451,$E:$E,"기준(후)",$M:$M,"&gt;0")&lt;&gt;1,"",SUMIFS($I:$I,$C:$C,$C451,$D:$D,$D451,$E:$E,"기준(후)"))</f>
        <v/>
      </c>
      <c r="R451" s="31">
        <f>IF(COUNTIFS($C:$C,$C451,$D:$D,$D451,$E:$E,"기준(후)",$M:$M,"&gt;0")&lt;&gt;1,"",SUMIFS($M:$M,$C:$C,$C451,$D:$D,$D451,$E:$E,"기준(후)"))</f>
        <v/>
      </c>
      <c r="S451" s="31">
        <f>IF(N451&lt;&gt;"OK","",P451+(R451-P451)*(I451-O451)/(Q451-O451))</f>
        <v/>
      </c>
      <c r="T451" s="31">
        <f>IF(OR(N451&lt;&gt;"OK",NOT(ISNUMBER(M451))),"",M451-S451)</f>
        <v/>
      </c>
      <c r="U451" s="49">
        <f>IF(OR($E450&lt;&gt;"측정",$C450&lt;&gt;$C451,$D450&lt;&gt;$D451,NOT(ISNUMBER(M451)),NOT(ISNUMBER(M450)),(IF(ISNUMBER(G451),G451,F451)-IF(ISNUMBER(G450),G450,F450))=0),"",(M451-M450)/((IF(ISNUMBER(G451),G451,F451)-IF(ISNUMBER(G450),G450,F450))/100))</f>
        <v/>
      </c>
      <c r="V451" s="29" t="n"/>
      <c r="W451" s="29" t="n"/>
      <c r="X451" s="32" t="n"/>
    </row>
    <row r="452">
      <c r="A452" s="26" t="inlineStr">
        <is>
          <t>S38</t>
        </is>
      </c>
      <c r="B452" s="26" t="inlineStr">
        <is>
          <t>강화</t>
        </is>
      </c>
      <c r="C452" s="26" t="inlineStr">
        <is>
          <t>S38-V</t>
        </is>
      </c>
      <c r="D452" s="47" t="n">
        <v>1</v>
      </c>
      <c r="E452" s="26" t="inlineStr">
        <is>
          <t>측정</t>
        </is>
      </c>
      <c r="F452" s="47" t="n">
        <v>40</v>
      </c>
      <c r="G452" s="41" t="n"/>
      <c r="H452" s="29" t="n"/>
      <c r="I452" s="43" t="n"/>
      <c r="J452" s="41" t="n"/>
      <c r="K452" s="41" t="n"/>
      <c r="L452" s="41" t="n"/>
      <c r="M452" s="31">
        <f>IF(COUNT(J452:L452)=0,"",MEDIAN(J452:L452))</f>
        <v/>
      </c>
      <c r="N452" s="26">
        <f>IF(COUNTIFS($C:$C,$C452,$D:$D,$D452,$E:$E,"기준(전)",$M:$M,"&gt;0")&lt;&gt;1,"기준(전) 유효 1개 아님",IF(COUNTIFS($C:$C,$C452,$D:$D,$D452,$E:$E,"기준(후)",$M:$M,"&gt;0")&lt;&gt;1,"기준(후) 유효 1개 아님",IF(NOT(AND(ISNUMBER(O452),ISNUMBER(Q452),ISNUMBER(I452))),"시각 결측",IF(Q452&lt;=O452,"기준 시각 역전",IF(OR(I452&lt;O452,I452&gt;Q452),"측정시각 구간 밖","OK")))))</f>
        <v/>
      </c>
      <c r="O452" s="48">
        <f>IF(COUNTIFS($C:$C,$C452,$D:$D,$D452,$E:$E,"기준(전)",$M:$M,"&gt;0")&lt;&gt;1,"",SUMIFS($I:$I,$C:$C,$C452,$D:$D,$D452,$E:$E,"기준(전)"))</f>
        <v/>
      </c>
      <c r="P452" s="31">
        <f>IF(COUNTIFS($C:$C,$C452,$D:$D,$D452,$E:$E,"기준(전)",$M:$M,"&gt;0")&lt;&gt;1,"",SUMIFS($M:$M,$C:$C,$C452,$D:$D,$D452,$E:$E,"기준(전)"))</f>
        <v/>
      </c>
      <c r="Q452" s="48">
        <f>IF(COUNTIFS($C:$C,$C452,$D:$D,$D452,$E:$E,"기준(후)",$M:$M,"&gt;0")&lt;&gt;1,"",SUMIFS($I:$I,$C:$C,$C452,$D:$D,$D452,$E:$E,"기준(후)"))</f>
        <v/>
      </c>
      <c r="R452" s="31">
        <f>IF(COUNTIFS($C:$C,$C452,$D:$D,$D452,$E:$E,"기준(후)",$M:$M,"&gt;0")&lt;&gt;1,"",SUMIFS($M:$M,$C:$C,$C452,$D:$D,$D452,$E:$E,"기준(후)"))</f>
        <v/>
      </c>
      <c r="S452" s="31">
        <f>IF(N452&lt;&gt;"OK","",P452+(R452-P452)*(I452-O452)/(Q452-O452))</f>
        <v/>
      </c>
      <c r="T452" s="31">
        <f>IF(OR(N452&lt;&gt;"OK",NOT(ISNUMBER(M452))),"",M452-S452)</f>
        <v/>
      </c>
      <c r="U452" s="49">
        <f>IF(OR($E451&lt;&gt;"측정",$C451&lt;&gt;$C452,$D451&lt;&gt;$D452,NOT(ISNUMBER(M452)),NOT(ISNUMBER(M451)),(IF(ISNUMBER(G452),G452,F452)-IF(ISNUMBER(G451),G451,F451))=0),"",(M452-M451)/((IF(ISNUMBER(G452),G452,F452)-IF(ISNUMBER(G451),G451,F451))/100))</f>
        <v/>
      </c>
      <c r="V452" s="29" t="n"/>
      <c r="W452" s="29" t="n"/>
      <c r="X452" s="32" t="n"/>
    </row>
    <row r="453">
      <c r="A453" s="26" t="inlineStr">
        <is>
          <t>S38</t>
        </is>
      </c>
      <c r="B453" s="26" t="inlineStr">
        <is>
          <t>강화</t>
        </is>
      </c>
      <c r="C453" s="26" t="inlineStr">
        <is>
          <t>S38-V</t>
        </is>
      </c>
      <c r="D453" s="47" t="n">
        <v>1</v>
      </c>
      <c r="E453" s="26" t="inlineStr">
        <is>
          <t>측정</t>
        </is>
      </c>
      <c r="F453" s="47" t="n">
        <v>60</v>
      </c>
      <c r="G453" s="41" t="n"/>
      <c r="H453" s="29" t="n"/>
      <c r="I453" s="43" t="n"/>
      <c r="J453" s="41" t="n"/>
      <c r="K453" s="41" t="n"/>
      <c r="L453" s="41" t="n"/>
      <c r="M453" s="31">
        <f>IF(COUNT(J453:L453)=0,"",MEDIAN(J453:L453))</f>
        <v/>
      </c>
      <c r="N453" s="26">
        <f>IF(COUNTIFS($C:$C,$C453,$D:$D,$D453,$E:$E,"기준(전)",$M:$M,"&gt;0")&lt;&gt;1,"기준(전) 유효 1개 아님",IF(COUNTIFS($C:$C,$C453,$D:$D,$D453,$E:$E,"기준(후)",$M:$M,"&gt;0")&lt;&gt;1,"기준(후) 유효 1개 아님",IF(NOT(AND(ISNUMBER(O453),ISNUMBER(Q453),ISNUMBER(I453))),"시각 결측",IF(Q453&lt;=O453,"기준 시각 역전",IF(OR(I453&lt;O453,I453&gt;Q453),"측정시각 구간 밖","OK")))))</f>
        <v/>
      </c>
      <c r="O453" s="48">
        <f>IF(COUNTIFS($C:$C,$C453,$D:$D,$D453,$E:$E,"기준(전)",$M:$M,"&gt;0")&lt;&gt;1,"",SUMIFS($I:$I,$C:$C,$C453,$D:$D,$D453,$E:$E,"기준(전)"))</f>
        <v/>
      </c>
      <c r="P453" s="31">
        <f>IF(COUNTIFS($C:$C,$C453,$D:$D,$D453,$E:$E,"기준(전)",$M:$M,"&gt;0")&lt;&gt;1,"",SUMIFS($M:$M,$C:$C,$C453,$D:$D,$D453,$E:$E,"기준(전)"))</f>
        <v/>
      </c>
      <c r="Q453" s="48">
        <f>IF(COUNTIFS($C:$C,$C453,$D:$D,$D453,$E:$E,"기준(후)",$M:$M,"&gt;0")&lt;&gt;1,"",SUMIFS($I:$I,$C:$C,$C453,$D:$D,$D453,$E:$E,"기준(후)"))</f>
        <v/>
      </c>
      <c r="R453" s="31">
        <f>IF(COUNTIFS($C:$C,$C453,$D:$D,$D453,$E:$E,"기준(후)",$M:$M,"&gt;0")&lt;&gt;1,"",SUMIFS($M:$M,$C:$C,$C453,$D:$D,$D453,$E:$E,"기준(후)"))</f>
        <v/>
      </c>
      <c r="S453" s="31">
        <f>IF(N453&lt;&gt;"OK","",P453+(R453-P453)*(I453-O453)/(Q453-O453))</f>
        <v/>
      </c>
      <c r="T453" s="31">
        <f>IF(OR(N453&lt;&gt;"OK",NOT(ISNUMBER(M453))),"",M453-S453)</f>
        <v/>
      </c>
      <c r="U453" s="49">
        <f>IF(OR($E452&lt;&gt;"측정",$C452&lt;&gt;$C453,$D452&lt;&gt;$D453,NOT(ISNUMBER(M453)),NOT(ISNUMBER(M452)),(IF(ISNUMBER(G453),G453,F453)-IF(ISNUMBER(G452),G452,F452))=0),"",(M453-M452)/((IF(ISNUMBER(G453),G453,F453)-IF(ISNUMBER(G452),G452,F452))/100))</f>
        <v/>
      </c>
      <c r="V453" s="29" t="n"/>
      <c r="W453" s="29" t="n"/>
      <c r="X453" s="32" t="n"/>
    </row>
    <row r="454">
      <c r="A454" s="26" t="inlineStr">
        <is>
          <t>S38</t>
        </is>
      </c>
      <c r="B454" s="26" t="inlineStr">
        <is>
          <t>강화</t>
        </is>
      </c>
      <c r="C454" s="26" t="inlineStr">
        <is>
          <t>S38-V</t>
        </is>
      </c>
      <c r="D454" s="47" t="n">
        <v>1</v>
      </c>
      <c r="E454" s="26" t="inlineStr">
        <is>
          <t>측정</t>
        </is>
      </c>
      <c r="F454" s="47" t="n">
        <v>80</v>
      </c>
      <c r="G454" s="41" t="n"/>
      <c r="H454" s="29" t="n"/>
      <c r="I454" s="43" t="n"/>
      <c r="J454" s="41" t="n"/>
      <c r="K454" s="41" t="n"/>
      <c r="L454" s="41" t="n"/>
      <c r="M454" s="31">
        <f>IF(COUNT(J454:L454)=0,"",MEDIAN(J454:L454))</f>
        <v/>
      </c>
      <c r="N454" s="26">
        <f>IF(COUNTIFS($C:$C,$C454,$D:$D,$D454,$E:$E,"기준(전)",$M:$M,"&gt;0")&lt;&gt;1,"기준(전) 유효 1개 아님",IF(COUNTIFS($C:$C,$C454,$D:$D,$D454,$E:$E,"기준(후)",$M:$M,"&gt;0")&lt;&gt;1,"기준(후) 유효 1개 아님",IF(NOT(AND(ISNUMBER(O454),ISNUMBER(Q454),ISNUMBER(I454))),"시각 결측",IF(Q454&lt;=O454,"기준 시각 역전",IF(OR(I454&lt;O454,I454&gt;Q454),"측정시각 구간 밖","OK")))))</f>
        <v/>
      </c>
      <c r="O454" s="48">
        <f>IF(COUNTIFS($C:$C,$C454,$D:$D,$D454,$E:$E,"기준(전)",$M:$M,"&gt;0")&lt;&gt;1,"",SUMIFS($I:$I,$C:$C,$C454,$D:$D,$D454,$E:$E,"기준(전)"))</f>
        <v/>
      </c>
      <c r="P454" s="31">
        <f>IF(COUNTIFS($C:$C,$C454,$D:$D,$D454,$E:$E,"기준(전)",$M:$M,"&gt;0")&lt;&gt;1,"",SUMIFS($M:$M,$C:$C,$C454,$D:$D,$D454,$E:$E,"기준(전)"))</f>
        <v/>
      </c>
      <c r="Q454" s="48">
        <f>IF(COUNTIFS($C:$C,$C454,$D:$D,$D454,$E:$E,"기준(후)",$M:$M,"&gt;0")&lt;&gt;1,"",SUMIFS($I:$I,$C:$C,$C454,$D:$D,$D454,$E:$E,"기준(후)"))</f>
        <v/>
      </c>
      <c r="R454" s="31">
        <f>IF(COUNTIFS($C:$C,$C454,$D:$D,$D454,$E:$E,"기준(후)",$M:$M,"&gt;0")&lt;&gt;1,"",SUMIFS($M:$M,$C:$C,$C454,$D:$D,$D454,$E:$E,"기준(후)"))</f>
        <v/>
      </c>
      <c r="S454" s="31">
        <f>IF(N454&lt;&gt;"OK","",P454+(R454-P454)*(I454-O454)/(Q454-O454))</f>
        <v/>
      </c>
      <c r="T454" s="31">
        <f>IF(OR(N454&lt;&gt;"OK",NOT(ISNUMBER(M454))),"",M454-S454)</f>
        <v/>
      </c>
      <c r="U454" s="49">
        <f>IF(OR($E453&lt;&gt;"측정",$C453&lt;&gt;$C454,$D453&lt;&gt;$D454,NOT(ISNUMBER(M454)),NOT(ISNUMBER(M453)),(IF(ISNUMBER(G454),G454,F454)-IF(ISNUMBER(G453),G453,F453))=0),"",(M454-M453)/((IF(ISNUMBER(G454),G454,F454)-IF(ISNUMBER(G453),G453,F453))/100))</f>
        <v/>
      </c>
      <c r="V454" s="29" t="n"/>
      <c r="W454" s="29" t="n"/>
      <c r="X454" s="32" t="n"/>
    </row>
    <row r="455">
      <c r="A455" s="26" t="inlineStr">
        <is>
          <t>S38</t>
        </is>
      </c>
      <c r="B455" s="26" t="inlineStr">
        <is>
          <t>강화</t>
        </is>
      </c>
      <c r="C455" s="26" t="inlineStr">
        <is>
          <t>S38-V</t>
        </is>
      </c>
      <c r="D455" s="47" t="n">
        <v>1</v>
      </c>
      <c r="E455" s="26" t="inlineStr">
        <is>
          <t>측정</t>
        </is>
      </c>
      <c r="F455" s="47" t="n">
        <v>100</v>
      </c>
      <c r="G455" s="41" t="n"/>
      <c r="H455" s="29" t="n"/>
      <c r="I455" s="43" t="n"/>
      <c r="J455" s="41" t="n"/>
      <c r="K455" s="41" t="n"/>
      <c r="L455" s="41" t="n"/>
      <c r="M455" s="31">
        <f>IF(COUNT(J455:L455)=0,"",MEDIAN(J455:L455))</f>
        <v/>
      </c>
      <c r="N455" s="26">
        <f>IF(COUNTIFS($C:$C,$C455,$D:$D,$D455,$E:$E,"기준(전)",$M:$M,"&gt;0")&lt;&gt;1,"기준(전) 유효 1개 아님",IF(COUNTIFS($C:$C,$C455,$D:$D,$D455,$E:$E,"기준(후)",$M:$M,"&gt;0")&lt;&gt;1,"기준(후) 유효 1개 아님",IF(NOT(AND(ISNUMBER(O455),ISNUMBER(Q455),ISNUMBER(I455))),"시각 결측",IF(Q455&lt;=O455,"기준 시각 역전",IF(OR(I455&lt;O455,I455&gt;Q455),"측정시각 구간 밖","OK")))))</f>
        <v/>
      </c>
      <c r="O455" s="48">
        <f>IF(COUNTIFS($C:$C,$C455,$D:$D,$D455,$E:$E,"기준(전)",$M:$M,"&gt;0")&lt;&gt;1,"",SUMIFS($I:$I,$C:$C,$C455,$D:$D,$D455,$E:$E,"기준(전)"))</f>
        <v/>
      </c>
      <c r="P455" s="31">
        <f>IF(COUNTIFS($C:$C,$C455,$D:$D,$D455,$E:$E,"기준(전)",$M:$M,"&gt;0")&lt;&gt;1,"",SUMIFS($M:$M,$C:$C,$C455,$D:$D,$D455,$E:$E,"기준(전)"))</f>
        <v/>
      </c>
      <c r="Q455" s="48">
        <f>IF(COUNTIFS($C:$C,$C455,$D:$D,$D455,$E:$E,"기준(후)",$M:$M,"&gt;0")&lt;&gt;1,"",SUMIFS($I:$I,$C:$C,$C455,$D:$D,$D455,$E:$E,"기준(후)"))</f>
        <v/>
      </c>
      <c r="R455" s="31">
        <f>IF(COUNTIFS($C:$C,$C455,$D:$D,$D455,$E:$E,"기준(후)",$M:$M,"&gt;0")&lt;&gt;1,"",SUMIFS($M:$M,$C:$C,$C455,$D:$D,$D455,$E:$E,"기준(후)"))</f>
        <v/>
      </c>
      <c r="S455" s="31">
        <f>IF(N455&lt;&gt;"OK","",P455+(R455-P455)*(I455-O455)/(Q455-O455))</f>
        <v/>
      </c>
      <c r="T455" s="31">
        <f>IF(OR(N455&lt;&gt;"OK",NOT(ISNUMBER(M455))),"",M455-S455)</f>
        <v/>
      </c>
      <c r="U455" s="49">
        <f>IF(OR($E454&lt;&gt;"측정",$C454&lt;&gt;$C455,$D454&lt;&gt;$D455,NOT(ISNUMBER(M455)),NOT(ISNUMBER(M454)),(IF(ISNUMBER(G455),G455,F455)-IF(ISNUMBER(G454),G454,F454))=0),"",(M455-M454)/((IF(ISNUMBER(G455),G455,F455)-IF(ISNUMBER(G454),G454,F454))/100))</f>
        <v/>
      </c>
      <c r="V455" s="29" t="n"/>
      <c r="W455" s="29" t="n"/>
      <c r="X455" s="32" t="n"/>
    </row>
    <row r="456">
      <c r="A456" s="26" t="inlineStr">
        <is>
          <t>S38</t>
        </is>
      </c>
      <c r="B456" s="26" t="inlineStr">
        <is>
          <t>강화</t>
        </is>
      </c>
      <c r="C456" s="26" t="inlineStr">
        <is>
          <t>S38-V</t>
        </is>
      </c>
      <c r="D456" s="47" t="n">
        <v>1</v>
      </c>
      <c r="E456" s="26" t="inlineStr">
        <is>
          <t>측정</t>
        </is>
      </c>
      <c r="F456" s="47" t="n">
        <v>120</v>
      </c>
      <c r="G456" s="41" t="n"/>
      <c r="H456" s="29" t="n"/>
      <c r="I456" s="43" t="n"/>
      <c r="J456" s="41" t="n"/>
      <c r="K456" s="41" t="n"/>
      <c r="L456" s="41" t="n"/>
      <c r="M456" s="31">
        <f>IF(COUNT(J456:L456)=0,"",MEDIAN(J456:L456))</f>
        <v/>
      </c>
      <c r="N456" s="26">
        <f>IF(COUNTIFS($C:$C,$C456,$D:$D,$D456,$E:$E,"기준(전)",$M:$M,"&gt;0")&lt;&gt;1,"기준(전) 유효 1개 아님",IF(COUNTIFS($C:$C,$C456,$D:$D,$D456,$E:$E,"기준(후)",$M:$M,"&gt;0")&lt;&gt;1,"기준(후) 유효 1개 아님",IF(NOT(AND(ISNUMBER(O456),ISNUMBER(Q456),ISNUMBER(I456))),"시각 결측",IF(Q456&lt;=O456,"기준 시각 역전",IF(OR(I456&lt;O456,I456&gt;Q456),"측정시각 구간 밖","OK")))))</f>
        <v/>
      </c>
      <c r="O456" s="48">
        <f>IF(COUNTIFS($C:$C,$C456,$D:$D,$D456,$E:$E,"기준(전)",$M:$M,"&gt;0")&lt;&gt;1,"",SUMIFS($I:$I,$C:$C,$C456,$D:$D,$D456,$E:$E,"기준(전)"))</f>
        <v/>
      </c>
      <c r="P456" s="31">
        <f>IF(COUNTIFS($C:$C,$C456,$D:$D,$D456,$E:$E,"기준(전)",$M:$M,"&gt;0")&lt;&gt;1,"",SUMIFS($M:$M,$C:$C,$C456,$D:$D,$D456,$E:$E,"기준(전)"))</f>
        <v/>
      </c>
      <c r="Q456" s="48">
        <f>IF(COUNTIFS($C:$C,$C456,$D:$D,$D456,$E:$E,"기준(후)",$M:$M,"&gt;0")&lt;&gt;1,"",SUMIFS($I:$I,$C:$C,$C456,$D:$D,$D456,$E:$E,"기준(후)"))</f>
        <v/>
      </c>
      <c r="R456" s="31">
        <f>IF(COUNTIFS($C:$C,$C456,$D:$D,$D456,$E:$E,"기준(후)",$M:$M,"&gt;0")&lt;&gt;1,"",SUMIFS($M:$M,$C:$C,$C456,$D:$D,$D456,$E:$E,"기준(후)"))</f>
        <v/>
      </c>
      <c r="S456" s="31">
        <f>IF(N456&lt;&gt;"OK","",P456+(R456-P456)*(I456-O456)/(Q456-O456))</f>
        <v/>
      </c>
      <c r="T456" s="31">
        <f>IF(OR(N456&lt;&gt;"OK",NOT(ISNUMBER(M456))),"",M456-S456)</f>
        <v/>
      </c>
      <c r="U456" s="49">
        <f>IF(OR($E455&lt;&gt;"측정",$C455&lt;&gt;$C456,$D455&lt;&gt;$D456,NOT(ISNUMBER(M456)),NOT(ISNUMBER(M455)),(IF(ISNUMBER(G456),G456,F456)-IF(ISNUMBER(G455),G455,F455))=0),"",(M456-M455)/((IF(ISNUMBER(G456),G456,F456)-IF(ISNUMBER(G455),G455,F455))/100))</f>
        <v/>
      </c>
      <c r="V456" s="29" t="n"/>
      <c r="W456" s="29" t="n"/>
      <c r="X456" s="32" t="n"/>
    </row>
    <row r="457">
      <c r="A457" s="26" t="inlineStr">
        <is>
          <t>S38</t>
        </is>
      </c>
      <c r="B457" s="26" t="inlineStr">
        <is>
          <t>강화</t>
        </is>
      </c>
      <c r="C457" s="26" t="inlineStr">
        <is>
          <t>S38-V</t>
        </is>
      </c>
      <c r="D457" s="47" t="n">
        <v>1</v>
      </c>
      <c r="E457" s="26" t="inlineStr">
        <is>
          <t>측정</t>
        </is>
      </c>
      <c r="F457" s="47" t="n">
        <v>140</v>
      </c>
      <c r="G457" s="41" t="n"/>
      <c r="H457" s="29" t="n"/>
      <c r="I457" s="43" t="n"/>
      <c r="J457" s="41" t="n"/>
      <c r="K457" s="41" t="n"/>
      <c r="L457" s="41" t="n"/>
      <c r="M457" s="31">
        <f>IF(COUNT(J457:L457)=0,"",MEDIAN(J457:L457))</f>
        <v/>
      </c>
      <c r="N457" s="26">
        <f>IF(COUNTIFS($C:$C,$C457,$D:$D,$D457,$E:$E,"기준(전)",$M:$M,"&gt;0")&lt;&gt;1,"기준(전) 유효 1개 아님",IF(COUNTIFS($C:$C,$C457,$D:$D,$D457,$E:$E,"기준(후)",$M:$M,"&gt;0")&lt;&gt;1,"기준(후) 유효 1개 아님",IF(NOT(AND(ISNUMBER(O457),ISNUMBER(Q457),ISNUMBER(I457))),"시각 결측",IF(Q457&lt;=O457,"기준 시각 역전",IF(OR(I457&lt;O457,I457&gt;Q457),"측정시각 구간 밖","OK")))))</f>
        <v/>
      </c>
      <c r="O457" s="48">
        <f>IF(COUNTIFS($C:$C,$C457,$D:$D,$D457,$E:$E,"기준(전)",$M:$M,"&gt;0")&lt;&gt;1,"",SUMIFS($I:$I,$C:$C,$C457,$D:$D,$D457,$E:$E,"기준(전)"))</f>
        <v/>
      </c>
      <c r="P457" s="31">
        <f>IF(COUNTIFS($C:$C,$C457,$D:$D,$D457,$E:$E,"기준(전)",$M:$M,"&gt;0")&lt;&gt;1,"",SUMIFS($M:$M,$C:$C,$C457,$D:$D,$D457,$E:$E,"기준(전)"))</f>
        <v/>
      </c>
      <c r="Q457" s="48">
        <f>IF(COUNTIFS($C:$C,$C457,$D:$D,$D457,$E:$E,"기준(후)",$M:$M,"&gt;0")&lt;&gt;1,"",SUMIFS($I:$I,$C:$C,$C457,$D:$D,$D457,$E:$E,"기준(후)"))</f>
        <v/>
      </c>
      <c r="R457" s="31">
        <f>IF(COUNTIFS($C:$C,$C457,$D:$D,$D457,$E:$E,"기준(후)",$M:$M,"&gt;0")&lt;&gt;1,"",SUMIFS($M:$M,$C:$C,$C457,$D:$D,$D457,$E:$E,"기준(후)"))</f>
        <v/>
      </c>
      <c r="S457" s="31">
        <f>IF(N457&lt;&gt;"OK","",P457+(R457-P457)*(I457-O457)/(Q457-O457))</f>
        <v/>
      </c>
      <c r="T457" s="31">
        <f>IF(OR(N457&lt;&gt;"OK",NOT(ISNUMBER(M457))),"",M457-S457)</f>
        <v/>
      </c>
      <c r="U457" s="49">
        <f>IF(OR($E456&lt;&gt;"측정",$C456&lt;&gt;$C457,$D456&lt;&gt;$D457,NOT(ISNUMBER(M457)),NOT(ISNUMBER(M456)),(IF(ISNUMBER(G457),G457,F457)-IF(ISNUMBER(G456),G456,F456))=0),"",(M457-M456)/((IF(ISNUMBER(G457),G457,F457)-IF(ISNUMBER(G456),G456,F456))/100))</f>
        <v/>
      </c>
      <c r="V457" s="29" t="n"/>
      <c r="W457" s="29" t="n"/>
      <c r="X457" s="32" t="n"/>
    </row>
    <row r="458">
      <c r="A458" s="26" t="inlineStr">
        <is>
          <t>S38</t>
        </is>
      </c>
      <c r="B458" s="26" t="inlineStr">
        <is>
          <t>강화</t>
        </is>
      </c>
      <c r="C458" s="26" t="inlineStr">
        <is>
          <t>S38-V</t>
        </is>
      </c>
      <c r="D458" s="47" t="n">
        <v>1</v>
      </c>
      <c r="E458" s="26" t="inlineStr">
        <is>
          <t>측정</t>
        </is>
      </c>
      <c r="F458" s="47" t="n">
        <v>160</v>
      </c>
      <c r="G458" s="41" t="n"/>
      <c r="H458" s="29" t="n"/>
      <c r="I458" s="43" t="n"/>
      <c r="J458" s="41" t="n"/>
      <c r="K458" s="41" t="n"/>
      <c r="L458" s="41" t="n"/>
      <c r="M458" s="31">
        <f>IF(COUNT(J458:L458)=0,"",MEDIAN(J458:L458))</f>
        <v/>
      </c>
      <c r="N458" s="26">
        <f>IF(COUNTIFS($C:$C,$C458,$D:$D,$D458,$E:$E,"기준(전)",$M:$M,"&gt;0")&lt;&gt;1,"기준(전) 유효 1개 아님",IF(COUNTIFS($C:$C,$C458,$D:$D,$D458,$E:$E,"기준(후)",$M:$M,"&gt;0")&lt;&gt;1,"기준(후) 유효 1개 아님",IF(NOT(AND(ISNUMBER(O458),ISNUMBER(Q458),ISNUMBER(I458))),"시각 결측",IF(Q458&lt;=O458,"기준 시각 역전",IF(OR(I458&lt;O458,I458&gt;Q458),"측정시각 구간 밖","OK")))))</f>
        <v/>
      </c>
      <c r="O458" s="48">
        <f>IF(COUNTIFS($C:$C,$C458,$D:$D,$D458,$E:$E,"기준(전)",$M:$M,"&gt;0")&lt;&gt;1,"",SUMIFS($I:$I,$C:$C,$C458,$D:$D,$D458,$E:$E,"기준(전)"))</f>
        <v/>
      </c>
      <c r="P458" s="31">
        <f>IF(COUNTIFS($C:$C,$C458,$D:$D,$D458,$E:$E,"기준(전)",$M:$M,"&gt;0")&lt;&gt;1,"",SUMIFS($M:$M,$C:$C,$C458,$D:$D,$D458,$E:$E,"기준(전)"))</f>
        <v/>
      </c>
      <c r="Q458" s="48">
        <f>IF(COUNTIFS($C:$C,$C458,$D:$D,$D458,$E:$E,"기준(후)",$M:$M,"&gt;0")&lt;&gt;1,"",SUMIFS($I:$I,$C:$C,$C458,$D:$D,$D458,$E:$E,"기준(후)"))</f>
        <v/>
      </c>
      <c r="R458" s="31">
        <f>IF(COUNTIFS($C:$C,$C458,$D:$D,$D458,$E:$E,"기준(후)",$M:$M,"&gt;0")&lt;&gt;1,"",SUMIFS($M:$M,$C:$C,$C458,$D:$D,$D458,$E:$E,"기준(후)"))</f>
        <v/>
      </c>
      <c r="S458" s="31">
        <f>IF(N458&lt;&gt;"OK","",P458+(R458-P458)*(I458-O458)/(Q458-O458))</f>
        <v/>
      </c>
      <c r="T458" s="31">
        <f>IF(OR(N458&lt;&gt;"OK",NOT(ISNUMBER(M458))),"",M458-S458)</f>
        <v/>
      </c>
      <c r="U458" s="49">
        <f>IF(OR($E457&lt;&gt;"측정",$C457&lt;&gt;$C458,$D457&lt;&gt;$D458,NOT(ISNUMBER(M458)),NOT(ISNUMBER(M457)),(IF(ISNUMBER(G458),G458,F458)-IF(ISNUMBER(G457),G457,F457))=0),"",(M458-M457)/((IF(ISNUMBER(G458),G458,F458)-IF(ISNUMBER(G457),G457,F457))/100))</f>
        <v/>
      </c>
      <c r="V458" s="29" t="n"/>
      <c r="W458" s="29" t="n"/>
      <c r="X458" s="32" t="n"/>
    </row>
    <row r="459">
      <c r="A459" s="26" t="inlineStr">
        <is>
          <t>S38</t>
        </is>
      </c>
      <c r="B459" s="26" t="inlineStr">
        <is>
          <t>강화</t>
        </is>
      </c>
      <c r="C459" s="26" t="inlineStr">
        <is>
          <t>S38-V</t>
        </is>
      </c>
      <c r="D459" s="47" t="n">
        <v>1</v>
      </c>
      <c r="E459" s="26" t="inlineStr">
        <is>
          <t>측정</t>
        </is>
      </c>
      <c r="F459" s="47" t="n">
        <v>180</v>
      </c>
      <c r="G459" s="41" t="n"/>
      <c r="H459" s="29" t="n"/>
      <c r="I459" s="43" t="n"/>
      <c r="J459" s="41" t="n"/>
      <c r="K459" s="41" t="n"/>
      <c r="L459" s="41" t="n"/>
      <c r="M459" s="31">
        <f>IF(COUNT(J459:L459)=0,"",MEDIAN(J459:L459))</f>
        <v/>
      </c>
      <c r="N459" s="26">
        <f>IF(COUNTIFS($C:$C,$C459,$D:$D,$D459,$E:$E,"기준(전)",$M:$M,"&gt;0")&lt;&gt;1,"기준(전) 유효 1개 아님",IF(COUNTIFS($C:$C,$C459,$D:$D,$D459,$E:$E,"기준(후)",$M:$M,"&gt;0")&lt;&gt;1,"기준(후) 유효 1개 아님",IF(NOT(AND(ISNUMBER(O459),ISNUMBER(Q459),ISNUMBER(I459))),"시각 결측",IF(Q459&lt;=O459,"기준 시각 역전",IF(OR(I459&lt;O459,I459&gt;Q459),"측정시각 구간 밖","OK")))))</f>
        <v/>
      </c>
      <c r="O459" s="48">
        <f>IF(COUNTIFS($C:$C,$C459,$D:$D,$D459,$E:$E,"기준(전)",$M:$M,"&gt;0")&lt;&gt;1,"",SUMIFS($I:$I,$C:$C,$C459,$D:$D,$D459,$E:$E,"기준(전)"))</f>
        <v/>
      </c>
      <c r="P459" s="31">
        <f>IF(COUNTIFS($C:$C,$C459,$D:$D,$D459,$E:$E,"기준(전)",$M:$M,"&gt;0")&lt;&gt;1,"",SUMIFS($M:$M,$C:$C,$C459,$D:$D,$D459,$E:$E,"기준(전)"))</f>
        <v/>
      </c>
      <c r="Q459" s="48">
        <f>IF(COUNTIFS($C:$C,$C459,$D:$D,$D459,$E:$E,"기준(후)",$M:$M,"&gt;0")&lt;&gt;1,"",SUMIFS($I:$I,$C:$C,$C459,$D:$D,$D459,$E:$E,"기준(후)"))</f>
        <v/>
      </c>
      <c r="R459" s="31">
        <f>IF(COUNTIFS($C:$C,$C459,$D:$D,$D459,$E:$E,"기준(후)",$M:$M,"&gt;0")&lt;&gt;1,"",SUMIFS($M:$M,$C:$C,$C459,$D:$D,$D459,$E:$E,"기준(후)"))</f>
        <v/>
      </c>
      <c r="S459" s="31">
        <f>IF(N459&lt;&gt;"OK","",P459+(R459-P459)*(I459-O459)/(Q459-O459))</f>
        <v/>
      </c>
      <c r="T459" s="31">
        <f>IF(OR(N459&lt;&gt;"OK",NOT(ISNUMBER(M459))),"",M459-S459)</f>
        <v/>
      </c>
      <c r="U459" s="49">
        <f>IF(OR($E458&lt;&gt;"측정",$C458&lt;&gt;$C459,$D458&lt;&gt;$D459,NOT(ISNUMBER(M459)),NOT(ISNUMBER(M458)),(IF(ISNUMBER(G459),G459,F459)-IF(ISNUMBER(G458),G458,F458))=0),"",(M459-M458)/((IF(ISNUMBER(G459),G459,F459)-IF(ISNUMBER(G458),G458,F458))/100))</f>
        <v/>
      </c>
      <c r="V459" s="29" t="n"/>
      <c r="W459" s="29" t="n"/>
      <c r="X459" s="32" t="n"/>
    </row>
    <row r="460">
      <c r="A460" s="26" t="inlineStr">
        <is>
          <t>S38</t>
        </is>
      </c>
      <c r="B460" s="26" t="inlineStr">
        <is>
          <t>강화</t>
        </is>
      </c>
      <c r="C460" s="26" t="inlineStr">
        <is>
          <t>S38-V</t>
        </is>
      </c>
      <c r="D460" s="47" t="n">
        <v>1</v>
      </c>
      <c r="E460" s="26" t="inlineStr">
        <is>
          <t>측정</t>
        </is>
      </c>
      <c r="F460" s="47" t="n">
        <v>200</v>
      </c>
      <c r="G460" s="41" t="n"/>
      <c r="H460" s="29" t="n"/>
      <c r="I460" s="43" t="n"/>
      <c r="J460" s="41" t="n"/>
      <c r="K460" s="41" t="n"/>
      <c r="L460" s="41" t="n"/>
      <c r="M460" s="31">
        <f>IF(COUNT(J460:L460)=0,"",MEDIAN(J460:L460))</f>
        <v/>
      </c>
      <c r="N460" s="26">
        <f>IF(COUNTIFS($C:$C,$C460,$D:$D,$D460,$E:$E,"기준(전)",$M:$M,"&gt;0")&lt;&gt;1,"기준(전) 유효 1개 아님",IF(COUNTIFS($C:$C,$C460,$D:$D,$D460,$E:$E,"기준(후)",$M:$M,"&gt;0")&lt;&gt;1,"기준(후) 유효 1개 아님",IF(NOT(AND(ISNUMBER(O460),ISNUMBER(Q460),ISNUMBER(I460))),"시각 결측",IF(Q460&lt;=O460,"기준 시각 역전",IF(OR(I460&lt;O460,I460&gt;Q460),"측정시각 구간 밖","OK")))))</f>
        <v/>
      </c>
      <c r="O460" s="48">
        <f>IF(COUNTIFS($C:$C,$C460,$D:$D,$D460,$E:$E,"기준(전)",$M:$M,"&gt;0")&lt;&gt;1,"",SUMIFS($I:$I,$C:$C,$C460,$D:$D,$D460,$E:$E,"기준(전)"))</f>
        <v/>
      </c>
      <c r="P460" s="31">
        <f>IF(COUNTIFS($C:$C,$C460,$D:$D,$D460,$E:$E,"기준(전)",$M:$M,"&gt;0")&lt;&gt;1,"",SUMIFS($M:$M,$C:$C,$C460,$D:$D,$D460,$E:$E,"기준(전)"))</f>
        <v/>
      </c>
      <c r="Q460" s="48">
        <f>IF(COUNTIFS($C:$C,$C460,$D:$D,$D460,$E:$E,"기준(후)",$M:$M,"&gt;0")&lt;&gt;1,"",SUMIFS($I:$I,$C:$C,$C460,$D:$D,$D460,$E:$E,"기준(후)"))</f>
        <v/>
      </c>
      <c r="R460" s="31">
        <f>IF(COUNTIFS($C:$C,$C460,$D:$D,$D460,$E:$E,"기준(후)",$M:$M,"&gt;0")&lt;&gt;1,"",SUMIFS($M:$M,$C:$C,$C460,$D:$D,$D460,$E:$E,"기준(후)"))</f>
        <v/>
      </c>
      <c r="S460" s="31">
        <f>IF(N460&lt;&gt;"OK","",P460+(R460-P460)*(I460-O460)/(Q460-O460))</f>
        <v/>
      </c>
      <c r="T460" s="31">
        <f>IF(OR(N460&lt;&gt;"OK",NOT(ISNUMBER(M460))),"",M460-S460)</f>
        <v/>
      </c>
      <c r="U460" s="49">
        <f>IF(OR($E459&lt;&gt;"측정",$C459&lt;&gt;$C460,$D459&lt;&gt;$D460,NOT(ISNUMBER(M460)),NOT(ISNUMBER(M459)),(IF(ISNUMBER(G460),G460,F460)-IF(ISNUMBER(G459),G459,F459))=0),"",(M460-M459)/((IF(ISNUMBER(G460),G460,F460)-IF(ISNUMBER(G459),G459,F459))/100))</f>
        <v/>
      </c>
      <c r="V460" s="29" t="n"/>
      <c r="W460" s="29" t="n"/>
      <c r="X460" s="32" t="n"/>
    </row>
    <row r="461">
      <c r="A461" s="44" t="inlineStr">
        <is>
          <t>S38</t>
        </is>
      </c>
      <c r="B461" s="44" t="inlineStr">
        <is>
          <t>강화</t>
        </is>
      </c>
      <c r="C461" s="44" t="inlineStr">
        <is>
          <t>S38-V</t>
        </is>
      </c>
      <c r="D461" s="45" t="n">
        <v>1</v>
      </c>
      <c r="E461" s="44" t="inlineStr">
        <is>
          <t>기준(후)</t>
        </is>
      </c>
      <c r="F461" s="45" t="n"/>
      <c r="G461" s="41" t="n"/>
      <c r="H461" s="29" t="n"/>
      <c r="I461" s="43" t="n"/>
      <c r="J461" s="41" t="n"/>
      <c r="K461" s="41" t="n"/>
      <c r="L461" s="41" t="n"/>
      <c r="M461" s="31">
        <f>IF(COUNT(J461:L461)=0,"",MEDIAN(J461:L461))</f>
        <v/>
      </c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29" t="n"/>
      <c r="W461" s="29" t="n"/>
      <c r="X461" s="32" t="n"/>
    </row>
    <row r="462">
      <c r="A462" s="44" t="inlineStr">
        <is>
          <t>S39</t>
        </is>
      </c>
      <c r="B462" s="44" t="inlineStr">
        <is>
          <t>언양</t>
        </is>
      </c>
      <c r="C462" s="44" t="inlineStr">
        <is>
          <t>S39-V</t>
        </is>
      </c>
      <c r="D462" s="45" t="n">
        <v>1</v>
      </c>
      <c r="E462" s="44" t="inlineStr">
        <is>
          <t>기준(전)</t>
        </is>
      </c>
      <c r="F462" s="45" t="n"/>
      <c r="G462" s="41" t="n"/>
      <c r="H462" s="29" t="n"/>
      <c r="I462" s="43" t="n"/>
      <c r="J462" s="41" t="n"/>
      <c r="K462" s="41" t="n"/>
      <c r="L462" s="41" t="n"/>
      <c r="M462" s="31">
        <f>IF(COUNT(J462:L462)=0,"",MEDIAN(J462:L462))</f>
        <v/>
      </c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29" t="n"/>
      <c r="W462" s="29" t="n"/>
      <c r="X462" s="32" t="n"/>
    </row>
    <row r="463">
      <c r="A463" s="26" t="inlineStr">
        <is>
          <t>S39</t>
        </is>
      </c>
      <c r="B463" s="26" t="inlineStr">
        <is>
          <t>언양</t>
        </is>
      </c>
      <c r="C463" s="26" t="inlineStr">
        <is>
          <t>S39-V</t>
        </is>
      </c>
      <c r="D463" s="47" t="n">
        <v>1</v>
      </c>
      <c r="E463" s="26" t="inlineStr">
        <is>
          <t>측정</t>
        </is>
      </c>
      <c r="F463" s="47" t="n">
        <v>20</v>
      </c>
      <c r="G463" s="41" t="n"/>
      <c r="H463" s="29" t="n"/>
      <c r="I463" s="43" t="n"/>
      <c r="J463" s="41" t="n"/>
      <c r="K463" s="41" t="n"/>
      <c r="L463" s="41" t="n"/>
      <c r="M463" s="31">
        <f>IF(COUNT(J463:L463)=0,"",MEDIAN(J463:L463))</f>
        <v/>
      </c>
      <c r="N463" s="26">
        <f>IF(COUNTIFS($C:$C,$C463,$D:$D,$D463,$E:$E,"기준(전)",$M:$M,"&gt;0")&lt;&gt;1,"기준(전) 유효 1개 아님",IF(COUNTIFS($C:$C,$C463,$D:$D,$D463,$E:$E,"기준(후)",$M:$M,"&gt;0")&lt;&gt;1,"기준(후) 유효 1개 아님",IF(NOT(AND(ISNUMBER(O463),ISNUMBER(Q463),ISNUMBER(I463))),"시각 결측",IF(Q463&lt;=O463,"기준 시각 역전",IF(OR(I463&lt;O463,I463&gt;Q463),"측정시각 구간 밖","OK")))))</f>
        <v/>
      </c>
      <c r="O463" s="48">
        <f>IF(COUNTIFS($C:$C,$C463,$D:$D,$D463,$E:$E,"기준(전)",$M:$M,"&gt;0")&lt;&gt;1,"",SUMIFS($I:$I,$C:$C,$C463,$D:$D,$D463,$E:$E,"기준(전)"))</f>
        <v/>
      </c>
      <c r="P463" s="31">
        <f>IF(COUNTIFS($C:$C,$C463,$D:$D,$D463,$E:$E,"기준(전)",$M:$M,"&gt;0")&lt;&gt;1,"",SUMIFS($M:$M,$C:$C,$C463,$D:$D,$D463,$E:$E,"기준(전)"))</f>
        <v/>
      </c>
      <c r="Q463" s="48">
        <f>IF(COUNTIFS($C:$C,$C463,$D:$D,$D463,$E:$E,"기준(후)",$M:$M,"&gt;0")&lt;&gt;1,"",SUMIFS($I:$I,$C:$C,$C463,$D:$D,$D463,$E:$E,"기준(후)"))</f>
        <v/>
      </c>
      <c r="R463" s="31">
        <f>IF(COUNTIFS($C:$C,$C463,$D:$D,$D463,$E:$E,"기준(후)",$M:$M,"&gt;0")&lt;&gt;1,"",SUMIFS($M:$M,$C:$C,$C463,$D:$D,$D463,$E:$E,"기준(후)"))</f>
        <v/>
      </c>
      <c r="S463" s="31">
        <f>IF(N463&lt;&gt;"OK","",P463+(R463-P463)*(I463-O463)/(Q463-O463))</f>
        <v/>
      </c>
      <c r="T463" s="31">
        <f>IF(OR(N463&lt;&gt;"OK",NOT(ISNUMBER(M463))),"",M463-S463)</f>
        <v/>
      </c>
      <c r="U463" s="49">
        <f>IF(OR($E462&lt;&gt;"측정",$C462&lt;&gt;$C463,$D462&lt;&gt;$D463,NOT(ISNUMBER(M463)),NOT(ISNUMBER(M462)),(IF(ISNUMBER(G463),G463,F463)-IF(ISNUMBER(G462),G462,F462))=0),"",(M463-M462)/((IF(ISNUMBER(G463),G463,F463)-IF(ISNUMBER(G462),G462,F462))/100))</f>
        <v/>
      </c>
      <c r="V463" s="29" t="n"/>
      <c r="W463" s="29" t="n"/>
      <c r="X463" s="32" t="n"/>
    </row>
    <row r="464">
      <c r="A464" s="26" t="inlineStr">
        <is>
          <t>S39</t>
        </is>
      </c>
      <c r="B464" s="26" t="inlineStr">
        <is>
          <t>언양</t>
        </is>
      </c>
      <c r="C464" s="26" t="inlineStr">
        <is>
          <t>S39-V</t>
        </is>
      </c>
      <c r="D464" s="47" t="n">
        <v>1</v>
      </c>
      <c r="E464" s="26" t="inlineStr">
        <is>
          <t>측정</t>
        </is>
      </c>
      <c r="F464" s="47" t="n">
        <v>40</v>
      </c>
      <c r="G464" s="41" t="n"/>
      <c r="H464" s="29" t="n"/>
      <c r="I464" s="43" t="n"/>
      <c r="J464" s="41" t="n"/>
      <c r="K464" s="41" t="n"/>
      <c r="L464" s="41" t="n"/>
      <c r="M464" s="31">
        <f>IF(COUNT(J464:L464)=0,"",MEDIAN(J464:L464))</f>
        <v/>
      </c>
      <c r="N464" s="26">
        <f>IF(COUNTIFS($C:$C,$C464,$D:$D,$D464,$E:$E,"기준(전)",$M:$M,"&gt;0")&lt;&gt;1,"기준(전) 유효 1개 아님",IF(COUNTIFS($C:$C,$C464,$D:$D,$D464,$E:$E,"기준(후)",$M:$M,"&gt;0")&lt;&gt;1,"기준(후) 유효 1개 아님",IF(NOT(AND(ISNUMBER(O464),ISNUMBER(Q464),ISNUMBER(I464))),"시각 결측",IF(Q464&lt;=O464,"기준 시각 역전",IF(OR(I464&lt;O464,I464&gt;Q464),"측정시각 구간 밖","OK")))))</f>
        <v/>
      </c>
      <c r="O464" s="48">
        <f>IF(COUNTIFS($C:$C,$C464,$D:$D,$D464,$E:$E,"기준(전)",$M:$M,"&gt;0")&lt;&gt;1,"",SUMIFS($I:$I,$C:$C,$C464,$D:$D,$D464,$E:$E,"기준(전)"))</f>
        <v/>
      </c>
      <c r="P464" s="31">
        <f>IF(COUNTIFS($C:$C,$C464,$D:$D,$D464,$E:$E,"기준(전)",$M:$M,"&gt;0")&lt;&gt;1,"",SUMIFS($M:$M,$C:$C,$C464,$D:$D,$D464,$E:$E,"기준(전)"))</f>
        <v/>
      </c>
      <c r="Q464" s="48">
        <f>IF(COUNTIFS($C:$C,$C464,$D:$D,$D464,$E:$E,"기준(후)",$M:$M,"&gt;0")&lt;&gt;1,"",SUMIFS($I:$I,$C:$C,$C464,$D:$D,$D464,$E:$E,"기준(후)"))</f>
        <v/>
      </c>
      <c r="R464" s="31">
        <f>IF(COUNTIFS($C:$C,$C464,$D:$D,$D464,$E:$E,"기준(후)",$M:$M,"&gt;0")&lt;&gt;1,"",SUMIFS($M:$M,$C:$C,$C464,$D:$D,$D464,$E:$E,"기준(후)"))</f>
        <v/>
      </c>
      <c r="S464" s="31">
        <f>IF(N464&lt;&gt;"OK","",P464+(R464-P464)*(I464-O464)/(Q464-O464))</f>
        <v/>
      </c>
      <c r="T464" s="31">
        <f>IF(OR(N464&lt;&gt;"OK",NOT(ISNUMBER(M464))),"",M464-S464)</f>
        <v/>
      </c>
      <c r="U464" s="49">
        <f>IF(OR($E463&lt;&gt;"측정",$C463&lt;&gt;$C464,$D463&lt;&gt;$D464,NOT(ISNUMBER(M464)),NOT(ISNUMBER(M463)),(IF(ISNUMBER(G464),G464,F464)-IF(ISNUMBER(G463),G463,F463))=0),"",(M464-M463)/((IF(ISNUMBER(G464),G464,F464)-IF(ISNUMBER(G463),G463,F463))/100))</f>
        <v/>
      </c>
      <c r="V464" s="29" t="n"/>
      <c r="W464" s="29" t="n"/>
      <c r="X464" s="32" t="n"/>
    </row>
    <row r="465">
      <c r="A465" s="26" t="inlineStr">
        <is>
          <t>S39</t>
        </is>
      </c>
      <c r="B465" s="26" t="inlineStr">
        <is>
          <t>언양</t>
        </is>
      </c>
      <c r="C465" s="26" t="inlineStr">
        <is>
          <t>S39-V</t>
        </is>
      </c>
      <c r="D465" s="47" t="n">
        <v>1</v>
      </c>
      <c r="E465" s="26" t="inlineStr">
        <is>
          <t>측정</t>
        </is>
      </c>
      <c r="F465" s="47" t="n">
        <v>60</v>
      </c>
      <c r="G465" s="41" t="n"/>
      <c r="H465" s="29" t="n"/>
      <c r="I465" s="43" t="n"/>
      <c r="J465" s="41" t="n"/>
      <c r="K465" s="41" t="n"/>
      <c r="L465" s="41" t="n"/>
      <c r="M465" s="31">
        <f>IF(COUNT(J465:L465)=0,"",MEDIAN(J465:L465))</f>
        <v/>
      </c>
      <c r="N465" s="26">
        <f>IF(COUNTIFS($C:$C,$C465,$D:$D,$D465,$E:$E,"기준(전)",$M:$M,"&gt;0")&lt;&gt;1,"기준(전) 유효 1개 아님",IF(COUNTIFS($C:$C,$C465,$D:$D,$D465,$E:$E,"기준(후)",$M:$M,"&gt;0")&lt;&gt;1,"기준(후) 유효 1개 아님",IF(NOT(AND(ISNUMBER(O465),ISNUMBER(Q465),ISNUMBER(I465))),"시각 결측",IF(Q465&lt;=O465,"기준 시각 역전",IF(OR(I465&lt;O465,I465&gt;Q465),"측정시각 구간 밖","OK")))))</f>
        <v/>
      </c>
      <c r="O465" s="48">
        <f>IF(COUNTIFS($C:$C,$C465,$D:$D,$D465,$E:$E,"기준(전)",$M:$M,"&gt;0")&lt;&gt;1,"",SUMIFS($I:$I,$C:$C,$C465,$D:$D,$D465,$E:$E,"기준(전)"))</f>
        <v/>
      </c>
      <c r="P465" s="31">
        <f>IF(COUNTIFS($C:$C,$C465,$D:$D,$D465,$E:$E,"기준(전)",$M:$M,"&gt;0")&lt;&gt;1,"",SUMIFS($M:$M,$C:$C,$C465,$D:$D,$D465,$E:$E,"기준(전)"))</f>
        <v/>
      </c>
      <c r="Q465" s="48">
        <f>IF(COUNTIFS($C:$C,$C465,$D:$D,$D465,$E:$E,"기준(후)",$M:$M,"&gt;0")&lt;&gt;1,"",SUMIFS($I:$I,$C:$C,$C465,$D:$D,$D465,$E:$E,"기준(후)"))</f>
        <v/>
      </c>
      <c r="R465" s="31">
        <f>IF(COUNTIFS($C:$C,$C465,$D:$D,$D465,$E:$E,"기준(후)",$M:$M,"&gt;0")&lt;&gt;1,"",SUMIFS($M:$M,$C:$C,$C465,$D:$D,$D465,$E:$E,"기준(후)"))</f>
        <v/>
      </c>
      <c r="S465" s="31">
        <f>IF(N465&lt;&gt;"OK","",P465+(R465-P465)*(I465-O465)/(Q465-O465))</f>
        <v/>
      </c>
      <c r="T465" s="31">
        <f>IF(OR(N465&lt;&gt;"OK",NOT(ISNUMBER(M465))),"",M465-S465)</f>
        <v/>
      </c>
      <c r="U465" s="49">
        <f>IF(OR($E464&lt;&gt;"측정",$C464&lt;&gt;$C465,$D464&lt;&gt;$D465,NOT(ISNUMBER(M465)),NOT(ISNUMBER(M464)),(IF(ISNUMBER(G465),G465,F465)-IF(ISNUMBER(G464),G464,F464))=0),"",(M465-M464)/((IF(ISNUMBER(G465),G465,F465)-IF(ISNUMBER(G464),G464,F464))/100))</f>
        <v/>
      </c>
      <c r="V465" s="29" t="n"/>
      <c r="W465" s="29" t="n"/>
      <c r="X465" s="32" t="n"/>
    </row>
    <row r="466">
      <c r="A466" s="26" t="inlineStr">
        <is>
          <t>S39</t>
        </is>
      </c>
      <c r="B466" s="26" t="inlineStr">
        <is>
          <t>언양</t>
        </is>
      </c>
      <c r="C466" s="26" t="inlineStr">
        <is>
          <t>S39-V</t>
        </is>
      </c>
      <c r="D466" s="47" t="n">
        <v>1</v>
      </c>
      <c r="E466" s="26" t="inlineStr">
        <is>
          <t>측정</t>
        </is>
      </c>
      <c r="F466" s="47" t="n">
        <v>80</v>
      </c>
      <c r="G466" s="41" t="n"/>
      <c r="H466" s="29" t="n"/>
      <c r="I466" s="43" t="n"/>
      <c r="J466" s="41" t="n"/>
      <c r="K466" s="41" t="n"/>
      <c r="L466" s="41" t="n"/>
      <c r="M466" s="31">
        <f>IF(COUNT(J466:L466)=0,"",MEDIAN(J466:L466))</f>
        <v/>
      </c>
      <c r="N466" s="26">
        <f>IF(COUNTIFS($C:$C,$C466,$D:$D,$D466,$E:$E,"기준(전)",$M:$M,"&gt;0")&lt;&gt;1,"기준(전) 유효 1개 아님",IF(COUNTIFS($C:$C,$C466,$D:$D,$D466,$E:$E,"기준(후)",$M:$M,"&gt;0")&lt;&gt;1,"기준(후) 유효 1개 아님",IF(NOT(AND(ISNUMBER(O466),ISNUMBER(Q466),ISNUMBER(I466))),"시각 결측",IF(Q466&lt;=O466,"기준 시각 역전",IF(OR(I466&lt;O466,I466&gt;Q466),"측정시각 구간 밖","OK")))))</f>
        <v/>
      </c>
      <c r="O466" s="48">
        <f>IF(COUNTIFS($C:$C,$C466,$D:$D,$D466,$E:$E,"기준(전)",$M:$M,"&gt;0")&lt;&gt;1,"",SUMIFS($I:$I,$C:$C,$C466,$D:$D,$D466,$E:$E,"기준(전)"))</f>
        <v/>
      </c>
      <c r="P466" s="31">
        <f>IF(COUNTIFS($C:$C,$C466,$D:$D,$D466,$E:$E,"기준(전)",$M:$M,"&gt;0")&lt;&gt;1,"",SUMIFS($M:$M,$C:$C,$C466,$D:$D,$D466,$E:$E,"기준(전)"))</f>
        <v/>
      </c>
      <c r="Q466" s="48">
        <f>IF(COUNTIFS($C:$C,$C466,$D:$D,$D466,$E:$E,"기준(후)",$M:$M,"&gt;0")&lt;&gt;1,"",SUMIFS($I:$I,$C:$C,$C466,$D:$D,$D466,$E:$E,"기준(후)"))</f>
        <v/>
      </c>
      <c r="R466" s="31">
        <f>IF(COUNTIFS($C:$C,$C466,$D:$D,$D466,$E:$E,"기준(후)",$M:$M,"&gt;0")&lt;&gt;1,"",SUMIFS($M:$M,$C:$C,$C466,$D:$D,$D466,$E:$E,"기준(후)"))</f>
        <v/>
      </c>
      <c r="S466" s="31">
        <f>IF(N466&lt;&gt;"OK","",P466+(R466-P466)*(I466-O466)/(Q466-O466))</f>
        <v/>
      </c>
      <c r="T466" s="31">
        <f>IF(OR(N466&lt;&gt;"OK",NOT(ISNUMBER(M466))),"",M466-S466)</f>
        <v/>
      </c>
      <c r="U466" s="49">
        <f>IF(OR($E465&lt;&gt;"측정",$C465&lt;&gt;$C466,$D465&lt;&gt;$D466,NOT(ISNUMBER(M466)),NOT(ISNUMBER(M465)),(IF(ISNUMBER(G466),G466,F466)-IF(ISNUMBER(G465),G465,F465))=0),"",(M466-M465)/((IF(ISNUMBER(G466),G466,F466)-IF(ISNUMBER(G465),G465,F465))/100))</f>
        <v/>
      </c>
      <c r="V466" s="29" t="n"/>
      <c r="W466" s="29" t="n"/>
      <c r="X466" s="32" t="n"/>
    </row>
    <row r="467">
      <c r="A467" s="26" t="inlineStr">
        <is>
          <t>S39</t>
        </is>
      </c>
      <c r="B467" s="26" t="inlineStr">
        <is>
          <t>언양</t>
        </is>
      </c>
      <c r="C467" s="26" t="inlineStr">
        <is>
          <t>S39-V</t>
        </is>
      </c>
      <c r="D467" s="47" t="n">
        <v>1</v>
      </c>
      <c r="E467" s="26" t="inlineStr">
        <is>
          <t>측정</t>
        </is>
      </c>
      <c r="F467" s="47" t="n">
        <v>100</v>
      </c>
      <c r="G467" s="41" t="n"/>
      <c r="H467" s="29" t="n"/>
      <c r="I467" s="43" t="n"/>
      <c r="J467" s="41" t="n"/>
      <c r="K467" s="41" t="n"/>
      <c r="L467" s="41" t="n"/>
      <c r="M467" s="31">
        <f>IF(COUNT(J467:L467)=0,"",MEDIAN(J467:L467))</f>
        <v/>
      </c>
      <c r="N467" s="26">
        <f>IF(COUNTIFS($C:$C,$C467,$D:$D,$D467,$E:$E,"기준(전)",$M:$M,"&gt;0")&lt;&gt;1,"기준(전) 유효 1개 아님",IF(COUNTIFS($C:$C,$C467,$D:$D,$D467,$E:$E,"기준(후)",$M:$M,"&gt;0")&lt;&gt;1,"기준(후) 유효 1개 아님",IF(NOT(AND(ISNUMBER(O467),ISNUMBER(Q467),ISNUMBER(I467))),"시각 결측",IF(Q467&lt;=O467,"기준 시각 역전",IF(OR(I467&lt;O467,I467&gt;Q467),"측정시각 구간 밖","OK")))))</f>
        <v/>
      </c>
      <c r="O467" s="48">
        <f>IF(COUNTIFS($C:$C,$C467,$D:$D,$D467,$E:$E,"기준(전)",$M:$M,"&gt;0")&lt;&gt;1,"",SUMIFS($I:$I,$C:$C,$C467,$D:$D,$D467,$E:$E,"기준(전)"))</f>
        <v/>
      </c>
      <c r="P467" s="31">
        <f>IF(COUNTIFS($C:$C,$C467,$D:$D,$D467,$E:$E,"기준(전)",$M:$M,"&gt;0")&lt;&gt;1,"",SUMIFS($M:$M,$C:$C,$C467,$D:$D,$D467,$E:$E,"기준(전)"))</f>
        <v/>
      </c>
      <c r="Q467" s="48">
        <f>IF(COUNTIFS($C:$C,$C467,$D:$D,$D467,$E:$E,"기준(후)",$M:$M,"&gt;0")&lt;&gt;1,"",SUMIFS($I:$I,$C:$C,$C467,$D:$D,$D467,$E:$E,"기준(후)"))</f>
        <v/>
      </c>
      <c r="R467" s="31">
        <f>IF(COUNTIFS($C:$C,$C467,$D:$D,$D467,$E:$E,"기준(후)",$M:$M,"&gt;0")&lt;&gt;1,"",SUMIFS($M:$M,$C:$C,$C467,$D:$D,$D467,$E:$E,"기준(후)"))</f>
        <v/>
      </c>
      <c r="S467" s="31">
        <f>IF(N467&lt;&gt;"OK","",P467+(R467-P467)*(I467-O467)/(Q467-O467))</f>
        <v/>
      </c>
      <c r="T467" s="31">
        <f>IF(OR(N467&lt;&gt;"OK",NOT(ISNUMBER(M467))),"",M467-S467)</f>
        <v/>
      </c>
      <c r="U467" s="49">
        <f>IF(OR($E466&lt;&gt;"측정",$C466&lt;&gt;$C467,$D466&lt;&gt;$D467,NOT(ISNUMBER(M467)),NOT(ISNUMBER(M466)),(IF(ISNUMBER(G467),G467,F467)-IF(ISNUMBER(G466),G466,F466))=0),"",(M467-M466)/((IF(ISNUMBER(G467),G467,F467)-IF(ISNUMBER(G466),G466,F466))/100))</f>
        <v/>
      </c>
      <c r="V467" s="29" t="n"/>
      <c r="W467" s="29" t="n"/>
      <c r="X467" s="32" t="n"/>
    </row>
    <row r="468">
      <c r="A468" s="26" t="inlineStr">
        <is>
          <t>S39</t>
        </is>
      </c>
      <c r="B468" s="26" t="inlineStr">
        <is>
          <t>언양</t>
        </is>
      </c>
      <c r="C468" s="26" t="inlineStr">
        <is>
          <t>S39-V</t>
        </is>
      </c>
      <c r="D468" s="47" t="n">
        <v>1</v>
      </c>
      <c r="E468" s="26" t="inlineStr">
        <is>
          <t>측정</t>
        </is>
      </c>
      <c r="F468" s="47" t="n">
        <v>120</v>
      </c>
      <c r="G468" s="41" t="n"/>
      <c r="H468" s="29" t="n"/>
      <c r="I468" s="43" t="n"/>
      <c r="J468" s="41" t="n"/>
      <c r="K468" s="41" t="n"/>
      <c r="L468" s="41" t="n"/>
      <c r="M468" s="31">
        <f>IF(COUNT(J468:L468)=0,"",MEDIAN(J468:L468))</f>
        <v/>
      </c>
      <c r="N468" s="26">
        <f>IF(COUNTIFS($C:$C,$C468,$D:$D,$D468,$E:$E,"기준(전)",$M:$M,"&gt;0")&lt;&gt;1,"기준(전) 유효 1개 아님",IF(COUNTIFS($C:$C,$C468,$D:$D,$D468,$E:$E,"기준(후)",$M:$M,"&gt;0")&lt;&gt;1,"기준(후) 유효 1개 아님",IF(NOT(AND(ISNUMBER(O468),ISNUMBER(Q468),ISNUMBER(I468))),"시각 결측",IF(Q468&lt;=O468,"기준 시각 역전",IF(OR(I468&lt;O468,I468&gt;Q468),"측정시각 구간 밖","OK")))))</f>
        <v/>
      </c>
      <c r="O468" s="48">
        <f>IF(COUNTIFS($C:$C,$C468,$D:$D,$D468,$E:$E,"기준(전)",$M:$M,"&gt;0")&lt;&gt;1,"",SUMIFS($I:$I,$C:$C,$C468,$D:$D,$D468,$E:$E,"기준(전)"))</f>
        <v/>
      </c>
      <c r="P468" s="31">
        <f>IF(COUNTIFS($C:$C,$C468,$D:$D,$D468,$E:$E,"기준(전)",$M:$M,"&gt;0")&lt;&gt;1,"",SUMIFS($M:$M,$C:$C,$C468,$D:$D,$D468,$E:$E,"기준(전)"))</f>
        <v/>
      </c>
      <c r="Q468" s="48">
        <f>IF(COUNTIFS($C:$C,$C468,$D:$D,$D468,$E:$E,"기준(후)",$M:$M,"&gt;0")&lt;&gt;1,"",SUMIFS($I:$I,$C:$C,$C468,$D:$D,$D468,$E:$E,"기준(후)"))</f>
        <v/>
      </c>
      <c r="R468" s="31">
        <f>IF(COUNTIFS($C:$C,$C468,$D:$D,$D468,$E:$E,"기준(후)",$M:$M,"&gt;0")&lt;&gt;1,"",SUMIFS($M:$M,$C:$C,$C468,$D:$D,$D468,$E:$E,"기준(후)"))</f>
        <v/>
      </c>
      <c r="S468" s="31">
        <f>IF(N468&lt;&gt;"OK","",P468+(R468-P468)*(I468-O468)/(Q468-O468))</f>
        <v/>
      </c>
      <c r="T468" s="31">
        <f>IF(OR(N468&lt;&gt;"OK",NOT(ISNUMBER(M468))),"",M468-S468)</f>
        <v/>
      </c>
      <c r="U468" s="49">
        <f>IF(OR($E467&lt;&gt;"측정",$C467&lt;&gt;$C468,$D467&lt;&gt;$D468,NOT(ISNUMBER(M468)),NOT(ISNUMBER(M467)),(IF(ISNUMBER(G468),G468,F468)-IF(ISNUMBER(G467),G467,F467))=0),"",(M468-M467)/((IF(ISNUMBER(G468),G468,F468)-IF(ISNUMBER(G467),G467,F467))/100))</f>
        <v/>
      </c>
      <c r="V468" s="29" t="n"/>
      <c r="W468" s="29" t="n"/>
      <c r="X468" s="32" t="n"/>
    </row>
    <row r="469">
      <c r="A469" s="26" t="inlineStr">
        <is>
          <t>S39</t>
        </is>
      </c>
      <c r="B469" s="26" t="inlineStr">
        <is>
          <t>언양</t>
        </is>
      </c>
      <c r="C469" s="26" t="inlineStr">
        <is>
          <t>S39-V</t>
        </is>
      </c>
      <c r="D469" s="47" t="n">
        <v>1</v>
      </c>
      <c r="E469" s="26" t="inlineStr">
        <is>
          <t>측정</t>
        </is>
      </c>
      <c r="F469" s="47" t="n">
        <v>140</v>
      </c>
      <c r="G469" s="41" t="n"/>
      <c r="H469" s="29" t="n"/>
      <c r="I469" s="43" t="n"/>
      <c r="J469" s="41" t="n"/>
      <c r="K469" s="41" t="n"/>
      <c r="L469" s="41" t="n"/>
      <c r="M469" s="31">
        <f>IF(COUNT(J469:L469)=0,"",MEDIAN(J469:L469))</f>
        <v/>
      </c>
      <c r="N469" s="26">
        <f>IF(COUNTIFS($C:$C,$C469,$D:$D,$D469,$E:$E,"기준(전)",$M:$M,"&gt;0")&lt;&gt;1,"기준(전) 유효 1개 아님",IF(COUNTIFS($C:$C,$C469,$D:$D,$D469,$E:$E,"기준(후)",$M:$M,"&gt;0")&lt;&gt;1,"기준(후) 유효 1개 아님",IF(NOT(AND(ISNUMBER(O469),ISNUMBER(Q469),ISNUMBER(I469))),"시각 결측",IF(Q469&lt;=O469,"기준 시각 역전",IF(OR(I469&lt;O469,I469&gt;Q469),"측정시각 구간 밖","OK")))))</f>
        <v/>
      </c>
      <c r="O469" s="48">
        <f>IF(COUNTIFS($C:$C,$C469,$D:$D,$D469,$E:$E,"기준(전)",$M:$M,"&gt;0")&lt;&gt;1,"",SUMIFS($I:$I,$C:$C,$C469,$D:$D,$D469,$E:$E,"기준(전)"))</f>
        <v/>
      </c>
      <c r="P469" s="31">
        <f>IF(COUNTIFS($C:$C,$C469,$D:$D,$D469,$E:$E,"기준(전)",$M:$M,"&gt;0")&lt;&gt;1,"",SUMIFS($M:$M,$C:$C,$C469,$D:$D,$D469,$E:$E,"기준(전)"))</f>
        <v/>
      </c>
      <c r="Q469" s="48">
        <f>IF(COUNTIFS($C:$C,$C469,$D:$D,$D469,$E:$E,"기준(후)",$M:$M,"&gt;0")&lt;&gt;1,"",SUMIFS($I:$I,$C:$C,$C469,$D:$D,$D469,$E:$E,"기준(후)"))</f>
        <v/>
      </c>
      <c r="R469" s="31">
        <f>IF(COUNTIFS($C:$C,$C469,$D:$D,$D469,$E:$E,"기준(후)",$M:$M,"&gt;0")&lt;&gt;1,"",SUMIFS($M:$M,$C:$C,$C469,$D:$D,$D469,$E:$E,"기준(후)"))</f>
        <v/>
      </c>
      <c r="S469" s="31">
        <f>IF(N469&lt;&gt;"OK","",P469+(R469-P469)*(I469-O469)/(Q469-O469))</f>
        <v/>
      </c>
      <c r="T469" s="31">
        <f>IF(OR(N469&lt;&gt;"OK",NOT(ISNUMBER(M469))),"",M469-S469)</f>
        <v/>
      </c>
      <c r="U469" s="49">
        <f>IF(OR($E468&lt;&gt;"측정",$C468&lt;&gt;$C469,$D468&lt;&gt;$D469,NOT(ISNUMBER(M469)),NOT(ISNUMBER(M468)),(IF(ISNUMBER(G469),G469,F469)-IF(ISNUMBER(G468),G468,F468))=0),"",(M469-M468)/((IF(ISNUMBER(G469),G469,F469)-IF(ISNUMBER(G468),G468,F468))/100))</f>
        <v/>
      </c>
      <c r="V469" s="29" t="n"/>
      <c r="W469" s="29" t="n"/>
      <c r="X469" s="32" t="n"/>
    </row>
    <row r="470">
      <c r="A470" s="26" t="inlineStr">
        <is>
          <t>S39</t>
        </is>
      </c>
      <c r="B470" s="26" t="inlineStr">
        <is>
          <t>언양</t>
        </is>
      </c>
      <c r="C470" s="26" t="inlineStr">
        <is>
          <t>S39-V</t>
        </is>
      </c>
      <c r="D470" s="47" t="n">
        <v>1</v>
      </c>
      <c r="E470" s="26" t="inlineStr">
        <is>
          <t>측정</t>
        </is>
      </c>
      <c r="F470" s="47" t="n">
        <v>160</v>
      </c>
      <c r="G470" s="41" t="n"/>
      <c r="H470" s="29" t="n"/>
      <c r="I470" s="43" t="n"/>
      <c r="J470" s="41" t="n"/>
      <c r="K470" s="41" t="n"/>
      <c r="L470" s="41" t="n"/>
      <c r="M470" s="31">
        <f>IF(COUNT(J470:L470)=0,"",MEDIAN(J470:L470))</f>
        <v/>
      </c>
      <c r="N470" s="26">
        <f>IF(COUNTIFS($C:$C,$C470,$D:$D,$D470,$E:$E,"기준(전)",$M:$M,"&gt;0")&lt;&gt;1,"기준(전) 유효 1개 아님",IF(COUNTIFS($C:$C,$C470,$D:$D,$D470,$E:$E,"기준(후)",$M:$M,"&gt;0")&lt;&gt;1,"기준(후) 유효 1개 아님",IF(NOT(AND(ISNUMBER(O470),ISNUMBER(Q470),ISNUMBER(I470))),"시각 결측",IF(Q470&lt;=O470,"기준 시각 역전",IF(OR(I470&lt;O470,I470&gt;Q470),"측정시각 구간 밖","OK")))))</f>
        <v/>
      </c>
      <c r="O470" s="48">
        <f>IF(COUNTIFS($C:$C,$C470,$D:$D,$D470,$E:$E,"기준(전)",$M:$M,"&gt;0")&lt;&gt;1,"",SUMIFS($I:$I,$C:$C,$C470,$D:$D,$D470,$E:$E,"기준(전)"))</f>
        <v/>
      </c>
      <c r="P470" s="31">
        <f>IF(COUNTIFS($C:$C,$C470,$D:$D,$D470,$E:$E,"기준(전)",$M:$M,"&gt;0")&lt;&gt;1,"",SUMIFS($M:$M,$C:$C,$C470,$D:$D,$D470,$E:$E,"기준(전)"))</f>
        <v/>
      </c>
      <c r="Q470" s="48">
        <f>IF(COUNTIFS($C:$C,$C470,$D:$D,$D470,$E:$E,"기준(후)",$M:$M,"&gt;0")&lt;&gt;1,"",SUMIFS($I:$I,$C:$C,$C470,$D:$D,$D470,$E:$E,"기준(후)"))</f>
        <v/>
      </c>
      <c r="R470" s="31">
        <f>IF(COUNTIFS($C:$C,$C470,$D:$D,$D470,$E:$E,"기준(후)",$M:$M,"&gt;0")&lt;&gt;1,"",SUMIFS($M:$M,$C:$C,$C470,$D:$D,$D470,$E:$E,"기준(후)"))</f>
        <v/>
      </c>
      <c r="S470" s="31">
        <f>IF(N470&lt;&gt;"OK","",P470+(R470-P470)*(I470-O470)/(Q470-O470))</f>
        <v/>
      </c>
      <c r="T470" s="31">
        <f>IF(OR(N470&lt;&gt;"OK",NOT(ISNUMBER(M470))),"",M470-S470)</f>
        <v/>
      </c>
      <c r="U470" s="49">
        <f>IF(OR($E469&lt;&gt;"측정",$C469&lt;&gt;$C470,$D469&lt;&gt;$D470,NOT(ISNUMBER(M470)),NOT(ISNUMBER(M469)),(IF(ISNUMBER(G470),G470,F470)-IF(ISNUMBER(G469),G469,F469))=0),"",(M470-M469)/((IF(ISNUMBER(G470),G470,F470)-IF(ISNUMBER(G469),G469,F469))/100))</f>
        <v/>
      </c>
      <c r="V470" s="29" t="n"/>
      <c r="W470" s="29" t="n"/>
      <c r="X470" s="32" t="n"/>
    </row>
    <row r="471">
      <c r="A471" s="26" t="inlineStr">
        <is>
          <t>S39</t>
        </is>
      </c>
      <c r="B471" s="26" t="inlineStr">
        <is>
          <t>언양</t>
        </is>
      </c>
      <c r="C471" s="26" t="inlineStr">
        <is>
          <t>S39-V</t>
        </is>
      </c>
      <c r="D471" s="47" t="n">
        <v>1</v>
      </c>
      <c r="E471" s="26" t="inlineStr">
        <is>
          <t>측정</t>
        </is>
      </c>
      <c r="F471" s="47" t="n">
        <v>180</v>
      </c>
      <c r="G471" s="41" t="n"/>
      <c r="H471" s="29" t="n"/>
      <c r="I471" s="43" t="n"/>
      <c r="J471" s="41" t="n"/>
      <c r="K471" s="41" t="n"/>
      <c r="L471" s="41" t="n"/>
      <c r="M471" s="31">
        <f>IF(COUNT(J471:L471)=0,"",MEDIAN(J471:L471))</f>
        <v/>
      </c>
      <c r="N471" s="26">
        <f>IF(COUNTIFS($C:$C,$C471,$D:$D,$D471,$E:$E,"기준(전)",$M:$M,"&gt;0")&lt;&gt;1,"기준(전) 유효 1개 아님",IF(COUNTIFS($C:$C,$C471,$D:$D,$D471,$E:$E,"기준(후)",$M:$M,"&gt;0")&lt;&gt;1,"기준(후) 유효 1개 아님",IF(NOT(AND(ISNUMBER(O471),ISNUMBER(Q471),ISNUMBER(I471))),"시각 결측",IF(Q471&lt;=O471,"기준 시각 역전",IF(OR(I471&lt;O471,I471&gt;Q471),"측정시각 구간 밖","OK")))))</f>
        <v/>
      </c>
      <c r="O471" s="48">
        <f>IF(COUNTIFS($C:$C,$C471,$D:$D,$D471,$E:$E,"기준(전)",$M:$M,"&gt;0")&lt;&gt;1,"",SUMIFS($I:$I,$C:$C,$C471,$D:$D,$D471,$E:$E,"기준(전)"))</f>
        <v/>
      </c>
      <c r="P471" s="31">
        <f>IF(COUNTIFS($C:$C,$C471,$D:$D,$D471,$E:$E,"기준(전)",$M:$M,"&gt;0")&lt;&gt;1,"",SUMIFS($M:$M,$C:$C,$C471,$D:$D,$D471,$E:$E,"기준(전)"))</f>
        <v/>
      </c>
      <c r="Q471" s="48">
        <f>IF(COUNTIFS($C:$C,$C471,$D:$D,$D471,$E:$E,"기준(후)",$M:$M,"&gt;0")&lt;&gt;1,"",SUMIFS($I:$I,$C:$C,$C471,$D:$D,$D471,$E:$E,"기준(후)"))</f>
        <v/>
      </c>
      <c r="R471" s="31">
        <f>IF(COUNTIFS($C:$C,$C471,$D:$D,$D471,$E:$E,"기준(후)",$M:$M,"&gt;0")&lt;&gt;1,"",SUMIFS($M:$M,$C:$C,$C471,$D:$D,$D471,$E:$E,"기준(후)"))</f>
        <v/>
      </c>
      <c r="S471" s="31">
        <f>IF(N471&lt;&gt;"OK","",P471+(R471-P471)*(I471-O471)/(Q471-O471))</f>
        <v/>
      </c>
      <c r="T471" s="31">
        <f>IF(OR(N471&lt;&gt;"OK",NOT(ISNUMBER(M471))),"",M471-S471)</f>
        <v/>
      </c>
      <c r="U471" s="49">
        <f>IF(OR($E470&lt;&gt;"측정",$C470&lt;&gt;$C471,$D470&lt;&gt;$D471,NOT(ISNUMBER(M471)),NOT(ISNUMBER(M470)),(IF(ISNUMBER(G471),G471,F471)-IF(ISNUMBER(G470),G470,F470))=0),"",(M471-M470)/((IF(ISNUMBER(G471),G471,F471)-IF(ISNUMBER(G470),G470,F470))/100))</f>
        <v/>
      </c>
      <c r="V471" s="29" t="n"/>
      <c r="W471" s="29" t="n"/>
      <c r="X471" s="32" t="n"/>
    </row>
    <row r="472">
      <c r="A472" s="26" t="inlineStr">
        <is>
          <t>S39</t>
        </is>
      </c>
      <c r="B472" s="26" t="inlineStr">
        <is>
          <t>언양</t>
        </is>
      </c>
      <c r="C472" s="26" t="inlineStr">
        <is>
          <t>S39-V</t>
        </is>
      </c>
      <c r="D472" s="47" t="n">
        <v>1</v>
      </c>
      <c r="E472" s="26" t="inlineStr">
        <is>
          <t>측정</t>
        </is>
      </c>
      <c r="F472" s="47" t="n">
        <v>200</v>
      </c>
      <c r="G472" s="41" t="n"/>
      <c r="H472" s="29" t="n"/>
      <c r="I472" s="43" t="n"/>
      <c r="J472" s="41" t="n"/>
      <c r="K472" s="41" t="n"/>
      <c r="L472" s="41" t="n"/>
      <c r="M472" s="31">
        <f>IF(COUNT(J472:L472)=0,"",MEDIAN(J472:L472))</f>
        <v/>
      </c>
      <c r="N472" s="26">
        <f>IF(COUNTIFS($C:$C,$C472,$D:$D,$D472,$E:$E,"기준(전)",$M:$M,"&gt;0")&lt;&gt;1,"기준(전) 유효 1개 아님",IF(COUNTIFS($C:$C,$C472,$D:$D,$D472,$E:$E,"기준(후)",$M:$M,"&gt;0")&lt;&gt;1,"기준(후) 유효 1개 아님",IF(NOT(AND(ISNUMBER(O472),ISNUMBER(Q472),ISNUMBER(I472))),"시각 결측",IF(Q472&lt;=O472,"기준 시각 역전",IF(OR(I472&lt;O472,I472&gt;Q472),"측정시각 구간 밖","OK")))))</f>
        <v/>
      </c>
      <c r="O472" s="48">
        <f>IF(COUNTIFS($C:$C,$C472,$D:$D,$D472,$E:$E,"기준(전)",$M:$M,"&gt;0")&lt;&gt;1,"",SUMIFS($I:$I,$C:$C,$C472,$D:$D,$D472,$E:$E,"기준(전)"))</f>
        <v/>
      </c>
      <c r="P472" s="31">
        <f>IF(COUNTIFS($C:$C,$C472,$D:$D,$D472,$E:$E,"기준(전)",$M:$M,"&gt;0")&lt;&gt;1,"",SUMIFS($M:$M,$C:$C,$C472,$D:$D,$D472,$E:$E,"기준(전)"))</f>
        <v/>
      </c>
      <c r="Q472" s="48">
        <f>IF(COUNTIFS($C:$C,$C472,$D:$D,$D472,$E:$E,"기준(후)",$M:$M,"&gt;0")&lt;&gt;1,"",SUMIFS($I:$I,$C:$C,$C472,$D:$D,$D472,$E:$E,"기준(후)"))</f>
        <v/>
      </c>
      <c r="R472" s="31">
        <f>IF(COUNTIFS($C:$C,$C472,$D:$D,$D472,$E:$E,"기준(후)",$M:$M,"&gt;0")&lt;&gt;1,"",SUMIFS($M:$M,$C:$C,$C472,$D:$D,$D472,$E:$E,"기준(후)"))</f>
        <v/>
      </c>
      <c r="S472" s="31">
        <f>IF(N472&lt;&gt;"OK","",P472+(R472-P472)*(I472-O472)/(Q472-O472))</f>
        <v/>
      </c>
      <c r="T472" s="31">
        <f>IF(OR(N472&lt;&gt;"OK",NOT(ISNUMBER(M472))),"",M472-S472)</f>
        <v/>
      </c>
      <c r="U472" s="49">
        <f>IF(OR($E471&lt;&gt;"측정",$C471&lt;&gt;$C472,$D471&lt;&gt;$D472,NOT(ISNUMBER(M472)),NOT(ISNUMBER(M471)),(IF(ISNUMBER(G472),G472,F472)-IF(ISNUMBER(G471),G471,F471))=0),"",(M472-M471)/((IF(ISNUMBER(G472),G472,F472)-IF(ISNUMBER(G471),G471,F471))/100))</f>
        <v/>
      </c>
      <c r="V472" s="29" t="n"/>
      <c r="W472" s="29" t="n"/>
      <c r="X472" s="32" t="n"/>
    </row>
    <row r="473">
      <c r="A473" s="44" t="inlineStr">
        <is>
          <t>S39</t>
        </is>
      </c>
      <c r="B473" s="44" t="inlineStr">
        <is>
          <t>언양</t>
        </is>
      </c>
      <c r="C473" s="44" t="inlineStr">
        <is>
          <t>S39-V</t>
        </is>
      </c>
      <c r="D473" s="45" t="n">
        <v>1</v>
      </c>
      <c r="E473" s="44" t="inlineStr">
        <is>
          <t>기준(후)</t>
        </is>
      </c>
      <c r="F473" s="45" t="n"/>
      <c r="G473" s="41" t="n"/>
      <c r="H473" s="29" t="n"/>
      <c r="I473" s="43" t="n"/>
      <c r="J473" s="41" t="n"/>
      <c r="K473" s="41" t="n"/>
      <c r="L473" s="41" t="n"/>
      <c r="M473" s="31">
        <f>IF(COUNT(J473:L473)=0,"",MEDIAN(J473:L473))</f>
        <v/>
      </c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29" t="n"/>
      <c r="W473" s="29" t="n"/>
      <c r="X473" s="32" t="n"/>
    </row>
    <row r="474">
      <c r="A474" s="44" t="inlineStr">
        <is>
          <t>S40</t>
        </is>
      </c>
      <c r="B474" s="44" t="inlineStr">
        <is>
          <t>남지</t>
        </is>
      </c>
      <c r="C474" s="44" t="inlineStr">
        <is>
          <t>S40-V</t>
        </is>
      </c>
      <c r="D474" s="45" t="n">
        <v>1</v>
      </c>
      <c r="E474" s="44" t="inlineStr">
        <is>
          <t>기준(전)</t>
        </is>
      </c>
      <c r="F474" s="45" t="n"/>
      <c r="G474" s="41" t="n"/>
      <c r="H474" s="29" t="n"/>
      <c r="I474" s="43" t="n"/>
      <c r="J474" s="41" t="n"/>
      <c r="K474" s="41" t="n"/>
      <c r="L474" s="41" t="n"/>
      <c r="M474" s="31">
        <f>IF(COUNT(J474:L474)=0,"",MEDIAN(J474:L474))</f>
        <v/>
      </c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29" t="n"/>
      <c r="W474" s="29" t="n"/>
      <c r="X474" s="32" t="n"/>
    </row>
    <row r="475">
      <c r="A475" s="26" t="inlineStr">
        <is>
          <t>S40</t>
        </is>
      </c>
      <c r="B475" s="26" t="inlineStr">
        <is>
          <t>남지</t>
        </is>
      </c>
      <c r="C475" s="26" t="inlineStr">
        <is>
          <t>S40-V</t>
        </is>
      </c>
      <c r="D475" s="47" t="n">
        <v>1</v>
      </c>
      <c r="E475" s="26" t="inlineStr">
        <is>
          <t>측정</t>
        </is>
      </c>
      <c r="F475" s="47" t="n">
        <v>20</v>
      </c>
      <c r="G475" s="41" t="n"/>
      <c r="H475" s="29" t="n"/>
      <c r="I475" s="43" t="n"/>
      <c r="J475" s="41" t="n"/>
      <c r="K475" s="41" t="n"/>
      <c r="L475" s="41" t="n"/>
      <c r="M475" s="31">
        <f>IF(COUNT(J475:L475)=0,"",MEDIAN(J475:L475))</f>
        <v/>
      </c>
      <c r="N475" s="26">
        <f>IF(COUNTIFS($C:$C,$C475,$D:$D,$D475,$E:$E,"기준(전)",$M:$M,"&gt;0")&lt;&gt;1,"기준(전) 유효 1개 아님",IF(COUNTIFS($C:$C,$C475,$D:$D,$D475,$E:$E,"기준(후)",$M:$M,"&gt;0")&lt;&gt;1,"기준(후) 유효 1개 아님",IF(NOT(AND(ISNUMBER(O475),ISNUMBER(Q475),ISNUMBER(I475))),"시각 결측",IF(Q475&lt;=O475,"기준 시각 역전",IF(OR(I475&lt;O475,I475&gt;Q475),"측정시각 구간 밖","OK")))))</f>
        <v/>
      </c>
      <c r="O475" s="48">
        <f>IF(COUNTIFS($C:$C,$C475,$D:$D,$D475,$E:$E,"기준(전)",$M:$M,"&gt;0")&lt;&gt;1,"",SUMIFS($I:$I,$C:$C,$C475,$D:$D,$D475,$E:$E,"기준(전)"))</f>
        <v/>
      </c>
      <c r="P475" s="31">
        <f>IF(COUNTIFS($C:$C,$C475,$D:$D,$D475,$E:$E,"기준(전)",$M:$M,"&gt;0")&lt;&gt;1,"",SUMIFS($M:$M,$C:$C,$C475,$D:$D,$D475,$E:$E,"기준(전)"))</f>
        <v/>
      </c>
      <c r="Q475" s="48">
        <f>IF(COUNTIFS($C:$C,$C475,$D:$D,$D475,$E:$E,"기준(후)",$M:$M,"&gt;0")&lt;&gt;1,"",SUMIFS($I:$I,$C:$C,$C475,$D:$D,$D475,$E:$E,"기준(후)"))</f>
        <v/>
      </c>
      <c r="R475" s="31">
        <f>IF(COUNTIFS($C:$C,$C475,$D:$D,$D475,$E:$E,"기준(후)",$M:$M,"&gt;0")&lt;&gt;1,"",SUMIFS($M:$M,$C:$C,$C475,$D:$D,$D475,$E:$E,"기준(후)"))</f>
        <v/>
      </c>
      <c r="S475" s="31">
        <f>IF(N475&lt;&gt;"OK","",P475+(R475-P475)*(I475-O475)/(Q475-O475))</f>
        <v/>
      </c>
      <c r="T475" s="31">
        <f>IF(OR(N475&lt;&gt;"OK",NOT(ISNUMBER(M475))),"",M475-S475)</f>
        <v/>
      </c>
      <c r="U475" s="49">
        <f>IF(OR($E474&lt;&gt;"측정",$C474&lt;&gt;$C475,$D474&lt;&gt;$D475,NOT(ISNUMBER(M475)),NOT(ISNUMBER(M474)),(IF(ISNUMBER(G475),G475,F475)-IF(ISNUMBER(G474),G474,F474))=0),"",(M475-M474)/((IF(ISNUMBER(G475),G475,F475)-IF(ISNUMBER(G474),G474,F474))/100))</f>
        <v/>
      </c>
      <c r="V475" s="29" t="n"/>
      <c r="W475" s="29" t="n"/>
      <c r="X475" s="32" t="n"/>
    </row>
    <row r="476">
      <c r="A476" s="26" t="inlineStr">
        <is>
          <t>S40</t>
        </is>
      </c>
      <c r="B476" s="26" t="inlineStr">
        <is>
          <t>남지</t>
        </is>
      </c>
      <c r="C476" s="26" t="inlineStr">
        <is>
          <t>S40-V</t>
        </is>
      </c>
      <c r="D476" s="47" t="n">
        <v>1</v>
      </c>
      <c r="E476" s="26" t="inlineStr">
        <is>
          <t>측정</t>
        </is>
      </c>
      <c r="F476" s="47" t="n">
        <v>40</v>
      </c>
      <c r="G476" s="41" t="n"/>
      <c r="H476" s="29" t="n"/>
      <c r="I476" s="43" t="n"/>
      <c r="J476" s="41" t="n"/>
      <c r="K476" s="41" t="n"/>
      <c r="L476" s="41" t="n"/>
      <c r="M476" s="31">
        <f>IF(COUNT(J476:L476)=0,"",MEDIAN(J476:L476))</f>
        <v/>
      </c>
      <c r="N476" s="26">
        <f>IF(COUNTIFS($C:$C,$C476,$D:$D,$D476,$E:$E,"기준(전)",$M:$M,"&gt;0")&lt;&gt;1,"기준(전) 유효 1개 아님",IF(COUNTIFS($C:$C,$C476,$D:$D,$D476,$E:$E,"기준(후)",$M:$M,"&gt;0")&lt;&gt;1,"기준(후) 유효 1개 아님",IF(NOT(AND(ISNUMBER(O476),ISNUMBER(Q476),ISNUMBER(I476))),"시각 결측",IF(Q476&lt;=O476,"기준 시각 역전",IF(OR(I476&lt;O476,I476&gt;Q476),"측정시각 구간 밖","OK")))))</f>
        <v/>
      </c>
      <c r="O476" s="48">
        <f>IF(COUNTIFS($C:$C,$C476,$D:$D,$D476,$E:$E,"기준(전)",$M:$M,"&gt;0")&lt;&gt;1,"",SUMIFS($I:$I,$C:$C,$C476,$D:$D,$D476,$E:$E,"기준(전)"))</f>
        <v/>
      </c>
      <c r="P476" s="31">
        <f>IF(COUNTIFS($C:$C,$C476,$D:$D,$D476,$E:$E,"기준(전)",$M:$M,"&gt;0")&lt;&gt;1,"",SUMIFS($M:$M,$C:$C,$C476,$D:$D,$D476,$E:$E,"기준(전)"))</f>
        <v/>
      </c>
      <c r="Q476" s="48">
        <f>IF(COUNTIFS($C:$C,$C476,$D:$D,$D476,$E:$E,"기준(후)",$M:$M,"&gt;0")&lt;&gt;1,"",SUMIFS($I:$I,$C:$C,$C476,$D:$D,$D476,$E:$E,"기준(후)"))</f>
        <v/>
      </c>
      <c r="R476" s="31">
        <f>IF(COUNTIFS($C:$C,$C476,$D:$D,$D476,$E:$E,"기준(후)",$M:$M,"&gt;0")&lt;&gt;1,"",SUMIFS($M:$M,$C:$C,$C476,$D:$D,$D476,$E:$E,"기준(후)"))</f>
        <v/>
      </c>
      <c r="S476" s="31">
        <f>IF(N476&lt;&gt;"OK","",P476+(R476-P476)*(I476-O476)/(Q476-O476))</f>
        <v/>
      </c>
      <c r="T476" s="31">
        <f>IF(OR(N476&lt;&gt;"OK",NOT(ISNUMBER(M476))),"",M476-S476)</f>
        <v/>
      </c>
      <c r="U476" s="49">
        <f>IF(OR($E475&lt;&gt;"측정",$C475&lt;&gt;$C476,$D475&lt;&gt;$D476,NOT(ISNUMBER(M476)),NOT(ISNUMBER(M475)),(IF(ISNUMBER(G476),G476,F476)-IF(ISNUMBER(G475),G475,F475))=0),"",(M476-M475)/((IF(ISNUMBER(G476),G476,F476)-IF(ISNUMBER(G475),G475,F475))/100))</f>
        <v/>
      </c>
      <c r="V476" s="29" t="n"/>
      <c r="W476" s="29" t="n"/>
      <c r="X476" s="32" t="n"/>
    </row>
    <row r="477">
      <c r="A477" s="26" t="inlineStr">
        <is>
          <t>S40</t>
        </is>
      </c>
      <c r="B477" s="26" t="inlineStr">
        <is>
          <t>남지</t>
        </is>
      </c>
      <c r="C477" s="26" t="inlineStr">
        <is>
          <t>S40-V</t>
        </is>
      </c>
      <c r="D477" s="47" t="n">
        <v>1</v>
      </c>
      <c r="E477" s="26" t="inlineStr">
        <is>
          <t>측정</t>
        </is>
      </c>
      <c r="F477" s="47" t="n">
        <v>60</v>
      </c>
      <c r="G477" s="41" t="n"/>
      <c r="H477" s="29" t="n"/>
      <c r="I477" s="43" t="n"/>
      <c r="J477" s="41" t="n"/>
      <c r="K477" s="41" t="n"/>
      <c r="L477" s="41" t="n"/>
      <c r="M477" s="31">
        <f>IF(COUNT(J477:L477)=0,"",MEDIAN(J477:L477))</f>
        <v/>
      </c>
      <c r="N477" s="26">
        <f>IF(COUNTIFS($C:$C,$C477,$D:$D,$D477,$E:$E,"기준(전)",$M:$M,"&gt;0")&lt;&gt;1,"기준(전) 유효 1개 아님",IF(COUNTIFS($C:$C,$C477,$D:$D,$D477,$E:$E,"기준(후)",$M:$M,"&gt;0")&lt;&gt;1,"기준(후) 유효 1개 아님",IF(NOT(AND(ISNUMBER(O477),ISNUMBER(Q477),ISNUMBER(I477))),"시각 결측",IF(Q477&lt;=O477,"기준 시각 역전",IF(OR(I477&lt;O477,I477&gt;Q477),"측정시각 구간 밖","OK")))))</f>
        <v/>
      </c>
      <c r="O477" s="48">
        <f>IF(COUNTIFS($C:$C,$C477,$D:$D,$D477,$E:$E,"기준(전)",$M:$M,"&gt;0")&lt;&gt;1,"",SUMIFS($I:$I,$C:$C,$C477,$D:$D,$D477,$E:$E,"기준(전)"))</f>
        <v/>
      </c>
      <c r="P477" s="31">
        <f>IF(COUNTIFS($C:$C,$C477,$D:$D,$D477,$E:$E,"기준(전)",$M:$M,"&gt;0")&lt;&gt;1,"",SUMIFS($M:$M,$C:$C,$C477,$D:$D,$D477,$E:$E,"기준(전)"))</f>
        <v/>
      </c>
      <c r="Q477" s="48">
        <f>IF(COUNTIFS($C:$C,$C477,$D:$D,$D477,$E:$E,"기준(후)",$M:$M,"&gt;0")&lt;&gt;1,"",SUMIFS($I:$I,$C:$C,$C477,$D:$D,$D477,$E:$E,"기준(후)"))</f>
        <v/>
      </c>
      <c r="R477" s="31">
        <f>IF(COUNTIFS($C:$C,$C477,$D:$D,$D477,$E:$E,"기준(후)",$M:$M,"&gt;0")&lt;&gt;1,"",SUMIFS($M:$M,$C:$C,$C477,$D:$D,$D477,$E:$E,"기준(후)"))</f>
        <v/>
      </c>
      <c r="S477" s="31">
        <f>IF(N477&lt;&gt;"OK","",P477+(R477-P477)*(I477-O477)/(Q477-O477))</f>
        <v/>
      </c>
      <c r="T477" s="31">
        <f>IF(OR(N477&lt;&gt;"OK",NOT(ISNUMBER(M477))),"",M477-S477)</f>
        <v/>
      </c>
      <c r="U477" s="49">
        <f>IF(OR($E476&lt;&gt;"측정",$C476&lt;&gt;$C477,$D476&lt;&gt;$D477,NOT(ISNUMBER(M477)),NOT(ISNUMBER(M476)),(IF(ISNUMBER(G477),G477,F477)-IF(ISNUMBER(G476),G476,F476))=0),"",(M477-M476)/((IF(ISNUMBER(G477),G477,F477)-IF(ISNUMBER(G476),G476,F476))/100))</f>
        <v/>
      </c>
      <c r="V477" s="29" t="n"/>
      <c r="W477" s="29" t="n"/>
      <c r="X477" s="32" t="n"/>
    </row>
    <row r="478">
      <c r="A478" s="26" t="inlineStr">
        <is>
          <t>S40</t>
        </is>
      </c>
      <c r="B478" s="26" t="inlineStr">
        <is>
          <t>남지</t>
        </is>
      </c>
      <c r="C478" s="26" t="inlineStr">
        <is>
          <t>S40-V</t>
        </is>
      </c>
      <c r="D478" s="47" t="n">
        <v>1</v>
      </c>
      <c r="E478" s="26" t="inlineStr">
        <is>
          <t>측정</t>
        </is>
      </c>
      <c r="F478" s="47" t="n">
        <v>80</v>
      </c>
      <c r="G478" s="41" t="n"/>
      <c r="H478" s="29" t="n"/>
      <c r="I478" s="43" t="n"/>
      <c r="J478" s="41" t="n"/>
      <c r="K478" s="41" t="n"/>
      <c r="L478" s="41" t="n"/>
      <c r="M478" s="31">
        <f>IF(COUNT(J478:L478)=0,"",MEDIAN(J478:L478))</f>
        <v/>
      </c>
      <c r="N478" s="26">
        <f>IF(COUNTIFS($C:$C,$C478,$D:$D,$D478,$E:$E,"기준(전)",$M:$M,"&gt;0")&lt;&gt;1,"기준(전) 유효 1개 아님",IF(COUNTIFS($C:$C,$C478,$D:$D,$D478,$E:$E,"기준(후)",$M:$M,"&gt;0")&lt;&gt;1,"기준(후) 유효 1개 아님",IF(NOT(AND(ISNUMBER(O478),ISNUMBER(Q478),ISNUMBER(I478))),"시각 결측",IF(Q478&lt;=O478,"기준 시각 역전",IF(OR(I478&lt;O478,I478&gt;Q478),"측정시각 구간 밖","OK")))))</f>
        <v/>
      </c>
      <c r="O478" s="48">
        <f>IF(COUNTIFS($C:$C,$C478,$D:$D,$D478,$E:$E,"기준(전)",$M:$M,"&gt;0")&lt;&gt;1,"",SUMIFS($I:$I,$C:$C,$C478,$D:$D,$D478,$E:$E,"기준(전)"))</f>
        <v/>
      </c>
      <c r="P478" s="31">
        <f>IF(COUNTIFS($C:$C,$C478,$D:$D,$D478,$E:$E,"기준(전)",$M:$M,"&gt;0")&lt;&gt;1,"",SUMIFS($M:$M,$C:$C,$C478,$D:$D,$D478,$E:$E,"기준(전)"))</f>
        <v/>
      </c>
      <c r="Q478" s="48">
        <f>IF(COUNTIFS($C:$C,$C478,$D:$D,$D478,$E:$E,"기준(후)",$M:$M,"&gt;0")&lt;&gt;1,"",SUMIFS($I:$I,$C:$C,$C478,$D:$D,$D478,$E:$E,"기준(후)"))</f>
        <v/>
      </c>
      <c r="R478" s="31">
        <f>IF(COUNTIFS($C:$C,$C478,$D:$D,$D478,$E:$E,"기준(후)",$M:$M,"&gt;0")&lt;&gt;1,"",SUMIFS($M:$M,$C:$C,$C478,$D:$D,$D478,$E:$E,"기준(후)"))</f>
        <v/>
      </c>
      <c r="S478" s="31">
        <f>IF(N478&lt;&gt;"OK","",P478+(R478-P478)*(I478-O478)/(Q478-O478))</f>
        <v/>
      </c>
      <c r="T478" s="31">
        <f>IF(OR(N478&lt;&gt;"OK",NOT(ISNUMBER(M478))),"",M478-S478)</f>
        <v/>
      </c>
      <c r="U478" s="49">
        <f>IF(OR($E477&lt;&gt;"측정",$C477&lt;&gt;$C478,$D477&lt;&gt;$D478,NOT(ISNUMBER(M478)),NOT(ISNUMBER(M477)),(IF(ISNUMBER(G478),G478,F478)-IF(ISNUMBER(G477),G477,F477))=0),"",(M478-M477)/((IF(ISNUMBER(G478),G478,F478)-IF(ISNUMBER(G477),G477,F477))/100))</f>
        <v/>
      </c>
      <c r="V478" s="29" t="n"/>
      <c r="W478" s="29" t="n"/>
      <c r="X478" s="32" t="n"/>
    </row>
    <row r="479">
      <c r="A479" s="26" t="inlineStr">
        <is>
          <t>S40</t>
        </is>
      </c>
      <c r="B479" s="26" t="inlineStr">
        <is>
          <t>남지</t>
        </is>
      </c>
      <c r="C479" s="26" t="inlineStr">
        <is>
          <t>S40-V</t>
        </is>
      </c>
      <c r="D479" s="47" t="n">
        <v>1</v>
      </c>
      <c r="E479" s="26" t="inlineStr">
        <is>
          <t>측정</t>
        </is>
      </c>
      <c r="F479" s="47" t="n">
        <v>100</v>
      </c>
      <c r="G479" s="41" t="n"/>
      <c r="H479" s="29" t="n"/>
      <c r="I479" s="43" t="n"/>
      <c r="J479" s="41" t="n"/>
      <c r="K479" s="41" t="n"/>
      <c r="L479" s="41" t="n"/>
      <c r="M479" s="31">
        <f>IF(COUNT(J479:L479)=0,"",MEDIAN(J479:L479))</f>
        <v/>
      </c>
      <c r="N479" s="26">
        <f>IF(COUNTIFS($C:$C,$C479,$D:$D,$D479,$E:$E,"기준(전)",$M:$M,"&gt;0")&lt;&gt;1,"기준(전) 유효 1개 아님",IF(COUNTIFS($C:$C,$C479,$D:$D,$D479,$E:$E,"기준(후)",$M:$M,"&gt;0")&lt;&gt;1,"기준(후) 유효 1개 아님",IF(NOT(AND(ISNUMBER(O479),ISNUMBER(Q479),ISNUMBER(I479))),"시각 결측",IF(Q479&lt;=O479,"기준 시각 역전",IF(OR(I479&lt;O479,I479&gt;Q479),"측정시각 구간 밖","OK")))))</f>
        <v/>
      </c>
      <c r="O479" s="48">
        <f>IF(COUNTIFS($C:$C,$C479,$D:$D,$D479,$E:$E,"기준(전)",$M:$M,"&gt;0")&lt;&gt;1,"",SUMIFS($I:$I,$C:$C,$C479,$D:$D,$D479,$E:$E,"기준(전)"))</f>
        <v/>
      </c>
      <c r="P479" s="31">
        <f>IF(COUNTIFS($C:$C,$C479,$D:$D,$D479,$E:$E,"기준(전)",$M:$M,"&gt;0")&lt;&gt;1,"",SUMIFS($M:$M,$C:$C,$C479,$D:$D,$D479,$E:$E,"기준(전)"))</f>
        <v/>
      </c>
      <c r="Q479" s="48">
        <f>IF(COUNTIFS($C:$C,$C479,$D:$D,$D479,$E:$E,"기준(후)",$M:$M,"&gt;0")&lt;&gt;1,"",SUMIFS($I:$I,$C:$C,$C479,$D:$D,$D479,$E:$E,"기준(후)"))</f>
        <v/>
      </c>
      <c r="R479" s="31">
        <f>IF(COUNTIFS($C:$C,$C479,$D:$D,$D479,$E:$E,"기준(후)",$M:$M,"&gt;0")&lt;&gt;1,"",SUMIFS($M:$M,$C:$C,$C479,$D:$D,$D479,$E:$E,"기준(후)"))</f>
        <v/>
      </c>
      <c r="S479" s="31">
        <f>IF(N479&lt;&gt;"OK","",P479+(R479-P479)*(I479-O479)/(Q479-O479))</f>
        <v/>
      </c>
      <c r="T479" s="31">
        <f>IF(OR(N479&lt;&gt;"OK",NOT(ISNUMBER(M479))),"",M479-S479)</f>
        <v/>
      </c>
      <c r="U479" s="49">
        <f>IF(OR($E478&lt;&gt;"측정",$C478&lt;&gt;$C479,$D478&lt;&gt;$D479,NOT(ISNUMBER(M479)),NOT(ISNUMBER(M478)),(IF(ISNUMBER(G479),G479,F479)-IF(ISNUMBER(G478),G478,F478))=0),"",(M479-M478)/((IF(ISNUMBER(G479),G479,F479)-IF(ISNUMBER(G478),G478,F478))/100))</f>
        <v/>
      </c>
      <c r="V479" s="29" t="n"/>
      <c r="W479" s="29" t="n"/>
      <c r="X479" s="32" t="n"/>
    </row>
    <row r="480">
      <c r="A480" s="26" t="inlineStr">
        <is>
          <t>S40</t>
        </is>
      </c>
      <c r="B480" s="26" t="inlineStr">
        <is>
          <t>남지</t>
        </is>
      </c>
      <c r="C480" s="26" t="inlineStr">
        <is>
          <t>S40-V</t>
        </is>
      </c>
      <c r="D480" s="47" t="n">
        <v>1</v>
      </c>
      <c r="E480" s="26" t="inlineStr">
        <is>
          <t>측정</t>
        </is>
      </c>
      <c r="F480" s="47" t="n">
        <v>120</v>
      </c>
      <c r="G480" s="41" t="n"/>
      <c r="H480" s="29" t="n"/>
      <c r="I480" s="43" t="n"/>
      <c r="J480" s="41" t="n"/>
      <c r="K480" s="41" t="n"/>
      <c r="L480" s="41" t="n"/>
      <c r="M480" s="31">
        <f>IF(COUNT(J480:L480)=0,"",MEDIAN(J480:L480))</f>
        <v/>
      </c>
      <c r="N480" s="26">
        <f>IF(COUNTIFS($C:$C,$C480,$D:$D,$D480,$E:$E,"기준(전)",$M:$M,"&gt;0")&lt;&gt;1,"기준(전) 유효 1개 아님",IF(COUNTIFS($C:$C,$C480,$D:$D,$D480,$E:$E,"기준(후)",$M:$M,"&gt;0")&lt;&gt;1,"기준(후) 유효 1개 아님",IF(NOT(AND(ISNUMBER(O480),ISNUMBER(Q480),ISNUMBER(I480))),"시각 결측",IF(Q480&lt;=O480,"기준 시각 역전",IF(OR(I480&lt;O480,I480&gt;Q480),"측정시각 구간 밖","OK")))))</f>
        <v/>
      </c>
      <c r="O480" s="48">
        <f>IF(COUNTIFS($C:$C,$C480,$D:$D,$D480,$E:$E,"기준(전)",$M:$M,"&gt;0")&lt;&gt;1,"",SUMIFS($I:$I,$C:$C,$C480,$D:$D,$D480,$E:$E,"기준(전)"))</f>
        <v/>
      </c>
      <c r="P480" s="31">
        <f>IF(COUNTIFS($C:$C,$C480,$D:$D,$D480,$E:$E,"기준(전)",$M:$M,"&gt;0")&lt;&gt;1,"",SUMIFS($M:$M,$C:$C,$C480,$D:$D,$D480,$E:$E,"기준(전)"))</f>
        <v/>
      </c>
      <c r="Q480" s="48">
        <f>IF(COUNTIFS($C:$C,$C480,$D:$D,$D480,$E:$E,"기준(후)",$M:$M,"&gt;0")&lt;&gt;1,"",SUMIFS($I:$I,$C:$C,$C480,$D:$D,$D480,$E:$E,"기준(후)"))</f>
        <v/>
      </c>
      <c r="R480" s="31">
        <f>IF(COUNTIFS($C:$C,$C480,$D:$D,$D480,$E:$E,"기준(후)",$M:$M,"&gt;0")&lt;&gt;1,"",SUMIFS($M:$M,$C:$C,$C480,$D:$D,$D480,$E:$E,"기준(후)"))</f>
        <v/>
      </c>
      <c r="S480" s="31">
        <f>IF(N480&lt;&gt;"OK","",P480+(R480-P480)*(I480-O480)/(Q480-O480))</f>
        <v/>
      </c>
      <c r="T480" s="31">
        <f>IF(OR(N480&lt;&gt;"OK",NOT(ISNUMBER(M480))),"",M480-S480)</f>
        <v/>
      </c>
      <c r="U480" s="49">
        <f>IF(OR($E479&lt;&gt;"측정",$C479&lt;&gt;$C480,$D479&lt;&gt;$D480,NOT(ISNUMBER(M480)),NOT(ISNUMBER(M479)),(IF(ISNUMBER(G480),G480,F480)-IF(ISNUMBER(G479),G479,F479))=0),"",(M480-M479)/((IF(ISNUMBER(G480),G480,F480)-IF(ISNUMBER(G479),G479,F479))/100))</f>
        <v/>
      </c>
      <c r="V480" s="29" t="n"/>
      <c r="W480" s="29" t="n"/>
      <c r="X480" s="32" t="n"/>
    </row>
    <row r="481">
      <c r="A481" s="26" t="inlineStr">
        <is>
          <t>S40</t>
        </is>
      </c>
      <c r="B481" s="26" t="inlineStr">
        <is>
          <t>남지</t>
        </is>
      </c>
      <c r="C481" s="26" t="inlineStr">
        <is>
          <t>S40-V</t>
        </is>
      </c>
      <c r="D481" s="47" t="n">
        <v>1</v>
      </c>
      <c r="E481" s="26" t="inlineStr">
        <is>
          <t>측정</t>
        </is>
      </c>
      <c r="F481" s="47" t="n">
        <v>140</v>
      </c>
      <c r="G481" s="41" t="n"/>
      <c r="H481" s="29" t="n"/>
      <c r="I481" s="43" t="n"/>
      <c r="J481" s="41" t="n"/>
      <c r="K481" s="41" t="n"/>
      <c r="L481" s="41" t="n"/>
      <c r="M481" s="31">
        <f>IF(COUNT(J481:L481)=0,"",MEDIAN(J481:L481))</f>
        <v/>
      </c>
      <c r="N481" s="26">
        <f>IF(COUNTIFS($C:$C,$C481,$D:$D,$D481,$E:$E,"기준(전)",$M:$M,"&gt;0")&lt;&gt;1,"기준(전) 유효 1개 아님",IF(COUNTIFS($C:$C,$C481,$D:$D,$D481,$E:$E,"기준(후)",$M:$M,"&gt;0")&lt;&gt;1,"기준(후) 유효 1개 아님",IF(NOT(AND(ISNUMBER(O481),ISNUMBER(Q481),ISNUMBER(I481))),"시각 결측",IF(Q481&lt;=O481,"기준 시각 역전",IF(OR(I481&lt;O481,I481&gt;Q481),"측정시각 구간 밖","OK")))))</f>
        <v/>
      </c>
      <c r="O481" s="48">
        <f>IF(COUNTIFS($C:$C,$C481,$D:$D,$D481,$E:$E,"기준(전)",$M:$M,"&gt;0")&lt;&gt;1,"",SUMIFS($I:$I,$C:$C,$C481,$D:$D,$D481,$E:$E,"기준(전)"))</f>
        <v/>
      </c>
      <c r="P481" s="31">
        <f>IF(COUNTIFS($C:$C,$C481,$D:$D,$D481,$E:$E,"기준(전)",$M:$M,"&gt;0")&lt;&gt;1,"",SUMIFS($M:$M,$C:$C,$C481,$D:$D,$D481,$E:$E,"기준(전)"))</f>
        <v/>
      </c>
      <c r="Q481" s="48">
        <f>IF(COUNTIFS($C:$C,$C481,$D:$D,$D481,$E:$E,"기준(후)",$M:$M,"&gt;0")&lt;&gt;1,"",SUMIFS($I:$I,$C:$C,$C481,$D:$D,$D481,$E:$E,"기준(후)"))</f>
        <v/>
      </c>
      <c r="R481" s="31">
        <f>IF(COUNTIFS($C:$C,$C481,$D:$D,$D481,$E:$E,"기준(후)",$M:$M,"&gt;0")&lt;&gt;1,"",SUMIFS($M:$M,$C:$C,$C481,$D:$D,$D481,$E:$E,"기준(후)"))</f>
        <v/>
      </c>
      <c r="S481" s="31">
        <f>IF(N481&lt;&gt;"OK","",P481+(R481-P481)*(I481-O481)/(Q481-O481))</f>
        <v/>
      </c>
      <c r="T481" s="31">
        <f>IF(OR(N481&lt;&gt;"OK",NOT(ISNUMBER(M481))),"",M481-S481)</f>
        <v/>
      </c>
      <c r="U481" s="49">
        <f>IF(OR($E480&lt;&gt;"측정",$C480&lt;&gt;$C481,$D480&lt;&gt;$D481,NOT(ISNUMBER(M481)),NOT(ISNUMBER(M480)),(IF(ISNUMBER(G481),G481,F481)-IF(ISNUMBER(G480),G480,F480))=0),"",(M481-M480)/((IF(ISNUMBER(G481),G481,F481)-IF(ISNUMBER(G480),G480,F480))/100))</f>
        <v/>
      </c>
      <c r="V481" s="29" t="n"/>
      <c r="W481" s="29" t="n"/>
      <c r="X481" s="32" t="n"/>
    </row>
    <row r="482">
      <c r="A482" s="26" t="inlineStr">
        <is>
          <t>S40</t>
        </is>
      </c>
      <c r="B482" s="26" t="inlineStr">
        <is>
          <t>남지</t>
        </is>
      </c>
      <c r="C482" s="26" t="inlineStr">
        <is>
          <t>S40-V</t>
        </is>
      </c>
      <c r="D482" s="47" t="n">
        <v>1</v>
      </c>
      <c r="E482" s="26" t="inlineStr">
        <is>
          <t>측정</t>
        </is>
      </c>
      <c r="F482" s="47" t="n">
        <v>160</v>
      </c>
      <c r="G482" s="41" t="n"/>
      <c r="H482" s="29" t="n"/>
      <c r="I482" s="43" t="n"/>
      <c r="J482" s="41" t="n"/>
      <c r="K482" s="41" t="n"/>
      <c r="L482" s="41" t="n"/>
      <c r="M482" s="31">
        <f>IF(COUNT(J482:L482)=0,"",MEDIAN(J482:L482))</f>
        <v/>
      </c>
      <c r="N482" s="26">
        <f>IF(COUNTIFS($C:$C,$C482,$D:$D,$D482,$E:$E,"기준(전)",$M:$M,"&gt;0")&lt;&gt;1,"기준(전) 유효 1개 아님",IF(COUNTIFS($C:$C,$C482,$D:$D,$D482,$E:$E,"기준(후)",$M:$M,"&gt;0")&lt;&gt;1,"기준(후) 유효 1개 아님",IF(NOT(AND(ISNUMBER(O482),ISNUMBER(Q482),ISNUMBER(I482))),"시각 결측",IF(Q482&lt;=O482,"기준 시각 역전",IF(OR(I482&lt;O482,I482&gt;Q482),"측정시각 구간 밖","OK")))))</f>
        <v/>
      </c>
      <c r="O482" s="48">
        <f>IF(COUNTIFS($C:$C,$C482,$D:$D,$D482,$E:$E,"기준(전)",$M:$M,"&gt;0")&lt;&gt;1,"",SUMIFS($I:$I,$C:$C,$C482,$D:$D,$D482,$E:$E,"기준(전)"))</f>
        <v/>
      </c>
      <c r="P482" s="31">
        <f>IF(COUNTIFS($C:$C,$C482,$D:$D,$D482,$E:$E,"기준(전)",$M:$M,"&gt;0")&lt;&gt;1,"",SUMIFS($M:$M,$C:$C,$C482,$D:$D,$D482,$E:$E,"기준(전)"))</f>
        <v/>
      </c>
      <c r="Q482" s="48">
        <f>IF(COUNTIFS($C:$C,$C482,$D:$D,$D482,$E:$E,"기준(후)",$M:$M,"&gt;0")&lt;&gt;1,"",SUMIFS($I:$I,$C:$C,$C482,$D:$D,$D482,$E:$E,"기준(후)"))</f>
        <v/>
      </c>
      <c r="R482" s="31">
        <f>IF(COUNTIFS($C:$C,$C482,$D:$D,$D482,$E:$E,"기준(후)",$M:$M,"&gt;0")&lt;&gt;1,"",SUMIFS($M:$M,$C:$C,$C482,$D:$D,$D482,$E:$E,"기준(후)"))</f>
        <v/>
      </c>
      <c r="S482" s="31">
        <f>IF(N482&lt;&gt;"OK","",P482+(R482-P482)*(I482-O482)/(Q482-O482))</f>
        <v/>
      </c>
      <c r="T482" s="31">
        <f>IF(OR(N482&lt;&gt;"OK",NOT(ISNUMBER(M482))),"",M482-S482)</f>
        <v/>
      </c>
      <c r="U482" s="49">
        <f>IF(OR($E481&lt;&gt;"측정",$C481&lt;&gt;$C482,$D481&lt;&gt;$D482,NOT(ISNUMBER(M482)),NOT(ISNUMBER(M481)),(IF(ISNUMBER(G482),G482,F482)-IF(ISNUMBER(G481),G481,F481))=0),"",(M482-M481)/((IF(ISNUMBER(G482),G482,F482)-IF(ISNUMBER(G481),G481,F481))/100))</f>
        <v/>
      </c>
      <c r="V482" s="29" t="n"/>
      <c r="W482" s="29" t="n"/>
      <c r="X482" s="32" t="n"/>
    </row>
    <row r="483">
      <c r="A483" s="26" t="inlineStr">
        <is>
          <t>S40</t>
        </is>
      </c>
      <c r="B483" s="26" t="inlineStr">
        <is>
          <t>남지</t>
        </is>
      </c>
      <c r="C483" s="26" t="inlineStr">
        <is>
          <t>S40-V</t>
        </is>
      </c>
      <c r="D483" s="47" t="n">
        <v>1</v>
      </c>
      <c r="E483" s="26" t="inlineStr">
        <is>
          <t>측정</t>
        </is>
      </c>
      <c r="F483" s="47" t="n">
        <v>180</v>
      </c>
      <c r="G483" s="41" t="n"/>
      <c r="H483" s="29" t="n"/>
      <c r="I483" s="43" t="n"/>
      <c r="J483" s="41" t="n"/>
      <c r="K483" s="41" t="n"/>
      <c r="L483" s="41" t="n"/>
      <c r="M483" s="31">
        <f>IF(COUNT(J483:L483)=0,"",MEDIAN(J483:L483))</f>
        <v/>
      </c>
      <c r="N483" s="26">
        <f>IF(COUNTIFS($C:$C,$C483,$D:$D,$D483,$E:$E,"기준(전)",$M:$M,"&gt;0")&lt;&gt;1,"기준(전) 유효 1개 아님",IF(COUNTIFS($C:$C,$C483,$D:$D,$D483,$E:$E,"기준(후)",$M:$M,"&gt;0")&lt;&gt;1,"기준(후) 유효 1개 아님",IF(NOT(AND(ISNUMBER(O483),ISNUMBER(Q483),ISNUMBER(I483))),"시각 결측",IF(Q483&lt;=O483,"기준 시각 역전",IF(OR(I483&lt;O483,I483&gt;Q483),"측정시각 구간 밖","OK")))))</f>
        <v/>
      </c>
      <c r="O483" s="48">
        <f>IF(COUNTIFS($C:$C,$C483,$D:$D,$D483,$E:$E,"기준(전)",$M:$M,"&gt;0")&lt;&gt;1,"",SUMIFS($I:$I,$C:$C,$C483,$D:$D,$D483,$E:$E,"기준(전)"))</f>
        <v/>
      </c>
      <c r="P483" s="31">
        <f>IF(COUNTIFS($C:$C,$C483,$D:$D,$D483,$E:$E,"기준(전)",$M:$M,"&gt;0")&lt;&gt;1,"",SUMIFS($M:$M,$C:$C,$C483,$D:$D,$D483,$E:$E,"기준(전)"))</f>
        <v/>
      </c>
      <c r="Q483" s="48">
        <f>IF(COUNTIFS($C:$C,$C483,$D:$D,$D483,$E:$E,"기준(후)",$M:$M,"&gt;0")&lt;&gt;1,"",SUMIFS($I:$I,$C:$C,$C483,$D:$D,$D483,$E:$E,"기준(후)"))</f>
        <v/>
      </c>
      <c r="R483" s="31">
        <f>IF(COUNTIFS($C:$C,$C483,$D:$D,$D483,$E:$E,"기준(후)",$M:$M,"&gt;0")&lt;&gt;1,"",SUMIFS($M:$M,$C:$C,$C483,$D:$D,$D483,$E:$E,"기준(후)"))</f>
        <v/>
      </c>
      <c r="S483" s="31">
        <f>IF(N483&lt;&gt;"OK","",P483+(R483-P483)*(I483-O483)/(Q483-O483))</f>
        <v/>
      </c>
      <c r="T483" s="31">
        <f>IF(OR(N483&lt;&gt;"OK",NOT(ISNUMBER(M483))),"",M483-S483)</f>
        <v/>
      </c>
      <c r="U483" s="49">
        <f>IF(OR($E482&lt;&gt;"측정",$C482&lt;&gt;$C483,$D482&lt;&gt;$D483,NOT(ISNUMBER(M483)),NOT(ISNUMBER(M482)),(IF(ISNUMBER(G483),G483,F483)-IF(ISNUMBER(G482),G482,F482))=0),"",(M483-M482)/((IF(ISNUMBER(G483),G483,F483)-IF(ISNUMBER(G482),G482,F482))/100))</f>
        <v/>
      </c>
      <c r="V483" s="29" t="n"/>
      <c r="W483" s="29" t="n"/>
      <c r="X483" s="32" t="n"/>
    </row>
    <row r="484">
      <c r="A484" s="26" t="inlineStr">
        <is>
          <t>S40</t>
        </is>
      </c>
      <c r="B484" s="26" t="inlineStr">
        <is>
          <t>남지</t>
        </is>
      </c>
      <c r="C484" s="26" t="inlineStr">
        <is>
          <t>S40-V</t>
        </is>
      </c>
      <c r="D484" s="47" t="n">
        <v>1</v>
      </c>
      <c r="E484" s="26" t="inlineStr">
        <is>
          <t>측정</t>
        </is>
      </c>
      <c r="F484" s="47" t="n">
        <v>200</v>
      </c>
      <c r="G484" s="41" t="n"/>
      <c r="H484" s="29" t="n"/>
      <c r="I484" s="43" t="n"/>
      <c r="J484" s="41" t="n"/>
      <c r="K484" s="41" t="n"/>
      <c r="L484" s="41" t="n"/>
      <c r="M484" s="31">
        <f>IF(COUNT(J484:L484)=0,"",MEDIAN(J484:L484))</f>
        <v/>
      </c>
      <c r="N484" s="26">
        <f>IF(COUNTIFS($C:$C,$C484,$D:$D,$D484,$E:$E,"기준(전)",$M:$M,"&gt;0")&lt;&gt;1,"기준(전) 유효 1개 아님",IF(COUNTIFS($C:$C,$C484,$D:$D,$D484,$E:$E,"기준(후)",$M:$M,"&gt;0")&lt;&gt;1,"기준(후) 유효 1개 아님",IF(NOT(AND(ISNUMBER(O484),ISNUMBER(Q484),ISNUMBER(I484))),"시각 결측",IF(Q484&lt;=O484,"기준 시각 역전",IF(OR(I484&lt;O484,I484&gt;Q484),"측정시각 구간 밖","OK")))))</f>
        <v/>
      </c>
      <c r="O484" s="48">
        <f>IF(COUNTIFS($C:$C,$C484,$D:$D,$D484,$E:$E,"기준(전)",$M:$M,"&gt;0")&lt;&gt;1,"",SUMIFS($I:$I,$C:$C,$C484,$D:$D,$D484,$E:$E,"기준(전)"))</f>
        <v/>
      </c>
      <c r="P484" s="31">
        <f>IF(COUNTIFS($C:$C,$C484,$D:$D,$D484,$E:$E,"기준(전)",$M:$M,"&gt;0")&lt;&gt;1,"",SUMIFS($M:$M,$C:$C,$C484,$D:$D,$D484,$E:$E,"기준(전)"))</f>
        <v/>
      </c>
      <c r="Q484" s="48">
        <f>IF(COUNTIFS($C:$C,$C484,$D:$D,$D484,$E:$E,"기준(후)",$M:$M,"&gt;0")&lt;&gt;1,"",SUMIFS($I:$I,$C:$C,$C484,$D:$D,$D484,$E:$E,"기준(후)"))</f>
        <v/>
      </c>
      <c r="R484" s="31">
        <f>IF(COUNTIFS($C:$C,$C484,$D:$D,$D484,$E:$E,"기준(후)",$M:$M,"&gt;0")&lt;&gt;1,"",SUMIFS($M:$M,$C:$C,$C484,$D:$D,$D484,$E:$E,"기준(후)"))</f>
        <v/>
      </c>
      <c r="S484" s="31">
        <f>IF(N484&lt;&gt;"OK","",P484+(R484-P484)*(I484-O484)/(Q484-O484))</f>
        <v/>
      </c>
      <c r="T484" s="31">
        <f>IF(OR(N484&lt;&gt;"OK",NOT(ISNUMBER(M484))),"",M484-S484)</f>
        <v/>
      </c>
      <c r="U484" s="49">
        <f>IF(OR($E483&lt;&gt;"측정",$C483&lt;&gt;$C484,$D483&lt;&gt;$D484,NOT(ISNUMBER(M484)),NOT(ISNUMBER(M483)),(IF(ISNUMBER(G484),G484,F484)-IF(ISNUMBER(G483),G483,F483))=0),"",(M484-M483)/((IF(ISNUMBER(G484),G484,F484)-IF(ISNUMBER(G483),G483,F483))/100))</f>
        <v/>
      </c>
      <c r="V484" s="29" t="n"/>
      <c r="W484" s="29" t="n"/>
      <c r="X484" s="32" t="n"/>
    </row>
    <row r="485">
      <c r="A485" s="44" t="inlineStr">
        <is>
          <t>S40</t>
        </is>
      </c>
      <c r="B485" s="44" t="inlineStr">
        <is>
          <t>남지</t>
        </is>
      </c>
      <c r="C485" s="44" t="inlineStr">
        <is>
          <t>S40-V</t>
        </is>
      </c>
      <c r="D485" s="45" t="n">
        <v>1</v>
      </c>
      <c r="E485" s="44" t="inlineStr">
        <is>
          <t>기준(후)</t>
        </is>
      </c>
      <c r="F485" s="45" t="n"/>
      <c r="G485" s="41" t="n"/>
      <c r="H485" s="29" t="n"/>
      <c r="I485" s="43" t="n"/>
      <c r="J485" s="41" t="n"/>
      <c r="K485" s="41" t="n"/>
      <c r="L485" s="41" t="n"/>
      <c r="M485" s="31">
        <f>IF(COUNT(J485:L485)=0,"",MEDIAN(J485:L485))</f>
        <v/>
      </c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29" t="n"/>
      <c r="W485" s="29" t="n"/>
      <c r="X485" s="32" t="n"/>
    </row>
    <row r="486">
      <c r="A486" s="44" t="inlineStr">
        <is>
          <t>S41</t>
        </is>
      </c>
      <c r="B486" s="44" t="inlineStr">
        <is>
          <t>거제</t>
        </is>
      </c>
      <c r="C486" s="44" t="inlineStr">
        <is>
          <t>S41-V</t>
        </is>
      </c>
      <c r="D486" s="45" t="n">
        <v>1</v>
      </c>
      <c r="E486" s="44" t="inlineStr">
        <is>
          <t>기준(전)</t>
        </is>
      </c>
      <c r="F486" s="45" t="n"/>
      <c r="G486" s="41" t="n"/>
      <c r="H486" s="29" t="n"/>
      <c r="I486" s="43" t="n"/>
      <c r="J486" s="41" t="n"/>
      <c r="K486" s="41" t="n"/>
      <c r="L486" s="41" t="n"/>
      <c r="M486" s="31">
        <f>IF(COUNT(J486:L486)=0,"",MEDIAN(J486:L486))</f>
        <v/>
      </c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29" t="n"/>
      <c r="W486" s="29" t="n"/>
      <c r="X486" s="32" t="n"/>
    </row>
    <row r="487">
      <c r="A487" s="26" t="inlineStr">
        <is>
          <t>S41</t>
        </is>
      </c>
      <c r="B487" s="26" t="inlineStr">
        <is>
          <t>거제</t>
        </is>
      </c>
      <c r="C487" s="26" t="inlineStr">
        <is>
          <t>S41-V</t>
        </is>
      </c>
      <c r="D487" s="47" t="n">
        <v>1</v>
      </c>
      <c r="E487" s="26" t="inlineStr">
        <is>
          <t>측정</t>
        </is>
      </c>
      <c r="F487" s="47" t="n">
        <v>20</v>
      </c>
      <c r="G487" s="41" t="n"/>
      <c r="H487" s="29" t="n"/>
      <c r="I487" s="43" t="n"/>
      <c r="J487" s="41" t="n"/>
      <c r="K487" s="41" t="n"/>
      <c r="L487" s="41" t="n"/>
      <c r="M487" s="31">
        <f>IF(COUNT(J487:L487)=0,"",MEDIAN(J487:L487))</f>
        <v/>
      </c>
      <c r="N487" s="26">
        <f>IF(COUNTIFS($C:$C,$C487,$D:$D,$D487,$E:$E,"기준(전)",$M:$M,"&gt;0")&lt;&gt;1,"기준(전) 유효 1개 아님",IF(COUNTIFS($C:$C,$C487,$D:$D,$D487,$E:$E,"기준(후)",$M:$M,"&gt;0")&lt;&gt;1,"기준(후) 유효 1개 아님",IF(NOT(AND(ISNUMBER(O487),ISNUMBER(Q487),ISNUMBER(I487))),"시각 결측",IF(Q487&lt;=O487,"기준 시각 역전",IF(OR(I487&lt;O487,I487&gt;Q487),"측정시각 구간 밖","OK")))))</f>
        <v/>
      </c>
      <c r="O487" s="48">
        <f>IF(COUNTIFS($C:$C,$C487,$D:$D,$D487,$E:$E,"기준(전)",$M:$M,"&gt;0")&lt;&gt;1,"",SUMIFS($I:$I,$C:$C,$C487,$D:$D,$D487,$E:$E,"기준(전)"))</f>
        <v/>
      </c>
      <c r="P487" s="31">
        <f>IF(COUNTIFS($C:$C,$C487,$D:$D,$D487,$E:$E,"기준(전)",$M:$M,"&gt;0")&lt;&gt;1,"",SUMIFS($M:$M,$C:$C,$C487,$D:$D,$D487,$E:$E,"기준(전)"))</f>
        <v/>
      </c>
      <c r="Q487" s="48">
        <f>IF(COUNTIFS($C:$C,$C487,$D:$D,$D487,$E:$E,"기준(후)",$M:$M,"&gt;0")&lt;&gt;1,"",SUMIFS($I:$I,$C:$C,$C487,$D:$D,$D487,$E:$E,"기준(후)"))</f>
        <v/>
      </c>
      <c r="R487" s="31">
        <f>IF(COUNTIFS($C:$C,$C487,$D:$D,$D487,$E:$E,"기준(후)",$M:$M,"&gt;0")&lt;&gt;1,"",SUMIFS($M:$M,$C:$C,$C487,$D:$D,$D487,$E:$E,"기준(후)"))</f>
        <v/>
      </c>
      <c r="S487" s="31">
        <f>IF(N487&lt;&gt;"OK","",P487+(R487-P487)*(I487-O487)/(Q487-O487))</f>
        <v/>
      </c>
      <c r="T487" s="31">
        <f>IF(OR(N487&lt;&gt;"OK",NOT(ISNUMBER(M487))),"",M487-S487)</f>
        <v/>
      </c>
      <c r="U487" s="49">
        <f>IF(OR($E486&lt;&gt;"측정",$C486&lt;&gt;$C487,$D486&lt;&gt;$D487,NOT(ISNUMBER(M487)),NOT(ISNUMBER(M486)),(IF(ISNUMBER(G487),G487,F487)-IF(ISNUMBER(G486),G486,F486))=0),"",(M487-M486)/((IF(ISNUMBER(G487),G487,F487)-IF(ISNUMBER(G486),G486,F486))/100))</f>
        <v/>
      </c>
      <c r="V487" s="29" t="n"/>
      <c r="W487" s="29" t="n"/>
      <c r="X487" s="32" t="n"/>
    </row>
    <row r="488">
      <c r="A488" s="26" t="inlineStr">
        <is>
          <t>S41</t>
        </is>
      </c>
      <c r="B488" s="26" t="inlineStr">
        <is>
          <t>거제</t>
        </is>
      </c>
      <c r="C488" s="26" t="inlineStr">
        <is>
          <t>S41-V</t>
        </is>
      </c>
      <c r="D488" s="47" t="n">
        <v>1</v>
      </c>
      <c r="E488" s="26" t="inlineStr">
        <is>
          <t>측정</t>
        </is>
      </c>
      <c r="F488" s="47" t="n">
        <v>40</v>
      </c>
      <c r="G488" s="41" t="n"/>
      <c r="H488" s="29" t="n"/>
      <c r="I488" s="43" t="n"/>
      <c r="J488" s="41" t="n"/>
      <c r="K488" s="41" t="n"/>
      <c r="L488" s="41" t="n"/>
      <c r="M488" s="31">
        <f>IF(COUNT(J488:L488)=0,"",MEDIAN(J488:L488))</f>
        <v/>
      </c>
      <c r="N488" s="26">
        <f>IF(COUNTIFS($C:$C,$C488,$D:$D,$D488,$E:$E,"기준(전)",$M:$M,"&gt;0")&lt;&gt;1,"기준(전) 유효 1개 아님",IF(COUNTIFS($C:$C,$C488,$D:$D,$D488,$E:$E,"기준(후)",$M:$M,"&gt;0")&lt;&gt;1,"기준(후) 유효 1개 아님",IF(NOT(AND(ISNUMBER(O488),ISNUMBER(Q488),ISNUMBER(I488))),"시각 결측",IF(Q488&lt;=O488,"기준 시각 역전",IF(OR(I488&lt;O488,I488&gt;Q488),"측정시각 구간 밖","OK")))))</f>
        <v/>
      </c>
      <c r="O488" s="48">
        <f>IF(COUNTIFS($C:$C,$C488,$D:$D,$D488,$E:$E,"기준(전)",$M:$M,"&gt;0")&lt;&gt;1,"",SUMIFS($I:$I,$C:$C,$C488,$D:$D,$D488,$E:$E,"기준(전)"))</f>
        <v/>
      </c>
      <c r="P488" s="31">
        <f>IF(COUNTIFS($C:$C,$C488,$D:$D,$D488,$E:$E,"기준(전)",$M:$M,"&gt;0")&lt;&gt;1,"",SUMIFS($M:$M,$C:$C,$C488,$D:$D,$D488,$E:$E,"기준(전)"))</f>
        <v/>
      </c>
      <c r="Q488" s="48">
        <f>IF(COUNTIFS($C:$C,$C488,$D:$D,$D488,$E:$E,"기준(후)",$M:$M,"&gt;0")&lt;&gt;1,"",SUMIFS($I:$I,$C:$C,$C488,$D:$D,$D488,$E:$E,"기준(후)"))</f>
        <v/>
      </c>
      <c r="R488" s="31">
        <f>IF(COUNTIFS($C:$C,$C488,$D:$D,$D488,$E:$E,"기준(후)",$M:$M,"&gt;0")&lt;&gt;1,"",SUMIFS($M:$M,$C:$C,$C488,$D:$D,$D488,$E:$E,"기준(후)"))</f>
        <v/>
      </c>
      <c r="S488" s="31">
        <f>IF(N488&lt;&gt;"OK","",P488+(R488-P488)*(I488-O488)/(Q488-O488))</f>
        <v/>
      </c>
      <c r="T488" s="31">
        <f>IF(OR(N488&lt;&gt;"OK",NOT(ISNUMBER(M488))),"",M488-S488)</f>
        <v/>
      </c>
      <c r="U488" s="49">
        <f>IF(OR($E487&lt;&gt;"측정",$C487&lt;&gt;$C488,$D487&lt;&gt;$D488,NOT(ISNUMBER(M488)),NOT(ISNUMBER(M487)),(IF(ISNUMBER(G488),G488,F488)-IF(ISNUMBER(G487),G487,F487))=0),"",(M488-M487)/((IF(ISNUMBER(G488),G488,F488)-IF(ISNUMBER(G487),G487,F487))/100))</f>
        <v/>
      </c>
      <c r="V488" s="29" t="n"/>
      <c r="W488" s="29" t="n"/>
      <c r="X488" s="32" t="n"/>
    </row>
    <row r="489">
      <c r="A489" s="26" t="inlineStr">
        <is>
          <t>S41</t>
        </is>
      </c>
      <c r="B489" s="26" t="inlineStr">
        <is>
          <t>거제</t>
        </is>
      </c>
      <c r="C489" s="26" t="inlineStr">
        <is>
          <t>S41-V</t>
        </is>
      </c>
      <c r="D489" s="47" t="n">
        <v>1</v>
      </c>
      <c r="E489" s="26" t="inlineStr">
        <is>
          <t>측정</t>
        </is>
      </c>
      <c r="F489" s="47" t="n">
        <v>60</v>
      </c>
      <c r="G489" s="41" t="n"/>
      <c r="H489" s="29" t="n"/>
      <c r="I489" s="43" t="n"/>
      <c r="J489" s="41" t="n"/>
      <c r="K489" s="41" t="n"/>
      <c r="L489" s="41" t="n"/>
      <c r="M489" s="31">
        <f>IF(COUNT(J489:L489)=0,"",MEDIAN(J489:L489))</f>
        <v/>
      </c>
      <c r="N489" s="26">
        <f>IF(COUNTIFS($C:$C,$C489,$D:$D,$D489,$E:$E,"기준(전)",$M:$M,"&gt;0")&lt;&gt;1,"기준(전) 유효 1개 아님",IF(COUNTIFS($C:$C,$C489,$D:$D,$D489,$E:$E,"기준(후)",$M:$M,"&gt;0")&lt;&gt;1,"기준(후) 유효 1개 아님",IF(NOT(AND(ISNUMBER(O489),ISNUMBER(Q489),ISNUMBER(I489))),"시각 결측",IF(Q489&lt;=O489,"기준 시각 역전",IF(OR(I489&lt;O489,I489&gt;Q489),"측정시각 구간 밖","OK")))))</f>
        <v/>
      </c>
      <c r="O489" s="48">
        <f>IF(COUNTIFS($C:$C,$C489,$D:$D,$D489,$E:$E,"기준(전)",$M:$M,"&gt;0")&lt;&gt;1,"",SUMIFS($I:$I,$C:$C,$C489,$D:$D,$D489,$E:$E,"기준(전)"))</f>
        <v/>
      </c>
      <c r="P489" s="31">
        <f>IF(COUNTIFS($C:$C,$C489,$D:$D,$D489,$E:$E,"기준(전)",$M:$M,"&gt;0")&lt;&gt;1,"",SUMIFS($M:$M,$C:$C,$C489,$D:$D,$D489,$E:$E,"기준(전)"))</f>
        <v/>
      </c>
      <c r="Q489" s="48">
        <f>IF(COUNTIFS($C:$C,$C489,$D:$D,$D489,$E:$E,"기준(후)",$M:$M,"&gt;0")&lt;&gt;1,"",SUMIFS($I:$I,$C:$C,$C489,$D:$D,$D489,$E:$E,"기준(후)"))</f>
        <v/>
      </c>
      <c r="R489" s="31">
        <f>IF(COUNTIFS($C:$C,$C489,$D:$D,$D489,$E:$E,"기준(후)",$M:$M,"&gt;0")&lt;&gt;1,"",SUMIFS($M:$M,$C:$C,$C489,$D:$D,$D489,$E:$E,"기준(후)"))</f>
        <v/>
      </c>
      <c r="S489" s="31">
        <f>IF(N489&lt;&gt;"OK","",P489+(R489-P489)*(I489-O489)/(Q489-O489))</f>
        <v/>
      </c>
      <c r="T489" s="31">
        <f>IF(OR(N489&lt;&gt;"OK",NOT(ISNUMBER(M489))),"",M489-S489)</f>
        <v/>
      </c>
      <c r="U489" s="49">
        <f>IF(OR($E488&lt;&gt;"측정",$C488&lt;&gt;$C489,$D488&lt;&gt;$D489,NOT(ISNUMBER(M489)),NOT(ISNUMBER(M488)),(IF(ISNUMBER(G489),G489,F489)-IF(ISNUMBER(G488),G488,F488))=0),"",(M489-M488)/((IF(ISNUMBER(G489),G489,F489)-IF(ISNUMBER(G488),G488,F488))/100))</f>
        <v/>
      </c>
      <c r="V489" s="29" t="n"/>
      <c r="W489" s="29" t="n"/>
      <c r="X489" s="32" t="n"/>
    </row>
    <row r="490">
      <c r="A490" s="26" t="inlineStr">
        <is>
          <t>S41</t>
        </is>
      </c>
      <c r="B490" s="26" t="inlineStr">
        <is>
          <t>거제</t>
        </is>
      </c>
      <c r="C490" s="26" t="inlineStr">
        <is>
          <t>S41-V</t>
        </is>
      </c>
      <c r="D490" s="47" t="n">
        <v>1</v>
      </c>
      <c r="E490" s="26" t="inlineStr">
        <is>
          <t>측정</t>
        </is>
      </c>
      <c r="F490" s="47" t="n">
        <v>80</v>
      </c>
      <c r="G490" s="41" t="n"/>
      <c r="H490" s="29" t="n"/>
      <c r="I490" s="43" t="n"/>
      <c r="J490" s="41" t="n"/>
      <c r="K490" s="41" t="n"/>
      <c r="L490" s="41" t="n"/>
      <c r="M490" s="31">
        <f>IF(COUNT(J490:L490)=0,"",MEDIAN(J490:L490))</f>
        <v/>
      </c>
      <c r="N490" s="26">
        <f>IF(COUNTIFS($C:$C,$C490,$D:$D,$D490,$E:$E,"기준(전)",$M:$M,"&gt;0")&lt;&gt;1,"기준(전) 유효 1개 아님",IF(COUNTIFS($C:$C,$C490,$D:$D,$D490,$E:$E,"기준(후)",$M:$M,"&gt;0")&lt;&gt;1,"기준(후) 유효 1개 아님",IF(NOT(AND(ISNUMBER(O490),ISNUMBER(Q490),ISNUMBER(I490))),"시각 결측",IF(Q490&lt;=O490,"기준 시각 역전",IF(OR(I490&lt;O490,I490&gt;Q490),"측정시각 구간 밖","OK")))))</f>
        <v/>
      </c>
      <c r="O490" s="48">
        <f>IF(COUNTIFS($C:$C,$C490,$D:$D,$D490,$E:$E,"기준(전)",$M:$M,"&gt;0")&lt;&gt;1,"",SUMIFS($I:$I,$C:$C,$C490,$D:$D,$D490,$E:$E,"기준(전)"))</f>
        <v/>
      </c>
      <c r="P490" s="31">
        <f>IF(COUNTIFS($C:$C,$C490,$D:$D,$D490,$E:$E,"기준(전)",$M:$M,"&gt;0")&lt;&gt;1,"",SUMIFS($M:$M,$C:$C,$C490,$D:$D,$D490,$E:$E,"기준(전)"))</f>
        <v/>
      </c>
      <c r="Q490" s="48">
        <f>IF(COUNTIFS($C:$C,$C490,$D:$D,$D490,$E:$E,"기준(후)",$M:$M,"&gt;0")&lt;&gt;1,"",SUMIFS($I:$I,$C:$C,$C490,$D:$D,$D490,$E:$E,"기준(후)"))</f>
        <v/>
      </c>
      <c r="R490" s="31">
        <f>IF(COUNTIFS($C:$C,$C490,$D:$D,$D490,$E:$E,"기준(후)",$M:$M,"&gt;0")&lt;&gt;1,"",SUMIFS($M:$M,$C:$C,$C490,$D:$D,$D490,$E:$E,"기준(후)"))</f>
        <v/>
      </c>
      <c r="S490" s="31">
        <f>IF(N490&lt;&gt;"OK","",P490+(R490-P490)*(I490-O490)/(Q490-O490))</f>
        <v/>
      </c>
      <c r="T490" s="31">
        <f>IF(OR(N490&lt;&gt;"OK",NOT(ISNUMBER(M490))),"",M490-S490)</f>
        <v/>
      </c>
      <c r="U490" s="49">
        <f>IF(OR($E489&lt;&gt;"측정",$C489&lt;&gt;$C490,$D489&lt;&gt;$D490,NOT(ISNUMBER(M490)),NOT(ISNUMBER(M489)),(IF(ISNUMBER(G490),G490,F490)-IF(ISNUMBER(G489),G489,F489))=0),"",(M490-M489)/((IF(ISNUMBER(G490),G490,F490)-IF(ISNUMBER(G489),G489,F489))/100))</f>
        <v/>
      </c>
      <c r="V490" s="29" t="n"/>
      <c r="W490" s="29" t="n"/>
      <c r="X490" s="32" t="n"/>
    </row>
    <row r="491">
      <c r="A491" s="26" t="inlineStr">
        <is>
          <t>S41</t>
        </is>
      </c>
      <c r="B491" s="26" t="inlineStr">
        <is>
          <t>거제</t>
        </is>
      </c>
      <c r="C491" s="26" t="inlineStr">
        <is>
          <t>S41-V</t>
        </is>
      </c>
      <c r="D491" s="47" t="n">
        <v>1</v>
      </c>
      <c r="E491" s="26" t="inlineStr">
        <is>
          <t>측정</t>
        </is>
      </c>
      <c r="F491" s="47" t="n">
        <v>100</v>
      </c>
      <c r="G491" s="41" t="n"/>
      <c r="H491" s="29" t="n"/>
      <c r="I491" s="43" t="n"/>
      <c r="J491" s="41" t="n"/>
      <c r="K491" s="41" t="n"/>
      <c r="L491" s="41" t="n"/>
      <c r="M491" s="31">
        <f>IF(COUNT(J491:L491)=0,"",MEDIAN(J491:L491))</f>
        <v/>
      </c>
      <c r="N491" s="26">
        <f>IF(COUNTIFS($C:$C,$C491,$D:$D,$D491,$E:$E,"기준(전)",$M:$M,"&gt;0")&lt;&gt;1,"기준(전) 유효 1개 아님",IF(COUNTIFS($C:$C,$C491,$D:$D,$D491,$E:$E,"기준(후)",$M:$M,"&gt;0")&lt;&gt;1,"기준(후) 유효 1개 아님",IF(NOT(AND(ISNUMBER(O491),ISNUMBER(Q491),ISNUMBER(I491))),"시각 결측",IF(Q491&lt;=O491,"기준 시각 역전",IF(OR(I491&lt;O491,I491&gt;Q491),"측정시각 구간 밖","OK")))))</f>
        <v/>
      </c>
      <c r="O491" s="48">
        <f>IF(COUNTIFS($C:$C,$C491,$D:$D,$D491,$E:$E,"기준(전)",$M:$M,"&gt;0")&lt;&gt;1,"",SUMIFS($I:$I,$C:$C,$C491,$D:$D,$D491,$E:$E,"기준(전)"))</f>
        <v/>
      </c>
      <c r="P491" s="31">
        <f>IF(COUNTIFS($C:$C,$C491,$D:$D,$D491,$E:$E,"기준(전)",$M:$M,"&gt;0")&lt;&gt;1,"",SUMIFS($M:$M,$C:$C,$C491,$D:$D,$D491,$E:$E,"기준(전)"))</f>
        <v/>
      </c>
      <c r="Q491" s="48">
        <f>IF(COUNTIFS($C:$C,$C491,$D:$D,$D491,$E:$E,"기준(후)",$M:$M,"&gt;0")&lt;&gt;1,"",SUMIFS($I:$I,$C:$C,$C491,$D:$D,$D491,$E:$E,"기준(후)"))</f>
        <v/>
      </c>
      <c r="R491" s="31">
        <f>IF(COUNTIFS($C:$C,$C491,$D:$D,$D491,$E:$E,"기준(후)",$M:$M,"&gt;0")&lt;&gt;1,"",SUMIFS($M:$M,$C:$C,$C491,$D:$D,$D491,$E:$E,"기준(후)"))</f>
        <v/>
      </c>
      <c r="S491" s="31">
        <f>IF(N491&lt;&gt;"OK","",P491+(R491-P491)*(I491-O491)/(Q491-O491))</f>
        <v/>
      </c>
      <c r="T491" s="31">
        <f>IF(OR(N491&lt;&gt;"OK",NOT(ISNUMBER(M491))),"",M491-S491)</f>
        <v/>
      </c>
      <c r="U491" s="49">
        <f>IF(OR($E490&lt;&gt;"측정",$C490&lt;&gt;$C491,$D490&lt;&gt;$D491,NOT(ISNUMBER(M491)),NOT(ISNUMBER(M490)),(IF(ISNUMBER(G491),G491,F491)-IF(ISNUMBER(G490),G490,F490))=0),"",(M491-M490)/((IF(ISNUMBER(G491),G491,F491)-IF(ISNUMBER(G490),G490,F490))/100))</f>
        <v/>
      </c>
      <c r="V491" s="29" t="n"/>
      <c r="W491" s="29" t="n"/>
      <c r="X491" s="32" t="n"/>
    </row>
    <row r="492">
      <c r="A492" s="26" t="inlineStr">
        <is>
          <t>S41</t>
        </is>
      </c>
      <c r="B492" s="26" t="inlineStr">
        <is>
          <t>거제</t>
        </is>
      </c>
      <c r="C492" s="26" t="inlineStr">
        <is>
          <t>S41-V</t>
        </is>
      </c>
      <c r="D492" s="47" t="n">
        <v>1</v>
      </c>
      <c r="E492" s="26" t="inlineStr">
        <is>
          <t>측정</t>
        </is>
      </c>
      <c r="F492" s="47" t="n">
        <v>120</v>
      </c>
      <c r="G492" s="41" t="n"/>
      <c r="H492" s="29" t="n"/>
      <c r="I492" s="43" t="n"/>
      <c r="J492" s="41" t="n"/>
      <c r="K492" s="41" t="n"/>
      <c r="L492" s="41" t="n"/>
      <c r="M492" s="31">
        <f>IF(COUNT(J492:L492)=0,"",MEDIAN(J492:L492))</f>
        <v/>
      </c>
      <c r="N492" s="26">
        <f>IF(COUNTIFS($C:$C,$C492,$D:$D,$D492,$E:$E,"기준(전)",$M:$M,"&gt;0")&lt;&gt;1,"기준(전) 유효 1개 아님",IF(COUNTIFS($C:$C,$C492,$D:$D,$D492,$E:$E,"기준(후)",$M:$M,"&gt;0")&lt;&gt;1,"기준(후) 유효 1개 아님",IF(NOT(AND(ISNUMBER(O492),ISNUMBER(Q492),ISNUMBER(I492))),"시각 결측",IF(Q492&lt;=O492,"기준 시각 역전",IF(OR(I492&lt;O492,I492&gt;Q492),"측정시각 구간 밖","OK")))))</f>
        <v/>
      </c>
      <c r="O492" s="48">
        <f>IF(COUNTIFS($C:$C,$C492,$D:$D,$D492,$E:$E,"기준(전)",$M:$M,"&gt;0")&lt;&gt;1,"",SUMIFS($I:$I,$C:$C,$C492,$D:$D,$D492,$E:$E,"기준(전)"))</f>
        <v/>
      </c>
      <c r="P492" s="31">
        <f>IF(COUNTIFS($C:$C,$C492,$D:$D,$D492,$E:$E,"기준(전)",$M:$M,"&gt;0")&lt;&gt;1,"",SUMIFS($M:$M,$C:$C,$C492,$D:$D,$D492,$E:$E,"기준(전)"))</f>
        <v/>
      </c>
      <c r="Q492" s="48">
        <f>IF(COUNTIFS($C:$C,$C492,$D:$D,$D492,$E:$E,"기준(후)",$M:$M,"&gt;0")&lt;&gt;1,"",SUMIFS($I:$I,$C:$C,$C492,$D:$D,$D492,$E:$E,"기준(후)"))</f>
        <v/>
      </c>
      <c r="R492" s="31">
        <f>IF(COUNTIFS($C:$C,$C492,$D:$D,$D492,$E:$E,"기준(후)",$M:$M,"&gt;0")&lt;&gt;1,"",SUMIFS($M:$M,$C:$C,$C492,$D:$D,$D492,$E:$E,"기준(후)"))</f>
        <v/>
      </c>
      <c r="S492" s="31">
        <f>IF(N492&lt;&gt;"OK","",P492+(R492-P492)*(I492-O492)/(Q492-O492))</f>
        <v/>
      </c>
      <c r="T492" s="31">
        <f>IF(OR(N492&lt;&gt;"OK",NOT(ISNUMBER(M492))),"",M492-S492)</f>
        <v/>
      </c>
      <c r="U492" s="49">
        <f>IF(OR($E491&lt;&gt;"측정",$C491&lt;&gt;$C492,$D491&lt;&gt;$D492,NOT(ISNUMBER(M492)),NOT(ISNUMBER(M491)),(IF(ISNUMBER(G492),G492,F492)-IF(ISNUMBER(G491),G491,F491))=0),"",(M492-M491)/((IF(ISNUMBER(G492),G492,F492)-IF(ISNUMBER(G491),G491,F491))/100))</f>
        <v/>
      </c>
      <c r="V492" s="29" t="n"/>
      <c r="W492" s="29" t="n"/>
      <c r="X492" s="32" t="n"/>
    </row>
    <row r="493">
      <c r="A493" s="26" t="inlineStr">
        <is>
          <t>S41</t>
        </is>
      </c>
      <c r="B493" s="26" t="inlineStr">
        <is>
          <t>거제</t>
        </is>
      </c>
      <c r="C493" s="26" t="inlineStr">
        <is>
          <t>S41-V</t>
        </is>
      </c>
      <c r="D493" s="47" t="n">
        <v>1</v>
      </c>
      <c r="E493" s="26" t="inlineStr">
        <is>
          <t>측정</t>
        </is>
      </c>
      <c r="F493" s="47" t="n">
        <v>140</v>
      </c>
      <c r="G493" s="41" t="n"/>
      <c r="H493" s="29" t="n"/>
      <c r="I493" s="43" t="n"/>
      <c r="J493" s="41" t="n"/>
      <c r="K493" s="41" t="n"/>
      <c r="L493" s="41" t="n"/>
      <c r="M493" s="31">
        <f>IF(COUNT(J493:L493)=0,"",MEDIAN(J493:L493))</f>
        <v/>
      </c>
      <c r="N493" s="26">
        <f>IF(COUNTIFS($C:$C,$C493,$D:$D,$D493,$E:$E,"기준(전)",$M:$M,"&gt;0")&lt;&gt;1,"기준(전) 유효 1개 아님",IF(COUNTIFS($C:$C,$C493,$D:$D,$D493,$E:$E,"기준(후)",$M:$M,"&gt;0")&lt;&gt;1,"기준(후) 유효 1개 아님",IF(NOT(AND(ISNUMBER(O493),ISNUMBER(Q493),ISNUMBER(I493))),"시각 결측",IF(Q493&lt;=O493,"기준 시각 역전",IF(OR(I493&lt;O493,I493&gt;Q493),"측정시각 구간 밖","OK")))))</f>
        <v/>
      </c>
      <c r="O493" s="48">
        <f>IF(COUNTIFS($C:$C,$C493,$D:$D,$D493,$E:$E,"기준(전)",$M:$M,"&gt;0")&lt;&gt;1,"",SUMIFS($I:$I,$C:$C,$C493,$D:$D,$D493,$E:$E,"기준(전)"))</f>
        <v/>
      </c>
      <c r="P493" s="31">
        <f>IF(COUNTIFS($C:$C,$C493,$D:$D,$D493,$E:$E,"기준(전)",$M:$M,"&gt;0")&lt;&gt;1,"",SUMIFS($M:$M,$C:$C,$C493,$D:$D,$D493,$E:$E,"기준(전)"))</f>
        <v/>
      </c>
      <c r="Q493" s="48">
        <f>IF(COUNTIFS($C:$C,$C493,$D:$D,$D493,$E:$E,"기준(후)",$M:$M,"&gt;0")&lt;&gt;1,"",SUMIFS($I:$I,$C:$C,$C493,$D:$D,$D493,$E:$E,"기준(후)"))</f>
        <v/>
      </c>
      <c r="R493" s="31">
        <f>IF(COUNTIFS($C:$C,$C493,$D:$D,$D493,$E:$E,"기준(후)",$M:$M,"&gt;0")&lt;&gt;1,"",SUMIFS($M:$M,$C:$C,$C493,$D:$D,$D493,$E:$E,"기준(후)"))</f>
        <v/>
      </c>
      <c r="S493" s="31">
        <f>IF(N493&lt;&gt;"OK","",P493+(R493-P493)*(I493-O493)/(Q493-O493))</f>
        <v/>
      </c>
      <c r="T493" s="31">
        <f>IF(OR(N493&lt;&gt;"OK",NOT(ISNUMBER(M493))),"",M493-S493)</f>
        <v/>
      </c>
      <c r="U493" s="49">
        <f>IF(OR($E492&lt;&gt;"측정",$C492&lt;&gt;$C493,$D492&lt;&gt;$D493,NOT(ISNUMBER(M493)),NOT(ISNUMBER(M492)),(IF(ISNUMBER(G493),G493,F493)-IF(ISNUMBER(G492),G492,F492))=0),"",(M493-M492)/((IF(ISNUMBER(G493),G493,F493)-IF(ISNUMBER(G492),G492,F492))/100))</f>
        <v/>
      </c>
      <c r="V493" s="29" t="n"/>
      <c r="W493" s="29" t="n"/>
      <c r="X493" s="32" t="n"/>
    </row>
    <row r="494">
      <c r="A494" s="26" t="inlineStr">
        <is>
          <t>S41</t>
        </is>
      </c>
      <c r="B494" s="26" t="inlineStr">
        <is>
          <t>거제</t>
        </is>
      </c>
      <c r="C494" s="26" t="inlineStr">
        <is>
          <t>S41-V</t>
        </is>
      </c>
      <c r="D494" s="47" t="n">
        <v>1</v>
      </c>
      <c r="E494" s="26" t="inlineStr">
        <is>
          <t>측정</t>
        </is>
      </c>
      <c r="F494" s="47" t="n">
        <v>160</v>
      </c>
      <c r="G494" s="41" t="n"/>
      <c r="H494" s="29" t="n"/>
      <c r="I494" s="43" t="n"/>
      <c r="J494" s="41" t="n"/>
      <c r="K494" s="41" t="n"/>
      <c r="L494" s="41" t="n"/>
      <c r="M494" s="31">
        <f>IF(COUNT(J494:L494)=0,"",MEDIAN(J494:L494))</f>
        <v/>
      </c>
      <c r="N494" s="26">
        <f>IF(COUNTIFS($C:$C,$C494,$D:$D,$D494,$E:$E,"기준(전)",$M:$M,"&gt;0")&lt;&gt;1,"기준(전) 유효 1개 아님",IF(COUNTIFS($C:$C,$C494,$D:$D,$D494,$E:$E,"기준(후)",$M:$M,"&gt;0")&lt;&gt;1,"기준(후) 유효 1개 아님",IF(NOT(AND(ISNUMBER(O494),ISNUMBER(Q494),ISNUMBER(I494))),"시각 결측",IF(Q494&lt;=O494,"기준 시각 역전",IF(OR(I494&lt;O494,I494&gt;Q494),"측정시각 구간 밖","OK")))))</f>
        <v/>
      </c>
      <c r="O494" s="48">
        <f>IF(COUNTIFS($C:$C,$C494,$D:$D,$D494,$E:$E,"기준(전)",$M:$M,"&gt;0")&lt;&gt;1,"",SUMIFS($I:$I,$C:$C,$C494,$D:$D,$D494,$E:$E,"기준(전)"))</f>
        <v/>
      </c>
      <c r="P494" s="31">
        <f>IF(COUNTIFS($C:$C,$C494,$D:$D,$D494,$E:$E,"기준(전)",$M:$M,"&gt;0")&lt;&gt;1,"",SUMIFS($M:$M,$C:$C,$C494,$D:$D,$D494,$E:$E,"기준(전)"))</f>
        <v/>
      </c>
      <c r="Q494" s="48">
        <f>IF(COUNTIFS($C:$C,$C494,$D:$D,$D494,$E:$E,"기준(후)",$M:$M,"&gt;0")&lt;&gt;1,"",SUMIFS($I:$I,$C:$C,$C494,$D:$D,$D494,$E:$E,"기준(후)"))</f>
        <v/>
      </c>
      <c r="R494" s="31">
        <f>IF(COUNTIFS($C:$C,$C494,$D:$D,$D494,$E:$E,"기준(후)",$M:$M,"&gt;0")&lt;&gt;1,"",SUMIFS($M:$M,$C:$C,$C494,$D:$D,$D494,$E:$E,"기준(후)"))</f>
        <v/>
      </c>
      <c r="S494" s="31">
        <f>IF(N494&lt;&gt;"OK","",P494+(R494-P494)*(I494-O494)/(Q494-O494))</f>
        <v/>
      </c>
      <c r="T494" s="31">
        <f>IF(OR(N494&lt;&gt;"OK",NOT(ISNUMBER(M494))),"",M494-S494)</f>
        <v/>
      </c>
      <c r="U494" s="49">
        <f>IF(OR($E493&lt;&gt;"측정",$C493&lt;&gt;$C494,$D493&lt;&gt;$D494,NOT(ISNUMBER(M494)),NOT(ISNUMBER(M493)),(IF(ISNUMBER(G494),G494,F494)-IF(ISNUMBER(G493),G493,F493))=0),"",(M494-M493)/((IF(ISNUMBER(G494),G494,F494)-IF(ISNUMBER(G493),G493,F493))/100))</f>
        <v/>
      </c>
      <c r="V494" s="29" t="n"/>
      <c r="W494" s="29" t="n"/>
      <c r="X494" s="32" t="n"/>
    </row>
    <row r="495">
      <c r="A495" s="26" t="inlineStr">
        <is>
          <t>S41</t>
        </is>
      </c>
      <c r="B495" s="26" t="inlineStr">
        <is>
          <t>거제</t>
        </is>
      </c>
      <c r="C495" s="26" t="inlineStr">
        <is>
          <t>S41-V</t>
        </is>
      </c>
      <c r="D495" s="47" t="n">
        <v>1</v>
      </c>
      <c r="E495" s="26" t="inlineStr">
        <is>
          <t>측정</t>
        </is>
      </c>
      <c r="F495" s="47" t="n">
        <v>180</v>
      </c>
      <c r="G495" s="41" t="n"/>
      <c r="H495" s="29" t="n"/>
      <c r="I495" s="43" t="n"/>
      <c r="J495" s="41" t="n"/>
      <c r="K495" s="41" t="n"/>
      <c r="L495" s="41" t="n"/>
      <c r="M495" s="31">
        <f>IF(COUNT(J495:L495)=0,"",MEDIAN(J495:L495))</f>
        <v/>
      </c>
      <c r="N495" s="26">
        <f>IF(COUNTIFS($C:$C,$C495,$D:$D,$D495,$E:$E,"기준(전)",$M:$M,"&gt;0")&lt;&gt;1,"기준(전) 유효 1개 아님",IF(COUNTIFS($C:$C,$C495,$D:$D,$D495,$E:$E,"기준(후)",$M:$M,"&gt;0")&lt;&gt;1,"기준(후) 유효 1개 아님",IF(NOT(AND(ISNUMBER(O495),ISNUMBER(Q495),ISNUMBER(I495))),"시각 결측",IF(Q495&lt;=O495,"기준 시각 역전",IF(OR(I495&lt;O495,I495&gt;Q495),"측정시각 구간 밖","OK")))))</f>
        <v/>
      </c>
      <c r="O495" s="48">
        <f>IF(COUNTIFS($C:$C,$C495,$D:$D,$D495,$E:$E,"기준(전)",$M:$M,"&gt;0")&lt;&gt;1,"",SUMIFS($I:$I,$C:$C,$C495,$D:$D,$D495,$E:$E,"기준(전)"))</f>
        <v/>
      </c>
      <c r="P495" s="31">
        <f>IF(COUNTIFS($C:$C,$C495,$D:$D,$D495,$E:$E,"기준(전)",$M:$M,"&gt;0")&lt;&gt;1,"",SUMIFS($M:$M,$C:$C,$C495,$D:$D,$D495,$E:$E,"기준(전)"))</f>
        <v/>
      </c>
      <c r="Q495" s="48">
        <f>IF(COUNTIFS($C:$C,$C495,$D:$D,$D495,$E:$E,"기준(후)",$M:$M,"&gt;0")&lt;&gt;1,"",SUMIFS($I:$I,$C:$C,$C495,$D:$D,$D495,$E:$E,"기준(후)"))</f>
        <v/>
      </c>
      <c r="R495" s="31">
        <f>IF(COUNTIFS($C:$C,$C495,$D:$D,$D495,$E:$E,"기준(후)",$M:$M,"&gt;0")&lt;&gt;1,"",SUMIFS($M:$M,$C:$C,$C495,$D:$D,$D495,$E:$E,"기준(후)"))</f>
        <v/>
      </c>
      <c r="S495" s="31">
        <f>IF(N495&lt;&gt;"OK","",P495+(R495-P495)*(I495-O495)/(Q495-O495))</f>
        <v/>
      </c>
      <c r="T495" s="31">
        <f>IF(OR(N495&lt;&gt;"OK",NOT(ISNUMBER(M495))),"",M495-S495)</f>
        <v/>
      </c>
      <c r="U495" s="49">
        <f>IF(OR($E494&lt;&gt;"측정",$C494&lt;&gt;$C495,$D494&lt;&gt;$D495,NOT(ISNUMBER(M495)),NOT(ISNUMBER(M494)),(IF(ISNUMBER(G495),G495,F495)-IF(ISNUMBER(G494),G494,F494))=0),"",(M495-M494)/((IF(ISNUMBER(G495),G495,F495)-IF(ISNUMBER(G494),G494,F494))/100))</f>
        <v/>
      </c>
      <c r="V495" s="29" t="n"/>
      <c r="W495" s="29" t="n"/>
      <c r="X495" s="32" t="n"/>
    </row>
    <row r="496">
      <c r="A496" s="26" t="inlineStr">
        <is>
          <t>S41</t>
        </is>
      </c>
      <c r="B496" s="26" t="inlineStr">
        <is>
          <t>거제</t>
        </is>
      </c>
      <c r="C496" s="26" t="inlineStr">
        <is>
          <t>S41-V</t>
        </is>
      </c>
      <c r="D496" s="47" t="n">
        <v>1</v>
      </c>
      <c r="E496" s="26" t="inlineStr">
        <is>
          <t>측정</t>
        </is>
      </c>
      <c r="F496" s="47" t="n">
        <v>200</v>
      </c>
      <c r="G496" s="41" t="n"/>
      <c r="H496" s="29" t="n"/>
      <c r="I496" s="43" t="n"/>
      <c r="J496" s="41" t="n"/>
      <c r="K496" s="41" t="n"/>
      <c r="L496" s="41" t="n"/>
      <c r="M496" s="31">
        <f>IF(COUNT(J496:L496)=0,"",MEDIAN(J496:L496))</f>
        <v/>
      </c>
      <c r="N496" s="26">
        <f>IF(COUNTIFS($C:$C,$C496,$D:$D,$D496,$E:$E,"기준(전)",$M:$M,"&gt;0")&lt;&gt;1,"기준(전) 유효 1개 아님",IF(COUNTIFS($C:$C,$C496,$D:$D,$D496,$E:$E,"기준(후)",$M:$M,"&gt;0")&lt;&gt;1,"기준(후) 유효 1개 아님",IF(NOT(AND(ISNUMBER(O496),ISNUMBER(Q496),ISNUMBER(I496))),"시각 결측",IF(Q496&lt;=O496,"기준 시각 역전",IF(OR(I496&lt;O496,I496&gt;Q496),"측정시각 구간 밖","OK")))))</f>
        <v/>
      </c>
      <c r="O496" s="48">
        <f>IF(COUNTIFS($C:$C,$C496,$D:$D,$D496,$E:$E,"기준(전)",$M:$M,"&gt;0")&lt;&gt;1,"",SUMIFS($I:$I,$C:$C,$C496,$D:$D,$D496,$E:$E,"기준(전)"))</f>
        <v/>
      </c>
      <c r="P496" s="31">
        <f>IF(COUNTIFS($C:$C,$C496,$D:$D,$D496,$E:$E,"기준(전)",$M:$M,"&gt;0")&lt;&gt;1,"",SUMIFS($M:$M,$C:$C,$C496,$D:$D,$D496,$E:$E,"기준(전)"))</f>
        <v/>
      </c>
      <c r="Q496" s="48">
        <f>IF(COUNTIFS($C:$C,$C496,$D:$D,$D496,$E:$E,"기준(후)",$M:$M,"&gt;0")&lt;&gt;1,"",SUMIFS($I:$I,$C:$C,$C496,$D:$D,$D496,$E:$E,"기준(후)"))</f>
        <v/>
      </c>
      <c r="R496" s="31">
        <f>IF(COUNTIFS($C:$C,$C496,$D:$D,$D496,$E:$E,"기준(후)",$M:$M,"&gt;0")&lt;&gt;1,"",SUMIFS($M:$M,$C:$C,$C496,$D:$D,$D496,$E:$E,"기준(후)"))</f>
        <v/>
      </c>
      <c r="S496" s="31">
        <f>IF(N496&lt;&gt;"OK","",P496+(R496-P496)*(I496-O496)/(Q496-O496))</f>
        <v/>
      </c>
      <c r="T496" s="31">
        <f>IF(OR(N496&lt;&gt;"OK",NOT(ISNUMBER(M496))),"",M496-S496)</f>
        <v/>
      </c>
      <c r="U496" s="49">
        <f>IF(OR($E495&lt;&gt;"측정",$C495&lt;&gt;$C496,$D495&lt;&gt;$D496,NOT(ISNUMBER(M496)),NOT(ISNUMBER(M495)),(IF(ISNUMBER(G496),G496,F496)-IF(ISNUMBER(G495),G495,F495))=0),"",(M496-M495)/((IF(ISNUMBER(G496),G496,F496)-IF(ISNUMBER(G495),G495,F495))/100))</f>
        <v/>
      </c>
      <c r="V496" s="29" t="n"/>
      <c r="W496" s="29" t="n"/>
      <c r="X496" s="32" t="n"/>
    </row>
    <row r="497">
      <c r="A497" s="44" t="inlineStr">
        <is>
          <t>S41</t>
        </is>
      </c>
      <c r="B497" s="44" t="inlineStr">
        <is>
          <t>거제</t>
        </is>
      </c>
      <c r="C497" s="44" t="inlineStr">
        <is>
          <t>S41-V</t>
        </is>
      </c>
      <c r="D497" s="45" t="n">
        <v>1</v>
      </c>
      <c r="E497" s="44" t="inlineStr">
        <is>
          <t>기준(후)</t>
        </is>
      </c>
      <c r="F497" s="45" t="n"/>
      <c r="G497" s="41" t="n"/>
      <c r="H497" s="29" t="n"/>
      <c r="I497" s="43" t="n"/>
      <c r="J497" s="41" t="n"/>
      <c r="K497" s="41" t="n"/>
      <c r="L497" s="41" t="n"/>
      <c r="M497" s="31">
        <f>IF(COUNT(J497:L497)=0,"",MEDIAN(J497:L497))</f>
        <v/>
      </c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29" t="n"/>
      <c r="W497" s="29" t="n"/>
      <c r="X497" s="32" t="n"/>
    </row>
    <row r="498">
      <c r="A498" s="44" t="inlineStr">
        <is>
          <t>S42</t>
        </is>
      </c>
      <c r="B498" s="44" t="inlineStr">
        <is>
          <t>조도</t>
        </is>
      </c>
      <c r="C498" s="44" t="inlineStr">
        <is>
          <t>S42-V</t>
        </is>
      </c>
      <c r="D498" s="45" t="n">
        <v>1</v>
      </c>
      <c r="E498" s="44" t="inlineStr">
        <is>
          <t>기준(전)</t>
        </is>
      </c>
      <c r="F498" s="45" t="n"/>
      <c r="G498" s="41" t="n"/>
      <c r="H498" s="29" t="n"/>
      <c r="I498" s="43" t="n"/>
      <c r="J498" s="41" t="n"/>
      <c r="K498" s="41" t="n"/>
      <c r="L498" s="41" t="n"/>
      <c r="M498" s="31">
        <f>IF(COUNT(J498:L498)=0,"",MEDIAN(J498:L498))</f>
        <v/>
      </c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29" t="n"/>
      <c r="W498" s="29" t="n"/>
      <c r="X498" s="32" t="n"/>
    </row>
    <row r="499">
      <c r="A499" s="26" t="inlineStr">
        <is>
          <t>S42</t>
        </is>
      </c>
      <c r="B499" s="26" t="inlineStr">
        <is>
          <t>조도</t>
        </is>
      </c>
      <c r="C499" s="26" t="inlineStr">
        <is>
          <t>S42-V</t>
        </is>
      </c>
      <c r="D499" s="47" t="n">
        <v>1</v>
      </c>
      <c r="E499" s="26" t="inlineStr">
        <is>
          <t>측정</t>
        </is>
      </c>
      <c r="F499" s="47" t="n">
        <v>20</v>
      </c>
      <c r="G499" s="41" t="n"/>
      <c r="H499" s="29" t="n"/>
      <c r="I499" s="43" t="n"/>
      <c r="J499" s="41" t="n"/>
      <c r="K499" s="41" t="n"/>
      <c r="L499" s="41" t="n"/>
      <c r="M499" s="31">
        <f>IF(COUNT(J499:L499)=0,"",MEDIAN(J499:L499))</f>
        <v/>
      </c>
      <c r="N499" s="26">
        <f>IF(COUNTIFS($C:$C,$C499,$D:$D,$D499,$E:$E,"기준(전)",$M:$M,"&gt;0")&lt;&gt;1,"기준(전) 유효 1개 아님",IF(COUNTIFS($C:$C,$C499,$D:$D,$D499,$E:$E,"기준(후)",$M:$M,"&gt;0")&lt;&gt;1,"기준(후) 유효 1개 아님",IF(NOT(AND(ISNUMBER(O499),ISNUMBER(Q499),ISNUMBER(I499))),"시각 결측",IF(Q499&lt;=O499,"기준 시각 역전",IF(OR(I499&lt;O499,I499&gt;Q499),"측정시각 구간 밖","OK")))))</f>
        <v/>
      </c>
      <c r="O499" s="48">
        <f>IF(COUNTIFS($C:$C,$C499,$D:$D,$D499,$E:$E,"기준(전)",$M:$M,"&gt;0")&lt;&gt;1,"",SUMIFS($I:$I,$C:$C,$C499,$D:$D,$D499,$E:$E,"기준(전)"))</f>
        <v/>
      </c>
      <c r="P499" s="31">
        <f>IF(COUNTIFS($C:$C,$C499,$D:$D,$D499,$E:$E,"기준(전)",$M:$M,"&gt;0")&lt;&gt;1,"",SUMIFS($M:$M,$C:$C,$C499,$D:$D,$D499,$E:$E,"기준(전)"))</f>
        <v/>
      </c>
      <c r="Q499" s="48">
        <f>IF(COUNTIFS($C:$C,$C499,$D:$D,$D499,$E:$E,"기준(후)",$M:$M,"&gt;0")&lt;&gt;1,"",SUMIFS($I:$I,$C:$C,$C499,$D:$D,$D499,$E:$E,"기준(후)"))</f>
        <v/>
      </c>
      <c r="R499" s="31">
        <f>IF(COUNTIFS($C:$C,$C499,$D:$D,$D499,$E:$E,"기준(후)",$M:$M,"&gt;0")&lt;&gt;1,"",SUMIFS($M:$M,$C:$C,$C499,$D:$D,$D499,$E:$E,"기준(후)"))</f>
        <v/>
      </c>
      <c r="S499" s="31">
        <f>IF(N499&lt;&gt;"OK","",P499+(R499-P499)*(I499-O499)/(Q499-O499))</f>
        <v/>
      </c>
      <c r="T499" s="31">
        <f>IF(OR(N499&lt;&gt;"OK",NOT(ISNUMBER(M499))),"",M499-S499)</f>
        <v/>
      </c>
      <c r="U499" s="49">
        <f>IF(OR($E498&lt;&gt;"측정",$C498&lt;&gt;$C499,$D498&lt;&gt;$D499,NOT(ISNUMBER(M499)),NOT(ISNUMBER(M498)),(IF(ISNUMBER(G499),G499,F499)-IF(ISNUMBER(G498),G498,F498))=0),"",(M499-M498)/((IF(ISNUMBER(G499),G499,F499)-IF(ISNUMBER(G498),G498,F498))/100))</f>
        <v/>
      </c>
      <c r="V499" s="29" t="n"/>
      <c r="W499" s="29" t="n"/>
      <c r="X499" s="32" t="n"/>
    </row>
    <row r="500">
      <c r="A500" s="26" t="inlineStr">
        <is>
          <t>S42</t>
        </is>
      </c>
      <c r="B500" s="26" t="inlineStr">
        <is>
          <t>조도</t>
        </is>
      </c>
      <c r="C500" s="26" t="inlineStr">
        <is>
          <t>S42-V</t>
        </is>
      </c>
      <c r="D500" s="47" t="n">
        <v>1</v>
      </c>
      <c r="E500" s="26" t="inlineStr">
        <is>
          <t>측정</t>
        </is>
      </c>
      <c r="F500" s="47" t="n">
        <v>40</v>
      </c>
      <c r="G500" s="41" t="n"/>
      <c r="H500" s="29" t="n"/>
      <c r="I500" s="43" t="n"/>
      <c r="J500" s="41" t="n"/>
      <c r="K500" s="41" t="n"/>
      <c r="L500" s="41" t="n"/>
      <c r="M500" s="31">
        <f>IF(COUNT(J500:L500)=0,"",MEDIAN(J500:L500))</f>
        <v/>
      </c>
      <c r="N500" s="26">
        <f>IF(COUNTIFS($C:$C,$C500,$D:$D,$D500,$E:$E,"기준(전)",$M:$M,"&gt;0")&lt;&gt;1,"기준(전) 유효 1개 아님",IF(COUNTIFS($C:$C,$C500,$D:$D,$D500,$E:$E,"기준(후)",$M:$M,"&gt;0")&lt;&gt;1,"기준(후) 유효 1개 아님",IF(NOT(AND(ISNUMBER(O500),ISNUMBER(Q500),ISNUMBER(I500))),"시각 결측",IF(Q500&lt;=O500,"기준 시각 역전",IF(OR(I500&lt;O500,I500&gt;Q500),"측정시각 구간 밖","OK")))))</f>
        <v/>
      </c>
      <c r="O500" s="48">
        <f>IF(COUNTIFS($C:$C,$C500,$D:$D,$D500,$E:$E,"기준(전)",$M:$M,"&gt;0")&lt;&gt;1,"",SUMIFS($I:$I,$C:$C,$C500,$D:$D,$D500,$E:$E,"기준(전)"))</f>
        <v/>
      </c>
      <c r="P500" s="31">
        <f>IF(COUNTIFS($C:$C,$C500,$D:$D,$D500,$E:$E,"기준(전)",$M:$M,"&gt;0")&lt;&gt;1,"",SUMIFS($M:$M,$C:$C,$C500,$D:$D,$D500,$E:$E,"기준(전)"))</f>
        <v/>
      </c>
      <c r="Q500" s="48">
        <f>IF(COUNTIFS($C:$C,$C500,$D:$D,$D500,$E:$E,"기준(후)",$M:$M,"&gt;0")&lt;&gt;1,"",SUMIFS($I:$I,$C:$C,$C500,$D:$D,$D500,$E:$E,"기준(후)"))</f>
        <v/>
      </c>
      <c r="R500" s="31">
        <f>IF(COUNTIFS($C:$C,$C500,$D:$D,$D500,$E:$E,"기준(후)",$M:$M,"&gt;0")&lt;&gt;1,"",SUMIFS($M:$M,$C:$C,$C500,$D:$D,$D500,$E:$E,"기준(후)"))</f>
        <v/>
      </c>
      <c r="S500" s="31">
        <f>IF(N500&lt;&gt;"OK","",P500+(R500-P500)*(I500-O500)/(Q500-O500))</f>
        <v/>
      </c>
      <c r="T500" s="31">
        <f>IF(OR(N500&lt;&gt;"OK",NOT(ISNUMBER(M500))),"",M500-S500)</f>
        <v/>
      </c>
      <c r="U500" s="49">
        <f>IF(OR($E499&lt;&gt;"측정",$C499&lt;&gt;$C500,$D499&lt;&gt;$D500,NOT(ISNUMBER(M500)),NOT(ISNUMBER(M499)),(IF(ISNUMBER(G500),G500,F500)-IF(ISNUMBER(G499),G499,F499))=0),"",(M500-M499)/((IF(ISNUMBER(G500),G500,F500)-IF(ISNUMBER(G499),G499,F499))/100))</f>
        <v/>
      </c>
      <c r="V500" s="29" t="n"/>
      <c r="W500" s="29" t="n"/>
      <c r="X500" s="32" t="n"/>
    </row>
    <row r="501">
      <c r="A501" s="26" t="inlineStr">
        <is>
          <t>S42</t>
        </is>
      </c>
      <c r="B501" s="26" t="inlineStr">
        <is>
          <t>조도</t>
        </is>
      </c>
      <c r="C501" s="26" t="inlineStr">
        <is>
          <t>S42-V</t>
        </is>
      </c>
      <c r="D501" s="47" t="n">
        <v>1</v>
      </c>
      <c r="E501" s="26" t="inlineStr">
        <is>
          <t>측정</t>
        </is>
      </c>
      <c r="F501" s="47" t="n">
        <v>60</v>
      </c>
      <c r="G501" s="41" t="n"/>
      <c r="H501" s="29" t="n"/>
      <c r="I501" s="43" t="n"/>
      <c r="J501" s="41" t="n"/>
      <c r="K501" s="41" t="n"/>
      <c r="L501" s="41" t="n"/>
      <c r="M501" s="31">
        <f>IF(COUNT(J501:L501)=0,"",MEDIAN(J501:L501))</f>
        <v/>
      </c>
      <c r="N501" s="26">
        <f>IF(COUNTIFS($C:$C,$C501,$D:$D,$D501,$E:$E,"기준(전)",$M:$M,"&gt;0")&lt;&gt;1,"기준(전) 유효 1개 아님",IF(COUNTIFS($C:$C,$C501,$D:$D,$D501,$E:$E,"기준(후)",$M:$M,"&gt;0")&lt;&gt;1,"기준(후) 유효 1개 아님",IF(NOT(AND(ISNUMBER(O501),ISNUMBER(Q501),ISNUMBER(I501))),"시각 결측",IF(Q501&lt;=O501,"기준 시각 역전",IF(OR(I501&lt;O501,I501&gt;Q501),"측정시각 구간 밖","OK")))))</f>
        <v/>
      </c>
      <c r="O501" s="48">
        <f>IF(COUNTIFS($C:$C,$C501,$D:$D,$D501,$E:$E,"기준(전)",$M:$M,"&gt;0")&lt;&gt;1,"",SUMIFS($I:$I,$C:$C,$C501,$D:$D,$D501,$E:$E,"기준(전)"))</f>
        <v/>
      </c>
      <c r="P501" s="31">
        <f>IF(COUNTIFS($C:$C,$C501,$D:$D,$D501,$E:$E,"기준(전)",$M:$M,"&gt;0")&lt;&gt;1,"",SUMIFS($M:$M,$C:$C,$C501,$D:$D,$D501,$E:$E,"기준(전)"))</f>
        <v/>
      </c>
      <c r="Q501" s="48">
        <f>IF(COUNTIFS($C:$C,$C501,$D:$D,$D501,$E:$E,"기준(후)",$M:$M,"&gt;0")&lt;&gt;1,"",SUMIFS($I:$I,$C:$C,$C501,$D:$D,$D501,$E:$E,"기준(후)"))</f>
        <v/>
      </c>
      <c r="R501" s="31">
        <f>IF(COUNTIFS($C:$C,$C501,$D:$D,$D501,$E:$E,"기준(후)",$M:$M,"&gt;0")&lt;&gt;1,"",SUMIFS($M:$M,$C:$C,$C501,$D:$D,$D501,$E:$E,"기준(후)"))</f>
        <v/>
      </c>
      <c r="S501" s="31">
        <f>IF(N501&lt;&gt;"OK","",P501+(R501-P501)*(I501-O501)/(Q501-O501))</f>
        <v/>
      </c>
      <c r="T501" s="31">
        <f>IF(OR(N501&lt;&gt;"OK",NOT(ISNUMBER(M501))),"",M501-S501)</f>
        <v/>
      </c>
      <c r="U501" s="49">
        <f>IF(OR($E500&lt;&gt;"측정",$C500&lt;&gt;$C501,$D500&lt;&gt;$D501,NOT(ISNUMBER(M501)),NOT(ISNUMBER(M500)),(IF(ISNUMBER(G501),G501,F501)-IF(ISNUMBER(G500),G500,F500))=0),"",(M501-M500)/((IF(ISNUMBER(G501),G501,F501)-IF(ISNUMBER(G500),G500,F500))/100))</f>
        <v/>
      </c>
      <c r="V501" s="29" t="n"/>
      <c r="W501" s="29" t="n"/>
      <c r="X501" s="32" t="n"/>
    </row>
    <row r="502">
      <c r="A502" s="26" t="inlineStr">
        <is>
          <t>S42</t>
        </is>
      </c>
      <c r="B502" s="26" t="inlineStr">
        <is>
          <t>조도</t>
        </is>
      </c>
      <c r="C502" s="26" t="inlineStr">
        <is>
          <t>S42-V</t>
        </is>
      </c>
      <c r="D502" s="47" t="n">
        <v>1</v>
      </c>
      <c r="E502" s="26" t="inlineStr">
        <is>
          <t>측정</t>
        </is>
      </c>
      <c r="F502" s="47" t="n">
        <v>80</v>
      </c>
      <c r="G502" s="41" t="n"/>
      <c r="H502" s="29" t="n"/>
      <c r="I502" s="43" t="n"/>
      <c r="J502" s="41" t="n"/>
      <c r="K502" s="41" t="n"/>
      <c r="L502" s="41" t="n"/>
      <c r="M502" s="31">
        <f>IF(COUNT(J502:L502)=0,"",MEDIAN(J502:L502))</f>
        <v/>
      </c>
      <c r="N502" s="26">
        <f>IF(COUNTIFS($C:$C,$C502,$D:$D,$D502,$E:$E,"기준(전)",$M:$M,"&gt;0")&lt;&gt;1,"기준(전) 유효 1개 아님",IF(COUNTIFS($C:$C,$C502,$D:$D,$D502,$E:$E,"기준(후)",$M:$M,"&gt;0")&lt;&gt;1,"기준(후) 유효 1개 아님",IF(NOT(AND(ISNUMBER(O502),ISNUMBER(Q502),ISNUMBER(I502))),"시각 결측",IF(Q502&lt;=O502,"기준 시각 역전",IF(OR(I502&lt;O502,I502&gt;Q502),"측정시각 구간 밖","OK")))))</f>
        <v/>
      </c>
      <c r="O502" s="48">
        <f>IF(COUNTIFS($C:$C,$C502,$D:$D,$D502,$E:$E,"기준(전)",$M:$M,"&gt;0")&lt;&gt;1,"",SUMIFS($I:$I,$C:$C,$C502,$D:$D,$D502,$E:$E,"기준(전)"))</f>
        <v/>
      </c>
      <c r="P502" s="31">
        <f>IF(COUNTIFS($C:$C,$C502,$D:$D,$D502,$E:$E,"기준(전)",$M:$M,"&gt;0")&lt;&gt;1,"",SUMIFS($M:$M,$C:$C,$C502,$D:$D,$D502,$E:$E,"기준(전)"))</f>
        <v/>
      </c>
      <c r="Q502" s="48">
        <f>IF(COUNTIFS($C:$C,$C502,$D:$D,$D502,$E:$E,"기준(후)",$M:$M,"&gt;0")&lt;&gt;1,"",SUMIFS($I:$I,$C:$C,$C502,$D:$D,$D502,$E:$E,"기준(후)"))</f>
        <v/>
      </c>
      <c r="R502" s="31">
        <f>IF(COUNTIFS($C:$C,$C502,$D:$D,$D502,$E:$E,"기준(후)",$M:$M,"&gt;0")&lt;&gt;1,"",SUMIFS($M:$M,$C:$C,$C502,$D:$D,$D502,$E:$E,"기준(후)"))</f>
        <v/>
      </c>
      <c r="S502" s="31">
        <f>IF(N502&lt;&gt;"OK","",P502+(R502-P502)*(I502-O502)/(Q502-O502))</f>
        <v/>
      </c>
      <c r="T502" s="31">
        <f>IF(OR(N502&lt;&gt;"OK",NOT(ISNUMBER(M502))),"",M502-S502)</f>
        <v/>
      </c>
      <c r="U502" s="49">
        <f>IF(OR($E501&lt;&gt;"측정",$C501&lt;&gt;$C502,$D501&lt;&gt;$D502,NOT(ISNUMBER(M502)),NOT(ISNUMBER(M501)),(IF(ISNUMBER(G502),G502,F502)-IF(ISNUMBER(G501),G501,F501))=0),"",(M502-M501)/((IF(ISNUMBER(G502),G502,F502)-IF(ISNUMBER(G501),G501,F501))/100))</f>
        <v/>
      </c>
      <c r="V502" s="29" t="n"/>
      <c r="W502" s="29" t="n"/>
      <c r="X502" s="32" t="n"/>
    </row>
    <row r="503">
      <c r="A503" s="26" t="inlineStr">
        <is>
          <t>S42</t>
        </is>
      </c>
      <c r="B503" s="26" t="inlineStr">
        <is>
          <t>조도</t>
        </is>
      </c>
      <c r="C503" s="26" t="inlineStr">
        <is>
          <t>S42-V</t>
        </is>
      </c>
      <c r="D503" s="47" t="n">
        <v>1</v>
      </c>
      <c r="E503" s="26" t="inlineStr">
        <is>
          <t>측정</t>
        </is>
      </c>
      <c r="F503" s="47" t="n">
        <v>100</v>
      </c>
      <c r="G503" s="41" t="n"/>
      <c r="H503" s="29" t="n"/>
      <c r="I503" s="43" t="n"/>
      <c r="J503" s="41" t="n"/>
      <c r="K503" s="41" t="n"/>
      <c r="L503" s="41" t="n"/>
      <c r="M503" s="31">
        <f>IF(COUNT(J503:L503)=0,"",MEDIAN(J503:L503))</f>
        <v/>
      </c>
      <c r="N503" s="26">
        <f>IF(COUNTIFS($C:$C,$C503,$D:$D,$D503,$E:$E,"기준(전)",$M:$M,"&gt;0")&lt;&gt;1,"기준(전) 유효 1개 아님",IF(COUNTIFS($C:$C,$C503,$D:$D,$D503,$E:$E,"기준(후)",$M:$M,"&gt;0")&lt;&gt;1,"기준(후) 유효 1개 아님",IF(NOT(AND(ISNUMBER(O503),ISNUMBER(Q503),ISNUMBER(I503))),"시각 결측",IF(Q503&lt;=O503,"기준 시각 역전",IF(OR(I503&lt;O503,I503&gt;Q503),"측정시각 구간 밖","OK")))))</f>
        <v/>
      </c>
      <c r="O503" s="48">
        <f>IF(COUNTIFS($C:$C,$C503,$D:$D,$D503,$E:$E,"기준(전)",$M:$M,"&gt;0")&lt;&gt;1,"",SUMIFS($I:$I,$C:$C,$C503,$D:$D,$D503,$E:$E,"기준(전)"))</f>
        <v/>
      </c>
      <c r="P503" s="31">
        <f>IF(COUNTIFS($C:$C,$C503,$D:$D,$D503,$E:$E,"기준(전)",$M:$M,"&gt;0")&lt;&gt;1,"",SUMIFS($M:$M,$C:$C,$C503,$D:$D,$D503,$E:$E,"기준(전)"))</f>
        <v/>
      </c>
      <c r="Q503" s="48">
        <f>IF(COUNTIFS($C:$C,$C503,$D:$D,$D503,$E:$E,"기준(후)",$M:$M,"&gt;0")&lt;&gt;1,"",SUMIFS($I:$I,$C:$C,$C503,$D:$D,$D503,$E:$E,"기준(후)"))</f>
        <v/>
      </c>
      <c r="R503" s="31">
        <f>IF(COUNTIFS($C:$C,$C503,$D:$D,$D503,$E:$E,"기준(후)",$M:$M,"&gt;0")&lt;&gt;1,"",SUMIFS($M:$M,$C:$C,$C503,$D:$D,$D503,$E:$E,"기준(후)"))</f>
        <v/>
      </c>
      <c r="S503" s="31">
        <f>IF(N503&lt;&gt;"OK","",P503+(R503-P503)*(I503-O503)/(Q503-O503))</f>
        <v/>
      </c>
      <c r="T503" s="31">
        <f>IF(OR(N503&lt;&gt;"OK",NOT(ISNUMBER(M503))),"",M503-S503)</f>
        <v/>
      </c>
      <c r="U503" s="49">
        <f>IF(OR($E502&lt;&gt;"측정",$C502&lt;&gt;$C503,$D502&lt;&gt;$D503,NOT(ISNUMBER(M503)),NOT(ISNUMBER(M502)),(IF(ISNUMBER(G503),G503,F503)-IF(ISNUMBER(G502),G502,F502))=0),"",(M503-M502)/((IF(ISNUMBER(G503),G503,F503)-IF(ISNUMBER(G502),G502,F502))/100))</f>
        <v/>
      </c>
      <c r="V503" s="29" t="n"/>
      <c r="W503" s="29" t="n"/>
      <c r="X503" s="32" t="n"/>
    </row>
    <row r="504">
      <c r="A504" s="26" t="inlineStr">
        <is>
          <t>S42</t>
        </is>
      </c>
      <c r="B504" s="26" t="inlineStr">
        <is>
          <t>조도</t>
        </is>
      </c>
      <c r="C504" s="26" t="inlineStr">
        <is>
          <t>S42-V</t>
        </is>
      </c>
      <c r="D504" s="47" t="n">
        <v>1</v>
      </c>
      <c r="E504" s="26" t="inlineStr">
        <is>
          <t>측정</t>
        </is>
      </c>
      <c r="F504" s="47" t="n">
        <v>120</v>
      </c>
      <c r="G504" s="41" t="n"/>
      <c r="H504" s="29" t="n"/>
      <c r="I504" s="43" t="n"/>
      <c r="J504" s="41" t="n"/>
      <c r="K504" s="41" t="n"/>
      <c r="L504" s="41" t="n"/>
      <c r="M504" s="31">
        <f>IF(COUNT(J504:L504)=0,"",MEDIAN(J504:L504))</f>
        <v/>
      </c>
      <c r="N504" s="26">
        <f>IF(COUNTIFS($C:$C,$C504,$D:$D,$D504,$E:$E,"기준(전)",$M:$M,"&gt;0")&lt;&gt;1,"기준(전) 유효 1개 아님",IF(COUNTIFS($C:$C,$C504,$D:$D,$D504,$E:$E,"기준(후)",$M:$M,"&gt;0")&lt;&gt;1,"기준(후) 유효 1개 아님",IF(NOT(AND(ISNUMBER(O504),ISNUMBER(Q504),ISNUMBER(I504))),"시각 결측",IF(Q504&lt;=O504,"기준 시각 역전",IF(OR(I504&lt;O504,I504&gt;Q504),"측정시각 구간 밖","OK")))))</f>
        <v/>
      </c>
      <c r="O504" s="48">
        <f>IF(COUNTIFS($C:$C,$C504,$D:$D,$D504,$E:$E,"기준(전)",$M:$M,"&gt;0")&lt;&gt;1,"",SUMIFS($I:$I,$C:$C,$C504,$D:$D,$D504,$E:$E,"기준(전)"))</f>
        <v/>
      </c>
      <c r="P504" s="31">
        <f>IF(COUNTIFS($C:$C,$C504,$D:$D,$D504,$E:$E,"기준(전)",$M:$M,"&gt;0")&lt;&gt;1,"",SUMIFS($M:$M,$C:$C,$C504,$D:$D,$D504,$E:$E,"기준(전)"))</f>
        <v/>
      </c>
      <c r="Q504" s="48">
        <f>IF(COUNTIFS($C:$C,$C504,$D:$D,$D504,$E:$E,"기준(후)",$M:$M,"&gt;0")&lt;&gt;1,"",SUMIFS($I:$I,$C:$C,$C504,$D:$D,$D504,$E:$E,"기준(후)"))</f>
        <v/>
      </c>
      <c r="R504" s="31">
        <f>IF(COUNTIFS($C:$C,$C504,$D:$D,$D504,$E:$E,"기준(후)",$M:$M,"&gt;0")&lt;&gt;1,"",SUMIFS($M:$M,$C:$C,$C504,$D:$D,$D504,$E:$E,"기준(후)"))</f>
        <v/>
      </c>
      <c r="S504" s="31">
        <f>IF(N504&lt;&gt;"OK","",P504+(R504-P504)*(I504-O504)/(Q504-O504))</f>
        <v/>
      </c>
      <c r="T504" s="31">
        <f>IF(OR(N504&lt;&gt;"OK",NOT(ISNUMBER(M504))),"",M504-S504)</f>
        <v/>
      </c>
      <c r="U504" s="49">
        <f>IF(OR($E503&lt;&gt;"측정",$C503&lt;&gt;$C504,$D503&lt;&gt;$D504,NOT(ISNUMBER(M504)),NOT(ISNUMBER(M503)),(IF(ISNUMBER(G504),G504,F504)-IF(ISNUMBER(G503),G503,F503))=0),"",(M504-M503)/((IF(ISNUMBER(G504),G504,F504)-IF(ISNUMBER(G503),G503,F503))/100))</f>
        <v/>
      </c>
      <c r="V504" s="29" t="n"/>
      <c r="W504" s="29" t="n"/>
      <c r="X504" s="32" t="n"/>
    </row>
    <row r="505">
      <c r="A505" s="26" t="inlineStr">
        <is>
          <t>S42</t>
        </is>
      </c>
      <c r="B505" s="26" t="inlineStr">
        <is>
          <t>조도</t>
        </is>
      </c>
      <c r="C505" s="26" t="inlineStr">
        <is>
          <t>S42-V</t>
        </is>
      </c>
      <c r="D505" s="47" t="n">
        <v>1</v>
      </c>
      <c r="E505" s="26" t="inlineStr">
        <is>
          <t>측정</t>
        </is>
      </c>
      <c r="F505" s="47" t="n">
        <v>140</v>
      </c>
      <c r="G505" s="41" t="n"/>
      <c r="H505" s="29" t="n"/>
      <c r="I505" s="43" t="n"/>
      <c r="J505" s="41" t="n"/>
      <c r="K505" s="41" t="n"/>
      <c r="L505" s="41" t="n"/>
      <c r="M505" s="31">
        <f>IF(COUNT(J505:L505)=0,"",MEDIAN(J505:L505))</f>
        <v/>
      </c>
      <c r="N505" s="26">
        <f>IF(COUNTIFS($C:$C,$C505,$D:$D,$D505,$E:$E,"기준(전)",$M:$M,"&gt;0")&lt;&gt;1,"기준(전) 유효 1개 아님",IF(COUNTIFS($C:$C,$C505,$D:$D,$D505,$E:$E,"기준(후)",$M:$M,"&gt;0")&lt;&gt;1,"기준(후) 유효 1개 아님",IF(NOT(AND(ISNUMBER(O505),ISNUMBER(Q505),ISNUMBER(I505))),"시각 결측",IF(Q505&lt;=O505,"기준 시각 역전",IF(OR(I505&lt;O505,I505&gt;Q505),"측정시각 구간 밖","OK")))))</f>
        <v/>
      </c>
      <c r="O505" s="48">
        <f>IF(COUNTIFS($C:$C,$C505,$D:$D,$D505,$E:$E,"기준(전)",$M:$M,"&gt;0")&lt;&gt;1,"",SUMIFS($I:$I,$C:$C,$C505,$D:$D,$D505,$E:$E,"기준(전)"))</f>
        <v/>
      </c>
      <c r="P505" s="31">
        <f>IF(COUNTIFS($C:$C,$C505,$D:$D,$D505,$E:$E,"기준(전)",$M:$M,"&gt;0")&lt;&gt;1,"",SUMIFS($M:$M,$C:$C,$C505,$D:$D,$D505,$E:$E,"기준(전)"))</f>
        <v/>
      </c>
      <c r="Q505" s="48">
        <f>IF(COUNTIFS($C:$C,$C505,$D:$D,$D505,$E:$E,"기준(후)",$M:$M,"&gt;0")&lt;&gt;1,"",SUMIFS($I:$I,$C:$C,$C505,$D:$D,$D505,$E:$E,"기준(후)"))</f>
        <v/>
      </c>
      <c r="R505" s="31">
        <f>IF(COUNTIFS($C:$C,$C505,$D:$D,$D505,$E:$E,"기준(후)",$M:$M,"&gt;0")&lt;&gt;1,"",SUMIFS($M:$M,$C:$C,$C505,$D:$D,$D505,$E:$E,"기준(후)"))</f>
        <v/>
      </c>
      <c r="S505" s="31">
        <f>IF(N505&lt;&gt;"OK","",P505+(R505-P505)*(I505-O505)/(Q505-O505))</f>
        <v/>
      </c>
      <c r="T505" s="31">
        <f>IF(OR(N505&lt;&gt;"OK",NOT(ISNUMBER(M505))),"",M505-S505)</f>
        <v/>
      </c>
      <c r="U505" s="49">
        <f>IF(OR($E504&lt;&gt;"측정",$C504&lt;&gt;$C505,$D504&lt;&gt;$D505,NOT(ISNUMBER(M505)),NOT(ISNUMBER(M504)),(IF(ISNUMBER(G505),G505,F505)-IF(ISNUMBER(G504),G504,F504))=0),"",(M505-M504)/((IF(ISNUMBER(G505),G505,F505)-IF(ISNUMBER(G504),G504,F504))/100))</f>
        <v/>
      </c>
      <c r="V505" s="29" t="n"/>
      <c r="W505" s="29" t="n"/>
      <c r="X505" s="32" t="n"/>
    </row>
    <row r="506">
      <c r="A506" s="26" t="inlineStr">
        <is>
          <t>S42</t>
        </is>
      </c>
      <c r="B506" s="26" t="inlineStr">
        <is>
          <t>조도</t>
        </is>
      </c>
      <c r="C506" s="26" t="inlineStr">
        <is>
          <t>S42-V</t>
        </is>
      </c>
      <c r="D506" s="47" t="n">
        <v>1</v>
      </c>
      <c r="E506" s="26" t="inlineStr">
        <is>
          <t>측정</t>
        </is>
      </c>
      <c r="F506" s="47" t="n">
        <v>160</v>
      </c>
      <c r="G506" s="41" t="n"/>
      <c r="H506" s="29" t="n"/>
      <c r="I506" s="43" t="n"/>
      <c r="J506" s="41" t="n"/>
      <c r="K506" s="41" t="n"/>
      <c r="L506" s="41" t="n"/>
      <c r="M506" s="31">
        <f>IF(COUNT(J506:L506)=0,"",MEDIAN(J506:L506))</f>
        <v/>
      </c>
      <c r="N506" s="26">
        <f>IF(COUNTIFS($C:$C,$C506,$D:$D,$D506,$E:$E,"기준(전)",$M:$M,"&gt;0")&lt;&gt;1,"기준(전) 유효 1개 아님",IF(COUNTIFS($C:$C,$C506,$D:$D,$D506,$E:$E,"기준(후)",$M:$M,"&gt;0")&lt;&gt;1,"기준(후) 유효 1개 아님",IF(NOT(AND(ISNUMBER(O506),ISNUMBER(Q506),ISNUMBER(I506))),"시각 결측",IF(Q506&lt;=O506,"기준 시각 역전",IF(OR(I506&lt;O506,I506&gt;Q506),"측정시각 구간 밖","OK")))))</f>
        <v/>
      </c>
      <c r="O506" s="48">
        <f>IF(COUNTIFS($C:$C,$C506,$D:$D,$D506,$E:$E,"기준(전)",$M:$M,"&gt;0")&lt;&gt;1,"",SUMIFS($I:$I,$C:$C,$C506,$D:$D,$D506,$E:$E,"기준(전)"))</f>
        <v/>
      </c>
      <c r="P506" s="31">
        <f>IF(COUNTIFS($C:$C,$C506,$D:$D,$D506,$E:$E,"기준(전)",$M:$M,"&gt;0")&lt;&gt;1,"",SUMIFS($M:$M,$C:$C,$C506,$D:$D,$D506,$E:$E,"기준(전)"))</f>
        <v/>
      </c>
      <c r="Q506" s="48">
        <f>IF(COUNTIFS($C:$C,$C506,$D:$D,$D506,$E:$E,"기준(후)",$M:$M,"&gt;0")&lt;&gt;1,"",SUMIFS($I:$I,$C:$C,$C506,$D:$D,$D506,$E:$E,"기준(후)"))</f>
        <v/>
      </c>
      <c r="R506" s="31">
        <f>IF(COUNTIFS($C:$C,$C506,$D:$D,$D506,$E:$E,"기준(후)",$M:$M,"&gt;0")&lt;&gt;1,"",SUMIFS($M:$M,$C:$C,$C506,$D:$D,$D506,$E:$E,"기준(후)"))</f>
        <v/>
      </c>
      <c r="S506" s="31">
        <f>IF(N506&lt;&gt;"OK","",P506+(R506-P506)*(I506-O506)/(Q506-O506))</f>
        <v/>
      </c>
      <c r="T506" s="31">
        <f>IF(OR(N506&lt;&gt;"OK",NOT(ISNUMBER(M506))),"",M506-S506)</f>
        <v/>
      </c>
      <c r="U506" s="49">
        <f>IF(OR($E505&lt;&gt;"측정",$C505&lt;&gt;$C506,$D505&lt;&gt;$D506,NOT(ISNUMBER(M506)),NOT(ISNUMBER(M505)),(IF(ISNUMBER(G506),G506,F506)-IF(ISNUMBER(G505),G505,F505))=0),"",(M506-M505)/((IF(ISNUMBER(G506),G506,F506)-IF(ISNUMBER(G505),G505,F505))/100))</f>
        <v/>
      </c>
      <c r="V506" s="29" t="n"/>
      <c r="W506" s="29" t="n"/>
      <c r="X506" s="32" t="n"/>
    </row>
    <row r="507">
      <c r="A507" s="26" t="inlineStr">
        <is>
          <t>S42</t>
        </is>
      </c>
      <c r="B507" s="26" t="inlineStr">
        <is>
          <t>조도</t>
        </is>
      </c>
      <c r="C507" s="26" t="inlineStr">
        <is>
          <t>S42-V</t>
        </is>
      </c>
      <c r="D507" s="47" t="n">
        <v>1</v>
      </c>
      <c r="E507" s="26" t="inlineStr">
        <is>
          <t>측정</t>
        </is>
      </c>
      <c r="F507" s="47" t="n">
        <v>180</v>
      </c>
      <c r="G507" s="41" t="n"/>
      <c r="H507" s="29" t="n"/>
      <c r="I507" s="43" t="n"/>
      <c r="J507" s="41" t="n"/>
      <c r="K507" s="41" t="n"/>
      <c r="L507" s="41" t="n"/>
      <c r="M507" s="31">
        <f>IF(COUNT(J507:L507)=0,"",MEDIAN(J507:L507))</f>
        <v/>
      </c>
      <c r="N507" s="26">
        <f>IF(COUNTIFS($C:$C,$C507,$D:$D,$D507,$E:$E,"기준(전)",$M:$M,"&gt;0")&lt;&gt;1,"기준(전) 유효 1개 아님",IF(COUNTIFS($C:$C,$C507,$D:$D,$D507,$E:$E,"기준(후)",$M:$M,"&gt;0")&lt;&gt;1,"기준(후) 유효 1개 아님",IF(NOT(AND(ISNUMBER(O507),ISNUMBER(Q507),ISNUMBER(I507))),"시각 결측",IF(Q507&lt;=O507,"기준 시각 역전",IF(OR(I507&lt;O507,I507&gt;Q507),"측정시각 구간 밖","OK")))))</f>
        <v/>
      </c>
      <c r="O507" s="48">
        <f>IF(COUNTIFS($C:$C,$C507,$D:$D,$D507,$E:$E,"기준(전)",$M:$M,"&gt;0")&lt;&gt;1,"",SUMIFS($I:$I,$C:$C,$C507,$D:$D,$D507,$E:$E,"기준(전)"))</f>
        <v/>
      </c>
      <c r="P507" s="31">
        <f>IF(COUNTIFS($C:$C,$C507,$D:$D,$D507,$E:$E,"기준(전)",$M:$M,"&gt;0")&lt;&gt;1,"",SUMIFS($M:$M,$C:$C,$C507,$D:$D,$D507,$E:$E,"기준(전)"))</f>
        <v/>
      </c>
      <c r="Q507" s="48">
        <f>IF(COUNTIFS($C:$C,$C507,$D:$D,$D507,$E:$E,"기준(후)",$M:$M,"&gt;0")&lt;&gt;1,"",SUMIFS($I:$I,$C:$C,$C507,$D:$D,$D507,$E:$E,"기준(후)"))</f>
        <v/>
      </c>
      <c r="R507" s="31">
        <f>IF(COUNTIFS($C:$C,$C507,$D:$D,$D507,$E:$E,"기준(후)",$M:$M,"&gt;0")&lt;&gt;1,"",SUMIFS($M:$M,$C:$C,$C507,$D:$D,$D507,$E:$E,"기준(후)"))</f>
        <v/>
      </c>
      <c r="S507" s="31">
        <f>IF(N507&lt;&gt;"OK","",P507+(R507-P507)*(I507-O507)/(Q507-O507))</f>
        <v/>
      </c>
      <c r="T507" s="31">
        <f>IF(OR(N507&lt;&gt;"OK",NOT(ISNUMBER(M507))),"",M507-S507)</f>
        <v/>
      </c>
      <c r="U507" s="49">
        <f>IF(OR($E506&lt;&gt;"측정",$C506&lt;&gt;$C507,$D506&lt;&gt;$D507,NOT(ISNUMBER(M507)),NOT(ISNUMBER(M506)),(IF(ISNUMBER(G507),G507,F507)-IF(ISNUMBER(G506),G506,F506))=0),"",(M507-M506)/((IF(ISNUMBER(G507),G507,F507)-IF(ISNUMBER(G506),G506,F506))/100))</f>
        <v/>
      </c>
      <c r="V507" s="29" t="n"/>
      <c r="W507" s="29" t="n"/>
      <c r="X507" s="32" t="n"/>
    </row>
    <row r="508">
      <c r="A508" s="26" t="inlineStr">
        <is>
          <t>S42</t>
        </is>
      </c>
      <c r="B508" s="26" t="inlineStr">
        <is>
          <t>조도</t>
        </is>
      </c>
      <c r="C508" s="26" t="inlineStr">
        <is>
          <t>S42-V</t>
        </is>
      </c>
      <c r="D508" s="47" t="n">
        <v>1</v>
      </c>
      <c r="E508" s="26" t="inlineStr">
        <is>
          <t>측정</t>
        </is>
      </c>
      <c r="F508" s="47" t="n">
        <v>200</v>
      </c>
      <c r="G508" s="41" t="n"/>
      <c r="H508" s="29" t="n"/>
      <c r="I508" s="43" t="n"/>
      <c r="J508" s="41" t="n"/>
      <c r="K508" s="41" t="n"/>
      <c r="L508" s="41" t="n"/>
      <c r="M508" s="31">
        <f>IF(COUNT(J508:L508)=0,"",MEDIAN(J508:L508))</f>
        <v/>
      </c>
      <c r="N508" s="26">
        <f>IF(COUNTIFS($C:$C,$C508,$D:$D,$D508,$E:$E,"기준(전)",$M:$M,"&gt;0")&lt;&gt;1,"기준(전) 유효 1개 아님",IF(COUNTIFS($C:$C,$C508,$D:$D,$D508,$E:$E,"기준(후)",$M:$M,"&gt;0")&lt;&gt;1,"기준(후) 유효 1개 아님",IF(NOT(AND(ISNUMBER(O508),ISNUMBER(Q508),ISNUMBER(I508))),"시각 결측",IF(Q508&lt;=O508,"기준 시각 역전",IF(OR(I508&lt;O508,I508&gt;Q508),"측정시각 구간 밖","OK")))))</f>
        <v/>
      </c>
      <c r="O508" s="48">
        <f>IF(COUNTIFS($C:$C,$C508,$D:$D,$D508,$E:$E,"기준(전)",$M:$M,"&gt;0")&lt;&gt;1,"",SUMIFS($I:$I,$C:$C,$C508,$D:$D,$D508,$E:$E,"기준(전)"))</f>
        <v/>
      </c>
      <c r="P508" s="31">
        <f>IF(COUNTIFS($C:$C,$C508,$D:$D,$D508,$E:$E,"기준(전)",$M:$M,"&gt;0")&lt;&gt;1,"",SUMIFS($M:$M,$C:$C,$C508,$D:$D,$D508,$E:$E,"기준(전)"))</f>
        <v/>
      </c>
      <c r="Q508" s="48">
        <f>IF(COUNTIFS($C:$C,$C508,$D:$D,$D508,$E:$E,"기준(후)",$M:$M,"&gt;0")&lt;&gt;1,"",SUMIFS($I:$I,$C:$C,$C508,$D:$D,$D508,$E:$E,"기준(후)"))</f>
        <v/>
      </c>
      <c r="R508" s="31">
        <f>IF(COUNTIFS($C:$C,$C508,$D:$D,$D508,$E:$E,"기준(후)",$M:$M,"&gt;0")&lt;&gt;1,"",SUMIFS($M:$M,$C:$C,$C508,$D:$D,$D508,$E:$E,"기준(후)"))</f>
        <v/>
      </c>
      <c r="S508" s="31">
        <f>IF(N508&lt;&gt;"OK","",P508+(R508-P508)*(I508-O508)/(Q508-O508))</f>
        <v/>
      </c>
      <c r="T508" s="31">
        <f>IF(OR(N508&lt;&gt;"OK",NOT(ISNUMBER(M508))),"",M508-S508)</f>
        <v/>
      </c>
      <c r="U508" s="49">
        <f>IF(OR($E507&lt;&gt;"측정",$C507&lt;&gt;$C508,$D507&lt;&gt;$D508,NOT(ISNUMBER(M508)),NOT(ISNUMBER(M507)),(IF(ISNUMBER(G508),G508,F508)-IF(ISNUMBER(G507),G507,F507))=0),"",(M508-M507)/((IF(ISNUMBER(G508),G508,F508)-IF(ISNUMBER(G507),G507,F507))/100))</f>
        <v/>
      </c>
      <c r="V508" s="29" t="n"/>
      <c r="W508" s="29" t="n"/>
      <c r="X508" s="32" t="n"/>
    </row>
    <row r="509">
      <c r="A509" s="44" t="inlineStr">
        <is>
          <t>S42</t>
        </is>
      </c>
      <c r="B509" s="44" t="inlineStr">
        <is>
          <t>조도</t>
        </is>
      </c>
      <c r="C509" s="44" t="inlineStr">
        <is>
          <t>S42-V</t>
        </is>
      </c>
      <c r="D509" s="45" t="n">
        <v>1</v>
      </c>
      <c r="E509" s="44" t="inlineStr">
        <is>
          <t>기준(후)</t>
        </is>
      </c>
      <c r="F509" s="45" t="n"/>
      <c r="G509" s="41" t="n"/>
      <c r="H509" s="29" t="n"/>
      <c r="I509" s="43" t="n"/>
      <c r="J509" s="41" t="n"/>
      <c r="K509" s="41" t="n"/>
      <c r="L509" s="41" t="n"/>
      <c r="M509" s="31">
        <f>IF(COUNT(J509:L509)=0,"",MEDIAN(J509:L509))</f>
        <v/>
      </c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29" t="n"/>
      <c r="W509" s="29" t="n"/>
      <c r="X509" s="32" t="n"/>
    </row>
    <row r="510">
      <c r="A510" s="44" t="inlineStr">
        <is>
          <t>S43</t>
        </is>
      </c>
      <c r="B510" s="44" t="inlineStr">
        <is>
          <t>포천</t>
        </is>
      </c>
      <c r="C510" s="44" t="inlineStr">
        <is>
          <t>S43-V</t>
        </is>
      </c>
      <c r="D510" s="45" t="n">
        <v>1</v>
      </c>
      <c r="E510" s="44" t="inlineStr">
        <is>
          <t>기준(전)</t>
        </is>
      </c>
      <c r="F510" s="45" t="n"/>
      <c r="G510" s="41" t="n"/>
      <c r="H510" s="29" t="n"/>
      <c r="I510" s="43" t="n"/>
      <c r="J510" s="41" t="n"/>
      <c r="K510" s="41" t="n"/>
      <c r="L510" s="41" t="n"/>
      <c r="M510" s="31">
        <f>IF(COUNT(J510:L510)=0,"",MEDIAN(J510:L510))</f>
        <v/>
      </c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29" t="n"/>
      <c r="W510" s="29" t="n"/>
      <c r="X510" s="32" t="n"/>
    </row>
    <row r="511">
      <c r="A511" s="26" t="inlineStr">
        <is>
          <t>S43</t>
        </is>
      </c>
      <c r="B511" s="26" t="inlineStr">
        <is>
          <t>포천</t>
        </is>
      </c>
      <c r="C511" s="26" t="inlineStr">
        <is>
          <t>S43-V</t>
        </is>
      </c>
      <c r="D511" s="47" t="n">
        <v>1</v>
      </c>
      <c r="E511" s="26" t="inlineStr">
        <is>
          <t>측정</t>
        </is>
      </c>
      <c r="F511" s="47" t="n">
        <v>20</v>
      </c>
      <c r="G511" s="41" t="n"/>
      <c r="H511" s="29" t="n"/>
      <c r="I511" s="43" t="n"/>
      <c r="J511" s="41" t="n"/>
      <c r="K511" s="41" t="n"/>
      <c r="L511" s="41" t="n"/>
      <c r="M511" s="31">
        <f>IF(COUNT(J511:L511)=0,"",MEDIAN(J511:L511))</f>
        <v/>
      </c>
      <c r="N511" s="26">
        <f>IF(COUNTIFS($C:$C,$C511,$D:$D,$D511,$E:$E,"기준(전)",$M:$M,"&gt;0")&lt;&gt;1,"기준(전) 유효 1개 아님",IF(COUNTIFS($C:$C,$C511,$D:$D,$D511,$E:$E,"기준(후)",$M:$M,"&gt;0")&lt;&gt;1,"기준(후) 유효 1개 아님",IF(NOT(AND(ISNUMBER(O511),ISNUMBER(Q511),ISNUMBER(I511))),"시각 결측",IF(Q511&lt;=O511,"기준 시각 역전",IF(OR(I511&lt;O511,I511&gt;Q511),"측정시각 구간 밖","OK")))))</f>
        <v/>
      </c>
      <c r="O511" s="48">
        <f>IF(COUNTIFS($C:$C,$C511,$D:$D,$D511,$E:$E,"기준(전)",$M:$M,"&gt;0")&lt;&gt;1,"",SUMIFS($I:$I,$C:$C,$C511,$D:$D,$D511,$E:$E,"기준(전)"))</f>
        <v/>
      </c>
      <c r="P511" s="31">
        <f>IF(COUNTIFS($C:$C,$C511,$D:$D,$D511,$E:$E,"기준(전)",$M:$M,"&gt;0")&lt;&gt;1,"",SUMIFS($M:$M,$C:$C,$C511,$D:$D,$D511,$E:$E,"기준(전)"))</f>
        <v/>
      </c>
      <c r="Q511" s="48">
        <f>IF(COUNTIFS($C:$C,$C511,$D:$D,$D511,$E:$E,"기준(후)",$M:$M,"&gt;0")&lt;&gt;1,"",SUMIFS($I:$I,$C:$C,$C511,$D:$D,$D511,$E:$E,"기준(후)"))</f>
        <v/>
      </c>
      <c r="R511" s="31">
        <f>IF(COUNTIFS($C:$C,$C511,$D:$D,$D511,$E:$E,"기준(후)",$M:$M,"&gt;0")&lt;&gt;1,"",SUMIFS($M:$M,$C:$C,$C511,$D:$D,$D511,$E:$E,"기준(후)"))</f>
        <v/>
      </c>
      <c r="S511" s="31">
        <f>IF(N511&lt;&gt;"OK","",P511+(R511-P511)*(I511-O511)/(Q511-O511))</f>
        <v/>
      </c>
      <c r="T511" s="31">
        <f>IF(OR(N511&lt;&gt;"OK",NOT(ISNUMBER(M511))),"",M511-S511)</f>
        <v/>
      </c>
      <c r="U511" s="49">
        <f>IF(OR($E510&lt;&gt;"측정",$C510&lt;&gt;$C511,$D510&lt;&gt;$D511,NOT(ISNUMBER(M511)),NOT(ISNUMBER(M510)),(IF(ISNUMBER(G511),G511,F511)-IF(ISNUMBER(G510),G510,F510))=0),"",(M511-M510)/((IF(ISNUMBER(G511),G511,F511)-IF(ISNUMBER(G510),G510,F510))/100))</f>
        <v/>
      </c>
      <c r="V511" s="29" t="n"/>
      <c r="W511" s="29" t="n"/>
      <c r="X511" s="32" t="n"/>
    </row>
    <row r="512">
      <c r="A512" s="26" t="inlineStr">
        <is>
          <t>S43</t>
        </is>
      </c>
      <c r="B512" s="26" t="inlineStr">
        <is>
          <t>포천</t>
        </is>
      </c>
      <c r="C512" s="26" t="inlineStr">
        <is>
          <t>S43-V</t>
        </is>
      </c>
      <c r="D512" s="47" t="n">
        <v>1</v>
      </c>
      <c r="E512" s="26" t="inlineStr">
        <is>
          <t>측정</t>
        </is>
      </c>
      <c r="F512" s="47" t="n">
        <v>40</v>
      </c>
      <c r="G512" s="41" t="n"/>
      <c r="H512" s="29" t="n"/>
      <c r="I512" s="43" t="n"/>
      <c r="J512" s="41" t="n"/>
      <c r="K512" s="41" t="n"/>
      <c r="L512" s="41" t="n"/>
      <c r="M512" s="31">
        <f>IF(COUNT(J512:L512)=0,"",MEDIAN(J512:L512))</f>
        <v/>
      </c>
      <c r="N512" s="26">
        <f>IF(COUNTIFS($C:$C,$C512,$D:$D,$D512,$E:$E,"기준(전)",$M:$M,"&gt;0")&lt;&gt;1,"기준(전) 유효 1개 아님",IF(COUNTIFS($C:$C,$C512,$D:$D,$D512,$E:$E,"기준(후)",$M:$M,"&gt;0")&lt;&gt;1,"기준(후) 유효 1개 아님",IF(NOT(AND(ISNUMBER(O512),ISNUMBER(Q512),ISNUMBER(I512))),"시각 결측",IF(Q512&lt;=O512,"기준 시각 역전",IF(OR(I512&lt;O512,I512&gt;Q512),"측정시각 구간 밖","OK")))))</f>
        <v/>
      </c>
      <c r="O512" s="48">
        <f>IF(COUNTIFS($C:$C,$C512,$D:$D,$D512,$E:$E,"기준(전)",$M:$M,"&gt;0")&lt;&gt;1,"",SUMIFS($I:$I,$C:$C,$C512,$D:$D,$D512,$E:$E,"기준(전)"))</f>
        <v/>
      </c>
      <c r="P512" s="31">
        <f>IF(COUNTIFS($C:$C,$C512,$D:$D,$D512,$E:$E,"기준(전)",$M:$M,"&gt;0")&lt;&gt;1,"",SUMIFS($M:$M,$C:$C,$C512,$D:$D,$D512,$E:$E,"기준(전)"))</f>
        <v/>
      </c>
      <c r="Q512" s="48">
        <f>IF(COUNTIFS($C:$C,$C512,$D:$D,$D512,$E:$E,"기준(후)",$M:$M,"&gt;0")&lt;&gt;1,"",SUMIFS($I:$I,$C:$C,$C512,$D:$D,$D512,$E:$E,"기준(후)"))</f>
        <v/>
      </c>
      <c r="R512" s="31">
        <f>IF(COUNTIFS($C:$C,$C512,$D:$D,$D512,$E:$E,"기준(후)",$M:$M,"&gt;0")&lt;&gt;1,"",SUMIFS($M:$M,$C:$C,$C512,$D:$D,$D512,$E:$E,"기준(후)"))</f>
        <v/>
      </c>
      <c r="S512" s="31">
        <f>IF(N512&lt;&gt;"OK","",P512+(R512-P512)*(I512-O512)/(Q512-O512))</f>
        <v/>
      </c>
      <c r="T512" s="31">
        <f>IF(OR(N512&lt;&gt;"OK",NOT(ISNUMBER(M512))),"",M512-S512)</f>
        <v/>
      </c>
      <c r="U512" s="49">
        <f>IF(OR($E511&lt;&gt;"측정",$C511&lt;&gt;$C512,$D511&lt;&gt;$D512,NOT(ISNUMBER(M512)),NOT(ISNUMBER(M511)),(IF(ISNUMBER(G512),G512,F512)-IF(ISNUMBER(G511),G511,F511))=0),"",(M512-M511)/((IF(ISNUMBER(G512),G512,F512)-IF(ISNUMBER(G511),G511,F511))/100))</f>
        <v/>
      </c>
      <c r="V512" s="29" t="n"/>
      <c r="W512" s="29" t="n"/>
      <c r="X512" s="32" t="n"/>
    </row>
    <row r="513">
      <c r="A513" s="26" t="inlineStr">
        <is>
          <t>S43</t>
        </is>
      </c>
      <c r="B513" s="26" t="inlineStr">
        <is>
          <t>포천</t>
        </is>
      </c>
      <c r="C513" s="26" t="inlineStr">
        <is>
          <t>S43-V</t>
        </is>
      </c>
      <c r="D513" s="47" t="n">
        <v>1</v>
      </c>
      <c r="E513" s="26" t="inlineStr">
        <is>
          <t>측정</t>
        </is>
      </c>
      <c r="F513" s="47" t="n">
        <v>60</v>
      </c>
      <c r="G513" s="41" t="n"/>
      <c r="H513" s="29" t="n"/>
      <c r="I513" s="43" t="n"/>
      <c r="J513" s="41" t="n"/>
      <c r="K513" s="41" t="n"/>
      <c r="L513" s="41" t="n"/>
      <c r="M513" s="31">
        <f>IF(COUNT(J513:L513)=0,"",MEDIAN(J513:L513))</f>
        <v/>
      </c>
      <c r="N513" s="26">
        <f>IF(COUNTIFS($C:$C,$C513,$D:$D,$D513,$E:$E,"기준(전)",$M:$M,"&gt;0")&lt;&gt;1,"기준(전) 유효 1개 아님",IF(COUNTIFS($C:$C,$C513,$D:$D,$D513,$E:$E,"기준(후)",$M:$M,"&gt;0")&lt;&gt;1,"기준(후) 유효 1개 아님",IF(NOT(AND(ISNUMBER(O513),ISNUMBER(Q513),ISNUMBER(I513))),"시각 결측",IF(Q513&lt;=O513,"기준 시각 역전",IF(OR(I513&lt;O513,I513&gt;Q513),"측정시각 구간 밖","OK")))))</f>
        <v/>
      </c>
      <c r="O513" s="48">
        <f>IF(COUNTIFS($C:$C,$C513,$D:$D,$D513,$E:$E,"기준(전)",$M:$M,"&gt;0")&lt;&gt;1,"",SUMIFS($I:$I,$C:$C,$C513,$D:$D,$D513,$E:$E,"기준(전)"))</f>
        <v/>
      </c>
      <c r="P513" s="31">
        <f>IF(COUNTIFS($C:$C,$C513,$D:$D,$D513,$E:$E,"기준(전)",$M:$M,"&gt;0")&lt;&gt;1,"",SUMIFS($M:$M,$C:$C,$C513,$D:$D,$D513,$E:$E,"기준(전)"))</f>
        <v/>
      </c>
      <c r="Q513" s="48">
        <f>IF(COUNTIFS($C:$C,$C513,$D:$D,$D513,$E:$E,"기준(후)",$M:$M,"&gt;0")&lt;&gt;1,"",SUMIFS($I:$I,$C:$C,$C513,$D:$D,$D513,$E:$E,"기준(후)"))</f>
        <v/>
      </c>
      <c r="R513" s="31">
        <f>IF(COUNTIFS($C:$C,$C513,$D:$D,$D513,$E:$E,"기준(후)",$M:$M,"&gt;0")&lt;&gt;1,"",SUMIFS($M:$M,$C:$C,$C513,$D:$D,$D513,$E:$E,"기준(후)"))</f>
        <v/>
      </c>
      <c r="S513" s="31">
        <f>IF(N513&lt;&gt;"OK","",P513+(R513-P513)*(I513-O513)/(Q513-O513))</f>
        <v/>
      </c>
      <c r="T513" s="31">
        <f>IF(OR(N513&lt;&gt;"OK",NOT(ISNUMBER(M513))),"",M513-S513)</f>
        <v/>
      </c>
      <c r="U513" s="49">
        <f>IF(OR($E512&lt;&gt;"측정",$C512&lt;&gt;$C513,$D512&lt;&gt;$D513,NOT(ISNUMBER(M513)),NOT(ISNUMBER(M512)),(IF(ISNUMBER(G513),G513,F513)-IF(ISNUMBER(G512),G512,F512))=0),"",(M513-M512)/((IF(ISNUMBER(G513),G513,F513)-IF(ISNUMBER(G512),G512,F512))/100))</f>
        <v/>
      </c>
      <c r="V513" s="29" t="n"/>
      <c r="W513" s="29" t="n"/>
      <c r="X513" s="32" t="n"/>
    </row>
    <row r="514">
      <c r="A514" s="26" t="inlineStr">
        <is>
          <t>S43</t>
        </is>
      </c>
      <c r="B514" s="26" t="inlineStr">
        <is>
          <t>포천</t>
        </is>
      </c>
      <c r="C514" s="26" t="inlineStr">
        <is>
          <t>S43-V</t>
        </is>
      </c>
      <c r="D514" s="47" t="n">
        <v>1</v>
      </c>
      <c r="E514" s="26" t="inlineStr">
        <is>
          <t>측정</t>
        </is>
      </c>
      <c r="F514" s="47" t="n">
        <v>80</v>
      </c>
      <c r="G514" s="41" t="n"/>
      <c r="H514" s="29" t="n"/>
      <c r="I514" s="43" t="n"/>
      <c r="J514" s="41" t="n"/>
      <c r="K514" s="41" t="n"/>
      <c r="L514" s="41" t="n"/>
      <c r="M514" s="31">
        <f>IF(COUNT(J514:L514)=0,"",MEDIAN(J514:L514))</f>
        <v/>
      </c>
      <c r="N514" s="26">
        <f>IF(COUNTIFS($C:$C,$C514,$D:$D,$D514,$E:$E,"기준(전)",$M:$M,"&gt;0")&lt;&gt;1,"기준(전) 유효 1개 아님",IF(COUNTIFS($C:$C,$C514,$D:$D,$D514,$E:$E,"기준(후)",$M:$M,"&gt;0")&lt;&gt;1,"기준(후) 유효 1개 아님",IF(NOT(AND(ISNUMBER(O514),ISNUMBER(Q514),ISNUMBER(I514))),"시각 결측",IF(Q514&lt;=O514,"기준 시각 역전",IF(OR(I514&lt;O514,I514&gt;Q514),"측정시각 구간 밖","OK")))))</f>
        <v/>
      </c>
      <c r="O514" s="48">
        <f>IF(COUNTIFS($C:$C,$C514,$D:$D,$D514,$E:$E,"기준(전)",$M:$M,"&gt;0")&lt;&gt;1,"",SUMIFS($I:$I,$C:$C,$C514,$D:$D,$D514,$E:$E,"기준(전)"))</f>
        <v/>
      </c>
      <c r="P514" s="31">
        <f>IF(COUNTIFS($C:$C,$C514,$D:$D,$D514,$E:$E,"기준(전)",$M:$M,"&gt;0")&lt;&gt;1,"",SUMIFS($M:$M,$C:$C,$C514,$D:$D,$D514,$E:$E,"기준(전)"))</f>
        <v/>
      </c>
      <c r="Q514" s="48">
        <f>IF(COUNTIFS($C:$C,$C514,$D:$D,$D514,$E:$E,"기준(후)",$M:$M,"&gt;0")&lt;&gt;1,"",SUMIFS($I:$I,$C:$C,$C514,$D:$D,$D514,$E:$E,"기준(후)"))</f>
        <v/>
      </c>
      <c r="R514" s="31">
        <f>IF(COUNTIFS($C:$C,$C514,$D:$D,$D514,$E:$E,"기준(후)",$M:$M,"&gt;0")&lt;&gt;1,"",SUMIFS($M:$M,$C:$C,$C514,$D:$D,$D514,$E:$E,"기준(후)"))</f>
        <v/>
      </c>
      <c r="S514" s="31">
        <f>IF(N514&lt;&gt;"OK","",P514+(R514-P514)*(I514-O514)/(Q514-O514))</f>
        <v/>
      </c>
      <c r="T514" s="31">
        <f>IF(OR(N514&lt;&gt;"OK",NOT(ISNUMBER(M514))),"",M514-S514)</f>
        <v/>
      </c>
      <c r="U514" s="49">
        <f>IF(OR($E513&lt;&gt;"측정",$C513&lt;&gt;$C514,$D513&lt;&gt;$D514,NOT(ISNUMBER(M514)),NOT(ISNUMBER(M513)),(IF(ISNUMBER(G514),G514,F514)-IF(ISNUMBER(G513),G513,F513))=0),"",(M514-M513)/((IF(ISNUMBER(G514),G514,F514)-IF(ISNUMBER(G513),G513,F513))/100))</f>
        <v/>
      </c>
      <c r="V514" s="29" t="n"/>
      <c r="W514" s="29" t="n"/>
      <c r="X514" s="32" t="n"/>
    </row>
    <row r="515">
      <c r="A515" s="26" t="inlineStr">
        <is>
          <t>S43</t>
        </is>
      </c>
      <c r="B515" s="26" t="inlineStr">
        <is>
          <t>포천</t>
        </is>
      </c>
      <c r="C515" s="26" t="inlineStr">
        <is>
          <t>S43-V</t>
        </is>
      </c>
      <c r="D515" s="47" t="n">
        <v>1</v>
      </c>
      <c r="E515" s="26" t="inlineStr">
        <is>
          <t>측정</t>
        </is>
      </c>
      <c r="F515" s="47" t="n">
        <v>100</v>
      </c>
      <c r="G515" s="41" t="n"/>
      <c r="H515" s="29" t="n"/>
      <c r="I515" s="43" t="n"/>
      <c r="J515" s="41" t="n"/>
      <c r="K515" s="41" t="n"/>
      <c r="L515" s="41" t="n"/>
      <c r="M515" s="31">
        <f>IF(COUNT(J515:L515)=0,"",MEDIAN(J515:L515))</f>
        <v/>
      </c>
      <c r="N515" s="26">
        <f>IF(COUNTIFS($C:$C,$C515,$D:$D,$D515,$E:$E,"기준(전)",$M:$M,"&gt;0")&lt;&gt;1,"기준(전) 유효 1개 아님",IF(COUNTIFS($C:$C,$C515,$D:$D,$D515,$E:$E,"기준(후)",$M:$M,"&gt;0")&lt;&gt;1,"기준(후) 유효 1개 아님",IF(NOT(AND(ISNUMBER(O515),ISNUMBER(Q515),ISNUMBER(I515))),"시각 결측",IF(Q515&lt;=O515,"기준 시각 역전",IF(OR(I515&lt;O515,I515&gt;Q515),"측정시각 구간 밖","OK")))))</f>
        <v/>
      </c>
      <c r="O515" s="48">
        <f>IF(COUNTIFS($C:$C,$C515,$D:$D,$D515,$E:$E,"기준(전)",$M:$M,"&gt;0")&lt;&gt;1,"",SUMIFS($I:$I,$C:$C,$C515,$D:$D,$D515,$E:$E,"기준(전)"))</f>
        <v/>
      </c>
      <c r="P515" s="31">
        <f>IF(COUNTIFS($C:$C,$C515,$D:$D,$D515,$E:$E,"기준(전)",$M:$M,"&gt;0")&lt;&gt;1,"",SUMIFS($M:$M,$C:$C,$C515,$D:$D,$D515,$E:$E,"기준(전)"))</f>
        <v/>
      </c>
      <c r="Q515" s="48">
        <f>IF(COUNTIFS($C:$C,$C515,$D:$D,$D515,$E:$E,"기준(후)",$M:$M,"&gt;0")&lt;&gt;1,"",SUMIFS($I:$I,$C:$C,$C515,$D:$D,$D515,$E:$E,"기준(후)"))</f>
        <v/>
      </c>
      <c r="R515" s="31">
        <f>IF(COUNTIFS($C:$C,$C515,$D:$D,$D515,$E:$E,"기준(후)",$M:$M,"&gt;0")&lt;&gt;1,"",SUMIFS($M:$M,$C:$C,$C515,$D:$D,$D515,$E:$E,"기준(후)"))</f>
        <v/>
      </c>
      <c r="S515" s="31">
        <f>IF(N515&lt;&gt;"OK","",P515+(R515-P515)*(I515-O515)/(Q515-O515))</f>
        <v/>
      </c>
      <c r="T515" s="31">
        <f>IF(OR(N515&lt;&gt;"OK",NOT(ISNUMBER(M515))),"",M515-S515)</f>
        <v/>
      </c>
      <c r="U515" s="49">
        <f>IF(OR($E514&lt;&gt;"측정",$C514&lt;&gt;$C515,$D514&lt;&gt;$D515,NOT(ISNUMBER(M515)),NOT(ISNUMBER(M514)),(IF(ISNUMBER(G515),G515,F515)-IF(ISNUMBER(G514),G514,F514))=0),"",(M515-M514)/((IF(ISNUMBER(G515),G515,F515)-IF(ISNUMBER(G514),G514,F514))/100))</f>
        <v/>
      </c>
      <c r="V515" s="29" t="n"/>
      <c r="W515" s="29" t="n"/>
      <c r="X515" s="32" t="n"/>
    </row>
    <row r="516">
      <c r="A516" s="26" t="inlineStr">
        <is>
          <t>S43</t>
        </is>
      </c>
      <c r="B516" s="26" t="inlineStr">
        <is>
          <t>포천</t>
        </is>
      </c>
      <c r="C516" s="26" t="inlineStr">
        <is>
          <t>S43-V</t>
        </is>
      </c>
      <c r="D516" s="47" t="n">
        <v>1</v>
      </c>
      <c r="E516" s="26" t="inlineStr">
        <is>
          <t>측정</t>
        </is>
      </c>
      <c r="F516" s="47" t="n">
        <v>120</v>
      </c>
      <c r="G516" s="41" t="n"/>
      <c r="H516" s="29" t="n"/>
      <c r="I516" s="43" t="n"/>
      <c r="J516" s="41" t="n"/>
      <c r="K516" s="41" t="n"/>
      <c r="L516" s="41" t="n"/>
      <c r="M516" s="31">
        <f>IF(COUNT(J516:L516)=0,"",MEDIAN(J516:L516))</f>
        <v/>
      </c>
      <c r="N516" s="26">
        <f>IF(COUNTIFS($C:$C,$C516,$D:$D,$D516,$E:$E,"기준(전)",$M:$M,"&gt;0")&lt;&gt;1,"기준(전) 유효 1개 아님",IF(COUNTIFS($C:$C,$C516,$D:$D,$D516,$E:$E,"기준(후)",$M:$M,"&gt;0")&lt;&gt;1,"기준(후) 유효 1개 아님",IF(NOT(AND(ISNUMBER(O516),ISNUMBER(Q516),ISNUMBER(I516))),"시각 결측",IF(Q516&lt;=O516,"기준 시각 역전",IF(OR(I516&lt;O516,I516&gt;Q516),"측정시각 구간 밖","OK")))))</f>
        <v/>
      </c>
      <c r="O516" s="48">
        <f>IF(COUNTIFS($C:$C,$C516,$D:$D,$D516,$E:$E,"기준(전)",$M:$M,"&gt;0")&lt;&gt;1,"",SUMIFS($I:$I,$C:$C,$C516,$D:$D,$D516,$E:$E,"기준(전)"))</f>
        <v/>
      </c>
      <c r="P516" s="31">
        <f>IF(COUNTIFS($C:$C,$C516,$D:$D,$D516,$E:$E,"기준(전)",$M:$M,"&gt;0")&lt;&gt;1,"",SUMIFS($M:$M,$C:$C,$C516,$D:$D,$D516,$E:$E,"기준(전)"))</f>
        <v/>
      </c>
      <c r="Q516" s="48">
        <f>IF(COUNTIFS($C:$C,$C516,$D:$D,$D516,$E:$E,"기준(후)",$M:$M,"&gt;0")&lt;&gt;1,"",SUMIFS($I:$I,$C:$C,$C516,$D:$D,$D516,$E:$E,"기준(후)"))</f>
        <v/>
      </c>
      <c r="R516" s="31">
        <f>IF(COUNTIFS($C:$C,$C516,$D:$D,$D516,$E:$E,"기준(후)",$M:$M,"&gt;0")&lt;&gt;1,"",SUMIFS($M:$M,$C:$C,$C516,$D:$D,$D516,$E:$E,"기준(후)"))</f>
        <v/>
      </c>
      <c r="S516" s="31">
        <f>IF(N516&lt;&gt;"OK","",P516+(R516-P516)*(I516-O516)/(Q516-O516))</f>
        <v/>
      </c>
      <c r="T516" s="31">
        <f>IF(OR(N516&lt;&gt;"OK",NOT(ISNUMBER(M516))),"",M516-S516)</f>
        <v/>
      </c>
      <c r="U516" s="49">
        <f>IF(OR($E515&lt;&gt;"측정",$C515&lt;&gt;$C516,$D515&lt;&gt;$D516,NOT(ISNUMBER(M516)),NOT(ISNUMBER(M515)),(IF(ISNUMBER(G516),G516,F516)-IF(ISNUMBER(G515),G515,F515))=0),"",(M516-M515)/((IF(ISNUMBER(G516),G516,F516)-IF(ISNUMBER(G515),G515,F515))/100))</f>
        <v/>
      </c>
      <c r="V516" s="29" t="n"/>
      <c r="W516" s="29" t="n"/>
      <c r="X516" s="32" t="n"/>
    </row>
    <row r="517">
      <c r="A517" s="26" t="inlineStr">
        <is>
          <t>S43</t>
        </is>
      </c>
      <c r="B517" s="26" t="inlineStr">
        <is>
          <t>포천</t>
        </is>
      </c>
      <c r="C517" s="26" t="inlineStr">
        <is>
          <t>S43-V</t>
        </is>
      </c>
      <c r="D517" s="47" t="n">
        <v>1</v>
      </c>
      <c r="E517" s="26" t="inlineStr">
        <is>
          <t>측정</t>
        </is>
      </c>
      <c r="F517" s="47" t="n">
        <v>140</v>
      </c>
      <c r="G517" s="41" t="n"/>
      <c r="H517" s="29" t="n"/>
      <c r="I517" s="43" t="n"/>
      <c r="J517" s="41" t="n"/>
      <c r="K517" s="41" t="n"/>
      <c r="L517" s="41" t="n"/>
      <c r="M517" s="31">
        <f>IF(COUNT(J517:L517)=0,"",MEDIAN(J517:L517))</f>
        <v/>
      </c>
      <c r="N517" s="26">
        <f>IF(COUNTIFS($C:$C,$C517,$D:$D,$D517,$E:$E,"기준(전)",$M:$M,"&gt;0")&lt;&gt;1,"기준(전) 유효 1개 아님",IF(COUNTIFS($C:$C,$C517,$D:$D,$D517,$E:$E,"기준(후)",$M:$M,"&gt;0")&lt;&gt;1,"기준(후) 유효 1개 아님",IF(NOT(AND(ISNUMBER(O517),ISNUMBER(Q517),ISNUMBER(I517))),"시각 결측",IF(Q517&lt;=O517,"기준 시각 역전",IF(OR(I517&lt;O517,I517&gt;Q517),"측정시각 구간 밖","OK")))))</f>
        <v/>
      </c>
      <c r="O517" s="48">
        <f>IF(COUNTIFS($C:$C,$C517,$D:$D,$D517,$E:$E,"기준(전)",$M:$M,"&gt;0")&lt;&gt;1,"",SUMIFS($I:$I,$C:$C,$C517,$D:$D,$D517,$E:$E,"기준(전)"))</f>
        <v/>
      </c>
      <c r="P517" s="31">
        <f>IF(COUNTIFS($C:$C,$C517,$D:$D,$D517,$E:$E,"기준(전)",$M:$M,"&gt;0")&lt;&gt;1,"",SUMIFS($M:$M,$C:$C,$C517,$D:$D,$D517,$E:$E,"기준(전)"))</f>
        <v/>
      </c>
      <c r="Q517" s="48">
        <f>IF(COUNTIFS($C:$C,$C517,$D:$D,$D517,$E:$E,"기준(후)",$M:$M,"&gt;0")&lt;&gt;1,"",SUMIFS($I:$I,$C:$C,$C517,$D:$D,$D517,$E:$E,"기준(후)"))</f>
        <v/>
      </c>
      <c r="R517" s="31">
        <f>IF(COUNTIFS($C:$C,$C517,$D:$D,$D517,$E:$E,"기준(후)",$M:$M,"&gt;0")&lt;&gt;1,"",SUMIFS($M:$M,$C:$C,$C517,$D:$D,$D517,$E:$E,"기준(후)"))</f>
        <v/>
      </c>
      <c r="S517" s="31">
        <f>IF(N517&lt;&gt;"OK","",P517+(R517-P517)*(I517-O517)/(Q517-O517))</f>
        <v/>
      </c>
      <c r="T517" s="31">
        <f>IF(OR(N517&lt;&gt;"OK",NOT(ISNUMBER(M517))),"",M517-S517)</f>
        <v/>
      </c>
      <c r="U517" s="49">
        <f>IF(OR($E516&lt;&gt;"측정",$C516&lt;&gt;$C517,$D516&lt;&gt;$D517,NOT(ISNUMBER(M517)),NOT(ISNUMBER(M516)),(IF(ISNUMBER(G517),G517,F517)-IF(ISNUMBER(G516),G516,F516))=0),"",(M517-M516)/((IF(ISNUMBER(G517),G517,F517)-IF(ISNUMBER(G516),G516,F516))/100))</f>
        <v/>
      </c>
      <c r="V517" s="29" t="n"/>
      <c r="W517" s="29" t="n"/>
      <c r="X517" s="32" t="n"/>
    </row>
    <row r="518">
      <c r="A518" s="26" t="inlineStr">
        <is>
          <t>S43</t>
        </is>
      </c>
      <c r="B518" s="26" t="inlineStr">
        <is>
          <t>포천</t>
        </is>
      </c>
      <c r="C518" s="26" t="inlineStr">
        <is>
          <t>S43-V</t>
        </is>
      </c>
      <c r="D518" s="47" t="n">
        <v>1</v>
      </c>
      <c r="E518" s="26" t="inlineStr">
        <is>
          <t>측정</t>
        </is>
      </c>
      <c r="F518" s="47" t="n">
        <v>160</v>
      </c>
      <c r="G518" s="41" t="n"/>
      <c r="H518" s="29" t="n"/>
      <c r="I518" s="43" t="n"/>
      <c r="J518" s="41" t="n"/>
      <c r="K518" s="41" t="n"/>
      <c r="L518" s="41" t="n"/>
      <c r="M518" s="31">
        <f>IF(COUNT(J518:L518)=0,"",MEDIAN(J518:L518))</f>
        <v/>
      </c>
      <c r="N518" s="26">
        <f>IF(COUNTIFS($C:$C,$C518,$D:$D,$D518,$E:$E,"기준(전)",$M:$M,"&gt;0")&lt;&gt;1,"기준(전) 유효 1개 아님",IF(COUNTIFS($C:$C,$C518,$D:$D,$D518,$E:$E,"기준(후)",$M:$M,"&gt;0")&lt;&gt;1,"기준(후) 유효 1개 아님",IF(NOT(AND(ISNUMBER(O518),ISNUMBER(Q518),ISNUMBER(I518))),"시각 결측",IF(Q518&lt;=O518,"기준 시각 역전",IF(OR(I518&lt;O518,I518&gt;Q518),"측정시각 구간 밖","OK")))))</f>
        <v/>
      </c>
      <c r="O518" s="48">
        <f>IF(COUNTIFS($C:$C,$C518,$D:$D,$D518,$E:$E,"기준(전)",$M:$M,"&gt;0")&lt;&gt;1,"",SUMIFS($I:$I,$C:$C,$C518,$D:$D,$D518,$E:$E,"기준(전)"))</f>
        <v/>
      </c>
      <c r="P518" s="31">
        <f>IF(COUNTIFS($C:$C,$C518,$D:$D,$D518,$E:$E,"기준(전)",$M:$M,"&gt;0")&lt;&gt;1,"",SUMIFS($M:$M,$C:$C,$C518,$D:$D,$D518,$E:$E,"기준(전)"))</f>
        <v/>
      </c>
      <c r="Q518" s="48">
        <f>IF(COUNTIFS($C:$C,$C518,$D:$D,$D518,$E:$E,"기준(후)",$M:$M,"&gt;0")&lt;&gt;1,"",SUMIFS($I:$I,$C:$C,$C518,$D:$D,$D518,$E:$E,"기준(후)"))</f>
        <v/>
      </c>
      <c r="R518" s="31">
        <f>IF(COUNTIFS($C:$C,$C518,$D:$D,$D518,$E:$E,"기준(후)",$M:$M,"&gt;0")&lt;&gt;1,"",SUMIFS($M:$M,$C:$C,$C518,$D:$D,$D518,$E:$E,"기준(후)"))</f>
        <v/>
      </c>
      <c r="S518" s="31">
        <f>IF(N518&lt;&gt;"OK","",P518+(R518-P518)*(I518-O518)/(Q518-O518))</f>
        <v/>
      </c>
      <c r="T518" s="31">
        <f>IF(OR(N518&lt;&gt;"OK",NOT(ISNUMBER(M518))),"",M518-S518)</f>
        <v/>
      </c>
      <c r="U518" s="49">
        <f>IF(OR($E517&lt;&gt;"측정",$C517&lt;&gt;$C518,$D517&lt;&gt;$D518,NOT(ISNUMBER(M518)),NOT(ISNUMBER(M517)),(IF(ISNUMBER(G518),G518,F518)-IF(ISNUMBER(G517),G517,F517))=0),"",(M518-M517)/((IF(ISNUMBER(G518),G518,F518)-IF(ISNUMBER(G517),G517,F517))/100))</f>
        <v/>
      </c>
      <c r="V518" s="29" t="n"/>
      <c r="W518" s="29" t="n"/>
      <c r="X518" s="32" t="n"/>
    </row>
    <row r="519">
      <c r="A519" s="26" t="inlineStr">
        <is>
          <t>S43</t>
        </is>
      </c>
      <c r="B519" s="26" t="inlineStr">
        <is>
          <t>포천</t>
        </is>
      </c>
      <c r="C519" s="26" t="inlineStr">
        <is>
          <t>S43-V</t>
        </is>
      </c>
      <c r="D519" s="47" t="n">
        <v>1</v>
      </c>
      <c r="E519" s="26" t="inlineStr">
        <is>
          <t>측정</t>
        </is>
      </c>
      <c r="F519" s="47" t="n">
        <v>180</v>
      </c>
      <c r="G519" s="41" t="n"/>
      <c r="H519" s="29" t="n"/>
      <c r="I519" s="43" t="n"/>
      <c r="J519" s="41" t="n"/>
      <c r="K519" s="41" t="n"/>
      <c r="L519" s="41" t="n"/>
      <c r="M519" s="31">
        <f>IF(COUNT(J519:L519)=0,"",MEDIAN(J519:L519))</f>
        <v/>
      </c>
      <c r="N519" s="26">
        <f>IF(COUNTIFS($C:$C,$C519,$D:$D,$D519,$E:$E,"기준(전)",$M:$M,"&gt;0")&lt;&gt;1,"기준(전) 유효 1개 아님",IF(COUNTIFS($C:$C,$C519,$D:$D,$D519,$E:$E,"기준(후)",$M:$M,"&gt;0")&lt;&gt;1,"기준(후) 유효 1개 아님",IF(NOT(AND(ISNUMBER(O519),ISNUMBER(Q519),ISNUMBER(I519))),"시각 결측",IF(Q519&lt;=O519,"기준 시각 역전",IF(OR(I519&lt;O519,I519&gt;Q519),"측정시각 구간 밖","OK")))))</f>
        <v/>
      </c>
      <c r="O519" s="48">
        <f>IF(COUNTIFS($C:$C,$C519,$D:$D,$D519,$E:$E,"기준(전)",$M:$M,"&gt;0")&lt;&gt;1,"",SUMIFS($I:$I,$C:$C,$C519,$D:$D,$D519,$E:$E,"기준(전)"))</f>
        <v/>
      </c>
      <c r="P519" s="31">
        <f>IF(COUNTIFS($C:$C,$C519,$D:$D,$D519,$E:$E,"기준(전)",$M:$M,"&gt;0")&lt;&gt;1,"",SUMIFS($M:$M,$C:$C,$C519,$D:$D,$D519,$E:$E,"기준(전)"))</f>
        <v/>
      </c>
      <c r="Q519" s="48">
        <f>IF(COUNTIFS($C:$C,$C519,$D:$D,$D519,$E:$E,"기준(후)",$M:$M,"&gt;0")&lt;&gt;1,"",SUMIFS($I:$I,$C:$C,$C519,$D:$D,$D519,$E:$E,"기준(후)"))</f>
        <v/>
      </c>
      <c r="R519" s="31">
        <f>IF(COUNTIFS($C:$C,$C519,$D:$D,$D519,$E:$E,"기준(후)",$M:$M,"&gt;0")&lt;&gt;1,"",SUMIFS($M:$M,$C:$C,$C519,$D:$D,$D519,$E:$E,"기준(후)"))</f>
        <v/>
      </c>
      <c r="S519" s="31">
        <f>IF(N519&lt;&gt;"OK","",P519+(R519-P519)*(I519-O519)/(Q519-O519))</f>
        <v/>
      </c>
      <c r="T519" s="31">
        <f>IF(OR(N519&lt;&gt;"OK",NOT(ISNUMBER(M519))),"",M519-S519)</f>
        <v/>
      </c>
      <c r="U519" s="49">
        <f>IF(OR($E518&lt;&gt;"측정",$C518&lt;&gt;$C519,$D518&lt;&gt;$D519,NOT(ISNUMBER(M519)),NOT(ISNUMBER(M518)),(IF(ISNUMBER(G519),G519,F519)-IF(ISNUMBER(G518),G518,F518))=0),"",(M519-M518)/((IF(ISNUMBER(G519),G519,F519)-IF(ISNUMBER(G518),G518,F518))/100))</f>
        <v/>
      </c>
      <c r="V519" s="29" t="n"/>
      <c r="W519" s="29" t="n"/>
      <c r="X519" s="32" t="n"/>
    </row>
    <row r="520">
      <c r="A520" s="26" t="inlineStr">
        <is>
          <t>S43</t>
        </is>
      </c>
      <c r="B520" s="26" t="inlineStr">
        <is>
          <t>포천</t>
        </is>
      </c>
      <c r="C520" s="26" t="inlineStr">
        <is>
          <t>S43-V</t>
        </is>
      </c>
      <c r="D520" s="47" t="n">
        <v>1</v>
      </c>
      <c r="E520" s="26" t="inlineStr">
        <is>
          <t>측정</t>
        </is>
      </c>
      <c r="F520" s="47" t="n">
        <v>200</v>
      </c>
      <c r="G520" s="41" t="n"/>
      <c r="H520" s="29" t="n"/>
      <c r="I520" s="43" t="n"/>
      <c r="J520" s="41" t="n"/>
      <c r="K520" s="41" t="n"/>
      <c r="L520" s="41" t="n"/>
      <c r="M520" s="31">
        <f>IF(COUNT(J520:L520)=0,"",MEDIAN(J520:L520))</f>
        <v/>
      </c>
      <c r="N520" s="26">
        <f>IF(COUNTIFS($C:$C,$C520,$D:$D,$D520,$E:$E,"기준(전)",$M:$M,"&gt;0")&lt;&gt;1,"기준(전) 유효 1개 아님",IF(COUNTIFS($C:$C,$C520,$D:$D,$D520,$E:$E,"기준(후)",$M:$M,"&gt;0")&lt;&gt;1,"기준(후) 유효 1개 아님",IF(NOT(AND(ISNUMBER(O520),ISNUMBER(Q520),ISNUMBER(I520))),"시각 결측",IF(Q520&lt;=O520,"기준 시각 역전",IF(OR(I520&lt;O520,I520&gt;Q520),"측정시각 구간 밖","OK")))))</f>
        <v/>
      </c>
      <c r="O520" s="48">
        <f>IF(COUNTIFS($C:$C,$C520,$D:$D,$D520,$E:$E,"기준(전)",$M:$M,"&gt;0")&lt;&gt;1,"",SUMIFS($I:$I,$C:$C,$C520,$D:$D,$D520,$E:$E,"기준(전)"))</f>
        <v/>
      </c>
      <c r="P520" s="31">
        <f>IF(COUNTIFS($C:$C,$C520,$D:$D,$D520,$E:$E,"기준(전)",$M:$M,"&gt;0")&lt;&gt;1,"",SUMIFS($M:$M,$C:$C,$C520,$D:$D,$D520,$E:$E,"기준(전)"))</f>
        <v/>
      </c>
      <c r="Q520" s="48">
        <f>IF(COUNTIFS($C:$C,$C520,$D:$D,$D520,$E:$E,"기준(후)",$M:$M,"&gt;0")&lt;&gt;1,"",SUMIFS($I:$I,$C:$C,$C520,$D:$D,$D520,$E:$E,"기준(후)"))</f>
        <v/>
      </c>
      <c r="R520" s="31">
        <f>IF(COUNTIFS($C:$C,$C520,$D:$D,$D520,$E:$E,"기준(후)",$M:$M,"&gt;0")&lt;&gt;1,"",SUMIFS($M:$M,$C:$C,$C520,$D:$D,$D520,$E:$E,"기준(후)"))</f>
        <v/>
      </c>
      <c r="S520" s="31">
        <f>IF(N520&lt;&gt;"OK","",P520+(R520-P520)*(I520-O520)/(Q520-O520))</f>
        <v/>
      </c>
      <c r="T520" s="31">
        <f>IF(OR(N520&lt;&gt;"OK",NOT(ISNUMBER(M520))),"",M520-S520)</f>
        <v/>
      </c>
      <c r="U520" s="49">
        <f>IF(OR($E519&lt;&gt;"측정",$C519&lt;&gt;$C520,$D519&lt;&gt;$D520,NOT(ISNUMBER(M520)),NOT(ISNUMBER(M519)),(IF(ISNUMBER(G520),G520,F520)-IF(ISNUMBER(G519),G519,F519))=0),"",(M520-M519)/((IF(ISNUMBER(G520),G520,F520)-IF(ISNUMBER(G519),G519,F519))/100))</f>
        <v/>
      </c>
      <c r="V520" s="29" t="n"/>
      <c r="W520" s="29" t="n"/>
      <c r="X520" s="32" t="n"/>
    </row>
    <row r="521">
      <c r="A521" s="44" t="inlineStr">
        <is>
          <t>S43</t>
        </is>
      </c>
      <c r="B521" s="44" t="inlineStr">
        <is>
          <t>포천</t>
        </is>
      </c>
      <c r="C521" s="44" t="inlineStr">
        <is>
          <t>S43-V</t>
        </is>
      </c>
      <c r="D521" s="45" t="n">
        <v>1</v>
      </c>
      <c r="E521" s="44" t="inlineStr">
        <is>
          <t>기준(후)</t>
        </is>
      </c>
      <c r="F521" s="45" t="n"/>
      <c r="G521" s="41" t="n"/>
      <c r="H521" s="29" t="n"/>
      <c r="I521" s="43" t="n"/>
      <c r="J521" s="41" t="n"/>
      <c r="K521" s="41" t="n"/>
      <c r="L521" s="41" t="n"/>
      <c r="M521" s="31">
        <f>IF(COUNT(J521:L521)=0,"",MEDIAN(J521:L521))</f>
        <v/>
      </c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29" t="n"/>
      <c r="W521" s="29" t="n"/>
      <c r="X521" s="32" t="n"/>
    </row>
    <row r="522">
      <c r="A522" s="44" t="inlineStr">
        <is>
          <t>S44</t>
        </is>
      </c>
      <c r="B522" s="44" t="inlineStr">
        <is>
          <t>성산</t>
        </is>
      </c>
      <c r="C522" s="44" t="inlineStr">
        <is>
          <t>S44-V</t>
        </is>
      </c>
      <c r="D522" s="45" t="n">
        <v>1</v>
      </c>
      <c r="E522" s="44" t="inlineStr">
        <is>
          <t>기준(전)</t>
        </is>
      </c>
      <c r="F522" s="45" t="n"/>
      <c r="G522" s="41" t="n"/>
      <c r="H522" s="29" t="n"/>
      <c r="I522" s="43" t="n"/>
      <c r="J522" s="41" t="n"/>
      <c r="K522" s="41" t="n"/>
      <c r="L522" s="41" t="n"/>
      <c r="M522" s="31">
        <f>IF(COUNT(J522:L522)=0,"",MEDIAN(J522:L522))</f>
        <v/>
      </c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29" t="n"/>
      <c r="W522" s="29" t="n"/>
      <c r="X522" s="32" t="n"/>
    </row>
    <row r="523">
      <c r="A523" s="26" t="inlineStr">
        <is>
          <t>S44</t>
        </is>
      </c>
      <c r="B523" s="26" t="inlineStr">
        <is>
          <t>성산</t>
        </is>
      </c>
      <c r="C523" s="26" t="inlineStr">
        <is>
          <t>S44-V</t>
        </is>
      </c>
      <c r="D523" s="47" t="n">
        <v>1</v>
      </c>
      <c r="E523" s="26" t="inlineStr">
        <is>
          <t>측정</t>
        </is>
      </c>
      <c r="F523" s="47" t="n">
        <v>20</v>
      </c>
      <c r="G523" s="41" t="n"/>
      <c r="H523" s="29" t="n"/>
      <c r="I523" s="43" t="n"/>
      <c r="J523" s="41" t="n"/>
      <c r="K523" s="41" t="n"/>
      <c r="L523" s="41" t="n"/>
      <c r="M523" s="31">
        <f>IF(COUNT(J523:L523)=0,"",MEDIAN(J523:L523))</f>
        <v/>
      </c>
      <c r="N523" s="26">
        <f>IF(COUNTIFS($C:$C,$C523,$D:$D,$D523,$E:$E,"기준(전)",$M:$M,"&gt;0")&lt;&gt;1,"기준(전) 유효 1개 아님",IF(COUNTIFS($C:$C,$C523,$D:$D,$D523,$E:$E,"기준(후)",$M:$M,"&gt;0")&lt;&gt;1,"기준(후) 유효 1개 아님",IF(NOT(AND(ISNUMBER(O523),ISNUMBER(Q523),ISNUMBER(I523))),"시각 결측",IF(Q523&lt;=O523,"기준 시각 역전",IF(OR(I523&lt;O523,I523&gt;Q523),"측정시각 구간 밖","OK")))))</f>
        <v/>
      </c>
      <c r="O523" s="48">
        <f>IF(COUNTIFS($C:$C,$C523,$D:$D,$D523,$E:$E,"기준(전)",$M:$M,"&gt;0")&lt;&gt;1,"",SUMIFS($I:$I,$C:$C,$C523,$D:$D,$D523,$E:$E,"기준(전)"))</f>
        <v/>
      </c>
      <c r="P523" s="31">
        <f>IF(COUNTIFS($C:$C,$C523,$D:$D,$D523,$E:$E,"기준(전)",$M:$M,"&gt;0")&lt;&gt;1,"",SUMIFS($M:$M,$C:$C,$C523,$D:$D,$D523,$E:$E,"기준(전)"))</f>
        <v/>
      </c>
      <c r="Q523" s="48">
        <f>IF(COUNTIFS($C:$C,$C523,$D:$D,$D523,$E:$E,"기준(후)",$M:$M,"&gt;0")&lt;&gt;1,"",SUMIFS($I:$I,$C:$C,$C523,$D:$D,$D523,$E:$E,"기준(후)"))</f>
        <v/>
      </c>
      <c r="R523" s="31">
        <f>IF(COUNTIFS($C:$C,$C523,$D:$D,$D523,$E:$E,"기준(후)",$M:$M,"&gt;0")&lt;&gt;1,"",SUMIFS($M:$M,$C:$C,$C523,$D:$D,$D523,$E:$E,"기준(후)"))</f>
        <v/>
      </c>
      <c r="S523" s="31">
        <f>IF(N523&lt;&gt;"OK","",P523+(R523-P523)*(I523-O523)/(Q523-O523))</f>
        <v/>
      </c>
      <c r="T523" s="31">
        <f>IF(OR(N523&lt;&gt;"OK",NOT(ISNUMBER(M523))),"",M523-S523)</f>
        <v/>
      </c>
      <c r="U523" s="49">
        <f>IF(OR($E522&lt;&gt;"측정",$C522&lt;&gt;$C523,$D522&lt;&gt;$D523,NOT(ISNUMBER(M523)),NOT(ISNUMBER(M522)),(IF(ISNUMBER(G523),G523,F523)-IF(ISNUMBER(G522),G522,F522))=0),"",(M523-M522)/((IF(ISNUMBER(G523),G523,F523)-IF(ISNUMBER(G522),G522,F522))/100))</f>
        <v/>
      </c>
      <c r="V523" s="29" t="n"/>
      <c r="W523" s="29" t="n"/>
      <c r="X523" s="32" t="n"/>
    </row>
    <row r="524">
      <c r="A524" s="26" t="inlineStr">
        <is>
          <t>S44</t>
        </is>
      </c>
      <c r="B524" s="26" t="inlineStr">
        <is>
          <t>성산</t>
        </is>
      </c>
      <c r="C524" s="26" t="inlineStr">
        <is>
          <t>S44-V</t>
        </is>
      </c>
      <c r="D524" s="47" t="n">
        <v>1</v>
      </c>
      <c r="E524" s="26" t="inlineStr">
        <is>
          <t>측정</t>
        </is>
      </c>
      <c r="F524" s="47" t="n">
        <v>40</v>
      </c>
      <c r="G524" s="41" t="n"/>
      <c r="H524" s="29" t="n"/>
      <c r="I524" s="43" t="n"/>
      <c r="J524" s="41" t="n"/>
      <c r="K524" s="41" t="n"/>
      <c r="L524" s="41" t="n"/>
      <c r="M524" s="31">
        <f>IF(COUNT(J524:L524)=0,"",MEDIAN(J524:L524))</f>
        <v/>
      </c>
      <c r="N524" s="26">
        <f>IF(COUNTIFS($C:$C,$C524,$D:$D,$D524,$E:$E,"기준(전)",$M:$M,"&gt;0")&lt;&gt;1,"기준(전) 유효 1개 아님",IF(COUNTIFS($C:$C,$C524,$D:$D,$D524,$E:$E,"기준(후)",$M:$M,"&gt;0")&lt;&gt;1,"기준(후) 유효 1개 아님",IF(NOT(AND(ISNUMBER(O524),ISNUMBER(Q524),ISNUMBER(I524))),"시각 결측",IF(Q524&lt;=O524,"기준 시각 역전",IF(OR(I524&lt;O524,I524&gt;Q524),"측정시각 구간 밖","OK")))))</f>
        <v/>
      </c>
      <c r="O524" s="48">
        <f>IF(COUNTIFS($C:$C,$C524,$D:$D,$D524,$E:$E,"기준(전)",$M:$M,"&gt;0")&lt;&gt;1,"",SUMIFS($I:$I,$C:$C,$C524,$D:$D,$D524,$E:$E,"기준(전)"))</f>
        <v/>
      </c>
      <c r="P524" s="31">
        <f>IF(COUNTIFS($C:$C,$C524,$D:$D,$D524,$E:$E,"기준(전)",$M:$M,"&gt;0")&lt;&gt;1,"",SUMIFS($M:$M,$C:$C,$C524,$D:$D,$D524,$E:$E,"기준(전)"))</f>
        <v/>
      </c>
      <c r="Q524" s="48">
        <f>IF(COUNTIFS($C:$C,$C524,$D:$D,$D524,$E:$E,"기준(후)",$M:$M,"&gt;0")&lt;&gt;1,"",SUMIFS($I:$I,$C:$C,$C524,$D:$D,$D524,$E:$E,"기준(후)"))</f>
        <v/>
      </c>
      <c r="R524" s="31">
        <f>IF(COUNTIFS($C:$C,$C524,$D:$D,$D524,$E:$E,"기준(후)",$M:$M,"&gt;0")&lt;&gt;1,"",SUMIFS($M:$M,$C:$C,$C524,$D:$D,$D524,$E:$E,"기준(후)"))</f>
        <v/>
      </c>
      <c r="S524" s="31">
        <f>IF(N524&lt;&gt;"OK","",P524+(R524-P524)*(I524-O524)/(Q524-O524))</f>
        <v/>
      </c>
      <c r="T524" s="31">
        <f>IF(OR(N524&lt;&gt;"OK",NOT(ISNUMBER(M524))),"",M524-S524)</f>
        <v/>
      </c>
      <c r="U524" s="49">
        <f>IF(OR($E523&lt;&gt;"측정",$C523&lt;&gt;$C524,$D523&lt;&gt;$D524,NOT(ISNUMBER(M524)),NOT(ISNUMBER(M523)),(IF(ISNUMBER(G524),G524,F524)-IF(ISNUMBER(G523),G523,F523))=0),"",(M524-M523)/((IF(ISNUMBER(G524),G524,F524)-IF(ISNUMBER(G523),G523,F523))/100))</f>
        <v/>
      </c>
      <c r="V524" s="29" t="n"/>
      <c r="W524" s="29" t="n"/>
      <c r="X524" s="32" t="n"/>
    </row>
    <row r="525">
      <c r="A525" s="26" t="inlineStr">
        <is>
          <t>S44</t>
        </is>
      </c>
      <c r="B525" s="26" t="inlineStr">
        <is>
          <t>성산</t>
        </is>
      </c>
      <c r="C525" s="26" t="inlineStr">
        <is>
          <t>S44-V</t>
        </is>
      </c>
      <c r="D525" s="47" t="n">
        <v>1</v>
      </c>
      <c r="E525" s="26" t="inlineStr">
        <is>
          <t>측정</t>
        </is>
      </c>
      <c r="F525" s="47" t="n">
        <v>60</v>
      </c>
      <c r="G525" s="41" t="n"/>
      <c r="H525" s="29" t="n"/>
      <c r="I525" s="43" t="n"/>
      <c r="J525" s="41" t="n"/>
      <c r="K525" s="41" t="n"/>
      <c r="L525" s="41" t="n"/>
      <c r="M525" s="31">
        <f>IF(COUNT(J525:L525)=0,"",MEDIAN(J525:L525))</f>
        <v/>
      </c>
      <c r="N525" s="26">
        <f>IF(COUNTIFS($C:$C,$C525,$D:$D,$D525,$E:$E,"기준(전)",$M:$M,"&gt;0")&lt;&gt;1,"기준(전) 유효 1개 아님",IF(COUNTIFS($C:$C,$C525,$D:$D,$D525,$E:$E,"기준(후)",$M:$M,"&gt;0")&lt;&gt;1,"기준(후) 유효 1개 아님",IF(NOT(AND(ISNUMBER(O525),ISNUMBER(Q525),ISNUMBER(I525))),"시각 결측",IF(Q525&lt;=O525,"기준 시각 역전",IF(OR(I525&lt;O525,I525&gt;Q525),"측정시각 구간 밖","OK")))))</f>
        <v/>
      </c>
      <c r="O525" s="48">
        <f>IF(COUNTIFS($C:$C,$C525,$D:$D,$D525,$E:$E,"기준(전)",$M:$M,"&gt;0")&lt;&gt;1,"",SUMIFS($I:$I,$C:$C,$C525,$D:$D,$D525,$E:$E,"기준(전)"))</f>
        <v/>
      </c>
      <c r="P525" s="31">
        <f>IF(COUNTIFS($C:$C,$C525,$D:$D,$D525,$E:$E,"기준(전)",$M:$M,"&gt;0")&lt;&gt;1,"",SUMIFS($M:$M,$C:$C,$C525,$D:$D,$D525,$E:$E,"기준(전)"))</f>
        <v/>
      </c>
      <c r="Q525" s="48">
        <f>IF(COUNTIFS($C:$C,$C525,$D:$D,$D525,$E:$E,"기준(후)",$M:$M,"&gt;0")&lt;&gt;1,"",SUMIFS($I:$I,$C:$C,$C525,$D:$D,$D525,$E:$E,"기준(후)"))</f>
        <v/>
      </c>
      <c r="R525" s="31">
        <f>IF(COUNTIFS($C:$C,$C525,$D:$D,$D525,$E:$E,"기준(후)",$M:$M,"&gt;0")&lt;&gt;1,"",SUMIFS($M:$M,$C:$C,$C525,$D:$D,$D525,$E:$E,"기준(후)"))</f>
        <v/>
      </c>
      <c r="S525" s="31">
        <f>IF(N525&lt;&gt;"OK","",P525+(R525-P525)*(I525-O525)/(Q525-O525))</f>
        <v/>
      </c>
      <c r="T525" s="31">
        <f>IF(OR(N525&lt;&gt;"OK",NOT(ISNUMBER(M525))),"",M525-S525)</f>
        <v/>
      </c>
      <c r="U525" s="49">
        <f>IF(OR($E524&lt;&gt;"측정",$C524&lt;&gt;$C525,$D524&lt;&gt;$D525,NOT(ISNUMBER(M525)),NOT(ISNUMBER(M524)),(IF(ISNUMBER(G525),G525,F525)-IF(ISNUMBER(G524),G524,F524))=0),"",(M525-M524)/((IF(ISNUMBER(G525),G525,F525)-IF(ISNUMBER(G524),G524,F524))/100))</f>
        <v/>
      </c>
      <c r="V525" s="29" t="n"/>
      <c r="W525" s="29" t="n"/>
      <c r="X525" s="32" t="n"/>
    </row>
    <row r="526">
      <c r="A526" s="26" t="inlineStr">
        <is>
          <t>S44</t>
        </is>
      </c>
      <c r="B526" s="26" t="inlineStr">
        <is>
          <t>성산</t>
        </is>
      </c>
      <c r="C526" s="26" t="inlineStr">
        <is>
          <t>S44-V</t>
        </is>
      </c>
      <c r="D526" s="47" t="n">
        <v>1</v>
      </c>
      <c r="E526" s="26" t="inlineStr">
        <is>
          <t>측정</t>
        </is>
      </c>
      <c r="F526" s="47" t="n">
        <v>80</v>
      </c>
      <c r="G526" s="41" t="n"/>
      <c r="H526" s="29" t="n"/>
      <c r="I526" s="43" t="n"/>
      <c r="J526" s="41" t="n"/>
      <c r="K526" s="41" t="n"/>
      <c r="L526" s="41" t="n"/>
      <c r="M526" s="31">
        <f>IF(COUNT(J526:L526)=0,"",MEDIAN(J526:L526))</f>
        <v/>
      </c>
      <c r="N526" s="26">
        <f>IF(COUNTIFS($C:$C,$C526,$D:$D,$D526,$E:$E,"기준(전)",$M:$M,"&gt;0")&lt;&gt;1,"기준(전) 유효 1개 아님",IF(COUNTIFS($C:$C,$C526,$D:$D,$D526,$E:$E,"기준(후)",$M:$M,"&gt;0")&lt;&gt;1,"기준(후) 유효 1개 아님",IF(NOT(AND(ISNUMBER(O526),ISNUMBER(Q526),ISNUMBER(I526))),"시각 결측",IF(Q526&lt;=O526,"기준 시각 역전",IF(OR(I526&lt;O526,I526&gt;Q526),"측정시각 구간 밖","OK")))))</f>
        <v/>
      </c>
      <c r="O526" s="48">
        <f>IF(COUNTIFS($C:$C,$C526,$D:$D,$D526,$E:$E,"기준(전)",$M:$M,"&gt;0")&lt;&gt;1,"",SUMIFS($I:$I,$C:$C,$C526,$D:$D,$D526,$E:$E,"기준(전)"))</f>
        <v/>
      </c>
      <c r="P526" s="31">
        <f>IF(COUNTIFS($C:$C,$C526,$D:$D,$D526,$E:$E,"기준(전)",$M:$M,"&gt;0")&lt;&gt;1,"",SUMIFS($M:$M,$C:$C,$C526,$D:$D,$D526,$E:$E,"기준(전)"))</f>
        <v/>
      </c>
      <c r="Q526" s="48">
        <f>IF(COUNTIFS($C:$C,$C526,$D:$D,$D526,$E:$E,"기준(후)",$M:$M,"&gt;0")&lt;&gt;1,"",SUMIFS($I:$I,$C:$C,$C526,$D:$D,$D526,$E:$E,"기준(후)"))</f>
        <v/>
      </c>
      <c r="R526" s="31">
        <f>IF(COUNTIFS($C:$C,$C526,$D:$D,$D526,$E:$E,"기준(후)",$M:$M,"&gt;0")&lt;&gt;1,"",SUMIFS($M:$M,$C:$C,$C526,$D:$D,$D526,$E:$E,"기준(후)"))</f>
        <v/>
      </c>
      <c r="S526" s="31">
        <f>IF(N526&lt;&gt;"OK","",P526+(R526-P526)*(I526-O526)/(Q526-O526))</f>
        <v/>
      </c>
      <c r="T526" s="31">
        <f>IF(OR(N526&lt;&gt;"OK",NOT(ISNUMBER(M526))),"",M526-S526)</f>
        <v/>
      </c>
      <c r="U526" s="49">
        <f>IF(OR($E525&lt;&gt;"측정",$C525&lt;&gt;$C526,$D525&lt;&gt;$D526,NOT(ISNUMBER(M526)),NOT(ISNUMBER(M525)),(IF(ISNUMBER(G526),G526,F526)-IF(ISNUMBER(G525),G525,F525))=0),"",(M526-M525)/((IF(ISNUMBER(G526),G526,F526)-IF(ISNUMBER(G525),G525,F525))/100))</f>
        <v/>
      </c>
      <c r="V526" s="29" t="n"/>
      <c r="W526" s="29" t="n"/>
      <c r="X526" s="32" t="n"/>
    </row>
    <row r="527">
      <c r="A527" s="26" t="inlineStr">
        <is>
          <t>S44</t>
        </is>
      </c>
      <c r="B527" s="26" t="inlineStr">
        <is>
          <t>성산</t>
        </is>
      </c>
      <c r="C527" s="26" t="inlineStr">
        <is>
          <t>S44-V</t>
        </is>
      </c>
      <c r="D527" s="47" t="n">
        <v>1</v>
      </c>
      <c r="E527" s="26" t="inlineStr">
        <is>
          <t>측정</t>
        </is>
      </c>
      <c r="F527" s="47" t="n">
        <v>100</v>
      </c>
      <c r="G527" s="41" t="n"/>
      <c r="H527" s="29" t="n"/>
      <c r="I527" s="43" t="n"/>
      <c r="J527" s="41" t="n"/>
      <c r="K527" s="41" t="n"/>
      <c r="L527" s="41" t="n"/>
      <c r="M527" s="31">
        <f>IF(COUNT(J527:L527)=0,"",MEDIAN(J527:L527))</f>
        <v/>
      </c>
      <c r="N527" s="26">
        <f>IF(COUNTIFS($C:$C,$C527,$D:$D,$D527,$E:$E,"기준(전)",$M:$M,"&gt;0")&lt;&gt;1,"기준(전) 유효 1개 아님",IF(COUNTIFS($C:$C,$C527,$D:$D,$D527,$E:$E,"기준(후)",$M:$M,"&gt;0")&lt;&gt;1,"기준(후) 유효 1개 아님",IF(NOT(AND(ISNUMBER(O527),ISNUMBER(Q527),ISNUMBER(I527))),"시각 결측",IF(Q527&lt;=O527,"기준 시각 역전",IF(OR(I527&lt;O527,I527&gt;Q527),"측정시각 구간 밖","OK")))))</f>
        <v/>
      </c>
      <c r="O527" s="48">
        <f>IF(COUNTIFS($C:$C,$C527,$D:$D,$D527,$E:$E,"기준(전)",$M:$M,"&gt;0")&lt;&gt;1,"",SUMIFS($I:$I,$C:$C,$C527,$D:$D,$D527,$E:$E,"기준(전)"))</f>
        <v/>
      </c>
      <c r="P527" s="31">
        <f>IF(COUNTIFS($C:$C,$C527,$D:$D,$D527,$E:$E,"기준(전)",$M:$M,"&gt;0")&lt;&gt;1,"",SUMIFS($M:$M,$C:$C,$C527,$D:$D,$D527,$E:$E,"기준(전)"))</f>
        <v/>
      </c>
      <c r="Q527" s="48">
        <f>IF(COUNTIFS($C:$C,$C527,$D:$D,$D527,$E:$E,"기준(후)",$M:$M,"&gt;0")&lt;&gt;1,"",SUMIFS($I:$I,$C:$C,$C527,$D:$D,$D527,$E:$E,"기준(후)"))</f>
        <v/>
      </c>
      <c r="R527" s="31">
        <f>IF(COUNTIFS($C:$C,$C527,$D:$D,$D527,$E:$E,"기준(후)",$M:$M,"&gt;0")&lt;&gt;1,"",SUMIFS($M:$M,$C:$C,$C527,$D:$D,$D527,$E:$E,"기준(후)"))</f>
        <v/>
      </c>
      <c r="S527" s="31">
        <f>IF(N527&lt;&gt;"OK","",P527+(R527-P527)*(I527-O527)/(Q527-O527))</f>
        <v/>
      </c>
      <c r="T527" s="31">
        <f>IF(OR(N527&lt;&gt;"OK",NOT(ISNUMBER(M527))),"",M527-S527)</f>
        <v/>
      </c>
      <c r="U527" s="49">
        <f>IF(OR($E526&lt;&gt;"측정",$C526&lt;&gt;$C527,$D526&lt;&gt;$D527,NOT(ISNUMBER(M527)),NOT(ISNUMBER(M526)),(IF(ISNUMBER(G527),G527,F527)-IF(ISNUMBER(G526),G526,F526))=0),"",(M527-M526)/((IF(ISNUMBER(G527),G527,F527)-IF(ISNUMBER(G526),G526,F526))/100))</f>
        <v/>
      </c>
      <c r="V527" s="29" t="n"/>
      <c r="W527" s="29" t="n"/>
      <c r="X527" s="32" t="n"/>
    </row>
    <row r="528">
      <c r="A528" s="26" t="inlineStr">
        <is>
          <t>S44</t>
        </is>
      </c>
      <c r="B528" s="26" t="inlineStr">
        <is>
          <t>성산</t>
        </is>
      </c>
      <c r="C528" s="26" t="inlineStr">
        <is>
          <t>S44-V</t>
        </is>
      </c>
      <c r="D528" s="47" t="n">
        <v>1</v>
      </c>
      <c r="E528" s="26" t="inlineStr">
        <is>
          <t>측정</t>
        </is>
      </c>
      <c r="F528" s="47" t="n">
        <v>120</v>
      </c>
      <c r="G528" s="41" t="n"/>
      <c r="H528" s="29" t="n"/>
      <c r="I528" s="43" t="n"/>
      <c r="J528" s="41" t="n"/>
      <c r="K528" s="41" t="n"/>
      <c r="L528" s="41" t="n"/>
      <c r="M528" s="31">
        <f>IF(COUNT(J528:L528)=0,"",MEDIAN(J528:L528))</f>
        <v/>
      </c>
      <c r="N528" s="26">
        <f>IF(COUNTIFS($C:$C,$C528,$D:$D,$D528,$E:$E,"기준(전)",$M:$M,"&gt;0")&lt;&gt;1,"기준(전) 유효 1개 아님",IF(COUNTIFS($C:$C,$C528,$D:$D,$D528,$E:$E,"기준(후)",$M:$M,"&gt;0")&lt;&gt;1,"기준(후) 유효 1개 아님",IF(NOT(AND(ISNUMBER(O528),ISNUMBER(Q528),ISNUMBER(I528))),"시각 결측",IF(Q528&lt;=O528,"기준 시각 역전",IF(OR(I528&lt;O528,I528&gt;Q528),"측정시각 구간 밖","OK")))))</f>
        <v/>
      </c>
      <c r="O528" s="48">
        <f>IF(COUNTIFS($C:$C,$C528,$D:$D,$D528,$E:$E,"기준(전)",$M:$M,"&gt;0")&lt;&gt;1,"",SUMIFS($I:$I,$C:$C,$C528,$D:$D,$D528,$E:$E,"기준(전)"))</f>
        <v/>
      </c>
      <c r="P528" s="31">
        <f>IF(COUNTIFS($C:$C,$C528,$D:$D,$D528,$E:$E,"기준(전)",$M:$M,"&gt;0")&lt;&gt;1,"",SUMIFS($M:$M,$C:$C,$C528,$D:$D,$D528,$E:$E,"기준(전)"))</f>
        <v/>
      </c>
      <c r="Q528" s="48">
        <f>IF(COUNTIFS($C:$C,$C528,$D:$D,$D528,$E:$E,"기준(후)",$M:$M,"&gt;0")&lt;&gt;1,"",SUMIFS($I:$I,$C:$C,$C528,$D:$D,$D528,$E:$E,"기준(후)"))</f>
        <v/>
      </c>
      <c r="R528" s="31">
        <f>IF(COUNTIFS($C:$C,$C528,$D:$D,$D528,$E:$E,"기준(후)",$M:$M,"&gt;0")&lt;&gt;1,"",SUMIFS($M:$M,$C:$C,$C528,$D:$D,$D528,$E:$E,"기준(후)"))</f>
        <v/>
      </c>
      <c r="S528" s="31">
        <f>IF(N528&lt;&gt;"OK","",P528+(R528-P528)*(I528-O528)/(Q528-O528))</f>
        <v/>
      </c>
      <c r="T528" s="31">
        <f>IF(OR(N528&lt;&gt;"OK",NOT(ISNUMBER(M528))),"",M528-S528)</f>
        <v/>
      </c>
      <c r="U528" s="49">
        <f>IF(OR($E527&lt;&gt;"측정",$C527&lt;&gt;$C528,$D527&lt;&gt;$D528,NOT(ISNUMBER(M528)),NOT(ISNUMBER(M527)),(IF(ISNUMBER(G528),G528,F528)-IF(ISNUMBER(G527),G527,F527))=0),"",(M528-M527)/((IF(ISNUMBER(G528),G528,F528)-IF(ISNUMBER(G527),G527,F527))/100))</f>
        <v/>
      </c>
      <c r="V528" s="29" t="n"/>
      <c r="W528" s="29" t="n"/>
      <c r="X528" s="32" t="n"/>
    </row>
    <row r="529">
      <c r="A529" s="26" t="inlineStr">
        <is>
          <t>S44</t>
        </is>
      </c>
      <c r="B529" s="26" t="inlineStr">
        <is>
          <t>성산</t>
        </is>
      </c>
      <c r="C529" s="26" t="inlineStr">
        <is>
          <t>S44-V</t>
        </is>
      </c>
      <c r="D529" s="47" t="n">
        <v>1</v>
      </c>
      <c r="E529" s="26" t="inlineStr">
        <is>
          <t>측정</t>
        </is>
      </c>
      <c r="F529" s="47" t="n">
        <v>140</v>
      </c>
      <c r="G529" s="41" t="n"/>
      <c r="H529" s="29" t="n"/>
      <c r="I529" s="43" t="n"/>
      <c r="J529" s="41" t="n"/>
      <c r="K529" s="41" t="n"/>
      <c r="L529" s="41" t="n"/>
      <c r="M529" s="31">
        <f>IF(COUNT(J529:L529)=0,"",MEDIAN(J529:L529))</f>
        <v/>
      </c>
      <c r="N529" s="26">
        <f>IF(COUNTIFS($C:$C,$C529,$D:$D,$D529,$E:$E,"기준(전)",$M:$M,"&gt;0")&lt;&gt;1,"기준(전) 유효 1개 아님",IF(COUNTIFS($C:$C,$C529,$D:$D,$D529,$E:$E,"기준(후)",$M:$M,"&gt;0")&lt;&gt;1,"기준(후) 유효 1개 아님",IF(NOT(AND(ISNUMBER(O529),ISNUMBER(Q529),ISNUMBER(I529))),"시각 결측",IF(Q529&lt;=O529,"기준 시각 역전",IF(OR(I529&lt;O529,I529&gt;Q529),"측정시각 구간 밖","OK")))))</f>
        <v/>
      </c>
      <c r="O529" s="48">
        <f>IF(COUNTIFS($C:$C,$C529,$D:$D,$D529,$E:$E,"기준(전)",$M:$M,"&gt;0")&lt;&gt;1,"",SUMIFS($I:$I,$C:$C,$C529,$D:$D,$D529,$E:$E,"기준(전)"))</f>
        <v/>
      </c>
      <c r="P529" s="31">
        <f>IF(COUNTIFS($C:$C,$C529,$D:$D,$D529,$E:$E,"기준(전)",$M:$M,"&gt;0")&lt;&gt;1,"",SUMIFS($M:$M,$C:$C,$C529,$D:$D,$D529,$E:$E,"기준(전)"))</f>
        <v/>
      </c>
      <c r="Q529" s="48">
        <f>IF(COUNTIFS($C:$C,$C529,$D:$D,$D529,$E:$E,"기준(후)",$M:$M,"&gt;0")&lt;&gt;1,"",SUMIFS($I:$I,$C:$C,$C529,$D:$D,$D529,$E:$E,"기준(후)"))</f>
        <v/>
      </c>
      <c r="R529" s="31">
        <f>IF(COUNTIFS($C:$C,$C529,$D:$D,$D529,$E:$E,"기준(후)",$M:$M,"&gt;0")&lt;&gt;1,"",SUMIFS($M:$M,$C:$C,$C529,$D:$D,$D529,$E:$E,"기준(후)"))</f>
        <v/>
      </c>
      <c r="S529" s="31">
        <f>IF(N529&lt;&gt;"OK","",P529+(R529-P529)*(I529-O529)/(Q529-O529))</f>
        <v/>
      </c>
      <c r="T529" s="31">
        <f>IF(OR(N529&lt;&gt;"OK",NOT(ISNUMBER(M529))),"",M529-S529)</f>
        <v/>
      </c>
      <c r="U529" s="49">
        <f>IF(OR($E528&lt;&gt;"측정",$C528&lt;&gt;$C529,$D528&lt;&gt;$D529,NOT(ISNUMBER(M529)),NOT(ISNUMBER(M528)),(IF(ISNUMBER(G529),G529,F529)-IF(ISNUMBER(G528),G528,F528))=0),"",(M529-M528)/((IF(ISNUMBER(G529),G529,F529)-IF(ISNUMBER(G528),G528,F528))/100))</f>
        <v/>
      </c>
      <c r="V529" s="29" t="n"/>
      <c r="W529" s="29" t="n"/>
      <c r="X529" s="32" t="n"/>
    </row>
    <row r="530">
      <c r="A530" s="26" t="inlineStr">
        <is>
          <t>S44</t>
        </is>
      </c>
      <c r="B530" s="26" t="inlineStr">
        <is>
          <t>성산</t>
        </is>
      </c>
      <c r="C530" s="26" t="inlineStr">
        <is>
          <t>S44-V</t>
        </is>
      </c>
      <c r="D530" s="47" t="n">
        <v>1</v>
      </c>
      <c r="E530" s="26" t="inlineStr">
        <is>
          <t>측정</t>
        </is>
      </c>
      <c r="F530" s="47" t="n">
        <v>160</v>
      </c>
      <c r="G530" s="41" t="n"/>
      <c r="H530" s="29" t="n"/>
      <c r="I530" s="43" t="n"/>
      <c r="J530" s="41" t="n"/>
      <c r="K530" s="41" t="n"/>
      <c r="L530" s="41" t="n"/>
      <c r="M530" s="31">
        <f>IF(COUNT(J530:L530)=0,"",MEDIAN(J530:L530))</f>
        <v/>
      </c>
      <c r="N530" s="26">
        <f>IF(COUNTIFS($C:$C,$C530,$D:$D,$D530,$E:$E,"기준(전)",$M:$M,"&gt;0")&lt;&gt;1,"기준(전) 유효 1개 아님",IF(COUNTIFS($C:$C,$C530,$D:$D,$D530,$E:$E,"기준(후)",$M:$M,"&gt;0")&lt;&gt;1,"기준(후) 유효 1개 아님",IF(NOT(AND(ISNUMBER(O530),ISNUMBER(Q530),ISNUMBER(I530))),"시각 결측",IF(Q530&lt;=O530,"기준 시각 역전",IF(OR(I530&lt;O530,I530&gt;Q530),"측정시각 구간 밖","OK")))))</f>
        <v/>
      </c>
      <c r="O530" s="48">
        <f>IF(COUNTIFS($C:$C,$C530,$D:$D,$D530,$E:$E,"기준(전)",$M:$M,"&gt;0")&lt;&gt;1,"",SUMIFS($I:$I,$C:$C,$C530,$D:$D,$D530,$E:$E,"기준(전)"))</f>
        <v/>
      </c>
      <c r="P530" s="31">
        <f>IF(COUNTIFS($C:$C,$C530,$D:$D,$D530,$E:$E,"기준(전)",$M:$M,"&gt;0")&lt;&gt;1,"",SUMIFS($M:$M,$C:$C,$C530,$D:$D,$D530,$E:$E,"기준(전)"))</f>
        <v/>
      </c>
      <c r="Q530" s="48">
        <f>IF(COUNTIFS($C:$C,$C530,$D:$D,$D530,$E:$E,"기준(후)",$M:$M,"&gt;0")&lt;&gt;1,"",SUMIFS($I:$I,$C:$C,$C530,$D:$D,$D530,$E:$E,"기준(후)"))</f>
        <v/>
      </c>
      <c r="R530" s="31">
        <f>IF(COUNTIFS($C:$C,$C530,$D:$D,$D530,$E:$E,"기준(후)",$M:$M,"&gt;0")&lt;&gt;1,"",SUMIFS($M:$M,$C:$C,$C530,$D:$D,$D530,$E:$E,"기준(후)"))</f>
        <v/>
      </c>
      <c r="S530" s="31">
        <f>IF(N530&lt;&gt;"OK","",P530+(R530-P530)*(I530-O530)/(Q530-O530))</f>
        <v/>
      </c>
      <c r="T530" s="31">
        <f>IF(OR(N530&lt;&gt;"OK",NOT(ISNUMBER(M530))),"",M530-S530)</f>
        <v/>
      </c>
      <c r="U530" s="49">
        <f>IF(OR($E529&lt;&gt;"측정",$C529&lt;&gt;$C530,$D529&lt;&gt;$D530,NOT(ISNUMBER(M530)),NOT(ISNUMBER(M529)),(IF(ISNUMBER(G530),G530,F530)-IF(ISNUMBER(G529),G529,F529))=0),"",(M530-M529)/((IF(ISNUMBER(G530),G530,F530)-IF(ISNUMBER(G529),G529,F529))/100))</f>
        <v/>
      </c>
      <c r="V530" s="29" t="n"/>
      <c r="W530" s="29" t="n"/>
      <c r="X530" s="32" t="n"/>
    </row>
    <row r="531">
      <c r="A531" s="26" t="inlineStr">
        <is>
          <t>S44</t>
        </is>
      </c>
      <c r="B531" s="26" t="inlineStr">
        <is>
          <t>성산</t>
        </is>
      </c>
      <c r="C531" s="26" t="inlineStr">
        <is>
          <t>S44-V</t>
        </is>
      </c>
      <c r="D531" s="47" t="n">
        <v>1</v>
      </c>
      <c r="E531" s="26" t="inlineStr">
        <is>
          <t>측정</t>
        </is>
      </c>
      <c r="F531" s="47" t="n">
        <v>180</v>
      </c>
      <c r="G531" s="41" t="n"/>
      <c r="H531" s="29" t="n"/>
      <c r="I531" s="43" t="n"/>
      <c r="J531" s="41" t="n"/>
      <c r="K531" s="41" t="n"/>
      <c r="L531" s="41" t="n"/>
      <c r="M531" s="31">
        <f>IF(COUNT(J531:L531)=0,"",MEDIAN(J531:L531))</f>
        <v/>
      </c>
      <c r="N531" s="26">
        <f>IF(COUNTIFS($C:$C,$C531,$D:$D,$D531,$E:$E,"기준(전)",$M:$M,"&gt;0")&lt;&gt;1,"기준(전) 유효 1개 아님",IF(COUNTIFS($C:$C,$C531,$D:$D,$D531,$E:$E,"기준(후)",$M:$M,"&gt;0")&lt;&gt;1,"기준(후) 유효 1개 아님",IF(NOT(AND(ISNUMBER(O531),ISNUMBER(Q531),ISNUMBER(I531))),"시각 결측",IF(Q531&lt;=O531,"기준 시각 역전",IF(OR(I531&lt;O531,I531&gt;Q531),"측정시각 구간 밖","OK")))))</f>
        <v/>
      </c>
      <c r="O531" s="48">
        <f>IF(COUNTIFS($C:$C,$C531,$D:$D,$D531,$E:$E,"기준(전)",$M:$M,"&gt;0")&lt;&gt;1,"",SUMIFS($I:$I,$C:$C,$C531,$D:$D,$D531,$E:$E,"기준(전)"))</f>
        <v/>
      </c>
      <c r="P531" s="31">
        <f>IF(COUNTIFS($C:$C,$C531,$D:$D,$D531,$E:$E,"기준(전)",$M:$M,"&gt;0")&lt;&gt;1,"",SUMIFS($M:$M,$C:$C,$C531,$D:$D,$D531,$E:$E,"기준(전)"))</f>
        <v/>
      </c>
      <c r="Q531" s="48">
        <f>IF(COUNTIFS($C:$C,$C531,$D:$D,$D531,$E:$E,"기준(후)",$M:$M,"&gt;0")&lt;&gt;1,"",SUMIFS($I:$I,$C:$C,$C531,$D:$D,$D531,$E:$E,"기준(후)"))</f>
        <v/>
      </c>
      <c r="R531" s="31">
        <f>IF(COUNTIFS($C:$C,$C531,$D:$D,$D531,$E:$E,"기준(후)",$M:$M,"&gt;0")&lt;&gt;1,"",SUMIFS($M:$M,$C:$C,$C531,$D:$D,$D531,$E:$E,"기준(후)"))</f>
        <v/>
      </c>
      <c r="S531" s="31">
        <f>IF(N531&lt;&gt;"OK","",P531+(R531-P531)*(I531-O531)/(Q531-O531))</f>
        <v/>
      </c>
      <c r="T531" s="31">
        <f>IF(OR(N531&lt;&gt;"OK",NOT(ISNUMBER(M531))),"",M531-S531)</f>
        <v/>
      </c>
      <c r="U531" s="49">
        <f>IF(OR($E530&lt;&gt;"측정",$C530&lt;&gt;$C531,$D530&lt;&gt;$D531,NOT(ISNUMBER(M531)),NOT(ISNUMBER(M530)),(IF(ISNUMBER(G531),G531,F531)-IF(ISNUMBER(G530),G530,F530))=0),"",(M531-M530)/((IF(ISNUMBER(G531),G531,F531)-IF(ISNUMBER(G530),G530,F530))/100))</f>
        <v/>
      </c>
      <c r="V531" s="29" t="n"/>
      <c r="W531" s="29" t="n"/>
      <c r="X531" s="32" t="n"/>
    </row>
    <row r="532">
      <c r="A532" s="26" t="inlineStr">
        <is>
          <t>S44</t>
        </is>
      </c>
      <c r="B532" s="26" t="inlineStr">
        <is>
          <t>성산</t>
        </is>
      </c>
      <c r="C532" s="26" t="inlineStr">
        <is>
          <t>S44-V</t>
        </is>
      </c>
      <c r="D532" s="47" t="n">
        <v>1</v>
      </c>
      <c r="E532" s="26" t="inlineStr">
        <is>
          <t>측정</t>
        </is>
      </c>
      <c r="F532" s="47" t="n">
        <v>200</v>
      </c>
      <c r="G532" s="41" t="n"/>
      <c r="H532" s="29" t="n"/>
      <c r="I532" s="43" t="n"/>
      <c r="J532" s="41" t="n"/>
      <c r="K532" s="41" t="n"/>
      <c r="L532" s="41" t="n"/>
      <c r="M532" s="31">
        <f>IF(COUNT(J532:L532)=0,"",MEDIAN(J532:L532))</f>
        <v/>
      </c>
      <c r="N532" s="26">
        <f>IF(COUNTIFS($C:$C,$C532,$D:$D,$D532,$E:$E,"기준(전)",$M:$M,"&gt;0")&lt;&gt;1,"기준(전) 유효 1개 아님",IF(COUNTIFS($C:$C,$C532,$D:$D,$D532,$E:$E,"기준(후)",$M:$M,"&gt;0")&lt;&gt;1,"기준(후) 유효 1개 아님",IF(NOT(AND(ISNUMBER(O532),ISNUMBER(Q532),ISNUMBER(I532))),"시각 결측",IF(Q532&lt;=O532,"기준 시각 역전",IF(OR(I532&lt;O532,I532&gt;Q532),"측정시각 구간 밖","OK")))))</f>
        <v/>
      </c>
      <c r="O532" s="48">
        <f>IF(COUNTIFS($C:$C,$C532,$D:$D,$D532,$E:$E,"기준(전)",$M:$M,"&gt;0")&lt;&gt;1,"",SUMIFS($I:$I,$C:$C,$C532,$D:$D,$D532,$E:$E,"기준(전)"))</f>
        <v/>
      </c>
      <c r="P532" s="31">
        <f>IF(COUNTIFS($C:$C,$C532,$D:$D,$D532,$E:$E,"기준(전)",$M:$M,"&gt;0")&lt;&gt;1,"",SUMIFS($M:$M,$C:$C,$C532,$D:$D,$D532,$E:$E,"기준(전)"))</f>
        <v/>
      </c>
      <c r="Q532" s="48">
        <f>IF(COUNTIFS($C:$C,$C532,$D:$D,$D532,$E:$E,"기준(후)",$M:$M,"&gt;0")&lt;&gt;1,"",SUMIFS($I:$I,$C:$C,$C532,$D:$D,$D532,$E:$E,"기준(후)"))</f>
        <v/>
      </c>
      <c r="R532" s="31">
        <f>IF(COUNTIFS($C:$C,$C532,$D:$D,$D532,$E:$E,"기준(후)",$M:$M,"&gt;0")&lt;&gt;1,"",SUMIFS($M:$M,$C:$C,$C532,$D:$D,$D532,$E:$E,"기준(후)"))</f>
        <v/>
      </c>
      <c r="S532" s="31">
        <f>IF(N532&lt;&gt;"OK","",P532+(R532-P532)*(I532-O532)/(Q532-O532))</f>
        <v/>
      </c>
      <c r="T532" s="31">
        <f>IF(OR(N532&lt;&gt;"OK",NOT(ISNUMBER(M532))),"",M532-S532)</f>
        <v/>
      </c>
      <c r="U532" s="49">
        <f>IF(OR($E531&lt;&gt;"측정",$C531&lt;&gt;$C532,$D531&lt;&gt;$D532,NOT(ISNUMBER(M532)),NOT(ISNUMBER(M531)),(IF(ISNUMBER(G532),G532,F532)-IF(ISNUMBER(G531),G531,F531))=0),"",(M532-M531)/((IF(ISNUMBER(G532),G532,F532)-IF(ISNUMBER(G531),G531,F531))/100))</f>
        <v/>
      </c>
      <c r="V532" s="29" t="n"/>
      <c r="W532" s="29" t="n"/>
      <c r="X532" s="32" t="n"/>
    </row>
    <row r="533">
      <c r="A533" s="44" t="inlineStr">
        <is>
          <t>S44</t>
        </is>
      </c>
      <c r="B533" s="44" t="inlineStr">
        <is>
          <t>성산</t>
        </is>
      </c>
      <c r="C533" s="44" t="inlineStr">
        <is>
          <t>S44-V</t>
        </is>
      </c>
      <c r="D533" s="45" t="n">
        <v>1</v>
      </c>
      <c r="E533" s="44" t="inlineStr">
        <is>
          <t>기준(후)</t>
        </is>
      </c>
      <c r="F533" s="45" t="n"/>
      <c r="G533" s="41" t="n"/>
      <c r="H533" s="29" t="n"/>
      <c r="I533" s="43" t="n"/>
      <c r="J533" s="41" t="n"/>
      <c r="K533" s="41" t="n"/>
      <c r="L533" s="41" t="n"/>
      <c r="M533" s="31">
        <f>IF(COUNT(J533:L533)=0,"",MEDIAN(J533:L533))</f>
        <v/>
      </c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29" t="n"/>
      <c r="W533" s="29" t="n"/>
      <c r="X533" s="32" t="n"/>
    </row>
    <row r="534">
      <c r="A534" s="44" t="inlineStr">
        <is>
          <t>S45</t>
        </is>
      </c>
      <c r="B534" s="44" t="inlineStr">
        <is>
          <t>여주</t>
        </is>
      </c>
      <c r="C534" s="44" t="inlineStr">
        <is>
          <t>S45-V</t>
        </is>
      </c>
      <c r="D534" s="45" t="n">
        <v>1</v>
      </c>
      <c r="E534" s="44" t="inlineStr">
        <is>
          <t>기준(전)</t>
        </is>
      </c>
      <c r="F534" s="45" t="n"/>
      <c r="G534" s="41" t="n"/>
      <c r="H534" s="29" t="n"/>
      <c r="I534" s="43" t="n"/>
      <c r="J534" s="41" t="n"/>
      <c r="K534" s="41" t="n"/>
      <c r="L534" s="41" t="n"/>
      <c r="M534" s="31">
        <f>IF(COUNT(J534:L534)=0,"",MEDIAN(J534:L534))</f>
        <v/>
      </c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29" t="n"/>
      <c r="W534" s="29" t="n"/>
      <c r="X534" s="32" t="n"/>
    </row>
    <row r="535">
      <c r="A535" s="26" t="inlineStr">
        <is>
          <t>S45</t>
        </is>
      </c>
      <c r="B535" s="26" t="inlineStr">
        <is>
          <t>여주</t>
        </is>
      </c>
      <c r="C535" s="26" t="inlineStr">
        <is>
          <t>S45-V</t>
        </is>
      </c>
      <c r="D535" s="47" t="n">
        <v>1</v>
      </c>
      <c r="E535" s="26" t="inlineStr">
        <is>
          <t>측정</t>
        </is>
      </c>
      <c r="F535" s="47" t="n">
        <v>20</v>
      </c>
      <c r="G535" s="41" t="n"/>
      <c r="H535" s="29" t="n"/>
      <c r="I535" s="43" t="n"/>
      <c r="J535" s="41" t="n"/>
      <c r="K535" s="41" t="n"/>
      <c r="L535" s="41" t="n"/>
      <c r="M535" s="31">
        <f>IF(COUNT(J535:L535)=0,"",MEDIAN(J535:L535))</f>
        <v/>
      </c>
      <c r="N535" s="26">
        <f>IF(COUNTIFS($C:$C,$C535,$D:$D,$D535,$E:$E,"기준(전)",$M:$M,"&gt;0")&lt;&gt;1,"기준(전) 유효 1개 아님",IF(COUNTIFS($C:$C,$C535,$D:$D,$D535,$E:$E,"기준(후)",$M:$M,"&gt;0")&lt;&gt;1,"기준(후) 유효 1개 아님",IF(NOT(AND(ISNUMBER(O535),ISNUMBER(Q535),ISNUMBER(I535))),"시각 결측",IF(Q535&lt;=O535,"기준 시각 역전",IF(OR(I535&lt;O535,I535&gt;Q535),"측정시각 구간 밖","OK")))))</f>
        <v/>
      </c>
      <c r="O535" s="48">
        <f>IF(COUNTIFS($C:$C,$C535,$D:$D,$D535,$E:$E,"기준(전)",$M:$M,"&gt;0")&lt;&gt;1,"",SUMIFS($I:$I,$C:$C,$C535,$D:$D,$D535,$E:$E,"기준(전)"))</f>
        <v/>
      </c>
      <c r="P535" s="31">
        <f>IF(COUNTIFS($C:$C,$C535,$D:$D,$D535,$E:$E,"기준(전)",$M:$M,"&gt;0")&lt;&gt;1,"",SUMIFS($M:$M,$C:$C,$C535,$D:$D,$D535,$E:$E,"기준(전)"))</f>
        <v/>
      </c>
      <c r="Q535" s="48">
        <f>IF(COUNTIFS($C:$C,$C535,$D:$D,$D535,$E:$E,"기준(후)",$M:$M,"&gt;0")&lt;&gt;1,"",SUMIFS($I:$I,$C:$C,$C535,$D:$D,$D535,$E:$E,"기준(후)"))</f>
        <v/>
      </c>
      <c r="R535" s="31">
        <f>IF(COUNTIFS($C:$C,$C535,$D:$D,$D535,$E:$E,"기준(후)",$M:$M,"&gt;0")&lt;&gt;1,"",SUMIFS($M:$M,$C:$C,$C535,$D:$D,$D535,$E:$E,"기준(후)"))</f>
        <v/>
      </c>
      <c r="S535" s="31">
        <f>IF(N535&lt;&gt;"OK","",P535+(R535-P535)*(I535-O535)/(Q535-O535))</f>
        <v/>
      </c>
      <c r="T535" s="31">
        <f>IF(OR(N535&lt;&gt;"OK",NOT(ISNUMBER(M535))),"",M535-S535)</f>
        <v/>
      </c>
      <c r="U535" s="49">
        <f>IF(OR($E534&lt;&gt;"측정",$C534&lt;&gt;$C535,$D534&lt;&gt;$D535,NOT(ISNUMBER(M535)),NOT(ISNUMBER(M534)),(IF(ISNUMBER(G535),G535,F535)-IF(ISNUMBER(G534),G534,F534))=0),"",(M535-M534)/((IF(ISNUMBER(G535),G535,F535)-IF(ISNUMBER(G534),G534,F534))/100))</f>
        <v/>
      </c>
      <c r="V535" s="29" t="n"/>
      <c r="W535" s="29" t="n"/>
      <c r="X535" s="32" t="n"/>
    </row>
    <row r="536">
      <c r="A536" s="26" t="inlineStr">
        <is>
          <t>S45</t>
        </is>
      </c>
      <c r="B536" s="26" t="inlineStr">
        <is>
          <t>여주</t>
        </is>
      </c>
      <c r="C536" s="26" t="inlineStr">
        <is>
          <t>S45-V</t>
        </is>
      </c>
      <c r="D536" s="47" t="n">
        <v>1</v>
      </c>
      <c r="E536" s="26" t="inlineStr">
        <is>
          <t>측정</t>
        </is>
      </c>
      <c r="F536" s="47" t="n">
        <v>40</v>
      </c>
      <c r="G536" s="41" t="n"/>
      <c r="H536" s="29" t="n"/>
      <c r="I536" s="43" t="n"/>
      <c r="J536" s="41" t="n"/>
      <c r="K536" s="41" t="n"/>
      <c r="L536" s="41" t="n"/>
      <c r="M536" s="31">
        <f>IF(COUNT(J536:L536)=0,"",MEDIAN(J536:L536))</f>
        <v/>
      </c>
      <c r="N536" s="26">
        <f>IF(COUNTIFS($C:$C,$C536,$D:$D,$D536,$E:$E,"기준(전)",$M:$M,"&gt;0")&lt;&gt;1,"기준(전) 유효 1개 아님",IF(COUNTIFS($C:$C,$C536,$D:$D,$D536,$E:$E,"기준(후)",$M:$M,"&gt;0")&lt;&gt;1,"기준(후) 유효 1개 아님",IF(NOT(AND(ISNUMBER(O536),ISNUMBER(Q536),ISNUMBER(I536))),"시각 결측",IF(Q536&lt;=O536,"기준 시각 역전",IF(OR(I536&lt;O536,I536&gt;Q536),"측정시각 구간 밖","OK")))))</f>
        <v/>
      </c>
      <c r="O536" s="48">
        <f>IF(COUNTIFS($C:$C,$C536,$D:$D,$D536,$E:$E,"기준(전)",$M:$M,"&gt;0")&lt;&gt;1,"",SUMIFS($I:$I,$C:$C,$C536,$D:$D,$D536,$E:$E,"기준(전)"))</f>
        <v/>
      </c>
      <c r="P536" s="31">
        <f>IF(COUNTIFS($C:$C,$C536,$D:$D,$D536,$E:$E,"기준(전)",$M:$M,"&gt;0")&lt;&gt;1,"",SUMIFS($M:$M,$C:$C,$C536,$D:$D,$D536,$E:$E,"기준(전)"))</f>
        <v/>
      </c>
      <c r="Q536" s="48">
        <f>IF(COUNTIFS($C:$C,$C536,$D:$D,$D536,$E:$E,"기준(후)",$M:$M,"&gt;0")&lt;&gt;1,"",SUMIFS($I:$I,$C:$C,$C536,$D:$D,$D536,$E:$E,"기준(후)"))</f>
        <v/>
      </c>
      <c r="R536" s="31">
        <f>IF(COUNTIFS($C:$C,$C536,$D:$D,$D536,$E:$E,"기준(후)",$M:$M,"&gt;0")&lt;&gt;1,"",SUMIFS($M:$M,$C:$C,$C536,$D:$D,$D536,$E:$E,"기준(후)"))</f>
        <v/>
      </c>
      <c r="S536" s="31">
        <f>IF(N536&lt;&gt;"OK","",P536+(R536-P536)*(I536-O536)/(Q536-O536))</f>
        <v/>
      </c>
      <c r="T536" s="31">
        <f>IF(OR(N536&lt;&gt;"OK",NOT(ISNUMBER(M536))),"",M536-S536)</f>
        <v/>
      </c>
      <c r="U536" s="49">
        <f>IF(OR($E535&lt;&gt;"측정",$C535&lt;&gt;$C536,$D535&lt;&gt;$D536,NOT(ISNUMBER(M536)),NOT(ISNUMBER(M535)),(IF(ISNUMBER(G536),G536,F536)-IF(ISNUMBER(G535),G535,F535))=0),"",(M536-M535)/((IF(ISNUMBER(G536),G536,F536)-IF(ISNUMBER(G535),G535,F535))/100))</f>
        <v/>
      </c>
      <c r="V536" s="29" t="n"/>
      <c r="W536" s="29" t="n"/>
      <c r="X536" s="32" t="n"/>
    </row>
    <row r="537">
      <c r="A537" s="26" t="inlineStr">
        <is>
          <t>S45</t>
        </is>
      </c>
      <c r="B537" s="26" t="inlineStr">
        <is>
          <t>여주</t>
        </is>
      </c>
      <c r="C537" s="26" t="inlineStr">
        <is>
          <t>S45-V</t>
        </is>
      </c>
      <c r="D537" s="47" t="n">
        <v>1</v>
      </c>
      <c r="E537" s="26" t="inlineStr">
        <is>
          <t>측정</t>
        </is>
      </c>
      <c r="F537" s="47" t="n">
        <v>60</v>
      </c>
      <c r="G537" s="41" t="n"/>
      <c r="H537" s="29" t="n"/>
      <c r="I537" s="43" t="n"/>
      <c r="J537" s="41" t="n"/>
      <c r="K537" s="41" t="n"/>
      <c r="L537" s="41" t="n"/>
      <c r="M537" s="31">
        <f>IF(COUNT(J537:L537)=0,"",MEDIAN(J537:L537))</f>
        <v/>
      </c>
      <c r="N537" s="26">
        <f>IF(COUNTIFS($C:$C,$C537,$D:$D,$D537,$E:$E,"기준(전)",$M:$M,"&gt;0")&lt;&gt;1,"기준(전) 유효 1개 아님",IF(COUNTIFS($C:$C,$C537,$D:$D,$D537,$E:$E,"기준(후)",$M:$M,"&gt;0")&lt;&gt;1,"기준(후) 유효 1개 아님",IF(NOT(AND(ISNUMBER(O537),ISNUMBER(Q537),ISNUMBER(I537))),"시각 결측",IF(Q537&lt;=O537,"기준 시각 역전",IF(OR(I537&lt;O537,I537&gt;Q537),"측정시각 구간 밖","OK")))))</f>
        <v/>
      </c>
      <c r="O537" s="48">
        <f>IF(COUNTIFS($C:$C,$C537,$D:$D,$D537,$E:$E,"기준(전)",$M:$M,"&gt;0")&lt;&gt;1,"",SUMIFS($I:$I,$C:$C,$C537,$D:$D,$D537,$E:$E,"기준(전)"))</f>
        <v/>
      </c>
      <c r="P537" s="31">
        <f>IF(COUNTIFS($C:$C,$C537,$D:$D,$D537,$E:$E,"기준(전)",$M:$M,"&gt;0")&lt;&gt;1,"",SUMIFS($M:$M,$C:$C,$C537,$D:$D,$D537,$E:$E,"기준(전)"))</f>
        <v/>
      </c>
      <c r="Q537" s="48">
        <f>IF(COUNTIFS($C:$C,$C537,$D:$D,$D537,$E:$E,"기준(후)",$M:$M,"&gt;0")&lt;&gt;1,"",SUMIFS($I:$I,$C:$C,$C537,$D:$D,$D537,$E:$E,"기준(후)"))</f>
        <v/>
      </c>
      <c r="R537" s="31">
        <f>IF(COUNTIFS($C:$C,$C537,$D:$D,$D537,$E:$E,"기준(후)",$M:$M,"&gt;0")&lt;&gt;1,"",SUMIFS($M:$M,$C:$C,$C537,$D:$D,$D537,$E:$E,"기준(후)"))</f>
        <v/>
      </c>
      <c r="S537" s="31">
        <f>IF(N537&lt;&gt;"OK","",P537+(R537-P537)*(I537-O537)/(Q537-O537))</f>
        <v/>
      </c>
      <c r="T537" s="31">
        <f>IF(OR(N537&lt;&gt;"OK",NOT(ISNUMBER(M537))),"",M537-S537)</f>
        <v/>
      </c>
      <c r="U537" s="49">
        <f>IF(OR($E536&lt;&gt;"측정",$C536&lt;&gt;$C537,$D536&lt;&gt;$D537,NOT(ISNUMBER(M537)),NOT(ISNUMBER(M536)),(IF(ISNUMBER(G537),G537,F537)-IF(ISNUMBER(G536),G536,F536))=0),"",(M537-M536)/((IF(ISNUMBER(G537),G537,F537)-IF(ISNUMBER(G536),G536,F536))/100))</f>
        <v/>
      </c>
      <c r="V537" s="29" t="n"/>
      <c r="W537" s="29" t="n"/>
      <c r="X537" s="32" t="n"/>
    </row>
    <row r="538">
      <c r="A538" s="26" t="inlineStr">
        <is>
          <t>S45</t>
        </is>
      </c>
      <c r="B538" s="26" t="inlineStr">
        <is>
          <t>여주</t>
        </is>
      </c>
      <c r="C538" s="26" t="inlineStr">
        <is>
          <t>S45-V</t>
        </is>
      </c>
      <c r="D538" s="47" t="n">
        <v>1</v>
      </c>
      <c r="E538" s="26" t="inlineStr">
        <is>
          <t>측정</t>
        </is>
      </c>
      <c r="F538" s="47" t="n">
        <v>80</v>
      </c>
      <c r="G538" s="41" t="n"/>
      <c r="H538" s="29" t="n"/>
      <c r="I538" s="43" t="n"/>
      <c r="J538" s="41" t="n"/>
      <c r="K538" s="41" t="n"/>
      <c r="L538" s="41" t="n"/>
      <c r="M538" s="31">
        <f>IF(COUNT(J538:L538)=0,"",MEDIAN(J538:L538))</f>
        <v/>
      </c>
      <c r="N538" s="26">
        <f>IF(COUNTIFS($C:$C,$C538,$D:$D,$D538,$E:$E,"기준(전)",$M:$M,"&gt;0")&lt;&gt;1,"기준(전) 유효 1개 아님",IF(COUNTIFS($C:$C,$C538,$D:$D,$D538,$E:$E,"기준(후)",$M:$M,"&gt;0")&lt;&gt;1,"기준(후) 유효 1개 아님",IF(NOT(AND(ISNUMBER(O538),ISNUMBER(Q538),ISNUMBER(I538))),"시각 결측",IF(Q538&lt;=O538,"기준 시각 역전",IF(OR(I538&lt;O538,I538&gt;Q538),"측정시각 구간 밖","OK")))))</f>
        <v/>
      </c>
      <c r="O538" s="48">
        <f>IF(COUNTIFS($C:$C,$C538,$D:$D,$D538,$E:$E,"기준(전)",$M:$M,"&gt;0")&lt;&gt;1,"",SUMIFS($I:$I,$C:$C,$C538,$D:$D,$D538,$E:$E,"기준(전)"))</f>
        <v/>
      </c>
      <c r="P538" s="31">
        <f>IF(COUNTIFS($C:$C,$C538,$D:$D,$D538,$E:$E,"기준(전)",$M:$M,"&gt;0")&lt;&gt;1,"",SUMIFS($M:$M,$C:$C,$C538,$D:$D,$D538,$E:$E,"기준(전)"))</f>
        <v/>
      </c>
      <c r="Q538" s="48">
        <f>IF(COUNTIFS($C:$C,$C538,$D:$D,$D538,$E:$E,"기준(후)",$M:$M,"&gt;0")&lt;&gt;1,"",SUMIFS($I:$I,$C:$C,$C538,$D:$D,$D538,$E:$E,"기준(후)"))</f>
        <v/>
      </c>
      <c r="R538" s="31">
        <f>IF(COUNTIFS($C:$C,$C538,$D:$D,$D538,$E:$E,"기준(후)",$M:$M,"&gt;0")&lt;&gt;1,"",SUMIFS($M:$M,$C:$C,$C538,$D:$D,$D538,$E:$E,"기준(후)"))</f>
        <v/>
      </c>
      <c r="S538" s="31">
        <f>IF(N538&lt;&gt;"OK","",P538+(R538-P538)*(I538-O538)/(Q538-O538))</f>
        <v/>
      </c>
      <c r="T538" s="31">
        <f>IF(OR(N538&lt;&gt;"OK",NOT(ISNUMBER(M538))),"",M538-S538)</f>
        <v/>
      </c>
      <c r="U538" s="49">
        <f>IF(OR($E537&lt;&gt;"측정",$C537&lt;&gt;$C538,$D537&lt;&gt;$D538,NOT(ISNUMBER(M538)),NOT(ISNUMBER(M537)),(IF(ISNUMBER(G538),G538,F538)-IF(ISNUMBER(G537),G537,F537))=0),"",(M538-M537)/((IF(ISNUMBER(G538),G538,F538)-IF(ISNUMBER(G537),G537,F537))/100))</f>
        <v/>
      </c>
      <c r="V538" s="29" t="n"/>
      <c r="W538" s="29" t="n"/>
      <c r="X538" s="32" t="n"/>
    </row>
    <row r="539">
      <c r="A539" s="26" t="inlineStr">
        <is>
          <t>S45</t>
        </is>
      </c>
      <c r="B539" s="26" t="inlineStr">
        <is>
          <t>여주</t>
        </is>
      </c>
      <c r="C539" s="26" t="inlineStr">
        <is>
          <t>S45-V</t>
        </is>
      </c>
      <c r="D539" s="47" t="n">
        <v>1</v>
      </c>
      <c r="E539" s="26" t="inlineStr">
        <is>
          <t>측정</t>
        </is>
      </c>
      <c r="F539" s="47" t="n">
        <v>100</v>
      </c>
      <c r="G539" s="41" t="n"/>
      <c r="H539" s="29" t="n"/>
      <c r="I539" s="43" t="n"/>
      <c r="J539" s="41" t="n"/>
      <c r="K539" s="41" t="n"/>
      <c r="L539" s="41" t="n"/>
      <c r="M539" s="31">
        <f>IF(COUNT(J539:L539)=0,"",MEDIAN(J539:L539))</f>
        <v/>
      </c>
      <c r="N539" s="26">
        <f>IF(COUNTIFS($C:$C,$C539,$D:$D,$D539,$E:$E,"기준(전)",$M:$M,"&gt;0")&lt;&gt;1,"기준(전) 유효 1개 아님",IF(COUNTIFS($C:$C,$C539,$D:$D,$D539,$E:$E,"기준(후)",$M:$M,"&gt;0")&lt;&gt;1,"기준(후) 유효 1개 아님",IF(NOT(AND(ISNUMBER(O539),ISNUMBER(Q539),ISNUMBER(I539))),"시각 결측",IF(Q539&lt;=O539,"기준 시각 역전",IF(OR(I539&lt;O539,I539&gt;Q539),"측정시각 구간 밖","OK")))))</f>
        <v/>
      </c>
      <c r="O539" s="48">
        <f>IF(COUNTIFS($C:$C,$C539,$D:$D,$D539,$E:$E,"기준(전)",$M:$M,"&gt;0")&lt;&gt;1,"",SUMIFS($I:$I,$C:$C,$C539,$D:$D,$D539,$E:$E,"기준(전)"))</f>
        <v/>
      </c>
      <c r="P539" s="31">
        <f>IF(COUNTIFS($C:$C,$C539,$D:$D,$D539,$E:$E,"기준(전)",$M:$M,"&gt;0")&lt;&gt;1,"",SUMIFS($M:$M,$C:$C,$C539,$D:$D,$D539,$E:$E,"기준(전)"))</f>
        <v/>
      </c>
      <c r="Q539" s="48">
        <f>IF(COUNTIFS($C:$C,$C539,$D:$D,$D539,$E:$E,"기준(후)",$M:$M,"&gt;0")&lt;&gt;1,"",SUMIFS($I:$I,$C:$C,$C539,$D:$D,$D539,$E:$E,"기준(후)"))</f>
        <v/>
      </c>
      <c r="R539" s="31">
        <f>IF(COUNTIFS($C:$C,$C539,$D:$D,$D539,$E:$E,"기준(후)",$M:$M,"&gt;0")&lt;&gt;1,"",SUMIFS($M:$M,$C:$C,$C539,$D:$D,$D539,$E:$E,"기준(후)"))</f>
        <v/>
      </c>
      <c r="S539" s="31">
        <f>IF(N539&lt;&gt;"OK","",P539+(R539-P539)*(I539-O539)/(Q539-O539))</f>
        <v/>
      </c>
      <c r="T539" s="31">
        <f>IF(OR(N539&lt;&gt;"OK",NOT(ISNUMBER(M539))),"",M539-S539)</f>
        <v/>
      </c>
      <c r="U539" s="49">
        <f>IF(OR($E538&lt;&gt;"측정",$C538&lt;&gt;$C539,$D538&lt;&gt;$D539,NOT(ISNUMBER(M539)),NOT(ISNUMBER(M538)),(IF(ISNUMBER(G539),G539,F539)-IF(ISNUMBER(G538),G538,F538))=0),"",(M539-M538)/((IF(ISNUMBER(G539),G539,F539)-IF(ISNUMBER(G538),G538,F538))/100))</f>
        <v/>
      </c>
      <c r="V539" s="29" t="n"/>
      <c r="W539" s="29" t="n"/>
      <c r="X539" s="32" t="n"/>
    </row>
    <row r="540">
      <c r="A540" s="26" t="inlineStr">
        <is>
          <t>S45</t>
        </is>
      </c>
      <c r="B540" s="26" t="inlineStr">
        <is>
          <t>여주</t>
        </is>
      </c>
      <c r="C540" s="26" t="inlineStr">
        <is>
          <t>S45-V</t>
        </is>
      </c>
      <c r="D540" s="47" t="n">
        <v>1</v>
      </c>
      <c r="E540" s="26" t="inlineStr">
        <is>
          <t>측정</t>
        </is>
      </c>
      <c r="F540" s="47" t="n">
        <v>120</v>
      </c>
      <c r="G540" s="41" t="n"/>
      <c r="H540" s="29" t="n"/>
      <c r="I540" s="43" t="n"/>
      <c r="J540" s="41" t="n"/>
      <c r="K540" s="41" t="n"/>
      <c r="L540" s="41" t="n"/>
      <c r="M540" s="31">
        <f>IF(COUNT(J540:L540)=0,"",MEDIAN(J540:L540))</f>
        <v/>
      </c>
      <c r="N540" s="26">
        <f>IF(COUNTIFS($C:$C,$C540,$D:$D,$D540,$E:$E,"기준(전)",$M:$M,"&gt;0")&lt;&gt;1,"기준(전) 유효 1개 아님",IF(COUNTIFS($C:$C,$C540,$D:$D,$D540,$E:$E,"기준(후)",$M:$M,"&gt;0")&lt;&gt;1,"기준(후) 유효 1개 아님",IF(NOT(AND(ISNUMBER(O540),ISNUMBER(Q540),ISNUMBER(I540))),"시각 결측",IF(Q540&lt;=O540,"기준 시각 역전",IF(OR(I540&lt;O540,I540&gt;Q540),"측정시각 구간 밖","OK")))))</f>
        <v/>
      </c>
      <c r="O540" s="48">
        <f>IF(COUNTIFS($C:$C,$C540,$D:$D,$D540,$E:$E,"기준(전)",$M:$M,"&gt;0")&lt;&gt;1,"",SUMIFS($I:$I,$C:$C,$C540,$D:$D,$D540,$E:$E,"기준(전)"))</f>
        <v/>
      </c>
      <c r="P540" s="31">
        <f>IF(COUNTIFS($C:$C,$C540,$D:$D,$D540,$E:$E,"기준(전)",$M:$M,"&gt;0")&lt;&gt;1,"",SUMIFS($M:$M,$C:$C,$C540,$D:$D,$D540,$E:$E,"기준(전)"))</f>
        <v/>
      </c>
      <c r="Q540" s="48">
        <f>IF(COUNTIFS($C:$C,$C540,$D:$D,$D540,$E:$E,"기준(후)",$M:$M,"&gt;0")&lt;&gt;1,"",SUMIFS($I:$I,$C:$C,$C540,$D:$D,$D540,$E:$E,"기준(후)"))</f>
        <v/>
      </c>
      <c r="R540" s="31">
        <f>IF(COUNTIFS($C:$C,$C540,$D:$D,$D540,$E:$E,"기준(후)",$M:$M,"&gt;0")&lt;&gt;1,"",SUMIFS($M:$M,$C:$C,$C540,$D:$D,$D540,$E:$E,"기준(후)"))</f>
        <v/>
      </c>
      <c r="S540" s="31">
        <f>IF(N540&lt;&gt;"OK","",P540+(R540-P540)*(I540-O540)/(Q540-O540))</f>
        <v/>
      </c>
      <c r="T540" s="31">
        <f>IF(OR(N540&lt;&gt;"OK",NOT(ISNUMBER(M540))),"",M540-S540)</f>
        <v/>
      </c>
      <c r="U540" s="49">
        <f>IF(OR($E539&lt;&gt;"측정",$C539&lt;&gt;$C540,$D539&lt;&gt;$D540,NOT(ISNUMBER(M540)),NOT(ISNUMBER(M539)),(IF(ISNUMBER(G540),G540,F540)-IF(ISNUMBER(G539),G539,F539))=0),"",(M540-M539)/((IF(ISNUMBER(G540),G540,F540)-IF(ISNUMBER(G539),G539,F539))/100))</f>
        <v/>
      </c>
      <c r="V540" s="29" t="n"/>
      <c r="W540" s="29" t="n"/>
      <c r="X540" s="32" t="n"/>
    </row>
    <row r="541">
      <c r="A541" s="26" t="inlineStr">
        <is>
          <t>S45</t>
        </is>
      </c>
      <c r="B541" s="26" t="inlineStr">
        <is>
          <t>여주</t>
        </is>
      </c>
      <c r="C541" s="26" t="inlineStr">
        <is>
          <t>S45-V</t>
        </is>
      </c>
      <c r="D541" s="47" t="n">
        <v>1</v>
      </c>
      <c r="E541" s="26" t="inlineStr">
        <is>
          <t>측정</t>
        </is>
      </c>
      <c r="F541" s="47" t="n">
        <v>140</v>
      </c>
      <c r="G541" s="41" t="n"/>
      <c r="H541" s="29" t="n"/>
      <c r="I541" s="43" t="n"/>
      <c r="J541" s="41" t="n"/>
      <c r="K541" s="41" t="n"/>
      <c r="L541" s="41" t="n"/>
      <c r="M541" s="31">
        <f>IF(COUNT(J541:L541)=0,"",MEDIAN(J541:L541))</f>
        <v/>
      </c>
      <c r="N541" s="26">
        <f>IF(COUNTIFS($C:$C,$C541,$D:$D,$D541,$E:$E,"기준(전)",$M:$M,"&gt;0")&lt;&gt;1,"기준(전) 유효 1개 아님",IF(COUNTIFS($C:$C,$C541,$D:$D,$D541,$E:$E,"기준(후)",$M:$M,"&gt;0")&lt;&gt;1,"기준(후) 유효 1개 아님",IF(NOT(AND(ISNUMBER(O541),ISNUMBER(Q541),ISNUMBER(I541))),"시각 결측",IF(Q541&lt;=O541,"기준 시각 역전",IF(OR(I541&lt;O541,I541&gt;Q541),"측정시각 구간 밖","OK")))))</f>
        <v/>
      </c>
      <c r="O541" s="48">
        <f>IF(COUNTIFS($C:$C,$C541,$D:$D,$D541,$E:$E,"기준(전)",$M:$M,"&gt;0")&lt;&gt;1,"",SUMIFS($I:$I,$C:$C,$C541,$D:$D,$D541,$E:$E,"기준(전)"))</f>
        <v/>
      </c>
      <c r="P541" s="31">
        <f>IF(COUNTIFS($C:$C,$C541,$D:$D,$D541,$E:$E,"기준(전)",$M:$M,"&gt;0")&lt;&gt;1,"",SUMIFS($M:$M,$C:$C,$C541,$D:$D,$D541,$E:$E,"기준(전)"))</f>
        <v/>
      </c>
      <c r="Q541" s="48">
        <f>IF(COUNTIFS($C:$C,$C541,$D:$D,$D541,$E:$E,"기준(후)",$M:$M,"&gt;0")&lt;&gt;1,"",SUMIFS($I:$I,$C:$C,$C541,$D:$D,$D541,$E:$E,"기준(후)"))</f>
        <v/>
      </c>
      <c r="R541" s="31">
        <f>IF(COUNTIFS($C:$C,$C541,$D:$D,$D541,$E:$E,"기준(후)",$M:$M,"&gt;0")&lt;&gt;1,"",SUMIFS($M:$M,$C:$C,$C541,$D:$D,$D541,$E:$E,"기준(후)"))</f>
        <v/>
      </c>
      <c r="S541" s="31">
        <f>IF(N541&lt;&gt;"OK","",P541+(R541-P541)*(I541-O541)/(Q541-O541))</f>
        <v/>
      </c>
      <c r="T541" s="31">
        <f>IF(OR(N541&lt;&gt;"OK",NOT(ISNUMBER(M541))),"",M541-S541)</f>
        <v/>
      </c>
      <c r="U541" s="49">
        <f>IF(OR($E540&lt;&gt;"측정",$C540&lt;&gt;$C541,$D540&lt;&gt;$D541,NOT(ISNUMBER(M541)),NOT(ISNUMBER(M540)),(IF(ISNUMBER(G541),G541,F541)-IF(ISNUMBER(G540),G540,F540))=0),"",(M541-M540)/((IF(ISNUMBER(G541),G541,F541)-IF(ISNUMBER(G540),G540,F540))/100))</f>
        <v/>
      </c>
      <c r="V541" s="29" t="n"/>
      <c r="W541" s="29" t="n"/>
      <c r="X541" s="32" t="n"/>
    </row>
    <row r="542">
      <c r="A542" s="26" t="inlineStr">
        <is>
          <t>S45</t>
        </is>
      </c>
      <c r="B542" s="26" t="inlineStr">
        <is>
          <t>여주</t>
        </is>
      </c>
      <c r="C542" s="26" t="inlineStr">
        <is>
          <t>S45-V</t>
        </is>
      </c>
      <c r="D542" s="47" t="n">
        <v>1</v>
      </c>
      <c r="E542" s="26" t="inlineStr">
        <is>
          <t>측정</t>
        </is>
      </c>
      <c r="F542" s="47" t="n">
        <v>160</v>
      </c>
      <c r="G542" s="41" t="n"/>
      <c r="H542" s="29" t="n"/>
      <c r="I542" s="43" t="n"/>
      <c r="J542" s="41" t="n"/>
      <c r="K542" s="41" t="n"/>
      <c r="L542" s="41" t="n"/>
      <c r="M542" s="31">
        <f>IF(COUNT(J542:L542)=0,"",MEDIAN(J542:L542))</f>
        <v/>
      </c>
      <c r="N542" s="26">
        <f>IF(COUNTIFS($C:$C,$C542,$D:$D,$D542,$E:$E,"기준(전)",$M:$M,"&gt;0")&lt;&gt;1,"기준(전) 유효 1개 아님",IF(COUNTIFS($C:$C,$C542,$D:$D,$D542,$E:$E,"기준(후)",$M:$M,"&gt;0")&lt;&gt;1,"기준(후) 유효 1개 아님",IF(NOT(AND(ISNUMBER(O542),ISNUMBER(Q542),ISNUMBER(I542))),"시각 결측",IF(Q542&lt;=O542,"기준 시각 역전",IF(OR(I542&lt;O542,I542&gt;Q542),"측정시각 구간 밖","OK")))))</f>
        <v/>
      </c>
      <c r="O542" s="48">
        <f>IF(COUNTIFS($C:$C,$C542,$D:$D,$D542,$E:$E,"기준(전)",$M:$M,"&gt;0")&lt;&gt;1,"",SUMIFS($I:$I,$C:$C,$C542,$D:$D,$D542,$E:$E,"기준(전)"))</f>
        <v/>
      </c>
      <c r="P542" s="31">
        <f>IF(COUNTIFS($C:$C,$C542,$D:$D,$D542,$E:$E,"기준(전)",$M:$M,"&gt;0")&lt;&gt;1,"",SUMIFS($M:$M,$C:$C,$C542,$D:$D,$D542,$E:$E,"기준(전)"))</f>
        <v/>
      </c>
      <c r="Q542" s="48">
        <f>IF(COUNTIFS($C:$C,$C542,$D:$D,$D542,$E:$E,"기준(후)",$M:$M,"&gt;0")&lt;&gt;1,"",SUMIFS($I:$I,$C:$C,$C542,$D:$D,$D542,$E:$E,"기준(후)"))</f>
        <v/>
      </c>
      <c r="R542" s="31">
        <f>IF(COUNTIFS($C:$C,$C542,$D:$D,$D542,$E:$E,"기준(후)",$M:$M,"&gt;0")&lt;&gt;1,"",SUMIFS($M:$M,$C:$C,$C542,$D:$D,$D542,$E:$E,"기준(후)"))</f>
        <v/>
      </c>
      <c r="S542" s="31">
        <f>IF(N542&lt;&gt;"OK","",P542+(R542-P542)*(I542-O542)/(Q542-O542))</f>
        <v/>
      </c>
      <c r="T542" s="31">
        <f>IF(OR(N542&lt;&gt;"OK",NOT(ISNUMBER(M542))),"",M542-S542)</f>
        <v/>
      </c>
      <c r="U542" s="49">
        <f>IF(OR($E541&lt;&gt;"측정",$C541&lt;&gt;$C542,$D541&lt;&gt;$D542,NOT(ISNUMBER(M542)),NOT(ISNUMBER(M541)),(IF(ISNUMBER(G542),G542,F542)-IF(ISNUMBER(G541),G541,F541))=0),"",(M542-M541)/((IF(ISNUMBER(G542),G542,F542)-IF(ISNUMBER(G541),G541,F541))/100))</f>
        <v/>
      </c>
      <c r="V542" s="29" t="n"/>
      <c r="W542" s="29" t="n"/>
      <c r="X542" s="32" t="n"/>
    </row>
    <row r="543">
      <c r="A543" s="26" t="inlineStr">
        <is>
          <t>S45</t>
        </is>
      </c>
      <c r="B543" s="26" t="inlineStr">
        <is>
          <t>여주</t>
        </is>
      </c>
      <c r="C543" s="26" t="inlineStr">
        <is>
          <t>S45-V</t>
        </is>
      </c>
      <c r="D543" s="47" t="n">
        <v>1</v>
      </c>
      <c r="E543" s="26" t="inlineStr">
        <is>
          <t>측정</t>
        </is>
      </c>
      <c r="F543" s="47" t="n">
        <v>180</v>
      </c>
      <c r="G543" s="41" t="n"/>
      <c r="H543" s="29" t="n"/>
      <c r="I543" s="43" t="n"/>
      <c r="J543" s="41" t="n"/>
      <c r="K543" s="41" t="n"/>
      <c r="L543" s="41" t="n"/>
      <c r="M543" s="31">
        <f>IF(COUNT(J543:L543)=0,"",MEDIAN(J543:L543))</f>
        <v/>
      </c>
      <c r="N543" s="26">
        <f>IF(COUNTIFS($C:$C,$C543,$D:$D,$D543,$E:$E,"기준(전)",$M:$M,"&gt;0")&lt;&gt;1,"기준(전) 유효 1개 아님",IF(COUNTIFS($C:$C,$C543,$D:$D,$D543,$E:$E,"기준(후)",$M:$M,"&gt;0")&lt;&gt;1,"기준(후) 유효 1개 아님",IF(NOT(AND(ISNUMBER(O543),ISNUMBER(Q543),ISNUMBER(I543))),"시각 결측",IF(Q543&lt;=O543,"기준 시각 역전",IF(OR(I543&lt;O543,I543&gt;Q543),"측정시각 구간 밖","OK")))))</f>
        <v/>
      </c>
      <c r="O543" s="48">
        <f>IF(COUNTIFS($C:$C,$C543,$D:$D,$D543,$E:$E,"기준(전)",$M:$M,"&gt;0")&lt;&gt;1,"",SUMIFS($I:$I,$C:$C,$C543,$D:$D,$D543,$E:$E,"기준(전)"))</f>
        <v/>
      </c>
      <c r="P543" s="31">
        <f>IF(COUNTIFS($C:$C,$C543,$D:$D,$D543,$E:$E,"기준(전)",$M:$M,"&gt;0")&lt;&gt;1,"",SUMIFS($M:$M,$C:$C,$C543,$D:$D,$D543,$E:$E,"기준(전)"))</f>
        <v/>
      </c>
      <c r="Q543" s="48">
        <f>IF(COUNTIFS($C:$C,$C543,$D:$D,$D543,$E:$E,"기준(후)",$M:$M,"&gt;0")&lt;&gt;1,"",SUMIFS($I:$I,$C:$C,$C543,$D:$D,$D543,$E:$E,"기준(후)"))</f>
        <v/>
      </c>
      <c r="R543" s="31">
        <f>IF(COUNTIFS($C:$C,$C543,$D:$D,$D543,$E:$E,"기준(후)",$M:$M,"&gt;0")&lt;&gt;1,"",SUMIFS($M:$M,$C:$C,$C543,$D:$D,$D543,$E:$E,"기준(후)"))</f>
        <v/>
      </c>
      <c r="S543" s="31">
        <f>IF(N543&lt;&gt;"OK","",P543+(R543-P543)*(I543-O543)/(Q543-O543))</f>
        <v/>
      </c>
      <c r="T543" s="31">
        <f>IF(OR(N543&lt;&gt;"OK",NOT(ISNUMBER(M543))),"",M543-S543)</f>
        <v/>
      </c>
      <c r="U543" s="49">
        <f>IF(OR($E542&lt;&gt;"측정",$C542&lt;&gt;$C543,$D542&lt;&gt;$D543,NOT(ISNUMBER(M543)),NOT(ISNUMBER(M542)),(IF(ISNUMBER(G543),G543,F543)-IF(ISNUMBER(G542),G542,F542))=0),"",(M543-M542)/((IF(ISNUMBER(G543),G543,F543)-IF(ISNUMBER(G542),G542,F542))/100))</f>
        <v/>
      </c>
      <c r="V543" s="29" t="n"/>
      <c r="W543" s="29" t="n"/>
      <c r="X543" s="32" t="n"/>
    </row>
    <row r="544">
      <c r="A544" s="26" t="inlineStr">
        <is>
          <t>S45</t>
        </is>
      </c>
      <c r="B544" s="26" t="inlineStr">
        <is>
          <t>여주</t>
        </is>
      </c>
      <c r="C544" s="26" t="inlineStr">
        <is>
          <t>S45-V</t>
        </is>
      </c>
      <c r="D544" s="47" t="n">
        <v>1</v>
      </c>
      <c r="E544" s="26" t="inlineStr">
        <is>
          <t>측정</t>
        </is>
      </c>
      <c r="F544" s="47" t="n">
        <v>200</v>
      </c>
      <c r="G544" s="41" t="n"/>
      <c r="H544" s="29" t="n"/>
      <c r="I544" s="43" t="n"/>
      <c r="J544" s="41" t="n"/>
      <c r="K544" s="41" t="n"/>
      <c r="L544" s="41" t="n"/>
      <c r="M544" s="31">
        <f>IF(COUNT(J544:L544)=0,"",MEDIAN(J544:L544))</f>
        <v/>
      </c>
      <c r="N544" s="26">
        <f>IF(COUNTIFS($C:$C,$C544,$D:$D,$D544,$E:$E,"기준(전)",$M:$M,"&gt;0")&lt;&gt;1,"기준(전) 유효 1개 아님",IF(COUNTIFS($C:$C,$C544,$D:$D,$D544,$E:$E,"기준(후)",$M:$M,"&gt;0")&lt;&gt;1,"기준(후) 유효 1개 아님",IF(NOT(AND(ISNUMBER(O544),ISNUMBER(Q544),ISNUMBER(I544))),"시각 결측",IF(Q544&lt;=O544,"기준 시각 역전",IF(OR(I544&lt;O544,I544&gt;Q544),"측정시각 구간 밖","OK")))))</f>
        <v/>
      </c>
      <c r="O544" s="48">
        <f>IF(COUNTIFS($C:$C,$C544,$D:$D,$D544,$E:$E,"기준(전)",$M:$M,"&gt;0")&lt;&gt;1,"",SUMIFS($I:$I,$C:$C,$C544,$D:$D,$D544,$E:$E,"기준(전)"))</f>
        <v/>
      </c>
      <c r="P544" s="31">
        <f>IF(COUNTIFS($C:$C,$C544,$D:$D,$D544,$E:$E,"기준(전)",$M:$M,"&gt;0")&lt;&gt;1,"",SUMIFS($M:$M,$C:$C,$C544,$D:$D,$D544,$E:$E,"기준(전)"))</f>
        <v/>
      </c>
      <c r="Q544" s="48">
        <f>IF(COUNTIFS($C:$C,$C544,$D:$D,$D544,$E:$E,"기준(후)",$M:$M,"&gt;0")&lt;&gt;1,"",SUMIFS($I:$I,$C:$C,$C544,$D:$D,$D544,$E:$E,"기준(후)"))</f>
        <v/>
      </c>
      <c r="R544" s="31">
        <f>IF(COUNTIFS($C:$C,$C544,$D:$D,$D544,$E:$E,"기준(후)",$M:$M,"&gt;0")&lt;&gt;1,"",SUMIFS($M:$M,$C:$C,$C544,$D:$D,$D544,$E:$E,"기준(후)"))</f>
        <v/>
      </c>
      <c r="S544" s="31">
        <f>IF(N544&lt;&gt;"OK","",P544+(R544-P544)*(I544-O544)/(Q544-O544))</f>
        <v/>
      </c>
      <c r="T544" s="31">
        <f>IF(OR(N544&lt;&gt;"OK",NOT(ISNUMBER(M544))),"",M544-S544)</f>
        <v/>
      </c>
      <c r="U544" s="49">
        <f>IF(OR($E543&lt;&gt;"측정",$C543&lt;&gt;$C544,$D543&lt;&gt;$D544,NOT(ISNUMBER(M544)),NOT(ISNUMBER(M543)),(IF(ISNUMBER(G544),G544,F544)-IF(ISNUMBER(G543),G543,F543))=0),"",(M544-M543)/((IF(ISNUMBER(G544),G544,F544)-IF(ISNUMBER(G543),G543,F543))/100))</f>
        <v/>
      </c>
      <c r="V544" s="29" t="n"/>
      <c r="W544" s="29" t="n"/>
      <c r="X544" s="32" t="n"/>
    </row>
    <row r="545">
      <c r="A545" s="44" t="inlineStr">
        <is>
          <t>S45</t>
        </is>
      </c>
      <c r="B545" s="44" t="inlineStr">
        <is>
          <t>여주</t>
        </is>
      </c>
      <c r="C545" s="44" t="inlineStr">
        <is>
          <t>S45-V</t>
        </is>
      </c>
      <c r="D545" s="45" t="n">
        <v>1</v>
      </c>
      <c r="E545" s="44" t="inlineStr">
        <is>
          <t>기준(후)</t>
        </is>
      </c>
      <c r="F545" s="45" t="n"/>
      <c r="G545" s="41" t="n"/>
      <c r="H545" s="29" t="n"/>
      <c r="I545" s="43" t="n"/>
      <c r="J545" s="41" t="n"/>
      <c r="K545" s="41" t="n"/>
      <c r="L545" s="41" t="n"/>
      <c r="M545" s="31">
        <f>IF(COUNT(J545:L545)=0,"",MEDIAN(J545:L545))</f>
        <v/>
      </c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29" t="n"/>
      <c r="W545" s="29" t="n"/>
      <c r="X545" s="32" t="n"/>
    </row>
    <row r="546">
      <c r="A546" s="44" t="inlineStr">
        <is>
          <t>S46</t>
        </is>
      </c>
      <c r="B546" s="44" t="inlineStr">
        <is>
          <t>화천</t>
        </is>
      </c>
      <c r="C546" s="44" t="inlineStr">
        <is>
          <t>S46-V</t>
        </is>
      </c>
      <c r="D546" s="45" t="n">
        <v>1</v>
      </c>
      <c r="E546" s="44" t="inlineStr">
        <is>
          <t>기준(전)</t>
        </is>
      </c>
      <c r="F546" s="45" t="n"/>
      <c r="G546" s="41" t="n"/>
      <c r="H546" s="29" t="n"/>
      <c r="I546" s="43" t="n"/>
      <c r="J546" s="41" t="n"/>
      <c r="K546" s="41" t="n"/>
      <c r="L546" s="41" t="n"/>
      <c r="M546" s="31">
        <f>IF(COUNT(J546:L546)=0,"",MEDIAN(J546:L546))</f>
        <v/>
      </c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29" t="n"/>
      <c r="W546" s="29" t="n"/>
      <c r="X546" s="32" t="n"/>
    </row>
    <row r="547">
      <c r="A547" s="26" t="inlineStr">
        <is>
          <t>S46</t>
        </is>
      </c>
      <c r="B547" s="26" t="inlineStr">
        <is>
          <t>화천</t>
        </is>
      </c>
      <c r="C547" s="26" t="inlineStr">
        <is>
          <t>S46-V</t>
        </is>
      </c>
      <c r="D547" s="47" t="n">
        <v>1</v>
      </c>
      <c r="E547" s="26" t="inlineStr">
        <is>
          <t>측정</t>
        </is>
      </c>
      <c r="F547" s="47" t="n">
        <v>20</v>
      </c>
      <c r="G547" s="41" t="n"/>
      <c r="H547" s="29" t="n"/>
      <c r="I547" s="43" t="n"/>
      <c r="J547" s="41" t="n"/>
      <c r="K547" s="41" t="n"/>
      <c r="L547" s="41" t="n"/>
      <c r="M547" s="31">
        <f>IF(COUNT(J547:L547)=0,"",MEDIAN(J547:L547))</f>
        <v/>
      </c>
      <c r="N547" s="26">
        <f>IF(COUNTIFS($C:$C,$C547,$D:$D,$D547,$E:$E,"기준(전)",$M:$M,"&gt;0")&lt;&gt;1,"기준(전) 유효 1개 아님",IF(COUNTIFS($C:$C,$C547,$D:$D,$D547,$E:$E,"기준(후)",$M:$M,"&gt;0")&lt;&gt;1,"기준(후) 유효 1개 아님",IF(NOT(AND(ISNUMBER(O547),ISNUMBER(Q547),ISNUMBER(I547))),"시각 결측",IF(Q547&lt;=O547,"기준 시각 역전",IF(OR(I547&lt;O547,I547&gt;Q547),"측정시각 구간 밖","OK")))))</f>
        <v/>
      </c>
      <c r="O547" s="48">
        <f>IF(COUNTIFS($C:$C,$C547,$D:$D,$D547,$E:$E,"기준(전)",$M:$M,"&gt;0")&lt;&gt;1,"",SUMIFS($I:$I,$C:$C,$C547,$D:$D,$D547,$E:$E,"기준(전)"))</f>
        <v/>
      </c>
      <c r="P547" s="31">
        <f>IF(COUNTIFS($C:$C,$C547,$D:$D,$D547,$E:$E,"기준(전)",$M:$M,"&gt;0")&lt;&gt;1,"",SUMIFS($M:$M,$C:$C,$C547,$D:$D,$D547,$E:$E,"기준(전)"))</f>
        <v/>
      </c>
      <c r="Q547" s="48">
        <f>IF(COUNTIFS($C:$C,$C547,$D:$D,$D547,$E:$E,"기준(후)",$M:$M,"&gt;0")&lt;&gt;1,"",SUMIFS($I:$I,$C:$C,$C547,$D:$D,$D547,$E:$E,"기준(후)"))</f>
        <v/>
      </c>
      <c r="R547" s="31">
        <f>IF(COUNTIFS($C:$C,$C547,$D:$D,$D547,$E:$E,"기준(후)",$M:$M,"&gt;0")&lt;&gt;1,"",SUMIFS($M:$M,$C:$C,$C547,$D:$D,$D547,$E:$E,"기준(후)"))</f>
        <v/>
      </c>
      <c r="S547" s="31">
        <f>IF(N547&lt;&gt;"OK","",P547+(R547-P547)*(I547-O547)/(Q547-O547))</f>
        <v/>
      </c>
      <c r="T547" s="31">
        <f>IF(OR(N547&lt;&gt;"OK",NOT(ISNUMBER(M547))),"",M547-S547)</f>
        <v/>
      </c>
      <c r="U547" s="49">
        <f>IF(OR($E546&lt;&gt;"측정",$C546&lt;&gt;$C547,$D546&lt;&gt;$D547,NOT(ISNUMBER(M547)),NOT(ISNUMBER(M546)),(IF(ISNUMBER(G547),G547,F547)-IF(ISNUMBER(G546),G546,F546))=0),"",(M547-M546)/((IF(ISNUMBER(G547),G547,F547)-IF(ISNUMBER(G546),G546,F546))/100))</f>
        <v/>
      </c>
      <c r="V547" s="29" t="n"/>
      <c r="W547" s="29" t="n"/>
      <c r="X547" s="32" t="n"/>
    </row>
    <row r="548">
      <c r="A548" s="26" t="inlineStr">
        <is>
          <t>S46</t>
        </is>
      </c>
      <c r="B548" s="26" t="inlineStr">
        <is>
          <t>화천</t>
        </is>
      </c>
      <c r="C548" s="26" t="inlineStr">
        <is>
          <t>S46-V</t>
        </is>
      </c>
      <c r="D548" s="47" t="n">
        <v>1</v>
      </c>
      <c r="E548" s="26" t="inlineStr">
        <is>
          <t>측정</t>
        </is>
      </c>
      <c r="F548" s="47" t="n">
        <v>40</v>
      </c>
      <c r="G548" s="41" t="n"/>
      <c r="H548" s="29" t="n"/>
      <c r="I548" s="43" t="n"/>
      <c r="J548" s="41" t="n"/>
      <c r="K548" s="41" t="n"/>
      <c r="L548" s="41" t="n"/>
      <c r="M548" s="31">
        <f>IF(COUNT(J548:L548)=0,"",MEDIAN(J548:L548))</f>
        <v/>
      </c>
      <c r="N548" s="26">
        <f>IF(COUNTIFS($C:$C,$C548,$D:$D,$D548,$E:$E,"기준(전)",$M:$M,"&gt;0")&lt;&gt;1,"기준(전) 유효 1개 아님",IF(COUNTIFS($C:$C,$C548,$D:$D,$D548,$E:$E,"기준(후)",$M:$M,"&gt;0")&lt;&gt;1,"기준(후) 유효 1개 아님",IF(NOT(AND(ISNUMBER(O548),ISNUMBER(Q548),ISNUMBER(I548))),"시각 결측",IF(Q548&lt;=O548,"기준 시각 역전",IF(OR(I548&lt;O548,I548&gt;Q548),"측정시각 구간 밖","OK")))))</f>
        <v/>
      </c>
      <c r="O548" s="48">
        <f>IF(COUNTIFS($C:$C,$C548,$D:$D,$D548,$E:$E,"기준(전)",$M:$M,"&gt;0")&lt;&gt;1,"",SUMIFS($I:$I,$C:$C,$C548,$D:$D,$D548,$E:$E,"기준(전)"))</f>
        <v/>
      </c>
      <c r="P548" s="31">
        <f>IF(COUNTIFS($C:$C,$C548,$D:$D,$D548,$E:$E,"기준(전)",$M:$M,"&gt;0")&lt;&gt;1,"",SUMIFS($M:$M,$C:$C,$C548,$D:$D,$D548,$E:$E,"기준(전)"))</f>
        <v/>
      </c>
      <c r="Q548" s="48">
        <f>IF(COUNTIFS($C:$C,$C548,$D:$D,$D548,$E:$E,"기준(후)",$M:$M,"&gt;0")&lt;&gt;1,"",SUMIFS($I:$I,$C:$C,$C548,$D:$D,$D548,$E:$E,"기준(후)"))</f>
        <v/>
      </c>
      <c r="R548" s="31">
        <f>IF(COUNTIFS($C:$C,$C548,$D:$D,$D548,$E:$E,"기준(후)",$M:$M,"&gt;0")&lt;&gt;1,"",SUMIFS($M:$M,$C:$C,$C548,$D:$D,$D548,$E:$E,"기준(후)"))</f>
        <v/>
      </c>
      <c r="S548" s="31">
        <f>IF(N548&lt;&gt;"OK","",P548+(R548-P548)*(I548-O548)/(Q548-O548))</f>
        <v/>
      </c>
      <c r="T548" s="31">
        <f>IF(OR(N548&lt;&gt;"OK",NOT(ISNUMBER(M548))),"",M548-S548)</f>
        <v/>
      </c>
      <c r="U548" s="49">
        <f>IF(OR($E547&lt;&gt;"측정",$C547&lt;&gt;$C548,$D547&lt;&gt;$D548,NOT(ISNUMBER(M548)),NOT(ISNUMBER(M547)),(IF(ISNUMBER(G548),G548,F548)-IF(ISNUMBER(G547),G547,F547))=0),"",(M548-M547)/((IF(ISNUMBER(G548),G548,F548)-IF(ISNUMBER(G547),G547,F547))/100))</f>
        <v/>
      </c>
      <c r="V548" s="29" t="n"/>
      <c r="W548" s="29" t="n"/>
      <c r="X548" s="32" t="n"/>
    </row>
    <row r="549">
      <c r="A549" s="26" t="inlineStr">
        <is>
          <t>S46</t>
        </is>
      </c>
      <c r="B549" s="26" t="inlineStr">
        <is>
          <t>화천</t>
        </is>
      </c>
      <c r="C549" s="26" t="inlineStr">
        <is>
          <t>S46-V</t>
        </is>
      </c>
      <c r="D549" s="47" t="n">
        <v>1</v>
      </c>
      <c r="E549" s="26" t="inlineStr">
        <is>
          <t>측정</t>
        </is>
      </c>
      <c r="F549" s="47" t="n">
        <v>60</v>
      </c>
      <c r="G549" s="41" t="n"/>
      <c r="H549" s="29" t="n"/>
      <c r="I549" s="43" t="n"/>
      <c r="J549" s="41" t="n"/>
      <c r="K549" s="41" t="n"/>
      <c r="L549" s="41" t="n"/>
      <c r="M549" s="31">
        <f>IF(COUNT(J549:L549)=0,"",MEDIAN(J549:L549))</f>
        <v/>
      </c>
      <c r="N549" s="26">
        <f>IF(COUNTIFS($C:$C,$C549,$D:$D,$D549,$E:$E,"기준(전)",$M:$M,"&gt;0")&lt;&gt;1,"기준(전) 유효 1개 아님",IF(COUNTIFS($C:$C,$C549,$D:$D,$D549,$E:$E,"기준(후)",$M:$M,"&gt;0")&lt;&gt;1,"기준(후) 유효 1개 아님",IF(NOT(AND(ISNUMBER(O549),ISNUMBER(Q549),ISNUMBER(I549))),"시각 결측",IF(Q549&lt;=O549,"기준 시각 역전",IF(OR(I549&lt;O549,I549&gt;Q549),"측정시각 구간 밖","OK")))))</f>
        <v/>
      </c>
      <c r="O549" s="48">
        <f>IF(COUNTIFS($C:$C,$C549,$D:$D,$D549,$E:$E,"기준(전)",$M:$M,"&gt;0")&lt;&gt;1,"",SUMIFS($I:$I,$C:$C,$C549,$D:$D,$D549,$E:$E,"기준(전)"))</f>
        <v/>
      </c>
      <c r="P549" s="31">
        <f>IF(COUNTIFS($C:$C,$C549,$D:$D,$D549,$E:$E,"기준(전)",$M:$M,"&gt;0")&lt;&gt;1,"",SUMIFS($M:$M,$C:$C,$C549,$D:$D,$D549,$E:$E,"기준(전)"))</f>
        <v/>
      </c>
      <c r="Q549" s="48">
        <f>IF(COUNTIFS($C:$C,$C549,$D:$D,$D549,$E:$E,"기준(후)",$M:$M,"&gt;0")&lt;&gt;1,"",SUMIFS($I:$I,$C:$C,$C549,$D:$D,$D549,$E:$E,"기준(후)"))</f>
        <v/>
      </c>
      <c r="R549" s="31">
        <f>IF(COUNTIFS($C:$C,$C549,$D:$D,$D549,$E:$E,"기준(후)",$M:$M,"&gt;0")&lt;&gt;1,"",SUMIFS($M:$M,$C:$C,$C549,$D:$D,$D549,$E:$E,"기준(후)"))</f>
        <v/>
      </c>
      <c r="S549" s="31">
        <f>IF(N549&lt;&gt;"OK","",P549+(R549-P549)*(I549-O549)/(Q549-O549))</f>
        <v/>
      </c>
      <c r="T549" s="31">
        <f>IF(OR(N549&lt;&gt;"OK",NOT(ISNUMBER(M549))),"",M549-S549)</f>
        <v/>
      </c>
      <c r="U549" s="49">
        <f>IF(OR($E548&lt;&gt;"측정",$C548&lt;&gt;$C549,$D548&lt;&gt;$D549,NOT(ISNUMBER(M549)),NOT(ISNUMBER(M548)),(IF(ISNUMBER(G549),G549,F549)-IF(ISNUMBER(G548),G548,F548))=0),"",(M549-M548)/((IF(ISNUMBER(G549),G549,F549)-IF(ISNUMBER(G548),G548,F548))/100))</f>
        <v/>
      </c>
      <c r="V549" s="29" t="n"/>
      <c r="W549" s="29" t="n"/>
      <c r="X549" s="32" t="n"/>
    </row>
    <row r="550">
      <c r="A550" s="26" t="inlineStr">
        <is>
          <t>S46</t>
        </is>
      </c>
      <c r="B550" s="26" t="inlineStr">
        <is>
          <t>화천</t>
        </is>
      </c>
      <c r="C550" s="26" t="inlineStr">
        <is>
          <t>S46-V</t>
        </is>
      </c>
      <c r="D550" s="47" t="n">
        <v>1</v>
      </c>
      <c r="E550" s="26" t="inlineStr">
        <is>
          <t>측정</t>
        </is>
      </c>
      <c r="F550" s="47" t="n">
        <v>80</v>
      </c>
      <c r="G550" s="41" t="n"/>
      <c r="H550" s="29" t="n"/>
      <c r="I550" s="43" t="n"/>
      <c r="J550" s="41" t="n"/>
      <c r="K550" s="41" t="n"/>
      <c r="L550" s="41" t="n"/>
      <c r="M550" s="31">
        <f>IF(COUNT(J550:L550)=0,"",MEDIAN(J550:L550))</f>
        <v/>
      </c>
      <c r="N550" s="26">
        <f>IF(COUNTIFS($C:$C,$C550,$D:$D,$D550,$E:$E,"기준(전)",$M:$M,"&gt;0")&lt;&gt;1,"기준(전) 유효 1개 아님",IF(COUNTIFS($C:$C,$C550,$D:$D,$D550,$E:$E,"기준(후)",$M:$M,"&gt;0")&lt;&gt;1,"기준(후) 유효 1개 아님",IF(NOT(AND(ISNUMBER(O550),ISNUMBER(Q550),ISNUMBER(I550))),"시각 결측",IF(Q550&lt;=O550,"기준 시각 역전",IF(OR(I550&lt;O550,I550&gt;Q550),"측정시각 구간 밖","OK")))))</f>
        <v/>
      </c>
      <c r="O550" s="48">
        <f>IF(COUNTIFS($C:$C,$C550,$D:$D,$D550,$E:$E,"기준(전)",$M:$M,"&gt;0")&lt;&gt;1,"",SUMIFS($I:$I,$C:$C,$C550,$D:$D,$D550,$E:$E,"기준(전)"))</f>
        <v/>
      </c>
      <c r="P550" s="31">
        <f>IF(COUNTIFS($C:$C,$C550,$D:$D,$D550,$E:$E,"기준(전)",$M:$M,"&gt;0")&lt;&gt;1,"",SUMIFS($M:$M,$C:$C,$C550,$D:$D,$D550,$E:$E,"기준(전)"))</f>
        <v/>
      </c>
      <c r="Q550" s="48">
        <f>IF(COUNTIFS($C:$C,$C550,$D:$D,$D550,$E:$E,"기준(후)",$M:$M,"&gt;0")&lt;&gt;1,"",SUMIFS($I:$I,$C:$C,$C550,$D:$D,$D550,$E:$E,"기준(후)"))</f>
        <v/>
      </c>
      <c r="R550" s="31">
        <f>IF(COUNTIFS($C:$C,$C550,$D:$D,$D550,$E:$E,"기준(후)",$M:$M,"&gt;0")&lt;&gt;1,"",SUMIFS($M:$M,$C:$C,$C550,$D:$D,$D550,$E:$E,"기준(후)"))</f>
        <v/>
      </c>
      <c r="S550" s="31">
        <f>IF(N550&lt;&gt;"OK","",P550+(R550-P550)*(I550-O550)/(Q550-O550))</f>
        <v/>
      </c>
      <c r="T550" s="31">
        <f>IF(OR(N550&lt;&gt;"OK",NOT(ISNUMBER(M550))),"",M550-S550)</f>
        <v/>
      </c>
      <c r="U550" s="49">
        <f>IF(OR($E549&lt;&gt;"측정",$C549&lt;&gt;$C550,$D549&lt;&gt;$D550,NOT(ISNUMBER(M550)),NOT(ISNUMBER(M549)),(IF(ISNUMBER(G550),G550,F550)-IF(ISNUMBER(G549),G549,F549))=0),"",(M550-M549)/((IF(ISNUMBER(G550),G550,F550)-IF(ISNUMBER(G549),G549,F549))/100))</f>
        <v/>
      </c>
      <c r="V550" s="29" t="n"/>
      <c r="W550" s="29" t="n"/>
      <c r="X550" s="32" t="n"/>
    </row>
    <row r="551">
      <c r="A551" s="26" t="inlineStr">
        <is>
          <t>S46</t>
        </is>
      </c>
      <c r="B551" s="26" t="inlineStr">
        <is>
          <t>화천</t>
        </is>
      </c>
      <c r="C551" s="26" t="inlineStr">
        <is>
          <t>S46-V</t>
        </is>
      </c>
      <c r="D551" s="47" t="n">
        <v>1</v>
      </c>
      <c r="E551" s="26" t="inlineStr">
        <is>
          <t>측정</t>
        </is>
      </c>
      <c r="F551" s="47" t="n">
        <v>100</v>
      </c>
      <c r="G551" s="41" t="n"/>
      <c r="H551" s="29" t="n"/>
      <c r="I551" s="43" t="n"/>
      <c r="J551" s="41" t="n"/>
      <c r="K551" s="41" t="n"/>
      <c r="L551" s="41" t="n"/>
      <c r="M551" s="31">
        <f>IF(COUNT(J551:L551)=0,"",MEDIAN(J551:L551))</f>
        <v/>
      </c>
      <c r="N551" s="26">
        <f>IF(COUNTIFS($C:$C,$C551,$D:$D,$D551,$E:$E,"기준(전)",$M:$M,"&gt;0")&lt;&gt;1,"기준(전) 유효 1개 아님",IF(COUNTIFS($C:$C,$C551,$D:$D,$D551,$E:$E,"기준(후)",$M:$M,"&gt;0")&lt;&gt;1,"기준(후) 유효 1개 아님",IF(NOT(AND(ISNUMBER(O551),ISNUMBER(Q551),ISNUMBER(I551))),"시각 결측",IF(Q551&lt;=O551,"기준 시각 역전",IF(OR(I551&lt;O551,I551&gt;Q551),"측정시각 구간 밖","OK")))))</f>
        <v/>
      </c>
      <c r="O551" s="48">
        <f>IF(COUNTIFS($C:$C,$C551,$D:$D,$D551,$E:$E,"기준(전)",$M:$M,"&gt;0")&lt;&gt;1,"",SUMIFS($I:$I,$C:$C,$C551,$D:$D,$D551,$E:$E,"기준(전)"))</f>
        <v/>
      </c>
      <c r="P551" s="31">
        <f>IF(COUNTIFS($C:$C,$C551,$D:$D,$D551,$E:$E,"기준(전)",$M:$M,"&gt;0")&lt;&gt;1,"",SUMIFS($M:$M,$C:$C,$C551,$D:$D,$D551,$E:$E,"기준(전)"))</f>
        <v/>
      </c>
      <c r="Q551" s="48">
        <f>IF(COUNTIFS($C:$C,$C551,$D:$D,$D551,$E:$E,"기준(후)",$M:$M,"&gt;0")&lt;&gt;1,"",SUMIFS($I:$I,$C:$C,$C551,$D:$D,$D551,$E:$E,"기준(후)"))</f>
        <v/>
      </c>
      <c r="R551" s="31">
        <f>IF(COUNTIFS($C:$C,$C551,$D:$D,$D551,$E:$E,"기준(후)",$M:$M,"&gt;0")&lt;&gt;1,"",SUMIFS($M:$M,$C:$C,$C551,$D:$D,$D551,$E:$E,"기준(후)"))</f>
        <v/>
      </c>
      <c r="S551" s="31">
        <f>IF(N551&lt;&gt;"OK","",P551+(R551-P551)*(I551-O551)/(Q551-O551))</f>
        <v/>
      </c>
      <c r="T551" s="31">
        <f>IF(OR(N551&lt;&gt;"OK",NOT(ISNUMBER(M551))),"",M551-S551)</f>
        <v/>
      </c>
      <c r="U551" s="49">
        <f>IF(OR($E550&lt;&gt;"측정",$C550&lt;&gt;$C551,$D550&lt;&gt;$D551,NOT(ISNUMBER(M551)),NOT(ISNUMBER(M550)),(IF(ISNUMBER(G551),G551,F551)-IF(ISNUMBER(G550),G550,F550))=0),"",(M551-M550)/((IF(ISNUMBER(G551),G551,F551)-IF(ISNUMBER(G550),G550,F550))/100))</f>
        <v/>
      </c>
      <c r="V551" s="29" t="n"/>
      <c r="W551" s="29" t="n"/>
      <c r="X551" s="32" t="n"/>
    </row>
    <row r="552">
      <c r="A552" s="26" t="inlineStr">
        <is>
          <t>S46</t>
        </is>
      </c>
      <c r="B552" s="26" t="inlineStr">
        <is>
          <t>화천</t>
        </is>
      </c>
      <c r="C552" s="26" t="inlineStr">
        <is>
          <t>S46-V</t>
        </is>
      </c>
      <c r="D552" s="47" t="n">
        <v>1</v>
      </c>
      <c r="E552" s="26" t="inlineStr">
        <is>
          <t>측정</t>
        </is>
      </c>
      <c r="F552" s="47" t="n">
        <v>120</v>
      </c>
      <c r="G552" s="41" t="n"/>
      <c r="H552" s="29" t="n"/>
      <c r="I552" s="43" t="n"/>
      <c r="J552" s="41" t="n"/>
      <c r="K552" s="41" t="n"/>
      <c r="L552" s="41" t="n"/>
      <c r="M552" s="31">
        <f>IF(COUNT(J552:L552)=0,"",MEDIAN(J552:L552))</f>
        <v/>
      </c>
      <c r="N552" s="26">
        <f>IF(COUNTIFS($C:$C,$C552,$D:$D,$D552,$E:$E,"기준(전)",$M:$M,"&gt;0")&lt;&gt;1,"기준(전) 유효 1개 아님",IF(COUNTIFS($C:$C,$C552,$D:$D,$D552,$E:$E,"기준(후)",$M:$M,"&gt;0")&lt;&gt;1,"기준(후) 유효 1개 아님",IF(NOT(AND(ISNUMBER(O552),ISNUMBER(Q552),ISNUMBER(I552))),"시각 결측",IF(Q552&lt;=O552,"기준 시각 역전",IF(OR(I552&lt;O552,I552&gt;Q552),"측정시각 구간 밖","OK")))))</f>
        <v/>
      </c>
      <c r="O552" s="48">
        <f>IF(COUNTIFS($C:$C,$C552,$D:$D,$D552,$E:$E,"기준(전)",$M:$M,"&gt;0")&lt;&gt;1,"",SUMIFS($I:$I,$C:$C,$C552,$D:$D,$D552,$E:$E,"기준(전)"))</f>
        <v/>
      </c>
      <c r="P552" s="31">
        <f>IF(COUNTIFS($C:$C,$C552,$D:$D,$D552,$E:$E,"기준(전)",$M:$M,"&gt;0")&lt;&gt;1,"",SUMIFS($M:$M,$C:$C,$C552,$D:$D,$D552,$E:$E,"기준(전)"))</f>
        <v/>
      </c>
      <c r="Q552" s="48">
        <f>IF(COUNTIFS($C:$C,$C552,$D:$D,$D552,$E:$E,"기준(후)",$M:$M,"&gt;0")&lt;&gt;1,"",SUMIFS($I:$I,$C:$C,$C552,$D:$D,$D552,$E:$E,"기준(후)"))</f>
        <v/>
      </c>
      <c r="R552" s="31">
        <f>IF(COUNTIFS($C:$C,$C552,$D:$D,$D552,$E:$E,"기준(후)",$M:$M,"&gt;0")&lt;&gt;1,"",SUMIFS($M:$M,$C:$C,$C552,$D:$D,$D552,$E:$E,"기준(후)"))</f>
        <v/>
      </c>
      <c r="S552" s="31">
        <f>IF(N552&lt;&gt;"OK","",P552+(R552-P552)*(I552-O552)/(Q552-O552))</f>
        <v/>
      </c>
      <c r="T552" s="31">
        <f>IF(OR(N552&lt;&gt;"OK",NOT(ISNUMBER(M552))),"",M552-S552)</f>
        <v/>
      </c>
      <c r="U552" s="49">
        <f>IF(OR($E551&lt;&gt;"측정",$C551&lt;&gt;$C552,$D551&lt;&gt;$D552,NOT(ISNUMBER(M552)),NOT(ISNUMBER(M551)),(IF(ISNUMBER(G552),G552,F552)-IF(ISNUMBER(G551),G551,F551))=0),"",(M552-M551)/((IF(ISNUMBER(G552),G552,F552)-IF(ISNUMBER(G551),G551,F551))/100))</f>
        <v/>
      </c>
      <c r="V552" s="29" t="n"/>
      <c r="W552" s="29" t="n"/>
      <c r="X552" s="32" t="n"/>
    </row>
    <row r="553">
      <c r="A553" s="26" t="inlineStr">
        <is>
          <t>S46</t>
        </is>
      </c>
      <c r="B553" s="26" t="inlineStr">
        <is>
          <t>화천</t>
        </is>
      </c>
      <c r="C553" s="26" t="inlineStr">
        <is>
          <t>S46-V</t>
        </is>
      </c>
      <c r="D553" s="47" t="n">
        <v>1</v>
      </c>
      <c r="E553" s="26" t="inlineStr">
        <is>
          <t>측정</t>
        </is>
      </c>
      <c r="F553" s="47" t="n">
        <v>140</v>
      </c>
      <c r="G553" s="41" t="n"/>
      <c r="H553" s="29" t="n"/>
      <c r="I553" s="43" t="n"/>
      <c r="J553" s="41" t="n"/>
      <c r="K553" s="41" t="n"/>
      <c r="L553" s="41" t="n"/>
      <c r="M553" s="31">
        <f>IF(COUNT(J553:L553)=0,"",MEDIAN(J553:L553))</f>
        <v/>
      </c>
      <c r="N553" s="26">
        <f>IF(COUNTIFS($C:$C,$C553,$D:$D,$D553,$E:$E,"기준(전)",$M:$M,"&gt;0")&lt;&gt;1,"기준(전) 유효 1개 아님",IF(COUNTIFS($C:$C,$C553,$D:$D,$D553,$E:$E,"기준(후)",$M:$M,"&gt;0")&lt;&gt;1,"기준(후) 유효 1개 아님",IF(NOT(AND(ISNUMBER(O553),ISNUMBER(Q553),ISNUMBER(I553))),"시각 결측",IF(Q553&lt;=O553,"기준 시각 역전",IF(OR(I553&lt;O553,I553&gt;Q553),"측정시각 구간 밖","OK")))))</f>
        <v/>
      </c>
      <c r="O553" s="48">
        <f>IF(COUNTIFS($C:$C,$C553,$D:$D,$D553,$E:$E,"기준(전)",$M:$M,"&gt;0")&lt;&gt;1,"",SUMIFS($I:$I,$C:$C,$C553,$D:$D,$D553,$E:$E,"기준(전)"))</f>
        <v/>
      </c>
      <c r="P553" s="31">
        <f>IF(COUNTIFS($C:$C,$C553,$D:$D,$D553,$E:$E,"기준(전)",$M:$M,"&gt;0")&lt;&gt;1,"",SUMIFS($M:$M,$C:$C,$C553,$D:$D,$D553,$E:$E,"기준(전)"))</f>
        <v/>
      </c>
      <c r="Q553" s="48">
        <f>IF(COUNTIFS($C:$C,$C553,$D:$D,$D553,$E:$E,"기준(후)",$M:$M,"&gt;0")&lt;&gt;1,"",SUMIFS($I:$I,$C:$C,$C553,$D:$D,$D553,$E:$E,"기준(후)"))</f>
        <v/>
      </c>
      <c r="R553" s="31">
        <f>IF(COUNTIFS($C:$C,$C553,$D:$D,$D553,$E:$E,"기준(후)",$M:$M,"&gt;0")&lt;&gt;1,"",SUMIFS($M:$M,$C:$C,$C553,$D:$D,$D553,$E:$E,"기준(후)"))</f>
        <v/>
      </c>
      <c r="S553" s="31">
        <f>IF(N553&lt;&gt;"OK","",P553+(R553-P553)*(I553-O553)/(Q553-O553))</f>
        <v/>
      </c>
      <c r="T553" s="31">
        <f>IF(OR(N553&lt;&gt;"OK",NOT(ISNUMBER(M553))),"",M553-S553)</f>
        <v/>
      </c>
      <c r="U553" s="49">
        <f>IF(OR($E552&lt;&gt;"측정",$C552&lt;&gt;$C553,$D552&lt;&gt;$D553,NOT(ISNUMBER(M553)),NOT(ISNUMBER(M552)),(IF(ISNUMBER(G553),G553,F553)-IF(ISNUMBER(G552),G552,F552))=0),"",(M553-M552)/((IF(ISNUMBER(G553),G553,F553)-IF(ISNUMBER(G552),G552,F552))/100))</f>
        <v/>
      </c>
      <c r="V553" s="29" t="n"/>
      <c r="W553" s="29" t="n"/>
      <c r="X553" s="32" t="n"/>
    </row>
    <row r="554">
      <c r="A554" s="26" t="inlineStr">
        <is>
          <t>S46</t>
        </is>
      </c>
      <c r="B554" s="26" t="inlineStr">
        <is>
          <t>화천</t>
        </is>
      </c>
      <c r="C554" s="26" t="inlineStr">
        <is>
          <t>S46-V</t>
        </is>
      </c>
      <c r="D554" s="47" t="n">
        <v>1</v>
      </c>
      <c r="E554" s="26" t="inlineStr">
        <is>
          <t>측정</t>
        </is>
      </c>
      <c r="F554" s="47" t="n">
        <v>160</v>
      </c>
      <c r="G554" s="41" t="n"/>
      <c r="H554" s="29" t="n"/>
      <c r="I554" s="43" t="n"/>
      <c r="J554" s="41" t="n"/>
      <c r="K554" s="41" t="n"/>
      <c r="L554" s="41" t="n"/>
      <c r="M554" s="31">
        <f>IF(COUNT(J554:L554)=0,"",MEDIAN(J554:L554))</f>
        <v/>
      </c>
      <c r="N554" s="26">
        <f>IF(COUNTIFS($C:$C,$C554,$D:$D,$D554,$E:$E,"기준(전)",$M:$M,"&gt;0")&lt;&gt;1,"기준(전) 유효 1개 아님",IF(COUNTIFS($C:$C,$C554,$D:$D,$D554,$E:$E,"기준(후)",$M:$M,"&gt;0")&lt;&gt;1,"기준(후) 유효 1개 아님",IF(NOT(AND(ISNUMBER(O554),ISNUMBER(Q554),ISNUMBER(I554))),"시각 결측",IF(Q554&lt;=O554,"기준 시각 역전",IF(OR(I554&lt;O554,I554&gt;Q554),"측정시각 구간 밖","OK")))))</f>
        <v/>
      </c>
      <c r="O554" s="48">
        <f>IF(COUNTIFS($C:$C,$C554,$D:$D,$D554,$E:$E,"기준(전)",$M:$M,"&gt;0")&lt;&gt;1,"",SUMIFS($I:$I,$C:$C,$C554,$D:$D,$D554,$E:$E,"기준(전)"))</f>
        <v/>
      </c>
      <c r="P554" s="31">
        <f>IF(COUNTIFS($C:$C,$C554,$D:$D,$D554,$E:$E,"기준(전)",$M:$M,"&gt;0")&lt;&gt;1,"",SUMIFS($M:$M,$C:$C,$C554,$D:$D,$D554,$E:$E,"기준(전)"))</f>
        <v/>
      </c>
      <c r="Q554" s="48">
        <f>IF(COUNTIFS($C:$C,$C554,$D:$D,$D554,$E:$E,"기준(후)",$M:$M,"&gt;0")&lt;&gt;1,"",SUMIFS($I:$I,$C:$C,$C554,$D:$D,$D554,$E:$E,"기준(후)"))</f>
        <v/>
      </c>
      <c r="R554" s="31">
        <f>IF(COUNTIFS($C:$C,$C554,$D:$D,$D554,$E:$E,"기준(후)",$M:$M,"&gt;0")&lt;&gt;1,"",SUMIFS($M:$M,$C:$C,$C554,$D:$D,$D554,$E:$E,"기준(후)"))</f>
        <v/>
      </c>
      <c r="S554" s="31">
        <f>IF(N554&lt;&gt;"OK","",P554+(R554-P554)*(I554-O554)/(Q554-O554))</f>
        <v/>
      </c>
      <c r="T554" s="31">
        <f>IF(OR(N554&lt;&gt;"OK",NOT(ISNUMBER(M554))),"",M554-S554)</f>
        <v/>
      </c>
      <c r="U554" s="49">
        <f>IF(OR($E553&lt;&gt;"측정",$C553&lt;&gt;$C554,$D553&lt;&gt;$D554,NOT(ISNUMBER(M554)),NOT(ISNUMBER(M553)),(IF(ISNUMBER(G554),G554,F554)-IF(ISNUMBER(G553),G553,F553))=0),"",(M554-M553)/((IF(ISNUMBER(G554),G554,F554)-IF(ISNUMBER(G553),G553,F553))/100))</f>
        <v/>
      </c>
      <c r="V554" s="29" t="n"/>
      <c r="W554" s="29" t="n"/>
      <c r="X554" s="32" t="n"/>
    </row>
    <row r="555">
      <c r="A555" s="26" t="inlineStr">
        <is>
          <t>S46</t>
        </is>
      </c>
      <c r="B555" s="26" t="inlineStr">
        <is>
          <t>화천</t>
        </is>
      </c>
      <c r="C555" s="26" t="inlineStr">
        <is>
          <t>S46-V</t>
        </is>
      </c>
      <c r="D555" s="47" t="n">
        <v>1</v>
      </c>
      <c r="E555" s="26" t="inlineStr">
        <is>
          <t>측정</t>
        </is>
      </c>
      <c r="F555" s="47" t="n">
        <v>180</v>
      </c>
      <c r="G555" s="41" t="n"/>
      <c r="H555" s="29" t="n"/>
      <c r="I555" s="43" t="n"/>
      <c r="J555" s="41" t="n"/>
      <c r="K555" s="41" t="n"/>
      <c r="L555" s="41" t="n"/>
      <c r="M555" s="31">
        <f>IF(COUNT(J555:L555)=0,"",MEDIAN(J555:L555))</f>
        <v/>
      </c>
      <c r="N555" s="26">
        <f>IF(COUNTIFS($C:$C,$C555,$D:$D,$D555,$E:$E,"기준(전)",$M:$M,"&gt;0")&lt;&gt;1,"기준(전) 유효 1개 아님",IF(COUNTIFS($C:$C,$C555,$D:$D,$D555,$E:$E,"기준(후)",$M:$M,"&gt;0")&lt;&gt;1,"기준(후) 유효 1개 아님",IF(NOT(AND(ISNUMBER(O555),ISNUMBER(Q555),ISNUMBER(I555))),"시각 결측",IF(Q555&lt;=O555,"기준 시각 역전",IF(OR(I555&lt;O555,I555&gt;Q555),"측정시각 구간 밖","OK")))))</f>
        <v/>
      </c>
      <c r="O555" s="48">
        <f>IF(COUNTIFS($C:$C,$C555,$D:$D,$D555,$E:$E,"기준(전)",$M:$M,"&gt;0")&lt;&gt;1,"",SUMIFS($I:$I,$C:$C,$C555,$D:$D,$D555,$E:$E,"기준(전)"))</f>
        <v/>
      </c>
      <c r="P555" s="31">
        <f>IF(COUNTIFS($C:$C,$C555,$D:$D,$D555,$E:$E,"기준(전)",$M:$M,"&gt;0")&lt;&gt;1,"",SUMIFS($M:$M,$C:$C,$C555,$D:$D,$D555,$E:$E,"기준(전)"))</f>
        <v/>
      </c>
      <c r="Q555" s="48">
        <f>IF(COUNTIFS($C:$C,$C555,$D:$D,$D555,$E:$E,"기준(후)",$M:$M,"&gt;0")&lt;&gt;1,"",SUMIFS($I:$I,$C:$C,$C555,$D:$D,$D555,$E:$E,"기준(후)"))</f>
        <v/>
      </c>
      <c r="R555" s="31">
        <f>IF(COUNTIFS($C:$C,$C555,$D:$D,$D555,$E:$E,"기준(후)",$M:$M,"&gt;0")&lt;&gt;1,"",SUMIFS($M:$M,$C:$C,$C555,$D:$D,$D555,$E:$E,"기준(후)"))</f>
        <v/>
      </c>
      <c r="S555" s="31">
        <f>IF(N555&lt;&gt;"OK","",P555+(R555-P555)*(I555-O555)/(Q555-O555))</f>
        <v/>
      </c>
      <c r="T555" s="31">
        <f>IF(OR(N555&lt;&gt;"OK",NOT(ISNUMBER(M555))),"",M555-S555)</f>
        <v/>
      </c>
      <c r="U555" s="49">
        <f>IF(OR($E554&lt;&gt;"측정",$C554&lt;&gt;$C555,$D554&lt;&gt;$D555,NOT(ISNUMBER(M555)),NOT(ISNUMBER(M554)),(IF(ISNUMBER(G555),G555,F555)-IF(ISNUMBER(G554),G554,F554))=0),"",(M555-M554)/((IF(ISNUMBER(G555),G555,F555)-IF(ISNUMBER(G554),G554,F554))/100))</f>
        <v/>
      </c>
      <c r="V555" s="29" t="n"/>
      <c r="W555" s="29" t="n"/>
      <c r="X555" s="32" t="n"/>
    </row>
    <row r="556">
      <c r="A556" s="26" t="inlineStr">
        <is>
          <t>S46</t>
        </is>
      </c>
      <c r="B556" s="26" t="inlineStr">
        <is>
          <t>화천</t>
        </is>
      </c>
      <c r="C556" s="26" t="inlineStr">
        <is>
          <t>S46-V</t>
        </is>
      </c>
      <c r="D556" s="47" t="n">
        <v>1</v>
      </c>
      <c r="E556" s="26" t="inlineStr">
        <is>
          <t>측정</t>
        </is>
      </c>
      <c r="F556" s="47" t="n">
        <v>200</v>
      </c>
      <c r="G556" s="41" t="n"/>
      <c r="H556" s="29" t="n"/>
      <c r="I556" s="43" t="n"/>
      <c r="J556" s="41" t="n"/>
      <c r="K556" s="41" t="n"/>
      <c r="L556" s="41" t="n"/>
      <c r="M556" s="31">
        <f>IF(COUNT(J556:L556)=0,"",MEDIAN(J556:L556))</f>
        <v/>
      </c>
      <c r="N556" s="26">
        <f>IF(COUNTIFS($C:$C,$C556,$D:$D,$D556,$E:$E,"기준(전)",$M:$M,"&gt;0")&lt;&gt;1,"기준(전) 유효 1개 아님",IF(COUNTIFS($C:$C,$C556,$D:$D,$D556,$E:$E,"기준(후)",$M:$M,"&gt;0")&lt;&gt;1,"기준(후) 유효 1개 아님",IF(NOT(AND(ISNUMBER(O556),ISNUMBER(Q556),ISNUMBER(I556))),"시각 결측",IF(Q556&lt;=O556,"기준 시각 역전",IF(OR(I556&lt;O556,I556&gt;Q556),"측정시각 구간 밖","OK")))))</f>
        <v/>
      </c>
      <c r="O556" s="48">
        <f>IF(COUNTIFS($C:$C,$C556,$D:$D,$D556,$E:$E,"기준(전)",$M:$M,"&gt;0")&lt;&gt;1,"",SUMIFS($I:$I,$C:$C,$C556,$D:$D,$D556,$E:$E,"기준(전)"))</f>
        <v/>
      </c>
      <c r="P556" s="31">
        <f>IF(COUNTIFS($C:$C,$C556,$D:$D,$D556,$E:$E,"기준(전)",$M:$M,"&gt;0")&lt;&gt;1,"",SUMIFS($M:$M,$C:$C,$C556,$D:$D,$D556,$E:$E,"기준(전)"))</f>
        <v/>
      </c>
      <c r="Q556" s="48">
        <f>IF(COUNTIFS($C:$C,$C556,$D:$D,$D556,$E:$E,"기준(후)",$M:$M,"&gt;0")&lt;&gt;1,"",SUMIFS($I:$I,$C:$C,$C556,$D:$D,$D556,$E:$E,"기준(후)"))</f>
        <v/>
      </c>
      <c r="R556" s="31">
        <f>IF(COUNTIFS($C:$C,$C556,$D:$D,$D556,$E:$E,"기준(후)",$M:$M,"&gt;0")&lt;&gt;1,"",SUMIFS($M:$M,$C:$C,$C556,$D:$D,$D556,$E:$E,"기준(후)"))</f>
        <v/>
      </c>
      <c r="S556" s="31">
        <f>IF(N556&lt;&gt;"OK","",P556+(R556-P556)*(I556-O556)/(Q556-O556))</f>
        <v/>
      </c>
      <c r="T556" s="31">
        <f>IF(OR(N556&lt;&gt;"OK",NOT(ISNUMBER(M556))),"",M556-S556)</f>
        <v/>
      </c>
      <c r="U556" s="49">
        <f>IF(OR($E555&lt;&gt;"측정",$C555&lt;&gt;$C556,$D555&lt;&gt;$D556,NOT(ISNUMBER(M556)),NOT(ISNUMBER(M555)),(IF(ISNUMBER(G556),G556,F556)-IF(ISNUMBER(G555),G555,F555))=0),"",(M556-M555)/((IF(ISNUMBER(G556),G556,F556)-IF(ISNUMBER(G555),G555,F555))/100))</f>
        <v/>
      </c>
      <c r="V556" s="29" t="n"/>
      <c r="W556" s="29" t="n"/>
      <c r="X556" s="32" t="n"/>
    </row>
    <row r="557">
      <c r="A557" s="44" t="inlineStr">
        <is>
          <t>S46</t>
        </is>
      </c>
      <c r="B557" s="44" t="inlineStr">
        <is>
          <t>화천</t>
        </is>
      </c>
      <c r="C557" s="44" t="inlineStr">
        <is>
          <t>S46-V</t>
        </is>
      </c>
      <c r="D557" s="45" t="n">
        <v>1</v>
      </c>
      <c r="E557" s="44" t="inlineStr">
        <is>
          <t>기준(후)</t>
        </is>
      </c>
      <c r="F557" s="45" t="n"/>
      <c r="G557" s="41" t="n"/>
      <c r="H557" s="29" t="n"/>
      <c r="I557" s="43" t="n"/>
      <c r="J557" s="41" t="n"/>
      <c r="K557" s="41" t="n"/>
      <c r="L557" s="41" t="n"/>
      <c r="M557" s="31">
        <f>IF(COUNT(J557:L557)=0,"",MEDIAN(J557:L557))</f>
        <v/>
      </c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29" t="n"/>
      <c r="W557" s="29" t="n"/>
      <c r="X557" s="32" t="n"/>
    </row>
    <row r="558">
      <c r="A558" s="44" t="inlineStr">
        <is>
          <t>S47</t>
        </is>
      </c>
      <c r="B558" s="44" t="inlineStr">
        <is>
          <t>봉평</t>
        </is>
      </c>
      <c r="C558" s="44" t="inlineStr">
        <is>
          <t>S47-V</t>
        </is>
      </c>
      <c r="D558" s="45" t="n">
        <v>1</v>
      </c>
      <c r="E558" s="44" t="inlineStr">
        <is>
          <t>기준(전)</t>
        </is>
      </c>
      <c r="F558" s="45" t="n"/>
      <c r="G558" s="41" t="n"/>
      <c r="H558" s="29" t="n"/>
      <c r="I558" s="43" t="n"/>
      <c r="J558" s="41" t="n"/>
      <c r="K558" s="41" t="n"/>
      <c r="L558" s="41" t="n"/>
      <c r="M558" s="31">
        <f>IF(COUNT(J558:L558)=0,"",MEDIAN(J558:L558))</f>
        <v/>
      </c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29" t="n"/>
      <c r="W558" s="29" t="n"/>
      <c r="X558" s="32" t="n"/>
    </row>
    <row r="559">
      <c r="A559" s="26" t="inlineStr">
        <is>
          <t>S47</t>
        </is>
      </c>
      <c r="B559" s="26" t="inlineStr">
        <is>
          <t>봉평</t>
        </is>
      </c>
      <c r="C559" s="26" t="inlineStr">
        <is>
          <t>S47-V</t>
        </is>
      </c>
      <c r="D559" s="47" t="n">
        <v>1</v>
      </c>
      <c r="E559" s="26" t="inlineStr">
        <is>
          <t>측정</t>
        </is>
      </c>
      <c r="F559" s="47" t="n">
        <v>20</v>
      </c>
      <c r="G559" s="41" t="n"/>
      <c r="H559" s="29" t="n"/>
      <c r="I559" s="43" t="n"/>
      <c r="J559" s="41" t="n"/>
      <c r="K559" s="41" t="n"/>
      <c r="L559" s="41" t="n"/>
      <c r="M559" s="31">
        <f>IF(COUNT(J559:L559)=0,"",MEDIAN(J559:L559))</f>
        <v/>
      </c>
      <c r="N559" s="26">
        <f>IF(COUNTIFS($C:$C,$C559,$D:$D,$D559,$E:$E,"기준(전)",$M:$M,"&gt;0")&lt;&gt;1,"기준(전) 유효 1개 아님",IF(COUNTIFS($C:$C,$C559,$D:$D,$D559,$E:$E,"기준(후)",$M:$M,"&gt;0")&lt;&gt;1,"기준(후) 유효 1개 아님",IF(NOT(AND(ISNUMBER(O559),ISNUMBER(Q559),ISNUMBER(I559))),"시각 결측",IF(Q559&lt;=O559,"기준 시각 역전",IF(OR(I559&lt;O559,I559&gt;Q559),"측정시각 구간 밖","OK")))))</f>
        <v/>
      </c>
      <c r="O559" s="48">
        <f>IF(COUNTIFS($C:$C,$C559,$D:$D,$D559,$E:$E,"기준(전)",$M:$M,"&gt;0")&lt;&gt;1,"",SUMIFS($I:$I,$C:$C,$C559,$D:$D,$D559,$E:$E,"기준(전)"))</f>
        <v/>
      </c>
      <c r="P559" s="31">
        <f>IF(COUNTIFS($C:$C,$C559,$D:$D,$D559,$E:$E,"기준(전)",$M:$M,"&gt;0")&lt;&gt;1,"",SUMIFS($M:$M,$C:$C,$C559,$D:$D,$D559,$E:$E,"기준(전)"))</f>
        <v/>
      </c>
      <c r="Q559" s="48">
        <f>IF(COUNTIFS($C:$C,$C559,$D:$D,$D559,$E:$E,"기준(후)",$M:$M,"&gt;0")&lt;&gt;1,"",SUMIFS($I:$I,$C:$C,$C559,$D:$D,$D559,$E:$E,"기준(후)"))</f>
        <v/>
      </c>
      <c r="R559" s="31">
        <f>IF(COUNTIFS($C:$C,$C559,$D:$D,$D559,$E:$E,"기준(후)",$M:$M,"&gt;0")&lt;&gt;1,"",SUMIFS($M:$M,$C:$C,$C559,$D:$D,$D559,$E:$E,"기준(후)"))</f>
        <v/>
      </c>
      <c r="S559" s="31">
        <f>IF(N559&lt;&gt;"OK","",P559+(R559-P559)*(I559-O559)/(Q559-O559))</f>
        <v/>
      </c>
      <c r="T559" s="31">
        <f>IF(OR(N559&lt;&gt;"OK",NOT(ISNUMBER(M559))),"",M559-S559)</f>
        <v/>
      </c>
      <c r="U559" s="49">
        <f>IF(OR($E558&lt;&gt;"측정",$C558&lt;&gt;$C559,$D558&lt;&gt;$D559,NOT(ISNUMBER(M559)),NOT(ISNUMBER(M558)),(IF(ISNUMBER(G559),G559,F559)-IF(ISNUMBER(G558),G558,F558))=0),"",(M559-M558)/((IF(ISNUMBER(G559),G559,F559)-IF(ISNUMBER(G558),G558,F558))/100))</f>
        <v/>
      </c>
      <c r="V559" s="29" t="n"/>
      <c r="W559" s="29" t="n"/>
      <c r="X559" s="32" t="n"/>
    </row>
    <row r="560">
      <c r="A560" s="26" t="inlineStr">
        <is>
          <t>S47</t>
        </is>
      </c>
      <c r="B560" s="26" t="inlineStr">
        <is>
          <t>봉평</t>
        </is>
      </c>
      <c r="C560" s="26" t="inlineStr">
        <is>
          <t>S47-V</t>
        </is>
      </c>
      <c r="D560" s="47" t="n">
        <v>1</v>
      </c>
      <c r="E560" s="26" t="inlineStr">
        <is>
          <t>측정</t>
        </is>
      </c>
      <c r="F560" s="47" t="n">
        <v>40</v>
      </c>
      <c r="G560" s="41" t="n"/>
      <c r="H560" s="29" t="n"/>
      <c r="I560" s="43" t="n"/>
      <c r="J560" s="41" t="n"/>
      <c r="K560" s="41" t="n"/>
      <c r="L560" s="41" t="n"/>
      <c r="M560" s="31">
        <f>IF(COUNT(J560:L560)=0,"",MEDIAN(J560:L560))</f>
        <v/>
      </c>
      <c r="N560" s="26">
        <f>IF(COUNTIFS($C:$C,$C560,$D:$D,$D560,$E:$E,"기준(전)",$M:$M,"&gt;0")&lt;&gt;1,"기준(전) 유효 1개 아님",IF(COUNTIFS($C:$C,$C560,$D:$D,$D560,$E:$E,"기준(후)",$M:$M,"&gt;0")&lt;&gt;1,"기준(후) 유효 1개 아님",IF(NOT(AND(ISNUMBER(O560),ISNUMBER(Q560),ISNUMBER(I560))),"시각 결측",IF(Q560&lt;=O560,"기준 시각 역전",IF(OR(I560&lt;O560,I560&gt;Q560),"측정시각 구간 밖","OK")))))</f>
        <v/>
      </c>
      <c r="O560" s="48">
        <f>IF(COUNTIFS($C:$C,$C560,$D:$D,$D560,$E:$E,"기준(전)",$M:$M,"&gt;0")&lt;&gt;1,"",SUMIFS($I:$I,$C:$C,$C560,$D:$D,$D560,$E:$E,"기준(전)"))</f>
        <v/>
      </c>
      <c r="P560" s="31">
        <f>IF(COUNTIFS($C:$C,$C560,$D:$D,$D560,$E:$E,"기준(전)",$M:$M,"&gt;0")&lt;&gt;1,"",SUMIFS($M:$M,$C:$C,$C560,$D:$D,$D560,$E:$E,"기준(전)"))</f>
        <v/>
      </c>
      <c r="Q560" s="48">
        <f>IF(COUNTIFS($C:$C,$C560,$D:$D,$D560,$E:$E,"기준(후)",$M:$M,"&gt;0")&lt;&gt;1,"",SUMIFS($I:$I,$C:$C,$C560,$D:$D,$D560,$E:$E,"기준(후)"))</f>
        <v/>
      </c>
      <c r="R560" s="31">
        <f>IF(COUNTIFS($C:$C,$C560,$D:$D,$D560,$E:$E,"기준(후)",$M:$M,"&gt;0")&lt;&gt;1,"",SUMIFS($M:$M,$C:$C,$C560,$D:$D,$D560,$E:$E,"기준(후)"))</f>
        <v/>
      </c>
      <c r="S560" s="31">
        <f>IF(N560&lt;&gt;"OK","",P560+(R560-P560)*(I560-O560)/(Q560-O560))</f>
        <v/>
      </c>
      <c r="T560" s="31">
        <f>IF(OR(N560&lt;&gt;"OK",NOT(ISNUMBER(M560))),"",M560-S560)</f>
        <v/>
      </c>
      <c r="U560" s="49">
        <f>IF(OR($E559&lt;&gt;"측정",$C559&lt;&gt;$C560,$D559&lt;&gt;$D560,NOT(ISNUMBER(M560)),NOT(ISNUMBER(M559)),(IF(ISNUMBER(G560),G560,F560)-IF(ISNUMBER(G559),G559,F559))=0),"",(M560-M559)/((IF(ISNUMBER(G560),G560,F560)-IF(ISNUMBER(G559),G559,F559))/100))</f>
        <v/>
      </c>
      <c r="V560" s="29" t="n"/>
      <c r="W560" s="29" t="n"/>
      <c r="X560" s="32" t="n"/>
    </row>
    <row r="561">
      <c r="A561" s="26" t="inlineStr">
        <is>
          <t>S47</t>
        </is>
      </c>
      <c r="B561" s="26" t="inlineStr">
        <is>
          <t>봉평</t>
        </is>
      </c>
      <c r="C561" s="26" t="inlineStr">
        <is>
          <t>S47-V</t>
        </is>
      </c>
      <c r="D561" s="47" t="n">
        <v>1</v>
      </c>
      <c r="E561" s="26" t="inlineStr">
        <is>
          <t>측정</t>
        </is>
      </c>
      <c r="F561" s="47" t="n">
        <v>60</v>
      </c>
      <c r="G561" s="41" t="n"/>
      <c r="H561" s="29" t="n"/>
      <c r="I561" s="43" t="n"/>
      <c r="J561" s="41" t="n"/>
      <c r="K561" s="41" t="n"/>
      <c r="L561" s="41" t="n"/>
      <c r="M561" s="31">
        <f>IF(COUNT(J561:L561)=0,"",MEDIAN(J561:L561))</f>
        <v/>
      </c>
      <c r="N561" s="26">
        <f>IF(COUNTIFS($C:$C,$C561,$D:$D,$D561,$E:$E,"기준(전)",$M:$M,"&gt;0")&lt;&gt;1,"기준(전) 유효 1개 아님",IF(COUNTIFS($C:$C,$C561,$D:$D,$D561,$E:$E,"기준(후)",$M:$M,"&gt;0")&lt;&gt;1,"기준(후) 유효 1개 아님",IF(NOT(AND(ISNUMBER(O561),ISNUMBER(Q561),ISNUMBER(I561))),"시각 결측",IF(Q561&lt;=O561,"기준 시각 역전",IF(OR(I561&lt;O561,I561&gt;Q561),"측정시각 구간 밖","OK")))))</f>
        <v/>
      </c>
      <c r="O561" s="48">
        <f>IF(COUNTIFS($C:$C,$C561,$D:$D,$D561,$E:$E,"기준(전)",$M:$M,"&gt;0")&lt;&gt;1,"",SUMIFS($I:$I,$C:$C,$C561,$D:$D,$D561,$E:$E,"기준(전)"))</f>
        <v/>
      </c>
      <c r="P561" s="31">
        <f>IF(COUNTIFS($C:$C,$C561,$D:$D,$D561,$E:$E,"기준(전)",$M:$M,"&gt;0")&lt;&gt;1,"",SUMIFS($M:$M,$C:$C,$C561,$D:$D,$D561,$E:$E,"기준(전)"))</f>
        <v/>
      </c>
      <c r="Q561" s="48">
        <f>IF(COUNTIFS($C:$C,$C561,$D:$D,$D561,$E:$E,"기준(후)",$M:$M,"&gt;0")&lt;&gt;1,"",SUMIFS($I:$I,$C:$C,$C561,$D:$D,$D561,$E:$E,"기준(후)"))</f>
        <v/>
      </c>
      <c r="R561" s="31">
        <f>IF(COUNTIFS($C:$C,$C561,$D:$D,$D561,$E:$E,"기준(후)",$M:$M,"&gt;0")&lt;&gt;1,"",SUMIFS($M:$M,$C:$C,$C561,$D:$D,$D561,$E:$E,"기준(후)"))</f>
        <v/>
      </c>
      <c r="S561" s="31">
        <f>IF(N561&lt;&gt;"OK","",P561+(R561-P561)*(I561-O561)/(Q561-O561))</f>
        <v/>
      </c>
      <c r="T561" s="31">
        <f>IF(OR(N561&lt;&gt;"OK",NOT(ISNUMBER(M561))),"",M561-S561)</f>
        <v/>
      </c>
      <c r="U561" s="49">
        <f>IF(OR($E560&lt;&gt;"측정",$C560&lt;&gt;$C561,$D560&lt;&gt;$D561,NOT(ISNUMBER(M561)),NOT(ISNUMBER(M560)),(IF(ISNUMBER(G561),G561,F561)-IF(ISNUMBER(G560),G560,F560))=0),"",(M561-M560)/((IF(ISNUMBER(G561),G561,F561)-IF(ISNUMBER(G560),G560,F560))/100))</f>
        <v/>
      </c>
      <c r="V561" s="29" t="n"/>
      <c r="W561" s="29" t="n"/>
      <c r="X561" s="32" t="n"/>
    </row>
    <row r="562">
      <c r="A562" s="26" t="inlineStr">
        <is>
          <t>S47</t>
        </is>
      </c>
      <c r="B562" s="26" t="inlineStr">
        <is>
          <t>봉평</t>
        </is>
      </c>
      <c r="C562" s="26" t="inlineStr">
        <is>
          <t>S47-V</t>
        </is>
      </c>
      <c r="D562" s="47" t="n">
        <v>1</v>
      </c>
      <c r="E562" s="26" t="inlineStr">
        <is>
          <t>측정</t>
        </is>
      </c>
      <c r="F562" s="47" t="n">
        <v>80</v>
      </c>
      <c r="G562" s="41" t="n"/>
      <c r="H562" s="29" t="n"/>
      <c r="I562" s="43" t="n"/>
      <c r="J562" s="41" t="n"/>
      <c r="K562" s="41" t="n"/>
      <c r="L562" s="41" t="n"/>
      <c r="M562" s="31">
        <f>IF(COUNT(J562:L562)=0,"",MEDIAN(J562:L562))</f>
        <v/>
      </c>
      <c r="N562" s="26">
        <f>IF(COUNTIFS($C:$C,$C562,$D:$D,$D562,$E:$E,"기준(전)",$M:$M,"&gt;0")&lt;&gt;1,"기준(전) 유효 1개 아님",IF(COUNTIFS($C:$C,$C562,$D:$D,$D562,$E:$E,"기준(후)",$M:$M,"&gt;0")&lt;&gt;1,"기준(후) 유효 1개 아님",IF(NOT(AND(ISNUMBER(O562),ISNUMBER(Q562),ISNUMBER(I562))),"시각 결측",IF(Q562&lt;=O562,"기준 시각 역전",IF(OR(I562&lt;O562,I562&gt;Q562),"측정시각 구간 밖","OK")))))</f>
        <v/>
      </c>
      <c r="O562" s="48">
        <f>IF(COUNTIFS($C:$C,$C562,$D:$D,$D562,$E:$E,"기준(전)",$M:$M,"&gt;0")&lt;&gt;1,"",SUMIFS($I:$I,$C:$C,$C562,$D:$D,$D562,$E:$E,"기준(전)"))</f>
        <v/>
      </c>
      <c r="P562" s="31">
        <f>IF(COUNTIFS($C:$C,$C562,$D:$D,$D562,$E:$E,"기준(전)",$M:$M,"&gt;0")&lt;&gt;1,"",SUMIFS($M:$M,$C:$C,$C562,$D:$D,$D562,$E:$E,"기준(전)"))</f>
        <v/>
      </c>
      <c r="Q562" s="48">
        <f>IF(COUNTIFS($C:$C,$C562,$D:$D,$D562,$E:$E,"기준(후)",$M:$M,"&gt;0")&lt;&gt;1,"",SUMIFS($I:$I,$C:$C,$C562,$D:$D,$D562,$E:$E,"기준(후)"))</f>
        <v/>
      </c>
      <c r="R562" s="31">
        <f>IF(COUNTIFS($C:$C,$C562,$D:$D,$D562,$E:$E,"기준(후)",$M:$M,"&gt;0")&lt;&gt;1,"",SUMIFS($M:$M,$C:$C,$C562,$D:$D,$D562,$E:$E,"기준(후)"))</f>
        <v/>
      </c>
      <c r="S562" s="31">
        <f>IF(N562&lt;&gt;"OK","",P562+(R562-P562)*(I562-O562)/(Q562-O562))</f>
        <v/>
      </c>
      <c r="T562" s="31">
        <f>IF(OR(N562&lt;&gt;"OK",NOT(ISNUMBER(M562))),"",M562-S562)</f>
        <v/>
      </c>
      <c r="U562" s="49">
        <f>IF(OR($E561&lt;&gt;"측정",$C561&lt;&gt;$C562,$D561&lt;&gt;$D562,NOT(ISNUMBER(M562)),NOT(ISNUMBER(M561)),(IF(ISNUMBER(G562),G562,F562)-IF(ISNUMBER(G561),G561,F561))=0),"",(M562-M561)/((IF(ISNUMBER(G562),G562,F562)-IF(ISNUMBER(G561),G561,F561))/100))</f>
        <v/>
      </c>
      <c r="V562" s="29" t="n"/>
      <c r="W562" s="29" t="n"/>
      <c r="X562" s="32" t="n"/>
    </row>
    <row r="563">
      <c r="A563" s="26" t="inlineStr">
        <is>
          <t>S47</t>
        </is>
      </c>
      <c r="B563" s="26" t="inlineStr">
        <is>
          <t>봉평</t>
        </is>
      </c>
      <c r="C563" s="26" t="inlineStr">
        <is>
          <t>S47-V</t>
        </is>
      </c>
      <c r="D563" s="47" t="n">
        <v>1</v>
      </c>
      <c r="E563" s="26" t="inlineStr">
        <is>
          <t>측정</t>
        </is>
      </c>
      <c r="F563" s="47" t="n">
        <v>100</v>
      </c>
      <c r="G563" s="41" t="n"/>
      <c r="H563" s="29" t="n"/>
      <c r="I563" s="43" t="n"/>
      <c r="J563" s="41" t="n"/>
      <c r="K563" s="41" t="n"/>
      <c r="L563" s="41" t="n"/>
      <c r="M563" s="31">
        <f>IF(COUNT(J563:L563)=0,"",MEDIAN(J563:L563))</f>
        <v/>
      </c>
      <c r="N563" s="26">
        <f>IF(COUNTIFS($C:$C,$C563,$D:$D,$D563,$E:$E,"기준(전)",$M:$M,"&gt;0")&lt;&gt;1,"기준(전) 유효 1개 아님",IF(COUNTIFS($C:$C,$C563,$D:$D,$D563,$E:$E,"기준(후)",$M:$M,"&gt;0")&lt;&gt;1,"기준(후) 유효 1개 아님",IF(NOT(AND(ISNUMBER(O563),ISNUMBER(Q563),ISNUMBER(I563))),"시각 결측",IF(Q563&lt;=O563,"기준 시각 역전",IF(OR(I563&lt;O563,I563&gt;Q563),"측정시각 구간 밖","OK")))))</f>
        <v/>
      </c>
      <c r="O563" s="48">
        <f>IF(COUNTIFS($C:$C,$C563,$D:$D,$D563,$E:$E,"기준(전)",$M:$M,"&gt;0")&lt;&gt;1,"",SUMIFS($I:$I,$C:$C,$C563,$D:$D,$D563,$E:$E,"기준(전)"))</f>
        <v/>
      </c>
      <c r="P563" s="31">
        <f>IF(COUNTIFS($C:$C,$C563,$D:$D,$D563,$E:$E,"기준(전)",$M:$M,"&gt;0")&lt;&gt;1,"",SUMIFS($M:$M,$C:$C,$C563,$D:$D,$D563,$E:$E,"기준(전)"))</f>
        <v/>
      </c>
      <c r="Q563" s="48">
        <f>IF(COUNTIFS($C:$C,$C563,$D:$D,$D563,$E:$E,"기준(후)",$M:$M,"&gt;0")&lt;&gt;1,"",SUMIFS($I:$I,$C:$C,$C563,$D:$D,$D563,$E:$E,"기준(후)"))</f>
        <v/>
      </c>
      <c r="R563" s="31">
        <f>IF(COUNTIFS($C:$C,$C563,$D:$D,$D563,$E:$E,"기준(후)",$M:$M,"&gt;0")&lt;&gt;1,"",SUMIFS($M:$M,$C:$C,$C563,$D:$D,$D563,$E:$E,"기준(후)"))</f>
        <v/>
      </c>
      <c r="S563" s="31">
        <f>IF(N563&lt;&gt;"OK","",P563+(R563-P563)*(I563-O563)/(Q563-O563))</f>
        <v/>
      </c>
      <c r="T563" s="31">
        <f>IF(OR(N563&lt;&gt;"OK",NOT(ISNUMBER(M563))),"",M563-S563)</f>
        <v/>
      </c>
      <c r="U563" s="49">
        <f>IF(OR($E562&lt;&gt;"측정",$C562&lt;&gt;$C563,$D562&lt;&gt;$D563,NOT(ISNUMBER(M563)),NOT(ISNUMBER(M562)),(IF(ISNUMBER(G563),G563,F563)-IF(ISNUMBER(G562),G562,F562))=0),"",(M563-M562)/((IF(ISNUMBER(G563),G563,F563)-IF(ISNUMBER(G562),G562,F562))/100))</f>
        <v/>
      </c>
      <c r="V563" s="29" t="n"/>
      <c r="W563" s="29" t="n"/>
      <c r="X563" s="32" t="n"/>
    </row>
    <row r="564">
      <c r="A564" s="26" t="inlineStr">
        <is>
          <t>S47</t>
        </is>
      </c>
      <c r="B564" s="26" t="inlineStr">
        <is>
          <t>봉평</t>
        </is>
      </c>
      <c r="C564" s="26" t="inlineStr">
        <is>
          <t>S47-V</t>
        </is>
      </c>
      <c r="D564" s="47" t="n">
        <v>1</v>
      </c>
      <c r="E564" s="26" t="inlineStr">
        <is>
          <t>측정</t>
        </is>
      </c>
      <c r="F564" s="47" t="n">
        <v>120</v>
      </c>
      <c r="G564" s="41" t="n"/>
      <c r="H564" s="29" t="n"/>
      <c r="I564" s="43" t="n"/>
      <c r="J564" s="41" t="n"/>
      <c r="K564" s="41" t="n"/>
      <c r="L564" s="41" t="n"/>
      <c r="M564" s="31">
        <f>IF(COUNT(J564:L564)=0,"",MEDIAN(J564:L564))</f>
        <v/>
      </c>
      <c r="N564" s="26">
        <f>IF(COUNTIFS($C:$C,$C564,$D:$D,$D564,$E:$E,"기준(전)",$M:$M,"&gt;0")&lt;&gt;1,"기준(전) 유효 1개 아님",IF(COUNTIFS($C:$C,$C564,$D:$D,$D564,$E:$E,"기준(후)",$M:$M,"&gt;0")&lt;&gt;1,"기준(후) 유효 1개 아님",IF(NOT(AND(ISNUMBER(O564),ISNUMBER(Q564),ISNUMBER(I564))),"시각 결측",IF(Q564&lt;=O564,"기준 시각 역전",IF(OR(I564&lt;O564,I564&gt;Q564),"측정시각 구간 밖","OK")))))</f>
        <v/>
      </c>
      <c r="O564" s="48">
        <f>IF(COUNTIFS($C:$C,$C564,$D:$D,$D564,$E:$E,"기준(전)",$M:$M,"&gt;0")&lt;&gt;1,"",SUMIFS($I:$I,$C:$C,$C564,$D:$D,$D564,$E:$E,"기준(전)"))</f>
        <v/>
      </c>
      <c r="P564" s="31">
        <f>IF(COUNTIFS($C:$C,$C564,$D:$D,$D564,$E:$E,"기준(전)",$M:$M,"&gt;0")&lt;&gt;1,"",SUMIFS($M:$M,$C:$C,$C564,$D:$D,$D564,$E:$E,"기준(전)"))</f>
        <v/>
      </c>
      <c r="Q564" s="48">
        <f>IF(COUNTIFS($C:$C,$C564,$D:$D,$D564,$E:$E,"기준(후)",$M:$M,"&gt;0")&lt;&gt;1,"",SUMIFS($I:$I,$C:$C,$C564,$D:$D,$D564,$E:$E,"기준(후)"))</f>
        <v/>
      </c>
      <c r="R564" s="31">
        <f>IF(COUNTIFS($C:$C,$C564,$D:$D,$D564,$E:$E,"기준(후)",$M:$M,"&gt;0")&lt;&gt;1,"",SUMIFS($M:$M,$C:$C,$C564,$D:$D,$D564,$E:$E,"기준(후)"))</f>
        <v/>
      </c>
      <c r="S564" s="31">
        <f>IF(N564&lt;&gt;"OK","",P564+(R564-P564)*(I564-O564)/(Q564-O564))</f>
        <v/>
      </c>
      <c r="T564" s="31">
        <f>IF(OR(N564&lt;&gt;"OK",NOT(ISNUMBER(M564))),"",M564-S564)</f>
        <v/>
      </c>
      <c r="U564" s="49">
        <f>IF(OR($E563&lt;&gt;"측정",$C563&lt;&gt;$C564,$D563&lt;&gt;$D564,NOT(ISNUMBER(M564)),NOT(ISNUMBER(M563)),(IF(ISNUMBER(G564),G564,F564)-IF(ISNUMBER(G563),G563,F563))=0),"",(M564-M563)/((IF(ISNUMBER(G564),G564,F564)-IF(ISNUMBER(G563),G563,F563))/100))</f>
        <v/>
      </c>
      <c r="V564" s="29" t="n"/>
      <c r="W564" s="29" t="n"/>
      <c r="X564" s="32" t="n"/>
    </row>
    <row r="565">
      <c r="A565" s="26" t="inlineStr">
        <is>
          <t>S47</t>
        </is>
      </c>
      <c r="B565" s="26" t="inlineStr">
        <is>
          <t>봉평</t>
        </is>
      </c>
      <c r="C565" s="26" t="inlineStr">
        <is>
          <t>S47-V</t>
        </is>
      </c>
      <c r="D565" s="47" t="n">
        <v>1</v>
      </c>
      <c r="E565" s="26" t="inlineStr">
        <is>
          <t>측정</t>
        </is>
      </c>
      <c r="F565" s="47" t="n">
        <v>140</v>
      </c>
      <c r="G565" s="41" t="n"/>
      <c r="H565" s="29" t="n"/>
      <c r="I565" s="43" t="n"/>
      <c r="J565" s="41" t="n"/>
      <c r="K565" s="41" t="n"/>
      <c r="L565" s="41" t="n"/>
      <c r="M565" s="31">
        <f>IF(COUNT(J565:L565)=0,"",MEDIAN(J565:L565))</f>
        <v/>
      </c>
      <c r="N565" s="26">
        <f>IF(COUNTIFS($C:$C,$C565,$D:$D,$D565,$E:$E,"기준(전)",$M:$M,"&gt;0")&lt;&gt;1,"기준(전) 유효 1개 아님",IF(COUNTIFS($C:$C,$C565,$D:$D,$D565,$E:$E,"기준(후)",$M:$M,"&gt;0")&lt;&gt;1,"기준(후) 유효 1개 아님",IF(NOT(AND(ISNUMBER(O565),ISNUMBER(Q565),ISNUMBER(I565))),"시각 결측",IF(Q565&lt;=O565,"기준 시각 역전",IF(OR(I565&lt;O565,I565&gt;Q565),"측정시각 구간 밖","OK")))))</f>
        <v/>
      </c>
      <c r="O565" s="48">
        <f>IF(COUNTIFS($C:$C,$C565,$D:$D,$D565,$E:$E,"기준(전)",$M:$M,"&gt;0")&lt;&gt;1,"",SUMIFS($I:$I,$C:$C,$C565,$D:$D,$D565,$E:$E,"기준(전)"))</f>
        <v/>
      </c>
      <c r="P565" s="31">
        <f>IF(COUNTIFS($C:$C,$C565,$D:$D,$D565,$E:$E,"기준(전)",$M:$M,"&gt;0")&lt;&gt;1,"",SUMIFS($M:$M,$C:$C,$C565,$D:$D,$D565,$E:$E,"기준(전)"))</f>
        <v/>
      </c>
      <c r="Q565" s="48">
        <f>IF(COUNTIFS($C:$C,$C565,$D:$D,$D565,$E:$E,"기준(후)",$M:$M,"&gt;0")&lt;&gt;1,"",SUMIFS($I:$I,$C:$C,$C565,$D:$D,$D565,$E:$E,"기준(후)"))</f>
        <v/>
      </c>
      <c r="R565" s="31">
        <f>IF(COUNTIFS($C:$C,$C565,$D:$D,$D565,$E:$E,"기준(후)",$M:$M,"&gt;0")&lt;&gt;1,"",SUMIFS($M:$M,$C:$C,$C565,$D:$D,$D565,$E:$E,"기준(후)"))</f>
        <v/>
      </c>
      <c r="S565" s="31">
        <f>IF(N565&lt;&gt;"OK","",P565+(R565-P565)*(I565-O565)/(Q565-O565))</f>
        <v/>
      </c>
      <c r="T565" s="31">
        <f>IF(OR(N565&lt;&gt;"OK",NOT(ISNUMBER(M565))),"",M565-S565)</f>
        <v/>
      </c>
      <c r="U565" s="49">
        <f>IF(OR($E564&lt;&gt;"측정",$C564&lt;&gt;$C565,$D564&lt;&gt;$D565,NOT(ISNUMBER(M565)),NOT(ISNUMBER(M564)),(IF(ISNUMBER(G565),G565,F565)-IF(ISNUMBER(G564),G564,F564))=0),"",(M565-M564)/((IF(ISNUMBER(G565),G565,F565)-IF(ISNUMBER(G564),G564,F564))/100))</f>
        <v/>
      </c>
      <c r="V565" s="29" t="n"/>
      <c r="W565" s="29" t="n"/>
      <c r="X565" s="32" t="n"/>
    </row>
    <row r="566">
      <c r="A566" s="26" t="inlineStr">
        <is>
          <t>S47</t>
        </is>
      </c>
      <c r="B566" s="26" t="inlineStr">
        <is>
          <t>봉평</t>
        </is>
      </c>
      <c r="C566" s="26" t="inlineStr">
        <is>
          <t>S47-V</t>
        </is>
      </c>
      <c r="D566" s="47" t="n">
        <v>1</v>
      </c>
      <c r="E566" s="26" t="inlineStr">
        <is>
          <t>측정</t>
        </is>
      </c>
      <c r="F566" s="47" t="n">
        <v>160</v>
      </c>
      <c r="G566" s="41" t="n"/>
      <c r="H566" s="29" t="n"/>
      <c r="I566" s="43" t="n"/>
      <c r="J566" s="41" t="n"/>
      <c r="K566" s="41" t="n"/>
      <c r="L566" s="41" t="n"/>
      <c r="M566" s="31">
        <f>IF(COUNT(J566:L566)=0,"",MEDIAN(J566:L566))</f>
        <v/>
      </c>
      <c r="N566" s="26">
        <f>IF(COUNTIFS($C:$C,$C566,$D:$D,$D566,$E:$E,"기준(전)",$M:$M,"&gt;0")&lt;&gt;1,"기준(전) 유효 1개 아님",IF(COUNTIFS($C:$C,$C566,$D:$D,$D566,$E:$E,"기준(후)",$M:$M,"&gt;0")&lt;&gt;1,"기준(후) 유효 1개 아님",IF(NOT(AND(ISNUMBER(O566),ISNUMBER(Q566),ISNUMBER(I566))),"시각 결측",IF(Q566&lt;=O566,"기준 시각 역전",IF(OR(I566&lt;O566,I566&gt;Q566),"측정시각 구간 밖","OK")))))</f>
        <v/>
      </c>
      <c r="O566" s="48">
        <f>IF(COUNTIFS($C:$C,$C566,$D:$D,$D566,$E:$E,"기준(전)",$M:$M,"&gt;0")&lt;&gt;1,"",SUMIFS($I:$I,$C:$C,$C566,$D:$D,$D566,$E:$E,"기준(전)"))</f>
        <v/>
      </c>
      <c r="P566" s="31">
        <f>IF(COUNTIFS($C:$C,$C566,$D:$D,$D566,$E:$E,"기준(전)",$M:$M,"&gt;0")&lt;&gt;1,"",SUMIFS($M:$M,$C:$C,$C566,$D:$D,$D566,$E:$E,"기준(전)"))</f>
        <v/>
      </c>
      <c r="Q566" s="48">
        <f>IF(COUNTIFS($C:$C,$C566,$D:$D,$D566,$E:$E,"기준(후)",$M:$M,"&gt;0")&lt;&gt;1,"",SUMIFS($I:$I,$C:$C,$C566,$D:$D,$D566,$E:$E,"기준(후)"))</f>
        <v/>
      </c>
      <c r="R566" s="31">
        <f>IF(COUNTIFS($C:$C,$C566,$D:$D,$D566,$E:$E,"기준(후)",$M:$M,"&gt;0")&lt;&gt;1,"",SUMIFS($M:$M,$C:$C,$C566,$D:$D,$D566,$E:$E,"기준(후)"))</f>
        <v/>
      </c>
      <c r="S566" s="31">
        <f>IF(N566&lt;&gt;"OK","",P566+(R566-P566)*(I566-O566)/(Q566-O566))</f>
        <v/>
      </c>
      <c r="T566" s="31">
        <f>IF(OR(N566&lt;&gt;"OK",NOT(ISNUMBER(M566))),"",M566-S566)</f>
        <v/>
      </c>
      <c r="U566" s="49">
        <f>IF(OR($E565&lt;&gt;"측정",$C565&lt;&gt;$C566,$D565&lt;&gt;$D566,NOT(ISNUMBER(M566)),NOT(ISNUMBER(M565)),(IF(ISNUMBER(G566),G566,F566)-IF(ISNUMBER(G565),G565,F565))=0),"",(M566-M565)/((IF(ISNUMBER(G566),G566,F566)-IF(ISNUMBER(G565),G565,F565))/100))</f>
        <v/>
      </c>
      <c r="V566" s="29" t="n"/>
      <c r="W566" s="29" t="n"/>
      <c r="X566" s="32" t="n"/>
    </row>
    <row r="567">
      <c r="A567" s="26" t="inlineStr">
        <is>
          <t>S47</t>
        </is>
      </c>
      <c r="B567" s="26" t="inlineStr">
        <is>
          <t>봉평</t>
        </is>
      </c>
      <c r="C567" s="26" t="inlineStr">
        <is>
          <t>S47-V</t>
        </is>
      </c>
      <c r="D567" s="47" t="n">
        <v>1</v>
      </c>
      <c r="E567" s="26" t="inlineStr">
        <is>
          <t>측정</t>
        </is>
      </c>
      <c r="F567" s="47" t="n">
        <v>180</v>
      </c>
      <c r="G567" s="41" t="n"/>
      <c r="H567" s="29" t="n"/>
      <c r="I567" s="43" t="n"/>
      <c r="J567" s="41" t="n"/>
      <c r="K567" s="41" t="n"/>
      <c r="L567" s="41" t="n"/>
      <c r="M567" s="31">
        <f>IF(COUNT(J567:L567)=0,"",MEDIAN(J567:L567))</f>
        <v/>
      </c>
      <c r="N567" s="26">
        <f>IF(COUNTIFS($C:$C,$C567,$D:$D,$D567,$E:$E,"기준(전)",$M:$M,"&gt;0")&lt;&gt;1,"기준(전) 유효 1개 아님",IF(COUNTIFS($C:$C,$C567,$D:$D,$D567,$E:$E,"기준(후)",$M:$M,"&gt;0")&lt;&gt;1,"기준(후) 유효 1개 아님",IF(NOT(AND(ISNUMBER(O567),ISNUMBER(Q567),ISNUMBER(I567))),"시각 결측",IF(Q567&lt;=O567,"기준 시각 역전",IF(OR(I567&lt;O567,I567&gt;Q567),"측정시각 구간 밖","OK")))))</f>
        <v/>
      </c>
      <c r="O567" s="48">
        <f>IF(COUNTIFS($C:$C,$C567,$D:$D,$D567,$E:$E,"기준(전)",$M:$M,"&gt;0")&lt;&gt;1,"",SUMIFS($I:$I,$C:$C,$C567,$D:$D,$D567,$E:$E,"기준(전)"))</f>
        <v/>
      </c>
      <c r="P567" s="31">
        <f>IF(COUNTIFS($C:$C,$C567,$D:$D,$D567,$E:$E,"기준(전)",$M:$M,"&gt;0")&lt;&gt;1,"",SUMIFS($M:$M,$C:$C,$C567,$D:$D,$D567,$E:$E,"기준(전)"))</f>
        <v/>
      </c>
      <c r="Q567" s="48">
        <f>IF(COUNTIFS($C:$C,$C567,$D:$D,$D567,$E:$E,"기준(후)",$M:$M,"&gt;0")&lt;&gt;1,"",SUMIFS($I:$I,$C:$C,$C567,$D:$D,$D567,$E:$E,"기준(후)"))</f>
        <v/>
      </c>
      <c r="R567" s="31">
        <f>IF(COUNTIFS($C:$C,$C567,$D:$D,$D567,$E:$E,"기준(후)",$M:$M,"&gt;0")&lt;&gt;1,"",SUMIFS($M:$M,$C:$C,$C567,$D:$D,$D567,$E:$E,"기준(후)"))</f>
        <v/>
      </c>
      <c r="S567" s="31">
        <f>IF(N567&lt;&gt;"OK","",P567+(R567-P567)*(I567-O567)/(Q567-O567))</f>
        <v/>
      </c>
      <c r="T567" s="31">
        <f>IF(OR(N567&lt;&gt;"OK",NOT(ISNUMBER(M567))),"",M567-S567)</f>
        <v/>
      </c>
      <c r="U567" s="49">
        <f>IF(OR($E566&lt;&gt;"측정",$C566&lt;&gt;$C567,$D566&lt;&gt;$D567,NOT(ISNUMBER(M567)),NOT(ISNUMBER(M566)),(IF(ISNUMBER(G567),G567,F567)-IF(ISNUMBER(G566),G566,F566))=0),"",(M567-M566)/((IF(ISNUMBER(G567),G567,F567)-IF(ISNUMBER(G566),G566,F566))/100))</f>
        <v/>
      </c>
      <c r="V567" s="29" t="n"/>
      <c r="W567" s="29" t="n"/>
      <c r="X567" s="32" t="n"/>
    </row>
    <row r="568">
      <c r="A568" s="26" t="inlineStr">
        <is>
          <t>S47</t>
        </is>
      </c>
      <c r="B568" s="26" t="inlineStr">
        <is>
          <t>봉평</t>
        </is>
      </c>
      <c r="C568" s="26" t="inlineStr">
        <is>
          <t>S47-V</t>
        </is>
      </c>
      <c r="D568" s="47" t="n">
        <v>1</v>
      </c>
      <c r="E568" s="26" t="inlineStr">
        <is>
          <t>측정</t>
        </is>
      </c>
      <c r="F568" s="47" t="n">
        <v>200</v>
      </c>
      <c r="G568" s="41" t="n"/>
      <c r="H568" s="29" t="n"/>
      <c r="I568" s="43" t="n"/>
      <c r="J568" s="41" t="n"/>
      <c r="K568" s="41" t="n"/>
      <c r="L568" s="41" t="n"/>
      <c r="M568" s="31">
        <f>IF(COUNT(J568:L568)=0,"",MEDIAN(J568:L568))</f>
        <v/>
      </c>
      <c r="N568" s="26">
        <f>IF(COUNTIFS($C:$C,$C568,$D:$D,$D568,$E:$E,"기준(전)",$M:$M,"&gt;0")&lt;&gt;1,"기준(전) 유효 1개 아님",IF(COUNTIFS($C:$C,$C568,$D:$D,$D568,$E:$E,"기준(후)",$M:$M,"&gt;0")&lt;&gt;1,"기준(후) 유효 1개 아님",IF(NOT(AND(ISNUMBER(O568),ISNUMBER(Q568),ISNUMBER(I568))),"시각 결측",IF(Q568&lt;=O568,"기준 시각 역전",IF(OR(I568&lt;O568,I568&gt;Q568),"측정시각 구간 밖","OK")))))</f>
        <v/>
      </c>
      <c r="O568" s="48">
        <f>IF(COUNTIFS($C:$C,$C568,$D:$D,$D568,$E:$E,"기준(전)",$M:$M,"&gt;0")&lt;&gt;1,"",SUMIFS($I:$I,$C:$C,$C568,$D:$D,$D568,$E:$E,"기준(전)"))</f>
        <v/>
      </c>
      <c r="P568" s="31">
        <f>IF(COUNTIFS($C:$C,$C568,$D:$D,$D568,$E:$E,"기준(전)",$M:$M,"&gt;0")&lt;&gt;1,"",SUMIFS($M:$M,$C:$C,$C568,$D:$D,$D568,$E:$E,"기준(전)"))</f>
        <v/>
      </c>
      <c r="Q568" s="48">
        <f>IF(COUNTIFS($C:$C,$C568,$D:$D,$D568,$E:$E,"기준(후)",$M:$M,"&gt;0")&lt;&gt;1,"",SUMIFS($I:$I,$C:$C,$C568,$D:$D,$D568,$E:$E,"기준(후)"))</f>
        <v/>
      </c>
      <c r="R568" s="31">
        <f>IF(COUNTIFS($C:$C,$C568,$D:$D,$D568,$E:$E,"기준(후)",$M:$M,"&gt;0")&lt;&gt;1,"",SUMIFS($M:$M,$C:$C,$C568,$D:$D,$D568,$E:$E,"기준(후)"))</f>
        <v/>
      </c>
      <c r="S568" s="31">
        <f>IF(N568&lt;&gt;"OK","",P568+(R568-P568)*(I568-O568)/(Q568-O568))</f>
        <v/>
      </c>
      <c r="T568" s="31">
        <f>IF(OR(N568&lt;&gt;"OK",NOT(ISNUMBER(M568))),"",M568-S568)</f>
        <v/>
      </c>
      <c r="U568" s="49">
        <f>IF(OR($E567&lt;&gt;"측정",$C567&lt;&gt;$C568,$D567&lt;&gt;$D568,NOT(ISNUMBER(M568)),NOT(ISNUMBER(M567)),(IF(ISNUMBER(G568),G568,F568)-IF(ISNUMBER(G567),G567,F567))=0),"",(M568-M567)/((IF(ISNUMBER(G568),G568,F568)-IF(ISNUMBER(G567),G567,F567))/100))</f>
        <v/>
      </c>
      <c r="V568" s="29" t="n"/>
      <c r="W568" s="29" t="n"/>
      <c r="X568" s="32" t="n"/>
    </row>
    <row r="569">
      <c r="A569" s="44" t="inlineStr">
        <is>
          <t>S47</t>
        </is>
      </c>
      <c r="B569" s="44" t="inlineStr">
        <is>
          <t>봉평</t>
        </is>
      </c>
      <c r="C569" s="44" t="inlineStr">
        <is>
          <t>S47-V</t>
        </is>
      </c>
      <c r="D569" s="45" t="n">
        <v>1</v>
      </c>
      <c r="E569" s="44" t="inlineStr">
        <is>
          <t>기준(후)</t>
        </is>
      </c>
      <c r="F569" s="45" t="n"/>
      <c r="G569" s="41" t="n"/>
      <c r="H569" s="29" t="n"/>
      <c r="I569" s="43" t="n"/>
      <c r="J569" s="41" t="n"/>
      <c r="K569" s="41" t="n"/>
      <c r="L569" s="41" t="n"/>
      <c r="M569" s="31">
        <f>IF(COUNT(J569:L569)=0,"",MEDIAN(J569:L569))</f>
        <v/>
      </c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29" t="n"/>
      <c r="W569" s="29" t="n"/>
      <c r="X569" s="32" t="n"/>
    </row>
    <row r="570">
      <c r="A570" s="44" t="inlineStr">
        <is>
          <t>S48</t>
        </is>
      </c>
      <c r="B570" s="44" t="inlineStr">
        <is>
          <t>삼척</t>
        </is>
      </c>
      <c r="C570" s="44" t="inlineStr">
        <is>
          <t>S48-V</t>
        </is>
      </c>
      <c r="D570" s="45" t="n">
        <v>1</v>
      </c>
      <c r="E570" s="44" t="inlineStr">
        <is>
          <t>기준(전)</t>
        </is>
      </c>
      <c r="F570" s="45" t="n"/>
      <c r="G570" s="41" t="n"/>
      <c r="H570" s="29" t="n"/>
      <c r="I570" s="43" t="n"/>
      <c r="J570" s="41" t="n"/>
      <c r="K570" s="41" t="n"/>
      <c r="L570" s="41" t="n"/>
      <c r="M570" s="31">
        <f>IF(COUNT(J570:L570)=0,"",MEDIAN(J570:L570))</f>
        <v/>
      </c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29" t="n"/>
      <c r="W570" s="29" t="n"/>
      <c r="X570" s="32" t="n"/>
    </row>
    <row r="571">
      <c r="A571" s="26" t="inlineStr">
        <is>
          <t>S48</t>
        </is>
      </c>
      <c r="B571" s="26" t="inlineStr">
        <is>
          <t>삼척</t>
        </is>
      </c>
      <c r="C571" s="26" t="inlineStr">
        <is>
          <t>S48-V</t>
        </is>
      </c>
      <c r="D571" s="47" t="n">
        <v>1</v>
      </c>
      <c r="E571" s="26" t="inlineStr">
        <is>
          <t>측정</t>
        </is>
      </c>
      <c r="F571" s="47" t="n">
        <v>20</v>
      </c>
      <c r="G571" s="41" t="n"/>
      <c r="H571" s="29" t="n"/>
      <c r="I571" s="43" t="n"/>
      <c r="J571" s="41" t="n"/>
      <c r="K571" s="41" t="n"/>
      <c r="L571" s="41" t="n"/>
      <c r="M571" s="31">
        <f>IF(COUNT(J571:L571)=0,"",MEDIAN(J571:L571))</f>
        <v/>
      </c>
      <c r="N571" s="26">
        <f>IF(COUNTIFS($C:$C,$C571,$D:$D,$D571,$E:$E,"기준(전)",$M:$M,"&gt;0")&lt;&gt;1,"기준(전) 유효 1개 아님",IF(COUNTIFS($C:$C,$C571,$D:$D,$D571,$E:$E,"기준(후)",$M:$M,"&gt;0")&lt;&gt;1,"기준(후) 유효 1개 아님",IF(NOT(AND(ISNUMBER(O571),ISNUMBER(Q571),ISNUMBER(I571))),"시각 결측",IF(Q571&lt;=O571,"기준 시각 역전",IF(OR(I571&lt;O571,I571&gt;Q571),"측정시각 구간 밖","OK")))))</f>
        <v/>
      </c>
      <c r="O571" s="48">
        <f>IF(COUNTIFS($C:$C,$C571,$D:$D,$D571,$E:$E,"기준(전)",$M:$M,"&gt;0")&lt;&gt;1,"",SUMIFS($I:$I,$C:$C,$C571,$D:$D,$D571,$E:$E,"기준(전)"))</f>
        <v/>
      </c>
      <c r="P571" s="31">
        <f>IF(COUNTIFS($C:$C,$C571,$D:$D,$D571,$E:$E,"기준(전)",$M:$M,"&gt;0")&lt;&gt;1,"",SUMIFS($M:$M,$C:$C,$C571,$D:$D,$D571,$E:$E,"기준(전)"))</f>
        <v/>
      </c>
      <c r="Q571" s="48">
        <f>IF(COUNTIFS($C:$C,$C571,$D:$D,$D571,$E:$E,"기준(후)",$M:$M,"&gt;0")&lt;&gt;1,"",SUMIFS($I:$I,$C:$C,$C571,$D:$D,$D571,$E:$E,"기준(후)"))</f>
        <v/>
      </c>
      <c r="R571" s="31">
        <f>IF(COUNTIFS($C:$C,$C571,$D:$D,$D571,$E:$E,"기준(후)",$M:$M,"&gt;0")&lt;&gt;1,"",SUMIFS($M:$M,$C:$C,$C571,$D:$D,$D571,$E:$E,"기준(후)"))</f>
        <v/>
      </c>
      <c r="S571" s="31">
        <f>IF(N571&lt;&gt;"OK","",P571+(R571-P571)*(I571-O571)/(Q571-O571))</f>
        <v/>
      </c>
      <c r="T571" s="31">
        <f>IF(OR(N571&lt;&gt;"OK",NOT(ISNUMBER(M571))),"",M571-S571)</f>
        <v/>
      </c>
      <c r="U571" s="49">
        <f>IF(OR($E570&lt;&gt;"측정",$C570&lt;&gt;$C571,$D570&lt;&gt;$D571,NOT(ISNUMBER(M571)),NOT(ISNUMBER(M570)),(IF(ISNUMBER(G571),G571,F571)-IF(ISNUMBER(G570),G570,F570))=0),"",(M571-M570)/((IF(ISNUMBER(G571),G571,F571)-IF(ISNUMBER(G570),G570,F570))/100))</f>
        <v/>
      </c>
      <c r="V571" s="29" t="n"/>
      <c r="W571" s="29" t="n"/>
      <c r="X571" s="32" t="n"/>
    </row>
    <row r="572">
      <c r="A572" s="26" t="inlineStr">
        <is>
          <t>S48</t>
        </is>
      </c>
      <c r="B572" s="26" t="inlineStr">
        <is>
          <t>삼척</t>
        </is>
      </c>
      <c r="C572" s="26" t="inlineStr">
        <is>
          <t>S48-V</t>
        </is>
      </c>
      <c r="D572" s="47" t="n">
        <v>1</v>
      </c>
      <c r="E572" s="26" t="inlineStr">
        <is>
          <t>측정</t>
        </is>
      </c>
      <c r="F572" s="47" t="n">
        <v>40</v>
      </c>
      <c r="G572" s="41" t="n"/>
      <c r="H572" s="29" t="n"/>
      <c r="I572" s="43" t="n"/>
      <c r="J572" s="41" t="n"/>
      <c r="K572" s="41" t="n"/>
      <c r="L572" s="41" t="n"/>
      <c r="M572" s="31">
        <f>IF(COUNT(J572:L572)=0,"",MEDIAN(J572:L572))</f>
        <v/>
      </c>
      <c r="N572" s="26">
        <f>IF(COUNTIFS($C:$C,$C572,$D:$D,$D572,$E:$E,"기준(전)",$M:$M,"&gt;0")&lt;&gt;1,"기준(전) 유효 1개 아님",IF(COUNTIFS($C:$C,$C572,$D:$D,$D572,$E:$E,"기준(후)",$M:$M,"&gt;0")&lt;&gt;1,"기준(후) 유효 1개 아님",IF(NOT(AND(ISNUMBER(O572),ISNUMBER(Q572),ISNUMBER(I572))),"시각 결측",IF(Q572&lt;=O572,"기준 시각 역전",IF(OR(I572&lt;O572,I572&gt;Q572),"측정시각 구간 밖","OK")))))</f>
        <v/>
      </c>
      <c r="O572" s="48">
        <f>IF(COUNTIFS($C:$C,$C572,$D:$D,$D572,$E:$E,"기준(전)",$M:$M,"&gt;0")&lt;&gt;1,"",SUMIFS($I:$I,$C:$C,$C572,$D:$D,$D572,$E:$E,"기준(전)"))</f>
        <v/>
      </c>
      <c r="P572" s="31">
        <f>IF(COUNTIFS($C:$C,$C572,$D:$D,$D572,$E:$E,"기준(전)",$M:$M,"&gt;0")&lt;&gt;1,"",SUMIFS($M:$M,$C:$C,$C572,$D:$D,$D572,$E:$E,"기준(전)"))</f>
        <v/>
      </c>
      <c r="Q572" s="48">
        <f>IF(COUNTIFS($C:$C,$C572,$D:$D,$D572,$E:$E,"기준(후)",$M:$M,"&gt;0")&lt;&gt;1,"",SUMIFS($I:$I,$C:$C,$C572,$D:$D,$D572,$E:$E,"기준(후)"))</f>
        <v/>
      </c>
      <c r="R572" s="31">
        <f>IF(COUNTIFS($C:$C,$C572,$D:$D,$D572,$E:$E,"기준(후)",$M:$M,"&gt;0")&lt;&gt;1,"",SUMIFS($M:$M,$C:$C,$C572,$D:$D,$D572,$E:$E,"기준(후)"))</f>
        <v/>
      </c>
      <c r="S572" s="31">
        <f>IF(N572&lt;&gt;"OK","",P572+(R572-P572)*(I572-O572)/(Q572-O572))</f>
        <v/>
      </c>
      <c r="T572" s="31">
        <f>IF(OR(N572&lt;&gt;"OK",NOT(ISNUMBER(M572))),"",M572-S572)</f>
        <v/>
      </c>
      <c r="U572" s="49">
        <f>IF(OR($E571&lt;&gt;"측정",$C571&lt;&gt;$C572,$D571&lt;&gt;$D572,NOT(ISNUMBER(M572)),NOT(ISNUMBER(M571)),(IF(ISNUMBER(G572),G572,F572)-IF(ISNUMBER(G571),G571,F571))=0),"",(M572-M571)/((IF(ISNUMBER(G572),G572,F572)-IF(ISNUMBER(G571),G571,F571))/100))</f>
        <v/>
      </c>
      <c r="V572" s="29" t="n"/>
      <c r="W572" s="29" t="n"/>
      <c r="X572" s="32" t="n"/>
    </row>
    <row r="573">
      <c r="A573" s="26" t="inlineStr">
        <is>
          <t>S48</t>
        </is>
      </c>
      <c r="B573" s="26" t="inlineStr">
        <is>
          <t>삼척</t>
        </is>
      </c>
      <c r="C573" s="26" t="inlineStr">
        <is>
          <t>S48-V</t>
        </is>
      </c>
      <c r="D573" s="47" t="n">
        <v>1</v>
      </c>
      <c r="E573" s="26" t="inlineStr">
        <is>
          <t>측정</t>
        </is>
      </c>
      <c r="F573" s="47" t="n">
        <v>60</v>
      </c>
      <c r="G573" s="41" t="n"/>
      <c r="H573" s="29" t="n"/>
      <c r="I573" s="43" t="n"/>
      <c r="J573" s="41" t="n"/>
      <c r="K573" s="41" t="n"/>
      <c r="L573" s="41" t="n"/>
      <c r="M573" s="31">
        <f>IF(COUNT(J573:L573)=0,"",MEDIAN(J573:L573))</f>
        <v/>
      </c>
      <c r="N573" s="26">
        <f>IF(COUNTIFS($C:$C,$C573,$D:$D,$D573,$E:$E,"기준(전)",$M:$M,"&gt;0")&lt;&gt;1,"기준(전) 유효 1개 아님",IF(COUNTIFS($C:$C,$C573,$D:$D,$D573,$E:$E,"기준(후)",$M:$M,"&gt;0")&lt;&gt;1,"기준(후) 유효 1개 아님",IF(NOT(AND(ISNUMBER(O573),ISNUMBER(Q573),ISNUMBER(I573))),"시각 결측",IF(Q573&lt;=O573,"기준 시각 역전",IF(OR(I573&lt;O573,I573&gt;Q573),"측정시각 구간 밖","OK")))))</f>
        <v/>
      </c>
      <c r="O573" s="48">
        <f>IF(COUNTIFS($C:$C,$C573,$D:$D,$D573,$E:$E,"기준(전)",$M:$M,"&gt;0")&lt;&gt;1,"",SUMIFS($I:$I,$C:$C,$C573,$D:$D,$D573,$E:$E,"기준(전)"))</f>
        <v/>
      </c>
      <c r="P573" s="31">
        <f>IF(COUNTIFS($C:$C,$C573,$D:$D,$D573,$E:$E,"기준(전)",$M:$M,"&gt;0")&lt;&gt;1,"",SUMIFS($M:$M,$C:$C,$C573,$D:$D,$D573,$E:$E,"기준(전)"))</f>
        <v/>
      </c>
      <c r="Q573" s="48">
        <f>IF(COUNTIFS($C:$C,$C573,$D:$D,$D573,$E:$E,"기준(후)",$M:$M,"&gt;0")&lt;&gt;1,"",SUMIFS($I:$I,$C:$C,$C573,$D:$D,$D573,$E:$E,"기준(후)"))</f>
        <v/>
      </c>
      <c r="R573" s="31">
        <f>IF(COUNTIFS($C:$C,$C573,$D:$D,$D573,$E:$E,"기준(후)",$M:$M,"&gt;0")&lt;&gt;1,"",SUMIFS($M:$M,$C:$C,$C573,$D:$D,$D573,$E:$E,"기준(후)"))</f>
        <v/>
      </c>
      <c r="S573" s="31">
        <f>IF(N573&lt;&gt;"OK","",P573+(R573-P573)*(I573-O573)/(Q573-O573))</f>
        <v/>
      </c>
      <c r="T573" s="31">
        <f>IF(OR(N573&lt;&gt;"OK",NOT(ISNUMBER(M573))),"",M573-S573)</f>
        <v/>
      </c>
      <c r="U573" s="49">
        <f>IF(OR($E572&lt;&gt;"측정",$C572&lt;&gt;$C573,$D572&lt;&gt;$D573,NOT(ISNUMBER(M573)),NOT(ISNUMBER(M572)),(IF(ISNUMBER(G573),G573,F573)-IF(ISNUMBER(G572),G572,F572))=0),"",(M573-M572)/((IF(ISNUMBER(G573),G573,F573)-IF(ISNUMBER(G572),G572,F572))/100))</f>
        <v/>
      </c>
      <c r="V573" s="29" t="n"/>
      <c r="W573" s="29" t="n"/>
      <c r="X573" s="32" t="n"/>
    </row>
    <row r="574">
      <c r="A574" s="26" t="inlineStr">
        <is>
          <t>S48</t>
        </is>
      </c>
      <c r="B574" s="26" t="inlineStr">
        <is>
          <t>삼척</t>
        </is>
      </c>
      <c r="C574" s="26" t="inlineStr">
        <is>
          <t>S48-V</t>
        </is>
      </c>
      <c r="D574" s="47" t="n">
        <v>1</v>
      </c>
      <c r="E574" s="26" t="inlineStr">
        <is>
          <t>측정</t>
        </is>
      </c>
      <c r="F574" s="47" t="n">
        <v>80</v>
      </c>
      <c r="G574" s="41" t="n"/>
      <c r="H574" s="29" t="n"/>
      <c r="I574" s="43" t="n"/>
      <c r="J574" s="41" t="n"/>
      <c r="K574" s="41" t="n"/>
      <c r="L574" s="41" t="n"/>
      <c r="M574" s="31">
        <f>IF(COUNT(J574:L574)=0,"",MEDIAN(J574:L574))</f>
        <v/>
      </c>
      <c r="N574" s="26">
        <f>IF(COUNTIFS($C:$C,$C574,$D:$D,$D574,$E:$E,"기준(전)",$M:$M,"&gt;0")&lt;&gt;1,"기준(전) 유효 1개 아님",IF(COUNTIFS($C:$C,$C574,$D:$D,$D574,$E:$E,"기준(후)",$M:$M,"&gt;0")&lt;&gt;1,"기준(후) 유효 1개 아님",IF(NOT(AND(ISNUMBER(O574),ISNUMBER(Q574),ISNUMBER(I574))),"시각 결측",IF(Q574&lt;=O574,"기준 시각 역전",IF(OR(I574&lt;O574,I574&gt;Q574),"측정시각 구간 밖","OK")))))</f>
        <v/>
      </c>
      <c r="O574" s="48">
        <f>IF(COUNTIFS($C:$C,$C574,$D:$D,$D574,$E:$E,"기준(전)",$M:$M,"&gt;0")&lt;&gt;1,"",SUMIFS($I:$I,$C:$C,$C574,$D:$D,$D574,$E:$E,"기준(전)"))</f>
        <v/>
      </c>
      <c r="P574" s="31">
        <f>IF(COUNTIFS($C:$C,$C574,$D:$D,$D574,$E:$E,"기준(전)",$M:$M,"&gt;0")&lt;&gt;1,"",SUMIFS($M:$M,$C:$C,$C574,$D:$D,$D574,$E:$E,"기준(전)"))</f>
        <v/>
      </c>
      <c r="Q574" s="48">
        <f>IF(COUNTIFS($C:$C,$C574,$D:$D,$D574,$E:$E,"기준(후)",$M:$M,"&gt;0")&lt;&gt;1,"",SUMIFS($I:$I,$C:$C,$C574,$D:$D,$D574,$E:$E,"기준(후)"))</f>
        <v/>
      </c>
      <c r="R574" s="31">
        <f>IF(COUNTIFS($C:$C,$C574,$D:$D,$D574,$E:$E,"기준(후)",$M:$M,"&gt;0")&lt;&gt;1,"",SUMIFS($M:$M,$C:$C,$C574,$D:$D,$D574,$E:$E,"기준(후)"))</f>
        <v/>
      </c>
      <c r="S574" s="31">
        <f>IF(N574&lt;&gt;"OK","",P574+(R574-P574)*(I574-O574)/(Q574-O574))</f>
        <v/>
      </c>
      <c r="T574" s="31">
        <f>IF(OR(N574&lt;&gt;"OK",NOT(ISNUMBER(M574))),"",M574-S574)</f>
        <v/>
      </c>
      <c r="U574" s="49">
        <f>IF(OR($E573&lt;&gt;"측정",$C573&lt;&gt;$C574,$D573&lt;&gt;$D574,NOT(ISNUMBER(M574)),NOT(ISNUMBER(M573)),(IF(ISNUMBER(G574),G574,F574)-IF(ISNUMBER(G573),G573,F573))=0),"",(M574-M573)/((IF(ISNUMBER(G574),G574,F574)-IF(ISNUMBER(G573),G573,F573))/100))</f>
        <v/>
      </c>
      <c r="V574" s="29" t="n"/>
      <c r="W574" s="29" t="n"/>
      <c r="X574" s="32" t="n"/>
    </row>
    <row r="575">
      <c r="A575" s="26" t="inlineStr">
        <is>
          <t>S48</t>
        </is>
      </c>
      <c r="B575" s="26" t="inlineStr">
        <is>
          <t>삼척</t>
        </is>
      </c>
      <c r="C575" s="26" t="inlineStr">
        <is>
          <t>S48-V</t>
        </is>
      </c>
      <c r="D575" s="47" t="n">
        <v>1</v>
      </c>
      <c r="E575" s="26" t="inlineStr">
        <is>
          <t>측정</t>
        </is>
      </c>
      <c r="F575" s="47" t="n">
        <v>100</v>
      </c>
      <c r="G575" s="41" t="n"/>
      <c r="H575" s="29" t="n"/>
      <c r="I575" s="43" t="n"/>
      <c r="J575" s="41" t="n"/>
      <c r="K575" s="41" t="n"/>
      <c r="L575" s="41" t="n"/>
      <c r="M575" s="31">
        <f>IF(COUNT(J575:L575)=0,"",MEDIAN(J575:L575))</f>
        <v/>
      </c>
      <c r="N575" s="26">
        <f>IF(COUNTIFS($C:$C,$C575,$D:$D,$D575,$E:$E,"기준(전)",$M:$M,"&gt;0")&lt;&gt;1,"기준(전) 유효 1개 아님",IF(COUNTIFS($C:$C,$C575,$D:$D,$D575,$E:$E,"기준(후)",$M:$M,"&gt;0")&lt;&gt;1,"기준(후) 유효 1개 아님",IF(NOT(AND(ISNUMBER(O575),ISNUMBER(Q575),ISNUMBER(I575))),"시각 결측",IF(Q575&lt;=O575,"기준 시각 역전",IF(OR(I575&lt;O575,I575&gt;Q575),"측정시각 구간 밖","OK")))))</f>
        <v/>
      </c>
      <c r="O575" s="48">
        <f>IF(COUNTIFS($C:$C,$C575,$D:$D,$D575,$E:$E,"기준(전)",$M:$M,"&gt;0")&lt;&gt;1,"",SUMIFS($I:$I,$C:$C,$C575,$D:$D,$D575,$E:$E,"기준(전)"))</f>
        <v/>
      </c>
      <c r="P575" s="31">
        <f>IF(COUNTIFS($C:$C,$C575,$D:$D,$D575,$E:$E,"기준(전)",$M:$M,"&gt;0")&lt;&gt;1,"",SUMIFS($M:$M,$C:$C,$C575,$D:$D,$D575,$E:$E,"기준(전)"))</f>
        <v/>
      </c>
      <c r="Q575" s="48">
        <f>IF(COUNTIFS($C:$C,$C575,$D:$D,$D575,$E:$E,"기준(후)",$M:$M,"&gt;0")&lt;&gt;1,"",SUMIFS($I:$I,$C:$C,$C575,$D:$D,$D575,$E:$E,"기준(후)"))</f>
        <v/>
      </c>
      <c r="R575" s="31">
        <f>IF(COUNTIFS($C:$C,$C575,$D:$D,$D575,$E:$E,"기준(후)",$M:$M,"&gt;0")&lt;&gt;1,"",SUMIFS($M:$M,$C:$C,$C575,$D:$D,$D575,$E:$E,"기준(후)"))</f>
        <v/>
      </c>
      <c r="S575" s="31">
        <f>IF(N575&lt;&gt;"OK","",P575+(R575-P575)*(I575-O575)/(Q575-O575))</f>
        <v/>
      </c>
      <c r="T575" s="31">
        <f>IF(OR(N575&lt;&gt;"OK",NOT(ISNUMBER(M575))),"",M575-S575)</f>
        <v/>
      </c>
      <c r="U575" s="49">
        <f>IF(OR($E574&lt;&gt;"측정",$C574&lt;&gt;$C575,$D574&lt;&gt;$D575,NOT(ISNUMBER(M575)),NOT(ISNUMBER(M574)),(IF(ISNUMBER(G575),G575,F575)-IF(ISNUMBER(G574),G574,F574))=0),"",(M575-M574)/((IF(ISNUMBER(G575),G575,F575)-IF(ISNUMBER(G574),G574,F574))/100))</f>
        <v/>
      </c>
      <c r="V575" s="29" t="n"/>
      <c r="W575" s="29" t="n"/>
      <c r="X575" s="32" t="n"/>
    </row>
    <row r="576">
      <c r="A576" s="26" t="inlineStr">
        <is>
          <t>S48</t>
        </is>
      </c>
      <c r="B576" s="26" t="inlineStr">
        <is>
          <t>삼척</t>
        </is>
      </c>
      <c r="C576" s="26" t="inlineStr">
        <is>
          <t>S48-V</t>
        </is>
      </c>
      <c r="D576" s="47" t="n">
        <v>1</v>
      </c>
      <c r="E576" s="26" t="inlineStr">
        <is>
          <t>측정</t>
        </is>
      </c>
      <c r="F576" s="47" t="n">
        <v>120</v>
      </c>
      <c r="G576" s="41" t="n"/>
      <c r="H576" s="29" t="n"/>
      <c r="I576" s="43" t="n"/>
      <c r="J576" s="41" t="n"/>
      <c r="K576" s="41" t="n"/>
      <c r="L576" s="41" t="n"/>
      <c r="M576" s="31">
        <f>IF(COUNT(J576:L576)=0,"",MEDIAN(J576:L576))</f>
        <v/>
      </c>
      <c r="N576" s="26">
        <f>IF(COUNTIFS($C:$C,$C576,$D:$D,$D576,$E:$E,"기준(전)",$M:$M,"&gt;0")&lt;&gt;1,"기준(전) 유효 1개 아님",IF(COUNTIFS($C:$C,$C576,$D:$D,$D576,$E:$E,"기준(후)",$M:$M,"&gt;0")&lt;&gt;1,"기준(후) 유효 1개 아님",IF(NOT(AND(ISNUMBER(O576),ISNUMBER(Q576),ISNUMBER(I576))),"시각 결측",IF(Q576&lt;=O576,"기준 시각 역전",IF(OR(I576&lt;O576,I576&gt;Q576),"측정시각 구간 밖","OK")))))</f>
        <v/>
      </c>
      <c r="O576" s="48">
        <f>IF(COUNTIFS($C:$C,$C576,$D:$D,$D576,$E:$E,"기준(전)",$M:$M,"&gt;0")&lt;&gt;1,"",SUMIFS($I:$I,$C:$C,$C576,$D:$D,$D576,$E:$E,"기준(전)"))</f>
        <v/>
      </c>
      <c r="P576" s="31">
        <f>IF(COUNTIFS($C:$C,$C576,$D:$D,$D576,$E:$E,"기준(전)",$M:$M,"&gt;0")&lt;&gt;1,"",SUMIFS($M:$M,$C:$C,$C576,$D:$D,$D576,$E:$E,"기준(전)"))</f>
        <v/>
      </c>
      <c r="Q576" s="48">
        <f>IF(COUNTIFS($C:$C,$C576,$D:$D,$D576,$E:$E,"기준(후)",$M:$M,"&gt;0")&lt;&gt;1,"",SUMIFS($I:$I,$C:$C,$C576,$D:$D,$D576,$E:$E,"기준(후)"))</f>
        <v/>
      </c>
      <c r="R576" s="31">
        <f>IF(COUNTIFS($C:$C,$C576,$D:$D,$D576,$E:$E,"기준(후)",$M:$M,"&gt;0")&lt;&gt;1,"",SUMIFS($M:$M,$C:$C,$C576,$D:$D,$D576,$E:$E,"기준(후)"))</f>
        <v/>
      </c>
      <c r="S576" s="31">
        <f>IF(N576&lt;&gt;"OK","",P576+(R576-P576)*(I576-O576)/(Q576-O576))</f>
        <v/>
      </c>
      <c r="T576" s="31">
        <f>IF(OR(N576&lt;&gt;"OK",NOT(ISNUMBER(M576))),"",M576-S576)</f>
        <v/>
      </c>
      <c r="U576" s="49">
        <f>IF(OR($E575&lt;&gt;"측정",$C575&lt;&gt;$C576,$D575&lt;&gt;$D576,NOT(ISNUMBER(M576)),NOT(ISNUMBER(M575)),(IF(ISNUMBER(G576),G576,F576)-IF(ISNUMBER(G575),G575,F575))=0),"",(M576-M575)/((IF(ISNUMBER(G576),G576,F576)-IF(ISNUMBER(G575),G575,F575))/100))</f>
        <v/>
      </c>
      <c r="V576" s="29" t="n"/>
      <c r="W576" s="29" t="n"/>
      <c r="X576" s="32" t="n"/>
    </row>
    <row r="577">
      <c r="A577" s="26" t="inlineStr">
        <is>
          <t>S48</t>
        </is>
      </c>
      <c r="B577" s="26" t="inlineStr">
        <is>
          <t>삼척</t>
        </is>
      </c>
      <c r="C577" s="26" t="inlineStr">
        <is>
          <t>S48-V</t>
        </is>
      </c>
      <c r="D577" s="47" t="n">
        <v>1</v>
      </c>
      <c r="E577" s="26" t="inlineStr">
        <is>
          <t>측정</t>
        </is>
      </c>
      <c r="F577" s="47" t="n">
        <v>140</v>
      </c>
      <c r="G577" s="41" t="n"/>
      <c r="H577" s="29" t="n"/>
      <c r="I577" s="43" t="n"/>
      <c r="J577" s="41" t="n"/>
      <c r="K577" s="41" t="n"/>
      <c r="L577" s="41" t="n"/>
      <c r="M577" s="31">
        <f>IF(COUNT(J577:L577)=0,"",MEDIAN(J577:L577))</f>
        <v/>
      </c>
      <c r="N577" s="26">
        <f>IF(COUNTIFS($C:$C,$C577,$D:$D,$D577,$E:$E,"기준(전)",$M:$M,"&gt;0")&lt;&gt;1,"기준(전) 유효 1개 아님",IF(COUNTIFS($C:$C,$C577,$D:$D,$D577,$E:$E,"기준(후)",$M:$M,"&gt;0")&lt;&gt;1,"기준(후) 유효 1개 아님",IF(NOT(AND(ISNUMBER(O577),ISNUMBER(Q577),ISNUMBER(I577))),"시각 결측",IF(Q577&lt;=O577,"기준 시각 역전",IF(OR(I577&lt;O577,I577&gt;Q577),"측정시각 구간 밖","OK")))))</f>
        <v/>
      </c>
      <c r="O577" s="48">
        <f>IF(COUNTIFS($C:$C,$C577,$D:$D,$D577,$E:$E,"기준(전)",$M:$M,"&gt;0")&lt;&gt;1,"",SUMIFS($I:$I,$C:$C,$C577,$D:$D,$D577,$E:$E,"기준(전)"))</f>
        <v/>
      </c>
      <c r="P577" s="31">
        <f>IF(COUNTIFS($C:$C,$C577,$D:$D,$D577,$E:$E,"기준(전)",$M:$M,"&gt;0")&lt;&gt;1,"",SUMIFS($M:$M,$C:$C,$C577,$D:$D,$D577,$E:$E,"기준(전)"))</f>
        <v/>
      </c>
      <c r="Q577" s="48">
        <f>IF(COUNTIFS($C:$C,$C577,$D:$D,$D577,$E:$E,"기준(후)",$M:$M,"&gt;0")&lt;&gt;1,"",SUMIFS($I:$I,$C:$C,$C577,$D:$D,$D577,$E:$E,"기준(후)"))</f>
        <v/>
      </c>
      <c r="R577" s="31">
        <f>IF(COUNTIFS($C:$C,$C577,$D:$D,$D577,$E:$E,"기준(후)",$M:$M,"&gt;0")&lt;&gt;1,"",SUMIFS($M:$M,$C:$C,$C577,$D:$D,$D577,$E:$E,"기준(후)"))</f>
        <v/>
      </c>
      <c r="S577" s="31">
        <f>IF(N577&lt;&gt;"OK","",P577+(R577-P577)*(I577-O577)/(Q577-O577))</f>
        <v/>
      </c>
      <c r="T577" s="31">
        <f>IF(OR(N577&lt;&gt;"OK",NOT(ISNUMBER(M577))),"",M577-S577)</f>
        <v/>
      </c>
      <c r="U577" s="49">
        <f>IF(OR($E576&lt;&gt;"측정",$C576&lt;&gt;$C577,$D576&lt;&gt;$D577,NOT(ISNUMBER(M577)),NOT(ISNUMBER(M576)),(IF(ISNUMBER(G577),G577,F577)-IF(ISNUMBER(G576),G576,F576))=0),"",(M577-M576)/((IF(ISNUMBER(G577),G577,F577)-IF(ISNUMBER(G576),G576,F576))/100))</f>
        <v/>
      </c>
      <c r="V577" s="29" t="n"/>
      <c r="W577" s="29" t="n"/>
      <c r="X577" s="32" t="n"/>
    </row>
    <row r="578">
      <c r="A578" s="26" t="inlineStr">
        <is>
          <t>S48</t>
        </is>
      </c>
      <c r="B578" s="26" t="inlineStr">
        <is>
          <t>삼척</t>
        </is>
      </c>
      <c r="C578" s="26" t="inlineStr">
        <is>
          <t>S48-V</t>
        </is>
      </c>
      <c r="D578" s="47" t="n">
        <v>1</v>
      </c>
      <c r="E578" s="26" t="inlineStr">
        <is>
          <t>측정</t>
        </is>
      </c>
      <c r="F578" s="47" t="n">
        <v>160</v>
      </c>
      <c r="G578" s="41" t="n"/>
      <c r="H578" s="29" t="n"/>
      <c r="I578" s="43" t="n"/>
      <c r="J578" s="41" t="n"/>
      <c r="K578" s="41" t="n"/>
      <c r="L578" s="41" t="n"/>
      <c r="M578" s="31">
        <f>IF(COUNT(J578:L578)=0,"",MEDIAN(J578:L578))</f>
        <v/>
      </c>
      <c r="N578" s="26">
        <f>IF(COUNTIFS($C:$C,$C578,$D:$D,$D578,$E:$E,"기준(전)",$M:$M,"&gt;0")&lt;&gt;1,"기준(전) 유효 1개 아님",IF(COUNTIFS($C:$C,$C578,$D:$D,$D578,$E:$E,"기준(후)",$M:$M,"&gt;0")&lt;&gt;1,"기준(후) 유효 1개 아님",IF(NOT(AND(ISNUMBER(O578),ISNUMBER(Q578),ISNUMBER(I578))),"시각 결측",IF(Q578&lt;=O578,"기준 시각 역전",IF(OR(I578&lt;O578,I578&gt;Q578),"측정시각 구간 밖","OK")))))</f>
        <v/>
      </c>
      <c r="O578" s="48">
        <f>IF(COUNTIFS($C:$C,$C578,$D:$D,$D578,$E:$E,"기준(전)",$M:$M,"&gt;0")&lt;&gt;1,"",SUMIFS($I:$I,$C:$C,$C578,$D:$D,$D578,$E:$E,"기준(전)"))</f>
        <v/>
      </c>
      <c r="P578" s="31">
        <f>IF(COUNTIFS($C:$C,$C578,$D:$D,$D578,$E:$E,"기준(전)",$M:$M,"&gt;0")&lt;&gt;1,"",SUMIFS($M:$M,$C:$C,$C578,$D:$D,$D578,$E:$E,"기준(전)"))</f>
        <v/>
      </c>
      <c r="Q578" s="48">
        <f>IF(COUNTIFS($C:$C,$C578,$D:$D,$D578,$E:$E,"기준(후)",$M:$M,"&gt;0")&lt;&gt;1,"",SUMIFS($I:$I,$C:$C,$C578,$D:$D,$D578,$E:$E,"기준(후)"))</f>
        <v/>
      </c>
      <c r="R578" s="31">
        <f>IF(COUNTIFS($C:$C,$C578,$D:$D,$D578,$E:$E,"기준(후)",$M:$M,"&gt;0")&lt;&gt;1,"",SUMIFS($M:$M,$C:$C,$C578,$D:$D,$D578,$E:$E,"기준(후)"))</f>
        <v/>
      </c>
      <c r="S578" s="31">
        <f>IF(N578&lt;&gt;"OK","",P578+(R578-P578)*(I578-O578)/(Q578-O578))</f>
        <v/>
      </c>
      <c r="T578" s="31">
        <f>IF(OR(N578&lt;&gt;"OK",NOT(ISNUMBER(M578))),"",M578-S578)</f>
        <v/>
      </c>
      <c r="U578" s="49">
        <f>IF(OR($E577&lt;&gt;"측정",$C577&lt;&gt;$C578,$D577&lt;&gt;$D578,NOT(ISNUMBER(M578)),NOT(ISNUMBER(M577)),(IF(ISNUMBER(G578),G578,F578)-IF(ISNUMBER(G577),G577,F577))=0),"",(M578-M577)/((IF(ISNUMBER(G578),G578,F578)-IF(ISNUMBER(G577),G577,F577))/100))</f>
        <v/>
      </c>
      <c r="V578" s="29" t="n"/>
      <c r="W578" s="29" t="n"/>
      <c r="X578" s="32" t="n"/>
    </row>
    <row r="579">
      <c r="A579" s="26" t="inlineStr">
        <is>
          <t>S48</t>
        </is>
      </c>
      <c r="B579" s="26" t="inlineStr">
        <is>
          <t>삼척</t>
        </is>
      </c>
      <c r="C579" s="26" t="inlineStr">
        <is>
          <t>S48-V</t>
        </is>
      </c>
      <c r="D579" s="47" t="n">
        <v>1</v>
      </c>
      <c r="E579" s="26" t="inlineStr">
        <is>
          <t>측정</t>
        </is>
      </c>
      <c r="F579" s="47" t="n">
        <v>180</v>
      </c>
      <c r="G579" s="41" t="n"/>
      <c r="H579" s="29" t="n"/>
      <c r="I579" s="43" t="n"/>
      <c r="J579" s="41" t="n"/>
      <c r="K579" s="41" t="n"/>
      <c r="L579" s="41" t="n"/>
      <c r="M579" s="31">
        <f>IF(COUNT(J579:L579)=0,"",MEDIAN(J579:L579))</f>
        <v/>
      </c>
      <c r="N579" s="26">
        <f>IF(COUNTIFS($C:$C,$C579,$D:$D,$D579,$E:$E,"기준(전)",$M:$M,"&gt;0")&lt;&gt;1,"기준(전) 유효 1개 아님",IF(COUNTIFS($C:$C,$C579,$D:$D,$D579,$E:$E,"기준(후)",$M:$M,"&gt;0")&lt;&gt;1,"기준(후) 유효 1개 아님",IF(NOT(AND(ISNUMBER(O579),ISNUMBER(Q579),ISNUMBER(I579))),"시각 결측",IF(Q579&lt;=O579,"기준 시각 역전",IF(OR(I579&lt;O579,I579&gt;Q579),"측정시각 구간 밖","OK")))))</f>
        <v/>
      </c>
      <c r="O579" s="48">
        <f>IF(COUNTIFS($C:$C,$C579,$D:$D,$D579,$E:$E,"기준(전)",$M:$M,"&gt;0")&lt;&gt;1,"",SUMIFS($I:$I,$C:$C,$C579,$D:$D,$D579,$E:$E,"기준(전)"))</f>
        <v/>
      </c>
      <c r="P579" s="31">
        <f>IF(COUNTIFS($C:$C,$C579,$D:$D,$D579,$E:$E,"기준(전)",$M:$M,"&gt;0")&lt;&gt;1,"",SUMIFS($M:$M,$C:$C,$C579,$D:$D,$D579,$E:$E,"기준(전)"))</f>
        <v/>
      </c>
      <c r="Q579" s="48">
        <f>IF(COUNTIFS($C:$C,$C579,$D:$D,$D579,$E:$E,"기준(후)",$M:$M,"&gt;0")&lt;&gt;1,"",SUMIFS($I:$I,$C:$C,$C579,$D:$D,$D579,$E:$E,"기준(후)"))</f>
        <v/>
      </c>
      <c r="R579" s="31">
        <f>IF(COUNTIFS($C:$C,$C579,$D:$D,$D579,$E:$E,"기준(후)",$M:$M,"&gt;0")&lt;&gt;1,"",SUMIFS($M:$M,$C:$C,$C579,$D:$D,$D579,$E:$E,"기준(후)"))</f>
        <v/>
      </c>
      <c r="S579" s="31">
        <f>IF(N579&lt;&gt;"OK","",P579+(R579-P579)*(I579-O579)/(Q579-O579))</f>
        <v/>
      </c>
      <c r="T579" s="31">
        <f>IF(OR(N579&lt;&gt;"OK",NOT(ISNUMBER(M579))),"",M579-S579)</f>
        <v/>
      </c>
      <c r="U579" s="49">
        <f>IF(OR($E578&lt;&gt;"측정",$C578&lt;&gt;$C579,$D578&lt;&gt;$D579,NOT(ISNUMBER(M579)),NOT(ISNUMBER(M578)),(IF(ISNUMBER(G579),G579,F579)-IF(ISNUMBER(G578),G578,F578))=0),"",(M579-M578)/((IF(ISNUMBER(G579),G579,F579)-IF(ISNUMBER(G578),G578,F578))/100))</f>
        <v/>
      </c>
      <c r="V579" s="29" t="n"/>
      <c r="W579" s="29" t="n"/>
      <c r="X579" s="32" t="n"/>
    </row>
    <row r="580">
      <c r="A580" s="26" t="inlineStr">
        <is>
          <t>S48</t>
        </is>
      </c>
      <c r="B580" s="26" t="inlineStr">
        <is>
          <t>삼척</t>
        </is>
      </c>
      <c r="C580" s="26" t="inlineStr">
        <is>
          <t>S48-V</t>
        </is>
      </c>
      <c r="D580" s="47" t="n">
        <v>1</v>
      </c>
      <c r="E580" s="26" t="inlineStr">
        <is>
          <t>측정</t>
        </is>
      </c>
      <c r="F580" s="47" t="n">
        <v>200</v>
      </c>
      <c r="G580" s="41" t="n"/>
      <c r="H580" s="29" t="n"/>
      <c r="I580" s="43" t="n"/>
      <c r="J580" s="41" t="n"/>
      <c r="K580" s="41" t="n"/>
      <c r="L580" s="41" t="n"/>
      <c r="M580" s="31">
        <f>IF(COUNT(J580:L580)=0,"",MEDIAN(J580:L580))</f>
        <v/>
      </c>
      <c r="N580" s="26">
        <f>IF(COUNTIFS($C:$C,$C580,$D:$D,$D580,$E:$E,"기준(전)",$M:$M,"&gt;0")&lt;&gt;1,"기준(전) 유효 1개 아님",IF(COUNTIFS($C:$C,$C580,$D:$D,$D580,$E:$E,"기준(후)",$M:$M,"&gt;0")&lt;&gt;1,"기준(후) 유효 1개 아님",IF(NOT(AND(ISNUMBER(O580),ISNUMBER(Q580),ISNUMBER(I580))),"시각 결측",IF(Q580&lt;=O580,"기준 시각 역전",IF(OR(I580&lt;O580,I580&gt;Q580),"측정시각 구간 밖","OK")))))</f>
        <v/>
      </c>
      <c r="O580" s="48">
        <f>IF(COUNTIFS($C:$C,$C580,$D:$D,$D580,$E:$E,"기준(전)",$M:$M,"&gt;0")&lt;&gt;1,"",SUMIFS($I:$I,$C:$C,$C580,$D:$D,$D580,$E:$E,"기준(전)"))</f>
        <v/>
      </c>
      <c r="P580" s="31">
        <f>IF(COUNTIFS($C:$C,$C580,$D:$D,$D580,$E:$E,"기준(전)",$M:$M,"&gt;0")&lt;&gt;1,"",SUMIFS($M:$M,$C:$C,$C580,$D:$D,$D580,$E:$E,"기준(전)"))</f>
        <v/>
      </c>
      <c r="Q580" s="48">
        <f>IF(COUNTIFS($C:$C,$C580,$D:$D,$D580,$E:$E,"기준(후)",$M:$M,"&gt;0")&lt;&gt;1,"",SUMIFS($I:$I,$C:$C,$C580,$D:$D,$D580,$E:$E,"기준(후)"))</f>
        <v/>
      </c>
      <c r="R580" s="31">
        <f>IF(COUNTIFS($C:$C,$C580,$D:$D,$D580,$E:$E,"기준(후)",$M:$M,"&gt;0")&lt;&gt;1,"",SUMIFS($M:$M,$C:$C,$C580,$D:$D,$D580,$E:$E,"기준(후)"))</f>
        <v/>
      </c>
      <c r="S580" s="31">
        <f>IF(N580&lt;&gt;"OK","",P580+(R580-P580)*(I580-O580)/(Q580-O580))</f>
        <v/>
      </c>
      <c r="T580" s="31">
        <f>IF(OR(N580&lt;&gt;"OK",NOT(ISNUMBER(M580))),"",M580-S580)</f>
        <v/>
      </c>
      <c r="U580" s="49">
        <f>IF(OR($E579&lt;&gt;"측정",$C579&lt;&gt;$C580,$D579&lt;&gt;$D580,NOT(ISNUMBER(M580)),NOT(ISNUMBER(M579)),(IF(ISNUMBER(G580),G580,F580)-IF(ISNUMBER(G579),G579,F579))=0),"",(M580-M579)/((IF(ISNUMBER(G580),G580,F580)-IF(ISNUMBER(G579),G579,F579))/100))</f>
        <v/>
      </c>
      <c r="V580" s="29" t="n"/>
      <c r="W580" s="29" t="n"/>
      <c r="X580" s="32" t="n"/>
    </row>
    <row r="581">
      <c r="A581" s="44" t="inlineStr">
        <is>
          <t>S48</t>
        </is>
      </c>
      <c r="B581" s="44" t="inlineStr">
        <is>
          <t>삼척</t>
        </is>
      </c>
      <c r="C581" s="44" t="inlineStr">
        <is>
          <t>S48-V</t>
        </is>
      </c>
      <c r="D581" s="45" t="n">
        <v>1</v>
      </c>
      <c r="E581" s="44" t="inlineStr">
        <is>
          <t>기준(후)</t>
        </is>
      </c>
      <c r="F581" s="45" t="n"/>
      <c r="G581" s="41" t="n"/>
      <c r="H581" s="29" t="n"/>
      <c r="I581" s="43" t="n"/>
      <c r="J581" s="41" t="n"/>
      <c r="K581" s="41" t="n"/>
      <c r="L581" s="41" t="n"/>
      <c r="M581" s="31">
        <f>IF(COUNT(J581:L581)=0,"",MEDIAN(J581:L581))</f>
        <v/>
      </c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29" t="n"/>
      <c r="W581" s="29" t="n"/>
      <c r="X581" s="32" t="n"/>
    </row>
    <row r="582">
      <c r="A582" s="44" t="inlineStr">
        <is>
          <t>S49</t>
        </is>
      </c>
      <c r="B582" s="44" t="inlineStr">
        <is>
          <t>제천</t>
        </is>
      </c>
      <c r="C582" s="44" t="inlineStr">
        <is>
          <t>S49-V</t>
        </is>
      </c>
      <c r="D582" s="45" t="n">
        <v>1</v>
      </c>
      <c r="E582" s="44" t="inlineStr">
        <is>
          <t>기준(전)</t>
        </is>
      </c>
      <c r="F582" s="45" t="n"/>
      <c r="G582" s="41" t="n"/>
      <c r="H582" s="29" t="n"/>
      <c r="I582" s="43" t="n"/>
      <c r="J582" s="41" t="n"/>
      <c r="K582" s="41" t="n"/>
      <c r="L582" s="41" t="n"/>
      <c r="M582" s="31">
        <f>IF(COUNT(J582:L582)=0,"",MEDIAN(J582:L582))</f>
        <v/>
      </c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29" t="n"/>
      <c r="W582" s="29" t="n"/>
      <c r="X582" s="32" t="n"/>
    </row>
    <row r="583">
      <c r="A583" s="26" t="inlineStr">
        <is>
          <t>S49</t>
        </is>
      </c>
      <c r="B583" s="26" t="inlineStr">
        <is>
          <t>제천</t>
        </is>
      </c>
      <c r="C583" s="26" t="inlineStr">
        <is>
          <t>S49-V</t>
        </is>
      </c>
      <c r="D583" s="47" t="n">
        <v>1</v>
      </c>
      <c r="E583" s="26" t="inlineStr">
        <is>
          <t>측정</t>
        </is>
      </c>
      <c r="F583" s="47" t="n">
        <v>20</v>
      </c>
      <c r="G583" s="41" t="n"/>
      <c r="H583" s="29" t="n"/>
      <c r="I583" s="43" t="n"/>
      <c r="J583" s="41" t="n"/>
      <c r="K583" s="41" t="n"/>
      <c r="L583" s="41" t="n"/>
      <c r="M583" s="31">
        <f>IF(COUNT(J583:L583)=0,"",MEDIAN(J583:L583))</f>
        <v/>
      </c>
      <c r="N583" s="26">
        <f>IF(COUNTIFS($C:$C,$C583,$D:$D,$D583,$E:$E,"기준(전)",$M:$M,"&gt;0")&lt;&gt;1,"기준(전) 유효 1개 아님",IF(COUNTIFS($C:$C,$C583,$D:$D,$D583,$E:$E,"기준(후)",$M:$M,"&gt;0")&lt;&gt;1,"기준(후) 유효 1개 아님",IF(NOT(AND(ISNUMBER(O583),ISNUMBER(Q583),ISNUMBER(I583))),"시각 결측",IF(Q583&lt;=O583,"기준 시각 역전",IF(OR(I583&lt;O583,I583&gt;Q583),"측정시각 구간 밖","OK")))))</f>
        <v/>
      </c>
      <c r="O583" s="48">
        <f>IF(COUNTIFS($C:$C,$C583,$D:$D,$D583,$E:$E,"기준(전)",$M:$M,"&gt;0")&lt;&gt;1,"",SUMIFS($I:$I,$C:$C,$C583,$D:$D,$D583,$E:$E,"기준(전)"))</f>
        <v/>
      </c>
      <c r="P583" s="31">
        <f>IF(COUNTIFS($C:$C,$C583,$D:$D,$D583,$E:$E,"기준(전)",$M:$M,"&gt;0")&lt;&gt;1,"",SUMIFS($M:$M,$C:$C,$C583,$D:$D,$D583,$E:$E,"기준(전)"))</f>
        <v/>
      </c>
      <c r="Q583" s="48">
        <f>IF(COUNTIFS($C:$C,$C583,$D:$D,$D583,$E:$E,"기준(후)",$M:$M,"&gt;0")&lt;&gt;1,"",SUMIFS($I:$I,$C:$C,$C583,$D:$D,$D583,$E:$E,"기준(후)"))</f>
        <v/>
      </c>
      <c r="R583" s="31">
        <f>IF(COUNTIFS($C:$C,$C583,$D:$D,$D583,$E:$E,"기준(후)",$M:$M,"&gt;0")&lt;&gt;1,"",SUMIFS($M:$M,$C:$C,$C583,$D:$D,$D583,$E:$E,"기준(후)"))</f>
        <v/>
      </c>
      <c r="S583" s="31">
        <f>IF(N583&lt;&gt;"OK","",P583+(R583-P583)*(I583-O583)/(Q583-O583))</f>
        <v/>
      </c>
      <c r="T583" s="31">
        <f>IF(OR(N583&lt;&gt;"OK",NOT(ISNUMBER(M583))),"",M583-S583)</f>
        <v/>
      </c>
      <c r="U583" s="49">
        <f>IF(OR($E582&lt;&gt;"측정",$C582&lt;&gt;$C583,$D582&lt;&gt;$D583,NOT(ISNUMBER(M583)),NOT(ISNUMBER(M582)),(IF(ISNUMBER(G583),G583,F583)-IF(ISNUMBER(G582),G582,F582))=0),"",(M583-M582)/((IF(ISNUMBER(G583),G583,F583)-IF(ISNUMBER(G582),G582,F582))/100))</f>
        <v/>
      </c>
      <c r="V583" s="29" t="n"/>
      <c r="W583" s="29" t="n"/>
      <c r="X583" s="32" t="n"/>
    </row>
    <row r="584">
      <c r="A584" s="26" t="inlineStr">
        <is>
          <t>S49</t>
        </is>
      </c>
      <c r="B584" s="26" t="inlineStr">
        <is>
          <t>제천</t>
        </is>
      </c>
      <c r="C584" s="26" t="inlineStr">
        <is>
          <t>S49-V</t>
        </is>
      </c>
      <c r="D584" s="47" t="n">
        <v>1</v>
      </c>
      <c r="E584" s="26" t="inlineStr">
        <is>
          <t>측정</t>
        </is>
      </c>
      <c r="F584" s="47" t="n">
        <v>40</v>
      </c>
      <c r="G584" s="41" t="n"/>
      <c r="H584" s="29" t="n"/>
      <c r="I584" s="43" t="n"/>
      <c r="J584" s="41" t="n"/>
      <c r="K584" s="41" t="n"/>
      <c r="L584" s="41" t="n"/>
      <c r="M584" s="31">
        <f>IF(COUNT(J584:L584)=0,"",MEDIAN(J584:L584))</f>
        <v/>
      </c>
      <c r="N584" s="26">
        <f>IF(COUNTIFS($C:$C,$C584,$D:$D,$D584,$E:$E,"기준(전)",$M:$M,"&gt;0")&lt;&gt;1,"기준(전) 유효 1개 아님",IF(COUNTIFS($C:$C,$C584,$D:$D,$D584,$E:$E,"기준(후)",$M:$M,"&gt;0")&lt;&gt;1,"기준(후) 유효 1개 아님",IF(NOT(AND(ISNUMBER(O584),ISNUMBER(Q584),ISNUMBER(I584))),"시각 결측",IF(Q584&lt;=O584,"기준 시각 역전",IF(OR(I584&lt;O584,I584&gt;Q584),"측정시각 구간 밖","OK")))))</f>
        <v/>
      </c>
      <c r="O584" s="48">
        <f>IF(COUNTIFS($C:$C,$C584,$D:$D,$D584,$E:$E,"기준(전)",$M:$M,"&gt;0")&lt;&gt;1,"",SUMIFS($I:$I,$C:$C,$C584,$D:$D,$D584,$E:$E,"기준(전)"))</f>
        <v/>
      </c>
      <c r="P584" s="31">
        <f>IF(COUNTIFS($C:$C,$C584,$D:$D,$D584,$E:$E,"기준(전)",$M:$M,"&gt;0")&lt;&gt;1,"",SUMIFS($M:$M,$C:$C,$C584,$D:$D,$D584,$E:$E,"기준(전)"))</f>
        <v/>
      </c>
      <c r="Q584" s="48">
        <f>IF(COUNTIFS($C:$C,$C584,$D:$D,$D584,$E:$E,"기준(후)",$M:$M,"&gt;0")&lt;&gt;1,"",SUMIFS($I:$I,$C:$C,$C584,$D:$D,$D584,$E:$E,"기준(후)"))</f>
        <v/>
      </c>
      <c r="R584" s="31">
        <f>IF(COUNTIFS($C:$C,$C584,$D:$D,$D584,$E:$E,"기준(후)",$M:$M,"&gt;0")&lt;&gt;1,"",SUMIFS($M:$M,$C:$C,$C584,$D:$D,$D584,$E:$E,"기준(후)"))</f>
        <v/>
      </c>
      <c r="S584" s="31">
        <f>IF(N584&lt;&gt;"OK","",P584+(R584-P584)*(I584-O584)/(Q584-O584))</f>
        <v/>
      </c>
      <c r="T584" s="31">
        <f>IF(OR(N584&lt;&gt;"OK",NOT(ISNUMBER(M584))),"",M584-S584)</f>
        <v/>
      </c>
      <c r="U584" s="49">
        <f>IF(OR($E583&lt;&gt;"측정",$C583&lt;&gt;$C584,$D583&lt;&gt;$D584,NOT(ISNUMBER(M584)),NOT(ISNUMBER(M583)),(IF(ISNUMBER(G584),G584,F584)-IF(ISNUMBER(G583),G583,F583))=0),"",(M584-M583)/((IF(ISNUMBER(G584),G584,F584)-IF(ISNUMBER(G583),G583,F583))/100))</f>
        <v/>
      </c>
      <c r="V584" s="29" t="n"/>
      <c r="W584" s="29" t="n"/>
      <c r="X584" s="32" t="n"/>
    </row>
    <row r="585">
      <c r="A585" s="26" t="inlineStr">
        <is>
          <t>S49</t>
        </is>
      </c>
      <c r="B585" s="26" t="inlineStr">
        <is>
          <t>제천</t>
        </is>
      </c>
      <c r="C585" s="26" t="inlineStr">
        <is>
          <t>S49-V</t>
        </is>
      </c>
      <c r="D585" s="47" t="n">
        <v>1</v>
      </c>
      <c r="E585" s="26" t="inlineStr">
        <is>
          <t>측정</t>
        </is>
      </c>
      <c r="F585" s="47" t="n">
        <v>60</v>
      </c>
      <c r="G585" s="41" t="n"/>
      <c r="H585" s="29" t="n"/>
      <c r="I585" s="43" t="n"/>
      <c r="J585" s="41" t="n"/>
      <c r="K585" s="41" t="n"/>
      <c r="L585" s="41" t="n"/>
      <c r="M585" s="31">
        <f>IF(COUNT(J585:L585)=0,"",MEDIAN(J585:L585))</f>
        <v/>
      </c>
      <c r="N585" s="26">
        <f>IF(COUNTIFS($C:$C,$C585,$D:$D,$D585,$E:$E,"기준(전)",$M:$M,"&gt;0")&lt;&gt;1,"기준(전) 유효 1개 아님",IF(COUNTIFS($C:$C,$C585,$D:$D,$D585,$E:$E,"기준(후)",$M:$M,"&gt;0")&lt;&gt;1,"기준(후) 유효 1개 아님",IF(NOT(AND(ISNUMBER(O585),ISNUMBER(Q585),ISNUMBER(I585))),"시각 결측",IF(Q585&lt;=O585,"기준 시각 역전",IF(OR(I585&lt;O585,I585&gt;Q585),"측정시각 구간 밖","OK")))))</f>
        <v/>
      </c>
      <c r="O585" s="48">
        <f>IF(COUNTIFS($C:$C,$C585,$D:$D,$D585,$E:$E,"기준(전)",$M:$M,"&gt;0")&lt;&gt;1,"",SUMIFS($I:$I,$C:$C,$C585,$D:$D,$D585,$E:$E,"기준(전)"))</f>
        <v/>
      </c>
      <c r="P585" s="31">
        <f>IF(COUNTIFS($C:$C,$C585,$D:$D,$D585,$E:$E,"기준(전)",$M:$M,"&gt;0")&lt;&gt;1,"",SUMIFS($M:$M,$C:$C,$C585,$D:$D,$D585,$E:$E,"기준(전)"))</f>
        <v/>
      </c>
      <c r="Q585" s="48">
        <f>IF(COUNTIFS($C:$C,$C585,$D:$D,$D585,$E:$E,"기준(후)",$M:$M,"&gt;0")&lt;&gt;1,"",SUMIFS($I:$I,$C:$C,$C585,$D:$D,$D585,$E:$E,"기준(후)"))</f>
        <v/>
      </c>
      <c r="R585" s="31">
        <f>IF(COUNTIFS($C:$C,$C585,$D:$D,$D585,$E:$E,"기준(후)",$M:$M,"&gt;0")&lt;&gt;1,"",SUMIFS($M:$M,$C:$C,$C585,$D:$D,$D585,$E:$E,"기준(후)"))</f>
        <v/>
      </c>
      <c r="S585" s="31">
        <f>IF(N585&lt;&gt;"OK","",P585+(R585-P585)*(I585-O585)/(Q585-O585))</f>
        <v/>
      </c>
      <c r="T585" s="31">
        <f>IF(OR(N585&lt;&gt;"OK",NOT(ISNUMBER(M585))),"",M585-S585)</f>
        <v/>
      </c>
      <c r="U585" s="49">
        <f>IF(OR($E584&lt;&gt;"측정",$C584&lt;&gt;$C585,$D584&lt;&gt;$D585,NOT(ISNUMBER(M585)),NOT(ISNUMBER(M584)),(IF(ISNUMBER(G585),G585,F585)-IF(ISNUMBER(G584),G584,F584))=0),"",(M585-M584)/((IF(ISNUMBER(G585),G585,F585)-IF(ISNUMBER(G584),G584,F584))/100))</f>
        <v/>
      </c>
      <c r="V585" s="29" t="n"/>
      <c r="W585" s="29" t="n"/>
      <c r="X585" s="32" t="n"/>
    </row>
    <row r="586">
      <c r="A586" s="26" t="inlineStr">
        <is>
          <t>S49</t>
        </is>
      </c>
      <c r="B586" s="26" t="inlineStr">
        <is>
          <t>제천</t>
        </is>
      </c>
      <c r="C586" s="26" t="inlineStr">
        <is>
          <t>S49-V</t>
        </is>
      </c>
      <c r="D586" s="47" t="n">
        <v>1</v>
      </c>
      <c r="E586" s="26" t="inlineStr">
        <is>
          <t>측정</t>
        </is>
      </c>
      <c r="F586" s="47" t="n">
        <v>80</v>
      </c>
      <c r="G586" s="41" t="n"/>
      <c r="H586" s="29" t="n"/>
      <c r="I586" s="43" t="n"/>
      <c r="J586" s="41" t="n"/>
      <c r="K586" s="41" t="n"/>
      <c r="L586" s="41" t="n"/>
      <c r="M586" s="31">
        <f>IF(COUNT(J586:L586)=0,"",MEDIAN(J586:L586))</f>
        <v/>
      </c>
      <c r="N586" s="26">
        <f>IF(COUNTIFS($C:$C,$C586,$D:$D,$D586,$E:$E,"기준(전)",$M:$M,"&gt;0")&lt;&gt;1,"기준(전) 유효 1개 아님",IF(COUNTIFS($C:$C,$C586,$D:$D,$D586,$E:$E,"기준(후)",$M:$M,"&gt;0")&lt;&gt;1,"기준(후) 유효 1개 아님",IF(NOT(AND(ISNUMBER(O586),ISNUMBER(Q586),ISNUMBER(I586))),"시각 결측",IF(Q586&lt;=O586,"기준 시각 역전",IF(OR(I586&lt;O586,I586&gt;Q586),"측정시각 구간 밖","OK")))))</f>
        <v/>
      </c>
      <c r="O586" s="48">
        <f>IF(COUNTIFS($C:$C,$C586,$D:$D,$D586,$E:$E,"기준(전)",$M:$M,"&gt;0")&lt;&gt;1,"",SUMIFS($I:$I,$C:$C,$C586,$D:$D,$D586,$E:$E,"기준(전)"))</f>
        <v/>
      </c>
      <c r="P586" s="31">
        <f>IF(COUNTIFS($C:$C,$C586,$D:$D,$D586,$E:$E,"기준(전)",$M:$M,"&gt;0")&lt;&gt;1,"",SUMIFS($M:$M,$C:$C,$C586,$D:$D,$D586,$E:$E,"기준(전)"))</f>
        <v/>
      </c>
      <c r="Q586" s="48">
        <f>IF(COUNTIFS($C:$C,$C586,$D:$D,$D586,$E:$E,"기준(후)",$M:$M,"&gt;0")&lt;&gt;1,"",SUMIFS($I:$I,$C:$C,$C586,$D:$D,$D586,$E:$E,"기준(후)"))</f>
        <v/>
      </c>
      <c r="R586" s="31">
        <f>IF(COUNTIFS($C:$C,$C586,$D:$D,$D586,$E:$E,"기준(후)",$M:$M,"&gt;0")&lt;&gt;1,"",SUMIFS($M:$M,$C:$C,$C586,$D:$D,$D586,$E:$E,"기준(후)"))</f>
        <v/>
      </c>
      <c r="S586" s="31">
        <f>IF(N586&lt;&gt;"OK","",P586+(R586-P586)*(I586-O586)/(Q586-O586))</f>
        <v/>
      </c>
      <c r="T586" s="31">
        <f>IF(OR(N586&lt;&gt;"OK",NOT(ISNUMBER(M586))),"",M586-S586)</f>
        <v/>
      </c>
      <c r="U586" s="49">
        <f>IF(OR($E585&lt;&gt;"측정",$C585&lt;&gt;$C586,$D585&lt;&gt;$D586,NOT(ISNUMBER(M586)),NOT(ISNUMBER(M585)),(IF(ISNUMBER(G586),G586,F586)-IF(ISNUMBER(G585),G585,F585))=0),"",(M586-M585)/((IF(ISNUMBER(G586),G586,F586)-IF(ISNUMBER(G585),G585,F585))/100))</f>
        <v/>
      </c>
      <c r="V586" s="29" t="n"/>
      <c r="W586" s="29" t="n"/>
      <c r="X586" s="32" t="n"/>
    </row>
    <row r="587">
      <c r="A587" s="26" t="inlineStr">
        <is>
          <t>S49</t>
        </is>
      </c>
      <c r="B587" s="26" t="inlineStr">
        <is>
          <t>제천</t>
        </is>
      </c>
      <c r="C587" s="26" t="inlineStr">
        <is>
          <t>S49-V</t>
        </is>
      </c>
      <c r="D587" s="47" t="n">
        <v>1</v>
      </c>
      <c r="E587" s="26" t="inlineStr">
        <is>
          <t>측정</t>
        </is>
      </c>
      <c r="F587" s="47" t="n">
        <v>100</v>
      </c>
      <c r="G587" s="41" t="n"/>
      <c r="H587" s="29" t="n"/>
      <c r="I587" s="43" t="n"/>
      <c r="J587" s="41" t="n"/>
      <c r="K587" s="41" t="n"/>
      <c r="L587" s="41" t="n"/>
      <c r="M587" s="31">
        <f>IF(COUNT(J587:L587)=0,"",MEDIAN(J587:L587))</f>
        <v/>
      </c>
      <c r="N587" s="26">
        <f>IF(COUNTIFS($C:$C,$C587,$D:$D,$D587,$E:$E,"기준(전)",$M:$M,"&gt;0")&lt;&gt;1,"기준(전) 유효 1개 아님",IF(COUNTIFS($C:$C,$C587,$D:$D,$D587,$E:$E,"기준(후)",$M:$M,"&gt;0")&lt;&gt;1,"기준(후) 유효 1개 아님",IF(NOT(AND(ISNUMBER(O587),ISNUMBER(Q587),ISNUMBER(I587))),"시각 결측",IF(Q587&lt;=O587,"기준 시각 역전",IF(OR(I587&lt;O587,I587&gt;Q587),"측정시각 구간 밖","OK")))))</f>
        <v/>
      </c>
      <c r="O587" s="48">
        <f>IF(COUNTIFS($C:$C,$C587,$D:$D,$D587,$E:$E,"기준(전)",$M:$M,"&gt;0")&lt;&gt;1,"",SUMIFS($I:$I,$C:$C,$C587,$D:$D,$D587,$E:$E,"기준(전)"))</f>
        <v/>
      </c>
      <c r="P587" s="31">
        <f>IF(COUNTIFS($C:$C,$C587,$D:$D,$D587,$E:$E,"기준(전)",$M:$M,"&gt;0")&lt;&gt;1,"",SUMIFS($M:$M,$C:$C,$C587,$D:$D,$D587,$E:$E,"기준(전)"))</f>
        <v/>
      </c>
      <c r="Q587" s="48">
        <f>IF(COUNTIFS($C:$C,$C587,$D:$D,$D587,$E:$E,"기준(후)",$M:$M,"&gt;0")&lt;&gt;1,"",SUMIFS($I:$I,$C:$C,$C587,$D:$D,$D587,$E:$E,"기준(후)"))</f>
        <v/>
      </c>
      <c r="R587" s="31">
        <f>IF(COUNTIFS($C:$C,$C587,$D:$D,$D587,$E:$E,"기준(후)",$M:$M,"&gt;0")&lt;&gt;1,"",SUMIFS($M:$M,$C:$C,$C587,$D:$D,$D587,$E:$E,"기준(후)"))</f>
        <v/>
      </c>
      <c r="S587" s="31">
        <f>IF(N587&lt;&gt;"OK","",P587+(R587-P587)*(I587-O587)/(Q587-O587))</f>
        <v/>
      </c>
      <c r="T587" s="31">
        <f>IF(OR(N587&lt;&gt;"OK",NOT(ISNUMBER(M587))),"",M587-S587)</f>
        <v/>
      </c>
      <c r="U587" s="49">
        <f>IF(OR($E586&lt;&gt;"측정",$C586&lt;&gt;$C587,$D586&lt;&gt;$D587,NOT(ISNUMBER(M587)),NOT(ISNUMBER(M586)),(IF(ISNUMBER(G587),G587,F587)-IF(ISNUMBER(G586),G586,F586))=0),"",(M587-M586)/((IF(ISNUMBER(G587),G587,F587)-IF(ISNUMBER(G586),G586,F586))/100))</f>
        <v/>
      </c>
      <c r="V587" s="29" t="n"/>
      <c r="W587" s="29" t="n"/>
      <c r="X587" s="32" t="n"/>
    </row>
    <row r="588">
      <c r="A588" s="26" t="inlineStr">
        <is>
          <t>S49</t>
        </is>
      </c>
      <c r="B588" s="26" t="inlineStr">
        <is>
          <t>제천</t>
        </is>
      </c>
      <c r="C588" s="26" t="inlineStr">
        <is>
          <t>S49-V</t>
        </is>
      </c>
      <c r="D588" s="47" t="n">
        <v>1</v>
      </c>
      <c r="E588" s="26" t="inlineStr">
        <is>
          <t>측정</t>
        </is>
      </c>
      <c r="F588" s="47" t="n">
        <v>120</v>
      </c>
      <c r="G588" s="41" t="n"/>
      <c r="H588" s="29" t="n"/>
      <c r="I588" s="43" t="n"/>
      <c r="J588" s="41" t="n"/>
      <c r="K588" s="41" t="n"/>
      <c r="L588" s="41" t="n"/>
      <c r="M588" s="31">
        <f>IF(COUNT(J588:L588)=0,"",MEDIAN(J588:L588))</f>
        <v/>
      </c>
      <c r="N588" s="26">
        <f>IF(COUNTIFS($C:$C,$C588,$D:$D,$D588,$E:$E,"기준(전)",$M:$M,"&gt;0")&lt;&gt;1,"기준(전) 유효 1개 아님",IF(COUNTIFS($C:$C,$C588,$D:$D,$D588,$E:$E,"기준(후)",$M:$M,"&gt;0")&lt;&gt;1,"기준(후) 유효 1개 아님",IF(NOT(AND(ISNUMBER(O588),ISNUMBER(Q588),ISNUMBER(I588))),"시각 결측",IF(Q588&lt;=O588,"기준 시각 역전",IF(OR(I588&lt;O588,I588&gt;Q588),"측정시각 구간 밖","OK")))))</f>
        <v/>
      </c>
      <c r="O588" s="48">
        <f>IF(COUNTIFS($C:$C,$C588,$D:$D,$D588,$E:$E,"기준(전)",$M:$M,"&gt;0")&lt;&gt;1,"",SUMIFS($I:$I,$C:$C,$C588,$D:$D,$D588,$E:$E,"기준(전)"))</f>
        <v/>
      </c>
      <c r="P588" s="31">
        <f>IF(COUNTIFS($C:$C,$C588,$D:$D,$D588,$E:$E,"기준(전)",$M:$M,"&gt;0")&lt;&gt;1,"",SUMIFS($M:$M,$C:$C,$C588,$D:$D,$D588,$E:$E,"기준(전)"))</f>
        <v/>
      </c>
      <c r="Q588" s="48">
        <f>IF(COUNTIFS($C:$C,$C588,$D:$D,$D588,$E:$E,"기준(후)",$M:$M,"&gt;0")&lt;&gt;1,"",SUMIFS($I:$I,$C:$C,$C588,$D:$D,$D588,$E:$E,"기준(후)"))</f>
        <v/>
      </c>
      <c r="R588" s="31">
        <f>IF(COUNTIFS($C:$C,$C588,$D:$D,$D588,$E:$E,"기준(후)",$M:$M,"&gt;0")&lt;&gt;1,"",SUMIFS($M:$M,$C:$C,$C588,$D:$D,$D588,$E:$E,"기준(후)"))</f>
        <v/>
      </c>
      <c r="S588" s="31">
        <f>IF(N588&lt;&gt;"OK","",P588+(R588-P588)*(I588-O588)/(Q588-O588))</f>
        <v/>
      </c>
      <c r="T588" s="31">
        <f>IF(OR(N588&lt;&gt;"OK",NOT(ISNUMBER(M588))),"",M588-S588)</f>
        <v/>
      </c>
      <c r="U588" s="49">
        <f>IF(OR($E587&lt;&gt;"측정",$C587&lt;&gt;$C588,$D587&lt;&gt;$D588,NOT(ISNUMBER(M588)),NOT(ISNUMBER(M587)),(IF(ISNUMBER(G588),G588,F588)-IF(ISNUMBER(G587),G587,F587))=0),"",(M588-M587)/((IF(ISNUMBER(G588),G588,F588)-IF(ISNUMBER(G587),G587,F587))/100))</f>
        <v/>
      </c>
      <c r="V588" s="29" t="n"/>
      <c r="W588" s="29" t="n"/>
      <c r="X588" s="32" t="n"/>
    </row>
    <row r="589">
      <c r="A589" s="26" t="inlineStr">
        <is>
          <t>S49</t>
        </is>
      </c>
      <c r="B589" s="26" t="inlineStr">
        <is>
          <t>제천</t>
        </is>
      </c>
      <c r="C589" s="26" t="inlineStr">
        <is>
          <t>S49-V</t>
        </is>
      </c>
      <c r="D589" s="47" t="n">
        <v>1</v>
      </c>
      <c r="E589" s="26" t="inlineStr">
        <is>
          <t>측정</t>
        </is>
      </c>
      <c r="F589" s="47" t="n">
        <v>140</v>
      </c>
      <c r="G589" s="41" t="n"/>
      <c r="H589" s="29" t="n"/>
      <c r="I589" s="43" t="n"/>
      <c r="J589" s="41" t="n"/>
      <c r="K589" s="41" t="n"/>
      <c r="L589" s="41" t="n"/>
      <c r="M589" s="31">
        <f>IF(COUNT(J589:L589)=0,"",MEDIAN(J589:L589))</f>
        <v/>
      </c>
      <c r="N589" s="26">
        <f>IF(COUNTIFS($C:$C,$C589,$D:$D,$D589,$E:$E,"기준(전)",$M:$M,"&gt;0")&lt;&gt;1,"기준(전) 유효 1개 아님",IF(COUNTIFS($C:$C,$C589,$D:$D,$D589,$E:$E,"기준(후)",$M:$M,"&gt;0")&lt;&gt;1,"기준(후) 유효 1개 아님",IF(NOT(AND(ISNUMBER(O589),ISNUMBER(Q589),ISNUMBER(I589))),"시각 결측",IF(Q589&lt;=O589,"기준 시각 역전",IF(OR(I589&lt;O589,I589&gt;Q589),"측정시각 구간 밖","OK")))))</f>
        <v/>
      </c>
      <c r="O589" s="48">
        <f>IF(COUNTIFS($C:$C,$C589,$D:$D,$D589,$E:$E,"기준(전)",$M:$M,"&gt;0")&lt;&gt;1,"",SUMIFS($I:$I,$C:$C,$C589,$D:$D,$D589,$E:$E,"기준(전)"))</f>
        <v/>
      </c>
      <c r="P589" s="31">
        <f>IF(COUNTIFS($C:$C,$C589,$D:$D,$D589,$E:$E,"기준(전)",$M:$M,"&gt;0")&lt;&gt;1,"",SUMIFS($M:$M,$C:$C,$C589,$D:$D,$D589,$E:$E,"기준(전)"))</f>
        <v/>
      </c>
      <c r="Q589" s="48">
        <f>IF(COUNTIFS($C:$C,$C589,$D:$D,$D589,$E:$E,"기준(후)",$M:$M,"&gt;0")&lt;&gt;1,"",SUMIFS($I:$I,$C:$C,$C589,$D:$D,$D589,$E:$E,"기준(후)"))</f>
        <v/>
      </c>
      <c r="R589" s="31">
        <f>IF(COUNTIFS($C:$C,$C589,$D:$D,$D589,$E:$E,"기준(후)",$M:$M,"&gt;0")&lt;&gt;1,"",SUMIFS($M:$M,$C:$C,$C589,$D:$D,$D589,$E:$E,"기준(후)"))</f>
        <v/>
      </c>
      <c r="S589" s="31">
        <f>IF(N589&lt;&gt;"OK","",P589+(R589-P589)*(I589-O589)/(Q589-O589))</f>
        <v/>
      </c>
      <c r="T589" s="31">
        <f>IF(OR(N589&lt;&gt;"OK",NOT(ISNUMBER(M589))),"",M589-S589)</f>
        <v/>
      </c>
      <c r="U589" s="49">
        <f>IF(OR($E588&lt;&gt;"측정",$C588&lt;&gt;$C589,$D588&lt;&gt;$D589,NOT(ISNUMBER(M589)),NOT(ISNUMBER(M588)),(IF(ISNUMBER(G589),G589,F589)-IF(ISNUMBER(G588),G588,F588))=0),"",(M589-M588)/((IF(ISNUMBER(G589),G589,F589)-IF(ISNUMBER(G588),G588,F588))/100))</f>
        <v/>
      </c>
      <c r="V589" s="29" t="n"/>
      <c r="W589" s="29" t="n"/>
      <c r="X589" s="32" t="n"/>
    </row>
    <row r="590">
      <c r="A590" s="26" t="inlineStr">
        <is>
          <t>S49</t>
        </is>
      </c>
      <c r="B590" s="26" t="inlineStr">
        <is>
          <t>제천</t>
        </is>
      </c>
      <c r="C590" s="26" t="inlineStr">
        <is>
          <t>S49-V</t>
        </is>
      </c>
      <c r="D590" s="47" t="n">
        <v>1</v>
      </c>
      <c r="E590" s="26" t="inlineStr">
        <is>
          <t>측정</t>
        </is>
      </c>
      <c r="F590" s="47" t="n">
        <v>160</v>
      </c>
      <c r="G590" s="41" t="n"/>
      <c r="H590" s="29" t="n"/>
      <c r="I590" s="43" t="n"/>
      <c r="J590" s="41" t="n"/>
      <c r="K590" s="41" t="n"/>
      <c r="L590" s="41" t="n"/>
      <c r="M590" s="31">
        <f>IF(COUNT(J590:L590)=0,"",MEDIAN(J590:L590))</f>
        <v/>
      </c>
      <c r="N590" s="26">
        <f>IF(COUNTIFS($C:$C,$C590,$D:$D,$D590,$E:$E,"기준(전)",$M:$M,"&gt;0")&lt;&gt;1,"기준(전) 유효 1개 아님",IF(COUNTIFS($C:$C,$C590,$D:$D,$D590,$E:$E,"기준(후)",$M:$M,"&gt;0")&lt;&gt;1,"기준(후) 유효 1개 아님",IF(NOT(AND(ISNUMBER(O590),ISNUMBER(Q590),ISNUMBER(I590))),"시각 결측",IF(Q590&lt;=O590,"기준 시각 역전",IF(OR(I590&lt;O590,I590&gt;Q590),"측정시각 구간 밖","OK")))))</f>
        <v/>
      </c>
      <c r="O590" s="48">
        <f>IF(COUNTIFS($C:$C,$C590,$D:$D,$D590,$E:$E,"기준(전)",$M:$M,"&gt;0")&lt;&gt;1,"",SUMIFS($I:$I,$C:$C,$C590,$D:$D,$D590,$E:$E,"기준(전)"))</f>
        <v/>
      </c>
      <c r="P590" s="31">
        <f>IF(COUNTIFS($C:$C,$C590,$D:$D,$D590,$E:$E,"기준(전)",$M:$M,"&gt;0")&lt;&gt;1,"",SUMIFS($M:$M,$C:$C,$C590,$D:$D,$D590,$E:$E,"기준(전)"))</f>
        <v/>
      </c>
      <c r="Q590" s="48">
        <f>IF(COUNTIFS($C:$C,$C590,$D:$D,$D590,$E:$E,"기준(후)",$M:$M,"&gt;0")&lt;&gt;1,"",SUMIFS($I:$I,$C:$C,$C590,$D:$D,$D590,$E:$E,"기준(후)"))</f>
        <v/>
      </c>
      <c r="R590" s="31">
        <f>IF(COUNTIFS($C:$C,$C590,$D:$D,$D590,$E:$E,"기준(후)",$M:$M,"&gt;0")&lt;&gt;1,"",SUMIFS($M:$M,$C:$C,$C590,$D:$D,$D590,$E:$E,"기준(후)"))</f>
        <v/>
      </c>
      <c r="S590" s="31">
        <f>IF(N590&lt;&gt;"OK","",P590+(R590-P590)*(I590-O590)/(Q590-O590))</f>
        <v/>
      </c>
      <c r="T590" s="31">
        <f>IF(OR(N590&lt;&gt;"OK",NOT(ISNUMBER(M590))),"",M590-S590)</f>
        <v/>
      </c>
      <c r="U590" s="49">
        <f>IF(OR($E589&lt;&gt;"측정",$C589&lt;&gt;$C590,$D589&lt;&gt;$D590,NOT(ISNUMBER(M590)),NOT(ISNUMBER(M589)),(IF(ISNUMBER(G590),G590,F590)-IF(ISNUMBER(G589),G589,F589))=0),"",(M590-M589)/((IF(ISNUMBER(G590),G590,F590)-IF(ISNUMBER(G589),G589,F589))/100))</f>
        <v/>
      </c>
      <c r="V590" s="29" t="n"/>
      <c r="W590" s="29" t="n"/>
      <c r="X590" s="32" t="n"/>
    </row>
    <row r="591">
      <c r="A591" s="26" t="inlineStr">
        <is>
          <t>S49</t>
        </is>
      </c>
      <c r="B591" s="26" t="inlineStr">
        <is>
          <t>제천</t>
        </is>
      </c>
      <c r="C591" s="26" t="inlineStr">
        <is>
          <t>S49-V</t>
        </is>
      </c>
      <c r="D591" s="47" t="n">
        <v>1</v>
      </c>
      <c r="E591" s="26" t="inlineStr">
        <is>
          <t>측정</t>
        </is>
      </c>
      <c r="F591" s="47" t="n">
        <v>180</v>
      </c>
      <c r="G591" s="41" t="n"/>
      <c r="H591" s="29" t="n"/>
      <c r="I591" s="43" t="n"/>
      <c r="J591" s="41" t="n"/>
      <c r="K591" s="41" t="n"/>
      <c r="L591" s="41" t="n"/>
      <c r="M591" s="31">
        <f>IF(COUNT(J591:L591)=0,"",MEDIAN(J591:L591))</f>
        <v/>
      </c>
      <c r="N591" s="26">
        <f>IF(COUNTIFS($C:$C,$C591,$D:$D,$D591,$E:$E,"기준(전)",$M:$M,"&gt;0")&lt;&gt;1,"기준(전) 유효 1개 아님",IF(COUNTIFS($C:$C,$C591,$D:$D,$D591,$E:$E,"기준(후)",$M:$M,"&gt;0")&lt;&gt;1,"기준(후) 유효 1개 아님",IF(NOT(AND(ISNUMBER(O591),ISNUMBER(Q591),ISNUMBER(I591))),"시각 결측",IF(Q591&lt;=O591,"기준 시각 역전",IF(OR(I591&lt;O591,I591&gt;Q591),"측정시각 구간 밖","OK")))))</f>
        <v/>
      </c>
      <c r="O591" s="48">
        <f>IF(COUNTIFS($C:$C,$C591,$D:$D,$D591,$E:$E,"기준(전)",$M:$M,"&gt;0")&lt;&gt;1,"",SUMIFS($I:$I,$C:$C,$C591,$D:$D,$D591,$E:$E,"기준(전)"))</f>
        <v/>
      </c>
      <c r="P591" s="31">
        <f>IF(COUNTIFS($C:$C,$C591,$D:$D,$D591,$E:$E,"기준(전)",$M:$M,"&gt;0")&lt;&gt;1,"",SUMIFS($M:$M,$C:$C,$C591,$D:$D,$D591,$E:$E,"기준(전)"))</f>
        <v/>
      </c>
      <c r="Q591" s="48">
        <f>IF(COUNTIFS($C:$C,$C591,$D:$D,$D591,$E:$E,"기준(후)",$M:$M,"&gt;0")&lt;&gt;1,"",SUMIFS($I:$I,$C:$C,$C591,$D:$D,$D591,$E:$E,"기준(후)"))</f>
        <v/>
      </c>
      <c r="R591" s="31">
        <f>IF(COUNTIFS($C:$C,$C591,$D:$D,$D591,$E:$E,"기준(후)",$M:$M,"&gt;0")&lt;&gt;1,"",SUMIFS($M:$M,$C:$C,$C591,$D:$D,$D591,$E:$E,"기준(후)"))</f>
        <v/>
      </c>
      <c r="S591" s="31">
        <f>IF(N591&lt;&gt;"OK","",P591+(R591-P591)*(I591-O591)/(Q591-O591))</f>
        <v/>
      </c>
      <c r="T591" s="31">
        <f>IF(OR(N591&lt;&gt;"OK",NOT(ISNUMBER(M591))),"",M591-S591)</f>
        <v/>
      </c>
      <c r="U591" s="49">
        <f>IF(OR($E590&lt;&gt;"측정",$C590&lt;&gt;$C591,$D590&lt;&gt;$D591,NOT(ISNUMBER(M591)),NOT(ISNUMBER(M590)),(IF(ISNUMBER(G591),G591,F591)-IF(ISNUMBER(G590),G590,F590))=0),"",(M591-M590)/((IF(ISNUMBER(G591),G591,F591)-IF(ISNUMBER(G590),G590,F590))/100))</f>
        <v/>
      </c>
      <c r="V591" s="29" t="n"/>
      <c r="W591" s="29" t="n"/>
      <c r="X591" s="32" t="n"/>
    </row>
    <row r="592">
      <c r="A592" s="26" t="inlineStr">
        <is>
          <t>S49</t>
        </is>
      </c>
      <c r="B592" s="26" t="inlineStr">
        <is>
          <t>제천</t>
        </is>
      </c>
      <c r="C592" s="26" t="inlineStr">
        <is>
          <t>S49-V</t>
        </is>
      </c>
      <c r="D592" s="47" t="n">
        <v>1</v>
      </c>
      <c r="E592" s="26" t="inlineStr">
        <is>
          <t>측정</t>
        </is>
      </c>
      <c r="F592" s="47" t="n">
        <v>200</v>
      </c>
      <c r="G592" s="41" t="n"/>
      <c r="H592" s="29" t="n"/>
      <c r="I592" s="43" t="n"/>
      <c r="J592" s="41" t="n"/>
      <c r="K592" s="41" t="n"/>
      <c r="L592" s="41" t="n"/>
      <c r="M592" s="31">
        <f>IF(COUNT(J592:L592)=0,"",MEDIAN(J592:L592))</f>
        <v/>
      </c>
      <c r="N592" s="26">
        <f>IF(COUNTIFS($C:$C,$C592,$D:$D,$D592,$E:$E,"기준(전)",$M:$M,"&gt;0")&lt;&gt;1,"기준(전) 유효 1개 아님",IF(COUNTIFS($C:$C,$C592,$D:$D,$D592,$E:$E,"기준(후)",$M:$M,"&gt;0")&lt;&gt;1,"기준(후) 유효 1개 아님",IF(NOT(AND(ISNUMBER(O592),ISNUMBER(Q592),ISNUMBER(I592))),"시각 결측",IF(Q592&lt;=O592,"기준 시각 역전",IF(OR(I592&lt;O592,I592&gt;Q592),"측정시각 구간 밖","OK")))))</f>
        <v/>
      </c>
      <c r="O592" s="48">
        <f>IF(COUNTIFS($C:$C,$C592,$D:$D,$D592,$E:$E,"기준(전)",$M:$M,"&gt;0")&lt;&gt;1,"",SUMIFS($I:$I,$C:$C,$C592,$D:$D,$D592,$E:$E,"기준(전)"))</f>
        <v/>
      </c>
      <c r="P592" s="31">
        <f>IF(COUNTIFS($C:$C,$C592,$D:$D,$D592,$E:$E,"기준(전)",$M:$M,"&gt;0")&lt;&gt;1,"",SUMIFS($M:$M,$C:$C,$C592,$D:$D,$D592,$E:$E,"기준(전)"))</f>
        <v/>
      </c>
      <c r="Q592" s="48">
        <f>IF(COUNTIFS($C:$C,$C592,$D:$D,$D592,$E:$E,"기준(후)",$M:$M,"&gt;0")&lt;&gt;1,"",SUMIFS($I:$I,$C:$C,$C592,$D:$D,$D592,$E:$E,"기준(후)"))</f>
        <v/>
      </c>
      <c r="R592" s="31">
        <f>IF(COUNTIFS($C:$C,$C592,$D:$D,$D592,$E:$E,"기준(후)",$M:$M,"&gt;0")&lt;&gt;1,"",SUMIFS($M:$M,$C:$C,$C592,$D:$D,$D592,$E:$E,"기준(후)"))</f>
        <v/>
      </c>
      <c r="S592" s="31">
        <f>IF(N592&lt;&gt;"OK","",P592+(R592-P592)*(I592-O592)/(Q592-O592))</f>
        <v/>
      </c>
      <c r="T592" s="31">
        <f>IF(OR(N592&lt;&gt;"OK",NOT(ISNUMBER(M592))),"",M592-S592)</f>
        <v/>
      </c>
      <c r="U592" s="49">
        <f>IF(OR($E591&lt;&gt;"측정",$C591&lt;&gt;$C592,$D591&lt;&gt;$D592,NOT(ISNUMBER(M592)),NOT(ISNUMBER(M591)),(IF(ISNUMBER(G592),G592,F592)-IF(ISNUMBER(G591),G591,F591))=0),"",(M592-M591)/((IF(ISNUMBER(G592),G592,F592)-IF(ISNUMBER(G591),G591,F591))/100))</f>
        <v/>
      </c>
      <c r="V592" s="29" t="n"/>
      <c r="W592" s="29" t="n"/>
      <c r="X592" s="32" t="n"/>
    </row>
    <row r="593">
      <c r="A593" s="44" t="inlineStr">
        <is>
          <t>S49</t>
        </is>
      </c>
      <c r="B593" s="44" t="inlineStr">
        <is>
          <t>제천</t>
        </is>
      </c>
      <c r="C593" s="44" t="inlineStr">
        <is>
          <t>S49-V</t>
        </is>
      </c>
      <c r="D593" s="45" t="n">
        <v>1</v>
      </c>
      <c r="E593" s="44" t="inlineStr">
        <is>
          <t>기준(후)</t>
        </is>
      </c>
      <c r="F593" s="45" t="n"/>
      <c r="G593" s="41" t="n"/>
      <c r="H593" s="29" t="n"/>
      <c r="I593" s="43" t="n"/>
      <c r="J593" s="41" t="n"/>
      <c r="K593" s="41" t="n"/>
      <c r="L593" s="41" t="n"/>
      <c r="M593" s="31">
        <f>IF(COUNT(J593:L593)=0,"",MEDIAN(J593:L593))</f>
        <v/>
      </c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29" t="n"/>
      <c r="W593" s="29" t="n"/>
      <c r="X593" s="32" t="n"/>
    </row>
    <row r="594">
      <c r="A594" s="44" t="inlineStr">
        <is>
          <t>S50</t>
        </is>
      </c>
      <c r="B594" s="44" t="inlineStr">
        <is>
          <t>함양</t>
        </is>
      </c>
      <c r="C594" s="44" t="inlineStr">
        <is>
          <t>S50-V</t>
        </is>
      </c>
      <c r="D594" s="45" t="n">
        <v>1</v>
      </c>
      <c r="E594" s="44" t="inlineStr">
        <is>
          <t>기준(전)</t>
        </is>
      </c>
      <c r="F594" s="45" t="n"/>
      <c r="G594" s="41" t="n"/>
      <c r="H594" s="29" t="n"/>
      <c r="I594" s="43" t="n"/>
      <c r="J594" s="41" t="n"/>
      <c r="K594" s="41" t="n"/>
      <c r="L594" s="41" t="n"/>
      <c r="M594" s="31">
        <f>IF(COUNT(J594:L594)=0,"",MEDIAN(J594:L594))</f>
        <v/>
      </c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29" t="n"/>
      <c r="W594" s="29" t="n"/>
      <c r="X594" s="32" t="n"/>
    </row>
    <row r="595">
      <c r="A595" s="26" t="inlineStr">
        <is>
          <t>S50</t>
        </is>
      </c>
      <c r="B595" s="26" t="inlineStr">
        <is>
          <t>함양</t>
        </is>
      </c>
      <c r="C595" s="26" t="inlineStr">
        <is>
          <t>S50-V</t>
        </is>
      </c>
      <c r="D595" s="47" t="n">
        <v>1</v>
      </c>
      <c r="E595" s="26" t="inlineStr">
        <is>
          <t>측정</t>
        </is>
      </c>
      <c r="F595" s="47" t="n">
        <v>20</v>
      </c>
      <c r="G595" s="41" t="n"/>
      <c r="H595" s="29" t="n"/>
      <c r="I595" s="43" t="n"/>
      <c r="J595" s="41" t="n"/>
      <c r="K595" s="41" t="n"/>
      <c r="L595" s="41" t="n"/>
      <c r="M595" s="31">
        <f>IF(COUNT(J595:L595)=0,"",MEDIAN(J595:L595))</f>
        <v/>
      </c>
      <c r="N595" s="26">
        <f>IF(COUNTIFS($C:$C,$C595,$D:$D,$D595,$E:$E,"기준(전)",$M:$M,"&gt;0")&lt;&gt;1,"기준(전) 유효 1개 아님",IF(COUNTIFS($C:$C,$C595,$D:$D,$D595,$E:$E,"기준(후)",$M:$M,"&gt;0")&lt;&gt;1,"기준(후) 유효 1개 아님",IF(NOT(AND(ISNUMBER(O595),ISNUMBER(Q595),ISNUMBER(I595))),"시각 결측",IF(Q595&lt;=O595,"기준 시각 역전",IF(OR(I595&lt;O595,I595&gt;Q595),"측정시각 구간 밖","OK")))))</f>
        <v/>
      </c>
      <c r="O595" s="48">
        <f>IF(COUNTIFS($C:$C,$C595,$D:$D,$D595,$E:$E,"기준(전)",$M:$M,"&gt;0")&lt;&gt;1,"",SUMIFS($I:$I,$C:$C,$C595,$D:$D,$D595,$E:$E,"기준(전)"))</f>
        <v/>
      </c>
      <c r="P595" s="31">
        <f>IF(COUNTIFS($C:$C,$C595,$D:$D,$D595,$E:$E,"기준(전)",$M:$M,"&gt;0")&lt;&gt;1,"",SUMIFS($M:$M,$C:$C,$C595,$D:$D,$D595,$E:$E,"기준(전)"))</f>
        <v/>
      </c>
      <c r="Q595" s="48">
        <f>IF(COUNTIFS($C:$C,$C595,$D:$D,$D595,$E:$E,"기준(후)",$M:$M,"&gt;0")&lt;&gt;1,"",SUMIFS($I:$I,$C:$C,$C595,$D:$D,$D595,$E:$E,"기준(후)"))</f>
        <v/>
      </c>
      <c r="R595" s="31">
        <f>IF(COUNTIFS($C:$C,$C595,$D:$D,$D595,$E:$E,"기준(후)",$M:$M,"&gt;0")&lt;&gt;1,"",SUMIFS($M:$M,$C:$C,$C595,$D:$D,$D595,$E:$E,"기준(후)"))</f>
        <v/>
      </c>
      <c r="S595" s="31">
        <f>IF(N595&lt;&gt;"OK","",P595+(R595-P595)*(I595-O595)/(Q595-O595))</f>
        <v/>
      </c>
      <c r="T595" s="31">
        <f>IF(OR(N595&lt;&gt;"OK",NOT(ISNUMBER(M595))),"",M595-S595)</f>
        <v/>
      </c>
      <c r="U595" s="49">
        <f>IF(OR($E594&lt;&gt;"측정",$C594&lt;&gt;$C595,$D594&lt;&gt;$D595,NOT(ISNUMBER(M595)),NOT(ISNUMBER(M594)),(IF(ISNUMBER(G595),G595,F595)-IF(ISNUMBER(G594),G594,F594))=0),"",(M595-M594)/((IF(ISNUMBER(G595),G595,F595)-IF(ISNUMBER(G594),G594,F594))/100))</f>
        <v/>
      </c>
      <c r="V595" s="29" t="n"/>
      <c r="W595" s="29" t="n"/>
      <c r="X595" s="32" t="n"/>
    </row>
    <row r="596">
      <c r="A596" s="26" t="inlineStr">
        <is>
          <t>S50</t>
        </is>
      </c>
      <c r="B596" s="26" t="inlineStr">
        <is>
          <t>함양</t>
        </is>
      </c>
      <c r="C596" s="26" t="inlineStr">
        <is>
          <t>S50-V</t>
        </is>
      </c>
      <c r="D596" s="47" t="n">
        <v>1</v>
      </c>
      <c r="E596" s="26" t="inlineStr">
        <is>
          <t>측정</t>
        </is>
      </c>
      <c r="F596" s="47" t="n">
        <v>40</v>
      </c>
      <c r="G596" s="41" t="n"/>
      <c r="H596" s="29" t="n"/>
      <c r="I596" s="43" t="n"/>
      <c r="J596" s="41" t="n"/>
      <c r="K596" s="41" t="n"/>
      <c r="L596" s="41" t="n"/>
      <c r="M596" s="31">
        <f>IF(COUNT(J596:L596)=0,"",MEDIAN(J596:L596))</f>
        <v/>
      </c>
      <c r="N596" s="26">
        <f>IF(COUNTIFS($C:$C,$C596,$D:$D,$D596,$E:$E,"기준(전)",$M:$M,"&gt;0")&lt;&gt;1,"기준(전) 유효 1개 아님",IF(COUNTIFS($C:$C,$C596,$D:$D,$D596,$E:$E,"기준(후)",$M:$M,"&gt;0")&lt;&gt;1,"기준(후) 유효 1개 아님",IF(NOT(AND(ISNUMBER(O596),ISNUMBER(Q596),ISNUMBER(I596))),"시각 결측",IF(Q596&lt;=O596,"기준 시각 역전",IF(OR(I596&lt;O596,I596&gt;Q596),"측정시각 구간 밖","OK")))))</f>
        <v/>
      </c>
      <c r="O596" s="48">
        <f>IF(COUNTIFS($C:$C,$C596,$D:$D,$D596,$E:$E,"기준(전)",$M:$M,"&gt;0")&lt;&gt;1,"",SUMIFS($I:$I,$C:$C,$C596,$D:$D,$D596,$E:$E,"기준(전)"))</f>
        <v/>
      </c>
      <c r="P596" s="31">
        <f>IF(COUNTIFS($C:$C,$C596,$D:$D,$D596,$E:$E,"기준(전)",$M:$M,"&gt;0")&lt;&gt;1,"",SUMIFS($M:$M,$C:$C,$C596,$D:$D,$D596,$E:$E,"기준(전)"))</f>
        <v/>
      </c>
      <c r="Q596" s="48">
        <f>IF(COUNTIFS($C:$C,$C596,$D:$D,$D596,$E:$E,"기준(후)",$M:$M,"&gt;0")&lt;&gt;1,"",SUMIFS($I:$I,$C:$C,$C596,$D:$D,$D596,$E:$E,"기준(후)"))</f>
        <v/>
      </c>
      <c r="R596" s="31">
        <f>IF(COUNTIFS($C:$C,$C596,$D:$D,$D596,$E:$E,"기준(후)",$M:$M,"&gt;0")&lt;&gt;1,"",SUMIFS($M:$M,$C:$C,$C596,$D:$D,$D596,$E:$E,"기준(후)"))</f>
        <v/>
      </c>
      <c r="S596" s="31">
        <f>IF(N596&lt;&gt;"OK","",P596+(R596-P596)*(I596-O596)/(Q596-O596))</f>
        <v/>
      </c>
      <c r="T596" s="31">
        <f>IF(OR(N596&lt;&gt;"OK",NOT(ISNUMBER(M596))),"",M596-S596)</f>
        <v/>
      </c>
      <c r="U596" s="49">
        <f>IF(OR($E595&lt;&gt;"측정",$C595&lt;&gt;$C596,$D595&lt;&gt;$D596,NOT(ISNUMBER(M596)),NOT(ISNUMBER(M595)),(IF(ISNUMBER(G596),G596,F596)-IF(ISNUMBER(G595),G595,F595))=0),"",(M596-M595)/((IF(ISNUMBER(G596),G596,F596)-IF(ISNUMBER(G595),G595,F595))/100))</f>
        <v/>
      </c>
      <c r="V596" s="29" t="n"/>
      <c r="W596" s="29" t="n"/>
      <c r="X596" s="32" t="n"/>
    </row>
    <row r="597">
      <c r="A597" s="26" t="inlineStr">
        <is>
          <t>S50</t>
        </is>
      </c>
      <c r="B597" s="26" t="inlineStr">
        <is>
          <t>함양</t>
        </is>
      </c>
      <c r="C597" s="26" t="inlineStr">
        <is>
          <t>S50-V</t>
        </is>
      </c>
      <c r="D597" s="47" t="n">
        <v>1</v>
      </c>
      <c r="E597" s="26" t="inlineStr">
        <is>
          <t>측정</t>
        </is>
      </c>
      <c r="F597" s="47" t="n">
        <v>60</v>
      </c>
      <c r="G597" s="41" t="n"/>
      <c r="H597" s="29" t="n"/>
      <c r="I597" s="43" t="n"/>
      <c r="J597" s="41" t="n"/>
      <c r="K597" s="41" t="n"/>
      <c r="L597" s="41" t="n"/>
      <c r="M597" s="31">
        <f>IF(COUNT(J597:L597)=0,"",MEDIAN(J597:L597))</f>
        <v/>
      </c>
      <c r="N597" s="26">
        <f>IF(COUNTIFS($C:$C,$C597,$D:$D,$D597,$E:$E,"기준(전)",$M:$M,"&gt;0")&lt;&gt;1,"기준(전) 유효 1개 아님",IF(COUNTIFS($C:$C,$C597,$D:$D,$D597,$E:$E,"기준(후)",$M:$M,"&gt;0")&lt;&gt;1,"기준(후) 유효 1개 아님",IF(NOT(AND(ISNUMBER(O597),ISNUMBER(Q597),ISNUMBER(I597))),"시각 결측",IF(Q597&lt;=O597,"기준 시각 역전",IF(OR(I597&lt;O597,I597&gt;Q597),"측정시각 구간 밖","OK")))))</f>
        <v/>
      </c>
      <c r="O597" s="48">
        <f>IF(COUNTIFS($C:$C,$C597,$D:$D,$D597,$E:$E,"기준(전)",$M:$M,"&gt;0")&lt;&gt;1,"",SUMIFS($I:$I,$C:$C,$C597,$D:$D,$D597,$E:$E,"기준(전)"))</f>
        <v/>
      </c>
      <c r="P597" s="31">
        <f>IF(COUNTIFS($C:$C,$C597,$D:$D,$D597,$E:$E,"기준(전)",$M:$M,"&gt;0")&lt;&gt;1,"",SUMIFS($M:$M,$C:$C,$C597,$D:$D,$D597,$E:$E,"기준(전)"))</f>
        <v/>
      </c>
      <c r="Q597" s="48">
        <f>IF(COUNTIFS($C:$C,$C597,$D:$D,$D597,$E:$E,"기준(후)",$M:$M,"&gt;0")&lt;&gt;1,"",SUMIFS($I:$I,$C:$C,$C597,$D:$D,$D597,$E:$E,"기준(후)"))</f>
        <v/>
      </c>
      <c r="R597" s="31">
        <f>IF(COUNTIFS($C:$C,$C597,$D:$D,$D597,$E:$E,"기준(후)",$M:$M,"&gt;0")&lt;&gt;1,"",SUMIFS($M:$M,$C:$C,$C597,$D:$D,$D597,$E:$E,"기준(후)"))</f>
        <v/>
      </c>
      <c r="S597" s="31">
        <f>IF(N597&lt;&gt;"OK","",P597+(R597-P597)*(I597-O597)/(Q597-O597))</f>
        <v/>
      </c>
      <c r="T597" s="31">
        <f>IF(OR(N597&lt;&gt;"OK",NOT(ISNUMBER(M597))),"",M597-S597)</f>
        <v/>
      </c>
      <c r="U597" s="49">
        <f>IF(OR($E596&lt;&gt;"측정",$C596&lt;&gt;$C597,$D596&lt;&gt;$D597,NOT(ISNUMBER(M597)),NOT(ISNUMBER(M596)),(IF(ISNUMBER(G597),G597,F597)-IF(ISNUMBER(G596),G596,F596))=0),"",(M597-M596)/((IF(ISNUMBER(G597),G597,F597)-IF(ISNUMBER(G596),G596,F596))/100))</f>
        <v/>
      </c>
      <c r="V597" s="29" t="n"/>
      <c r="W597" s="29" t="n"/>
      <c r="X597" s="32" t="n"/>
    </row>
    <row r="598">
      <c r="A598" s="26" t="inlineStr">
        <is>
          <t>S50</t>
        </is>
      </c>
      <c r="B598" s="26" t="inlineStr">
        <is>
          <t>함양</t>
        </is>
      </c>
      <c r="C598" s="26" t="inlineStr">
        <is>
          <t>S50-V</t>
        </is>
      </c>
      <c r="D598" s="47" t="n">
        <v>1</v>
      </c>
      <c r="E598" s="26" t="inlineStr">
        <is>
          <t>측정</t>
        </is>
      </c>
      <c r="F598" s="47" t="n">
        <v>80</v>
      </c>
      <c r="G598" s="41" t="n"/>
      <c r="H598" s="29" t="n"/>
      <c r="I598" s="43" t="n"/>
      <c r="J598" s="41" t="n"/>
      <c r="K598" s="41" t="n"/>
      <c r="L598" s="41" t="n"/>
      <c r="M598" s="31">
        <f>IF(COUNT(J598:L598)=0,"",MEDIAN(J598:L598))</f>
        <v/>
      </c>
      <c r="N598" s="26">
        <f>IF(COUNTIFS($C:$C,$C598,$D:$D,$D598,$E:$E,"기준(전)",$M:$M,"&gt;0")&lt;&gt;1,"기준(전) 유효 1개 아님",IF(COUNTIFS($C:$C,$C598,$D:$D,$D598,$E:$E,"기준(후)",$M:$M,"&gt;0")&lt;&gt;1,"기준(후) 유효 1개 아님",IF(NOT(AND(ISNUMBER(O598),ISNUMBER(Q598),ISNUMBER(I598))),"시각 결측",IF(Q598&lt;=O598,"기준 시각 역전",IF(OR(I598&lt;O598,I598&gt;Q598),"측정시각 구간 밖","OK")))))</f>
        <v/>
      </c>
      <c r="O598" s="48">
        <f>IF(COUNTIFS($C:$C,$C598,$D:$D,$D598,$E:$E,"기준(전)",$M:$M,"&gt;0")&lt;&gt;1,"",SUMIFS($I:$I,$C:$C,$C598,$D:$D,$D598,$E:$E,"기준(전)"))</f>
        <v/>
      </c>
      <c r="P598" s="31">
        <f>IF(COUNTIFS($C:$C,$C598,$D:$D,$D598,$E:$E,"기준(전)",$M:$M,"&gt;0")&lt;&gt;1,"",SUMIFS($M:$M,$C:$C,$C598,$D:$D,$D598,$E:$E,"기준(전)"))</f>
        <v/>
      </c>
      <c r="Q598" s="48">
        <f>IF(COUNTIFS($C:$C,$C598,$D:$D,$D598,$E:$E,"기준(후)",$M:$M,"&gt;0")&lt;&gt;1,"",SUMIFS($I:$I,$C:$C,$C598,$D:$D,$D598,$E:$E,"기준(후)"))</f>
        <v/>
      </c>
      <c r="R598" s="31">
        <f>IF(COUNTIFS($C:$C,$C598,$D:$D,$D598,$E:$E,"기준(후)",$M:$M,"&gt;0")&lt;&gt;1,"",SUMIFS($M:$M,$C:$C,$C598,$D:$D,$D598,$E:$E,"기준(후)"))</f>
        <v/>
      </c>
      <c r="S598" s="31">
        <f>IF(N598&lt;&gt;"OK","",P598+(R598-P598)*(I598-O598)/(Q598-O598))</f>
        <v/>
      </c>
      <c r="T598" s="31">
        <f>IF(OR(N598&lt;&gt;"OK",NOT(ISNUMBER(M598))),"",M598-S598)</f>
        <v/>
      </c>
      <c r="U598" s="49">
        <f>IF(OR($E597&lt;&gt;"측정",$C597&lt;&gt;$C598,$D597&lt;&gt;$D598,NOT(ISNUMBER(M598)),NOT(ISNUMBER(M597)),(IF(ISNUMBER(G598),G598,F598)-IF(ISNUMBER(G597),G597,F597))=0),"",(M598-M597)/((IF(ISNUMBER(G598),G598,F598)-IF(ISNUMBER(G597),G597,F597))/100))</f>
        <v/>
      </c>
      <c r="V598" s="29" t="n"/>
      <c r="W598" s="29" t="n"/>
      <c r="X598" s="32" t="n"/>
    </row>
    <row r="599">
      <c r="A599" s="26" t="inlineStr">
        <is>
          <t>S50</t>
        </is>
      </c>
      <c r="B599" s="26" t="inlineStr">
        <is>
          <t>함양</t>
        </is>
      </c>
      <c r="C599" s="26" t="inlineStr">
        <is>
          <t>S50-V</t>
        </is>
      </c>
      <c r="D599" s="47" t="n">
        <v>1</v>
      </c>
      <c r="E599" s="26" t="inlineStr">
        <is>
          <t>측정</t>
        </is>
      </c>
      <c r="F599" s="47" t="n">
        <v>100</v>
      </c>
      <c r="G599" s="41" t="n"/>
      <c r="H599" s="29" t="n"/>
      <c r="I599" s="43" t="n"/>
      <c r="J599" s="41" t="n"/>
      <c r="K599" s="41" t="n"/>
      <c r="L599" s="41" t="n"/>
      <c r="M599" s="31">
        <f>IF(COUNT(J599:L599)=0,"",MEDIAN(J599:L599))</f>
        <v/>
      </c>
      <c r="N599" s="26">
        <f>IF(COUNTIFS($C:$C,$C599,$D:$D,$D599,$E:$E,"기준(전)",$M:$M,"&gt;0")&lt;&gt;1,"기준(전) 유효 1개 아님",IF(COUNTIFS($C:$C,$C599,$D:$D,$D599,$E:$E,"기준(후)",$M:$M,"&gt;0")&lt;&gt;1,"기준(후) 유효 1개 아님",IF(NOT(AND(ISNUMBER(O599),ISNUMBER(Q599),ISNUMBER(I599))),"시각 결측",IF(Q599&lt;=O599,"기준 시각 역전",IF(OR(I599&lt;O599,I599&gt;Q599),"측정시각 구간 밖","OK")))))</f>
        <v/>
      </c>
      <c r="O599" s="48">
        <f>IF(COUNTIFS($C:$C,$C599,$D:$D,$D599,$E:$E,"기준(전)",$M:$M,"&gt;0")&lt;&gt;1,"",SUMIFS($I:$I,$C:$C,$C599,$D:$D,$D599,$E:$E,"기준(전)"))</f>
        <v/>
      </c>
      <c r="P599" s="31">
        <f>IF(COUNTIFS($C:$C,$C599,$D:$D,$D599,$E:$E,"기준(전)",$M:$M,"&gt;0")&lt;&gt;1,"",SUMIFS($M:$M,$C:$C,$C599,$D:$D,$D599,$E:$E,"기준(전)"))</f>
        <v/>
      </c>
      <c r="Q599" s="48">
        <f>IF(COUNTIFS($C:$C,$C599,$D:$D,$D599,$E:$E,"기준(후)",$M:$M,"&gt;0")&lt;&gt;1,"",SUMIFS($I:$I,$C:$C,$C599,$D:$D,$D599,$E:$E,"기준(후)"))</f>
        <v/>
      </c>
      <c r="R599" s="31">
        <f>IF(COUNTIFS($C:$C,$C599,$D:$D,$D599,$E:$E,"기준(후)",$M:$M,"&gt;0")&lt;&gt;1,"",SUMIFS($M:$M,$C:$C,$C599,$D:$D,$D599,$E:$E,"기준(후)"))</f>
        <v/>
      </c>
      <c r="S599" s="31">
        <f>IF(N599&lt;&gt;"OK","",P599+(R599-P599)*(I599-O599)/(Q599-O599))</f>
        <v/>
      </c>
      <c r="T599" s="31">
        <f>IF(OR(N599&lt;&gt;"OK",NOT(ISNUMBER(M599))),"",M599-S599)</f>
        <v/>
      </c>
      <c r="U599" s="49">
        <f>IF(OR($E598&lt;&gt;"측정",$C598&lt;&gt;$C599,$D598&lt;&gt;$D599,NOT(ISNUMBER(M599)),NOT(ISNUMBER(M598)),(IF(ISNUMBER(G599),G599,F599)-IF(ISNUMBER(G598),G598,F598))=0),"",(M599-M598)/((IF(ISNUMBER(G599),G599,F599)-IF(ISNUMBER(G598),G598,F598))/100))</f>
        <v/>
      </c>
      <c r="V599" s="29" t="n"/>
      <c r="W599" s="29" t="n"/>
      <c r="X599" s="32" t="n"/>
    </row>
    <row r="600">
      <c r="A600" s="26" t="inlineStr">
        <is>
          <t>S50</t>
        </is>
      </c>
      <c r="B600" s="26" t="inlineStr">
        <is>
          <t>함양</t>
        </is>
      </c>
      <c r="C600" s="26" t="inlineStr">
        <is>
          <t>S50-V</t>
        </is>
      </c>
      <c r="D600" s="47" t="n">
        <v>1</v>
      </c>
      <c r="E600" s="26" t="inlineStr">
        <is>
          <t>측정</t>
        </is>
      </c>
      <c r="F600" s="47" t="n">
        <v>120</v>
      </c>
      <c r="G600" s="41" t="n"/>
      <c r="H600" s="29" t="n"/>
      <c r="I600" s="43" t="n"/>
      <c r="J600" s="41" t="n"/>
      <c r="K600" s="41" t="n"/>
      <c r="L600" s="41" t="n"/>
      <c r="M600" s="31">
        <f>IF(COUNT(J600:L600)=0,"",MEDIAN(J600:L600))</f>
        <v/>
      </c>
      <c r="N600" s="26">
        <f>IF(COUNTIFS($C:$C,$C600,$D:$D,$D600,$E:$E,"기준(전)",$M:$M,"&gt;0")&lt;&gt;1,"기준(전) 유효 1개 아님",IF(COUNTIFS($C:$C,$C600,$D:$D,$D600,$E:$E,"기준(후)",$M:$M,"&gt;0")&lt;&gt;1,"기준(후) 유효 1개 아님",IF(NOT(AND(ISNUMBER(O600),ISNUMBER(Q600),ISNUMBER(I600))),"시각 결측",IF(Q600&lt;=O600,"기준 시각 역전",IF(OR(I600&lt;O600,I600&gt;Q600),"측정시각 구간 밖","OK")))))</f>
        <v/>
      </c>
      <c r="O600" s="48">
        <f>IF(COUNTIFS($C:$C,$C600,$D:$D,$D600,$E:$E,"기준(전)",$M:$M,"&gt;0")&lt;&gt;1,"",SUMIFS($I:$I,$C:$C,$C600,$D:$D,$D600,$E:$E,"기준(전)"))</f>
        <v/>
      </c>
      <c r="P600" s="31">
        <f>IF(COUNTIFS($C:$C,$C600,$D:$D,$D600,$E:$E,"기준(전)",$M:$M,"&gt;0")&lt;&gt;1,"",SUMIFS($M:$M,$C:$C,$C600,$D:$D,$D600,$E:$E,"기준(전)"))</f>
        <v/>
      </c>
      <c r="Q600" s="48">
        <f>IF(COUNTIFS($C:$C,$C600,$D:$D,$D600,$E:$E,"기준(후)",$M:$M,"&gt;0")&lt;&gt;1,"",SUMIFS($I:$I,$C:$C,$C600,$D:$D,$D600,$E:$E,"기준(후)"))</f>
        <v/>
      </c>
      <c r="R600" s="31">
        <f>IF(COUNTIFS($C:$C,$C600,$D:$D,$D600,$E:$E,"기준(후)",$M:$M,"&gt;0")&lt;&gt;1,"",SUMIFS($M:$M,$C:$C,$C600,$D:$D,$D600,$E:$E,"기준(후)"))</f>
        <v/>
      </c>
      <c r="S600" s="31">
        <f>IF(N600&lt;&gt;"OK","",P600+(R600-P600)*(I600-O600)/(Q600-O600))</f>
        <v/>
      </c>
      <c r="T600" s="31">
        <f>IF(OR(N600&lt;&gt;"OK",NOT(ISNUMBER(M600))),"",M600-S600)</f>
        <v/>
      </c>
      <c r="U600" s="49">
        <f>IF(OR($E599&lt;&gt;"측정",$C599&lt;&gt;$C600,$D599&lt;&gt;$D600,NOT(ISNUMBER(M600)),NOT(ISNUMBER(M599)),(IF(ISNUMBER(G600),G600,F600)-IF(ISNUMBER(G599),G599,F599))=0),"",(M600-M599)/((IF(ISNUMBER(G600),G600,F600)-IF(ISNUMBER(G599),G599,F599))/100))</f>
        <v/>
      </c>
      <c r="V600" s="29" t="n"/>
      <c r="W600" s="29" t="n"/>
      <c r="X600" s="32" t="n"/>
    </row>
    <row r="601">
      <c r="A601" s="26" t="inlineStr">
        <is>
          <t>S50</t>
        </is>
      </c>
      <c r="B601" s="26" t="inlineStr">
        <is>
          <t>함양</t>
        </is>
      </c>
      <c r="C601" s="26" t="inlineStr">
        <is>
          <t>S50-V</t>
        </is>
      </c>
      <c r="D601" s="47" t="n">
        <v>1</v>
      </c>
      <c r="E601" s="26" t="inlineStr">
        <is>
          <t>측정</t>
        </is>
      </c>
      <c r="F601" s="47" t="n">
        <v>140</v>
      </c>
      <c r="G601" s="41" t="n"/>
      <c r="H601" s="29" t="n"/>
      <c r="I601" s="43" t="n"/>
      <c r="J601" s="41" t="n"/>
      <c r="K601" s="41" t="n"/>
      <c r="L601" s="41" t="n"/>
      <c r="M601" s="31">
        <f>IF(COUNT(J601:L601)=0,"",MEDIAN(J601:L601))</f>
        <v/>
      </c>
      <c r="N601" s="26">
        <f>IF(COUNTIFS($C:$C,$C601,$D:$D,$D601,$E:$E,"기준(전)",$M:$M,"&gt;0")&lt;&gt;1,"기준(전) 유효 1개 아님",IF(COUNTIFS($C:$C,$C601,$D:$D,$D601,$E:$E,"기준(후)",$M:$M,"&gt;0")&lt;&gt;1,"기준(후) 유효 1개 아님",IF(NOT(AND(ISNUMBER(O601),ISNUMBER(Q601),ISNUMBER(I601))),"시각 결측",IF(Q601&lt;=O601,"기준 시각 역전",IF(OR(I601&lt;O601,I601&gt;Q601),"측정시각 구간 밖","OK")))))</f>
        <v/>
      </c>
      <c r="O601" s="48">
        <f>IF(COUNTIFS($C:$C,$C601,$D:$D,$D601,$E:$E,"기준(전)",$M:$M,"&gt;0")&lt;&gt;1,"",SUMIFS($I:$I,$C:$C,$C601,$D:$D,$D601,$E:$E,"기준(전)"))</f>
        <v/>
      </c>
      <c r="P601" s="31">
        <f>IF(COUNTIFS($C:$C,$C601,$D:$D,$D601,$E:$E,"기준(전)",$M:$M,"&gt;0")&lt;&gt;1,"",SUMIFS($M:$M,$C:$C,$C601,$D:$D,$D601,$E:$E,"기준(전)"))</f>
        <v/>
      </c>
      <c r="Q601" s="48">
        <f>IF(COUNTIFS($C:$C,$C601,$D:$D,$D601,$E:$E,"기준(후)",$M:$M,"&gt;0")&lt;&gt;1,"",SUMIFS($I:$I,$C:$C,$C601,$D:$D,$D601,$E:$E,"기준(후)"))</f>
        <v/>
      </c>
      <c r="R601" s="31">
        <f>IF(COUNTIFS($C:$C,$C601,$D:$D,$D601,$E:$E,"기준(후)",$M:$M,"&gt;0")&lt;&gt;1,"",SUMIFS($M:$M,$C:$C,$C601,$D:$D,$D601,$E:$E,"기준(후)"))</f>
        <v/>
      </c>
      <c r="S601" s="31">
        <f>IF(N601&lt;&gt;"OK","",P601+(R601-P601)*(I601-O601)/(Q601-O601))</f>
        <v/>
      </c>
      <c r="T601" s="31">
        <f>IF(OR(N601&lt;&gt;"OK",NOT(ISNUMBER(M601))),"",M601-S601)</f>
        <v/>
      </c>
      <c r="U601" s="49">
        <f>IF(OR($E600&lt;&gt;"측정",$C600&lt;&gt;$C601,$D600&lt;&gt;$D601,NOT(ISNUMBER(M601)),NOT(ISNUMBER(M600)),(IF(ISNUMBER(G601),G601,F601)-IF(ISNUMBER(G600),G600,F600))=0),"",(M601-M600)/((IF(ISNUMBER(G601),G601,F601)-IF(ISNUMBER(G600),G600,F600))/100))</f>
        <v/>
      </c>
      <c r="V601" s="29" t="n"/>
      <c r="W601" s="29" t="n"/>
      <c r="X601" s="32" t="n"/>
    </row>
    <row r="602">
      <c r="A602" s="26" t="inlineStr">
        <is>
          <t>S50</t>
        </is>
      </c>
      <c r="B602" s="26" t="inlineStr">
        <is>
          <t>함양</t>
        </is>
      </c>
      <c r="C602" s="26" t="inlineStr">
        <is>
          <t>S50-V</t>
        </is>
      </c>
      <c r="D602" s="47" t="n">
        <v>1</v>
      </c>
      <c r="E602" s="26" t="inlineStr">
        <is>
          <t>측정</t>
        </is>
      </c>
      <c r="F602" s="47" t="n">
        <v>160</v>
      </c>
      <c r="G602" s="41" t="n"/>
      <c r="H602" s="29" t="n"/>
      <c r="I602" s="43" t="n"/>
      <c r="J602" s="41" t="n"/>
      <c r="K602" s="41" t="n"/>
      <c r="L602" s="41" t="n"/>
      <c r="M602" s="31">
        <f>IF(COUNT(J602:L602)=0,"",MEDIAN(J602:L602))</f>
        <v/>
      </c>
      <c r="N602" s="26">
        <f>IF(COUNTIFS($C:$C,$C602,$D:$D,$D602,$E:$E,"기준(전)",$M:$M,"&gt;0")&lt;&gt;1,"기준(전) 유효 1개 아님",IF(COUNTIFS($C:$C,$C602,$D:$D,$D602,$E:$E,"기준(후)",$M:$M,"&gt;0")&lt;&gt;1,"기준(후) 유효 1개 아님",IF(NOT(AND(ISNUMBER(O602),ISNUMBER(Q602),ISNUMBER(I602))),"시각 결측",IF(Q602&lt;=O602,"기준 시각 역전",IF(OR(I602&lt;O602,I602&gt;Q602),"측정시각 구간 밖","OK")))))</f>
        <v/>
      </c>
      <c r="O602" s="48">
        <f>IF(COUNTIFS($C:$C,$C602,$D:$D,$D602,$E:$E,"기준(전)",$M:$M,"&gt;0")&lt;&gt;1,"",SUMIFS($I:$I,$C:$C,$C602,$D:$D,$D602,$E:$E,"기준(전)"))</f>
        <v/>
      </c>
      <c r="P602" s="31">
        <f>IF(COUNTIFS($C:$C,$C602,$D:$D,$D602,$E:$E,"기준(전)",$M:$M,"&gt;0")&lt;&gt;1,"",SUMIFS($M:$M,$C:$C,$C602,$D:$D,$D602,$E:$E,"기준(전)"))</f>
        <v/>
      </c>
      <c r="Q602" s="48">
        <f>IF(COUNTIFS($C:$C,$C602,$D:$D,$D602,$E:$E,"기준(후)",$M:$M,"&gt;0")&lt;&gt;1,"",SUMIFS($I:$I,$C:$C,$C602,$D:$D,$D602,$E:$E,"기준(후)"))</f>
        <v/>
      </c>
      <c r="R602" s="31">
        <f>IF(COUNTIFS($C:$C,$C602,$D:$D,$D602,$E:$E,"기준(후)",$M:$M,"&gt;0")&lt;&gt;1,"",SUMIFS($M:$M,$C:$C,$C602,$D:$D,$D602,$E:$E,"기준(후)"))</f>
        <v/>
      </c>
      <c r="S602" s="31">
        <f>IF(N602&lt;&gt;"OK","",P602+(R602-P602)*(I602-O602)/(Q602-O602))</f>
        <v/>
      </c>
      <c r="T602" s="31">
        <f>IF(OR(N602&lt;&gt;"OK",NOT(ISNUMBER(M602))),"",M602-S602)</f>
        <v/>
      </c>
      <c r="U602" s="49">
        <f>IF(OR($E601&lt;&gt;"측정",$C601&lt;&gt;$C602,$D601&lt;&gt;$D602,NOT(ISNUMBER(M602)),NOT(ISNUMBER(M601)),(IF(ISNUMBER(G602),G602,F602)-IF(ISNUMBER(G601),G601,F601))=0),"",(M602-M601)/((IF(ISNUMBER(G602),G602,F602)-IF(ISNUMBER(G601),G601,F601))/100))</f>
        <v/>
      </c>
      <c r="V602" s="29" t="n"/>
      <c r="W602" s="29" t="n"/>
      <c r="X602" s="32" t="n"/>
    </row>
    <row r="603">
      <c r="A603" s="26" t="inlineStr">
        <is>
          <t>S50</t>
        </is>
      </c>
      <c r="B603" s="26" t="inlineStr">
        <is>
          <t>함양</t>
        </is>
      </c>
      <c r="C603" s="26" t="inlineStr">
        <is>
          <t>S50-V</t>
        </is>
      </c>
      <c r="D603" s="47" t="n">
        <v>1</v>
      </c>
      <c r="E603" s="26" t="inlineStr">
        <is>
          <t>측정</t>
        </is>
      </c>
      <c r="F603" s="47" t="n">
        <v>180</v>
      </c>
      <c r="G603" s="41" t="n"/>
      <c r="H603" s="29" t="n"/>
      <c r="I603" s="43" t="n"/>
      <c r="J603" s="41" t="n"/>
      <c r="K603" s="41" t="n"/>
      <c r="L603" s="41" t="n"/>
      <c r="M603" s="31">
        <f>IF(COUNT(J603:L603)=0,"",MEDIAN(J603:L603))</f>
        <v/>
      </c>
      <c r="N603" s="26">
        <f>IF(COUNTIFS($C:$C,$C603,$D:$D,$D603,$E:$E,"기준(전)",$M:$M,"&gt;0")&lt;&gt;1,"기준(전) 유효 1개 아님",IF(COUNTIFS($C:$C,$C603,$D:$D,$D603,$E:$E,"기준(후)",$M:$M,"&gt;0")&lt;&gt;1,"기준(후) 유효 1개 아님",IF(NOT(AND(ISNUMBER(O603),ISNUMBER(Q603),ISNUMBER(I603))),"시각 결측",IF(Q603&lt;=O603,"기준 시각 역전",IF(OR(I603&lt;O603,I603&gt;Q603),"측정시각 구간 밖","OK")))))</f>
        <v/>
      </c>
      <c r="O603" s="48">
        <f>IF(COUNTIFS($C:$C,$C603,$D:$D,$D603,$E:$E,"기준(전)",$M:$M,"&gt;0")&lt;&gt;1,"",SUMIFS($I:$I,$C:$C,$C603,$D:$D,$D603,$E:$E,"기준(전)"))</f>
        <v/>
      </c>
      <c r="P603" s="31">
        <f>IF(COUNTIFS($C:$C,$C603,$D:$D,$D603,$E:$E,"기준(전)",$M:$M,"&gt;0")&lt;&gt;1,"",SUMIFS($M:$M,$C:$C,$C603,$D:$D,$D603,$E:$E,"기준(전)"))</f>
        <v/>
      </c>
      <c r="Q603" s="48">
        <f>IF(COUNTIFS($C:$C,$C603,$D:$D,$D603,$E:$E,"기준(후)",$M:$M,"&gt;0")&lt;&gt;1,"",SUMIFS($I:$I,$C:$C,$C603,$D:$D,$D603,$E:$E,"기준(후)"))</f>
        <v/>
      </c>
      <c r="R603" s="31">
        <f>IF(COUNTIFS($C:$C,$C603,$D:$D,$D603,$E:$E,"기준(후)",$M:$M,"&gt;0")&lt;&gt;1,"",SUMIFS($M:$M,$C:$C,$C603,$D:$D,$D603,$E:$E,"기준(후)"))</f>
        <v/>
      </c>
      <c r="S603" s="31">
        <f>IF(N603&lt;&gt;"OK","",P603+(R603-P603)*(I603-O603)/(Q603-O603))</f>
        <v/>
      </c>
      <c r="T603" s="31">
        <f>IF(OR(N603&lt;&gt;"OK",NOT(ISNUMBER(M603))),"",M603-S603)</f>
        <v/>
      </c>
      <c r="U603" s="49">
        <f>IF(OR($E602&lt;&gt;"측정",$C602&lt;&gt;$C603,$D602&lt;&gt;$D603,NOT(ISNUMBER(M603)),NOT(ISNUMBER(M602)),(IF(ISNUMBER(G603),G603,F603)-IF(ISNUMBER(G602),G602,F602))=0),"",(M603-M602)/((IF(ISNUMBER(G603),G603,F603)-IF(ISNUMBER(G602),G602,F602))/100))</f>
        <v/>
      </c>
      <c r="V603" s="29" t="n"/>
      <c r="W603" s="29" t="n"/>
      <c r="X603" s="32" t="n"/>
    </row>
    <row r="604">
      <c r="A604" s="26" t="inlineStr">
        <is>
          <t>S50</t>
        </is>
      </c>
      <c r="B604" s="26" t="inlineStr">
        <is>
          <t>함양</t>
        </is>
      </c>
      <c r="C604" s="26" t="inlineStr">
        <is>
          <t>S50-V</t>
        </is>
      </c>
      <c r="D604" s="47" t="n">
        <v>1</v>
      </c>
      <c r="E604" s="26" t="inlineStr">
        <is>
          <t>측정</t>
        </is>
      </c>
      <c r="F604" s="47" t="n">
        <v>200</v>
      </c>
      <c r="G604" s="41" t="n"/>
      <c r="H604" s="29" t="n"/>
      <c r="I604" s="43" t="n"/>
      <c r="J604" s="41" t="n"/>
      <c r="K604" s="41" t="n"/>
      <c r="L604" s="41" t="n"/>
      <c r="M604" s="31">
        <f>IF(COUNT(J604:L604)=0,"",MEDIAN(J604:L604))</f>
        <v/>
      </c>
      <c r="N604" s="26">
        <f>IF(COUNTIFS($C:$C,$C604,$D:$D,$D604,$E:$E,"기준(전)",$M:$M,"&gt;0")&lt;&gt;1,"기준(전) 유효 1개 아님",IF(COUNTIFS($C:$C,$C604,$D:$D,$D604,$E:$E,"기준(후)",$M:$M,"&gt;0")&lt;&gt;1,"기준(후) 유효 1개 아님",IF(NOT(AND(ISNUMBER(O604),ISNUMBER(Q604),ISNUMBER(I604))),"시각 결측",IF(Q604&lt;=O604,"기준 시각 역전",IF(OR(I604&lt;O604,I604&gt;Q604),"측정시각 구간 밖","OK")))))</f>
        <v/>
      </c>
      <c r="O604" s="48">
        <f>IF(COUNTIFS($C:$C,$C604,$D:$D,$D604,$E:$E,"기준(전)",$M:$M,"&gt;0")&lt;&gt;1,"",SUMIFS($I:$I,$C:$C,$C604,$D:$D,$D604,$E:$E,"기준(전)"))</f>
        <v/>
      </c>
      <c r="P604" s="31">
        <f>IF(COUNTIFS($C:$C,$C604,$D:$D,$D604,$E:$E,"기준(전)",$M:$M,"&gt;0")&lt;&gt;1,"",SUMIFS($M:$M,$C:$C,$C604,$D:$D,$D604,$E:$E,"기준(전)"))</f>
        <v/>
      </c>
      <c r="Q604" s="48">
        <f>IF(COUNTIFS($C:$C,$C604,$D:$D,$D604,$E:$E,"기준(후)",$M:$M,"&gt;0")&lt;&gt;1,"",SUMIFS($I:$I,$C:$C,$C604,$D:$D,$D604,$E:$E,"기준(후)"))</f>
        <v/>
      </c>
      <c r="R604" s="31">
        <f>IF(COUNTIFS($C:$C,$C604,$D:$D,$D604,$E:$E,"기준(후)",$M:$M,"&gt;0")&lt;&gt;1,"",SUMIFS($M:$M,$C:$C,$C604,$D:$D,$D604,$E:$E,"기준(후)"))</f>
        <v/>
      </c>
      <c r="S604" s="31">
        <f>IF(N604&lt;&gt;"OK","",P604+(R604-P604)*(I604-O604)/(Q604-O604))</f>
        <v/>
      </c>
      <c r="T604" s="31">
        <f>IF(OR(N604&lt;&gt;"OK",NOT(ISNUMBER(M604))),"",M604-S604)</f>
        <v/>
      </c>
      <c r="U604" s="49">
        <f>IF(OR($E603&lt;&gt;"측정",$C603&lt;&gt;$C604,$D603&lt;&gt;$D604,NOT(ISNUMBER(M604)),NOT(ISNUMBER(M603)),(IF(ISNUMBER(G604),G604,F604)-IF(ISNUMBER(G603),G603,F603))=0),"",(M604-M603)/((IF(ISNUMBER(G604),G604,F604)-IF(ISNUMBER(G603),G603,F603))/100))</f>
        <v/>
      </c>
      <c r="V604" s="29" t="n"/>
      <c r="W604" s="29" t="n"/>
      <c r="X604" s="32" t="n"/>
    </row>
    <row r="605">
      <c r="A605" s="44" t="inlineStr">
        <is>
          <t>S50</t>
        </is>
      </c>
      <c r="B605" s="44" t="inlineStr">
        <is>
          <t>함양</t>
        </is>
      </c>
      <c r="C605" s="44" t="inlineStr">
        <is>
          <t>S50-V</t>
        </is>
      </c>
      <c r="D605" s="45" t="n">
        <v>1</v>
      </c>
      <c r="E605" s="44" t="inlineStr">
        <is>
          <t>기준(후)</t>
        </is>
      </c>
      <c r="F605" s="45" t="n"/>
      <c r="G605" s="41" t="n"/>
      <c r="H605" s="29" t="n"/>
      <c r="I605" s="43" t="n"/>
      <c r="J605" s="41" t="n"/>
      <c r="K605" s="41" t="n"/>
      <c r="L605" s="41" t="n"/>
      <c r="M605" s="31">
        <f>IF(COUNT(J605:L605)=0,"",MEDIAN(J605:L605))</f>
        <v/>
      </c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29" t="n"/>
      <c r="W605" s="29" t="n"/>
      <c r="X605" s="32" t="n"/>
    </row>
  </sheetData>
  <mergeCells count="4">
    <mergeCell ref="A3:X3"/>
    <mergeCell ref="A2:X2"/>
    <mergeCell ref="A1:X1"/>
    <mergeCell ref="A4:X4"/>
  </mergeCells>
  <dataValidations count="5">
    <dataValidation sqref="D6:D605" showDropDown="0" showInputMessage="0" showErrorMessage="0" allowBlank="1" type="list">
      <formula1>"1,2,3"</formula1>
    </dataValidation>
    <dataValidation sqref="H6:H605" showDropDown="0" showInputMessage="0" showErrorMessage="0" allowBlank="1" type="list">
      <formula1>"지면,표석 상면,PENDING"</formula1>
    </dataValidation>
    <dataValidation sqref="W6:W605" showDropDown="0" showInputMessage="0" showErrorMessage="0" allowBlank="1" type="list">
      <formula1>"정상,중단,재시작,무효,PENDING"</formula1>
    </dataValidation>
    <dataValidation sqref="X6:X605" showDropDown="0" showInputMessage="0" showErrorMessage="0" allowBlank="1" type="list">
      <formula1>"정상,NOT AVAILABLE,NOT OBSERVED,INVALID,NOT APPLICABLE,PENDING"</formula1>
    </dataValidation>
    <dataValidation sqref="J6:L605" showDropDown="0" showInputMessage="0" showErrorMessage="1" allowBlank="1" errorTitle="예상 범위 밖" error="한반도 총자력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1" customWidth="1" min="10" max="10"/>
    <col width="11" customWidth="1" min="11" max="11"/>
    <col width="30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중심점(P0) 최종 선정 — 옮겼으면 새 중심에서 다시 재야 한다</t>
        </is>
      </c>
    </row>
    <row r="2" ht="47" customHeight="1">
      <c r="A2" s="3" t="inlineStr">
        <is>
          <t>중심점을 옮기면 거리도 방향도 수직 프로파일도 모두 기준이 달라집니다. 옮기기 전 자리에서 잰 결과가 새 자리의 10 m 범위나 수직구배를 말해 주지는 못합니다. 그래서 처음 후보와 최종 중심에 서로 다른 Location ID 를 주고, 새 자리에서 전체를 다시 쟀는지 아니면 「잠정 중심 · 확정측정 미실시」로 남겨 두는지를 분명히 적습니다.</t>
        </is>
      </c>
    </row>
    <row r="3" ht="33" customHeight="1">
      <c r="A3" s="2" t="inlineStr">
        <is>
          <t>선점 절차: GNSS 수신기 — 좌표·방위각 확인 → 오버하우저 — 자기구배 확인 → 중심점 선정 및 표지 설치 · 재관측 주기(안) 5년. IAGA Class A·B·C 는 품질등급이 아니라 관측목적에 따라 2년·5년·10년 재관측주기를 차등화한 운영 예시다.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8" t="inlineStr">
        <is>
          <t>최초 후보 Location ID</t>
        </is>
      </c>
      <c r="D4" s="9" t="inlineStr">
        <is>
          <t>사전 위도</t>
        </is>
      </c>
      <c r="E4" s="9" t="inlineStr">
        <is>
          <t>사전 경도</t>
        </is>
      </c>
      <c r="F4" s="9" t="inlineStr">
        <is>
          <t>중심점 조정 여부</t>
        </is>
      </c>
      <c r="G4" s="8" t="inlineStr">
        <is>
          <t>최종 중심 Location ID</t>
        </is>
      </c>
      <c r="H4" s="9" t="inlineStr">
        <is>
          <t>최종 위도</t>
        </is>
      </c>
      <c r="I4" s="9" t="inlineStr">
        <is>
          <t>최종 경도</t>
        </is>
      </c>
      <c r="J4" s="9" t="inlineStr">
        <is>
          <t>이동거리(m)</t>
        </is>
      </c>
      <c r="K4" s="9" t="inlineStr">
        <is>
          <t>이동 방위(°)</t>
        </is>
      </c>
      <c r="L4" s="9" t="inlineStr">
        <is>
          <t>조정 사유</t>
        </is>
      </c>
      <c r="M4" s="9" t="inlineStr">
        <is>
          <t>새 중심 재측정 여부</t>
        </is>
      </c>
      <c r="N4" s="9" t="inlineStr">
        <is>
          <t>표지 설치 여부</t>
        </is>
      </c>
      <c r="O4" s="9" t="inlineStr">
        <is>
          <t>표지 설치일</t>
        </is>
      </c>
      <c r="P4" s="9" t="inlineStr">
        <is>
          <t>설치자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S01-P0a</t>
        </is>
      </c>
      <c r="D5" s="27" t="n">
        <v>37.020705</v>
      </c>
      <c r="E5" s="27" t="n">
        <v>128.98393</v>
      </c>
      <c r="F5" s="29" t="n"/>
      <c r="G5" s="29" t="n"/>
      <c r="H5" s="28" t="n"/>
      <c r="I5" s="28" t="n"/>
      <c r="J5" s="41" t="n"/>
      <c r="K5" s="41" t="n"/>
      <c r="L5" s="32" t="n"/>
      <c r="M5" s="29" t="n"/>
      <c r="N5" s="29" t="n"/>
      <c r="O5" s="33" t="n"/>
      <c r="P5" s="29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S02-P0a</t>
        </is>
      </c>
      <c r="D6" s="27" t="n">
        <v>37.359346</v>
      </c>
      <c r="E6" s="27" t="n">
        <v>128.973865</v>
      </c>
      <c r="F6" s="29" t="n"/>
      <c r="G6" s="29" t="n"/>
      <c r="H6" s="28" t="n"/>
      <c r="I6" s="28" t="n"/>
      <c r="J6" s="41" t="n"/>
      <c r="K6" s="41" t="n"/>
      <c r="L6" s="32" t="n"/>
      <c r="M6" s="29" t="n"/>
      <c r="N6" s="29" t="n"/>
      <c r="O6" s="33" t="n"/>
      <c r="P6" s="29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S03-P0a</t>
        </is>
      </c>
      <c r="D7" s="27" t="n">
        <v>36.534085</v>
      </c>
      <c r="E7" s="27" t="n">
        <v>126.936269</v>
      </c>
      <c r="F7" s="29" t="n"/>
      <c r="G7" s="29" t="n"/>
      <c r="H7" s="28" t="n"/>
      <c r="I7" s="28" t="n"/>
      <c r="J7" s="41" t="n"/>
      <c r="K7" s="41" t="n"/>
      <c r="L7" s="32" t="n"/>
      <c r="M7" s="29" t="n"/>
      <c r="N7" s="29" t="n"/>
      <c r="O7" s="33" t="n"/>
      <c r="P7" s="29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S04-P0a</t>
        </is>
      </c>
      <c r="D8" s="27" t="n">
        <v>35.891309</v>
      </c>
      <c r="E8" s="27" t="n">
        <v>127.309017</v>
      </c>
      <c r="F8" s="29" t="n"/>
      <c r="G8" s="29" t="n"/>
      <c r="H8" s="28" t="n"/>
      <c r="I8" s="28" t="n"/>
      <c r="J8" s="41" t="n"/>
      <c r="K8" s="41" t="n"/>
      <c r="L8" s="32" t="n"/>
      <c r="M8" s="29" t="n"/>
      <c r="N8" s="29" t="n"/>
      <c r="O8" s="33" t="n"/>
      <c r="P8" s="29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S05-P0a</t>
        </is>
      </c>
      <c r="D9" s="27" t="n">
        <v>35.945212</v>
      </c>
      <c r="E9" s="27" t="n">
        <v>127.800855</v>
      </c>
      <c r="F9" s="29" t="n"/>
      <c r="G9" s="29" t="n"/>
      <c r="H9" s="28" t="n"/>
      <c r="I9" s="28" t="n"/>
      <c r="J9" s="41" t="n"/>
      <c r="K9" s="41" t="n"/>
      <c r="L9" s="32" t="n"/>
      <c r="M9" s="29" t="n"/>
      <c r="N9" s="29" t="n"/>
      <c r="O9" s="33" t="n"/>
      <c r="P9" s="29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S06-P0a</t>
        </is>
      </c>
      <c r="D10" s="27" t="n">
        <v>35.604653</v>
      </c>
      <c r="E10" s="27" t="n">
        <v>127.230237</v>
      </c>
      <c r="F10" s="29" t="n"/>
      <c r="G10" s="29" t="n"/>
      <c r="H10" s="28" t="n"/>
      <c r="I10" s="28" t="n"/>
      <c r="J10" s="41" t="n"/>
      <c r="K10" s="41" t="n"/>
      <c r="L10" s="32" t="n"/>
      <c r="M10" s="29" t="n"/>
      <c r="N10" s="29" t="n"/>
      <c r="O10" s="33" t="n"/>
      <c r="P10" s="29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S07-P0a</t>
        </is>
      </c>
      <c r="D11" s="27" t="n">
        <v>34.852281</v>
      </c>
      <c r="E11" s="27" t="n">
        <v>127.981473</v>
      </c>
      <c r="F11" s="29" t="n"/>
      <c r="G11" s="29" t="n"/>
      <c r="H11" s="28" t="n"/>
      <c r="I11" s="28" t="n"/>
      <c r="J11" s="41" t="n"/>
      <c r="K11" s="41" t="n"/>
      <c r="L11" s="32" t="n"/>
      <c r="M11" s="29" t="n"/>
      <c r="N11" s="29" t="n"/>
      <c r="O11" s="33" t="n"/>
      <c r="P11" s="29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S08-P0a</t>
        </is>
      </c>
      <c r="D12" s="27" t="n">
        <v>37.618578</v>
      </c>
      <c r="E12" s="27" t="n">
        <v>128.1698</v>
      </c>
      <c r="F12" s="29" t="n"/>
      <c r="G12" s="29" t="n"/>
      <c r="H12" s="28" t="n"/>
      <c r="I12" s="28" t="n"/>
      <c r="J12" s="41" t="n"/>
      <c r="K12" s="41" t="n"/>
      <c r="L12" s="32" t="n"/>
      <c r="M12" s="29" t="n"/>
      <c r="N12" s="29" t="n"/>
      <c r="O12" s="33" t="n"/>
      <c r="P12" s="29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S09-P0a</t>
        </is>
      </c>
      <c r="D13" s="27" t="n">
        <v>37.776326</v>
      </c>
      <c r="E13" s="27" t="n">
        <v>128.075858</v>
      </c>
      <c r="F13" s="29" t="n"/>
      <c r="G13" s="29" t="n"/>
      <c r="H13" s="28" t="n"/>
      <c r="I13" s="28" t="n"/>
      <c r="J13" s="41" t="n"/>
      <c r="K13" s="41" t="n"/>
      <c r="L13" s="32" t="n"/>
      <c r="M13" s="29" t="n"/>
      <c r="N13" s="29" t="n"/>
      <c r="O13" s="33" t="n"/>
      <c r="P13" s="29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S10-P0a</t>
        </is>
      </c>
      <c r="D14" s="27" t="n">
        <v>36.745399</v>
      </c>
      <c r="E14" s="27" t="n">
        <v>128.853559</v>
      </c>
      <c r="F14" s="29" t="n"/>
      <c r="G14" s="29" t="n"/>
      <c r="H14" s="28" t="n"/>
      <c r="I14" s="28" t="n"/>
      <c r="J14" s="41" t="n"/>
      <c r="K14" s="41" t="n"/>
      <c r="L14" s="32" t="n"/>
      <c r="M14" s="29" t="n"/>
      <c r="N14" s="29" t="n"/>
      <c r="O14" s="33" t="n"/>
      <c r="P14" s="29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S11-P0a</t>
        </is>
      </c>
      <c r="D15" s="27" t="n">
        <v>36.765848</v>
      </c>
      <c r="E15" s="27" t="n">
        <v>129.154341</v>
      </c>
      <c r="F15" s="29" t="n"/>
      <c r="G15" s="29" t="n"/>
      <c r="H15" s="28" t="n"/>
      <c r="I15" s="28" t="n"/>
      <c r="J15" s="41" t="n"/>
      <c r="K15" s="41" t="n"/>
      <c r="L15" s="32" t="n"/>
      <c r="M15" s="29" t="n"/>
      <c r="N15" s="29" t="n"/>
      <c r="O15" s="33" t="n"/>
      <c r="P15" s="29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S12-P0a</t>
        </is>
      </c>
      <c r="D16" s="27" t="n">
        <v>35.284821</v>
      </c>
      <c r="E16" s="27" t="n">
        <v>127.092148</v>
      </c>
      <c r="F16" s="29" t="n"/>
      <c r="G16" s="29" t="n"/>
      <c r="H16" s="28" t="n"/>
      <c r="I16" s="28" t="n"/>
      <c r="J16" s="41" t="n"/>
      <c r="K16" s="41" t="n"/>
      <c r="L16" s="32" t="n"/>
      <c r="M16" s="29" t="n"/>
      <c r="N16" s="29" t="n"/>
      <c r="O16" s="33" t="n"/>
      <c r="P16" s="29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S13-P0a</t>
        </is>
      </c>
      <c r="D17" s="27" t="n">
        <v>34.904713</v>
      </c>
      <c r="E17" s="27" t="n">
        <v>127.294737</v>
      </c>
      <c r="F17" s="29" t="n"/>
      <c r="G17" s="29" t="n"/>
      <c r="H17" s="28" t="n"/>
      <c r="I17" s="28" t="n"/>
      <c r="J17" s="41" t="n"/>
      <c r="K17" s="41" t="n"/>
      <c r="L17" s="32" t="n"/>
      <c r="M17" s="29" t="n"/>
      <c r="N17" s="29" t="n"/>
      <c r="O17" s="33" t="n"/>
      <c r="P17" s="29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S14-P0a</t>
        </is>
      </c>
      <c r="D18" s="27" t="n">
        <v>36.382888</v>
      </c>
      <c r="E18" s="27" t="n">
        <v>129.145795</v>
      </c>
      <c r="F18" s="29" t="n"/>
      <c r="G18" s="29" t="n"/>
      <c r="H18" s="28" t="n"/>
      <c r="I18" s="28" t="n"/>
      <c r="J18" s="41" t="n"/>
      <c r="K18" s="41" t="n"/>
      <c r="L18" s="32" t="n"/>
      <c r="M18" s="29" t="n"/>
      <c r="N18" s="29" t="n"/>
      <c r="O18" s="33" t="n"/>
      <c r="P18" s="29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S15-P0a</t>
        </is>
      </c>
      <c r="D19" s="27" t="n">
        <v>36.4767</v>
      </c>
      <c r="E19" s="27" t="n">
        <v>128.508751</v>
      </c>
      <c r="F19" s="29" t="n"/>
      <c r="G19" s="29" t="n"/>
      <c r="H19" s="28" t="n"/>
      <c r="I19" s="28" t="n"/>
      <c r="J19" s="41" t="n"/>
      <c r="K19" s="41" t="n"/>
      <c r="L19" s="32" t="n"/>
      <c r="M19" s="29" t="n"/>
      <c r="N19" s="29" t="n"/>
      <c r="O19" s="33" t="n"/>
      <c r="P19" s="29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S16-P0a</t>
        </is>
      </c>
      <c r="D20" s="27" t="n">
        <v>36.50939</v>
      </c>
      <c r="E20" s="27" t="n">
        <v>128.494519</v>
      </c>
      <c r="F20" s="29" t="n"/>
      <c r="G20" s="29" t="n"/>
      <c r="H20" s="28" t="n"/>
      <c r="I20" s="28" t="n"/>
      <c r="J20" s="41" t="n"/>
      <c r="K20" s="41" t="n"/>
      <c r="L20" s="32" t="n"/>
      <c r="M20" s="29" t="n"/>
      <c r="N20" s="29" t="n"/>
      <c r="O20" s="33" t="n"/>
      <c r="P20" s="29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S17-P0a</t>
        </is>
      </c>
      <c r="D21" s="27" t="n">
        <v>36.743626</v>
      </c>
      <c r="E21" s="27" t="n">
        <v>129.181307</v>
      </c>
      <c r="F21" s="29" t="n"/>
      <c r="G21" s="29" t="n"/>
      <c r="H21" s="28" t="n"/>
      <c r="I21" s="28" t="n"/>
      <c r="J21" s="41" t="n"/>
      <c r="K21" s="41" t="n"/>
      <c r="L21" s="32" t="n"/>
      <c r="M21" s="29" t="n"/>
      <c r="N21" s="29" t="n"/>
      <c r="O21" s="33" t="n"/>
      <c r="P21" s="29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S18-P0a</t>
        </is>
      </c>
      <c r="D22" s="27" t="n">
        <v>34.792976</v>
      </c>
      <c r="E22" s="27" t="n">
        <v>128.393827</v>
      </c>
      <c r="F22" s="29" t="n"/>
      <c r="G22" s="29" t="n"/>
      <c r="H22" s="28" t="n"/>
      <c r="I22" s="28" t="n"/>
      <c r="J22" s="41" t="n"/>
      <c r="K22" s="41" t="n"/>
      <c r="L22" s="32" t="n"/>
      <c r="M22" s="29" t="n"/>
      <c r="N22" s="29" t="n"/>
      <c r="O22" s="33" t="n"/>
      <c r="P22" s="29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S19-P0a</t>
        </is>
      </c>
      <c r="D23" s="27" t="n">
        <v>38.318869</v>
      </c>
      <c r="E23" s="27" t="n">
        <v>128.521755</v>
      </c>
      <c r="F23" s="29" t="n"/>
      <c r="G23" s="29" t="n"/>
      <c r="H23" s="28" t="n"/>
      <c r="I23" s="28" t="n"/>
      <c r="J23" s="41" t="n"/>
      <c r="K23" s="41" t="n"/>
      <c r="L23" s="32" t="n"/>
      <c r="M23" s="29" t="n"/>
      <c r="N23" s="29" t="n"/>
      <c r="O23" s="33" t="n"/>
      <c r="P23" s="29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S20-P0a</t>
        </is>
      </c>
      <c r="D24" s="27" t="n">
        <v>36.266844</v>
      </c>
      <c r="E24" s="27" t="n">
        <v>126.706961</v>
      </c>
      <c r="F24" s="29" t="n"/>
      <c r="G24" s="29" t="n"/>
      <c r="H24" s="28" t="n"/>
      <c r="I24" s="28" t="n"/>
      <c r="J24" s="41" t="n"/>
      <c r="K24" s="41" t="n"/>
      <c r="L24" s="32" t="n"/>
      <c r="M24" s="29" t="n"/>
      <c r="N24" s="29" t="n"/>
      <c r="O24" s="33" t="n"/>
      <c r="P24" s="29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S21-P0a</t>
        </is>
      </c>
      <c r="D25" s="27" t="n">
        <v>35.456101</v>
      </c>
      <c r="E25" s="27" t="n">
        <v>126.962054</v>
      </c>
      <c r="F25" s="29" t="n"/>
      <c r="G25" s="29" t="n"/>
      <c r="H25" s="28" t="n"/>
      <c r="I25" s="28" t="n"/>
      <c r="J25" s="41" t="n"/>
      <c r="K25" s="41" t="n"/>
      <c r="L25" s="32" t="n"/>
      <c r="M25" s="29" t="n"/>
      <c r="N25" s="29" t="n"/>
      <c r="O25" s="33" t="n"/>
      <c r="P25" s="29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S22-P0a</t>
        </is>
      </c>
      <c r="D26" s="27" t="n">
        <v>34.328826</v>
      </c>
      <c r="E26" s="27" t="n">
        <v>126.543215</v>
      </c>
      <c r="F26" s="29" t="n"/>
      <c r="G26" s="29" t="n"/>
      <c r="H26" s="28" t="n"/>
      <c r="I26" s="28" t="n"/>
      <c r="J26" s="41" t="n"/>
      <c r="K26" s="41" t="n"/>
      <c r="L26" s="32" t="n"/>
      <c r="M26" s="29" t="n"/>
      <c r="N26" s="29" t="n"/>
      <c r="O26" s="33" t="n"/>
      <c r="P26" s="29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S23-P0a</t>
        </is>
      </c>
      <c r="D27" s="27" t="n">
        <v>36.888529</v>
      </c>
      <c r="E27" s="27" t="n">
        <v>128.192739</v>
      </c>
      <c r="F27" s="29" t="n"/>
      <c r="G27" s="29" t="n"/>
      <c r="H27" s="28" t="n"/>
      <c r="I27" s="28" t="n"/>
      <c r="J27" s="41" t="n"/>
      <c r="K27" s="41" t="n"/>
      <c r="L27" s="32" t="n"/>
      <c r="M27" s="29" t="n"/>
      <c r="N27" s="29" t="n"/>
      <c r="O27" s="33" t="n"/>
      <c r="P27" s="29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S24-P0a</t>
        </is>
      </c>
      <c r="D28" s="27" t="n">
        <v>34.680805</v>
      </c>
      <c r="E28" s="27" t="n">
        <v>127.04766</v>
      </c>
      <c r="F28" s="29" t="n"/>
      <c r="G28" s="29" t="n"/>
      <c r="H28" s="28" t="n"/>
      <c r="I28" s="28" t="n"/>
      <c r="J28" s="41" t="n"/>
      <c r="K28" s="41" t="n"/>
      <c r="L28" s="32" t="n"/>
      <c r="M28" s="29" t="n"/>
      <c r="N28" s="29" t="n"/>
      <c r="O28" s="33" t="n"/>
      <c r="P28" s="29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S25-P0a</t>
        </is>
      </c>
      <c r="D29" s="27" t="n">
        <v>36.325755</v>
      </c>
      <c r="E29" s="27" t="n">
        <v>127.905982</v>
      </c>
      <c r="F29" s="29" t="n"/>
      <c r="G29" s="29" t="n"/>
      <c r="H29" s="28" t="n"/>
      <c r="I29" s="28" t="n"/>
      <c r="J29" s="41" t="n"/>
      <c r="K29" s="41" t="n"/>
      <c r="L29" s="32" t="n"/>
      <c r="M29" s="29" t="n"/>
      <c r="N29" s="29" t="n"/>
      <c r="O29" s="33" t="n"/>
      <c r="P29" s="29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S26-P0a</t>
        </is>
      </c>
      <c r="D30" s="27" t="n">
        <v>36.452304</v>
      </c>
      <c r="E30" s="27" t="n">
        <v>126.395802</v>
      </c>
      <c r="F30" s="29" t="n"/>
      <c r="G30" s="29" t="n"/>
      <c r="H30" s="28" t="n"/>
      <c r="I30" s="28" t="n"/>
      <c r="J30" s="41" t="n"/>
      <c r="K30" s="41" t="n"/>
      <c r="L30" s="32" t="n"/>
      <c r="M30" s="29" t="n"/>
      <c r="N30" s="29" t="n"/>
      <c r="O30" s="33" t="n"/>
      <c r="P30" s="29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S27-P0a</t>
        </is>
      </c>
      <c r="D31" s="27" t="n">
        <v>36.579379</v>
      </c>
      <c r="E31" s="27" t="n">
        <v>127.068702</v>
      </c>
      <c r="F31" s="29" t="n"/>
      <c r="G31" s="29" t="n"/>
      <c r="H31" s="28" t="n"/>
      <c r="I31" s="28" t="n"/>
      <c r="J31" s="41" t="n"/>
      <c r="K31" s="41" t="n"/>
      <c r="L31" s="32" t="n"/>
      <c r="M31" s="29" t="n"/>
      <c r="N31" s="29" t="n"/>
      <c r="O31" s="33" t="n"/>
      <c r="P31" s="29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S28-P0a</t>
        </is>
      </c>
      <c r="D32" s="27" t="n">
        <v>36.16662</v>
      </c>
      <c r="E32" s="27" t="n">
        <v>127.583121</v>
      </c>
      <c r="F32" s="29" t="n"/>
      <c r="G32" s="29" t="n"/>
      <c r="H32" s="28" t="n"/>
      <c r="I32" s="28" t="n"/>
      <c r="J32" s="41" t="n"/>
      <c r="K32" s="41" t="n"/>
      <c r="L32" s="32" t="n"/>
      <c r="M32" s="29" t="n"/>
      <c r="N32" s="29" t="n"/>
      <c r="O32" s="33" t="n"/>
      <c r="P32" s="29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S29-P0a</t>
        </is>
      </c>
      <c r="D33" s="27" t="n">
        <v>35.777986</v>
      </c>
      <c r="E33" s="27" t="n">
        <v>128.036833</v>
      </c>
      <c r="F33" s="29" t="n"/>
      <c r="G33" s="29" t="n"/>
      <c r="H33" s="28" t="n"/>
      <c r="I33" s="28" t="n"/>
      <c r="J33" s="41" t="n"/>
      <c r="K33" s="41" t="n"/>
      <c r="L33" s="32" t="n"/>
      <c r="M33" s="29" t="n"/>
      <c r="N33" s="29" t="n"/>
      <c r="O33" s="33" t="n"/>
      <c r="P33" s="29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S30-P0a</t>
        </is>
      </c>
      <c r="D34" s="27" t="n">
        <v>35.662586</v>
      </c>
      <c r="E34" s="27" t="n">
        <v>128.298099</v>
      </c>
      <c r="F34" s="29" t="n"/>
      <c r="G34" s="29" t="n"/>
      <c r="H34" s="28" t="n"/>
      <c r="I34" s="28" t="n"/>
      <c r="J34" s="41" t="n"/>
      <c r="K34" s="41" t="n"/>
      <c r="L34" s="32" t="n"/>
      <c r="M34" s="29" t="n"/>
      <c r="N34" s="29" t="n"/>
      <c r="O34" s="33" t="n"/>
      <c r="P34" s="29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S31-P0a</t>
        </is>
      </c>
      <c r="D35" s="27" t="n">
        <v>35.742364</v>
      </c>
      <c r="E35" s="27" t="n">
        <v>129.029824</v>
      </c>
      <c r="F35" s="29" t="n"/>
      <c r="G35" s="29" t="n"/>
      <c r="H35" s="28" t="n"/>
      <c r="I35" s="28" t="n"/>
      <c r="J35" s="41" t="n"/>
      <c r="K35" s="41" t="n"/>
      <c r="L35" s="32" t="n"/>
      <c r="M35" s="29" t="n"/>
      <c r="N35" s="29" t="n"/>
      <c r="O35" s="33" t="n"/>
      <c r="P35" s="29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S32-P0a</t>
        </is>
      </c>
      <c r="D36" s="27" t="n">
        <v>35.586243</v>
      </c>
      <c r="E36" s="27" t="n">
        <v>127.574659</v>
      </c>
      <c r="F36" s="29" t="n"/>
      <c r="G36" s="29" t="n"/>
      <c r="H36" s="28" t="n"/>
      <c r="I36" s="28" t="n"/>
      <c r="J36" s="41" t="n"/>
      <c r="K36" s="41" t="n"/>
      <c r="L36" s="32" t="n"/>
      <c r="M36" s="29" t="n"/>
      <c r="N36" s="29" t="n"/>
      <c r="O36" s="33" t="n"/>
      <c r="P36" s="29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S33-P0a</t>
        </is>
      </c>
      <c r="D37" s="27" t="n">
        <v>37.927676</v>
      </c>
      <c r="E37" s="27" t="n">
        <v>126.870305</v>
      </c>
      <c r="F37" s="29" t="n"/>
      <c r="G37" s="29" t="n"/>
      <c r="H37" s="28" t="n"/>
      <c r="I37" s="28" t="n"/>
      <c r="J37" s="41" t="n"/>
      <c r="K37" s="41" t="n"/>
      <c r="L37" s="32" t="n"/>
      <c r="M37" s="29" t="n"/>
      <c r="N37" s="29" t="n"/>
      <c r="O37" s="33" t="n"/>
      <c r="P37" s="29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S34-P0a</t>
        </is>
      </c>
      <c r="D38" s="27" t="n">
        <v>35.541753</v>
      </c>
      <c r="E38" s="27" t="n">
        <v>126.645582</v>
      </c>
      <c r="F38" s="29" t="n"/>
      <c r="G38" s="29" t="n"/>
      <c r="H38" s="28" t="n"/>
      <c r="I38" s="28" t="n"/>
      <c r="J38" s="41" t="n"/>
      <c r="K38" s="41" t="n"/>
      <c r="L38" s="32" t="n"/>
      <c r="M38" s="29" t="n"/>
      <c r="N38" s="29" t="n"/>
      <c r="O38" s="33" t="n"/>
      <c r="P38" s="29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S35-P0a</t>
        </is>
      </c>
      <c r="D39" s="27" t="n">
        <v>36.35528841666667</v>
      </c>
      <c r="E39" s="27" t="n">
        <v>128.1104806944444</v>
      </c>
      <c r="F39" s="29" t="n"/>
      <c r="G39" s="29" t="n"/>
      <c r="H39" s="28" t="n"/>
      <c r="I39" s="28" t="n"/>
      <c r="J39" s="41" t="n"/>
      <c r="K39" s="41" t="n"/>
      <c r="L39" s="32" t="n"/>
      <c r="M39" s="29" t="n"/>
      <c r="N39" s="29" t="n"/>
      <c r="O39" s="33" t="n"/>
      <c r="P39" s="29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S36-P0a</t>
        </is>
      </c>
      <c r="D40" s="27" t="n">
        <v>36.72502777777778</v>
      </c>
      <c r="E40" s="27" t="n">
        <v>127.5862222222222</v>
      </c>
      <c r="F40" s="29" t="n"/>
      <c r="G40" s="29" t="n"/>
      <c r="H40" s="28" t="n"/>
      <c r="I40" s="28" t="n"/>
      <c r="J40" s="41" t="n"/>
      <c r="K40" s="41" t="n"/>
      <c r="L40" s="32" t="n"/>
      <c r="M40" s="29" t="n"/>
      <c r="N40" s="29" t="n"/>
      <c r="O40" s="33" t="n"/>
      <c r="P40" s="29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S37-P0a</t>
        </is>
      </c>
      <c r="D41" s="27" t="n">
        <v>35.58775</v>
      </c>
      <c r="E41" s="27" t="n">
        <v>126.7161388888889</v>
      </c>
      <c r="F41" s="29" t="n"/>
      <c r="G41" s="29" t="n"/>
      <c r="H41" s="28" t="n"/>
      <c r="I41" s="28" t="n"/>
      <c r="J41" s="41" t="n"/>
      <c r="K41" s="41" t="n"/>
      <c r="L41" s="32" t="n"/>
      <c r="M41" s="29" t="n"/>
      <c r="N41" s="29" t="n"/>
      <c r="O41" s="33" t="n"/>
      <c r="P41" s="29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S38-P0a</t>
        </is>
      </c>
      <c r="D42" s="27" t="n">
        <v>37.66612411111111</v>
      </c>
      <c r="E42" s="27" t="n">
        <v>126.4787752222222</v>
      </c>
      <c r="F42" s="29" t="n"/>
      <c r="G42" s="29" t="n"/>
      <c r="H42" s="28" t="n"/>
      <c r="I42" s="28" t="n"/>
      <c r="J42" s="41" t="n"/>
      <c r="K42" s="41" t="n"/>
      <c r="L42" s="32" t="n"/>
      <c r="M42" s="29" t="n"/>
      <c r="N42" s="29" t="n"/>
      <c r="O42" s="33" t="n"/>
      <c r="P42" s="29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S39-P0a</t>
        </is>
      </c>
      <c r="D43" s="27" t="n">
        <v>35.67619994444444</v>
      </c>
      <c r="E43" s="27" t="n">
        <v>129.1908721388889</v>
      </c>
      <c r="F43" s="29" t="n"/>
      <c r="G43" s="29" t="n"/>
      <c r="H43" s="28" t="n"/>
      <c r="I43" s="28" t="n"/>
      <c r="J43" s="41" t="n"/>
      <c r="K43" s="41" t="n"/>
      <c r="L43" s="32" t="n"/>
      <c r="M43" s="29" t="n"/>
      <c r="N43" s="29" t="n"/>
      <c r="O43" s="33" t="n"/>
      <c r="P43" s="29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S40-P0a</t>
        </is>
      </c>
      <c r="D44" s="27" t="n">
        <v>35.43616666666667</v>
      </c>
      <c r="E44" s="27" t="n">
        <v>128.4737777777778</v>
      </c>
      <c r="F44" s="29" t="n"/>
      <c r="G44" s="29" t="n"/>
      <c r="H44" s="28" t="n"/>
      <c r="I44" s="28" t="n"/>
      <c r="J44" s="41" t="n"/>
      <c r="K44" s="41" t="n"/>
      <c r="L44" s="32" t="n"/>
      <c r="M44" s="29" t="n"/>
      <c r="N44" s="29" t="n"/>
      <c r="O44" s="33" t="n"/>
      <c r="P44" s="29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S41-P0a</t>
        </is>
      </c>
      <c r="D45" s="27" t="n">
        <v>34.87031108333333</v>
      </c>
      <c r="E45" s="27" t="n">
        <v>128.5928611111111</v>
      </c>
      <c r="F45" s="29" t="n"/>
      <c r="G45" s="29" t="n"/>
      <c r="H45" s="28" t="n"/>
      <c r="I45" s="28" t="n"/>
      <c r="J45" s="41" t="n"/>
      <c r="K45" s="41" t="n"/>
      <c r="L45" s="32" t="n"/>
      <c r="M45" s="29" t="n"/>
      <c r="N45" s="29" t="n"/>
      <c r="O45" s="33" t="n"/>
      <c r="P45" s="29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S42-P0a</t>
        </is>
      </c>
      <c r="D46" s="27" t="n">
        <v>34.43191666666667</v>
      </c>
      <c r="E46" s="27" t="n">
        <v>126.2238055555556</v>
      </c>
      <c r="F46" s="29" t="n"/>
      <c r="G46" s="29" t="n"/>
      <c r="H46" s="28" t="n"/>
      <c r="I46" s="28" t="n"/>
      <c r="J46" s="41" t="n"/>
      <c r="K46" s="41" t="n"/>
      <c r="L46" s="32" t="n"/>
      <c r="M46" s="29" t="n"/>
      <c r="N46" s="29" t="n"/>
      <c r="O46" s="33" t="n"/>
      <c r="P46" s="29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S43-P0a</t>
        </is>
      </c>
      <c r="D47" s="27" t="n">
        <v>37.99090344444445</v>
      </c>
      <c r="E47" s="27" t="n">
        <v>127.1346283611111</v>
      </c>
      <c r="F47" s="29" t="n"/>
      <c r="G47" s="29" t="n"/>
      <c r="H47" s="28" t="n"/>
      <c r="I47" s="28" t="n"/>
      <c r="J47" s="41" t="n"/>
      <c r="K47" s="41" t="n"/>
      <c r="L47" s="32" t="n"/>
      <c r="M47" s="29" t="n"/>
      <c r="N47" s="29" t="n"/>
      <c r="O47" s="33" t="n"/>
      <c r="P47" s="29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S44-P0a</t>
        </is>
      </c>
      <c r="D48" s="27" t="n">
        <v>33.52447991666666</v>
      </c>
      <c r="E48" s="27" t="n">
        <v>126.8941619722222</v>
      </c>
      <c r="F48" s="29" t="n"/>
      <c r="G48" s="29" t="n"/>
      <c r="H48" s="28" t="n"/>
      <c r="I48" s="28" t="n"/>
      <c r="J48" s="41" t="n"/>
      <c r="K48" s="41" t="n"/>
      <c r="L48" s="32" t="n"/>
      <c r="M48" s="29" t="n"/>
      <c r="N48" s="29" t="n"/>
      <c r="O48" s="33" t="n"/>
      <c r="P48" s="29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S45-P0a</t>
        </is>
      </c>
      <c r="D49" s="27" t="n">
        <v>37.445381</v>
      </c>
      <c r="E49" s="27" t="n">
        <v>127.5733216944444</v>
      </c>
      <c r="F49" s="29" t="n"/>
      <c r="G49" s="29" t="n"/>
      <c r="H49" s="28" t="n"/>
      <c r="I49" s="28" t="n"/>
      <c r="J49" s="41" t="n"/>
      <c r="K49" s="41" t="n"/>
      <c r="L49" s="32" t="n"/>
      <c r="M49" s="29" t="n"/>
      <c r="N49" s="29" t="n"/>
      <c r="O49" s="33" t="n"/>
      <c r="P49" s="29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S46-P0a</t>
        </is>
      </c>
      <c r="D50" s="27" t="n">
        <v>38.11566666666667</v>
      </c>
      <c r="E50" s="27" t="n">
        <v>127.6867222222222</v>
      </c>
      <c r="F50" s="29" t="n"/>
      <c r="G50" s="29" t="n"/>
      <c r="H50" s="28" t="n"/>
      <c r="I50" s="28" t="n"/>
      <c r="J50" s="41" t="n"/>
      <c r="K50" s="41" t="n"/>
      <c r="L50" s="32" t="n"/>
      <c r="M50" s="29" t="n"/>
      <c r="N50" s="29" t="n"/>
      <c r="O50" s="33" t="n"/>
      <c r="P50" s="29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S47-P0a</t>
        </is>
      </c>
      <c r="D51" s="27" t="n">
        <v>37.61237222222223</v>
      </c>
      <c r="E51" s="27" t="n">
        <v>128.395802</v>
      </c>
      <c r="F51" s="29" t="n"/>
      <c r="G51" s="29" t="n"/>
      <c r="H51" s="28" t="n"/>
      <c r="I51" s="28" t="n"/>
      <c r="J51" s="41" t="n"/>
      <c r="K51" s="41" t="n"/>
      <c r="L51" s="32" t="n"/>
      <c r="M51" s="29" t="n"/>
      <c r="N51" s="29" t="n"/>
      <c r="O51" s="33" t="n"/>
      <c r="P51" s="29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S48-P0a</t>
        </is>
      </c>
      <c r="D52" s="27" t="n">
        <v>37.38471708333334</v>
      </c>
      <c r="E52" s="27" t="n">
        <v>129.2032259444444</v>
      </c>
      <c r="F52" s="29" t="n"/>
      <c r="G52" s="29" t="n"/>
      <c r="H52" s="28" t="n"/>
      <c r="I52" s="28" t="n"/>
      <c r="J52" s="41" t="n"/>
      <c r="K52" s="41" t="n"/>
      <c r="L52" s="32" t="n"/>
      <c r="M52" s="29" t="n"/>
      <c r="N52" s="29" t="n"/>
      <c r="O52" s="33" t="n"/>
      <c r="P52" s="29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S49-P0a</t>
        </is>
      </c>
      <c r="D53" s="27" t="n">
        <v>37.07463888888889</v>
      </c>
      <c r="E53" s="27" t="n">
        <v>128.2114444444444</v>
      </c>
      <c r="F53" s="29" t="n"/>
      <c r="G53" s="29" t="n"/>
      <c r="H53" s="28" t="n"/>
      <c r="I53" s="28" t="n"/>
      <c r="J53" s="41" t="n"/>
      <c r="K53" s="41" t="n"/>
      <c r="L53" s="32" t="n"/>
      <c r="M53" s="29" t="n"/>
      <c r="N53" s="29" t="n"/>
      <c r="O53" s="33" t="n"/>
      <c r="P53" s="29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S50-P0a</t>
        </is>
      </c>
      <c r="D54" s="27" t="n">
        <v>35.54250855555556</v>
      </c>
      <c r="E54" s="27" t="n">
        <v>127.6229688333333</v>
      </c>
      <c r="F54" s="29" t="n"/>
      <c r="G54" s="29" t="n"/>
      <c r="H54" s="28" t="n"/>
      <c r="I54" s="28" t="n"/>
      <c r="J54" s="41" t="n"/>
      <c r="K54" s="41" t="n"/>
      <c r="L54" s="32" t="n"/>
      <c r="M54" s="29" t="n"/>
      <c r="N54" s="29" t="n"/>
      <c r="O54" s="33" t="n"/>
      <c r="P54" s="29" t="n"/>
    </row>
  </sheetData>
  <mergeCells count="3">
    <mergeCell ref="A1:P1"/>
    <mergeCell ref="A3:P3"/>
    <mergeCell ref="A2:P2"/>
  </mergeCells>
  <dataValidations count="5">
    <dataValidation sqref="F5:F54" showDropDown="0" showInputMessage="0" showErrorMessage="0" allowBlank="1" type="list">
      <formula1>"조정 없음,조정함,PENDING"</formula1>
    </dataValidation>
    <dataValidation sqref="M5:M54" showDropDown="0" showInputMessage="0" showErrorMessage="0" allowBlank="1" type="list">
      <formula1>"새 중심에서 전체 재측정 완료,일부 재측정,잠정 중심 — 확정측정 미실시,NOT APPLICABLE,PENDING"</formula1>
    </dataValidation>
    <dataValidation sqref="N5:N54" showDropDown="0" showInputMessage="0" showErrorMessage="0" allowBlank="1" type="list">
      <formula1>"설치 완료,미설치,PENDING,NOT APPLICABLE"</formula1>
    </dataValidation>
    <dataValidation sqref="H5:H54" showDropDown="0" showInputMessage="0" showErrorMessage="1" allowBlank="1" errorTitle="예상 범위 밖" error="한반도 위도 범위 밖이다." type="decimal" errorStyle="warning" operator="between">
      <formula1>33</formula1>
      <formula2>39.5</formula2>
    </dataValidation>
    <dataValidation sqref="I5:I54" showDropDown="0" showInputMessage="0" showErrorMessage="1" allowBlank="1" errorTitle="예상 범위 밖" error="한반도 경도 범위 밖이다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7" customWidth="1" min="4" max="4"/>
    <col width="13" customWidth="1" min="5" max="5"/>
    <col width="14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1" customWidth="1" min="12" max="12"/>
    <col width="12" customWidth="1" min="13" max="13"/>
    <col width="13" customWidth="1" min="14" max="14"/>
  </cols>
  <sheetData>
    <row r="1" ht="26" customHeight="1">
      <c r="A1" s="1" t="inlineStr">
        <is>
          <t>기록 완전성 점검 — 이 탐사는 법정 선점이 아니다</t>
        </is>
      </c>
    </row>
    <row r="2" ht="47" customHeight="1">
      <c r="A2" s="3" t="inlineStr">
        <is>
          <t>이 탐사는 법정 선점(§14 선점실시)이 아니고 통과 기준도 아직 없습니다(2026-09-07 발주자 결정). 아래 칸 이름에 붙은 조항 번호는 어떤 지침을 참고했는지를 밝힌 것일 뿐, 그 칸에 「통과」를 적었다고 해서 법정 요건을 충족했다는 뜻은 아닙니다. 이 시트가 실제로 묻는 것은 하나뿐입니다 — 나중에 분석할 수 있을 만큼 기록이 갖춰졌는가. 정량 지표는 ⑬에서 봅니다.</t>
        </is>
      </c>
    </row>
    <row r="3" ht="47" customHeight="1">
      <c r="A3" s="2" t="inlineStr">
        <is>
          <t>오히려 반대다 — **국내 기준이 없으므로 그 기준을 만들 자료를 모으는 것**이 이 탐사의 목적 가운데 하나다. 그래서 참고값(IAGA 50 nT · 유럽 3 nT/m)을 넘었다고 탈락시키지 않고 그대로 기록한다. 정식 선점·표지 설치로 넘어갈 때 §14·§15·§16·§18 의 적용범위를 그때 다시 판단한다.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이격 확인
(§13② 참고)</t>
        </is>
      </c>
      <c r="D4" s="9" t="inlineStr">
        <is>
          <t>자기환경 측정 실시
(§14 참고)</t>
        </is>
      </c>
      <c r="E4" s="9" t="inlineStr">
        <is>
          <t>0.1 nT 판독
(§17 참고)</t>
        </is>
      </c>
      <c r="F4" s="9" t="inlineStr">
        <is>
          <t>자기오염 방지
(§18③ 참고)</t>
        </is>
      </c>
      <c r="G4" s="9" t="inlineStr">
        <is>
          <t>시간변화 보정자료
(§21 참고)</t>
        </is>
      </c>
      <c r="H4" s="9" t="inlineStr">
        <is>
          <t>수평 4방향 Set 검증 OK</t>
        </is>
      </c>
      <c r="I4" s="9" t="inlineStr">
        <is>
          <t>수직 Set 검증 OK</t>
        </is>
      </c>
      <c r="J4" s="9" t="inlineStr">
        <is>
          <t>P0 전·후 반복관측</t>
        </is>
      </c>
      <c r="K4" s="9" t="inlineStr">
        <is>
          <t>참방위각 결정</t>
        </is>
      </c>
      <c r="L4" s="9" t="inlineStr">
        <is>
          <t>좌표 검증</t>
        </is>
      </c>
      <c r="M4" s="9" t="inlineStr">
        <is>
          <t>중심점 확정</t>
        </is>
      </c>
      <c r="N4" s="9" t="inlineStr">
        <is>
          <t>게이트 종합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6">
        <f>IF(COUNTIF(C5:M5,"실패")&gt;0,"실패",IF(COUNTIF(C5:M5,"통과")=11,"통과","미완"))</f>
        <v/>
      </c>
    </row>
    <row r="6">
      <c r="A6" s="26" t="inlineStr">
        <is>
          <t>S02</t>
        </is>
      </c>
      <c r="B6" s="26" t="inlineStr">
        <is>
          <t>임계 신규점1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6">
        <f>IF(COUNTIF(C6:M6,"실패")&gt;0,"실패",IF(COUNTIF(C6:M6,"통과")=11,"통과","미완"))</f>
        <v/>
      </c>
    </row>
    <row r="7">
      <c r="A7" s="26" t="inlineStr">
        <is>
          <t>S03</t>
        </is>
      </c>
      <c r="B7" s="26" t="inlineStr">
        <is>
          <t>예산 신규점2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6">
        <f>IF(COUNTIF(C7:M7,"실패")&gt;0,"실패",IF(COUNTIF(C7:M7,"통과")=11,"통과","미완"))</f>
        <v/>
      </c>
    </row>
    <row r="8">
      <c r="A8" s="26" t="inlineStr">
        <is>
          <t>S04</t>
        </is>
      </c>
      <c r="B8" s="26" t="inlineStr">
        <is>
          <t>진안 신규점1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6">
        <f>IF(COUNTIF(C8:M8,"실패")&gt;0,"실패",IF(COUNTIF(C8:M8,"통과")=11,"통과","미완"))</f>
        <v/>
      </c>
    </row>
    <row r="9">
      <c r="A9" s="26" t="inlineStr">
        <is>
          <t>S05</t>
        </is>
      </c>
      <c r="B9" s="26" t="inlineStr">
        <is>
          <t>무풍 신규점1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6">
        <f>IF(COUNTIF(C9:M9,"실패")&gt;0,"실패",IF(COUNTIF(C9:M9,"통과")=11,"통과","미완"))</f>
        <v/>
      </c>
    </row>
    <row r="10">
      <c r="A10" s="26" t="inlineStr">
        <is>
          <t>S06</t>
        </is>
      </c>
      <c r="B10" s="26" t="inlineStr">
        <is>
          <t>길담 신규점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6">
        <f>IF(COUNTIF(C10:M10,"실패")&gt;0,"실패",IF(COUNTIF(C10:M10,"통과")=11,"통과","미완"))</f>
        <v/>
      </c>
    </row>
    <row r="11">
      <c r="A11" s="26" t="inlineStr">
        <is>
          <t>S07</t>
        </is>
      </c>
      <c r="B11" s="26" t="inlineStr">
        <is>
          <t>남해 신규점1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6">
        <f>IF(COUNTIF(C11:M11,"실패")&gt;0,"실패",IF(COUNTIF(C11:M11,"통과")=11,"통과","미완"))</f>
        <v/>
      </c>
    </row>
    <row r="12">
      <c r="A12" s="26" t="inlineStr">
        <is>
          <t>S08</t>
        </is>
      </c>
      <c r="B12" s="26" t="inlineStr">
        <is>
          <t>청일 신규점2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6">
        <f>IF(COUNTIF(C12:M12,"실패")&gt;0,"실패",IF(COUNTIF(C12:M12,"통과")=11,"통과","미완"))</f>
        <v/>
      </c>
    </row>
    <row r="13">
      <c r="A13" s="26" t="inlineStr">
        <is>
          <t>S09</t>
        </is>
      </c>
      <c r="B13" s="26" t="inlineStr">
        <is>
          <t>어론 신규점</t>
        </is>
      </c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6">
        <f>IF(COUNTIF(C13:M13,"실패")&gt;0,"실패",IF(COUNTIF(C13:M13,"통과")=11,"통과","미완"))</f>
        <v/>
      </c>
    </row>
    <row r="14">
      <c r="A14" s="26" t="inlineStr">
        <is>
          <t>S10</t>
        </is>
      </c>
      <c r="B14" s="26" t="inlineStr">
        <is>
          <t>예안 신규점1</t>
        </is>
      </c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6">
        <f>IF(COUNTIF(C14:M14,"실패")&gt;0,"실패",IF(COUNTIF(C14:M14,"통과")=11,"통과","미완"))</f>
        <v/>
      </c>
    </row>
    <row r="15">
      <c r="A15" s="26" t="inlineStr">
        <is>
          <t>S11</t>
        </is>
      </c>
      <c r="B15" s="26" t="inlineStr">
        <is>
          <t>소천 신규점4</t>
        </is>
      </c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6">
        <f>IF(COUNTIF(C15:M15,"실패")&gt;0,"실패",IF(COUNTIF(C15:M15,"통과")=11,"통과","미완"))</f>
        <v/>
      </c>
    </row>
    <row r="16">
      <c r="A16" s="26" t="inlineStr">
        <is>
          <t>S12</t>
        </is>
      </c>
      <c r="B16" s="26" t="inlineStr">
        <is>
          <t>순창 신규점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6">
        <f>IF(COUNTIF(C16:M16,"실패")&gt;0,"실패",IF(COUNTIF(C16:M16,"통과")=11,"통과","미완"))</f>
        <v/>
      </c>
    </row>
    <row r="17">
      <c r="A17" s="26" t="inlineStr">
        <is>
          <t>S13</t>
        </is>
      </c>
      <c r="B17" s="26" t="inlineStr">
        <is>
          <t>순천 신규점</t>
        </is>
      </c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6">
        <f>IF(COUNTIF(C17:M17,"실패")&gt;0,"실패",IF(COUNTIF(C17:M17,"통과")=11,"통과","미완"))</f>
        <v/>
      </c>
    </row>
    <row r="18">
      <c r="A18" s="26" t="inlineStr">
        <is>
          <t>S14</t>
        </is>
      </c>
      <c r="B18" s="26" t="inlineStr">
        <is>
          <t>청송 신규점1</t>
        </is>
      </c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6">
        <f>IF(COUNTIF(C18:M18,"실패")&gt;0,"실패",IF(COUNTIF(C18:M18,"통과")=11,"통과","미완"))</f>
        <v/>
      </c>
    </row>
    <row r="19">
      <c r="A19" s="26" t="inlineStr">
        <is>
          <t>S15</t>
        </is>
      </c>
      <c r="B19" s="26" t="inlineStr">
        <is>
          <t>의성 신규점</t>
        </is>
      </c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6">
        <f>IF(COUNTIF(C19:M19,"실패")&gt;0,"실패",IF(COUNTIF(C19:M19,"통과")=11,"통과","미완"))</f>
        <v/>
      </c>
    </row>
    <row r="20">
      <c r="A20" s="26" t="inlineStr">
        <is>
          <t>S16</t>
        </is>
      </c>
      <c r="B20" s="26" t="inlineStr">
        <is>
          <t>예천 신규점</t>
        </is>
      </c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6">
        <f>IF(COUNTIF(C20:M20,"실패")&gt;0,"실패",IF(COUNTIF(C20:M20,"통과")=11,"통과","미완"))</f>
        <v/>
      </c>
    </row>
    <row r="21">
      <c r="A21" s="26" t="inlineStr">
        <is>
          <t>S17</t>
        </is>
      </c>
      <c r="B21" s="26" t="inlineStr">
        <is>
          <t>영양 신규점4</t>
        </is>
      </c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6">
        <f>IF(COUNTIF(C21:M21,"실패")&gt;0,"실패",IF(COUNTIF(C21:M21,"통과")=11,"통과","미완"))</f>
        <v/>
      </c>
    </row>
    <row r="22">
      <c r="A22" s="26" t="inlineStr">
        <is>
          <t>S18</t>
        </is>
      </c>
      <c r="B22" s="26" t="inlineStr">
        <is>
          <t>통영 신규점</t>
        </is>
      </c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6">
        <f>IF(COUNTIF(C22:M22,"실패")&gt;0,"실패",IF(COUNTIF(C22:M22,"통과")=11,"통과","미완"))</f>
        <v/>
      </c>
    </row>
    <row r="23">
      <c r="A23" s="26" t="inlineStr">
        <is>
          <t>S19</t>
        </is>
      </c>
      <c r="B23" s="26" t="inlineStr">
        <is>
          <t>오호 신규점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6">
        <f>IF(COUNTIF(C23:M23,"실패")&gt;0,"실패",IF(COUNTIF(C23:M23,"통과")=11,"통과","미완"))</f>
        <v/>
      </c>
    </row>
    <row r="24">
      <c r="A24" s="26" t="inlineStr">
        <is>
          <t>S20</t>
        </is>
      </c>
      <c r="B24" s="26" t="inlineStr">
        <is>
          <t>보령 신규점2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6">
        <f>IF(COUNTIF(C24:M24,"실패")&gt;0,"실패",IF(COUNTIF(C24:M24,"통과")=11,"통과","미완"))</f>
        <v/>
      </c>
    </row>
    <row r="25">
      <c r="A25" s="26" t="inlineStr">
        <is>
          <t>S21</t>
        </is>
      </c>
      <c r="B25" s="26" t="inlineStr">
        <is>
          <t>담양 신규점2</t>
        </is>
      </c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6">
        <f>IF(COUNTIF(C25:M25,"실패")&gt;0,"실패",IF(COUNTIF(C25:M25,"통과")=11,"통과","미완"))</f>
        <v/>
      </c>
    </row>
    <row r="26">
      <c r="A26" s="26" t="inlineStr">
        <is>
          <t>S22</t>
        </is>
      </c>
      <c r="B26" s="26" t="inlineStr">
        <is>
          <t>완도 신규점</t>
        </is>
      </c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6">
        <f>IF(COUNTIF(C26:M26,"실패")&gt;0,"실패",IF(COUNTIF(C26:M26,"통과")=11,"통과","미완"))</f>
        <v/>
      </c>
    </row>
    <row r="27">
      <c r="A27" s="26" t="inlineStr">
        <is>
          <t>S23</t>
        </is>
      </c>
      <c r="B27" s="26" t="inlineStr">
        <is>
          <t>덕산 신규점1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6">
        <f>IF(COUNTIF(C27:M27,"실패")&gt;0,"실패",IF(COUNTIF(C27:M27,"통과")=11,"통과","미완"))</f>
        <v/>
      </c>
    </row>
    <row r="28">
      <c r="A28" s="26" t="inlineStr">
        <is>
          <t>S24</t>
        </is>
      </c>
      <c r="B28" s="26" t="inlineStr">
        <is>
          <t>회천 신규점2</t>
        </is>
      </c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6">
        <f>IF(COUNTIF(C28:M28,"실패")&gt;0,"실패",IF(COUNTIF(C28:M28,"통과")=11,"통과","미완"))</f>
        <v/>
      </c>
    </row>
    <row r="29">
      <c r="A29" s="26" t="inlineStr">
        <is>
          <t>S25</t>
        </is>
      </c>
      <c r="B29" s="26" t="inlineStr">
        <is>
          <t>관리 신규점3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6">
        <f>IF(COUNTIF(C29:M29,"실패")&gt;0,"실패",IF(COUNTIF(C29:M29,"통과")=11,"통과","미완"))</f>
        <v/>
      </c>
    </row>
    <row r="30">
      <c r="A30" s="26" t="inlineStr">
        <is>
          <t>S26</t>
        </is>
      </c>
      <c r="B30" s="26" t="inlineStr">
        <is>
          <t>고남 신규점2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6">
        <f>IF(COUNTIF(C30:M30,"실패")&gt;0,"실패",IF(COUNTIF(C30:M30,"통과")=11,"통과","미완"))</f>
        <v/>
      </c>
    </row>
    <row r="31">
      <c r="A31" s="26" t="inlineStr">
        <is>
          <t>S27</t>
        </is>
      </c>
      <c r="B31" s="26" t="inlineStr">
        <is>
          <t>전의 신규점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6">
        <f>IF(COUNTIF(C31:M31,"실패")&gt;0,"실패",IF(COUNTIF(C31:M31,"통과")=11,"통과","미완"))</f>
        <v/>
      </c>
    </row>
    <row r="32">
      <c r="A32" s="26" t="inlineStr">
        <is>
          <t>S28</t>
        </is>
      </c>
      <c r="B32" s="26" t="inlineStr">
        <is>
          <t>이원 신규점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6">
        <f>IF(COUNTIF(C32:M32,"실패")&gt;0,"실패",IF(COUNTIF(C32:M32,"통과")=11,"통과","미완"))</f>
        <v/>
      </c>
    </row>
    <row r="33">
      <c r="A33" s="26" t="inlineStr">
        <is>
          <t>S29</t>
        </is>
      </c>
      <c r="B33" s="26" t="inlineStr">
        <is>
          <t>가야 신규점1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6">
        <f>IF(COUNTIF(C33:M33,"실패")&gt;0,"실패",IF(COUNTIF(C33:M33,"통과")=11,"통과","미완"))</f>
        <v/>
      </c>
    </row>
    <row r="34">
      <c r="A34" s="26" t="inlineStr">
        <is>
          <t>S30</t>
        </is>
      </c>
      <c r="B34" s="26" t="inlineStr">
        <is>
          <t>창녕 신규점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6">
        <f>IF(COUNTIF(C34:M34,"실패")&gt;0,"실패",IF(COUNTIF(C34:M34,"통과")=11,"통과","미완"))</f>
        <v/>
      </c>
    </row>
    <row r="35">
      <c r="A35" s="26" t="inlineStr">
        <is>
          <t>S31</t>
        </is>
      </c>
      <c r="B35" s="26" t="inlineStr">
        <is>
          <t>언양 신규점3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6">
        <f>IF(COUNTIF(C35:M35,"실패")&gt;0,"실패",IF(COUNTIF(C35:M35,"통과")=11,"통과","미완"))</f>
        <v/>
      </c>
    </row>
    <row r="36">
      <c r="A36" s="26" t="inlineStr">
        <is>
          <t>S32</t>
        </is>
      </c>
      <c r="B36" s="26" t="inlineStr">
        <is>
          <t>함양 신규점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6">
        <f>IF(COUNTIF(C36:M36,"실패")&gt;0,"실패",IF(COUNTIF(C36:M36,"통과")=11,"통과","미완"))</f>
        <v/>
      </c>
    </row>
    <row r="37">
      <c r="A37" s="26" t="inlineStr">
        <is>
          <t>S33</t>
        </is>
      </c>
      <c r="B37" s="26" t="inlineStr">
        <is>
          <t>문산 신규점</t>
        </is>
      </c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6">
        <f>IF(COUNTIF(C37:M37,"실패")&gt;0,"실패",IF(COUNTIF(C37:M37,"통과")=11,"통과","미완"))</f>
        <v/>
      </c>
    </row>
    <row r="38">
      <c r="A38" s="26" t="inlineStr">
        <is>
          <t>S34</t>
        </is>
      </c>
      <c r="B38" s="26" t="inlineStr">
        <is>
          <t>부안 신규점</t>
        </is>
      </c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6">
        <f>IF(COUNTIF(C38:M38,"실패")&gt;0,"실패",IF(COUNTIF(C38:M38,"통과")=11,"통과","미완"))</f>
        <v/>
      </c>
    </row>
    <row r="39">
      <c r="A39" s="26" t="inlineStr">
        <is>
          <t>S35</t>
        </is>
      </c>
      <c r="B39" s="26" t="inlineStr">
        <is>
          <t>상주</t>
        </is>
      </c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6">
        <f>IF(COUNTIF(C39:M39,"실패")&gt;0,"실패",IF(COUNTIF(C39:M39,"통과")=11,"통과","미완"))</f>
        <v/>
      </c>
    </row>
    <row r="40">
      <c r="A40" s="26" t="inlineStr">
        <is>
          <t>S36</t>
        </is>
      </c>
      <c r="B40" s="26" t="inlineStr">
        <is>
          <t>미원</t>
        </is>
      </c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6">
        <f>IF(COUNTIF(C40:M40,"실패")&gt;0,"실패",IF(COUNTIF(C40:M40,"통과")=11,"통과","미완"))</f>
        <v/>
      </c>
    </row>
    <row r="41">
      <c r="A41" s="26" t="inlineStr">
        <is>
          <t>S37</t>
        </is>
      </c>
      <c r="B41" s="26" t="inlineStr">
        <is>
          <t>부안</t>
        </is>
      </c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6">
        <f>IF(COUNTIF(C41:M41,"실패")&gt;0,"실패",IF(COUNTIF(C41:M41,"통과")=11,"통과","미완"))</f>
        <v/>
      </c>
    </row>
    <row r="42">
      <c r="A42" s="26" t="inlineStr">
        <is>
          <t>S38</t>
        </is>
      </c>
      <c r="B42" s="26" t="inlineStr">
        <is>
          <t>강화</t>
        </is>
      </c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6">
        <f>IF(COUNTIF(C42:M42,"실패")&gt;0,"실패",IF(COUNTIF(C42:M42,"통과")=11,"통과","미완"))</f>
        <v/>
      </c>
    </row>
    <row r="43">
      <c r="A43" s="26" t="inlineStr">
        <is>
          <t>S39</t>
        </is>
      </c>
      <c r="B43" s="26" t="inlineStr">
        <is>
          <t>언양</t>
        </is>
      </c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6">
        <f>IF(COUNTIF(C43:M43,"실패")&gt;0,"실패",IF(COUNTIF(C43:M43,"통과")=11,"통과","미완"))</f>
        <v/>
      </c>
    </row>
    <row r="44">
      <c r="A44" s="26" t="inlineStr">
        <is>
          <t>S40</t>
        </is>
      </c>
      <c r="B44" s="26" t="inlineStr">
        <is>
          <t>남지</t>
        </is>
      </c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6">
        <f>IF(COUNTIF(C44:M44,"실패")&gt;0,"실패",IF(COUNTIF(C44:M44,"통과")=11,"통과","미완"))</f>
        <v/>
      </c>
    </row>
    <row r="45">
      <c r="A45" s="26" t="inlineStr">
        <is>
          <t>S41</t>
        </is>
      </c>
      <c r="B45" s="26" t="inlineStr">
        <is>
          <t>거제</t>
        </is>
      </c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6">
        <f>IF(COUNTIF(C45:M45,"실패")&gt;0,"실패",IF(COUNTIF(C45:M45,"통과")=11,"통과","미완"))</f>
        <v/>
      </c>
    </row>
    <row r="46">
      <c r="A46" s="26" t="inlineStr">
        <is>
          <t>S42</t>
        </is>
      </c>
      <c r="B46" s="26" t="inlineStr">
        <is>
          <t>조도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6">
        <f>IF(COUNTIF(C46:M46,"실패")&gt;0,"실패",IF(COUNTIF(C46:M46,"통과")=11,"통과","미완"))</f>
        <v/>
      </c>
    </row>
    <row r="47">
      <c r="A47" s="26" t="inlineStr">
        <is>
          <t>S43</t>
        </is>
      </c>
      <c r="B47" s="26" t="inlineStr">
        <is>
          <t>포천</t>
        </is>
      </c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6">
        <f>IF(COUNTIF(C47:M47,"실패")&gt;0,"실패",IF(COUNTIF(C47:M47,"통과")=11,"통과","미완"))</f>
        <v/>
      </c>
    </row>
    <row r="48">
      <c r="A48" s="26" t="inlineStr">
        <is>
          <t>S44</t>
        </is>
      </c>
      <c r="B48" s="26" t="inlineStr">
        <is>
          <t>성산</t>
        </is>
      </c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6">
        <f>IF(COUNTIF(C48:M48,"실패")&gt;0,"실패",IF(COUNTIF(C48:M48,"통과")=11,"통과","미완"))</f>
        <v/>
      </c>
    </row>
    <row r="49">
      <c r="A49" s="26" t="inlineStr">
        <is>
          <t>S45</t>
        </is>
      </c>
      <c r="B49" s="26" t="inlineStr">
        <is>
          <t>여주</t>
        </is>
      </c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6">
        <f>IF(COUNTIF(C49:M49,"실패")&gt;0,"실패",IF(COUNTIF(C49:M49,"통과")=11,"통과","미완"))</f>
        <v/>
      </c>
    </row>
    <row r="50">
      <c r="A50" s="26" t="inlineStr">
        <is>
          <t>S46</t>
        </is>
      </c>
      <c r="B50" s="26" t="inlineStr">
        <is>
          <t>화천</t>
        </is>
      </c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6">
        <f>IF(COUNTIF(C50:M50,"실패")&gt;0,"실패",IF(COUNTIF(C50:M50,"통과")=11,"통과","미완"))</f>
        <v/>
      </c>
    </row>
    <row r="51">
      <c r="A51" s="26" t="inlineStr">
        <is>
          <t>S47</t>
        </is>
      </c>
      <c r="B51" s="26" t="inlineStr">
        <is>
          <t>봉평</t>
        </is>
      </c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6">
        <f>IF(COUNTIF(C51:M51,"실패")&gt;0,"실패",IF(COUNTIF(C51:M51,"통과")=11,"통과","미완"))</f>
        <v/>
      </c>
    </row>
    <row r="52">
      <c r="A52" s="26" t="inlineStr">
        <is>
          <t>S48</t>
        </is>
      </c>
      <c r="B52" s="26" t="inlineStr">
        <is>
          <t>삼척</t>
        </is>
      </c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6">
        <f>IF(COUNTIF(C52:M52,"실패")&gt;0,"실패",IF(COUNTIF(C52:M52,"통과")=11,"통과","미완"))</f>
        <v/>
      </c>
    </row>
    <row r="53">
      <c r="A53" s="26" t="inlineStr">
        <is>
          <t>S49</t>
        </is>
      </c>
      <c r="B53" s="26" t="inlineStr">
        <is>
          <t>제천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6">
        <f>IF(COUNTIF(C53:M53,"실패")&gt;0,"실패",IF(COUNTIF(C53:M53,"통과")=11,"통과","미완"))</f>
        <v/>
      </c>
    </row>
    <row r="54">
      <c r="A54" s="26" t="inlineStr">
        <is>
          <t>S50</t>
        </is>
      </c>
      <c r="B54" s="26" t="inlineStr">
        <is>
          <t>함양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6">
        <f>IF(COUNTIF(C54:M54,"실패")&gt;0,"실패",IF(COUNTIF(C54:M54,"통과")=11,"통과","미완"))</f>
        <v/>
      </c>
    </row>
  </sheetData>
  <mergeCells count="3">
    <mergeCell ref="A3:N3"/>
    <mergeCell ref="A2:N2"/>
    <mergeCell ref="A1:N1"/>
  </mergeCells>
  <dataValidations count="1">
    <dataValidation sqref="C5:M54" showDropDown="0" showInputMessage="0" showErrorMessage="0" allowBlank="1" type="list">
      <formula1>"통과,실패,PENDING,NOT APPLICABLE"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  <col width="16" customWidth="1" min="19" max="19"/>
    <col width="14" customWidth="1" min="20" max="20"/>
    <col width="40" customWidth="1" min="21" max="21"/>
  </cols>
  <sheetData>
    <row r="1" ht="26" customHeight="1">
      <c r="A1" s="1" t="inlineStr">
        <is>
          <t>정량 지표 · 시험 탐사 판정</t>
        </is>
      </c>
    </row>
    <row r="2" ht="47" customHeight="1">
      <c r="A2" s="2" t="inlineStr">
        <is>
          <t>참고 기준: IAGA 「Guide for Magnetic Repeat Station Surveys」 §4.2 — 반경 10 m 내 총자기장 변화가 약 50 nT 를 초과하면 다른 후보지 검토 / 유럽 「Recommendations for European Magnetic Repeat Station Surveys」 p.3 — 자기구배 3 nT/m 미만, PPM 교차 프로파일 확인 및 수직 자기구배 점검</t>
        </is>
      </c>
    </row>
    <row r="3" ht="47" customHeight="1">
      <c r="A3" s="3" t="inlineStr">
        <is>
          <t>「관측사실」과 「국제 참고기준 대비 결과」와 「국내 판정상태」를 굳이 나눠 놓은 이유가 있습니다. 국내 기준이 없는데 판정 칸 하나만 두면, 참고기준이 슬그머니 실제 탈락 기준처럼 쓰이게 되고 50점이 저마다 다른 잣대로 평가되기 쉽습니다. 어떤 기준의 몇 판을 보고 누가 언제 판단했는지까지 남겨 두시면 나중에 그 판단을 되짚을 수 있습니다.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구분</t>
        </is>
      </c>
      <c r="D4" s="9" t="inlineStr">
        <is>
          <t>4방위 측선 max|ΔF|
(nT)</t>
        </is>
      </c>
      <c r="E4" s="9" t="inlineStr">
        <is>
          <t>4방위 측선 max−min
(nT)</t>
        </is>
      </c>
      <c r="F4" s="9" t="inlineStr">
        <is>
          <t>1 m 지점 |변화율|
(nT/m, 시범관측 대조용)</t>
        </is>
      </c>
      <c r="G4" s="9" t="inlineStr">
        <is>
          <t>전 거리 최대 |변화율|
(nT/m)</t>
        </is>
      </c>
      <c r="H4" s="9" t="inlineStr">
        <is>
          <t>전 거리 중앙 |변화율|
(nT/m)</t>
        </is>
      </c>
      <c r="I4" s="9" t="inlineStr">
        <is>
          <t>수직 ΔF 범위
(nT)</t>
        </is>
      </c>
      <c r="J4" s="9" t="inlineStr">
        <is>
          <t>P0 전후차
(nT)</t>
        </is>
      </c>
      <c r="K4" s="9" t="inlineStr">
        <is>
          <t>Set 지속 최대
(분)</t>
        </is>
      </c>
      <c r="L4" s="9" t="inlineStr">
        <is>
          <t>시간변화 처리</t>
        </is>
      </c>
      <c r="M4" s="9" t="inlineStr">
        <is>
          <t>IAGA 50 nT
대비</t>
        </is>
      </c>
      <c r="N4" s="9" t="inlineStr">
        <is>
          <t>유럽 3 nT/m
대비</t>
        </is>
      </c>
      <c r="O4" s="9" t="inlineStr">
        <is>
          <t>예측 |∇ΔT|
(참고)</t>
        </is>
      </c>
      <c r="P4" s="9" t="inlineStr">
        <is>
          <t>게이트 종합</t>
        </is>
      </c>
      <c r="Q4" s="9" t="inlineStr">
        <is>
          <t>중심점 조정</t>
        </is>
      </c>
      <c r="R4" s="9" t="inlineStr">
        <is>
          <t>국내 판정상태</t>
        </is>
      </c>
      <c r="S4" s="9" t="inlineStr">
        <is>
          <t>기준명·버전</t>
        </is>
      </c>
      <c r="T4" s="9" t="inlineStr">
        <is>
          <t>판단자·일자</t>
        </is>
      </c>
      <c r="U4" s="9" t="inlineStr">
        <is>
          <t>판단 사유·특이사항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A</t>
        </is>
      </c>
      <c r="D5" s="41" t="n"/>
      <c r="E5" s="41" t="n"/>
      <c r="F5" s="30" t="n"/>
      <c r="G5" s="30" t="n"/>
      <c r="H5" s="30" t="n"/>
      <c r="I5" s="41" t="n"/>
      <c r="J5" s="41" t="n"/>
      <c r="K5" s="41" t="n"/>
      <c r="L5" s="29" t="n"/>
      <c r="M5" s="29" t="n"/>
      <c r="N5" s="29" t="n"/>
      <c r="O5" s="26" t="n">
        <v>15.6</v>
      </c>
      <c r="P5" s="26">
        <f>'⑫ 게이트 점검'!N5</f>
        <v/>
      </c>
      <c r="Q5" s="26">
        <f>'⑪ 중심점 최종선정'!F5</f>
        <v/>
      </c>
      <c r="R5" s="29" t="n"/>
      <c r="S5" s="29" t="n"/>
      <c r="T5" s="33" t="n"/>
      <c r="U5" s="32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A</t>
        </is>
      </c>
      <c r="D6" s="41" t="n"/>
      <c r="E6" s="41" t="n"/>
      <c r="F6" s="30" t="n"/>
      <c r="G6" s="30" t="n"/>
      <c r="H6" s="30" t="n"/>
      <c r="I6" s="41" t="n"/>
      <c r="J6" s="41" t="n"/>
      <c r="K6" s="41" t="n"/>
      <c r="L6" s="29" t="n"/>
      <c r="M6" s="29" t="n"/>
      <c r="N6" s="29" t="n"/>
      <c r="O6" s="26" t="n">
        <v>24.3</v>
      </c>
      <c r="P6" s="26">
        <f>'⑫ 게이트 점검'!N6</f>
        <v/>
      </c>
      <c r="Q6" s="26">
        <f>'⑪ 중심점 최종선정'!F6</f>
        <v/>
      </c>
      <c r="R6" s="29" t="n"/>
      <c r="S6" s="29" t="n"/>
      <c r="T6" s="33" t="n"/>
      <c r="U6" s="32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A</t>
        </is>
      </c>
      <c r="D7" s="41" t="n"/>
      <c r="E7" s="41" t="n"/>
      <c r="F7" s="30" t="n"/>
      <c r="G7" s="30" t="n"/>
      <c r="H7" s="30" t="n"/>
      <c r="I7" s="41" t="n"/>
      <c r="J7" s="41" t="n"/>
      <c r="K7" s="41" t="n"/>
      <c r="L7" s="29" t="n"/>
      <c r="M7" s="29" t="n"/>
      <c r="N7" s="29" t="n"/>
      <c r="O7" s="26" t="n">
        <v>9.300000000000001</v>
      </c>
      <c r="P7" s="26">
        <f>'⑫ 게이트 점검'!N7</f>
        <v/>
      </c>
      <c r="Q7" s="26">
        <f>'⑪ 중심점 최종선정'!F7</f>
        <v/>
      </c>
      <c r="R7" s="29" t="n"/>
      <c r="S7" s="29" t="n"/>
      <c r="T7" s="33" t="n"/>
      <c r="U7" s="32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A</t>
        </is>
      </c>
      <c r="D8" s="41" t="n"/>
      <c r="E8" s="41" t="n"/>
      <c r="F8" s="30" t="n"/>
      <c r="G8" s="30" t="n"/>
      <c r="H8" s="30" t="n"/>
      <c r="I8" s="41" t="n"/>
      <c r="J8" s="41" t="n"/>
      <c r="K8" s="41" t="n"/>
      <c r="L8" s="29" t="n"/>
      <c r="M8" s="29" t="n"/>
      <c r="N8" s="29" t="n"/>
      <c r="O8" s="26" t="n">
        <v>20.1</v>
      </c>
      <c r="P8" s="26">
        <f>'⑫ 게이트 점검'!N8</f>
        <v/>
      </c>
      <c r="Q8" s="26">
        <f>'⑪ 중심점 최종선정'!F8</f>
        <v/>
      </c>
      <c r="R8" s="29" t="n"/>
      <c r="S8" s="29" t="n"/>
      <c r="T8" s="33" t="n"/>
      <c r="U8" s="32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A</t>
        </is>
      </c>
      <c r="D9" s="41" t="n"/>
      <c r="E9" s="41" t="n"/>
      <c r="F9" s="30" t="n"/>
      <c r="G9" s="30" t="n"/>
      <c r="H9" s="30" t="n"/>
      <c r="I9" s="41" t="n"/>
      <c r="J9" s="41" t="n"/>
      <c r="K9" s="41" t="n"/>
      <c r="L9" s="29" t="n"/>
      <c r="M9" s="29" t="n"/>
      <c r="N9" s="29" t="n"/>
      <c r="O9" s="26" t="n">
        <v>26.6</v>
      </c>
      <c r="P9" s="26">
        <f>'⑫ 게이트 점검'!N9</f>
        <v/>
      </c>
      <c r="Q9" s="26">
        <f>'⑪ 중심점 최종선정'!F9</f>
        <v/>
      </c>
      <c r="R9" s="29" t="n"/>
      <c r="S9" s="29" t="n"/>
      <c r="T9" s="33" t="n"/>
      <c r="U9" s="32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B</t>
        </is>
      </c>
      <c r="D10" s="41" t="n"/>
      <c r="E10" s="41" t="n"/>
      <c r="F10" s="30" t="n"/>
      <c r="G10" s="30" t="n"/>
      <c r="H10" s="30" t="n"/>
      <c r="I10" s="41" t="n"/>
      <c r="J10" s="41" t="n"/>
      <c r="K10" s="41" t="n"/>
      <c r="L10" s="29" t="n"/>
      <c r="M10" s="29" t="n"/>
      <c r="N10" s="29" t="n"/>
      <c r="O10" s="26" t="n">
        <v>8.4</v>
      </c>
      <c r="P10" s="26">
        <f>'⑫ 게이트 점검'!N10</f>
        <v/>
      </c>
      <c r="Q10" s="26">
        <f>'⑪ 중심점 최종선정'!F10</f>
        <v/>
      </c>
      <c r="R10" s="29" t="n"/>
      <c r="S10" s="29" t="n"/>
      <c r="T10" s="33" t="n"/>
      <c r="U10" s="32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B</t>
        </is>
      </c>
      <c r="D11" s="41" t="n"/>
      <c r="E11" s="41" t="n"/>
      <c r="F11" s="30" t="n"/>
      <c r="G11" s="30" t="n"/>
      <c r="H11" s="30" t="n"/>
      <c r="I11" s="41" t="n"/>
      <c r="J11" s="41" t="n"/>
      <c r="K11" s="41" t="n"/>
      <c r="L11" s="29" t="n"/>
      <c r="M11" s="29" t="n"/>
      <c r="N11" s="29" t="n"/>
      <c r="O11" s="26" t="n">
        <v>5.4</v>
      </c>
      <c r="P11" s="26">
        <f>'⑫ 게이트 점검'!N11</f>
        <v/>
      </c>
      <c r="Q11" s="26">
        <f>'⑪ 중심점 최종선정'!F11</f>
        <v/>
      </c>
      <c r="R11" s="29" t="n"/>
      <c r="S11" s="29" t="n"/>
      <c r="T11" s="33" t="n"/>
      <c r="U11" s="32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B</t>
        </is>
      </c>
      <c r="D12" s="41" t="n"/>
      <c r="E12" s="41" t="n"/>
      <c r="F12" s="30" t="n"/>
      <c r="G12" s="30" t="n"/>
      <c r="H12" s="30" t="n"/>
      <c r="I12" s="41" t="n"/>
      <c r="J12" s="41" t="n"/>
      <c r="K12" s="41" t="n"/>
      <c r="L12" s="29" t="n"/>
      <c r="M12" s="29" t="n"/>
      <c r="N12" s="29" t="n"/>
      <c r="O12" s="26" t="n">
        <v>7.6</v>
      </c>
      <c r="P12" s="26">
        <f>'⑫ 게이트 점검'!N12</f>
        <v/>
      </c>
      <c r="Q12" s="26">
        <f>'⑪ 중심점 최종선정'!F12</f>
        <v/>
      </c>
      <c r="R12" s="29" t="n"/>
      <c r="S12" s="29" t="n"/>
      <c r="T12" s="33" t="n"/>
      <c r="U12" s="32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B</t>
        </is>
      </c>
      <c r="D13" s="41" t="n"/>
      <c r="E13" s="41" t="n"/>
      <c r="F13" s="30" t="n"/>
      <c r="G13" s="30" t="n"/>
      <c r="H13" s="30" t="n"/>
      <c r="I13" s="41" t="n"/>
      <c r="J13" s="41" t="n"/>
      <c r="K13" s="41" t="n"/>
      <c r="L13" s="29" t="n"/>
      <c r="M13" s="29" t="n"/>
      <c r="N13" s="29" t="n"/>
      <c r="O13" s="26" t="n">
        <v>4.7</v>
      </c>
      <c r="P13" s="26">
        <f>'⑫ 게이트 점검'!N13</f>
        <v/>
      </c>
      <c r="Q13" s="26">
        <f>'⑪ 중심점 최종선정'!F13</f>
        <v/>
      </c>
      <c r="R13" s="29" t="n"/>
      <c r="S13" s="29" t="n"/>
      <c r="T13" s="33" t="n"/>
      <c r="U13" s="32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B</t>
        </is>
      </c>
      <c r="D14" s="41" t="n"/>
      <c r="E14" s="41" t="n"/>
      <c r="F14" s="30" t="n"/>
      <c r="G14" s="30" t="n"/>
      <c r="H14" s="30" t="n"/>
      <c r="I14" s="41" t="n"/>
      <c r="J14" s="41" t="n"/>
      <c r="K14" s="41" t="n"/>
      <c r="L14" s="29" t="n"/>
      <c r="M14" s="29" t="n"/>
      <c r="N14" s="29" t="n"/>
      <c r="O14" s="26" t="n">
        <v>7.5</v>
      </c>
      <c r="P14" s="26">
        <f>'⑫ 게이트 점검'!N14</f>
        <v/>
      </c>
      <c r="Q14" s="26">
        <f>'⑪ 중심점 최종선정'!F14</f>
        <v/>
      </c>
      <c r="R14" s="29" t="n"/>
      <c r="S14" s="29" t="n"/>
      <c r="T14" s="33" t="n"/>
      <c r="U14" s="32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B</t>
        </is>
      </c>
      <c r="D15" s="41" t="n"/>
      <c r="E15" s="41" t="n"/>
      <c r="F15" s="30" t="n"/>
      <c r="G15" s="30" t="n"/>
      <c r="H15" s="30" t="n"/>
      <c r="I15" s="41" t="n"/>
      <c r="J15" s="41" t="n"/>
      <c r="K15" s="41" t="n"/>
      <c r="L15" s="29" t="n"/>
      <c r="M15" s="29" t="n"/>
      <c r="N15" s="29" t="n"/>
      <c r="O15" s="26" t="n">
        <v>34.9</v>
      </c>
      <c r="P15" s="26">
        <f>'⑫ 게이트 점검'!N15</f>
        <v/>
      </c>
      <c r="Q15" s="26">
        <f>'⑪ 중심점 최종선정'!F15</f>
        <v/>
      </c>
      <c r="R15" s="29" t="n"/>
      <c r="S15" s="29" t="n"/>
      <c r="T15" s="33" t="n"/>
      <c r="U15" s="32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B</t>
        </is>
      </c>
      <c r="D16" s="41" t="n"/>
      <c r="E16" s="41" t="n"/>
      <c r="F16" s="30" t="n"/>
      <c r="G16" s="30" t="n"/>
      <c r="H16" s="30" t="n"/>
      <c r="I16" s="41" t="n"/>
      <c r="J16" s="41" t="n"/>
      <c r="K16" s="41" t="n"/>
      <c r="L16" s="29" t="n"/>
      <c r="M16" s="29" t="n"/>
      <c r="N16" s="29" t="n"/>
      <c r="O16" s="26" t="n">
        <v>23.1</v>
      </c>
      <c r="P16" s="26">
        <f>'⑫ 게이트 점검'!N16</f>
        <v/>
      </c>
      <c r="Q16" s="26">
        <f>'⑪ 중심점 최종선정'!F16</f>
        <v/>
      </c>
      <c r="R16" s="29" t="n"/>
      <c r="S16" s="29" t="n"/>
      <c r="T16" s="33" t="n"/>
      <c r="U16" s="32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B</t>
        </is>
      </c>
      <c r="D17" s="41" t="n"/>
      <c r="E17" s="41" t="n"/>
      <c r="F17" s="30" t="n"/>
      <c r="G17" s="30" t="n"/>
      <c r="H17" s="30" t="n"/>
      <c r="I17" s="41" t="n"/>
      <c r="J17" s="41" t="n"/>
      <c r="K17" s="41" t="n"/>
      <c r="L17" s="29" t="n"/>
      <c r="M17" s="29" t="n"/>
      <c r="N17" s="29" t="n"/>
      <c r="O17" s="26" t="n">
        <v>4.8</v>
      </c>
      <c r="P17" s="26">
        <f>'⑫ 게이트 점검'!N17</f>
        <v/>
      </c>
      <c r="Q17" s="26">
        <f>'⑪ 중심점 최종선정'!F17</f>
        <v/>
      </c>
      <c r="R17" s="29" t="n"/>
      <c r="S17" s="29" t="n"/>
      <c r="T17" s="33" t="n"/>
      <c r="U17" s="32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B</t>
        </is>
      </c>
      <c r="D18" s="41" t="n"/>
      <c r="E18" s="41" t="n"/>
      <c r="F18" s="30" t="n"/>
      <c r="G18" s="30" t="n"/>
      <c r="H18" s="30" t="n"/>
      <c r="I18" s="41" t="n"/>
      <c r="J18" s="41" t="n"/>
      <c r="K18" s="41" t="n"/>
      <c r="L18" s="29" t="n"/>
      <c r="M18" s="29" t="n"/>
      <c r="N18" s="29" t="n"/>
      <c r="O18" s="26" t="n">
        <v>36.9</v>
      </c>
      <c r="P18" s="26">
        <f>'⑫ 게이트 점검'!N18</f>
        <v/>
      </c>
      <c r="Q18" s="26">
        <f>'⑪ 중심점 최종선정'!F18</f>
        <v/>
      </c>
      <c r="R18" s="29" t="n"/>
      <c r="S18" s="29" t="n"/>
      <c r="T18" s="33" t="n"/>
      <c r="U18" s="32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B</t>
        </is>
      </c>
      <c r="D19" s="41" t="n"/>
      <c r="E19" s="41" t="n"/>
      <c r="F19" s="30" t="n"/>
      <c r="G19" s="30" t="n"/>
      <c r="H19" s="30" t="n"/>
      <c r="I19" s="41" t="n"/>
      <c r="J19" s="41" t="n"/>
      <c r="K19" s="41" t="n"/>
      <c r="L19" s="29" t="n"/>
      <c r="M19" s="29" t="n"/>
      <c r="N19" s="29" t="n"/>
      <c r="O19" s="26" t="n">
        <v>5.7</v>
      </c>
      <c r="P19" s="26">
        <f>'⑫ 게이트 점검'!N19</f>
        <v/>
      </c>
      <c r="Q19" s="26">
        <f>'⑪ 중심점 최종선정'!F19</f>
        <v/>
      </c>
      <c r="R19" s="29" t="n"/>
      <c r="S19" s="29" t="n"/>
      <c r="T19" s="33" t="n"/>
      <c r="U19" s="32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B</t>
        </is>
      </c>
      <c r="D20" s="41" t="n"/>
      <c r="E20" s="41" t="n"/>
      <c r="F20" s="30" t="n"/>
      <c r="G20" s="30" t="n"/>
      <c r="H20" s="30" t="n"/>
      <c r="I20" s="41" t="n"/>
      <c r="J20" s="41" t="n"/>
      <c r="K20" s="41" t="n"/>
      <c r="L20" s="29" t="n"/>
      <c r="M20" s="29" t="n"/>
      <c r="N20" s="29" t="n"/>
      <c r="O20" s="26" t="n">
        <v>10.3</v>
      </c>
      <c r="P20" s="26">
        <f>'⑫ 게이트 점검'!N20</f>
        <v/>
      </c>
      <c r="Q20" s="26">
        <f>'⑪ 중심점 최종선정'!F20</f>
        <v/>
      </c>
      <c r="R20" s="29" t="n"/>
      <c r="S20" s="29" t="n"/>
      <c r="T20" s="33" t="n"/>
      <c r="U20" s="32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B</t>
        </is>
      </c>
      <c r="D21" s="41" t="n"/>
      <c r="E21" s="41" t="n"/>
      <c r="F21" s="30" t="n"/>
      <c r="G21" s="30" t="n"/>
      <c r="H21" s="30" t="n"/>
      <c r="I21" s="41" t="n"/>
      <c r="J21" s="41" t="n"/>
      <c r="K21" s="41" t="n"/>
      <c r="L21" s="29" t="n"/>
      <c r="M21" s="29" t="n"/>
      <c r="N21" s="29" t="n"/>
      <c r="O21" s="26" t="n">
        <v>14.3</v>
      </c>
      <c r="P21" s="26">
        <f>'⑫ 게이트 점검'!N21</f>
        <v/>
      </c>
      <c r="Q21" s="26">
        <f>'⑪ 중심점 최종선정'!F21</f>
        <v/>
      </c>
      <c r="R21" s="29" t="n"/>
      <c r="S21" s="29" t="n"/>
      <c r="T21" s="33" t="n"/>
      <c r="U21" s="32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B</t>
        </is>
      </c>
      <c r="D22" s="41" t="n"/>
      <c r="E22" s="41" t="n"/>
      <c r="F22" s="30" t="n"/>
      <c r="G22" s="30" t="n"/>
      <c r="H22" s="30" t="n"/>
      <c r="I22" s="41" t="n"/>
      <c r="J22" s="41" t="n"/>
      <c r="K22" s="41" t="n"/>
      <c r="L22" s="29" t="n"/>
      <c r="M22" s="29" t="n"/>
      <c r="N22" s="29" t="n"/>
      <c r="O22" s="26" t="n">
        <v>140.1</v>
      </c>
      <c r="P22" s="26">
        <f>'⑫ 게이트 점검'!N22</f>
        <v/>
      </c>
      <c r="Q22" s="26">
        <f>'⑪ 중심점 최종선정'!F22</f>
        <v/>
      </c>
      <c r="R22" s="29" t="n"/>
      <c r="S22" s="29" t="n"/>
      <c r="T22" s="33" t="n"/>
      <c r="U22" s="32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B</t>
        </is>
      </c>
      <c r="D23" s="41" t="n"/>
      <c r="E23" s="41" t="n"/>
      <c r="F23" s="30" t="n"/>
      <c r="G23" s="30" t="n"/>
      <c r="H23" s="30" t="n"/>
      <c r="I23" s="41" t="n"/>
      <c r="J23" s="41" t="n"/>
      <c r="K23" s="41" t="n"/>
      <c r="L23" s="29" t="n"/>
      <c r="M23" s="29" t="n"/>
      <c r="N23" s="29" t="n"/>
      <c r="O23" s="50" t="inlineStr">
        <is>
          <t>NOT AVAILABLE</t>
        </is>
      </c>
      <c r="P23" s="26">
        <f>'⑫ 게이트 점검'!N23</f>
        <v/>
      </c>
      <c r="Q23" s="26">
        <f>'⑪ 중심점 최종선정'!F23</f>
        <v/>
      </c>
      <c r="R23" s="29" t="n"/>
      <c r="S23" s="29" t="n"/>
      <c r="T23" s="33" t="n"/>
      <c r="U23" s="32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B</t>
        </is>
      </c>
      <c r="D24" s="41" t="n"/>
      <c r="E24" s="41" t="n"/>
      <c r="F24" s="30" t="n"/>
      <c r="G24" s="30" t="n"/>
      <c r="H24" s="30" t="n"/>
      <c r="I24" s="41" t="n"/>
      <c r="J24" s="41" t="n"/>
      <c r="K24" s="41" t="n"/>
      <c r="L24" s="29" t="n"/>
      <c r="M24" s="29" t="n"/>
      <c r="N24" s="29" t="n"/>
      <c r="O24" s="26" t="n">
        <v>4.4</v>
      </c>
      <c r="P24" s="26">
        <f>'⑫ 게이트 점검'!N24</f>
        <v/>
      </c>
      <c r="Q24" s="26">
        <f>'⑪ 중심점 최종선정'!F24</f>
        <v/>
      </c>
      <c r="R24" s="29" t="n"/>
      <c r="S24" s="29" t="n"/>
      <c r="T24" s="33" t="n"/>
      <c r="U24" s="32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B</t>
        </is>
      </c>
      <c r="D25" s="41" t="n"/>
      <c r="E25" s="41" t="n"/>
      <c r="F25" s="30" t="n"/>
      <c r="G25" s="30" t="n"/>
      <c r="H25" s="30" t="n"/>
      <c r="I25" s="41" t="n"/>
      <c r="J25" s="41" t="n"/>
      <c r="K25" s="41" t="n"/>
      <c r="L25" s="29" t="n"/>
      <c r="M25" s="29" t="n"/>
      <c r="N25" s="29" t="n"/>
      <c r="O25" s="26" t="n">
        <v>35.3</v>
      </c>
      <c r="P25" s="26">
        <f>'⑫ 게이트 점검'!N25</f>
        <v/>
      </c>
      <c r="Q25" s="26">
        <f>'⑪ 중심점 최종선정'!F25</f>
        <v/>
      </c>
      <c r="R25" s="29" t="n"/>
      <c r="S25" s="29" t="n"/>
      <c r="T25" s="33" t="n"/>
      <c r="U25" s="32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B</t>
        </is>
      </c>
      <c r="D26" s="41" t="n"/>
      <c r="E26" s="41" t="n"/>
      <c r="F26" s="30" t="n"/>
      <c r="G26" s="30" t="n"/>
      <c r="H26" s="30" t="n"/>
      <c r="I26" s="41" t="n"/>
      <c r="J26" s="41" t="n"/>
      <c r="K26" s="41" t="n"/>
      <c r="L26" s="29" t="n"/>
      <c r="M26" s="29" t="n"/>
      <c r="N26" s="29" t="n"/>
      <c r="O26" s="26" t="n">
        <v>48.2</v>
      </c>
      <c r="P26" s="26">
        <f>'⑫ 게이트 점검'!N26</f>
        <v/>
      </c>
      <c r="Q26" s="26">
        <f>'⑪ 중심점 최종선정'!F26</f>
        <v/>
      </c>
      <c r="R26" s="29" t="n"/>
      <c r="S26" s="29" t="n"/>
      <c r="T26" s="33" t="n"/>
      <c r="U26" s="32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B</t>
        </is>
      </c>
      <c r="D27" s="41" t="n"/>
      <c r="E27" s="41" t="n"/>
      <c r="F27" s="30" t="n"/>
      <c r="G27" s="30" t="n"/>
      <c r="H27" s="30" t="n"/>
      <c r="I27" s="41" t="n"/>
      <c r="J27" s="41" t="n"/>
      <c r="K27" s="41" t="n"/>
      <c r="L27" s="29" t="n"/>
      <c r="M27" s="29" t="n"/>
      <c r="N27" s="29" t="n"/>
      <c r="O27" s="26" t="n">
        <v>9.9</v>
      </c>
      <c r="P27" s="26">
        <f>'⑫ 게이트 점검'!N27</f>
        <v/>
      </c>
      <c r="Q27" s="26">
        <f>'⑪ 중심점 최종선정'!F27</f>
        <v/>
      </c>
      <c r="R27" s="29" t="n"/>
      <c r="S27" s="29" t="n"/>
      <c r="T27" s="33" t="n"/>
      <c r="U27" s="32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B</t>
        </is>
      </c>
      <c r="D28" s="41" t="n"/>
      <c r="E28" s="41" t="n"/>
      <c r="F28" s="30" t="n"/>
      <c r="G28" s="30" t="n"/>
      <c r="H28" s="30" t="n"/>
      <c r="I28" s="41" t="n"/>
      <c r="J28" s="41" t="n"/>
      <c r="K28" s="41" t="n"/>
      <c r="L28" s="29" t="n"/>
      <c r="M28" s="29" t="n"/>
      <c r="N28" s="29" t="n"/>
      <c r="O28" s="26" t="n">
        <v>10.1</v>
      </c>
      <c r="P28" s="26">
        <f>'⑫ 게이트 점검'!N28</f>
        <v/>
      </c>
      <c r="Q28" s="26">
        <f>'⑪ 중심점 최종선정'!F28</f>
        <v/>
      </c>
      <c r="R28" s="29" t="n"/>
      <c r="S28" s="29" t="n"/>
      <c r="T28" s="33" t="n"/>
      <c r="U28" s="32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B</t>
        </is>
      </c>
      <c r="D29" s="41" t="n"/>
      <c r="E29" s="41" t="n"/>
      <c r="F29" s="30" t="n"/>
      <c r="G29" s="30" t="n"/>
      <c r="H29" s="30" t="n"/>
      <c r="I29" s="41" t="n"/>
      <c r="J29" s="41" t="n"/>
      <c r="K29" s="41" t="n"/>
      <c r="L29" s="29" t="n"/>
      <c r="M29" s="29" t="n"/>
      <c r="N29" s="29" t="n"/>
      <c r="O29" s="26" t="n">
        <v>54.9</v>
      </c>
      <c r="P29" s="26">
        <f>'⑫ 게이트 점검'!N29</f>
        <v/>
      </c>
      <c r="Q29" s="26">
        <f>'⑪ 중심점 최종선정'!F29</f>
        <v/>
      </c>
      <c r="R29" s="29" t="n"/>
      <c r="S29" s="29" t="n"/>
      <c r="T29" s="33" t="n"/>
      <c r="U29" s="32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B</t>
        </is>
      </c>
      <c r="D30" s="41" t="n"/>
      <c r="E30" s="41" t="n"/>
      <c r="F30" s="30" t="n"/>
      <c r="G30" s="30" t="n"/>
      <c r="H30" s="30" t="n"/>
      <c r="I30" s="41" t="n"/>
      <c r="J30" s="41" t="n"/>
      <c r="K30" s="41" t="n"/>
      <c r="L30" s="29" t="n"/>
      <c r="M30" s="29" t="n"/>
      <c r="N30" s="29" t="n"/>
      <c r="O30" s="26" t="n">
        <v>2.9</v>
      </c>
      <c r="P30" s="26">
        <f>'⑫ 게이트 점검'!N30</f>
        <v/>
      </c>
      <c r="Q30" s="26">
        <f>'⑪ 중심점 최종선정'!F30</f>
        <v/>
      </c>
      <c r="R30" s="29" t="n"/>
      <c r="S30" s="29" t="n"/>
      <c r="T30" s="33" t="n"/>
      <c r="U30" s="32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B</t>
        </is>
      </c>
      <c r="D31" s="41" t="n"/>
      <c r="E31" s="41" t="n"/>
      <c r="F31" s="30" t="n"/>
      <c r="G31" s="30" t="n"/>
      <c r="H31" s="30" t="n"/>
      <c r="I31" s="41" t="n"/>
      <c r="J31" s="41" t="n"/>
      <c r="K31" s="41" t="n"/>
      <c r="L31" s="29" t="n"/>
      <c r="M31" s="29" t="n"/>
      <c r="N31" s="29" t="n"/>
      <c r="O31" s="26" t="n">
        <v>2.9</v>
      </c>
      <c r="P31" s="26">
        <f>'⑫ 게이트 점검'!N31</f>
        <v/>
      </c>
      <c r="Q31" s="26">
        <f>'⑪ 중심점 최종선정'!F31</f>
        <v/>
      </c>
      <c r="R31" s="29" t="n"/>
      <c r="S31" s="29" t="n"/>
      <c r="T31" s="33" t="n"/>
      <c r="U31" s="32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B</t>
        </is>
      </c>
      <c r="D32" s="41" t="n"/>
      <c r="E32" s="41" t="n"/>
      <c r="F32" s="30" t="n"/>
      <c r="G32" s="30" t="n"/>
      <c r="H32" s="30" t="n"/>
      <c r="I32" s="41" t="n"/>
      <c r="J32" s="41" t="n"/>
      <c r="K32" s="41" t="n"/>
      <c r="L32" s="29" t="n"/>
      <c r="M32" s="29" t="n"/>
      <c r="N32" s="29" t="n"/>
      <c r="O32" s="26" t="n">
        <v>12</v>
      </c>
      <c r="P32" s="26">
        <f>'⑫ 게이트 점검'!N32</f>
        <v/>
      </c>
      <c r="Q32" s="26">
        <f>'⑪ 중심점 최종선정'!F32</f>
        <v/>
      </c>
      <c r="R32" s="29" t="n"/>
      <c r="S32" s="29" t="n"/>
      <c r="T32" s="33" t="n"/>
      <c r="U32" s="32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B</t>
        </is>
      </c>
      <c r="D33" s="41" t="n"/>
      <c r="E33" s="41" t="n"/>
      <c r="F33" s="30" t="n"/>
      <c r="G33" s="30" t="n"/>
      <c r="H33" s="30" t="n"/>
      <c r="I33" s="41" t="n"/>
      <c r="J33" s="41" t="n"/>
      <c r="K33" s="41" t="n"/>
      <c r="L33" s="29" t="n"/>
      <c r="M33" s="29" t="n"/>
      <c r="N33" s="29" t="n"/>
      <c r="O33" s="26" t="n">
        <v>26.8</v>
      </c>
      <c r="P33" s="26">
        <f>'⑫ 게이트 점검'!N33</f>
        <v/>
      </c>
      <c r="Q33" s="26">
        <f>'⑪ 중심점 최종선정'!F33</f>
        <v/>
      </c>
      <c r="R33" s="29" t="n"/>
      <c r="S33" s="29" t="n"/>
      <c r="T33" s="33" t="n"/>
      <c r="U33" s="32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B</t>
        </is>
      </c>
      <c r="D34" s="41" t="n"/>
      <c r="E34" s="41" t="n"/>
      <c r="F34" s="30" t="n"/>
      <c r="G34" s="30" t="n"/>
      <c r="H34" s="30" t="n"/>
      <c r="I34" s="41" t="n"/>
      <c r="J34" s="41" t="n"/>
      <c r="K34" s="41" t="n"/>
      <c r="L34" s="29" t="n"/>
      <c r="M34" s="29" t="n"/>
      <c r="N34" s="29" t="n"/>
      <c r="O34" s="26" t="n">
        <v>22.7</v>
      </c>
      <c r="P34" s="26">
        <f>'⑫ 게이트 점검'!N34</f>
        <v/>
      </c>
      <c r="Q34" s="26">
        <f>'⑪ 중심점 최종선정'!F34</f>
        <v/>
      </c>
      <c r="R34" s="29" t="n"/>
      <c r="S34" s="29" t="n"/>
      <c r="T34" s="33" t="n"/>
      <c r="U34" s="32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B</t>
        </is>
      </c>
      <c r="D35" s="41" t="n"/>
      <c r="E35" s="41" t="n"/>
      <c r="F35" s="30" t="n"/>
      <c r="G35" s="30" t="n"/>
      <c r="H35" s="30" t="n"/>
      <c r="I35" s="41" t="n"/>
      <c r="J35" s="41" t="n"/>
      <c r="K35" s="41" t="n"/>
      <c r="L35" s="29" t="n"/>
      <c r="M35" s="29" t="n"/>
      <c r="N35" s="29" t="n"/>
      <c r="O35" s="26" t="n">
        <v>24.2</v>
      </c>
      <c r="P35" s="26">
        <f>'⑫ 게이트 점검'!N35</f>
        <v/>
      </c>
      <c r="Q35" s="26">
        <f>'⑪ 중심점 최종선정'!F35</f>
        <v/>
      </c>
      <c r="R35" s="29" t="n"/>
      <c r="S35" s="29" t="n"/>
      <c r="T35" s="33" t="n"/>
      <c r="U35" s="32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B</t>
        </is>
      </c>
      <c r="D36" s="41" t="n"/>
      <c r="E36" s="41" t="n"/>
      <c r="F36" s="30" t="n"/>
      <c r="G36" s="30" t="n"/>
      <c r="H36" s="30" t="n"/>
      <c r="I36" s="41" t="n"/>
      <c r="J36" s="41" t="n"/>
      <c r="K36" s="41" t="n"/>
      <c r="L36" s="29" t="n"/>
      <c r="M36" s="29" t="n"/>
      <c r="N36" s="29" t="n"/>
      <c r="O36" s="26" t="n">
        <v>16.5</v>
      </c>
      <c r="P36" s="26">
        <f>'⑫ 게이트 점검'!N36</f>
        <v/>
      </c>
      <c r="Q36" s="26">
        <f>'⑪ 중심점 최종선정'!F36</f>
        <v/>
      </c>
      <c r="R36" s="29" t="n"/>
      <c r="S36" s="29" t="n"/>
      <c r="T36" s="33" t="n"/>
      <c r="U36" s="32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B</t>
        </is>
      </c>
      <c r="D37" s="41" t="n"/>
      <c r="E37" s="41" t="n"/>
      <c r="F37" s="30" t="n"/>
      <c r="G37" s="30" t="n"/>
      <c r="H37" s="30" t="n"/>
      <c r="I37" s="41" t="n"/>
      <c r="J37" s="41" t="n"/>
      <c r="K37" s="41" t="n"/>
      <c r="L37" s="29" t="n"/>
      <c r="M37" s="29" t="n"/>
      <c r="N37" s="29" t="n"/>
      <c r="O37" s="50" t="inlineStr">
        <is>
          <t>NOT AVAILABLE</t>
        </is>
      </c>
      <c r="P37" s="26">
        <f>'⑫ 게이트 점검'!N37</f>
        <v/>
      </c>
      <c r="Q37" s="26">
        <f>'⑪ 중심점 최종선정'!F37</f>
        <v/>
      </c>
      <c r="R37" s="29" t="n"/>
      <c r="S37" s="29" t="n"/>
      <c r="T37" s="33" t="n"/>
      <c r="U37" s="32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B</t>
        </is>
      </c>
      <c r="D38" s="41" t="n"/>
      <c r="E38" s="41" t="n"/>
      <c r="F38" s="30" t="n"/>
      <c r="G38" s="30" t="n"/>
      <c r="H38" s="30" t="n"/>
      <c r="I38" s="41" t="n"/>
      <c r="J38" s="41" t="n"/>
      <c r="K38" s="41" t="n"/>
      <c r="L38" s="29" t="n"/>
      <c r="M38" s="29" t="n"/>
      <c r="N38" s="29" t="n"/>
      <c r="O38" s="26" t="n">
        <v>17</v>
      </c>
      <c r="P38" s="26">
        <f>'⑫ 게이트 점검'!N38</f>
        <v/>
      </c>
      <c r="Q38" s="26">
        <f>'⑪ 중심점 최종선정'!F38</f>
        <v/>
      </c>
      <c r="R38" s="29" t="n"/>
      <c r="S38" s="29" t="n"/>
      <c r="T38" s="33" t="n"/>
      <c r="U38" s="32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기존점</t>
        </is>
      </c>
      <c r="D39" s="41" t="n"/>
      <c r="E39" s="41" t="n"/>
      <c r="F39" s="30" t="n"/>
      <c r="G39" s="30" t="n"/>
      <c r="H39" s="30" t="n"/>
      <c r="I39" s="41" t="n"/>
      <c r="J39" s="41" t="n"/>
      <c r="K39" s="41" t="n"/>
      <c r="L39" s="29" t="n"/>
      <c r="M39" s="29" t="n"/>
      <c r="N39" s="29" t="n"/>
      <c r="O39" s="26" t="n">
        <v>43.6</v>
      </c>
      <c r="P39" s="26">
        <f>'⑫ 게이트 점검'!N39</f>
        <v/>
      </c>
      <c r="Q39" s="26">
        <f>'⑪ 중심점 최종선정'!F39</f>
        <v/>
      </c>
      <c r="R39" s="29" t="n"/>
      <c r="S39" s="29" t="n"/>
      <c r="T39" s="33" t="n"/>
      <c r="U39" s="32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기존점</t>
        </is>
      </c>
      <c r="D40" s="41" t="n"/>
      <c r="E40" s="41" t="n"/>
      <c r="F40" s="30" t="n"/>
      <c r="G40" s="30" t="n"/>
      <c r="H40" s="30" t="n"/>
      <c r="I40" s="41" t="n"/>
      <c r="J40" s="41" t="n"/>
      <c r="K40" s="41" t="n"/>
      <c r="L40" s="29" t="n"/>
      <c r="M40" s="29" t="n"/>
      <c r="N40" s="29" t="n"/>
      <c r="O40" s="26" t="n">
        <v>5.4</v>
      </c>
      <c r="P40" s="26">
        <f>'⑫ 게이트 점검'!N40</f>
        <v/>
      </c>
      <c r="Q40" s="26">
        <f>'⑪ 중심점 최종선정'!F40</f>
        <v/>
      </c>
      <c r="R40" s="29" t="n"/>
      <c r="S40" s="29" t="n"/>
      <c r="T40" s="33" t="n"/>
      <c r="U40" s="32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기존점</t>
        </is>
      </c>
      <c r="D41" s="41" t="n"/>
      <c r="E41" s="41" t="n"/>
      <c r="F41" s="30" t="n"/>
      <c r="G41" s="30" t="n"/>
      <c r="H41" s="30" t="n"/>
      <c r="I41" s="41" t="n"/>
      <c r="J41" s="41" t="n"/>
      <c r="K41" s="41" t="n"/>
      <c r="L41" s="29" t="n"/>
      <c r="M41" s="29" t="n"/>
      <c r="N41" s="29" t="n"/>
      <c r="O41" s="26" t="n">
        <v>23.8</v>
      </c>
      <c r="P41" s="26">
        <f>'⑫ 게이트 점검'!N41</f>
        <v/>
      </c>
      <c r="Q41" s="26">
        <f>'⑪ 중심점 최종선정'!F41</f>
        <v/>
      </c>
      <c r="R41" s="29" t="n"/>
      <c r="S41" s="29" t="n"/>
      <c r="T41" s="33" t="n"/>
      <c r="U41" s="32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기존점</t>
        </is>
      </c>
      <c r="D42" s="41" t="n"/>
      <c r="E42" s="41" t="n"/>
      <c r="F42" s="30" t="n"/>
      <c r="G42" s="30" t="n"/>
      <c r="H42" s="30" t="n"/>
      <c r="I42" s="41" t="n"/>
      <c r="J42" s="41" t="n"/>
      <c r="K42" s="41" t="n"/>
      <c r="L42" s="29" t="n"/>
      <c r="M42" s="29" t="n"/>
      <c r="N42" s="29" t="n"/>
      <c r="O42" s="50" t="inlineStr">
        <is>
          <t>NOT AVAILABLE</t>
        </is>
      </c>
      <c r="P42" s="26">
        <f>'⑫ 게이트 점검'!N42</f>
        <v/>
      </c>
      <c r="Q42" s="26">
        <f>'⑪ 중심점 최종선정'!F42</f>
        <v/>
      </c>
      <c r="R42" s="29" t="n"/>
      <c r="S42" s="29" t="n"/>
      <c r="T42" s="33" t="n"/>
      <c r="U42" s="32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기존점</t>
        </is>
      </c>
      <c r="D43" s="41" t="n"/>
      <c r="E43" s="41" t="n"/>
      <c r="F43" s="30" t="n"/>
      <c r="G43" s="30" t="n"/>
      <c r="H43" s="30" t="n"/>
      <c r="I43" s="41" t="n"/>
      <c r="J43" s="41" t="n"/>
      <c r="K43" s="41" t="n"/>
      <c r="L43" s="29" t="n"/>
      <c r="M43" s="29" t="n"/>
      <c r="N43" s="29" t="n"/>
      <c r="O43" s="26" t="n">
        <v>38.3</v>
      </c>
      <c r="P43" s="26">
        <f>'⑫ 게이트 점검'!N43</f>
        <v/>
      </c>
      <c r="Q43" s="26">
        <f>'⑪ 중심점 최종선정'!F43</f>
        <v/>
      </c>
      <c r="R43" s="29" t="n"/>
      <c r="S43" s="29" t="n"/>
      <c r="T43" s="33" t="n"/>
      <c r="U43" s="32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기존점</t>
        </is>
      </c>
      <c r="D44" s="41" t="n"/>
      <c r="E44" s="41" t="n"/>
      <c r="F44" s="30" t="n"/>
      <c r="G44" s="30" t="n"/>
      <c r="H44" s="30" t="n"/>
      <c r="I44" s="41" t="n"/>
      <c r="J44" s="41" t="n"/>
      <c r="K44" s="41" t="n"/>
      <c r="L44" s="29" t="n"/>
      <c r="M44" s="29" t="n"/>
      <c r="N44" s="29" t="n"/>
      <c r="O44" s="26" t="n">
        <v>9.4</v>
      </c>
      <c r="P44" s="26">
        <f>'⑫ 게이트 점검'!N44</f>
        <v/>
      </c>
      <c r="Q44" s="26">
        <f>'⑪ 중심점 최종선정'!F44</f>
        <v/>
      </c>
      <c r="R44" s="29" t="n"/>
      <c r="S44" s="29" t="n"/>
      <c r="T44" s="33" t="n"/>
      <c r="U44" s="32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기존점</t>
        </is>
      </c>
      <c r="D45" s="41" t="n"/>
      <c r="E45" s="41" t="n"/>
      <c r="F45" s="30" t="n"/>
      <c r="G45" s="30" t="n"/>
      <c r="H45" s="30" t="n"/>
      <c r="I45" s="41" t="n"/>
      <c r="J45" s="41" t="n"/>
      <c r="K45" s="41" t="n"/>
      <c r="L45" s="29" t="n"/>
      <c r="M45" s="29" t="n"/>
      <c r="N45" s="29" t="n"/>
      <c r="O45" s="26" t="n">
        <v>28.9</v>
      </c>
      <c r="P45" s="26">
        <f>'⑫ 게이트 점검'!N45</f>
        <v/>
      </c>
      <c r="Q45" s="26">
        <f>'⑪ 중심점 최종선정'!F45</f>
        <v/>
      </c>
      <c r="R45" s="29" t="n"/>
      <c r="S45" s="29" t="n"/>
      <c r="T45" s="33" t="n"/>
      <c r="U45" s="32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기존점</t>
        </is>
      </c>
      <c r="D46" s="41" t="n"/>
      <c r="E46" s="41" t="n"/>
      <c r="F46" s="30" t="n"/>
      <c r="G46" s="30" t="n"/>
      <c r="H46" s="30" t="n"/>
      <c r="I46" s="41" t="n"/>
      <c r="J46" s="41" t="n"/>
      <c r="K46" s="41" t="n"/>
      <c r="L46" s="29" t="n"/>
      <c r="M46" s="29" t="n"/>
      <c r="N46" s="29" t="n"/>
      <c r="O46" s="26" t="n">
        <v>100.2</v>
      </c>
      <c r="P46" s="26">
        <f>'⑫ 게이트 점검'!N46</f>
        <v/>
      </c>
      <c r="Q46" s="26">
        <f>'⑪ 중심점 최종선정'!F46</f>
        <v/>
      </c>
      <c r="R46" s="29" t="n"/>
      <c r="S46" s="29" t="n"/>
      <c r="T46" s="33" t="n"/>
      <c r="U46" s="32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기존점</t>
        </is>
      </c>
      <c r="D47" s="41" t="n"/>
      <c r="E47" s="41" t="n"/>
      <c r="F47" s="30" t="n"/>
      <c r="G47" s="30" t="n"/>
      <c r="H47" s="30" t="n"/>
      <c r="I47" s="41" t="n"/>
      <c r="J47" s="41" t="n"/>
      <c r="K47" s="41" t="n"/>
      <c r="L47" s="29" t="n"/>
      <c r="M47" s="29" t="n"/>
      <c r="N47" s="29" t="n"/>
      <c r="O47" s="50" t="inlineStr">
        <is>
          <t>NOT AVAILABLE</t>
        </is>
      </c>
      <c r="P47" s="26">
        <f>'⑫ 게이트 점검'!N47</f>
        <v/>
      </c>
      <c r="Q47" s="26">
        <f>'⑪ 중심점 최종선정'!F47</f>
        <v/>
      </c>
      <c r="R47" s="29" t="n"/>
      <c r="S47" s="29" t="n"/>
      <c r="T47" s="33" t="n"/>
      <c r="U47" s="32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기존점</t>
        </is>
      </c>
      <c r="D48" s="41" t="n"/>
      <c r="E48" s="41" t="n"/>
      <c r="F48" s="30" t="n"/>
      <c r="G48" s="30" t="n"/>
      <c r="H48" s="30" t="n"/>
      <c r="I48" s="41" t="n"/>
      <c r="J48" s="41" t="n"/>
      <c r="K48" s="41" t="n"/>
      <c r="L48" s="29" t="n"/>
      <c r="M48" s="29" t="n"/>
      <c r="N48" s="29" t="n"/>
      <c r="O48" s="26" t="n">
        <v>46.7</v>
      </c>
      <c r="P48" s="26">
        <f>'⑫ 게이트 점검'!N48</f>
        <v/>
      </c>
      <c r="Q48" s="26">
        <f>'⑪ 중심점 최종선정'!F48</f>
        <v/>
      </c>
      <c r="R48" s="29" t="n"/>
      <c r="S48" s="29" t="n"/>
      <c r="T48" s="33" t="n"/>
      <c r="U48" s="32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기존점</t>
        </is>
      </c>
      <c r="D49" s="41" t="n"/>
      <c r="E49" s="41" t="n"/>
      <c r="F49" s="30" t="n"/>
      <c r="G49" s="30" t="n"/>
      <c r="H49" s="30" t="n"/>
      <c r="I49" s="41" t="n"/>
      <c r="J49" s="41" t="n"/>
      <c r="K49" s="41" t="n"/>
      <c r="L49" s="29" t="n"/>
      <c r="M49" s="29" t="n"/>
      <c r="N49" s="29" t="n"/>
      <c r="O49" s="26" t="n">
        <v>10.7</v>
      </c>
      <c r="P49" s="26">
        <f>'⑫ 게이트 점검'!N49</f>
        <v/>
      </c>
      <c r="Q49" s="26">
        <f>'⑪ 중심점 최종선정'!F49</f>
        <v/>
      </c>
      <c r="R49" s="29" t="n"/>
      <c r="S49" s="29" t="n"/>
      <c r="T49" s="33" t="n"/>
      <c r="U49" s="32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기존점</t>
        </is>
      </c>
      <c r="D50" s="41" t="n"/>
      <c r="E50" s="41" t="n"/>
      <c r="F50" s="30" t="n"/>
      <c r="G50" s="30" t="n"/>
      <c r="H50" s="30" t="n"/>
      <c r="I50" s="41" t="n"/>
      <c r="J50" s="41" t="n"/>
      <c r="K50" s="41" t="n"/>
      <c r="L50" s="29" t="n"/>
      <c r="M50" s="29" t="n"/>
      <c r="N50" s="29" t="n"/>
      <c r="O50" s="50" t="inlineStr">
        <is>
          <t>NOT AVAILABLE</t>
        </is>
      </c>
      <c r="P50" s="26">
        <f>'⑫ 게이트 점검'!N50</f>
        <v/>
      </c>
      <c r="Q50" s="26">
        <f>'⑪ 중심점 최종선정'!F50</f>
        <v/>
      </c>
      <c r="R50" s="29" t="n"/>
      <c r="S50" s="29" t="n"/>
      <c r="T50" s="33" t="n"/>
      <c r="U50" s="32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기존점</t>
        </is>
      </c>
      <c r="D51" s="41" t="n"/>
      <c r="E51" s="41" t="n"/>
      <c r="F51" s="30" t="n"/>
      <c r="G51" s="30" t="n"/>
      <c r="H51" s="30" t="n"/>
      <c r="I51" s="41" t="n"/>
      <c r="J51" s="41" t="n"/>
      <c r="K51" s="41" t="n"/>
      <c r="L51" s="29" t="n"/>
      <c r="M51" s="29" t="n"/>
      <c r="N51" s="29" t="n"/>
      <c r="O51" s="26" t="n">
        <v>6.7</v>
      </c>
      <c r="P51" s="26">
        <f>'⑫ 게이트 점검'!N51</f>
        <v/>
      </c>
      <c r="Q51" s="26">
        <f>'⑪ 중심점 최종선정'!F51</f>
        <v/>
      </c>
      <c r="R51" s="29" t="n"/>
      <c r="S51" s="29" t="n"/>
      <c r="T51" s="33" t="n"/>
      <c r="U51" s="32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기존점</t>
        </is>
      </c>
      <c r="D52" s="41" t="n"/>
      <c r="E52" s="41" t="n"/>
      <c r="F52" s="30" t="n"/>
      <c r="G52" s="30" t="n"/>
      <c r="H52" s="30" t="n"/>
      <c r="I52" s="41" t="n"/>
      <c r="J52" s="41" t="n"/>
      <c r="K52" s="41" t="n"/>
      <c r="L52" s="29" t="n"/>
      <c r="M52" s="29" t="n"/>
      <c r="N52" s="29" t="n"/>
      <c r="O52" s="26" t="n">
        <v>1.3</v>
      </c>
      <c r="P52" s="26">
        <f>'⑫ 게이트 점검'!N52</f>
        <v/>
      </c>
      <c r="Q52" s="26">
        <f>'⑪ 중심점 최종선정'!F52</f>
        <v/>
      </c>
      <c r="R52" s="29" t="n"/>
      <c r="S52" s="29" t="n"/>
      <c r="T52" s="33" t="n"/>
      <c r="U52" s="32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기존점</t>
        </is>
      </c>
      <c r="D53" s="41" t="n"/>
      <c r="E53" s="41" t="n"/>
      <c r="F53" s="30" t="n"/>
      <c r="G53" s="30" t="n"/>
      <c r="H53" s="30" t="n"/>
      <c r="I53" s="41" t="n"/>
      <c r="J53" s="41" t="n"/>
      <c r="K53" s="41" t="n"/>
      <c r="L53" s="29" t="n"/>
      <c r="M53" s="29" t="n"/>
      <c r="N53" s="29" t="n"/>
      <c r="O53" s="26" t="n">
        <v>13.7</v>
      </c>
      <c r="P53" s="26">
        <f>'⑫ 게이트 점검'!N53</f>
        <v/>
      </c>
      <c r="Q53" s="26">
        <f>'⑪ 중심점 최종선정'!F53</f>
        <v/>
      </c>
      <c r="R53" s="29" t="n"/>
      <c r="S53" s="29" t="n"/>
      <c r="T53" s="33" t="n"/>
      <c r="U53" s="32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기존점</t>
        </is>
      </c>
      <c r="D54" s="41" t="n"/>
      <c r="E54" s="41" t="n"/>
      <c r="F54" s="30" t="n"/>
      <c r="G54" s="30" t="n"/>
      <c r="H54" s="30" t="n"/>
      <c r="I54" s="41" t="n"/>
      <c r="J54" s="41" t="n"/>
      <c r="K54" s="41" t="n"/>
      <c r="L54" s="29" t="n"/>
      <c r="M54" s="29" t="n"/>
      <c r="N54" s="29" t="n"/>
      <c r="O54" s="26" t="n">
        <v>23.9</v>
      </c>
      <c r="P54" s="26">
        <f>'⑫ 게이트 점검'!N54</f>
        <v/>
      </c>
      <c r="Q54" s="26">
        <f>'⑪ 중심점 최종선정'!F54</f>
        <v/>
      </c>
      <c r="R54" s="29" t="n"/>
      <c r="S54" s="29" t="n"/>
      <c r="T54" s="33" t="n"/>
      <c r="U54" s="32" t="n"/>
    </row>
  </sheetData>
  <mergeCells count="3">
    <mergeCell ref="A1:T1"/>
    <mergeCell ref="A3:T3"/>
    <mergeCell ref="A2:T2"/>
  </mergeCells>
  <dataValidations count="3">
    <dataValidation sqref="L5:L54" showDropDown="0" showInputMessage="0" showErrorMessage="0" allowBlank="1" type="list">
      <formula1>"Variometer 연속기록 + P0 보정 (선형성 검증됨),P0 선형보간만 (선형성 미검증),미보정 — INVALID"</formula1>
    </dataValidation>
    <dataValidation sqref="M5:N54" showDropDown="0" showInputMessage="0" showErrorMessage="0" allowBlank="1" type="list">
      <formula1>"이내,초과,판정 불가,PENDING"</formula1>
    </dataValidation>
    <dataValidation sqref="R5:R54" showDropDown="0" showInputMessage="0" showErrorMessage="0" allowBlank="1" type="list">
      <formula1>"연구판단 — 선점 후보 유지,연구판단 — 조건부,연구판단 — 중심점 조정 후 재측정,연구판단 — 재측정 필요,기준 수립용 자료로만 사용,HOLD,PENDING"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4" customWidth="1" min="4" max="4"/>
    <col width="20" customWidth="1" min="5" max="5"/>
    <col width="20" customWidth="1" min="6" max="6"/>
    <col width="24" customWidth="1" min="7" max="7"/>
  </cols>
  <sheetData>
    <row r="1" ht="26" customHeight="1">
      <c r="A1" s="1" t="inlineStr">
        <is>
          <t>Codex 독립 검토 반영 추적 · 현장 작업량 산정</t>
        </is>
      </c>
    </row>
    <row r="2" ht="33" customHeight="1">
      <c r="A2" s="3" t="inlineStr">
        <is>
          <t>수식에 오류가 없다는 것과 그 수식이 «맞는 행»을 가리킨다는 것은 다른 이야기입니다. 엉뚱한 행을 참조해도 계산은 멀쩡히 됩니다. 그래서 지적마다 어떤 사례로 확인했고 실제로 무엇이 나왔는지를 함께 적어 두었습니다. 아래 ✔ 는 LibreOffice 로 다시 계산해 눈으로 확인한 것입니다.</t>
        </is>
      </c>
    </row>
    <row r="3">
      <c r="A3" s="4" t="inlineStr">
        <is>
          <t>■ 지적 반영 추적</t>
        </is>
      </c>
    </row>
    <row r="4" ht="36" customHeight="1">
      <c r="A4" s="9" t="inlineStr">
        <is>
          <t>지적 ID</t>
        </is>
      </c>
      <c r="B4" s="9" t="inlineStr">
        <is>
          <t>지적 요지</t>
        </is>
      </c>
      <c r="C4" s="9" t="inlineStr">
        <is>
          <t>반영 위치(시트·열)</t>
        </is>
      </c>
      <c r="D4" s="9" t="inlineStr">
        <is>
          <t>검증 사례</t>
        </is>
      </c>
      <c r="E4" s="9" t="inlineStr">
        <is>
          <t>기대 결과</t>
        </is>
      </c>
      <c r="F4" s="9" t="inlineStr">
        <is>
          <t>실제 결과</t>
        </is>
      </c>
      <c r="G4" s="9" t="inlineStr">
        <is>
          <t>잔여 위험</t>
        </is>
      </c>
    </row>
    <row r="5" ht="30" customHeight="1">
      <c r="A5" s="26" t="inlineStr">
        <is>
          <t>2차 C1</t>
        </is>
      </c>
      <c r="B5" s="40" t="inlineStr">
        <is>
          <t>Set 식별 불완전 · SUMIFS 가 누락·중복을 삼킴</t>
        </is>
      </c>
      <c r="C5" s="40" t="inlineStr">
        <is>
          <t>⑨·⑩ 「Set 검증」 열</t>
        </is>
      </c>
      <c r="D5" s="40" t="inlineStr">
        <is>
          <t>P0(후) 를 비우고 계산</t>
        </is>
      </c>
      <c r="E5" s="26" t="inlineStr">
        <is>
          <t>「P0(후) 유효 1개 아님」</t>
        </is>
      </c>
      <c r="F5" s="29" t="inlineStr">
        <is>
          <t>「P0(후) 유효 1개 아님」 · ΔF 공란 ✔</t>
        </is>
      </c>
      <c r="G5" s="40" t="inlineStr">
        <is>
          <t>행 삽입 시 Set ID 수기 입력 의존</t>
        </is>
      </c>
    </row>
    <row r="6" ht="30" customHeight="1">
      <c r="A6" s="26" t="inlineStr">
        <is>
          <t>2차 C1</t>
        </is>
      </c>
      <c r="B6" s="40" t="inlineStr">
        <is>
          <t>측정시각이 P0 구간 밖</t>
        </is>
      </c>
      <c r="C6" s="40" t="inlineStr">
        <is>
          <t>⑨·⑩ 「Set 검증」</t>
        </is>
      </c>
      <c r="D6" s="40" t="inlineStr">
        <is>
          <t>측정시각을 P0(후) 이후로</t>
        </is>
      </c>
      <c r="E6" s="26" t="inlineStr">
        <is>
          <t>「측정시각 구간 밖」</t>
        </is>
      </c>
      <c r="F6" s="29" t="inlineStr">
        <is>
          <t>「측정시각 구간 밖」 ✔ · 시각 역전도 차단 확인 ✔</t>
        </is>
      </c>
      <c r="G6" s="40" t="inlineStr"/>
    </row>
    <row r="7" ht="30" customHeight="1">
      <c r="A7" s="26" t="inlineStr">
        <is>
          <t>2차 C2</t>
        </is>
      </c>
      <c r="B7" s="40" t="inlineStr">
        <is>
          <t>P0 선형성 미검증</t>
        </is>
      </c>
      <c r="C7" s="40" t="inlineStr">
        <is>
          <t>⑧ Variometer 파일 ID · ⑮ 시간변화 처리</t>
        </is>
      </c>
      <c r="D7" s="40" t="inlineStr">
        <is>
          <t>Variometer 미기록 세트</t>
        </is>
      </c>
      <c r="E7" s="26" t="inlineStr">
        <is>
          <t>「선형성 미검증」 선택 가능</t>
        </is>
      </c>
      <c r="F7" s="29" t="inlineStr">
        <is>
          <t>⑮ 드롭다운에 존재 ✔ · Set 지속 4분 자동산출 ✔</t>
        </is>
      </c>
      <c r="G7" s="40" t="inlineStr">
        <is>
          <t>임의 시간상한 두지 않음</t>
        </is>
      </c>
    </row>
    <row r="8" ht="30" customHeight="1">
      <c r="A8" s="26" t="inlineStr">
        <is>
          <t>2차 C3</t>
        </is>
      </c>
      <c r="B8" s="40" t="inlineStr">
        <is>
          <t>ΔF/d 와 지점 대표구배 혼동</t>
        </is>
      </c>
      <c r="C8" s="40" t="inlineStr">
        <is>
          <t>⑨ 「중심점기준 변화율」·「|변화율|」·「인접구간 변화율」 분리</t>
        </is>
      </c>
      <c r="D8" s="40" t="inlineStr">
        <is>
          <t>P0보다 낮은 값(3 m 94 nT)</t>
        </is>
      </c>
      <c r="E8" s="26" t="inlineStr">
        <is>
          <t>ΔF·변화율 음수 보존</t>
        </is>
      </c>
      <c r="F8" s="29" t="inlineStr">
        <is>
          <t>ΔF −9.13 · 변화율 −3.04 · |변화율| 3.04 · 인접구간 −12.0 ✔</t>
        </is>
      </c>
      <c r="G8" s="40" t="inlineStr">
        <is>
          <t>대표값 확정은 국내기준 대기</t>
        </is>
      </c>
    </row>
    <row r="9" ht="30" customHeight="1">
      <c r="A9" s="26" t="inlineStr">
        <is>
          <t>2차 C4</t>
        </is>
      </c>
      <c r="B9" s="40" t="inlineStr">
        <is>
          <t>4방향으로 반경 10 m 전체 판정 불가</t>
        </is>
      </c>
      <c r="C9" s="40" t="inlineStr">
        <is>
          <t>① 기입규약 · ⑨ 머리말 · ⑮ 열 이름</t>
        </is>
      </c>
      <c r="D9" s="40" t="inlineStr">
        <is>
          <t>—</t>
        </is>
      </c>
      <c r="E9" s="26" t="inlineStr">
        <is>
          <t>「4개 방위 측선의 관측점」 표기</t>
        </is>
      </c>
      <c r="F9" s="29" t="inlineStr"/>
      <c r="G9" s="40" t="inlineStr">
        <is>
          <t>미관측 방위는 한계로 남음</t>
        </is>
      </c>
    </row>
    <row r="10" ht="30" customHeight="1">
      <c r="A10" s="26" t="inlineStr">
        <is>
          <t>2차 C5</t>
        </is>
      </c>
      <c r="B10" s="40" t="inlineStr">
        <is>
          <t>옮긴 중심점 재검증 절차 없음</t>
        </is>
      </c>
      <c r="C10" s="40" t="inlineStr">
        <is>
          <t>⑪ 최초/최종 Location ID · 재측정 여부</t>
        </is>
      </c>
      <c r="D10" s="40" t="inlineStr">
        <is>
          <t>조정함 선택</t>
        </is>
      </c>
      <c r="E10" s="26" t="inlineStr">
        <is>
          <t>재측정 여부 필수 선택</t>
        </is>
      </c>
      <c r="F10" s="29" t="inlineStr"/>
      <c r="G10" s="40" t="inlineStr">
        <is>
          <t>재측정 범위는 일정·비용 결정</t>
        </is>
      </c>
    </row>
    <row r="11" ht="30" customHeight="1">
      <c r="A11" s="26" t="inlineStr">
        <is>
          <t>2차 C6</t>
        </is>
      </c>
      <c r="B11" s="40" t="inlineStr">
        <is>
          <t>D·I 와 F 의 연결 불완전</t>
        </is>
      </c>
      <c r="C11" s="40" t="inlineStr">
        <is>
          <t>해당 없음 — 절대측정 제외</t>
        </is>
      </c>
      <c r="D11" s="40" t="inlineStr">
        <is>
          <t>—</t>
        </is>
      </c>
      <c r="E11" s="26" t="inlineStr">
        <is>
          <t>D·I 관측행 자체가 없다</t>
        </is>
      </c>
      <c r="F11" s="29" t="inlineStr">
        <is>
          <t>종결 ✔</t>
        </is>
      </c>
      <c r="G11" s="40" t="inlineStr">
        <is>
          <t>절대관측 단계에서 다시 볼 것</t>
        </is>
      </c>
    </row>
    <row r="12" ht="30" customHeight="1">
      <c r="A12" s="26" t="inlineStr">
        <is>
          <t>2차 M1</t>
        </is>
      </c>
      <c r="B12" s="40" t="inlineStr">
        <is>
          <t>수직 기준높이·산출물 미정의</t>
        </is>
      </c>
      <c r="C12" s="40" t="inlineStr">
        <is>
          <t>⑩ 실제 센서 중심높이 · 측정 기준면 · 인접높이 변화율</t>
        </is>
      </c>
      <c r="D12" s="40" t="inlineStr">
        <is>
          <t>—</t>
        </is>
      </c>
      <c r="E12" s="26" t="inlineStr">
        <is>
          <t>기술지표만 산출</t>
        </is>
      </c>
      <c r="F12" s="29" t="inlineStr"/>
      <c r="G12" s="40" t="inlineStr">
        <is>
          <t>임계 없음 — 자동판정 안 함</t>
        </is>
      </c>
    </row>
    <row r="13" ht="30" customHeight="1">
      <c r="A13" s="26" t="inlineStr">
        <is>
          <t>2차 M2</t>
        </is>
      </c>
      <c r="B13" s="40" t="inlineStr">
        <is>
          <t>작업량이 행 수로 과소 표현</t>
        </is>
      </c>
      <c r="C13" s="40" t="inlineStr">
        <is>
          <t>⑭ 작업량 산정표</t>
        </is>
      </c>
      <c r="D13" s="40" t="inlineStr">
        <is>
          <t>—</t>
        </is>
      </c>
      <c r="E13" s="26" t="inlineStr">
        <is>
          <t>판독 기준 재산정</t>
        </is>
      </c>
      <c r="F13" s="29" t="inlineStr"/>
      <c r="G13" s="40" t="inlineStr">
        <is>
          <t>파일럿 실측 필요</t>
        </is>
      </c>
    </row>
    <row r="14" ht="30" customHeight="1">
      <c r="A14" s="26" t="inlineStr">
        <is>
          <t>2차 M3</t>
        </is>
      </c>
      <c r="B14" s="40" t="inlineStr">
        <is>
          <t>1대 조건인데 교차배치 전제</t>
        </is>
      </c>
      <c r="C14" s="40" t="inlineStr">
        <is>
          <t>해당 없음 — 두지점 F 시트 제거</t>
        </is>
      </c>
      <c r="D14" s="40" t="inlineStr">
        <is>
          <t>—</t>
        </is>
      </c>
      <c r="E14" s="26" t="inlineStr">
        <is>
          <t>시트 자체가 없다</t>
        </is>
      </c>
      <c r="F14" s="29" t="inlineStr">
        <is>
          <t>종결 ✔</t>
        </is>
      </c>
      <c r="G14" s="40" t="inlineStr"/>
    </row>
    <row r="15" ht="30" customHeight="1">
      <c r="A15" s="26" t="inlineStr">
        <is>
          <t>2차 M4</t>
        </is>
      </c>
      <c r="B15" s="40" t="inlineStr">
        <is>
          <t>§13② 시설별 증빙 없음</t>
        </is>
      </c>
      <c r="C15" s="40" t="inlineStr">
        <is>
          <t>④ 시설 유형마다 한 행</t>
        </is>
      </c>
      <c r="D15" s="40" t="inlineStr">
        <is>
          <t>—</t>
        </is>
      </c>
      <c r="E15" s="26" t="inlineStr">
        <is>
          <t>4행/점 · 증빙 10열</t>
        </is>
      </c>
      <c r="F15" s="29" t="inlineStr"/>
      <c r="G15" s="40" t="inlineStr"/>
    </row>
    <row r="16" ht="30" customHeight="1">
      <c r="A16" s="26" t="inlineStr">
        <is>
          <t>2차 M5</t>
        </is>
      </c>
      <c r="B16" s="40" t="inlineStr">
        <is>
          <t>미원 HOLD 범위 불명확</t>
        </is>
      </c>
      <c r="C16" s="40" t="inlineStr">
        <is>
          <t>⑤ 4단 플래그 · ② HOLD 범위</t>
        </is>
      </c>
      <c r="D16" s="40" t="inlineStr">
        <is>
          <t>—</t>
        </is>
      </c>
      <c r="E16" s="26" t="inlineStr">
        <is>
          <t>과거대조만 보류</t>
        </is>
      </c>
      <c r="F16" s="29" t="inlineStr"/>
      <c r="G16" s="40" t="inlineStr">
        <is>
          <t>표석 동일성 확인 대기</t>
        </is>
      </c>
    </row>
    <row r="17" ht="30" customHeight="1">
      <c r="A17" s="26" t="inlineStr">
        <is>
          <t>2차 M6</t>
        </is>
      </c>
      <c r="B17" s="40" t="inlineStr">
        <is>
          <t>중단·결측 시 세트 처리 규칙 없음</t>
        </is>
      </c>
      <c r="C17" s="40" t="inlineStr">
        <is>
          <t>⑨·⑩ Set 상태 · 중단 시각·사유</t>
        </is>
      </c>
      <c r="D17" s="40" t="inlineStr">
        <is>
          <t>—</t>
        </is>
      </c>
      <c r="E17" s="26" t="inlineStr">
        <is>
          <t>무효 세트 구분</t>
        </is>
      </c>
      <c r="F17" s="29" t="inlineStr"/>
      <c r="G17" s="40" t="inlineStr"/>
    </row>
    <row r="18" ht="30" customHeight="1">
      <c r="A18" s="26" t="inlineStr">
        <is>
          <t>2차 M7</t>
        </is>
      </c>
      <c r="B18" s="40" t="inlineStr">
        <is>
          <t>판정에 근거·기준 버전 없음</t>
        </is>
      </c>
      <c r="C18" s="40" t="inlineStr">
        <is>
          <t>⑮ 관측사실/국제기준/국내상태/기준명·버전/판단자 분리</t>
        </is>
      </c>
      <c r="D18" s="40" t="inlineStr">
        <is>
          <t>—</t>
        </is>
      </c>
      <c r="E18" s="26" t="inlineStr">
        <is>
          <t>판정 재현 가능</t>
        </is>
      </c>
      <c r="F18" s="29" t="inlineStr"/>
      <c r="G18" s="40" t="inlineStr">
        <is>
          <t>국내기준 미확정</t>
        </is>
      </c>
    </row>
    <row r="19" ht="30" customHeight="1">
      <c r="A19" s="26" t="inlineStr">
        <is>
          <t>2차 m1</t>
        </is>
      </c>
      <c r="B19" s="40" t="inlineStr">
        <is>
          <t>예시에 거리 없어 1.75 재현 불가</t>
        </is>
      </c>
      <c r="C19" s="40" t="inlineStr">
        <is>
          <t>① 기입규약 — 거리 2 m 명시</t>
        </is>
      </c>
      <c r="D19" s="40" t="inlineStr">
        <is>
          <t>P0 100@10:00 · 106@10:02 · P0 105@10:04 · 2 m</t>
        </is>
      </c>
      <c r="E19" s="26" t="inlineStr">
        <is>
          <t>102.5 / 3.5 / 1.75 nT/m</t>
        </is>
      </c>
      <c r="F19" s="29" t="inlineStr">
        <is>
          <t>102.5 / 3.50 / 1.75 ✔ (원 계획 재현)</t>
        </is>
      </c>
      <c r="G19" s="40" t="inlineStr"/>
    </row>
    <row r="20" ht="30" customHeight="1">
      <c r="A20" s="26" t="inlineStr">
        <is>
          <t>2차 m2</t>
        </is>
      </c>
      <c r="B20" s="40" t="inlineStr">
        <is>
          <t>상태코드에 사유·이력 없음</t>
        </is>
      </c>
      <c r="C20" s="40" t="inlineStr">
        <is>
          <t>⑨⑩ 중단 시각·사유</t>
        </is>
      </c>
      <c r="D20" s="40" t="inlineStr">
        <is>
          <t>—</t>
        </is>
      </c>
      <c r="E20" s="26" t="inlineStr">
        <is>
          <t>사유 필수</t>
        </is>
      </c>
      <c r="F20" s="29" t="inlineStr"/>
      <c r="G20" s="40" t="inlineStr"/>
    </row>
    <row r="21" ht="30" customHeight="1">
      <c r="A21" s="26" t="inlineStr">
        <is>
          <t>3차 C1</t>
        </is>
      </c>
      <c r="B21" s="40" t="inlineStr">
        <is>
          <t>카드 1판독 ↔ 사무실 3판독 불일치</t>
        </is>
      </c>
      <c r="C21" s="40" t="inlineStr">
        <is>
          <t>⑭ 작업량 · 현장카드 안내</t>
        </is>
      </c>
      <c r="D21" s="40" t="inlineStr">
        <is>
          <t>—</t>
        </is>
      </c>
      <c r="E21" s="26" t="inlineStr">
        <is>
          <t>1 판독 기준 통일 · 64회/점</t>
        </is>
      </c>
      <c r="F21" s="29" t="inlineStr">
        <is>
          <t>반영 ✔</t>
        </is>
      </c>
      <c r="G21" s="40" t="inlineStr">
        <is>
          <t>3회 수기 전환은 발주자 확인</t>
        </is>
      </c>
    </row>
    <row r="22" ht="30" customHeight="1">
      <c r="A22" s="26" t="inlineStr">
        <is>
          <t>3차 C2</t>
        </is>
      </c>
      <c r="B22" s="40" t="inlineStr">
        <is>
          <t>Visit·Location·Set·Attempt 식별자 없음</t>
        </is>
      </c>
      <c r="C22" s="40" t="inlineStr">
        <is>
          <t>현장카드 머리 · 3·4·5구역</t>
        </is>
      </c>
      <c r="D22" s="40" t="inlineStr">
        <is>
          <t>—</t>
        </is>
      </c>
      <c r="E22" s="26" t="inlineStr">
        <is>
          <t>재방문·중심이동 구분 가능</t>
        </is>
      </c>
      <c r="F22" s="29" t="inlineStr">
        <is>
          <t>반영 ✔</t>
        </is>
      </c>
      <c r="G22" s="40" t="inlineStr">
        <is>
          <t>중심 이동 시 새 카드</t>
        </is>
      </c>
    </row>
    <row r="23" ht="30" customHeight="1">
      <c r="A23" s="26" t="inlineStr">
        <is>
          <t>3차 C3</t>
        </is>
      </c>
      <c r="B23" s="40" t="inlineStr">
        <is>
          <t>§18③ 자기오염 방지 없음</t>
        </is>
      </c>
      <c r="C23" s="40" t="inlineStr">
        <is>
          <t>현장카드 「0. 측정 전 확인」 · ⑫ 게이트</t>
        </is>
      </c>
      <c r="D23" s="40" t="inlineStr">
        <is>
          <t>—</t>
        </is>
      </c>
      <c r="E23" s="26" t="inlineStr">
        <is>
          <t>개인 금속물·차량·전자기기 체크</t>
        </is>
      </c>
      <c r="F23" s="29" t="inlineStr">
        <is>
          <t>반영 ✔</t>
        </is>
      </c>
      <c r="G23" s="40" t="inlineStr"/>
    </row>
    <row r="24" ht="30" customHeight="1">
      <c r="A24" s="26" t="inlineStr">
        <is>
          <t>3차 M1</t>
        </is>
      </c>
      <c r="B24" s="40" t="inlineStr">
        <is>
          <t>절대측정 제외의 잔재</t>
        </is>
      </c>
      <c r="C24" s="40" t="inlineStr">
        <is>
          <t>규격 모듈 · ⑦ 장비 · ⑧ 관측조건</t>
        </is>
      </c>
      <c r="D24" s="40" t="inlineStr">
        <is>
          <t>—</t>
        </is>
      </c>
      <c r="E24" s="26" t="inlineStr">
        <is>
          <t>야간 의무 → 안정 구간 · DI-flux 범위 밖</t>
        </is>
      </c>
      <c r="F24" s="29" t="inlineStr">
        <is>
          <t>반영 ✔</t>
        </is>
      </c>
      <c r="G24" s="40" t="inlineStr"/>
    </row>
    <row r="25" ht="30" customHeight="1">
      <c r="A25" s="26" t="inlineStr">
        <is>
          <t>3차 M2</t>
        </is>
      </c>
      <c r="B25" s="40" t="inlineStr">
        <is>
          <t>「법정 요건」 명칭이 과장</t>
        </is>
      </c>
      <c r="C25" s="40" t="inlineStr">
        <is>
          <t>⑫ 제목·안내</t>
        </is>
      </c>
      <c r="D25" s="40" t="inlineStr">
        <is>
          <t>—</t>
        </is>
      </c>
      <c r="E25" s="26" t="inlineStr">
        <is>
          <t>「이번 단계 적용요소」 · 부분 적용 명시</t>
        </is>
      </c>
      <c r="F25" s="29" t="inlineStr">
        <is>
          <t>반영 ✔</t>
        </is>
      </c>
      <c r="G25" s="40" t="inlineStr">
        <is>
          <t>§15·§16·§18 적용범위는 확인 필요</t>
        </is>
      </c>
    </row>
    <row r="26" ht="30" customHeight="1">
      <c r="A26" s="26" t="inlineStr">
        <is>
          <t>3차 M3</t>
        </is>
      </c>
      <c r="B26" s="40" t="inlineStr">
        <is>
          <t>자동지표만으로 재측정 판단 불가</t>
        </is>
      </c>
      <c r="C26" s="40" t="inlineStr">
        <is>
          <t>현장카드 완전성 점검 줄</t>
        </is>
      </c>
      <c r="D26" s="40" t="inlineStr">
        <is>
          <t>—</t>
        </is>
      </c>
      <c r="E26" s="26" t="inlineStr">
        <is>
          <t>필수행·시각·P0·Variometer 자가확인</t>
        </is>
      </c>
      <c r="F26" s="29" t="inlineStr">
        <is>
          <t>반영 ✔</t>
        </is>
      </c>
      <c r="G26" s="40" t="inlineStr"/>
    </row>
    <row r="27" ht="30" customHeight="1">
      <c r="A27" s="26" t="inlineStr">
        <is>
          <t>3차 M4</t>
        </is>
      </c>
      <c r="B27" s="40" t="inlineStr">
        <is>
          <t>방위표지 참방위각 재현 불가</t>
        </is>
      </c>
      <c r="C27" s="40" t="inlineStr">
        <is>
          <t>현장카드 5구역 확장</t>
        </is>
      </c>
      <c r="D27" s="40" t="inlineStr">
        <is>
          <t>—</t>
        </is>
      </c>
      <c r="E27" s="26" t="inlineStr">
        <is>
          <t>표지 ID·좌표·취득방법·기존값·결정방법</t>
        </is>
      </c>
      <c r="F27" s="29" t="inlineStr">
        <is>
          <t>반영 ✔</t>
        </is>
      </c>
      <c r="G27" s="40" t="inlineStr"/>
    </row>
    <row r="28" ht="30" customHeight="1">
      <c r="A28" s="26" t="inlineStr">
        <is>
          <t>3차 M5</t>
        </is>
      </c>
      <c r="B28" s="40" t="inlineStr">
        <is>
          <t>파일명만으로 사진 대응 불가</t>
        </is>
      </c>
      <c r="C28" s="40" t="inlineStr">
        <is>
          <t>현장카드 6구역</t>
        </is>
      </c>
      <c r="D28" s="40" t="inlineStr">
        <is>
          <t>—</t>
        </is>
      </c>
      <c r="E28" s="26" t="inlineStr">
        <is>
          <t>명명규칙 + 촬영시각</t>
        </is>
      </c>
      <c r="F28" s="29" t="inlineStr">
        <is>
          <t>반영 ✔</t>
        </is>
      </c>
      <c r="G28" s="40" t="inlineStr">
        <is>
          <t>보존·명명 표준 승인 필요</t>
        </is>
      </c>
    </row>
    <row r="29" ht="30" customHeight="1">
      <c r="A29" s="26" t="inlineStr">
        <is>
          <t>3차 M6</t>
        </is>
      </c>
      <c r="B29" s="40" t="inlineStr">
        <is>
          <t>작업량을 확정치로 읽을 위험</t>
        </is>
      </c>
      <c r="C29" s="40" t="inlineStr">
        <is>
          <t>⑭ 작업량</t>
        </is>
      </c>
      <c r="D29" s="40" t="inlineStr">
        <is>
          <t>—</t>
        </is>
      </c>
      <c r="E29" s="26" t="inlineStr">
        <is>
          <t>「순수 현장 작업 가정치」 · 미반영 항목 명시</t>
        </is>
      </c>
      <c r="F29" s="29" t="inlineStr">
        <is>
          <t>반영 ✔</t>
        </is>
      </c>
      <c r="G29" s="40" t="inlineStr">
        <is>
          <t>파일럿 후 범위값 확정</t>
        </is>
      </c>
    </row>
    <row r="30" ht="30" customHeight="1">
      <c r="A30" s="26" t="inlineStr">
        <is>
          <t>3차 M7</t>
        </is>
      </c>
      <c r="B30" s="40" t="inlineStr">
        <is>
          <t>다중 페이지 지점 식별 소실</t>
        </is>
      </c>
      <c r="C30" s="40" t="inlineStr">
        <is>
          <t>현장카드 인쇄설정</t>
        </is>
      </c>
      <c r="D30" s="40" t="inlineStr">
        <is>
          <t>—</t>
        </is>
      </c>
      <c r="E30" s="26" t="inlineStr">
        <is>
          <t>머리 3행 반복 · 머리글 Site ID · 쪽번호</t>
        </is>
      </c>
      <c r="F30" s="29" t="inlineStr">
        <is>
          <t>반영 ✔</t>
        </is>
      </c>
      <c r="G30" s="40" t="inlineStr"/>
    </row>
    <row r="31" ht="30" customHeight="1">
      <c r="A31" s="26" t="inlineStr">
        <is>
          <t>3차 m1</t>
        </is>
      </c>
      <c r="B31" s="40" t="inlineStr">
        <is>
          <t>삭제 전 시트번호 잔재</t>
        </is>
      </c>
      <c r="C31" s="40" t="inlineStr">
        <is>
          <t>① · ⑫ · ⑭</t>
        </is>
      </c>
      <c r="D31" s="40" t="inlineStr">
        <is>
          <t>—</t>
        </is>
      </c>
      <c r="E31" s="26" t="inlineStr">
        <is>
          <t>15시트 기준으로 갱신</t>
        </is>
      </c>
      <c r="F31" s="29" t="inlineStr">
        <is>
          <t>반영 ✔</t>
        </is>
      </c>
      <c r="G31" s="40" t="inlineStr"/>
    </row>
    <row r="33">
      <c r="A33" s="4" t="inlineStr">
        <is>
          <t>■ 현장 작업량 — 「행 수」가 아니라 「판독 수」로 센다 (2차 M2)</t>
        </is>
      </c>
    </row>
    <row r="34" ht="36" customHeight="1">
      <c r="A34" s="9" t="inlineStr">
        <is>
          <t>구분</t>
        </is>
      </c>
      <c r="B34" s="9" t="inlineStr">
        <is>
          <t>값</t>
        </is>
      </c>
      <c r="C34" s="9" t="inlineStr">
        <is>
          <t>산식</t>
        </is>
      </c>
      <c r="D34" s="9" t="inlineStr">
        <is>
          <t>비고</t>
        </is>
      </c>
      <c r="E34" s="9" t="inlineStr"/>
      <c r="F34" s="9" t="inlineStr"/>
      <c r="G34" s="9" t="inlineStr"/>
    </row>
    <row r="35">
      <c r="A35" s="26" t="inlineStr">
        <is>
          <t>수평 관측행/점</t>
        </is>
      </c>
      <c r="B35" s="26" t="n">
        <v>52</v>
      </c>
      <c r="C35" s="40" t="inlineStr">
        <is>
          <t>4방향 × (11측점 + P0 전·후 2)</t>
        </is>
      </c>
      <c r="D35" s="40" t="inlineStr"/>
    </row>
    <row r="36">
      <c r="A36" s="26" t="inlineStr">
        <is>
          <t>수직 관측행/점</t>
        </is>
      </c>
      <c r="B36" s="26" t="n">
        <v>12</v>
      </c>
      <c r="C36" s="40" t="inlineStr">
        <is>
          <t>10높이 + 기준 전·후 2</t>
        </is>
      </c>
      <c r="D36" s="40" t="inlineStr"/>
    </row>
    <row r="37">
      <c r="A37" s="26" t="inlineStr">
        <is>
          <t>관측행/점</t>
        </is>
      </c>
      <c r="B37" s="26" t="n">
        <v>64</v>
      </c>
      <c r="C37" s="40" t="inlineStr">
        <is>
          <t>52 + 12</t>
        </is>
      </c>
      <c r="D37" s="40" t="inlineStr"/>
    </row>
    <row r="38">
      <c r="A38" s="26" t="inlineStr">
        <is>
          <t>F 판독/점</t>
        </is>
      </c>
      <c r="B38" s="26" t="n">
        <v>64</v>
      </c>
      <c r="C38" s="40" t="inlineStr">
        <is>
          <t>64 × 1회 판독</t>
        </is>
      </c>
      <c r="D38" s="40" t="inlineStr">
        <is>
          <t>⚠ 3회 수기로 바꾸면 192회 — 발주자 확인 사항</t>
        </is>
      </c>
    </row>
    <row r="39">
      <c r="A39" s="26" t="inlineStr">
        <is>
          <t>F 판독 · 50점</t>
        </is>
      </c>
      <c r="B39" s="26" t="n">
        <v>3200</v>
      </c>
      <c r="C39" s="40" t="inlineStr">
        <is>
          <t>64 × 50</t>
        </is>
      </c>
      <c r="D39" s="40" t="inlineStr"/>
    </row>
    <row r="40">
      <c r="A40" s="26" t="inlineStr">
        <is>
          <t>점당 소요(가정)</t>
        </is>
      </c>
      <c r="B40" s="26" t="inlineStr">
        <is>
          <t>구배 1.6 h + 설치·철수 1 h ≈ 2.6 h</t>
        </is>
      </c>
      <c r="C40" s="40" t="inlineStr">
        <is>
          <t>행당 1.5분 가정</t>
        </is>
      </c>
      <c r="D40" s="40" t="inlineStr">
        <is>
          <t>⚠ 가정값 — 파일럿 실측 필요</t>
        </is>
      </c>
    </row>
    <row r="41">
      <c r="A41" s="26" t="inlineStr">
        <is>
          <t>50점 총계(가정)</t>
        </is>
      </c>
      <c r="B41" s="26" t="inlineStr">
        <is>
          <t>약 130 h</t>
        </is>
      </c>
      <c r="C41" s="40" t="inlineStr">
        <is>
          <t>2.6 h × 50점</t>
        </is>
      </c>
      <c r="D41" s="40" t="inlineStr">
        <is>
          <t>**순수 현장 작업 가정치 — 이동·기상·재측정 제외**</t>
        </is>
      </c>
    </row>
    <row r="42">
      <c r="A42" s="26" t="inlineStr">
        <is>
          <t>⚠ 반영 안 된 것</t>
        </is>
      </c>
      <c r="B42" s="26" t="inlineStr">
        <is>
          <t>측선 설치·실측거리 · GNSS 메타 · 방위표지 · 사진 · Variometer 동기 · 중단·재측정·중심 이동</t>
        </is>
      </c>
      <c r="C42" s="40" t="inlineStr">
        <is>
          <t>파일럿에서 따로 재야 한다</t>
        </is>
      </c>
      <c r="D42" s="40" t="inlineStr">
        <is>
          <t>대표 지형별 «범위값»으로 제시할 것</t>
        </is>
      </c>
    </row>
    <row r="43">
      <c r="A43" s="26" t="inlineStr">
        <is>
          <t>절대측정</t>
        </is>
      </c>
      <c r="B43" s="26" t="inlineStr">
        <is>
          <t>이 단계에 없음</t>
        </is>
      </c>
      <c r="C43" s="40" t="inlineStr">
        <is>
          <t>원 계획 31면 선점실시 절차</t>
        </is>
      </c>
      <c r="D43" s="40" t="inlineStr">
        <is>
          <t>선점이 끝난 뒤의 별도 관측 단계</t>
        </is>
      </c>
    </row>
    <row r="44" ht="33" customHeight="1">
      <c r="A44" s="3" t="inlineStr">
        <is>
          <t>⚠ 「점당 소요」와 「50점 총계」는 **가정값이다.** 행당 안정화·3회 판독·이동시간을 대표 환경에서 파일럿으로 실측해 확정해야 한다. 또한 5~10 m 범위를 50점 모두 10 m 로 고정할지는 운영 결정 사항이다.</t>
        </is>
      </c>
    </row>
  </sheetData>
  <mergeCells count="5">
    <mergeCell ref="A44:G44"/>
    <mergeCell ref="A1:G1"/>
    <mergeCell ref="A3:G3"/>
    <mergeCell ref="A2:G2"/>
    <mergeCell ref="A33:G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20" customWidth="1" min="4" max="4"/>
    <col width="16" customWidth="1" min="5" max="5"/>
  </cols>
  <sheetData>
    <row r="1" ht="26" customHeight="1">
      <c r="A1" s="1" t="inlineStr">
        <is>
          <t>발주자 결정 · 아직 확인이 필요한 것</t>
        </is>
      </c>
    </row>
    <row r="2" ht="33" customHeight="1">
      <c r="A2" s="2" t="inlineStr">
        <is>
          <t>Codex 독립 검토 3회가 「기관 확인 없이는 확정할 수 없다」고 지목한 항목이다. **위 4건은 2026-09-07 에 답이 나왔고**, 아래는 아직 열려 있다. 결정된 것과 열린 것을 섞지 않는 것이 요점이다.</t>
        </is>
      </c>
    </row>
    <row r="3" ht="36" customHeight="1">
      <c r="A3" s="9" t="inlineStr">
        <is>
          <t>#</t>
        </is>
      </c>
      <c r="B3" s="9" t="inlineStr">
        <is>
          <t>항목</t>
        </is>
      </c>
      <c r="C3" s="9" t="inlineStr">
        <is>
          <t>내용 · 왜 중요한가</t>
        </is>
      </c>
      <c r="D3" s="9" t="inlineStr">
        <is>
          <t>주체</t>
        </is>
      </c>
      <c r="E3" s="9" t="inlineStr">
        <is>
          <t>상태</t>
        </is>
      </c>
    </row>
    <row r="4" ht="52" customHeight="1">
      <c r="A4" s="26" t="inlineStr">
        <is>
          <t>D1</t>
        </is>
      </c>
      <c r="B4" s="40" t="inlineStr">
        <is>
          <t>법정 성격</t>
        </is>
      </c>
      <c r="C4" s="40" t="inlineStr">
        <is>
          <t>**법정 선점이 아니다. 기준이 없다.**  따라서 §14 선점실시로 표시하지 않는다. 참고한 조항은 «실무 지침»일 뿐이며 이 야장의 어떤 칸도 «법정 요건 통과»를 뜻하지 않는다. 오히려 이 탐사는 국내 기준을 «만들기 위한» 자료를 모으는 단계다.</t>
        </is>
      </c>
      <c r="D4" s="26" t="inlineStr">
        <is>
          <t>발주자</t>
        </is>
      </c>
      <c r="E4" s="50" t="inlineStr">
        <is>
          <t>확인 완료</t>
        </is>
      </c>
    </row>
    <row r="5" ht="52" customHeight="1">
      <c r="A5" s="26" t="inlineStr">
        <is>
          <t>D2</t>
        </is>
      </c>
      <c r="B5" s="40" t="inlineStr">
        <is>
          <t>관측 조건</t>
        </is>
      </c>
      <c r="C5" s="40" t="inlineStr">
        <is>
          <t>**확정된 것 없음. 야간 관측은 하지 않는다.**  개시·중단·재측정 조건은 파일럿에서 정한다. Kp·예보는 기록하되 배제 기준으로 쓰지 않는다 — 어느 값에서 걸러야 하는지 아직 모르기 때문이다.</t>
        </is>
      </c>
      <c r="D5" s="26" t="inlineStr">
        <is>
          <t>발주자</t>
        </is>
      </c>
      <c r="E5" s="50" t="inlineStr">
        <is>
          <t>확인 완료</t>
        </is>
      </c>
    </row>
    <row r="6" ht="52" customHeight="1">
      <c r="A6" s="26" t="inlineStr">
        <is>
          <t>D3</t>
        </is>
      </c>
      <c r="B6" s="40" t="inlineStr">
        <is>
          <t>현장 원본 매체</t>
        </is>
      </c>
      <c r="C6" s="40" t="inlineStr">
        <is>
          <t>**종이 수기 우선 → 이후 장비 원시파일 자동 반입.**  셋 다 가능하나 종이가 편하다. 그래서 카드는 «인쇄해서 손으로 쓰는 것»을 기준으로 만든다. 나중 자동 반입을 위해 «장비 원시파일명과 레코드 범위»를 적는 칸을 둔다 — 이것이 종이 기록과 기기 원본을 잇는 유일한 끈이다.</t>
        </is>
      </c>
      <c r="D6" s="26" t="inlineStr">
        <is>
          <t>발주자</t>
        </is>
      </c>
      <c r="E6" s="50" t="inlineStr">
        <is>
          <t>확인 완료</t>
        </is>
      </c>
    </row>
    <row r="7" ht="52" customHeight="1">
      <c r="A7" s="26" t="inlineStr">
        <is>
          <t>D4</t>
        </is>
      </c>
      <c r="B7" s="40" t="inlineStr">
        <is>
          <t>작업량</t>
        </is>
      </c>
      <c r="C7" s="40" t="inlineStr">
        <is>
          <t>**파일럿 후 확정.**  2.6 h/점 · 130 h 는 대외 일정에 쓰지 않는다.</t>
        </is>
      </c>
      <c r="D7" s="26" t="inlineStr">
        <is>
          <t>발주자</t>
        </is>
      </c>
      <c r="E7" s="50" t="inlineStr">
        <is>
          <t>확인 완료</t>
        </is>
      </c>
    </row>
    <row r="8" ht="46" customHeight="1">
      <c r="A8" s="26" t="n">
        <v>1</v>
      </c>
      <c r="B8" s="40" t="inlineStr">
        <is>
          <t>이동식 Variometer 확보와 동시기록 가능 여부</t>
        </is>
      </c>
      <c r="C8" s="40" t="inlineStr">
        <is>
          <t>P0 전·후 두 점만으로는 그 사이의 비선형 변화·순간 교란을 «탐지할 수 없다». 연속기록이 없으면 보정식을 적용해도 선형성이 검증되지 않는다.</t>
        </is>
      </c>
      <c r="D8" s="26" t="inlineStr">
        <is>
          <t>발주기관 · 예산</t>
        </is>
      </c>
      <c r="E8" s="29" t="inlineStr"/>
    </row>
    <row r="9" ht="46" customHeight="1">
      <c r="A9" s="26" t="n">
        <v>2</v>
      </c>
      <c r="B9" s="40" t="inlineStr">
        <is>
          <t>참고값의 연산 정의 — 3 nT/m 대표지표 · 50 nT 계산법</t>
        </is>
      </c>
      <c r="C9" s="40" t="inlineStr">
        <is>
          <t>같은 자료도 최대·중앙·1 m·10 m·부호 처리에 따라 결과가 달라진다. 50 nT 도 max|ΔF| 인지 max−min 인지 정해야 한다. ⚠ 국내 «판정기준»은 이 탐사 결과로 만들 것이므로 지금 정하는 것은 «계산 정의»뿐이다.</t>
        </is>
      </c>
      <c r="D9" s="26" t="inlineStr">
        <is>
          <t>연구진</t>
        </is>
      </c>
      <c r="E9" s="29" t="inlineStr"/>
    </row>
    <row r="10" ht="46" customHeight="1">
      <c r="A10" s="26" t="n">
        <v>3</v>
      </c>
      <c r="B10" s="40" t="inlineStr">
        <is>
          <t>최종 중심 이동 후 전체 재측정 여부</t>
        </is>
      </c>
      <c r="C10" s="40" t="inlineStr">
        <is>
          <t>옛 중심 자료는 새 중심의 10 m 범위와 수직구배를 입증하지 않는다. 재측정하면 일정·비용이 늘고, 안 하면 「잠정 중심」으로 남는다.</t>
        </is>
      </c>
      <c r="D10" s="26" t="inlineStr">
        <is>
          <t>발주기관 · 연구진</t>
        </is>
      </c>
      <c r="E10" s="29" t="inlineStr"/>
    </row>
    <row r="11" ht="46" customHeight="1">
      <c r="A11" s="26" t="n">
        <v>4</v>
      </c>
      <c r="B11" s="40" t="inlineStr">
        <is>
          <t>미원의 표석 동일성 · 기존 16점의 성분별 대조 가능성</t>
        </is>
      </c>
      <c r="C11" s="40" t="inlineStr">
        <is>
          <t>물리점이 특정되지 않으면 과거 성과와 견줄 수 없다. 현재는 «과거대조만» 보류로 두었고 신규 측정은 진행한다.</t>
        </is>
      </c>
      <c r="D11" s="26" t="inlineStr">
        <is>
          <t>국토지리정보원</t>
        </is>
      </c>
      <c r="E11" s="29" t="inlineStr"/>
    </row>
    <row r="12" ht="46" customHeight="1">
      <c r="A12" s="26" t="n">
        <v>5</v>
      </c>
      <c r="B12" s="40" t="inlineStr">
        <is>
          <t>5~10 m 범위를 50점 모두 10 m 로 적용할지</t>
        </is>
      </c>
      <c r="C12" s="40" t="inlineStr">
        <is>
          <t>IAGA 예시가 「5~10 m」라 폭이 있다. 10 m 고정은 작업량을 늘린다. 파일럿에서 함께 정하면 된다.</t>
        </is>
      </c>
      <c r="D12" s="26" t="inlineStr">
        <is>
          <t>연구진 · 운영</t>
        </is>
      </c>
      <c r="E12" s="29" t="inlineStr"/>
    </row>
    <row r="13" ht="46" customHeight="1">
      <c r="A13" s="26" t="n">
        <v>6</v>
      </c>
      <c r="B13" s="40" t="inlineStr">
        <is>
          <t>상시관측소 원자료의 제공조건·시간해상도</t>
        </is>
      </c>
      <c r="C13" s="40" t="inlineStr">
        <is>
          <t>자료가 «존재한다»와 «쓸 수 있다»는 다르다. 시간변화 보정의 실현 가능성이 여기 달렸다.</t>
        </is>
      </c>
      <c r="D13" s="26" t="inlineStr">
        <is>
          <t>청양(INTERMAGNET) · KASA</t>
        </is>
      </c>
      <c r="E13" s="29" t="inlineStr"/>
    </row>
    <row r="14" ht="46" customHeight="1">
      <c r="A14" s="26" t="n">
        <v>7</v>
      </c>
      <c r="B14" s="40" t="inlineStr">
        <is>
          <t>정식 선점·표지 설치로 넘어갈 시점과 그때의 적용 조문</t>
        </is>
      </c>
      <c r="C14" s="40" t="inlineStr">
        <is>
          <t>이번은 법정 선점이 아니다. 정식 단계로 갈 때 §14·§15·§16·§18 의 적용범위를 그때 판단해야 한다.</t>
        </is>
      </c>
      <c r="D14" s="26" t="inlineStr">
        <is>
          <t>국토지리정보원</t>
        </is>
      </c>
      <c r="E14" s="29" t="inlineStr"/>
    </row>
  </sheetData>
  <mergeCells count="2">
    <mergeCell ref="A2:E2"/>
    <mergeCell ref="A1:E1"/>
  </mergeCells>
  <dataValidations count="1">
    <dataValidation sqref="E8:E14" showDropDown="0" showInputMessage="0" showErrorMessage="0" allowBlank="1" type="list">
      <formula1>"확인 완료,질의 중,PENDING"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2026-09-07T08:12:31Z</dcterms:created>
  <dcterms:modified xmlns:dcterms="http://purl.org/dc/terms/" xmlns:xsi="http://www.w3.org/2001/XMLSchema-instance" xsi:type="dcterms:W3CDTF">2026-09-07T08:12:37Z</dcterms:modified>
</cp:coreProperties>
</file>